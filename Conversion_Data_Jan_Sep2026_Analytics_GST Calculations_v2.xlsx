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Analytics &amp; KPIs" sheetId="1" state="visible" r:id="rId1"/>
    <sheet xmlns:r="http://schemas.openxmlformats.org/officeDocument/2006/relationships" name="Conversion Analytics (Master)" sheetId="2" state="visible" r:id="rId2"/>
    <sheet xmlns:r="http://schemas.openxmlformats.org/officeDocument/2006/relationships" name="Conversion Data (Standard)" sheetId="3" state="visible" r:id="rId3"/>
    <sheet xmlns:r="http://schemas.openxmlformats.org/officeDocument/2006/relationships" name="_MakeList" sheetId="4" state="hidden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.00"/>
  </numFmts>
  <fonts count="12">
    <font>
      <name val="Calibri"/>
      <family val="2"/>
      <color theme="1"/>
      <sz val="11"/>
      <scheme val="minor"/>
    </font>
    <font>
      <name val="Calibri"/>
      <b val="1"/>
      <color rgb="001E3A8A"/>
      <sz val="14"/>
    </font>
    <font>
      <name val="Calibri"/>
      <b val="1"/>
      <color rgb="00475569"/>
      <sz val="11"/>
    </font>
    <font>
      <name val="Calibri"/>
      <b val="1"/>
      <color rgb="00FFFFFF"/>
      <sz val="10"/>
    </font>
    <font>
      <name val="Calibri"/>
      <b val="1"/>
      <color rgb="000F172A"/>
      <sz val="12"/>
    </font>
    <font>
      <name val="Calibri"/>
      <b val="1"/>
      <color rgb="001E3A8A"/>
      <sz val="11"/>
    </font>
    <font>
      <name val="Calibri"/>
      <b val="1"/>
      <sz val="10"/>
    </font>
    <font>
      <name val="Calibri"/>
      <i val="1"/>
      <color rgb="0064748B"/>
      <sz val="10"/>
    </font>
    <font>
      <name val="Calibri"/>
      <sz val="10"/>
    </font>
    <font>
      <name val="Calibri"/>
      <b val="1"/>
      <color rgb="002F5496"/>
      <sz val="14"/>
    </font>
    <font>
      <name val="Calibri"/>
      <i val="1"/>
      <color rgb="00808080"/>
      <sz val="10"/>
    </font>
    <font>
      <name val="Calibri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1F5F9"/>
        <bgColor rgb="00F1F5F9"/>
      </patternFill>
    </fill>
    <fill>
      <patternFill patternType="solid">
        <fgColor rgb="001E293B"/>
        <bgColor rgb="001E293B"/>
      </patternFill>
    </fill>
    <fill>
      <patternFill patternType="solid">
        <fgColor rgb="002F5496"/>
        <bgColor rgb="002F5496"/>
      </patternFill>
    </fill>
  </fills>
  <borders count="3">
    <border>
      <left/>
      <right/>
      <top/>
      <bottom/>
      <diagonal/>
    </border>
    <border>
      <left style="thin">
        <color rgb="0094A3B8"/>
      </left>
      <right style="thin">
        <color rgb="0094A3B8"/>
      </right>
      <top style="thin">
        <color rgb="0094A3B8"/>
      </top>
      <bottom style="thin">
        <color rgb="0094A3B8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3" fontId="4" fillId="3" borderId="1" applyAlignment="1" pivotButton="0" quotePrefix="0" xfId="0">
      <alignment horizontal="center" vertical="center"/>
    </xf>
    <xf numFmtId="164" fontId="4" fillId="3" borderId="1" applyAlignment="1" pivotButton="0" quotePrefix="0" xfId="0">
      <alignment horizontal="center" vertical="center"/>
    </xf>
    <xf numFmtId="10" fontId="4" fillId="3" borderId="1" applyAlignment="1" pivotButton="0" quotePrefix="0" xfId="0">
      <alignment horizontal="center" vertical="center"/>
    </xf>
    <xf numFmtId="0" fontId="5" fillId="0" borderId="0" pivotButton="0" quotePrefix="0" xfId="0"/>
    <xf numFmtId="0" fontId="3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3" fontId="0" fillId="0" borderId="1" pivotButton="0" quotePrefix="0" xfId="0"/>
    <xf numFmtId="164" fontId="0" fillId="0" borderId="1" pivotButton="0" quotePrefix="0" xfId="0"/>
    <xf numFmtId="10" fontId="0" fillId="0" borderId="1" pivotButton="0" quotePrefix="0" xfId="0"/>
    <xf numFmtId="0" fontId="6" fillId="0" borderId="1" applyAlignment="1" pivotButton="0" quotePrefix="0" xfId="0">
      <alignment horizontal="center"/>
    </xf>
    <xf numFmtId="3" fontId="6" fillId="0" borderId="1" pivotButton="0" quotePrefix="0" xfId="0"/>
    <xf numFmtId="164" fontId="6" fillId="0" borderId="1" pivotButton="0" quotePrefix="0" xfId="0"/>
    <xf numFmtId="10" fontId="6" fillId="0" borderId="1" pivotButton="0" quotePrefix="0" xfId="0"/>
    <xf numFmtId="0" fontId="7" fillId="0" borderId="0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center"/>
    </xf>
    <xf numFmtId="0" fontId="8" fillId="0" borderId="2" applyAlignment="1" pivotButton="0" quotePrefix="0" xfId="0">
      <alignment horizontal="center"/>
    </xf>
    <xf numFmtId="0" fontId="8" fillId="0" borderId="2" pivotButton="0" quotePrefix="0" xfId="0"/>
    <xf numFmtId="1" fontId="8" fillId="0" borderId="2" applyAlignment="1" pivotButton="0" quotePrefix="0" xfId="0">
      <alignment horizontal="center"/>
    </xf>
    <xf numFmtId="3" fontId="8" fillId="0" borderId="2" applyAlignment="1" pivotButton="0" quotePrefix="0" xfId="0">
      <alignment horizontal="right"/>
    </xf>
    <xf numFmtId="4" fontId="8" fillId="0" borderId="2" applyAlignment="1" pivotButton="0" quotePrefix="0" xfId="0">
      <alignment horizontal="right"/>
    </xf>
    <xf numFmtId="10" fontId="8" fillId="0" borderId="2" applyAlignment="1" pivotButton="0" quotePrefix="0" xfId="0">
      <alignment horizontal="right"/>
    </xf>
    <xf numFmtId="0" fontId="9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11" fillId="5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J13"/>
  <sheetViews>
    <sheetView showGridLines="1" workbookViewId="0">
      <selection activeCell="A1" sqref="A1"/>
    </sheetView>
  </sheetViews>
  <sheetFormatPr baseColWidth="8" defaultRowHeight="15"/>
  <cols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B1" s="1" t="inlineStr">
        <is>
          <t>TVS Certified - Conversion Analytics &amp; Performance Intelligence</t>
        </is>
      </c>
    </row>
    <row r="2">
      <c r="B2" s="2" t="inlineStr">
        <is>
          <t>January to September 2026 Executive Summary &amp; Regional Conversion Metrics (4,314 Units)</t>
        </is>
      </c>
    </row>
    <row r="4">
      <c r="B4" s="3" t="inlineStr">
        <is>
          <t>TOTAL CONVERTED</t>
        </is>
      </c>
      <c r="D4" s="3" t="inlineStr">
        <is>
          <t>AUCTION TURNOVER</t>
        </is>
      </c>
      <c r="F4" s="3" t="inlineStr">
        <is>
          <t>TVS INCOME (EX-GST)</t>
        </is>
      </c>
      <c r="H4" s="3" t="inlineStr">
        <is>
          <t>TVS INCOME (INCL-GST)</t>
        </is>
      </c>
      <c r="J4" s="3" t="inlineStr">
        <is>
          <t>AVG TVS MARGIN %</t>
        </is>
      </c>
    </row>
    <row r="5">
      <c r="B5" s="4">
        <f>COUNTA('Conversion Analytics (Master)'!D4:D4317)</f>
        <v/>
      </c>
      <c r="D5" s="5">
        <f>SUM('Conversion Analytics (Master)'!I4:I4317)</f>
        <v/>
      </c>
      <c r="F5" s="5">
        <f>SUM('Conversion Analytics (Master)'!M4:M4317)</f>
        <v/>
      </c>
      <c r="H5" s="5">
        <f>SUM('Conversion Analytics (Master)'!N4:N4317)</f>
        <v/>
      </c>
      <c r="J5" s="6">
        <f>AVERAGE('Conversion Analytics (Master)'!O4:O4317)</f>
        <v/>
      </c>
    </row>
    <row r="8">
      <c r="B8" s="7" t="inlineStr">
        <is>
          <t>REGIONAL PERFORMANCE BREAKDOWN</t>
        </is>
      </c>
    </row>
    <row r="9">
      <c r="B9" s="8" t="inlineStr">
        <is>
          <t>State</t>
        </is>
      </c>
      <c r="C9" s="8" t="inlineStr">
        <is>
          <t>Units Converted</t>
        </is>
      </c>
      <c r="D9" s="8" t="inlineStr">
        <is>
          <t>GMV (Turnover)</t>
        </is>
      </c>
      <c r="E9" s="8" t="inlineStr">
        <is>
          <t>TVS Income (Ex GST)</t>
        </is>
      </c>
      <c r="F9" s="8" t="inlineStr">
        <is>
          <t>TVS Income (Inc GST)</t>
        </is>
      </c>
      <c r="G9" s="8" t="inlineStr">
        <is>
          <t>Avg Bid Value</t>
        </is>
      </c>
      <c r="H9" s="8" t="inlineStr">
        <is>
          <t>Avg Take Rate %</t>
        </is>
      </c>
    </row>
    <row r="10">
      <c r="B10" s="9" t="inlineStr">
        <is>
          <t>AP/TS</t>
        </is>
      </c>
      <c r="C10" s="10">
        <f>COUNTIF('Conversion Analytics (Master)'!$C$4:$C$4317, B10)</f>
        <v/>
      </c>
      <c r="D10" s="11">
        <f>SUMIF('Conversion Analytics (Master)'!$C$4:$C$4317, B10, 'Conversion Analytics (Master)'!$I$4:$I$4317)</f>
        <v/>
      </c>
      <c r="E10" s="11">
        <f>SUMIF('Conversion Analytics (Master)'!$C$4:$C$4317, B10, 'Conversion Analytics (Master)'!$M$4:$M$4317)</f>
        <v/>
      </c>
      <c r="F10" s="11">
        <f>SUMIF('Conversion Analytics (Master)'!$C$4:$C$4317, B10, 'Conversion Analytics (Master)'!$N$4:$N$4317)</f>
        <v/>
      </c>
      <c r="G10" s="11">
        <f>IF(C10&gt;0, D10/C10, 0)</f>
        <v/>
      </c>
      <c r="H10" s="12">
        <f>IF(D10&gt;0, E10/D10, 0)</f>
        <v/>
      </c>
    </row>
    <row r="11">
      <c r="B11" s="9" t="inlineStr">
        <is>
          <t>Kerala</t>
        </is>
      </c>
      <c r="C11" s="10">
        <f>COUNTIF('Conversion Analytics (Master)'!$C$4:$C$4317, B11)</f>
        <v/>
      </c>
      <c r="D11" s="11">
        <f>SUMIF('Conversion Analytics (Master)'!$C$4:$C$4317, B11, 'Conversion Analytics (Master)'!$I$4:$I$4317)</f>
        <v/>
      </c>
      <c r="E11" s="11">
        <f>SUMIF('Conversion Analytics (Master)'!$C$4:$C$4317, B11, 'Conversion Analytics (Master)'!$M$4:$M$4317)</f>
        <v/>
      </c>
      <c r="F11" s="11">
        <f>SUMIF('Conversion Analytics (Master)'!$C$4:$C$4317, B11, 'Conversion Analytics (Master)'!$N$4:$N$4317)</f>
        <v/>
      </c>
      <c r="G11" s="11">
        <f>IF(C11&gt;0, D11/C11, 0)</f>
        <v/>
      </c>
      <c r="H11" s="12">
        <f>IF(D11&gt;0, E11/D11, 0)</f>
        <v/>
      </c>
    </row>
    <row r="12">
      <c r="B12" s="9" t="inlineStr">
        <is>
          <t>TN</t>
        </is>
      </c>
      <c r="C12" s="10">
        <f>COUNTIF('Conversion Analytics (Master)'!$C$4:$C$4317, B12)</f>
        <v/>
      </c>
      <c r="D12" s="11">
        <f>SUMIF('Conversion Analytics (Master)'!$C$4:$C$4317, B12, 'Conversion Analytics (Master)'!$I$4:$I$4317)</f>
        <v/>
      </c>
      <c r="E12" s="11">
        <f>SUMIF('Conversion Analytics (Master)'!$C$4:$C$4317, B12, 'Conversion Analytics (Master)'!$M$4:$M$4317)</f>
        <v/>
      </c>
      <c r="F12" s="11">
        <f>SUMIF('Conversion Analytics (Master)'!$C$4:$C$4317, B12, 'Conversion Analytics (Master)'!$N$4:$N$4317)</f>
        <v/>
      </c>
      <c r="G12" s="11">
        <f>IF(C12&gt;0, D12/C12, 0)</f>
        <v/>
      </c>
      <c r="H12" s="12">
        <f>IF(D12&gt;0, E12/D12, 0)</f>
        <v/>
      </c>
    </row>
    <row r="13">
      <c r="B13" s="13" t="inlineStr">
        <is>
          <t>TOTAL</t>
        </is>
      </c>
      <c r="C13" s="14">
        <f>SUM(C10:C12)</f>
        <v/>
      </c>
      <c r="D13" s="15">
        <f>SUM(D10:D12)</f>
        <v/>
      </c>
      <c r="E13" s="15">
        <f>SUM(E10:E12)</f>
        <v/>
      </c>
      <c r="F13" s="15">
        <f>SUM(F10:F12)</f>
        <v/>
      </c>
      <c r="G13" s="15">
        <f>IF(C13&gt;0, D13/C13, 0)</f>
        <v/>
      </c>
      <c r="H13" s="16">
        <f>IF(D13&gt;0, E13/D13, 0)</f>
        <v/>
      </c>
    </row>
  </sheetData>
  <mergeCells count="2">
    <mergeCell ref="B1:J1"/>
    <mergeCell ref="B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317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8" customWidth="1" min="4" max="4"/>
    <col width="20" customWidth="1" min="5" max="5"/>
    <col width="20" customWidth="1" min="6" max="6"/>
    <col width="10" customWidth="1" min="7" max="7"/>
    <col width="15" customWidth="1" min="8" max="8"/>
    <col width="18" customWidth="1" min="9" max="9"/>
    <col width="36" customWidth="1" min="10" max="10"/>
    <col width="16" customWidth="1" min="11" max="11"/>
    <col width="34" customWidth="1" min="12" max="12"/>
    <col width="22" customWidth="1" min="13" max="13"/>
    <col width="18" customWidth="1" min="14" max="14"/>
    <col width="16" customWidth="1" min="15" max="15"/>
  </cols>
  <sheetData>
    <row r="1">
      <c r="A1" s="1" t="inlineStr">
        <is>
          <t>TVS Certified - Conversion Analytics Master Dataset</t>
        </is>
      </c>
    </row>
    <row r="2">
      <c r="A2" s="17" t="inlineStr">
        <is>
          <t>January to September 2026 Analytical Inventory Profile (4,314 Converted Units)</t>
        </is>
      </c>
    </row>
    <row r="3">
      <c r="A3" s="18" t="inlineStr">
        <is>
          <t>FY</t>
        </is>
      </c>
      <c r="B3" s="18" t="inlineStr">
        <is>
          <t>Month</t>
        </is>
      </c>
      <c r="C3" s="18" t="inlineStr">
        <is>
          <t>State</t>
        </is>
      </c>
      <c r="D3" s="18" t="inlineStr">
        <is>
          <t>Vehicle Number</t>
        </is>
      </c>
      <c r="E3" s="18" t="inlineStr">
        <is>
          <t>Make</t>
        </is>
      </c>
      <c r="F3" s="18" t="inlineStr">
        <is>
          <t>Model</t>
        </is>
      </c>
      <c r="G3" s="18" t="inlineStr">
        <is>
          <t>Year</t>
        </is>
      </c>
      <c r="H3" s="18" t="inlineStr">
        <is>
          <t>Odometer</t>
        </is>
      </c>
      <c r="I3" s="18" t="inlineStr">
        <is>
          <t>Final Bid Value</t>
        </is>
      </c>
      <c r="J3" s="18" t="inlineStr">
        <is>
          <t>Seller Name</t>
        </is>
      </c>
      <c r="K3" s="18" t="inlineStr">
        <is>
          <t>Seller Segment</t>
        </is>
      </c>
      <c r="L3" s="18" t="inlineStr">
        <is>
          <t>Buyer Name</t>
        </is>
      </c>
      <c r="M3" s="18" t="inlineStr">
        <is>
          <t>Total Income (ex. GST)</t>
        </is>
      </c>
      <c r="N3" s="18" t="inlineStr">
        <is>
          <t>Total Income</t>
        </is>
      </c>
      <c r="O3" s="18" t="inlineStr">
        <is>
          <t>TVS Margin %</t>
        </is>
      </c>
    </row>
    <row r="4">
      <c r="A4" s="19" t="inlineStr">
        <is>
          <t>FY26</t>
        </is>
      </c>
      <c r="B4" s="19" t="inlineStr">
        <is>
          <t>Jan</t>
        </is>
      </c>
      <c r="C4" s="19" t="inlineStr">
        <is>
          <t>AP/TS</t>
        </is>
      </c>
      <c r="D4" s="20" t="inlineStr">
        <is>
          <t>AP31AS1112</t>
        </is>
      </c>
      <c r="E4" s="20" t="inlineStr">
        <is>
          <t>HYUNDAI</t>
        </is>
      </c>
      <c r="F4" s="20" t="inlineStr">
        <is>
          <t>Getz</t>
        </is>
      </c>
      <c r="G4" s="21" t="n">
        <v>2007</v>
      </c>
      <c r="H4" s="22" t="n">
        <v>77543</v>
      </c>
      <c r="I4" s="23" t="n">
        <v>55000</v>
      </c>
      <c r="J4" s="20" t="inlineStr">
        <is>
          <t>Exchange VIZAG</t>
        </is>
      </c>
      <c r="K4" s="20" t="inlineStr">
        <is>
          <t>Captive</t>
        </is>
      </c>
      <c r="L4" s="20" t="inlineStr">
        <is>
          <t>Gadi Sri Bharathi</t>
        </is>
      </c>
      <c r="M4" s="23" t="n">
        <v>4237.29</v>
      </c>
      <c r="N4" s="23" t="n">
        <v>5000</v>
      </c>
      <c r="O4" s="24">
        <f>IF(AND(ISNUMBER(M4), ISNUMBER(I4), I4&gt;0), M4/I4, "")</f>
        <v/>
      </c>
    </row>
    <row r="5">
      <c r="A5" s="19" t="inlineStr">
        <is>
          <t>FY26</t>
        </is>
      </c>
      <c r="B5" s="19" t="inlineStr">
        <is>
          <t>Jan</t>
        </is>
      </c>
      <c r="C5" s="19" t="inlineStr">
        <is>
          <t>AP/TS</t>
        </is>
      </c>
      <c r="D5" s="20" t="inlineStr">
        <is>
          <t>AP31CS7594</t>
        </is>
      </c>
      <c r="E5" s="20" t="inlineStr">
        <is>
          <t>HONDA</t>
        </is>
      </c>
      <c r="F5" s="20" t="inlineStr">
        <is>
          <t>Mobilio</t>
        </is>
      </c>
      <c r="G5" s="21" t="n">
        <v>2014</v>
      </c>
      <c r="H5" s="22" t="n">
        <v>98056</v>
      </c>
      <c r="I5" s="23" t="n">
        <v>265000</v>
      </c>
      <c r="J5" s="20" t="inlineStr">
        <is>
          <t>Exchange VIZAG</t>
        </is>
      </c>
      <c r="K5" s="20" t="inlineStr">
        <is>
          <t>Captive</t>
        </is>
      </c>
      <c r="L5" s="20" t="inlineStr">
        <is>
          <t>Siva Reddy Gudla</t>
        </is>
      </c>
      <c r="M5" s="23" t="n">
        <v>12711.86</v>
      </c>
      <c r="N5" s="23" t="n">
        <v>15000</v>
      </c>
      <c r="O5" s="24">
        <f>IF(AND(ISNUMBER(M5), ISNUMBER(I5), I5&gt;0), M5/I5, "")</f>
        <v/>
      </c>
    </row>
    <row r="6">
      <c r="A6" s="19" t="inlineStr">
        <is>
          <t>FY26</t>
        </is>
      </c>
      <c r="B6" s="19" t="inlineStr">
        <is>
          <t>Jan</t>
        </is>
      </c>
      <c r="C6" s="19" t="inlineStr">
        <is>
          <t>AP/TS</t>
        </is>
      </c>
      <c r="D6" s="20" t="inlineStr">
        <is>
          <t>TS09EY7211</t>
        </is>
      </c>
      <c r="E6" s="20" t="inlineStr">
        <is>
          <t>NISSAN</t>
        </is>
      </c>
      <c r="F6" s="20" t="inlineStr">
        <is>
          <t>Micra</t>
        </is>
      </c>
      <c r="G6" s="21" t="n">
        <v>2017</v>
      </c>
      <c r="H6" s="22" t="n">
        <v>113473</v>
      </c>
      <c r="I6" s="23" t="n">
        <v>190000</v>
      </c>
      <c r="J6" s="20" t="inlineStr">
        <is>
          <t>Exchange HYDERABAD</t>
        </is>
      </c>
      <c r="K6" s="20" t="inlineStr">
        <is>
          <t>Captive</t>
        </is>
      </c>
      <c r="L6" s="20" t="inlineStr">
        <is>
          <t>Viswanadhapalli Aravind</t>
        </is>
      </c>
      <c r="M6" s="23" t="n">
        <v>8474.58</v>
      </c>
      <c r="N6" s="23" t="n">
        <v>10000</v>
      </c>
      <c r="O6" s="24">
        <f>IF(AND(ISNUMBER(M6), ISNUMBER(I6), I6&gt;0), M6/I6, "")</f>
        <v/>
      </c>
    </row>
    <row r="7">
      <c r="A7" s="19" t="inlineStr">
        <is>
          <t>FY26</t>
        </is>
      </c>
      <c r="B7" s="19" t="inlineStr">
        <is>
          <t>Jan</t>
        </is>
      </c>
      <c r="C7" s="19" t="inlineStr">
        <is>
          <t>AP/TS</t>
        </is>
      </c>
      <c r="D7" s="20" t="inlineStr">
        <is>
          <t>AP31CE7777</t>
        </is>
      </c>
      <c r="E7" s="20" t="inlineStr">
        <is>
          <t>RENAULT</t>
        </is>
      </c>
      <c r="F7" s="20" t="inlineStr">
        <is>
          <t>Scala</t>
        </is>
      </c>
      <c r="G7" s="21" t="n">
        <v>2012</v>
      </c>
      <c r="H7" s="22" t="n">
        <v>255641</v>
      </c>
      <c r="I7" s="23" t="n">
        <v>97000</v>
      </c>
      <c r="J7" s="20" t="inlineStr">
        <is>
          <t>Exchange VIZAG</t>
        </is>
      </c>
      <c r="K7" s="20" t="inlineStr">
        <is>
          <t>Captive</t>
        </is>
      </c>
      <c r="L7" s="20" t="inlineStr">
        <is>
          <t>Kaki Dinesh Kumar</t>
        </is>
      </c>
      <c r="M7" s="23" t="n">
        <v>5932.2</v>
      </c>
      <c r="N7" s="23" t="n">
        <v>7000</v>
      </c>
      <c r="O7" s="24">
        <f>IF(AND(ISNUMBER(M7), ISNUMBER(I7), I7&gt;0), M7/I7, "")</f>
        <v/>
      </c>
    </row>
    <row r="8">
      <c r="A8" s="19" t="inlineStr">
        <is>
          <t>FY26</t>
        </is>
      </c>
      <c r="B8" s="19" t="inlineStr">
        <is>
          <t>Jan</t>
        </is>
      </c>
      <c r="C8" s="19" t="inlineStr">
        <is>
          <t>AP/TS</t>
        </is>
      </c>
      <c r="D8" s="20" t="inlineStr">
        <is>
          <t>AP31DF2198</t>
        </is>
      </c>
      <c r="E8" s="20" t="inlineStr">
        <is>
          <t>HONDA</t>
        </is>
      </c>
      <c r="F8" s="20" t="inlineStr">
        <is>
          <t>Jazz</t>
        </is>
      </c>
      <c r="G8" s="21" t="n">
        <v>2016</v>
      </c>
      <c r="H8" s="22" t="n">
        <v>41567</v>
      </c>
      <c r="I8" s="23" t="n">
        <v>327500</v>
      </c>
      <c r="J8" s="20" t="inlineStr">
        <is>
          <t>Exchange VIZAG</t>
        </is>
      </c>
      <c r="K8" s="20" t="inlineStr">
        <is>
          <t>Captive</t>
        </is>
      </c>
      <c r="L8" s="20" t="inlineStr">
        <is>
          <t>Chukka Satish</t>
        </is>
      </c>
      <c r="M8" s="23" t="n">
        <v>10593.22</v>
      </c>
      <c r="N8" s="23" t="n">
        <v>12500</v>
      </c>
      <c r="O8" s="24">
        <f>IF(AND(ISNUMBER(M8), ISNUMBER(I8), I8&gt;0), M8/I8, "")</f>
        <v/>
      </c>
    </row>
    <row r="9">
      <c r="A9" s="19" t="inlineStr">
        <is>
          <t>FY26</t>
        </is>
      </c>
      <c r="B9" s="19" t="inlineStr">
        <is>
          <t>Jan</t>
        </is>
      </c>
      <c r="C9" s="19" t="inlineStr">
        <is>
          <t>AP/TS</t>
        </is>
      </c>
      <c r="D9" s="20" t="inlineStr">
        <is>
          <t>AP31BM4257</t>
        </is>
      </c>
      <c r="E9" s="20" t="inlineStr">
        <is>
          <t>CHEVROLET</t>
        </is>
      </c>
      <c r="F9" s="20" t="inlineStr">
        <is>
          <t>Spark</t>
        </is>
      </c>
      <c r="G9" s="21" t="n">
        <v>2015</v>
      </c>
      <c r="H9" s="22" t="n">
        <v>141008</v>
      </c>
      <c r="I9" s="23" t="n">
        <v>50000</v>
      </c>
      <c r="J9" s="20" t="inlineStr">
        <is>
          <t>Kesireddi Saikiran</t>
        </is>
      </c>
      <c r="K9" s="20" t="inlineStr">
        <is>
          <t>Non-Captive</t>
        </is>
      </c>
      <c r="L9" s="20" t="inlineStr">
        <is>
          <t>Siva Reddy Gudla</t>
        </is>
      </c>
      <c r="M9" s="23" t="n">
        <v>4237.29</v>
      </c>
      <c r="N9" s="23" t="n">
        <v>5000</v>
      </c>
      <c r="O9" s="24">
        <f>IF(AND(ISNUMBER(M9), ISNUMBER(I9), I9&gt;0), M9/I9, "")</f>
        <v/>
      </c>
    </row>
    <row r="10">
      <c r="A10" s="19" t="inlineStr">
        <is>
          <t>FY26</t>
        </is>
      </c>
      <c r="B10" s="19" t="inlineStr">
        <is>
          <t>Jan</t>
        </is>
      </c>
      <c r="C10" s="19" t="inlineStr">
        <is>
          <t>AP/TS</t>
        </is>
      </c>
      <c r="D10" s="20" t="inlineStr">
        <is>
          <t>TS08GV4028</t>
        </is>
      </c>
      <c r="E10" s="20" t="inlineStr">
        <is>
          <t>HONDA</t>
        </is>
      </c>
      <c r="F10" s="20" t="inlineStr">
        <is>
          <t>Amaze</t>
        </is>
      </c>
      <c r="G10" s="21" t="n">
        <v>2019</v>
      </c>
      <c r="H10" s="22" t="n">
        <v>74555</v>
      </c>
      <c r="I10" s="23" t="n">
        <v>380000</v>
      </c>
      <c r="J10" s="20" t="inlineStr">
        <is>
          <t>Exchange HYDERABAD</t>
        </is>
      </c>
      <c r="K10" s="20" t="inlineStr">
        <is>
          <t>Captive</t>
        </is>
      </c>
      <c r="L10" s="20" t="inlineStr">
        <is>
          <t>Ganothula Brahma Reddy</t>
        </is>
      </c>
      <c r="M10" s="23" t="n">
        <v>8474.58</v>
      </c>
      <c r="N10" s="23" t="n">
        <v>10000</v>
      </c>
      <c r="O10" s="24">
        <f>IF(AND(ISNUMBER(M10), ISNUMBER(I10), I10&gt;0), M10/I10, "")</f>
        <v/>
      </c>
    </row>
    <row r="11">
      <c r="A11" s="19" t="inlineStr">
        <is>
          <t>FY26</t>
        </is>
      </c>
      <c r="B11" s="19" t="inlineStr">
        <is>
          <t>Jan</t>
        </is>
      </c>
      <c r="C11" s="19" t="inlineStr">
        <is>
          <t>AP/TS</t>
        </is>
      </c>
      <c r="D11" s="20" t="inlineStr">
        <is>
          <t>TS09EB2697</t>
        </is>
      </c>
      <c r="E11" s="20" t="inlineStr">
        <is>
          <t>HONDA</t>
        </is>
      </c>
      <c r="F11" s="20" t="inlineStr">
        <is>
          <t>City</t>
        </is>
      </c>
      <c r="G11" s="21" t="n">
        <v>2014</v>
      </c>
      <c r="H11" s="22" t="n">
        <v>158986</v>
      </c>
      <c r="I11" s="23" t="n">
        <v>265000</v>
      </c>
      <c r="J11" s="20" t="inlineStr">
        <is>
          <t>Exchange HYDERABAD</t>
        </is>
      </c>
      <c r="K11" s="20" t="inlineStr">
        <is>
          <t>Captive</t>
        </is>
      </c>
      <c r="L11" s="20" t="inlineStr">
        <is>
          <t>Uppari Sandeep Kumar</t>
        </is>
      </c>
      <c r="M11" s="23" t="n">
        <v>8474.58</v>
      </c>
      <c r="N11" s="23" t="n">
        <v>10000</v>
      </c>
      <c r="O11" s="24">
        <f>IF(AND(ISNUMBER(M11), ISNUMBER(I11), I11&gt;0), M11/I11, "")</f>
        <v/>
      </c>
    </row>
    <row r="12">
      <c r="A12" s="19" t="inlineStr">
        <is>
          <t>FY26</t>
        </is>
      </c>
      <c r="B12" s="19" t="inlineStr">
        <is>
          <t>Jan</t>
        </is>
      </c>
      <c r="C12" s="19" t="inlineStr">
        <is>
          <t>AP/TS</t>
        </is>
      </c>
      <c r="D12" s="20" t="inlineStr">
        <is>
          <t>TS11EC4656</t>
        </is>
      </c>
      <c r="E12" s="20" t="inlineStr">
        <is>
          <t>HONDA</t>
        </is>
      </c>
      <c r="F12" s="20" t="inlineStr">
        <is>
          <t>Amaze</t>
        </is>
      </c>
      <c r="G12" s="21" t="n">
        <v>2015</v>
      </c>
      <c r="H12" s="22" t="n">
        <v>178445</v>
      </c>
      <c r="I12" s="23" t="n">
        <v>215000</v>
      </c>
      <c r="J12" s="20" t="inlineStr">
        <is>
          <t>Exchange HYDERABAD</t>
        </is>
      </c>
      <c r="K12" s="20" t="inlineStr">
        <is>
          <t>Captive</t>
        </is>
      </c>
      <c r="L12" s="20" t="inlineStr">
        <is>
          <t>Puneet Gupta</t>
        </is>
      </c>
      <c r="M12" s="23" t="n">
        <v>8474.58</v>
      </c>
      <c r="N12" s="23" t="n">
        <v>10000</v>
      </c>
      <c r="O12" s="24">
        <f>IF(AND(ISNUMBER(M12), ISNUMBER(I12), I12&gt;0), M12/I12, "")</f>
        <v/>
      </c>
    </row>
    <row r="13">
      <c r="A13" s="19" t="inlineStr">
        <is>
          <t>FY26</t>
        </is>
      </c>
      <c r="B13" s="19" t="inlineStr">
        <is>
          <t>Jan</t>
        </is>
      </c>
      <c r="C13" s="19" t="inlineStr">
        <is>
          <t>AP/TS</t>
        </is>
      </c>
      <c r="D13" s="20" t="inlineStr">
        <is>
          <t>AP39JV0286</t>
        </is>
      </c>
      <c r="E13" s="20" t="inlineStr">
        <is>
          <t>TATA</t>
        </is>
      </c>
      <c r="F13" s="20" t="inlineStr">
        <is>
          <t>Tiago</t>
        </is>
      </c>
      <c r="G13" s="21" t="n">
        <v>2021</v>
      </c>
      <c r="H13" s="22" t="n">
        <v>58833</v>
      </c>
      <c r="I13" s="23" t="n">
        <v>335000</v>
      </c>
      <c r="J13" s="20" t="inlineStr">
        <is>
          <t>Exchange VIJAYAWADA</t>
        </is>
      </c>
      <c r="K13" s="20" t="inlineStr">
        <is>
          <t>Captive</t>
        </is>
      </c>
      <c r="L13" s="20" t="inlineStr">
        <is>
          <t>Naga Suresh Polukonda</t>
        </is>
      </c>
      <c r="M13" s="23" t="n">
        <v>8474.58</v>
      </c>
      <c r="N13" s="23" t="n">
        <v>10000</v>
      </c>
      <c r="O13" s="24">
        <f>IF(AND(ISNUMBER(M13), ISNUMBER(I13), I13&gt;0), M13/I13, "")</f>
        <v/>
      </c>
    </row>
    <row r="14">
      <c r="A14" s="19" t="inlineStr">
        <is>
          <t>FY26</t>
        </is>
      </c>
      <c r="B14" s="19" t="inlineStr">
        <is>
          <t>Jan</t>
        </is>
      </c>
      <c r="C14" s="19" t="inlineStr">
        <is>
          <t>AP/TS</t>
        </is>
      </c>
      <c r="D14" s="20" t="inlineStr">
        <is>
          <t>AP31DD1661</t>
        </is>
      </c>
      <c r="E14" s="20" t="inlineStr">
        <is>
          <t>HONDA</t>
        </is>
      </c>
      <c r="F14" s="20" t="inlineStr">
        <is>
          <t>Jazz</t>
        </is>
      </c>
      <c r="G14" s="21" t="n">
        <v>2015</v>
      </c>
      <c r="H14" s="22" t="n">
        <v>132923</v>
      </c>
      <c r="I14" s="23" t="n">
        <v>240000</v>
      </c>
      <c r="J14" s="20" t="inlineStr">
        <is>
          <t>Exchange VIZAG</t>
        </is>
      </c>
      <c r="K14" s="20" t="inlineStr">
        <is>
          <t>Captive</t>
        </is>
      </c>
      <c r="L14" s="20" t="inlineStr">
        <is>
          <t>Raju Avaala</t>
        </is>
      </c>
      <c r="M14" s="23" t="n">
        <v>8474.58</v>
      </c>
      <c r="N14" s="23" t="n">
        <v>10000</v>
      </c>
      <c r="O14" s="24">
        <f>IF(AND(ISNUMBER(M14), ISNUMBER(I14), I14&gt;0), M14/I14, "")</f>
        <v/>
      </c>
    </row>
    <row r="15">
      <c r="A15" s="19" t="inlineStr">
        <is>
          <t>FY26</t>
        </is>
      </c>
      <c r="B15" s="19" t="inlineStr">
        <is>
          <t>Jan</t>
        </is>
      </c>
      <c r="C15" s="19" t="inlineStr">
        <is>
          <t>AP/TS</t>
        </is>
      </c>
      <c r="D15" s="20" t="inlineStr">
        <is>
          <t>AP31EP0888</t>
        </is>
      </c>
      <c r="E15" s="20" t="inlineStr">
        <is>
          <t>HONDA</t>
        </is>
      </c>
      <c r="F15" s="20" t="inlineStr">
        <is>
          <t>Amaze</t>
        </is>
      </c>
      <c r="G15" s="21" t="n">
        <v>2018</v>
      </c>
      <c r="H15" s="22" t="n">
        <v>85923</v>
      </c>
      <c r="I15" s="23" t="n">
        <v>400000</v>
      </c>
      <c r="J15" s="20" t="inlineStr">
        <is>
          <t>Exchange VIZAG</t>
        </is>
      </c>
      <c r="K15" s="20" t="inlineStr">
        <is>
          <t>Captive</t>
        </is>
      </c>
      <c r="L15" s="20" t="inlineStr">
        <is>
          <t>Kaki Dinesh Kumar</t>
        </is>
      </c>
      <c r="M15" s="23" t="n">
        <v>12711.86</v>
      </c>
      <c r="N15" s="23" t="n">
        <v>15000</v>
      </c>
      <c r="O15" s="24">
        <f>IF(AND(ISNUMBER(M15), ISNUMBER(I15), I15&gt;0), M15/I15, "")</f>
        <v/>
      </c>
    </row>
    <row r="16">
      <c r="A16" s="19" t="inlineStr">
        <is>
          <t>FY26</t>
        </is>
      </c>
      <c r="B16" s="19" t="inlineStr">
        <is>
          <t>Jan</t>
        </is>
      </c>
      <c r="C16" s="19" t="inlineStr">
        <is>
          <t>AP/TS</t>
        </is>
      </c>
      <c r="D16" s="20" t="inlineStr">
        <is>
          <t>AP39HD1137</t>
        </is>
      </c>
      <c r="E16" s="20" t="inlineStr">
        <is>
          <t>MARUTI SUZUKI</t>
        </is>
      </c>
      <c r="F16" s="20" t="inlineStr">
        <is>
          <t>Swift</t>
        </is>
      </c>
      <c r="G16" s="21" t="n">
        <v>2020</v>
      </c>
      <c r="H16" s="22" t="n">
        <v>74111</v>
      </c>
      <c r="I16" s="23" t="n">
        <v>470000</v>
      </c>
      <c r="J16" s="20" t="inlineStr">
        <is>
          <t>Exchange VIJAYAWADA</t>
        </is>
      </c>
      <c r="K16" s="20" t="inlineStr">
        <is>
          <t>Captive</t>
        </is>
      </c>
      <c r="L16" s="20" t="inlineStr">
        <is>
          <t>Chegudi Manoj Kumar</t>
        </is>
      </c>
      <c r="M16" s="23" t="n">
        <v>8474.58</v>
      </c>
      <c r="N16" s="23" t="n">
        <v>10000</v>
      </c>
      <c r="O16" s="24">
        <f>IF(AND(ISNUMBER(M16), ISNUMBER(I16), I16&gt;0), M16/I16, "")</f>
        <v/>
      </c>
    </row>
    <row r="17">
      <c r="A17" s="19" t="inlineStr">
        <is>
          <t>FY26</t>
        </is>
      </c>
      <c r="B17" s="19" t="inlineStr">
        <is>
          <t>Jan</t>
        </is>
      </c>
      <c r="C17" s="19" t="inlineStr">
        <is>
          <t>AP/TS</t>
        </is>
      </c>
      <c r="D17" s="20" t="inlineStr">
        <is>
          <t>AP16BV0162</t>
        </is>
      </c>
      <c r="E17" s="20" t="inlineStr">
        <is>
          <t>MARUTI SUZUKI</t>
        </is>
      </c>
      <c r="F17" s="20" t="inlineStr">
        <is>
          <t>Alto</t>
        </is>
      </c>
      <c r="G17" s="21" t="n">
        <v>2011</v>
      </c>
      <c r="H17" s="22" t="n">
        <v>165112</v>
      </c>
      <c r="I17" s="23" t="n">
        <v>30000</v>
      </c>
      <c r="J17" s="20" t="inlineStr">
        <is>
          <t>Guthi Ravi Krishna</t>
        </is>
      </c>
      <c r="K17" s="20" t="inlineStr">
        <is>
          <t>Non-Captive</t>
        </is>
      </c>
      <c r="L17" s="20" t="inlineStr">
        <is>
          <t>Chegudi Manoj Kumar</t>
        </is>
      </c>
      <c r="M17" s="23" t="n">
        <v>4237.29</v>
      </c>
      <c r="N17" s="23" t="n">
        <v>5000</v>
      </c>
      <c r="O17" s="24">
        <f>IF(AND(ISNUMBER(M17), ISNUMBER(I17), I17&gt;0), M17/I17, "")</f>
        <v/>
      </c>
    </row>
    <row r="18">
      <c r="A18" s="19" t="inlineStr">
        <is>
          <t>FY26</t>
        </is>
      </c>
      <c r="B18" s="19" t="inlineStr">
        <is>
          <t>Jan</t>
        </is>
      </c>
      <c r="C18" s="19" t="inlineStr">
        <is>
          <t>AP/TS</t>
        </is>
      </c>
      <c r="D18" s="20" t="inlineStr">
        <is>
          <t>AP10AL9385</t>
        </is>
      </c>
      <c r="E18" s="20" t="inlineStr">
        <is>
          <t>HONDA</t>
        </is>
      </c>
      <c r="F18" s="20" t="inlineStr">
        <is>
          <t>City</t>
        </is>
      </c>
      <c r="G18" s="21" t="n">
        <v>2007</v>
      </c>
      <c r="H18" s="22" t="n">
        <v>88432</v>
      </c>
      <c r="I18" s="23" t="n">
        <v>85000</v>
      </c>
      <c r="J18" s="20" t="inlineStr">
        <is>
          <t>Exchange HYDERABAD</t>
        </is>
      </c>
      <c r="K18" s="20" t="inlineStr">
        <is>
          <t>Captive</t>
        </is>
      </c>
      <c r="L18" s="20" t="inlineStr">
        <is>
          <t>Bukya Santhosh Naik</t>
        </is>
      </c>
      <c r="M18" s="23" t="n">
        <v>4237.29</v>
      </c>
      <c r="N18" s="23" t="n">
        <v>5000</v>
      </c>
      <c r="O18" s="24">
        <f>IF(AND(ISNUMBER(M18), ISNUMBER(I18), I18&gt;0), M18/I18, "")</f>
        <v/>
      </c>
    </row>
    <row r="19">
      <c r="A19" s="19" t="inlineStr">
        <is>
          <t>FY26</t>
        </is>
      </c>
      <c r="B19" s="19" t="inlineStr">
        <is>
          <t>Jan</t>
        </is>
      </c>
      <c r="C19" s="19" t="inlineStr">
        <is>
          <t>AP/TS</t>
        </is>
      </c>
      <c r="D19" s="20" t="inlineStr">
        <is>
          <t>AP29AE8713</t>
        </is>
      </c>
      <c r="E19" s="20" t="inlineStr">
        <is>
          <t>CHEVROLET</t>
        </is>
      </c>
      <c r="F19" s="20" t="inlineStr">
        <is>
          <t>Aveo</t>
        </is>
      </c>
      <c r="G19" s="21" t="n">
        <v>2008</v>
      </c>
      <c r="H19" s="22" t="n">
        <v>186084</v>
      </c>
      <c r="I19" s="23" t="n">
        <v>25000</v>
      </c>
      <c r="J19" s="20" t="inlineStr">
        <is>
          <t>Puneet Gupta</t>
        </is>
      </c>
      <c r="K19" s="20" t="inlineStr">
        <is>
          <t>Non-Captive</t>
        </is>
      </c>
      <c r="L19" s="20" t="inlineStr">
        <is>
          <t>Bukya Santhosh Naik</t>
        </is>
      </c>
      <c r="M19" s="23" t="n">
        <v>4237.29</v>
      </c>
      <c r="N19" s="23" t="n">
        <v>5000</v>
      </c>
      <c r="O19" s="24">
        <f>IF(AND(ISNUMBER(M19), ISNUMBER(I19), I19&gt;0), M19/I19, "")</f>
        <v/>
      </c>
    </row>
    <row r="20">
      <c r="A20" s="19" t="inlineStr">
        <is>
          <t>FY26</t>
        </is>
      </c>
      <c r="B20" s="19" t="inlineStr">
        <is>
          <t>Jan</t>
        </is>
      </c>
      <c r="C20" s="19" t="inlineStr">
        <is>
          <t>AP/TS</t>
        </is>
      </c>
      <c r="D20" s="20" t="inlineStr">
        <is>
          <t>AP07DD7494</t>
        </is>
      </c>
      <c r="E20" s="20" t="inlineStr">
        <is>
          <t>HONDA</t>
        </is>
      </c>
      <c r="F20" s="20" t="inlineStr">
        <is>
          <t>Mobilio</t>
        </is>
      </c>
      <c r="G20" s="21" t="n">
        <v>2016</v>
      </c>
      <c r="H20" s="22" t="n">
        <v>199205</v>
      </c>
      <c r="I20" s="23" t="n">
        <v>245000</v>
      </c>
      <c r="J20" s="20" t="inlineStr">
        <is>
          <t>Exchange VIJAYAWADA</t>
        </is>
      </c>
      <c r="K20" s="20" t="inlineStr">
        <is>
          <t>Captive</t>
        </is>
      </c>
      <c r="L20" s="20" t="inlineStr">
        <is>
          <t>Mohammed Gouse Basha</t>
        </is>
      </c>
      <c r="M20" s="23" t="n">
        <v>12711.86</v>
      </c>
      <c r="N20" s="23" t="n">
        <v>15000</v>
      </c>
      <c r="O20" s="24">
        <f>IF(AND(ISNUMBER(M20), ISNUMBER(I20), I20&gt;0), M20/I20, "")</f>
        <v/>
      </c>
    </row>
    <row r="21">
      <c r="A21" s="19" t="inlineStr">
        <is>
          <t>FY26</t>
        </is>
      </c>
      <c r="B21" s="19" t="inlineStr">
        <is>
          <t>Jan</t>
        </is>
      </c>
      <c r="C21" s="19" t="inlineStr">
        <is>
          <t>AP/TS</t>
        </is>
      </c>
      <c r="D21" s="20" t="inlineStr">
        <is>
          <t>AP31CW6624</t>
        </is>
      </c>
      <c r="E21" s="20" t="inlineStr">
        <is>
          <t>MARUTI SUZUKI</t>
        </is>
      </c>
      <c r="F21" s="20" t="inlineStr">
        <is>
          <t>Swift</t>
        </is>
      </c>
      <c r="G21" s="21" t="n">
        <v>2015</v>
      </c>
      <c r="H21" s="22" t="n">
        <v>87102</v>
      </c>
      <c r="I21" s="23" t="n">
        <v>245000</v>
      </c>
      <c r="J21" s="20" t="inlineStr">
        <is>
          <t>Exchange VIZAG</t>
        </is>
      </c>
      <c r="K21" s="20" t="inlineStr">
        <is>
          <t>Captive</t>
        </is>
      </c>
      <c r="L21" s="20" t="inlineStr">
        <is>
          <t>Arnipalli Dhananjay Naidu</t>
        </is>
      </c>
      <c r="M21" s="23" t="n">
        <v>4237.29</v>
      </c>
      <c r="N21" s="23" t="n">
        <v>5000</v>
      </c>
      <c r="O21" s="24">
        <f>IF(AND(ISNUMBER(M21), ISNUMBER(I21), I21&gt;0), M21/I21, "")</f>
        <v/>
      </c>
    </row>
    <row r="22">
      <c r="A22" s="19" t="inlineStr">
        <is>
          <t>FY26</t>
        </is>
      </c>
      <c r="B22" s="19" t="inlineStr">
        <is>
          <t>Jan</t>
        </is>
      </c>
      <c r="C22" s="19" t="inlineStr">
        <is>
          <t>AP/TS</t>
        </is>
      </c>
      <c r="D22" s="20" t="inlineStr">
        <is>
          <t>AP28AX1997</t>
        </is>
      </c>
      <c r="E22" s="20" t="inlineStr">
        <is>
          <t>HONDA</t>
        </is>
      </c>
      <c r="F22" s="20" t="inlineStr">
        <is>
          <t>City</t>
        </is>
      </c>
      <c r="G22" s="21" t="n">
        <v>2007</v>
      </c>
      <c r="H22" s="22" t="n">
        <v>77768</v>
      </c>
      <c r="I22" s="23" t="n">
        <v>100000</v>
      </c>
      <c r="J22" s="20" t="inlineStr">
        <is>
          <t>Exchange HYDERABAD</t>
        </is>
      </c>
      <c r="K22" s="20" t="inlineStr">
        <is>
          <t>Captive</t>
        </is>
      </c>
      <c r="L22" s="20" t="inlineStr">
        <is>
          <t>MD Shakeeluddin</t>
        </is>
      </c>
      <c r="M22" s="23" t="n">
        <v>8474.58</v>
      </c>
      <c r="N22" s="23" t="n">
        <v>10000</v>
      </c>
      <c r="O22" s="24">
        <f>IF(AND(ISNUMBER(M22), ISNUMBER(I22), I22&gt;0), M22/I22, "")</f>
        <v/>
      </c>
    </row>
    <row r="23">
      <c r="A23" s="19" t="inlineStr">
        <is>
          <t>FY26</t>
        </is>
      </c>
      <c r="B23" s="19" t="inlineStr">
        <is>
          <t>Jan</t>
        </is>
      </c>
      <c r="C23" s="19" t="inlineStr">
        <is>
          <t>AP/TS</t>
        </is>
      </c>
      <c r="D23" s="20" t="inlineStr">
        <is>
          <t>AP31CW1910</t>
        </is>
      </c>
      <c r="E23" s="20" t="inlineStr">
        <is>
          <t>HYUNDAI</t>
        </is>
      </c>
      <c r="F23" s="20" t="inlineStr">
        <is>
          <t>I10</t>
        </is>
      </c>
      <c r="G23" s="21" t="n">
        <v>2015</v>
      </c>
      <c r="H23" s="22" t="n">
        <v>34140</v>
      </c>
      <c r="I23" s="23" t="n">
        <v>225000</v>
      </c>
      <c r="J23" s="20" t="inlineStr">
        <is>
          <t>Exchange VIZAG</t>
        </is>
      </c>
      <c r="K23" s="20" t="inlineStr">
        <is>
          <t>Captive</t>
        </is>
      </c>
      <c r="L23" s="20" t="inlineStr">
        <is>
          <t>Avaala Raju</t>
        </is>
      </c>
      <c r="M23" s="23" t="n">
        <v>4237.29</v>
      </c>
      <c r="N23" s="23" t="n">
        <v>5000</v>
      </c>
      <c r="O23" s="24">
        <f>IF(AND(ISNUMBER(M23), ISNUMBER(I23), I23&gt;0), M23/I23, "")</f>
        <v/>
      </c>
    </row>
    <row r="24">
      <c r="A24" s="19" t="inlineStr">
        <is>
          <t>FY26</t>
        </is>
      </c>
      <c r="B24" s="19" t="inlineStr">
        <is>
          <t>Jan</t>
        </is>
      </c>
      <c r="C24" s="19" t="inlineStr">
        <is>
          <t>AP/TS</t>
        </is>
      </c>
      <c r="D24" s="20" t="inlineStr">
        <is>
          <t>AP39MQ7824</t>
        </is>
      </c>
      <c r="E24" s="20" t="inlineStr">
        <is>
          <t>TATA</t>
        </is>
      </c>
      <c r="F24" s="20" t="inlineStr">
        <is>
          <t>Tiago</t>
        </is>
      </c>
      <c r="G24" s="21" t="n">
        <v>2022</v>
      </c>
      <c r="H24" s="22" t="n">
        <v>34768</v>
      </c>
      <c r="I24" s="23" t="n">
        <v>365000</v>
      </c>
      <c r="J24" s="20" t="inlineStr">
        <is>
          <t>Exchange VIJAYAWADA</t>
        </is>
      </c>
      <c r="K24" s="20" t="inlineStr">
        <is>
          <t>Captive</t>
        </is>
      </c>
      <c r="L24" s="20" t="inlineStr">
        <is>
          <t>Suresh Ginjupalli</t>
        </is>
      </c>
      <c r="M24" s="23" t="n">
        <v>8474.58</v>
      </c>
      <c r="N24" s="23" t="n">
        <v>10000</v>
      </c>
      <c r="O24" s="24">
        <f>IF(AND(ISNUMBER(M24), ISNUMBER(I24), I24&gt;0), M24/I24, "")</f>
        <v/>
      </c>
    </row>
    <row r="25">
      <c r="A25" s="19" t="inlineStr">
        <is>
          <t>FY26</t>
        </is>
      </c>
      <c r="B25" s="19" t="inlineStr">
        <is>
          <t>Jan</t>
        </is>
      </c>
      <c r="C25" s="19" t="inlineStr">
        <is>
          <t>AP/TS</t>
        </is>
      </c>
      <c r="D25" s="20" t="inlineStr">
        <is>
          <t>TS07FP7214</t>
        </is>
      </c>
      <c r="E25" s="20" t="inlineStr">
        <is>
          <t>RENAULT</t>
        </is>
      </c>
      <c r="F25" s="20" t="inlineStr">
        <is>
          <t>Kwid</t>
        </is>
      </c>
      <c r="G25" s="21" t="n">
        <v>2017</v>
      </c>
      <c r="H25" s="22" t="n">
        <v>58144</v>
      </c>
      <c r="I25" s="23" t="n">
        <v>182500</v>
      </c>
      <c r="J25" s="20" t="inlineStr">
        <is>
          <t>Exchange HYDERABAD</t>
        </is>
      </c>
      <c r="K25" s="20" t="inlineStr">
        <is>
          <t>Captive</t>
        </is>
      </c>
      <c r="L25" s="20" t="inlineStr">
        <is>
          <t>Abdul Mugees</t>
        </is>
      </c>
      <c r="M25" s="23" t="n">
        <v>4237.29</v>
      </c>
      <c r="N25" s="23" t="n">
        <v>5000</v>
      </c>
      <c r="O25" s="24">
        <f>IF(AND(ISNUMBER(M25), ISNUMBER(I25), I25&gt;0), M25/I25, "")</f>
        <v/>
      </c>
    </row>
    <row r="26">
      <c r="A26" s="19" t="inlineStr">
        <is>
          <t>FY26</t>
        </is>
      </c>
      <c r="B26" s="19" t="inlineStr">
        <is>
          <t>Jan</t>
        </is>
      </c>
      <c r="C26" s="19" t="inlineStr">
        <is>
          <t>AP/TS</t>
        </is>
      </c>
      <c r="D26" s="20" t="inlineStr">
        <is>
          <t>AP09CE0212</t>
        </is>
      </c>
      <c r="E26" s="20" t="inlineStr">
        <is>
          <t>HONDA</t>
        </is>
      </c>
      <c r="F26" s="20" t="inlineStr">
        <is>
          <t>Cr-V</t>
        </is>
      </c>
      <c r="G26" s="21" t="n">
        <v>2011</v>
      </c>
      <c r="H26" s="22" t="n">
        <v>130600</v>
      </c>
      <c r="I26" s="23" t="n">
        <v>140000</v>
      </c>
      <c r="J26" s="20" t="inlineStr">
        <is>
          <t>Exchange VIJAYAWADA</t>
        </is>
      </c>
      <c r="K26" s="20" t="inlineStr">
        <is>
          <t>Captive</t>
        </is>
      </c>
      <c r="L26" s="20" t="inlineStr">
        <is>
          <t>Guthi Ravi Krishna</t>
        </is>
      </c>
      <c r="M26" s="23" t="n">
        <v>8474.58</v>
      </c>
      <c r="N26" s="23" t="n">
        <v>10000</v>
      </c>
      <c r="O26" s="24">
        <f>IF(AND(ISNUMBER(M26), ISNUMBER(I26), I26&gt;0), M26/I26, "")</f>
        <v/>
      </c>
    </row>
    <row r="27">
      <c r="A27" s="19" t="inlineStr">
        <is>
          <t>FY26</t>
        </is>
      </c>
      <c r="B27" s="19" t="inlineStr">
        <is>
          <t>Jan</t>
        </is>
      </c>
      <c r="C27" s="19" t="inlineStr">
        <is>
          <t>AP/TS</t>
        </is>
      </c>
      <c r="D27" s="20" t="inlineStr">
        <is>
          <t>AP16CP8889</t>
        </is>
      </c>
      <c r="E27" s="20" t="inlineStr">
        <is>
          <t>CHEVROLET</t>
        </is>
      </c>
      <c r="F27" s="20" t="inlineStr">
        <is>
          <t>Beat</t>
        </is>
      </c>
      <c r="G27" s="21" t="n">
        <v>2014</v>
      </c>
      <c r="H27" s="22" t="n">
        <v>135304</v>
      </c>
      <c r="I27" s="23" t="n">
        <v>80000</v>
      </c>
      <c r="J27" s="20" t="inlineStr">
        <is>
          <t>T Srinivas</t>
        </is>
      </c>
      <c r="K27" s="20" t="inlineStr">
        <is>
          <t>Non-Captive</t>
        </is>
      </c>
      <c r="L27" s="20" t="inlineStr">
        <is>
          <t>Guthi Ravi Krishna</t>
        </is>
      </c>
      <c r="M27" s="23" t="n">
        <v>4237.29</v>
      </c>
      <c r="N27" s="23" t="n">
        <v>5000</v>
      </c>
      <c r="O27" s="24">
        <f>IF(AND(ISNUMBER(M27), ISNUMBER(I27), I27&gt;0), M27/I27, "")</f>
        <v/>
      </c>
    </row>
    <row r="28">
      <c r="A28" s="19" t="inlineStr">
        <is>
          <t>FY26</t>
        </is>
      </c>
      <c r="B28" s="19" t="inlineStr">
        <is>
          <t>Jan</t>
        </is>
      </c>
      <c r="C28" s="19" t="inlineStr">
        <is>
          <t>AP/TS</t>
        </is>
      </c>
      <c r="D28" s="20" t="inlineStr">
        <is>
          <t>AP09BT2344</t>
        </is>
      </c>
      <c r="E28" s="20" t="inlineStr">
        <is>
          <t>SKODA</t>
        </is>
      </c>
      <c r="F28" s="20" t="inlineStr">
        <is>
          <t>Octovia</t>
        </is>
      </c>
      <c r="G28" s="21" t="n">
        <v>2008</v>
      </c>
      <c r="H28" s="22" t="n">
        <v>194525</v>
      </c>
      <c r="I28" s="23" t="n">
        <v>35000</v>
      </c>
      <c r="J28" s="20" t="inlineStr">
        <is>
          <t>T Srinivas</t>
        </is>
      </c>
      <c r="K28" s="20" t="inlineStr">
        <is>
          <t>Non-Captive</t>
        </is>
      </c>
      <c r="L28" s="20" t="inlineStr">
        <is>
          <t>B Tirumala Rao</t>
        </is>
      </c>
      <c r="M28" s="23" t="n">
        <v>4237.29</v>
      </c>
      <c r="N28" s="23" t="n">
        <v>5000</v>
      </c>
      <c r="O28" s="24">
        <f>IF(AND(ISNUMBER(M28), ISNUMBER(I28), I28&gt;0), M28/I28, "")</f>
        <v/>
      </c>
    </row>
    <row r="29">
      <c r="A29" s="19" t="inlineStr">
        <is>
          <t>FY26</t>
        </is>
      </c>
      <c r="B29" s="19" t="inlineStr">
        <is>
          <t>Jan</t>
        </is>
      </c>
      <c r="C29" s="19" t="inlineStr">
        <is>
          <t>AP/TS</t>
        </is>
      </c>
      <c r="D29" s="20" t="inlineStr">
        <is>
          <t>AP37AQ9009</t>
        </is>
      </c>
      <c r="E29" s="20" t="inlineStr">
        <is>
          <t>SKODA</t>
        </is>
      </c>
      <c r="F29" s="20" t="inlineStr">
        <is>
          <t>Laura</t>
        </is>
      </c>
      <c r="G29" s="21" t="n">
        <v>2007</v>
      </c>
      <c r="H29" s="22" t="n">
        <v>195828</v>
      </c>
      <c r="I29" s="23" t="n">
        <v>35000</v>
      </c>
      <c r="J29" s="20" t="inlineStr">
        <is>
          <t>T Srinivas</t>
        </is>
      </c>
      <c r="K29" s="20" t="inlineStr">
        <is>
          <t>Non-Captive</t>
        </is>
      </c>
      <c r="L29" s="20" t="inlineStr">
        <is>
          <t>Bhanu Chandar Singaraju</t>
        </is>
      </c>
      <c r="M29" s="23" t="n">
        <v>4237.29</v>
      </c>
      <c r="N29" s="23" t="n">
        <v>5000</v>
      </c>
      <c r="O29" s="24">
        <f>IF(AND(ISNUMBER(M29), ISNUMBER(I29), I29&gt;0), M29/I29, "")</f>
        <v/>
      </c>
    </row>
    <row r="30">
      <c r="A30" s="19" t="inlineStr">
        <is>
          <t>FY26</t>
        </is>
      </c>
      <c r="B30" s="19" t="inlineStr">
        <is>
          <t>Jan</t>
        </is>
      </c>
      <c r="C30" s="19" t="inlineStr">
        <is>
          <t>AP/TS</t>
        </is>
      </c>
      <c r="D30" s="20" t="inlineStr">
        <is>
          <t>AP07BR3348</t>
        </is>
      </c>
      <c r="E30" s="20" t="inlineStr">
        <is>
          <t>CHEVROLET</t>
        </is>
      </c>
      <c r="F30" s="20" t="inlineStr">
        <is>
          <t>Sail</t>
        </is>
      </c>
      <c r="G30" s="21" t="n">
        <v>2013</v>
      </c>
      <c r="H30" s="22" t="n">
        <v>126802</v>
      </c>
      <c r="I30" s="23" t="n">
        <v>50000</v>
      </c>
      <c r="J30" s="20" t="inlineStr">
        <is>
          <t>T Srinivas</t>
        </is>
      </c>
      <c r="K30" s="20" t="inlineStr">
        <is>
          <t>Non-Captive</t>
        </is>
      </c>
      <c r="L30" s="20" t="inlineStr">
        <is>
          <t>Gopi Naga Raju</t>
        </is>
      </c>
      <c r="M30" s="23" t="n">
        <v>4237.29</v>
      </c>
      <c r="N30" s="23" t="n">
        <v>5000</v>
      </c>
      <c r="O30" s="24">
        <f>IF(AND(ISNUMBER(M30), ISNUMBER(I30), I30&gt;0), M30/I30, "")</f>
        <v/>
      </c>
    </row>
    <row r="31">
      <c r="A31" s="19" t="inlineStr">
        <is>
          <t>FY26</t>
        </is>
      </c>
      <c r="B31" s="19" t="inlineStr">
        <is>
          <t>Jan</t>
        </is>
      </c>
      <c r="C31" s="19" t="inlineStr">
        <is>
          <t>AP/TS</t>
        </is>
      </c>
      <c r="D31" s="20" t="inlineStr">
        <is>
          <t>AP28AW2416</t>
        </is>
      </c>
      <c r="E31" s="20" t="inlineStr">
        <is>
          <t>HONDA</t>
        </is>
      </c>
      <c r="F31" s="20" t="inlineStr">
        <is>
          <t>City</t>
        </is>
      </c>
      <c r="G31" s="21" t="n">
        <v>2007</v>
      </c>
      <c r="H31" s="22" t="n">
        <v>183256</v>
      </c>
      <c r="I31" s="23" t="n">
        <v>55000</v>
      </c>
      <c r="J31" s="20" t="inlineStr">
        <is>
          <t>T Srinivas</t>
        </is>
      </c>
      <c r="K31" s="20" t="inlineStr">
        <is>
          <t>Non-Captive</t>
        </is>
      </c>
      <c r="L31" s="20" t="inlineStr">
        <is>
          <t>Polukonda Naga Suresh</t>
        </is>
      </c>
      <c r="M31" s="23" t="n">
        <v>4237.29</v>
      </c>
      <c r="N31" s="23" t="n">
        <v>5000</v>
      </c>
      <c r="O31" s="24">
        <f>IF(AND(ISNUMBER(M31), ISNUMBER(I31), I31&gt;0), M31/I31, "")</f>
        <v/>
      </c>
    </row>
    <row r="32">
      <c r="A32" s="19" t="inlineStr">
        <is>
          <t>FY26</t>
        </is>
      </c>
      <c r="B32" s="19" t="inlineStr">
        <is>
          <t>Jan</t>
        </is>
      </c>
      <c r="C32" s="19" t="inlineStr">
        <is>
          <t>AP/TS</t>
        </is>
      </c>
      <c r="D32" s="20" t="inlineStr">
        <is>
          <t>AP27AS0036</t>
        </is>
      </c>
      <c r="E32" s="20" t="inlineStr">
        <is>
          <t>FORD</t>
        </is>
      </c>
      <c r="F32" s="20" t="inlineStr">
        <is>
          <t>Figo</t>
        </is>
      </c>
      <c r="G32" s="21" t="n">
        <v>2013</v>
      </c>
      <c r="H32" s="22" t="n">
        <v>137253</v>
      </c>
      <c r="I32" s="23" t="n">
        <v>45000</v>
      </c>
      <c r="J32" s="20" t="inlineStr">
        <is>
          <t>Exchange VIJAYAWADA</t>
        </is>
      </c>
      <c r="K32" s="20" t="inlineStr">
        <is>
          <t>Captive</t>
        </is>
      </c>
      <c r="L32" s="20" t="inlineStr">
        <is>
          <t>Shakeela Shaik</t>
        </is>
      </c>
      <c r="M32" s="23" t="n">
        <v>4237.29</v>
      </c>
      <c r="N32" s="23" t="n">
        <v>5000</v>
      </c>
      <c r="O32" s="24">
        <f>IF(AND(ISNUMBER(M32), ISNUMBER(I32), I32&gt;0), M32/I32, "")</f>
        <v/>
      </c>
    </row>
    <row r="33">
      <c r="A33" s="19" t="inlineStr">
        <is>
          <t>FY26</t>
        </is>
      </c>
      <c r="B33" s="19" t="inlineStr">
        <is>
          <t>Jan</t>
        </is>
      </c>
      <c r="C33" s="19" t="inlineStr">
        <is>
          <t>AP/TS</t>
        </is>
      </c>
      <c r="D33" s="20" t="inlineStr">
        <is>
          <t>AP16BM6678</t>
        </is>
      </c>
      <c r="E33" s="20" t="inlineStr">
        <is>
          <t>HONDA</t>
        </is>
      </c>
      <c r="F33" s="20" t="inlineStr">
        <is>
          <t>Jazz</t>
        </is>
      </c>
      <c r="G33" s="21" t="n">
        <v>2009</v>
      </c>
      <c r="H33" s="22" t="n">
        <v>197521</v>
      </c>
      <c r="I33" s="23" t="n">
        <v>85000</v>
      </c>
      <c r="J33" s="20" t="inlineStr">
        <is>
          <t>Chegudi Manoj Kumar</t>
        </is>
      </c>
      <c r="K33" s="20" t="inlineStr">
        <is>
          <t>Non-Captive</t>
        </is>
      </c>
      <c r="L33" s="20" t="inlineStr">
        <is>
          <t>Shakeela Shaik</t>
        </is>
      </c>
      <c r="M33" s="23" t="n">
        <v>4237.29</v>
      </c>
      <c r="N33" s="23" t="n">
        <v>5000</v>
      </c>
      <c r="O33" s="24">
        <f>IF(AND(ISNUMBER(M33), ISNUMBER(I33), I33&gt;0), M33/I33, "")</f>
        <v/>
      </c>
    </row>
    <row r="34">
      <c r="A34" s="19" t="inlineStr">
        <is>
          <t>FY26</t>
        </is>
      </c>
      <c r="B34" s="19" t="inlineStr">
        <is>
          <t>Jan</t>
        </is>
      </c>
      <c r="C34" s="19" t="inlineStr">
        <is>
          <t>AP/TS</t>
        </is>
      </c>
      <c r="D34" s="20" t="inlineStr">
        <is>
          <t>AP31AZ0333</t>
        </is>
      </c>
      <c r="E34" s="20" t="inlineStr">
        <is>
          <t>HYUNDAI</t>
        </is>
      </c>
      <c r="F34" s="20" t="inlineStr">
        <is>
          <t>Verna</t>
        </is>
      </c>
      <c r="G34" s="21" t="n">
        <v>2010</v>
      </c>
      <c r="H34" s="22" t="n">
        <v>178976</v>
      </c>
      <c r="I34" s="23" t="n">
        <v>75000</v>
      </c>
      <c r="J34" s="20" t="inlineStr">
        <is>
          <t>Exchange VIZAG</t>
        </is>
      </c>
      <c r="K34" s="20" t="inlineStr">
        <is>
          <t>Captive</t>
        </is>
      </c>
      <c r="L34" s="20" t="inlineStr">
        <is>
          <t>Ravikanth Pentakota</t>
        </is>
      </c>
      <c r="M34" s="23" t="n">
        <v>4237.29</v>
      </c>
      <c r="N34" s="23" t="n">
        <v>5000</v>
      </c>
      <c r="O34" s="24">
        <f>IF(AND(ISNUMBER(M34), ISNUMBER(I34), I34&gt;0), M34/I34, "")</f>
        <v/>
      </c>
    </row>
    <row r="35">
      <c r="A35" s="19" t="inlineStr">
        <is>
          <t>FY26</t>
        </is>
      </c>
      <c r="B35" s="19" t="inlineStr">
        <is>
          <t>Jan</t>
        </is>
      </c>
      <c r="C35" s="19" t="inlineStr">
        <is>
          <t>AP/TS</t>
        </is>
      </c>
      <c r="D35" s="20" t="inlineStr">
        <is>
          <t>AP10AX2989</t>
        </is>
      </c>
      <c r="E35" s="20" t="inlineStr">
        <is>
          <t>HONDA</t>
        </is>
      </c>
      <c r="F35" s="20" t="inlineStr">
        <is>
          <t>City</t>
        </is>
      </c>
      <c r="G35" s="21" t="n">
        <v>2011</v>
      </c>
      <c r="H35" s="22" t="n">
        <v>180034</v>
      </c>
      <c r="I35" s="23" t="n">
        <v>160000</v>
      </c>
      <c r="J35" s="20" t="inlineStr">
        <is>
          <t>Exchange HYDERABAD</t>
        </is>
      </c>
      <c r="K35" s="20" t="inlineStr">
        <is>
          <t>Captive</t>
        </is>
      </c>
      <c r="L35" s="20" t="inlineStr">
        <is>
          <t>Uppari Sandeep Kumar</t>
        </is>
      </c>
      <c r="M35" s="23" t="n">
        <v>8474.58</v>
      </c>
      <c r="N35" s="23" t="n">
        <v>10000</v>
      </c>
      <c r="O35" s="24">
        <f>IF(AND(ISNUMBER(M35), ISNUMBER(I35), I35&gt;0), M35/I35, "")</f>
        <v/>
      </c>
    </row>
    <row r="36">
      <c r="A36" s="19" t="inlineStr">
        <is>
          <t>FY26</t>
        </is>
      </c>
      <c r="B36" s="19" t="inlineStr">
        <is>
          <t>Jan</t>
        </is>
      </c>
      <c r="C36" s="19" t="inlineStr">
        <is>
          <t>AP/TS</t>
        </is>
      </c>
      <c r="D36" s="20" t="inlineStr">
        <is>
          <t>AP29AB6696</t>
        </is>
      </c>
      <c r="E36" s="20" t="inlineStr">
        <is>
          <t>HONDA</t>
        </is>
      </c>
      <c r="F36" s="20" t="inlineStr">
        <is>
          <t>City</t>
        </is>
      </c>
      <c r="G36" s="21" t="n">
        <v>2007</v>
      </c>
      <c r="H36" s="22" t="n">
        <v>168257</v>
      </c>
      <c r="I36" s="23" t="n">
        <v>55000</v>
      </c>
      <c r="J36" s="20" t="inlineStr">
        <is>
          <t>Puneet Gupta</t>
        </is>
      </c>
      <c r="K36" s="20" t="inlineStr">
        <is>
          <t>Non-Captive</t>
        </is>
      </c>
      <c r="L36" s="20" t="inlineStr">
        <is>
          <t>Uppari Sandeep Kumar</t>
        </is>
      </c>
      <c r="M36" s="23" t="n">
        <v>4237.29</v>
      </c>
      <c r="N36" s="23" t="n">
        <v>5000</v>
      </c>
      <c r="O36" s="24">
        <f>IF(AND(ISNUMBER(M36), ISNUMBER(I36), I36&gt;0), M36/I36, "")</f>
        <v/>
      </c>
    </row>
    <row r="37">
      <c r="A37" s="19" t="inlineStr">
        <is>
          <t>FY26</t>
        </is>
      </c>
      <c r="B37" s="19" t="inlineStr">
        <is>
          <t>Jan</t>
        </is>
      </c>
      <c r="C37" s="19" t="inlineStr">
        <is>
          <t>AP/TS</t>
        </is>
      </c>
      <c r="D37" s="20" t="inlineStr">
        <is>
          <t>AP09BZ0630</t>
        </is>
      </c>
      <c r="E37" s="20" t="inlineStr">
        <is>
          <t>MARUTI SUZUKI</t>
        </is>
      </c>
      <c r="F37" s="20" t="inlineStr">
        <is>
          <t>Alto</t>
        </is>
      </c>
      <c r="G37" s="21" t="n">
        <v>2010</v>
      </c>
      <c r="H37" s="22" t="n">
        <v>159810</v>
      </c>
      <c r="I37" s="23" t="n">
        <v>50000</v>
      </c>
      <c r="J37" s="20" t="inlineStr">
        <is>
          <t>Puneet Gupta</t>
        </is>
      </c>
      <c r="K37" s="20" t="inlineStr">
        <is>
          <t>Non-Captive</t>
        </is>
      </c>
      <c r="L37" s="20" t="inlineStr">
        <is>
          <t>Uppari Sandeep Kumar</t>
        </is>
      </c>
      <c r="M37" s="23" t="n">
        <v>4237.29</v>
      </c>
      <c r="N37" s="23" t="n">
        <v>5000</v>
      </c>
      <c r="O37" s="24">
        <f>IF(AND(ISNUMBER(M37), ISNUMBER(I37), I37&gt;0), M37/I37, "")</f>
        <v/>
      </c>
    </row>
    <row r="38">
      <c r="A38" s="19" t="inlineStr">
        <is>
          <t>FY26</t>
        </is>
      </c>
      <c r="B38" s="19" t="inlineStr">
        <is>
          <t>Jan</t>
        </is>
      </c>
      <c r="C38" s="19" t="inlineStr">
        <is>
          <t>AP/TS</t>
        </is>
      </c>
      <c r="D38" s="20" t="inlineStr">
        <is>
          <t>AP29AK2760</t>
        </is>
      </c>
      <c r="E38" s="20" t="inlineStr">
        <is>
          <t>MARUTI SUZUKI</t>
        </is>
      </c>
      <c r="F38" s="20" t="inlineStr">
        <is>
          <t>Wagon R</t>
        </is>
      </c>
      <c r="G38" s="21" t="n">
        <v>2009</v>
      </c>
      <c r="H38" s="22" t="n">
        <v>126463</v>
      </c>
      <c r="I38" s="23" t="n">
        <v>65000</v>
      </c>
      <c r="J38" s="20" t="inlineStr">
        <is>
          <t>Puneet Gupta</t>
        </is>
      </c>
      <c r="K38" s="20" t="inlineStr">
        <is>
          <t>Non-Captive</t>
        </is>
      </c>
      <c r="L38" s="20" t="inlineStr">
        <is>
          <t>Uppari Sandeep Kumar</t>
        </is>
      </c>
      <c r="M38" s="23" t="n">
        <v>4237.29</v>
      </c>
      <c r="N38" s="23" t="n">
        <v>5000</v>
      </c>
      <c r="O38" s="24">
        <f>IF(AND(ISNUMBER(M38), ISNUMBER(I38), I38&gt;0), M38/I38, "")</f>
        <v/>
      </c>
    </row>
    <row r="39">
      <c r="A39" s="19" t="inlineStr">
        <is>
          <t>FY26</t>
        </is>
      </c>
      <c r="B39" s="19" t="inlineStr">
        <is>
          <t>Jan</t>
        </is>
      </c>
      <c r="C39" s="19" t="inlineStr">
        <is>
          <t>AP/TS</t>
        </is>
      </c>
      <c r="D39" s="20" t="inlineStr">
        <is>
          <t>TS11EW5291</t>
        </is>
      </c>
      <c r="E39" s="20" t="inlineStr">
        <is>
          <t>RENAULT</t>
        </is>
      </c>
      <c r="F39" s="20" t="inlineStr">
        <is>
          <t>Kiger</t>
        </is>
      </c>
      <c r="G39" s="21" t="n">
        <v>2021</v>
      </c>
      <c r="H39" s="22" t="n">
        <v>40558</v>
      </c>
      <c r="I39" s="23" t="n">
        <v>425000</v>
      </c>
      <c r="J39" s="20" t="inlineStr">
        <is>
          <t>Exchange HYDERABAD</t>
        </is>
      </c>
      <c r="K39" s="20" t="inlineStr">
        <is>
          <t>Captive</t>
        </is>
      </c>
      <c r="L39" s="20" t="inlineStr">
        <is>
          <t>Odapally Sandeep</t>
        </is>
      </c>
      <c r="M39" s="23" t="n">
        <v>4237.29</v>
      </c>
      <c r="N39" s="23" t="n">
        <v>5000</v>
      </c>
      <c r="O39" s="24">
        <f>IF(AND(ISNUMBER(M39), ISNUMBER(I39), I39&gt;0), M39/I39, "")</f>
        <v/>
      </c>
    </row>
    <row r="40">
      <c r="A40" s="19" t="inlineStr">
        <is>
          <t>FY26</t>
        </is>
      </c>
      <c r="B40" s="19" t="inlineStr">
        <is>
          <t>Jan</t>
        </is>
      </c>
      <c r="C40" s="19" t="inlineStr">
        <is>
          <t>AP/TS</t>
        </is>
      </c>
      <c r="D40" s="20" t="inlineStr">
        <is>
          <t>AP10BD2268</t>
        </is>
      </c>
      <c r="E40" s="20" t="inlineStr">
        <is>
          <t>NISSAN</t>
        </is>
      </c>
      <c r="F40" s="20" t="inlineStr">
        <is>
          <t>Sunny</t>
        </is>
      </c>
      <c r="G40" s="21" t="n">
        <v>2013</v>
      </c>
      <c r="H40" s="22" t="n">
        <v>117555</v>
      </c>
      <c r="I40" s="23" t="n">
        <v>155000</v>
      </c>
      <c r="J40" s="20" t="inlineStr">
        <is>
          <t>Exchange HYDERABAD</t>
        </is>
      </c>
      <c r="K40" s="20" t="inlineStr">
        <is>
          <t>Captive</t>
        </is>
      </c>
      <c r="L40" s="20" t="inlineStr">
        <is>
          <t>Odapally Sandeep</t>
        </is>
      </c>
      <c r="M40" s="23" t="n">
        <v>4237.29</v>
      </c>
      <c r="N40" s="23" t="n">
        <v>5000</v>
      </c>
      <c r="O40" s="24">
        <f>IF(AND(ISNUMBER(M40), ISNUMBER(I40), I40&gt;0), M40/I40, "")</f>
        <v/>
      </c>
    </row>
    <row r="41">
      <c r="A41" s="19" t="inlineStr">
        <is>
          <t>FY26</t>
        </is>
      </c>
      <c r="B41" s="19" t="inlineStr">
        <is>
          <t>Jan</t>
        </is>
      </c>
      <c r="C41" s="19" t="inlineStr">
        <is>
          <t>AP/TS</t>
        </is>
      </c>
      <c r="D41" s="20" t="inlineStr">
        <is>
          <t>AP29AA8034</t>
        </is>
      </c>
      <c r="E41" s="20" t="inlineStr">
        <is>
          <t>HYUNDAI</t>
        </is>
      </c>
      <c r="F41" s="20" t="inlineStr">
        <is>
          <t>Santro</t>
        </is>
      </c>
      <c r="G41" s="21" t="n">
        <v>2007</v>
      </c>
      <c r="H41" s="22" t="n">
        <v>89932</v>
      </c>
      <c r="I41" s="23" t="n">
        <v>85000</v>
      </c>
      <c r="J41" s="20" t="inlineStr">
        <is>
          <t>Exchange HYDERABAD</t>
        </is>
      </c>
      <c r="K41" s="20" t="inlineStr">
        <is>
          <t>Captive</t>
        </is>
      </c>
      <c r="L41" s="20" t="inlineStr">
        <is>
          <t>Odapally Sandeep</t>
        </is>
      </c>
      <c r="M41" s="23" t="n">
        <v>4237.29</v>
      </c>
      <c r="N41" s="23" t="n">
        <v>5000</v>
      </c>
      <c r="O41" s="24">
        <f>IF(AND(ISNUMBER(M41), ISNUMBER(I41), I41&gt;0), M41/I41, "")</f>
        <v/>
      </c>
    </row>
    <row r="42">
      <c r="A42" s="19" t="inlineStr">
        <is>
          <t>FY26</t>
        </is>
      </c>
      <c r="B42" s="19" t="inlineStr">
        <is>
          <t>Jan</t>
        </is>
      </c>
      <c r="C42" s="19" t="inlineStr">
        <is>
          <t>AP/TS</t>
        </is>
      </c>
      <c r="D42" s="20" t="inlineStr">
        <is>
          <t>AP39QR1645</t>
        </is>
      </c>
      <c r="E42" s="20" t="inlineStr">
        <is>
          <t>HONDA</t>
        </is>
      </c>
      <c r="F42" s="20" t="inlineStr">
        <is>
          <t>Wr-V</t>
        </is>
      </c>
      <c r="G42" s="21" t="n">
        <v>2022</v>
      </c>
      <c r="H42" s="22" t="n">
        <v>32037</v>
      </c>
      <c r="I42" s="23" t="n">
        <v>510000</v>
      </c>
      <c r="J42" s="20" t="inlineStr">
        <is>
          <t>Exchange VIJAYAWADA</t>
        </is>
      </c>
      <c r="K42" s="20" t="inlineStr">
        <is>
          <t>Captive</t>
        </is>
      </c>
      <c r="L42" s="20" t="inlineStr">
        <is>
          <t>D Avinash</t>
        </is>
      </c>
      <c r="M42" s="23" t="n">
        <v>8474.58</v>
      </c>
      <c r="N42" s="23" t="n">
        <v>10000</v>
      </c>
      <c r="O42" s="24">
        <f>IF(AND(ISNUMBER(M42), ISNUMBER(I42), I42&gt;0), M42/I42, "")</f>
        <v/>
      </c>
    </row>
    <row r="43">
      <c r="A43" s="19" t="inlineStr">
        <is>
          <t>FY26</t>
        </is>
      </c>
      <c r="B43" s="19" t="inlineStr">
        <is>
          <t>Jan</t>
        </is>
      </c>
      <c r="C43" s="19" t="inlineStr">
        <is>
          <t>AP/TS</t>
        </is>
      </c>
      <c r="D43" s="20" t="inlineStr">
        <is>
          <t>AP31GG1370</t>
        </is>
      </c>
      <c r="E43" s="20" t="inlineStr">
        <is>
          <t>MARUTI SUZUKI</t>
        </is>
      </c>
      <c r="F43" s="20" t="inlineStr">
        <is>
          <t>Alto</t>
        </is>
      </c>
      <c r="G43" s="21" t="n">
        <v>2013</v>
      </c>
      <c r="H43" s="22" t="n">
        <v>121072</v>
      </c>
      <c r="I43" s="23" t="n">
        <v>77000</v>
      </c>
      <c r="J43" s="20" t="inlineStr">
        <is>
          <t>Exchange VIZAG</t>
        </is>
      </c>
      <c r="K43" s="20" t="inlineStr">
        <is>
          <t>Captive</t>
        </is>
      </c>
      <c r="L43" s="20" t="inlineStr">
        <is>
          <t>K Sankar Rao</t>
        </is>
      </c>
      <c r="M43" s="23" t="n">
        <v>5932.2</v>
      </c>
      <c r="N43" s="23" t="n">
        <v>7000</v>
      </c>
      <c r="O43" s="24">
        <f>IF(AND(ISNUMBER(M43), ISNUMBER(I43), I43&gt;0), M43/I43, "")</f>
        <v/>
      </c>
    </row>
    <row r="44">
      <c r="A44" s="19" t="inlineStr">
        <is>
          <t>FY26</t>
        </is>
      </c>
      <c r="B44" s="19" t="inlineStr">
        <is>
          <t>Feb</t>
        </is>
      </c>
      <c r="C44" s="19" t="inlineStr">
        <is>
          <t>AP/TS</t>
        </is>
      </c>
      <c r="D44" s="20" t="inlineStr">
        <is>
          <t>AP31BP3355</t>
        </is>
      </c>
      <c r="E44" s="20" t="inlineStr">
        <is>
          <t>FIAT</t>
        </is>
      </c>
      <c r="F44" s="20" t="inlineStr">
        <is>
          <t>Linea</t>
        </is>
      </c>
      <c r="G44" s="21" t="n">
        <v>2011</v>
      </c>
      <c r="H44" s="22" t="n">
        <v>157689</v>
      </c>
      <c r="I44" s="23" t="n">
        <v>35000</v>
      </c>
      <c r="J44" s="20" t="inlineStr">
        <is>
          <t>Exchange VIZAG</t>
        </is>
      </c>
      <c r="K44" s="20" t="inlineStr">
        <is>
          <t>Captive</t>
        </is>
      </c>
      <c r="L44" s="20" t="inlineStr">
        <is>
          <t>Kaki Dinesh Kumar</t>
        </is>
      </c>
      <c r="M44" s="23" t="n">
        <v>4237.29</v>
      </c>
      <c r="N44" s="23" t="n">
        <v>5000</v>
      </c>
      <c r="O44" s="24">
        <f>IF(AND(ISNUMBER(M44), ISNUMBER(I44), I44&gt;0), M44/I44, "")</f>
        <v/>
      </c>
    </row>
    <row r="45">
      <c r="A45" s="19" t="inlineStr">
        <is>
          <t>FY26</t>
        </is>
      </c>
      <c r="B45" s="19" t="inlineStr">
        <is>
          <t>Feb</t>
        </is>
      </c>
      <c r="C45" s="19" t="inlineStr">
        <is>
          <t>AP/TS</t>
        </is>
      </c>
      <c r="D45" s="20" t="inlineStr">
        <is>
          <t>AP35J4689</t>
        </is>
      </c>
      <c r="E45" s="20" t="inlineStr">
        <is>
          <t>MARUTI SUZUKI</t>
        </is>
      </c>
      <c r="F45" s="20" t="inlineStr">
        <is>
          <t>A-Star</t>
        </is>
      </c>
      <c r="G45" s="21" t="n">
        <v>2009</v>
      </c>
      <c r="H45" s="22" t="n">
        <v>187320</v>
      </c>
      <c r="I45" s="23" t="n">
        <v>35000</v>
      </c>
      <c r="J45" s="20" t="inlineStr">
        <is>
          <t>Santhosh Kumar</t>
        </is>
      </c>
      <c r="K45" s="20" t="inlineStr">
        <is>
          <t>Non-Captive</t>
        </is>
      </c>
      <c r="L45" s="20" t="inlineStr">
        <is>
          <t>Kaki Dinesh Kumar</t>
        </is>
      </c>
      <c r="M45" s="23" t="n">
        <v>4237.29</v>
      </c>
      <c r="N45" s="23" t="n">
        <v>5000</v>
      </c>
      <c r="O45" s="24">
        <f>IF(AND(ISNUMBER(M45), ISNUMBER(I45), I45&gt;0), M45/I45, "")</f>
        <v/>
      </c>
    </row>
    <row r="46">
      <c r="A46" s="19" t="inlineStr">
        <is>
          <t>FY26</t>
        </is>
      </c>
      <c r="B46" s="19" t="inlineStr">
        <is>
          <t>Feb</t>
        </is>
      </c>
      <c r="C46" s="19" t="inlineStr">
        <is>
          <t>AP/TS</t>
        </is>
      </c>
      <c r="D46" s="20" t="inlineStr">
        <is>
          <t>AP39HY2022</t>
        </is>
      </c>
      <c r="E46" s="20" t="inlineStr">
        <is>
          <t>HONDA</t>
        </is>
      </c>
      <c r="F46" s="20" t="inlineStr">
        <is>
          <t>City</t>
        </is>
      </c>
      <c r="G46" s="21" t="n">
        <v>2021</v>
      </c>
      <c r="H46" s="22" t="n">
        <v>58022</v>
      </c>
      <c r="I46" s="23" t="n">
        <v>640000</v>
      </c>
      <c r="J46" s="20" t="inlineStr">
        <is>
          <t>Exchange VIZAG</t>
        </is>
      </c>
      <c r="K46" s="20" t="inlineStr">
        <is>
          <t>Captive</t>
        </is>
      </c>
      <c r="L46" s="20" t="inlineStr">
        <is>
          <t>Kaki Dinesh Kumar</t>
        </is>
      </c>
      <c r="M46" s="23" t="n">
        <v>16949.15</v>
      </c>
      <c r="N46" s="23" t="n">
        <v>20000</v>
      </c>
      <c r="O46" s="24">
        <f>IF(AND(ISNUMBER(M46), ISNUMBER(I46), I46&gt;0), M46/I46, "")</f>
        <v/>
      </c>
    </row>
    <row r="47">
      <c r="A47" s="19" t="inlineStr">
        <is>
          <t>FY26</t>
        </is>
      </c>
      <c r="B47" s="19" t="inlineStr">
        <is>
          <t>Feb</t>
        </is>
      </c>
      <c r="C47" s="19" t="inlineStr">
        <is>
          <t>AP/TS</t>
        </is>
      </c>
      <c r="D47" s="20" t="inlineStr">
        <is>
          <t>AP16BW5032</t>
        </is>
      </c>
      <c r="E47" s="20" t="inlineStr">
        <is>
          <t>CHEVROLET</t>
        </is>
      </c>
      <c r="F47" s="20" t="inlineStr">
        <is>
          <t>Spark</t>
        </is>
      </c>
      <c r="G47" s="21" t="n">
        <v>2011</v>
      </c>
      <c r="H47" s="22" t="n">
        <v>69787</v>
      </c>
      <c r="I47" s="23" t="n">
        <v>50000</v>
      </c>
      <c r="J47" s="20" t="inlineStr">
        <is>
          <t>Exchange VIJAYAWADA</t>
        </is>
      </c>
      <c r="K47" s="20" t="inlineStr">
        <is>
          <t>Captive</t>
        </is>
      </c>
      <c r="L47" s="20" t="inlineStr">
        <is>
          <t>Sesetti Manoj Kumar</t>
        </is>
      </c>
      <c r="M47" s="23" t="n">
        <v>4237.29</v>
      </c>
      <c r="N47" s="23" t="n">
        <v>5000</v>
      </c>
      <c r="O47" s="24">
        <f>IF(AND(ISNUMBER(M47), ISNUMBER(I47), I47&gt;0), M47/I47, "")</f>
        <v/>
      </c>
    </row>
    <row r="48">
      <c r="A48" s="19" t="inlineStr">
        <is>
          <t>FY26</t>
        </is>
      </c>
      <c r="B48" s="19" t="inlineStr">
        <is>
          <t>Feb</t>
        </is>
      </c>
      <c r="C48" s="19" t="inlineStr">
        <is>
          <t>AP/TS</t>
        </is>
      </c>
      <c r="D48" s="20" t="inlineStr">
        <is>
          <t>AP16CF3934</t>
        </is>
      </c>
      <c r="E48" s="20" t="inlineStr">
        <is>
          <t>MARUTI SUZUKI</t>
        </is>
      </c>
      <c r="F48" s="20" t="inlineStr">
        <is>
          <t>Swift Dzire</t>
        </is>
      </c>
      <c r="G48" s="21" t="n">
        <v>2010</v>
      </c>
      <c r="H48" s="22" t="n">
        <v>202514</v>
      </c>
      <c r="I48" s="23" t="n">
        <v>85000</v>
      </c>
      <c r="J48" s="20" t="inlineStr">
        <is>
          <t>T Srinivas</t>
        </is>
      </c>
      <c r="K48" s="20" t="inlineStr">
        <is>
          <t>Non-Captive</t>
        </is>
      </c>
      <c r="L48" s="20" t="inlineStr">
        <is>
          <t>Sesetti Manoj Kumar</t>
        </is>
      </c>
      <c r="M48" s="23" t="n">
        <v>4237.29</v>
      </c>
      <c r="N48" s="23" t="n">
        <v>5000</v>
      </c>
      <c r="O48" s="24">
        <f>IF(AND(ISNUMBER(M48), ISNUMBER(I48), I48&gt;0), M48/I48, "")</f>
        <v/>
      </c>
    </row>
    <row r="49">
      <c r="A49" s="19" t="inlineStr">
        <is>
          <t>FY26</t>
        </is>
      </c>
      <c r="B49" s="19" t="inlineStr">
        <is>
          <t>Feb</t>
        </is>
      </c>
      <c r="C49" s="19" t="inlineStr">
        <is>
          <t>AP/TS</t>
        </is>
      </c>
      <c r="D49" s="20" t="inlineStr">
        <is>
          <t>AP09CS4718</t>
        </is>
      </c>
      <c r="E49" s="20" t="inlineStr">
        <is>
          <t>HONDA</t>
        </is>
      </c>
      <c r="F49" s="20" t="inlineStr">
        <is>
          <t>Amaze</t>
        </is>
      </c>
      <c r="G49" s="21" t="n">
        <v>2013</v>
      </c>
      <c r="H49" s="22" t="n">
        <v>138764</v>
      </c>
      <c r="I49" s="23" t="n">
        <v>190000</v>
      </c>
      <c r="J49" s="20" t="inlineStr">
        <is>
          <t>Exchange HYDERABAD</t>
        </is>
      </c>
      <c r="K49" s="20" t="inlineStr">
        <is>
          <t>Captive</t>
        </is>
      </c>
      <c r="L49" s="20" t="inlineStr">
        <is>
          <t>Gorenka Vinay Shravan</t>
        </is>
      </c>
      <c r="M49" s="23" t="n">
        <v>8474.58</v>
      </c>
      <c r="N49" s="23" t="n">
        <v>10000</v>
      </c>
      <c r="O49" s="24">
        <f>IF(AND(ISNUMBER(M49), ISNUMBER(I49), I49&gt;0), M49/I49, "")</f>
        <v/>
      </c>
    </row>
    <row r="50">
      <c r="A50" s="19" t="inlineStr">
        <is>
          <t>FY26</t>
        </is>
      </c>
      <c r="B50" s="19" t="inlineStr">
        <is>
          <t>Feb</t>
        </is>
      </c>
      <c r="C50" s="19" t="inlineStr">
        <is>
          <t>AP/TS</t>
        </is>
      </c>
      <c r="D50" s="20" t="inlineStr">
        <is>
          <t>TS01EH6073</t>
        </is>
      </c>
      <c r="E50" s="20" t="inlineStr">
        <is>
          <t>HONDA</t>
        </is>
      </c>
      <c r="F50" s="20" t="inlineStr">
        <is>
          <t>Jazz</t>
        </is>
      </c>
      <c r="G50" s="21" t="n">
        <v>2016</v>
      </c>
      <c r="H50" s="22" t="n">
        <v>111819</v>
      </c>
      <c r="I50" s="23" t="n">
        <v>205000</v>
      </c>
      <c r="J50" s="20" t="inlineStr">
        <is>
          <t>Exchange HYDERABAD</t>
        </is>
      </c>
      <c r="K50" s="20" t="inlineStr">
        <is>
          <t>Captive</t>
        </is>
      </c>
      <c r="L50" s="20" t="inlineStr">
        <is>
          <t>Gorenka Vinay Shravan</t>
        </is>
      </c>
      <c r="M50" s="23" t="n">
        <v>8474.58</v>
      </c>
      <c r="N50" s="23" t="n">
        <v>10000</v>
      </c>
      <c r="O50" s="24">
        <f>IF(AND(ISNUMBER(M50), ISNUMBER(I50), I50&gt;0), M50/I50, "")</f>
        <v/>
      </c>
    </row>
    <row r="51">
      <c r="A51" s="19" t="inlineStr">
        <is>
          <t>FY26</t>
        </is>
      </c>
      <c r="B51" s="19" t="inlineStr">
        <is>
          <t>Feb</t>
        </is>
      </c>
      <c r="C51" s="19" t="inlineStr">
        <is>
          <t>AP/TS</t>
        </is>
      </c>
      <c r="D51" s="20" t="inlineStr">
        <is>
          <t>AP27AW6103</t>
        </is>
      </c>
      <c r="E51" s="20" t="inlineStr">
        <is>
          <t>MARUTI SUZUKI</t>
        </is>
      </c>
      <c r="F51" s="20" t="inlineStr">
        <is>
          <t>Alto</t>
        </is>
      </c>
      <c r="G51" s="21" t="n">
        <v>2013</v>
      </c>
      <c r="H51" s="22" t="n">
        <v>74021</v>
      </c>
      <c r="I51" s="23" t="n">
        <v>132000</v>
      </c>
      <c r="J51" s="20" t="inlineStr">
        <is>
          <t>Exchange VIJAYAWADA</t>
        </is>
      </c>
      <c r="K51" s="20" t="inlineStr">
        <is>
          <t>Captive</t>
        </is>
      </c>
      <c r="L51" s="20" t="inlineStr">
        <is>
          <t>Mohammed Gouse Basha</t>
        </is>
      </c>
      <c r="M51" s="23" t="n">
        <v>5932.2</v>
      </c>
      <c r="N51" s="23" t="n">
        <v>7000</v>
      </c>
      <c r="O51" s="24">
        <f>IF(AND(ISNUMBER(M51), ISNUMBER(I51), I51&gt;0), M51/I51, "")</f>
        <v/>
      </c>
    </row>
    <row r="52">
      <c r="A52" s="19" t="inlineStr">
        <is>
          <t>FY26</t>
        </is>
      </c>
      <c r="B52" s="19" t="inlineStr">
        <is>
          <t>Feb</t>
        </is>
      </c>
      <c r="C52" s="19" t="inlineStr">
        <is>
          <t>AP/TS</t>
        </is>
      </c>
      <c r="D52" s="20" t="inlineStr">
        <is>
          <t>AP07BT4777</t>
        </is>
      </c>
      <c r="E52" s="20" t="inlineStr">
        <is>
          <t>HYUNDAI</t>
        </is>
      </c>
      <c r="F52" s="20" t="inlineStr">
        <is>
          <t>Verna</t>
        </is>
      </c>
      <c r="G52" s="21" t="n">
        <v>2013</v>
      </c>
      <c r="H52" s="22" t="n">
        <v>105563</v>
      </c>
      <c r="I52" s="23" t="n">
        <v>280000</v>
      </c>
      <c r="J52" s="20" t="inlineStr">
        <is>
          <t>Exchange VIJAYAWADA</t>
        </is>
      </c>
      <c r="K52" s="20" t="inlineStr">
        <is>
          <t>Captive</t>
        </is>
      </c>
      <c r="L52" s="20" t="inlineStr">
        <is>
          <t>Mohammed Gouse Basha</t>
        </is>
      </c>
      <c r="M52" s="23" t="n">
        <v>8474.58</v>
      </c>
      <c r="N52" s="23" t="n">
        <v>10000</v>
      </c>
      <c r="O52" s="24">
        <f>IF(AND(ISNUMBER(M52), ISNUMBER(I52), I52&gt;0), M52/I52, "")</f>
        <v/>
      </c>
    </row>
    <row r="53">
      <c r="A53" s="19" t="inlineStr">
        <is>
          <t>FY26</t>
        </is>
      </c>
      <c r="B53" s="19" t="inlineStr">
        <is>
          <t>Feb</t>
        </is>
      </c>
      <c r="C53" s="19" t="inlineStr">
        <is>
          <t>AP/TS</t>
        </is>
      </c>
      <c r="D53" s="20" t="inlineStr">
        <is>
          <t>AP16BQ7777</t>
        </is>
      </c>
      <c r="E53" s="20" t="inlineStr">
        <is>
          <t>MARUTI SUZUKI</t>
        </is>
      </c>
      <c r="F53" s="20" t="inlineStr">
        <is>
          <t>I10</t>
        </is>
      </c>
      <c r="G53" s="21" t="n">
        <v>2009</v>
      </c>
      <c r="H53" s="22" t="n">
        <v>160213</v>
      </c>
      <c r="I53" s="23" t="n">
        <v>60000</v>
      </c>
      <c r="J53" s="20" t="inlineStr">
        <is>
          <t>T Srinivas</t>
        </is>
      </c>
      <c r="K53" s="20" t="inlineStr">
        <is>
          <t>Non-Captive</t>
        </is>
      </c>
      <c r="L53" s="20" t="inlineStr">
        <is>
          <t>Mohammed Gouse Basha</t>
        </is>
      </c>
      <c r="M53" s="23" t="n">
        <v>4237.29</v>
      </c>
      <c r="N53" s="23" t="n">
        <v>5000</v>
      </c>
      <c r="O53" s="24">
        <f>IF(AND(ISNUMBER(M53), ISNUMBER(I53), I53&gt;0), M53/I53, "")</f>
        <v/>
      </c>
    </row>
    <row r="54">
      <c r="A54" s="19" t="inlineStr">
        <is>
          <t>FY26</t>
        </is>
      </c>
      <c r="B54" s="19" t="inlineStr">
        <is>
          <t>Feb</t>
        </is>
      </c>
      <c r="C54" s="19" t="inlineStr">
        <is>
          <t>AP/TS</t>
        </is>
      </c>
      <c r="D54" s="20" t="inlineStr">
        <is>
          <t>AP31BW7937</t>
        </is>
      </c>
      <c r="E54" s="20" t="inlineStr">
        <is>
          <t>MARUTI SUZUKI</t>
        </is>
      </c>
      <c r="F54" s="20" t="inlineStr">
        <is>
          <t>Wagon R</t>
        </is>
      </c>
      <c r="G54" s="21" t="n">
        <v>2012</v>
      </c>
      <c r="H54" s="22" t="n">
        <v>126346</v>
      </c>
      <c r="I54" s="23" t="n">
        <v>152000</v>
      </c>
      <c r="J54" s="20" t="inlineStr">
        <is>
          <t>Exchange VIZAG</t>
        </is>
      </c>
      <c r="K54" s="20" t="inlineStr">
        <is>
          <t>Captive</t>
        </is>
      </c>
      <c r="L54" s="20" t="inlineStr">
        <is>
          <t>Garaga Venkat Nagababu</t>
        </is>
      </c>
      <c r="M54" s="23" t="n">
        <v>5932.2</v>
      </c>
      <c r="N54" s="23" t="n">
        <v>7000</v>
      </c>
      <c r="O54" s="24">
        <f>IF(AND(ISNUMBER(M54), ISNUMBER(I54), I54&gt;0), M54/I54, "")</f>
        <v/>
      </c>
    </row>
    <row r="55">
      <c r="A55" s="19" t="inlineStr">
        <is>
          <t>FY26</t>
        </is>
      </c>
      <c r="B55" s="19" t="inlineStr">
        <is>
          <t>Feb</t>
        </is>
      </c>
      <c r="C55" s="19" t="inlineStr">
        <is>
          <t>AP/TS</t>
        </is>
      </c>
      <c r="D55" s="20" t="inlineStr">
        <is>
          <t>AP13AB4730</t>
        </is>
      </c>
      <c r="E55" s="20" t="inlineStr">
        <is>
          <t>HONDA</t>
        </is>
      </c>
      <c r="F55" s="20" t="inlineStr">
        <is>
          <t>City</t>
        </is>
      </c>
      <c r="G55" s="21" t="n">
        <v>2011</v>
      </c>
      <c r="H55" s="22" t="n">
        <v>233250</v>
      </c>
      <c r="I55" s="23" t="n">
        <v>107000</v>
      </c>
      <c r="J55" s="20" t="inlineStr">
        <is>
          <t>Exchange HYDERABAD</t>
        </is>
      </c>
      <c r="K55" s="20" t="inlineStr">
        <is>
          <t>Captive</t>
        </is>
      </c>
      <c r="L55" s="20" t="inlineStr">
        <is>
          <t>Uppari Sandeep Kumar</t>
        </is>
      </c>
      <c r="M55" s="23" t="n">
        <v>5932.2</v>
      </c>
      <c r="N55" s="23" t="n">
        <v>7000</v>
      </c>
      <c r="O55" s="24">
        <f>IF(AND(ISNUMBER(M55), ISNUMBER(I55), I55&gt;0), M55/I55, "")</f>
        <v/>
      </c>
    </row>
    <row r="56">
      <c r="A56" s="19" t="inlineStr">
        <is>
          <t>FY26</t>
        </is>
      </c>
      <c r="B56" s="19" t="inlineStr">
        <is>
          <t>Feb</t>
        </is>
      </c>
      <c r="C56" s="19" t="inlineStr">
        <is>
          <t>AP/TS</t>
        </is>
      </c>
      <c r="D56" s="20" t="inlineStr">
        <is>
          <t>AP28BL5612</t>
        </is>
      </c>
      <c r="E56" s="20" t="inlineStr">
        <is>
          <t>HYUNDAI</t>
        </is>
      </c>
      <c r="F56" s="20" t="inlineStr">
        <is>
          <t>Santro</t>
        </is>
      </c>
      <c r="G56" s="21" t="n">
        <v>2009</v>
      </c>
      <c r="H56" s="22" t="n">
        <v>151089</v>
      </c>
      <c r="I56" s="23" t="n">
        <v>77000</v>
      </c>
      <c r="J56" s="20" t="inlineStr">
        <is>
          <t>Abdul Mugees</t>
        </is>
      </c>
      <c r="K56" s="20" t="inlineStr">
        <is>
          <t>Non-Captive</t>
        </is>
      </c>
      <c r="L56" s="20" t="inlineStr">
        <is>
          <t>Uppari Sandeep Kumar</t>
        </is>
      </c>
      <c r="M56" s="23" t="n">
        <v>5932.2</v>
      </c>
      <c r="N56" s="23" t="n">
        <v>7000</v>
      </c>
      <c r="O56" s="24">
        <f>IF(AND(ISNUMBER(M56), ISNUMBER(I56), I56&gt;0), M56/I56, "")</f>
        <v/>
      </c>
    </row>
    <row r="57">
      <c r="A57" s="19" t="inlineStr">
        <is>
          <t>FY26</t>
        </is>
      </c>
      <c r="B57" s="19" t="inlineStr">
        <is>
          <t>Feb</t>
        </is>
      </c>
      <c r="C57" s="19" t="inlineStr">
        <is>
          <t>AP/TS</t>
        </is>
      </c>
      <c r="D57" s="20" t="inlineStr">
        <is>
          <t>AP09CB4116</t>
        </is>
      </c>
      <c r="E57" s="20" t="inlineStr">
        <is>
          <t>VOLKSWAGEN</t>
        </is>
      </c>
      <c r="F57" s="20" t="inlineStr">
        <is>
          <t>Polo</t>
        </is>
      </c>
      <c r="G57" s="21" t="n">
        <v>2010</v>
      </c>
      <c r="H57" s="22" t="n">
        <v>175525</v>
      </c>
      <c r="I57" s="23" t="n">
        <v>86000</v>
      </c>
      <c r="J57" s="20" t="inlineStr">
        <is>
          <t>Abdul Mugees</t>
        </is>
      </c>
      <c r="K57" s="20" t="inlineStr">
        <is>
          <t>Non-Captive</t>
        </is>
      </c>
      <c r="L57" s="20" t="inlineStr">
        <is>
          <t>Uppari Sandeep Kumar</t>
        </is>
      </c>
      <c r="M57" s="23" t="n">
        <v>5084.75</v>
      </c>
      <c r="N57" s="23" t="n">
        <v>6000</v>
      </c>
      <c r="O57" s="24">
        <f>IF(AND(ISNUMBER(M57), ISNUMBER(I57), I57&gt;0), M57/I57, "")</f>
        <v/>
      </c>
    </row>
    <row r="58">
      <c r="A58" s="19" t="inlineStr">
        <is>
          <t>FY26</t>
        </is>
      </c>
      <c r="B58" s="19" t="inlineStr">
        <is>
          <t>Feb</t>
        </is>
      </c>
      <c r="C58" s="19" t="inlineStr">
        <is>
          <t>AP/TS</t>
        </is>
      </c>
      <c r="D58" s="20" t="inlineStr">
        <is>
          <t>AP07BV8570</t>
        </is>
      </c>
      <c r="E58" s="20" t="inlineStr">
        <is>
          <t>NISSAN</t>
        </is>
      </c>
      <c r="F58" s="20" t="inlineStr">
        <is>
          <t>Micra</t>
        </is>
      </c>
      <c r="G58" s="21" t="n">
        <v>2013</v>
      </c>
      <c r="H58" s="22" t="n">
        <v>165111</v>
      </c>
      <c r="I58" s="23" t="n">
        <v>97500</v>
      </c>
      <c r="J58" s="20" t="inlineStr">
        <is>
          <t>Sesetti Manoj Kumar</t>
        </is>
      </c>
      <c r="K58" s="20" t="inlineStr">
        <is>
          <t>Non-Captive</t>
        </is>
      </c>
      <c r="L58" s="20" t="inlineStr">
        <is>
          <t>Suresh Ginjupalli</t>
        </is>
      </c>
      <c r="M58" s="23" t="n">
        <v>6355.93</v>
      </c>
      <c r="N58" s="23" t="n">
        <v>7500</v>
      </c>
      <c r="O58" s="24">
        <f>IF(AND(ISNUMBER(M58), ISNUMBER(I58), I58&gt;0), M58/I58, "")</f>
        <v/>
      </c>
    </row>
    <row r="59">
      <c r="A59" s="19" t="inlineStr">
        <is>
          <t>FY26</t>
        </is>
      </c>
      <c r="B59" s="19" t="inlineStr">
        <is>
          <t>Feb</t>
        </is>
      </c>
      <c r="C59" s="19" t="inlineStr">
        <is>
          <t>AP/TS</t>
        </is>
      </c>
      <c r="D59" s="20" t="inlineStr">
        <is>
          <t>AP16CE5576</t>
        </is>
      </c>
      <c r="E59" s="20" t="inlineStr">
        <is>
          <t>MARUTI SUZUKI</t>
        </is>
      </c>
      <c r="F59" s="20" t="inlineStr">
        <is>
          <t>Wagon R</t>
        </is>
      </c>
      <c r="G59" s="21" t="n">
        <v>2012</v>
      </c>
      <c r="H59" s="22" t="n">
        <v>136412</v>
      </c>
      <c r="I59" s="23" t="n">
        <v>97500</v>
      </c>
      <c r="J59" s="20" t="inlineStr">
        <is>
          <t>Sesetti Manoj Kumar</t>
        </is>
      </c>
      <c r="K59" s="20" t="inlineStr">
        <is>
          <t>Non-Captive</t>
        </is>
      </c>
      <c r="L59" s="20" t="inlineStr">
        <is>
          <t>Lakshmi Tirupatamma Kokkilagadda</t>
        </is>
      </c>
      <c r="M59" s="23" t="n">
        <v>6355.93</v>
      </c>
      <c r="N59" s="23" t="n">
        <v>7500</v>
      </c>
      <c r="O59" s="24">
        <f>IF(AND(ISNUMBER(M59), ISNUMBER(I59), I59&gt;0), M59/I59, "")</f>
        <v/>
      </c>
    </row>
    <row r="60">
      <c r="A60" s="19" t="inlineStr">
        <is>
          <t>FY26</t>
        </is>
      </c>
      <c r="B60" s="19" t="inlineStr">
        <is>
          <t>Feb</t>
        </is>
      </c>
      <c r="C60" s="19" t="inlineStr">
        <is>
          <t>AP/TS</t>
        </is>
      </c>
      <c r="D60" s="20" t="inlineStr">
        <is>
          <t>AP39MY8487</t>
        </is>
      </c>
      <c r="E60" s="20" t="inlineStr">
        <is>
          <t>MARUTI SUZUKI</t>
        </is>
      </c>
      <c r="F60" s="20" t="inlineStr">
        <is>
          <t>Brezza</t>
        </is>
      </c>
      <c r="G60" s="21" t="n">
        <v>2022</v>
      </c>
      <c r="H60" s="22" t="n">
        <v>55726</v>
      </c>
      <c r="I60" s="23" t="n">
        <v>660000</v>
      </c>
      <c r="J60" s="20" t="inlineStr">
        <is>
          <t>Sesetti Manoj Kumar</t>
        </is>
      </c>
      <c r="K60" s="20" t="inlineStr">
        <is>
          <t>Non-Captive</t>
        </is>
      </c>
      <c r="L60" s="20" t="inlineStr">
        <is>
          <t>Suresh Ginjupalli</t>
        </is>
      </c>
      <c r="M60" s="23" t="n">
        <v>8474.58</v>
      </c>
      <c r="N60" s="23" t="n">
        <v>10000</v>
      </c>
      <c r="O60" s="24">
        <f>IF(AND(ISNUMBER(M60), ISNUMBER(I60), I60&gt;0), M60/I60, "")</f>
        <v/>
      </c>
    </row>
    <row r="61">
      <c r="A61" s="19" t="inlineStr">
        <is>
          <t>FY26</t>
        </is>
      </c>
      <c r="B61" s="19" t="inlineStr">
        <is>
          <t>Feb</t>
        </is>
      </c>
      <c r="C61" s="19" t="inlineStr">
        <is>
          <t>AP/TS</t>
        </is>
      </c>
      <c r="D61" s="20" t="inlineStr">
        <is>
          <t>TS07EC3601</t>
        </is>
      </c>
      <c r="E61" s="20" t="inlineStr">
        <is>
          <t>HONDA</t>
        </is>
      </c>
      <c r="F61" s="20" t="inlineStr">
        <is>
          <t>City</t>
        </is>
      </c>
      <c r="G61" s="21" t="n">
        <v>2014</v>
      </c>
      <c r="H61" s="22" t="n">
        <v>190267</v>
      </c>
      <c r="I61" s="23" t="n">
        <v>155000</v>
      </c>
      <c r="J61" s="20" t="inlineStr">
        <is>
          <t>Abdul Mugees</t>
        </is>
      </c>
      <c r="K61" s="20" t="inlineStr">
        <is>
          <t>Non-Captive</t>
        </is>
      </c>
      <c r="L61" s="20" t="inlineStr">
        <is>
          <t>Uppari Sandeep Kumar</t>
        </is>
      </c>
      <c r="M61" s="23" t="n">
        <v>4237.29</v>
      </c>
      <c r="N61" s="23" t="n">
        <v>5000</v>
      </c>
      <c r="O61" s="24">
        <f>IF(AND(ISNUMBER(M61), ISNUMBER(I61), I61&gt;0), M61/I61, "")</f>
        <v/>
      </c>
    </row>
    <row r="62">
      <c r="A62" s="19" t="inlineStr">
        <is>
          <t>FY26</t>
        </is>
      </c>
      <c r="B62" s="19" t="inlineStr">
        <is>
          <t>Feb</t>
        </is>
      </c>
      <c r="C62" s="19" t="inlineStr">
        <is>
          <t>AP/TS</t>
        </is>
      </c>
      <c r="D62" s="20" t="inlineStr">
        <is>
          <t>AP15AG7332</t>
        </is>
      </c>
      <c r="E62" s="20" t="inlineStr">
        <is>
          <t>MARUTI SUZUKI</t>
        </is>
      </c>
      <c r="F62" s="20" t="inlineStr">
        <is>
          <t>Zen Estilo</t>
        </is>
      </c>
      <c r="G62" s="21" t="n">
        <v>2007</v>
      </c>
      <c r="H62" s="22" t="n">
        <v>149898</v>
      </c>
      <c r="I62" s="23" t="n">
        <v>35000</v>
      </c>
      <c r="J62" s="20" t="inlineStr">
        <is>
          <t>Abdul Mugees</t>
        </is>
      </c>
      <c r="K62" s="20" t="inlineStr">
        <is>
          <t>Non-Captive</t>
        </is>
      </c>
      <c r="L62" s="20" t="inlineStr">
        <is>
          <t>Uppari Sandeep Kumar</t>
        </is>
      </c>
      <c r="M62" s="23" t="n">
        <v>4237.29</v>
      </c>
      <c r="N62" s="23" t="n">
        <v>5000</v>
      </c>
      <c r="O62" s="24">
        <f>IF(AND(ISNUMBER(M62), ISNUMBER(I62), I62&gt;0), M62/I62, "")</f>
        <v/>
      </c>
    </row>
    <row r="63">
      <c r="A63" s="19" t="inlineStr">
        <is>
          <t>FY26</t>
        </is>
      </c>
      <c r="B63" s="19" t="inlineStr">
        <is>
          <t>Feb</t>
        </is>
      </c>
      <c r="C63" s="19" t="inlineStr">
        <is>
          <t>AP/TS</t>
        </is>
      </c>
      <c r="D63" s="20" t="inlineStr">
        <is>
          <t>AP07AL0144</t>
        </is>
      </c>
      <c r="E63" s="20" t="inlineStr">
        <is>
          <t>MARUTI SUZUKI</t>
        </is>
      </c>
      <c r="F63" s="20" t="inlineStr">
        <is>
          <t>Swift</t>
        </is>
      </c>
      <c r="G63" s="21" t="n">
        <v>2008</v>
      </c>
      <c r="H63" s="22" t="n">
        <v>196085</v>
      </c>
      <c r="I63" s="23" t="n">
        <v>75000</v>
      </c>
      <c r="J63" s="20" t="inlineStr">
        <is>
          <t>Guthi Ravi Krishna</t>
        </is>
      </c>
      <c r="K63" s="20" t="inlineStr">
        <is>
          <t>Non-Captive</t>
        </is>
      </c>
      <c r="L63" s="20" t="inlineStr">
        <is>
          <t>Vinod Kumar Murari</t>
        </is>
      </c>
      <c r="M63" s="23" t="n">
        <v>4237.29</v>
      </c>
      <c r="N63" s="23" t="n">
        <v>5000</v>
      </c>
      <c r="O63" s="24">
        <f>IF(AND(ISNUMBER(M63), ISNUMBER(I63), I63&gt;0), M63/I63, "")</f>
        <v/>
      </c>
    </row>
    <row r="64">
      <c r="A64" s="19" t="inlineStr">
        <is>
          <t>FY26</t>
        </is>
      </c>
      <c r="B64" s="19" t="inlineStr">
        <is>
          <t>Feb</t>
        </is>
      </c>
      <c r="C64" s="19" t="inlineStr">
        <is>
          <t>AP/TS</t>
        </is>
      </c>
      <c r="D64" s="20" t="inlineStr">
        <is>
          <t>AP16DY5844</t>
        </is>
      </c>
      <c r="E64" s="20" t="inlineStr">
        <is>
          <t>TATA</t>
        </is>
      </c>
      <c r="F64" s="20" t="inlineStr">
        <is>
          <t>Tiago</t>
        </is>
      </c>
      <c r="G64" s="21" t="n">
        <v>2016</v>
      </c>
      <c r="H64" s="22" t="n">
        <v>136011</v>
      </c>
      <c r="I64" s="23" t="n">
        <v>95000</v>
      </c>
      <c r="J64" s="20" t="inlineStr">
        <is>
          <t>Guthi Ravi Krishna</t>
        </is>
      </c>
      <c r="K64" s="20" t="inlineStr">
        <is>
          <t>Non-Captive</t>
        </is>
      </c>
      <c r="L64" s="20" t="inlineStr">
        <is>
          <t>Yarlagadda Sai Phanindra</t>
        </is>
      </c>
      <c r="M64" s="23" t="n">
        <v>4237.29</v>
      </c>
      <c r="N64" s="23" t="n">
        <v>5000</v>
      </c>
      <c r="O64" s="24">
        <f>IF(AND(ISNUMBER(M64), ISNUMBER(I64), I64&gt;0), M64/I64, "")</f>
        <v/>
      </c>
    </row>
    <row r="65">
      <c r="A65" s="19" t="inlineStr">
        <is>
          <t>FY26</t>
        </is>
      </c>
      <c r="B65" s="19" t="inlineStr">
        <is>
          <t>Feb</t>
        </is>
      </c>
      <c r="C65" s="19" t="inlineStr">
        <is>
          <t>AP/TS</t>
        </is>
      </c>
      <c r="D65" s="20" t="inlineStr">
        <is>
          <t>AP16BT5517</t>
        </is>
      </c>
      <c r="E65" s="20" t="inlineStr">
        <is>
          <t>MARUTI SUZUKI</t>
        </is>
      </c>
      <c r="F65" s="20" t="inlineStr">
        <is>
          <t>Wagon R</t>
        </is>
      </c>
      <c r="G65" s="21" t="n">
        <v>2011</v>
      </c>
      <c r="H65" s="22" t="n">
        <v>182121</v>
      </c>
      <c r="I65" s="23" t="n">
        <v>115000</v>
      </c>
      <c r="J65" s="20" t="inlineStr">
        <is>
          <t>T Srinivas</t>
        </is>
      </c>
      <c r="K65" s="20" t="inlineStr">
        <is>
          <t>Non-Captive</t>
        </is>
      </c>
      <c r="L65" s="20" t="inlineStr">
        <is>
          <t>Guthi Ravi Krishna</t>
        </is>
      </c>
      <c r="M65" s="23" t="n">
        <v>4237.29</v>
      </c>
      <c r="N65" s="23" t="n">
        <v>5000</v>
      </c>
      <c r="O65" s="24">
        <f>IF(AND(ISNUMBER(M65), ISNUMBER(I65), I65&gt;0), M65/I65, "")</f>
        <v/>
      </c>
    </row>
    <row r="66">
      <c r="A66" s="19" t="inlineStr">
        <is>
          <t>FY26</t>
        </is>
      </c>
      <c r="B66" s="19" t="inlineStr">
        <is>
          <t>Feb</t>
        </is>
      </c>
      <c r="C66" s="19" t="inlineStr">
        <is>
          <t>AP/TS</t>
        </is>
      </c>
      <c r="D66" s="20" t="inlineStr">
        <is>
          <t>AP16BQ9979</t>
        </is>
      </c>
      <c r="E66" s="20" t="inlineStr">
        <is>
          <t>MARUTI SUZUKI</t>
        </is>
      </c>
      <c r="F66" s="20" t="inlineStr">
        <is>
          <t>Swift</t>
        </is>
      </c>
      <c r="G66" s="21" t="n">
        <v>2010</v>
      </c>
      <c r="H66" s="22" t="n">
        <v>195215</v>
      </c>
      <c r="I66" s="23" t="n">
        <v>110000</v>
      </c>
      <c r="J66" s="20" t="inlineStr">
        <is>
          <t>T Srinivas</t>
        </is>
      </c>
      <c r="K66" s="20" t="inlineStr">
        <is>
          <t>Non-Captive</t>
        </is>
      </c>
      <c r="L66" s="20" t="inlineStr">
        <is>
          <t>Guthi Ravi Krishna</t>
        </is>
      </c>
      <c r="M66" s="23" t="n">
        <v>4237.29</v>
      </c>
      <c r="N66" s="23" t="n">
        <v>5000</v>
      </c>
      <c r="O66" s="24">
        <f>IF(AND(ISNUMBER(M66), ISNUMBER(I66), I66&gt;0), M66/I66, "")</f>
        <v/>
      </c>
    </row>
    <row r="67">
      <c r="A67" s="19" t="inlineStr">
        <is>
          <t>FY26</t>
        </is>
      </c>
      <c r="B67" s="19" t="inlineStr">
        <is>
          <t>Feb</t>
        </is>
      </c>
      <c r="C67" s="19" t="inlineStr">
        <is>
          <t>AP/TS</t>
        </is>
      </c>
      <c r="D67" s="20" t="inlineStr">
        <is>
          <t>AP16BZ2425</t>
        </is>
      </c>
      <c r="E67" s="20" t="inlineStr">
        <is>
          <t>MARUTI SUZUKI</t>
        </is>
      </c>
      <c r="F67" s="20" t="inlineStr">
        <is>
          <t>Ritz</t>
        </is>
      </c>
      <c r="G67" s="21" t="n">
        <v>2011</v>
      </c>
      <c r="H67" s="22" t="n">
        <v>168554</v>
      </c>
      <c r="I67" s="23" t="n">
        <v>125000</v>
      </c>
      <c r="J67" s="20" t="inlineStr">
        <is>
          <t>T Srinivas</t>
        </is>
      </c>
      <c r="K67" s="20" t="inlineStr">
        <is>
          <t>Non-Captive</t>
        </is>
      </c>
      <c r="L67" s="20" t="inlineStr">
        <is>
          <t>Mohammed Gouse Basha</t>
        </is>
      </c>
      <c r="M67" s="23" t="n">
        <v>4237.29</v>
      </c>
      <c r="N67" s="23" t="n">
        <v>5000</v>
      </c>
      <c r="O67" s="24">
        <f>IF(AND(ISNUMBER(M67), ISNUMBER(I67), I67&gt;0), M67/I67, "")</f>
        <v/>
      </c>
    </row>
    <row r="68">
      <c r="A68" s="19" t="inlineStr">
        <is>
          <t>FY26</t>
        </is>
      </c>
      <c r="B68" s="19" t="inlineStr">
        <is>
          <t>Feb</t>
        </is>
      </c>
      <c r="C68" s="19" t="inlineStr">
        <is>
          <t>AP/TS</t>
        </is>
      </c>
      <c r="D68" s="20" t="inlineStr">
        <is>
          <t>AP16BR4142</t>
        </is>
      </c>
      <c r="E68" s="20" t="inlineStr">
        <is>
          <t>MARUTI SUZUKI</t>
        </is>
      </c>
      <c r="F68" s="20" t="inlineStr">
        <is>
          <t>Swift</t>
        </is>
      </c>
      <c r="G68" s="21" t="n">
        <v>2010</v>
      </c>
      <c r="H68" s="22" t="n">
        <v>198585</v>
      </c>
      <c r="I68" s="23" t="n">
        <v>100000</v>
      </c>
      <c r="J68" s="20" t="inlineStr">
        <is>
          <t>T Srinivas</t>
        </is>
      </c>
      <c r="K68" s="20" t="inlineStr">
        <is>
          <t>Non-Captive</t>
        </is>
      </c>
      <c r="L68" s="20" t="inlineStr">
        <is>
          <t>Mohammed Gouse Basha</t>
        </is>
      </c>
      <c r="M68" s="23" t="n">
        <v>4237.29</v>
      </c>
      <c r="N68" s="23" t="n">
        <v>5000</v>
      </c>
      <c r="O68" s="24">
        <f>IF(AND(ISNUMBER(M68), ISNUMBER(I68), I68&gt;0), M68/I68, "")</f>
        <v/>
      </c>
    </row>
    <row r="69">
      <c r="A69" s="19" t="inlineStr">
        <is>
          <t>FY26</t>
        </is>
      </c>
      <c r="B69" s="19" t="inlineStr">
        <is>
          <t>Feb</t>
        </is>
      </c>
      <c r="C69" s="19" t="inlineStr">
        <is>
          <t>AP/TS</t>
        </is>
      </c>
      <c r="D69" s="20" t="inlineStr">
        <is>
          <t>AP09CB9991</t>
        </is>
      </c>
      <c r="E69" s="20" t="inlineStr">
        <is>
          <t>HONDA</t>
        </is>
      </c>
      <c r="F69" s="20" t="inlineStr">
        <is>
          <t>City</t>
        </is>
      </c>
      <c r="G69" s="21" t="n">
        <v>2010</v>
      </c>
      <c r="H69" s="22" t="n">
        <v>111996</v>
      </c>
      <c r="I69" s="23" t="n">
        <v>142000</v>
      </c>
      <c r="J69" s="20" t="inlineStr">
        <is>
          <t>Exchange HYDERABAD</t>
        </is>
      </c>
      <c r="K69" s="20" t="inlineStr">
        <is>
          <t>Captive</t>
        </is>
      </c>
      <c r="L69" s="20" t="inlineStr">
        <is>
          <t>Akash Akuthota</t>
        </is>
      </c>
      <c r="M69" s="23" t="n">
        <v>5932.2</v>
      </c>
      <c r="N69" s="23" t="n">
        <v>7000</v>
      </c>
      <c r="O69" s="24">
        <f>IF(AND(ISNUMBER(M69), ISNUMBER(I69), I69&gt;0), M69/I69, "")</f>
        <v/>
      </c>
    </row>
    <row r="70">
      <c r="A70" s="19" t="inlineStr">
        <is>
          <t>FY26</t>
        </is>
      </c>
      <c r="B70" s="19" t="inlineStr">
        <is>
          <t>Feb</t>
        </is>
      </c>
      <c r="C70" s="19" t="inlineStr">
        <is>
          <t>AP/TS</t>
        </is>
      </c>
      <c r="D70" s="20" t="inlineStr">
        <is>
          <t>AP26AW0070</t>
        </is>
      </c>
      <c r="E70" s="20" t="inlineStr">
        <is>
          <t>RENAULT</t>
        </is>
      </c>
      <c r="F70" s="20" t="inlineStr">
        <is>
          <t>Scala</t>
        </is>
      </c>
      <c r="G70" s="21" t="n">
        <v>2013</v>
      </c>
      <c r="H70" s="22" t="n">
        <v>249087</v>
      </c>
      <c r="I70" s="23" t="n">
        <v>105000</v>
      </c>
      <c r="J70" s="20" t="inlineStr">
        <is>
          <t>Puneet Gupta</t>
        </is>
      </c>
      <c r="K70" s="20" t="inlineStr">
        <is>
          <t>Non-Captive</t>
        </is>
      </c>
      <c r="L70" s="20" t="inlineStr">
        <is>
          <t>Akash Akuthota</t>
        </is>
      </c>
      <c r="M70" s="23" t="n">
        <v>4237.29</v>
      </c>
      <c r="N70" s="23" t="n">
        <v>5000</v>
      </c>
      <c r="O70" s="24">
        <f>IF(AND(ISNUMBER(M70), ISNUMBER(I70), I70&gt;0), M70/I70, "")</f>
        <v/>
      </c>
    </row>
    <row r="71">
      <c r="A71" s="19" t="inlineStr">
        <is>
          <t>FY26</t>
        </is>
      </c>
      <c r="B71" s="19" t="inlineStr">
        <is>
          <t>Feb</t>
        </is>
      </c>
      <c r="C71" s="19" t="inlineStr">
        <is>
          <t>AP/TS</t>
        </is>
      </c>
      <c r="D71" s="20" t="inlineStr">
        <is>
          <t>AP09CR9349</t>
        </is>
      </c>
      <c r="E71" s="20" t="inlineStr">
        <is>
          <t>FORD</t>
        </is>
      </c>
      <c r="F71" s="20" t="inlineStr">
        <is>
          <t>Figo</t>
        </is>
      </c>
      <c r="G71" s="21" t="n">
        <v>2013</v>
      </c>
      <c r="H71" s="22" t="n">
        <v>164588</v>
      </c>
      <c r="I71" s="23" t="n">
        <v>130000</v>
      </c>
      <c r="J71" s="20" t="inlineStr">
        <is>
          <t>Puneet Gupta</t>
        </is>
      </c>
      <c r="K71" s="20" t="inlineStr">
        <is>
          <t>Non-Captive</t>
        </is>
      </c>
      <c r="L71" s="20" t="inlineStr">
        <is>
          <t>Akash Akuthota</t>
        </is>
      </c>
      <c r="M71" s="23" t="n">
        <v>4237.29</v>
      </c>
      <c r="N71" s="23" t="n">
        <v>5000</v>
      </c>
      <c r="O71" s="24">
        <f>IF(AND(ISNUMBER(M71), ISNUMBER(I71), I71&gt;0), M71/I71, "")</f>
        <v/>
      </c>
    </row>
    <row r="72">
      <c r="A72" s="19" t="inlineStr">
        <is>
          <t>FY26</t>
        </is>
      </c>
      <c r="B72" s="19" t="inlineStr">
        <is>
          <t>Feb</t>
        </is>
      </c>
      <c r="C72" s="19" t="inlineStr">
        <is>
          <t>AP/TS</t>
        </is>
      </c>
      <c r="D72" s="20" t="inlineStr">
        <is>
          <t>AP39JR0459</t>
        </is>
      </c>
      <c r="E72" s="20" t="inlineStr">
        <is>
          <t>HYUNDAI</t>
        </is>
      </c>
      <c r="F72" s="20" t="inlineStr">
        <is>
          <t>I20</t>
        </is>
      </c>
      <c r="G72" s="21" t="n">
        <v>2021</v>
      </c>
      <c r="H72" s="22" t="n">
        <v>51140</v>
      </c>
      <c r="I72" s="23" t="n">
        <v>535000</v>
      </c>
      <c r="J72" s="20" t="inlineStr">
        <is>
          <t>Exchange VIJAYAWADA</t>
        </is>
      </c>
      <c r="K72" s="20" t="inlineStr">
        <is>
          <t>Captive</t>
        </is>
      </c>
      <c r="L72" s="20" t="inlineStr">
        <is>
          <t>Suresh Ginjupalli</t>
        </is>
      </c>
      <c r="M72" s="23" t="n">
        <v>12711.86</v>
      </c>
      <c r="N72" s="23" t="n">
        <v>15000</v>
      </c>
      <c r="O72" s="24">
        <f>IF(AND(ISNUMBER(M72), ISNUMBER(I72), I72&gt;0), M72/I72, "")</f>
        <v/>
      </c>
    </row>
    <row r="73">
      <c r="A73" s="19" t="inlineStr">
        <is>
          <t>FY26</t>
        </is>
      </c>
      <c r="B73" s="19" t="inlineStr">
        <is>
          <t>Feb</t>
        </is>
      </c>
      <c r="C73" s="19" t="inlineStr">
        <is>
          <t>AP/TS</t>
        </is>
      </c>
      <c r="D73" s="20" t="inlineStr">
        <is>
          <t>AP16DM1140</t>
        </is>
      </c>
      <c r="E73" s="20" t="inlineStr">
        <is>
          <t>TATA</t>
        </is>
      </c>
      <c r="F73" s="20" t="inlineStr">
        <is>
          <t>Zest</t>
        </is>
      </c>
      <c r="G73" s="21" t="n">
        <v>2016</v>
      </c>
      <c r="H73" s="22" t="n">
        <v>90332</v>
      </c>
      <c r="I73" s="23" t="n">
        <v>260000</v>
      </c>
      <c r="J73" s="20" t="inlineStr">
        <is>
          <t>Exchange VIJAYAWADA</t>
        </is>
      </c>
      <c r="K73" s="20" t="inlineStr">
        <is>
          <t>Captive</t>
        </is>
      </c>
      <c r="L73" s="20" t="inlineStr">
        <is>
          <t>Naga Suresh Polukonda</t>
        </is>
      </c>
      <c r="M73" s="23" t="n">
        <v>8474.58</v>
      </c>
      <c r="N73" s="23" t="n">
        <v>10000</v>
      </c>
      <c r="O73" s="24">
        <f>IF(AND(ISNUMBER(M73), ISNUMBER(I73), I73&gt;0), M73/I73, "")</f>
        <v/>
      </c>
    </row>
    <row r="74">
      <c r="A74" s="19" t="inlineStr">
        <is>
          <t>FY26</t>
        </is>
      </c>
      <c r="B74" s="19" t="inlineStr">
        <is>
          <t>Feb</t>
        </is>
      </c>
      <c r="C74" s="19" t="inlineStr">
        <is>
          <t>AP/TS</t>
        </is>
      </c>
      <c r="D74" s="20" t="inlineStr">
        <is>
          <t>AP16BG9288</t>
        </is>
      </c>
      <c r="E74" s="20" t="inlineStr">
        <is>
          <t>HONDA</t>
        </is>
      </c>
      <c r="F74" s="20" t="inlineStr">
        <is>
          <t>City</t>
        </is>
      </c>
      <c r="G74" s="21" t="n">
        <v>2008</v>
      </c>
      <c r="H74" s="22" t="n">
        <v>195862</v>
      </c>
      <c r="I74" s="23" t="n">
        <v>60000</v>
      </c>
      <c r="J74" s="20" t="inlineStr">
        <is>
          <t>Gopi Nagaraju</t>
        </is>
      </c>
      <c r="K74" s="20" t="inlineStr">
        <is>
          <t>Non-Captive</t>
        </is>
      </c>
      <c r="L74" s="20" t="inlineStr">
        <is>
          <t>D Avinash</t>
        </is>
      </c>
      <c r="M74" s="23" t="n">
        <v>4237.29</v>
      </c>
      <c r="N74" s="23" t="n">
        <v>5000</v>
      </c>
      <c r="O74" s="24">
        <f>IF(AND(ISNUMBER(M74), ISNUMBER(I74), I74&gt;0), M74/I74, "")</f>
        <v/>
      </c>
    </row>
    <row r="75">
      <c r="A75" s="19" t="inlineStr">
        <is>
          <t>FY26</t>
        </is>
      </c>
      <c r="B75" s="19" t="inlineStr">
        <is>
          <t>Feb</t>
        </is>
      </c>
      <c r="C75" s="19" t="inlineStr">
        <is>
          <t>AP/TS</t>
        </is>
      </c>
      <c r="D75" s="20" t="inlineStr">
        <is>
          <t>AP09BU6464</t>
        </is>
      </c>
      <c r="E75" s="20" t="inlineStr">
        <is>
          <t>HYUNDAI</t>
        </is>
      </c>
      <c r="F75" s="20" t="inlineStr">
        <is>
          <t>I10</t>
        </is>
      </c>
      <c r="G75" s="21" t="n">
        <v>2009</v>
      </c>
      <c r="H75" s="22" t="n">
        <v>90908</v>
      </c>
      <c r="I75" s="23" t="n">
        <v>100000</v>
      </c>
      <c r="J75" s="20" t="inlineStr">
        <is>
          <t>Exchange HYDERABAD</t>
        </is>
      </c>
      <c r="K75" s="20" t="inlineStr">
        <is>
          <t>Captive</t>
        </is>
      </c>
      <c r="L75" s="20" t="inlineStr">
        <is>
          <t>Katikala Jathin Sai</t>
        </is>
      </c>
      <c r="M75" s="23" t="n">
        <v>4237.29</v>
      </c>
      <c r="N75" s="23" t="n">
        <v>5000</v>
      </c>
      <c r="O75" s="24">
        <f>IF(AND(ISNUMBER(M75), ISNUMBER(I75), I75&gt;0), M75/I75, "")</f>
        <v/>
      </c>
    </row>
    <row r="76">
      <c r="A76" s="19" t="inlineStr">
        <is>
          <t>FY26</t>
        </is>
      </c>
      <c r="B76" s="19" t="inlineStr">
        <is>
          <t>Feb</t>
        </is>
      </c>
      <c r="C76" s="19" t="inlineStr">
        <is>
          <t>AP/TS</t>
        </is>
      </c>
      <c r="D76" s="20" t="inlineStr">
        <is>
          <t>TS09ES6218</t>
        </is>
      </c>
      <c r="E76" s="20" t="inlineStr">
        <is>
          <t>HONDA</t>
        </is>
      </c>
      <c r="F76" s="20" t="inlineStr">
        <is>
          <t>Amaze</t>
        </is>
      </c>
      <c r="G76" s="21" t="n">
        <v>2017</v>
      </c>
      <c r="H76" s="22" t="n">
        <v>148646</v>
      </c>
      <c r="I76" s="23" t="n">
        <v>295000</v>
      </c>
      <c r="J76" s="20" t="inlineStr">
        <is>
          <t>Exchange HYDERABAD</t>
        </is>
      </c>
      <c r="K76" s="20" t="inlineStr">
        <is>
          <t>Captive</t>
        </is>
      </c>
      <c r="L76" s="20" t="inlineStr">
        <is>
          <t>Abdul Razzaq</t>
        </is>
      </c>
      <c r="M76" s="23" t="n">
        <v>8474.58</v>
      </c>
      <c r="N76" s="23" t="n">
        <v>10000</v>
      </c>
      <c r="O76" s="24">
        <f>IF(AND(ISNUMBER(M76), ISNUMBER(I76), I76&gt;0), M76/I76, "")</f>
        <v/>
      </c>
    </row>
    <row r="77">
      <c r="A77" s="19" t="inlineStr">
        <is>
          <t>FY26</t>
        </is>
      </c>
      <c r="B77" s="19" t="inlineStr">
        <is>
          <t>Feb</t>
        </is>
      </c>
      <c r="C77" s="19" t="inlineStr">
        <is>
          <t>AP/TS</t>
        </is>
      </c>
      <c r="D77" s="20" t="inlineStr">
        <is>
          <t>AP29AL5220</t>
        </is>
      </c>
      <c r="E77" s="20" t="inlineStr">
        <is>
          <t>MARUTI SUZUKI</t>
        </is>
      </c>
      <c r="F77" s="20" t="inlineStr">
        <is>
          <t>Wagon R</t>
        </is>
      </c>
      <c r="G77" s="21" t="n">
        <v>2010</v>
      </c>
      <c r="H77" s="22" t="n">
        <v>186538</v>
      </c>
      <c r="I77" s="23" t="n">
        <v>95000</v>
      </c>
      <c r="J77" s="20" t="inlineStr">
        <is>
          <t>Puneet Gupta</t>
        </is>
      </c>
      <c r="K77" s="20" t="inlineStr">
        <is>
          <t>Non-Captive</t>
        </is>
      </c>
      <c r="L77" s="20" t="inlineStr">
        <is>
          <t>Abdul Razzaq</t>
        </is>
      </c>
      <c r="M77" s="23" t="n">
        <v>4237.29</v>
      </c>
      <c r="N77" s="23" t="n">
        <v>5000</v>
      </c>
      <c r="O77" s="24">
        <f>IF(AND(ISNUMBER(M77), ISNUMBER(I77), I77&gt;0), M77/I77, "")</f>
        <v/>
      </c>
    </row>
    <row r="78">
      <c r="A78" s="19" t="inlineStr">
        <is>
          <t>FY26</t>
        </is>
      </c>
      <c r="B78" s="19" t="inlineStr">
        <is>
          <t>Feb</t>
        </is>
      </c>
      <c r="C78" s="19" t="inlineStr">
        <is>
          <t>AP/TS</t>
        </is>
      </c>
      <c r="D78" s="20" t="inlineStr">
        <is>
          <t>AP29BE3232</t>
        </is>
      </c>
      <c r="E78" s="20" t="inlineStr">
        <is>
          <t>HONDA</t>
        </is>
      </c>
      <c r="F78" s="20" t="inlineStr">
        <is>
          <t>City</t>
        </is>
      </c>
      <c r="G78" s="21" t="n">
        <v>2008</v>
      </c>
      <c r="H78" s="22" t="n">
        <v>180112</v>
      </c>
      <c r="I78" s="23" t="n">
        <v>65000</v>
      </c>
      <c r="J78" s="20" t="inlineStr">
        <is>
          <t>Puneet Gupta</t>
        </is>
      </c>
      <c r="K78" s="20" t="inlineStr">
        <is>
          <t>Non-Captive</t>
        </is>
      </c>
      <c r="L78" s="20" t="inlineStr">
        <is>
          <t>Katikala Jathin Sai</t>
        </is>
      </c>
      <c r="M78" s="23" t="n">
        <v>4237.29</v>
      </c>
      <c r="N78" s="23" t="n">
        <v>5000</v>
      </c>
      <c r="O78" s="24">
        <f>IF(AND(ISNUMBER(M78), ISNUMBER(I78), I78&gt;0), M78/I78, "")</f>
        <v/>
      </c>
    </row>
    <row r="79">
      <c r="A79" s="19" t="inlineStr">
        <is>
          <t>FY26</t>
        </is>
      </c>
      <c r="B79" s="19" t="inlineStr">
        <is>
          <t>Feb</t>
        </is>
      </c>
      <c r="C79" s="19" t="inlineStr">
        <is>
          <t>AP/TS</t>
        </is>
      </c>
      <c r="D79" s="20" t="inlineStr">
        <is>
          <t>AP28K5858</t>
        </is>
      </c>
      <c r="E79" s="20" t="inlineStr">
        <is>
          <t>HONDA</t>
        </is>
      </c>
      <c r="F79" s="20" t="inlineStr">
        <is>
          <t>City</t>
        </is>
      </c>
      <c r="G79" s="21" t="n">
        <v>1998</v>
      </c>
      <c r="H79" s="22" t="n">
        <v>195856</v>
      </c>
      <c r="I79" s="23" t="n">
        <v>45000</v>
      </c>
      <c r="J79" s="20" t="inlineStr">
        <is>
          <t>Puneet Gupta</t>
        </is>
      </c>
      <c r="K79" s="20" t="inlineStr">
        <is>
          <t>Non-Captive</t>
        </is>
      </c>
      <c r="L79" s="20" t="inlineStr">
        <is>
          <t>Uppari Sandeep Kumar</t>
        </is>
      </c>
      <c r="M79" s="23" t="n">
        <v>4237.29</v>
      </c>
      <c r="N79" s="23" t="n">
        <v>5000</v>
      </c>
      <c r="O79" s="24">
        <f>IF(AND(ISNUMBER(M79), ISNUMBER(I79), I79&gt;0), M79/I79, "")</f>
        <v/>
      </c>
    </row>
    <row r="80">
      <c r="A80" s="19" t="inlineStr">
        <is>
          <t>FY26</t>
        </is>
      </c>
      <c r="B80" s="19" t="inlineStr">
        <is>
          <t>Feb</t>
        </is>
      </c>
      <c r="C80" s="19" t="inlineStr">
        <is>
          <t>AP/TS</t>
        </is>
      </c>
      <c r="D80" s="20" t="inlineStr">
        <is>
          <t>AP28DT4590</t>
        </is>
      </c>
      <c r="E80" s="20" t="inlineStr">
        <is>
          <t>MAHINDRA</t>
        </is>
      </c>
      <c r="F80" s="20" t="inlineStr">
        <is>
          <t>Xuv500</t>
        </is>
      </c>
      <c r="G80" s="21" t="n">
        <v>2013</v>
      </c>
      <c r="H80" s="22" t="n">
        <v>169887</v>
      </c>
      <c r="I80" s="23" t="n">
        <v>310000</v>
      </c>
      <c r="J80" s="20" t="inlineStr">
        <is>
          <t>Exchange HYDERABAD</t>
        </is>
      </c>
      <c r="K80" s="20" t="inlineStr">
        <is>
          <t>Captive</t>
        </is>
      </c>
      <c r="L80" s="20" t="inlineStr">
        <is>
          <t>Prabjyoth Singh Wasu</t>
        </is>
      </c>
      <c r="M80" s="23" t="n">
        <v>8474.58</v>
      </c>
      <c r="N80" s="23" t="n">
        <v>10000</v>
      </c>
      <c r="O80" s="24">
        <f>IF(AND(ISNUMBER(M80), ISNUMBER(I80), I80&gt;0), M80/I80, "")</f>
        <v/>
      </c>
    </row>
    <row r="81">
      <c r="A81" s="19" t="inlineStr">
        <is>
          <t>FY26</t>
        </is>
      </c>
      <c r="B81" s="19" t="inlineStr">
        <is>
          <t>Feb</t>
        </is>
      </c>
      <c r="C81" s="19" t="inlineStr">
        <is>
          <t>AP/TS</t>
        </is>
      </c>
      <c r="D81" s="20" t="inlineStr">
        <is>
          <t>TS09EU9099</t>
        </is>
      </c>
      <c r="E81" s="20" t="inlineStr">
        <is>
          <t>VOLKSWAGEN</t>
        </is>
      </c>
      <c r="F81" s="20" t="inlineStr">
        <is>
          <t>Vento</t>
        </is>
      </c>
      <c r="G81" s="21" t="n">
        <v>2016</v>
      </c>
      <c r="H81" s="22" t="n">
        <v>86648</v>
      </c>
      <c r="I81" s="23" t="n">
        <v>390000</v>
      </c>
      <c r="J81" s="20" t="inlineStr">
        <is>
          <t>Exchange HYDERABAD</t>
        </is>
      </c>
      <c r="K81" s="20" t="inlineStr">
        <is>
          <t>Captive</t>
        </is>
      </c>
      <c r="L81" s="20" t="inlineStr">
        <is>
          <t>Prabjyoth Singh Wasu</t>
        </is>
      </c>
      <c r="M81" s="23" t="n">
        <v>8474.58</v>
      </c>
      <c r="N81" s="23" t="n">
        <v>10000</v>
      </c>
      <c r="O81" s="24">
        <f>IF(AND(ISNUMBER(M81), ISNUMBER(I81), I81&gt;0), M81/I81, "")</f>
        <v/>
      </c>
    </row>
    <row r="82">
      <c r="A82" s="19" t="inlineStr">
        <is>
          <t>FY26</t>
        </is>
      </c>
      <c r="B82" s="19" t="inlineStr">
        <is>
          <t>Feb</t>
        </is>
      </c>
      <c r="C82" s="19" t="inlineStr">
        <is>
          <t>AP/TS</t>
        </is>
      </c>
      <c r="D82" s="20" t="inlineStr">
        <is>
          <t>TS03EH4112</t>
        </is>
      </c>
      <c r="E82" s="20" t="inlineStr">
        <is>
          <t>RENAULT</t>
        </is>
      </c>
      <c r="F82" s="20" t="inlineStr">
        <is>
          <t>Kwid</t>
        </is>
      </c>
      <c r="G82" s="21" t="n">
        <v>2016</v>
      </c>
      <c r="H82" s="22" t="n">
        <v>145852</v>
      </c>
      <c r="I82" s="23" t="n">
        <v>130000</v>
      </c>
      <c r="J82" s="20" t="inlineStr">
        <is>
          <t>Bukya Santhosh Naik</t>
        </is>
      </c>
      <c r="K82" s="20" t="inlineStr">
        <is>
          <t>Non-Captive</t>
        </is>
      </c>
      <c r="L82" s="20" t="inlineStr">
        <is>
          <t>Prabjyoth Singh Wasu</t>
        </is>
      </c>
      <c r="M82" s="23" t="n">
        <v>4237.29</v>
      </c>
      <c r="N82" s="23" t="n">
        <v>5000</v>
      </c>
      <c r="O82" s="24">
        <f>IF(AND(ISNUMBER(M82), ISNUMBER(I82), I82&gt;0), M82/I82, "")</f>
        <v/>
      </c>
    </row>
    <row r="83">
      <c r="A83" s="19" t="inlineStr">
        <is>
          <t>FY26</t>
        </is>
      </c>
      <c r="B83" s="19" t="inlineStr">
        <is>
          <t>Feb</t>
        </is>
      </c>
      <c r="C83" s="19" t="inlineStr">
        <is>
          <t>AP/TS</t>
        </is>
      </c>
      <c r="D83" s="20" t="inlineStr">
        <is>
          <t>TS07EV6918</t>
        </is>
      </c>
      <c r="E83" s="20" t="inlineStr">
        <is>
          <t>RENAULT</t>
        </is>
      </c>
      <c r="F83" s="20" t="inlineStr">
        <is>
          <t>Kwid</t>
        </is>
      </c>
      <c r="G83" s="21" t="n">
        <v>2015</v>
      </c>
      <c r="H83" s="22" t="n">
        <v>189650</v>
      </c>
      <c r="I83" s="23" t="n">
        <v>110000</v>
      </c>
      <c r="J83" s="20" t="inlineStr">
        <is>
          <t>Bukya Santhosh Naik</t>
        </is>
      </c>
      <c r="K83" s="20" t="inlineStr">
        <is>
          <t>Non-Captive</t>
        </is>
      </c>
      <c r="L83" s="20" t="inlineStr">
        <is>
          <t>Prabjyoth Singh Wasu</t>
        </is>
      </c>
      <c r="M83" s="23" t="n">
        <v>4237.29</v>
      </c>
      <c r="N83" s="23" t="n">
        <v>5000</v>
      </c>
      <c r="O83" s="24">
        <f>IF(AND(ISNUMBER(M83), ISNUMBER(I83), I83&gt;0), M83/I83, "")</f>
        <v/>
      </c>
    </row>
    <row r="84">
      <c r="A84" s="19" t="inlineStr">
        <is>
          <t>FY26</t>
        </is>
      </c>
      <c r="B84" s="19" t="inlineStr">
        <is>
          <t>Feb</t>
        </is>
      </c>
      <c r="C84" s="19" t="inlineStr">
        <is>
          <t>AP/TS</t>
        </is>
      </c>
      <c r="D84" s="20" t="inlineStr">
        <is>
          <t>TS36E5258</t>
        </is>
      </c>
      <c r="E84" s="20" t="inlineStr">
        <is>
          <t>RENAULT</t>
        </is>
      </c>
      <c r="F84" s="20" t="inlineStr">
        <is>
          <t>Kwid</t>
        </is>
      </c>
      <c r="G84" s="21" t="n">
        <v>2019</v>
      </c>
      <c r="H84" s="22" t="n">
        <v>161247</v>
      </c>
      <c r="I84" s="23" t="n">
        <v>170000</v>
      </c>
      <c r="J84" s="20" t="inlineStr">
        <is>
          <t>Bukya Santhosh Naik</t>
        </is>
      </c>
      <c r="K84" s="20" t="inlineStr">
        <is>
          <t>Non-Captive</t>
        </is>
      </c>
      <c r="L84" s="20" t="inlineStr">
        <is>
          <t>Prabjyoth Singh Wasu</t>
        </is>
      </c>
      <c r="M84" s="23" t="n">
        <v>4237.29</v>
      </c>
      <c r="N84" s="23" t="n">
        <v>5000</v>
      </c>
      <c r="O84" s="24">
        <f>IF(AND(ISNUMBER(M84), ISNUMBER(I84), I84&gt;0), M84/I84, "")</f>
        <v/>
      </c>
    </row>
    <row r="85">
      <c r="A85" s="19" t="inlineStr">
        <is>
          <t>FY26</t>
        </is>
      </c>
      <c r="B85" s="19" t="inlineStr">
        <is>
          <t>Feb</t>
        </is>
      </c>
      <c r="C85" s="19" t="inlineStr">
        <is>
          <t>AP/TS</t>
        </is>
      </c>
      <c r="D85" s="20" t="inlineStr">
        <is>
          <t>AP39BR4057</t>
        </is>
      </c>
      <c r="E85" s="20" t="inlineStr">
        <is>
          <t>HYUNDAI</t>
        </is>
      </c>
      <c r="F85" s="20" t="inlineStr">
        <is>
          <t>Eon</t>
        </is>
      </c>
      <c r="G85" s="21" t="n">
        <v>2018</v>
      </c>
      <c r="H85" s="22" t="n">
        <v>128001</v>
      </c>
      <c r="I85" s="23" t="n">
        <v>150000</v>
      </c>
      <c r="J85" s="20" t="inlineStr">
        <is>
          <t>Guthi Ravi Krishna</t>
        </is>
      </c>
      <c r="K85" s="20" t="inlineStr">
        <is>
          <t>Non-Captive</t>
        </is>
      </c>
      <c r="L85" s="20" t="inlineStr">
        <is>
          <t>Vinod Kumar Murari</t>
        </is>
      </c>
      <c r="M85" s="23" t="n">
        <v>4237.29</v>
      </c>
      <c r="N85" s="23" t="n">
        <v>5000</v>
      </c>
      <c r="O85" s="24">
        <f>IF(AND(ISNUMBER(M85), ISNUMBER(I85), I85&gt;0), M85/I85, "")</f>
        <v/>
      </c>
    </row>
    <row r="86">
      <c r="A86" s="19" t="inlineStr">
        <is>
          <t>FY26</t>
        </is>
      </c>
      <c r="B86" s="19" t="inlineStr">
        <is>
          <t>Feb</t>
        </is>
      </c>
      <c r="C86" s="19" t="inlineStr">
        <is>
          <t>AP/TS</t>
        </is>
      </c>
      <c r="D86" s="20" t="inlineStr">
        <is>
          <t>AP26BE4126</t>
        </is>
      </c>
      <c r="E86" s="20" t="inlineStr">
        <is>
          <t>HYUNDAI</t>
        </is>
      </c>
      <c r="F86" s="20" t="inlineStr">
        <is>
          <t>I10</t>
        </is>
      </c>
      <c r="G86" s="21" t="n">
        <v>2015</v>
      </c>
      <c r="H86" s="22" t="n">
        <v>251225</v>
      </c>
      <c r="I86" s="23" t="n">
        <v>150000</v>
      </c>
      <c r="J86" s="20" t="inlineStr">
        <is>
          <t>Guthi Ravi Krishna</t>
        </is>
      </c>
      <c r="K86" s="20" t="inlineStr">
        <is>
          <t>Non-Captive</t>
        </is>
      </c>
      <c r="L86" s="20" t="inlineStr">
        <is>
          <t>Gopi Naga Raju</t>
        </is>
      </c>
      <c r="M86" s="23" t="n">
        <v>4237.29</v>
      </c>
      <c r="N86" s="23" t="n">
        <v>5000</v>
      </c>
      <c r="O86" s="24">
        <f>IF(AND(ISNUMBER(M86), ISNUMBER(I86), I86&gt;0), M86/I86, "")</f>
        <v/>
      </c>
    </row>
    <row r="87">
      <c r="A87" s="19" t="inlineStr">
        <is>
          <t>FY26</t>
        </is>
      </c>
      <c r="B87" s="19" t="inlineStr">
        <is>
          <t>Feb</t>
        </is>
      </c>
      <c r="C87" s="19" t="inlineStr">
        <is>
          <t>AP/TS</t>
        </is>
      </c>
      <c r="D87" s="20" t="inlineStr">
        <is>
          <t>AP31CM0270</t>
        </is>
      </c>
      <c r="E87" s="20" t="inlineStr">
        <is>
          <t>HONDA</t>
        </is>
      </c>
      <c r="F87" s="20" t="inlineStr">
        <is>
          <t>Amaze</t>
        </is>
      </c>
      <c r="G87" s="21" t="n">
        <v>2013</v>
      </c>
      <c r="H87" s="22" t="n">
        <v>61072</v>
      </c>
      <c r="I87" s="23" t="n">
        <v>160000</v>
      </c>
      <c r="J87" s="20" t="inlineStr">
        <is>
          <t>Exchange VIZAG</t>
        </is>
      </c>
      <c r="K87" s="20" t="inlineStr">
        <is>
          <t>Captive</t>
        </is>
      </c>
      <c r="L87" s="20" t="inlineStr">
        <is>
          <t>Gadi Sri Bharathi</t>
        </is>
      </c>
      <c r="M87" s="23" t="n">
        <v>6779.66</v>
      </c>
      <c r="N87" s="23" t="n">
        <v>8000</v>
      </c>
      <c r="O87" s="24">
        <f>IF(AND(ISNUMBER(M87), ISNUMBER(I87), I87&gt;0), M87/I87, "")</f>
        <v/>
      </c>
    </row>
    <row r="88">
      <c r="A88" s="19" t="inlineStr">
        <is>
          <t>FY26</t>
        </is>
      </c>
      <c r="B88" s="19" t="inlineStr">
        <is>
          <t>Feb</t>
        </is>
      </c>
      <c r="C88" s="19" t="inlineStr">
        <is>
          <t>AP/TS</t>
        </is>
      </c>
      <c r="D88" s="20" t="inlineStr">
        <is>
          <t>AP31BY6080</t>
        </is>
      </c>
      <c r="E88" s="20" t="inlineStr">
        <is>
          <t>TATA</t>
        </is>
      </c>
      <c r="F88" s="20" t="inlineStr">
        <is>
          <t>Nano</t>
        </is>
      </c>
      <c r="G88" s="21" t="n">
        <v>2011</v>
      </c>
      <c r="H88" s="22" t="n">
        <v>153152</v>
      </c>
      <c r="I88" s="23" t="n">
        <v>35000</v>
      </c>
      <c r="J88" s="20" t="inlineStr">
        <is>
          <t>Tiyyagura Venkata Reddy</t>
        </is>
      </c>
      <c r="K88" s="20" t="inlineStr">
        <is>
          <t>Non-Captive</t>
        </is>
      </c>
      <c r="L88" s="20" t="inlineStr">
        <is>
          <t>Gadi Sri Bharathi</t>
        </is>
      </c>
      <c r="M88" s="23" t="n">
        <v>4237.29</v>
      </c>
      <c r="N88" s="23" t="n">
        <v>5000</v>
      </c>
      <c r="O88" s="24">
        <f>IF(AND(ISNUMBER(M88), ISNUMBER(I88), I88&gt;0), M88/I88, "")</f>
        <v/>
      </c>
    </row>
    <row r="89">
      <c r="A89" s="19" t="inlineStr">
        <is>
          <t>FY26</t>
        </is>
      </c>
      <c r="B89" s="19" t="inlineStr">
        <is>
          <t>Feb</t>
        </is>
      </c>
      <c r="C89" s="19" t="inlineStr">
        <is>
          <t>AP/TS</t>
        </is>
      </c>
      <c r="D89" s="20" t="inlineStr">
        <is>
          <t>TS10EG5429</t>
        </is>
      </c>
      <c r="E89" s="20" t="inlineStr">
        <is>
          <t>HONDA</t>
        </is>
      </c>
      <c r="F89" s="20" t="inlineStr">
        <is>
          <t>Amaze</t>
        </is>
      </c>
      <c r="G89" s="21" t="n">
        <v>2016</v>
      </c>
      <c r="H89" s="22" t="n">
        <v>115617</v>
      </c>
      <c r="I89" s="23" t="n">
        <v>255000</v>
      </c>
      <c r="J89" s="20" t="inlineStr">
        <is>
          <t>Exchange HYDERABAD</t>
        </is>
      </c>
      <c r="K89" s="20" t="inlineStr">
        <is>
          <t>Captive</t>
        </is>
      </c>
      <c r="L89" s="20" t="inlineStr">
        <is>
          <t>Gorenka Vinay Shravan</t>
        </is>
      </c>
      <c r="M89" s="23" t="n">
        <v>8474.58</v>
      </c>
      <c r="N89" s="23" t="n">
        <v>10000</v>
      </c>
      <c r="O89" s="24">
        <f>IF(AND(ISNUMBER(M89), ISNUMBER(I89), I89&gt;0), M89/I89, "")</f>
        <v/>
      </c>
    </row>
    <row r="90">
      <c r="A90" s="19" t="inlineStr">
        <is>
          <t>FY26</t>
        </is>
      </c>
      <c r="B90" s="19" t="inlineStr">
        <is>
          <t>Feb</t>
        </is>
      </c>
      <c r="C90" s="19" t="inlineStr">
        <is>
          <t>AP/TS</t>
        </is>
      </c>
      <c r="D90" s="20" t="inlineStr">
        <is>
          <t>AP10AU4393</t>
        </is>
      </c>
      <c r="E90" s="20" t="inlineStr">
        <is>
          <t>MARUTI SUZUKI</t>
        </is>
      </c>
      <c r="F90" s="20" t="inlineStr">
        <is>
          <t>Wagon R</t>
        </is>
      </c>
      <c r="G90" s="21" t="n">
        <v>2010</v>
      </c>
      <c r="H90" s="22" t="n">
        <v>115580</v>
      </c>
      <c r="I90" s="23" t="n">
        <v>120000</v>
      </c>
      <c r="J90" s="20" t="inlineStr">
        <is>
          <t>Bukya Santhosh Naik</t>
        </is>
      </c>
      <c r="K90" s="20" t="inlineStr">
        <is>
          <t>Non-Captive</t>
        </is>
      </c>
      <c r="L90" s="20" t="inlineStr">
        <is>
          <t>Gorenka Vinay Shravan</t>
        </is>
      </c>
      <c r="M90" s="23" t="n">
        <v>4237.29</v>
      </c>
      <c r="N90" s="23" t="n">
        <v>5000</v>
      </c>
      <c r="O90" s="24">
        <f>IF(AND(ISNUMBER(M90), ISNUMBER(I90), I90&gt;0), M90/I90, "")</f>
        <v/>
      </c>
    </row>
    <row r="91">
      <c r="A91" s="19" t="inlineStr">
        <is>
          <t>FY26</t>
        </is>
      </c>
      <c r="B91" s="19" t="inlineStr">
        <is>
          <t>Feb</t>
        </is>
      </c>
      <c r="C91" s="19" t="inlineStr">
        <is>
          <t>AP/TS</t>
        </is>
      </c>
      <c r="D91" s="20" t="inlineStr">
        <is>
          <t>AP11AP4627</t>
        </is>
      </c>
      <c r="E91" s="20" t="inlineStr">
        <is>
          <t>HONDA</t>
        </is>
      </c>
      <c r="F91" s="20" t="inlineStr">
        <is>
          <t>City</t>
        </is>
      </c>
      <c r="G91" s="21" t="n">
        <v>2012</v>
      </c>
      <c r="H91" s="22" t="n">
        <v>110251</v>
      </c>
      <c r="I91" s="23" t="n">
        <v>200000</v>
      </c>
      <c r="J91" s="20" t="inlineStr">
        <is>
          <t>Exchange HYDERABAD</t>
        </is>
      </c>
      <c r="K91" s="20" t="inlineStr">
        <is>
          <t>Captive</t>
        </is>
      </c>
      <c r="L91" s="20" t="inlineStr">
        <is>
          <t>Puneet Gupta</t>
        </is>
      </c>
      <c r="M91" s="23" t="n">
        <v>8474.58</v>
      </c>
      <c r="N91" s="23" t="n">
        <v>10000</v>
      </c>
      <c r="O91" s="24">
        <f>IF(AND(ISNUMBER(M91), ISNUMBER(I91), I91&gt;0), M91/I91, "")</f>
        <v/>
      </c>
    </row>
    <row r="92">
      <c r="A92" s="19" t="inlineStr">
        <is>
          <t>FY26</t>
        </is>
      </c>
      <c r="B92" s="19" t="inlineStr">
        <is>
          <t>Feb</t>
        </is>
      </c>
      <c r="C92" s="19" t="inlineStr">
        <is>
          <t>AP/TS</t>
        </is>
      </c>
      <c r="D92" s="20" t="inlineStr">
        <is>
          <t>TS07EU3566</t>
        </is>
      </c>
      <c r="E92" s="20" t="inlineStr">
        <is>
          <t>MARUTI SUZUKI</t>
        </is>
      </c>
      <c r="F92" s="20" t="inlineStr">
        <is>
          <t>Alto</t>
        </is>
      </c>
      <c r="G92" s="21" t="n">
        <v>2015</v>
      </c>
      <c r="H92" s="22" t="n">
        <v>162521</v>
      </c>
      <c r="I92" s="23" t="n">
        <v>125000</v>
      </c>
      <c r="J92" s="20" t="inlineStr">
        <is>
          <t>Pudari Babu</t>
        </is>
      </c>
      <c r="K92" s="20" t="inlineStr">
        <is>
          <t>Non-Captive</t>
        </is>
      </c>
      <c r="L92" s="20" t="inlineStr">
        <is>
          <t>Puneet Gupta</t>
        </is>
      </c>
      <c r="M92" s="23" t="n">
        <v>4237.29</v>
      </c>
      <c r="N92" s="23" t="n">
        <v>5000</v>
      </c>
      <c r="O92" s="24">
        <f>IF(AND(ISNUMBER(M92), ISNUMBER(I92), I92&gt;0), M92/I92, "")</f>
        <v/>
      </c>
    </row>
    <row r="93">
      <c r="A93" s="19" t="inlineStr">
        <is>
          <t>FY26</t>
        </is>
      </c>
      <c r="B93" s="19" t="inlineStr">
        <is>
          <t>Feb</t>
        </is>
      </c>
      <c r="C93" s="19" t="inlineStr">
        <is>
          <t>AP/TS</t>
        </is>
      </c>
      <c r="D93" s="20" t="inlineStr">
        <is>
          <t>TS08EL1213</t>
        </is>
      </c>
      <c r="E93" s="20" t="inlineStr">
        <is>
          <t>MARUTI SUZUKI</t>
        </is>
      </c>
      <c r="F93" s="20" t="inlineStr">
        <is>
          <t>Alto</t>
        </is>
      </c>
      <c r="G93" s="21" t="n">
        <v>2015</v>
      </c>
      <c r="H93" s="22" t="n">
        <v>175212</v>
      </c>
      <c r="I93" s="23" t="n">
        <v>110000</v>
      </c>
      <c r="J93" s="20" t="inlineStr">
        <is>
          <t>Pudari Babu</t>
        </is>
      </c>
      <c r="K93" s="20" t="inlineStr">
        <is>
          <t>Non-Captive</t>
        </is>
      </c>
      <c r="L93" s="20" t="inlineStr">
        <is>
          <t>Puneet Gupta</t>
        </is>
      </c>
      <c r="M93" s="23" t="n">
        <v>4237.29</v>
      </c>
      <c r="N93" s="23" t="n">
        <v>5000</v>
      </c>
      <c r="O93" s="24">
        <f>IF(AND(ISNUMBER(M93), ISNUMBER(I93), I93&gt;0), M93/I93, "")</f>
        <v/>
      </c>
    </row>
    <row r="94">
      <c r="A94" s="19" t="inlineStr">
        <is>
          <t>FY26</t>
        </is>
      </c>
      <c r="B94" s="19" t="inlineStr">
        <is>
          <t>Feb</t>
        </is>
      </c>
      <c r="C94" s="19" t="inlineStr">
        <is>
          <t>AP/TS</t>
        </is>
      </c>
      <c r="D94" s="20" t="inlineStr">
        <is>
          <t>AP26BZ2007</t>
        </is>
      </c>
      <c r="E94" s="20" t="inlineStr">
        <is>
          <t>HONDA</t>
        </is>
      </c>
      <c r="F94" s="20" t="inlineStr">
        <is>
          <t>City</t>
        </is>
      </c>
      <c r="G94" s="21" t="n">
        <v>2017</v>
      </c>
      <c r="H94" s="22" t="n">
        <v>88012</v>
      </c>
      <c r="I94" s="23" t="n">
        <v>426500</v>
      </c>
      <c r="J94" s="20" t="inlineStr">
        <is>
          <t>Exchange VIJAYAWADA</t>
        </is>
      </c>
      <c r="K94" s="20" t="inlineStr">
        <is>
          <t>Captive</t>
        </is>
      </c>
      <c r="L94" s="20" t="inlineStr">
        <is>
          <t>Mohammed Gouse Basha</t>
        </is>
      </c>
      <c r="M94" s="23" t="n">
        <v>5508.47</v>
      </c>
      <c r="N94" s="23" t="n">
        <v>6500</v>
      </c>
      <c r="O94" s="24">
        <f>IF(AND(ISNUMBER(M94), ISNUMBER(I94), I94&gt;0), M94/I94, "")</f>
        <v/>
      </c>
    </row>
    <row r="95">
      <c r="A95" s="19" t="inlineStr">
        <is>
          <t>FY26</t>
        </is>
      </c>
      <c r="B95" s="19" t="inlineStr">
        <is>
          <t>Feb</t>
        </is>
      </c>
      <c r="C95" s="19" t="inlineStr">
        <is>
          <t>AP/TS</t>
        </is>
      </c>
      <c r="D95" s="20" t="inlineStr">
        <is>
          <t>AP16CE9118</t>
        </is>
      </c>
      <c r="E95" s="20" t="inlineStr">
        <is>
          <t>MARUTI SUZUKI</t>
        </is>
      </c>
      <c r="F95" s="20" t="inlineStr">
        <is>
          <t>Swift Dzire</t>
        </is>
      </c>
      <c r="G95" s="21" t="n">
        <v>2012</v>
      </c>
      <c r="H95" s="22" t="n">
        <v>172552</v>
      </c>
      <c r="I95" s="23" t="n">
        <v>193000</v>
      </c>
      <c r="J95" s="20" t="inlineStr">
        <is>
          <t>Exchange VIZAG</t>
        </is>
      </c>
      <c r="K95" s="20" t="inlineStr">
        <is>
          <t>Captive</t>
        </is>
      </c>
      <c r="L95" s="20" t="inlineStr">
        <is>
          <t>Gadi Sri Bharathi</t>
        </is>
      </c>
      <c r="M95" s="23" t="n">
        <v>6779.66</v>
      </c>
      <c r="N95" s="23" t="n">
        <v>8000</v>
      </c>
      <c r="O95" s="24">
        <f>IF(AND(ISNUMBER(M95), ISNUMBER(I95), I95&gt;0), M95/I95, "")</f>
        <v/>
      </c>
    </row>
    <row r="96">
      <c r="A96" s="19" t="inlineStr">
        <is>
          <t>FY26</t>
        </is>
      </c>
      <c r="B96" s="19" t="inlineStr">
        <is>
          <t>Feb</t>
        </is>
      </c>
      <c r="C96" s="19" t="inlineStr">
        <is>
          <t>AP/TS</t>
        </is>
      </c>
      <c r="D96" s="20" t="inlineStr">
        <is>
          <t>AP28CA6336</t>
        </is>
      </c>
      <c r="E96" s="20" t="inlineStr">
        <is>
          <t>HYUNDAI</t>
        </is>
      </c>
      <c r="F96" s="20" t="inlineStr">
        <is>
          <t>Getz Prime</t>
        </is>
      </c>
      <c r="G96" s="21" t="n">
        <v>2008</v>
      </c>
      <c r="H96" s="22" t="n">
        <v>185899</v>
      </c>
      <c r="I96" s="23" t="n">
        <v>35000</v>
      </c>
      <c r="J96" s="20" t="inlineStr">
        <is>
          <t>Tiyyagura Venkata Reddy</t>
        </is>
      </c>
      <c r="K96" s="20" t="inlineStr">
        <is>
          <t>Non-Captive</t>
        </is>
      </c>
      <c r="L96" s="20" t="inlineStr">
        <is>
          <t>Gadi Sri Bharathi</t>
        </is>
      </c>
      <c r="M96" s="23" t="n">
        <v>4237.29</v>
      </c>
      <c r="N96" s="23" t="n">
        <v>5000</v>
      </c>
      <c r="O96" s="24">
        <f>IF(AND(ISNUMBER(M96), ISNUMBER(I96), I96&gt;0), M96/I96, "")</f>
        <v/>
      </c>
    </row>
    <row r="97">
      <c r="A97" s="19" t="inlineStr">
        <is>
          <t>FY26</t>
        </is>
      </c>
      <c r="B97" s="19" t="inlineStr">
        <is>
          <t>Mar</t>
        </is>
      </c>
      <c r="C97" s="19" t="inlineStr">
        <is>
          <t>AP/TS</t>
        </is>
      </c>
      <c r="D97" s="20" t="inlineStr">
        <is>
          <t>AP16FC7259</t>
        </is>
      </c>
      <c r="E97" s="20" t="inlineStr">
        <is>
          <t>HONDA</t>
        </is>
      </c>
      <c r="F97" s="20" t="inlineStr">
        <is>
          <t>Wr-V</t>
        </is>
      </c>
      <c r="G97" s="21" t="n">
        <v>2018</v>
      </c>
      <c r="H97" s="22" t="n">
        <v>89824</v>
      </c>
      <c r="I97" s="23" t="n">
        <v>495900</v>
      </c>
      <c r="J97" s="20" t="inlineStr">
        <is>
          <t>Exchange VIJAYAWADA</t>
        </is>
      </c>
      <c r="K97" s="20" t="inlineStr">
        <is>
          <t>Captive</t>
        </is>
      </c>
      <c r="L97" s="20" t="inlineStr">
        <is>
          <t>Mohammed Gouse Basha</t>
        </is>
      </c>
      <c r="M97" s="23" t="n">
        <v>5000</v>
      </c>
      <c r="N97" s="23" t="n">
        <v>5900</v>
      </c>
      <c r="O97" s="24">
        <f>IF(AND(ISNUMBER(M97), ISNUMBER(I97), I97&gt;0), M97/I97, "")</f>
        <v/>
      </c>
    </row>
    <row r="98">
      <c r="A98" s="19" t="inlineStr">
        <is>
          <t>FY26</t>
        </is>
      </c>
      <c r="B98" s="19" t="inlineStr">
        <is>
          <t>Mar</t>
        </is>
      </c>
      <c r="C98" s="19" t="inlineStr">
        <is>
          <t>AP/TS</t>
        </is>
      </c>
      <c r="D98" s="20" t="inlineStr">
        <is>
          <t>AP05BN2223</t>
        </is>
      </c>
      <c r="E98" s="20" t="inlineStr">
        <is>
          <t>HYUNDAI</t>
        </is>
      </c>
      <c r="F98" s="20" t="inlineStr">
        <is>
          <t>I20</t>
        </is>
      </c>
      <c r="G98" s="21" t="n">
        <v>2009</v>
      </c>
      <c r="H98" s="22" t="n">
        <v>231658</v>
      </c>
      <c r="I98" s="23" t="n">
        <v>96000</v>
      </c>
      <c r="J98" s="20" t="inlineStr">
        <is>
          <t>T Srinivas</t>
        </is>
      </c>
      <c r="K98" s="20" t="inlineStr">
        <is>
          <t>Non-Captive</t>
        </is>
      </c>
      <c r="L98" s="20" t="inlineStr">
        <is>
          <t>Mohammed Gouse Basha</t>
        </is>
      </c>
      <c r="M98" s="23" t="n">
        <v>5084.75</v>
      </c>
      <c r="N98" s="23" t="n">
        <v>6000</v>
      </c>
      <c r="O98" s="24">
        <f>IF(AND(ISNUMBER(M98), ISNUMBER(I98), I98&gt;0), M98/I98, "")</f>
        <v/>
      </c>
    </row>
    <row r="99">
      <c r="A99" s="19" t="inlineStr">
        <is>
          <t>FY26</t>
        </is>
      </c>
      <c r="B99" s="19" t="inlineStr">
        <is>
          <t>Mar</t>
        </is>
      </c>
      <c r="C99" s="19" t="inlineStr">
        <is>
          <t>AP/TS</t>
        </is>
      </c>
      <c r="D99" s="20" t="inlineStr">
        <is>
          <t>AP37AY5679</t>
        </is>
      </c>
      <c r="E99" s="20" t="inlineStr">
        <is>
          <t>HYUNDAI</t>
        </is>
      </c>
      <c r="F99" s="20" t="inlineStr">
        <is>
          <t>I10</t>
        </is>
      </c>
      <c r="G99" s="21" t="n">
        <v>2010</v>
      </c>
      <c r="H99" s="22" t="n">
        <v>156679</v>
      </c>
      <c r="I99" s="23" t="n">
        <v>96000</v>
      </c>
      <c r="J99" s="20" t="inlineStr">
        <is>
          <t>T Srinivas</t>
        </is>
      </c>
      <c r="K99" s="20" t="inlineStr">
        <is>
          <t>Non-Captive</t>
        </is>
      </c>
      <c r="L99" s="20" t="inlineStr">
        <is>
          <t>Mohammed Gouse Basha</t>
        </is>
      </c>
      <c r="M99" s="23" t="n">
        <v>5084.75</v>
      </c>
      <c r="N99" s="23" t="n">
        <v>6000</v>
      </c>
      <c r="O99" s="24">
        <f>IF(AND(ISNUMBER(M99), ISNUMBER(I99), I99&gt;0), M99/I99, "")</f>
        <v/>
      </c>
    </row>
    <row r="100">
      <c r="A100" s="19" t="inlineStr">
        <is>
          <t>FY26</t>
        </is>
      </c>
      <c r="B100" s="19" t="inlineStr">
        <is>
          <t>Mar</t>
        </is>
      </c>
      <c r="C100" s="19" t="inlineStr">
        <is>
          <t>AP/TS</t>
        </is>
      </c>
      <c r="D100" s="20" t="inlineStr">
        <is>
          <t>AP36AW4479</t>
        </is>
      </c>
      <c r="E100" s="20" t="inlineStr">
        <is>
          <t>HONDA</t>
        </is>
      </c>
      <c r="F100" s="20" t="inlineStr">
        <is>
          <t>Amaze</t>
        </is>
      </c>
      <c r="G100" s="21" t="n">
        <v>2013</v>
      </c>
      <c r="H100" s="22" t="n">
        <v>254376</v>
      </c>
      <c r="I100" s="23" t="n">
        <v>106000</v>
      </c>
      <c r="J100" s="20" t="inlineStr">
        <is>
          <t>T Srinivas</t>
        </is>
      </c>
      <c r="K100" s="20" t="inlineStr">
        <is>
          <t>Non-Captive</t>
        </is>
      </c>
      <c r="L100" s="20" t="inlineStr">
        <is>
          <t>Mohammed Gouse Basha</t>
        </is>
      </c>
      <c r="M100" s="23" t="n">
        <v>5084.75</v>
      </c>
      <c r="N100" s="23" t="n">
        <v>6000</v>
      </c>
      <c r="O100" s="24">
        <f>IF(AND(ISNUMBER(M100), ISNUMBER(I100), I100&gt;0), M100/I100, "")</f>
        <v/>
      </c>
    </row>
    <row r="101">
      <c r="A101" s="19" t="inlineStr">
        <is>
          <t>FY26</t>
        </is>
      </c>
      <c r="B101" s="19" t="inlineStr">
        <is>
          <t>Mar</t>
        </is>
      </c>
      <c r="C101" s="19" t="inlineStr">
        <is>
          <t>AP/TS</t>
        </is>
      </c>
      <c r="D101" s="20" t="inlineStr">
        <is>
          <t>AP16EF3766</t>
        </is>
      </c>
      <c r="E101" s="20" t="inlineStr">
        <is>
          <t>HONDA</t>
        </is>
      </c>
      <c r="F101" s="20" t="inlineStr">
        <is>
          <t>Brio</t>
        </is>
      </c>
      <c r="G101" s="21" t="n">
        <v>2017</v>
      </c>
      <c r="H101" s="22" t="n">
        <v>166661</v>
      </c>
      <c r="I101" s="23" t="n">
        <v>126000</v>
      </c>
      <c r="J101" s="20" t="inlineStr">
        <is>
          <t>T Srinivas</t>
        </is>
      </c>
      <c r="K101" s="20" t="inlineStr">
        <is>
          <t>Non-Captive</t>
        </is>
      </c>
      <c r="L101" s="20" t="inlineStr">
        <is>
          <t>Mohammed Gouse Basha</t>
        </is>
      </c>
      <c r="M101" s="23" t="n">
        <v>5084.75</v>
      </c>
      <c r="N101" s="23" t="n">
        <v>6000</v>
      </c>
      <c r="O101" s="24">
        <f>IF(AND(ISNUMBER(M101), ISNUMBER(I101), I101&gt;0), M101/I101, "")</f>
        <v/>
      </c>
    </row>
    <row r="102">
      <c r="A102" s="19" t="inlineStr">
        <is>
          <t>FY26</t>
        </is>
      </c>
      <c r="B102" s="19" t="inlineStr">
        <is>
          <t>Mar</t>
        </is>
      </c>
      <c r="C102" s="19" t="inlineStr">
        <is>
          <t>AP/TS</t>
        </is>
      </c>
      <c r="D102" s="20" t="inlineStr">
        <is>
          <t>AP07AD5005</t>
        </is>
      </c>
      <c r="E102" s="20" t="inlineStr">
        <is>
          <t>HONDA</t>
        </is>
      </c>
      <c r="F102" s="20" t="inlineStr">
        <is>
          <t>City</t>
        </is>
      </c>
      <c r="G102" s="21" t="n">
        <v>2006</v>
      </c>
      <c r="H102" s="22" t="n">
        <v>196908</v>
      </c>
      <c r="I102" s="23" t="n">
        <v>110000</v>
      </c>
      <c r="J102" s="20" t="inlineStr">
        <is>
          <t>Exchange VIJAYAWADA</t>
        </is>
      </c>
      <c r="K102" s="20" t="inlineStr">
        <is>
          <t>Captive</t>
        </is>
      </c>
      <c r="L102" s="20" t="inlineStr">
        <is>
          <t>Suresh Ginjupalli</t>
        </is>
      </c>
      <c r="M102" s="23" t="n">
        <v>8474.58</v>
      </c>
      <c r="N102" s="23" t="n">
        <v>10000</v>
      </c>
      <c r="O102" s="24">
        <f>IF(AND(ISNUMBER(M102), ISNUMBER(I102), I102&gt;0), M102/I102, "")</f>
        <v/>
      </c>
    </row>
    <row r="103">
      <c r="A103" s="19" t="inlineStr">
        <is>
          <t>FY26</t>
        </is>
      </c>
      <c r="B103" s="19" t="inlineStr">
        <is>
          <t>Mar</t>
        </is>
      </c>
      <c r="C103" s="19" t="inlineStr">
        <is>
          <t>AP/TS</t>
        </is>
      </c>
      <c r="D103" s="20" t="inlineStr">
        <is>
          <t>AP16CF1270</t>
        </is>
      </c>
      <c r="E103" s="20" t="inlineStr">
        <is>
          <t>SKODA</t>
        </is>
      </c>
      <c r="F103" s="20" t="inlineStr">
        <is>
          <t>Fiesta</t>
        </is>
      </c>
      <c r="G103" s="21" t="n">
        <v>2012</v>
      </c>
      <c r="H103" s="22" t="n">
        <v>188710</v>
      </c>
      <c r="I103" s="23" t="n">
        <v>90000</v>
      </c>
      <c r="J103" s="20" t="inlineStr">
        <is>
          <t>Gopi Nagaraju</t>
        </is>
      </c>
      <c r="K103" s="20" t="inlineStr">
        <is>
          <t>Non-Captive</t>
        </is>
      </c>
      <c r="L103" s="20" t="inlineStr">
        <is>
          <t>Devarapalli Avinash</t>
        </is>
      </c>
      <c r="M103" s="23" t="n">
        <v>5932.2</v>
      </c>
      <c r="N103" s="23" t="n">
        <v>7000</v>
      </c>
      <c r="O103" s="24">
        <f>IF(AND(ISNUMBER(M103), ISNUMBER(I103), I103&gt;0), M103/I103, "")</f>
        <v/>
      </c>
    </row>
    <row r="104">
      <c r="A104" s="19" t="inlineStr">
        <is>
          <t>FY26</t>
        </is>
      </c>
      <c r="B104" s="19" t="inlineStr">
        <is>
          <t>Mar</t>
        </is>
      </c>
      <c r="C104" s="19" t="inlineStr">
        <is>
          <t>AP/TS</t>
        </is>
      </c>
      <c r="D104" s="20" t="inlineStr">
        <is>
          <t>AP37BJ0289</t>
        </is>
      </c>
      <c r="E104" s="20" t="inlineStr">
        <is>
          <t>TOYOTA</t>
        </is>
      </c>
      <c r="F104" s="20" t="inlineStr">
        <is>
          <t>Etios</t>
        </is>
      </c>
      <c r="G104" s="21" t="n">
        <v>2011</v>
      </c>
      <c r="H104" s="22" t="n">
        <v>172519</v>
      </c>
      <c r="I104" s="23" t="n">
        <v>80000</v>
      </c>
      <c r="J104" s="20" t="inlineStr">
        <is>
          <t>Gopi Nagaraju</t>
        </is>
      </c>
      <c r="K104" s="20" t="inlineStr">
        <is>
          <t>Non-Captive</t>
        </is>
      </c>
      <c r="L104" s="20" t="inlineStr">
        <is>
          <t>Naga Suresh Polukonda</t>
        </is>
      </c>
      <c r="M104" s="23" t="n">
        <v>5084.75</v>
      </c>
      <c r="N104" s="23" t="n">
        <v>6000</v>
      </c>
      <c r="O104" s="24">
        <f>IF(AND(ISNUMBER(M104), ISNUMBER(I104), I104&gt;0), M104/I104, "")</f>
        <v/>
      </c>
    </row>
    <row r="105">
      <c r="A105" s="19" t="inlineStr">
        <is>
          <t>FY26</t>
        </is>
      </c>
      <c r="B105" s="19" t="inlineStr">
        <is>
          <t>Mar</t>
        </is>
      </c>
      <c r="C105" s="19" t="inlineStr">
        <is>
          <t>AP/TS</t>
        </is>
      </c>
      <c r="D105" s="20" t="inlineStr">
        <is>
          <t>AP16BS8730</t>
        </is>
      </c>
      <c r="E105" s="20" t="inlineStr">
        <is>
          <t>HYUNDAI</t>
        </is>
      </c>
      <c r="F105" s="20" t="inlineStr">
        <is>
          <t>I20</t>
        </is>
      </c>
      <c r="G105" s="21" t="n">
        <v>2010</v>
      </c>
      <c r="H105" s="22" t="n">
        <v>128322</v>
      </c>
      <c r="I105" s="23" t="n">
        <v>95000</v>
      </c>
      <c r="J105" s="20" t="inlineStr">
        <is>
          <t>Naga Suresh Polukonda</t>
        </is>
      </c>
      <c r="K105" s="20" t="inlineStr">
        <is>
          <t>Non-Captive</t>
        </is>
      </c>
      <c r="L105" s="20" t="inlineStr">
        <is>
          <t>Gopi Naga Raju</t>
        </is>
      </c>
      <c r="M105" s="23" t="n">
        <v>4237.29</v>
      </c>
      <c r="N105" s="23" t="n">
        <v>5000</v>
      </c>
      <c r="O105" s="24">
        <f>IF(AND(ISNUMBER(M105), ISNUMBER(I105), I105&gt;0), M105/I105, "")</f>
        <v/>
      </c>
    </row>
    <row r="106">
      <c r="A106" s="19" t="inlineStr">
        <is>
          <t>FY26</t>
        </is>
      </c>
      <c r="B106" s="19" t="inlineStr">
        <is>
          <t>Mar</t>
        </is>
      </c>
      <c r="C106" s="19" t="inlineStr">
        <is>
          <t>AP/TS</t>
        </is>
      </c>
      <c r="D106" s="20" t="inlineStr">
        <is>
          <t>AP16DA5959</t>
        </is>
      </c>
      <c r="E106" s="20" t="inlineStr">
        <is>
          <t>HONDA</t>
        </is>
      </c>
      <c r="F106" s="20" t="inlineStr">
        <is>
          <t>City</t>
        </is>
      </c>
      <c r="G106" s="21" t="n">
        <v>2015</v>
      </c>
      <c r="H106" s="22" t="n">
        <v>107260</v>
      </c>
      <c r="I106" s="23" t="n">
        <v>480000</v>
      </c>
      <c r="J106" s="20" t="inlineStr">
        <is>
          <t>Exchange VIJAYAWADA</t>
        </is>
      </c>
      <c r="K106" s="20" t="inlineStr">
        <is>
          <t>Captive</t>
        </is>
      </c>
      <c r="L106" s="20" t="inlineStr">
        <is>
          <t>Bhanu Chandar Singaraju</t>
        </is>
      </c>
      <c r="M106" s="23" t="n">
        <v>8474.58</v>
      </c>
      <c r="N106" s="23" t="n">
        <v>10000</v>
      </c>
      <c r="O106" s="24">
        <f>IF(AND(ISNUMBER(M106), ISNUMBER(I106), I106&gt;0), M106/I106, "")</f>
        <v/>
      </c>
    </row>
    <row r="107">
      <c r="A107" s="19" t="inlineStr">
        <is>
          <t>FY26</t>
        </is>
      </c>
      <c r="B107" s="19" t="inlineStr">
        <is>
          <t>Mar</t>
        </is>
      </c>
      <c r="C107" s="19" t="inlineStr">
        <is>
          <t>AP/TS</t>
        </is>
      </c>
      <c r="D107" s="20" t="inlineStr">
        <is>
          <t>AP16EF8699</t>
        </is>
      </c>
      <c r="E107" s="20" t="inlineStr">
        <is>
          <t>HONDA</t>
        </is>
      </c>
      <c r="F107" s="20" t="inlineStr">
        <is>
          <t>City</t>
        </is>
      </c>
      <c r="G107" s="21" t="n">
        <v>2017</v>
      </c>
      <c r="H107" s="22" t="n">
        <v>95211</v>
      </c>
      <c r="I107" s="23" t="n">
        <v>450000</v>
      </c>
      <c r="J107" s="20" t="inlineStr">
        <is>
          <t>Exchange VIJAYAWADA</t>
        </is>
      </c>
      <c r="K107" s="20" t="inlineStr">
        <is>
          <t>Captive</t>
        </is>
      </c>
      <c r="L107" s="20" t="inlineStr">
        <is>
          <t>Koppuravuri Srinivasa Rao</t>
        </is>
      </c>
      <c r="M107" s="23" t="n">
        <v>12711.86</v>
      </c>
      <c r="N107" s="23" t="n">
        <v>15000</v>
      </c>
      <c r="O107" s="24">
        <f>IF(AND(ISNUMBER(M107), ISNUMBER(I107), I107&gt;0), M107/I107, "")</f>
        <v/>
      </c>
    </row>
    <row r="108">
      <c r="A108" s="19" t="inlineStr">
        <is>
          <t>FY26</t>
        </is>
      </c>
      <c r="B108" s="19" t="inlineStr">
        <is>
          <t>Mar</t>
        </is>
      </c>
      <c r="C108" s="19" t="inlineStr">
        <is>
          <t>AP/TS</t>
        </is>
      </c>
      <c r="D108" s="20" t="inlineStr">
        <is>
          <t>AP16CZ6606</t>
        </is>
      </c>
      <c r="E108" s="20" t="inlineStr">
        <is>
          <t>HONDA</t>
        </is>
      </c>
      <c r="F108" s="20" t="inlineStr">
        <is>
          <t>Brio</t>
        </is>
      </c>
      <c r="G108" s="21" t="n">
        <v>2015</v>
      </c>
      <c r="H108" s="22" t="n">
        <v>171756</v>
      </c>
      <c r="I108" s="23" t="n">
        <v>95000</v>
      </c>
      <c r="J108" s="20" t="inlineStr">
        <is>
          <t>T Srinivas</t>
        </is>
      </c>
      <c r="K108" s="20" t="inlineStr">
        <is>
          <t>Non-Captive</t>
        </is>
      </c>
      <c r="L108" s="20" t="inlineStr">
        <is>
          <t>Koppuravuri Srinivasa Rao</t>
        </is>
      </c>
      <c r="M108" s="23" t="n">
        <v>4237.29</v>
      </c>
      <c r="N108" s="23" t="n">
        <v>5000</v>
      </c>
      <c r="O108" s="24">
        <f>IF(AND(ISNUMBER(M108), ISNUMBER(I108), I108&gt;0), M108/I108, "")</f>
        <v/>
      </c>
    </row>
    <row r="109">
      <c r="A109" s="19" t="inlineStr">
        <is>
          <t>FY26</t>
        </is>
      </c>
      <c r="B109" s="19" t="inlineStr">
        <is>
          <t>Mar</t>
        </is>
      </c>
      <c r="C109" s="19" t="inlineStr">
        <is>
          <t>AP/TS</t>
        </is>
      </c>
      <c r="D109" s="20" t="inlineStr">
        <is>
          <t>AP28DX7899</t>
        </is>
      </c>
      <c r="E109" s="20" t="inlineStr">
        <is>
          <t>HONDA</t>
        </is>
      </c>
      <c r="F109" s="20" t="inlineStr">
        <is>
          <t>City</t>
        </is>
      </c>
      <c r="G109" s="21" t="n">
        <v>2014</v>
      </c>
      <c r="H109" s="22" t="n">
        <v>289225</v>
      </c>
      <c r="I109" s="23" t="n">
        <v>95000</v>
      </c>
      <c r="J109" s="20" t="inlineStr">
        <is>
          <t>T Srinivas</t>
        </is>
      </c>
      <c r="K109" s="20" t="inlineStr">
        <is>
          <t>Non-Captive</t>
        </is>
      </c>
      <c r="L109" s="20" t="inlineStr">
        <is>
          <t>Koppuravuri Srinivasa Rao</t>
        </is>
      </c>
      <c r="M109" s="23" t="n">
        <v>4237.29</v>
      </c>
      <c r="N109" s="23" t="n">
        <v>5000</v>
      </c>
      <c r="O109" s="24">
        <f>IF(AND(ISNUMBER(M109), ISNUMBER(I109), I109&gt;0), M109/I109, "")</f>
        <v/>
      </c>
    </row>
    <row r="110">
      <c r="A110" s="19" t="inlineStr">
        <is>
          <t>FY26</t>
        </is>
      </c>
      <c r="B110" s="19" t="inlineStr">
        <is>
          <t>Mar</t>
        </is>
      </c>
      <c r="C110" s="19" t="inlineStr">
        <is>
          <t>AP/TS</t>
        </is>
      </c>
      <c r="D110" s="20" t="inlineStr">
        <is>
          <t>TS09FC6907</t>
        </is>
      </c>
      <c r="E110" s="20" t="inlineStr">
        <is>
          <t>HONDA</t>
        </is>
      </c>
      <c r="F110" s="20" t="inlineStr">
        <is>
          <t>Amaze</t>
        </is>
      </c>
      <c r="G110" s="21" t="n">
        <v>2018</v>
      </c>
      <c r="H110" s="22" t="n">
        <v>79767</v>
      </c>
      <c r="I110" s="23" t="n">
        <v>340000</v>
      </c>
      <c r="J110" s="20" t="inlineStr">
        <is>
          <t>Exchange HYDERABAD</t>
        </is>
      </c>
      <c r="K110" s="20" t="inlineStr">
        <is>
          <t>Captive</t>
        </is>
      </c>
      <c r="L110" s="20" t="inlineStr">
        <is>
          <t>Abdul Mugees</t>
        </is>
      </c>
      <c r="M110" s="23" t="n">
        <v>8474.58</v>
      </c>
      <c r="N110" s="23" t="n">
        <v>10000</v>
      </c>
      <c r="O110" s="24">
        <f>IF(AND(ISNUMBER(M110), ISNUMBER(I110), I110&gt;0), M110/I110, "")</f>
        <v/>
      </c>
    </row>
    <row r="111">
      <c r="A111" s="19" t="inlineStr">
        <is>
          <t>FY26</t>
        </is>
      </c>
      <c r="B111" s="19" t="inlineStr">
        <is>
          <t>Mar</t>
        </is>
      </c>
      <c r="C111" s="19" t="inlineStr">
        <is>
          <t>AP/TS</t>
        </is>
      </c>
      <c r="D111" s="20" t="inlineStr">
        <is>
          <t>AP28DS6201</t>
        </is>
      </c>
      <c r="E111" s="20" t="inlineStr">
        <is>
          <t>HYUNDAI</t>
        </is>
      </c>
      <c r="F111" s="20" t="inlineStr">
        <is>
          <t>I10</t>
        </is>
      </c>
      <c r="G111" s="21" t="n">
        <v>2012</v>
      </c>
      <c r="H111" s="22" t="n">
        <v>170400</v>
      </c>
      <c r="I111" s="23" t="n">
        <v>85000</v>
      </c>
      <c r="J111" s="20" t="inlineStr">
        <is>
          <t>Puneet Gupta</t>
        </is>
      </c>
      <c r="K111" s="20" t="inlineStr">
        <is>
          <t>Non-Captive</t>
        </is>
      </c>
      <c r="L111" s="20" t="inlineStr">
        <is>
          <t>Katikala Jathin Sai</t>
        </is>
      </c>
      <c r="M111" s="23" t="n">
        <v>4237.29</v>
      </c>
      <c r="N111" s="23" t="n">
        <v>5000</v>
      </c>
      <c r="O111" s="24">
        <f>IF(AND(ISNUMBER(M111), ISNUMBER(I111), I111&gt;0), M111/I111, "")</f>
        <v/>
      </c>
    </row>
    <row r="112">
      <c r="A112" s="19" t="inlineStr">
        <is>
          <t>FY26</t>
        </is>
      </c>
      <c r="B112" s="19" t="inlineStr">
        <is>
          <t>Mar</t>
        </is>
      </c>
      <c r="C112" s="19" t="inlineStr">
        <is>
          <t>AP/TS</t>
        </is>
      </c>
      <c r="D112" s="20" t="inlineStr">
        <is>
          <t>AP09CC9118</t>
        </is>
      </c>
      <c r="E112" s="20" t="inlineStr">
        <is>
          <t>HYUNDAI</t>
        </is>
      </c>
      <c r="F112" s="20" t="inlineStr">
        <is>
          <t>I10</t>
        </is>
      </c>
      <c r="G112" s="21" t="n">
        <v>2011</v>
      </c>
      <c r="H112" s="22" t="n">
        <v>175143</v>
      </c>
      <c r="I112" s="23" t="n">
        <v>80000</v>
      </c>
      <c r="J112" s="20" t="inlineStr">
        <is>
          <t>Puneet Gupta</t>
        </is>
      </c>
      <c r="K112" s="20" t="inlineStr">
        <is>
          <t>Non-Captive</t>
        </is>
      </c>
      <c r="L112" s="20" t="inlineStr">
        <is>
          <t>Katikala Jathin Sai</t>
        </is>
      </c>
      <c r="M112" s="23" t="n">
        <v>4237.29</v>
      </c>
      <c r="N112" s="23" t="n">
        <v>5000</v>
      </c>
      <c r="O112" s="24">
        <f>IF(AND(ISNUMBER(M112), ISNUMBER(I112), I112&gt;0), M112/I112, "")</f>
        <v/>
      </c>
    </row>
    <row r="113">
      <c r="A113" s="19" t="inlineStr">
        <is>
          <t>FY26</t>
        </is>
      </c>
      <c r="B113" s="19" t="inlineStr">
        <is>
          <t>Mar</t>
        </is>
      </c>
      <c r="C113" s="19" t="inlineStr">
        <is>
          <t>AP/TS</t>
        </is>
      </c>
      <c r="D113" s="20" t="inlineStr">
        <is>
          <t>AP10AU4488</t>
        </is>
      </c>
      <c r="E113" s="20" t="inlineStr">
        <is>
          <t>HYUNDAI</t>
        </is>
      </c>
      <c r="F113" s="20" t="inlineStr">
        <is>
          <t>Verna</t>
        </is>
      </c>
      <c r="G113" s="21" t="n">
        <v>2010</v>
      </c>
      <c r="H113" s="22" t="n">
        <v>205254</v>
      </c>
      <c r="I113" s="23" t="n">
        <v>95000</v>
      </c>
      <c r="J113" s="20" t="inlineStr">
        <is>
          <t>Puneet Gupta</t>
        </is>
      </c>
      <c r="K113" s="20" t="inlineStr">
        <is>
          <t>Non-Captive</t>
        </is>
      </c>
      <c r="L113" s="20" t="inlineStr">
        <is>
          <t>Katikala Jathin Sai</t>
        </is>
      </c>
      <c r="M113" s="23" t="n">
        <v>4237.29</v>
      </c>
      <c r="N113" s="23" t="n">
        <v>5000</v>
      </c>
      <c r="O113" s="24">
        <f>IF(AND(ISNUMBER(M113), ISNUMBER(I113), I113&gt;0), M113/I113, "")</f>
        <v/>
      </c>
    </row>
    <row r="114">
      <c r="A114" s="19" t="inlineStr">
        <is>
          <t>FY26</t>
        </is>
      </c>
      <c r="B114" s="19" t="inlineStr">
        <is>
          <t>Mar</t>
        </is>
      </c>
      <c r="C114" s="19" t="inlineStr">
        <is>
          <t>AP/TS</t>
        </is>
      </c>
      <c r="D114" s="20" t="inlineStr">
        <is>
          <t>AP07BH5380</t>
        </is>
      </c>
      <c r="E114" s="20" t="inlineStr">
        <is>
          <t>MARUTI SUZUKI</t>
        </is>
      </c>
      <c r="F114" s="20" t="inlineStr">
        <is>
          <t>Wagon R</t>
        </is>
      </c>
      <c r="G114" s="21" t="n">
        <v>2011</v>
      </c>
      <c r="H114" s="22" t="n">
        <v>173262</v>
      </c>
      <c r="I114" s="23" t="n">
        <v>90000</v>
      </c>
      <c r="J114" s="20" t="inlineStr">
        <is>
          <t>Vinod Kumar Murari</t>
        </is>
      </c>
      <c r="K114" s="20" t="inlineStr">
        <is>
          <t>Non-Captive</t>
        </is>
      </c>
      <c r="L114" s="20" t="inlineStr">
        <is>
          <t>Mohammed Gouse Basha</t>
        </is>
      </c>
      <c r="M114" s="23" t="n">
        <v>5084.75</v>
      </c>
      <c r="N114" s="23" t="n">
        <v>6000</v>
      </c>
      <c r="O114" s="24">
        <f>IF(AND(ISNUMBER(M114), ISNUMBER(I114), I114&gt;0), M114/I114, "")</f>
        <v/>
      </c>
    </row>
    <row r="115">
      <c r="A115" s="19" t="inlineStr">
        <is>
          <t>FY26</t>
        </is>
      </c>
      <c r="B115" s="19" t="inlineStr">
        <is>
          <t>Mar</t>
        </is>
      </c>
      <c r="C115" s="19" t="inlineStr">
        <is>
          <t>AP/TS</t>
        </is>
      </c>
      <c r="D115" s="20" t="inlineStr">
        <is>
          <t>AP16BQ0720</t>
        </is>
      </c>
      <c r="E115" s="20" t="inlineStr">
        <is>
          <t>MARUTI SUZUKI</t>
        </is>
      </c>
      <c r="F115" s="20" t="inlineStr">
        <is>
          <t>Swift Dzire</t>
        </is>
      </c>
      <c r="G115" s="21" t="n">
        <v>2009</v>
      </c>
      <c r="H115" s="22" t="n">
        <v>165063</v>
      </c>
      <c r="I115" s="23" t="n">
        <v>90000</v>
      </c>
      <c r="J115" s="20" t="inlineStr">
        <is>
          <t>Vinod Kumar Murari</t>
        </is>
      </c>
      <c r="K115" s="20" t="inlineStr">
        <is>
          <t>Non-Captive</t>
        </is>
      </c>
      <c r="L115" s="20" t="inlineStr">
        <is>
          <t>Mohammed Gouse Basha</t>
        </is>
      </c>
      <c r="M115" s="23" t="n">
        <v>5084.75</v>
      </c>
      <c r="N115" s="23" t="n">
        <v>6000</v>
      </c>
      <c r="O115" s="24">
        <f>IF(AND(ISNUMBER(M115), ISNUMBER(I115), I115&gt;0), M115/I115, "")</f>
        <v/>
      </c>
    </row>
    <row r="116">
      <c r="A116" s="19" t="inlineStr">
        <is>
          <t>FY26</t>
        </is>
      </c>
      <c r="B116" s="19" t="inlineStr">
        <is>
          <t>Mar</t>
        </is>
      </c>
      <c r="C116" s="19" t="inlineStr">
        <is>
          <t>AP/TS</t>
        </is>
      </c>
      <c r="D116" s="20" t="inlineStr">
        <is>
          <t>AP16FB8659</t>
        </is>
      </c>
      <c r="E116" s="20" t="inlineStr">
        <is>
          <t>HONDA</t>
        </is>
      </c>
      <c r="F116" s="20" t="inlineStr">
        <is>
          <t>City</t>
        </is>
      </c>
      <c r="G116" s="21" t="n">
        <v>2018</v>
      </c>
      <c r="H116" s="22" t="n">
        <v>68012</v>
      </c>
      <c r="I116" s="23" t="n">
        <v>456500</v>
      </c>
      <c r="J116" s="20" t="inlineStr">
        <is>
          <t>Exchange VIJAYAWADA</t>
        </is>
      </c>
      <c r="K116" s="20" t="inlineStr">
        <is>
          <t>Captive</t>
        </is>
      </c>
      <c r="L116" s="20" t="inlineStr">
        <is>
          <t>Basavaraju Ratna Suresh</t>
        </is>
      </c>
      <c r="M116" s="23" t="n">
        <v>5508.47</v>
      </c>
      <c r="N116" s="23" t="n">
        <v>6500</v>
      </c>
      <c r="O116" s="24">
        <f>IF(AND(ISNUMBER(M116), ISNUMBER(I116), I116&gt;0), M116/I116, "")</f>
        <v/>
      </c>
    </row>
    <row r="117">
      <c r="A117" s="19" t="inlineStr">
        <is>
          <t>FY26</t>
        </is>
      </c>
      <c r="B117" s="19" t="inlineStr">
        <is>
          <t>Mar</t>
        </is>
      </c>
      <c r="C117" s="19" t="inlineStr">
        <is>
          <t>AP/TS</t>
        </is>
      </c>
      <c r="D117" s="20" t="inlineStr">
        <is>
          <t>AP16CG0018</t>
        </is>
      </c>
      <c r="E117" s="20" t="inlineStr">
        <is>
          <t>MARUTI SUZUKI</t>
        </is>
      </c>
      <c r="F117" s="20" t="inlineStr">
        <is>
          <t>Ritz</t>
        </is>
      </c>
      <c r="G117" s="21" t="n">
        <v>2013</v>
      </c>
      <c r="H117" s="22" t="n">
        <v>196300</v>
      </c>
      <c r="I117" s="23" t="n">
        <v>90000</v>
      </c>
      <c r="J117" s="20" t="inlineStr">
        <is>
          <t>T Srinivas</t>
        </is>
      </c>
      <c r="K117" s="20" t="inlineStr">
        <is>
          <t>Non-Captive</t>
        </is>
      </c>
      <c r="L117" s="20" t="inlineStr">
        <is>
          <t>Basavaraju Ratna Suresh</t>
        </is>
      </c>
      <c r="M117" s="23" t="n">
        <v>5932.2</v>
      </c>
      <c r="N117" s="23" t="n">
        <v>7000</v>
      </c>
      <c r="O117" s="24">
        <f>IF(AND(ISNUMBER(M117), ISNUMBER(I117), I117&gt;0), M117/I117, "")</f>
        <v/>
      </c>
    </row>
    <row r="118">
      <c r="A118" s="19" t="inlineStr">
        <is>
          <t>FY26</t>
        </is>
      </c>
      <c r="B118" s="19" t="inlineStr">
        <is>
          <t>Mar</t>
        </is>
      </c>
      <c r="C118" s="19" t="inlineStr">
        <is>
          <t>AP/TS</t>
        </is>
      </c>
      <c r="D118" s="20" t="inlineStr">
        <is>
          <t>AP09CP5999</t>
        </is>
      </c>
      <c r="E118" s="20" t="inlineStr">
        <is>
          <t>SKODA</t>
        </is>
      </c>
      <c r="F118" s="20" t="inlineStr">
        <is>
          <t>Rapid</t>
        </is>
      </c>
      <c r="G118" s="21" t="n">
        <v>2013</v>
      </c>
      <c r="H118" s="22" t="n">
        <v>140846</v>
      </c>
      <c r="I118" s="23" t="n">
        <v>185000</v>
      </c>
      <c r="J118" s="20" t="inlineStr">
        <is>
          <t>Exchange HYDERABAD</t>
        </is>
      </c>
      <c r="K118" s="20" t="inlineStr">
        <is>
          <t>Captive</t>
        </is>
      </c>
      <c r="L118" s="20" t="inlineStr">
        <is>
          <t>Nakka Shiva Shanker</t>
        </is>
      </c>
      <c r="M118" s="23" t="n">
        <v>8474.58</v>
      </c>
      <c r="N118" s="23" t="n">
        <v>10000</v>
      </c>
      <c r="O118" s="24">
        <f>IF(AND(ISNUMBER(M118), ISNUMBER(I118), I118&gt;0), M118/I118, "")</f>
        <v/>
      </c>
    </row>
    <row r="119">
      <c r="A119" s="19" t="inlineStr">
        <is>
          <t>FY26</t>
        </is>
      </c>
      <c r="B119" s="19" t="inlineStr">
        <is>
          <t>Mar</t>
        </is>
      </c>
      <c r="C119" s="19" t="inlineStr">
        <is>
          <t>AP/TS</t>
        </is>
      </c>
      <c r="D119" s="20" t="inlineStr">
        <is>
          <t>TS10ES7943</t>
        </is>
      </c>
      <c r="E119" s="20" t="inlineStr">
        <is>
          <t>MARUTI SUZUKI</t>
        </is>
      </c>
      <c r="F119" s="20" t="inlineStr">
        <is>
          <t>Baleno</t>
        </is>
      </c>
      <c r="G119" s="21" t="n">
        <v>2018</v>
      </c>
      <c r="H119" s="22" t="n">
        <v>49846</v>
      </c>
      <c r="I119" s="23" t="n">
        <v>270000</v>
      </c>
      <c r="J119" s="20" t="inlineStr">
        <is>
          <t>Exchange HYDERABAD</t>
        </is>
      </c>
      <c r="K119" s="20" t="inlineStr">
        <is>
          <t>Captive</t>
        </is>
      </c>
      <c r="L119" s="20" t="inlineStr">
        <is>
          <t>Nakka Shiva Shanker</t>
        </is>
      </c>
      <c r="M119" s="23" t="n">
        <v>8474.58</v>
      </c>
      <c r="N119" s="23" t="n">
        <v>10000</v>
      </c>
      <c r="O119" s="24">
        <f>IF(AND(ISNUMBER(M119), ISNUMBER(I119), I119&gt;0), M119/I119, "")</f>
        <v/>
      </c>
    </row>
    <row r="120">
      <c r="A120" s="19" t="inlineStr">
        <is>
          <t>FY26</t>
        </is>
      </c>
      <c r="B120" s="19" t="inlineStr">
        <is>
          <t>Mar</t>
        </is>
      </c>
      <c r="C120" s="19" t="inlineStr">
        <is>
          <t>AP/TS</t>
        </is>
      </c>
      <c r="D120" s="20" t="inlineStr">
        <is>
          <t>AP10BF6315</t>
        </is>
      </c>
      <c r="E120" s="20" t="inlineStr">
        <is>
          <t>HONDA</t>
        </is>
      </c>
      <c r="F120" s="20" t="inlineStr">
        <is>
          <t>Amaze</t>
        </is>
      </c>
      <c r="G120" s="21" t="n">
        <v>2013</v>
      </c>
      <c r="H120" s="22" t="n">
        <v>148960</v>
      </c>
      <c r="I120" s="23" t="n">
        <v>95000</v>
      </c>
      <c r="J120" s="20" t="inlineStr">
        <is>
          <t>Odapally Sandeep</t>
        </is>
      </c>
      <c r="K120" s="20" t="inlineStr">
        <is>
          <t>Non-Captive</t>
        </is>
      </c>
      <c r="L120" s="20" t="inlineStr">
        <is>
          <t>Nakka Shiva Shanker</t>
        </is>
      </c>
      <c r="M120" s="23" t="n">
        <v>4237.29</v>
      </c>
      <c r="N120" s="23" t="n">
        <v>5000</v>
      </c>
      <c r="O120" s="24">
        <f>IF(AND(ISNUMBER(M120), ISNUMBER(I120), I120&gt;0), M120/I120, "")</f>
        <v/>
      </c>
    </row>
    <row r="121">
      <c r="A121" s="19" t="inlineStr">
        <is>
          <t>FY26</t>
        </is>
      </c>
      <c r="B121" s="19" t="inlineStr">
        <is>
          <t>Mar</t>
        </is>
      </c>
      <c r="C121" s="19" t="inlineStr">
        <is>
          <t>AP/TS</t>
        </is>
      </c>
      <c r="D121" s="20" t="inlineStr">
        <is>
          <t>AP29CA0567</t>
        </is>
      </c>
      <c r="E121" s="20" t="inlineStr">
        <is>
          <t>HONDA</t>
        </is>
      </c>
      <c r="F121" s="20" t="inlineStr">
        <is>
          <t>Amaze</t>
        </is>
      </c>
      <c r="G121" s="21" t="n">
        <v>2013</v>
      </c>
      <c r="H121" s="22" t="n">
        <v>189152</v>
      </c>
      <c r="I121" s="23" t="n">
        <v>95000</v>
      </c>
      <c r="J121" s="20" t="inlineStr">
        <is>
          <t>Odapally Sandeep</t>
        </is>
      </c>
      <c r="K121" s="20" t="inlineStr">
        <is>
          <t>Non-Captive</t>
        </is>
      </c>
      <c r="L121" s="20" t="inlineStr">
        <is>
          <t>Nakka Shiva Shanker</t>
        </is>
      </c>
      <c r="M121" s="23" t="n">
        <v>4237.29</v>
      </c>
      <c r="N121" s="23" t="n">
        <v>5000</v>
      </c>
      <c r="O121" s="24">
        <f>IF(AND(ISNUMBER(M121), ISNUMBER(I121), I121&gt;0), M121/I121, "")</f>
        <v/>
      </c>
    </row>
    <row r="122">
      <c r="A122" s="19" t="inlineStr">
        <is>
          <t>FY26</t>
        </is>
      </c>
      <c r="B122" s="19" t="inlineStr">
        <is>
          <t>Mar</t>
        </is>
      </c>
      <c r="C122" s="19" t="inlineStr">
        <is>
          <t>AP/TS</t>
        </is>
      </c>
      <c r="D122" s="20" t="inlineStr">
        <is>
          <t>AP10AK7771</t>
        </is>
      </c>
      <c r="E122" s="20" t="inlineStr">
        <is>
          <t>HONDA</t>
        </is>
      </c>
      <c r="F122" s="20" t="inlineStr">
        <is>
          <t>City</t>
        </is>
      </c>
      <c r="G122" s="21" t="n">
        <v>2007</v>
      </c>
      <c r="H122" s="22" t="n">
        <v>186423</v>
      </c>
      <c r="I122" s="23" t="n">
        <v>75000</v>
      </c>
      <c r="J122" s="20" t="inlineStr">
        <is>
          <t>Nakka Shiva Shanker</t>
        </is>
      </c>
      <c r="K122" s="20" t="inlineStr">
        <is>
          <t>Non-Captive</t>
        </is>
      </c>
      <c r="L122" s="20" t="inlineStr">
        <is>
          <t>Odapally Sandeep</t>
        </is>
      </c>
      <c r="M122" s="23" t="n">
        <v>2118.64</v>
      </c>
      <c r="N122" s="23" t="n">
        <v>2500</v>
      </c>
      <c r="O122" s="24">
        <f>IF(AND(ISNUMBER(M122), ISNUMBER(I122), I122&gt;0), M122/I122, "")</f>
        <v/>
      </c>
    </row>
    <row r="123">
      <c r="A123" s="19" t="inlineStr">
        <is>
          <t>FY26</t>
        </is>
      </c>
      <c r="B123" s="19" t="inlineStr">
        <is>
          <t>Mar</t>
        </is>
      </c>
      <c r="C123" s="19" t="inlineStr">
        <is>
          <t>AP/TS</t>
        </is>
      </c>
      <c r="D123" s="20" t="inlineStr">
        <is>
          <t>AP09BJ0297</t>
        </is>
      </c>
      <c r="E123" s="20" t="inlineStr">
        <is>
          <t>HONDA</t>
        </is>
      </c>
      <c r="F123" s="20" t="inlineStr">
        <is>
          <t>City</t>
        </is>
      </c>
      <c r="G123" s="21" t="n">
        <v>2007</v>
      </c>
      <c r="H123" s="22" t="n">
        <v>198825</v>
      </c>
      <c r="I123" s="23" t="n">
        <v>75000</v>
      </c>
      <c r="J123" s="20" t="inlineStr">
        <is>
          <t>Nakka Shiva Shanker</t>
        </is>
      </c>
      <c r="K123" s="20" t="inlineStr">
        <is>
          <t>Non-Captive</t>
        </is>
      </c>
      <c r="L123" s="20" t="inlineStr">
        <is>
          <t>Odapally Sandeep</t>
        </is>
      </c>
      <c r="M123" s="23" t="n">
        <v>2118.64</v>
      </c>
      <c r="N123" s="23" t="n">
        <v>2500</v>
      </c>
      <c r="O123" s="24">
        <f>IF(AND(ISNUMBER(M123), ISNUMBER(I123), I123&gt;0), M123/I123, "")</f>
        <v/>
      </c>
    </row>
    <row r="124">
      <c r="A124" s="19" t="inlineStr">
        <is>
          <t>FY26</t>
        </is>
      </c>
      <c r="B124" s="19" t="inlineStr">
        <is>
          <t>Mar</t>
        </is>
      </c>
      <c r="C124" s="19" t="inlineStr">
        <is>
          <t>AP/TS</t>
        </is>
      </c>
      <c r="D124" s="20" t="inlineStr">
        <is>
          <t>AP09BL8271</t>
        </is>
      </c>
      <c r="E124" s="20" t="inlineStr">
        <is>
          <t>HONDA</t>
        </is>
      </c>
      <c r="F124" s="20" t="inlineStr">
        <is>
          <t>City</t>
        </is>
      </c>
      <c r="G124" s="21" t="n">
        <v>2007</v>
      </c>
      <c r="H124" s="22" t="n">
        <v>184667</v>
      </c>
      <c r="I124" s="23" t="n">
        <v>75000</v>
      </c>
      <c r="J124" s="20" t="inlineStr">
        <is>
          <t>Nakka Shiva Shanker</t>
        </is>
      </c>
      <c r="K124" s="20" t="inlineStr">
        <is>
          <t>Non-Captive</t>
        </is>
      </c>
      <c r="L124" s="20" t="inlineStr">
        <is>
          <t>Odapally Sandeep</t>
        </is>
      </c>
      <c r="M124" s="23" t="n">
        <v>2118.64</v>
      </c>
      <c r="N124" s="23" t="n">
        <v>2500</v>
      </c>
      <c r="O124" s="24">
        <f>IF(AND(ISNUMBER(M124), ISNUMBER(I124), I124&gt;0), M124/I124, "")</f>
        <v/>
      </c>
    </row>
    <row r="125">
      <c r="A125" s="19" t="inlineStr">
        <is>
          <t>FY26</t>
        </is>
      </c>
      <c r="B125" s="19" t="inlineStr">
        <is>
          <t>Mar</t>
        </is>
      </c>
      <c r="C125" s="19" t="inlineStr">
        <is>
          <t>AP/TS</t>
        </is>
      </c>
      <c r="D125" s="20" t="inlineStr">
        <is>
          <t>AP09BD0374</t>
        </is>
      </c>
      <c r="E125" s="20" t="inlineStr">
        <is>
          <t>HONDA</t>
        </is>
      </c>
      <c r="F125" s="20" t="inlineStr">
        <is>
          <t>City</t>
        </is>
      </c>
      <c r="G125" s="21" t="n">
        <v>2006</v>
      </c>
      <c r="H125" s="22" t="n">
        <v>285682</v>
      </c>
      <c r="I125" s="23" t="n">
        <v>75000</v>
      </c>
      <c r="J125" s="20" t="inlineStr">
        <is>
          <t>Nakka Shiva Shanker</t>
        </is>
      </c>
      <c r="K125" s="20" t="inlineStr">
        <is>
          <t>Non-Captive</t>
        </is>
      </c>
      <c r="L125" s="20" t="inlineStr">
        <is>
          <t>Odapally Sandeep</t>
        </is>
      </c>
      <c r="M125" s="23" t="n">
        <v>2118.64</v>
      </c>
      <c r="N125" s="23" t="n">
        <v>2500</v>
      </c>
      <c r="O125" s="24">
        <f>IF(AND(ISNUMBER(M125), ISNUMBER(I125), I125&gt;0), M125/I125, "")</f>
        <v/>
      </c>
    </row>
    <row r="126">
      <c r="A126" s="19" t="inlineStr">
        <is>
          <t>FY26</t>
        </is>
      </c>
      <c r="B126" s="19" t="inlineStr">
        <is>
          <t>Mar</t>
        </is>
      </c>
      <c r="C126" s="19" t="inlineStr">
        <is>
          <t>AP/TS</t>
        </is>
      </c>
      <c r="D126" s="20" t="inlineStr">
        <is>
          <t>AP13J8680</t>
        </is>
      </c>
      <c r="E126" s="20" t="inlineStr">
        <is>
          <t>HYUNDAI</t>
        </is>
      </c>
      <c r="F126" s="20" t="inlineStr">
        <is>
          <t>Santro</t>
        </is>
      </c>
      <c r="G126" s="21" t="n">
        <v>2006</v>
      </c>
      <c r="H126" s="22" t="n">
        <v>114501</v>
      </c>
      <c r="I126" s="23" t="n">
        <v>50000</v>
      </c>
      <c r="J126" s="20" t="inlineStr">
        <is>
          <t>Exchange HYDERABAD</t>
        </is>
      </c>
      <c r="K126" s="20" t="inlineStr">
        <is>
          <t>Captive</t>
        </is>
      </c>
      <c r="L126" s="20" t="inlineStr">
        <is>
          <t>Abdul Mugees</t>
        </is>
      </c>
      <c r="M126" s="23" t="n">
        <v>4237.29</v>
      </c>
      <c r="N126" s="23" t="n">
        <v>5000</v>
      </c>
      <c r="O126" s="24">
        <f>IF(AND(ISNUMBER(M126), ISNUMBER(I126), I126&gt;0), M126/I126, "")</f>
        <v/>
      </c>
    </row>
    <row r="127">
      <c r="A127" s="19" t="inlineStr">
        <is>
          <t>FY26</t>
        </is>
      </c>
      <c r="B127" s="19" t="inlineStr">
        <is>
          <t>Mar</t>
        </is>
      </c>
      <c r="C127" s="19" t="inlineStr">
        <is>
          <t>AP/TS</t>
        </is>
      </c>
      <c r="D127" s="20" t="inlineStr">
        <is>
          <t>AP16FJ9599</t>
        </is>
      </c>
      <c r="E127" s="20" t="inlineStr">
        <is>
          <t>HONDA</t>
        </is>
      </c>
      <c r="F127" s="20" t="inlineStr">
        <is>
          <t>City</t>
        </is>
      </c>
      <c r="G127" s="21" t="n">
        <v>2018</v>
      </c>
      <c r="H127" s="22" t="n">
        <v>190815</v>
      </c>
      <c r="I127" s="23" t="n">
        <v>340000</v>
      </c>
      <c r="J127" s="20" t="inlineStr">
        <is>
          <t>Exchange VIJAYAWADA</t>
        </is>
      </c>
      <c r="K127" s="20" t="inlineStr">
        <is>
          <t>Captive</t>
        </is>
      </c>
      <c r="L127" s="20" t="inlineStr">
        <is>
          <t>Kallepalli Vimala</t>
        </is>
      </c>
      <c r="M127" s="23" t="n">
        <v>8474.58</v>
      </c>
      <c r="N127" s="23" t="n">
        <v>10000</v>
      </c>
      <c r="O127" s="24">
        <f>IF(AND(ISNUMBER(M127), ISNUMBER(I127), I127&gt;0), M127/I127, "")</f>
        <v/>
      </c>
    </row>
    <row r="128">
      <c r="A128" s="19" t="inlineStr">
        <is>
          <t>FY26</t>
        </is>
      </c>
      <c r="B128" s="19" t="inlineStr">
        <is>
          <t>Mar</t>
        </is>
      </c>
      <c r="C128" s="19" t="inlineStr">
        <is>
          <t>AP/TS</t>
        </is>
      </c>
      <c r="D128" s="20" t="inlineStr">
        <is>
          <t>AP21AQ0055</t>
        </is>
      </c>
      <c r="E128" s="20" t="inlineStr">
        <is>
          <t>HYUNDAI</t>
        </is>
      </c>
      <c r="F128" s="20" t="inlineStr">
        <is>
          <t>I10</t>
        </is>
      </c>
      <c r="G128" s="21" t="n">
        <v>2012</v>
      </c>
      <c r="H128" s="22" t="n">
        <v>166051</v>
      </c>
      <c r="I128" s="23" t="n">
        <v>85000</v>
      </c>
      <c r="J128" s="20" t="inlineStr">
        <is>
          <t>T Srinivas</t>
        </is>
      </c>
      <c r="K128" s="20" t="inlineStr">
        <is>
          <t>Non-Captive</t>
        </is>
      </c>
      <c r="L128" s="20" t="inlineStr">
        <is>
          <t>Kallepalli Vimala</t>
        </is>
      </c>
      <c r="M128" s="23" t="n">
        <v>4237.29</v>
      </c>
      <c r="N128" s="23" t="n">
        <v>5000</v>
      </c>
      <c r="O128" s="24">
        <f>IF(AND(ISNUMBER(M128), ISNUMBER(I128), I128&gt;0), M128/I128, "")</f>
        <v/>
      </c>
    </row>
    <row r="129">
      <c r="A129" s="19" t="inlineStr">
        <is>
          <t>FY26</t>
        </is>
      </c>
      <c r="B129" s="19" t="inlineStr">
        <is>
          <t>Mar</t>
        </is>
      </c>
      <c r="C129" s="19" t="inlineStr">
        <is>
          <t>AP/TS</t>
        </is>
      </c>
      <c r="D129" s="20" t="inlineStr">
        <is>
          <t>AP16CH7477</t>
        </is>
      </c>
      <c r="E129" s="20" t="inlineStr">
        <is>
          <t>RENAULT</t>
        </is>
      </c>
      <c r="F129" s="20" t="inlineStr">
        <is>
          <t>Scala</t>
        </is>
      </c>
      <c r="G129" s="21" t="n">
        <v>2012</v>
      </c>
      <c r="H129" s="22" t="n">
        <v>187357</v>
      </c>
      <c r="I129" s="23" t="n">
        <v>90000</v>
      </c>
      <c r="J129" s="20" t="inlineStr">
        <is>
          <t>T Srinivas</t>
        </is>
      </c>
      <c r="K129" s="20" t="inlineStr">
        <is>
          <t>Non-Captive</t>
        </is>
      </c>
      <c r="L129" s="20" t="inlineStr">
        <is>
          <t>Kallepalli Vimala</t>
        </is>
      </c>
      <c r="M129" s="23" t="n">
        <v>4237.29</v>
      </c>
      <c r="N129" s="23" t="n">
        <v>5000</v>
      </c>
      <c r="O129" s="24">
        <f>IF(AND(ISNUMBER(M129), ISNUMBER(I129), I129&gt;0), M129/I129, "")</f>
        <v/>
      </c>
    </row>
    <row r="130">
      <c r="A130" s="19" t="inlineStr">
        <is>
          <t>FY26</t>
        </is>
      </c>
      <c r="B130" s="19" t="inlineStr">
        <is>
          <t>Mar</t>
        </is>
      </c>
      <c r="C130" s="19" t="inlineStr">
        <is>
          <t>AP/TS</t>
        </is>
      </c>
      <c r="D130" s="20" t="inlineStr">
        <is>
          <t>TS09ES4663</t>
        </is>
      </c>
      <c r="E130" s="20" t="inlineStr">
        <is>
          <t>HYUNDAI</t>
        </is>
      </c>
      <c r="F130" s="20" t="inlineStr">
        <is>
          <t>Eon</t>
        </is>
      </c>
      <c r="G130" s="21" t="n">
        <v>2016</v>
      </c>
      <c r="H130" s="22" t="n">
        <v>184585</v>
      </c>
      <c r="I130" s="23" t="n">
        <v>95000</v>
      </c>
      <c r="J130" s="20" t="inlineStr">
        <is>
          <t>Abdul Mugees</t>
        </is>
      </c>
      <c r="K130" s="20" t="inlineStr">
        <is>
          <t>Non-Captive</t>
        </is>
      </c>
      <c r="L130" s="20" t="inlineStr">
        <is>
          <t>Mohammed Abdul Razzaq</t>
        </is>
      </c>
      <c r="M130" s="23" t="n">
        <v>4237.29</v>
      </c>
      <c r="N130" s="23" t="n">
        <v>5000</v>
      </c>
      <c r="O130" s="24">
        <f>IF(AND(ISNUMBER(M130), ISNUMBER(I130), I130&gt;0), M130/I130, "")</f>
        <v/>
      </c>
    </row>
    <row r="131">
      <c r="A131" s="19" t="inlineStr">
        <is>
          <t>FY26</t>
        </is>
      </c>
      <c r="B131" s="19" t="inlineStr">
        <is>
          <t>Mar</t>
        </is>
      </c>
      <c r="C131" s="19" t="inlineStr">
        <is>
          <t>AP/TS</t>
        </is>
      </c>
      <c r="D131" s="20" t="inlineStr">
        <is>
          <t>TS10EQ2394</t>
        </is>
      </c>
      <c r="E131" s="20" t="inlineStr">
        <is>
          <t>HONDA</t>
        </is>
      </c>
      <c r="F131" s="20" t="inlineStr">
        <is>
          <t>Jazz</t>
        </is>
      </c>
      <c r="G131" s="21" t="n">
        <v>2018</v>
      </c>
      <c r="H131" s="22" t="n">
        <v>83632</v>
      </c>
      <c r="I131" s="23" t="n">
        <v>290000</v>
      </c>
      <c r="J131" s="20" t="inlineStr">
        <is>
          <t>Exchange HYDERABAD</t>
        </is>
      </c>
      <c r="K131" s="20" t="inlineStr">
        <is>
          <t>Captive</t>
        </is>
      </c>
      <c r="L131" s="20" t="inlineStr">
        <is>
          <t>Mohammed Abdul Razzaq</t>
        </is>
      </c>
      <c r="M131" s="23" t="n">
        <v>8474.58</v>
      </c>
      <c r="N131" s="23" t="n">
        <v>10000</v>
      </c>
      <c r="O131" s="24">
        <f>IF(AND(ISNUMBER(M131), ISNUMBER(I131), I131&gt;0), M131/I131, "")</f>
        <v/>
      </c>
    </row>
    <row r="132">
      <c r="A132" s="19" t="inlineStr">
        <is>
          <t>FY26</t>
        </is>
      </c>
      <c r="B132" s="19" t="inlineStr">
        <is>
          <t>Mar</t>
        </is>
      </c>
      <c r="C132" s="19" t="inlineStr">
        <is>
          <t>AP/TS</t>
        </is>
      </c>
      <c r="D132" s="20" t="inlineStr">
        <is>
          <t>AP05EK2686</t>
        </is>
      </c>
      <c r="E132" s="20" t="inlineStr">
        <is>
          <t>MARUTI SUZUKI</t>
        </is>
      </c>
      <c r="F132" s="20" t="inlineStr">
        <is>
          <t>Baleno</t>
        </is>
      </c>
      <c r="G132" s="21" t="n">
        <v>2018</v>
      </c>
      <c r="H132" s="22" t="n">
        <v>57116</v>
      </c>
      <c r="I132" s="23" t="n">
        <v>405000</v>
      </c>
      <c r="J132" s="20" t="inlineStr">
        <is>
          <t>Exchange VIZAG</t>
        </is>
      </c>
      <c r="K132" s="20" t="inlineStr">
        <is>
          <t>Captive</t>
        </is>
      </c>
      <c r="L132" s="20" t="inlineStr">
        <is>
          <t>Kaki Dinesh Kumar</t>
        </is>
      </c>
      <c r="M132" s="23" t="n">
        <v>8474.58</v>
      </c>
      <c r="N132" s="23" t="n">
        <v>10000</v>
      </c>
      <c r="O132" s="24">
        <f>IF(AND(ISNUMBER(M132), ISNUMBER(I132), I132&gt;0), M132/I132, "")</f>
        <v/>
      </c>
    </row>
    <row r="133">
      <c r="A133" s="19" t="inlineStr">
        <is>
          <t>FY26</t>
        </is>
      </c>
      <c r="B133" s="19" t="inlineStr">
        <is>
          <t>Mar</t>
        </is>
      </c>
      <c r="C133" s="19" t="inlineStr">
        <is>
          <t>AP/TS</t>
        </is>
      </c>
      <c r="D133" s="20" t="inlineStr">
        <is>
          <t>AP31BE5857</t>
        </is>
      </c>
      <c r="E133" s="20" t="inlineStr">
        <is>
          <t>CHEVROLET</t>
        </is>
      </c>
      <c r="F133" s="20" t="inlineStr">
        <is>
          <t>Spark</t>
        </is>
      </c>
      <c r="G133" s="21" t="n">
        <v>2009</v>
      </c>
      <c r="H133" s="22" t="n">
        <v>193572</v>
      </c>
      <c r="I133" s="23" t="n">
        <v>30000</v>
      </c>
      <c r="J133" s="20" t="inlineStr">
        <is>
          <t>Avaala Raju</t>
        </is>
      </c>
      <c r="K133" s="20" t="inlineStr">
        <is>
          <t>Non-Captive</t>
        </is>
      </c>
      <c r="L133" s="20" t="inlineStr">
        <is>
          <t>Kaki Dinesh Kumar</t>
        </is>
      </c>
      <c r="M133" s="23" t="n">
        <v>2118.64</v>
      </c>
      <c r="N133" s="23" t="n">
        <v>2500</v>
      </c>
      <c r="O133" s="24">
        <f>IF(AND(ISNUMBER(M133), ISNUMBER(I133), I133&gt;0), M133/I133, "")</f>
        <v/>
      </c>
    </row>
    <row r="134">
      <c r="A134" s="19" t="inlineStr">
        <is>
          <t>FY26</t>
        </is>
      </c>
      <c r="B134" s="19" t="inlineStr">
        <is>
          <t>Mar</t>
        </is>
      </c>
      <c r="C134" s="19" t="inlineStr">
        <is>
          <t>AP/TS</t>
        </is>
      </c>
      <c r="D134" s="20" t="inlineStr">
        <is>
          <t>AP31AJ0003</t>
        </is>
      </c>
      <c r="E134" s="20" t="inlineStr">
        <is>
          <t>HONDA</t>
        </is>
      </c>
      <c r="F134" s="20" t="inlineStr">
        <is>
          <t>City</t>
        </is>
      </c>
      <c r="G134" s="21" t="n">
        <v>2005</v>
      </c>
      <c r="H134" s="22" t="n">
        <v>235147</v>
      </c>
      <c r="I134" s="23" t="n">
        <v>30000</v>
      </c>
      <c r="J134" s="20" t="inlineStr">
        <is>
          <t>Avaala Raju</t>
        </is>
      </c>
      <c r="K134" s="20" t="inlineStr">
        <is>
          <t>Non-Captive</t>
        </is>
      </c>
      <c r="L134" s="20" t="inlineStr">
        <is>
          <t>Kaki Dinesh Kumar</t>
        </is>
      </c>
      <c r="M134" s="23" t="n">
        <v>2118.64</v>
      </c>
      <c r="N134" s="23" t="n">
        <v>2500</v>
      </c>
      <c r="O134" s="24">
        <f>IF(AND(ISNUMBER(M134), ISNUMBER(I134), I134&gt;0), M134/I134, "")</f>
        <v/>
      </c>
    </row>
    <row r="135">
      <c r="A135" s="19" t="inlineStr">
        <is>
          <t>FY26</t>
        </is>
      </c>
      <c r="B135" s="19" t="inlineStr">
        <is>
          <t>Mar</t>
        </is>
      </c>
      <c r="C135" s="19" t="inlineStr">
        <is>
          <t>AP/TS</t>
        </is>
      </c>
      <c r="D135" s="20" t="inlineStr">
        <is>
          <t>AP09CN3614</t>
        </is>
      </c>
      <c r="E135" s="20" t="inlineStr">
        <is>
          <t>HYUNDAI</t>
        </is>
      </c>
      <c r="F135" s="20" t="inlineStr">
        <is>
          <t>I20</t>
        </is>
      </c>
      <c r="G135" s="21" t="n">
        <v>2012</v>
      </c>
      <c r="H135" s="22" t="n">
        <v>152114</v>
      </c>
      <c r="I135" s="23" t="n">
        <v>150000</v>
      </c>
      <c r="J135" s="20" t="inlineStr">
        <is>
          <t>Devarapalli Avinash</t>
        </is>
      </c>
      <c r="K135" s="20" t="inlineStr">
        <is>
          <t>Non-Captive</t>
        </is>
      </c>
      <c r="L135" s="20" t="inlineStr">
        <is>
          <t>Chittibomma Srinivasa Rao</t>
        </is>
      </c>
      <c r="M135" s="23" t="n">
        <v>2542.37</v>
      </c>
      <c r="N135" s="23" t="n">
        <v>3000</v>
      </c>
      <c r="O135" s="24">
        <f>IF(AND(ISNUMBER(M135), ISNUMBER(I135), I135&gt;0), M135/I135, "")</f>
        <v/>
      </c>
    </row>
    <row r="136">
      <c r="A136" s="19" t="inlineStr">
        <is>
          <t>FY26</t>
        </is>
      </c>
      <c r="B136" s="19" t="inlineStr">
        <is>
          <t>Mar</t>
        </is>
      </c>
      <c r="C136" s="19" t="inlineStr">
        <is>
          <t>AP/TS</t>
        </is>
      </c>
      <c r="D136" s="20" t="inlineStr">
        <is>
          <t>AP16CW0111</t>
        </is>
      </c>
      <c r="E136" s="20" t="inlineStr">
        <is>
          <t>HYUNDAI</t>
        </is>
      </c>
      <c r="F136" s="20" t="inlineStr">
        <is>
          <t>Verna</t>
        </is>
      </c>
      <c r="G136" s="21" t="n">
        <v>2014</v>
      </c>
      <c r="H136" s="22" t="n">
        <v>245621</v>
      </c>
      <c r="I136" s="23" t="n">
        <v>150000</v>
      </c>
      <c r="J136" s="20" t="inlineStr">
        <is>
          <t>Devarapalli Avinash</t>
        </is>
      </c>
      <c r="K136" s="20" t="inlineStr">
        <is>
          <t>Non-Captive</t>
        </is>
      </c>
      <c r="L136" s="20" t="inlineStr">
        <is>
          <t>Chittibomma Srinivasa Rao</t>
        </is>
      </c>
      <c r="M136" s="23" t="n">
        <v>2542.37</v>
      </c>
      <c r="N136" s="23" t="n">
        <v>3000</v>
      </c>
      <c r="O136" s="24">
        <f>IF(AND(ISNUMBER(M136), ISNUMBER(I136), I136&gt;0), M136/I136, "")</f>
        <v/>
      </c>
    </row>
    <row r="137">
      <c r="A137" s="19" t="inlineStr">
        <is>
          <t>FY26</t>
        </is>
      </c>
      <c r="B137" s="19" t="inlineStr">
        <is>
          <t>Mar</t>
        </is>
      </c>
      <c r="C137" s="19" t="inlineStr">
        <is>
          <t>AP/TS</t>
        </is>
      </c>
      <c r="D137" s="20" t="inlineStr">
        <is>
          <t>AP16EX2796</t>
        </is>
      </c>
      <c r="E137" s="20" t="inlineStr">
        <is>
          <t>MARUTI SUZUKI</t>
        </is>
      </c>
      <c r="F137" s="20" t="inlineStr">
        <is>
          <t>Alto</t>
        </is>
      </c>
      <c r="G137" s="21" t="n">
        <v>2018</v>
      </c>
      <c r="H137" s="22" t="n">
        <v>144146</v>
      </c>
      <c r="I137" s="23" t="n">
        <v>150000</v>
      </c>
      <c r="J137" s="20" t="inlineStr">
        <is>
          <t>Devarapalli Avinash</t>
        </is>
      </c>
      <c r="K137" s="20" t="inlineStr">
        <is>
          <t>Non-Captive</t>
        </is>
      </c>
      <c r="L137" s="20" t="inlineStr">
        <is>
          <t>Naga Suresh Polukonda</t>
        </is>
      </c>
      <c r="M137" s="23" t="n">
        <v>2542.37</v>
      </c>
      <c r="N137" s="23" t="n">
        <v>3000</v>
      </c>
      <c r="O137" s="24">
        <f>IF(AND(ISNUMBER(M137), ISNUMBER(I137), I137&gt;0), M137/I137, "")</f>
        <v/>
      </c>
    </row>
    <row r="138">
      <c r="A138" s="19" t="inlineStr">
        <is>
          <t>FY26</t>
        </is>
      </c>
      <c r="B138" s="19" t="inlineStr">
        <is>
          <t>Mar</t>
        </is>
      </c>
      <c r="C138" s="19" t="inlineStr">
        <is>
          <t>AP/TS</t>
        </is>
      </c>
      <c r="D138" s="20" t="inlineStr">
        <is>
          <t>AP05DJ8424</t>
        </is>
      </c>
      <c r="E138" s="20" t="inlineStr">
        <is>
          <t>MARUTI SUZUKI</t>
        </is>
      </c>
      <c r="F138" s="20" t="inlineStr">
        <is>
          <t>Celerio</t>
        </is>
      </c>
      <c r="G138" s="21" t="n">
        <v>2015</v>
      </c>
      <c r="H138" s="22" t="n">
        <v>145135</v>
      </c>
      <c r="I138" s="23" t="n">
        <v>150000</v>
      </c>
      <c r="J138" s="20" t="inlineStr">
        <is>
          <t>Devarapalli Avinash</t>
        </is>
      </c>
      <c r="K138" s="20" t="inlineStr">
        <is>
          <t>Non-Captive</t>
        </is>
      </c>
      <c r="L138" s="20" t="inlineStr">
        <is>
          <t>Naga Suresh Polukonda</t>
        </is>
      </c>
      <c r="M138" s="23" t="n">
        <v>2542.37</v>
      </c>
      <c r="N138" s="23" t="n">
        <v>3000</v>
      </c>
      <c r="O138" s="24">
        <f>IF(AND(ISNUMBER(M138), ISNUMBER(I138), I138&gt;0), M138/I138, "")</f>
        <v/>
      </c>
    </row>
    <row r="139">
      <c r="A139" s="19" t="inlineStr">
        <is>
          <t>FY26</t>
        </is>
      </c>
      <c r="B139" s="19" t="inlineStr">
        <is>
          <t>Mar</t>
        </is>
      </c>
      <c r="C139" s="19" t="inlineStr">
        <is>
          <t>AP/TS</t>
        </is>
      </c>
      <c r="D139" s="20" t="inlineStr">
        <is>
          <t>AP07DG1214</t>
        </is>
      </c>
      <c r="E139" s="20" t="inlineStr">
        <is>
          <t>RENAULT</t>
        </is>
      </c>
      <c r="F139" s="20" t="inlineStr">
        <is>
          <t>Kwid</t>
        </is>
      </c>
      <c r="G139" s="21" t="n">
        <v>2017</v>
      </c>
      <c r="H139" s="22" t="n">
        <v>123776</v>
      </c>
      <c r="I139" s="23" t="n">
        <v>150000</v>
      </c>
      <c r="J139" s="20" t="inlineStr">
        <is>
          <t>Devarapalli Avinash</t>
        </is>
      </c>
      <c r="K139" s="20" t="inlineStr">
        <is>
          <t>Non-Captive</t>
        </is>
      </c>
      <c r="L139" s="20" t="inlineStr">
        <is>
          <t>Gopi Naga Raju</t>
        </is>
      </c>
      <c r="M139" s="23" t="n">
        <v>2542.37</v>
      </c>
      <c r="N139" s="23" t="n">
        <v>3000</v>
      </c>
      <c r="O139" s="24">
        <f>IF(AND(ISNUMBER(M139), ISNUMBER(I139), I139&gt;0), M139/I139, "")</f>
        <v/>
      </c>
    </row>
    <row r="140">
      <c r="A140" s="19" t="inlineStr">
        <is>
          <t>FY26</t>
        </is>
      </c>
      <c r="B140" s="19" t="inlineStr">
        <is>
          <t>Mar</t>
        </is>
      </c>
      <c r="C140" s="19" t="inlineStr">
        <is>
          <t>AP/TS</t>
        </is>
      </c>
      <c r="D140" s="20" t="inlineStr">
        <is>
          <t>AP20AM4567</t>
        </is>
      </c>
      <c r="E140" s="20" t="inlineStr">
        <is>
          <t>SKODA</t>
        </is>
      </c>
      <c r="F140" s="20" t="inlineStr">
        <is>
          <t>Rapid</t>
        </is>
      </c>
      <c r="G140" s="21" t="n">
        <v>2012</v>
      </c>
      <c r="H140" s="22" t="n">
        <v>212411</v>
      </c>
      <c r="I140" s="23" t="n">
        <v>150000</v>
      </c>
      <c r="J140" s="20" t="inlineStr">
        <is>
          <t>Devarapalli Avinash</t>
        </is>
      </c>
      <c r="K140" s="20" t="inlineStr">
        <is>
          <t>Non-Captive</t>
        </is>
      </c>
      <c r="L140" s="20" t="inlineStr">
        <is>
          <t>Gopi Naga Raju</t>
        </is>
      </c>
      <c r="M140" s="23" t="n">
        <v>2542.37</v>
      </c>
      <c r="N140" s="23" t="n">
        <v>3000</v>
      </c>
      <c r="O140" s="24">
        <f>IF(AND(ISNUMBER(M140), ISNUMBER(I140), I140&gt;0), M140/I140, "")</f>
        <v/>
      </c>
    </row>
    <row r="141">
      <c r="A141" s="19" t="inlineStr">
        <is>
          <t>FY26</t>
        </is>
      </c>
      <c r="B141" s="19" t="inlineStr">
        <is>
          <t>Mar</t>
        </is>
      </c>
      <c r="C141" s="19" t="inlineStr">
        <is>
          <t>AP/TS</t>
        </is>
      </c>
      <c r="D141" s="20" t="inlineStr">
        <is>
          <t>TS10EA9276</t>
        </is>
      </c>
      <c r="E141" s="20" t="inlineStr">
        <is>
          <t>HONDA</t>
        </is>
      </c>
      <c r="F141" s="20" t="inlineStr">
        <is>
          <t>Amaze</t>
        </is>
      </c>
      <c r="G141" s="21" t="n">
        <v>2014</v>
      </c>
      <c r="H141" s="22" t="n">
        <v>73502</v>
      </c>
      <c r="I141" s="23" t="n">
        <v>200000</v>
      </c>
      <c r="J141" s="20" t="inlineStr">
        <is>
          <t>Exchange HYDERABAD</t>
        </is>
      </c>
      <c r="K141" s="20" t="inlineStr">
        <is>
          <t>Captive</t>
        </is>
      </c>
      <c r="L141" s="20" t="inlineStr">
        <is>
          <t>Gorenka Vinay Shravan</t>
        </is>
      </c>
      <c r="M141" s="23" t="n">
        <v>8474.58</v>
      </c>
      <c r="N141" s="23" t="n">
        <v>10000</v>
      </c>
      <c r="O141" s="24">
        <f>IF(AND(ISNUMBER(M141), ISNUMBER(I141), I141&gt;0), M141/I141, "")</f>
        <v/>
      </c>
    </row>
    <row r="142">
      <c r="A142" s="19" t="inlineStr">
        <is>
          <t>FY26</t>
        </is>
      </c>
      <c r="B142" s="19" t="inlineStr">
        <is>
          <t>Mar</t>
        </is>
      </c>
      <c r="C142" s="19" t="inlineStr">
        <is>
          <t>AP/TS</t>
        </is>
      </c>
      <c r="D142" s="20" t="inlineStr">
        <is>
          <t>TS08EG1112</t>
        </is>
      </c>
      <c r="E142" s="20" t="inlineStr">
        <is>
          <t>HYUNDAI</t>
        </is>
      </c>
      <c r="F142" s="20" t="inlineStr">
        <is>
          <t>I20</t>
        </is>
      </c>
      <c r="G142" s="21" t="n">
        <v>2014</v>
      </c>
      <c r="H142" s="22" t="n">
        <v>175456</v>
      </c>
      <c r="I142" s="23" t="n">
        <v>200000</v>
      </c>
      <c r="J142" s="20" t="inlineStr">
        <is>
          <t>Puneet Gupta</t>
        </is>
      </c>
      <c r="K142" s="20" t="inlineStr">
        <is>
          <t>Non-Captive</t>
        </is>
      </c>
      <c r="L142" s="20" t="inlineStr">
        <is>
          <t>Gorenka Vinay Shravan</t>
        </is>
      </c>
      <c r="M142" s="23" t="n">
        <v>2118.64</v>
      </c>
      <c r="N142" s="23" t="n">
        <v>2500</v>
      </c>
      <c r="O142" s="24">
        <f>IF(AND(ISNUMBER(M142), ISNUMBER(I142), I142&gt;0), M142/I142, "")</f>
        <v/>
      </c>
    </row>
    <row r="143">
      <c r="A143" s="19" t="inlineStr">
        <is>
          <t>FY26</t>
        </is>
      </c>
      <c r="B143" s="19" t="inlineStr">
        <is>
          <t>Mar</t>
        </is>
      </c>
      <c r="C143" s="19" t="inlineStr">
        <is>
          <t>AP/TS</t>
        </is>
      </c>
      <c r="D143" s="20" t="inlineStr">
        <is>
          <t>AP28BW7475</t>
        </is>
      </c>
      <c r="E143" s="20" t="inlineStr">
        <is>
          <t>HYUNDAI</t>
        </is>
      </c>
      <c r="F143" s="20" t="inlineStr">
        <is>
          <t>I20</t>
        </is>
      </c>
      <c r="G143" s="21" t="n">
        <v>2013</v>
      </c>
      <c r="H143" s="22" t="n">
        <v>177805</v>
      </c>
      <c r="I143" s="23" t="n">
        <v>200000</v>
      </c>
      <c r="J143" s="20" t="inlineStr">
        <is>
          <t>Puneet Gupta</t>
        </is>
      </c>
      <c r="K143" s="20" t="inlineStr">
        <is>
          <t>Non-Captive</t>
        </is>
      </c>
      <c r="L143" s="20" t="inlineStr">
        <is>
          <t>Gorenka Vinay Shravan</t>
        </is>
      </c>
      <c r="M143" s="23" t="n">
        <v>2118.64</v>
      </c>
      <c r="N143" s="23" t="n">
        <v>2500</v>
      </c>
      <c r="O143" s="24">
        <f>IF(AND(ISNUMBER(M143), ISNUMBER(I143), I143&gt;0), M143/I143, "")</f>
        <v/>
      </c>
    </row>
    <row r="144">
      <c r="A144" s="19" t="inlineStr">
        <is>
          <t>FY26</t>
        </is>
      </c>
      <c r="B144" s="19" t="inlineStr">
        <is>
          <t>Mar</t>
        </is>
      </c>
      <c r="C144" s="19" t="inlineStr">
        <is>
          <t>AP/TS</t>
        </is>
      </c>
      <c r="D144" s="20" t="inlineStr">
        <is>
          <t>AP09CR5557</t>
        </is>
      </c>
      <c r="E144" s="20" t="inlineStr">
        <is>
          <t>HYUNDAI</t>
        </is>
      </c>
      <c r="F144" s="20" t="inlineStr">
        <is>
          <t>I20</t>
        </is>
      </c>
      <c r="G144" s="21" t="n">
        <v>2013</v>
      </c>
      <c r="H144" s="22" t="n">
        <v>185350</v>
      </c>
      <c r="I144" s="23" t="n">
        <v>200000</v>
      </c>
      <c r="J144" s="20" t="inlineStr">
        <is>
          <t>Puneet Gupta</t>
        </is>
      </c>
      <c r="K144" s="20" t="inlineStr">
        <is>
          <t>Non-Captive</t>
        </is>
      </c>
      <c r="L144" s="20" t="inlineStr">
        <is>
          <t>Gorenka Vinay Shravan</t>
        </is>
      </c>
      <c r="M144" s="23" t="n">
        <v>2118.64</v>
      </c>
      <c r="N144" s="23" t="n">
        <v>2500</v>
      </c>
      <c r="O144" s="24">
        <f>IF(AND(ISNUMBER(M144), ISNUMBER(I144), I144&gt;0), M144/I144, "")</f>
        <v/>
      </c>
    </row>
    <row r="145">
      <c r="A145" s="19" t="inlineStr">
        <is>
          <t>FY26</t>
        </is>
      </c>
      <c r="B145" s="19" t="inlineStr">
        <is>
          <t>Mar</t>
        </is>
      </c>
      <c r="C145" s="19" t="inlineStr">
        <is>
          <t>AP/TS</t>
        </is>
      </c>
      <c r="D145" s="20" t="inlineStr">
        <is>
          <t>AP11AS2556</t>
        </is>
      </c>
      <c r="E145" s="20" t="inlineStr">
        <is>
          <t>HYUNDAI</t>
        </is>
      </c>
      <c r="F145" s="20" t="inlineStr">
        <is>
          <t>I20</t>
        </is>
      </c>
      <c r="G145" s="21" t="n">
        <v>2013</v>
      </c>
      <c r="H145" s="22" t="n">
        <v>168480</v>
      </c>
      <c r="I145" s="23" t="n">
        <v>200000</v>
      </c>
      <c r="J145" s="20" t="inlineStr">
        <is>
          <t>Puneet Gupta</t>
        </is>
      </c>
      <c r="K145" s="20" t="inlineStr">
        <is>
          <t>Non-Captive</t>
        </is>
      </c>
      <c r="L145" s="20" t="inlineStr">
        <is>
          <t>Gorenka Vinay Shravan</t>
        </is>
      </c>
      <c r="M145" s="23" t="n">
        <v>2118.64</v>
      </c>
      <c r="N145" s="23" t="n">
        <v>2500</v>
      </c>
      <c r="O145" s="24">
        <f>IF(AND(ISNUMBER(M145), ISNUMBER(I145), I145&gt;0), M145/I145, "")</f>
        <v/>
      </c>
    </row>
    <row r="146">
      <c r="A146" s="19" t="inlineStr">
        <is>
          <t>FY26</t>
        </is>
      </c>
      <c r="B146" s="19" t="inlineStr">
        <is>
          <t>Mar</t>
        </is>
      </c>
      <c r="C146" s="19" t="inlineStr">
        <is>
          <t>AP/TS</t>
        </is>
      </c>
      <c r="D146" s="20" t="inlineStr">
        <is>
          <t>AP39HL0002</t>
        </is>
      </c>
      <c r="E146" s="20" t="inlineStr">
        <is>
          <t>HONDA</t>
        </is>
      </c>
      <c r="F146" s="20" t="inlineStr">
        <is>
          <t>Amaze</t>
        </is>
      </c>
      <c r="G146" s="21" t="n">
        <v>2020</v>
      </c>
      <c r="H146" s="22" t="n">
        <v>113245</v>
      </c>
      <c r="I146" s="23" t="n">
        <v>470000</v>
      </c>
      <c r="J146" s="20" t="inlineStr">
        <is>
          <t>Exchange VIJAYAWADA</t>
        </is>
      </c>
      <c r="K146" s="20" t="inlineStr">
        <is>
          <t>Captive</t>
        </is>
      </c>
      <c r="L146" s="20" t="inlineStr">
        <is>
          <t>Guthi Ravi Krishna</t>
        </is>
      </c>
      <c r="M146" s="23" t="n">
        <v>8474.58</v>
      </c>
      <c r="N146" s="23" t="n">
        <v>10000</v>
      </c>
      <c r="O146" s="24">
        <f>IF(AND(ISNUMBER(M146), ISNUMBER(I146), I146&gt;0), M146/I146, "")</f>
        <v/>
      </c>
    </row>
    <row r="147">
      <c r="A147" s="19" t="inlineStr">
        <is>
          <t>FY26</t>
        </is>
      </c>
      <c r="B147" s="19" t="inlineStr">
        <is>
          <t>Mar</t>
        </is>
      </c>
      <c r="C147" s="19" t="inlineStr">
        <is>
          <t>AP/TS</t>
        </is>
      </c>
      <c r="D147" s="20" t="inlineStr">
        <is>
          <t>AP31BH0415</t>
        </is>
      </c>
      <c r="E147" s="20" t="inlineStr">
        <is>
          <t>HONDA</t>
        </is>
      </c>
      <c r="F147" s="20" t="inlineStr">
        <is>
          <t>City</t>
        </is>
      </c>
      <c r="G147" s="21" t="n">
        <v>2010</v>
      </c>
      <c r="H147" s="22" t="n">
        <v>177121</v>
      </c>
      <c r="I147" s="23" t="n">
        <v>150000</v>
      </c>
      <c r="J147" s="20" t="inlineStr">
        <is>
          <t>T Srinivas</t>
        </is>
      </c>
      <c r="K147" s="20" t="inlineStr">
        <is>
          <t>Non-Captive</t>
        </is>
      </c>
      <c r="L147" s="20" t="inlineStr">
        <is>
          <t>Guthi Ravi Krishna</t>
        </is>
      </c>
      <c r="M147" s="23" t="n">
        <v>5084.75</v>
      </c>
      <c r="N147" s="23" t="n">
        <v>6000</v>
      </c>
      <c r="O147" s="24">
        <f>IF(AND(ISNUMBER(M147), ISNUMBER(I147), I147&gt;0), M147/I147, "")</f>
        <v/>
      </c>
    </row>
    <row r="148">
      <c r="A148" s="19" t="inlineStr">
        <is>
          <t>FY26</t>
        </is>
      </c>
      <c r="B148" s="19" t="inlineStr">
        <is>
          <t>Mar</t>
        </is>
      </c>
      <c r="C148" s="19" t="inlineStr">
        <is>
          <t>AP/TS</t>
        </is>
      </c>
      <c r="D148" s="20" t="inlineStr">
        <is>
          <t>AP16AS0888</t>
        </is>
      </c>
      <c r="E148" s="20" t="inlineStr">
        <is>
          <t>HONDA</t>
        </is>
      </c>
      <c r="F148" s="20" t="inlineStr">
        <is>
          <t>Amaze</t>
        </is>
      </c>
      <c r="G148" s="21" t="n">
        <v>2016</v>
      </c>
      <c r="H148" s="22" t="n">
        <v>57272</v>
      </c>
      <c r="I148" s="23" t="n">
        <v>275000</v>
      </c>
      <c r="J148" s="20" t="inlineStr">
        <is>
          <t>Exchange VIJAYAWADA</t>
        </is>
      </c>
      <c r="K148" s="20" t="inlineStr">
        <is>
          <t>Captive</t>
        </is>
      </c>
      <c r="L148" s="20" t="inlineStr">
        <is>
          <t>Subbayya Tanaki</t>
        </is>
      </c>
      <c r="M148" s="23" t="n">
        <v>16949.15</v>
      </c>
      <c r="N148" s="23" t="n">
        <v>20000</v>
      </c>
      <c r="O148" s="24">
        <f>IF(AND(ISNUMBER(M148), ISNUMBER(I148), I148&gt;0), M148/I148, "")</f>
        <v/>
      </c>
    </row>
    <row r="149">
      <c r="A149" s="19" t="inlineStr">
        <is>
          <t>FY26</t>
        </is>
      </c>
      <c r="B149" s="19" t="inlineStr">
        <is>
          <t>Mar</t>
        </is>
      </c>
      <c r="C149" s="19" t="inlineStr">
        <is>
          <t>AP/TS</t>
        </is>
      </c>
      <c r="D149" s="20" t="inlineStr">
        <is>
          <t>AP09CU5985</t>
        </is>
      </c>
      <c r="E149" s="20" t="inlineStr">
        <is>
          <t>HONDA</t>
        </is>
      </c>
      <c r="F149" s="20" t="inlineStr">
        <is>
          <t>Amaze</t>
        </is>
      </c>
      <c r="G149" s="21" t="n">
        <v>2013</v>
      </c>
      <c r="H149" s="22" t="n">
        <v>80697</v>
      </c>
      <c r="I149" s="23" t="n">
        <v>195000</v>
      </c>
      <c r="J149" s="20" t="inlineStr">
        <is>
          <t>Exchange VIJAYAWADA</t>
        </is>
      </c>
      <c r="K149" s="20" t="inlineStr">
        <is>
          <t>Captive</t>
        </is>
      </c>
      <c r="L149" s="20" t="inlineStr">
        <is>
          <t>Chittibomma Srinivasa Rao</t>
        </is>
      </c>
      <c r="M149" s="23" t="n">
        <v>12711.86</v>
      </c>
      <c r="N149" s="23" t="n">
        <v>15000</v>
      </c>
      <c r="O149" s="24">
        <f>IF(AND(ISNUMBER(M149), ISNUMBER(I149), I149&gt;0), M149/I149, "")</f>
        <v/>
      </c>
    </row>
    <row r="150">
      <c r="A150" s="19" t="inlineStr">
        <is>
          <t>FY26</t>
        </is>
      </c>
      <c r="B150" s="19" t="inlineStr">
        <is>
          <t>Mar</t>
        </is>
      </c>
      <c r="C150" s="19" t="inlineStr">
        <is>
          <t>AP/TS</t>
        </is>
      </c>
      <c r="D150" s="20" t="inlineStr">
        <is>
          <t>AP31CW7558</t>
        </is>
      </c>
      <c r="E150" s="20" t="inlineStr">
        <is>
          <t>HYUNDAI</t>
        </is>
      </c>
      <c r="F150" s="20" t="inlineStr">
        <is>
          <t>Xcent</t>
        </is>
      </c>
      <c r="G150" s="21" t="n">
        <v>2015</v>
      </c>
      <c r="H150" s="22" t="n">
        <v>135504</v>
      </c>
      <c r="I150" s="23" t="n">
        <v>250000</v>
      </c>
      <c r="J150" s="20" t="inlineStr">
        <is>
          <t>Exchange VIJAYAWADA</t>
        </is>
      </c>
      <c r="K150" s="20" t="inlineStr">
        <is>
          <t>Captive</t>
        </is>
      </c>
      <c r="L150" s="20" t="inlineStr">
        <is>
          <t>Tenali Srinivas</t>
        </is>
      </c>
      <c r="M150" s="23" t="n">
        <v>12711.86</v>
      </c>
      <c r="N150" s="23" t="n">
        <v>15000</v>
      </c>
      <c r="O150" s="24">
        <f>IF(AND(ISNUMBER(M150), ISNUMBER(I150), I150&gt;0), M150/I150, "")</f>
        <v/>
      </c>
    </row>
    <row r="151">
      <c r="A151" s="19" t="inlineStr">
        <is>
          <t>FY26</t>
        </is>
      </c>
      <c r="B151" s="19" t="inlineStr">
        <is>
          <t>Mar</t>
        </is>
      </c>
      <c r="C151" s="19" t="inlineStr">
        <is>
          <t>AP/TS</t>
        </is>
      </c>
      <c r="D151" s="20" t="inlineStr">
        <is>
          <t>AP31CC9919</t>
        </is>
      </c>
      <c r="E151" s="20" t="inlineStr">
        <is>
          <t>NISSAN</t>
        </is>
      </c>
      <c r="F151" s="20" t="inlineStr">
        <is>
          <t>Sunny</t>
        </is>
      </c>
      <c r="G151" s="21" t="n">
        <v>2012</v>
      </c>
      <c r="H151" s="22" t="n">
        <v>136729</v>
      </c>
      <c r="I151" s="23" t="n">
        <v>125000</v>
      </c>
      <c r="J151" s="20" t="inlineStr">
        <is>
          <t>Exchange VIZAG</t>
        </is>
      </c>
      <c r="K151" s="20" t="inlineStr">
        <is>
          <t>Captive</t>
        </is>
      </c>
      <c r="L151" s="20" t="inlineStr">
        <is>
          <t>Kesireddy Saikiran</t>
        </is>
      </c>
      <c r="M151" s="23" t="n">
        <v>12711.86</v>
      </c>
      <c r="N151" s="23" t="n">
        <v>15000</v>
      </c>
      <c r="O151" s="24">
        <f>IF(AND(ISNUMBER(M151), ISNUMBER(I151), I151&gt;0), M151/I151, "")</f>
        <v/>
      </c>
    </row>
    <row r="152">
      <c r="A152" s="19" t="inlineStr">
        <is>
          <t>FY26</t>
        </is>
      </c>
      <c r="B152" s="19" t="inlineStr">
        <is>
          <t>Mar</t>
        </is>
      </c>
      <c r="C152" s="19" t="inlineStr">
        <is>
          <t>AP/TS</t>
        </is>
      </c>
      <c r="D152" s="20" t="inlineStr">
        <is>
          <t>AP31AC9019</t>
        </is>
      </c>
      <c r="E152" s="20" t="inlineStr">
        <is>
          <t>TATA</t>
        </is>
      </c>
      <c r="F152" s="20" t="inlineStr">
        <is>
          <t>Indigo</t>
        </is>
      </c>
      <c r="G152" s="21" t="n">
        <v>2003</v>
      </c>
      <c r="H152" s="22" t="n">
        <v>145549</v>
      </c>
      <c r="I152" s="23" t="n">
        <v>35000</v>
      </c>
      <c r="J152" s="20" t="inlineStr">
        <is>
          <t>B Venkata Rao</t>
        </is>
      </c>
      <c r="K152" s="20" t="inlineStr">
        <is>
          <t>Non-Captive</t>
        </is>
      </c>
      <c r="L152" s="20" t="inlineStr">
        <is>
          <t>Kesireddy Saikiran</t>
        </is>
      </c>
      <c r="M152" s="23" t="n">
        <v>4237.29</v>
      </c>
      <c r="N152" s="23" t="n">
        <v>5000</v>
      </c>
      <c r="O152" s="24">
        <f>IF(AND(ISNUMBER(M152), ISNUMBER(I152), I152&gt;0), M152/I152, "")</f>
        <v/>
      </c>
    </row>
    <row r="153">
      <c r="A153" s="19" t="inlineStr">
        <is>
          <t>FY26</t>
        </is>
      </c>
      <c r="B153" s="19" t="inlineStr">
        <is>
          <t>Mar</t>
        </is>
      </c>
      <c r="C153" s="19" t="inlineStr">
        <is>
          <t>AP/TS</t>
        </is>
      </c>
      <c r="D153" s="20" t="inlineStr">
        <is>
          <t>AP31CP6091</t>
        </is>
      </c>
      <c r="E153" s="20" t="inlineStr">
        <is>
          <t>HONDA</t>
        </is>
      </c>
      <c r="F153" s="20" t="inlineStr">
        <is>
          <t>Brio</t>
        </is>
      </c>
      <c r="G153" s="21" t="n">
        <v>2014</v>
      </c>
      <c r="H153" s="22" t="n">
        <v>53215</v>
      </c>
      <c r="I153" s="23" t="n">
        <v>212000</v>
      </c>
      <c r="J153" s="20" t="inlineStr">
        <is>
          <t>Exchange VIZAG</t>
        </is>
      </c>
      <c r="K153" s="20" t="inlineStr">
        <is>
          <t>Captive</t>
        </is>
      </c>
      <c r="L153" s="20" t="inlineStr">
        <is>
          <t>Gadi Sri Bharathi</t>
        </is>
      </c>
      <c r="M153" s="23" t="n">
        <v>10169.49</v>
      </c>
      <c r="N153" s="23" t="n">
        <v>12000</v>
      </c>
      <c r="O153" s="24">
        <f>IF(AND(ISNUMBER(M153), ISNUMBER(I153), I153&gt;0), M153/I153, "")</f>
        <v/>
      </c>
    </row>
    <row r="154">
      <c r="A154" s="19" t="inlineStr">
        <is>
          <t>FY26</t>
        </is>
      </c>
      <c r="B154" s="19" t="inlineStr">
        <is>
          <t>Mar</t>
        </is>
      </c>
      <c r="C154" s="19" t="inlineStr">
        <is>
          <t>AP/TS</t>
        </is>
      </c>
      <c r="D154" s="20" t="inlineStr">
        <is>
          <t>AP28BL5824</t>
        </is>
      </c>
      <c r="E154" s="20" t="inlineStr">
        <is>
          <t>CHEVROLET</t>
        </is>
      </c>
      <c r="F154" s="20" t="inlineStr">
        <is>
          <t>Spark</t>
        </is>
      </c>
      <c r="G154" s="21" t="n">
        <v>2009</v>
      </c>
      <c r="H154" s="22" t="n">
        <v>79895</v>
      </c>
      <c r="I154" s="23" t="n">
        <v>40000</v>
      </c>
      <c r="J154" s="20" t="inlineStr">
        <is>
          <t>Exchange HYDERABAD</t>
        </is>
      </c>
      <c r="K154" s="20" t="inlineStr">
        <is>
          <t>Captive</t>
        </is>
      </c>
      <c r="L154" s="20" t="inlineStr">
        <is>
          <t>Prabjyoth Singh Wasu</t>
        </is>
      </c>
      <c r="M154" s="23" t="n">
        <v>12711.86</v>
      </c>
      <c r="N154" s="23" t="n">
        <v>15000</v>
      </c>
      <c r="O154" s="24">
        <f>IF(AND(ISNUMBER(M154), ISNUMBER(I154), I154&gt;0), M154/I154, "")</f>
        <v/>
      </c>
    </row>
    <row r="155">
      <c r="A155" s="19" t="inlineStr">
        <is>
          <t>FY26</t>
        </is>
      </c>
      <c r="B155" s="19" t="inlineStr">
        <is>
          <t>Mar</t>
        </is>
      </c>
      <c r="C155" s="19" t="inlineStr">
        <is>
          <t>AP/TS</t>
        </is>
      </c>
      <c r="D155" s="20" t="inlineStr">
        <is>
          <t>TS08JL8020</t>
        </is>
      </c>
      <c r="E155" s="20" t="inlineStr">
        <is>
          <t>MARUTI SUZUKI</t>
        </is>
      </c>
      <c r="F155" s="20" t="inlineStr">
        <is>
          <t>Alto K10</t>
        </is>
      </c>
      <c r="G155" s="21" t="n">
        <v>2022</v>
      </c>
      <c r="H155" s="22" t="n">
        <v>24512</v>
      </c>
      <c r="I155" s="23" t="n">
        <v>205000</v>
      </c>
      <c r="J155" s="20" t="inlineStr">
        <is>
          <t>Exchange HYDERABAD</t>
        </is>
      </c>
      <c r="K155" s="20" t="inlineStr">
        <is>
          <t>Captive</t>
        </is>
      </c>
      <c r="L155" s="20" t="inlineStr">
        <is>
          <t>Prasanna Kulkarni</t>
        </is>
      </c>
      <c r="M155" s="23" t="n">
        <v>4237.29</v>
      </c>
      <c r="N155" s="23" t="n">
        <v>5000</v>
      </c>
      <c r="O155" s="24">
        <f>IF(AND(ISNUMBER(M155), ISNUMBER(I155), I155&gt;0), M155/I155, "")</f>
        <v/>
      </c>
    </row>
    <row r="156">
      <c r="A156" s="19" t="inlineStr">
        <is>
          <t>FY26</t>
        </is>
      </c>
      <c r="B156" s="19" t="inlineStr">
        <is>
          <t>Mar</t>
        </is>
      </c>
      <c r="C156" s="19" t="inlineStr">
        <is>
          <t>AP/TS</t>
        </is>
      </c>
      <c r="D156" s="20" t="inlineStr">
        <is>
          <t>AP09CR6576</t>
        </is>
      </c>
      <c r="E156" s="20" t="inlineStr">
        <is>
          <t>SKODA</t>
        </is>
      </c>
      <c r="F156" s="20" t="inlineStr">
        <is>
          <t>Rapid</t>
        </is>
      </c>
      <c r="G156" s="21" t="n">
        <v>2013</v>
      </c>
      <c r="H156" s="22" t="n">
        <v>88830</v>
      </c>
      <c r="I156" s="23" t="n">
        <v>195000</v>
      </c>
      <c r="J156" s="20" t="inlineStr">
        <is>
          <t>Exchange VIZAG</t>
        </is>
      </c>
      <c r="K156" s="20" t="inlineStr">
        <is>
          <t>Captive</t>
        </is>
      </c>
      <c r="L156" s="20" t="inlineStr">
        <is>
          <t>Kodukula Kausalya Devi</t>
        </is>
      </c>
      <c r="M156" s="23" t="n">
        <v>21186.44</v>
      </c>
      <c r="N156" s="23" t="n">
        <v>25000</v>
      </c>
      <c r="O156" s="24">
        <f>IF(AND(ISNUMBER(M156), ISNUMBER(I156), I156&gt;0), M156/I156, "")</f>
        <v/>
      </c>
    </row>
    <row r="157">
      <c r="A157" s="19" t="inlineStr">
        <is>
          <t>FY27</t>
        </is>
      </c>
      <c r="B157" s="19" t="inlineStr">
        <is>
          <t>Apr</t>
        </is>
      </c>
      <c r="C157" s="19" t="inlineStr">
        <is>
          <t>AP/TS</t>
        </is>
      </c>
      <c r="D157" s="20" t="inlineStr">
        <is>
          <t>TG097748</t>
        </is>
      </c>
      <c r="E157" s="20" t="inlineStr">
        <is>
          <t>RENAULT</t>
        </is>
      </c>
      <c r="F157" s="20" t="inlineStr">
        <is>
          <t>Kwid</t>
        </is>
      </c>
      <c r="G157" s="21" t="n">
        <v>2024</v>
      </c>
      <c r="H157" s="22" t="n">
        <v>23433</v>
      </c>
      <c r="I157" s="23" t="n">
        <v>355000</v>
      </c>
      <c r="J157" s="20" t="inlineStr">
        <is>
          <t>Exchange HYDERABAD</t>
        </is>
      </c>
      <c r="K157" s="20" t="inlineStr">
        <is>
          <t>Captive</t>
        </is>
      </c>
      <c r="L157" s="20" t="inlineStr">
        <is>
          <t>Prabjyoth Singh Wasu</t>
        </is>
      </c>
      <c r="M157" s="23" t="n">
        <v>8474.58</v>
      </c>
      <c r="N157" s="23" t="n">
        <v>10000</v>
      </c>
      <c r="O157" s="24">
        <f>IF(AND(ISNUMBER(M157), ISNUMBER(I157), I157&gt;0), M157/I157, "")</f>
        <v/>
      </c>
    </row>
    <row r="158">
      <c r="A158" s="19" t="inlineStr">
        <is>
          <t>FY27</t>
        </is>
      </c>
      <c r="B158" s="19" t="inlineStr">
        <is>
          <t>Apr</t>
        </is>
      </c>
      <c r="C158" s="19" t="inlineStr">
        <is>
          <t>AP/TS</t>
        </is>
      </c>
      <c r="D158" s="20" t="inlineStr">
        <is>
          <t>TS04EK3140</t>
        </is>
      </c>
      <c r="E158" s="20" t="inlineStr">
        <is>
          <t>MARUTI SUZUKI</t>
        </is>
      </c>
      <c r="F158" s="20" t="inlineStr">
        <is>
          <t>Alto K10</t>
        </is>
      </c>
      <c r="G158" s="21" t="n">
        <v>2015</v>
      </c>
      <c r="H158" s="22" t="n">
        <v>142128</v>
      </c>
      <c r="I158" s="23" t="n">
        <v>150000</v>
      </c>
      <c r="J158" s="20" t="inlineStr">
        <is>
          <t>Odapally Sandeep</t>
        </is>
      </c>
      <c r="K158" s="20" t="inlineStr">
        <is>
          <t>Non-Captive</t>
        </is>
      </c>
      <c r="L158" s="20" t="inlineStr">
        <is>
          <t>Prabjyoth Singh Wasu</t>
        </is>
      </c>
      <c r="M158" s="23" t="n">
        <v>4237.29</v>
      </c>
      <c r="N158" s="23" t="n">
        <v>5000</v>
      </c>
      <c r="O158" s="24">
        <f>IF(AND(ISNUMBER(M158), ISNUMBER(I158), I158&gt;0), M158/I158, "")</f>
        <v/>
      </c>
    </row>
    <row r="159">
      <c r="A159" s="19" t="inlineStr">
        <is>
          <t>FY27</t>
        </is>
      </c>
      <c r="B159" s="19" t="inlineStr">
        <is>
          <t>Apr</t>
        </is>
      </c>
      <c r="C159" s="19" t="inlineStr">
        <is>
          <t>AP/TS</t>
        </is>
      </c>
      <c r="D159" s="20" t="inlineStr">
        <is>
          <t>TS04EF4777</t>
        </is>
      </c>
      <c r="E159" s="20" t="inlineStr">
        <is>
          <t>FORD</t>
        </is>
      </c>
      <c r="F159" s="20" t="inlineStr">
        <is>
          <t>Figo Aspire</t>
        </is>
      </c>
      <c r="G159" s="21" t="n">
        <v>2015</v>
      </c>
      <c r="H159" s="22" t="n">
        <v>175418</v>
      </c>
      <c r="I159" s="23" t="n">
        <v>150000</v>
      </c>
      <c r="J159" s="20" t="inlineStr">
        <is>
          <t>Odapally Sandeep</t>
        </is>
      </c>
      <c r="K159" s="20" t="inlineStr">
        <is>
          <t>Non-Captive</t>
        </is>
      </c>
      <c r="L159" s="20" t="inlineStr">
        <is>
          <t>Prabjyoth Singh Wasu</t>
        </is>
      </c>
      <c r="M159" s="23" t="n">
        <v>4237.29</v>
      </c>
      <c r="N159" s="23" t="n">
        <v>5000</v>
      </c>
      <c r="O159" s="24">
        <f>IF(AND(ISNUMBER(M159), ISNUMBER(I159), I159&gt;0), M159/I159, "")</f>
        <v/>
      </c>
    </row>
    <row r="160">
      <c r="A160" s="19" t="inlineStr">
        <is>
          <t>FY27</t>
        </is>
      </c>
      <c r="B160" s="19" t="inlineStr">
        <is>
          <t>Apr</t>
        </is>
      </c>
      <c r="C160" s="19" t="inlineStr">
        <is>
          <t>AP/TS</t>
        </is>
      </c>
      <c r="D160" s="20" t="inlineStr">
        <is>
          <t>AP37AY5931</t>
        </is>
      </c>
      <c r="E160" s="20" t="inlineStr">
        <is>
          <t>MARUTI SUZUKI</t>
        </is>
      </c>
      <c r="F160" s="20" t="inlineStr">
        <is>
          <t>Alto</t>
        </is>
      </c>
      <c r="G160" s="21" t="n">
        <v>2010</v>
      </c>
      <c r="H160" s="22" t="n">
        <v>124708</v>
      </c>
      <c r="I160" s="23" t="n">
        <v>90000</v>
      </c>
      <c r="J160" s="20" t="inlineStr">
        <is>
          <t>Exchange VIJAYAWADA</t>
        </is>
      </c>
      <c r="K160" s="20" t="inlineStr">
        <is>
          <t>Captive</t>
        </is>
      </c>
      <c r="L160" s="20" t="inlineStr">
        <is>
          <t>Akiri Akash</t>
        </is>
      </c>
      <c r="M160" s="23" t="n">
        <v>8474.58</v>
      </c>
      <c r="N160" s="23" t="n">
        <v>10000</v>
      </c>
      <c r="O160" s="24">
        <f>IF(AND(ISNUMBER(M160), ISNUMBER(I160), I160&gt;0), M160/I160, "")</f>
        <v/>
      </c>
    </row>
    <row r="161">
      <c r="A161" s="19" t="inlineStr">
        <is>
          <t>FY27</t>
        </is>
      </c>
      <c r="B161" s="19" t="inlineStr">
        <is>
          <t>Apr</t>
        </is>
      </c>
      <c r="C161" s="19" t="inlineStr">
        <is>
          <t>AP/TS</t>
        </is>
      </c>
      <c r="D161" s="20" t="inlineStr">
        <is>
          <t>AP16CH2476</t>
        </is>
      </c>
      <c r="E161" s="20" t="inlineStr">
        <is>
          <t>HYUNDAI</t>
        </is>
      </c>
      <c r="F161" s="20" t="inlineStr">
        <is>
          <t>I10</t>
        </is>
      </c>
      <c r="G161" s="21" t="n">
        <v>2013</v>
      </c>
      <c r="H161" s="22" t="n">
        <v>187125</v>
      </c>
      <c r="I161" s="23" t="n">
        <v>180000</v>
      </c>
      <c r="J161" s="20" t="inlineStr">
        <is>
          <t>Mohammed Gouse Basha</t>
        </is>
      </c>
      <c r="K161" s="20" t="inlineStr">
        <is>
          <t>Non-Captive</t>
        </is>
      </c>
      <c r="L161" s="20" t="inlineStr">
        <is>
          <t>Tenali Srinivas</t>
        </is>
      </c>
      <c r="M161" s="23" t="n">
        <v>5084.75</v>
      </c>
      <c r="N161" s="23" t="n">
        <v>6000</v>
      </c>
      <c r="O161" s="24">
        <f>IF(AND(ISNUMBER(M161), ISNUMBER(I161), I161&gt;0), M161/I161, "")</f>
        <v/>
      </c>
    </row>
    <row r="162">
      <c r="A162" s="19" t="inlineStr">
        <is>
          <t>FY27</t>
        </is>
      </c>
      <c r="B162" s="19" t="inlineStr">
        <is>
          <t>Apr</t>
        </is>
      </c>
      <c r="C162" s="19" t="inlineStr">
        <is>
          <t>AP/TS</t>
        </is>
      </c>
      <c r="D162" s="20" t="inlineStr">
        <is>
          <t>AP09CB2766</t>
        </is>
      </c>
      <c r="E162" s="20" t="inlineStr">
        <is>
          <t>HONDA</t>
        </is>
      </c>
      <c r="F162" s="20" t="inlineStr">
        <is>
          <t>City</t>
        </is>
      </c>
      <c r="G162" s="21" t="n">
        <v>2010</v>
      </c>
      <c r="H162" s="22" t="n">
        <v>139741</v>
      </c>
      <c r="I162" s="23" t="n">
        <v>180000</v>
      </c>
      <c r="J162" s="20" t="inlineStr">
        <is>
          <t>Mohammed Gouse Basha</t>
        </is>
      </c>
      <c r="K162" s="20" t="inlineStr">
        <is>
          <t>Non-Captive</t>
        </is>
      </c>
      <c r="L162" s="20" t="inlineStr">
        <is>
          <t>Tenali Srinivas</t>
        </is>
      </c>
      <c r="M162" s="23" t="n">
        <v>5084.75</v>
      </c>
      <c r="N162" s="23" t="n">
        <v>6000</v>
      </c>
      <c r="O162" s="24">
        <f>IF(AND(ISNUMBER(M162), ISNUMBER(I162), I162&gt;0), M162/I162, "")</f>
        <v/>
      </c>
    </row>
    <row r="163">
      <c r="A163" s="19" t="inlineStr">
        <is>
          <t>FY27</t>
        </is>
      </c>
      <c r="B163" s="19" t="inlineStr">
        <is>
          <t>Apr</t>
        </is>
      </c>
      <c r="C163" s="19" t="inlineStr">
        <is>
          <t>AP/TS</t>
        </is>
      </c>
      <c r="D163" s="20" t="inlineStr">
        <is>
          <t>AP05CW6858</t>
        </is>
      </c>
      <c r="E163" s="20" t="inlineStr">
        <is>
          <t>HONDA</t>
        </is>
      </c>
      <c r="F163" s="20" t="inlineStr">
        <is>
          <t>Br-V</t>
        </is>
      </c>
      <c r="G163" s="21" t="n">
        <v>2016</v>
      </c>
      <c r="H163" s="22" t="n">
        <v>140987</v>
      </c>
      <c r="I163" s="23" t="n">
        <v>465000</v>
      </c>
      <c r="J163" s="20" t="inlineStr">
        <is>
          <t>Exchange VIJAYAWADA</t>
        </is>
      </c>
      <c r="K163" s="20" t="inlineStr">
        <is>
          <t>Captive</t>
        </is>
      </c>
      <c r="L163" s="20" t="inlineStr">
        <is>
          <t>Mohammed Shafivulla</t>
        </is>
      </c>
      <c r="M163" s="23" t="n">
        <v>12711.86</v>
      </c>
      <c r="N163" s="23" t="n">
        <v>15000</v>
      </c>
      <c r="O163" s="24">
        <f>IF(AND(ISNUMBER(M163), ISNUMBER(I163), I163&gt;0), M163/I163, "")</f>
        <v/>
      </c>
    </row>
    <row r="164">
      <c r="A164" s="19" t="inlineStr">
        <is>
          <t>FY27</t>
        </is>
      </c>
      <c r="B164" s="19" t="inlineStr">
        <is>
          <t>Apr</t>
        </is>
      </c>
      <c r="C164" s="19" t="inlineStr">
        <is>
          <t>AP/TS</t>
        </is>
      </c>
      <c r="D164" s="20" t="inlineStr">
        <is>
          <t>AP33C8676</t>
        </is>
      </c>
      <c r="E164" s="20" t="inlineStr">
        <is>
          <t>TATA</t>
        </is>
      </c>
      <c r="F164" s="20" t="inlineStr">
        <is>
          <t>Indigo Cs</t>
        </is>
      </c>
      <c r="G164" s="21" t="n">
        <v>2009</v>
      </c>
      <c r="H164" s="22" t="n">
        <v>163545</v>
      </c>
      <c r="I164" s="23" t="n">
        <v>44000</v>
      </c>
      <c r="J164" s="20" t="inlineStr">
        <is>
          <t>Exchange VIZAG</t>
        </is>
      </c>
      <c r="K164" s="20" t="inlineStr">
        <is>
          <t>Captive</t>
        </is>
      </c>
      <c r="L164" s="20" t="inlineStr">
        <is>
          <t>Kaki Dinesh Kumar</t>
        </is>
      </c>
      <c r="M164" s="23" t="n">
        <v>5084.75</v>
      </c>
      <c r="N164" s="23" t="n">
        <v>6000</v>
      </c>
      <c r="O164" s="24">
        <f>IF(AND(ISNUMBER(M164), ISNUMBER(I164), I164&gt;0), M164/I164, "")</f>
        <v/>
      </c>
    </row>
    <row r="165">
      <c r="A165" s="19" t="inlineStr">
        <is>
          <t>FY27</t>
        </is>
      </c>
      <c r="B165" s="19" t="inlineStr">
        <is>
          <t>Apr</t>
        </is>
      </c>
      <c r="C165" s="19" t="inlineStr">
        <is>
          <t>AP/TS</t>
        </is>
      </c>
      <c r="D165" s="20" t="inlineStr">
        <is>
          <t>AP07CJ4027</t>
        </is>
      </c>
      <c r="E165" s="20" t="inlineStr">
        <is>
          <t>RENAULT</t>
        </is>
      </c>
      <c r="F165" s="20" t="inlineStr">
        <is>
          <t>Scala</t>
        </is>
      </c>
      <c r="G165" s="21" t="n">
        <v>2014</v>
      </c>
      <c r="H165" s="22" t="n">
        <v>189054</v>
      </c>
      <c r="I165" s="23" t="n">
        <v>210000</v>
      </c>
      <c r="J165" s="20" t="inlineStr">
        <is>
          <t>Exchange VIJAYAWADA</t>
        </is>
      </c>
      <c r="K165" s="20" t="inlineStr">
        <is>
          <t>Captive</t>
        </is>
      </c>
      <c r="L165" s="20" t="inlineStr">
        <is>
          <t>Guthi Ravi Krishna</t>
        </is>
      </c>
      <c r="M165" s="23" t="n">
        <v>8474.58</v>
      </c>
      <c r="N165" s="23" t="n">
        <v>10000</v>
      </c>
      <c r="O165" s="24">
        <f>IF(AND(ISNUMBER(M165), ISNUMBER(I165), I165&gt;0), M165/I165, "")</f>
        <v/>
      </c>
    </row>
    <row r="166">
      <c r="A166" s="19" t="inlineStr">
        <is>
          <t>FY27</t>
        </is>
      </c>
      <c r="B166" s="19" t="inlineStr">
        <is>
          <t>Apr</t>
        </is>
      </c>
      <c r="C166" s="19" t="inlineStr">
        <is>
          <t>AP/TS</t>
        </is>
      </c>
      <c r="D166" s="20" t="inlineStr">
        <is>
          <t>AP31DC0800</t>
        </is>
      </c>
      <c r="E166" s="20" t="inlineStr">
        <is>
          <t>RENAULT</t>
        </is>
      </c>
      <c r="F166" s="20" t="inlineStr">
        <is>
          <t>Scala</t>
        </is>
      </c>
      <c r="G166" s="21" t="n">
        <v>2015</v>
      </c>
      <c r="H166" s="22" t="n">
        <v>175212</v>
      </c>
      <c r="I166" s="23" t="n">
        <v>205000</v>
      </c>
      <c r="J166" s="20" t="inlineStr">
        <is>
          <t>T Srinivas</t>
        </is>
      </c>
      <c r="K166" s="20" t="inlineStr">
        <is>
          <t>Non-Captive</t>
        </is>
      </c>
      <c r="L166" s="20" t="inlineStr">
        <is>
          <t>Guthi Ravi Krishna</t>
        </is>
      </c>
      <c r="M166" s="23" t="n">
        <v>4237.29</v>
      </c>
      <c r="N166" s="23" t="n">
        <v>5000</v>
      </c>
      <c r="O166" s="24">
        <f>IF(AND(ISNUMBER(M166), ISNUMBER(I166), I166&gt;0), M166/I166, "")</f>
        <v/>
      </c>
    </row>
    <row r="167">
      <c r="A167" s="19" t="inlineStr">
        <is>
          <t>FY27</t>
        </is>
      </c>
      <c r="B167" s="19" t="inlineStr">
        <is>
          <t>Apr</t>
        </is>
      </c>
      <c r="C167" s="19" t="inlineStr">
        <is>
          <t>AP/TS</t>
        </is>
      </c>
      <c r="D167" s="20" t="inlineStr">
        <is>
          <t>AP39KF7366</t>
        </is>
      </c>
      <c r="E167" s="20" t="inlineStr">
        <is>
          <t>MARUTI SUZUKI</t>
        </is>
      </c>
      <c r="F167" s="20" t="inlineStr">
        <is>
          <t>S-Presso</t>
        </is>
      </c>
      <c r="G167" s="21" t="n">
        <v>2021</v>
      </c>
      <c r="H167" s="22" t="n">
        <v>32361</v>
      </c>
      <c r="I167" s="23" t="n">
        <v>332000</v>
      </c>
      <c r="J167" s="20" t="inlineStr">
        <is>
          <t>Exchange VIZAG</t>
        </is>
      </c>
      <c r="K167" s="20" t="inlineStr">
        <is>
          <t>Captive</t>
        </is>
      </c>
      <c r="L167" s="20" t="inlineStr">
        <is>
          <t>P S Aamir Ovez</t>
        </is>
      </c>
      <c r="M167" s="23" t="n">
        <v>10169.49</v>
      </c>
      <c r="N167" s="23" t="n">
        <v>12000</v>
      </c>
      <c r="O167" s="24">
        <f>IF(AND(ISNUMBER(M167), ISNUMBER(I167), I167&gt;0), M167/I167, "")</f>
        <v/>
      </c>
    </row>
    <row r="168">
      <c r="A168" s="19" t="inlineStr">
        <is>
          <t>FY27</t>
        </is>
      </c>
      <c r="B168" s="19" t="inlineStr">
        <is>
          <t>Apr</t>
        </is>
      </c>
      <c r="C168" s="19" t="inlineStr">
        <is>
          <t>AP/TS</t>
        </is>
      </c>
      <c r="D168" s="20" t="inlineStr">
        <is>
          <t>AP09CL6210</t>
        </is>
      </c>
      <c r="E168" s="20" t="inlineStr">
        <is>
          <t>HONDA</t>
        </is>
      </c>
      <c r="F168" s="20" t="inlineStr">
        <is>
          <t>Brio</t>
        </is>
      </c>
      <c r="G168" s="21" t="n">
        <v>2012</v>
      </c>
      <c r="H168" s="22" t="n">
        <v>83823</v>
      </c>
      <c r="I168" s="23" t="n">
        <v>130000</v>
      </c>
      <c r="J168" s="20" t="inlineStr">
        <is>
          <t>Exchange HYDERABAD</t>
        </is>
      </c>
      <c r="K168" s="20" t="inlineStr">
        <is>
          <t>Captive</t>
        </is>
      </c>
      <c r="L168" s="20" t="inlineStr">
        <is>
          <t>Naini Ramesh</t>
        </is>
      </c>
      <c r="M168" s="23" t="n">
        <v>4237.29</v>
      </c>
      <c r="N168" s="23" t="n">
        <v>5000</v>
      </c>
      <c r="O168" s="24">
        <f>IF(AND(ISNUMBER(M168), ISNUMBER(I168), I168&gt;0), M168/I168, "")</f>
        <v/>
      </c>
    </row>
    <row r="169">
      <c r="A169" s="19" t="inlineStr">
        <is>
          <t>FY27</t>
        </is>
      </c>
      <c r="B169" s="19" t="inlineStr">
        <is>
          <t>Apr</t>
        </is>
      </c>
      <c r="C169" s="19" t="inlineStr">
        <is>
          <t>AP/TS</t>
        </is>
      </c>
      <c r="D169" s="20" t="inlineStr">
        <is>
          <t>AP16CF4698</t>
        </is>
      </c>
      <c r="E169" s="20" t="inlineStr">
        <is>
          <t>HONDA</t>
        </is>
      </c>
      <c r="F169" s="20" t="inlineStr">
        <is>
          <t>City</t>
        </is>
      </c>
      <c r="G169" s="21" t="n">
        <v>2013</v>
      </c>
      <c r="H169" s="22" t="n">
        <v>188029</v>
      </c>
      <c r="I169" s="23" t="n">
        <v>180000</v>
      </c>
      <c r="J169" s="20" t="inlineStr">
        <is>
          <t>T Srinivas</t>
        </is>
      </c>
      <c r="K169" s="20" t="inlineStr">
        <is>
          <t>Non-Captive</t>
        </is>
      </c>
      <c r="L169" s="20" t="inlineStr">
        <is>
          <t>Mohammed Gouse Basha</t>
        </is>
      </c>
      <c r="M169" s="23" t="n">
        <v>5084.75</v>
      </c>
      <c r="N169" s="23" t="n">
        <v>6000</v>
      </c>
      <c r="O169" s="24">
        <f>IF(AND(ISNUMBER(M169), ISNUMBER(I169), I169&gt;0), M169/I169, "")</f>
        <v/>
      </c>
    </row>
    <row r="170">
      <c r="A170" s="19" t="inlineStr">
        <is>
          <t>FY27</t>
        </is>
      </c>
      <c r="B170" s="19" t="inlineStr">
        <is>
          <t>Apr</t>
        </is>
      </c>
      <c r="C170" s="19" t="inlineStr">
        <is>
          <t>AP/TS</t>
        </is>
      </c>
      <c r="D170" s="20" t="inlineStr">
        <is>
          <t>AP16CH5879</t>
        </is>
      </c>
      <c r="E170" s="20" t="inlineStr">
        <is>
          <t>TOYOTA</t>
        </is>
      </c>
      <c r="F170" s="20" t="inlineStr">
        <is>
          <t>Etios</t>
        </is>
      </c>
      <c r="G170" s="21" t="n">
        <v>2013</v>
      </c>
      <c r="H170" s="22" t="n">
        <v>59802</v>
      </c>
      <c r="I170" s="23" t="n">
        <v>257500</v>
      </c>
      <c r="J170" s="20" t="inlineStr">
        <is>
          <t>Exchange VIJAYAWADA</t>
        </is>
      </c>
      <c r="K170" s="20" t="inlineStr">
        <is>
          <t>Captive</t>
        </is>
      </c>
      <c r="L170" s="20" t="inlineStr">
        <is>
          <t>Suresh Ginjupalli</t>
        </is>
      </c>
      <c r="M170" s="23" t="n">
        <v>6355.93</v>
      </c>
      <c r="N170" s="23" t="n">
        <v>7500</v>
      </c>
      <c r="O170" s="24">
        <f>IF(AND(ISNUMBER(M170), ISNUMBER(I170), I170&gt;0), M170/I170, "")</f>
        <v/>
      </c>
    </row>
    <row r="171">
      <c r="A171" s="19" t="inlineStr">
        <is>
          <t>FY27</t>
        </is>
      </c>
      <c r="B171" s="19" t="inlineStr">
        <is>
          <t>Apr</t>
        </is>
      </c>
      <c r="C171" s="19" t="inlineStr">
        <is>
          <t>AP/TS</t>
        </is>
      </c>
      <c r="D171" s="20" t="inlineStr">
        <is>
          <t>AP16FD7112</t>
        </is>
      </c>
      <c r="E171" s="20" t="inlineStr">
        <is>
          <t>HYUNDAI</t>
        </is>
      </c>
      <c r="F171" s="20" t="inlineStr">
        <is>
          <t>Eon</t>
        </is>
      </c>
      <c r="G171" s="21" t="n">
        <v>2018</v>
      </c>
      <c r="H171" s="22" t="n">
        <v>136252</v>
      </c>
      <c r="I171" s="23" t="n">
        <v>217500</v>
      </c>
      <c r="J171" s="20" t="inlineStr">
        <is>
          <t>T Srinivas</t>
        </is>
      </c>
      <c r="K171" s="20" t="inlineStr">
        <is>
          <t>Non-Captive</t>
        </is>
      </c>
      <c r="L171" s="20" t="inlineStr">
        <is>
          <t>Suresh Ginjupalli</t>
        </is>
      </c>
      <c r="M171" s="23" t="n">
        <v>6355.93</v>
      </c>
      <c r="N171" s="23" t="n">
        <v>7500</v>
      </c>
      <c r="O171" s="24">
        <f>IF(AND(ISNUMBER(M171), ISNUMBER(I171), I171&gt;0), M171/I171, "")</f>
        <v/>
      </c>
    </row>
    <row r="172">
      <c r="A172" s="19" t="inlineStr">
        <is>
          <t>FY27</t>
        </is>
      </c>
      <c r="B172" s="19" t="inlineStr">
        <is>
          <t>Apr</t>
        </is>
      </c>
      <c r="C172" s="19" t="inlineStr">
        <is>
          <t>AP/TS</t>
        </is>
      </c>
      <c r="D172" s="20" t="inlineStr">
        <is>
          <t>AP39DE2959</t>
        </is>
      </c>
      <c r="E172" s="20" t="inlineStr">
        <is>
          <t>HYUNDAI</t>
        </is>
      </c>
      <c r="F172" s="20" t="inlineStr">
        <is>
          <t>Verna</t>
        </is>
      </c>
      <c r="G172" s="21" t="n">
        <v>2019</v>
      </c>
      <c r="H172" s="22" t="n">
        <v>73454</v>
      </c>
      <c r="I172" s="23" t="n">
        <v>662000</v>
      </c>
      <c r="J172" s="20" t="inlineStr">
        <is>
          <t>Exchange VIJAYAWADA</t>
        </is>
      </c>
      <c r="K172" s="20" t="inlineStr">
        <is>
          <t>Captive</t>
        </is>
      </c>
      <c r="L172" s="20" t="inlineStr">
        <is>
          <t>Guthi Ravi Krishna</t>
        </is>
      </c>
      <c r="M172" s="23" t="n">
        <v>10169.49</v>
      </c>
      <c r="N172" s="23" t="n">
        <v>12000</v>
      </c>
      <c r="O172" s="24">
        <f>IF(AND(ISNUMBER(M172), ISNUMBER(I172), I172&gt;0), M172/I172, "")</f>
        <v/>
      </c>
    </row>
    <row r="173">
      <c r="A173" s="19" t="inlineStr">
        <is>
          <t>FY27</t>
        </is>
      </c>
      <c r="B173" s="19" t="inlineStr">
        <is>
          <t>Apr</t>
        </is>
      </c>
      <c r="C173" s="19" t="inlineStr">
        <is>
          <t>AP/TS</t>
        </is>
      </c>
      <c r="D173" s="20" t="inlineStr">
        <is>
          <t>AP16CH0014</t>
        </is>
      </c>
      <c r="E173" s="20" t="inlineStr">
        <is>
          <t>HYUNDAI</t>
        </is>
      </c>
      <c r="F173" s="20" t="inlineStr">
        <is>
          <t>I10</t>
        </is>
      </c>
      <c r="G173" s="21" t="n">
        <v>2013</v>
      </c>
      <c r="H173" s="22" t="n">
        <v>140151</v>
      </c>
      <c r="I173" s="23" t="n">
        <v>200000</v>
      </c>
      <c r="J173" s="20" t="inlineStr">
        <is>
          <t>Vinod Kumar Murari</t>
        </is>
      </c>
      <c r="K173" s="20" t="inlineStr">
        <is>
          <t>Non-Captive</t>
        </is>
      </c>
      <c r="L173" s="20" t="inlineStr">
        <is>
          <t>Guthi Ravi Krishna</t>
        </is>
      </c>
      <c r="M173" s="23" t="n">
        <v>5084.75</v>
      </c>
      <c r="N173" s="23" t="n">
        <v>6000</v>
      </c>
      <c r="O173" s="24">
        <f>IF(AND(ISNUMBER(M173), ISNUMBER(I173), I173&gt;0), M173/I173, "")</f>
        <v/>
      </c>
    </row>
    <row r="174">
      <c r="A174" s="19" t="inlineStr">
        <is>
          <t>FY27</t>
        </is>
      </c>
      <c r="B174" s="19" t="inlineStr">
        <is>
          <t>Apr</t>
        </is>
      </c>
      <c r="C174" s="19" t="inlineStr">
        <is>
          <t>AP/TS</t>
        </is>
      </c>
      <c r="D174" s="20" t="inlineStr">
        <is>
          <t>AP16DP2237</t>
        </is>
      </c>
      <c r="E174" s="20" t="inlineStr">
        <is>
          <t>MARUTI SUZUKI</t>
        </is>
      </c>
      <c r="F174" s="20" t="inlineStr">
        <is>
          <t>Ritz</t>
        </is>
      </c>
      <c r="G174" s="21" t="n">
        <v>2016</v>
      </c>
      <c r="H174" s="22" t="n">
        <v>169063</v>
      </c>
      <c r="I174" s="23" t="n">
        <v>190000</v>
      </c>
      <c r="J174" s="20" t="inlineStr">
        <is>
          <t>Vinod Kumar Murari</t>
        </is>
      </c>
      <c r="K174" s="20" t="inlineStr">
        <is>
          <t>Non-Captive</t>
        </is>
      </c>
      <c r="L174" s="20" t="inlineStr">
        <is>
          <t>Guthi Ravi Krishna</t>
        </is>
      </c>
      <c r="M174" s="23" t="n">
        <v>5932.2</v>
      </c>
      <c r="N174" s="23" t="n">
        <v>7000</v>
      </c>
      <c r="O174" s="24">
        <f>IF(AND(ISNUMBER(M174), ISNUMBER(I174), I174&gt;0), M174/I174, "")</f>
        <v/>
      </c>
    </row>
    <row r="175">
      <c r="A175" s="19" t="inlineStr">
        <is>
          <t>FY27</t>
        </is>
      </c>
      <c r="B175" s="19" t="inlineStr">
        <is>
          <t>Apr</t>
        </is>
      </c>
      <c r="C175" s="19" t="inlineStr">
        <is>
          <t>AP/TS</t>
        </is>
      </c>
      <c r="D175" s="20" t="inlineStr">
        <is>
          <t>AP16EN6993</t>
        </is>
      </c>
      <c r="E175" s="20" t="inlineStr">
        <is>
          <t>MARUTI SUZUKI</t>
        </is>
      </c>
      <c r="F175" s="20" t="inlineStr">
        <is>
          <t>Celerio</t>
        </is>
      </c>
      <c r="G175" s="21" t="n">
        <v>2017</v>
      </c>
      <c r="H175" s="22" t="n">
        <v>135212</v>
      </c>
      <c r="I175" s="23" t="n">
        <v>190000</v>
      </c>
      <c r="J175" s="20" t="inlineStr">
        <is>
          <t>Vinod Kumar Murari</t>
        </is>
      </c>
      <c r="K175" s="20" t="inlineStr">
        <is>
          <t>Non-Captive</t>
        </is>
      </c>
      <c r="L175" s="20" t="inlineStr">
        <is>
          <t>Devarapalli Avinash</t>
        </is>
      </c>
      <c r="M175" s="23" t="n">
        <v>5084.75</v>
      </c>
      <c r="N175" s="23" t="n">
        <v>6000</v>
      </c>
      <c r="O175" s="24">
        <f>IF(AND(ISNUMBER(M175), ISNUMBER(I175), I175&gt;0), M175/I175, "")</f>
        <v/>
      </c>
    </row>
    <row r="176">
      <c r="A176" s="19" t="inlineStr">
        <is>
          <t>FY27</t>
        </is>
      </c>
      <c r="B176" s="19" t="inlineStr">
        <is>
          <t>Apr</t>
        </is>
      </c>
      <c r="C176" s="19" t="inlineStr">
        <is>
          <t>AP/TS</t>
        </is>
      </c>
      <c r="D176" s="20" t="inlineStr">
        <is>
          <t>AP16DC2996</t>
        </is>
      </c>
      <c r="E176" s="20" t="inlineStr">
        <is>
          <t>HYUNDAI</t>
        </is>
      </c>
      <c r="F176" s="20" t="inlineStr">
        <is>
          <t>Grand I10</t>
        </is>
      </c>
      <c r="G176" s="21" t="n">
        <v>2015</v>
      </c>
      <c r="H176" s="22" t="n">
        <v>191643</v>
      </c>
      <c r="I176" s="23" t="n">
        <v>170000</v>
      </c>
      <c r="J176" s="20" t="inlineStr">
        <is>
          <t>Vinod Kumar Murari</t>
        </is>
      </c>
      <c r="K176" s="20" t="inlineStr">
        <is>
          <t>Non-Captive</t>
        </is>
      </c>
      <c r="L176" s="20" t="inlineStr">
        <is>
          <t>Naga Suresh Polukonda</t>
        </is>
      </c>
      <c r="M176" s="23" t="n">
        <v>5084.75</v>
      </c>
      <c r="N176" s="23" t="n">
        <v>6000</v>
      </c>
      <c r="O176" s="24">
        <f>IF(AND(ISNUMBER(M176), ISNUMBER(I176), I176&gt;0), M176/I176, "")</f>
        <v/>
      </c>
    </row>
    <row r="177">
      <c r="A177" s="19" t="inlineStr">
        <is>
          <t>FY27</t>
        </is>
      </c>
      <c r="B177" s="19" t="inlineStr">
        <is>
          <t>Apr</t>
        </is>
      </c>
      <c r="C177" s="19" t="inlineStr">
        <is>
          <t>AP/TS</t>
        </is>
      </c>
      <c r="D177" s="20" t="inlineStr">
        <is>
          <t>AP16ER1002</t>
        </is>
      </c>
      <c r="E177" s="20" t="inlineStr">
        <is>
          <t>HONDA</t>
        </is>
      </c>
      <c r="F177" s="20" t="inlineStr">
        <is>
          <t>Jazz</t>
        </is>
      </c>
      <c r="G177" s="21" t="n">
        <v>2017</v>
      </c>
      <c r="H177" s="22" t="n">
        <v>185856</v>
      </c>
      <c r="I177" s="23" t="n">
        <v>180000</v>
      </c>
      <c r="J177" s="20" t="inlineStr">
        <is>
          <t>Vinod Kumar Murari</t>
        </is>
      </c>
      <c r="K177" s="20" t="inlineStr">
        <is>
          <t>Non-Captive</t>
        </is>
      </c>
      <c r="L177" s="20" t="inlineStr">
        <is>
          <t>Turaka Sarat</t>
        </is>
      </c>
      <c r="M177" s="23" t="n">
        <v>5084.75</v>
      </c>
      <c r="N177" s="23" t="n">
        <v>6000</v>
      </c>
      <c r="O177" s="24">
        <f>IF(AND(ISNUMBER(M177), ISNUMBER(I177), I177&gt;0), M177/I177, "")</f>
        <v/>
      </c>
    </row>
    <row r="178">
      <c r="A178" s="19" t="inlineStr">
        <is>
          <t>FY27</t>
        </is>
      </c>
      <c r="B178" s="19" t="inlineStr">
        <is>
          <t>Apr</t>
        </is>
      </c>
      <c r="C178" s="19" t="inlineStr">
        <is>
          <t>AP/TS</t>
        </is>
      </c>
      <c r="D178" s="20" t="inlineStr">
        <is>
          <t>AP09BX5540</t>
        </is>
      </c>
      <c r="E178" s="20" t="inlineStr">
        <is>
          <t>HONDA</t>
        </is>
      </c>
      <c r="F178" s="20" t="inlineStr">
        <is>
          <t>City</t>
        </is>
      </c>
      <c r="G178" s="21" t="n">
        <v>2010</v>
      </c>
      <c r="H178" s="22" t="n">
        <v>58533</v>
      </c>
      <c r="I178" s="23" t="n">
        <v>180000</v>
      </c>
      <c r="J178" s="20" t="inlineStr">
        <is>
          <t>Exchange HYDERABAD</t>
        </is>
      </c>
      <c r="K178" s="20" t="inlineStr">
        <is>
          <t>Captive</t>
        </is>
      </c>
      <c r="L178" s="20" t="inlineStr">
        <is>
          <t>Nandharam Swapna</t>
        </is>
      </c>
      <c r="M178" s="23" t="n">
        <v>8474.58</v>
      </c>
      <c r="N178" s="23" t="n">
        <v>10000</v>
      </c>
      <c r="O178" s="24">
        <f>IF(AND(ISNUMBER(M178), ISNUMBER(I178), I178&gt;0), M178/I178, "")</f>
        <v/>
      </c>
    </row>
    <row r="179">
      <c r="A179" s="19" t="inlineStr">
        <is>
          <t>FY27</t>
        </is>
      </c>
      <c r="B179" s="19" t="inlineStr">
        <is>
          <t>Apr</t>
        </is>
      </c>
      <c r="C179" s="19" t="inlineStr">
        <is>
          <t>AP/TS</t>
        </is>
      </c>
      <c r="D179" s="20" t="inlineStr">
        <is>
          <t>AP11S7780</t>
        </is>
      </c>
      <c r="E179" s="20" t="inlineStr">
        <is>
          <t>HONDA</t>
        </is>
      </c>
      <c r="F179" s="20" t="inlineStr">
        <is>
          <t>City</t>
        </is>
      </c>
      <c r="G179" s="21" t="n">
        <v>2006</v>
      </c>
      <c r="H179" s="22" t="n">
        <v>59735</v>
      </c>
      <c r="I179" s="23" t="n">
        <v>90000</v>
      </c>
      <c r="J179" s="20" t="inlineStr">
        <is>
          <t>Exchange HYDERABAD</t>
        </is>
      </c>
      <c r="K179" s="20" t="inlineStr">
        <is>
          <t>Captive</t>
        </is>
      </c>
      <c r="L179" s="20" t="inlineStr">
        <is>
          <t>Nandharam Swapna</t>
        </is>
      </c>
      <c r="M179" s="23" t="n">
        <v>4237.29</v>
      </c>
      <c r="N179" s="23" t="n">
        <v>5000</v>
      </c>
      <c r="O179" s="24">
        <f>IF(AND(ISNUMBER(M179), ISNUMBER(I179), I179&gt;0), M179/I179, "")</f>
        <v/>
      </c>
    </row>
    <row r="180">
      <c r="A180" s="19" t="inlineStr">
        <is>
          <t>FY27</t>
        </is>
      </c>
      <c r="B180" s="19" t="inlineStr">
        <is>
          <t>Apr</t>
        </is>
      </c>
      <c r="C180" s="19" t="inlineStr">
        <is>
          <t>AP/TS</t>
        </is>
      </c>
      <c r="D180" s="20" t="inlineStr">
        <is>
          <t>TS07HU9989</t>
        </is>
      </c>
      <c r="E180" s="20" t="inlineStr">
        <is>
          <t>MARUTI SUZUKI</t>
        </is>
      </c>
      <c r="F180" s="20" t="inlineStr">
        <is>
          <t>V Brezza</t>
        </is>
      </c>
      <c r="G180" s="21" t="n">
        <v>2021</v>
      </c>
      <c r="H180" s="22" t="n">
        <v>81343</v>
      </c>
      <c r="I180" s="23" t="n">
        <v>570000</v>
      </c>
      <c r="J180" s="20" t="inlineStr">
        <is>
          <t>Exchange HYDERABAD</t>
        </is>
      </c>
      <c r="K180" s="20" t="inlineStr">
        <is>
          <t>Captive</t>
        </is>
      </c>
      <c r="L180" s="20" t="inlineStr">
        <is>
          <t>Nandharam Swapna</t>
        </is>
      </c>
      <c r="M180" s="23" t="n">
        <v>8474.58</v>
      </c>
      <c r="N180" s="23" t="n">
        <v>10000</v>
      </c>
      <c r="O180" s="24">
        <f>IF(AND(ISNUMBER(M180), ISNUMBER(I180), I180&gt;0), M180/I180, "")</f>
        <v/>
      </c>
    </row>
    <row r="181">
      <c r="A181" s="19" t="inlineStr">
        <is>
          <t>FY27</t>
        </is>
      </c>
      <c r="B181" s="19" t="inlineStr">
        <is>
          <t>Apr</t>
        </is>
      </c>
      <c r="C181" s="19" t="inlineStr">
        <is>
          <t>AP/TS</t>
        </is>
      </c>
      <c r="D181" s="20" t="inlineStr">
        <is>
          <t>AP29AA0450</t>
        </is>
      </c>
      <c r="E181" s="20" t="inlineStr">
        <is>
          <t>HONDA</t>
        </is>
      </c>
      <c r="F181" s="20" t="inlineStr">
        <is>
          <t>City</t>
        </is>
      </c>
      <c r="G181" s="21" t="n">
        <v>2007</v>
      </c>
      <c r="H181" s="22" t="n">
        <v>223189</v>
      </c>
      <c r="I181" s="23" t="n">
        <v>50000</v>
      </c>
      <c r="J181" s="20" t="inlineStr">
        <is>
          <t>Puneet Gupta</t>
        </is>
      </c>
      <c r="K181" s="20" t="inlineStr">
        <is>
          <t>Non-Captive</t>
        </is>
      </c>
      <c r="L181" s="20" t="inlineStr">
        <is>
          <t>Nandharam Swapna</t>
        </is>
      </c>
      <c r="M181" s="23" t="n">
        <v>4237.29</v>
      </c>
      <c r="N181" s="23" t="n">
        <v>5000</v>
      </c>
      <c r="O181" s="24">
        <f>IF(AND(ISNUMBER(M181), ISNUMBER(I181), I181&gt;0), M181/I181, "")</f>
        <v/>
      </c>
    </row>
    <row r="182">
      <c r="A182" s="19" t="inlineStr">
        <is>
          <t>FY27</t>
        </is>
      </c>
      <c r="B182" s="19" t="inlineStr">
        <is>
          <t>Apr</t>
        </is>
      </c>
      <c r="C182" s="19" t="inlineStr">
        <is>
          <t>AP/TS</t>
        </is>
      </c>
      <c r="D182" s="20" t="inlineStr">
        <is>
          <t>AP16CC8338</t>
        </is>
      </c>
      <c r="E182" s="20" t="inlineStr">
        <is>
          <t>HONDA</t>
        </is>
      </c>
      <c r="F182" s="20" t="inlineStr">
        <is>
          <t>City</t>
        </is>
      </c>
      <c r="G182" s="21" t="n">
        <v>2012</v>
      </c>
      <c r="H182" s="22" t="n">
        <v>214521</v>
      </c>
      <c r="I182" s="23" t="n">
        <v>190000</v>
      </c>
      <c r="J182" s="20" t="inlineStr">
        <is>
          <t>Mohammed Gouse Basha</t>
        </is>
      </c>
      <c r="K182" s="20" t="inlineStr">
        <is>
          <t>Non-Captive</t>
        </is>
      </c>
      <c r="L182" s="20" t="inlineStr">
        <is>
          <t>Koppuravuri Srinivasa Rao</t>
        </is>
      </c>
      <c r="M182" s="23" t="n">
        <v>5084.75</v>
      </c>
      <c r="N182" s="23" t="n">
        <v>6000</v>
      </c>
      <c r="O182" s="24">
        <f>IF(AND(ISNUMBER(M182), ISNUMBER(I182), I182&gt;0), M182/I182, "")</f>
        <v/>
      </c>
    </row>
    <row r="183">
      <c r="A183" s="19" t="inlineStr">
        <is>
          <t>FY27</t>
        </is>
      </c>
      <c r="B183" s="19" t="inlineStr">
        <is>
          <t>Apr</t>
        </is>
      </c>
      <c r="C183" s="19" t="inlineStr">
        <is>
          <t>AP/TS</t>
        </is>
      </c>
      <c r="D183" s="20" t="inlineStr">
        <is>
          <t>AP13AD9789</t>
        </is>
      </c>
      <c r="E183" s="20" t="inlineStr">
        <is>
          <t>HONDA</t>
        </is>
      </c>
      <c r="F183" s="20" t="inlineStr">
        <is>
          <t>City</t>
        </is>
      </c>
      <c r="G183" s="21" t="n">
        <v>2013</v>
      </c>
      <c r="H183" s="22" t="n">
        <v>256586</v>
      </c>
      <c r="I183" s="23" t="n">
        <v>190000</v>
      </c>
      <c r="J183" s="20" t="inlineStr">
        <is>
          <t>Mohammed Gouse Basha</t>
        </is>
      </c>
      <c r="K183" s="20" t="inlineStr">
        <is>
          <t>Non-Captive</t>
        </is>
      </c>
      <c r="L183" s="20" t="inlineStr">
        <is>
          <t>Koppuravuri Srinivasa Rao</t>
        </is>
      </c>
      <c r="M183" s="23" t="n">
        <v>5084.75</v>
      </c>
      <c r="N183" s="23" t="n">
        <v>6000</v>
      </c>
      <c r="O183" s="24">
        <f>IF(AND(ISNUMBER(M183), ISNUMBER(I183), I183&gt;0), M183/I183, "")</f>
        <v/>
      </c>
    </row>
    <row r="184">
      <c r="A184" s="19" t="inlineStr">
        <is>
          <t>FY27</t>
        </is>
      </c>
      <c r="B184" s="19" t="inlineStr">
        <is>
          <t>Apr</t>
        </is>
      </c>
      <c r="C184" s="19" t="inlineStr">
        <is>
          <t>AP/TS</t>
        </is>
      </c>
      <c r="D184" s="20" t="inlineStr">
        <is>
          <t>TS10EF3454</t>
        </is>
      </c>
      <c r="E184" s="20" t="inlineStr">
        <is>
          <t>TATA</t>
        </is>
      </c>
      <c r="F184" s="20" t="inlineStr">
        <is>
          <t>Zest</t>
        </is>
      </c>
      <c r="G184" s="21" t="n">
        <v>2015</v>
      </c>
      <c r="H184" s="22" t="n">
        <v>220151</v>
      </c>
      <c r="I184" s="23" t="n">
        <v>112500</v>
      </c>
      <c r="J184" s="20" t="inlineStr">
        <is>
          <t>Pudari Babu</t>
        </is>
      </c>
      <c r="K184" s="20" t="inlineStr">
        <is>
          <t>Non-Captive</t>
        </is>
      </c>
      <c r="L184" s="20" t="inlineStr">
        <is>
          <t>Odapally Sandeep</t>
        </is>
      </c>
      <c r="M184" s="23" t="n">
        <v>2118.64</v>
      </c>
      <c r="N184" s="23" t="n">
        <v>2500</v>
      </c>
      <c r="O184" s="24">
        <f>IF(AND(ISNUMBER(M184), ISNUMBER(I184), I184&gt;0), M184/I184, "")</f>
        <v/>
      </c>
    </row>
    <row r="185">
      <c r="A185" s="19" t="inlineStr">
        <is>
          <t>FY27</t>
        </is>
      </c>
      <c r="B185" s="19" t="inlineStr">
        <is>
          <t>Apr</t>
        </is>
      </c>
      <c r="C185" s="19" t="inlineStr">
        <is>
          <t>AP/TS</t>
        </is>
      </c>
      <c r="D185" s="20" t="inlineStr">
        <is>
          <t>AP25AQ8979</t>
        </is>
      </c>
      <c r="E185" s="20" t="inlineStr">
        <is>
          <t>HYUNDAI</t>
        </is>
      </c>
      <c r="F185" s="20" t="inlineStr">
        <is>
          <t>Grand I10</t>
        </is>
      </c>
      <c r="G185" s="21" t="n">
        <v>2013</v>
      </c>
      <c r="H185" s="22" t="n">
        <v>130943</v>
      </c>
      <c r="I185" s="23" t="n">
        <v>152500</v>
      </c>
      <c r="J185" s="20" t="inlineStr">
        <is>
          <t>Pudari Babu</t>
        </is>
      </c>
      <c r="K185" s="20" t="inlineStr">
        <is>
          <t>Non-Captive</t>
        </is>
      </c>
      <c r="L185" s="20" t="inlineStr">
        <is>
          <t>Odapally Sandeep</t>
        </is>
      </c>
      <c r="M185" s="23" t="n">
        <v>2118.64</v>
      </c>
      <c r="N185" s="23" t="n">
        <v>2500</v>
      </c>
      <c r="O185" s="24">
        <f>IF(AND(ISNUMBER(M185), ISNUMBER(I185), I185&gt;0), M185/I185, "")</f>
        <v/>
      </c>
    </row>
    <row r="186">
      <c r="A186" s="19" t="inlineStr">
        <is>
          <t>FY27</t>
        </is>
      </c>
      <c r="B186" s="19" t="inlineStr">
        <is>
          <t>Apr</t>
        </is>
      </c>
      <c r="C186" s="19" t="inlineStr">
        <is>
          <t>AP/TS</t>
        </is>
      </c>
      <c r="D186" s="20" t="inlineStr">
        <is>
          <t>AP29AP4779</t>
        </is>
      </c>
      <c r="E186" s="20" t="inlineStr">
        <is>
          <t>HYUNDAI</t>
        </is>
      </c>
      <c r="F186" s="20" t="inlineStr">
        <is>
          <t>Verna</t>
        </is>
      </c>
      <c r="G186" s="21" t="n">
        <v>2010</v>
      </c>
      <c r="H186" s="22" t="n">
        <v>161066</v>
      </c>
      <c r="I186" s="23" t="n">
        <v>102500</v>
      </c>
      <c r="J186" s="20" t="inlineStr">
        <is>
          <t>Pudari Babu</t>
        </is>
      </c>
      <c r="K186" s="20" t="inlineStr">
        <is>
          <t>Non-Captive</t>
        </is>
      </c>
      <c r="L186" s="20" t="inlineStr">
        <is>
          <t>Odapally Sandeep</t>
        </is>
      </c>
      <c r="M186" s="23" t="n">
        <v>2118.64</v>
      </c>
      <c r="N186" s="23" t="n">
        <v>2500</v>
      </c>
      <c r="O186" s="24">
        <f>IF(AND(ISNUMBER(M186), ISNUMBER(I186), I186&gt;0), M186/I186, "")</f>
        <v/>
      </c>
    </row>
    <row r="187">
      <c r="A187" s="19" t="inlineStr">
        <is>
          <t>FY27</t>
        </is>
      </c>
      <c r="B187" s="19" t="inlineStr">
        <is>
          <t>Apr</t>
        </is>
      </c>
      <c r="C187" s="19" t="inlineStr">
        <is>
          <t>AP/TS</t>
        </is>
      </c>
      <c r="D187" s="20" t="inlineStr">
        <is>
          <t>AP10AT6000</t>
        </is>
      </c>
      <c r="E187" s="20" t="inlineStr">
        <is>
          <t>HONDA</t>
        </is>
      </c>
      <c r="F187" s="20" t="inlineStr">
        <is>
          <t>City</t>
        </is>
      </c>
      <c r="G187" s="21" t="n">
        <v>2010</v>
      </c>
      <c r="H187" s="22" t="n">
        <v>150918</v>
      </c>
      <c r="I187" s="23" t="n">
        <v>112500</v>
      </c>
      <c r="J187" s="20" t="inlineStr">
        <is>
          <t>Pudari Babu</t>
        </is>
      </c>
      <c r="K187" s="20" t="inlineStr">
        <is>
          <t>Non-Captive</t>
        </is>
      </c>
      <c r="L187" s="20" t="inlineStr">
        <is>
          <t>Odapally Sandeep</t>
        </is>
      </c>
      <c r="M187" s="23" t="n">
        <v>2118.64</v>
      </c>
      <c r="N187" s="23" t="n">
        <v>2500</v>
      </c>
      <c r="O187" s="24">
        <f>IF(AND(ISNUMBER(M187), ISNUMBER(I187), I187&gt;0), M187/I187, "")</f>
        <v/>
      </c>
    </row>
    <row r="188">
      <c r="A188" s="19" t="inlineStr">
        <is>
          <t>FY27</t>
        </is>
      </c>
      <c r="B188" s="19" t="inlineStr">
        <is>
          <t>Apr</t>
        </is>
      </c>
      <c r="C188" s="19" t="inlineStr">
        <is>
          <t>AP/TS</t>
        </is>
      </c>
      <c r="D188" s="20" t="inlineStr">
        <is>
          <t>AP09CG8055</t>
        </is>
      </c>
      <c r="E188" s="20" t="inlineStr">
        <is>
          <t>VOLVO</t>
        </is>
      </c>
      <c r="F188" s="20" t="inlineStr">
        <is>
          <t>S60</t>
        </is>
      </c>
      <c r="G188" s="21" t="n">
        <v>2011</v>
      </c>
      <c r="H188" s="22" t="n">
        <v>148996</v>
      </c>
      <c r="I188" s="23" t="n">
        <v>225500</v>
      </c>
      <c r="J188" s="20" t="inlineStr">
        <is>
          <t>Exchange HYDERABAD</t>
        </is>
      </c>
      <c r="K188" s="20" t="inlineStr">
        <is>
          <t>Captive</t>
        </is>
      </c>
      <c r="L188" s="20" t="inlineStr">
        <is>
          <t>Odapally Sandeep</t>
        </is>
      </c>
      <c r="M188" s="23" t="n">
        <v>4661.02</v>
      </c>
      <c r="N188" s="23" t="n">
        <v>5500</v>
      </c>
      <c r="O188" s="24">
        <f>IF(AND(ISNUMBER(M188), ISNUMBER(I188), I188&gt;0), M188/I188, "")</f>
        <v/>
      </c>
    </row>
    <row r="189">
      <c r="A189" s="19" t="inlineStr">
        <is>
          <t>FY27</t>
        </is>
      </c>
      <c r="B189" s="19" t="inlineStr">
        <is>
          <t>Apr</t>
        </is>
      </c>
      <c r="C189" s="19" t="inlineStr">
        <is>
          <t>AP/TS</t>
        </is>
      </c>
      <c r="D189" s="20" t="inlineStr">
        <is>
          <t>AP39AT6336</t>
        </is>
      </c>
      <c r="E189" s="20" t="inlineStr">
        <is>
          <t>HONDA</t>
        </is>
      </c>
      <c r="F189" s="20" t="inlineStr">
        <is>
          <t>Amaze</t>
        </is>
      </c>
      <c r="G189" s="21" t="n">
        <v>2019</v>
      </c>
      <c r="H189" s="22" t="n">
        <v>140336</v>
      </c>
      <c r="I189" s="23" t="n">
        <v>440000</v>
      </c>
      <c r="J189" s="20" t="inlineStr">
        <is>
          <t>Exchange VIJAYAWADA</t>
        </is>
      </c>
      <c r="K189" s="20" t="inlineStr">
        <is>
          <t>Captive</t>
        </is>
      </c>
      <c r="L189" s="20" t="inlineStr">
        <is>
          <t>Tenali Srinivas</t>
        </is>
      </c>
      <c r="M189" s="23" t="n">
        <v>8474.58</v>
      </c>
      <c r="N189" s="23" t="n">
        <v>10000</v>
      </c>
      <c r="O189" s="24">
        <f>IF(AND(ISNUMBER(M189), ISNUMBER(I189), I189&gt;0), M189/I189, "")</f>
        <v/>
      </c>
    </row>
    <row r="190">
      <c r="A190" s="19" t="inlineStr">
        <is>
          <t>FY27</t>
        </is>
      </c>
      <c r="B190" s="19" t="inlineStr">
        <is>
          <t>Apr</t>
        </is>
      </c>
      <c r="C190" s="19" t="inlineStr">
        <is>
          <t>AP/TS</t>
        </is>
      </c>
      <c r="D190" s="20" t="inlineStr">
        <is>
          <t>AP37CJ3123</t>
        </is>
      </c>
      <c r="E190" s="20" t="inlineStr">
        <is>
          <t>VOLKSWAGEN</t>
        </is>
      </c>
      <c r="F190" s="20" t="inlineStr">
        <is>
          <t>Polo</t>
        </is>
      </c>
      <c r="G190" s="21" t="n">
        <v>2015</v>
      </c>
      <c r="H190" s="22" t="n">
        <v>175411</v>
      </c>
      <c r="I190" s="23" t="n">
        <v>190000</v>
      </c>
      <c r="J190" s="20" t="inlineStr">
        <is>
          <t>Guthi Ravi Krishna</t>
        </is>
      </c>
      <c r="K190" s="20" t="inlineStr">
        <is>
          <t>Non-Captive</t>
        </is>
      </c>
      <c r="L190" s="20" t="inlineStr">
        <is>
          <t>Adapa Aravind Sai Kumar</t>
        </is>
      </c>
      <c r="M190" s="23" t="n">
        <v>5084.75</v>
      </c>
      <c r="N190" s="23" t="n">
        <v>6000</v>
      </c>
      <c r="O190" s="24">
        <f>IF(AND(ISNUMBER(M190), ISNUMBER(I190), I190&gt;0), M190/I190, "")</f>
        <v/>
      </c>
    </row>
    <row r="191">
      <c r="A191" s="19" t="inlineStr">
        <is>
          <t>FY27</t>
        </is>
      </c>
      <c r="B191" s="19" t="inlineStr">
        <is>
          <t>Apr</t>
        </is>
      </c>
      <c r="C191" s="19" t="inlineStr">
        <is>
          <t>AP/TS</t>
        </is>
      </c>
      <c r="D191" s="20" t="inlineStr">
        <is>
          <t>AP28CJ8988</t>
        </is>
      </c>
      <c r="E191" s="20" t="inlineStr">
        <is>
          <t>VOLKSWAGEN</t>
        </is>
      </c>
      <c r="F191" s="20" t="inlineStr">
        <is>
          <t>Polo</t>
        </is>
      </c>
      <c r="G191" s="21" t="n">
        <v>2013</v>
      </c>
      <c r="H191" s="22" t="n">
        <v>169015</v>
      </c>
      <c r="I191" s="23" t="n">
        <v>190000</v>
      </c>
      <c r="J191" s="20" t="inlineStr">
        <is>
          <t>Guthi Ravi Krishna</t>
        </is>
      </c>
      <c r="K191" s="20" t="inlineStr">
        <is>
          <t>Non-Captive</t>
        </is>
      </c>
      <c r="L191" s="20" t="inlineStr">
        <is>
          <t>Adapa Aravind Sai Kumar</t>
        </is>
      </c>
      <c r="M191" s="23" t="n">
        <v>5084.75</v>
      </c>
      <c r="N191" s="23" t="n">
        <v>6000</v>
      </c>
      <c r="O191" s="24">
        <f>IF(AND(ISNUMBER(M191), ISNUMBER(I191), I191&gt;0), M191/I191, "")</f>
        <v/>
      </c>
    </row>
    <row r="192">
      <c r="A192" s="19" t="inlineStr">
        <is>
          <t>FY27</t>
        </is>
      </c>
      <c r="B192" s="19" t="inlineStr">
        <is>
          <t>Apr</t>
        </is>
      </c>
      <c r="C192" s="19" t="inlineStr">
        <is>
          <t>AP/TS</t>
        </is>
      </c>
      <c r="D192" s="20" t="inlineStr">
        <is>
          <t>AP31DD4428</t>
        </is>
      </c>
      <c r="E192" s="20" t="inlineStr">
        <is>
          <t>RENAULT</t>
        </is>
      </c>
      <c r="F192" s="20" t="inlineStr">
        <is>
          <t>Kwid</t>
        </is>
      </c>
      <c r="G192" s="21" t="n">
        <v>2015</v>
      </c>
      <c r="H192" s="22" t="n">
        <v>42523</v>
      </c>
      <c r="I192" s="23" t="n">
        <v>165000</v>
      </c>
      <c r="J192" s="20" t="inlineStr">
        <is>
          <t>Exchange VIZAG</t>
        </is>
      </c>
      <c r="K192" s="20" t="inlineStr">
        <is>
          <t>Captive</t>
        </is>
      </c>
      <c r="L192" s="20" t="inlineStr">
        <is>
          <t>Kaki Dinesh Kumar</t>
        </is>
      </c>
      <c r="M192" s="23" t="n">
        <v>8474.58</v>
      </c>
      <c r="N192" s="23" t="n">
        <v>10000</v>
      </c>
      <c r="O192" s="24">
        <f>IF(AND(ISNUMBER(M192), ISNUMBER(I192), I192&gt;0), M192/I192, "")</f>
        <v/>
      </c>
    </row>
    <row r="193">
      <c r="A193" s="19" t="inlineStr">
        <is>
          <t>FY27</t>
        </is>
      </c>
      <c r="B193" s="19" t="inlineStr">
        <is>
          <t>Apr</t>
        </is>
      </c>
      <c r="C193" s="19" t="inlineStr">
        <is>
          <t>AP/TS</t>
        </is>
      </c>
      <c r="D193" s="20" t="inlineStr">
        <is>
          <t>AP31DD5343</t>
        </is>
      </c>
      <c r="E193" s="20" t="inlineStr">
        <is>
          <t>HYUNDAI</t>
        </is>
      </c>
      <c r="F193" s="20" t="inlineStr">
        <is>
          <t>Santro</t>
        </is>
      </c>
      <c r="G193" s="21" t="n">
        <v>2002</v>
      </c>
      <c r="H193" s="22" t="n">
        <v>125239</v>
      </c>
      <c r="I193" s="23" t="n">
        <v>30000</v>
      </c>
      <c r="J193" s="20" t="inlineStr">
        <is>
          <t>Avaala Raju</t>
        </is>
      </c>
      <c r="K193" s="20" t="inlineStr">
        <is>
          <t>Non-Captive</t>
        </is>
      </c>
      <c r="L193" s="20" t="inlineStr">
        <is>
          <t>Kaki Dinesh Kumar</t>
        </is>
      </c>
      <c r="M193" s="23" t="n">
        <v>4237.29</v>
      </c>
      <c r="N193" s="23" t="n">
        <v>5000</v>
      </c>
      <c r="O193" s="24">
        <f>IF(AND(ISNUMBER(M193), ISNUMBER(I193), I193&gt;0), M193/I193, "")</f>
        <v/>
      </c>
    </row>
    <row r="194">
      <c r="A194" s="19" t="inlineStr">
        <is>
          <t>FY27</t>
        </is>
      </c>
      <c r="B194" s="19" t="inlineStr">
        <is>
          <t>Apr</t>
        </is>
      </c>
      <c r="C194" s="19" t="inlineStr">
        <is>
          <t>AP/TS</t>
        </is>
      </c>
      <c r="D194" s="20" t="inlineStr">
        <is>
          <t>AP31DT8105</t>
        </is>
      </c>
      <c r="E194" s="20" t="inlineStr">
        <is>
          <t>MARUTI SUZUKI</t>
        </is>
      </c>
      <c r="F194" s="20" t="inlineStr">
        <is>
          <t>Zen</t>
        </is>
      </c>
      <c r="G194" s="21" t="n">
        <v>2003</v>
      </c>
      <c r="H194" s="22" t="n">
        <v>180114</v>
      </c>
      <c r="I194" s="23" t="n">
        <v>30000</v>
      </c>
      <c r="J194" s="20" t="inlineStr">
        <is>
          <t>Avaala Raju</t>
        </is>
      </c>
      <c r="K194" s="20" t="inlineStr">
        <is>
          <t>Non-Captive</t>
        </is>
      </c>
      <c r="L194" s="20" t="inlineStr">
        <is>
          <t>Kaki Dinesh Kumar</t>
        </is>
      </c>
      <c r="M194" s="23" t="n">
        <v>4237.29</v>
      </c>
      <c r="N194" s="23" t="n">
        <v>5000</v>
      </c>
      <c r="O194" s="24">
        <f>IF(AND(ISNUMBER(M194), ISNUMBER(I194), I194&gt;0), M194/I194, "")</f>
        <v/>
      </c>
    </row>
    <row r="195">
      <c r="A195" s="19" t="inlineStr">
        <is>
          <t>FY27</t>
        </is>
      </c>
      <c r="B195" s="19" t="inlineStr">
        <is>
          <t>Apr</t>
        </is>
      </c>
      <c r="C195" s="19" t="inlineStr">
        <is>
          <t>AP/TS</t>
        </is>
      </c>
      <c r="D195" s="20" t="inlineStr">
        <is>
          <t>AP39FJ2329</t>
        </is>
      </c>
      <c r="E195" s="20" t="inlineStr">
        <is>
          <t>HONDA</t>
        </is>
      </c>
      <c r="F195" s="20" t="inlineStr">
        <is>
          <t>Wr-V</t>
        </is>
      </c>
      <c r="G195" s="21" t="n">
        <v>2020</v>
      </c>
      <c r="H195" s="22" t="n">
        <v>104105</v>
      </c>
      <c r="I195" s="23" t="n">
        <v>490000</v>
      </c>
      <c r="J195" s="20" t="inlineStr">
        <is>
          <t>Exchange VIJAYAWADA</t>
        </is>
      </c>
      <c r="K195" s="20" t="inlineStr">
        <is>
          <t>Captive</t>
        </is>
      </c>
      <c r="L195" s="20" t="inlineStr">
        <is>
          <t>Vinod Kumar Murari</t>
        </is>
      </c>
      <c r="M195" s="23" t="n">
        <v>8474.58</v>
      </c>
      <c r="N195" s="23" t="n">
        <v>10000</v>
      </c>
      <c r="O195" s="24">
        <f>IF(AND(ISNUMBER(M195), ISNUMBER(I195), I195&gt;0), M195/I195, "")</f>
        <v/>
      </c>
    </row>
    <row r="196">
      <c r="A196" s="19" t="inlineStr">
        <is>
          <t>FY27</t>
        </is>
      </c>
      <c r="B196" s="19" t="inlineStr">
        <is>
          <t>Apr</t>
        </is>
      </c>
      <c r="C196" s="19" t="inlineStr">
        <is>
          <t>AP/TS</t>
        </is>
      </c>
      <c r="D196" s="20" t="inlineStr">
        <is>
          <t>AP37CC5005</t>
        </is>
      </c>
      <c r="E196" s="20" t="inlineStr">
        <is>
          <t>HYUNDAI</t>
        </is>
      </c>
      <c r="F196" s="20" t="inlineStr">
        <is>
          <t>I20</t>
        </is>
      </c>
      <c r="G196" s="21" t="n">
        <v>2014</v>
      </c>
      <c r="H196" s="22" t="n">
        <v>194991</v>
      </c>
      <c r="I196" s="23" t="n">
        <v>100000</v>
      </c>
      <c r="J196" s="20" t="inlineStr">
        <is>
          <t>T Srinivas</t>
        </is>
      </c>
      <c r="K196" s="20" t="inlineStr">
        <is>
          <t>Non-Captive</t>
        </is>
      </c>
      <c r="L196" s="20" t="inlineStr">
        <is>
          <t>Vinod Kumar Murari</t>
        </is>
      </c>
      <c r="M196" s="23" t="n">
        <v>4237.29</v>
      </c>
      <c r="N196" s="23" t="n">
        <v>5000</v>
      </c>
      <c r="O196" s="24">
        <f>IF(AND(ISNUMBER(M196), ISNUMBER(I196), I196&gt;0), M196/I196, "")</f>
        <v/>
      </c>
    </row>
    <row r="197">
      <c r="A197" s="19" t="inlineStr">
        <is>
          <t>FY27</t>
        </is>
      </c>
      <c r="B197" s="19" t="inlineStr">
        <is>
          <t>Apr</t>
        </is>
      </c>
      <c r="C197" s="19" t="inlineStr">
        <is>
          <t>AP/TS</t>
        </is>
      </c>
      <c r="D197" s="20" t="inlineStr">
        <is>
          <t>AP16CQ0959</t>
        </is>
      </c>
      <c r="E197" s="20" t="inlineStr">
        <is>
          <t>HYUNDAI</t>
        </is>
      </c>
      <c r="F197" s="20" t="inlineStr">
        <is>
          <t>Grand I10</t>
        </is>
      </c>
      <c r="G197" s="21" t="n">
        <v>2014</v>
      </c>
      <c r="H197" s="22" t="n">
        <v>199108</v>
      </c>
      <c r="I197" s="23" t="n">
        <v>100000</v>
      </c>
      <c r="J197" s="20" t="inlineStr">
        <is>
          <t>T Srinivas</t>
        </is>
      </c>
      <c r="K197" s="20" t="inlineStr">
        <is>
          <t>Non-Captive</t>
        </is>
      </c>
      <c r="L197" s="20" t="inlineStr">
        <is>
          <t>Naga Suresh Polukonda</t>
        </is>
      </c>
      <c r="M197" s="23" t="n">
        <v>4237.29</v>
      </c>
      <c r="N197" s="23" t="n">
        <v>5000</v>
      </c>
      <c r="O197" s="24">
        <f>IF(AND(ISNUMBER(M197), ISNUMBER(I197), I197&gt;0), M197/I197, "")</f>
        <v/>
      </c>
    </row>
    <row r="198">
      <c r="A198" s="19" t="inlineStr">
        <is>
          <t>FY27</t>
        </is>
      </c>
      <c r="B198" s="19" t="inlineStr">
        <is>
          <t>Apr</t>
        </is>
      </c>
      <c r="C198" s="19" t="inlineStr">
        <is>
          <t>AP/TS</t>
        </is>
      </c>
      <c r="D198" s="20" t="inlineStr">
        <is>
          <t>AP28CH4442</t>
        </is>
      </c>
      <c r="E198" s="20" t="inlineStr">
        <is>
          <t>HYUNDAI</t>
        </is>
      </c>
      <c r="F198" s="20" t="inlineStr">
        <is>
          <t>Verna</t>
        </is>
      </c>
      <c r="G198" s="21" t="n">
        <v>2012</v>
      </c>
      <c r="H198" s="22" t="n">
        <v>162600</v>
      </c>
      <c r="I198" s="23" t="n">
        <v>182500</v>
      </c>
      <c r="J198" s="20" t="inlineStr">
        <is>
          <t>Puneet Gupta</t>
        </is>
      </c>
      <c r="K198" s="20" t="inlineStr">
        <is>
          <t>Non-Captive</t>
        </is>
      </c>
      <c r="L198" s="20" t="inlineStr">
        <is>
          <t>Prabjyoth Singh Wasu</t>
        </is>
      </c>
      <c r="M198" s="23" t="n">
        <v>2118.64</v>
      </c>
      <c r="N198" s="23" t="n">
        <v>2500</v>
      </c>
      <c r="O198" s="24">
        <f>IF(AND(ISNUMBER(M198), ISNUMBER(I198), I198&gt;0), M198/I198, "")</f>
        <v/>
      </c>
    </row>
    <row r="199">
      <c r="A199" s="19" t="inlineStr">
        <is>
          <t>FY27</t>
        </is>
      </c>
      <c r="B199" s="19" t="inlineStr">
        <is>
          <t>Apr</t>
        </is>
      </c>
      <c r="C199" s="19" t="inlineStr">
        <is>
          <t>AP/TS</t>
        </is>
      </c>
      <c r="D199" s="20" t="inlineStr">
        <is>
          <t>AP28DM5482</t>
        </is>
      </c>
      <c r="E199" s="20" t="inlineStr">
        <is>
          <t>MARUTI SUZUKI</t>
        </is>
      </c>
      <c r="F199" s="20" t="inlineStr">
        <is>
          <t>Swift</t>
        </is>
      </c>
      <c r="G199" s="21" t="n">
        <v>2012</v>
      </c>
      <c r="H199" s="22" t="n">
        <v>182287</v>
      </c>
      <c r="I199" s="23" t="n">
        <v>172500</v>
      </c>
      <c r="J199" s="20" t="inlineStr">
        <is>
          <t>Puneet Gupta</t>
        </is>
      </c>
      <c r="K199" s="20" t="inlineStr">
        <is>
          <t>Non-Captive</t>
        </is>
      </c>
      <c r="L199" s="20" t="inlineStr">
        <is>
          <t>Prabjyoth Singh Wasu</t>
        </is>
      </c>
      <c r="M199" s="23" t="n">
        <v>2118.64</v>
      </c>
      <c r="N199" s="23" t="n">
        <v>2500</v>
      </c>
      <c r="O199" s="24">
        <f>IF(AND(ISNUMBER(M199), ISNUMBER(I199), I199&gt;0), M199/I199, "")</f>
        <v/>
      </c>
    </row>
    <row r="200">
      <c r="A200" s="19" t="inlineStr">
        <is>
          <t>FY27</t>
        </is>
      </c>
      <c r="B200" s="19" t="inlineStr">
        <is>
          <t>Apr</t>
        </is>
      </c>
      <c r="C200" s="19" t="inlineStr">
        <is>
          <t>AP/TS</t>
        </is>
      </c>
      <c r="D200" s="20" t="inlineStr">
        <is>
          <t>AP28DU2410</t>
        </is>
      </c>
      <c r="E200" s="20" t="inlineStr">
        <is>
          <t>HONDA</t>
        </is>
      </c>
      <c r="F200" s="20" t="inlineStr">
        <is>
          <t>Brio</t>
        </is>
      </c>
      <c r="G200" s="21" t="n">
        <v>2013</v>
      </c>
      <c r="H200" s="22" t="n">
        <v>149707</v>
      </c>
      <c r="I200" s="23" t="n">
        <v>197500</v>
      </c>
      <c r="J200" s="20" t="inlineStr">
        <is>
          <t>Puneet Gupta</t>
        </is>
      </c>
      <c r="K200" s="20" t="inlineStr">
        <is>
          <t>Non-Captive</t>
        </is>
      </c>
      <c r="L200" s="20" t="inlineStr">
        <is>
          <t>Prabjyoth Singh Wasu</t>
        </is>
      </c>
      <c r="M200" s="23" t="n">
        <v>2118.64</v>
      </c>
      <c r="N200" s="23" t="n">
        <v>2500</v>
      </c>
      <c r="O200" s="24">
        <f>IF(AND(ISNUMBER(M200), ISNUMBER(I200), I200&gt;0), M200/I200, "")</f>
        <v/>
      </c>
    </row>
    <row r="201">
      <c r="A201" s="19" t="inlineStr">
        <is>
          <t>FY27</t>
        </is>
      </c>
      <c r="B201" s="19" t="inlineStr">
        <is>
          <t>Apr</t>
        </is>
      </c>
      <c r="C201" s="19" t="inlineStr">
        <is>
          <t>AP/TS</t>
        </is>
      </c>
      <c r="D201" s="20" t="inlineStr">
        <is>
          <t>TS08EB7332</t>
        </is>
      </c>
      <c r="E201" s="20" t="inlineStr">
        <is>
          <t>MARUTI SUZUKI</t>
        </is>
      </c>
      <c r="F201" s="20" t="inlineStr">
        <is>
          <t>Ritz</t>
        </is>
      </c>
      <c r="G201" s="21" t="n">
        <v>2014</v>
      </c>
      <c r="H201" s="22" t="n">
        <v>132250</v>
      </c>
      <c r="I201" s="23" t="n">
        <v>197500</v>
      </c>
      <c r="J201" s="20" t="inlineStr">
        <is>
          <t>Puneet Gupta</t>
        </is>
      </c>
      <c r="K201" s="20" t="inlineStr">
        <is>
          <t>Non-Captive</t>
        </is>
      </c>
      <c r="L201" s="20" t="inlineStr">
        <is>
          <t>Prabjyoth Singh Wasu</t>
        </is>
      </c>
      <c r="M201" s="23" t="n">
        <v>2118.64</v>
      </c>
      <c r="N201" s="23" t="n">
        <v>2500</v>
      </c>
      <c r="O201" s="24">
        <f>IF(AND(ISNUMBER(M201), ISNUMBER(I201), I201&gt;0), M201/I201, "")</f>
        <v/>
      </c>
    </row>
    <row r="202">
      <c r="A202" s="19" t="inlineStr">
        <is>
          <t>FY27</t>
        </is>
      </c>
      <c r="B202" s="19" t="inlineStr">
        <is>
          <t>Apr</t>
        </is>
      </c>
      <c r="C202" s="19" t="inlineStr">
        <is>
          <t>AP/TS</t>
        </is>
      </c>
      <c r="D202" s="20" t="inlineStr">
        <is>
          <t>AP28DX8862</t>
        </is>
      </c>
      <c r="E202" s="20" t="inlineStr">
        <is>
          <t>VOLKSWAGEN</t>
        </is>
      </c>
      <c r="F202" s="20" t="inlineStr">
        <is>
          <t>Polo</t>
        </is>
      </c>
      <c r="G202" s="21" t="n">
        <v>2014</v>
      </c>
      <c r="H202" s="22" t="n">
        <v>152756</v>
      </c>
      <c r="I202" s="23" t="n">
        <v>222500</v>
      </c>
      <c r="J202" s="20" t="inlineStr">
        <is>
          <t>Puneet Gupta</t>
        </is>
      </c>
      <c r="K202" s="20" t="inlineStr">
        <is>
          <t>Non-Captive</t>
        </is>
      </c>
      <c r="L202" s="20" t="inlineStr">
        <is>
          <t>Prabjyoth Singh Wasu</t>
        </is>
      </c>
      <c r="M202" s="23" t="n">
        <v>2118.64</v>
      </c>
      <c r="N202" s="23" t="n">
        <v>2500</v>
      </c>
      <c r="O202" s="24">
        <f>IF(AND(ISNUMBER(M202), ISNUMBER(I202), I202&gt;0), M202/I202, "")</f>
        <v/>
      </c>
    </row>
    <row r="203">
      <c r="A203" s="19" t="inlineStr">
        <is>
          <t>FY27</t>
        </is>
      </c>
      <c r="B203" s="19" t="inlineStr">
        <is>
          <t>Apr</t>
        </is>
      </c>
      <c r="C203" s="19" t="inlineStr">
        <is>
          <t>AP/TS</t>
        </is>
      </c>
      <c r="D203" s="20" t="inlineStr">
        <is>
          <t>AP28DM1181</t>
        </is>
      </c>
      <c r="E203" s="20" t="inlineStr">
        <is>
          <t>MARUTI SUZUKI</t>
        </is>
      </c>
      <c r="F203" s="20" t="inlineStr">
        <is>
          <t>Alto</t>
        </is>
      </c>
      <c r="G203" s="21" t="n">
        <v>2011</v>
      </c>
      <c r="H203" s="22" t="n">
        <v>185212</v>
      </c>
      <c r="I203" s="23" t="n">
        <v>92500</v>
      </c>
      <c r="J203" s="20" t="inlineStr">
        <is>
          <t>Puneet Gupta</t>
        </is>
      </c>
      <c r="K203" s="20" t="inlineStr">
        <is>
          <t>Non-Captive</t>
        </is>
      </c>
      <c r="L203" s="20" t="inlineStr">
        <is>
          <t>Prabjyoth Singh Wasu</t>
        </is>
      </c>
      <c r="M203" s="23" t="n">
        <v>2118.64</v>
      </c>
      <c r="N203" s="23" t="n">
        <v>2500</v>
      </c>
      <c r="O203" s="24">
        <f>IF(AND(ISNUMBER(M203), ISNUMBER(I203), I203&gt;0), M203/I203, "")</f>
        <v/>
      </c>
    </row>
    <row r="204">
      <c r="A204" s="19" t="inlineStr">
        <is>
          <t>FY27</t>
        </is>
      </c>
      <c r="B204" s="19" t="inlineStr">
        <is>
          <t>Apr</t>
        </is>
      </c>
      <c r="C204" s="19" t="inlineStr">
        <is>
          <t>AP/TS</t>
        </is>
      </c>
      <c r="D204" s="20" t="inlineStr">
        <is>
          <t>TS09EJ6888</t>
        </is>
      </c>
      <c r="E204" s="20" t="inlineStr">
        <is>
          <t>NISSAN</t>
        </is>
      </c>
      <c r="F204" s="20" t="inlineStr">
        <is>
          <t>Sunny</t>
        </is>
      </c>
      <c r="G204" s="21" t="n">
        <v>2015</v>
      </c>
      <c r="H204" s="22" t="n">
        <v>160877</v>
      </c>
      <c r="I204" s="23" t="n">
        <v>232500</v>
      </c>
      <c r="J204" s="20" t="inlineStr">
        <is>
          <t>Puneet Gupta</t>
        </is>
      </c>
      <c r="K204" s="20" t="inlineStr">
        <is>
          <t>Non-Captive</t>
        </is>
      </c>
      <c r="L204" s="20" t="inlineStr">
        <is>
          <t>Prabjyoth Singh Wasu</t>
        </is>
      </c>
      <c r="M204" s="23" t="n">
        <v>2118.64</v>
      </c>
      <c r="N204" s="23" t="n">
        <v>2500</v>
      </c>
      <c r="O204" s="24">
        <f>IF(AND(ISNUMBER(M204), ISNUMBER(I204), I204&gt;0), M204/I204, "")</f>
        <v/>
      </c>
    </row>
    <row r="205">
      <c r="A205" s="19" t="inlineStr">
        <is>
          <t>FY27</t>
        </is>
      </c>
      <c r="B205" s="19" t="inlineStr">
        <is>
          <t>Apr</t>
        </is>
      </c>
      <c r="C205" s="19" t="inlineStr">
        <is>
          <t>AP/TS</t>
        </is>
      </c>
      <c r="D205" s="20" t="inlineStr">
        <is>
          <t>AP29BT3708</t>
        </is>
      </c>
      <c r="E205" s="20" t="inlineStr">
        <is>
          <t>MARUTI SUZUKI</t>
        </is>
      </c>
      <c r="F205" s="20" t="inlineStr">
        <is>
          <t>Swift</t>
        </is>
      </c>
      <c r="G205" s="21" t="n">
        <v>2013</v>
      </c>
      <c r="H205" s="22" t="n">
        <v>182114</v>
      </c>
      <c r="I205" s="23" t="n">
        <v>207500</v>
      </c>
      <c r="J205" s="20" t="inlineStr">
        <is>
          <t>Puneet Gupta</t>
        </is>
      </c>
      <c r="K205" s="20" t="inlineStr">
        <is>
          <t>Non-Captive</t>
        </is>
      </c>
      <c r="L205" s="20" t="inlineStr">
        <is>
          <t>Prabjyoth Singh Wasu</t>
        </is>
      </c>
      <c r="M205" s="23" t="n">
        <v>2118.64</v>
      </c>
      <c r="N205" s="23" t="n">
        <v>2500</v>
      </c>
      <c r="O205" s="24">
        <f>IF(AND(ISNUMBER(M205), ISNUMBER(I205), I205&gt;0), M205/I205, "")</f>
        <v/>
      </c>
    </row>
    <row r="206">
      <c r="A206" s="19" t="inlineStr">
        <is>
          <t>FY27</t>
        </is>
      </c>
      <c r="B206" s="19" t="inlineStr">
        <is>
          <t>Apr</t>
        </is>
      </c>
      <c r="C206" s="19" t="inlineStr">
        <is>
          <t>AP/TS</t>
        </is>
      </c>
      <c r="D206" s="20" t="inlineStr">
        <is>
          <t>AP09CF0923</t>
        </is>
      </c>
      <c r="E206" s="20" t="inlineStr">
        <is>
          <t>HONDA</t>
        </is>
      </c>
      <c r="F206" s="20" t="inlineStr">
        <is>
          <t>City</t>
        </is>
      </c>
      <c r="G206" s="21" t="n">
        <v>2011</v>
      </c>
      <c r="H206" s="22" t="n">
        <v>173383</v>
      </c>
      <c r="I206" s="23" t="n">
        <v>132500</v>
      </c>
      <c r="J206" s="20" t="inlineStr">
        <is>
          <t>Pudari Babu</t>
        </is>
      </c>
      <c r="K206" s="20" t="inlineStr">
        <is>
          <t>Non-Captive</t>
        </is>
      </c>
      <c r="L206" s="20" t="inlineStr">
        <is>
          <t>Bukya Santhosh Naik</t>
        </is>
      </c>
      <c r="M206" s="23" t="n">
        <v>2118.64</v>
      </c>
      <c r="N206" s="23" t="n">
        <v>2500</v>
      </c>
      <c r="O206" s="24">
        <f>IF(AND(ISNUMBER(M206), ISNUMBER(I206), I206&gt;0), M206/I206, "")</f>
        <v/>
      </c>
    </row>
    <row r="207">
      <c r="A207" s="19" t="inlineStr">
        <is>
          <t>FY27</t>
        </is>
      </c>
      <c r="B207" s="19" t="inlineStr">
        <is>
          <t>Apr</t>
        </is>
      </c>
      <c r="C207" s="19" t="inlineStr">
        <is>
          <t>AP/TS</t>
        </is>
      </c>
      <c r="D207" s="20" t="inlineStr">
        <is>
          <t>AP24AV4747</t>
        </is>
      </c>
      <c r="E207" s="20" t="inlineStr">
        <is>
          <t>HYUNDAI</t>
        </is>
      </c>
      <c r="F207" s="20" t="inlineStr">
        <is>
          <t>Verna</t>
        </is>
      </c>
      <c r="G207" s="21" t="n">
        <v>2013</v>
      </c>
      <c r="H207" s="22" t="n">
        <v>115125</v>
      </c>
      <c r="I207" s="23" t="n">
        <v>182500</v>
      </c>
      <c r="J207" s="20" t="inlineStr">
        <is>
          <t>Pudari Babu</t>
        </is>
      </c>
      <c r="K207" s="20" t="inlineStr">
        <is>
          <t>Non-Captive</t>
        </is>
      </c>
      <c r="L207" s="20" t="inlineStr">
        <is>
          <t>Bukya Santhosh Naik</t>
        </is>
      </c>
      <c r="M207" s="23" t="n">
        <v>2118.64</v>
      </c>
      <c r="N207" s="23" t="n">
        <v>2500</v>
      </c>
      <c r="O207" s="24">
        <f>IF(AND(ISNUMBER(M207), ISNUMBER(I207), I207&gt;0), M207/I207, "")</f>
        <v/>
      </c>
    </row>
    <row r="208">
      <c r="A208" s="19" t="inlineStr">
        <is>
          <t>FY27</t>
        </is>
      </c>
      <c r="B208" s="19" t="inlineStr">
        <is>
          <t>Apr</t>
        </is>
      </c>
      <c r="C208" s="19" t="inlineStr">
        <is>
          <t>AP/TS</t>
        </is>
      </c>
      <c r="D208" s="20" t="inlineStr">
        <is>
          <t>TS05EL2788</t>
        </is>
      </c>
      <c r="E208" s="20" t="inlineStr">
        <is>
          <t>HYUNDAI</t>
        </is>
      </c>
      <c r="F208" s="20" t="inlineStr">
        <is>
          <t>Grand I10</t>
        </is>
      </c>
      <c r="G208" s="21" t="n">
        <v>2015</v>
      </c>
      <c r="H208" s="22" t="n">
        <v>140236</v>
      </c>
      <c r="I208" s="23" t="n">
        <v>187500</v>
      </c>
      <c r="J208" s="20" t="inlineStr">
        <is>
          <t>Pudari Babu</t>
        </is>
      </c>
      <c r="K208" s="20" t="inlineStr">
        <is>
          <t>Non-Captive</t>
        </is>
      </c>
      <c r="L208" s="20" t="inlineStr">
        <is>
          <t>Bukya Santhosh Naik</t>
        </is>
      </c>
      <c r="M208" s="23" t="n">
        <v>2118.64</v>
      </c>
      <c r="N208" s="23" t="n">
        <v>2500</v>
      </c>
      <c r="O208" s="24">
        <f>IF(AND(ISNUMBER(M208), ISNUMBER(I208), I208&gt;0), M208/I208, "")</f>
        <v/>
      </c>
    </row>
    <row r="209">
      <c r="A209" s="19" t="inlineStr">
        <is>
          <t>FY27</t>
        </is>
      </c>
      <c r="B209" s="19" t="inlineStr">
        <is>
          <t>Apr</t>
        </is>
      </c>
      <c r="C209" s="19" t="inlineStr">
        <is>
          <t>AP/TS</t>
        </is>
      </c>
      <c r="D209" s="20" t="inlineStr">
        <is>
          <t>TS11EF7454</t>
        </is>
      </c>
      <c r="E209" s="20" t="inlineStr">
        <is>
          <t>MARUTI SUZUKI</t>
        </is>
      </c>
      <c r="F209" s="20" t="inlineStr">
        <is>
          <t>Celerio</t>
        </is>
      </c>
      <c r="G209" s="21" t="n">
        <v>2015</v>
      </c>
      <c r="H209" s="22" t="n">
        <v>148763</v>
      </c>
      <c r="I209" s="23" t="n">
        <v>192500</v>
      </c>
      <c r="J209" s="20" t="inlineStr">
        <is>
          <t>Pudari Babu</t>
        </is>
      </c>
      <c r="K209" s="20" t="inlineStr">
        <is>
          <t>Non-Captive</t>
        </is>
      </c>
      <c r="L209" s="20" t="inlineStr">
        <is>
          <t>Bukya Santhosh Naik</t>
        </is>
      </c>
      <c r="M209" s="23" t="n">
        <v>2118.64</v>
      </c>
      <c r="N209" s="23" t="n">
        <v>2500</v>
      </c>
      <c r="O209" s="24">
        <f>IF(AND(ISNUMBER(M209), ISNUMBER(I209), I209&gt;0), M209/I209, "")</f>
        <v/>
      </c>
    </row>
    <row r="210">
      <c r="A210" s="19" t="inlineStr">
        <is>
          <t>FY27</t>
        </is>
      </c>
      <c r="B210" s="19" t="inlineStr">
        <is>
          <t>Apr</t>
        </is>
      </c>
      <c r="C210" s="19" t="inlineStr">
        <is>
          <t>AP/TS</t>
        </is>
      </c>
      <c r="D210" s="20" t="inlineStr">
        <is>
          <t>TS08EA8364</t>
        </is>
      </c>
      <c r="E210" s="20" t="inlineStr">
        <is>
          <t>MARUTI SUZUKI</t>
        </is>
      </c>
      <c r="F210" s="20" t="inlineStr">
        <is>
          <t>Swift</t>
        </is>
      </c>
      <c r="G210" s="21" t="n">
        <v>2014</v>
      </c>
      <c r="H210" s="22" t="n">
        <v>155145</v>
      </c>
      <c r="I210" s="23" t="n">
        <v>212500</v>
      </c>
      <c r="J210" s="20" t="inlineStr">
        <is>
          <t>Pudari Babu</t>
        </is>
      </c>
      <c r="K210" s="20" t="inlineStr">
        <is>
          <t>Non-Captive</t>
        </is>
      </c>
      <c r="L210" s="20" t="inlineStr">
        <is>
          <t>Bukya Santhosh Naik</t>
        </is>
      </c>
      <c r="M210" s="23" t="n">
        <v>2118.64</v>
      </c>
      <c r="N210" s="23" t="n">
        <v>2500</v>
      </c>
      <c r="O210" s="24">
        <f>IF(AND(ISNUMBER(M210), ISNUMBER(I210), I210&gt;0), M210/I210, "")</f>
        <v/>
      </c>
    </row>
    <row r="211">
      <c r="A211" s="19" t="inlineStr">
        <is>
          <t>FY27</t>
        </is>
      </c>
      <c r="B211" s="19" t="inlineStr">
        <is>
          <t>Apr</t>
        </is>
      </c>
      <c r="C211" s="19" t="inlineStr">
        <is>
          <t>AP/TS</t>
        </is>
      </c>
      <c r="D211" s="20" t="inlineStr">
        <is>
          <t>AP28DV2888</t>
        </is>
      </c>
      <c r="E211" s="20" t="inlineStr">
        <is>
          <t>MARUTI SUZUKI</t>
        </is>
      </c>
      <c r="F211" s="20" t="inlineStr">
        <is>
          <t>Swift</t>
        </is>
      </c>
      <c r="G211" s="21" t="n">
        <v>2013</v>
      </c>
      <c r="H211" s="22" t="n">
        <v>142056</v>
      </c>
      <c r="I211" s="23" t="n">
        <v>207500</v>
      </c>
      <c r="J211" s="20" t="inlineStr">
        <is>
          <t>Pudari Babu</t>
        </is>
      </c>
      <c r="K211" s="20" t="inlineStr">
        <is>
          <t>Non-Captive</t>
        </is>
      </c>
      <c r="L211" s="20" t="inlineStr">
        <is>
          <t>Bukya Santhosh Naik</t>
        </is>
      </c>
      <c r="M211" s="23" t="n">
        <v>2118.64</v>
      </c>
      <c r="N211" s="23" t="n">
        <v>2500</v>
      </c>
      <c r="O211" s="24">
        <f>IF(AND(ISNUMBER(M211), ISNUMBER(I211), I211&gt;0), M211/I211, "")</f>
        <v/>
      </c>
    </row>
    <row r="212">
      <c r="A212" s="19" t="inlineStr">
        <is>
          <t>FY27</t>
        </is>
      </c>
      <c r="B212" s="19" t="inlineStr">
        <is>
          <t>Apr</t>
        </is>
      </c>
      <c r="C212" s="19" t="inlineStr">
        <is>
          <t>AP/TS</t>
        </is>
      </c>
      <c r="D212" s="20" t="inlineStr">
        <is>
          <t>TS07EE4260</t>
        </is>
      </c>
      <c r="E212" s="20" t="inlineStr">
        <is>
          <t>MARUTI SUZUKI</t>
        </is>
      </c>
      <c r="F212" s="20" t="inlineStr">
        <is>
          <t>Celerio</t>
        </is>
      </c>
      <c r="G212" s="21" t="n">
        <v>2014</v>
      </c>
      <c r="H212" s="22" t="n">
        <v>128105</v>
      </c>
      <c r="I212" s="23" t="n">
        <v>182500</v>
      </c>
      <c r="J212" s="20" t="inlineStr">
        <is>
          <t>Pudari Babu</t>
        </is>
      </c>
      <c r="K212" s="20" t="inlineStr">
        <is>
          <t>Non-Captive</t>
        </is>
      </c>
      <c r="L212" s="20" t="inlineStr">
        <is>
          <t>Bukya Santhosh Naik</t>
        </is>
      </c>
      <c r="M212" s="23" t="n">
        <v>2118.64</v>
      </c>
      <c r="N212" s="23" t="n">
        <v>2500</v>
      </c>
      <c r="O212" s="24">
        <f>IF(AND(ISNUMBER(M212), ISNUMBER(I212), I212&gt;0), M212/I212, "")</f>
        <v/>
      </c>
    </row>
    <row r="213">
      <c r="A213" s="19" t="inlineStr">
        <is>
          <t>FY27</t>
        </is>
      </c>
      <c r="B213" s="19" t="inlineStr">
        <is>
          <t>Apr</t>
        </is>
      </c>
      <c r="C213" s="19" t="inlineStr">
        <is>
          <t>AP/TS</t>
        </is>
      </c>
      <c r="D213" s="20" t="inlineStr">
        <is>
          <t>AP28CL3732</t>
        </is>
      </c>
      <c r="E213" s="20" t="inlineStr">
        <is>
          <t>MARUTI SUZUKI</t>
        </is>
      </c>
      <c r="F213" s="20" t="inlineStr">
        <is>
          <t>Swift</t>
        </is>
      </c>
      <c r="G213" s="21" t="n">
        <v>2013</v>
      </c>
      <c r="H213" s="22" t="n">
        <v>155592</v>
      </c>
      <c r="I213" s="23" t="n">
        <v>207500</v>
      </c>
      <c r="J213" s="20" t="inlineStr">
        <is>
          <t>Pudari Babu</t>
        </is>
      </c>
      <c r="K213" s="20" t="inlineStr">
        <is>
          <t>Non-Captive</t>
        </is>
      </c>
      <c r="L213" s="20" t="inlineStr">
        <is>
          <t>Bukya Santhosh Naik</t>
        </is>
      </c>
      <c r="M213" s="23" t="n">
        <v>2118.64</v>
      </c>
      <c r="N213" s="23" t="n">
        <v>2500</v>
      </c>
      <c r="O213" s="24">
        <f>IF(AND(ISNUMBER(M213), ISNUMBER(I213), I213&gt;0), M213/I213, "")</f>
        <v/>
      </c>
    </row>
    <row r="214">
      <c r="A214" s="19" t="inlineStr">
        <is>
          <t>FY27</t>
        </is>
      </c>
      <c r="B214" s="19" t="inlineStr">
        <is>
          <t>Apr</t>
        </is>
      </c>
      <c r="C214" s="19" t="inlineStr">
        <is>
          <t>AP/TS</t>
        </is>
      </c>
      <c r="D214" s="20" t="inlineStr">
        <is>
          <t>AP16CS0477</t>
        </is>
      </c>
      <c r="E214" s="20" t="inlineStr">
        <is>
          <t>HYUNDAI</t>
        </is>
      </c>
      <c r="F214" s="20" t="inlineStr">
        <is>
          <t>Grand I10</t>
        </is>
      </c>
      <c r="G214" s="21" t="n">
        <v>2014</v>
      </c>
      <c r="H214" s="22" t="n">
        <v>147108</v>
      </c>
      <c r="I214" s="23" t="n">
        <v>202500</v>
      </c>
      <c r="J214" s="20" t="inlineStr">
        <is>
          <t>Chittibomma Srinivasa Rao</t>
        </is>
      </c>
      <c r="K214" s="20" t="inlineStr">
        <is>
          <t>Non-Captive</t>
        </is>
      </c>
      <c r="L214" s="20" t="inlineStr">
        <is>
          <t>Gopi Naga Raju</t>
        </is>
      </c>
      <c r="M214" s="23" t="n">
        <v>2118.64</v>
      </c>
      <c r="N214" s="23" t="n">
        <v>2500</v>
      </c>
      <c r="O214" s="24">
        <f>IF(AND(ISNUMBER(M214), ISNUMBER(I214), I214&gt;0), M214/I214, "")</f>
        <v/>
      </c>
    </row>
    <row r="215">
      <c r="A215" s="19" t="inlineStr">
        <is>
          <t>FY27</t>
        </is>
      </c>
      <c r="B215" s="19" t="inlineStr">
        <is>
          <t>Apr</t>
        </is>
      </c>
      <c r="C215" s="19" t="inlineStr">
        <is>
          <t>AP/TS</t>
        </is>
      </c>
      <c r="D215" s="20" t="inlineStr">
        <is>
          <t>AP16CJ6026</t>
        </is>
      </c>
      <c r="E215" s="20" t="inlineStr">
        <is>
          <t>MARUTI SUZUKI</t>
        </is>
      </c>
      <c r="F215" s="20" t="inlineStr">
        <is>
          <t>Swift</t>
        </is>
      </c>
      <c r="G215" s="21" t="n">
        <v>2013</v>
      </c>
      <c r="H215" s="22" t="n">
        <v>123050</v>
      </c>
      <c r="I215" s="23" t="n">
        <v>182500</v>
      </c>
      <c r="J215" s="20" t="inlineStr">
        <is>
          <t>Chittibomma Srinivasa Rao</t>
        </is>
      </c>
      <c r="K215" s="20" t="inlineStr">
        <is>
          <t>Non-Captive</t>
        </is>
      </c>
      <c r="L215" s="20" t="inlineStr">
        <is>
          <t>Gopi Naga Raju</t>
        </is>
      </c>
      <c r="M215" s="23" t="n">
        <v>2118.64</v>
      </c>
      <c r="N215" s="23" t="n">
        <v>2500</v>
      </c>
      <c r="O215" s="24">
        <f>IF(AND(ISNUMBER(M215), ISNUMBER(I215), I215&gt;0), M215/I215, "")</f>
        <v/>
      </c>
    </row>
    <row r="216">
      <c r="A216" s="19" t="inlineStr">
        <is>
          <t>FY27</t>
        </is>
      </c>
      <c r="B216" s="19" t="inlineStr">
        <is>
          <t>Apr</t>
        </is>
      </c>
      <c r="C216" s="19" t="inlineStr">
        <is>
          <t>AP/TS</t>
        </is>
      </c>
      <c r="D216" s="20" t="inlineStr">
        <is>
          <t>AP16CL0181</t>
        </is>
      </c>
      <c r="E216" s="20" t="inlineStr">
        <is>
          <t>HONDA</t>
        </is>
      </c>
      <c r="F216" s="20" t="inlineStr">
        <is>
          <t>Brio</t>
        </is>
      </c>
      <c r="G216" s="21" t="n">
        <v>2013</v>
      </c>
      <c r="H216" s="22" t="n">
        <v>124251</v>
      </c>
      <c r="I216" s="23" t="n">
        <v>162500</v>
      </c>
      <c r="J216" s="20" t="inlineStr">
        <is>
          <t>Chittibomma Srinivasa Rao</t>
        </is>
      </c>
      <c r="K216" s="20" t="inlineStr">
        <is>
          <t>Non-Captive</t>
        </is>
      </c>
      <c r="L216" s="20" t="inlineStr">
        <is>
          <t>Gopi Naga Raju</t>
        </is>
      </c>
      <c r="M216" s="23" t="n">
        <v>2118.64</v>
      </c>
      <c r="N216" s="23" t="n">
        <v>2500</v>
      </c>
      <c r="O216" s="24">
        <f>IF(AND(ISNUMBER(M216), ISNUMBER(I216), I216&gt;0), M216/I216, "")</f>
        <v/>
      </c>
    </row>
    <row r="217">
      <c r="A217" s="19" t="inlineStr">
        <is>
          <t>FY27</t>
        </is>
      </c>
      <c r="B217" s="19" t="inlineStr">
        <is>
          <t>Apr</t>
        </is>
      </c>
      <c r="C217" s="19" t="inlineStr">
        <is>
          <t>AP/TS</t>
        </is>
      </c>
      <c r="D217" s="20" t="inlineStr">
        <is>
          <t>AP16CH1525</t>
        </is>
      </c>
      <c r="E217" s="20" t="inlineStr">
        <is>
          <t>MARUTI SUZUKI</t>
        </is>
      </c>
      <c r="F217" s="20" t="inlineStr">
        <is>
          <t>Swift Dzire</t>
        </is>
      </c>
      <c r="G217" s="21" t="n">
        <v>2013</v>
      </c>
      <c r="H217" s="22" t="n">
        <v>138222</v>
      </c>
      <c r="I217" s="23" t="n">
        <v>187500</v>
      </c>
      <c r="J217" s="20" t="inlineStr">
        <is>
          <t>Chittibomma Srinivasa Rao</t>
        </is>
      </c>
      <c r="K217" s="20" t="inlineStr">
        <is>
          <t>Non-Captive</t>
        </is>
      </c>
      <c r="L217" s="20" t="inlineStr">
        <is>
          <t>Gopi Naga Raju</t>
        </is>
      </c>
      <c r="M217" s="23" t="n">
        <v>2118.64</v>
      </c>
      <c r="N217" s="23" t="n">
        <v>2500</v>
      </c>
      <c r="O217" s="24">
        <f>IF(AND(ISNUMBER(M217), ISNUMBER(I217), I217&gt;0), M217/I217, "")</f>
        <v/>
      </c>
    </row>
    <row r="218">
      <c r="A218" s="19" t="inlineStr">
        <is>
          <t>FY27</t>
        </is>
      </c>
      <c r="B218" s="19" t="inlineStr">
        <is>
          <t>May</t>
        </is>
      </c>
      <c r="C218" s="19" t="inlineStr">
        <is>
          <t>AP/TS</t>
        </is>
      </c>
      <c r="D218" s="20" t="inlineStr">
        <is>
          <t>AP39HD9009</t>
        </is>
      </c>
      <c r="E218" s="20" t="inlineStr">
        <is>
          <t>HONDA</t>
        </is>
      </c>
      <c r="F218" s="20" t="inlineStr">
        <is>
          <t>City</t>
        </is>
      </c>
      <c r="G218" s="21" t="n">
        <v>2020</v>
      </c>
      <c r="H218" s="22" t="n">
        <v>57885</v>
      </c>
      <c r="I218" s="23" t="n">
        <v>590000</v>
      </c>
      <c r="J218" s="20" t="inlineStr">
        <is>
          <t>Exchange VIJAYAWADA</t>
        </is>
      </c>
      <c r="K218" s="20" t="inlineStr">
        <is>
          <t>Captive</t>
        </is>
      </c>
      <c r="L218" s="20" t="inlineStr">
        <is>
          <t>Gandrapu Raja Ratnam</t>
        </is>
      </c>
      <c r="M218" s="23" t="n">
        <v>12711.86</v>
      </c>
      <c r="N218" s="23" t="n">
        <v>15000</v>
      </c>
      <c r="O218" s="24">
        <f>IF(AND(ISNUMBER(M218), ISNUMBER(I218), I218&gt;0), M218/I218, "")</f>
        <v/>
      </c>
    </row>
    <row r="219">
      <c r="A219" s="19" t="inlineStr">
        <is>
          <t>FY27</t>
        </is>
      </c>
      <c r="B219" s="19" t="inlineStr">
        <is>
          <t>May</t>
        </is>
      </c>
      <c r="C219" s="19" t="inlineStr">
        <is>
          <t>AP/TS</t>
        </is>
      </c>
      <c r="D219" s="20" t="inlineStr">
        <is>
          <t>AP31CP1258</t>
        </is>
      </c>
      <c r="E219" s="20" t="inlineStr">
        <is>
          <t>HONDA</t>
        </is>
      </c>
      <c r="F219" s="20" t="inlineStr">
        <is>
          <t>Amaze</t>
        </is>
      </c>
      <c r="G219" s="21" t="n">
        <v>2014</v>
      </c>
      <c r="H219" s="22" t="n">
        <v>83041</v>
      </c>
      <c r="I219" s="23" t="n">
        <v>172000</v>
      </c>
      <c r="J219" s="20" t="inlineStr">
        <is>
          <t>Exchange VIZAG</t>
        </is>
      </c>
      <c r="K219" s="20" t="inlineStr">
        <is>
          <t>Captive</t>
        </is>
      </c>
      <c r="L219" s="20" t="inlineStr">
        <is>
          <t>Kaki Dinesh Kumar</t>
        </is>
      </c>
      <c r="M219" s="23" t="n">
        <v>5932.2</v>
      </c>
      <c r="N219" s="23" t="n">
        <v>7000</v>
      </c>
      <c r="O219" s="24">
        <f>IF(AND(ISNUMBER(M219), ISNUMBER(I219), I219&gt;0), M219/I219, "")</f>
        <v/>
      </c>
    </row>
    <row r="220">
      <c r="A220" s="19" t="inlineStr">
        <is>
          <t>FY27</t>
        </is>
      </c>
      <c r="B220" s="19" t="inlineStr">
        <is>
          <t>May</t>
        </is>
      </c>
      <c r="C220" s="19" t="inlineStr">
        <is>
          <t>AP/TS</t>
        </is>
      </c>
      <c r="D220" s="20" t="inlineStr">
        <is>
          <t>AP31DM5189</t>
        </is>
      </c>
      <c r="E220" s="20" t="inlineStr">
        <is>
          <t>TATA</t>
        </is>
      </c>
      <c r="F220" s="20" t="inlineStr">
        <is>
          <t>Zest</t>
        </is>
      </c>
      <c r="G220" s="21" t="n">
        <v>2016</v>
      </c>
      <c r="H220" s="22" t="n">
        <v>130176</v>
      </c>
      <c r="I220" s="23" t="n">
        <v>228000</v>
      </c>
      <c r="J220" s="20" t="inlineStr">
        <is>
          <t>Gadi Sri Bharathi</t>
        </is>
      </c>
      <c r="K220" s="20" t="inlineStr">
        <is>
          <t>Non-Captive</t>
        </is>
      </c>
      <c r="L220" s="20" t="inlineStr">
        <is>
          <t>Kaki Dinesh Kumar</t>
        </is>
      </c>
      <c r="M220" s="23" t="n">
        <v>6779.66</v>
      </c>
      <c r="N220" s="23" t="n">
        <v>8000</v>
      </c>
      <c r="O220" s="24">
        <f>IF(AND(ISNUMBER(M220), ISNUMBER(I220), I220&gt;0), M220/I220, "")</f>
        <v/>
      </c>
    </row>
    <row r="221">
      <c r="A221" s="19" t="inlineStr">
        <is>
          <t>FY27</t>
        </is>
      </c>
      <c r="B221" s="19" t="inlineStr">
        <is>
          <t>May</t>
        </is>
      </c>
      <c r="C221" s="19" t="inlineStr">
        <is>
          <t>AP/TS</t>
        </is>
      </c>
      <c r="D221" s="20" t="inlineStr">
        <is>
          <t>AP31EA0359</t>
        </is>
      </c>
      <c r="E221" s="20" t="inlineStr">
        <is>
          <t>MARUTI SUZUKI</t>
        </is>
      </c>
      <c r="F221" s="20" t="inlineStr">
        <is>
          <t>Swift</t>
        </is>
      </c>
      <c r="G221" s="21" t="n">
        <v>2017</v>
      </c>
      <c r="H221" s="22" t="n">
        <v>83041</v>
      </c>
      <c r="I221" s="23" t="n">
        <v>250000</v>
      </c>
      <c r="J221" s="20" t="inlineStr">
        <is>
          <t>Exchange VIZAG</t>
        </is>
      </c>
      <c r="K221" s="20" t="inlineStr">
        <is>
          <t>Captive</t>
        </is>
      </c>
      <c r="L221" s="20" t="inlineStr">
        <is>
          <t>Kaki Dinesh Kumar</t>
        </is>
      </c>
      <c r="M221" s="23" t="n">
        <v>6779.66</v>
      </c>
      <c r="N221" s="23" t="n">
        <v>8000</v>
      </c>
      <c r="O221" s="24">
        <f>IF(AND(ISNUMBER(M221), ISNUMBER(I221), I221&gt;0), M221/I221, "")</f>
        <v/>
      </c>
    </row>
    <row r="222">
      <c r="A222" s="19" t="inlineStr">
        <is>
          <t>FY27</t>
        </is>
      </c>
      <c r="B222" s="19" t="inlineStr">
        <is>
          <t>May</t>
        </is>
      </c>
      <c r="C222" s="19" t="inlineStr">
        <is>
          <t>AP/TS</t>
        </is>
      </c>
      <c r="D222" s="20" t="inlineStr">
        <is>
          <t>AP31BY3599</t>
        </is>
      </c>
      <c r="E222" s="20" t="inlineStr">
        <is>
          <t>MARUTI SUZUKI</t>
        </is>
      </c>
      <c r="F222" s="20" t="inlineStr">
        <is>
          <t>Swift Dzire</t>
        </is>
      </c>
      <c r="G222" s="21" t="n">
        <v>2012</v>
      </c>
      <c r="H222" s="22" t="n">
        <v>170484</v>
      </c>
      <c r="I222" s="23" t="n">
        <v>200000</v>
      </c>
      <c r="J222" s="20" t="inlineStr">
        <is>
          <t>Gadi Sri Bharathi</t>
        </is>
      </c>
      <c r="K222" s="20" t="inlineStr">
        <is>
          <t>Non-Captive</t>
        </is>
      </c>
      <c r="L222" s="20" t="inlineStr">
        <is>
          <t>Kaki Dinesh Kumar</t>
        </is>
      </c>
      <c r="M222" s="23" t="n">
        <v>5932.2</v>
      </c>
      <c r="N222" s="23" t="n">
        <v>7000</v>
      </c>
      <c r="O222" s="24">
        <f>IF(AND(ISNUMBER(M222), ISNUMBER(I222), I222&gt;0), M222/I222, "")</f>
        <v/>
      </c>
    </row>
    <row r="223">
      <c r="A223" s="19" t="inlineStr">
        <is>
          <t>FY27</t>
        </is>
      </c>
      <c r="B223" s="19" t="inlineStr">
        <is>
          <t>May</t>
        </is>
      </c>
      <c r="C223" s="19" t="inlineStr">
        <is>
          <t>AP/TS</t>
        </is>
      </c>
      <c r="D223" s="20" t="inlineStr">
        <is>
          <t>AP07CX3418</t>
        </is>
      </c>
      <c r="E223" s="20" t="inlineStr">
        <is>
          <t>HONDA</t>
        </is>
      </c>
      <c r="F223" s="20" t="inlineStr">
        <is>
          <t>City</t>
        </is>
      </c>
      <c r="G223" s="21" t="n">
        <v>2017</v>
      </c>
      <c r="H223" s="22" t="n">
        <v>57042</v>
      </c>
      <c r="I223" s="23" t="n">
        <v>397500</v>
      </c>
      <c r="J223" s="20" t="inlineStr">
        <is>
          <t>Exchange VIJAYAWADA</t>
        </is>
      </c>
      <c r="K223" s="20" t="inlineStr">
        <is>
          <t>Captive</t>
        </is>
      </c>
      <c r="L223" s="20" t="inlineStr">
        <is>
          <t>Shaik Shakeela</t>
        </is>
      </c>
      <c r="M223" s="23" t="n">
        <v>6355.93</v>
      </c>
      <c r="N223" s="23" t="n">
        <v>7500</v>
      </c>
      <c r="O223" s="24">
        <f>IF(AND(ISNUMBER(M223), ISNUMBER(I223), I223&gt;0), M223/I223, "")</f>
        <v/>
      </c>
    </row>
    <row r="224">
      <c r="A224" s="19" t="inlineStr">
        <is>
          <t>FY27</t>
        </is>
      </c>
      <c r="B224" s="19" t="inlineStr">
        <is>
          <t>May</t>
        </is>
      </c>
      <c r="C224" s="19" t="inlineStr">
        <is>
          <t>AP/TS</t>
        </is>
      </c>
      <c r="D224" s="20" t="inlineStr">
        <is>
          <t>AP07CQ0279</t>
        </is>
      </c>
      <c r="E224" s="20" t="inlineStr">
        <is>
          <t>HYUNDAI</t>
        </is>
      </c>
      <c r="F224" s="20" t="inlineStr">
        <is>
          <t>I10</t>
        </is>
      </c>
      <c r="G224" s="21" t="n">
        <v>2015</v>
      </c>
      <c r="H224" s="22" t="n">
        <v>140111</v>
      </c>
      <c r="I224" s="23" t="n">
        <v>159000</v>
      </c>
      <c r="J224" s="20" t="inlineStr">
        <is>
          <t>Exchange VIJAYAWADA</t>
        </is>
      </c>
      <c r="K224" s="20" t="inlineStr">
        <is>
          <t>Captive</t>
        </is>
      </c>
      <c r="L224" s="20" t="inlineStr">
        <is>
          <t>Tenali Srinivas</t>
        </is>
      </c>
      <c r="M224" s="23" t="n">
        <v>7627.12</v>
      </c>
      <c r="N224" s="23" t="n">
        <v>9000</v>
      </c>
      <c r="O224" s="24">
        <f>IF(AND(ISNUMBER(M224), ISNUMBER(I224), I224&gt;0), M224/I224, "")</f>
        <v/>
      </c>
    </row>
    <row r="225">
      <c r="A225" s="19" t="inlineStr">
        <is>
          <t>FY27</t>
        </is>
      </c>
      <c r="B225" s="19" t="inlineStr">
        <is>
          <t>May</t>
        </is>
      </c>
      <c r="C225" s="19" t="inlineStr">
        <is>
          <t>AP/TS</t>
        </is>
      </c>
      <c r="D225" s="20" t="inlineStr">
        <is>
          <t>AP16CP6408</t>
        </is>
      </c>
      <c r="E225" s="20" t="inlineStr">
        <is>
          <t>NISSAN</t>
        </is>
      </c>
      <c r="F225" s="20" t="inlineStr">
        <is>
          <t>Sunny</t>
        </is>
      </c>
      <c r="G225" s="21" t="n">
        <v>2013</v>
      </c>
      <c r="H225" s="22" t="n">
        <v>145263</v>
      </c>
      <c r="I225" s="23" t="n">
        <v>220000</v>
      </c>
      <c r="J225" s="20" t="inlineStr">
        <is>
          <t>Gopi Nagaraju</t>
        </is>
      </c>
      <c r="K225" s="20" t="inlineStr">
        <is>
          <t>Non-Captive</t>
        </is>
      </c>
      <c r="L225" s="20" t="inlineStr">
        <is>
          <t>Ruthwik Prathi</t>
        </is>
      </c>
      <c r="M225" s="23" t="n">
        <v>6779.66</v>
      </c>
      <c r="N225" s="23" t="n">
        <v>8000</v>
      </c>
      <c r="O225" s="24">
        <f>IF(AND(ISNUMBER(M225), ISNUMBER(I225), I225&gt;0), M225/I225, "")</f>
        <v/>
      </c>
    </row>
    <row r="226">
      <c r="A226" s="19" t="inlineStr">
        <is>
          <t>FY27</t>
        </is>
      </c>
      <c r="B226" s="19" t="inlineStr">
        <is>
          <t>May</t>
        </is>
      </c>
      <c r="C226" s="19" t="inlineStr">
        <is>
          <t>AP/TS</t>
        </is>
      </c>
      <c r="D226" s="20" t="inlineStr">
        <is>
          <t>AP31AW4444</t>
        </is>
      </c>
      <c r="E226" s="20" t="inlineStr">
        <is>
          <t>TOYOTA</t>
        </is>
      </c>
      <c r="F226" s="20" t="inlineStr">
        <is>
          <t>Innova</t>
        </is>
      </c>
      <c r="G226" s="21" t="n">
        <v>2008</v>
      </c>
      <c r="H226" s="22" t="n">
        <v>395014</v>
      </c>
      <c r="I226" s="23" t="n">
        <v>190000</v>
      </c>
      <c r="J226" s="20" t="inlineStr">
        <is>
          <t>Gopi Nagaraju</t>
        </is>
      </c>
      <c r="K226" s="20" t="inlineStr">
        <is>
          <t>Non-Captive</t>
        </is>
      </c>
      <c r="L226" s="20" t="inlineStr">
        <is>
          <t>Tenali Srinivas</t>
        </is>
      </c>
      <c r="M226" s="23" t="n">
        <v>5084.75</v>
      </c>
      <c r="N226" s="23" t="n">
        <v>6000</v>
      </c>
      <c r="O226" s="24">
        <f>IF(AND(ISNUMBER(M226), ISNUMBER(I226), I226&gt;0), M226/I226, "")</f>
        <v/>
      </c>
    </row>
    <row r="227">
      <c r="A227" s="19" t="inlineStr">
        <is>
          <t>FY27</t>
        </is>
      </c>
      <c r="B227" s="19" t="inlineStr">
        <is>
          <t>May</t>
        </is>
      </c>
      <c r="C227" s="19" t="inlineStr">
        <is>
          <t>AP/TS</t>
        </is>
      </c>
      <c r="D227" s="20" t="inlineStr">
        <is>
          <t>AP31DQ3763</t>
        </is>
      </c>
      <c r="E227" s="20" t="inlineStr">
        <is>
          <t>MARUTI SUZUKI</t>
        </is>
      </c>
      <c r="F227" s="20" t="inlineStr">
        <is>
          <t>Swift</t>
        </is>
      </c>
      <c r="G227" s="21" t="n">
        <v>2016</v>
      </c>
      <c r="H227" s="22" t="n">
        <v>26589</v>
      </c>
      <c r="I227" s="23" t="n">
        <v>305000</v>
      </c>
      <c r="J227" s="20" t="inlineStr">
        <is>
          <t>Exchange VIZAG</t>
        </is>
      </c>
      <c r="K227" s="20" t="inlineStr">
        <is>
          <t>Captive</t>
        </is>
      </c>
      <c r="L227" s="20" t="inlineStr">
        <is>
          <t>Kesireddy Saikiran</t>
        </is>
      </c>
      <c r="M227" s="23" t="n">
        <v>12711.86</v>
      </c>
      <c r="N227" s="23" t="n">
        <v>15000</v>
      </c>
      <c r="O227" s="24">
        <f>IF(AND(ISNUMBER(M227), ISNUMBER(I227), I227&gt;0), M227/I227, "")</f>
        <v/>
      </c>
    </row>
    <row r="228">
      <c r="A228" s="19" t="inlineStr">
        <is>
          <t>FY27</t>
        </is>
      </c>
      <c r="B228" s="19" t="inlineStr">
        <is>
          <t>May</t>
        </is>
      </c>
      <c r="C228" s="19" t="inlineStr">
        <is>
          <t>AP/TS</t>
        </is>
      </c>
      <c r="D228" s="20" t="inlineStr">
        <is>
          <t>TS08GK7273</t>
        </is>
      </c>
      <c r="E228" s="20" t="inlineStr">
        <is>
          <t>HONDA</t>
        </is>
      </c>
      <c r="F228" s="20" t="inlineStr">
        <is>
          <t>Amaze</t>
        </is>
      </c>
      <c r="G228" s="21" t="n">
        <v>2019</v>
      </c>
      <c r="H228" s="22" t="n">
        <v>77301</v>
      </c>
      <c r="I228" s="23" t="n">
        <v>415000</v>
      </c>
      <c r="J228" s="20" t="inlineStr">
        <is>
          <t>Exchange HYDERABAD</t>
        </is>
      </c>
      <c r="K228" s="20" t="inlineStr">
        <is>
          <t>Captive</t>
        </is>
      </c>
      <c r="L228" s="20" t="inlineStr">
        <is>
          <t>Gorenka Vinay Shravan</t>
        </is>
      </c>
      <c r="M228" s="23" t="n">
        <v>12711.86</v>
      </c>
      <c r="N228" s="23" t="n">
        <v>15000</v>
      </c>
      <c r="O228" s="24">
        <f>IF(AND(ISNUMBER(M228), ISNUMBER(I228), I228&gt;0), M228/I228, "")</f>
        <v/>
      </c>
    </row>
    <row r="229">
      <c r="A229" s="19" t="inlineStr">
        <is>
          <t>FY27</t>
        </is>
      </c>
      <c r="B229" s="19" t="inlineStr">
        <is>
          <t>May</t>
        </is>
      </c>
      <c r="C229" s="19" t="inlineStr">
        <is>
          <t>AP/TS</t>
        </is>
      </c>
      <c r="D229" s="20" t="inlineStr">
        <is>
          <t>AP31CY0624</t>
        </is>
      </c>
      <c r="E229" s="20" t="inlineStr">
        <is>
          <t>MARUTI SUZUKI</t>
        </is>
      </c>
      <c r="F229" s="20" t="inlineStr">
        <is>
          <t>Swift Dzire</t>
        </is>
      </c>
      <c r="G229" s="21" t="n">
        <v>2015</v>
      </c>
      <c r="H229" s="22" t="n">
        <v>386721</v>
      </c>
      <c r="I229" s="23" t="n">
        <v>128000</v>
      </c>
      <c r="J229" s="20" t="inlineStr">
        <is>
          <t>Exchange VIZAG</t>
        </is>
      </c>
      <c r="K229" s="20" t="inlineStr">
        <is>
          <t>Captive</t>
        </is>
      </c>
      <c r="L229" s="20" t="inlineStr">
        <is>
          <t>Karukonda Someswara Rao</t>
        </is>
      </c>
      <c r="M229" s="23" t="n">
        <v>6779.66</v>
      </c>
      <c r="N229" s="23" t="n">
        <v>8000</v>
      </c>
      <c r="O229" s="24">
        <f>IF(AND(ISNUMBER(M229), ISNUMBER(I229), I229&gt;0), M229/I229, "")</f>
        <v/>
      </c>
    </row>
    <row r="230">
      <c r="A230" s="19" t="inlineStr">
        <is>
          <t>FY27</t>
        </is>
      </c>
      <c r="B230" s="19" t="inlineStr">
        <is>
          <t>May</t>
        </is>
      </c>
      <c r="C230" s="19" t="inlineStr">
        <is>
          <t>AP/TS</t>
        </is>
      </c>
      <c r="D230" s="20" t="inlineStr">
        <is>
          <t>TS09EA0336</t>
        </is>
      </c>
      <c r="E230" s="20" t="inlineStr">
        <is>
          <t>HONDA</t>
        </is>
      </c>
      <c r="F230" s="20" t="inlineStr">
        <is>
          <t>Amaze</t>
        </is>
      </c>
      <c r="G230" s="21" t="n">
        <v>2014</v>
      </c>
      <c r="H230" s="22" t="n">
        <v>124502</v>
      </c>
      <c r="I230" s="23" t="n">
        <v>240000</v>
      </c>
      <c r="J230" s="20" t="inlineStr">
        <is>
          <t>Exchange HYDERABAD</t>
        </is>
      </c>
      <c r="K230" s="20" t="inlineStr">
        <is>
          <t>Captive</t>
        </is>
      </c>
      <c r="L230" s="20" t="inlineStr">
        <is>
          <t>Kranthi Jwala Gudipati</t>
        </is>
      </c>
      <c r="M230" s="23" t="n">
        <v>8474.58</v>
      </c>
      <c r="N230" s="23" t="n">
        <v>10000</v>
      </c>
      <c r="O230" s="24">
        <f>IF(AND(ISNUMBER(M230), ISNUMBER(I230), I230&gt;0), M230/I230, "")</f>
        <v/>
      </c>
    </row>
    <row r="231">
      <c r="A231" s="19" t="inlineStr">
        <is>
          <t>FY27</t>
        </is>
      </c>
      <c r="B231" s="19" t="inlineStr">
        <is>
          <t>May</t>
        </is>
      </c>
      <c r="C231" s="19" t="inlineStr">
        <is>
          <t>AP/TS</t>
        </is>
      </c>
      <c r="D231" s="20" t="inlineStr">
        <is>
          <t>AP11AD1804</t>
        </is>
      </c>
      <c r="E231" s="20" t="inlineStr">
        <is>
          <t>HYUNDAI</t>
        </is>
      </c>
      <c r="F231" s="20" t="inlineStr">
        <is>
          <t>Santro</t>
        </is>
      </c>
      <c r="G231" s="21" t="n">
        <v>2008</v>
      </c>
      <c r="H231" s="22" t="n">
        <v>101888</v>
      </c>
      <c r="I231" s="23" t="n">
        <v>55000</v>
      </c>
      <c r="J231" s="20" t="inlineStr">
        <is>
          <t>Exchange HYDERABAD</t>
        </is>
      </c>
      <c r="K231" s="20" t="inlineStr">
        <is>
          <t>Captive</t>
        </is>
      </c>
      <c r="L231" s="20" t="inlineStr">
        <is>
          <t>Kranthi Jwala Gudipati</t>
        </is>
      </c>
      <c r="M231" s="23" t="n">
        <v>4237.29</v>
      </c>
      <c r="N231" s="23" t="n">
        <v>5000</v>
      </c>
      <c r="O231" s="24">
        <f>IF(AND(ISNUMBER(M231), ISNUMBER(I231), I231&gt;0), M231/I231, "")</f>
        <v/>
      </c>
    </row>
    <row r="232">
      <c r="A232" s="19" t="inlineStr">
        <is>
          <t>FY27</t>
        </is>
      </c>
      <c r="B232" s="19" t="inlineStr">
        <is>
          <t>May</t>
        </is>
      </c>
      <c r="C232" s="19" t="inlineStr">
        <is>
          <t>AP/TS</t>
        </is>
      </c>
      <c r="D232" s="20" t="inlineStr">
        <is>
          <t>AP10BF0463</t>
        </is>
      </c>
      <c r="E232" s="20" t="inlineStr">
        <is>
          <t>TOYOTA</t>
        </is>
      </c>
      <c r="F232" s="20" t="inlineStr">
        <is>
          <t>Etios</t>
        </is>
      </c>
      <c r="G232" s="21" t="n">
        <v>2013</v>
      </c>
      <c r="H232" s="22" t="n">
        <v>67554</v>
      </c>
      <c r="I232" s="23" t="n">
        <v>233000</v>
      </c>
      <c r="J232" s="20" t="inlineStr">
        <is>
          <t>Exchange HYDERABAD</t>
        </is>
      </c>
      <c r="K232" s="20" t="inlineStr">
        <is>
          <t>Captive</t>
        </is>
      </c>
      <c r="L232" s="20" t="inlineStr">
        <is>
          <t>Kranthi Jwala Gudipati</t>
        </is>
      </c>
      <c r="M232" s="23" t="n">
        <v>8474.58</v>
      </c>
      <c r="N232" s="23" t="n">
        <v>10000</v>
      </c>
      <c r="O232" s="24">
        <f>IF(AND(ISNUMBER(M232), ISNUMBER(I232), I232&gt;0), M232/I232, "")</f>
        <v/>
      </c>
    </row>
    <row r="233">
      <c r="A233" s="19" t="inlineStr">
        <is>
          <t>FY27</t>
        </is>
      </c>
      <c r="B233" s="19" t="inlineStr">
        <is>
          <t>May</t>
        </is>
      </c>
      <c r="C233" s="19" t="inlineStr">
        <is>
          <t>AP/TS</t>
        </is>
      </c>
      <c r="D233" s="20" t="inlineStr">
        <is>
          <t>AP28DF6034</t>
        </is>
      </c>
      <c r="E233" s="20" t="inlineStr">
        <is>
          <t>FIAT</t>
        </is>
      </c>
      <c r="F233" s="20" t="inlineStr">
        <is>
          <t>Punto</t>
        </is>
      </c>
      <c r="G233" s="21" t="n">
        <v>2010</v>
      </c>
      <c r="H233" s="22" t="n">
        <v>124856</v>
      </c>
      <c r="I233" s="23" t="n">
        <v>60000</v>
      </c>
      <c r="J233" s="20" t="inlineStr">
        <is>
          <t>Pudari Babu</t>
        </is>
      </c>
      <c r="K233" s="20" t="inlineStr">
        <is>
          <t>Non-Captive</t>
        </is>
      </c>
      <c r="L233" s="20" t="inlineStr">
        <is>
          <t>Kranthi Jwala Gudipati</t>
        </is>
      </c>
      <c r="M233" s="23" t="n">
        <v>4237.29</v>
      </c>
      <c r="N233" s="23" t="n">
        <v>5000</v>
      </c>
      <c r="O233" s="24">
        <f>IF(AND(ISNUMBER(M233), ISNUMBER(I233), I233&gt;0), M233/I233, "")</f>
        <v/>
      </c>
    </row>
    <row r="234">
      <c r="A234" s="19" t="inlineStr">
        <is>
          <t>FY27</t>
        </is>
      </c>
      <c r="B234" s="19" t="inlineStr">
        <is>
          <t>May</t>
        </is>
      </c>
      <c r="C234" s="19" t="inlineStr">
        <is>
          <t>AP/TS</t>
        </is>
      </c>
      <c r="D234" s="20" t="inlineStr">
        <is>
          <t>TS07EW5900</t>
        </is>
      </c>
      <c r="E234" s="20" t="inlineStr">
        <is>
          <t>HONDA</t>
        </is>
      </c>
      <c r="F234" s="20" t="inlineStr">
        <is>
          <t>Amaze</t>
        </is>
      </c>
      <c r="G234" s="21" t="n">
        <v>2015</v>
      </c>
      <c r="H234" s="22" t="n">
        <v>32055</v>
      </c>
      <c r="I234" s="23" t="n">
        <v>260000</v>
      </c>
      <c r="J234" s="20" t="inlineStr">
        <is>
          <t>Exchange</t>
        </is>
      </c>
      <c r="K234" s="20" t="inlineStr">
        <is>
          <t>Captive</t>
        </is>
      </c>
      <c r="L234" s="20" t="inlineStr">
        <is>
          <t>Uppari Sandeep Kumar</t>
        </is>
      </c>
      <c r="M234" s="23" t="n">
        <v>8474.58</v>
      </c>
      <c r="N234" s="23" t="n">
        <v>10000</v>
      </c>
      <c r="O234" s="24">
        <f>IF(AND(ISNUMBER(M234), ISNUMBER(I234), I234&gt;0), M234/I234, "")</f>
        <v/>
      </c>
    </row>
    <row r="235">
      <c r="A235" s="19" t="inlineStr">
        <is>
          <t>FY27</t>
        </is>
      </c>
      <c r="B235" s="19" t="inlineStr">
        <is>
          <t>May</t>
        </is>
      </c>
      <c r="C235" s="19" t="inlineStr">
        <is>
          <t>AP/TS</t>
        </is>
      </c>
      <c r="D235" s="20" t="inlineStr">
        <is>
          <t>TS04FE0260</t>
        </is>
      </c>
      <c r="E235" s="20" t="inlineStr">
        <is>
          <t>HONDA</t>
        </is>
      </c>
      <c r="F235" s="20" t="inlineStr">
        <is>
          <t>Wr-V</t>
        </is>
      </c>
      <c r="G235" s="21" t="n">
        <v>2021</v>
      </c>
      <c r="H235" s="22" t="n">
        <v>56015</v>
      </c>
      <c r="I235" s="23" t="n">
        <v>522000</v>
      </c>
      <c r="J235" s="20" t="inlineStr">
        <is>
          <t>Exchange</t>
        </is>
      </c>
      <c r="K235" s="20" t="inlineStr">
        <is>
          <t>Captive</t>
        </is>
      </c>
      <c r="L235" s="20" t="inlineStr">
        <is>
          <t>Puneet Gupta</t>
        </is>
      </c>
      <c r="M235" s="23" t="n">
        <v>10169.49</v>
      </c>
      <c r="N235" s="23" t="n">
        <v>12000</v>
      </c>
      <c r="O235" s="24">
        <f>IF(AND(ISNUMBER(M235), ISNUMBER(I235), I235&gt;0), M235/I235, "")</f>
        <v/>
      </c>
    </row>
    <row r="236">
      <c r="A236" s="19" t="inlineStr">
        <is>
          <t>FY27</t>
        </is>
      </c>
      <c r="B236" s="19" t="inlineStr">
        <is>
          <t>May</t>
        </is>
      </c>
      <c r="C236" s="19" t="inlineStr">
        <is>
          <t>AP/TS</t>
        </is>
      </c>
      <c r="D236" s="20" t="inlineStr">
        <is>
          <t>TS08JA5509</t>
        </is>
      </c>
      <c r="E236" s="20" t="inlineStr">
        <is>
          <t>MARUTI SUZUKI</t>
        </is>
      </c>
      <c r="F236" s="20" t="inlineStr">
        <is>
          <t>Ciaz</t>
        </is>
      </c>
      <c r="G236" s="21" t="n">
        <v>2016</v>
      </c>
      <c r="H236" s="22" t="n">
        <v>125526</v>
      </c>
      <c r="I236" s="23" t="n">
        <v>308000</v>
      </c>
      <c r="J236" s="20" t="inlineStr">
        <is>
          <t>Bukya Santhosh Naik</t>
        </is>
      </c>
      <c r="K236" s="20" t="inlineStr">
        <is>
          <t>Non-Captive</t>
        </is>
      </c>
      <c r="L236" s="20" t="inlineStr">
        <is>
          <t>Puneet Gupta</t>
        </is>
      </c>
      <c r="M236" s="23" t="n">
        <v>6779.66</v>
      </c>
      <c r="N236" s="23" t="n">
        <v>8000</v>
      </c>
      <c r="O236" s="24">
        <f>IF(AND(ISNUMBER(M236), ISNUMBER(I236), I236&gt;0), M236/I236, "")</f>
        <v/>
      </c>
    </row>
    <row r="237">
      <c r="A237" s="19" t="inlineStr">
        <is>
          <t>FY27</t>
        </is>
      </c>
      <c r="B237" s="19" t="inlineStr">
        <is>
          <t>May</t>
        </is>
      </c>
      <c r="C237" s="19" t="inlineStr">
        <is>
          <t>AP/TS</t>
        </is>
      </c>
      <c r="D237" s="20" t="inlineStr">
        <is>
          <t>AP40CX3305</t>
        </is>
      </c>
      <c r="E237" s="20" t="inlineStr">
        <is>
          <t>TATA</t>
        </is>
      </c>
      <c r="F237" s="20" t="inlineStr">
        <is>
          <t>Tiago</t>
        </is>
      </c>
      <c r="G237" s="21" t="n">
        <v>2024</v>
      </c>
      <c r="H237" s="22" t="n">
        <v>31298</v>
      </c>
      <c r="I237" s="23" t="n">
        <v>372500</v>
      </c>
      <c r="J237" s="20" t="inlineStr">
        <is>
          <t>Exchange</t>
        </is>
      </c>
      <c r="K237" s="20" t="inlineStr">
        <is>
          <t>Captive</t>
        </is>
      </c>
      <c r="L237" s="20" t="inlineStr">
        <is>
          <t>Kaki Dinesh Kumar</t>
        </is>
      </c>
      <c r="M237" s="23" t="n">
        <v>6355.93</v>
      </c>
      <c r="N237" s="23" t="n">
        <v>7500</v>
      </c>
      <c r="O237" s="24">
        <f>IF(AND(ISNUMBER(M237), ISNUMBER(I237), I237&gt;0), M237/I237, "")</f>
        <v/>
      </c>
    </row>
    <row r="238">
      <c r="A238" s="19" t="inlineStr">
        <is>
          <t>FY27</t>
        </is>
      </c>
      <c r="B238" s="19" t="inlineStr">
        <is>
          <t>May</t>
        </is>
      </c>
      <c r="C238" s="19" t="inlineStr">
        <is>
          <t>AP/TS</t>
        </is>
      </c>
      <c r="D238" s="20" t="inlineStr">
        <is>
          <t>AP05DR1929</t>
        </is>
      </c>
      <c r="E238" s="20" t="inlineStr">
        <is>
          <t>FORD</t>
        </is>
      </c>
      <c r="F238" s="20" t="inlineStr">
        <is>
          <t>Figo</t>
        </is>
      </c>
      <c r="G238" s="21" t="n">
        <v>2017</v>
      </c>
      <c r="H238" s="22" t="n">
        <v>175268</v>
      </c>
      <c r="I238" s="23" t="n">
        <v>307500</v>
      </c>
      <c r="J238" s="20" t="inlineStr">
        <is>
          <t>Gadi Sri Bharathi</t>
        </is>
      </c>
      <c r="K238" s="20" t="inlineStr">
        <is>
          <t>Non-Captive</t>
        </is>
      </c>
      <c r="L238" s="20" t="inlineStr">
        <is>
          <t>Kaki Dinesh Kumar</t>
        </is>
      </c>
      <c r="M238" s="23" t="n">
        <v>6355.93</v>
      </c>
      <c r="N238" s="23" t="n">
        <v>7500</v>
      </c>
      <c r="O238" s="24">
        <f>IF(AND(ISNUMBER(M238), ISNUMBER(I238), I238&gt;0), M238/I238, "")</f>
        <v/>
      </c>
    </row>
    <row r="239">
      <c r="A239" s="19" t="inlineStr">
        <is>
          <t>FY27</t>
        </is>
      </c>
      <c r="B239" s="19" t="inlineStr">
        <is>
          <t>May</t>
        </is>
      </c>
      <c r="C239" s="19" t="inlineStr">
        <is>
          <t>AP/TS</t>
        </is>
      </c>
      <c r="D239" s="20" t="inlineStr">
        <is>
          <t>AP37BY4567</t>
        </is>
      </c>
      <c r="E239" s="20" t="inlineStr">
        <is>
          <t>FORD</t>
        </is>
      </c>
      <c r="F239" s="20" t="inlineStr">
        <is>
          <t>Ecosport</t>
        </is>
      </c>
      <c r="G239" s="21" t="n">
        <v>2013</v>
      </c>
      <c r="H239" s="22" t="n">
        <v>128865</v>
      </c>
      <c r="I239" s="23" t="n">
        <v>196000</v>
      </c>
      <c r="J239" s="20" t="inlineStr">
        <is>
          <t>Gadi Ramesh</t>
        </is>
      </c>
      <c r="K239" s="20" t="inlineStr">
        <is>
          <t>Non-Captive</t>
        </is>
      </c>
      <c r="L239" s="20" t="inlineStr">
        <is>
          <t>Guthi Ravi Krishna</t>
        </is>
      </c>
      <c r="M239" s="23" t="n">
        <v>5084.75</v>
      </c>
      <c r="N239" s="23" t="n">
        <v>6000</v>
      </c>
      <c r="O239" s="24">
        <f>IF(AND(ISNUMBER(M239), ISNUMBER(I239), I239&gt;0), M239/I239, "")</f>
        <v/>
      </c>
    </row>
    <row r="240">
      <c r="A240" s="19" t="inlineStr">
        <is>
          <t>FY27</t>
        </is>
      </c>
      <c r="B240" s="19" t="inlineStr">
        <is>
          <t>May</t>
        </is>
      </c>
      <c r="C240" s="19" t="inlineStr">
        <is>
          <t>AP/TS</t>
        </is>
      </c>
      <c r="D240" s="20" t="inlineStr">
        <is>
          <t>AP16AL2148</t>
        </is>
      </c>
      <c r="E240" s="20" t="inlineStr">
        <is>
          <t>MARUTI SUZUKI</t>
        </is>
      </c>
      <c r="F240" s="20" t="inlineStr">
        <is>
          <t>Alto</t>
        </is>
      </c>
      <c r="G240" s="21" t="n">
        <v>2004</v>
      </c>
      <c r="H240" s="22" t="n">
        <v>198752</v>
      </c>
      <c r="I240" s="23" t="n">
        <v>30000</v>
      </c>
      <c r="J240" s="20" t="inlineStr">
        <is>
          <t>Gadi Ramesh</t>
        </is>
      </c>
      <c r="K240" s="20" t="inlineStr">
        <is>
          <t>Non-Captive</t>
        </is>
      </c>
      <c r="L240" s="20" t="inlineStr">
        <is>
          <t>Guthi Ravi Krishna</t>
        </is>
      </c>
      <c r="M240" s="23" t="n">
        <v>4237.29</v>
      </c>
      <c r="N240" s="23" t="n">
        <v>5000</v>
      </c>
      <c r="O240" s="24">
        <f>IF(AND(ISNUMBER(M240), ISNUMBER(I240), I240&gt;0), M240/I240, "")</f>
        <v/>
      </c>
    </row>
    <row r="241">
      <c r="A241" s="19" t="inlineStr">
        <is>
          <t>FY27</t>
        </is>
      </c>
      <c r="B241" s="19" t="inlineStr">
        <is>
          <t>May</t>
        </is>
      </c>
      <c r="C241" s="19" t="inlineStr">
        <is>
          <t>AP/TS</t>
        </is>
      </c>
      <c r="D241" s="20" t="inlineStr">
        <is>
          <t>KA03MD7709</t>
        </is>
      </c>
      <c r="E241" s="20" t="inlineStr">
        <is>
          <t>HONDA</t>
        </is>
      </c>
      <c r="F241" s="20" t="inlineStr">
        <is>
          <t>City</t>
        </is>
      </c>
      <c r="G241" s="21" t="n">
        <v>2005</v>
      </c>
      <c r="H241" s="22" t="n">
        <v>251140</v>
      </c>
      <c r="I241" s="23" t="n">
        <v>30000</v>
      </c>
      <c r="J241" s="20" t="inlineStr">
        <is>
          <t>Gadi Ramesh</t>
        </is>
      </c>
      <c r="K241" s="20" t="inlineStr">
        <is>
          <t>Non-Captive</t>
        </is>
      </c>
      <c r="L241" s="20" t="inlineStr">
        <is>
          <t>Mohammed Gouse Basha</t>
        </is>
      </c>
      <c r="M241" s="23" t="n">
        <v>4237.29</v>
      </c>
      <c r="N241" s="23" t="n">
        <v>5000</v>
      </c>
      <c r="O241" s="24">
        <f>IF(AND(ISNUMBER(M241), ISNUMBER(I241), I241&gt;0), M241/I241, "")</f>
        <v/>
      </c>
    </row>
    <row r="242">
      <c r="A242" s="19" t="inlineStr">
        <is>
          <t>FY27</t>
        </is>
      </c>
      <c r="B242" s="19" t="inlineStr">
        <is>
          <t>May</t>
        </is>
      </c>
      <c r="C242" s="19" t="inlineStr">
        <is>
          <t>AP/TS</t>
        </is>
      </c>
      <c r="D242" s="20" t="inlineStr">
        <is>
          <t>AP16CJ0007</t>
        </is>
      </c>
      <c r="E242" s="20" t="inlineStr">
        <is>
          <t>HONDA</t>
        </is>
      </c>
      <c r="F242" s="20" t="inlineStr">
        <is>
          <t>Brio</t>
        </is>
      </c>
      <c r="G242" s="21" t="n">
        <v>2013</v>
      </c>
      <c r="H242" s="22" t="n">
        <v>329878</v>
      </c>
      <c r="I242" s="23" t="n">
        <v>105000</v>
      </c>
      <c r="J242" s="20" t="inlineStr">
        <is>
          <t>Exchange</t>
        </is>
      </c>
      <c r="K242" s="20" t="inlineStr">
        <is>
          <t>Captive</t>
        </is>
      </c>
      <c r="L242" s="20" t="inlineStr">
        <is>
          <t>Mohammed Gouse Basha</t>
        </is>
      </c>
      <c r="M242" s="23" t="n">
        <v>4237.29</v>
      </c>
      <c r="N242" s="23" t="n">
        <v>5000</v>
      </c>
      <c r="O242" s="24">
        <f>IF(AND(ISNUMBER(M242), ISNUMBER(I242), I242&gt;0), M242/I242, "")</f>
        <v/>
      </c>
    </row>
    <row r="243">
      <c r="A243" s="19" t="inlineStr">
        <is>
          <t>FY27</t>
        </is>
      </c>
      <c r="B243" s="19" t="inlineStr">
        <is>
          <t>May</t>
        </is>
      </c>
      <c r="C243" s="19" t="inlineStr">
        <is>
          <t>AP/TS</t>
        </is>
      </c>
      <c r="D243" s="20" t="inlineStr">
        <is>
          <t>TS10EU6203</t>
        </is>
      </c>
      <c r="E243" s="20" t="inlineStr">
        <is>
          <t>HYUNDAI</t>
        </is>
      </c>
      <c r="F243" s="20" t="inlineStr">
        <is>
          <t>Venue</t>
        </is>
      </c>
      <c r="G243" s="21" t="n">
        <v>2019</v>
      </c>
      <c r="H243" s="22" t="n">
        <v>44219</v>
      </c>
      <c r="I243" s="23" t="n">
        <v>490000</v>
      </c>
      <c r="J243" s="20" t="inlineStr">
        <is>
          <t>Exchange</t>
        </is>
      </c>
      <c r="K243" s="20" t="inlineStr">
        <is>
          <t>Captive</t>
        </is>
      </c>
      <c r="L243" s="20" t="inlineStr">
        <is>
          <t>4Wheelz</t>
        </is>
      </c>
      <c r="M243" s="23" t="n">
        <v>8474.58</v>
      </c>
      <c r="N243" s="23" t="n">
        <v>10000</v>
      </c>
      <c r="O243" s="24">
        <f>IF(AND(ISNUMBER(M243), ISNUMBER(I243), I243&gt;0), M243/I243, "")</f>
        <v/>
      </c>
    </row>
    <row r="244">
      <c r="A244" s="19" t="inlineStr">
        <is>
          <t>FY27</t>
        </is>
      </c>
      <c r="B244" s="19" t="inlineStr">
        <is>
          <t>May</t>
        </is>
      </c>
      <c r="C244" s="19" t="inlineStr">
        <is>
          <t>AP/TS</t>
        </is>
      </c>
      <c r="D244" s="20" t="inlineStr">
        <is>
          <t>AP40KL7561</t>
        </is>
      </c>
      <c r="E244" s="20" t="inlineStr">
        <is>
          <t>KIA</t>
        </is>
      </c>
      <c r="F244" s="20" t="inlineStr">
        <is>
          <t>Seltos</t>
        </is>
      </c>
      <c r="G244" s="21" t="n">
        <v>2020</v>
      </c>
      <c r="H244" s="22" t="n">
        <v>110923</v>
      </c>
      <c r="I244" s="23" t="n">
        <v>787000</v>
      </c>
      <c r="J244" s="20" t="inlineStr">
        <is>
          <t>Exchange</t>
        </is>
      </c>
      <c r="K244" s="20" t="inlineStr">
        <is>
          <t>Captive</t>
        </is>
      </c>
      <c r="L244" s="20" t="inlineStr">
        <is>
          <t>Chittibomma Srinivasa Rao</t>
        </is>
      </c>
      <c r="M244" s="23" t="n">
        <v>10169.49</v>
      </c>
      <c r="N244" s="23" t="n">
        <v>12000</v>
      </c>
      <c r="O244" s="24">
        <f>IF(AND(ISNUMBER(M244), ISNUMBER(I244), I244&gt;0), M244/I244, "")</f>
        <v/>
      </c>
    </row>
    <row r="245">
      <c r="A245" s="19" t="inlineStr">
        <is>
          <t>FY27</t>
        </is>
      </c>
      <c r="B245" s="19" t="inlineStr">
        <is>
          <t>May</t>
        </is>
      </c>
      <c r="C245" s="19" t="inlineStr">
        <is>
          <t>AP/TS</t>
        </is>
      </c>
      <c r="D245" s="20" t="inlineStr">
        <is>
          <t>AP39LS1139</t>
        </is>
      </c>
      <c r="E245" s="20" t="inlineStr">
        <is>
          <t>HYUNDAI</t>
        </is>
      </c>
      <c r="F245" s="20" t="inlineStr">
        <is>
          <t>Santro</t>
        </is>
      </c>
      <c r="G245" s="21" t="n">
        <v>2021</v>
      </c>
      <c r="H245" s="22" t="n">
        <v>94714</v>
      </c>
      <c r="I245" s="23" t="n">
        <v>310000</v>
      </c>
      <c r="J245" s="20" t="inlineStr">
        <is>
          <t>Exchange</t>
        </is>
      </c>
      <c r="K245" s="20" t="inlineStr">
        <is>
          <t>Captive</t>
        </is>
      </c>
      <c r="L245" s="20" t="inlineStr">
        <is>
          <t>Naga Suresh Polukonda</t>
        </is>
      </c>
      <c r="M245" s="23" t="n">
        <v>8474.58</v>
      </c>
      <c r="N245" s="23" t="n">
        <v>10000</v>
      </c>
      <c r="O245" s="24">
        <f>IF(AND(ISNUMBER(M245), ISNUMBER(I245), I245&gt;0), M245/I245, "")</f>
        <v/>
      </c>
    </row>
    <row r="246">
      <c r="A246" s="19" t="inlineStr">
        <is>
          <t>FY27</t>
        </is>
      </c>
      <c r="B246" s="19" t="inlineStr">
        <is>
          <t>May</t>
        </is>
      </c>
      <c r="C246" s="19" t="inlineStr">
        <is>
          <t>AP/TS</t>
        </is>
      </c>
      <c r="D246" s="20" t="inlineStr">
        <is>
          <t>AP16FB1119</t>
        </is>
      </c>
      <c r="E246" s="20" t="inlineStr">
        <is>
          <t>HONDA</t>
        </is>
      </c>
      <c r="F246" s="20" t="inlineStr">
        <is>
          <t>City</t>
        </is>
      </c>
      <c r="G246" s="21" t="n">
        <v>2017</v>
      </c>
      <c r="H246" s="22" t="n">
        <v>86372</v>
      </c>
      <c r="I246" s="23" t="n">
        <v>310000</v>
      </c>
      <c r="J246" s="20" t="inlineStr">
        <is>
          <t>Exchange</t>
        </is>
      </c>
      <c r="K246" s="20" t="inlineStr">
        <is>
          <t>Captive</t>
        </is>
      </c>
      <c r="L246" s="20" t="inlineStr">
        <is>
          <t>Vedicherla Sudheer Reddy - VSR Cars</t>
        </is>
      </c>
      <c r="M246" s="23" t="n">
        <v>8474.58</v>
      </c>
      <c r="N246" s="23" t="n">
        <v>10000</v>
      </c>
      <c r="O246" s="24">
        <f>IF(AND(ISNUMBER(M246), ISNUMBER(I246), I246&gt;0), M246/I246, "")</f>
        <v/>
      </c>
    </row>
    <row r="247">
      <c r="A247" s="19" t="inlineStr">
        <is>
          <t>FY27</t>
        </is>
      </c>
      <c r="B247" s="19" t="inlineStr">
        <is>
          <t>May</t>
        </is>
      </c>
      <c r="C247" s="19" t="inlineStr">
        <is>
          <t>AP/TS</t>
        </is>
      </c>
      <c r="D247" s="20" t="inlineStr">
        <is>
          <t>AP16EH4846</t>
        </is>
      </c>
      <c r="E247" s="20" t="inlineStr">
        <is>
          <t>HYUNDAI</t>
        </is>
      </c>
      <c r="F247" s="20" t="inlineStr">
        <is>
          <t>Grand I10</t>
        </is>
      </c>
      <c r="G247" s="21" t="n">
        <v>2017</v>
      </c>
      <c r="H247" s="22" t="n">
        <v>94502</v>
      </c>
      <c r="I247" s="23" t="n">
        <v>253500</v>
      </c>
      <c r="J247" s="20" t="inlineStr">
        <is>
          <t>Tenali Srinivas</t>
        </is>
      </c>
      <c r="K247" s="20" t="inlineStr">
        <is>
          <t>Non-Captive</t>
        </is>
      </c>
      <c r="L247" s="20" t="inlineStr">
        <is>
          <t>Guthi Ravi Krishna</t>
        </is>
      </c>
      <c r="M247" s="23" t="n">
        <v>2966.1</v>
      </c>
      <c r="N247" s="23" t="n">
        <v>3500</v>
      </c>
      <c r="O247" s="24">
        <f>IF(AND(ISNUMBER(M247), ISNUMBER(I247), I247&gt;0), M247/I247, "")</f>
        <v/>
      </c>
    </row>
    <row r="248">
      <c r="A248" s="19" t="inlineStr">
        <is>
          <t>FY27</t>
        </is>
      </c>
      <c r="B248" s="19" t="inlineStr">
        <is>
          <t>May</t>
        </is>
      </c>
      <c r="C248" s="19" t="inlineStr">
        <is>
          <t>AP/TS</t>
        </is>
      </c>
      <c r="D248" s="20" t="inlineStr">
        <is>
          <t>AP39UK5283</t>
        </is>
      </c>
      <c r="E248" s="20" t="inlineStr">
        <is>
          <t>HYUNDAI</t>
        </is>
      </c>
      <c r="F248" s="20" t="inlineStr">
        <is>
          <t>Grand I10</t>
        </is>
      </c>
      <c r="G248" s="21" t="n">
        <v>2018</v>
      </c>
      <c r="H248" s="22" t="n">
        <v>129082</v>
      </c>
      <c r="I248" s="23" t="n">
        <v>228510</v>
      </c>
      <c r="J248" s="20" t="inlineStr">
        <is>
          <t>Tenali Srinivas</t>
        </is>
      </c>
      <c r="K248" s="20" t="inlineStr">
        <is>
          <t>Non-Captive</t>
        </is>
      </c>
      <c r="L248" s="20" t="inlineStr">
        <is>
          <t>Shaik Samdhani</t>
        </is>
      </c>
      <c r="M248" s="23" t="n">
        <v>2974.58</v>
      </c>
      <c r="N248" s="23" t="n">
        <v>3510</v>
      </c>
      <c r="O248" s="24">
        <f>IF(AND(ISNUMBER(M248), ISNUMBER(I248), I248&gt;0), M248/I248, "")</f>
        <v/>
      </c>
    </row>
    <row r="249">
      <c r="A249" s="19" t="inlineStr">
        <is>
          <t>FY27</t>
        </is>
      </c>
      <c r="B249" s="19" t="inlineStr">
        <is>
          <t>May</t>
        </is>
      </c>
      <c r="C249" s="19" t="inlineStr">
        <is>
          <t>AP/TS</t>
        </is>
      </c>
      <c r="D249" s="20" t="inlineStr">
        <is>
          <t>AP16DM5869</t>
        </is>
      </c>
      <c r="E249" s="20" t="inlineStr">
        <is>
          <t>HYUNDAI</t>
        </is>
      </c>
      <c r="F249" s="20" t="inlineStr">
        <is>
          <t>Grand I10</t>
        </is>
      </c>
      <c r="G249" s="21" t="n">
        <v>2016</v>
      </c>
      <c r="H249" s="22" t="n">
        <v>95021</v>
      </c>
      <c r="I249" s="23" t="n">
        <v>203000</v>
      </c>
      <c r="J249" s="20" t="inlineStr">
        <is>
          <t>Tenali Srinivas</t>
        </is>
      </c>
      <c r="K249" s="20" t="inlineStr">
        <is>
          <t>Non-Captive</t>
        </is>
      </c>
      <c r="L249" s="20" t="inlineStr">
        <is>
          <t>Chittibomma Srinivasa Rao</t>
        </is>
      </c>
      <c r="M249" s="23" t="n">
        <v>2542.37</v>
      </c>
      <c r="N249" s="23" t="n">
        <v>3000</v>
      </c>
      <c r="O249" s="24">
        <f>IF(AND(ISNUMBER(M249), ISNUMBER(I249), I249&gt;0), M249/I249, "")</f>
        <v/>
      </c>
    </row>
    <row r="250">
      <c r="A250" s="19" t="inlineStr">
        <is>
          <t>FY27</t>
        </is>
      </c>
      <c r="B250" s="19" t="inlineStr">
        <is>
          <t>May</t>
        </is>
      </c>
      <c r="C250" s="19" t="inlineStr">
        <is>
          <t>AP/TS</t>
        </is>
      </c>
      <c r="D250" s="20" t="inlineStr">
        <is>
          <t>AP39BX4151</t>
        </is>
      </c>
      <c r="E250" s="20" t="inlineStr">
        <is>
          <t>MARUTI SUZUKI</t>
        </is>
      </c>
      <c r="F250" s="20" t="inlineStr">
        <is>
          <t>Ignis</t>
        </is>
      </c>
      <c r="G250" s="21" t="n">
        <v>2019</v>
      </c>
      <c r="H250" s="22" t="n">
        <v>91141</v>
      </c>
      <c r="I250" s="23" t="n">
        <v>353000</v>
      </c>
      <c r="J250" s="20" t="inlineStr">
        <is>
          <t>Tenali Srinivas</t>
        </is>
      </c>
      <c r="K250" s="20" t="inlineStr">
        <is>
          <t>Non-Captive</t>
        </is>
      </c>
      <c r="L250" s="20" t="inlineStr">
        <is>
          <t>Chittibomma Srinivasa Rao</t>
        </is>
      </c>
      <c r="M250" s="23" t="n">
        <v>2542.37</v>
      </c>
      <c r="N250" s="23" t="n">
        <v>3000</v>
      </c>
      <c r="O250" s="24">
        <f>IF(AND(ISNUMBER(M250), ISNUMBER(I250), I250&gt;0), M250/I250, "")</f>
        <v/>
      </c>
    </row>
    <row r="251">
      <c r="A251" s="19" t="inlineStr">
        <is>
          <t>FY27</t>
        </is>
      </c>
      <c r="B251" s="19" t="inlineStr">
        <is>
          <t>May</t>
        </is>
      </c>
      <c r="C251" s="19" t="inlineStr">
        <is>
          <t>AP/TS</t>
        </is>
      </c>
      <c r="D251" s="20" t="inlineStr">
        <is>
          <t>AP27BY2399</t>
        </is>
      </c>
      <c r="E251" s="20" t="inlineStr">
        <is>
          <t>MARUTI SUZUKI</t>
        </is>
      </c>
      <c r="F251" s="20" t="inlineStr">
        <is>
          <t>Wagon R</t>
        </is>
      </c>
      <c r="G251" s="21" t="n">
        <v>2018</v>
      </c>
      <c r="H251" s="22" t="n">
        <v>137091</v>
      </c>
      <c r="I251" s="23" t="n">
        <v>283000</v>
      </c>
      <c r="J251" s="20" t="inlineStr">
        <is>
          <t>Tenali Srinivas</t>
        </is>
      </c>
      <c r="K251" s="20" t="inlineStr">
        <is>
          <t>Non-Captive</t>
        </is>
      </c>
      <c r="L251" s="20" t="inlineStr">
        <is>
          <t>Chittibomma Srinivasa Rao</t>
        </is>
      </c>
      <c r="M251" s="23" t="n">
        <v>2542.37</v>
      </c>
      <c r="N251" s="23" t="n">
        <v>3000</v>
      </c>
      <c r="O251" s="24">
        <f>IF(AND(ISNUMBER(M251), ISNUMBER(I251), I251&gt;0), M251/I251, "")</f>
        <v/>
      </c>
    </row>
    <row r="252">
      <c r="A252" s="19" t="inlineStr">
        <is>
          <t>FY27</t>
        </is>
      </c>
      <c r="B252" s="19" t="inlineStr">
        <is>
          <t>May</t>
        </is>
      </c>
      <c r="C252" s="19" t="inlineStr">
        <is>
          <t>AP/TS</t>
        </is>
      </c>
      <c r="D252" s="20" t="inlineStr">
        <is>
          <t>AP37DS1939</t>
        </is>
      </c>
      <c r="E252" s="20" t="inlineStr">
        <is>
          <t>MARUTI SUZUKI</t>
        </is>
      </c>
      <c r="F252" s="20" t="inlineStr">
        <is>
          <t>Celerio</t>
        </is>
      </c>
      <c r="G252" s="21" t="n">
        <v>2018</v>
      </c>
      <c r="H252" s="22" t="n">
        <v>145167</v>
      </c>
      <c r="I252" s="23" t="n">
        <v>253000</v>
      </c>
      <c r="J252" s="20" t="inlineStr">
        <is>
          <t>Tenali Srinivas</t>
        </is>
      </c>
      <c r="K252" s="20" t="inlineStr">
        <is>
          <t>Non-Captive</t>
        </is>
      </c>
      <c r="L252" s="20" t="inlineStr">
        <is>
          <t>Chittibomma Srinivasa Rao</t>
        </is>
      </c>
      <c r="M252" s="23" t="n">
        <v>2542.37</v>
      </c>
      <c r="N252" s="23" t="n">
        <v>3000</v>
      </c>
      <c r="O252" s="24">
        <f>IF(AND(ISNUMBER(M252), ISNUMBER(I252), I252&gt;0), M252/I252, "")</f>
        <v/>
      </c>
    </row>
    <row r="253">
      <c r="A253" s="19" t="inlineStr">
        <is>
          <t>FY27</t>
        </is>
      </c>
      <c r="B253" s="19" t="inlineStr">
        <is>
          <t>May</t>
        </is>
      </c>
      <c r="C253" s="19" t="inlineStr">
        <is>
          <t>AP/TS</t>
        </is>
      </c>
      <c r="D253" s="20" t="inlineStr">
        <is>
          <t>AP16DF3346</t>
        </is>
      </c>
      <c r="E253" s="20" t="inlineStr">
        <is>
          <t>HONDA</t>
        </is>
      </c>
      <c r="F253" s="20" t="inlineStr">
        <is>
          <t>City</t>
        </is>
      </c>
      <c r="G253" s="21" t="n">
        <v>2015</v>
      </c>
      <c r="H253" s="22" t="n">
        <v>184111</v>
      </c>
      <c r="I253" s="23" t="n">
        <v>303000</v>
      </c>
      <c r="J253" s="20" t="inlineStr">
        <is>
          <t>Tenali Srinivas</t>
        </is>
      </c>
      <c r="K253" s="20" t="inlineStr">
        <is>
          <t>Non-Captive</t>
        </is>
      </c>
      <c r="L253" s="20" t="inlineStr">
        <is>
          <t>Chittibomma Srinivasa Rao</t>
        </is>
      </c>
      <c r="M253" s="23" t="n">
        <v>2542.37</v>
      </c>
      <c r="N253" s="23" t="n">
        <v>3000</v>
      </c>
      <c r="O253" s="24">
        <f>IF(AND(ISNUMBER(M253), ISNUMBER(I253), I253&gt;0), M253/I253, "")</f>
        <v/>
      </c>
    </row>
    <row r="254">
      <c r="A254" s="19" t="inlineStr">
        <is>
          <t>FY27</t>
        </is>
      </c>
      <c r="B254" s="19" t="inlineStr">
        <is>
          <t>May</t>
        </is>
      </c>
      <c r="C254" s="19" t="inlineStr">
        <is>
          <t>AP/TS</t>
        </is>
      </c>
      <c r="D254" s="20" t="inlineStr">
        <is>
          <t>AP39QA1705</t>
        </is>
      </c>
      <c r="E254" s="20" t="inlineStr">
        <is>
          <t>MARUTI SUZUKI</t>
        </is>
      </c>
      <c r="F254" s="20" t="inlineStr">
        <is>
          <t>Alto</t>
        </is>
      </c>
      <c r="G254" s="21" t="n">
        <v>2022</v>
      </c>
      <c r="H254" s="22" t="n">
        <v>114659</v>
      </c>
      <c r="I254" s="23" t="n">
        <v>183000</v>
      </c>
      <c r="J254" s="20" t="inlineStr">
        <is>
          <t>Tenali Srinivas</t>
        </is>
      </c>
      <c r="K254" s="20" t="inlineStr">
        <is>
          <t>Non-Captive</t>
        </is>
      </c>
      <c r="L254" s="20" t="inlineStr">
        <is>
          <t>Chittibomma Srinivasa Rao</t>
        </is>
      </c>
      <c r="M254" s="23" t="n">
        <v>2542.37</v>
      </c>
      <c r="N254" s="23" t="n">
        <v>3000</v>
      </c>
      <c r="O254" s="24">
        <f>IF(AND(ISNUMBER(M254), ISNUMBER(I254), I254&gt;0), M254/I254, "")</f>
        <v/>
      </c>
    </row>
    <row r="255">
      <c r="A255" s="19" t="inlineStr">
        <is>
          <t>FY27</t>
        </is>
      </c>
      <c r="B255" s="19" t="inlineStr">
        <is>
          <t>May</t>
        </is>
      </c>
      <c r="C255" s="19" t="inlineStr">
        <is>
          <t>AP/TS</t>
        </is>
      </c>
      <c r="D255" s="20" t="inlineStr">
        <is>
          <t>AP21CJ1842</t>
        </is>
      </c>
      <c r="E255" s="20" t="inlineStr">
        <is>
          <t>MARUTI SUZUKI</t>
        </is>
      </c>
      <c r="F255" s="20" t="inlineStr">
        <is>
          <t>Ignis</t>
        </is>
      </c>
      <c r="G255" s="21" t="n">
        <v>2018</v>
      </c>
      <c r="H255" s="22" t="n">
        <v>133814</v>
      </c>
      <c r="I255" s="23" t="n">
        <v>303000</v>
      </c>
      <c r="J255" s="20" t="inlineStr">
        <is>
          <t>Tenali Srinivas</t>
        </is>
      </c>
      <c r="K255" s="20" t="inlineStr">
        <is>
          <t>Non-Captive</t>
        </is>
      </c>
      <c r="L255" s="20" t="inlineStr">
        <is>
          <t>Chittibomma Srinivasa Rao</t>
        </is>
      </c>
      <c r="M255" s="23" t="n">
        <v>2542.37</v>
      </c>
      <c r="N255" s="23" t="n">
        <v>3000</v>
      </c>
      <c r="O255" s="24">
        <f>IF(AND(ISNUMBER(M255), ISNUMBER(I255), I255&gt;0), M255/I255, "")</f>
        <v/>
      </c>
    </row>
    <row r="256">
      <c r="A256" s="19" t="inlineStr">
        <is>
          <t>FY27</t>
        </is>
      </c>
      <c r="B256" s="19" t="inlineStr">
        <is>
          <t>May</t>
        </is>
      </c>
      <c r="C256" s="19" t="inlineStr">
        <is>
          <t>AP/TS</t>
        </is>
      </c>
      <c r="D256" s="20" t="inlineStr">
        <is>
          <t>AP39RG6345</t>
        </is>
      </c>
      <c r="E256" s="20" t="inlineStr">
        <is>
          <t>MARUTI SUZUKI</t>
        </is>
      </c>
      <c r="F256" s="20" t="inlineStr">
        <is>
          <t>Ignis</t>
        </is>
      </c>
      <c r="G256" s="21" t="n">
        <v>2022</v>
      </c>
      <c r="H256" s="22" t="n">
        <v>91097</v>
      </c>
      <c r="I256" s="23" t="n">
        <v>243000</v>
      </c>
      <c r="J256" s="20" t="inlineStr">
        <is>
          <t>Tenali Srinivas</t>
        </is>
      </c>
      <c r="K256" s="20" t="inlineStr">
        <is>
          <t>Non-Captive</t>
        </is>
      </c>
      <c r="L256" s="20" t="inlineStr">
        <is>
          <t>Chittibomma Srinivasa Rao</t>
        </is>
      </c>
      <c r="M256" s="23" t="n">
        <v>2542.37</v>
      </c>
      <c r="N256" s="23" t="n">
        <v>3000</v>
      </c>
      <c r="O256" s="24">
        <f>IF(AND(ISNUMBER(M256), ISNUMBER(I256), I256&gt;0), M256/I256, "")</f>
        <v/>
      </c>
    </row>
    <row r="257">
      <c r="A257" s="19" t="inlineStr">
        <is>
          <t>FY27</t>
        </is>
      </c>
      <c r="B257" s="19" t="inlineStr">
        <is>
          <t>May</t>
        </is>
      </c>
      <c r="C257" s="19" t="inlineStr">
        <is>
          <t>AP/TS</t>
        </is>
      </c>
      <c r="D257" s="20" t="inlineStr">
        <is>
          <t>AP31BE8611</t>
        </is>
      </c>
      <c r="E257" s="20" t="inlineStr">
        <is>
          <t>MARUTI SUZUKI</t>
        </is>
      </c>
      <c r="F257" s="20" t="inlineStr">
        <is>
          <t>Alto</t>
        </is>
      </c>
      <c r="G257" s="21" t="n">
        <v>2010</v>
      </c>
      <c r="H257" s="22" t="n">
        <v>85274</v>
      </c>
      <c r="I257" s="23" t="n">
        <v>68000</v>
      </c>
      <c r="J257" s="20" t="inlineStr">
        <is>
          <t>Tenali Srinivas</t>
        </is>
      </c>
      <c r="K257" s="20" t="inlineStr">
        <is>
          <t>Non-Captive</t>
        </is>
      </c>
      <c r="L257" s="20" t="inlineStr">
        <is>
          <t>Kaki Dinesh Kumar</t>
        </is>
      </c>
      <c r="M257" s="23" t="n">
        <v>2542.37</v>
      </c>
      <c r="N257" s="23" t="n">
        <v>3000</v>
      </c>
      <c r="O257" s="24">
        <f>IF(AND(ISNUMBER(M257), ISNUMBER(I257), I257&gt;0), M257/I257, "")</f>
        <v/>
      </c>
    </row>
    <row r="258">
      <c r="A258" s="19" t="inlineStr">
        <is>
          <t>FY27</t>
        </is>
      </c>
      <c r="B258" s="19" t="inlineStr">
        <is>
          <t>May</t>
        </is>
      </c>
      <c r="C258" s="19" t="inlineStr">
        <is>
          <t>AP/TS</t>
        </is>
      </c>
      <c r="D258" s="20" t="inlineStr">
        <is>
          <t>AP31BH5456</t>
        </is>
      </c>
      <c r="E258" s="20" t="inlineStr">
        <is>
          <t>FORD</t>
        </is>
      </c>
      <c r="F258" s="20" t="inlineStr">
        <is>
          <t>Figo</t>
        </is>
      </c>
      <c r="G258" s="21" t="n">
        <v>2010</v>
      </c>
      <c r="H258" s="22" t="n">
        <v>225636</v>
      </c>
      <c r="I258" s="23" t="n">
        <v>43000</v>
      </c>
      <c r="J258" s="20" t="inlineStr">
        <is>
          <t>Tenali Srinivas</t>
        </is>
      </c>
      <c r="K258" s="20" t="inlineStr">
        <is>
          <t>Non-Captive</t>
        </is>
      </c>
      <c r="L258" s="20" t="inlineStr">
        <is>
          <t>Kaki Dinesh Kumar</t>
        </is>
      </c>
      <c r="M258" s="23" t="n">
        <v>2542.37</v>
      </c>
      <c r="N258" s="23" t="n">
        <v>3000</v>
      </c>
      <c r="O258" s="24">
        <f>IF(AND(ISNUMBER(M258), ISNUMBER(I258), I258&gt;0), M258/I258, "")</f>
        <v/>
      </c>
    </row>
    <row r="259">
      <c r="A259" s="19" t="inlineStr">
        <is>
          <t>FY27</t>
        </is>
      </c>
      <c r="B259" s="19" t="inlineStr">
        <is>
          <t>May</t>
        </is>
      </c>
      <c r="C259" s="19" t="inlineStr">
        <is>
          <t>AP/TS</t>
        </is>
      </c>
      <c r="D259" s="20" t="inlineStr">
        <is>
          <t>AP16AM4379</t>
        </is>
      </c>
      <c r="E259" s="20" t="inlineStr">
        <is>
          <t>HYUNDAI</t>
        </is>
      </c>
      <c r="F259" s="20" t="inlineStr">
        <is>
          <t>Santro</t>
        </is>
      </c>
      <c r="G259" s="21" t="n">
        <v>2004</v>
      </c>
      <c r="H259" s="22" t="n">
        <v>126512</v>
      </c>
      <c r="I259" s="23" t="n">
        <v>38000</v>
      </c>
      <c r="J259" s="20" t="inlineStr">
        <is>
          <t>Tenali Srinivas</t>
        </is>
      </c>
      <c r="K259" s="20" t="inlineStr">
        <is>
          <t>Non-Captive</t>
        </is>
      </c>
      <c r="L259" s="20" t="inlineStr">
        <is>
          <t>Kaki Dinesh Kumar</t>
        </is>
      </c>
      <c r="M259" s="23" t="n">
        <v>2542.37</v>
      </c>
      <c r="N259" s="23" t="n">
        <v>3000</v>
      </c>
      <c r="O259" s="24">
        <f>IF(AND(ISNUMBER(M259), ISNUMBER(I259), I259&gt;0), M259/I259, "")</f>
        <v/>
      </c>
    </row>
    <row r="260">
      <c r="A260" s="19" t="inlineStr">
        <is>
          <t>FY27</t>
        </is>
      </c>
      <c r="B260" s="19" t="inlineStr">
        <is>
          <t>May</t>
        </is>
      </c>
      <c r="C260" s="19" t="inlineStr">
        <is>
          <t>AP/TS</t>
        </is>
      </c>
      <c r="D260" s="20" t="inlineStr">
        <is>
          <t>AP33B9489</t>
        </is>
      </c>
      <c r="E260" s="20" t="inlineStr">
        <is>
          <t>MARUTI SUZUKI</t>
        </is>
      </c>
      <c r="F260" s="20" t="inlineStr">
        <is>
          <t>Alto</t>
        </is>
      </c>
      <c r="G260" s="21" t="n">
        <v>2008</v>
      </c>
      <c r="H260" s="22" t="n">
        <v>116953</v>
      </c>
      <c r="I260" s="23" t="n">
        <v>43000</v>
      </c>
      <c r="J260" s="20" t="inlineStr">
        <is>
          <t>Tenali Srinivas</t>
        </is>
      </c>
      <c r="K260" s="20" t="inlineStr">
        <is>
          <t>Non-Captive</t>
        </is>
      </c>
      <c r="L260" s="20" t="inlineStr">
        <is>
          <t>Kaki Dinesh Kumar</t>
        </is>
      </c>
      <c r="M260" s="23" t="n">
        <v>2542.37</v>
      </c>
      <c r="N260" s="23" t="n">
        <v>3000</v>
      </c>
      <c r="O260" s="24">
        <f>IF(AND(ISNUMBER(M260), ISNUMBER(I260), I260&gt;0), M260/I260, "")</f>
        <v/>
      </c>
    </row>
    <row r="261">
      <c r="A261" s="19" t="inlineStr">
        <is>
          <t>FY27</t>
        </is>
      </c>
      <c r="B261" s="19" t="inlineStr">
        <is>
          <t>May</t>
        </is>
      </c>
      <c r="C261" s="19" t="inlineStr">
        <is>
          <t>AP/TS</t>
        </is>
      </c>
      <c r="D261" s="20" t="inlineStr">
        <is>
          <t>AP23L6536</t>
        </is>
      </c>
      <c r="E261" s="20" t="inlineStr">
        <is>
          <t>HONDA</t>
        </is>
      </c>
      <c r="F261" s="20" t="inlineStr">
        <is>
          <t>City</t>
        </is>
      </c>
      <c r="G261" s="21" t="n">
        <v>2007</v>
      </c>
      <c r="H261" s="22" t="n">
        <v>159174</v>
      </c>
      <c r="I261" s="23" t="n">
        <v>68000</v>
      </c>
      <c r="J261" s="20" t="inlineStr">
        <is>
          <t>Tenali Srinivas</t>
        </is>
      </c>
      <c r="K261" s="20" t="inlineStr">
        <is>
          <t>Non-Captive</t>
        </is>
      </c>
      <c r="L261" s="20" t="inlineStr">
        <is>
          <t>Kaki Dinesh Kumar</t>
        </is>
      </c>
      <c r="M261" s="23" t="n">
        <v>2542.37</v>
      </c>
      <c r="N261" s="23" t="n">
        <v>3000</v>
      </c>
      <c r="O261" s="24">
        <f>IF(AND(ISNUMBER(M261), ISNUMBER(I261), I261&gt;0), M261/I261, "")</f>
        <v/>
      </c>
    </row>
    <row r="262">
      <c r="A262" s="19" t="inlineStr">
        <is>
          <t>FY27</t>
        </is>
      </c>
      <c r="B262" s="19" t="inlineStr">
        <is>
          <t>May</t>
        </is>
      </c>
      <c r="C262" s="19" t="inlineStr">
        <is>
          <t>AP/TS</t>
        </is>
      </c>
      <c r="D262" s="20" t="inlineStr">
        <is>
          <t>AP09CV5073</t>
        </is>
      </c>
      <c r="E262" s="20" t="inlineStr">
        <is>
          <t>MARUTI SUZUKI</t>
        </is>
      </c>
      <c r="F262" s="20" t="inlineStr">
        <is>
          <t>Swift Dzire</t>
        </is>
      </c>
      <c r="G262" s="21" t="n">
        <v>2014</v>
      </c>
      <c r="H262" s="22" t="n">
        <v>195262</v>
      </c>
      <c r="I262" s="23" t="n">
        <v>183000</v>
      </c>
      <c r="J262" s="20" t="inlineStr">
        <is>
          <t>Puneet Gupta</t>
        </is>
      </c>
      <c r="K262" s="20" t="inlineStr">
        <is>
          <t>Non-Captive</t>
        </is>
      </c>
      <c r="L262" s="20" t="inlineStr">
        <is>
          <t>4Wheelz</t>
        </is>
      </c>
      <c r="M262" s="23" t="n">
        <v>2542.37</v>
      </c>
      <c r="N262" s="23" t="n">
        <v>3000</v>
      </c>
      <c r="O262" s="24">
        <f>IF(AND(ISNUMBER(M262), ISNUMBER(I262), I262&gt;0), M262/I262, "")</f>
        <v/>
      </c>
    </row>
    <row r="263">
      <c r="A263" s="19" t="inlineStr">
        <is>
          <t>FY27</t>
        </is>
      </c>
      <c r="B263" s="19" t="inlineStr">
        <is>
          <t>May</t>
        </is>
      </c>
      <c r="C263" s="19" t="inlineStr">
        <is>
          <t>AP/TS</t>
        </is>
      </c>
      <c r="D263" s="20" t="inlineStr">
        <is>
          <t>AP09CR1899</t>
        </is>
      </c>
      <c r="E263" s="20" t="inlineStr">
        <is>
          <t>TATA</t>
        </is>
      </c>
      <c r="F263" s="20" t="inlineStr">
        <is>
          <t>Safari</t>
        </is>
      </c>
      <c r="G263" s="21" t="n">
        <v>2012</v>
      </c>
      <c r="H263" s="22" t="n">
        <v>220109</v>
      </c>
      <c r="I263" s="23" t="n">
        <v>223000</v>
      </c>
      <c r="J263" s="20" t="inlineStr">
        <is>
          <t>Puneet Gupta</t>
        </is>
      </c>
      <c r="K263" s="20" t="inlineStr">
        <is>
          <t>Non-Captive</t>
        </is>
      </c>
      <c r="L263" s="20" t="inlineStr">
        <is>
          <t>4Wheelz</t>
        </is>
      </c>
      <c r="M263" s="23" t="n">
        <v>2542.37</v>
      </c>
      <c r="N263" s="23" t="n">
        <v>3000</v>
      </c>
      <c r="O263" s="24">
        <f>IF(AND(ISNUMBER(M263), ISNUMBER(I263), I263&gt;0), M263/I263, "")</f>
        <v/>
      </c>
    </row>
    <row r="264">
      <c r="A264" s="19" t="inlineStr">
        <is>
          <t>FY27</t>
        </is>
      </c>
      <c r="B264" s="19" t="inlineStr">
        <is>
          <t>May</t>
        </is>
      </c>
      <c r="C264" s="19" t="inlineStr">
        <is>
          <t>AP/TS</t>
        </is>
      </c>
      <c r="D264" s="20" t="inlineStr">
        <is>
          <t>AP09CS6291</t>
        </is>
      </c>
      <c r="E264" s="20" t="inlineStr">
        <is>
          <t>MARUTI SUZUKI</t>
        </is>
      </c>
      <c r="F264" s="20" t="inlineStr">
        <is>
          <t>Swift Dzire</t>
        </is>
      </c>
      <c r="G264" s="21" t="n">
        <v>2013</v>
      </c>
      <c r="H264" s="22" t="n">
        <v>159000</v>
      </c>
      <c r="I264" s="23" t="n">
        <v>163000</v>
      </c>
      <c r="J264" s="20" t="inlineStr">
        <is>
          <t>Puneet Gupta</t>
        </is>
      </c>
      <c r="K264" s="20" t="inlineStr">
        <is>
          <t>Non-Captive</t>
        </is>
      </c>
      <c r="L264" s="20" t="inlineStr">
        <is>
          <t>4Wheelz</t>
        </is>
      </c>
      <c r="M264" s="23" t="n">
        <v>2542.37</v>
      </c>
      <c r="N264" s="23" t="n">
        <v>3000</v>
      </c>
      <c r="O264" s="24">
        <f>IF(AND(ISNUMBER(M264), ISNUMBER(I264), I264&gt;0), M264/I264, "")</f>
        <v/>
      </c>
    </row>
    <row r="265">
      <c r="A265" s="19" t="inlineStr">
        <is>
          <t>FY27</t>
        </is>
      </c>
      <c r="B265" s="19" t="inlineStr">
        <is>
          <t>May</t>
        </is>
      </c>
      <c r="C265" s="19" t="inlineStr">
        <is>
          <t>AP/TS</t>
        </is>
      </c>
      <c r="D265" s="20" t="inlineStr">
        <is>
          <t>TS08EX2868</t>
        </is>
      </c>
      <c r="E265" s="20" t="inlineStr">
        <is>
          <t>MARUTI SUZUKI</t>
        </is>
      </c>
      <c r="F265" s="20" t="inlineStr">
        <is>
          <t>Wagon R</t>
        </is>
      </c>
      <c r="G265" s="21" t="n">
        <v>2016</v>
      </c>
      <c r="H265" s="22" t="n">
        <v>85521</v>
      </c>
      <c r="I265" s="23" t="n">
        <v>223000</v>
      </c>
      <c r="J265" s="20" t="inlineStr">
        <is>
          <t>Puneet Gupta</t>
        </is>
      </c>
      <c r="K265" s="20" t="inlineStr">
        <is>
          <t>Non-Captive</t>
        </is>
      </c>
      <c r="L265" s="20" t="inlineStr">
        <is>
          <t>4Wheelz</t>
        </is>
      </c>
      <c r="M265" s="23" t="n">
        <v>2542.37</v>
      </c>
      <c r="N265" s="23" t="n">
        <v>3000</v>
      </c>
      <c r="O265" s="24">
        <f>IF(AND(ISNUMBER(M265), ISNUMBER(I265), I265&gt;0), M265/I265, "")</f>
        <v/>
      </c>
    </row>
    <row r="266">
      <c r="A266" s="19" t="inlineStr">
        <is>
          <t>FY27</t>
        </is>
      </c>
      <c r="B266" s="19" t="inlineStr">
        <is>
          <t>May</t>
        </is>
      </c>
      <c r="C266" s="19" t="inlineStr">
        <is>
          <t>AP/TS</t>
        </is>
      </c>
      <c r="D266" s="20" t="inlineStr">
        <is>
          <t>TS09ET9944</t>
        </is>
      </c>
      <c r="E266" s="20" t="inlineStr">
        <is>
          <t>TATA</t>
        </is>
      </c>
      <c r="F266" s="20" t="inlineStr">
        <is>
          <t>Tiago</t>
        </is>
      </c>
      <c r="G266" s="21" t="n">
        <v>2017</v>
      </c>
      <c r="H266" s="22" t="n">
        <v>95152</v>
      </c>
      <c r="I266" s="23" t="n">
        <v>284000</v>
      </c>
      <c r="J266" s="20" t="inlineStr">
        <is>
          <t>Puneet Gupta</t>
        </is>
      </c>
      <c r="K266" s="20" t="inlineStr">
        <is>
          <t>Non-Captive</t>
        </is>
      </c>
      <c r="L266" s="20" t="inlineStr">
        <is>
          <t>4Wheelz</t>
        </is>
      </c>
      <c r="M266" s="23" t="n">
        <v>3389.83</v>
      </c>
      <c r="N266" s="23" t="n">
        <v>4000</v>
      </c>
      <c r="O266" s="24">
        <f>IF(AND(ISNUMBER(M266), ISNUMBER(I266), I266&gt;0), M266/I266, "")</f>
        <v/>
      </c>
    </row>
    <row r="267">
      <c r="A267" s="19" t="inlineStr">
        <is>
          <t>FY27</t>
        </is>
      </c>
      <c r="B267" s="19" t="inlineStr">
        <is>
          <t>May</t>
        </is>
      </c>
      <c r="C267" s="19" t="inlineStr">
        <is>
          <t>AP/TS</t>
        </is>
      </c>
      <c r="D267" s="20" t="inlineStr">
        <is>
          <t>TS08EV7411</t>
        </is>
      </c>
      <c r="E267" s="20" t="inlineStr">
        <is>
          <t>MARUTI SUZUKI</t>
        </is>
      </c>
      <c r="F267" s="20" t="inlineStr">
        <is>
          <t>Celerio</t>
        </is>
      </c>
      <c r="G267" s="21" t="n">
        <v>2016</v>
      </c>
      <c r="H267" s="22" t="n">
        <v>95290</v>
      </c>
      <c r="I267" s="23" t="n">
        <v>254000</v>
      </c>
      <c r="J267" s="20" t="inlineStr">
        <is>
          <t>Puneet Gupta</t>
        </is>
      </c>
      <c r="K267" s="20" t="inlineStr">
        <is>
          <t>Non-Captive</t>
        </is>
      </c>
      <c r="L267" s="20" t="inlineStr">
        <is>
          <t>4Wheelz</t>
        </is>
      </c>
      <c r="M267" s="23" t="n">
        <v>3389.83</v>
      </c>
      <c r="N267" s="23" t="n">
        <v>4000</v>
      </c>
      <c r="O267" s="24">
        <f>IF(AND(ISNUMBER(M267), ISNUMBER(I267), I267&gt;0), M267/I267, "")</f>
        <v/>
      </c>
    </row>
    <row r="268">
      <c r="A268" s="19" t="inlineStr">
        <is>
          <t>FY26</t>
        </is>
      </c>
      <c r="B268" s="19" t="inlineStr">
        <is>
          <t>Jan</t>
        </is>
      </c>
      <c r="C268" s="19" t="inlineStr">
        <is>
          <t>TN</t>
        </is>
      </c>
      <c r="D268" s="20" t="inlineStr">
        <is>
          <t>TN09BP8384</t>
        </is>
      </c>
      <c r="E268" s="20" t="inlineStr">
        <is>
          <t>HYUNDAI</t>
        </is>
      </c>
      <c r="F268" s="20" t="inlineStr">
        <is>
          <t>Eon</t>
        </is>
      </c>
      <c r="G268" s="21" t="n">
        <v>2012</v>
      </c>
      <c r="H268" s="22" t="n">
        <v>29851</v>
      </c>
      <c r="I268" s="23" t="n">
        <v>103000</v>
      </c>
      <c r="J268" s="20" t="inlineStr">
        <is>
          <t>Khivraj Motor</t>
        </is>
      </c>
      <c r="K268" s="20" t="inlineStr">
        <is>
          <t>Non-Captive</t>
        </is>
      </c>
      <c r="L268" s="20" t="inlineStr">
        <is>
          <t>Jayaram Cars</t>
        </is>
      </c>
      <c r="M268" s="23" t="n">
        <v>5084.75</v>
      </c>
      <c r="N268" s="23" t="n">
        <v>6000</v>
      </c>
      <c r="O268" s="24">
        <f>IF(AND(ISNUMBER(M268), ISNUMBER(I268), I268&gt;0), M268/I268, "")</f>
        <v/>
      </c>
    </row>
    <row r="269">
      <c r="A269" s="19" t="inlineStr">
        <is>
          <t>FY26</t>
        </is>
      </c>
      <c r="B269" s="19" t="inlineStr">
        <is>
          <t>Jan</t>
        </is>
      </c>
      <c r="C269" s="19" t="inlineStr">
        <is>
          <t>TN</t>
        </is>
      </c>
      <c r="D269" s="20" t="inlineStr">
        <is>
          <t>TN07BU9564</t>
        </is>
      </c>
      <c r="E269" s="20" t="inlineStr">
        <is>
          <t>HONDA</t>
        </is>
      </c>
      <c r="F269" s="20" t="inlineStr">
        <is>
          <t>City</t>
        </is>
      </c>
      <c r="G269" s="21" t="n">
        <v>2013</v>
      </c>
      <c r="H269" s="22" t="n">
        <v>101503</v>
      </c>
      <c r="I269" s="23" t="n">
        <v>320000</v>
      </c>
      <c r="J269" s="20" t="inlineStr">
        <is>
          <t>Khivraj Motor</t>
        </is>
      </c>
      <c r="K269" s="20" t="inlineStr">
        <is>
          <t>Non-Captive</t>
        </is>
      </c>
      <c r="L269" s="20" t="inlineStr">
        <is>
          <t>33 Cars</t>
        </is>
      </c>
      <c r="M269" s="23" t="n">
        <v>5084.75</v>
      </c>
      <c r="N269" s="23" t="n">
        <v>6000</v>
      </c>
      <c r="O269" s="24">
        <f>IF(AND(ISNUMBER(M269), ISNUMBER(I269), I269&gt;0), M269/I269, "")</f>
        <v/>
      </c>
    </row>
    <row r="270">
      <c r="A270" s="19" t="inlineStr">
        <is>
          <t>FY26</t>
        </is>
      </c>
      <c r="B270" s="19" t="inlineStr">
        <is>
          <t>Jan</t>
        </is>
      </c>
      <c r="C270" s="19" t="inlineStr">
        <is>
          <t>TN</t>
        </is>
      </c>
      <c r="D270" s="20" t="inlineStr">
        <is>
          <t>TN06AA3072</t>
        </is>
      </c>
      <c r="E270" s="20" t="inlineStr">
        <is>
          <t>MARUTI SUZUKI</t>
        </is>
      </c>
      <c r="F270" s="20" t="inlineStr">
        <is>
          <t>Alto</t>
        </is>
      </c>
      <c r="G270" s="21" t="n">
        <v>2012</v>
      </c>
      <c r="H270" s="22" t="n">
        <v>89752</v>
      </c>
      <c r="I270" s="23" t="n">
        <v>245000</v>
      </c>
      <c r="J270" s="20" t="inlineStr">
        <is>
          <t>Khivraj Motor</t>
        </is>
      </c>
      <c r="K270" s="20" t="inlineStr">
        <is>
          <t>Non-Captive</t>
        </is>
      </c>
      <c r="L270" s="20" t="inlineStr">
        <is>
          <t>Gugha Cars</t>
        </is>
      </c>
      <c r="M270" s="23" t="n">
        <v>5000</v>
      </c>
      <c r="N270" s="23" t="n">
        <v>5900</v>
      </c>
      <c r="O270" s="24">
        <f>IF(AND(ISNUMBER(M270), ISNUMBER(I270), I270&gt;0), M270/I270, "")</f>
        <v/>
      </c>
    </row>
    <row r="271">
      <c r="A271" s="19" t="inlineStr">
        <is>
          <t>FY26</t>
        </is>
      </c>
      <c r="B271" s="19" t="inlineStr">
        <is>
          <t>Jan</t>
        </is>
      </c>
      <c r="C271" s="19" t="inlineStr">
        <is>
          <t>TN</t>
        </is>
      </c>
      <c r="D271" s="20" t="inlineStr">
        <is>
          <t>TN04AU0466</t>
        </is>
      </c>
      <c r="E271" s="20" t="inlineStr">
        <is>
          <t>MARUTI SUZUKI</t>
        </is>
      </c>
      <c r="F271" s="20" t="inlineStr">
        <is>
          <t>Baleno</t>
        </is>
      </c>
      <c r="G271" s="21" t="n">
        <v>2018</v>
      </c>
      <c r="H271" s="22" t="n">
        <v>32589</v>
      </c>
      <c r="I271" s="23" t="n">
        <v>340000</v>
      </c>
      <c r="J271" s="20" t="inlineStr">
        <is>
          <t>Khivraj Motor</t>
        </is>
      </c>
      <c r="K271" s="20" t="inlineStr">
        <is>
          <t>Non-Captive</t>
        </is>
      </c>
      <c r="L271" s="20" t="inlineStr">
        <is>
          <t>AAA Cars</t>
        </is>
      </c>
      <c r="M271" s="23" t="n">
        <v>5084.75</v>
      </c>
      <c r="N271" s="23" t="n">
        <v>6000</v>
      </c>
      <c r="O271" s="24">
        <f>IF(AND(ISNUMBER(M271), ISNUMBER(I271), I271&gt;0), M271/I271, "")</f>
        <v/>
      </c>
    </row>
    <row r="272">
      <c r="A272" s="19" t="inlineStr">
        <is>
          <t>FY26</t>
        </is>
      </c>
      <c r="B272" s="19" t="inlineStr">
        <is>
          <t>Jan</t>
        </is>
      </c>
      <c r="C272" s="19" t="inlineStr">
        <is>
          <t>TN</t>
        </is>
      </c>
      <c r="D272" s="20" t="inlineStr">
        <is>
          <t>TN10AR3044</t>
        </is>
      </c>
      <c r="E272" s="20" t="inlineStr">
        <is>
          <t>HONDA</t>
        </is>
      </c>
      <c r="F272" s="20" t="inlineStr">
        <is>
          <t>Mobilio</t>
        </is>
      </c>
      <c r="G272" s="21" t="n">
        <v>2014</v>
      </c>
      <c r="H272" s="22" t="n">
        <v>104264</v>
      </c>
      <c r="I272" s="23" t="n">
        <v>300000</v>
      </c>
      <c r="J272" s="20" t="inlineStr">
        <is>
          <t>EXCHANGE CHENNAI</t>
        </is>
      </c>
      <c r="K272" s="20" t="inlineStr">
        <is>
          <t>Captive</t>
        </is>
      </c>
      <c r="L272" s="20" t="inlineStr">
        <is>
          <t>Santhosh Cars</t>
        </is>
      </c>
      <c r="M272" s="23" t="n">
        <v>8474.58</v>
      </c>
      <c r="N272" s="23" t="n">
        <v>10000</v>
      </c>
      <c r="O272" s="24">
        <f>IF(AND(ISNUMBER(M272), ISNUMBER(I272), I272&gt;0), M272/I272, "")</f>
        <v/>
      </c>
    </row>
    <row r="273">
      <c r="A273" s="19" t="inlineStr">
        <is>
          <t>FY26</t>
        </is>
      </c>
      <c r="B273" s="19" t="inlineStr">
        <is>
          <t>Jan</t>
        </is>
      </c>
      <c r="C273" s="19" t="inlineStr">
        <is>
          <t>TN</t>
        </is>
      </c>
      <c r="D273" s="20" t="inlineStr">
        <is>
          <t>TN02AY4753</t>
        </is>
      </c>
      <c r="E273" s="20" t="inlineStr">
        <is>
          <t>VOLKSWAGEN</t>
        </is>
      </c>
      <c r="F273" s="20" t="inlineStr">
        <is>
          <t>Vento</t>
        </is>
      </c>
      <c r="G273" s="21" t="n">
        <v>2013</v>
      </c>
      <c r="H273" s="22" t="n">
        <v>128005</v>
      </c>
      <c r="I273" s="23" t="n">
        <v>285000</v>
      </c>
      <c r="J273" s="20" t="inlineStr">
        <is>
          <t>EXCHANGE CHENNAI</t>
        </is>
      </c>
      <c r="K273" s="20" t="inlineStr">
        <is>
          <t>Captive</t>
        </is>
      </c>
      <c r="L273" s="20" t="inlineStr">
        <is>
          <t>Gugha Cars</t>
        </is>
      </c>
      <c r="M273" s="23" t="n">
        <v>4237.29</v>
      </c>
      <c r="N273" s="23" t="n">
        <v>5000</v>
      </c>
      <c r="O273" s="24">
        <f>IF(AND(ISNUMBER(M273), ISNUMBER(I273), I273&gt;0), M273/I273, "")</f>
        <v/>
      </c>
    </row>
    <row r="274">
      <c r="A274" s="19" t="inlineStr">
        <is>
          <t>FY26</t>
        </is>
      </c>
      <c r="B274" s="19" t="inlineStr">
        <is>
          <t>Jan</t>
        </is>
      </c>
      <c r="C274" s="19" t="inlineStr">
        <is>
          <t>TN</t>
        </is>
      </c>
      <c r="D274" s="20" t="inlineStr">
        <is>
          <t>TN09CD9171</t>
        </is>
      </c>
      <c r="E274" s="20" t="inlineStr">
        <is>
          <t>MARUTI SUZUKI</t>
        </is>
      </c>
      <c r="F274" s="20" t="inlineStr">
        <is>
          <t>Baleno</t>
        </is>
      </c>
      <c r="G274" s="21" t="n">
        <v>2016</v>
      </c>
      <c r="H274" s="22" t="n">
        <v>46578</v>
      </c>
      <c r="I274" s="23" t="n">
        <v>420000</v>
      </c>
      <c r="J274" s="20" t="inlineStr">
        <is>
          <t>Khivraj Motor</t>
        </is>
      </c>
      <c r="K274" s="20" t="inlineStr">
        <is>
          <t>Non-Captive</t>
        </is>
      </c>
      <c r="L274" s="20" t="inlineStr">
        <is>
          <t>Chaaran Cars</t>
        </is>
      </c>
      <c r="M274" s="23" t="n">
        <v>5932.2</v>
      </c>
      <c r="N274" s="23" t="n">
        <v>7000</v>
      </c>
      <c r="O274" s="24">
        <f>IF(AND(ISNUMBER(M274), ISNUMBER(I274), I274&gt;0), M274/I274, "")</f>
        <v/>
      </c>
    </row>
    <row r="275">
      <c r="A275" s="19" t="inlineStr">
        <is>
          <t>FY26</t>
        </is>
      </c>
      <c r="B275" s="19" t="inlineStr">
        <is>
          <t>Jan</t>
        </is>
      </c>
      <c r="C275" s="19" t="inlineStr">
        <is>
          <t>TN</t>
        </is>
      </c>
      <c r="D275" s="20" t="inlineStr">
        <is>
          <t>TN05CD1317</t>
        </is>
      </c>
      <c r="E275" s="20" t="inlineStr">
        <is>
          <t>MARUTI SUZUKI</t>
        </is>
      </c>
      <c r="F275" s="20" t="inlineStr">
        <is>
          <t>Baleno</t>
        </is>
      </c>
      <c r="G275" s="21" t="n">
        <v>2021</v>
      </c>
      <c r="H275" s="22" t="n">
        <v>86576</v>
      </c>
      <c r="I275" s="23" t="n">
        <v>470000</v>
      </c>
      <c r="J275" s="20" t="inlineStr">
        <is>
          <t>Khivraj Motor</t>
        </is>
      </c>
      <c r="K275" s="20" t="inlineStr">
        <is>
          <t>Non-Captive</t>
        </is>
      </c>
      <c r="L275" s="20" t="inlineStr">
        <is>
          <t>AAA Cars</t>
        </is>
      </c>
      <c r="M275" s="23" t="n">
        <v>8474.58</v>
      </c>
      <c r="N275" s="23" t="n">
        <v>10000</v>
      </c>
      <c r="O275" s="24">
        <f>IF(AND(ISNUMBER(M275), ISNUMBER(I275), I275&gt;0), M275/I275, "")</f>
        <v/>
      </c>
    </row>
    <row r="276">
      <c r="A276" s="19" t="inlineStr">
        <is>
          <t>FY26</t>
        </is>
      </c>
      <c r="B276" s="19" t="inlineStr">
        <is>
          <t>Jan</t>
        </is>
      </c>
      <c r="C276" s="19" t="inlineStr">
        <is>
          <t>TN</t>
        </is>
      </c>
      <c r="D276" s="20" t="inlineStr">
        <is>
          <t>TN11AL2542</t>
        </is>
      </c>
      <c r="E276" s="20" t="inlineStr">
        <is>
          <t>MARUTI SUZUKI</t>
        </is>
      </c>
      <c r="F276" s="20" t="inlineStr">
        <is>
          <t>Alto</t>
        </is>
      </c>
      <c r="G276" s="21" t="n">
        <v>2019</v>
      </c>
      <c r="H276" s="22" t="n">
        <v>84652</v>
      </c>
      <c r="I276" s="23" t="n">
        <v>200000</v>
      </c>
      <c r="J276" s="20" t="inlineStr">
        <is>
          <t>VISHNU CARS PRIVATE LIMITED</t>
        </is>
      </c>
      <c r="K276" s="20" t="inlineStr">
        <is>
          <t>Non-Captive</t>
        </is>
      </c>
      <c r="L276" s="20" t="inlineStr">
        <is>
          <t>Chaaran Cars</t>
        </is>
      </c>
      <c r="M276" s="23" t="n">
        <v>4237.29</v>
      </c>
      <c r="N276" s="23" t="n">
        <v>5000</v>
      </c>
      <c r="O276" s="24">
        <f>IF(AND(ISNUMBER(M276), ISNUMBER(I276), I276&gt;0), M276/I276, "")</f>
        <v/>
      </c>
    </row>
    <row r="277">
      <c r="A277" s="19" t="inlineStr">
        <is>
          <t>FY26</t>
        </is>
      </c>
      <c r="B277" s="19" t="inlineStr">
        <is>
          <t>Jan</t>
        </is>
      </c>
      <c r="C277" s="19" t="inlineStr">
        <is>
          <t>TN</t>
        </is>
      </c>
      <c r="D277" s="20" t="inlineStr">
        <is>
          <t>TN11AS8101</t>
        </is>
      </c>
      <c r="E277" s="20" t="inlineStr">
        <is>
          <t>MARUTI SUZUKI</t>
        </is>
      </c>
      <c r="F277" s="20" t="inlineStr">
        <is>
          <t>S-Presso</t>
        </is>
      </c>
      <c r="G277" s="21" t="n">
        <v>2020</v>
      </c>
      <c r="H277" s="22" t="n">
        <v>40590</v>
      </c>
      <c r="I277" s="23" t="n">
        <v>275000</v>
      </c>
      <c r="J277" s="20" t="inlineStr">
        <is>
          <t>VISHNU CARS PRIVATE LIMITED</t>
        </is>
      </c>
      <c r="K277" s="20" t="inlineStr">
        <is>
          <t>Non-Captive</t>
        </is>
      </c>
      <c r="L277" s="20" t="inlineStr">
        <is>
          <t>AAA Cars</t>
        </is>
      </c>
      <c r="M277" s="23" t="n">
        <v>4237.29</v>
      </c>
      <c r="N277" s="23" t="n">
        <v>5000</v>
      </c>
      <c r="O277" s="24">
        <f>IF(AND(ISNUMBER(M277), ISNUMBER(I277), I277&gt;0), M277/I277, "")</f>
        <v/>
      </c>
    </row>
    <row r="278">
      <c r="A278" s="19" t="inlineStr">
        <is>
          <t>FY26</t>
        </is>
      </c>
      <c r="B278" s="19" t="inlineStr">
        <is>
          <t>Jan</t>
        </is>
      </c>
      <c r="C278" s="19" t="inlineStr">
        <is>
          <t>TN</t>
        </is>
      </c>
      <c r="D278" s="20" t="inlineStr">
        <is>
          <t>TN01BK8256</t>
        </is>
      </c>
      <c r="E278" s="20" t="inlineStr">
        <is>
          <t>VOLKSWAGEN</t>
        </is>
      </c>
      <c r="F278" s="20" t="inlineStr">
        <is>
          <t>Polo</t>
        </is>
      </c>
      <c r="G278" s="21" t="n">
        <v>2020</v>
      </c>
      <c r="H278" s="22" t="n">
        <v>35550</v>
      </c>
      <c r="I278" s="23" t="n">
        <v>430000</v>
      </c>
      <c r="J278" s="20" t="inlineStr">
        <is>
          <t>EPIC Toyota</t>
        </is>
      </c>
      <c r="K278" s="20" t="inlineStr">
        <is>
          <t>Non-Captive</t>
        </is>
      </c>
      <c r="L278" s="20" t="inlineStr">
        <is>
          <t>AAA Cars</t>
        </is>
      </c>
      <c r="M278" s="23" t="n">
        <v>4237.29</v>
      </c>
      <c r="N278" s="23" t="n">
        <v>5000</v>
      </c>
      <c r="O278" s="24">
        <f>IF(AND(ISNUMBER(M278), ISNUMBER(I278), I278&gt;0), M278/I278, "")</f>
        <v/>
      </c>
    </row>
    <row r="279">
      <c r="A279" s="19" t="inlineStr">
        <is>
          <t>FY26</t>
        </is>
      </c>
      <c r="B279" s="19" t="inlineStr">
        <is>
          <t>Jan</t>
        </is>
      </c>
      <c r="C279" s="19" t="inlineStr">
        <is>
          <t>TN</t>
        </is>
      </c>
      <c r="D279" s="20" t="inlineStr">
        <is>
          <t>TN04AR0913</t>
        </is>
      </c>
      <c r="E279" s="20" t="inlineStr">
        <is>
          <t>HONDA</t>
        </is>
      </c>
      <c r="F279" s="20" t="inlineStr">
        <is>
          <t>Jazz</t>
        </is>
      </c>
      <c r="G279" s="21" t="n">
        <v>2015</v>
      </c>
      <c r="H279" s="22" t="n">
        <v>107462</v>
      </c>
      <c r="I279" s="23" t="n">
        <v>235000</v>
      </c>
      <c r="J279" s="20" t="inlineStr">
        <is>
          <t>Lansaon cmbt</t>
        </is>
      </c>
      <c r="K279" s="20" t="inlineStr">
        <is>
          <t>Non-Captive</t>
        </is>
      </c>
      <c r="L279" s="20" t="inlineStr">
        <is>
          <t>AAA Cars</t>
        </is>
      </c>
      <c r="M279" s="23" t="n">
        <v>4237.29</v>
      </c>
      <c r="N279" s="23" t="n">
        <v>5000</v>
      </c>
      <c r="O279" s="24">
        <f>IF(AND(ISNUMBER(M279), ISNUMBER(I279), I279&gt;0), M279/I279, "")</f>
        <v/>
      </c>
    </row>
    <row r="280">
      <c r="A280" s="19" t="inlineStr">
        <is>
          <t>FY26</t>
        </is>
      </c>
      <c r="B280" s="19" t="inlineStr">
        <is>
          <t>Jan</t>
        </is>
      </c>
      <c r="C280" s="19" t="inlineStr">
        <is>
          <t>TN</t>
        </is>
      </c>
      <c r="D280" s="20" t="inlineStr">
        <is>
          <t>TN04AT4207</t>
        </is>
      </c>
      <c r="E280" s="20" t="inlineStr">
        <is>
          <t>MARUTI SUZUKI</t>
        </is>
      </c>
      <c r="F280" s="20" t="inlineStr">
        <is>
          <t>Baleno</t>
        </is>
      </c>
      <c r="G280" s="21" t="n">
        <v>2017</v>
      </c>
      <c r="H280" s="22" t="n">
        <v>119803</v>
      </c>
      <c r="I280" s="23" t="n">
        <v>330000</v>
      </c>
      <c r="J280" s="20" t="inlineStr">
        <is>
          <t>EPIC Toyota</t>
        </is>
      </c>
      <c r="K280" s="20" t="inlineStr">
        <is>
          <t>Non-Captive</t>
        </is>
      </c>
      <c r="L280" s="20" t="inlineStr">
        <is>
          <t>AAA Cars</t>
        </is>
      </c>
      <c r="M280" s="23" t="n">
        <v>4237.29</v>
      </c>
      <c r="N280" s="23" t="n">
        <v>5000</v>
      </c>
      <c r="O280" s="24">
        <f>IF(AND(ISNUMBER(M280), ISNUMBER(I280), I280&gt;0), M280/I280, "")</f>
        <v/>
      </c>
    </row>
    <row r="281">
      <c r="A281" s="19" t="inlineStr">
        <is>
          <t>FY26</t>
        </is>
      </c>
      <c r="B281" s="19" t="inlineStr">
        <is>
          <t>Jan</t>
        </is>
      </c>
      <c r="C281" s="19" t="inlineStr">
        <is>
          <t>TN</t>
        </is>
      </c>
      <c r="D281" s="20" t="inlineStr">
        <is>
          <t>TN05CF0321</t>
        </is>
      </c>
      <c r="E281" s="20" t="inlineStr">
        <is>
          <t>MARUTI SUZUKI</t>
        </is>
      </c>
      <c r="F281" s="20" t="inlineStr">
        <is>
          <t>Eeco</t>
        </is>
      </c>
      <c r="G281" s="21" t="n">
        <v>2021</v>
      </c>
      <c r="H281" s="22" t="n">
        <v>36492</v>
      </c>
      <c r="I281" s="23" t="n">
        <v>330000</v>
      </c>
      <c r="J281" s="20" t="inlineStr">
        <is>
          <t>EPIC Toyota</t>
        </is>
      </c>
      <c r="K281" s="20" t="inlineStr">
        <is>
          <t>Non-Captive</t>
        </is>
      </c>
      <c r="L281" s="20" t="inlineStr">
        <is>
          <t>AAA Cars</t>
        </is>
      </c>
      <c r="M281" s="23" t="n">
        <v>4237.29</v>
      </c>
      <c r="N281" s="23" t="n">
        <v>5000</v>
      </c>
      <c r="O281" s="24">
        <f>IF(AND(ISNUMBER(M281), ISNUMBER(I281), I281&gt;0), M281/I281, "")</f>
        <v/>
      </c>
    </row>
    <row r="282">
      <c r="A282" s="19" t="inlineStr">
        <is>
          <t>FY26</t>
        </is>
      </c>
      <c r="B282" s="19" t="inlineStr">
        <is>
          <t>Jan</t>
        </is>
      </c>
      <c r="C282" s="19" t="inlineStr">
        <is>
          <t>TN</t>
        </is>
      </c>
      <c r="D282" s="20" t="inlineStr">
        <is>
          <t>TN85P4219</t>
        </is>
      </c>
      <c r="E282" s="20" t="inlineStr">
        <is>
          <t>MARUTI SUZUKI</t>
        </is>
      </c>
      <c r="F282" s="20" t="inlineStr">
        <is>
          <t>Eeco</t>
        </is>
      </c>
      <c r="G282" s="21" t="n">
        <v>2021</v>
      </c>
      <c r="H282" s="22" t="n">
        <v>49905</v>
      </c>
      <c r="I282" s="23" t="n">
        <v>320000</v>
      </c>
      <c r="J282" s="20" t="inlineStr">
        <is>
          <t>Indus</t>
        </is>
      </c>
      <c r="K282" s="20" t="inlineStr">
        <is>
          <t>Non-Captive</t>
        </is>
      </c>
      <c r="L282" s="20" t="inlineStr">
        <is>
          <t>AAA Cars</t>
        </is>
      </c>
      <c r="M282" s="23" t="n">
        <v>4237.29</v>
      </c>
      <c r="N282" s="23" t="n">
        <v>5000</v>
      </c>
      <c r="O282" s="24">
        <f>IF(AND(ISNUMBER(M282), ISNUMBER(I282), I282&gt;0), M282/I282, "")</f>
        <v/>
      </c>
    </row>
    <row r="283">
      <c r="A283" s="19" t="inlineStr">
        <is>
          <t>FY26</t>
        </is>
      </c>
      <c r="B283" s="19" t="inlineStr">
        <is>
          <t>Jan</t>
        </is>
      </c>
      <c r="C283" s="19" t="inlineStr">
        <is>
          <t>TN</t>
        </is>
      </c>
      <c r="D283" s="20" t="inlineStr">
        <is>
          <t>TN73AZ4311</t>
        </is>
      </c>
      <c r="E283" s="20" t="inlineStr">
        <is>
          <t>TOYOTA</t>
        </is>
      </c>
      <c r="F283" s="20" t="inlineStr">
        <is>
          <t>Etios</t>
        </is>
      </c>
      <c r="G283" s="21" t="n">
        <v>2018</v>
      </c>
      <c r="H283" s="22" t="n">
        <v>105473</v>
      </c>
      <c r="I283" s="23" t="n">
        <v>300000</v>
      </c>
      <c r="J283" s="20" t="inlineStr">
        <is>
          <t>Indus</t>
        </is>
      </c>
      <c r="K283" s="20" t="inlineStr">
        <is>
          <t>Non-Captive</t>
        </is>
      </c>
      <c r="L283" s="20" t="inlineStr">
        <is>
          <t>AAA Cars</t>
        </is>
      </c>
      <c r="M283" s="23" t="n">
        <v>4237.29</v>
      </c>
      <c r="N283" s="23" t="n">
        <v>5000</v>
      </c>
      <c r="O283" s="24">
        <f>IF(AND(ISNUMBER(M283), ISNUMBER(I283), I283&gt;0), M283/I283, "")</f>
        <v/>
      </c>
    </row>
    <row r="284">
      <c r="A284" s="19" t="inlineStr">
        <is>
          <t>FY26</t>
        </is>
      </c>
      <c r="B284" s="19" t="inlineStr">
        <is>
          <t>Jan</t>
        </is>
      </c>
      <c r="C284" s="19" t="inlineStr">
        <is>
          <t>TN</t>
        </is>
      </c>
      <c r="D284" s="20" t="inlineStr">
        <is>
          <t>TN13J0240</t>
        </is>
      </c>
      <c r="E284" s="20" t="inlineStr">
        <is>
          <t>MARUTI SUZUKI</t>
        </is>
      </c>
      <c r="F284" s="20" t="inlineStr">
        <is>
          <t>Baleno</t>
        </is>
      </c>
      <c r="G284" s="21" t="n">
        <v>2017</v>
      </c>
      <c r="H284" s="22" t="n">
        <v>76543</v>
      </c>
      <c r="I284" s="23" t="n">
        <v>350000</v>
      </c>
      <c r="J284" s="20" t="inlineStr">
        <is>
          <t>Indus</t>
        </is>
      </c>
      <c r="K284" s="20" t="inlineStr">
        <is>
          <t>Non-Captive</t>
        </is>
      </c>
      <c r="L284" s="20" t="inlineStr">
        <is>
          <t>AAA Cars</t>
        </is>
      </c>
      <c r="M284" s="23" t="n">
        <v>3389.83</v>
      </c>
      <c r="N284" s="23" t="n">
        <v>4000</v>
      </c>
      <c r="O284" s="24">
        <f>IF(AND(ISNUMBER(M284), ISNUMBER(I284), I284&gt;0), M284/I284, "")</f>
        <v/>
      </c>
    </row>
    <row r="285">
      <c r="A285" s="19" t="inlineStr">
        <is>
          <t>FY26</t>
        </is>
      </c>
      <c r="B285" s="19" t="inlineStr">
        <is>
          <t>Jan</t>
        </is>
      </c>
      <c r="C285" s="19" t="inlineStr">
        <is>
          <t>TN</t>
        </is>
      </c>
      <c r="D285" s="20" t="inlineStr">
        <is>
          <t>TN10AJ3027</t>
        </is>
      </c>
      <c r="E285" s="20" t="inlineStr">
        <is>
          <t>CHEVROLET</t>
        </is>
      </c>
      <c r="F285" s="20" t="inlineStr">
        <is>
          <t>Beat</t>
        </is>
      </c>
      <c r="G285" s="21" t="n">
        <v>2012</v>
      </c>
      <c r="H285" s="22" t="n">
        <v>103443</v>
      </c>
      <c r="I285" s="23" t="n">
        <v>70000</v>
      </c>
      <c r="J285" s="20" t="inlineStr">
        <is>
          <t>VW KUN</t>
        </is>
      </c>
      <c r="K285" s="20" t="inlineStr">
        <is>
          <t>Non-Captive</t>
        </is>
      </c>
      <c r="L285" s="20" t="inlineStr">
        <is>
          <t>Jayaram Cars</t>
        </is>
      </c>
      <c r="M285" s="23" t="n">
        <v>3389.83</v>
      </c>
      <c r="N285" s="23" t="n">
        <v>4000</v>
      </c>
      <c r="O285" s="24">
        <f>IF(AND(ISNUMBER(M285), ISNUMBER(I285), I285&gt;0), M285/I285, "")</f>
        <v/>
      </c>
    </row>
    <row r="286">
      <c r="A286" s="19" t="inlineStr">
        <is>
          <t>FY26</t>
        </is>
      </c>
      <c r="B286" s="19" t="inlineStr">
        <is>
          <t>Jan</t>
        </is>
      </c>
      <c r="C286" s="19" t="inlineStr">
        <is>
          <t>TN</t>
        </is>
      </c>
      <c r="D286" s="20" t="inlineStr">
        <is>
          <t>TN11AS6860</t>
        </is>
      </c>
      <c r="E286" s="20" t="inlineStr">
        <is>
          <t>MARUTI SUZUKI</t>
        </is>
      </c>
      <c r="F286" s="20" t="inlineStr">
        <is>
          <t>Alto</t>
        </is>
      </c>
      <c r="G286" s="21" t="n">
        <v>2020</v>
      </c>
      <c r="H286" s="22" t="n">
        <v>57519</v>
      </c>
      <c r="I286" s="23" t="n">
        <v>250000</v>
      </c>
      <c r="J286" s="20" t="inlineStr">
        <is>
          <t>VW KUN</t>
        </is>
      </c>
      <c r="K286" s="20" t="inlineStr">
        <is>
          <t>Non-Captive</t>
        </is>
      </c>
      <c r="L286" s="20" t="inlineStr">
        <is>
          <t>Chaaran Cars</t>
        </is>
      </c>
      <c r="M286" s="23" t="n">
        <v>4237.29</v>
      </c>
      <c r="N286" s="23" t="n">
        <v>5000</v>
      </c>
      <c r="O286" s="24">
        <f>IF(AND(ISNUMBER(M286), ISNUMBER(I286), I286&gt;0), M286/I286, "")</f>
        <v/>
      </c>
    </row>
    <row r="287">
      <c r="A287" s="19" t="inlineStr">
        <is>
          <t>FY26</t>
        </is>
      </c>
      <c r="B287" s="19" t="inlineStr">
        <is>
          <t>Jan</t>
        </is>
      </c>
      <c r="C287" s="19" t="inlineStr">
        <is>
          <t>TN</t>
        </is>
      </c>
      <c r="D287" s="20" t="inlineStr">
        <is>
          <t>TN12B9028</t>
        </is>
      </c>
      <c r="E287" s="20" t="inlineStr">
        <is>
          <t>NISSAN</t>
        </is>
      </c>
      <c r="F287" s="20" t="inlineStr">
        <is>
          <t>Micra</t>
        </is>
      </c>
      <c r="G287" s="21" t="n">
        <v>2013</v>
      </c>
      <c r="H287" s="22" t="n">
        <v>25503</v>
      </c>
      <c r="I287" s="23" t="n">
        <v>180000</v>
      </c>
      <c r="J287" s="20" t="inlineStr">
        <is>
          <t>VW KUN</t>
        </is>
      </c>
      <c r="K287" s="20" t="inlineStr">
        <is>
          <t>Non-Captive</t>
        </is>
      </c>
      <c r="L287" s="20" t="inlineStr">
        <is>
          <t>Santhosh Cars</t>
        </is>
      </c>
      <c r="M287" s="23" t="n">
        <v>4237.29</v>
      </c>
      <c r="N287" s="23" t="n">
        <v>5000</v>
      </c>
      <c r="O287" s="24">
        <f>IF(AND(ISNUMBER(M287), ISNUMBER(I287), I287&gt;0), M287/I287, "")</f>
        <v/>
      </c>
    </row>
    <row r="288">
      <c r="A288" s="19" t="inlineStr">
        <is>
          <t>FY26</t>
        </is>
      </c>
      <c r="B288" s="19" t="inlineStr">
        <is>
          <t>Jan</t>
        </is>
      </c>
      <c r="C288" s="19" t="inlineStr">
        <is>
          <t>TN</t>
        </is>
      </c>
      <c r="D288" s="20" t="inlineStr">
        <is>
          <t>TN12K7549</t>
        </is>
      </c>
      <c r="E288" s="20" t="inlineStr">
        <is>
          <t>MARUTI SUZUKI</t>
        </is>
      </c>
      <c r="F288" s="20" t="inlineStr">
        <is>
          <t>Wagon R</t>
        </is>
      </c>
      <c r="G288" s="21" t="n">
        <v>2015</v>
      </c>
      <c r="H288" s="22" t="n">
        <v>111682</v>
      </c>
      <c r="I288" s="23" t="n">
        <v>240000</v>
      </c>
      <c r="J288" s="20" t="inlineStr">
        <is>
          <t>VW KUN</t>
        </is>
      </c>
      <c r="K288" s="20" t="inlineStr">
        <is>
          <t>Non-Captive</t>
        </is>
      </c>
      <c r="L288" s="20" t="inlineStr">
        <is>
          <t>Seema Cars</t>
        </is>
      </c>
      <c r="M288" s="23" t="n">
        <v>4237.29</v>
      </c>
      <c r="N288" s="23" t="n">
        <v>5000</v>
      </c>
      <c r="O288" s="24">
        <f>IF(AND(ISNUMBER(M288), ISNUMBER(I288), I288&gt;0), M288/I288, "")</f>
        <v/>
      </c>
    </row>
    <row r="289">
      <c r="A289" s="19" t="inlineStr">
        <is>
          <t>FY26</t>
        </is>
      </c>
      <c r="B289" s="19" t="inlineStr">
        <is>
          <t>Jan</t>
        </is>
      </c>
      <c r="C289" s="19" t="inlineStr">
        <is>
          <t>TN</t>
        </is>
      </c>
      <c r="D289" s="20" t="inlineStr">
        <is>
          <t>TN58AL1408</t>
        </is>
      </c>
      <c r="E289" s="20" t="inlineStr">
        <is>
          <t>MARUTI SUZUKI</t>
        </is>
      </c>
      <c r="F289" s="20" t="inlineStr">
        <is>
          <t>Ciaz</t>
        </is>
      </c>
      <c r="G289" s="21" t="n">
        <v>2016</v>
      </c>
      <c r="H289" s="22" t="n">
        <v>112291</v>
      </c>
      <c r="I289" s="23" t="n">
        <v>375000</v>
      </c>
      <c r="J289" s="20" t="inlineStr">
        <is>
          <t>EXCHANGE ROTN</t>
        </is>
      </c>
      <c r="K289" s="20" t="inlineStr">
        <is>
          <t>Captive</t>
        </is>
      </c>
      <c r="L289" s="20" t="inlineStr">
        <is>
          <t>Gowtham Cars</t>
        </is>
      </c>
      <c r="M289" s="23" t="n">
        <v>8474.58</v>
      </c>
      <c r="N289" s="23" t="n">
        <v>10000</v>
      </c>
      <c r="O289" s="24">
        <f>IF(AND(ISNUMBER(M289), ISNUMBER(I289), I289&gt;0), M289/I289, "")</f>
        <v/>
      </c>
    </row>
    <row r="290">
      <c r="A290" s="19" t="inlineStr">
        <is>
          <t>FY26</t>
        </is>
      </c>
      <c r="B290" s="19" t="inlineStr">
        <is>
          <t>Jan</t>
        </is>
      </c>
      <c r="C290" s="19" t="inlineStr">
        <is>
          <t>TN</t>
        </is>
      </c>
      <c r="D290" s="20" t="inlineStr">
        <is>
          <t>TN06R5815</t>
        </is>
      </c>
      <c r="E290" s="20" t="inlineStr">
        <is>
          <t>HONDA</t>
        </is>
      </c>
      <c r="F290" s="20" t="inlineStr">
        <is>
          <t>Amaze</t>
        </is>
      </c>
      <c r="G290" s="21" t="n">
        <v>2016</v>
      </c>
      <c r="H290" s="22" t="n">
        <v>19733</v>
      </c>
      <c r="I290" s="23" t="n">
        <v>380000</v>
      </c>
      <c r="J290" s="20" t="inlineStr">
        <is>
          <t>EXCHANGE CHENNAI</t>
        </is>
      </c>
      <c r="K290" s="20" t="inlineStr">
        <is>
          <t>Captive</t>
        </is>
      </c>
      <c r="L290" s="20" t="inlineStr">
        <is>
          <t>Nirmal Cars</t>
        </is>
      </c>
      <c r="M290" s="23" t="n">
        <v>8474.58</v>
      </c>
      <c r="N290" s="23" t="n">
        <v>10000</v>
      </c>
      <c r="O290" s="24">
        <f>IF(AND(ISNUMBER(M290), ISNUMBER(I290), I290&gt;0), M290/I290, "")</f>
        <v/>
      </c>
    </row>
    <row r="291">
      <c r="A291" s="19" t="inlineStr">
        <is>
          <t>FY26</t>
        </is>
      </c>
      <c r="B291" s="19" t="inlineStr">
        <is>
          <t>Jan</t>
        </is>
      </c>
      <c r="C291" s="19" t="inlineStr">
        <is>
          <t>TN</t>
        </is>
      </c>
      <c r="D291" s="20" t="inlineStr">
        <is>
          <t>TN04M2977</t>
        </is>
      </c>
      <c r="E291" s="20" t="inlineStr">
        <is>
          <t>TOYOTA</t>
        </is>
      </c>
      <c r="F291" s="20" t="inlineStr">
        <is>
          <t>Corolla</t>
        </is>
      </c>
      <c r="G291" s="21" t="n">
        <v>2003</v>
      </c>
      <c r="H291" s="22" t="n">
        <v>88077</v>
      </c>
      <c r="I291" s="23" t="n">
        <v>80000</v>
      </c>
      <c r="J291" s="20" t="inlineStr">
        <is>
          <t>EXCHANGE CHENNAI</t>
        </is>
      </c>
      <c r="K291" s="20" t="inlineStr">
        <is>
          <t>Captive</t>
        </is>
      </c>
      <c r="L291" s="20" t="inlineStr">
        <is>
          <t>Pine Autos</t>
        </is>
      </c>
      <c r="M291" s="23" t="n">
        <v>5932.2</v>
      </c>
      <c r="N291" s="23" t="n">
        <v>7000</v>
      </c>
      <c r="O291" s="24">
        <f>IF(AND(ISNUMBER(M291), ISNUMBER(I291), I291&gt;0), M291/I291, "")</f>
        <v/>
      </c>
    </row>
    <row r="292">
      <c r="A292" s="19" t="inlineStr">
        <is>
          <t>FY26</t>
        </is>
      </c>
      <c r="B292" s="19" t="inlineStr">
        <is>
          <t>Jan</t>
        </is>
      </c>
      <c r="C292" s="19" t="inlineStr">
        <is>
          <t>TN</t>
        </is>
      </c>
      <c r="D292" s="20" t="inlineStr">
        <is>
          <t>TN60AB5422</t>
        </is>
      </c>
      <c r="E292" s="20" t="inlineStr">
        <is>
          <t>HONDA</t>
        </is>
      </c>
      <c r="F292" s="20" t="inlineStr">
        <is>
          <t>Br-V</t>
        </is>
      </c>
      <c r="G292" s="21" t="n">
        <v>2016</v>
      </c>
      <c r="H292" s="22" t="n">
        <v>211641</v>
      </c>
      <c r="I292" s="23" t="n">
        <v>300000</v>
      </c>
      <c r="J292" s="20" t="inlineStr">
        <is>
          <t>EXCHANGE ROTN</t>
        </is>
      </c>
      <c r="K292" s="20" t="inlineStr">
        <is>
          <t>Captive</t>
        </is>
      </c>
      <c r="L292" s="20" t="inlineStr">
        <is>
          <t>Selva Motors</t>
        </is>
      </c>
      <c r="M292" s="23" t="n">
        <v>8474.58</v>
      </c>
      <c r="N292" s="23" t="n">
        <v>10000</v>
      </c>
      <c r="O292" s="24">
        <f>IF(AND(ISNUMBER(M292), ISNUMBER(I292), I292&gt;0), M292/I292, "")</f>
        <v/>
      </c>
    </row>
    <row r="293">
      <c r="A293" s="19" t="inlineStr">
        <is>
          <t>FY26</t>
        </is>
      </c>
      <c r="B293" s="19" t="inlineStr">
        <is>
          <t>Jan</t>
        </is>
      </c>
      <c r="C293" s="19" t="inlineStr">
        <is>
          <t>TN</t>
        </is>
      </c>
      <c r="D293" s="20" t="inlineStr">
        <is>
          <t>TN38CE1379</t>
        </is>
      </c>
      <c r="E293" s="20" t="inlineStr">
        <is>
          <t>HONDA</t>
        </is>
      </c>
      <c r="F293" s="20" t="inlineStr">
        <is>
          <t>Br-V</t>
        </is>
      </c>
      <c r="G293" s="21" t="n">
        <v>2016</v>
      </c>
      <c r="H293" s="22" t="n">
        <v>126263</v>
      </c>
      <c r="I293" s="23" t="n">
        <v>460000</v>
      </c>
      <c r="J293" s="20" t="inlineStr">
        <is>
          <t>EXCHANGE ROTN</t>
        </is>
      </c>
      <c r="K293" s="20" t="inlineStr">
        <is>
          <t>Captive</t>
        </is>
      </c>
      <c r="L293" s="20" t="inlineStr">
        <is>
          <t>Dheera Cars</t>
        </is>
      </c>
      <c r="M293" s="23" t="n">
        <v>12711.86</v>
      </c>
      <c r="N293" s="23" t="n">
        <v>15000</v>
      </c>
      <c r="O293" s="24">
        <f>IF(AND(ISNUMBER(M293), ISNUMBER(I293), I293&gt;0), M293/I293, "")</f>
        <v/>
      </c>
    </row>
    <row r="294">
      <c r="A294" s="19" t="inlineStr">
        <is>
          <t>FY26</t>
        </is>
      </c>
      <c r="B294" s="19" t="inlineStr">
        <is>
          <t>Jan</t>
        </is>
      </c>
      <c r="C294" s="19" t="inlineStr">
        <is>
          <t>TN</t>
        </is>
      </c>
      <c r="D294" s="20" t="inlineStr">
        <is>
          <t>TN01BF2596</t>
        </is>
      </c>
      <c r="E294" s="20" t="inlineStr">
        <is>
          <t>HONDA</t>
        </is>
      </c>
      <c r="F294" s="20" t="inlineStr">
        <is>
          <t>City</t>
        </is>
      </c>
      <c r="G294" s="21" t="n">
        <v>2018</v>
      </c>
      <c r="H294" s="22" t="n">
        <v>97519</v>
      </c>
      <c r="I294" s="23" t="n">
        <v>500000</v>
      </c>
      <c r="J294" s="20" t="inlineStr">
        <is>
          <t>EXCHANGE CHENNAI</t>
        </is>
      </c>
      <c r="K294" s="20" t="inlineStr">
        <is>
          <t>Captive</t>
        </is>
      </c>
      <c r="L294" s="20" t="inlineStr">
        <is>
          <t>Nirmal Cars</t>
        </is>
      </c>
      <c r="M294" s="23" t="n">
        <v>8474.58</v>
      </c>
      <c r="N294" s="23" t="n">
        <v>10000</v>
      </c>
      <c r="O294" s="24">
        <f>IF(AND(ISNUMBER(M294), ISNUMBER(I294), I294&gt;0), M294/I294, "")</f>
        <v/>
      </c>
    </row>
    <row r="295">
      <c r="A295" s="19" t="inlineStr">
        <is>
          <t>FY26</t>
        </is>
      </c>
      <c r="B295" s="19" t="inlineStr">
        <is>
          <t>Jan</t>
        </is>
      </c>
      <c r="C295" s="19" t="inlineStr">
        <is>
          <t>TN</t>
        </is>
      </c>
      <c r="D295" s="20" t="inlineStr">
        <is>
          <t>TN99L9672</t>
        </is>
      </c>
      <c r="E295" s="20" t="inlineStr">
        <is>
          <t>MARUTI SUZUKI</t>
        </is>
      </c>
      <c r="F295" s="20" t="inlineStr">
        <is>
          <t>Baleno</t>
        </is>
      </c>
      <c r="G295" s="21" t="n">
        <v>2018</v>
      </c>
      <c r="H295" s="22" t="n">
        <v>134933</v>
      </c>
      <c r="I295" s="23" t="n">
        <v>300000</v>
      </c>
      <c r="J295" s="20" t="inlineStr">
        <is>
          <t>EXCHANGE ROTN</t>
        </is>
      </c>
      <c r="K295" s="20" t="inlineStr">
        <is>
          <t>Captive</t>
        </is>
      </c>
      <c r="L295" s="20" t="inlineStr">
        <is>
          <t>CAP Cars</t>
        </is>
      </c>
      <c r="M295" s="23" t="n">
        <v>8474.58</v>
      </c>
      <c r="N295" s="23" t="n">
        <v>10000</v>
      </c>
      <c r="O295" s="24">
        <f>IF(AND(ISNUMBER(M295), ISNUMBER(I295), I295&gt;0), M295/I295, "")</f>
        <v/>
      </c>
    </row>
    <row r="296">
      <c r="A296" s="19" t="inlineStr">
        <is>
          <t>FY26</t>
        </is>
      </c>
      <c r="B296" s="19" t="inlineStr">
        <is>
          <t>Jan</t>
        </is>
      </c>
      <c r="C296" s="19" t="inlineStr">
        <is>
          <t>TN</t>
        </is>
      </c>
      <c r="D296" s="20" t="inlineStr">
        <is>
          <t>TN72L1717</t>
        </is>
      </c>
      <c r="E296" s="20" t="inlineStr">
        <is>
          <t>MARUTI SUZUKI</t>
        </is>
      </c>
      <c r="F296" s="20" t="inlineStr">
        <is>
          <t>Zen</t>
        </is>
      </c>
      <c r="G296" s="21" t="n">
        <v>2004</v>
      </c>
      <c r="H296" s="22" t="n">
        <v>204648</v>
      </c>
      <c r="I296" s="23" t="n">
        <v>20000</v>
      </c>
      <c r="J296" s="20" t="inlineStr">
        <is>
          <t>EXCHANGE ROTN</t>
        </is>
      </c>
      <c r="K296" s="20" t="inlineStr">
        <is>
          <t>Captive</t>
        </is>
      </c>
      <c r="L296" s="20" t="inlineStr">
        <is>
          <t>YUGA DHEERAN CARS</t>
        </is>
      </c>
      <c r="M296" s="23" t="n">
        <v>4237.29</v>
      </c>
      <c r="N296" s="23" t="n">
        <v>5000</v>
      </c>
      <c r="O296" s="24">
        <f>IF(AND(ISNUMBER(M296), ISNUMBER(I296), I296&gt;0), M296/I296, "")</f>
        <v/>
      </c>
    </row>
    <row r="297">
      <c r="A297" s="19" t="inlineStr">
        <is>
          <t>FY26</t>
        </is>
      </c>
      <c r="B297" s="19" t="inlineStr">
        <is>
          <t>Jan</t>
        </is>
      </c>
      <c r="C297" s="19" t="inlineStr">
        <is>
          <t>TN</t>
        </is>
      </c>
      <c r="D297" s="20" t="inlineStr">
        <is>
          <t>TN38AY2973</t>
        </is>
      </c>
      <c r="E297" s="20" t="inlineStr">
        <is>
          <t>HYUNDAI</t>
        </is>
      </c>
      <c r="F297" s="20" t="inlineStr">
        <is>
          <t>I20</t>
        </is>
      </c>
      <c r="G297" s="21" t="n">
        <v>2009</v>
      </c>
      <c r="H297" s="22" t="n">
        <v>109781</v>
      </c>
      <c r="I297" s="23" t="n">
        <v>130000</v>
      </c>
      <c r="J297" s="20" t="inlineStr">
        <is>
          <t>EXCHANGE ROTN</t>
        </is>
      </c>
      <c r="K297" s="20" t="inlineStr">
        <is>
          <t>Captive</t>
        </is>
      </c>
      <c r="L297" s="20" t="inlineStr">
        <is>
          <t>SRI RAJA KANAPATHY CARS</t>
        </is>
      </c>
      <c r="M297" s="23" t="n">
        <v>8474.58</v>
      </c>
      <c r="N297" s="23" t="n">
        <v>10000</v>
      </c>
      <c r="O297" s="24">
        <f>IF(AND(ISNUMBER(M297), ISNUMBER(I297), I297&gt;0), M297/I297, "")</f>
        <v/>
      </c>
    </row>
    <row r="298">
      <c r="A298" s="19" t="inlineStr">
        <is>
          <t>FY26</t>
        </is>
      </c>
      <c r="B298" s="19" t="inlineStr">
        <is>
          <t>Jan</t>
        </is>
      </c>
      <c r="C298" s="19" t="inlineStr">
        <is>
          <t>TN</t>
        </is>
      </c>
      <c r="D298" s="20" t="inlineStr">
        <is>
          <t>MH12MW4825</t>
        </is>
      </c>
      <c r="E298" s="20" t="inlineStr">
        <is>
          <t>MAHINDRA</t>
        </is>
      </c>
      <c r="F298" s="20" t="inlineStr">
        <is>
          <t>Kuv100</t>
        </is>
      </c>
      <c r="G298" s="21" t="n">
        <v>2016</v>
      </c>
      <c r="H298" s="22" t="n">
        <v>182675</v>
      </c>
      <c r="I298" s="23" t="n">
        <v>100000</v>
      </c>
      <c r="J298" s="20" t="inlineStr">
        <is>
          <t>EXCHANGE ROTN</t>
        </is>
      </c>
      <c r="K298" s="20" t="inlineStr">
        <is>
          <t>Captive</t>
        </is>
      </c>
      <c r="L298" s="20" t="inlineStr">
        <is>
          <t>9 MILES CARZ</t>
        </is>
      </c>
      <c r="M298" s="23" t="n">
        <v>8474.58</v>
      </c>
      <c r="N298" s="23" t="n">
        <v>10000</v>
      </c>
      <c r="O298" s="24">
        <f>IF(AND(ISNUMBER(M298), ISNUMBER(I298), I298&gt;0), M298/I298, "")</f>
        <v/>
      </c>
    </row>
    <row r="299">
      <c r="A299" s="19" t="inlineStr">
        <is>
          <t>FY26</t>
        </is>
      </c>
      <c r="B299" s="19" t="inlineStr">
        <is>
          <t>Jan</t>
        </is>
      </c>
      <c r="C299" s="19" t="inlineStr">
        <is>
          <t>TN</t>
        </is>
      </c>
      <c r="D299" s="20" t="inlineStr">
        <is>
          <t>TN38CW9596</t>
        </is>
      </c>
      <c r="E299" s="20" t="inlineStr">
        <is>
          <t>RENAULT</t>
        </is>
      </c>
      <c r="F299" s="20" t="inlineStr">
        <is>
          <t>Duster</t>
        </is>
      </c>
      <c r="G299" s="21" t="n">
        <v>2020</v>
      </c>
      <c r="H299" s="22" t="n">
        <v>29986</v>
      </c>
      <c r="I299" s="23" t="n">
        <v>600000</v>
      </c>
      <c r="J299" s="20" t="inlineStr">
        <is>
          <t>EXCHANGE ROTN</t>
        </is>
      </c>
      <c r="K299" s="20" t="inlineStr">
        <is>
          <t>Captive</t>
        </is>
      </c>
      <c r="L299" s="20" t="inlineStr">
        <is>
          <t>Sai Cars</t>
        </is>
      </c>
      <c r="M299" s="23" t="n">
        <v>10169.49</v>
      </c>
      <c r="N299" s="23" t="n">
        <v>12000</v>
      </c>
      <c r="O299" s="24">
        <f>IF(AND(ISNUMBER(M299), ISNUMBER(I299), I299&gt;0), M299/I299, "")</f>
        <v/>
      </c>
    </row>
    <row r="300">
      <c r="A300" s="19" t="inlineStr">
        <is>
          <t>FY26</t>
        </is>
      </c>
      <c r="B300" s="19" t="inlineStr">
        <is>
          <t>Jan</t>
        </is>
      </c>
      <c r="C300" s="19" t="inlineStr">
        <is>
          <t>TN</t>
        </is>
      </c>
      <c r="D300" s="20" t="inlineStr">
        <is>
          <t>TN59BU8635</t>
        </is>
      </c>
      <c r="E300" s="20" t="inlineStr">
        <is>
          <t>HONDA</t>
        </is>
      </c>
      <c r="F300" s="20" t="inlineStr">
        <is>
          <t>Br-V</t>
        </is>
      </c>
      <c r="G300" s="21" t="n">
        <v>2016</v>
      </c>
      <c r="H300" s="22" t="n">
        <v>79692</v>
      </c>
      <c r="I300" s="23" t="n">
        <v>545000</v>
      </c>
      <c r="J300" s="20" t="inlineStr">
        <is>
          <t>EXCHANGE ROTN</t>
        </is>
      </c>
      <c r="K300" s="20" t="inlineStr">
        <is>
          <t>Captive</t>
        </is>
      </c>
      <c r="L300" s="20" t="inlineStr">
        <is>
          <t>Dheera Cars</t>
        </is>
      </c>
      <c r="M300" s="23" t="n">
        <v>12711.86</v>
      </c>
      <c r="N300" s="23" t="n">
        <v>15000</v>
      </c>
      <c r="O300" s="24">
        <f>IF(AND(ISNUMBER(M300), ISNUMBER(I300), I300&gt;0), M300/I300, "")</f>
        <v/>
      </c>
    </row>
    <row r="301">
      <c r="A301" s="19" t="inlineStr">
        <is>
          <t>FY26</t>
        </is>
      </c>
      <c r="B301" s="19" t="inlineStr">
        <is>
          <t>Jan</t>
        </is>
      </c>
      <c r="C301" s="19" t="inlineStr">
        <is>
          <t>TN</t>
        </is>
      </c>
      <c r="D301" s="20" t="inlineStr">
        <is>
          <t>TN22DM9846</t>
        </is>
      </c>
      <c r="E301" s="20" t="inlineStr">
        <is>
          <t>MARUTI SUZUKI</t>
        </is>
      </c>
      <c r="F301" s="20" t="inlineStr">
        <is>
          <t>Swift Dzire</t>
        </is>
      </c>
      <c r="G301" s="21" t="n">
        <v>2018</v>
      </c>
      <c r="H301" s="22" t="n">
        <v>85924</v>
      </c>
      <c r="I301" s="23" t="n">
        <v>485000</v>
      </c>
      <c r="J301" s="20" t="inlineStr">
        <is>
          <t>EXCHANGE CHENNAI</t>
        </is>
      </c>
      <c r="K301" s="20" t="inlineStr">
        <is>
          <t>Captive</t>
        </is>
      </c>
      <c r="L301" s="20" t="inlineStr">
        <is>
          <t>Santhosh Cars</t>
        </is>
      </c>
      <c r="M301" s="23" t="n">
        <v>4237.29</v>
      </c>
      <c r="N301" s="23" t="n">
        <v>5000</v>
      </c>
      <c r="O301" s="24">
        <f>IF(AND(ISNUMBER(M301), ISNUMBER(I301), I301&gt;0), M301/I301, "")</f>
        <v/>
      </c>
    </row>
    <row r="302">
      <c r="A302" s="19" t="inlineStr">
        <is>
          <t>FY26</t>
        </is>
      </c>
      <c r="B302" s="19" t="inlineStr">
        <is>
          <t>Jan</t>
        </is>
      </c>
      <c r="C302" s="19" t="inlineStr">
        <is>
          <t>TN</t>
        </is>
      </c>
      <c r="D302" s="20" t="inlineStr">
        <is>
          <t>TN07BF7117</t>
        </is>
      </c>
      <c r="E302" s="20" t="inlineStr">
        <is>
          <t>FIAT</t>
        </is>
      </c>
      <c r="F302" s="20" t="inlineStr">
        <is>
          <t>Linea</t>
        </is>
      </c>
      <c r="G302" s="21" t="n">
        <v>2010</v>
      </c>
      <c r="H302" s="22" t="n">
        <v>999999</v>
      </c>
      <c r="I302" s="23" t="n">
        <v>70000</v>
      </c>
      <c r="J302" s="20" t="inlineStr">
        <is>
          <t>EXCHANGE CHENNAI</t>
        </is>
      </c>
      <c r="K302" s="20" t="inlineStr">
        <is>
          <t>Captive</t>
        </is>
      </c>
      <c r="L302" s="20" t="inlineStr">
        <is>
          <t>Kirthi Cars</t>
        </is>
      </c>
      <c r="M302" s="23" t="n">
        <v>3389.83</v>
      </c>
      <c r="N302" s="23" t="n">
        <v>4000</v>
      </c>
      <c r="O302" s="24">
        <f>IF(AND(ISNUMBER(M302), ISNUMBER(I302), I302&gt;0), M302/I302, "")</f>
        <v/>
      </c>
    </row>
    <row r="303">
      <c r="A303" s="19" t="inlineStr">
        <is>
          <t>FY26</t>
        </is>
      </c>
      <c r="B303" s="19" t="inlineStr">
        <is>
          <t>Jan</t>
        </is>
      </c>
      <c r="C303" s="19" t="inlineStr">
        <is>
          <t>TN</t>
        </is>
      </c>
      <c r="D303" s="20" t="inlineStr">
        <is>
          <t>TN06AA4601</t>
        </is>
      </c>
      <c r="E303" s="20" t="inlineStr">
        <is>
          <t>HYUNDAI</t>
        </is>
      </c>
      <c r="F303" s="20" t="inlineStr">
        <is>
          <t>Grand I10</t>
        </is>
      </c>
      <c r="G303" s="21" t="n">
        <v>2021</v>
      </c>
      <c r="H303" s="22" t="n">
        <v>5227</v>
      </c>
      <c r="I303" s="23" t="n">
        <v>460000</v>
      </c>
      <c r="J303" s="20" t="inlineStr">
        <is>
          <t>EXCHANGE CHENNAI</t>
        </is>
      </c>
      <c r="K303" s="20" t="inlineStr">
        <is>
          <t>Captive</t>
        </is>
      </c>
      <c r="L303" s="20" t="inlineStr">
        <is>
          <t>Shakthi cars</t>
        </is>
      </c>
      <c r="M303" s="23" t="n">
        <v>4237.29</v>
      </c>
      <c r="N303" s="23" t="n">
        <v>5000</v>
      </c>
      <c r="O303" s="24">
        <f>IF(AND(ISNUMBER(M303), ISNUMBER(I303), I303&gt;0), M303/I303, "")</f>
        <v/>
      </c>
    </row>
    <row r="304">
      <c r="A304" s="19" t="inlineStr">
        <is>
          <t>FY26</t>
        </is>
      </c>
      <c r="B304" s="19" t="inlineStr">
        <is>
          <t>Jan</t>
        </is>
      </c>
      <c r="C304" s="19" t="inlineStr">
        <is>
          <t>TN</t>
        </is>
      </c>
      <c r="D304" s="20" t="inlineStr">
        <is>
          <t>TN09CC7875</t>
        </is>
      </c>
      <c r="E304" s="20" t="inlineStr">
        <is>
          <t>HYUNDAI</t>
        </is>
      </c>
      <c r="F304" s="20" t="inlineStr">
        <is>
          <t>Xcent</t>
        </is>
      </c>
      <c r="G304" s="21" t="n">
        <v>2016</v>
      </c>
      <c r="H304" s="22" t="n">
        <v>148628</v>
      </c>
      <c r="I304" s="23" t="n">
        <v>260000</v>
      </c>
      <c r="J304" s="20" t="inlineStr">
        <is>
          <t>EXCHANGE CHENNAI</t>
        </is>
      </c>
      <c r="K304" s="20" t="inlineStr">
        <is>
          <t>Captive</t>
        </is>
      </c>
      <c r="L304" s="20" t="inlineStr">
        <is>
          <t>Aasim Motor</t>
        </is>
      </c>
      <c r="M304" s="23" t="n">
        <v>2542.37</v>
      </c>
      <c r="N304" s="23" t="n">
        <v>3000</v>
      </c>
      <c r="O304" s="24">
        <f>IF(AND(ISNUMBER(M304), ISNUMBER(I304), I304&gt;0), M304/I304, "")</f>
        <v/>
      </c>
    </row>
    <row r="305">
      <c r="A305" s="19" t="inlineStr">
        <is>
          <t>FY26</t>
        </is>
      </c>
      <c r="B305" s="19" t="inlineStr">
        <is>
          <t>Jan</t>
        </is>
      </c>
      <c r="C305" s="19" t="inlineStr">
        <is>
          <t>TN</t>
        </is>
      </c>
      <c r="D305" s="20" t="inlineStr">
        <is>
          <t>TN09CM7426</t>
        </is>
      </c>
      <c r="E305" s="20" t="inlineStr">
        <is>
          <t>MARUTI SUZUKI</t>
        </is>
      </c>
      <c r="F305" s="20" t="inlineStr">
        <is>
          <t>Baleno</t>
        </is>
      </c>
      <c r="G305" s="21" t="n">
        <v>2018</v>
      </c>
      <c r="H305" s="22" t="n">
        <v>65076</v>
      </c>
      <c r="I305" s="23" t="n">
        <v>535000</v>
      </c>
      <c r="J305" s="20" t="inlineStr">
        <is>
          <t>EXCHANGE CHENNAI</t>
        </is>
      </c>
      <c r="K305" s="20" t="inlineStr">
        <is>
          <t>Captive</t>
        </is>
      </c>
      <c r="L305" s="20" t="inlineStr">
        <is>
          <t>Santhosh Cars</t>
        </is>
      </c>
      <c r="M305" s="23" t="n">
        <v>8474.58</v>
      </c>
      <c r="N305" s="23" t="n">
        <v>10000</v>
      </c>
      <c r="O305" s="24">
        <f>IF(AND(ISNUMBER(M305), ISNUMBER(I305), I305&gt;0), M305/I305, "")</f>
        <v/>
      </c>
    </row>
    <row r="306">
      <c r="A306" s="19" t="inlineStr">
        <is>
          <t>FY26</t>
        </is>
      </c>
      <c r="B306" s="19" t="inlineStr">
        <is>
          <t>Jan</t>
        </is>
      </c>
      <c r="C306" s="19" t="inlineStr">
        <is>
          <t>TN</t>
        </is>
      </c>
      <c r="D306" s="20" t="inlineStr">
        <is>
          <t>TN02AX4207</t>
        </is>
      </c>
      <c r="E306" s="20" t="inlineStr">
        <is>
          <t>HONDA</t>
        </is>
      </c>
      <c r="F306" s="20" t="inlineStr">
        <is>
          <t>City</t>
        </is>
      </c>
      <c r="G306" s="21" t="n">
        <v>2013</v>
      </c>
      <c r="H306" s="22" t="n">
        <v>80667</v>
      </c>
      <c r="I306" s="23" t="n">
        <v>300000</v>
      </c>
      <c r="J306" s="20" t="inlineStr">
        <is>
          <t>EXCHANGE CHENNAI</t>
        </is>
      </c>
      <c r="K306" s="20" t="inlineStr">
        <is>
          <t>Captive</t>
        </is>
      </c>
      <c r="L306" s="20" t="inlineStr">
        <is>
          <t>Nirmal Cars</t>
        </is>
      </c>
      <c r="M306" s="23" t="n">
        <v>8474.58</v>
      </c>
      <c r="N306" s="23" t="n">
        <v>10000</v>
      </c>
      <c r="O306" s="24">
        <f>IF(AND(ISNUMBER(M306), ISNUMBER(I306), I306&gt;0), M306/I306, "")</f>
        <v/>
      </c>
    </row>
    <row r="307">
      <c r="A307" s="19" t="inlineStr">
        <is>
          <t>FY26</t>
        </is>
      </c>
      <c r="B307" s="19" t="inlineStr">
        <is>
          <t>Jan</t>
        </is>
      </c>
      <c r="C307" s="19" t="inlineStr">
        <is>
          <t>TN</t>
        </is>
      </c>
      <c r="D307" s="20" t="inlineStr">
        <is>
          <t>TN10Q2282</t>
        </is>
      </c>
      <c r="E307" s="20" t="inlineStr">
        <is>
          <t>MARUTI SUZUKI</t>
        </is>
      </c>
      <c r="F307" s="20" t="inlineStr">
        <is>
          <t>Alto</t>
        </is>
      </c>
      <c r="G307" s="21" t="n">
        <v>2006</v>
      </c>
      <c r="H307" s="22" t="n">
        <v>53708</v>
      </c>
      <c r="I307" s="23" t="n">
        <v>60000</v>
      </c>
      <c r="J307" s="20" t="inlineStr">
        <is>
          <t>EXCHANGE CHENNAI</t>
        </is>
      </c>
      <c r="K307" s="20" t="inlineStr">
        <is>
          <t>Captive</t>
        </is>
      </c>
      <c r="L307" s="20" t="inlineStr">
        <is>
          <t>Santhosh Cars</t>
        </is>
      </c>
      <c r="M307" s="23" t="n">
        <v>4237.29</v>
      </c>
      <c r="N307" s="23" t="n">
        <v>5000</v>
      </c>
      <c r="O307" s="24">
        <f>IF(AND(ISNUMBER(M307), ISNUMBER(I307), I307&gt;0), M307/I307, "")</f>
        <v/>
      </c>
    </row>
    <row r="308">
      <c r="A308" s="19" t="inlineStr">
        <is>
          <t>FY26</t>
        </is>
      </c>
      <c r="B308" s="19" t="inlineStr">
        <is>
          <t>Jan</t>
        </is>
      </c>
      <c r="C308" s="19" t="inlineStr">
        <is>
          <t>TN</t>
        </is>
      </c>
      <c r="D308" s="20" t="inlineStr">
        <is>
          <t>TN66R4773</t>
        </is>
      </c>
      <c r="E308" s="20" t="inlineStr">
        <is>
          <t>HONDA</t>
        </is>
      </c>
      <c r="F308" s="20" t="inlineStr">
        <is>
          <t>City</t>
        </is>
      </c>
      <c r="G308" s="21" t="n">
        <v>2015</v>
      </c>
      <c r="H308" s="22" t="n">
        <v>87520</v>
      </c>
      <c r="I308" s="23" t="n">
        <v>420000</v>
      </c>
      <c r="J308" s="20" t="inlineStr">
        <is>
          <t>EXCHANGE ROTN</t>
        </is>
      </c>
      <c r="K308" s="20" t="inlineStr">
        <is>
          <t>Captive</t>
        </is>
      </c>
      <c r="L308" s="20" t="inlineStr">
        <is>
          <t>Sai Cars</t>
        </is>
      </c>
      <c r="M308" s="23" t="n">
        <v>16949.15</v>
      </c>
      <c r="N308" s="23" t="n">
        <v>20000</v>
      </c>
      <c r="O308" s="24">
        <f>IF(AND(ISNUMBER(M308), ISNUMBER(I308), I308&gt;0), M308/I308, "")</f>
        <v/>
      </c>
    </row>
    <row r="309">
      <c r="A309" s="19" t="inlineStr">
        <is>
          <t>FY26</t>
        </is>
      </c>
      <c r="B309" s="19" t="inlineStr">
        <is>
          <t>Jan</t>
        </is>
      </c>
      <c r="C309" s="19" t="inlineStr">
        <is>
          <t>TN</t>
        </is>
      </c>
      <c r="D309" s="20" t="inlineStr">
        <is>
          <t>TN02BV1391</t>
        </is>
      </c>
      <c r="E309" s="20" t="inlineStr">
        <is>
          <t>HONDA</t>
        </is>
      </c>
      <c r="F309" s="20" t="inlineStr">
        <is>
          <t>Wr-V</t>
        </is>
      </c>
      <c r="G309" s="21" t="n">
        <v>2021</v>
      </c>
      <c r="H309" s="22" t="n">
        <v>39178</v>
      </c>
      <c r="I309" s="23" t="n">
        <v>600000</v>
      </c>
      <c r="J309" s="20" t="inlineStr">
        <is>
          <t>Khivraj Motor</t>
        </is>
      </c>
      <c r="K309" s="20" t="inlineStr">
        <is>
          <t>Non-Captive</t>
        </is>
      </c>
      <c r="L309" s="20" t="inlineStr">
        <is>
          <t>Santhosh Cars</t>
        </is>
      </c>
      <c r="M309" s="23" t="n">
        <v>5084.75</v>
      </c>
      <c r="N309" s="23" t="n">
        <v>6000</v>
      </c>
      <c r="O309" s="24">
        <f>IF(AND(ISNUMBER(M309), ISNUMBER(I309), I309&gt;0), M309/I309, "")</f>
        <v/>
      </c>
    </row>
    <row r="310">
      <c r="A310" s="19" t="inlineStr">
        <is>
          <t>FY26</t>
        </is>
      </c>
      <c r="B310" s="19" t="inlineStr">
        <is>
          <t>Jan</t>
        </is>
      </c>
      <c r="C310" s="19" t="inlineStr">
        <is>
          <t>TN</t>
        </is>
      </c>
      <c r="D310" s="20" t="inlineStr">
        <is>
          <t>TN49CB9829</t>
        </is>
      </c>
      <c r="E310" s="20" t="inlineStr">
        <is>
          <t>MARUTI SUZUKI</t>
        </is>
      </c>
      <c r="F310" s="20" t="inlineStr">
        <is>
          <t>Ertiga</t>
        </is>
      </c>
      <c r="G310" s="21" t="n">
        <v>2020</v>
      </c>
      <c r="H310" s="22" t="n">
        <v>51803</v>
      </c>
      <c r="I310" s="23" t="n">
        <v>700000</v>
      </c>
      <c r="J310" s="20" t="inlineStr">
        <is>
          <t>Khivraj Motor</t>
        </is>
      </c>
      <c r="K310" s="20" t="inlineStr">
        <is>
          <t>Non-Captive</t>
        </is>
      </c>
      <c r="L310" s="20" t="inlineStr">
        <is>
          <t>Thiya Cars</t>
        </is>
      </c>
      <c r="M310" s="23" t="n">
        <v>8474.58</v>
      </c>
      <c r="N310" s="23" t="n">
        <v>10000</v>
      </c>
      <c r="O310" s="24">
        <f>IF(AND(ISNUMBER(M310), ISNUMBER(I310), I310&gt;0), M310/I310, "")</f>
        <v/>
      </c>
    </row>
    <row r="311">
      <c r="A311" s="19" t="inlineStr">
        <is>
          <t>FY26</t>
        </is>
      </c>
      <c r="B311" s="19" t="inlineStr">
        <is>
          <t>Jan</t>
        </is>
      </c>
      <c r="C311" s="19" t="inlineStr">
        <is>
          <t>TN</t>
        </is>
      </c>
      <c r="D311" s="20" t="inlineStr">
        <is>
          <t>TN05BE2653</t>
        </is>
      </c>
      <c r="E311" s="20" t="inlineStr">
        <is>
          <t>MARUTI SUZUKI</t>
        </is>
      </c>
      <c r="F311" s="20" t="inlineStr">
        <is>
          <t>Baleno</t>
        </is>
      </c>
      <c r="G311" s="21" t="n">
        <v>2016</v>
      </c>
      <c r="H311" s="22" t="n">
        <v>63234</v>
      </c>
      <c r="I311" s="23" t="n">
        <v>410000</v>
      </c>
      <c r="J311" s="20" t="inlineStr">
        <is>
          <t>Khivraj Motor</t>
        </is>
      </c>
      <c r="K311" s="20" t="inlineStr">
        <is>
          <t>Non-Captive</t>
        </is>
      </c>
      <c r="L311" s="20" t="inlineStr">
        <is>
          <t>Omega Car Zone</t>
        </is>
      </c>
      <c r="M311" s="23" t="n">
        <v>5084.75</v>
      </c>
      <c r="N311" s="23" t="n">
        <v>6000</v>
      </c>
      <c r="O311" s="24">
        <f>IF(AND(ISNUMBER(M311), ISNUMBER(I311), I311&gt;0), M311/I311, "")</f>
        <v/>
      </c>
    </row>
    <row r="312">
      <c r="A312" s="19" t="inlineStr">
        <is>
          <t>FY26</t>
        </is>
      </c>
      <c r="B312" s="19" t="inlineStr">
        <is>
          <t>Jan</t>
        </is>
      </c>
      <c r="C312" s="19" t="inlineStr">
        <is>
          <t>TN</t>
        </is>
      </c>
      <c r="D312" s="20" t="inlineStr">
        <is>
          <t>TN13L1572</t>
        </is>
      </c>
      <c r="E312" s="20" t="inlineStr">
        <is>
          <t>MAHINDRA</t>
        </is>
      </c>
      <c r="F312" s="20" t="inlineStr">
        <is>
          <t>Tuv300</t>
        </is>
      </c>
      <c r="G312" s="21" t="n">
        <v>2017</v>
      </c>
      <c r="H312" s="22" t="n">
        <v>44537</v>
      </c>
      <c r="I312" s="23" t="n">
        <v>485000</v>
      </c>
      <c r="J312" s="20" t="inlineStr">
        <is>
          <t>Khivraj Motor</t>
        </is>
      </c>
      <c r="K312" s="20" t="inlineStr">
        <is>
          <t>Non-Captive</t>
        </is>
      </c>
      <c r="L312" s="20" t="inlineStr">
        <is>
          <t>Pine Autos</t>
        </is>
      </c>
      <c r="M312" s="23" t="n">
        <v>8474.58</v>
      </c>
      <c r="N312" s="23" t="n">
        <v>10000</v>
      </c>
      <c r="O312" s="24">
        <f>IF(AND(ISNUMBER(M312), ISNUMBER(I312), I312&gt;0), M312/I312, "")</f>
        <v/>
      </c>
    </row>
    <row r="313">
      <c r="A313" s="19" t="inlineStr">
        <is>
          <t>FY26</t>
        </is>
      </c>
      <c r="B313" s="19" t="inlineStr">
        <is>
          <t>Jan</t>
        </is>
      </c>
      <c r="C313" s="19" t="inlineStr">
        <is>
          <t>TN</t>
        </is>
      </c>
      <c r="D313" s="20" t="inlineStr">
        <is>
          <t>KL01BH3507</t>
        </is>
      </c>
      <c r="E313" s="20" t="inlineStr">
        <is>
          <t>FORD</t>
        </is>
      </c>
      <c r="F313" s="20" t="inlineStr">
        <is>
          <t>Fiesta</t>
        </is>
      </c>
      <c r="G313" s="21" t="n">
        <v>2012</v>
      </c>
      <c r="H313" s="22" t="n">
        <v>63336</v>
      </c>
      <c r="I313" s="23" t="n">
        <v>170000</v>
      </c>
      <c r="J313" s="20" t="inlineStr">
        <is>
          <t>Kirali Toyota</t>
        </is>
      </c>
      <c r="K313" s="20" t="inlineStr">
        <is>
          <t>Non-Captive</t>
        </is>
      </c>
      <c r="L313" s="20" t="inlineStr">
        <is>
          <t>Shamnad AH</t>
        </is>
      </c>
      <c r="M313" s="23" t="n">
        <v>5932.2</v>
      </c>
      <c r="N313" s="23" t="n">
        <v>7000</v>
      </c>
      <c r="O313" s="24">
        <f>IF(AND(ISNUMBER(M313), ISNUMBER(I313), I313&gt;0), M313/I313, "")</f>
        <v/>
      </c>
    </row>
    <row r="314">
      <c r="A314" s="19" t="inlineStr">
        <is>
          <t>FY26</t>
        </is>
      </c>
      <c r="B314" s="19" t="inlineStr">
        <is>
          <t>Jan</t>
        </is>
      </c>
      <c r="C314" s="19" t="inlineStr">
        <is>
          <t>TN</t>
        </is>
      </c>
      <c r="D314" s="20" t="inlineStr">
        <is>
          <t>KL21F0165</t>
        </is>
      </c>
      <c r="E314" s="20" t="inlineStr">
        <is>
          <t>FORD</t>
        </is>
      </c>
      <c r="F314" s="20" t="inlineStr">
        <is>
          <t>Fiesta</t>
        </is>
      </c>
      <c r="G314" s="21" t="n">
        <v>2012</v>
      </c>
      <c r="H314" s="22" t="n">
        <v>126132</v>
      </c>
      <c r="I314" s="23" t="n">
        <v>170000</v>
      </c>
      <c r="J314" s="20" t="inlineStr">
        <is>
          <t>Kirali Toyota</t>
        </is>
      </c>
      <c r="K314" s="20" t="inlineStr">
        <is>
          <t>Non-Captive</t>
        </is>
      </c>
      <c r="L314" s="20" t="inlineStr">
        <is>
          <t>Shamnad AH</t>
        </is>
      </c>
      <c r="M314" s="23" t="n">
        <v>5932.2</v>
      </c>
      <c r="N314" s="23" t="n">
        <v>7000</v>
      </c>
      <c r="O314" s="24">
        <f>IF(AND(ISNUMBER(M314), ISNUMBER(I314), I314&gt;0), M314/I314, "")</f>
        <v/>
      </c>
    </row>
    <row r="315">
      <c r="A315" s="19" t="inlineStr">
        <is>
          <t>FY26</t>
        </is>
      </c>
      <c r="B315" s="19" t="inlineStr">
        <is>
          <t>Jan</t>
        </is>
      </c>
      <c r="C315" s="19" t="inlineStr">
        <is>
          <t>TN</t>
        </is>
      </c>
      <c r="D315" s="20" t="inlineStr">
        <is>
          <t>KL01BU2421</t>
        </is>
      </c>
      <c r="E315" s="20" t="inlineStr">
        <is>
          <t>HYUNDAI</t>
        </is>
      </c>
      <c r="F315" s="20" t="inlineStr">
        <is>
          <t>Asta</t>
        </is>
      </c>
      <c r="G315" s="21" t="n">
        <v>2015</v>
      </c>
      <c r="H315" s="22" t="n">
        <v>18676</v>
      </c>
      <c r="I315" s="23" t="n">
        <v>320000</v>
      </c>
      <c r="J315" s="20" t="inlineStr">
        <is>
          <t>Nippon Motor Corporation Pvt Ltd</t>
        </is>
      </c>
      <c r="K315" s="20" t="inlineStr">
        <is>
          <t>Non-Captive</t>
        </is>
      </c>
      <c r="L315" s="20" t="inlineStr">
        <is>
          <t>Popular Thrissur</t>
        </is>
      </c>
      <c r="M315" s="23" t="n">
        <v>5000</v>
      </c>
      <c r="N315" s="23" t="n">
        <v>5900</v>
      </c>
      <c r="O315" s="24">
        <f>IF(AND(ISNUMBER(M315), ISNUMBER(I315), I315&gt;0), M315/I315, "")</f>
        <v/>
      </c>
    </row>
    <row r="316">
      <c r="A316" s="19" t="inlineStr">
        <is>
          <t>FY26</t>
        </is>
      </c>
      <c r="B316" s="19" t="inlineStr">
        <is>
          <t>Jan</t>
        </is>
      </c>
      <c r="C316" s="19" t="inlineStr">
        <is>
          <t>TN</t>
        </is>
      </c>
      <c r="D316" s="20" t="inlineStr">
        <is>
          <t>KL22R2669</t>
        </is>
      </c>
      <c r="E316" s="20" t="inlineStr">
        <is>
          <t>MARUTI SUZUKI</t>
        </is>
      </c>
      <c r="F316" s="20" t="inlineStr">
        <is>
          <t>Alto</t>
        </is>
      </c>
      <c r="G316" s="21" t="n">
        <v>2022</v>
      </c>
      <c r="H316" s="22" t="n">
        <v>18641</v>
      </c>
      <c r="I316" s="23" t="n">
        <v>360000</v>
      </c>
      <c r="J316" s="20" t="inlineStr">
        <is>
          <t>Nippon Motor Corporation Pvt Ltd</t>
        </is>
      </c>
      <c r="K316" s="20" t="inlineStr">
        <is>
          <t>Non-Captive</t>
        </is>
      </c>
      <c r="L316" s="20" t="inlineStr">
        <is>
          <t>Popular Thrissur</t>
        </is>
      </c>
      <c r="M316" s="23" t="n">
        <v>5000</v>
      </c>
      <c r="N316" s="23" t="n">
        <v>5900</v>
      </c>
      <c r="O316" s="24">
        <f>IF(AND(ISNUMBER(M316), ISNUMBER(I316), I316&gt;0), M316/I316, "")</f>
        <v/>
      </c>
    </row>
    <row r="317">
      <c r="A317" s="19" t="inlineStr">
        <is>
          <t>FY26</t>
        </is>
      </c>
      <c r="B317" s="19" t="inlineStr">
        <is>
          <t>Jan</t>
        </is>
      </c>
      <c r="C317" s="19" t="inlineStr">
        <is>
          <t>TN</t>
        </is>
      </c>
      <c r="D317" s="20" t="inlineStr">
        <is>
          <t>TN09CE3343</t>
        </is>
      </c>
      <c r="E317" s="20" t="inlineStr">
        <is>
          <t>MARUTI SUZUKI</t>
        </is>
      </c>
      <c r="F317" s="20" t="inlineStr">
        <is>
          <t>Wagon R</t>
        </is>
      </c>
      <c r="G317" s="21" t="n">
        <v>2016</v>
      </c>
      <c r="H317" s="22" t="n">
        <v>123540</v>
      </c>
      <c r="I317" s="23" t="n">
        <v>270000</v>
      </c>
      <c r="J317" s="20" t="inlineStr">
        <is>
          <t>Nirmal</t>
        </is>
      </c>
      <c r="K317" s="20" t="inlineStr">
        <is>
          <t>Non-Captive</t>
        </is>
      </c>
      <c r="L317" s="20" t="inlineStr">
        <is>
          <t>Ragupathy Cars</t>
        </is>
      </c>
      <c r="M317" s="23" t="n">
        <v>4237.29</v>
      </c>
      <c r="N317" s="23" t="n">
        <v>5000</v>
      </c>
      <c r="O317" s="24">
        <f>IF(AND(ISNUMBER(M317), ISNUMBER(I317), I317&gt;0), M317/I317, "")</f>
        <v/>
      </c>
    </row>
    <row r="318">
      <c r="A318" s="19" t="inlineStr">
        <is>
          <t>FY26</t>
        </is>
      </c>
      <c r="B318" s="19" t="inlineStr">
        <is>
          <t>Jan</t>
        </is>
      </c>
      <c r="C318" s="19" t="inlineStr">
        <is>
          <t>TN</t>
        </is>
      </c>
      <c r="D318" s="20" t="inlineStr">
        <is>
          <t>TN06B2738</t>
        </is>
      </c>
      <c r="E318" s="20" t="inlineStr">
        <is>
          <t>HYUNDAI</t>
        </is>
      </c>
      <c r="F318" s="20" t="inlineStr">
        <is>
          <t>I10</t>
        </is>
      </c>
      <c r="G318" s="21" t="n">
        <v>2010</v>
      </c>
      <c r="H318" s="22" t="n">
        <v>124567</v>
      </c>
      <c r="I318" s="23" t="n">
        <v>180000</v>
      </c>
      <c r="J318" s="20" t="inlineStr">
        <is>
          <t>Nirmal</t>
        </is>
      </c>
      <c r="K318" s="20" t="inlineStr">
        <is>
          <t>Non-Captive</t>
        </is>
      </c>
      <c r="L318" s="20" t="inlineStr">
        <is>
          <t>Ragupathy Cars</t>
        </is>
      </c>
      <c r="M318" s="23" t="n">
        <v>4237.29</v>
      </c>
      <c r="N318" s="23" t="n">
        <v>5000</v>
      </c>
      <c r="O318" s="24">
        <f>IF(AND(ISNUMBER(M318), ISNUMBER(I318), I318&gt;0), M318/I318, "")</f>
        <v/>
      </c>
    </row>
    <row r="319">
      <c r="A319" s="19" t="inlineStr">
        <is>
          <t>FY26</t>
        </is>
      </c>
      <c r="B319" s="19" t="inlineStr">
        <is>
          <t>Jan</t>
        </is>
      </c>
      <c r="C319" s="19" t="inlineStr">
        <is>
          <t>TN</t>
        </is>
      </c>
      <c r="D319" s="20" t="inlineStr">
        <is>
          <t>KL24L2932</t>
        </is>
      </c>
      <c r="E319" s="20" t="inlineStr">
        <is>
          <t>HONDA</t>
        </is>
      </c>
      <c r="F319" s="20" t="inlineStr">
        <is>
          <t>Jazz</t>
        </is>
      </c>
      <c r="G319" s="21" t="n"/>
      <c r="H319" s="22" t="n"/>
      <c r="I319" s="23" t="n">
        <v>350000</v>
      </c>
      <c r="J319" s="20" t="inlineStr">
        <is>
          <t>Nippon Motor Corporation Pvt Ltd</t>
        </is>
      </c>
      <c r="K319" s="20" t="inlineStr">
        <is>
          <t>Non-Captive</t>
        </is>
      </c>
      <c r="L319" s="20" t="inlineStr">
        <is>
          <t>Shamnad AH</t>
        </is>
      </c>
      <c r="M319" s="23" t="n">
        <v>5932.2</v>
      </c>
      <c r="N319" s="23" t="n">
        <v>7000</v>
      </c>
      <c r="O319" s="24">
        <f>IF(AND(ISNUMBER(M319), ISNUMBER(I319), I319&gt;0), M319/I319, "")</f>
        <v/>
      </c>
    </row>
    <row r="320">
      <c r="A320" s="19" t="inlineStr">
        <is>
          <t>FY26</t>
        </is>
      </c>
      <c r="B320" s="19" t="inlineStr">
        <is>
          <t>Jan</t>
        </is>
      </c>
      <c r="C320" s="19" t="inlineStr">
        <is>
          <t>TN</t>
        </is>
      </c>
      <c r="D320" s="20" t="inlineStr">
        <is>
          <t>KL29M9531</t>
        </is>
      </c>
      <c r="E320" s="20" t="inlineStr">
        <is>
          <t>HYUNDAI</t>
        </is>
      </c>
      <c r="F320" s="20" t="inlineStr">
        <is>
          <t>Verna</t>
        </is>
      </c>
      <c r="G320" s="21" t="n"/>
      <c r="H320" s="22" t="n"/>
      <c r="I320" s="23" t="n">
        <v>360000</v>
      </c>
      <c r="J320" s="20" t="inlineStr">
        <is>
          <t>Nippon Motor Corporation Pvt Ltd</t>
        </is>
      </c>
      <c r="K320" s="20" t="inlineStr">
        <is>
          <t>Non-Captive</t>
        </is>
      </c>
      <c r="L320" s="20" t="inlineStr">
        <is>
          <t>Shamnad AH</t>
        </is>
      </c>
      <c r="M320" s="23" t="n">
        <v>5932.2</v>
      </c>
      <c r="N320" s="23" t="n">
        <v>7000</v>
      </c>
      <c r="O320" s="24">
        <f>IF(AND(ISNUMBER(M320), ISNUMBER(I320), I320&gt;0), M320/I320, "")</f>
        <v/>
      </c>
    </row>
    <row r="321">
      <c r="A321" s="19" t="inlineStr">
        <is>
          <t>FY26</t>
        </is>
      </c>
      <c r="B321" s="19" t="inlineStr">
        <is>
          <t>Jan</t>
        </is>
      </c>
      <c r="C321" s="19" t="inlineStr">
        <is>
          <t>TN</t>
        </is>
      </c>
      <c r="D321" s="20" t="inlineStr">
        <is>
          <t>TN13H5670</t>
        </is>
      </c>
      <c r="E321" s="20" t="inlineStr">
        <is>
          <t>TATA</t>
        </is>
      </c>
      <c r="F321" s="20" t="inlineStr">
        <is>
          <t>Tiago</t>
        </is>
      </c>
      <c r="G321" s="21" t="n">
        <v>2017</v>
      </c>
      <c r="H321" s="22" t="n">
        <v>79008</v>
      </c>
      <c r="I321" s="23" t="n">
        <v>250000</v>
      </c>
      <c r="J321" s="20" t="inlineStr">
        <is>
          <t>Lakshmi Tata</t>
        </is>
      </c>
      <c r="K321" s="20" t="inlineStr">
        <is>
          <t>Non-Captive</t>
        </is>
      </c>
      <c r="L321" s="20" t="inlineStr">
        <is>
          <t>Omega Car Zone</t>
        </is>
      </c>
      <c r="M321" s="23" t="n">
        <v>4237.29</v>
      </c>
      <c r="N321" s="23" t="n">
        <v>5000</v>
      </c>
      <c r="O321" s="24">
        <f>IF(AND(ISNUMBER(M321), ISNUMBER(I321), I321&gt;0), M321/I321, "")</f>
        <v/>
      </c>
    </row>
    <row r="322">
      <c r="A322" s="19" t="inlineStr">
        <is>
          <t>FY26</t>
        </is>
      </c>
      <c r="B322" s="19" t="inlineStr">
        <is>
          <t>Jan</t>
        </is>
      </c>
      <c r="C322" s="19" t="inlineStr">
        <is>
          <t>TN</t>
        </is>
      </c>
      <c r="D322" s="20" t="inlineStr">
        <is>
          <t>TN10BB1885</t>
        </is>
      </c>
      <c r="E322" s="20" t="inlineStr">
        <is>
          <t>MARUTI SUZUKI</t>
        </is>
      </c>
      <c r="F322" s="20" t="inlineStr">
        <is>
          <t>Swift Dzire</t>
        </is>
      </c>
      <c r="G322" s="21" t="n">
        <v>2017</v>
      </c>
      <c r="H322" s="22" t="n">
        <v>110113</v>
      </c>
      <c r="I322" s="23" t="n">
        <v>400000</v>
      </c>
      <c r="J322" s="20" t="inlineStr">
        <is>
          <t>Lakshmi Tata</t>
        </is>
      </c>
      <c r="K322" s="20" t="inlineStr">
        <is>
          <t>Non-Captive</t>
        </is>
      </c>
      <c r="L322" s="20" t="inlineStr">
        <is>
          <t>Thiya Cars</t>
        </is>
      </c>
      <c r="M322" s="23" t="n">
        <v>4237.29</v>
      </c>
      <c r="N322" s="23" t="n">
        <v>5000</v>
      </c>
      <c r="O322" s="24">
        <f>IF(AND(ISNUMBER(M322), ISNUMBER(I322), I322&gt;0), M322/I322, "")</f>
        <v/>
      </c>
    </row>
    <row r="323">
      <c r="A323" s="19" t="inlineStr">
        <is>
          <t>FY26</t>
        </is>
      </c>
      <c r="B323" s="19" t="inlineStr">
        <is>
          <t>Jan</t>
        </is>
      </c>
      <c r="C323" s="19" t="inlineStr">
        <is>
          <t>TN</t>
        </is>
      </c>
      <c r="D323" s="20" t="inlineStr">
        <is>
          <t>TN12AM7659</t>
        </is>
      </c>
      <c r="E323" s="20" t="inlineStr">
        <is>
          <t>RENAULT</t>
        </is>
      </c>
      <c r="F323" s="20" t="inlineStr">
        <is>
          <t>Kiger</t>
        </is>
      </c>
      <c r="G323" s="21" t="n">
        <v>2021</v>
      </c>
      <c r="H323" s="22" t="n">
        <v>41621</v>
      </c>
      <c r="I323" s="23" t="n">
        <v>260000</v>
      </c>
      <c r="J323" s="20" t="inlineStr">
        <is>
          <t>Lakshmi Tata</t>
        </is>
      </c>
      <c r="K323" s="20" t="inlineStr">
        <is>
          <t>Non-Captive</t>
        </is>
      </c>
      <c r="L323" s="20" t="inlineStr">
        <is>
          <t>Thiya Cars</t>
        </is>
      </c>
      <c r="M323" s="23" t="n">
        <v>4237.29</v>
      </c>
      <c r="N323" s="23" t="n">
        <v>5000</v>
      </c>
      <c r="O323" s="24">
        <f>IF(AND(ISNUMBER(M323), ISNUMBER(I323), I323&gt;0), M323/I323, "")</f>
        <v/>
      </c>
    </row>
    <row r="324">
      <c r="A324" s="19" t="inlineStr">
        <is>
          <t>FY26</t>
        </is>
      </c>
      <c r="B324" s="19" t="inlineStr">
        <is>
          <t>Jan</t>
        </is>
      </c>
      <c r="C324" s="19" t="inlineStr">
        <is>
          <t>TN</t>
        </is>
      </c>
      <c r="D324" s="20" t="inlineStr">
        <is>
          <t>TN02BC1360</t>
        </is>
      </c>
      <c r="E324" s="20" t="inlineStr">
        <is>
          <t>RENAULT</t>
        </is>
      </c>
      <c r="F324" s="20" t="inlineStr">
        <is>
          <t>Logdy</t>
        </is>
      </c>
      <c r="G324" s="21" t="n">
        <v>2015</v>
      </c>
      <c r="H324" s="22" t="n">
        <v>67756</v>
      </c>
      <c r="I324" s="23" t="n">
        <v>300000</v>
      </c>
      <c r="J324" s="20" t="inlineStr">
        <is>
          <t>Lakshmi Tata</t>
        </is>
      </c>
      <c r="K324" s="20" t="inlineStr">
        <is>
          <t>Non-Captive</t>
        </is>
      </c>
      <c r="L324" s="20" t="inlineStr">
        <is>
          <t>Thiya Cars</t>
        </is>
      </c>
      <c r="M324" s="23" t="n">
        <v>4237.29</v>
      </c>
      <c r="N324" s="23" t="n">
        <v>5000</v>
      </c>
      <c r="O324" s="24">
        <f>IF(AND(ISNUMBER(M324), ISNUMBER(I324), I324&gt;0), M324/I324, "")</f>
        <v/>
      </c>
    </row>
    <row r="325">
      <c r="A325" s="19" t="inlineStr">
        <is>
          <t>FY26</t>
        </is>
      </c>
      <c r="B325" s="19" t="inlineStr">
        <is>
          <t>Jan</t>
        </is>
      </c>
      <c r="C325" s="19" t="inlineStr">
        <is>
          <t>TN</t>
        </is>
      </c>
      <c r="D325" s="20" t="inlineStr">
        <is>
          <t>TN13E0081</t>
        </is>
      </c>
      <c r="E325" s="20" t="inlineStr">
        <is>
          <t>MARUTI SUZUKI</t>
        </is>
      </c>
      <c r="F325" s="20" t="inlineStr">
        <is>
          <t>Alto</t>
        </is>
      </c>
      <c r="G325" s="21" t="n">
        <v>2016</v>
      </c>
      <c r="H325" s="22" t="n">
        <v>44733</v>
      </c>
      <c r="I325" s="23" t="n">
        <v>150000</v>
      </c>
      <c r="J325" s="20" t="inlineStr">
        <is>
          <t>Lakshmi Tata</t>
        </is>
      </c>
      <c r="K325" s="20" t="inlineStr">
        <is>
          <t>Non-Captive</t>
        </is>
      </c>
      <c r="L325" s="20" t="inlineStr">
        <is>
          <t>Thiya Cars</t>
        </is>
      </c>
      <c r="M325" s="23" t="n">
        <v>4237.29</v>
      </c>
      <c r="N325" s="23" t="n">
        <v>5000</v>
      </c>
      <c r="O325" s="24">
        <f>IF(AND(ISNUMBER(M325), ISNUMBER(I325), I325&gt;0), M325/I325, "")</f>
        <v/>
      </c>
    </row>
    <row r="326">
      <c r="A326" s="19" t="inlineStr">
        <is>
          <t>FY26</t>
        </is>
      </c>
      <c r="B326" s="19" t="inlineStr">
        <is>
          <t>Jan</t>
        </is>
      </c>
      <c r="C326" s="19" t="inlineStr">
        <is>
          <t>TN</t>
        </is>
      </c>
      <c r="D326" s="20" t="inlineStr">
        <is>
          <t>TN12E7768</t>
        </is>
      </c>
      <c r="E326" s="20" t="inlineStr">
        <is>
          <t>HYUNDAI</t>
        </is>
      </c>
      <c r="F326" s="20" t="inlineStr">
        <is>
          <t>Grand I10</t>
        </is>
      </c>
      <c r="G326" s="21" t="n">
        <v>2014</v>
      </c>
      <c r="H326" s="22" t="n">
        <v>77642</v>
      </c>
      <c r="I326" s="23" t="n">
        <v>200000</v>
      </c>
      <c r="J326" s="20" t="inlineStr">
        <is>
          <t>Lakshmi Tata</t>
        </is>
      </c>
      <c r="K326" s="20" t="inlineStr">
        <is>
          <t>Non-Captive</t>
        </is>
      </c>
      <c r="L326" s="20" t="inlineStr">
        <is>
          <t>Thiya Cars</t>
        </is>
      </c>
      <c r="M326" s="23" t="n">
        <v>4237.29</v>
      </c>
      <c r="N326" s="23" t="n">
        <v>5000</v>
      </c>
      <c r="O326" s="24">
        <f>IF(AND(ISNUMBER(M326), ISNUMBER(I326), I326&gt;0), M326/I326, "")</f>
        <v/>
      </c>
    </row>
    <row r="327">
      <c r="A327" s="19" t="inlineStr">
        <is>
          <t>FY26</t>
        </is>
      </c>
      <c r="B327" s="19" t="inlineStr">
        <is>
          <t>Jan</t>
        </is>
      </c>
      <c r="C327" s="19" t="inlineStr">
        <is>
          <t>TN</t>
        </is>
      </c>
      <c r="D327" s="20" t="inlineStr">
        <is>
          <t>TN01U6000</t>
        </is>
      </c>
      <c r="E327" s="20" t="inlineStr">
        <is>
          <t>MARUTI SUZUKI</t>
        </is>
      </c>
      <c r="F327" s="20" t="inlineStr">
        <is>
          <t>Alto</t>
        </is>
      </c>
      <c r="G327" s="21" t="n">
        <v>1998</v>
      </c>
      <c r="H327" s="22" t="n">
        <v>73444</v>
      </c>
      <c r="I327" s="23" t="n">
        <v>25000</v>
      </c>
      <c r="J327" s="20" t="inlineStr">
        <is>
          <t>Lakshmi Tata</t>
        </is>
      </c>
      <c r="K327" s="20" t="inlineStr">
        <is>
          <t>Non-Captive</t>
        </is>
      </c>
      <c r="L327" s="20" t="inlineStr">
        <is>
          <t>Thiya Cars</t>
        </is>
      </c>
      <c r="M327" s="23" t="n">
        <v>4237.29</v>
      </c>
      <c r="N327" s="23" t="n">
        <v>5000</v>
      </c>
      <c r="O327" s="24">
        <f>IF(AND(ISNUMBER(M327), ISNUMBER(I327), I327&gt;0), M327/I327, "")</f>
        <v/>
      </c>
    </row>
    <row r="328">
      <c r="A328" s="19" t="inlineStr">
        <is>
          <t>FY26</t>
        </is>
      </c>
      <c r="B328" s="19" t="inlineStr">
        <is>
          <t>Jan</t>
        </is>
      </c>
      <c r="C328" s="19" t="inlineStr">
        <is>
          <t>TN</t>
        </is>
      </c>
      <c r="D328" s="20" t="inlineStr">
        <is>
          <t>TN22CD7366</t>
        </is>
      </c>
      <c r="E328" s="20" t="inlineStr">
        <is>
          <t>MARUTI SUZUKI</t>
        </is>
      </c>
      <c r="F328" s="20" t="inlineStr">
        <is>
          <t>Swift</t>
        </is>
      </c>
      <c r="G328" s="21" t="n">
        <v>2012</v>
      </c>
      <c r="H328" s="22" t="n">
        <v>55256</v>
      </c>
      <c r="I328" s="23" t="n">
        <v>160000</v>
      </c>
      <c r="J328" s="20" t="inlineStr">
        <is>
          <t>Lakshmi Tata</t>
        </is>
      </c>
      <c r="K328" s="20" t="inlineStr">
        <is>
          <t>Non-Captive</t>
        </is>
      </c>
      <c r="L328" s="20" t="inlineStr">
        <is>
          <t>Thiya Cars</t>
        </is>
      </c>
      <c r="M328" s="23" t="n">
        <v>4237.29</v>
      </c>
      <c r="N328" s="23" t="n">
        <v>5000</v>
      </c>
      <c r="O328" s="24">
        <f>IF(AND(ISNUMBER(M328), ISNUMBER(I328), I328&gt;0), M328/I328, "")</f>
        <v/>
      </c>
    </row>
    <row r="329">
      <c r="A329" s="19" t="inlineStr">
        <is>
          <t>FY26</t>
        </is>
      </c>
      <c r="B329" s="19" t="inlineStr">
        <is>
          <t>Jan</t>
        </is>
      </c>
      <c r="C329" s="19" t="inlineStr">
        <is>
          <t>TN</t>
        </is>
      </c>
      <c r="D329" s="20" t="inlineStr">
        <is>
          <t>TN07AL9019</t>
        </is>
      </c>
      <c r="E329" s="20" t="inlineStr">
        <is>
          <t>HONDA</t>
        </is>
      </c>
      <c r="F329" s="20" t="inlineStr">
        <is>
          <t>City</t>
        </is>
      </c>
      <c r="G329" s="21" t="n">
        <v>2007</v>
      </c>
      <c r="H329" s="22" t="n">
        <v>94292</v>
      </c>
      <c r="I329" s="23" t="n">
        <v>100000</v>
      </c>
      <c r="J329" s="20" t="inlineStr">
        <is>
          <t>Lakshmi Tata</t>
        </is>
      </c>
      <c r="K329" s="20" t="inlineStr">
        <is>
          <t>Non-Captive</t>
        </is>
      </c>
      <c r="L329" s="20" t="inlineStr">
        <is>
          <t>Thiya Cars</t>
        </is>
      </c>
      <c r="M329" s="23" t="n">
        <v>4237.29</v>
      </c>
      <c r="N329" s="23" t="n">
        <v>5000</v>
      </c>
      <c r="O329" s="24">
        <f>IF(AND(ISNUMBER(M329), ISNUMBER(I329), I329&gt;0), M329/I329, "")</f>
        <v/>
      </c>
    </row>
    <row r="330">
      <c r="A330" s="19" t="inlineStr">
        <is>
          <t>FY26</t>
        </is>
      </c>
      <c r="B330" s="19" t="inlineStr">
        <is>
          <t>Jan</t>
        </is>
      </c>
      <c r="C330" s="19" t="inlineStr">
        <is>
          <t>TN</t>
        </is>
      </c>
      <c r="D330" s="20" t="inlineStr">
        <is>
          <t>TN18P1035</t>
        </is>
      </c>
      <c r="E330" s="20" t="inlineStr">
        <is>
          <t>VOLKSWAGEN</t>
        </is>
      </c>
      <c r="F330" s="20" t="inlineStr">
        <is>
          <t>Polo</t>
        </is>
      </c>
      <c r="G330" s="21" t="n">
        <v>2012</v>
      </c>
      <c r="H330" s="22" t="n">
        <v>131005</v>
      </c>
      <c r="I330" s="23" t="n">
        <v>200000</v>
      </c>
      <c r="J330" s="20" t="inlineStr">
        <is>
          <t>Lakshmi Tata</t>
        </is>
      </c>
      <c r="K330" s="20" t="inlineStr">
        <is>
          <t>Non-Captive</t>
        </is>
      </c>
      <c r="L330" s="20" t="inlineStr">
        <is>
          <t>Thiya Cars</t>
        </is>
      </c>
      <c r="M330" s="23" t="n">
        <v>4237.29</v>
      </c>
      <c r="N330" s="23" t="n">
        <v>5000</v>
      </c>
      <c r="O330" s="24">
        <f>IF(AND(ISNUMBER(M330), ISNUMBER(I330), I330&gt;0), M330/I330, "")</f>
        <v/>
      </c>
    </row>
    <row r="331">
      <c r="A331" s="19" t="inlineStr">
        <is>
          <t>FY26</t>
        </is>
      </c>
      <c r="B331" s="19" t="inlineStr">
        <is>
          <t>Jan</t>
        </is>
      </c>
      <c r="C331" s="19" t="inlineStr">
        <is>
          <t>TN</t>
        </is>
      </c>
      <c r="D331" s="20" t="inlineStr">
        <is>
          <t>TN14W0344</t>
        </is>
      </c>
      <c r="E331" s="20" t="inlineStr">
        <is>
          <t>TATA</t>
        </is>
      </c>
      <c r="F331" s="20" t="inlineStr">
        <is>
          <t>Tiago</t>
        </is>
      </c>
      <c r="G331" s="21" t="n">
        <v>2019</v>
      </c>
      <c r="H331" s="22" t="n">
        <v>72435</v>
      </c>
      <c r="I331" s="23" t="n">
        <v>270000</v>
      </c>
      <c r="J331" s="20" t="inlineStr">
        <is>
          <t>Lakshmi Tata</t>
        </is>
      </c>
      <c r="K331" s="20" t="inlineStr">
        <is>
          <t>Non-Captive</t>
        </is>
      </c>
      <c r="L331" s="20" t="inlineStr">
        <is>
          <t>Thiya Cars</t>
        </is>
      </c>
      <c r="M331" s="23" t="n">
        <v>4237.29</v>
      </c>
      <c r="N331" s="23" t="n">
        <v>5000</v>
      </c>
      <c r="O331" s="24">
        <f>IF(AND(ISNUMBER(M331), ISNUMBER(I331), I331&gt;0), M331/I331, "")</f>
        <v/>
      </c>
    </row>
    <row r="332">
      <c r="A332" s="19" t="inlineStr">
        <is>
          <t>FY26</t>
        </is>
      </c>
      <c r="B332" s="19" t="inlineStr">
        <is>
          <t>Jan</t>
        </is>
      </c>
      <c r="C332" s="19" t="inlineStr">
        <is>
          <t>TN</t>
        </is>
      </c>
      <c r="D332" s="20" t="inlineStr">
        <is>
          <t>TN03AB1023</t>
        </is>
      </c>
      <c r="E332" s="20" t="inlineStr">
        <is>
          <t>TATA</t>
        </is>
      </c>
      <c r="F332" s="20" t="inlineStr">
        <is>
          <t>Tiago</t>
        </is>
      </c>
      <c r="G332" s="21" t="n">
        <v>2019</v>
      </c>
      <c r="H332" s="22" t="n">
        <v>116457</v>
      </c>
      <c r="I332" s="23" t="n">
        <v>260000</v>
      </c>
      <c r="J332" s="20" t="inlineStr">
        <is>
          <t>Lakshmi Tata</t>
        </is>
      </c>
      <c r="K332" s="20" t="inlineStr">
        <is>
          <t>Non-Captive</t>
        </is>
      </c>
      <c r="L332" s="20" t="inlineStr">
        <is>
          <t>Thiya Cars</t>
        </is>
      </c>
      <c r="M332" s="23" t="n">
        <v>4237.29</v>
      </c>
      <c r="N332" s="23" t="n">
        <v>5000</v>
      </c>
      <c r="O332" s="24">
        <f>IF(AND(ISNUMBER(M332), ISNUMBER(I332), I332&gt;0), M332/I332, "")</f>
        <v/>
      </c>
    </row>
    <row r="333">
      <c r="A333" s="19" t="inlineStr">
        <is>
          <t>FY26</t>
        </is>
      </c>
      <c r="B333" s="19" t="inlineStr">
        <is>
          <t>Jan</t>
        </is>
      </c>
      <c r="C333" s="19" t="inlineStr">
        <is>
          <t>TN</t>
        </is>
      </c>
      <c r="D333" s="20" t="inlineStr">
        <is>
          <t>TN11U5393</t>
        </is>
      </c>
      <c r="E333" s="20" t="inlineStr">
        <is>
          <t>MARUTI SUZUKI</t>
        </is>
      </c>
      <c r="F333" s="20" t="inlineStr">
        <is>
          <t>Celerio</t>
        </is>
      </c>
      <c r="G333" s="21" t="n">
        <v>2016</v>
      </c>
      <c r="H333" s="22" t="n">
        <v>81088</v>
      </c>
      <c r="I333" s="23" t="n">
        <v>200000</v>
      </c>
      <c r="J333" s="20" t="inlineStr">
        <is>
          <t>VISHNU CARS PRIVATE LIMITED</t>
        </is>
      </c>
      <c r="K333" s="20" t="inlineStr">
        <is>
          <t>Non-Captive</t>
        </is>
      </c>
      <c r="L333" s="20" t="inlineStr">
        <is>
          <t>Thiya Cars</t>
        </is>
      </c>
      <c r="M333" s="23" t="n">
        <v>4237.29</v>
      </c>
      <c r="N333" s="23" t="n">
        <v>5000</v>
      </c>
      <c r="O333" s="24">
        <f>IF(AND(ISNUMBER(M333), ISNUMBER(I333), I333&gt;0), M333/I333, "")</f>
        <v/>
      </c>
    </row>
    <row r="334">
      <c r="A334" s="19" t="inlineStr">
        <is>
          <t>FY26</t>
        </is>
      </c>
      <c r="B334" s="19" t="inlineStr">
        <is>
          <t>Jan</t>
        </is>
      </c>
      <c r="C334" s="19" t="inlineStr">
        <is>
          <t>TN</t>
        </is>
      </c>
      <c r="D334" s="20" t="inlineStr">
        <is>
          <t>TN09BM0228</t>
        </is>
      </c>
      <c r="E334" s="20" t="inlineStr">
        <is>
          <t>MARUTI SUZUKI</t>
        </is>
      </c>
      <c r="F334" s="20" t="inlineStr">
        <is>
          <t>Swift</t>
        </is>
      </c>
      <c r="G334" s="21" t="n">
        <v>2011</v>
      </c>
      <c r="H334" s="22" t="n">
        <v>174000</v>
      </c>
      <c r="I334" s="23" t="n">
        <v>185000</v>
      </c>
      <c r="J334" s="20" t="inlineStr">
        <is>
          <t>Khivraj Motor</t>
        </is>
      </c>
      <c r="K334" s="20" t="inlineStr">
        <is>
          <t>Non-Captive</t>
        </is>
      </c>
      <c r="L334" s="20" t="inlineStr">
        <is>
          <t>Balakrishnan</t>
        </is>
      </c>
      <c r="M334" s="23" t="n">
        <v>5084.75</v>
      </c>
      <c r="N334" s="23" t="n">
        <v>6000</v>
      </c>
      <c r="O334" s="24">
        <f>IF(AND(ISNUMBER(M334), ISNUMBER(I334), I334&gt;0), M334/I334, "")</f>
        <v/>
      </c>
    </row>
    <row r="335">
      <c r="A335" s="19" t="inlineStr">
        <is>
          <t>FY26</t>
        </is>
      </c>
      <c r="B335" s="19" t="inlineStr">
        <is>
          <t>Jan</t>
        </is>
      </c>
      <c r="C335" s="19" t="inlineStr">
        <is>
          <t>TN</t>
        </is>
      </c>
      <c r="D335" s="20" t="inlineStr">
        <is>
          <t>TN30BL266</t>
        </is>
      </c>
      <c r="E335" s="20" t="inlineStr">
        <is>
          <t>MARUTI SUZUKI</t>
        </is>
      </c>
      <c r="F335" s="20" t="inlineStr">
        <is>
          <t>S-Cross</t>
        </is>
      </c>
      <c r="G335" s="21" t="n"/>
      <c r="H335" s="22" t="n"/>
      <c r="I335" s="23" t="n">
        <v>485000</v>
      </c>
      <c r="J335" s="20" t="inlineStr">
        <is>
          <t>Khivraj Motor</t>
        </is>
      </c>
      <c r="K335" s="20" t="inlineStr">
        <is>
          <t>Non-Captive</t>
        </is>
      </c>
      <c r="L335" s="20" t="inlineStr">
        <is>
          <t>Balakrishnan</t>
        </is>
      </c>
      <c r="M335" s="23" t="n">
        <v>5084.75</v>
      </c>
      <c r="N335" s="23" t="n">
        <v>6000</v>
      </c>
      <c r="O335" s="24">
        <f>IF(AND(ISNUMBER(M335), ISNUMBER(I335), I335&gt;0), M335/I335, "")</f>
        <v/>
      </c>
    </row>
    <row r="336">
      <c r="A336" s="19" t="inlineStr">
        <is>
          <t>FY26</t>
        </is>
      </c>
      <c r="B336" s="19" t="inlineStr">
        <is>
          <t>Jan</t>
        </is>
      </c>
      <c r="C336" s="19" t="inlineStr">
        <is>
          <t>TN</t>
        </is>
      </c>
      <c r="D336" s="20" t="inlineStr">
        <is>
          <t>TN09BA4646</t>
        </is>
      </c>
      <c r="E336" s="20" t="inlineStr">
        <is>
          <t>MARUTI SUZUKI</t>
        </is>
      </c>
      <c r="F336" s="20" t="inlineStr">
        <is>
          <t>Zen</t>
        </is>
      </c>
      <c r="G336" s="21" t="n">
        <v>2009</v>
      </c>
      <c r="H336" s="22" t="n">
        <v>82508</v>
      </c>
      <c r="I336" s="23" t="n">
        <v>90000</v>
      </c>
      <c r="J336" s="20" t="inlineStr">
        <is>
          <t>Khivraj Motor</t>
        </is>
      </c>
      <c r="K336" s="20" t="inlineStr">
        <is>
          <t>Non-Captive</t>
        </is>
      </c>
      <c r="L336" s="20" t="inlineStr">
        <is>
          <t>AAA Cars</t>
        </is>
      </c>
      <c r="M336" s="23" t="n">
        <v>5084.75</v>
      </c>
      <c r="N336" s="23" t="n">
        <v>6000</v>
      </c>
      <c r="O336" s="24">
        <f>IF(AND(ISNUMBER(M336), ISNUMBER(I336), I336&gt;0), M336/I336, "")</f>
        <v/>
      </c>
    </row>
    <row r="337">
      <c r="A337" s="19" t="inlineStr">
        <is>
          <t>FY26</t>
        </is>
      </c>
      <c r="B337" s="19" t="inlineStr">
        <is>
          <t>Jan</t>
        </is>
      </c>
      <c r="C337" s="19" t="inlineStr">
        <is>
          <t>TN</t>
        </is>
      </c>
      <c r="D337" s="20" t="inlineStr">
        <is>
          <t>TN01BB5113</t>
        </is>
      </c>
      <c r="E337" s="20" t="inlineStr">
        <is>
          <t>HYUNDAI</t>
        </is>
      </c>
      <c r="F337" s="20" t="inlineStr">
        <is>
          <t>Creta</t>
        </is>
      </c>
      <c r="G337" s="21" t="n">
        <v>2016</v>
      </c>
      <c r="H337" s="22" t="n">
        <v>67577</v>
      </c>
      <c r="I337" s="23" t="n">
        <v>465000</v>
      </c>
      <c r="J337" s="20" t="inlineStr">
        <is>
          <t>Khivraj Motor</t>
        </is>
      </c>
      <c r="K337" s="20" t="inlineStr">
        <is>
          <t>Non-Captive</t>
        </is>
      </c>
      <c r="L337" s="20" t="inlineStr">
        <is>
          <t>Aasim Motor</t>
        </is>
      </c>
      <c r="M337" s="23" t="n">
        <v>5084.75</v>
      </c>
      <c r="N337" s="23" t="n">
        <v>6000</v>
      </c>
      <c r="O337" s="24">
        <f>IF(AND(ISNUMBER(M337), ISNUMBER(I337), I337&gt;0), M337/I337, "")</f>
        <v/>
      </c>
    </row>
    <row r="338">
      <c r="A338" s="19" t="inlineStr">
        <is>
          <t>FY26</t>
        </is>
      </c>
      <c r="B338" s="19" t="inlineStr">
        <is>
          <t>Jan</t>
        </is>
      </c>
      <c r="C338" s="19" t="inlineStr">
        <is>
          <t>TN</t>
        </is>
      </c>
      <c r="D338" s="20" t="inlineStr">
        <is>
          <t>TN01AQ1698</t>
        </is>
      </c>
      <c r="E338" s="20" t="inlineStr">
        <is>
          <t>MARUTI SUZUKI</t>
        </is>
      </c>
      <c r="F338" s="20" t="inlineStr">
        <is>
          <t>Swift Dzire</t>
        </is>
      </c>
      <c r="G338" s="21" t="n">
        <v>2011</v>
      </c>
      <c r="H338" s="22" t="n">
        <v>65103</v>
      </c>
      <c r="I338" s="23" t="n">
        <v>173000</v>
      </c>
      <c r="J338" s="20" t="inlineStr">
        <is>
          <t>Khivraj Motor</t>
        </is>
      </c>
      <c r="K338" s="20" t="inlineStr">
        <is>
          <t>Non-Captive</t>
        </is>
      </c>
      <c r="L338" s="20" t="inlineStr">
        <is>
          <t>Surendhar Cars</t>
        </is>
      </c>
      <c r="M338" s="23" t="n">
        <v>5084.75</v>
      </c>
      <c r="N338" s="23" t="n">
        <v>6000</v>
      </c>
      <c r="O338" s="24">
        <f>IF(AND(ISNUMBER(M338), ISNUMBER(I338), I338&gt;0), M338/I338, "")</f>
        <v/>
      </c>
    </row>
    <row r="339">
      <c r="A339" s="19" t="inlineStr">
        <is>
          <t>FY26</t>
        </is>
      </c>
      <c r="B339" s="19" t="inlineStr">
        <is>
          <t>Jan</t>
        </is>
      </c>
      <c r="C339" s="19" t="inlineStr">
        <is>
          <t>TN</t>
        </is>
      </c>
      <c r="D339" s="20" t="inlineStr">
        <is>
          <t>TN09CT3233</t>
        </is>
      </c>
      <c r="E339" s="20" t="inlineStr">
        <is>
          <t>HYUNDAI</t>
        </is>
      </c>
      <c r="F339" s="20" t="inlineStr">
        <is>
          <t>Creta</t>
        </is>
      </c>
      <c r="G339" s="21" t="n">
        <v>2019</v>
      </c>
      <c r="H339" s="22" t="n">
        <v>44563</v>
      </c>
      <c r="I339" s="23" t="n">
        <v>530000</v>
      </c>
      <c r="J339" s="20" t="inlineStr">
        <is>
          <t>Harsha</t>
        </is>
      </c>
      <c r="K339" s="20" t="inlineStr">
        <is>
          <t>Non-Captive</t>
        </is>
      </c>
      <c r="L339" s="20" t="inlineStr">
        <is>
          <t>Pine Autos</t>
        </is>
      </c>
      <c r="M339" s="23" t="n">
        <v>5508.47</v>
      </c>
      <c r="N339" s="23" t="n">
        <v>6500</v>
      </c>
      <c r="O339" s="24">
        <f>IF(AND(ISNUMBER(M339), ISNUMBER(I339), I339&gt;0), M339/I339, "")</f>
        <v/>
      </c>
    </row>
    <row r="340">
      <c r="A340" s="19" t="inlineStr">
        <is>
          <t>FY26</t>
        </is>
      </c>
      <c r="B340" s="19" t="inlineStr">
        <is>
          <t>Jan</t>
        </is>
      </c>
      <c r="C340" s="19" t="inlineStr">
        <is>
          <t>TN</t>
        </is>
      </c>
      <c r="D340" s="20" t="inlineStr">
        <is>
          <t>KL04AG5541</t>
        </is>
      </c>
      <c r="E340" s="20" t="inlineStr">
        <is>
          <t>MARUTI SUZUKI</t>
        </is>
      </c>
      <c r="F340" s="20" t="inlineStr">
        <is>
          <t>Ritz</t>
        </is>
      </c>
      <c r="G340" s="21" t="n"/>
      <c r="H340" s="22" t="n"/>
      <c r="I340" s="23" t="n">
        <v>210000</v>
      </c>
      <c r="J340" s="20" t="inlineStr">
        <is>
          <t>Nippon Motor Corporation Pvt Ltd</t>
        </is>
      </c>
      <c r="K340" s="20" t="inlineStr">
        <is>
          <t>Non-Captive</t>
        </is>
      </c>
      <c r="L340" s="20" t="inlineStr">
        <is>
          <t>Shamnad AH</t>
        </is>
      </c>
      <c r="M340" s="23" t="n">
        <v>5932.2</v>
      </c>
      <c r="N340" s="23" t="n">
        <v>7000</v>
      </c>
      <c r="O340" s="24">
        <f>IF(AND(ISNUMBER(M340), ISNUMBER(I340), I340&gt;0), M340/I340, "")</f>
        <v/>
      </c>
    </row>
    <row r="341">
      <c r="A341" s="19" t="inlineStr">
        <is>
          <t>FY26</t>
        </is>
      </c>
      <c r="B341" s="19" t="inlineStr">
        <is>
          <t>Jan</t>
        </is>
      </c>
      <c r="C341" s="19" t="inlineStr">
        <is>
          <t>TN</t>
        </is>
      </c>
      <c r="D341" s="20" t="inlineStr">
        <is>
          <t>TN01BP4170</t>
        </is>
      </c>
      <c r="E341" s="20" t="inlineStr">
        <is>
          <t>HYUNDAI</t>
        </is>
      </c>
      <c r="F341" s="20" t="inlineStr">
        <is>
          <t>Aura</t>
        </is>
      </c>
      <c r="G341" s="21" t="n">
        <v>2022</v>
      </c>
      <c r="H341" s="22" t="n">
        <v>1974</v>
      </c>
      <c r="I341" s="23" t="n">
        <v>620000</v>
      </c>
      <c r="J341" s="20" t="inlineStr">
        <is>
          <t>Avis India</t>
        </is>
      </c>
      <c r="K341" s="20" t="inlineStr">
        <is>
          <t>Non-Captive</t>
        </is>
      </c>
      <c r="L341" s="20" t="inlineStr">
        <is>
          <t>Nirmal Cars</t>
        </is>
      </c>
      <c r="M341" s="23" t="n">
        <v>12711.86</v>
      </c>
      <c r="N341" s="23" t="n">
        <v>15000</v>
      </c>
      <c r="O341" s="24">
        <f>IF(AND(ISNUMBER(M341), ISNUMBER(I341), I341&gt;0), M341/I341, "")</f>
        <v/>
      </c>
    </row>
    <row r="342">
      <c r="A342" s="19" t="inlineStr">
        <is>
          <t>FY26</t>
        </is>
      </c>
      <c r="B342" s="19" t="inlineStr">
        <is>
          <t>Jan</t>
        </is>
      </c>
      <c r="C342" s="19" t="inlineStr">
        <is>
          <t>TN</t>
        </is>
      </c>
      <c r="D342" s="20" t="inlineStr">
        <is>
          <t>TN38CB0766</t>
        </is>
      </c>
      <c r="E342" s="20" t="inlineStr">
        <is>
          <t>HONDA</t>
        </is>
      </c>
      <c r="F342" s="20" t="inlineStr">
        <is>
          <t>Amaze</t>
        </is>
      </c>
      <c r="G342" s="21" t="n">
        <v>2015</v>
      </c>
      <c r="H342" s="22" t="n">
        <v>65500</v>
      </c>
      <c r="I342" s="23" t="n">
        <v>190000</v>
      </c>
      <c r="J342" s="20" t="inlineStr">
        <is>
          <t>Sai Cars CBE</t>
        </is>
      </c>
      <c r="K342" s="20" t="inlineStr">
        <is>
          <t>Non-Captive</t>
        </is>
      </c>
      <c r="L342" s="20" t="inlineStr">
        <is>
          <t>KSM AUTO CONSULTING</t>
        </is>
      </c>
      <c r="M342" s="23" t="n">
        <v>4237.29</v>
      </c>
      <c r="N342" s="23" t="n">
        <v>5000</v>
      </c>
      <c r="O342" s="24">
        <f>IF(AND(ISNUMBER(M342), ISNUMBER(I342), I342&gt;0), M342/I342, "")</f>
        <v/>
      </c>
    </row>
    <row r="343">
      <c r="A343" s="19" t="inlineStr">
        <is>
          <t>FY26</t>
        </is>
      </c>
      <c r="B343" s="19" t="inlineStr">
        <is>
          <t>Jan</t>
        </is>
      </c>
      <c r="C343" s="19" t="inlineStr">
        <is>
          <t>TN</t>
        </is>
      </c>
      <c r="D343" s="20" t="inlineStr">
        <is>
          <t>TN01AC1548</t>
        </is>
      </c>
      <c r="E343" s="20" t="inlineStr">
        <is>
          <t>TATA</t>
        </is>
      </c>
      <c r="F343" s="20" t="inlineStr">
        <is>
          <t>Indica</t>
        </is>
      </c>
      <c r="G343" s="21" t="n">
        <v>2006</v>
      </c>
      <c r="H343" s="22" t="n">
        <v>160671</v>
      </c>
      <c r="I343" s="23" t="n">
        <v>60000</v>
      </c>
      <c r="J343" s="20" t="inlineStr">
        <is>
          <t>Sai Cars CBE</t>
        </is>
      </c>
      <c r="K343" s="20" t="inlineStr">
        <is>
          <t>Non-Captive</t>
        </is>
      </c>
      <c r="L343" s="20" t="inlineStr">
        <is>
          <t>KSM AUTO CONSULTING</t>
        </is>
      </c>
      <c r="M343" s="23" t="n">
        <v>4237.29</v>
      </c>
      <c r="N343" s="23" t="n">
        <v>5000</v>
      </c>
      <c r="O343" s="24">
        <f>IF(AND(ISNUMBER(M343), ISNUMBER(I343), I343&gt;0), M343/I343, "")</f>
        <v/>
      </c>
    </row>
    <row r="344">
      <c r="A344" s="19" t="inlineStr">
        <is>
          <t>FY26</t>
        </is>
      </c>
      <c r="B344" s="19" t="inlineStr">
        <is>
          <t>Jan</t>
        </is>
      </c>
      <c r="C344" s="19" t="inlineStr">
        <is>
          <t>TN</t>
        </is>
      </c>
      <c r="D344" s="20" t="inlineStr">
        <is>
          <t>TN05AS2905</t>
        </is>
      </c>
      <c r="E344" s="20" t="inlineStr">
        <is>
          <t>TOYOTA</t>
        </is>
      </c>
      <c r="F344" s="20" t="inlineStr">
        <is>
          <t>Etios</t>
        </is>
      </c>
      <c r="G344" s="21" t="n">
        <v>2013</v>
      </c>
      <c r="H344" s="22" t="n">
        <v>83523</v>
      </c>
      <c r="I344" s="23" t="n">
        <v>180000</v>
      </c>
      <c r="J344" s="20" t="inlineStr">
        <is>
          <t>Sai Cars CBE</t>
        </is>
      </c>
      <c r="K344" s="20" t="inlineStr">
        <is>
          <t>Non-Captive</t>
        </is>
      </c>
      <c r="L344" s="20" t="inlineStr">
        <is>
          <t>YUGA DHEERAN CARS</t>
        </is>
      </c>
      <c r="M344" s="23" t="n">
        <v>4237.29</v>
      </c>
      <c r="N344" s="23" t="n">
        <v>5000</v>
      </c>
      <c r="O344" s="24">
        <f>IF(AND(ISNUMBER(M344), ISNUMBER(I344), I344&gt;0), M344/I344, "")</f>
        <v/>
      </c>
    </row>
    <row r="345">
      <c r="A345" s="19" t="inlineStr">
        <is>
          <t>FY26</t>
        </is>
      </c>
      <c r="B345" s="19" t="inlineStr">
        <is>
          <t>Jan</t>
        </is>
      </c>
      <c r="C345" s="19" t="inlineStr">
        <is>
          <t>TN</t>
        </is>
      </c>
      <c r="D345" s="20" t="inlineStr">
        <is>
          <t>TN38BZ6252</t>
        </is>
      </c>
      <c r="E345" s="20" t="inlineStr">
        <is>
          <t>MARUTI SUZUKI</t>
        </is>
      </c>
      <c r="F345" s="20" t="inlineStr">
        <is>
          <t>Alto K10</t>
        </is>
      </c>
      <c r="G345" s="21" t="n">
        <v>2014</v>
      </c>
      <c r="H345" s="22" t="n">
        <v>102682</v>
      </c>
      <c r="I345" s="23" t="n">
        <v>170000</v>
      </c>
      <c r="J345" s="20" t="inlineStr">
        <is>
          <t>EXCHANGE ROTN</t>
        </is>
      </c>
      <c r="K345" s="20" t="inlineStr">
        <is>
          <t>Captive</t>
        </is>
      </c>
      <c r="L345" s="20" t="inlineStr">
        <is>
          <t>UZHAVAN ENTERPRISE</t>
        </is>
      </c>
      <c r="M345" s="23" t="n">
        <v>4237.29</v>
      </c>
      <c r="N345" s="23" t="n">
        <v>5000</v>
      </c>
      <c r="O345" s="24">
        <f>IF(AND(ISNUMBER(M345), ISNUMBER(I345), I345&gt;0), M345/I345, "")</f>
        <v/>
      </c>
    </row>
    <row r="346">
      <c r="A346" s="19" t="inlineStr">
        <is>
          <t>FY26</t>
        </is>
      </c>
      <c r="B346" s="19" t="inlineStr">
        <is>
          <t>Jan</t>
        </is>
      </c>
      <c r="C346" s="19" t="inlineStr">
        <is>
          <t>TN</t>
        </is>
      </c>
      <c r="D346" s="20" t="inlineStr">
        <is>
          <t>TN07BU5814</t>
        </is>
      </c>
      <c r="E346" s="20" t="inlineStr">
        <is>
          <t>MARUTI SUZUKI</t>
        </is>
      </c>
      <c r="F346" s="20" t="inlineStr">
        <is>
          <t>Wagon R</t>
        </is>
      </c>
      <c r="G346" s="21" t="n">
        <v>2013</v>
      </c>
      <c r="H346" s="22" t="n">
        <v>22988</v>
      </c>
      <c r="I346" s="23" t="n">
        <v>205000</v>
      </c>
      <c r="J346" s="20" t="inlineStr">
        <is>
          <t>Sai Cars CBE</t>
        </is>
      </c>
      <c r="K346" s="20" t="inlineStr">
        <is>
          <t>Non-Captive</t>
        </is>
      </c>
      <c r="L346" s="20" t="inlineStr">
        <is>
          <t>SIVASHANKAR CARS</t>
        </is>
      </c>
      <c r="M346" s="23" t="n">
        <v>4237.29</v>
      </c>
      <c r="N346" s="23" t="n">
        <v>5000</v>
      </c>
      <c r="O346" s="24">
        <f>IF(AND(ISNUMBER(M346), ISNUMBER(I346), I346&gt;0), M346/I346, "")</f>
        <v/>
      </c>
    </row>
    <row r="347">
      <c r="A347" s="19" t="inlineStr">
        <is>
          <t>FY26</t>
        </is>
      </c>
      <c r="B347" s="19" t="inlineStr">
        <is>
          <t>Jan</t>
        </is>
      </c>
      <c r="C347" s="19" t="inlineStr">
        <is>
          <t>TN</t>
        </is>
      </c>
      <c r="D347" s="20" t="inlineStr">
        <is>
          <t>TN38CT0789</t>
        </is>
      </c>
      <c r="E347" s="20" t="inlineStr">
        <is>
          <t>MARUTI SUZUKI</t>
        </is>
      </c>
      <c r="F347" s="20" t="inlineStr">
        <is>
          <t>Celerio</t>
        </is>
      </c>
      <c r="G347" s="21" t="n">
        <v>2019</v>
      </c>
      <c r="H347" s="22" t="n">
        <v>46670</v>
      </c>
      <c r="I347" s="23" t="n">
        <v>210000</v>
      </c>
      <c r="J347" s="20" t="inlineStr">
        <is>
          <t>EXCHANGE ROTN</t>
        </is>
      </c>
      <c r="K347" s="20" t="inlineStr">
        <is>
          <t>Captive</t>
        </is>
      </c>
      <c r="L347" s="20" t="inlineStr">
        <is>
          <t>9 MILES CARZ</t>
        </is>
      </c>
      <c r="M347" s="23" t="n">
        <v>4237.29</v>
      </c>
      <c r="N347" s="23" t="n">
        <v>5000</v>
      </c>
      <c r="O347" s="24">
        <f>IF(AND(ISNUMBER(M347), ISNUMBER(I347), I347&gt;0), M347/I347, "")</f>
        <v/>
      </c>
    </row>
    <row r="348">
      <c r="A348" s="19" t="inlineStr">
        <is>
          <t>FY26</t>
        </is>
      </c>
      <c r="B348" s="19" t="inlineStr">
        <is>
          <t>Jan</t>
        </is>
      </c>
      <c r="C348" s="19" t="inlineStr">
        <is>
          <t>TN</t>
        </is>
      </c>
      <c r="D348" s="20" t="inlineStr">
        <is>
          <t>KA53MA6163</t>
        </is>
      </c>
      <c r="E348" s="20" t="inlineStr">
        <is>
          <t>HYUNDAI</t>
        </is>
      </c>
      <c r="F348" s="20" t="inlineStr">
        <is>
          <t>I10</t>
        </is>
      </c>
      <c r="G348" s="21" t="n">
        <v>2013</v>
      </c>
      <c r="H348" s="22" t="n">
        <v>130298</v>
      </c>
      <c r="I348" s="23" t="n">
        <v>150000</v>
      </c>
      <c r="J348" s="20" t="inlineStr">
        <is>
          <t>DINDIGUL VALUE CAR</t>
        </is>
      </c>
      <c r="K348" s="20" t="inlineStr">
        <is>
          <t>Non-Captive</t>
        </is>
      </c>
      <c r="L348" s="20" t="inlineStr">
        <is>
          <t>9 MILES CARZ</t>
        </is>
      </c>
      <c r="M348" s="23" t="n">
        <v>4237.29</v>
      </c>
      <c r="N348" s="23" t="n">
        <v>5000</v>
      </c>
      <c r="O348" s="24">
        <f>IF(AND(ISNUMBER(M348), ISNUMBER(I348), I348&gt;0), M348/I348, "")</f>
        <v/>
      </c>
    </row>
    <row r="349">
      <c r="A349" s="19" t="inlineStr">
        <is>
          <t>FY26</t>
        </is>
      </c>
      <c r="B349" s="19" t="inlineStr">
        <is>
          <t>Jan</t>
        </is>
      </c>
      <c r="C349" s="19" t="inlineStr">
        <is>
          <t>TN</t>
        </is>
      </c>
      <c r="D349" s="20" t="inlineStr">
        <is>
          <t>TN38CB2589</t>
        </is>
      </c>
      <c r="E349" s="20" t="inlineStr">
        <is>
          <t>HYUNDAI</t>
        </is>
      </c>
      <c r="F349" s="20" t="inlineStr">
        <is>
          <t>Grand I10</t>
        </is>
      </c>
      <c r="G349" s="21" t="n">
        <v>2015</v>
      </c>
      <c r="H349" s="22" t="n">
        <v>54895</v>
      </c>
      <c r="I349" s="23" t="n">
        <v>190000</v>
      </c>
      <c r="J349" s="20" t="inlineStr">
        <is>
          <t>Sai Cars CBE</t>
        </is>
      </c>
      <c r="K349" s="20" t="inlineStr">
        <is>
          <t>Non-Captive</t>
        </is>
      </c>
      <c r="L349" s="20" t="inlineStr">
        <is>
          <t>Dheera Cars</t>
        </is>
      </c>
      <c r="M349" s="23" t="n">
        <v>4237.29</v>
      </c>
      <c r="N349" s="23" t="n">
        <v>5000</v>
      </c>
      <c r="O349" s="24">
        <f>IF(AND(ISNUMBER(M349), ISNUMBER(I349), I349&gt;0), M349/I349, "")</f>
        <v/>
      </c>
    </row>
    <row r="350">
      <c r="A350" s="19" t="inlineStr">
        <is>
          <t>FY26</t>
        </is>
      </c>
      <c r="B350" s="19" t="inlineStr">
        <is>
          <t>Jan</t>
        </is>
      </c>
      <c r="C350" s="19" t="inlineStr">
        <is>
          <t>TN</t>
        </is>
      </c>
      <c r="D350" s="20" t="inlineStr">
        <is>
          <t>TN91W8213</t>
        </is>
      </c>
      <c r="E350" s="20" t="inlineStr">
        <is>
          <t>MARUTI SUZUKI</t>
        </is>
      </c>
      <c r="F350" s="20" t="inlineStr">
        <is>
          <t>Alto</t>
        </is>
      </c>
      <c r="G350" s="21" t="n">
        <v>2018</v>
      </c>
      <c r="H350" s="22" t="n">
        <v>25663</v>
      </c>
      <c r="I350" s="23" t="n">
        <v>210000</v>
      </c>
      <c r="J350" s="20" t="inlineStr">
        <is>
          <t>Sai Cars CBE</t>
        </is>
      </c>
      <c r="K350" s="20" t="inlineStr">
        <is>
          <t>Non-Captive</t>
        </is>
      </c>
      <c r="L350" s="20" t="inlineStr">
        <is>
          <t>Dheera Cars</t>
        </is>
      </c>
      <c r="M350" s="23" t="n">
        <v>4237.29</v>
      </c>
      <c r="N350" s="23" t="n">
        <v>5000</v>
      </c>
      <c r="O350" s="24">
        <f>IF(AND(ISNUMBER(M350), ISNUMBER(I350), I350&gt;0), M350/I350, "")</f>
        <v/>
      </c>
    </row>
    <row r="351">
      <c r="A351" s="19" t="inlineStr">
        <is>
          <t>FY26</t>
        </is>
      </c>
      <c r="B351" s="19" t="inlineStr">
        <is>
          <t>Jan</t>
        </is>
      </c>
      <c r="C351" s="19" t="inlineStr">
        <is>
          <t>TN</t>
        </is>
      </c>
      <c r="D351" s="20" t="inlineStr">
        <is>
          <t>TN38BV1258</t>
        </is>
      </c>
      <c r="E351" s="20" t="inlineStr">
        <is>
          <t>FORD</t>
        </is>
      </c>
      <c r="F351" s="20" t="inlineStr">
        <is>
          <t>Figo</t>
        </is>
      </c>
      <c r="G351" s="21" t="n">
        <v>2013</v>
      </c>
      <c r="H351" s="22" t="n">
        <v>11589</v>
      </c>
      <c r="I351" s="23" t="n">
        <v>130000</v>
      </c>
      <c r="J351" s="20" t="inlineStr">
        <is>
          <t>Sai Cars CBE</t>
        </is>
      </c>
      <c r="K351" s="20" t="inlineStr">
        <is>
          <t>Non-Captive</t>
        </is>
      </c>
      <c r="L351" s="20" t="inlineStr">
        <is>
          <t>Dheera Cars</t>
        </is>
      </c>
      <c r="M351" s="23" t="n">
        <v>4237.29</v>
      </c>
      <c r="N351" s="23" t="n">
        <v>5000</v>
      </c>
      <c r="O351" s="24">
        <f>IF(AND(ISNUMBER(M351), ISNUMBER(I351), I351&gt;0), M351/I351, "")</f>
        <v/>
      </c>
    </row>
    <row r="352">
      <c r="A352" s="19" t="inlineStr">
        <is>
          <t>FY26</t>
        </is>
      </c>
      <c r="B352" s="19" t="inlineStr">
        <is>
          <t>Jan</t>
        </is>
      </c>
      <c r="C352" s="19" t="inlineStr">
        <is>
          <t>TN</t>
        </is>
      </c>
      <c r="D352" s="20" t="inlineStr">
        <is>
          <t>TN09BK9082</t>
        </is>
      </c>
      <c r="E352" s="20" t="inlineStr">
        <is>
          <t>HYUNDAI</t>
        </is>
      </c>
      <c r="F352" s="20" t="inlineStr">
        <is>
          <t>I10</t>
        </is>
      </c>
      <c r="G352" s="21" t="n">
        <v>2011</v>
      </c>
      <c r="H352" s="22" t="n">
        <v>89684</v>
      </c>
      <c r="I352" s="23" t="n">
        <v>115000</v>
      </c>
      <c r="J352" s="20" t="inlineStr">
        <is>
          <t>Sai Cars CBE</t>
        </is>
      </c>
      <c r="K352" s="20" t="inlineStr">
        <is>
          <t>Non-Captive</t>
        </is>
      </c>
      <c r="L352" s="20" t="inlineStr">
        <is>
          <t>Dheera Cars</t>
        </is>
      </c>
      <c r="M352" s="23" t="n">
        <v>4237.29</v>
      </c>
      <c r="N352" s="23" t="n">
        <v>5000</v>
      </c>
      <c r="O352" s="24">
        <f>IF(AND(ISNUMBER(M352), ISNUMBER(I352), I352&gt;0), M352/I352, "")</f>
        <v/>
      </c>
    </row>
    <row r="353">
      <c r="A353" s="19" t="inlineStr">
        <is>
          <t>FY26</t>
        </is>
      </c>
      <c r="B353" s="19" t="inlineStr">
        <is>
          <t>Jan</t>
        </is>
      </c>
      <c r="C353" s="19" t="inlineStr">
        <is>
          <t>TN</t>
        </is>
      </c>
      <c r="D353" s="20" t="inlineStr">
        <is>
          <t>TN40F5299</t>
        </is>
      </c>
      <c r="E353" s="20" t="inlineStr">
        <is>
          <t>CHEVROLET</t>
        </is>
      </c>
      <c r="F353" s="20" t="inlineStr">
        <is>
          <t>Beat</t>
        </is>
      </c>
      <c r="G353" s="21" t="n">
        <v>2011</v>
      </c>
      <c r="H353" s="22" t="n">
        <v>55988</v>
      </c>
      <c r="I353" s="23" t="n">
        <v>90000</v>
      </c>
      <c r="J353" s="20" t="inlineStr">
        <is>
          <t>Sai Cars CBE</t>
        </is>
      </c>
      <c r="K353" s="20" t="inlineStr">
        <is>
          <t>Non-Captive</t>
        </is>
      </c>
      <c r="L353" s="20" t="inlineStr">
        <is>
          <t>SUN CARS</t>
        </is>
      </c>
      <c r="M353" s="23" t="n">
        <v>4237.29</v>
      </c>
      <c r="N353" s="23" t="n">
        <v>5000</v>
      </c>
      <c r="O353" s="24">
        <f>IF(AND(ISNUMBER(M353), ISNUMBER(I353), I353&gt;0), M353/I353, "")</f>
        <v/>
      </c>
    </row>
    <row r="354">
      <c r="A354" s="19" t="inlineStr">
        <is>
          <t>FY26</t>
        </is>
      </c>
      <c r="B354" s="19" t="inlineStr">
        <is>
          <t>Jan</t>
        </is>
      </c>
      <c r="C354" s="19" t="inlineStr">
        <is>
          <t>TN</t>
        </is>
      </c>
      <c r="D354" s="20" t="inlineStr">
        <is>
          <t>TN38BP2912</t>
        </is>
      </c>
      <c r="E354" s="20" t="inlineStr">
        <is>
          <t>HYUNDAI</t>
        </is>
      </c>
      <c r="F354" s="20" t="inlineStr">
        <is>
          <t>I20</t>
        </is>
      </c>
      <c r="G354" s="21" t="n">
        <v>2012</v>
      </c>
      <c r="H354" s="22" t="n">
        <v>66589</v>
      </c>
      <c r="I354" s="23" t="n">
        <v>210000</v>
      </c>
      <c r="J354" s="20" t="inlineStr">
        <is>
          <t>Sai Cars CBE</t>
        </is>
      </c>
      <c r="K354" s="20" t="inlineStr">
        <is>
          <t>Non-Captive</t>
        </is>
      </c>
      <c r="L354" s="20" t="inlineStr">
        <is>
          <t>GOWTHAM CARS</t>
        </is>
      </c>
      <c r="M354" s="23" t="n">
        <v>4237.29</v>
      </c>
      <c r="N354" s="23" t="n">
        <v>5000</v>
      </c>
      <c r="O354" s="24">
        <f>IF(AND(ISNUMBER(M354), ISNUMBER(I354), I354&gt;0), M354/I354, "")</f>
        <v/>
      </c>
    </row>
    <row r="355">
      <c r="A355" s="19" t="inlineStr">
        <is>
          <t>FY26</t>
        </is>
      </c>
      <c r="B355" s="19" t="inlineStr">
        <is>
          <t>Jan</t>
        </is>
      </c>
      <c r="C355" s="19" t="inlineStr">
        <is>
          <t>TN</t>
        </is>
      </c>
      <c r="D355" s="20" t="inlineStr">
        <is>
          <t>TN41AQ1431</t>
        </is>
      </c>
      <c r="E355" s="20" t="inlineStr">
        <is>
          <t>MARUTI SUZUKI</t>
        </is>
      </c>
      <c r="F355" s="20" t="inlineStr">
        <is>
          <t>Wagon R</t>
        </is>
      </c>
      <c r="G355" s="21" t="n">
        <v>2016</v>
      </c>
      <c r="H355" s="22" t="n">
        <v>33598</v>
      </c>
      <c r="I355" s="23" t="n">
        <v>220000</v>
      </c>
      <c r="J355" s="20" t="inlineStr">
        <is>
          <t>Sai Cars CBE</t>
        </is>
      </c>
      <c r="K355" s="20" t="inlineStr">
        <is>
          <t>Non-Captive</t>
        </is>
      </c>
      <c r="L355" s="20" t="inlineStr">
        <is>
          <t>GOWTHAM CARS</t>
        </is>
      </c>
      <c r="M355" s="23" t="n">
        <v>4237.29</v>
      </c>
      <c r="N355" s="23" t="n">
        <v>5000</v>
      </c>
      <c r="O355" s="24">
        <f>IF(AND(ISNUMBER(M355), ISNUMBER(I355), I355&gt;0), M355/I355, "")</f>
        <v/>
      </c>
    </row>
    <row r="356">
      <c r="A356" s="19" t="inlineStr">
        <is>
          <t>FY26</t>
        </is>
      </c>
      <c r="B356" s="19" t="inlineStr">
        <is>
          <t>Jan</t>
        </is>
      </c>
      <c r="C356" s="19" t="inlineStr">
        <is>
          <t>TN</t>
        </is>
      </c>
      <c r="D356" s="20" t="inlineStr">
        <is>
          <t>TN60J9777</t>
        </is>
      </c>
      <c r="E356" s="20" t="inlineStr">
        <is>
          <t>NISSAN</t>
        </is>
      </c>
      <c r="F356" s="20" t="inlineStr">
        <is>
          <t>Sunny</t>
        </is>
      </c>
      <c r="G356" s="21" t="n">
        <v>2012</v>
      </c>
      <c r="H356" s="22" t="n">
        <v>28596</v>
      </c>
      <c r="I356" s="23" t="n">
        <v>175000</v>
      </c>
      <c r="J356" s="20" t="inlineStr">
        <is>
          <t>Sai Cars CBE</t>
        </is>
      </c>
      <c r="K356" s="20" t="inlineStr">
        <is>
          <t>Non-Captive</t>
        </is>
      </c>
      <c r="L356" s="20" t="inlineStr">
        <is>
          <t>GOWTHAM CARS</t>
        </is>
      </c>
      <c r="M356" s="23" t="n">
        <v>4237.29</v>
      </c>
      <c r="N356" s="23" t="n">
        <v>5000</v>
      </c>
      <c r="O356" s="24">
        <f>IF(AND(ISNUMBER(M356), ISNUMBER(I356), I356&gt;0), M356/I356, "")</f>
        <v/>
      </c>
    </row>
    <row r="357">
      <c r="A357" s="19" t="inlineStr">
        <is>
          <t>FY26</t>
        </is>
      </c>
      <c r="B357" s="19" t="inlineStr">
        <is>
          <t>Jan</t>
        </is>
      </c>
      <c r="C357" s="19" t="inlineStr">
        <is>
          <t>TN</t>
        </is>
      </c>
      <c r="D357" s="20" t="inlineStr">
        <is>
          <t>TN38CM2619</t>
        </is>
      </c>
      <c r="E357" s="20" t="inlineStr">
        <is>
          <t>HONDA</t>
        </is>
      </c>
      <c r="F357" s="20" t="inlineStr">
        <is>
          <t>Brio</t>
        </is>
      </c>
      <c r="G357" s="21" t="n">
        <v>2017</v>
      </c>
      <c r="H357" s="22" t="n">
        <v>101949</v>
      </c>
      <c r="I357" s="23" t="n">
        <v>250000</v>
      </c>
      <c r="J357" s="20" t="inlineStr">
        <is>
          <t>EXCHANGE ROTN</t>
        </is>
      </c>
      <c r="K357" s="20" t="inlineStr">
        <is>
          <t>Captive</t>
        </is>
      </c>
      <c r="L357" s="20" t="inlineStr">
        <is>
          <t>UZHAVAN ENTERPRISE</t>
        </is>
      </c>
      <c r="M357" s="23" t="n">
        <v>8474.58</v>
      </c>
      <c r="N357" s="23" t="n">
        <v>10000</v>
      </c>
      <c r="O357" s="24">
        <f>IF(AND(ISNUMBER(M357), ISNUMBER(I357), I357&gt;0), M357/I357, "")</f>
        <v/>
      </c>
    </row>
    <row r="358">
      <c r="A358" s="19" t="inlineStr">
        <is>
          <t>FY26</t>
        </is>
      </c>
      <c r="B358" s="19" t="inlineStr">
        <is>
          <t>Jan</t>
        </is>
      </c>
      <c r="C358" s="19" t="inlineStr">
        <is>
          <t>TN</t>
        </is>
      </c>
      <c r="D358" s="20" t="inlineStr">
        <is>
          <t>TN47AD6273</t>
        </is>
      </c>
      <c r="E358" s="20" t="inlineStr">
        <is>
          <t>HYUNDAI</t>
        </is>
      </c>
      <c r="F358" s="20" t="inlineStr">
        <is>
          <t>I20</t>
        </is>
      </c>
      <c r="G358" s="21" t="n">
        <v>2013</v>
      </c>
      <c r="H358" s="22" t="n">
        <v>173495</v>
      </c>
      <c r="I358" s="23" t="n">
        <v>250000</v>
      </c>
      <c r="J358" s="20" t="inlineStr">
        <is>
          <t>EXCHANGE ROTN</t>
        </is>
      </c>
      <c r="K358" s="20" t="inlineStr">
        <is>
          <t>Captive</t>
        </is>
      </c>
      <c r="L358" s="20" t="inlineStr">
        <is>
          <t>SAI CARS</t>
        </is>
      </c>
      <c r="M358" s="23" t="n">
        <v>4237.29</v>
      </c>
      <c r="N358" s="23" t="n">
        <v>5000</v>
      </c>
      <c r="O358" s="24">
        <f>IF(AND(ISNUMBER(M358), ISNUMBER(I358), I358&gt;0), M358/I358, "")</f>
        <v/>
      </c>
    </row>
    <row r="359">
      <c r="A359" s="19" t="inlineStr">
        <is>
          <t>FY26</t>
        </is>
      </c>
      <c r="B359" s="19" t="inlineStr">
        <is>
          <t>Jan</t>
        </is>
      </c>
      <c r="C359" s="19" t="inlineStr">
        <is>
          <t>TN</t>
        </is>
      </c>
      <c r="D359" s="20" t="inlineStr">
        <is>
          <t>TN01AW2332</t>
        </is>
      </c>
      <c r="E359" s="20" t="inlineStr">
        <is>
          <t>TOYOTA</t>
        </is>
      </c>
      <c r="F359" s="20" t="inlineStr">
        <is>
          <t>Corolla</t>
        </is>
      </c>
      <c r="G359" s="21" t="n">
        <v>2010</v>
      </c>
      <c r="H359" s="22" t="n">
        <v>59673</v>
      </c>
      <c r="I359" s="23" t="n">
        <v>250000</v>
      </c>
      <c r="J359" s="20" t="inlineStr">
        <is>
          <t>EXCHANGE CHENNAI</t>
        </is>
      </c>
      <c r="K359" s="20" t="inlineStr">
        <is>
          <t>Captive</t>
        </is>
      </c>
      <c r="L359" s="20" t="inlineStr">
        <is>
          <t>Nirmal Cars</t>
        </is>
      </c>
      <c r="M359" s="23" t="n">
        <v>8474.58</v>
      </c>
      <c r="N359" s="23" t="n">
        <v>10000</v>
      </c>
      <c r="O359" s="24">
        <f>IF(AND(ISNUMBER(M359), ISNUMBER(I359), I359&gt;0), M359/I359, "")</f>
        <v/>
      </c>
    </row>
    <row r="360">
      <c r="A360" s="19" t="inlineStr">
        <is>
          <t>FY26</t>
        </is>
      </c>
      <c r="B360" s="19" t="inlineStr">
        <is>
          <t>Jan</t>
        </is>
      </c>
      <c r="C360" s="19" t="inlineStr">
        <is>
          <t>TN</t>
        </is>
      </c>
      <c r="D360" s="20" t="inlineStr">
        <is>
          <t>TN04AQ0209</t>
        </is>
      </c>
      <c r="E360" s="20" t="inlineStr">
        <is>
          <t>HONDA</t>
        </is>
      </c>
      <c r="F360" s="20" t="inlineStr">
        <is>
          <t>City</t>
        </is>
      </c>
      <c r="G360" s="21" t="n">
        <v>2015</v>
      </c>
      <c r="H360" s="22" t="n">
        <v>56921</v>
      </c>
      <c r="I360" s="23" t="n">
        <v>440000</v>
      </c>
      <c r="J360" s="20" t="inlineStr">
        <is>
          <t>EXCHANGE CHENNAI</t>
        </is>
      </c>
      <c r="K360" s="20" t="inlineStr">
        <is>
          <t>Captive</t>
        </is>
      </c>
      <c r="L360" s="20" t="inlineStr">
        <is>
          <t>Ab cars Nagerkovil</t>
        </is>
      </c>
      <c r="M360" s="23" t="n">
        <v>4237.29</v>
      </c>
      <c r="N360" s="23" t="n">
        <v>5000</v>
      </c>
      <c r="O360" s="24">
        <f>IF(AND(ISNUMBER(M360), ISNUMBER(I360), I360&gt;0), M360/I360, "")</f>
        <v/>
      </c>
    </row>
    <row r="361">
      <c r="A361" s="19" t="inlineStr">
        <is>
          <t>FY26</t>
        </is>
      </c>
      <c r="B361" s="19" t="inlineStr">
        <is>
          <t>Jan</t>
        </is>
      </c>
      <c r="C361" s="19" t="inlineStr">
        <is>
          <t>TN</t>
        </is>
      </c>
      <c r="D361" s="20" t="inlineStr">
        <is>
          <t>TN07CL7191</t>
        </is>
      </c>
      <c r="E361" s="20" t="inlineStr">
        <is>
          <t>HONDA</t>
        </is>
      </c>
      <c r="F361" s="20" t="inlineStr">
        <is>
          <t>City</t>
        </is>
      </c>
      <c r="G361" s="21" t="n">
        <v>2017</v>
      </c>
      <c r="H361" s="22" t="n">
        <v>62043</v>
      </c>
      <c r="I361" s="23" t="n">
        <v>590000</v>
      </c>
      <c r="J361" s="20" t="inlineStr">
        <is>
          <t>EXCHANGE CHENNAI</t>
        </is>
      </c>
      <c r="K361" s="20" t="inlineStr">
        <is>
          <t>Captive</t>
        </is>
      </c>
      <c r="L361" s="20" t="inlineStr">
        <is>
          <t>Shahana Cars</t>
        </is>
      </c>
      <c r="M361" s="23" t="n">
        <v>8474.58</v>
      </c>
      <c r="N361" s="23" t="n">
        <v>10000</v>
      </c>
      <c r="O361" s="24">
        <f>IF(AND(ISNUMBER(M361), ISNUMBER(I361), I361&gt;0), M361/I361, "")</f>
        <v/>
      </c>
    </row>
    <row r="362">
      <c r="A362" s="19" t="inlineStr">
        <is>
          <t>FY26</t>
        </is>
      </c>
      <c r="B362" s="19" t="inlineStr">
        <is>
          <t>Jan</t>
        </is>
      </c>
      <c r="C362" s="19" t="inlineStr">
        <is>
          <t>TN</t>
        </is>
      </c>
      <c r="D362" s="20" t="inlineStr">
        <is>
          <t>TN59BB7987</t>
        </is>
      </c>
      <c r="E362" s="20" t="inlineStr">
        <is>
          <t>HONDA</t>
        </is>
      </c>
      <c r="F362" s="20" t="inlineStr">
        <is>
          <t>Amaze</t>
        </is>
      </c>
      <c r="G362" s="21" t="n">
        <v>2013</v>
      </c>
      <c r="H362" s="22" t="n">
        <v>30552</v>
      </c>
      <c r="I362" s="23" t="n">
        <v>275000</v>
      </c>
      <c r="J362" s="20" t="inlineStr">
        <is>
          <t>EXCHANGE ROTN</t>
        </is>
      </c>
      <c r="K362" s="20" t="inlineStr">
        <is>
          <t>Captive</t>
        </is>
      </c>
      <c r="L362" s="20" t="inlineStr">
        <is>
          <t>Sai Cars</t>
        </is>
      </c>
      <c r="M362" s="23" t="n">
        <v>6779.66</v>
      </c>
      <c r="N362" s="23" t="n">
        <v>8000</v>
      </c>
      <c r="O362" s="24">
        <f>IF(AND(ISNUMBER(M362), ISNUMBER(I362), I362&gt;0), M362/I362, "")</f>
        <v/>
      </c>
    </row>
    <row r="363">
      <c r="A363" s="19" t="inlineStr">
        <is>
          <t>FY26</t>
        </is>
      </c>
      <c r="B363" s="19" t="inlineStr">
        <is>
          <t>Jan</t>
        </is>
      </c>
      <c r="C363" s="19" t="inlineStr">
        <is>
          <t>TN</t>
        </is>
      </c>
      <c r="D363" s="20" t="inlineStr">
        <is>
          <t>TN69AM0085</t>
        </is>
      </c>
      <c r="E363" s="20" t="inlineStr">
        <is>
          <t>HONDA</t>
        </is>
      </c>
      <c r="F363" s="20" t="inlineStr">
        <is>
          <t>Brio</t>
        </is>
      </c>
      <c r="G363" s="21" t="n">
        <v>2014</v>
      </c>
      <c r="H363" s="22" t="n">
        <v>72627</v>
      </c>
      <c r="I363" s="23" t="n">
        <v>240000</v>
      </c>
      <c r="J363" s="20" t="inlineStr">
        <is>
          <t>EXCHANGE ROTN</t>
        </is>
      </c>
      <c r="K363" s="20" t="inlineStr">
        <is>
          <t>Captive</t>
        </is>
      </c>
      <c r="L363" s="20" t="inlineStr">
        <is>
          <t>Dheera Cars</t>
        </is>
      </c>
      <c r="M363" s="23" t="n">
        <v>8474.58</v>
      </c>
      <c r="N363" s="23" t="n">
        <v>10000</v>
      </c>
      <c r="O363" s="24">
        <f>IF(AND(ISNUMBER(M363), ISNUMBER(I363), I363&gt;0), M363/I363, "")</f>
        <v/>
      </c>
    </row>
    <row r="364">
      <c r="A364" s="19" t="inlineStr">
        <is>
          <t>FY26</t>
        </is>
      </c>
      <c r="B364" s="19" t="inlineStr">
        <is>
          <t>Jan</t>
        </is>
      </c>
      <c r="C364" s="19" t="inlineStr">
        <is>
          <t>TN</t>
        </is>
      </c>
      <c r="D364" s="20" t="inlineStr">
        <is>
          <t>TN39BD8588</t>
        </is>
      </c>
      <c r="E364" s="20" t="inlineStr">
        <is>
          <t>MARUTI SUZUKI</t>
        </is>
      </c>
      <c r="F364" s="20" t="inlineStr">
        <is>
          <t>A Star</t>
        </is>
      </c>
      <c r="G364" s="21" t="n">
        <v>2009</v>
      </c>
      <c r="H364" s="22" t="n">
        <v>56543</v>
      </c>
      <c r="I364" s="23" t="n">
        <v>155000</v>
      </c>
      <c r="J364" s="20" t="inlineStr">
        <is>
          <t>EXCHANGE ROTN</t>
        </is>
      </c>
      <c r="K364" s="20" t="inlineStr">
        <is>
          <t>Captive</t>
        </is>
      </c>
      <c r="L364" s="20" t="inlineStr">
        <is>
          <t>Karthickeyan cars</t>
        </is>
      </c>
      <c r="M364" s="23" t="n">
        <v>10169.49</v>
      </c>
      <c r="N364" s="23" t="n">
        <v>12000</v>
      </c>
      <c r="O364" s="24">
        <f>IF(AND(ISNUMBER(M364), ISNUMBER(I364), I364&gt;0), M364/I364, "")</f>
        <v/>
      </c>
    </row>
    <row r="365">
      <c r="A365" s="19" t="inlineStr">
        <is>
          <t>FY26</t>
        </is>
      </c>
      <c r="B365" s="19" t="inlineStr">
        <is>
          <t>Jan</t>
        </is>
      </c>
      <c r="C365" s="19" t="inlineStr">
        <is>
          <t>TN</t>
        </is>
      </c>
      <c r="D365" s="20" t="inlineStr">
        <is>
          <t>TN34M3123</t>
        </is>
      </c>
      <c r="E365" s="20" t="inlineStr">
        <is>
          <t>MARUTI SUZUKI</t>
        </is>
      </c>
      <c r="F365" s="20" t="inlineStr">
        <is>
          <t>Alto K10</t>
        </is>
      </c>
      <c r="G365" s="21" t="n">
        <v>2011</v>
      </c>
      <c r="H365" s="22" t="n">
        <v>121116</v>
      </c>
      <c r="I365" s="23" t="n">
        <v>150000</v>
      </c>
      <c r="J365" s="20" t="inlineStr">
        <is>
          <t>EXCHANGE ROTN</t>
        </is>
      </c>
      <c r="K365" s="20" t="inlineStr">
        <is>
          <t>Captive</t>
        </is>
      </c>
      <c r="L365" s="20" t="inlineStr">
        <is>
          <t>SIVASHANKAR CARS</t>
        </is>
      </c>
      <c r="M365" s="23" t="n">
        <v>10169.49</v>
      </c>
      <c r="N365" s="23" t="n">
        <v>12000</v>
      </c>
      <c r="O365" s="24">
        <f>IF(AND(ISNUMBER(M365), ISNUMBER(I365), I365&gt;0), M365/I365, "")</f>
        <v/>
      </c>
    </row>
    <row r="366">
      <c r="A366" s="19" t="inlineStr">
        <is>
          <t>FY26</t>
        </is>
      </c>
      <c r="B366" s="19" t="inlineStr">
        <is>
          <t>Jan</t>
        </is>
      </c>
      <c r="C366" s="19" t="inlineStr">
        <is>
          <t>TN</t>
        </is>
      </c>
      <c r="D366" s="20" t="inlineStr">
        <is>
          <t>TN14Z0681</t>
        </is>
      </c>
      <c r="E366" s="20" t="inlineStr">
        <is>
          <t>HONDA</t>
        </is>
      </c>
      <c r="F366" s="20" t="inlineStr">
        <is>
          <t>City</t>
        </is>
      </c>
      <c r="G366" s="21" t="n">
        <v>2021</v>
      </c>
      <c r="H366" s="22" t="n">
        <v>89755</v>
      </c>
      <c r="I366" s="23" t="n">
        <v>850000</v>
      </c>
      <c r="J366" s="20" t="inlineStr">
        <is>
          <t>EXCHANGE CHENNAI</t>
        </is>
      </c>
      <c r="K366" s="20" t="inlineStr">
        <is>
          <t>Captive</t>
        </is>
      </c>
      <c r="L366" s="20" t="inlineStr">
        <is>
          <t>Kirthi Cars</t>
        </is>
      </c>
      <c r="M366" s="23" t="n">
        <v>4237.29</v>
      </c>
      <c r="N366" s="23" t="n">
        <v>5000</v>
      </c>
      <c r="O366" s="24">
        <f>IF(AND(ISNUMBER(M366), ISNUMBER(I366), I366&gt;0), M366/I366, "")</f>
        <v/>
      </c>
    </row>
    <row r="367">
      <c r="A367" s="19" t="inlineStr">
        <is>
          <t>FY26</t>
        </is>
      </c>
      <c r="B367" s="19" t="inlineStr">
        <is>
          <t>Jan</t>
        </is>
      </c>
      <c r="C367" s="19" t="inlineStr">
        <is>
          <t>TN</t>
        </is>
      </c>
      <c r="D367" s="20" t="inlineStr">
        <is>
          <t>TN07CS8565</t>
        </is>
      </c>
      <c r="E367" s="20" t="inlineStr">
        <is>
          <t>HONDA</t>
        </is>
      </c>
      <c r="F367" s="20" t="inlineStr">
        <is>
          <t>Amaze</t>
        </is>
      </c>
      <c r="G367" s="21" t="n">
        <v>2019</v>
      </c>
      <c r="H367" s="22" t="n">
        <v>25589</v>
      </c>
      <c r="I367" s="23" t="n">
        <v>540000</v>
      </c>
      <c r="J367" s="20" t="inlineStr">
        <is>
          <t>EXCHANGE CHENNAI</t>
        </is>
      </c>
      <c r="K367" s="20" t="inlineStr">
        <is>
          <t>Captive</t>
        </is>
      </c>
      <c r="L367" s="20" t="inlineStr">
        <is>
          <t>Varadhrajan cars</t>
        </is>
      </c>
      <c r="M367" s="23" t="n">
        <v>4237.29</v>
      </c>
      <c r="N367" s="23" t="n">
        <v>5000</v>
      </c>
      <c r="O367" s="24">
        <f>IF(AND(ISNUMBER(M367), ISNUMBER(I367), I367&gt;0), M367/I367, "")</f>
        <v/>
      </c>
    </row>
    <row r="368">
      <c r="A368" s="19" t="inlineStr">
        <is>
          <t>FY26</t>
        </is>
      </c>
      <c r="B368" s="19" t="inlineStr">
        <is>
          <t>Jan</t>
        </is>
      </c>
      <c r="C368" s="19" t="inlineStr">
        <is>
          <t>TN</t>
        </is>
      </c>
      <c r="D368" s="20" t="inlineStr">
        <is>
          <t>KL01CS4633</t>
        </is>
      </c>
      <c r="E368" s="20" t="inlineStr">
        <is>
          <t>MARUTI SUZUKI</t>
        </is>
      </c>
      <c r="F368" s="20" t="inlineStr">
        <is>
          <t>S-Presso</t>
        </is>
      </c>
      <c r="G368" s="21" t="n">
        <v>2021</v>
      </c>
      <c r="H368" s="22" t="n">
        <v>42610</v>
      </c>
      <c r="I368" s="23" t="n">
        <v>335000</v>
      </c>
      <c r="J368" s="20" t="inlineStr">
        <is>
          <t>Nippon Motor Corporation Pvt Ltd</t>
        </is>
      </c>
      <c r="K368" s="20" t="inlineStr">
        <is>
          <t>Non-Captive</t>
        </is>
      </c>
      <c r="L368" s="20" t="inlineStr">
        <is>
          <t>Popular Thrissur</t>
        </is>
      </c>
      <c r="M368" s="23" t="n">
        <v>5000</v>
      </c>
      <c r="N368" s="23" t="n">
        <v>5900</v>
      </c>
      <c r="O368" s="24">
        <f>IF(AND(ISNUMBER(M368), ISNUMBER(I368), I368&gt;0), M368/I368, "")</f>
        <v/>
      </c>
    </row>
    <row r="369">
      <c r="A369" s="19" t="inlineStr">
        <is>
          <t>FY26</t>
        </is>
      </c>
      <c r="B369" s="19" t="inlineStr">
        <is>
          <t>Jan</t>
        </is>
      </c>
      <c r="C369" s="19" t="inlineStr">
        <is>
          <t>TN</t>
        </is>
      </c>
      <c r="D369" s="20" t="inlineStr">
        <is>
          <t>KL19P1199</t>
        </is>
      </c>
      <c r="E369" s="20" t="inlineStr">
        <is>
          <t>MARUTI SUZUKI</t>
        </is>
      </c>
      <c r="F369" s="20" t="inlineStr">
        <is>
          <t>Celerio</t>
        </is>
      </c>
      <c r="G369" s="21" t="n">
        <v>2023</v>
      </c>
      <c r="H369" s="22" t="n">
        <v>52746</v>
      </c>
      <c r="I369" s="23" t="n">
        <v>523000</v>
      </c>
      <c r="J369" s="20" t="inlineStr">
        <is>
          <t>Popular Motorworld pvt Ltd</t>
        </is>
      </c>
      <c r="K369" s="20" t="inlineStr">
        <is>
          <t>Non-Captive</t>
        </is>
      </c>
      <c r="L369" s="20" t="inlineStr">
        <is>
          <t>Popular Thrissur</t>
        </is>
      </c>
      <c r="M369" s="23" t="n">
        <v>5000</v>
      </c>
      <c r="N369" s="23" t="n">
        <v>5900</v>
      </c>
      <c r="O369" s="24">
        <f>IF(AND(ISNUMBER(M369), ISNUMBER(I369), I369&gt;0), M369/I369, "")</f>
        <v/>
      </c>
    </row>
    <row r="370">
      <c r="A370" s="19" t="inlineStr">
        <is>
          <t>FY26</t>
        </is>
      </c>
      <c r="B370" s="19" t="inlineStr">
        <is>
          <t>Jan</t>
        </is>
      </c>
      <c r="C370" s="19" t="inlineStr">
        <is>
          <t>TN</t>
        </is>
      </c>
      <c r="D370" s="20" t="inlineStr">
        <is>
          <t>KL02BC9788</t>
        </is>
      </c>
      <c r="E370" s="20" t="inlineStr">
        <is>
          <t>TATA</t>
        </is>
      </c>
      <c r="F370" s="20" t="inlineStr">
        <is>
          <t>Tiago</t>
        </is>
      </c>
      <c r="G370" s="21" t="n">
        <v>2017</v>
      </c>
      <c r="H370" s="22" t="n">
        <v>67122</v>
      </c>
      <c r="I370" s="23" t="n">
        <v>265000</v>
      </c>
      <c r="J370" s="20" t="inlineStr">
        <is>
          <t>Nippon Motor Corporation Pvt Ltd</t>
        </is>
      </c>
      <c r="K370" s="20" t="inlineStr">
        <is>
          <t>Non-Captive</t>
        </is>
      </c>
      <c r="L370" s="20" t="inlineStr">
        <is>
          <t>Popular Thrissur</t>
        </is>
      </c>
      <c r="M370" s="23" t="n">
        <v>5000</v>
      </c>
      <c r="N370" s="23" t="n">
        <v>5900</v>
      </c>
      <c r="O370" s="24">
        <f>IF(AND(ISNUMBER(M370), ISNUMBER(I370), I370&gt;0), M370/I370, "")</f>
        <v/>
      </c>
    </row>
    <row r="371">
      <c r="A371" s="19" t="inlineStr">
        <is>
          <t>FY26</t>
        </is>
      </c>
      <c r="B371" s="19" t="inlineStr">
        <is>
          <t>Jan</t>
        </is>
      </c>
      <c r="C371" s="19" t="inlineStr">
        <is>
          <t>TN</t>
        </is>
      </c>
      <c r="D371" s="20" t="inlineStr">
        <is>
          <t>KL23K1414</t>
        </is>
      </c>
      <c r="E371" s="20" t="inlineStr">
        <is>
          <t>MARUTI SUZUKI</t>
        </is>
      </c>
      <c r="F371" s="20" t="inlineStr">
        <is>
          <t>Ciaz</t>
        </is>
      </c>
      <c r="G371" s="21" t="n">
        <v>2014</v>
      </c>
      <c r="H371" s="22" t="n">
        <v>71095</v>
      </c>
      <c r="I371" s="23" t="n">
        <v>370000</v>
      </c>
      <c r="J371" s="20" t="inlineStr">
        <is>
          <t>Nippon Motor Corporation Pvt Ltd</t>
        </is>
      </c>
      <c r="K371" s="20" t="inlineStr">
        <is>
          <t>Non-Captive</t>
        </is>
      </c>
      <c r="L371" s="20" t="inlineStr">
        <is>
          <t>Popular Thrissur</t>
        </is>
      </c>
      <c r="M371" s="23" t="n">
        <v>5000</v>
      </c>
      <c r="N371" s="23" t="n">
        <v>5900</v>
      </c>
      <c r="O371" s="24">
        <f>IF(AND(ISNUMBER(M371), ISNUMBER(I371), I371&gt;0), M371/I371, "")</f>
        <v/>
      </c>
    </row>
    <row r="372">
      <c r="A372" s="19" t="inlineStr">
        <is>
          <t>FY26</t>
        </is>
      </c>
      <c r="B372" s="19" t="inlineStr">
        <is>
          <t>Jan</t>
        </is>
      </c>
      <c r="C372" s="19" t="inlineStr">
        <is>
          <t>TN</t>
        </is>
      </c>
      <c r="D372" s="20" t="inlineStr">
        <is>
          <t>TN20CK0724</t>
        </is>
      </c>
      <c r="E372" s="20" t="inlineStr">
        <is>
          <t>HYUNDAI</t>
        </is>
      </c>
      <c r="F372" s="20" t="inlineStr">
        <is>
          <t>Grand I10</t>
        </is>
      </c>
      <c r="G372" s="21" t="n">
        <v>2016</v>
      </c>
      <c r="H372" s="22" t="n">
        <v>125032</v>
      </c>
      <c r="I372" s="23" t="n">
        <v>245000</v>
      </c>
      <c r="J372" s="20" t="inlineStr">
        <is>
          <t>Khivraj Motor</t>
        </is>
      </c>
      <c r="K372" s="20" t="inlineStr">
        <is>
          <t>Non-Captive</t>
        </is>
      </c>
      <c r="L372" s="20" t="inlineStr">
        <is>
          <t>AAA Cars</t>
        </is>
      </c>
      <c r="M372" s="23" t="n">
        <v>5084.75</v>
      </c>
      <c r="N372" s="23" t="n">
        <v>6000</v>
      </c>
      <c r="O372" s="24">
        <f>IF(AND(ISNUMBER(M372), ISNUMBER(I372), I372&gt;0), M372/I372, "")</f>
        <v/>
      </c>
    </row>
    <row r="373">
      <c r="A373" s="19" t="inlineStr">
        <is>
          <t>FY26</t>
        </is>
      </c>
      <c r="B373" s="19" t="inlineStr">
        <is>
          <t>Jan</t>
        </is>
      </c>
      <c r="C373" s="19" t="inlineStr">
        <is>
          <t>TN</t>
        </is>
      </c>
      <c r="D373" s="20" t="inlineStr">
        <is>
          <t>TN04AV5218</t>
        </is>
      </c>
      <c r="E373" s="20" t="inlineStr">
        <is>
          <t>MARUTI SUZUKI</t>
        </is>
      </c>
      <c r="F373" s="20" t="inlineStr">
        <is>
          <t>Swift</t>
        </is>
      </c>
      <c r="G373" s="21" t="n">
        <v>2018</v>
      </c>
      <c r="H373" s="22" t="n">
        <v>83786</v>
      </c>
      <c r="I373" s="23" t="n">
        <v>405000</v>
      </c>
      <c r="J373" s="20" t="inlineStr">
        <is>
          <t>Khivraj Motor</t>
        </is>
      </c>
      <c r="K373" s="20" t="inlineStr">
        <is>
          <t>Non-Captive</t>
        </is>
      </c>
      <c r="L373" s="20" t="inlineStr">
        <is>
          <t>AAA Cars</t>
        </is>
      </c>
      <c r="M373" s="23" t="n">
        <v>5084.75</v>
      </c>
      <c r="N373" s="23" t="n">
        <v>6000</v>
      </c>
      <c r="O373" s="24">
        <f>IF(AND(ISNUMBER(M373), ISNUMBER(I373), I373&gt;0), M373/I373, "")</f>
        <v/>
      </c>
    </row>
    <row r="374">
      <c r="A374" s="19" t="inlineStr">
        <is>
          <t>FY26</t>
        </is>
      </c>
      <c r="B374" s="19" t="inlineStr">
        <is>
          <t>Jan</t>
        </is>
      </c>
      <c r="C374" s="19" t="inlineStr">
        <is>
          <t>TN</t>
        </is>
      </c>
      <c r="D374" s="20" t="inlineStr">
        <is>
          <t>TN12W8688</t>
        </is>
      </c>
      <c r="E374" s="20" t="inlineStr">
        <is>
          <t>MARUTI SUZUKI</t>
        </is>
      </c>
      <c r="F374" s="20" t="inlineStr">
        <is>
          <t>Wagon R</t>
        </is>
      </c>
      <c r="G374" s="21" t="n">
        <v>2017</v>
      </c>
      <c r="H374" s="22" t="n">
        <v>79163</v>
      </c>
      <c r="I374" s="23" t="n">
        <v>285000</v>
      </c>
      <c r="J374" s="20" t="inlineStr">
        <is>
          <t>Khivraj Motor</t>
        </is>
      </c>
      <c r="K374" s="20" t="inlineStr">
        <is>
          <t>Non-Captive</t>
        </is>
      </c>
      <c r="L374" s="20" t="inlineStr">
        <is>
          <t>AAA Cars</t>
        </is>
      </c>
      <c r="M374" s="23" t="n">
        <v>5084.75</v>
      </c>
      <c r="N374" s="23" t="n">
        <v>6000</v>
      </c>
      <c r="O374" s="24">
        <f>IF(AND(ISNUMBER(M374), ISNUMBER(I374), I374&gt;0), M374/I374, "")</f>
        <v/>
      </c>
    </row>
    <row r="375">
      <c r="A375" s="19" t="inlineStr">
        <is>
          <t>FY26</t>
        </is>
      </c>
      <c r="B375" s="19" t="inlineStr">
        <is>
          <t>Jan</t>
        </is>
      </c>
      <c r="C375" s="19" t="inlineStr">
        <is>
          <t>TN</t>
        </is>
      </c>
      <c r="D375" s="20" t="inlineStr">
        <is>
          <t>TN09BY6625</t>
        </is>
      </c>
      <c r="E375" s="20" t="inlineStr">
        <is>
          <t>HONDA</t>
        </is>
      </c>
      <c r="F375" s="20" t="inlineStr">
        <is>
          <t>Brio</t>
        </is>
      </c>
      <c r="G375" s="21" t="n">
        <v>2014</v>
      </c>
      <c r="H375" s="22" t="n">
        <v>75446</v>
      </c>
      <c r="I375" s="23" t="n">
        <v>150000</v>
      </c>
      <c r="J375" s="20" t="inlineStr">
        <is>
          <t>Khivraj Motor</t>
        </is>
      </c>
      <c r="K375" s="20" t="inlineStr">
        <is>
          <t>Non-Captive</t>
        </is>
      </c>
      <c r="L375" s="20" t="inlineStr">
        <is>
          <t>AAA Cars</t>
        </is>
      </c>
      <c r="M375" s="23" t="n">
        <v>5084.75</v>
      </c>
      <c r="N375" s="23" t="n">
        <v>6000</v>
      </c>
      <c r="O375" s="24">
        <f>IF(AND(ISNUMBER(M375), ISNUMBER(I375), I375&gt;0), M375/I375, "")</f>
        <v/>
      </c>
    </row>
    <row r="376">
      <c r="A376" s="19" t="inlineStr">
        <is>
          <t>FY26</t>
        </is>
      </c>
      <c r="B376" s="19" t="inlineStr">
        <is>
          <t>Jan</t>
        </is>
      </c>
      <c r="C376" s="19" t="inlineStr">
        <is>
          <t>TN</t>
        </is>
      </c>
      <c r="D376" s="20" t="inlineStr">
        <is>
          <t>PY01AP5157</t>
        </is>
      </c>
      <c r="E376" s="20" t="inlineStr">
        <is>
          <t>MARUTI SUZUKI</t>
        </is>
      </c>
      <c r="F376" s="20" t="inlineStr">
        <is>
          <t>Alto</t>
        </is>
      </c>
      <c r="G376" s="21" t="n">
        <v>2008</v>
      </c>
      <c r="H376" s="22" t="n">
        <v>57148</v>
      </c>
      <c r="I376" s="23" t="n">
        <v>78000</v>
      </c>
      <c r="J376" s="20" t="inlineStr">
        <is>
          <t>Khivraj Motor</t>
        </is>
      </c>
      <c r="K376" s="20" t="inlineStr">
        <is>
          <t>Non-Captive</t>
        </is>
      </c>
      <c r="L376" s="20" t="inlineStr">
        <is>
          <t>AAA Cars</t>
        </is>
      </c>
      <c r="M376" s="23" t="n">
        <v>5084.75</v>
      </c>
      <c r="N376" s="23" t="n">
        <v>6000</v>
      </c>
      <c r="O376" s="24">
        <f>IF(AND(ISNUMBER(M376), ISNUMBER(I376), I376&gt;0), M376/I376, "")</f>
        <v/>
      </c>
    </row>
    <row r="377">
      <c r="A377" s="19" t="inlineStr">
        <is>
          <t>FY26</t>
        </is>
      </c>
      <c r="B377" s="19" t="inlineStr">
        <is>
          <t>Jan</t>
        </is>
      </c>
      <c r="C377" s="19" t="inlineStr">
        <is>
          <t>TN</t>
        </is>
      </c>
      <c r="D377" s="20" t="inlineStr">
        <is>
          <t>TN01BH5103</t>
        </is>
      </c>
      <c r="E377" s="20" t="inlineStr">
        <is>
          <t>HONDA</t>
        </is>
      </c>
      <c r="F377" s="20" t="inlineStr">
        <is>
          <t>Amaze</t>
        </is>
      </c>
      <c r="G377" s="21" t="n">
        <v>2019</v>
      </c>
      <c r="H377" s="22" t="n">
        <v>11791</v>
      </c>
      <c r="I377" s="23" t="n">
        <v>440000</v>
      </c>
      <c r="J377" s="20" t="inlineStr">
        <is>
          <t>Khivraj Motor</t>
        </is>
      </c>
      <c r="K377" s="20" t="inlineStr">
        <is>
          <t>Non-Captive</t>
        </is>
      </c>
      <c r="L377" s="20" t="inlineStr">
        <is>
          <t>AAA Cars</t>
        </is>
      </c>
      <c r="M377" s="23" t="n">
        <v>5084.75</v>
      </c>
      <c r="N377" s="23" t="n">
        <v>6000</v>
      </c>
      <c r="O377" s="24">
        <f>IF(AND(ISNUMBER(M377), ISNUMBER(I377), I377&gt;0), M377/I377, "")</f>
        <v/>
      </c>
    </row>
    <row r="378">
      <c r="A378" s="19" t="inlineStr">
        <is>
          <t>FY26</t>
        </is>
      </c>
      <c r="B378" s="19" t="inlineStr">
        <is>
          <t>Jan</t>
        </is>
      </c>
      <c r="C378" s="19" t="inlineStr">
        <is>
          <t>TN</t>
        </is>
      </c>
      <c r="D378" s="20" t="inlineStr">
        <is>
          <t>TN01AX4563</t>
        </is>
      </c>
      <c r="E378" s="20" t="inlineStr">
        <is>
          <t>MARUTI SUZUKI</t>
        </is>
      </c>
      <c r="F378" s="20" t="inlineStr">
        <is>
          <t>Ciaz</t>
        </is>
      </c>
      <c r="G378" s="21" t="n">
        <v>2014</v>
      </c>
      <c r="H378" s="22" t="n">
        <v>63217</v>
      </c>
      <c r="I378" s="23" t="n">
        <v>280000</v>
      </c>
      <c r="J378" s="20" t="inlineStr">
        <is>
          <t>Khivraj Motor</t>
        </is>
      </c>
      <c r="K378" s="20" t="inlineStr">
        <is>
          <t>Non-Captive</t>
        </is>
      </c>
      <c r="L378" s="20" t="inlineStr">
        <is>
          <t>Prem Cars</t>
        </is>
      </c>
      <c r="M378" s="23" t="n">
        <v>5084.75</v>
      </c>
      <c r="N378" s="23" t="n">
        <v>6000</v>
      </c>
      <c r="O378" s="24">
        <f>IF(AND(ISNUMBER(M378), ISNUMBER(I378), I378&gt;0), M378/I378, "")</f>
        <v/>
      </c>
    </row>
    <row r="379">
      <c r="A379" s="19" t="inlineStr">
        <is>
          <t>FY26</t>
        </is>
      </c>
      <c r="B379" s="19" t="inlineStr">
        <is>
          <t>Jan</t>
        </is>
      </c>
      <c r="C379" s="19" t="inlineStr">
        <is>
          <t>TN</t>
        </is>
      </c>
      <c r="D379" s="20" t="inlineStr">
        <is>
          <t>TN12AU3082</t>
        </is>
      </c>
      <c r="E379" s="20" t="inlineStr">
        <is>
          <t>MARUTI SUZUKI</t>
        </is>
      </c>
      <c r="F379" s="20" t="inlineStr">
        <is>
          <t>Wagon R</t>
        </is>
      </c>
      <c r="G379" s="21" t="n">
        <v>2022</v>
      </c>
      <c r="H379" s="22" t="n">
        <v>76380</v>
      </c>
      <c r="I379" s="23" t="n">
        <v>400000</v>
      </c>
      <c r="J379" s="20" t="inlineStr">
        <is>
          <t>VISHNU CARS PRIVATE LIMITED</t>
        </is>
      </c>
      <c r="K379" s="20" t="inlineStr">
        <is>
          <t>Non-Captive</t>
        </is>
      </c>
      <c r="L379" s="20" t="inlineStr">
        <is>
          <t>AB Cars</t>
        </is>
      </c>
      <c r="M379" s="23" t="n">
        <v>4237.29</v>
      </c>
      <c r="N379" s="23" t="n">
        <v>5000</v>
      </c>
      <c r="O379" s="24">
        <f>IF(AND(ISNUMBER(M379), ISNUMBER(I379), I379&gt;0), M379/I379, "")</f>
        <v/>
      </c>
    </row>
    <row r="380">
      <c r="A380" s="19" t="inlineStr">
        <is>
          <t>FY26</t>
        </is>
      </c>
      <c r="B380" s="19" t="inlineStr">
        <is>
          <t>Jan</t>
        </is>
      </c>
      <c r="C380" s="19" t="inlineStr">
        <is>
          <t>TN</t>
        </is>
      </c>
      <c r="D380" s="20" t="inlineStr">
        <is>
          <t>TN02AW2527</t>
        </is>
      </c>
      <c r="E380" s="20" t="inlineStr">
        <is>
          <t>BMW</t>
        </is>
      </c>
      <c r="F380" s="20" t="inlineStr">
        <is>
          <t>320D</t>
        </is>
      </c>
      <c r="G380" s="21" t="n">
        <v>2011</v>
      </c>
      <c r="H380" s="22" t="n">
        <v>99999</v>
      </c>
      <c r="I380" s="23" t="n">
        <v>400000</v>
      </c>
      <c r="J380" s="20" t="inlineStr">
        <is>
          <t>VISHNU CARS PRIVATE LIMITED</t>
        </is>
      </c>
      <c r="K380" s="20" t="inlineStr">
        <is>
          <t>Non-Captive</t>
        </is>
      </c>
      <c r="L380" s="20" t="inlineStr">
        <is>
          <t>Pine Autos</t>
        </is>
      </c>
      <c r="M380" s="23" t="n">
        <v>4237.29</v>
      </c>
      <c r="N380" s="23" t="n">
        <v>5000</v>
      </c>
      <c r="O380" s="24">
        <f>IF(AND(ISNUMBER(M380), ISNUMBER(I380), I380&gt;0), M380/I380, "")</f>
        <v/>
      </c>
    </row>
    <row r="381">
      <c r="A381" s="19" t="inlineStr">
        <is>
          <t>FY26</t>
        </is>
      </c>
      <c r="B381" s="19" t="inlineStr">
        <is>
          <t>Jan</t>
        </is>
      </c>
      <c r="C381" s="19" t="inlineStr">
        <is>
          <t>TN</t>
        </is>
      </c>
      <c r="D381" s="20" t="inlineStr">
        <is>
          <t>TN06K1909</t>
        </is>
      </c>
      <c r="E381" s="20" t="inlineStr">
        <is>
          <t>FORD</t>
        </is>
      </c>
      <c r="F381" s="20" t="inlineStr">
        <is>
          <t>Ecosport</t>
        </is>
      </c>
      <c r="G381" s="21" t="n">
        <v>2013</v>
      </c>
      <c r="H381" s="22" t="n">
        <v>70906</v>
      </c>
      <c r="I381" s="23" t="n">
        <v>240000</v>
      </c>
      <c r="J381" s="20" t="inlineStr">
        <is>
          <t>VISHNU CARS PRIVATE LIMITED</t>
        </is>
      </c>
      <c r="K381" s="20" t="inlineStr">
        <is>
          <t>Non-Captive</t>
        </is>
      </c>
      <c r="L381" s="20" t="inlineStr">
        <is>
          <t>Pine Autos</t>
        </is>
      </c>
      <c r="M381" s="23" t="n">
        <v>4237.29</v>
      </c>
      <c r="N381" s="23" t="n">
        <v>5000</v>
      </c>
      <c r="O381" s="24">
        <f>IF(AND(ISNUMBER(M381), ISNUMBER(I381), I381&gt;0), M381/I381, "")</f>
        <v/>
      </c>
    </row>
    <row r="382">
      <c r="A382" s="19" t="inlineStr">
        <is>
          <t>FY26</t>
        </is>
      </c>
      <c r="B382" s="19" t="inlineStr">
        <is>
          <t>Jan</t>
        </is>
      </c>
      <c r="C382" s="19" t="inlineStr">
        <is>
          <t>TN</t>
        </is>
      </c>
      <c r="D382" s="20" t="inlineStr">
        <is>
          <t>TN12L4885</t>
        </is>
      </c>
      <c r="E382" s="20" t="inlineStr">
        <is>
          <t>MARUTI SUZUKI</t>
        </is>
      </c>
      <c r="F382" s="20" t="inlineStr">
        <is>
          <t>Swift</t>
        </is>
      </c>
      <c r="G382" s="21" t="n">
        <v>2016</v>
      </c>
      <c r="H382" s="22" t="n">
        <v>84775</v>
      </c>
      <c r="I382" s="23" t="n">
        <v>330000</v>
      </c>
      <c r="J382" s="20" t="inlineStr">
        <is>
          <t>VISHNU CARS PRIVATE LIMITED</t>
        </is>
      </c>
      <c r="K382" s="20" t="inlineStr">
        <is>
          <t>Non-Captive</t>
        </is>
      </c>
      <c r="L382" s="20" t="inlineStr">
        <is>
          <t>Pine Autos</t>
        </is>
      </c>
      <c r="M382" s="23" t="n">
        <v>4237.29</v>
      </c>
      <c r="N382" s="23" t="n">
        <v>5000</v>
      </c>
      <c r="O382" s="24">
        <f>IF(AND(ISNUMBER(M382), ISNUMBER(I382), I382&gt;0), M382/I382, "")</f>
        <v/>
      </c>
    </row>
    <row r="383">
      <c r="A383" s="19" t="inlineStr">
        <is>
          <t>FY26</t>
        </is>
      </c>
      <c r="B383" s="19" t="inlineStr">
        <is>
          <t>Jan</t>
        </is>
      </c>
      <c r="C383" s="19" t="inlineStr">
        <is>
          <t>TN</t>
        </is>
      </c>
      <c r="D383" s="20" t="inlineStr">
        <is>
          <t>TN01BP7655</t>
        </is>
      </c>
      <c r="E383" s="20" t="inlineStr">
        <is>
          <t>MARUTI SUZUKI</t>
        </is>
      </c>
      <c r="F383" s="20" t="inlineStr">
        <is>
          <t>Wagon R</t>
        </is>
      </c>
      <c r="G383" s="21" t="n">
        <v>2022</v>
      </c>
      <c r="H383" s="22" t="n">
        <v>40186</v>
      </c>
      <c r="I383" s="23" t="n">
        <v>440000</v>
      </c>
      <c r="J383" s="20" t="inlineStr">
        <is>
          <t>Khivraj Motor</t>
        </is>
      </c>
      <c r="K383" s="20" t="inlineStr">
        <is>
          <t>Non-Captive</t>
        </is>
      </c>
      <c r="L383" s="20" t="inlineStr">
        <is>
          <t>Santhosh Cars</t>
        </is>
      </c>
      <c r="M383" s="23" t="n">
        <v>5084.75</v>
      </c>
      <c r="N383" s="23" t="n">
        <v>6000</v>
      </c>
      <c r="O383" s="24">
        <f>IF(AND(ISNUMBER(M383), ISNUMBER(I383), I383&gt;0), M383/I383, "")</f>
        <v/>
      </c>
    </row>
    <row r="384">
      <c r="A384" s="19" t="inlineStr">
        <is>
          <t>FY26</t>
        </is>
      </c>
      <c r="B384" s="19" t="inlineStr">
        <is>
          <t>Jan</t>
        </is>
      </c>
      <c r="C384" s="19" t="inlineStr">
        <is>
          <t>TN</t>
        </is>
      </c>
      <c r="D384" s="20" t="inlineStr">
        <is>
          <t>TN20CK4254</t>
        </is>
      </c>
      <c r="E384" s="20" t="inlineStr">
        <is>
          <t>MARUTI SUZUKI</t>
        </is>
      </c>
      <c r="F384" s="20" t="inlineStr">
        <is>
          <t>Swift Dzire</t>
        </is>
      </c>
      <c r="G384" s="21" t="n">
        <v>2016</v>
      </c>
      <c r="H384" s="22" t="n">
        <v>37433</v>
      </c>
      <c r="I384" s="23" t="n">
        <v>375000</v>
      </c>
      <c r="J384" s="20" t="inlineStr">
        <is>
          <t>Khivraj Motor</t>
        </is>
      </c>
      <c r="K384" s="20" t="inlineStr">
        <is>
          <t>Non-Captive</t>
        </is>
      </c>
      <c r="L384" s="20" t="inlineStr">
        <is>
          <t>Santhosh Cars</t>
        </is>
      </c>
      <c r="M384" s="23" t="n">
        <v>5084.75</v>
      </c>
      <c r="N384" s="23" t="n">
        <v>6000</v>
      </c>
      <c r="O384" s="24">
        <f>IF(AND(ISNUMBER(M384), ISNUMBER(I384), I384&gt;0), M384/I384, "")</f>
        <v/>
      </c>
    </row>
    <row r="385">
      <c r="A385" s="19" t="inlineStr">
        <is>
          <t>FY26</t>
        </is>
      </c>
      <c r="B385" s="19" t="inlineStr">
        <is>
          <t>Jan</t>
        </is>
      </c>
      <c r="C385" s="19" t="inlineStr">
        <is>
          <t>TN</t>
        </is>
      </c>
      <c r="D385" s="20" t="inlineStr">
        <is>
          <t>TN20CA3904</t>
        </is>
      </c>
      <c r="E385" s="20" t="inlineStr">
        <is>
          <t>HYUNDAI</t>
        </is>
      </c>
      <c r="F385" s="20" t="inlineStr">
        <is>
          <t>I10</t>
        </is>
      </c>
      <c r="G385" s="21" t="n">
        <v>2012</v>
      </c>
      <c r="H385" s="22" t="n">
        <v>66670</v>
      </c>
      <c r="I385" s="23" t="n">
        <v>170000</v>
      </c>
      <c r="J385" s="20" t="inlineStr">
        <is>
          <t>Khivraj Motor</t>
        </is>
      </c>
      <c r="K385" s="20" t="inlineStr">
        <is>
          <t>Non-Captive</t>
        </is>
      </c>
      <c r="L385" s="20" t="inlineStr">
        <is>
          <t>Chaaran Cars</t>
        </is>
      </c>
      <c r="M385" s="23" t="n">
        <v>5084.75</v>
      </c>
      <c r="N385" s="23" t="n">
        <v>6000</v>
      </c>
      <c r="O385" s="24">
        <f>IF(AND(ISNUMBER(M385), ISNUMBER(I385), I385&gt;0), M385/I385, "")</f>
        <v/>
      </c>
    </row>
    <row r="386">
      <c r="A386" s="19" t="inlineStr">
        <is>
          <t>FY26</t>
        </is>
      </c>
      <c r="B386" s="19" t="inlineStr">
        <is>
          <t>Jan</t>
        </is>
      </c>
      <c r="C386" s="19" t="inlineStr">
        <is>
          <t>TN</t>
        </is>
      </c>
      <c r="D386" s="20" t="inlineStr">
        <is>
          <t>TN06K7642</t>
        </is>
      </c>
      <c r="E386" s="20" t="inlineStr">
        <is>
          <t>VOLKSWAGEN</t>
        </is>
      </c>
      <c r="F386" s="20" t="inlineStr">
        <is>
          <t>Polo</t>
        </is>
      </c>
      <c r="G386" s="21" t="n">
        <v>2013</v>
      </c>
      <c r="H386" s="22" t="n">
        <v>81914</v>
      </c>
      <c r="I386" s="23" t="n">
        <v>180000</v>
      </c>
      <c r="J386" s="20" t="inlineStr">
        <is>
          <t>Khivraj Motor</t>
        </is>
      </c>
      <c r="K386" s="20" t="inlineStr">
        <is>
          <t>Non-Captive</t>
        </is>
      </c>
      <c r="L386" s="20" t="inlineStr">
        <is>
          <t>Prem Cars</t>
        </is>
      </c>
      <c r="M386" s="23" t="n">
        <v>5084.75</v>
      </c>
      <c r="N386" s="23" t="n">
        <v>6000</v>
      </c>
      <c r="O386" s="24">
        <f>IF(AND(ISNUMBER(M386), ISNUMBER(I386), I386&gt;0), M386/I386, "")</f>
        <v/>
      </c>
    </row>
    <row r="387">
      <c r="A387" s="19" t="inlineStr">
        <is>
          <t>FY26</t>
        </is>
      </c>
      <c r="B387" s="19" t="inlineStr">
        <is>
          <t>Jan</t>
        </is>
      </c>
      <c r="C387" s="19" t="inlineStr">
        <is>
          <t>TN</t>
        </is>
      </c>
      <c r="D387" s="20" t="inlineStr">
        <is>
          <t>TN09CE6262</t>
        </is>
      </c>
      <c r="E387" s="20" t="inlineStr">
        <is>
          <t>MARUTI SUZUKI</t>
        </is>
      </c>
      <c r="F387" s="20" t="inlineStr">
        <is>
          <t>Brezza</t>
        </is>
      </c>
      <c r="G387" s="21" t="n"/>
      <c r="H387" s="22" t="n"/>
      <c r="I387" s="23" t="n">
        <v>473000</v>
      </c>
      <c r="J387" s="20" t="inlineStr">
        <is>
          <t>Khivraj Motor</t>
        </is>
      </c>
      <c r="K387" s="20" t="inlineStr">
        <is>
          <t>Non-Captive</t>
        </is>
      </c>
      <c r="L387" s="20" t="inlineStr">
        <is>
          <t>Senthil Cars</t>
        </is>
      </c>
      <c r="M387" s="23" t="n">
        <v>5084.75</v>
      </c>
      <c r="N387" s="23" t="n">
        <v>6000</v>
      </c>
      <c r="O387" s="24">
        <f>IF(AND(ISNUMBER(M387), ISNUMBER(I387), I387&gt;0), M387/I387, "")</f>
        <v/>
      </c>
    </row>
    <row r="388">
      <c r="A388" s="19" t="inlineStr">
        <is>
          <t>FY26</t>
        </is>
      </c>
      <c r="B388" s="19" t="inlineStr">
        <is>
          <t>Jan</t>
        </is>
      </c>
      <c r="C388" s="19" t="inlineStr">
        <is>
          <t>TN</t>
        </is>
      </c>
      <c r="D388" s="20" t="inlineStr">
        <is>
          <t>TN30BQ9174</t>
        </is>
      </c>
      <c r="E388" s="20" t="inlineStr">
        <is>
          <t>HONDA</t>
        </is>
      </c>
      <c r="F388" s="20" t="inlineStr">
        <is>
          <t>Amaze</t>
        </is>
      </c>
      <c r="G388" s="21" t="n">
        <v>2020</v>
      </c>
      <c r="H388" s="22" t="n">
        <v>36298</v>
      </c>
      <c r="I388" s="23" t="n">
        <v>485000</v>
      </c>
      <c r="J388" s="20" t="inlineStr">
        <is>
          <t>EXCHANGE ROTN</t>
        </is>
      </c>
      <c r="K388" s="20" t="inlineStr">
        <is>
          <t>Captive</t>
        </is>
      </c>
      <c r="L388" s="20" t="inlineStr">
        <is>
          <t>Sangeetha Enterprises</t>
        </is>
      </c>
      <c r="M388" s="23" t="n">
        <v>12711.86</v>
      </c>
      <c r="N388" s="23" t="n">
        <v>15000</v>
      </c>
      <c r="O388" s="24">
        <f>IF(AND(ISNUMBER(M388), ISNUMBER(I388), I388&gt;0), M388/I388, "")</f>
        <v/>
      </c>
    </row>
    <row r="389">
      <c r="A389" s="19" t="inlineStr">
        <is>
          <t>FY26</t>
        </is>
      </c>
      <c r="B389" s="19" t="inlineStr">
        <is>
          <t>Jan</t>
        </is>
      </c>
      <c r="C389" s="19" t="inlineStr">
        <is>
          <t>TN</t>
        </is>
      </c>
      <c r="D389" s="20" t="inlineStr">
        <is>
          <t>DL3CCE6673</t>
        </is>
      </c>
      <c r="E389" s="20" t="inlineStr">
        <is>
          <t>HONDA</t>
        </is>
      </c>
      <c r="F389" s="20" t="inlineStr">
        <is>
          <t>Jazz</t>
        </is>
      </c>
      <c r="G389" s="21" t="n">
        <v>2016</v>
      </c>
      <c r="H389" s="22" t="n">
        <v>81658</v>
      </c>
      <c r="I389" s="23" t="n">
        <v>250000</v>
      </c>
      <c r="J389" s="20" t="inlineStr">
        <is>
          <t>EXCHANGE ROTN</t>
        </is>
      </c>
      <c r="K389" s="20" t="inlineStr">
        <is>
          <t>Captive</t>
        </is>
      </c>
      <c r="L389" s="20" t="inlineStr">
        <is>
          <t>MS Cars</t>
        </is>
      </c>
      <c r="M389" s="23" t="n">
        <v>5932.2</v>
      </c>
      <c r="N389" s="23" t="n">
        <v>7000</v>
      </c>
      <c r="O389" s="24">
        <f>IF(AND(ISNUMBER(M389), ISNUMBER(I389), I389&gt;0), M389/I389, "")</f>
        <v/>
      </c>
    </row>
    <row r="390">
      <c r="A390" s="19" t="inlineStr">
        <is>
          <t>FY26</t>
        </is>
      </c>
      <c r="B390" s="19" t="inlineStr">
        <is>
          <t>Jan</t>
        </is>
      </c>
      <c r="C390" s="19" t="inlineStr">
        <is>
          <t>TN</t>
        </is>
      </c>
      <c r="D390" s="20" t="inlineStr">
        <is>
          <t>TN72BA1515</t>
        </is>
      </c>
      <c r="E390" s="20" t="inlineStr">
        <is>
          <t>HONDA</t>
        </is>
      </c>
      <c r="F390" s="20" t="inlineStr">
        <is>
          <t>City</t>
        </is>
      </c>
      <c r="G390" s="21" t="n">
        <v>2014</v>
      </c>
      <c r="H390" s="22" t="n">
        <v>143498</v>
      </c>
      <c r="I390" s="23" t="n">
        <v>375000</v>
      </c>
      <c r="J390" s="20" t="inlineStr">
        <is>
          <t>EXCHANGE ROTN</t>
        </is>
      </c>
      <c r="K390" s="20" t="inlineStr">
        <is>
          <t>Captive</t>
        </is>
      </c>
      <c r="L390" s="20" t="inlineStr">
        <is>
          <t>Value Cars</t>
        </is>
      </c>
      <c r="M390" s="23" t="n">
        <v>12711.86</v>
      </c>
      <c r="N390" s="23" t="n">
        <v>15000</v>
      </c>
      <c r="O390" s="24">
        <f>IF(AND(ISNUMBER(M390), ISNUMBER(I390), I390&gt;0), M390/I390, "")</f>
        <v/>
      </c>
    </row>
    <row r="391">
      <c r="A391" s="19" t="inlineStr">
        <is>
          <t>FY26</t>
        </is>
      </c>
      <c r="B391" s="19" t="inlineStr">
        <is>
          <t>Jan</t>
        </is>
      </c>
      <c r="C391" s="19" t="inlineStr">
        <is>
          <t>TN</t>
        </is>
      </c>
      <c r="D391" s="20" t="inlineStr">
        <is>
          <t>TN30CE5088</t>
        </is>
      </c>
      <c r="E391" s="20" t="inlineStr">
        <is>
          <t>HONDA</t>
        </is>
      </c>
      <c r="F391" s="20" t="inlineStr">
        <is>
          <t>Amaze</t>
        </is>
      </c>
      <c r="G391" s="21" t="n">
        <v>2023</v>
      </c>
      <c r="H391" s="22" t="n">
        <v>118492</v>
      </c>
      <c r="I391" s="23" t="n">
        <v>435000</v>
      </c>
      <c r="J391" s="20" t="inlineStr">
        <is>
          <t>EXCHANGE ROTN</t>
        </is>
      </c>
      <c r="K391" s="20" t="inlineStr">
        <is>
          <t>Captive</t>
        </is>
      </c>
      <c r="L391" s="20" t="inlineStr">
        <is>
          <t>Vadivel Madesh</t>
        </is>
      </c>
      <c r="M391" s="23" t="n">
        <v>4237.29</v>
      </c>
      <c r="N391" s="23" t="n">
        <v>5000</v>
      </c>
      <c r="O391" s="24">
        <f>IF(AND(ISNUMBER(M391), ISNUMBER(I391), I391&gt;0), M391/I391, "")</f>
        <v/>
      </c>
    </row>
    <row r="392">
      <c r="A392" s="19" t="inlineStr">
        <is>
          <t>FY26</t>
        </is>
      </c>
      <c r="B392" s="19" t="inlineStr">
        <is>
          <t>Jan</t>
        </is>
      </c>
      <c r="C392" s="19" t="inlineStr">
        <is>
          <t>TN</t>
        </is>
      </c>
      <c r="D392" s="20" t="inlineStr">
        <is>
          <t>TN10H8377</t>
        </is>
      </c>
      <c r="E392" s="20" t="inlineStr">
        <is>
          <t>MARUTI SUZUKI</t>
        </is>
      </c>
      <c r="F392" s="20" t="inlineStr">
        <is>
          <t>Zen</t>
        </is>
      </c>
      <c r="G392" s="21" t="n">
        <v>2004</v>
      </c>
      <c r="H392" s="22" t="n">
        <v>127346</v>
      </c>
      <c r="I392" s="23" t="n">
        <v>70000</v>
      </c>
      <c r="J392" s="20" t="inlineStr">
        <is>
          <t>EXCHANGE ROTN</t>
        </is>
      </c>
      <c r="K392" s="20" t="inlineStr">
        <is>
          <t>Captive</t>
        </is>
      </c>
      <c r="L392" s="20" t="inlineStr">
        <is>
          <t>Gugha Cars</t>
        </is>
      </c>
      <c r="M392" s="23" t="n">
        <v>4237.29</v>
      </c>
      <c r="N392" s="23" t="n">
        <v>5000</v>
      </c>
      <c r="O392" s="24">
        <f>IF(AND(ISNUMBER(M392), ISNUMBER(I392), I392&gt;0), M392/I392, "")</f>
        <v/>
      </c>
    </row>
    <row r="393">
      <c r="A393" s="19" t="inlineStr">
        <is>
          <t>FY26</t>
        </is>
      </c>
      <c r="B393" s="19" t="inlineStr">
        <is>
          <t>Jan</t>
        </is>
      </c>
      <c r="C393" s="19" t="inlineStr">
        <is>
          <t>TN</t>
        </is>
      </c>
      <c r="D393" s="20" t="inlineStr">
        <is>
          <t>TN59BH8394</t>
        </is>
      </c>
      <c r="E393" s="20" t="inlineStr">
        <is>
          <t>MARUTI SUZUKI</t>
        </is>
      </c>
      <c r="F393" s="20" t="inlineStr">
        <is>
          <t>Ciaz</t>
        </is>
      </c>
      <c r="G393" s="21" t="n">
        <v>2015</v>
      </c>
      <c r="H393" s="22" t="n">
        <v>110535</v>
      </c>
      <c r="I393" s="23" t="n">
        <v>370000</v>
      </c>
      <c r="J393" s="20" t="inlineStr">
        <is>
          <t>EXCHANGE ROTN</t>
        </is>
      </c>
      <c r="K393" s="20" t="inlineStr">
        <is>
          <t>Captive</t>
        </is>
      </c>
      <c r="L393" s="20" t="inlineStr">
        <is>
          <t>Selva Motors</t>
        </is>
      </c>
      <c r="M393" s="23" t="n">
        <v>12711.86</v>
      </c>
      <c r="N393" s="23" t="n">
        <v>15000</v>
      </c>
      <c r="O393" s="24">
        <f>IF(AND(ISNUMBER(M393), ISNUMBER(I393), I393&gt;0), M393/I393, "")</f>
        <v/>
      </c>
    </row>
    <row r="394">
      <c r="A394" s="19" t="inlineStr">
        <is>
          <t>FY26</t>
        </is>
      </c>
      <c r="B394" s="19" t="inlineStr">
        <is>
          <t>Jan</t>
        </is>
      </c>
      <c r="C394" s="19" t="inlineStr">
        <is>
          <t>TN</t>
        </is>
      </c>
      <c r="D394" s="20" t="inlineStr">
        <is>
          <t>TN10AA7457</t>
        </is>
      </c>
      <c r="E394" s="20" t="inlineStr">
        <is>
          <t>MARUTI SUZUKI</t>
        </is>
      </c>
      <c r="F394" s="20" t="inlineStr">
        <is>
          <t>Swift Dzire</t>
        </is>
      </c>
      <c r="G394" s="21" t="n">
        <v>2010</v>
      </c>
      <c r="H394" s="22" t="n">
        <v>209748</v>
      </c>
      <c r="I394" s="23" t="n">
        <v>170000</v>
      </c>
      <c r="J394" s="20" t="inlineStr">
        <is>
          <t>EXCHANGE CHENNAI</t>
        </is>
      </c>
      <c r="K394" s="20" t="inlineStr">
        <is>
          <t>Captive</t>
        </is>
      </c>
      <c r="L394" s="20" t="inlineStr">
        <is>
          <t>Nirmal Cars</t>
        </is>
      </c>
      <c r="M394" s="23" t="n">
        <v>4237.29</v>
      </c>
      <c r="N394" s="23" t="n">
        <v>5000</v>
      </c>
      <c r="O394" s="24">
        <f>IF(AND(ISNUMBER(M394), ISNUMBER(I394), I394&gt;0), M394/I394, "")</f>
        <v/>
      </c>
    </row>
    <row r="395">
      <c r="A395" s="19" t="inlineStr">
        <is>
          <t>FY26</t>
        </is>
      </c>
      <c r="B395" s="19" t="inlineStr">
        <is>
          <t>Jan</t>
        </is>
      </c>
      <c r="C395" s="19" t="inlineStr">
        <is>
          <t>TN</t>
        </is>
      </c>
      <c r="D395" s="20" t="inlineStr">
        <is>
          <t>TN06Y6543</t>
        </is>
      </c>
      <c r="E395" s="20" t="inlineStr">
        <is>
          <t>HONDA</t>
        </is>
      </c>
      <c r="F395" s="20" t="inlineStr">
        <is>
          <t>Amaze</t>
        </is>
      </c>
      <c r="G395" s="21" t="n">
        <v>2019</v>
      </c>
      <c r="H395" s="22" t="n">
        <v>37168</v>
      </c>
      <c r="I395" s="23" t="n">
        <v>450000</v>
      </c>
      <c r="J395" s="20" t="inlineStr">
        <is>
          <t>EXCHANGE CHENNAI</t>
        </is>
      </c>
      <c r="K395" s="20" t="inlineStr">
        <is>
          <t>Captive</t>
        </is>
      </c>
      <c r="L395" s="20" t="inlineStr">
        <is>
          <t>Thiya Cars</t>
        </is>
      </c>
      <c r="M395" s="23" t="n">
        <v>4237.29</v>
      </c>
      <c r="N395" s="23" t="n">
        <v>5000</v>
      </c>
      <c r="O395" s="24">
        <f>IF(AND(ISNUMBER(M395), ISNUMBER(I395), I395&gt;0), M395/I395, "")</f>
        <v/>
      </c>
    </row>
    <row r="396">
      <c r="A396" s="19" t="inlineStr">
        <is>
          <t>FY26</t>
        </is>
      </c>
      <c r="B396" s="19" t="inlineStr">
        <is>
          <t>Jan</t>
        </is>
      </c>
      <c r="C396" s="19" t="inlineStr">
        <is>
          <t>TN</t>
        </is>
      </c>
      <c r="D396" s="20" t="inlineStr">
        <is>
          <t>TN49BA3864</t>
        </is>
      </c>
      <c r="E396" s="20" t="inlineStr">
        <is>
          <t>HYUNDAI</t>
        </is>
      </c>
      <c r="F396" s="20" t="inlineStr">
        <is>
          <t>Grand I10</t>
        </is>
      </c>
      <c r="G396" s="21" t="n">
        <v>2014</v>
      </c>
      <c r="H396" s="22" t="n">
        <v>79642</v>
      </c>
      <c r="I396" s="23" t="n">
        <v>250000</v>
      </c>
      <c r="J396" s="20" t="inlineStr">
        <is>
          <t>EXCHANGE ROTN</t>
        </is>
      </c>
      <c r="K396" s="20" t="inlineStr">
        <is>
          <t>Captive</t>
        </is>
      </c>
      <c r="L396" s="20" t="inlineStr">
        <is>
          <t>Sai cars</t>
        </is>
      </c>
      <c r="M396" s="23" t="n">
        <v>6779.66</v>
      </c>
      <c r="N396" s="23" t="n">
        <v>8000</v>
      </c>
      <c r="O396" s="24">
        <f>IF(AND(ISNUMBER(M396), ISNUMBER(I396), I396&gt;0), M396/I396, "")</f>
        <v/>
      </c>
    </row>
    <row r="397">
      <c r="A397" s="19" t="inlineStr">
        <is>
          <t>FY26</t>
        </is>
      </c>
      <c r="B397" s="19" t="inlineStr">
        <is>
          <t>Jan</t>
        </is>
      </c>
      <c r="C397" s="19" t="inlineStr">
        <is>
          <t>TN</t>
        </is>
      </c>
      <c r="D397" s="20" t="inlineStr">
        <is>
          <t>TN30BV6746</t>
        </is>
      </c>
      <c r="E397" s="20" t="inlineStr">
        <is>
          <t>HYUNDAI</t>
        </is>
      </c>
      <c r="F397" s="20" t="inlineStr">
        <is>
          <t>Eon</t>
        </is>
      </c>
      <c r="G397" s="21" t="n">
        <v>2017</v>
      </c>
      <c r="H397" s="22" t="n">
        <v>28450</v>
      </c>
      <c r="I397" s="23" t="n">
        <v>240000</v>
      </c>
      <c r="J397" s="20" t="inlineStr">
        <is>
          <t>EXCHANGE ROTN</t>
        </is>
      </c>
      <c r="K397" s="20" t="inlineStr">
        <is>
          <t>Captive</t>
        </is>
      </c>
      <c r="L397" s="20" t="inlineStr">
        <is>
          <t>SMS Cars</t>
        </is>
      </c>
      <c r="M397" s="23" t="n">
        <v>12711.86</v>
      </c>
      <c r="N397" s="23" t="n">
        <v>15000</v>
      </c>
      <c r="O397" s="24">
        <f>IF(AND(ISNUMBER(M397), ISNUMBER(I397), I397&gt;0), M397/I397, "")</f>
        <v/>
      </c>
    </row>
    <row r="398">
      <c r="A398" s="19" t="inlineStr">
        <is>
          <t>FY26</t>
        </is>
      </c>
      <c r="B398" s="19" t="inlineStr">
        <is>
          <t>Jan</t>
        </is>
      </c>
      <c r="C398" s="19" t="inlineStr">
        <is>
          <t>TN</t>
        </is>
      </c>
      <c r="D398" s="20" t="inlineStr">
        <is>
          <t>TN33AT6482</t>
        </is>
      </c>
      <c r="E398" s="20" t="inlineStr">
        <is>
          <t>MARUTI SUZUKI</t>
        </is>
      </c>
      <c r="F398" s="20" t="inlineStr">
        <is>
          <t>Alto</t>
        </is>
      </c>
      <c r="G398" s="21" t="n">
        <v>2011</v>
      </c>
      <c r="H398" s="22" t="n">
        <v>43110</v>
      </c>
      <c r="I398" s="23" t="n">
        <v>200000</v>
      </c>
      <c r="J398" s="20" t="inlineStr">
        <is>
          <t>EXCHANGE ROTN</t>
        </is>
      </c>
      <c r="K398" s="20" t="inlineStr">
        <is>
          <t>Captive</t>
        </is>
      </c>
      <c r="L398" s="20" t="inlineStr">
        <is>
          <t>YUGA DHEERAN CARS</t>
        </is>
      </c>
      <c r="M398" s="23" t="n">
        <v>8474.58</v>
      </c>
      <c r="N398" s="23" t="n">
        <v>10000</v>
      </c>
      <c r="O398" s="24">
        <f>IF(AND(ISNUMBER(M398), ISNUMBER(I398), I398&gt;0), M398/I398, "")</f>
        <v/>
      </c>
    </row>
    <row r="399">
      <c r="A399" s="19" t="inlineStr">
        <is>
          <t>FY26</t>
        </is>
      </c>
      <c r="B399" s="19" t="inlineStr">
        <is>
          <t>Jan</t>
        </is>
      </c>
      <c r="C399" s="19" t="inlineStr">
        <is>
          <t>TN</t>
        </is>
      </c>
      <c r="D399" s="20" t="inlineStr">
        <is>
          <t>TN19AK4891</t>
        </is>
      </c>
      <c r="E399" s="20" t="inlineStr">
        <is>
          <t>MARUTI SUZUKI</t>
        </is>
      </c>
      <c r="F399" s="20" t="inlineStr">
        <is>
          <t>Swift</t>
        </is>
      </c>
      <c r="G399" s="21" t="n">
        <v>2018</v>
      </c>
      <c r="H399" s="22" t="n">
        <v>91489</v>
      </c>
      <c r="I399" s="23" t="n">
        <v>500000</v>
      </c>
      <c r="J399" s="20" t="inlineStr">
        <is>
          <t>EXCHANGE ROTN</t>
        </is>
      </c>
      <c r="K399" s="20" t="inlineStr">
        <is>
          <t>Captive</t>
        </is>
      </c>
      <c r="L399" s="20" t="inlineStr">
        <is>
          <t>Gugha Cars</t>
        </is>
      </c>
      <c r="M399" s="23" t="n">
        <v>8474.58</v>
      </c>
      <c r="N399" s="23" t="n">
        <v>10000</v>
      </c>
      <c r="O399" s="24">
        <f>IF(AND(ISNUMBER(M399), ISNUMBER(I399), I399&gt;0), M399/I399, "")</f>
        <v/>
      </c>
    </row>
    <row r="400">
      <c r="A400" s="19" t="inlineStr">
        <is>
          <t>FY26</t>
        </is>
      </c>
      <c r="B400" s="19" t="inlineStr">
        <is>
          <t>Jan</t>
        </is>
      </c>
      <c r="C400" s="19" t="inlineStr">
        <is>
          <t>TN</t>
        </is>
      </c>
      <c r="D400" s="20" t="inlineStr">
        <is>
          <t>TN38BW6777</t>
        </is>
      </c>
      <c r="E400" s="20" t="inlineStr">
        <is>
          <t>HONDA</t>
        </is>
      </c>
      <c r="F400" s="20" t="inlineStr">
        <is>
          <t>City</t>
        </is>
      </c>
      <c r="G400" s="21" t="n">
        <v>2014</v>
      </c>
      <c r="H400" s="22" t="n">
        <v>266342</v>
      </c>
      <c r="I400" s="23" t="n">
        <v>315000</v>
      </c>
      <c r="J400" s="20" t="inlineStr">
        <is>
          <t>EXCHANGE ROTN</t>
        </is>
      </c>
      <c r="K400" s="20" t="inlineStr">
        <is>
          <t>Captive</t>
        </is>
      </c>
      <c r="L400" s="20" t="inlineStr">
        <is>
          <t>Madhura Cars</t>
        </is>
      </c>
      <c r="M400" s="23" t="n">
        <v>8474.58</v>
      </c>
      <c r="N400" s="23" t="n">
        <v>10000</v>
      </c>
      <c r="O400" s="24">
        <f>IF(AND(ISNUMBER(M400), ISNUMBER(I400), I400&gt;0), M400/I400, "")</f>
        <v/>
      </c>
    </row>
    <row r="401">
      <c r="A401" s="19" t="inlineStr">
        <is>
          <t>FY26</t>
        </is>
      </c>
      <c r="B401" s="19" t="inlineStr">
        <is>
          <t>Jan</t>
        </is>
      </c>
      <c r="C401" s="19" t="inlineStr">
        <is>
          <t>TN</t>
        </is>
      </c>
      <c r="D401" s="20" t="inlineStr">
        <is>
          <t>TN28AX2072</t>
        </is>
      </c>
      <c r="E401" s="20" t="inlineStr">
        <is>
          <t>MARUTI SUZUKI</t>
        </is>
      </c>
      <c r="F401" s="20" t="inlineStr">
        <is>
          <t>Swift</t>
        </is>
      </c>
      <c r="G401" s="21" t="n">
        <v>2010</v>
      </c>
      <c r="H401" s="22" t="n">
        <v>166470</v>
      </c>
      <c r="I401" s="23" t="n">
        <v>195000</v>
      </c>
      <c r="J401" s="20" t="inlineStr">
        <is>
          <t>EXCHANGE ROTN</t>
        </is>
      </c>
      <c r="K401" s="20" t="inlineStr">
        <is>
          <t>Captive</t>
        </is>
      </c>
      <c r="L401" s="20" t="inlineStr">
        <is>
          <t>SRI RAJA KANAPATHY CARS</t>
        </is>
      </c>
      <c r="M401" s="23" t="n">
        <v>8474.58</v>
      </c>
      <c r="N401" s="23" t="n">
        <v>10000</v>
      </c>
      <c r="O401" s="24">
        <f>IF(AND(ISNUMBER(M401), ISNUMBER(I401), I401&gt;0), M401/I401, "")</f>
        <v/>
      </c>
    </row>
    <row r="402">
      <c r="A402" s="19" t="inlineStr">
        <is>
          <t>FY26</t>
        </is>
      </c>
      <c r="B402" s="19" t="inlineStr">
        <is>
          <t>Jan</t>
        </is>
      </c>
      <c r="C402" s="19" t="inlineStr">
        <is>
          <t>TN</t>
        </is>
      </c>
      <c r="D402" s="20" t="inlineStr">
        <is>
          <t>TN58AU4124</t>
        </is>
      </c>
      <c r="E402" s="20" t="inlineStr">
        <is>
          <t>TATA</t>
        </is>
      </c>
      <c r="F402" s="20" t="inlineStr">
        <is>
          <t>Tiago</t>
        </is>
      </c>
      <c r="G402" s="21" t="n">
        <v>2017</v>
      </c>
      <c r="H402" s="22" t="n">
        <v>92823</v>
      </c>
      <c r="I402" s="23" t="n">
        <v>285000</v>
      </c>
      <c r="J402" s="20" t="inlineStr">
        <is>
          <t>EXCHANGE ROTN</t>
        </is>
      </c>
      <c r="K402" s="20" t="inlineStr">
        <is>
          <t>Captive</t>
        </is>
      </c>
      <c r="L402" s="20" t="inlineStr">
        <is>
          <t>Dheera Cars</t>
        </is>
      </c>
      <c r="M402" s="23" t="n">
        <v>12711.86</v>
      </c>
      <c r="N402" s="23" t="n">
        <v>15000</v>
      </c>
      <c r="O402" s="24">
        <f>IF(AND(ISNUMBER(M402), ISNUMBER(I402), I402&gt;0), M402/I402, "")</f>
        <v/>
      </c>
    </row>
    <row r="403">
      <c r="A403" s="19" t="inlineStr">
        <is>
          <t>FY26</t>
        </is>
      </c>
      <c r="B403" s="19" t="inlineStr">
        <is>
          <t>Jan</t>
        </is>
      </c>
      <c r="C403" s="19" t="inlineStr">
        <is>
          <t>TN</t>
        </is>
      </c>
      <c r="D403" s="20" t="inlineStr">
        <is>
          <t>TN23AE1000</t>
        </is>
      </c>
      <c r="E403" s="20" t="inlineStr">
        <is>
          <t>FORD</t>
        </is>
      </c>
      <c r="F403" s="20" t="inlineStr">
        <is>
          <t>Fiesta</t>
        </is>
      </c>
      <c r="G403" s="21" t="n"/>
      <c r="H403" s="22" t="n"/>
      <c r="I403" s="23" t="n">
        <v>70000</v>
      </c>
      <c r="J403" s="20" t="inlineStr">
        <is>
          <t>EXCHANGE ROTN</t>
        </is>
      </c>
      <c r="K403" s="20" t="inlineStr">
        <is>
          <t>Captive</t>
        </is>
      </c>
      <c r="L403" s="20" t="inlineStr">
        <is>
          <t>Vadivel Madesh</t>
        </is>
      </c>
      <c r="M403" s="23" t="n">
        <v>4237.29</v>
      </c>
      <c r="N403" s="23" t="n">
        <v>5000</v>
      </c>
      <c r="O403" s="24">
        <f>IF(AND(ISNUMBER(M403), ISNUMBER(I403), I403&gt;0), M403/I403, "")</f>
        <v/>
      </c>
    </row>
    <row r="404">
      <c r="A404" s="19" t="inlineStr">
        <is>
          <t>FY26</t>
        </is>
      </c>
      <c r="B404" s="19" t="inlineStr">
        <is>
          <t>Jan</t>
        </is>
      </c>
      <c r="C404" s="19" t="inlineStr">
        <is>
          <t>TN</t>
        </is>
      </c>
      <c r="D404" s="20" t="inlineStr">
        <is>
          <t>TN01BC5077</t>
        </is>
      </c>
      <c r="E404" s="20" t="inlineStr">
        <is>
          <t>HYUNDAI</t>
        </is>
      </c>
      <c r="F404" s="20" t="inlineStr">
        <is>
          <t>Grand I10</t>
        </is>
      </c>
      <c r="G404" s="21" t="n">
        <v>2017</v>
      </c>
      <c r="H404" s="22" t="n">
        <v>40183</v>
      </c>
      <c r="I404" s="23" t="n">
        <v>390000</v>
      </c>
      <c r="J404" s="20" t="inlineStr">
        <is>
          <t>EXCHANGE CHENNAI</t>
        </is>
      </c>
      <c r="K404" s="20" t="inlineStr">
        <is>
          <t>Captive</t>
        </is>
      </c>
      <c r="L404" s="20" t="inlineStr">
        <is>
          <t>Nirmal Cars</t>
        </is>
      </c>
      <c r="M404" s="23" t="n">
        <v>8474.58</v>
      </c>
      <c r="N404" s="23" t="n">
        <v>10000</v>
      </c>
      <c r="O404" s="24">
        <f>IF(AND(ISNUMBER(M404), ISNUMBER(I404), I404&gt;0), M404/I404, "")</f>
        <v/>
      </c>
    </row>
    <row r="405">
      <c r="A405" s="19" t="inlineStr">
        <is>
          <t>FY26</t>
        </is>
      </c>
      <c r="B405" s="19" t="inlineStr">
        <is>
          <t>Jan</t>
        </is>
      </c>
      <c r="C405" s="19" t="inlineStr">
        <is>
          <t>TN</t>
        </is>
      </c>
      <c r="D405" s="20" t="inlineStr">
        <is>
          <t>TN09AL4114</t>
        </is>
      </c>
      <c r="E405" s="20" t="inlineStr">
        <is>
          <t>HONDA</t>
        </is>
      </c>
      <c r="F405" s="20" t="inlineStr">
        <is>
          <t>City</t>
        </is>
      </c>
      <c r="G405" s="21" t="n">
        <v>2005</v>
      </c>
      <c r="H405" s="22" t="n">
        <v>79983</v>
      </c>
      <c r="I405" s="23" t="n">
        <v>120000</v>
      </c>
      <c r="J405" s="20" t="inlineStr">
        <is>
          <t>EXCHANGE CHENNAI</t>
        </is>
      </c>
      <c r="K405" s="20" t="inlineStr">
        <is>
          <t>Captive</t>
        </is>
      </c>
      <c r="L405" s="20" t="inlineStr">
        <is>
          <t>Thiya Cars</t>
        </is>
      </c>
      <c r="M405" s="23" t="n">
        <v>4237.29</v>
      </c>
      <c r="N405" s="23" t="n">
        <v>5000</v>
      </c>
      <c r="O405" s="24">
        <f>IF(AND(ISNUMBER(M405), ISNUMBER(I405), I405&gt;0), M405/I405, "")</f>
        <v/>
      </c>
    </row>
    <row r="406">
      <c r="A406" s="19" t="inlineStr">
        <is>
          <t>FY26</t>
        </is>
      </c>
      <c r="B406" s="19" t="inlineStr">
        <is>
          <t>Jan</t>
        </is>
      </c>
      <c r="C406" s="19" t="inlineStr">
        <is>
          <t>TN</t>
        </is>
      </c>
      <c r="D406" s="20" t="inlineStr">
        <is>
          <t>TN01BD3441</t>
        </is>
      </c>
      <c r="E406" s="20" t="inlineStr">
        <is>
          <t>HONDA</t>
        </is>
      </c>
      <c r="F406" s="20" t="inlineStr">
        <is>
          <t>Jazz</t>
        </is>
      </c>
      <c r="G406" s="21" t="n">
        <v>2017</v>
      </c>
      <c r="H406" s="22" t="n">
        <v>108064</v>
      </c>
      <c r="I406" s="23" t="n">
        <v>380000</v>
      </c>
      <c r="J406" s="20" t="inlineStr">
        <is>
          <t>EXCHANGE CHENNAI</t>
        </is>
      </c>
      <c r="K406" s="20" t="inlineStr">
        <is>
          <t>Captive</t>
        </is>
      </c>
      <c r="L406" s="20" t="inlineStr">
        <is>
          <t>Thiya Cars</t>
        </is>
      </c>
      <c r="M406" s="23" t="n">
        <v>4237.29</v>
      </c>
      <c r="N406" s="23" t="n">
        <v>5000</v>
      </c>
      <c r="O406" s="24">
        <f>IF(AND(ISNUMBER(M406), ISNUMBER(I406), I406&gt;0), M406/I406, "")</f>
        <v/>
      </c>
    </row>
    <row r="407">
      <c r="A407" s="19" t="inlineStr">
        <is>
          <t>FY26</t>
        </is>
      </c>
      <c r="B407" s="19" t="inlineStr">
        <is>
          <t>Jan</t>
        </is>
      </c>
      <c r="C407" s="19" t="inlineStr">
        <is>
          <t>TN</t>
        </is>
      </c>
      <c r="D407" s="20" t="inlineStr">
        <is>
          <t>TN25BE0099</t>
        </is>
      </c>
      <c r="E407" s="20" t="inlineStr">
        <is>
          <t>MARUTI SUZUKI</t>
        </is>
      </c>
      <c r="F407" s="20" t="inlineStr">
        <is>
          <t>Ciaz</t>
        </is>
      </c>
      <c r="G407" s="21" t="n">
        <v>2017</v>
      </c>
      <c r="H407" s="22" t="n">
        <v>90681</v>
      </c>
      <c r="I407" s="23" t="n">
        <v>488000</v>
      </c>
      <c r="J407" s="20" t="inlineStr">
        <is>
          <t>EXCHANGE CHENNAI</t>
        </is>
      </c>
      <c r="K407" s="20" t="inlineStr">
        <is>
          <t>Captive</t>
        </is>
      </c>
      <c r="L407" s="20" t="inlineStr">
        <is>
          <t>Thiya Cars</t>
        </is>
      </c>
      <c r="M407" s="23" t="n">
        <v>8474.58</v>
      </c>
      <c r="N407" s="23" t="n">
        <v>10000</v>
      </c>
      <c r="O407" s="24">
        <f>IF(AND(ISNUMBER(M407), ISNUMBER(I407), I407&gt;0), M407/I407, "")</f>
        <v/>
      </c>
    </row>
    <row r="408">
      <c r="A408" s="19" t="inlineStr">
        <is>
          <t>FY26</t>
        </is>
      </c>
      <c r="B408" s="19" t="inlineStr">
        <is>
          <t>Jan</t>
        </is>
      </c>
      <c r="C408" s="19" t="inlineStr">
        <is>
          <t>TN</t>
        </is>
      </c>
      <c r="D408" s="20" t="inlineStr">
        <is>
          <t>TN09CH0258</t>
        </is>
      </c>
      <c r="E408" s="20" t="inlineStr">
        <is>
          <t>VOLKSWAGEN</t>
        </is>
      </c>
      <c r="F408" s="20" t="inlineStr">
        <is>
          <t>Ameo</t>
        </is>
      </c>
      <c r="G408" s="21" t="n">
        <v>2016</v>
      </c>
      <c r="H408" s="22" t="n">
        <v>55381</v>
      </c>
      <c r="I408" s="23" t="n">
        <v>440000</v>
      </c>
      <c r="J408" s="20" t="inlineStr">
        <is>
          <t>EXCHANGE CHENNAI</t>
        </is>
      </c>
      <c r="K408" s="20" t="inlineStr">
        <is>
          <t>Captive</t>
        </is>
      </c>
      <c r="L408" s="20" t="inlineStr">
        <is>
          <t>Kirthi Cars</t>
        </is>
      </c>
      <c r="M408" s="23" t="n">
        <v>4237.29</v>
      </c>
      <c r="N408" s="23" t="n">
        <v>5000</v>
      </c>
      <c r="O408" s="24">
        <f>IF(AND(ISNUMBER(M408), ISNUMBER(I408), I408&gt;0), M408/I408, "")</f>
        <v/>
      </c>
    </row>
    <row r="409">
      <c r="A409" s="19" t="inlineStr">
        <is>
          <t>FY26</t>
        </is>
      </c>
      <c r="B409" s="19" t="inlineStr">
        <is>
          <t>Jan</t>
        </is>
      </c>
      <c r="C409" s="19" t="inlineStr">
        <is>
          <t>TN</t>
        </is>
      </c>
      <c r="D409" s="20" t="inlineStr">
        <is>
          <t>KL09X3376</t>
        </is>
      </c>
      <c r="E409" s="20" t="inlineStr">
        <is>
          <t>MARUTI SUZUKI</t>
        </is>
      </c>
      <c r="F409" s="20" t="inlineStr">
        <is>
          <t>Alto</t>
        </is>
      </c>
      <c r="G409" s="21" t="n">
        <v>2009</v>
      </c>
      <c r="H409" s="22" t="n">
        <v>126811</v>
      </c>
      <c r="I409" s="23" t="n">
        <v>120000</v>
      </c>
      <c r="J409" s="20" t="inlineStr">
        <is>
          <t>EXCHANGE ROTN</t>
        </is>
      </c>
      <c r="K409" s="20" t="inlineStr">
        <is>
          <t>Captive</t>
        </is>
      </c>
      <c r="L409" s="20" t="inlineStr">
        <is>
          <t>S.R.CARS</t>
        </is>
      </c>
      <c r="M409" s="23" t="n">
        <v>4237.29</v>
      </c>
      <c r="N409" s="23" t="n">
        <v>5000</v>
      </c>
      <c r="O409" s="24">
        <f>IF(AND(ISNUMBER(M409), ISNUMBER(I409), I409&gt;0), M409/I409, "")</f>
        <v/>
      </c>
    </row>
    <row r="410">
      <c r="A410" s="19" t="inlineStr">
        <is>
          <t>FY26</t>
        </is>
      </c>
      <c r="B410" s="19" t="inlineStr">
        <is>
          <t>Jan</t>
        </is>
      </c>
      <c r="C410" s="19" t="inlineStr">
        <is>
          <t>TN</t>
        </is>
      </c>
      <c r="D410" s="20" t="inlineStr">
        <is>
          <t>TN38BD2741</t>
        </is>
      </c>
      <c r="E410" s="20" t="inlineStr">
        <is>
          <t>MAHINDRA</t>
        </is>
      </c>
      <c r="F410" s="20" t="inlineStr">
        <is>
          <t>Logan</t>
        </is>
      </c>
      <c r="G410" s="21" t="n">
        <v>2010</v>
      </c>
      <c r="H410" s="22" t="n">
        <v>342085</v>
      </c>
      <c r="I410" s="23" t="n">
        <v>70000</v>
      </c>
      <c r="J410" s="20" t="inlineStr">
        <is>
          <t>EXCHANGE ROTN</t>
        </is>
      </c>
      <c r="K410" s="20" t="inlineStr">
        <is>
          <t>Captive</t>
        </is>
      </c>
      <c r="L410" s="20" t="inlineStr">
        <is>
          <t>S.R.CARS</t>
        </is>
      </c>
      <c r="M410" s="23" t="n">
        <v>4237.29</v>
      </c>
      <c r="N410" s="23" t="n">
        <v>5000</v>
      </c>
      <c r="O410" s="24">
        <f>IF(AND(ISNUMBER(M410), ISNUMBER(I410), I410&gt;0), M410/I410, "")</f>
        <v/>
      </c>
    </row>
    <row r="411">
      <c r="A411" s="19" t="inlineStr">
        <is>
          <t>FY26</t>
        </is>
      </c>
      <c r="B411" s="19" t="inlineStr">
        <is>
          <t>Jan</t>
        </is>
      </c>
      <c r="C411" s="19" t="inlineStr">
        <is>
          <t>TN</t>
        </is>
      </c>
      <c r="D411" s="20" t="inlineStr">
        <is>
          <t>TN75X9000</t>
        </is>
      </c>
      <c r="E411" s="20" t="inlineStr">
        <is>
          <t>VOLKSWAGEN</t>
        </is>
      </c>
      <c r="F411" s="20" t="inlineStr">
        <is>
          <t>Polo</t>
        </is>
      </c>
      <c r="G411" s="21" t="n">
        <v>2016</v>
      </c>
      <c r="H411" s="22" t="n">
        <v>73917</v>
      </c>
      <c r="I411" s="23" t="n">
        <v>210000</v>
      </c>
      <c r="J411" s="20" t="inlineStr">
        <is>
          <t>JAIKRISHNAA AUTOSALES PRIVATE LIMITED</t>
        </is>
      </c>
      <c r="K411" s="20" t="inlineStr">
        <is>
          <t>Non-Captive</t>
        </is>
      </c>
      <c r="L411" s="20" t="inlineStr">
        <is>
          <t>S.R.CARS</t>
        </is>
      </c>
      <c r="M411" s="23" t="n">
        <v>4237.29</v>
      </c>
      <c r="N411" s="23" t="n">
        <v>5000</v>
      </c>
      <c r="O411" s="24">
        <f>IF(AND(ISNUMBER(M411), ISNUMBER(I411), I411&gt;0), M411/I411, "")</f>
        <v/>
      </c>
    </row>
    <row r="412">
      <c r="A412" s="19" t="inlineStr">
        <is>
          <t>FY26</t>
        </is>
      </c>
      <c r="B412" s="19" t="inlineStr">
        <is>
          <t>Jan</t>
        </is>
      </c>
      <c r="C412" s="19" t="inlineStr">
        <is>
          <t>TN</t>
        </is>
      </c>
      <c r="D412" s="20" t="inlineStr">
        <is>
          <t>TN66P3373</t>
        </is>
      </c>
      <c r="E412" s="20" t="inlineStr">
        <is>
          <t>MARUTI SUZUKI</t>
        </is>
      </c>
      <c r="F412" s="20" t="inlineStr">
        <is>
          <t>Wagon R</t>
        </is>
      </c>
      <c r="G412" s="21" t="n">
        <v>2015</v>
      </c>
      <c r="H412" s="22" t="n">
        <v>45555</v>
      </c>
      <c r="I412" s="23" t="n">
        <v>190000</v>
      </c>
      <c r="J412" s="20" t="inlineStr">
        <is>
          <t>JAIKRISHNAA AUTOSALES PRIVATE LIMITED</t>
        </is>
      </c>
      <c r="K412" s="20" t="inlineStr">
        <is>
          <t>Non-Captive</t>
        </is>
      </c>
      <c r="L412" s="20" t="inlineStr">
        <is>
          <t>PURUSOTHAMAN J CARS</t>
        </is>
      </c>
      <c r="M412" s="23" t="n">
        <v>4237.29</v>
      </c>
      <c r="N412" s="23" t="n">
        <v>5000</v>
      </c>
      <c r="O412" s="24">
        <f>IF(AND(ISNUMBER(M412), ISNUMBER(I412), I412&gt;0), M412/I412, "")</f>
        <v/>
      </c>
    </row>
    <row r="413">
      <c r="A413" s="19" t="inlineStr">
        <is>
          <t>FY26</t>
        </is>
      </c>
      <c r="B413" s="19" t="inlineStr">
        <is>
          <t>Jan</t>
        </is>
      </c>
      <c r="C413" s="19" t="inlineStr">
        <is>
          <t>TN</t>
        </is>
      </c>
      <c r="D413" s="20" t="inlineStr">
        <is>
          <t>TN69BQ6541</t>
        </is>
      </c>
      <c r="E413" s="20" t="inlineStr">
        <is>
          <t>MARUTI SUZUKI</t>
        </is>
      </c>
      <c r="F413" s="20" t="inlineStr">
        <is>
          <t>Wagon R</t>
        </is>
      </c>
      <c r="G413" s="21" t="n">
        <v>2022</v>
      </c>
      <c r="H413" s="22" t="n">
        <v>19411</v>
      </c>
      <c r="I413" s="23" t="n">
        <v>230000</v>
      </c>
      <c r="J413" s="20" t="inlineStr">
        <is>
          <t>JAIKRISHNAA AUTOSALES PRIVATE LIMITED</t>
        </is>
      </c>
      <c r="K413" s="20" t="inlineStr">
        <is>
          <t>Non-Captive</t>
        </is>
      </c>
      <c r="L413" s="20" t="inlineStr">
        <is>
          <t>PURUSOTHAMAN J CARS</t>
        </is>
      </c>
      <c r="M413" s="23" t="n">
        <v>4237.29</v>
      </c>
      <c r="N413" s="23" t="n">
        <v>5000</v>
      </c>
      <c r="O413" s="24">
        <f>IF(AND(ISNUMBER(M413), ISNUMBER(I413), I413&gt;0), M413/I413, "")</f>
        <v/>
      </c>
    </row>
    <row r="414">
      <c r="A414" s="19" t="inlineStr">
        <is>
          <t>FY26</t>
        </is>
      </c>
      <c r="B414" s="19" t="inlineStr">
        <is>
          <t>Jan</t>
        </is>
      </c>
      <c r="C414" s="19" t="inlineStr">
        <is>
          <t>TN</t>
        </is>
      </c>
      <c r="D414" s="20" t="inlineStr">
        <is>
          <t>TN39BF0375</t>
        </is>
      </c>
      <c r="E414" s="20" t="inlineStr">
        <is>
          <t>MARUTI SUZUKI</t>
        </is>
      </c>
      <c r="F414" s="20" t="inlineStr">
        <is>
          <t>Alto K10</t>
        </is>
      </c>
      <c r="G414" s="21" t="n">
        <v>2012</v>
      </c>
      <c r="H414" s="22" t="n">
        <v>39815</v>
      </c>
      <c r="I414" s="23" t="n">
        <v>170000</v>
      </c>
      <c r="J414" s="20" t="inlineStr">
        <is>
          <t>JAIKRISHNAA AUTOSALES PRIVATE LIMITED</t>
        </is>
      </c>
      <c r="K414" s="20" t="inlineStr">
        <is>
          <t>Non-Captive</t>
        </is>
      </c>
      <c r="L414" s="20" t="inlineStr">
        <is>
          <t>CAP CARS</t>
        </is>
      </c>
      <c r="M414" s="23" t="n">
        <v>4237.29</v>
      </c>
      <c r="N414" s="23" t="n">
        <v>5000</v>
      </c>
      <c r="O414" s="24">
        <f>IF(AND(ISNUMBER(M414), ISNUMBER(I414), I414&gt;0), M414/I414, "")</f>
        <v/>
      </c>
    </row>
    <row r="415">
      <c r="A415" s="19" t="inlineStr">
        <is>
          <t>FY26</t>
        </is>
      </c>
      <c r="B415" s="19" t="inlineStr">
        <is>
          <t>Jan</t>
        </is>
      </c>
      <c r="C415" s="19" t="inlineStr">
        <is>
          <t>TN</t>
        </is>
      </c>
      <c r="D415" s="20" t="inlineStr">
        <is>
          <t>TN39AY3701</t>
        </is>
      </c>
      <c r="E415" s="20" t="inlineStr">
        <is>
          <t>HONDA</t>
        </is>
      </c>
      <c r="F415" s="20" t="inlineStr">
        <is>
          <t>City</t>
        </is>
      </c>
      <c r="G415" s="21" t="n">
        <v>2010</v>
      </c>
      <c r="H415" s="22" t="n">
        <v>106381</v>
      </c>
      <c r="I415" s="23" t="n">
        <v>240000</v>
      </c>
      <c r="J415" s="20" t="inlineStr">
        <is>
          <t>JAIKRISHNAA AUTOSALES PRIVATE LIMITED</t>
        </is>
      </c>
      <c r="K415" s="20" t="inlineStr">
        <is>
          <t>Non-Captive</t>
        </is>
      </c>
      <c r="L415" s="20" t="inlineStr">
        <is>
          <t>CAP CARS</t>
        </is>
      </c>
      <c r="M415" s="23" t="n">
        <v>4237.29</v>
      </c>
      <c r="N415" s="23" t="n">
        <v>5000</v>
      </c>
      <c r="O415" s="24">
        <f>IF(AND(ISNUMBER(M415), ISNUMBER(I415), I415&gt;0), M415/I415, "")</f>
        <v/>
      </c>
    </row>
    <row r="416">
      <c r="A416" s="19" t="inlineStr">
        <is>
          <t>FY26</t>
        </is>
      </c>
      <c r="B416" s="19" t="inlineStr">
        <is>
          <t>Jan</t>
        </is>
      </c>
      <c r="C416" s="19" t="inlineStr">
        <is>
          <t>TN</t>
        </is>
      </c>
      <c r="D416" s="20" t="inlineStr">
        <is>
          <t>TN99J7255</t>
        </is>
      </c>
      <c r="E416" s="20" t="inlineStr">
        <is>
          <t>HYUNDAI</t>
        </is>
      </c>
      <c r="F416" s="20" t="inlineStr">
        <is>
          <t>Eon</t>
        </is>
      </c>
      <c r="G416" s="21" t="n">
        <v>2017</v>
      </c>
      <c r="H416" s="22" t="n">
        <v>20884</v>
      </c>
      <c r="I416" s="23" t="n">
        <v>165000</v>
      </c>
      <c r="J416" s="20" t="inlineStr">
        <is>
          <t>JAIKRISHNAA AUTOSALES PRIVATE LIMITED</t>
        </is>
      </c>
      <c r="K416" s="20" t="inlineStr">
        <is>
          <t>Non-Captive</t>
        </is>
      </c>
      <c r="L416" s="20" t="inlineStr">
        <is>
          <t>THANGARAJ</t>
        </is>
      </c>
      <c r="M416" s="23" t="n">
        <v>4237.29</v>
      </c>
      <c r="N416" s="23" t="n">
        <v>5000</v>
      </c>
      <c r="O416" s="24">
        <f>IF(AND(ISNUMBER(M416), ISNUMBER(I416), I416&gt;0), M416/I416, "")</f>
        <v/>
      </c>
    </row>
    <row r="417">
      <c r="A417" s="19" t="inlineStr">
        <is>
          <t>FY26</t>
        </is>
      </c>
      <c r="B417" s="19" t="inlineStr">
        <is>
          <t>Jan</t>
        </is>
      </c>
      <c r="C417" s="19" t="inlineStr">
        <is>
          <t>TN</t>
        </is>
      </c>
      <c r="D417" s="20" t="inlineStr">
        <is>
          <t>TN45AT5145</t>
        </is>
      </c>
      <c r="E417" s="20" t="inlineStr">
        <is>
          <t>VOLKSWAGEN</t>
        </is>
      </c>
      <c r="F417" s="20" t="inlineStr">
        <is>
          <t>Polo</t>
        </is>
      </c>
      <c r="G417" s="21" t="n">
        <v>2011</v>
      </c>
      <c r="H417" s="22" t="n">
        <v>66375</v>
      </c>
      <c r="I417" s="23" t="n">
        <v>190000</v>
      </c>
      <c r="J417" s="20" t="inlineStr">
        <is>
          <t>JAIKRISHNAA AUTOSALES PRIVATE LIMITED</t>
        </is>
      </c>
      <c r="K417" s="20" t="inlineStr">
        <is>
          <t>Non-Captive</t>
        </is>
      </c>
      <c r="L417" s="20" t="inlineStr">
        <is>
          <t>M.S.V CAR PAINTING WORKS</t>
        </is>
      </c>
      <c r="M417" s="23" t="n">
        <v>4237.29</v>
      </c>
      <c r="N417" s="23" t="n">
        <v>5000</v>
      </c>
      <c r="O417" s="24">
        <f>IF(AND(ISNUMBER(M417), ISNUMBER(I417), I417&gt;0), M417/I417, "")</f>
        <v/>
      </c>
    </row>
    <row r="418">
      <c r="A418" s="19" t="inlineStr">
        <is>
          <t>FY26</t>
        </is>
      </c>
      <c r="B418" s="19" t="inlineStr">
        <is>
          <t>Jan</t>
        </is>
      </c>
      <c r="C418" s="19" t="inlineStr">
        <is>
          <t>TN</t>
        </is>
      </c>
      <c r="D418" s="20" t="inlineStr">
        <is>
          <t>KL01CK1787</t>
        </is>
      </c>
      <c r="E418" s="20" t="inlineStr">
        <is>
          <t>TATA</t>
        </is>
      </c>
      <c r="F418" s="20" t="inlineStr">
        <is>
          <t>Tiago</t>
        </is>
      </c>
      <c r="G418" s="21" t="n">
        <v>2018</v>
      </c>
      <c r="H418" s="22" t="n">
        <v>56227</v>
      </c>
      <c r="I418" s="23" t="n">
        <v>325000</v>
      </c>
      <c r="J418" s="20" t="inlineStr">
        <is>
          <t>INDEL Motor Corporation</t>
        </is>
      </c>
      <c r="K418" s="20" t="inlineStr">
        <is>
          <t>Non-Captive</t>
        </is>
      </c>
      <c r="L418" s="20" t="inlineStr">
        <is>
          <t>Popular Thrissur</t>
        </is>
      </c>
      <c r="M418" s="23" t="n">
        <v>5000</v>
      </c>
      <c r="N418" s="23" t="n">
        <v>5900</v>
      </c>
      <c r="O418" s="24">
        <f>IF(AND(ISNUMBER(M418), ISNUMBER(I418), I418&gt;0), M418/I418, "")</f>
        <v/>
      </c>
    </row>
    <row r="419">
      <c r="A419" s="19" t="inlineStr">
        <is>
          <t>FY26</t>
        </is>
      </c>
      <c r="B419" s="19" t="inlineStr">
        <is>
          <t>Jan</t>
        </is>
      </c>
      <c r="C419" s="19" t="inlineStr">
        <is>
          <t>TN</t>
        </is>
      </c>
      <c r="D419" s="20" t="inlineStr">
        <is>
          <t>KL02BK1534</t>
        </is>
      </c>
      <c r="E419" s="20" t="inlineStr">
        <is>
          <t>TATA</t>
        </is>
      </c>
      <c r="F419" s="20" t="inlineStr">
        <is>
          <t>Nexon</t>
        </is>
      </c>
      <c r="G419" s="21" t="n">
        <v>2019</v>
      </c>
      <c r="H419" s="22" t="n">
        <v>79016</v>
      </c>
      <c r="I419" s="23" t="n">
        <v>390000</v>
      </c>
      <c r="J419" s="20" t="inlineStr">
        <is>
          <t>Nippon Motor Corporation Pvt Ltd</t>
        </is>
      </c>
      <c r="K419" s="20" t="inlineStr">
        <is>
          <t>Non-Captive</t>
        </is>
      </c>
      <c r="L419" s="20" t="inlineStr">
        <is>
          <t>Shamnad AH</t>
        </is>
      </c>
      <c r="M419" s="23" t="n">
        <v>5932.2</v>
      </c>
      <c r="N419" s="23" t="n">
        <v>7000</v>
      </c>
      <c r="O419" s="24">
        <f>IF(AND(ISNUMBER(M419), ISNUMBER(I419), I419&gt;0), M419/I419, "")</f>
        <v/>
      </c>
    </row>
    <row r="420">
      <c r="A420" s="19" t="inlineStr">
        <is>
          <t>FY26</t>
        </is>
      </c>
      <c r="B420" s="19" t="inlineStr">
        <is>
          <t>Jan</t>
        </is>
      </c>
      <c r="C420" s="19" t="inlineStr">
        <is>
          <t>TN</t>
        </is>
      </c>
      <c r="D420" s="20" t="inlineStr">
        <is>
          <t>KL02BE6074</t>
        </is>
      </c>
      <c r="E420" s="20" t="inlineStr">
        <is>
          <t>VOLKSWAGEN</t>
        </is>
      </c>
      <c r="F420" s="20" t="inlineStr">
        <is>
          <t>Polo</t>
        </is>
      </c>
      <c r="G420" s="21" t="n">
        <v>2018</v>
      </c>
      <c r="H420" s="22" t="n">
        <v>38000</v>
      </c>
      <c r="I420" s="23" t="n">
        <v>725000</v>
      </c>
      <c r="J420" s="20" t="inlineStr">
        <is>
          <t>Nippon Motor Corporation Pvt Ltd</t>
        </is>
      </c>
      <c r="K420" s="20" t="inlineStr">
        <is>
          <t>Non-Captive</t>
        </is>
      </c>
      <c r="L420" s="20" t="inlineStr">
        <is>
          <t>Shamnad AH</t>
        </is>
      </c>
      <c r="M420" s="23" t="n">
        <v>5932.2</v>
      </c>
      <c r="N420" s="23" t="n">
        <v>7000</v>
      </c>
      <c r="O420" s="24">
        <f>IF(AND(ISNUMBER(M420), ISNUMBER(I420), I420&gt;0), M420/I420, "")</f>
        <v/>
      </c>
    </row>
    <row r="421">
      <c r="A421" s="19" t="inlineStr">
        <is>
          <t>FY26</t>
        </is>
      </c>
      <c r="B421" s="19" t="inlineStr">
        <is>
          <t>Jan</t>
        </is>
      </c>
      <c r="C421" s="19" t="inlineStr">
        <is>
          <t>TN</t>
        </is>
      </c>
      <c r="D421" s="20" t="inlineStr">
        <is>
          <t>KL01DD8261</t>
        </is>
      </c>
      <c r="E421" s="20" t="inlineStr">
        <is>
          <t>MARUTI SUZUKI</t>
        </is>
      </c>
      <c r="F421" s="20" t="inlineStr">
        <is>
          <t>S-Presso</t>
        </is>
      </c>
      <c r="G421" s="21" t="n">
        <v>2024</v>
      </c>
      <c r="H421" s="22" t="n">
        <v>19865</v>
      </c>
      <c r="I421" s="23" t="n">
        <v>380000</v>
      </c>
      <c r="J421" s="20" t="inlineStr">
        <is>
          <t>Fortune Malayalam</t>
        </is>
      </c>
      <c r="K421" s="20" t="inlineStr">
        <is>
          <t>Non-Captive</t>
        </is>
      </c>
      <c r="L421" s="20" t="inlineStr">
        <is>
          <t>Popular Alleppy</t>
        </is>
      </c>
      <c r="M421" s="23" t="n">
        <v>5000</v>
      </c>
      <c r="N421" s="23" t="n">
        <v>5900</v>
      </c>
      <c r="O421" s="24">
        <f>IF(AND(ISNUMBER(M421), ISNUMBER(I421), I421&gt;0), M421/I421, "")</f>
        <v/>
      </c>
    </row>
    <row r="422">
      <c r="A422" s="19" t="inlineStr">
        <is>
          <t>FY26</t>
        </is>
      </c>
      <c r="B422" s="19" t="inlineStr">
        <is>
          <t>Jan</t>
        </is>
      </c>
      <c r="C422" s="19" t="inlineStr">
        <is>
          <t>TN</t>
        </is>
      </c>
      <c r="D422" s="20" t="inlineStr">
        <is>
          <t>TN38BZ5292</t>
        </is>
      </c>
      <c r="E422" s="20" t="inlineStr">
        <is>
          <t>MARUTI SUZUKI</t>
        </is>
      </c>
      <c r="F422" s="20" t="inlineStr">
        <is>
          <t>Alto</t>
        </is>
      </c>
      <c r="G422" s="21" t="n">
        <v>2014</v>
      </c>
      <c r="H422" s="22" t="n">
        <v>114554</v>
      </c>
      <c r="I422" s="23" t="n">
        <v>160000</v>
      </c>
      <c r="J422" s="20" t="inlineStr">
        <is>
          <t>JAIKRISHNAA AUTOSALES PRIVATE LIMITED</t>
        </is>
      </c>
      <c r="K422" s="20" t="inlineStr">
        <is>
          <t>Non-Captive</t>
        </is>
      </c>
      <c r="L422" s="20" t="inlineStr">
        <is>
          <t>SELVA MOTORS</t>
        </is>
      </c>
      <c r="M422" s="23" t="n">
        <v>4237.29</v>
      </c>
      <c r="N422" s="23" t="n">
        <v>5000</v>
      </c>
      <c r="O422" s="24">
        <f>IF(AND(ISNUMBER(M422), ISNUMBER(I422), I422&gt;0), M422/I422, "")</f>
        <v/>
      </c>
    </row>
    <row r="423">
      <c r="A423" s="19" t="inlineStr">
        <is>
          <t>FY26</t>
        </is>
      </c>
      <c r="B423" s="19" t="inlineStr">
        <is>
          <t>Jan</t>
        </is>
      </c>
      <c r="C423" s="19" t="inlineStr">
        <is>
          <t>TN</t>
        </is>
      </c>
      <c r="D423" s="20" t="inlineStr">
        <is>
          <t>TN38BA9099</t>
        </is>
      </c>
      <c r="E423" s="20" t="inlineStr">
        <is>
          <t>HYUNDAI</t>
        </is>
      </c>
      <c r="F423" s="20" t="inlineStr">
        <is>
          <t>I20</t>
        </is>
      </c>
      <c r="G423" s="21" t="n">
        <v>2012</v>
      </c>
      <c r="H423" s="22" t="n">
        <v>90000</v>
      </c>
      <c r="I423" s="23" t="n">
        <v>205000</v>
      </c>
      <c r="J423" s="20" t="inlineStr">
        <is>
          <t>JAIKRISHNAA AUTOSALES PRIVATE LIMITED</t>
        </is>
      </c>
      <c r="K423" s="20" t="inlineStr">
        <is>
          <t>Non-Captive</t>
        </is>
      </c>
      <c r="L423" s="20" t="inlineStr">
        <is>
          <t>SELVA MOTORS</t>
        </is>
      </c>
      <c r="M423" s="23" t="n">
        <v>4237.29</v>
      </c>
      <c r="N423" s="23" t="n">
        <v>5000</v>
      </c>
      <c r="O423" s="24">
        <f>IF(AND(ISNUMBER(M423), ISNUMBER(I423), I423&gt;0), M423/I423, "")</f>
        <v/>
      </c>
    </row>
    <row r="424">
      <c r="A424" s="19" t="inlineStr">
        <is>
          <t>FY26</t>
        </is>
      </c>
      <c r="B424" s="19" t="inlineStr">
        <is>
          <t>Jan</t>
        </is>
      </c>
      <c r="C424" s="19" t="inlineStr">
        <is>
          <t>TN</t>
        </is>
      </c>
      <c r="D424" s="20" t="inlineStr">
        <is>
          <t>TN18R1027</t>
        </is>
      </c>
      <c r="E424" s="20" t="inlineStr">
        <is>
          <t>MARUTI SUZUKI</t>
        </is>
      </c>
      <c r="F424" s="20" t="inlineStr">
        <is>
          <t>Alto K10</t>
        </is>
      </c>
      <c r="G424" s="21" t="n">
        <v>2014</v>
      </c>
      <c r="H424" s="22" t="n">
        <v>65000</v>
      </c>
      <c r="I424" s="23" t="n">
        <v>190000</v>
      </c>
      <c r="J424" s="20" t="inlineStr">
        <is>
          <t>JAIKRISHNAA AUTOSALES PRIVATE LIMITED</t>
        </is>
      </c>
      <c r="K424" s="20" t="inlineStr">
        <is>
          <t>Non-Captive</t>
        </is>
      </c>
      <c r="L424" s="20" t="inlineStr">
        <is>
          <t>SELVA MOTORS</t>
        </is>
      </c>
      <c r="M424" s="23" t="n">
        <v>4237.29</v>
      </c>
      <c r="N424" s="23" t="n">
        <v>5000</v>
      </c>
      <c r="O424" s="24">
        <f>IF(AND(ISNUMBER(M424), ISNUMBER(I424), I424&gt;0), M424/I424, "")</f>
        <v/>
      </c>
    </row>
    <row r="425">
      <c r="A425" s="19" t="inlineStr">
        <is>
          <t>FY26</t>
        </is>
      </c>
      <c r="B425" s="19" t="inlineStr">
        <is>
          <t>Jan</t>
        </is>
      </c>
      <c r="C425" s="19" t="inlineStr">
        <is>
          <t>TN</t>
        </is>
      </c>
      <c r="D425" s="20" t="inlineStr">
        <is>
          <t>TN49BH2248</t>
        </is>
      </c>
      <c r="E425" s="20" t="inlineStr">
        <is>
          <t>TATA</t>
        </is>
      </c>
      <c r="F425" s="20" t="inlineStr">
        <is>
          <t>Tiago</t>
        </is>
      </c>
      <c r="G425" s="21" t="n">
        <v>2014</v>
      </c>
      <c r="H425" s="22" t="n">
        <v>75000</v>
      </c>
      <c r="I425" s="23" t="n">
        <v>180000</v>
      </c>
      <c r="J425" s="20" t="inlineStr">
        <is>
          <t>JAIKRISHNAA AUTOSALES PRIVATE LIMITED</t>
        </is>
      </c>
      <c r="K425" s="20" t="inlineStr">
        <is>
          <t>Non-Captive</t>
        </is>
      </c>
      <c r="L425" s="20" t="inlineStr">
        <is>
          <t>MADHURA CARS</t>
        </is>
      </c>
      <c r="M425" s="23" t="n">
        <v>4237.29</v>
      </c>
      <c r="N425" s="23" t="n">
        <v>5000</v>
      </c>
      <c r="O425" s="24">
        <f>IF(AND(ISNUMBER(M425), ISNUMBER(I425), I425&gt;0), M425/I425, "")</f>
        <v/>
      </c>
    </row>
    <row r="426">
      <c r="A426" s="19" t="inlineStr">
        <is>
          <t>FY26</t>
        </is>
      </c>
      <c r="B426" s="19" t="inlineStr">
        <is>
          <t>Jan</t>
        </is>
      </c>
      <c r="C426" s="19" t="inlineStr">
        <is>
          <t>TN</t>
        </is>
      </c>
      <c r="D426" s="20" t="inlineStr">
        <is>
          <t>TN22AR0199</t>
        </is>
      </c>
      <c r="E426" s="20" t="inlineStr">
        <is>
          <t>MARUTI SUZUKI</t>
        </is>
      </c>
      <c r="F426" s="20" t="inlineStr">
        <is>
          <t>Alto</t>
        </is>
      </c>
      <c r="G426" s="21" t="n">
        <v>2009</v>
      </c>
      <c r="H426" s="22" t="n">
        <v>112000</v>
      </c>
      <c r="I426" s="23" t="n">
        <v>90000</v>
      </c>
      <c r="J426" s="20" t="inlineStr">
        <is>
          <t>JAIKRISHNAA AUTOSALES PRIVATE LIMITED</t>
        </is>
      </c>
      <c r="K426" s="20" t="inlineStr">
        <is>
          <t>Non-Captive</t>
        </is>
      </c>
      <c r="L426" s="20" t="inlineStr">
        <is>
          <t>MADHURA CARS</t>
        </is>
      </c>
      <c r="M426" s="23" t="n">
        <v>4237.29</v>
      </c>
      <c r="N426" s="23" t="n">
        <v>5000</v>
      </c>
      <c r="O426" s="24">
        <f>IF(AND(ISNUMBER(M426), ISNUMBER(I426), I426&gt;0), M426/I426, "")</f>
        <v/>
      </c>
    </row>
    <row r="427">
      <c r="A427" s="19" t="inlineStr">
        <is>
          <t>FY26</t>
        </is>
      </c>
      <c r="B427" s="19" t="inlineStr">
        <is>
          <t>Jan</t>
        </is>
      </c>
      <c r="C427" s="19" t="inlineStr">
        <is>
          <t>TN</t>
        </is>
      </c>
      <c r="D427" s="20" t="inlineStr">
        <is>
          <t>TN06D6917</t>
        </is>
      </c>
      <c r="E427" s="20" t="inlineStr">
        <is>
          <t>MARUTI SUZUKI</t>
        </is>
      </c>
      <c r="F427" s="20" t="inlineStr">
        <is>
          <t>Alto</t>
        </is>
      </c>
      <c r="G427" s="21" t="n">
        <v>2011</v>
      </c>
      <c r="H427" s="22" t="n">
        <v>100000</v>
      </c>
      <c r="I427" s="23" t="n">
        <v>120000</v>
      </c>
      <c r="J427" s="20" t="inlineStr">
        <is>
          <t>JAIKRISHNAA AUTOSALES PRIVATE LIMITED</t>
        </is>
      </c>
      <c r="K427" s="20" t="inlineStr">
        <is>
          <t>Non-Captive</t>
        </is>
      </c>
      <c r="L427" s="20" t="inlineStr">
        <is>
          <t>SELVA MOTORS</t>
        </is>
      </c>
      <c r="M427" s="23" t="n">
        <v>4237.29</v>
      </c>
      <c r="N427" s="23" t="n">
        <v>5000</v>
      </c>
      <c r="O427" s="24">
        <f>IF(AND(ISNUMBER(M427), ISNUMBER(I427), I427&gt;0), M427/I427, "")</f>
        <v/>
      </c>
    </row>
    <row r="428">
      <c r="A428" s="19" t="inlineStr">
        <is>
          <t>FY26</t>
        </is>
      </c>
      <c r="B428" s="19" t="inlineStr">
        <is>
          <t>Jan</t>
        </is>
      </c>
      <c r="C428" s="19" t="inlineStr">
        <is>
          <t>TN</t>
        </is>
      </c>
      <c r="D428" s="20" t="inlineStr">
        <is>
          <t>TN10AZ0713</t>
        </is>
      </c>
      <c r="E428" s="20" t="inlineStr">
        <is>
          <t>HYUNDAI</t>
        </is>
      </c>
      <c r="F428" s="20" t="inlineStr">
        <is>
          <t>I20</t>
        </is>
      </c>
      <c r="G428" s="21" t="n">
        <v>2017</v>
      </c>
      <c r="H428" s="22" t="n">
        <v>134242</v>
      </c>
      <c r="I428" s="23" t="n">
        <v>370000</v>
      </c>
      <c r="J428" s="20" t="inlineStr">
        <is>
          <t>Khivraj Motor</t>
        </is>
      </c>
      <c r="K428" s="20" t="inlineStr">
        <is>
          <t>Non-Captive</t>
        </is>
      </c>
      <c r="L428" s="20" t="inlineStr">
        <is>
          <t>Chaaran Cars</t>
        </is>
      </c>
      <c r="M428" s="23" t="n">
        <v>2966.1</v>
      </c>
      <c r="N428" s="23" t="n">
        <v>3500</v>
      </c>
      <c r="O428" s="24">
        <f>IF(AND(ISNUMBER(M428), ISNUMBER(I428), I428&gt;0), M428/I428, "")</f>
        <v/>
      </c>
    </row>
    <row r="429">
      <c r="A429" s="19" t="inlineStr">
        <is>
          <t>FY26</t>
        </is>
      </c>
      <c r="B429" s="19" t="inlineStr">
        <is>
          <t>Jan</t>
        </is>
      </c>
      <c r="C429" s="19" t="inlineStr">
        <is>
          <t>TN</t>
        </is>
      </c>
      <c r="D429" s="20" t="inlineStr">
        <is>
          <t>TN07CL0082</t>
        </is>
      </c>
      <c r="E429" s="20" t="inlineStr">
        <is>
          <t>MARUTI SUZUKI</t>
        </is>
      </c>
      <c r="F429" s="20" t="inlineStr">
        <is>
          <t>Swift Dzire</t>
        </is>
      </c>
      <c r="G429" s="21" t="n">
        <v>2017</v>
      </c>
      <c r="H429" s="22" t="n">
        <v>63008</v>
      </c>
      <c r="I429" s="23" t="n">
        <v>250000</v>
      </c>
      <c r="J429" s="20" t="inlineStr">
        <is>
          <t>Khivraj Motor</t>
        </is>
      </c>
      <c r="K429" s="20" t="inlineStr">
        <is>
          <t>Non-Captive</t>
        </is>
      </c>
      <c r="L429" s="20" t="inlineStr">
        <is>
          <t>Chaaran Cars</t>
        </is>
      </c>
      <c r="M429" s="23" t="n">
        <v>2966.1</v>
      </c>
      <c r="N429" s="23" t="n">
        <v>3500</v>
      </c>
      <c r="O429" s="24">
        <f>IF(AND(ISNUMBER(M429), ISNUMBER(I429), I429&gt;0), M429/I429, "")</f>
        <v/>
      </c>
    </row>
    <row r="430">
      <c r="A430" s="19" t="inlineStr">
        <is>
          <t>FY26</t>
        </is>
      </c>
      <c r="B430" s="19" t="inlineStr">
        <is>
          <t>Jan</t>
        </is>
      </c>
      <c r="C430" s="19" t="inlineStr">
        <is>
          <t>TN</t>
        </is>
      </c>
      <c r="D430" s="20" t="inlineStr">
        <is>
          <t>TN10BL5484</t>
        </is>
      </c>
      <c r="E430" s="20" t="inlineStr">
        <is>
          <t>MARUTI SUZUKI</t>
        </is>
      </c>
      <c r="F430" s="20" t="inlineStr">
        <is>
          <t>Swift</t>
        </is>
      </c>
      <c r="G430" s="21" t="n">
        <v>2020</v>
      </c>
      <c r="H430" s="22" t="n">
        <v>30179</v>
      </c>
      <c r="I430" s="23" t="n">
        <v>330000</v>
      </c>
      <c r="J430" s="20" t="inlineStr">
        <is>
          <t>Khivraj Motor</t>
        </is>
      </c>
      <c r="K430" s="20" t="inlineStr">
        <is>
          <t>Non-Captive</t>
        </is>
      </c>
      <c r="L430" s="20" t="inlineStr">
        <is>
          <t>Chaaran Cars</t>
        </is>
      </c>
      <c r="M430" s="23" t="n">
        <v>2966.1</v>
      </c>
      <c r="N430" s="23" t="n">
        <v>3500</v>
      </c>
      <c r="O430" s="24">
        <f>IF(AND(ISNUMBER(M430), ISNUMBER(I430), I430&gt;0), M430/I430, "")</f>
        <v/>
      </c>
    </row>
    <row r="431">
      <c r="A431" s="19" t="inlineStr">
        <is>
          <t>FY26</t>
        </is>
      </c>
      <c r="B431" s="19" t="inlineStr">
        <is>
          <t>Jan</t>
        </is>
      </c>
      <c r="C431" s="19" t="inlineStr">
        <is>
          <t>TN</t>
        </is>
      </c>
      <c r="D431" s="20" t="inlineStr">
        <is>
          <t>TN07CY2107</t>
        </is>
      </c>
      <c r="E431" s="20" t="inlineStr">
        <is>
          <t>MARUTI SUZUKI</t>
        </is>
      </c>
      <c r="F431" s="20" t="inlineStr">
        <is>
          <t>Swift Dzire</t>
        </is>
      </c>
      <c r="G431" s="21" t="n">
        <v>2021</v>
      </c>
      <c r="H431" s="22" t="n">
        <v>19068</v>
      </c>
      <c r="I431" s="23" t="n">
        <v>400000</v>
      </c>
      <c r="J431" s="20" t="inlineStr">
        <is>
          <t>Khivraj Motor</t>
        </is>
      </c>
      <c r="K431" s="20" t="inlineStr">
        <is>
          <t>Non-Captive</t>
        </is>
      </c>
      <c r="L431" s="20" t="inlineStr">
        <is>
          <t>Chaaran Cars</t>
        </is>
      </c>
      <c r="M431" s="23" t="n">
        <v>2966.1</v>
      </c>
      <c r="N431" s="23" t="n">
        <v>3500</v>
      </c>
      <c r="O431" s="24">
        <f>IF(AND(ISNUMBER(M431), ISNUMBER(I431), I431&gt;0), M431/I431, "")</f>
        <v/>
      </c>
    </row>
    <row r="432">
      <c r="A432" s="19" t="inlineStr">
        <is>
          <t>FY26</t>
        </is>
      </c>
      <c r="B432" s="19" t="inlineStr">
        <is>
          <t>Jan</t>
        </is>
      </c>
      <c r="C432" s="19" t="inlineStr">
        <is>
          <t>TN</t>
        </is>
      </c>
      <c r="D432" s="20" t="inlineStr">
        <is>
          <t>TN22DL4851</t>
        </is>
      </c>
      <c r="E432" s="20" t="inlineStr">
        <is>
          <t>RENAULT</t>
        </is>
      </c>
      <c r="F432" s="20" t="inlineStr">
        <is>
          <t>Kwid</t>
        </is>
      </c>
      <c r="G432" s="21" t="n">
        <v>2018</v>
      </c>
      <c r="H432" s="22" t="n">
        <v>63860</v>
      </c>
      <c r="I432" s="23" t="n">
        <v>230000</v>
      </c>
      <c r="J432" s="20" t="inlineStr">
        <is>
          <t>Khivraj Motor</t>
        </is>
      </c>
      <c r="K432" s="20" t="inlineStr">
        <is>
          <t>Non-Captive</t>
        </is>
      </c>
      <c r="L432" s="20" t="inlineStr">
        <is>
          <t>Santhosh Cars</t>
        </is>
      </c>
      <c r="M432" s="23" t="n">
        <v>2966.1</v>
      </c>
      <c r="N432" s="23" t="n">
        <v>3500</v>
      </c>
      <c r="O432" s="24">
        <f>IF(AND(ISNUMBER(M432), ISNUMBER(I432), I432&gt;0), M432/I432, "")</f>
        <v/>
      </c>
    </row>
    <row r="433">
      <c r="A433" s="19" t="inlineStr">
        <is>
          <t>FY26</t>
        </is>
      </c>
      <c r="B433" s="19" t="inlineStr">
        <is>
          <t>Jan</t>
        </is>
      </c>
      <c r="C433" s="19" t="inlineStr">
        <is>
          <t>TN</t>
        </is>
      </c>
      <c r="D433" s="20" t="inlineStr">
        <is>
          <t>TN07DH5261</t>
        </is>
      </c>
      <c r="E433" s="20" t="inlineStr">
        <is>
          <t>MARUTI SUZUKI</t>
        </is>
      </c>
      <c r="F433" s="20" t="inlineStr">
        <is>
          <t>Alto</t>
        </is>
      </c>
      <c r="G433" s="21" t="n">
        <v>2024</v>
      </c>
      <c r="H433" s="22" t="n">
        <v>2031</v>
      </c>
      <c r="I433" s="23" t="n">
        <v>400000</v>
      </c>
      <c r="J433" s="20" t="inlineStr">
        <is>
          <t>Khivraj Motor</t>
        </is>
      </c>
      <c r="K433" s="20" t="inlineStr">
        <is>
          <t>Non-Captive</t>
        </is>
      </c>
      <c r="L433" s="20" t="inlineStr">
        <is>
          <t>Santhosh Cars</t>
        </is>
      </c>
      <c r="M433" s="23" t="n">
        <v>2966.1</v>
      </c>
      <c r="N433" s="23" t="n">
        <v>3500</v>
      </c>
      <c r="O433" s="24">
        <f>IF(AND(ISNUMBER(M433), ISNUMBER(I433), I433&gt;0), M433/I433, "")</f>
        <v/>
      </c>
    </row>
    <row r="434">
      <c r="A434" s="19" t="inlineStr">
        <is>
          <t>FY26</t>
        </is>
      </c>
      <c r="B434" s="19" t="inlineStr">
        <is>
          <t>Jan</t>
        </is>
      </c>
      <c r="C434" s="19" t="inlineStr">
        <is>
          <t>TN</t>
        </is>
      </c>
      <c r="D434" s="20" t="inlineStr">
        <is>
          <t>TN12R2783</t>
        </is>
      </c>
      <c r="E434" s="20" t="inlineStr">
        <is>
          <t>HYUNDAI</t>
        </is>
      </c>
      <c r="F434" s="20" t="inlineStr">
        <is>
          <t>Eon</t>
        </is>
      </c>
      <c r="G434" s="21" t="n">
        <v>2016</v>
      </c>
      <c r="H434" s="22" t="n">
        <v>93970</v>
      </c>
      <c r="I434" s="23" t="n">
        <v>160000</v>
      </c>
      <c r="J434" s="20" t="inlineStr">
        <is>
          <t>Khivraj Motor</t>
        </is>
      </c>
      <c r="K434" s="20" t="inlineStr">
        <is>
          <t>Non-Captive</t>
        </is>
      </c>
      <c r="L434" s="20" t="inlineStr">
        <is>
          <t>Santhosh Cars</t>
        </is>
      </c>
      <c r="M434" s="23" t="n">
        <v>2966.1</v>
      </c>
      <c r="N434" s="23" t="n">
        <v>3500</v>
      </c>
      <c r="O434" s="24">
        <f>IF(AND(ISNUMBER(M434), ISNUMBER(I434), I434&gt;0), M434/I434, "")</f>
        <v/>
      </c>
    </row>
    <row r="435">
      <c r="A435" s="19" t="inlineStr">
        <is>
          <t>FY26</t>
        </is>
      </c>
      <c r="B435" s="19" t="inlineStr">
        <is>
          <t>Jan</t>
        </is>
      </c>
      <c r="C435" s="19" t="inlineStr">
        <is>
          <t>TN</t>
        </is>
      </c>
      <c r="D435" s="20" t="inlineStr">
        <is>
          <t>TN11K7075</t>
        </is>
      </c>
      <c r="E435" s="20" t="inlineStr">
        <is>
          <t>VOLKSWAGEN</t>
        </is>
      </c>
      <c r="F435" s="20" t="inlineStr">
        <is>
          <t>Vento</t>
        </is>
      </c>
      <c r="G435" s="21" t="n">
        <v>2014</v>
      </c>
      <c r="H435" s="22" t="n">
        <v>157891</v>
      </c>
      <c r="I435" s="23" t="n">
        <v>175000</v>
      </c>
      <c r="J435" s="20" t="inlineStr">
        <is>
          <t>Khivraj Motor</t>
        </is>
      </c>
      <c r="K435" s="20" t="inlineStr">
        <is>
          <t>Non-Captive</t>
        </is>
      </c>
      <c r="L435" s="20" t="inlineStr">
        <is>
          <t>Santhosh Cars</t>
        </is>
      </c>
      <c r="M435" s="23" t="n">
        <v>2966.1</v>
      </c>
      <c r="N435" s="23" t="n">
        <v>3500</v>
      </c>
      <c r="O435" s="24">
        <f>IF(AND(ISNUMBER(M435), ISNUMBER(I435), I435&gt;0), M435/I435, "")</f>
        <v/>
      </c>
    </row>
    <row r="436">
      <c r="A436" s="19" t="inlineStr">
        <is>
          <t>FY26</t>
        </is>
      </c>
      <c r="B436" s="19" t="inlineStr">
        <is>
          <t>Jan</t>
        </is>
      </c>
      <c r="C436" s="19" t="inlineStr">
        <is>
          <t>TN</t>
        </is>
      </c>
      <c r="D436" s="20" t="inlineStr">
        <is>
          <t>TN01BQ8150</t>
        </is>
      </c>
      <c r="E436" s="20" t="inlineStr">
        <is>
          <t>MARUTI SUZUKI</t>
        </is>
      </c>
      <c r="F436" s="20" t="inlineStr">
        <is>
          <t>Swift Dzire</t>
        </is>
      </c>
      <c r="G436" s="21" t="n">
        <v>2023</v>
      </c>
      <c r="H436" s="22" t="n">
        <v>20647</v>
      </c>
      <c r="I436" s="23" t="n">
        <v>550000</v>
      </c>
      <c r="J436" s="20" t="inlineStr">
        <is>
          <t>Khivraj Motor</t>
        </is>
      </c>
      <c r="K436" s="20" t="inlineStr">
        <is>
          <t>Non-Captive</t>
        </is>
      </c>
      <c r="L436" s="20" t="inlineStr">
        <is>
          <t>Santhosh Cars</t>
        </is>
      </c>
      <c r="M436" s="23" t="n">
        <v>2966.1</v>
      </c>
      <c r="N436" s="23" t="n">
        <v>3500</v>
      </c>
      <c r="O436" s="24">
        <f>IF(AND(ISNUMBER(M436), ISNUMBER(I436), I436&gt;0), M436/I436, "")</f>
        <v/>
      </c>
    </row>
    <row r="437">
      <c r="A437" s="19" t="inlineStr">
        <is>
          <t>FY26</t>
        </is>
      </c>
      <c r="B437" s="19" t="inlineStr">
        <is>
          <t>Jan</t>
        </is>
      </c>
      <c r="C437" s="19" t="inlineStr">
        <is>
          <t>TN</t>
        </is>
      </c>
      <c r="D437" s="20" t="inlineStr">
        <is>
          <t>TN14P6833</t>
        </is>
      </c>
      <c r="E437" s="20" t="inlineStr">
        <is>
          <t>MARUTI SUZUKI</t>
        </is>
      </c>
      <c r="F437" s="20" t="inlineStr">
        <is>
          <t>Swift</t>
        </is>
      </c>
      <c r="G437" s="21" t="n">
        <v>2018</v>
      </c>
      <c r="H437" s="22" t="n">
        <v>71757</v>
      </c>
      <c r="I437" s="23" t="n">
        <v>400000</v>
      </c>
      <c r="J437" s="20" t="inlineStr">
        <is>
          <t>Khivraj Motor</t>
        </is>
      </c>
      <c r="K437" s="20" t="inlineStr">
        <is>
          <t>Non-Captive</t>
        </is>
      </c>
      <c r="L437" s="20" t="inlineStr">
        <is>
          <t>Santhosh Cars</t>
        </is>
      </c>
      <c r="M437" s="23" t="n">
        <v>2966.1</v>
      </c>
      <c r="N437" s="23" t="n">
        <v>3500</v>
      </c>
      <c r="O437" s="24">
        <f>IF(AND(ISNUMBER(M437), ISNUMBER(I437), I437&gt;0), M437/I437, "")</f>
        <v/>
      </c>
    </row>
    <row r="438">
      <c r="A438" s="19" t="inlineStr">
        <is>
          <t>FY26</t>
        </is>
      </c>
      <c r="B438" s="19" t="inlineStr">
        <is>
          <t>Jan</t>
        </is>
      </c>
      <c r="C438" s="19" t="inlineStr">
        <is>
          <t>TN</t>
        </is>
      </c>
      <c r="D438" s="20" t="inlineStr">
        <is>
          <t>TN09CD2088</t>
        </is>
      </c>
      <c r="E438" s="20" t="inlineStr">
        <is>
          <t>MARUTI SUZUKI</t>
        </is>
      </c>
      <c r="F438" s="20" t="inlineStr">
        <is>
          <t>Celerio</t>
        </is>
      </c>
      <c r="G438" s="21" t="n">
        <v>2016</v>
      </c>
      <c r="H438" s="22" t="n">
        <v>77645</v>
      </c>
      <c r="I438" s="23" t="n">
        <v>230000</v>
      </c>
      <c r="J438" s="20" t="inlineStr">
        <is>
          <t>Khivraj Motor</t>
        </is>
      </c>
      <c r="K438" s="20" t="inlineStr">
        <is>
          <t>Non-Captive</t>
        </is>
      </c>
      <c r="L438" s="20" t="inlineStr">
        <is>
          <t>Santhosh Cars</t>
        </is>
      </c>
      <c r="M438" s="23" t="n">
        <v>2966.1</v>
      </c>
      <c r="N438" s="23" t="n">
        <v>3500</v>
      </c>
      <c r="O438" s="24">
        <f>IF(AND(ISNUMBER(M438), ISNUMBER(I438), I438&gt;0), M438/I438, "")</f>
        <v/>
      </c>
    </row>
    <row r="439">
      <c r="A439" s="19" t="inlineStr">
        <is>
          <t>FY26</t>
        </is>
      </c>
      <c r="B439" s="19" t="inlineStr">
        <is>
          <t>Jan</t>
        </is>
      </c>
      <c r="C439" s="19" t="inlineStr">
        <is>
          <t>TN</t>
        </is>
      </c>
      <c r="D439" s="20" t="inlineStr">
        <is>
          <t>TN05AJ9459</t>
        </is>
      </c>
      <c r="E439" s="20" t="inlineStr">
        <is>
          <t>MARUTI SUZUKI</t>
        </is>
      </c>
      <c r="F439" s="20" t="inlineStr">
        <is>
          <t>Wagon R</t>
        </is>
      </c>
      <c r="G439" s="21" t="n">
        <v>2011</v>
      </c>
      <c r="H439" s="22" t="n">
        <v>87652</v>
      </c>
      <c r="I439" s="23" t="n">
        <v>120000</v>
      </c>
      <c r="J439" s="20" t="inlineStr">
        <is>
          <t>Khivraj Motor</t>
        </is>
      </c>
      <c r="K439" s="20" t="inlineStr">
        <is>
          <t>Non-Captive</t>
        </is>
      </c>
      <c r="L439" s="20" t="inlineStr">
        <is>
          <t>Santhosh Cars</t>
        </is>
      </c>
      <c r="M439" s="23" t="n">
        <v>2966.1</v>
      </c>
      <c r="N439" s="23" t="n">
        <v>3500</v>
      </c>
      <c r="O439" s="24">
        <f>IF(AND(ISNUMBER(M439), ISNUMBER(I439), I439&gt;0), M439/I439, "")</f>
        <v/>
      </c>
    </row>
    <row r="440">
      <c r="A440" s="19" t="inlineStr">
        <is>
          <t>FY26</t>
        </is>
      </c>
      <c r="B440" s="19" t="inlineStr">
        <is>
          <t>Jan</t>
        </is>
      </c>
      <c r="C440" s="19" t="inlineStr">
        <is>
          <t>TN</t>
        </is>
      </c>
      <c r="D440" s="20" t="inlineStr">
        <is>
          <t>TN06U6585</t>
        </is>
      </c>
      <c r="E440" s="20" t="inlineStr">
        <is>
          <t>MARUTI SUZUKI</t>
        </is>
      </c>
      <c r="F440" s="20" t="inlineStr">
        <is>
          <t>Ignis</t>
        </is>
      </c>
      <c r="G440" s="21" t="n">
        <v>2017</v>
      </c>
      <c r="H440" s="22" t="n">
        <v>40985</v>
      </c>
      <c r="I440" s="23" t="n">
        <v>300000</v>
      </c>
      <c r="J440" s="20" t="inlineStr">
        <is>
          <t>Khivraj Motor</t>
        </is>
      </c>
      <c r="K440" s="20" t="inlineStr">
        <is>
          <t>Non-Captive</t>
        </is>
      </c>
      <c r="L440" s="20" t="inlineStr">
        <is>
          <t>Santhosh Cars</t>
        </is>
      </c>
      <c r="M440" s="23" t="n">
        <v>2966.1</v>
      </c>
      <c r="N440" s="23" t="n">
        <v>3500</v>
      </c>
      <c r="O440" s="24">
        <f>IF(AND(ISNUMBER(M440), ISNUMBER(I440), I440&gt;0), M440/I440, "")</f>
        <v/>
      </c>
    </row>
    <row r="441">
      <c r="A441" s="19" t="inlineStr">
        <is>
          <t>FY26</t>
        </is>
      </c>
      <c r="B441" s="19" t="inlineStr">
        <is>
          <t>Jan</t>
        </is>
      </c>
      <c r="C441" s="19" t="inlineStr">
        <is>
          <t>TN</t>
        </is>
      </c>
      <c r="D441" s="20" t="inlineStr">
        <is>
          <t>TN06M0585</t>
        </is>
      </c>
      <c r="E441" s="20" t="inlineStr">
        <is>
          <t>HONDA</t>
        </is>
      </c>
      <c r="F441" s="20" t="inlineStr">
        <is>
          <t>Mobilio</t>
        </is>
      </c>
      <c r="G441" s="21" t="n">
        <v>2014</v>
      </c>
      <c r="H441" s="22" t="n">
        <v>121233</v>
      </c>
      <c r="I441" s="23" t="n">
        <v>300000</v>
      </c>
      <c r="J441" s="20" t="inlineStr">
        <is>
          <t>Khivraj Motor</t>
        </is>
      </c>
      <c r="K441" s="20" t="inlineStr">
        <is>
          <t>Non-Captive</t>
        </is>
      </c>
      <c r="L441" s="20" t="inlineStr">
        <is>
          <t>Santhosh Cars</t>
        </is>
      </c>
      <c r="M441" s="23" t="n">
        <v>2966.1</v>
      </c>
      <c r="N441" s="23" t="n">
        <v>3500</v>
      </c>
      <c r="O441" s="24">
        <f>IF(AND(ISNUMBER(M441), ISNUMBER(I441), I441&gt;0), M441/I441, "")</f>
        <v/>
      </c>
    </row>
    <row r="442">
      <c r="A442" s="19" t="inlineStr">
        <is>
          <t>FY26</t>
        </is>
      </c>
      <c r="B442" s="19" t="inlineStr">
        <is>
          <t>Jan</t>
        </is>
      </c>
      <c r="C442" s="19" t="inlineStr">
        <is>
          <t>TN</t>
        </is>
      </c>
      <c r="D442" s="20" t="inlineStr">
        <is>
          <t>TN07BB1164</t>
        </is>
      </c>
      <c r="E442" s="20" t="inlineStr">
        <is>
          <t>MARUTI SUZUKI</t>
        </is>
      </c>
      <c r="F442" s="20" t="inlineStr">
        <is>
          <t>M800</t>
        </is>
      </c>
      <c r="G442" s="21" t="n">
        <v>2008</v>
      </c>
      <c r="H442" s="22" t="n">
        <v>54119</v>
      </c>
      <c r="I442" s="23" t="n">
        <v>50000</v>
      </c>
      <c r="J442" s="20" t="inlineStr">
        <is>
          <t>Khivraj Motor</t>
        </is>
      </c>
      <c r="K442" s="20" t="inlineStr">
        <is>
          <t>Non-Captive</t>
        </is>
      </c>
      <c r="L442" s="20" t="inlineStr">
        <is>
          <t>Santhosh Cars</t>
        </is>
      </c>
      <c r="M442" s="23" t="n">
        <v>2966.1</v>
      </c>
      <c r="N442" s="23" t="n">
        <v>3500</v>
      </c>
      <c r="O442" s="24">
        <f>IF(AND(ISNUMBER(M442), ISNUMBER(I442), I442&gt;0), M442/I442, "")</f>
        <v/>
      </c>
    </row>
    <row r="443">
      <c r="A443" s="19" t="inlineStr">
        <is>
          <t>FY26</t>
        </is>
      </c>
      <c r="B443" s="19" t="inlineStr">
        <is>
          <t>Jan</t>
        </is>
      </c>
      <c r="C443" s="19" t="inlineStr">
        <is>
          <t>TN</t>
        </is>
      </c>
      <c r="D443" s="20" t="inlineStr">
        <is>
          <t>TN05BP3457</t>
        </is>
      </c>
      <c r="E443" s="20" t="inlineStr">
        <is>
          <t>MARUTI SUZUKI</t>
        </is>
      </c>
      <c r="F443" s="20" t="inlineStr">
        <is>
          <t>Celerio</t>
        </is>
      </c>
      <c r="G443" s="21" t="n">
        <v>2017</v>
      </c>
      <c r="H443" s="22" t="n">
        <v>55497</v>
      </c>
      <c r="I443" s="23" t="n">
        <v>380000</v>
      </c>
      <c r="J443" s="20" t="inlineStr">
        <is>
          <t>Khivraj Motor</t>
        </is>
      </c>
      <c r="K443" s="20" t="inlineStr">
        <is>
          <t>Non-Captive</t>
        </is>
      </c>
      <c r="L443" s="20" t="inlineStr">
        <is>
          <t>Santhosh Cars</t>
        </is>
      </c>
      <c r="M443" s="23" t="n">
        <v>2966.1</v>
      </c>
      <c r="N443" s="23" t="n">
        <v>3500</v>
      </c>
      <c r="O443" s="24">
        <f>IF(AND(ISNUMBER(M443), ISNUMBER(I443), I443&gt;0), M443/I443, "")</f>
        <v/>
      </c>
    </row>
    <row r="444">
      <c r="A444" s="19" t="inlineStr">
        <is>
          <t>FY26</t>
        </is>
      </c>
      <c r="B444" s="19" t="inlineStr">
        <is>
          <t>Jan</t>
        </is>
      </c>
      <c r="C444" s="19" t="inlineStr">
        <is>
          <t>TN</t>
        </is>
      </c>
      <c r="D444" s="20" t="inlineStr">
        <is>
          <t>TN02BQ7988</t>
        </is>
      </c>
      <c r="E444" s="20" t="inlineStr">
        <is>
          <t>HYUNDAI</t>
        </is>
      </c>
      <c r="F444" s="20" t="inlineStr">
        <is>
          <t>Venue</t>
        </is>
      </c>
      <c r="G444" s="21" t="n">
        <v>2019</v>
      </c>
      <c r="H444" s="22" t="n">
        <v>34256</v>
      </c>
      <c r="I444" s="23" t="n">
        <v>550000</v>
      </c>
      <c r="J444" s="20" t="inlineStr">
        <is>
          <t>Khivraj Motor</t>
        </is>
      </c>
      <c r="K444" s="20" t="inlineStr">
        <is>
          <t>Non-Captive</t>
        </is>
      </c>
      <c r="L444" s="20" t="inlineStr">
        <is>
          <t>Senthil Cars</t>
        </is>
      </c>
      <c r="M444" s="23" t="n">
        <v>2966.1</v>
      </c>
      <c r="N444" s="23" t="n">
        <v>3500</v>
      </c>
      <c r="O444" s="24">
        <f>IF(AND(ISNUMBER(M444), ISNUMBER(I444), I444&gt;0), M444/I444, "")</f>
        <v/>
      </c>
    </row>
    <row r="445">
      <c r="A445" s="19" t="inlineStr">
        <is>
          <t>FY26</t>
        </is>
      </c>
      <c r="B445" s="19" t="inlineStr">
        <is>
          <t>Jan</t>
        </is>
      </c>
      <c r="C445" s="19" t="inlineStr">
        <is>
          <t>TN</t>
        </is>
      </c>
      <c r="D445" s="20" t="inlineStr">
        <is>
          <t>TN09CD9705</t>
        </is>
      </c>
      <c r="E445" s="20" t="inlineStr">
        <is>
          <t>MARUTI SUZUKI</t>
        </is>
      </c>
      <c r="F445" s="20" t="inlineStr">
        <is>
          <t>Celerio</t>
        </is>
      </c>
      <c r="G445" s="21" t="n">
        <v>2016</v>
      </c>
      <c r="H445" s="22" t="n">
        <v>55558</v>
      </c>
      <c r="I445" s="23" t="n">
        <v>235000</v>
      </c>
      <c r="J445" s="20" t="inlineStr">
        <is>
          <t>Khivraj Motor</t>
        </is>
      </c>
      <c r="K445" s="20" t="inlineStr">
        <is>
          <t>Non-Captive</t>
        </is>
      </c>
      <c r="L445" s="20" t="inlineStr">
        <is>
          <t>Senthil Cars</t>
        </is>
      </c>
      <c r="M445" s="23" t="n">
        <v>2966.1</v>
      </c>
      <c r="N445" s="23" t="n">
        <v>3500</v>
      </c>
      <c r="O445" s="24">
        <f>IF(AND(ISNUMBER(M445), ISNUMBER(I445), I445&gt;0), M445/I445, "")</f>
        <v/>
      </c>
    </row>
    <row r="446">
      <c r="A446" s="19" t="inlineStr">
        <is>
          <t>FY26</t>
        </is>
      </c>
      <c r="B446" s="19" t="inlineStr">
        <is>
          <t>Jan</t>
        </is>
      </c>
      <c r="C446" s="19" t="inlineStr">
        <is>
          <t>TN</t>
        </is>
      </c>
      <c r="D446" s="20" t="inlineStr">
        <is>
          <t>TN12Y4221</t>
        </is>
      </c>
      <c r="E446" s="20" t="inlineStr">
        <is>
          <t>MARUTI SUZUKI</t>
        </is>
      </c>
      <c r="F446" s="20" t="inlineStr">
        <is>
          <t>Celerio</t>
        </is>
      </c>
      <c r="G446" s="21" t="n">
        <v>2018</v>
      </c>
      <c r="H446" s="22" t="n">
        <v>64763</v>
      </c>
      <c r="I446" s="23" t="n">
        <v>250000</v>
      </c>
      <c r="J446" s="20" t="inlineStr">
        <is>
          <t>Khivraj Motor</t>
        </is>
      </c>
      <c r="K446" s="20" t="inlineStr">
        <is>
          <t>Non-Captive</t>
        </is>
      </c>
      <c r="L446" s="20" t="inlineStr">
        <is>
          <t>Senthil Cars</t>
        </is>
      </c>
      <c r="M446" s="23" t="n">
        <v>2966.1</v>
      </c>
      <c r="N446" s="23" t="n">
        <v>3500</v>
      </c>
      <c r="O446" s="24">
        <f>IF(AND(ISNUMBER(M446), ISNUMBER(I446), I446&gt;0), M446/I446, "")</f>
        <v/>
      </c>
    </row>
    <row r="447">
      <c r="A447" s="19" t="inlineStr">
        <is>
          <t>FY26</t>
        </is>
      </c>
      <c r="B447" s="19" t="inlineStr">
        <is>
          <t>Jan</t>
        </is>
      </c>
      <c r="C447" s="19" t="inlineStr">
        <is>
          <t>TN</t>
        </is>
      </c>
      <c r="D447" s="20" t="inlineStr">
        <is>
          <t>TN06AB2894</t>
        </is>
      </c>
      <c r="E447" s="20" t="inlineStr">
        <is>
          <t>MARUTI SUZUKI</t>
        </is>
      </c>
      <c r="F447" s="20" t="inlineStr">
        <is>
          <t>Swift</t>
        </is>
      </c>
      <c r="G447" s="21" t="n">
        <v>2021</v>
      </c>
      <c r="H447" s="22" t="n">
        <v>31487</v>
      </c>
      <c r="I447" s="23" t="n">
        <v>470000</v>
      </c>
      <c r="J447" s="20" t="inlineStr">
        <is>
          <t>Khivraj Motor</t>
        </is>
      </c>
      <c r="K447" s="20" t="inlineStr">
        <is>
          <t>Non-Captive</t>
        </is>
      </c>
      <c r="L447" s="20" t="inlineStr">
        <is>
          <t>Senthil Cars</t>
        </is>
      </c>
      <c r="M447" s="23" t="n">
        <v>2966.1</v>
      </c>
      <c r="N447" s="23" t="n">
        <v>3500</v>
      </c>
      <c r="O447" s="24">
        <f>IF(AND(ISNUMBER(M447), ISNUMBER(I447), I447&gt;0), M447/I447, "")</f>
        <v/>
      </c>
    </row>
    <row r="448">
      <c r="A448" s="19" t="inlineStr">
        <is>
          <t>FY26</t>
        </is>
      </c>
      <c r="B448" s="19" t="inlineStr">
        <is>
          <t>Jan</t>
        </is>
      </c>
      <c r="C448" s="19" t="inlineStr">
        <is>
          <t>TN</t>
        </is>
      </c>
      <c r="D448" s="20" t="inlineStr">
        <is>
          <t>TN13R0954</t>
        </is>
      </c>
      <c r="E448" s="20" t="inlineStr">
        <is>
          <t>TATA</t>
        </is>
      </c>
      <c r="F448" s="20" t="inlineStr">
        <is>
          <t>Tiago</t>
        </is>
      </c>
      <c r="G448" s="21" t="n">
        <v>2019</v>
      </c>
      <c r="H448" s="22" t="n">
        <v>43231</v>
      </c>
      <c r="I448" s="23" t="n">
        <v>300000</v>
      </c>
      <c r="J448" s="20" t="inlineStr">
        <is>
          <t>Khivraj Motor</t>
        </is>
      </c>
      <c r="K448" s="20" t="inlineStr">
        <is>
          <t>Non-Captive</t>
        </is>
      </c>
      <c r="L448" s="20" t="inlineStr">
        <is>
          <t>Senthil Cars</t>
        </is>
      </c>
      <c r="M448" s="23" t="n">
        <v>2966.1</v>
      </c>
      <c r="N448" s="23" t="n">
        <v>3500</v>
      </c>
      <c r="O448" s="24">
        <f>IF(AND(ISNUMBER(M448), ISNUMBER(I448), I448&gt;0), M448/I448, "")</f>
        <v/>
      </c>
    </row>
    <row r="449">
      <c r="A449" s="19" t="inlineStr">
        <is>
          <t>FY26</t>
        </is>
      </c>
      <c r="B449" s="19" t="inlineStr">
        <is>
          <t>Jan</t>
        </is>
      </c>
      <c r="C449" s="19" t="inlineStr">
        <is>
          <t>TN</t>
        </is>
      </c>
      <c r="D449" s="20" t="inlineStr">
        <is>
          <t>TN13M4749</t>
        </is>
      </c>
      <c r="E449" s="20" t="inlineStr">
        <is>
          <t>MARUTI SUZUKI</t>
        </is>
      </c>
      <c r="F449" s="20" t="inlineStr">
        <is>
          <t>Swift Dzire</t>
        </is>
      </c>
      <c r="G449" s="21" t="n">
        <v>2018</v>
      </c>
      <c r="H449" s="22" t="n">
        <v>59314</v>
      </c>
      <c r="I449" s="23" t="n">
        <v>400000</v>
      </c>
      <c r="J449" s="20" t="inlineStr">
        <is>
          <t>Khivraj Motor</t>
        </is>
      </c>
      <c r="K449" s="20" t="inlineStr">
        <is>
          <t>Non-Captive</t>
        </is>
      </c>
      <c r="L449" s="20" t="inlineStr">
        <is>
          <t>Senthil Cars</t>
        </is>
      </c>
      <c r="M449" s="23" t="n">
        <v>2966.1</v>
      </c>
      <c r="N449" s="23" t="n">
        <v>3500</v>
      </c>
      <c r="O449" s="24">
        <f>IF(AND(ISNUMBER(M449), ISNUMBER(I449), I449&gt;0), M449/I449, "")</f>
        <v/>
      </c>
    </row>
    <row r="450">
      <c r="A450" s="19" t="inlineStr">
        <is>
          <t>FY26</t>
        </is>
      </c>
      <c r="B450" s="19" t="inlineStr">
        <is>
          <t>Jan</t>
        </is>
      </c>
      <c r="C450" s="19" t="inlineStr">
        <is>
          <t>TN</t>
        </is>
      </c>
      <c r="D450" s="20" t="inlineStr">
        <is>
          <t>TN11Z2385</t>
        </is>
      </c>
      <c r="E450" s="20" t="inlineStr">
        <is>
          <t>HYUNDAI</t>
        </is>
      </c>
      <c r="F450" s="20" t="inlineStr">
        <is>
          <t>I10</t>
        </is>
      </c>
      <c r="G450" s="21" t="n">
        <v>2012</v>
      </c>
      <c r="H450" s="22" t="n">
        <v>79783</v>
      </c>
      <c r="I450" s="23" t="n">
        <v>160000</v>
      </c>
      <c r="J450" s="20" t="inlineStr">
        <is>
          <t>Khivraj Motor</t>
        </is>
      </c>
      <c r="K450" s="20" t="inlineStr">
        <is>
          <t>Non-Captive</t>
        </is>
      </c>
      <c r="L450" s="20" t="inlineStr">
        <is>
          <t>Senthil Cars</t>
        </is>
      </c>
      <c r="M450" s="23" t="n">
        <v>2966.1</v>
      </c>
      <c r="N450" s="23" t="n">
        <v>3500</v>
      </c>
      <c r="O450" s="24">
        <f>IF(AND(ISNUMBER(M450), ISNUMBER(I450), I450&gt;0), M450/I450, "")</f>
        <v/>
      </c>
    </row>
    <row r="451">
      <c r="A451" s="19" t="inlineStr">
        <is>
          <t>FY26</t>
        </is>
      </c>
      <c r="B451" s="19" t="inlineStr">
        <is>
          <t>Jan</t>
        </is>
      </c>
      <c r="C451" s="19" t="inlineStr">
        <is>
          <t>TN</t>
        </is>
      </c>
      <c r="D451" s="20" t="inlineStr">
        <is>
          <t>TN12AH4291</t>
        </is>
      </c>
      <c r="E451" s="20" t="inlineStr">
        <is>
          <t>MARUTI SUZUKI</t>
        </is>
      </c>
      <c r="F451" s="20" t="inlineStr">
        <is>
          <t>Wagon R</t>
        </is>
      </c>
      <c r="G451" s="21" t="n">
        <v>2019</v>
      </c>
      <c r="H451" s="22" t="n">
        <v>86603</v>
      </c>
      <c r="I451" s="23" t="n">
        <v>380000</v>
      </c>
      <c r="J451" s="20" t="inlineStr">
        <is>
          <t>Khivraj Motor</t>
        </is>
      </c>
      <c r="K451" s="20" t="inlineStr">
        <is>
          <t>Non-Captive</t>
        </is>
      </c>
      <c r="L451" s="20" t="inlineStr">
        <is>
          <t>Essar Preowned Cars</t>
        </is>
      </c>
      <c r="M451" s="23" t="n">
        <v>2966.1</v>
      </c>
      <c r="N451" s="23" t="n">
        <v>3500</v>
      </c>
      <c r="O451" s="24">
        <f>IF(AND(ISNUMBER(M451), ISNUMBER(I451), I451&gt;0), M451/I451, "")</f>
        <v/>
      </c>
    </row>
    <row r="452">
      <c r="A452" s="19" t="inlineStr">
        <is>
          <t>FY26</t>
        </is>
      </c>
      <c r="B452" s="19" t="inlineStr">
        <is>
          <t>Jan</t>
        </is>
      </c>
      <c r="C452" s="19" t="inlineStr">
        <is>
          <t>TN</t>
        </is>
      </c>
      <c r="D452" s="20" t="inlineStr">
        <is>
          <t>TN73AX6348</t>
        </is>
      </c>
      <c r="E452" s="20" t="inlineStr">
        <is>
          <t>RENAULT</t>
        </is>
      </c>
      <c r="F452" s="20" t="inlineStr">
        <is>
          <t>Kwid</t>
        </is>
      </c>
      <c r="G452" s="21" t="n">
        <v>2021</v>
      </c>
      <c r="H452" s="22" t="n">
        <v>16506</v>
      </c>
      <c r="I452" s="23" t="n">
        <v>300000</v>
      </c>
      <c r="J452" s="20" t="inlineStr">
        <is>
          <t>Khivraj Motor</t>
        </is>
      </c>
      <c r="K452" s="20" t="inlineStr">
        <is>
          <t>Non-Captive</t>
        </is>
      </c>
      <c r="L452" s="20" t="inlineStr">
        <is>
          <t>Essar Preowned Cars</t>
        </is>
      </c>
      <c r="M452" s="23" t="n">
        <v>2966.1</v>
      </c>
      <c r="N452" s="23" t="n">
        <v>3500</v>
      </c>
      <c r="O452" s="24">
        <f>IF(AND(ISNUMBER(M452), ISNUMBER(I452), I452&gt;0), M452/I452, "")</f>
        <v/>
      </c>
    </row>
    <row r="453">
      <c r="A453" s="19" t="inlineStr">
        <is>
          <t>FY26</t>
        </is>
      </c>
      <c r="B453" s="19" t="inlineStr">
        <is>
          <t>Jan</t>
        </is>
      </c>
      <c r="C453" s="19" t="inlineStr">
        <is>
          <t>TN</t>
        </is>
      </c>
      <c r="D453" s="20" t="inlineStr">
        <is>
          <t>TN18AX3827</t>
        </is>
      </c>
      <c r="E453" s="20" t="inlineStr">
        <is>
          <t>MARUTI SUZUKI</t>
        </is>
      </c>
      <c r="F453" s="20" t="inlineStr">
        <is>
          <t>Alto</t>
        </is>
      </c>
      <c r="G453" s="21" t="n">
        <v>2018</v>
      </c>
      <c r="H453" s="22" t="n">
        <v>55641</v>
      </c>
      <c r="I453" s="23" t="n">
        <v>230000</v>
      </c>
      <c r="J453" s="20" t="inlineStr">
        <is>
          <t>Khivraj Motor</t>
        </is>
      </c>
      <c r="K453" s="20" t="inlineStr">
        <is>
          <t>Non-Captive</t>
        </is>
      </c>
      <c r="L453" s="20" t="inlineStr">
        <is>
          <t>Essar Preowned Cars</t>
        </is>
      </c>
      <c r="M453" s="23" t="n">
        <v>2966.1</v>
      </c>
      <c r="N453" s="23" t="n">
        <v>3500</v>
      </c>
      <c r="O453" s="24">
        <f>IF(AND(ISNUMBER(M453), ISNUMBER(I453), I453&gt;0), M453/I453, "")</f>
        <v/>
      </c>
    </row>
    <row r="454">
      <c r="A454" s="19" t="inlineStr">
        <is>
          <t>FY26</t>
        </is>
      </c>
      <c r="B454" s="19" t="inlineStr">
        <is>
          <t>Jan</t>
        </is>
      </c>
      <c r="C454" s="19" t="inlineStr">
        <is>
          <t>TN</t>
        </is>
      </c>
      <c r="D454" s="20" t="inlineStr">
        <is>
          <t>TN13C9999</t>
        </is>
      </c>
      <c r="E454" s="20" t="inlineStr">
        <is>
          <t>HONDA</t>
        </is>
      </c>
      <c r="F454" s="20" t="inlineStr">
        <is>
          <t>City</t>
        </is>
      </c>
      <c r="G454" s="21" t="n">
        <v>2014</v>
      </c>
      <c r="H454" s="22" t="n">
        <v>117637</v>
      </c>
      <c r="I454" s="23" t="n">
        <v>300000</v>
      </c>
      <c r="J454" s="20" t="inlineStr">
        <is>
          <t>Khivraj Motor</t>
        </is>
      </c>
      <c r="K454" s="20" t="inlineStr">
        <is>
          <t>Non-Captive</t>
        </is>
      </c>
      <c r="L454" s="20" t="inlineStr">
        <is>
          <t>Essar Preowned Cars</t>
        </is>
      </c>
      <c r="M454" s="23" t="n">
        <v>2966.1</v>
      </c>
      <c r="N454" s="23" t="n">
        <v>3500</v>
      </c>
      <c r="O454" s="24">
        <f>IF(AND(ISNUMBER(M454), ISNUMBER(I454), I454&gt;0), M454/I454, "")</f>
        <v/>
      </c>
    </row>
    <row r="455">
      <c r="A455" s="19" t="inlineStr">
        <is>
          <t>FY26</t>
        </is>
      </c>
      <c r="B455" s="19" t="inlineStr">
        <is>
          <t>Jan</t>
        </is>
      </c>
      <c r="C455" s="19" t="inlineStr">
        <is>
          <t>TN</t>
        </is>
      </c>
      <c r="D455" s="20" t="inlineStr">
        <is>
          <t>TN03P4986</t>
        </is>
      </c>
      <c r="E455" s="20" t="inlineStr">
        <is>
          <t>HYUNDAI</t>
        </is>
      </c>
      <c r="F455" s="20" t="inlineStr">
        <is>
          <t>Grand I10</t>
        </is>
      </c>
      <c r="G455" s="21" t="n">
        <v>2014</v>
      </c>
      <c r="H455" s="22" t="n">
        <v>55425</v>
      </c>
      <c r="I455" s="23" t="n">
        <v>280000</v>
      </c>
      <c r="J455" s="20" t="inlineStr">
        <is>
          <t>Khivraj Motor</t>
        </is>
      </c>
      <c r="K455" s="20" t="inlineStr">
        <is>
          <t>Non-Captive</t>
        </is>
      </c>
      <c r="L455" s="20" t="inlineStr">
        <is>
          <t>Shakthi Cars</t>
        </is>
      </c>
      <c r="M455" s="23" t="n">
        <v>2966.1</v>
      </c>
      <c r="N455" s="23" t="n">
        <v>3500</v>
      </c>
      <c r="O455" s="24">
        <f>IF(AND(ISNUMBER(M455), ISNUMBER(I455), I455&gt;0), M455/I455, "")</f>
        <v/>
      </c>
    </row>
    <row r="456">
      <c r="A456" s="19" t="inlineStr">
        <is>
          <t>FY26</t>
        </is>
      </c>
      <c r="B456" s="19" t="inlineStr">
        <is>
          <t>Jan</t>
        </is>
      </c>
      <c r="C456" s="19" t="inlineStr">
        <is>
          <t>TN</t>
        </is>
      </c>
      <c r="D456" s="20" t="inlineStr">
        <is>
          <t>TN18BF2719</t>
        </is>
      </c>
      <c r="E456" s="20" t="inlineStr">
        <is>
          <t>MARUTI SUZUKI</t>
        </is>
      </c>
      <c r="F456" s="20" t="inlineStr">
        <is>
          <t>Ertiga</t>
        </is>
      </c>
      <c r="G456" s="21" t="n">
        <v>2021</v>
      </c>
      <c r="H456" s="22" t="n">
        <v>31960</v>
      </c>
      <c r="I456" s="23" t="n">
        <v>760000</v>
      </c>
      <c r="J456" s="20" t="inlineStr">
        <is>
          <t>Khivraj Motor</t>
        </is>
      </c>
      <c r="K456" s="20" t="inlineStr">
        <is>
          <t>Non-Captive</t>
        </is>
      </c>
      <c r="L456" s="20" t="inlineStr">
        <is>
          <t>Shakthi Cars</t>
        </is>
      </c>
      <c r="M456" s="23" t="n">
        <v>2966.1</v>
      </c>
      <c r="N456" s="23" t="n">
        <v>3500</v>
      </c>
      <c r="O456" s="24">
        <f>IF(AND(ISNUMBER(M456), ISNUMBER(I456), I456&gt;0), M456/I456, "")</f>
        <v/>
      </c>
    </row>
    <row r="457">
      <c r="A457" s="19" t="inlineStr">
        <is>
          <t>FY26</t>
        </is>
      </c>
      <c r="B457" s="19" t="inlineStr">
        <is>
          <t>Jan</t>
        </is>
      </c>
      <c r="C457" s="19" t="inlineStr">
        <is>
          <t>TN</t>
        </is>
      </c>
      <c r="D457" s="20" t="inlineStr">
        <is>
          <t>TN06W7968</t>
        </is>
      </c>
      <c r="E457" s="20" t="inlineStr">
        <is>
          <t>MARUTI SUZUKI</t>
        </is>
      </c>
      <c r="F457" s="20" t="inlineStr">
        <is>
          <t>Alto</t>
        </is>
      </c>
      <c r="G457" s="21" t="n">
        <v>2018</v>
      </c>
      <c r="H457" s="22" t="n">
        <v>68967</v>
      </c>
      <c r="I457" s="23" t="n">
        <v>180000</v>
      </c>
      <c r="J457" s="20" t="inlineStr">
        <is>
          <t>Khivraj Motor</t>
        </is>
      </c>
      <c r="K457" s="20" t="inlineStr">
        <is>
          <t>Non-Captive</t>
        </is>
      </c>
      <c r="L457" s="20" t="inlineStr">
        <is>
          <t>Shakthi Cars</t>
        </is>
      </c>
      <c r="M457" s="23" t="n">
        <v>2966.1</v>
      </c>
      <c r="N457" s="23" t="n">
        <v>3500</v>
      </c>
      <c r="O457" s="24">
        <f>IF(AND(ISNUMBER(M457), ISNUMBER(I457), I457&gt;0), M457/I457, "")</f>
        <v/>
      </c>
    </row>
    <row r="458">
      <c r="A458" s="19" t="inlineStr">
        <is>
          <t>FY26</t>
        </is>
      </c>
      <c r="B458" s="19" t="inlineStr">
        <is>
          <t>Jan</t>
        </is>
      </c>
      <c r="C458" s="19" t="inlineStr">
        <is>
          <t>TN</t>
        </is>
      </c>
      <c r="D458" s="20" t="inlineStr">
        <is>
          <t>TN19AH3798</t>
        </is>
      </c>
      <c r="E458" s="20" t="inlineStr">
        <is>
          <t>MARUTI SUZUKI</t>
        </is>
      </c>
      <c r="F458" s="20" t="inlineStr">
        <is>
          <t>Alto</t>
        </is>
      </c>
      <c r="G458" s="21" t="n">
        <v>2018</v>
      </c>
      <c r="H458" s="22" t="n">
        <v>33659</v>
      </c>
      <c r="I458" s="23" t="n">
        <v>240000</v>
      </c>
      <c r="J458" s="20" t="inlineStr">
        <is>
          <t>Khivraj Motor</t>
        </is>
      </c>
      <c r="K458" s="20" t="inlineStr">
        <is>
          <t>Non-Captive</t>
        </is>
      </c>
      <c r="L458" s="20" t="inlineStr">
        <is>
          <t>Shakthi Cars</t>
        </is>
      </c>
      <c r="M458" s="23" t="n">
        <v>2966.1</v>
      </c>
      <c r="N458" s="23" t="n">
        <v>3500</v>
      </c>
      <c r="O458" s="24">
        <f>IF(AND(ISNUMBER(M458), ISNUMBER(I458), I458&gt;0), M458/I458, "")</f>
        <v/>
      </c>
    </row>
    <row r="459">
      <c r="A459" s="19" t="inlineStr">
        <is>
          <t>FY26</t>
        </is>
      </c>
      <c r="B459" s="19" t="inlineStr">
        <is>
          <t>Jan</t>
        </is>
      </c>
      <c r="C459" s="19" t="inlineStr">
        <is>
          <t>TN</t>
        </is>
      </c>
      <c r="D459" s="20" t="inlineStr">
        <is>
          <t>TN02BB3197</t>
        </is>
      </c>
      <c r="E459" s="20" t="inlineStr">
        <is>
          <t>HYUNDAI</t>
        </is>
      </c>
      <c r="F459" s="20" t="inlineStr">
        <is>
          <t>Eon</t>
        </is>
      </c>
      <c r="G459" s="21" t="n">
        <v>2015</v>
      </c>
      <c r="H459" s="22" t="n">
        <v>56304</v>
      </c>
      <c r="I459" s="23" t="n">
        <v>250000</v>
      </c>
      <c r="J459" s="20" t="inlineStr">
        <is>
          <t>Khivraj Motor</t>
        </is>
      </c>
      <c r="K459" s="20" t="inlineStr">
        <is>
          <t>Non-Captive</t>
        </is>
      </c>
      <c r="L459" s="20" t="inlineStr">
        <is>
          <t>Shakthi Cars</t>
        </is>
      </c>
      <c r="M459" s="23" t="n">
        <v>2966.1</v>
      </c>
      <c r="N459" s="23" t="n">
        <v>3500</v>
      </c>
      <c r="O459" s="24">
        <f>IF(AND(ISNUMBER(M459), ISNUMBER(I459), I459&gt;0), M459/I459, "")</f>
        <v/>
      </c>
    </row>
    <row r="460">
      <c r="A460" s="19" t="inlineStr">
        <is>
          <t>FY26</t>
        </is>
      </c>
      <c r="B460" s="19" t="inlineStr">
        <is>
          <t>Jan</t>
        </is>
      </c>
      <c r="C460" s="19" t="inlineStr">
        <is>
          <t>TN</t>
        </is>
      </c>
      <c r="D460" s="20" t="inlineStr">
        <is>
          <t>TN20CM3570</t>
        </is>
      </c>
      <c r="E460" s="20" t="inlineStr">
        <is>
          <t>MARUTI SUZUKI</t>
        </is>
      </c>
      <c r="F460" s="20" t="inlineStr">
        <is>
          <t>Wagon R</t>
        </is>
      </c>
      <c r="G460" s="21" t="n">
        <v>2017</v>
      </c>
      <c r="H460" s="22" t="n">
        <v>30771</v>
      </c>
      <c r="I460" s="23" t="n">
        <v>430000</v>
      </c>
      <c r="J460" s="20" t="inlineStr">
        <is>
          <t>Khivraj Motor</t>
        </is>
      </c>
      <c r="K460" s="20" t="inlineStr">
        <is>
          <t>Non-Captive</t>
        </is>
      </c>
      <c r="L460" s="20" t="inlineStr">
        <is>
          <t>Shakthi Cars</t>
        </is>
      </c>
      <c r="M460" s="23" t="n">
        <v>2966.1</v>
      </c>
      <c r="N460" s="23" t="n">
        <v>3500</v>
      </c>
      <c r="O460" s="24">
        <f>IF(AND(ISNUMBER(M460), ISNUMBER(I460), I460&gt;0), M460/I460, "")</f>
        <v/>
      </c>
    </row>
    <row r="461">
      <c r="A461" s="19" t="inlineStr">
        <is>
          <t>FY26</t>
        </is>
      </c>
      <c r="B461" s="19" t="inlineStr">
        <is>
          <t>Jan</t>
        </is>
      </c>
      <c r="C461" s="19" t="inlineStr">
        <is>
          <t>TN</t>
        </is>
      </c>
      <c r="D461" s="20" t="inlineStr">
        <is>
          <t>TN09DB4698</t>
        </is>
      </c>
      <c r="E461" s="20" t="inlineStr">
        <is>
          <t>MARUTI SUZUKI</t>
        </is>
      </c>
      <c r="F461" s="20" t="inlineStr">
        <is>
          <t>S-Presso</t>
        </is>
      </c>
      <c r="G461" s="21" t="n">
        <v>2022</v>
      </c>
      <c r="H461" s="22" t="n">
        <v>36102</v>
      </c>
      <c r="I461" s="23" t="n">
        <v>320000</v>
      </c>
      <c r="J461" s="20" t="inlineStr">
        <is>
          <t>Khivraj Motor</t>
        </is>
      </c>
      <c r="K461" s="20" t="inlineStr">
        <is>
          <t>Non-Captive</t>
        </is>
      </c>
      <c r="L461" s="20" t="inlineStr">
        <is>
          <t>Shakthi Cars</t>
        </is>
      </c>
      <c r="M461" s="23" t="n">
        <v>2966.1</v>
      </c>
      <c r="N461" s="23" t="n">
        <v>3500</v>
      </c>
      <c r="O461" s="24">
        <f>IF(AND(ISNUMBER(M461), ISNUMBER(I461), I461&gt;0), M461/I461, "")</f>
        <v/>
      </c>
    </row>
    <row r="462">
      <c r="A462" s="19" t="inlineStr">
        <is>
          <t>FY26</t>
        </is>
      </c>
      <c r="B462" s="19" t="inlineStr">
        <is>
          <t>Jan</t>
        </is>
      </c>
      <c r="C462" s="19" t="inlineStr">
        <is>
          <t>TN</t>
        </is>
      </c>
      <c r="D462" s="20" t="inlineStr">
        <is>
          <t>TN18T0149</t>
        </is>
      </c>
      <c r="E462" s="20" t="inlineStr">
        <is>
          <t>MARUTI SUZUKI</t>
        </is>
      </c>
      <c r="F462" s="20" t="inlineStr">
        <is>
          <t>Alto</t>
        </is>
      </c>
      <c r="G462" s="21" t="n">
        <v>2013</v>
      </c>
      <c r="H462" s="22" t="n">
        <v>96387</v>
      </c>
      <c r="I462" s="23" t="n">
        <v>180000</v>
      </c>
      <c r="J462" s="20" t="inlineStr">
        <is>
          <t>Khivraj Motor</t>
        </is>
      </c>
      <c r="K462" s="20" t="inlineStr">
        <is>
          <t>Non-Captive</t>
        </is>
      </c>
      <c r="L462" s="20" t="inlineStr">
        <is>
          <t>Shakthi Cars</t>
        </is>
      </c>
      <c r="M462" s="23" t="n">
        <v>2966.1</v>
      </c>
      <c r="N462" s="23" t="n">
        <v>3500</v>
      </c>
      <c r="O462" s="24">
        <f>IF(AND(ISNUMBER(M462), ISNUMBER(I462), I462&gt;0), M462/I462, "")</f>
        <v/>
      </c>
    </row>
    <row r="463">
      <c r="A463" s="19" t="inlineStr">
        <is>
          <t>FY26</t>
        </is>
      </c>
      <c r="B463" s="19" t="inlineStr">
        <is>
          <t>Jan</t>
        </is>
      </c>
      <c r="C463" s="19" t="inlineStr">
        <is>
          <t>TN</t>
        </is>
      </c>
      <c r="D463" s="20" t="inlineStr">
        <is>
          <t>TN13H6781</t>
        </is>
      </c>
      <c r="E463" s="20" t="inlineStr">
        <is>
          <t>MARUTI SUZUKI</t>
        </is>
      </c>
      <c r="F463" s="20" t="inlineStr">
        <is>
          <t>Swift</t>
        </is>
      </c>
      <c r="G463" s="21" t="n">
        <v>2017</v>
      </c>
      <c r="H463" s="22" t="n">
        <v>38817</v>
      </c>
      <c r="I463" s="23" t="n">
        <v>380000</v>
      </c>
      <c r="J463" s="20" t="inlineStr">
        <is>
          <t>Khivraj Motor</t>
        </is>
      </c>
      <c r="K463" s="20" t="inlineStr">
        <is>
          <t>Non-Captive</t>
        </is>
      </c>
      <c r="L463" s="20" t="inlineStr">
        <is>
          <t>Shakthi Cars</t>
        </is>
      </c>
      <c r="M463" s="23" t="n">
        <v>2966.1</v>
      </c>
      <c r="N463" s="23" t="n">
        <v>3500</v>
      </c>
      <c r="O463" s="24">
        <f>IF(AND(ISNUMBER(M463), ISNUMBER(I463), I463&gt;0), M463/I463, "")</f>
        <v/>
      </c>
    </row>
    <row r="464">
      <c r="A464" s="19" t="inlineStr">
        <is>
          <t>FY26</t>
        </is>
      </c>
      <c r="B464" s="19" t="inlineStr">
        <is>
          <t>Jan</t>
        </is>
      </c>
      <c r="C464" s="19" t="inlineStr">
        <is>
          <t>TN</t>
        </is>
      </c>
      <c r="D464" s="20" t="inlineStr">
        <is>
          <t>TN04AM8127</t>
        </is>
      </c>
      <c r="E464" s="20" t="inlineStr">
        <is>
          <t>MARUTI SUZUKI</t>
        </is>
      </c>
      <c r="F464" s="20" t="inlineStr">
        <is>
          <t>Swift</t>
        </is>
      </c>
      <c r="G464" s="21" t="n">
        <v>2014</v>
      </c>
      <c r="H464" s="22" t="n">
        <v>61149</v>
      </c>
      <c r="I464" s="23" t="n">
        <v>290000</v>
      </c>
      <c r="J464" s="20" t="inlineStr">
        <is>
          <t>Khivraj Motor</t>
        </is>
      </c>
      <c r="K464" s="20" t="inlineStr">
        <is>
          <t>Non-Captive</t>
        </is>
      </c>
      <c r="L464" s="20" t="inlineStr">
        <is>
          <t>Shakthi Cars</t>
        </is>
      </c>
      <c r="M464" s="23" t="n">
        <v>2966.1</v>
      </c>
      <c r="N464" s="23" t="n">
        <v>3500</v>
      </c>
      <c r="O464" s="24">
        <f>IF(AND(ISNUMBER(M464), ISNUMBER(I464), I464&gt;0), M464/I464, "")</f>
        <v/>
      </c>
    </row>
    <row r="465">
      <c r="A465" s="19" t="inlineStr">
        <is>
          <t>FY26</t>
        </is>
      </c>
      <c r="B465" s="19" t="inlineStr">
        <is>
          <t>Jan</t>
        </is>
      </c>
      <c r="C465" s="19" t="inlineStr">
        <is>
          <t>TN</t>
        </is>
      </c>
      <c r="D465" s="20" t="inlineStr">
        <is>
          <t>TN05BW6130</t>
        </is>
      </c>
      <c r="E465" s="20" t="inlineStr">
        <is>
          <t>MARUTI SUZUKI</t>
        </is>
      </c>
      <c r="F465" s="20" t="inlineStr">
        <is>
          <t>Brezza</t>
        </is>
      </c>
      <c r="G465" s="21" t="n">
        <v>2019</v>
      </c>
      <c r="H465" s="22" t="n">
        <v>95919</v>
      </c>
      <c r="I465" s="23" t="n">
        <v>560000</v>
      </c>
      <c r="J465" s="20" t="inlineStr">
        <is>
          <t>Khivraj Motor</t>
        </is>
      </c>
      <c r="K465" s="20" t="inlineStr">
        <is>
          <t>Non-Captive</t>
        </is>
      </c>
      <c r="L465" s="20" t="inlineStr">
        <is>
          <t>Shakthi Cars</t>
        </is>
      </c>
      <c r="M465" s="23" t="n">
        <v>2966.1</v>
      </c>
      <c r="N465" s="23" t="n">
        <v>3500</v>
      </c>
      <c r="O465" s="24">
        <f>IF(AND(ISNUMBER(M465), ISNUMBER(I465), I465&gt;0), M465/I465, "")</f>
        <v/>
      </c>
    </row>
    <row r="466">
      <c r="A466" s="19" t="inlineStr">
        <is>
          <t>FY26</t>
        </is>
      </c>
      <c r="B466" s="19" t="inlineStr">
        <is>
          <t>Jan</t>
        </is>
      </c>
      <c r="C466" s="19" t="inlineStr">
        <is>
          <t>TN</t>
        </is>
      </c>
      <c r="D466" s="20" t="inlineStr">
        <is>
          <t>TN20CL1137</t>
        </is>
      </c>
      <c r="E466" s="20" t="inlineStr">
        <is>
          <t>MARUTI SUZUKI</t>
        </is>
      </c>
      <c r="F466" s="20" t="inlineStr">
        <is>
          <t>Alto K10</t>
        </is>
      </c>
      <c r="G466" s="21" t="n">
        <v>2016</v>
      </c>
      <c r="H466" s="22" t="n">
        <v>86674</v>
      </c>
      <c r="I466" s="23" t="n">
        <v>210000</v>
      </c>
      <c r="J466" s="20" t="inlineStr">
        <is>
          <t>Khivraj Motor</t>
        </is>
      </c>
      <c r="K466" s="20" t="inlineStr">
        <is>
          <t>Non-Captive</t>
        </is>
      </c>
      <c r="L466" s="20" t="inlineStr">
        <is>
          <t>Shakthi Cars</t>
        </is>
      </c>
      <c r="M466" s="23" t="n">
        <v>2966.1</v>
      </c>
      <c r="N466" s="23" t="n">
        <v>3500</v>
      </c>
      <c r="O466" s="24">
        <f>IF(AND(ISNUMBER(M466), ISNUMBER(I466), I466&gt;0), M466/I466, "")</f>
        <v/>
      </c>
    </row>
    <row r="467">
      <c r="A467" s="19" t="inlineStr">
        <is>
          <t>FY26</t>
        </is>
      </c>
      <c r="B467" s="19" t="inlineStr">
        <is>
          <t>Jan</t>
        </is>
      </c>
      <c r="C467" s="19" t="inlineStr">
        <is>
          <t>TN</t>
        </is>
      </c>
      <c r="D467" s="20" t="inlineStr">
        <is>
          <t>TN02BS9150</t>
        </is>
      </c>
      <c r="E467" s="20" t="inlineStr">
        <is>
          <t>HONDA</t>
        </is>
      </c>
      <c r="F467" s="20" t="inlineStr">
        <is>
          <t>City</t>
        </is>
      </c>
      <c r="G467" s="21" t="n">
        <v>2020</v>
      </c>
      <c r="H467" s="22" t="n">
        <v>30723</v>
      </c>
      <c r="I467" s="23" t="n">
        <v>790000</v>
      </c>
      <c r="J467" s="20" t="inlineStr">
        <is>
          <t>Khivraj Motor</t>
        </is>
      </c>
      <c r="K467" s="20" t="inlineStr">
        <is>
          <t>Non-Captive</t>
        </is>
      </c>
      <c r="L467" s="20" t="inlineStr">
        <is>
          <t>Shakthi Cars</t>
        </is>
      </c>
      <c r="M467" s="23" t="n">
        <v>2966.1</v>
      </c>
      <c r="N467" s="23" t="n">
        <v>3500</v>
      </c>
      <c r="O467" s="24">
        <f>IF(AND(ISNUMBER(M467), ISNUMBER(I467), I467&gt;0), M467/I467, "")</f>
        <v/>
      </c>
    </row>
    <row r="468">
      <c r="A468" s="19" t="inlineStr">
        <is>
          <t>FY26</t>
        </is>
      </c>
      <c r="B468" s="19" t="inlineStr">
        <is>
          <t>Jan</t>
        </is>
      </c>
      <c r="C468" s="19" t="inlineStr">
        <is>
          <t>TN</t>
        </is>
      </c>
      <c r="D468" s="20" t="inlineStr">
        <is>
          <t>TN13W4565</t>
        </is>
      </c>
      <c r="E468" s="20" t="inlineStr">
        <is>
          <t>MARUTI SUZUKI</t>
        </is>
      </c>
      <c r="F468" s="20" t="inlineStr">
        <is>
          <t>Brezza</t>
        </is>
      </c>
      <c r="G468" s="21" t="n">
        <v>2021</v>
      </c>
      <c r="H468" s="22" t="n">
        <v>21818</v>
      </c>
      <c r="I468" s="23" t="n">
        <v>540000</v>
      </c>
      <c r="J468" s="20" t="inlineStr">
        <is>
          <t>Khivraj Motor</t>
        </is>
      </c>
      <c r="K468" s="20" t="inlineStr">
        <is>
          <t>Non-Captive</t>
        </is>
      </c>
      <c r="L468" s="20" t="inlineStr">
        <is>
          <t>Shakthi Cars</t>
        </is>
      </c>
      <c r="M468" s="23" t="n">
        <v>2966.1</v>
      </c>
      <c r="N468" s="23" t="n">
        <v>3500</v>
      </c>
      <c r="O468" s="24">
        <f>IF(AND(ISNUMBER(M468), ISNUMBER(I468), I468&gt;0), M468/I468, "")</f>
        <v/>
      </c>
    </row>
    <row r="469">
      <c r="A469" s="19" t="inlineStr">
        <is>
          <t>FY26</t>
        </is>
      </c>
      <c r="B469" s="19" t="inlineStr">
        <is>
          <t>Jan</t>
        </is>
      </c>
      <c r="C469" s="19" t="inlineStr">
        <is>
          <t>TN</t>
        </is>
      </c>
      <c r="D469" s="20" t="inlineStr">
        <is>
          <t>TN18BA2368</t>
        </is>
      </c>
      <c r="E469" s="20" t="inlineStr">
        <is>
          <t>MARUTI SUZUKI</t>
        </is>
      </c>
      <c r="F469" s="20" t="inlineStr">
        <is>
          <t>Swift Dzire</t>
        </is>
      </c>
      <c r="G469" s="21" t="n">
        <v>2019</v>
      </c>
      <c r="H469" s="22" t="n">
        <v>102458</v>
      </c>
      <c r="I469" s="23" t="n">
        <v>480000</v>
      </c>
      <c r="J469" s="20" t="inlineStr">
        <is>
          <t>Khivraj Motor</t>
        </is>
      </c>
      <c r="K469" s="20" t="inlineStr">
        <is>
          <t>Non-Captive</t>
        </is>
      </c>
      <c r="L469" s="20" t="inlineStr">
        <is>
          <t>Shakthi Cars</t>
        </is>
      </c>
      <c r="M469" s="23" t="n">
        <v>2966.1</v>
      </c>
      <c r="N469" s="23" t="n">
        <v>3500</v>
      </c>
      <c r="O469" s="24">
        <f>IF(AND(ISNUMBER(M469), ISNUMBER(I469), I469&gt;0), M469/I469, "")</f>
        <v/>
      </c>
    </row>
    <row r="470">
      <c r="A470" s="19" t="inlineStr">
        <is>
          <t>FY26</t>
        </is>
      </c>
      <c r="B470" s="19" t="inlineStr">
        <is>
          <t>Jan</t>
        </is>
      </c>
      <c r="C470" s="19" t="inlineStr">
        <is>
          <t>TN</t>
        </is>
      </c>
      <c r="D470" s="20" t="inlineStr">
        <is>
          <t>TN18AR0630</t>
        </is>
      </c>
      <c r="E470" s="20" t="inlineStr">
        <is>
          <t>HONDA</t>
        </is>
      </c>
      <c r="F470" s="20" t="inlineStr">
        <is>
          <t>Amaze</t>
        </is>
      </c>
      <c r="G470" s="21" t="n">
        <v>2018</v>
      </c>
      <c r="H470" s="22" t="n">
        <v>112929</v>
      </c>
      <c r="I470" s="23" t="n">
        <v>380000</v>
      </c>
      <c r="J470" s="20" t="inlineStr">
        <is>
          <t>Khivraj Motor</t>
        </is>
      </c>
      <c r="K470" s="20" t="inlineStr">
        <is>
          <t>Non-Captive</t>
        </is>
      </c>
      <c r="L470" s="20" t="inlineStr">
        <is>
          <t>Shakthi Cars</t>
        </is>
      </c>
      <c r="M470" s="23" t="n">
        <v>2966.1</v>
      </c>
      <c r="N470" s="23" t="n">
        <v>3500</v>
      </c>
      <c r="O470" s="24">
        <f>IF(AND(ISNUMBER(M470), ISNUMBER(I470), I470&gt;0), M470/I470, "")</f>
        <v/>
      </c>
    </row>
    <row r="471">
      <c r="A471" s="19" t="inlineStr">
        <is>
          <t>FY26</t>
        </is>
      </c>
      <c r="B471" s="19" t="inlineStr">
        <is>
          <t>Jan</t>
        </is>
      </c>
      <c r="C471" s="19" t="inlineStr">
        <is>
          <t>TN</t>
        </is>
      </c>
      <c r="D471" s="20" t="inlineStr">
        <is>
          <t>TN07CP3664</t>
        </is>
      </c>
      <c r="E471" s="20" t="inlineStr">
        <is>
          <t>MARUTI SUZUKI</t>
        </is>
      </c>
      <c r="F471" s="20" t="inlineStr">
        <is>
          <t>Swift Dzire</t>
        </is>
      </c>
      <c r="G471" s="21" t="n">
        <v>2018</v>
      </c>
      <c r="H471" s="22" t="n">
        <v>37600</v>
      </c>
      <c r="I471" s="23" t="n">
        <v>470000</v>
      </c>
      <c r="J471" s="20" t="inlineStr">
        <is>
          <t>Khivraj Motor</t>
        </is>
      </c>
      <c r="K471" s="20" t="inlineStr">
        <is>
          <t>Non-Captive</t>
        </is>
      </c>
      <c r="L471" s="20" t="inlineStr">
        <is>
          <t>Shakthi Cars</t>
        </is>
      </c>
      <c r="M471" s="23" t="n">
        <v>2966.1</v>
      </c>
      <c r="N471" s="23" t="n">
        <v>3500</v>
      </c>
      <c r="O471" s="24">
        <f>IF(AND(ISNUMBER(M471), ISNUMBER(I471), I471&gt;0), M471/I471, "")</f>
        <v/>
      </c>
    </row>
    <row r="472">
      <c r="A472" s="19" t="inlineStr">
        <is>
          <t>FY26</t>
        </is>
      </c>
      <c r="B472" s="19" t="inlineStr">
        <is>
          <t>Jan</t>
        </is>
      </c>
      <c r="C472" s="19" t="inlineStr">
        <is>
          <t>TN</t>
        </is>
      </c>
      <c r="D472" s="20" t="inlineStr">
        <is>
          <t>TN07DF2769</t>
        </is>
      </c>
      <c r="E472" s="20" t="inlineStr">
        <is>
          <t>MARUTI SUZUKI</t>
        </is>
      </c>
      <c r="F472" s="20" t="inlineStr">
        <is>
          <t>Swift Dzire</t>
        </is>
      </c>
      <c r="G472" s="21" t="n">
        <v>2024</v>
      </c>
      <c r="H472" s="22" t="n">
        <v>12764</v>
      </c>
      <c r="I472" s="23" t="n">
        <v>640000</v>
      </c>
      <c r="J472" s="20" t="inlineStr">
        <is>
          <t>Khivraj Motor</t>
        </is>
      </c>
      <c r="K472" s="20" t="inlineStr">
        <is>
          <t>Non-Captive</t>
        </is>
      </c>
      <c r="L472" s="20" t="inlineStr">
        <is>
          <t>Shakthi Cars</t>
        </is>
      </c>
      <c r="M472" s="23" t="n">
        <v>2966.1</v>
      </c>
      <c r="N472" s="23" t="n">
        <v>3500</v>
      </c>
      <c r="O472" s="24">
        <f>IF(AND(ISNUMBER(M472), ISNUMBER(I472), I472&gt;0), M472/I472, "")</f>
        <v/>
      </c>
    </row>
    <row r="473">
      <c r="A473" s="19" t="inlineStr">
        <is>
          <t>FY26</t>
        </is>
      </c>
      <c r="B473" s="19" t="inlineStr">
        <is>
          <t>Jan</t>
        </is>
      </c>
      <c r="C473" s="19" t="inlineStr">
        <is>
          <t>TN</t>
        </is>
      </c>
      <c r="D473" s="20" t="inlineStr">
        <is>
          <t>TN22DM8796</t>
        </is>
      </c>
      <c r="E473" s="20" t="inlineStr">
        <is>
          <t>MARUTI SUZUKI</t>
        </is>
      </c>
      <c r="F473" s="20" t="inlineStr">
        <is>
          <t>Alto</t>
        </is>
      </c>
      <c r="G473" s="21" t="n">
        <v>2018</v>
      </c>
      <c r="H473" s="22" t="n">
        <v>48763</v>
      </c>
      <c r="I473" s="23" t="n">
        <v>340000</v>
      </c>
      <c r="J473" s="20" t="inlineStr">
        <is>
          <t>Khivraj Motor</t>
        </is>
      </c>
      <c r="K473" s="20" t="inlineStr">
        <is>
          <t>Non-Captive</t>
        </is>
      </c>
      <c r="L473" s="20" t="inlineStr">
        <is>
          <t>Shakthi Cars</t>
        </is>
      </c>
      <c r="M473" s="23" t="n">
        <v>2966.1</v>
      </c>
      <c r="N473" s="23" t="n">
        <v>3500</v>
      </c>
      <c r="O473" s="24">
        <f>IF(AND(ISNUMBER(M473), ISNUMBER(I473), I473&gt;0), M473/I473, "")</f>
        <v/>
      </c>
    </row>
    <row r="474">
      <c r="A474" s="19" t="inlineStr">
        <is>
          <t>FY26</t>
        </is>
      </c>
      <c r="B474" s="19" t="inlineStr">
        <is>
          <t>Jan</t>
        </is>
      </c>
      <c r="C474" s="19" t="inlineStr">
        <is>
          <t>TN</t>
        </is>
      </c>
      <c r="D474" s="20" t="inlineStr">
        <is>
          <t>TN02C9599</t>
        </is>
      </c>
      <c r="E474" s="20" t="inlineStr">
        <is>
          <t>MARUTI SUZUKI</t>
        </is>
      </c>
      <c r="F474" s="20" t="inlineStr">
        <is>
          <t>M800</t>
        </is>
      </c>
      <c r="G474" s="21" t="n">
        <v>1997</v>
      </c>
      <c r="H474" s="22" t="n">
        <v>99999</v>
      </c>
      <c r="I474" s="23" t="n">
        <v>25000</v>
      </c>
      <c r="J474" s="20" t="inlineStr">
        <is>
          <t>Khivraj Motor</t>
        </is>
      </c>
      <c r="K474" s="20" t="inlineStr">
        <is>
          <t>Non-Captive</t>
        </is>
      </c>
      <c r="L474" s="20" t="inlineStr">
        <is>
          <t>Shakthi Cars</t>
        </is>
      </c>
      <c r="M474" s="23" t="n">
        <v>2966.1</v>
      </c>
      <c r="N474" s="23" t="n">
        <v>3500</v>
      </c>
      <c r="O474" s="24">
        <f>IF(AND(ISNUMBER(M474), ISNUMBER(I474), I474&gt;0), M474/I474, "")</f>
        <v/>
      </c>
    </row>
    <row r="475">
      <c r="A475" s="19" t="inlineStr">
        <is>
          <t>FY26</t>
        </is>
      </c>
      <c r="B475" s="19" t="inlineStr">
        <is>
          <t>Jan</t>
        </is>
      </c>
      <c r="C475" s="19" t="inlineStr">
        <is>
          <t>TN</t>
        </is>
      </c>
      <c r="D475" s="20" t="inlineStr">
        <is>
          <t>TN20AF2719</t>
        </is>
      </c>
      <c r="E475" s="20" t="inlineStr">
        <is>
          <t>MARUTI SUZUKI</t>
        </is>
      </c>
      <c r="F475" s="20" t="inlineStr">
        <is>
          <t>M800</t>
        </is>
      </c>
      <c r="G475" s="21" t="n">
        <v>2007</v>
      </c>
      <c r="H475" s="22" t="n">
        <v>87818</v>
      </c>
      <c r="I475" s="23" t="n">
        <v>60000</v>
      </c>
      <c r="J475" s="20" t="inlineStr">
        <is>
          <t>Khivraj Motor</t>
        </is>
      </c>
      <c r="K475" s="20" t="inlineStr">
        <is>
          <t>Non-Captive</t>
        </is>
      </c>
      <c r="L475" s="20" t="inlineStr">
        <is>
          <t>Shahana Cars</t>
        </is>
      </c>
      <c r="M475" s="23" t="n">
        <v>2966.1</v>
      </c>
      <c r="N475" s="23" t="n">
        <v>3500</v>
      </c>
      <c r="O475" s="24">
        <f>IF(AND(ISNUMBER(M475), ISNUMBER(I475), I475&gt;0), M475/I475, "")</f>
        <v/>
      </c>
    </row>
    <row r="476">
      <c r="A476" s="19" t="inlineStr">
        <is>
          <t>FY26</t>
        </is>
      </c>
      <c r="B476" s="19" t="inlineStr">
        <is>
          <t>Jan</t>
        </is>
      </c>
      <c r="C476" s="19" t="inlineStr">
        <is>
          <t>TN</t>
        </is>
      </c>
      <c r="D476" s="20" t="inlineStr">
        <is>
          <t>TN04AM3889</t>
        </is>
      </c>
      <c r="E476" s="20" t="inlineStr">
        <is>
          <t>HONDA</t>
        </is>
      </c>
      <c r="F476" s="20" t="inlineStr">
        <is>
          <t>City</t>
        </is>
      </c>
      <c r="G476" s="21" t="n">
        <v>2014</v>
      </c>
      <c r="H476" s="22" t="n">
        <v>43234</v>
      </c>
      <c r="I476" s="23" t="n">
        <v>320000</v>
      </c>
      <c r="J476" s="20" t="inlineStr">
        <is>
          <t>Khivraj Motor</t>
        </is>
      </c>
      <c r="K476" s="20" t="inlineStr">
        <is>
          <t>Non-Captive</t>
        </is>
      </c>
      <c r="L476" s="20" t="inlineStr">
        <is>
          <t>Shahana Cars</t>
        </is>
      </c>
      <c r="M476" s="23" t="n">
        <v>2966.1</v>
      </c>
      <c r="N476" s="23" t="n">
        <v>3500</v>
      </c>
      <c r="O476" s="24">
        <f>IF(AND(ISNUMBER(M476), ISNUMBER(I476), I476&gt;0), M476/I476, "")</f>
        <v/>
      </c>
    </row>
    <row r="477">
      <c r="A477" s="19" t="inlineStr">
        <is>
          <t>FY26</t>
        </is>
      </c>
      <c r="B477" s="19" t="inlineStr">
        <is>
          <t>Jan</t>
        </is>
      </c>
      <c r="C477" s="19" t="inlineStr">
        <is>
          <t>TN</t>
        </is>
      </c>
      <c r="D477" s="20" t="inlineStr">
        <is>
          <t>TN07CF7041</t>
        </is>
      </c>
      <c r="E477" s="20" t="inlineStr">
        <is>
          <t>MARUTI SUZUKI</t>
        </is>
      </c>
      <c r="F477" s="20" t="inlineStr">
        <is>
          <t>Celerio</t>
        </is>
      </c>
      <c r="G477" s="21" t="n">
        <v>2016</v>
      </c>
      <c r="H477" s="22" t="n">
        <v>43945</v>
      </c>
      <c r="I477" s="23" t="n">
        <v>365000</v>
      </c>
      <c r="J477" s="20" t="inlineStr">
        <is>
          <t>Khivraj Motor</t>
        </is>
      </c>
      <c r="K477" s="20" t="inlineStr">
        <is>
          <t>Non-Captive</t>
        </is>
      </c>
      <c r="L477" s="20" t="inlineStr">
        <is>
          <t>Shahana Cars</t>
        </is>
      </c>
      <c r="M477" s="23" t="n">
        <v>2966.1</v>
      </c>
      <c r="N477" s="23" t="n">
        <v>3500</v>
      </c>
      <c r="O477" s="24">
        <f>IF(AND(ISNUMBER(M477), ISNUMBER(I477), I477&gt;0), M477/I477, "")</f>
        <v/>
      </c>
    </row>
    <row r="478">
      <c r="A478" s="19" t="inlineStr">
        <is>
          <t>FY26</t>
        </is>
      </c>
      <c r="B478" s="19" t="inlineStr">
        <is>
          <t>Jan</t>
        </is>
      </c>
      <c r="C478" s="19" t="inlineStr">
        <is>
          <t>TN</t>
        </is>
      </c>
      <c r="D478" s="20" t="inlineStr">
        <is>
          <t>TN07BL2107</t>
        </is>
      </c>
      <c r="E478" s="20" t="inlineStr">
        <is>
          <t>MARUTI SUZUKI</t>
        </is>
      </c>
      <c r="F478" s="20" t="inlineStr">
        <is>
          <t>Alto</t>
        </is>
      </c>
      <c r="G478" s="21" t="n">
        <v>2011</v>
      </c>
      <c r="H478" s="22" t="n">
        <v>50917</v>
      </c>
      <c r="I478" s="23" t="n">
        <v>110000</v>
      </c>
      <c r="J478" s="20" t="inlineStr">
        <is>
          <t>Khivraj Motor</t>
        </is>
      </c>
      <c r="K478" s="20" t="inlineStr">
        <is>
          <t>Non-Captive</t>
        </is>
      </c>
      <c r="L478" s="20" t="inlineStr">
        <is>
          <t>Shahana Cars</t>
        </is>
      </c>
      <c r="M478" s="23" t="n">
        <v>2966.1</v>
      </c>
      <c r="N478" s="23" t="n">
        <v>3500</v>
      </c>
      <c r="O478" s="24">
        <f>IF(AND(ISNUMBER(M478), ISNUMBER(I478), I478&gt;0), M478/I478, "")</f>
        <v/>
      </c>
    </row>
    <row r="479">
      <c r="A479" s="19" t="inlineStr">
        <is>
          <t>FY26</t>
        </is>
      </c>
      <c r="B479" s="19" t="inlineStr">
        <is>
          <t>Jan</t>
        </is>
      </c>
      <c r="C479" s="19" t="inlineStr">
        <is>
          <t>TN</t>
        </is>
      </c>
      <c r="D479" s="20" t="inlineStr">
        <is>
          <t>TN09BW5612</t>
        </is>
      </c>
      <c r="E479" s="20" t="inlineStr">
        <is>
          <t>MARUTI SUZUKI</t>
        </is>
      </c>
      <c r="F479" s="20" t="inlineStr">
        <is>
          <t>Swift</t>
        </is>
      </c>
      <c r="G479" s="21" t="n">
        <v>2014</v>
      </c>
      <c r="H479" s="22" t="n">
        <v>81065</v>
      </c>
      <c r="I479" s="23" t="n">
        <v>300000</v>
      </c>
      <c r="J479" s="20" t="inlineStr">
        <is>
          <t>Khivraj Motor</t>
        </is>
      </c>
      <c r="K479" s="20" t="inlineStr">
        <is>
          <t>Non-Captive</t>
        </is>
      </c>
      <c r="L479" s="20" t="inlineStr">
        <is>
          <t>Shahana Cars</t>
        </is>
      </c>
      <c r="M479" s="23" t="n">
        <v>2966.1</v>
      </c>
      <c r="N479" s="23" t="n">
        <v>3500</v>
      </c>
      <c r="O479" s="24">
        <f>IF(AND(ISNUMBER(M479), ISNUMBER(I479), I479&gt;0), M479/I479, "")</f>
        <v/>
      </c>
    </row>
    <row r="480">
      <c r="A480" s="19" t="inlineStr">
        <is>
          <t>FY26</t>
        </is>
      </c>
      <c r="B480" s="19" t="inlineStr">
        <is>
          <t>Jan</t>
        </is>
      </c>
      <c r="C480" s="19" t="inlineStr">
        <is>
          <t>TN</t>
        </is>
      </c>
      <c r="D480" s="20" t="inlineStr">
        <is>
          <t>TN01BL2634</t>
        </is>
      </c>
      <c r="E480" s="20" t="inlineStr">
        <is>
          <t>MARUTI SUZUKI</t>
        </is>
      </c>
      <c r="F480" s="20" t="inlineStr">
        <is>
          <t>Ignis</t>
        </is>
      </c>
      <c r="G480" s="21" t="n">
        <v>2021</v>
      </c>
      <c r="H480" s="22" t="n">
        <v>48245</v>
      </c>
      <c r="I480" s="23" t="n">
        <v>410000</v>
      </c>
      <c r="J480" s="20" t="inlineStr">
        <is>
          <t>Khivraj Motor</t>
        </is>
      </c>
      <c r="K480" s="20" t="inlineStr">
        <is>
          <t>Non-Captive</t>
        </is>
      </c>
      <c r="L480" s="20" t="inlineStr">
        <is>
          <t>Shahana Cars</t>
        </is>
      </c>
      <c r="M480" s="23" t="n">
        <v>2966.1</v>
      </c>
      <c r="N480" s="23" t="n">
        <v>3500</v>
      </c>
      <c r="O480" s="24">
        <f>IF(AND(ISNUMBER(M480), ISNUMBER(I480), I480&gt;0), M480/I480, "")</f>
        <v/>
      </c>
    </row>
    <row r="481">
      <c r="A481" s="19" t="inlineStr">
        <is>
          <t>FY26</t>
        </is>
      </c>
      <c r="B481" s="19" t="inlineStr">
        <is>
          <t>Jan</t>
        </is>
      </c>
      <c r="C481" s="19" t="inlineStr">
        <is>
          <t>TN</t>
        </is>
      </c>
      <c r="D481" s="20" t="inlineStr">
        <is>
          <t>TN66F5336</t>
        </is>
      </c>
      <c r="E481" s="20" t="inlineStr">
        <is>
          <t>MARUTI SUZUKI</t>
        </is>
      </c>
      <c r="F481" s="20" t="inlineStr">
        <is>
          <t>Sx4</t>
        </is>
      </c>
      <c r="G481" s="21" t="n">
        <v>2013</v>
      </c>
      <c r="H481" s="22" t="n">
        <v>87980</v>
      </c>
      <c r="I481" s="23" t="n">
        <v>130000</v>
      </c>
      <c r="J481" s="20" t="inlineStr">
        <is>
          <t>Nirmal</t>
        </is>
      </c>
      <c r="K481" s="20" t="inlineStr">
        <is>
          <t>Non-Captive</t>
        </is>
      </c>
      <c r="L481" s="20" t="inlineStr">
        <is>
          <t>Liyakath Ali</t>
        </is>
      </c>
      <c r="M481" s="23" t="n">
        <v>4237.29</v>
      </c>
      <c r="N481" s="23" t="n">
        <v>5000</v>
      </c>
      <c r="O481" s="24">
        <f>IF(AND(ISNUMBER(M481), ISNUMBER(I481), I481&gt;0), M481/I481, "")</f>
        <v/>
      </c>
    </row>
    <row r="482">
      <c r="A482" s="19" t="inlineStr">
        <is>
          <t>FY26</t>
        </is>
      </c>
      <c r="B482" s="19" t="inlineStr">
        <is>
          <t>Jan</t>
        </is>
      </c>
      <c r="C482" s="19" t="inlineStr">
        <is>
          <t>TN</t>
        </is>
      </c>
      <c r="D482" s="20" t="inlineStr">
        <is>
          <t>TN07BX0391</t>
        </is>
      </c>
      <c r="E482" s="20" t="inlineStr">
        <is>
          <t>MARUTI SUZUKI</t>
        </is>
      </c>
      <c r="F482" s="20" t="inlineStr">
        <is>
          <t>Alto</t>
        </is>
      </c>
      <c r="G482" s="21" t="n">
        <v>2014</v>
      </c>
      <c r="H482" s="22" t="n">
        <v>66306</v>
      </c>
      <c r="I482" s="23" t="n">
        <v>160000</v>
      </c>
      <c r="J482" s="20" t="inlineStr">
        <is>
          <t>Khivraj Motor</t>
        </is>
      </c>
      <c r="K482" s="20" t="inlineStr">
        <is>
          <t>Non-Captive</t>
        </is>
      </c>
      <c r="L482" s="20" t="inlineStr">
        <is>
          <t>Bhagavan Cars</t>
        </is>
      </c>
      <c r="M482" s="23" t="n">
        <v>3389.83</v>
      </c>
      <c r="N482" s="23" t="n">
        <v>4000</v>
      </c>
      <c r="O482" s="24">
        <f>IF(AND(ISNUMBER(M482), ISNUMBER(I482), I482&gt;0), M482/I482, "")</f>
        <v/>
      </c>
    </row>
    <row r="483">
      <c r="A483" s="19" t="inlineStr">
        <is>
          <t>FY26</t>
        </is>
      </c>
      <c r="B483" s="19" t="inlineStr">
        <is>
          <t>Jan</t>
        </is>
      </c>
      <c r="C483" s="19" t="inlineStr">
        <is>
          <t>TN</t>
        </is>
      </c>
      <c r="D483" s="20" t="inlineStr">
        <is>
          <t>TN06P2664</t>
        </is>
      </c>
      <c r="E483" s="20" t="inlineStr">
        <is>
          <t>MARUTI SUZUKI</t>
        </is>
      </c>
      <c r="F483" s="20" t="inlineStr">
        <is>
          <t>Swift Dzire</t>
        </is>
      </c>
      <c r="G483" s="21" t="n">
        <v>2015</v>
      </c>
      <c r="H483" s="22" t="n">
        <v>184216</v>
      </c>
      <c r="I483" s="23" t="n">
        <v>340000</v>
      </c>
      <c r="J483" s="20" t="inlineStr">
        <is>
          <t>Khivraj Motor</t>
        </is>
      </c>
      <c r="K483" s="20" t="inlineStr">
        <is>
          <t>Non-Captive</t>
        </is>
      </c>
      <c r="L483" s="20" t="inlineStr">
        <is>
          <t>Bhagavan Cars</t>
        </is>
      </c>
      <c r="M483" s="23" t="n">
        <v>3389.83</v>
      </c>
      <c r="N483" s="23" t="n">
        <v>4000</v>
      </c>
      <c r="O483" s="24">
        <f>IF(AND(ISNUMBER(M483), ISNUMBER(I483), I483&gt;0), M483/I483, "")</f>
        <v/>
      </c>
    </row>
    <row r="484">
      <c r="A484" s="19" t="inlineStr">
        <is>
          <t>FY26</t>
        </is>
      </c>
      <c r="B484" s="19" t="inlineStr">
        <is>
          <t>Jan</t>
        </is>
      </c>
      <c r="C484" s="19" t="inlineStr">
        <is>
          <t>TN</t>
        </is>
      </c>
      <c r="D484" s="20" t="inlineStr">
        <is>
          <t>TN04AJ4880</t>
        </is>
      </c>
      <c r="E484" s="20" t="inlineStr">
        <is>
          <t>NISSAN</t>
        </is>
      </c>
      <c r="F484" s="20" t="inlineStr">
        <is>
          <t>Micra</t>
        </is>
      </c>
      <c r="G484" s="21" t="n">
        <v>2012</v>
      </c>
      <c r="H484" s="22" t="n">
        <v>58746</v>
      </c>
      <c r="I484" s="23" t="n">
        <v>170000</v>
      </c>
      <c r="J484" s="20" t="inlineStr">
        <is>
          <t>Khivraj Motor</t>
        </is>
      </c>
      <c r="K484" s="20" t="inlineStr">
        <is>
          <t>Non-Captive</t>
        </is>
      </c>
      <c r="L484" s="20" t="inlineStr">
        <is>
          <t>Bhagavan Cars</t>
        </is>
      </c>
      <c r="M484" s="23" t="n">
        <v>3389.83</v>
      </c>
      <c r="N484" s="23" t="n">
        <v>4000</v>
      </c>
      <c r="O484" s="24">
        <f>IF(AND(ISNUMBER(M484), ISNUMBER(I484), I484&gt;0), M484/I484, "")</f>
        <v/>
      </c>
    </row>
    <row r="485">
      <c r="A485" s="19" t="inlineStr">
        <is>
          <t>FY26</t>
        </is>
      </c>
      <c r="B485" s="19" t="inlineStr">
        <is>
          <t>Jan</t>
        </is>
      </c>
      <c r="C485" s="19" t="inlineStr">
        <is>
          <t>TN</t>
        </is>
      </c>
      <c r="D485" s="20" t="inlineStr">
        <is>
          <t>TN01BF1290</t>
        </is>
      </c>
      <c r="E485" s="20" t="inlineStr">
        <is>
          <t>HONDA</t>
        </is>
      </c>
      <c r="F485" s="20" t="inlineStr">
        <is>
          <t>Amaze</t>
        </is>
      </c>
      <c r="G485" s="21" t="n">
        <v>2018</v>
      </c>
      <c r="H485" s="22" t="n">
        <v>41523</v>
      </c>
      <c r="I485" s="23" t="n">
        <v>400000</v>
      </c>
      <c r="J485" s="20" t="inlineStr">
        <is>
          <t>Khivraj Motor</t>
        </is>
      </c>
      <c r="K485" s="20" t="inlineStr">
        <is>
          <t>Non-Captive</t>
        </is>
      </c>
      <c r="L485" s="20" t="inlineStr">
        <is>
          <t>Bhagavan Cars</t>
        </is>
      </c>
      <c r="M485" s="23" t="n">
        <v>3389.83</v>
      </c>
      <c r="N485" s="23" t="n">
        <v>4000</v>
      </c>
      <c r="O485" s="24">
        <f>IF(AND(ISNUMBER(M485), ISNUMBER(I485), I485&gt;0), M485/I485, "")</f>
        <v/>
      </c>
    </row>
    <row r="486">
      <c r="A486" s="19" t="inlineStr">
        <is>
          <t>FY26</t>
        </is>
      </c>
      <c r="B486" s="19" t="inlineStr">
        <is>
          <t>Jan</t>
        </is>
      </c>
      <c r="C486" s="19" t="inlineStr">
        <is>
          <t>TN</t>
        </is>
      </c>
      <c r="D486" s="20" t="inlineStr">
        <is>
          <t>TN06Q2976</t>
        </is>
      </c>
      <c r="E486" s="20" t="inlineStr">
        <is>
          <t>MARUTI SUZUKI</t>
        </is>
      </c>
      <c r="F486" s="20" t="inlineStr">
        <is>
          <t>Wagon R</t>
        </is>
      </c>
      <c r="G486" s="21" t="n">
        <v>2015</v>
      </c>
      <c r="H486" s="22" t="n">
        <v>34921</v>
      </c>
      <c r="I486" s="23" t="n">
        <v>350000</v>
      </c>
      <c r="J486" s="20" t="inlineStr">
        <is>
          <t>Khivraj Motor</t>
        </is>
      </c>
      <c r="K486" s="20" t="inlineStr">
        <is>
          <t>Non-Captive</t>
        </is>
      </c>
      <c r="L486" s="20" t="inlineStr">
        <is>
          <t>Bhagavan Cars</t>
        </is>
      </c>
      <c r="M486" s="23" t="n">
        <v>2966.1</v>
      </c>
      <c r="N486" s="23" t="n">
        <v>3500</v>
      </c>
      <c r="O486" s="24">
        <f>IF(AND(ISNUMBER(M486), ISNUMBER(I486), I486&gt;0), M486/I486, "")</f>
        <v/>
      </c>
    </row>
    <row r="487">
      <c r="A487" s="19" t="inlineStr">
        <is>
          <t>FY26</t>
        </is>
      </c>
      <c r="B487" s="19" t="inlineStr">
        <is>
          <t>Jan</t>
        </is>
      </c>
      <c r="C487" s="19" t="inlineStr">
        <is>
          <t>TN</t>
        </is>
      </c>
      <c r="D487" s="20" t="inlineStr">
        <is>
          <t>TN83M7290</t>
        </is>
      </c>
      <c r="E487" s="20" t="inlineStr">
        <is>
          <t>MARUTI SUZUKI</t>
        </is>
      </c>
      <c r="F487" s="20" t="inlineStr">
        <is>
          <t>Celerio</t>
        </is>
      </c>
      <c r="G487" s="21" t="n">
        <v>2020</v>
      </c>
      <c r="H487" s="22" t="n">
        <v>75619</v>
      </c>
      <c r="I487" s="23" t="n">
        <v>340000</v>
      </c>
      <c r="J487" s="20" t="inlineStr">
        <is>
          <t>Khivraj Motor</t>
        </is>
      </c>
      <c r="K487" s="20" t="inlineStr">
        <is>
          <t>Non-Captive</t>
        </is>
      </c>
      <c r="L487" s="20" t="inlineStr">
        <is>
          <t>Bhagavan Cars</t>
        </is>
      </c>
      <c r="M487" s="23" t="n">
        <v>2966.1</v>
      </c>
      <c r="N487" s="23" t="n">
        <v>3500</v>
      </c>
      <c r="O487" s="24">
        <f>IF(AND(ISNUMBER(M487), ISNUMBER(I487), I487&gt;0), M487/I487, "")</f>
        <v/>
      </c>
    </row>
    <row r="488">
      <c r="A488" s="19" t="inlineStr">
        <is>
          <t>FY26</t>
        </is>
      </c>
      <c r="B488" s="19" t="inlineStr">
        <is>
          <t>Jan</t>
        </is>
      </c>
      <c r="C488" s="19" t="inlineStr">
        <is>
          <t>TN</t>
        </is>
      </c>
      <c r="D488" s="20" t="inlineStr">
        <is>
          <t>TN04AY0732</t>
        </is>
      </c>
      <c r="E488" s="20" t="inlineStr">
        <is>
          <t>VOLKSWAGEN</t>
        </is>
      </c>
      <c r="F488" s="20" t="inlineStr">
        <is>
          <t>Polo</t>
        </is>
      </c>
      <c r="G488" s="21" t="n">
        <v>2021</v>
      </c>
      <c r="H488" s="22" t="n">
        <v>48627</v>
      </c>
      <c r="I488" s="23" t="n">
        <v>450000</v>
      </c>
      <c r="J488" s="20" t="inlineStr">
        <is>
          <t>Khivraj Motor</t>
        </is>
      </c>
      <c r="K488" s="20" t="inlineStr">
        <is>
          <t>Non-Captive</t>
        </is>
      </c>
      <c r="L488" s="20" t="inlineStr">
        <is>
          <t>Bhagavan Cars</t>
        </is>
      </c>
      <c r="M488" s="23" t="n">
        <v>2966.1</v>
      </c>
      <c r="N488" s="23" t="n">
        <v>3500</v>
      </c>
      <c r="O488" s="24">
        <f>IF(AND(ISNUMBER(M488), ISNUMBER(I488), I488&gt;0), M488/I488, "")</f>
        <v/>
      </c>
    </row>
    <row r="489">
      <c r="A489" s="19" t="inlineStr">
        <is>
          <t>FY26</t>
        </is>
      </c>
      <c r="B489" s="19" t="inlineStr">
        <is>
          <t>Jan</t>
        </is>
      </c>
      <c r="C489" s="19" t="inlineStr">
        <is>
          <t>TN</t>
        </is>
      </c>
      <c r="D489" s="20" t="inlineStr">
        <is>
          <t>TN147030</t>
        </is>
      </c>
      <c r="E489" s="20" t="inlineStr">
        <is>
          <t>HONDA</t>
        </is>
      </c>
      <c r="F489" s="20" t="inlineStr">
        <is>
          <t>Brio</t>
        </is>
      </c>
      <c r="G489" s="21" t="n">
        <v>2013</v>
      </c>
      <c r="H489" s="22" t="n">
        <v>72549</v>
      </c>
      <c r="I489" s="23" t="n">
        <v>150000</v>
      </c>
      <c r="J489" s="20" t="inlineStr">
        <is>
          <t>Khivraj Motor</t>
        </is>
      </c>
      <c r="K489" s="20" t="inlineStr">
        <is>
          <t>Non-Captive</t>
        </is>
      </c>
      <c r="L489" s="20" t="inlineStr">
        <is>
          <t>Bhagavan Cars</t>
        </is>
      </c>
      <c r="M489" s="23" t="n">
        <v>2966.1</v>
      </c>
      <c r="N489" s="23" t="n">
        <v>3500</v>
      </c>
      <c r="O489" s="24">
        <f>IF(AND(ISNUMBER(M489), ISNUMBER(I489), I489&gt;0), M489/I489, "")</f>
        <v/>
      </c>
    </row>
    <row r="490">
      <c r="A490" s="19" t="inlineStr">
        <is>
          <t>FY26</t>
        </is>
      </c>
      <c r="B490" s="19" t="inlineStr">
        <is>
          <t>Jan</t>
        </is>
      </c>
      <c r="C490" s="19" t="inlineStr">
        <is>
          <t>TN</t>
        </is>
      </c>
      <c r="D490" s="20" t="inlineStr">
        <is>
          <t>TN01AW1103</t>
        </is>
      </c>
      <c r="E490" s="20" t="inlineStr">
        <is>
          <t>TOYOTA</t>
        </is>
      </c>
      <c r="F490" s="20" t="inlineStr">
        <is>
          <t>Innova</t>
        </is>
      </c>
      <c r="G490" s="21" t="n">
        <v>2014</v>
      </c>
      <c r="H490" s="22" t="n">
        <v>172718</v>
      </c>
      <c r="I490" s="23" t="n">
        <v>800000</v>
      </c>
      <c r="J490" s="20" t="inlineStr">
        <is>
          <t>Khivraj Motor</t>
        </is>
      </c>
      <c r="K490" s="20" t="inlineStr">
        <is>
          <t>Non-Captive</t>
        </is>
      </c>
      <c r="L490" s="20" t="inlineStr">
        <is>
          <t>Nirmal Cars</t>
        </is>
      </c>
      <c r="M490" s="23" t="n">
        <v>2966.1</v>
      </c>
      <c r="N490" s="23" t="n">
        <v>3500</v>
      </c>
      <c r="O490" s="24">
        <f>IF(AND(ISNUMBER(M490), ISNUMBER(I490), I490&gt;0), M490/I490, "")</f>
        <v/>
      </c>
    </row>
    <row r="491">
      <c r="A491" s="19" t="inlineStr">
        <is>
          <t>FY26</t>
        </is>
      </c>
      <c r="B491" s="19" t="inlineStr">
        <is>
          <t>Jan</t>
        </is>
      </c>
      <c r="C491" s="19" t="inlineStr">
        <is>
          <t>TN</t>
        </is>
      </c>
      <c r="D491" s="20" t="inlineStr">
        <is>
          <t>TN01AM1192</t>
        </is>
      </c>
      <c r="E491" s="20" t="inlineStr">
        <is>
          <t>HYUNDAI</t>
        </is>
      </c>
      <c r="F491" s="20" t="inlineStr">
        <is>
          <t>I10</t>
        </is>
      </c>
      <c r="G491" s="21" t="n">
        <v>2010</v>
      </c>
      <c r="H491" s="22" t="n">
        <v>90094</v>
      </c>
      <c r="I491" s="23" t="n">
        <v>150000</v>
      </c>
      <c r="J491" s="20" t="inlineStr">
        <is>
          <t>Khivraj Motor</t>
        </is>
      </c>
      <c r="K491" s="20" t="inlineStr">
        <is>
          <t>Non-Captive</t>
        </is>
      </c>
      <c r="L491" s="20" t="inlineStr">
        <is>
          <t>Nirmal Cars</t>
        </is>
      </c>
      <c r="M491" s="23" t="n">
        <v>2966.1</v>
      </c>
      <c r="N491" s="23" t="n">
        <v>3500</v>
      </c>
      <c r="O491" s="24">
        <f>IF(AND(ISNUMBER(M491), ISNUMBER(I491), I491&gt;0), M491/I491, "")</f>
        <v/>
      </c>
    </row>
    <row r="492">
      <c r="A492" s="19" t="inlineStr">
        <is>
          <t>FY26</t>
        </is>
      </c>
      <c r="B492" s="19" t="inlineStr">
        <is>
          <t>Jan</t>
        </is>
      </c>
      <c r="C492" s="19" t="inlineStr">
        <is>
          <t>TN</t>
        </is>
      </c>
      <c r="D492" s="20" t="inlineStr">
        <is>
          <t>TN07CL0365</t>
        </is>
      </c>
      <c r="E492" s="20" t="inlineStr">
        <is>
          <t>MARUTI SUZUKI</t>
        </is>
      </c>
      <c r="F492" s="20" t="inlineStr">
        <is>
          <t>Eeco</t>
        </is>
      </c>
      <c r="G492" s="21" t="n">
        <v>2017</v>
      </c>
      <c r="H492" s="22" t="n">
        <v>95570</v>
      </c>
      <c r="I492" s="23" t="n">
        <v>230000</v>
      </c>
      <c r="J492" s="20" t="inlineStr">
        <is>
          <t>Khivraj Motor</t>
        </is>
      </c>
      <c r="K492" s="20" t="inlineStr">
        <is>
          <t>Non-Captive</t>
        </is>
      </c>
      <c r="L492" s="20" t="inlineStr">
        <is>
          <t>Nirmal Cars</t>
        </is>
      </c>
      <c r="M492" s="23" t="n">
        <v>2966.1</v>
      </c>
      <c r="N492" s="23" t="n">
        <v>3500</v>
      </c>
      <c r="O492" s="24">
        <f>IF(AND(ISNUMBER(M492), ISNUMBER(I492), I492&gt;0), M492/I492, "")</f>
        <v/>
      </c>
    </row>
    <row r="493">
      <c r="A493" s="19" t="inlineStr">
        <is>
          <t>FY26</t>
        </is>
      </c>
      <c r="B493" s="19" t="inlineStr">
        <is>
          <t>Jan</t>
        </is>
      </c>
      <c r="C493" s="19" t="inlineStr">
        <is>
          <t>TN</t>
        </is>
      </c>
      <c r="D493" s="20" t="inlineStr">
        <is>
          <t>KL01CU1492</t>
        </is>
      </c>
      <c r="E493" s="20" t="inlineStr">
        <is>
          <t>MARUTI SUZUKI</t>
        </is>
      </c>
      <c r="F493" s="20" t="inlineStr">
        <is>
          <t>Ignis</t>
        </is>
      </c>
      <c r="G493" s="21" t="n">
        <v>2021</v>
      </c>
      <c r="H493" s="22" t="n">
        <v>42537</v>
      </c>
      <c r="I493" s="23" t="n">
        <v>465000</v>
      </c>
      <c r="J493" s="20" t="inlineStr">
        <is>
          <t>Popular Motorworld pvt Ltd</t>
        </is>
      </c>
      <c r="K493" s="20" t="inlineStr">
        <is>
          <t>Non-Captive</t>
        </is>
      </c>
      <c r="L493" s="20" t="inlineStr">
        <is>
          <t>Popular Thrissur</t>
        </is>
      </c>
      <c r="M493" s="23" t="n">
        <v>5000</v>
      </c>
      <c r="N493" s="23" t="n">
        <v>5900</v>
      </c>
      <c r="O493" s="24">
        <f>IF(AND(ISNUMBER(M493), ISNUMBER(I493), I493&gt;0), M493/I493, "")</f>
        <v/>
      </c>
    </row>
    <row r="494">
      <c r="A494" s="19" t="inlineStr">
        <is>
          <t>FY26</t>
        </is>
      </c>
      <c r="B494" s="19" t="inlineStr">
        <is>
          <t>Jan</t>
        </is>
      </c>
      <c r="C494" s="19" t="inlineStr">
        <is>
          <t>TN</t>
        </is>
      </c>
      <c r="D494" s="20" t="inlineStr">
        <is>
          <t>TN02BH1401</t>
        </is>
      </c>
      <c r="E494" s="20" t="inlineStr">
        <is>
          <t>HONDA</t>
        </is>
      </c>
      <c r="F494" s="20" t="inlineStr">
        <is>
          <t>City</t>
        </is>
      </c>
      <c r="G494" s="21" t="n">
        <v>2016</v>
      </c>
      <c r="H494" s="22" t="n">
        <v>32560</v>
      </c>
      <c r="I494" s="23" t="n">
        <v>510000</v>
      </c>
      <c r="J494" s="20" t="inlineStr">
        <is>
          <t>Santhosh Cars</t>
        </is>
      </c>
      <c r="K494" s="20" t="inlineStr">
        <is>
          <t>Non-Captive</t>
        </is>
      </c>
      <c r="L494" s="20" t="inlineStr">
        <is>
          <t>Nirmal Cars</t>
        </is>
      </c>
      <c r="M494" s="23" t="n">
        <v>4237.29</v>
      </c>
      <c r="N494" s="23" t="n">
        <v>5000</v>
      </c>
      <c r="O494" s="24">
        <f>IF(AND(ISNUMBER(M494), ISNUMBER(I494), I494&gt;0), M494/I494, "")</f>
        <v/>
      </c>
    </row>
    <row r="495">
      <c r="A495" s="19" t="inlineStr">
        <is>
          <t>FY26</t>
        </is>
      </c>
      <c r="B495" s="19" t="inlineStr">
        <is>
          <t>Jan</t>
        </is>
      </c>
      <c r="C495" s="19" t="inlineStr">
        <is>
          <t>TN</t>
        </is>
      </c>
      <c r="D495" s="20" t="inlineStr">
        <is>
          <t>TN12Q7087</t>
        </is>
      </c>
      <c r="E495" s="20" t="inlineStr">
        <is>
          <t>MARUTI SUZUKI</t>
        </is>
      </c>
      <c r="F495" s="20" t="inlineStr">
        <is>
          <t>Baleno</t>
        </is>
      </c>
      <c r="G495" s="21" t="n">
        <v>2016</v>
      </c>
      <c r="H495" s="22" t="n">
        <v>31586</v>
      </c>
      <c r="I495" s="23" t="n">
        <v>350000</v>
      </c>
      <c r="J495" s="20" t="inlineStr">
        <is>
          <t>Khivraj Motor</t>
        </is>
      </c>
      <c r="K495" s="20" t="inlineStr">
        <is>
          <t>Non-Captive</t>
        </is>
      </c>
      <c r="L495" s="20" t="inlineStr">
        <is>
          <t>Nirmal Cars</t>
        </is>
      </c>
      <c r="M495" s="23" t="n">
        <v>3813.56</v>
      </c>
      <c r="N495" s="23" t="n">
        <v>4500</v>
      </c>
      <c r="O495" s="24">
        <f>IF(AND(ISNUMBER(M495), ISNUMBER(I495), I495&gt;0), M495/I495, "")</f>
        <v/>
      </c>
    </row>
    <row r="496">
      <c r="A496" s="19" t="inlineStr">
        <is>
          <t>FY26</t>
        </is>
      </c>
      <c r="B496" s="19" t="inlineStr">
        <is>
          <t>Jan</t>
        </is>
      </c>
      <c r="C496" s="19" t="inlineStr">
        <is>
          <t>TN</t>
        </is>
      </c>
      <c r="D496" s="20" t="inlineStr">
        <is>
          <t>AP26BQ5479</t>
        </is>
      </c>
      <c r="E496" s="20" t="inlineStr">
        <is>
          <t>MARUTI SUZUKI</t>
        </is>
      </c>
      <c r="F496" s="20" t="inlineStr">
        <is>
          <t>Baleno</t>
        </is>
      </c>
      <c r="G496" s="21" t="n">
        <v>2017</v>
      </c>
      <c r="H496" s="22" t="n">
        <v>348852</v>
      </c>
      <c r="I496" s="23" t="n">
        <v>176100</v>
      </c>
      <c r="J496" s="20" t="inlineStr">
        <is>
          <t>Sundharam Finance</t>
        </is>
      </c>
      <c r="K496" s="20" t="inlineStr">
        <is>
          <t>Non-Captive</t>
        </is>
      </c>
      <c r="L496" s="20" t="inlineStr">
        <is>
          <t>Essar Preowned Cars</t>
        </is>
      </c>
      <c r="M496" s="23" t="n">
        <v>8389.83</v>
      </c>
      <c r="N496" s="23" t="n">
        <v>9900</v>
      </c>
      <c r="O496" s="24">
        <f>IF(AND(ISNUMBER(M496), ISNUMBER(I496), I496&gt;0), M496/I496, "")</f>
        <v/>
      </c>
    </row>
    <row r="497">
      <c r="A497" s="19" t="inlineStr">
        <is>
          <t>FY26</t>
        </is>
      </c>
      <c r="B497" s="19" t="inlineStr">
        <is>
          <t>Jan</t>
        </is>
      </c>
      <c r="C497" s="19" t="inlineStr">
        <is>
          <t>TN</t>
        </is>
      </c>
      <c r="D497" s="20" t="inlineStr">
        <is>
          <t>TN06S5829</t>
        </is>
      </c>
      <c r="E497" s="20" t="inlineStr">
        <is>
          <t>MARUTI SUZUKI</t>
        </is>
      </c>
      <c r="F497" s="20" t="inlineStr">
        <is>
          <t>Alto</t>
        </is>
      </c>
      <c r="G497" s="21" t="n"/>
      <c r="H497" s="22" t="n"/>
      <c r="I497" s="23" t="n">
        <v>168000</v>
      </c>
      <c r="J497" s="20" t="inlineStr">
        <is>
          <t>Khivraj Motor</t>
        </is>
      </c>
      <c r="K497" s="20" t="inlineStr">
        <is>
          <t>Non-Captive</t>
        </is>
      </c>
      <c r="L497" s="20" t="inlineStr">
        <is>
          <t>AAA Cars</t>
        </is>
      </c>
      <c r="M497" s="23" t="n">
        <v>5084.75</v>
      </c>
      <c r="N497" s="23" t="n">
        <v>6000</v>
      </c>
      <c r="O497" s="24">
        <f>IF(AND(ISNUMBER(M497), ISNUMBER(I497), I497&gt;0), M497/I497, "")</f>
        <v/>
      </c>
    </row>
    <row r="498">
      <c r="A498" s="19" t="inlineStr">
        <is>
          <t>FY26</t>
        </is>
      </c>
      <c r="B498" s="19" t="inlineStr">
        <is>
          <t>Jan</t>
        </is>
      </c>
      <c r="C498" s="19" t="inlineStr">
        <is>
          <t>TN</t>
        </is>
      </c>
      <c r="D498" s="20" t="inlineStr">
        <is>
          <t>TN02BT9437</t>
        </is>
      </c>
      <c r="E498" s="20" t="inlineStr">
        <is>
          <t>HONDA</t>
        </is>
      </c>
      <c r="F498" s="20" t="inlineStr">
        <is>
          <t>City</t>
        </is>
      </c>
      <c r="G498" s="21" t="n">
        <v>2021</v>
      </c>
      <c r="H498" s="22" t="n"/>
      <c r="I498" s="23" t="n">
        <v>530000</v>
      </c>
      <c r="J498" s="20" t="inlineStr">
        <is>
          <t>Nirmal</t>
        </is>
      </c>
      <c r="K498" s="20" t="inlineStr">
        <is>
          <t>Non-Captive</t>
        </is>
      </c>
      <c r="L498" s="20" t="inlineStr">
        <is>
          <t>Bhagavan cars</t>
        </is>
      </c>
      <c r="M498" s="23" t="n">
        <v>4237.29</v>
      </c>
      <c r="N498" s="23" t="n">
        <v>5000</v>
      </c>
      <c r="O498" s="24">
        <f>IF(AND(ISNUMBER(M498), ISNUMBER(I498), I498&gt;0), M498/I498, "")</f>
        <v/>
      </c>
    </row>
    <row r="499">
      <c r="A499" s="19" t="inlineStr">
        <is>
          <t>FY26</t>
        </is>
      </c>
      <c r="B499" s="19" t="inlineStr">
        <is>
          <t>Jan</t>
        </is>
      </c>
      <c r="C499" s="19" t="inlineStr">
        <is>
          <t>TN</t>
        </is>
      </c>
      <c r="D499" s="20" t="inlineStr">
        <is>
          <t>TN12AL4860</t>
        </is>
      </c>
      <c r="E499" s="20" t="inlineStr">
        <is>
          <t>TATA</t>
        </is>
      </c>
      <c r="F499" s="20" t="inlineStr">
        <is>
          <t>Tiago</t>
        </is>
      </c>
      <c r="G499" s="21" t="n">
        <v>2020</v>
      </c>
      <c r="H499" s="22" t="n">
        <v>24758</v>
      </c>
      <c r="I499" s="23" t="n">
        <v>350000</v>
      </c>
      <c r="J499" s="20" t="inlineStr">
        <is>
          <t>PRODUCTIVITY ELEMENTS PRIVATE LIMITED</t>
        </is>
      </c>
      <c r="K499" s="20" t="inlineStr">
        <is>
          <t>Non-Captive</t>
        </is>
      </c>
      <c r="L499" s="20" t="inlineStr">
        <is>
          <t>Bhagavan cars</t>
        </is>
      </c>
      <c r="M499" s="23" t="n">
        <v>2966.1</v>
      </c>
      <c r="N499" s="23" t="n">
        <v>3500</v>
      </c>
      <c r="O499" s="24">
        <f>IF(AND(ISNUMBER(M499), ISNUMBER(I499), I499&gt;0), M499/I499, "")</f>
        <v/>
      </c>
    </row>
    <row r="500">
      <c r="A500" s="19" t="inlineStr">
        <is>
          <t>FY26</t>
        </is>
      </c>
      <c r="B500" s="19" t="inlineStr">
        <is>
          <t>Jan</t>
        </is>
      </c>
      <c r="C500" s="19" t="inlineStr">
        <is>
          <t>TN</t>
        </is>
      </c>
      <c r="D500" s="20" t="inlineStr">
        <is>
          <t>TN13Q0166</t>
        </is>
      </c>
      <c r="E500" s="20" t="inlineStr">
        <is>
          <t>HYUNDAI</t>
        </is>
      </c>
      <c r="F500" s="20" t="inlineStr">
        <is>
          <t>Santro</t>
        </is>
      </c>
      <c r="G500" s="21" t="n">
        <v>2018</v>
      </c>
      <c r="H500" s="22" t="n">
        <v>45856</v>
      </c>
      <c r="I500" s="23" t="n">
        <v>320000</v>
      </c>
      <c r="J500" s="20" t="inlineStr">
        <is>
          <t>PRODUCTIVITY ELEMENTS PRIVATE LIMITED</t>
        </is>
      </c>
      <c r="K500" s="20" t="inlineStr">
        <is>
          <t>Non-Captive</t>
        </is>
      </c>
      <c r="L500" s="20" t="inlineStr">
        <is>
          <t>Bhagavan cars</t>
        </is>
      </c>
      <c r="M500" s="23" t="n">
        <v>2966.1</v>
      </c>
      <c r="N500" s="23" t="n">
        <v>3500</v>
      </c>
      <c r="O500" s="24">
        <f>IF(AND(ISNUMBER(M500), ISNUMBER(I500), I500&gt;0), M500/I500, "")</f>
        <v/>
      </c>
    </row>
    <row r="501">
      <c r="A501" s="19" t="inlineStr">
        <is>
          <t>FY26</t>
        </is>
      </c>
      <c r="B501" s="19" t="inlineStr">
        <is>
          <t>Jan</t>
        </is>
      </c>
      <c r="C501" s="19" t="inlineStr">
        <is>
          <t>TN</t>
        </is>
      </c>
      <c r="D501" s="20" t="inlineStr">
        <is>
          <t>TN03R2391</t>
        </is>
      </c>
      <c r="E501" s="20" t="inlineStr">
        <is>
          <t>FORD</t>
        </is>
      </c>
      <c r="F501" s="20" t="inlineStr">
        <is>
          <t>Figo</t>
        </is>
      </c>
      <c r="G501" s="21" t="n">
        <v>2015</v>
      </c>
      <c r="H501" s="22" t="n">
        <v>108256</v>
      </c>
      <c r="I501" s="23" t="n">
        <v>230000</v>
      </c>
      <c r="J501" s="20" t="inlineStr">
        <is>
          <t>PRODUCTIVITY ELEMENTS PRIVATE LIMITED</t>
        </is>
      </c>
      <c r="K501" s="20" t="inlineStr">
        <is>
          <t>Non-Captive</t>
        </is>
      </c>
      <c r="L501" s="20" t="inlineStr">
        <is>
          <t>Bhagavan cars</t>
        </is>
      </c>
      <c r="M501" s="23" t="n">
        <v>2966.1</v>
      </c>
      <c r="N501" s="23" t="n">
        <v>3500</v>
      </c>
      <c r="O501" s="24">
        <f>IF(AND(ISNUMBER(M501), ISNUMBER(I501), I501&gt;0), M501/I501, "")</f>
        <v/>
      </c>
    </row>
    <row r="502">
      <c r="A502" s="19" t="inlineStr">
        <is>
          <t>FY26</t>
        </is>
      </c>
      <c r="B502" s="19" t="inlineStr">
        <is>
          <t>Jan</t>
        </is>
      </c>
      <c r="C502" s="19" t="inlineStr">
        <is>
          <t>TN</t>
        </is>
      </c>
      <c r="D502" s="20" t="inlineStr">
        <is>
          <t>TN10AY7959</t>
        </is>
      </c>
      <c r="E502" s="20" t="inlineStr">
        <is>
          <t>HYUNDAI</t>
        </is>
      </c>
      <c r="F502" s="20" t="inlineStr">
        <is>
          <t>Grand I10</t>
        </is>
      </c>
      <c r="G502" s="21" t="n">
        <v>2016</v>
      </c>
      <c r="H502" s="22" t="n">
        <v>80290</v>
      </c>
      <c r="I502" s="23" t="n">
        <v>300000</v>
      </c>
      <c r="J502" s="20" t="inlineStr">
        <is>
          <t>Castel Traders Honda</t>
        </is>
      </c>
      <c r="K502" s="20" t="inlineStr">
        <is>
          <t>Non-Captive</t>
        </is>
      </c>
      <c r="L502" s="20" t="inlineStr">
        <is>
          <t>Bhagavan cars</t>
        </is>
      </c>
      <c r="M502" s="23" t="n">
        <v>3813.56</v>
      </c>
      <c r="N502" s="23" t="n">
        <v>4500</v>
      </c>
      <c r="O502" s="24">
        <f>IF(AND(ISNUMBER(M502), ISNUMBER(I502), I502&gt;0), M502/I502, "")</f>
        <v/>
      </c>
    </row>
    <row r="503">
      <c r="A503" s="19" t="inlineStr">
        <is>
          <t>FY26</t>
        </is>
      </c>
      <c r="B503" s="19" t="inlineStr">
        <is>
          <t>Feb</t>
        </is>
      </c>
      <c r="C503" s="19" t="inlineStr">
        <is>
          <t>TN</t>
        </is>
      </c>
      <c r="D503" s="20" t="inlineStr">
        <is>
          <t>TN01AQ9263</t>
        </is>
      </c>
      <c r="E503" s="20" t="inlineStr">
        <is>
          <t>HYUNDAI</t>
        </is>
      </c>
      <c r="F503" s="20" t="inlineStr">
        <is>
          <t>I20</t>
        </is>
      </c>
      <c r="G503" s="21" t="n">
        <v>2011</v>
      </c>
      <c r="H503" s="22" t="n">
        <v>9999</v>
      </c>
      <c r="I503" s="23" t="n">
        <v>180000</v>
      </c>
      <c r="J503" s="20" t="inlineStr">
        <is>
          <t>Khivraj Motor</t>
        </is>
      </c>
      <c r="K503" s="20" t="inlineStr">
        <is>
          <t>Non-Captive</t>
        </is>
      </c>
      <c r="L503" s="20" t="inlineStr">
        <is>
          <t>SRIDHAR cars</t>
        </is>
      </c>
      <c r="M503" s="23" t="n">
        <v>2966.1</v>
      </c>
      <c r="N503" s="23" t="n">
        <v>3500</v>
      </c>
      <c r="O503" s="24">
        <f>IF(AND(ISNUMBER(M503), ISNUMBER(I503), I503&gt;0), M503/I503, "")</f>
        <v/>
      </c>
    </row>
    <row r="504">
      <c r="A504" s="19" t="inlineStr">
        <is>
          <t>FY26</t>
        </is>
      </c>
      <c r="B504" s="19" t="inlineStr">
        <is>
          <t>Feb</t>
        </is>
      </c>
      <c r="C504" s="19" t="inlineStr">
        <is>
          <t>TN</t>
        </is>
      </c>
      <c r="D504" s="20" t="inlineStr">
        <is>
          <t>TN05AS8230</t>
        </is>
      </c>
      <c r="E504" s="20" t="inlineStr">
        <is>
          <t>FORD</t>
        </is>
      </c>
      <c r="F504" s="20" t="inlineStr">
        <is>
          <t>Fiesta</t>
        </is>
      </c>
      <c r="G504" s="21" t="n">
        <v>2013</v>
      </c>
      <c r="H504" s="22" t="n">
        <v>25789</v>
      </c>
      <c r="I504" s="23" t="n">
        <v>250000</v>
      </c>
      <c r="J504" s="20" t="inlineStr">
        <is>
          <t>Khivraj Motor</t>
        </is>
      </c>
      <c r="K504" s="20" t="inlineStr">
        <is>
          <t>Non-Captive</t>
        </is>
      </c>
      <c r="L504" s="20" t="inlineStr">
        <is>
          <t>Hasini Cars</t>
        </is>
      </c>
      <c r="M504" s="23" t="n">
        <v>2966.1</v>
      </c>
      <c r="N504" s="23" t="n">
        <v>3500</v>
      </c>
      <c r="O504" s="24">
        <f>IF(AND(ISNUMBER(M504), ISNUMBER(I504), I504&gt;0), M504/I504, "")</f>
        <v/>
      </c>
    </row>
    <row r="505">
      <c r="A505" s="19" t="inlineStr">
        <is>
          <t>FY26</t>
        </is>
      </c>
      <c r="B505" s="19" t="inlineStr">
        <is>
          <t>Feb</t>
        </is>
      </c>
      <c r="C505" s="19" t="inlineStr">
        <is>
          <t>TN</t>
        </is>
      </c>
      <c r="D505" s="20" t="inlineStr">
        <is>
          <t>TN59AV5922</t>
        </is>
      </c>
      <c r="E505" s="20" t="inlineStr">
        <is>
          <t>MARUTI SUZUKI</t>
        </is>
      </c>
      <c r="F505" s="20" t="inlineStr">
        <is>
          <t>Zen</t>
        </is>
      </c>
      <c r="G505" s="21" t="n">
        <v>2010</v>
      </c>
      <c r="H505" s="22" t="n">
        <v>33574</v>
      </c>
      <c r="I505" s="23" t="n">
        <v>65000</v>
      </c>
      <c r="J505" s="20" t="inlineStr">
        <is>
          <t>Khivraj Motor</t>
        </is>
      </c>
      <c r="K505" s="20" t="inlineStr">
        <is>
          <t>Non-Captive</t>
        </is>
      </c>
      <c r="L505" s="20" t="inlineStr">
        <is>
          <t>Trust On wheels</t>
        </is>
      </c>
      <c r="M505" s="23" t="n">
        <v>2966.1</v>
      </c>
      <c r="N505" s="23" t="n">
        <v>3500</v>
      </c>
      <c r="O505" s="24">
        <f>IF(AND(ISNUMBER(M505), ISNUMBER(I505), I505&gt;0), M505/I505, "")</f>
        <v/>
      </c>
    </row>
    <row r="506">
      <c r="A506" s="19" t="inlineStr">
        <is>
          <t>FY26</t>
        </is>
      </c>
      <c r="B506" s="19" t="inlineStr">
        <is>
          <t>Feb</t>
        </is>
      </c>
      <c r="C506" s="19" t="inlineStr">
        <is>
          <t>TN</t>
        </is>
      </c>
      <c r="D506" s="20" t="inlineStr">
        <is>
          <t>TN22CA8456</t>
        </is>
      </c>
      <c r="E506" s="20" t="inlineStr">
        <is>
          <t>HYUNDAI</t>
        </is>
      </c>
      <c r="F506" s="20" t="inlineStr">
        <is>
          <t>I20</t>
        </is>
      </c>
      <c r="G506" s="21" t="n">
        <v>2011</v>
      </c>
      <c r="H506" s="22" t="n">
        <v>136983</v>
      </c>
      <c r="I506" s="23" t="n">
        <v>124000</v>
      </c>
      <c r="J506" s="20" t="inlineStr">
        <is>
          <t>Khivraj Motor</t>
        </is>
      </c>
      <c r="K506" s="20" t="inlineStr">
        <is>
          <t>Non-Captive</t>
        </is>
      </c>
      <c r="L506" s="20" t="inlineStr">
        <is>
          <t>Hema Cars</t>
        </is>
      </c>
      <c r="M506" s="23" t="n">
        <v>5084.75</v>
      </c>
      <c r="N506" s="23" t="n">
        <v>6000</v>
      </c>
      <c r="O506" s="24">
        <f>IF(AND(ISNUMBER(M506), ISNUMBER(I506), I506&gt;0), M506/I506, "")</f>
        <v/>
      </c>
    </row>
    <row r="507">
      <c r="A507" s="19" t="inlineStr">
        <is>
          <t>FY26</t>
        </is>
      </c>
      <c r="B507" s="19" t="inlineStr">
        <is>
          <t>Feb</t>
        </is>
      </c>
      <c r="C507" s="19" t="inlineStr">
        <is>
          <t>TN</t>
        </is>
      </c>
      <c r="D507" s="20" t="inlineStr">
        <is>
          <t>TN14D8228</t>
        </is>
      </c>
      <c r="E507" s="20" t="inlineStr">
        <is>
          <t>MARUTI SUZUKI</t>
        </is>
      </c>
      <c r="F507" s="20" t="inlineStr">
        <is>
          <t>Celerio</t>
        </is>
      </c>
      <c r="G507" s="21" t="n">
        <v>2015</v>
      </c>
      <c r="H507" s="22" t="n">
        <v>65129</v>
      </c>
      <c r="I507" s="23" t="n">
        <v>98000</v>
      </c>
      <c r="J507" s="20" t="inlineStr">
        <is>
          <t>Khivraj Motor</t>
        </is>
      </c>
      <c r="K507" s="20" t="inlineStr">
        <is>
          <t>Non-Captive</t>
        </is>
      </c>
      <c r="L507" s="20" t="inlineStr">
        <is>
          <t>Hema Cars</t>
        </is>
      </c>
      <c r="M507" s="23" t="n">
        <v>2542.37</v>
      </c>
      <c r="N507" s="23" t="n">
        <v>3000</v>
      </c>
      <c r="O507" s="24">
        <f>IF(AND(ISNUMBER(M507), ISNUMBER(I507), I507&gt;0), M507/I507, "")</f>
        <v/>
      </c>
    </row>
    <row r="508">
      <c r="A508" s="19" t="inlineStr">
        <is>
          <t>FY26</t>
        </is>
      </c>
      <c r="B508" s="19" t="inlineStr">
        <is>
          <t>Feb</t>
        </is>
      </c>
      <c r="C508" s="19" t="inlineStr">
        <is>
          <t>TN</t>
        </is>
      </c>
      <c r="D508" s="20" t="inlineStr">
        <is>
          <t>TN07BT5801</t>
        </is>
      </c>
      <c r="E508" s="20" t="inlineStr">
        <is>
          <t>MARUTI SUZUKI</t>
        </is>
      </c>
      <c r="F508" s="20" t="inlineStr">
        <is>
          <t>Alto</t>
        </is>
      </c>
      <c r="G508" s="21" t="n">
        <v>2012</v>
      </c>
      <c r="H508" s="22" t="n">
        <v>142670</v>
      </c>
      <c r="I508" s="23" t="n">
        <v>105000</v>
      </c>
      <c r="J508" s="20" t="inlineStr">
        <is>
          <t>Khivraj Motor</t>
        </is>
      </c>
      <c r="K508" s="20" t="inlineStr">
        <is>
          <t>Non-Captive</t>
        </is>
      </c>
      <c r="L508" s="20" t="inlineStr">
        <is>
          <t>Hema Cars</t>
        </is>
      </c>
      <c r="M508" s="23" t="n">
        <v>2542.37</v>
      </c>
      <c r="N508" s="23" t="n">
        <v>3000</v>
      </c>
      <c r="O508" s="24">
        <f>IF(AND(ISNUMBER(M508), ISNUMBER(I508), I508&gt;0), M508/I508, "")</f>
        <v/>
      </c>
    </row>
    <row r="509">
      <c r="A509" s="19" t="inlineStr">
        <is>
          <t>FY26</t>
        </is>
      </c>
      <c r="B509" s="19" t="inlineStr">
        <is>
          <t>Feb</t>
        </is>
      </c>
      <c r="C509" s="19" t="inlineStr">
        <is>
          <t>TN</t>
        </is>
      </c>
      <c r="D509" s="20" t="inlineStr">
        <is>
          <t>TN06D1174</t>
        </is>
      </c>
      <c r="E509" s="20" t="inlineStr">
        <is>
          <t>MARUTI SUZUKI</t>
        </is>
      </c>
      <c r="F509" s="20" t="inlineStr">
        <is>
          <t>Swift Dzire</t>
        </is>
      </c>
      <c r="G509" s="21" t="n">
        <v>2011</v>
      </c>
      <c r="H509" s="22" t="n">
        <v>239670</v>
      </c>
      <c r="I509" s="23" t="n">
        <v>107000</v>
      </c>
      <c r="J509" s="20" t="inlineStr">
        <is>
          <t>Khivraj Motor</t>
        </is>
      </c>
      <c r="K509" s="20" t="inlineStr">
        <is>
          <t>Non-Captive</t>
        </is>
      </c>
      <c r="L509" s="20" t="inlineStr">
        <is>
          <t>Nirmal Cars</t>
        </is>
      </c>
      <c r="M509" s="23" t="n">
        <v>2542.37</v>
      </c>
      <c r="N509" s="23" t="n">
        <v>3000</v>
      </c>
      <c r="O509" s="24">
        <f>IF(AND(ISNUMBER(M509), ISNUMBER(I509), I509&gt;0), M509/I509, "")</f>
        <v/>
      </c>
    </row>
    <row r="510">
      <c r="A510" s="19" t="inlineStr">
        <is>
          <t>FY26</t>
        </is>
      </c>
      <c r="B510" s="19" t="inlineStr">
        <is>
          <t>Feb</t>
        </is>
      </c>
      <c r="C510" s="19" t="inlineStr">
        <is>
          <t>TN</t>
        </is>
      </c>
      <c r="D510" s="20" t="inlineStr">
        <is>
          <t>TN04AH8741</t>
        </is>
      </c>
      <c r="E510" s="20" t="inlineStr">
        <is>
          <t>HONDA</t>
        </is>
      </c>
      <c r="F510" s="20" t="inlineStr">
        <is>
          <t>City</t>
        </is>
      </c>
      <c r="G510" s="21" t="n">
        <v>2011</v>
      </c>
      <c r="H510" s="22" t="n"/>
      <c r="I510" s="23" t="n">
        <v>170000</v>
      </c>
      <c r="J510" s="20" t="inlineStr">
        <is>
          <t>EXCHANGE CHENNAI</t>
        </is>
      </c>
      <c r="K510" s="20" t="inlineStr">
        <is>
          <t>Captive</t>
        </is>
      </c>
      <c r="L510" s="20" t="inlineStr">
        <is>
          <t>Nirmal Cars</t>
        </is>
      </c>
      <c r="M510" s="23" t="n">
        <v>4237.29</v>
      </c>
      <c r="N510" s="23" t="n">
        <v>5000</v>
      </c>
      <c r="O510" s="24">
        <f>IF(AND(ISNUMBER(M510), ISNUMBER(I510), I510&gt;0), M510/I510, "")</f>
        <v/>
      </c>
    </row>
    <row r="511">
      <c r="A511" s="19" t="inlineStr">
        <is>
          <t>FY26</t>
        </is>
      </c>
      <c r="B511" s="19" t="inlineStr">
        <is>
          <t>Feb</t>
        </is>
      </c>
      <c r="C511" s="19" t="inlineStr">
        <is>
          <t>TN</t>
        </is>
      </c>
      <c r="D511" s="20" t="inlineStr">
        <is>
          <t>TN06T4217</t>
        </is>
      </c>
      <c r="E511" s="20" t="inlineStr">
        <is>
          <t>TATA</t>
        </is>
      </c>
      <c r="F511" s="20" t="inlineStr">
        <is>
          <t>Tiago</t>
        </is>
      </c>
      <c r="G511" s="21" t="n">
        <v>2017</v>
      </c>
      <c r="H511" s="22" t="n">
        <v>166868</v>
      </c>
      <c r="I511" s="23" t="n">
        <v>185000</v>
      </c>
      <c r="J511" s="20" t="inlineStr">
        <is>
          <t>EXCHANGE CHENNAI</t>
        </is>
      </c>
      <c r="K511" s="20" t="inlineStr">
        <is>
          <t>Captive</t>
        </is>
      </c>
      <c r="L511" s="20" t="inlineStr">
        <is>
          <t>Santhosh Cars</t>
        </is>
      </c>
      <c r="M511" s="23" t="n">
        <v>4237.29</v>
      </c>
      <c r="N511" s="23" t="n">
        <v>5000</v>
      </c>
      <c r="O511" s="24">
        <f>IF(AND(ISNUMBER(M511), ISNUMBER(I511), I511&gt;0), M511/I511, "")</f>
        <v/>
      </c>
    </row>
    <row r="512">
      <c r="A512" s="19" t="inlineStr">
        <is>
          <t>FY26</t>
        </is>
      </c>
      <c r="B512" s="19" t="inlineStr">
        <is>
          <t>Feb</t>
        </is>
      </c>
      <c r="C512" s="19" t="inlineStr">
        <is>
          <t>TN</t>
        </is>
      </c>
      <c r="D512" s="20" t="inlineStr">
        <is>
          <t>TN07CE9144</t>
        </is>
      </c>
      <c r="E512" s="20" t="inlineStr">
        <is>
          <t>HONDA</t>
        </is>
      </c>
      <c r="F512" s="20" t="inlineStr">
        <is>
          <t>Amaze</t>
        </is>
      </c>
      <c r="G512" s="21" t="n">
        <v>2016</v>
      </c>
      <c r="H512" s="22" t="n"/>
      <c r="I512" s="23" t="n">
        <v>325000</v>
      </c>
      <c r="J512" s="20" t="inlineStr">
        <is>
          <t>EXCHANGE CHENNAI</t>
        </is>
      </c>
      <c r="K512" s="20" t="inlineStr">
        <is>
          <t>Captive</t>
        </is>
      </c>
      <c r="L512" s="20" t="inlineStr">
        <is>
          <t>Nirmal Cars</t>
        </is>
      </c>
      <c r="M512" s="23" t="n">
        <v>8474.58</v>
      </c>
      <c r="N512" s="23" t="n">
        <v>10000</v>
      </c>
      <c r="O512" s="24">
        <f>IF(AND(ISNUMBER(M512), ISNUMBER(I512), I512&gt;0), M512/I512, "")</f>
        <v/>
      </c>
    </row>
    <row r="513">
      <c r="A513" s="19" t="inlineStr">
        <is>
          <t>FY26</t>
        </is>
      </c>
      <c r="B513" s="19" t="inlineStr">
        <is>
          <t>Feb</t>
        </is>
      </c>
      <c r="C513" s="19" t="inlineStr">
        <is>
          <t>TN</t>
        </is>
      </c>
      <c r="D513" s="20" t="inlineStr">
        <is>
          <t>TN37CC2200</t>
        </is>
      </c>
      <c r="E513" s="20" t="inlineStr">
        <is>
          <t>HYUNDAI</t>
        </is>
      </c>
      <c r="F513" s="20" t="inlineStr">
        <is>
          <t>I20</t>
        </is>
      </c>
      <c r="G513" s="21" t="n">
        <v>2013</v>
      </c>
      <c r="H513" s="22" t="n">
        <v>68899</v>
      </c>
      <c r="I513" s="23" t="n">
        <v>205000</v>
      </c>
      <c r="J513" s="20" t="inlineStr">
        <is>
          <t>JAIKRISHNAA AUTOSALES PRIVATE LIMITED</t>
        </is>
      </c>
      <c r="K513" s="20" t="inlineStr">
        <is>
          <t>Non-Captive</t>
        </is>
      </c>
      <c r="L513" s="20" t="inlineStr">
        <is>
          <t>Dhidugal Value Cars</t>
        </is>
      </c>
      <c r="M513" s="23" t="n">
        <v>4237.29</v>
      </c>
      <c r="N513" s="23" t="n">
        <v>5000</v>
      </c>
      <c r="O513" s="24">
        <f>IF(AND(ISNUMBER(M513), ISNUMBER(I513), I513&gt;0), M513/I513, "")</f>
        <v/>
      </c>
    </row>
    <row r="514">
      <c r="A514" s="19" t="inlineStr">
        <is>
          <t>FY26</t>
        </is>
      </c>
      <c r="B514" s="19" t="inlineStr">
        <is>
          <t>Feb</t>
        </is>
      </c>
      <c r="C514" s="19" t="inlineStr">
        <is>
          <t>TN</t>
        </is>
      </c>
      <c r="D514" s="20" t="inlineStr">
        <is>
          <t>TN66M1397</t>
        </is>
      </c>
      <c r="E514" s="20" t="inlineStr">
        <is>
          <t>NISSAN</t>
        </is>
      </c>
      <c r="F514" s="20" t="inlineStr">
        <is>
          <t>Micra</t>
        </is>
      </c>
      <c r="G514" s="21" t="n">
        <v>2014</v>
      </c>
      <c r="H514" s="22" t="n">
        <v>102000</v>
      </c>
      <c r="I514" s="23" t="n">
        <v>180000</v>
      </c>
      <c r="J514" s="20" t="inlineStr">
        <is>
          <t>JAIKRISHNAA AUTOSALES PRIVATE LIMITED</t>
        </is>
      </c>
      <c r="K514" s="20" t="inlineStr">
        <is>
          <t>Non-Captive</t>
        </is>
      </c>
      <c r="L514" s="20" t="inlineStr">
        <is>
          <t>Dhidugal Value Cars</t>
        </is>
      </c>
      <c r="M514" s="23" t="n">
        <v>4237.29</v>
      </c>
      <c r="N514" s="23" t="n">
        <v>5000</v>
      </c>
      <c r="O514" s="24">
        <f>IF(AND(ISNUMBER(M514), ISNUMBER(I514), I514&gt;0), M514/I514, "")</f>
        <v/>
      </c>
    </row>
    <row r="515">
      <c r="A515" s="19" t="inlineStr">
        <is>
          <t>FY26</t>
        </is>
      </c>
      <c r="B515" s="19" t="inlineStr">
        <is>
          <t>Feb</t>
        </is>
      </c>
      <c r="C515" s="19" t="inlineStr">
        <is>
          <t>TN</t>
        </is>
      </c>
      <c r="D515" s="20" t="inlineStr">
        <is>
          <t>TN37BP5128</t>
        </is>
      </c>
      <c r="E515" s="20" t="inlineStr">
        <is>
          <t>MARUTI SUZUKI</t>
        </is>
      </c>
      <c r="F515" s="20" t="inlineStr">
        <is>
          <t>Swift</t>
        </is>
      </c>
      <c r="G515" s="21" t="n">
        <v>2011</v>
      </c>
      <c r="H515" s="22" t="n">
        <v>152355</v>
      </c>
      <c r="I515" s="23" t="n">
        <v>195000</v>
      </c>
      <c r="J515" s="20" t="inlineStr">
        <is>
          <t>JAIKRISHNAA AUTOSALES PRIVATE LIMITED</t>
        </is>
      </c>
      <c r="K515" s="20" t="inlineStr">
        <is>
          <t>Non-Captive</t>
        </is>
      </c>
      <c r="L515" s="20" t="inlineStr">
        <is>
          <t>Dhidugal Value Cars</t>
        </is>
      </c>
      <c r="M515" s="23" t="n">
        <v>4237.29</v>
      </c>
      <c r="N515" s="23" t="n">
        <v>5000</v>
      </c>
      <c r="O515" s="24">
        <f>IF(AND(ISNUMBER(M515), ISNUMBER(I515), I515&gt;0), M515/I515, "")</f>
        <v/>
      </c>
    </row>
    <row r="516">
      <c r="A516" s="19" t="inlineStr">
        <is>
          <t>FY26</t>
        </is>
      </c>
      <c r="B516" s="19" t="inlineStr">
        <is>
          <t>Feb</t>
        </is>
      </c>
      <c r="C516" s="19" t="inlineStr">
        <is>
          <t>TN</t>
        </is>
      </c>
      <c r="D516" s="20" t="inlineStr">
        <is>
          <t>TN66M7261</t>
        </is>
      </c>
      <c r="E516" s="20" t="inlineStr">
        <is>
          <t>MARUTI SUZUKI</t>
        </is>
      </c>
      <c r="F516" s="20" t="inlineStr">
        <is>
          <t>Alto K10</t>
        </is>
      </c>
      <c r="G516" s="21" t="n">
        <v>2014</v>
      </c>
      <c r="H516" s="22" t="n">
        <v>159877</v>
      </c>
      <c r="I516" s="23" t="n">
        <v>210000</v>
      </c>
      <c r="J516" s="20" t="inlineStr">
        <is>
          <t>JAIKRISHNAA AUTOSALES PRIVATE LIMITED</t>
        </is>
      </c>
      <c r="K516" s="20" t="inlineStr">
        <is>
          <t>Non-Captive</t>
        </is>
      </c>
      <c r="L516" s="20" t="inlineStr">
        <is>
          <t>Dhidugal Value Cars</t>
        </is>
      </c>
      <c r="M516" s="23" t="n">
        <v>4237.29</v>
      </c>
      <c r="N516" s="23" t="n">
        <v>5000</v>
      </c>
      <c r="O516" s="24">
        <f>IF(AND(ISNUMBER(M516), ISNUMBER(I516), I516&gt;0), M516/I516, "")</f>
        <v/>
      </c>
    </row>
    <row r="517">
      <c r="A517" s="19" t="inlineStr">
        <is>
          <t>FY26</t>
        </is>
      </c>
      <c r="B517" s="19" t="inlineStr">
        <is>
          <t>Feb</t>
        </is>
      </c>
      <c r="C517" s="19" t="inlineStr">
        <is>
          <t>TN</t>
        </is>
      </c>
      <c r="D517" s="20" t="inlineStr">
        <is>
          <t>TN38BH6333</t>
        </is>
      </c>
      <c r="E517" s="20" t="inlineStr">
        <is>
          <t>FORD</t>
        </is>
      </c>
      <c r="F517" s="20" t="inlineStr">
        <is>
          <t>Figo</t>
        </is>
      </c>
      <c r="G517" s="21" t="n">
        <v>2011</v>
      </c>
      <c r="H517" s="22" t="n">
        <v>111803</v>
      </c>
      <c r="I517" s="23" t="n">
        <v>130000</v>
      </c>
      <c r="J517" s="20" t="inlineStr">
        <is>
          <t>JAIKRISHNAA AUTOSALES PRIVATE LIMITED</t>
        </is>
      </c>
      <c r="K517" s="20" t="inlineStr">
        <is>
          <t>Non-Captive</t>
        </is>
      </c>
      <c r="L517" s="20" t="inlineStr">
        <is>
          <t>Dhidugal Value Cars</t>
        </is>
      </c>
      <c r="M517" s="23" t="n">
        <v>4237.29</v>
      </c>
      <c r="N517" s="23" t="n">
        <v>5000</v>
      </c>
      <c r="O517" s="24">
        <f>IF(AND(ISNUMBER(M517), ISNUMBER(I517), I517&gt;0), M517/I517, "")</f>
        <v/>
      </c>
    </row>
    <row r="518">
      <c r="A518" s="19" t="inlineStr">
        <is>
          <t>FY26</t>
        </is>
      </c>
      <c r="B518" s="19" t="inlineStr">
        <is>
          <t>Feb</t>
        </is>
      </c>
      <c r="C518" s="19" t="inlineStr">
        <is>
          <t>TN</t>
        </is>
      </c>
      <c r="D518" s="20" t="inlineStr">
        <is>
          <t>TN07BH7797</t>
        </is>
      </c>
      <c r="E518" s="20" t="inlineStr">
        <is>
          <t>HYUNDAI</t>
        </is>
      </c>
      <c r="F518" s="20" t="inlineStr">
        <is>
          <t>I10</t>
        </is>
      </c>
      <c r="G518" s="21" t="n">
        <v>2010</v>
      </c>
      <c r="H518" s="22" t="n">
        <v>72444</v>
      </c>
      <c r="I518" s="23" t="n">
        <v>190000</v>
      </c>
      <c r="J518" s="20" t="inlineStr">
        <is>
          <t>JAIKRISHNAA AUTOSALES PRIVATE LIMITED</t>
        </is>
      </c>
      <c r="K518" s="20" t="inlineStr">
        <is>
          <t>Non-Captive</t>
        </is>
      </c>
      <c r="L518" s="20" t="inlineStr">
        <is>
          <t>Dhidugal Value Cars</t>
        </is>
      </c>
      <c r="M518" s="23" t="n">
        <v>4237.29</v>
      </c>
      <c r="N518" s="23" t="n">
        <v>5000</v>
      </c>
      <c r="O518" s="24">
        <f>IF(AND(ISNUMBER(M518), ISNUMBER(I518), I518&gt;0), M518/I518, "")</f>
        <v/>
      </c>
    </row>
    <row r="519">
      <c r="A519" s="19" t="inlineStr">
        <is>
          <t>FY26</t>
        </is>
      </c>
      <c r="B519" s="19" t="inlineStr">
        <is>
          <t>Feb</t>
        </is>
      </c>
      <c r="C519" s="19" t="inlineStr">
        <is>
          <t>TN</t>
        </is>
      </c>
      <c r="D519" s="20" t="inlineStr">
        <is>
          <t>TN38BW0114</t>
        </is>
      </c>
      <c r="E519" s="20" t="inlineStr">
        <is>
          <t>HONDA</t>
        </is>
      </c>
      <c r="F519" s="20" t="inlineStr">
        <is>
          <t>Amaze</t>
        </is>
      </c>
      <c r="G519" s="21" t="n">
        <v>2013</v>
      </c>
      <c r="H519" s="22" t="n">
        <v>146930</v>
      </c>
      <c r="I519" s="23" t="n">
        <v>220000</v>
      </c>
      <c r="J519" s="20" t="inlineStr">
        <is>
          <t>JAIKRISHNAA AUTOSALES PRIVATE LIMITED</t>
        </is>
      </c>
      <c r="K519" s="20" t="inlineStr">
        <is>
          <t>Non-Captive</t>
        </is>
      </c>
      <c r="L519" s="20" t="inlineStr">
        <is>
          <t>Dhidugal Value Cars</t>
        </is>
      </c>
      <c r="M519" s="23" t="n">
        <v>4237.29</v>
      </c>
      <c r="N519" s="23" t="n">
        <v>5000</v>
      </c>
      <c r="O519" s="24">
        <f>IF(AND(ISNUMBER(M519), ISNUMBER(I519), I519&gt;0), M519/I519, "")</f>
        <v/>
      </c>
    </row>
    <row r="520">
      <c r="A520" s="19" t="inlineStr">
        <is>
          <t>FY26</t>
        </is>
      </c>
      <c r="B520" s="19" t="inlineStr">
        <is>
          <t>Feb</t>
        </is>
      </c>
      <c r="C520" s="19" t="inlineStr">
        <is>
          <t>TN</t>
        </is>
      </c>
      <c r="D520" s="20" t="inlineStr">
        <is>
          <t>TN66E5544</t>
        </is>
      </c>
      <c r="E520" s="20" t="inlineStr">
        <is>
          <t>MARUTI SUZUKI</t>
        </is>
      </c>
      <c r="F520" s="20" t="inlineStr">
        <is>
          <t>Wagon R</t>
        </is>
      </c>
      <c r="G520" s="21" t="n">
        <v>2011</v>
      </c>
      <c r="H520" s="22" t="n">
        <v>171613</v>
      </c>
      <c r="I520" s="23" t="n">
        <v>235000</v>
      </c>
      <c r="J520" s="20" t="inlineStr">
        <is>
          <t>JAIKRISHNAA AUTOSALES PRIVATE LIMITED</t>
        </is>
      </c>
      <c r="K520" s="20" t="inlineStr">
        <is>
          <t>Non-Captive</t>
        </is>
      </c>
      <c r="L520" s="20" t="inlineStr">
        <is>
          <t>Dhidugal Value Cars</t>
        </is>
      </c>
      <c r="M520" s="23" t="n">
        <v>4237.29</v>
      </c>
      <c r="N520" s="23" t="n">
        <v>5000</v>
      </c>
      <c r="O520" s="24">
        <f>IF(AND(ISNUMBER(M520), ISNUMBER(I520), I520&gt;0), M520/I520, "")</f>
        <v/>
      </c>
    </row>
    <row r="521">
      <c r="A521" s="19" t="inlineStr">
        <is>
          <t>FY26</t>
        </is>
      </c>
      <c r="B521" s="19" t="inlineStr">
        <is>
          <t>Feb</t>
        </is>
      </c>
      <c r="C521" s="19" t="inlineStr">
        <is>
          <t>TN</t>
        </is>
      </c>
      <c r="D521" s="20" t="inlineStr">
        <is>
          <t>TN42AB1218</t>
        </is>
      </c>
      <c r="E521" s="20" t="inlineStr">
        <is>
          <t>MARUTI SUZUKI</t>
        </is>
      </c>
      <c r="F521" s="20" t="inlineStr">
        <is>
          <t>Celerio</t>
        </is>
      </c>
      <c r="G521" s="21" t="n">
        <v>2018</v>
      </c>
      <c r="H521" s="22" t="n">
        <v>103506</v>
      </c>
      <c r="I521" s="23" t="n">
        <v>240000</v>
      </c>
      <c r="J521" s="20" t="inlineStr">
        <is>
          <t>JAIKRISHNAA AUTOSALES PRIVATE LIMITED</t>
        </is>
      </c>
      <c r="K521" s="20" t="inlineStr">
        <is>
          <t>Non-Captive</t>
        </is>
      </c>
      <c r="L521" s="20" t="inlineStr">
        <is>
          <t>Dhidugal Value Cars</t>
        </is>
      </c>
      <c r="M521" s="23" t="n">
        <v>4237.29</v>
      </c>
      <c r="N521" s="23" t="n">
        <v>5000</v>
      </c>
      <c r="O521" s="24">
        <f>IF(AND(ISNUMBER(M521), ISNUMBER(I521), I521&gt;0), M521/I521, "")</f>
        <v/>
      </c>
    </row>
    <row r="522">
      <c r="A522" s="19" t="inlineStr">
        <is>
          <t>FY26</t>
        </is>
      </c>
      <c r="B522" s="19" t="inlineStr">
        <is>
          <t>Feb</t>
        </is>
      </c>
      <c r="C522" s="19" t="inlineStr">
        <is>
          <t>TN</t>
        </is>
      </c>
      <c r="D522" s="20" t="inlineStr">
        <is>
          <t>GA07K7500</t>
        </is>
      </c>
      <c r="E522" s="20" t="inlineStr">
        <is>
          <t>VOLKSWAGEN</t>
        </is>
      </c>
      <c r="F522" s="20" t="inlineStr">
        <is>
          <t>Vento</t>
        </is>
      </c>
      <c r="G522" s="21" t="n">
        <v>2015</v>
      </c>
      <c r="H522" s="22" t="n">
        <v>39941</v>
      </c>
      <c r="I522" s="23" t="n">
        <v>170000</v>
      </c>
      <c r="J522" s="20" t="inlineStr">
        <is>
          <t>JAIKRISHNAA AUTOSALES PRIVATE LIMITED</t>
        </is>
      </c>
      <c r="K522" s="20" t="inlineStr">
        <is>
          <t>Non-Captive</t>
        </is>
      </c>
      <c r="L522" s="20" t="inlineStr">
        <is>
          <t>Dhidugal Value Cars</t>
        </is>
      </c>
      <c r="M522" s="23" t="n">
        <v>4237.29</v>
      </c>
      <c r="N522" s="23" t="n">
        <v>5000</v>
      </c>
      <c r="O522" s="24">
        <f>IF(AND(ISNUMBER(M522), ISNUMBER(I522), I522&gt;0), M522/I522, "")</f>
        <v/>
      </c>
    </row>
    <row r="523">
      <c r="A523" s="19" t="inlineStr">
        <is>
          <t>FY26</t>
        </is>
      </c>
      <c r="B523" s="19" t="inlineStr">
        <is>
          <t>Feb</t>
        </is>
      </c>
      <c r="C523" s="19" t="inlineStr">
        <is>
          <t>TN</t>
        </is>
      </c>
      <c r="D523" s="20" t="inlineStr">
        <is>
          <t>TN18Q0753</t>
        </is>
      </c>
      <c r="E523" s="20" t="inlineStr">
        <is>
          <t>HONDA</t>
        </is>
      </c>
      <c r="F523" s="20" t="inlineStr">
        <is>
          <t>City</t>
        </is>
      </c>
      <c r="G523" s="21" t="n">
        <v>2013</v>
      </c>
      <c r="H523" s="22" t="n">
        <v>24158</v>
      </c>
      <c r="I523" s="23" t="n">
        <v>390000</v>
      </c>
      <c r="J523" s="20" t="inlineStr">
        <is>
          <t>Nirmal</t>
        </is>
      </c>
      <c r="K523" s="20" t="inlineStr">
        <is>
          <t>Non-Captive</t>
        </is>
      </c>
      <c r="L523" s="20" t="inlineStr">
        <is>
          <t>TSM</t>
        </is>
      </c>
      <c r="M523" s="23" t="n">
        <v>4237.29</v>
      </c>
      <c r="N523" s="23" t="n">
        <v>5000</v>
      </c>
      <c r="O523" s="24">
        <f>IF(AND(ISNUMBER(M523), ISNUMBER(I523), I523&gt;0), M523/I523, "")</f>
        <v/>
      </c>
    </row>
    <row r="524">
      <c r="A524" s="19" t="inlineStr">
        <is>
          <t>FY26</t>
        </is>
      </c>
      <c r="B524" s="19" t="inlineStr">
        <is>
          <t>Feb</t>
        </is>
      </c>
      <c r="C524" s="19" t="inlineStr">
        <is>
          <t>TN</t>
        </is>
      </c>
      <c r="D524" s="20" t="inlineStr">
        <is>
          <t>TN07BW1706</t>
        </is>
      </c>
      <c r="E524" s="20" t="inlineStr">
        <is>
          <t>HONDA</t>
        </is>
      </c>
      <c r="F524" s="20" t="inlineStr">
        <is>
          <t>Amaze</t>
        </is>
      </c>
      <c r="G524" s="21" t="n">
        <v>2013</v>
      </c>
      <c r="H524" s="22" t="n">
        <v>50482</v>
      </c>
      <c r="I524" s="23" t="n">
        <v>285000</v>
      </c>
      <c r="J524" s="20" t="inlineStr">
        <is>
          <t>Castel Traders Honda</t>
        </is>
      </c>
      <c r="K524" s="20" t="inlineStr">
        <is>
          <t>Non-Captive</t>
        </is>
      </c>
      <c r="L524" s="20" t="inlineStr">
        <is>
          <t>TSM</t>
        </is>
      </c>
      <c r="M524" s="23" t="n">
        <v>4237.29</v>
      </c>
      <c r="N524" s="23" t="n">
        <v>5000</v>
      </c>
      <c r="O524" s="24">
        <f>IF(AND(ISNUMBER(M524), ISNUMBER(I524), I524&gt;0), M524/I524, "")</f>
        <v/>
      </c>
    </row>
    <row r="525">
      <c r="A525" s="19" t="inlineStr">
        <is>
          <t>FY26</t>
        </is>
      </c>
      <c r="B525" s="19" t="inlineStr">
        <is>
          <t>Feb</t>
        </is>
      </c>
      <c r="C525" s="19" t="inlineStr">
        <is>
          <t>TN</t>
        </is>
      </c>
      <c r="D525" s="20" t="inlineStr">
        <is>
          <t>TN18BA6185</t>
        </is>
      </c>
      <c r="E525" s="20" t="inlineStr">
        <is>
          <t>MARUTI SUZUKI</t>
        </is>
      </c>
      <c r="F525" s="20" t="inlineStr">
        <is>
          <t>S-Presso</t>
        </is>
      </c>
      <c r="G525" s="21" t="n">
        <v>2020</v>
      </c>
      <c r="H525" s="22" t="n">
        <v>91207</v>
      </c>
      <c r="I525" s="23" t="n">
        <v>325000</v>
      </c>
      <c r="J525" s="20" t="inlineStr">
        <is>
          <t>POPULAR VEHICLES AND SERVICES LIMITED</t>
        </is>
      </c>
      <c r="K525" s="20" t="inlineStr">
        <is>
          <t>Non-Captive</t>
        </is>
      </c>
      <c r="L525" s="20" t="inlineStr">
        <is>
          <t>TSM</t>
        </is>
      </c>
      <c r="M525" s="23" t="n">
        <v>4237.29</v>
      </c>
      <c r="N525" s="23" t="n">
        <v>5000</v>
      </c>
      <c r="O525" s="24">
        <f>IF(AND(ISNUMBER(M525), ISNUMBER(I525), I525&gt;0), M525/I525, "")</f>
        <v/>
      </c>
    </row>
    <row r="526">
      <c r="A526" s="19" t="inlineStr">
        <is>
          <t>FY26</t>
        </is>
      </c>
      <c r="B526" s="19" t="inlineStr">
        <is>
          <t>Feb</t>
        </is>
      </c>
      <c r="C526" s="19" t="inlineStr">
        <is>
          <t>TN</t>
        </is>
      </c>
      <c r="D526" s="20" t="inlineStr">
        <is>
          <t>KL01BT8737</t>
        </is>
      </c>
      <c r="E526" s="20" t="inlineStr">
        <is>
          <t>MARUTI SUZUKI</t>
        </is>
      </c>
      <c r="F526" s="20" t="inlineStr">
        <is>
          <t>Celerio</t>
        </is>
      </c>
      <c r="G526" s="21" t="n">
        <v>2017</v>
      </c>
      <c r="H526" s="22" t="n">
        <v>36542</v>
      </c>
      <c r="I526" s="23" t="n">
        <v>290000</v>
      </c>
      <c r="J526" s="20" t="inlineStr">
        <is>
          <t>Kirali Toyota</t>
        </is>
      </c>
      <c r="K526" s="20" t="inlineStr">
        <is>
          <t>Non-Captive</t>
        </is>
      </c>
      <c r="L526" s="20" t="inlineStr">
        <is>
          <t>Popular Thrissur</t>
        </is>
      </c>
      <c r="M526" s="23" t="n">
        <v>5000</v>
      </c>
      <c r="N526" s="23" t="n">
        <v>5900</v>
      </c>
      <c r="O526" s="24">
        <f>IF(AND(ISNUMBER(M526), ISNUMBER(I526), I526&gt;0), M526/I526, "")</f>
        <v/>
      </c>
    </row>
    <row r="527">
      <c r="A527" s="19" t="inlineStr">
        <is>
          <t>FY26</t>
        </is>
      </c>
      <c r="B527" s="19" t="inlineStr">
        <is>
          <t>Feb</t>
        </is>
      </c>
      <c r="C527" s="19" t="inlineStr">
        <is>
          <t>TN</t>
        </is>
      </c>
      <c r="D527" s="20" t="inlineStr">
        <is>
          <t>TN13F2010</t>
        </is>
      </c>
      <c r="E527" s="20" t="inlineStr">
        <is>
          <t>MARUTI SUZUKI</t>
        </is>
      </c>
      <c r="F527" s="20" t="inlineStr">
        <is>
          <t>Baleno</t>
        </is>
      </c>
      <c r="G527" s="21" t="n">
        <v>2016</v>
      </c>
      <c r="H527" s="22" t="n">
        <v>97186</v>
      </c>
      <c r="I527" s="23" t="n">
        <v>310000</v>
      </c>
      <c r="J527" s="20" t="inlineStr">
        <is>
          <t>Khivraj Motor</t>
        </is>
      </c>
      <c r="K527" s="20" t="inlineStr">
        <is>
          <t>Non-Captive</t>
        </is>
      </c>
      <c r="L527" s="20" t="inlineStr">
        <is>
          <t>Trust On wheels</t>
        </is>
      </c>
      <c r="M527" s="23" t="n">
        <v>5084.75</v>
      </c>
      <c r="N527" s="23" t="n">
        <v>6000</v>
      </c>
      <c r="O527" s="24">
        <f>IF(AND(ISNUMBER(M527), ISNUMBER(I527), I527&gt;0), M527/I527, "")</f>
        <v/>
      </c>
    </row>
    <row r="528">
      <c r="A528" s="19" t="inlineStr">
        <is>
          <t>FY26</t>
        </is>
      </c>
      <c r="B528" s="19" t="inlineStr">
        <is>
          <t>Feb</t>
        </is>
      </c>
      <c r="C528" s="19" t="inlineStr">
        <is>
          <t>TN</t>
        </is>
      </c>
      <c r="D528" s="20" t="inlineStr">
        <is>
          <t>TN05AY9361</t>
        </is>
      </c>
      <c r="E528" s="20" t="inlineStr">
        <is>
          <t>MARUTI SUZUKI</t>
        </is>
      </c>
      <c r="F528" s="20" t="inlineStr">
        <is>
          <t>Alto</t>
        </is>
      </c>
      <c r="G528" s="21" t="n"/>
      <c r="H528" s="22" t="n"/>
      <c r="I528" s="23" t="n">
        <v>157000</v>
      </c>
      <c r="J528" s="20" t="inlineStr">
        <is>
          <t>Castel Trader Mahindra</t>
        </is>
      </c>
      <c r="K528" s="20" t="inlineStr">
        <is>
          <t>Non-Captive</t>
        </is>
      </c>
      <c r="L528" s="20" t="inlineStr">
        <is>
          <t>Senthil Cars</t>
        </is>
      </c>
      <c r="M528" s="23" t="n">
        <v>5084.75</v>
      </c>
      <c r="N528" s="23" t="n">
        <v>6000</v>
      </c>
      <c r="O528" s="24">
        <f>IF(AND(ISNUMBER(M528), ISNUMBER(I528), I528&gt;0), M528/I528, "")</f>
        <v/>
      </c>
    </row>
    <row r="529">
      <c r="A529" s="19" t="inlineStr">
        <is>
          <t>FY26</t>
        </is>
      </c>
      <c r="B529" s="19" t="inlineStr">
        <is>
          <t>Feb</t>
        </is>
      </c>
      <c r="C529" s="19" t="inlineStr">
        <is>
          <t>TN</t>
        </is>
      </c>
      <c r="D529" s="20" t="inlineStr">
        <is>
          <t>TN41AU7025</t>
        </is>
      </c>
      <c r="E529" s="20" t="inlineStr">
        <is>
          <t>MARUTI SUZUKI</t>
        </is>
      </c>
      <c r="F529" s="20" t="inlineStr">
        <is>
          <t>Wagon R</t>
        </is>
      </c>
      <c r="G529" s="21" t="n">
        <v>2019</v>
      </c>
      <c r="H529" s="22" t="n">
        <v>110887</v>
      </c>
      <c r="I529" s="23" t="n">
        <v>363500</v>
      </c>
      <c r="J529" s="20" t="inlineStr">
        <is>
          <t>Anaamalais Toyota</t>
        </is>
      </c>
      <c r="K529" s="20" t="inlineStr">
        <is>
          <t>Non-Captive</t>
        </is>
      </c>
      <c r="L529" s="20" t="inlineStr">
        <is>
          <t>Kandhan Cars</t>
        </is>
      </c>
      <c r="M529" s="23" t="n">
        <v>9745.76</v>
      </c>
      <c r="N529" s="23" t="n">
        <v>11500</v>
      </c>
      <c r="O529" s="24">
        <f>IF(AND(ISNUMBER(M529), ISNUMBER(I529), I529&gt;0), M529/I529, "")</f>
        <v/>
      </c>
    </row>
    <row r="530">
      <c r="A530" s="19" t="inlineStr">
        <is>
          <t>FY26</t>
        </is>
      </c>
      <c r="B530" s="19" t="inlineStr">
        <is>
          <t>Feb</t>
        </is>
      </c>
      <c r="C530" s="19" t="inlineStr">
        <is>
          <t>TN</t>
        </is>
      </c>
      <c r="D530" s="20" t="inlineStr">
        <is>
          <t>TN06W7968</t>
        </is>
      </c>
      <c r="E530" s="20" t="inlineStr">
        <is>
          <t>MARUTI SUZUKI</t>
        </is>
      </c>
      <c r="F530" s="20" t="inlineStr">
        <is>
          <t>Alto</t>
        </is>
      </c>
      <c r="G530" s="21" t="n">
        <v>2018</v>
      </c>
      <c r="H530" s="22" t="n">
        <v>58972</v>
      </c>
      <c r="I530" s="23" t="n">
        <v>180000</v>
      </c>
      <c r="J530" s="20" t="inlineStr">
        <is>
          <t>Khivraj Motor</t>
        </is>
      </c>
      <c r="K530" s="20" t="inlineStr">
        <is>
          <t>Non-Captive</t>
        </is>
      </c>
      <c r="L530" s="20" t="inlineStr">
        <is>
          <t>Shakthi Cars</t>
        </is>
      </c>
      <c r="M530" s="23" t="n">
        <v>2966.1</v>
      </c>
      <c r="N530" s="23" t="n">
        <v>3500</v>
      </c>
      <c r="O530" s="24">
        <f>IF(AND(ISNUMBER(M530), ISNUMBER(I530), I530&gt;0), M530/I530, "")</f>
        <v/>
      </c>
    </row>
    <row r="531">
      <c r="A531" s="19" t="inlineStr">
        <is>
          <t>FY26</t>
        </is>
      </c>
      <c r="B531" s="19" t="inlineStr">
        <is>
          <t>Feb</t>
        </is>
      </c>
      <c r="C531" s="19" t="inlineStr">
        <is>
          <t>TN</t>
        </is>
      </c>
      <c r="D531" s="20" t="inlineStr">
        <is>
          <t>TN07CL8299</t>
        </is>
      </c>
      <c r="E531" s="20" t="inlineStr">
        <is>
          <t>MARUTI SUZUKI</t>
        </is>
      </c>
      <c r="F531" s="20" t="inlineStr">
        <is>
          <t>Alto K10</t>
        </is>
      </c>
      <c r="G531" s="21" t="n">
        <v>2017</v>
      </c>
      <c r="H531" s="22" t="n"/>
      <c r="I531" s="23" t="n">
        <v>198000</v>
      </c>
      <c r="J531" s="20" t="inlineStr">
        <is>
          <t>Khivraj Motor</t>
        </is>
      </c>
      <c r="K531" s="20" t="inlineStr">
        <is>
          <t>Non-Captive</t>
        </is>
      </c>
      <c r="L531" s="20" t="inlineStr">
        <is>
          <t>SUN Cars</t>
        </is>
      </c>
      <c r="M531" s="23" t="n">
        <v>3000</v>
      </c>
      <c r="N531" s="23" t="n">
        <v>3540</v>
      </c>
      <c r="O531" s="24">
        <f>IF(AND(ISNUMBER(M531), ISNUMBER(I531), I531&gt;0), M531/I531, "")</f>
        <v/>
      </c>
    </row>
    <row r="532">
      <c r="A532" s="19" t="inlineStr">
        <is>
          <t>FY26</t>
        </is>
      </c>
      <c r="B532" s="19" t="inlineStr">
        <is>
          <t>Feb</t>
        </is>
      </c>
      <c r="C532" s="19" t="inlineStr">
        <is>
          <t>TN</t>
        </is>
      </c>
      <c r="D532" s="20" t="inlineStr">
        <is>
          <t>TN60AE2347</t>
        </is>
      </c>
      <c r="E532" s="20" t="inlineStr">
        <is>
          <t>HONDA</t>
        </is>
      </c>
      <c r="F532" s="20" t="inlineStr">
        <is>
          <t>Amaze</t>
        </is>
      </c>
      <c r="G532" s="21" t="n">
        <v>2019</v>
      </c>
      <c r="H532" s="22" t="n">
        <v>159699</v>
      </c>
      <c r="I532" s="23" t="n">
        <v>325000</v>
      </c>
      <c r="J532" s="20" t="inlineStr">
        <is>
          <t>EXCHANGE ROTN</t>
        </is>
      </c>
      <c r="K532" s="20" t="inlineStr">
        <is>
          <t>Captive</t>
        </is>
      </c>
      <c r="L532" s="20" t="inlineStr">
        <is>
          <t>SUN Cars</t>
        </is>
      </c>
      <c r="M532" s="23" t="n">
        <v>12711.86</v>
      </c>
      <c r="N532" s="23" t="n">
        <v>15000</v>
      </c>
      <c r="O532" s="24">
        <f>IF(AND(ISNUMBER(M532), ISNUMBER(I532), I532&gt;0), M532/I532, "")</f>
        <v/>
      </c>
    </row>
    <row r="533">
      <c r="A533" s="19" t="inlineStr">
        <is>
          <t>FY26</t>
        </is>
      </c>
      <c r="B533" s="19" t="inlineStr">
        <is>
          <t>Feb</t>
        </is>
      </c>
      <c r="C533" s="19" t="inlineStr">
        <is>
          <t>TN</t>
        </is>
      </c>
      <c r="D533" s="20" t="inlineStr">
        <is>
          <t>TN70AC3714</t>
        </is>
      </c>
      <c r="E533" s="20" t="inlineStr">
        <is>
          <t>HONDA</t>
        </is>
      </c>
      <c r="F533" s="20" t="inlineStr">
        <is>
          <t>Amaze</t>
        </is>
      </c>
      <c r="G533" s="21" t="n">
        <v>2019</v>
      </c>
      <c r="H533" s="22" t="n">
        <v>78064</v>
      </c>
      <c r="I533" s="23" t="n">
        <v>490000</v>
      </c>
      <c r="J533" s="20" t="inlineStr">
        <is>
          <t>EXCHANGE ROTN</t>
        </is>
      </c>
      <c r="K533" s="20" t="inlineStr">
        <is>
          <t>Captive</t>
        </is>
      </c>
      <c r="L533" s="20" t="inlineStr">
        <is>
          <t>Ashwin cars</t>
        </is>
      </c>
      <c r="M533" s="23" t="n">
        <v>12711.86</v>
      </c>
      <c r="N533" s="23" t="n">
        <v>15000</v>
      </c>
      <c r="O533" s="24">
        <f>IF(AND(ISNUMBER(M533), ISNUMBER(I533), I533&gt;0), M533/I533, "")</f>
        <v/>
      </c>
    </row>
    <row r="534">
      <c r="A534" s="19" t="inlineStr">
        <is>
          <t>FY26</t>
        </is>
      </c>
      <c r="B534" s="19" t="inlineStr">
        <is>
          <t>Feb</t>
        </is>
      </c>
      <c r="C534" s="19" t="inlineStr">
        <is>
          <t>TN</t>
        </is>
      </c>
      <c r="D534" s="20" t="inlineStr">
        <is>
          <t>TN37BC8577</t>
        </is>
      </c>
      <c r="E534" s="20" t="inlineStr">
        <is>
          <t>HONDA</t>
        </is>
      </c>
      <c r="F534" s="20" t="inlineStr">
        <is>
          <t>City</t>
        </is>
      </c>
      <c r="G534" s="21" t="n">
        <v>1834</v>
      </c>
      <c r="H534" s="22" t="n">
        <v>63211</v>
      </c>
      <c r="I534" s="23" t="n">
        <v>265000</v>
      </c>
      <c r="J534" s="20" t="inlineStr">
        <is>
          <t>EXCHANGE ROTN</t>
        </is>
      </c>
      <c r="K534" s="20" t="inlineStr">
        <is>
          <t>Captive</t>
        </is>
      </c>
      <c r="L534" s="20" t="inlineStr">
        <is>
          <t>YUGA DHEERAN CARS</t>
        </is>
      </c>
      <c r="M534" s="23" t="n">
        <v>4237.29</v>
      </c>
      <c r="N534" s="23" t="n">
        <v>5000</v>
      </c>
      <c r="O534" s="24">
        <f>IF(AND(ISNUMBER(M534), ISNUMBER(I534), I534&gt;0), M534/I534, "")</f>
        <v/>
      </c>
    </row>
    <row r="535">
      <c r="A535" s="19" t="inlineStr">
        <is>
          <t>FY26</t>
        </is>
      </c>
      <c r="B535" s="19" t="inlineStr">
        <is>
          <t>Feb</t>
        </is>
      </c>
      <c r="C535" s="19" t="inlineStr">
        <is>
          <t>TN</t>
        </is>
      </c>
      <c r="D535" s="20" t="inlineStr">
        <is>
          <t>TN33BD1157</t>
        </is>
      </c>
      <c r="E535" s="20" t="inlineStr">
        <is>
          <t>MAHINDRA</t>
        </is>
      </c>
      <c r="F535" s="20" t="inlineStr">
        <is>
          <t>Verito</t>
        </is>
      </c>
      <c r="G535" s="21" t="n">
        <v>2012</v>
      </c>
      <c r="H535" s="22" t="n">
        <v>69648</v>
      </c>
      <c r="I535" s="23" t="n">
        <v>220000</v>
      </c>
      <c r="J535" s="20" t="inlineStr">
        <is>
          <t>EXCHANGE ROTN</t>
        </is>
      </c>
      <c r="K535" s="20" t="inlineStr">
        <is>
          <t>Captive</t>
        </is>
      </c>
      <c r="L535" s="20" t="inlineStr">
        <is>
          <t>YUGA DHEERAN CARS</t>
        </is>
      </c>
      <c r="M535" s="23" t="n">
        <v>12711.86</v>
      </c>
      <c r="N535" s="23" t="n">
        <v>15000</v>
      </c>
      <c r="O535" s="24">
        <f>IF(AND(ISNUMBER(M535), ISNUMBER(I535), I535&gt;0), M535/I535, "")</f>
        <v/>
      </c>
    </row>
    <row r="536">
      <c r="A536" s="19" t="inlineStr">
        <is>
          <t>FY26</t>
        </is>
      </c>
      <c r="B536" s="19" t="inlineStr">
        <is>
          <t>Feb</t>
        </is>
      </c>
      <c r="C536" s="19" t="inlineStr">
        <is>
          <t>TN</t>
        </is>
      </c>
      <c r="D536" s="20" t="inlineStr">
        <is>
          <t>TN47AJ3142</t>
        </is>
      </c>
      <c r="E536" s="20" t="inlineStr">
        <is>
          <t>HONDA</t>
        </is>
      </c>
      <c r="F536" s="20" t="inlineStr">
        <is>
          <t>Amaze</t>
        </is>
      </c>
      <c r="G536" s="21" t="n">
        <v>2016</v>
      </c>
      <c r="H536" s="22" t="n">
        <v>178689</v>
      </c>
      <c r="I536" s="23" t="n">
        <v>350000</v>
      </c>
      <c r="J536" s="20" t="inlineStr">
        <is>
          <t>EXCHANGE ROTN</t>
        </is>
      </c>
      <c r="K536" s="20" t="inlineStr">
        <is>
          <t>Captive</t>
        </is>
      </c>
      <c r="L536" s="20" t="inlineStr">
        <is>
          <t>SRI RAJA KANAPATHY CARS</t>
        </is>
      </c>
      <c r="M536" s="23" t="n">
        <v>8474.58</v>
      </c>
      <c r="N536" s="23" t="n">
        <v>10000</v>
      </c>
      <c r="O536" s="24">
        <f>IF(AND(ISNUMBER(M536), ISNUMBER(I536), I536&gt;0), M536/I536, "")</f>
        <v/>
      </c>
    </row>
    <row r="537">
      <c r="A537" s="19" t="inlineStr">
        <is>
          <t>FY26</t>
        </is>
      </c>
      <c r="B537" s="19" t="inlineStr">
        <is>
          <t>Feb</t>
        </is>
      </c>
      <c r="C537" s="19" t="inlineStr">
        <is>
          <t>TN</t>
        </is>
      </c>
      <c r="D537" s="20" t="inlineStr">
        <is>
          <t>TN47AR5693</t>
        </is>
      </c>
      <c r="E537" s="20" t="inlineStr">
        <is>
          <t>MARUTI SUZUKI</t>
        </is>
      </c>
      <c r="F537" s="20" t="inlineStr">
        <is>
          <t>Alto K10</t>
        </is>
      </c>
      <c r="G537" s="21" t="n">
        <v>2018</v>
      </c>
      <c r="H537" s="22" t="n">
        <v>33400</v>
      </c>
      <c r="I537" s="23" t="n">
        <v>250000</v>
      </c>
      <c r="J537" s="20" t="inlineStr">
        <is>
          <t>EXCHANGE ROTN</t>
        </is>
      </c>
      <c r="K537" s="20" t="inlineStr">
        <is>
          <t>Captive</t>
        </is>
      </c>
      <c r="L537" s="20" t="inlineStr">
        <is>
          <t>SMS Cars</t>
        </is>
      </c>
      <c r="M537" s="23" t="n">
        <v>12711.86</v>
      </c>
      <c r="N537" s="23" t="n">
        <v>15000</v>
      </c>
      <c r="O537" s="24">
        <f>IF(AND(ISNUMBER(M537), ISNUMBER(I537), I537&gt;0), M537/I537, "")</f>
        <v/>
      </c>
    </row>
    <row r="538">
      <c r="A538" s="19" t="inlineStr">
        <is>
          <t>FY26</t>
        </is>
      </c>
      <c r="B538" s="19" t="inlineStr">
        <is>
          <t>Feb</t>
        </is>
      </c>
      <c r="C538" s="19" t="inlineStr">
        <is>
          <t>TN</t>
        </is>
      </c>
      <c r="D538" s="20" t="inlineStr">
        <is>
          <t>TN09CP0201</t>
        </is>
      </c>
      <c r="E538" s="20" t="inlineStr">
        <is>
          <t>HYUNDAI</t>
        </is>
      </c>
      <c r="F538" s="20" t="inlineStr">
        <is>
          <t>I20</t>
        </is>
      </c>
      <c r="G538" s="21" t="n">
        <v>2019</v>
      </c>
      <c r="H538" s="22" t="n">
        <v>67553</v>
      </c>
      <c r="I538" s="23" t="n">
        <v>255000</v>
      </c>
      <c r="J538" s="20" t="inlineStr">
        <is>
          <t>EXCHANGE ROTN</t>
        </is>
      </c>
      <c r="K538" s="20" t="inlineStr">
        <is>
          <t>Captive</t>
        </is>
      </c>
      <c r="L538" s="20" t="inlineStr">
        <is>
          <t>Rajaganapathy Cars</t>
        </is>
      </c>
      <c r="M538" s="23" t="n">
        <v>8474.58</v>
      </c>
      <c r="N538" s="23" t="n">
        <v>10000</v>
      </c>
      <c r="O538" s="24">
        <f>IF(AND(ISNUMBER(M538), ISNUMBER(I538), I538&gt;0), M538/I538, "")</f>
        <v/>
      </c>
    </row>
    <row r="539">
      <c r="A539" s="19" t="inlineStr">
        <is>
          <t>FY26</t>
        </is>
      </c>
      <c r="B539" s="19" t="inlineStr">
        <is>
          <t>Feb</t>
        </is>
      </c>
      <c r="C539" s="19" t="inlineStr">
        <is>
          <t>TN</t>
        </is>
      </c>
      <c r="D539" s="20" t="inlineStr">
        <is>
          <t>TN14T2350</t>
        </is>
      </c>
      <c r="E539" s="20" t="inlineStr">
        <is>
          <t>HONDA</t>
        </is>
      </c>
      <c r="F539" s="20" t="inlineStr">
        <is>
          <t>City</t>
        </is>
      </c>
      <c r="G539" s="21" t="n">
        <v>2019</v>
      </c>
      <c r="H539" s="22" t="n">
        <v>68265</v>
      </c>
      <c r="I539" s="23" t="n">
        <v>490000</v>
      </c>
      <c r="J539" s="20" t="inlineStr">
        <is>
          <t>EXCHANGE ROTN</t>
        </is>
      </c>
      <c r="K539" s="20" t="inlineStr">
        <is>
          <t>Captive</t>
        </is>
      </c>
      <c r="L539" s="20" t="inlineStr">
        <is>
          <t>Trust On wheels</t>
        </is>
      </c>
      <c r="M539" s="23" t="n">
        <v>16949.15</v>
      </c>
      <c r="N539" s="23" t="n">
        <v>20000</v>
      </c>
      <c r="O539" s="24">
        <f>IF(AND(ISNUMBER(M539), ISNUMBER(I539), I539&gt;0), M539/I539, "")</f>
        <v/>
      </c>
    </row>
    <row r="540">
      <c r="A540" s="19" t="inlineStr">
        <is>
          <t>FY26</t>
        </is>
      </c>
      <c r="B540" s="19" t="inlineStr">
        <is>
          <t>Feb</t>
        </is>
      </c>
      <c r="C540" s="19" t="inlineStr">
        <is>
          <t>TN</t>
        </is>
      </c>
      <c r="D540" s="20" t="inlineStr">
        <is>
          <t>TN01AT3781</t>
        </is>
      </c>
      <c r="E540" s="20" t="inlineStr">
        <is>
          <t>MARUTI SUZUKI</t>
        </is>
      </c>
      <c r="F540" s="20" t="inlineStr">
        <is>
          <t>Alto</t>
        </is>
      </c>
      <c r="G540" s="21" t="n">
        <v>2012</v>
      </c>
      <c r="H540" s="22" t="n">
        <v>89722</v>
      </c>
      <c r="I540" s="23" t="n">
        <v>130000</v>
      </c>
      <c r="J540" s="20" t="inlineStr">
        <is>
          <t>Khivraj Motor</t>
        </is>
      </c>
      <c r="K540" s="20" t="inlineStr">
        <is>
          <t>Non-Captive</t>
        </is>
      </c>
      <c r="L540" s="20" t="inlineStr">
        <is>
          <t>Trust On wheels</t>
        </is>
      </c>
      <c r="M540" s="23" t="n">
        <v>3000</v>
      </c>
      <c r="N540" s="23" t="n">
        <v>3540</v>
      </c>
      <c r="O540" s="24">
        <f>IF(AND(ISNUMBER(M540), ISNUMBER(I540), I540&gt;0), M540/I540, "")</f>
        <v/>
      </c>
    </row>
    <row r="541">
      <c r="A541" s="19" t="inlineStr">
        <is>
          <t>FY26</t>
        </is>
      </c>
      <c r="B541" s="19" t="inlineStr">
        <is>
          <t>Feb</t>
        </is>
      </c>
      <c r="C541" s="19" t="inlineStr">
        <is>
          <t>TN</t>
        </is>
      </c>
      <c r="D541" s="20" t="inlineStr">
        <is>
          <t>TN07BA4014</t>
        </is>
      </c>
      <c r="E541" s="20" t="inlineStr">
        <is>
          <t>MAHINDRA</t>
        </is>
      </c>
      <c r="F541" s="20" t="inlineStr">
        <is>
          <t>Bolero</t>
        </is>
      </c>
      <c r="G541" s="21" t="n">
        <v>2008</v>
      </c>
      <c r="H541" s="22" t="n">
        <v>66228</v>
      </c>
      <c r="I541" s="23" t="n">
        <v>200000</v>
      </c>
      <c r="J541" s="20" t="inlineStr">
        <is>
          <t>Khivraj Motor</t>
        </is>
      </c>
      <c r="K541" s="20" t="inlineStr">
        <is>
          <t>Non-Captive</t>
        </is>
      </c>
      <c r="L541" s="20" t="inlineStr">
        <is>
          <t>Santhosh Cars</t>
        </is>
      </c>
      <c r="M541" s="23" t="n">
        <v>3000</v>
      </c>
      <c r="N541" s="23" t="n">
        <v>3540</v>
      </c>
      <c r="O541" s="24">
        <f>IF(AND(ISNUMBER(M541), ISNUMBER(I541), I541&gt;0), M541/I541, "")</f>
        <v/>
      </c>
    </row>
    <row r="542">
      <c r="A542" s="19" t="inlineStr">
        <is>
          <t>FY26</t>
        </is>
      </c>
      <c r="B542" s="19" t="inlineStr">
        <is>
          <t>Feb</t>
        </is>
      </c>
      <c r="C542" s="19" t="inlineStr">
        <is>
          <t>TN</t>
        </is>
      </c>
      <c r="D542" s="20" t="inlineStr">
        <is>
          <t>TN07BV9174</t>
        </is>
      </c>
      <c r="E542" s="20" t="inlineStr">
        <is>
          <t>HONDA</t>
        </is>
      </c>
      <c r="F542" s="20" t="inlineStr">
        <is>
          <t>Amaze</t>
        </is>
      </c>
      <c r="G542" s="21" t="n">
        <v>2013</v>
      </c>
      <c r="H542" s="22" t="n">
        <v>67522</v>
      </c>
      <c r="I542" s="23" t="n">
        <v>280000</v>
      </c>
      <c r="J542" s="20" t="inlineStr">
        <is>
          <t>EXCHANGE CHENNAI</t>
        </is>
      </c>
      <c r="K542" s="20" t="inlineStr">
        <is>
          <t>Captive</t>
        </is>
      </c>
      <c r="L542" s="20" t="inlineStr">
        <is>
          <t>Santhosh Cars</t>
        </is>
      </c>
      <c r="M542" s="23" t="n">
        <v>8474.58</v>
      </c>
      <c r="N542" s="23" t="n">
        <v>10000</v>
      </c>
      <c r="O542" s="24">
        <f>IF(AND(ISNUMBER(M542), ISNUMBER(I542), I542&gt;0), M542/I542, "")</f>
        <v/>
      </c>
    </row>
    <row r="543">
      <c r="A543" s="19" t="inlineStr">
        <is>
          <t>FY26</t>
        </is>
      </c>
      <c r="B543" s="19" t="inlineStr">
        <is>
          <t>Feb</t>
        </is>
      </c>
      <c r="C543" s="19" t="inlineStr">
        <is>
          <t>TN</t>
        </is>
      </c>
      <c r="D543" s="20" t="inlineStr">
        <is>
          <t>TN09DB8905</t>
        </is>
      </c>
      <c r="E543" s="20" t="inlineStr">
        <is>
          <t>HONDA</t>
        </is>
      </c>
      <c r="F543" s="20" t="inlineStr">
        <is>
          <t>Amaze</t>
        </is>
      </c>
      <c r="G543" s="21" t="n">
        <v>2023</v>
      </c>
      <c r="H543" s="22" t="n">
        <v>19876</v>
      </c>
      <c r="I543" s="23" t="n">
        <v>700000</v>
      </c>
      <c r="J543" s="20" t="inlineStr">
        <is>
          <t>EXCHANGE CHENNAI</t>
        </is>
      </c>
      <c r="K543" s="20" t="inlineStr">
        <is>
          <t>Captive</t>
        </is>
      </c>
      <c r="L543" s="20" t="inlineStr">
        <is>
          <t>Thiya Cars</t>
        </is>
      </c>
      <c r="M543" s="23" t="n">
        <v>8474.58</v>
      </c>
      <c r="N543" s="23" t="n">
        <v>10000</v>
      </c>
      <c r="O543" s="24">
        <f>IF(AND(ISNUMBER(M543), ISNUMBER(I543), I543&gt;0), M543/I543, "")</f>
        <v/>
      </c>
    </row>
    <row r="544">
      <c r="A544" s="19" t="inlineStr">
        <is>
          <t>FY26</t>
        </is>
      </c>
      <c r="B544" s="19" t="inlineStr">
        <is>
          <t>Feb</t>
        </is>
      </c>
      <c r="C544" s="19" t="inlineStr">
        <is>
          <t>TN</t>
        </is>
      </c>
      <c r="D544" s="20" t="inlineStr">
        <is>
          <t>TN01BF8422</t>
        </is>
      </c>
      <c r="E544" s="20" t="inlineStr">
        <is>
          <t>HONDA</t>
        </is>
      </c>
      <c r="F544" s="20" t="inlineStr">
        <is>
          <t>Amaze</t>
        </is>
      </c>
      <c r="G544" s="21" t="n">
        <v>2018</v>
      </c>
      <c r="H544" s="22" t="n"/>
      <c r="I544" s="23" t="n">
        <v>385000</v>
      </c>
      <c r="J544" s="20" t="inlineStr">
        <is>
          <t>EXCHANGE CHENNAI</t>
        </is>
      </c>
      <c r="K544" s="20" t="inlineStr">
        <is>
          <t>Captive</t>
        </is>
      </c>
      <c r="L544" s="20" t="inlineStr">
        <is>
          <t>Nirmal Cars</t>
        </is>
      </c>
      <c r="M544" s="23" t="n">
        <v>5084.75</v>
      </c>
      <c r="N544" s="23" t="n">
        <v>6000</v>
      </c>
      <c r="O544" s="24">
        <f>IF(AND(ISNUMBER(M544), ISNUMBER(I544), I544&gt;0), M544/I544, "")</f>
        <v/>
      </c>
    </row>
    <row r="545">
      <c r="A545" s="19" t="inlineStr">
        <is>
          <t>FY26</t>
        </is>
      </c>
      <c r="B545" s="19" t="inlineStr">
        <is>
          <t>Feb</t>
        </is>
      </c>
      <c r="C545" s="19" t="inlineStr">
        <is>
          <t>TN</t>
        </is>
      </c>
      <c r="D545" s="20" t="inlineStr">
        <is>
          <t>TN07CA7184</t>
        </is>
      </c>
      <c r="E545" s="20" t="inlineStr">
        <is>
          <t>MARUTI SUZUKI</t>
        </is>
      </c>
      <c r="F545" s="20" t="inlineStr">
        <is>
          <t>Sx4</t>
        </is>
      </c>
      <c r="G545" s="21" t="n">
        <v>2009</v>
      </c>
      <c r="H545" s="22" t="n"/>
      <c r="I545" s="23" t="n">
        <v>170000</v>
      </c>
      <c r="J545" s="20" t="inlineStr">
        <is>
          <t>EXCHANGE CHENNAI</t>
        </is>
      </c>
      <c r="K545" s="20" t="inlineStr">
        <is>
          <t>Captive</t>
        </is>
      </c>
      <c r="L545" s="20" t="inlineStr">
        <is>
          <t>Santhosh Cars</t>
        </is>
      </c>
      <c r="M545" s="23" t="n">
        <v>4237.29</v>
      </c>
      <c r="N545" s="23" t="n">
        <v>5000</v>
      </c>
      <c r="O545" s="24">
        <f>IF(AND(ISNUMBER(M545), ISNUMBER(I545), I545&gt;0), M545/I545, "")</f>
        <v/>
      </c>
    </row>
    <row r="546">
      <c r="A546" s="19" t="inlineStr">
        <is>
          <t>FY26</t>
        </is>
      </c>
      <c r="B546" s="19" t="inlineStr">
        <is>
          <t>Feb</t>
        </is>
      </c>
      <c r="C546" s="19" t="inlineStr">
        <is>
          <t>TN</t>
        </is>
      </c>
      <c r="D546" s="20" t="inlineStr">
        <is>
          <t>TN05BU9815</t>
        </is>
      </c>
      <c r="E546" s="20" t="inlineStr">
        <is>
          <t>MARUTI SUZUKI</t>
        </is>
      </c>
      <c r="F546" s="20" t="inlineStr">
        <is>
          <t>Swift</t>
        </is>
      </c>
      <c r="G546" s="21" t="n">
        <v>2018</v>
      </c>
      <c r="H546" s="22" t="n">
        <v>98588</v>
      </c>
      <c r="I546" s="23" t="n">
        <v>470000</v>
      </c>
      <c r="J546" s="20" t="inlineStr">
        <is>
          <t>EXCHANGE CHENNAI</t>
        </is>
      </c>
      <c r="K546" s="20" t="inlineStr">
        <is>
          <t>Captive</t>
        </is>
      </c>
      <c r="L546" s="20" t="inlineStr">
        <is>
          <t>Santhosh Cars</t>
        </is>
      </c>
      <c r="M546" s="23" t="n">
        <v>8474.58</v>
      </c>
      <c r="N546" s="23" t="n">
        <v>10000</v>
      </c>
      <c r="O546" s="24">
        <f>IF(AND(ISNUMBER(M546), ISNUMBER(I546), I546&gt;0), M546/I546, "")</f>
        <v/>
      </c>
    </row>
    <row r="547">
      <c r="A547" s="19" t="inlineStr">
        <is>
          <t>FY26</t>
        </is>
      </c>
      <c r="B547" s="19" t="inlineStr">
        <is>
          <t>Feb</t>
        </is>
      </c>
      <c r="C547" s="19" t="inlineStr">
        <is>
          <t>TN</t>
        </is>
      </c>
      <c r="D547" s="20" t="inlineStr">
        <is>
          <t>TN06AA5388</t>
        </is>
      </c>
      <c r="E547" s="20" t="inlineStr">
        <is>
          <t>TATA</t>
        </is>
      </c>
      <c r="F547" s="20" t="inlineStr">
        <is>
          <t>Nexon</t>
        </is>
      </c>
      <c r="G547" s="21" t="n">
        <v>2021</v>
      </c>
      <c r="H547" s="22" t="n">
        <v>56999</v>
      </c>
      <c r="I547" s="23" t="n">
        <v>530000</v>
      </c>
      <c r="J547" s="20" t="inlineStr">
        <is>
          <t>EXCHANGE CHENNAI</t>
        </is>
      </c>
      <c r="K547" s="20" t="inlineStr">
        <is>
          <t>Captive</t>
        </is>
      </c>
      <c r="L547" s="20" t="inlineStr">
        <is>
          <t>car Hub</t>
        </is>
      </c>
      <c r="M547" s="23" t="n">
        <v>8474.58</v>
      </c>
      <c r="N547" s="23" t="n">
        <v>10000</v>
      </c>
      <c r="O547" s="24">
        <f>IF(AND(ISNUMBER(M547), ISNUMBER(I547), I547&gt;0), M547/I547, "")</f>
        <v/>
      </c>
    </row>
    <row r="548">
      <c r="A548" s="19" t="inlineStr">
        <is>
          <t>FY26</t>
        </is>
      </c>
      <c r="B548" s="19" t="inlineStr">
        <is>
          <t>Feb</t>
        </is>
      </c>
      <c r="C548" s="19" t="inlineStr">
        <is>
          <t>TN</t>
        </is>
      </c>
      <c r="D548" s="20" t="inlineStr">
        <is>
          <t>TN12P5726</t>
        </is>
      </c>
      <c r="E548" s="20" t="inlineStr">
        <is>
          <t>HONDA</t>
        </is>
      </c>
      <c r="F548" s="20" t="inlineStr">
        <is>
          <t>City</t>
        </is>
      </c>
      <c r="G548" s="21" t="n">
        <v>2016</v>
      </c>
      <c r="H548" s="22" t="n">
        <v>75460</v>
      </c>
      <c r="I548" s="23" t="n">
        <v>475000</v>
      </c>
      <c r="J548" s="20" t="inlineStr">
        <is>
          <t>AIE CARS PRIVATE LIMITED</t>
        </is>
      </c>
      <c r="K548" s="20" t="inlineStr">
        <is>
          <t>Non-Captive</t>
        </is>
      </c>
      <c r="L548" s="20" t="inlineStr">
        <is>
          <t>Pine Autos</t>
        </is>
      </c>
      <c r="M548" s="23" t="n">
        <v>4237.29</v>
      </c>
      <c r="N548" s="23" t="n">
        <v>5000</v>
      </c>
      <c r="O548" s="24">
        <f>IF(AND(ISNUMBER(M548), ISNUMBER(I548), I548&gt;0), M548/I548, "")</f>
        <v/>
      </c>
    </row>
    <row r="549">
      <c r="A549" s="19" t="inlineStr">
        <is>
          <t>FY26</t>
        </is>
      </c>
      <c r="B549" s="19" t="inlineStr">
        <is>
          <t>Feb</t>
        </is>
      </c>
      <c r="C549" s="19" t="inlineStr">
        <is>
          <t>TN</t>
        </is>
      </c>
      <c r="D549" s="20" t="inlineStr">
        <is>
          <t>TN11X5792</t>
        </is>
      </c>
      <c r="E549" s="20" t="inlineStr">
        <is>
          <t>HONDA</t>
        </is>
      </c>
      <c r="F549" s="20" t="inlineStr">
        <is>
          <t>Amaze</t>
        </is>
      </c>
      <c r="G549" s="21" t="n">
        <v>2013</v>
      </c>
      <c r="H549" s="22" t="n">
        <v>82030</v>
      </c>
      <c r="I549" s="23" t="n">
        <v>270000</v>
      </c>
      <c r="J549" s="20" t="inlineStr">
        <is>
          <t>POPULAR VEHICLES AND SERVICES LIMITED</t>
        </is>
      </c>
      <c r="K549" s="20" t="inlineStr">
        <is>
          <t>Non-Captive</t>
        </is>
      </c>
      <c r="L549" s="20" t="inlineStr">
        <is>
          <t>Thiya Cars</t>
        </is>
      </c>
      <c r="M549" s="23" t="n">
        <v>4237.29</v>
      </c>
      <c r="N549" s="23" t="n">
        <v>5000</v>
      </c>
      <c r="O549" s="24">
        <f>IF(AND(ISNUMBER(M549), ISNUMBER(I549), I549&gt;0), M549/I549, "")</f>
        <v/>
      </c>
    </row>
    <row r="550">
      <c r="A550" s="19" t="inlineStr">
        <is>
          <t>FY26</t>
        </is>
      </c>
      <c r="B550" s="19" t="inlineStr">
        <is>
          <t>Feb</t>
        </is>
      </c>
      <c r="C550" s="19" t="inlineStr">
        <is>
          <t>TN</t>
        </is>
      </c>
      <c r="D550" s="20" t="inlineStr">
        <is>
          <t>TN14W3870</t>
        </is>
      </c>
      <c r="E550" s="20" t="inlineStr">
        <is>
          <t>HYUNDAI</t>
        </is>
      </c>
      <c r="F550" s="20" t="inlineStr">
        <is>
          <t>I20</t>
        </is>
      </c>
      <c r="G550" s="21" t="n">
        <v>2020</v>
      </c>
      <c r="H550" s="22" t="n">
        <v>39453</v>
      </c>
      <c r="I550" s="23" t="n">
        <v>375000</v>
      </c>
      <c r="J550" s="20" t="inlineStr">
        <is>
          <t>POPULAR VEHICLES AND SERVICES LIMITED</t>
        </is>
      </c>
      <c r="K550" s="20" t="inlineStr">
        <is>
          <t>Non-Captive</t>
        </is>
      </c>
      <c r="L550" s="20" t="inlineStr">
        <is>
          <t>Thiya Cars</t>
        </is>
      </c>
      <c r="M550" s="23" t="n">
        <v>4237.29</v>
      </c>
      <c r="N550" s="23" t="n">
        <v>5000</v>
      </c>
      <c r="O550" s="24">
        <f>IF(AND(ISNUMBER(M550), ISNUMBER(I550), I550&gt;0), M550/I550, "")</f>
        <v/>
      </c>
    </row>
    <row r="551">
      <c r="A551" s="19" t="inlineStr">
        <is>
          <t>FY26</t>
        </is>
      </c>
      <c r="B551" s="19" t="inlineStr">
        <is>
          <t>Feb</t>
        </is>
      </c>
      <c r="C551" s="19" t="inlineStr">
        <is>
          <t>TN</t>
        </is>
      </c>
      <c r="D551" s="20" t="inlineStr">
        <is>
          <t>TN22CM1586</t>
        </is>
      </c>
      <c r="E551" s="20" t="inlineStr">
        <is>
          <t>MARUTI SUZUKI</t>
        </is>
      </c>
      <c r="F551" s="20" t="inlineStr">
        <is>
          <t>Alto</t>
        </is>
      </c>
      <c r="G551" s="21" t="n">
        <v>2013</v>
      </c>
      <c r="H551" s="22" t="n">
        <v>49940</v>
      </c>
      <c r="I551" s="23" t="n">
        <v>160000</v>
      </c>
      <c r="J551" s="20" t="inlineStr">
        <is>
          <t>POPULAR VEHICLES AND SERVICES LIMITED</t>
        </is>
      </c>
      <c r="K551" s="20" t="inlineStr">
        <is>
          <t>Non-Captive</t>
        </is>
      </c>
      <c r="L551" s="20" t="inlineStr">
        <is>
          <t>Thiya Cars</t>
        </is>
      </c>
      <c r="M551" s="23" t="n">
        <v>4237.29</v>
      </c>
      <c r="N551" s="23" t="n">
        <v>5000</v>
      </c>
      <c r="O551" s="24">
        <f>IF(AND(ISNUMBER(M551), ISNUMBER(I551), I551&gt;0), M551/I551, "")</f>
        <v/>
      </c>
    </row>
    <row r="552">
      <c r="A552" s="19" t="inlineStr">
        <is>
          <t>FY26</t>
        </is>
      </c>
      <c r="B552" s="19" t="inlineStr">
        <is>
          <t>Feb</t>
        </is>
      </c>
      <c r="C552" s="19" t="inlineStr">
        <is>
          <t>TN</t>
        </is>
      </c>
      <c r="D552" s="20" t="inlineStr">
        <is>
          <t>TN10AM7835</t>
        </is>
      </c>
      <c r="E552" s="20" t="inlineStr">
        <is>
          <t>FORD</t>
        </is>
      </c>
      <c r="F552" s="20" t="inlineStr">
        <is>
          <t>Figo</t>
        </is>
      </c>
      <c r="G552" s="21" t="n">
        <v>2013</v>
      </c>
      <c r="H552" s="22" t="n">
        <v>86585</v>
      </c>
      <c r="I552" s="23" t="n">
        <v>145000</v>
      </c>
      <c r="J552" s="20" t="inlineStr">
        <is>
          <t>Cars India</t>
        </is>
      </c>
      <c r="K552" s="20" t="inlineStr">
        <is>
          <t>Non-Captive</t>
        </is>
      </c>
      <c r="L552" s="20" t="inlineStr">
        <is>
          <t>Thiya Cars</t>
        </is>
      </c>
      <c r="M552" s="23" t="n">
        <v>4237.29</v>
      </c>
      <c r="N552" s="23" t="n">
        <v>5000</v>
      </c>
      <c r="O552" s="24">
        <f>IF(AND(ISNUMBER(M552), ISNUMBER(I552), I552&gt;0), M552/I552, "")</f>
        <v/>
      </c>
    </row>
    <row r="553">
      <c r="A553" s="19" t="inlineStr">
        <is>
          <t>FY26</t>
        </is>
      </c>
      <c r="B553" s="19" t="inlineStr">
        <is>
          <t>Feb</t>
        </is>
      </c>
      <c r="C553" s="19" t="inlineStr">
        <is>
          <t>TN</t>
        </is>
      </c>
      <c r="D553" s="20" t="inlineStr">
        <is>
          <t>TN14AD3704</t>
        </is>
      </c>
      <c r="E553" s="20" t="inlineStr">
        <is>
          <t>MARUTI SUZUKI</t>
        </is>
      </c>
      <c r="F553" s="20" t="inlineStr">
        <is>
          <t>S-Presso</t>
        </is>
      </c>
      <c r="G553" s="21" t="n">
        <v>2022</v>
      </c>
      <c r="H553" s="22" t="n">
        <v>50550</v>
      </c>
      <c r="I553" s="23" t="n">
        <v>250000</v>
      </c>
      <c r="J553" s="20" t="inlineStr">
        <is>
          <t>Cars India</t>
        </is>
      </c>
      <c r="K553" s="20" t="inlineStr">
        <is>
          <t>Non-Captive</t>
        </is>
      </c>
      <c r="L553" s="20" t="inlineStr">
        <is>
          <t>Thiya Cars</t>
        </is>
      </c>
      <c r="M553" s="23" t="n">
        <v>3389.83</v>
      </c>
      <c r="N553" s="23" t="n">
        <v>4000</v>
      </c>
      <c r="O553" s="24">
        <f>IF(AND(ISNUMBER(M553), ISNUMBER(I553), I553&gt;0), M553/I553, "")</f>
        <v/>
      </c>
    </row>
    <row r="554">
      <c r="A554" s="19" t="inlineStr">
        <is>
          <t>FY26</t>
        </is>
      </c>
      <c r="B554" s="19" t="inlineStr">
        <is>
          <t>Feb</t>
        </is>
      </c>
      <c r="C554" s="19" t="inlineStr">
        <is>
          <t>TN</t>
        </is>
      </c>
      <c r="D554" s="20" t="inlineStr">
        <is>
          <t>TN14R0960</t>
        </is>
      </c>
      <c r="E554" s="20" t="inlineStr">
        <is>
          <t>HYUNDAI</t>
        </is>
      </c>
      <c r="F554" s="20" t="inlineStr">
        <is>
          <t>I20</t>
        </is>
      </c>
      <c r="G554" s="21" t="n">
        <v>2018</v>
      </c>
      <c r="H554" s="22" t="n">
        <v>45005</v>
      </c>
      <c r="I554" s="23" t="n">
        <v>380000</v>
      </c>
      <c r="J554" s="20" t="inlineStr">
        <is>
          <t>Lakshmi Hyundai</t>
        </is>
      </c>
      <c r="K554" s="20" t="inlineStr">
        <is>
          <t>Non-Captive</t>
        </is>
      </c>
      <c r="L554" s="20" t="inlineStr">
        <is>
          <t>Thiya Cars</t>
        </is>
      </c>
      <c r="M554" s="23" t="n">
        <v>3389.83</v>
      </c>
      <c r="N554" s="23" t="n">
        <v>4000</v>
      </c>
      <c r="O554" s="24">
        <f>IF(AND(ISNUMBER(M554), ISNUMBER(I554), I554&gt;0), M554/I554, "")</f>
        <v/>
      </c>
    </row>
    <row r="555">
      <c r="A555" s="19" t="inlineStr">
        <is>
          <t>FY26</t>
        </is>
      </c>
      <c r="B555" s="19" t="inlineStr">
        <is>
          <t>Feb</t>
        </is>
      </c>
      <c r="C555" s="19" t="inlineStr">
        <is>
          <t>TN</t>
        </is>
      </c>
      <c r="D555" s="20" t="inlineStr">
        <is>
          <t>TN02BQ6807</t>
        </is>
      </c>
      <c r="E555" s="20" t="inlineStr">
        <is>
          <t>HYUNDAI</t>
        </is>
      </c>
      <c r="F555" s="20" t="inlineStr">
        <is>
          <t>Grand I10</t>
        </is>
      </c>
      <c r="G555" s="21" t="n">
        <v>2019</v>
      </c>
      <c r="H555" s="22" t="n">
        <v>32830</v>
      </c>
      <c r="I555" s="23" t="n">
        <v>300000</v>
      </c>
      <c r="J555" s="20" t="inlineStr">
        <is>
          <t>Lakshmi Tata</t>
        </is>
      </c>
      <c r="K555" s="20" t="inlineStr">
        <is>
          <t>Non-Captive</t>
        </is>
      </c>
      <c r="L555" s="20" t="inlineStr">
        <is>
          <t>Thiya Cars</t>
        </is>
      </c>
      <c r="M555" s="23" t="n">
        <v>3389.83</v>
      </c>
      <c r="N555" s="23" t="n">
        <v>4000</v>
      </c>
      <c r="O555" s="24">
        <f>IF(AND(ISNUMBER(M555), ISNUMBER(I555), I555&gt;0), M555/I555, "")</f>
        <v/>
      </c>
    </row>
    <row r="556">
      <c r="A556" s="19" t="inlineStr">
        <is>
          <t>FY26</t>
        </is>
      </c>
      <c r="B556" s="19" t="inlineStr">
        <is>
          <t>Feb</t>
        </is>
      </c>
      <c r="C556" s="19" t="inlineStr">
        <is>
          <t>TN</t>
        </is>
      </c>
      <c r="D556" s="20" t="inlineStr">
        <is>
          <t>TN12AK8251</t>
        </is>
      </c>
      <c r="E556" s="20" t="inlineStr">
        <is>
          <t>SKODA</t>
        </is>
      </c>
      <c r="F556" s="20" t="inlineStr">
        <is>
          <t>Rapid</t>
        </is>
      </c>
      <c r="G556" s="21" t="n">
        <v>2020</v>
      </c>
      <c r="H556" s="22" t="n">
        <v>72496</v>
      </c>
      <c r="I556" s="23" t="n">
        <v>450000</v>
      </c>
      <c r="J556" s="20" t="inlineStr">
        <is>
          <t>Lakshmi Tata</t>
        </is>
      </c>
      <c r="K556" s="20" t="inlineStr">
        <is>
          <t>Non-Captive</t>
        </is>
      </c>
      <c r="L556" s="20" t="inlineStr">
        <is>
          <t>Thiya Cars</t>
        </is>
      </c>
      <c r="M556" s="23" t="n">
        <v>4237.29</v>
      </c>
      <c r="N556" s="23" t="n">
        <v>5000</v>
      </c>
      <c r="O556" s="24">
        <f>IF(AND(ISNUMBER(M556), ISNUMBER(I556), I556&gt;0), M556/I556, "")</f>
        <v/>
      </c>
    </row>
    <row r="557">
      <c r="A557" s="19" t="inlineStr">
        <is>
          <t>FY26</t>
        </is>
      </c>
      <c r="B557" s="19" t="inlineStr">
        <is>
          <t>Feb</t>
        </is>
      </c>
      <c r="C557" s="19" t="inlineStr">
        <is>
          <t>TN</t>
        </is>
      </c>
      <c r="D557" s="20" t="inlineStr">
        <is>
          <t>TN02BL5314</t>
        </is>
      </c>
      <c r="E557" s="20" t="inlineStr">
        <is>
          <t>HONDA</t>
        </is>
      </c>
      <c r="F557" s="20" t="inlineStr">
        <is>
          <t>Jazz</t>
        </is>
      </c>
      <c r="G557" s="21" t="n">
        <v>2018</v>
      </c>
      <c r="H557" s="22" t="n">
        <v>152685</v>
      </c>
      <c r="I557" s="23" t="n">
        <v>275000</v>
      </c>
      <c r="J557" s="20" t="inlineStr">
        <is>
          <t>Lakshmi Tata</t>
        </is>
      </c>
      <c r="K557" s="20" t="inlineStr">
        <is>
          <t>Non-Captive</t>
        </is>
      </c>
      <c r="L557" s="20" t="inlineStr">
        <is>
          <t>Nirmal Cars</t>
        </is>
      </c>
      <c r="M557" s="23" t="n">
        <v>3389.83</v>
      </c>
      <c r="N557" s="23" t="n">
        <v>4000</v>
      </c>
      <c r="O557" s="24">
        <f>IF(AND(ISNUMBER(M557), ISNUMBER(I557), I557&gt;0), M557/I557, "")</f>
        <v/>
      </c>
    </row>
    <row r="558">
      <c r="A558" s="19" t="inlineStr">
        <is>
          <t>FY26</t>
        </is>
      </c>
      <c r="B558" s="19" t="inlineStr">
        <is>
          <t>Feb</t>
        </is>
      </c>
      <c r="C558" s="19" t="inlineStr">
        <is>
          <t>TN</t>
        </is>
      </c>
      <c r="D558" s="20" t="inlineStr">
        <is>
          <t>TN87A8728</t>
        </is>
      </c>
      <c r="E558" s="20" t="inlineStr">
        <is>
          <t>NISSAN</t>
        </is>
      </c>
      <c r="F558" s="20" t="inlineStr">
        <is>
          <t>Kicks</t>
        </is>
      </c>
      <c r="G558" s="21" t="n">
        <v>2019</v>
      </c>
      <c r="H558" s="22" t="n">
        <v>220537</v>
      </c>
      <c r="I558" s="23" t="n">
        <v>282000</v>
      </c>
      <c r="J558" s="20" t="inlineStr">
        <is>
          <t>RENAULT NISSAN AUTOMOTIVE PVT LTD</t>
        </is>
      </c>
      <c r="K558" s="20" t="inlineStr">
        <is>
          <t>Non-Captive</t>
        </is>
      </c>
      <c r="L558" s="20" t="inlineStr">
        <is>
          <t>Nirmal Cars</t>
        </is>
      </c>
      <c r="M558" s="23" t="n">
        <v>8474.58</v>
      </c>
      <c r="N558" s="23" t="n">
        <v>10000</v>
      </c>
      <c r="O558" s="24">
        <f>IF(AND(ISNUMBER(M558), ISNUMBER(I558), I558&gt;0), M558/I558, "")</f>
        <v/>
      </c>
    </row>
    <row r="559">
      <c r="A559" s="19" t="inlineStr">
        <is>
          <t>FY26</t>
        </is>
      </c>
      <c r="B559" s="19" t="inlineStr">
        <is>
          <t>Feb</t>
        </is>
      </c>
      <c r="C559" s="19" t="inlineStr">
        <is>
          <t>TN</t>
        </is>
      </c>
      <c r="D559" s="20" t="inlineStr">
        <is>
          <t>TN87C7156</t>
        </is>
      </c>
      <c r="E559" s="20" t="inlineStr">
        <is>
          <t>NISSAN</t>
        </is>
      </c>
      <c r="F559" s="20" t="inlineStr">
        <is>
          <t>Kicks</t>
        </is>
      </c>
      <c r="G559" s="21" t="n">
        <v>2021</v>
      </c>
      <c r="H559" s="22" t="n">
        <v>111772</v>
      </c>
      <c r="I559" s="23" t="n">
        <v>302000</v>
      </c>
      <c r="J559" s="20" t="inlineStr">
        <is>
          <t>RENAULT NISSAN AUTOMOTIVE PVT LTD</t>
        </is>
      </c>
      <c r="K559" s="20" t="inlineStr">
        <is>
          <t>Non-Captive</t>
        </is>
      </c>
      <c r="L559" s="20" t="inlineStr">
        <is>
          <t>Nirmal Cars</t>
        </is>
      </c>
      <c r="M559" s="23" t="n">
        <v>8474.58</v>
      </c>
      <c r="N559" s="23" t="n">
        <v>10000</v>
      </c>
      <c r="O559" s="24">
        <f>IF(AND(ISNUMBER(M559), ISNUMBER(I559), I559&gt;0), M559/I559, "")</f>
        <v/>
      </c>
    </row>
    <row r="560">
      <c r="A560" s="19" t="inlineStr">
        <is>
          <t>FY26</t>
        </is>
      </c>
      <c r="B560" s="19" t="inlineStr">
        <is>
          <t>Feb</t>
        </is>
      </c>
      <c r="C560" s="19" t="inlineStr">
        <is>
          <t>TN</t>
        </is>
      </c>
      <c r="D560" s="20" t="inlineStr">
        <is>
          <t>TN87C7185</t>
        </is>
      </c>
      <c r="E560" s="20" t="inlineStr">
        <is>
          <t>NISSAN</t>
        </is>
      </c>
      <c r="F560" s="20" t="inlineStr">
        <is>
          <t>Kicks</t>
        </is>
      </c>
      <c r="G560" s="21" t="n">
        <v>2021</v>
      </c>
      <c r="H560" s="22" t="n">
        <v>118764</v>
      </c>
      <c r="I560" s="23" t="n">
        <v>302000</v>
      </c>
      <c r="J560" s="20" t="inlineStr">
        <is>
          <t>RENAULT NISSAN AUTOMOTIVE PVT LTD</t>
        </is>
      </c>
      <c r="K560" s="20" t="inlineStr">
        <is>
          <t>Non-Captive</t>
        </is>
      </c>
      <c r="L560" s="20" t="inlineStr">
        <is>
          <t>Nirmal Cars</t>
        </is>
      </c>
      <c r="M560" s="23" t="n">
        <v>8474.58</v>
      </c>
      <c r="N560" s="23" t="n">
        <v>10000</v>
      </c>
      <c r="O560" s="24">
        <f>IF(AND(ISNUMBER(M560), ISNUMBER(I560), I560&gt;0), M560/I560, "")</f>
        <v/>
      </c>
    </row>
    <row r="561">
      <c r="A561" s="19" t="inlineStr">
        <is>
          <t>FY26</t>
        </is>
      </c>
      <c r="B561" s="19" t="inlineStr">
        <is>
          <t>Feb</t>
        </is>
      </c>
      <c r="C561" s="19" t="inlineStr">
        <is>
          <t>TN</t>
        </is>
      </c>
      <c r="D561" s="20" t="inlineStr">
        <is>
          <t>TN87B1539</t>
        </is>
      </c>
      <c r="E561" s="20" t="inlineStr">
        <is>
          <t>NISSAN</t>
        </is>
      </c>
      <c r="F561" s="20" t="inlineStr">
        <is>
          <t>Kicks</t>
        </is>
      </c>
      <c r="G561" s="21" t="n">
        <v>2019</v>
      </c>
      <c r="H561" s="22" t="n">
        <v>130015</v>
      </c>
      <c r="I561" s="23" t="n">
        <v>302000</v>
      </c>
      <c r="J561" s="20" t="inlineStr">
        <is>
          <t>RENAULT NISSAN AUTOMOTIVE PVT LTD</t>
        </is>
      </c>
      <c r="K561" s="20" t="inlineStr">
        <is>
          <t>Non-Captive</t>
        </is>
      </c>
      <c r="L561" s="20" t="inlineStr">
        <is>
          <t>Nirmal Cars</t>
        </is>
      </c>
      <c r="M561" s="23" t="n">
        <v>8474.58</v>
      </c>
      <c r="N561" s="23" t="n">
        <v>10000</v>
      </c>
      <c r="O561" s="24">
        <f>IF(AND(ISNUMBER(M561), ISNUMBER(I561), I561&gt;0), M561/I561, "")</f>
        <v/>
      </c>
    </row>
    <row r="562">
      <c r="A562" s="19" t="inlineStr">
        <is>
          <t>FY26</t>
        </is>
      </c>
      <c r="B562" s="19" t="inlineStr">
        <is>
          <t>Feb</t>
        </is>
      </c>
      <c r="C562" s="19" t="inlineStr">
        <is>
          <t>TN</t>
        </is>
      </c>
      <c r="D562" s="20" t="inlineStr">
        <is>
          <t>TN87A7087</t>
        </is>
      </c>
      <c r="E562" s="20" t="inlineStr">
        <is>
          <t>NISSAN</t>
        </is>
      </c>
      <c r="F562" s="20" t="inlineStr">
        <is>
          <t>Kicks</t>
        </is>
      </c>
      <c r="G562" s="21" t="n">
        <v>2019</v>
      </c>
      <c r="H562" s="22" t="n">
        <v>182161</v>
      </c>
      <c r="I562" s="23" t="n">
        <v>332000</v>
      </c>
      <c r="J562" s="20" t="inlineStr">
        <is>
          <t>RENAULT NISSAN AUTOMOTIVE PVT LTD</t>
        </is>
      </c>
      <c r="K562" s="20" t="inlineStr">
        <is>
          <t>Non-Captive</t>
        </is>
      </c>
      <c r="L562" s="20" t="inlineStr">
        <is>
          <t>Nirmal Cars</t>
        </is>
      </c>
      <c r="M562" s="23" t="n">
        <v>8474.58</v>
      </c>
      <c r="N562" s="23" t="n">
        <v>10000</v>
      </c>
      <c r="O562" s="24">
        <f>IF(AND(ISNUMBER(M562), ISNUMBER(I562), I562&gt;0), M562/I562, "")</f>
        <v/>
      </c>
    </row>
    <row r="563">
      <c r="A563" s="19" t="inlineStr">
        <is>
          <t>FY26</t>
        </is>
      </c>
      <c r="B563" s="19" t="inlineStr">
        <is>
          <t>Feb</t>
        </is>
      </c>
      <c r="C563" s="19" t="inlineStr">
        <is>
          <t>TN</t>
        </is>
      </c>
      <c r="D563" s="20" t="inlineStr">
        <is>
          <t>TN87A7150</t>
        </is>
      </c>
      <c r="E563" s="20" t="inlineStr">
        <is>
          <t>NISSAN</t>
        </is>
      </c>
      <c r="F563" s="20" t="inlineStr">
        <is>
          <t>Kicks</t>
        </is>
      </c>
      <c r="G563" s="21" t="n">
        <v>2019</v>
      </c>
      <c r="H563" s="22" t="n">
        <v>181945</v>
      </c>
      <c r="I563" s="23" t="n">
        <v>332000</v>
      </c>
      <c r="J563" s="20" t="inlineStr">
        <is>
          <t>RENAULT NISSAN AUTOMOTIVE PVT LTD</t>
        </is>
      </c>
      <c r="K563" s="20" t="inlineStr">
        <is>
          <t>Non-Captive</t>
        </is>
      </c>
      <c r="L563" s="20" t="inlineStr">
        <is>
          <t>Nirmal Cars</t>
        </is>
      </c>
      <c r="M563" s="23" t="n">
        <v>8474.58</v>
      </c>
      <c r="N563" s="23" t="n">
        <v>10000</v>
      </c>
      <c r="O563" s="24">
        <f>IF(AND(ISNUMBER(M563), ISNUMBER(I563), I563&gt;0), M563/I563, "")</f>
        <v/>
      </c>
    </row>
    <row r="564">
      <c r="A564" s="19" t="inlineStr">
        <is>
          <t>FY26</t>
        </is>
      </c>
      <c r="B564" s="19" t="inlineStr">
        <is>
          <t>Feb</t>
        </is>
      </c>
      <c r="C564" s="19" t="inlineStr">
        <is>
          <t>TN</t>
        </is>
      </c>
      <c r="D564" s="20" t="inlineStr">
        <is>
          <t>TN87C6040</t>
        </is>
      </c>
      <c r="E564" s="20" t="inlineStr">
        <is>
          <t>NISSAN</t>
        </is>
      </c>
      <c r="F564" s="20" t="inlineStr">
        <is>
          <t>Kicks</t>
        </is>
      </c>
      <c r="G564" s="21" t="n">
        <v>2021</v>
      </c>
      <c r="H564" s="22" t="n">
        <v>97198</v>
      </c>
      <c r="I564" s="23" t="n">
        <v>332000</v>
      </c>
      <c r="J564" s="20" t="inlineStr">
        <is>
          <t>RENAULT NISSAN AUTOMOTIVE PVT LTD</t>
        </is>
      </c>
      <c r="K564" s="20" t="inlineStr">
        <is>
          <t>Non-Captive</t>
        </is>
      </c>
      <c r="L564" s="20" t="inlineStr">
        <is>
          <t>Nirmal Cars</t>
        </is>
      </c>
      <c r="M564" s="23" t="n">
        <v>8474.58</v>
      </c>
      <c r="N564" s="23" t="n">
        <v>10000</v>
      </c>
      <c r="O564" s="24">
        <f>IF(AND(ISNUMBER(M564), ISNUMBER(I564), I564&gt;0), M564/I564, "")</f>
        <v/>
      </c>
    </row>
    <row r="565">
      <c r="A565" s="19" t="inlineStr">
        <is>
          <t>FY26</t>
        </is>
      </c>
      <c r="B565" s="19" t="inlineStr">
        <is>
          <t>Feb</t>
        </is>
      </c>
      <c r="C565" s="19" t="inlineStr">
        <is>
          <t>TN</t>
        </is>
      </c>
      <c r="D565" s="20" t="inlineStr">
        <is>
          <t>TN87C4176</t>
        </is>
      </c>
      <c r="E565" s="20" t="inlineStr">
        <is>
          <t>NISSAN</t>
        </is>
      </c>
      <c r="F565" s="20" t="inlineStr">
        <is>
          <t>Kicks</t>
        </is>
      </c>
      <c r="G565" s="21" t="n">
        <v>2021</v>
      </c>
      <c r="H565" s="22" t="n">
        <v>106209</v>
      </c>
      <c r="I565" s="23" t="n">
        <v>342000</v>
      </c>
      <c r="J565" s="20" t="inlineStr">
        <is>
          <t>RENAULT NISSAN AUTOMOTIVE PVT LTD</t>
        </is>
      </c>
      <c r="K565" s="20" t="inlineStr">
        <is>
          <t>Non-Captive</t>
        </is>
      </c>
      <c r="L565" s="20" t="inlineStr">
        <is>
          <t>Nirmal Cars</t>
        </is>
      </c>
      <c r="M565" s="23" t="n">
        <v>8474.58</v>
      </c>
      <c r="N565" s="23" t="n">
        <v>10000</v>
      </c>
      <c r="O565" s="24">
        <f>IF(AND(ISNUMBER(M565), ISNUMBER(I565), I565&gt;0), M565/I565, "")</f>
        <v/>
      </c>
    </row>
    <row r="566">
      <c r="A566" s="19" t="inlineStr">
        <is>
          <t>FY26</t>
        </is>
      </c>
      <c r="B566" s="19" t="inlineStr">
        <is>
          <t>Feb</t>
        </is>
      </c>
      <c r="C566" s="19" t="inlineStr">
        <is>
          <t>TN</t>
        </is>
      </c>
      <c r="D566" s="20" t="inlineStr">
        <is>
          <t>TN87C8665</t>
        </is>
      </c>
      <c r="E566" s="20" t="inlineStr">
        <is>
          <t>NISSAN</t>
        </is>
      </c>
      <c r="F566" s="20" t="inlineStr">
        <is>
          <t>Magnite</t>
        </is>
      </c>
      <c r="G566" s="21" t="n">
        <v>2020</v>
      </c>
      <c r="H566" s="22" t="n">
        <v>65707</v>
      </c>
      <c r="I566" s="23" t="n">
        <v>402000</v>
      </c>
      <c r="J566" s="20" t="inlineStr">
        <is>
          <t>RENAULT NISSAN AUTOMOTIVE PVT LTD</t>
        </is>
      </c>
      <c r="K566" s="20" t="inlineStr">
        <is>
          <t>Non-Captive</t>
        </is>
      </c>
      <c r="L566" s="20" t="inlineStr">
        <is>
          <t>Nirmal Cars</t>
        </is>
      </c>
      <c r="M566" s="23" t="n">
        <v>8474.58</v>
      </c>
      <c r="N566" s="23" t="n">
        <v>10000</v>
      </c>
      <c r="O566" s="24">
        <f>IF(AND(ISNUMBER(M566), ISNUMBER(I566), I566&gt;0), M566/I566, "")</f>
        <v/>
      </c>
    </row>
    <row r="567">
      <c r="A567" s="19" t="inlineStr">
        <is>
          <t>FY26</t>
        </is>
      </c>
      <c r="B567" s="19" t="inlineStr">
        <is>
          <t>Feb</t>
        </is>
      </c>
      <c r="C567" s="19" t="inlineStr">
        <is>
          <t>TN</t>
        </is>
      </c>
      <c r="D567" s="20" t="inlineStr">
        <is>
          <t>TN87E0587</t>
        </is>
      </c>
      <c r="E567" s="20" t="inlineStr">
        <is>
          <t>NISSAN</t>
        </is>
      </c>
      <c r="F567" s="20" t="inlineStr">
        <is>
          <t>Magnite</t>
        </is>
      </c>
      <c r="G567" s="21" t="n">
        <v>2023</v>
      </c>
      <c r="H567" s="22" t="n">
        <v>51682</v>
      </c>
      <c r="I567" s="23" t="n">
        <v>483000</v>
      </c>
      <c r="J567" s="20" t="inlineStr">
        <is>
          <t>RENAULT NISSAN AUTOMOTIVE PVT LTD</t>
        </is>
      </c>
      <c r="K567" s="20" t="inlineStr">
        <is>
          <t>Non-Captive</t>
        </is>
      </c>
      <c r="L567" s="20" t="inlineStr">
        <is>
          <t>Nirmal Cars</t>
        </is>
      </c>
      <c r="M567" s="23" t="n">
        <v>8474.58</v>
      </c>
      <c r="N567" s="23" t="n">
        <v>10000</v>
      </c>
      <c r="O567" s="24">
        <f>IF(AND(ISNUMBER(M567), ISNUMBER(I567), I567&gt;0), M567/I567, "")</f>
        <v/>
      </c>
    </row>
    <row r="568">
      <c r="A568" s="19" t="inlineStr">
        <is>
          <t>FY26</t>
        </is>
      </c>
      <c r="B568" s="19" t="inlineStr">
        <is>
          <t>Feb</t>
        </is>
      </c>
      <c r="C568" s="19" t="inlineStr">
        <is>
          <t>TN</t>
        </is>
      </c>
      <c r="D568" s="20" t="inlineStr">
        <is>
          <t>TN87D7657</t>
        </is>
      </c>
      <c r="E568" s="20" t="inlineStr">
        <is>
          <t>NISSAN</t>
        </is>
      </c>
      <c r="F568" s="20" t="inlineStr">
        <is>
          <t>Kicks</t>
        </is>
      </c>
      <c r="G568" s="21" t="n">
        <v>2022</v>
      </c>
      <c r="H568" s="22" t="n">
        <v>48037</v>
      </c>
      <c r="I568" s="23" t="n">
        <v>508000</v>
      </c>
      <c r="J568" s="20" t="inlineStr">
        <is>
          <t>RENAULT NISSAN AUTOMOTIVE PVT LTD</t>
        </is>
      </c>
      <c r="K568" s="20" t="inlineStr">
        <is>
          <t>Non-Captive</t>
        </is>
      </c>
      <c r="L568" s="20" t="inlineStr">
        <is>
          <t>Nirmal Cars</t>
        </is>
      </c>
      <c r="M568" s="23" t="n">
        <v>8474.58</v>
      </c>
      <c r="N568" s="23" t="n">
        <v>10000</v>
      </c>
      <c r="O568" s="24">
        <f>IF(AND(ISNUMBER(M568), ISNUMBER(I568), I568&gt;0), M568/I568, "")</f>
        <v/>
      </c>
    </row>
    <row r="569">
      <c r="A569" s="19" t="inlineStr">
        <is>
          <t>FY26</t>
        </is>
      </c>
      <c r="B569" s="19" t="inlineStr">
        <is>
          <t>Feb</t>
        </is>
      </c>
      <c r="C569" s="19" t="inlineStr">
        <is>
          <t>TN</t>
        </is>
      </c>
      <c r="D569" s="20" t="inlineStr">
        <is>
          <t>TN01BH5226</t>
        </is>
      </c>
      <c r="E569" s="20" t="inlineStr">
        <is>
          <t>MARUTI SUZUKI</t>
        </is>
      </c>
      <c r="F569" s="20" t="inlineStr">
        <is>
          <t>Ciaz</t>
        </is>
      </c>
      <c r="G569" s="21" t="n">
        <v>2018</v>
      </c>
      <c r="H569" s="22" t="n">
        <v>42250</v>
      </c>
      <c r="I569" s="23" t="n">
        <v>520000</v>
      </c>
      <c r="J569" s="20" t="inlineStr">
        <is>
          <t>Khivraj Motor</t>
        </is>
      </c>
      <c r="K569" s="20" t="inlineStr">
        <is>
          <t>Non-Captive</t>
        </is>
      </c>
      <c r="L569" s="20" t="inlineStr">
        <is>
          <t>Grid 33</t>
        </is>
      </c>
      <c r="M569" s="23" t="n">
        <v>5508.47</v>
      </c>
      <c r="N569" s="23" t="n">
        <v>6500</v>
      </c>
      <c r="O569" s="24">
        <f>IF(AND(ISNUMBER(M569), ISNUMBER(I569), I569&gt;0), M569/I569, "")</f>
        <v/>
      </c>
    </row>
    <row r="570">
      <c r="A570" s="19" t="inlineStr">
        <is>
          <t>FY26</t>
        </is>
      </c>
      <c r="B570" s="19" t="inlineStr">
        <is>
          <t>Feb</t>
        </is>
      </c>
      <c r="C570" s="19" t="inlineStr">
        <is>
          <t>TN</t>
        </is>
      </c>
      <c r="D570" s="20" t="inlineStr">
        <is>
          <t>TN18F6026</t>
        </is>
      </c>
      <c r="E570" s="20" t="inlineStr">
        <is>
          <t>MARUTI SUZUKI</t>
        </is>
      </c>
      <c r="F570" s="20" t="inlineStr">
        <is>
          <t>Alto</t>
        </is>
      </c>
      <c r="G570" s="21" t="n">
        <v>2011</v>
      </c>
      <c r="H570" s="22" t="n">
        <v>77178</v>
      </c>
      <c r="I570" s="23" t="n">
        <v>110000</v>
      </c>
      <c r="J570" s="20" t="inlineStr">
        <is>
          <t>Khivraj Motor</t>
        </is>
      </c>
      <c r="K570" s="20" t="inlineStr">
        <is>
          <t>Non-Captive</t>
        </is>
      </c>
      <c r="L570" s="20" t="inlineStr">
        <is>
          <t>Pine Autos</t>
        </is>
      </c>
      <c r="M570" s="23" t="n">
        <v>5084.75</v>
      </c>
      <c r="N570" s="23" t="n">
        <v>6000</v>
      </c>
      <c r="O570" s="24">
        <f>IF(AND(ISNUMBER(M570), ISNUMBER(I570), I570&gt;0), M570/I570, "")</f>
        <v/>
      </c>
    </row>
    <row r="571">
      <c r="A571" s="19" t="inlineStr">
        <is>
          <t>FY26</t>
        </is>
      </c>
      <c r="B571" s="19" t="inlineStr">
        <is>
          <t>Feb</t>
        </is>
      </c>
      <c r="C571" s="19" t="inlineStr">
        <is>
          <t>TN</t>
        </is>
      </c>
      <c r="D571" s="20" t="inlineStr">
        <is>
          <t>TN09CP8704</t>
        </is>
      </c>
      <c r="E571" s="20" t="inlineStr">
        <is>
          <t>MARUTI SUZUKI</t>
        </is>
      </c>
      <c r="F571" s="20" t="inlineStr">
        <is>
          <t>Swift</t>
        </is>
      </c>
      <c r="G571" s="21" t="n">
        <v>2018</v>
      </c>
      <c r="H571" s="22" t="n">
        <v>11838</v>
      </c>
      <c r="I571" s="23" t="n">
        <v>475000</v>
      </c>
      <c r="J571" s="20" t="inlineStr">
        <is>
          <t>Khivraj Motor</t>
        </is>
      </c>
      <c r="K571" s="20" t="inlineStr">
        <is>
          <t>Non-Captive</t>
        </is>
      </c>
      <c r="L571" s="20" t="inlineStr">
        <is>
          <t>Value Drive Tecnologies</t>
        </is>
      </c>
      <c r="M571" s="23" t="n">
        <v>5084.75</v>
      </c>
      <c r="N571" s="23" t="n">
        <v>6000</v>
      </c>
      <c r="O571" s="24">
        <f>IF(AND(ISNUMBER(M571), ISNUMBER(I571), I571&gt;0), M571/I571, "")</f>
        <v/>
      </c>
    </row>
    <row r="572">
      <c r="A572" s="19" t="inlineStr">
        <is>
          <t>FY26</t>
        </is>
      </c>
      <c r="B572" s="19" t="inlineStr">
        <is>
          <t>Feb</t>
        </is>
      </c>
      <c r="C572" s="19" t="inlineStr">
        <is>
          <t>TN</t>
        </is>
      </c>
      <c r="D572" s="20" t="inlineStr">
        <is>
          <t>TN11AZ9138</t>
        </is>
      </c>
      <c r="E572" s="20" t="inlineStr">
        <is>
          <t>MARUTI SUZUKI</t>
        </is>
      </c>
      <c r="F572" s="20" t="inlineStr">
        <is>
          <t>Baleno</t>
        </is>
      </c>
      <c r="G572" s="21" t="n">
        <v>2022</v>
      </c>
      <c r="H572" s="22" t="n">
        <v>35538</v>
      </c>
      <c r="I572" s="23" t="n">
        <v>450000</v>
      </c>
      <c r="J572" s="20" t="inlineStr">
        <is>
          <t>EXCHANGE ROTN</t>
        </is>
      </c>
      <c r="K572" s="20" t="inlineStr">
        <is>
          <t>Captive</t>
        </is>
      </c>
      <c r="L572" s="20" t="inlineStr">
        <is>
          <t>Raju Cars</t>
        </is>
      </c>
      <c r="M572" s="23" t="n">
        <v>4237.29</v>
      </c>
      <c r="N572" s="23" t="n">
        <v>5000</v>
      </c>
      <c r="O572" s="24">
        <f>IF(AND(ISNUMBER(M572), ISNUMBER(I572), I572&gt;0), M572/I572, "")</f>
        <v/>
      </c>
    </row>
    <row r="573">
      <c r="A573" s="19" t="inlineStr">
        <is>
          <t>FY26</t>
        </is>
      </c>
      <c r="B573" s="19" t="inlineStr">
        <is>
          <t>Feb</t>
        </is>
      </c>
      <c r="C573" s="19" t="inlineStr">
        <is>
          <t>TN</t>
        </is>
      </c>
      <c r="D573" s="20" t="inlineStr">
        <is>
          <t>TN66AE9955</t>
        </is>
      </c>
      <c r="E573" s="20" t="inlineStr">
        <is>
          <t>MARUTI SUZUKI</t>
        </is>
      </c>
      <c r="F573" s="20" t="inlineStr">
        <is>
          <t>S-Presso</t>
        </is>
      </c>
      <c r="G573" s="21" t="n">
        <v>2020</v>
      </c>
      <c r="H573" s="22" t="n">
        <v>10964</v>
      </c>
      <c r="I573" s="23" t="n">
        <v>325000</v>
      </c>
      <c r="J573" s="20" t="inlineStr">
        <is>
          <t>EXCHANGE ROTN</t>
        </is>
      </c>
      <c r="K573" s="20" t="inlineStr">
        <is>
          <t>Captive</t>
        </is>
      </c>
      <c r="L573" s="20" t="inlineStr">
        <is>
          <t>YUGA DHEERAN CARS</t>
        </is>
      </c>
      <c r="M573" s="23" t="n">
        <v>4237.29</v>
      </c>
      <c r="N573" s="23" t="n">
        <v>5000</v>
      </c>
      <c r="O573" s="24">
        <f>IF(AND(ISNUMBER(M573), ISNUMBER(I573), I573&gt;0), M573/I573, "")</f>
        <v/>
      </c>
    </row>
    <row r="574">
      <c r="A574" s="19" t="inlineStr">
        <is>
          <t>FY26</t>
        </is>
      </c>
      <c r="B574" s="19" t="inlineStr">
        <is>
          <t>Feb</t>
        </is>
      </c>
      <c r="C574" s="19" t="inlineStr">
        <is>
          <t>TN</t>
        </is>
      </c>
      <c r="D574" s="20" t="inlineStr">
        <is>
          <t>TN30BL9628</t>
        </is>
      </c>
      <c r="E574" s="20" t="inlineStr">
        <is>
          <t>HONDA</t>
        </is>
      </c>
      <c r="F574" s="20" t="inlineStr">
        <is>
          <t>Wr-V</t>
        </is>
      </c>
      <c r="G574" s="21" t="n">
        <v>2018</v>
      </c>
      <c r="H574" s="22" t="n">
        <v>146334</v>
      </c>
      <c r="I574" s="23" t="n">
        <v>460000</v>
      </c>
      <c r="J574" s="20" t="inlineStr">
        <is>
          <t>EXCHANGE ROTN</t>
        </is>
      </c>
      <c r="K574" s="20" t="inlineStr">
        <is>
          <t>Captive</t>
        </is>
      </c>
      <c r="L574" s="20" t="inlineStr">
        <is>
          <t>Vadivel Madesh</t>
        </is>
      </c>
      <c r="M574" s="23" t="n">
        <v>4237.29</v>
      </c>
      <c r="N574" s="23" t="n">
        <v>5000</v>
      </c>
      <c r="O574" s="24">
        <f>IF(AND(ISNUMBER(M574), ISNUMBER(I574), I574&gt;0), M574/I574, "")</f>
        <v/>
      </c>
    </row>
    <row r="575">
      <c r="A575" s="19" t="inlineStr">
        <is>
          <t>FY26</t>
        </is>
      </c>
      <c r="B575" s="19" t="inlineStr">
        <is>
          <t>Feb</t>
        </is>
      </c>
      <c r="C575" s="19" t="inlineStr">
        <is>
          <t>TN</t>
        </is>
      </c>
      <c r="D575" s="20" t="inlineStr">
        <is>
          <t>TN38BZ5139</t>
        </is>
      </c>
      <c r="E575" s="20" t="inlineStr">
        <is>
          <t>HONDA</t>
        </is>
      </c>
      <c r="F575" s="20" t="inlineStr">
        <is>
          <t>City</t>
        </is>
      </c>
      <c r="G575" s="21" t="n">
        <v>2014</v>
      </c>
      <c r="H575" s="22" t="n">
        <v>252914</v>
      </c>
      <c r="I575" s="23" t="n">
        <v>315000</v>
      </c>
      <c r="J575" s="20" t="inlineStr">
        <is>
          <t>EXCHANGE ROTN</t>
        </is>
      </c>
      <c r="K575" s="20" t="inlineStr">
        <is>
          <t>Captive</t>
        </is>
      </c>
      <c r="L575" s="20" t="inlineStr">
        <is>
          <t>SIVASHANKAR CARS</t>
        </is>
      </c>
      <c r="M575" s="23" t="n">
        <v>10169.49</v>
      </c>
      <c r="N575" s="23" t="n">
        <v>12000</v>
      </c>
      <c r="O575" s="24">
        <f>IF(AND(ISNUMBER(M575), ISNUMBER(I575), I575&gt;0), M575/I575, "")</f>
        <v/>
      </c>
    </row>
    <row r="576">
      <c r="A576" s="19" t="inlineStr">
        <is>
          <t>FY26</t>
        </is>
      </c>
      <c r="B576" s="19" t="inlineStr">
        <is>
          <t>Feb</t>
        </is>
      </c>
      <c r="C576" s="19" t="inlineStr">
        <is>
          <t>TN</t>
        </is>
      </c>
      <c r="D576" s="20" t="inlineStr">
        <is>
          <t>TN06AC2214</t>
        </is>
      </c>
      <c r="E576" s="20" t="inlineStr">
        <is>
          <t>HONDA</t>
        </is>
      </c>
      <c r="F576" s="20" t="inlineStr">
        <is>
          <t>City</t>
        </is>
      </c>
      <c r="G576" s="21" t="n">
        <v>2022</v>
      </c>
      <c r="H576" s="22" t="n">
        <v>23487</v>
      </c>
      <c r="I576" s="23" t="n">
        <v>100000</v>
      </c>
      <c r="J576" s="20" t="inlineStr">
        <is>
          <t>EXCHANGE CHENNAI</t>
        </is>
      </c>
      <c r="K576" s="20" t="inlineStr">
        <is>
          <t>Captive</t>
        </is>
      </c>
      <c r="L576" s="20" t="inlineStr">
        <is>
          <t>Santhosh Cars</t>
        </is>
      </c>
      <c r="M576" s="23" t="n">
        <v>4237.29</v>
      </c>
      <c r="N576" s="23" t="n">
        <v>5000</v>
      </c>
      <c r="O576" s="24">
        <f>IF(AND(ISNUMBER(M576), ISNUMBER(I576), I576&gt;0), M576/I576, "")</f>
        <v/>
      </c>
    </row>
    <row r="577">
      <c r="A577" s="19" t="inlineStr">
        <is>
          <t>FY26</t>
        </is>
      </c>
      <c r="B577" s="19" t="inlineStr">
        <is>
          <t>Feb</t>
        </is>
      </c>
      <c r="C577" s="19" t="inlineStr">
        <is>
          <t>TN</t>
        </is>
      </c>
      <c r="D577" s="20" t="inlineStr">
        <is>
          <t>TN01AU6345</t>
        </is>
      </c>
      <c r="E577" s="20" t="inlineStr">
        <is>
          <t>VOLKSWAGEN</t>
        </is>
      </c>
      <c r="F577" s="20" t="inlineStr">
        <is>
          <t>Polo</t>
        </is>
      </c>
      <c r="G577" s="21" t="n">
        <v>2013</v>
      </c>
      <c r="H577" s="22" t="n">
        <v>293478</v>
      </c>
      <c r="I577" s="23" t="n">
        <v>100000</v>
      </c>
      <c r="J577" s="20" t="inlineStr">
        <is>
          <t>EXCHANGE CHENNAI</t>
        </is>
      </c>
      <c r="K577" s="20" t="inlineStr">
        <is>
          <t>Captive</t>
        </is>
      </c>
      <c r="L577" s="20" t="inlineStr">
        <is>
          <t>Santhosh Cars</t>
        </is>
      </c>
      <c r="M577" s="23" t="n">
        <v>8474.58</v>
      </c>
      <c r="N577" s="23" t="n">
        <v>10000</v>
      </c>
      <c r="O577" s="24">
        <f>IF(AND(ISNUMBER(M577), ISNUMBER(I577), I577&gt;0), M577/I577, "")</f>
        <v/>
      </c>
    </row>
    <row r="578">
      <c r="A578" s="19" t="inlineStr">
        <is>
          <t>FY26</t>
        </is>
      </c>
      <c r="B578" s="19" t="inlineStr">
        <is>
          <t>Feb</t>
        </is>
      </c>
      <c r="C578" s="19" t="inlineStr">
        <is>
          <t>TN</t>
        </is>
      </c>
      <c r="D578" s="20" t="inlineStr">
        <is>
          <t>TN64F3514</t>
        </is>
      </c>
      <c r="E578" s="20" t="inlineStr">
        <is>
          <t>TOYOTA</t>
        </is>
      </c>
      <c r="F578" s="20" t="inlineStr">
        <is>
          <t>Etios</t>
        </is>
      </c>
      <c r="G578" s="21" t="n">
        <v>2013</v>
      </c>
      <c r="H578" s="22" t="n">
        <v>67451</v>
      </c>
      <c r="I578" s="23" t="n">
        <v>330000</v>
      </c>
      <c r="J578" s="20" t="inlineStr">
        <is>
          <t>EXCHANGE ROTN</t>
        </is>
      </c>
      <c r="K578" s="20" t="inlineStr">
        <is>
          <t>Captive</t>
        </is>
      </c>
      <c r="L578" s="20" t="inlineStr">
        <is>
          <t>Dheera Cars</t>
        </is>
      </c>
      <c r="M578" s="23" t="n">
        <v>8474.58</v>
      </c>
      <c r="N578" s="23" t="n">
        <v>10000</v>
      </c>
      <c r="O578" s="24">
        <f>IF(AND(ISNUMBER(M578), ISNUMBER(I578), I578&gt;0), M578/I578, "")</f>
        <v/>
      </c>
    </row>
    <row r="579">
      <c r="A579" s="19" t="inlineStr">
        <is>
          <t>FY26</t>
        </is>
      </c>
      <c r="B579" s="19" t="inlineStr">
        <is>
          <t>Feb</t>
        </is>
      </c>
      <c r="C579" s="19" t="inlineStr">
        <is>
          <t>TN</t>
        </is>
      </c>
      <c r="D579" s="20" t="inlineStr">
        <is>
          <t>TN54F2003</t>
        </is>
      </c>
      <c r="E579" s="20" t="inlineStr">
        <is>
          <t>HONDA</t>
        </is>
      </c>
      <c r="F579" s="20" t="inlineStr">
        <is>
          <t>Civic</t>
        </is>
      </c>
      <c r="G579" s="21" t="n">
        <v>2012</v>
      </c>
      <c r="H579" s="22" t="n">
        <v>150779</v>
      </c>
      <c r="I579" s="23" t="n">
        <v>274000</v>
      </c>
      <c r="J579" s="20" t="inlineStr">
        <is>
          <t>EXCHANGE ROTN</t>
        </is>
      </c>
      <c r="K579" s="20" t="inlineStr">
        <is>
          <t>Captive</t>
        </is>
      </c>
      <c r="L579" s="20" t="inlineStr">
        <is>
          <t>MSV Car Painting</t>
        </is>
      </c>
      <c r="M579" s="23" t="n">
        <v>13559.32</v>
      </c>
      <c r="N579" s="23" t="n">
        <v>16000</v>
      </c>
      <c r="O579" s="24">
        <f>IF(AND(ISNUMBER(M579), ISNUMBER(I579), I579&gt;0), M579/I579, "")</f>
        <v/>
      </c>
    </row>
    <row r="580">
      <c r="A580" s="19" t="inlineStr">
        <is>
          <t>FY26</t>
        </is>
      </c>
      <c r="B580" s="19" t="inlineStr">
        <is>
          <t>Feb</t>
        </is>
      </c>
      <c r="C580" s="19" t="inlineStr">
        <is>
          <t>TN</t>
        </is>
      </c>
      <c r="D580" s="20" t="inlineStr">
        <is>
          <t>TN38M6788</t>
        </is>
      </c>
      <c r="E580" s="20" t="inlineStr">
        <is>
          <t>HYUNDAI</t>
        </is>
      </c>
      <c r="F580" s="20" t="inlineStr">
        <is>
          <t>Accent</t>
        </is>
      </c>
      <c r="G580" s="21" t="n">
        <v>2001</v>
      </c>
      <c r="H580" s="22" t="n">
        <v>259668</v>
      </c>
      <c r="I580" s="23" t="n">
        <v>30000</v>
      </c>
      <c r="J580" s="20" t="inlineStr">
        <is>
          <t>EXCHANGE ROTN</t>
        </is>
      </c>
      <c r="K580" s="20" t="inlineStr">
        <is>
          <t>Captive</t>
        </is>
      </c>
      <c r="L580" s="20" t="inlineStr">
        <is>
          <t>SIVASHANKAR CARS</t>
        </is>
      </c>
      <c r="M580" s="23" t="n">
        <v>4237.29</v>
      </c>
      <c r="N580" s="23" t="n">
        <v>5000</v>
      </c>
      <c r="O580" s="24">
        <f>IF(AND(ISNUMBER(M580), ISNUMBER(I580), I580&gt;0), M580/I580, "")</f>
        <v/>
      </c>
    </row>
    <row r="581">
      <c r="A581" s="19" t="inlineStr">
        <is>
          <t>FY26</t>
        </is>
      </c>
      <c r="B581" s="19" t="inlineStr">
        <is>
          <t>Feb</t>
        </is>
      </c>
      <c r="C581" s="19" t="inlineStr">
        <is>
          <t>TN</t>
        </is>
      </c>
      <c r="D581" s="20" t="inlineStr">
        <is>
          <t>TN01BF2892</t>
        </is>
      </c>
      <c r="E581" s="20" t="inlineStr">
        <is>
          <t>HONDA</t>
        </is>
      </c>
      <c r="F581" s="20" t="inlineStr">
        <is>
          <t>Jazz</t>
        </is>
      </c>
      <c r="G581" s="21" t="n">
        <v>2018</v>
      </c>
      <c r="H581" s="22" t="n">
        <v>47660</v>
      </c>
      <c r="I581" s="23" t="n">
        <v>415000</v>
      </c>
      <c r="J581" s="20" t="inlineStr">
        <is>
          <t>EXCHANGE CHENNAI</t>
        </is>
      </c>
      <c r="K581" s="20" t="inlineStr">
        <is>
          <t>Captive</t>
        </is>
      </c>
      <c r="L581" s="20" t="inlineStr">
        <is>
          <t>AAA Cars</t>
        </is>
      </c>
      <c r="M581" s="23" t="n">
        <v>5084.75</v>
      </c>
      <c r="N581" s="23" t="n">
        <v>6000</v>
      </c>
      <c r="O581" s="24">
        <f>IF(AND(ISNUMBER(M581), ISNUMBER(I581), I581&gt;0), M581/I581, "")</f>
        <v/>
      </c>
    </row>
    <row r="582">
      <c r="A582" s="19" t="inlineStr">
        <is>
          <t>FY26</t>
        </is>
      </c>
      <c r="B582" s="19" t="inlineStr">
        <is>
          <t>Feb</t>
        </is>
      </c>
      <c r="C582" s="19" t="inlineStr">
        <is>
          <t>TN</t>
        </is>
      </c>
      <c r="D582" s="20" t="inlineStr">
        <is>
          <t>TN07CT0619</t>
        </is>
      </c>
      <c r="E582" s="20" t="inlineStr">
        <is>
          <t>SKODA</t>
        </is>
      </c>
      <c r="F582" s="20" t="inlineStr">
        <is>
          <t>Rapid</t>
        </is>
      </c>
      <c r="G582" s="21" t="n">
        <v>2019</v>
      </c>
      <c r="H582" s="22" t="n">
        <v>80000</v>
      </c>
      <c r="I582" s="23" t="n">
        <v>440000</v>
      </c>
      <c r="J582" s="20" t="inlineStr">
        <is>
          <t>EXCHANGE CHENNAI</t>
        </is>
      </c>
      <c r="K582" s="20" t="inlineStr">
        <is>
          <t>Captive</t>
        </is>
      </c>
      <c r="L582" s="20" t="inlineStr">
        <is>
          <t>Ragupathy Cars</t>
        </is>
      </c>
      <c r="M582" s="23" t="n">
        <v>8474.58</v>
      </c>
      <c r="N582" s="23" t="n">
        <v>10000</v>
      </c>
      <c r="O582" s="24">
        <f>IF(AND(ISNUMBER(M582), ISNUMBER(I582), I582&gt;0), M582/I582, "")</f>
        <v/>
      </c>
    </row>
    <row r="583">
      <c r="A583" s="19" t="inlineStr">
        <is>
          <t>FY26</t>
        </is>
      </c>
      <c r="B583" s="19" t="inlineStr">
        <is>
          <t>Feb</t>
        </is>
      </c>
      <c r="C583" s="19" t="inlineStr">
        <is>
          <t>TN</t>
        </is>
      </c>
      <c r="D583" s="20" t="inlineStr">
        <is>
          <t>TN01AZ6217</t>
        </is>
      </c>
      <c r="E583" s="20" t="inlineStr">
        <is>
          <t>HONDA</t>
        </is>
      </c>
      <c r="F583" s="20" t="inlineStr">
        <is>
          <t>City</t>
        </is>
      </c>
      <c r="G583" s="21" t="n">
        <v>2016</v>
      </c>
      <c r="H583" s="22" t="n">
        <v>48813</v>
      </c>
      <c r="I583" s="23" t="n">
        <v>525000</v>
      </c>
      <c r="J583" s="20" t="inlineStr">
        <is>
          <t>EXCHANGE CHENNAI</t>
        </is>
      </c>
      <c r="K583" s="20" t="inlineStr">
        <is>
          <t>Captive</t>
        </is>
      </c>
      <c r="L583" s="20" t="inlineStr">
        <is>
          <t>Santhosh Cars</t>
        </is>
      </c>
      <c r="M583" s="23" t="n">
        <v>8474.58</v>
      </c>
      <c r="N583" s="23" t="n">
        <v>10000</v>
      </c>
      <c r="O583" s="24">
        <f>IF(AND(ISNUMBER(M583), ISNUMBER(I583), I583&gt;0), M583/I583, "")</f>
        <v/>
      </c>
    </row>
    <row r="584">
      <c r="A584" s="19" t="inlineStr">
        <is>
          <t>FY26</t>
        </is>
      </c>
      <c r="B584" s="19" t="inlineStr">
        <is>
          <t>Feb</t>
        </is>
      </c>
      <c r="C584" s="19" t="inlineStr">
        <is>
          <t>TN</t>
        </is>
      </c>
      <c r="D584" s="20" t="inlineStr">
        <is>
          <t>TN30BH2003</t>
        </is>
      </c>
      <c r="E584" s="20" t="inlineStr">
        <is>
          <t>TOYOTA</t>
        </is>
      </c>
      <c r="F584" s="20" t="inlineStr">
        <is>
          <t>Corolla</t>
        </is>
      </c>
      <c r="G584" s="21" t="n">
        <v>2016</v>
      </c>
      <c r="H584" s="22" t="n">
        <v>76888</v>
      </c>
      <c r="I584" s="23" t="n">
        <v>500000</v>
      </c>
      <c r="J584" s="20" t="inlineStr">
        <is>
          <t>EXCHANGE ROTN</t>
        </is>
      </c>
      <c r="K584" s="20" t="inlineStr">
        <is>
          <t>Captive</t>
        </is>
      </c>
      <c r="L584" s="20" t="inlineStr">
        <is>
          <t>SIVASHANKAR CARS</t>
        </is>
      </c>
      <c r="M584" s="23" t="n">
        <v>12711.86</v>
      </c>
      <c r="N584" s="23" t="n">
        <v>15000</v>
      </c>
      <c r="O584" s="24">
        <f>IF(AND(ISNUMBER(M584), ISNUMBER(I584), I584&gt;0), M584/I584, "")</f>
        <v/>
      </c>
    </row>
    <row r="585">
      <c r="A585" s="19" t="inlineStr">
        <is>
          <t>FY26</t>
        </is>
      </c>
      <c r="B585" s="19" t="inlineStr">
        <is>
          <t>Feb</t>
        </is>
      </c>
      <c r="C585" s="19" t="inlineStr">
        <is>
          <t>TN</t>
        </is>
      </c>
      <c r="D585" s="20" t="inlineStr">
        <is>
          <t>TN48AU2683</t>
        </is>
      </c>
      <c r="E585" s="20" t="inlineStr">
        <is>
          <t>HYUNDAI</t>
        </is>
      </c>
      <c r="F585" s="20" t="inlineStr">
        <is>
          <t>Verna</t>
        </is>
      </c>
      <c r="G585" s="21" t="n">
        <v>2015</v>
      </c>
      <c r="H585" s="22" t="n">
        <v>85278</v>
      </c>
      <c r="I585" s="23" t="n">
        <v>390000</v>
      </c>
      <c r="J585" s="20" t="inlineStr">
        <is>
          <t>EXCHANGE ROTN</t>
        </is>
      </c>
      <c r="K585" s="20" t="inlineStr">
        <is>
          <t>Captive</t>
        </is>
      </c>
      <c r="L585" s="20" t="inlineStr">
        <is>
          <t>Sri Murugan Cars</t>
        </is>
      </c>
      <c r="M585" s="23" t="n">
        <v>4237.29</v>
      </c>
      <c r="N585" s="23" t="n">
        <v>5000</v>
      </c>
      <c r="O585" s="24">
        <f>IF(AND(ISNUMBER(M585), ISNUMBER(I585), I585&gt;0), M585/I585, "")</f>
        <v/>
      </c>
    </row>
    <row r="586">
      <c r="A586" s="19" t="inlineStr">
        <is>
          <t>FY26</t>
        </is>
      </c>
      <c r="B586" s="19" t="inlineStr">
        <is>
          <t>Feb</t>
        </is>
      </c>
      <c r="C586" s="19" t="inlineStr">
        <is>
          <t>TN</t>
        </is>
      </c>
      <c r="D586" s="20" t="inlineStr">
        <is>
          <t>TN39BD2288</t>
        </is>
      </c>
      <c r="E586" s="20" t="inlineStr">
        <is>
          <t>VOLKSWAGEN</t>
        </is>
      </c>
      <c r="F586" s="20" t="inlineStr">
        <is>
          <t>Vento</t>
        </is>
      </c>
      <c r="G586" s="21" t="n">
        <v>2011</v>
      </c>
      <c r="H586" s="22" t="n">
        <v>177759</v>
      </c>
      <c r="I586" s="23" t="n">
        <v>205000</v>
      </c>
      <c r="J586" s="20" t="inlineStr">
        <is>
          <t>EXCHANGE ROTN</t>
        </is>
      </c>
      <c r="K586" s="20" t="inlineStr">
        <is>
          <t>Captive</t>
        </is>
      </c>
      <c r="L586" s="20" t="inlineStr">
        <is>
          <t>Karthickeyan cars</t>
        </is>
      </c>
      <c r="M586" s="23" t="n">
        <v>10169.49</v>
      </c>
      <c r="N586" s="23" t="n">
        <v>12000</v>
      </c>
      <c r="O586" s="24">
        <f>IF(AND(ISNUMBER(M586), ISNUMBER(I586), I586&gt;0), M586/I586, "")</f>
        <v/>
      </c>
    </row>
    <row r="587">
      <c r="A587" s="19" t="inlineStr">
        <is>
          <t>FY26</t>
        </is>
      </c>
      <c r="B587" s="19" t="inlineStr">
        <is>
          <t>Feb</t>
        </is>
      </c>
      <c r="C587" s="19" t="inlineStr">
        <is>
          <t>TN</t>
        </is>
      </c>
      <c r="D587" s="20" t="inlineStr">
        <is>
          <t>TN39CY9609</t>
        </is>
      </c>
      <c r="E587" s="20" t="inlineStr">
        <is>
          <t>TOYOTA</t>
        </is>
      </c>
      <c r="F587" s="20" t="inlineStr">
        <is>
          <t>Etios</t>
        </is>
      </c>
      <c r="G587" s="21" t="n">
        <v>2018</v>
      </c>
      <c r="H587" s="22" t="n">
        <v>40079</v>
      </c>
      <c r="I587" s="23" t="n">
        <v>500000</v>
      </c>
      <c r="J587" s="20" t="inlineStr">
        <is>
          <t>EXCHANGE ROTN</t>
        </is>
      </c>
      <c r="K587" s="20" t="inlineStr">
        <is>
          <t>Captive</t>
        </is>
      </c>
      <c r="L587" s="20" t="inlineStr">
        <is>
          <t>Madhura Cars</t>
        </is>
      </c>
      <c r="M587" s="23" t="n">
        <v>12711.86</v>
      </c>
      <c r="N587" s="23" t="n">
        <v>15000</v>
      </c>
      <c r="O587" s="24">
        <f>IF(AND(ISNUMBER(M587), ISNUMBER(I587), I587&gt;0), M587/I587, "")</f>
        <v/>
      </c>
    </row>
    <row r="588">
      <c r="A588" s="19" t="inlineStr">
        <is>
          <t>FY26</t>
        </is>
      </c>
      <c r="B588" s="19" t="inlineStr">
        <is>
          <t>Feb</t>
        </is>
      </c>
      <c r="C588" s="19" t="inlineStr">
        <is>
          <t>TN</t>
        </is>
      </c>
      <c r="D588" s="20" t="inlineStr">
        <is>
          <t>TN30BD1107</t>
        </is>
      </c>
      <c r="E588" s="20" t="inlineStr">
        <is>
          <t>MARUTI SUZUKI</t>
        </is>
      </c>
      <c r="F588" s="20" t="inlineStr">
        <is>
          <t>Swift</t>
        </is>
      </c>
      <c r="G588" s="21" t="n">
        <v>2015</v>
      </c>
      <c r="H588" s="22" t="n">
        <v>325500</v>
      </c>
      <c r="I588" s="23" t="n">
        <v>290000</v>
      </c>
      <c r="J588" s="20" t="inlineStr">
        <is>
          <t>EXCHANGE ROTN</t>
        </is>
      </c>
      <c r="K588" s="20" t="inlineStr">
        <is>
          <t>Captive</t>
        </is>
      </c>
      <c r="L588" s="20" t="inlineStr">
        <is>
          <t>Rajaganapathy Cars</t>
        </is>
      </c>
      <c r="M588" s="23" t="n">
        <v>8474.58</v>
      </c>
      <c r="N588" s="23" t="n">
        <v>10000</v>
      </c>
      <c r="O588" s="24">
        <f>IF(AND(ISNUMBER(M588), ISNUMBER(I588), I588&gt;0), M588/I588, "")</f>
        <v/>
      </c>
    </row>
    <row r="589">
      <c r="A589" s="19" t="inlineStr">
        <is>
          <t>FY26</t>
        </is>
      </c>
      <c r="B589" s="19" t="inlineStr">
        <is>
          <t>Feb</t>
        </is>
      </c>
      <c r="C589" s="19" t="inlineStr">
        <is>
          <t>TN</t>
        </is>
      </c>
      <c r="D589" s="20" t="inlineStr">
        <is>
          <t>TN59CV1270</t>
        </is>
      </c>
      <c r="E589" s="20" t="inlineStr">
        <is>
          <t>HONDA</t>
        </is>
      </c>
      <c r="F589" s="20" t="inlineStr">
        <is>
          <t>Wr-V</t>
        </is>
      </c>
      <c r="G589" s="21" t="n">
        <v>2021</v>
      </c>
      <c r="H589" s="22" t="n">
        <v>71441</v>
      </c>
      <c r="I589" s="23" t="n">
        <v>575000</v>
      </c>
      <c r="J589" s="20" t="inlineStr">
        <is>
          <t>EXCHANGE ROTN</t>
        </is>
      </c>
      <c r="K589" s="20" t="inlineStr">
        <is>
          <t>Captive</t>
        </is>
      </c>
      <c r="L589" s="20" t="inlineStr">
        <is>
          <t>Ashwin cars</t>
        </is>
      </c>
      <c r="M589" s="23" t="n">
        <v>12711.86</v>
      </c>
      <c r="N589" s="23" t="n">
        <v>15000</v>
      </c>
      <c r="O589" s="24">
        <f>IF(AND(ISNUMBER(M589), ISNUMBER(I589), I589&gt;0), M589/I589, "")</f>
        <v/>
      </c>
    </row>
    <row r="590">
      <c r="A590" s="19" t="inlineStr">
        <is>
          <t>FY26</t>
        </is>
      </c>
      <c r="B590" s="19" t="inlineStr">
        <is>
          <t>Feb</t>
        </is>
      </c>
      <c r="C590" s="19" t="inlineStr">
        <is>
          <t>TN</t>
        </is>
      </c>
      <c r="D590" s="20" t="inlineStr">
        <is>
          <t>TN04AM0455</t>
        </is>
      </c>
      <c r="E590" s="20" t="inlineStr">
        <is>
          <t>HONDA</t>
        </is>
      </c>
      <c r="F590" s="20" t="inlineStr">
        <is>
          <t>Amaze</t>
        </is>
      </c>
      <c r="G590" s="21" t="n">
        <v>2013</v>
      </c>
      <c r="H590" s="22" t="n">
        <v>140133</v>
      </c>
      <c r="I590" s="23" t="n">
        <v>270000</v>
      </c>
      <c r="J590" s="20" t="inlineStr">
        <is>
          <t>EXCHANGE CHENNAI</t>
        </is>
      </c>
      <c r="K590" s="20" t="inlineStr">
        <is>
          <t>Captive</t>
        </is>
      </c>
      <c r="L590" s="20" t="inlineStr">
        <is>
          <t>Santhosh Cars</t>
        </is>
      </c>
      <c r="M590" s="23" t="n">
        <v>8474.58</v>
      </c>
      <c r="N590" s="23" t="n">
        <v>10000</v>
      </c>
      <c r="O590" s="24">
        <f>IF(AND(ISNUMBER(M590), ISNUMBER(I590), I590&gt;0), M590/I590, "")</f>
        <v/>
      </c>
    </row>
    <row r="591">
      <c r="A591" s="19" t="inlineStr">
        <is>
          <t>FY26</t>
        </is>
      </c>
      <c r="B591" s="19" t="inlineStr">
        <is>
          <t>Feb</t>
        </is>
      </c>
      <c r="C591" s="19" t="inlineStr">
        <is>
          <t>TN</t>
        </is>
      </c>
      <c r="D591" s="20" t="inlineStr">
        <is>
          <t>TN18J6373</t>
        </is>
      </c>
      <c r="E591" s="20" t="inlineStr">
        <is>
          <t>MARUTI SUZUKI</t>
        </is>
      </c>
      <c r="F591" s="20" t="inlineStr">
        <is>
          <t>Swift Dzire</t>
        </is>
      </c>
      <c r="G591" s="21" t="n">
        <v>2011</v>
      </c>
      <c r="H591" s="22" t="n">
        <v>61247</v>
      </c>
      <c r="I591" s="23" t="n">
        <v>233000</v>
      </c>
      <c r="J591" s="20" t="inlineStr">
        <is>
          <t>EXCHANGE CHENNAI</t>
        </is>
      </c>
      <c r="K591" s="20" t="inlineStr">
        <is>
          <t>Captive</t>
        </is>
      </c>
      <c r="L591" s="20" t="inlineStr">
        <is>
          <t>Santhosh Cars</t>
        </is>
      </c>
      <c r="M591" s="23" t="n">
        <v>8474.58</v>
      </c>
      <c r="N591" s="23" t="n">
        <v>10000</v>
      </c>
      <c r="O591" s="24">
        <f>IF(AND(ISNUMBER(M591), ISNUMBER(I591), I591&gt;0), M591/I591, "")</f>
        <v/>
      </c>
    </row>
    <row r="592">
      <c r="A592" s="19" t="inlineStr">
        <is>
          <t>FY26</t>
        </is>
      </c>
      <c r="B592" s="19" t="inlineStr">
        <is>
          <t>Feb</t>
        </is>
      </c>
      <c r="C592" s="19" t="inlineStr">
        <is>
          <t>TN</t>
        </is>
      </c>
      <c r="D592" s="20" t="inlineStr">
        <is>
          <t>TN07CE9212</t>
        </is>
      </c>
      <c r="E592" s="20" t="inlineStr">
        <is>
          <t>MARUTI SUZUKI</t>
        </is>
      </c>
      <c r="F592" s="20" t="inlineStr">
        <is>
          <t>Ciaz</t>
        </is>
      </c>
      <c r="G592" s="21" t="n">
        <v>2016</v>
      </c>
      <c r="H592" s="22" t="n">
        <v>103845</v>
      </c>
      <c r="I592" s="23" t="n">
        <v>355000</v>
      </c>
      <c r="J592" s="20" t="inlineStr">
        <is>
          <t>EXCHANGE CHENNAI</t>
        </is>
      </c>
      <c r="K592" s="20" t="inlineStr">
        <is>
          <t>Captive</t>
        </is>
      </c>
      <c r="L592" s="20" t="inlineStr">
        <is>
          <t>Santhosh Cars</t>
        </is>
      </c>
      <c r="M592" s="23" t="n">
        <v>8474.58</v>
      </c>
      <c r="N592" s="23" t="n">
        <v>10000</v>
      </c>
      <c r="O592" s="24">
        <f>IF(AND(ISNUMBER(M592), ISNUMBER(I592), I592&gt;0), M592/I592, "")</f>
        <v/>
      </c>
    </row>
    <row r="593">
      <c r="A593" s="19" t="inlineStr">
        <is>
          <t>FY26</t>
        </is>
      </c>
      <c r="B593" s="19" t="inlineStr">
        <is>
          <t>Feb</t>
        </is>
      </c>
      <c r="C593" s="19" t="inlineStr">
        <is>
          <t>TN</t>
        </is>
      </c>
      <c r="D593" s="20" t="inlineStr">
        <is>
          <t>TN01BF3619</t>
        </is>
      </c>
      <c r="E593" s="20" t="inlineStr">
        <is>
          <t>MARUTI SUZUKI</t>
        </is>
      </c>
      <c r="F593" s="20" t="inlineStr">
        <is>
          <t>Vitara Brezza</t>
        </is>
      </c>
      <c r="G593" s="21" t="n">
        <v>2018</v>
      </c>
      <c r="H593" s="22" t="n">
        <v>116219</v>
      </c>
      <c r="I593" s="23" t="n">
        <v>540000</v>
      </c>
      <c r="J593" s="20" t="inlineStr">
        <is>
          <t>EXCHANGE CHENNAI</t>
        </is>
      </c>
      <c r="K593" s="20" t="inlineStr">
        <is>
          <t>Captive</t>
        </is>
      </c>
      <c r="L593" s="20" t="inlineStr">
        <is>
          <t>TSM</t>
        </is>
      </c>
      <c r="M593" s="23" t="n">
        <v>4237.29</v>
      </c>
      <c r="N593" s="23" t="n">
        <v>5000</v>
      </c>
      <c r="O593" s="24">
        <f>IF(AND(ISNUMBER(M593), ISNUMBER(I593), I593&gt;0), M593/I593, "")</f>
        <v/>
      </c>
    </row>
    <row r="594">
      <c r="A594" s="19" t="inlineStr">
        <is>
          <t>FY26</t>
        </is>
      </c>
      <c r="B594" s="19" t="inlineStr">
        <is>
          <t>Feb</t>
        </is>
      </c>
      <c r="C594" s="19" t="inlineStr">
        <is>
          <t>TN</t>
        </is>
      </c>
      <c r="D594" s="20" t="inlineStr">
        <is>
          <t>TN05AM6696</t>
        </is>
      </c>
      <c r="E594" s="20" t="inlineStr">
        <is>
          <t>HONDA</t>
        </is>
      </c>
      <c r="F594" s="20" t="inlineStr">
        <is>
          <t>City</t>
        </is>
      </c>
      <c r="G594" s="21" t="n">
        <v>2012</v>
      </c>
      <c r="H594" s="22" t="n">
        <v>113585</v>
      </c>
      <c r="I594" s="23" t="n">
        <v>230000</v>
      </c>
      <c r="J594" s="20" t="inlineStr">
        <is>
          <t>EXCHANGE CHENNAI</t>
        </is>
      </c>
      <c r="K594" s="20" t="inlineStr">
        <is>
          <t>Captive</t>
        </is>
      </c>
      <c r="L594" s="20" t="inlineStr">
        <is>
          <t>Santhosh Cars</t>
        </is>
      </c>
      <c r="M594" s="23" t="n">
        <v>8474.58</v>
      </c>
      <c r="N594" s="23" t="n">
        <v>10000</v>
      </c>
      <c r="O594" s="24">
        <f>IF(AND(ISNUMBER(M594), ISNUMBER(I594), I594&gt;0), M594/I594, "")</f>
        <v/>
      </c>
    </row>
    <row r="595">
      <c r="A595" s="19" t="inlineStr">
        <is>
          <t>FY26</t>
        </is>
      </c>
      <c r="B595" s="19" t="inlineStr">
        <is>
          <t>Feb</t>
        </is>
      </c>
      <c r="C595" s="19" t="inlineStr">
        <is>
          <t>TN</t>
        </is>
      </c>
      <c r="D595" s="20" t="inlineStr">
        <is>
          <t>TN01AW0119</t>
        </is>
      </c>
      <c r="E595" s="20" t="inlineStr">
        <is>
          <t>HONDA</t>
        </is>
      </c>
      <c r="F595" s="20" t="inlineStr">
        <is>
          <t>City</t>
        </is>
      </c>
      <c r="G595" s="21" t="n">
        <v>2014</v>
      </c>
      <c r="H595" s="22" t="n">
        <v>49751</v>
      </c>
      <c r="I595" s="23" t="n">
        <v>480000</v>
      </c>
      <c r="J595" s="20" t="inlineStr">
        <is>
          <t>EXCHANGE CHENNAI</t>
        </is>
      </c>
      <c r="K595" s="20" t="inlineStr">
        <is>
          <t>Captive</t>
        </is>
      </c>
      <c r="L595" s="20" t="inlineStr">
        <is>
          <t>Nirmal Cars</t>
        </is>
      </c>
      <c r="M595" s="23" t="n">
        <v>8474.58</v>
      </c>
      <c r="N595" s="23" t="n">
        <v>10000</v>
      </c>
      <c r="O595" s="24">
        <f>IF(AND(ISNUMBER(M595), ISNUMBER(I595), I595&gt;0), M595/I595, "")</f>
        <v/>
      </c>
    </row>
    <row r="596">
      <c r="A596" s="19" t="inlineStr">
        <is>
          <t>FY26</t>
        </is>
      </c>
      <c r="B596" s="19" t="inlineStr">
        <is>
          <t>Feb</t>
        </is>
      </c>
      <c r="C596" s="19" t="inlineStr">
        <is>
          <t>TN</t>
        </is>
      </c>
      <c r="D596" s="20" t="inlineStr">
        <is>
          <t>TN20AZ8217</t>
        </is>
      </c>
      <c r="E596" s="20" t="inlineStr">
        <is>
          <t>MARUTI SUZUKI</t>
        </is>
      </c>
      <c r="F596" s="20" t="inlineStr">
        <is>
          <t>Zen</t>
        </is>
      </c>
      <c r="G596" s="21" t="n">
        <v>2005</v>
      </c>
      <c r="H596" s="22" t="n">
        <v>158955</v>
      </c>
      <c r="I596" s="23" t="n">
        <v>65000</v>
      </c>
      <c r="J596" s="20" t="inlineStr">
        <is>
          <t>EXCHANGE ROTN</t>
        </is>
      </c>
      <c r="K596" s="20" t="inlineStr">
        <is>
          <t>Captive</t>
        </is>
      </c>
      <c r="L596" s="20" t="inlineStr">
        <is>
          <t>SIVASHANKAR CARS</t>
        </is>
      </c>
      <c r="M596" s="23" t="n">
        <v>4237.29</v>
      </c>
      <c r="N596" s="23" t="n">
        <v>5000</v>
      </c>
      <c r="O596" s="24">
        <f>IF(AND(ISNUMBER(M596), ISNUMBER(I596), I596&gt;0), M596/I596, "")</f>
        <v/>
      </c>
    </row>
    <row r="597">
      <c r="A597" s="19" t="inlineStr">
        <is>
          <t>FY26</t>
        </is>
      </c>
      <c r="B597" s="19" t="inlineStr">
        <is>
          <t>Feb</t>
        </is>
      </c>
      <c r="C597" s="19" t="inlineStr">
        <is>
          <t>TN</t>
        </is>
      </c>
      <c r="D597" s="20" t="inlineStr">
        <is>
          <t>TN10R8454</t>
        </is>
      </c>
      <c r="E597" s="20" t="inlineStr">
        <is>
          <t>MARUTI SUZUKI</t>
        </is>
      </c>
      <c r="F597" s="20" t="inlineStr">
        <is>
          <t>Wagon R</t>
        </is>
      </c>
      <c r="G597" s="21" t="n">
        <v>2007</v>
      </c>
      <c r="H597" s="22" t="n">
        <v>188412</v>
      </c>
      <c r="I597" s="23" t="n">
        <v>70000</v>
      </c>
      <c r="J597" s="20" t="inlineStr">
        <is>
          <t>EXCHANGE ROTN</t>
        </is>
      </c>
      <c r="K597" s="20" t="inlineStr">
        <is>
          <t>Captive</t>
        </is>
      </c>
      <c r="L597" s="20" t="inlineStr">
        <is>
          <t>SIVASHANKAR CARS</t>
        </is>
      </c>
      <c r="M597" s="23" t="n">
        <v>4237.29</v>
      </c>
      <c r="N597" s="23" t="n">
        <v>5000</v>
      </c>
      <c r="O597" s="24">
        <f>IF(AND(ISNUMBER(M597), ISNUMBER(I597), I597&gt;0), M597/I597, "")</f>
        <v/>
      </c>
    </row>
    <row r="598">
      <c r="A598" s="19" t="inlineStr">
        <is>
          <t>FY26</t>
        </is>
      </c>
      <c r="B598" s="19" t="inlineStr">
        <is>
          <t>Feb</t>
        </is>
      </c>
      <c r="C598" s="19" t="inlineStr">
        <is>
          <t>TN</t>
        </is>
      </c>
      <c r="D598" s="20" t="inlineStr">
        <is>
          <t>TN02Q1287</t>
        </is>
      </c>
      <c r="E598" s="20" t="inlineStr">
        <is>
          <t>OPEL</t>
        </is>
      </c>
      <c r="F598" s="20" t="inlineStr">
        <is>
          <t>Corsa</t>
        </is>
      </c>
      <c r="G598" s="21" t="n">
        <v>2003</v>
      </c>
      <c r="H598" s="22" t="n">
        <v>648000</v>
      </c>
      <c r="I598" s="23" t="n">
        <v>25000</v>
      </c>
      <c r="J598" s="20" t="inlineStr">
        <is>
          <t>EXCHANGE ROTN</t>
        </is>
      </c>
      <c r="K598" s="20" t="inlineStr">
        <is>
          <t>Captive</t>
        </is>
      </c>
      <c r="L598" s="20" t="inlineStr">
        <is>
          <t>Dheera Cars</t>
        </is>
      </c>
      <c r="M598" s="23" t="n">
        <v>4237.29</v>
      </c>
      <c r="N598" s="23" t="n">
        <v>5000</v>
      </c>
      <c r="O598" s="24">
        <f>IF(AND(ISNUMBER(M598), ISNUMBER(I598), I598&gt;0), M598/I598, "")</f>
        <v/>
      </c>
    </row>
    <row r="599">
      <c r="A599" s="19" t="inlineStr">
        <is>
          <t>FY26</t>
        </is>
      </c>
      <c r="B599" s="19" t="inlineStr">
        <is>
          <t>Feb</t>
        </is>
      </c>
      <c r="C599" s="19" t="inlineStr">
        <is>
          <t>TN</t>
        </is>
      </c>
      <c r="D599" s="20" t="inlineStr">
        <is>
          <t>TN24BB0123</t>
        </is>
      </c>
      <c r="E599" s="20" t="inlineStr">
        <is>
          <t>HONDA</t>
        </is>
      </c>
      <c r="F599" s="20" t="inlineStr">
        <is>
          <t>Elevate</t>
        </is>
      </c>
      <c r="G599" s="21" t="n">
        <v>2023</v>
      </c>
      <c r="H599" s="22" t="n">
        <v>161222</v>
      </c>
      <c r="I599" s="23" t="n">
        <v>850000</v>
      </c>
      <c r="J599" s="20" t="inlineStr">
        <is>
          <t>EXCHANGE ROTN</t>
        </is>
      </c>
      <c r="K599" s="20" t="inlineStr">
        <is>
          <t>Captive</t>
        </is>
      </c>
      <c r="L599" s="20" t="inlineStr">
        <is>
          <t>Dheera Cars</t>
        </is>
      </c>
      <c r="M599" s="23" t="n">
        <v>4237.29</v>
      </c>
      <c r="N599" s="23" t="n">
        <v>5000</v>
      </c>
      <c r="O599" s="24">
        <f>IF(AND(ISNUMBER(M599), ISNUMBER(I599), I599&gt;0), M599/I599, "")</f>
        <v/>
      </c>
    </row>
    <row r="600">
      <c r="A600" s="19" t="inlineStr">
        <is>
          <t>FY26</t>
        </is>
      </c>
      <c r="B600" s="19" t="inlineStr">
        <is>
          <t>Feb</t>
        </is>
      </c>
      <c r="C600" s="19" t="inlineStr">
        <is>
          <t>TN</t>
        </is>
      </c>
      <c r="D600" s="20" t="inlineStr">
        <is>
          <t>TN02AV7175</t>
        </is>
      </c>
      <c r="E600" s="20" t="inlineStr">
        <is>
          <t>CHEVROLET</t>
        </is>
      </c>
      <c r="F600" s="20" t="inlineStr">
        <is>
          <t>Beat</t>
        </is>
      </c>
      <c r="G600" s="21" t="n">
        <v>2012</v>
      </c>
      <c r="H600" s="22" t="n">
        <v>92555</v>
      </c>
      <c r="I600" s="23" t="n">
        <v>90000</v>
      </c>
      <c r="J600" s="20" t="inlineStr">
        <is>
          <t>Khivraj Motor</t>
        </is>
      </c>
      <c r="K600" s="20" t="inlineStr">
        <is>
          <t>Non-Captive</t>
        </is>
      </c>
      <c r="L600" s="20" t="inlineStr">
        <is>
          <t>AAA Cars</t>
        </is>
      </c>
      <c r="M600" s="23" t="n">
        <v>5084.75</v>
      </c>
      <c r="N600" s="23" t="n">
        <v>6000</v>
      </c>
      <c r="O600" s="24">
        <f>IF(AND(ISNUMBER(M600), ISNUMBER(I600), I600&gt;0), M600/I600, "")</f>
        <v/>
      </c>
    </row>
    <row r="601">
      <c r="A601" s="19" t="inlineStr">
        <is>
          <t>FY26</t>
        </is>
      </c>
      <c r="B601" s="19" t="inlineStr">
        <is>
          <t>Feb</t>
        </is>
      </c>
      <c r="C601" s="19" t="inlineStr">
        <is>
          <t>TN</t>
        </is>
      </c>
      <c r="D601" s="20" t="inlineStr">
        <is>
          <t>TN02AT1021</t>
        </is>
      </c>
      <c r="E601" s="20" t="inlineStr">
        <is>
          <t>TATA</t>
        </is>
      </c>
      <c r="F601" s="20" t="inlineStr">
        <is>
          <t>Indica</t>
        </is>
      </c>
      <c r="G601" s="21" t="n"/>
      <c r="H601" s="22" t="n"/>
      <c r="I601" s="23" t="n">
        <v>69000</v>
      </c>
      <c r="J601" s="20" t="inlineStr">
        <is>
          <t>Khivraj Motor</t>
        </is>
      </c>
      <c r="K601" s="20" t="inlineStr">
        <is>
          <t>Non-Captive</t>
        </is>
      </c>
      <c r="L601" s="20" t="inlineStr">
        <is>
          <t>AAA Cars</t>
        </is>
      </c>
      <c r="M601" s="23" t="n">
        <v>5084.75</v>
      </c>
      <c r="N601" s="23" t="n">
        <v>6000</v>
      </c>
      <c r="O601" s="24">
        <f>IF(AND(ISNUMBER(M601), ISNUMBER(I601), I601&gt;0), M601/I601, "")</f>
        <v/>
      </c>
    </row>
    <row r="602">
      <c r="A602" s="19" t="inlineStr">
        <is>
          <t>FY26</t>
        </is>
      </c>
      <c r="B602" s="19" t="inlineStr">
        <is>
          <t>Feb</t>
        </is>
      </c>
      <c r="C602" s="19" t="inlineStr">
        <is>
          <t>TN</t>
        </is>
      </c>
      <c r="D602" s="20" t="inlineStr">
        <is>
          <t>KL01CS0410</t>
        </is>
      </c>
      <c r="E602" s="20" t="inlineStr">
        <is>
          <t>MARUTI SUZUKI</t>
        </is>
      </c>
      <c r="F602" s="20" t="inlineStr">
        <is>
          <t>Ignis</t>
        </is>
      </c>
      <c r="G602" s="21" t="n">
        <v>2021</v>
      </c>
      <c r="H602" s="22" t="n">
        <v>75654</v>
      </c>
      <c r="I602" s="23" t="n">
        <v>475000</v>
      </c>
      <c r="J602" s="20" t="inlineStr">
        <is>
          <t>Derik Automobile</t>
        </is>
      </c>
      <c r="K602" s="20" t="inlineStr">
        <is>
          <t>Non-Captive</t>
        </is>
      </c>
      <c r="L602" s="20" t="inlineStr">
        <is>
          <t>Popular Thrissur</t>
        </is>
      </c>
      <c r="M602" s="23" t="n">
        <v>5000</v>
      </c>
      <c r="N602" s="23" t="n">
        <v>5900</v>
      </c>
      <c r="O602" s="24">
        <f>IF(AND(ISNUMBER(M602), ISNUMBER(I602), I602&gt;0), M602/I602, "")</f>
        <v/>
      </c>
    </row>
    <row r="603">
      <c r="A603" s="19" t="inlineStr">
        <is>
          <t>FY26</t>
        </is>
      </c>
      <c r="B603" s="19" t="inlineStr">
        <is>
          <t>Feb</t>
        </is>
      </c>
      <c r="C603" s="19" t="inlineStr">
        <is>
          <t>TN</t>
        </is>
      </c>
      <c r="D603" s="20" t="inlineStr">
        <is>
          <t>KL01CJ2241</t>
        </is>
      </c>
      <c r="E603" s="20" t="inlineStr">
        <is>
          <t>MARUTI SUZUKI</t>
        </is>
      </c>
      <c r="F603" s="20" t="inlineStr">
        <is>
          <t>Swift Dzire</t>
        </is>
      </c>
      <c r="G603" s="21" t="n">
        <v>2018</v>
      </c>
      <c r="H603" s="22" t="n">
        <v>71235</v>
      </c>
      <c r="I603" s="23" t="n">
        <v>485000</v>
      </c>
      <c r="J603" s="20" t="inlineStr">
        <is>
          <t>Derik Automobile</t>
        </is>
      </c>
      <c r="K603" s="20" t="inlineStr">
        <is>
          <t>Non-Captive</t>
        </is>
      </c>
      <c r="L603" s="20" t="inlineStr">
        <is>
          <t>Popular Thrissur</t>
        </is>
      </c>
      <c r="M603" s="23" t="n">
        <v>5000</v>
      </c>
      <c r="N603" s="23" t="n">
        <v>5900</v>
      </c>
      <c r="O603" s="24">
        <f>IF(AND(ISNUMBER(M603), ISNUMBER(I603), I603&gt;0), M603/I603, "")</f>
        <v/>
      </c>
    </row>
    <row r="604">
      <c r="A604" s="19" t="inlineStr">
        <is>
          <t>FY26</t>
        </is>
      </c>
      <c r="B604" s="19" t="inlineStr">
        <is>
          <t>Feb</t>
        </is>
      </c>
      <c r="C604" s="19" t="inlineStr">
        <is>
          <t>TN</t>
        </is>
      </c>
      <c r="D604" s="20" t="inlineStr">
        <is>
          <t>KL01CB6898</t>
        </is>
      </c>
      <c r="E604" s="20" t="inlineStr">
        <is>
          <t>MARUTI SUZUKI</t>
        </is>
      </c>
      <c r="F604" s="20" t="inlineStr">
        <is>
          <t>Wagon R</t>
        </is>
      </c>
      <c r="G604" s="21" t="n">
        <v>2017</v>
      </c>
      <c r="H604" s="22" t="n"/>
      <c r="I604" s="23" t="n">
        <v>365000</v>
      </c>
      <c r="J604" s="20" t="inlineStr">
        <is>
          <t>Derik Automobile</t>
        </is>
      </c>
      <c r="K604" s="20" t="inlineStr">
        <is>
          <t>Non-Captive</t>
        </is>
      </c>
      <c r="L604" s="20" t="inlineStr">
        <is>
          <t>Popular Thrissur</t>
        </is>
      </c>
      <c r="M604" s="23" t="n">
        <v>5000</v>
      </c>
      <c r="N604" s="23" t="n">
        <v>5900</v>
      </c>
      <c r="O604" s="24">
        <f>IF(AND(ISNUMBER(M604), ISNUMBER(I604), I604&gt;0), M604/I604, "")</f>
        <v/>
      </c>
    </row>
    <row r="605">
      <c r="A605" s="19" t="inlineStr">
        <is>
          <t>FY26</t>
        </is>
      </c>
      <c r="B605" s="19" t="inlineStr">
        <is>
          <t>Feb</t>
        </is>
      </c>
      <c r="C605" s="19" t="inlineStr">
        <is>
          <t>TN</t>
        </is>
      </c>
      <c r="D605" s="20" t="inlineStr">
        <is>
          <t>KL16P5865</t>
        </is>
      </c>
      <c r="E605" s="20" t="inlineStr">
        <is>
          <t>MARUTI SUZUKI</t>
        </is>
      </c>
      <c r="F605" s="20" t="inlineStr">
        <is>
          <t>Alto</t>
        </is>
      </c>
      <c r="G605" s="21" t="n">
        <v>2015</v>
      </c>
      <c r="H605" s="22" t="n">
        <v>32153</v>
      </c>
      <c r="I605" s="23" t="n">
        <v>155000</v>
      </c>
      <c r="J605" s="20" t="inlineStr">
        <is>
          <t>Derik Automobile</t>
        </is>
      </c>
      <c r="K605" s="20" t="inlineStr">
        <is>
          <t>Non-Captive</t>
        </is>
      </c>
      <c r="L605" s="20" t="inlineStr">
        <is>
          <t>Popular Thrissur</t>
        </is>
      </c>
      <c r="M605" s="23" t="n">
        <v>5000</v>
      </c>
      <c r="N605" s="23" t="n">
        <v>5900</v>
      </c>
      <c r="O605" s="24">
        <f>IF(AND(ISNUMBER(M605), ISNUMBER(I605), I605&gt;0), M605/I605, "")</f>
        <v/>
      </c>
    </row>
    <row r="606">
      <c r="A606" s="19" t="inlineStr">
        <is>
          <t>FY26</t>
        </is>
      </c>
      <c r="B606" s="19" t="inlineStr">
        <is>
          <t>Feb</t>
        </is>
      </c>
      <c r="C606" s="19" t="inlineStr">
        <is>
          <t>TN</t>
        </is>
      </c>
      <c r="D606" s="20" t="inlineStr">
        <is>
          <t>KL02AY0398</t>
        </is>
      </c>
      <c r="E606" s="20" t="inlineStr">
        <is>
          <t>HYUNDAI</t>
        </is>
      </c>
      <c r="F606" s="20" t="inlineStr">
        <is>
          <t>I20</t>
        </is>
      </c>
      <c r="G606" s="21" t="n">
        <v>2016</v>
      </c>
      <c r="H606" s="22" t="n">
        <v>88996</v>
      </c>
      <c r="I606" s="23" t="n">
        <v>465000</v>
      </c>
      <c r="J606" s="20" t="inlineStr">
        <is>
          <t>Popular Motorworld pvt Ltd</t>
        </is>
      </c>
      <c r="K606" s="20" t="inlineStr">
        <is>
          <t>Non-Captive</t>
        </is>
      </c>
      <c r="L606" s="20" t="inlineStr">
        <is>
          <t>Shamnad AH</t>
        </is>
      </c>
      <c r="M606" s="23" t="n">
        <v>5932.2</v>
      </c>
      <c r="N606" s="23" t="n">
        <v>7000</v>
      </c>
      <c r="O606" s="24">
        <f>IF(AND(ISNUMBER(M606), ISNUMBER(I606), I606&gt;0), M606/I606, "")</f>
        <v/>
      </c>
    </row>
    <row r="607">
      <c r="A607" s="19" t="inlineStr">
        <is>
          <t>FY26</t>
        </is>
      </c>
      <c r="B607" s="19" t="inlineStr">
        <is>
          <t>Feb</t>
        </is>
      </c>
      <c r="C607" s="19" t="inlineStr">
        <is>
          <t>TN</t>
        </is>
      </c>
      <c r="D607" s="20" t="inlineStr">
        <is>
          <t>TN18Z4401</t>
        </is>
      </c>
      <c r="E607" s="20" t="inlineStr">
        <is>
          <t>FORD</t>
        </is>
      </c>
      <c r="F607" s="20" t="inlineStr">
        <is>
          <t>Figo</t>
        </is>
      </c>
      <c r="G607" s="21" t="n">
        <v>2011</v>
      </c>
      <c r="H607" s="22" t="n">
        <v>65874</v>
      </c>
      <c r="I607" s="23" t="n">
        <v>85000</v>
      </c>
      <c r="J607" s="20" t="inlineStr">
        <is>
          <t>Khivraj Motor</t>
        </is>
      </c>
      <c r="K607" s="20" t="inlineStr">
        <is>
          <t>Non-Captive</t>
        </is>
      </c>
      <c r="L607" s="20" t="inlineStr">
        <is>
          <t>RAJESH WARI (RAM CARS)</t>
        </is>
      </c>
      <c r="M607" s="23" t="n">
        <v>5084.75</v>
      </c>
      <c r="N607" s="23" t="n">
        <v>6000</v>
      </c>
      <c r="O607" s="24">
        <f>IF(AND(ISNUMBER(M607), ISNUMBER(I607), I607&gt;0), M607/I607, "")</f>
        <v/>
      </c>
    </row>
    <row r="608">
      <c r="A608" s="19" t="inlineStr">
        <is>
          <t>FY26</t>
        </is>
      </c>
      <c r="B608" s="19" t="inlineStr">
        <is>
          <t>Feb</t>
        </is>
      </c>
      <c r="C608" s="19" t="inlineStr">
        <is>
          <t>TN</t>
        </is>
      </c>
      <c r="D608" s="20" t="inlineStr">
        <is>
          <t>TN18Z4191</t>
        </is>
      </c>
      <c r="E608" s="20" t="inlineStr">
        <is>
          <t>FORD</t>
        </is>
      </c>
      <c r="F608" s="20" t="inlineStr">
        <is>
          <t>Figo</t>
        </is>
      </c>
      <c r="G608" s="21" t="n">
        <v>2011</v>
      </c>
      <c r="H608" s="22" t="n">
        <v>78842</v>
      </c>
      <c r="I608" s="23" t="n">
        <v>90000</v>
      </c>
      <c r="J608" s="20" t="inlineStr">
        <is>
          <t>Khivraj Motor</t>
        </is>
      </c>
      <c r="K608" s="20" t="inlineStr">
        <is>
          <t>Non-Captive</t>
        </is>
      </c>
      <c r="L608" s="20" t="inlineStr">
        <is>
          <t>RAJESH WARI (RAM CARS)</t>
        </is>
      </c>
      <c r="M608" s="23" t="n">
        <v>5084.75</v>
      </c>
      <c r="N608" s="23" t="n">
        <v>6000</v>
      </c>
      <c r="O608" s="24">
        <f>IF(AND(ISNUMBER(M608), ISNUMBER(I608), I608&gt;0), M608/I608, "")</f>
        <v/>
      </c>
    </row>
    <row r="609">
      <c r="A609" s="19" t="inlineStr">
        <is>
          <t>FY26</t>
        </is>
      </c>
      <c r="B609" s="19" t="inlineStr">
        <is>
          <t>Feb</t>
        </is>
      </c>
      <c r="C609" s="19" t="inlineStr">
        <is>
          <t>TN</t>
        </is>
      </c>
      <c r="D609" s="20" t="inlineStr">
        <is>
          <t>TN88Z0927</t>
        </is>
      </c>
      <c r="E609" s="20" t="inlineStr">
        <is>
          <t>MARUTI SUZUKI</t>
        </is>
      </c>
      <c r="F609" s="20" t="inlineStr">
        <is>
          <t>Alto K10</t>
        </is>
      </c>
      <c r="G609" s="21" t="n">
        <v>2013</v>
      </c>
      <c r="H609" s="22" t="n">
        <v>106261</v>
      </c>
      <c r="I609" s="23" t="n">
        <v>155000</v>
      </c>
      <c r="J609" s="20" t="inlineStr">
        <is>
          <t>EXCHANGE ROTN</t>
        </is>
      </c>
      <c r="K609" s="20" t="inlineStr">
        <is>
          <t>Captive</t>
        </is>
      </c>
      <c r="L609" s="20" t="inlineStr">
        <is>
          <t>MADHURA CARS</t>
        </is>
      </c>
      <c r="M609" s="23" t="n">
        <v>4237.29</v>
      </c>
      <c r="N609" s="23" t="n">
        <v>5000</v>
      </c>
      <c r="O609" s="24">
        <f>IF(AND(ISNUMBER(M609), ISNUMBER(I609), I609&gt;0), M609/I609, "")</f>
        <v/>
      </c>
    </row>
    <row r="610">
      <c r="A610" s="19" t="inlineStr">
        <is>
          <t>FY26</t>
        </is>
      </c>
      <c r="B610" s="19" t="inlineStr">
        <is>
          <t>Feb</t>
        </is>
      </c>
      <c r="C610" s="19" t="inlineStr">
        <is>
          <t>TN</t>
        </is>
      </c>
      <c r="D610" s="20" t="inlineStr">
        <is>
          <t>TN38BR1469</t>
        </is>
      </c>
      <c r="E610" s="20" t="inlineStr">
        <is>
          <t>HONDA</t>
        </is>
      </c>
      <c r="F610" s="20" t="inlineStr">
        <is>
          <t>Brio</t>
        </is>
      </c>
      <c r="G610" s="21" t="n">
        <v>2012</v>
      </c>
      <c r="H610" s="22" t="n">
        <v>92382</v>
      </c>
      <c r="I610" s="23" t="n">
        <v>205000</v>
      </c>
      <c r="J610" s="20" t="inlineStr">
        <is>
          <t>EXCHANGE ROTN</t>
        </is>
      </c>
      <c r="K610" s="20" t="inlineStr">
        <is>
          <t>Captive</t>
        </is>
      </c>
      <c r="L610" s="20" t="inlineStr">
        <is>
          <t>MADHURA CARS</t>
        </is>
      </c>
      <c r="M610" s="23" t="n">
        <v>4237.29</v>
      </c>
      <c r="N610" s="23" t="n">
        <v>5000</v>
      </c>
      <c r="O610" s="24">
        <f>IF(AND(ISNUMBER(M610), ISNUMBER(I610), I610&gt;0), M610/I610, "")</f>
        <v/>
      </c>
    </row>
    <row r="611">
      <c r="A611" s="19" t="inlineStr">
        <is>
          <t>FY26</t>
        </is>
      </c>
      <c r="B611" s="19" t="inlineStr">
        <is>
          <t>Feb</t>
        </is>
      </c>
      <c r="C611" s="19" t="inlineStr">
        <is>
          <t>TN</t>
        </is>
      </c>
      <c r="D611" s="20" t="inlineStr">
        <is>
          <t>TN37AB8697</t>
        </is>
      </c>
      <c r="E611" s="20" t="inlineStr">
        <is>
          <t>HYUNDAI</t>
        </is>
      </c>
      <c r="F611" s="20" t="inlineStr">
        <is>
          <t>Accent</t>
        </is>
      </c>
      <c r="G611" s="21" t="n">
        <v>2003</v>
      </c>
      <c r="H611" s="22" t="n">
        <v>157381</v>
      </c>
      <c r="I611" s="23" t="n">
        <v>40000</v>
      </c>
      <c r="J611" s="20" t="inlineStr">
        <is>
          <t>EXCHANGE ROTN</t>
        </is>
      </c>
      <c r="K611" s="20" t="inlineStr">
        <is>
          <t>Captive</t>
        </is>
      </c>
      <c r="L611" s="20" t="inlineStr">
        <is>
          <t>VALUE CARS</t>
        </is>
      </c>
      <c r="M611" s="23" t="n">
        <v>4237.29</v>
      </c>
      <c r="N611" s="23" t="n">
        <v>5000</v>
      </c>
      <c r="O611" s="24">
        <f>IF(AND(ISNUMBER(M611), ISNUMBER(I611), I611&gt;0), M611/I611, "")</f>
        <v/>
      </c>
    </row>
    <row r="612">
      <c r="A612" s="19" t="inlineStr">
        <is>
          <t>FY26</t>
        </is>
      </c>
      <c r="B612" s="19" t="inlineStr">
        <is>
          <t>Feb</t>
        </is>
      </c>
      <c r="C612" s="19" t="inlineStr">
        <is>
          <t>TN</t>
        </is>
      </c>
      <c r="D612" s="20" t="inlineStr">
        <is>
          <t>TN38BP3564</t>
        </is>
      </c>
      <c r="E612" s="20" t="inlineStr">
        <is>
          <t>FORD</t>
        </is>
      </c>
      <c r="F612" s="20" t="inlineStr">
        <is>
          <t>Figo</t>
        </is>
      </c>
      <c r="G612" s="21" t="n">
        <v>2012</v>
      </c>
      <c r="H612" s="22" t="n">
        <v>205525</v>
      </c>
      <c r="I612" s="23" t="n">
        <v>125000</v>
      </c>
      <c r="J612" s="20" t="inlineStr">
        <is>
          <t>EXCHANGE ROTN</t>
        </is>
      </c>
      <c r="K612" s="20" t="inlineStr">
        <is>
          <t>Captive</t>
        </is>
      </c>
      <c r="L612" s="20" t="inlineStr">
        <is>
          <t>VALUE CARS</t>
        </is>
      </c>
      <c r="M612" s="23" t="n">
        <v>4237.29</v>
      </c>
      <c r="N612" s="23" t="n">
        <v>5000</v>
      </c>
      <c r="O612" s="24">
        <f>IF(AND(ISNUMBER(M612), ISNUMBER(I612), I612&gt;0), M612/I612, "")</f>
        <v/>
      </c>
    </row>
    <row r="613">
      <c r="A613" s="19" t="inlineStr">
        <is>
          <t>FY26</t>
        </is>
      </c>
      <c r="B613" s="19" t="inlineStr">
        <is>
          <t>Feb</t>
        </is>
      </c>
      <c r="C613" s="19" t="inlineStr">
        <is>
          <t>TN</t>
        </is>
      </c>
      <c r="D613" s="20" t="inlineStr">
        <is>
          <t>TN305673</t>
        </is>
      </c>
      <c r="E613" s="20" t="inlineStr">
        <is>
          <t>MARUTI SUZUKI</t>
        </is>
      </c>
      <c r="F613" s="20" t="inlineStr">
        <is>
          <t>Wagon R</t>
        </is>
      </c>
      <c r="G613" s="21" t="n">
        <v>2000</v>
      </c>
      <c r="H613" s="22" t="n">
        <v>84519</v>
      </c>
      <c r="I613" s="23" t="n">
        <v>70000</v>
      </c>
      <c r="J613" s="20" t="inlineStr">
        <is>
          <t>EXCHANGE ROTN</t>
        </is>
      </c>
      <c r="K613" s="20" t="inlineStr">
        <is>
          <t>Captive</t>
        </is>
      </c>
      <c r="L613" s="20" t="inlineStr">
        <is>
          <t>MADHURA CARS</t>
        </is>
      </c>
      <c r="M613" s="23" t="n">
        <v>4237.29</v>
      </c>
      <c r="N613" s="23" t="n">
        <v>5000</v>
      </c>
      <c r="O613" s="24">
        <f>IF(AND(ISNUMBER(M613), ISNUMBER(I613), I613&gt;0), M613/I613, "")</f>
        <v/>
      </c>
    </row>
    <row r="614">
      <c r="A614" s="19" t="inlineStr">
        <is>
          <t>FY26</t>
        </is>
      </c>
      <c r="B614" s="19" t="inlineStr">
        <is>
          <t>Feb</t>
        </is>
      </c>
      <c r="C614" s="19" t="inlineStr">
        <is>
          <t>TN</t>
        </is>
      </c>
      <c r="D614" s="20" t="inlineStr">
        <is>
          <t>TN30AJ8303</t>
        </is>
      </c>
      <c r="E614" s="20" t="inlineStr">
        <is>
          <t>CHEVROLET</t>
        </is>
      </c>
      <c r="F614" s="20" t="inlineStr">
        <is>
          <t>Beat</t>
        </is>
      </c>
      <c r="G614" s="21" t="n">
        <v>2010</v>
      </c>
      <c r="H614" s="22" t="n">
        <v>88520</v>
      </c>
      <c r="I614" s="23" t="n">
        <v>90000</v>
      </c>
      <c r="J614" s="20" t="inlineStr">
        <is>
          <t>Exchange ROTN</t>
        </is>
      </c>
      <c r="K614" s="20" t="inlineStr">
        <is>
          <t>Captive</t>
        </is>
      </c>
      <c r="L614" s="20" t="inlineStr">
        <is>
          <t>MADHURA CARS</t>
        </is>
      </c>
      <c r="M614" s="23" t="n">
        <v>4237.29</v>
      </c>
      <c r="N614" s="23" t="n">
        <v>5000</v>
      </c>
      <c r="O614" s="24">
        <f>IF(AND(ISNUMBER(M614), ISNUMBER(I614), I614&gt;0), M614/I614, "")</f>
        <v/>
      </c>
    </row>
    <row r="615">
      <c r="A615" s="19" t="inlineStr">
        <is>
          <t>FY26</t>
        </is>
      </c>
      <c r="B615" s="19" t="inlineStr">
        <is>
          <t>Feb</t>
        </is>
      </c>
      <c r="C615" s="19" t="inlineStr">
        <is>
          <t>TN</t>
        </is>
      </c>
      <c r="D615" s="20" t="inlineStr">
        <is>
          <t>TN31BF3192</t>
        </is>
      </c>
      <c r="E615" s="20" t="inlineStr">
        <is>
          <t>MARUTI SUZUKI</t>
        </is>
      </c>
      <c r="F615" s="20" t="inlineStr">
        <is>
          <t>Celerio</t>
        </is>
      </c>
      <c r="G615" s="21" t="n">
        <v>2017</v>
      </c>
      <c r="H615" s="22" t="n">
        <v>118963</v>
      </c>
      <c r="I615" s="23" t="n">
        <v>240000</v>
      </c>
      <c r="J615" s="20" t="inlineStr">
        <is>
          <t>EXCHANGE ROTN</t>
        </is>
      </c>
      <c r="K615" s="20" t="inlineStr">
        <is>
          <t>Captive</t>
        </is>
      </c>
      <c r="L615" s="20" t="inlineStr">
        <is>
          <t>MADHURA CARS</t>
        </is>
      </c>
      <c r="M615" s="23" t="n">
        <v>4237.29</v>
      </c>
      <c r="N615" s="23" t="n">
        <v>5000</v>
      </c>
      <c r="O615" s="24">
        <f>IF(AND(ISNUMBER(M615), ISNUMBER(I615), I615&gt;0), M615/I615, "")</f>
        <v/>
      </c>
    </row>
    <row r="616">
      <c r="A616" s="19" t="inlineStr">
        <is>
          <t>FY26</t>
        </is>
      </c>
      <c r="B616" s="19" t="inlineStr">
        <is>
          <t>Feb</t>
        </is>
      </c>
      <c r="C616" s="19" t="inlineStr">
        <is>
          <t>TN</t>
        </is>
      </c>
      <c r="D616" s="20" t="inlineStr">
        <is>
          <t>TN77Q3947</t>
        </is>
      </c>
      <c r="E616" s="20" t="inlineStr">
        <is>
          <t>MARUTI SUZUKI</t>
        </is>
      </c>
      <c r="F616" s="20" t="inlineStr">
        <is>
          <t>Eeco</t>
        </is>
      </c>
      <c r="G616" s="21" t="n">
        <v>2021</v>
      </c>
      <c r="H616" s="22" t="n">
        <v>42406</v>
      </c>
      <c r="I616" s="23" t="n">
        <v>380000</v>
      </c>
      <c r="J616" s="20" t="inlineStr">
        <is>
          <t>EXCHANGE ROTN</t>
        </is>
      </c>
      <c r="K616" s="20" t="inlineStr">
        <is>
          <t>Captive</t>
        </is>
      </c>
      <c r="L616" s="20" t="inlineStr">
        <is>
          <t>MADHURA CARS</t>
        </is>
      </c>
      <c r="M616" s="23" t="n">
        <v>4237.29</v>
      </c>
      <c r="N616" s="23" t="n">
        <v>5000</v>
      </c>
      <c r="O616" s="24">
        <f>IF(AND(ISNUMBER(M616), ISNUMBER(I616), I616&gt;0), M616/I616, "")</f>
        <v/>
      </c>
    </row>
    <row r="617">
      <c r="A617" s="19" t="inlineStr">
        <is>
          <t>FY26</t>
        </is>
      </c>
      <c r="B617" s="19" t="inlineStr">
        <is>
          <t>Feb</t>
        </is>
      </c>
      <c r="C617" s="19" t="inlineStr">
        <is>
          <t>TN</t>
        </is>
      </c>
      <c r="D617" s="20" t="inlineStr">
        <is>
          <t>TN30AQ7027</t>
        </is>
      </c>
      <c r="E617" s="20" t="inlineStr">
        <is>
          <t>MARUTI SUZUKI</t>
        </is>
      </c>
      <c r="F617" s="20" t="inlineStr">
        <is>
          <t>Ertiga</t>
        </is>
      </c>
      <c r="G617" s="21" t="n">
        <v>2012</v>
      </c>
      <c r="H617" s="22" t="n">
        <v>132500</v>
      </c>
      <c r="I617" s="23" t="n">
        <v>350000</v>
      </c>
      <c r="J617" s="20" t="inlineStr">
        <is>
          <t>EXCHANGE ROTN</t>
        </is>
      </c>
      <c r="K617" s="20" t="inlineStr">
        <is>
          <t>Captive</t>
        </is>
      </c>
      <c r="L617" s="20" t="inlineStr">
        <is>
          <t>MADHURA CARS</t>
        </is>
      </c>
      <c r="M617" s="23" t="n">
        <v>4237.29</v>
      </c>
      <c r="N617" s="23" t="n">
        <v>5000</v>
      </c>
      <c r="O617" s="24">
        <f>IF(AND(ISNUMBER(M617), ISNUMBER(I617), I617&gt;0), M617/I617, "")</f>
        <v/>
      </c>
    </row>
    <row r="618">
      <c r="A618" s="19" t="inlineStr">
        <is>
          <t>FY26</t>
        </is>
      </c>
      <c r="B618" s="19" t="inlineStr">
        <is>
          <t>Feb</t>
        </is>
      </c>
      <c r="C618" s="19" t="inlineStr">
        <is>
          <t>TN</t>
        </is>
      </c>
      <c r="D618" s="20" t="inlineStr">
        <is>
          <t>TN31AX4992</t>
        </is>
      </c>
      <c r="E618" s="20" t="inlineStr">
        <is>
          <t>MARUTI SUZUKI</t>
        </is>
      </c>
      <c r="F618" s="20" t="inlineStr">
        <is>
          <t>Alto</t>
        </is>
      </c>
      <c r="G618" s="21" t="n">
        <v>2008</v>
      </c>
      <c r="H618" s="22" t="n">
        <v>130460</v>
      </c>
      <c r="I618" s="23" t="n">
        <v>120000</v>
      </c>
      <c r="J618" s="20" t="inlineStr">
        <is>
          <t>EXCHANGE ROTN</t>
        </is>
      </c>
      <c r="K618" s="20" t="inlineStr">
        <is>
          <t>Captive</t>
        </is>
      </c>
      <c r="L618" s="20" t="inlineStr">
        <is>
          <t>MADHURA CARS</t>
        </is>
      </c>
      <c r="M618" s="23" t="n">
        <v>4237.29</v>
      </c>
      <c r="N618" s="23" t="n">
        <v>5000</v>
      </c>
      <c r="O618" s="24">
        <f>IF(AND(ISNUMBER(M618), ISNUMBER(I618), I618&gt;0), M618/I618, "")</f>
        <v/>
      </c>
    </row>
    <row r="619">
      <c r="A619" s="19" t="inlineStr">
        <is>
          <t>FY26</t>
        </is>
      </c>
      <c r="B619" s="19" t="inlineStr">
        <is>
          <t>Feb</t>
        </is>
      </c>
      <c r="C619" s="19" t="inlineStr">
        <is>
          <t>TN</t>
        </is>
      </c>
      <c r="D619" s="20" t="inlineStr">
        <is>
          <t>TN34Q0150</t>
        </is>
      </c>
      <c r="E619" s="20" t="inlineStr">
        <is>
          <t>FORD</t>
        </is>
      </c>
      <c r="F619" s="20" t="inlineStr">
        <is>
          <t>Figo</t>
        </is>
      </c>
      <c r="G619" s="21" t="n">
        <v>2011</v>
      </c>
      <c r="H619" s="22" t="n">
        <v>200389</v>
      </c>
      <c r="I619" s="23" t="n">
        <v>130000</v>
      </c>
      <c r="J619" s="20" t="inlineStr">
        <is>
          <t>EXCHANGE ROTN</t>
        </is>
      </c>
      <c r="K619" s="20" t="inlineStr">
        <is>
          <t>Captive</t>
        </is>
      </c>
      <c r="L619" s="20" t="inlineStr">
        <is>
          <t>MADHURA CARS</t>
        </is>
      </c>
      <c r="M619" s="23" t="n">
        <v>4237.29</v>
      </c>
      <c r="N619" s="23" t="n">
        <v>5000</v>
      </c>
      <c r="O619" s="24">
        <f>IF(AND(ISNUMBER(M619), ISNUMBER(I619), I619&gt;0), M619/I619, "")</f>
        <v/>
      </c>
    </row>
    <row r="620">
      <c r="A620" s="19" t="inlineStr">
        <is>
          <t>FY26</t>
        </is>
      </c>
      <c r="B620" s="19" t="inlineStr">
        <is>
          <t>Feb</t>
        </is>
      </c>
      <c r="C620" s="19" t="inlineStr">
        <is>
          <t>TN</t>
        </is>
      </c>
      <c r="D620" s="20" t="inlineStr">
        <is>
          <t>KL69C4168</t>
        </is>
      </c>
      <c r="E620" s="20" t="inlineStr">
        <is>
          <t>MARUTI SUZUKI</t>
        </is>
      </c>
      <c r="F620" s="20" t="inlineStr">
        <is>
          <t>S-Presso</t>
        </is>
      </c>
      <c r="G620" s="21" t="n">
        <v>2020</v>
      </c>
      <c r="H620" s="22" t="n">
        <v>45384</v>
      </c>
      <c r="I620" s="23" t="n">
        <v>340000</v>
      </c>
      <c r="J620" s="20" t="inlineStr">
        <is>
          <t>Popular Motorworld pvt Ltd</t>
        </is>
      </c>
      <c r="K620" s="20" t="inlineStr">
        <is>
          <t>Non-Captive</t>
        </is>
      </c>
      <c r="L620" s="20" t="inlineStr">
        <is>
          <t>Popular Kotayam</t>
        </is>
      </c>
      <c r="M620" s="23" t="n">
        <v>5000</v>
      </c>
      <c r="N620" s="23" t="n">
        <v>5900</v>
      </c>
      <c r="O620" s="24">
        <f>IF(AND(ISNUMBER(M620), ISNUMBER(I620), I620&gt;0), M620/I620, "")</f>
        <v/>
      </c>
    </row>
    <row r="621">
      <c r="A621" s="19" t="inlineStr">
        <is>
          <t>FY26</t>
        </is>
      </c>
      <c r="B621" s="19" t="inlineStr">
        <is>
          <t>Feb</t>
        </is>
      </c>
      <c r="C621" s="19" t="inlineStr">
        <is>
          <t>TN</t>
        </is>
      </c>
      <c r="D621" s="20" t="inlineStr">
        <is>
          <t>KL25N8090</t>
        </is>
      </c>
      <c r="E621" s="20" t="inlineStr">
        <is>
          <t>MARUTI SUZUKI</t>
        </is>
      </c>
      <c r="F621" s="20" t="inlineStr">
        <is>
          <t>Swift</t>
        </is>
      </c>
      <c r="G621" s="21" t="n">
        <v>2020</v>
      </c>
      <c r="H621" s="22" t="n">
        <v>52062</v>
      </c>
      <c r="I621" s="23" t="n">
        <v>600000</v>
      </c>
      <c r="J621" s="20" t="inlineStr">
        <is>
          <t>Popular Motorworld pvt Ltd</t>
        </is>
      </c>
      <c r="K621" s="20" t="inlineStr">
        <is>
          <t>Non-Captive</t>
        </is>
      </c>
      <c r="L621" s="20" t="inlineStr">
        <is>
          <t>Popular Kotayam</t>
        </is>
      </c>
      <c r="M621" s="23" t="n">
        <v>5000</v>
      </c>
      <c r="N621" s="23" t="n">
        <v>5900</v>
      </c>
      <c r="O621" s="24">
        <f>IF(AND(ISNUMBER(M621), ISNUMBER(I621), I621&gt;0), M621/I621, "")</f>
        <v/>
      </c>
    </row>
    <row r="622">
      <c r="A622" s="19" t="inlineStr">
        <is>
          <t>FY26</t>
        </is>
      </c>
      <c r="B622" s="19" t="inlineStr">
        <is>
          <t>Feb</t>
        </is>
      </c>
      <c r="C622" s="19" t="inlineStr">
        <is>
          <t>TN</t>
        </is>
      </c>
      <c r="D622" s="20" t="inlineStr">
        <is>
          <t>KL02BS8638</t>
        </is>
      </c>
      <c r="E622" s="20" t="inlineStr">
        <is>
          <t>MARUTI SUZUKI</t>
        </is>
      </c>
      <c r="F622" s="20" t="inlineStr">
        <is>
          <t>Alto K10</t>
        </is>
      </c>
      <c r="G622" s="21" t="n">
        <v>2022</v>
      </c>
      <c r="H622" s="22" t="n">
        <v>67877</v>
      </c>
      <c r="I622" s="23" t="n">
        <v>320000</v>
      </c>
      <c r="J622" s="20" t="inlineStr">
        <is>
          <t>Popular Motorworld pvt Ltd</t>
        </is>
      </c>
      <c r="K622" s="20" t="inlineStr">
        <is>
          <t>Non-Captive</t>
        </is>
      </c>
      <c r="L622" s="20" t="inlineStr">
        <is>
          <t>Shamnad AH</t>
        </is>
      </c>
      <c r="M622" s="23" t="n">
        <v>5932.2</v>
      </c>
      <c r="N622" s="23" t="n">
        <v>7000</v>
      </c>
      <c r="O622" s="24">
        <f>IF(AND(ISNUMBER(M622), ISNUMBER(I622), I622&gt;0), M622/I622, "")</f>
        <v/>
      </c>
    </row>
    <row r="623">
      <c r="A623" s="19" t="inlineStr">
        <is>
          <t>FY26</t>
        </is>
      </c>
      <c r="B623" s="19" t="inlineStr">
        <is>
          <t>Feb</t>
        </is>
      </c>
      <c r="C623" s="19" t="inlineStr">
        <is>
          <t>TN</t>
        </is>
      </c>
      <c r="D623" s="20" t="inlineStr">
        <is>
          <t>KL25P0994</t>
        </is>
      </c>
      <c r="E623" s="20" t="inlineStr">
        <is>
          <t>MARUTI SUZUKI</t>
        </is>
      </c>
      <c r="F623" s="20" t="inlineStr">
        <is>
          <t>Alto</t>
        </is>
      </c>
      <c r="G623" s="21" t="n">
        <v>2020</v>
      </c>
      <c r="H623" s="22" t="n">
        <v>39876</v>
      </c>
      <c r="I623" s="23" t="n">
        <v>290000</v>
      </c>
      <c r="J623" s="20" t="inlineStr">
        <is>
          <t>Popular Motorworld pvt Ltd</t>
        </is>
      </c>
      <c r="K623" s="20" t="inlineStr">
        <is>
          <t>Non-Captive</t>
        </is>
      </c>
      <c r="L623" s="20" t="inlineStr">
        <is>
          <t>Popular Thrissur</t>
        </is>
      </c>
      <c r="M623" s="23" t="n">
        <v>5000</v>
      </c>
      <c r="N623" s="23" t="n">
        <v>5900</v>
      </c>
      <c r="O623" s="24">
        <f>IF(AND(ISNUMBER(M623), ISNUMBER(I623), I623&gt;0), M623/I623, "")</f>
        <v/>
      </c>
    </row>
    <row r="624">
      <c r="A624" s="19" t="inlineStr">
        <is>
          <t>FY26</t>
        </is>
      </c>
      <c r="B624" s="19" t="inlineStr">
        <is>
          <t>Feb</t>
        </is>
      </c>
      <c r="C624" s="19" t="inlineStr">
        <is>
          <t>TN</t>
        </is>
      </c>
      <c r="D624" s="20" t="inlineStr">
        <is>
          <t>TN01BD4025</t>
        </is>
      </c>
      <c r="E624" s="20" t="inlineStr">
        <is>
          <t>MARUTI SUZUKI</t>
        </is>
      </c>
      <c r="F624" s="20" t="inlineStr">
        <is>
          <t>Celerio</t>
        </is>
      </c>
      <c r="G624" s="21" t="n">
        <v>2017</v>
      </c>
      <c r="H624" s="22" t="n">
        <v>35701</v>
      </c>
      <c r="I624" s="23" t="n">
        <v>300000</v>
      </c>
      <c r="J624" s="20" t="inlineStr">
        <is>
          <t>Khivraj Motor</t>
        </is>
      </c>
      <c r="K624" s="20" t="inlineStr">
        <is>
          <t>Non-Captive</t>
        </is>
      </c>
      <c r="L624" s="20" t="inlineStr">
        <is>
          <t>car Hub</t>
        </is>
      </c>
      <c r="M624" s="23" t="n">
        <v>5084.75</v>
      </c>
      <c r="N624" s="23" t="n">
        <v>6000</v>
      </c>
      <c r="O624" s="24">
        <f>IF(AND(ISNUMBER(M624), ISNUMBER(I624), I624&gt;0), M624/I624, "")</f>
        <v/>
      </c>
    </row>
    <row r="625">
      <c r="A625" s="19" t="inlineStr">
        <is>
          <t>FY26</t>
        </is>
      </c>
      <c r="B625" s="19" t="inlineStr">
        <is>
          <t>Feb</t>
        </is>
      </c>
      <c r="C625" s="19" t="inlineStr">
        <is>
          <t>TN</t>
        </is>
      </c>
      <c r="D625" s="20" t="inlineStr">
        <is>
          <t>TN13D1058</t>
        </is>
      </c>
      <c r="E625" s="20" t="inlineStr">
        <is>
          <t>MARUTI SUZUKI</t>
        </is>
      </c>
      <c r="F625" s="20" t="inlineStr">
        <is>
          <t>Celerio</t>
        </is>
      </c>
      <c r="G625" s="21" t="n">
        <v>2015</v>
      </c>
      <c r="H625" s="22" t="n">
        <v>46441</v>
      </c>
      <c r="I625" s="23" t="n">
        <v>265000</v>
      </c>
      <c r="J625" s="20" t="inlineStr">
        <is>
          <t>Khivraj Motor</t>
        </is>
      </c>
      <c r="K625" s="20" t="inlineStr">
        <is>
          <t>Non-Captive</t>
        </is>
      </c>
      <c r="L625" s="20" t="inlineStr">
        <is>
          <t>S2 Cars</t>
        </is>
      </c>
      <c r="M625" s="23" t="n">
        <v>5084.75</v>
      </c>
      <c r="N625" s="23" t="n">
        <v>6000</v>
      </c>
      <c r="O625" s="24">
        <f>IF(AND(ISNUMBER(M625), ISNUMBER(I625), I625&gt;0), M625/I625, "")</f>
        <v/>
      </c>
    </row>
    <row r="626">
      <c r="A626" s="19" t="inlineStr">
        <is>
          <t>FY26</t>
        </is>
      </c>
      <c r="B626" s="19" t="inlineStr">
        <is>
          <t>Feb</t>
        </is>
      </c>
      <c r="C626" s="19" t="inlineStr">
        <is>
          <t>TN</t>
        </is>
      </c>
      <c r="D626" s="20" t="inlineStr">
        <is>
          <t>TN06X9298</t>
        </is>
      </c>
      <c r="E626" s="20" t="inlineStr">
        <is>
          <t>MARUTI SUZUKI</t>
        </is>
      </c>
      <c r="F626" s="20" t="inlineStr">
        <is>
          <t>Swift</t>
        </is>
      </c>
      <c r="G626" s="21" t="n">
        <v>2019</v>
      </c>
      <c r="H626" s="22" t="n">
        <v>25687</v>
      </c>
      <c r="I626" s="23" t="n">
        <v>440000</v>
      </c>
      <c r="J626" s="20" t="inlineStr">
        <is>
          <t>Khivraj Motor</t>
        </is>
      </c>
      <c r="K626" s="20" t="inlineStr">
        <is>
          <t>Non-Captive</t>
        </is>
      </c>
      <c r="L626" s="20" t="inlineStr">
        <is>
          <t>Grid 33</t>
        </is>
      </c>
      <c r="M626" s="23" t="n">
        <v>5084.75</v>
      </c>
      <c r="N626" s="23" t="n">
        <v>6000</v>
      </c>
      <c r="O626" s="24">
        <f>IF(AND(ISNUMBER(M626), ISNUMBER(I626), I626&gt;0), M626/I626, "")</f>
        <v/>
      </c>
    </row>
    <row r="627">
      <c r="A627" s="19" t="inlineStr">
        <is>
          <t>FY26</t>
        </is>
      </c>
      <c r="B627" s="19" t="inlineStr">
        <is>
          <t>Feb</t>
        </is>
      </c>
      <c r="C627" s="19" t="inlineStr">
        <is>
          <t>TN</t>
        </is>
      </c>
      <c r="D627" s="20" t="inlineStr">
        <is>
          <t>TN18X3641</t>
        </is>
      </c>
      <c r="E627" s="20" t="inlineStr">
        <is>
          <t>MARUTI SUZUKI</t>
        </is>
      </c>
      <c r="F627" s="20" t="inlineStr">
        <is>
          <t>Alto</t>
        </is>
      </c>
      <c r="G627" s="21" t="n">
        <v>2012</v>
      </c>
      <c r="H627" s="22" t="n">
        <v>22714</v>
      </c>
      <c r="I627" s="23" t="n">
        <v>120000</v>
      </c>
      <c r="J627" s="20" t="inlineStr">
        <is>
          <t>Khivraj Motor</t>
        </is>
      </c>
      <c r="K627" s="20" t="inlineStr">
        <is>
          <t>Non-Captive</t>
        </is>
      </c>
      <c r="L627" s="20" t="inlineStr">
        <is>
          <t>AS Cars Gopi</t>
        </is>
      </c>
      <c r="M627" s="23" t="n">
        <v>4237.29</v>
      </c>
      <c r="N627" s="23" t="n">
        <v>5000</v>
      </c>
      <c r="O627" s="24">
        <f>IF(AND(ISNUMBER(M627), ISNUMBER(I627), I627&gt;0), M627/I627, "")</f>
        <v/>
      </c>
    </row>
    <row r="628">
      <c r="A628" s="19" t="inlineStr">
        <is>
          <t>FY26</t>
        </is>
      </c>
      <c r="B628" s="19" t="inlineStr">
        <is>
          <t>Feb</t>
        </is>
      </c>
      <c r="C628" s="19" t="inlineStr">
        <is>
          <t>TN</t>
        </is>
      </c>
      <c r="D628" s="20" t="inlineStr">
        <is>
          <t>TN10AZ8129</t>
        </is>
      </c>
      <c r="E628" s="20" t="inlineStr">
        <is>
          <t>MARUTI SUZUKI</t>
        </is>
      </c>
      <c r="F628" s="20" t="inlineStr">
        <is>
          <t>Celerio</t>
        </is>
      </c>
      <c r="G628" s="21" t="n">
        <v>206</v>
      </c>
      <c r="H628" s="22" t="n">
        <v>45980</v>
      </c>
      <c r="I628" s="23" t="n">
        <v>275000</v>
      </c>
      <c r="J628" s="20" t="inlineStr">
        <is>
          <t>AIE CARS PRIVATE LIMITED</t>
        </is>
      </c>
      <c r="K628" s="20" t="inlineStr">
        <is>
          <t>Non-Captive</t>
        </is>
      </c>
      <c r="L628" s="20" t="inlineStr">
        <is>
          <t>AAA Cars</t>
        </is>
      </c>
      <c r="M628" s="23" t="n">
        <v>4237.29</v>
      </c>
      <c r="N628" s="23" t="n">
        <v>5000</v>
      </c>
      <c r="O628" s="24">
        <f>IF(AND(ISNUMBER(M628), ISNUMBER(I628), I628&gt;0), M628/I628, "")</f>
        <v/>
      </c>
    </row>
    <row r="629">
      <c r="A629" s="19" t="inlineStr">
        <is>
          <t>FY26</t>
        </is>
      </c>
      <c r="B629" s="19" t="inlineStr">
        <is>
          <t>Feb</t>
        </is>
      </c>
      <c r="C629" s="19" t="inlineStr">
        <is>
          <t>TN</t>
        </is>
      </c>
      <c r="D629" s="20" t="inlineStr">
        <is>
          <t>TN06U0966</t>
        </is>
      </c>
      <c r="E629" s="20" t="inlineStr">
        <is>
          <t>TATA</t>
        </is>
      </c>
      <c r="F629" s="20" t="inlineStr">
        <is>
          <t>Hexa</t>
        </is>
      </c>
      <c r="G629" s="21" t="n">
        <v>2017</v>
      </c>
      <c r="H629" s="22" t="n">
        <v>56784</v>
      </c>
      <c r="I629" s="23" t="n">
        <v>725000</v>
      </c>
      <c r="J629" s="20" t="inlineStr">
        <is>
          <t>Santhosh Cars</t>
        </is>
      </c>
      <c r="K629" s="20" t="inlineStr">
        <is>
          <t>Non-Captive</t>
        </is>
      </c>
      <c r="L629" s="20" t="inlineStr">
        <is>
          <t>Nirmal Cars</t>
        </is>
      </c>
      <c r="M629" s="23" t="n">
        <v>8474.58</v>
      </c>
      <c r="N629" s="23" t="n">
        <v>10000</v>
      </c>
      <c r="O629" s="24">
        <f>IF(AND(ISNUMBER(M629), ISNUMBER(I629), I629&gt;0), M629/I629, "")</f>
        <v/>
      </c>
    </row>
    <row r="630">
      <c r="A630" s="19" t="inlineStr">
        <is>
          <t>FY26</t>
        </is>
      </c>
      <c r="B630" s="19" t="inlineStr">
        <is>
          <t>Feb</t>
        </is>
      </c>
      <c r="C630" s="19" t="inlineStr">
        <is>
          <t>TN</t>
        </is>
      </c>
      <c r="D630" s="20" t="inlineStr">
        <is>
          <t>TN07CU9451</t>
        </is>
      </c>
      <c r="E630" s="20" t="inlineStr">
        <is>
          <t>MARUTI SUZUKI</t>
        </is>
      </c>
      <c r="F630" s="20" t="inlineStr">
        <is>
          <t>Swift Dzire</t>
        </is>
      </c>
      <c r="G630" s="21" t="n">
        <v>2020</v>
      </c>
      <c r="H630" s="22" t="n">
        <v>38370</v>
      </c>
      <c r="I630" s="23" t="n">
        <v>500000</v>
      </c>
      <c r="J630" s="20" t="inlineStr">
        <is>
          <t>Khivraj Motor</t>
        </is>
      </c>
      <c r="K630" s="20" t="inlineStr">
        <is>
          <t>Non-Captive</t>
        </is>
      </c>
      <c r="L630" s="20" t="inlineStr">
        <is>
          <t>Value Drive Tecnologies</t>
        </is>
      </c>
      <c r="M630" s="23" t="n">
        <v>4237.29</v>
      </c>
      <c r="N630" s="23" t="n">
        <v>5000</v>
      </c>
      <c r="O630" s="24">
        <f>IF(AND(ISNUMBER(M630), ISNUMBER(I630), I630&gt;0), M630/I630, "")</f>
        <v/>
      </c>
    </row>
    <row r="631">
      <c r="A631" s="19" t="inlineStr">
        <is>
          <t>FY26</t>
        </is>
      </c>
      <c r="B631" s="19" t="inlineStr">
        <is>
          <t>Feb</t>
        </is>
      </c>
      <c r="C631" s="19" t="inlineStr">
        <is>
          <t>TN</t>
        </is>
      </c>
      <c r="D631" s="20" t="inlineStr">
        <is>
          <t>TN02BW4441</t>
        </is>
      </c>
      <c r="E631" s="20" t="inlineStr">
        <is>
          <t>MARUTI SUZUKI</t>
        </is>
      </c>
      <c r="F631" s="20" t="inlineStr">
        <is>
          <t>Eeco</t>
        </is>
      </c>
      <c r="G631" s="21" t="n">
        <v>2022</v>
      </c>
      <c r="H631" s="22" t="n">
        <v>25800</v>
      </c>
      <c r="I631" s="23" t="n">
        <v>400000</v>
      </c>
      <c r="J631" s="20" t="inlineStr">
        <is>
          <t>Khivraj Motor</t>
        </is>
      </c>
      <c r="K631" s="20" t="inlineStr">
        <is>
          <t>Non-Captive</t>
        </is>
      </c>
      <c r="L631" s="20" t="inlineStr">
        <is>
          <t>Value Drive Tecnologies</t>
        </is>
      </c>
      <c r="M631" s="23" t="n">
        <v>4237.29</v>
      </c>
      <c r="N631" s="23" t="n">
        <v>5000</v>
      </c>
      <c r="O631" s="24">
        <f>IF(AND(ISNUMBER(M631), ISNUMBER(I631), I631&gt;0), M631/I631, "")</f>
        <v/>
      </c>
    </row>
    <row r="632">
      <c r="A632" s="19" t="inlineStr">
        <is>
          <t>FY26</t>
        </is>
      </c>
      <c r="B632" s="19" t="inlineStr">
        <is>
          <t>Feb</t>
        </is>
      </c>
      <c r="C632" s="19" t="inlineStr">
        <is>
          <t>TN</t>
        </is>
      </c>
      <c r="D632" s="20" t="inlineStr">
        <is>
          <t>TN01BJ1938</t>
        </is>
      </c>
      <c r="E632" s="20" t="inlineStr">
        <is>
          <t>TATA</t>
        </is>
      </c>
      <c r="F632" s="20" t="inlineStr">
        <is>
          <t>Tiago</t>
        </is>
      </c>
      <c r="G632" s="21" t="n">
        <v>2019</v>
      </c>
      <c r="H632" s="22" t="n">
        <v>23402</v>
      </c>
      <c r="I632" s="23" t="n">
        <v>350000</v>
      </c>
      <c r="J632" s="20" t="inlineStr">
        <is>
          <t>Khivraj Motor</t>
        </is>
      </c>
      <c r="K632" s="20" t="inlineStr">
        <is>
          <t>Non-Captive</t>
        </is>
      </c>
      <c r="L632" s="20" t="inlineStr">
        <is>
          <t>Value Drive Tecnologies</t>
        </is>
      </c>
      <c r="M632" s="23" t="n">
        <v>3389.83</v>
      </c>
      <c r="N632" s="23" t="n">
        <v>4000</v>
      </c>
      <c r="O632" s="24">
        <f>IF(AND(ISNUMBER(M632), ISNUMBER(I632), I632&gt;0), M632/I632, "")</f>
        <v/>
      </c>
    </row>
    <row r="633">
      <c r="A633" s="19" t="inlineStr">
        <is>
          <t>FY26</t>
        </is>
      </c>
      <c r="B633" s="19" t="inlineStr">
        <is>
          <t>Feb</t>
        </is>
      </c>
      <c r="C633" s="19" t="inlineStr">
        <is>
          <t>TN</t>
        </is>
      </c>
      <c r="D633" s="20" t="inlineStr">
        <is>
          <t>TN19AV1810</t>
        </is>
      </c>
      <c r="E633" s="20" t="inlineStr">
        <is>
          <t>MG MOTORS</t>
        </is>
      </c>
      <c r="F633" s="20" t="inlineStr">
        <is>
          <t>Hector-Plus</t>
        </is>
      </c>
      <c r="G633" s="21" t="n">
        <v>2023</v>
      </c>
      <c r="H633" s="22" t="n">
        <v>17151</v>
      </c>
      <c r="I633" s="23" t="n">
        <v>850000</v>
      </c>
      <c r="J633" s="20" t="inlineStr">
        <is>
          <t>Khivraj Motor</t>
        </is>
      </c>
      <c r="K633" s="20" t="inlineStr">
        <is>
          <t>Non-Captive</t>
        </is>
      </c>
      <c r="L633" s="20" t="inlineStr">
        <is>
          <t>Value Drive Tecnologies</t>
        </is>
      </c>
      <c r="M633" s="23" t="n">
        <v>3389.83</v>
      </c>
      <c r="N633" s="23" t="n">
        <v>4000</v>
      </c>
      <c r="O633" s="24">
        <f>IF(AND(ISNUMBER(M633), ISNUMBER(I633), I633&gt;0), M633/I633, "")</f>
        <v/>
      </c>
    </row>
    <row r="634">
      <c r="A634" s="19" t="inlineStr">
        <is>
          <t>FY26</t>
        </is>
      </c>
      <c r="B634" s="19" t="inlineStr">
        <is>
          <t>Feb</t>
        </is>
      </c>
      <c r="C634" s="19" t="inlineStr">
        <is>
          <t>TN</t>
        </is>
      </c>
      <c r="D634" s="20" t="inlineStr">
        <is>
          <t>TN18J2021</t>
        </is>
      </c>
      <c r="E634" s="20" t="inlineStr">
        <is>
          <t>HYUNDAI</t>
        </is>
      </c>
      <c r="F634" s="20" t="inlineStr">
        <is>
          <t>I20</t>
        </is>
      </c>
      <c r="G634" s="21" t="n">
        <v>2011</v>
      </c>
      <c r="H634" s="22" t="n">
        <v>113321</v>
      </c>
      <c r="I634" s="23" t="n">
        <v>100000</v>
      </c>
      <c r="J634" s="20" t="inlineStr">
        <is>
          <t>Khivraj Motor</t>
        </is>
      </c>
      <c r="K634" s="20" t="inlineStr">
        <is>
          <t>Non-Captive</t>
        </is>
      </c>
      <c r="L634" s="20" t="inlineStr">
        <is>
          <t>Pine Autos</t>
        </is>
      </c>
      <c r="M634" s="23" t="n">
        <v>4237.29</v>
      </c>
      <c r="N634" s="23" t="n">
        <v>5000</v>
      </c>
      <c r="O634" s="24">
        <f>IF(AND(ISNUMBER(M634), ISNUMBER(I634), I634&gt;0), M634/I634, "")</f>
        <v/>
      </c>
    </row>
    <row r="635">
      <c r="A635" s="19" t="inlineStr">
        <is>
          <t>FY26</t>
        </is>
      </c>
      <c r="B635" s="19" t="inlineStr">
        <is>
          <t>Feb</t>
        </is>
      </c>
      <c r="C635" s="19" t="inlineStr">
        <is>
          <t>TN</t>
        </is>
      </c>
      <c r="D635" s="20" t="inlineStr">
        <is>
          <t>TN09AP6626</t>
        </is>
      </c>
      <c r="E635" s="20" t="inlineStr">
        <is>
          <t>FORD</t>
        </is>
      </c>
      <c r="F635" s="20" t="inlineStr">
        <is>
          <t>Fiesta</t>
        </is>
      </c>
      <c r="G635" s="21" t="n">
        <v>2006</v>
      </c>
      <c r="H635" s="22" t="n">
        <v>99999</v>
      </c>
      <c r="I635" s="23" t="n">
        <v>35000</v>
      </c>
      <c r="J635" s="20" t="inlineStr">
        <is>
          <t>Khivraj Motor</t>
        </is>
      </c>
      <c r="K635" s="20" t="inlineStr">
        <is>
          <t>Non-Captive</t>
        </is>
      </c>
      <c r="L635" s="20" t="inlineStr">
        <is>
          <t>Pine Autos</t>
        </is>
      </c>
      <c r="M635" s="23" t="n">
        <v>4237.29</v>
      </c>
      <c r="N635" s="23" t="n">
        <v>5000</v>
      </c>
      <c r="O635" s="24">
        <f>IF(AND(ISNUMBER(M635), ISNUMBER(I635), I635&gt;0), M635/I635, "")</f>
        <v/>
      </c>
    </row>
    <row r="636">
      <c r="A636" s="19" t="inlineStr">
        <is>
          <t>FY26</t>
        </is>
      </c>
      <c r="B636" s="19" t="inlineStr">
        <is>
          <t>Feb</t>
        </is>
      </c>
      <c r="C636" s="19" t="inlineStr">
        <is>
          <t>TN</t>
        </is>
      </c>
      <c r="D636" s="20" t="inlineStr">
        <is>
          <t>TN02BQ6997</t>
        </is>
      </c>
      <c r="E636" s="20" t="inlineStr">
        <is>
          <t>MAHINDRA</t>
        </is>
      </c>
      <c r="F636" s="20" t="inlineStr">
        <is>
          <t>Xylo</t>
        </is>
      </c>
      <c r="G636" s="21" t="n">
        <v>2019</v>
      </c>
      <c r="H636" s="22" t="n">
        <v>136278</v>
      </c>
      <c r="I636" s="23" t="n">
        <v>300000</v>
      </c>
      <c r="J636" s="20" t="inlineStr">
        <is>
          <t>Khivraj Motor</t>
        </is>
      </c>
      <c r="K636" s="20" t="inlineStr">
        <is>
          <t>Non-Captive</t>
        </is>
      </c>
      <c r="L636" s="20" t="inlineStr">
        <is>
          <t>Nirmal Cars</t>
        </is>
      </c>
      <c r="M636" s="23" t="n">
        <v>4237.29</v>
      </c>
      <c r="N636" s="23" t="n">
        <v>5000</v>
      </c>
      <c r="O636" s="24">
        <f>IF(AND(ISNUMBER(M636), ISNUMBER(I636), I636&gt;0), M636/I636, "")</f>
        <v/>
      </c>
    </row>
    <row r="637">
      <c r="A637" s="19" t="inlineStr">
        <is>
          <t>FY26</t>
        </is>
      </c>
      <c r="B637" s="19" t="inlineStr">
        <is>
          <t>Feb</t>
        </is>
      </c>
      <c r="C637" s="19" t="inlineStr">
        <is>
          <t>TN</t>
        </is>
      </c>
      <c r="D637" s="20" t="inlineStr">
        <is>
          <t>TN09BQ5031</t>
        </is>
      </c>
      <c r="E637" s="20" t="inlineStr">
        <is>
          <t>HYUNDAI</t>
        </is>
      </c>
      <c r="F637" s="20" t="inlineStr">
        <is>
          <t>Verna</t>
        </is>
      </c>
      <c r="G637" s="21" t="n">
        <v>2012</v>
      </c>
      <c r="H637" s="22" t="n">
        <v>47594</v>
      </c>
      <c r="I637" s="23" t="n">
        <v>270000</v>
      </c>
      <c r="J637" s="20" t="inlineStr">
        <is>
          <t>Khivraj Motor</t>
        </is>
      </c>
      <c r="K637" s="20" t="inlineStr">
        <is>
          <t>Non-Captive</t>
        </is>
      </c>
      <c r="L637" s="20" t="inlineStr">
        <is>
          <t>Nirmal Cars</t>
        </is>
      </c>
      <c r="M637" s="23" t="n">
        <v>4237.29</v>
      </c>
      <c r="N637" s="23" t="n">
        <v>5000</v>
      </c>
      <c r="O637" s="24">
        <f>IF(AND(ISNUMBER(M637), ISNUMBER(I637), I637&gt;0), M637/I637, "")</f>
        <v/>
      </c>
    </row>
    <row r="638">
      <c r="A638" s="19" t="inlineStr">
        <is>
          <t>FY26</t>
        </is>
      </c>
      <c r="B638" s="19" t="inlineStr">
        <is>
          <t>Feb</t>
        </is>
      </c>
      <c r="C638" s="19" t="inlineStr">
        <is>
          <t>TN</t>
        </is>
      </c>
      <c r="D638" s="20" t="inlineStr">
        <is>
          <t>TN02AY1505</t>
        </is>
      </c>
      <c r="E638" s="20" t="inlineStr">
        <is>
          <t>HYUNDAI</t>
        </is>
      </c>
      <c r="F638" s="20" t="inlineStr">
        <is>
          <t>Grand I10</t>
        </is>
      </c>
      <c r="G638" s="21" t="n">
        <v>2013</v>
      </c>
      <c r="H638" s="22" t="n">
        <v>90615</v>
      </c>
      <c r="I638" s="23" t="n">
        <v>200000</v>
      </c>
      <c r="J638" s="20" t="inlineStr">
        <is>
          <t>KALYANIMOTORS MARUTHI</t>
        </is>
      </c>
      <c r="K638" s="20" t="inlineStr">
        <is>
          <t>Non-Captive</t>
        </is>
      </c>
      <c r="L638" s="20" t="inlineStr">
        <is>
          <t>Grid 33</t>
        </is>
      </c>
      <c r="M638" s="23" t="n">
        <v>3389.83</v>
      </c>
      <c r="N638" s="23" t="n">
        <v>4000</v>
      </c>
      <c r="O638" s="24">
        <f>IF(AND(ISNUMBER(M638), ISNUMBER(I638), I638&gt;0), M638/I638, "")</f>
        <v/>
      </c>
    </row>
    <row r="639">
      <c r="A639" s="19" t="inlineStr">
        <is>
          <t>FY26</t>
        </is>
      </c>
      <c r="B639" s="19" t="inlineStr">
        <is>
          <t>Feb</t>
        </is>
      </c>
      <c r="C639" s="19" t="inlineStr">
        <is>
          <t>TN</t>
        </is>
      </c>
      <c r="D639" s="20" t="inlineStr">
        <is>
          <t>TN05BW8548</t>
        </is>
      </c>
      <c r="E639" s="20" t="inlineStr">
        <is>
          <t>MARUTI SUZUKI</t>
        </is>
      </c>
      <c r="F639" s="20" t="inlineStr">
        <is>
          <t>Swift</t>
        </is>
      </c>
      <c r="G639" s="21" t="n">
        <v>2019</v>
      </c>
      <c r="H639" s="22" t="n">
        <v>52282</v>
      </c>
      <c r="I639" s="23" t="n">
        <v>450000</v>
      </c>
      <c r="J639" s="20" t="inlineStr">
        <is>
          <t>KALYANIMOTORS MARUTHI</t>
        </is>
      </c>
      <c r="K639" s="20" t="inlineStr">
        <is>
          <t>Non-Captive</t>
        </is>
      </c>
      <c r="L639" s="20" t="inlineStr">
        <is>
          <t>S2 Cars</t>
        </is>
      </c>
      <c r="M639" s="23" t="n">
        <v>3389.83</v>
      </c>
      <c r="N639" s="23" t="n">
        <v>4000</v>
      </c>
      <c r="O639" s="24">
        <f>IF(AND(ISNUMBER(M639), ISNUMBER(I639), I639&gt;0), M639/I639, "")</f>
        <v/>
      </c>
    </row>
    <row r="640">
      <c r="A640" s="19" t="inlineStr">
        <is>
          <t>FY26</t>
        </is>
      </c>
      <c r="B640" s="19" t="inlineStr">
        <is>
          <t>Feb</t>
        </is>
      </c>
      <c r="C640" s="19" t="inlineStr">
        <is>
          <t>TN</t>
        </is>
      </c>
      <c r="D640" s="20" t="inlineStr">
        <is>
          <t>TN31CY1919</t>
        </is>
      </c>
      <c r="E640" s="20" t="inlineStr">
        <is>
          <t>MARUTI SUZUKI</t>
        </is>
      </c>
      <c r="F640" s="20" t="inlineStr">
        <is>
          <t>Swift Dzire</t>
        </is>
      </c>
      <c r="G640" s="21" t="n">
        <v>2010</v>
      </c>
      <c r="H640" s="22" t="n">
        <v>262965</v>
      </c>
      <c r="I640" s="23" t="n">
        <v>200000</v>
      </c>
      <c r="J640" s="20" t="inlineStr">
        <is>
          <t>KALYANIMOTORS MARUTHI</t>
        </is>
      </c>
      <c r="K640" s="20" t="inlineStr">
        <is>
          <t>Non-Captive</t>
        </is>
      </c>
      <c r="L640" s="20" t="inlineStr">
        <is>
          <t>Pine Autos</t>
        </is>
      </c>
      <c r="M640" s="23" t="n">
        <v>4237.29</v>
      </c>
      <c r="N640" s="23" t="n">
        <v>5000</v>
      </c>
      <c r="O640" s="24">
        <f>IF(AND(ISNUMBER(M640), ISNUMBER(I640), I640&gt;0), M640/I640, "")</f>
        <v/>
      </c>
    </row>
    <row r="641">
      <c r="A641" s="19" t="inlineStr">
        <is>
          <t>FY26</t>
        </is>
      </c>
      <c r="B641" s="19" t="inlineStr">
        <is>
          <t>Feb</t>
        </is>
      </c>
      <c r="C641" s="19" t="inlineStr">
        <is>
          <t>TN</t>
        </is>
      </c>
      <c r="D641" s="20" t="inlineStr">
        <is>
          <t>TN07CF6710</t>
        </is>
      </c>
      <c r="E641" s="20" t="inlineStr">
        <is>
          <t>MARUTI SUZUKI</t>
        </is>
      </c>
      <c r="F641" s="20" t="inlineStr">
        <is>
          <t>Wagon R</t>
        </is>
      </c>
      <c r="G641" s="21" t="n">
        <v>2016</v>
      </c>
      <c r="H641" s="22" t="n">
        <v>93657</v>
      </c>
      <c r="I641" s="23" t="n">
        <v>267000</v>
      </c>
      <c r="J641" s="20" t="inlineStr">
        <is>
          <t>KALYANIMOTORS MARUTHI</t>
        </is>
      </c>
      <c r="K641" s="20" t="inlineStr">
        <is>
          <t>Non-Captive</t>
        </is>
      </c>
      <c r="L641" s="20" t="inlineStr">
        <is>
          <t>Pine Autos</t>
        </is>
      </c>
      <c r="M641" s="23" t="n">
        <v>3389.83</v>
      </c>
      <c r="N641" s="23" t="n">
        <v>4000</v>
      </c>
      <c r="O641" s="24">
        <f>IF(AND(ISNUMBER(M641), ISNUMBER(I641), I641&gt;0), M641/I641, "")</f>
        <v/>
      </c>
    </row>
    <row r="642">
      <c r="A642" s="19" t="inlineStr">
        <is>
          <t>FY26</t>
        </is>
      </c>
      <c r="B642" s="19" t="inlineStr">
        <is>
          <t>Feb</t>
        </is>
      </c>
      <c r="C642" s="19" t="inlineStr">
        <is>
          <t>TN</t>
        </is>
      </c>
      <c r="D642" s="20" t="inlineStr">
        <is>
          <t>TN07CD9225</t>
        </is>
      </c>
      <c r="E642" s="20" t="inlineStr">
        <is>
          <t>TATA</t>
        </is>
      </c>
      <c r="F642" s="20" t="inlineStr">
        <is>
          <t>Nano</t>
        </is>
      </c>
      <c r="G642" s="21" t="n">
        <v>2015</v>
      </c>
      <c r="H642" s="22" t="n">
        <v>23393</v>
      </c>
      <c r="I642" s="23" t="n">
        <v>62000</v>
      </c>
      <c r="J642" s="20" t="inlineStr">
        <is>
          <t>EXCHANGE ROTN</t>
        </is>
      </c>
      <c r="K642" s="20" t="inlineStr">
        <is>
          <t>Captive</t>
        </is>
      </c>
      <c r="L642" s="20" t="inlineStr">
        <is>
          <t>Ashwin cars</t>
        </is>
      </c>
      <c r="M642" s="23" t="n">
        <v>4237.29</v>
      </c>
      <c r="N642" s="23" t="n">
        <v>5000</v>
      </c>
      <c r="O642" s="24">
        <f>IF(AND(ISNUMBER(M642), ISNUMBER(I642), I642&gt;0), M642/I642, "")</f>
        <v/>
      </c>
    </row>
    <row r="643">
      <c r="A643" s="19" t="inlineStr">
        <is>
          <t>FY26</t>
        </is>
      </c>
      <c r="B643" s="19" t="inlineStr">
        <is>
          <t>Feb</t>
        </is>
      </c>
      <c r="C643" s="19" t="inlineStr">
        <is>
          <t>TN</t>
        </is>
      </c>
      <c r="D643" s="20" t="inlineStr">
        <is>
          <t>TN38DF4636</t>
        </is>
      </c>
      <c r="E643" s="20" t="inlineStr">
        <is>
          <t>MARUTI SUZUKI</t>
        </is>
      </c>
      <c r="F643" s="20" t="inlineStr">
        <is>
          <t>Wagon R</t>
        </is>
      </c>
      <c r="G643" s="21" t="n">
        <v>2023</v>
      </c>
      <c r="H643" s="22" t="n">
        <v>111448</v>
      </c>
      <c r="I643" s="23" t="n">
        <v>370000</v>
      </c>
      <c r="J643" s="20" t="inlineStr">
        <is>
          <t>EXCHANGE ROTN</t>
        </is>
      </c>
      <c r="K643" s="20" t="inlineStr">
        <is>
          <t>Captive</t>
        </is>
      </c>
      <c r="L643" s="20" t="inlineStr">
        <is>
          <t>Ashwin cars</t>
        </is>
      </c>
      <c r="M643" s="23" t="n">
        <v>4237.29</v>
      </c>
      <c r="N643" s="23" t="n">
        <v>5000</v>
      </c>
      <c r="O643" s="24">
        <f>IF(AND(ISNUMBER(M643), ISNUMBER(I643), I643&gt;0), M643/I643, "")</f>
        <v/>
      </c>
    </row>
    <row r="644">
      <c r="A644" s="19" t="inlineStr">
        <is>
          <t>FY26</t>
        </is>
      </c>
      <c r="B644" s="19" t="inlineStr">
        <is>
          <t>Feb</t>
        </is>
      </c>
      <c r="C644" s="19" t="inlineStr">
        <is>
          <t>TN</t>
        </is>
      </c>
      <c r="D644" s="20" t="inlineStr">
        <is>
          <t>TN39BY1645</t>
        </is>
      </c>
      <c r="E644" s="20" t="inlineStr">
        <is>
          <t>HONDA</t>
        </is>
      </c>
      <c r="F644" s="20" t="inlineStr">
        <is>
          <t>Brio</t>
        </is>
      </c>
      <c r="G644" s="21" t="n">
        <v>2012</v>
      </c>
      <c r="H644" s="22" t="n">
        <v>109490</v>
      </c>
      <c r="I644" s="23" t="n">
        <v>220000</v>
      </c>
      <c r="J644" s="20" t="inlineStr">
        <is>
          <t>EXCHANGE ROTN</t>
        </is>
      </c>
      <c r="K644" s="20" t="inlineStr">
        <is>
          <t>Captive</t>
        </is>
      </c>
      <c r="L644" s="20" t="inlineStr">
        <is>
          <t>Ashwin cars</t>
        </is>
      </c>
      <c r="M644" s="23" t="n">
        <v>4237.29</v>
      </c>
      <c r="N644" s="23" t="n">
        <v>5000</v>
      </c>
      <c r="O644" s="24">
        <f>IF(AND(ISNUMBER(M644), ISNUMBER(I644), I644&gt;0), M644/I644, "")</f>
        <v/>
      </c>
    </row>
    <row r="645">
      <c r="A645" s="19" t="inlineStr">
        <is>
          <t>FY26</t>
        </is>
      </c>
      <c r="B645" s="19" t="inlineStr">
        <is>
          <t>Feb</t>
        </is>
      </c>
      <c r="C645" s="19" t="inlineStr">
        <is>
          <t>TN</t>
        </is>
      </c>
      <c r="D645" s="20" t="inlineStr">
        <is>
          <t>TN37DC6733</t>
        </is>
      </c>
      <c r="E645" s="20" t="inlineStr">
        <is>
          <t>MARUTI SUZUKI</t>
        </is>
      </c>
      <c r="F645" s="20" t="inlineStr">
        <is>
          <t>Alto</t>
        </is>
      </c>
      <c r="G645" s="21" t="n">
        <v>2018</v>
      </c>
      <c r="H645" s="22" t="n">
        <v>32979</v>
      </c>
      <c r="I645" s="23" t="n">
        <v>190000</v>
      </c>
      <c r="J645" s="20" t="inlineStr">
        <is>
          <t>EXCHANGE ROTN</t>
        </is>
      </c>
      <c r="K645" s="20" t="inlineStr">
        <is>
          <t>Captive</t>
        </is>
      </c>
      <c r="L645" s="20" t="inlineStr">
        <is>
          <t>Ashwin cars</t>
        </is>
      </c>
      <c r="M645" s="23" t="n">
        <v>4237.29</v>
      </c>
      <c r="N645" s="23" t="n">
        <v>5000</v>
      </c>
      <c r="O645" s="24">
        <f>IF(AND(ISNUMBER(M645), ISNUMBER(I645), I645&gt;0), M645/I645, "")</f>
        <v/>
      </c>
    </row>
    <row r="646">
      <c r="A646" s="19" t="inlineStr">
        <is>
          <t>FY26</t>
        </is>
      </c>
      <c r="B646" s="19" t="inlineStr">
        <is>
          <t>Feb</t>
        </is>
      </c>
      <c r="C646" s="19" t="inlineStr">
        <is>
          <t>TN</t>
        </is>
      </c>
      <c r="D646" s="20" t="inlineStr">
        <is>
          <t>TN38BK0136</t>
        </is>
      </c>
      <c r="E646" s="20" t="inlineStr">
        <is>
          <t>MARUTI SUZUKI</t>
        </is>
      </c>
      <c r="F646" s="20" t="inlineStr">
        <is>
          <t>Wagon R</t>
        </is>
      </c>
      <c r="G646" s="21" t="n">
        <v>2011</v>
      </c>
      <c r="H646" s="22" t="n">
        <v>104991</v>
      </c>
      <c r="I646" s="23" t="n">
        <v>165000</v>
      </c>
      <c r="J646" s="20" t="inlineStr">
        <is>
          <t>EXCHANGE ROTN</t>
        </is>
      </c>
      <c r="K646" s="20" t="inlineStr">
        <is>
          <t>Captive</t>
        </is>
      </c>
      <c r="L646" s="20" t="inlineStr">
        <is>
          <t>Ashwin cars</t>
        </is>
      </c>
      <c r="M646" s="23" t="n">
        <v>4237.29</v>
      </c>
      <c r="N646" s="23" t="n">
        <v>5000</v>
      </c>
      <c r="O646" s="24">
        <f>IF(AND(ISNUMBER(M646), ISNUMBER(I646), I646&gt;0), M646/I646, "")</f>
        <v/>
      </c>
    </row>
    <row r="647">
      <c r="A647" s="19" t="inlineStr">
        <is>
          <t>FY26</t>
        </is>
      </c>
      <c r="B647" s="19" t="inlineStr">
        <is>
          <t>Feb</t>
        </is>
      </c>
      <c r="C647" s="19" t="inlineStr">
        <is>
          <t>TN</t>
        </is>
      </c>
      <c r="D647" s="20" t="inlineStr">
        <is>
          <t>TN40H4322</t>
        </is>
      </c>
      <c r="E647" s="20" t="inlineStr">
        <is>
          <t>HYUNDAI</t>
        </is>
      </c>
      <c r="F647" s="20" t="inlineStr">
        <is>
          <t>I10</t>
        </is>
      </c>
      <c r="G647" s="21" t="n">
        <v>2013</v>
      </c>
      <c r="H647" s="22" t="n">
        <v>102330</v>
      </c>
      <c r="I647" s="23" t="n">
        <v>235000</v>
      </c>
      <c r="J647" s="20" t="inlineStr">
        <is>
          <t>EXCHANGE ROTN</t>
        </is>
      </c>
      <c r="K647" s="20" t="inlineStr">
        <is>
          <t>Captive</t>
        </is>
      </c>
      <c r="L647" s="20" t="inlineStr">
        <is>
          <t>Ashwin cars</t>
        </is>
      </c>
      <c r="M647" s="23" t="n">
        <v>4237.29</v>
      </c>
      <c r="N647" s="23" t="n">
        <v>5000</v>
      </c>
      <c r="O647" s="24">
        <f>IF(AND(ISNUMBER(M647), ISNUMBER(I647), I647&gt;0), M647/I647, "")</f>
        <v/>
      </c>
    </row>
    <row r="648">
      <c r="A648" s="19" t="inlineStr">
        <is>
          <t>FY26</t>
        </is>
      </c>
      <c r="B648" s="19" t="inlineStr">
        <is>
          <t>Feb</t>
        </is>
      </c>
      <c r="C648" s="19" t="inlineStr">
        <is>
          <t>TN</t>
        </is>
      </c>
      <c r="D648" s="20" t="inlineStr">
        <is>
          <t>TN66AJ0237</t>
        </is>
      </c>
      <c r="E648" s="20" t="inlineStr">
        <is>
          <t>MARUTI SUZUKI</t>
        </is>
      </c>
      <c r="F648" s="20" t="inlineStr">
        <is>
          <t>Alto</t>
        </is>
      </c>
      <c r="G648" s="21" t="n">
        <v>2021</v>
      </c>
      <c r="H648" s="22" t="n">
        <v>61585</v>
      </c>
      <c r="I648" s="23" t="n">
        <v>255000</v>
      </c>
      <c r="J648" s="20" t="inlineStr">
        <is>
          <t>EXCHANGE ROTN</t>
        </is>
      </c>
      <c r="K648" s="20" t="inlineStr">
        <is>
          <t>Captive</t>
        </is>
      </c>
      <c r="L648" s="20" t="inlineStr">
        <is>
          <t>Ashwin cars</t>
        </is>
      </c>
      <c r="M648" s="23" t="n">
        <v>4237.29</v>
      </c>
      <c r="N648" s="23" t="n">
        <v>5000</v>
      </c>
      <c r="O648" s="24">
        <f>IF(AND(ISNUMBER(M648), ISNUMBER(I648), I648&gt;0), M648/I648, "")</f>
        <v/>
      </c>
    </row>
    <row r="649">
      <c r="A649" s="19" t="inlineStr">
        <is>
          <t>FY26</t>
        </is>
      </c>
      <c r="B649" s="19" t="inlineStr">
        <is>
          <t>Feb</t>
        </is>
      </c>
      <c r="C649" s="19" t="inlineStr">
        <is>
          <t>TN</t>
        </is>
      </c>
      <c r="D649" s="20" t="inlineStr">
        <is>
          <t>TN66P4007</t>
        </is>
      </c>
      <c r="E649" s="20" t="inlineStr">
        <is>
          <t>HONDA</t>
        </is>
      </c>
      <c r="F649" s="20" t="inlineStr">
        <is>
          <t>Brio</t>
        </is>
      </c>
      <c r="G649" s="21" t="n">
        <v>2015</v>
      </c>
      <c r="H649" s="22" t="n">
        <v>98587</v>
      </c>
      <c r="I649" s="23" t="n">
        <v>275000</v>
      </c>
      <c r="J649" s="20" t="inlineStr">
        <is>
          <t>EXCHANGE ROTN</t>
        </is>
      </c>
      <c r="K649" s="20" t="inlineStr">
        <is>
          <t>Captive</t>
        </is>
      </c>
      <c r="L649" s="20" t="inlineStr">
        <is>
          <t>Ashwin cars</t>
        </is>
      </c>
      <c r="M649" s="23" t="n">
        <v>4237.29</v>
      </c>
      <c r="N649" s="23" t="n">
        <v>5000</v>
      </c>
      <c r="O649" s="24">
        <f>IF(AND(ISNUMBER(M649), ISNUMBER(I649), I649&gt;0), M649/I649, "")</f>
        <v/>
      </c>
    </row>
    <row r="650">
      <c r="A650" s="19" t="inlineStr">
        <is>
          <t>FY26</t>
        </is>
      </c>
      <c r="B650" s="19" t="inlineStr">
        <is>
          <t>Feb</t>
        </is>
      </c>
      <c r="C650" s="19" t="inlineStr">
        <is>
          <t>TN</t>
        </is>
      </c>
      <c r="D650" s="20" t="inlineStr">
        <is>
          <t>TN38BJ3768</t>
        </is>
      </c>
      <c r="E650" s="20" t="inlineStr">
        <is>
          <t>MARUTI SUZUKI</t>
        </is>
      </c>
      <c r="F650" s="20" t="inlineStr">
        <is>
          <t>Ritz</t>
        </is>
      </c>
      <c r="G650" s="21" t="n">
        <v>2011</v>
      </c>
      <c r="H650" s="22" t="n">
        <v>71898</v>
      </c>
      <c r="I650" s="23" t="n">
        <v>160000</v>
      </c>
      <c r="J650" s="20" t="inlineStr">
        <is>
          <t>EXCHANGE ROTN</t>
        </is>
      </c>
      <c r="K650" s="20" t="inlineStr">
        <is>
          <t>Captive</t>
        </is>
      </c>
      <c r="L650" s="20" t="inlineStr">
        <is>
          <t>M.S.V CAR PAINTING WORKS</t>
        </is>
      </c>
      <c r="M650" s="23" t="n">
        <v>4237.29</v>
      </c>
      <c r="N650" s="23" t="n">
        <v>5000</v>
      </c>
      <c r="O650" s="24">
        <f>IF(AND(ISNUMBER(M650), ISNUMBER(I650), I650&gt;0), M650/I650, "")</f>
        <v/>
      </c>
    </row>
    <row r="651">
      <c r="A651" s="19" t="inlineStr">
        <is>
          <t>FY26</t>
        </is>
      </c>
      <c r="B651" s="19" t="inlineStr">
        <is>
          <t>Feb</t>
        </is>
      </c>
      <c r="C651" s="19" t="inlineStr">
        <is>
          <t>TN</t>
        </is>
      </c>
      <c r="D651" s="20" t="inlineStr">
        <is>
          <t>TN38CY5275</t>
        </is>
      </c>
      <c r="E651" s="20" t="inlineStr">
        <is>
          <t>MARUTI SUZUKI</t>
        </is>
      </c>
      <c r="F651" s="20" t="inlineStr">
        <is>
          <t>Alto</t>
        </is>
      </c>
      <c r="G651" s="21" t="n">
        <v>2021</v>
      </c>
      <c r="H651" s="22" t="n">
        <v>7686</v>
      </c>
      <c r="I651" s="23" t="n">
        <v>235000</v>
      </c>
      <c r="J651" s="20" t="inlineStr">
        <is>
          <t>ABT LIMITED</t>
        </is>
      </c>
      <c r="K651" s="20" t="inlineStr">
        <is>
          <t>Non-Captive</t>
        </is>
      </c>
      <c r="L651" s="20" t="inlineStr">
        <is>
          <t>M.S.V CAR PAINTING WORKS</t>
        </is>
      </c>
      <c r="M651" s="23" t="n">
        <v>4237.29</v>
      </c>
      <c r="N651" s="23" t="n">
        <v>5000</v>
      </c>
      <c r="O651" s="24">
        <f>IF(AND(ISNUMBER(M651), ISNUMBER(I651), I651&gt;0), M651/I651, "")</f>
        <v/>
      </c>
    </row>
    <row r="652">
      <c r="A652" s="19" t="inlineStr">
        <is>
          <t>FY26</t>
        </is>
      </c>
      <c r="B652" s="19" t="inlineStr">
        <is>
          <t>Feb</t>
        </is>
      </c>
      <c r="C652" s="19" t="inlineStr">
        <is>
          <t>TN</t>
        </is>
      </c>
      <c r="D652" s="20" t="inlineStr">
        <is>
          <t>TN67AY5959</t>
        </is>
      </c>
      <c r="E652" s="20" t="inlineStr">
        <is>
          <t>HYUNDAI</t>
        </is>
      </c>
      <c r="F652" s="20" t="inlineStr">
        <is>
          <t>I10</t>
        </is>
      </c>
      <c r="G652" s="21" t="n">
        <v>2009</v>
      </c>
      <c r="H652" s="22" t="n">
        <v>102995</v>
      </c>
      <c r="I652" s="23" t="n">
        <v>170000</v>
      </c>
      <c r="J652" s="20" t="inlineStr">
        <is>
          <t>EXCHANGE ROTN</t>
        </is>
      </c>
      <c r="K652" s="20" t="inlineStr">
        <is>
          <t>Captive</t>
        </is>
      </c>
      <c r="L652" s="20" t="inlineStr">
        <is>
          <t>M.S.V CAR PAINTING WORKS</t>
        </is>
      </c>
      <c r="M652" s="23" t="n">
        <v>4237.29</v>
      </c>
      <c r="N652" s="23" t="n">
        <v>5000</v>
      </c>
      <c r="O652" s="24">
        <f>IF(AND(ISNUMBER(M652), ISNUMBER(I652), I652&gt;0), M652/I652, "")</f>
        <v/>
      </c>
    </row>
    <row r="653">
      <c r="A653" s="19" t="inlineStr">
        <is>
          <t>FY26</t>
        </is>
      </c>
      <c r="B653" s="19" t="inlineStr">
        <is>
          <t>Feb</t>
        </is>
      </c>
      <c r="C653" s="19" t="inlineStr">
        <is>
          <t>TN</t>
        </is>
      </c>
      <c r="D653" s="20" t="inlineStr">
        <is>
          <t>TN38CR2454</t>
        </is>
      </c>
      <c r="E653" s="20" t="inlineStr">
        <is>
          <t>MARUTI SUZUKI</t>
        </is>
      </c>
      <c r="F653" s="20" t="inlineStr">
        <is>
          <t>Swift Dzire</t>
        </is>
      </c>
      <c r="G653" s="21" t="n">
        <v>2018</v>
      </c>
      <c r="H653" s="22" t="n">
        <v>34241</v>
      </c>
      <c r="I653" s="23" t="n">
        <v>420000</v>
      </c>
      <c r="J653" s="20" t="inlineStr">
        <is>
          <t>EXCHANGE ROTN</t>
        </is>
      </c>
      <c r="K653" s="20" t="inlineStr">
        <is>
          <t>Captive</t>
        </is>
      </c>
      <c r="L653" s="20" t="inlineStr">
        <is>
          <t>Gugha Cars</t>
        </is>
      </c>
      <c r="M653" s="23" t="n">
        <v>4237.29</v>
      </c>
      <c r="N653" s="23" t="n">
        <v>5000</v>
      </c>
      <c r="O653" s="24">
        <f>IF(AND(ISNUMBER(M653), ISNUMBER(I653), I653&gt;0), M653/I653, "")</f>
        <v/>
      </c>
    </row>
    <row r="654">
      <c r="A654" s="19" t="inlineStr">
        <is>
          <t>FY26</t>
        </is>
      </c>
      <c r="B654" s="19" t="inlineStr">
        <is>
          <t>Feb</t>
        </is>
      </c>
      <c r="C654" s="19" t="inlineStr">
        <is>
          <t>TN</t>
        </is>
      </c>
      <c r="D654" s="20" t="inlineStr">
        <is>
          <t>TN42P9491</t>
        </is>
      </c>
      <c r="E654" s="20" t="inlineStr">
        <is>
          <t>NISSAN</t>
        </is>
      </c>
      <c r="F654" s="20" t="inlineStr">
        <is>
          <t>Micra Active</t>
        </is>
      </c>
      <c r="G654" s="21" t="n">
        <v>2016</v>
      </c>
      <c r="H654" s="22" t="n">
        <v>82008</v>
      </c>
      <c r="I654" s="23" t="n">
        <v>170000</v>
      </c>
      <c r="J654" s="20" t="inlineStr">
        <is>
          <t>EXCHANGE ROTN</t>
        </is>
      </c>
      <c r="K654" s="20" t="inlineStr">
        <is>
          <t>Captive</t>
        </is>
      </c>
      <c r="L654" s="20" t="inlineStr">
        <is>
          <t>SRI RAJA KANAPATHY CARS</t>
        </is>
      </c>
      <c r="M654" s="23" t="n">
        <v>4237.29</v>
      </c>
      <c r="N654" s="23" t="n">
        <v>5000</v>
      </c>
      <c r="O654" s="24">
        <f>IF(AND(ISNUMBER(M654), ISNUMBER(I654), I654&gt;0), M654/I654, "")</f>
        <v/>
      </c>
    </row>
    <row r="655">
      <c r="A655" s="19" t="inlineStr">
        <is>
          <t>FY26</t>
        </is>
      </c>
      <c r="B655" s="19" t="inlineStr">
        <is>
          <t>Feb</t>
        </is>
      </c>
      <c r="C655" s="19" t="inlineStr">
        <is>
          <t>TN</t>
        </is>
      </c>
      <c r="D655" s="20" t="inlineStr">
        <is>
          <t>TN10AJ5859</t>
        </is>
      </c>
      <c r="E655" s="20" t="inlineStr">
        <is>
          <t>HONDA</t>
        </is>
      </c>
      <c r="F655" s="20" t="inlineStr">
        <is>
          <t>City</t>
        </is>
      </c>
      <c r="G655" s="21" t="n">
        <v>2012</v>
      </c>
      <c r="H655" s="22" t="n">
        <v>21587</v>
      </c>
      <c r="I655" s="23" t="n">
        <v>110000</v>
      </c>
      <c r="J655" s="20" t="inlineStr">
        <is>
          <t>Sai Cars CBE</t>
        </is>
      </c>
      <c r="K655" s="20" t="inlineStr">
        <is>
          <t>Non-Captive</t>
        </is>
      </c>
      <c r="L655" s="20" t="inlineStr">
        <is>
          <t>KSM AUTO CONSULTING</t>
        </is>
      </c>
      <c r="M655" s="23" t="n">
        <v>4237.29</v>
      </c>
      <c r="N655" s="23" t="n">
        <v>5000</v>
      </c>
      <c r="O655" s="24">
        <f>IF(AND(ISNUMBER(M655), ISNUMBER(I655), I655&gt;0), M655/I655, "")</f>
        <v/>
      </c>
    </row>
    <row r="656">
      <c r="A656" s="19" t="inlineStr">
        <is>
          <t>FY26</t>
        </is>
      </c>
      <c r="B656" s="19" t="inlineStr">
        <is>
          <t>Feb</t>
        </is>
      </c>
      <c r="C656" s="19" t="inlineStr">
        <is>
          <t>TN</t>
        </is>
      </c>
      <c r="D656" s="20" t="inlineStr">
        <is>
          <t>TN59BJ8491</t>
        </is>
      </c>
      <c r="E656" s="20" t="inlineStr">
        <is>
          <t>HONDA</t>
        </is>
      </c>
      <c r="F656" s="20" t="inlineStr">
        <is>
          <t>City</t>
        </is>
      </c>
      <c r="G656" s="21" t="n">
        <v>2016</v>
      </c>
      <c r="H656" s="22" t="n">
        <v>288235</v>
      </c>
      <c r="I656" s="23" t="n">
        <v>380000</v>
      </c>
      <c r="J656" s="20" t="inlineStr">
        <is>
          <t>EXCHANGE ROTN</t>
        </is>
      </c>
      <c r="K656" s="20" t="inlineStr">
        <is>
          <t>Captive</t>
        </is>
      </c>
      <c r="L656" s="20" t="inlineStr">
        <is>
          <t>Value cars</t>
        </is>
      </c>
      <c r="M656" s="23" t="n">
        <v>8474.58</v>
      </c>
      <c r="N656" s="23" t="n">
        <v>10000</v>
      </c>
      <c r="O656" s="24">
        <f>IF(AND(ISNUMBER(M656), ISNUMBER(I656), I656&gt;0), M656/I656, "")</f>
        <v/>
      </c>
    </row>
    <row r="657">
      <c r="A657" s="19" t="inlineStr">
        <is>
          <t>FY26</t>
        </is>
      </c>
      <c r="B657" s="19" t="inlineStr">
        <is>
          <t>Feb</t>
        </is>
      </c>
      <c r="C657" s="19" t="inlineStr">
        <is>
          <t>TN</t>
        </is>
      </c>
      <c r="D657" s="20" t="inlineStr">
        <is>
          <t>TN99L5009</t>
        </is>
      </c>
      <c r="E657" s="20" t="inlineStr">
        <is>
          <t>HONDA</t>
        </is>
      </c>
      <c r="F657" s="20" t="inlineStr">
        <is>
          <t>Amaze</t>
        </is>
      </c>
      <c r="G657" s="21" t="n">
        <v>2018</v>
      </c>
      <c r="H657" s="22" t="n">
        <v>107422</v>
      </c>
      <c r="I657" s="23" t="n">
        <v>435000</v>
      </c>
      <c r="J657" s="20" t="inlineStr">
        <is>
          <t>EXCHANGE ROTN</t>
        </is>
      </c>
      <c r="K657" s="20" t="inlineStr">
        <is>
          <t>Captive</t>
        </is>
      </c>
      <c r="L657" s="20" t="inlineStr">
        <is>
          <t>UZHAVAN ENTERPRISE</t>
        </is>
      </c>
      <c r="M657" s="23" t="n">
        <v>12711.86</v>
      </c>
      <c r="N657" s="23" t="n">
        <v>15000</v>
      </c>
      <c r="O657" s="24">
        <f>IF(AND(ISNUMBER(M657), ISNUMBER(I657), I657&gt;0), M657/I657, "")</f>
        <v/>
      </c>
    </row>
    <row r="658">
      <c r="A658" s="19" t="inlineStr">
        <is>
          <t>FY26</t>
        </is>
      </c>
      <c r="B658" s="19" t="inlineStr">
        <is>
          <t>Feb</t>
        </is>
      </c>
      <c r="C658" s="19" t="inlineStr">
        <is>
          <t>TN</t>
        </is>
      </c>
      <c r="D658" s="20" t="inlineStr">
        <is>
          <t>TN01AP4828</t>
        </is>
      </c>
      <c r="E658" s="20" t="inlineStr">
        <is>
          <t>FORD</t>
        </is>
      </c>
      <c r="F658" s="20" t="inlineStr">
        <is>
          <t>Figo</t>
        </is>
      </c>
      <c r="G658" s="21" t="n">
        <v>2011</v>
      </c>
      <c r="H658" s="22" t="n">
        <v>125437</v>
      </c>
      <c r="I658" s="23" t="n">
        <v>20000</v>
      </c>
      <c r="J658" s="20" t="inlineStr">
        <is>
          <t>EXCHANGE ROTN</t>
        </is>
      </c>
      <c r="K658" s="20" t="inlineStr">
        <is>
          <t>Captive</t>
        </is>
      </c>
      <c r="L658" s="20" t="inlineStr">
        <is>
          <t>Ayyapa Cars</t>
        </is>
      </c>
      <c r="M658" s="23" t="n">
        <v>4237.29</v>
      </c>
      <c r="N658" s="23" t="n">
        <v>5000</v>
      </c>
      <c r="O658" s="24">
        <f>IF(AND(ISNUMBER(M658), ISNUMBER(I658), I658&gt;0), M658/I658, "")</f>
        <v/>
      </c>
    </row>
    <row r="659">
      <c r="A659" s="19" t="inlineStr">
        <is>
          <t>FY26</t>
        </is>
      </c>
      <c r="B659" s="19" t="inlineStr">
        <is>
          <t>Feb</t>
        </is>
      </c>
      <c r="C659" s="19" t="inlineStr">
        <is>
          <t>TN</t>
        </is>
      </c>
      <c r="D659" s="20" t="inlineStr">
        <is>
          <t>TN99L7027</t>
        </is>
      </c>
      <c r="E659" s="20" t="inlineStr">
        <is>
          <t>HONDA</t>
        </is>
      </c>
      <c r="F659" s="20" t="inlineStr">
        <is>
          <t>Amaze</t>
        </is>
      </c>
      <c r="G659" s="21" t="n">
        <v>2018</v>
      </c>
      <c r="H659" s="22" t="n">
        <v>80450</v>
      </c>
      <c r="I659" s="23" t="n">
        <v>260000</v>
      </c>
      <c r="J659" s="20" t="inlineStr">
        <is>
          <t>EXCHANGE ROTN</t>
        </is>
      </c>
      <c r="K659" s="20" t="inlineStr">
        <is>
          <t>Captive</t>
        </is>
      </c>
      <c r="L659" s="20" t="inlineStr">
        <is>
          <t>Best Cars</t>
        </is>
      </c>
      <c r="M659" s="23" t="n">
        <v>4237.29</v>
      </c>
      <c r="N659" s="23" t="n">
        <v>5000</v>
      </c>
      <c r="O659" s="24">
        <f>IF(AND(ISNUMBER(M659), ISNUMBER(I659), I659&gt;0), M659/I659, "")</f>
        <v/>
      </c>
    </row>
    <row r="660">
      <c r="A660" s="19" t="inlineStr">
        <is>
          <t>FY26</t>
        </is>
      </c>
      <c r="B660" s="19" t="inlineStr">
        <is>
          <t>Feb</t>
        </is>
      </c>
      <c r="C660" s="19" t="inlineStr">
        <is>
          <t>TN</t>
        </is>
      </c>
      <c r="D660" s="20" t="inlineStr">
        <is>
          <t>TN37CM0673</t>
        </is>
      </c>
      <c r="E660" s="20" t="inlineStr">
        <is>
          <t>MARUTI SUZUKI</t>
        </is>
      </c>
      <c r="F660" s="20" t="inlineStr">
        <is>
          <t>Swift</t>
        </is>
      </c>
      <c r="G660" s="21" t="n">
        <v>2015</v>
      </c>
      <c r="H660" s="22" t="n">
        <v>88412</v>
      </c>
      <c r="I660" s="23" t="n">
        <v>350000</v>
      </c>
      <c r="J660" s="20" t="inlineStr">
        <is>
          <t>EXCHANGE ROTN</t>
        </is>
      </c>
      <c r="K660" s="20" t="inlineStr">
        <is>
          <t>Captive</t>
        </is>
      </c>
      <c r="L660" s="20" t="inlineStr">
        <is>
          <t>Dheera Cars</t>
        </is>
      </c>
      <c r="M660" s="23" t="n">
        <v>8474.58</v>
      </c>
      <c r="N660" s="23" t="n">
        <v>10000</v>
      </c>
      <c r="O660" s="24">
        <f>IF(AND(ISNUMBER(M660), ISNUMBER(I660), I660&gt;0), M660/I660, "")</f>
        <v/>
      </c>
    </row>
    <row r="661">
      <c r="A661" s="19" t="inlineStr">
        <is>
          <t>FY26</t>
        </is>
      </c>
      <c r="B661" s="19" t="inlineStr">
        <is>
          <t>Feb</t>
        </is>
      </c>
      <c r="C661" s="19" t="inlineStr">
        <is>
          <t>TN</t>
        </is>
      </c>
      <c r="D661" s="20" t="inlineStr">
        <is>
          <t>TN66L7733</t>
        </is>
      </c>
      <c r="E661" s="20" t="inlineStr">
        <is>
          <t>SKODA</t>
        </is>
      </c>
      <c r="F661" s="20" t="inlineStr">
        <is>
          <t>Rapid</t>
        </is>
      </c>
      <c r="G661" s="21" t="n">
        <v>2016</v>
      </c>
      <c r="H661" s="22" t="n">
        <v>876543</v>
      </c>
      <c r="I661" s="23" t="n">
        <v>550000</v>
      </c>
      <c r="J661" s="20" t="inlineStr">
        <is>
          <t>EXCHANGE ROTN</t>
        </is>
      </c>
      <c r="K661" s="20" t="inlineStr">
        <is>
          <t>Captive</t>
        </is>
      </c>
      <c r="L661" s="20" t="inlineStr">
        <is>
          <t>Dheera Cars</t>
        </is>
      </c>
      <c r="M661" s="23" t="n">
        <v>8474.58</v>
      </c>
      <c r="N661" s="23" t="n">
        <v>10000</v>
      </c>
      <c r="O661" s="24">
        <f>IF(AND(ISNUMBER(M661), ISNUMBER(I661), I661&gt;0), M661/I661, "")</f>
        <v/>
      </c>
    </row>
    <row r="662">
      <c r="A662" s="19" t="inlineStr">
        <is>
          <t>FY26</t>
        </is>
      </c>
      <c r="B662" s="19" t="inlineStr">
        <is>
          <t>Feb</t>
        </is>
      </c>
      <c r="C662" s="19" t="inlineStr">
        <is>
          <t>TN</t>
        </is>
      </c>
      <c r="D662" s="20" t="inlineStr">
        <is>
          <t>TN07BQ5031</t>
        </is>
      </c>
      <c r="E662" s="20" t="inlineStr">
        <is>
          <t>HONDA</t>
        </is>
      </c>
      <c r="F662" s="20" t="inlineStr">
        <is>
          <t>City</t>
        </is>
      </c>
      <c r="G662" s="21" t="n">
        <v>2012</v>
      </c>
      <c r="H662" s="22" t="n">
        <v>102077</v>
      </c>
      <c r="I662" s="23" t="n">
        <v>290000</v>
      </c>
      <c r="J662" s="20" t="inlineStr">
        <is>
          <t>EXCHANGE ROTN</t>
        </is>
      </c>
      <c r="K662" s="20" t="inlineStr">
        <is>
          <t>Captive</t>
        </is>
      </c>
      <c r="L662" s="20" t="inlineStr">
        <is>
          <t>Auto Solution</t>
        </is>
      </c>
      <c r="M662" s="23" t="n">
        <v>8474.58</v>
      </c>
      <c r="N662" s="23" t="n">
        <v>10000</v>
      </c>
      <c r="O662" s="24">
        <f>IF(AND(ISNUMBER(M662), ISNUMBER(I662), I662&gt;0), M662/I662, "")</f>
        <v/>
      </c>
    </row>
    <row r="663">
      <c r="A663" s="19" t="inlineStr">
        <is>
          <t>FY26</t>
        </is>
      </c>
      <c r="B663" s="19" t="inlineStr">
        <is>
          <t>Feb</t>
        </is>
      </c>
      <c r="C663" s="19" t="inlineStr">
        <is>
          <t>TN</t>
        </is>
      </c>
      <c r="D663" s="20" t="inlineStr">
        <is>
          <t>TN01BA6084</t>
        </is>
      </c>
      <c r="E663" s="20" t="inlineStr">
        <is>
          <t>HONDA</t>
        </is>
      </c>
      <c r="F663" s="20" t="inlineStr">
        <is>
          <t>Jazz</t>
        </is>
      </c>
      <c r="G663" s="21" t="n">
        <v>2016</v>
      </c>
      <c r="H663" s="22" t="n">
        <v>40581</v>
      </c>
      <c r="I663" s="23" t="n">
        <v>375000</v>
      </c>
      <c r="J663" s="20" t="inlineStr">
        <is>
          <t>EXCHANGE ROTN</t>
        </is>
      </c>
      <c r="K663" s="20" t="inlineStr">
        <is>
          <t>Captive</t>
        </is>
      </c>
      <c r="L663" s="20" t="inlineStr">
        <is>
          <t>Gugha Cars</t>
        </is>
      </c>
      <c r="M663" s="23" t="n">
        <v>12711.86</v>
      </c>
      <c r="N663" s="23" t="n">
        <v>15000</v>
      </c>
      <c r="O663" s="24">
        <f>IF(AND(ISNUMBER(M663), ISNUMBER(I663), I663&gt;0), M663/I663, "")</f>
        <v/>
      </c>
    </row>
    <row r="664">
      <c r="A664" s="19" t="inlineStr">
        <is>
          <t>FY26</t>
        </is>
      </c>
      <c r="B664" s="19" t="inlineStr">
        <is>
          <t>Feb</t>
        </is>
      </c>
      <c r="C664" s="19" t="inlineStr">
        <is>
          <t>TN</t>
        </is>
      </c>
      <c r="D664" s="20" t="inlineStr">
        <is>
          <t>TN38AX6464</t>
        </is>
      </c>
      <c r="E664" s="20" t="inlineStr">
        <is>
          <t>HONDA</t>
        </is>
      </c>
      <c r="F664" s="20" t="inlineStr">
        <is>
          <t>City</t>
        </is>
      </c>
      <c r="G664" s="21" t="n">
        <v>2009</v>
      </c>
      <c r="H664" s="22" t="n">
        <v>107571</v>
      </c>
      <c r="I664" s="23" t="n">
        <v>240000</v>
      </c>
      <c r="J664" s="20" t="inlineStr">
        <is>
          <t>EXCHANGE ROTN</t>
        </is>
      </c>
      <c r="K664" s="20" t="inlineStr">
        <is>
          <t>Captive</t>
        </is>
      </c>
      <c r="L664" s="20" t="inlineStr">
        <is>
          <t>Senthur Finance</t>
        </is>
      </c>
      <c r="M664" s="23" t="n">
        <v>8474.58</v>
      </c>
      <c r="N664" s="23" t="n">
        <v>10000</v>
      </c>
      <c r="O664" s="24">
        <f>IF(AND(ISNUMBER(M664), ISNUMBER(I664), I664&gt;0), M664/I664, "")</f>
        <v/>
      </c>
    </row>
    <row r="665">
      <c r="A665" s="19" t="inlineStr">
        <is>
          <t>FY26</t>
        </is>
      </c>
      <c r="B665" s="19" t="inlineStr">
        <is>
          <t>Feb</t>
        </is>
      </c>
      <c r="C665" s="19" t="inlineStr">
        <is>
          <t>TN</t>
        </is>
      </c>
      <c r="D665" s="20" t="inlineStr">
        <is>
          <t>TN59BL7904</t>
        </is>
      </c>
      <c r="E665" s="20" t="inlineStr">
        <is>
          <t>HONDA</t>
        </is>
      </c>
      <c r="F665" s="20" t="inlineStr">
        <is>
          <t>City</t>
        </is>
      </c>
      <c r="G665" s="21" t="n">
        <v>2016</v>
      </c>
      <c r="H665" s="22" t="n">
        <v>73044</v>
      </c>
      <c r="I665" s="23" t="n">
        <v>475000</v>
      </c>
      <c r="J665" s="20" t="inlineStr">
        <is>
          <t>EXCHANGE ROTN</t>
        </is>
      </c>
      <c r="K665" s="20" t="inlineStr">
        <is>
          <t>Captive</t>
        </is>
      </c>
      <c r="L665" s="20" t="inlineStr">
        <is>
          <t>Sai Cars</t>
        </is>
      </c>
      <c r="M665" s="23" t="n">
        <v>16949.15</v>
      </c>
      <c r="N665" s="23" t="n">
        <v>20000</v>
      </c>
      <c r="O665" s="24">
        <f>IF(AND(ISNUMBER(M665), ISNUMBER(I665), I665&gt;0), M665/I665, "")</f>
        <v/>
      </c>
    </row>
    <row r="666">
      <c r="A666" s="19" t="inlineStr">
        <is>
          <t>FY26</t>
        </is>
      </c>
      <c r="B666" s="19" t="inlineStr">
        <is>
          <t>Feb</t>
        </is>
      </c>
      <c r="C666" s="19" t="inlineStr">
        <is>
          <t>TN</t>
        </is>
      </c>
      <c r="D666" s="20" t="inlineStr">
        <is>
          <t>TN59CB2412</t>
        </is>
      </c>
      <c r="E666" s="20" t="inlineStr">
        <is>
          <t>HONDA</t>
        </is>
      </c>
      <c r="F666" s="20" t="inlineStr">
        <is>
          <t>Amaze</t>
        </is>
      </c>
      <c r="G666" s="21" t="n">
        <v>2018</v>
      </c>
      <c r="H666" s="22" t="n">
        <v>420595</v>
      </c>
      <c r="I666" s="23" t="n">
        <v>305000</v>
      </c>
      <c r="J666" s="20" t="inlineStr">
        <is>
          <t>EXCHANGE ROTN</t>
        </is>
      </c>
      <c r="K666" s="20" t="inlineStr">
        <is>
          <t>Captive</t>
        </is>
      </c>
      <c r="L666" s="20" t="inlineStr">
        <is>
          <t>Value Cars</t>
        </is>
      </c>
      <c r="M666" s="23" t="n">
        <v>4237.29</v>
      </c>
      <c r="N666" s="23" t="n">
        <v>5000</v>
      </c>
      <c r="O666" s="24">
        <f>IF(AND(ISNUMBER(M666), ISNUMBER(I666), I666&gt;0), M666/I666, "")</f>
        <v/>
      </c>
    </row>
    <row r="667">
      <c r="A667" s="19" t="inlineStr">
        <is>
          <t>FY26</t>
        </is>
      </c>
      <c r="B667" s="19" t="inlineStr">
        <is>
          <t>Feb</t>
        </is>
      </c>
      <c r="C667" s="19" t="inlineStr">
        <is>
          <t>TN</t>
        </is>
      </c>
      <c r="D667" s="20" t="inlineStr">
        <is>
          <t>TN57AQ1108</t>
        </is>
      </c>
      <c r="E667" s="20" t="inlineStr">
        <is>
          <t>MARUTI SUZUKI</t>
        </is>
      </c>
      <c r="F667" s="20" t="inlineStr">
        <is>
          <t>Swift</t>
        </is>
      </c>
      <c r="G667" s="21" t="n">
        <v>2015</v>
      </c>
      <c r="H667" s="22" t="n">
        <v>188267</v>
      </c>
      <c r="I667" s="23" t="n">
        <v>360000</v>
      </c>
      <c r="J667" s="20" t="inlineStr">
        <is>
          <t>EXCHANGE ROTN</t>
        </is>
      </c>
      <c r="K667" s="20" t="inlineStr">
        <is>
          <t>Captive</t>
        </is>
      </c>
      <c r="L667" s="20" t="inlineStr">
        <is>
          <t>Value Cars</t>
        </is>
      </c>
      <c r="M667" s="23" t="n">
        <v>4237.29</v>
      </c>
      <c r="N667" s="23" t="n">
        <v>5000</v>
      </c>
      <c r="O667" s="24">
        <f>IF(AND(ISNUMBER(M667), ISNUMBER(I667), I667&gt;0), M667/I667, "")</f>
        <v/>
      </c>
    </row>
    <row r="668">
      <c r="A668" s="19" t="inlineStr">
        <is>
          <t>FY26</t>
        </is>
      </c>
      <c r="B668" s="19" t="inlineStr">
        <is>
          <t>Feb</t>
        </is>
      </c>
      <c r="C668" s="19" t="inlineStr">
        <is>
          <t>TN</t>
        </is>
      </c>
      <c r="D668" s="20" t="inlineStr">
        <is>
          <t>TN39CA7475</t>
        </is>
      </c>
      <c r="E668" s="20" t="inlineStr">
        <is>
          <t>MARUTI SUZUKI</t>
        </is>
      </c>
      <c r="F668" s="20" t="inlineStr">
        <is>
          <t>Baleno</t>
        </is>
      </c>
      <c r="G668" s="21" t="n">
        <v>2016</v>
      </c>
      <c r="H668" s="22" t="n">
        <v>67654</v>
      </c>
      <c r="I668" s="23" t="n">
        <v>485000</v>
      </c>
      <c r="J668" s="20" t="inlineStr">
        <is>
          <t>EXCHANGE ROTN</t>
        </is>
      </c>
      <c r="K668" s="20" t="inlineStr">
        <is>
          <t>Captive</t>
        </is>
      </c>
      <c r="L668" s="20" t="inlineStr">
        <is>
          <t>Sai Cars</t>
        </is>
      </c>
      <c r="M668" s="23" t="n">
        <v>8474.58</v>
      </c>
      <c r="N668" s="23" t="n">
        <v>10000</v>
      </c>
      <c r="O668" s="24">
        <f>IF(AND(ISNUMBER(M668), ISNUMBER(I668), I668&gt;0), M668/I668, "")</f>
        <v/>
      </c>
    </row>
    <row r="669">
      <c r="A669" s="19" t="inlineStr">
        <is>
          <t>FY26</t>
        </is>
      </c>
      <c r="B669" s="19" t="inlineStr">
        <is>
          <t>Feb</t>
        </is>
      </c>
      <c r="C669" s="19" t="inlineStr">
        <is>
          <t>TN</t>
        </is>
      </c>
      <c r="D669" s="20" t="inlineStr">
        <is>
          <t>TN10X9030</t>
        </is>
      </c>
      <c r="E669" s="20" t="inlineStr">
        <is>
          <t>FORD</t>
        </is>
      </c>
      <c r="F669" s="20" t="inlineStr">
        <is>
          <t>Fiesta</t>
        </is>
      </c>
      <c r="G669" s="21" t="n">
        <v>2009</v>
      </c>
      <c r="H669" s="22" t="n">
        <v>138864</v>
      </c>
      <c r="I669" s="23" t="n">
        <v>30000</v>
      </c>
      <c r="J669" s="20" t="inlineStr">
        <is>
          <t>EXCHANGE ROTN</t>
        </is>
      </c>
      <c r="K669" s="20" t="inlineStr">
        <is>
          <t>Captive</t>
        </is>
      </c>
      <c r="L669" s="20" t="inlineStr">
        <is>
          <t>Dheera Cars</t>
        </is>
      </c>
      <c r="M669" s="23" t="n">
        <v>4237.29</v>
      </c>
      <c r="N669" s="23" t="n">
        <v>5000</v>
      </c>
      <c r="O669" s="24">
        <f>IF(AND(ISNUMBER(M669), ISNUMBER(I669), I669&gt;0), M669/I669, "")</f>
        <v/>
      </c>
    </row>
    <row r="670">
      <c r="A670" s="19" t="inlineStr">
        <is>
          <t>FY26</t>
        </is>
      </c>
      <c r="B670" s="19" t="inlineStr">
        <is>
          <t>Feb</t>
        </is>
      </c>
      <c r="C670" s="19" t="inlineStr">
        <is>
          <t>TN</t>
        </is>
      </c>
      <c r="D670" s="20" t="inlineStr">
        <is>
          <t>TN10AM7214</t>
        </is>
      </c>
      <c r="E670" s="20" t="inlineStr">
        <is>
          <t>SKODA</t>
        </is>
      </c>
      <c r="F670" s="20" t="inlineStr">
        <is>
          <t>Rapid</t>
        </is>
      </c>
      <c r="G670" s="21" t="n">
        <v>2013</v>
      </c>
      <c r="H670" s="22" t="n">
        <v>22156</v>
      </c>
      <c r="I670" s="23" t="n">
        <v>95000</v>
      </c>
      <c r="J670" s="20" t="inlineStr">
        <is>
          <t>EXCHANGE CHENNAI</t>
        </is>
      </c>
      <c r="K670" s="20" t="inlineStr">
        <is>
          <t>Captive</t>
        </is>
      </c>
      <c r="L670" s="20" t="inlineStr">
        <is>
          <t>Santhosh Cars</t>
        </is>
      </c>
      <c r="M670" s="23" t="n">
        <v>8474.58</v>
      </c>
      <c r="N670" s="23" t="n">
        <v>10000</v>
      </c>
      <c r="O670" s="24">
        <f>IF(AND(ISNUMBER(M670), ISNUMBER(I670), I670&gt;0), M670/I670, "")</f>
        <v/>
      </c>
    </row>
    <row r="671">
      <c r="A671" s="19" t="inlineStr">
        <is>
          <t>FY26</t>
        </is>
      </c>
      <c r="B671" s="19" t="inlineStr">
        <is>
          <t>Feb</t>
        </is>
      </c>
      <c r="C671" s="19" t="inlineStr">
        <is>
          <t>TN</t>
        </is>
      </c>
      <c r="D671" s="20" t="inlineStr">
        <is>
          <t>TN04AH4559</t>
        </is>
      </c>
      <c r="E671" s="20" t="inlineStr">
        <is>
          <t>MARUTI SUZUKI</t>
        </is>
      </c>
      <c r="F671" s="20" t="inlineStr">
        <is>
          <t>Swift Dzire</t>
        </is>
      </c>
      <c r="G671" s="21" t="n">
        <v>2011</v>
      </c>
      <c r="H671" s="22" t="n">
        <v>236496</v>
      </c>
      <c r="I671" s="23" t="n">
        <v>152000</v>
      </c>
      <c r="J671" s="20" t="inlineStr">
        <is>
          <t>EXCHANGE CHENNAI</t>
        </is>
      </c>
      <c r="K671" s="20" t="inlineStr">
        <is>
          <t>Captive</t>
        </is>
      </c>
      <c r="L671" s="20" t="inlineStr">
        <is>
          <t>RAM Manohar</t>
        </is>
      </c>
      <c r="M671" s="23" t="n">
        <v>4237.29</v>
      </c>
      <c r="N671" s="23" t="n">
        <v>5000</v>
      </c>
      <c r="O671" s="24">
        <f>IF(AND(ISNUMBER(M671), ISNUMBER(I671), I671&gt;0), M671/I671, "")</f>
        <v/>
      </c>
    </row>
    <row r="672">
      <c r="A672" s="19" t="inlineStr">
        <is>
          <t>FY26</t>
        </is>
      </c>
      <c r="B672" s="19" t="inlineStr">
        <is>
          <t>Feb</t>
        </is>
      </c>
      <c r="C672" s="19" t="inlineStr">
        <is>
          <t>TN</t>
        </is>
      </c>
      <c r="D672" s="20" t="inlineStr">
        <is>
          <t>TN07CV7191</t>
        </is>
      </c>
      <c r="E672" s="20" t="inlineStr">
        <is>
          <t>VOLKSWAGEN</t>
        </is>
      </c>
      <c r="F672" s="20" t="inlineStr">
        <is>
          <t>Polo</t>
        </is>
      </c>
      <c r="G672" s="21" t="n">
        <v>2020</v>
      </c>
      <c r="H672" s="22" t="n">
        <v>35944</v>
      </c>
      <c r="I672" s="23" t="n">
        <v>425000</v>
      </c>
      <c r="J672" s="20" t="inlineStr">
        <is>
          <t>EXCHANGE CHENNAI</t>
        </is>
      </c>
      <c r="K672" s="20" t="inlineStr">
        <is>
          <t>Captive</t>
        </is>
      </c>
      <c r="L672" s="20" t="inlineStr">
        <is>
          <t>Nirmal Cars</t>
        </is>
      </c>
      <c r="M672" s="23" t="n">
        <v>8474.58</v>
      </c>
      <c r="N672" s="23" t="n">
        <v>10000</v>
      </c>
      <c r="O672" s="24">
        <f>IF(AND(ISNUMBER(M672), ISNUMBER(I672), I672&gt;0), M672/I672, "")</f>
        <v/>
      </c>
    </row>
    <row r="673">
      <c r="A673" s="19" t="inlineStr">
        <is>
          <t>FY26</t>
        </is>
      </c>
      <c r="B673" s="19" t="inlineStr">
        <is>
          <t>Feb</t>
        </is>
      </c>
      <c r="C673" s="19" t="inlineStr">
        <is>
          <t>TN</t>
        </is>
      </c>
      <c r="D673" s="20" t="inlineStr">
        <is>
          <t>TN02BU1405</t>
        </is>
      </c>
      <c r="E673" s="20" t="inlineStr">
        <is>
          <t>HYUNDAI</t>
        </is>
      </c>
      <c r="F673" s="20" t="inlineStr">
        <is>
          <t>Grand I10</t>
        </is>
      </c>
      <c r="G673" s="21" t="n">
        <v>2021</v>
      </c>
      <c r="H673" s="22" t="n">
        <v>64711</v>
      </c>
      <c r="I673" s="23" t="n">
        <v>410000</v>
      </c>
      <c r="J673" s="20" t="inlineStr">
        <is>
          <t>EXCHANGE CHENNAI</t>
        </is>
      </c>
      <c r="K673" s="20" t="inlineStr">
        <is>
          <t>Captive</t>
        </is>
      </c>
      <c r="L673" s="20" t="inlineStr">
        <is>
          <t>RAM Manohar</t>
        </is>
      </c>
      <c r="M673" s="23" t="n">
        <v>4237.29</v>
      </c>
      <c r="N673" s="23" t="n">
        <v>5000</v>
      </c>
      <c r="O673" s="24">
        <f>IF(AND(ISNUMBER(M673), ISNUMBER(I673), I673&gt;0), M673/I673, "")</f>
        <v/>
      </c>
    </row>
    <row r="674">
      <c r="A674" s="19" t="inlineStr">
        <is>
          <t>FY26</t>
        </is>
      </c>
      <c r="B674" s="19" t="inlineStr">
        <is>
          <t>Feb</t>
        </is>
      </c>
      <c r="C674" s="19" t="inlineStr">
        <is>
          <t>TN</t>
        </is>
      </c>
      <c r="D674" s="20" t="inlineStr">
        <is>
          <t>TN11BC9624</t>
        </is>
      </c>
      <c r="E674" s="20" t="inlineStr">
        <is>
          <t>HONDA</t>
        </is>
      </c>
      <c r="F674" s="20" t="inlineStr">
        <is>
          <t>City</t>
        </is>
      </c>
      <c r="G674" s="21" t="n">
        <v>2023</v>
      </c>
      <c r="H674" s="22" t="n">
        <v>52822</v>
      </c>
      <c r="I674" s="23" t="n">
        <v>1100000</v>
      </c>
      <c r="J674" s="20" t="inlineStr">
        <is>
          <t>EXCHANGE CHENNAI</t>
        </is>
      </c>
      <c r="K674" s="20" t="inlineStr">
        <is>
          <t>Captive</t>
        </is>
      </c>
      <c r="L674" s="20" t="inlineStr">
        <is>
          <t>TSM</t>
        </is>
      </c>
      <c r="M674" s="23" t="n">
        <v>8474.58</v>
      </c>
      <c r="N674" s="23" t="n">
        <v>10000</v>
      </c>
      <c r="O674" s="24">
        <f>IF(AND(ISNUMBER(M674), ISNUMBER(I674), I674&gt;0), M674/I674, "")</f>
        <v/>
      </c>
    </row>
    <row r="675">
      <c r="A675" s="19" t="inlineStr">
        <is>
          <t>FY26</t>
        </is>
      </c>
      <c r="B675" s="19" t="inlineStr">
        <is>
          <t>Feb</t>
        </is>
      </c>
      <c r="C675" s="19" t="inlineStr">
        <is>
          <t>TN</t>
        </is>
      </c>
      <c r="D675" s="20" t="inlineStr">
        <is>
          <t>TN85E0533</t>
        </is>
      </c>
      <c r="E675" s="20" t="inlineStr">
        <is>
          <t>MARUTI SUZUKI</t>
        </is>
      </c>
      <c r="F675" s="20" t="inlineStr">
        <is>
          <t>Swift Dzire</t>
        </is>
      </c>
      <c r="G675" s="21" t="n">
        <v>2017</v>
      </c>
      <c r="H675" s="22" t="n">
        <v>69465</v>
      </c>
      <c r="I675" s="23" t="n">
        <v>475000</v>
      </c>
      <c r="J675" s="20" t="inlineStr">
        <is>
          <t>EXCHANGE CHENNAI</t>
        </is>
      </c>
      <c r="K675" s="20" t="inlineStr">
        <is>
          <t>Captive</t>
        </is>
      </c>
      <c r="L675" s="20" t="inlineStr">
        <is>
          <t>Nirmal Cars</t>
        </is>
      </c>
      <c r="M675" s="23" t="n">
        <v>8474.58</v>
      </c>
      <c r="N675" s="23" t="n">
        <v>10000</v>
      </c>
      <c r="O675" s="24">
        <f>IF(AND(ISNUMBER(M675), ISNUMBER(I675), I675&gt;0), M675/I675, "")</f>
        <v/>
      </c>
    </row>
    <row r="676">
      <c r="A676" s="19" t="inlineStr">
        <is>
          <t>FY26</t>
        </is>
      </c>
      <c r="B676" s="19" t="inlineStr">
        <is>
          <t>Feb</t>
        </is>
      </c>
      <c r="C676" s="19" t="inlineStr">
        <is>
          <t>TN</t>
        </is>
      </c>
      <c r="D676" s="20" t="inlineStr">
        <is>
          <t>TN14X6314</t>
        </is>
      </c>
      <c r="E676" s="20" t="inlineStr">
        <is>
          <t>HONDA</t>
        </is>
      </c>
      <c r="F676" s="20" t="inlineStr">
        <is>
          <t>Jazz</t>
        </is>
      </c>
      <c r="G676" s="21" t="n">
        <v>2021</v>
      </c>
      <c r="H676" s="22" t="n">
        <v>52715</v>
      </c>
      <c r="I676" s="23" t="n">
        <v>447000</v>
      </c>
      <c r="J676" s="20" t="inlineStr">
        <is>
          <t>EXCHANGE CHENNAI</t>
        </is>
      </c>
      <c r="K676" s="20" t="inlineStr">
        <is>
          <t>Captive</t>
        </is>
      </c>
      <c r="L676" s="20" t="inlineStr">
        <is>
          <t>Santhosh Cars</t>
        </is>
      </c>
      <c r="M676" s="23" t="n">
        <v>4237.29</v>
      </c>
      <c r="N676" s="23" t="n">
        <v>5000</v>
      </c>
      <c r="O676" s="24">
        <f>IF(AND(ISNUMBER(M676), ISNUMBER(I676), I676&gt;0), M676/I676, "")</f>
        <v/>
      </c>
    </row>
    <row r="677">
      <c r="A677" s="19" t="inlineStr">
        <is>
          <t>FY26</t>
        </is>
      </c>
      <c r="B677" s="19" t="inlineStr">
        <is>
          <t>Feb</t>
        </is>
      </c>
      <c r="C677" s="19" t="inlineStr">
        <is>
          <t>TN</t>
        </is>
      </c>
      <c r="D677" s="20" t="inlineStr">
        <is>
          <t>TN05BL9614</t>
        </is>
      </c>
      <c r="E677" s="20" t="inlineStr">
        <is>
          <t>MARUTI SUZUKI</t>
        </is>
      </c>
      <c r="F677" s="20" t="inlineStr">
        <is>
          <t>Swift</t>
        </is>
      </c>
      <c r="G677" s="21" t="n">
        <v>2017</v>
      </c>
      <c r="H677" s="22" t="n">
        <v>55478</v>
      </c>
      <c r="I677" s="23" t="n">
        <v>400000</v>
      </c>
      <c r="J677" s="20" t="inlineStr">
        <is>
          <t>EXCHANGE CHENNAI</t>
        </is>
      </c>
      <c r="K677" s="20" t="inlineStr">
        <is>
          <t>Captive</t>
        </is>
      </c>
      <c r="L677" s="20" t="inlineStr">
        <is>
          <t>Santhosh Cars</t>
        </is>
      </c>
      <c r="M677" s="23" t="n">
        <v>8474.58</v>
      </c>
      <c r="N677" s="23" t="n">
        <v>10000</v>
      </c>
      <c r="O677" s="24">
        <f>IF(AND(ISNUMBER(M677), ISNUMBER(I677), I677&gt;0), M677/I677, "")</f>
        <v/>
      </c>
    </row>
    <row r="678">
      <c r="A678" s="19" t="inlineStr">
        <is>
          <t>FY26</t>
        </is>
      </c>
      <c r="B678" s="19" t="inlineStr">
        <is>
          <t>Feb</t>
        </is>
      </c>
      <c r="C678" s="19" t="inlineStr">
        <is>
          <t>TN</t>
        </is>
      </c>
      <c r="D678" s="20" t="inlineStr">
        <is>
          <t>TN01AV8021</t>
        </is>
      </c>
      <c r="E678" s="20" t="inlineStr">
        <is>
          <t>HYUNDAI</t>
        </is>
      </c>
      <c r="F678" s="20" t="inlineStr">
        <is>
          <t>Santro</t>
        </is>
      </c>
      <c r="G678" s="21" t="n">
        <v>2014</v>
      </c>
      <c r="H678" s="22" t="n">
        <v>58473</v>
      </c>
      <c r="I678" s="23" t="n">
        <v>190000</v>
      </c>
      <c r="J678" s="20" t="inlineStr">
        <is>
          <t>EXCHANGE CHENNAI</t>
        </is>
      </c>
      <c r="K678" s="20" t="inlineStr">
        <is>
          <t>Captive</t>
        </is>
      </c>
      <c r="L678" s="20" t="inlineStr">
        <is>
          <t>Santhosh Cars</t>
        </is>
      </c>
      <c r="M678" s="23" t="n">
        <v>4237.29</v>
      </c>
      <c r="N678" s="23" t="n">
        <v>5000</v>
      </c>
      <c r="O678" s="24">
        <f>IF(AND(ISNUMBER(M678), ISNUMBER(I678), I678&gt;0), M678/I678, "")</f>
        <v/>
      </c>
    </row>
    <row r="679">
      <c r="A679" s="19" t="inlineStr">
        <is>
          <t>FY26</t>
        </is>
      </c>
      <c r="B679" s="19" t="inlineStr">
        <is>
          <t>Feb</t>
        </is>
      </c>
      <c r="C679" s="19" t="inlineStr">
        <is>
          <t>TN</t>
        </is>
      </c>
      <c r="D679" s="20" t="inlineStr">
        <is>
          <t>TN07BV8175</t>
        </is>
      </c>
      <c r="E679" s="20" t="inlineStr">
        <is>
          <t>HONDA</t>
        </is>
      </c>
      <c r="F679" s="20" t="inlineStr">
        <is>
          <t>City</t>
        </is>
      </c>
      <c r="G679" s="21" t="n">
        <v>2013</v>
      </c>
      <c r="H679" s="22" t="n">
        <v>68506</v>
      </c>
      <c r="I679" s="23" t="n">
        <v>300000</v>
      </c>
      <c r="J679" s="20" t="inlineStr">
        <is>
          <t>EXCHANGE CHENNAI</t>
        </is>
      </c>
      <c r="K679" s="20" t="inlineStr">
        <is>
          <t>Captive</t>
        </is>
      </c>
      <c r="L679" s="20" t="inlineStr">
        <is>
          <t>Santhosh Cars</t>
        </is>
      </c>
      <c r="M679" s="23" t="n">
        <v>6779.66</v>
      </c>
      <c r="N679" s="23" t="n">
        <v>8000</v>
      </c>
      <c r="O679" s="24">
        <f>IF(AND(ISNUMBER(M679), ISNUMBER(I679), I679&gt;0), M679/I679, "")</f>
        <v/>
      </c>
    </row>
    <row r="680">
      <c r="A680" s="19" t="inlineStr">
        <is>
          <t>FY26</t>
        </is>
      </c>
      <c r="B680" s="19" t="inlineStr">
        <is>
          <t>Feb</t>
        </is>
      </c>
      <c r="C680" s="19" t="inlineStr">
        <is>
          <t>TN</t>
        </is>
      </c>
      <c r="D680" s="20" t="inlineStr">
        <is>
          <t>TN09CH0661</t>
        </is>
      </c>
      <c r="E680" s="20" t="inlineStr">
        <is>
          <t>MARUTI SUZUKI</t>
        </is>
      </c>
      <c r="F680" s="20" t="inlineStr">
        <is>
          <t>Wagon R</t>
        </is>
      </c>
      <c r="G680" s="21" t="n">
        <v>2016</v>
      </c>
      <c r="H680" s="22" t="n">
        <v>50009</v>
      </c>
      <c r="I680" s="23" t="n">
        <v>607500</v>
      </c>
      <c r="J680" s="20" t="inlineStr">
        <is>
          <t>Nirmal</t>
        </is>
      </c>
      <c r="K680" s="20" t="inlineStr">
        <is>
          <t>Non-Captive</t>
        </is>
      </c>
      <c r="L680" s="20" t="inlineStr">
        <is>
          <t>Value Drive Tecnologies</t>
        </is>
      </c>
      <c r="M680" s="23" t="n">
        <v>6355.93</v>
      </c>
      <c r="N680" s="23" t="n">
        <v>7500</v>
      </c>
      <c r="O680" s="24">
        <f>IF(AND(ISNUMBER(M680), ISNUMBER(I680), I680&gt;0), M680/I680, "")</f>
        <v/>
      </c>
    </row>
    <row r="681">
      <c r="A681" s="19" t="inlineStr">
        <is>
          <t>FY26</t>
        </is>
      </c>
      <c r="B681" s="19" t="inlineStr">
        <is>
          <t>Feb</t>
        </is>
      </c>
      <c r="C681" s="19" t="inlineStr">
        <is>
          <t>TN</t>
        </is>
      </c>
      <c r="D681" s="20" t="inlineStr">
        <is>
          <t>TN07BS1074</t>
        </is>
      </c>
      <c r="E681" s="20" t="inlineStr">
        <is>
          <t>HONDA</t>
        </is>
      </c>
      <c r="F681" s="20" t="inlineStr">
        <is>
          <t>Brio</t>
        </is>
      </c>
      <c r="G681" s="21" t="n">
        <v>2012</v>
      </c>
      <c r="H681" s="22" t="n">
        <v>93364</v>
      </c>
      <c r="I681" s="23" t="n">
        <v>590000</v>
      </c>
      <c r="J681" s="20" t="inlineStr">
        <is>
          <t>Nirmal</t>
        </is>
      </c>
      <c r="K681" s="20" t="inlineStr">
        <is>
          <t>Non-Captive</t>
        </is>
      </c>
      <c r="L681" s="20" t="inlineStr">
        <is>
          <t>Value Drive Tecnologies</t>
        </is>
      </c>
      <c r="M681" s="23" t="n">
        <v>6779.66</v>
      </c>
      <c r="N681" s="23" t="n">
        <v>8000</v>
      </c>
      <c r="O681" s="24">
        <f>IF(AND(ISNUMBER(M681), ISNUMBER(I681), I681&gt;0), M681/I681, "")</f>
        <v/>
      </c>
    </row>
    <row r="682">
      <c r="A682" s="19" t="inlineStr">
        <is>
          <t>FY26</t>
        </is>
      </c>
      <c r="B682" s="19" t="inlineStr">
        <is>
          <t>Feb</t>
        </is>
      </c>
      <c r="C682" s="19" t="inlineStr">
        <is>
          <t>TN</t>
        </is>
      </c>
      <c r="D682" s="20" t="inlineStr">
        <is>
          <t>TN72BK3642</t>
        </is>
      </c>
      <c r="E682" s="20" t="inlineStr">
        <is>
          <t>NISSAN</t>
        </is>
      </c>
      <c r="F682" s="20" t="inlineStr">
        <is>
          <t>Sunny</t>
        </is>
      </c>
      <c r="G682" s="21" t="n">
        <v>2018</v>
      </c>
      <c r="H682" s="22" t="n">
        <v>85344</v>
      </c>
      <c r="I682" s="23" t="n">
        <v>385000</v>
      </c>
      <c r="J682" s="20" t="inlineStr">
        <is>
          <t>Trichur Sundharam</t>
        </is>
      </c>
      <c r="K682" s="20" t="inlineStr">
        <is>
          <t>Non-Captive</t>
        </is>
      </c>
      <c r="L682" s="20" t="inlineStr">
        <is>
          <t>Sai cars</t>
        </is>
      </c>
      <c r="M682" s="23" t="n">
        <v>8474.58</v>
      </c>
      <c r="N682" s="23" t="n">
        <v>10000</v>
      </c>
      <c r="O682" s="24">
        <f>IF(AND(ISNUMBER(M682), ISNUMBER(I682), I682&gt;0), M682/I682, "")</f>
        <v/>
      </c>
    </row>
    <row r="683">
      <c r="A683" s="19" t="inlineStr">
        <is>
          <t>FY26</t>
        </is>
      </c>
      <c r="B683" s="19" t="inlineStr">
        <is>
          <t>Feb</t>
        </is>
      </c>
      <c r="C683" s="19" t="inlineStr">
        <is>
          <t>TN</t>
        </is>
      </c>
      <c r="D683" s="20" t="inlineStr">
        <is>
          <t>KL74C7075</t>
        </is>
      </c>
      <c r="E683" s="20" t="inlineStr">
        <is>
          <t>TATA</t>
        </is>
      </c>
      <c r="F683" s="20" t="inlineStr">
        <is>
          <t>Tiago</t>
        </is>
      </c>
      <c r="G683" s="21" t="n">
        <v>2022</v>
      </c>
      <c r="H683" s="22" t="n">
        <v>40770</v>
      </c>
      <c r="I683" s="23" t="n">
        <v>443000</v>
      </c>
      <c r="J683" s="20" t="inlineStr">
        <is>
          <t>Nippon Motor Corporation Pvt Ltd</t>
        </is>
      </c>
      <c r="K683" s="20" t="inlineStr">
        <is>
          <t>Non-Captive</t>
        </is>
      </c>
      <c r="L683" s="20" t="inlineStr">
        <is>
          <t>Popular Alleppy</t>
        </is>
      </c>
      <c r="M683" s="23" t="n">
        <v>5000</v>
      </c>
      <c r="N683" s="23" t="n">
        <v>5900</v>
      </c>
      <c r="O683" s="24">
        <f>IF(AND(ISNUMBER(M683), ISNUMBER(I683), I683&gt;0), M683/I683, "")</f>
        <v/>
      </c>
    </row>
    <row r="684">
      <c r="A684" s="19" t="inlineStr">
        <is>
          <t>FY26</t>
        </is>
      </c>
      <c r="B684" s="19" t="inlineStr">
        <is>
          <t>Feb</t>
        </is>
      </c>
      <c r="C684" s="19" t="inlineStr">
        <is>
          <t>TN</t>
        </is>
      </c>
      <c r="D684" s="20" t="inlineStr">
        <is>
          <t>KL19M3594</t>
        </is>
      </c>
      <c r="E684" s="20" t="inlineStr">
        <is>
          <t>TOYOTA</t>
        </is>
      </c>
      <c r="F684" s="20" t="inlineStr">
        <is>
          <t>Glanza</t>
        </is>
      </c>
      <c r="G684" s="21" t="n">
        <v>2021</v>
      </c>
      <c r="H684" s="22" t="n">
        <v>54137</v>
      </c>
      <c r="I684" s="23" t="n">
        <v>635000</v>
      </c>
      <c r="J684" s="20" t="inlineStr">
        <is>
          <t>Fortune Malayalam</t>
        </is>
      </c>
      <c r="K684" s="20" t="inlineStr">
        <is>
          <t>Non-Captive</t>
        </is>
      </c>
      <c r="L684" s="20" t="inlineStr">
        <is>
          <t>Popular Thrissur</t>
        </is>
      </c>
      <c r="M684" s="23" t="n">
        <v>5000</v>
      </c>
      <c r="N684" s="23" t="n">
        <v>5900</v>
      </c>
      <c r="O684" s="24">
        <f>IF(AND(ISNUMBER(M684), ISNUMBER(I684), I684&gt;0), M684/I684, "")</f>
        <v/>
      </c>
    </row>
    <row r="685">
      <c r="A685" s="19" t="inlineStr">
        <is>
          <t>FY26</t>
        </is>
      </c>
      <c r="B685" s="19" t="inlineStr">
        <is>
          <t>Feb</t>
        </is>
      </c>
      <c r="C685" s="19" t="inlineStr">
        <is>
          <t>TN</t>
        </is>
      </c>
      <c r="D685" s="20" t="inlineStr">
        <is>
          <t>KL815593</t>
        </is>
      </c>
      <c r="E685" s="20" t="inlineStr">
        <is>
          <t>MARUTI SUZUKI</t>
        </is>
      </c>
      <c r="F685" s="20" t="inlineStr">
        <is>
          <t>Ignis</t>
        </is>
      </c>
      <c r="G685" s="21" t="n">
        <v>2021</v>
      </c>
      <c r="H685" s="22" t="n">
        <v>53452</v>
      </c>
      <c r="I685" s="23" t="n">
        <v>405000</v>
      </c>
      <c r="J685" s="20" t="inlineStr">
        <is>
          <t>Fortune Malayalam</t>
        </is>
      </c>
      <c r="K685" s="20" t="inlineStr">
        <is>
          <t>Non-Captive</t>
        </is>
      </c>
      <c r="L685" s="20" t="inlineStr">
        <is>
          <t>Shamnad AH</t>
        </is>
      </c>
      <c r="M685" s="23" t="n">
        <v>5932.2</v>
      </c>
      <c r="N685" s="23" t="n">
        <v>7000</v>
      </c>
      <c r="O685" s="24">
        <f>IF(AND(ISNUMBER(M685), ISNUMBER(I685), I685&gt;0), M685/I685, "")</f>
        <v/>
      </c>
    </row>
    <row r="686">
      <c r="A686" s="19" t="inlineStr">
        <is>
          <t>FY26</t>
        </is>
      </c>
      <c r="B686" s="19" t="inlineStr">
        <is>
          <t>Feb</t>
        </is>
      </c>
      <c r="C686" s="19" t="inlineStr">
        <is>
          <t>TN</t>
        </is>
      </c>
      <c r="D686" s="20" t="inlineStr">
        <is>
          <t>TN09CC8024</t>
        </is>
      </c>
      <c r="E686" s="20" t="inlineStr">
        <is>
          <t>MARUTI SUZUKI</t>
        </is>
      </c>
      <c r="F686" s="20" t="inlineStr">
        <is>
          <t>Wagon R</t>
        </is>
      </c>
      <c r="G686" s="21" t="n">
        <v>2016</v>
      </c>
      <c r="H686" s="22" t="n">
        <v>72679</v>
      </c>
      <c r="I686" s="23" t="n">
        <v>245000</v>
      </c>
      <c r="J686" s="20" t="inlineStr">
        <is>
          <t>Khivraj Motor</t>
        </is>
      </c>
      <c r="K686" s="20" t="inlineStr">
        <is>
          <t>Non-Captive</t>
        </is>
      </c>
      <c r="L686" s="20" t="inlineStr">
        <is>
          <t>Murthy Cars</t>
        </is>
      </c>
      <c r="M686" s="23" t="n">
        <v>5084.75</v>
      </c>
      <c r="N686" s="23" t="n">
        <v>6000</v>
      </c>
      <c r="O686" s="24">
        <f>IF(AND(ISNUMBER(M686), ISNUMBER(I686), I686&gt;0), M686/I686, "")</f>
        <v/>
      </c>
    </row>
    <row r="687">
      <c r="A687" s="19" t="inlineStr">
        <is>
          <t>FY26</t>
        </is>
      </c>
      <c r="B687" s="19" t="inlineStr">
        <is>
          <t>Feb</t>
        </is>
      </c>
      <c r="C687" s="19" t="inlineStr">
        <is>
          <t>TN</t>
        </is>
      </c>
      <c r="D687" s="20" t="inlineStr">
        <is>
          <t>TN09AP6626</t>
        </is>
      </c>
      <c r="E687" s="20" t="inlineStr">
        <is>
          <t>FORD</t>
        </is>
      </c>
      <c r="F687" s="20" t="inlineStr">
        <is>
          <t>Fiesta</t>
        </is>
      </c>
      <c r="G687" s="21" t="n">
        <v>2006</v>
      </c>
      <c r="H687" s="22" t="n">
        <v>99999</v>
      </c>
      <c r="I687" s="23" t="n">
        <v>55000</v>
      </c>
      <c r="J687" s="20" t="inlineStr">
        <is>
          <t>Khivraj Motor</t>
        </is>
      </c>
      <c r="K687" s="20" t="inlineStr">
        <is>
          <t>Non-Captive</t>
        </is>
      </c>
      <c r="L687" s="20" t="inlineStr">
        <is>
          <t>Pine Autos</t>
        </is>
      </c>
      <c r="M687" s="23" t="n">
        <v>5084.75</v>
      </c>
      <c r="N687" s="23" t="n">
        <v>6000</v>
      </c>
      <c r="O687" s="24">
        <f>IF(AND(ISNUMBER(M687), ISNUMBER(I687), I687&gt;0), M687/I687, "")</f>
        <v/>
      </c>
    </row>
    <row r="688">
      <c r="A688" s="19" t="inlineStr">
        <is>
          <t>FY26</t>
        </is>
      </c>
      <c r="B688" s="19" t="inlineStr">
        <is>
          <t>Feb</t>
        </is>
      </c>
      <c r="C688" s="19" t="inlineStr">
        <is>
          <t>TN</t>
        </is>
      </c>
      <c r="D688" s="20" t="inlineStr">
        <is>
          <t>TN38BF2947</t>
        </is>
      </c>
      <c r="E688" s="20" t="inlineStr">
        <is>
          <t>MARUTI SUZUKI</t>
        </is>
      </c>
      <c r="F688" s="20" t="inlineStr">
        <is>
          <t>Alto K10</t>
        </is>
      </c>
      <c r="G688" s="21" t="n">
        <v>2011</v>
      </c>
      <c r="H688" s="22" t="n">
        <v>99907</v>
      </c>
      <c r="I688" s="23" t="n">
        <v>130000</v>
      </c>
      <c r="J688" s="20" t="inlineStr">
        <is>
          <t>Ramani Cars Group</t>
        </is>
      </c>
      <c r="K688" s="20" t="inlineStr">
        <is>
          <t>Non-Captive</t>
        </is>
      </c>
      <c r="L688" s="20" t="inlineStr">
        <is>
          <t>Dheera Cars</t>
        </is>
      </c>
      <c r="M688" s="23" t="n">
        <v>4237.29</v>
      </c>
      <c r="N688" s="23" t="n">
        <v>5000</v>
      </c>
      <c r="O688" s="24">
        <f>IF(AND(ISNUMBER(M688), ISNUMBER(I688), I688&gt;0), M688/I688, "")</f>
        <v/>
      </c>
    </row>
    <row r="689">
      <c r="A689" s="19" t="inlineStr">
        <is>
          <t>FY26</t>
        </is>
      </c>
      <c r="B689" s="19" t="inlineStr">
        <is>
          <t>Feb</t>
        </is>
      </c>
      <c r="C689" s="19" t="inlineStr">
        <is>
          <t>TN</t>
        </is>
      </c>
      <c r="D689" s="20" t="inlineStr">
        <is>
          <t>TN38CA0154</t>
        </is>
      </c>
      <c r="E689" s="20" t="inlineStr">
        <is>
          <t>FIAT</t>
        </is>
      </c>
      <c r="F689" s="20" t="inlineStr">
        <is>
          <t>Punto</t>
        </is>
      </c>
      <c r="G689" s="21" t="n">
        <v>2015</v>
      </c>
      <c r="H689" s="22" t="n">
        <v>207219</v>
      </c>
      <c r="I689" s="23" t="n">
        <v>170000</v>
      </c>
      <c r="J689" s="20" t="inlineStr">
        <is>
          <t>Ramani Cars Group</t>
        </is>
      </c>
      <c r="K689" s="20" t="inlineStr">
        <is>
          <t>Non-Captive</t>
        </is>
      </c>
      <c r="L689" s="20" t="inlineStr">
        <is>
          <t>Dheera Cars</t>
        </is>
      </c>
      <c r="M689" s="23" t="n">
        <v>4237.29</v>
      </c>
      <c r="N689" s="23" t="n">
        <v>5000</v>
      </c>
      <c r="O689" s="24">
        <f>IF(AND(ISNUMBER(M689), ISNUMBER(I689), I689&gt;0), M689/I689, "")</f>
        <v/>
      </c>
    </row>
    <row r="690">
      <c r="A690" s="19" t="inlineStr">
        <is>
          <t>FY26</t>
        </is>
      </c>
      <c r="B690" s="19" t="inlineStr">
        <is>
          <t>Feb</t>
        </is>
      </c>
      <c r="C690" s="19" t="inlineStr">
        <is>
          <t>TN</t>
        </is>
      </c>
      <c r="D690" s="20" t="inlineStr">
        <is>
          <t>TN38BF3223</t>
        </is>
      </c>
      <c r="E690" s="20" t="inlineStr">
        <is>
          <t>FORD</t>
        </is>
      </c>
      <c r="F690" s="20" t="inlineStr">
        <is>
          <t>Figo</t>
        </is>
      </c>
      <c r="G690" s="21" t="n">
        <v>2011</v>
      </c>
      <c r="H690" s="22" t="n">
        <v>119540</v>
      </c>
      <c r="I690" s="23" t="n">
        <v>120000</v>
      </c>
      <c r="J690" s="20" t="inlineStr">
        <is>
          <t>EXCHANGE ROTN</t>
        </is>
      </c>
      <c r="K690" s="20" t="inlineStr">
        <is>
          <t>Captive</t>
        </is>
      </c>
      <c r="L690" s="20" t="inlineStr">
        <is>
          <t>Dheera Cars</t>
        </is>
      </c>
      <c r="M690" s="23" t="n">
        <v>4237.29</v>
      </c>
      <c r="N690" s="23" t="n">
        <v>5000</v>
      </c>
      <c r="O690" s="24">
        <f>IF(AND(ISNUMBER(M690), ISNUMBER(I690), I690&gt;0), M690/I690, "")</f>
        <v/>
      </c>
    </row>
    <row r="691">
      <c r="A691" s="19" t="inlineStr">
        <is>
          <t>FY26</t>
        </is>
      </c>
      <c r="B691" s="19" t="inlineStr">
        <is>
          <t>Feb</t>
        </is>
      </c>
      <c r="C691" s="19" t="inlineStr">
        <is>
          <t>TN</t>
        </is>
      </c>
      <c r="D691" s="20" t="inlineStr">
        <is>
          <t>TN11R3215</t>
        </is>
      </c>
      <c r="E691" s="20" t="inlineStr">
        <is>
          <t>MARUTI SUZUKI</t>
        </is>
      </c>
      <c r="F691" s="20" t="inlineStr">
        <is>
          <t>S-Cross</t>
        </is>
      </c>
      <c r="G691" s="21" t="n">
        <v>2016</v>
      </c>
      <c r="H691" s="22" t="n">
        <v>154240</v>
      </c>
      <c r="I691" s="23" t="n">
        <v>450000</v>
      </c>
      <c r="J691" s="20" t="inlineStr">
        <is>
          <t>STEER AUTO TECHNOLOGIES PRIVATE LIMITED</t>
        </is>
      </c>
      <c r="K691" s="20" t="inlineStr">
        <is>
          <t>Non-Captive</t>
        </is>
      </c>
      <c r="L691" s="20" t="inlineStr">
        <is>
          <t>Rithika cars</t>
        </is>
      </c>
      <c r="M691" s="23" t="n">
        <v>3389.83</v>
      </c>
      <c r="N691" s="23" t="n">
        <v>4000</v>
      </c>
      <c r="O691" s="24">
        <f>IF(AND(ISNUMBER(M691), ISNUMBER(I691), I691&gt;0), M691/I691, "")</f>
        <v/>
      </c>
    </row>
    <row r="692">
      <c r="A692" s="19" t="inlineStr">
        <is>
          <t>FY26</t>
        </is>
      </c>
      <c r="B692" s="19" t="inlineStr">
        <is>
          <t>Feb</t>
        </is>
      </c>
      <c r="C692" s="19" t="inlineStr">
        <is>
          <t>TN</t>
        </is>
      </c>
      <c r="D692" s="20" t="inlineStr">
        <is>
          <t>TN22DM1074</t>
        </is>
      </c>
      <c r="E692" s="20" t="inlineStr">
        <is>
          <t>HYUNDAI</t>
        </is>
      </c>
      <c r="F692" s="20" t="inlineStr">
        <is>
          <t>I20</t>
        </is>
      </c>
      <c r="G692" s="21" t="n">
        <v>2018</v>
      </c>
      <c r="H692" s="22" t="n">
        <v>32880</v>
      </c>
      <c r="I692" s="23" t="n">
        <v>550000</v>
      </c>
      <c r="J692" s="20" t="inlineStr">
        <is>
          <t>STEER AUTO TECHNOLOGIES PRIVATE LIMITED</t>
        </is>
      </c>
      <c r="K692" s="20" t="inlineStr">
        <is>
          <t>Non-Captive</t>
        </is>
      </c>
      <c r="L692" s="20" t="inlineStr">
        <is>
          <t>Rithika cars</t>
        </is>
      </c>
      <c r="M692" s="23" t="n">
        <v>3389.83</v>
      </c>
      <c r="N692" s="23" t="n">
        <v>4000</v>
      </c>
      <c r="O692" s="24">
        <f>IF(AND(ISNUMBER(M692), ISNUMBER(I692), I692&gt;0), M692/I692, "")</f>
        <v/>
      </c>
    </row>
    <row r="693">
      <c r="A693" s="19" t="inlineStr">
        <is>
          <t>FY26</t>
        </is>
      </c>
      <c r="B693" s="19" t="inlineStr">
        <is>
          <t>Feb</t>
        </is>
      </c>
      <c r="C693" s="19" t="inlineStr">
        <is>
          <t>TN</t>
        </is>
      </c>
      <c r="D693" s="20" t="inlineStr">
        <is>
          <t>TN11V8120</t>
        </is>
      </c>
      <c r="E693" s="20" t="inlineStr">
        <is>
          <t>TATA</t>
        </is>
      </c>
      <c r="F693" s="20" t="inlineStr">
        <is>
          <t>Tiago</t>
        </is>
      </c>
      <c r="G693" s="21" t="n">
        <v>2017</v>
      </c>
      <c r="H693" s="22" t="n">
        <v>65908</v>
      </c>
      <c r="I693" s="23" t="n">
        <v>260000</v>
      </c>
      <c r="J693" s="20" t="inlineStr">
        <is>
          <t>STEER AUTO TECHNOLOGIES PRIVATE LIMITED</t>
        </is>
      </c>
      <c r="K693" s="20" t="inlineStr">
        <is>
          <t>Non-Captive</t>
        </is>
      </c>
      <c r="L693" s="20" t="inlineStr">
        <is>
          <t>Rithika cars</t>
        </is>
      </c>
      <c r="M693" s="23" t="n">
        <v>3389.83</v>
      </c>
      <c r="N693" s="23" t="n">
        <v>4000</v>
      </c>
      <c r="O693" s="24">
        <f>IF(AND(ISNUMBER(M693), ISNUMBER(I693), I693&gt;0), M693/I693, "")</f>
        <v/>
      </c>
    </row>
    <row r="694">
      <c r="A694" s="19" t="inlineStr">
        <is>
          <t>FY26</t>
        </is>
      </c>
      <c r="B694" s="19" t="inlineStr">
        <is>
          <t>Feb</t>
        </is>
      </c>
      <c r="C694" s="19" t="inlineStr">
        <is>
          <t>TN</t>
        </is>
      </c>
      <c r="D694" s="20" t="inlineStr">
        <is>
          <t>TN07CH8093</t>
        </is>
      </c>
      <c r="E694" s="20" t="inlineStr">
        <is>
          <t>HYUNDAI</t>
        </is>
      </c>
      <c r="F694" s="20" t="inlineStr">
        <is>
          <t>Creta</t>
        </is>
      </c>
      <c r="G694" s="21" t="n">
        <v>2016</v>
      </c>
      <c r="H694" s="22" t="n">
        <v>97649</v>
      </c>
      <c r="I694" s="23" t="n">
        <v>500000</v>
      </c>
      <c r="J694" s="20" t="inlineStr">
        <is>
          <t>STEER AUTO TECHNOLOGIES PRIVATE LIMITED</t>
        </is>
      </c>
      <c r="K694" s="20" t="inlineStr">
        <is>
          <t>Non-Captive</t>
        </is>
      </c>
      <c r="L694" s="20" t="inlineStr">
        <is>
          <t>Rithika cars</t>
        </is>
      </c>
      <c r="M694" s="23" t="n">
        <v>3389.83</v>
      </c>
      <c r="N694" s="23" t="n">
        <v>4000</v>
      </c>
      <c r="O694" s="24">
        <f>IF(AND(ISNUMBER(M694), ISNUMBER(I694), I694&gt;0), M694/I694, "")</f>
        <v/>
      </c>
    </row>
    <row r="695">
      <c r="A695" s="19" t="inlineStr">
        <is>
          <t>FY26</t>
        </is>
      </c>
      <c r="B695" s="19" t="inlineStr">
        <is>
          <t>Feb</t>
        </is>
      </c>
      <c r="C695" s="19" t="inlineStr">
        <is>
          <t>TN</t>
        </is>
      </c>
      <c r="D695" s="20" t="inlineStr">
        <is>
          <t>TN07CC4276</t>
        </is>
      </c>
      <c r="E695" s="20" t="inlineStr">
        <is>
          <t>HONDA</t>
        </is>
      </c>
      <c r="F695" s="20" t="inlineStr">
        <is>
          <t>City</t>
        </is>
      </c>
      <c r="G695" s="21" t="n">
        <v>2015</v>
      </c>
      <c r="H695" s="22" t="n">
        <v>124809</v>
      </c>
      <c r="I695" s="23" t="n">
        <v>360000</v>
      </c>
      <c r="J695" s="20" t="inlineStr">
        <is>
          <t>STEER AUTO TECHNOLOGIES PRIVATE LIMITED</t>
        </is>
      </c>
      <c r="K695" s="20" t="inlineStr">
        <is>
          <t>Non-Captive</t>
        </is>
      </c>
      <c r="L695" s="20" t="inlineStr">
        <is>
          <t>Rithika cars</t>
        </is>
      </c>
      <c r="M695" s="23" t="n">
        <v>3389.83</v>
      </c>
      <c r="N695" s="23" t="n">
        <v>4000</v>
      </c>
      <c r="O695" s="24">
        <f>IF(AND(ISNUMBER(M695), ISNUMBER(I695), I695&gt;0), M695/I695, "")</f>
        <v/>
      </c>
    </row>
    <row r="696">
      <c r="A696" s="19" t="inlineStr">
        <is>
          <t>FY26</t>
        </is>
      </c>
      <c r="B696" s="19" t="inlineStr">
        <is>
          <t>Feb</t>
        </is>
      </c>
      <c r="C696" s="19" t="inlineStr">
        <is>
          <t>TN</t>
        </is>
      </c>
      <c r="D696" s="20" t="inlineStr">
        <is>
          <t>TN06L3807</t>
        </is>
      </c>
      <c r="E696" s="20" t="inlineStr">
        <is>
          <t>HONDA</t>
        </is>
      </c>
      <c r="F696" s="20" t="inlineStr">
        <is>
          <t>City</t>
        </is>
      </c>
      <c r="G696" s="21" t="n">
        <v>2014</v>
      </c>
      <c r="H696" s="22" t="n">
        <v>132774</v>
      </c>
      <c r="I696" s="23" t="n">
        <v>325000</v>
      </c>
      <c r="J696" s="20" t="inlineStr">
        <is>
          <t>STEER AUTO TECHNOLOGIES PRIVATE LIMITED</t>
        </is>
      </c>
      <c r="K696" s="20" t="inlineStr">
        <is>
          <t>Non-Captive</t>
        </is>
      </c>
      <c r="L696" s="20" t="inlineStr">
        <is>
          <t>Rithika cars</t>
        </is>
      </c>
      <c r="M696" s="23" t="n">
        <v>3389.83</v>
      </c>
      <c r="N696" s="23" t="n">
        <v>4000</v>
      </c>
      <c r="O696" s="24">
        <f>IF(AND(ISNUMBER(M696), ISNUMBER(I696), I696&gt;0), M696/I696, "")</f>
        <v/>
      </c>
    </row>
    <row r="697">
      <c r="A697" s="19" t="inlineStr">
        <is>
          <t>FY26</t>
        </is>
      </c>
      <c r="B697" s="19" t="inlineStr">
        <is>
          <t>Feb</t>
        </is>
      </c>
      <c r="C697" s="19" t="inlineStr">
        <is>
          <t>TN</t>
        </is>
      </c>
      <c r="D697" s="20" t="inlineStr">
        <is>
          <t>TN14J6732</t>
        </is>
      </c>
      <c r="E697" s="20" t="inlineStr">
        <is>
          <t>SKODA</t>
        </is>
      </c>
      <c r="F697" s="20" t="inlineStr">
        <is>
          <t>Rapid</t>
        </is>
      </c>
      <c r="G697" s="21" t="n">
        <v>2016</v>
      </c>
      <c r="H697" s="22" t="n">
        <v>107500</v>
      </c>
      <c r="I697" s="23" t="n">
        <v>420000</v>
      </c>
      <c r="J697" s="20" t="inlineStr">
        <is>
          <t>STEER AUTO TECHNOLOGIES PRIVATE LIMITED</t>
        </is>
      </c>
      <c r="K697" s="20" t="inlineStr">
        <is>
          <t>Non-Captive</t>
        </is>
      </c>
      <c r="L697" s="20" t="inlineStr">
        <is>
          <t>Rithika cars</t>
        </is>
      </c>
      <c r="M697" s="23" t="n">
        <v>3389.83</v>
      </c>
      <c r="N697" s="23" t="n">
        <v>4000</v>
      </c>
      <c r="O697" s="24">
        <f>IF(AND(ISNUMBER(M697), ISNUMBER(I697), I697&gt;0), M697/I697, "")</f>
        <v/>
      </c>
    </row>
    <row r="698">
      <c r="A698" s="19" t="inlineStr">
        <is>
          <t>FY26</t>
        </is>
      </c>
      <c r="B698" s="19" t="inlineStr">
        <is>
          <t>Feb</t>
        </is>
      </c>
      <c r="C698" s="19" t="inlineStr">
        <is>
          <t>TN</t>
        </is>
      </c>
      <c r="D698" s="20" t="inlineStr">
        <is>
          <t>TN10BH0696</t>
        </is>
      </c>
      <c r="E698" s="20" t="inlineStr">
        <is>
          <t>MARUTI SUZUKI</t>
        </is>
      </c>
      <c r="F698" s="20" t="inlineStr">
        <is>
          <t>Brezza</t>
        </is>
      </c>
      <c r="G698" s="21" t="n">
        <v>2019</v>
      </c>
      <c r="H698" s="22" t="n">
        <v>22642</v>
      </c>
      <c r="I698" s="23" t="n">
        <v>750000</v>
      </c>
      <c r="J698" s="20" t="inlineStr">
        <is>
          <t>STEER AUTO TECHNOLOGIES PRIVATE LIMITED</t>
        </is>
      </c>
      <c r="K698" s="20" t="inlineStr">
        <is>
          <t>Non-Captive</t>
        </is>
      </c>
      <c r="L698" s="20" t="inlineStr">
        <is>
          <t>Rithika cars</t>
        </is>
      </c>
      <c r="M698" s="23" t="n">
        <v>3389.83</v>
      </c>
      <c r="N698" s="23" t="n">
        <v>4000</v>
      </c>
      <c r="O698" s="24">
        <f>IF(AND(ISNUMBER(M698), ISNUMBER(I698), I698&gt;0), M698/I698, "")</f>
        <v/>
      </c>
    </row>
    <row r="699">
      <c r="A699" s="19" t="inlineStr">
        <is>
          <t>FY26</t>
        </is>
      </c>
      <c r="B699" s="19" t="inlineStr">
        <is>
          <t>Feb</t>
        </is>
      </c>
      <c r="C699" s="19" t="inlineStr">
        <is>
          <t>TN</t>
        </is>
      </c>
      <c r="D699" s="20" t="inlineStr">
        <is>
          <t>TN07CE4728</t>
        </is>
      </c>
      <c r="E699" s="20" t="inlineStr">
        <is>
          <t>RENAULT</t>
        </is>
      </c>
      <c r="F699" s="20" t="inlineStr">
        <is>
          <t>Pulse</t>
        </is>
      </c>
      <c r="G699" s="21" t="n">
        <v>2015</v>
      </c>
      <c r="H699" s="22" t="n">
        <v>70064</v>
      </c>
      <c r="I699" s="23" t="n">
        <v>325000</v>
      </c>
      <c r="J699" s="20" t="inlineStr">
        <is>
          <t>STEER AUTO TECHNOLOGIES PRIVATE LIMITED</t>
        </is>
      </c>
      <c r="K699" s="20" t="inlineStr">
        <is>
          <t>Non-Captive</t>
        </is>
      </c>
      <c r="L699" s="20" t="inlineStr">
        <is>
          <t>Rithika cars</t>
        </is>
      </c>
      <c r="M699" s="23" t="n">
        <v>3389.83</v>
      </c>
      <c r="N699" s="23" t="n">
        <v>4000</v>
      </c>
      <c r="O699" s="24">
        <f>IF(AND(ISNUMBER(M699), ISNUMBER(I699), I699&gt;0), M699/I699, "")</f>
        <v/>
      </c>
    </row>
    <row r="700">
      <c r="A700" s="19" t="inlineStr">
        <is>
          <t>FY26</t>
        </is>
      </c>
      <c r="B700" s="19" t="inlineStr">
        <is>
          <t>Feb</t>
        </is>
      </c>
      <c r="C700" s="19" t="inlineStr">
        <is>
          <t>TN</t>
        </is>
      </c>
      <c r="D700" s="20" t="inlineStr">
        <is>
          <t>TN07BS0684</t>
        </is>
      </c>
      <c r="E700" s="20" t="inlineStr">
        <is>
          <t>HONDA</t>
        </is>
      </c>
      <c r="F700" s="20" t="inlineStr">
        <is>
          <t>City</t>
        </is>
      </c>
      <c r="G700" s="21" t="n">
        <v>2012</v>
      </c>
      <c r="H700" s="22" t="n">
        <v>114414</v>
      </c>
      <c r="I700" s="23" t="n">
        <v>363000</v>
      </c>
      <c r="J700" s="20" t="inlineStr">
        <is>
          <t>STEER AUTO TECHNOLOGIES PRIVATE LIMITED</t>
        </is>
      </c>
      <c r="K700" s="20" t="inlineStr">
        <is>
          <t>Non-Captive</t>
        </is>
      </c>
      <c r="L700" s="20" t="inlineStr">
        <is>
          <t>Rithika cars</t>
        </is>
      </c>
      <c r="M700" s="23" t="n">
        <v>3389.83</v>
      </c>
      <c r="N700" s="23" t="n">
        <v>4000</v>
      </c>
      <c r="O700" s="24">
        <f>IF(AND(ISNUMBER(M700), ISNUMBER(I700), I700&gt;0), M700/I700, "")</f>
        <v/>
      </c>
    </row>
    <row r="701">
      <c r="A701" s="19" t="inlineStr">
        <is>
          <t>FY26</t>
        </is>
      </c>
      <c r="B701" s="19" t="inlineStr">
        <is>
          <t>Feb</t>
        </is>
      </c>
      <c r="C701" s="19" t="inlineStr">
        <is>
          <t>TN</t>
        </is>
      </c>
      <c r="D701" s="20" t="inlineStr">
        <is>
          <t>TN13M2461</t>
        </is>
      </c>
      <c r="E701" s="20" t="inlineStr">
        <is>
          <t>RENAULT</t>
        </is>
      </c>
      <c r="F701" s="20" t="inlineStr">
        <is>
          <t>Kwid</t>
        </is>
      </c>
      <c r="G701" s="21" t="n">
        <v>2018</v>
      </c>
      <c r="H701" s="22" t="n">
        <v>48523</v>
      </c>
      <c r="I701" s="23" t="n">
        <v>308000</v>
      </c>
      <c r="J701" s="20" t="inlineStr">
        <is>
          <t>STEER AUTO TECHNOLOGIES PRIVATE LIMITED</t>
        </is>
      </c>
      <c r="K701" s="20" t="inlineStr">
        <is>
          <t>Non-Captive</t>
        </is>
      </c>
      <c r="L701" s="20" t="inlineStr">
        <is>
          <t>Rithika cars</t>
        </is>
      </c>
      <c r="M701" s="23" t="n">
        <v>3389.83</v>
      </c>
      <c r="N701" s="23" t="n">
        <v>4000</v>
      </c>
      <c r="O701" s="24">
        <f>IF(AND(ISNUMBER(M701), ISNUMBER(I701), I701&gt;0), M701/I701, "")</f>
        <v/>
      </c>
    </row>
    <row r="702">
      <c r="A702" s="19" t="inlineStr">
        <is>
          <t>FY26</t>
        </is>
      </c>
      <c r="B702" s="19" t="inlineStr">
        <is>
          <t>Feb</t>
        </is>
      </c>
      <c r="C702" s="19" t="inlineStr">
        <is>
          <t>TN</t>
        </is>
      </c>
      <c r="D702" s="20" t="inlineStr">
        <is>
          <t>TN12S6882</t>
        </is>
      </c>
      <c r="E702" s="20" t="inlineStr">
        <is>
          <t>MARUTI SUZUKI</t>
        </is>
      </c>
      <c r="F702" s="20" t="inlineStr">
        <is>
          <t>Baleno</t>
        </is>
      </c>
      <c r="G702" s="21" t="n">
        <v>2017</v>
      </c>
      <c r="H702" s="22" t="n">
        <v>81753</v>
      </c>
      <c r="I702" s="23" t="n">
        <v>488000</v>
      </c>
      <c r="J702" s="20" t="inlineStr">
        <is>
          <t>STEER AUTO TECHNOLOGIES PRIVATE LIMITED</t>
        </is>
      </c>
      <c r="K702" s="20" t="inlineStr">
        <is>
          <t>Non-Captive</t>
        </is>
      </c>
      <c r="L702" s="20" t="inlineStr">
        <is>
          <t>Rithika cars</t>
        </is>
      </c>
      <c r="M702" s="23" t="n">
        <v>3389.83</v>
      </c>
      <c r="N702" s="23" t="n">
        <v>4000</v>
      </c>
      <c r="O702" s="24">
        <f>IF(AND(ISNUMBER(M702), ISNUMBER(I702), I702&gt;0), M702/I702, "")</f>
        <v/>
      </c>
    </row>
    <row r="703">
      <c r="A703" s="19" t="inlineStr">
        <is>
          <t>FY26</t>
        </is>
      </c>
      <c r="B703" s="19" t="inlineStr">
        <is>
          <t>Feb</t>
        </is>
      </c>
      <c r="C703" s="19" t="inlineStr">
        <is>
          <t>TN</t>
        </is>
      </c>
      <c r="D703" s="20" t="inlineStr">
        <is>
          <t>TN01AR0896</t>
        </is>
      </c>
      <c r="E703" s="20" t="inlineStr">
        <is>
          <t>HYUNDAI</t>
        </is>
      </c>
      <c r="F703" s="20" t="inlineStr">
        <is>
          <t>I20</t>
        </is>
      </c>
      <c r="G703" s="21" t="n">
        <v>2012</v>
      </c>
      <c r="H703" s="22" t="n">
        <v>112379</v>
      </c>
      <c r="I703" s="23" t="n">
        <v>268000</v>
      </c>
      <c r="J703" s="20" t="inlineStr">
        <is>
          <t>STEER AUTO TECHNOLOGIES PRIVATE LIMITED</t>
        </is>
      </c>
      <c r="K703" s="20" t="inlineStr">
        <is>
          <t>Non-Captive</t>
        </is>
      </c>
      <c r="L703" s="20" t="inlineStr">
        <is>
          <t>Rithika cars</t>
        </is>
      </c>
      <c r="M703" s="23" t="n">
        <v>3389.83</v>
      </c>
      <c r="N703" s="23" t="n">
        <v>4000</v>
      </c>
      <c r="O703" s="24">
        <f>IF(AND(ISNUMBER(M703), ISNUMBER(I703), I703&gt;0), M703/I703, "")</f>
        <v/>
      </c>
    </row>
    <row r="704">
      <c r="A704" s="19" t="inlineStr">
        <is>
          <t>FY26</t>
        </is>
      </c>
      <c r="B704" s="19" t="inlineStr">
        <is>
          <t>Feb</t>
        </is>
      </c>
      <c r="C704" s="19" t="inlineStr">
        <is>
          <t>TN</t>
        </is>
      </c>
      <c r="D704" s="20" t="inlineStr">
        <is>
          <t>TN02BK3319</t>
        </is>
      </c>
      <c r="E704" s="20" t="inlineStr">
        <is>
          <t>HYUNDAI</t>
        </is>
      </c>
      <c r="F704" s="20" t="inlineStr">
        <is>
          <t>Verna</t>
        </is>
      </c>
      <c r="G704" s="21" t="n">
        <v>2017</v>
      </c>
      <c r="H704" s="22" t="n">
        <v>52480</v>
      </c>
      <c r="I704" s="23" t="n">
        <v>580000</v>
      </c>
      <c r="J704" s="20" t="inlineStr">
        <is>
          <t>STEER AUTO TECHNOLOGIES PRIVATE LIMITED</t>
        </is>
      </c>
      <c r="K704" s="20" t="inlineStr">
        <is>
          <t>Non-Captive</t>
        </is>
      </c>
      <c r="L704" s="20" t="inlineStr">
        <is>
          <t>Rithika cars</t>
        </is>
      </c>
      <c r="M704" s="23" t="n">
        <v>3389.83</v>
      </c>
      <c r="N704" s="23" t="n">
        <v>4000</v>
      </c>
      <c r="O704" s="24">
        <f>IF(AND(ISNUMBER(M704), ISNUMBER(I704), I704&gt;0), M704/I704, "")</f>
        <v/>
      </c>
    </row>
    <row r="705">
      <c r="A705" s="19" t="inlineStr">
        <is>
          <t>FY26</t>
        </is>
      </c>
      <c r="B705" s="19" t="inlineStr">
        <is>
          <t>Feb</t>
        </is>
      </c>
      <c r="C705" s="19" t="inlineStr">
        <is>
          <t>TN</t>
        </is>
      </c>
      <c r="D705" s="20" t="inlineStr">
        <is>
          <t>TN07BP8179</t>
        </is>
      </c>
      <c r="E705" s="20" t="inlineStr">
        <is>
          <t>HYUNDAI</t>
        </is>
      </c>
      <c r="F705" s="20" t="inlineStr">
        <is>
          <t>I10</t>
        </is>
      </c>
      <c r="G705" s="21" t="n">
        <v>2011</v>
      </c>
      <c r="H705" s="22" t="n">
        <v>61886</v>
      </c>
      <c r="I705" s="23" t="n">
        <v>268000</v>
      </c>
      <c r="J705" s="20" t="inlineStr">
        <is>
          <t>STEER AUTO TECHNOLOGIES PRIVATE LIMITED</t>
        </is>
      </c>
      <c r="K705" s="20" t="inlineStr">
        <is>
          <t>Non-Captive</t>
        </is>
      </c>
      <c r="L705" s="20" t="inlineStr">
        <is>
          <t>Rithika cars</t>
        </is>
      </c>
      <c r="M705" s="23" t="n">
        <v>3389.83</v>
      </c>
      <c r="N705" s="23" t="n">
        <v>4000</v>
      </c>
      <c r="O705" s="24">
        <f>IF(AND(ISNUMBER(M705), ISNUMBER(I705), I705&gt;0), M705/I705, "")</f>
        <v/>
      </c>
    </row>
    <row r="706">
      <c r="A706" s="19" t="inlineStr">
        <is>
          <t>FY26</t>
        </is>
      </c>
      <c r="B706" s="19" t="inlineStr">
        <is>
          <t>Feb</t>
        </is>
      </c>
      <c r="C706" s="19" t="inlineStr">
        <is>
          <t>TN</t>
        </is>
      </c>
      <c r="D706" s="20" t="inlineStr">
        <is>
          <t>TN02BR3687</t>
        </is>
      </c>
      <c r="E706" s="20" t="inlineStr">
        <is>
          <t>VOLKSWAGEN</t>
        </is>
      </c>
      <c r="F706" s="20" t="inlineStr">
        <is>
          <t>Vento</t>
        </is>
      </c>
      <c r="G706" s="21" t="n">
        <v>2019</v>
      </c>
      <c r="H706" s="22" t="n">
        <v>64038</v>
      </c>
      <c r="I706" s="23" t="n">
        <v>785000</v>
      </c>
      <c r="J706" s="20" t="inlineStr">
        <is>
          <t>STEER AUTO TECHNOLOGIES PRIVATE LIMITED</t>
        </is>
      </c>
      <c r="K706" s="20" t="inlineStr">
        <is>
          <t>Non-Captive</t>
        </is>
      </c>
      <c r="L706" s="20" t="inlineStr">
        <is>
          <t>Rithika cars</t>
        </is>
      </c>
      <c r="M706" s="23" t="n">
        <v>3389.83</v>
      </c>
      <c r="N706" s="23" t="n">
        <v>4000</v>
      </c>
      <c r="O706" s="24">
        <f>IF(AND(ISNUMBER(M706), ISNUMBER(I706), I706&gt;0), M706/I706, "")</f>
        <v/>
      </c>
    </row>
    <row r="707">
      <c r="A707" s="19" t="inlineStr">
        <is>
          <t>FY26</t>
        </is>
      </c>
      <c r="B707" s="19" t="inlineStr">
        <is>
          <t>Feb</t>
        </is>
      </c>
      <c r="C707" s="19" t="inlineStr">
        <is>
          <t>TN</t>
        </is>
      </c>
      <c r="D707" s="20" t="inlineStr">
        <is>
          <t>TN11BF7155</t>
        </is>
      </c>
      <c r="E707" s="20" t="inlineStr">
        <is>
          <t>RENAULT</t>
        </is>
      </c>
      <c r="F707" s="20" t="inlineStr">
        <is>
          <t>Kiger</t>
        </is>
      </c>
      <c r="G707" s="21" t="n">
        <v>2023</v>
      </c>
      <c r="H707" s="22" t="n">
        <v>3480</v>
      </c>
      <c r="I707" s="23" t="n">
        <v>873000</v>
      </c>
      <c r="J707" s="20" t="inlineStr">
        <is>
          <t>STEER AUTO TECHNOLOGIES PRIVATE LIMITED</t>
        </is>
      </c>
      <c r="K707" s="20" t="inlineStr">
        <is>
          <t>Non-Captive</t>
        </is>
      </c>
      <c r="L707" s="20" t="inlineStr">
        <is>
          <t>Rithika cars</t>
        </is>
      </c>
      <c r="M707" s="23" t="n">
        <v>3389.83</v>
      </c>
      <c r="N707" s="23" t="n">
        <v>4000</v>
      </c>
      <c r="O707" s="24">
        <f>IF(AND(ISNUMBER(M707), ISNUMBER(I707), I707&gt;0), M707/I707, "")</f>
        <v/>
      </c>
    </row>
    <row r="708">
      <c r="A708" s="19" t="inlineStr">
        <is>
          <t>FY26</t>
        </is>
      </c>
      <c r="B708" s="19" t="inlineStr">
        <is>
          <t>Feb</t>
        </is>
      </c>
      <c r="C708" s="19" t="inlineStr">
        <is>
          <t>TN</t>
        </is>
      </c>
      <c r="D708" s="20" t="inlineStr">
        <is>
          <t>TN12AE3686</t>
        </is>
      </c>
      <c r="E708" s="20" t="inlineStr">
        <is>
          <t>RENAULT</t>
        </is>
      </c>
      <c r="F708" s="20" t="inlineStr">
        <is>
          <t>Kwid</t>
        </is>
      </c>
      <c r="G708" s="21" t="n">
        <v>2019</v>
      </c>
      <c r="H708" s="22" t="n">
        <v>53298</v>
      </c>
      <c r="I708" s="23" t="n">
        <v>373000</v>
      </c>
      <c r="J708" s="20" t="inlineStr">
        <is>
          <t>STEER AUTO TECHNOLOGIES PRIVATE LIMITED</t>
        </is>
      </c>
      <c r="K708" s="20" t="inlineStr">
        <is>
          <t>Non-Captive</t>
        </is>
      </c>
      <c r="L708" s="20" t="inlineStr">
        <is>
          <t>Rithika cars</t>
        </is>
      </c>
      <c r="M708" s="23" t="n">
        <v>3389.83</v>
      </c>
      <c r="N708" s="23" t="n">
        <v>4000</v>
      </c>
      <c r="O708" s="24">
        <f>IF(AND(ISNUMBER(M708), ISNUMBER(I708), I708&gt;0), M708/I708, "")</f>
        <v/>
      </c>
    </row>
    <row r="709">
      <c r="A709" s="19" t="inlineStr">
        <is>
          <t>FY26</t>
        </is>
      </c>
      <c r="B709" s="19" t="inlineStr">
        <is>
          <t>Feb</t>
        </is>
      </c>
      <c r="C709" s="19" t="inlineStr">
        <is>
          <t>TN</t>
        </is>
      </c>
      <c r="D709" s="20" t="inlineStr">
        <is>
          <t>TN09CB7858</t>
        </is>
      </c>
      <c r="E709" s="20" t="inlineStr">
        <is>
          <t>MARUTI SUZUKI</t>
        </is>
      </c>
      <c r="F709" s="20" t="inlineStr">
        <is>
          <t>Ciaz</t>
        </is>
      </c>
      <c r="G709" s="21" t="n">
        <v>2015</v>
      </c>
      <c r="H709" s="22" t="n">
        <v>102741</v>
      </c>
      <c r="I709" s="23" t="n">
        <v>505000</v>
      </c>
      <c r="J709" s="20" t="inlineStr">
        <is>
          <t>STEER AUTO TECHNOLOGIES PRIVATE LIMITED</t>
        </is>
      </c>
      <c r="K709" s="20" t="inlineStr">
        <is>
          <t>Non-Captive</t>
        </is>
      </c>
      <c r="L709" s="20" t="inlineStr">
        <is>
          <t>Rithika cars</t>
        </is>
      </c>
      <c r="M709" s="23" t="n">
        <v>3389.83</v>
      </c>
      <c r="N709" s="23" t="n">
        <v>4000</v>
      </c>
      <c r="O709" s="24">
        <f>IF(AND(ISNUMBER(M709), ISNUMBER(I709), I709&gt;0), M709/I709, "")</f>
        <v/>
      </c>
    </row>
    <row r="710">
      <c r="A710" s="19" t="inlineStr">
        <is>
          <t>FY26</t>
        </is>
      </c>
      <c r="B710" s="19" t="inlineStr">
        <is>
          <t>Feb</t>
        </is>
      </c>
      <c r="C710" s="19" t="inlineStr">
        <is>
          <t>TN</t>
        </is>
      </c>
      <c r="D710" s="20" t="inlineStr">
        <is>
          <t>TN22DL2675</t>
        </is>
      </c>
      <c r="E710" s="20" t="inlineStr">
        <is>
          <t>MARUTI SUZUKI</t>
        </is>
      </c>
      <c r="F710" s="20" t="inlineStr">
        <is>
          <t>Swift</t>
        </is>
      </c>
      <c r="G710" s="21" t="n">
        <v>2018</v>
      </c>
      <c r="H710" s="22" t="n">
        <v>62950</v>
      </c>
      <c r="I710" s="23" t="n">
        <v>555000</v>
      </c>
      <c r="J710" s="20" t="inlineStr">
        <is>
          <t>STEER AUTO TECHNOLOGIES PRIVATE LIMITED</t>
        </is>
      </c>
      <c r="K710" s="20" t="inlineStr">
        <is>
          <t>Non-Captive</t>
        </is>
      </c>
      <c r="L710" s="20" t="inlineStr">
        <is>
          <t>Rithika cars</t>
        </is>
      </c>
      <c r="M710" s="23" t="n">
        <v>3389.83</v>
      </c>
      <c r="N710" s="23" t="n">
        <v>4000</v>
      </c>
      <c r="O710" s="24">
        <f>IF(AND(ISNUMBER(M710), ISNUMBER(I710), I710&gt;0), M710/I710, "")</f>
        <v/>
      </c>
    </row>
    <row r="711">
      <c r="A711" s="19" t="inlineStr">
        <is>
          <t>FY26</t>
        </is>
      </c>
      <c r="B711" s="19" t="inlineStr">
        <is>
          <t>Feb</t>
        </is>
      </c>
      <c r="C711" s="19" t="inlineStr">
        <is>
          <t>TN</t>
        </is>
      </c>
      <c r="D711" s="20" t="inlineStr">
        <is>
          <t>TN07CM6240</t>
        </is>
      </c>
      <c r="E711" s="20" t="inlineStr">
        <is>
          <t>MARUTI SUZUKI</t>
        </is>
      </c>
      <c r="F711" s="20" t="inlineStr">
        <is>
          <t>Swift Dzire</t>
        </is>
      </c>
      <c r="G711" s="21" t="n">
        <v>2018</v>
      </c>
      <c r="H711" s="22" t="n">
        <v>69661</v>
      </c>
      <c r="I711" s="23" t="n">
        <v>545000</v>
      </c>
      <c r="J711" s="20" t="inlineStr">
        <is>
          <t>STEER AUTO TECHNOLOGIES PRIVATE LIMITED</t>
        </is>
      </c>
      <c r="K711" s="20" t="inlineStr">
        <is>
          <t>Non-Captive</t>
        </is>
      </c>
      <c r="L711" s="20" t="inlineStr">
        <is>
          <t>Rithika cars</t>
        </is>
      </c>
      <c r="M711" s="23" t="n">
        <v>3389.83</v>
      </c>
      <c r="N711" s="23" t="n">
        <v>4000</v>
      </c>
      <c r="O711" s="24">
        <f>IF(AND(ISNUMBER(M711), ISNUMBER(I711), I711&gt;0), M711/I711, "")</f>
        <v/>
      </c>
    </row>
    <row r="712">
      <c r="A712" s="19" t="inlineStr">
        <is>
          <t>FY26</t>
        </is>
      </c>
      <c r="B712" s="19" t="inlineStr">
        <is>
          <t>Feb</t>
        </is>
      </c>
      <c r="C712" s="19" t="inlineStr">
        <is>
          <t>TN</t>
        </is>
      </c>
      <c r="D712" s="20" t="inlineStr">
        <is>
          <t>TN45BK5549</t>
        </is>
      </c>
      <c r="E712" s="20" t="inlineStr">
        <is>
          <t>RENAULT</t>
        </is>
      </c>
      <c r="F712" s="20" t="inlineStr">
        <is>
          <t>Duster</t>
        </is>
      </c>
      <c r="G712" s="21" t="n">
        <v>2016</v>
      </c>
      <c r="H712" s="22" t="n">
        <v>67909</v>
      </c>
      <c r="I712" s="23" t="n">
        <v>540000</v>
      </c>
      <c r="J712" s="20" t="inlineStr">
        <is>
          <t>STEER AUTO TECHNOLOGIES PRIVATE LIMITED</t>
        </is>
      </c>
      <c r="K712" s="20" t="inlineStr">
        <is>
          <t>Non-Captive</t>
        </is>
      </c>
      <c r="L712" s="20" t="inlineStr">
        <is>
          <t>Rithika cars</t>
        </is>
      </c>
      <c r="M712" s="23" t="n">
        <v>3389.83</v>
      </c>
      <c r="N712" s="23" t="n">
        <v>4000</v>
      </c>
      <c r="O712" s="24">
        <f>IF(AND(ISNUMBER(M712), ISNUMBER(I712), I712&gt;0), M712/I712, "")</f>
        <v/>
      </c>
    </row>
    <row r="713">
      <c r="A713" s="19" t="inlineStr">
        <is>
          <t>FY26</t>
        </is>
      </c>
      <c r="B713" s="19" t="inlineStr">
        <is>
          <t>Feb</t>
        </is>
      </c>
      <c r="C713" s="19" t="inlineStr">
        <is>
          <t>TN</t>
        </is>
      </c>
      <c r="D713" s="20" t="inlineStr">
        <is>
          <t>TN01BB0846</t>
        </is>
      </c>
      <c r="E713" s="20" t="inlineStr">
        <is>
          <t>MARUTI SUZUKI</t>
        </is>
      </c>
      <c r="F713" s="20" t="inlineStr">
        <is>
          <t>Ciaz</t>
        </is>
      </c>
      <c r="G713" s="21" t="n">
        <v>2016</v>
      </c>
      <c r="H713" s="22" t="n">
        <v>76924</v>
      </c>
      <c r="I713" s="23" t="n">
        <v>580000</v>
      </c>
      <c r="J713" s="20" t="inlineStr">
        <is>
          <t>STEER AUTO TECHNOLOGIES PRIVATE LIMITED</t>
        </is>
      </c>
      <c r="K713" s="20" t="inlineStr">
        <is>
          <t>Non-Captive</t>
        </is>
      </c>
      <c r="L713" s="20" t="inlineStr">
        <is>
          <t>Rithika cars</t>
        </is>
      </c>
      <c r="M713" s="23" t="n">
        <v>3389.83</v>
      </c>
      <c r="N713" s="23" t="n">
        <v>4000</v>
      </c>
      <c r="O713" s="24">
        <f>IF(AND(ISNUMBER(M713), ISNUMBER(I713), I713&gt;0), M713/I713, "")</f>
        <v/>
      </c>
    </row>
    <row r="714">
      <c r="A714" s="19" t="inlineStr">
        <is>
          <t>FY26</t>
        </is>
      </c>
      <c r="B714" s="19" t="inlineStr">
        <is>
          <t>Feb</t>
        </is>
      </c>
      <c r="C714" s="19" t="inlineStr">
        <is>
          <t>TN</t>
        </is>
      </c>
      <c r="D714" s="20" t="inlineStr">
        <is>
          <t>TN07CB6293</t>
        </is>
      </c>
      <c r="E714" s="20" t="inlineStr">
        <is>
          <t>HYUNDAI</t>
        </is>
      </c>
      <c r="F714" s="20" t="inlineStr">
        <is>
          <t>Xcent</t>
        </is>
      </c>
      <c r="G714" s="21" t="n">
        <v>2015</v>
      </c>
      <c r="H714" s="22" t="n">
        <v>141031</v>
      </c>
      <c r="I714" s="23" t="n">
        <v>288000</v>
      </c>
      <c r="J714" s="20" t="inlineStr">
        <is>
          <t>STEER AUTO TECHNOLOGIES PRIVATE LIMITED</t>
        </is>
      </c>
      <c r="K714" s="20" t="inlineStr">
        <is>
          <t>Non-Captive</t>
        </is>
      </c>
      <c r="L714" s="20" t="inlineStr">
        <is>
          <t>Rithika cars</t>
        </is>
      </c>
      <c r="M714" s="23" t="n">
        <v>3389.83</v>
      </c>
      <c r="N714" s="23" t="n">
        <v>4000</v>
      </c>
      <c r="O714" s="24">
        <f>IF(AND(ISNUMBER(M714), ISNUMBER(I714), I714&gt;0), M714/I714, "")</f>
        <v/>
      </c>
    </row>
    <row r="715">
      <c r="A715" s="19" t="inlineStr">
        <is>
          <t>FY26</t>
        </is>
      </c>
      <c r="B715" s="19" t="inlineStr">
        <is>
          <t>Feb</t>
        </is>
      </c>
      <c r="C715" s="19" t="inlineStr">
        <is>
          <t>TN</t>
        </is>
      </c>
      <c r="D715" s="20" t="inlineStr">
        <is>
          <t>TN70D9849</t>
        </is>
      </c>
      <c r="E715" s="20" t="inlineStr">
        <is>
          <t>CHEVROLET</t>
        </is>
      </c>
      <c r="F715" s="20" t="inlineStr">
        <is>
          <t>Spark</t>
        </is>
      </c>
      <c r="G715" s="21" t="n">
        <v>2011</v>
      </c>
      <c r="H715" s="22" t="n">
        <v>76623</v>
      </c>
      <c r="I715" s="23" t="n">
        <v>113000</v>
      </c>
      <c r="J715" s="20" t="inlineStr">
        <is>
          <t>STEER AUTO TECHNOLOGIES PRIVATE LIMITED</t>
        </is>
      </c>
      <c r="K715" s="20" t="inlineStr">
        <is>
          <t>Non-Captive</t>
        </is>
      </c>
      <c r="L715" s="20" t="inlineStr">
        <is>
          <t>Rithika cars</t>
        </is>
      </c>
      <c r="M715" s="23" t="n">
        <v>3389.83</v>
      </c>
      <c r="N715" s="23" t="n">
        <v>4000</v>
      </c>
      <c r="O715" s="24">
        <f>IF(AND(ISNUMBER(M715), ISNUMBER(I715), I715&gt;0), M715/I715, "")</f>
        <v/>
      </c>
    </row>
    <row r="716">
      <c r="A716" s="19" t="inlineStr">
        <is>
          <t>FY26</t>
        </is>
      </c>
      <c r="B716" s="19" t="inlineStr">
        <is>
          <t>Feb</t>
        </is>
      </c>
      <c r="C716" s="19" t="inlineStr">
        <is>
          <t>TN</t>
        </is>
      </c>
      <c r="D716" s="20" t="inlineStr">
        <is>
          <t>TN11Q5934</t>
        </is>
      </c>
      <c r="E716" s="20" t="inlineStr">
        <is>
          <t>FORD</t>
        </is>
      </c>
      <c r="F716" s="20" t="inlineStr">
        <is>
          <t>Ecosport</t>
        </is>
      </c>
      <c r="G716" s="21" t="n">
        <v>2015</v>
      </c>
      <c r="H716" s="22" t="n">
        <v>99999</v>
      </c>
      <c r="I716" s="23" t="n">
        <v>358000</v>
      </c>
      <c r="J716" s="20" t="inlineStr">
        <is>
          <t>STEER AUTO TECHNOLOGIES PRIVATE LIMITED</t>
        </is>
      </c>
      <c r="K716" s="20" t="inlineStr">
        <is>
          <t>Non-Captive</t>
        </is>
      </c>
      <c r="L716" s="20" t="inlineStr">
        <is>
          <t>Rithika cars</t>
        </is>
      </c>
      <c r="M716" s="23" t="n">
        <v>3389.83</v>
      </c>
      <c r="N716" s="23" t="n">
        <v>4000</v>
      </c>
      <c r="O716" s="24">
        <f>IF(AND(ISNUMBER(M716), ISNUMBER(I716), I716&gt;0), M716/I716, "")</f>
        <v/>
      </c>
    </row>
    <row r="717">
      <c r="A717" s="19" t="inlineStr">
        <is>
          <t>FY26</t>
        </is>
      </c>
      <c r="B717" s="19" t="inlineStr">
        <is>
          <t>Feb</t>
        </is>
      </c>
      <c r="C717" s="19" t="inlineStr">
        <is>
          <t>TN</t>
        </is>
      </c>
      <c r="D717" s="20" t="inlineStr">
        <is>
          <t>TN07CT3064</t>
        </is>
      </c>
      <c r="E717" s="20" t="inlineStr">
        <is>
          <t>HYUNDAI</t>
        </is>
      </c>
      <c r="F717" s="20" t="inlineStr">
        <is>
          <t>Venue</t>
        </is>
      </c>
      <c r="G717" s="21" t="n">
        <v>2019</v>
      </c>
      <c r="H717" s="22" t="n">
        <v>49084</v>
      </c>
      <c r="I717" s="23" t="n">
        <v>825000</v>
      </c>
      <c r="J717" s="20" t="inlineStr">
        <is>
          <t>STEER AUTO TECHNOLOGIES PRIVATE LIMITED</t>
        </is>
      </c>
      <c r="K717" s="20" t="inlineStr">
        <is>
          <t>Non-Captive</t>
        </is>
      </c>
      <c r="L717" s="20" t="inlineStr">
        <is>
          <t>Rithika cars</t>
        </is>
      </c>
      <c r="M717" s="23" t="n">
        <v>3389.83</v>
      </c>
      <c r="N717" s="23" t="n">
        <v>4000</v>
      </c>
      <c r="O717" s="24">
        <f>IF(AND(ISNUMBER(M717), ISNUMBER(I717), I717&gt;0), M717/I717, "")</f>
        <v/>
      </c>
    </row>
    <row r="718">
      <c r="A718" s="19" t="inlineStr">
        <is>
          <t>FY26</t>
        </is>
      </c>
      <c r="B718" s="19" t="inlineStr">
        <is>
          <t>Feb</t>
        </is>
      </c>
      <c r="C718" s="19" t="inlineStr">
        <is>
          <t>TN</t>
        </is>
      </c>
      <c r="D718" s="20" t="inlineStr">
        <is>
          <t>TN05BM4683</t>
        </is>
      </c>
      <c r="E718" s="20" t="inlineStr">
        <is>
          <t>RENAULT</t>
        </is>
      </c>
      <c r="F718" s="20" t="inlineStr">
        <is>
          <t>Duster</t>
        </is>
      </c>
      <c r="G718" s="21" t="n">
        <v>2017</v>
      </c>
      <c r="H718" s="22" t="n">
        <v>88530</v>
      </c>
      <c r="I718" s="23" t="n">
        <v>645000</v>
      </c>
      <c r="J718" s="20" t="inlineStr">
        <is>
          <t>STEER AUTO TECHNOLOGIES PRIVATE LIMITED</t>
        </is>
      </c>
      <c r="K718" s="20" t="inlineStr">
        <is>
          <t>Non-Captive</t>
        </is>
      </c>
      <c r="L718" s="20" t="inlineStr">
        <is>
          <t>Rithika cars</t>
        </is>
      </c>
      <c r="M718" s="23" t="n">
        <v>3389.83</v>
      </c>
      <c r="N718" s="23" t="n">
        <v>4000</v>
      </c>
      <c r="O718" s="24">
        <f>IF(AND(ISNUMBER(M718), ISNUMBER(I718), I718&gt;0), M718/I718, "")</f>
        <v/>
      </c>
    </row>
    <row r="719">
      <c r="A719" s="19" t="inlineStr">
        <is>
          <t>FY26</t>
        </is>
      </c>
      <c r="B719" s="19" t="inlineStr">
        <is>
          <t>Feb</t>
        </is>
      </c>
      <c r="C719" s="19" t="inlineStr">
        <is>
          <t>TN</t>
        </is>
      </c>
      <c r="D719" s="20" t="inlineStr">
        <is>
          <t>TN07CB2813</t>
        </is>
      </c>
      <c r="E719" s="20" t="inlineStr">
        <is>
          <t>HONDA</t>
        </is>
      </c>
      <c r="F719" s="20" t="inlineStr">
        <is>
          <t>City</t>
        </is>
      </c>
      <c r="G719" s="21" t="n">
        <v>2015</v>
      </c>
      <c r="H719" s="22" t="n">
        <v>72938</v>
      </c>
      <c r="I719" s="23" t="n">
        <v>585000</v>
      </c>
      <c r="J719" s="20" t="inlineStr">
        <is>
          <t>STEER AUTO TECHNOLOGIES PRIVATE LIMITED</t>
        </is>
      </c>
      <c r="K719" s="20" t="inlineStr">
        <is>
          <t>Non-Captive</t>
        </is>
      </c>
      <c r="L719" s="20" t="inlineStr">
        <is>
          <t>Rithika cars</t>
        </is>
      </c>
      <c r="M719" s="23" t="n">
        <v>3389.83</v>
      </c>
      <c r="N719" s="23" t="n">
        <v>4000</v>
      </c>
      <c r="O719" s="24">
        <f>IF(AND(ISNUMBER(M719), ISNUMBER(I719), I719&gt;0), M719/I719, "")</f>
        <v/>
      </c>
    </row>
    <row r="720">
      <c r="A720" s="19" t="inlineStr">
        <is>
          <t>FY26</t>
        </is>
      </c>
      <c r="B720" s="19" t="inlineStr">
        <is>
          <t>Feb</t>
        </is>
      </c>
      <c r="C720" s="19" t="inlineStr">
        <is>
          <t>TN</t>
        </is>
      </c>
      <c r="D720" s="20" t="inlineStr">
        <is>
          <t>TN09CH1362</t>
        </is>
      </c>
      <c r="E720" s="20" t="inlineStr">
        <is>
          <t>VOLKSWAGEN</t>
        </is>
      </c>
      <c r="F720" s="20" t="inlineStr">
        <is>
          <t>Vento</t>
        </is>
      </c>
      <c r="G720" s="21" t="n">
        <v>2016</v>
      </c>
      <c r="H720" s="22" t="n">
        <v>51953</v>
      </c>
      <c r="I720" s="23" t="n">
        <v>520000</v>
      </c>
      <c r="J720" s="20" t="inlineStr">
        <is>
          <t>STEER AUTO TECHNOLOGIES PRIVATE LIMITED</t>
        </is>
      </c>
      <c r="K720" s="20" t="inlineStr">
        <is>
          <t>Non-Captive</t>
        </is>
      </c>
      <c r="L720" s="20" t="inlineStr">
        <is>
          <t>Rithika cars</t>
        </is>
      </c>
      <c r="M720" s="23" t="n">
        <v>3389.83</v>
      </c>
      <c r="N720" s="23" t="n">
        <v>4000</v>
      </c>
      <c r="O720" s="24">
        <f>IF(AND(ISNUMBER(M720), ISNUMBER(I720), I720&gt;0), M720/I720, "")</f>
        <v/>
      </c>
    </row>
    <row r="721">
      <c r="A721" s="19" t="inlineStr">
        <is>
          <t>FY26</t>
        </is>
      </c>
      <c r="B721" s="19" t="inlineStr">
        <is>
          <t>Feb</t>
        </is>
      </c>
      <c r="C721" s="19" t="inlineStr">
        <is>
          <t>TN</t>
        </is>
      </c>
      <c r="D721" s="20" t="inlineStr">
        <is>
          <t>TN22BK1345</t>
        </is>
      </c>
      <c r="E721" s="20" t="inlineStr">
        <is>
          <t>HYUNDAI</t>
        </is>
      </c>
      <c r="F721" s="20" t="inlineStr">
        <is>
          <t>Santro</t>
        </is>
      </c>
      <c r="G721" s="21" t="n">
        <v>2010</v>
      </c>
      <c r="H721" s="22" t="n">
        <v>54683</v>
      </c>
      <c r="I721" s="23" t="n">
        <v>188000</v>
      </c>
      <c r="J721" s="20" t="inlineStr">
        <is>
          <t>STEER AUTO TECHNOLOGIES PRIVATE LIMITED</t>
        </is>
      </c>
      <c r="K721" s="20" t="inlineStr">
        <is>
          <t>Non-Captive</t>
        </is>
      </c>
      <c r="L721" s="20" t="inlineStr">
        <is>
          <t>Rithika cars</t>
        </is>
      </c>
      <c r="M721" s="23" t="n">
        <v>3389.83</v>
      </c>
      <c r="N721" s="23" t="n">
        <v>4000</v>
      </c>
      <c r="O721" s="24">
        <f>IF(AND(ISNUMBER(M721), ISNUMBER(I721), I721&gt;0), M721/I721, "")</f>
        <v/>
      </c>
    </row>
    <row r="722">
      <c r="A722" s="19" t="inlineStr">
        <is>
          <t>FY26</t>
        </is>
      </c>
      <c r="B722" s="19" t="inlineStr">
        <is>
          <t>Feb</t>
        </is>
      </c>
      <c r="C722" s="19" t="inlineStr">
        <is>
          <t>TN</t>
        </is>
      </c>
      <c r="D722" s="20" t="inlineStr">
        <is>
          <t>TN02BD5733</t>
        </is>
      </c>
      <c r="E722" s="20" t="inlineStr">
        <is>
          <t>VOLKSWAGEN</t>
        </is>
      </c>
      <c r="F722" s="20" t="inlineStr">
        <is>
          <t>Vento</t>
        </is>
      </c>
      <c r="G722" s="21" t="n">
        <v>2016</v>
      </c>
      <c r="H722" s="22" t="n">
        <v>114849</v>
      </c>
      <c r="I722" s="23" t="n">
        <v>426000</v>
      </c>
      <c r="J722" s="20" t="inlineStr">
        <is>
          <t>STEER AUTO TECHNOLOGIES PRIVATE LIMITED</t>
        </is>
      </c>
      <c r="K722" s="20" t="inlineStr">
        <is>
          <t>Non-Captive</t>
        </is>
      </c>
      <c r="L722" s="20" t="inlineStr">
        <is>
          <t>Rithika cars</t>
        </is>
      </c>
      <c r="M722" s="23" t="n">
        <v>3389.83</v>
      </c>
      <c r="N722" s="23" t="n">
        <v>4000</v>
      </c>
      <c r="O722" s="24">
        <f>IF(AND(ISNUMBER(M722), ISNUMBER(I722), I722&gt;0), M722/I722, "")</f>
        <v/>
      </c>
    </row>
    <row r="723">
      <c r="A723" s="19" t="inlineStr">
        <is>
          <t>FY26</t>
        </is>
      </c>
      <c r="B723" s="19" t="inlineStr">
        <is>
          <t>Feb</t>
        </is>
      </c>
      <c r="C723" s="19" t="inlineStr">
        <is>
          <t>TN</t>
        </is>
      </c>
      <c r="D723" s="20" t="inlineStr">
        <is>
          <t>TN07CE8743</t>
        </is>
      </c>
      <c r="E723" s="20" t="inlineStr">
        <is>
          <t>MARUTI SUZUKI</t>
        </is>
      </c>
      <c r="F723" s="20" t="inlineStr">
        <is>
          <t>Swift</t>
        </is>
      </c>
      <c r="G723" s="21" t="n">
        <v>2016</v>
      </c>
      <c r="H723" s="22" t="n">
        <v>37956</v>
      </c>
      <c r="I723" s="23" t="n">
        <v>448000</v>
      </c>
      <c r="J723" s="20" t="inlineStr">
        <is>
          <t>STEER AUTO TECHNOLOGIES PRIVATE LIMITED</t>
        </is>
      </c>
      <c r="K723" s="20" t="inlineStr">
        <is>
          <t>Non-Captive</t>
        </is>
      </c>
      <c r="L723" s="20" t="inlineStr">
        <is>
          <t>Rithika cars</t>
        </is>
      </c>
      <c r="M723" s="23" t="n">
        <v>3389.83</v>
      </c>
      <c r="N723" s="23" t="n">
        <v>4000</v>
      </c>
      <c r="O723" s="24">
        <f>IF(AND(ISNUMBER(M723), ISNUMBER(I723), I723&gt;0), M723/I723, "")</f>
        <v/>
      </c>
    </row>
    <row r="724">
      <c r="A724" s="19" t="inlineStr">
        <is>
          <t>FY26</t>
        </is>
      </c>
      <c r="B724" s="19" t="inlineStr">
        <is>
          <t>Feb</t>
        </is>
      </c>
      <c r="C724" s="19" t="inlineStr">
        <is>
          <t>TN</t>
        </is>
      </c>
      <c r="D724" s="20" t="inlineStr">
        <is>
          <t>TN07CK9274</t>
        </is>
      </c>
      <c r="E724" s="20" t="inlineStr">
        <is>
          <t>VOLKSWAGEN</t>
        </is>
      </c>
      <c r="F724" s="20" t="inlineStr">
        <is>
          <t>Polo</t>
        </is>
      </c>
      <c r="G724" s="21" t="n">
        <v>2017</v>
      </c>
      <c r="H724" s="22" t="n">
        <v>80924</v>
      </c>
      <c r="I724" s="23" t="n">
        <v>605000</v>
      </c>
      <c r="J724" s="20" t="inlineStr">
        <is>
          <t>STEER AUTO TECHNOLOGIES PRIVATE LIMITED</t>
        </is>
      </c>
      <c r="K724" s="20" t="inlineStr">
        <is>
          <t>Non-Captive</t>
        </is>
      </c>
      <c r="L724" s="20" t="inlineStr">
        <is>
          <t>Rithika cars</t>
        </is>
      </c>
      <c r="M724" s="23" t="n">
        <v>3389.83</v>
      </c>
      <c r="N724" s="23" t="n">
        <v>4000</v>
      </c>
      <c r="O724" s="24">
        <f>IF(AND(ISNUMBER(M724), ISNUMBER(I724), I724&gt;0), M724/I724, "")</f>
        <v/>
      </c>
    </row>
    <row r="725">
      <c r="A725" s="19" t="inlineStr">
        <is>
          <t>FY26</t>
        </is>
      </c>
      <c r="B725" s="19" t="inlineStr">
        <is>
          <t>Feb</t>
        </is>
      </c>
      <c r="C725" s="19" t="inlineStr">
        <is>
          <t>TN</t>
        </is>
      </c>
      <c r="D725" s="20" t="inlineStr">
        <is>
          <t>TN10AY7842</t>
        </is>
      </c>
      <c r="E725" s="20" t="inlineStr">
        <is>
          <t>VOLKSWAGEN</t>
        </is>
      </c>
      <c r="F725" s="20" t="inlineStr">
        <is>
          <t>Vento</t>
        </is>
      </c>
      <c r="G725" s="21" t="n">
        <v>2017</v>
      </c>
      <c r="H725" s="22" t="n">
        <v>109276</v>
      </c>
      <c r="I725" s="23" t="n">
        <v>535000</v>
      </c>
      <c r="J725" s="20" t="inlineStr">
        <is>
          <t>STEER AUTO TECHNOLOGIES PRIVATE LIMITED</t>
        </is>
      </c>
      <c r="K725" s="20" t="inlineStr">
        <is>
          <t>Non-Captive</t>
        </is>
      </c>
      <c r="L725" s="20" t="inlineStr">
        <is>
          <t>Rithika cars</t>
        </is>
      </c>
      <c r="M725" s="23" t="n">
        <v>3389.83</v>
      </c>
      <c r="N725" s="23" t="n">
        <v>4000</v>
      </c>
      <c r="O725" s="24">
        <f>IF(AND(ISNUMBER(M725), ISNUMBER(I725), I725&gt;0), M725/I725, "")</f>
        <v/>
      </c>
    </row>
    <row r="726">
      <c r="A726" s="19" t="inlineStr">
        <is>
          <t>FY26</t>
        </is>
      </c>
      <c r="B726" s="19" t="inlineStr">
        <is>
          <t>Feb</t>
        </is>
      </c>
      <c r="C726" s="19" t="inlineStr">
        <is>
          <t>TN</t>
        </is>
      </c>
      <c r="D726" s="20" t="inlineStr">
        <is>
          <t>TN12L6069</t>
        </is>
      </c>
      <c r="E726" s="20" t="inlineStr">
        <is>
          <t>RENAULT</t>
        </is>
      </c>
      <c r="F726" s="20" t="inlineStr">
        <is>
          <t>Duster</t>
        </is>
      </c>
      <c r="G726" s="21" t="n">
        <v>2016</v>
      </c>
      <c r="H726" s="22" t="n">
        <v>104531</v>
      </c>
      <c r="I726" s="23" t="n">
        <v>520000</v>
      </c>
      <c r="J726" s="20" t="inlineStr">
        <is>
          <t>STEER AUTO TECHNOLOGIES PRIVATE LIMITED</t>
        </is>
      </c>
      <c r="K726" s="20" t="inlineStr">
        <is>
          <t>Non-Captive</t>
        </is>
      </c>
      <c r="L726" s="20" t="inlineStr">
        <is>
          <t>Rithika cars</t>
        </is>
      </c>
      <c r="M726" s="23" t="n">
        <v>3389.83</v>
      </c>
      <c r="N726" s="23" t="n">
        <v>4000</v>
      </c>
      <c r="O726" s="24">
        <f>IF(AND(ISNUMBER(M726), ISNUMBER(I726), I726&gt;0), M726/I726, "")</f>
        <v/>
      </c>
    </row>
    <row r="727">
      <c r="A727" s="19" t="inlineStr">
        <is>
          <t>FY26</t>
        </is>
      </c>
      <c r="B727" s="19" t="inlineStr">
        <is>
          <t>Feb</t>
        </is>
      </c>
      <c r="C727" s="19" t="inlineStr">
        <is>
          <t>TN</t>
        </is>
      </c>
      <c r="D727" s="20" t="inlineStr">
        <is>
          <t>TN91K2029</t>
        </is>
      </c>
      <c r="E727" s="20" t="inlineStr">
        <is>
          <t>TATA</t>
        </is>
      </c>
      <c r="F727" s="20" t="inlineStr">
        <is>
          <t>Nexon</t>
        </is>
      </c>
      <c r="G727" s="21" t="n">
        <v>2021</v>
      </c>
      <c r="H727" s="22" t="n">
        <v>108964</v>
      </c>
      <c r="I727" s="23" t="n">
        <v>585000</v>
      </c>
      <c r="J727" s="20" t="inlineStr">
        <is>
          <t>STEER AUTO TECHNOLOGIES PRIVATE LIMITED</t>
        </is>
      </c>
      <c r="K727" s="20" t="inlineStr">
        <is>
          <t>Non-Captive</t>
        </is>
      </c>
      <c r="L727" s="20" t="inlineStr">
        <is>
          <t>Rithika cars</t>
        </is>
      </c>
      <c r="M727" s="23" t="n">
        <v>3389.83</v>
      </c>
      <c r="N727" s="23" t="n">
        <v>4000</v>
      </c>
      <c r="O727" s="24">
        <f>IF(AND(ISNUMBER(M727), ISNUMBER(I727), I727&gt;0), M727/I727, "")</f>
        <v/>
      </c>
    </row>
    <row r="728">
      <c r="A728" s="19" t="inlineStr">
        <is>
          <t>FY26</t>
        </is>
      </c>
      <c r="B728" s="19" t="inlineStr">
        <is>
          <t>Feb</t>
        </is>
      </c>
      <c r="C728" s="19" t="inlineStr">
        <is>
          <t>TN</t>
        </is>
      </c>
      <c r="D728" s="20" t="inlineStr">
        <is>
          <t>TN11R6450</t>
        </is>
      </c>
      <c r="E728" s="20" t="inlineStr">
        <is>
          <t>VOLKSWAGEN</t>
        </is>
      </c>
      <c r="F728" s="20" t="inlineStr">
        <is>
          <t>Polo</t>
        </is>
      </c>
      <c r="G728" s="21" t="n">
        <v>2016</v>
      </c>
      <c r="H728" s="22" t="n">
        <v>109817</v>
      </c>
      <c r="I728" s="23" t="n">
        <v>408000</v>
      </c>
      <c r="J728" s="20" t="inlineStr">
        <is>
          <t>STEER AUTO TECHNOLOGIES PRIVATE LIMITED</t>
        </is>
      </c>
      <c r="K728" s="20" t="inlineStr">
        <is>
          <t>Non-Captive</t>
        </is>
      </c>
      <c r="L728" s="20" t="inlineStr">
        <is>
          <t>Rithika cars</t>
        </is>
      </c>
      <c r="M728" s="23" t="n">
        <v>4237.29</v>
      </c>
      <c r="N728" s="23" t="n">
        <v>5000</v>
      </c>
      <c r="O728" s="24">
        <f>IF(AND(ISNUMBER(M728), ISNUMBER(I728), I728&gt;0), M728/I728, "")</f>
        <v/>
      </c>
    </row>
    <row r="729">
      <c r="A729" s="19" t="inlineStr">
        <is>
          <t>FY26</t>
        </is>
      </c>
      <c r="B729" s="19" t="inlineStr">
        <is>
          <t>Feb</t>
        </is>
      </c>
      <c r="C729" s="19" t="inlineStr">
        <is>
          <t>TN</t>
        </is>
      </c>
      <c r="D729" s="20" t="inlineStr">
        <is>
          <t>TN12U9378</t>
        </is>
      </c>
      <c r="E729" s="20" t="inlineStr">
        <is>
          <t>HONDA</t>
        </is>
      </c>
      <c r="F729" s="20" t="inlineStr">
        <is>
          <t>Wr-V</t>
        </is>
      </c>
      <c r="G729" s="21" t="n">
        <v>2017</v>
      </c>
      <c r="H729" s="22" t="n">
        <v>143727</v>
      </c>
      <c r="I729" s="23" t="n">
        <v>495000</v>
      </c>
      <c r="J729" s="20" t="inlineStr">
        <is>
          <t>STEER AUTO TECHNOLOGIES PRIVATE LIMITED</t>
        </is>
      </c>
      <c r="K729" s="20" t="inlineStr">
        <is>
          <t>Non-Captive</t>
        </is>
      </c>
      <c r="L729" s="20" t="inlineStr">
        <is>
          <t>Rithika cars</t>
        </is>
      </c>
      <c r="M729" s="23" t="n">
        <v>4237.29</v>
      </c>
      <c r="N729" s="23" t="n">
        <v>5000</v>
      </c>
      <c r="O729" s="24">
        <f>IF(AND(ISNUMBER(M729), ISNUMBER(I729), I729&gt;0), M729/I729, "")</f>
        <v/>
      </c>
    </row>
    <row r="730">
      <c r="A730" s="19" t="inlineStr">
        <is>
          <t>FY26</t>
        </is>
      </c>
      <c r="B730" s="19" t="inlineStr">
        <is>
          <t>Feb</t>
        </is>
      </c>
      <c r="C730" s="19" t="inlineStr">
        <is>
          <t>TN</t>
        </is>
      </c>
      <c r="D730" s="20" t="inlineStr">
        <is>
          <t>TN11K1532</t>
        </is>
      </c>
      <c r="E730" s="20" t="inlineStr">
        <is>
          <t>HYUNDAI</t>
        </is>
      </c>
      <c r="F730" s="20" t="inlineStr">
        <is>
          <t>Eon</t>
        </is>
      </c>
      <c r="G730" s="21" t="n">
        <v>2014</v>
      </c>
      <c r="H730" s="22" t="n">
        <v>78781</v>
      </c>
      <c r="I730" s="23" t="n">
        <v>160000</v>
      </c>
      <c r="J730" s="20" t="inlineStr">
        <is>
          <t>STEER AUTO TECHNOLOGIES PRIVATE LIMITED</t>
        </is>
      </c>
      <c r="K730" s="20" t="inlineStr">
        <is>
          <t>Non-Captive</t>
        </is>
      </c>
      <c r="L730" s="20" t="inlineStr">
        <is>
          <t>Rithika cars</t>
        </is>
      </c>
      <c r="M730" s="23" t="n">
        <v>4237.29</v>
      </c>
      <c r="N730" s="23" t="n">
        <v>5000</v>
      </c>
      <c r="O730" s="24">
        <f>IF(AND(ISNUMBER(M730), ISNUMBER(I730), I730&gt;0), M730/I730, "")</f>
        <v/>
      </c>
    </row>
    <row r="731">
      <c r="A731" s="19" t="inlineStr">
        <is>
          <t>FY26</t>
        </is>
      </c>
      <c r="B731" s="19" t="inlineStr">
        <is>
          <t>Feb</t>
        </is>
      </c>
      <c r="C731" s="19" t="inlineStr">
        <is>
          <t>TN</t>
        </is>
      </c>
      <c r="D731" s="20" t="inlineStr">
        <is>
          <t>TN18AX4570</t>
        </is>
      </c>
      <c r="E731" s="20" t="inlineStr">
        <is>
          <t>RENAULT</t>
        </is>
      </c>
      <c r="F731" s="20" t="inlineStr">
        <is>
          <t>Kwid</t>
        </is>
      </c>
      <c r="G731" s="21" t="n">
        <v>2018</v>
      </c>
      <c r="H731" s="22" t="n">
        <v>36202</v>
      </c>
      <c r="I731" s="23" t="n">
        <v>275000</v>
      </c>
      <c r="J731" s="20" t="inlineStr">
        <is>
          <t>STEER AUTO TECHNOLOGIES PRIVATE LIMITED</t>
        </is>
      </c>
      <c r="K731" s="20" t="inlineStr">
        <is>
          <t>Non-Captive</t>
        </is>
      </c>
      <c r="L731" s="20" t="inlineStr">
        <is>
          <t>Rithika cars</t>
        </is>
      </c>
      <c r="M731" s="23" t="n">
        <v>4237.29</v>
      </c>
      <c r="N731" s="23" t="n">
        <v>5000</v>
      </c>
      <c r="O731" s="24">
        <f>IF(AND(ISNUMBER(M731), ISNUMBER(I731), I731&gt;0), M731/I731, "")</f>
        <v/>
      </c>
    </row>
    <row r="732">
      <c r="A732" s="19" t="inlineStr">
        <is>
          <t>FY26</t>
        </is>
      </c>
      <c r="B732" s="19" t="inlineStr">
        <is>
          <t>Feb</t>
        </is>
      </c>
      <c r="C732" s="19" t="inlineStr">
        <is>
          <t>TN</t>
        </is>
      </c>
      <c r="D732" s="20" t="inlineStr">
        <is>
          <t>TN14V3370</t>
        </is>
      </c>
      <c r="E732" s="20" t="inlineStr">
        <is>
          <t>RENAULT</t>
        </is>
      </c>
      <c r="F732" s="20" t="inlineStr">
        <is>
          <t>Kwid</t>
        </is>
      </c>
      <c r="G732" s="21" t="n">
        <v>2019</v>
      </c>
      <c r="H732" s="22" t="n">
        <v>92457</v>
      </c>
      <c r="I732" s="23" t="n">
        <v>320000</v>
      </c>
      <c r="J732" s="20" t="inlineStr">
        <is>
          <t>STEER AUTO TECHNOLOGIES PRIVATE LIMITED</t>
        </is>
      </c>
      <c r="K732" s="20" t="inlineStr">
        <is>
          <t>Non-Captive</t>
        </is>
      </c>
      <c r="L732" s="20" t="inlineStr">
        <is>
          <t>Rithika cars</t>
        </is>
      </c>
      <c r="M732" s="23" t="n">
        <v>4237.29</v>
      </c>
      <c r="N732" s="23" t="n">
        <v>5000</v>
      </c>
      <c r="O732" s="24">
        <f>IF(AND(ISNUMBER(M732), ISNUMBER(I732), I732&gt;0), M732/I732, "")</f>
        <v/>
      </c>
    </row>
    <row r="733">
      <c r="A733" s="19" t="inlineStr">
        <is>
          <t>FY26</t>
        </is>
      </c>
      <c r="B733" s="19" t="inlineStr">
        <is>
          <t>Feb</t>
        </is>
      </c>
      <c r="C733" s="19" t="inlineStr">
        <is>
          <t>TN</t>
        </is>
      </c>
      <c r="D733" s="20" t="inlineStr">
        <is>
          <t>TN05BB4241</t>
        </is>
      </c>
      <c r="E733" s="20" t="inlineStr">
        <is>
          <t>MARUTI SUZUKI</t>
        </is>
      </c>
      <c r="F733" s="20" t="inlineStr">
        <is>
          <t>Swift</t>
        </is>
      </c>
      <c r="G733" s="21" t="n">
        <v>2015</v>
      </c>
      <c r="H733" s="22" t="n">
        <v>60173</v>
      </c>
      <c r="I733" s="23" t="n">
        <v>325000</v>
      </c>
      <c r="J733" s="20" t="inlineStr">
        <is>
          <t>STEER AUTO TECHNOLOGIES PRIVATE LIMITED</t>
        </is>
      </c>
      <c r="K733" s="20" t="inlineStr">
        <is>
          <t>Non-Captive</t>
        </is>
      </c>
      <c r="L733" s="20" t="inlineStr">
        <is>
          <t>Rithika cars</t>
        </is>
      </c>
      <c r="M733" s="23" t="n">
        <v>4237.29</v>
      </c>
      <c r="N733" s="23" t="n">
        <v>5000</v>
      </c>
      <c r="O733" s="24">
        <f>IF(AND(ISNUMBER(M733), ISNUMBER(I733), I733&gt;0), M733/I733, "")</f>
        <v/>
      </c>
    </row>
    <row r="734">
      <c r="A734" s="19" t="inlineStr">
        <is>
          <t>FY26</t>
        </is>
      </c>
      <c r="B734" s="19" t="inlineStr">
        <is>
          <t>Feb</t>
        </is>
      </c>
      <c r="C734" s="19" t="inlineStr">
        <is>
          <t>TN</t>
        </is>
      </c>
      <c r="D734" s="20" t="inlineStr">
        <is>
          <t>TN07CJ6063</t>
        </is>
      </c>
      <c r="E734" s="20" t="inlineStr">
        <is>
          <t>HONDA</t>
        </is>
      </c>
      <c r="F734" s="20" t="inlineStr">
        <is>
          <t>Jazz</t>
        </is>
      </c>
      <c r="G734" s="21" t="n">
        <v>2017</v>
      </c>
      <c r="H734" s="22" t="n">
        <v>51577</v>
      </c>
      <c r="I734" s="23" t="n">
        <v>420000</v>
      </c>
      <c r="J734" s="20" t="inlineStr">
        <is>
          <t>STEER AUTO TECHNOLOGIES PRIVATE LIMITED</t>
        </is>
      </c>
      <c r="K734" s="20" t="inlineStr">
        <is>
          <t>Non-Captive</t>
        </is>
      </c>
      <c r="L734" s="20" t="inlineStr">
        <is>
          <t>Rithika cars</t>
        </is>
      </c>
      <c r="M734" s="23" t="n">
        <v>4237.29</v>
      </c>
      <c r="N734" s="23" t="n">
        <v>5000</v>
      </c>
      <c r="O734" s="24">
        <f>IF(AND(ISNUMBER(M734), ISNUMBER(I734), I734&gt;0), M734/I734, "")</f>
        <v/>
      </c>
    </row>
    <row r="735">
      <c r="A735" s="19" t="inlineStr">
        <is>
          <t>FY26</t>
        </is>
      </c>
      <c r="B735" s="19" t="inlineStr">
        <is>
          <t>Feb</t>
        </is>
      </c>
      <c r="C735" s="19" t="inlineStr">
        <is>
          <t>TN</t>
        </is>
      </c>
      <c r="D735" s="20" t="inlineStr">
        <is>
          <t>TN02BK2569</t>
        </is>
      </c>
      <c r="E735" s="20" t="inlineStr">
        <is>
          <t>VOLKSWAGEN</t>
        </is>
      </c>
      <c r="F735" s="20" t="inlineStr">
        <is>
          <t>Polo</t>
        </is>
      </c>
      <c r="G735" s="21" t="n">
        <v>2017</v>
      </c>
      <c r="H735" s="22" t="n">
        <v>71850</v>
      </c>
      <c r="I735" s="23" t="n">
        <v>400000</v>
      </c>
      <c r="J735" s="20" t="inlineStr">
        <is>
          <t>STEER AUTO TECHNOLOGIES PRIVATE LIMITED</t>
        </is>
      </c>
      <c r="K735" s="20" t="inlineStr">
        <is>
          <t>Non-Captive</t>
        </is>
      </c>
      <c r="L735" s="20" t="inlineStr">
        <is>
          <t>Rithika cars</t>
        </is>
      </c>
      <c r="M735" s="23" t="n">
        <v>4237.29</v>
      </c>
      <c r="N735" s="23" t="n">
        <v>5000</v>
      </c>
      <c r="O735" s="24">
        <f>IF(AND(ISNUMBER(M735), ISNUMBER(I735), I735&gt;0), M735/I735, "")</f>
        <v/>
      </c>
    </row>
    <row r="736">
      <c r="A736" s="19" t="inlineStr">
        <is>
          <t>FY26</t>
        </is>
      </c>
      <c r="B736" s="19" t="inlineStr">
        <is>
          <t>Feb</t>
        </is>
      </c>
      <c r="C736" s="19" t="inlineStr">
        <is>
          <t>TN</t>
        </is>
      </c>
      <c r="D736" s="20" t="inlineStr">
        <is>
          <t>TN07CA8129</t>
        </is>
      </c>
      <c r="E736" s="20" t="inlineStr">
        <is>
          <t>VOLKSWAGEN</t>
        </is>
      </c>
      <c r="F736" s="20" t="inlineStr">
        <is>
          <t>Vento</t>
        </is>
      </c>
      <c r="G736" s="21" t="n">
        <v>2014</v>
      </c>
      <c r="H736" s="22" t="n">
        <v>76431</v>
      </c>
      <c r="I736" s="23" t="n">
        <v>450000</v>
      </c>
      <c r="J736" s="20" t="inlineStr">
        <is>
          <t>STEER AUTO TECHNOLOGIES PRIVATE LIMITED</t>
        </is>
      </c>
      <c r="K736" s="20" t="inlineStr">
        <is>
          <t>Non-Captive</t>
        </is>
      </c>
      <c r="L736" s="20" t="inlineStr">
        <is>
          <t>Rithika cars</t>
        </is>
      </c>
      <c r="M736" s="23" t="n">
        <v>4237.29</v>
      </c>
      <c r="N736" s="23" t="n">
        <v>5000</v>
      </c>
      <c r="O736" s="24">
        <f>IF(AND(ISNUMBER(M736), ISNUMBER(I736), I736&gt;0), M736/I736, "")</f>
        <v/>
      </c>
    </row>
    <row r="737">
      <c r="A737" s="19" t="inlineStr">
        <is>
          <t>FY26</t>
        </is>
      </c>
      <c r="B737" s="19" t="inlineStr">
        <is>
          <t>Feb</t>
        </is>
      </c>
      <c r="C737" s="19" t="inlineStr">
        <is>
          <t>TN</t>
        </is>
      </c>
      <c r="D737" s="20" t="inlineStr">
        <is>
          <t>TN09CS0020</t>
        </is>
      </c>
      <c r="E737" s="20" t="inlineStr">
        <is>
          <t>HONDA</t>
        </is>
      </c>
      <c r="F737" s="20" t="inlineStr">
        <is>
          <t>City</t>
        </is>
      </c>
      <c r="G737" s="21" t="n">
        <v>2019</v>
      </c>
      <c r="H737" s="22" t="n">
        <v>87611</v>
      </c>
      <c r="I737" s="23" t="n">
        <v>650000</v>
      </c>
      <c r="J737" s="20" t="inlineStr">
        <is>
          <t>STEER AUTO TECHNOLOGIES PRIVATE LIMITED</t>
        </is>
      </c>
      <c r="K737" s="20" t="inlineStr">
        <is>
          <t>Non-Captive</t>
        </is>
      </c>
      <c r="L737" s="20" t="inlineStr">
        <is>
          <t>Rithika cars</t>
        </is>
      </c>
      <c r="M737" s="23" t="n">
        <v>4237.29</v>
      </c>
      <c r="N737" s="23" t="n">
        <v>5000</v>
      </c>
      <c r="O737" s="24">
        <f>IF(AND(ISNUMBER(M737), ISNUMBER(I737), I737&gt;0), M737/I737, "")</f>
        <v/>
      </c>
    </row>
    <row r="738">
      <c r="A738" s="19" t="inlineStr">
        <is>
          <t>FY26</t>
        </is>
      </c>
      <c r="B738" s="19" t="inlineStr">
        <is>
          <t>Feb</t>
        </is>
      </c>
      <c r="C738" s="19" t="inlineStr">
        <is>
          <t>TN</t>
        </is>
      </c>
      <c r="D738" s="20" t="inlineStr">
        <is>
          <t>TN72CV2817</t>
        </is>
      </c>
      <c r="E738" s="20" t="inlineStr">
        <is>
          <t>HYUNDAI</t>
        </is>
      </c>
      <c r="F738" s="20" t="inlineStr">
        <is>
          <t>I20</t>
        </is>
      </c>
      <c r="G738" s="21" t="n">
        <v>2022</v>
      </c>
      <c r="H738" s="22" t="n">
        <v>13916</v>
      </c>
      <c r="I738" s="23" t="n">
        <v>725000</v>
      </c>
      <c r="J738" s="20" t="inlineStr">
        <is>
          <t>STEER AUTO TECHNOLOGIES PRIVATE LIMITED</t>
        </is>
      </c>
      <c r="K738" s="20" t="inlineStr">
        <is>
          <t>Non-Captive</t>
        </is>
      </c>
      <c r="L738" s="20" t="inlineStr">
        <is>
          <t>Rithika cars</t>
        </is>
      </c>
      <c r="M738" s="23" t="n">
        <v>4237.29</v>
      </c>
      <c r="N738" s="23" t="n">
        <v>5000</v>
      </c>
      <c r="O738" s="24">
        <f>IF(AND(ISNUMBER(M738), ISNUMBER(I738), I738&gt;0), M738/I738, "")</f>
        <v/>
      </c>
    </row>
    <row r="739">
      <c r="A739" s="19" t="inlineStr">
        <is>
          <t>FY26</t>
        </is>
      </c>
      <c r="B739" s="19" t="inlineStr">
        <is>
          <t>Feb</t>
        </is>
      </c>
      <c r="C739" s="19" t="inlineStr">
        <is>
          <t>TN</t>
        </is>
      </c>
      <c r="D739" s="20" t="inlineStr">
        <is>
          <t>TN01AK7552</t>
        </is>
      </c>
      <c r="E739" s="20" t="inlineStr">
        <is>
          <t>CHEVROLET</t>
        </is>
      </c>
      <c r="F739" s="20" t="inlineStr">
        <is>
          <t>Beat</t>
        </is>
      </c>
      <c r="G739" s="21" t="n">
        <v>2010</v>
      </c>
      <c r="H739" s="22" t="n">
        <v>64905</v>
      </c>
      <c r="I739" s="23" t="n">
        <v>110000</v>
      </c>
      <c r="J739" s="20" t="inlineStr">
        <is>
          <t>STEER AUTO TECHNOLOGIES PRIVATE LIMITED</t>
        </is>
      </c>
      <c r="K739" s="20" t="inlineStr">
        <is>
          <t>Non-Captive</t>
        </is>
      </c>
      <c r="L739" s="20" t="inlineStr">
        <is>
          <t>Rithika cars</t>
        </is>
      </c>
      <c r="M739" s="23" t="n">
        <v>4237.29</v>
      </c>
      <c r="N739" s="23" t="n">
        <v>5000</v>
      </c>
      <c r="O739" s="24">
        <f>IF(AND(ISNUMBER(M739), ISNUMBER(I739), I739&gt;0), M739/I739, "")</f>
        <v/>
      </c>
    </row>
    <row r="740">
      <c r="A740" s="19" t="inlineStr">
        <is>
          <t>FY26</t>
        </is>
      </c>
      <c r="B740" s="19" t="inlineStr">
        <is>
          <t>Feb</t>
        </is>
      </c>
      <c r="C740" s="19" t="inlineStr">
        <is>
          <t>TN</t>
        </is>
      </c>
      <c r="D740" s="20" t="inlineStr">
        <is>
          <t>TN25BA9226</t>
        </is>
      </c>
      <c r="E740" s="20" t="inlineStr">
        <is>
          <t>TATA</t>
        </is>
      </c>
      <c r="F740" s="20" t="inlineStr">
        <is>
          <t>Tiago</t>
        </is>
      </c>
      <c r="G740" s="21" t="n">
        <v>2016</v>
      </c>
      <c r="H740" s="22" t="n">
        <v>91700</v>
      </c>
      <c r="I740" s="23" t="n">
        <v>270000</v>
      </c>
      <c r="J740" s="20" t="inlineStr">
        <is>
          <t>STEER AUTO TECHNOLOGIES PRIVATE LIMITED</t>
        </is>
      </c>
      <c r="K740" s="20" t="inlineStr">
        <is>
          <t>Non-Captive</t>
        </is>
      </c>
      <c r="L740" s="20" t="inlineStr">
        <is>
          <t>Rithika cars</t>
        </is>
      </c>
      <c r="M740" s="23" t="n">
        <v>4237.29</v>
      </c>
      <c r="N740" s="23" t="n">
        <v>5000</v>
      </c>
      <c r="O740" s="24">
        <f>IF(AND(ISNUMBER(M740), ISNUMBER(I740), I740&gt;0), M740/I740, "")</f>
        <v/>
      </c>
    </row>
    <row r="741">
      <c r="A741" s="19" t="inlineStr">
        <is>
          <t>FY26</t>
        </is>
      </c>
      <c r="B741" s="19" t="inlineStr">
        <is>
          <t>Feb</t>
        </is>
      </c>
      <c r="C741" s="19" t="inlineStr">
        <is>
          <t>TN</t>
        </is>
      </c>
      <c r="D741" s="20" t="inlineStr">
        <is>
          <t>TN09CL4393</t>
        </is>
      </c>
      <c r="E741" s="20" t="inlineStr">
        <is>
          <t>MARUTI SUZUKI</t>
        </is>
      </c>
      <c r="F741" s="20" t="inlineStr">
        <is>
          <t>Alto</t>
        </is>
      </c>
      <c r="G741" s="21" t="n">
        <v>2017</v>
      </c>
      <c r="H741" s="22" t="n">
        <v>46966</v>
      </c>
      <c r="I741" s="23" t="n">
        <v>225000</v>
      </c>
      <c r="J741" s="20" t="inlineStr">
        <is>
          <t>STEER AUTO TECHNOLOGIES PRIVATE LIMITED</t>
        </is>
      </c>
      <c r="K741" s="20" t="inlineStr">
        <is>
          <t>Non-Captive</t>
        </is>
      </c>
      <c r="L741" s="20" t="inlineStr">
        <is>
          <t>Rithika cars</t>
        </is>
      </c>
      <c r="M741" s="23" t="n">
        <v>4237.29</v>
      </c>
      <c r="N741" s="23" t="n">
        <v>5000</v>
      </c>
      <c r="O741" s="24">
        <f>IF(AND(ISNUMBER(M741), ISNUMBER(I741), I741&gt;0), M741/I741, "")</f>
        <v/>
      </c>
    </row>
    <row r="742">
      <c r="A742" s="19" t="inlineStr">
        <is>
          <t>FY26</t>
        </is>
      </c>
      <c r="B742" s="19" t="inlineStr">
        <is>
          <t>Feb</t>
        </is>
      </c>
      <c r="C742" s="19" t="inlineStr">
        <is>
          <t>TN</t>
        </is>
      </c>
      <c r="D742" s="20" t="inlineStr">
        <is>
          <t>TN22DC9959</t>
        </is>
      </c>
      <c r="E742" s="20" t="inlineStr">
        <is>
          <t>MARUTI SUZUKI</t>
        </is>
      </c>
      <c r="F742" s="20" t="inlineStr">
        <is>
          <t>Celerio</t>
        </is>
      </c>
      <c r="G742" s="21" t="n">
        <v>2016</v>
      </c>
      <c r="H742" s="22" t="n">
        <v>38954</v>
      </c>
      <c r="I742" s="23" t="n">
        <v>330000</v>
      </c>
      <c r="J742" s="20" t="inlineStr">
        <is>
          <t>STEER AUTO TECHNOLOGIES PRIVATE LIMITED</t>
        </is>
      </c>
      <c r="K742" s="20" t="inlineStr">
        <is>
          <t>Non-Captive</t>
        </is>
      </c>
      <c r="L742" s="20" t="inlineStr">
        <is>
          <t>Rithika cars</t>
        </is>
      </c>
      <c r="M742" s="23" t="n">
        <v>4237.29</v>
      </c>
      <c r="N742" s="23" t="n">
        <v>5000</v>
      </c>
      <c r="O742" s="24">
        <f>IF(AND(ISNUMBER(M742), ISNUMBER(I742), I742&gt;0), M742/I742, "")</f>
        <v/>
      </c>
    </row>
    <row r="743">
      <c r="A743" s="19" t="inlineStr">
        <is>
          <t>FY26</t>
        </is>
      </c>
      <c r="B743" s="19" t="inlineStr">
        <is>
          <t>Feb</t>
        </is>
      </c>
      <c r="C743" s="19" t="inlineStr">
        <is>
          <t>TN</t>
        </is>
      </c>
      <c r="D743" s="20" t="inlineStr">
        <is>
          <t>TN05BF9637</t>
        </is>
      </c>
      <c r="E743" s="20" t="inlineStr">
        <is>
          <t>DATSUN</t>
        </is>
      </c>
      <c r="F743" s="20" t="inlineStr">
        <is>
          <t>Redi-Go</t>
        </is>
      </c>
      <c r="G743" s="21" t="n">
        <v>2016</v>
      </c>
      <c r="H743" s="22" t="n">
        <v>67975</v>
      </c>
      <c r="I743" s="23" t="n">
        <v>160000</v>
      </c>
      <c r="J743" s="20" t="inlineStr">
        <is>
          <t>STEER AUTO TECHNOLOGIES PRIVATE LIMITED</t>
        </is>
      </c>
      <c r="K743" s="20" t="inlineStr">
        <is>
          <t>Non-Captive</t>
        </is>
      </c>
      <c r="L743" s="20" t="inlineStr">
        <is>
          <t>Rithika cars</t>
        </is>
      </c>
      <c r="M743" s="23" t="n">
        <v>4237.29</v>
      </c>
      <c r="N743" s="23" t="n">
        <v>5000</v>
      </c>
      <c r="O743" s="24">
        <f>IF(AND(ISNUMBER(M743), ISNUMBER(I743), I743&gt;0), M743/I743, "")</f>
        <v/>
      </c>
    </row>
    <row r="744">
      <c r="A744" s="19" t="inlineStr">
        <is>
          <t>FY26</t>
        </is>
      </c>
      <c r="B744" s="19" t="inlineStr">
        <is>
          <t>Feb</t>
        </is>
      </c>
      <c r="C744" s="19" t="inlineStr">
        <is>
          <t>TN</t>
        </is>
      </c>
      <c r="D744" s="20" t="inlineStr">
        <is>
          <t>TN22DK8304</t>
        </is>
      </c>
      <c r="E744" s="20" t="inlineStr">
        <is>
          <t>HYUNDAI</t>
        </is>
      </c>
      <c r="F744" s="20" t="inlineStr">
        <is>
          <t>Xcent</t>
        </is>
      </c>
      <c r="G744" s="21" t="n">
        <v>2018</v>
      </c>
      <c r="H744" s="22" t="n">
        <v>196733</v>
      </c>
      <c r="I744" s="23" t="n">
        <v>170000</v>
      </c>
      <c r="J744" s="20" t="inlineStr">
        <is>
          <t>STEER AUTO TECHNOLOGIES PRIVATE LIMITED</t>
        </is>
      </c>
      <c r="K744" s="20" t="inlineStr">
        <is>
          <t>Non-Captive</t>
        </is>
      </c>
      <c r="L744" s="20" t="inlineStr">
        <is>
          <t>Rithika cars</t>
        </is>
      </c>
      <c r="M744" s="23" t="n">
        <v>4237.29</v>
      </c>
      <c r="N744" s="23" t="n">
        <v>5000</v>
      </c>
      <c r="O744" s="24">
        <f>IF(AND(ISNUMBER(M744), ISNUMBER(I744), I744&gt;0), M744/I744, "")</f>
        <v/>
      </c>
    </row>
    <row r="745">
      <c r="A745" s="19" t="inlineStr">
        <is>
          <t>FY26</t>
        </is>
      </c>
      <c r="B745" s="19" t="inlineStr">
        <is>
          <t>Feb</t>
        </is>
      </c>
      <c r="C745" s="19" t="inlineStr">
        <is>
          <t>TN</t>
        </is>
      </c>
      <c r="D745" s="20" t="inlineStr">
        <is>
          <t>TN01AV3125</t>
        </is>
      </c>
      <c r="E745" s="20" t="inlineStr">
        <is>
          <t>HYUNDAI</t>
        </is>
      </c>
      <c r="F745" s="20" t="inlineStr">
        <is>
          <t>Eon</t>
        </is>
      </c>
      <c r="G745" s="21" t="n">
        <v>2013</v>
      </c>
      <c r="H745" s="22" t="n">
        <v>76582</v>
      </c>
      <c r="I745" s="23" t="n">
        <v>160000</v>
      </c>
      <c r="J745" s="20" t="inlineStr">
        <is>
          <t>STEER AUTO TECHNOLOGIES PRIVATE LIMITED</t>
        </is>
      </c>
      <c r="K745" s="20" t="inlineStr">
        <is>
          <t>Non-Captive</t>
        </is>
      </c>
      <c r="L745" s="20" t="inlineStr">
        <is>
          <t>Grid 33</t>
        </is>
      </c>
      <c r="M745" s="23" t="n">
        <v>3389.83</v>
      </c>
      <c r="N745" s="23" t="n">
        <v>4000</v>
      </c>
      <c r="O745" s="24">
        <f>IF(AND(ISNUMBER(M745), ISNUMBER(I745), I745&gt;0), M745/I745, "")</f>
        <v/>
      </c>
    </row>
    <row r="746">
      <c r="A746" s="19" t="inlineStr">
        <is>
          <t>FY26</t>
        </is>
      </c>
      <c r="B746" s="19" t="inlineStr">
        <is>
          <t>Feb</t>
        </is>
      </c>
      <c r="C746" s="19" t="inlineStr">
        <is>
          <t>TN</t>
        </is>
      </c>
      <c r="D746" s="20" t="inlineStr">
        <is>
          <t>TN09BE5781</t>
        </is>
      </c>
      <c r="E746" s="20" t="inlineStr">
        <is>
          <t>HONDA</t>
        </is>
      </c>
      <c r="F746" s="20" t="inlineStr">
        <is>
          <t>Jazz</t>
        </is>
      </c>
      <c r="G746" s="21" t="n">
        <v>2010</v>
      </c>
      <c r="H746" s="22" t="n">
        <v>40984</v>
      </c>
      <c r="I746" s="23" t="n">
        <v>160000</v>
      </c>
      <c r="J746" s="20" t="inlineStr">
        <is>
          <t>STEER AUTO TECHNOLOGIES PRIVATE LIMITED</t>
        </is>
      </c>
      <c r="K746" s="20" t="inlineStr">
        <is>
          <t>Non-Captive</t>
        </is>
      </c>
      <c r="L746" s="20" t="inlineStr">
        <is>
          <t>Grid 33</t>
        </is>
      </c>
      <c r="M746" s="23" t="n">
        <v>3389.83</v>
      </c>
      <c r="N746" s="23" t="n">
        <v>4000</v>
      </c>
      <c r="O746" s="24">
        <f>IF(AND(ISNUMBER(M746), ISNUMBER(I746), I746&gt;0), M746/I746, "")</f>
        <v/>
      </c>
    </row>
    <row r="747">
      <c r="A747" s="19" t="inlineStr">
        <is>
          <t>FY26</t>
        </is>
      </c>
      <c r="B747" s="19" t="inlineStr">
        <is>
          <t>Feb</t>
        </is>
      </c>
      <c r="C747" s="19" t="inlineStr">
        <is>
          <t>TN</t>
        </is>
      </c>
      <c r="D747" s="20" t="inlineStr">
        <is>
          <t>TN09AK6084</t>
        </is>
      </c>
      <c r="E747" s="20" t="inlineStr">
        <is>
          <t>MARUTI SUZUKI</t>
        </is>
      </c>
      <c r="F747" s="20" t="inlineStr">
        <is>
          <t>Omni</t>
        </is>
      </c>
      <c r="G747" s="21" t="n">
        <v>2005</v>
      </c>
      <c r="H747" s="22" t="n">
        <v>87529</v>
      </c>
      <c r="I747" s="23" t="n">
        <v>70000</v>
      </c>
      <c r="J747" s="20" t="inlineStr">
        <is>
          <t>STEER AUTO TECHNOLOGIES PRIVATE LIMITED</t>
        </is>
      </c>
      <c r="K747" s="20" t="inlineStr">
        <is>
          <t>Non-Captive</t>
        </is>
      </c>
      <c r="L747" s="20" t="inlineStr">
        <is>
          <t>Grid 33</t>
        </is>
      </c>
      <c r="M747" s="23" t="n">
        <v>3389.83</v>
      </c>
      <c r="N747" s="23" t="n">
        <v>4000</v>
      </c>
      <c r="O747" s="24">
        <f>IF(AND(ISNUMBER(M747), ISNUMBER(I747), I747&gt;0), M747/I747, "")</f>
        <v/>
      </c>
    </row>
    <row r="748">
      <c r="A748" s="19" t="inlineStr">
        <is>
          <t>FY26</t>
        </is>
      </c>
      <c r="B748" s="19" t="inlineStr">
        <is>
          <t>Feb</t>
        </is>
      </c>
      <c r="C748" s="19" t="inlineStr">
        <is>
          <t>TN</t>
        </is>
      </c>
      <c r="D748" s="20" t="inlineStr">
        <is>
          <t>TN10AK7621</t>
        </is>
      </c>
      <c r="E748" s="20" t="inlineStr">
        <is>
          <t>CHEVROLET</t>
        </is>
      </c>
      <c r="F748" s="20" t="inlineStr">
        <is>
          <t>Spark</t>
        </is>
      </c>
      <c r="G748" s="21" t="n">
        <v>2013</v>
      </c>
      <c r="H748" s="22" t="n">
        <v>174961</v>
      </c>
      <c r="I748" s="23" t="n">
        <v>100000</v>
      </c>
      <c r="J748" s="20" t="inlineStr">
        <is>
          <t>STEER AUTO TECHNOLOGIES PRIVATE LIMITED</t>
        </is>
      </c>
      <c r="K748" s="20" t="inlineStr">
        <is>
          <t>Non-Captive</t>
        </is>
      </c>
      <c r="L748" s="20" t="inlineStr">
        <is>
          <t>Grid 33</t>
        </is>
      </c>
      <c r="M748" s="23" t="n">
        <v>3389.83</v>
      </c>
      <c r="N748" s="23" t="n">
        <v>4000</v>
      </c>
      <c r="O748" s="24">
        <f>IF(AND(ISNUMBER(M748), ISNUMBER(I748), I748&gt;0), M748/I748, "")</f>
        <v/>
      </c>
    </row>
    <row r="749">
      <c r="A749" s="19" t="inlineStr">
        <is>
          <t>FY26</t>
        </is>
      </c>
      <c r="B749" s="19" t="inlineStr">
        <is>
          <t>Feb</t>
        </is>
      </c>
      <c r="C749" s="19" t="inlineStr">
        <is>
          <t>TN</t>
        </is>
      </c>
      <c r="D749" s="20" t="inlineStr">
        <is>
          <t>TN12AP7833</t>
        </is>
      </c>
      <c r="E749" s="20" t="inlineStr">
        <is>
          <t>TATA</t>
        </is>
      </c>
      <c r="F749" s="20" t="inlineStr">
        <is>
          <t>Nexon</t>
        </is>
      </c>
      <c r="G749" s="21" t="n">
        <v>2021</v>
      </c>
      <c r="H749" s="22" t="n">
        <v>20575</v>
      </c>
      <c r="I749" s="23" t="n">
        <v>620000</v>
      </c>
      <c r="J749" s="20" t="inlineStr">
        <is>
          <t>STEER AUTO TECHNOLOGIES PRIVATE LIMITED</t>
        </is>
      </c>
      <c r="K749" s="20" t="inlineStr">
        <is>
          <t>Non-Captive</t>
        </is>
      </c>
      <c r="L749" s="20" t="inlineStr">
        <is>
          <t>Grid 33</t>
        </is>
      </c>
      <c r="M749" s="23" t="n">
        <v>3389.83</v>
      </c>
      <c r="N749" s="23" t="n">
        <v>4000</v>
      </c>
      <c r="O749" s="24">
        <f>IF(AND(ISNUMBER(M749), ISNUMBER(I749), I749&gt;0), M749/I749, "")</f>
        <v/>
      </c>
    </row>
    <row r="750">
      <c r="A750" s="19" t="inlineStr">
        <is>
          <t>FY26</t>
        </is>
      </c>
      <c r="B750" s="19" t="inlineStr">
        <is>
          <t>Feb</t>
        </is>
      </c>
      <c r="C750" s="19" t="inlineStr">
        <is>
          <t>TN</t>
        </is>
      </c>
      <c r="D750" s="20" t="inlineStr">
        <is>
          <t>TN11X3493</t>
        </is>
      </c>
      <c r="E750" s="20" t="inlineStr">
        <is>
          <t>HYUNDAI</t>
        </is>
      </c>
      <c r="F750" s="20" t="inlineStr">
        <is>
          <t>I10</t>
        </is>
      </c>
      <c r="G750" s="21" t="n">
        <v>2013</v>
      </c>
      <c r="H750" s="22" t="n">
        <v>83564</v>
      </c>
      <c r="I750" s="23" t="n">
        <v>120000</v>
      </c>
      <c r="J750" s="20" t="inlineStr">
        <is>
          <t>STEER AUTO TECHNOLOGIES PRIVATE LIMITED</t>
        </is>
      </c>
      <c r="K750" s="20" t="inlineStr">
        <is>
          <t>Non-Captive</t>
        </is>
      </c>
      <c r="L750" s="20" t="inlineStr">
        <is>
          <t>Grid 33</t>
        </is>
      </c>
      <c r="M750" s="23" t="n">
        <v>3389.83</v>
      </c>
      <c r="N750" s="23" t="n">
        <v>4000</v>
      </c>
      <c r="O750" s="24">
        <f>IF(AND(ISNUMBER(M750), ISNUMBER(I750), I750&gt;0), M750/I750, "")</f>
        <v/>
      </c>
    </row>
    <row r="751">
      <c r="A751" s="19" t="inlineStr">
        <is>
          <t>FY26</t>
        </is>
      </c>
      <c r="B751" s="19" t="inlineStr">
        <is>
          <t>Feb</t>
        </is>
      </c>
      <c r="C751" s="19" t="inlineStr">
        <is>
          <t>TN</t>
        </is>
      </c>
      <c r="D751" s="20" t="inlineStr">
        <is>
          <t>TN10W8957</t>
        </is>
      </c>
      <c r="E751" s="20" t="inlineStr">
        <is>
          <t>MARUTI SUZUKI</t>
        </is>
      </c>
      <c r="F751" s="20" t="inlineStr">
        <is>
          <t>Omni</t>
        </is>
      </c>
      <c r="G751" s="21" t="n">
        <v>2008</v>
      </c>
      <c r="H751" s="22" t="n">
        <v>95667</v>
      </c>
      <c r="I751" s="23" t="n">
        <v>90000</v>
      </c>
      <c r="J751" s="20" t="inlineStr">
        <is>
          <t>STEER AUTO TECHNOLOGIES PRIVATE LIMITED</t>
        </is>
      </c>
      <c r="K751" s="20" t="inlineStr">
        <is>
          <t>Non-Captive</t>
        </is>
      </c>
      <c r="L751" s="20" t="inlineStr">
        <is>
          <t>Grid 33</t>
        </is>
      </c>
      <c r="M751" s="23" t="n">
        <v>3389.83</v>
      </c>
      <c r="N751" s="23" t="n">
        <v>4000</v>
      </c>
      <c r="O751" s="24">
        <f>IF(AND(ISNUMBER(M751), ISNUMBER(I751), I751&gt;0), M751/I751, "")</f>
        <v/>
      </c>
    </row>
    <row r="752">
      <c r="A752" s="19" t="inlineStr">
        <is>
          <t>FY26</t>
        </is>
      </c>
      <c r="B752" s="19" t="inlineStr">
        <is>
          <t>Feb</t>
        </is>
      </c>
      <c r="C752" s="19" t="inlineStr">
        <is>
          <t>TN</t>
        </is>
      </c>
      <c r="D752" s="20" t="inlineStr">
        <is>
          <t>TN10AQ6381</t>
        </is>
      </c>
      <c r="E752" s="20" t="inlineStr">
        <is>
          <t>MARUTI SUZUKI</t>
        </is>
      </c>
      <c r="F752" s="20" t="inlineStr">
        <is>
          <t>Alto</t>
        </is>
      </c>
      <c r="G752" s="21" t="n">
        <v>2014</v>
      </c>
      <c r="H752" s="22" t="n">
        <v>42739</v>
      </c>
      <c r="I752" s="23" t="n">
        <v>160000</v>
      </c>
      <c r="J752" s="20" t="inlineStr">
        <is>
          <t>STEER AUTO TECHNOLOGIES PRIVATE LIMITED</t>
        </is>
      </c>
      <c r="K752" s="20" t="inlineStr">
        <is>
          <t>Non-Captive</t>
        </is>
      </c>
      <c r="L752" s="20" t="inlineStr">
        <is>
          <t>Grid 33</t>
        </is>
      </c>
      <c r="M752" s="23" t="n">
        <v>3389.83</v>
      </c>
      <c r="N752" s="23" t="n">
        <v>4000</v>
      </c>
      <c r="O752" s="24">
        <f>IF(AND(ISNUMBER(M752), ISNUMBER(I752), I752&gt;0), M752/I752, "")</f>
        <v/>
      </c>
    </row>
    <row r="753">
      <c r="A753" s="19" t="inlineStr">
        <is>
          <t>FY26</t>
        </is>
      </c>
      <c r="B753" s="19" t="inlineStr">
        <is>
          <t>Feb</t>
        </is>
      </c>
      <c r="C753" s="19" t="inlineStr">
        <is>
          <t>TN</t>
        </is>
      </c>
      <c r="D753" s="20" t="inlineStr">
        <is>
          <t>TN02BR8817</t>
        </is>
      </c>
      <c r="E753" s="20" t="inlineStr">
        <is>
          <t>RENAULT</t>
        </is>
      </c>
      <c r="F753" s="20" t="inlineStr">
        <is>
          <t>Kwid</t>
        </is>
      </c>
      <c r="G753" s="21" t="n">
        <v>2019</v>
      </c>
      <c r="H753" s="22" t="n">
        <v>17021</v>
      </c>
      <c r="I753" s="23" t="n">
        <v>270000</v>
      </c>
      <c r="J753" s="20" t="inlineStr">
        <is>
          <t>STEER AUTO TECHNOLOGIES PRIVATE LIMITED</t>
        </is>
      </c>
      <c r="K753" s="20" t="inlineStr">
        <is>
          <t>Non-Captive</t>
        </is>
      </c>
      <c r="L753" s="20" t="inlineStr">
        <is>
          <t>Grid 33</t>
        </is>
      </c>
      <c r="M753" s="23" t="n">
        <v>3389.83</v>
      </c>
      <c r="N753" s="23" t="n">
        <v>4000</v>
      </c>
      <c r="O753" s="24">
        <f>IF(AND(ISNUMBER(M753), ISNUMBER(I753), I753&gt;0), M753/I753, "")</f>
        <v/>
      </c>
    </row>
    <row r="754">
      <c r="A754" s="19" t="inlineStr">
        <is>
          <t>FY26</t>
        </is>
      </c>
      <c r="B754" s="19" t="inlineStr">
        <is>
          <t>Feb</t>
        </is>
      </c>
      <c r="C754" s="19" t="inlineStr">
        <is>
          <t>TN</t>
        </is>
      </c>
      <c r="D754" s="20" t="inlineStr">
        <is>
          <t>TN11S6711</t>
        </is>
      </c>
      <c r="E754" s="20" t="inlineStr">
        <is>
          <t>HONDA</t>
        </is>
      </c>
      <c r="F754" s="20" t="inlineStr">
        <is>
          <t>Jazz</t>
        </is>
      </c>
      <c r="G754" s="21" t="n">
        <v>2016</v>
      </c>
      <c r="H754" s="22" t="n">
        <v>77041</v>
      </c>
      <c r="I754" s="23" t="n">
        <v>320000</v>
      </c>
      <c r="J754" s="20" t="inlineStr">
        <is>
          <t>STEER AUTO TECHNOLOGIES PRIVATE LIMITED</t>
        </is>
      </c>
      <c r="K754" s="20" t="inlineStr">
        <is>
          <t>Non-Captive</t>
        </is>
      </c>
      <c r="L754" s="20" t="inlineStr">
        <is>
          <t>Grid 33</t>
        </is>
      </c>
      <c r="M754" s="23" t="n">
        <v>3389.83</v>
      </c>
      <c r="N754" s="23" t="n">
        <v>4000</v>
      </c>
      <c r="O754" s="24">
        <f>IF(AND(ISNUMBER(M754), ISNUMBER(I754), I754&gt;0), M754/I754, "")</f>
        <v/>
      </c>
    </row>
    <row r="755">
      <c r="A755" s="19" t="inlineStr">
        <is>
          <t>FY26</t>
        </is>
      </c>
      <c r="B755" s="19" t="inlineStr">
        <is>
          <t>Feb</t>
        </is>
      </c>
      <c r="C755" s="19" t="inlineStr">
        <is>
          <t>TN</t>
        </is>
      </c>
      <c r="D755" s="20" t="inlineStr">
        <is>
          <t>TN20CK2171</t>
        </is>
      </c>
      <c r="E755" s="20" t="inlineStr">
        <is>
          <t>HYUNDAI</t>
        </is>
      </c>
      <c r="F755" s="20" t="inlineStr">
        <is>
          <t>I10</t>
        </is>
      </c>
      <c r="G755" s="21" t="n">
        <v>2016</v>
      </c>
      <c r="H755" s="22" t="n">
        <v>80689</v>
      </c>
      <c r="I755" s="23" t="n">
        <v>260000</v>
      </c>
      <c r="J755" s="20" t="inlineStr">
        <is>
          <t>STEER AUTO TECHNOLOGIES PRIVATE LIMITED</t>
        </is>
      </c>
      <c r="K755" s="20" t="inlineStr">
        <is>
          <t>Non-Captive</t>
        </is>
      </c>
      <c r="L755" s="20" t="inlineStr">
        <is>
          <t>Grid 33</t>
        </is>
      </c>
      <c r="M755" s="23" t="n">
        <v>4237.29</v>
      </c>
      <c r="N755" s="23" t="n">
        <v>5000</v>
      </c>
      <c r="O755" s="24">
        <f>IF(AND(ISNUMBER(M755), ISNUMBER(I755), I755&gt;0), M755/I755, "")</f>
        <v/>
      </c>
    </row>
    <row r="756">
      <c r="A756" s="19" t="inlineStr">
        <is>
          <t>FY26</t>
        </is>
      </c>
      <c r="B756" s="19" t="inlineStr">
        <is>
          <t>Feb</t>
        </is>
      </c>
      <c r="C756" s="19" t="inlineStr">
        <is>
          <t>TN</t>
        </is>
      </c>
      <c r="D756" s="20" t="inlineStr">
        <is>
          <t>TN20BQ9192</t>
        </is>
      </c>
      <c r="E756" s="20" t="inlineStr">
        <is>
          <t>VOLKSWAGEN</t>
        </is>
      </c>
      <c r="F756" s="20" t="inlineStr">
        <is>
          <t>Vento</t>
        </is>
      </c>
      <c r="G756" s="21" t="n">
        <v>2011</v>
      </c>
      <c r="H756" s="22" t="n">
        <v>168570</v>
      </c>
      <c r="I756" s="23" t="n">
        <v>180000</v>
      </c>
      <c r="J756" s="20" t="inlineStr">
        <is>
          <t>STEER AUTO TECHNOLOGIES PRIVATE LIMITED</t>
        </is>
      </c>
      <c r="K756" s="20" t="inlineStr">
        <is>
          <t>Non-Captive</t>
        </is>
      </c>
      <c r="L756" s="20" t="inlineStr">
        <is>
          <t>Grid 33</t>
        </is>
      </c>
      <c r="M756" s="23" t="n">
        <v>4237.29</v>
      </c>
      <c r="N756" s="23" t="n">
        <v>5000</v>
      </c>
      <c r="O756" s="24">
        <f>IF(AND(ISNUMBER(M756), ISNUMBER(I756), I756&gt;0), M756/I756, "")</f>
        <v/>
      </c>
    </row>
    <row r="757">
      <c r="A757" s="19" t="inlineStr">
        <is>
          <t>FY26</t>
        </is>
      </c>
      <c r="B757" s="19" t="inlineStr">
        <is>
          <t>Feb</t>
        </is>
      </c>
      <c r="C757" s="19" t="inlineStr">
        <is>
          <t>TN</t>
        </is>
      </c>
      <c r="D757" s="20" t="inlineStr">
        <is>
          <t>TN07BS8617</t>
        </is>
      </c>
      <c r="E757" s="20" t="inlineStr">
        <is>
          <t>HONDA</t>
        </is>
      </c>
      <c r="F757" s="20" t="inlineStr">
        <is>
          <t>City</t>
        </is>
      </c>
      <c r="G757" s="21" t="n">
        <v>2012</v>
      </c>
      <c r="H757" s="22" t="n">
        <v>126558</v>
      </c>
      <c r="I757" s="23" t="n">
        <v>200000</v>
      </c>
      <c r="J757" s="20" t="inlineStr">
        <is>
          <t>STEER AUTO TECHNOLOGIES PRIVATE LIMITED</t>
        </is>
      </c>
      <c r="K757" s="20" t="inlineStr">
        <is>
          <t>Non-Captive</t>
        </is>
      </c>
      <c r="L757" s="20" t="inlineStr">
        <is>
          <t>Grid 33</t>
        </is>
      </c>
      <c r="M757" s="23" t="n">
        <v>4237.29</v>
      </c>
      <c r="N757" s="23" t="n">
        <v>5000</v>
      </c>
      <c r="O757" s="24">
        <f>IF(AND(ISNUMBER(M757), ISNUMBER(I757), I757&gt;0), M757/I757, "")</f>
        <v/>
      </c>
    </row>
    <row r="758">
      <c r="A758" s="19" t="inlineStr">
        <is>
          <t>FY26</t>
        </is>
      </c>
      <c r="B758" s="19" t="inlineStr">
        <is>
          <t>Feb</t>
        </is>
      </c>
      <c r="C758" s="19" t="inlineStr">
        <is>
          <t>TN</t>
        </is>
      </c>
      <c r="D758" s="20" t="inlineStr">
        <is>
          <t>TN06L9822</t>
        </is>
      </c>
      <c r="E758" s="20" t="inlineStr">
        <is>
          <t>VOLKSWAGEN</t>
        </is>
      </c>
      <c r="F758" s="20" t="inlineStr">
        <is>
          <t>Polo</t>
        </is>
      </c>
      <c r="G758" s="21" t="n">
        <v>2014</v>
      </c>
      <c r="H758" s="22" t="n">
        <v>62155</v>
      </c>
      <c r="I758" s="23" t="n">
        <v>230000</v>
      </c>
      <c r="J758" s="20" t="inlineStr">
        <is>
          <t>STEER AUTO TECHNOLOGIES PRIVATE LIMITED</t>
        </is>
      </c>
      <c r="K758" s="20" t="inlineStr">
        <is>
          <t>Non-Captive</t>
        </is>
      </c>
      <c r="L758" s="20" t="inlineStr">
        <is>
          <t>Grid 33</t>
        </is>
      </c>
      <c r="M758" s="23" t="n">
        <v>4237.29</v>
      </c>
      <c r="N758" s="23" t="n">
        <v>5000</v>
      </c>
      <c r="O758" s="24">
        <f>IF(AND(ISNUMBER(M758), ISNUMBER(I758), I758&gt;0), M758/I758, "")</f>
        <v/>
      </c>
    </row>
    <row r="759">
      <c r="A759" s="19" t="inlineStr">
        <is>
          <t>FY26</t>
        </is>
      </c>
      <c r="B759" s="19" t="inlineStr">
        <is>
          <t>Feb</t>
        </is>
      </c>
      <c r="C759" s="19" t="inlineStr">
        <is>
          <t>TN</t>
        </is>
      </c>
      <c r="D759" s="20" t="inlineStr">
        <is>
          <t>TN37DP0780</t>
        </is>
      </c>
      <c r="E759" s="20" t="inlineStr">
        <is>
          <t>MARUTI SUZUKI</t>
        </is>
      </c>
      <c r="F759" s="20" t="inlineStr">
        <is>
          <t>S-Presso</t>
        </is>
      </c>
      <c r="G759" s="21" t="n">
        <v>2022</v>
      </c>
      <c r="H759" s="22" t="n">
        <v>50192</v>
      </c>
      <c r="I759" s="23" t="n">
        <v>365000</v>
      </c>
      <c r="J759" s="20" t="inlineStr">
        <is>
          <t>STEER AUTO TECHNOLOGIES PRIVATE LIMITED</t>
        </is>
      </c>
      <c r="K759" s="20" t="inlineStr">
        <is>
          <t>Non-Captive</t>
        </is>
      </c>
      <c r="L759" s="20" t="inlineStr">
        <is>
          <t>Grid 33</t>
        </is>
      </c>
      <c r="M759" s="23" t="n">
        <v>4237.29</v>
      </c>
      <c r="N759" s="23" t="n">
        <v>5000</v>
      </c>
      <c r="O759" s="24">
        <f>IF(AND(ISNUMBER(M759), ISNUMBER(I759), I759&gt;0), M759/I759, "")</f>
        <v/>
      </c>
    </row>
    <row r="760">
      <c r="A760" s="19" t="inlineStr">
        <is>
          <t>FY26</t>
        </is>
      </c>
      <c r="B760" s="19" t="inlineStr">
        <is>
          <t>Mar</t>
        </is>
      </c>
      <c r="C760" s="19" t="inlineStr">
        <is>
          <t>TN</t>
        </is>
      </c>
      <c r="D760" s="20" t="inlineStr">
        <is>
          <t>TN01AX8418</t>
        </is>
      </c>
      <c r="E760" s="20" t="inlineStr">
        <is>
          <t>HONDA</t>
        </is>
      </c>
      <c r="F760" s="20" t="inlineStr">
        <is>
          <t>City</t>
        </is>
      </c>
      <c r="G760" s="21" t="n">
        <v>2015</v>
      </c>
      <c r="H760" s="22" t="n">
        <v>69967</v>
      </c>
      <c r="I760" s="23" t="n">
        <v>373000</v>
      </c>
      <c r="J760" s="20" t="inlineStr">
        <is>
          <t>Nirmal</t>
        </is>
      </c>
      <c r="K760" s="20" t="inlineStr">
        <is>
          <t>Non-Captive</t>
        </is>
      </c>
      <c r="L760" s="20" t="inlineStr">
        <is>
          <t>Value Drive Tecnologies</t>
        </is>
      </c>
      <c r="M760" s="23" t="n">
        <v>5084.75</v>
      </c>
      <c r="N760" s="23" t="n">
        <v>6000</v>
      </c>
      <c r="O760" s="24">
        <f>IF(AND(ISNUMBER(M760), ISNUMBER(I760), I760&gt;0), M760/I760, "")</f>
        <v/>
      </c>
    </row>
    <row r="761">
      <c r="A761" s="19" t="inlineStr">
        <is>
          <t>FY26</t>
        </is>
      </c>
      <c r="B761" s="19" t="inlineStr">
        <is>
          <t>Mar</t>
        </is>
      </c>
      <c r="C761" s="19" t="inlineStr">
        <is>
          <t>TN</t>
        </is>
      </c>
      <c r="D761" s="20" t="inlineStr">
        <is>
          <t>TN12A2718</t>
        </is>
      </c>
      <c r="E761" s="20" t="inlineStr">
        <is>
          <t>MARUTI SUZUKI</t>
        </is>
      </c>
      <c r="F761" s="20" t="inlineStr">
        <is>
          <t>Eeco</t>
        </is>
      </c>
      <c r="G761" s="21" t="n">
        <v>2013</v>
      </c>
      <c r="H761" s="22" t="n">
        <v>114854</v>
      </c>
      <c r="I761" s="23" t="n">
        <v>373000</v>
      </c>
      <c r="J761" s="20" t="inlineStr">
        <is>
          <t>Khivraj Motor</t>
        </is>
      </c>
      <c r="K761" s="20" t="inlineStr">
        <is>
          <t>Non-Captive</t>
        </is>
      </c>
      <c r="L761" s="20" t="inlineStr">
        <is>
          <t>Value Drive Tecnologies</t>
        </is>
      </c>
      <c r="M761" s="23" t="n">
        <v>5084.75</v>
      </c>
      <c r="N761" s="23" t="n">
        <v>6000</v>
      </c>
      <c r="O761" s="24">
        <f>IF(AND(ISNUMBER(M761), ISNUMBER(I761), I761&gt;0), M761/I761, "")</f>
        <v/>
      </c>
    </row>
    <row r="762">
      <c r="A762" s="19" t="inlineStr">
        <is>
          <t>FY26</t>
        </is>
      </c>
      <c r="B762" s="19" t="inlineStr">
        <is>
          <t>Mar</t>
        </is>
      </c>
      <c r="C762" s="19" t="inlineStr">
        <is>
          <t>TN</t>
        </is>
      </c>
      <c r="D762" s="20" t="inlineStr">
        <is>
          <t>TN91X7394</t>
        </is>
      </c>
      <c r="E762" s="20" t="inlineStr">
        <is>
          <t>MARUTI SUZUKI</t>
        </is>
      </c>
      <c r="F762" s="20" t="inlineStr">
        <is>
          <t>Alto K10</t>
        </is>
      </c>
      <c r="G762" s="21" t="n">
        <v>2016</v>
      </c>
      <c r="H762" s="22" t="n">
        <v>98528</v>
      </c>
      <c r="I762" s="23" t="n">
        <v>205000</v>
      </c>
      <c r="J762" s="20" t="inlineStr">
        <is>
          <t>Khivraj Motor</t>
        </is>
      </c>
      <c r="K762" s="20" t="inlineStr">
        <is>
          <t>Non-Captive</t>
        </is>
      </c>
      <c r="L762" s="20" t="inlineStr">
        <is>
          <t>AA Cars</t>
        </is>
      </c>
      <c r="M762" s="23" t="n">
        <v>5084.75</v>
      </c>
      <c r="N762" s="23" t="n">
        <v>6000</v>
      </c>
      <c r="O762" s="24">
        <f>IF(AND(ISNUMBER(M762), ISNUMBER(I762), I762&gt;0), M762/I762, "")</f>
        <v/>
      </c>
    </row>
    <row r="763">
      <c r="A763" s="19" t="inlineStr">
        <is>
          <t>FY26</t>
        </is>
      </c>
      <c r="B763" s="19" t="inlineStr">
        <is>
          <t>Mar</t>
        </is>
      </c>
      <c r="C763" s="19" t="inlineStr">
        <is>
          <t>TN</t>
        </is>
      </c>
      <c r="D763" s="20" t="inlineStr">
        <is>
          <t>TN12Q9802</t>
        </is>
      </c>
      <c r="E763" s="20" t="inlineStr">
        <is>
          <t>MARUTI SUZUKI</t>
        </is>
      </c>
      <c r="F763" s="20" t="inlineStr">
        <is>
          <t>Celerio</t>
        </is>
      </c>
      <c r="G763" s="21" t="n">
        <v>2016</v>
      </c>
      <c r="H763" s="22" t="n">
        <v>46820</v>
      </c>
      <c r="I763" s="23" t="n">
        <v>204000</v>
      </c>
      <c r="J763" s="20" t="inlineStr">
        <is>
          <t>Khivraj Motor</t>
        </is>
      </c>
      <c r="K763" s="20" t="inlineStr">
        <is>
          <t>Non-Captive</t>
        </is>
      </c>
      <c r="L763" s="20" t="inlineStr">
        <is>
          <t>Anish Cars</t>
        </is>
      </c>
      <c r="M763" s="23" t="n">
        <v>5084.75</v>
      </c>
      <c r="N763" s="23" t="n">
        <v>6000</v>
      </c>
      <c r="O763" s="24">
        <f>IF(AND(ISNUMBER(M763), ISNUMBER(I763), I763&gt;0), M763/I763, "")</f>
        <v/>
      </c>
    </row>
    <row r="764">
      <c r="A764" s="19" t="inlineStr">
        <is>
          <t>FY26</t>
        </is>
      </c>
      <c r="B764" s="19" t="inlineStr">
        <is>
          <t>Mar</t>
        </is>
      </c>
      <c r="C764" s="19" t="inlineStr">
        <is>
          <t>TN</t>
        </is>
      </c>
      <c r="D764" s="20" t="inlineStr">
        <is>
          <t>TN09BW7511</t>
        </is>
      </c>
      <c r="E764" s="20" t="inlineStr">
        <is>
          <t>MARUTI SUZUKI</t>
        </is>
      </c>
      <c r="F764" s="20" t="inlineStr">
        <is>
          <t>Swift</t>
        </is>
      </c>
      <c r="G764" s="21" t="n">
        <v>2014</v>
      </c>
      <c r="H764" s="22" t="n">
        <v>74500</v>
      </c>
      <c r="I764" s="23" t="n">
        <v>280000</v>
      </c>
      <c r="J764" s="20" t="inlineStr">
        <is>
          <t>Khivraj Motor</t>
        </is>
      </c>
      <c r="K764" s="20" t="inlineStr">
        <is>
          <t>Non-Captive</t>
        </is>
      </c>
      <c r="L764" s="20" t="inlineStr">
        <is>
          <t>AAA Cars</t>
        </is>
      </c>
      <c r="M764" s="23" t="n">
        <v>5084.75</v>
      </c>
      <c r="N764" s="23" t="n">
        <v>6000</v>
      </c>
      <c r="O764" s="24">
        <f>IF(AND(ISNUMBER(M764), ISNUMBER(I764), I764&gt;0), M764/I764, "")</f>
        <v/>
      </c>
    </row>
    <row r="765">
      <c r="A765" s="19" t="inlineStr">
        <is>
          <t>FY26</t>
        </is>
      </c>
      <c r="B765" s="19" t="inlineStr">
        <is>
          <t>Mar</t>
        </is>
      </c>
      <c r="C765" s="19" t="inlineStr">
        <is>
          <t>TN</t>
        </is>
      </c>
      <c r="D765" s="20" t="inlineStr">
        <is>
          <t>TN01BS5348</t>
        </is>
      </c>
      <c r="E765" s="20" t="inlineStr">
        <is>
          <t>MARUTI SUZUKI</t>
        </is>
      </c>
      <c r="F765" s="20" t="inlineStr">
        <is>
          <t>Wagon R</t>
        </is>
      </c>
      <c r="G765" s="21" t="n">
        <v>2023</v>
      </c>
      <c r="H765" s="22" t="n">
        <v>25448</v>
      </c>
      <c r="I765" s="23" t="n">
        <v>315000</v>
      </c>
      <c r="J765" s="20" t="inlineStr">
        <is>
          <t>Khivraj Motor</t>
        </is>
      </c>
      <c r="K765" s="20" t="inlineStr">
        <is>
          <t>Non-Captive</t>
        </is>
      </c>
      <c r="L765" s="20" t="inlineStr">
        <is>
          <t>AAA Cars</t>
        </is>
      </c>
      <c r="M765" s="23" t="n">
        <v>5084.75</v>
      </c>
      <c r="N765" s="23" t="n">
        <v>6000</v>
      </c>
      <c r="O765" s="24">
        <f>IF(AND(ISNUMBER(M765), ISNUMBER(I765), I765&gt;0), M765/I765, "")</f>
        <v/>
      </c>
    </row>
    <row r="766">
      <c r="A766" s="19" t="inlineStr">
        <is>
          <t>FY26</t>
        </is>
      </c>
      <c r="B766" s="19" t="inlineStr">
        <is>
          <t>Mar</t>
        </is>
      </c>
      <c r="C766" s="19" t="inlineStr">
        <is>
          <t>TN</t>
        </is>
      </c>
      <c r="D766" s="20" t="inlineStr">
        <is>
          <t>TN05AX8821</t>
        </is>
      </c>
      <c r="E766" s="20" t="inlineStr">
        <is>
          <t>RENAULT</t>
        </is>
      </c>
      <c r="F766" s="20" t="inlineStr">
        <is>
          <t>Duster</t>
        </is>
      </c>
      <c r="G766" s="21" t="n">
        <v>2014</v>
      </c>
      <c r="H766" s="22" t="n">
        <v>126961</v>
      </c>
      <c r="I766" s="23" t="n">
        <v>250000</v>
      </c>
      <c r="J766" s="20" t="inlineStr">
        <is>
          <t>Khivraj Motor</t>
        </is>
      </c>
      <c r="K766" s="20" t="inlineStr">
        <is>
          <t>Non-Captive</t>
        </is>
      </c>
      <c r="L766" s="20" t="inlineStr">
        <is>
          <t>AAsim Motor</t>
        </is>
      </c>
      <c r="M766" s="23" t="n">
        <v>5084.75</v>
      </c>
      <c r="N766" s="23" t="n">
        <v>6000</v>
      </c>
      <c r="O766" s="24">
        <f>IF(AND(ISNUMBER(M766), ISNUMBER(I766), I766&gt;0), M766/I766, "")</f>
        <v/>
      </c>
    </row>
    <row r="767">
      <c r="A767" s="19" t="inlineStr">
        <is>
          <t>FY26</t>
        </is>
      </c>
      <c r="B767" s="19" t="inlineStr">
        <is>
          <t>Mar</t>
        </is>
      </c>
      <c r="C767" s="19" t="inlineStr">
        <is>
          <t>TN</t>
        </is>
      </c>
      <c r="D767" s="20" t="inlineStr">
        <is>
          <t>TN18AA4307</t>
        </is>
      </c>
      <c r="E767" s="20" t="inlineStr">
        <is>
          <t>HYUNDAI</t>
        </is>
      </c>
      <c r="F767" s="20" t="inlineStr">
        <is>
          <t>Grand I10</t>
        </is>
      </c>
      <c r="G767" s="21" t="n">
        <v>2014</v>
      </c>
      <c r="H767" s="22" t="n">
        <v>114877</v>
      </c>
      <c r="I767" s="23" t="n">
        <v>150000</v>
      </c>
      <c r="J767" s="20" t="inlineStr">
        <is>
          <t>Khivraj Motor</t>
        </is>
      </c>
      <c r="K767" s="20" t="inlineStr">
        <is>
          <t>Non-Captive</t>
        </is>
      </c>
      <c r="L767" s="20" t="inlineStr">
        <is>
          <t>Hasini Cars</t>
        </is>
      </c>
      <c r="M767" s="23" t="n">
        <v>5084.75</v>
      </c>
      <c r="N767" s="23" t="n">
        <v>6000</v>
      </c>
      <c r="O767" s="24">
        <f>IF(AND(ISNUMBER(M767), ISNUMBER(I767), I767&gt;0), M767/I767, "")</f>
        <v/>
      </c>
    </row>
    <row r="768">
      <c r="A768" s="19" t="inlineStr">
        <is>
          <t>FY26</t>
        </is>
      </c>
      <c r="B768" s="19" t="inlineStr">
        <is>
          <t>Mar</t>
        </is>
      </c>
      <c r="C768" s="19" t="inlineStr">
        <is>
          <t>TN</t>
        </is>
      </c>
      <c r="D768" s="20" t="inlineStr">
        <is>
          <t>TN54U7083</t>
        </is>
      </c>
      <c r="E768" s="20" t="inlineStr">
        <is>
          <t>MARUTI SUZUKI</t>
        </is>
      </c>
      <c r="F768" s="20" t="inlineStr">
        <is>
          <t>Eeco</t>
        </is>
      </c>
      <c r="G768" s="21" t="n">
        <v>2021</v>
      </c>
      <c r="H768" s="22" t="n">
        <v>73679</v>
      </c>
      <c r="I768" s="23" t="n">
        <v>178000</v>
      </c>
      <c r="J768" s="20" t="inlineStr">
        <is>
          <t>EXCHANGE ROTN</t>
        </is>
      </c>
      <c r="K768" s="20" t="inlineStr">
        <is>
          <t>Captive</t>
        </is>
      </c>
      <c r="L768" s="20" t="inlineStr">
        <is>
          <t>Shri Lakshmi Cars</t>
        </is>
      </c>
      <c r="M768" s="23" t="n">
        <v>4237.29</v>
      </c>
      <c r="N768" s="23" t="n">
        <v>5000</v>
      </c>
      <c r="O768" s="24">
        <f>IF(AND(ISNUMBER(M768), ISNUMBER(I768), I768&gt;0), M768/I768, "")</f>
        <v/>
      </c>
    </row>
    <row r="769">
      <c r="A769" s="19" t="inlineStr">
        <is>
          <t>FY26</t>
        </is>
      </c>
      <c r="B769" s="19" t="inlineStr">
        <is>
          <t>Mar</t>
        </is>
      </c>
      <c r="C769" s="19" t="inlineStr">
        <is>
          <t>TN</t>
        </is>
      </c>
      <c r="D769" s="20" t="inlineStr">
        <is>
          <t>TN67J4446</t>
        </is>
      </c>
      <c r="E769" s="20" t="inlineStr">
        <is>
          <t>HONDA</t>
        </is>
      </c>
      <c r="F769" s="20" t="inlineStr">
        <is>
          <t>City</t>
        </is>
      </c>
      <c r="G769" s="21" t="n">
        <v>2008</v>
      </c>
      <c r="H769" s="22" t="n">
        <v>182541</v>
      </c>
      <c r="I769" s="23" t="n">
        <v>140000</v>
      </c>
      <c r="J769" s="20" t="inlineStr">
        <is>
          <t>EXCHANGE ROTN</t>
        </is>
      </c>
      <c r="K769" s="20" t="inlineStr">
        <is>
          <t>Captive</t>
        </is>
      </c>
      <c r="L769" s="20" t="inlineStr">
        <is>
          <t>KAM Auto Conselting</t>
        </is>
      </c>
      <c r="M769" s="23" t="n">
        <v>8474.58</v>
      </c>
      <c r="N769" s="23" t="n">
        <v>10000</v>
      </c>
      <c r="O769" s="24">
        <f>IF(AND(ISNUMBER(M769), ISNUMBER(I769), I769&gt;0), M769/I769, "")</f>
        <v/>
      </c>
    </row>
    <row r="770">
      <c r="A770" s="19" t="inlineStr">
        <is>
          <t>FY26</t>
        </is>
      </c>
      <c r="B770" s="19" t="inlineStr">
        <is>
          <t>Mar</t>
        </is>
      </c>
      <c r="C770" s="19" t="inlineStr">
        <is>
          <t>TN</t>
        </is>
      </c>
      <c r="D770" s="20" t="inlineStr">
        <is>
          <t>TN37DR7567</t>
        </is>
      </c>
      <c r="E770" s="20" t="inlineStr">
        <is>
          <t>MARUTI SUZUKI</t>
        </is>
      </c>
      <c r="F770" s="20" t="inlineStr">
        <is>
          <t>Fronx</t>
        </is>
      </c>
      <c r="G770" s="21" t="n">
        <v>2023</v>
      </c>
      <c r="H770" s="22" t="n">
        <v>23035</v>
      </c>
      <c r="I770" s="23" t="n">
        <v>640000</v>
      </c>
      <c r="J770" s="20" t="inlineStr">
        <is>
          <t>EXCHANGE ROTN</t>
        </is>
      </c>
      <c r="K770" s="20" t="inlineStr">
        <is>
          <t>Captive</t>
        </is>
      </c>
      <c r="L770" s="20" t="inlineStr">
        <is>
          <t>Sai Cars</t>
        </is>
      </c>
      <c r="M770" s="23" t="n">
        <v>6779.66</v>
      </c>
      <c r="N770" s="23" t="n">
        <v>8000</v>
      </c>
      <c r="O770" s="24">
        <f>IF(AND(ISNUMBER(M770), ISNUMBER(I770), I770&gt;0), M770/I770, "")</f>
        <v/>
      </c>
    </row>
    <row r="771">
      <c r="A771" s="19" t="inlineStr">
        <is>
          <t>FY26</t>
        </is>
      </c>
      <c r="B771" s="19" t="inlineStr">
        <is>
          <t>Mar</t>
        </is>
      </c>
      <c r="C771" s="19" t="inlineStr">
        <is>
          <t>TN</t>
        </is>
      </c>
      <c r="D771" s="20" t="inlineStr">
        <is>
          <t>TN37BX8141</t>
        </is>
      </c>
      <c r="E771" s="20" t="inlineStr">
        <is>
          <t>MARUTI SUZUKI</t>
        </is>
      </c>
      <c r="F771" s="20" t="inlineStr">
        <is>
          <t>Omni</t>
        </is>
      </c>
      <c r="G771" s="21" t="n">
        <v>2012</v>
      </c>
      <c r="H771" s="22" t="n">
        <v>67932</v>
      </c>
      <c r="I771" s="23" t="n">
        <v>142000</v>
      </c>
      <c r="J771" s="20" t="inlineStr">
        <is>
          <t>EXCHANGE ROTN</t>
        </is>
      </c>
      <c r="K771" s="20" t="inlineStr">
        <is>
          <t>Captive</t>
        </is>
      </c>
      <c r="L771" s="20" t="inlineStr">
        <is>
          <t>SIVASHANKAR CARS</t>
        </is>
      </c>
      <c r="M771" s="23" t="n">
        <v>8474.58</v>
      </c>
      <c r="N771" s="23" t="n">
        <v>10000</v>
      </c>
      <c r="O771" s="24">
        <f>IF(AND(ISNUMBER(M771), ISNUMBER(I771), I771&gt;0), M771/I771, "")</f>
        <v/>
      </c>
    </row>
    <row r="772">
      <c r="A772" s="19" t="inlineStr">
        <is>
          <t>FY26</t>
        </is>
      </c>
      <c r="B772" s="19" t="inlineStr">
        <is>
          <t>Mar</t>
        </is>
      </c>
      <c r="C772" s="19" t="inlineStr">
        <is>
          <t>TN</t>
        </is>
      </c>
      <c r="D772" s="20" t="inlineStr">
        <is>
          <t>TN60AL1199</t>
        </is>
      </c>
      <c r="E772" s="20" t="inlineStr">
        <is>
          <t>HYUNDAI</t>
        </is>
      </c>
      <c r="F772" s="20" t="inlineStr">
        <is>
          <t>Aura</t>
        </is>
      </c>
      <c r="G772" s="21" t="n">
        <v>2023</v>
      </c>
      <c r="H772" s="22" t="n">
        <v>127694</v>
      </c>
      <c r="I772" s="23" t="n">
        <v>430000</v>
      </c>
      <c r="J772" s="20" t="inlineStr">
        <is>
          <t>EXCHANGE ROTN</t>
        </is>
      </c>
      <c r="K772" s="20" t="inlineStr">
        <is>
          <t>Captive</t>
        </is>
      </c>
      <c r="L772" s="20" t="inlineStr">
        <is>
          <t>PURUSOTHAMAN J CARS</t>
        </is>
      </c>
      <c r="M772" s="23" t="n">
        <v>8474.58</v>
      </c>
      <c r="N772" s="23" t="n">
        <v>10000</v>
      </c>
      <c r="O772" s="24">
        <f>IF(AND(ISNUMBER(M772), ISNUMBER(I772), I772&gt;0), M772/I772, "")</f>
        <v/>
      </c>
    </row>
    <row r="773">
      <c r="A773" s="19" t="inlineStr">
        <is>
          <t>FY26</t>
        </is>
      </c>
      <c r="B773" s="19" t="inlineStr">
        <is>
          <t>Mar</t>
        </is>
      </c>
      <c r="C773" s="19" t="inlineStr">
        <is>
          <t>TN</t>
        </is>
      </c>
      <c r="D773" s="20" t="inlineStr">
        <is>
          <t>TN33BT7326</t>
        </is>
      </c>
      <c r="E773" s="20" t="inlineStr">
        <is>
          <t>DATSUN</t>
        </is>
      </c>
      <c r="F773" s="20" t="inlineStr">
        <is>
          <t>Redi-Go</t>
        </is>
      </c>
      <c r="G773" s="21" t="n">
        <v>2019</v>
      </c>
      <c r="H773" s="22" t="n">
        <v>40943</v>
      </c>
      <c r="I773" s="23" t="n">
        <v>135000</v>
      </c>
      <c r="J773" s="20" t="inlineStr">
        <is>
          <t>EXCHANGE ROTN</t>
        </is>
      </c>
      <c r="K773" s="20" t="inlineStr">
        <is>
          <t>Captive</t>
        </is>
      </c>
      <c r="L773" s="20" t="inlineStr">
        <is>
          <t>SIVASHANKAR CARS</t>
        </is>
      </c>
      <c r="M773" s="23" t="n">
        <v>8474.58</v>
      </c>
      <c r="N773" s="23" t="n">
        <v>10000</v>
      </c>
      <c r="O773" s="24">
        <f>IF(AND(ISNUMBER(M773), ISNUMBER(I773), I773&gt;0), M773/I773, "")</f>
        <v/>
      </c>
    </row>
    <row r="774">
      <c r="A774" s="19" t="inlineStr">
        <is>
          <t>FY26</t>
        </is>
      </c>
      <c r="B774" s="19" t="inlineStr">
        <is>
          <t>Mar</t>
        </is>
      </c>
      <c r="C774" s="19" t="inlineStr">
        <is>
          <t>TN</t>
        </is>
      </c>
      <c r="D774" s="20" t="inlineStr">
        <is>
          <t>TN66S0579</t>
        </is>
      </c>
      <c r="E774" s="20" t="inlineStr">
        <is>
          <t>CHEVROLET</t>
        </is>
      </c>
      <c r="F774" s="20" t="inlineStr">
        <is>
          <t>Cruze</t>
        </is>
      </c>
      <c r="G774" s="21" t="n">
        <v>2016</v>
      </c>
      <c r="H774" s="22" t="n">
        <v>121819</v>
      </c>
      <c r="I774" s="23" t="n">
        <v>425000</v>
      </c>
      <c r="J774" s="20" t="inlineStr">
        <is>
          <t>EXCHANGE ROTN</t>
        </is>
      </c>
      <c r="K774" s="20" t="inlineStr">
        <is>
          <t>Captive</t>
        </is>
      </c>
      <c r="L774" s="20" t="inlineStr">
        <is>
          <t>YUGA DHEERAN CARS</t>
        </is>
      </c>
      <c r="M774" s="23" t="n">
        <v>12711.86</v>
      </c>
      <c r="N774" s="23" t="n">
        <v>15000</v>
      </c>
      <c r="O774" s="24">
        <f>IF(AND(ISNUMBER(M774), ISNUMBER(I774), I774&gt;0), M774/I774, "")</f>
        <v/>
      </c>
    </row>
    <row r="775">
      <c r="A775" s="19" t="inlineStr">
        <is>
          <t>FY26</t>
        </is>
      </c>
      <c r="B775" s="19" t="inlineStr">
        <is>
          <t>Mar</t>
        </is>
      </c>
      <c r="C775" s="19" t="inlineStr">
        <is>
          <t>TN</t>
        </is>
      </c>
      <c r="D775" s="20" t="inlineStr">
        <is>
          <t>KL08BS0657</t>
        </is>
      </c>
      <c r="E775" s="20" t="inlineStr">
        <is>
          <t>MARUTI SUZUKI</t>
        </is>
      </c>
      <c r="F775" s="20" t="inlineStr">
        <is>
          <t>Wagon R</t>
        </is>
      </c>
      <c r="G775" s="21" t="n">
        <v>2013</v>
      </c>
      <c r="H775" s="22" t="n">
        <v>58363</v>
      </c>
      <c r="I775" s="23" t="n">
        <v>180000</v>
      </c>
      <c r="J775" s="20" t="inlineStr">
        <is>
          <t>EXCHANGE ROTN</t>
        </is>
      </c>
      <c r="K775" s="20" t="inlineStr">
        <is>
          <t>Captive</t>
        </is>
      </c>
      <c r="L775" s="20" t="inlineStr">
        <is>
          <t>Sai cars</t>
        </is>
      </c>
      <c r="M775" s="23" t="n">
        <v>8474.58</v>
      </c>
      <c r="N775" s="23" t="n">
        <v>10000</v>
      </c>
      <c r="O775" s="24">
        <f>IF(AND(ISNUMBER(M775), ISNUMBER(I775), I775&gt;0), M775/I775, "")</f>
        <v/>
      </c>
    </row>
    <row r="776">
      <c r="A776" s="19" t="inlineStr">
        <is>
          <t>FY26</t>
        </is>
      </c>
      <c r="B776" s="19" t="inlineStr">
        <is>
          <t>Mar</t>
        </is>
      </c>
      <c r="C776" s="19" t="inlineStr">
        <is>
          <t>TN</t>
        </is>
      </c>
      <c r="D776" s="20" t="inlineStr">
        <is>
          <t>TN14K8223</t>
        </is>
      </c>
      <c r="E776" s="20" t="inlineStr">
        <is>
          <t>MARUTI SUZUKI</t>
        </is>
      </c>
      <c r="F776" s="20" t="inlineStr">
        <is>
          <t>Alto</t>
        </is>
      </c>
      <c r="G776" s="21" t="n">
        <v>2017</v>
      </c>
      <c r="H776" s="22" t="n">
        <v>57574</v>
      </c>
      <c r="I776" s="23" t="n">
        <v>175000</v>
      </c>
      <c r="J776" s="20" t="inlineStr">
        <is>
          <t>EXCHANGE CHENNAI</t>
        </is>
      </c>
      <c r="K776" s="20" t="inlineStr">
        <is>
          <t>Captive</t>
        </is>
      </c>
      <c r="L776" s="20" t="inlineStr">
        <is>
          <t>RAM Manohar</t>
        </is>
      </c>
      <c r="M776" s="23" t="n">
        <v>8474.58</v>
      </c>
      <c r="N776" s="23" t="n">
        <v>10000</v>
      </c>
      <c r="O776" s="24">
        <f>IF(AND(ISNUMBER(M776), ISNUMBER(I776), I776&gt;0), M776/I776, "")</f>
        <v/>
      </c>
    </row>
    <row r="777">
      <c r="A777" s="19" t="inlineStr">
        <is>
          <t>FY26</t>
        </is>
      </c>
      <c r="B777" s="19" t="inlineStr">
        <is>
          <t>Mar</t>
        </is>
      </c>
      <c r="C777" s="19" t="inlineStr">
        <is>
          <t>TN</t>
        </is>
      </c>
      <c r="D777" s="20" t="inlineStr">
        <is>
          <t>TN07CF6147</t>
        </is>
      </c>
      <c r="E777" s="20" t="inlineStr">
        <is>
          <t>HONDA</t>
        </is>
      </c>
      <c r="F777" s="20" t="inlineStr">
        <is>
          <t>City</t>
        </is>
      </c>
      <c r="G777" s="21" t="n">
        <v>2016</v>
      </c>
      <c r="H777" s="22" t="n">
        <v>51270</v>
      </c>
      <c r="I777" s="23" t="n">
        <v>525000</v>
      </c>
      <c r="J777" s="20" t="inlineStr">
        <is>
          <t>EXCHANGE CHENNAI</t>
        </is>
      </c>
      <c r="K777" s="20" t="inlineStr">
        <is>
          <t>Captive</t>
        </is>
      </c>
      <c r="L777" s="20" t="inlineStr">
        <is>
          <t>Santhosh Cars</t>
        </is>
      </c>
      <c r="M777" s="23" t="n">
        <v>8474.58</v>
      </c>
      <c r="N777" s="23" t="n">
        <v>10000</v>
      </c>
      <c r="O777" s="24">
        <f>IF(AND(ISNUMBER(M777), ISNUMBER(I777), I777&gt;0), M777/I777, "")</f>
        <v/>
      </c>
    </row>
    <row r="778">
      <c r="A778" s="19" t="inlineStr">
        <is>
          <t>FY26</t>
        </is>
      </c>
      <c r="B778" s="19" t="inlineStr">
        <is>
          <t>Mar</t>
        </is>
      </c>
      <c r="C778" s="19" t="inlineStr">
        <is>
          <t>TN</t>
        </is>
      </c>
      <c r="D778" s="20" t="inlineStr">
        <is>
          <t>TN10BA6948</t>
        </is>
      </c>
      <c r="E778" s="20" t="inlineStr">
        <is>
          <t>HONDA</t>
        </is>
      </c>
      <c r="F778" s="20" t="inlineStr">
        <is>
          <t>Jazz</t>
        </is>
      </c>
      <c r="G778" s="21" t="n">
        <v>2017</v>
      </c>
      <c r="H778" s="22" t="n">
        <v>47530</v>
      </c>
      <c r="I778" s="23" t="n">
        <v>350000</v>
      </c>
      <c r="J778" s="20" t="inlineStr">
        <is>
          <t>EXCHANGE CHENNAI</t>
        </is>
      </c>
      <c r="K778" s="20" t="inlineStr">
        <is>
          <t>Captive</t>
        </is>
      </c>
      <c r="L778" s="20" t="inlineStr">
        <is>
          <t>RAM Manohar</t>
        </is>
      </c>
      <c r="M778" s="23" t="n">
        <v>8474.58</v>
      </c>
      <c r="N778" s="23" t="n">
        <v>10000</v>
      </c>
      <c r="O778" s="24">
        <f>IF(AND(ISNUMBER(M778), ISNUMBER(I778), I778&gt;0), M778/I778, "")</f>
        <v/>
      </c>
    </row>
    <row r="779">
      <c r="A779" s="19" t="inlineStr">
        <is>
          <t>FY26</t>
        </is>
      </c>
      <c r="B779" s="19" t="inlineStr">
        <is>
          <t>Mar</t>
        </is>
      </c>
      <c r="C779" s="19" t="inlineStr">
        <is>
          <t>TN</t>
        </is>
      </c>
      <c r="D779" s="20" t="inlineStr">
        <is>
          <t>TN02BD5299</t>
        </is>
      </c>
      <c r="E779" s="20" t="inlineStr">
        <is>
          <t>HYUNDAI</t>
        </is>
      </c>
      <c r="F779" s="20" t="inlineStr">
        <is>
          <t>Eon</t>
        </is>
      </c>
      <c r="G779" s="21" t="n">
        <v>2015</v>
      </c>
      <c r="H779" s="22" t="n">
        <v>55799</v>
      </c>
      <c r="I779" s="23" t="n">
        <v>200000</v>
      </c>
      <c r="J779" s="20" t="inlineStr">
        <is>
          <t>EXCHANGE CHENNAI</t>
        </is>
      </c>
      <c r="K779" s="20" t="inlineStr">
        <is>
          <t>Captive</t>
        </is>
      </c>
      <c r="L779" s="20" t="inlineStr">
        <is>
          <t>Santhosh Cars</t>
        </is>
      </c>
      <c r="M779" s="23" t="n">
        <v>4237.29</v>
      </c>
      <c r="N779" s="23" t="n">
        <v>5000</v>
      </c>
      <c r="O779" s="24">
        <f>IF(AND(ISNUMBER(M779), ISNUMBER(I779), I779&gt;0), M779/I779, "")</f>
        <v/>
      </c>
    </row>
    <row r="780">
      <c r="A780" s="19" t="inlineStr">
        <is>
          <t>FY26</t>
        </is>
      </c>
      <c r="B780" s="19" t="inlineStr">
        <is>
          <t>Mar</t>
        </is>
      </c>
      <c r="C780" s="19" t="inlineStr">
        <is>
          <t>TN</t>
        </is>
      </c>
      <c r="D780" s="20" t="inlineStr">
        <is>
          <t>TN30S6050</t>
        </is>
      </c>
      <c r="E780" s="20" t="inlineStr">
        <is>
          <t>HYUNDAI</t>
        </is>
      </c>
      <c r="F780" s="20" t="inlineStr">
        <is>
          <t>Accent</t>
        </is>
      </c>
      <c r="G780" s="21" t="n">
        <v>2007</v>
      </c>
      <c r="H780" s="22" t="n">
        <v>148584</v>
      </c>
      <c r="I780" s="23" t="n">
        <v>30000</v>
      </c>
      <c r="J780" s="20" t="inlineStr">
        <is>
          <t>EXCHANGE ROTN</t>
        </is>
      </c>
      <c r="K780" s="20" t="inlineStr">
        <is>
          <t>Captive</t>
        </is>
      </c>
      <c r="L780" s="20" t="inlineStr">
        <is>
          <t>Ayyapa Cars</t>
        </is>
      </c>
      <c r="M780" s="23" t="n">
        <v>4237.29</v>
      </c>
      <c r="N780" s="23" t="n">
        <v>5000</v>
      </c>
      <c r="O780" s="24">
        <f>IF(AND(ISNUMBER(M780), ISNUMBER(I780), I780&gt;0), M780/I780, "")</f>
        <v/>
      </c>
    </row>
    <row r="781">
      <c r="A781" s="19" t="inlineStr">
        <is>
          <t>FY26</t>
        </is>
      </c>
      <c r="B781" s="19" t="inlineStr">
        <is>
          <t>Mar</t>
        </is>
      </c>
      <c r="C781" s="19" t="inlineStr">
        <is>
          <t>TN</t>
        </is>
      </c>
      <c r="D781" s="20" t="inlineStr">
        <is>
          <t>TN66R6148</t>
        </is>
      </c>
      <c r="E781" s="20" t="inlineStr">
        <is>
          <t>MARUTI SUZUKI</t>
        </is>
      </c>
      <c r="F781" s="20" t="inlineStr">
        <is>
          <t>Ritz</t>
        </is>
      </c>
      <c r="G781" s="21" t="n">
        <v>2015</v>
      </c>
      <c r="H781" s="22" t="n">
        <v>70657</v>
      </c>
      <c r="I781" s="23" t="n">
        <v>250000</v>
      </c>
      <c r="J781" s="20" t="inlineStr">
        <is>
          <t>EXCHANGE ROTN</t>
        </is>
      </c>
      <c r="K781" s="20" t="inlineStr">
        <is>
          <t>Captive</t>
        </is>
      </c>
      <c r="L781" s="20" t="inlineStr">
        <is>
          <t>Dheera Cars</t>
        </is>
      </c>
      <c r="M781" s="23" t="n">
        <v>8474.58</v>
      </c>
      <c r="N781" s="23" t="n">
        <v>10000</v>
      </c>
      <c r="O781" s="24">
        <f>IF(AND(ISNUMBER(M781), ISNUMBER(I781), I781&gt;0), M781/I781, "")</f>
        <v/>
      </c>
    </row>
    <row r="782">
      <c r="A782" s="19" t="inlineStr">
        <is>
          <t>FY26</t>
        </is>
      </c>
      <c r="B782" s="19" t="inlineStr">
        <is>
          <t>Mar</t>
        </is>
      </c>
      <c r="C782" s="19" t="inlineStr">
        <is>
          <t>TN</t>
        </is>
      </c>
      <c r="D782" s="20" t="inlineStr">
        <is>
          <t>TN06B5438</t>
        </is>
      </c>
      <c r="E782" s="20" t="inlineStr">
        <is>
          <t>HONDA</t>
        </is>
      </c>
      <c r="F782" s="20" t="inlineStr">
        <is>
          <t>Jazz</t>
        </is>
      </c>
      <c r="G782" s="21" t="n">
        <v>2010</v>
      </c>
      <c r="H782" s="22" t="n">
        <v>55412</v>
      </c>
      <c r="I782" s="23" t="n">
        <v>180000</v>
      </c>
      <c r="J782" s="20" t="inlineStr">
        <is>
          <t>EXCHANGE CHENNAI</t>
        </is>
      </c>
      <c r="K782" s="20" t="inlineStr">
        <is>
          <t>Captive</t>
        </is>
      </c>
      <c r="L782" s="20" t="inlineStr">
        <is>
          <t>Santhosh Cars</t>
        </is>
      </c>
      <c r="M782" s="23" t="n">
        <v>6779.66</v>
      </c>
      <c r="N782" s="23" t="n">
        <v>8000</v>
      </c>
      <c r="O782" s="24">
        <f>IF(AND(ISNUMBER(M782), ISNUMBER(I782), I782&gt;0), M782/I782, "")</f>
        <v/>
      </c>
    </row>
    <row r="783">
      <c r="A783" s="19" t="inlineStr">
        <is>
          <t>FY26</t>
        </is>
      </c>
      <c r="B783" s="19" t="inlineStr">
        <is>
          <t>Mar</t>
        </is>
      </c>
      <c r="C783" s="19" t="inlineStr">
        <is>
          <t>TN</t>
        </is>
      </c>
      <c r="D783" s="20" t="inlineStr">
        <is>
          <t>TN21BU2228</t>
        </is>
      </c>
      <c r="E783" s="20" t="inlineStr">
        <is>
          <t>HONDA</t>
        </is>
      </c>
      <c r="F783" s="20" t="inlineStr">
        <is>
          <t>City</t>
        </is>
      </c>
      <c r="G783" s="21" t="n">
        <v>2024</v>
      </c>
      <c r="H783" s="22" t="n">
        <v>56144</v>
      </c>
      <c r="I783" s="23" t="n">
        <v>900000</v>
      </c>
      <c r="J783" s="20" t="inlineStr">
        <is>
          <t>EXCHANGE CHENNAI</t>
        </is>
      </c>
      <c r="K783" s="20" t="inlineStr">
        <is>
          <t>Captive</t>
        </is>
      </c>
      <c r="L783" s="20" t="inlineStr">
        <is>
          <t>S2 Cars</t>
        </is>
      </c>
      <c r="M783" s="23" t="n">
        <v>5084.75</v>
      </c>
      <c r="N783" s="23" t="n">
        <v>6000</v>
      </c>
      <c r="O783" s="24">
        <f>IF(AND(ISNUMBER(M783), ISNUMBER(I783), I783&gt;0), M783/I783, "")</f>
        <v/>
      </c>
    </row>
    <row r="784">
      <c r="A784" s="19" t="inlineStr">
        <is>
          <t>FY26</t>
        </is>
      </c>
      <c r="B784" s="19" t="inlineStr">
        <is>
          <t>Mar</t>
        </is>
      </c>
      <c r="C784" s="19" t="inlineStr">
        <is>
          <t>TN</t>
        </is>
      </c>
      <c r="D784" s="20" t="inlineStr">
        <is>
          <t>TN09CS0315</t>
        </is>
      </c>
      <c r="E784" s="20" t="inlineStr">
        <is>
          <t>HONDA</t>
        </is>
      </c>
      <c r="F784" s="20" t="inlineStr">
        <is>
          <t>Amaze</t>
        </is>
      </c>
      <c r="G784" s="21" t="n">
        <v>2019</v>
      </c>
      <c r="H784" s="22" t="n">
        <v>34094</v>
      </c>
      <c r="I784" s="23" t="n">
        <v>440000</v>
      </c>
      <c r="J784" s="20" t="inlineStr">
        <is>
          <t>EXCHANGE CHENNAI</t>
        </is>
      </c>
      <c r="K784" s="20" t="inlineStr">
        <is>
          <t>Captive</t>
        </is>
      </c>
      <c r="L784" s="20" t="inlineStr">
        <is>
          <t>Santhosh Cars</t>
        </is>
      </c>
      <c r="M784" s="23" t="n">
        <v>4237.29</v>
      </c>
      <c r="N784" s="23" t="n">
        <v>5000</v>
      </c>
      <c r="O784" s="24">
        <f>IF(AND(ISNUMBER(M784), ISNUMBER(I784), I784&gt;0), M784/I784, "")</f>
        <v/>
      </c>
    </row>
    <row r="785">
      <c r="A785" s="19" t="inlineStr">
        <is>
          <t>FY26</t>
        </is>
      </c>
      <c r="B785" s="19" t="inlineStr">
        <is>
          <t>Mar</t>
        </is>
      </c>
      <c r="C785" s="19" t="inlineStr">
        <is>
          <t>TN</t>
        </is>
      </c>
      <c r="D785" s="20" t="inlineStr">
        <is>
          <t>TN06AC2214</t>
        </is>
      </c>
      <c r="E785" s="20" t="inlineStr">
        <is>
          <t>HONDA</t>
        </is>
      </c>
      <c r="F785" s="20" t="inlineStr">
        <is>
          <t>City</t>
        </is>
      </c>
      <c r="G785" s="21" t="n">
        <v>2022</v>
      </c>
      <c r="H785" s="22" t="n">
        <v>23487</v>
      </c>
      <c r="I785" s="23" t="n">
        <v>1070000</v>
      </c>
      <c r="J785" s="20" t="inlineStr">
        <is>
          <t>EXCHANGE CHENNAI</t>
        </is>
      </c>
      <c r="K785" s="20" t="inlineStr">
        <is>
          <t>Captive</t>
        </is>
      </c>
      <c r="L785" s="20" t="inlineStr">
        <is>
          <t>Santhosh Cars</t>
        </is>
      </c>
      <c r="M785" s="23" t="n">
        <v>8474.58</v>
      </c>
      <c r="N785" s="23" t="n">
        <v>10000</v>
      </c>
      <c r="O785" s="24">
        <f>IF(AND(ISNUMBER(M785), ISNUMBER(I785), I785&gt;0), M785/I785, "")</f>
        <v/>
      </c>
    </row>
    <row r="786">
      <c r="A786" s="19" t="inlineStr">
        <is>
          <t>FY26</t>
        </is>
      </c>
      <c r="B786" s="19" t="inlineStr">
        <is>
          <t>Mar</t>
        </is>
      </c>
      <c r="C786" s="19" t="inlineStr">
        <is>
          <t>TN</t>
        </is>
      </c>
      <c r="D786" s="20" t="inlineStr">
        <is>
          <t>TN09CL2598</t>
        </is>
      </c>
      <c r="E786" s="20" t="inlineStr">
        <is>
          <t>TATA</t>
        </is>
      </c>
      <c r="F786" s="20" t="inlineStr">
        <is>
          <t>Tiago</t>
        </is>
      </c>
      <c r="G786" s="21" t="n">
        <v>2017</v>
      </c>
      <c r="H786" s="22" t="n">
        <v>166868</v>
      </c>
      <c r="I786" s="23" t="n">
        <v>245000</v>
      </c>
      <c r="J786" s="20" t="inlineStr">
        <is>
          <t>Khivraj Motor</t>
        </is>
      </c>
      <c r="K786" s="20" t="inlineStr">
        <is>
          <t>Non-Captive</t>
        </is>
      </c>
      <c r="L786" s="20" t="inlineStr">
        <is>
          <t>Value Drive Tecnologies</t>
        </is>
      </c>
      <c r="M786" s="23" t="n">
        <v>5084.75</v>
      </c>
      <c r="N786" s="23" t="n">
        <v>6000</v>
      </c>
      <c r="O786" s="24">
        <f>IF(AND(ISNUMBER(M786), ISNUMBER(I786), I786&gt;0), M786/I786, "")</f>
        <v/>
      </c>
    </row>
    <row r="787">
      <c r="A787" s="19" t="inlineStr">
        <is>
          <t>FY26</t>
        </is>
      </c>
      <c r="B787" s="19" t="inlineStr">
        <is>
          <t>Mar</t>
        </is>
      </c>
      <c r="C787" s="19" t="inlineStr">
        <is>
          <t>TN</t>
        </is>
      </c>
      <c r="D787" s="20" t="inlineStr">
        <is>
          <t>TN02BA8382</t>
        </is>
      </c>
      <c r="E787" s="20" t="inlineStr">
        <is>
          <t>HONDA</t>
        </is>
      </c>
      <c r="F787" s="20" t="inlineStr">
        <is>
          <t>City</t>
        </is>
      </c>
      <c r="G787" s="21" t="n">
        <v>2014</v>
      </c>
      <c r="H787" s="22" t="n">
        <v>74481</v>
      </c>
      <c r="I787" s="23" t="n">
        <v>333000</v>
      </c>
      <c r="J787" s="20" t="inlineStr">
        <is>
          <t>Khivraj Motor</t>
        </is>
      </c>
      <c r="K787" s="20" t="inlineStr">
        <is>
          <t>Non-Captive</t>
        </is>
      </c>
      <c r="L787" s="20" t="inlineStr">
        <is>
          <t>Aasim Motor</t>
        </is>
      </c>
      <c r="M787" s="23" t="n">
        <v>5084.75</v>
      </c>
      <c r="N787" s="23" t="n">
        <v>6000</v>
      </c>
      <c r="O787" s="24">
        <f>IF(AND(ISNUMBER(M787), ISNUMBER(I787), I787&gt;0), M787/I787, "")</f>
        <v/>
      </c>
    </row>
    <row r="788">
      <c r="A788" s="19" t="inlineStr">
        <is>
          <t>FY26</t>
        </is>
      </c>
      <c r="B788" s="19" t="inlineStr">
        <is>
          <t>Mar</t>
        </is>
      </c>
      <c r="C788" s="19" t="inlineStr">
        <is>
          <t>TN</t>
        </is>
      </c>
      <c r="D788" s="20" t="inlineStr">
        <is>
          <t>TN04AP8743</t>
        </is>
      </c>
      <c r="E788" s="20" t="inlineStr">
        <is>
          <t>MARUTI SUZUKI</t>
        </is>
      </c>
      <c r="F788" s="20" t="inlineStr">
        <is>
          <t>Celerio</t>
        </is>
      </c>
      <c r="G788" s="21" t="n">
        <v>2015</v>
      </c>
      <c r="H788" s="22" t="n">
        <v>84243</v>
      </c>
      <c r="I788" s="23" t="n">
        <v>239000</v>
      </c>
      <c r="J788" s="20" t="inlineStr">
        <is>
          <t>Khivraj Motor</t>
        </is>
      </c>
      <c r="K788" s="20" t="inlineStr">
        <is>
          <t>Non-Captive</t>
        </is>
      </c>
      <c r="L788" s="20" t="inlineStr">
        <is>
          <t>AS Cars Gopi</t>
        </is>
      </c>
      <c r="M788" s="23" t="n">
        <v>5084.75</v>
      </c>
      <c r="N788" s="23" t="n">
        <v>6000</v>
      </c>
      <c r="O788" s="24">
        <f>IF(AND(ISNUMBER(M788), ISNUMBER(I788), I788&gt;0), M788/I788, "")</f>
        <v/>
      </c>
    </row>
    <row r="789">
      <c r="A789" s="19" t="inlineStr">
        <is>
          <t>FY26</t>
        </is>
      </c>
      <c r="B789" s="19" t="inlineStr">
        <is>
          <t>Mar</t>
        </is>
      </c>
      <c r="C789" s="19" t="inlineStr">
        <is>
          <t>TN</t>
        </is>
      </c>
      <c r="D789" s="20" t="inlineStr">
        <is>
          <t>TN07CU9451</t>
        </is>
      </c>
      <c r="E789" s="20" t="inlineStr">
        <is>
          <t>MARUTI SUZUKI</t>
        </is>
      </c>
      <c r="F789" s="20" t="inlineStr">
        <is>
          <t>Swift Dzire</t>
        </is>
      </c>
      <c r="G789" s="21" t="n">
        <v>2020</v>
      </c>
      <c r="H789" s="22" t="n">
        <v>38370</v>
      </c>
      <c r="I789" s="23" t="n">
        <v>516000</v>
      </c>
      <c r="J789" s="20" t="inlineStr">
        <is>
          <t>Khivraj Motor</t>
        </is>
      </c>
      <c r="K789" s="20" t="inlineStr">
        <is>
          <t>Non-Captive</t>
        </is>
      </c>
      <c r="L789" s="20" t="inlineStr">
        <is>
          <t>Value Drive Tecnologies</t>
        </is>
      </c>
      <c r="M789" s="23" t="n">
        <v>5932.2</v>
      </c>
      <c r="N789" s="23" t="n">
        <v>7000</v>
      </c>
      <c r="O789" s="24">
        <f>IF(AND(ISNUMBER(M789), ISNUMBER(I789), I789&gt;0), M789/I789, "")</f>
        <v/>
      </c>
    </row>
    <row r="790">
      <c r="A790" s="19" t="inlineStr">
        <is>
          <t>FY26</t>
        </is>
      </c>
      <c r="B790" s="19" t="inlineStr">
        <is>
          <t>Mar</t>
        </is>
      </c>
      <c r="C790" s="19" t="inlineStr">
        <is>
          <t>TN</t>
        </is>
      </c>
      <c r="D790" s="20" t="inlineStr">
        <is>
          <t>TN10BK7836</t>
        </is>
      </c>
      <c r="E790" s="20" t="inlineStr">
        <is>
          <t>MARUTI SUZUKI</t>
        </is>
      </c>
      <c r="F790" s="20" t="inlineStr">
        <is>
          <t>Baleno</t>
        </is>
      </c>
      <c r="G790" s="21" t="n">
        <v>2020</v>
      </c>
      <c r="H790" s="22" t="n">
        <v>32558</v>
      </c>
      <c r="I790" s="23" t="n">
        <v>447000</v>
      </c>
      <c r="J790" s="20" t="inlineStr">
        <is>
          <t>Khivraj Motor</t>
        </is>
      </c>
      <c r="K790" s="20" t="inlineStr">
        <is>
          <t>Non-Captive</t>
        </is>
      </c>
      <c r="L790" s="20" t="inlineStr">
        <is>
          <t>AAA Cars</t>
        </is>
      </c>
      <c r="M790" s="23" t="n">
        <v>6779.66</v>
      </c>
      <c r="N790" s="23" t="n">
        <v>8000</v>
      </c>
      <c r="O790" s="24">
        <f>IF(AND(ISNUMBER(M790), ISNUMBER(I790), I790&gt;0), M790/I790, "")</f>
        <v/>
      </c>
    </row>
    <row r="791">
      <c r="A791" s="19" t="inlineStr">
        <is>
          <t>FY26</t>
        </is>
      </c>
      <c r="B791" s="19" t="inlineStr">
        <is>
          <t>Mar</t>
        </is>
      </c>
      <c r="C791" s="19" t="inlineStr">
        <is>
          <t>TN</t>
        </is>
      </c>
      <c r="D791" s="20" t="inlineStr">
        <is>
          <t>TN07CW3039</t>
        </is>
      </c>
      <c r="E791" s="20" t="inlineStr">
        <is>
          <t>MARUTI SUZUKI</t>
        </is>
      </c>
      <c r="F791" s="20" t="inlineStr">
        <is>
          <t>Brezza</t>
        </is>
      </c>
      <c r="G791" s="21" t="n">
        <v>2020</v>
      </c>
      <c r="H791" s="22" t="n">
        <v>33412</v>
      </c>
      <c r="I791" s="23" t="n">
        <v>608000</v>
      </c>
      <c r="J791" s="20" t="inlineStr">
        <is>
          <t>Khivraj Motor</t>
        </is>
      </c>
      <c r="K791" s="20" t="inlineStr">
        <is>
          <t>Non-Captive</t>
        </is>
      </c>
      <c r="L791" s="20" t="inlineStr">
        <is>
          <t>Pine Autos</t>
        </is>
      </c>
      <c r="M791" s="23" t="n">
        <v>7627.12</v>
      </c>
      <c r="N791" s="23" t="n">
        <v>9000</v>
      </c>
      <c r="O791" s="24">
        <f>IF(AND(ISNUMBER(M791), ISNUMBER(I791), I791&gt;0), M791/I791, "")</f>
        <v/>
      </c>
    </row>
    <row r="792">
      <c r="A792" s="19" t="inlineStr">
        <is>
          <t>FY26</t>
        </is>
      </c>
      <c r="B792" s="19" t="inlineStr">
        <is>
          <t>Mar</t>
        </is>
      </c>
      <c r="C792" s="19" t="inlineStr">
        <is>
          <t>TN</t>
        </is>
      </c>
      <c r="D792" s="20" t="inlineStr">
        <is>
          <t>TN05BS1282</t>
        </is>
      </c>
      <c r="E792" s="20" t="inlineStr">
        <is>
          <t>MARUTI SUZUKI</t>
        </is>
      </c>
      <c r="F792" s="20" t="inlineStr">
        <is>
          <t>Baleno</t>
        </is>
      </c>
      <c r="G792" s="21" t="n">
        <v>2018</v>
      </c>
      <c r="H792" s="22" t="n">
        <v>95211</v>
      </c>
      <c r="I792" s="23" t="n">
        <v>450000</v>
      </c>
      <c r="J792" s="20" t="inlineStr">
        <is>
          <t>Khivraj Motor</t>
        </is>
      </c>
      <c r="K792" s="20" t="inlineStr">
        <is>
          <t>Non-Captive</t>
        </is>
      </c>
      <c r="L792" s="20" t="inlineStr">
        <is>
          <t>Pine Autos</t>
        </is>
      </c>
      <c r="M792" s="23" t="n">
        <v>5932.2</v>
      </c>
      <c r="N792" s="23" t="n">
        <v>7000</v>
      </c>
      <c r="O792" s="24">
        <f>IF(AND(ISNUMBER(M792), ISNUMBER(I792), I792&gt;0), M792/I792, "")</f>
        <v/>
      </c>
    </row>
    <row r="793">
      <c r="A793" s="19" t="inlineStr">
        <is>
          <t>FY26</t>
        </is>
      </c>
      <c r="B793" s="19" t="inlineStr">
        <is>
          <t>Mar</t>
        </is>
      </c>
      <c r="C793" s="19" t="inlineStr">
        <is>
          <t>TN</t>
        </is>
      </c>
      <c r="D793" s="20" t="inlineStr">
        <is>
          <t>TN38CS2907</t>
        </is>
      </c>
      <c r="E793" s="20" t="inlineStr">
        <is>
          <t>MARUTI SUZUKI</t>
        </is>
      </c>
      <c r="F793" s="20" t="inlineStr">
        <is>
          <t>S-Cross</t>
        </is>
      </c>
      <c r="G793" s="21" t="n">
        <v>2018</v>
      </c>
      <c r="H793" s="22" t="n">
        <v>56144</v>
      </c>
      <c r="I793" s="23" t="n">
        <v>650000</v>
      </c>
      <c r="J793" s="20" t="inlineStr">
        <is>
          <t>EXCHANGE ROTN</t>
        </is>
      </c>
      <c r="K793" s="20" t="inlineStr">
        <is>
          <t>Captive</t>
        </is>
      </c>
      <c r="L793" s="20" t="inlineStr">
        <is>
          <t>Sarvesh cars</t>
        </is>
      </c>
      <c r="M793" s="23" t="n">
        <v>4237.29</v>
      </c>
      <c r="N793" s="23" t="n">
        <v>5000</v>
      </c>
      <c r="O793" s="24">
        <f>IF(AND(ISNUMBER(M793), ISNUMBER(I793), I793&gt;0), M793/I793, "")</f>
        <v/>
      </c>
    </row>
    <row r="794">
      <c r="A794" s="19" t="inlineStr">
        <is>
          <t>FY26</t>
        </is>
      </c>
      <c r="B794" s="19" t="inlineStr">
        <is>
          <t>Mar</t>
        </is>
      </c>
      <c r="C794" s="19" t="inlineStr">
        <is>
          <t>TN</t>
        </is>
      </c>
      <c r="D794" s="20" t="inlineStr">
        <is>
          <t>TN64D7889</t>
        </is>
      </c>
      <c r="E794" s="20" t="inlineStr">
        <is>
          <t>HONDA</t>
        </is>
      </c>
      <c r="F794" s="20" t="inlineStr">
        <is>
          <t>Brio</t>
        </is>
      </c>
      <c r="G794" s="21" t="n">
        <v>2012</v>
      </c>
      <c r="H794" s="22" t="n">
        <v>38787</v>
      </c>
      <c r="I794" s="23" t="n">
        <v>215000</v>
      </c>
      <c r="J794" s="20" t="inlineStr">
        <is>
          <t>EXCHANGE ROTN</t>
        </is>
      </c>
      <c r="K794" s="20" t="inlineStr">
        <is>
          <t>Captive</t>
        </is>
      </c>
      <c r="L794" s="20" t="inlineStr">
        <is>
          <t>Value Cars</t>
        </is>
      </c>
      <c r="M794" s="23" t="n">
        <v>8474.58</v>
      </c>
      <c r="N794" s="23" t="n">
        <v>10000</v>
      </c>
      <c r="O794" s="24">
        <f>IF(AND(ISNUMBER(M794), ISNUMBER(I794), I794&gt;0), M794/I794, "")</f>
        <v/>
      </c>
    </row>
    <row r="795">
      <c r="A795" s="19" t="inlineStr">
        <is>
          <t>FY26</t>
        </is>
      </c>
      <c r="B795" s="19" t="inlineStr">
        <is>
          <t>Mar</t>
        </is>
      </c>
      <c r="C795" s="19" t="inlineStr">
        <is>
          <t>TN</t>
        </is>
      </c>
      <c r="D795" s="20" t="inlineStr">
        <is>
          <t>TN57BM6422</t>
        </is>
      </c>
      <c r="E795" s="20" t="inlineStr">
        <is>
          <t>MARUTI SUZUKI</t>
        </is>
      </c>
      <c r="F795" s="20" t="inlineStr">
        <is>
          <t>Wagon R</t>
        </is>
      </c>
      <c r="G795" s="21" t="n">
        <v>2021</v>
      </c>
      <c r="H795" s="22" t="n"/>
      <c r="I795" s="23" t="n">
        <v>430000</v>
      </c>
      <c r="J795" s="20" t="inlineStr">
        <is>
          <t>EXCHANGE ROTN</t>
        </is>
      </c>
      <c r="K795" s="20" t="inlineStr">
        <is>
          <t>Captive</t>
        </is>
      </c>
      <c r="L795" s="20" t="inlineStr">
        <is>
          <t>Value Cars</t>
        </is>
      </c>
      <c r="M795" s="23" t="n">
        <v>12711.86</v>
      </c>
      <c r="N795" s="23" t="n">
        <v>15000</v>
      </c>
      <c r="O795" s="24">
        <f>IF(AND(ISNUMBER(M795), ISNUMBER(I795), I795&gt;0), M795/I795, "")</f>
        <v/>
      </c>
    </row>
    <row r="796">
      <c r="A796" s="19" t="inlineStr">
        <is>
          <t>FY26</t>
        </is>
      </c>
      <c r="B796" s="19" t="inlineStr">
        <is>
          <t>Mar</t>
        </is>
      </c>
      <c r="C796" s="19" t="inlineStr">
        <is>
          <t>TN</t>
        </is>
      </c>
      <c r="D796" s="20" t="inlineStr">
        <is>
          <t>TN43H6853</t>
        </is>
      </c>
      <c r="E796" s="20" t="inlineStr">
        <is>
          <t>MARUTI SUZUKI</t>
        </is>
      </c>
      <c r="F796" s="20" t="inlineStr">
        <is>
          <t>Omni</t>
        </is>
      </c>
      <c r="G796" s="21" t="n">
        <v>2017</v>
      </c>
      <c r="H796" s="22" t="n">
        <v>87411</v>
      </c>
      <c r="I796" s="23" t="n">
        <v>100000</v>
      </c>
      <c r="J796" s="20" t="inlineStr">
        <is>
          <t>EXCHANGE ROTN</t>
        </is>
      </c>
      <c r="K796" s="20" t="inlineStr">
        <is>
          <t>Captive</t>
        </is>
      </c>
      <c r="L796" s="20" t="inlineStr">
        <is>
          <t>Sri Murugan Cars</t>
        </is>
      </c>
      <c r="M796" s="23" t="n">
        <v>4237.29</v>
      </c>
      <c r="N796" s="23" t="n">
        <v>5000</v>
      </c>
      <c r="O796" s="24">
        <f>IF(AND(ISNUMBER(M796), ISNUMBER(I796), I796&gt;0), M796/I796, "")</f>
        <v/>
      </c>
    </row>
    <row r="797">
      <c r="A797" s="19" t="inlineStr">
        <is>
          <t>FY26</t>
        </is>
      </c>
      <c r="B797" s="19" t="inlineStr">
        <is>
          <t>Mar</t>
        </is>
      </c>
      <c r="C797" s="19" t="inlineStr">
        <is>
          <t>TN</t>
        </is>
      </c>
      <c r="D797" s="20" t="inlineStr">
        <is>
          <t>TN07CR5753</t>
        </is>
      </c>
      <c r="E797" s="20" t="inlineStr">
        <is>
          <t>TATA</t>
        </is>
      </c>
      <c r="F797" s="20" t="inlineStr">
        <is>
          <t>Tiago</t>
        </is>
      </c>
      <c r="G797" s="21" t="n">
        <v>2018</v>
      </c>
      <c r="H797" s="22" t="n">
        <v>82006</v>
      </c>
      <c r="I797" s="23" t="n">
        <v>230000</v>
      </c>
      <c r="J797" s="20" t="inlineStr">
        <is>
          <t>STEER AUTO TECHNOLOGIES PRIVATE LIMITED</t>
        </is>
      </c>
      <c r="K797" s="20" t="inlineStr">
        <is>
          <t>Non-Captive</t>
        </is>
      </c>
      <c r="L797" s="20" t="inlineStr">
        <is>
          <t>AAA Cars</t>
        </is>
      </c>
      <c r="M797" s="23" t="n">
        <v>3389.83</v>
      </c>
      <c r="N797" s="23" t="n">
        <v>4000</v>
      </c>
      <c r="O797" s="24">
        <f>IF(AND(ISNUMBER(M797), ISNUMBER(I797), I797&gt;0), M797/I797, "")</f>
        <v/>
      </c>
    </row>
    <row r="798">
      <c r="A798" s="19" t="inlineStr">
        <is>
          <t>FY26</t>
        </is>
      </c>
      <c r="B798" s="19" t="inlineStr">
        <is>
          <t>Mar</t>
        </is>
      </c>
      <c r="C798" s="19" t="inlineStr">
        <is>
          <t>TN</t>
        </is>
      </c>
      <c r="D798" s="20" t="inlineStr">
        <is>
          <t>TN83A4081</t>
        </is>
      </c>
      <c r="E798" s="20" t="inlineStr">
        <is>
          <t>HYUNDAI</t>
        </is>
      </c>
      <c r="F798" s="20" t="inlineStr">
        <is>
          <t>Creta</t>
        </is>
      </c>
      <c r="G798" s="21" t="n">
        <v>2016</v>
      </c>
      <c r="H798" s="22" t="n">
        <v>135035</v>
      </c>
      <c r="I798" s="23" t="n">
        <v>415000</v>
      </c>
      <c r="J798" s="20" t="inlineStr">
        <is>
          <t>EXCHANGE ROTN</t>
        </is>
      </c>
      <c r="K798" s="20" t="inlineStr">
        <is>
          <t>Captive</t>
        </is>
      </c>
      <c r="L798" s="20" t="inlineStr">
        <is>
          <t>Gugha Cars</t>
        </is>
      </c>
      <c r="M798" s="23" t="n">
        <v>4237.29</v>
      </c>
      <c r="N798" s="23" t="n">
        <v>5000</v>
      </c>
      <c r="O798" s="24">
        <f>IF(AND(ISNUMBER(M798), ISNUMBER(I798), I798&gt;0), M798/I798, "")</f>
        <v/>
      </c>
    </row>
    <row r="799">
      <c r="A799" s="19" t="inlineStr">
        <is>
          <t>FY26</t>
        </is>
      </c>
      <c r="B799" s="19" t="inlineStr">
        <is>
          <t>Mar</t>
        </is>
      </c>
      <c r="C799" s="19" t="inlineStr">
        <is>
          <t>TN</t>
        </is>
      </c>
      <c r="D799" s="20" t="inlineStr">
        <is>
          <t>TN30AE1895</t>
        </is>
      </c>
      <c r="E799" s="20" t="inlineStr">
        <is>
          <t>HYUNDAI</t>
        </is>
      </c>
      <c r="F799" s="20" t="inlineStr">
        <is>
          <t>I10</t>
        </is>
      </c>
      <c r="G799" s="21" t="n">
        <v>2009</v>
      </c>
      <c r="H799" s="22" t="n">
        <v>102688</v>
      </c>
      <c r="I799" s="23" t="n">
        <v>150000</v>
      </c>
      <c r="J799" s="20" t="inlineStr">
        <is>
          <t>EXCHANGE ROTN</t>
        </is>
      </c>
      <c r="K799" s="20" t="inlineStr">
        <is>
          <t>Captive</t>
        </is>
      </c>
      <c r="L799" s="20" t="inlineStr">
        <is>
          <t>MSV Car Painting</t>
        </is>
      </c>
      <c r="M799" s="23" t="n">
        <v>8474.58</v>
      </c>
      <c r="N799" s="23" t="n">
        <v>10000</v>
      </c>
      <c r="O799" s="24">
        <f>IF(AND(ISNUMBER(M799), ISNUMBER(I799), I799&gt;0), M799/I799, "")</f>
        <v/>
      </c>
    </row>
    <row r="800">
      <c r="A800" s="19" t="inlineStr">
        <is>
          <t>FY26</t>
        </is>
      </c>
      <c r="B800" s="19" t="inlineStr">
        <is>
          <t>Mar</t>
        </is>
      </c>
      <c r="C800" s="19" t="inlineStr">
        <is>
          <t>TN</t>
        </is>
      </c>
      <c r="D800" s="20" t="inlineStr">
        <is>
          <t>TN58AT8997</t>
        </is>
      </c>
      <c r="E800" s="20" t="inlineStr">
        <is>
          <t>HYUNDAI</t>
        </is>
      </c>
      <c r="F800" s="20" t="inlineStr">
        <is>
          <t>I20</t>
        </is>
      </c>
      <c r="G800" s="21" t="n">
        <v>2018</v>
      </c>
      <c r="H800" s="22" t="n">
        <v>150787</v>
      </c>
      <c r="I800" s="23" t="n">
        <v>345000</v>
      </c>
      <c r="J800" s="20" t="inlineStr">
        <is>
          <t>EXCHANGE ROTN</t>
        </is>
      </c>
      <c r="K800" s="20" t="inlineStr">
        <is>
          <t>Captive</t>
        </is>
      </c>
      <c r="L800" s="20" t="inlineStr">
        <is>
          <t>Value Cars</t>
        </is>
      </c>
      <c r="M800" s="23" t="n">
        <v>8474.58</v>
      </c>
      <c r="N800" s="23" t="n">
        <v>10000</v>
      </c>
      <c r="O800" s="24">
        <f>IF(AND(ISNUMBER(M800), ISNUMBER(I800), I800&gt;0), M800/I800, "")</f>
        <v/>
      </c>
    </row>
    <row r="801">
      <c r="A801" s="19" t="inlineStr">
        <is>
          <t>FY26</t>
        </is>
      </c>
      <c r="B801" s="19" t="inlineStr">
        <is>
          <t>Mar</t>
        </is>
      </c>
      <c r="C801" s="19" t="inlineStr">
        <is>
          <t>TN</t>
        </is>
      </c>
      <c r="D801" s="20" t="inlineStr">
        <is>
          <t>TN69AM0193</t>
        </is>
      </c>
      <c r="E801" s="20" t="inlineStr">
        <is>
          <t>HONDA</t>
        </is>
      </c>
      <c r="F801" s="20" t="inlineStr">
        <is>
          <t>Amaze</t>
        </is>
      </c>
      <c r="G801" s="21" t="n">
        <v>2014</v>
      </c>
      <c r="H801" s="22" t="n">
        <v>93284</v>
      </c>
      <c r="I801" s="23" t="n">
        <v>205000</v>
      </c>
      <c r="J801" s="20" t="inlineStr">
        <is>
          <t>EXCHANGE ROTN</t>
        </is>
      </c>
      <c r="K801" s="20" t="inlineStr">
        <is>
          <t>Captive</t>
        </is>
      </c>
      <c r="L801" s="20" t="inlineStr">
        <is>
          <t>Senthur Finance</t>
        </is>
      </c>
      <c r="M801" s="23" t="n">
        <v>8474.58</v>
      </c>
      <c r="N801" s="23" t="n">
        <v>10000</v>
      </c>
      <c r="O801" s="24">
        <f>IF(AND(ISNUMBER(M801), ISNUMBER(I801), I801&gt;0), M801/I801, "")</f>
        <v/>
      </c>
    </row>
    <row r="802">
      <c r="A802" s="19" t="inlineStr">
        <is>
          <t>FY26</t>
        </is>
      </c>
      <c r="B802" s="19" t="inlineStr">
        <is>
          <t>Mar</t>
        </is>
      </c>
      <c r="C802" s="19" t="inlineStr">
        <is>
          <t>TN</t>
        </is>
      </c>
      <c r="D802" s="20" t="inlineStr">
        <is>
          <t>TN07BV4477</t>
        </is>
      </c>
      <c r="E802" s="20" t="inlineStr">
        <is>
          <t>HONDA</t>
        </is>
      </c>
      <c r="F802" s="20" t="inlineStr">
        <is>
          <t>Amaze</t>
        </is>
      </c>
      <c r="G802" s="21" t="n">
        <v>2013</v>
      </c>
      <c r="H802" s="22" t="n">
        <v>118150</v>
      </c>
      <c r="I802" s="23" t="n">
        <v>250000</v>
      </c>
      <c r="J802" s="20" t="inlineStr">
        <is>
          <t>STEER AUTO TECHNOLOGIES PRIVATE LIMITED</t>
        </is>
      </c>
      <c r="K802" s="20" t="inlineStr">
        <is>
          <t>Non-Captive</t>
        </is>
      </c>
      <c r="L802" s="20" t="inlineStr">
        <is>
          <t>AAA Cars</t>
        </is>
      </c>
      <c r="M802" s="23" t="n">
        <v>3389.83</v>
      </c>
      <c r="N802" s="23" t="n">
        <v>4000</v>
      </c>
      <c r="O802" s="24">
        <f>IF(AND(ISNUMBER(M802), ISNUMBER(I802), I802&gt;0), M802/I802, "")</f>
        <v/>
      </c>
    </row>
    <row r="803">
      <c r="A803" s="19" t="inlineStr">
        <is>
          <t>FY26</t>
        </is>
      </c>
      <c r="B803" s="19" t="inlineStr">
        <is>
          <t>Mar</t>
        </is>
      </c>
      <c r="C803" s="19" t="inlineStr">
        <is>
          <t>TN</t>
        </is>
      </c>
      <c r="D803" s="20" t="inlineStr">
        <is>
          <t>TN07CP8980</t>
        </is>
      </c>
      <c r="E803" s="20" t="inlineStr">
        <is>
          <t>VOLKSWAGEN</t>
        </is>
      </c>
      <c r="F803" s="20" t="inlineStr">
        <is>
          <t>Ameo</t>
        </is>
      </c>
      <c r="G803" s="21" t="n">
        <v>2018</v>
      </c>
      <c r="H803" s="22" t="n">
        <v>130717</v>
      </c>
      <c r="I803" s="23" t="n">
        <v>320000</v>
      </c>
      <c r="J803" s="20" t="inlineStr">
        <is>
          <t>STEER AUTO TECHNOLOGIES PRIVATE LIMITED</t>
        </is>
      </c>
      <c r="K803" s="20" t="inlineStr">
        <is>
          <t>Non-Captive</t>
        </is>
      </c>
      <c r="L803" s="20" t="inlineStr">
        <is>
          <t>Kamal cars</t>
        </is>
      </c>
      <c r="M803" s="23" t="n">
        <v>4237.29</v>
      </c>
      <c r="N803" s="23" t="n">
        <v>5000</v>
      </c>
      <c r="O803" s="24">
        <f>IF(AND(ISNUMBER(M803), ISNUMBER(I803), I803&gt;0), M803/I803, "")</f>
        <v/>
      </c>
    </row>
    <row r="804">
      <c r="A804" s="19" t="inlineStr">
        <is>
          <t>FY26</t>
        </is>
      </c>
      <c r="B804" s="19" t="inlineStr">
        <is>
          <t>Mar</t>
        </is>
      </c>
      <c r="C804" s="19" t="inlineStr">
        <is>
          <t>TN</t>
        </is>
      </c>
      <c r="D804" s="20" t="inlineStr">
        <is>
          <t>TN07BK4651</t>
        </is>
      </c>
      <c r="E804" s="20" t="inlineStr">
        <is>
          <t>HYUNDAI</t>
        </is>
      </c>
      <c r="F804" s="20" t="inlineStr">
        <is>
          <t>I20</t>
        </is>
      </c>
      <c r="G804" s="21" t="n">
        <v>2010</v>
      </c>
      <c r="H804" s="22" t="n">
        <v>44004</v>
      </c>
      <c r="I804" s="23" t="n">
        <v>120000</v>
      </c>
      <c r="J804" s="20" t="inlineStr">
        <is>
          <t>STEER AUTO TECHNOLOGIES PRIVATE LIMITED</t>
        </is>
      </c>
      <c r="K804" s="20" t="inlineStr">
        <is>
          <t>Non-Captive</t>
        </is>
      </c>
      <c r="L804" s="20" t="inlineStr">
        <is>
          <t>Kamal cars</t>
        </is>
      </c>
      <c r="M804" s="23" t="n">
        <v>4237.29</v>
      </c>
      <c r="N804" s="23" t="n">
        <v>5000</v>
      </c>
      <c r="O804" s="24">
        <f>IF(AND(ISNUMBER(M804), ISNUMBER(I804), I804&gt;0), M804/I804, "")</f>
        <v/>
      </c>
    </row>
    <row r="805">
      <c r="A805" s="19" t="inlineStr">
        <is>
          <t>FY26</t>
        </is>
      </c>
      <c r="B805" s="19" t="inlineStr">
        <is>
          <t>Mar</t>
        </is>
      </c>
      <c r="C805" s="19" t="inlineStr">
        <is>
          <t>TN</t>
        </is>
      </c>
      <c r="D805" s="20" t="inlineStr">
        <is>
          <t>TN05BK2550</t>
        </is>
      </c>
      <c r="E805" s="20" t="inlineStr">
        <is>
          <t>HYUNDAI</t>
        </is>
      </c>
      <c r="F805" s="20" t="inlineStr">
        <is>
          <t>Grand I10</t>
        </is>
      </c>
      <c r="G805" s="21" t="n">
        <v>2016</v>
      </c>
      <c r="H805" s="22" t="n">
        <v>93454</v>
      </c>
      <c r="I805" s="23" t="n">
        <v>235000</v>
      </c>
      <c r="J805" s="20" t="inlineStr">
        <is>
          <t>STEER AUTO TECHNOLOGIES PRIVATE LIMITED</t>
        </is>
      </c>
      <c r="K805" s="20" t="inlineStr">
        <is>
          <t>Non-Captive</t>
        </is>
      </c>
      <c r="L805" s="20" t="inlineStr">
        <is>
          <t>Aasim Motor</t>
        </is>
      </c>
      <c r="M805" s="23" t="n">
        <v>4237.29</v>
      </c>
      <c r="N805" s="23" t="n">
        <v>5000</v>
      </c>
      <c r="O805" s="24">
        <f>IF(AND(ISNUMBER(M805), ISNUMBER(I805), I805&gt;0), M805/I805, "")</f>
        <v/>
      </c>
    </row>
    <row r="806">
      <c r="A806" s="19" t="inlineStr">
        <is>
          <t>FY26</t>
        </is>
      </c>
      <c r="B806" s="19" t="inlineStr">
        <is>
          <t>Mar</t>
        </is>
      </c>
      <c r="C806" s="19" t="inlineStr">
        <is>
          <t>TN</t>
        </is>
      </c>
      <c r="D806" s="20" t="inlineStr">
        <is>
          <t>TN02AX0756</t>
        </is>
      </c>
      <c r="E806" s="20" t="inlineStr">
        <is>
          <t>TOYOTA</t>
        </is>
      </c>
      <c r="F806" s="20" t="inlineStr">
        <is>
          <t>Etios</t>
        </is>
      </c>
      <c r="G806" s="21" t="n">
        <v>2013</v>
      </c>
      <c r="H806" s="22" t="n">
        <v>93454</v>
      </c>
      <c r="I806" s="23" t="n">
        <v>200000</v>
      </c>
      <c r="J806" s="20" t="inlineStr">
        <is>
          <t>CARS INDIA</t>
        </is>
      </c>
      <c r="K806" s="20" t="inlineStr">
        <is>
          <t>Non-Captive</t>
        </is>
      </c>
      <c r="L806" s="20" t="inlineStr">
        <is>
          <t>Pine Autos</t>
        </is>
      </c>
      <c r="M806" s="23" t="n">
        <v>3389.83</v>
      </c>
      <c r="N806" s="23" t="n">
        <v>4000</v>
      </c>
      <c r="O806" s="24">
        <f>IF(AND(ISNUMBER(M806), ISNUMBER(I806), I806&gt;0), M806/I806, "")</f>
        <v/>
      </c>
    </row>
    <row r="807">
      <c r="A807" s="19" t="inlineStr">
        <is>
          <t>FY26</t>
        </is>
      </c>
      <c r="B807" s="19" t="inlineStr">
        <is>
          <t>Mar</t>
        </is>
      </c>
      <c r="C807" s="19" t="inlineStr">
        <is>
          <t>TN</t>
        </is>
      </c>
      <c r="D807" s="20" t="inlineStr">
        <is>
          <t>TN07CJ4415</t>
        </is>
      </c>
      <c r="E807" s="20" t="inlineStr">
        <is>
          <t>MARUTI SUZUKI</t>
        </is>
      </c>
      <c r="F807" s="20" t="inlineStr">
        <is>
          <t>Ertiga</t>
        </is>
      </c>
      <c r="G807" s="21" t="n">
        <v>2017</v>
      </c>
      <c r="H807" s="22" t="n">
        <v>66428</v>
      </c>
      <c r="I807" s="23" t="n">
        <v>550000</v>
      </c>
      <c r="J807" s="20" t="inlineStr">
        <is>
          <t>CARS INDIA</t>
        </is>
      </c>
      <c r="K807" s="20" t="inlineStr">
        <is>
          <t>Non-Captive</t>
        </is>
      </c>
      <c r="L807" s="20" t="inlineStr">
        <is>
          <t>car Hub</t>
        </is>
      </c>
      <c r="M807" s="23" t="n">
        <v>4237.29</v>
      </c>
      <c r="N807" s="23" t="n">
        <v>5000</v>
      </c>
      <c r="O807" s="24">
        <f>IF(AND(ISNUMBER(M807), ISNUMBER(I807), I807&gt;0), M807/I807, "")</f>
        <v/>
      </c>
    </row>
    <row r="808">
      <c r="A808" s="19" t="inlineStr">
        <is>
          <t>FY26</t>
        </is>
      </c>
      <c r="B808" s="19" t="inlineStr">
        <is>
          <t>Mar</t>
        </is>
      </c>
      <c r="C808" s="19" t="inlineStr">
        <is>
          <t>TN</t>
        </is>
      </c>
      <c r="D808" s="20" t="inlineStr">
        <is>
          <t>TN02AR7256</t>
        </is>
      </c>
      <c r="E808" s="20" t="inlineStr">
        <is>
          <t>FORD</t>
        </is>
      </c>
      <c r="F808" s="20" t="inlineStr">
        <is>
          <t>Fiesta</t>
        </is>
      </c>
      <c r="G808" s="21" t="n">
        <v>2011</v>
      </c>
      <c r="H808" s="22" t="n">
        <v>84145</v>
      </c>
      <c r="I808" s="23" t="n">
        <v>80000</v>
      </c>
      <c r="J808" s="20" t="inlineStr">
        <is>
          <t>STEER AUTO TECHNOLOGIES PRIVATE LIMITED</t>
        </is>
      </c>
      <c r="K808" s="20" t="inlineStr">
        <is>
          <t>Non-Captive</t>
        </is>
      </c>
      <c r="L808" s="20" t="inlineStr">
        <is>
          <t>Pine Autos</t>
        </is>
      </c>
      <c r="M808" s="23" t="n">
        <v>3389.83</v>
      </c>
      <c r="N808" s="23" t="n">
        <v>4000</v>
      </c>
      <c r="O808" s="24">
        <f>IF(AND(ISNUMBER(M808), ISNUMBER(I808), I808&gt;0), M808/I808, "")</f>
        <v/>
      </c>
    </row>
    <row r="809">
      <c r="A809" s="19" t="inlineStr">
        <is>
          <t>FY26</t>
        </is>
      </c>
      <c r="B809" s="19" t="inlineStr">
        <is>
          <t>Mar</t>
        </is>
      </c>
      <c r="C809" s="19" t="inlineStr">
        <is>
          <t>TN</t>
        </is>
      </c>
      <c r="D809" s="20" t="inlineStr">
        <is>
          <t>TN10BB4150</t>
        </is>
      </c>
      <c r="E809" s="20" t="inlineStr">
        <is>
          <t>MARUTI SUZUKI</t>
        </is>
      </c>
      <c r="F809" s="20" t="inlineStr">
        <is>
          <t>Alto K10</t>
        </is>
      </c>
      <c r="G809" s="21" t="n">
        <v>2017</v>
      </c>
      <c r="H809" s="22" t="n">
        <v>99431</v>
      </c>
      <c r="I809" s="23" t="n">
        <v>120000</v>
      </c>
      <c r="J809" s="20" t="inlineStr">
        <is>
          <t>STEER AUTO TECHNOLOGIES PRIVATE LIMITED</t>
        </is>
      </c>
      <c r="K809" s="20" t="inlineStr">
        <is>
          <t>Non-Captive</t>
        </is>
      </c>
      <c r="L809" s="20" t="inlineStr">
        <is>
          <t>Pine Autos</t>
        </is>
      </c>
      <c r="M809" s="23" t="n">
        <v>3389.83</v>
      </c>
      <c r="N809" s="23" t="n">
        <v>4000</v>
      </c>
      <c r="O809" s="24">
        <f>IF(AND(ISNUMBER(M809), ISNUMBER(I809), I809&gt;0), M809/I809, "")</f>
        <v/>
      </c>
    </row>
    <row r="810">
      <c r="A810" s="19" t="inlineStr">
        <is>
          <t>FY26</t>
        </is>
      </c>
      <c r="B810" s="19" t="inlineStr">
        <is>
          <t>Mar</t>
        </is>
      </c>
      <c r="C810" s="19" t="inlineStr">
        <is>
          <t>TN</t>
        </is>
      </c>
      <c r="D810" s="20" t="inlineStr">
        <is>
          <t>TN02BR9331</t>
        </is>
      </c>
      <c r="E810" s="20" t="inlineStr">
        <is>
          <t>VOLKSWAGEN</t>
        </is>
      </c>
      <c r="F810" s="20" t="inlineStr">
        <is>
          <t>Vento</t>
        </is>
      </c>
      <c r="G810" s="21" t="n">
        <v>2019</v>
      </c>
      <c r="H810" s="22" t="n">
        <v>108684</v>
      </c>
      <c r="I810" s="23" t="n">
        <v>380000</v>
      </c>
      <c r="J810" s="20" t="inlineStr">
        <is>
          <t>STEER AUTO TECHNOLOGIES PRIVATE LIMITED</t>
        </is>
      </c>
      <c r="K810" s="20" t="inlineStr">
        <is>
          <t>Non-Captive</t>
        </is>
      </c>
      <c r="L810" s="20" t="inlineStr">
        <is>
          <t>Pine Autos</t>
        </is>
      </c>
      <c r="M810" s="23" t="n">
        <v>3389.83</v>
      </c>
      <c r="N810" s="23" t="n">
        <v>4000</v>
      </c>
      <c r="O810" s="24">
        <f>IF(AND(ISNUMBER(M810), ISNUMBER(I810), I810&gt;0), M810/I810, "")</f>
        <v/>
      </c>
    </row>
    <row r="811">
      <c r="A811" s="19" t="inlineStr">
        <is>
          <t>FY26</t>
        </is>
      </c>
      <c r="B811" s="19" t="inlineStr">
        <is>
          <t>Mar</t>
        </is>
      </c>
      <c r="C811" s="19" t="inlineStr">
        <is>
          <t>TN</t>
        </is>
      </c>
      <c r="D811" s="20" t="inlineStr">
        <is>
          <t>TN22EE5085</t>
        </is>
      </c>
      <c r="E811" s="20" t="inlineStr">
        <is>
          <t>TATA</t>
        </is>
      </c>
      <c r="F811" s="20" t="inlineStr">
        <is>
          <t>Punch</t>
        </is>
      </c>
      <c r="G811" s="21" t="n">
        <v>2025</v>
      </c>
      <c r="H811" s="22" t="n">
        <v>68844</v>
      </c>
      <c r="I811" s="23" t="n">
        <v>500000</v>
      </c>
      <c r="J811" s="20" t="inlineStr">
        <is>
          <t>STEER AUTO TECHNOLOGIES PRIVATE LIMITED</t>
        </is>
      </c>
      <c r="K811" s="20" t="inlineStr">
        <is>
          <t>Non-Captive</t>
        </is>
      </c>
      <c r="L811" s="20" t="inlineStr">
        <is>
          <t>car Hub</t>
        </is>
      </c>
      <c r="M811" s="23" t="n">
        <v>5084.75</v>
      </c>
      <c r="N811" s="23" t="n">
        <v>6000</v>
      </c>
      <c r="O811" s="24">
        <f>IF(AND(ISNUMBER(M811), ISNUMBER(I811), I811&gt;0), M811/I811, "")</f>
        <v/>
      </c>
    </row>
    <row r="812">
      <c r="A812" s="19" t="inlineStr">
        <is>
          <t>FY26</t>
        </is>
      </c>
      <c r="B812" s="19" t="inlineStr">
        <is>
          <t>Mar</t>
        </is>
      </c>
      <c r="C812" s="19" t="inlineStr">
        <is>
          <t>TN</t>
        </is>
      </c>
      <c r="D812" s="20" t="inlineStr">
        <is>
          <t>TN09DA9798</t>
        </is>
      </c>
      <c r="E812" s="20" t="inlineStr">
        <is>
          <t>VOLKSWAGEN</t>
        </is>
      </c>
      <c r="F812" s="20" t="inlineStr">
        <is>
          <t>Taigun</t>
        </is>
      </c>
      <c r="G812" s="21" t="n">
        <v>2022</v>
      </c>
      <c r="H812" s="22" t="n">
        <v>145493</v>
      </c>
      <c r="I812" s="23" t="n">
        <v>600000</v>
      </c>
      <c r="J812" s="20" t="inlineStr">
        <is>
          <t>STEER AUTO TECHNOLOGIES PRIVATE LIMITED</t>
        </is>
      </c>
      <c r="K812" s="20" t="inlineStr">
        <is>
          <t>Non-Captive</t>
        </is>
      </c>
      <c r="L812" s="20" t="inlineStr">
        <is>
          <t>car Hub</t>
        </is>
      </c>
      <c r="M812" s="23" t="n">
        <v>5084.75</v>
      </c>
      <c r="N812" s="23" t="n">
        <v>6000</v>
      </c>
      <c r="O812" s="24">
        <f>IF(AND(ISNUMBER(M812), ISNUMBER(I812), I812&gt;0), M812/I812, "")</f>
        <v/>
      </c>
    </row>
    <row r="813">
      <c r="A813" s="19" t="inlineStr">
        <is>
          <t>FY26</t>
        </is>
      </c>
      <c r="B813" s="19" t="inlineStr">
        <is>
          <t>Mar</t>
        </is>
      </c>
      <c r="C813" s="19" t="inlineStr">
        <is>
          <t>TN</t>
        </is>
      </c>
      <c r="D813" s="20" t="inlineStr">
        <is>
          <t>TN38BU7414</t>
        </is>
      </c>
      <c r="E813" s="20" t="inlineStr">
        <is>
          <t>HONDA</t>
        </is>
      </c>
      <c r="F813" s="20" t="inlineStr">
        <is>
          <t>Cr-V</t>
        </is>
      </c>
      <c r="G813" s="21" t="n">
        <v>2013</v>
      </c>
      <c r="H813" s="22" t="n">
        <v>73344</v>
      </c>
      <c r="I813" s="23" t="n">
        <v>535000</v>
      </c>
      <c r="J813" s="20" t="inlineStr">
        <is>
          <t>EXCHANGE ROTN</t>
        </is>
      </c>
      <c r="K813" s="20" t="inlineStr">
        <is>
          <t>Captive</t>
        </is>
      </c>
      <c r="L813" s="20" t="inlineStr">
        <is>
          <t>Dheera Cars</t>
        </is>
      </c>
      <c r="M813" s="23" t="n">
        <v>12711.86</v>
      </c>
      <c r="N813" s="23" t="n">
        <v>15000</v>
      </c>
      <c r="O813" s="24">
        <f>IF(AND(ISNUMBER(M813), ISNUMBER(I813), I813&gt;0), M813/I813, "")</f>
        <v/>
      </c>
    </row>
    <row r="814">
      <c r="A814" s="19" t="inlineStr">
        <is>
          <t>FY26</t>
        </is>
      </c>
      <c r="B814" s="19" t="inlineStr">
        <is>
          <t>Mar</t>
        </is>
      </c>
      <c r="C814" s="19" t="inlineStr">
        <is>
          <t>TN</t>
        </is>
      </c>
      <c r="D814" s="20" t="inlineStr">
        <is>
          <t>TN64AC0316</t>
        </is>
      </c>
      <c r="E814" s="20" t="inlineStr">
        <is>
          <t>HYUNDAI</t>
        </is>
      </c>
      <c r="F814" s="20" t="inlineStr">
        <is>
          <t>Grand I10</t>
        </is>
      </c>
      <c r="G814" s="21" t="n">
        <v>2024</v>
      </c>
      <c r="H814" s="22" t="n">
        <v>18457</v>
      </c>
      <c r="I814" s="23" t="n">
        <v>630000</v>
      </c>
      <c r="J814" s="20" t="inlineStr">
        <is>
          <t>EXCHANGE ROTN</t>
        </is>
      </c>
      <c r="K814" s="20" t="inlineStr">
        <is>
          <t>Captive</t>
        </is>
      </c>
      <c r="L814" s="20" t="inlineStr">
        <is>
          <t>FF Cars</t>
        </is>
      </c>
      <c r="M814" s="23" t="n">
        <v>8474.58</v>
      </c>
      <c r="N814" s="23" t="n">
        <v>10000</v>
      </c>
      <c r="O814" s="24">
        <f>IF(AND(ISNUMBER(M814), ISNUMBER(I814), I814&gt;0), M814/I814, "")</f>
        <v/>
      </c>
    </row>
    <row r="815">
      <c r="A815" s="19" t="inlineStr">
        <is>
          <t>FY26</t>
        </is>
      </c>
      <c r="B815" s="19" t="inlineStr">
        <is>
          <t>Mar</t>
        </is>
      </c>
      <c r="C815" s="19" t="inlineStr">
        <is>
          <t>TN</t>
        </is>
      </c>
      <c r="D815" s="20" t="inlineStr">
        <is>
          <t>TN02BB2503</t>
        </is>
      </c>
      <c r="E815" s="20" t="inlineStr">
        <is>
          <t>MARUTI SUZUKI</t>
        </is>
      </c>
      <c r="F815" s="20" t="inlineStr">
        <is>
          <t>Ciaz</t>
        </is>
      </c>
      <c r="G815" s="21" t="n">
        <v>2015</v>
      </c>
      <c r="H815" s="22" t="n">
        <v>40752</v>
      </c>
      <c r="I815" s="23" t="n">
        <v>375000</v>
      </c>
      <c r="J815" s="20" t="inlineStr">
        <is>
          <t>EXCHANGE CHENNAI</t>
        </is>
      </c>
      <c r="K815" s="20" t="inlineStr">
        <is>
          <t>Captive</t>
        </is>
      </c>
      <c r="L815" s="20" t="inlineStr">
        <is>
          <t>Nirmal Cars</t>
        </is>
      </c>
      <c r="M815" s="23" t="n">
        <v>8474.58</v>
      </c>
      <c r="N815" s="23" t="n">
        <v>10000</v>
      </c>
      <c r="O815" s="24">
        <f>IF(AND(ISNUMBER(M815), ISNUMBER(I815), I815&gt;0), M815/I815, "")</f>
        <v/>
      </c>
    </row>
    <row r="816">
      <c r="A816" s="19" t="inlineStr">
        <is>
          <t>FY26</t>
        </is>
      </c>
      <c r="B816" s="19" t="inlineStr">
        <is>
          <t>Mar</t>
        </is>
      </c>
      <c r="C816" s="19" t="inlineStr">
        <is>
          <t>TN</t>
        </is>
      </c>
      <c r="D816" s="20" t="inlineStr">
        <is>
          <t>TN06T7205</t>
        </is>
      </c>
      <c r="E816" s="20" t="inlineStr">
        <is>
          <t>MARUTI SUZUKI</t>
        </is>
      </c>
      <c r="F816" s="20" t="inlineStr">
        <is>
          <t>Baleno</t>
        </is>
      </c>
      <c r="G816" s="21" t="n">
        <v>2017</v>
      </c>
      <c r="H816" s="22" t="n"/>
      <c r="I816" s="23" t="n">
        <v>410000</v>
      </c>
      <c r="J816" s="20" t="inlineStr">
        <is>
          <t>EXCHANGE CHENNAI</t>
        </is>
      </c>
      <c r="K816" s="20" t="inlineStr">
        <is>
          <t>Captive</t>
        </is>
      </c>
      <c r="L816" s="20" t="inlineStr">
        <is>
          <t>Santhosh Cars</t>
        </is>
      </c>
      <c r="M816" s="23" t="n">
        <v>8474.58</v>
      </c>
      <c r="N816" s="23" t="n">
        <v>10000</v>
      </c>
      <c r="O816" s="24">
        <f>IF(AND(ISNUMBER(M816), ISNUMBER(I816), I816&gt;0), M816/I816, "")</f>
        <v/>
      </c>
    </row>
    <row r="817">
      <c r="A817" s="19" t="inlineStr">
        <is>
          <t>FY26</t>
        </is>
      </c>
      <c r="B817" s="19" t="inlineStr">
        <is>
          <t>Mar</t>
        </is>
      </c>
      <c r="C817" s="19" t="inlineStr">
        <is>
          <t>TN</t>
        </is>
      </c>
      <c r="D817" s="20" t="inlineStr">
        <is>
          <t>TN07BK3244</t>
        </is>
      </c>
      <c r="E817" s="20" t="inlineStr">
        <is>
          <t>HYUNDAI</t>
        </is>
      </c>
      <c r="F817" s="20" t="inlineStr">
        <is>
          <t>Santro</t>
        </is>
      </c>
      <c r="G817" s="21" t="n">
        <v>2010</v>
      </c>
      <c r="H817" s="22" t="n"/>
      <c r="I817" s="23" t="n">
        <v>100000</v>
      </c>
      <c r="J817" s="20" t="inlineStr">
        <is>
          <t>EXCHANGE CHENNAI</t>
        </is>
      </c>
      <c r="K817" s="20" t="inlineStr">
        <is>
          <t>Captive</t>
        </is>
      </c>
      <c r="L817" s="20" t="inlineStr">
        <is>
          <t>Santhosh Cars</t>
        </is>
      </c>
      <c r="M817" s="23" t="n">
        <v>4237.29</v>
      </c>
      <c r="N817" s="23" t="n">
        <v>5000</v>
      </c>
      <c r="O817" s="24">
        <f>IF(AND(ISNUMBER(M817), ISNUMBER(I817), I817&gt;0), M817/I817, "")</f>
        <v/>
      </c>
    </row>
    <row r="818">
      <c r="A818" s="19" t="inlineStr">
        <is>
          <t>FY26</t>
        </is>
      </c>
      <c r="B818" s="19" t="inlineStr">
        <is>
          <t>Mar</t>
        </is>
      </c>
      <c r="C818" s="19" t="inlineStr">
        <is>
          <t>TN</t>
        </is>
      </c>
      <c r="D818" s="20" t="inlineStr">
        <is>
          <t>TN02BF6507</t>
        </is>
      </c>
      <c r="E818" s="20" t="inlineStr">
        <is>
          <t>MARUTI SUZUKI</t>
        </is>
      </c>
      <c r="F818" s="20" t="inlineStr">
        <is>
          <t>Celerio</t>
        </is>
      </c>
      <c r="G818" s="21" t="n">
        <v>2016</v>
      </c>
      <c r="H818" s="22" t="n">
        <v>73503</v>
      </c>
      <c r="I818" s="23" t="n">
        <v>250000</v>
      </c>
      <c r="J818" s="20" t="inlineStr">
        <is>
          <t>POPULAR VEHICLES AND SERVICES LIMITED</t>
        </is>
      </c>
      <c r="K818" s="20" t="inlineStr">
        <is>
          <t>Non-Captive</t>
        </is>
      </c>
      <c r="L818" s="20" t="inlineStr">
        <is>
          <t>Aasim Motor</t>
        </is>
      </c>
      <c r="M818" s="23" t="n">
        <v>4237.29</v>
      </c>
      <c r="N818" s="23" t="n">
        <v>5000</v>
      </c>
      <c r="O818" s="24">
        <f>IF(AND(ISNUMBER(M818), ISNUMBER(I818), I818&gt;0), M818/I818, "")</f>
        <v/>
      </c>
    </row>
    <row r="819">
      <c r="A819" s="19" t="inlineStr">
        <is>
          <t>FY26</t>
        </is>
      </c>
      <c r="B819" s="19" t="inlineStr">
        <is>
          <t>Mar</t>
        </is>
      </c>
      <c r="C819" s="19" t="inlineStr">
        <is>
          <t>TN</t>
        </is>
      </c>
      <c r="D819" s="20" t="inlineStr">
        <is>
          <t>TN06J7467</t>
        </is>
      </c>
      <c r="E819" s="20" t="inlineStr">
        <is>
          <t>SKODA</t>
        </is>
      </c>
      <c r="F819" s="20" t="inlineStr">
        <is>
          <t>nan</t>
        </is>
      </c>
      <c r="G819" s="21" t="n">
        <v>2013</v>
      </c>
      <c r="H819" s="22" t="n">
        <v>90456</v>
      </c>
      <c r="I819" s="23" t="n">
        <v>175000</v>
      </c>
      <c r="J819" s="20" t="inlineStr">
        <is>
          <t>POPULAR VEHICLES AND SERVICES LIMITED</t>
        </is>
      </c>
      <c r="K819" s="20" t="inlineStr">
        <is>
          <t>Non-Captive</t>
        </is>
      </c>
      <c r="L819" s="20" t="inlineStr">
        <is>
          <t>kamal Cars</t>
        </is>
      </c>
      <c r="M819" s="23" t="n">
        <v>4237.29</v>
      </c>
      <c r="N819" s="23" t="n">
        <v>5000</v>
      </c>
      <c r="O819" s="24">
        <f>IF(AND(ISNUMBER(M819), ISNUMBER(I819), I819&gt;0), M819/I819, "")</f>
        <v/>
      </c>
    </row>
    <row r="820">
      <c r="A820" s="19" t="inlineStr">
        <is>
          <t>FY26</t>
        </is>
      </c>
      <c r="B820" s="19" t="inlineStr">
        <is>
          <t>Mar</t>
        </is>
      </c>
      <c r="C820" s="19" t="inlineStr">
        <is>
          <t>TN</t>
        </is>
      </c>
      <c r="D820" s="20" t="inlineStr">
        <is>
          <t>TN01AZ2866</t>
        </is>
      </c>
      <c r="E820" s="20" t="inlineStr">
        <is>
          <t>MARUTI SUZUKI</t>
        </is>
      </c>
      <c r="F820" s="20" t="inlineStr">
        <is>
          <t>Swift</t>
        </is>
      </c>
      <c r="G820" s="21" t="n">
        <v>2015</v>
      </c>
      <c r="H820" s="22" t="n">
        <v>131300</v>
      </c>
      <c r="I820" s="23" t="n">
        <v>350000</v>
      </c>
      <c r="J820" s="20" t="inlineStr">
        <is>
          <t>Santhosh Cars</t>
        </is>
      </c>
      <c r="K820" s="20" t="inlineStr">
        <is>
          <t>Non-Captive</t>
        </is>
      </c>
      <c r="L820" s="20" t="inlineStr">
        <is>
          <t>Aasim Motor</t>
        </is>
      </c>
      <c r="M820" s="23" t="n">
        <v>4237.29</v>
      </c>
      <c r="N820" s="23" t="n">
        <v>5000</v>
      </c>
      <c r="O820" s="24">
        <f>IF(AND(ISNUMBER(M820), ISNUMBER(I820), I820&gt;0), M820/I820, "")</f>
        <v/>
      </c>
    </row>
    <row r="821">
      <c r="A821" s="19" t="inlineStr">
        <is>
          <t>FY26</t>
        </is>
      </c>
      <c r="B821" s="19" t="inlineStr">
        <is>
          <t>Mar</t>
        </is>
      </c>
      <c r="C821" s="19" t="inlineStr">
        <is>
          <t>TN</t>
        </is>
      </c>
      <c r="D821" s="20" t="inlineStr">
        <is>
          <t>TN11AF5339</t>
        </is>
      </c>
      <c r="E821" s="20" t="inlineStr">
        <is>
          <t>MARUTI SUZUKI</t>
        </is>
      </c>
      <c r="F821" s="20" t="inlineStr">
        <is>
          <t>Wagon R</t>
        </is>
      </c>
      <c r="G821" s="21" t="n">
        <v>2018</v>
      </c>
      <c r="H821" s="22" t="n">
        <v>51025</v>
      </c>
      <c r="I821" s="23" t="n">
        <v>260000</v>
      </c>
      <c r="J821" s="20" t="inlineStr">
        <is>
          <t>Santhosh Cars</t>
        </is>
      </c>
      <c r="K821" s="20" t="inlineStr">
        <is>
          <t>Non-Captive</t>
        </is>
      </c>
      <c r="L821" s="20" t="inlineStr">
        <is>
          <t>kamal Cars</t>
        </is>
      </c>
      <c r="M821" s="23" t="n">
        <v>4237.29</v>
      </c>
      <c r="N821" s="23" t="n">
        <v>5000</v>
      </c>
      <c r="O821" s="24">
        <f>IF(AND(ISNUMBER(M821), ISNUMBER(I821), I821&gt;0), M821/I821, "")</f>
        <v/>
      </c>
    </row>
    <row r="822">
      <c r="A822" s="19" t="inlineStr">
        <is>
          <t>FY26</t>
        </is>
      </c>
      <c r="B822" s="19" t="inlineStr">
        <is>
          <t>Mar</t>
        </is>
      </c>
      <c r="C822" s="19" t="inlineStr">
        <is>
          <t>TN</t>
        </is>
      </c>
      <c r="D822" s="20" t="inlineStr">
        <is>
          <t>TN22CL1679</t>
        </is>
      </c>
      <c r="E822" s="20" t="inlineStr">
        <is>
          <t>MARUTI SUZUKI</t>
        </is>
      </c>
      <c r="F822" s="20" t="inlineStr">
        <is>
          <t>Eeco</t>
        </is>
      </c>
      <c r="G822" s="21" t="n">
        <v>2013</v>
      </c>
      <c r="H822" s="22" t="n">
        <v>19437</v>
      </c>
      <c r="I822" s="23" t="n">
        <v>200000</v>
      </c>
      <c r="J822" s="20" t="inlineStr">
        <is>
          <t>Santhosh Cars</t>
        </is>
      </c>
      <c r="K822" s="20" t="inlineStr">
        <is>
          <t>Non-Captive</t>
        </is>
      </c>
      <c r="L822" s="20" t="inlineStr">
        <is>
          <t>kamal Cars</t>
        </is>
      </c>
      <c r="M822" s="23" t="n">
        <v>4237.29</v>
      </c>
      <c r="N822" s="23" t="n">
        <v>5000</v>
      </c>
      <c r="O822" s="24">
        <f>IF(AND(ISNUMBER(M822), ISNUMBER(I822), I822&gt;0), M822/I822, "")</f>
        <v/>
      </c>
    </row>
    <row r="823">
      <c r="A823" s="19" t="inlineStr">
        <is>
          <t>FY26</t>
        </is>
      </c>
      <c r="B823" s="19" t="inlineStr">
        <is>
          <t>Mar</t>
        </is>
      </c>
      <c r="C823" s="19" t="inlineStr">
        <is>
          <t>TN</t>
        </is>
      </c>
      <c r="D823" s="20" t="inlineStr">
        <is>
          <t>TN09BB1527</t>
        </is>
      </c>
      <c r="E823" s="20" t="inlineStr">
        <is>
          <t>MARUTI SUZUKI</t>
        </is>
      </c>
      <c r="F823" s="20" t="inlineStr">
        <is>
          <t>Wagon R</t>
        </is>
      </c>
      <c r="G823" s="21" t="n">
        <v>2009</v>
      </c>
      <c r="H823" s="22" t="n">
        <v>105017</v>
      </c>
      <c r="I823" s="23" t="n">
        <v>90000</v>
      </c>
      <c r="J823" s="20" t="inlineStr">
        <is>
          <t>Santhosh Cars</t>
        </is>
      </c>
      <c r="K823" s="20" t="inlineStr">
        <is>
          <t>Non-Captive</t>
        </is>
      </c>
      <c r="L823" s="20" t="inlineStr">
        <is>
          <t>kamal Cars</t>
        </is>
      </c>
      <c r="M823" s="23" t="n">
        <v>4237.29</v>
      </c>
      <c r="N823" s="23" t="n">
        <v>5000</v>
      </c>
      <c r="O823" s="24">
        <f>IF(AND(ISNUMBER(M823), ISNUMBER(I823), I823&gt;0), M823/I823, "")</f>
        <v/>
      </c>
    </row>
    <row r="824">
      <c r="A824" s="19" t="inlineStr">
        <is>
          <t>FY26</t>
        </is>
      </c>
      <c r="B824" s="19" t="inlineStr">
        <is>
          <t>Mar</t>
        </is>
      </c>
      <c r="C824" s="19" t="inlineStr">
        <is>
          <t>TN</t>
        </is>
      </c>
      <c r="D824" s="20" t="inlineStr">
        <is>
          <t>TN05BK0752</t>
        </is>
      </c>
      <c r="E824" s="20" t="inlineStr">
        <is>
          <t>MARUTI SUZUKI</t>
        </is>
      </c>
      <c r="F824" s="20" t="inlineStr">
        <is>
          <t>Celerio</t>
        </is>
      </c>
      <c r="G824" s="21" t="n">
        <v>2017</v>
      </c>
      <c r="H824" s="22" t="n">
        <v>119028</v>
      </c>
      <c r="I824" s="23" t="n">
        <v>220000</v>
      </c>
      <c r="J824" s="20" t="inlineStr">
        <is>
          <t>Santhosh Cars</t>
        </is>
      </c>
      <c r="K824" s="20" t="inlineStr">
        <is>
          <t>Non-Captive</t>
        </is>
      </c>
      <c r="L824" s="20" t="inlineStr">
        <is>
          <t>Aasim Motor</t>
        </is>
      </c>
      <c r="M824" s="23" t="n">
        <v>4237.29</v>
      </c>
      <c r="N824" s="23" t="n">
        <v>5000</v>
      </c>
      <c r="O824" s="24">
        <f>IF(AND(ISNUMBER(M824), ISNUMBER(I824), I824&gt;0), M824/I824, "")</f>
        <v/>
      </c>
    </row>
    <row r="825">
      <c r="A825" s="19" t="inlineStr">
        <is>
          <t>FY26</t>
        </is>
      </c>
      <c r="B825" s="19" t="inlineStr">
        <is>
          <t>Mar</t>
        </is>
      </c>
      <c r="C825" s="19" t="inlineStr">
        <is>
          <t>TN</t>
        </is>
      </c>
      <c r="D825" s="20" t="inlineStr">
        <is>
          <t>TN38AZ1679</t>
        </is>
      </c>
      <c r="E825" s="20" t="inlineStr">
        <is>
          <t>HYUNDAI</t>
        </is>
      </c>
      <c r="F825" s="20" t="inlineStr">
        <is>
          <t>Santro</t>
        </is>
      </c>
      <c r="G825" s="21" t="n">
        <v>2009</v>
      </c>
      <c r="H825" s="22" t="n">
        <v>211051</v>
      </c>
      <c r="I825" s="23" t="n">
        <v>55000</v>
      </c>
      <c r="J825" s="20" t="inlineStr">
        <is>
          <t>Santhosh Cars</t>
        </is>
      </c>
      <c r="K825" s="20" t="inlineStr">
        <is>
          <t>Non-Captive</t>
        </is>
      </c>
      <c r="L825" s="20" t="inlineStr">
        <is>
          <t>car Hub</t>
        </is>
      </c>
      <c r="M825" s="23" t="n">
        <v>3389.83</v>
      </c>
      <c r="N825" s="23" t="n">
        <v>4000</v>
      </c>
      <c r="O825" s="24">
        <f>IF(AND(ISNUMBER(M825), ISNUMBER(I825), I825&gt;0), M825/I825, "")</f>
        <v/>
      </c>
    </row>
    <row r="826">
      <c r="A826" s="19" t="inlineStr">
        <is>
          <t>FY26</t>
        </is>
      </c>
      <c r="B826" s="19" t="inlineStr">
        <is>
          <t>Mar</t>
        </is>
      </c>
      <c r="C826" s="19" t="inlineStr">
        <is>
          <t>TN</t>
        </is>
      </c>
      <c r="D826" s="20" t="inlineStr">
        <is>
          <t>TN02AV8493</t>
        </is>
      </c>
      <c r="E826" s="20" t="inlineStr">
        <is>
          <t>MARUTI SUZUKI</t>
        </is>
      </c>
      <c r="F826" s="20" t="inlineStr">
        <is>
          <t>Swift</t>
        </is>
      </c>
      <c r="G826" s="21" t="n">
        <v>2012</v>
      </c>
      <c r="H826" s="22" t="n">
        <v>55287</v>
      </c>
      <c r="I826" s="23" t="n">
        <v>250000</v>
      </c>
      <c r="J826" s="20" t="inlineStr">
        <is>
          <t>Santhosh Cars</t>
        </is>
      </c>
      <c r="K826" s="20" t="inlineStr">
        <is>
          <t>Non-Captive</t>
        </is>
      </c>
      <c r="L826" s="20" t="inlineStr">
        <is>
          <t>Thiya Cars</t>
        </is>
      </c>
      <c r="M826" s="23" t="n">
        <v>5932.2</v>
      </c>
      <c r="N826" s="23" t="n">
        <v>7000</v>
      </c>
      <c r="O826" s="24">
        <f>IF(AND(ISNUMBER(M826), ISNUMBER(I826), I826&gt;0), M826/I826, "")</f>
        <v/>
      </c>
    </row>
    <row r="827">
      <c r="A827" s="19" t="inlineStr">
        <is>
          <t>FY26</t>
        </is>
      </c>
      <c r="B827" s="19" t="inlineStr">
        <is>
          <t>Mar</t>
        </is>
      </c>
      <c r="C827" s="19" t="inlineStr">
        <is>
          <t>TN</t>
        </is>
      </c>
      <c r="D827" s="20" t="inlineStr">
        <is>
          <t>TN10Z7700</t>
        </is>
      </c>
      <c r="E827" s="20" t="inlineStr">
        <is>
          <t>MAHINDRA</t>
        </is>
      </c>
      <c r="F827" s="20" t="inlineStr">
        <is>
          <t>Scorpio</t>
        </is>
      </c>
      <c r="G827" s="21" t="n">
        <v>2010</v>
      </c>
      <c r="H827" s="22" t="n">
        <v>33471</v>
      </c>
      <c r="I827" s="23" t="n">
        <v>200000</v>
      </c>
      <c r="J827" s="20" t="inlineStr">
        <is>
          <t>Santhosh Cars</t>
        </is>
      </c>
      <c r="K827" s="20" t="inlineStr">
        <is>
          <t>Non-Captive</t>
        </is>
      </c>
      <c r="L827" s="20" t="inlineStr">
        <is>
          <t>Santhosh Cars</t>
        </is>
      </c>
      <c r="M827" s="23" t="n">
        <v>4237.29</v>
      </c>
      <c r="N827" s="23" t="n">
        <v>5000</v>
      </c>
      <c r="O827" s="24">
        <f>IF(AND(ISNUMBER(M827), ISNUMBER(I827), I827&gt;0), M827/I827, "")</f>
        <v/>
      </c>
    </row>
    <row r="828">
      <c r="A828" s="19" t="inlineStr">
        <is>
          <t>FY26</t>
        </is>
      </c>
      <c r="B828" s="19" t="inlineStr">
        <is>
          <t>Mar</t>
        </is>
      </c>
      <c r="C828" s="19" t="inlineStr">
        <is>
          <t>TN</t>
        </is>
      </c>
      <c r="D828" s="20" t="inlineStr">
        <is>
          <t>TN20AK7033</t>
        </is>
      </c>
      <c r="E828" s="20" t="inlineStr">
        <is>
          <t>TATA</t>
        </is>
      </c>
      <c r="F828" s="20" t="inlineStr">
        <is>
          <t>Indigo</t>
        </is>
      </c>
      <c r="G828" s="21" t="n">
        <v>2008</v>
      </c>
      <c r="H828" s="22" t="n">
        <v>114470</v>
      </c>
      <c r="I828" s="23" t="n">
        <v>75000</v>
      </c>
      <c r="J828" s="20" t="inlineStr">
        <is>
          <t>Santhosh Cars</t>
        </is>
      </c>
      <c r="K828" s="20" t="inlineStr">
        <is>
          <t>Non-Captive</t>
        </is>
      </c>
      <c r="L828" s="20" t="inlineStr">
        <is>
          <t>Santhosh Cars</t>
        </is>
      </c>
      <c r="M828" s="23" t="n">
        <v>4237.29</v>
      </c>
      <c r="N828" s="23" t="n">
        <v>5000</v>
      </c>
      <c r="O828" s="24">
        <f>IF(AND(ISNUMBER(M828), ISNUMBER(I828), I828&gt;0), M828/I828, "")</f>
        <v/>
      </c>
    </row>
    <row r="829">
      <c r="A829" s="19" t="inlineStr">
        <is>
          <t>FY26</t>
        </is>
      </c>
      <c r="B829" s="19" t="inlineStr">
        <is>
          <t>Mar</t>
        </is>
      </c>
      <c r="C829" s="19" t="inlineStr">
        <is>
          <t>TN</t>
        </is>
      </c>
      <c r="D829" s="20" t="inlineStr">
        <is>
          <t>TN24L7778</t>
        </is>
      </c>
      <c r="E829" s="20" t="inlineStr">
        <is>
          <t>MARUTI SUZUKI</t>
        </is>
      </c>
      <c r="F829" s="20" t="inlineStr">
        <is>
          <t>Wagon R</t>
        </is>
      </c>
      <c r="G829" s="21" t="n">
        <v>2012</v>
      </c>
      <c r="H829" s="22" t="n">
        <v>165817</v>
      </c>
      <c r="I829" s="23" t="n">
        <v>160000</v>
      </c>
      <c r="J829" s="20" t="inlineStr">
        <is>
          <t>Santhosh Cars</t>
        </is>
      </c>
      <c r="K829" s="20" t="inlineStr">
        <is>
          <t>Non-Captive</t>
        </is>
      </c>
      <c r="L829" s="20" t="inlineStr">
        <is>
          <t>Aasim Motor</t>
        </is>
      </c>
      <c r="M829" s="23" t="n">
        <v>3389.83</v>
      </c>
      <c r="N829" s="23" t="n">
        <v>4000</v>
      </c>
      <c r="O829" s="24">
        <f>IF(AND(ISNUMBER(M829), ISNUMBER(I829), I829&gt;0), M829/I829, "")</f>
        <v/>
      </c>
    </row>
    <row r="830">
      <c r="A830" s="19" t="inlineStr">
        <is>
          <t>FY26</t>
        </is>
      </c>
      <c r="B830" s="19" t="inlineStr">
        <is>
          <t>Mar</t>
        </is>
      </c>
      <c r="C830" s="19" t="inlineStr">
        <is>
          <t>TN</t>
        </is>
      </c>
      <c r="D830" s="20" t="inlineStr">
        <is>
          <t>TN01BB9684</t>
        </is>
      </c>
      <c r="E830" s="20" t="inlineStr">
        <is>
          <t>HYUNDAI</t>
        </is>
      </c>
      <c r="F830" s="20" t="inlineStr">
        <is>
          <t>I20</t>
        </is>
      </c>
      <c r="G830" s="21" t="n">
        <v>2017</v>
      </c>
      <c r="H830" s="22" t="n">
        <v>46937</v>
      </c>
      <c r="I830" s="23" t="n">
        <v>420000</v>
      </c>
      <c r="J830" s="20" t="inlineStr">
        <is>
          <t>KALYANIMOTORS MARUTHI</t>
        </is>
      </c>
      <c r="K830" s="20" t="inlineStr">
        <is>
          <t>Non-Captive</t>
        </is>
      </c>
      <c r="L830" s="20" t="inlineStr">
        <is>
          <t>Nirmal Cars</t>
        </is>
      </c>
      <c r="M830" s="23" t="n">
        <v>4237.29</v>
      </c>
      <c r="N830" s="23" t="n">
        <v>5000</v>
      </c>
      <c r="O830" s="24">
        <f>IF(AND(ISNUMBER(M830), ISNUMBER(I830), I830&gt;0), M830/I830, "")</f>
        <v/>
      </c>
    </row>
    <row r="831">
      <c r="A831" s="19" t="inlineStr">
        <is>
          <t>FY26</t>
        </is>
      </c>
      <c r="B831" s="19" t="inlineStr">
        <is>
          <t>Mar</t>
        </is>
      </c>
      <c r="C831" s="19" t="inlineStr">
        <is>
          <t>TN</t>
        </is>
      </c>
      <c r="D831" s="20" t="inlineStr">
        <is>
          <t>TN01Y2485</t>
        </is>
      </c>
      <c r="E831" s="20" t="inlineStr">
        <is>
          <t>MARUTI SUZUKI</t>
        </is>
      </c>
      <c r="F831" s="20" t="inlineStr">
        <is>
          <t>Zen</t>
        </is>
      </c>
      <c r="G831" s="21" t="n">
        <v>2004</v>
      </c>
      <c r="H831" s="22" t="n">
        <v>13027</v>
      </c>
      <c r="I831" s="23" t="n">
        <v>120000</v>
      </c>
      <c r="J831" s="20" t="inlineStr">
        <is>
          <t>KALYANIMOTORS MARUTHI</t>
        </is>
      </c>
      <c r="K831" s="20" t="inlineStr">
        <is>
          <t>Non-Captive</t>
        </is>
      </c>
      <c r="L831" s="20" t="inlineStr">
        <is>
          <t>Nirmal Cars</t>
        </is>
      </c>
      <c r="M831" s="23" t="n">
        <v>4237.29</v>
      </c>
      <c r="N831" s="23" t="n">
        <v>5000</v>
      </c>
      <c r="O831" s="24">
        <f>IF(AND(ISNUMBER(M831), ISNUMBER(I831), I831&gt;0), M831/I831, "")</f>
        <v/>
      </c>
    </row>
    <row r="832">
      <c r="A832" s="19" t="inlineStr">
        <is>
          <t>FY26</t>
        </is>
      </c>
      <c r="B832" s="19" t="inlineStr">
        <is>
          <t>Mar</t>
        </is>
      </c>
      <c r="C832" s="19" t="inlineStr">
        <is>
          <t>TN</t>
        </is>
      </c>
      <c r="D832" s="20" t="inlineStr">
        <is>
          <t>TN02BJ2223</t>
        </is>
      </c>
      <c r="E832" s="20" t="inlineStr">
        <is>
          <t>MARUTI SUZUKI</t>
        </is>
      </c>
      <c r="F832" s="20" t="inlineStr">
        <is>
          <t>Baleno</t>
        </is>
      </c>
      <c r="G832" s="21" t="n">
        <v>2017</v>
      </c>
      <c r="H832" s="22" t="n">
        <v>58162</v>
      </c>
      <c r="I832" s="23" t="n">
        <v>400000</v>
      </c>
      <c r="J832" s="20" t="inlineStr">
        <is>
          <t>KALYANIMOTORS MARUTHI</t>
        </is>
      </c>
      <c r="K832" s="20" t="inlineStr">
        <is>
          <t>Non-Captive</t>
        </is>
      </c>
      <c r="L832" s="20" t="inlineStr">
        <is>
          <t>Nirmal Cars</t>
        </is>
      </c>
      <c r="M832" s="23" t="n">
        <v>4237.29</v>
      </c>
      <c r="N832" s="23" t="n">
        <v>5000</v>
      </c>
      <c r="O832" s="24">
        <f>IF(AND(ISNUMBER(M832), ISNUMBER(I832), I832&gt;0), M832/I832, "")</f>
        <v/>
      </c>
    </row>
    <row r="833">
      <c r="A833" s="19" t="inlineStr">
        <is>
          <t>FY26</t>
        </is>
      </c>
      <c r="B833" s="19" t="inlineStr">
        <is>
          <t>Mar</t>
        </is>
      </c>
      <c r="C833" s="19" t="inlineStr">
        <is>
          <t>TN</t>
        </is>
      </c>
      <c r="D833" s="20" t="inlineStr">
        <is>
          <t>TN20CJ5835</t>
        </is>
      </c>
      <c r="E833" s="20" t="inlineStr">
        <is>
          <t>MARUTI SUZUKI</t>
        </is>
      </c>
      <c r="F833" s="20" t="inlineStr">
        <is>
          <t>Wagon R</t>
        </is>
      </c>
      <c r="G833" s="21" t="n">
        <v>2016</v>
      </c>
      <c r="H833" s="22" t="n">
        <v>49200</v>
      </c>
      <c r="I833" s="23" t="n">
        <v>294000</v>
      </c>
      <c r="J833" s="20" t="inlineStr">
        <is>
          <t>Khivraj Motor</t>
        </is>
      </c>
      <c r="K833" s="20" t="inlineStr">
        <is>
          <t>Non-Captive</t>
        </is>
      </c>
      <c r="L833" s="20" t="inlineStr">
        <is>
          <t>Value Drive Tecnologies</t>
        </is>
      </c>
      <c r="M833" s="23" t="n">
        <v>5084.75</v>
      </c>
      <c r="N833" s="23" t="n">
        <v>6000</v>
      </c>
      <c r="O833" s="24">
        <f>IF(AND(ISNUMBER(M833), ISNUMBER(I833), I833&gt;0), M833/I833, "")</f>
        <v/>
      </c>
    </row>
    <row r="834">
      <c r="A834" s="19" t="inlineStr">
        <is>
          <t>FY26</t>
        </is>
      </c>
      <c r="B834" s="19" t="inlineStr">
        <is>
          <t>Mar</t>
        </is>
      </c>
      <c r="C834" s="19" t="inlineStr">
        <is>
          <t>TN</t>
        </is>
      </c>
      <c r="D834" s="20" t="inlineStr">
        <is>
          <t>TN09BQ5031</t>
        </is>
      </c>
      <c r="E834" s="20" t="inlineStr">
        <is>
          <t>HYUNDAI</t>
        </is>
      </c>
      <c r="F834" s="20" t="inlineStr">
        <is>
          <t>Verna</t>
        </is>
      </c>
      <c r="G834" s="21" t="n">
        <v>2012</v>
      </c>
      <c r="H834" s="22" t="n">
        <v>47594</v>
      </c>
      <c r="I834" s="23" t="n">
        <v>270000</v>
      </c>
      <c r="J834" s="20" t="inlineStr">
        <is>
          <t>Khivraj Motor</t>
        </is>
      </c>
      <c r="K834" s="20" t="inlineStr">
        <is>
          <t>Non-Captive</t>
        </is>
      </c>
      <c r="L834" s="20" t="inlineStr">
        <is>
          <t>Nirmal Cars</t>
        </is>
      </c>
      <c r="M834" s="23" t="n">
        <v>5084.75</v>
      </c>
      <c r="N834" s="23" t="n">
        <v>6000</v>
      </c>
      <c r="O834" s="24">
        <f>IF(AND(ISNUMBER(M834), ISNUMBER(I834), I834&gt;0), M834/I834, "")</f>
        <v/>
      </c>
    </row>
    <row r="835">
      <c r="A835" s="19" t="inlineStr">
        <is>
          <t>FY26</t>
        </is>
      </c>
      <c r="B835" s="19" t="inlineStr">
        <is>
          <t>Mar</t>
        </is>
      </c>
      <c r="C835" s="19" t="inlineStr">
        <is>
          <t>TN</t>
        </is>
      </c>
      <c r="D835" s="20" t="inlineStr">
        <is>
          <t>TN20BF6243</t>
        </is>
      </c>
      <c r="E835" s="20" t="inlineStr">
        <is>
          <t>MARUTI SUZUKI</t>
        </is>
      </c>
      <c r="F835" s="20" t="inlineStr">
        <is>
          <t>Swift</t>
        </is>
      </c>
      <c r="G835" s="21" t="n">
        <v>2011</v>
      </c>
      <c r="H835" s="22" t="n">
        <v>157352</v>
      </c>
      <c r="I835" s="23" t="n">
        <v>180000</v>
      </c>
      <c r="J835" s="20" t="inlineStr">
        <is>
          <t>Khivraj Motor</t>
        </is>
      </c>
      <c r="K835" s="20" t="inlineStr">
        <is>
          <t>Non-Captive</t>
        </is>
      </c>
      <c r="L835" s="20" t="inlineStr">
        <is>
          <t>S2 cars</t>
        </is>
      </c>
      <c r="M835" s="23" t="n">
        <v>5084.75</v>
      </c>
      <c r="N835" s="23" t="n">
        <v>6000</v>
      </c>
      <c r="O835" s="24">
        <f>IF(AND(ISNUMBER(M835), ISNUMBER(I835), I835&gt;0), M835/I835, "")</f>
        <v/>
      </c>
    </row>
    <row r="836">
      <c r="A836" s="19" t="inlineStr">
        <is>
          <t>FY26</t>
        </is>
      </c>
      <c r="B836" s="19" t="inlineStr">
        <is>
          <t>Mar</t>
        </is>
      </c>
      <c r="C836" s="19" t="inlineStr">
        <is>
          <t>TN</t>
        </is>
      </c>
      <c r="D836" s="20" t="inlineStr">
        <is>
          <t>TN09CR2953</t>
        </is>
      </c>
      <c r="E836" s="20" t="inlineStr">
        <is>
          <t>MARUTI SUZUKI</t>
        </is>
      </c>
      <c r="F836" s="20" t="inlineStr">
        <is>
          <t>Swift</t>
        </is>
      </c>
      <c r="G836" s="21" t="n">
        <v>2018</v>
      </c>
      <c r="H836" s="22" t="n">
        <v>39302</v>
      </c>
      <c r="I836" s="23" t="n">
        <v>439000</v>
      </c>
      <c r="J836" s="20" t="inlineStr">
        <is>
          <t>Khivraj Motor</t>
        </is>
      </c>
      <c r="K836" s="20" t="inlineStr">
        <is>
          <t>Non-Captive</t>
        </is>
      </c>
      <c r="L836" s="20" t="inlineStr">
        <is>
          <t>Pine Autos</t>
        </is>
      </c>
      <c r="M836" s="23" t="n">
        <v>5084.75</v>
      </c>
      <c r="N836" s="23" t="n">
        <v>6000</v>
      </c>
      <c r="O836" s="24">
        <f>IF(AND(ISNUMBER(M836), ISNUMBER(I836), I836&gt;0), M836/I836, "")</f>
        <v/>
      </c>
    </row>
    <row r="837">
      <c r="A837" s="19" t="inlineStr">
        <is>
          <t>FY26</t>
        </is>
      </c>
      <c r="B837" s="19" t="inlineStr">
        <is>
          <t>Mar</t>
        </is>
      </c>
      <c r="C837" s="19" t="inlineStr">
        <is>
          <t>TN</t>
        </is>
      </c>
      <c r="D837" s="20" t="inlineStr">
        <is>
          <t>TN05BS1164</t>
        </is>
      </c>
      <c r="E837" s="20" t="inlineStr">
        <is>
          <t>MARUTI SUZUKI</t>
        </is>
      </c>
      <c r="F837" s="20" t="inlineStr">
        <is>
          <t>Ciaz</t>
        </is>
      </c>
      <c r="G837" s="21" t="n">
        <v>2018</v>
      </c>
      <c r="H837" s="22" t="n"/>
      <c r="I837" s="23" t="n">
        <v>500000</v>
      </c>
      <c r="J837" s="20" t="inlineStr">
        <is>
          <t>Khivraj Motor</t>
        </is>
      </c>
      <c r="K837" s="20" t="inlineStr">
        <is>
          <t>Non-Captive</t>
        </is>
      </c>
      <c r="L837" s="20" t="inlineStr">
        <is>
          <t>car Hub</t>
        </is>
      </c>
      <c r="M837" s="23" t="n">
        <v>5084.75</v>
      </c>
      <c r="N837" s="23" t="n">
        <v>6000</v>
      </c>
      <c r="O837" s="24">
        <f>IF(AND(ISNUMBER(M837), ISNUMBER(I837), I837&gt;0), M837/I837, "")</f>
        <v/>
      </c>
    </row>
    <row r="838">
      <c r="A838" s="19" t="inlineStr">
        <is>
          <t>FY26</t>
        </is>
      </c>
      <c r="B838" s="19" t="inlineStr">
        <is>
          <t>Mar</t>
        </is>
      </c>
      <c r="C838" s="19" t="inlineStr">
        <is>
          <t>TN</t>
        </is>
      </c>
      <c r="D838" s="20" t="inlineStr">
        <is>
          <t>TN04AJ2434</t>
        </is>
      </c>
      <c r="E838" s="20" t="inlineStr">
        <is>
          <t>HYUNDAI</t>
        </is>
      </c>
      <c r="F838" s="20" t="inlineStr">
        <is>
          <t>I10</t>
        </is>
      </c>
      <c r="G838" s="21" t="n">
        <v>2011</v>
      </c>
      <c r="H838" s="22" t="n">
        <v>46755</v>
      </c>
      <c r="I838" s="23" t="n">
        <v>149000</v>
      </c>
      <c r="J838" s="20" t="inlineStr">
        <is>
          <t>Khivraj Motor</t>
        </is>
      </c>
      <c r="K838" s="20" t="inlineStr">
        <is>
          <t>Non-Captive</t>
        </is>
      </c>
      <c r="L838" s="20" t="inlineStr">
        <is>
          <t>AS Cars Gopi</t>
        </is>
      </c>
      <c r="M838" s="23" t="n">
        <v>5084.75</v>
      </c>
      <c r="N838" s="23" t="n">
        <v>6000</v>
      </c>
      <c r="O838" s="24">
        <f>IF(AND(ISNUMBER(M838), ISNUMBER(I838), I838&gt;0), M838/I838, "")</f>
        <v/>
      </c>
    </row>
    <row r="839">
      <c r="A839" s="19" t="inlineStr">
        <is>
          <t>FY26</t>
        </is>
      </c>
      <c r="B839" s="19" t="inlineStr">
        <is>
          <t>Mar</t>
        </is>
      </c>
      <c r="C839" s="19" t="inlineStr">
        <is>
          <t>TN</t>
        </is>
      </c>
      <c r="D839" s="20" t="inlineStr">
        <is>
          <t>TN09BK4897</t>
        </is>
      </c>
      <c r="E839" s="20" t="inlineStr">
        <is>
          <t>MARUTI SUZUKI</t>
        </is>
      </c>
      <c r="F839" s="20" t="inlineStr">
        <is>
          <t>Wagon R</t>
        </is>
      </c>
      <c r="G839" s="21" t="n">
        <v>2011</v>
      </c>
      <c r="H839" s="22" t="n">
        <v>130549</v>
      </c>
      <c r="I839" s="23" t="n">
        <v>170000</v>
      </c>
      <c r="J839" s="20" t="inlineStr">
        <is>
          <t>Khivraj Motor</t>
        </is>
      </c>
      <c r="K839" s="20" t="inlineStr">
        <is>
          <t>Non-Captive</t>
        </is>
      </c>
      <c r="L839" s="20" t="inlineStr">
        <is>
          <t>AS Cars Gopi</t>
        </is>
      </c>
      <c r="M839" s="23" t="n">
        <v>5084.75</v>
      </c>
      <c r="N839" s="23" t="n">
        <v>6000</v>
      </c>
      <c r="O839" s="24">
        <f>IF(AND(ISNUMBER(M839), ISNUMBER(I839), I839&gt;0), M839/I839, "")</f>
        <v/>
      </c>
    </row>
    <row r="840">
      <c r="A840" s="19" t="inlineStr">
        <is>
          <t>FY26</t>
        </is>
      </c>
      <c r="B840" s="19" t="inlineStr">
        <is>
          <t>Mar</t>
        </is>
      </c>
      <c r="C840" s="19" t="inlineStr">
        <is>
          <t>TN</t>
        </is>
      </c>
      <c r="D840" s="20" t="inlineStr">
        <is>
          <t>TN02BF9613</t>
        </is>
      </c>
      <c r="E840" s="20" t="inlineStr">
        <is>
          <t>MARUTI SUZUKI</t>
        </is>
      </c>
      <c r="F840" s="20" t="inlineStr">
        <is>
          <t>Wagon R</t>
        </is>
      </c>
      <c r="G840" s="21" t="n">
        <v>2016</v>
      </c>
      <c r="H840" s="22" t="n">
        <v>136069</v>
      </c>
      <c r="I840" s="23" t="n">
        <v>219000</v>
      </c>
      <c r="J840" s="20" t="inlineStr">
        <is>
          <t>Khivraj Motor</t>
        </is>
      </c>
      <c r="K840" s="20" t="inlineStr">
        <is>
          <t>Non-Captive</t>
        </is>
      </c>
      <c r="L840" s="20" t="inlineStr">
        <is>
          <t>AS Cars Gopi</t>
        </is>
      </c>
      <c r="M840" s="23" t="n">
        <v>5084.75</v>
      </c>
      <c r="N840" s="23" t="n">
        <v>6000</v>
      </c>
      <c r="O840" s="24">
        <f>IF(AND(ISNUMBER(M840), ISNUMBER(I840), I840&gt;0), M840/I840, "")</f>
        <v/>
      </c>
    </row>
    <row r="841">
      <c r="A841" s="19" t="inlineStr">
        <is>
          <t>FY26</t>
        </is>
      </c>
      <c r="B841" s="19" t="inlineStr">
        <is>
          <t>Mar</t>
        </is>
      </c>
      <c r="C841" s="19" t="inlineStr">
        <is>
          <t>TN</t>
        </is>
      </c>
      <c r="D841" s="20" t="inlineStr">
        <is>
          <t>TN01AC4548</t>
        </is>
      </c>
      <c r="E841" s="20" t="inlineStr">
        <is>
          <t>MARUTI SUZUKI</t>
        </is>
      </c>
      <c r="F841" s="20" t="inlineStr">
        <is>
          <t>M800</t>
        </is>
      </c>
      <c r="G841" s="21" t="n">
        <v>2007</v>
      </c>
      <c r="H841" s="22" t="n">
        <v>274887</v>
      </c>
      <c r="I841" s="23" t="n">
        <v>49000</v>
      </c>
      <c r="J841" s="20" t="inlineStr">
        <is>
          <t>Khivraj Motor</t>
        </is>
      </c>
      <c r="K841" s="20" t="inlineStr">
        <is>
          <t>Non-Captive</t>
        </is>
      </c>
      <c r="L841" s="20" t="inlineStr">
        <is>
          <t>AS Cars Gopi</t>
        </is>
      </c>
      <c r="M841" s="23" t="n">
        <v>5084.75</v>
      </c>
      <c r="N841" s="23" t="n">
        <v>6000</v>
      </c>
      <c r="O841" s="24">
        <f>IF(AND(ISNUMBER(M841), ISNUMBER(I841), I841&gt;0), M841/I841, "")</f>
        <v/>
      </c>
    </row>
    <row r="842">
      <c r="A842" s="19" t="inlineStr">
        <is>
          <t>FY26</t>
        </is>
      </c>
      <c r="B842" s="19" t="inlineStr">
        <is>
          <t>Mar</t>
        </is>
      </c>
      <c r="C842" s="19" t="inlineStr">
        <is>
          <t>TN</t>
        </is>
      </c>
      <c r="D842" s="20" t="inlineStr">
        <is>
          <t>TN02AU7056</t>
        </is>
      </c>
      <c r="E842" s="20" t="inlineStr">
        <is>
          <t>VOLKSWAGEN</t>
        </is>
      </c>
      <c r="F842" s="20" t="inlineStr">
        <is>
          <t>Vento</t>
        </is>
      </c>
      <c r="G842" s="21" t="n">
        <v>2012</v>
      </c>
      <c r="H842" s="22" t="n">
        <v>77930</v>
      </c>
      <c r="I842" s="23" t="n">
        <v>185000</v>
      </c>
      <c r="J842" s="20" t="inlineStr">
        <is>
          <t>Khivraj Motor</t>
        </is>
      </c>
      <c r="K842" s="20" t="inlineStr">
        <is>
          <t>Non-Captive</t>
        </is>
      </c>
      <c r="L842" s="20" t="inlineStr">
        <is>
          <t>AS Cars Gopi</t>
        </is>
      </c>
      <c r="M842" s="23" t="n">
        <v>5084.75</v>
      </c>
      <c r="N842" s="23" t="n">
        <v>6000</v>
      </c>
      <c r="O842" s="24">
        <f>IF(AND(ISNUMBER(M842), ISNUMBER(I842), I842&gt;0), M842/I842, "")</f>
        <v/>
      </c>
    </row>
    <row r="843">
      <c r="A843" s="19" t="inlineStr">
        <is>
          <t>FY26</t>
        </is>
      </c>
      <c r="B843" s="19" t="inlineStr">
        <is>
          <t>Mar</t>
        </is>
      </c>
      <c r="C843" s="19" t="inlineStr">
        <is>
          <t>TN</t>
        </is>
      </c>
      <c r="D843" s="20" t="inlineStr">
        <is>
          <t>TN06R7488</t>
        </is>
      </c>
      <c r="E843" s="20" t="inlineStr">
        <is>
          <t>MARUTI SUZUKI</t>
        </is>
      </c>
      <c r="F843" s="20" t="inlineStr">
        <is>
          <t>Ertiga</t>
        </is>
      </c>
      <c r="G843" s="21" t="n">
        <v>2016</v>
      </c>
      <c r="H843" s="22" t="n">
        <v>82600</v>
      </c>
      <c r="I843" s="23" t="n">
        <v>582000</v>
      </c>
      <c r="J843" s="20" t="inlineStr">
        <is>
          <t>Khivraj Motor</t>
        </is>
      </c>
      <c r="K843" s="20" t="inlineStr">
        <is>
          <t>Non-Captive</t>
        </is>
      </c>
      <c r="L843" s="20" t="inlineStr">
        <is>
          <t>AAA Cars</t>
        </is>
      </c>
      <c r="M843" s="23" t="n">
        <v>6779.66</v>
      </c>
      <c r="N843" s="23" t="n">
        <v>8000</v>
      </c>
      <c r="O843" s="24">
        <f>IF(AND(ISNUMBER(M843), ISNUMBER(I843), I843&gt;0), M843/I843, "")</f>
        <v/>
      </c>
    </row>
    <row r="844">
      <c r="A844" s="19" t="inlineStr">
        <is>
          <t>FY26</t>
        </is>
      </c>
      <c r="B844" s="19" t="inlineStr">
        <is>
          <t>Mar</t>
        </is>
      </c>
      <c r="C844" s="19" t="inlineStr">
        <is>
          <t>TN</t>
        </is>
      </c>
      <c r="D844" s="20" t="inlineStr">
        <is>
          <t>KL25K9912</t>
        </is>
      </c>
      <c r="E844" s="20" t="inlineStr">
        <is>
          <t>MARUTI SUZUKI</t>
        </is>
      </c>
      <c r="F844" s="20" t="inlineStr">
        <is>
          <t>Celerio</t>
        </is>
      </c>
      <c r="G844" s="21" t="n">
        <v>2018</v>
      </c>
      <c r="H844" s="22" t="n">
        <v>92670</v>
      </c>
      <c r="I844" s="23" t="n">
        <v>290000</v>
      </c>
      <c r="J844" s="20" t="inlineStr">
        <is>
          <t>Nippon Motor Corporation Pvt Ltd</t>
        </is>
      </c>
      <c r="K844" s="20" t="inlineStr">
        <is>
          <t>Non-Captive</t>
        </is>
      </c>
      <c r="L844" s="20" t="inlineStr">
        <is>
          <t>Shamnad AH</t>
        </is>
      </c>
      <c r="M844" s="23" t="n">
        <v>5932.2</v>
      </c>
      <c r="N844" s="23" t="n">
        <v>7000</v>
      </c>
      <c r="O844" s="24">
        <f>IF(AND(ISNUMBER(M844), ISNUMBER(I844), I844&gt;0), M844/I844, "")</f>
        <v/>
      </c>
    </row>
    <row r="845">
      <c r="A845" s="19" t="inlineStr">
        <is>
          <t>FY26</t>
        </is>
      </c>
      <c r="B845" s="19" t="inlineStr">
        <is>
          <t>Mar</t>
        </is>
      </c>
      <c r="C845" s="19" t="inlineStr">
        <is>
          <t>TN</t>
        </is>
      </c>
      <c r="D845" s="20" t="inlineStr">
        <is>
          <t>KL22F7878</t>
        </is>
      </c>
      <c r="E845" s="20" t="inlineStr">
        <is>
          <t>MARUTI SUZUKI</t>
        </is>
      </c>
      <c r="F845" s="20" t="inlineStr">
        <is>
          <t>Celerio</t>
        </is>
      </c>
      <c r="G845" s="21" t="n">
        <v>2014</v>
      </c>
      <c r="H845" s="22" t="n">
        <v>88745</v>
      </c>
      <c r="I845" s="23" t="n">
        <v>205000</v>
      </c>
      <c r="J845" s="20" t="inlineStr">
        <is>
          <t>Nippon Motor Corporation Pvt Ltd</t>
        </is>
      </c>
      <c r="K845" s="20" t="inlineStr">
        <is>
          <t>Non-Captive</t>
        </is>
      </c>
      <c r="L845" s="20" t="inlineStr">
        <is>
          <t>Shamnad AH</t>
        </is>
      </c>
      <c r="M845" s="23" t="n">
        <v>5932.2</v>
      </c>
      <c r="N845" s="23" t="n">
        <v>7000</v>
      </c>
      <c r="O845" s="24">
        <f>IF(AND(ISNUMBER(M845), ISNUMBER(I845), I845&gt;0), M845/I845, "")</f>
        <v/>
      </c>
    </row>
    <row r="846">
      <c r="A846" s="19" t="inlineStr">
        <is>
          <t>FY26</t>
        </is>
      </c>
      <c r="B846" s="19" t="inlineStr">
        <is>
          <t>Mar</t>
        </is>
      </c>
      <c r="C846" s="19" t="inlineStr">
        <is>
          <t>TN</t>
        </is>
      </c>
      <c r="D846" s="20" t="inlineStr">
        <is>
          <t>TN22DR7979</t>
        </is>
      </c>
      <c r="E846" s="20" t="inlineStr">
        <is>
          <t>FORD</t>
        </is>
      </c>
      <c r="F846" s="20" t="inlineStr">
        <is>
          <t>Ecosport</t>
        </is>
      </c>
      <c r="G846" s="21" t="n">
        <v>2018</v>
      </c>
      <c r="H846" s="22" t="n">
        <v>97004</v>
      </c>
      <c r="I846" s="23" t="n">
        <v>525000</v>
      </c>
      <c r="J846" s="20" t="inlineStr">
        <is>
          <t>EXCHANGE CHENNAI</t>
        </is>
      </c>
      <c r="K846" s="20" t="inlineStr">
        <is>
          <t>Captive</t>
        </is>
      </c>
      <c r="L846" s="20" t="inlineStr">
        <is>
          <t>Santhosh Cars</t>
        </is>
      </c>
      <c r="M846" s="23" t="n">
        <v>8474.58</v>
      </c>
      <c r="N846" s="23" t="n">
        <v>10000</v>
      </c>
      <c r="O846" s="24">
        <f>IF(AND(ISNUMBER(M846), ISNUMBER(I846), I846&gt;0), M846/I846, "")</f>
        <v/>
      </c>
    </row>
    <row r="847">
      <c r="A847" s="19" t="inlineStr">
        <is>
          <t>FY26</t>
        </is>
      </c>
      <c r="B847" s="19" t="inlineStr">
        <is>
          <t>Mar</t>
        </is>
      </c>
      <c r="C847" s="19" t="inlineStr">
        <is>
          <t>TN</t>
        </is>
      </c>
      <c r="D847" s="20" t="inlineStr">
        <is>
          <t>TN01AJ2458</t>
        </is>
      </c>
      <c r="E847" s="20" t="inlineStr">
        <is>
          <t>HONDA</t>
        </is>
      </c>
      <c r="F847" s="20" t="inlineStr">
        <is>
          <t>City</t>
        </is>
      </c>
      <c r="G847" s="21" t="n">
        <v>2009</v>
      </c>
      <c r="H847" s="22" t="n">
        <v>97670</v>
      </c>
      <c r="I847" s="23" t="n">
        <v>110000</v>
      </c>
      <c r="J847" s="20" t="inlineStr">
        <is>
          <t>EXCHANGE ROTN</t>
        </is>
      </c>
      <c r="K847" s="20" t="inlineStr">
        <is>
          <t>Captive</t>
        </is>
      </c>
      <c r="L847" s="20" t="inlineStr">
        <is>
          <t>Sai Cars</t>
        </is>
      </c>
      <c r="M847" s="23" t="n">
        <v>5932.2</v>
      </c>
      <c r="N847" s="23" t="n">
        <v>7000</v>
      </c>
      <c r="O847" s="24">
        <f>IF(AND(ISNUMBER(M847), ISNUMBER(I847), I847&gt;0), M847/I847, "")</f>
        <v/>
      </c>
    </row>
    <row r="848">
      <c r="A848" s="19" t="inlineStr">
        <is>
          <t>FY26</t>
        </is>
      </c>
      <c r="B848" s="19" t="inlineStr">
        <is>
          <t>Mar</t>
        </is>
      </c>
      <c r="C848" s="19" t="inlineStr">
        <is>
          <t>TN</t>
        </is>
      </c>
      <c r="D848" s="20" t="inlineStr">
        <is>
          <t>TN95E8789</t>
        </is>
      </c>
      <c r="E848" s="20" t="inlineStr">
        <is>
          <t>HONDA</t>
        </is>
      </c>
      <c r="F848" s="20" t="inlineStr">
        <is>
          <t>City</t>
        </is>
      </c>
      <c r="G848" s="21" t="n">
        <v>2021</v>
      </c>
      <c r="H848" s="22" t="n">
        <v>124143</v>
      </c>
      <c r="I848" s="23" t="n">
        <v>550000</v>
      </c>
      <c r="J848" s="20" t="inlineStr">
        <is>
          <t>EXCHANGE ROTN</t>
        </is>
      </c>
      <c r="K848" s="20" t="inlineStr">
        <is>
          <t>Captive</t>
        </is>
      </c>
      <c r="L848" s="20" t="inlineStr">
        <is>
          <t>Sai Cars</t>
        </is>
      </c>
      <c r="M848" s="23" t="n">
        <v>4237.29</v>
      </c>
      <c r="N848" s="23" t="n">
        <v>5000</v>
      </c>
      <c r="O848" s="24">
        <f>IF(AND(ISNUMBER(M848), ISNUMBER(I848), I848&gt;0), M848/I848, "")</f>
        <v/>
      </c>
    </row>
    <row r="849">
      <c r="A849" s="19" t="inlineStr">
        <is>
          <t>FY26</t>
        </is>
      </c>
      <c r="B849" s="19" t="inlineStr">
        <is>
          <t>Mar</t>
        </is>
      </c>
      <c r="C849" s="19" t="inlineStr">
        <is>
          <t>TN</t>
        </is>
      </c>
      <c r="D849" s="20" t="inlineStr">
        <is>
          <t>TN64F8019</t>
        </is>
      </c>
      <c r="E849" s="20" t="inlineStr">
        <is>
          <t>HONDA</t>
        </is>
      </c>
      <c r="F849" s="20" t="inlineStr">
        <is>
          <t>Amaze</t>
        </is>
      </c>
      <c r="G849" s="21" t="n">
        <v>2013</v>
      </c>
      <c r="H849" s="22" t="n">
        <v>273214</v>
      </c>
      <c r="I849" s="23" t="n">
        <v>200000</v>
      </c>
      <c r="J849" s="20" t="inlineStr">
        <is>
          <t>EXCHANGE ROTN</t>
        </is>
      </c>
      <c r="K849" s="20" t="inlineStr">
        <is>
          <t>Captive</t>
        </is>
      </c>
      <c r="L849" s="20" t="inlineStr">
        <is>
          <t>SRI RAJA KANAPATHY CARS</t>
        </is>
      </c>
      <c r="M849" s="23" t="n">
        <v>8474.58</v>
      </c>
      <c r="N849" s="23" t="n">
        <v>10000</v>
      </c>
      <c r="O849" s="24">
        <f>IF(AND(ISNUMBER(M849), ISNUMBER(I849), I849&gt;0), M849/I849, "")</f>
        <v/>
      </c>
    </row>
    <row r="850">
      <c r="A850" s="19" t="inlineStr">
        <is>
          <t>FY26</t>
        </is>
      </c>
      <c r="B850" s="19" t="inlineStr">
        <is>
          <t>Mar</t>
        </is>
      </c>
      <c r="C850" s="19" t="inlineStr">
        <is>
          <t>TN</t>
        </is>
      </c>
      <c r="D850" s="20" t="inlineStr">
        <is>
          <t>TN13L6167</t>
        </is>
      </c>
      <c r="E850" s="20" t="inlineStr">
        <is>
          <t>TATA</t>
        </is>
      </c>
      <c r="F850" s="20" t="inlineStr">
        <is>
          <t>Tiago</t>
        </is>
      </c>
      <c r="G850" s="21" t="n">
        <v>2017</v>
      </c>
      <c r="H850" s="22" t="n">
        <v>80157</v>
      </c>
      <c r="I850" s="23" t="n">
        <v>265000</v>
      </c>
      <c r="J850" s="20" t="inlineStr">
        <is>
          <t>EXCHANGE ROTN</t>
        </is>
      </c>
      <c r="K850" s="20" t="inlineStr">
        <is>
          <t>Captive</t>
        </is>
      </c>
      <c r="L850" s="20" t="inlineStr">
        <is>
          <t>Paul Cars</t>
        </is>
      </c>
      <c r="M850" s="23" t="n">
        <v>8474.58</v>
      </c>
      <c r="N850" s="23" t="n">
        <v>10000</v>
      </c>
      <c r="O850" s="24">
        <f>IF(AND(ISNUMBER(M850), ISNUMBER(I850), I850&gt;0), M850/I850, "")</f>
        <v/>
      </c>
    </row>
    <row r="851">
      <c r="A851" s="19" t="inlineStr">
        <is>
          <t>FY26</t>
        </is>
      </c>
      <c r="B851" s="19" t="inlineStr">
        <is>
          <t>Mar</t>
        </is>
      </c>
      <c r="C851" s="19" t="inlineStr">
        <is>
          <t>TN</t>
        </is>
      </c>
      <c r="D851" s="20" t="inlineStr">
        <is>
          <t>TN874023</t>
        </is>
      </c>
      <c r="E851" s="20" t="inlineStr">
        <is>
          <t>RENAULT</t>
        </is>
      </c>
      <c r="F851" s="20" t="inlineStr">
        <is>
          <t>Kwid</t>
        </is>
      </c>
      <c r="G851" s="21" t="n">
        <v>2017</v>
      </c>
      <c r="H851" s="22" t="n">
        <v>62971</v>
      </c>
      <c r="I851" s="23" t="n">
        <v>235000</v>
      </c>
      <c r="J851" s="20" t="inlineStr">
        <is>
          <t>EXCHANGE ROTN</t>
        </is>
      </c>
      <c r="K851" s="20" t="inlineStr">
        <is>
          <t>Captive</t>
        </is>
      </c>
      <c r="L851" s="20" t="inlineStr">
        <is>
          <t>YUGA DHEERAN CARS</t>
        </is>
      </c>
      <c r="M851" s="23" t="n">
        <v>8474.58</v>
      </c>
      <c r="N851" s="23" t="n">
        <v>10000</v>
      </c>
      <c r="O851" s="24">
        <f>IF(AND(ISNUMBER(M851), ISNUMBER(I851), I851&gt;0), M851/I851, "")</f>
        <v/>
      </c>
    </row>
    <row r="852">
      <c r="A852" s="19" t="inlineStr">
        <is>
          <t>FY26</t>
        </is>
      </c>
      <c r="B852" s="19" t="inlineStr">
        <is>
          <t>Mar</t>
        </is>
      </c>
      <c r="C852" s="19" t="inlineStr">
        <is>
          <t>TN</t>
        </is>
      </c>
      <c r="D852" s="20" t="inlineStr">
        <is>
          <t>TN37AJ3798</t>
        </is>
      </c>
      <c r="E852" s="20" t="inlineStr">
        <is>
          <t>HONDA</t>
        </is>
      </c>
      <c r="F852" s="20" t="inlineStr">
        <is>
          <t>City</t>
        </is>
      </c>
      <c r="G852" s="21" t="n">
        <v>2004</v>
      </c>
      <c r="H852" s="22" t="n">
        <v>179999</v>
      </c>
      <c r="I852" s="23" t="n">
        <v>45000</v>
      </c>
      <c r="J852" s="20" t="inlineStr">
        <is>
          <t>EXCHANGE ROTN</t>
        </is>
      </c>
      <c r="K852" s="20" t="inlineStr">
        <is>
          <t>Captive</t>
        </is>
      </c>
      <c r="L852" s="20" t="inlineStr">
        <is>
          <t>SIVASHANKAR CARS</t>
        </is>
      </c>
      <c r="M852" s="23" t="n">
        <v>4237.29</v>
      </c>
      <c r="N852" s="23" t="n">
        <v>5000</v>
      </c>
      <c r="O852" s="24">
        <f>IF(AND(ISNUMBER(M852), ISNUMBER(I852), I852&gt;0), M852/I852, "")</f>
        <v/>
      </c>
    </row>
    <row r="853">
      <c r="A853" s="19" t="inlineStr">
        <is>
          <t>FY26</t>
        </is>
      </c>
      <c r="B853" s="19" t="inlineStr">
        <is>
          <t>Mar</t>
        </is>
      </c>
      <c r="C853" s="19" t="inlineStr">
        <is>
          <t>TN</t>
        </is>
      </c>
      <c r="D853" s="20" t="inlineStr">
        <is>
          <t>TN33BH6113</t>
        </is>
      </c>
      <c r="E853" s="20" t="inlineStr">
        <is>
          <t>NISSAN</t>
        </is>
      </c>
      <c r="F853" s="20" t="inlineStr">
        <is>
          <t>Micra Active</t>
        </is>
      </c>
      <c r="G853" s="21" t="n">
        <v>2014</v>
      </c>
      <c r="H853" s="22" t="n">
        <v>27587</v>
      </c>
      <c r="I853" s="23" t="n">
        <v>260000</v>
      </c>
      <c r="J853" s="20" t="inlineStr">
        <is>
          <t>EXCHANGE ROTN</t>
        </is>
      </c>
      <c r="K853" s="20" t="inlineStr">
        <is>
          <t>Captive</t>
        </is>
      </c>
      <c r="L853" s="20" t="inlineStr">
        <is>
          <t>SIVASHANKAR CARS</t>
        </is>
      </c>
      <c r="M853" s="23" t="n">
        <v>8474.58</v>
      </c>
      <c r="N853" s="23" t="n">
        <v>10000</v>
      </c>
      <c r="O853" s="24">
        <f>IF(AND(ISNUMBER(M853), ISNUMBER(I853), I853&gt;0), M853/I853, "")</f>
        <v/>
      </c>
    </row>
    <row r="854">
      <c r="A854" s="19" t="inlineStr">
        <is>
          <t>FY26</t>
        </is>
      </c>
      <c r="B854" s="19" t="inlineStr">
        <is>
          <t>Mar</t>
        </is>
      </c>
      <c r="C854" s="19" t="inlineStr">
        <is>
          <t>TN</t>
        </is>
      </c>
      <c r="D854" s="20" t="inlineStr">
        <is>
          <t>TN02AW6242</t>
        </is>
      </c>
      <c r="E854" s="20" t="inlineStr">
        <is>
          <t>MARUTI SUZUKI</t>
        </is>
      </c>
      <c r="F854" s="20" t="inlineStr">
        <is>
          <t>Alto</t>
        </is>
      </c>
      <c r="G854" s="21" t="n">
        <v>2013</v>
      </c>
      <c r="H854" s="22" t="n">
        <v>27587</v>
      </c>
      <c r="I854" s="23" t="n">
        <v>130000</v>
      </c>
      <c r="J854" s="20" t="inlineStr">
        <is>
          <t>EXCHANGE ROTN</t>
        </is>
      </c>
      <c r="K854" s="20" t="inlineStr">
        <is>
          <t>Captive</t>
        </is>
      </c>
      <c r="L854" s="20" t="inlineStr">
        <is>
          <t>Geethanjali cars</t>
        </is>
      </c>
      <c r="M854" s="23" t="n">
        <v>8474.58</v>
      </c>
      <c r="N854" s="23" t="n">
        <v>10000</v>
      </c>
      <c r="O854" s="24">
        <f>IF(AND(ISNUMBER(M854), ISNUMBER(I854), I854&gt;0), M854/I854, "")</f>
        <v/>
      </c>
    </row>
    <row r="855">
      <c r="A855" s="19" t="inlineStr">
        <is>
          <t>FY26</t>
        </is>
      </c>
      <c r="B855" s="19" t="inlineStr">
        <is>
          <t>Mar</t>
        </is>
      </c>
      <c r="C855" s="19" t="inlineStr">
        <is>
          <t>TN</t>
        </is>
      </c>
      <c r="D855" s="20" t="inlineStr">
        <is>
          <t>TN66L0739</t>
        </is>
      </c>
      <c r="E855" s="20" t="inlineStr">
        <is>
          <t>HONDA</t>
        </is>
      </c>
      <c r="F855" s="20" t="inlineStr">
        <is>
          <t>City</t>
        </is>
      </c>
      <c r="G855" s="21" t="n">
        <v>2014</v>
      </c>
      <c r="H855" s="22" t="n">
        <v>141748</v>
      </c>
      <c r="I855" s="23" t="n">
        <v>475000</v>
      </c>
      <c r="J855" s="20" t="inlineStr">
        <is>
          <t>EXCHANGE ROTN</t>
        </is>
      </c>
      <c r="K855" s="20" t="inlineStr">
        <is>
          <t>Captive</t>
        </is>
      </c>
      <c r="L855" s="20" t="inlineStr">
        <is>
          <t>Sai Cars</t>
        </is>
      </c>
      <c r="M855" s="23" t="n">
        <v>8474.58</v>
      </c>
      <c r="N855" s="23" t="n">
        <v>10000</v>
      </c>
      <c r="O855" s="24">
        <f>IF(AND(ISNUMBER(M855), ISNUMBER(I855), I855&gt;0), M855/I855, "")</f>
        <v/>
      </c>
    </row>
    <row r="856">
      <c r="A856" s="19" t="inlineStr">
        <is>
          <t>FY26</t>
        </is>
      </c>
      <c r="B856" s="19" t="inlineStr">
        <is>
          <t>Mar</t>
        </is>
      </c>
      <c r="C856" s="19" t="inlineStr">
        <is>
          <t>TN</t>
        </is>
      </c>
      <c r="D856" s="20" t="inlineStr">
        <is>
          <t>TN09BJ2314</t>
        </is>
      </c>
      <c r="E856" s="20" t="inlineStr">
        <is>
          <t>MARUTI SUZUKI</t>
        </is>
      </c>
      <c r="F856" s="20" t="inlineStr">
        <is>
          <t>A Star</t>
        </is>
      </c>
      <c r="G856" s="21" t="n">
        <v>2011</v>
      </c>
      <c r="H856" s="22" t="n">
        <v>120559</v>
      </c>
      <c r="I856" s="23" t="n">
        <v>125000</v>
      </c>
      <c r="J856" s="20" t="inlineStr">
        <is>
          <t>EXCHANGE CHENNAI</t>
        </is>
      </c>
      <c r="K856" s="20" t="inlineStr">
        <is>
          <t>Captive</t>
        </is>
      </c>
      <c r="L856" s="20" t="inlineStr">
        <is>
          <t>Santhosh Cars</t>
        </is>
      </c>
      <c r="M856" s="23" t="n">
        <v>4237.29</v>
      </c>
      <c r="N856" s="23" t="n">
        <v>5000</v>
      </c>
      <c r="O856" s="24">
        <f>IF(AND(ISNUMBER(M856), ISNUMBER(I856), I856&gt;0), M856/I856, "")</f>
        <v/>
      </c>
    </row>
    <row r="857">
      <c r="A857" s="19" t="inlineStr">
        <is>
          <t>FY26</t>
        </is>
      </c>
      <c r="B857" s="19" t="inlineStr">
        <is>
          <t>Mar</t>
        </is>
      </c>
      <c r="C857" s="19" t="inlineStr">
        <is>
          <t>TN</t>
        </is>
      </c>
      <c r="D857" s="20" t="inlineStr">
        <is>
          <t>TN07CT8148</t>
        </is>
      </c>
      <c r="E857" s="20" t="inlineStr">
        <is>
          <t>RENAULT</t>
        </is>
      </c>
      <c r="F857" s="20" t="inlineStr">
        <is>
          <t>Duster</t>
        </is>
      </c>
      <c r="G857" s="21" t="n">
        <v>2019</v>
      </c>
      <c r="H857" s="22" t="n">
        <v>13701</v>
      </c>
      <c r="I857" s="23" t="n">
        <v>525000</v>
      </c>
      <c r="J857" s="20" t="inlineStr">
        <is>
          <t>EXCHANGE CHENNAI</t>
        </is>
      </c>
      <c r="K857" s="20" t="inlineStr">
        <is>
          <t>Captive</t>
        </is>
      </c>
      <c r="L857" s="20" t="inlineStr">
        <is>
          <t>car Hub</t>
        </is>
      </c>
      <c r="M857" s="23" t="n">
        <v>8474.58</v>
      </c>
      <c r="N857" s="23" t="n">
        <v>10000</v>
      </c>
      <c r="O857" s="24">
        <f>IF(AND(ISNUMBER(M857), ISNUMBER(I857), I857&gt;0), M857/I857, "")</f>
        <v/>
      </c>
    </row>
    <row r="858">
      <c r="A858" s="19" t="inlineStr">
        <is>
          <t>FY26</t>
        </is>
      </c>
      <c r="B858" s="19" t="inlineStr">
        <is>
          <t>Mar</t>
        </is>
      </c>
      <c r="C858" s="19" t="inlineStr">
        <is>
          <t>TN</t>
        </is>
      </c>
      <c r="D858" s="20" t="inlineStr">
        <is>
          <t>TN38BR8978</t>
        </is>
      </c>
      <c r="E858" s="20" t="inlineStr">
        <is>
          <t>MARUTI SUZUKI</t>
        </is>
      </c>
      <c r="F858" s="20" t="inlineStr">
        <is>
          <t>Alto K10</t>
        </is>
      </c>
      <c r="G858" s="21" t="n">
        <v>2012</v>
      </c>
      <c r="H858" s="22" t="n">
        <v>62907</v>
      </c>
      <c r="I858" s="23" t="n">
        <v>170000</v>
      </c>
      <c r="J858" s="20" t="inlineStr">
        <is>
          <t>EXCHANGE ROTN</t>
        </is>
      </c>
      <c r="K858" s="20" t="inlineStr">
        <is>
          <t>Captive</t>
        </is>
      </c>
      <c r="L858" s="20" t="inlineStr">
        <is>
          <t>Dheera Cars</t>
        </is>
      </c>
      <c r="M858" s="23" t="n">
        <v>8474.58</v>
      </c>
      <c r="N858" s="23" t="n">
        <v>10000</v>
      </c>
      <c r="O858" s="24">
        <f>IF(AND(ISNUMBER(M858), ISNUMBER(I858), I858&gt;0), M858/I858, "")</f>
        <v/>
      </c>
    </row>
    <row r="859">
      <c r="A859" s="19" t="inlineStr">
        <is>
          <t>FY26</t>
        </is>
      </c>
      <c r="B859" s="19" t="inlineStr">
        <is>
          <t>Mar</t>
        </is>
      </c>
      <c r="C859" s="19" t="inlineStr">
        <is>
          <t>TN</t>
        </is>
      </c>
      <c r="D859" s="20" t="inlineStr">
        <is>
          <t>TN38BL5468</t>
        </is>
      </c>
      <c r="E859" s="20" t="inlineStr">
        <is>
          <t>FORD</t>
        </is>
      </c>
      <c r="F859" s="20" t="inlineStr">
        <is>
          <t>Figo</t>
        </is>
      </c>
      <c r="G859" s="21" t="n">
        <v>2012</v>
      </c>
      <c r="H859" s="22" t="n">
        <v>88187</v>
      </c>
      <c r="I859" s="23" t="n">
        <v>100000</v>
      </c>
      <c r="J859" s="20" t="inlineStr">
        <is>
          <t>EXCHANGE ROTN</t>
        </is>
      </c>
      <c r="K859" s="20" t="inlineStr">
        <is>
          <t>Captive</t>
        </is>
      </c>
      <c r="L859" s="20" t="inlineStr">
        <is>
          <t>Dheera Cars</t>
        </is>
      </c>
      <c r="M859" s="23" t="n">
        <v>8474.58</v>
      </c>
      <c r="N859" s="23" t="n">
        <v>10000</v>
      </c>
      <c r="O859" s="24">
        <f>IF(AND(ISNUMBER(M859), ISNUMBER(I859), I859&gt;0), M859/I859, "")</f>
        <v/>
      </c>
    </row>
    <row r="860">
      <c r="A860" s="19" t="inlineStr">
        <is>
          <t>FY26</t>
        </is>
      </c>
      <c r="B860" s="19" t="inlineStr">
        <is>
          <t>Mar</t>
        </is>
      </c>
      <c r="C860" s="19" t="inlineStr">
        <is>
          <t>TN</t>
        </is>
      </c>
      <c r="D860" s="20" t="inlineStr">
        <is>
          <t>TN99L8091</t>
        </is>
      </c>
      <c r="E860" s="20" t="inlineStr">
        <is>
          <t>HYUNDAI</t>
        </is>
      </c>
      <c r="F860" s="20" t="inlineStr">
        <is>
          <t>I20</t>
        </is>
      </c>
      <c r="G860" s="21" t="n">
        <v>2018</v>
      </c>
      <c r="H860" s="22" t="n">
        <v>62845</v>
      </c>
      <c r="I860" s="23" t="n">
        <v>575000</v>
      </c>
      <c r="J860" s="20" t="inlineStr">
        <is>
          <t>EXCHANGE ROTN</t>
        </is>
      </c>
      <c r="K860" s="20" t="inlineStr">
        <is>
          <t>Captive</t>
        </is>
      </c>
      <c r="L860" s="20" t="inlineStr">
        <is>
          <t>Auto Solution</t>
        </is>
      </c>
      <c r="M860" s="23" t="n">
        <v>12711.86</v>
      </c>
      <c r="N860" s="23" t="n">
        <v>15000</v>
      </c>
      <c r="O860" s="24">
        <f>IF(AND(ISNUMBER(M860), ISNUMBER(I860), I860&gt;0), M860/I860, "")</f>
        <v/>
      </c>
    </row>
    <row r="861">
      <c r="A861" s="19" t="inlineStr">
        <is>
          <t>FY26</t>
        </is>
      </c>
      <c r="B861" s="19" t="inlineStr">
        <is>
          <t>Mar</t>
        </is>
      </c>
      <c r="C861" s="19" t="inlineStr">
        <is>
          <t>TN</t>
        </is>
      </c>
      <c r="D861" s="20" t="inlineStr">
        <is>
          <t>TN38BT4560</t>
        </is>
      </c>
      <c r="E861" s="20" t="inlineStr">
        <is>
          <t>MARUTI SUZUKI</t>
        </is>
      </c>
      <c r="F861" s="20" t="inlineStr">
        <is>
          <t>Zen</t>
        </is>
      </c>
      <c r="G861" s="21" t="n">
        <v>2013</v>
      </c>
      <c r="H861" s="22" t="n">
        <v>43291</v>
      </c>
      <c r="I861" s="23" t="n">
        <v>182000</v>
      </c>
      <c r="J861" s="20" t="inlineStr">
        <is>
          <t>EXCHANGE ROTN</t>
        </is>
      </c>
      <c r="K861" s="20" t="inlineStr">
        <is>
          <t>Captive</t>
        </is>
      </c>
      <c r="L861" s="20" t="inlineStr">
        <is>
          <t>Sri Murugan Cars</t>
        </is>
      </c>
      <c r="M861" s="23" t="n">
        <v>4237.29</v>
      </c>
      <c r="N861" s="23" t="n">
        <v>5000</v>
      </c>
      <c r="O861" s="24">
        <f>IF(AND(ISNUMBER(M861), ISNUMBER(I861), I861&gt;0), M861/I861, "")</f>
        <v/>
      </c>
    </row>
    <row r="862">
      <c r="A862" s="19" t="inlineStr">
        <is>
          <t>FY26</t>
        </is>
      </c>
      <c r="B862" s="19" t="inlineStr">
        <is>
          <t>Mar</t>
        </is>
      </c>
      <c r="C862" s="19" t="inlineStr">
        <is>
          <t>TN</t>
        </is>
      </c>
      <c r="D862" s="20" t="inlineStr">
        <is>
          <t>TN33AQ1564</t>
        </is>
      </c>
      <c r="E862" s="20" t="inlineStr">
        <is>
          <t>FORD</t>
        </is>
      </c>
      <c r="F862" s="20" t="inlineStr">
        <is>
          <t>Fiesta</t>
        </is>
      </c>
      <c r="G862" s="21" t="n">
        <v>2009</v>
      </c>
      <c r="H862" s="22" t="n">
        <v>71202</v>
      </c>
      <c r="I862" s="23" t="n">
        <v>100000</v>
      </c>
      <c r="J862" s="20" t="inlineStr">
        <is>
          <t>EXCHANGE ROTN</t>
        </is>
      </c>
      <c r="K862" s="20" t="inlineStr">
        <is>
          <t>Captive</t>
        </is>
      </c>
      <c r="L862" s="20" t="inlineStr">
        <is>
          <t>SIVASHANKAR CARS</t>
        </is>
      </c>
      <c r="M862" s="23" t="n">
        <v>8474.58</v>
      </c>
      <c r="N862" s="23" t="n">
        <v>10000</v>
      </c>
      <c r="O862" s="24">
        <f>IF(AND(ISNUMBER(M862), ISNUMBER(I862), I862&gt;0), M862/I862, "")</f>
        <v/>
      </c>
    </row>
    <row r="863">
      <c r="A863" s="19" t="inlineStr">
        <is>
          <t>FY26</t>
        </is>
      </c>
      <c r="B863" s="19" t="inlineStr">
        <is>
          <t>Mar</t>
        </is>
      </c>
      <c r="C863" s="19" t="inlineStr">
        <is>
          <t>TN</t>
        </is>
      </c>
      <c r="D863" s="20" t="inlineStr">
        <is>
          <t>TN42J5142</t>
        </is>
      </c>
      <c r="E863" s="20" t="inlineStr">
        <is>
          <t>HONDA</t>
        </is>
      </c>
      <c r="F863" s="20" t="inlineStr">
        <is>
          <t>Amaze</t>
        </is>
      </c>
      <c r="G863" s="21" t="n">
        <v>2013</v>
      </c>
      <c r="H863" s="22" t="n">
        <v>92831</v>
      </c>
      <c r="I863" s="23" t="n">
        <v>320000</v>
      </c>
      <c r="J863" s="20" t="inlineStr">
        <is>
          <t>EXCHANGE ROTN</t>
        </is>
      </c>
      <c r="K863" s="20" t="inlineStr">
        <is>
          <t>Captive</t>
        </is>
      </c>
      <c r="L863" s="20" t="inlineStr">
        <is>
          <t>Sai Cars</t>
        </is>
      </c>
      <c r="M863" s="23" t="n">
        <v>5932.2</v>
      </c>
      <c r="N863" s="23" t="n">
        <v>7000</v>
      </c>
      <c r="O863" s="24">
        <f>IF(AND(ISNUMBER(M863), ISNUMBER(I863), I863&gt;0), M863/I863, "")</f>
        <v/>
      </c>
    </row>
    <row r="864">
      <c r="A864" s="19" t="inlineStr">
        <is>
          <t>FY26</t>
        </is>
      </c>
      <c r="B864" s="19" t="inlineStr">
        <is>
          <t>Mar</t>
        </is>
      </c>
      <c r="C864" s="19" t="inlineStr">
        <is>
          <t>TN</t>
        </is>
      </c>
      <c r="D864" s="20" t="inlineStr">
        <is>
          <t>TN64AD9175</t>
        </is>
      </c>
      <c r="E864" s="20" t="inlineStr">
        <is>
          <t>MARUTI SUZUKI</t>
        </is>
      </c>
      <c r="F864" s="20" t="inlineStr">
        <is>
          <t>Baleno</t>
        </is>
      </c>
      <c r="G864" s="21" t="n">
        <v>2025</v>
      </c>
      <c r="H864" s="22" t="n">
        <v>24540</v>
      </c>
      <c r="I864" s="23" t="n">
        <v>547000</v>
      </c>
      <c r="J864" s="20" t="inlineStr">
        <is>
          <t>EXCHANGE ROTN</t>
        </is>
      </c>
      <c r="K864" s="20" t="inlineStr">
        <is>
          <t>Captive</t>
        </is>
      </c>
      <c r="L864" s="20" t="inlineStr">
        <is>
          <t>Rajan Cars</t>
        </is>
      </c>
      <c r="M864" s="23" t="n">
        <v>4237.29</v>
      </c>
      <c r="N864" s="23" t="n">
        <v>5000</v>
      </c>
      <c r="O864" s="24">
        <f>IF(AND(ISNUMBER(M864), ISNUMBER(I864), I864&gt;0), M864/I864, "")</f>
        <v/>
      </c>
    </row>
    <row r="865">
      <c r="A865" s="19" t="inlineStr">
        <is>
          <t>FY26</t>
        </is>
      </c>
      <c r="B865" s="19" t="inlineStr">
        <is>
          <t>Mar</t>
        </is>
      </c>
      <c r="C865" s="19" t="inlineStr">
        <is>
          <t>TN</t>
        </is>
      </c>
      <c r="D865" s="20" t="inlineStr">
        <is>
          <t>AP37BF9161</t>
        </is>
      </c>
      <c r="E865" s="20" t="inlineStr">
        <is>
          <t>MARUTI SUZUKI</t>
        </is>
      </c>
      <c r="F865" s="20" t="inlineStr">
        <is>
          <t>Alto</t>
        </is>
      </c>
      <c r="G865" s="21" t="n">
        <v>2010</v>
      </c>
      <c r="H865" s="22" t="n">
        <v>112620</v>
      </c>
      <c r="I865" s="23" t="n">
        <v>45000</v>
      </c>
      <c r="J865" s="20" t="inlineStr">
        <is>
          <t>EXCHANGE CHENNAI</t>
        </is>
      </c>
      <c r="K865" s="20" t="inlineStr">
        <is>
          <t>Captive</t>
        </is>
      </c>
      <c r="L865" s="20" t="inlineStr">
        <is>
          <t>RAJESH WARI (RAM CARS)</t>
        </is>
      </c>
      <c r="M865" s="23" t="n">
        <v>5084.75</v>
      </c>
      <c r="N865" s="23" t="n">
        <v>6000</v>
      </c>
      <c r="O865" s="24">
        <f>IF(AND(ISNUMBER(M865), ISNUMBER(I865), I865&gt;0), M865/I865, "")</f>
        <v/>
      </c>
    </row>
    <row r="866">
      <c r="A866" s="19" t="inlineStr">
        <is>
          <t>FY26</t>
        </is>
      </c>
      <c r="B866" s="19" t="inlineStr">
        <is>
          <t>Mar</t>
        </is>
      </c>
      <c r="C866" s="19" t="inlineStr">
        <is>
          <t>TN</t>
        </is>
      </c>
      <c r="D866" s="20" t="inlineStr">
        <is>
          <t>TN09CC1631</t>
        </is>
      </c>
      <c r="E866" s="20" t="inlineStr">
        <is>
          <t>HONDA</t>
        </is>
      </c>
      <c r="F866" s="20" t="inlineStr">
        <is>
          <t>City</t>
        </is>
      </c>
      <c r="G866" s="21" t="n">
        <v>2015</v>
      </c>
      <c r="H866" s="22" t="n"/>
      <c r="I866" s="23" t="n">
        <v>410000</v>
      </c>
      <c r="J866" s="20" t="inlineStr">
        <is>
          <t>EXCHANGE CHENNAI</t>
        </is>
      </c>
      <c r="K866" s="20" t="inlineStr">
        <is>
          <t>Captive</t>
        </is>
      </c>
      <c r="L866" s="20" t="inlineStr">
        <is>
          <t>Santhosh Cars</t>
        </is>
      </c>
      <c r="M866" s="23" t="n">
        <v>8474.58</v>
      </c>
      <c r="N866" s="23" t="n">
        <v>10000</v>
      </c>
      <c r="O866" s="24">
        <f>IF(AND(ISNUMBER(M866), ISNUMBER(I866), I866&gt;0), M866/I866, "")</f>
        <v/>
      </c>
    </row>
    <row r="867">
      <c r="A867" s="19" t="inlineStr">
        <is>
          <t>FY26</t>
        </is>
      </c>
      <c r="B867" s="19" t="inlineStr">
        <is>
          <t>Mar</t>
        </is>
      </c>
      <c r="C867" s="19" t="inlineStr">
        <is>
          <t>TN</t>
        </is>
      </c>
      <c r="D867" s="20" t="inlineStr">
        <is>
          <t>TN06H6802</t>
        </is>
      </c>
      <c r="E867" s="20" t="inlineStr">
        <is>
          <t>HONDA</t>
        </is>
      </c>
      <c r="F867" s="20" t="inlineStr">
        <is>
          <t>Br10</t>
        </is>
      </c>
      <c r="G867" s="21" t="n">
        <v>2012</v>
      </c>
      <c r="H867" s="22" t="n">
        <v>141881</v>
      </c>
      <c r="I867" s="23" t="n">
        <v>195000</v>
      </c>
      <c r="J867" s="20" t="inlineStr">
        <is>
          <t>EXCHANGE CHENNAI</t>
        </is>
      </c>
      <c r="K867" s="20" t="inlineStr">
        <is>
          <t>Captive</t>
        </is>
      </c>
      <c r="L867" s="20" t="inlineStr">
        <is>
          <t>AAA Cars</t>
        </is>
      </c>
      <c r="M867" s="23" t="n">
        <v>4237.29</v>
      </c>
      <c r="N867" s="23" t="n">
        <v>5000</v>
      </c>
      <c r="O867" s="24">
        <f>IF(AND(ISNUMBER(M867), ISNUMBER(I867), I867&gt;0), M867/I867, "")</f>
        <v/>
      </c>
    </row>
    <row r="868">
      <c r="A868" s="19" t="inlineStr">
        <is>
          <t>FY26</t>
        </is>
      </c>
      <c r="B868" s="19" t="inlineStr">
        <is>
          <t>Mar</t>
        </is>
      </c>
      <c r="C868" s="19" t="inlineStr">
        <is>
          <t>TN</t>
        </is>
      </c>
      <c r="D868" s="20" t="inlineStr">
        <is>
          <t>TN07BU2743</t>
        </is>
      </c>
      <c r="E868" s="20" t="inlineStr">
        <is>
          <t>HONDA</t>
        </is>
      </c>
      <c r="F868" s="20" t="inlineStr">
        <is>
          <t>Brio</t>
        </is>
      </c>
      <c r="G868" s="21" t="n">
        <v>2013</v>
      </c>
      <c r="H868" s="22" t="n">
        <v>150787</v>
      </c>
      <c r="I868" s="23" t="n">
        <v>223000</v>
      </c>
      <c r="J868" s="20" t="inlineStr">
        <is>
          <t>EXCHANGE CHENNAI</t>
        </is>
      </c>
      <c r="K868" s="20" t="inlineStr">
        <is>
          <t>Captive</t>
        </is>
      </c>
      <c r="L868" s="20" t="inlineStr">
        <is>
          <t>Santhosh Cars</t>
        </is>
      </c>
      <c r="M868" s="23" t="n">
        <v>5932.2</v>
      </c>
      <c r="N868" s="23" t="n">
        <v>7000</v>
      </c>
      <c r="O868" s="24">
        <f>IF(AND(ISNUMBER(M868), ISNUMBER(I868), I868&gt;0), M868/I868, "")</f>
        <v/>
      </c>
    </row>
    <row r="869">
      <c r="A869" s="19" t="inlineStr">
        <is>
          <t>FY26</t>
        </is>
      </c>
      <c r="B869" s="19" t="inlineStr">
        <is>
          <t>Mar</t>
        </is>
      </c>
      <c r="C869" s="19" t="inlineStr">
        <is>
          <t>TN</t>
        </is>
      </c>
      <c r="D869" s="20" t="inlineStr">
        <is>
          <t>TN22CJ0234</t>
        </is>
      </c>
      <c r="E869" s="20" t="inlineStr">
        <is>
          <t>HYUNDAI</t>
        </is>
      </c>
      <c r="F869" s="20" t="inlineStr">
        <is>
          <t>I20</t>
        </is>
      </c>
      <c r="G869" s="21" t="n">
        <v>2013</v>
      </c>
      <c r="H869" s="22" t="n">
        <v>98101</v>
      </c>
      <c r="I869" s="23" t="n">
        <v>300000</v>
      </c>
      <c r="J869" s="20" t="inlineStr">
        <is>
          <t>EXCHANGE CHENNAI</t>
        </is>
      </c>
      <c r="K869" s="20" t="inlineStr">
        <is>
          <t>Captive</t>
        </is>
      </c>
      <c r="L869" s="20" t="inlineStr">
        <is>
          <t>Varadhrajan cars</t>
        </is>
      </c>
      <c r="M869" s="23" t="n">
        <v>4237.29</v>
      </c>
      <c r="N869" s="23" t="n">
        <v>5000</v>
      </c>
      <c r="O869" s="24">
        <f>IF(AND(ISNUMBER(M869), ISNUMBER(I869), I869&gt;0), M869/I869, "")</f>
        <v/>
      </c>
    </row>
    <row r="870">
      <c r="A870" s="19" t="inlineStr">
        <is>
          <t>FY26</t>
        </is>
      </c>
      <c r="B870" s="19" t="inlineStr">
        <is>
          <t>Mar</t>
        </is>
      </c>
      <c r="C870" s="19" t="inlineStr">
        <is>
          <t>TN</t>
        </is>
      </c>
      <c r="D870" s="20" t="inlineStr">
        <is>
          <t>TN99J7981</t>
        </is>
      </c>
      <c r="E870" s="20" t="inlineStr">
        <is>
          <t>HYUNDAI</t>
        </is>
      </c>
      <c r="F870" s="20" t="inlineStr">
        <is>
          <t>Verna</t>
        </is>
      </c>
      <c r="G870" s="21" t="n">
        <v>2017</v>
      </c>
      <c r="H870" s="22" t="n">
        <v>118470</v>
      </c>
      <c r="I870" s="23" t="n">
        <v>450000</v>
      </c>
      <c r="J870" s="20" t="inlineStr">
        <is>
          <t>EXCHANGE ROTN</t>
        </is>
      </c>
      <c r="K870" s="20" t="inlineStr">
        <is>
          <t>Captive</t>
        </is>
      </c>
      <c r="L870" s="20" t="inlineStr">
        <is>
          <t>Sarvesh Cars</t>
        </is>
      </c>
      <c r="M870" s="23" t="n">
        <v>4237.29</v>
      </c>
      <c r="N870" s="23" t="n">
        <v>5000</v>
      </c>
      <c r="O870" s="24">
        <f>IF(AND(ISNUMBER(M870), ISNUMBER(I870), I870&gt;0), M870/I870, "")</f>
        <v/>
      </c>
    </row>
    <row r="871">
      <c r="A871" s="19" t="inlineStr">
        <is>
          <t>FY26</t>
        </is>
      </c>
      <c r="B871" s="19" t="inlineStr">
        <is>
          <t>Mar</t>
        </is>
      </c>
      <c r="C871" s="19" t="inlineStr">
        <is>
          <t>TN</t>
        </is>
      </c>
      <c r="D871" s="20" t="inlineStr">
        <is>
          <t>TN22BB1487</t>
        </is>
      </c>
      <c r="E871" s="20" t="inlineStr">
        <is>
          <t>MARUTI SUZUKI</t>
        </is>
      </c>
      <c r="F871" s="20" t="inlineStr">
        <is>
          <t>Zen Estilo</t>
        </is>
      </c>
      <c r="G871" s="21" t="n">
        <v>2008</v>
      </c>
      <c r="H871" s="22" t="n">
        <v>168865</v>
      </c>
      <c r="I871" s="23" t="n">
        <v>80000</v>
      </c>
      <c r="J871" s="20" t="inlineStr">
        <is>
          <t>Khivraj Motor</t>
        </is>
      </c>
      <c r="K871" s="20" t="inlineStr">
        <is>
          <t>Non-Captive</t>
        </is>
      </c>
      <c r="L871" s="20" t="inlineStr">
        <is>
          <t>RAJESH WARI (RAM CARS)</t>
        </is>
      </c>
      <c r="M871" s="23" t="n">
        <v>5084.75</v>
      </c>
      <c r="N871" s="23" t="n">
        <v>6000</v>
      </c>
      <c r="O871" s="24">
        <f>IF(AND(ISNUMBER(M871), ISNUMBER(I871), I871&gt;0), M871/I871, "")</f>
        <v/>
      </c>
    </row>
    <row r="872">
      <c r="A872" s="19" t="inlineStr">
        <is>
          <t>FY26</t>
        </is>
      </c>
      <c r="B872" s="19" t="inlineStr">
        <is>
          <t>Mar</t>
        </is>
      </c>
      <c r="C872" s="19" t="inlineStr">
        <is>
          <t>TN</t>
        </is>
      </c>
      <c r="D872" s="20" t="inlineStr">
        <is>
          <t>TN14A6292</t>
        </is>
      </c>
      <c r="E872" s="20" t="inlineStr">
        <is>
          <t>FORD</t>
        </is>
      </c>
      <c r="F872" s="20" t="inlineStr">
        <is>
          <t>Figo</t>
        </is>
      </c>
      <c r="G872" s="21" t="n">
        <v>2014</v>
      </c>
      <c r="H872" s="22" t="n">
        <v>104090</v>
      </c>
      <c r="I872" s="23" t="n">
        <v>150000</v>
      </c>
      <c r="J872" s="20" t="inlineStr">
        <is>
          <t>Khivraj Motor</t>
        </is>
      </c>
      <c r="K872" s="20" t="inlineStr">
        <is>
          <t>Non-Captive</t>
        </is>
      </c>
      <c r="L872" s="20" t="inlineStr">
        <is>
          <t>Bhavani Cars</t>
        </is>
      </c>
      <c r="M872" s="23" t="n">
        <v>5084.75</v>
      </c>
      <c r="N872" s="23" t="n">
        <v>6000</v>
      </c>
      <c r="O872" s="24">
        <f>IF(AND(ISNUMBER(M872), ISNUMBER(I872), I872&gt;0), M872/I872, "")</f>
        <v/>
      </c>
    </row>
    <row r="873">
      <c r="A873" s="19" t="inlineStr">
        <is>
          <t>FY26</t>
        </is>
      </c>
      <c r="B873" s="19" t="inlineStr">
        <is>
          <t>Mar</t>
        </is>
      </c>
      <c r="C873" s="19" t="inlineStr">
        <is>
          <t>TN</t>
        </is>
      </c>
      <c r="D873" s="20" t="inlineStr">
        <is>
          <t>TN05BQ6148</t>
        </is>
      </c>
      <c r="E873" s="20" t="inlineStr">
        <is>
          <t>MARUTI SUZUKI</t>
        </is>
      </c>
      <c r="F873" s="20" t="inlineStr">
        <is>
          <t>Alto</t>
        </is>
      </c>
      <c r="G873" s="21" t="n">
        <v>2018</v>
      </c>
      <c r="H873" s="22" t="n">
        <v>72324</v>
      </c>
      <c r="I873" s="23" t="n">
        <v>224000</v>
      </c>
      <c r="J873" s="20" t="inlineStr">
        <is>
          <t>Khivraj Motor</t>
        </is>
      </c>
      <c r="K873" s="20" t="inlineStr">
        <is>
          <t>Non-Captive</t>
        </is>
      </c>
      <c r="L873" s="20" t="inlineStr">
        <is>
          <t>33 Cars</t>
        </is>
      </c>
      <c r="M873" s="23" t="n">
        <v>5084.75</v>
      </c>
      <c r="N873" s="23" t="n">
        <v>6000</v>
      </c>
      <c r="O873" s="24">
        <f>IF(AND(ISNUMBER(M873), ISNUMBER(I873), I873&gt;0), M873/I873, "")</f>
        <v/>
      </c>
    </row>
    <row r="874">
      <c r="A874" s="19" t="inlineStr">
        <is>
          <t>FY26</t>
        </is>
      </c>
      <c r="B874" s="19" t="inlineStr">
        <is>
          <t>Mar</t>
        </is>
      </c>
      <c r="C874" s="19" t="inlineStr">
        <is>
          <t>TN</t>
        </is>
      </c>
      <c r="D874" s="20" t="inlineStr">
        <is>
          <t>TN02AR1599</t>
        </is>
      </c>
      <c r="E874" s="20" t="inlineStr">
        <is>
          <t>MARUTI SUZUKI</t>
        </is>
      </c>
      <c r="F874" s="20" t="inlineStr">
        <is>
          <t>Alto K10</t>
        </is>
      </c>
      <c r="G874" s="21" t="n">
        <v>2011</v>
      </c>
      <c r="H874" s="22" t="n">
        <v>73241</v>
      </c>
      <c r="I874" s="23" t="n">
        <v>114000</v>
      </c>
      <c r="J874" s="20" t="inlineStr">
        <is>
          <t>Khivraj Motor</t>
        </is>
      </c>
      <c r="K874" s="20" t="inlineStr">
        <is>
          <t>Non-Captive</t>
        </is>
      </c>
      <c r="L874" s="20" t="inlineStr">
        <is>
          <t>33 Cars</t>
        </is>
      </c>
      <c r="M874" s="23" t="n">
        <v>5084.75</v>
      </c>
      <c r="N874" s="23" t="n">
        <v>6000</v>
      </c>
      <c r="O874" s="24">
        <f>IF(AND(ISNUMBER(M874), ISNUMBER(I874), I874&gt;0), M874/I874, "")</f>
        <v/>
      </c>
    </row>
    <row r="875">
      <c r="A875" s="19" t="inlineStr">
        <is>
          <t>FY26</t>
        </is>
      </c>
      <c r="B875" s="19" t="inlineStr">
        <is>
          <t>Mar</t>
        </is>
      </c>
      <c r="C875" s="19" t="inlineStr">
        <is>
          <t>TN</t>
        </is>
      </c>
      <c r="D875" s="20" t="inlineStr">
        <is>
          <t>TN10BT2958</t>
        </is>
      </c>
      <c r="E875" s="20" t="inlineStr">
        <is>
          <t>MG MOTORS</t>
        </is>
      </c>
      <c r="F875" s="20" t="inlineStr">
        <is>
          <t>Hector-Plus</t>
        </is>
      </c>
      <c r="G875" s="21" t="n">
        <v>2023</v>
      </c>
      <c r="H875" s="22" t="n">
        <v>79620</v>
      </c>
      <c r="I875" s="23" t="n">
        <v>1095000</v>
      </c>
      <c r="J875" s="20" t="inlineStr">
        <is>
          <t>Khivraj Motor</t>
        </is>
      </c>
      <c r="K875" s="20" t="inlineStr">
        <is>
          <t>Non-Captive</t>
        </is>
      </c>
      <c r="L875" s="20" t="inlineStr">
        <is>
          <t>YES cars</t>
        </is>
      </c>
      <c r="M875" s="23" t="n">
        <v>11016.95</v>
      </c>
      <c r="N875" s="23" t="n">
        <v>13000</v>
      </c>
      <c r="O875" s="24">
        <f>IF(AND(ISNUMBER(M875), ISNUMBER(I875), I875&gt;0), M875/I875, "")</f>
        <v/>
      </c>
    </row>
    <row r="876">
      <c r="A876" s="19" t="inlineStr">
        <is>
          <t>FY26</t>
        </is>
      </c>
      <c r="B876" s="19" t="inlineStr">
        <is>
          <t>Mar</t>
        </is>
      </c>
      <c r="C876" s="19" t="inlineStr">
        <is>
          <t>TN</t>
        </is>
      </c>
      <c r="D876" s="20" t="inlineStr">
        <is>
          <t>TN09CQ9346</t>
        </is>
      </c>
      <c r="E876" s="20" t="inlineStr">
        <is>
          <t>HYUNDAI</t>
        </is>
      </c>
      <c r="F876" s="20" t="inlineStr">
        <is>
          <t>I20</t>
        </is>
      </c>
      <c r="G876" s="21" t="n">
        <v>2018</v>
      </c>
      <c r="H876" s="22" t="n">
        <v>58487</v>
      </c>
      <c r="I876" s="23" t="n">
        <v>494000</v>
      </c>
      <c r="J876" s="20" t="inlineStr">
        <is>
          <t>Khivraj Motor</t>
        </is>
      </c>
      <c r="K876" s="20" t="inlineStr">
        <is>
          <t>Non-Captive</t>
        </is>
      </c>
      <c r="L876" s="20" t="inlineStr">
        <is>
          <t>Lanson Toyota</t>
        </is>
      </c>
      <c r="M876" s="23" t="n">
        <v>13559.32</v>
      </c>
      <c r="N876" s="23" t="n">
        <v>16000</v>
      </c>
      <c r="O876" s="24">
        <f>IF(AND(ISNUMBER(M876), ISNUMBER(I876), I876&gt;0), M876/I876, "")</f>
        <v/>
      </c>
    </row>
    <row r="877">
      <c r="A877" s="19" t="inlineStr">
        <is>
          <t>FY26</t>
        </is>
      </c>
      <c r="B877" s="19" t="inlineStr">
        <is>
          <t>Mar</t>
        </is>
      </c>
      <c r="C877" s="19" t="inlineStr">
        <is>
          <t>TN</t>
        </is>
      </c>
      <c r="D877" s="20" t="inlineStr">
        <is>
          <t>TN22BV0990</t>
        </is>
      </c>
      <c r="E877" s="20" t="inlineStr">
        <is>
          <t>MARUTI SUZUKI</t>
        </is>
      </c>
      <c r="F877" s="20" t="inlineStr">
        <is>
          <t>Wagon R</t>
        </is>
      </c>
      <c r="G877" s="21" t="n">
        <v>2009</v>
      </c>
      <c r="H877" s="22" t="n">
        <v>83655</v>
      </c>
      <c r="I877" s="23" t="n">
        <v>134000</v>
      </c>
      <c r="J877" s="20" t="inlineStr">
        <is>
          <t>Khivraj Motor</t>
        </is>
      </c>
      <c r="K877" s="20" t="inlineStr">
        <is>
          <t>Non-Captive</t>
        </is>
      </c>
      <c r="L877" s="20" t="inlineStr">
        <is>
          <t>AS Cars Gopi</t>
        </is>
      </c>
      <c r="M877" s="23" t="n">
        <v>5084.75</v>
      </c>
      <c r="N877" s="23" t="n">
        <v>6000</v>
      </c>
      <c r="O877" s="24">
        <f>IF(AND(ISNUMBER(M877), ISNUMBER(I877), I877&gt;0), M877/I877, "")</f>
        <v/>
      </c>
    </row>
    <row r="878">
      <c r="A878" s="19" t="inlineStr">
        <is>
          <t>FY26</t>
        </is>
      </c>
      <c r="B878" s="19" t="inlineStr">
        <is>
          <t>Mar</t>
        </is>
      </c>
      <c r="C878" s="19" t="inlineStr">
        <is>
          <t>TN</t>
        </is>
      </c>
      <c r="D878" s="20" t="inlineStr">
        <is>
          <t>TN09CC9496</t>
        </is>
      </c>
      <c r="E878" s="20" t="inlineStr">
        <is>
          <t>MARUTI SUZUKI</t>
        </is>
      </c>
      <c r="F878" s="20" t="inlineStr">
        <is>
          <t>Wagon R</t>
        </is>
      </c>
      <c r="G878" s="21" t="n">
        <v>2016</v>
      </c>
      <c r="H878" s="22" t="n">
        <v>40645</v>
      </c>
      <c r="I878" s="23" t="n">
        <v>297000</v>
      </c>
      <c r="J878" s="20" t="inlineStr">
        <is>
          <t>CAR HUB</t>
        </is>
      </c>
      <c r="K878" s="20" t="inlineStr">
        <is>
          <t>Non-Captive</t>
        </is>
      </c>
      <c r="L878" s="20" t="inlineStr">
        <is>
          <t>AS Cars Gopi</t>
        </is>
      </c>
      <c r="M878" s="23" t="n">
        <v>5084.75</v>
      </c>
      <c r="N878" s="23" t="n">
        <v>6000</v>
      </c>
      <c r="O878" s="24">
        <f>IF(AND(ISNUMBER(M878), ISNUMBER(I878), I878&gt;0), M878/I878, "")</f>
        <v/>
      </c>
    </row>
    <row r="879">
      <c r="A879" s="19" t="inlineStr">
        <is>
          <t>FY26</t>
        </is>
      </c>
      <c r="B879" s="19" t="inlineStr">
        <is>
          <t>Mar</t>
        </is>
      </c>
      <c r="C879" s="19" t="inlineStr">
        <is>
          <t>TN</t>
        </is>
      </c>
      <c r="D879" s="20" t="inlineStr">
        <is>
          <t>TN18K6309</t>
        </is>
      </c>
      <c r="E879" s="20" t="inlineStr">
        <is>
          <t>MARUTI SUZUKI</t>
        </is>
      </c>
      <c r="F879" s="20" t="inlineStr">
        <is>
          <t>Alto</t>
        </is>
      </c>
      <c r="G879" s="21" t="n">
        <v>2012</v>
      </c>
      <c r="H879" s="22" t="n">
        <v>126715</v>
      </c>
      <c r="I879" s="23" t="n">
        <v>95000</v>
      </c>
      <c r="J879" s="20" t="inlineStr">
        <is>
          <t>Khivraj Motor</t>
        </is>
      </c>
      <c r="K879" s="20" t="inlineStr">
        <is>
          <t>Non-Captive</t>
        </is>
      </c>
      <c r="L879" s="20" t="inlineStr">
        <is>
          <t>AS Cars Gopi</t>
        </is>
      </c>
      <c r="M879" s="23" t="n">
        <v>5084.75</v>
      </c>
      <c r="N879" s="23" t="n">
        <v>6000</v>
      </c>
      <c r="O879" s="24">
        <f>IF(AND(ISNUMBER(M879), ISNUMBER(I879), I879&gt;0), M879/I879, "")</f>
        <v/>
      </c>
    </row>
    <row r="880">
      <c r="A880" s="19" t="inlineStr">
        <is>
          <t>FY26</t>
        </is>
      </c>
      <c r="B880" s="19" t="inlineStr">
        <is>
          <t>Mar</t>
        </is>
      </c>
      <c r="C880" s="19" t="inlineStr">
        <is>
          <t>TN</t>
        </is>
      </c>
      <c r="D880" s="20" t="inlineStr">
        <is>
          <t>TN07BM2944</t>
        </is>
      </c>
      <c r="E880" s="20" t="inlineStr">
        <is>
          <t>MARUTI SUZUKI</t>
        </is>
      </c>
      <c r="F880" s="20" t="inlineStr">
        <is>
          <t>Zen Estilo</t>
        </is>
      </c>
      <c r="G880" s="21" t="n">
        <v>2011</v>
      </c>
      <c r="H880" s="22" t="n">
        <v>95227</v>
      </c>
      <c r="I880" s="23" t="n">
        <v>120000</v>
      </c>
      <c r="J880" s="20" t="inlineStr">
        <is>
          <t>Khivraj Motor</t>
        </is>
      </c>
      <c r="K880" s="20" t="inlineStr">
        <is>
          <t>Non-Captive</t>
        </is>
      </c>
      <c r="L880" s="20" t="inlineStr">
        <is>
          <t>Pine Autos</t>
        </is>
      </c>
      <c r="M880" s="23" t="n">
        <v>5084.75</v>
      </c>
      <c r="N880" s="23" t="n">
        <v>6000</v>
      </c>
      <c r="O880" s="24">
        <f>IF(AND(ISNUMBER(M880), ISNUMBER(I880), I880&gt;0), M880/I880, "")</f>
        <v/>
      </c>
    </row>
    <row r="881">
      <c r="A881" s="19" t="inlineStr">
        <is>
          <t>FY26</t>
        </is>
      </c>
      <c r="B881" s="19" t="inlineStr">
        <is>
          <t>Mar</t>
        </is>
      </c>
      <c r="C881" s="19" t="inlineStr">
        <is>
          <t>TN</t>
        </is>
      </c>
      <c r="D881" s="20" t="inlineStr">
        <is>
          <t>TN20BH1774</t>
        </is>
      </c>
      <c r="E881" s="20" t="inlineStr">
        <is>
          <t>MARUTI SUZUKI</t>
        </is>
      </c>
      <c r="F881" s="20" t="inlineStr">
        <is>
          <t>Alto</t>
        </is>
      </c>
      <c r="G881" s="21" t="n">
        <v>2011</v>
      </c>
      <c r="H881" s="22" t="n">
        <v>122895</v>
      </c>
      <c r="I881" s="23" t="n">
        <v>110000</v>
      </c>
      <c r="J881" s="20" t="inlineStr">
        <is>
          <t>Khivraj Motor</t>
        </is>
      </c>
      <c r="K881" s="20" t="inlineStr">
        <is>
          <t>Non-Captive</t>
        </is>
      </c>
      <c r="L881" s="20" t="inlineStr">
        <is>
          <t>AAA Cars</t>
        </is>
      </c>
      <c r="M881" s="23" t="n">
        <v>5084.75</v>
      </c>
      <c r="N881" s="23" t="n">
        <v>6000</v>
      </c>
      <c r="O881" s="24">
        <f>IF(AND(ISNUMBER(M881), ISNUMBER(I881), I881&gt;0), M881/I881, "")</f>
        <v/>
      </c>
    </row>
    <row r="882">
      <c r="A882" s="19" t="inlineStr">
        <is>
          <t>FY26</t>
        </is>
      </c>
      <c r="B882" s="19" t="inlineStr">
        <is>
          <t>Mar</t>
        </is>
      </c>
      <c r="C882" s="19" t="inlineStr">
        <is>
          <t>TN</t>
        </is>
      </c>
      <c r="D882" s="20" t="inlineStr">
        <is>
          <t>TN07BS7823</t>
        </is>
      </c>
      <c r="E882" s="20" t="inlineStr">
        <is>
          <t>MAHINDRA</t>
        </is>
      </c>
      <c r="F882" s="20" t="inlineStr">
        <is>
          <t>Quanto</t>
        </is>
      </c>
      <c r="G882" s="21" t="n">
        <v>2012</v>
      </c>
      <c r="H882" s="22" t="n">
        <v>127270</v>
      </c>
      <c r="I882" s="23" t="n">
        <v>100000</v>
      </c>
      <c r="J882" s="20" t="inlineStr">
        <is>
          <t>Khivraj Motor</t>
        </is>
      </c>
      <c r="K882" s="20" t="inlineStr">
        <is>
          <t>Non-Captive</t>
        </is>
      </c>
      <c r="L882" s="20" t="inlineStr">
        <is>
          <t>RAJESH WARI (RAM CARS)</t>
        </is>
      </c>
      <c r="M882" s="23" t="n">
        <v>5084.75</v>
      </c>
      <c r="N882" s="23" t="n">
        <v>6000</v>
      </c>
      <c r="O882" s="24">
        <f>IF(AND(ISNUMBER(M882), ISNUMBER(I882), I882&gt;0), M882/I882, "")</f>
        <v/>
      </c>
    </row>
    <row r="883">
      <c r="A883" s="19" t="inlineStr">
        <is>
          <t>FY26</t>
        </is>
      </c>
      <c r="B883" s="19" t="inlineStr">
        <is>
          <t>Mar</t>
        </is>
      </c>
      <c r="C883" s="19" t="inlineStr">
        <is>
          <t>TN</t>
        </is>
      </c>
      <c r="D883" s="20" t="inlineStr">
        <is>
          <t>TN04AL6049</t>
        </is>
      </c>
      <c r="E883" s="20" t="inlineStr">
        <is>
          <t>NISSAN</t>
        </is>
      </c>
      <c r="F883" s="20" t="inlineStr">
        <is>
          <t>Sunny</t>
        </is>
      </c>
      <c r="G883" s="21" t="n">
        <v>2013</v>
      </c>
      <c r="H883" s="22" t="n">
        <v>103245</v>
      </c>
      <c r="I883" s="23" t="n">
        <v>187000</v>
      </c>
      <c r="J883" s="20" t="inlineStr">
        <is>
          <t>Khivraj Motor</t>
        </is>
      </c>
      <c r="K883" s="20" t="inlineStr">
        <is>
          <t>Non-Captive</t>
        </is>
      </c>
      <c r="L883" s="20" t="inlineStr">
        <is>
          <t>Aasim Motor</t>
        </is>
      </c>
      <c r="M883" s="23" t="n">
        <v>5084.75</v>
      </c>
      <c r="N883" s="23" t="n">
        <v>6000</v>
      </c>
      <c r="O883" s="24">
        <f>IF(AND(ISNUMBER(M883), ISNUMBER(I883), I883&gt;0), M883/I883, "")</f>
        <v/>
      </c>
    </row>
    <row r="884">
      <c r="A884" s="19" t="inlineStr">
        <is>
          <t>FY26</t>
        </is>
      </c>
      <c r="B884" s="19" t="inlineStr">
        <is>
          <t>Mar</t>
        </is>
      </c>
      <c r="C884" s="19" t="inlineStr">
        <is>
          <t>TN</t>
        </is>
      </c>
      <c r="D884" s="20" t="inlineStr">
        <is>
          <t>TN38BY2345</t>
        </is>
      </c>
      <c r="E884" s="20" t="inlineStr">
        <is>
          <t>HONDA</t>
        </is>
      </c>
      <c r="F884" s="20" t="inlineStr">
        <is>
          <t>City</t>
        </is>
      </c>
      <c r="G884" s="21" t="n">
        <v>2014</v>
      </c>
      <c r="H884" s="22" t="n">
        <v>60955</v>
      </c>
      <c r="I884" s="23" t="n">
        <v>550000</v>
      </c>
      <c r="J884" s="20" t="inlineStr">
        <is>
          <t>EXCHANGE ROTN</t>
        </is>
      </c>
      <c r="K884" s="20" t="inlineStr">
        <is>
          <t>Captive</t>
        </is>
      </c>
      <c r="L884" s="20" t="inlineStr">
        <is>
          <t>YUGA DHEERAN CARS</t>
        </is>
      </c>
      <c r="M884" s="23" t="n">
        <v>12711.86</v>
      </c>
      <c r="N884" s="23" t="n">
        <v>15000</v>
      </c>
      <c r="O884" s="24">
        <f>IF(AND(ISNUMBER(M884), ISNUMBER(I884), I884&gt;0), M884/I884, "")</f>
        <v/>
      </c>
    </row>
    <row r="885">
      <c r="A885" s="19" t="inlineStr">
        <is>
          <t>FY26</t>
        </is>
      </c>
      <c r="B885" s="19" t="inlineStr">
        <is>
          <t>Mar</t>
        </is>
      </c>
      <c r="C885" s="19" t="inlineStr">
        <is>
          <t>TN</t>
        </is>
      </c>
      <c r="D885" s="20" t="inlineStr">
        <is>
          <t>TN49AH6007</t>
        </is>
      </c>
      <c r="E885" s="20" t="inlineStr">
        <is>
          <t>MAHINDRA</t>
        </is>
      </c>
      <c r="F885" s="20" t="inlineStr">
        <is>
          <t>Bolero</t>
        </is>
      </c>
      <c r="G885" s="21" t="n">
        <v>2011</v>
      </c>
      <c r="H885" s="22" t="n">
        <v>39944</v>
      </c>
      <c r="I885" s="23" t="n">
        <v>270000</v>
      </c>
      <c r="J885" s="20" t="inlineStr">
        <is>
          <t>EXCHANGE ROTN</t>
        </is>
      </c>
      <c r="K885" s="20" t="inlineStr">
        <is>
          <t>Captive</t>
        </is>
      </c>
      <c r="L885" s="20" t="inlineStr">
        <is>
          <t>UZHAVAN ENTERPRISE</t>
        </is>
      </c>
      <c r="M885" s="23" t="n">
        <v>8474.58</v>
      </c>
      <c r="N885" s="23" t="n">
        <v>10000</v>
      </c>
      <c r="O885" s="24">
        <f>IF(AND(ISNUMBER(M885), ISNUMBER(I885), I885&gt;0), M885/I885, "")</f>
        <v/>
      </c>
    </row>
    <row r="886">
      <c r="A886" s="19" t="inlineStr">
        <is>
          <t>FY26</t>
        </is>
      </c>
      <c r="B886" s="19" t="inlineStr">
        <is>
          <t>Mar</t>
        </is>
      </c>
      <c r="C886" s="19" t="inlineStr">
        <is>
          <t>TN</t>
        </is>
      </c>
      <c r="D886" s="20" t="inlineStr">
        <is>
          <t>TN88K4633</t>
        </is>
      </c>
      <c r="E886" s="20" t="inlineStr">
        <is>
          <t>HONDA</t>
        </is>
      </c>
      <c r="F886" s="20" t="inlineStr">
        <is>
          <t>Amaze</t>
        </is>
      </c>
      <c r="G886" s="21" t="n">
        <v>2023</v>
      </c>
      <c r="H886" s="22" t="n">
        <v>44612</v>
      </c>
      <c r="I886" s="23" t="n">
        <v>460000</v>
      </c>
      <c r="J886" s="20" t="inlineStr">
        <is>
          <t>EXCHANGE ROTN</t>
        </is>
      </c>
      <c r="K886" s="20" t="inlineStr">
        <is>
          <t>Captive</t>
        </is>
      </c>
      <c r="L886" s="20" t="inlineStr">
        <is>
          <t>Sai Cars</t>
        </is>
      </c>
      <c r="M886" s="23" t="n">
        <v>8474.58</v>
      </c>
      <c r="N886" s="23" t="n">
        <v>10000</v>
      </c>
      <c r="O886" s="24">
        <f>IF(AND(ISNUMBER(M886), ISNUMBER(I886), I886&gt;0), M886/I886, "")</f>
        <v/>
      </c>
    </row>
    <row r="887">
      <c r="A887" s="19" t="inlineStr">
        <is>
          <t>FY26</t>
        </is>
      </c>
      <c r="B887" s="19" t="inlineStr">
        <is>
          <t>Mar</t>
        </is>
      </c>
      <c r="C887" s="19" t="inlineStr">
        <is>
          <t>TN</t>
        </is>
      </c>
      <c r="D887" s="20" t="inlineStr">
        <is>
          <t>TN30BB0267</t>
        </is>
      </c>
      <c r="E887" s="20" t="inlineStr">
        <is>
          <t>FIAT</t>
        </is>
      </c>
      <c r="F887" s="20" t="inlineStr">
        <is>
          <t>Punto</t>
        </is>
      </c>
      <c r="G887" s="21" t="n">
        <v>2014</v>
      </c>
      <c r="H887" s="22" t="n">
        <v>17468</v>
      </c>
      <c r="I887" s="23" t="n">
        <v>47000</v>
      </c>
      <c r="J887" s="20" t="inlineStr">
        <is>
          <t>EXCHANGE ROTN</t>
        </is>
      </c>
      <c r="K887" s="20" t="inlineStr">
        <is>
          <t>Captive</t>
        </is>
      </c>
      <c r="L887" s="20" t="inlineStr">
        <is>
          <t>Stalin Cars</t>
        </is>
      </c>
      <c r="M887" s="23" t="n">
        <v>4237.29</v>
      </c>
      <c r="N887" s="23" t="n">
        <v>5000</v>
      </c>
      <c r="O887" s="24">
        <f>IF(AND(ISNUMBER(M887), ISNUMBER(I887), I887&gt;0), M887/I887, "")</f>
        <v/>
      </c>
    </row>
    <row r="888">
      <c r="A888" s="19" t="inlineStr">
        <is>
          <t>FY26</t>
        </is>
      </c>
      <c r="B888" s="19" t="inlineStr">
        <is>
          <t>Mar</t>
        </is>
      </c>
      <c r="C888" s="19" t="inlineStr">
        <is>
          <t>TN</t>
        </is>
      </c>
      <c r="D888" s="20" t="inlineStr">
        <is>
          <t>TN66H8655</t>
        </is>
      </c>
      <c r="E888" s="20" t="inlineStr">
        <is>
          <t>HYUNDAI</t>
        </is>
      </c>
      <c r="F888" s="20" t="inlineStr">
        <is>
          <t>Eon</t>
        </is>
      </c>
      <c r="G888" s="21" t="n">
        <v>2013</v>
      </c>
      <c r="H888" s="22" t="n">
        <v>136587</v>
      </c>
      <c r="I888" s="23" t="n">
        <v>150000</v>
      </c>
      <c r="J888" s="20" t="inlineStr">
        <is>
          <t>EXCHANGE ROTN</t>
        </is>
      </c>
      <c r="K888" s="20" t="inlineStr">
        <is>
          <t>Captive</t>
        </is>
      </c>
      <c r="L888" s="20" t="inlineStr">
        <is>
          <t>UZHAVAN ENTERPRISE</t>
        </is>
      </c>
      <c r="M888" s="23" t="n">
        <v>8474.58</v>
      </c>
      <c r="N888" s="23" t="n">
        <v>10000</v>
      </c>
      <c r="O888" s="24">
        <f>IF(AND(ISNUMBER(M888), ISNUMBER(I888), I888&gt;0), M888/I888, "")</f>
        <v/>
      </c>
    </row>
    <row r="889">
      <c r="A889" s="19" t="inlineStr">
        <is>
          <t>FY26</t>
        </is>
      </c>
      <c r="B889" s="19" t="inlineStr">
        <is>
          <t>Mar</t>
        </is>
      </c>
      <c r="C889" s="19" t="inlineStr">
        <is>
          <t>TN</t>
        </is>
      </c>
      <c r="D889" s="20" t="inlineStr">
        <is>
          <t>TN07BF0194</t>
        </is>
      </c>
      <c r="E889" s="20" t="inlineStr">
        <is>
          <t>HYUNDAI</t>
        </is>
      </c>
      <c r="F889" s="20" t="inlineStr">
        <is>
          <t>I10</t>
        </is>
      </c>
      <c r="G889" s="21" t="n">
        <v>2010</v>
      </c>
      <c r="H889" s="22" t="n">
        <v>203213</v>
      </c>
      <c r="I889" s="23" t="n">
        <v>135000</v>
      </c>
      <c r="J889" s="20" t="inlineStr">
        <is>
          <t>EXCHANGE ROTN</t>
        </is>
      </c>
      <c r="K889" s="20" t="inlineStr">
        <is>
          <t>Captive</t>
        </is>
      </c>
      <c r="L889" s="20" t="inlineStr">
        <is>
          <t>Gugha Cars</t>
        </is>
      </c>
      <c r="M889" s="23" t="n">
        <v>8474.58</v>
      </c>
      <c r="N889" s="23" t="n">
        <v>10000</v>
      </c>
      <c r="O889" s="24">
        <f>IF(AND(ISNUMBER(M889), ISNUMBER(I889), I889&gt;0), M889/I889, "")</f>
        <v/>
      </c>
    </row>
    <row r="890">
      <c r="A890" s="19" t="inlineStr">
        <is>
          <t>FY26</t>
        </is>
      </c>
      <c r="B890" s="19" t="inlineStr">
        <is>
          <t>Mar</t>
        </is>
      </c>
      <c r="C890" s="19" t="inlineStr">
        <is>
          <t>TN</t>
        </is>
      </c>
      <c r="D890" s="20" t="inlineStr">
        <is>
          <t>TN95E1062</t>
        </is>
      </c>
      <c r="E890" s="20" t="inlineStr">
        <is>
          <t>MARUTI SUZUKI</t>
        </is>
      </c>
      <c r="F890" s="20" t="inlineStr">
        <is>
          <t>Ignis</t>
        </is>
      </c>
      <c r="G890" s="21" t="n">
        <v>2020</v>
      </c>
      <c r="H890" s="22" t="n"/>
      <c r="I890" s="23" t="n">
        <v>410000</v>
      </c>
      <c r="J890" s="20" t="inlineStr">
        <is>
          <t>EXCHANGE ROTN</t>
        </is>
      </c>
      <c r="K890" s="20" t="inlineStr">
        <is>
          <t>Captive</t>
        </is>
      </c>
      <c r="L890" s="20" t="inlineStr">
        <is>
          <t>Paul Cars</t>
        </is>
      </c>
      <c r="M890" s="23" t="n">
        <v>8474.58</v>
      </c>
      <c r="N890" s="23" t="n">
        <v>10000</v>
      </c>
      <c r="O890" s="24">
        <f>IF(AND(ISNUMBER(M890), ISNUMBER(I890), I890&gt;0), M890/I890, "")</f>
        <v/>
      </c>
    </row>
    <row r="891">
      <c r="A891" s="19" t="inlineStr">
        <is>
          <t>FY26</t>
        </is>
      </c>
      <c r="B891" s="19" t="inlineStr">
        <is>
          <t>Mar</t>
        </is>
      </c>
      <c r="C891" s="19" t="inlineStr">
        <is>
          <t>TN</t>
        </is>
      </c>
      <c r="D891" s="20" t="inlineStr">
        <is>
          <t>TN954676</t>
        </is>
      </c>
      <c r="E891" s="20" t="inlineStr">
        <is>
          <t>MARUTI SUZUKI</t>
        </is>
      </c>
      <c r="F891" s="20" t="inlineStr">
        <is>
          <t>Ciaz</t>
        </is>
      </c>
      <c r="G891" s="21" t="n">
        <v>2017</v>
      </c>
      <c r="H891" s="22" t="n">
        <v>86882</v>
      </c>
      <c r="I891" s="23" t="n">
        <v>505000</v>
      </c>
      <c r="J891" s="20" t="inlineStr">
        <is>
          <t>EXCHANGE ROTN</t>
        </is>
      </c>
      <c r="K891" s="20" t="inlineStr">
        <is>
          <t>Captive</t>
        </is>
      </c>
      <c r="L891" s="20" t="inlineStr">
        <is>
          <t>Ashwin cars</t>
        </is>
      </c>
      <c r="M891" s="23" t="n">
        <v>8474.58</v>
      </c>
      <c r="N891" s="23" t="n">
        <v>10000</v>
      </c>
      <c r="O891" s="24">
        <f>IF(AND(ISNUMBER(M891), ISNUMBER(I891), I891&gt;0), M891/I891, "")</f>
        <v/>
      </c>
    </row>
    <row r="892">
      <c r="A892" s="19" t="inlineStr">
        <is>
          <t>FY26</t>
        </is>
      </c>
      <c r="B892" s="19" t="inlineStr">
        <is>
          <t>Mar</t>
        </is>
      </c>
      <c r="C892" s="19" t="inlineStr">
        <is>
          <t>TN</t>
        </is>
      </c>
      <c r="D892" s="20" t="inlineStr">
        <is>
          <t>TN58AM0651</t>
        </is>
      </c>
      <c r="E892" s="20" t="inlineStr">
        <is>
          <t>HONDA</t>
        </is>
      </c>
      <c r="F892" s="20" t="inlineStr">
        <is>
          <t>Amaze</t>
        </is>
      </c>
      <c r="G892" s="21" t="n">
        <v>2016</v>
      </c>
      <c r="H892" s="22" t="n">
        <v>23484</v>
      </c>
      <c r="I892" s="23" t="n">
        <v>400000</v>
      </c>
      <c r="J892" s="20" t="inlineStr">
        <is>
          <t>EXCHANGE ROTN</t>
        </is>
      </c>
      <c r="K892" s="20" t="inlineStr">
        <is>
          <t>Captive</t>
        </is>
      </c>
      <c r="L892" s="20" t="inlineStr">
        <is>
          <t>Sun Cars</t>
        </is>
      </c>
      <c r="M892" s="23" t="n">
        <v>12711.86</v>
      </c>
      <c r="N892" s="23" t="n">
        <v>15000</v>
      </c>
      <c r="O892" s="24">
        <f>IF(AND(ISNUMBER(M892), ISNUMBER(I892), I892&gt;0), M892/I892, "")</f>
        <v/>
      </c>
    </row>
    <row r="893">
      <c r="A893" s="19" t="inlineStr">
        <is>
          <t>FY26</t>
        </is>
      </c>
      <c r="B893" s="19" t="inlineStr">
        <is>
          <t>Mar</t>
        </is>
      </c>
      <c r="C893" s="19" t="inlineStr">
        <is>
          <t>TN</t>
        </is>
      </c>
      <c r="D893" s="20" t="inlineStr">
        <is>
          <t>TN07CW2563</t>
        </is>
      </c>
      <c r="E893" s="20" t="inlineStr">
        <is>
          <t>HONDA</t>
        </is>
      </c>
      <c r="F893" s="20" t="inlineStr">
        <is>
          <t>City</t>
        </is>
      </c>
      <c r="G893" s="21" t="n">
        <v>2020</v>
      </c>
      <c r="H893" s="22" t="n">
        <v>31002</v>
      </c>
      <c r="I893" s="23" t="n">
        <v>805000</v>
      </c>
      <c r="J893" s="20" t="inlineStr">
        <is>
          <t>EXCHANGE CHENNAI</t>
        </is>
      </c>
      <c r="K893" s="20" t="inlineStr">
        <is>
          <t>Captive</t>
        </is>
      </c>
      <c r="L893" s="20" t="inlineStr">
        <is>
          <t>Santhosh Cars</t>
        </is>
      </c>
      <c r="M893" s="23" t="n">
        <v>12711.86</v>
      </c>
      <c r="N893" s="23" t="n">
        <v>15000</v>
      </c>
      <c r="O893" s="24">
        <f>IF(AND(ISNUMBER(M893), ISNUMBER(I893), I893&gt;0), M893/I893, "")</f>
        <v/>
      </c>
    </row>
    <row r="894">
      <c r="A894" s="19" t="inlineStr">
        <is>
          <t>FY26</t>
        </is>
      </c>
      <c r="B894" s="19" t="inlineStr">
        <is>
          <t>Mar</t>
        </is>
      </c>
      <c r="C894" s="19" t="inlineStr">
        <is>
          <t>TN</t>
        </is>
      </c>
      <c r="D894" s="20" t="inlineStr">
        <is>
          <t>TN13H1317</t>
        </is>
      </c>
      <c r="E894" s="20" t="inlineStr">
        <is>
          <t>HONDA</t>
        </is>
      </c>
      <c r="F894" s="20" t="inlineStr">
        <is>
          <t>Jazz</t>
        </is>
      </c>
      <c r="G894" s="21" t="n">
        <v>2016</v>
      </c>
      <c r="H894" s="22" t="n">
        <v>219412</v>
      </c>
      <c r="I894" s="23" t="n">
        <v>350000</v>
      </c>
      <c r="J894" s="20" t="inlineStr">
        <is>
          <t>EXCHANGE CHENNAI</t>
        </is>
      </c>
      <c r="K894" s="20" t="inlineStr">
        <is>
          <t>Captive</t>
        </is>
      </c>
      <c r="L894" s="20" t="inlineStr">
        <is>
          <t>Santhosh Cars</t>
        </is>
      </c>
      <c r="M894" s="23" t="n">
        <v>8474.58</v>
      </c>
      <c r="N894" s="23" t="n">
        <v>10000</v>
      </c>
      <c r="O894" s="24">
        <f>IF(AND(ISNUMBER(M894), ISNUMBER(I894), I894&gt;0), M894/I894, "")</f>
        <v/>
      </c>
    </row>
    <row r="895">
      <c r="A895" s="19" t="inlineStr">
        <is>
          <t>FY26</t>
        </is>
      </c>
      <c r="B895" s="19" t="inlineStr">
        <is>
          <t>Mar</t>
        </is>
      </c>
      <c r="C895" s="19" t="inlineStr">
        <is>
          <t>TN</t>
        </is>
      </c>
      <c r="D895" s="20" t="inlineStr">
        <is>
          <t>TN06Y7983</t>
        </is>
      </c>
      <c r="E895" s="20" t="inlineStr">
        <is>
          <t>HONDA</t>
        </is>
      </c>
      <c r="F895" s="20" t="inlineStr">
        <is>
          <t>City</t>
        </is>
      </c>
      <c r="G895" s="21" t="n">
        <v>2019</v>
      </c>
      <c r="H895" s="22" t="n">
        <v>62643</v>
      </c>
      <c r="I895" s="23" t="n">
        <v>580000</v>
      </c>
      <c r="J895" s="20" t="inlineStr">
        <is>
          <t>EXCHANGE CHENNAI</t>
        </is>
      </c>
      <c r="K895" s="20" t="inlineStr">
        <is>
          <t>Captive</t>
        </is>
      </c>
      <c r="L895" s="20" t="inlineStr">
        <is>
          <t>Santhosh Cars</t>
        </is>
      </c>
      <c r="M895" s="23" t="n">
        <v>8474.58</v>
      </c>
      <c r="N895" s="23" t="n">
        <v>10000</v>
      </c>
      <c r="O895" s="24">
        <f>IF(AND(ISNUMBER(M895), ISNUMBER(I895), I895&gt;0), M895/I895, "")</f>
        <v/>
      </c>
    </row>
    <row r="896">
      <c r="A896" s="19" t="inlineStr">
        <is>
          <t>FY26</t>
        </is>
      </c>
      <c r="B896" s="19" t="inlineStr">
        <is>
          <t>Mar</t>
        </is>
      </c>
      <c r="C896" s="19" t="inlineStr">
        <is>
          <t>TN</t>
        </is>
      </c>
      <c r="D896" s="20" t="inlineStr">
        <is>
          <t>TN09CW6328</t>
        </is>
      </c>
      <c r="E896" s="20" t="inlineStr">
        <is>
          <t>MARUTI SUZUKI</t>
        </is>
      </c>
      <c r="F896" s="20" t="inlineStr">
        <is>
          <t>S-Presso</t>
        </is>
      </c>
      <c r="G896" s="21" t="n">
        <v>2021</v>
      </c>
      <c r="H896" s="22" t="n">
        <v>102052</v>
      </c>
      <c r="I896" s="23" t="n">
        <v>300000</v>
      </c>
      <c r="J896" s="20" t="inlineStr">
        <is>
          <t>EXCHANGE CHENNAI</t>
        </is>
      </c>
      <c r="K896" s="20" t="inlineStr">
        <is>
          <t>Captive</t>
        </is>
      </c>
      <c r="L896" s="20" t="inlineStr">
        <is>
          <t>Santhosh Cars</t>
        </is>
      </c>
      <c r="M896" s="23" t="n">
        <v>8474.58</v>
      </c>
      <c r="N896" s="23" t="n">
        <v>10000</v>
      </c>
      <c r="O896" s="24">
        <f>IF(AND(ISNUMBER(M896), ISNUMBER(I896), I896&gt;0), M896/I896, "")</f>
        <v/>
      </c>
    </row>
    <row r="897">
      <c r="A897" s="19" t="inlineStr">
        <is>
          <t>FY26</t>
        </is>
      </c>
      <c r="B897" s="19" t="inlineStr">
        <is>
          <t>Mar</t>
        </is>
      </c>
      <c r="C897" s="19" t="inlineStr">
        <is>
          <t>TN</t>
        </is>
      </c>
      <c r="D897" s="20" t="inlineStr">
        <is>
          <t>TN07CQ4221</t>
        </is>
      </c>
      <c r="E897" s="20" t="inlineStr">
        <is>
          <t>HONDA</t>
        </is>
      </c>
      <c r="F897" s="20" t="inlineStr">
        <is>
          <t>City</t>
        </is>
      </c>
      <c r="G897" s="21" t="n">
        <v>2018</v>
      </c>
      <c r="H897" s="22" t="n">
        <v>13157</v>
      </c>
      <c r="I897" s="23" t="n">
        <v>560000</v>
      </c>
      <c r="J897" s="20" t="inlineStr">
        <is>
          <t>EXCHANGE CHENNAI</t>
        </is>
      </c>
      <c r="K897" s="20" t="inlineStr">
        <is>
          <t>Captive</t>
        </is>
      </c>
      <c r="L897" s="20" t="inlineStr">
        <is>
          <t>Nirmal Cars</t>
        </is>
      </c>
      <c r="M897" s="23" t="n">
        <v>8474.58</v>
      </c>
      <c r="N897" s="23" t="n">
        <v>10000</v>
      </c>
      <c r="O897" s="24">
        <f>IF(AND(ISNUMBER(M897), ISNUMBER(I897), I897&gt;0), M897/I897, "")</f>
        <v/>
      </c>
    </row>
    <row r="898">
      <c r="A898" s="19" t="inlineStr">
        <is>
          <t>FY26</t>
        </is>
      </c>
      <c r="B898" s="19" t="inlineStr">
        <is>
          <t>Mar</t>
        </is>
      </c>
      <c r="C898" s="19" t="inlineStr">
        <is>
          <t>TN</t>
        </is>
      </c>
      <c r="D898" s="20" t="inlineStr">
        <is>
          <t>TN10AU2882</t>
        </is>
      </c>
      <c r="E898" s="20" t="inlineStr">
        <is>
          <t>HYUNDAI</t>
        </is>
      </c>
      <c r="F898" s="20" t="inlineStr">
        <is>
          <t>Creta</t>
        </is>
      </c>
      <c r="G898" s="21" t="n">
        <v>2015</v>
      </c>
      <c r="H898" s="22" t="n">
        <v>77930</v>
      </c>
      <c r="I898" s="23" t="n">
        <v>400000</v>
      </c>
      <c r="J898" s="20" t="inlineStr">
        <is>
          <t>EXCHANGE CHENNAI</t>
        </is>
      </c>
      <c r="K898" s="20" t="inlineStr">
        <is>
          <t>Captive</t>
        </is>
      </c>
      <c r="L898" s="20" t="inlineStr">
        <is>
          <t>Santhosh Cars</t>
        </is>
      </c>
      <c r="M898" s="23" t="n">
        <v>8474.58</v>
      </c>
      <c r="N898" s="23" t="n">
        <v>10000</v>
      </c>
      <c r="O898" s="24">
        <f>IF(AND(ISNUMBER(M898), ISNUMBER(I898), I898&gt;0), M898/I898, "")</f>
        <v/>
      </c>
    </row>
    <row r="899">
      <c r="A899" s="19" t="inlineStr">
        <is>
          <t>FY26</t>
        </is>
      </c>
      <c r="B899" s="19" t="inlineStr">
        <is>
          <t>Mar</t>
        </is>
      </c>
      <c r="C899" s="19" t="inlineStr">
        <is>
          <t>TN</t>
        </is>
      </c>
      <c r="D899" s="20" t="inlineStr">
        <is>
          <t>TN01AY5676</t>
        </is>
      </c>
      <c r="E899" s="20" t="inlineStr">
        <is>
          <t>HONDA</t>
        </is>
      </c>
      <c r="F899" s="20" t="inlineStr">
        <is>
          <t>City</t>
        </is>
      </c>
      <c r="G899" s="21" t="n">
        <v>2015</v>
      </c>
      <c r="H899" s="22" t="n">
        <v>63862</v>
      </c>
      <c r="I899" s="23" t="n">
        <v>410000</v>
      </c>
      <c r="J899" s="20" t="inlineStr">
        <is>
          <t>EXCHANGE CHENNAI</t>
        </is>
      </c>
      <c r="K899" s="20" t="inlineStr">
        <is>
          <t>Captive</t>
        </is>
      </c>
      <c r="L899" s="20" t="inlineStr">
        <is>
          <t>Nirmal Cars</t>
        </is>
      </c>
      <c r="M899" s="23" t="n">
        <v>5932.2</v>
      </c>
      <c r="N899" s="23" t="n">
        <v>7000</v>
      </c>
      <c r="O899" s="24">
        <f>IF(AND(ISNUMBER(M899), ISNUMBER(I899), I899&gt;0), M899/I899, "")</f>
        <v/>
      </c>
    </row>
    <row r="900">
      <c r="A900" s="19" t="inlineStr">
        <is>
          <t>FY26</t>
        </is>
      </c>
      <c r="B900" s="19" t="inlineStr">
        <is>
          <t>Mar</t>
        </is>
      </c>
      <c r="C900" s="19" t="inlineStr">
        <is>
          <t>TN</t>
        </is>
      </c>
      <c r="D900" s="20" t="inlineStr">
        <is>
          <t>TN45BL4986</t>
        </is>
      </c>
      <c r="E900" s="20" t="inlineStr">
        <is>
          <t>MARUTI SUZUKI</t>
        </is>
      </c>
      <c r="F900" s="20" t="inlineStr">
        <is>
          <t>Celerio</t>
        </is>
      </c>
      <c r="G900" s="21" t="n">
        <v>2017</v>
      </c>
      <c r="H900" s="22" t="n">
        <v>213023</v>
      </c>
      <c r="I900" s="23" t="n">
        <v>215000</v>
      </c>
      <c r="J900" s="20" t="inlineStr">
        <is>
          <t>EXCHANGE CHENNAI</t>
        </is>
      </c>
      <c r="K900" s="20" t="inlineStr">
        <is>
          <t>Captive</t>
        </is>
      </c>
      <c r="L900" s="20" t="inlineStr">
        <is>
          <t>Nirmal Cars</t>
        </is>
      </c>
      <c r="M900" s="23" t="n">
        <v>5932.2</v>
      </c>
      <c r="N900" s="23" t="n">
        <v>7000</v>
      </c>
      <c r="O900" s="24">
        <f>IF(AND(ISNUMBER(M900), ISNUMBER(I900), I900&gt;0), M900/I900, "")</f>
        <v/>
      </c>
    </row>
    <row r="901">
      <c r="A901" s="19" t="inlineStr">
        <is>
          <t>FY26</t>
        </is>
      </c>
      <c r="B901" s="19" t="inlineStr">
        <is>
          <t>Mar</t>
        </is>
      </c>
      <c r="C901" s="19" t="inlineStr">
        <is>
          <t>TN</t>
        </is>
      </c>
      <c r="D901" s="20" t="inlineStr">
        <is>
          <t>KA01MQ1419</t>
        </is>
      </c>
      <c r="E901" s="20" t="inlineStr">
        <is>
          <t>HONDA</t>
        </is>
      </c>
      <c r="F901" s="20" t="inlineStr">
        <is>
          <t>Jazz</t>
        </is>
      </c>
      <c r="G901" s="21" t="n">
        <v>2017</v>
      </c>
      <c r="H901" s="22" t="n">
        <v>54881</v>
      </c>
      <c r="I901" s="23" t="n">
        <v>335000</v>
      </c>
      <c r="J901" s="20" t="inlineStr">
        <is>
          <t>EXCHANGE CHENNAI</t>
        </is>
      </c>
      <c r="K901" s="20" t="inlineStr">
        <is>
          <t>Captive</t>
        </is>
      </c>
      <c r="L901" s="20" t="inlineStr">
        <is>
          <t>Essar Preowned Cars</t>
        </is>
      </c>
      <c r="M901" s="23" t="n">
        <v>8474.58</v>
      </c>
      <c r="N901" s="23" t="n">
        <v>10000</v>
      </c>
      <c r="O901" s="24">
        <f>IF(AND(ISNUMBER(M901), ISNUMBER(I901), I901&gt;0), M901/I901, "")</f>
        <v/>
      </c>
    </row>
    <row r="902">
      <c r="A902" s="19" t="inlineStr">
        <is>
          <t>FY26</t>
        </is>
      </c>
      <c r="B902" s="19" t="inlineStr">
        <is>
          <t>Mar</t>
        </is>
      </c>
      <c r="C902" s="19" t="inlineStr">
        <is>
          <t>TN</t>
        </is>
      </c>
      <c r="D902" s="20" t="inlineStr">
        <is>
          <t>TN07CR5838</t>
        </is>
      </c>
      <c r="E902" s="20" t="inlineStr">
        <is>
          <t>MARUTI SUZUKI</t>
        </is>
      </c>
      <c r="F902" s="20" t="inlineStr">
        <is>
          <t>Vitara Brezza</t>
        </is>
      </c>
      <c r="G902" s="21" t="n">
        <v>2018</v>
      </c>
      <c r="H902" s="22" t="n">
        <v>133793</v>
      </c>
      <c r="I902" s="23" t="n">
        <v>560000</v>
      </c>
      <c r="J902" s="20" t="inlineStr">
        <is>
          <t>EXCHANGE CHENNAI</t>
        </is>
      </c>
      <c r="K902" s="20" t="inlineStr">
        <is>
          <t>Captive</t>
        </is>
      </c>
      <c r="L902" s="20" t="inlineStr">
        <is>
          <t>Kamal Cars</t>
        </is>
      </c>
      <c r="M902" s="23" t="n">
        <v>8474.58</v>
      </c>
      <c r="N902" s="23" t="n">
        <v>10000</v>
      </c>
      <c r="O902" s="24">
        <f>IF(AND(ISNUMBER(M902), ISNUMBER(I902), I902&gt;0), M902/I902, "")</f>
        <v/>
      </c>
    </row>
    <row r="903">
      <c r="A903" s="19" t="inlineStr">
        <is>
          <t>FY26</t>
        </is>
      </c>
      <c r="B903" s="19" t="inlineStr">
        <is>
          <t>Mar</t>
        </is>
      </c>
      <c r="C903" s="19" t="inlineStr">
        <is>
          <t>TN</t>
        </is>
      </c>
      <c r="D903" s="20" t="inlineStr">
        <is>
          <t>PY05H0456</t>
        </is>
      </c>
      <c r="E903" s="20" t="inlineStr">
        <is>
          <t>TOYOTA</t>
        </is>
      </c>
      <c r="F903" s="20" t="inlineStr">
        <is>
          <t>Innova</t>
        </is>
      </c>
      <c r="G903" s="21" t="n">
        <v>2019</v>
      </c>
      <c r="H903" s="22" t="n">
        <v>96245</v>
      </c>
      <c r="I903" s="23" t="n">
        <v>1550000</v>
      </c>
      <c r="J903" s="20" t="inlineStr">
        <is>
          <t>EXCHANGE CHENNAI</t>
        </is>
      </c>
      <c r="K903" s="20" t="inlineStr">
        <is>
          <t>Captive</t>
        </is>
      </c>
      <c r="L903" s="20" t="inlineStr">
        <is>
          <t>Santhosh Cars</t>
        </is>
      </c>
      <c r="M903" s="23" t="n">
        <v>12711.86</v>
      </c>
      <c r="N903" s="23" t="n">
        <v>15000</v>
      </c>
      <c r="O903" s="24">
        <f>IF(AND(ISNUMBER(M903), ISNUMBER(I903), I903&gt;0), M903/I903, "")</f>
        <v/>
      </c>
    </row>
    <row r="904">
      <c r="A904" s="19" t="inlineStr">
        <is>
          <t>FY26</t>
        </is>
      </c>
      <c r="B904" s="19" t="inlineStr">
        <is>
          <t>Mar</t>
        </is>
      </c>
      <c r="C904" s="19" t="inlineStr">
        <is>
          <t>TN</t>
        </is>
      </c>
      <c r="D904" s="20" t="inlineStr">
        <is>
          <t>TN01BH5973</t>
        </is>
      </c>
      <c r="E904" s="20" t="inlineStr">
        <is>
          <t>HONDA</t>
        </is>
      </c>
      <c r="F904" s="20" t="inlineStr">
        <is>
          <t>Amaze</t>
        </is>
      </c>
      <c r="G904" s="21" t="n">
        <v>2019</v>
      </c>
      <c r="H904" s="22" t="n">
        <v>236917</v>
      </c>
      <c r="I904" s="23" t="n">
        <v>500000</v>
      </c>
      <c r="J904" s="20" t="inlineStr">
        <is>
          <t>EXCHANGE CHENNAI</t>
        </is>
      </c>
      <c r="K904" s="20" t="inlineStr">
        <is>
          <t>Captive</t>
        </is>
      </c>
      <c r="L904" s="20" t="inlineStr">
        <is>
          <t>AS Cars Gopi</t>
        </is>
      </c>
      <c r="M904" s="23" t="n">
        <v>8474.58</v>
      </c>
      <c r="N904" s="23" t="n">
        <v>10000</v>
      </c>
      <c r="O904" s="24">
        <f>IF(AND(ISNUMBER(M904), ISNUMBER(I904), I904&gt;0), M904/I904, "")</f>
        <v/>
      </c>
    </row>
    <row r="905">
      <c r="A905" s="19" t="inlineStr">
        <is>
          <t>FY26</t>
        </is>
      </c>
      <c r="B905" s="19" t="inlineStr">
        <is>
          <t>Mar</t>
        </is>
      </c>
      <c r="C905" s="19" t="inlineStr">
        <is>
          <t>TN</t>
        </is>
      </c>
      <c r="D905" s="20" t="inlineStr">
        <is>
          <t>TN18U9079</t>
        </is>
      </c>
      <c r="E905" s="20" t="inlineStr">
        <is>
          <t>MARUTI SUZUKI</t>
        </is>
      </c>
      <c r="F905" s="20" t="inlineStr">
        <is>
          <t>Wagon R</t>
        </is>
      </c>
      <c r="G905" s="21" t="n">
        <v>2013</v>
      </c>
      <c r="H905" s="22" t="n">
        <v>99295</v>
      </c>
      <c r="I905" s="23" t="n">
        <v>200000</v>
      </c>
      <c r="J905" s="20" t="inlineStr">
        <is>
          <t>Khivraj Motor</t>
        </is>
      </c>
      <c r="K905" s="20" t="inlineStr">
        <is>
          <t>Non-Captive</t>
        </is>
      </c>
      <c r="L905" s="20" t="inlineStr">
        <is>
          <t>Sri Shakthi Vinayaga Cars</t>
        </is>
      </c>
      <c r="M905" s="23" t="n">
        <v>5084.75</v>
      </c>
      <c r="N905" s="23" t="n">
        <v>6000</v>
      </c>
      <c r="O905" s="24">
        <f>IF(AND(ISNUMBER(M905), ISNUMBER(I905), I905&gt;0), M905/I905, "")</f>
        <v/>
      </c>
    </row>
    <row r="906">
      <c r="A906" s="19" t="inlineStr">
        <is>
          <t>FY26</t>
        </is>
      </c>
      <c r="B906" s="19" t="inlineStr">
        <is>
          <t>Mar</t>
        </is>
      </c>
      <c r="C906" s="19" t="inlineStr">
        <is>
          <t>TN</t>
        </is>
      </c>
      <c r="D906" s="20" t="inlineStr">
        <is>
          <t>TN55AM8479</t>
        </is>
      </c>
      <c r="E906" s="20" t="inlineStr">
        <is>
          <t>MARUTI SUZUKI</t>
        </is>
      </c>
      <c r="F906" s="20" t="inlineStr">
        <is>
          <t>Ertiga</t>
        </is>
      </c>
      <c r="G906" s="21" t="n">
        <v>2015</v>
      </c>
      <c r="H906" s="22" t="n">
        <v>125468</v>
      </c>
      <c r="I906" s="23" t="n">
        <v>580000</v>
      </c>
      <c r="J906" s="20" t="inlineStr">
        <is>
          <t>Khivraj Motor</t>
        </is>
      </c>
      <c r="K906" s="20" t="inlineStr">
        <is>
          <t>Non-Captive</t>
        </is>
      </c>
      <c r="L906" s="20" t="inlineStr">
        <is>
          <t>Popular Thrissur</t>
        </is>
      </c>
      <c r="M906" s="23" t="n">
        <v>5932.2</v>
      </c>
      <c r="N906" s="23" t="n">
        <v>7000</v>
      </c>
      <c r="O906" s="24">
        <f>IF(AND(ISNUMBER(M906), ISNUMBER(I906), I906&gt;0), M906/I906, "")</f>
        <v/>
      </c>
    </row>
    <row r="907">
      <c r="A907" s="19" t="inlineStr">
        <is>
          <t>FY26</t>
        </is>
      </c>
      <c r="B907" s="19" t="inlineStr">
        <is>
          <t>Mar</t>
        </is>
      </c>
      <c r="C907" s="19" t="inlineStr">
        <is>
          <t>TN</t>
        </is>
      </c>
      <c r="D907" s="20" t="inlineStr">
        <is>
          <t>KL34E4223</t>
        </is>
      </c>
      <c r="E907" s="20" t="inlineStr">
        <is>
          <t>HYUNDAI</t>
        </is>
      </c>
      <c r="F907" s="20" t="inlineStr">
        <is>
          <t>Grand I10</t>
        </is>
      </c>
      <c r="G907" s="21" t="n">
        <v>2017</v>
      </c>
      <c r="H907" s="22" t="n">
        <v>25982</v>
      </c>
      <c r="I907" s="23" t="n">
        <v>335000</v>
      </c>
      <c r="J907" s="20" t="inlineStr">
        <is>
          <t>Nippon Motor Corporation Pvt Ltd</t>
        </is>
      </c>
      <c r="K907" s="20" t="inlineStr">
        <is>
          <t>Non-Captive</t>
        </is>
      </c>
      <c r="L907" s="20" t="inlineStr">
        <is>
          <t>Popular Thrissur</t>
        </is>
      </c>
      <c r="M907" s="23" t="n">
        <v>5000</v>
      </c>
      <c r="N907" s="23" t="n">
        <v>5900</v>
      </c>
      <c r="O907" s="24">
        <f>IF(AND(ISNUMBER(M907), ISNUMBER(I907), I907&gt;0), M907/I907, "")</f>
        <v/>
      </c>
    </row>
    <row r="908">
      <c r="A908" s="19" t="inlineStr">
        <is>
          <t>FY26</t>
        </is>
      </c>
      <c r="B908" s="19" t="inlineStr">
        <is>
          <t>Mar</t>
        </is>
      </c>
      <c r="C908" s="19" t="inlineStr">
        <is>
          <t>TN</t>
        </is>
      </c>
      <c r="D908" s="20" t="inlineStr">
        <is>
          <t>KL01CC4065</t>
        </is>
      </c>
      <c r="E908" s="20" t="inlineStr">
        <is>
          <t>MARUTI SUZUKI</t>
        </is>
      </c>
      <c r="F908" s="20" t="inlineStr">
        <is>
          <t>Wagon R</t>
        </is>
      </c>
      <c r="G908" s="21" t="n">
        <v>2017</v>
      </c>
      <c r="H908" s="22" t="n">
        <v>48254</v>
      </c>
      <c r="I908" s="23" t="n">
        <v>375000</v>
      </c>
      <c r="J908" s="20" t="inlineStr">
        <is>
          <t>Popular Motorworld pvt Ltd</t>
        </is>
      </c>
      <c r="K908" s="20" t="inlineStr">
        <is>
          <t>Non-Captive</t>
        </is>
      </c>
      <c r="L908" s="20" t="inlineStr">
        <is>
          <t>Popular Thrissur</t>
        </is>
      </c>
      <c r="M908" s="23" t="n">
        <v>5000</v>
      </c>
      <c r="N908" s="23" t="n">
        <v>5900</v>
      </c>
      <c r="O908" s="24">
        <f>IF(AND(ISNUMBER(M908), ISNUMBER(I908), I908&gt;0), M908/I908, "")</f>
        <v/>
      </c>
    </row>
    <row r="909">
      <c r="A909" s="19" t="inlineStr">
        <is>
          <t>FY26</t>
        </is>
      </c>
      <c r="B909" s="19" t="inlineStr">
        <is>
          <t>Mar</t>
        </is>
      </c>
      <c r="C909" s="19" t="inlineStr">
        <is>
          <t>TN</t>
        </is>
      </c>
      <c r="D909" s="20" t="inlineStr">
        <is>
          <t>KL16N6842</t>
        </is>
      </c>
      <c r="E909" s="20" t="inlineStr">
        <is>
          <t>MARUTI SUZUKI</t>
        </is>
      </c>
      <c r="F909" s="20" t="inlineStr">
        <is>
          <t>Wagon R</t>
        </is>
      </c>
      <c r="G909" s="21" t="n">
        <v>2015</v>
      </c>
      <c r="H909" s="22" t="n">
        <v>129865</v>
      </c>
      <c r="I909" s="23" t="n">
        <v>200000</v>
      </c>
      <c r="J909" s="20" t="inlineStr">
        <is>
          <t>Nippon Motor Corporation Pvt Ltd</t>
        </is>
      </c>
      <c r="K909" s="20" t="inlineStr">
        <is>
          <t>Non-Captive</t>
        </is>
      </c>
      <c r="L909" s="20" t="inlineStr">
        <is>
          <t>Shamnad AH</t>
        </is>
      </c>
      <c r="M909" s="23" t="n">
        <v>5932.2</v>
      </c>
      <c r="N909" s="23" t="n">
        <v>7000</v>
      </c>
      <c r="O909" s="24">
        <f>IF(AND(ISNUMBER(M909), ISNUMBER(I909), I909&gt;0), M909/I909, "")</f>
        <v/>
      </c>
    </row>
    <row r="910">
      <c r="A910" s="19" t="inlineStr">
        <is>
          <t>FY26</t>
        </is>
      </c>
      <c r="B910" s="19" t="inlineStr">
        <is>
          <t>Mar</t>
        </is>
      </c>
      <c r="C910" s="19" t="inlineStr">
        <is>
          <t>TN</t>
        </is>
      </c>
      <c r="D910" s="20" t="inlineStr">
        <is>
          <t>KL16R7868</t>
        </is>
      </c>
      <c r="E910" s="20" t="inlineStr">
        <is>
          <t>MARUTI SUZUKI</t>
        </is>
      </c>
      <c r="F910" s="20" t="inlineStr">
        <is>
          <t>Swift</t>
        </is>
      </c>
      <c r="G910" s="21" t="n">
        <v>2017</v>
      </c>
      <c r="H910" s="22" t="n">
        <v>66859</v>
      </c>
      <c r="I910" s="23" t="n">
        <v>420000</v>
      </c>
      <c r="J910" s="20" t="inlineStr">
        <is>
          <t>FORTUNE MALAYALAM AUTOMOBILES PRIVATE LIMITED</t>
        </is>
      </c>
      <c r="K910" s="20" t="inlineStr">
        <is>
          <t>Non-Captive</t>
        </is>
      </c>
      <c r="L910" s="20" t="inlineStr">
        <is>
          <t>Popular Alleppy</t>
        </is>
      </c>
      <c r="M910" s="23" t="n">
        <v>5000</v>
      </c>
      <c r="N910" s="23" t="n">
        <v>5900</v>
      </c>
      <c r="O910" s="24">
        <f>IF(AND(ISNUMBER(M910), ISNUMBER(I910), I910&gt;0), M910/I910, "")</f>
        <v/>
      </c>
    </row>
    <row r="911">
      <c r="A911" s="19" t="inlineStr">
        <is>
          <t>FY26</t>
        </is>
      </c>
      <c r="B911" s="19" t="inlineStr">
        <is>
          <t>Mar</t>
        </is>
      </c>
      <c r="C911" s="19" t="inlineStr">
        <is>
          <t>TN</t>
        </is>
      </c>
      <c r="D911" s="20" t="inlineStr">
        <is>
          <t>KL01CS0135</t>
        </is>
      </c>
      <c r="E911" s="20" t="inlineStr">
        <is>
          <t>MARUTI SUZUKI</t>
        </is>
      </c>
      <c r="F911" s="20" t="inlineStr">
        <is>
          <t>Brezza</t>
        </is>
      </c>
      <c r="G911" s="21" t="n">
        <v>2021</v>
      </c>
      <c r="H911" s="22" t="n">
        <v>76567</v>
      </c>
      <c r="I911" s="23" t="n">
        <v>650000</v>
      </c>
      <c r="J911" s="20" t="inlineStr">
        <is>
          <t>DERIK MOTORS PRIVATE LIMITED</t>
        </is>
      </c>
      <c r="K911" s="20" t="inlineStr">
        <is>
          <t>Non-Captive</t>
        </is>
      </c>
      <c r="L911" s="20" t="inlineStr">
        <is>
          <t>Popular Thrissur</t>
        </is>
      </c>
      <c r="M911" s="23" t="n">
        <v>5000</v>
      </c>
      <c r="N911" s="23" t="n">
        <v>5900</v>
      </c>
      <c r="O911" s="24">
        <f>IF(AND(ISNUMBER(M911), ISNUMBER(I911), I911&gt;0), M911/I911, "")</f>
        <v/>
      </c>
    </row>
    <row r="912">
      <c r="A912" s="19" t="inlineStr">
        <is>
          <t>FY26</t>
        </is>
      </c>
      <c r="B912" s="19" t="inlineStr">
        <is>
          <t>Mar</t>
        </is>
      </c>
      <c r="C912" s="19" t="inlineStr">
        <is>
          <t>TN</t>
        </is>
      </c>
      <c r="D912" s="20" t="inlineStr">
        <is>
          <t>KL01CE4878</t>
        </is>
      </c>
      <c r="E912" s="20" t="inlineStr">
        <is>
          <t>MARUTI SUZUKI</t>
        </is>
      </c>
      <c r="F912" s="20" t="inlineStr">
        <is>
          <t>Ignis</t>
        </is>
      </c>
      <c r="G912" s="21" t="n">
        <v>2017</v>
      </c>
      <c r="H912" s="22" t="n">
        <v>45132</v>
      </c>
      <c r="I912" s="23" t="n">
        <v>450000</v>
      </c>
      <c r="J912" s="20" t="inlineStr">
        <is>
          <t>DERIK MOTORS PRIVATE LIMITED</t>
        </is>
      </c>
      <c r="K912" s="20" t="inlineStr">
        <is>
          <t>Non-Captive</t>
        </is>
      </c>
      <c r="L912" s="20" t="inlineStr">
        <is>
          <t>Popular Thrissur</t>
        </is>
      </c>
      <c r="M912" s="23" t="n">
        <v>5000</v>
      </c>
      <c r="N912" s="23" t="n">
        <v>5900</v>
      </c>
      <c r="O912" s="24">
        <f>IF(AND(ISNUMBER(M912), ISNUMBER(I912), I912&gt;0), M912/I912, "")</f>
        <v/>
      </c>
    </row>
    <row r="913">
      <c r="A913" s="19" t="inlineStr">
        <is>
          <t>FY26</t>
        </is>
      </c>
      <c r="B913" s="19" t="inlineStr">
        <is>
          <t>Mar</t>
        </is>
      </c>
      <c r="C913" s="19" t="inlineStr">
        <is>
          <t>TN</t>
        </is>
      </c>
      <c r="D913" s="20" t="inlineStr">
        <is>
          <t>KL01BQ9346</t>
        </is>
      </c>
      <c r="E913" s="20" t="inlineStr">
        <is>
          <t>MARUTI SUZUKI</t>
        </is>
      </c>
      <c r="F913" s="20" t="inlineStr">
        <is>
          <t>Celerio</t>
        </is>
      </c>
      <c r="G913" s="21" t="n">
        <v>2014</v>
      </c>
      <c r="H913" s="22" t="n">
        <v>67520</v>
      </c>
      <c r="I913" s="23" t="n">
        <v>280000</v>
      </c>
      <c r="J913" s="20" t="inlineStr">
        <is>
          <t>DERIK MOTORS PRIVATE LIMITED</t>
        </is>
      </c>
      <c r="K913" s="20" t="inlineStr">
        <is>
          <t>Non-Captive</t>
        </is>
      </c>
      <c r="L913" s="20" t="inlineStr">
        <is>
          <t>Popular Thrissur</t>
        </is>
      </c>
      <c r="M913" s="23" t="n">
        <v>5000</v>
      </c>
      <c r="N913" s="23" t="n">
        <v>5900</v>
      </c>
      <c r="O913" s="24">
        <f>IF(AND(ISNUMBER(M913), ISNUMBER(I913), I913&gt;0), M913/I913, "")</f>
        <v/>
      </c>
    </row>
    <row r="914">
      <c r="A914" s="19" t="inlineStr">
        <is>
          <t>FY26</t>
        </is>
      </c>
      <c r="B914" s="19" t="inlineStr">
        <is>
          <t>Mar</t>
        </is>
      </c>
      <c r="C914" s="19" t="inlineStr">
        <is>
          <t>TN</t>
        </is>
      </c>
      <c r="D914" s="20" t="inlineStr">
        <is>
          <t>KL51E1985</t>
        </is>
      </c>
      <c r="E914" s="20" t="inlineStr">
        <is>
          <t>NISSAN</t>
        </is>
      </c>
      <c r="F914" s="20" t="inlineStr">
        <is>
          <t>Sunny</t>
        </is>
      </c>
      <c r="G914" s="21" t="n">
        <v>2013</v>
      </c>
      <c r="H914" s="22" t="n">
        <v>126799</v>
      </c>
      <c r="I914" s="23" t="n">
        <v>150000</v>
      </c>
      <c r="J914" s="20" t="inlineStr">
        <is>
          <t>EXCHANGE ROTN</t>
        </is>
      </c>
      <c r="K914" s="20" t="inlineStr">
        <is>
          <t>Captive</t>
        </is>
      </c>
      <c r="L914" s="20" t="inlineStr">
        <is>
          <t>Sai Cars</t>
        </is>
      </c>
      <c r="M914" s="23" t="n">
        <v>4237.29</v>
      </c>
      <c r="N914" s="23" t="n">
        <v>5000</v>
      </c>
      <c r="O914" s="24">
        <f>IF(AND(ISNUMBER(M914), ISNUMBER(I914), I914&gt;0), M914/I914, "")</f>
        <v/>
      </c>
    </row>
    <row r="915">
      <c r="A915" s="19" t="inlineStr">
        <is>
          <t>FY26</t>
        </is>
      </c>
      <c r="B915" s="19" t="inlineStr">
        <is>
          <t>Mar</t>
        </is>
      </c>
      <c r="C915" s="19" t="inlineStr">
        <is>
          <t>TN</t>
        </is>
      </c>
      <c r="D915" s="20" t="inlineStr">
        <is>
          <t>TN65AB9560</t>
        </is>
      </c>
      <c r="E915" s="20" t="inlineStr">
        <is>
          <t>MARUTI SUZUKI</t>
        </is>
      </c>
      <c r="F915" s="20" t="inlineStr">
        <is>
          <t>Celerio</t>
        </is>
      </c>
      <c r="G915" s="21" t="n">
        <v>2016</v>
      </c>
      <c r="H915" s="22" t="n">
        <v>96373</v>
      </c>
      <c r="I915" s="23" t="n">
        <v>270000</v>
      </c>
      <c r="J915" s="20" t="inlineStr">
        <is>
          <t>EXCHANGE ROTN</t>
        </is>
      </c>
      <c r="K915" s="20" t="inlineStr">
        <is>
          <t>Captive</t>
        </is>
      </c>
      <c r="L915" s="20" t="inlineStr">
        <is>
          <t>Value Cars</t>
        </is>
      </c>
      <c r="M915" s="23" t="n">
        <v>4237.29</v>
      </c>
      <c r="N915" s="23" t="n">
        <v>5000</v>
      </c>
      <c r="O915" s="24">
        <f>IF(AND(ISNUMBER(M915), ISNUMBER(I915), I915&gt;0), M915/I915, "")</f>
        <v/>
      </c>
    </row>
    <row r="916">
      <c r="A916" s="19" t="inlineStr">
        <is>
          <t>FY26</t>
        </is>
      </c>
      <c r="B916" s="19" t="inlineStr">
        <is>
          <t>Mar</t>
        </is>
      </c>
      <c r="C916" s="19" t="inlineStr">
        <is>
          <t>TN</t>
        </is>
      </c>
      <c r="D916" s="20" t="inlineStr">
        <is>
          <t>TN09AB6060</t>
        </is>
      </c>
      <c r="E916" s="20" t="inlineStr">
        <is>
          <t>MARUTI SUZUKI</t>
        </is>
      </c>
      <c r="F916" s="20" t="inlineStr">
        <is>
          <t>Alto</t>
        </is>
      </c>
      <c r="G916" s="21" t="n">
        <v>2003</v>
      </c>
      <c r="H916" s="22" t="n">
        <v>65227</v>
      </c>
      <c r="I916" s="23" t="n">
        <v>20000</v>
      </c>
      <c r="J916" s="20" t="inlineStr">
        <is>
          <t>EXCHANGE ROTN</t>
        </is>
      </c>
      <c r="K916" s="20" t="inlineStr">
        <is>
          <t>Captive</t>
        </is>
      </c>
      <c r="L916" s="20" t="inlineStr">
        <is>
          <t>YUGA DHEERAN CARS</t>
        </is>
      </c>
      <c r="M916" s="23" t="n">
        <v>4237.29</v>
      </c>
      <c r="N916" s="23" t="n">
        <v>5000</v>
      </c>
      <c r="O916" s="24">
        <f>IF(AND(ISNUMBER(M916), ISNUMBER(I916), I916&gt;0), M916/I916, "")</f>
        <v/>
      </c>
    </row>
    <row r="917">
      <c r="A917" s="19" t="inlineStr">
        <is>
          <t>FY26</t>
        </is>
      </c>
      <c r="B917" s="19" t="inlineStr">
        <is>
          <t>Mar</t>
        </is>
      </c>
      <c r="C917" s="19" t="inlineStr">
        <is>
          <t>TN</t>
        </is>
      </c>
      <c r="D917" s="20" t="inlineStr">
        <is>
          <t>TN27L7620</t>
        </is>
      </c>
      <c r="E917" s="20" t="inlineStr">
        <is>
          <t>MARUTI SUZUKI</t>
        </is>
      </c>
      <c r="F917" s="20" t="inlineStr">
        <is>
          <t>Alto</t>
        </is>
      </c>
      <c r="G917" s="21" t="n">
        <v>1999</v>
      </c>
      <c r="H917" s="22" t="n">
        <v>99525</v>
      </c>
      <c r="I917" s="23" t="n">
        <v>30000</v>
      </c>
      <c r="J917" s="20" t="inlineStr">
        <is>
          <t>SRI LAKSHMI CARS</t>
        </is>
      </c>
      <c r="K917" s="20" t="inlineStr">
        <is>
          <t>Non-Captive</t>
        </is>
      </c>
      <c r="L917" s="20" t="inlineStr">
        <is>
          <t>MSV Car Painting</t>
        </is>
      </c>
      <c r="M917" s="23" t="n">
        <v>4237.29</v>
      </c>
      <c r="N917" s="23" t="n">
        <v>5000</v>
      </c>
      <c r="O917" s="24">
        <f>IF(AND(ISNUMBER(M917), ISNUMBER(I917), I917&gt;0), M917/I917, "")</f>
        <v/>
      </c>
    </row>
    <row r="918">
      <c r="A918" s="19" t="inlineStr">
        <is>
          <t>FY26</t>
        </is>
      </c>
      <c r="B918" s="19" t="inlineStr">
        <is>
          <t>Mar</t>
        </is>
      </c>
      <c r="C918" s="19" t="inlineStr">
        <is>
          <t>TN</t>
        </is>
      </c>
      <c r="D918" s="20" t="inlineStr">
        <is>
          <t>TN66B5733</t>
        </is>
      </c>
      <c r="E918" s="20" t="inlineStr">
        <is>
          <t>VOLKSWAGEN</t>
        </is>
      </c>
      <c r="F918" s="20" t="inlineStr">
        <is>
          <t>Polo</t>
        </is>
      </c>
      <c r="G918" s="21" t="n">
        <v>2010</v>
      </c>
      <c r="H918" s="22" t="n">
        <v>162694</v>
      </c>
      <c r="I918" s="23" t="n">
        <v>180000</v>
      </c>
      <c r="J918" s="20" t="inlineStr">
        <is>
          <t>EXCHANGE ROTN</t>
        </is>
      </c>
      <c r="K918" s="20" t="inlineStr">
        <is>
          <t>Captive</t>
        </is>
      </c>
      <c r="L918" s="20" t="inlineStr">
        <is>
          <t>Sarvesh Cars</t>
        </is>
      </c>
      <c r="M918" s="23" t="n">
        <v>4237.29</v>
      </c>
      <c r="N918" s="23" t="n">
        <v>5000</v>
      </c>
      <c r="O918" s="24">
        <f>IF(AND(ISNUMBER(M918), ISNUMBER(I918), I918&gt;0), M918/I918, "")</f>
        <v/>
      </c>
    </row>
    <row r="919">
      <c r="A919" s="19" t="inlineStr">
        <is>
          <t>FY26</t>
        </is>
      </c>
      <c r="B919" s="19" t="inlineStr">
        <is>
          <t>Mar</t>
        </is>
      </c>
      <c r="C919" s="19" t="inlineStr">
        <is>
          <t>TN</t>
        </is>
      </c>
      <c r="D919" s="20" t="inlineStr">
        <is>
          <t>TN38DF2431</t>
        </is>
      </c>
      <c r="E919" s="20" t="inlineStr">
        <is>
          <t>HYUNDAI</t>
        </is>
      </c>
      <c r="F919" s="20" t="inlineStr">
        <is>
          <t>Venue</t>
        </is>
      </c>
      <c r="G919" s="21" t="n">
        <v>2023</v>
      </c>
      <c r="H919" s="22" t="n">
        <v>40007</v>
      </c>
      <c r="I919" s="23" t="n">
        <v>860000</v>
      </c>
      <c r="J919" s="20" t="inlineStr">
        <is>
          <t>EXCHANGE ROTN</t>
        </is>
      </c>
      <c r="K919" s="20" t="inlineStr">
        <is>
          <t>Captive</t>
        </is>
      </c>
      <c r="L919" s="20" t="inlineStr">
        <is>
          <t>Sarvesh Cars</t>
        </is>
      </c>
      <c r="M919" s="23" t="n">
        <v>4237.29</v>
      </c>
      <c r="N919" s="23" t="n">
        <v>5000</v>
      </c>
      <c r="O919" s="24">
        <f>IF(AND(ISNUMBER(M919), ISNUMBER(I919), I919&gt;0), M919/I919, "")</f>
        <v/>
      </c>
    </row>
    <row r="920">
      <c r="A920" s="19" t="inlineStr">
        <is>
          <t>FY26</t>
        </is>
      </c>
      <c r="B920" s="19" t="inlineStr">
        <is>
          <t>Mar</t>
        </is>
      </c>
      <c r="C920" s="19" t="inlineStr">
        <is>
          <t>TN</t>
        </is>
      </c>
      <c r="D920" s="20" t="inlineStr">
        <is>
          <t>TN67AA8321</t>
        </is>
      </c>
      <c r="E920" s="20" t="inlineStr">
        <is>
          <t>FORD</t>
        </is>
      </c>
      <c r="F920" s="20" t="inlineStr">
        <is>
          <t>Ikon</t>
        </is>
      </c>
      <c r="G920" s="21" t="n">
        <v>2009</v>
      </c>
      <c r="H920" s="22" t="n">
        <v>325000</v>
      </c>
      <c r="I920" s="23" t="n">
        <v>45000</v>
      </c>
      <c r="J920" s="20" t="inlineStr">
        <is>
          <t>EXCHANGE ROTN</t>
        </is>
      </c>
      <c r="K920" s="20" t="inlineStr">
        <is>
          <t>Captive</t>
        </is>
      </c>
      <c r="L920" s="20" t="inlineStr">
        <is>
          <t>Saravana Cars</t>
        </is>
      </c>
      <c r="M920" s="23" t="n">
        <v>4237.29</v>
      </c>
      <c r="N920" s="23" t="n">
        <v>5000</v>
      </c>
      <c r="O920" s="24">
        <f>IF(AND(ISNUMBER(M920), ISNUMBER(I920), I920&gt;0), M920/I920, "")</f>
        <v/>
      </c>
    </row>
    <row r="921">
      <c r="A921" s="19" t="inlineStr">
        <is>
          <t>FY26</t>
        </is>
      </c>
      <c r="B921" s="19" t="inlineStr">
        <is>
          <t>Mar</t>
        </is>
      </c>
      <c r="C921" s="19" t="inlineStr">
        <is>
          <t>TN</t>
        </is>
      </c>
      <c r="D921" s="20" t="inlineStr">
        <is>
          <t>TN72P4208</t>
        </is>
      </c>
      <c r="E921" s="20" t="inlineStr">
        <is>
          <t>HYUNDAI</t>
        </is>
      </c>
      <c r="F921" s="20" t="inlineStr">
        <is>
          <t>Santro</t>
        </is>
      </c>
      <c r="G921" s="21" t="n">
        <v>2010</v>
      </c>
      <c r="H921" s="22" t="n">
        <v>89234</v>
      </c>
      <c r="I921" s="23" t="n">
        <v>90000</v>
      </c>
      <c r="J921" s="20" t="inlineStr">
        <is>
          <t>EXCHANGE ROTN</t>
        </is>
      </c>
      <c r="K921" s="20" t="inlineStr">
        <is>
          <t>Captive</t>
        </is>
      </c>
      <c r="L921" s="20" t="inlineStr">
        <is>
          <t>Value Cars</t>
        </is>
      </c>
      <c r="M921" s="23" t="n">
        <v>4237.29</v>
      </c>
      <c r="N921" s="23" t="n">
        <v>5000</v>
      </c>
      <c r="O921" s="24">
        <f>IF(AND(ISNUMBER(M921), ISNUMBER(I921), I921&gt;0), M921/I921, "")</f>
        <v/>
      </c>
    </row>
    <row r="922">
      <c r="A922" s="19" t="inlineStr">
        <is>
          <t>FY26</t>
        </is>
      </c>
      <c r="B922" s="19" t="inlineStr">
        <is>
          <t>Mar</t>
        </is>
      </c>
      <c r="C922" s="19" t="inlineStr">
        <is>
          <t>TN</t>
        </is>
      </c>
      <c r="D922" s="20" t="inlineStr">
        <is>
          <t>TN11AE9823</t>
        </is>
      </c>
      <c r="E922" s="20" t="inlineStr">
        <is>
          <t>MARUTI SUZUKI</t>
        </is>
      </c>
      <c r="F922" s="20" t="inlineStr">
        <is>
          <t>Ciaz Smart Hybrid</t>
        </is>
      </c>
      <c r="G922" s="21" t="n">
        <v>2018</v>
      </c>
      <c r="H922" s="22" t="n">
        <v>46761</v>
      </c>
      <c r="I922" s="23" t="n">
        <v>300000</v>
      </c>
      <c r="J922" s="20" t="inlineStr">
        <is>
          <t>Ramani Cars Group</t>
        </is>
      </c>
      <c r="K922" s="20" t="inlineStr">
        <is>
          <t>Non-Captive</t>
        </is>
      </c>
      <c r="L922" s="20" t="inlineStr">
        <is>
          <t>Saravana Cars</t>
        </is>
      </c>
      <c r="M922" s="23" t="n">
        <v>4237.29</v>
      </c>
      <c r="N922" s="23" t="n">
        <v>5000</v>
      </c>
      <c r="O922" s="24">
        <f>IF(AND(ISNUMBER(M922), ISNUMBER(I922), I922&gt;0), M922/I922, "")</f>
        <v/>
      </c>
    </row>
    <row r="923">
      <c r="A923" s="19" t="inlineStr">
        <is>
          <t>FY26</t>
        </is>
      </c>
      <c r="B923" s="19" t="inlineStr">
        <is>
          <t>Mar</t>
        </is>
      </c>
      <c r="C923" s="19" t="inlineStr">
        <is>
          <t>TN</t>
        </is>
      </c>
      <c r="D923" s="20" t="inlineStr">
        <is>
          <t>TN63AV1252</t>
        </is>
      </c>
      <c r="E923" s="20" t="inlineStr">
        <is>
          <t>CHEVROLET</t>
        </is>
      </c>
      <c r="F923" s="20" t="inlineStr">
        <is>
          <t>Enjoy</t>
        </is>
      </c>
      <c r="G923" s="21" t="n">
        <v>2013</v>
      </c>
      <c r="H923" s="22" t="n">
        <v>83507</v>
      </c>
      <c r="I923" s="23" t="n">
        <v>120000</v>
      </c>
      <c r="J923" s="20" t="inlineStr">
        <is>
          <t>Anaamalais Toyota</t>
        </is>
      </c>
      <c r="K923" s="20" t="inlineStr">
        <is>
          <t>Non-Captive</t>
        </is>
      </c>
      <c r="L923" s="20" t="inlineStr">
        <is>
          <t>Saravana Cars</t>
        </is>
      </c>
      <c r="M923" s="23" t="n">
        <v>4237.29</v>
      </c>
      <c r="N923" s="23" t="n">
        <v>5000</v>
      </c>
      <c r="O923" s="24">
        <f>IF(AND(ISNUMBER(M923), ISNUMBER(I923), I923&gt;0), M923/I923, "")</f>
        <v/>
      </c>
    </row>
    <row r="924">
      <c r="A924" s="19" t="inlineStr">
        <is>
          <t>FY26</t>
        </is>
      </c>
      <c r="B924" s="19" t="inlineStr">
        <is>
          <t>Mar</t>
        </is>
      </c>
      <c r="C924" s="19" t="inlineStr">
        <is>
          <t>TN</t>
        </is>
      </c>
      <c r="D924" s="20" t="inlineStr">
        <is>
          <t>TN66L4059</t>
        </is>
      </c>
      <c r="E924" s="20" t="inlineStr">
        <is>
          <t>MARUTI SUZUKI</t>
        </is>
      </c>
      <c r="F924" s="20" t="inlineStr">
        <is>
          <t>Celerio</t>
        </is>
      </c>
      <c r="G924" s="21" t="n">
        <v>2014</v>
      </c>
      <c r="H924" s="22" t="n">
        <v>47326</v>
      </c>
      <c r="I924" s="23" t="n">
        <v>180000</v>
      </c>
      <c r="J924" s="20" t="inlineStr">
        <is>
          <t>EXCHANGE ROTN</t>
        </is>
      </c>
      <c r="K924" s="20" t="inlineStr">
        <is>
          <t>Captive</t>
        </is>
      </c>
      <c r="L924" s="20" t="inlineStr">
        <is>
          <t>SRI RAJA KANAPATHY CARS</t>
        </is>
      </c>
      <c r="M924" s="23" t="n">
        <v>4237.29</v>
      </c>
      <c r="N924" s="23" t="n">
        <v>5000</v>
      </c>
      <c r="O924" s="24">
        <f>IF(AND(ISNUMBER(M924), ISNUMBER(I924), I924&gt;0), M924/I924, "")</f>
        <v/>
      </c>
    </row>
    <row r="925">
      <c r="A925" s="19" t="inlineStr">
        <is>
          <t>FY26</t>
        </is>
      </c>
      <c r="B925" s="19" t="inlineStr">
        <is>
          <t>Mar</t>
        </is>
      </c>
      <c r="C925" s="19" t="inlineStr">
        <is>
          <t>TN</t>
        </is>
      </c>
      <c r="D925" s="20" t="inlineStr">
        <is>
          <t>TN37CT0264</t>
        </is>
      </c>
      <c r="E925" s="20" t="inlineStr">
        <is>
          <t>MARUTI SUZUKI</t>
        </is>
      </c>
      <c r="F925" s="20" t="inlineStr">
        <is>
          <t>Vitara Brezza</t>
        </is>
      </c>
      <c r="G925" s="21" t="n">
        <v>2017</v>
      </c>
      <c r="H925" s="22" t="n">
        <v>43029</v>
      </c>
      <c r="I925" s="23" t="n">
        <v>310000</v>
      </c>
      <c r="J925" s="20" t="inlineStr">
        <is>
          <t>EXCHANGE ROTN</t>
        </is>
      </c>
      <c r="K925" s="20" t="inlineStr">
        <is>
          <t>Captive</t>
        </is>
      </c>
      <c r="L925" s="20" t="inlineStr">
        <is>
          <t>Dheera Cars</t>
        </is>
      </c>
      <c r="M925" s="23" t="n">
        <v>4237.29</v>
      </c>
      <c r="N925" s="23" t="n">
        <v>5000</v>
      </c>
      <c r="O925" s="24">
        <f>IF(AND(ISNUMBER(M925), ISNUMBER(I925), I925&gt;0), M925/I925, "")</f>
        <v/>
      </c>
    </row>
    <row r="926">
      <c r="A926" s="19" t="inlineStr">
        <is>
          <t>FY26</t>
        </is>
      </c>
      <c r="B926" s="19" t="inlineStr">
        <is>
          <t>Mar</t>
        </is>
      </c>
      <c r="C926" s="19" t="inlineStr">
        <is>
          <t>TN</t>
        </is>
      </c>
      <c r="D926" s="20" t="inlineStr">
        <is>
          <t>TN58AQ9983</t>
        </is>
      </c>
      <c r="E926" s="20" t="inlineStr">
        <is>
          <t>HYUNDAI</t>
        </is>
      </c>
      <c r="F926" s="20" t="inlineStr">
        <is>
          <t>I20</t>
        </is>
      </c>
      <c r="G926" s="21" t="n">
        <v>2017</v>
      </c>
      <c r="H926" s="22" t="n">
        <v>83797</v>
      </c>
      <c r="I926" s="23" t="n">
        <v>215000</v>
      </c>
      <c r="J926" s="20" t="inlineStr">
        <is>
          <t>EXCHANGE ROTN</t>
        </is>
      </c>
      <c r="K926" s="20" t="inlineStr">
        <is>
          <t>Captive</t>
        </is>
      </c>
      <c r="L926" s="20" t="inlineStr">
        <is>
          <t>Dheera Cars</t>
        </is>
      </c>
      <c r="M926" s="23" t="n">
        <v>4237.29</v>
      </c>
      <c r="N926" s="23" t="n">
        <v>5000</v>
      </c>
      <c r="O926" s="24">
        <f>IF(AND(ISNUMBER(M926), ISNUMBER(I926), I926&gt;0), M926/I926, "")</f>
        <v/>
      </c>
    </row>
    <row r="927">
      <c r="A927" s="19" t="inlineStr">
        <is>
          <t>FY26</t>
        </is>
      </c>
      <c r="B927" s="19" t="inlineStr">
        <is>
          <t>Mar</t>
        </is>
      </c>
      <c r="C927" s="19" t="inlineStr">
        <is>
          <t>TN</t>
        </is>
      </c>
      <c r="D927" s="20" t="inlineStr">
        <is>
          <t>TN39BK7835</t>
        </is>
      </c>
      <c r="E927" s="20" t="inlineStr">
        <is>
          <t>SKODA</t>
        </is>
      </c>
      <c r="F927" s="20" t="inlineStr">
        <is>
          <t>Rapid</t>
        </is>
      </c>
      <c r="G927" s="21" t="n">
        <v>2013</v>
      </c>
      <c r="H927" s="22" t="n">
        <v>160178</v>
      </c>
      <c r="I927" s="23" t="n">
        <v>195000</v>
      </c>
      <c r="J927" s="20" t="inlineStr">
        <is>
          <t>EXCHANGE ROTN</t>
        </is>
      </c>
      <c r="K927" s="20" t="inlineStr">
        <is>
          <t>Captive</t>
        </is>
      </c>
      <c r="L927" s="20" t="inlineStr">
        <is>
          <t>Senthur Finance</t>
        </is>
      </c>
      <c r="M927" s="23" t="n">
        <v>4237.29</v>
      </c>
      <c r="N927" s="23" t="n">
        <v>5000</v>
      </c>
      <c r="O927" s="24">
        <f>IF(AND(ISNUMBER(M927), ISNUMBER(I927), I927&gt;0), M927/I927, "")</f>
        <v/>
      </c>
    </row>
    <row r="928">
      <c r="A928" s="19" t="inlineStr">
        <is>
          <t>FY26</t>
        </is>
      </c>
      <c r="B928" s="19" t="inlineStr">
        <is>
          <t>Mar</t>
        </is>
      </c>
      <c r="C928" s="19" t="inlineStr">
        <is>
          <t>TN</t>
        </is>
      </c>
      <c r="D928" s="20" t="inlineStr">
        <is>
          <t>TN41T3223</t>
        </is>
      </c>
      <c r="E928" s="20" t="inlineStr">
        <is>
          <t>MARUTI SUZUKI</t>
        </is>
      </c>
      <c r="F928" s="20" t="inlineStr">
        <is>
          <t>Swift Dzire</t>
        </is>
      </c>
      <c r="G928" s="21" t="n">
        <v>2009</v>
      </c>
      <c r="H928" s="22" t="n">
        <v>365393</v>
      </c>
      <c r="I928" s="23" t="n">
        <v>275000</v>
      </c>
      <c r="J928" s="20" t="inlineStr">
        <is>
          <t>EXCHANGE ROTN</t>
        </is>
      </c>
      <c r="K928" s="20" t="inlineStr">
        <is>
          <t>Captive</t>
        </is>
      </c>
      <c r="L928" s="20" t="inlineStr">
        <is>
          <t>PURUSOTHAMAN J CARS</t>
        </is>
      </c>
      <c r="M928" s="23" t="n">
        <v>4237.29</v>
      </c>
      <c r="N928" s="23" t="n">
        <v>5000</v>
      </c>
      <c r="O928" s="24">
        <f>IF(AND(ISNUMBER(M928), ISNUMBER(I928), I928&gt;0), M928/I928, "")</f>
        <v/>
      </c>
    </row>
    <row r="929">
      <c r="A929" s="19" t="inlineStr">
        <is>
          <t>FY26</t>
        </is>
      </c>
      <c r="B929" s="19" t="inlineStr">
        <is>
          <t>Mar</t>
        </is>
      </c>
      <c r="C929" s="19" t="inlineStr">
        <is>
          <t>TN</t>
        </is>
      </c>
      <c r="D929" s="20" t="inlineStr">
        <is>
          <t>TN66M2071</t>
        </is>
      </c>
      <c r="E929" s="20" t="inlineStr">
        <is>
          <t>MARUTI SUZUKI</t>
        </is>
      </c>
      <c r="F929" s="20" t="inlineStr">
        <is>
          <t>Wagon R</t>
        </is>
      </c>
      <c r="G929" s="21" t="n">
        <v>2014</v>
      </c>
      <c r="H929" s="22" t="n">
        <v>98357</v>
      </c>
      <c r="I929" s="23" t="n">
        <v>210000</v>
      </c>
      <c r="J929" s="20" t="inlineStr">
        <is>
          <t>EXCHANGE ROTN</t>
        </is>
      </c>
      <c r="K929" s="20" t="inlineStr">
        <is>
          <t>Captive</t>
        </is>
      </c>
      <c r="L929" s="20" t="inlineStr">
        <is>
          <t>PURUSOTHAMAN J CARS</t>
        </is>
      </c>
      <c r="M929" s="23" t="n">
        <v>4237.29</v>
      </c>
      <c r="N929" s="23" t="n">
        <v>5000</v>
      </c>
      <c r="O929" s="24">
        <f>IF(AND(ISNUMBER(M929), ISNUMBER(I929), I929&gt;0), M929/I929, "")</f>
        <v/>
      </c>
    </row>
    <row r="930">
      <c r="A930" s="19" t="inlineStr">
        <is>
          <t>FY26</t>
        </is>
      </c>
      <c r="B930" s="19" t="inlineStr">
        <is>
          <t>Mar</t>
        </is>
      </c>
      <c r="C930" s="19" t="inlineStr">
        <is>
          <t>TN</t>
        </is>
      </c>
      <c r="D930" s="20" t="inlineStr">
        <is>
          <t>TN38BP1082</t>
        </is>
      </c>
      <c r="E930" s="20" t="inlineStr">
        <is>
          <t>TOYOTA</t>
        </is>
      </c>
      <c r="F930" s="20" t="inlineStr">
        <is>
          <t>Corolla</t>
        </is>
      </c>
      <c r="G930" s="21" t="n">
        <v>2012</v>
      </c>
      <c r="H930" s="22" t="n">
        <v>206397</v>
      </c>
      <c r="I930" s="23" t="n">
        <v>175000</v>
      </c>
      <c r="J930" s="20" t="inlineStr">
        <is>
          <t>EXCHANGE ROTN</t>
        </is>
      </c>
      <c r="K930" s="20" t="inlineStr">
        <is>
          <t>Captive</t>
        </is>
      </c>
      <c r="L930" s="20" t="inlineStr">
        <is>
          <t>PURUSOTHAMAN J CARS</t>
        </is>
      </c>
      <c r="M930" s="23" t="n">
        <v>4237.29</v>
      </c>
      <c r="N930" s="23" t="n">
        <v>5000</v>
      </c>
      <c r="O930" s="24">
        <f>IF(AND(ISNUMBER(M930), ISNUMBER(I930), I930&gt;0), M930/I930, "")</f>
        <v/>
      </c>
    </row>
    <row r="931">
      <c r="A931" s="19" t="inlineStr">
        <is>
          <t>FY26</t>
        </is>
      </c>
      <c r="B931" s="19" t="inlineStr">
        <is>
          <t>Mar</t>
        </is>
      </c>
      <c r="C931" s="19" t="inlineStr">
        <is>
          <t>TN</t>
        </is>
      </c>
      <c r="D931" s="20" t="inlineStr">
        <is>
          <t>TN11AL2757</t>
        </is>
      </c>
      <c r="E931" s="20" t="inlineStr">
        <is>
          <t>HONDA</t>
        </is>
      </c>
      <c r="F931" s="20" t="inlineStr">
        <is>
          <t>City</t>
        </is>
      </c>
      <c r="G931" s="21" t="n">
        <v>2019</v>
      </c>
      <c r="H931" s="22" t="n">
        <v>63155</v>
      </c>
      <c r="I931" s="23" t="n">
        <v>220000</v>
      </c>
      <c r="J931" s="20" t="inlineStr">
        <is>
          <t>EXCHANGE ROTN</t>
        </is>
      </c>
      <c r="K931" s="20" t="inlineStr">
        <is>
          <t>Captive</t>
        </is>
      </c>
      <c r="L931" s="20" t="inlineStr">
        <is>
          <t>PURUSOTHAMAN J CARS</t>
        </is>
      </c>
      <c r="M931" s="23" t="n">
        <v>4237.29</v>
      </c>
      <c r="N931" s="23" t="n">
        <v>5000</v>
      </c>
      <c r="O931" s="24">
        <f>IF(AND(ISNUMBER(M931), ISNUMBER(I931), I931&gt;0), M931/I931, "")</f>
        <v/>
      </c>
    </row>
    <row r="932">
      <c r="A932" s="19" t="inlineStr">
        <is>
          <t>FY26</t>
        </is>
      </c>
      <c r="B932" s="19" t="inlineStr">
        <is>
          <t>Mar</t>
        </is>
      </c>
      <c r="C932" s="19" t="inlineStr">
        <is>
          <t>TN</t>
        </is>
      </c>
      <c r="D932" s="20" t="inlineStr">
        <is>
          <t>TN37DD4448</t>
        </is>
      </c>
      <c r="E932" s="20" t="inlineStr">
        <is>
          <t>HONDA</t>
        </is>
      </c>
      <c r="F932" s="20" t="inlineStr">
        <is>
          <t>Wr-V</t>
        </is>
      </c>
      <c r="G932" s="21" t="n">
        <v>2019</v>
      </c>
      <c r="H932" s="22" t="n">
        <v>150740</v>
      </c>
      <c r="I932" s="23" t="n">
        <v>230000</v>
      </c>
      <c r="J932" s="20" t="inlineStr">
        <is>
          <t>EXCHANGE ROTN</t>
        </is>
      </c>
      <c r="K932" s="20" t="inlineStr">
        <is>
          <t>Captive</t>
        </is>
      </c>
      <c r="L932" s="20" t="inlineStr">
        <is>
          <t>Sangeetha Enterprises</t>
        </is>
      </c>
      <c r="M932" s="23" t="n">
        <v>4237.29</v>
      </c>
      <c r="N932" s="23" t="n">
        <v>5000</v>
      </c>
      <c r="O932" s="24">
        <f>IF(AND(ISNUMBER(M932), ISNUMBER(I932), I932&gt;0), M932/I932, "")</f>
        <v/>
      </c>
    </row>
    <row r="933">
      <c r="A933" s="19" t="inlineStr">
        <is>
          <t>FY26</t>
        </is>
      </c>
      <c r="B933" s="19" t="inlineStr">
        <is>
          <t>Mar</t>
        </is>
      </c>
      <c r="C933" s="19" t="inlineStr">
        <is>
          <t>TN</t>
        </is>
      </c>
      <c r="D933" s="20" t="inlineStr">
        <is>
          <t>TN41AT9603</t>
        </is>
      </c>
      <c r="E933" s="20" t="inlineStr">
        <is>
          <t>HONDA</t>
        </is>
      </c>
      <c r="F933" s="20" t="inlineStr">
        <is>
          <t>Jazz</t>
        </is>
      </c>
      <c r="G933" s="21" t="n">
        <v>2018</v>
      </c>
      <c r="H933" s="22" t="n">
        <v>200233</v>
      </c>
      <c r="I933" s="23" t="n">
        <v>305000</v>
      </c>
      <c r="J933" s="20" t="inlineStr">
        <is>
          <t>EXCHANGE ROTN</t>
        </is>
      </c>
      <c r="K933" s="20" t="inlineStr">
        <is>
          <t>Captive</t>
        </is>
      </c>
      <c r="L933" s="20" t="inlineStr">
        <is>
          <t>Gugha Cars</t>
        </is>
      </c>
      <c r="M933" s="23" t="n">
        <v>4237.29</v>
      </c>
      <c r="N933" s="23" t="n">
        <v>5000</v>
      </c>
      <c r="O933" s="24">
        <f>IF(AND(ISNUMBER(M933), ISNUMBER(I933), I933&gt;0), M933/I933, "")</f>
        <v/>
      </c>
    </row>
    <row r="934">
      <c r="A934" s="19" t="inlineStr">
        <is>
          <t>FY26</t>
        </is>
      </c>
      <c r="B934" s="19" t="inlineStr">
        <is>
          <t>Mar</t>
        </is>
      </c>
      <c r="C934" s="19" t="inlineStr">
        <is>
          <t>TN</t>
        </is>
      </c>
      <c r="D934" s="20" t="inlineStr">
        <is>
          <t>TN66Q2134</t>
        </is>
      </c>
      <c r="E934" s="20" t="inlineStr">
        <is>
          <t>FORD</t>
        </is>
      </c>
      <c r="F934" s="20" t="inlineStr">
        <is>
          <t>Figo</t>
        </is>
      </c>
      <c r="G934" s="21" t="n">
        <v>2015</v>
      </c>
      <c r="H934" s="22" t="n">
        <v>180261</v>
      </c>
      <c r="I934" s="23" t="n">
        <v>355000</v>
      </c>
      <c r="J934" s="20" t="inlineStr">
        <is>
          <t>EXCHANGE ROTN</t>
        </is>
      </c>
      <c r="K934" s="20" t="inlineStr">
        <is>
          <t>Captive</t>
        </is>
      </c>
      <c r="L934" s="20" t="inlineStr">
        <is>
          <t>Dheera Cars</t>
        </is>
      </c>
      <c r="M934" s="23" t="n">
        <v>4237.29</v>
      </c>
      <c r="N934" s="23" t="n">
        <v>5000</v>
      </c>
      <c r="O934" s="24">
        <f>IF(AND(ISNUMBER(M934), ISNUMBER(I934), I934&gt;0), M934/I934, "")</f>
        <v/>
      </c>
    </row>
    <row r="935">
      <c r="A935" s="19" t="inlineStr">
        <is>
          <t>FY26</t>
        </is>
      </c>
      <c r="B935" s="19" t="inlineStr">
        <is>
          <t>Mar</t>
        </is>
      </c>
      <c r="C935" s="19" t="inlineStr">
        <is>
          <t>TN</t>
        </is>
      </c>
      <c r="D935" s="20" t="inlineStr">
        <is>
          <t>TN66R5178</t>
        </is>
      </c>
      <c r="E935" s="20" t="inlineStr">
        <is>
          <t>MARUTI SUZUKI</t>
        </is>
      </c>
      <c r="F935" s="20" t="inlineStr">
        <is>
          <t>Wagon R</t>
        </is>
      </c>
      <c r="G935" s="21" t="n">
        <v>2015</v>
      </c>
      <c r="H935" s="22" t="n">
        <v>117714</v>
      </c>
      <c r="I935" s="23" t="n">
        <v>400000</v>
      </c>
      <c r="J935" s="20" t="inlineStr">
        <is>
          <t>EXCHANGE ROTN</t>
        </is>
      </c>
      <c r="K935" s="20" t="inlineStr">
        <is>
          <t>Captive</t>
        </is>
      </c>
      <c r="L935" s="20" t="inlineStr">
        <is>
          <t>Sun Cars</t>
        </is>
      </c>
      <c r="M935" s="23" t="n">
        <v>4237.29</v>
      </c>
      <c r="N935" s="23" t="n">
        <v>5000</v>
      </c>
      <c r="O935" s="24">
        <f>IF(AND(ISNUMBER(M935), ISNUMBER(I935), I935&gt;0), M935/I935, "")</f>
        <v/>
      </c>
    </row>
    <row r="936">
      <c r="A936" s="19" t="inlineStr">
        <is>
          <t>FY26</t>
        </is>
      </c>
      <c r="B936" s="19" t="inlineStr">
        <is>
          <t>Mar</t>
        </is>
      </c>
      <c r="C936" s="19" t="inlineStr">
        <is>
          <t>TN</t>
        </is>
      </c>
      <c r="D936" s="20" t="inlineStr">
        <is>
          <t>TN37BM8957</t>
        </is>
      </c>
      <c r="E936" s="20" t="inlineStr">
        <is>
          <t>MARUTI SUZUKI</t>
        </is>
      </c>
      <c r="F936" s="20" t="inlineStr">
        <is>
          <t>Alto K10</t>
        </is>
      </c>
      <c r="G936" s="21" t="n">
        <v>2011</v>
      </c>
      <c r="H936" s="22" t="n">
        <v>100456</v>
      </c>
      <c r="I936" s="23" t="n">
        <v>110000</v>
      </c>
      <c r="J936" s="20" t="inlineStr">
        <is>
          <t>EXCHANGE ROTN</t>
        </is>
      </c>
      <c r="K936" s="20" t="inlineStr">
        <is>
          <t>Captive</t>
        </is>
      </c>
      <c r="L936" s="20" t="inlineStr">
        <is>
          <t>Sun Cars</t>
        </is>
      </c>
      <c r="M936" s="23" t="n">
        <v>4237.29</v>
      </c>
      <c r="N936" s="23" t="n">
        <v>5000</v>
      </c>
      <c r="O936" s="24">
        <f>IF(AND(ISNUMBER(M936), ISNUMBER(I936), I936&gt;0), M936/I936, "")</f>
        <v/>
      </c>
    </row>
    <row r="937">
      <c r="A937" s="19" t="inlineStr">
        <is>
          <t>FY26</t>
        </is>
      </c>
      <c r="B937" s="19" t="inlineStr">
        <is>
          <t>Mar</t>
        </is>
      </c>
      <c r="C937" s="19" t="inlineStr">
        <is>
          <t>TN</t>
        </is>
      </c>
      <c r="D937" s="20" t="inlineStr">
        <is>
          <t>TN37DA8344</t>
        </is>
      </c>
      <c r="E937" s="20" t="inlineStr">
        <is>
          <t>HYUNDAI</t>
        </is>
      </c>
      <c r="F937" s="20" t="inlineStr">
        <is>
          <t>Creta</t>
        </is>
      </c>
      <c r="G937" s="21" t="n">
        <v>2018</v>
      </c>
      <c r="H937" s="22" t="n">
        <v>189266</v>
      </c>
      <c r="I937" s="23" t="n">
        <v>360000</v>
      </c>
      <c r="J937" s="20" t="inlineStr">
        <is>
          <t>EXCHANGE ROTN</t>
        </is>
      </c>
      <c r="K937" s="20" t="inlineStr">
        <is>
          <t>Captive</t>
        </is>
      </c>
      <c r="L937" s="20" t="inlineStr">
        <is>
          <t>Ashwin cars</t>
        </is>
      </c>
      <c r="M937" s="23" t="n">
        <v>4237.29</v>
      </c>
      <c r="N937" s="23" t="n">
        <v>5000</v>
      </c>
      <c r="O937" s="24">
        <f>IF(AND(ISNUMBER(M937), ISNUMBER(I937), I937&gt;0), M937/I937, "")</f>
        <v/>
      </c>
    </row>
    <row r="938">
      <c r="A938" s="19" t="inlineStr">
        <is>
          <t>FY26</t>
        </is>
      </c>
      <c r="B938" s="19" t="inlineStr">
        <is>
          <t>Mar</t>
        </is>
      </c>
      <c r="C938" s="19" t="inlineStr">
        <is>
          <t>TN</t>
        </is>
      </c>
      <c r="D938" s="20" t="inlineStr">
        <is>
          <t>TN38BW6432</t>
        </is>
      </c>
      <c r="E938" s="20" t="inlineStr">
        <is>
          <t>TOYOTA</t>
        </is>
      </c>
      <c r="F938" s="20" t="inlineStr">
        <is>
          <t>Etios</t>
        </is>
      </c>
      <c r="G938" s="21" t="n">
        <v>2014</v>
      </c>
      <c r="H938" s="22" t="n">
        <v>113570</v>
      </c>
      <c r="I938" s="23" t="n">
        <v>360000</v>
      </c>
      <c r="J938" s="20" t="inlineStr">
        <is>
          <t>EXCHANGE ROTN</t>
        </is>
      </c>
      <c r="K938" s="20" t="inlineStr">
        <is>
          <t>Captive</t>
        </is>
      </c>
      <c r="L938" s="20" t="inlineStr">
        <is>
          <t>Ashwin cars</t>
        </is>
      </c>
      <c r="M938" s="23" t="n">
        <v>4237.29</v>
      </c>
      <c r="N938" s="23" t="n">
        <v>5000</v>
      </c>
      <c r="O938" s="24">
        <f>IF(AND(ISNUMBER(M938), ISNUMBER(I938), I938&gt;0), M938/I938, "")</f>
        <v/>
      </c>
    </row>
    <row r="939">
      <c r="A939" s="19" t="inlineStr">
        <is>
          <t>FY26</t>
        </is>
      </c>
      <c r="B939" s="19" t="inlineStr">
        <is>
          <t>Mar</t>
        </is>
      </c>
      <c r="C939" s="19" t="inlineStr">
        <is>
          <t>TN</t>
        </is>
      </c>
      <c r="D939" s="20" t="inlineStr">
        <is>
          <t>TN38BZ9369</t>
        </is>
      </c>
      <c r="E939" s="20" t="inlineStr">
        <is>
          <t>FORD</t>
        </is>
      </c>
      <c r="F939" s="20" t="inlineStr">
        <is>
          <t>Ecosport</t>
        </is>
      </c>
      <c r="G939" s="21" t="n">
        <v>2015</v>
      </c>
      <c r="H939" s="22" t="n">
        <v>176184</v>
      </c>
      <c r="I939" s="23" t="n">
        <v>420000</v>
      </c>
      <c r="J939" s="20" t="inlineStr">
        <is>
          <t>EXCHANGE ROTN</t>
        </is>
      </c>
      <c r="K939" s="20" t="inlineStr">
        <is>
          <t>Captive</t>
        </is>
      </c>
      <c r="L939" s="20" t="inlineStr">
        <is>
          <t>Ashwin cars</t>
        </is>
      </c>
      <c r="M939" s="23" t="n">
        <v>4237.29</v>
      </c>
      <c r="N939" s="23" t="n">
        <v>5000</v>
      </c>
      <c r="O939" s="24">
        <f>IF(AND(ISNUMBER(M939), ISNUMBER(I939), I939&gt;0), M939/I939, "")</f>
        <v/>
      </c>
    </row>
    <row r="940">
      <c r="A940" s="19" t="inlineStr">
        <is>
          <t>FY26</t>
        </is>
      </c>
      <c r="B940" s="19" t="inlineStr">
        <is>
          <t>Mar</t>
        </is>
      </c>
      <c r="C940" s="19" t="inlineStr">
        <is>
          <t>TN</t>
        </is>
      </c>
      <c r="D940" s="20" t="inlineStr">
        <is>
          <t>TN38AZ8681</t>
        </is>
      </c>
      <c r="E940" s="20" t="inlineStr">
        <is>
          <t>MARUTI SUZUKI</t>
        </is>
      </c>
      <c r="F940" s="20" t="inlineStr">
        <is>
          <t>Swift Dzire</t>
        </is>
      </c>
      <c r="G940" s="21" t="n">
        <v>2009</v>
      </c>
      <c r="H940" s="22" t="n">
        <v>127971</v>
      </c>
      <c r="I940" s="23" t="n">
        <v>180000</v>
      </c>
      <c r="J940" s="20" t="inlineStr">
        <is>
          <t>EXCHANGE ROTN</t>
        </is>
      </c>
      <c r="K940" s="20" t="inlineStr">
        <is>
          <t>Captive</t>
        </is>
      </c>
      <c r="L940" s="20" t="inlineStr">
        <is>
          <t>Paul Cars</t>
        </is>
      </c>
      <c r="M940" s="23" t="n">
        <v>4237.29</v>
      </c>
      <c r="N940" s="23" t="n">
        <v>5000</v>
      </c>
      <c r="O940" s="24">
        <f>IF(AND(ISNUMBER(M940), ISNUMBER(I940), I940&gt;0), M940/I940, "")</f>
        <v/>
      </c>
    </row>
    <row r="941">
      <c r="A941" s="19" t="inlineStr">
        <is>
          <t>FY26</t>
        </is>
      </c>
      <c r="B941" s="19" t="inlineStr">
        <is>
          <t>Mar</t>
        </is>
      </c>
      <c r="C941" s="19" t="inlineStr">
        <is>
          <t>TN</t>
        </is>
      </c>
      <c r="D941" s="20" t="inlineStr">
        <is>
          <t>TN42J0488</t>
        </is>
      </c>
      <c r="E941" s="20" t="inlineStr">
        <is>
          <t>HYUNDAI</t>
        </is>
      </c>
      <c r="F941" s="20" t="inlineStr">
        <is>
          <t>Grand I10</t>
        </is>
      </c>
      <c r="G941" s="21" t="n">
        <v>2013</v>
      </c>
      <c r="H941" s="22" t="n">
        <v>73862</v>
      </c>
      <c r="I941" s="23" t="n">
        <v>230000</v>
      </c>
      <c r="J941" s="20" t="inlineStr">
        <is>
          <t>EXCHANGE ROTN</t>
        </is>
      </c>
      <c r="K941" s="20" t="inlineStr">
        <is>
          <t>Captive</t>
        </is>
      </c>
      <c r="L941" s="20" t="inlineStr">
        <is>
          <t>Paul Cars</t>
        </is>
      </c>
      <c r="M941" s="23" t="n">
        <v>4237.29</v>
      </c>
      <c r="N941" s="23" t="n">
        <v>5000</v>
      </c>
      <c r="O941" s="24">
        <f>IF(AND(ISNUMBER(M941), ISNUMBER(I941), I941&gt;0), M941/I941, "")</f>
        <v/>
      </c>
    </row>
    <row r="942">
      <c r="A942" s="19" t="inlineStr">
        <is>
          <t>FY26</t>
        </is>
      </c>
      <c r="B942" s="19" t="inlineStr">
        <is>
          <t>Mar</t>
        </is>
      </c>
      <c r="C942" s="19" t="inlineStr">
        <is>
          <t>TN</t>
        </is>
      </c>
      <c r="D942" s="20" t="inlineStr">
        <is>
          <t>TN43P0178</t>
        </is>
      </c>
      <c r="E942" s="20" t="inlineStr">
        <is>
          <t>MARUTI SUZUKI</t>
        </is>
      </c>
      <c r="F942" s="20" t="inlineStr">
        <is>
          <t>Alto K10</t>
        </is>
      </c>
      <c r="G942" s="21" t="n">
        <v>2022</v>
      </c>
      <c r="H942" s="22" t="n">
        <v>37718</v>
      </c>
      <c r="I942" s="23" t="n">
        <v>190000</v>
      </c>
      <c r="J942" s="20" t="inlineStr">
        <is>
          <t>EXCHANGE ROTN</t>
        </is>
      </c>
      <c r="K942" s="20" t="inlineStr">
        <is>
          <t>Captive</t>
        </is>
      </c>
      <c r="L942" s="20" t="inlineStr">
        <is>
          <t>Paul Cars</t>
        </is>
      </c>
      <c r="M942" s="23" t="n">
        <v>4237.29</v>
      </c>
      <c r="N942" s="23" t="n">
        <v>5000</v>
      </c>
      <c r="O942" s="24">
        <f>IF(AND(ISNUMBER(M942), ISNUMBER(I942), I942&gt;0), M942/I942, "")</f>
        <v/>
      </c>
    </row>
    <row r="943">
      <c r="A943" s="19" t="inlineStr">
        <is>
          <t>FY26</t>
        </is>
      </c>
      <c r="B943" s="19" t="inlineStr">
        <is>
          <t>Mar</t>
        </is>
      </c>
      <c r="C943" s="19" t="inlineStr">
        <is>
          <t>TN</t>
        </is>
      </c>
      <c r="D943" s="20" t="inlineStr">
        <is>
          <t>KL16R7654</t>
        </is>
      </c>
      <c r="E943" s="20" t="inlineStr">
        <is>
          <t>MARUTI SUZUKI</t>
        </is>
      </c>
      <c r="F943" s="20" t="inlineStr">
        <is>
          <t>Swift</t>
        </is>
      </c>
      <c r="G943" s="21" t="n">
        <v>2017</v>
      </c>
      <c r="H943" s="22" t="n">
        <v>35381</v>
      </c>
      <c r="I943" s="23" t="n">
        <v>420000</v>
      </c>
      <c r="J943" s="20" t="inlineStr">
        <is>
          <t>Popular Motorworld pvt Ltd</t>
        </is>
      </c>
      <c r="K943" s="20" t="inlineStr">
        <is>
          <t>Non-Captive</t>
        </is>
      </c>
      <c r="L943" s="20" t="inlineStr">
        <is>
          <t>Popular Thrissur</t>
        </is>
      </c>
      <c r="M943" s="23" t="n">
        <v>5000</v>
      </c>
      <c r="N943" s="23" t="n">
        <v>5900</v>
      </c>
      <c r="O943" s="24">
        <f>IF(AND(ISNUMBER(M943), ISNUMBER(I943), I943&gt;0), M943/I943, "")</f>
        <v/>
      </c>
    </row>
    <row r="944">
      <c r="A944" s="19" t="inlineStr">
        <is>
          <t>FY26</t>
        </is>
      </c>
      <c r="B944" s="19" t="inlineStr">
        <is>
          <t>Mar</t>
        </is>
      </c>
      <c r="C944" s="19" t="inlineStr">
        <is>
          <t>TN</t>
        </is>
      </c>
      <c r="D944" s="20" t="inlineStr">
        <is>
          <t>KL01CF1636</t>
        </is>
      </c>
      <c r="E944" s="20" t="inlineStr">
        <is>
          <t>MARUTI SUZUKI</t>
        </is>
      </c>
      <c r="F944" s="20" t="inlineStr">
        <is>
          <t>Swift</t>
        </is>
      </c>
      <c r="G944" s="21" t="n">
        <v>2018</v>
      </c>
      <c r="H944" s="22" t="n">
        <v>77365</v>
      </c>
      <c r="I944" s="23" t="n">
        <v>450000</v>
      </c>
      <c r="J944" s="20" t="inlineStr">
        <is>
          <t>Popular Motorworld pvt Ltd</t>
        </is>
      </c>
      <c r="K944" s="20" t="inlineStr">
        <is>
          <t>Non-Captive</t>
        </is>
      </c>
      <c r="L944" s="20" t="inlineStr">
        <is>
          <t>Popular Thrissur</t>
        </is>
      </c>
      <c r="M944" s="23" t="n">
        <v>5000</v>
      </c>
      <c r="N944" s="23" t="n">
        <v>5900</v>
      </c>
      <c r="O944" s="24">
        <f>IF(AND(ISNUMBER(M944), ISNUMBER(I944), I944&gt;0), M944/I944, "")</f>
        <v/>
      </c>
    </row>
    <row r="945">
      <c r="A945" s="19" t="inlineStr">
        <is>
          <t>FY26</t>
        </is>
      </c>
      <c r="B945" s="19" t="inlineStr">
        <is>
          <t>Mar</t>
        </is>
      </c>
      <c r="C945" s="19" t="inlineStr">
        <is>
          <t>TN</t>
        </is>
      </c>
      <c r="D945" s="20" t="inlineStr">
        <is>
          <t>KL30D4854</t>
        </is>
      </c>
      <c r="E945" s="20" t="inlineStr">
        <is>
          <t>MARUTI SUZUKI</t>
        </is>
      </c>
      <c r="F945" s="20" t="inlineStr">
        <is>
          <t>Alto</t>
        </is>
      </c>
      <c r="G945" s="21" t="n">
        <v>2014</v>
      </c>
      <c r="H945" s="22" t="n">
        <v>79534</v>
      </c>
      <c r="I945" s="23" t="n">
        <v>165000</v>
      </c>
      <c r="J945" s="20" t="inlineStr">
        <is>
          <t>Popular Motorworld pvt Ltd</t>
        </is>
      </c>
      <c r="K945" s="20" t="inlineStr">
        <is>
          <t>Non-Captive</t>
        </is>
      </c>
      <c r="L945" s="20" t="inlineStr">
        <is>
          <t>Popular Thrissur</t>
        </is>
      </c>
      <c r="M945" s="23" t="n">
        <v>5000</v>
      </c>
      <c r="N945" s="23" t="n">
        <v>5900</v>
      </c>
      <c r="O945" s="24">
        <f>IF(AND(ISNUMBER(M945), ISNUMBER(I945), I945&gt;0), M945/I945, "")</f>
        <v/>
      </c>
    </row>
    <row r="946">
      <c r="A946" s="19" t="inlineStr">
        <is>
          <t>FY26</t>
        </is>
      </c>
      <c r="B946" s="19" t="inlineStr">
        <is>
          <t>Mar</t>
        </is>
      </c>
      <c r="C946" s="19" t="inlineStr">
        <is>
          <t>TN</t>
        </is>
      </c>
      <c r="D946" s="20" t="inlineStr">
        <is>
          <t>KL01BS8645</t>
        </is>
      </c>
      <c r="E946" s="20" t="inlineStr">
        <is>
          <t>MARUTI SUZUKI</t>
        </is>
      </c>
      <c r="F946" s="20" t="inlineStr">
        <is>
          <t>Alto K10</t>
        </is>
      </c>
      <c r="G946" s="21" t="n">
        <v>2015</v>
      </c>
      <c r="H946" s="22" t="n"/>
      <c r="I946" s="23" t="n">
        <v>272000</v>
      </c>
      <c r="J946" s="20" t="inlineStr">
        <is>
          <t>DERIK MOTORS PRIVATE LIMITED</t>
        </is>
      </c>
      <c r="K946" s="20" t="inlineStr">
        <is>
          <t>Non-Captive</t>
        </is>
      </c>
      <c r="L946" s="20" t="inlineStr">
        <is>
          <t>Popular Trivandrum</t>
        </is>
      </c>
      <c r="M946" s="23" t="n">
        <v>5000</v>
      </c>
      <c r="N946" s="23" t="n">
        <v>5900</v>
      </c>
      <c r="O946" s="24">
        <f>IF(AND(ISNUMBER(M946), ISNUMBER(I946), I946&gt;0), M946/I946, "")</f>
        <v/>
      </c>
    </row>
    <row r="947">
      <c r="A947" s="19" t="inlineStr">
        <is>
          <t>FY26</t>
        </is>
      </c>
      <c r="B947" s="19" t="inlineStr">
        <is>
          <t>Mar</t>
        </is>
      </c>
      <c r="C947" s="19" t="inlineStr">
        <is>
          <t>TN</t>
        </is>
      </c>
      <c r="D947" s="20" t="inlineStr">
        <is>
          <t>TN39DU5365</t>
        </is>
      </c>
      <c r="E947" s="20" t="inlineStr">
        <is>
          <t>MARUTI SUZUKI</t>
        </is>
      </c>
      <c r="F947" s="20" t="inlineStr">
        <is>
          <t>Alto K10</t>
        </is>
      </c>
      <c r="G947" s="21" t="n">
        <v>2025</v>
      </c>
      <c r="H947" s="22" t="n">
        <v>9834</v>
      </c>
      <c r="I947" s="23" t="n">
        <v>285000</v>
      </c>
      <c r="J947" s="20" t="inlineStr">
        <is>
          <t>Khivraj Motor</t>
        </is>
      </c>
      <c r="K947" s="20" t="inlineStr">
        <is>
          <t>Non-Captive</t>
        </is>
      </c>
      <c r="L947" s="20" t="inlineStr">
        <is>
          <t>Yes Cars</t>
        </is>
      </c>
      <c r="M947" s="23" t="n">
        <v>2118.64</v>
      </c>
      <c r="N947" s="23" t="n">
        <v>2500</v>
      </c>
      <c r="O947" s="24">
        <f>IF(AND(ISNUMBER(M947), ISNUMBER(I947), I947&gt;0), M947/I947, "")</f>
        <v/>
      </c>
    </row>
    <row r="948">
      <c r="A948" s="19" t="inlineStr">
        <is>
          <t>FY26</t>
        </is>
      </c>
      <c r="B948" s="19" t="inlineStr">
        <is>
          <t>Mar</t>
        </is>
      </c>
      <c r="C948" s="19" t="inlineStr">
        <is>
          <t>TN</t>
        </is>
      </c>
      <c r="D948" s="20" t="inlineStr">
        <is>
          <t>TN18BF8732</t>
        </is>
      </c>
      <c r="E948" s="20" t="inlineStr">
        <is>
          <t>MARUTI SUZUKI</t>
        </is>
      </c>
      <c r="F948" s="20" t="inlineStr">
        <is>
          <t>Alto</t>
        </is>
      </c>
      <c r="G948" s="21" t="n">
        <v>2022</v>
      </c>
      <c r="H948" s="22" t="n">
        <v>50000</v>
      </c>
      <c r="I948" s="23" t="n">
        <v>320000</v>
      </c>
      <c r="J948" s="20" t="inlineStr">
        <is>
          <t>Khivraj Motor</t>
        </is>
      </c>
      <c r="K948" s="20" t="inlineStr">
        <is>
          <t>Non-Captive</t>
        </is>
      </c>
      <c r="L948" s="20" t="inlineStr">
        <is>
          <t>Yes Cars</t>
        </is>
      </c>
      <c r="M948" s="23" t="n">
        <v>2118.64</v>
      </c>
      <c r="N948" s="23" t="n">
        <v>2500</v>
      </c>
      <c r="O948" s="24">
        <f>IF(AND(ISNUMBER(M948), ISNUMBER(I948), I948&gt;0), M948/I948, "")</f>
        <v/>
      </c>
    </row>
    <row r="949">
      <c r="A949" s="19" t="inlineStr">
        <is>
          <t>FY26</t>
        </is>
      </c>
      <c r="B949" s="19" t="inlineStr">
        <is>
          <t>Mar</t>
        </is>
      </c>
      <c r="C949" s="19" t="inlineStr">
        <is>
          <t>TN</t>
        </is>
      </c>
      <c r="D949" s="20" t="inlineStr">
        <is>
          <t>TN01AS0317</t>
        </is>
      </c>
      <c r="E949" s="20" t="inlineStr">
        <is>
          <t>VOLKSWAGEN</t>
        </is>
      </c>
      <c r="F949" s="20" t="inlineStr">
        <is>
          <t>Vento</t>
        </is>
      </c>
      <c r="G949" s="21" t="n">
        <v>2012</v>
      </c>
      <c r="H949" s="22" t="n">
        <v>49700</v>
      </c>
      <c r="I949" s="23" t="n">
        <v>230000</v>
      </c>
      <c r="J949" s="20" t="inlineStr">
        <is>
          <t>Khivraj Motor</t>
        </is>
      </c>
      <c r="K949" s="20" t="inlineStr">
        <is>
          <t>Non-Captive</t>
        </is>
      </c>
      <c r="L949" s="20" t="inlineStr">
        <is>
          <t>Yes Cars</t>
        </is>
      </c>
      <c r="M949" s="23" t="n">
        <v>2118.64</v>
      </c>
      <c r="N949" s="23" t="n">
        <v>2500</v>
      </c>
      <c r="O949" s="24">
        <f>IF(AND(ISNUMBER(M949), ISNUMBER(I949), I949&gt;0), M949/I949, "")</f>
        <v/>
      </c>
    </row>
    <row r="950">
      <c r="A950" s="19" t="inlineStr">
        <is>
          <t>FY26</t>
        </is>
      </c>
      <c r="B950" s="19" t="inlineStr">
        <is>
          <t>Mar</t>
        </is>
      </c>
      <c r="C950" s="19" t="inlineStr">
        <is>
          <t>TN</t>
        </is>
      </c>
      <c r="D950" s="20" t="inlineStr">
        <is>
          <t>TN09BX1474</t>
        </is>
      </c>
      <c r="E950" s="20" t="inlineStr">
        <is>
          <t>MARUTI SUZUKI</t>
        </is>
      </c>
      <c r="F950" s="20" t="inlineStr">
        <is>
          <t>Alto</t>
        </is>
      </c>
      <c r="G950" s="21" t="n">
        <v>2014</v>
      </c>
      <c r="H950" s="22" t="n">
        <v>70000</v>
      </c>
      <c r="I950" s="23" t="n">
        <v>150000</v>
      </c>
      <c r="J950" s="20" t="inlineStr">
        <is>
          <t>Khivraj Motor</t>
        </is>
      </c>
      <c r="K950" s="20" t="inlineStr">
        <is>
          <t>Non-Captive</t>
        </is>
      </c>
      <c r="L950" s="20" t="inlineStr">
        <is>
          <t>Yes Cars</t>
        </is>
      </c>
      <c r="M950" s="23" t="n">
        <v>2118.64</v>
      </c>
      <c r="N950" s="23" t="n">
        <v>2500</v>
      </c>
      <c r="O950" s="24">
        <f>IF(AND(ISNUMBER(M950), ISNUMBER(I950), I950&gt;0), M950/I950, "")</f>
        <v/>
      </c>
    </row>
    <row r="951">
      <c r="A951" s="19" t="inlineStr">
        <is>
          <t>FY26</t>
        </is>
      </c>
      <c r="B951" s="19" t="inlineStr">
        <is>
          <t>Mar</t>
        </is>
      </c>
      <c r="C951" s="19" t="inlineStr">
        <is>
          <t>TN</t>
        </is>
      </c>
      <c r="D951" s="20" t="inlineStr">
        <is>
          <t>TN13AB7246</t>
        </is>
      </c>
      <c r="E951" s="20" t="inlineStr">
        <is>
          <t>MARUTI SUZUKI</t>
        </is>
      </c>
      <c r="F951" s="20" t="inlineStr">
        <is>
          <t>Fronx</t>
        </is>
      </c>
      <c r="G951" s="21" t="n">
        <v>2023</v>
      </c>
      <c r="H951" s="22" t="n">
        <v>30258</v>
      </c>
      <c r="I951" s="23" t="n">
        <v>550000</v>
      </c>
      <c r="J951" s="20" t="inlineStr">
        <is>
          <t>Khivraj Motor</t>
        </is>
      </c>
      <c r="K951" s="20" t="inlineStr">
        <is>
          <t>Non-Captive</t>
        </is>
      </c>
      <c r="L951" s="20" t="inlineStr">
        <is>
          <t>Yes Cars</t>
        </is>
      </c>
      <c r="M951" s="23" t="n">
        <v>2118.64</v>
      </c>
      <c r="N951" s="23" t="n">
        <v>2500</v>
      </c>
      <c r="O951" s="24">
        <f>IF(AND(ISNUMBER(M951), ISNUMBER(I951), I951&gt;0), M951/I951, "")</f>
        <v/>
      </c>
    </row>
    <row r="952">
      <c r="A952" s="19" t="inlineStr">
        <is>
          <t>FY26</t>
        </is>
      </c>
      <c r="B952" s="19" t="inlineStr">
        <is>
          <t>Mar</t>
        </is>
      </c>
      <c r="C952" s="19" t="inlineStr">
        <is>
          <t>TN</t>
        </is>
      </c>
      <c r="D952" s="20" t="inlineStr">
        <is>
          <t>TN04AU1334</t>
        </is>
      </c>
      <c r="E952" s="20" t="inlineStr">
        <is>
          <t>MARUTI SUZUKI</t>
        </is>
      </c>
      <c r="F952" s="20" t="inlineStr">
        <is>
          <t>Swift Dzire</t>
        </is>
      </c>
      <c r="G952" s="21" t="n">
        <v>2018</v>
      </c>
      <c r="H952" s="22" t="n">
        <v>134981</v>
      </c>
      <c r="I952" s="23" t="n">
        <v>450000</v>
      </c>
      <c r="J952" s="20" t="inlineStr">
        <is>
          <t>Khivraj Motor</t>
        </is>
      </c>
      <c r="K952" s="20" t="inlineStr">
        <is>
          <t>Non-Captive</t>
        </is>
      </c>
      <c r="L952" s="20" t="inlineStr">
        <is>
          <t>Yes Cars</t>
        </is>
      </c>
      <c r="M952" s="23" t="n">
        <v>2118.64</v>
      </c>
      <c r="N952" s="23" t="n">
        <v>2500</v>
      </c>
      <c r="O952" s="24">
        <f>IF(AND(ISNUMBER(M952), ISNUMBER(I952), I952&gt;0), M952/I952, "")</f>
        <v/>
      </c>
    </row>
    <row r="953">
      <c r="A953" s="19" t="inlineStr">
        <is>
          <t>FY26</t>
        </is>
      </c>
      <c r="B953" s="19" t="inlineStr">
        <is>
          <t>Mar</t>
        </is>
      </c>
      <c r="C953" s="19" t="inlineStr">
        <is>
          <t>TN</t>
        </is>
      </c>
      <c r="D953" s="20" t="inlineStr">
        <is>
          <t>TN20CP7945</t>
        </is>
      </c>
      <c r="E953" s="20" t="inlineStr">
        <is>
          <t>MARUTI SUZUKI</t>
        </is>
      </c>
      <c r="F953" s="20" t="inlineStr">
        <is>
          <t>Swift</t>
        </is>
      </c>
      <c r="G953" s="21" t="n">
        <v>2018</v>
      </c>
      <c r="H953" s="22" t="n">
        <v>52256</v>
      </c>
      <c r="I953" s="23" t="n">
        <v>450000</v>
      </c>
      <c r="J953" s="20" t="inlineStr">
        <is>
          <t>Khivraj Motor</t>
        </is>
      </c>
      <c r="K953" s="20" t="inlineStr">
        <is>
          <t>Non-Captive</t>
        </is>
      </c>
      <c r="L953" s="20" t="inlineStr">
        <is>
          <t>Yes Cars</t>
        </is>
      </c>
      <c r="M953" s="23" t="n">
        <v>1694.92</v>
      </c>
      <c r="N953" s="23" t="n">
        <v>2000</v>
      </c>
      <c r="O953" s="24">
        <f>IF(AND(ISNUMBER(M953), ISNUMBER(I953), I953&gt;0), M953/I953, "")</f>
        <v/>
      </c>
    </row>
    <row r="954">
      <c r="A954" s="19" t="inlineStr">
        <is>
          <t>FY26</t>
        </is>
      </c>
      <c r="B954" s="19" t="inlineStr">
        <is>
          <t>Mar</t>
        </is>
      </c>
      <c r="C954" s="19" t="inlineStr">
        <is>
          <t>TN</t>
        </is>
      </c>
      <c r="D954" s="20" t="inlineStr">
        <is>
          <t>TN02AQ4041</t>
        </is>
      </c>
      <c r="E954" s="20" t="inlineStr">
        <is>
          <t>TOYOTA</t>
        </is>
      </c>
      <c r="F954" s="20" t="inlineStr">
        <is>
          <t>Innova</t>
        </is>
      </c>
      <c r="G954" s="21" t="n">
        <v>2011</v>
      </c>
      <c r="H954" s="22" t="n">
        <v>156582</v>
      </c>
      <c r="I954" s="23" t="n">
        <v>600000</v>
      </c>
      <c r="J954" s="20" t="inlineStr">
        <is>
          <t>Khivraj Motor</t>
        </is>
      </c>
      <c r="K954" s="20" t="inlineStr">
        <is>
          <t>Non-Captive</t>
        </is>
      </c>
      <c r="L954" s="20" t="inlineStr">
        <is>
          <t>RAJESH WARI (RAM CARS)</t>
        </is>
      </c>
      <c r="M954" s="23" t="n">
        <v>2118.64</v>
      </c>
      <c r="N954" s="23" t="n">
        <v>2500</v>
      </c>
      <c r="O954" s="24">
        <f>IF(AND(ISNUMBER(M954), ISNUMBER(I954), I954&gt;0), M954/I954, "")</f>
        <v/>
      </c>
    </row>
    <row r="955">
      <c r="A955" s="19" t="inlineStr">
        <is>
          <t>FY26</t>
        </is>
      </c>
      <c r="B955" s="19" t="inlineStr">
        <is>
          <t>Mar</t>
        </is>
      </c>
      <c r="C955" s="19" t="inlineStr">
        <is>
          <t>TN</t>
        </is>
      </c>
      <c r="D955" s="20" t="inlineStr">
        <is>
          <t>TN06W1072</t>
        </is>
      </c>
      <c r="E955" s="20" t="inlineStr">
        <is>
          <t>MARUTI SUZUKI</t>
        </is>
      </c>
      <c r="F955" s="20" t="inlineStr">
        <is>
          <t>Alto</t>
        </is>
      </c>
      <c r="G955" s="21" t="n">
        <v>2018</v>
      </c>
      <c r="H955" s="22" t="n">
        <v>12187</v>
      </c>
      <c r="I955" s="23" t="n">
        <v>230000</v>
      </c>
      <c r="J955" s="20" t="inlineStr">
        <is>
          <t>Khivraj Motor</t>
        </is>
      </c>
      <c r="K955" s="20" t="inlineStr">
        <is>
          <t>Non-Captive</t>
        </is>
      </c>
      <c r="L955" s="20" t="inlineStr">
        <is>
          <t>RAJESH WARI (RAM CARS)</t>
        </is>
      </c>
      <c r="M955" s="23" t="n">
        <v>2118.64</v>
      </c>
      <c r="N955" s="23" t="n">
        <v>2500</v>
      </c>
      <c r="O955" s="24">
        <f>IF(AND(ISNUMBER(M955), ISNUMBER(I955), I955&gt;0), M955/I955, "")</f>
        <v/>
      </c>
    </row>
    <row r="956">
      <c r="A956" s="19" t="inlineStr">
        <is>
          <t>FY26</t>
        </is>
      </c>
      <c r="B956" s="19" t="inlineStr">
        <is>
          <t>Mar</t>
        </is>
      </c>
      <c r="C956" s="19" t="inlineStr">
        <is>
          <t>TN</t>
        </is>
      </c>
      <c r="D956" s="20" t="inlineStr">
        <is>
          <t>TN05BA4291</t>
        </is>
      </c>
      <c r="E956" s="20" t="inlineStr">
        <is>
          <t>HYUNDAI</t>
        </is>
      </c>
      <c r="F956" s="20" t="inlineStr">
        <is>
          <t>Grand I10</t>
        </is>
      </c>
      <c r="G956" s="21" t="n">
        <v>2015</v>
      </c>
      <c r="H956" s="22" t="n">
        <v>36646</v>
      </c>
      <c r="I956" s="23" t="n">
        <v>270000</v>
      </c>
      <c r="J956" s="20" t="inlineStr">
        <is>
          <t>Khivraj Motor</t>
        </is>
      </c>
      <c r="K956" s="20" t="inlineStr">
        <is>
          <t>Non-Captive</t>
        </is>
      </c>
      <c r="L956" s="20" t="inlineStr">
        <is>
          <t>RAJESH WARI (RAM CARS)</t>
        </is>
      </c>
      <c r="M956" s="23" t="n">
        <v>2118.64</v>
      </c>
      <c r="N956" s="23" t="n">
        <v>2500</v>
      </c>
      <c r="O956" s="24">
        <f>IF(AND(ISNUMBER(M956), ISNUMBER(I956), I956&gt;0), M956/I956, "")</f>
        <v/>
      </c>
    </row>
    <row r="957">
      <c r="A957" s="19" t="inlineStr">
        <is>
          <t>FY26</t>
        </is>
      </c>
      <c r="B957" s="19" t="inlineStr">
        <is>
          <t>Mar</t>
        </is>
      </c>
      <c r="C957" s="19" t="inlineStr">
        <is>
          <t>TN</t>
        </is>
      </c>
      <c r="D957" s="20" t="inlineStr">
        <is>
          <t>TN09CM8169</t>
        </is>
      </c>
      <c r="E957" s="20" t="inlineStr">
        <is>
          <t>MARUTI SUZUKI</t>
        </is>
      </c>
      <c r="F957" s="20" t="inlineStr">
        <is>
          <t>Swift Dzire</t>
        </is>
      </c>
      <c r="G957" s="21" t="n">
        <v>2018</v>
      </c>
      <c r="H957" s="22" t="n">
        <v>59116</v>
      </c>
      <c r="I957" s="23" t="n">
        <v>450000</v>
      </c>
      <c r="J957" s="20" t="inlineStr">
        <is>
          <t>Khivraj Motor</t>
        </is>
      </c>
      <c r="K957" s="20" t="inlineStr">
        <is>
          <t>Non-Captive</t>
        </is>
      </c>
      <c r="L957" s="20" t="inlineStr">
        <is>
          <t>RAJESH WARI (RAM CARS)</t>
        </is>
      </c>
      <c r="M957" s="23" t="n">
        <v>2118.64</v>
      </c>
      <c r="N957" s="23" t="n">
        <v>2500</v>
      </c>
      <c r="O957" s="24">
        <f>IF(AND(ISNUMBER(M957), ISNUMBER(I957), I957&gt;0), M957/I957, "")</f>
        <v/>
      </c>
    </row>
    <row r="958">
      <c r="A958" s="19" t="inlineStr">
        <is>
          <t>FY26</t>
        </is>
      </c>
      <c r="B958" s="19" t="inlineStr">
        <is>
          <t>Mar</t>
        </is>
      </c>
      <c r="C958" s="19" t="inlineStr">
        <is>
          <t>TN</t>
        </is>
      </c>
      <c r="D958" s="20" t="inlineStr">
        <is>
          <t>TN06U5789</t>
        </is>
      </c>
      <c r="E958" s="20" t="inlineStr">
        <is>
          <t>FORD</t>
        </is>
      </c>
      <c r="F958" s="20" t="inlineStr">
        <is>
          <t>Ecosport</t>
        </is>
      </c>
      <c r="G958" s="21" t="n">
        <v>2017</v>
      </c>
      <c r="H958" s="22" t="n">
        <v>74988</v>
      </c>
      <c r="I958" s="23" t="n">
        <v>300000</v>
      </c>
      <c r="J958" s="20" t="inlineStr">
        <is>
          <t>Khivraj Motor</t>
        </is>
      </c>
      <c r="K958" s="20" t="inlineStr">
        <is>
          <t>Non-Captive</t>
        </is>
      </c>
      <c r="L958" s="20" t="inlineStr">
        <is>
          <t>RAJESH WARI (RAM CARS)</t>
        </is>
      </c>
      <c r="M958" s="23" t="n">
        <v>1694.92</v>
      </c>
      <c r="N958" s="23" t="n">
        <v>2000</v>
      </c>
      <c r="O958" s="24">
        <f>IF(AND(ISNUMBER(M958), ISNUMBER(I958), I958&gt;0), M958/I958, "")</f>
        <v/>
      </c>
    </row>
    <row r="959">
      <c r="A959" s="19" t="inlineStr">
        <is>
          <t>FY26</t>
        </is>
      </c>
      <c r="B959" s="19" t="inlineStr">
        <is>
          <t>Mar</t>
        </is>
      </c>
      <c r="C959" s="19" t="inlineStr">
        <is>
          <t>TN</t>
        </is>
      </c>
      <c r="D959" s="20" t="inlineStr">
        <is>
          <t>TN02BT3901</t>
        </is>
      </c>
      <c r="E959" s="20" t="inlineStr">
        <is>
          <t>HYUNDAI</t>
        </is>
      </c>
      <c r="F959" s="20" t="inlineStr">
        <is>
          <t>Creta</t>
        </is>
      </c>
      <c r="G959" s="21" t="n">
        <v>2020</v>
      </c>
      <c r="H959" s="22" t="n">
        <v>51199</v>
      </c>
      <c r="I959" s="23" t="n">
        <v>1000000</v>
      </c>
      <c r="J959" s="20" t="inlineStr">
        <is>
          <t>Khivraj Motor</t>
        </is>
      </c>
      <c r="K959" s="20" t="inlineStr">
        <is>
          <t>Non-Captive</t>
        </is>
      </c>
      <c r="L959" s="20" t="inlineStr">
        <is>
          <t>Bhavani Cars</t>
        </is>
      </c>
      <c r="M959" s="23" t="n">
        <v>2542.37</v>
      </c>
      <c r="N959" s="23" t="n">
        <v>3000</v>
      </c>
      <c r="O959" s="24">
        <f>IF(AND(ISNUMBER(M959), ISNUMBER(I959), I959&gt;0), M959/I959, "")</f>
        <v/>
      </c>
    </row>
    <row r="960">
      <c r="A960" s="19" t="inlineStr">
        <is>
          <t>FY26</t>
        </is>
      </c>
      <c r="B960" s="19" t="inlineStr">
        <is>
          <t>Mar</t>
        </is>
      </c>
      <c r="C960" s="19" t="inlineStr">
        <is>
          <t>TN</t>
        </is>
      </c>
      <c r="D960" s="20" t="inlineStr">
        <is>
          <t>TN18AF4408</t>
        </is>
      </c>
      <c r="E960" s="20" t="inlineStr">
        <is>
          <t>MARUTI SUZUKI</t>
        </is>
      </c>
      <c r="F960" s="20" t="inlineStr">
        <is>
          <t>Alto</t>
        </is>
      </c>
      <c r="G960" s="21" t="n">
        <v>2015</v>
      </c>
      <c r="H960" s="22" t="n">
        <v>69800</v>
      </c>
      <c r="I960" s="23" t="n">
        <v>160000</v>
      </c>
      <c r="J960" s="20" t="inlineStr">
        <is>
          <t>Khivraj Motor</t>
        </is>
      </c>
      <c r="K960" s="20" t="inlineStr">
        <is>
          <t>Non-Captive</t>
        </is>
      </c>
      <c r="L960" s="20" t="inlineStr">
        <is>
          <t>Bhavani Cars</t>
        </is>
      </c>
      <c r="M960" s="23" t="n">
        <v>2542.37</v>
      </c>
      <c r="N960" s="23" t="n">
        <v>3000</v>
      </c>
      <c r="O960" s="24">
        <f>IF(AND(ISNUMBER(M960), ISNUMBER(I960), I960&gt;0), M960/I960, "")</f>
        <v/>
      </c>
    </row>
    <row r="961">
      <c r="A961" s="19" t="inlineStr">
        <is>
          <t>FY26</t>
        </is>
      </c>
      <c r="B961" s="19" t="inlineStr">
        <is>
          <t>Mar</t>
        </is>
      </c>
      <c r="C961" s="19" t="inlineStr">
        <is>
          <t>TN</t>
        </is>
      </c>
      <c r="D961" s="20" t="inlineStr">
        <is>
          <t>TN09AZ0967</t>
        </is>
      </c>
      <c r="E961" s="20" t="inlineStr">
        <is>
          <t>MARUTI SUZUKI</t>
        </is>
      </c>
      <c r="F961" s="20" t="inlineStr">
        <is>
          <t>Alto</t>
        </is>
      </c>
      <c r="G961" s="21" t="n">
        <v>2008</v>
      </c>
      <c r="H961" s="22" t="n">
        <v>18292</v>
      </c>
      <c r="I961" s="23" t="n">
        <v>85000</v>
      </c>
      <c r="J961" s="20" t="inlineStr">
        <is>
          <t>Khivraj Motor</t>
        </is>
      </c>
      <c r="K961" s="20" t="inlineStr">
        <is>
          <t>Non-Captive</t>
        </is>
      </c>
      <c r="L961" s="20" t="inlineStr">
        <is>
          <t>Bhavani Cars</t>
        </is>
      </c>
      <c r="M961" s="23" t="n">
        <v>2542.37</v>
      </c>
      <c r="N961" s="23" t="n">
        <v>3000</v>
      </c>
      <c r="O961" s="24">
        <f>IF(AND(ISNUMBER(M961), ISNUMBER(I961), I961&gt;0), M961/I961, "")</f>
        <v/>
      </c>
    </row>
    <row r="962">
      <c r="A962" s="19" t="inlineStr">
        <is>
          <t>FY26</t>
        </is>
      </c>
      <c r="B962" s="19" t="inlineStr">
        <is>
          <t>Mar</t>
        </is>
      </c>
      <c r="C962" s="19" t="inlineStr">
        <is>
          <t>TN</t>
        </is>
      </c>
      <c r="D962" s="20" t="inlineStr">
        <is>
          <t>TN13R3660</t>
        </is>
      </c>
      <c r="E962" s="20" t="inlineStr">
        <is>
          <t>MARUTI SUZUKI</t>
        </is>
      </c>
      <c r="F962" s="20" t="inlineStr">
        <is>
          <t>Alto K10</t>
        </is>
      </c>
      <c r="G962" s="21" t="n">
        <v>2019</v>
      </c>
      <c r="H962" s="22" t="n">
        <v>30498</v>
      </c>
      <c r="I962" s="23" t="n">
        <v>230000</v>
      </c>
      <c r="J962" s="20" t="inlineStr">
        <is>
          <t>Khivraj Motor</t>
        </is>
      </c>
      <c r="K962" s="20" t="inlineStr">
        <is>
          <t>Non-Captive</t>
        </is>
      </c>
      <c r="L962" s="20" t="inlineStr">
        <is>
          <t>Santhosh Cars</t>
        </is>
      </c>
      <c r="M962" s="23" t="n">
        <v>2118.64</v>
      </c>
      <c r="N962" s="23" t="n">
        <v>2500</v>
      </c>
      <c r="O962" s="24">
        <f>IF(AND(ISNUMBER(M962), ISNUMBER(I962), I962&gt;0), M962/I962, "")</f>
        <v/>
      </c>
    </row>
    <row r="963">
      <c r="A963" s="19" t="inlineStr">
        <is>
          <t>FY26</t>
        </is>
      </c>
      <c r="B963" s="19" t="inlineStr">
        <is>
          <t>Mar</t>
        </is>
      </c>
      <c r="C963" s="19" t="inlineStr">
        <is>
          <t>TN</t>
        </is>
      </c>
      <c r="D963" s="20" t="inlineStr">
        <is>
          <t>TN20CY5046</t>
        </is>
      </c>
      <c r="E963" s="20" t="inlineStr">
        <is>
          <t>HONDA</t>
        </is>
      </c>
      <c r="F963" s="20" t="inlineStr">
        <is>
          <t>City</t>
        </is>
      </c>
      <c r="G963" s="21" t="n">
        <v>2012</v>
      </c>
      <c r="H963" s="22" t="n">
        <v>60788</v>
      </c>
      <c r="I963" s="23" t="n">
        <v>200000</v>
      </c>
      <c r="J963" s="20" t="inlineStr">
        <is>
          <t>Khivraj Motor</t>
        </is>
      </c>
      <c r="K963" s="20" t="inlineStr">
        <is>
          <t>Non-Captive</t>
        </is>
      </c>
      <c r="L963" s="20" t="inlineStr">
        <is>
          <t>Santhosh Cars</t>
        </is>
      </c>
      <c r="M963" s="23" t="n">
        <v>2118.64</v>
      </c>
      <c r="N963" s="23" t="n">
        <v>2500</v>
      </c>
      <c r="O963" s="24">
        <f>IF(AND(ISNUMBER(M963), ISNUMBER(I963), I963&gt;0), M963/I963, "")</f>
        <v/>
      </c>
    </row>
    <row r="964">
      <c r="A964" s="19" t="inlineStr">
        <is>
          <t>FY26</t>
        </is>
      </c>
      <c r="B964" s="19" t="inlineStr">
        <is>
          <t>Mar</t>
        </is>
      </c>
      <c r="C964" s="19" t="inlineStr">
        <is>
          <t>TN</t>
        </is>
      </c>
      <c r="D964" s="20" t="inlineStr">
        <is>
          <t>TN04AT6107</t>
        </is>
      </c>
      <c r="E964" s="20" t="inlineStr">
        <is>
          <t>MARUTI SUZUKI</t>
        </is>
      </c>
      <c r="F964" s="20" t="inlineStr">
        <is>
          <t>Baleno</t>
        </is>
      </c>
      <c r="G964" s="21" t="n">
        <v>2017</v>
      </c>
      <c r="H964" s="22" t="n">
        <v>161601</v>
      </c>
      <c r="I964" s="23" t="n">
        <v>370000</v>
      </c>
      <c r="J964" s="20" t="inlineStr">
        <is>
          <t>Khivraj Motor</t>
        </is>
      </c>
      <c r="K964" s="20" t="inlineStr">
        <is>
          <t>Non-Captive</t>
        </is>
      </c>
      <c r="L964" s="20" t="inlineStr">
        <is>
          <t>Santhosh Cars</t>
        </is>
      </c>
      <c r="M964" s="23" t="n">
        <v>2118.64</v>
      </c>
      <c r="N964" s="23" t="n">
        <v>2500</v>
      </c>
      <c r="O964" s="24">
        <f>IF(AND(ISNUMBER(M964), ISNUMBER(I964), I964&gt;0), M964/I964, "")</f>
        <v/>
      </c>
    </row>
    <row r="965">
      <c r="A965" s="19" t="inlineStr">
        <is>
          <t>FY26</t>
        </is>
      </c>
      <c r="B965" s="19" t="inlineStr">
        <is>
          <t>Mar</t>
        </is>
      </c>
      <c r="C965" s="19" t="inlineStr">
        <is>
          <t>TN</t>
        </is>
      </c>
      <c r="D965" s="20" t="inlineStr">
        <is>
          <t>TN02BR3522</t>
        </is>
      </c>
      <c r="E965" s="20" t="inlineStr">
        <is>
          <t>MARUTI SUZUKI</t>
        </is>
      </c>
      <c r="F965" s="20" t="inlineStr">
        <is>
          <t>Swift</t>
        </is>
      </c>
      <c r="G965" s="21" t="n">
        <v>2019</v>
      </c>
      <c r="H965" s="22" t="n">
        <v>73359</v>
      </c>
      <c r="I965" s="23" t="n">
        <v>475000</v>
      </c>
      <c r="J965" s="20" t="inlineStr">
        <is>
          <t>Khivraj Motor</t>
        </is>
      </c>
      <c r="K965" s="20" t="inlineStr">
        <is>
          <t>Non-Captive</t>
        </is>
      </c>
      <c r="L965" s="20" t="inlineStr">
        <is>
          <t>Santhosh Cars</t>
        </is>
      </c>
      <c r="M965" s="23" t="n">
        <v>2118.64</v>
      </c>
      <c r="N965" s="23" t="n">
        <v>2500</v>
      </c>
      <c r="O965" s="24">
        <f>IF(AND(ISNUMBER(M965), ISNUMBER(I965), I965&gt;0), M965/I965, "")</f>
        <v/>
      </c>
    </row>
    <row r="966">
      <c r="A966" s="19" t="inlineStr">
        <is>
          <t>FY26</t>
        </is>
      </c>
      <c r="B966" s="19" t="inlineStr">
        <is>
          <t>Mar</t>
        </is>
      </c>
      <c r="C966" s="19" t="inlineStr">
        <is>
          <t>TN</t>
        </is>
      </c>
      <c r="D966" s="20" t="inlineStr">
        <is>
          <t>TN10BU3353</t>
        </is>
      </c>
      <c r="E966" s="20" t="inlineStr">
        <is>
          <t>MARUTI SUZUKI</t>
        </is>
      </c>
      <c r="F966" s="20" t="inlineStr">
        <is>
          <t>Ignis</t>
        </is>
      </c>
      <c r="G966" s="21" t="n">
        <v>2023</v>
      </c>
      <c r="H966" s="22" t="n">
        <v>22328</v>
      </c>
      <c r="I966" s="23" t="n">
        <v>470000</v>
      </c>
      <c r="J966" s="20" t="inlineStr">
        <is>
          <t>Khivraj Motor</t>
        </is>
      </c>
      <c r="K966" s="20" t="inlineStr">
        <is>
          <t>Non-Captive</t>
        </is>
      </c>
      <c r="L966" s="20" t="inlineStr">
        <is>
          <t>Santhosh Cars</t>
        </is>
      </c>
      <c r="M966" s="23" t="n">
        <v>2118.64</v>
      </c>
      <c r="N966" s="23" t="n">
        <v>2500</v>
      </c>
      <c r="O966" s="24">
        <f>IF(AND(ISNUMBER(M966), ISNUMBER(I966), I966&gt;0), M966/I966, "")</f>
        <v/>
      </c>
    </row>
    <row r="967">
      <c r="A967" s="19" t="inlineStr">
        <is>
          <t>FY26</t>
        </is>
      </c>
      <c r="B967" s="19" t="inlineStr">
        <is>
          <t>Mar</t>
        </is>
      </c>
      <c r="C967" s="19" t="inlineStr">
        <is>
          <t>TN</t>
        </is>
      </c>
      <c r="D967" s="20" t="inlineStr">
        <is>
          <t>TN09CX3146</t>
        </is>
      </c>
      <c r="E967" s="20" t="inlineStr">
        <is>
          <t>MARUTI SUZUKI</t>
        </is>
      </c>
      <c r="F967" s="20" t="inlineStr">
        <is>
          <t>Baleno</t>
        </is>
      </c>
      <c r="G967" s="21" t="n">
        <v>2021</v>
      </c>
      <c r="H967" s="22" t="n">
        <v>27206</v>
      </c>
      <c r="I967" s="23" t="n">
        <v>500000</v>
      </c>
      <c r="J967" s="20" t="inlineStr">
        <is>
          <t>VISHNU CARS PRIVATE LIMITED</t>
        </is>
      </c>
      <c r="K967" s="20" t="inlineStr">
        <is>
          <t>Non-Captive</t>
        </is>
      </c>
      <c r="L967" s="20" t="inlineStr">
        <is>
          <t>Santhosh Cars</t>
        </is>
      </c>
      <c r="M967" s="23" t="n">
        <v>2118.64</v>
      </c>
      <c r="N967" s="23" t="n">
        <v>2500</v>
      </c>
      <c r="O967" s="24">
        <f>IF(AND(ISNUMBER(M967), ISNUMBER(I967), I967&gt;0), M967/I967, "")</f>
        <v/>
      </c>
    </row>
    <row r="968">
      <c r="A968" s="19" t="inlineStr">
        <is>
          <t>FY26</t>
        </is>
      </c>
      <c r="B968" s="19" t="inlineStr">
        <is>
          <t>Mar</t>
        </is>
      </c>
      <c r="C968" s="19" t="inlineStr">
        <is>
          <t>TN</t>
        </is>
      </c>
      <c r="D968" s="20" t="inlineStr">
        <is>
          <t>TN02BP1251</t>
        </is>
      </c>
      <c r="E968" s="20" t="inlineStr">
        <is>
          <t>HONDA</t>
        </is>
      </c>
      <c r="F968" s="20" t="inlineStr">
        <is>
          <t>Wr-V</t>
        </is>
      </c>
      <c r="G968" s="21" t="n">
        <v>2018</v>
      </c>
      <c r="H968" s="22" t="n">
        <v>47279</v>
      </c>
      <c r="I968" s="23" t="n">
        <v>300000</v>
      </c>
      <c r="J968" s="20" t="inlineStr">
        <is>
          <t>VISHNU CARS PRIVATE LIMITED</t>
        </is>
      </c>
      <c r="K968" s="20" t="inlineStr">
        <is>
          <t>Non-Captive</t>
        </is>
      </c>
      <c r="L968" s="20" t="inlineStr">
        <is>
          <t>Santhosh Cars</t>
        </is>
      </c>
      <c r="M968" s="23" t="n">
        <v>2118.64</v>
      </c>
      <c r="N968" s="23" t="n">
        <v>2500</v>
      </c>
      <c r="O968" s="24">
        <f>IF(AND(ISNUMBER(M968), ISNUMBER(I968), I968&gt;0), M968/I968, "")</f>
        <v/>
      </c>
    </row>
    <row r="969">
      <c r="A969" s="19" t="inlineStr">
        <is>
          <t>FY26</t>
        </is>
      </c>
      <c r="B969" s="19" t="inlineStr">
        <is>
          <t>Mar</t>
        </is>
      </c>
      <c r="C969" s="19" t="inlineStr">
        <is>
          <t>TN</t>
        </is>
      </c>
      <c r="D969" s="20" t="inlineStr">
        <is>
          <t>TN07DC2041</t>
        </is>
      </c>
      <c r="E969" s="20" t="inlineStr">
        <is>
          <t>HYUNDAI</t>
        </is>
      </c>
      <c r="F969" s="20" t="inlineStr">
        <is>
          <t>Grand I10</t>
        </is>
      </c>
      <c r="G969" s="21" t="n">
        <v>2023</v>
      </c>
      <c r="H969" s="22" t="n">
        <v>17557</v>
      </c>
      <c r="I969" s="23" t="n">
        <v>575000</v>
      </c>
      <c r="J969" s="20" t="inlineStr">
        <is>
          <t>STEER AUTO TECHNOLOGIES PRIVATE LIMITED</t>
        </is>
      </c>
      <c r="K969" s="20" t="inlineStr">
        <is>
          <t>Non-Captive</t>
        </is>
      </c>
      <c r="L969" s="20" t="inlineStr">
        <is>
          <t>Santhosh Cars</t>
        </is>
      </c>
      <c r="M969" s="23" t="n">
        <v>2118.64</v>
      </c>
      <c r="N969" s="23" t="n">
        <v>2500</v>
      </c>
      <c r="O969" s="24">
        <f>IF(AND(ISNUMBER(M969), ISNUMBER(I969), I969&gt;0), M969/I969, "")</f>
        <v/>
      </c>
    </row>
    <row r="970">
      <c r="A970" s="19" t="inlineStr">
        <is>
          <t>FY26</t>
        </is>
      </c>
      <c r="B970" s="19" t="inlineStr">
        <is>
          <t>Mar</t>
        </is>
      </c>
      <c r="C970" s="19" t="inlineStr">
        <is>
          <t>TN</t>
        </is>
      </c>
      <c r="D970" s="20" t="inlineStr">
        <is>
          <t>TN05CS5654</t>
        </is>
      </c>
      <c r="E970" s="20" t="inlineStr">
        <is>
          <t>TATA</t>
        </is>
      </c>
      <c r="F970" s="20" t="inlineStr">
        <is>
          <t>Punch</t>
        </is>
      </c>
      <c r="G970" s="21" t="n">
        <v>2024</v>
      </c>
      <c r="H970" s="22" t="n">
        <v>54322</v>
      </c>
      <c r="I970" s="23" t="n">
        <v>700000</v>
      </c>
      <c r="J970" s="20" t="inlineStr">
        <is>
          <t>Khivraj Motor</t>
        </is>
      </c>
      <c r="K970" s="20" t="inlineStr">
        <is>
          <t>Non-Captive</t>
        </is>
      </c>
      <c r="L970" s="20" t="inlineStr">
        <is>
          <t>Santhosh Cars</t>
        </is>
      </c>
      <c r="M970" s="23" t="n">
        <v>2118.64</v>
      </c>
      <c r="N970" s="23" t="n">
        <v>2500</v>
      </c>
      <c r="O970" s="24">
        <f>IF(AND(ISNUMBER(M970), ISNUMBER(I970), I970&gt;0), M970/I970, "")</f>
        <v/>
      </c>
    </row>
    <row r="971">
      <c r="A971" s="19" t="inlineStr">
        <is>
          <t>FY26</t>
        </is>
      </c>
      <c r="B971" s="19" t="inlineStr">
        <is>
          <t>Mar</t>
        </is>
      </c>
      <c r="C971" s="19" t="inlineStr">
        <is>
          <t>TN</t>
        </is>
      </c>
      <c r="D971" s="20" t="inlineStr">
        <is>
          <t>TN01AS8662</t>
        </is>
      </c>
      <c r="E971" s="20" t="inlineStr">
        <is>
          <t>MARUTI SUZUKI</t>
        </is>
      </c>
      <c r="F971" s="20" t="inlineStr">
        <is>
          <t>Swift Dzire</t>
        </is>
      </c>
      <c r="G971" s="21" t="n">
        <v>2012</v>
      </c>
      <c r="H971" s="22" t="n">
        <v>45000</v>
      </c>
      <c r="I971" s="23" t="n">
        <v>200000</v>
      </c>
      <c r="J971" s="20" t="inlineStr">
        <is>
          <t>Khivraj Motor</t>
        </is>
      </c>
      <c r="K971" s="20" t="inlineStr">
        <is>
          <t>Non-Captive</t>
        </is>
      </c>
      <c r="L971" s="20" t="inlineStr">
        <is>
          <t>Santhosh Cars</t>
        </is>
      </c>
      <c r="M971" s="23" t="n">
        <v>2118.64</v>
      </c>
      <c r="N971" s="23" t="n">
        <v>2500</v>
      </c>
      <c r="O971" s="24">
        <f>IF(AND(ISNUMBER(M971), ISNUMBER(I971), I971&gt;0), M971/I971, "")</f>
        <v/>
      </c>
    </row>
    <row r="972">
      <c r="A972" s="19" t="inlineStr">
        <is>
          <t>FY26</t>
        </is>
      </c>
      <c r="B972" s="19" t="inlineStr">
        <is>
          <t>Mar</t>
        </is>
      </c>
      <c r="C972" s="19" t="inlineStr">
        <is>
          <t>TN</t>
        </is>
      </c>
      <c r="D972" s="20" t="inlineStr">
        <is>
          <t>TN09BD5116</t>
        </is>
      </c>
      <c r="E972" s="20" t="inlineStr">
        <is>
          <t>MARUTI SUZUKI</t>
        </is>
      </c>
      <c r="F972" s="20" t="inlineStr">
        <is>
          <t>Ritz</t>
        </is>
      </c>
      <c r="G972" s="21" t="n">
        <v>2010</v>
      </c>
      <c r="H972" s="22" t="n">
        <v>12159</v>
      </c>
      <c r="I972" s="23" t="n">
        <v>150000</v>
      </c>
      <c r="J972" s="20" t="inlineStr">
        <is>
          <t>Khivraj Motor</t>
        </is>
      </c>
      <c r="K972" s="20" t="inlineStr">
        <is>
          <t>Non-Captive</t>
        </is>
      </c>
      <c r="L972" s="20" t="inlineStr">
        <is>
          <t>Santhosh Cars</t>
        </is>
      </c>
      <c r="M972" s="23" t="n">
        <v>2118.64</v>
      </c>
      <c r="N972" s="23" t="n">
        <v>2500</v>
      </c>
      <c r="O972" s="24">
        <f>IF(AND(ISNUMBER(M972), ISNUMBER(I972), I972&gt;0), M972/I972, "")</f>
        <v/>
      </c>
    </row>
    <row r="973">
      <c r="A973" s="19" t="inlineStr">
        <is>
          <t>FY26</t>
        </is>
      </c>
      <c r="B973" s="19" t="inlineStr">
        <is>
          <t>Mar</t>
        </is>
      </c>
      <c r="C973" s="19" t="inlineStr">
        <is>
          <t>TN</t>
        </is>
      </c>
      <c r="D973" s="20" t="inlineStr">
        <is>
          <t>TN10AY3940</t>
        </is>
      </c>
      <c r="E973" s="20" t="inlineStr">
        <is>
          <t>MARUTI SUZUKI</t>
        </is>
      </c>
      <c r="F973" s="20" t="inlineStr">
        <is>
          <t>Vitara Brezza</t>
        </is>
      </c>
      <c r="G973" s="21" t="n">
        <v>2016</v>
      </c>
      <c r="H973" s="22" t="n">
        <v>166667</v>
      </c>
      <c r="I973" s="23" t="n">
        <v>450000</v>
      </c>
      <c r="J973" s="20" t="inlineStr">
        <is>
          <t>Khivraj Motor</t>
        </is>
      </c>
      <c r="K973" s="20" t="inlineStr">
        <is>
          <t>Non-Captive</t>
        </is>
      </c>
      <c r="L973" s="20" t="inlineStr">
        <is>
          <t>Santhosh Cars</t>
        </is>
      </c>
      <c r="M973" s="23" t="n">
        <v>2118.64</v>
      </c>
      <c r="N973" s="23" t="n">
        <v>2500</v>
      </c>
      <c r="O973" s="24">
        <f>IF(AND(ISNUMBER(M973), ISNUMBER(I973), I973&gt;0), M973/I973, "")</f>
        <v/>
      </c>
    </row>
    <row r="974">
      <c r="A974" s="19" t="inlineStr">
        <is>
          <t>FY26</t>
        </is>
      </c>
      <c r="B974" s="19" t="inlineStr">
        <is>
          <t>Mar</t>
        </is>
      </c>
      <c r="C974" s="19" t="inlineStr">
        <is>
          <t>TN</t>
        </is>
      </c>
      <c r="D974" s="20" t="inlineStr">
        <is>
          <t>TN21AE6446</t>
        </is>
      </c>
      <c r="E974" s="20" t="inlineStr">
        <is>
          <t>HYUNDAI</t>
        </is>
      </c>
      <c r="F974" s="20" t="inlineStr">
        <is>
          <t>Grand I10</t>
        </is>
      </c>
      <c r="G974" s="21" t="n">
        <v>2009</v>
      </c>
      <c r="H974" s="22" t="n">
        <v>32709</v>
      </c>
      <c r="I974" s="23" t="n">
        <v>600000</v>
      </c>
      <c r="J974" s="20" t="inlineStr">
        <is>
          <t>Shree Thiya cars</t>
        </is>
      </c>
      <c r="K974" s="20" t="inlineStr">
        <is>
          <t>Non-Captive</t>
        </is>
      </c>
      <c r="L974" s="20" t="inlineStr">
        <is>
          <t>Santhosh Cars</t>
        </is>
      </c>
      <c r="M974" s="23" t="n">
        <v>2118.64</v>
      </c>
      <c r="N974" s="23" t="n">
        <v>2500</v>
      </c>
      <c r="O974" s="24">
        <f>IF(AND(ISNUMBER(M974), ISNUMBER(I974), I974&gt;0), M974/I974, "")</f>
        <v/>
      </c>
    </row>
    <row r="975">
      <c r="A975" s="19" t="inlineStr">
        <is>
          <t>FY26</t>
        </is>
      </c>
      <c r="B975" s="19" t="inlineStr">
        <is>
          <t>Mar</t>
        </is>
      </c>
      <c r="C975" s="19" t="inlineStr">
        <is>
          <t>TN</t>
        </is>
      </c>
      <c r="D975" s="20" t="inlineStr">
        <is>
          <t>TN132269</t>
        </is>
      </c>
      <c r="E975" s="20" t="inlineStr">
        <is>
          <t>MARUTI SUZUKI</t>
        </is>
      </c>
      <c r="F975" s="20" t="inlineStr">
        <is>
          <t>Swift</t>
        </is>
      </c>
      <c r="G975" s="21" t="n">
        <v>2013</v>
      </c>
      <c r="H975" s="22" t="n">
        <v>34398</v>
      </c>
      <c r="I975" s="23" t="n">
        <v>300000</v>
      </c>
      <c r="J975" s="20" t="inlineStr">
        <is>
          <t>Khivraj Motor</t>
        </is>
      </c>
      <c r="K975" s="20" t="inlineStr">
        <is>
          <t>Non-Captive</t>
        </is>
      </c>
      <c r="L975" s="20" t="inlineStr">
        <is>
          <t>Santhosh Cars</t>
        </is>
      </c>
      <c r="M975" s="23" t="n">
        <v>2118.64</v>
      </c>
      <c r="N975" s="23" t="n">
        <v>2500</v>
      </c>
      <c r="O975" s="24">
        <f>IF(AND(ISNUMBER(M975), ISNUMBER(I975), I975&gt;0), M975/I975, "")</f>
        <v/>
      </c>
    </row>
    <row r="976">
      <c r="A976" s="19" t="inlineStr">
        <is>
          <t>FY26</t>
        </is>
      </c>
      <c r="B976" s="19" t="inlineStr">
        <is>
          <t>Mar</t>
        </is>
      </c>
      <c r="C976" s="19" t="inlineStr">
        <is>
          <t>TN</t>
        </is>
      </c>
      <c r="D976" s="20" t="inlineStr">
        <is>
          <t>TN02BQ9436</t>
        </is>
      </c>
      <c r="E976" s="20" t="inlineStr">
        <is>
          <t>HYUNDAI</t>
        </is>
      </c>
      <c r="F976" s="20" t="inlineStr">
        <is>
          <t>Grand I10</t>
        </is>
      </c>
      <c r="G976" s="21" t="n">
        <v>2019</v>
      </c>
      <c r="H976" s="22" t="n">
        <v>45059</v>
      </c>
      <c r="I976" s="23" t="n">
        <v>350000</v>
      </c>
      <c r="J976" s="20" t="inlineStr">
        <is>
          <t>Khivraj Motor</t>
        </is>
      </c>
      <c r="K976" s="20" t="inlineStr">
        <is>
          <t>Non-Captive</t>
        </is>
      </c>
      <c r="L976" s="20" t="inlineStr">
        <is>
          <t>Santhosh Cars</t>
        </is>
      </c>
      <c r="M976" s="23" t="n">
        <v>2118.64</v>
      </c>
      <c r="N976" s="23" t="n">
        <v>2500</v>
      </c>
      <c r="O976" s="24">
        <f>IF(AND(ISNUMBER(M976), ISNUMBER(I976), I976&gt;0), M976/I976, "")</f>
        <v/>
      </c>
    </row>
    <row r="977">
      <c r="A977" s="19" t="inlineStr">
        <is>
          <t>FY26</t>
        </is>
      </c>
      <c r="B977" s="19" t="inlineStr">
        <is>
          <t>Mar</t>
        </is>
      </c>
      <c r="C977" s="19" t="inlineStr">
        <is>
          <t>TN</t>
        </is>
      </c>
      <c r="D977" s="20" t="inlineStr">
        <is>
          <t>TN04BC3439</t>
        </is>
      </c>
      <c r="E977" s="20" t="inlineStr">
        <is>
          <t>MARUTI SUZUKI</t>
        </is>
      </c>
      <c r="F977" s="20" t="inlineStr">
        <is>
          <t>Xl6</t>
        </is>
      </c>
      <c r="G977" s="21" t="n">
        <v>2023</v>
      </c>
      <c r="H977" s="22" t="n">
        <v>39682</v>
      </c>
      <c r="I977" s="23" t="n">
        <v>1000000</v>
      </c>
      <c r="J977" s="20" t="inlineStr">
        <is>
          <t>Khivraj Motor</t>
        </is>
      </c>
      <c r="K977" s="20" t="inlineStr">
        <is>
          <t>Non-Captive</t>
        </is>
      </c>
      <c r="L977" s="20" t="inlineStr">
        <is>
          <t>Santhosh Cars</t>
        </is>
      </c>
      <c r="M977" s="23" t="n">
        <v>2118.64</v>
      </c>
      <c r="N977" s="23" t="n">
        <v>2500</v>
      </c>
      <c r="O977" s="24">
        <f>IF(AND(ISNUMBER(M977), ISNUMBER(I977), I977&gt;0), M977/I977, "")</f>
        <v/>
      </c>
    </row>
    <row r="978">
      <c r="A978" s="19" t="inlineStr">
        <is>
          <t>FY26</t>
        </is>
      </c>
      <c r="B978" s="19" t="inlineStr">
        <is>
          <t>Mar</t>
        </is>
      </c>
      <c r="C978" s="19" t="inlineStr">
        <is>
          <t>TN</t>
        </is>
      </c>
      <c r="D978" s="20" t="inlineStr">
        <is>
          <t>TN05X7900</t>
        </is>
      </c>
      <c r="E978" s="20" t="inlineStr">
        <is>
          <t>HYUNDAI</t>
        </is>
      </c>
      <c r="F978" s="20" t="inlineStr">
        <is>
          <t>Getz</t>
        </is>
      </c>
      <c r="G978" s="21" t="n">
        <v>2008</v>
      </c>
      <c r="H978" s="22" t="n">
        <v>48958</v>
      </c>
      <c r="I978" s="23" t="n">
        <v>100000</v>
      </c>
      <c r="J978" s="20" t="inlineStr">
        <is>
          <t>Khivraj Motor</t>
        </is>
      </c>
      <c r="K978" s="20" t="inlineStr">
        <is>
          <t>Non-Captive</t>
        </is>
      </c>
      <c r="L978" s="20" t="inlineStr">
        <is>
          <t>Santhosh Cars</t>
        </is>
      </c>
      <c r="M978" s="23" t="n">
        <v>2118.64</v>
      </c>
      <c r="N978" s="23" t="n">
        <v>2500</v>
      </c>
      <c r="O978" s="24">
        <f>IF(AND(ISNUMBER(M978), ISNUMBER(I978), I978&gt;0), M978/I978, "")</f>
        <v/>
      </c>
    </row>
    <row r="979">
      <c r="A979" s="19" t="inlineStr">
        <is>
          <t>FY26</t>
        </is>
      </c>
      <c r="B979" s="19" t="inlineStr">
        <is>
          <t>Mar</t>
        </is>
      </c>
      <c r="C979" s="19" t="inlineStr">
        <is>
          <t>TN</t>
        </is>
      </c>
      <c r="D979" s="20" t="inlineStr">
        <is>
          <t>TN06M3895</t>
        </is>
      </c>
      <c r="E979" s="20" t="inlineStr">
        <is>
          <t>HYUNDAI</t>
        </is>
      </c>
      <c r="F979" s="20" t="inlineStr">
        <is>
          <t>Eon</t>
        </is>
      </c>
      <c r="G979" s="21" t="n">
        <v>2014</v>
      </c>
      <c r="H979" s="22" t="n">
        <v>45722</v>
      </c>
      <c r="I979" s="23" t="n">
        <v>160000</v>
      </c>
      <c r="J979" s="20" t="inlineStr">
        <is>
          <t>Khivraj Motor</t>
        </is>
      </c>
      <c r="K979" s="20" t="inlineStr">
        <is>
          <t>Non-Captive</t>
        </is>
      </c>
      <c r="L979" s="20" t="inlineStr">
        <is>
          <t>Santhosh Cars</t>
        </is>
      </c>
      <c r="M979" s="23" t="n">
        <v>2118.64</v>
      </c>
      <c r="N979" s="23" t="n">
        <v>2500</v>
      </c>
      <c r="O979" s="24">
        <f>IF(AND(ISNUMBER(M979), ISNUMBER(I979), I979&gt;0), M979/I979, "")</f>
        <v/>
      </c>
    </row>
    <row r="980">
      <c r="A980" s="19" t="inlineStr">
        <is>
          <t>FY26</t>
        </is>
      </c>
      <c r="B980" s="19" t="inlineStr">
        <is>
          <t>Mar</t>
        </is>
      </c>
      <c r="C980" s="19" t="inlineStr">
        <is>
          <t>TN</t>
        </is>
      </c>
      <c r="D980" s="20" t="inlineStr">
        <is>
          <t>TN14F6532</t>
        </is>
      </c>
      <c r="E980" s="20" t="inlineStr">
        <is>
          <t>MARUTI SUZUKI</t>
        </is>
      </c>
      <c r="F980" s="20" t="inlineStr">
        <is>
          <t>Alto</t>
        </is>
      </c>
      <c r="G980" s="21" t="n">
        <v>2016</v>
      </c>
      <c r="H980" s="22" t="n">
        <v>84672</v>
      </c>
      <c r="I980" s="23" t="n">
        <v>120000</v>
      </c>
      <c r="J980" s="20" t="inlineStr">
        <is>
          <t>Khivraj Motor</t>
        </is>
      </c>
      <c r="K980" s="20" t="inlineStr">
        <is>
          <t>Non-Captive</t>
        </is>
      </c>
      <c r="L980" s="20" t="inlineStr">
        <is>
          <t>Santhosh Cars</t>
        </is>
      </c>
      <c r="M980" s="23" t="n">
        <v>2118.64</v>
      </c>
      <c r="N980" s="23" t="n">
        <v>2500</v>
      </c>
      <c r="O980" s="24">
        <f>IF(AND(ISNUMBER(M980), ISNUMBER(I980), I980&gt;0), M980/I980, "")</f>
        <v/>
      </c>
    </row>
    <row r="981">
      <c r="A981" s="19" t="inlineStr">
        <is>
          <t>FY26</t>
        </is>
      </c>
      <c r="B981" s="19" t="inlineStr">
        <is>
          <t>Mar</t>
        </is>
      </c>
      <c r="C981" s="19" t="inlineStr">
        <is>
          <t>TN</t>
        </is>
      </c>
      <c r="D981" s="20" t="inlineStr">
        <is>
          <t>TN07AV8505</t>
        </is>
      </c>
      <c r="E981" s="20" t="inlineStr">
        <is>
          <t>HYUNDAI</t>
        </is>
      </c>
      <c r="F981" s="20" t="inlineStr">
        <is>
          <t>Santro</t>
        </is>
      </c>
      <c r="G981" s="21" t="n">
        <v>2006</v>
      </c>
      <c r="H981" s="22" t="n">
        <v>34283</v>
      </c>
      <c r="I981" s="23" t="n">
        <v>100000</v>
      </c>
      <c r="J981" s="20" t="inlineStr">
        <is>
          <t>Khivraj Motor</t>
        </is>
      </c>
      <c r="K981" s="20" t="inlineStr">
        <is>
          <t>Non-Captive</t>
        </is>
      </c>
      <c r="L981" s="20" t="inlineStr">
        <is>
          <t>Santhosh Cars</t>
        </is>
      </c>
      <c r="M981" s="23" t="n">
        <v>2118.64</v>
      </c>
      <c r="N981" s="23" t="n">
        <v>2500</v>
      </c>
      <c r="O981" s="24">
        <f>IF(AND(ISNUMBER(M981), ISNUMBER(I981), I981&gt;0), M981/I981, "")</f>
        <v/>
      </c>
    </row>
    <row r="982">
      <c r="A982" s="19" t="inlineStr">
        <is>
          <t>FY26</t>
        </is>
      </c>
      <c r="B982" s="19" t="inlineStr">
        <is>
          <t>Mar</t>
        </is>
      </c>
      <c r="C982" s="19" t="inlineStr">
        <is>
          <t>TN</t>
        </is>
      </c>
      <c r="D982" s="20" t="inlineStr">
        <is>
          <t>TN09CX2431</t>
        </is>
      </c>
      <c r="E982" s="20" t="inlineStr">
        <is>
          <t>MARUTI SUZUKI</t>
        </is>
      </c>
      <c r="F982" s="20" t="inlineStr">
        <is>
          <t>Eeco</t>
        </is>
      </c>
      <c r="G982" s="21" t="n">
        <v>2021</v>
      </c>
      <c r="H982" s="22" t="n">
        <v>54441</v>
      </c>
      <c r="I982" s="23" t="n">
        <v>380000</v>
      </c>
      <c r="J982" s="20" t="inlineStr">
        <is>
          <t>Khivraj Motor</t>
        </is>
      </c>
      <c r="K982" s="20" t="inlineStr">
        <is>
          <t>Non-Captive</t>
        </is>
      </c>
      <c r="L982" s="20" t="inlineStr">
        <is>
          <t>Santhosh Cars</t>
        </is>
      </c>
      <c r="M982" s="23" t="n">
        <v>2118.64</v>
      </c>
      <c r="N982" s="23" t="n">
        <v>2500</v>
      </c>
      <c r="O982" s="24">
        <f>IF(AND(ISNUMBER(M982), ISNUMBER(I982), I982&gt;0), M982/I982, "")</f>
        <v/>
      </c>
    </row>
    <row r="983">
      <c r="A983" s="19" t="inlineStr">
        <is>
          <t>FY26</t>
        </is>
      </c>
      <c r="B983" s="19" t="inlineStr">
        <is>
          <t>Mar</t>
        </is>
      </c>
      <c r="C983" s="19" t="inlineStr">
        <is>
          <t>TN</t>
        </is>
      </c>
      <c r="D983" s="20" t="inlineStr">
        <is>
          <t>TN01BH3622</t>
        </is>
      </c>
      <c r="E983" s="20" t="inlineStr">
        <is>
          <t>MARUTI SUZUKI</t>
        </is>
      </c>
      <c r="F983" s="20" t="inlineStr">
        <is>
          <t>Baleno</t>
        </is>
      </c>
      <c r="G983" s="21" t="n">
        <v>2019</v>
      </c>
      <c r="H983" s="22" t="n">
        <v>25947</v>
      </c>
      <c r="I983" s="23" t="n">
        <v>500000</v>
      </c>
      <c r="J983" s="20" t="inlineStr">
        <is>
          <t>Khivraj Motor</t>
        </is>
      </c>
      <c r="K983" s="20" t="inlineStr">
        <is>
          <t>Non-Captive</t>
        </is>
      </c>
      <c r="L983" s="20" t="inlineStr">
        <is>
          <t>Santhosh Cars</t>
        </is>
      </c>
      <c r="M983" s="23" t="n">
        <v>2118.64</v>
      </c>
      <c r="N983" s="23" t="n">
        <v>2500</v>
      </c>
      <c r="O983" s="24">
        <f>IF(AND(ISNUMBER(M983), ISNUMBER(I983), I983&gt;0), M983/I983, "")</f>
        <v/>
      </c>
    </row>
    <row r="984">
      <c r="A984" s="19" t="inlineStr">
        <is>
          <t>FY26</t>
        </is>
      </c>
      <c r="B984" s="19" t="inlineStr">
        <is>
          <t>Mar</t>
        </is>
      </c>
      <c r="C984" s="19" t="inlineStr">
        <is>
          <t>TN</t>
        </is>
      </c>
      <c r="D984" s="20" t="inlineStr">
        <is>
          <t>TN12B1233</t>
        </is>
      </c>
      <c r="E984" s="20" t="inlineStr">
        <is>
          <t>HONDA</t>
        </is>
      </c>
      <c r="F984" s="20" t="inlineStr">
        <is>
          <t>Amaze</t>
        </is>
      </c>
      <c r="G984" s="21" t="n">
        <v>2013</v>
      </c>
      <c r="H984" s="22" t="n">
        <v>125170</v>
      </c>
      <c r="I984" s="23" t="n">
        <v>200000</v>
      </c>
      <c r="J984" s="20" t="inlineStr">
        <is>
          <t>Khivraj Motor</t>
        </is>
      </c>
      <c r="K984" s="20" t="inlineStr">
        <is>
          <t>Non-Captive</t>
        </is>
      </c>
      <c r="L984" s="20" t="inlineStr">
        <is>
          <t>Santhosh Cars</t>
        </is>
      </c>
      <c r="M984" s="23" t="n">
        <v>2118.64</v>
      </c>
      <c r="N984" s="23" t="n">
        <v>2500</v>
      </c>
      <c r="O984" s="24">
        <f>IF(AND(ISNUMBER(M984), ISNUMBER(I984), I984&gt;0), M984/I984, "")</f>
        <v/>
      </c>
    </row>
    <row r="985">
      <c r="A985" s="19" t="inlineStr">
        <is>
          <t>FY26</t>
        </is>
      </c>
      <c r="B985" s="19" t="inlineStr">
        <is>
          <t>Mar</t>
        </is>
      </c>
      <c r="C985" s="19" t="inlineStr">
        <is>
          <t>TN</t>
        </is>
      </c>
      <c r="D985" s="20" t="inlineStr">
        <is>
          <t>TN02AQ1302</t>
        </is>
      </c>
      <c r="E985" s="20" t="inlineStr">
        <is>
          <t>MARUTI SUZUKI</t>
        </is>
      </c>
      <c r="F985" s="20" t="inlineStr">
        <is>
          <t>Alto K10</t>
        </is>
      </c>
      <c r="G985" s="21" t="n">
        <v>2010</v>
      </c>
      <c r="H985" s="22" t="n">
        <v>38214</v>
      </c>
      <c r="I985" s="23" t="n">
        <v>145000</v>
      </c>
      <c r="J985" s="20" t="inlineStr">
        <is>
          <t>Khivraj Motor</t>
        </is>
      </c>
      <c r="K985" s="20" t="inlineStr">
        <is>
          <t>Non-Captive</t>
        </is>
      </c>
      <c r="L985" s="20" t="inlineStr">
        <is>
          <t>Santhosh Cars</t>
        </is>
      </c>
      <c r="M985" s="23" t="n">
        <v>2118.64</v>
      </c>
      <c r="N985" s="23" t="n">
        <v>2500</v>
      </c>
      <c r="O985" s="24">
        <f>IF(AND(ISNUMBER(M985), ISNUMBER(I985), I985&gt;0), M985/I985, "")</f>
        <v/>
      </c>
    </row>
    <row r="986">
      <c r="A986" s="19" t="inlineStr">
        <is>
          <t>FY26</t>
        </is>
      </c>
      <c r="B986" s="19" t="inlineStr">
        <is>
          <t>Mar</t>
        </is>
      </c>
      <c r="C986" s="19" t="inlineStr">
        <is>
          <t>TN</t>
        </is>
      </c>
      <c r="D986" s="20" t="inlineStr">
        <is>
          <t>TN09CD7018</t>
        </is>
      </c>
      <c r="E986" s="20" t="inlineStr">
        <is>
          <t>RENAULT</t>
        </is>
      </c>
      <c r="F986" s="20" t="inlineStr">
        <is>
          <t>Kwid</t>
        </is>
      </c>
      <c r="G986" s="21" t="n">
        <v>2016</v>
      </c>
      <c r="H986" s="22" t="n">
        <v>44004</v>
      </c>
      <c r="I986" s="23" t="n">
        <v>200000</v>
      </c>
      <c r="J986" s="20" t="inlineStr">
        <is>
          <t>Khivraj Motor</t>
        </is>
      </c>
      <c r="K986" s="20" t="inlineStr">
        <is>
          <t>Non-Captive</t>
        </is>
      </c>
      <c r="L986" s="20" t="inlineStr">
        <is>
          <t>Santhosh Cars</t>
        </is>
      </c>
      <c r="M986" s="23" t="n">
        <v>2118.64</v>
      </c>
      <c r="N986" s="23" t="n">
        <v>2500</v>
      </c>
      <c r="O986" s="24">
        <f>IF(AND(ISNUMBER(M986), ISNUMBER(I986), I986&gt;0), M986/I986, "")</f>
        <v/>
      </c>
    </row>
    <row r="987">
      <c r="A987" s="19" t="inlineStr">
        <is>
          <t>FY26</t>
        </is>
      </c>
      <c r="B987" s="19" t="inlineStr">
        <is>
          <t>Mar</t>
        </is>
      </c>
      <c r="C987" s="19" t="inlineStr">
        <is>
          <t>TN</t>
        </is>
      </c>
      <c r="D987" s="20" t="inlineStr">
        <is>
          <t>TN14F6816</t>
        </is>
      </c>
      <c r="E987" s="20" t="inlineStr">
        <is>
          <t>MARUTI SUZUKI</t>
        </is>
      </c>
      <c r="F987" s="20" t="inlineStr">
        <is>
          <t>Ciaz</t>
        </is>
      </c>
      <c r="G987" s="21" t="n">
        <v>2016</v>
      </c>
      <c r="H987" s="22" t="n">
        <v>114265</v>
      </c>
      <c r="I987" s="23" t="n">
        <v>400000</v>
      </c>
      <c r="J987" s="20" t="inlineStr">
        <is>
          <t>Khivraj Motor</t>
        </is>
      </c>
      <c r="K987" s="20" t="inlineStr">
        <is>
          <t>Non-Captive</t>
        </is>
      </c>
      <c r="L987" s="20" t="inlineStr">
        <is>
          <t>Santhosh Cars</t>
        </is>
      </c>
      <c r="M987" s="23" t="n">
        <v>2118.64</v>
      </c>
      <c r="N987" s="23" t="n">
        <v>2500</v>
      </c>
      <c r="O987" s="24">
        <f>IF(AND(ISNUMBER(M987), ISNUMBER(I987), I987&gt;0), M987/I987, "")</f>
        <v/>
      </c>
    </row>
    <row r="988">
      <c r="A988" s="19" t="inlineStr">
        <is>
          <t>FY26</t>
        </is>
      </c>
      <c r="B988" s="19" t="inlineStr">
        <is>
          <t>Mar</t>
        </is>
      </c>
      <c r="C988" s="19" t="inlineStr">
        <is>
          <t>TN</t>
        </is>
      </c>
      <c r="D988" s="20" t="inlineStr">
        <is>
          <t>TN12Q8464</t>
        </is>
      </c>
      <c r="E988" s="20" t="inlineStr">
        <is>
          <t>VOLKSWAGEN</t>
        </is>
      </c>
      <c r="F988" s="20" t="inlineStr">
        <is>
          <t>Polo</t>
        </is>
      </c>
      <c r="G988" s="21" t="n">
        <v>2016</v>
      </c>
      <c r="H988" s="22" t="n">
        <v>122726</v>
      </c>
      <c r="I988" s="23" t="n">
        <v>250000</v>
      </c>
      <c r="J988" s="20" t="inlineStr">
        <is>
          <t>Khivraj Motor</t>
        </is>
      </c>
      <c r="K988" s="20" t="inlineStr">
        <is>
          <t>Non-Captive</t>
        </is>
      </c>
      <c r="L988" s="20" t="inlineStr">
        <is>
          <t>Santhosh Cars</t>
        </is>
      </c>
      <c r="M988" s="23" t="n">
        <v>2118.64</v>
      </c>
      <c r="N988" s="23" t="n">
        <v>2500</v>
      </c>
      <c r="O988" s="24">
        <f>IF(AND(ISNUMBER(M988), ISNUMBER(I988), I988&gt;0), M988/I988, "")</f>
        <v/>
      </c>
    </row>
    <row r="989">
      <c r="A989" s="19" t="inlineStr">
        <is>
          <t>FY26</t>
        </is>
      </c>
      <c r="B989" s="19" t="inlineStr">
        <is>
          <t>Mar</t>
        </is>
      </c>
      <c r="C989" s="19" t="inlineStr">
        <is>
          <t>TN</t>
        </is>
      </c>
      <c r="D989" s="20" t="inlineStr">
        <is>
          <t>TN06L3925</t>
        </is>
      </c>
      <c r="E989" s="20" t="inlineStr">
        <is>
          <t>FORD</t>
        </is>
      </c>
      <c r="F989" s="20" t="inlineStr">
        <is>
          <t>Ecosport</t>
        </is>
      </c>
      <c r="G989" s="21" t="n">
        <v>2014</v>
      </c>
      <c r="H989" s="22" t="n">
        <v>84404</v>
      </c>
      <c r="I989" s="23" t="n">
        <v>250000</v>
      </c>
      <c r="J989" s="20" t="inlineStr">
        <is>
          <t>Khivraj Motor</t>
        </is>
      </c>
      <c r="K989" s="20" t="inlineStr">
        <is>
          <t>Non-Captive</t>
        </is>
      </c>
      <c r="L989" s="20" t="inlineStr">
        <is>
          <t>Santhosh Cars</t>
        </is>
      </c>
      <c r="M989" s="23" t="n">
        <v>2118.64</v>
      </c>
      <c r="N989" s="23" t="n">
        <v>2500</v>
      </c>
      <c r="O989" s="24">
        <f>IF(AND(ISNUMBER(M989), ISNUMBER(I989), I989&gt;0), M989/I989, "")</f>
        <v/>
      </c>
    </row>
    <row r="990">
      <c r="A990" s="19" t="inlineStr">
        <is>
          <t>FY26</t>
        </is>
      </c>
      <c r="B990" s="19" t="inlineStr">
        <is>
          <t>Mar</t>
        </is>
      </c>
      <c r="C990" s="19" t="inlineStr">
        <is>
          <t>TN</t>
        </is>
      </c>
      <c r="D990" s="20" t="inlineStr">
        <is>
          <t>TN02BS4691</t>
        </is>
      </c>
      <c r="E990" s="20" t="inlineStr">
        <is>
          <t>HONDA</t>
        </is>
      </c>
      <c r="F990" s="20" t="inlineStr">
        <is>
          <t>City</t>
        </is>
      </c>
      <c r="G990" s="21" t="n">
        <v>2016</v>
      </c>
      <c r="H990" s="22" t="n">
        <v>85425</v>
      </c>
      <c r="I990" s="23" t="n">
        <v>450000</v>
      </c>
      <c r="J990" s="20" t="inlineStr">
        <is>
          <t>Khivraj Motor</t>
        </is>
      </c>
      <c r="K990" s="20" t="inlineStr">
        <is>
          <t>Non-Captive</t>
        </is>
      </c>
      <c r="L990" s="20" t="inlineStr">
        <is>
          <t>Santhosh Cars</t>
        </is>
      </c>
      <c r="M990" s="23" t="n">
        <v>2118.64</v>
      </c>
      <c r="N990" s="23" t="n">
        <v>2500</v>
      </c>
      <c r="O990" s="24">
        <f>IF(AND(ISNUMBER(M990), ISNUMBER(I990), I990&gt;0), M990/I990, "")</f>
        <v/>
      </c>
    </row>
    <row r="991">
      <c r="A991" s="19" t="inlineStr">
        <is>
          <t>FY26</t>
        </is>
      </c>
      <c r="B991" s="19" t="inlineStr">
        <is>
          <t>Mar</t>
        </is>
      </c>
      <c r="C991" s="19" t="inlineStr">
        <is>
          <t>TN</t>
        </is>
      </c>
      <c r="D991" s="20" t="inlineStr">
        <is>
          <t>TN73Z4147</t>
        </is>
      </c>
      <c r="E991" s="20" t="inlineStr">
        <is>
          <t>MARUTI SUZUKI</t>
        </is>
      </c>
      <c r="F991" s="20" t="inlineStr">
        <is>
          <t>A Star</t>
        </is>
      </c>
      <c r="G991" s="21" t="n">
        <v>2009</v>
      </c>
      <c r="H991" s="22" t="n">
        <v>92900</v>
      </c>
      <c r="I991" s="23" t="n">
        <v>100000</v>
      </c>
      <c r="J991" s="20" t="inlineStr">
        <is>
          <t>Khivraj Motor</t>
        </is>
      </c>
      <c r="K991" s="20" t="inlineStr">
        <is>
          <t>Non-Captive</t>
        </is>
      </c>
      <c r="L991" s="20" t="inlineStr">
        <is>
          <t>Santhosh Cars</t>
        </is>
      </c>
      <c r="M991" s="23" t="n">
        <v>2966.1</v>
      </c>
      <c r="N991" s="23" t="n">
        <v>3500</v>
      </c>
      <c r="O991" s="24">
        <f>IF(AND(ISNUMBER(M991), ISNUMBER(I991), I991&gt;0), M991/I991, "")</f>
        <v/>
      </c>
    </row>
    <row r="992">
      <c r="A992" s="19" t="inlineStr">
        <is>
          <t>FY26</t>
        </is>
      </c>
      <c r="B992" s="19" t="inlineStr">
        <is>
          <t>Mar</t>
        </is>
      </c>
      <c r="C992" s="19" t="inlineStr">
        <is>
          <t>TN</t>
        </is>
      </c>
      <c r="D992" s="20" t="inlineStr">
        <is>
          <t>TN07CB3391</t>
        </is>
      </c>
      <c r="E992" s="20" t="inlineStr">
        <is>
          <t>MARUTI SUZUKI</t>
        </is>
      </c>
      <c r="F992" s="20" t="inlineStr">
        <is>
          <t>Wagon R</t>
        </is>
      </c>
      <c r="G992" s="21" t="n">
        <v>2015</v>
      </c>
      <c r="H992" s="22" t="n">
        <v>65000</v>
      </c>
      <c r="I992" s="23" t="n">
        <v>250000</v>
      </c>
      <c r="J992" s="20" t="inlineStr">
        <is>
          <t>Khivraj Motor</t>
        </is>
      </c>
      <c r="K992" s="20" t="inlineStr">
        <is>
          <t>Non-Captive</t>
        </is>
      </c>
      <c r="L992" s="20" t="inlineStr">
        <is>
          <t>Nirmal Cars</t>
        </is>
      </c>
      <c r="M992" s="23" t="n">
        <v>2118.64</v>
      </c>
      <c r="N992" s="23" t="n">
        <v>2500</v>
      </c>
      <c r="O992" s="24">
        <f>IF(AND(ISNUMBER(M992), ISNUMBER(I992), I992&gt;0), M992/I992, "")</f>
        <v/>
      </c>
    </row>
    <row r="993">
      <c r="A993" s="19" t="inlineStr">
        <is>
          <t>FY26</t>
        </is>
      </c>
      <c r="B993" s="19" t="inlineStr">
        <is>
          <t>Mar</t>
        </is>
      </c>
      <c r="C993" s="19" t="inlineStr">
        <is>
          <t>TN</t>
        </is>
      </c>
      <c r="D993" s="20" t="inlineStr">
        <is>
          <t>TN04AS1440</t>
        </is>
      </c>
      <c r="E993" s="20" t="inlineStr">
        <is>
          <t>HONDA</t>
        </is>
      </c>
      <c r="F993" s="20" t="inlineStr">
        <is>
          <t>Jazz</t>
        </is>
      </c>
      <c r="G993" s="21" t="n">
        <v>2016</v>
      </c>
      <c r="H993" s="22" t="n">
        <v>58000</v>
      </c>
      <c r="I993" s="23" t="n">
        <v>340000</v>
      </c>
      <c r="J993" s="20" t="inlineStr">
        <is>
          <t>Khivraj Motor</t>
        </is>
      </c>
      <c r="K993" s="20" t="inlineStr">
        <is>
          <t>Non-Captive</t>
        </is>
      </c>
      <c r="L993" s="20" t="inlineStr">
        <is>
          <t>Nirmal Cars</t>
        </is>
      </c>
      <c r="M993" s="23" t="n">
        <v>2118.64</v>
      </c>
      <c r="N993" s="23" t="n">
        <v>2500</v>
      </c>
      <c r="O993" s="24">
        <f>IF(AND(ISNUMBER(M993), ISNUMBER(I993), I993&gt;0), M993/I993, "")</f>
        <v/>
      </c>
    </row>
    <row r="994">
      <c r="A994" s="19" t="inlineStr">
        <is>
          <t>FY26</t>
        </is>
      </c>
      <c r="B994" s="19" t="inlineStr">
        <is>
          <t>Mar</t>
        </is>
      </c>
      <c r="C994" s="19" t="inlineStr">
        <is>
          <t>TN</t>
        </is>
      </c>
      <c r="D994" s="20" t="inlineStr">
        <is>
          <t>TN13M5078</t>
        </is>
      </c>
      <c r="E994" s="20" t="inlineStr">
        <is>
          <t>TATA</t>
        </is>
      </c>
      <c r="F994" s="20" t="inlineStr">
        <is>
          <t>Nexon</t>
        </is>
      </c>
      <c r="G994" s="21" t="n">
        <v>2017</v>
      </c>
      <c r="H994" s="22" t="n">
        <v>98000</v>
      </c>
      <c r="I994" s="23" t="n">
        <v>470000</v>
      </c>
      <c r="J994" s="20" t="inlineStr">
        <is>
          <t>Khivraj Motor</t>
        </is>
      </c>
      <c r="K994" s="20" t="inlineStr">
        <is>
          <t>Non-Captive</t>
        </is>
      </c>
      <c r="L994" s="20" t="inlineStr">
        <is>
          <t>Nirmal Cars</t>
        </is>
      </c>
      <c r="M994" s="23" t="n">
        <v>2118.64</v>
      </c>
      <c r="N994" s="23" t="n">
        <v>2500</v>
      </c>
      <c r="O994" s="24">
        <f>IF(AND(ISNUMBER(M994), ISNUMBER(I994), I994&gt;0), M994/I994, "")</f>
        <v/>
      </c>
    </row>
    <row r="995">
      <c r="A995" s="19" t="inlineStr">
        <is>
          <t>FY26</t>
        </is>
      </c>
      <c r="B995" s="19" t="inlineStr">
        <is>
          <t>Mar</t>
        </is>
      </c>
      <c r="C995" s="19" t="inlineStr">
        <is>
          <t>TN</t>
        </is>
      </c>
      <c r="D995" s="20" t="inlineStr">
        <is>
          <t>TN03M5788</t>
        </is>
      </c>
      <c r="E995" s="20" t="inlineStr">
        <is>
          <t>HYUNDAI</t>
        </is>
      </c>
      <c r="F995" s="20" t="inlineStr">
        <is>
          <t>Grand I10</t>
        </is>
      </c>
      <c r="G995" s="21" t="n">
        <v>2014</v>
      </c>
      <c r="H995" s="22" t="n">
        <v>120000</v>
      </c>
      <c r="I995" s="23" t="n">
        <v>250000</v>
      </c>
      <c r="J995" s="20" t="inlineStr">
        <is>
          <t>Khivraj Motor</t>
        </is>
      </c>
      <c r="K995" s="20" t="inlineStr">
        <is>
          <t>Non-Captive</t>
        </is>
      </c>
      <c r="L995" s="20" t="inlineStr">
        <is>
          <t>Nirmal Cars</t>
        </is>
      </c>
      <c r="M995" s="23" t="n">
        <v>2118.64</v>
      </c>
      <c r="N995" s="23" t="n">
        <v>2500</v>
      </c>
      <c r="O995" s="24">
        <f>IF(AND(ISNUMBER(M995), ISNUMBER(I995), I995&gt;0), M995/I995, "")</f>
        <v/>
      </c>
    </row>
    <row r="996">
      <c r="A996" s="19" t="inlineStr">
        <is>
          <t>FY26</t>
        </is>
      </c>
      <c r="B996" s="19" t="inlineStr">
        <is>
          <t>Mar</t>
        </is>
      </c>
      <c r="C996" s="19" t="inlineStr">
        <is>
          <t>TN</t>
        </is>
      </c>
      <c r="D996" s="20" t="inlineStr">
        <is>
          <t>TN02BC6194</t>
        </is>
      </c>
      <c r="E996" s="20" t="inlineStr">
        <is>
          <t>MARUTI SUZUKI</t>
        </is>
      </c>
      <c r="F996" s="20" t="inlineStr">
        <is>
          <t>Ciaz</t>
        </is>
      </c>
      <c r="G996" s="21" t="n">
        <v>2015</v>
      </c>
      <c r="H996" s="22" t="n">
        <v>102000</v>
      </c>
      <c r="I996" s="23" t="n">
        <v>350000</v>
      </c>
      <c r="J996" s="20" t="inlineStr">
        <is>
          <t>Khivraj Motor</t>
        </is>
      </c>
      <c r="K996" s="20" t="inlineStr">
        <is>
          <t>Non-Captive</t>
        </is>
      </c>
      <c r="L996" s="20" t="inlineStr">
        <is>
          <t>Nirmal Cars</t>
        </is>
      </c>
      <c r="M996" s="23" t="n">
        <v>2118.64</v>
      </c>
      <c r="N996" s="23" t="n">
        <v>2500</v>
      </c>
      <c r="O996" s="24">
        <f>IF(AND(ISNUMBER(M996), ISNUMBER(I996), I996&gt;0), M996/I996, "")</f>
        <v/>
      </c>
    </row>
    <row r="997">
      <c r="A997" s="19" t="inlineStr">
        <is>
          <t>FY26</t>
        </is>
      </c>
      <c r="B997" s="19" t="inlineStr">
        <is>
          <t>Mar</t>
        </is>
      </c>
      <c r="C997" s="19" t="inlineStr">
        <is>
          <t>TN</t>
        </is>
      </c>
      <c r="D997" s="20" t="inlineStr">
        <is>
          <t>TN01AY1234</t>
        </is>
      </c>
      <c r="E997" s="20" t="inlineStr">
        <is>
          <t>TOYOTA</t>
        </is>
      </c>
      <c r="F997" s="20" t="inlineStr">
        <is>
          <t>Etios</t>
        </is>
      </c>
      <c r="G997" s="21" t="n">
        <v>2012</v>
      </c>
      <c r="H997" s="22" t="n">
        <v>79890</v>
      </c>
      <c r="I997" s="23" t="n">
        <v>260000</v>
      </c>
      <c r="J997" s="20" t="inlineStr">
        <is>
          <t>Khivraj Motor</t>
        </is>
      </c>
      <c r="K997" s="20" t="inlineStr">
        <is>
          <t>Non-Captive</t>
        </is>
      </c>
      <c r="L997" s="20" t="inlineStr">
        <is>
          <t>Nirmal Cars</t>
        </is>
      </c>
      <c r="M997" s="23" t="n">
        <v>2118.64</v>
      </c>
      <c r="N997" s="23" t="n">
        <v>2500</v>
      </c>
      <c r="O997" s="24">
        <f>IF(AND(ISNUMBER(M997), ISNUMBER(I997), I997&gt;0), M997/I997, "")</f>
        <v/>
      </c>
    </row>
    <row r="998">
      <c r="A998" s="19" t="inlineStr">
        <is>
          <t>FY26</t>
        </is>
      </c>
      <c r="B998" s="19" t="inlineStr">
        <is>
          <t>Mar</t>
        </is>
      </c>
      <c r="C998" s="19" t="inlineStr">
        <is>
          <t>TN</t>
        </is>
      </c>
      <c r="D998" s="20" t="inlineStr">
        <is>
          <t>TN07BX1256</t>
        </is>
      </c>
      <c r="E998" s="20" t="inlineStr">
        <is>
          <t>HONDA</t>
        </is>
      </c>
      <c r="F998" s="20" t="inlineStr">
        <is>
          <t>City</t>
        </is>
      </c>
      <c r="G998" s="21" t="n">
        <v>2014</v>
      </c>
      <c r="H998" s="22" t="n">
        <v>80163</v>
      </c>
      <c r="I998" s="23" t="n">
        <v>450000</v>
      </c>
      <c r="J998" s="20" t="inlineStr">
        <is>
          <t>Khivraj Motor</t>
        </is>
      </c>
      <c r="K998" s="20" t="inlineStr">
        <is>
          <t>Non-Captive</t>
        </is>
      </c>
      <c r="L998" s="20" t="inlineStr">
        <is>
          <t>Nirmal Cars</t>
        </is>
      </c>
      <c r="M998" s="23" t="n">
        <v>2118.64</v>
      </c>
      <c r="N998" s="23" t="n">
        <v>2500</v>
      </c>
      <c r="O998" s="24">
        <f>IF(AND(ISNUMBER(M998), ISNUMBER(I998), I998&gt;0), M998/I998, "")</f>
        <v/>
      </c>
    </row>
    <row r="999">
      <c r="A999" s="19" t="inlineStr">
        <is>
          <t>FY26</t>
        </is>
      </c>
      <c r="B999" s="19" t="inlineStr">
        <is>
          <t>Mar</t>
        </is>
      </c>
      <c r="C999" s="19" t="inlineStr">
        <is>
          <t>TN</t>
        </is>
      </c>
      <c r="D999" s="20" t="inlineStr">
        <is>
          <t>TN01BU4318</t>
        </is>
      </c>
      <c r="E999" s="20" t="inlineStr">
        <is>
          <t>MARUTI SUZUKI</t>
        </is>
      </c>
      <c r="F999" s="20" t="inlineStr">
        <is>
          <t>Tour</t>
        </is>
      </c>
      <c r="G999" s="21" t="n">
        <v>2024</v>
      </c>
      <c r="H999" s="22" t="n">
        <v>90197</v>
      </c>
      <c r="I999" s="23" t="n">
        <v>200000</v>
      </c>
      <c r="J999" s="20" t="inlineStr">
        <is>
          <t>Khivraj Motor</t>
        </is>
      </c>
      <c r="K999" s="20" t="inlineStr">
        <is>
          <t>Non-Captive</t>
        </is>
      </c>
      <c r="L999" s="20" t="inlineStr">
        <is>
          <t>Nirmal Cars</t>
        </is>
      </c>
      <c r="M999" s="23" t="n">
        <v>2118.64</v>
      </c>
      <c r="N999" s="23" t="n">
        <v>2500</v>
      </c>
      <c r="O999" s="24">
        <f>IF(AND(ISNUMBER(M999), ISNUMBER(I999), I999&gt;0), M999/I999, "")</f>
        <v/>
      </c>
    </row>
    <row r="1000">
      <c r="A1000" s="19" t="inlineStr">
        <is>
          <t>FY26</t>
        </is>
      </c>
      <c r="B1000" s="19" t="inlineStr">
        <is>
          <t>Mar</t>
        </is>
      </c>
      <c r="C1000" s="19" t="inlineStr">
        <is>
          <t>TN</t>
        </is>
      </c>
      <c r="D1000" s="20" t="inlineStr">
        <is>
          <t>TN12AF3352</t>
        </is>
      </c>
      <c r="E1000" s="20" t="inlineStr">
        <is>
          <t>HYUNDAI</t>
        </is>
      </c>
      <c r="F1000" s="20" t="inlineStr">
        <is>
          <t>Santro</t>
        </is>
      </c>
      <c r="G1000" s="21" t="n">
        <v>2019</v>
      </c>
      <c r="H1000" s="22" t="n">
        <v>27131</v>
      </c>
      <c r="I1000" s="23" t="n">
        <v>300000</v>
      </c>
      <c r="J1000" s="20" t="inlineStr">
        <is>
          <t>Khivraj Motor</t>
        </is>
      </c>
      <c r="K1000" s="20" t="inlineStr">
        <is>
          <t>Non-Captive</t>
        </is>
      </c>
      <c r="L1000" s="20" t="inlineStr">
        <is>
          <t>Nirmal Cars</t>
        </is>
      </c>
      <c r="M1000" s="23" t="n">
        <v>2118.64</v>
      </c>
      <c r="N1000" s="23" t="n">
        <v>2500</v>
      </c>
      <c r="O1000" s="24">
        <f>IF(AND(ISNUMBER(M1000), ISNUMBER(I1000), I1000&gt;0), M1000/I1000, "")</f>
        <v/>
      </c>
    </row>
    <row r="1001">
      <c r="A1001" s="19" t="inlineStr">
        <is>
          <t>FY26</t>
        </is>
      </c>
      <c r="B1001" s="19" t="inlineStr">
        <is>
          <t>Mar</t>
        </is>
      </c>
      <c r="C1001" s="19" t="inlineStr">
        <is>
          <t>TN</t>
        </is>
      </c>
      <c r="D1001" s="20" t="inlineStr">
        <is>
          <t>TN10AF2181</t>
        </is>
      </c>
      <c r="E1001" s="20" t="inlineStr">
        <is>
          <t>MARUTI SUZUKI</t>
        </is>
      </c>
      <c r="F1001" s="20" t="inlineStr">
        <is>
          <t>Ritz</t>
        </is>
      </c>
      <c r="G1001" s="21" t="n">
        <v>2012</v>
      </c>
      <c r="H1001" s="22" t="n">
        <v>119050</v>
      </c>
      <c r="I1001" s="23" t="n">
        <v>150000</v>
      </c>
      <c r="J1001" s="20" t="inlineStr">
        <is>
          <t>POPULAR VEHICLES AND SERVICES LIMITED</t>
        </is>
      </c>
      <c r="K1001" s="20" t="inlineStr">
        <is>
          <t>Non-Captive</t>
        </is>
      </c>
      <c r="L1001" s="20" t="inlineStr">
        <is>
          <t>Nirmal Cars</t>
        </is>
      </c>
      <c r="M1001" s="23" t="n">
        <v>2118.64</v>
      </c>
      <c r="N1001" s="23" t="n">
        <v>2500</v>
      </c>
      <c r="O1001" s="24">
        <f>IF(AND(ISNUMBER(M1001), ISNUMBER(I1001), I1001&gt;0), M1001/I1001, "")</f>
        <v/>
      </c>
    </row>
    <row r="1002">
      <c r="A1002" s="19" t="inlineStr">
        <is>
          <t>FY26</t>
        </is>
      </c>
      <c r="B1002" s="19" t="inlineStr">
        <is>
          <t>Mar</t>
        </is>
      </c>
      <c r="C1002" s="19" t="inlineStr">
        <is>
          <t>TN</t>
        </is>
      </c>
      <c r="D1002" s="20" t="inlineStr">
        <is>
          <t>TN05BE9882</t>
        </is>
      </c>
      <c r="E1002" s="20" t="inlineStr">
        <is>
          <t>MAHINDRA</t>
        </is>
      </c>
      <c r="F1002" s="20" t="inlineStr">
        <is>
          <t>Kuv100</t>
        </is>
      </c>
      <c r="G1002" s="21" t="n">
        <v>2016</v>
      </c>
      <c r="H1002" s="22" t="n">
        <v>98773</v>
      </c>
      <c r="I1002" s="23" t="n">
        <v>240000</v>
      </c>
      <c r="J1002" s="20" t="inlineStr">
        <is>
          <t>VISHNU CARS PRIVATE LIMITED</t>
        </is>
      </c>
      <c r="K1002" s="20" t="inlineStr">
        <is>
          <t>Non-Captive</t>
        </is>
      </c>
      <c r="L1002" s="20" t="inlineStr">
        <is>
          <t>Nirmal Cars</t>
        </is>
      </c>
      <c r="M1002" s="23" t="n">
        <v>2118.64</v>
      </c>
      <c r="N1002" s="23" t="n">
        <v>2500</v>
      </c>
      <c r="O1002" s="24">
        <f>IF(AND(ISNUMBER(M1002), ISNUMBER(I1002), I1002&gt;0), M1002/I1002, "")</f>
        <v/>
      </c>
    </row>
    <row r="1003">
      <c r="A1003" s="19" t="inlineStr">
        <is>
          <t>FY26</t>
        </is>
      </c>
      <c r="B1003" s="19" t="inlineStr">
        <is>
          <t>Mar</t>
        </is>
      </c>
      <c r="C1003" s="19" t="inlineStr">
        <is>
          <t>TN</t>
        </is>
      </c>
      <c r="D1003" s="20" t="inlineStr">
        <is>
          <t>TN10BC3657</t>
        </is>
      </c>
      <c r="E1003" s="20" t="inlineStr">
        <is>
          <t>MARUTI SUZUKI</t>
        </is>
      </c>
      <c r="F1003" s="20" t="inlineStr">
        <is>
          <t>Vitara Brezza</t>
        </is>
      </c>
      <c r="G1003" s="21" t="n">
        <v>2018</v>
      </c>
      <c r="H1003" s="22" t="n">
        <v>155618</v>
      </c>
      <c r="I1003" s="23" t="n">
        <v>500000</v>
      </c>
      <c r="J1003" s="20" t="inlineStr">
        <is>
          <t>VISHNU CARS PRIVATE LIMITED</t>
        </is>
      </c>
      <c r="K1003" s="20" t="inlineStr">
        <is>
          <t>Non-Captive</t>
        </is>
      </c>
      <c r="L1003" s="20" t="inlineStr">
        <is>
          <t>Nirmal Cars</t>
        </is>
      </c>
      <c r="M1003" s="23" t="n">
        <v>2118.64</v>
      </c>
      <c r="N1003" s="23" t="n">
        <v>2500</v>
      </c>
      <c r="O1003" s="24">
        <f>IF(AND(ISNUMBER(M1003), ISNUMBER(I1003), I1003&gt;0), M1003/I1003, "")</f>
        <v/>
      </c>
    </row>
    <row r="1004">
      <c r="A1004" s="19" t="inlineStr">
        <is>
          <t>FY26</t>
        </is>
      </c>
      <c r="B1004" s="19" t="inlineStr">
        <is>
          <t>Mar</t>
        </is>
      </c>
      <c r="C1004" s="19" t="inlineStr">
        <is>
          <t>TN</t>
        </is>
      </c>
      <c r="D1004" s="20" t="inlineStr">
        <is>
          <t>TN13S6257</t>
        </is>
      </c>
      <c r="E1004" s="20" t="inlineStr">
        <is>
          <t>MARUTI SUZUKI</t>
        </is>
      </c>
      <c r="F1004" s="20" t="inlineStr">
        <is>
          <t>Wagon R</t>
        </is>
      </c>
      <c r="G1004" s="21" t="n">
        <v>2019</v>
      </c>
      <c r="H1004" s="22" t="n">
        <v>41290</v>
      </c>
      <c r="I1004" s="23" t="n">
        <v>360000</v>
      </c>
      <c r="J1004" s="20" t="inlineStr">
        <is>
          <t>Khivraj Motor</t>
        </is>
      </c>
      <c r="K1004" s="20" t="inlineStr">
        <is>
          <t>Non-Captive</t>
        </is>
      </c>
      <c r="L1004" s="20" t="inlineStr">
        <is>
          <t>Nirmal Cars</t>
        </is>
      </c>
      <c r="M1004" s="23" t="n">
        <v>2118.64</v>
      </c>
      <c r="N1004" s="23" t="n">
        <v>2500</v>
      </c>
      <c r="O1004" s="24">
        <f>IF(AND(ISNUMBER(M1004), ISNUMBER(I1004), I1004&gt;0), M1004/I1004, "")</f>
        <v/>
      </c>
    </row>
    <row r="1005">
      <c r="A1005" s="19" t="inlineStr">
        <is>
          <t>FY26</t>
        </is>
      </c>
      <c r="B1005" s="19" t="inlineStr">
        <is>
          <t>Mar</t>
        </is>
      </c>
      <c r="C1005" s="19" t="inlineStr">
        <is>
          <t>TN</t>
        </is>
      </c>
      <c r="D1005" s="20" t="inlineStr">
        <is>
          <t>TN10BV7140</t>
        </is>
      </c>
      <c r="E1005" s="20" t="inlineStr">
        <is>
          <t>MARUTI SUZUKI</t>
        </is>
      </c>
      <c r="F1005" s="20" t="inlineStr">
        <is>
          <t>Wagon R</t>
        </is>
      </c>
      <c r="G1005" s="21" t="n">
        <v>2023</v>
      </c>
      <c r="H1005" s="22" t="n">
        <v>7326</v>
      </c>
      <c r="I1005" s="23" t="n">
        <v>450000</v>
      </c>
      <c r="J1005" s="20" t="inlineStr">
        <is>
          <t>CARS INDIA</t>
        </is>
      </c>
      <c r="K1005" s="20" t="inlineStr">
        <is>
          <t>Non-Captive</t>
        </is>
      </c>
      <c r="L1005" s="20" t="inlineStr">
        <is>
          <t>Nirmal Cars</t>
        </is>
      </c>
      <c r="M1005" s="23" t="n">
        <v>2118.64</v>
      </c>
      <c r="N1005" s="23" t="n">
        <v>2500</v>
      </c>
      <c r="O1005" s="24">
        <f>IF(AND(ISNUMBER(M1005), ISNUMBER(I1005), I1005&gt;0), M1005/I1005, "")</f>
        <v/>
      </c>
    </row>
    <row r="1006">
      <c r="A1006" s="19" t="inlineStr">
        <is>
          <t>FY26</t>
        </is>
      </c>
      <c r="B1006" s="19" t="inlineStr">
        <is>
          <t>Mar</t>
        </is>
      </c>
      <c r="C1006" s="19" t="inlineStr">
        <is>
          <t>TN</t>
        </is>
      </c>
      <c r="D1006" s="20" t="inlineStr">
        <is>
          <t>TN01BP2254</t>
        </is>
      </c>
      <c r="E1006" s="20" t="inlineStr">
        <is>
          <t>MARUTI SUZUKI</t>
        </is>
      </c>
      <c r="F1006" s="20" t="inlineStr">
        <is>
          <t>Wagon R</t>
        </is>
      </c>
      <c r="G1006" s="21" t="n">
        <v>2022</v>
      </c>
      <c r="H1006" s="22" t="n">
        <v>87420</v>
      </c>
      <c r="I1006" s="23" t="n">
        <v>400000</v>
      </c>
      <c r="J1006" s="20" t="inlineStr">
        <is>
          <t>Khivraj Motor</t>
        </is>
      </c>
      <c r="K1006" s="20" t="inlineStr">
        <is>
          <t>Non-Captive</t>
        </is>
      </c>
      <c r="L1006" s="20" t="inlineStr">
        <is>
          <t>Nirmal Cars</t>
        </is>
      </c>
      <c r="M1006" s="23" t="n">
        <v>2118.64</v>
      </c>
      <c r="N1006" s="23" t="n">
        <v>2500</v>
      </c>
      <c r="O1006" s="24">
        <f>IF(AND(ISNUMBER(M1006), ISNUMBER(I1006), I1006&gt;0), M1006/I1006, "")</f>
        <v/>
      </c>
    </row>
    <row r="1007">
      <c r="A1007" s="19" t="inlineStr">
        <is>
          <t>FY26</t>
        </is>
      </c>
      <c r="B1007" s="19" t="inlineStr">
        <is>
          <t>Mar</t>
        </is>
      </c>
      <c r="C1007" s="19" t="inlineStr">
        <is>
          <t>TN</t>
        </is>
      </c>
      <c r="D1007" s="20" t="inlineStr">
        <is>
          <t>TN07AL8511</t>
        </is>
      </c>
      <c r="E1007" s="20" t="inlineStr">
        <is>
          <t>CHEVROLET</t>
        </is>
      </c>
      <c r="F1007" s="20" t="inlineStr">
        <is>
          <t>Aveo</t>
        </is>
      </c>
      <c r="G1007" s="21" t="n">
        <v>2007</v>
      </c>
      <c r="H1007" s="22" t="n">
        <v>21429</v>
      </c>
      <c r="I1007" s="23" t="n">
        <v>50000</v>
      </c>
      <c r="J1007" s="20" t="inlineStr">
        <is>
          <t>Khivraj Motor</t>
        </is>
      </c>
      <c r="K1007" s="20" t="inlineStr">
        <is>
          <t>Non-Captive</t>
        </is>
      </c>
      <c r="L1007" s="20" t="inlineStr">
        <is>
          <t>Nirmal Cars</t>
        </is>
      </c>
      <c r="M1007" s="23" t="n">
        <v>2118.64</v>
      </c>
      <c r="N1007" s="23" t="n">
        <v>2500</v>
      </c>
      <c r="O1007" s="24">
        <f>IF(AND(ISNUMBER(M1007), ISNUMBER(I1007), I1007&gt;0), M1007/I1007, "")</f>
        <v/>
      </c>
    </row>
    <row r="1008">
      <c r="A1008" s="19" t="inlineStr">
        <is>
          <t>FY26</t>
        </is>
      </c>
      <c r="B1008" s="19" t="inlineStr">
        <is>
          <t>Mar</t>
        </is>
      </c>
      <c r="C1008" s="19" t="inlineStr">
        <is>
          <t>TN</t>
        </is>
      </c>
      <c r="D1008" s="20" t="inlineStr">
        <is>
          <t>TN01BB7579</t>
        </is>
      </c>
      <c r="E1008" s="20" t="inlineStr">
        <is>
          <t>MARUTI SUZUKI</t>
        </is>
      </c>
      <c r="F1008" s="20" t="inlineStr">
        <is>
          <t>S-Cross</t>
        </is>
      </c>
      <c r="G1008" s="21" t="n">
        <v>2017</v>
      </c>
      <c r="H1008" s="22" t="n">
        <v>69221</v>
      </c>
      <c r="I1008" s="23" t="n">
        <v>450000</v>
      </c>
      <c r="J1008" s="20" t="inlineStr">
        <is>
          <t>Khivraj Motor</t>
        </is>
      </c>
      <c r="K1008" s="20" t="inlineStr">
        <is>
          <t>Non-Captive</t>
        </is>
      </c>
      <c r="L1008" s="20" t="inlineStr">
        <is>
          <t>Nirmal Cars</t>
        </is>
      </c>
      <c r="M1008" s="23" t="n">
        <v>2118.64</v>
      </c>
      <c r="N1008" s="23" t="n">
        <v>2500</v>
      </c>
      <c r="O1008" s="24">
        <f>IF(AND(ISNUMBER(M1008), ISNUMBER(I1008), I1008&gt;0), M1008/I1008, "")</f>
        <v/>
      </c>
    </row>
    <row r="1009">
      <c r="A1009" s="19" t="inlineStr">
        <is>
          <t>FY26</t>
        </is>
      </c>
      <c r="B1009" s="19" t="inlineStr">
        <is>
          <t>Mar</t>
        </is>
      </c>
      <c r="C1009" s="19" t="inlineStr">
        <is>
          <t>TN</t>
        </is>
      </c>
      <c r="D1009" s="20" t="inlineStr">
        <is>
          <t>TN22CU5854</t>
        </is>
      </c>
      <c r="E1009" s="20" t="inlineStr">
        <is>
          <t>MARUTI SUZUKI</t>
        </is>
      </c>
      <c r="F1009" s="20" t="inlineStr">
        <is>
          <t>Wagon R</t>
        </is>
      </c>
      <c r="G1009" s="21" t="n">
        <v>2012</v>
      </c>
      <c r="H1009" s="22" t="n">
        <v>68903</v>
      </c>
      <c r="I1009" s="23" t="n">
        <v>170000</v>
      </c>
      <c r="J1009" s="20" t="inlineStr">
        <is>
          <t>Khivraj Motor</t>
        </is>
      </c>
      <c r="K1009" s="20" t="inlineStr">
        <is>
          <t>Non-Captive</t>
        </is>
      </c>
      <c r="L1009" s="20" t="inlineStr">
        <is>
          <t>Nirmal Cars</t>
        </is>
      </c>
      <c r="M1009" s="23" t="n">
        <v>2118.64</v>
      </c>
      <c r="N1009" s="23" t="n">
        <v>2500</v>
      </c>
      <c r="O1009" s="24">
        <f>IF(AND(ISNUMBER(M1009), ISNUMBER(I1009), I1009&gt;0), M1009/I1009, "")</f>
        <v/>
      </c>
    </row>
    <row r="1010">
      <c r="A1010" s="19" t="inlineStr">
        <is>
          <t>FY26</t>
        </is>
      </c>
      <c r="B1010" s="19" t="inlineStr">
        <is>
          <t>Mar</t>
        </is>
      </c>
      <c r="C1010" s="19" t="inlineStr">
        <is>
          <t>TN</t>
        </is>
      </c>
      <c r="D1010" s="20" t="inlineStr">
        <is>
          <t>TN09CD1044</t>
        </is>
      </c>
      <c r="E1010" s="20" t="inlineStr">
        <is>
          <t>VOLKSWAGEN</t>
        </is>
      </c>
      <c r="F1010" s="20" t="inlineStr">
        <is>
          <t>Polo</t>
        </is>
      </c>
      <c r="G1010" s="21" t="n">
        <v>2016</v>
      </c>
      <c r="H1010" s="22" t="n">
        <v>43866</v>
      </c>
      <c r="I1010" s="23" t="n">
        <v>270000</v>
      </c>
      <c r="J1010" s="20" t="inlineStr">
        <is>
          <t>Khivraj Motor</t>
        </is>
      </c>
      <c r="K1010" s="20" t="inlineStr">
        <is>
          <t>Non-Captive</t>
        </is>
      </c>
      <c r="L1010" s="20" t="inlineStr">
        <is>
          <t>Nirmal Cars</t>
        </is>
      </c>
      <c r="M1010" s="23" t="n">
        <v>2118.64</v>
      </c>
      <c r="N1010" s="23" t="n">
        <v>2500</v>
      </c>
      <c r="O1010" s="24">
        <f>IF(AND(ISNUMBER(M1010), ISNUMBER(I1010), I1010&gt;0), M1010/I1010, "")</f>
        <v/>
      </c>
    </row>
    <row r="1011">
      <c r="A1011" s="19" t="inlineStr">
        <is>
          <t>FY26</t>
        </is>
      </c>
      <c r="B1011" s="19" t="inlineStr">
        <is>
          <t>Mar</t>
        </is>
      </c>
      <c r="C1011" s="19" t="inlineStr">
        <is>
          <t>TN</t>
        </is>
      </c>
      <c r="D1011" s="20" t="inlineStr">
        <is>
          <t>TN12AV9028</t>
        </is>
      </c>
      <c r="E1011" s="20" t="inlineStr">
        <is>
          <t>MARUTI SUZUKI</t>
        </is>
      </c>
      <c r="F1011" s="20" t="inlineStr">
        <is>
          <t>Ignis</t>
        </is>
      </c>
      <c r="G1011" s="21" t="n">
        <v>2022</v>
      </c>
      <c r="H1011" s="22" t="n">
        <v>15107</v>
      </c>
      <c r="I1011" s="23" t="n">
        <v>470000</v>
      </c>
      <c r="J1011" s="20" t="inlineStr">
        <is>
          <t>Khivraj Motor</t>
        </is>
      </c>
      <c r="K1011" s="20" t="inlineStr">
        <is>
          <t>Non-Captive</t>
        </is>
      </c>
      <c r="L1011" s="20" t="inlineStr">
        <is>
          <t>Nirmal Cars</t>
        </is>
      </c>
      <c r="M1011" s="23" t="n">
        <v>2118.64</v>
      </c>
      <c r="N1011" s="23" t="n">
        <v>2500</v>
      </c>
      <c r="O1011" s="24">
        <f>IF(AND(ISNUMBER(M1011), ISNUMBER(I1011), I1011&gt;0), M1011/I1011, "")</f>
        <v/>
      </c>
    </row>
    <row r="1012">
      <c r="A1012" s="19" t="inlineStr">
        <is>
          <t>FY26</t>
        </is>
      </c>
      <c r="B1012" s="19" t="inlineStr">
        <is>
          <t>Mar</t>
        </is>
      </c>
      <c r="C1012" s="19" t="inlineStr">
        <is>
          <t>TN</t>
        </is>
      </c>
      <c r="D1012" s="20" t="inlineStr">
        <is>
          <t>TN19AC7754</t>
        </is>
      </c>
      <c r="E1012" s="20" t="inlineStr">
        <is>
          <t>TATA</t>
        </is>
      </c>
      <c r="F1012" s="20" t="inlineStr">
        <is>
          <t>Tiago</t>
        </is>
      </c>
      <c r="G1012" s="21" t="n">
        <v>2017</v>
      </c>
      <c r="H1012" s="22" t="n">
        <v>82359</v>
      </c>
      <c r="I1012" s="23" t="n">
        <v>210000</v>
      </c>
      <c r="J1012" s="20" t="inlineStr">
        <is>
          <t>Khivraj Motor</t>
        </is>
      </c>
      <c r="K1012" s="20" t="inlineStr">
        <is>
          <t>Non-Captive</t>
        </is>
      </c>
      <c r="L1012" s="20" t="inlineStr">
        <is>
          <t>Nirmal Cars</t>
        </is>
      </c>
      <c r="M1012" s="23" t="n">
        <v>2118.64</v>
      </c>
      <c r="N1012" s="23" t="n">
        <v>2500</v>
      </c>
      <c r="O1012" s="24">
        <f>IF(AND(ISNUMBER(M1012), ISNUMBER(I1012), I1012&gt;0), M1012/I1012, "")</f>
        <v/>
      </c>
    </row>
    <row r="1013">
      <c r="A1013" s="19" t="inlineStr">
        <is>
          <t>FY26</t>
        </is>
      </c>
      <c r="B1013" s="19" t="inlineStr">
        <is>
          <t>Mar</t>
        </is>
      </c>
      <c r="C1013" s="19" t="inlineStr">
        <is>
          <t>TN</t>
        </is>
      </c>
      <c r="D1013" s="20" t="inlineStr">
        <is>
          <t>TN10BB4549</t>
        </is>
      </c>
      <c r="E1013" s="20" t="inlineStr">
        <is>
          <t>MARUTI SUZUKI</t>
        </is>
      </c>
      <c r="F1013" s="20" t="inlineStr">
        <is>
          <t>Ciaz</t>
        </is>
      </c>
      <c r="G1013" s="21" t="n">
        <v>2017</v>
      </c>
      <c r="H1013" s="22" t="n">
        <v>88291</v>
      </c>
      <c r="I1013" s="23" t="n">
        <v>410000</v>
      </c>
      <c r="J1013" s="20" t="inlineStr">
        <is>
          <t>Khivraj Motor</t>
        </is>
      </c>
      <c r="K1013" s="20" t="inlineStr">
        <is>
          <t>Non-Captive</t>
        </is>
      </c>
      <c r="L1013" s="20" t="inlineStr">
        <is>
          <t>Nirmal Cars</t>
        </is>
      </c>
      <c r="M1013" s="23" t="n">
        <v>2118.64</v>
      </c>
      <c r="N1013" s="23" t="n">
        <v>2500</v>
      </c>
      <c r="O1013" s="24">
        <f>IF(AND(ISNUMBER(M1013), ISNUMBER(I1013), I1013&gt;0), M1013/I1013, "")</f>
        <v/>
      </c>
    </row>
    <row r="1014">
      <c r="A1014" s="19" t="inlineStr">
        <is>
          <t>FY26</t>
        </is>
      </c>
      <c r="B1014" s="19" t="inlineStr">
        <is>
          <t>Mar</t>
        </is>
      </c>
      <c r="C1014" s="19" t="inlineStr">
        <is>
          <t>TN</t>
        </is>
      </c>
      <c r="D1014" s="20" t="inlineStr">
        <is>
          <t>TN12V5864</t>
        </is>
      </c>
      <c r="E1014" s="20" t="inlineStr">
        <is>
          <t>MARUTI SUZUKI</t>
        </is>
      </c>
      <c r="F1014" s="20" t="inlineStr">
        <is>
          <t>Swift</t>
        </is>
      </c>
      <c r="G1014" s="21" t="n">
        <v>2017</v>
      </c>
      <c r="H1014" s="22" t="n">
        <v>63448</v>
      </c>
      <c r="I1014" s="23" t="n">
        <v>350000</v>
      </c>
      <c r="J1014" s="20" t="inlineStr">
        <is>
          <t>Khivraj Motor</t>
        </is>
      </c>
      <c r="K1014" s="20" t="inlineStr">
        <is>
          <t>Non-Captive</t>
        </is>
      </c>
      <c r="L1014" s="20" t="inlineStr">
        <is>
          <t>Nirmal Cars</t>
        </is>
      </c>
      <c r="M1014" s="23" t="n">
        <v>2118.64</v>
      </c>
      <c r="N1014" s="23" t="n">
        <v>2500</v>
      </c>
      <c r="O1014" s="24">
        <f>IF(AND(ISNUMBER(M1014), ISNUMBER(I1014), I1014&gt;0), M1014/I1014, "")</f>
        <v/>
      </c>
    </row>
    <row r="1015">
      <c r="A1015" s="19" t="inlineStr">
        <is>
          <t>FY26</t>
        </is>
      </c>
      <c r="B1015" s="19" t="inlineStr">
        <is>
          <t>Mar</t>
        </is>
      </c>
      <c r="C1015" s="19" t="inlineStr">
        <is>
          <t>TN</t>
        </is>
      </c>
      <c r="D1015" s="20" t="inlineStr">
        <is>
          <t>TN05CC7020</t>
        </is>
      </c>
      <c r="E1015" s="20" t="inlineStr">
        <is>
          <t>NISSAN</t>
        </is>
      </c>
      <c r="F1015" s="20" t="inlineStr">
        <is>
          <t>Magnite</t>
        </is>
      </c>
      <c r="G1015" s="21" t="n">
        <v>2021</v>
      </c>
      <c r="H1015" s="22" t="n">
        <v>57738</v>
      </c>
      <c r="I1015" s="23" t="n">
        <v>450000</v>
      </c>
      <c r="J1015" s="20" t="inlineStr">
        <is>
          <t>Khivraj Motor</t>
        </is>
      </c>
      <c r="K1015" s="20" t="inlineStr">
        <is>
          <t>Non-Captive</t>
        </is>
      </c>
      <c r="L1015" s="20" t="inlineStr">
        <is>
          <t>Nirmal Cars</t>
        </is>
      </c>
      <c r="M1015" s="23" t="n">
        <v>2118.64</v>
      </c>
      <c r="N1015" s="23" t="n">
        <v>2500</v>
      </c>
      <c r="O1015" s="24">
        <f>IF(AND(ISNUMBER(M1015), ISNUMBER(I1015), I1015&gt;0), M1015/I1015, "")</f>
        <v/>
      </c>
    </row>
    <row r="1016">
      <c r="A1016" s="19" t="inlineStr">
        <is>
          <t>FY26</t>
        </is>
      </c>
      <c r="B1016" s="19" t="inlineStr">
        <is>
          <t>Mar</t>
        </is>
      </c>
      <c r="C1016" s="19" t="inlineStr">
        <is>
          <t>TN</t>
        </is>
      </c>
      <c r="D1016" s="20" t="inlineStr">
        <is>
          <t>TN05BX5122</t>
        </is>
      </c>
      <c r="E1016" s="20" t="inlineStr">
        <is>
          <t>MARUTI SUZUKI</t>
        </is>
      </c>
      <c r="F1016" s="20" t="inlineStr">
        <is>
          <t>Swift</t>
        </is>
      </c>
      <c r="G1016" s="21" t="n">
        <v>2019</v>
      </c>
      <c r="H1016" s="22" t="n">
        <v>23851</v>
      </c>
      <c r="I1016" s="23" t="n">
        <v>450000</v>
      </c>
      <c r="J1016" s="20" t="inlineStr">
        <is>
          <t>Khivraj Motor</t>
        </is>
      </c>
      <c r="K1016" s="20" t="inlineStr">
        <is>
          <t>Non-Captive</t>
        </is>
      </c>
      <c r="L1016" s="20" t="inlineStr">
        <is>
          <t>Nirmal Cars</t>
        </is>
      </c>
      <c r="M1016" s="23" t="n">
        <v>2118.64</v>
      </c>
      <c r="N1016" s="23" t="n">
        <v>2500</v>
      </c>
      <c r="O1016" s="24">
        <f>IF(AND(ISNUMBER(M1016), ISNUMBER(I1016), I1016&gt;0), M1016/I1016, "")</f>
        <v/>
      </c>
    </row>
    <row r="1017">
      <c r="A1017" s="19" t="inlineStr">
        <is>
          <t>FY26</t>
        </is>
      </c>
      <c r="B1017" s="19" t="inlineStr">
        <is>
          <t>Mar</t>
        </is>
      </c>
      <c r="C1017" s="19" t="inlineStr">
        <is>
          <t>TN</t>
        </is>
      </c>
      <c r="D1017" s="20" t="inlineStr">
        <is>
          <t>TN09BM1872</t>
        </is>
      </c>
      <c r="E1017" s="20" t="inlineStr">
        <is>
          <t>MARUTI SUZUKI</t>
        </is>
      </c>
      <c r="F1017" s="20" t="inlineStr">
        <is>
          <t>Eeco</t>
        </is>
      </c>
      <c r="G1017" s="21" t="n">
        <v>2011</v>
      </c>
      <c r="H1017" s="22" t="n">
        <v>53700</v>
      </c>
      <c r="I1017" s="23" t="n">
        <v>130000</v>
      </c>
      <c r="J1017" s="20" t="inlineStr">
        <is>
          <t>Khivraj Motor</t>
        </is>
      </c>
      <c r="K1017" s="20" t="inlineStr">
        <is>
          <t>Non-Captive</t>
        </is>
      </c>
      <c r="L1017" s="20" t="inlineStr">
        <is>
          <t>Nirmal Cars</t>
        </is>
      </c>
      <c r="M1017" s="23" t="n">
        <v>2118.64</v>
      </c>
      <c r="N1017" s="23" t="n">
        <v>2500</v>
      </c>
      <c r="O1017" s="24">
        <f>IF(AND(ISNUMBER(M1017), ISNUMBER(I1017), I1017&gt;0), M1017/I1017, "")</f>
        <v/>
      </c>
    </row>
    <row r="1018">
      <c r="A1018" s="19" t="inlineStr">
        <is>
          <t>FY26</t>
        </is>
      </c>
      <c r="B1018" s="19" t="inlineStr">
        <is>
          <t>Mar</t>
        </is>
      </c>
      <c r="C1018" s="19" t="inlineStr">
        <is>
          <t>TN</t>
        </is>
      </c>
      <c r="D1018" s="20" t="inlineStr">
        <is>
          <t>TN10BA3255</t>
        </is>
      </c>
      <c r="E1018" s="20" t="inlineStr">
        <is>
          <t>MARUTI SUZUKI</t>
        </is>
      </c>
      <c r="F1018" s="20" t="inlineStr">
        <is>
          <t>Baleno</t>
        </is>
      </c>
      <c r="G1018" s="21" t="n">
        <v>2017</v>
      </c>
      <c r="H1018" s="22" t="n">
        <v>41430</v>
      </c>
      <c r="I1018" s="23" t="n">
        <v>380000</v>
      </c>
      <c r="J1018" s="20" t="inlineStr">
        <is>
          <t>Khivraj Motor</t>
        </is>
      </c>
      <c r="K1018" s="20" t="inlineStr">
        <is>
          <t>Non-Captive</t>
        </is>
      </c>
      <c r="L1018" s="20" t="inlineStr">
        <is>
          <t>Pine Autos</t>
        </is>
      </c>
      <c r="M1018" s="23" t="n">
        <v>2118.64</v>
      </c>
      <c r="N1018" s="23" t="n">
        <v>2500</v>
      </c>
      <c r="O1018" s="24">
        <f>IF(AND(ISNUMBER(M1018), ISNUMBER(I1018), I1018&gt;0), M1018/I1018, "")</f>
        <v/>
      </c>
    </row>
    <row r="1019">
      <c r="A1019" s="19" t="inlineStr">
        <is>
          <t>FY26</t>
        </is>
      </c>
      <c r="B1019" s="19" t="inlineStr">
        <is>
          <t>Mar</t>
        </is>
      </c>
      <c r="C1019" s="19" t="inlineStr">
        <is>
          <t>TN</t>
        </is>
      </c>
      <c r="D1019" s="20" t="inlineStr">
        <is>
          <t>TN13Y3672</t>
        </is>
      </c>
      <c r="E1019" s="20" t="inlineStr">
        <is>
          <t>MARUTI SUZUKI</t>
        </is>
      </c>
      <c r="F1019" s="20" t="inlineStr">
        <is>
          <t>Xl6</t>
        </is>
      </c>
      <c r="G1019" s="21" t="n">
        <v>2022</v>
      </c>
      <c r="H1019" s="22" t="n">
        <v>54232</v>
      </c>
      <c r="I1019" s="23" t="n">
        <v>850000</v>
      </c>
      <c r="J1019" s="20" t="inlineStr">
        <is>
          <t>Khivraj Motor</t>
        </is>
      </c>
      <c r="K1019" s="20" t="inlineStr">
        <is>
          <t>Non-Captive</t>
        </is>
      </c>
      <c r="L1019" s="20" t="inlineStr">
        <is>
          <t>Pine Autos</t>
        </is>
      </c>
      <c r="M1019" s="23" t="n">
        <v>2118.64</v>
      </c>
      <c r="N1019" s="23" t="n">
        <v>2500</v>
      </c>
      <c r="O1019" s="24">
        <f>IF(AND(ISNUMBER(M1019), ISNUMBER(I1019), I1019&gt;0), M1019/I1019, "")</f>
        <v/>
      </c>
    </row>
    <row r="1020">
      <c r="A1020" s="19" t="inlineStr">
        <is>
          <t>FY26</t>
        </is>
      </c>
      <c r="B1020" s="19" t="inlineStr">
        <is>
          <t>Mar</t>
        </is>
      </c>
      <c r="C1020" s="19" t="inlineStr">
        <is>
          <t>TN</t>
        </is>
      </c>
      <c r="D1020" s="20" t="inlineStr">
        <is>
          <t>TN07AS7498</t>
        </is>
      </c>
      <c r="E1020" s="20" t="inlineStr">
        <is>
          <t>MARUTI SUZUKI</t>
        </is>
      </c>
      <c r="F1020" s="20" t="inlineStr">
        <is>
          <t>Alto</t>
        </is>
      </c>
      <c r="G1020" s="21" t="n">
        <v>2007</v>
      </c>
      <c r="H1020" s="22" t="n">
        <v>93841</v>
      </c>
      <c r="I1020" s="23" t="n">
        <v>100000</v>
      </c>
      <c r="J1020" s="20" t="inlineStr">
        <is>
          <t>Khivraj Motor</t>
        </is>
      </c>
      <c r="K1020" s="20" t="inlineStr">
        <is>
          <t>Non-Captive</t>
        </is>
      </c>
      <c r="L1020" s="20" t="inlineStr">
        <is>
          <t>Pine Autos</t>
        </is>
      </c>
      <c r="M1020" s="23" t="n">
        <v>2118.64</v>
      </c>
      <c r="N1020" s="23" t="n">
        <v>2500</v>
      </c>
      <c r="O1020" s="24">
        <f>IF(AND(ISNUMBER(M1020), ISNUMBER(I1020), I1020&gt;0), M1020/I1020, "")</f>
        <v/>
      </c>
    </row>
    <row r="1021">
      <c r="A1021" s="19" t="inlineStr">
        <is>
          <t>FY26</t>
        </is>
      </c>
      <c r="B1021" s="19" t="inlineStr">
        <is>
          <t>Mar</t>
        </is>
      </c>
      <c r="C1021" s="19" t="inlineStr">
        <is>
          <t>TN</t>
        </is>
      </c>
      <c r="D1021" s="20" t="inlineStr">
        <is>
          <t>TN13Y3647</t>
        </is>
      </c>
      <c r="E1021" s="20" t="inlineStr">
        <is>
          <t>MARUTI SUZUKI</t>
        </is>
      </c>
      <c r="F1021" s="20" t="inlineStr">
        <is>
          <t>Xl6</t>
        </is>
      </c>
      <c r="G1021" s="21" t="n">
        <v>2022</v>
      </c>
      <c r="H1021" s="22" t="n">
        <v>39080</v>
      </c>
      <c r="I1021" s="23" t="n">
        <v>900000</v>
      </c>
      <c r="J1021" s="20" t="inlineStr">
        <is>
          <t>Khivraj Motor</t>
        </is>
      </c>
      <c r="K1021" s="20" t="inlineStr">
        <is>
          <t>Non-Captive</t>
        </is>
      </c>
      <c r="L1021" s="20" t="inlineStr">
        <is>
          <t>Pine Autos</t>
        </is>
      </c>
      <c r="M1021" s="23" t="n">
        <v>2118.64</v>
      </c>
      <c r="N1021" s="23" t="n">
        <v>2500</v>
      </c>
      <c r="O1021" s="24">
        <f>IF(AND(ISNUMBER(M1021), ISNUMBER(I1021), I1021&gt;0), M1021/I1021, "")</f>
        <v/>
      </c>
    </row>
    <row r="1022">
      <c r="A1022" s="19" t="inlineStr">
        <is>
          <t>FY26</t>
        </is>
      </c>
      <c r="B1022" s="19" t="inlineStr">
        <is>
          <t>Mar</t>
        </is>
      </c>
      <c r="C1022" s="19" t="inlineStr">
        <is>
          <t>TN</t>
        </is>
      </c>
      <c r="D1022" s="20" t="inlineStr">
        <is>
          <t>TN09CK0567</t>
        </is>
      </c>
      <c r="E1022" s="20" t="inlineStr">
        <is>
          <t>MARUTI SUZUKI</t>
        </is>
      </c>
      <c r="F1022" s="20" t="inlineStr">
        <is>
          <t>Ignis</t>
        </is>
      </c>
      <c r="G1022" s="21" t="n">
        <v>2017</v>
      </c>
      <c r="H1022" s="22" t="n"/>
      <c r="I1022" s="23" t="n">
        <v>270000</v>
      </c>
      <c r="J1022" s="20" t="inlineStr">
        <is>
          <t>Khivraj Motor</t>
        </is>
      </c>
      <c r="K1022" s="20" t="inlineStr">
        <is>
          <t>Non-Captive</t>
        </is>
      </c>
      <c r="L1022" s="20" t="inlineStr">
        <is>
          <t>Pine Autos</t>
        </is>
      </c>
      <c r="M1022" s="23" t="n">
        <v>2118.64</v>
      </c>
      <c r="N1022" s="23" t="n">
        <v>2500</v>
      </c>
      <c r="O1022" s="24">
        <f>IF(AND(ISNUMBER(M1022), ISNUMBER(I1022), I1022&gt;0), M1022/I1022, "")</f>
        <v/>
      </c>
    </row>
    <row r="1023">
      <c r="A1023" s="19" t="inlineStr">
        <is>
          <t>FY26</t>
        </is>
      </c>
      <c r="B1023" s="19" t="inlineStr">
        <is>
          <t>Mar</t>
        </is>
      </c>
      <c r="C1023" s="19" t="inlineStr">
        <is>
          <t>TN</t>
        </is>
      </c>
      <c r="D1023" s="20" t="inlineStr">
        <is>
          <t>TN14D2479</t>
        </is>
      </c>
      <c r="E1023" s="20" t="inlineStr">
        <is>
          <t>HONDA</t>
        </is>
      </c>
      <c r="F1023" s="20" t="inlineStr">
        <is>
          <t>Jazz</t>
        </is>
      </c>
      <c r="G1023" s="21" t="n">
        <v>2015</v>
      </c>
      <c r="H1023" s="22" t="n">
        <v>122878</v>
      </c>
      <c r="I1023" s="23" t="n">
        <v>250000</v>
      </c>
      <c r="J1023" s="20" t="inlineStr">
        <is>
          <t>Khivraj Motor</t>
        </is>
      </c>
      <c r="K1023" s="20" t="inlineStr">
        <is>
          <t>Non-Captive</t>
        </is>
      </c>
      <c r="L1023" s="20" t="inlineStr">
        <is>
          <t>Pine Autos</t>
        </is>
      </c>
      <c r="M1023" s="23" t="n">
        <v>2118.64</v>
      </c>
      <c r="N1023" s="23" t="n">
        <v>2500</v>
      </c>
      <c r="O1023" s="24">
        <f>IF(AND(ISNUMBER(M1023), ISNUMBER(I1023), I1023&gt;0), M1023/I1023, "")</f>
        <v/>
      </c>
    </row>
    <row r="1024">
      <c r="A1024" s="19" t="inlineStr">
        <is>
          <t>FY26</t>
        </is>
      </c>
      <c r="B1024" s="19" t="inlineStr">
        <is>
          <t>Mar</t>
        </is>
      </c>
      <c r="C1024" s="19" t="inlineStr">
        <is>
          <t>TN</t>
        </is>
      </c>
      <c r="D1024" s="20" t="inlineStr">
        <is>
          <t>TN01AH1546</t>
        </is>
      </c>
      <c r="E1024" s="20" t="inlineStr">
        <is>
          <t>MARUTI SUZUKI</t>
        </is>
      </c>
      <c r="F1024" s="20" t="inlineStr">
        <is>
          <t>Swift</t>
        </is>
      </c>
      <c r="G1024" s="21" t="n">
        <v>2008</v>
      </c>
      <c r="H1024" s="22" t="n">
        <v>117939</v>
      </c>
      <c r="I1024" s="23" t="n">
        <v>110000</v>
      </c>
      <c r="J1024" s="20" t="inlineStr">
        <is>
          <t>Khivraj Motor</t>
        </is>
      </c>
      <c r="K1024" s="20" t="inlineStr">
        <is>
          <t>Non-Captive</t>
        </is>
      </c>
      <c r="L1024" s="20" t="inlineStr">
        <is>
          <t>Pine Autos</t>
        </is>
      </c>
      <c r="M1024" s="23" t="n">
        <v>3389.83</v>
      </c>
      <c r="N1024" s="23" t="n">
        <v>4000</v>
      </c>
      <c r="O1024" s="24">
        <f>IF(AND(ISNUMBER(M1024), ISNUMBER(I1024), I1024&gt;0), M1024/I1024, "")</f>
        <v/>
      </c>
    </row>
    <row r="1025">
      <c r="A1025" s="19" t="inlineStr">
        <is>
          <t>FY26</t>
        </is>
      </c>
      <c r="B1025" s="19" t="inlineStr">
        <is>
          <t>Mar</t>
        </is>
      </c>
      <c r="C1025" s="19" t="inlineStr">
        <is>
          <t>TN</t>
        </is>
      </c>
      <c r="D1025" s="20" t="inlineStr">
        <is>
          <t>TN13R5017</t>
        </is>
      </c>
      <c r="E1025" s="20" t="inlineStr">
        <is>
          <t>HYUNDAI</t>
        </is>
      </c>
      <c r="F1025" s="20" t="inlineStr">
        <is>
          <t>I20</t>
        </is>
      </c>
      <c r="G1025" s="21" t="n">
        <v>2019</v>
      </c>
      <c r="H1025" s="22" t="n">
        <v>144037</v>
      </c>
      <c r="I1025" s="23" t="n">
        <v>290000</v>
      </c>
      <c r="J1025" s="20" t="inlineStr">
        <is>
          <t>Khivraj Motor</t>
        </is>
      </c>
      <c r="K1025" s="20" t="inlineStr">
        <is>
          <t>Non-Captive</t>
        </is>
      </c>
      <c r="L1025" s="20" t="inlineStr">
        <is>
          <t>AS Cars Gopi</t>
        </is>
      </c>
      <c r="M1025" s="23" t="n">
        <v>2118.64</v>
      </c>
      <c r="N1025" s="23" t="n">
        <v>2500</v>
      </c>
      <c r="O1025" s="24">
        <f>IF(AND(ISNUMBER(M1025), ISNUMBER(I1025), I1025&gt;0), M1025/I1025, "")</f>
        <v/>
      </c>
    </row>
    <row r="1026">
      <c r="A1026" s="19" t="inlineStr">
        <is>
          <t>FY26</t>
        </is>
      </c>
      <c r="B1026" s="19" t="inlineStr">
        <is>
          <t>Mar</t>
        </is>
      </c>
      <c r="C1026" s="19" t="inlineStr">
        <is>
          <t>TN</t>
        </is>
      </c>
      <c r="D1026" s="20" t="inlineStr">
        <is>
          <t>TN12M7846</t>
        </is>
      </c>
      <c r="E1026" s="20" t="inlineStr">
        <is>
          <t>MAHINDRA</t>
        </is>
      </c>
      <c r="F1026" s="20" t="inlineStr">
        <is>
          <t>Tuv300</t>
        </is>
      </c>
      <c r="G1026" s="21" t="n">
        <v>2016</v>
      </c>
      <c r="H1026" s="22" t="n">
        <v>80860</v>
      </c>
      <c r="I1026" s="23" t="n">
        <v>410000</v>
      </c>
      <c r="J1026" s="20" t="inlineStr">
        <is>
          <t>Khivraj Motor</t>
        </is>
      </c>
      <c r="K1026" s="20" t="inlineStr">
        <is>
          <t>Non-Captive</t>
        </is>
      </c>
      <c r="L1026" s="20" t="inlineStr">
        <is>
          <t>AS Cars Gopi</t>
        </is>
      </c>
      <c r="M1026" s="23" t="n">
        <v>2118.64</v>
      </c>
      <c r="N1026" s="23" t="n">
        <v>2500</v>
      </c>
      <c r="O1026" s="24">
        <f>IF(AND(ISNUMBER(M1026), ISNUMBER(I1026), I1026&gt;0), M1026/I1026, "")</f>
        <v/>
      </c>
    </row>
    <row r="1027">
      <c r="A1027" s="19" t="inlineStr">
        <is>
          <t>FY26</t>
        </is>
      </c>
      <c r="B1027" s="19" t="inlineStr">
        <is>
          <t>Mar</t>
        </is>
      </c>
      <c r="C1027" s="19" t="inlineStr">
        <is>
          <t>TN</t>
        </is>
      </c>
      <c r="D1027" s="20" t="inlineStr">
        <is>
          <t>TN02BJ5738</t>
        </is>
      </c>
      <c r="E1027" s="20" t="inlineStr">
        <is>
          <t>MARUTI SUZUKI</t>
        </is>
      </c>
      <c r="F1027" s="20" t="inlineStr">
        <is>
          <t>Ignis</t>
        </is>
      </c>
      <c r="G1027" s="21" t="n">
        <v>2017</v>
      </c>
      <c r="H1027" s="22" t="n">
        <v>39160</v>
      </c>
      <c r="I1027" s="23" t="n">
        <v>340000</v>
      </c>
      <c r="J1027" s="20" t="inlineStr">
        <is>
          <t>Khivraj Motor</t>
        </is>
      </c>
      <c r="K1027" s="20" t="inlineStr">
        <is>
          <t>Non-Captive</t>
        </is>
      </c>
      <c r="L1027" s="20" t="inlineStr">
        <is>
          <t>AS Cars Gopi</t>
        </is>
      </c>
      <c r="M1027" s="23" t="n">
        <v>2118.64</v>
      </c>
      <c r="N1027" s="23" t="n">
        <v>2500</v>
      </c>
      <c r="O1027" s="24">
        <f>IF(AND(ISNUMBER(M1027), ISNUMBER(I1027), I1027&gt;0), M1027/I1027, "")</f>
        <v/>
      </c>
    </row>
    <row r="1028">
      <c r="A1028" s="19" t="inlineStr">
        <is>
          <t>FY26</t>
        </is>
      </c>
      <c r="B1028" s="19" t="inlineStr">
        <is>
          <t>Mar</t>
        </is>
      </c>
      <c r="C1028" s="19" t="inlineStr">
        <is>
          <t>TN</t>
        </is>
      </c>
      <c r="D1028" s="20" t="inlineStr">
        <is>
          <t>TN18W4138</t>
        </is>
      </c>
      <c r="E1028" s="20" t="inlineStr">
        <is>
          <t>MARUTI SUZUKI</t>
        </is>
      </c>
      <c r="F1028" s="20" t="inlineStr">
        <is>
          <t>Ritz</t>
        </is>
      </c>
      <c r="G1028" s="21" t="n">
        <v>2012</v>
      </c>
      <c r="H1028" s="22" t="n">
        <v>64342</v>
      </c>
      <c r="I1028" s="23" t="n">
        <v>120000</v>
      </c>
      <c r="J1028" s="20" t="inlineStr">
        <is>
          <t>Khivraj Motor</t>
        </is>
      </c>
      <c r="K1028" s="20" t="inlineStr">
        <is>
          <t>Non-Captive</t>
        </is>
      </c>
      <c r="L1028" s="20" t="inlineStr">
        <is>
          <t>AS Cars Gopi</t>
        </is>
      </c>
      <c r="M1028" s="23" t="n">
        <v>2118.64</v>
      </c>
      <c r="N1028" s="23" t="n">
        <v>2500</v>
      </c>
      <c r="O1028" s="24">
        <f>IF(AND(ISNUMBER(M1028), ISNUMBER(I1028), I1028&gt;0), M1028/I1028, "")</f>
        <v/>
      </c>
    </row>
    <row r="1029">
      <c r="A1029" s="19" t="inlineStr">
        <is>
          <t>FY26</t>
        </is>
      </c>
      <c r="B1029" s="19" t="inlineStr">
        <is>
          <t>Mar</t>
        </is>
      </c>
      <c r="C1029" s="19" t="inlineStr">
        <is>
          <t>TN</t>
        </is>
      </c>
      <c r="D1029" s="20" t="inlineStr">
        <is>
          <t>TN21BZ7455</t>
        </is>
      </c>
      <c r="E1029" s="20" t="inlineStr">
        <is>
          <t>MARUTI SUZUKI</t>
        </is>
      </c>
      <c r="F1029" s="20" t="inlineStr">
        <is>
          <t>Swift</t>
        </is>
      </c>
      <c r="G1029" s="21" t="n">
        <v>2016</v>
      </c>
      <c r="H1029" s="22" t="n">
        <v>225155</v>
      </c>
      <c r="I1029" s="23" t="n">
        <v>150000</v>
      </c>
      <c r="J1029" s="20" t="inlineStr">
        <is>
          <t>Khivraj Motor</t>
        </is>
      </c>
      <c r="K1029" s="20" t="inlineStr">
        <is>
          <t>Non-Captive</t>
        </is>
      </c>
      <c r="L1029" s="20" t="inlineStr">
        <is>
          <t>AS Cars Gopi</t>
        </is>
      </c>
      <c r="M1029" s="23" t="n">
        <v>2118.64</v>
      </c>
      <c r="N1029" s="23" t="n">
        <v>2500</v>
      </c>
      <c r="O1029" s="24">
        <f>IF(AND(ISNUMBER(M1029), ISNUMBER(I1029), I1029&gt;0), M1029/I1029, "")</f>
        <v/>
      </c>
    </row>
    <row r="1030">
      <c r="A1030" s="19" t="inlineStr">
        <is>
          <t>FY26</t>
        </is>
      </c>
      <c r="B1030" s="19" t="inlineStr">
        <is>
          <t>Mar</t>
        </is>
      </c>
      <c r="C1030" s="19" t="inlineStr">
        <is>
          <t>TN</t>
        </is>
      </c>
      <c r="D1030" s="20" t="inlineStr">
        <is>
          <t>TN11AF4870</t>
        </is>
      </c>
      <c r="E1030" s="20" t="inlineStr">
        <is>
          <t>MARUTI SUZUKI</t>
        </is>
      </c>
      <c r="F1030" s="20" t="inlineStr">
        <is>
          <t>Ciaz</t>
        </is>
      </c>
      <c r="G1030" s="21" t="n">
        <v>2017</v>
      </c>
      <c r="H1030" s="22" t="n">
        <v>87793</v>
      </c>
      <c r="I1030" s="23" t="n">
        <v>350000</v>
      </c>
      <c r="J1030" s="20" t="inlineStr">
        <is>
          <t>Khivraj Motor</t>
        </is>
      </c>
      <c r="K1030" s="20" t="inlineStr">
        <is>
          <t>Non-Captive</t>
        </is>
      </c>
      <c r="L1030" s="20" t="inlineStr">
        <is>
          <t>AS Cars Gopi</t>
        </is>
      </c>
      <c r="M1030" s="23" t="n">
        <v>2118.64</v>
      </c>
      <c r="N1030" s="23" t="n">
        <v>2500</v>
      </c>
      <c r="O1030" s="24">
        <f>IF(AND(ISNUMBER(M1030), ISNUMBER(I1030), I1030&gt;0), M1030/I1030, "")</f>
        <v/>
      </c>
    </row>
    <row r="1031">
      <c r="A1031" s="19" t="inlineStr">
        <is>
          <t>FY26</t>
        </is>
      </c>
      <c r="B1031" s="19" t="inlineStr">
        <is>
          <t>Mar</t>
        </is>
      </c>
      <c r="C1031" s="19" t="inlineStr">
        <is>
          <t>TN</t>
        </is>
      </c>
      <c r="D1031" s="20" t="inlineStr">
        <is>
          <t>TN04BC0148</t>
        </is>
      </c>
      <c r="E1031" s="20" t="inlineStr">
        <is>
          <t>MARUTI SUZUKI</t>
        </is>
      </c>
      <c r="F1031" s="20" t="inlineStr">
        <is>
          <t>Fronx</t>
        </is>
      </c>
      <c r="G1031" s="21" t="n">
        <v>2023</v>
      </c>
      <c r="H1031" s="22" t="n">
        <v>20425</v>
      </c>
      <c r="I1031" s="23" t="n">
        <v>610000</v>
      </c>
      <c r="J1031" s="20" t="inlineStr">
        <is>
          <t>Khivraj Motor</t>
        </is>
      </c>
      <c r="K1031" s="20" t="inlineStr">
        <is>
          <t>Non-Captive</t>
        </is>
      </c>
      <c r="L1031" s="20" t="inlineStr">
        <is>
          <t>AS Cars Gopi</t>
        </is>
      </c>
      <c r="M1031" s="23" t="n">
        <v>2542.37</v>
      </c>
      <c r="N1031" s="23" t="n">
        <v>3000</v>
      </c>
      <c r="O1031" s="24">
        <f>IF(AND(ISNUMBER(M1031), ISNUMBER(I1031), I1031&gt;0), M1031/I1031, "")</f>
        <v/>
      </c>
    </row>
    <row r="1032">
      <c r="A1032" s="19" t="inlineStr">
        <is>
          <t>FY26</t>
        </is>
      </c>
      <c r="B1032" s="19" t="inlineStr">
        <is>
          <t>Mar</t>
        </is>
      </c>
      <c r="C1032" s="19" t="inlineStr">
        <is>
          <t>TN</t>
        </is>
      </c>
      <c r="D1032" s="20" t="inlineStr">
        <is>
          <t>TN13A6158</t>
        </is>
      </c>
      <c r="E1032" s="20" t="inlineStr">
        <is>
          <t>MARUTI SUZUKI</t>
        </is>
      </c>
      <c r="F1032" s="20" t="inlineStr">
        <is>
          <t>Alto K10</t>
        </is>
      </c>
      <c r="G1032" s="21" t="n">
        <v>2014</v>
      </c>
      <c r="H1032" s="22" t="n">
        <v>64452</v>
      </c>
      <c r="I1032" s="23" t="n">
        <v>135000</v>
      </c>
      <c r="J1032" s="20" t="inlineStr">
        <is>
          <t>Khivraj Motor</t>
        </is>
      </c>
      <c r="K1032" s="20" t="inlineStr">
        <is>
          <t>Non-Captive</t>
        </is>
      </c>
      <c r="L1032" s="20" t="inlineStr">
        <is>
          <t>AAA Cars</t>
        </is>
      </c>
      <c r="M1032" s="23" t="n">
        <v>3389.83</v>
      </c>
      <c r="N1032" s="23" t="n">
        <v>4000</v>
      </c>
      <c r="O1032" s="24">
        <f>IF(AND(ISNUMBER(M1032), ISNUMBER(I1032), I1032&gt;0), M1032/I1032, "")</f>
        <v/>
      </c>
    </row>
    <row r="1033">
      <c r="A1033" s="19" t="inlineStr">
        <is>
          <t>FY26</t>
        </is>
      </c>
      <c r="B1033" s="19" t="inlineStr">
        <is>
          <t>Mar</t>
        </is>
      </c>
      <c r="C1033" s="19" t="inlineStr">
        <is>
          <t>TN</t>
        </is>
      </c>
      <c r="D1033" s="20" t="inlineStr">
        <is>
          <t>TN20AL8309</t>
        </is>
      </c>
      <c r="E1033" s="20" t="inlineStr">
        <is>
          <t>HYUNDAI</t>
        </is>
      </c>
      <c r="F1033" s="20" t="inlineStr">
        <is>
          <t>I10</t>
        </is>
      </c>
      <c r="G1033" s="21" t="n">
        <v>2008</v>
      </c>
      <c r="H1033" s="22" t="n">
        <v>49533</v>
      </c>
      <c r="I1033" s="23" t="n">
        <v>120000</v>
      </c>
      <c r="J1033" s="20" t="inlineStr">
        <is>
          <t>Khivraj Motor</t>
        </is>
      </c>
      <c r="K1033" s="20" t="inlineStr">
        <is>
          <t>Non-Captive</t>
        </is>
      </c>
      <c r="L1033" s="20" t="inlineStr">
        <is>
          <t>KB Motor</t>
        </is>
      </c>
      <c r="M1033" s="23" t="n">
        <v>2118.64</v>
      </c>
      <c r="N1033" s="23" t="n">
        <v>2500</v>
      </c>
      <c r="O1033" s="24">
        <f>IF(AND(ISNUMBER(M1033), ISNUMBER(I1033), I1033&gt;0), M1033/I1033, "")</f>
        <v/>
      </c>
    </row>
    <row r="1034">
      <c r="A1034" s="19" t="inlineStr">
        <is>
          <t>FY26</t>
        </is>
      </c>
      <c r="B1034" s="19" t="inlineStr">
        <is>
          <t>Mar</t>
        </is>
      </c>
      <c r="C1034" s="19" t="inlineStr">
        <is>
          <t>TN</t>
        </is>
      </c>
      <c r="D1034" s="20" t="inlineStr">
        <is>
          <t>PY01CV8329</t>
        </is>
      </c>
      <c r="E1034" s="20" t="inlineStr">
        <is>
          <t>MARUTI SUZUKI</t>
        </is>
      </c>
      <c r="F1034" s="20" t="inlineStr">
        <is>
          <t>Ciaz</t>
        </is>
      </c>
      <c r="G1034" s="21" t="n">
        <v>2019</v>
      </c>
      <c r="H1034" s="22" t="n">
        <v>79354</v>
      </c>
      <c r="I1034" s="23" t="n">
        <v>650000</v>
      </c>
      <c r="J1034" s="20" t="inlineStr">
        <is>
          <t>PRODUCTIVITY ELEMENTS PRIVATE LIMITED</t>
        </is>
      </c>
      <c r="K1034" s="20" t="inlineStr">
        <is>
          <t>Non-Captive</t>
        </is>
      </c>
      <c r="L1034" s="20" t="inlineStr">
        <is>
          <t>KB Motor</t>
        </is>
      </c>
      <c r="M1034" s="23" t="n">
        <v>2118.64</v>
      </c>
      <c r="N1034" s="23" t="n">
        <v>2500</v>
      </c>
      <c r="O1034" s="24">
        <f>IF(AND(ISNUMBER(M1034), ISNUMBER(I1034), I1034&gt;0), M1034/I1034, "")</f>
        <v/>
      </c>
    </row>
    <row r="1035">
      <c r="A1035" s="19" t="inlineStr">
        <is>
          <t>FY26</t>
        </is>
      </c>
      <c r="B1035" s="19" t="inlineStr">
        <is>
          <t>Mar</t>
        </is>
      </c>
      <c r="C1035" s="19" t="inlineStr">
        <is>
          <t>TN</t>
        </is>
      </c>
      <c r="D1035" s="20" t="inlineStr">
        <is>
          <t>TN10AQ3115</t>
        </is>
      </c>
      <c r="E1035" s="20" t="inlineStr">
        <is>
          <t>HYUNDAI</t>
        </is>
      </c>
      <c r="F1035" s="20" t="inlineStr">
        <is>
          <t>Grand I10</t>
        </is>
      </c>
      <c r="G1035" s="21" t="n">
        <v>2014</v>
      </c>
      <c r="H1035" s="22" t="n">
        <v>93490</v>
      </c>
      <c r="I1035" s="23" t="n">
        <v>250000</v>
      </c>
      <c r="J1035" s="20" t="inlineStr">
        <is>
          <t>Khivraj Motor</t>
        </is>
      </c>
      <c r="K1035" s="20" t="inlineStr">
        <is>
          <t>Non-Captive</t>
        </is>
      </c>
      <c r="L1035" s="20" t="inlineStr">
        <is>
          <t>KB Motor</t>
        </is>
      </c>
      <c r="M1035" s="23" t="n">
        <v>2118.64</v>
      </c>
      <c r="N1035" s="23" t="n">
        <v>2500</v>
      </c>
      <c r="O1035" s="24">
        <f>IF(AND(ISNUMBER(M1035), ISNUMBER(I1035), I1035&gt;0), M1035/I1035, "")</f>
        <v/>
      </c>
    </row>
    <row r="1036">
      <c r="A1036" s="19" t="inlineStr">
        <is>
          <t>FY26</t>
        </is>
      </c>
      <c r="B1036" s="19" t="inlineStr">
        <is>
          <t>Mar</t>
        </is>
      </c>
      <c r="C1036" s="19" t="inlineStr">
        <is>
          <t>TN</t>
        </is>
      </c>
      <c r="D1036" s="20" t="inlineStr">
        <is>
          <t>TN05AM3992</t>
        </is>
      </c>
      <c r="E1036" s="20" t="inlineStr">
        <is>
          <t>VOLKSWAGEN</t>
        </is>
      </c>
      <c r="F1036" s="20" t="inlineStr">
        <is>
          <t>Polo</t>
        </is>
      </c>
      <c r="G1036" s="21" t="n">
        <v>2011</v>
      </c>
      <c r="H1036" s="22" t="n">
        <v>91895</v>
      </c>
      <c r="I1036" s="23" t="n">
        <v>170000</v>
      </c>
      <c r="J1036" s="20" t="inlineStr">
        <is>
          <t>Khivraj Motor</t>
        </is>
      </c>
      <c r="K1036" s="20" t="inlineStr">
        <is>
          <t>Non-Captive</t>
        </is>
      </c>
      <c r="L1036" s="20" t="inlineStr">
        <is>
          <t>KB Motor</t>
        </is>
      </c>
      <c r="M1036" s="23" t="n">
        <v>2118.64</v>
      </c>
      <c r="N1036" s="23" t="n">
        <v>2500</v>
      </c>
      <c r="O1036" s="24">
        <f>IF(AND(ISNUMBER(M1036), ISNUMBER(I1036), I1036&gt;0), M1036/I1036, "")</f>
        <v/>
      </c>
    </row>
    <row r="1037">
      <c r="A1037" s="19" t="inlineStr">
        <is>
          <t>FY26</t>
        </is>
      </c>
      <c r="B1037" s="19" t="inlineStr">
        <is>
          <t>Mar</t>
        </is>
      </c>
      <c r="C1037" s="19" t="inlineStr">
        <is>
          <t>TN</t>
        </is>
      </c>
      <c r="D1037" s="20" t="inlineStr">
        <is>
          <t>TN05T7544</t>
        </is>
      </c>
      <c r="E1037" s="20" t="inlineStr">
        <is>
          <t>HYUNDAI</t>
        </is>
      </c>
      <c r="F1037" s="20" t="inlineStr">
        <is>
          <t>Santro</t>
        </is>
      </c>
      <c r="G1037" s="21" t="n">
        <v>2006</v>
      </c>
      <c r="H1037" s="22" t="n">
        <v>89800</v>
      </c>
      <c r="I1037" s="23" t="n">
        <v>100000</v>
      </c>
      <c r="J1037" s="20" t="inlineStr">
        <is>
          <t>Khivraj Motor</t>
        </is>
      </c>
      <c r="K1037" s="20" t="inlineStr">
        <is>
          <t>Non-Captive</t>
        </is>
      </c>
      <c r="L1037" s="20" t="inlineStr">
        <is>
          <t>Shri Shakthi Vinayaga Cars</t>
        </is>
      </c>
      <c r="M1037" s="23" t="n">
        <v>2118.64</v>
      </c>
      <c r="N1037" s="23" t="n">
        <v>2500</v>
      </c>
      <c r="O1037" s="24">
        <f>IF(AND(ISNUMBER(M1037), ISNUMBER(I1037), I1037&gt;0), M1037/I1037, "")</f>
        <v/>
      </c>
    </row>
    <row r="1038">
      <c r="A1038" s="19" t="inlineStr">
        <is>
          <t>FY26</t>
        </is>
      </c>
      <c r="B1038" s="19" t="inlineStr">
        <is>
          <t>Mar</t>
        </is>
      </c>
      <c r="C1038" s="19" t="inlineStr">
        <is>
          <t>TN</t>
        </is>
      </c>
      <c r="D1038" s="20" t="inlineStr">
        <is>
          <t>TN13Y1252</t>
        </is>
      </c>
      <c r="E1038" s="20" t="inlineStr">
        <is>
          <t>MARUTI SUZUKI</t>
        </is>
      </c>
      <c r="F1038" s="20" t="inlineStr">
        <is>
          <t>Baleno</t>
        </is>
      </c>
      <c r="G1038" s="21" t="n">
        <v>2022</v>
      </c>
      <c r="H1038" s="22" t="n">
        <v>97809</v>
      </c>
      <c r="I1038" s="23" t="n">
        <v>575000</v>
      </c>
      <c r="J1038" s="20" t="inlineStr">
        <is>
          <t>Khivraj Motor</t>
        </is>
      </c>
      <c r="K1038" s="20" t="inlineStr">
        <is>
          <t>Non-Captive</t>
        </is>
      </c>
      <c r="L1038" s="20" t="inlineStr">
        <is>
          <t>Shri Shakthi Vinayaga Cars</t>
        </is>
      </c>
      <c r="M1038" s="23" t="n">
        <v>2118.64</v>
      </c>
      <c r="N1038" s="23" t="n">
        <v>2500</v>
      </c>
      <c r="O1038" s="24">
        <f>IF(AND(ISNUMBER(M1038), ISNUMBER(I1038), I1038&gt;0), M1038/I1038, "")</f>
        <v/>
      </c>
    </row>
    <row r="1039">
      <c r="A1039" s="19" t="inlineStr">
        <is>
          <t>FY26</t>
        </is>
      </c>
      <c r="B1039" s="19" t="inlineStr">
        <is>
          <t>Mar</t>
        </is>
      </c>
      <c r="C1039" s="19" t="inlineStr">
        <is>
          <t>TN</t>
        </is>
      </c>
      <c r="D1039" s="20" t="inlineStr">
        <is>
          <t>TN01AP6116</t>
        </is>
      </c>
      <c r="E1039" s="20" t="inlineStr">
        <is>
          <t>HYUNDAI</t>
        </is>
      </c>
      <c r="F1039" s="20" t="inlineStr">
        <is>
          <t>Santro</t>
        </is>
      </c>
      <c r="G1039" s="21" t="n">
        <v>2011</v>
      </c>
      <c r="H1039" s="22" t="n">
        <v>103400</v>
      </c>
      <c r="I1039" s="23" t="n">
        <v>160000</v>
      </c>
      <c r="J1039" s="20" t="inlineStr">
        <is>
          <t>Khivraj Motor</t>
        </is>
      </c>
      <c r="K1039" s="20" t="inlineStr">
        <is>
          <t>Non-Captive</t>
        </is>
      </c>
      <c r="L1039" s="20" t="inlineStr">
        <is>
          <t>Shri Shakthi Vinayaga Cars</t>
        </is>
      </c>
      <c r="M1039" s="23" t="n">
        <v>2118.64</v>
      </c>
      <c r="N1039" s="23" t="n">
        <v>2500</v>
      </c>
      <c r="O1039" s="24">
        <f>IF(AND(ISNUMBER(M1039), ISNUMBER(I1039), I1039&gt;0), M1039/I1039, "")</f>
        <v/>
      </c>
    </row>
    <row r="1040">
      <c r="A1040" s="19" t="inlineStr">
        <is>
          <t>FY26</t>
        </is>
      </c>
      <c r="B1040" s="19" t="inlineStr">
        <is>
          <t>Mar</t>
        </is>
      </c>
      <c r="C1040" s="19" t="inlineStr">
        <is>
          <t>TN</t>
        </is>
      </c>
      <c r="D1040" s="20" t="inlineStr">
        <is>
          <t>TN07CA2754</t>
        </is>
      </c>
      <c r="E1040" s="20" t="inlineStr">
        <is>
          <t>TOYOTA</t>
        </is>
      </c>
      <c r="F1040" s="20" t="inlineStr">
        <is>
          <t>Altis</t>
        </is>
      </c>
      <c r="G1040" s="21" t="n">
        <v>2014</v>
      </c>
      <c r="H1040" s="22" t="n">
        <v>134104</v>
      </c>
      <c r="I1040" s="23" t="n">
        <v>230000</v>
      </c>
      <c r="J1040" s="20" t="inlineStr">
        <is>
          <t>Indus</t>
        </is>
      </c>
      <c r="K1040" s="20" t="inlineStr">
        <is>
          <t>Non-Captive</t>
        </is>
      </c>
      <c r="L1040" s="20" t="inlineStr">
        <is>
          <t>Shri Shakthi Vinayaga Cars</t>
        </is>
      </c>
      <c r="M1040" s="23" t="n">
        <v>2118.64</v>
      </c>
      <c r="N1040" s="23" t="n">
        <v>2500</v>
      </c>
      <c r="O1040" s="24">
        <f>IF(AND(ISNUMBER(M1040), ISNUMBER(I1040), I1040&gt;0), M1040/I1040, "")</f>
        <v/>
      </c>
    </row>
    <row r="1041">
      <c r="A1041" s="19" t="inlineStr">
        <is>
          <t>FY26</t>
        </is>
      </c>
      <c r="B1041" s="19" t="inlineStr">
        <is>
          <t>Mar</t>
        </is>
      </c>
      <c r="C1041" s="19" t="inlineStr">
        <is>
          <t>TN</t>
        </is>
      </c>
      <c r="D1041" s="20" t="inlineStr">
        <is>
          <t>TN05BP4262</t>
        </is>
      </c>
      <c r="E1041" s="20" t="inlineStr">
        <is>
          <t>HONDA</t>
        </is>
      </c>
      <c r="F1041" s="20" t="inlineStr">
        <is>
          <t>Jazz</t>
        </is>
      </c>
      <c r="G1041" s="21" t="n">
        <v>2017</v>
      </c>
      <c r="H1041" s="22" t="n">
        <v>45039</v>
      </c>
      <c r="I1041" s="23" t="n">
        <v>370000</v>
      </c>
      <c r="J1041" s="20" t="inlineStr">
        <is>
          <t>PRODUCTIVITY ELEMENTS PRIVATE LIMITED</t>
        </is>
      </c>
      <c r="K1041" s="20" t="inlineStr">
        <is>
          <t>Non-Captive</t>
        </is>
      </c>
      <c r="L1041" s="20" t="inlineStr">
        <is>
          <t>Shri Shakthi Vinayaga Cars</t>
        </is>
      </c>
      <c r="M1041" s="23" t="n">
        <v>2118.64</v>
      </c>
      <c r="N1041" s="23" t="n">
        <v>2500</v>
      </c>
      <c r="O1041" s="24">
        <f>IF(AND(ISNUMBER(M1041), ISNUMBER(I1041), I1041&gt;0), M1041/I1041, "")</f>
        <v/>
      </c>
    </row>
    <row r="1042">
      <c r="A1042" s="19" t="inlineStr">
        <is>
          <t>FY26</t>
        </is>
      </c>
      <c r="B1042" s="19" t="inlineStr">
        <is>
          <t>Mar</t>
        </is>
      </c>
      <c r="C1042" s="19" t="inlineStr">
        <is>
          <t>TN</t>
        </is>
      </c>
      <c r="D1042" s="20" t="inlineStr">
        <is>
          <t>TN02BZ9111</t>
        </is>
      </c>
      <c r="E1042" s="20" t="inlineStr">
        <is>
          <t>MARUTI SUZUKI</t>
        </is>
      </c>
      <c r="F1042" s="20" t="inlineStr">
        <is>
          <t>Baleno</t>
        </is>
      </c>
      <c r="G1042" s="21" t="n">
        <v>2023</v>
      </c>
      <c r="H1042" s="22" t="n">
        <v>36444</v>
      </c>
      <c r="I1042" s="23" t="n">
        <v>675000</v>
      </c>
      <c r="J1042" s="20" t="inlineStr">
        <is>
          <t>Khivraj Motor</t>
        </is>
      </c>
      <c r="K1042" s="20" t="inlineStr">
        <is>
          <t>Non-Captive</t>
        </is>
      </c>
      <c r="L1042" s="20" t="inlineStr">
        <is>
          <t>Shri Shakthi Vinayaga Cars</t>
        </is>
      </c>
      <c r="M1042" s="23" t="n">
        <v>2118.64</v>
      </c>
      <c r="N1042" s="23" t="n">
        <v>2500</v>
      </c>
      <c r="O1042" s="24">
        <f>IF(AND(ISNUMBER(M1042), ISNUMBER(I1042), I1042&gt;0), M1042/I1042, "")</f>
        <v/>
      </c>
    </row>
    <row r="1043">
      <c r="A1043" s="19" t="inlineStr">
        <is>
          <t>FY26</t>
        </is>
      </c>
      <c r="B1043" s="19" t="inlineStr">
        <is>
          <t>Mar</t>
        </is>
      </c>
      <c r="C1043" s="19" t="inlineStr">
        <is>
          <t>TN</t>
        </is>
      </c>
      <c r="D1043" s="20" t="inlineStr">
        <is>
          <t>TN02BH6411</t>
        </is>
      </c>
      <c r="E1043" s="20" t="inlineStr">
        <is>
          <t>MARUTI SUZUKI</t>
        </is>
      </c>
      <c r="F1043" s="20" t="inlineStr">
        <is>
          <t>Swift Dzire</t>
        </is>
      </c>
      <c r="G1043" s="21" t="n">
        <v>2017</v>
      </c>
      <c r="H1043" s="22" t="n">
        <v>112720</v>
      </c>
      <c r="I1043" s="23" t="n">
        <v>375000</v>
      </c>
      <c r="J1043" s="20" t="inlineStr">
        <is>
          <t>Khivraj Motor</t>
        </is>
      </c>
      <c r="K1043" s="20" t="inlineStr">
        <is>
          <t>Non-Captive</t>
        </is>
      </c>
      <c r="L1043" s="20" t="inlineStr">
        <is>
          <t>Shri Shakthi Vinayaga Cars</t>
        </is>
      </c>
      <c r="M1043" s="23" t="n">
        <v>2118.64</v>
      </c>
      <c r="N1043" s="23" t="n">
        <v>2500</v>
      </c>
      <c r="O1043" s="24">
        <f>IF(AND(ISNUMBER(M1043), ISNUMBER(I1043), I1043&gt;0), M1043/I1043, "")</f>
        <v/>
      </c>
    </row>
    <row r="1044">
      <c r="A1044" s="19" t="inlineStr">
        <is>
          <t>FY26</t>
        </is>
      </c>
      <c r="B1044" s="19" t="inlineStr">
        <is>
          <t>Mar</t>
        </is>
      </c>
      <c r="C1044" s="19" t="inlineStr">
        <is>
          <t>TN</t>
        </is>
      </c>
      <c r="D1044" s="20" t="inlineStr">
        <is>
          <t>TN02AL1739</t>
        </is>
      </c>
      <c r="E1044" s="20" t="inlineStr">
        <is>
          <t>MARUTI SUZUKI</t>
        </is>
      </c>
      <c r="F1044" s="20" t="inlineStr">
        <is>
          <t>Wagon R</t>
        </is>
      </c>
      <c r="G1044" s="21" t="n">
        <v>2010</v>
      </c>
      <c r="H1044" s="22" t="n">
        <v>87018</v>
      </c>
      <c r="I1044" s="23" t="n">
        <v>130000</v>
      </c>
      <c r="J1044" s="20" t="inlineStr">
        <is>
          <t>Khivraj Motor</t>
        </is>
      </c>
      <c r="K1044" s="20" t="inlineStr">
        <is>
          <t>Non-Captive</t>
        </is>
      </c>
      <c r="L1044" s="20" t="inlineStr">
        <is>
          <t>Shri Shakthi Vinayaga Cars</t>
        </is>
      </c>
      <c r="M1044" s="23" t="n">
        <v>2118.64</v>
      </c>
      <c r="N1044" s="23" t="n">
        <v>2500</v>
      </c>
      <c r="O1044" s="24">
        <f>IF(AND(ISNUMBER(M1044), ISNUMBER(I1044), I1044&gt;0), M1044/I1044, "")</f>
        <v/>
      </c>
    </row>
    <row r="1045">
      <c r="A1045" s="19" t="inlineStr">
        <is>
          <t>FY26</t>
        </is>
      </c>
      <c r="B1045" s="19" t="inlineStr">
        <is>
          <t>Mar</t>
        </is>
      </c>
      <c r="C1045" s="19" t="inlineStr">
        <is>
          <t>TN</t>
        </is>
      </c>
      <c r="D1045" s="20" t="inlineStr">
        <is>
          <t>TN45BY9383</t>
        </is>
      </c>
      <c r="E1045" s="20" t="inlineStr">
        <is>
          <t>MARUTI SUZUKI</t>
        </is>
      </c>
      <c r="F1045" s="20" t="inlineStr">
        <is>
          <t>Wagon R</t>
        </is>
      </c>
      <c r="G1045" s="21" t="n">
        <v>2013</v>
      </c>
      <c r="H1045" s="22" t="n">
        <v>76651</v>
      </c>
      <c r="I1045" s="23" t="n">
        <v>240000</v>
      </c>
      <c r="J1045" s="20" t="inlineStr">
        <is>
          <t>Khivraj Motor</t>
        </is>
      </c>
      <c r="K1045" s="20" t="inlineStr">
        <is>
          <t>Non-Captive</t>
        </is>
      </c>
      <c r="L1045" s="20" t="inlineStr">
        <is>
          <t>Shri Shakthi Vinayaga Cars</t>
        </is>
      </c>
      <c r="M1045" s="23" t="n">
        <v>2118.64</v>
      </c>
      <c r="N1045" s="23" t="n">
        <v>2500</v>
      </c>
      <c r="O1045" s="24">
        <f>IF(AND(ISNUMBER(M1045), ISNUMBER(I1045), I1045&gt;0), M1045/I1045, "")</f>
        <v/>
      </c>
    </row>
    <row r="1046">
      <c r="A1046" s="19" t="inlineStr">
        <is>
          <t>FY26</t>
        </is>
      </c>
      <c r="B1046" s="19" t="inlineStr">
        <is>
          <t>Mar</t>
        </is>
      </c>
      <c r="C1046" s="19" t="inlineStr">
        <is>
          <t>TN</t>
        </is>
      </c>
      <c r="D1046" s="20" t="inlineStr">
        <is>
          <t>TN07AP0137</t>
        </is>
      </c>
      <c r="E1046" s="20" t="inlineStr">
        <is>
          <t>MARUTI SUZUKI</t>
        </is>
      </c>
      <c r="F1046" s="20" t="inlineStr">
        <is>
          <t>Swift</t>
        </is>
      </c>
      <c r="G1046" s="21" t="n">
        <v>2007</v>
      </c>
      <c r="H1046" s="22" t="n">
        <v>44048</v>
      </c>
      <c r="I1046" s="23" t="n">
        <v>200000</v>
      </c>
      <c r="J1046" s="20" t="inlineStr">
        <is>
          <t>KALYANIMOTORS MARUTHI</t>
        </is>
      </c>
      <c r="K1046" s="20" t="inlineStr">
        <is>
          <t>Non-Captive</t>
        </is>
      </c>
      <c r="L1046" s="20" t="inlineStr">
        <is>
          <t>Shri Shakthi Vinayaga Cars</t>
        </is>
      </c>
      <c r="M1046" s="23" t="n">
        <v>2118.64</v>
      </c>
      <c r="N1046" s="23" t="n">
        <v>2500</v>
      </c>
      <c r="O1046" s="24">
        <f>IF(AND(ISNUMBER(M1046), ISNUMBER(I1046), I1046&gt;0), M1046/I1046, "")</f>
        <v/>
      </c>
    </row>
    <row r="1047">
      <c r="A1047" s="19" t="inlineStr">
        <is>
          <t>FY26</t>
        </is>
      </c>
      <c r="B1047" s="19" t="inlineStr">
        <is>
          <t>Mar</t>
        </is>
      </c>
      <c r="C1047" s="19" t="inlineStr">
        <is>
          <t>TN</t>
        </is>
      </c>
      <c r="D1047" s="20" t="inlineStr">
        <is>
          <t>TN10BM2553</t>
        </is>
      </c>
      <c r="E1047" s="20" t="inlineStr">
        <is>
          <t>MARUTI SUZUKI</t>
        </is>
      </c>
      <c r="F1047" s="20" t="inlineStr">
        <is>
          <t>Swift</t>
        </is>
      </c>
      <c r="G1047" s="21" t="n">
        <v>2009</v>
      </c>
      <c r="H1047" s="22" t="n">
        <v>98979</v>
      </c>
      <c r="I1047" s="23" t="n">
        <v>100000</v>
      </c>
      <c r="J1047" s="20" t="inlineStr">
        <is>
          <t>KALYANIMOTORS MARUTHI</t>
        </is>
      </c>
      <c r="K1047" s="20" t="inlineStr">
        <is>
          <t>Non-Captive</t>
        </is>
      </c>
      <c r="L1047" s="20" t="inlineStr">
        <is>
          <t>Santhosh Cars</t>
        </is>
      </c>
      <c r="M1047" s="23" t="n">
        <v>2118.64</v>
      </c>
      <c r="N1047" s="23" t="n">
        <v>2500</v>
      </c>
      <c r="O1047" s="24">
        <f>IF(AND(ISNUMBER(M1047), ISNUMBER(I1047), I1047&gt;0), M1047/I1047, "")</f>
        <v/>
      </c>
    </row>
    <row r="1048">
      <c r="A1048" s="19" t="inlineStr">
        <is>
          <t>FY26</t>
        </is>
      </c>
      <c r="B1048" s="19" t="inlineStr">
        <is>
          <t>Mar</t>
        </is>
      </c>
      <c r="C1048" s="19" t="inlineStr">
        <is>
          <t>TN</t>
        </is>
      </c>
      <c r="D1048" s="20" t="inlineStr">
        <is>
          <t>TN09AR3169</t>
        </is>
      </c>
      <c r="E1048" s="20" t="inlineStr">
        <is>
          <t>MARUTI SUZUKI</t>
        </is>
      </c>
      <c r="F1048" s="20" t="inlineStr">
        <is>
          <t>Swift</t>
        </is>
      </c>
      <c r="G1048" s="21" t="n">
        <v>2006</v>
      </c>
      <c r="H1048" s="22" t="n">
        <v>82714</v>
      </c>
      <c r="I1048" s="23" t="n">
        <v>60000</v>
      </c>
      <c r="J1048" s="20" t="inlineStr">
        <is>
          <t>KALYANIMOTORS MARUTHI</t>
        </is>
      </c>
      <c r="K1048" s="20" t="inlineStr">
        <is>
          <t>Non-Captive</t>
        </is>
      </c>
      <c r="L1048" s="20" t="inlineStr">
        <is>
          <t>Santhosh Cars</t>
        </is>
      </c>
      <c r="M1048" s="23" t="n">
        <v>2118.64</v>
      </c>
      <c r="N1048" s="23" t="n">
        <v>2500</v>
      </c>
      <c r="O1048" s="24">
        <f>IF(AND(ISNUMBER(M1048), ISNUMBER(I1048), I1048&gt;0), M1048/I1048, "")</f>
        <v/>
      </c>
    </row>
    <row r="1049">
      <c r="A1049" s="19" t="inlineStr">
        <is>
          <t>FY26</t>
        </is>
      </c>
      <c r="B1049" s="19" t="inlineStr">
        <is>
          <t>Mar</t>
        </is>
      </c>
      <c r="C1049" s="19" t="inlineStr">
        <is>
          <t>TN</t>
        </is>
      </c>
      <c r="D1049" s="20" t="inlineStr">
        <is>
          <t>TN05AW1197</t>
        </is>
      </c>
      <c r="E1049" s="20" t="inlineStr">
        <is>
          <t>MARUTI SUZUKI</t>
        </is>
      </c>
      <c r="F1049" s="20" t="inlineStr">
        <is>
          <t>Swift Dzire</t>
        </is>
      </c>
      <c r="G1049" s="21" t="n">
        <v>2014</v>
      </c>
      <c r="H1049" s="22" t="n">
        <v>81007</v>
      </c>
      <c r="I1049" s="23" t="n">
        <v>220000</v>
      </c>
      <c r="J1049" s="20" t="inlineStr">
        <is>
          <t>KALYANIMOTORS MARUTHI</t>
        </is>
      </c>
      <c r="K1049" s="20" t="inlineStr">
        <is>
          <t>Non-Captive</t>
        </is>
      </c>
      <c r="L1049" s="20" t="inlineStr">
        <is>
          <t>Santhosh Cars</t>
        </is>
      </c>
      <c r="M1049" s="23" t="n">
        <v>2118.64</v>
      </c>
      <c r="N1049" s="23" t="n">
        <v>2500</v>
      </c>
      <c r="O1049" s="24">
        <f>IF(AND(ISNUMBER(M1049), ISNUMBER(I1049), I1049&gt;0), M1049/I1049, "")</f>
        <v/>
      </c>
    </row>
    <row r="1050">
      <c r="A1050" s="19" t="inlineStr">
        <is>
          <t>FY26</t>
        </is>
      </c>
      <c r="B1050" s="19" t="inlineStr">
        <is>
          <t>Mar</t>
        </is>
      </c>
      <c r="C1050" s="19" t="inlineStr">
        <is>
          <t>TN</t>
        </is>
      </c>
      <c r="D1050" s="20" t="inlineStr">
        <is>
          <t>TN10BX4858</t>
        </is>
      </c>
      <c r="E1050" s="20" t="inlineStr">
        <is>
          <t>HYUNDAI</t>
        </is>
      </c>
      <c r="F1050" s="20" t="inlineStr">
        <is>
          <t>Aura</t>
        </is>
      </c>
      <c r="G1050" s="21" t="n">
        <v>2024</v>
      </c>
      <c r="H1050" s="22" t="n">
        <v>41019</v>
      </c>
      <c r="I1050" s="23" t="n">
        <v>475000</v>
      </c>
      <c r="J1050" s="20" t="inlineStr">
        <is>
          <t>KALYANIMOTORS MARUTHI</t>
        </is>
      </c>
      <c r="K1050" s="20" t="inlineStr">
        <is>
          <t>Non-Captive</t>
        </is>
      </c>
      <c r="L1050" s="20" t="inlineStr">
        <is>
          <t>Santhosh Cars</t>
        </is>
      </c>
      <c r="M1050" s="23" t="n">
        <v>2118.64</v>
      </c>
      <c r="N1050" s="23" t="n">
        <v>2500</v>
      </c>
      <c r="O1050" s="24">
        <f>IF(AND(ISNUMBER(M1050), ISNUMBER(I1050), I1050&gt;0), M1050/I1050, "")</f>
        <v/>
      </c>
    </row>
    <row r="1051">
      <c r="A1051" s="19" t="inlineStr">
        <is>
          <t>FY26</t>
        </is>
      </c>
      <c r="B1051" s="19" t="inlineStr">
        <is>
          <t>Mar</t>
        </is>
      </c>
      <c r="C1051" s="19" t="inlineStr">
        <is>
          <t>TN</t>
        </is>
      </c>
      <c r="D1051" s="20" t="inlineStr">
        <is>
          <t>TN12AQ1993</t>
        </is>
      </c>
      <c r="E1051" s="20" t="inlineStr">
        <is>
          <t>RENAULT</t>
        </is>
      </c>
      <c r="F1051" s="20" t="inlineStr">
        <is>
          <t>Kiger</t>
        </is>
      </c>
      <c r="G1051" s="21" t="n">
        <v>2021</v>
      </c>
      <c r="H1051" s="22" t="n">
        <v>59767</v>
      </c>
      <c r="I1051" s="23" t="n">
        <v>365000</v>
      </c>
      <c r="J1051" s="20" t="inlineStr">
        <is>
          <t>KALYANIMOTORS MARUTHI</t>
        </is>
      </c>
      <c r="K1051" s="20" t="inlineStr">
        <is>
          <t>Non-Captive</t>
        </is>
      </c>
      <c r="L1051" s="20" t="inlineStr">
        <is>
          <t>Santhosh Cars</t>
        </is>
      </c>
      <c r="M1051" s="23" t="n">
        <v>2118.64</v>
      </c>
      <c r="N1051" s="23" t="n">
        <v>2500</v>
      </c>
      <c r="O1051" s="24">
        <f>IF(AND(ISNUMBER(M1051), ISNUMBER(I1051), I1051&gt;0), M1051/I1051, "")</f>
        <v/>
      </c>
    </row>
    <row r="1052">
      <c r="A1052" s="19" t="inlineStr">
        <is>
          <t>FY26</t>
        </is>
      </c>
      <c r="B1052" s="19" t="inlineStr">
        <is>
          <t>Mar</t>
        </is>
      </c>
      <c r="C1052" s="19" t="inlineStr">
        <is>
          <t>TN</t>
        </is>
      </c>
      <c r="D1052" s="20" t="inlineStr">
        <is>
          <t>TN18BB9495</t>
        </is>
      </c>
      <c r="E1052" s="20" t="inlineStr">
        <is>
          <t>MARUTI SUZUKI</t>
        </is>
      </c>
      <c r="F1052" s="20" t="inlineStr">
        <is>
          <t>Wagon R</t>
        </is>
      </c>
      <c r="G1052" s="21" t="n">
        <v>2020</v>
      </c>
      <c r="H1052" s="22" t="n">
        <v>82485</v>
      </c>
      <c r="I1052" s="23" t="n">
        <v>315000</v>
      </c>
      <c r="J1052" s="20" t="inlineStr">
        <is>
          <t>KALYANIMOTORS MARUTHI</t>
        </is>
      </c>
      <c r="K1052" s="20" t="inlineStr">
        <is>
          <t>Non-Captive</t>
        </is>
      </c>
      <c r="L1052" s="20" t="inlineStr">
        <is>
          <t>Santhosh Cars</t>
        </is>
      </c>
      <c r="M1052" s="23" t="n">
        <v>2118.64</v>
      </c>
      <c r="N1052" s="23" t="n">
        <v>2500</v>
      </c>
      <c r="O1052" s="24">
        <f>IF(AND(ISNUMBER(M1052), ISNUMBER(I1052), I1052&gt;0), M1052/I1052, "")</f>
        <v/>
      </c>
    </row>
    <row r="1053">
      <c r="A1053" s="19" t="inlineStr">
        <is>
          <t>FY26</t>
        </is>
      </c>
      <c r="B1053" s="19" t="inlineStr">
        <is>
          <t>Mar</t>
        </is>
      </c>
      <c r="C1053" s="19" t="inlineStr">
        <is>
          <t>TN</t>
        </is>
      </c>
      <c r="D1053" s="20" t="inlineStr">
        <is>
          <t>TN22BP6153</t>
        </is>
      </c>
      <c r="E1053" s="20" t="inlineStr">
        <is>
          <t>VOLKSWAGEN</t>
        </is>
      </c>
      <c r="F1053" s="20" t="inlineStr">
        <is>
          <t>Vento</t>
        </is>
      </c>
      <c r="G1053" s="21" t="n">
        <v>2011</v>
      </c>
      <c r="H1053" s="22" t="n">
        <v>205296</v>
      </c>
      <c r="I1053" s="23" t="n">
        <v>110000</v>
      </c>
      <c r="J1053" s="20" t="inlineStr">
        <is>
          <t>KALYANIMOTORS MARUTHI</t>
        </is>
      </c>
      <c r="K1053" s="20" t="inlineStr">
        <is>
          <t>Non-Captive</t>
        </is>
      </c>
      <c r="L1053" s="20" t="inlineStr">
        <is>
          <t>Santhosh Cars</t>
        </is>
      </c>
      <c r="M1053" s="23" t="n">
        <v>2118.64</v>
      </c>
      <c r="N1053" s="23" t="n">
        <v>2500</v>
      </c>
      <c r="O1053" s="24">
        <f>IF(AND(ISNUMBER(M1053), ISNUMBER(I1053), I1053&gt;0), M1053/I1053, "")</f>
        <v/>
      </c>
    </row>
    <row r="1054">
      <c r="A1054" s="19" t="inlineStr">
        <is>
          <t>FY26</t>
        </is>
      </c>
      <c r="B1054" s="19" t="inlineStr">
        <is>
          <t>Mar</t>
        </is>
      </c>
      <c r="C1054" s="19" t="inlineStr">
        <is>
          <t>TN</t>
        </is>
      </c>
      <c r="D1054" s="20" t="inlineStr">
        <is>
          <t>TN06P9658</t>
        </is>
      </c>
      <c r="E1054" s="20" t="inlineStr">
        <is>
          <t>HYUNDAI</t>
        </is>
      </c>
      <c r="F1054" s="20" t="inlineStr">
        <is>
          <t>Grand I10</t>
        </is>
      </c>
      <c r="G1054" s="21" t="n">
        <v>2015</v>
      </c>
      <c r="H1054" s="22" t="n">
        <v>75324</v>
      </c>
      <c r="I1054" s="23" t="n">
        <v>210000</v>
      </c>
      <c r="J1054" s="20" t="inlineStr">
        <is>
          <t>KALYANIMOTORS MARUTHI</t>
        </is>
      </c>
      <c r="K1054" s="20" t="inlineStr">
        <is>
          <t>Non-Captive</t>
        </is>
      </c>
      <c r="L1054" s="20" t="inlineStr">
        <is>
          <t>Santhosh Cars</t>
        </is>
      </c>
      <c r="M1054" s="23" t="n">
        <v>2118.64</v>
      </c>
      <c r="N1054" s="23" t="n">
        <v>2500</v>
      </c>
      <c r="O1054" s="24">
        <f>IF(AND(ISNUMBER(M1054), ISNUMBER(I1054), I1054&gt;0), M1054/I1054, "")</f>
        <v/>
      </c>
    </row>
    <row r="1055">
      <c r="A1055" s="19" t="inlineStr">
        <is>
          <t>FY26</t>
        </is>
      </c>
      <c r="B1055" s="19" t="inlineStr">
        <is>
          <t>Mar</t>
        </is>
      </c>
      <c r="C1055" s="19" t="inlineStr">
        <is>
          <t>TN</t>
        </is>
      </c>
      <c r="D1055" s="20" t="inlineStr">
        <is>
          <t>TN10AP0137</t>
        </is>
      </c>
      <c r="E1055" s="20" t="inlineStr">
        <is>
          <t>MARUTI SUZUKI</t>
        </is>
      </c>
      <c r="F1055" s="20" t="inlineStr">
        <is>
          <t>Alto</t>
        </is>
      </c>
      <c r="G1055" s="21" t="n">
        <v>2013</v>
      </c>
      <c r="H1055" s="22" t="n">
        <v>144048</v>
      </c>
      <c r="I1055" s="23" t="n">
        <v>160000</v>
      </c>
      <c r="J1055" s="20" t="inlineStr">
        <is>
          <t>KALYANIMOTORS MARUTHI</t>
        </is>
      </c>
      <c r="K1055" s="20" t="inlineStr">
        <is>
          <t>Non-Captive</t>
        </is>
      </c>
      <c r="L1055" s="20" t="inlineStr">
        <is>
          <t>Santhosh Cars</t>
        </is>
      </c>
      <c r="M1055" s="23" t="n">
        <v>2118.64</v>
      </c>
      <c r="N1055" s="23" t="n">
        <v>2500</v>
      </c>
      <c r="O1055" s="24">
        <f>IF(AND(ISNUMBER(M1055), ISNUMBER(I1055), I1055&gt;0), M1055/I1055, "")</f>
        <v/>
      </c>
    </row>
    <row r="1056">
      <c r="A1056" s="19" t="inlineStr">
        <is>
          <t>FY26</t>
        </is>
      </c>
      <c r="B1056" s="19" t="inlineStr">
        <is>
          <t>Mar</t>
        </is>
      </c>
      <c r="C1056" s="19" t="inlineStr">
        <is>
          <t>TN</t>
        </is>
      </c>
      <c r="D1056" s="20" t="inlineStr">
        <is>
          <t>TN10AC1766</t>
        </is>
      </c>
      <c r="E1056" s="20" t="inlineStr">
        <is>
          <t>MARUTI SUZUKI</t>
        </is>
      </c>
      <c r="F1056" s="20" t="inlineStr">
        <is>
          <t>Swift</t>
        </is>
      </c>
      <c r="G1056" s="21" t="n">
        <v>2011</v>
      </c>
      <c r="H1056" s="22" t="n">
        <v>112129</v>
      </c>
      <c r="I1056" s="23" t="n">
        <v>160000</v>
      </c>
      <c r="J1056" s="20" t="inlineStr">
        <is>
          <t>KALYANIMOTORS MARUTHI</t>
        </is>
      </c>
      <c r="K1056" s="20" t="inlineStr">
        <is>
          <t>Non-Captive</t>
        </is>
      </c>
      <c r="L1056" s="20" t="inlineStr">
        <is>
          <t>Santhosh Cars</t>
        </is>
      </c>
      <c r="M1056" s="23" t="n">
        <v>2118.64</v>
      </c>
      <c r="N1056" s="23" t="n">
        <v>2500</v>
      </c>
      <c r="O1056" s="24">
        <f>IF(AND(ISNUMBER(M1056), ISNUMBER(I1056), I1056&gt;0), M1056/I1056, "")</f>
        <v/>
      </c>
    </row>
    <row r="1057">
      <c r="A1057" s="19" t="inlineStr">
        <is>
          <t>FY26</t>
        </is>
      </c>
      <c r="B1057" s="19" t="inlineStr">
        <is>
          <t>Mar</t>
        </is>
      </c>
      <c r="C1057" s="19" t="inlineStr">
        <is>
          <t>TN</t>
        </is>
      </c>
      <c r="D1057" s="20" t="inlineStr">
        <is>
          <t>TN07BA5044</t>
        </is>
      </c>
      <c r="E1057" s="20" t="inlineStr">
        <is>
          <t>MARUTI SUZUKI</t>
        </is>
      </c>
      <c r="F1057" s="20" t="inlineStr">
        <is>
          <t>Swift</t>
        </is>
      </c>
      <c r="G1057" s="21" t="n">
        <v>2008</v>
      </c>
      <c r="H1057" s="22" t="n">
        <v>102198</v>
      </c>
      <c r="I1057" s="23" t="n">
        <v>130000</v>
      </c>
      <c r="J1057" s="20" t="inlineStr">
        <is>
          <t>KALYANIMOTORS MARUTHI</t>
        </is>
      </c>
      <c r="K1057" s="20" t="inlineStr">
        <is>
          <t>Non-Captive</t>
        </is>
      </c>
      <c r="L1057" s="20" t="inlineStr">
        <is>
          <t>Santhosh Cars</t>
        </is>
      </c>
      <c r="M1057" s="23" t="n">
        <v>2118.64</v>
      </c>
      <c r="N1057" s="23" t="n">
        <v>2500</v>
      </c>
      <c r="O1057" s="24">
        <f>IF(AND(ISNUMBER(M1057), ISNUMBER(I1057), I1057&gt;0), M1057/I1057, "")</f>
        <v/>
      </c>
    </row>
    <row r="1058">
      <c r="A1058" s="19" t="inlineStr">
        <is>
          <t>FY26</t>
        </is>
      </c>
      <c r="B1058" s="19" t="inlineStr">
        <is>
          <t>Mar</t>
        </is>
      </c>
      <c r="C1058" s="19" t="inlineStr">
        <is>
          <t>TN</t>
        </is>
      </c>
      <c r="D1058" s="20" t="inlineStr">
        <is>
          <t>TN13R8562</t>
        </is>
      </c>
      <c r="E1058" s="20" t="inlineStr">
        <is>
          <t>HYUNDAI</t>
        </is>
      </c>
      <c r="F1058" s="20" t="inlineStr">
        <is>
          <t>Verna</t>
        </is>
      </c>
      <c r="G1058" s="21" t="n">
        <v>2019</v>
      </c>
      <c r="H1058" s="22" t="n">
        <v>87783</v>
      </c>
      <c r="I1058" s="23" t="n">
        <v>380000</v>
      </c>
      <c r="J1058" s="20" t="inlineStr">
        <is>
          <t>Khivraj Motor</t>
        </is>
      </c>
      <c r="K1058" s="20" t="inlineStr">
        <is>
          <t>Non-Captive</t>
        </is>
      </c>
      <c r="L1058" s="20" t="inlineStr">
        <is>
          <t>Santhosh Cars</t>
        </is>
      </c>
      <c r="M1058" s="23" t="n">
        <v>2118.64</v>
      </c>
      <c r="N1058" s="23" t="n">
        <v>2500</v>
      </c>
      <c r="O1058" s="24">
        <f>IF(AND(ISNUMBER(M1058), ISNUMBER(I1058), I1058&gt;0), M1058/I1058, "")</f>
        <v/>
      </c>
    </row>
    <row r="1059">
      <c r="A1059" s="19" t="inlineStr">
        <is>
          <t>FY26</t>
        </is>
      </c>
      <c r="B1059" s="19" t="inlineStr">
        <is>
          <t>Mar</t>
        </is>
      </c>
      <c r="C1059" s="19" t="inlineStr">
        <is>
          <t>TN</t>
        </is>
      </c>
      <c r="D1059" s="20" t="inlineStr">
        <is>
          <t>TN01AZ4383</t>
        </is>
      </c>
      <c r="E1059" s="20" t="inlineStr">
        <is>
          <t>MARUTI SUZUKI</t>
        </is>
      </c>
      <c r="F1059" s="20" t="inlineStr">
        <is>
          <t>Baleno</t>
        </is>
      </c>
      <c r="G1059" s="21" t="n">
        <v>2015</v>
      </c>
      <c r="H1059" s="22" t="n">
        <v>19926</v>
      </c>
      <c r="I1059" s="23" t="n">
        <v>350000</v>
      </c>
      <c r="J1059" s="20" t="inlineStr">
        <is>
          <t>Khivraj Motor</t>
        </is>
      </c>
      <c r="K1059" s="20" t="inlineStr">
        <is>
          <t>Non-Captive</t>
        </is>
      </c>
      <c r="L1059" s="20" t="inlineStr">
        <is>
          <t>Santhosh Cars</t>
        </is>
      </c>
      <c r="M1059" s="23" t="n">
        <v>2118.64</v>
      </c>
      <c r="N1059" s="23" t="n">
        <v>2500</v>
      </c>
      <c r="O1059" s="24">
        <f>IF(AND(ISNUMBER(M1059), ISNUMBER(I1059), I1059&gt;0), M1059/I1059, "")</f>
        <v/>
      </c>
    </row>
    <row r="1060">
      <c r="A1060" s="19" t="inlineStr">
        <is>
          <t>FY26</t>
        </is>
      </c>
      <c r="B1060" s="19" t="inlineStr">
        <is>
          <t>Mar</t>
        </is>
      </c>
      <c r="C1060" s="19" t="inlineStr">
        <is>
          <t>TN</t>
        </is>
      </c>
      <c r="D1060" s="20" t="inlineStr">
        <is>
          <t>TN01AF7486</t>
        </is>
      </c>
      <c r="E1060" s="20" t="inlineStr">
        <is>
          <t>MARUTI SUZUKI</t>
        </is>
      </c>
      <c r="F1060" s="20" t="inlineStr">
        <is>
          <t>Wagon R</t>
        </is>
      </c>
      <c r="G1060" s="21" t="n">
        <v>2008</v>
      </c>
      <c r="H1060" s="22" t="n">
        <v>100512</v>
      </c>
      <c r="I1060" s="23" t="n">
        <v>100000</v>
      </c>
      <c r="J1060" s="20" t="inlineStr">
        <is>
          <t>KALYANIMOTORS MARUTHI</t>
        </is>
      </c>
      <c r="K1060" s="20" t="inlineStr">
        <is>
          <t>Non-Captive</t>
        </is>
      </c>
      <c r="L1060" s="20" t="inlineStr">
        <is>
          <t>Santhosh Cars</t>
        </is>
      </c>
      <c r="M1060" s="23" t="n">
        <v>2118.64</v>
      </c>
      <c r="N1060" s="23" t="n">
        <v>2500</v>
      </c>
      <c r="O1060" s="24">
        <f>IF(AND(ISNUMBER(M1060), ISNUMBER(I1060), I1060&gt;0), M1060/I1060, "")</f>
        <v/>
      </c>
    </row>
    <row r="1061">
      <c r="A1061" s="19" t="inlineStr">
        <is>
          <t>FY26</t>
        </is>
      </c>
      <c r="B1061" s="19" t="inlineStr">
        <is>
          <t>Mar</t>
        </is>
      </c>
      <c r="C1061" s="19" t="inlineStr">
        <is>
          <t>TN</t>
        </is>
      </c>
      <c r="D1061" s="20" t="inlineStr">
        <is>
          <t>TN05AH1084</t>
        </is>
      </c>
      <c r="E1061" s="20" t="inlineStr">
        <is>
          <t>MARUTI SUZUKI</t>
        </is>
      </c>
      <c r="F1061" s="20" t="inlineStr">
        <is>
          <t>Ritz</t>
        </is>
      </c>
      <c r="G1061" s="21" t="n">
        <v>2010</v>
      </c>
      <c r="H1061" s="22" t="n">
        <v>23887</v>
      </c>
      <c r="I1061" s="23" t="n">
        <v>160000</v>
      </c>
      <c r="J1061" s="20" t="inlineStr">
        <is>
          <t>KALYANIMOTORS MARUTHI</t>
        </is>
      </c>
      <c r="K1061" s="20" t="inlineStr">
        <is>
          <t>Non-Captive</t>
        </is>
      </c>
      <c r="L1061" s="20" t="inlineStr">
        <is>
          <t>Nirmal Cars</t>
        </is>
      </c>
      <c r="M1061" s="23" t="n">
        <v>2542.37</v>
      </c>
      <c r="N1061" s="23" t="n">
        <v>3000</v>
      </c>
      <c r="O1061" s="24">
        <f>IF(AND(ISNUMBER(M1061), ISNUMBER(I1061), I1061&gt;0), M1061/I1061, "")</f>
        <v/>
      </c>
    </row>
    <row r="1062">
      <c r="A1062" s="19" t="inlineStr">
        <is>
          <t>FY26</t>
        </is>
      </c>
      <c r="B1062" s="19" t="inlineStr">
        <is>
          <t>Mar</t>
        </is>
      </c>
      <c r="C1062" s="19" t="inlineStr">
        <is>
          <t>TN</t>
        </is>
      </c>
      <c r="D1062" s="20" t="inlineStr">
        <is>
          <t>TN09CC5882</t>
        </is>
      </c>
      <c r="E1062" s="20" t="inlineStr">
        <is>
          <t>RENAULT</t>
        </is>
      </c>
      <c r="F1062" s="20" t="inlineStr">
        <is>
          <t>Kwid</t>
        </is>
      </c>
      <c r="G1062" s="21" t="n">
        <v>2016</v>
      </c>
      <c r="H1062" s="22" t="n">
        <v>72524</v>
      </c>
      <c r="I1062" s="23" t="n">
        <v>170000</v>
      </c>
      <c r="J1062" s="20" t="inlineStr">
        <is>
          <t>KALYANIMOTORS MARUTHI</t>
        </is>
      </c>
      <c r="K1062" s="20" t="inlineStr">
        <is>
          <t>Non-Captive</t>
        </is>
      </c>
      <c r="L1062" s="20" t="inlineStr">
        <is>
          <t>Nirmal Cars</t>
        </is>
      </c>
      <c r="M1062" s="23" t="n">
        <v>2542.37</v>
      </c>
      <c r="N1062" s="23" t="n">
        <v>3000</v>
      </c>
      <c r="O1062" s="24">
        <f>IF(AND(ISNUMBER(M1062), ISNUMBER(I1062), I1062&gt;0), M1062/I1062, "")</f>
        <v/>
      </c>
    </row>
    <row r="1063">
      <c r="A1063" s="19" t="inlineStr">
        <is>
          <t>FY26</t>
        </is>
      </c>
      <c r="B1063" s="19" t="inlineStr">
        <is>
          <t>Mar</t>
        </is>
      </c>
      <c r="C1063" s="19" t="inlineStr">
        <is>
          <t>TN</t>
        </is>
      </c>
      <c r="D1063" s="20" t="inlineStr">
        <is>
          <t>TN09CF7267</t>
        </is>
      </c>
      <c r="E1063" s="20" t="inlineStr">
        <is>
          <t>HYUNDAI</t>
        </is>
      </c>
      <c r="F1063" s="20" t="inlineStr">
        <is>
          <t>Grand I10</t>
        </is>
      </c>
      <c r="G1063" s="21" t="n">
        <v>2016</v>
      </c>
      <c r="H1063" s="22" t="n">
        <v>158309</v>
      </c>
      <c r="I1063" s="23" t="n">
        <v>180000</v>
      </c>
      <c r="J1063" s="20" t="inlineStr">
        <is>
          <t>KALYANIMOTORS MARUTHI</t>
        </is>
      </c>
      <c r="K1063" s="20" t="inlineStr">
        <is>
          <t>Non-Captive</t>
        </is>
      </c>
      <c r="L1063" s="20" t="inlineStr">
        <is>
          <t>Nirmal Cars</t>
        </is>
      </c>
      <c r="M1063" s="23" t="n">
        <v>2542.37</v>
      </c>
      <c r="N1063" s="23" t="n">
        <v>3000</v>
      </c>
      <c r="O1063" s="24">
        <f>IF(AND(ISNUMBER(M1063), ISNUMBER(I1063), I1063&gt;0), M1063/I1063, "")</f>
        <v/>
      </c>
    </row>
    <row r="1064">
      <c r="A1064" s="19" t="inlineStr">
        <is>
          <t>FY26</t>
        </is>
      </c>
      <c r="B1064" s="19" t="inlineStr">
        <is>
          <t>Mar</t>
        </is>
      </c>
      <c r="C1064" s="19" t="inlineStr">
        <is>
          <t>TN</t>
        </is>
      </c>
      <c r="D1064" s="20" t="inlineStr">
        <is>
          <t>TN12W5310</t>
        </is>
      </c>
      <c r="E1064" s="20" t="inlineStr">
        <is>
          <t>HYUNDAI</t>
        </is>
      </c>
      <c r="F1064" s="20" t="inlineStr">
        <is>
          <t>Xcent</t>
        </is>
      </c>
      <c r="G1064" s="21" t="n">
        <v>2017</v>
      </c>
      <c r="H1064" s="22" t="n">
        <v>156472</v>
      </c>
      <c r="I1064" s="23" t="n">
        <v>170000</v>
      </c>
      <c r="J1064" s="20" t="inlineStr">
        <is>
          <t>KALYANIMOTORS MARUTHI</t>
        </is>
      </c>
      <c r="K1064" s="20" t="inlineStr">
        <is>
          <t>Non-Captive</t>
        </is>
      </c>
      <c r="L1064" s="20" t="inlineStr">
        <is>
          <t>Nirmal Cars</t>
        </is>
      </c>
      <c r="M1064" s="23" t="n">
        <v>2542.37</v>
      </c>
      <c r="N1064" s="23" t="n">
        <v>3000</v>
      </c>
      <c r="O1064" s="24">
        <f>IF(AND(ISNUMBER(M1064), ISNUMBER(I1064), I1064&gt;0), M1064/I1064, "")</f>
        <v/>
      </c>
    </row>
    <row r="1065">
      <c r="A1065" s="19" t="inlineStr">
        <is>
          <t>FY26</t>
        </is>
      </c>
      <c r="B1065" s="19" t="inlineStr">
        <is>
          <t>Mar</t>
        </is>
      </c>
      <c r="C1065" s="19" t="inlineStr">
        <is>
          <t>TN</t>
        </is>
      </c>
      <c r="D1065" s="20" t="inlineStr">
        <is>
          <t>TN18BL2705</t>
        </is>
      </c>
      <c r="E1065" s="20" t="inlineStr">
        <is>
          <t>NISSAN</t>
        </is>
      </c>
      <c r="F1065" s="20" t="inlineStr">
        <is>
          <t>Magnite</t>
        </is>
      </c>
      <c r="G1065" s="21" t="n">
        <v>2023</v>
      </c>
      <c r="H1065" s="22" t="n">
        <v>16624</v>
      </c>
      <c r="I1065" s="23" t="n">
        <v>380000</v>
      </c>
      <c r="J1065" s="20" t="inlineStr">
        <is>
          <t>KALYANIMOTORS MARUTHI</t>
        </is>
      </c>
      <c r="K1065" s="20" t="inlineStr">
        <is>
          <t>Non-Captive</t>
        </is>
      </c>
      <c r="L1065" s="20" t="inlineStr">
        <is>
          <t>Nirmal Cars</t>
        </is>
      </c>
      <c r="M1065" s="23" t="n">
        <v>2542.37</v>
      </c>
      <c r="N1065" s="23" t="n">
        <v>3000</v>
      </c>
      <c r="O1065" s="24">
        <f>IF(AND(ISNUMBER(M1065), ISNUMBER(I1065), I1065&gt;0), M1065/I1065, "")</f>
        <v/>
      </c>
    </row>
    <row r="1066">
      <c r="A1066" s="19" t="inlineStr">
        <is>
          <t>FY26</t>
        </is>
      </c>
      <c r="B1066" s="19" t="inlineStr">
        <is>
          <t>Mar</t>
        </is>
      </c>
      <c r="C1066" s="19" t="inlineStr">
        <is>
          <t>TN</t>
        </is>
      </c>
      <c r="D1066" s="20" t="inlineStr">
        <is>
          <t>TN21BD3355</t>
        </is>
      </c>
      <c r="E1066" s="20" t="inlineStr">
        <is>
          <t>SKODA</t>
        </is>
      </c>
      <c r="F1066" s="20" t="inlineStr">
        <is>
          <t>Rapid</t>
        </is>
      </c>
      <c r="G1066" s="21" t="n">
        <v>2016</v>
      </c>
      <c r="H1066" s="22" t="n">
        <v>176443</v>
      </c>
      <c r="I1066" s="23" t="n">
        <v>325000</v>
      </c>
      <c r="J1066" s="20" t="inlineStr">
        <is>
          <t>KALYANIMOTORS MARUTHI</t>
        </is>
      </c>
      <c r="K1066" s="20" t="inlineStr">
        <is>
          <t>Non-Captive</t>
        </is>
      </c>
      <c r="L1066" s="20" t="inlineStr">
        <is>
          <t>Nirmal Cars</t>
        </is>
      </c>
      <c r="M1066" s="23" t="n">
        <v>2542.37</v>
      </c>
      <c r="N1066" s="23" t="n">
        <v>3000</v>
      </c>
      <c r="O1066" s="24">
        <f>IF(AND(ISNUMBER(M1066), ISNUMBER(I1066), I1066&gt;0), M1066/I1066, "")</f>
        <v/>
      </c>
    </row>
    <row r="1067">
      <c r="A1067" s="19" t="inlineStr">
        <is>
          <t>FY26</t>
        </is>
      </c>
      <c r="B1067" s="19" t="inlineStr">
        <is>
          <t>Mar</t>
        </is>
      </c>
      <c r="C1067" s="19" t="inlineStr">
        <is>
          <t>TN</t>
        </is>
      </c>
      <c r="D1067" s="20" t="inlineStr">
        <is>
          <t>KL21P1815</t>
        </is>
      </c>
      <c r="E1067" s="20" t="inlineStr">
        <is>
          <t>SKODA</t>
        </is>
      </c>
      <c r="F1067" s="20" t="inlineStr">
        <is>
          <t>Rapid</t>
        </is>
      </c>
      <c r="G1067" s="21" t="n">
        <v>2017</v>
      </c>
      <c r="H1067" s="22" t="n">
        <v>38921</v>
      </c>
      <c r="I1067" s="23" t="n">
        <v>400000</v>
      </c>
      <c r="J1067" s="20" t="inlineStr">
        <is>
          <t>Khivraj Motor</t>
        </is>
      </c>
      <c r="K1067" s="20" t="inlineStr">
        <is>
          <t>Non-Captive</t>
        </is>
      </c>
      <c r="L1067" s="20" t="inlineStr">
        <is>
          <t>Nirmal Cars</t>
        </is>
      </c>
      <c r="M1067" s="23" t="n">
        <v>3389.83</v>
      </c>
      <c r="N1067" s="23" t="n">
        <v>4000</v>
      </c>
      <c r="O1067" s="24">
        <f>IF(AND(ISNUMBER(M1067), ISNUMBER(I1067), I1067&gt;0), M1067/I1067, "")</f>
        <v/>
      </c>
    </row>
    <row r="1068">
      <c r="A1068" s="19" t="inlineStr">
        <is>
          <t>FY26</t>
        </is>
      </c>
      <c r="B1068" s="19" t="inlineStr">
        <is>
          <t>Mar</t>
        </is>
      </c>
      <c r="C1068" s="19" t="inlineStr">
        <is>
          <t>TN</t>
        </is>
      </c>
      <c r="D1068" s="20" t="inlineStr">
        <is>
          <t>TN19C9806</t>
        </is>
      </c>
      <c r="E1068" s="20" t="inlineStr">
        <is>
          <t>MARUTI SUZUKI</t>
        </is>
      </c>
      <c r="F1068" s="20" t="inlineStr">
        <is>
          <t>Swift Dzire</t>
        </is>
      </c>
      <c r="G1068" s="21" t="n">
        <v>2011</v>
      </c>
      <c r="H1068" s="22" t="n">
        <v>122895</v>
      </c>
      <c r="I1068" s="23" t="n">
        <v>190000</v>
      </c>
      <c r="J1068" s="20" t="inlineStr">
        <is>
          <t>EXCHANGE CHENNAI</t>
        </is>
      </c>
      <c r="K1068" s="20" t="inlineStr">
        <is>
          <t>Captive</t>
        </is>
      </c>
      <c r="L1068" s="20" t="inlineStr">
        <is>
          <t>Grand Cars</t>
        </is>
      </c>
      <c r="M1068" s="23" t="n">
        <v>8474.58</v>
      </c>
      <c r="N1068" s="23" t="n">
        <v>10000</v>
      </c>
      <c r="O1068" s="24">
        <f>IF(AND(ISNUMBER(M1068), ISNUMBER(I1068), I1068&gt;0), M1068/I1068, "")</f>
        <v/>
      </c>
    </row>
    <row r="1069">
      <c r="A1069" s="19" t="inlineStr">
        <is>
          <t>FY26</t>
        </is>
      </c>
      <c r="B1069" s="19" t="inlineStr">
        <is>
          <t>Mar</t>
        </is>
      </c>
      <c r="C1069" s="19" t="inlineStr">
        <is>
          <t>TN</t>
        </is>
      </c>
      <c r="D1069" s="20" t="inlineStr">
        <is>
          <t>TN06R2587</t>
        </is>
      </c>
      <c r="E1069" s="20" t="inlineStr">
        <is>
          <t>HONDA</t>
        </is>
      </c>
      <c r="F1069" s="20" t="inlineStr">
        <is>
          <t>Amaze</t>
        </is>
      </c>
      <c r="G1069" s="21" t="n">
        <v>2016</v>
      </c>
      <c r="H1069" s="22" t="n">
        <v>119017</v>
      </c>
      <c r="I1069" s="23" t="n">
        <v>250000</v>
      </c>
      <c r="J1069" s="20" t="inlineStr">
        <is>
          <t>EXCHANGE CHENNAI</t>
        </is>
      </c>
      <c r="K1069" s="20" t="inlineStr">
        <is>
          <t>Captive</t>
        </is>
      </c>
      <c r="L1069" s="20" t="inlineStr">
        <is>
          <t>Santhosh Cars</t>
        </is>
      </c>
      <c r="M1069" s="23" t="n">
        <v>8474.58</v>
      </c>
      <c r="N1069" s="23" t="n">
        <v>10000</v>
      </c>
      <c r="O1069" s="24">
        <f>IF(AND(ISNUMBER(M1069), ISNUMBER(I1069), I1069&gt;0), M1069/I1069, "")</f>
        <v/>
      </c>
    </row>
    <row r="1070">
      <c r="A1070" s="19" t="inlineStr">
        <is>
          <t>FY26</t>
        </is>
      </c>
      <c r="B1070" s="19" t="inlineStr">
        <is>
          <t>Mar</t>
        </is>
      </c>
      <c r="C1070" s="19" t="inlineStr">
        <is>
          <t>TN</t>
        </is>
      </c>
      <c r="D1070" s="20" t="inlineStr">
        <is>
          <t>TN38AT8500</t>
        </is>
      </c>
      <c r="E1070" s="20" t="inlineStr">
        <is>
          <t>HONDA</t>
        </is>
      </c>
      <c r="F1070" s="20" t="inlineStr">
        <is>
          <t>City</t>
        </is>
      </c>
      <c r="G1070" s="21" t="n">
        <v>2008</v>
      </c>
      <c r="H1070" s="22" t="n">
        <v>124881</v>
      </c>
      <c r="I1070" s="23" t="n">
        <v>60000</v>
      </c>
      <c r="J1070" s="20" t="inlineStr">
        <is>
          <t>EXCHANGE ROTN</t>
        </is>
      </c>
      <c r="K1070" s="20" t="inlineStr">
        <is>
          <t>Captive</t>
        </is>
      </c>
      <c r="L1070" s="20" t="inlineStr">
        <is>
          <t>UZHAVAN ENTERPRISE</t>
        </is>
      </c>
      <c r="M1070" s="23" t="n">
        <v>4237.29</v>
      </c>
      <c r="N1070" s="23" t="n">
        <v>5000</v>
      </c>
      <c r="O1070" s="24">
        <f>IF(AND(ISNUMBER(M1070), ISNUMBER(I1070), I1070&gt;0), M1070/I1070, "")</f>
        <v/>
      </c>
    </row>
    <row r="1071">
      <c r="A1071" s="19" t="inlineStr">
        <is>
          <t>FY26</t>
        </is>
      </c>
      <c r="B1071" s="19" t="inlineStr">
        <is>
          <t>Mar</t>
        </is>
      </c>
      <c r="C1071" s="19" t="inlineStr">
        <is>
          <t>TN</t>
        </is>
      </c>
      <c r="D1071" s="20" t="inlineStr">
        <is>
          <t>TN07BY6510</t>
        </is>
      </c>
      <c r="E1071" s="20" t="inlineStr">
        <is>
          <t>HONDA</t>
        </is>
      </c>
      <c r="F1071" s="20" t="inlineStr">
        <is>
          <t>City</t>
        </is>
      </c>
      <c r="G1071" s="21" t="n">
        <v>2014</v>
      </c>
      <c r="H1071" s="22" t="n">
        <v>60454</v>
      </c>
      <c r="I1071" s="23" t="n">
        <v>350000</v>
      </c>
      <c r="J1071" s="20" t="inlineStr">
        <is>
          <t>EXCHANGE CHENNAI</t>
        </is>
      </c>
      <c r="K1071" s="20" t="inlineStr">
        <is>
          <t>Captive</t>
        </is>
      </c>
      <c r="L1071" s="20" t="inlineStr">
        <is>
          <t>AAA Cars</t>
        </is>
      </c>
      <c r="M1071" s="23" t="n">
        <v>8474.58</v>
      </c>
      <c r="N1071" s="23" t="n">
        <v>10000</v>
      </c>
      <c r="O1071" s="24">
        <f>IF(AND(ISNUMBER(M1071), ISNUMBER(I1071), I1071&gt;0), M1071/I1071, "")</f>
        <v/>
      </c>
    </row>
    <row r="1072">
      <c r="A1072" s="19" t="inlineStr">
        <is>
          <t>FY26</t>
        </is>
      </c>
      <c r="B1072" s="19" t="inlineStr">
        <is>
          <t>Mar</t>
        </is>
      </c>
      <c r="C1072" s="19" t="inlineStr">
        <is>
          <t>TN</t>
        </is>
      </c>
      <c r="D1072" s="20" t="inlineStr">
        <is>
          <t>TN05AS8452</t>
        </is>
      </c>
      <c r="E1072" s="20" t="inlineStr">
        <is>
          <t>MARUTI SUZUKI</t>
        </is>
      </c>
      <c r="F1072" s="20" t="inlineStr">
        <is>
          <t>Wagon R</t>
        </is>
      </c>
      <c r="G1072" s="21" t="n">
        <v>2013</v>
      </c>
      <c r="H1072" s="22" t="n">
        <v>87412</v>
      </c>
      <c r="I1072" s="23" t="n">
        <v>235000</v>
      </c>
      <c r="J1072" s="20" t="inlineStr">
        <is>
          <t>EXCHANGE CHENNAI</t>
        </is>
      </c>
      <c r="K1072" s="20" t="inlineStr">
        <is>
          <t>Captive</t>
        </is>
      </c>
      <c r="L1072" s="20" t="inlineStr">
        <is>
          <t>Ashok Cars</t>
        </is>
      </c>
      <c r="M1072" s="23" t="n">
        <v>5932.2</v>
      </c>
      <c r="N1072" s="23" t="n">
        <v>7000</v>
      </c>
      <c r="O1072" s="24">
        <f>IF(AND(ISNUMBER(M1072), ISNUMBER(I1072), I1072&gt;0), M1072/I1072, "")</f>
        <v/>
      </c>
    </row>
    <row r="1073">
      <c r="A1073" s="19" t="inlineStr">
        <is>
          <t>FY26</t>
        </is>
      </c>
      <c r="B1073" s="19" t="inlineStr">
        <is>
          <t>Mar</t>
        </is>
      </c>
      <c r="C1073" s="19" t="inlineStr">
        <is>
          <t>TN</t>
        </is>
      </c>
      <c r="D1073" s="20" t="inlineStr">
        <is>
          <t>TN10Q1375</t>
        </is>
      </c>
      <c r="E1073" s="20" t="inlineStr">
        <is>
          <t>HONDA</t>
        </is>
      </c>
      <c r="F1073" s="20" t="inlineStr">
        <is>
          <t>City</t>
        </is>
      </c>
      <c r="G1073" s="21" t="n">
        <v>2006</v>
      </c>
      <c r="H1073" s="22" t="n">
        <v>132009</v>
      </c>
      <c r="I1073" s="23" t="n">
        <v>77000</v>
      </c>
      <c r="J1073" s="20" t="inlineStr">
        <is>
          <t>EXCHANGE CHENNAI</t>
        </is>
      </c>
      <c r="K1073" s="20" t="inlineStr">
        <is>
          <t>Captive</t>
        </is>
      </c>
      <c r="L1073" s="20" t="inlineStr">
        <is>
          <t>Santhosh Cars</t>
        </is>
      </c>
      <c r="M1073" s="23" t="n">
        <v>8474.58</v>
      </c>
      <c r="N1073" s="23" t="n">
        <v>10000</v>
      </c>
      <c r="O1073" s="24">
        <f>IF(AND(ISNUMBER(M1073), ISNUMBER(I1073), I1073&gt;0), M1073/I1073, "")</f>
        <v/>
      </c>
    </row>
    <row r="1074">
      <c r="A1074" s="19" t="inlineStr">
        <is>
          <t>FY26</t>
        </is>
      </c>
      <c r="B1074" s="19" t="inlineStr">
        <is>
          <t>Mar</t>
        </is>
      </c>
      <c r="C1074" s="19" t="inlineStr">
        <is>
          <t>TN</t>
        </is>
      </c>
      <c r="D1074" s="20" t="inlineStr">
        <is>
          <t>DL3CCE6673</t>
        </is>
      </c>
      <c r="E1074" s="20" t="inlineStr">
        <is>
          <t>HONDA</t>
        </is>
      </c>
      <c r="F1074" s="20" t="inlineStr">
        <is>
          <t>Jazz</t>
        </is>
      </c>
      <c r="G1074" s="21" t="n">
        <v>2016</v>
      </c>
      <c r="H1074" s="22" t="n">
        <v>81658</v>
      </c>
      <c r="I1074" s="23" t="n">
        <v>250000</v>
      </c>
      <c r="J1074" s="20" t="inlineStr">
        <is>
          <t>EXCHANGE ROTN</t>
        </is>
      </c>
      <c r="K1074" s="20" t="inlineStr">
        <is>
          <t>Captive</t>
        </is>
      </c>
      <c r="L1074" s="20" t="inlineStr">
        <is>
          <t>MS Cars</t>
        </is>
      </c>
      <c r="M1074" s="23" t="n">
        <v>5932.2</v>
      </c>
      <c r="N1074" s="23" t="n">
        <v>7000</v>
      </c>
      <c r="O1074" s="24">
        <f>IF(AND(ISNUMBER(M1074), ISNUMBER(I1074), I1074&gt;0), M1074/I1074, "")</f>
        <v/>
      </c>
    </row>
    <row r="1075">
      <c r="A1075" s="19" t="inlineStr">
        <is>
          <t>FY26</t>
        </is>
      </c>
      <c r="B1075" s="19" t="inlineStr">
        <is>
          <t>Mar</t>
        </is>
      </c>
      <c r="C1075" s="19" t="inlineStr">
        <is>
          <t>TN</t>
        </is>
      </c>
      <c r="D1075" s="20" t="inlineStr">
        <is>
          <t>TN59BY6674</t>
        </is>
      </c>
      <c r="E1075" s="20" t="inlineStr">
        <is>
          <t>MARUTI SUZUKI</t>
        </is>
      </c>
      <c r="F1075" s="20" t="inlineStr">
        <is>
          <t>Alto</t>
        </is>
      </c>
      <c r="G1075" s="21" t="n">
        <v>2013</v>
      </c>
      <c r="H1075" s="22" t="n">
        <v>86302</v>
      </c>
      <c r="I1075" s="23" t="n">
        <v>160000</v>
      </c>
      <c r="J1075" s="20" t="inlineStr">
        <is>
          <t>EXCHANGE ROTN</t>
        </is>
      </c>
      <c r="K1075" s="20" t="inlineStr">
        <is>
          <t>Captive</t>
        </is>
      </c>
      <c r="L1075" s="20" t="inlineStr">
        <is>
          <t>Paul cars</t>
        </is>
      </c>
      <c r="M1075" s="23" t="n">
        <v>4237.29</v>
      </c>
      <c r="N1075" s="23" t="n">
        <v>5000</v>
      </c>
      <c r="O1075" s="24">
        <f>IF(AND(ISNUMBER(M1075), ISNUMBER(I1075), I1075&gt;0), M1075/I1075, "")</f>
        <v/>
      </c>
    </row>
    <row r="1076">
      <c r="A1076" s="19" t="inlineStr">
        <is>
          <t>FY26</t>
        </is>
      </c>
      <c r="B1076" s="19" t="inlineStr">
        <is>
          <t>Mar</t>
        </is>
      </c>
      <c r="C1076" s="19" t="inlineStr">
        <is>
          <t>TN</t>
        </is>
      </c>
      <c r="D1076" s="20" t="inlineStr">
        <is>
          <t>TN06R2455</t>
        </is>
      </c>
      <c r="E1076" s="20" t="inlineStr">
        <is>
          <t>HONDA</t>
        </is>
      </c>
      <c r="F1076" s="20" t="inlineStr">
        <is>
          <t>City</t>
        </is>
      </c>
      <c r="G1076" s="21" t="n">
        <v>2016</v>
      </c>
      <c r="H1076" s="22" t="n">
        <v>274887</v>
      </c>
      <c r="I1076" s="23" t="n">
        <v>500000</v>
      </c>
      <c r="J1076" s="20" t="inlineStr">
        <is>
          <t>EXCHANGE CHENNAI</t>
        </is>
      </c>
      <c r="K1076" s="20" t="inlineStr">
        <is>
          <t>Captive</t>
        </is>
      </c>
      <c r="L1076" s="20" t="inlineStr">
        <is>
          <t>Barani Cars</t>
        </is>
      </c>
      <c r="M1076" s="23" t="n">
        <v>8474.58</v>
      </c>
      <c r="N1076" s="23" t="n">
        <v>10000</v>
      </c>
      <c r="O1076" s="24">
        <f>IF(AND(ISNUMBER(M1076), ISNUMBER(I1076), I1076&gt;0), M1076/I1076, "")</f>
        <v/>
      </c>
    </row>
    <row r="1077">
      <c r="A1077" s="19" t="inlineStr">
        <is>
          <t>FY26</t>
        </is>
      </c>
      <c r="B1077" s="19" t="inlineStr">
        <is>
          <t>Mar</t>
        </is>
      </c>
      <c r="C1077" s="19" t="inlineStr">
        <is>
          <t>TN</t>
        </is>
      </c>
      <c r="D1077" s="20" t="inlineStr">
        <is>
          <t>TN10T9993</t>
        </is>
      </c>
      <c r="E1077" s="20" t="inlineStr">
        <is>
          <t>MARUTI SUZUKI</t>
        </is>
      </c>
      <c r="F1077" s="20" t="inlineStr">
        <is>
          <t>Sx4</t>
        </is>
      </c>
      <c r="G1077" s="21" t="n">
        <v>2008</v>
      </c>
      <c r="H1077" s="22" t="n">
        <v>153514</v>
      </c>
      <c r="I1077" s="23" t="n">
        <v>110000</v>
      </c>
      <c r="J1077" s="20" t="inlineStr">
        <is>
          <t>EXCHANGE CHENNAI</t>
        </is>
      </c>
      <c r="K1077" s="20" t="inlineStr">
        <is>
          <t>Captive</t>
        </is>
      </c>
      <c r="L1077" s="20" t="inlineStr">
        <is>
          <t>Ashok Cars</t>
        </is>
      </c>
      <c r="M1077" s="23" t="n">
        <v>4237.29</v>
      </c>
      <c r="N1077" s="23" t="n">
        <v>5000</v>
      </c>
      <c r="O1077" s="24">
        <f>IF(AND(ISNUMBER(M1077), ISNUMBER(I1077), I1077&gt;0), M1077/I1077, "")</f>
        <v/>
      </c>
    </row>
    <row r="1078">
      <c r="A1078" s="19" t="inlineStr">
        <is>
          <t>FY26</t>
        </is>
      </c>
      <c r="B1078" s="19" t="inlineStr">
        <is>
          <t>Mar</t>
        </is>
      </c>
      <c r="C1078" s="19" t="inlineStr">
        <is>
          <t>TN</t>
        </is>
      </c>
      <c r="D1078" s="20" t="inlineStr">
        <is>
          <t>TN19BV7995</t>
        </is>
      </c>
      <c r="E1078" s="20" t="inlineStr">
        <is>
          <t>MAHINDRA</t>
        </is>
      </c>
      <c r="F1078" s="20" t="inlineStr">
        <is>
          <t>Bolero</t>
        </is>
      </c>
      <c r="G1078" s="21" t="n">
        <v>2022</v>
      </c>
      <c r="H1078" s="22" t="n">
        <v>36754</v>
      </c>
      <c r="I1078" s="23" t="n">
        <v>750000</v>
      </c>
      <c r="J1078" s="20" t="inlineStr">
        <is>
          <t>Santhosh Cars</t>
        </is>
      </c>
      <c r="K1078" s="20" t="inlineStr">
        <is>
          <t>Non-Captive</t>
        </is>
      </c>
      <c r="L1078" s="20" t="inlineStr">
        <is>
          <t>Kamal Cars</t>
        </is>
      </c>
      <c r="M1078" s="23" t="n">
        <v>2542.37</v>
      </c>
      <c r="N1078" s="23" t="n">
        <v>3000</v>
      </c>
      <c r="O1078" s="24">
        <f>IF(AND(ISNUMBER(M1078), ISNUMBER(I1078), I1078&gt;0), M1078/I1078, "")</f>
        <v/>
      </c>
    </row>
    <row r="1079">
      <c r="A1079" s="19" t="inlineStr">
        <is>
          <t>FY26</t>
        </is>
      </c>
      <c r="B1079" s="19" t="inlineStr">
        <is>
          <t>Mar</t>
        </is>
      </c>
      <c r="C1079" s="19" t="inlineStr">
        <is>
          <t>TN</t>
        </is>
      </c>
      <c r="D1079" s="20" t="inlineStr">
        <is>
          <t>TN29AE9406</t>
        </is>
      </c>
      <c r="E1079" s="20" t="inlineStr">
        <is>
          <t>MARUTI SUZUKI</t>
        </is>
      </c>
      <c r="F1079" s="20" t="inlineStr">
        <is>
          <t>Swift</t>
        </is>
      </c>
      <c r="G1079" s="21" t="n">
        <v>2010</v>
      </c>
      <c r="H1079" s="22" t="n">
        <v>50553</v>
      </c>
      <c r="I1079" s="23" t="n">
        <v>150000</v>
      </c>
      <c r="J1079" s="20" t="inlineStr">
        <is>
          <t>Santhosh Cars</t>
        </is>
      </c>
      <c r="K1079" s="20" t="inlineStr">
        <is>
          <t>Non-Captive</t>
        </is>
      </c>
      <c r="L1079" s="20" t="inlineStr">
        <is>
          <t>Kamal Cars</t>
        </is>
      </c>
      <c r="M1079" s="23" t="n">
        <v>2542.37</v>
      </c>
      <c r="N1079" s="23" t="n">
        <v>3000</v>
      </c>
      <c r="O1079" s="24">
        <f>IF(AND(ISNUMBER(M1079), ISNUMBER(I1079), I1079&gt;0), M1079/I1079, "")</f>
        <v/>
      </c>
    </row>
    <row r="1080">
      <c r="A1080" s="19" t="inlineStr">
        <is>
          <t>FY26</t>
        </is>
      </c>
      <c r="B1080" s="19" t="inlineStr">
        <is>
          <t>Mar</t>
        </is>
      </c>
      <c r="C1080" s="19" t="inlineStr">
        <is>
          <t>TN</t>
        </is>
      </c>
      <c r="D1080" s="20" t="inlineStr">
        <is>
          <t>TN04AW6152</t>
        </is>
      </c>
      <c r="E1080" s="20" t="inlineStr">
        <is>
          <t>MARUTI SUZUKI</t>
        </is>
      </c>
      <c r="F1080" s="20" t="inlineStr">
        <is>
          <t>Swift</t>
        </is>
      </c>
      <c r="G1080" s="21" t="n">
        <v>2019</v>
      </c>
      <c r="H1080" s="22" t="n">
        <v>54558</v>
      </c>
      <c r="I1080" s="23" t="n">
        <v>450000</v>
      </c>
      <c r="J1080" s="20" t="inlineStr">
        <is>
          <t>Santhosh Cars</t>
        </is>
      </c>
      <c r="K1080" s="20" t="inlineStr">
        <is>
          <t>Non-Captive</t>
        </is>
      </c>
      <c r="L1080" s="20" t="inlineStr">
        <is>
          <t>Kamal Cars</t>
        </is>
      </c>
      <c r="M1080" s="23" t="n">
        <v>2542.37</v>
      </c>
      <c r="N1080" s="23" t="n">
        <v>3000</v>
      </c>
      <c r="O1080" s="24">
        <f>IF(AND(ISNUMBER(M1080), ISNUMBER(I1080), I1080&gt;0), M1080/I1080, "")</f>
        <v/>
      </c>
    </row>
    <row r="1081">
      <c r="A1081" s="19" t="inlineStr">
        <is>
          <t>FY26</t>
        </is>
      </c>
      <c r="B1081" s="19" t="inlineStr">
        <is>
          <t>Mar</t>
        </is>
      </c>
      <c r="C1081" s="19" t="inlineStr">
        <is>
          <t>TN</t>
        </is>
      </c>
      <c r="D1081" s="20" t="inlineStr">
        <is>
          <t>TN10AD6477</t>
        </is>
      </c>
      <c r="E1081" s="20" t="inlineStr">
        <is>
          <t>MARUTI SUZUKI</t>
        </is>
      </c>
      <c r="F1081" s="20" t="inlineStr">
        <is>
          <t>Wagon R</t>
        </is>
      </c>
      <c r="G1081" s="21" t="n">
        <v>2011</v>
      </c>
      <c r="H1081" s="22" t="n">
        <v>77372</v>
      </c>
      <c r="I1081" s="23" t="n">
        <v>170000</v>
      </c>
      <c r="J1081" s="20" t="inlineStr">
        <is>
          <t>Santhosh Cars</t>
        </is>
      </c>
      <c r="K1081" s="20" t="inlineStr">
        <is>
          <t>Non-Captive</t>
        </is>
      </c>
      <c r="L1081" s="20" t="inlineStr">
        <is>
          <t>Kamal Cars</t>
        </is>
      </c>
      <c r="M1081" s="23" t="n">
        <v>2542.37</v>
      </c>
      <c r="N1081" s="23" t="n">
        <v>3000</v>
      </c>
      <c r="O1081" s="24">
        <f>IF(AND(ISNUMBER(M1081), ISNUMBER(I1081), I1081&gt;0), M1081/I1081, "")</f>
        <v/>
      </c>
    </row>
    <row r="1082">
      <c r="A1082" s="19" t="inlineStr">
        <is>
          <t>FY26</t>
        </is>
      </c>
      <c r="B1082" s="19" t="inlineStr">
        <is>
          <t>Mar</t>
        </is>
      </c>
      <c r="C1082" s="19" t="inlineStr">
        <is>
          <t>TN</t>
        </is>
      </c>
      <c r="D1082" s="20" t="inlineStr">
        <is>
          <t>TN12K7855</t>
        </is>
      </c>
      <c r="E1082" s="20" t="inlineStr">
        <is>
          <t>MARUTI SUZUKI</t>
        </is>
      </c>
      <c r="F1082" s="20" t="inlineStr">
        <is>
          <t>Swift Dzire</t>
        </is>
      </c>
      <c r="G1082" s="21" t="n">
        <v>2015</v>
      </c>
      <c r="H1082" s="22" t="n">
        <v>89070</v>
      </c>
      <c r="I1082" s="23" t="n">
        <v>375000</v>
      </c>
      <c r="J1082" s="20" t="inlineStr">
        <is>
          <t>CBE CARS</t>
        </is>
      </c>
      <c r="K1082" s="20" t="inlineStr">
        <is>
          <t>Non-Captive</t>
        </is>
      </c>
      <c r="L1082" s="20" t="inlineStr">
        <is>
          <t>Sai Cars</t>
        </is>
      </c>
      <c r="M1082" s="23" t="n">
        <v>4237.29</v>
      </c>
      <c r="N1082" s="23" t="n">
        <v>5000</v>
      </c>
      <c r="O1082" s="24">
        <f>IF(AND(ISNUMBER(M1082), ISNUMBER(I1082), I1082&gt;0), M1082/I1082, "")</f>
        <v/>
      </c>
    </row>
    <row r="1083">
      <c r="A1083" s="19" t="inlineStr">
        <is>
          <t>FY27</t>
        </is>
      </c>
      <c r="B1083" s="19" t="inlineStr">
        <is>
          <t>Apr</t>
        </is>
      </c>
      <c r="C1083" s="19" t="inlineStr">
        <is>
          <t>TN</t>
        </is>
      </c>
      <c r="D1083" s="20" t="inlineStr">
        <is>
          <t>TN07CQ7377</t>
        </is>
      </c>
      <c r="E1083" s="20" t="inlineStr">
        <is>
          <t>MARUTI SUZUKI</t>
        </is>
      </c>
      <c r="F1083" s="20" t="inlineStr">
        <is>
          <t>Swift Dzire</t>
        </is>
      </c>
      <c r="G1083" s="21" t="n">
        <v>2018</v>
      </c>
      <c r="H1083" s="22" t="n">
        <v>24122</v>
      </c>
      <c r="I1083" s="23" t="n">
        <v>460000</v>
      </c>
      <c r="J1083" s="20" t="inlineStr">
        <is>
          <t>Khivraj Motor</t>
        </is>
      </c>
      <c r="K1083" s="20" t="inlineStr">
        <is>
          <t>Non-Captive</t>
        </is>
      </c>
      <c r="L1083" s="20" t="inlineStr">
        <is>
          <t>Kamal Cars</t>
        </is>
      </c>
      <c r="M1083" s="23" t="n">
        <v>8474.58</v>
      </c>
      <c r="N1083" s="23" t="n">
        <v>10000</v>
      </c>
      <c r="O1083" s="24">
        <f>IF(AND(ISNUMBER(M1083), ISNUMBER(I1083), I1083&gt;0), M1083/I1083, "")</f>
        <v/>
      </c>
    </row>
    <row r="1084">
      <c r="A1084" s="19" t="inlineStr">
        <is>
          <t>FY27</t>
        </is>
      </c>
      <c r="B1084" s="19" t="inlineStr">
        <is>
          <t>Apr</t>
        </is>
      </c>
      <c r="C1084" s="19" t="inlineStr">
        <is>
          <t>TN</t>
        </is>
      </c>
      <c r="D1084" s="20" t="inlineStr">
        <is>
          <t>TN144459</t>
        </is>
      </c>
      <c r="E1084" s="20" t="inlineStr">
        <is>
          <t>FORD</t>
        </is>
      </c>
      <c r="F1084" s="20" t="inlineStr">
        <is>
          <t>Figo</t>
        </is>
      </c>
      <c r="G1084" s="21" t="n">
        <v>2014</v>
      </c>
      <c r="H1084" s="22" t="n">
        <v>23280</v>
      </c>
      <c r="I1084" s="23" t="n">
        <v>164000</v>
      </c>
      <c r="J1084" s="20" t="inlineStr">
        <is>
          <t>Khivraj Motor</t>
        </is>
      </c>
      <c r="K1084" s="20" t="inlineStr">
        <is>
          <t>Non-Captive</t>
        </is>
      </c>
      <c r="L1084" s="20" t="inlineStr">
        <is>
          <t>AAA Cars</t>
        </is>
      </c>
      <c r="M1084" s="23" t="n">
        <v>5084.75</v>
      </c>
      <c r="N1084" s="23" t="n">
        <v>6000</v>
      </c>
      <c r="O1084" s="24">
        <f>IF(AND(ISNUMBER(M1084), ISNUMBER(I1084), I1084&gt;0), M1084/I1084, "")</f>
        <v/>
      </c>
    </row>
    <row r="1085">
      <c r="A1085" s="19" t="inlineStr">
        <is>
          <t>FY27</t>
        </is>
      </c>
      <c r="B1085" s="19" t="inlineStr">
        <is>
          <t>Apr</t>
        </is>
      </c>
      <c r="C1085" s="19" t="inlineStr">
        <is>
          <t>TN</t>
        </is>
      </c>
      <c r="D1085" s="20" t="inlineStr">
        <is>
          <t>TN85K4642</t>
        </is>
      </c>
      <c r="E1085" s="20" t="inlineStr">
        <is>
          <t>MARUTI SUZUKI</t>
        </is>
      </c>
      <c r="F1085" s="20" t="inlineStr">
        <is>
          <t>Wagon R</t>
        </is>
      </c>
      <c r="G1085" s="21" t="n">
        <v>2019</v>
      </c>
      <c r="H1085" s="22" t="n">
        <v>89466</v>
      </c>
      <c r="I1085" s="23" t="n">
        <v>377500</v>
      </c>
      <c r="J1085" s="20" t="inlineStr">
        <is>
          <t>Khivraj Motor</t>
        </is>
      </c>
      <c r="K1085" s="20" t="inlineStr">
        <is>
          <t>Non-Captive</t>
        </is>
      </c>
      <c r="L1085" s="20" t="inlineStr">
        <is>
          <t>Varadhrajan cars</t>
        </is>
      </c>
      <c r="M1085" s="23" t="n">
        <v>6355.93</v>
      </c>
      <c r="N1085" s="23" t="n">
        <v>7500</v>
      </c>
      <c r="O1085" s="24">
        <f>IF(AND(ISNUMBER(M1085), ISNUMBER(I1085), I1085&gt;0), M1085/I1085, "")</f>
        <v/>
      </c>
    </row>
    <row r="1086">
      <c r="A1086" s="19" t="inlineStr">
        <is>
          <t>FY27</t>
        </is>
      </c>
      <c r="B1086" s="19" t="inlineStr">
        <is>
          <t>Apr</t>
        </is>
      </c>
      <c r="C1086" s="19" t="inlineStr">
        <is>
          <t>TN</t>
        </is>
      </c>
      <c r="D1086" s="20" t="inlineStr">
        <is>
          <t>TN01V5216</t>
        </is>
      </c>
      <c r="E1086" s="20" t="inlineStr">
        <is>
          <t>MARUTI SUZUKI</t>
        </is>
      </c>
      <c r="F1086" s="20" t="inlineStr">
        <is>
          <t>M800</t>
        </is>
      </c>
      <c r="G1086" s="21" t="n">
        <v>2003</v>
      </c>
      <c r="H1086" s="22" t="n">
        <v>83655</v>
      </c>
      <c r="I1086" s="23" t="n">
        <v>40000</v>
      </c>
      <c r="J1086" s="20" t="inlineStr">
        <is>
          <t>Khivraj Motor</t>
        </is>
      </c>
      <c r="K1086" s="20" t="inlineStr">
        <is>
          <t>Non-Captive</t>
        </is>
      </c>
      <c r="L1086" s="20" t="inlineStr">
        <is>
          <t>AAA Cars</t>
        </is>
      </c>
      <c r="M1086" s="23" t="n">
        <v>4237.29</v>
      </c>
      <c r="N1086" s="23" t="n">
        <v>5000</v>
      </c>
      <c r="O1086" s="24">
        <f>IF(AND(ISNUMBER(M1086), ISNUMBER(I1086), I1086&gt;0), M1086/I1086, "")</f>
        <v/>
      </c>
    </row>
    <row r="1087">
      <c r="A1087" s="19" t="inlineStr">
        <is>
          <t>FY27</t>
        </is>
      </c>
      <c r="B1087" s="19" t="inlineStr">
        <is>
          <t>Apr</t>
        </is>
      </c>
      <c r="C1087" s="19" t="inlineStr">
        <is>
          <t>TN</t>
        </is>
      </c>
      <c r="D1087" s="20" t="inlineStr">
        <is>
          <t>TN02BS9654</t>
        </is>
      </c>
      <c r="E1087" s="20" t="inlineStr">
        <is>
          <t>MARUTI SUZUKI</t>
        </is>
      </c>
      <c r="F1087" s="20" t="inlineStr">
        <is>
          <t>Ertiga</t>
        </is>
      </c>
      <c r="G1087" s="21" t="n">
        <v>2020</v>
      </c>
      <c r="H1087" s="22" t="n">
        <v>51432</v>
      </c>
      <c r="I1087" s="23" t="n">
        <v>715000</v>
      </c>
      <c r="J1087" s="20" t="inlineStr">
        <is>
          <t>Khivraj Motor</t>
        </is>
      </c>
      <c r="K1087" s="20" t="inlineStr">
        <is>
          <t>Non-Captive</t>
        </is>
      </c>
      <c r="L1087" s="20" t="inlineStr">
        <is>
          <t>Kamal Cars</t>
        </is>
      </c>
      <c r="M1087" s="23" t="n">
        <v>12711.86</v>
      </c>
      <c r="N1087" s="23" t="n">
        <v>15000</v>
      </c>
      <c r="O1087" s="24">
        <f>IF(AND(ISNUMBER(M1087), ISNUMBER(I1087), I1087&gt;0), M1087/I1087, "")</f>
        <v/>
      </c>
    </row>
    <row r="1088">
      <c r="A1088" s="19" t="inlineStr">
        <is>
          <t>FY27</t>
        </is>
      </c>
      <c r="B1088" s="19" t="inlineStr">
        <is>
          <t>Apr</t>
        </is>
      </c>
      <c r="C1088" s="19" t="inlineStr">
        <is>
          <t>TN</t>
        </is>
      </c>
      <c r="D1088" s="20" t="inlineStr">
        <is>
          <t>TN13W3935</t>
        </is>
      </c>
      <c r="E1088" s="20" t="inlineStr">
        <is>
          <t>MARUTI SUZUKI</t>
        </is>
      </c>
      <c r="F1088" s="20" t="inlineStr">
        <is>
          <t>Wagon R</t>
        </is>
      </c>
      <c r="G1088" s="21" t="n">
        <v>2021</v>
      </c>
      <c r="H1088" s="22" t="n">
        <v>51478</v>
      </c>
      <c r="I1088" s="23" t="n">
        <v>440000</v>
      </c>
      <c r="J1088" s="20" t="inlineStr">
        <is>
          <t>Avis India</t>
        </is>
      </c>
      <c r="K1088" s="20" t="inlineStr">
        <is>
          <t>Non-Captive</t>
        </is>
      </c>
      <c r="L1088" s="20" t="inlineStr">
        <is>
          <t>KB Motor</t>
        </is>
      </c>
      <c r="M1088" s="23" t="n">
        <v>8474.58</v>
      </c>
      <c r="N1088" s="23" t="n">
        <v>10000</v>
      </c>
      <c r="O1088" s="24">
        <f>IF(AND(ISNUMBER(M1088), ISNUMBER(I1088), I1088&gt;0), M1088/I1088, "")</f>
        <v/>
      </c>
    </row>
    <row r="1089">
      <c r="A1089" s="19" t="inlineStr">
        <is>
          <t>FY27</t>
        </is>
      </c>
      <c r="B1089" s="19" t="inlineStr">
        <is>
          <t>Apr</t>
        </is>
      </c>
      <c r="C1089" s="19" t="inlineStr">
        <is>
          <t>TN</t>
        </is>
      </c>
      <c r="D1089" s="20" t="inlineStr">
        <is>
          <t>TN11A9761</t>
        </is>
      </c>
      <c r="E1089" s="20" t="inlineStr">
        <is>
          <t>MARUTI SUZUKI</t>
        </is>
      </c>
      <c r="F1089" s="20" t="inlineStr">
        <is>
          <t>Alto</t>
        </is>
      </c>
      <c r="G1089" s="21" t="n">
        <v>2012</v>
      </c>
      <c r="H1089" s="22" t="n">
        <v>19819</v>
      </c>
      <c r="I1089" s="23" t="n">
        <v>150000</v>
      </c>
      <c r="J1089" s="20" t="inlineStr">
        <is>
          <t>Khivraj Motor</t>
        </is>
      </c>
      <c r="K1089" s="20" t="inlineStr">
        <is>
          <t>Non-Captive</t>
        </is>
      </c>
      <c r="L1089" s="20" t="inlineStr">
        <is>
          <t>Ramalingam Cars</t>
        </is>
      </c>
      <c r="M1089" s="23" t="n">
        <v>5084.75</v>
      </c>
      <c r="N1089" s="23" t="n">
        <v>6000</v>
      </c>
      <c r="O1089" s="24">
        <f>IF(AND(ISNUMBER(M1089), ISNUMBER(I1089), I1089&gt;0), M1089/I1089, "")</f>
        <v/>
      </c>
    </row>
    <row r="1090">
      <c r="A1090" s="19" t="inlineStr">
        <is>
          <t>FY27</t>
        </is>
      </c>
      <c r="B1090" s="19" t="inlineStr">
        <is>
          <t>Apr</t>
        </is>
      </c>
      <c r="C1090" s="19" t="inlineStr">
        <is>
          <t>TN</t>
        </is>
      </c>
      <c r="D1090" s="20" t="inlineStr">
        <is>
          <t>TN14P3164</t>
        </is>
      </c>
      <c r="E1090" s="20" t="inlineStr">
        <is>
          <t>MARUTI SUZUKI</t>
        </is>
      </c>
      <c r="F1090" s="20" t="inlineStr">
        <is>
          <t>Swift Dzire</t>
        </is>
      </c>
      <c r="G1090" s="21" t="n">
        <v>2018</v>
      </c>
      <c r="H1090" s="22" t="n">
        <v>139828</v>
      </c>
      <c r="I1090" s="23" t="n">
        <v>452000</v>
      </c>
      <c r="J1090" s="20" t="inlineStr">
        <is>
          <t>Khivraj Motor</t>
        </is>
      </c>
      <c r="K1090" s="20" t="inlineStr">
        <is>
          <t>Non-Captive</t>
        </is>
      </c>
      <c r="L1090" s="20" t="inlineStr">
        <is>
          <t>Ismail Cars</t>
        </is>
      </c>
      <c r="M1090" s="23" t="n">
        <v>7627.12</v>
      </c>
      <c r="N1090" s="23" t="n">
        <v>9000</v>
      </c>
      <c r="O1090" s="24">
        <f>IF(AND(ISNUMBER(M1090), ISNUMBER(I1090), I1090&gt;0), M1090/I1090, "")</f>
        <v/>
      </c>
    </row>
    <row r="1091">
      <c r="A1091" s="19" t="inlineStr">
        <is>
          <t>FY27</t>
        </is>
      </c>
      <c r="B1091" s="19" t="inlineStr">
        <is>
          <t>Apr</t>
        </is>
      </c>
      <c r="C1091" s="19" t="inlineStr">
        <is>
          <t>TN</t>
        </is>
      </c>
      <c r="D1091" s="20" t="inlineStr">
        <is>
          <t>TN09CF2018</t>
        </is>
      </c>
      <c r="E1091" s="20" t="inlineStr">
        <is>
          <t>MARUTI SUZUKI</t>
        </is>
      </c>
      <c r="F1091" s="20" t="inlineStr">
        <is>
          <t>Swift Dzire</t>
        </is>
      </c>
      <c r="G1091" s="21" t="n">
        <v>2016</v>
      </c>
      <c r="H1091" s="22" t="n">
        <v>105492</v>
      </c>
      <c r="I1091" s="23" t="n">
        <v>329000</v>
      </c>
      <c r="J1091" s="20" t="inlineStr">
        <is>
          <t>Khivraj Motor</t>
        </is>
      </c>
      <c r="K1091" s="20" t="inlineStr">
        <is>
          <t>Non-Captive</t>
        </is>
      </c>
      <c r="L1091" s="20" t="inlineStr">
        <is>
          <t>Cars 24</t>
        </is>
      </c>
      <c r="M1091" s="23" t="n">
        <v>8474.58</v>
      </c>
      <c r="N1091" s="23" t="n">
        <v>10000</v>
      </c>
      <c r="O1091" s="24">
        <f>IF(AND(ISNUMBER(M1091), ISNUMBER(I1091), I1091&gt;0), M1091/I1091, "")</f>
        <v/>
      </c>
    </row>
    <row r="1092">
      <c r="A1092" s="19" t="inlineStr">
        <is>
          <t>FY27</t>
        </is>
      </c>
      <c r="B1092" s="19" t="inlineStr">
        <is>
          <t>Apr</t>
        </is>
      </c>
      <c r="C1092" s="19" t="inlineStr">
        <is>
          <t>TN</t>
        </is>
      </c>
      <c r="D1092" s="20" t="inlineStr">
        <is>
          <t>TN12Q6786</t>
        </is>
      </c>
      <c r="E1092" s="20" t="inlineStr">
        <is>
          <t>HYUNDAI</t>
        </is>
      </c>
      <c r="F1092" s="20" t="inlineStr">
        <is>
          <t>Grand I10</t>
        </is>
      </c>
      <c r="G1092" s="21" t="n">
        <v>2016</v>
      </c>
      <c r="H1092" s="22" t="n">
        <v>112587</v>
      </c>
      <c r="I1092" s="23" t="n">
        <v>330000</v>
      </c>
      <c r="J1092" s="20" t="inlineStr">
        <is>
          <t>EXCHANGE CHENNAI</t>
        </is>
      </c>
      <c r="K1092" s="20" t="inlineStr">
        <is>
          <t>Captive</t>
        </is>
      </c>
      <c r="L1092" s="20" t="inlineStr">
        <is>
          <t>car Hub</t>
        </is>
      </c>
      <c r="M1092" s="23" t="n">
        <v>6355.93</v>
      </c>
      <c r="N1092" s="23" t="n">
        <v>7500</v>
      </c>
      <c r="O1092" s="24">
        <f>IF(AND(ISNUMBER(M1092), ISNUMBER(I1092), I1092&gt;0), M1092/I1092, "")</f>
        <v/>
      </c>
    </row>
    <row r="1093">
      <c r="A1093" s="19" t="inlineStr">
        <is>
          <t>FY27</t>
        </is>
      </c>
      <c r="B1093" s="19" t="inlineStr">
        <is>
          <t>Apr</t>
        </is>
      </c>
      <c r="C1093" s="19" t="inlineStr">
        <is>
          <t>TN</t>
        </is>
      </c>
      <c r="D1093" s="20" t="inlineStr">
        <is>
          <t>KA19MD2967</t>
        </is>
      </c>
      <c r="E1093" s="20" t="inlineStr">
        <is>
          <t>HONDA</t>
        </is>
      </c>
      <c r="F1093" s="20" t="inlineStr">
        <is>
          <t>Brio</t>
        </is>
      </c>
      <c r="G1093" s="21" t="n">
        <v>2013</v>
      </c>
      <c r="H1093" s="22" t="n">
        <v>14722</v>
      </c>
      <c r="I1093" s="23" t="n">
        <v>175000</v>
      </c>
      <c r="J1093" s="20" t="inlineStr">
        <is>
          <t>EXCHANGE CHENNAI</t>
        </is>
      </c>
      <c r="K1093" s="20" t="inlineStr">
        <is>
          <t>Captive</t>
        </is>
      </c>
      <c r="L1093" s="20" t="inlineStr">
        <is>
          <t>Althaf Syed Cars (Senthil)</t>
        </is>
      </c>
      <c r="M1093" s="23" t="n">
        <v>8474.58</v>
      </c>
      <c r="N1093" s="23" t="n">
        <v>10000</v>
      </c>
      <c r="O1093" s="24">
        <f>IF(AND(ISNUMBER(M1093), ISNUMBER(I1093), I1093&gt;0), M1093/I1093, "")</f>
        <v/>
      </c>
    </row>
    <row r="1094">
      <c r="A1094" s="19" t="inlineStr">
        <is>
          <t>FY27</t>
        </is>
      </c>
      <c r="B1094" s="19" t="inlineStr">
        <is>
          <t>Apr</t>
        </is>
      </c>
      <c r="C1094" s="19" t="inlineStr">
        <is>
          <t>TN</t>
        </is>
      </c>
      <c r="D1094" s="20" t="inlineStr">
        <is>
          <t>TN07CF9733</t>
        </is>
      </c>
      <c r="E1094" s="20" t="inlineStr">
        <is>
          <t>HONDA</t>
        </is>
      </c>
      <c r="F1094" s="20" t="inlineStr">
        <is>
          <t>City</t>
        </is>
      </c>
      <c r="G1094" s="21" t="n">
        <v>2016</v>
      </c>
      <c r="H1094" s="22" t="n">
        <v>122895</v>
      </c>
      <c r="I1094" s="23" t="n">
        <v>430000</v>
      </c>
      <c r="J1094" s="20" t="inlineStr">
        <is>
          <t>EXCHANGE CHENNAI</t>
        </is>
      </c>
      <c r="K1094" s="20" t="inlineStr">
        <is>
          <t>Captive</t>
        </is>
      </c>
      <c r="L1094" s="20" t="inlineStr">
        <is>
          <t>Varadhrajan cars</t>
        </is>
      </c>
      <c r="M1094" s="23" t="n">
        <v>8474.58</v>
      </c>
      <c r="N1094" s="23" t="n">
        <v>10000</v>
      </c>
      <c r="O1094" s="24">
        <f>IF(AND(ISNUMBER(M1094), ISNUMBER(I1094), I1094&gt;0), M1094/I1094, "")</f>
        <v/>
      </c>
    </row>
    <row r="1095">
      <c r="A1095" s="19" t="inlineStr">
        <is>
          <t>FY27</t>
        </is>
      </c>
      <c r="B1095" s="19" t="inlineStr">
        <is>
          <t>Apr</t>
        </is>
      </c>
      <c r="C1095" s="19" t="inlineStr">
        <is>
          <t>TN</t>
        </is>
      </c>
      <c r="D1095" s="20" t="inlineStr">
        <is>
          <t>TN09CA3602</t>
        </is>
      </c>
      <c r="E1095" s="20" t="inlineStr">
        <is>
          <t>HYUNDAI</t>
        </is>
      </c>
      <c r="F1095" s="20" t="inlineStr">
        <is>
          <t>Grand I10</t>
        </is>
      </c>
      <c r="G1095" s="21" t="n">
        <v>2015</v>
      </c>
      <c r="H1095" s="22" t="n">
        <v>98724</v>
      </c>
      <c r="I1095" s="23" t="n">
        <v>340000</v>
      </c>
      <c r="J1095" s="20" t="inlineStr">
        <is>
          <t>EXCHANGE CHENNAI</t>
        </is>
      </c>
      <c r="K1095" s="20" t="inlineStr">
        <is>
          <t>Captive</t>
        </is>
      </c>
      <c r="L1095" s="20" t="inlineStr">
        <is>
          <t>Varadhrajan cars</t>
        </is>
      </c>
      <c r="M1095" s="23" t="n">
        <v>4237.29</v>
      </c>
      <c r="N1095" s="23" t="n">
        <v>5000</v>
      </c>
      <c r="O1095" s="24">
        <f>IF(AND(ISNUMBER(M1095), ISNUMBER(I1095), I1095&gt;0), M1095/I1095, "")</f>
        <v/>
      </c>
    </row>
    <row r="1096">
      <c r="A1096" s="19" t="inlineStr">
        <is>
          <t>FY27</t>
        </is>
      </c>
      <c r="B1096" s="19" t="inlineStr">
        <is>
          <t>Apr</t>
        </is>
      </c>
      <c r="C1096" s="19" t="inlineStr">
        <is>
          <t>TN</t>
        </is>
      </c>
      <c r="D1096" s="20" t="inlineStr">
        <is>
          <t>TN06W4500</t>
        </is>
      </c>
      <c r="E1096" s="20" t="inlineStr">
        <is>
          <t>HONDA</t>
        </is>
      </c>
      <c r="F1096" s="20" t="inlineStr">
        <is>
          <t>City</t>
        </is>
      </c>
      <c r="G1096" s="21" t="n">
        <v>2018</v>
      </c>
      <c r="H1096" s="22" t="n">
        <v>61346</v>
      </c>
      <c r="I1096" s="23" t="n">
        <v>650000</v>
      </c>
      <c r="J1096" s="20" t="inlineStr">
        <is>
          <t>EXCHANGE CHENNAI</t>
        </is>
      </c>
      <c r="K1096" s="20" t="inlineStr">
        <is>
          <t>Captive</t>
        </is>
      </c>
      <c r="L1096" s="20" t="inlineStr">
        <is>
          <t>True Cars (Kamal Honda)</t>
        </is>
      </c>
      <c r="M1096" s="23" t="n">
        <v>8474.58</v>
      </c>
      <c r="N1096" s="23" t="n">
        <v>10000</v>
      </c>
      <c r="O1096" s="24">
        <f>IF(AND(ISNUMBER(M1096), ISNUMBER(I1096), I1096&gt;0), M1096/I1096, "")</f>
        <v/>
      </c>
    </row>
    <row r="1097">
      <c r="A1097" s="19" t="inlineStr">
        <is>
          <t>FY27</t>
        </is>
      </c>
      <c r="B1097" s="19" t="inlineStr">
        <is>
          <t>Apr</t>
        </is>
      </c>
      <c r="C1097" s="19" t="inlineStr">
        <is>
          <t>TN</t>
        </is>
      </c>
      <c r="D1097" s="20" t="inlineStr">
        <is>
          <t>TN07CV2873</t>
        </is>
      </c>
      <c r="E1097" s="20" t="inlineStr">
        <is>
          <t>HONDA</t>
        </is>
      </c>
      <c r="F1097" s="20" t="inlineStr">
        <is>
          <t>City</t>
        </is>
      </c>
      <c r="G1097" s="21" t="n">
        <v>2020</v>
      </c>
      <c r="H1097" s="22" t="n">
        <v>47777</v>
      </c>
      <c r="I1097" s="23" t="n">
        <v>750000</v>
      </c>
      <c r="J1097" s="20" t="inlineStr">
        <is>
          <t>EXCHANGE CHENNAI</t>
        </is>
      </c>
      <c r="K1097" s="20" t="inlineStr">
        <is>
          <t>Captive</t>
        </is>
      </c>
      <c r="L1097" s="20" t="inlineStr">
        <is>
          <t>Lanson Toyota</t>
        </is>
      </c>
      <c r="M1097" s="23" t="n">
        <v>8474.58</v>
      </c>
      <c r="N1097" s="23" t="n">
        <v>10000</v>
      </c>
      <c r="O1097" s="24">
        <f>IF(AND(ISNUMBER(M1097), ISNUMBER(I1097), I1097&gt;0), M1097/I1097, "")</f>
        <v/>
      </c>
    </row>
    <row r="1098">
      <c r="A1098" s="19" t="inlineStr">
        <is>
          <t>FY27</t>
        </is>
      </c>
      <c r="B1098" s="19" t="inlineStr">
        <is>
          <t>Apr</t>
        </is>
      </c>
      <c r="C1098" s="19" t="inlineStr">
        <is>
          <t>TN</t>
        </is>
      </c>
      <c r="D1098" s="20" t="inlineStr">
        <is>
          <t>TN07CE1381</t>
        </is>
      </c>
      <c r="E1098" s="20" t="inlineStr">
        <is>
          <t>HONDA</t>
        </is>
      </c>
      <c r="F1098" s="20" t="inlineStr">
        <is>
          <t>City</t>
        </is>
      </c>
      <c r="G1098" s="21" t="n">
        <v>2016</v>
      </c>
      <c r="H1098" s="22" t="n">
        <v>88580</v>
      </c>
      <c r="I1098" s="23" t="n">
        <v>480000</v>
      </c>
      <c r="J1098" s="20" t="inlineStr">
        <is>
          <t>EXCHANGE CHENNAI</t>
        </is>
      </c>
      <c r="K1098" s="20" t="inlineStr">
        <is>
          <t>Captive</t>
        </is>
      </c>
      <c r="L1098" s="20" t="inlineStr">
        <is>
          <t>Santhosh Cars</t>
        </is>
      </c>
      <c r="M1098" s="23" t="n">
        <v>8474.58</v>
      </c>
      <c r="N1098" s="23" t="n">
        <v>10000</v>
      </c>
      <c r="O1098" s="24">
        <f>IF(AND(ISNUMBER(M1098), ISNUMBER(I1098), I1098&gt;0), M1098/I1098, "")</f>
        <v/>
      </c>
    </row>
    <row r="1099">
      <c r="A1099" s="19" t="inlineStr">
        <is>
          <t>FY27</t>
        </is>
      </c>
      <c r="B1099" s="19" t="inlineStr">
        <is>
          <t>Apr</t>
        </is>
      </c>
      <c r="C1099" s="19" t="inlineStr">
        <is>
          <t>TN</t>
        </is>
      </c>
      <c r="D1099" s="20" t="inlineStr">
        <is>
          <t>TN09BL4509</t>
        </is>
      </c>
      <c r="E1099" s="20" t="inlineStr">
        <is>
          <t>HONDA</t>
        </is>
      </c>
      <c r="F1099" s="20" t="inlineStr">
        <is>
          <t>City</t>
        </is>
      </c>
      <c r="G1099" s="21" t="n">
        <v>2011</v>
      </c>
      <c r="H1099" s="22" t="n">
        <v>77249</v>
      </c>
      <c r="I1099" s="23" t="n">
        <v>210000</v>
      </c>
      <c r="J1099" s="20" t="inlineStr">
        <is>
          <t>EXCHANGE CHENNAI</t>
        </is>
      </c>
      <c r="K1099" s="20" t="inlineStr">
        <is>
          <t>Captive</t>
        </is>
      </c>
      <c r="L1099" s="20" t="inlineStr">
        <is>
          <t>Nirmal Cars</t>
        </is>
      </c>
      <c r="M1099" s="23" t="n">
        <v>8474.58</v>
      </c>
      <c r="N1099" s="23" t="n">
        <v>10000</v>
      </c>
      <c r="O1099" s="24">
        <f>IF(AND(ISNUMBER(M1099), ISNUMBER(I1099), I1099&gt;0), M1099/I1099, "")</f>
        <v/>
      </c>
    </row>
    <row r="1100">
      <c r="A1100" s="19" t="inlineStr">
        <is>
          <t>FY27</t>
        </is>
      </c>
      <c r="B1100" s="19" t="inlineStr">
        <is>
          <t>Apr</t>
        </is>
      </c>
      <c r="C1100" s="19" t="inlineStr">
        <is>
          <t>TN</t>
        </is>
      </c>
      <c r="D1100" s="20" t="inlineStr">
        <is>
          <t>TN09DE4332</t>
        </is>
      </c>
      <c r="E1100" s="20" t="inlineStr">
        <is>
          <t>HONDA</t>
        </is>
      </c>
      <c r="F1100" s="20" t="inlineStr">
        <is>
          <t>Elevate</t>
        </is>
      </c>
      <c r="G1100" s="21" t="n">
        <v>2023</v>
      </c>
      <c r="H1100" s="22" t="n">
        <v>4846</v>
      </c>
      <c r="I1100" s="23" t="n">
        <v>1050000</v>
      </c>
      <c r="J1100" s="20" t="inlineStr">
        <is>
          <t>EXCHANGE CHENNAI</t>
        </is>
      </c>
      <c r="K1100" s="20" t="inlineStr">
        <is>
          <t>Captive</t>
        </is>
      </c>
      <c r="L1100" s="20" t="inlineStr">
        <is>
          <t>Nirmal Cars</t>
        </is>
      </c>
      <c r="M1100" s="23" t="n">
        <v>16949.15</v>
      </c>
      <c r="N1100" s="23" t="n">
        <v>20000</v>
      </c>
      <c r="O1100" s="24">
        <f>IF(AND(ISNUMBER(M1100), ISNUMBER(I1100), I1100&gt;0), M1100/I1100, "")</f>
        <v/>
      </c>
    </row>
    <row r="1101">
      <c r="A1101" s="19" t="inlineStr">
        <is>
          <t>FY27</t>
        </is>
      </c>
      <c r="B1101" s="19" t="inlineStr">
        <is>
          <t>Apr</t>
        </is>
      </c>
      <c r="C1101" s="19" t="inlineStr">
        <is>
          <t>TN</t>
        </is>
      </c>
      <c r="D1101" s="20" t="inlineStr">
        <is>
          <t>TN07BL6003</t>
        </is>
      </c>
      <c r="E1101" s="20" t="inlineStr">
        <is>
          <t>VOLKSWAGEN</t>
        </is>
      </c>
      <c r="F1101" s="20" t="inlineStr">
        <is>
          <t>Polo</t>
        </is>
      </c>
      <c r="G1101" s="21" t="n">
        <v>2011</v>
      </c>
      <c r="H1101" s="22" t="n">
        <v>55629</v>
      </c>
      <c r="I1101" s="23" t="n">
        <v>200000</v>
      </c>
      <c r="J1101" s="20" t="inlineStr">
        <is>
          <t>EXCHANGE CHENNAI</t>
        </is>
      </c>
      <c r="K1101" s="20" t="inlineStr">
        <is>
          <t>Captive</t>
        </is>
      </c>
      <c r="L1101" s="20" t="inlineStr">
        <is>
          <t>Santhosh Cars</t>
        </is>
      </c>
      <c r="M1101" s="23" t="n">
        <v>8474.58</v>
      </c>
      <c r="N1101" s="23" t="n">
        <v>10000</v>
      </c>
      <c r="O1101" s="24">
        <f>IF(AND(ISNUMBER(M1101), ISNUMBER(I1101), I1101&gt;0), M1101/I1101, "")</f>
        <v/>
      </c>
    </row>
    <row r="1102">
      <c r="A1102" s="19" t="inlineStr">
        <is>
          <t>FY27</t>
        </is>
      </c>
      <c r="B1102" s="19" t="inlineStr">
        <is>
          <t>Apr</t>
        </is>
      </c>
      <c r="C1102" s="19" t="inlineStr">
        <is>
          <t>TN</t>
        </is>
      </c>
      <c r="D1102" s="20" t="inlineStr">
        <is>
          <t>TN06K1804</t>
        </is>
      </c>
      <c r="E1102" s="20" t="inlineStr">
        <is>
          <t>HYUNDAI</t>
        </is>
      </c>
      <c r="F1102" s="20" t="inlineStr">
        <is>
          <t>I10</t>
        </is>
      </c>
      <c r="G1102" s="21" t="n">
        <v>2013</v>
      </c>
      <c r="H1102" s="22" t="n">
        <v>42198</v>
      </c>
      <c r="I1102" s="23" t="n">
        <v>180000</v>
      </c>
      <c r="J1102" s="20" t="inlineStr">
        <is>
          <t>EXCHANGE CHENNAI</t>
        </is>
      </c>
      <c r="K1102" s="20" t="inlineStr">
        <is>
          <t>Captive</t>
        </is>
      </c>
      <c r="L1102" s="20" t="inlineStr">
        <is>
          <t>Santhosh Cars</t>
        </is>
      </c>
      <c r="M1102" s="23" t="n">
        <v>8474.58</v>
      </c>
      <c r="N1102" s="23" t="n">
        <v>10000</v>
      </c>
      <c r="O1102" s="24">
        <f>IF(AND(ISNUMBER(M1102), ISNUMBER(I1102), I1102&gt;0), M1102/I1102, "")</f>
        <v/>
      </c>
    </row>
    <row r="1103">
      <c r="A1103" s="19" t="inlineStr">
        <is>
          <t>FY27</t>
        </is>
      </c>
      <c r="B1103" s="19" t="inlineStr">
        <is>
          <t>Apr</t>
        </is>
      </c>
      <c r="C1103" s="19" t="inlineStr">
        <is>
          <t>TN</t>
        </is>
      </c>
      <c r="D1103" s="20" t="inlineStr">
        <is>
          <t>TN09CK8375</t>
        </is>
      </c>
      <c r="E1103" s="20" t="inlineStr">
        <is>
          <t>MARUTI SUZUKI</t>
        </is>
      </c>
      <c r="F1103" s="20" t="inlineStr">
        <is>
          <t>Swift Dzire</t>
        </is>
      </c>
      <c r="G1103" s="21" t="n">
        <v>2017</v>
      </c>
      <c r="H1103" s="22" t="n">
        <v>66436</v>
      </c>
      <c r="I1103" s="23" t="n">
        <v>450000</v>
      </c>
      <c r="J1103" s="20" t="inlineStr">
        <is>
          <t>EXCHANGE CHENNAI</t>
        </is>
      </c>
      <c r="K1103" s="20" t="inlineStr">
        <is>
          <t>Captive</t>
        </is>
      </c>
      <c r="L1103" s="20" t="inlineStr">
        <is>
          <t>Shree Shan Motor</t>
        </is>
      </c>
      <c r="M1103" s="23" t="n">
        <v>8474.58</v>
      </c>
      <c r="N1103" s="23" t="n">
        <v>10000</v>
      </c>
      <c r="O1103" s="24">
        <f>IF(AND(ISNUMBER(M1103), ISNUMBER(I1103), I1103&gt;0), M1103/I1103, "")</f>
        <v/>
      </c>
    </row>
    <row r="1104">
      <c r="A1104" s="19" t="inlineStr">
        <is>
          <t>FY27</t>
        </is>
      </c>
      <c r="B1104" s="19" t="inlineStr">
        <is>
          <t>Apr</t>
        </is>
      </c>
      <c r="C1104" s="19" t="inlineStr">
        <is>
          <t>TN</t>
        </is>
      </c>
      <c r="D1104" s="20" t="inlineStr">
        <is>
          <t>TN02AY6678</t>
        </is>
      </c>
      <c r="E1104" s="20" t="inlineStr">
        <is>
          <t>HONDA</t>
        </is>
      </c>
      <c r="F1104" s="20" t="inlineStr">
        <is>
          <t>Brio</t>
        </is>
      </c>
      <c r="G1104" s="21" t="n">
        <v>2013</v>
      </c>
      <c r="H1104" s="22" t="n">
        <v>93284</v>
      </c>
      <c r="I1104" s="23" t="n">
        <v>225000</v>
      </c>
      <c r="J1104" s="20" t="inlineStr">
        <is>
          <t>EXCHANGE CHENNAI</t>
        </is>
      </c>
      <c r="K1104" s="20" t="inlineStr">
        <is>
          <t>Captive</t>
        </is>
      </c>
      <c r="L1104" s="20" t="inlineStr">
        <is>
          <t>Nirmal Cars</t>
        </is>
      </c>
      <c r="M1104" s="23" t="n">
        <v>8474.58</v>
      </c>
      <c r="N1104" s="23" t="n">
        <v>10000</v>
      </c>
      <c r="O1104" s="24">
        <f>IF(AND(ISNUMBER(M1104), ISNUMBER(I1104), I1104&gt;0), M1104/I1104, "")</f>
        <v/>
      </c>
    </row>
    <row r="1105">
      <c r="A1105" s="19" t="inlineStr">
        <is>
          <t>FY27</t>
        </is>
      </c>
      <c r="B1105" s="19" t="inlineStr">
        <is>
          <t>Apr</t>
        </is>
      </c>
      <c r="C1105" s="19" t="inlineStr">
        <is>
          <t>TN</t>
        </is>
      </c>
      <c r="D1105" s="20" t="inlineStr">
        <is>
          <t>TN01BE2476</t>
        </is>
      </c>
      <c r="E1105" s="20" t="inlineStr">
        <is>
          <t>MARUTI SUZUKI</t>
        </is>
      </c>
      <c r="F1105" s="20" t="inlineStr">
        <is>
          <t>Swift Dzire</t>
        </is>
      </c>
      <c r="G1105" s="21" t="n">
        <v>2018</v>
      </c>
      <c r="H1105" s="22" t="n">
        <v>83007</v>
      </c>
      <c r="I1105" s="23" t="n">
        <v>420000</v>
      </c>
      <c r="J1105" s="20" t="inlineStr">
        <is>
          <t>EXCHANGE CHENNAI</t>
        </is>
      </c>
      <c r="K1105" s="20" t="inlineStr">
        <is>
          <t>Captive</t>
        </is>
      </c>
      <c r="L1105" s="20" t="inlineStr">
        <is>
          <t>Santhosh Cars</t>
        </is>
      </c>
      <c r="M1105" s="23" t="n">
        <v>8474.58</v>
      </c>
      <c r="N1105" s="23" t="n">
        <v>10000</v>
      </c>
      <c r="O1105" s="24">
        <f>IF(AND(ISNUMBER(M1105), ISNUMBER(I1105), I1105&gt;0), M1105/I1105, "")</f>
        <v/>
      </c>
    </row>
    <row r="1106">
      <c r="A1106" s="19" t="inlineStr">
        <is>
          <t>FY27</t>
        </is>
      </c>
      <c r="B1106" s="19" t="inlineStr">
        <is>
          <t>Apr</t>
        </is>
      </c>
      <c r="C1106" s="19" t="inlineStr">
        <is>
          <t>TN</t>
        </is>
      </c>
      <c r="D1106" s="20" t="inlineStr">
        <is>
          <t>TN06AB5257</t>
        </is>
      </c>
      <c r="E1106" s="20" t="inlineStr">
        <is>
          <t>MARUTI SUZUKI</t>
        </is>
      </c>
      <c r="F1106" s="20" t="inlineStr">
        <is>
          <t>Swift Dzire</t>
        </is>
      </c>
      <c r="G1106" s="21" t="n">
        <v>2022</v>
      </c>
      <c r="H1106" s="22" t="n">
        <v>92391</v>
      </c>
      <c r="I1106" s="23" t="n">
        <v>575000</v>
      </c>
      <c r="J1106" s="20" t="inlineStr">
        <is>
          <t>EXCHANGE CHENNAI</t>
        </is>
      </c>
      <c r="K1106" s="20" t="inlineStr">
        <is>
          <t>Captive</t>
        </is>
      </c>
      <c r="L1106" s="20" t="inlineStr">
        <is>
          <t>SK Mani</t>
        </is>
      </c>
      <c r="M1106" s="23" t="n">
        <v>12711.86</v>
      </c>
      <c r="N1106" s="23" t="n">
        <v>15000</v>
      </c>
      <c r="O1106" s="24">
        <f>IF(AND(ISNUMBER(M1106), ISNUMBER(I1106), I1106&gt;0), M1106/I1106, "")</f>
        <v/>
      </c>
    </row>
    <row r="1107">
      <c r="A1107" s="19" t="inlineStr">
        <is>
          <t>FY27</t>
        </is>
      </c>
      <c r="B1107" s="19" t="inlineStr">
        <is>
          <t>Apr</t>
        </is>
      </c>
      <c r="C1107" s="19" t="inlineStr">
        <is>
          <t>TN</t>
        </is>
      </c>
      <c r="D1107" s="20" t="inlineStr">
        <is>
          <t>TN43F8134</t>
        </is>
      </c>
      <c r="E1107" s="20" t="inlineStr">
        <is>
          <t>MARUTI SUZUKI</t>
        </is>
      </c>
      <c r="F1107" s="20" t="inlineStr">
        <is>
          <t>Swift</t>
        </is>
      </c>
      <c r="G1107" s="21" t="n">
        <v>2015</v>
      </c>
      <c r="H1107" s="22" t="n">
        <v>98430</v>
      </c>
      <c r="I1107" s="23" t="n">
        <v>420000</v>
      </c>
      <c r="J1107" s="20" t="inlineStr">
        <is>
          <t>EXCHANGE ROTN</t>
        </is>
      </c>
      <c r="K1107" s="20" t="inlineStr">
        <is>
          <t>Captive</t>
        </is>
      </c>
      <c r="L1107" s="20" t="inlineStr">
        <is>
          <t>Gugha Cars</t>
        </is>
      </c>
      <c r="M1107" s="23" t="n">
        <v>4237.29</v>
      </c>
      <c r="N1107" s="23" t="n">
        <v>5000</v>
      </c>
      <c r="O1107" s="24">
        <f>IF(AND(ISNUMBER(M1107), ISNUMBER(I1107), I1107&gt;0), M1107/I1107, "")</f>
        <v/>
      </c>
    </row>
    <row r="1108">
      <c r="A1108" s="19" t="inlineStr">
        <is>
          <t>FY27</t>
        </is>
      </c>
      <c r="B1108" s="19" t="inlineStr">
        <is>
          <t>Apr</t>
        </is>
      </c>
      <c r="C1108" s="19" t="inlineStr">
        <is>
          <t>TN</t>
        </is>
      </c>
      <c r="D1108" s="20" t="inlineStr">
        <is>
          <t>TN66J1179</t>
        </is>
      </c>
      <c r="E1108" s="20" t="inlineStr">
        <is>
          <t>NISSAN</t>
        </is>
      </c>
      <c r="F1108" s="20" t="inlineStr">
        <is>
          <t>Sunny</t>
        </is>
      </c>
      <c r="G1108" s="21" t="n">
        <v>2013</v>
      </c>
      <c r="H1108" s="22" t="n">
        <v>128267</v>
      </c>
      <c r="I1108" s="23" t="n">
        <v>300000</v>
      </c>
      <c r="J1108" s="20" t="inlineStr">
        <is>
          <t>EXCHANGE ROTN</t>
        </is>
      </c>
      <c r="K1108" s="20" t="inlineStr">
        <is>
          <t>Captive</t>
        </is>
      </c>
      <c r="L1108" s="20" t="inlineStr">
        <is>
          <t>YUGA DHEERAN CARS</t>
        </is>
      </c>
      <c r="M1108" s="23" t="n">
        <v>4237.29</v>
      </c>
      <c r="N1108" s="23" t="n">
        <v>5000</v>
      </c>
      <c r="O1108" s="24">
        <f>IF(AND(ISNUMBER(M1108), ISNUMBER(I1108), I1108&gt;0), M1108/I1108, "")</f>
        <v/>
      </c>
    </row>
    <row r="1109">
      <c r="A1109" s="19" t="inlineStr">
        <is>
          <t>FY27</t>
        </is>
      </c>
      <c r="B1109" s="19" t="inlineStr">
        <is>
          <t>Apr</t>
        </is>
      </c>
      <c r="C1109" s="19" t="inlineStr">
        <is>
          <t>TN</t>
        </is>
      </c>
      <c r="D1109" s="20" t="inlineStr">
        <is>
          <t>TN30AT2478</t>
        </is>
      </c>
      <c r="E1109" s="20" t="inlineStr">
        <is>
          <t>HONDA</t>
        </is>
      </c>
      <c r="F1109" s="20" t="inlineStr">
        <is>
          <t>Amaze</t>
        </is>
      </c>
      <c r="G1109" s="21" t="n">
        <v>2013</v>
      </c>
      <c r="H1109" s="22" t="n">
        <v>154730</v>
      </c>
      <c r="I1109" s="23" t="n">
        <v>330000</v>
      </c>
      <c r="J1109" s="20" t="inlineStr">
        <is>
          <t>EXCHANGE ROTN</t>
        </is>
      </c>
      <c r="K1109" s="20" t="inlineStr">
        <is>
          <t>Captive</t>
        </is>
      </c>
      <c r="L1109" s="20" t="inlineStr">
        <is>
          <t>SIVASHANKAR CARS</t>
        </is>
      </c>
      <c r="M1109" s="23" t="n">
        <v>4237.29</v>
      </c>
      <c r="N1109" s="23" t="n">
        <v>5000</v>
      </c>
      <c r="O1109" s="24">
        <f>IF(AND(ISNUMBER(M1109), ISNUMBER(I1109), I1109&gt;0), M1109/I1109, "")</f>
        <v/>
      </c>
    </row>
    <row r="1110">
      <c r="A1110" s="19" t="inlineStr">
        <is>
          <t>FY27</t>
        </is>
      </c>
      <c r="B1110" s="19" t="inlineStr">
        <is>
          <t>Apr</t>
        </is>
      </c>
      <c r="C1110" s="19" t="inlineStr">
        <is>
          <t>TN</t>
        </is>
      </c>
      <c r="D1110" s="20" t="inlineStr">
        <is>
          <t>TN37BK1562</t>
        </is>
      </c>
      <c r="E1110" s="20" t="inlineStr">
        <is>
          <t>FORD</t>
        </is>
      </c>
      <c r="F1110" s="20" t="inlineStr">
        <is>
          <t>Figo</t>
        </is>
      </c>
      <c r="G1110" s="21" t="n">
        <v>2010</v>
      </c>
      <c r="H1110" s="22" t="n">
        <v>112620</v>
      </c>
      <c r="I1110" s="23" t="n">
        <v>110000</v>
      </c>
      <c r="J1110" s="20" t="inlineStr">
        <is>
          <t>EXCHANGE ROTN</t>
        </is>
      </c>
      <c r="K1110" s="20" t="inlineStr">
        <is>
          <t>Captive</t>
        </is>
      </c>
      <c r="L1110" s="20" t="inlineStr">
        <is>
          <t>SIVASHANKAR CARS</t>
        </is>
      </c>
      <c r="M1110" s="23" t="n">
        <v>4237.29</v>
      </c>
      <c r="N1110" s="23" t="n">
        <v>5000</v>
      </c>
      <c r="O1110" s="24">
        <f>IF(AND(ISNUMBER(M1110), ISNUMBER(I1110), I1110&gt;0), M1110/I1110, "")</f>
        <v/>
      </c>
    </row>
    <row r="1111">
      <c r="A1111" s="19" t="inlineStr">
        <is>
          <t>FY27</t>
        </is>
      </c>
      <c r="B1111" s="19" t="inlineStr">
        <is>
          <t>Apr</t>
        </is>
      </c>
      <c r="C1111" s="19" t="inlineStr">
        <is>
          <t>TN</t>
        </is>
      </c>
      <c r="D1111" s="20" t="inlineStr">
        <is>
          <t>TN07CP7421</t>
        </is>
      </c>
      <c r="E1111" s="20" t="inlineStr">
        <is>
          <t>HONDA</t>
        </is>
      </c>
      <c r="F1111" s="20" t="inlineStr">
        <is>
          <t>Amaze</t>
        </is>
      </c>
      <c r="G1111" s="21" t="n">
        <v>2018</v>
      </c>
      <c r="H1111" s="22" t="n">
        <v>97456</v>
      </c>
      <c r="I1111" s="23" t="n">
        <v>375000</v>
      </c>
      <c r="J1111" s="20" t="inlineStr">
        <is>
          <t>EXCHANGE CHENNAI</t>
        </is>
      </c>
      <c r="K1111" s="20" t="inlineStr">
        <is>
          <t>Captive</t>
        </is>
      </c>
      <c r="L1111" s="20" t="inlineStr">
        <is>
          <t>Santhosh Cars</t>
        </is>
      </c>
      <c r="M1111" s="23" t="n">
        <v>8474.58</v>
      </c>
      <c r="N1111" s="23" t="n">
        <v>10000</v>
      </c>
      <c r="O1111" s="24">
        <f>IF(AND(ISNUMBER(M1111), ISNUMBER(I1111), I1111&gt;0), M1111/I1111, "")</f>
        <v/>
      </c>
    </row>
    <row r="1112">
      <c r="A1112" s="19" t="inlineStr">
        <is>
          <t>FY27</t>
        </is>
      </c>
      <c r="B1112" s="19" t="inlineStr">
        <is>
          <t>Apr</t>
        </is>
      </c>
      <c r="C1112" s="19" t="inlineStr">
        <is>
          <t>TN</t>
        </is>
      </c>
      <c r="D1112" s="20" t="inlineStr">
        <is>
          <t>KL01BR9904</t>
        </is>
      </c>
      <c r="E1112" s="20" t="inlineStr">
        <is>
          <t>HONDA</t>
        </is>
      </c>
      <c r="F1112" s="20" t="inlineStr">
        <is>
          <t>City</t>
        </is>
      </c>
      <c r="G1112" s="21" t="n">
        <v>2014</v>
      </c>
      <c r="H1112" s="22" t="n">
        <v>137209</v>
      </c>
      <c r="I1112" s="23" t="n">
        <v>360000</v>
      </c>
      <c r="J1112" s="20" t="inlineStr">
        <is>
          <t>Nippon Motor Corporation Pvt Ltd</t>
        </is>
      </c>
      <c r="K1112" s="20" t="inlineStr">
        <is>
          <t>Non-Captive</t>
        </is>
      </c>
      <c r="L1112" s="20" t="inlineStr">
        <is>
          <t>Shamnad AH</t>
        </is>
      </c>
      <c r="M1112" s="23" t="n">
        <v>5932.2</v>
      </c>
      <c r="N1112" s="23" t="n">
        <v>7000</v>
      </c>
      <c r="O1112" s="24">
        <f>IF(AND(ISNUMBER(M1112), ISNUMBER(I1112), I1112&gt;0), M1112/I1112, "")</f>
        <v/>
      </c>
    </row>
    <row r="1113">
      <c r="A1113" s="19" t="inlineStr">
        <is>
          <t>FY27</t>
        </is>
      </c>
      <c r="B1113" s="19" t="inlineStr">
        <is>
          <t>Apr</t>
        </is>
      </c>
      <c r="C1113" s="19" t="inlineStr">
        <is>
          <t>TN</t>
        </is>
      </c>
      <c r="D1113" s="20" t="inlineStr">
        <is>
          <t>KL01BX3373</t>
        </is>
      </c>
      <c r="E1113" s="20" t="inlineStr">
        <is>
          <t>MARUTI SUZUKI</t>
        </is>
      </c>
      <c r="F1113" s="20" t="inlineStr">
        <is>
          <t>Wagon R</t>
        </is>
      </c>
      <c r="G1113" s="21" t="n">
        <v>2016</v>
      </c>
      <c r="H1113" s="22" t="n"/>
      <c r="I1113" s="23" t="n">
        <v>310000</v>
      </c>
      <c r="J1113" s="20" t="inlineStr">
        <is>
          <t>Ideal Motors</t>
        </is>
      </c>
      <c r="K1113" s="20" t="inlineStr">
        <is>
          <t>Non-Captive</t>
        </is>
      </c>
      <c r="L1113" s="20" t="inlineStr">
        <is>
          <t>Popular Trivandrum</t>
        </is>
      </c>
      <c r="M1113" s="23" t="n">
        <v>5000</v>
      </c>
      <c r="N1113" s="23" t="n">
        <v>5900</v>
      </c>
      <c r="O1113" s="24">
        <f>IF(AND(ISNUMBER(M1113), ISNUMBER(I1113), I1113&gt;0), M1113/I1113, "")</f>
        <v/>
      </c>
    </row>
    <row r="1114">
      <c r="A1114" s="19" t="inlineStr">
        <is>
          <t>FY27</t>
        </is>
      </c>
      <c r="B1114" s="19" t="inlineStr">
        <is>
          <t>Apr</t>
        </is>
      </c>
      <c r="C1114" s="19" t="inlineStr">
        <is>
          <t>TN</t>
        </is>
      </c>
      <c r="D1114" s="20" t="inlineStr">
        <is>
          <t>KL21V8827</t>
        </is>
      </c>
      <c r="E1114" s="20" t="inlineStr">
        <is>
          <t>MARUTI SUZUKI</t>
        </is>
      </c>
      <c r="F1114" s="20" t="inlineStr">
        <is>
          <t>Ignis</t>
        </is>
      </c>
      <c r="G1114" s="21" t="n">
        <v>2021</v>
      </c>
      <c r="H1114" s="22" t="n">
        <v>57845</v>
      </c>
      <c r="I1114" s="23" t="n">
        <v>375000</v>
      </c>
      <c r="J1114" s="20" t="inlineStr">
        <is>
          <t>EVM AUTOKRAFT INDIA PRIVATE LIMITED</t>
        </is>
      </c>
      <c r="K1114" s="20" t="inlineStr">
        <is>
          <t>Non-Captive</t>
        </is>
      </c>
      <c r="L1114" s="20" t="inlineStr">
        <is>
          <t>Popular Thrissur</t>
        </is>
      </c>
      <c r="M1114" s="23" t="n">
        <v>5000</v>
      </c>
      <c r="N1114" s="23" t="n">
        <v>5900</v>
      </c>
      <c r="O1114" s="24">
        <f>IF(AND(ISNUMBER(M1114), ISNUMBER(I1114), I1114&gt;0), M1114/I1114, "")</f>
        <v/>
      </c>
    </row>
    <row r="1115">
      <c r="A1115" s="19" t="inlineStr">
        <is>
          <t>FY27</t>
        </is>
      </c>
      <c r="B1115" s="19" t="inlineStr">
        <is>
          <t>Apr</t>
        </is>
      </c>
      <c r="C1115" s="19" t="inlineStr">
        <is>
          <t>TN</t>
        </is>
      </c>
      <c r="D1115" s="20" t="inlineStr">
        <is>
          <t>TN01AS5763</t>
        </is>
      </c>
      <c r="E1115" s="20" t="inlineStr">
        <is>
          <t>FORD</t>
        </is>
      </c>
      <c r="F1115" s="20" t="inlineStr">
        <is>
          <t>Figo</t>
        </is>
      </c>
      <c r="G1115" s="21" t="n">
        <v>2012</v>
      </c>
      <c r="H1115" s="22" t="n">
        <v>65670</v>
      </c>
      <c r="I1115" s="23" t="n">
        <v>60000</v>
      </c>
      <c r="J1115" s="20" t="inlineStr">
        <is>
          <t>WHEELS INDIA LIMITED</t>
        </is>
      </c>
      <c r="K1115" s="20" t="inlineStr">
        <is>
          <t>Non-Captive</t>
        </is>
      </c>
      <c r="L1115" s="20" t="inlineStr">
        <is>
          <t>Ramesh Cars</t>
        </is>
      </c>
      <c r="M1115" s="23" t="n">
        <v>5084.75</v>
      </c>
      <c r="N1115" s="23" t="n">
        <v>6000</v>
      </c>
      <c r="O1115" s="24">
        <f>IF(AND(ISNUMBER(M1115), ISNUMBER(I1115), I1115&gt;0), M1115/I1115, "")</f>
        <v/>
      </c>
    </row>
    <row r="1116">
      <c r="A1116" s="19" t="inlineStr">
        <is>
          <t>FY27</t>
        </is>
      </c>
      <c r="B1116" s="19" t="inlineStr">
        <is>
          <t>Apr</t>
        </is>
      </c>
      <c r="C1116" s="19" t="inlineStr">
        <is>
          <t>TN</t>
        </is>
      </c>
      <c r="D1116" s="20" t="inlineStr">
        <is>
          <t>TN22CX4701</t>
        </is>
      </c>
      <c r="E1116" s="20" t="inlineStr">
        <is>
          <t>MARUTI SUZUKI</t>
        </is>
      </c>
      <c r="F1116" s="20" t="inlineStr">
        <is>
          <t>Ritz</t>
        </is>
      </c>
      <c r="G1116" s="21" t="n">
        <v>2011</v>
      </c>
      <c r="H1116" s="22" t="n">
        <v>149823</v>
      </c>
      <c r="I1116" s="23" t="n">
        <v>87000</v>
      </c>
      <c r="J1116" s="20" t="inlineStr">
        <is>
          <t>AIE CARS PRIVATE LIMITED</t>
        </is>
      </c>
      <c r="K1116" s="20" t="inlineStr">
        <is>
          <t>Non-Captive</t>
        </is>
      </c>
      <c r="L1116" s="20" t="inlineStr">
        <is>
          <t>KB Motor</t>
        </is>
      </c>
      <c r="M1116" s="23" t="n">
        <v>4237.29</v>
      </c>
      <c r="N1116" s="23" t="n">
        <v>5000</v>
      </c>
      <c r="O1116" s="24">
        <f>IF(AND(ISNUMBER(M1116), ISNUMBER(I1116), I1116&gt;0), M1116/I1116, "")</f>
        <v/>
      </c>
    </row>
    <row r="1117">
      <c r="A1117" s="19" t="inlineStr">
        <is>
          <t>FY27</t>
        </is>
      </c>
      <c r="B1117" s="19" t="inlineStr">
        <is>
          <t>Apr</t>
        </is>
      </c>
      <c r="C1117" s="19" t="inlineStr">
        <is>
          <t>TN</t>
        </is>
      </c>
      <c r="D1117" s="20" t="inlineStr">
        <is>
          <t>TN22CY3683</t>
        </is>
      </c>
      <c r="E1117" s="20" t="inlineStr">
        <is>
          <t>MARUTI SUZUKI</t>
        </is>
      </c>
      <c r="F1117" s="20" t="inlineStr">
        <is>
          <t>Alto</t>
        </is>
      </c>
      <c r="G1117" s="21" t="n">
        <v>2011</v>
      </c>
      <c r="H1117" s="22" t="n">
        <v>77085</v>
      </c>
      <c r="I1117" s="23" t="n">
        <v>98000</v>
      </c>
      <c r="J1117" s="20" t="inlineStr">
        <is>
          <t>Cars India</t>
        </is>
      </c>
      <c r="K1117" s="20" t="inlineStr">
        <is>
          <t>Non-Captive</t>
        </is>
      </c>
      <c r="L1117" s="20" t="inlineStr">
        <is>
          <t>KB Motor</t>
        </is>
      </c>
      <c r="M1117" s="23" t="n">
        <v>4237.29</v>
      </c>
      <c r="N1117" s="23" t="n">
        <v>5000</v>
      </c>
      <c r="O1117" s="24">
        <f>IF(AND(ISNUMBER(M1117), ISNUMBER(I1117), I1117&gt;0), M1117/I1117, "")</f>
        <v/>
      </c>
    </row>
    <row r="1118">
      <c r="A1118" s="19" t="inlineStr">
        <is>
          <t>FY27</t>
        </is>
      </c>
      <c r="B1118" s="19" t="inlineStr">
        <is>
          <t>Apr</t>
        </is>
      </c>
      <c r="C1118" s="19" t="inlineStr">
        <is>
          <t>TN</t>
        </is>
      </c>
      <c r="D1118" s="20" t="inlineStr">
        <is>
          <t>TN38BP9129</t>
        </is>
      </c>
      <c r="E1118" s="20" t="inlineStr">
        <is>
          <t>MARUTI SUZUKI</t>
        </is>
      </c>
      <c r="F1118" s="20" t="inlineStr">
        <is>
          <t>Alto</t>
        </is>
      </c>
      <c r="G1118" s="21" t="n">
        <v>2012</v>
      </c>
      <c r="H1118" s="22" t="n">
        <v>99442</v>
      </c>
      <c r="I1118" s="23" t="n">
        <v>80000</v>
      </c>
      <c r="J1118" s="20" t="inlineStr">
        <is>
          <t>AIE CARS PRIVATE LIMITED</t>
        </is>
      </c>
      <c r="K1118" s="20" t="inlineStr">
        <is>
          <t>Non-Captive</t>
        </is>
      </c>
      <c r="L1118" s="20" t="inlineStr">
        <is>
          <t>Murthy Cars</t>
        </is>
      </c>
      <c r="M1118" s="23" t="n">
        <v>4237.29</v>
      </c>
      <c r="N1118" s="23" t="n">
        <v>5000</v>
      </c>
      <c r="O1118" s="24">
        <f>IF(AND(ISNUMBER(M1118), ISNUMBER(I1118), I1118&gt;0), M1118/I1118, "")</f>
        <v/>
      </c>
    </row>
    <row r="1119">
      <c r="A1119" s="19" t="inlineStr">
        <is>
          <t>FY27</t>
        </is>
      </c>
      <c r="B1119" s="19" t="inlineStr">
        <is>
          <t>Apr</t>
        </is>
      </c>
      <c r="C1119" s="19" t="inlineStr">
        <is>
          <t>TN</t>
        </is>
      </c>
      <c r="D1119" s="20" t="inlineStr">
        <is>
          <t>TN05AR8439</t>
        </is>
      </c>
      <c r="E1119" s="20" t="inlineStr">
        <is>
          <t>HYUNDAI</t>
        </is>
      </c>
      <c r="F1119" s="20" t="inlineStr">
        <is>
          <t>I10</t>
        </is>
      </c>
      <c r="G1119" s="21" t="n">
        <v>2013</v>
      </c>
      <c r="H1119" s="22" t="n">
        <v>71430</v>
      </c>
      <c r="I1119" s="23" t="n">
        <v>95000</v>
      </c>
      <c r="J1119" s="20" t="inlineStr">
        <is>
          <t>Cars India</t>
        </is>
      </c>
      <c r="K1119" s="20" t="inlineStr">
        <is>
          <t>Non-Captive</t>
        </is>
      </c>
      <c r="L1119" s="20" t="inlineStr">
        <is>
          <t>Murthy Cars</t>
        </is>
      </c>
      <c r="M1119" s="23" t="n">
        <v>4237.29</v>
      </c>
      <c r="N1119" s="23" t="n">
        <v>5000</v>
      </c>
      <c r="O1119" s="24">
        <f>IF(AND(ISNUMBER(M1119), ISNUMBER(I1119), I1119&gt;0), M1119/I1119, "")</f>
        <v/>
      </c>
    </row>
    <row r="1120">
      <c r="A1120" s="19" t="inlineStr">
        <is>
          <t>FY27</t>
        </is>
      </c>
      <c r="B1120" s="19" t="inlineStr">
        <is>
          <t>Apr</t>
        </is>
      </c>
      <c r="C1120" s="19" t="inlineStr">
        <is>
          <t>TN</t>
        </is>
      </c>
      <c r="D1120" s="20" t="inlineStr">
        <is>
          <t>TN02AY6124</t>
        </is>
      </c>
      <c r="E1120" s="20" t="inlineStr">
        <is>
          <t>MARUTI SUZUKI</t>
        </is>
      </c>
      <c r="F1120" s="20" t="inlineStr">
        <is>
          <t>Wagon R</t>
        </is>
      </c>
      <c r="G1120" s="21" t="n">
        <v>2013</v>
      </c>
      <c r="H1120" s="22" t="n">
        <v>65240</v>
      </c>
      <c r="I1120" s="23" t="n">
        <v>78000</v>
      </c>
      <c r="J1120" s="20" t="inlineStr">
        <is>
          <t>Cars India</t>
        </is>
      </c>
      <c r="K1120" s="20" t="inlineStr">
        <is>
          <t>Non-Captive</t>
        </is>
      </c>
      <c r="L1120" s="20" t="inlineStr">
        <is>
          <t>Kamal Cars</t>
        </is>
      </c>
      <c r="M1120" s="23" t="n">
        <v>4237.29</v>
      </c>
      <c r="N1120" s="23" t="n">
        <v>5000</v>
      </c>
      <c r="O1120" s="24">
        <f>IF(AND(ISNUMBER(M1120), ISNUMBER(I1120), I1120&gt;0), M1120/I1120, "")</f>
        <v/>
      </c>
    </row>
    <row r="1121">
      <c r="A1121" s="19" t="inlineStr">
        <is>
          <t>FY27</t>
        </is>
      </c>
      <c r="B1121" s="19" t="inlineStr">
        <is>
          <t>Apr</t>
        </is>
      </c>
      <c r="C1121" s="19" t="inlineStr">
        <is>
          <t>TN</t>
        </is>
      </c>
      <c r="D1121" s="20" t="inlineStr">
        <is>
          <t>TN06D3754</t>
        </is>
      </c>
      <c r="E1121" s="20" t="inlineStr">
        <is>
          <t>MARUTI SUZUKI</t>
        </is>
      </c>
      <c r="F1121" s="20" t="inlineStr">
        <is>
          <t>Wagon R</t>
        </is>
      </c>
      <c r="G1121" s="21" t="n">
        <v>2011</v>
      </c>
      <c r="H1121" s="22" t="n">
        <v>56750</v>
      </c>
      <c r="I1121" s="23" t="n">
        <v>90000</v>
      </c>
      <c r="J1121" s="20" t="inlineStr">
        <is>
          <t>Cars India</t>
        </is>
      </c>
      <c r="K1121" s="20" t="inlineStr">
        <is>
          <t>Non-Captive</t>
        </is>
      </c>
      <c r="L1121" s="20" t="inlineStr">
        <is>
          <t>Kamal Cars</t>
        </is>
      </c>
      <c r="M1121" s="23" t="n">
        <v>4237.29</v>
      </c>
      <c r="N1121" s="23" t="n">
        <v>5000</v>
      </c>
      <c r="O1121" s="24">
        <f>IF(AND(ISNUMBER(M1121), ISNUMBER(I1121), I1121&gt;0), M1121/I1121, "")</f>
        <v/>
      </c>
    </row>
    <row r="1122">
      <c r="A1122" s="19" t="inlineStr">
        <is>
          <t>FY27</t>
        </is>
      </c>
      <c r="B1122" s="19" t="inlineStr">
        <is>
          <t>Apr</t>
        </is>
      </c>
      <c r="C1122" s="19" t="inlineStr">
        <is>
          <t>TN</t>
        </is>
      </c>
      <c r="D1122" s="20" t="inlineStr">
        <is>
          <t>TN39AV3909</t>
        </is>
      </c>
      <c r="E1122" s="20" t="inlineStr">
        <is>
          <t>MARUTI SUZUKI</t>
        </is>
      </c>
      <c r="F1122" s="20" t="inlineStr">
        <is>
          <t>Swift Dzire</t>
        </is>
      </c>
      <c r="G1122" s="21" t="n">
        <v>2009</v>
      </c>
      <c r="H1122" s="22" t="n">
        <v>182944</v>
      </c>
      <c r="I1122" s="23" t="n">
        <v>150000</v>
      </c>
      <c r="J1122" s="20" t="inlineStr">
        <is>
          <t>Cars India</t>
        </is>
      </c>
      <c r="K1122" s="20" t="inlineStr">
        <is>
          <t>Non-Captive</t>
        </is>
      </c>
      <c r="L1122" s="20" t="inlineStr">
        <is>
          <t>Santhosh Cars</t>
        </is>
      </c>
      <c r="M1122" s="23" t="n">
        <v>5084.75</v>
      </c>
      <c r="N1122" s="23" t="n">
        <v>6000</v>
      </c>
      <c r="O1122" s="24">
        <f>IF(AND(ISNUMBER(M1122), ISNUMBER(I1122), I1122&gt;0), M1122/I1122, "")</f>
        <v/>
      </c>
    </row>
    <row r="1123">
      <c r="A1123" s="19" t="inlineStr">
        <is>
          <t>FY27</t>
        </is>
      </c>
      <c r="B1123" s="19" t="inlineStr">
        <is>
          <t>Apr</t>
        </is>
      </c>
      <c r="C1123" s="19" t="inlineStr">
        <is>
          <t>TN</t>
        </is>
      </c>
      <c r="D1123" s="20" t="inlineStr">
        <is>
          <t>TN10AK3099</t>
        </is>
      </c>
      <c r="E1123" s="20" t="inlineStr">
        <is>
          <t>MARUTI SUZUKI</t>
        </is>
      </c>
      <c r="F1123" s="20" t="inlineStr">
        <is>
          <t>Ertiga</t>
        </is>
      </c>
      <c r="G1123" s="21" t="n">
        <v>2012</v>
      </c>
      <c r="H1123" s="22" t="n">
        <v>97542</v>
      </c>
      <c r="I1123" s="23" t="n">
        <v>198000</v>
      </c>
      <c r="J1123" s="20" t="inlineStr">
        <is>
          <t>Cars India</t>
        </is>
      </c>
      <c r="K1123" s="20" t="inlineStr">
        <is>
          <t>Non-Captive</t>
        </is>
      </c>
      <c r="L1123" s="20" t="inlineStr">
        <is>
          <t>Santhosh Cars</t>
        </is>
      </c>
      <c r="M1123" s="23" t="n">
        <v>5084.75</v>
      </c>
      <c r="N1123" s="23" t="n">
        <v>6000</v>
      </c>
      <c r="O1123" s="24">
        <f>IF(AND(ISNUMBER(M1123), ISNUMBER(I1123), I1123&gt;0), M1123/I1123, "")</f>
        <v/>
      </c>
    </row>
    <row r="1124">
      <c r="A1124" s="19" t="inlineStr">
        <is>
          <t>FY27</t>
        </is>
      </c>
      <c r="B1124" s="19" t="inlineStr">
        <is>
          <t>Apr</t>
        </is>
      </c>
      <c r="C1124" s="19" t="inlineStr">
        <is>
          <t>TN</t>
        </is>
      </c>
      <c r="D1124" s="20" t="inlineStr">
        <is>
          <t>TN10AP9480</t>
        </is>
      </c>
      <c r="E1124" s="20" t="inlineStr">
        <is>
          <t>HYUNDAI</t>
        </is>
      </c>
      <c r="F1124" s="20" t="inlineStr">
        <is>
          <t>I10</t>
        </is>
      </c>
      <c r="G1124" s="21" t="n">
        <v>2014</v>
      </c>
      <c r="H1124" s="22" t="n">
        <v>20589</v>
      </c>
      <c r="I1124" s="23" t="n">
        <v>200000</v>
      </c>
      <c r="J1124" s="20" t="inlineStr">
        <is>
          <t>AIE CARS PRIVATE LIMITED</t>
        </is>
      </c>
      <c r="K1124" s="20" t="inlineStr">
        <is>
          <t>Non-Captive</t>
        </is>
      </c>
      <c r="L1124" s="20" t="inlineStr">
        <is>
          <t>Santhosh Cars</t>
        </is>
      </c>
      <c r="M1124" s="23" t="n">
        <v>5084.75</v>
      </c>
      <c r="N1124" s="23" t="n">
        <v>6000</v>
      </c>
      <c r="O1124" s="24">
        <f>IF(AND(ISNUMBER(M1124), ISNUMBER(I1124), I1124&gt;0), M1124/I1124, "")</f>
        <v/>
      </c>
    </row>
    <row r="1125">
      <c r="A1125" s="19" t="inlineStr">
        <is>
          <t>FY27</t>
        </is>
      </c>
      <c r="B1125" s="19" t="inlineStr">
        <is>
          <t>Apr</t>
        </is>
      </c>
      <c r="C1125" s="19" t="inlineStr">
        <is>
          <t>TN</t>
        </is>
      </c>
      <c r="D1125" s="20" t="inlineStr">
        <is>
          <t>TN01BE1116</t>
        </is>
      </c>
      <c r="E1125" s="20" t="inlineStr">
        <is>
          <t>MARUTI SUZUKI</t>
        </is>
      </c>
      <c r="F1125" s="20" t="inlineStr">
        <is>
          <t>Alto</t>
        </is>
      </c>
      <c r="G1125" s="21" t="n">
        <v>2018</v>
      </c>
      <c r="H1125" s="22" t="n">
        <v>50790</v>
      </c>
      <c r="I1125" s="23" t="n">
        <v>200000</v>
      </c>
      <c r="J1125" s="20" t="inlineStr">
        <is>
          <t>Cars India</t>
        </is>
      </c>
      <c r="K1125" s="20" t="inlineStr">
        <is>
          <t>Non-Captive</t>
        </is>
      </c>
      <c r="L1125" s="20" t="inlineStr">
        <is>
          <t>Kamal Cars</t>
        </is>
      </c>
      <c r="M1125" s="23" t="n">
        <v>5084.75</v>
      </c>
      <c r="N1125" s="23" t="n">
        <v>6000</v>
      </c>
      <c r="O1125" s="24">
        <f>IF(AND(ISNUMBER(M1125), ISNUMBER(I1125), I1125&gt;0), M1125/I1125, "")</f>
        <v/>
      </c>
    </row>
    <row r="1126">
      <c r="A1126" s="19" t="inlineStr">
        <is>
          <t>FY27</t>
        </is>
      </c>
      <c r="B1126" s="19" t="inlineStr">
        <is>
          <t>Apr</t>
        </is>
      </c>
      <c r="C1126" s="19" t="inlineStr">
        <is>
          <t>TN</t>
        </is>
      </c>
      <c r="D1126" s="20" t="inlineStr">
        <is>
          <t>TN11AM2004</t>
        </is>
      </c>
      <c r="E1126" s="20" t="inlineStr">
        <is>
          <t>MARUTI SUZUKI</t>
        </is>
      </c>
      <c r="F1126" s="20" t="inlineStr">
        <is>
          <t>Wagon R</t>
        </is>
      </c>
      <c r="G1126" s="21" t="n">
        <v>2019</v>
      </c>
      <c r="H1126" s="22" t="n">
        <v>158541</v>
      </c>
      <c r="I1126" s="23" t="n">
        <v>194000</v>
      </c>
      <c r="J1126" s="20" t="inlineStr">
        <is>
          <t>VISHNU CARS PRIVATE LIMITED</t>
        </is>
      </c>
      <c r="K1126" s="20" t="inlineStr">
        <is>
          <t>Non-Captive</t>
        </is>
      </c>
      <c r="L1126" s="20" t="inlineStr">
        <is>
          <t>Kamal Cars</t>
        </is>
      </c>
      <c r="M1126" s="23" t="n">
        <v>5084.75</v>
      </c>
      <c r="N1126" s="23" t="n">
        <v>6000</v>
      </c>
      <c r="O1126" s="24">
        <f>IF(AND(ISNUMBER(M1126), ISNUMBER(I1126), I1126&gt;0), M1126/I1126, "")</f>
        <v/>
      </c>
    </row>
    <row r="1127">
      <c r="A1127" s="19" t="inlineStr">
        <is>
          <t>FY27</t>
        </is>
      </c>
      <c r="B1127" s="19" t="inlineStr">
        <is>
          <t>Apr</t>
        </is>
      </c>
      <c r="C1127" s="19" t="inlineStr">
        <is>
          <t>TN</t>
        </is>
      </c>
      <c r="D1127" s="20" t="inlineStr">
        <is>
          <t>TN07CJ8462</t>
        </is>
      </c>
      <c r="E1127" s="20" t="inlineStr">
        <is>
          <t>MARUTI SUZUKI</t>
        </is>
      </c>
      <c r="F1127" s="20" t="inlineStr">
        <is>
          <t>Celerio</t>
        </is>
      </c>
      <c r="G1127" s="21" t="n">
        <v>2017</v>
      </c>
      <c r="H1127" s="22" t="n">
        <v>24940</v>
      </c>
      <c r="I1127" s="23" t="n">
        <v>193000</v>
      </c>
      <c r="J1127" s="20" t="inlineStr">
        <is>
          <t>AIE CARS PRIVATE LIMITED</t>
        </is>
      </c>
      <c r="K1127" s="20" t="inlineStr">
        <is>
          <t>Non-Captive</t>
        </is>
      </c>
      <c r="L1127" s="20" t="inlineStr">
        <is>
          <t>Kamal Cars</t>
        </is>
      </c>
      <c r="M1127" s="23" t="n">
        <v>5084.75</v>
      </c>
      <c r="N1127" s="23" t="n">
        <v>6000</v>
      </c>
      <c r="O1127" s="24">
        <f>IF(AND(ISNUMBER(M1127), ISNUMBER(I1127), I1127&gt;0), M1127/I1127, "")</f>
        <v/>
      </c>
    </row>
    <row r="1128">
      <c r="A1128" s="19" t="inlineStr">
        <is>
          <t>FY27</t>
        </is>
      </c>
      <c r="B1128" s="19" t="inlineStr">
        <is>
          <t>Apr</t>
        </is>
      </c>
      <c r="C1128" s="19" t="inlineStr">
        <is>
          <t>TN</t>
        </is>
      </c>
      <c r="D1128" s="20" t="inlineStr">
        <is>
          <t>TN01BA8415</t>
        </is>
      </c>
      <c r="E1128" s="20" t="inlineStr">
        <is>
          <t>MARUTI SUZUKI</t>
        </is>
      </c>
      <c r="F1128" s="20" t="inlineStr">
        <is>
          <t>Ciaz</t>
        </is>
      </c>
      <c r="G1128" s="21" t="n">
        <v>2016</v>
      </c>
      <c r="H1128" s="22" t="n">
        <v>19307</v>
      </c>
      <c r="I1128" s="23" t="n">
        <v>380000</v>
      </c>
      <c r="J1128" s="20" t="inlineStr">
        <is>
          <t>Cars India</t>
        </is>
      </c>
      <c r="K1128" s="20" t="inlineStr">
        <is>
          <t>Non-Captive</t>
        </is>
      </c>
      <c r="L1128" s="20" t="inlineStr">
        <is>
          <t>Santhosh Cars</t>
        </is>
      </c>
      <c r="M1128" s="23" t="n">
        <v>6355.93</v>
      </c>
      <c r="N1128" s="23" t="n">
        <v>7500</v>
      </c>
      <c r="O1128" s="24">
        <f>IF(AND(ISNUMBER(M1128), ISNUMBER(I1128), I1128&gt;0), M1128/I1128, "")</f>
        <v/>
      </c>
    </row>
    <row r="1129">
      <c r="A1129" s="19" t="inlineStr">
        <is>
          <t>FY27</t>
        </is>
      </c>
      <c r="B1129" s="19" t="inlineStr">
        <is>
          <t>Apr</t>
        </is>
      </c>
      <c r="C1129" s="19" t="inlineStr">
        <is>
          <t>TN</t>
        </is>
      </c>
      <c r="D1129" s="20" t="inlineStr">
        <is>
          <t>TN09CE4405</t>
        </is>
      </c>
      <c r="E1129" s="20" t="inlineStr">
        <is>
          <t>RENAULT</t>
        </is>
      </c>
      <c r="F1129" s="20" t="inlineStr">
        <is>
          <t>Lodgy</t>
        </is>
      </c>
      <c r="G1129" s="21" t="n">
        <v>2016</v>
      </c>
      <c r="H1129" s="22" t="n">
        <v>136445</v>
      </c>
      <c r="I1129" s="23" t="n">
        <v>350000</v>
      </c>
      <c r="J1129" s="20" t="inlineStr">
        <is>
          <t>Cars India</t>
        </is>
      </c>
      <c r="K1129" s="20" t="inlineStr">
        <is>
          <t>Non-Captive</t>
        </is>
      </c>
      <c r="L1129" s="20" t="inlineStr">
        <is>
          <t>Santhosh Cars</t>
        </is>
      </c>
      <c r="M1129" s="23" t="n">
        <v>6355.93</v>
      </c>
      <c r="N1129" s="23" t="n">
        <v>7500</v>
      </c>
      <c r="O1129" s="24">
        <f>IF(AND(ISNUMBER(M1129), ISNUMBER(I1129), I1129&gt;0), M1129/I1129, "")</f>
        <v/>
      </c>
    </row>
    <row r="1130">
      <c r="A1130" s="19" t="inlineStr">
        <is>
          <t>FY27</t>
        </is>
      </c>
      <c r="B1130" s="19" t="inlineStr">
        <is>
          <t>Apr</t>
        </is>
      </c>
      <c r="C1130" s="19" t="inlineStr">
        <is>
          <t>TN</t>
        </is>
      </c>
      <c r="D1130" s="20" t="inlineStr">
        <is>
          <t>TN18AJ5270</t>
        </is>
      </c>
      <c r="E1130" s="20" t="inlineStr">
        <is>
          <t>MARUTI SUZUKI</t>
        </is>
      </c>
      <c r="F1130" s="20" t="inlineStr">
        <is>
          <t>Swift</t>
        </is>
      </c>
      <c r="G1130" s="21" t="n">
        <v>2016</v>
      </c>
      <c r="H1130" s="22" t="n">
        <v>39158</v>
      </c>
      <c r="I1130" s="23" t="n">
        <v>325000</v>
      </c>
      <c r="J1130" s="20" t="inlineStr">
        <is>
          <t>Cars India</t>
        </is>
      </c>
      <c r="K1130" s="20" t="inlineStr">
        <is>
          <t>Non-Captive</t>
        </is>
      </c>
      <c r="L1130" s="20" t="inlineStr">
        <is>
          <t>Santhosh Cars</t>
        </is>
      </c>
      <c r="M1130" s="23" t="n">
        <v>6355.93</v>
      </c>
      <c r="N1130" s="23" t="n">
        <v>7500</v>
      </c>
      <c r="O1130" s="24">
        <f>IF(AND(ISNUMBER(M1130), ISNUMBER(I1130), I1130&gt;0), M1130/I1130, "")</f>
        <v/>
      </c>
    </row>
    <row r="1131">
      <c r="A1131" s="19" t="inlineStr">
        <is>
          <t>FY27</t>
        </is>
      </c>
      <c r="B1131" s="19" t="inlineStr">
        <is>
          <t>Apr</t>
        </is>
      </c>
      <c r="C1131" s="19" t="inlineStr">
        <is>
          <t>TN</t>
        </is>
      </c>
      <c r="D1131" s="20" t="inlineStr">
        <is>
          <t>TN10BA4056</t>
        </is>
      </c>
      <c r="E1131" s="20" t="inlineStr">
        <is>
          <t>MARUTI SUZUKI</t>
        </is>
      </c>
      <c r="F1131" s="20" t="inlineStr">
        <is>
          <t>Swift Dzire</t>
        </is>
      </c>
      <c r="G1131" s="21" t="n">
        <v>2017</v>
      </c>
      <c r="H1131" s="22" t="n">
        <v>54558</v>
      </c>
      <c r="I1131" s="23" t="n">
        <v>385000</v>
      </c>
      <c r="J1131" s="20" t="inlineStr">
        <is>
          <t>Cars India</t>
        </is>
      </c>
      <c r="K1131" s="20" t="inlineStr">
        <is>
          <t>Non-Captive</t>
        </is>
      </c>
      <c r="L1131" s="20" t="inlineStr">
        <is>
          <t>Santhosh Cars</t>
        </is>
      </c>
      <c r="M1131" s="23" t="n">
        <v>6355.93</v>
      </c>
      <c r="N1131" s="23" t="n">
        <v>7500</v>
      </c>
      <c r="O1131" s="24">
        <f>IF(AND(ISNUMBER(M1131), ISNUMBER(I1131), I1131&gt;0), M1131/I1131, "")</f>
        <v/>
      </c>
    </row>
    <row r="1132">
      <c r="A1132" s="19" t="inlineStr">
        <is>
          <t>FY27</t>
        </is>
      </c>
      <c r="B1132" s="19" t="inlineStr">
        <is>
          <t>Apr</t>
        </is>
      </c>
      <c r="C1132" s="19" t="inlineStr">
        <is>
          <t>TN</t>
        </is>
      </c>
      <c r="D1132" s="20" t="inlineStr">
        <is>
          <t>TN07CJ9902</t>
        </is>
      </c>
      <c r="E1132" s="20" t="inlineStr">
        <is>
          <t>HYUNDAI</t>
        </is>
      </c>
      <c r="F1132" s="20" t="inlineStr">
        <is>
          <t>Verna</t>
        </is>
      </c>
      <c r="G1132" s="21" t="n">
        <v>2017</v>
      </c>
      <c r="H1132" s="22" t="n">
        <v>27139</v>
      </c>
      <c r="I1132" s="23" t="n">
        <v>390000</v>
      </c>
      <c r="J1132" s="20" t="inlineStr">
        <is>
          <t>Cars India</t>
        </is>
      </c>
      <c r="K1132" s="20" t="inlineStr">
        <is>
          <t>Non-Captive</t>
        </is>
      </c>
      <c r="L1132" s="20" t="inlineStr">
        <is>
          <t>Santhosh Cars</t>
        </is>
      </c>
      <c r="M1132" s="23" t="n">
        <v>6355.93</v>
      </c>
      <c r="N1132" s="23" t="n">
        <v>7500</v>
      </c>
      <c r="O1132" s="24">
        <f>IF(AND(ISNUMBER(M1132), ISNUMBER(I1132), I1132&gt;0), M1132/I1132, "")</f>
        <v/>
      </c>
    </row>
    <row r="1133">
      <c r="A1133" s="19" t="inlineStr">
        <is>
          <t>FY27</t>
        </is>
      </c>
      <c r="B1133" s="19" t="inlineStr">
        <is>
          <t>Apr</t>
        </is>
      </c>
      <c r="C1133" s="19" t="inlineStr">
        <is>
          <t>TN</t>
        </is>
      </c>
      <c r="D1133" s="20" t="inlineStr">
        <is>
          <t>TN22CK8887</t>
        </is>
      </c>
      <c r="E1133" s="20" t="inlineStr">
        <is>
          <t>HONDA</t>
        </is>
      </c>
      <c r="F1133" s="20" t="inlineStr">
        <is>
          <t>Amaze</t>
        </is>
      </c>
      <c r="G1133" s="21" t="n">
        <v>2013</v>
      </c>
      <c r="H1133" s="22" t="n">
        <v>59673</v>
      </c>
      <c r="I1133" s="23" t="n">
        <v>270000</v>
      </c>
      <c r="J1133" s="20" t="inlineStr">
        <is>
          <t>EXCHANGE CHENNAI</t>
        </is>
      </c>
      <c r="K1133" s="20" t="inlineStr">
        <is>
          <t>Captive</t>
        </is>
      </c>
      <c r="L1133" s="20" t="inlineStr">
        <is>
          <t>Santhosh Cars</t>
        </is>
      </c>
      <c r="M1133" s="23" t="n">
        <v>8474.58</v>
      </c>
      <c r="N1133" s="23" t="n">
        <v>10000</v>
      </c>
      <c r="O1133" s="24">
        <f>IF(AND(ISNUMBER(M1133), ISNUMBER(I1133), I1133&gt;0), M1133/I1133, "")</f>
        <v/>
      </c>
    </row>
    <row r="1134">
      <c r="A1134" s="19" t="inlineStr">
        <is>
          <t>FY27</t>
        </is>
      </c>
      <c r="B1134" s="19" t="inlineStr">
        <is>
          <t>Apr</t>
        </is>
      </c>
      <c r="C1134" s="19" t="inlineStr">
        <is>
          <t>TN</t>
        </is>
      </c>
      <c r="D1134" s="20" t="inlineStr">
        <is>
          <t>TN02AX6246</t>
        </is>
      </c>
      <c r="E1134" s="20" t="inlineStr">
        <is>
          <t>HYUNDAI</t>
        </is>
      </c>
      <c r="F1134" s="20" t="inlineStr">
        <is>
          <t>I20</t>
        </is>
      </c>
      <c r="G1134" s="21" t="n">
        <v>2013</v>
      </c>
      <c r="H1134" s="22" t="n">
        <v>42897</v>
      </c>
      <c r="I1134" s="23" t="n">
        <v>210000</v>
      </c>
      <c r="J1134" s="20" t="inlineStr">
        <is>
          <t>EXCHANGE CHENNAI</t>
        </is>
      </c>
      <c r="K1134" s="20" t="inlineStr">
        <is>
          <t>Captive</t>
        </is>
      </c>
      <c r="L1134" s="20" t="inlineStr">
        <is>
          <t>RAM Manohar</t>
        </is>
      </c>
      <c r="M1134" s="23" t="n">
        <v>8474.58</v>
      </c>
      <c r="N1134" s="23" t="n">
        <v>10000</v>
      </c>
      <c r="O1134" s="24">
        <f>IF(AND(ISNUMBER(M1134), ISNUMBER(I1134), I1134&gt;0), M1134/I1134, "")</f>
        <v/>
      </c>
    </row>
    <row r="1135">
      <c r="A1135" s="19" t="inlineStr">
        <is>
          <t>FY27</t>
        </is>
      </c>
      <c r="B1135" s="19" t="inlineStr">
        <is>
          <t>Apr</t>
        </is>
      </c>
      <c r="C1135" s="19" t="inlineStr">
        <is>
          <t>TN</t>
        </is>
      </c>
      <c r="D1135" s="20" t="inlineStr">
        <is>
          <t>TN07BR2549</t>
        </is>
      </c>
      <c r="E1135" s="20" t="inlineStr">
        <is>
          <t>TATA</t>
        </is>
      </c>
      <c r="F1135" s="20" t="inlineStr">
        <is>
          <t>Indica</t>
        </is>
      </c>
      <c r="G1135" s="21" t="n">
        <v>2012</v>
      </c>
      <c r="H1135" s="22" t="n">
        <v>63211</v>
      </c>
      <c r="I1135" s="23" t="n">
        <v>125000</v>
      </c>
      <c r="J1135" s="20" t="inlineStr">
        <is>
          <t>EXCHANGE CHENNAI</t>
        </is>
      </c>
      <c r="K1135" s="20" t="inlineStr">
        <is>
          <t>Captive</t>
        </is>
      </c>
      <c r="L1135" s="20" t="inlineStr">
        <is>
          <t>Varadhrajan cars</t>
        </is>
      </c>
      <c r="M1135" s="23" t="n">
        <v>4237.29</v>
      </c>
      <c r="N1135" s="23" t="n">
        <v>5000</v>
      </c>
      <c r="O1135" s="24">
        <f>IF(AND(ISNUMBER(M1135), ISNUMBER(I1135), I1135&gt;0), M1135/I1135, "")</f>
        <v/>
      </c>
    </row>
    <row r="1136">
      <c r="A1136" s="19" t="inlineStr">
        <is>
          <t>FY27</t>
        </is>
      </c>
      <c r="B1136" s="19" t="inlineStr">
        <is>
          <t>Apr</t>
        </is>
      </c>
      <c r="C1136" s="19" t="inlineStr">
        <is>
          <t>TN</t>
        </is>
      </c>
      <c r="D1136" s="20" t="inlineStr">
        <is>
          <t>TN07CQ3075</t>
        </is>
      </c>
      <c r="E1136" s="20" t="inlineStr">
        <is>
          <t>HYUNDAI</t>
        </is>
      </c>
      <c r="F1136" s="20" t="inlineStr">
        <is>
          <t>Creta</t>
        </is>
      </c>
      <c r="G1136" s="21" t="n">
        <v>2018</v>
      </c>
      <c r="H1136" s="22" t="n">
        <v>191734</v>
      </c>
      <c r="I1136" s="23" t="n">
        <v>550000</v>
      </c>
      <c r="J1136" s="20" t="inlineStr">
        <is>
          <t>EXCHANGE CHENNAI</t>
        </is>
      </c>
      <c r="K1136" s="20" t="inlineStr">
        <is>
          <t>Captive</t>
        </is>
      </c>
      <c r="L1136" s="20" t="inlineStr">
        <is>
          <t>Vijaya Cars</t>
        </is>
      </c>
      <c r="M1136" s="23" t="n">
        <v>8474.58</v>
      </c>
      <c r="N1136" s="23" t="n">
        <v>10000</v>
      </c>
      <c r="O1136" s="24">
        <f>IF(AND(ISNUMBER(M1136), ISNUMBER(I1136), I1136&gt;0), M1136/I1136, "")</f>
        <v/>
      </c>
    </row>
    <row r="1137">
      <c r="A1137" s="19" t="inlineStr">
        <is>
          <t>FY27</t>
        </is>
      </c>
      <c r="B1137" s="19" t="inlineStr">
        <is>
          <t>Apr</t>
        </is>
      </c>
      <c r="C1137" s="19" t="inlineStr">
        <is>
          <t>TN</t>
        </is>
      </c>
      <c r="D1137" s="20" t="inlineStr">
        <is>
          <t>TN85C3881</t>
        </is>
      </c>
      <c r="E1137" s="20" t="inlineStr">
        <is>
          <t>HONDA</t>
        </is>
      </c>
      <c r="F1137" s="20" t="inlineStr">
        <is>
          <t>Jazz</t>
        </is>
      </c>
      <c r="G1137" s="21" t="n">
        <v>2016</v>
      </c>
      <c r="H1137" s="22" t="n">
        <v>201910</v>
      </c>
      <c r="I1137" s="23" t="n">
        <v>275000</v>
      </c>
      <c r="J1137" s="20" t="inlineStr">
        <is>
          <t>EXCHANGE CHENNAI</t>
        </is>
      </c>
      <c r="K1137" s="20" t="inlineStr">
        <is>
          <t>Captive</t>
        </is>
      </c>
      <c r="L1137" s="20" t="inlineStr">
        <is>
          <t>Senthil Cars</t>
        </is>
      </c>
      <c r="M1137" s="23" t="n">
        <v>8474.58</v>
      </c>
      <c r="N1137" s="23" t="n">
        <v>10000</v>
      </c>
      <c r="O1137" s="24">
        <f>IF(AND(ISNUMBER(M1137), ISNUMBER(I1137), I1137&gt;0), M1137/I1137, "")</f>
        <v/>
      </c>
    </row>
    <row r="1138">
      <c r="A1138" s="19" t="inlineStr">
        <is>
          <t>FY27</t>
        </is>
      </c>
      <c r="B1138" s="19" t="inlineStr">
        <is>
          <t>Apr</t>
        </is>
      </c>
      <c r="C1138" s="19" t="inlineStr">
        <is>
          <t>TN</t>
        </is>
      </c>
      <c r="D1138" s="20" t="inlineStr">
        <is>
          <t>TN09AX3240</t>
        </is>
      </c>
      <c r="E1138" s="20" t="inlineStr">
        <is>
          <t>FORD</t>
        </is>
      </c>
      <c r="F1138" s="20" t="inlineStr">
        <is>
          <t>Fiesta</t>
        </is>
      </c>
      <c r="G1138" s="21" t="n">
        <v>2008</v>
      </c>
      <c r="H1138" s="22" t="n">
        <v>96243</v>
      </c>
      <c r="I1138" s="23" t="n">
        <v>60000</v>
      </c>
      <c r="J1138" s="20" t="inlineStr">
        <is>
          <t>EXCHANGE ROTN</t>
        </is>
      </c>
      <c r="K1138" s="20" t="inlineStr">
        <is>
          <t>Captive</t>
        </is>
      </c>
      <c r="L1138" s="20" t="inlineStr">
        <is>
          <t>Rajaganapathy Cars</t>
        </is>
      </c>
      <c r="M1138" s="23" t="n">
        <v>5084.75</v>
      </c>
      <c r="N1138" s="23" t="n">
        <v>6000</v>
      </c>
      <c r="O1138" s="24">
        <f>IF(AND(ISNUMBER(M1138), ISNUMBER(I1138), I1138&gt;0), M1138/I1138, "")</f>
        <v/>
      </c>
    </row>
    <row r="1139">
      <c r="A1139" s="19" t="inlineStr">
        <is>
          <t>FY27</t>
        </is>
      </c>
      <c r="B1139" s="19" t="inlineStr">
        <is>
          <t>Apr</t>
        </is>
      </c>
      <c r="C1139" s="19" t="inlineStr">
        <is>
          <t>TN</t>
        </is>
      </c>
      <c r="D1139" s="20" t="inlineStr">
        <is>
          <t>TN38CZ6202</t>
        </is>
      </c>
      <c r="E1139" s="20" t="inlineStr">
        <is>
          <t>TATA</t>
        </is>
      </c>
      <c r="F1139" s="20" t="inlineStr">
        <is>
          <t>Nexon</t>
        </is>
      </c>
      <c r="G1139" s="21" t="n">
        <v>2021</v>
      </c>
      <c r="H1139" s="22" t="n">
        <v>40016</v>
      </c>
      <c r="I1139" s="23" t="n">
        <v>520000</v>
      </c>
      <c r="J1139" s="20" t="inlineStr">
        <is>
          <t>EXCHANGE ROTN</t>
        </is>
      </c>
      <c r="K1139" s="20" t="inlineStr">
        <is>
          <t>Captive</t>
        </is>
      </c>
      <c r="L1139" s="20" t="inlineStr">
        <is>
          <t>YUGA DHEERAN CARS</t>
        </is>
      </c>
      <c r="M1139" s="23" t="n">
        <v>8474.58</v>
      </c>
      <c r="N1139" s="23" t="n">
        <v>10000</v>
      </c>
      <c r="O1139" s="24">
        <f>IF(AND(ISNUMBER(M1139), ISNUMBER(I1139), I1139&gt;0), M1139/I1139, "")</f>
        <v/>
      </c>
    </row>
    <row r="1140">
      <c r="A1140" s="19" t="inlineStr">
        <is>
          <t>FY27</t>
        </is>
      </c>
      <c r="B1140" s="19" t="inlineStr">
        <is>
          <t>Apr</t>
        </is>
      </c>
      <c r="C1140" s="19" t="inlineStr">
        <is>
          <t>TN</t>
        </is>
      </c>
      <c r="D1140" s="20" t="inlineStr">
        <is>
          <t>TN99AA2736</t>
        </is>
      </c>
      <c r="E1140" s="20" t="inlineStr">
        <is>
          <t>RENAULT</t>
        </is>
      </c>
      <c r="F1140" s="20" t="inlineStr">
        <is>
          <t>Kwid</t>
        </is>
      </c>
      <c r="G1140" s="21" t="n">
        <v>2023</v>
      </c>
      <c r="H1140" s="22" t="n">
        <v>15141</v>
      </c>
      <c r="I1140" s="23" t="n">
        <v>350000</v>
      </c>
      <c r="J1140" s="20" t="inlineStr">
        <is>
          <t>EXCHANGE ROTN</t>
        </is>
      </c>
      <c r="K1140" s="20" t="inlineStr">
        <is>
          <t>Captive</t>
        </is>
      </c>
      <c r="L1140" s="20" t="inlineStr">
        <is>
          <t>UZHAVAN ENTERPRISE</t>
        </is>
      </c>
      <c r="M1140" s="23" t="n">
        <v>12711.86</v>
      </c>
      <c r="N1140" s="23" t="n">
        <v>15000</v>
      </c>
      <c r="O1140" s="24">
        <f>IF(AND(ISNUMBER(M1140), ISNUMBER(I1140), I1140&gt;0), M1140/I1140, "")</f>
        <v/>
      </c>
    </row>
    <row r="1141">
      <c r="A1141" s="19" t="inlineStr">
        <is>
          <t>FY27</t>
        </is>
      </c>
      <c r="B1141" s="19" t="inlineStr">
        <is>
          <t>Apr</t>
        </is>
      </c>
      <c r="C1141" s="19" t="inlineStr">
        <is>
          <t>TN</t>
        </is>
      </c>
      <c r="D1141" s="20" t="inlineStr">
        <is>
          <t>TN40AC7205</t>
        </is>
      </c>
      <c r="E1141" s="20" t="inlineStr">
        <is>
          <t>TATA</t>
        </is>
      </c>
      <c r="F1141" s="20" t="inlineStr">
        <is>
          <t>Nexon</t>
        </is>
      </c>
      <c r="G1141" s="21" t="n">
        <v>2023</v>
      </c>
      <c r="H1141" s="22" t="n">
        <v>85574</v>
      </c>
      <c r="I1141" s="23" t="n">
        <v>650000</v>
      </c>
      <c r="J1141" s="20" t="inlineStr">
        <is>
          <t>EXCHANGE ROTN</t>
        </is>
      </c>
      <c r="K1141" s="20" t="inlineStr">
        <is>
          <t>Captive</t>
        </is>
      </c>
      <c r="L1141" s="20" t="inlineStr">
        <is>
          <t>Auto Solution</t>
        </is>
      </c>
      <c r="M1141" s="23" t="n">
        <v>4237.29</v>
      </c>
      <c r="N1141" s="23" t="n">
        <v>5000</v>
      </c>
      <c r="O1141" s="24">
        <f>IF(AND(ISNUMBER(M1141), ISNUMBER(I1141), I1141&gt;0), M1141/I1141, "")</f>
        <v/>
      </c>
    </row>
    <row r="1142">
      <c r="A1142" s="19" t="inlineStr">
        <is>
          <t>FY27</t>
        </is>
      </c>
      <c r="B1142" s="19" t="inlineStr">
        <is>
          <t>Apr</t>
        </is>
      </c>
      <c r="C1142" s="19" t="inlineStr">
        <is>
          <t>TN</t>
        </is>
      </c>
      <c r="D1142" s="20" t="inlineStr">
        <is>
          <t>TN10AD3344</t>
        </is>
      </c>
      <c r="E1142" s="20" t="inlineStr">
        <is>
          <t>NISSAN</t>
        </is>
      </c>
      <c r="F1142" s="20" t="inlineStr">
        <is>
          <t>Micra</t>
        </is>
      </c>
      <c r="G1142" s="21" t="n">
        <v>2011</v>
      </c>
      <c r="H1142" s="22" t="n">
        <v>22346</v>
      </c>
      <c r="I1142" s="23" t="n">
        <v>95000</v>
      </c>
      <c r="J1142" s="20" t="inlineStr">
        <is>
          <t>EXCHANGE ROTN</t>
        </is>
      </c>
      <c r="K1142" s="20" t="inlineStr">
        <is>
          <t>Captive</t>
        </is>
      </c>
      <c r="L1142" s="20" t="inlineStr">
        <is>
          <t>KAM Auto Conselting</t>
        </is>
      </c>
      <c r="M1142" s="23" t="n">
        <v>8474.58</v>
      </c>
      <c r="N1142" s="23" t="n">
        <v>10000</v>
      </c>
      <c r="O1142" s="24">
        <f>IF(AND(ISNUMBER(M1142), ISNUMBER(I1142), I1142&gt;0), M1142/I1142, "")</f>
        <v/>
      </c>
    </row>
    <row r="1143">
      <c r="A1143" s="19" t="inlineStr">
        <is>
          <t>FY27</t>
        </is>
      </c>
      <c r="B1143" s="19" t="inlineStr">
        <is>
          <t>Apr</t>
        </is>
      </c>
      <c r="C1143" s="19" t="inlineStr">
        <is>
          <t>TN</t>
        </is>
      </c>
      <c r="D1143" s="20" t="inlineStr">
        <is>
          <t>TN63BP2846</t>
        </is>
      </c>
      <c r="E1143" s="20" t="inlineStr">
        <is>
          <t>MARUTI SUZUKI</t>
        </is>
      </c>
      <c r="F1143" s="20" t="inlineStr">
        <is>
          <t>S-Presso</t>
        </is>
      </c>
      <c r="G1143" s="21" t="n">
        <v>2022</v>
      </c>
      <c r="H1143" s="22" t="n">
        <v>59984</v>
      </c>
      <c r="I1143" s="23" t="n">
        <v>345000</v>
      </c>
      <c r="J1143" s="20" t="inlineStr">
        <is>
          <t>EXCHANGE ROTN</t>
        </is>
      </c>
      <c r="K1143" s="20" t="inlineStr">
        <is>
          <t>Captive</t>
        </is>
      </c>
      <c r="L1143" s="20" t="inlineStr">
        <is>
          <t>Gowtham Cars</t>
        </is>
      </c>
      <c r="M1143" s="23" t="n">
        <v>12711.86</v>
      </c>
      <c r="N1143" s="23" t="n">
        <v>15000</v>
      </c>
      <c r="O1143" s="24">
        <f>IF(AND(ISNUMBER(M1143), ISNUMBER(I1143), I1143&gt;0), M1143/I1143, "")</f>
        <v/>
      </c>
    </row>
    <row r="1144">
      <c r="A1144" s="19" t="inlineStr">
        <is>
          <t>FY27</t>
        </is>
      </c>
      <c r="B1144" s="19" t="inlineStr">
        <is>
          <t>Apr</t>
        </is>
      </c>
      <c r="C1144" s="19" t="inlineStr">
        <is>
          <t>TN</t>
        </is>
      </c>
      <c r="D1144" s="20" t="inlineStr">
        <is>
          <t>TN22DF2610</t>
        </is>
      </c>
      <c r="E1144" s="20" t="inlineStr">
        <is>
          <t>MARUTI SUZUKI</t>
        </is>
      </c>
      <c r="F1144" s="20" t="inlineStr">
        <is>
          <t>Swift</t>
        </is>
      </c>
      <c r="G1144" s="21" t="n"/>
      <c r="H1144" s="22" t="n"/>
      <c r="I1144" s="23" t="n">
        <v>415000</v>
      </c>
      <c r="J1144" s="20" t="inlineStr">
        <is>
          <t>Khivraj Motor</t>
        </is>
      </c>
      <c r="K1144" s="20" t="inlineStr">
        <is>
          <t>Non-Captive</t>
        </is>
      </c>
      <c r="L1144" s="20" t="inlineStr">
        <is>
          <t>Cars 24</t>
        </is>
      </c>
      <c r="M1144" s="23" t="n">
        <v>7627.12</v>
      </c>
      <c r="N1144" s="23" t="n">
        <v>9000</v>
      </c>
      <c r="O1144" s="24">
        <f>IF(AND(ISNUMBER(M1144), ISNUMBER(I1144), I1144&gt;0), M1144/I1144, "")</f>
        <v/>
      </c>
    </row>
    <row r="1145">
      <c r="A1145" s="19" t="inlineStr">
        <is>
          <t>FY27</t>
        </is>
      </c>
      <c r="B1145" s="19" t="inlineStr">
        <is>
          <t>Apr</t>
        </is>
      </c>
      <c r="C1145" s="19" t="inlineStr">
        <is>
          <t>TN</t>
        </is>
      </c>
      <c r="D1145" s="20" t="inlineStr">
        <is>
          <t>TN10AT3600</t>
        </is>
      </c>
      <c r="E1145" s="20" t="inlineStr">
        <is>
          <t>MARUTI SUZUKI</t>
        </is>
      </c>
      <c r="F1145" s="20" t="inlineStr">
        <is>
          <t>Swift Dzire</t>
        </is>
      </c>
      <c r="G1145" s="21" t="n"/>
      <c r="H1145" s="22" t="n"/>
      <c r="I1145" s="23" t="n">
        <v>372500</v>
      </c>
      <c r="J1145" s="20" t="inlineStr">
        <is>
          <t>CAR HUB</t>
        </is>
      </c>
      <c r="K1145" s="20" t="inlineStr">
        <is>
          <t>Non-Captive</t>
        </is>
      </c>
      <c r="L1145" s="20" t="inlineStr">
        <is>
          <t>Cars 24</t>
        </is>
      </c>
      <c r="M1145" s="23" t="n">
        <v>6355.93</v>
      </c>
      <c r="N1145" s="23" t="n">
        <v>7500</v>
      </c>
      <c r="O1145" s="24">
        <f>IF(AND(ISNUMBER(M1145), ISNUMBER(I1145), I1145&gt;0), M1145/I1145, "")</f>
        <v/>
      </c>
    </row>
    <row r="1146">
      <c r="A1146" s="19" t="inlineStr">
        <is>
          <t>FY27</t>
        </is>
      </c>
      <c r="B1146" s="19" t="inlineStr">
        <is>
          <t>Apr</t>
        </is>
      </c>
      <c r="C1146" s="19" t="inlineStr">
        <is>
          <t>TN</t>
        </is>
      </c>
      <c r="D1146" s="20" t="inlineStr">
        <is>
          <t>TN68E6826</t>
        </is>
      </c>
      <c r="E1146" s="20" t="inlineStr">
        <is>
          <t>VOLKSWAGEN</t>
        </is>
      </c>
      <c r="F1146" s="20" t="inlineStr">
        <is>
          <t>Polo</t>
        </is>
      </c>
      <c r="G1146" s="21" t="n"/>
      <c r="H1146" s="22" t="n"/>
      <c r="I1146" s="23" t="n">
        <v>185000</v>
      </c>
      <c r="J1146" s="20" t="inlineStr">
        <is>
          <t>Khivraj Motor</t>
        </is>
      </c>
      <c r="K1146" s="20" t="inlineStr">
        <is>
          <t>Non-Captive</t>
        </is>
      </c>
      <c r="L1146" s="20" t="inlineStr">
        <is>
          <t>Somasundharam cars</t>
        </is>
      </c>
      <c r="M1146" s="23" t="n">
        <v>5084.75</v>
      </c>
      <c r="N1146" s="23" t="n">
        <v>6000</v>
      </c>
      <c r="O1146" s="24">
        <f>IF(AND(ISNUMBER(M1146), ISNUMBER(I1146), I1146&gt;0), M1146/I1146, "")</f>
        <v/>
      </c>
    </row>
    <row r="1147">
      <c r="A1147" s="19" t="inlineStr">
        <is>
          <t>FY27</t>
        </is>
      </c>
      <c r="B1147" s="19" t="inlineStr">
        <is>
          <t>Apr</t>
        </is>
      </c>
      <c r="C1147" s="19" t="inlineStr">
        <is>
          <t>TN</t>
        </is>
      </c>
      <c r="D1147" s="20" t="inlineStr">
        <is>
          <t>TN05AJ3436</t>
        </is>
      </c>
      <c r="E1147" s="20" t="inlineStr">
        <is>
          <t>MARUTI SUZUKI</t>
        </is>
      </c>
      <c r="F1147" s="20" t="inlineStr">
        <is>
          <t>Swift Dzire</t>
        </is>
      </c>
      <c r="G1147" s="21" t="n">
        <v>2011</v>
      </c>
      <c r="H1147" s="22" t="n">
        <v>98393</v>
      </c>
      <c r="I1147" s="23" t="n">
        <v>165000</v>
      </c>
      <c r="J1147" s="20" t="inlineStr">
        <is>
          <t>Khivraj Motor</t>
        </is>
      </c>
      <c r="K1147" s="20" t="inlineStr">
        <is>
          <t>Non-Captive</t>
        </is>
      </c>
      <c r="L1147" s="20" t="inlineStr">
        <is>
          <t>S2 Cars</t>
        </is>
      </c>
      <c r="M1147" s="23" t="n">
        <v>5084.75</v>
      </c>
      <c r="N1147" s="23" t="n">
        <v>6000</v>
      </c>
      <c r="O1147" s="24">
        <f>IF(AND(ISNUMBER(M1147), ISNUMBER(I1147), I1147&gt;0), M1147/I1147, "")</f>
        <v/>
      </c>
    </row>
    <row r="1148">
      <c r="A1148" s="19" t="inlineStr">
        <is>
          <t>FY27</t>
        </is>
      </c>
      <c r="B1148" s="19" t="inlineStr">
        <is>
          <t>Apr</t>
        </is>
      </c>
      <c r="C1148" s="19" t="inlineStr">
        <is>
          <t>TN</t>
        </is>
      </c>
      <c r="D1148" s="20" t="inlineStr">
        <is>
          <t>TN09BV1752</t>
        </is>
      </c>
      <c r="E1148" s="20" t="inlineStr">
        <is>
          <t>FORD</t>
        </is>
      </c>
      <c r="F1148" s="20" t="inlineStr">
        <is>
          <t>Fiesta Classic</t>
        </is>
      </c>
      <c r="G1148" s="21" t="n">
        <v>2013</v>
      </c>
      <c r="H1148" s="22" t="n">
        <v>120145</v>
      </c>
      <c r="I1148" s="23" t="n">
        <v>120000</v>
      </c>
      <c r="J1148" s="20" t="inlineStr">
        <is>
          <t>Khivraj Motor</t>
        </is>
      </c>
      <c r="K1148" s="20" t="inlineStr">
        <is>
          <t>Non-Captive</t>
        </is>
      </c>
      <c r="L1148" s="20" t="inlineStr">
        <is>
          <t>car Hub</t>
        </is>
      </c>
      <c r="M1148" s="23" t="n">
        <v>5084.75</v>
      </c>
      <c r="N1148" s="23" t="n">
        <v>6000</v>
      </c>
      <c r="O1148" s="24">
        <f>IF(AND(ISNUMBER(M1148), ISNUMBER(I1148), I1148&gt;0), M1148/I1148, "")</f>
        <v/>
      </c>
    </row>
    <row r="1149">
      <c r="A1149" s="19" t="inlineStr">
        <is>
          <t>FY27</t>
        </is>
      </c>
      <c r="B1149" s="19" t="inlineStr">
        <is>
          <t>Apr</t>
        </is>
      </c>
      <c r="C1149" s="19" t="inlineStr">
        <is>
          <t>TN</t>
        </is>
      </c>
      <c r="D1149" s="20" t="inlineStr">
        <is>
          <t>TN09BM3593</t>
        </is>
      </c>
      <c r="E1149" s="20" t="inlineStr">
        <is>
          <t>MARUTI SUZUKI</t>
        </is>
      </c>
      <c r="F1149" s="20" t="inlineStr">
        <is>
          <t>Alto K10</t>
        </is>
      </c>
      <c r="G1149" s="21" t="n">
        <v>2012</v>
      </c>
      <c r="H1149" s="22" t="n">
        <v>19726</v>
      </c>
      <c r="I1149" s="23" t="n">
        <v>179000</v>
      </c>
      <c r="J1149" s="20" t="inlineStr">
        <is>
          <t>Khivraj Motor</t>
        </is>
      </c>
      <c r="K1149" s="20" t="inlineStr">
        <is>
          <t>Non-Captive</t>
        </is>
      </c>
      <c r="L1149" s="20" t="inlineStr">
        <is>
          <t>Maruthi Industries</t>
        </is>
      </c>
      <c r="M1149" s="23" t="n">
        <v>5084.75</v>
      </c>
      <c r="N1149" s="23" t="n">
        <v>6000</v>
      </c>
      <c r="O1149" s="24">
        <f>IF(AND(ISNUMBER(M1149), ISNUMBER(I1149), I1149&gt;0), M1149/I1149, "")</f>
        <v/>
      </c>
    </row>
    <row r="1150">
      <c r="A1150" s="19" t="inlineStr">
        <is>
          <t>FY27</t>
        </is>
      </c>
      <c r="B1150" s="19" t="inlineStr">
        <is>
          <t>Apr</t>
        </is>
      </c>
      <c r="C1150" s="19" t="inlineStr">
        <is>
          <t>TN</t>
        </is>
      </c>
      <c r="D1150" s="20" t="inlineStr">
        <is>
          <t>TN02BR3522</t>
        </is>
      </c>
      <c r="E1150" s="20" t="inlineStr">
        <is>
          <t>MARUTI SUZUKI</t>
        </is>
      </c>
      <c r="F1150" s="20" t="inlineStr">
        <is>
          <t>Swift</t>
        </is>
      </c>
      <c r="G1150" s="21" t="n">
        <v>2019</v>
      </c>
      <c r="H1150" s="22" t="n">
        <v>73359</v>
      </c>
      <c r="I1150" s="23" t="n">
        <v>450000</v>
      </c>
      <c r="J1150" s="20" t="inlineStr">
        <is>
          <t>Khivraj Motor</t>
        </is>
      </c>
      <c r="K1150" s="20" t="inlineStr">
        <is>
          <t>Non-Captive</t>
        </is>
      </c>
      <c r="L1150" s="20" t="inlineStr">
        <is>
          <t>Santhosh Cars</t>
        </is>
      </c>
      <c r="M1150" s="23" t="n">
        <v>7627.12</v>
      </c>
      <c r="N1150" s="23" t="n">
        <v>9000</v>
      </c>
      <c r="O1150" s="24">
        <f>IF(AND(ISNUMBER(M1150), ISNUMBER(I1150), I1150&gt;0), M1150/I1150, "")</f>
        <v/>
      </c>
    </row>
    <row r="1151">
      <c r="A1151" s="19" t="inlineStr">
        <is>
          <t>FY27</t>
        </is>
      </c>
      <c r="B1151" s="19" t="inlineStr">
        <is>
          <t>Apr</t>
        </is>
      </c>
      <c r="C1151" s="19" t="inlineStr">
        <is>
          <t>TN</t>
        </is>
      </c>
      <c r="D1151" s="20" t="inlineStr">
        <is>
          <t>TN70AC3714</t>
        </is>
      </c>
      <c r="E1151" s="20" t="inlineStr">
        <is>
          <t>HONDA</t>
        </is>
      </c>
      <c r="F1151" s="20" t="inlineStr">
        <is>
          <t>Amaze</t>
        </is>
      </c>
      <c r="G1151" s="21" t="n">
        <v>2019</v>
      </c>
      <c r="H1151" s="22" t="n">
        <v>78064</v>
      </c>
      <c r="I1151" s="23" t="n">
        <v>490000</v>
      </c>
      <c r="J1151" s="20" t="inlineStr">
        <is>
          <t>EXCHANGE ROTN</t>
        </is>
      </c>
      <c r="K1151" s="20" t="inlineStr">
        <is>
          <t>Captive</t>
        </is>
      </c>
      <c r="L1151" s="20" t="inlineStr">
        <is>
          <t>Ashwin cars</t>
        </is>
      </c>
      <c r="M1151" s="23" t="n">
        <v>12711.86</v>
      </c>
      <c r="N1151" s="23" t="n">
        <v>15000</v>
      </c>
      <c r="O1151" s="24">
        <f>IF(AND(ISNUMBER(M1151), ISNUMBER(I1151), I1151&gt;0), M1151/I1151, "")</f>
        <v/>
      </c>
    </row>
    <row r="1152">
      <c r="A1152" s="19" t="inlineStr">
        <is>
          <t>FY27</t>
        </is>
      </c>
      <c r="B1152" s="19" t="inlineStr">
        <is>
          <t>Apr</t>
        </is>
      </c>
      <c r="C1152" s="19" t="inlineStr">
        <is>
          <t>TN</t>
        </is>
      </c>
      <c r="D1152" s="20" t="inlineStr">
        <is>
          <t>TN09CD2831</t>
        </is>
      </c>
      <c r="E1152" s="20" t="inlineStr">
        <is>
          <t>HONDA</t>
        </is>
      </c>
      <c r="F1152" s="20" t="inlineStr">
        <is>
          <t>City</t>
        </is>
      </c>
      <c r="G1152" s="21" t="n">
        <v>2016</v>
      </c>
      <c r="H1152" s="22" t="n">
        <v>63503</v>
      </c>
      <c r="I1152" s="23" t="n">
        <v>325000</v>
      </c>
      <c r="J1152" s="20" t="inlineStr">
        <is>
          <t>EXCHANGE CHENNAI</t>
        </is>
      </c>
      <c r="K1152" s="20" t="inlineStr">
        <is>
          <t>Captive</t>
        </is>
      </c>
      <c r="L1152" s="20" t="inlineStr">
        <is>
          <t>Santhosh Cars</t>
        </is>
      </c>
      <c r="M1152" s="23" t="n">
        <v>8474.58</v>
      </c>
      <c r="N1152" s="23" t="n">
        <v>10000</v>
      </c>
      <c r="O1152" s="24">
        <f>IF(AND(ISNUMBER(M1152), ISNUMBER(I1152), I1152&gt;0), M1152/I1152, "")</f>
        <v/>
      </c>
    </row>
    <row r="1153">
      <c r="A1153" s="19" t="inlineStr">
        <is>
          <t>FY27</t>
        </is>
      </c>
      <c r="B1153" s="19" t="inlineStr">
        <is>
          <t>Apr</t>
        </is>
      </c>
      <c r="C1153" s="19" t="inlineStr">
        <is>
          <t>TN</t>
        </is>
      </c>
      <c r="D1153" s="20" t="inlineStr">
        <is>
          <t>TN75C2300</t>
        </is>
      </c>
      <c r="E1153" s="20" t="inlineStr">
        <is>
          <t>HONDA</t>
        </is>
      </c>
      <c r="F1153" s="20" t="inlineStr">
        <is>
          <t>City</t>
        </is>
      </c>
      <c r="G1153" s="21" t="n">
        <v>2011</v>
      </c>
      <c r="H1153" s="22" t="n">
        <v>9864</v>
      </c>
      <c r="I1153" s="23" t="n">
        <v>300000</v>
      </c>
      <c r="J1153" s="20" t="inlineStr">
        <is>
          <t>EXCHANGE CHENNAI</t>
        </is>
      </c>
      <c r="K1153" s="20" t="inlineStr">
        <is>
          <t>Captive</t>
        </is>
      </c>
      <c r="L1153" s="20" t="inlineStr">
        <is>
          <t>Santhosh Cars</t>
        </is>
      </c>
      <c r="M1153" s="23" t="n">
        <v>8474.58</v>
      </c>
      <c r="N1153" s="23" t="n">
        <v>10000</v>
      </c>
      <c r="O1153" s="24">
        <f>IF(AND(ISNUMBER(M1153), ISNUMBER(I1153), I1153&gt;0), M1153/I1153, "")</f>
        <v/>
      </c>
    </row>
    <row r="1154">
      <c r="A1154" s="19" t="inlineStr">
        <is>
          <t>FY27</t>
        </is>
      </c>
      <c r="B1154" s="19" t="inlineStr">
        <is>
          <t>Apr</t>
        </is>
      </c>
      <c r="C1154" s="19" t="inlineStr">
        <is>
          <t>TN</t>
        </is>
      </c>
      <c r="D1154" s="20" t="inlineStr">
        <is>
          <t>TN06X9121</t>
        </is>
      </c>
      <c r="E1154" s="20" t="inlineStr">
        <is>
          <t>HYUNDAI</t>
        </is>
      </c>
      <c r="F1154" s="20" t="inlineStr">
        <is>
          <t>Creta</t>
        </is>
      </c>
      <c r="G1154" s="21" t="n">
        <v>2019</v>
      </c>
      <c r="H1154" s="22" t="n">
        <v>52476</v>
      </c>
      <c r="I1154" s="23" t="n">
        <v>700000</v>
      </c>
      <c r="J1154" s="20" t="inlineStr">
        <is>
          <t>EXCHANGE CHENNAI</t>
        </is>
      </c>
      <c r="K1154" s="20" t="inlineStr">
        <is>
          <t>Captive</t>
        </is>
      </c>
      <c r="L1154" s="20" t="inlineStr">
        <is>
          <t>Santhosh Cars</t>
        </is>
      </c>
      <c r="M1154" s="23" t="n">
        <v>8474.58</v>
      </c>
      <c r="N1154" s="23" t="n">
        <v>10000</v>
      </c>
      <c r="O1154" s="24">
        <f>IF(AND(ISNUMBER(M1154), ISNUMBER(I1154), I1154&gt;0), M1154/I1154, "")</f>
        <v/>
      </c>
    </row>
    <row r="1155">
      <c r="A1155" s="19" t="inlineStr">
        <is>
          <t>FY27</t>
        </is>
      </c>
      <c r="B1155" s="19" t="inlineStr">
        <is>
          <t>Apr</t>
        </is>
      </c>
      <c r="C1155" s="19" t="inlineStr">
        <is>
          <t>TN</t>
        </is>
      </c>
      <c r="D1155" s="20" t="inlineStr">
        <is>
          <t>TN07CT0547</t>
        </is>
      </c>
      <c r="E1155" s="20" t="inlineStr">
        <is>
          <t>MAHINDRA</t>
        </is>
      </c>
      <c r="F1155" s="20" t="inlineStr">
        <is>
          <t>Xuv500</t>
        </is>
      </c>
      <c r="G1155" s="21" t="n">
        <v>2019</v>
      </c>
      <c r="H1155" s="22" t="n">
        <v>79642</v>
      </c>
      <c r="I1155" s="23" t="n">
        <v>975000</v>
      </c>
      <c r="J1155" s="20" t="inlineStr">
        <is>
          <t>EXCHANGE CHENNAI</t>
        </is>
      </c>
      <c r="K1155" s="20" t="inlineStr">
        <is>
          <t>Captive</t>
        </is>
      </c>
      <c r="L1155" s="20" t="inlineStr">
        <is>
          <t>Thiya Cars</t>
        </is>
      </c>
      <c r="M1155" s="23" t="n">
        <v>12711.86</v>
      </c>
      <c r="N1155" s="23" t="n">
        <v>15000</v>
      </c>
      <c r="O1155" s="24">
        <f>IF(AND(ISNUMBER(M1155), ISNUMBER(I1155), I1155&gt;0), M1155/I1155, "")</f>
        <v/>
      </c>
    </row>
    <row r="1156">
      <c r="A1156" s="19" t="inlineStr">
        <is>
          <t>FY27</t>
        </is>
      </c>
      <c r="B1156" s="19" t="inlineStr">
        <is>
          <t>Apr</t>
        </is>
      </c>
      <c r="C1156" s="19" t="inlineStr">
        <is>
          <t>TN</t>
        </is>
      </c>
      <c r="D1156" s="20" t="inlineStr">
        <is>
          <t>TN10Y2433</t>
        </is>
      </c>
      <c r="E1156" s="20" t="inlineStr">
        <is>
          <t>MARUTI SUZUKI</t>
        </is>
      </c>
      <c r="F1156" s="20" t="inlineStr">
        <is>
          <t>Swift</t>
        </is>
      </c>
      <c r="G1156" s="21" t="n">
        <v>2009</v>
      </c>
      <c r="H1156" s="22" t="n">
        <v>30728</v>
      </c>
      <c r="I1156" s="23" t="n">
        <v>200000</v>
      </c>
      <c r="J1156" s="20" t="inlineStr">
        <is>
          <t>EXCHANGE CHENNAI</t>
        </is>
      </c>
      <c r="K1156" s="20" t="inlineStr">
        <is>
          <t>Captive</t>
        </is>
      </c>
      <c r="L1156" s="20" t="inlineStr">
        <is>
          <t>Nirmal Cars</t>
        </is>
      </c>
      <c r="M1156" s="23" t="n">
        <v>8474.58</v>
      </c>
      <c r="N1156" s="23" t="n">
        <v>10000</v>
      </c>
      <c r="O1156" s="24">
        <f>IF(AND(ISNUMBER(M1156), ISNUMBER(I1156), I1156&gt;0), M1156/I1156, "")</f>
        <v/>
      </c>
    </row>
    <row r="1157">
      <c r="A1157" s="19" t="inlineStr">
        <is>
          <t>FY27</t>
        </is>
      </c>
      <c r="B1157" s="19" t="inlineStr">
        <is>
          <t>Apr</t>
        </is>
      </c>
      <c r="C1157" s="19" t="inlineStr">
        <is>
          <t>TN</t>
        </is>
      </c>
      <c r="D1157" s="20" t="inlineStr">
        <is>
          <t>TN05AE3483</t>
        </is>
      </c>
      <c r="E1157" s="20" t="inlineStr">
        <is>
          <t>MARUTI SUZUKI</t>
        </is>
      </c>
      <c r="F1157" s="20" t="inlineStr">
        <is>
          <t>Wagon R</t>
        </is>
      </c>
      <c r="G1157" s="21" t="n">
        <v>2010</v>
      </c>
      <c r="H1157" s="22" t="n">
        <v>78675</v>
      </c>
      <c r="I1157" s="23" t="n">
        <v>200000</v>
      </c>
      <c r="J1157" s="20" t="inlineStr">
        <is>
          <t>EXCHANGE CHENNAI</t>
        </is>
      </c>
      <c r="K1157" s="20" t="inlineStr">
        <is>
          <t>Captive</t>
        </is>
      </c>
      <c r="L1157" s="20" t="inlineStr">
        <is>
          <t>Pine Autos</t>
        </is>
      </c>
      <c r="M1157" s="23" t="n">
        <v>4237.29</v>
      </c>
      <c r="N1157" s="23" t="n">
        <v>5000</v>
      </c>
      <c r="O1157" s="24">
        <f>IF(AND(ISNUMBER(M1157), ISNUMBER(I1157), I1157&gt;0), M1157/I1157, "")</f>
        <v/>
      </c>
    </row>
    <row r="1158">
      <c r="A1158" s="19" t="inlineStr">
        <is>
          <t>FY27</t>
        </is>
      </c>
      <c r="B1158" s="19" t="inlineStr">
        <is>
          <t>Apr</t>
        </is>
      </c>
      <c r="C1158" s="19" t="inlineStr">
        <is>
          <t>TN</t>
        </is>
      </c>
      <c r="D1158" s="20" t="inlineStr">
        <is>
          <t>TN22DE5357</t>
        </is>
      </c>
      <c r="E1158" s="20" t="inlineStr">
        <is>
          <t>HYUNDAI</t>
        </is>
      </c>
      <c r="F1158" s="20" t="inlineStr">
        <is>
          <t>Grand I10</t>
        </is>
      </c>
      <c r="G1158" s="21" t="n">
        <v>2016</v>
      </c>
      <c r="H1158" s="22" t="n">
        <v>120000</v>
      </c>
      <c r="I1158" s="23" t="n">
        <v>300000</v>
      </c>
      <c r="J1158" s="20" t="inlineStr">
        <is>
          <t>EXCHANGE CHENNAI</t>
        </is>
      </c>
      <c r="K1158" s="20" t="inlineStr">
        <is>
          <t>Captive</t>
        </is>
      </c>
      <c r="L1158" s="20" t="inlineStr">
        <is>
          <t>Balakrishnan</t>
        </is>
      </c>
      <c r="M1158" s="23" t="n">
        <v>7033.9</v>
      </c>
      <c r="N1158" s="23" t="n">
        <v>8300</v>
      </c>
      <c r="O1158" s="24">
        <f>IF(AND(ISNUMBER(M1158), ISNUMBER(I1158), I1158&gt;0), M1158/I1158, "")</f>
        <v/>
      </c>
    </row>
    <row r="1159">
      <c r="A1159" s="19" t="inlineStr">
        <is>
          <t>FY27</t>
        </is>
      </c>
      <c r="B1159" s="19" t="inlineStr">
        <is>
          <t>Apr</t>
        </is>
      </c>
      <c r="C1159" s="19" t="inlineStr">
        <is>
          <t>TN</t>
        </is>
      </c>
      <c r="D1159" s="20" t="inlineStr">
        <is>
          <t>TN01BE2417</t>
        </is>
      </c>
      <c r="E1159" s="20" t="inlineStr">
        <is>
          <t>HONDA</t>
        </is>
      </c>
      <c r="F1159" s="20" t="inlineStr">
        <is>
          <t>Wr-V</t>
        </is>
      </c>
      <c r="G1159" s="21" t="n">
        <v>2018</v>
      </c>
      <c r="H1159" s="22" t="n">
        <v>15020</v>
      </c>
      <c r="I1159" s="23" t="n">
        <v>475000</v>
      </c>
      <c r="J1159" s="20" t="inlineStr">
        <is>
          <t>EXCHANGE CHENNAI</t>
        </is>
      </c>
      <c r="K1159" s="20" t="inlineStr">
        <is>
          <t>Captive</t>
        </is>
      </c>
      <c r="L1159" s="20" t="inlineStr">
        <is>
          <t>Varadhrajan cars</t>
        </is>
      </c>
      <c r="M1159" s="23" t="n">
        <v>12711.86</v>
      </c>
      <c r="N1159" s="23" t="n">
        <v>15000</v>
      </c>
      <c r="O1159" s="24">
        <f>IF(AND(ISNUMBER(M1159), ISNUMBER(I1159), I1159&gt;0), M1159/I1159, "")</f>
        <v/>
      </c>
    </row>
    <row r="1160">
      <c r="A1160" s="19" t="inlineStr">
        <is>
          <t>FY27</t>
        </is>
      </c>
      <c r="B1160" s="19" t="inlineStr">
        <is>
          <t>Apr</t>
        </is>
      </c>
      <c r="C1160" s="19" t="inlineStr">
        <is>
          <t>TN</t>
        </is>
      </c>
      <c r="D1160" s="20" t="inlineStr">
        <is>
          <t>TN13C6606</t>
        </is>
      </c>
      <c r="E1160" s="20" t="inlineStr">
        <is>
          <t>MARUTI SUZUKI</t>
        </is>
      </c>
      <c r="F1160" s="20" t="inlineStr">
        <is>
          <t>Wagon R</t>
        </is>
      </c>
      <c r="G1160" s="21" t="n">
        <v>2015</v>
      </c>
      <c r="H1160" s="22" t="n">
        <v>19740</v>
      </c>
      <c r="I1160" s="23" t="n">
        <v>200000</v>
      </c>
      <c r="J1160" s="20" t="inlineStr">
        <is>
          <t>EXCHANGE CHENNAI</t>
        </is>
      </c>
      <c r="K1160" s="20" t="inlineStr">
        <is>
          <t>Captive</t>
        </is>
      </c>
      <c r="L1160" s="20" t="inlineStr">
        <is>
          <t>Santhosh Cars</t>
        </is>
      </c>
      <c r="M1160" s="23" t="n">
        <v>8474.58</v>
      </c>
      <c r="N1160" s="23" t="n">
        <v>10000</v>
      </c>
      <c r="O1160" s="24">
        <f>IF(AND(ISNUMBER(M1160), ISNUMBER(I1160), I1160&gt;0), M1160/I1160, "")</f>
        <v/>
      </c>
    </row>
    <row r="1161">
      <c r="A1161" s="19" t="inlineStr">
        <is>
          <t>FY27</t>
        </is>
      </c>
      <c r="B1161" s="19" t="inlineStr">
        <is>
          <t>Apr</t>
        </is>
      </c>
      <c r="C1161" s="19" t="inlineStr">
        <is>
          <t>TN</t>
        </is>
      </c>
      <c r="D1161" s="20" t="inlineStr">
        <is>
          <t>TN02BT1521</t>
        </is>
      </c>
      <c r="E1161" s="20" t="inlineStr">
        <is>
          <t>HYUNDAI</t>
        </is>
      </c>
      <c r="F1161" s="20" t="inlineStr">
        <is>
          <t>I20</t>
        </is>
      </c>
      <c r="G1161" s="21" t="n">
        <v>2020</v>
      </c>
      <c r="H1161" s="22" t="n">
        <v>13535</v>
      </c>
      <c r="I1161" s="23" t="n">
        <v>530000</v>
      </c>
      <c r="J1161" s="20" t="inlineStr">
        <is>
          <t>EXCHANGE CHENNAI</t>
        </is>
      </c>
      <c r="K1161" s="20" t="inlineStr">
        <is>
          <t>Captive</t>
        </is>
      </c>
      <c r="L1161" s="20" t="inlineStr">
        <is>
          <t>Grid 33</t>
        </is>
      </c>
      <c r="M1161" s="23" t="n">
        <v>8474.58</v>
      </c>
      <c r="N1161" s="23" t="n">
        <v>10000</v>
      </c>
      <c r="O1161" s="24">
        <f>IF(AND(ISNUMBER(M1161), ISNUMBER(I1161), I1161&gt;0), M1161/I1161, "")</f>
        <v/>
      </c>
    </row>
    <row r="1162">
      <c r="A1162" s="19" t="inlineStr">
        <is>
          <t>FY27</t>
        </is>
      </c>
      <c r="B1162" s="19" t="inlineStr">
        <is>
          <t>Apr</t>
        </is>
      </c>
      <c r="C1162" s="19" t="inlineStr">
        <is>
          <t>TN</t>
        </is>
      </c>
      <c r="D1162" s="20" t="inlineStr">
        <is>
          <t>TN07CR2516</t>
        </is>
      </c>
      <c r="E1162" s="20" t="inlineStr">
        <is>
          <t>HONDA</t>
        </is>
      </c>
      <c r="F1162" s="20" t="inlineStr">
        <is>
          <t>Jazz</t>
        </is>
      </c>
      <c r="G1162" s="21" t="n">
        <v>2018</v>
      </c>
      <c r="H1162" s="22" t="n">
        <v>23649</v>
      </c>
      <c r="I1162" s="23" t="n">
        <v>500000</v>
      </c>
      <c r="J1162" s="20" t="inlineStr">
        <is>
          <t>EXCHANGE CHENNAI</t>
        </is>
      </c>
      <c r="K1162" s="20" t="inlineStr">
        <is>
          <t>Captive</t>
        </is>
      </c>
      <c r="L1162" s="20" t="inlineStr">
        <is>
          <t>Nirmal Cars</t>
        </is>
      </c>
      <c r="M1162" s="23" t="n">
        <v>6101.69</v>
      </c>
      <c r="N1162" s="23" t="n">
        <v>7200</v>
      </c>
      <c r="O1162" s="24">
        <f>IF(AND(ISNUMBER(M1162), ISNUMBER(I1162), I1162&gt;0), M1162/I1162, "")</f>
        <v/>
      </c>
    </row>
    <row r="1163">
      <c r="A1163" s="19" t="inlineStr">
        <is>
          <t>FY27</t>
        </is>
      </c>
      <c r="B1163" s="19" t="inlineStr">
        <is>
          <t>Apr</t>
        </is>
      </c>
      <c r="C1163" s="19" t="inlineStr">
        <is>
          <t>TN</t>
        </is>
      </c>
      <c r="D1163" s="20" t="inlineStr">
        <is>
          <t>TN07CP6271</t>
        </is>
      </c>
      <c r="E1163" s="20" t="inlineStr">
        <is>
          <t>HONDA</t>
        </is>
      </c>
      <c r="F1163" s="20" t="inlineStr">
        <is>
          <t>Jazz</t>
        </is>
      </c>
      <c r="G1163" s="21" t="n">
        <v>2018</v>
      </c>
      <c r="H1163" s="22" t="n">
        <v>39473</v>
      </c>
      <c r="I1163" s="23" t="n">
        <v>430000</v>
      </c>
      <c r="J1163" s="20" t="inlineStr">
        <is>
          <t>EXCHANGE CHENNAI</t>
        </is>
      </c>
      <c r="K1163" s="20" t="inlineStr">
        <is>
          <t>Captive</t>
        </is>
      </c>
      <c r="L1163" s="20" t="inlineStr">
        <is>
          <t>Nirmal Cars</t>
        </is>
      </c>
      <c r="M1163" s="23" t="n">
        <v>8474.58</v>
      </c>
      <c r="N1163" s="23" t="n">
        <v>10000</v>
      </c>
      <c r="O1163" s="24">
        <f>IF(AND(ISNUMBER(M1163), ISNUMBER(I1163), I1163&gt;0), M1163/I1163, "")</f>
        <v/>
      </c>
    </row>
    <row r="1164">
      <c r="A1164" s="19" t="inlineStr">
        <is>
          <t>FY27</t>
        </is>
      </c>
      <c r="B1164" s="19" t="inlineStr">
        <is>
          <t>Apr</t>
        </is>
      </c>
      <c r="C1164" s="19" t="inlineStr">
        <is>
          <t>TN</t>
        </is>
      </c>
      <c r="D1164" s="20" t="inlineStr">
        <is>
          <t>TN22CY1057</t>
        </is>
      </c>
      <c r="E1164" s="20" t="inlineStr">
        <is>
          <t>HONDA</t>
        </is>
      </c>
      <c r="F1164" s="20" t="inlineStr">
        <is>
          <t>City</t>
        </is>
      </c>
      <c r="G1164" s="21" t="n">
        <v>2011</v>
      </c>
      <c r="H1164" s="22" t="n">
        <v>36303</v>
      </c>
      <c r="I1164" s="23" t="n">
        <v>150000</v>
      </c>
      <c r="J1164" s="20" t="inlineStr">
        <is>
          <t>EXCHANGE CHENNAI</t>
        </is>
      </c>
      <c r="K1164" s="20" t="inlineStr">
        <is>
          <t>Captive</t>
        </is>
      </c>
      <c r="L1164" s="20" t="inlineStr">
        <is>
          <t>Santhosh Cars</t>
        </is>
      </c>
      <c r="M1164" s="23" t="n">
        <v>8474.58</v>
      </c>
      <c r="N1164" s="23" t="n">
        <v>10000</v>
      </c>
      <c r="O1164" s="24">
        <f>IF(AND(ISNUMBER(M1164), ISNUMBER(I1164), I1164&gt;0), M1164/I1164, "")</f>
        <v/>
      </c>
    </row>
    <row r="1165">
      <c r="A1165" s="19" t="inlineStr">
        <is>
          <t>FY27</t>
        </is>
      </c>
      <c r="B1165" s="19" t="inlineStr">
        <is>
          <t>Apr</t>
        </is>
      </c>
      <c r="C1165" s="19" t="inlineStr">
        <is>
          <t>TN</t>
        </is>
      </c>
      <c r="D1165" s="20" t="inlineStr">
        <is>
          <t>PY01AA6923</t>
        </is>
      </c>
      <c r="E1165" s="20" t="inlineStr">
        <is>
          <t>MARUTI SUZUKI</t>
        </is>
      </c>
      <c r="F1165" s="20" t="inlineStr">
        <is>
          <t>Zen</t>
        </is>
      </c>
      <c r="G1165" s="21" t="n">
        <v>2005</v>
      </c>
      <c r="H1165" s="22" t="n">
        <v>36174</v>
      </c>
      <c r="I1165" s="23" t="n">
        <v>45000</v>
      </c>
      <c r="J1165" s="20" t="inlineStr">
        <is>
          <t>EXCHANGE CHENNAI</t>
        </is>
      </c>
      <c r="K1165" s="20" t="inlineStr">
        <is>
          <t>Captive</t>
        </is>
      </c>
      <c r="L1165" s="20" t="inlineStr">
        <is>
          <t>Ashok Cars</t>
        </is>
      </c>
      <c r="M1165" s="23" t="n">
        <v>4237.29</v>
      </c>
      <c r="N1165" s="23" t="n">
        <v>5000</v>
      </c>
      <c r="O1165" s="24">
        <f>IF(AND(ISNUMBER(M1165), ISNUMBER(I1165), I1165&gt;0), M1165/I1165, "")</f>
        <v/>
      </c>
    </row>
    <row r="1166">
      <c r="A1166" s="19" t="inlineStr">
        <is>
          <t>FY27</t>
        </is>
      </c>
      <c r="B1166" s="19" t="inlineStr">
        <is>
          <t>Apr</t>
        </is>
      </c>
      <c r="C1166" s="19" t="inlineStr">
        <is>
          <t>TN</t>
        </is>
      </c>
      <c r="D1166" s="20" t="inlineStr">
        <is>
          <t>TN66AS6954</t>
        </is>
      </c>
      <c r="E1166" s="20" t="inlineStr">
        <is>
          <t>MARUTI SUZUKI</t>
        </is>
      </c>
      <c r="F1166" s="20" t="inlineStr">
        <is>
          <t>Swift</t>
        </is>
      </c>
      <c r="G1166" s="21" t="n">
        <v>2024</v>
      </c>
      <c r="H1166" s="22" t="n">
        <v>11144</v>
      </c>
      <c r="I1166" s="23" t="n">
        <v>550000</v>
      </c>
      <c r="J1166" s="20" t="inlineStr">
        <is>
          <t>EXCHANGE ROTN</t>
        </is>
      </c>
      <c r="K1166" s="20" t="inlineStr">
        <is>
          <t>Captive</t>
        </is>
      </c>
      <c r="L1166" s="20" t="inlineStr">
        <is>
          <t>YUGA DHEERAN CARS</t>
        </is>
      </c>
      <c r="M1166" s="23" t="n">
        <v>12711.86</v>
      </c>
      <c r="N1166" s="23" t="n">
        <v>15000</v>
      </c>
      <c r="O1166" s="24">
        <f>IF(AND(ISNUMBER(M1166), ISNUMBER(I1166), I1166&gt;0), M1166/I1166, "")</f>
        <v/>
      </c>
    </row>
    <row r="1167">
      <c r="A1167" s="19" t="inlineStr">
        <is>
          <t>FY27</t>
        </is>
      </c>
      <c r="B1167" s="19" t="inlineStr">
        <is>
          <t>Apr</t>
        </is>
      </c>
      <c r="C1167" s="19" t="inlineStr">
        <is>
          <t>TN</t>
        </is>
      </c>
      <c r="D1167" s="20" t="inlineStr">
        <is>
          <t>TN38CY3603</t>
        </is>
      </c>
      <c r="E1167" s="20" t="inlineStr">
        <is>
          <t>MARUTI SUZUKI</t>
        </is>
      </c>
      <c r="F1167" s="20" t="inlineStr">
        <is>
          <t>Alto</t>
        </is>
      </c>
      <c r="G1167" s="21" t="n">
        <v>2021</v>
      </c>
      <c r="H1167" s="22" t="n">
        <v>40966</v>
      </c>
      <c r="I1167" s="23" t="n">
        <v>275000</v>
      </c>
      <c r="J1167" s="20" t="inlineStr">
        <is>
          <t>EXCHANGE ROTN</t>
        </is>
      </c>
      <c r="K1167" s="20" t="inlineStr">
        <is>
          <t>Captive</t>
        </is>
      </c>
      <c r="L1167" s="20" t="inlineStr">
        <is>
          <t>Gugha Cars</t>
        </is>
      </c>
      <c r="M1167" s="23" t="n">
        <v>12711.86</v>
      </c>
      <c r="N1167" s="23" t="n">
        <v>15000</v>
      </c>
      <c r="O1167" s="24">
        <f>IF(AND(ISNUMBER(M1167), ISNUMBER(I1167), I1167&gt;0), M1167/I1167, "")</f>
        <v/>
      </c>
    </row>
    <row r="1168">
      <c r="A1168" s="19" t="inlineStr">
        <is>
          <t>FY27</t>
        </is>
      </c>
      <c r="B1168" s="19" t="inlineStr">
        <is>
          <t>Apr</t>
        </is>
      </c>
      <c r="C1168" s="19" t="inlineStr">
        <is>
          <t>TN</t>
        </is>
      </c>
      <c r="D1168" s="20" t="inlineStr">
        <is>
          <t>TN66S9487</t>
        </is>
      </c>
      <c r="E1168" s="20" t="inlineStr">
        <is>
          <t>HYUNDAI</t>
        </is>
      </c>
      <c r="F1168" s="20" t="inlineStr">
        <is>
          <t>I20</t>
        </is>
      </c>
      <c r="G1168" s="21" t="n">
        <v>2016</v>
      </c>
      <c r="H1168" s="22" t="n">
        <v>116182</v>
      </c>
      <c r="I1168" s="23" t="n">
        <v>425000</v>
      </c>
      <c r="J1168" s="20" t="inlineStr">
        <is>
          <t>EXCHANGE ROTN</t>
        </is>
      </c>
      <c r="K1168" s="20" t="inlineStr">
        <is>
          <t>Captive</t>
        </is>
      </c>
      <c r="L1168" s="20" t="inlineStr">
        <is>
          <t>Auto Solution</t>
        </is>
      </c>
      <c r="M1168" s="23" t="n">
        <v>12711.86</v>
      </c>
      <c r="N1168" s="23" t="n">
        <v>15000</v>
      </c>
      <c r="O1168" s="24">
        <f>IF(AND(ISNUMBER(M1168), ISNUMBER(I1168), I1168&gt;0), M1168/I1168, "")</f>
        <v/>
      </c>
    </row>
    <row r="1169">
      <c r="A1169" s="19" t="inlineStr">
        <is>
          <t>FY27</t>
        </is>
      </c>
      <c r="B1169" s="19" t="inlineStr">
        <is>
          <t>Apr</t>
        </is>
      </c>
      <c r="C1169" s="19" t="inlineStr">
        <is>
          <t>TN</t>
        </is>
      </c>
      <c r="D1169" s="20" t="inlineStr">
        <is>
          <t>TN09AP9946</t>
        </is>
      </c>
      <c r="E1169" s="20" t="inlineStr">
        <is>
          <t>MARUTI SUZUKI</t>
        </is>
      </c>
      <c r="F1169" s="20" t="inlineStr">
        <is>
          <t>Swift</t>
        </is>
      </c>
      <c r="G1169" s="21" t="n">
        <v>2006</v>
      </c>
      <c r="H1169" s="22" t="n">
        <v>119735</v>
      </c>
      <c r="I1169" s="23" t="n">
        <v>58000</v>
      </c>
      <c r="J1169" s="20" t="inlineStr">
        <is>
          <t>EXCHANGE ROTN</t>
        </is>
      </c>
      <c r="K1169" s="20" t="inlineStr">
        <is>
          <t>Captive</t>
        </is>
      </c>
      <c r="L1169" s="20" t="inlineStr">
        <is>
          <t>Dheera Cars</t>
        </is>
      </c>
      <c r="M1169" s="23" t="n">
        <v>4237.29</v>
      </c>
      <c r="N1169" s="23" t="n">
        <v>5000</v>
      </c>
      <c r="O1169" s="24">
        <f>IF(AND(ISNUMBER(M1169), ISNUMBER(I1169), I1169&gt;0), M1169/I1169, "")</f>
        <v/>
      </c>
    </row>
    <row r="1170">
      <c r="A1170" s="19" t="inlineStr">
        <is>
          <t>FY27</t>
        </is>
      </c>
      <c r="B1170" s="19" t="inlineStr">
        <is>
          <t>Apr</t>
        </is>
      </c>
      <c r="C1170" s="19" t="inlineStr">
        <is>
          <t>TN</t>
        </is>
      </c>
      <c r="D1170" s="20" t="inlineStr">
        <is>
          <t>TN38BQ5942</t>
        </is>
      </c>
      <c r="E1170" s="20" t="inlineStr">
        <is>
          <t>HONDA</t>
        </is>
      </c>
      <c r="F1170" s="20" t="inlineStr">
        <is>
          <t>Jazz</t>
        </is>
      </c>
      <c r="G1170" s="21" t="n">
        <v>2012</v>
      </c>
      <c r="H1170" s="22" t="n">
        <v>122116</v>
      </c>
      <c r="I1170" s="23" t="n">
        <v>230000</v>
      </c>
      <c r="J1170" s="20" t="inlineStr">
        <is>
          <t>EXCHANGE ROTN</t>
        </is>
      </c>
      <c r="K1170" s="20" t="inlineStr">
        <is>
          <t>Captive</t>
        </is>
      </c>
      <c r="L1170" s="20" t="inlineStr">
        <is>
          <t>Dheera Cars</t>
        </is>
      </c>
      <c r="M1170" s="23" t="n">
        <v>8474.58</v>
      </c>
      <c r="N1170" s="23" t="n">
        <v>10000</v>
      </c>
      <c r="O1170" s="24">
        <f>IF(AND(ISNUMBER(M1170), ISNUMBER(I1170), I1170&gt;0), M1170/I1170, "")</f>
        <v/>
      </c>
    </row>
    <row r="1171">
      <c r="A1171" s="19" t="inlineStr">
        <is>
          <t>FY27</t>
        </is>
      </c>
      <c r="B1171" s="19" t="inlineStr">
        <is>
          <t>Apr</t>
        </is>
      </c>
      <c r="C1171" s="19" t="inlineStr">
        <is>
          <t>TN</t>
        </is>
      </c>
      <c r="D1171" s="20" t="inlineStr">
        <is>
          <t>TN66P5725</t>
        </is>
      </c>
      <c r="E1171" s="20" t="inlineStr">
        <is>
          <t>MARUTI SUZUKI</t>
        </is>
      </c>
      <c r="F1171" s="20" t="inlineStr">
        <is>
          <t>Ciaz</t>
        </is>
      </c>
      <c r="G1171" s="21" t="n">
        <v>2014</v>
      </c>
      <c r="H1171" s="22" t="n">
        <v>168334</v>
      </c>
      <c r="I1171" s="23" t="n">
        <v>405000</v>
      </c>
      <c r="J1171" s="20" t="inlineStr">
        <is>
          <t>EXCHANGE ROTN</t>
        </is>
      </c>
      <c r="K1171" s="20" t="inlineStr">
        <is>
          <t>Captive</t>
        </is>
      </c>
      <c r="L1171" s="20" t="inlineStr">
        <is>
          <t>Raj Cars</t>
        </is>
      </c>
      <c r="M1171" s="23" t="n">
        <v>4237.29</v>
      </c>
      <c r="N1171" s="23" t="n">
        <v>5000</v>
      </c>
      <c r="O1171" s="24">
        <f>IF(AND(ISNUMBER(M1171), ISNUMBER(I1171), I1171&gt;0), M1171/I1171, "")</f>
        <v/>
      </c>
    </row>
    <row r="1172">
      <c r="A1172" s="19" t="inlineStr">
        <is>
          <t>FY27</t>
        </is>
      </c>
      <c r="B1172" s="19" t="inlineStr">
        <is>
          <t>Apr</t>
        </is>
      </c>
      <c r="C1172" s="19" t="inlineStr">
        <is>
          <t>TN</t>
        </is>
      </c>
      <c r="D1172" s="20" t="inlineStr">
        <is>
          <t>TN39BK8771</t>
        </is>
      </c>
      <c r="E1172" s="20" t="inlineStr">
        <is>
          <t>TATA</t>
        </is>
      </c>
      <c r="F1172" s="20" t="inlineStr">
        <is>
          <t>Nano</t>
        </is>
      </c>
      <c r="G1172" s="21" t="n">
        <v>2013</v>
      </c>
      <c r="H1172" s="22" t="n">
        <v>68375</v>
      </c>
      <c r="I1172" s="23" t="n">
        <v>90000</v>
      </c>
      <c r="J1172" s="20" t="inlineStr">
        <is>
          <t>EXCHANGE ROTN</t>
        </is>
      </c>
      <c r="K1172" s="20" t="inlineStr">
        <is>
          <t>Captive</t>
        </is>
      </c>
      <c r="L1172" s="20" t="inlineStr">
        <is>
          <t>Dheera Cars</t>
        </is>
      </c>
      <c r="M1172" s="23" t="n">
        <v>4237.29</v>
      </c>
      <c r="N1172" s="23" t="n">
        <v>5000</v>
      </c>
      <c r="O1172" s="24">
        <f>IF(AND(ISNUMBER(M1172), ISNUMBER(I1172), I1172&gt;0), M1172/I1172, "")</f>
        <v/>
      </c>
    </row>
    <row r="1173">
      <c r="A1173" s="19" t="inlineStr">
        <is>
          <t>FY27</t>
        </is>
      </c>
      <c r="B1173" s="19" t="inlineStr">
        <is>
          <t>Apr</t>
        </is>
      </c>
      <c r="C1173" s="19" t="inlineStr">
        <is>
          <t>TN</t>
        </is>
      </c>
      <c r="D1173" s="20" t="inlineStr">
        <is>
          <t>TN66AK4623</t>
        </is>
      </c>
      <c r="E1173" s="20" t="inlineStr">
        <is>
          <t>MARUTI SUZUKI</t>
        </is>
      </c>
      <c r="F1173" s="20" t="inlineStr">
        <is>
          <t>Ertiga</t>
        </is>
      </c>
      <c r="G1173" s="21" t="n">
        <v>2022</v>
      </c>
      <c r="H1173" s="22" t="n">
        <v>56619</v>
      </c>
      <c r="I1173" s="23" t="n">
        <v>950000</v>
      </c>
      <c r="J1173" s="20" t="inlineStr">
        <is>
          <t>EXCHANGE ROTN</t>
        </is>
      </c>
      <c r="K1173" s="20" t="inlineStr">
        <is>
          <t>Captive</t>
        </is>
      </c>
      <c r="L1173" s="20" t="inlineStr">
        <is>
          <t>Gugha Cars</t>
        </is>
      </c>
      <c r="M1173" s="23" t="n">
        <v>4237.29</v>
      </c>
      <c r="N1173" s="23" t="n">
        <v>5000</v>
      </c>
      <c r="O1173" s="24">
        <f>IF(AND(ISNUMBER(M1173), ISNUMBER(I1173), I1173&gt;0), M1173/I1173, "")</f>
        <v/>
      </c>
    </row>
    <row r="1174">
      <c r="A1174" s="19" t="inlineStr">
        <is>
          <t>FY27</t>
        </is>
      </c>
      <c r="B1174" s="19" t="inlineStr">
        <is>
          <t>Apr</t>
        </is>
      </c>
      <c r="C1174" s="19" t="inlineStr">
        <is>
          <t>TN</t>
        </is>
      </c>
      <c r="D1174" s="20" t="inlineStr">
        <is>
          <t>TN37CL7528</t>
        </is>
      </c>
      <c r="E1174" s="20" t="inlineStr">
        <is>
          <t>MARUTI SUZUKI</t>
        </is>
      </c>
      <c r="F1174" s="20" t="inlineStr">
        <is>
          <t>Alto</t>
        </is>
      </c>
      <c r="G1174" s="21" t="n">
        <v>2015</v>
      </c>
      <c r="H1174" s="22" t="n">
        <v>51250</v>
      </c>
      <c r="I1174" s="23" t="n">
        <v>190000</v>
      </c>
      <c r="J1174" s="20" t="inlineStr">
        <is>
          <t>EXCHANGE ROTN</t>
        </is>
      </c>
      <c r="K1174" s="20" t="inlineStr">
        <is>
          <t>Captive</t>
        </is>
      </c>
      <c r="L1174" s="20" t="inlineStr">
        <is>
          <t>Sri Murugan Cars</t>
        </is>
      </c>
      <c r="M1174" s="23" t="n">
        <v>4237.29</v>
      </c>
      <c r="N1174" s="23" t="n">
        <v>5000</v>
      </c>
      <c r="O1174" s="24">
        <f>IF(AND(ISNUMBER(M1174), ISNUMBER(I1174), I1174&gt;0), M1174/I1174, "")</f>
        <v/>
      </c>
    </row>
    <row r="1175">
      <c r="A1175" s="19" t="inlineStr">
        <is>
          <t>FY27</t>
        </is>
      </c>
      <c r="B1175" s="19" t="inlineStr">
        <is>
          <t>Apr</t>
        </is>
      </c>
      <c r="C1175" s="19" t="inlineStr">
        <is>
          <t>TN</t>
        </is>
      </c>
      <c r="D1175" s="20" t="inlineStr">
        <is>
          <t>TN95E6562</t>
        </is>
      </c>
      <c r="E1175" s="20" t="inlineStr">
        <is>
          <t>HONDA</t>
        </is>
      </c>
      <c r="F1175" s="20" t="inlineStr">
        <is>
          <t>Amaze</t>
        </is>
      </c>
      <c r="G1175" s="21" t="n">
        <v>2021</v>
      </c>
      <c r="H1175" s="22" t="n">
        <v>27727</v>
      </c>
      <c r="I1175" s="23" t="n">
        <v>570000</v>
      </c>
      <c r="J1175" s="20" t="inlineStr">
        <is>
          <t>EXCHANGE ROTN</t>
        </is>
      </c>
      <c r="K1175" s="20" t="inlineStr">
        <is>
          <t>Captive</t>
        </is>
      </c>
      <c r="L1175" s="20" t="inlineStr">
        <is>
          <t>Ashwin cars</t>
        </is>
      </c>
      <c r="M1175" s="23" t="n">
        <v>12711.86</v>
      </c>
      <c r="N1175" s="23" t="n">
        <v>15000</v>
      </c>
      <c r="O1175" s="24">
        <f>IF(AND(ISNUMBER(M1175), ISNUMBER(I1175), I1175&gt;0), M1175/I1175, "")</f>
        <v/>
      </c>
    </row>
    <row r="1176">
      <c r="A1176" s="19" t="inlineStr">
        <is>
          <t>FY27</t>
        </is>
      </c>
      <c r="B1176" s="19" t="inlineStr">
        <is>
          <t>Apr</t>
        </is>
      </c>
      <c r="C1176" s="19" t="inlineStr">
        <is>
          <t>TN</t>
        </is>
      </c>
      <c r="D1176" s="20" t="inlineStr">
        <is>
          <t>TN22CY7916</t>
        </is>
      </c>
      <c r="E1176" s="20" t="inlineStr">
        <is>
          <t>HONDA</t>
        </is>
      </c>
      <c r="F1176" s="20" t="inlineStr">
        <is>
          <t>nan</t>
        </is>
      </c>
      <c r="G1176" s="21" t="n">
        <v>2011</v>
      </c>
      <c r="H1176" s="22" t="n">
        <v>53649</v>
      </c>
      <c r="I1176" s="23" t="n">
        <v>160000</v>
      </c>
      <c r="J1176" s="20" t="inlineStr">
        <is>
          <t>EXCHANGE ROTN</t>
        </is>
      </c>
      <c r="K1176" s="20" t="inlineStr">
        <is>
          <t>Captive</t>
        </is>
      </c>
      <c r="L1176" s="20" t="inlineStr">
        <is>
          <t>KSM AUTO CONSULTING</t>
        </is>
      </c>
      <c r="M1176" s="23" t="n">
        <v>8474.58</v>
      </c>
      <c r="N1176" s="23" t="n">
        <v>10000</v>
      </c>
      <c r="O1176" s="24">
        <f>IF(AND(ISNUMBER(M1176), ISNUMBER(I1176), I1176&gt;0), M1176/I1176, "")</f>
        <v/>
      </c>
    </row>
    <row r="1177">
      <c r="A1177" s="19" t="inlineStr">
        <is>
          <t>FY27</t>
        </is>
      </c>
      <c r="B1177" s="19" t="inlineStr">
        <is>
          <t>Apr</t>
        </is>
      </c>
      <c r="C1177" s="19" t="inlineStr">
        <is>
          <t>TN</t>
        </is>
      </c>
      <c r="D1177" s="20" t="inlineStr">
        <is>
          <t>TN58AL8330</t>
        </is>
      </c>
      <c r="E1177" s="20" t="inlineStr">
        <is>
          <t>MARUTI SUZUKI</t>
        </is>
      </c>
      <c r="F1177" s="20" t="inlineStr">
        <is>
          <t>Swift Dzire</t>
        </is>
      </c>
      <c r="G1177" s="21" t="n">
        <v>2016</v>
      </c>
      <c r="H1177" s="22" t="n">
        <v>94979</v>
      </c>
      <c r="I1177" s="23" t="n">
        <v>335000</v>
      </c>
      <c r="J1177" s="20" t="inlineStr">
        <is>
          <t>EXCHANGE ROTN</t>
        </is>
      </c>
      <c r="K1177" s="20" t="inlineStr">
        <is>
          <t>Captive</t>
        </is>
      </c>
      <c r="L1177" s="20" t="inlineStr">
        <is>
          <t>Value Cars</t>
        </is>
      </c>
      <c r="M1177" s="23" t="n">
        <v>8474.58</v>
      </c>
      <c r="N1177" s="23" t="n">
        <v>10000</v>
      </c>
      <c r="O1177" s="24">
        <f>IF(AND(ISNUMBER(M1177), ISNUMBER(I1177), I1177&gt;0), M1177/I1177, "")</f>
        <v/>
      </c>
    </row>
    <row r="1178">
      <c r="A1178" s="19" t="inlineStr">
        <is>
          <t>FY27</t>
        </is>
      </c>
      <c r="B1178" s="19" t="inlineStr">
        <is>
          <t>Apr</t>
        </is>
      </c>
      <c r="C1178" s="19" t="inlineStr">
        <is>
          <t>TN</t>
        </is>
      </c>
      <c r="D1178" s="20" t="inlineStr">
        <is>
          <t>TN67BX5532</t>
        </is>
      </c>
      <c r="E1178" s="20" t="inlineStr">
        <is>
          <t>HYUNDAI</t>
        </is>
      </c>
      <c r="F1178" s="20" t="inlineStr">
        <is>
          <t>Grand I10</t>
        </is>
      </c>
      <c r="G1178" s="21" t="n">
        <v>2017</v>
      </c>
      <c r="H1178" s="22" t="n">
        <v>140575</v>
      </c>
      <c r="I1178" s="23" t="n">
        <v>270000</v>
      </c>
      <c r="J1178" s="20" t="inlineStr">
        <is>
          <t>EXCHANGE ROTN</t>
        </is>
      </c>
      <c r="K1178" s="20" t="inlineStr">
        <is>
          <t>Captive</t>
        </is>
      </c>
      <c r="L1178" s="20" t="inlineStr">
        <is>
          <t>KSM AUTO CONSULTING</t>
        </is>
      </c>
      <c r="M1178" s="23" t="n">
        <v>8474.58</v>
      </c>
      <c r="N1178" s="23" t="n">
        <v>10000</v>
      </c>
      <c r="O1178" s="24">
        <f>IF(AND(ISNUMBER(M1178), ISNUMBER(I1178), I1178&gt;0), M1178/I1178, "")</f>
        <v/>
      </c>
    </row>
    <row r="1179">
      <c r="A1179" s="19" t="inlineStr">
        <is>
          <t>FY27</t>
        </is>
      </c>
      <c r="B1179" s="19" t="inlineStr">
        <is>
          <t>Apr</t>
        </is>
      </c>
      <c r="C1179" s="19" t="inlineStr">
        <is>
          <t>TN</t>
        </is>
      </c>
      <c r="D1179" s="20" t="inlineStr">
        <is>
          <t>TN07CS5805</t>
        </is>
      </c>
      <c r="E1179" s="20" t="inlineStr">
        <is>
          <t>TATA</t>
        </is>
      </c>
      <c r="F1179" s="20" t="inlineStr">
        <is>
          <t>Tiago</t>
        </is>
      </c>
      <c r="G1179" s="21" t="n">
        <v>2019</v>
      </c>
      <c r="H1179" s="22" t="n">
        <v>101339</v>
      </c>
      <c r="I1179" s="23" t="n">
        <v>275000</v>
      </c>
      <c r="J1179" s="20" t="inlineStr">
        <is>
          <t>EXCHANGE ROTN</t>
        </is>
      </c>
      <c r="K1179" s="20" t="inlineStr">
        <is>
          <t>Captive</t>
        </is>
      </c>
      <c r="L1179" s="20" t="inlineStr">
        <is>
          <t>PURUSOTHAMAN J CARS</t>
        </is>
      </c>
      <c r="M1179" s="23" t="n">
        <v>4237.29</v>
      </c>
      <c r="N1179" s="23" t="n">
        <v>5000</v>
      </c>
      <c r="O1179" s="24">
        <f>IF(AND(ISNUMBER(M1179), ISNUMBER(I1179), I1179&gt;0), M1179/I1179, "")</f>
        <v/>
      </c>
    </row>
    <row r="1180">
      <c r="A1180" s="19" t="inlineStr">
        <is>
          <t>FY27</t>
        </is>
      </c>
      <c r="B1180" s="19" t="inlineStr">
        <is>
          <t>Apr</t>
        </is>
      </c>
      <c r="C1180" s="19" t="inlineStr">
        <is>
          <t>TN</t>
        </is>
      </c>
      <c r="D1180" s="20" t="inlineStr">
        <is>
          <t>TN133084</t>
        </is>
      </c>
      <c r="E1180" s="20" t="inlineStr">
        <is>
          <t>MARUTI SUZUKI</t>
        </is>
      </c>
      <c r="F1180" s="20" t="inlineStr">
        <is>
          <t>Swift Dzire</t>
        </is>
      </c>
      <c r="G1180" s="21" t="n">
        <v>2014</v>
      </c>
      <c r="H1180" s="22" t="n">
        <v>151579</v>
      </c>
      <c r="I1180" s="23" t="n">
        <v>300000</v>
      </c>
      <c r="J1180" s="20" t="inlineStr">
        <is>
          <t>EXCHANGE ROTN</t>
        </is>
      </c>
      <c r="K1180" s="20" t="inlineStr">
        <is>
          <t>Captive</t>
        </is>
      </c>
      <c r="L1180" s="20" t="inlineStr">
        <is>
          <t>Value Cars</t>
        </is>
      </c>
      <c r="M1180" s="23" t="n">
        <v>4237.29</v>
      </c>
      <c r="N1180" s="23" t="n">
        <v>5000</v>
      </c>
      <c r="O1180" s="24">
        <f>IF(AND(ISNUMBER(M1180), ISNUMBER(I1180), I1180&gt;0), M1180/I1180, "")</f>
        <v/>
      </c>
    </row>
    <row r="1181">
      <c r="A1181" s="19" t="inlineStr">
        <is>
          <t>FY27</t>
        </is>
      </c>
      <c r="B1181" s="19" t="inlineStr">
        <is>
          <t>Apr</t>
        </is>
      </c>
      <c r="C1181" s="19" t="inlineStr">
        <is>
          <t>TN</t>
        </is>
      </c>
      <c r="D1181" s="20" t="inlineStr">
        <is>
          <t>TN10AD5897</t>
        </is>
      </c>
      <c r="E1181" s="20" t="inlineStr">
        <is>
          <t>HYUNDAI</t>
        </is>
      </c>
      <c r="F1181" s="20" t="inlineStr">
        <is>
          <t>I10</t>
        </is>
      </c>
      <c r="G1181" s="21" t="n">
        <v>2011</v>
      </c>
      <c r="H1181" s="22" t="n">
        <v>33595</v>
      </c>
      <c r="I1181" s="23" t="n">
        <v>115000</v>
      </c>
      <c r="J1181" s="20" t="inlineStr">
        <is>
          <t>EXCHANGE ROTN</t>
        </is>
      </c>
      <c r="K1181" s="20" t="inlineStr">
        <is>
          <t>Captive</t>
        </is>
      </c>
      <c r="L1181" s="20" t="inlineStr">
        <is>
          <t>Value Cars</t>
        </is>
      </c>
      <c r="M1181" s="23" t="n">
        <v>4237.29</v>
      </c>
      <c r="N1181" s="23" t="n">
        <v>5000</v>
      </c>
      <c r="O1181" s="24">
        <f>IF(AND(ISNUMBER(M1181), ISNUMBER(I1181), I1181&gt;0), M1181/I1181, "")</f>
        <v/>
      </c>
    </row>
    <row r="1182">
      <c r="A1182" s="19" t="inlineStr">
        <is>
          <t>FY27</t>
        </is>
      </c>
      <c r="B1182" s="19" t="inlineStr">
        <is>
          <t>Apr</t>
        </is>
      </c>
      <c r="C1182" s="19" t="inlineStr">
        <is>
          <t>TN</t>
        </is>
      </c>
      <c r="D1182" s="20" t="inlineStr">
        <is>
          <t>TN01AH8341</t>
        </is>
      </c>
      <c r="E1182" s="20" t="inlineStr">
        <is>
          <t>MARUTI SUZUKI</t>
        </is>
      </c>
      <c r="F1182" s="20" t="inlineStr">
        <is>
          <t>Zen</t>
        </is>
      </c>
      <c r="G1182" s="21" t="n">
        <v>2008</v>
      </c>
      <c r="H1182" s="22" t="n">
        <v>104456</v>
      </c>
      <c r="I1182" s="23" t="n">
        <v>80000</v>
      </c>
      <c r="J1182" s="20" t="inlineStr">
        <is>
          <t>EXCHANGE ROTN</t>
        </is>
      </c>
      <c r="K1182" s="20" t="inlineStr">
        <is>
          <t>Captive</t>
        </is>
      </c>
      <c r="L1182" s="20" t="inlineStr">
        <is>
          <t>Ashwin cars</t>
        </is>
      </c>
      <c r="M1182" s="23" t="n">
        <v>4237.29</v>
      </c>
      <c r="N1182" s="23" t="n">
        <v>5000</v>
      </c>
      <c r="O1182" s="24">
        <f>IF(AND(ISNUMBER(M1182), ISNUMBER(I1182), I1182&gt;0), M1182/I1182, "")</f>
        <v/>
      </c>
    </row>
    <row r="1183">
      <c r="A1183" s="19" t="inlineStr">
        <is>
          <t>FY27</t>
        </is>
      </c>
      <c r="B1183" s="19" t="inlineStr">
        <is>
          <t>Apr</t>
        </is>
      </c>
      <c r="C1183" s="19" t="inlineStr">
        <is>
          <t>TN</t>
        </is>
      </c>
      <c r="D1183" s="20" t="inlineStr">
        <is>
          <t>TN72BA6835</t>
        </is>
      </c>
      <c r="E1183" s="20" t="inlineStr">
        <is>
          <t>TATA</t>
        </is>
      </c>
      <c r="F1183" s="20" t="inlineStr">
        <is>
          <t>Nano</t>
        </is>
      </c>
      <c r="G1183" s="21" t="n">
        <v>2014</v>
      </c>
      <c r="H1183" s="22" t="n">
        <v>100679</v>
      </c>
      <c r="I1183" s="23" t="n">
        <v>75000</v>
      </c>
      <c r="J1183" s="20" t="inlineStr">
        <is>
          <t>EXCHANGE ROTN</t>
        </is>
      </c>
      <c r="K1183" s="20" t="inlineStr">
        <is>
          <t>Captive</t>
        </is>
      </c>
      <c r="L1183" s="20" t="inlineStr">
        <is>
          <t>Ashwin cars</t>
        </is>
      </c>
      <c r="M1183" s="23" t="n">
        <v>4237.29</v>
      </c>
      <c r="N1183" s="23" t="n">
        <v>5000</v>
      </c>
      <c r="O1183" s="24">
        <f>IF(AND(ISNUMBER(M1183), ISNUMBER(I1183), I1183&gt;0), M1183/I1183, "")</f>
        <v/>
      </c>
    </row>
    <row r="1184">
      <c r="A1184" s="19" t="inlineStr">
        <is>
          <t>FY27</t>
        </is>
      </c>
      <c r="B1184" s="19" t="inlineStr">
        <is>
          <t>Apr</t>
        </is>
      </c>
      <c r="C1184" s="19" t="inlineStr">
        <is>
          <t>TN</t>
        </is>
      </c>
      <c r="D1184" s="20" t="inlineStr">
        <is>
          <t>TN60AU8989</t>
        </is>
      </c>
      <c r="E1184" s="20" t="inlineStr">
        <is>
          <t>HONDA</t>
        </is>
      </c>
      <c r="F1184" s="20" t="inlineStr">
        <is>
          <t>City</t>
        </is>
      </c>
      <c r="G1184" s="21" t="n">
        <v>2021</v>
      </c>
      <c r="H1184" s="22" t="n">
        <v>131882</v>
      </c>
      <c r="I1184" s="23" t="n">
        <v>700000</v>
      </c>
      <c r="J1184" s="20" t="inlineStr">
        <is>
          <t>EXCHANGE ROTN</t>
        </is>
      </c>
      <c r="K1184" s="20" t="inlineStr">
        <is>
          <t>Captive</t>
        </is>
      </c>
      <c r="L1184" s="20" t="inlineStr">
        <is>
          <t>MR Motors</t>
        </is>
      </c>
      <c r="M1184" s="23" t="n">
        <v>12711.86</v>
      </c>
      <c r="N1184" s="23" t="n">
        <v>15000</v>
      </c>
      <c r="O1184" s="24">
        <f>IF(AND(ISNUMBER(M1184), ISNUMBER(I1184), I1184&gt;0), M1184/I1184, "")</f>
        <v/>
      </c>
    </row>
    <row r="1185">
      <c r="A1185" s="19" t="inlineStr">
        <is>
          <t>FY27</t>
        </is>
      </c>
      <c r="B1185" s="19" t="inlineStr">
        <is>
          <t>Apr</t>
        </is>
      </c>
      <c r="C1185" s="19" t="inlineStr">
        <is>
          <t>TN</t>
        </is>
      </c>
      <c r="D1185" s="20" t="inlineStr">
        <is>
          <t>TN58BA4347</t>
        </is>
      </c>
      <c r="E1185" s="20" t="inlineStr">
        <is>
          <t>HONDA</t>
        </is>
      </c>
      <c r="F1185" s="20" t="inlineStr">
        <is>
          <t>Amaze</t>
        </is>
      </c>
      <c r="G1185" s="21" t="n">
        <v>2018</v>
      </c>
      <c r="H1185" s="22" t="n">
        <v>94318</v>
      </c>
      <c r="I1185" s="23" t="n">
        <v>440000</v>
      </c>
      <c r="J1185" s="20" t="inlineStr">
        <is>
          <t>EXCHANGE ROTN</t>
        </is>
      </c>
      <c r="K1185" s="20" t="inlineStr">
        <is>
          <t>Captive</t>
        </is>
      </c>
      <c r="L1185" s="20" t="inlineStr">
        <is>
          <t>AV Cars</t>
        </is>
      </c>
      <c r="M1185" s="23" t="n">
        <v>12711.86</v>
      </c>
      <c r="N1185" s="23" t="n">
        <v>15000</v>
      </c>
      <c r="O1185" s="24">
        <f>IF(AND(ISNUMBER(M1185), ISNUMBER(I1185), I1185&gt;0), M1185/I1185, "")</f>
        <v/>
      </c>
    </row>
    <row r="1186">
      <c r="A1186" s="19" t="inlineStr">
        <is>
          <t>FY27</t>
        </is>
      </c>
      <c r="B1186" s="19" t="inlineStr">
        <is>
          <t>Apr</t>
        </is>
      </c>
      <c r="C1186" s="19" t="inlineStr">
        <is>
          <t>TN</t>
        </is>
      </c>
      <c r="D1186" s="20" t="inlineStr">
        <is>
          <t>TN57P1158</t>
        </is>
      </c>
      <c r="E1186" s="20" t="inlineStr">
        <is>
          <t>FORD</t>
        </is>
      </c>
      <c r="F1186" s="20" t="inlineStr">
        <is>
          <t>Fusion</t>
        </is>
      </c>
      <c r="G1186" s="21" t="n">
        <v>2008</v>
      </c>
      <c r="H1186" s="22" t="n">
        <v>274782</v>
      </c>
      <c r="I1186" s="23" t="n">
        <v>100000</v>
      </c>
      <c r="J1186" s="20" t="inlineStr">
        <is>
          <t>EXCHANGE ROTN</t>
        </is>
      </c>
      <c r="K1186" s="20" t="inlineStr">
        <is>
          <t>Captive</t>
        </is>
      </c>
      <c r="L1186" s="20" t="inlineStr">
        <is>
          <t>Auto Motivators</t>
        </is>
      </c>
      <c r="M1186" s="23" t="n">
        <v>4237.29</v>
      </c>
      <c r="N1186" s="23" t="n">
        <v>5000</v>
      </c>
      <c r="O1186" s="24">
        <f>IF(AND(ISNUMBER(M1186), ISNUMBER(I1186), I1186&gt;0), M1186/I1186, "")</f>
        <v/>
      </c>
    </row>
    <row r="1187">
      <c r="A1187" s="19" t="inlineStr">
        <is>
          <t>FY27</t>
        </is>
      </c>
      <c r="B1187" s="19" t="inlineStr">
        <is>
          <t>Apr</t>
        </is>
      </c>
      <c r="C1187" s="19" t="inlineStr">
        <is>
          <t>TN</t>
        </is>
      </c>
      <c r="D1187" s="20" t="inlineStr">
        <is>
          <t>TN07AW3361</t>
        </is>
      </c>
      <c r="E1187" s="20" t="inlineStr">
        <is>
          <t>MARUTI SUZUKI</t>
        </is>
      </c>
      <c r="F1187" s="20" t="inlineStr">
        <is>
          <t>Esteem</t>
        </is>
      </c>
      <c r="G1187" s="21" t="n">
        <v>2005</v>
      </c>
      <c r="H1187" s="22" t="n">
        <v>76118</v>
      </c>
      <c r="I1187" s="23" t="n">
        <v>25000</v>
      </c>
      <c r="J1187" s="20" t="inlineStr">
        <is>
          <t>EXCHANGE ROTN</t>
        </is>
      </c>
      <c r="K1187" s="20" t="inlineStr">
        <is>
          <t>Captive</t>
        </is>
      </c>
      <c r="L1187" s="20" t="inlineStr">
        <is>
          <t>MR Motors</t>
        </is>
      </c>
      <c r="M1187" s="23" t="n">
        <v>4237.29</v>
      </c>
      <c r="N1187" s="23" t="n">
        <v>5000</v>
      </c>
      <c r="O1187" s="24">
        <f>IF(AND(ISNUMBER(M1187), ISNUMBER(I1187), I1187&gt;0), M1187/I1187, "")</f>
        <v/>
      </c>
    </row>
    <row r="1188">
      <c r="A1188" s="19" t="inlineStr">
        <is>
          <t>FY27</t>
        </is>
      </c>
      <c r="B1188" s="19" t="inlineStr">
        <is>
          <t>Apr</t>
        </is>
      </c>
      <c r="C1188" s="19" t="inlineStr">
        <is>
          <t>TN</t>
        </is>
      </c>
      <c r="D1188" s="20" t="inlineStr">
        <is>
          <t>TN22DW0006</t>
        </is>
      </c>
      <c r="E1188" s="20" t="inlineStr">
        <is>
          <t>MARUTI SUZUKI</t>
        </is>
      </c>
      <c r="F1188" s="20" t="inlineStr">
        <is>
          <t>Swift</t>
        </is>
      </c>
      <c r="G1188" s="21" t="n">
        <v>2019</v>
      </c>
      <c r="H1188" s="22" t="n">
        <v>87342</v>
      </c>
      <c r="I1188" s="23" t="n">
        <v>440000</v>
      </c>
      <c r="J1188" s="20" t="inlineStr">
        <is>
          <t>EXCHANGE ROTN</t>
        </is>
      </c>
      <c r="K1188" s="20" t="inlineStr">
        <is>
          <t>Captive</t>
        </is>
      </c>
      <c r="L1188" s="20" t="inlineStr">
        <is>
          <t>AV Cars</t>
        </is>
      </c>
      <c r="M1188" s="23" t="n">
        <v>8474.58</v>
      </c>
      <c r="N1188" s="23" t="n">
        <v>10000</v>
      </c>
      <c r="O1188" s="24">
        <f>IF(AND(ISNUMBER(M1188), ISNUMBER(I1188), I1188&gt;0), M1188/I1188, "")</f>
        <v/>
      </c>
    </row>
    <row r="1189">
      <c r="A1189" s="19" t="inlineStr">
        <is>
          <t>FY27</t>
        </is>
      </c>
      <c r="B1189" s="19" t="inlineStr">
        <is>
          <t>Apr</t>
        </is>
      </c>
      <c r="C1189" s="19" t="inlineStr">
        <is>
          <t>TN</t>
        </is>
      </c>
      <c r="D1189" s="20" t="inlineStr">
        <is>
          <t>TN58BF1755</t>
        </is>
      </c>
      <c r="E1189" s="20" t="inlineStr">
        <is>
          <t>HYUNDAI</t>
        </is>
      </c>
      <c r="F1189" s="20" t="inlineStr">
        <is>
          <t>Santro</t>
        </is>
      </c>
      <c r="G1189" s="21" t="n">
        <v>2021</v>
      </c>
      <c r="H1189" s="22" t="n">
        <v>69370</v>
      </c>
      <c r="I1189" s="23" t="n">
        <v>370000</v>
      </c>
      <c r="J1189" s="20" t="inlineStr">
        <is>
          <t>EXCHANGE ROTN</t>
        </is>
      </c>
      <c r="K1189" s="20" t="inlineStr">
        <is>
          <t>Captive</t>
        </is>
      </c>
      <c r="L1189" s="20" t="inlineStr">
        <is>
          <t>AV Cars</t>
        </is>
      </c>
      <c r="M1189" s="23" t="n">
        <v>4237.29</v>
      </c>
      <c r="N1189" s="23" t="n">
        <v>5000</v>
      </c>
      <c r="O1189" s="24">
        <f>IF(AND(ISNUMBER(M1189), ISNUMBER(I1189), I1189&gt;0), M1189/I1189, "")</f>
        <v/>
      </c>
    </row>
    <row r="1190">
      <c r="A1190" s="19" t="inlineStr">
        <is>
          <t>FY27</t>
        </is>
      </c>
      <c r="B1190" s="19" t="inlineStr">
        <is>
          <t>Apr</t>
        </is>
      </c>
      <c r="C1190" s="19" t="inlineStr">
        <is>
          <t>TN</t>
        </is>
      </c>
      <c r="D1190" s="20" t="inlineStr">
        <is>
          <t>TN57AT4394</t>
        </is>
      </c>
      <c r="E1190" s="20" t="inlineStr">
        <is>
          <t>HYUNDAI</t>
        </is>
      </c>
      <c r="F1190" s="20" t="inlineStr">
        <is>
          <t>I10</t>
        </is>
      </c>
      <c r="G1190" s="21" t="n">
        <v>2013</v>
      </c>
      <c r="H1190" s="22" t="n">
        <v>129522</v>
      </c>
      <c r="I1190" s="23" t="n">
        <v>170000</v>
      </c>
      <c r="J1190" s="20" t="inlineStr">
        <is>
          <t>EXCHANGE ROTN</t>
        </is>
      </c>
      <c r="K1190" s="20" t="inlineStr">
        <is>
          <t>Captive</t>
        </is>
      </c>
      <c r="L1190" s="20" t="inlineStr">
        <is>
          <t>KSM AUTO CONSULTING</t>
        </is>
      </c>
      <c r="M1190" s="23" t="n">
        <v>4237.29</v>
      </c>
      <c r="N1190" s="23" t="n">
        <v>5000</v>
      </c>
      <c r="O1190" s="24">
        <f>IF(AND(ISNUMBER(M1190), ISNUMBER(I1190), I1190&gt;0), M1190/I1190, "")</f>
        <v/>
      </c>
    </row>
    <row r="1191">
      <c r="A1191" s="19" t="inlineStr">
        <is>
          <t>FY27</t>
        </is>
      </c>
      <c r="B1191" s="19" t="inlineStr">
        <is>
          <t>Apr</t>
        </is>
      </c>
      <c r="C1191" s="19" t="inlineStr">
        <is>
          <t>TN</t>
        </is>
      </c>
      <c r="D1191" s="20" t="inlineStr">
        <is>
          <t>TN49BY4821</t>
        </is>
      </c>
      <c r="E1191" s="20" t="inlineStr">
        <is>
          <t>HONDA</t>
        </is>
      </c>
      <c r="F1191" s="20" t="inlineStr">
        <is>
          <t>Amaze</t>
        </is>
      </c>
      <c r="G1191" s="21" t="n">
        <v>2015</v>
      </c>
      <c r="H1191" s="22" t="n">
        <v>121269</v>
      </c>
      <c r="I1191" s="23" t="n">
        <v>300000</v>
      </c>
      <c r="J1191" s="20" t="inlineStr">
        <is>
          <t>EXCHANGE ROTN</t>
        </is>
      </c>
      <c r="K1191" s="20" t="inlineStr">
        <is>
          <t>Captive</t>
        </is>
      </c>
      <c r="L1191" s="20" t="inlineStr">
        <is>
          <t>SIVASHANKAR CARS</t>
        </is>
      </c>
      <c r="M1191" s="23" t="n">
        <v>4237.29</v>
      </c>
      <c r="N1191" s="23" t="n">
        <v>5000</v>
      </c>
      <c r="O1191" s="24">
        <f>IF(AND(ISNUMBER(M1191), ISNUMBER(I1191), I1191&gt;0), M1191/I1191, "")</f>
        <v/>
      </c>
    </row>
    <row r="1192">
      <c r="A1192" s="19" t="inlineStr">
        <is>
          <t>FY27</t>
        </is>
      </c>
      <c r="B1192" s="19" t="inlineStr">
        <is>
          <t>Apr</t>
        </is>
      </c>
      <c r="C1192" s="19" t="inlineStr">
        <is>
          <t>TN</t>
        </is>
      </c>
      <c r="D1192" s="20" t="inlineStr">
        <is>
          <t>TN39BH3335</t>
        </is>
      </c>
      <c r="E1192" s="20" t="inlineStr">
        <is>
          <t>VOLKSWAGEN</t>
        </is>
      </c>
      <c r="F1192" s="20" t="inlineStr">
        <is>
          <t>Polo</t>
        </is>
      </c>
      <c r="G1192" s="21" t="n">
        <v>2013</v>
      </c>
      <c r="H1192" s="22" t="n">
        <v>146702</v>
      </c>
      <c r="I1192" s="23" t="n">
        <v>300000</v>
      </c>
      <c r="J1192" s="20" t="inlineStr">
        <is>
          <t>EXCHANGE ROTN</t>
        </is>
      </c>
      <c r="K1192" s="20" t="inlineStr">
        <is>
          <t>Captive</t>
        </is>
      </c>
      <c r="L1192" s="20" t="inlineStr">
        <is>
          <t>Raj Cars</t>
        </is>
      </c>
      <c r="M1192" s="23" t="n">
        <v>10169.49</v>
      </c>
      <c r="N1192" s="23" t="n">
        <v>12000</v>
      </c>
      <c r="O1192" s="24">
        <f>IF(AND(ISNUMBER(M1192), ISNUMBER(I1192), I1192&gt;0), M1192/I1192, "")</f>
        <v/>
      </c>
    </row>
    <row r="1193">
      <c r="A1193" s="19" t="inlineStr">
        <is>
          <t>FY27</t>
        </is>
      </c>
      <c r="B1193" s="19" t="inlineStr">
        <is>
          <t>Apr</t>
        </is>
      </c>
      <c r="C1193" s="19" t="inlineStr">
        <is>
          <t>TN</t>
        </is>
      </c>
      <c r="D1193" s="20" t="inlineStr">
        <is>
          <t>TN33BK2747</t>
        </is>
      </c>
      <c r="E1193" s="20" t="inlineStr">
        <is>
          <t>MARUTI SUZUKI</t>
        </is>
      </c>
      <c r="F1193" s="20" t="inlineStr">
        <is>
          <t>Wagon R</t>
        </is>
      </c>
      <c r="G1193" s="21" t="n">
        <v>2015</v>
      </c>
      <c r="H1193" s="22" t="n">
        <v>111997</v>
      </c>
      <c r="I1193" s="23" t="n">
        <v>290000</v>
      </c>
      <c r="J1193" s="20" t="inlineStr">
        <is>
          <t>EXCHANGE ROTN</t>
        </is>
      </c>
      <c r="K1193" s="20" t="inlineStr">
        <is>
          <t>Captive</t>
        </is>
      </c>
      <c r="L1193" s="20" t="inlineStr">
        <is>
          <t>SIVASHANKAR CARS</t>
        </is>
      </c>
      <c r="M1193" s="23" t="n">
        <v>4237.29</v>
      </c>
      <c r="N1193" s="23" t="n">
        <v>5000</v>
      </c>
      <c r="O1193" s="24">
        <f>IF(AND(ISNUMBER(M1193), ISNUMBER(I1193), I1193&gt;0), M1193/I1193, "")</f>
        <v/>
      </c>
    </row>
    <row r="1194">
      <c r="A1194" s="19" t="inlineStr">
        <is>
          <t>FY27</t>
        </is>
      </c>
      <c r="B1194" s="19" t="inlineStr">
        <is>
          <t>Apr</t>
        </is>
      </c>
      <c r="C1194" s="19" t="inlineStr">
        <is>
          <t>TN</t>
        </is>
      </c>
      <c r="D1194" s="20" t="inlineStr">
        <is>
          <t>TN18X7278</t>
        </is>
      </c>
      <c r="E1194" s="20" t="inlineStr">
        <is>
          <t>MARUTI SUZUKI</t>
        </is>
      </c>
      <c r="F1194" s="20" t="inlineStr">
        <is>
          <t>Wagon R</t>
        </is>
      </c>
      <c r="G1194" s="21" t="n">
        <v>2012</v>
      </c>
      <c r="H1194" s="22" t="n">
        <v>145303</v>
      </c>
      <c r="I1194" s="23" t="n">
        <v>150000</v>
      </c>
      <c r="J1194" s="20" t="inlineStr">
        <is>
          <t>EXCHANGE ROTN</t>
        </is>
      </c>
      <c r="K1194" s="20" t="inlineStr">
        <is>
          <t>Captive</t>
        </is>
      </c>
      <c r="L1194" s="20" t="inlineStr">
        <is>
          <t>SIVASHANKAR CARS</t>
        </is>
      </c>
      <c r="M1194" s="23" t="n">
        <v>8474.58</v>
      </c>
      <c r="N1194" s="23" t="n">
        <v>10000</v>
      </c>
      <c r="O1194" s="24">
        <f>IF(AND(ISNUMBER(M1194), ISNUMBER(I1194), I1194&gt;0), M1194/I1194, "")</f>
        <v/>
      </c>
    </row>
    <row r="1195">
      <c r="A1195" s="19" t="inlineStr">
        <is>
          <t>FY27</t>
        </is>
      </c>
      <c r="B1195" s="19" t="inlineStr">
        <is>
          <t>Apr</t>
        </is>
      </c>
      <c r="C1195" s="19" t="inlineStr">
        <is>
          <t>TN</t>
        </is>
      </c>
      <c r="D1195" s="20" t="inlineStr">
        <is>
          <t>TN33BK6262</t>
        </is>
      </c>
      <c r="E1195" s="20" t="inlineStr">
        <is>
          <t>HONDA</t>
        </is>
      </c>
      <c r="F1195" s="20" t="inlineStr">
        <is>
          <t>City</t>
        </is>
      </c>
      <c r="G1195" s="21" t="n">
        <v>2014</v>
      </c>
      <c r="H1195" s="22" t="n">
        <v>160178</v>
      </c>
      <c r="I1195" s="23" t="n">
        <v>200000</v>
      </c>
      <c r="J1195" s="20" t="inlineStr">
        <is>
          <t>EXCHANGE ROTN</t>
        </is>
      </c>
      <c r="K1195" s="20" t="inlineStr">
        <is>
          <t>Captive</t>
        </is>
      </c>
      <c r="L1195" s="20" t="inlineStr">
        <is>
          <t>SIVASHANKAR CARS</t>
        </is>
      </c>
      <c r="M1195" s="23" t="n">
        <v>4237.29</v>
      </c>
      <c r="N1195" s="23" t="n">
        <v>5000</v>
      </c>
      <c r="O1195" s="24">
        <f>IF(AND(ISNUMBER(M1195), ISNUMBER(I1195), I1195&gt;0), M1195/I1195, "")</f>
        <v/>
      </c>
    </row>
    <row r="1196">
      <c r="A1196" s="19" t="inlineStr">
        <is>
          <t>FY27</t>
        </is>
      </c>
      <c r="B1196" s="19" t="inlineStr">
        <is>
          <t>Apr</t>
        </is>
      </c>
      <c r="C1196" s="19" t="inlineStr">
        <is>
          <t>TN</t>
        </is>
      </c>
      <c r="D1196" s="20" t="inlineStr">
        <is>
          <t>TN34T9198</t>
        </is>
      </c>
      <c r="E1196" s="20" t="inlineStr">
        <is>
          <t>CHEVROLET</t>
        </is>
      </c>
      <c r="F1196" s="20" t="inlineStr">
        <is>
          <t>Beat</t>
        </is>
      </c>
      <c r="G1196" s="21" t="n">
        <v>2013</v>
      </c>
      <c r="H1196" s="22" t="n">
        <v>150457</v>
      </c>
      <c r="I1196" s="23" t="n">
        <v>120000</v>
      </c>
      <c r="J1196" s="20" t="inlineStr">
        <is>
          <t>EXCHANGE ROTN</t>
        </is>
      </c>
      <c r="K1196" s="20" t="inlineStr">
        <is>
          <t>Captive</t>
        </is>
      </c>
      <c r="L1196" s="20" t="inlineStr">
        <is>
          <t>SIVASHANKAR CARS</t>
        </is>
      </c>
      <c r="M1196" s="23" t="n">
        <v>8474.58</v>
      </c>
      <c r="N1196" s="23" t="n">
        <v>10000</v>
      </c>
      <c r="O1196" s="24">
        <f>IF(AND(ISNUMBER(M1196), ISNUMBER(I1196), I1196&gt;0), M1196/I1196, "")</f>
        <v/>
      </c>
    </row>
    <row r="1197">
      <c r="A1197" s="19" t="inlineStr">
        <is>
          <t>FY27</t>
        </is>
      </c>
      <c r="B1197" s="19" t="inlineStr">
        <is>
          <t>Apr</t>
        </is>
      </c>
      <c r="C1197" s="19" t="inlineStr">
        <is>
          <t>TN</t>
        </is>
      </c>
      <c r="D1197" s="20" t="inlineStr">
        <is>
          <t>TN39BR7299</t>
        </is>
      </c>
      <c r="E1197" s="20" t="inlineStr">
        <is>
          <t>HONDA</t>
        </is>
      </c>
      <c r="F1197" s="20" t="inlineStr">
        <is>
          <t>City</t>
        </is>
      </c>
      <c r="G1197" s="21" t="n">
        <v>2015</v>
      </c>
      <c r="H1197" s="22" t="n">
        <v>204533</v>
      </c>
      <c r="I1197" s="23" t="n">
        <v>420000</v>
      </c>
      <c r="J1197" s="20" t="inlineStr">
        <is>
          <t>EXCHANGE ROTN</t>
        </is>
      </c>
      <c r="K1197" s="20" t="inlineStr">
        <is>
          <t>Captive</t>
        </is>
      </c>
      <c r="L1197" s="20" t="inlineStr">
        <is>
          <t>SRI RAJA KANAPATHY CARS</t>
        </is>
      </c>
      <c r="M1197" s="23" t="n">
        <v>10169.49</v>
      </c>
      <c r="N1197" s="23" t="n">
        <v>12000</v>
      </c>
      <c r="O1197" s="24">
        <f>IF(AND(ISNUMBER(M1197), ISNUMBER(I1197), I1197&gt;0), M1197/I1197, "")</f>
        <v/>
      </c>
    </row>
    <row r="1198">
      <c r="A1198" s="19" t="inlineStr">
        <is>
          <t>FY27</t>
        </is>
      </c>
      <c r="B1198" s="19" t="inlineStr">
        <is>
          <t>Apr</t>
        </is>
      </c>
      <c r="C1198" s="19" t="inlineStr">
        <is>
          <t>TN</t>
        </is>
      </c>
      <c r="D1198" s="20" t="inlineStr">
        <is>
          <t>TN33BD9472</t>
        </is>
      </c>
      <c r="E1198" s="20" t="inlineStr">
        <is>
          <t>HONDA</t>
        </is>
      </c>
      <c r="F1198" s="20" t="inlineStr">
        <is>
          <t>Amaze</t>
        </is>
      </c>
      <c r="G1198" s="21" t="n">
        <v>2013</v>
      </c>
      <c r="H1198" s="22" t="n">
        <v>117794</v>
      </c>
      <c r="I1198" s="23" t="n">
        <v>160000</v>
      </c>
      <c r="J1198" s="20" t="inlineStr">
        <is>
          <t>EXCHANGE ROTN</t>
        </is>
      </c>
      <c r="K1198" s="20" t="inlineStr">
        <is>
          <t>Captive</t>
        </is>
      </c>
      <c r="L1198" s="20" t="inlineStr">
        <is>
          <t>SIVASHANKAR CARS</t>
        </is>
      </c>
      <c r="M1198" s="23" t="n">
        <v>4237.29</v>
      </c>
      <c r="N1198" s="23" t="n">
        <v>5000</v>
      </c>
      <c r="O1198" s="24">
        <f>IF(AND(ISNUMBER(M1198), ISNUMBER(I1198), I1198&gt;0), M1198/I1198, "")</f>
        <v/>
      </c>
    </row>
    <row r="1199">
      <c r="A1199" s="19" t="inlineStr">
        <is>
          <t>FY27</t>
        </is>
      </c>
      <c r="B1199" s="19" t="inlineStr">
        <is>
          <t>Apr</t>
        </is>
      </c>
      <c r="C1199" s="19" t="inlineStr">
        <is>
          <t>TN</t>
        </is>
      </c>
      <c r="D1199" s="20" t="inlineStr">
        <is>
          <t>TN36AA0293</t>
        </is>
      </c>
      <c r="E1199" s="20" t="inlineStr">
        <is>
          <t>HYUNDAI</t>
        </is>
      </c>
      <c r="F1199" s="20" t="inlineStr">
        <is>
          <t>I20</t>
        </is>
      </c>
      <c r="G1199" s="21" t="n">
        <v>2012</v>
      </c>
      <c r="H1199" s="22" t="n">
        <v>189936</v>
      </c>
      <c r="I1199" s="23" t="n">
        <v>230000</v>
      </c>
      <c r="J1199" s="20" t="inlineStr">
        <is>
          <t>EXCHANGE ROTN</t>
        </is>
      </c>
      <c r="K1199" s="20" t="inlineStr">
        <is>
          <t>Captive</t>
        </is>
      </c>
      <c r="L1199" s="20" t="inlineStr">
        <is>
          <t>SIVASHANKAR CARS</t>
        </is>
      </c>
      <c r="M1199" s="23" t="n">
        <v>4237.29</v>
      </c>
      <c r="N1199" s="23" t="n">
        <v>5000</v>
      </c>
      <c r="O1199" s="24">
        <f>IF(AND(ISNUMBER(M1199), ISNUMBER(I1199), I1199&gt;0), M1199/I1199, "")</f>
        <v/>
      </c>
    </row>
    <row r="1200">
      <c r="A1200" s="19" t="inlineStr">
        <is>
          <t>FY27</t>
        </is>
      </c>
      <c r="B1200" s="19" t="inlineStr">
        <is>
          <t>Apr</t>
        </is>
      </c>
      <c r="C1200" s="19" t="inlineStr">
        <is>
          <t>TN</t>
        </is>
      </c>
      <c r="D1200" s="20" t="inlineStr">
        <is>
          <t>TN09BB3809</t>
        </is>
      </c>
      <c r="E1200" s="20" t="inlineStr">
        <is>
          <t>HYUNDAI</t>
        </is>
      </c>
      <c r="F1200" s="20" t="inlineStr">
        <is>
          <t>Accent</t>
        </is>
      </c>
      <c r="G1200" s="21" t="n">
        <v>2009</v>
      </c>
      <c r="H1200" s="22" t="n">
        <v>86597</v>
      </c>
      <c r="I1200" s="23" t="n">
        <v>50000</v>
      </c>
      <c r="J1200" s="20" t="inlineStr">
        <is>
          <t>EXCHANGE ROTN</t>
        </is>
      </c>
      <c r="K1200" s="20" t="inlineStr">
        <is>
          <t>Captive</t>
        </is>
      </c>
      <c r="L1200" s="20" t="inlineStr">
        <is>
          <t>SIVASHANKAR CARS</t>
        </is>
      </c>
      <c r="M1200" s="23" t="n">
        <v>4237.29</v>
      </c>
      <c r="N1200" s="23" t="n">
        <v>5000</v>
      </c>
      <c r="O1200" s="24">
        <f>IF(AND(ISNUMBER(M1200), ISNUMBER(I1200), I1200&gt;0), M1200/I1200, "")</f>
        <v/>
      </c>
    </row>
    <row r="1201">
      <c r="A1201" s="19" t="inlineStr">
        <is>
          <t>FY27</t>
        </is>
      </c>
      <c r="B1201" s="19" t="inlineStr">
        <is>
          <t>Apr</t>
        </is>
      </c>
      <c r="C1201" s="19" t="inlineStr">
        <is>
          <t>TN</t>
        </is>
      </c>
      <c r="D1201" s="20" t="inlineStr">
        <is>
          <t>TN88W1632</t>
        </is>
      </c>
      <c r="E1201" s="20" t="inlineStr">
        <is>
          <t>MARUTI SUZUKI</t>
        </is>
      </c>
      <c r="F1201" s="20" t="inlineStr">
        <is>
          <t>Omni</t>
        </is>
      </c>
      <c r="G1201" s="21" t="n">
        <v>2018</v>
      </c>
      <c r="H1201" s="22" t="n">
        <v>45434</v>
      </c>
      <c r="I1201" s="23" t="n">
        <v>220000</v>
      </c>
      <c r="J1201" s="20" t="inlineStr">
        <is>
          <t>EXCHANGE ROTN</t>
        </is>
      </c>
      <c r="K1201" s="20" t="inlineStr">
        <is>
          <t>Captive</t>
        </is>
      </c>
      <c r="L1201" s="20" t="inlineStr">
        <is>
          <t>SIVASHANKAR CARS</t>
        </is>
      </c>
      <c r="M1201" s="23" t="n">
        <v>4237.29</v>
      </c>
      <c r="N1201" s="23" t="n">
        <v>5000</v>
      </c>
      <c r="O1201" s="24">
        <f>IF(AND(ISNUMBER(M1201), ISNUMBER(I1201), I1201&gt;0), M1201/I1201, "")</f>
        <v/>
      </c>
    </row>
    <row r="1202">
      <c r="A1202" s="19" t="inlineStr">
        <is>
          <t>FY27</t>
        </is>
      </c>
      <c r="B1202" s="19" t="inlineStr">
        <is>
          <t>Apr</t>
        </is>
      </c>
      <c r="C1202" s="19" t="inlineStr">
        <is>
          <t>TN</t>
        </is>
      </c>
      <c r="D1202" s="20" t="inlineStr">
        <is>
          <t>TN34P6469</t>
        </is>
      </c>
      <c r="E1202" s="20" t="inlineStr">
        <is>
          <t>CHEVROLET</t>
        </is>
      </c>
      <c r="F1202" s="20" t="inlineStr">
        <is>
          <t>Tavera</t>
        </is>
      </c>
      <c r="G1202" s="21" t="n">
        <v>2011</v>
      </c>
      <c r="H1202" s="22" t="n">
        <v>290478</v>
      </c>
      <c r="I1202" s="23" t="n">
        <v>160000</v>
      </c>
      <c r="J1202" s="20" t="inlineStr">
        <is>
          <t>EXCHANGE ROTN</t>
        </is>
      </c>
      <c r="K1202" s="20" t="inlineStr">
        <is>
          <t>Captive</t>
        </is>
      </c>
      <c r="L1202" s="20" t="inlineStr">
        <is>
          <t>SIVASHANKAR CARS</t>
        </is>
      </c>
      <c r="M1202" s="23" t="n">
        <v>4237.29</v>
      </c>
      <c r="N1202" s="23" t="n">
        <v>5000</v>
      </c>
      <c r="O1202" s="24">
        <f>IF(AND(ISNUMBER(M1202), ISNUMBER(I1202), I1202&gt;0), M1202/I1202, "")</f>
        <v/>
      </c>
    </row>
    <row r="1203">
      <c r="A1203" s="19" t="inlineStr">
        <is>
          <t>FY27</t>
        </is>
      </c>
      <c r="B1203" s="19" t="inlineStr">
        <is>
          <t>Apr</t>
        </is>
      </c>
      <c r="C1203" s="19" t="inlineStr">
        <is>
          <t>TN</t>
        </is>
      </c>
      <c r="D1203" s="20" t="inlineStr">
        <is>
          <t>TN52F3535</t>
        </is>
      </c>
      <c r="E1203" s="20" t="inlineStr">
        <is>
          <t>MARUTI SUZUKI</t>
        </is>
      </c>
      <c r="F1203" s="20" t="inlineStr">
        <is>
          <t>Swift Dzire</t>
        </is>
      </c>
      <c r="G1203" s="21" t="n">
        <v>2014</v>
      </c>
      <c r="H1203" s="22" t="n">
        <v>99578</v>
      </c>
      <c r="I1203" s="23" t="n">
        <v>325000</v>
      </c>
      <c r="J1203" s="20" t="inlineStr">
        <is>
          <t>EXCHANGE ROTN</t>
        </is>
      </c>
      <c r="K1203" s="20" t="inlineStr">
        <is>
          <t>Captive</t>
        </is>
      </c>
      <c r="L1203" s="20" t="inlineStr">
        <is>
          <t>SIVASHANKAR CARS</t>
        </is>
      </c>
      <c r="M1203" s="23" t="n">
        <v>4237.29</v>
      </c>
      <c r="N1203" s="23" t="n">
        <v>5000</v>
      </c>
      <c r="O1203" s="24">
        <f>IF(AND(ISNUMBER(M1203), ISNUMBER(I1203), I1203&gt;0), M1203/I1203, "")</f>
        <v/>
      </c>
    </row>
    <row r="1204">
      <c r="A1204" s="19" t="inlineStr">
        <is>
          <t>FY27</t>
        </is>
      </c>
      <c r="B1204" s="19" t="inlineStr">
        <is>
          <t>Apr</t>
        </is>
      </c>
      <c r="C1204" s="19" t="inlineStr">
        <is>
          <t>TN</t>
        </is>
      </c>
      <c r="D1204" s="20" t="inlineStr">
        <is>
          <t>TN30CV5976</t>
        </is>
      </c>
      <c r="E1204" s="20" t="inlineStr">
        <is>
          <t>MARUTI SUZUKI</t>
        </is>
      </c>
      <c r="F1204" s="20" t="inlineStr">
        <is>
          <t>Wagon R</t>
        </is>
      </c>
      <c r="G1204" s="21" t="n">
        <v>2023</v>
      </c>
      <c r="H1204" s="22" t="n">
        <v>17686</v>
      </c>
      <c r="I1204" s="23" t="n">
        <v>400000</v>
      </c>
      <c r="J1204" s="20" t="inlineStr">
        <is>
          <t>EXCHANGE ROTN</t>
        </is>
      </c>
      <c r="K1204" s="20" t="inlineStr">
        <is>
          <t>Captive</t>
        </is>
      </c>
      <c r="L1204" s="20" t="inlineStr">
        <is>
          <t>SIVASHANKAR CARS</t>
        </is>
      </c>
      <c r="M1204" s="23" t="n">
        <v>4237.29</v>
      </c>
      <c r="N1204" s="23" t="n">
        <v>5000</v>
      </c>
      <c r="O1204" s="24">
        <f>IF(AND(ISNUMBER(M1204), ISNUMBER(I1204), I1204&gt;0), M1204/I1204, "")</f>
        <v/>
      </c>
    </row>
    <row r="1205">
      <c r="A1205" s="19" t="inlineStr">
        <is>
          <t>FY27</t>
        </is>
      </c>
      <c r="B1205" s="19" t="inlineStr">
        <is>
          <t>Apr</t>
        </is>
      </c>
      <c r="C1205" s="19" t="inlineStr">
        <is>
          <t>TN</t>
        </is>
      </c>
      <c r="D1205" s="20" t="inlineStr">
        <is>
          <t>KA01MN7628</t>
        </is>
      </c>
      <c r="E1205" s="20" t="inlineStr">
        <is>
          <t>HONDA</t>
        </is>
      </c>
      <c r="F1205" s="20" t="inlineStr">
        <is>
          <t>Amaze</t>
        </is>
      </c>
      <c r="G1205" s="21" t="n">
        <v>2016</v>
      </c>
      <c r="H1205" s="22" t="n">
        <v>108482</v>
      </c>
      <c r="I1205" s="23" t="n">
        <v>290000</v>
      </c>
      <c r="J1205" s="20" t="inlineStr">
        <is>
          <t>EXCHANGE ROTN</t>
        </is>
      </c>
      <c r="K1205" s="20" t="inlineStr">
        <is>
          <t>Captive</t>
        </is>
      </c>
      <c r="L1205" s="20" t="inlineStr">
        <is>
          <t>SRI RAJA KANAPATHY CARS</t>
        </is>
      </c>
      <c r="M1205" s="23" t="n">
        <v>8474.58</v>
      </c>
      <c r="N1205" s="23" t="n">
        <v>10000</v>
      </c>
      <c r="O1205" s="24">
        <f>IF(AND(ISNUMBER(M1205), ISNUMBER(I1205), I1205&gt;0), M1205/I1205, "")</f>
        <v/>
      </c>
    </row>
    <row r="1206">
      <c r="A1206" s="19" t="inlineStr">
        <is>
          <t>FY27</t>
        </is>
      </c>
      <c r="B1206" s="19" t="inlineStr">
        <is>
          <t>Apr</t>
        </is>
      </c>
      <c r="C1206" s="19" t="inlineStr">
        <is>
          <t>TN</t>
        </is>
      </c>
      <c r="D1206" s="20" t="inlineStr">
        <is>
          <t>TN37BY0969</t>
        </is>
      </c>
      <c r="E1206" s="20" t="inlineStr">
        <is>
          <t>HYUNDAI</t>
        </is>
      </c>
      <c r="F1206" s="20" t="inlineStr">
        <is>
          <t>I20</t>
        </is>
      </c>
      <c r="G1206" s="21" t="n">
        <v>2012</v>
      </c>
      <c r="H1206" s="22" t="n">
        <v>159431</v>
      </c>
      <c r="I1206" s="23" t="n">
        <v>180000</v>
      </c>
      <c r="J1206" s="20" t="inlineStr">
        <is>
          <t>EXCHANGE ROTN</t>
        </is>
      </c>
      <c r="K1206" s="20" t="inlineStr">
        <is>
          <t>Captive</t>
        </is>
      </c>
      <c r="L1206" s="20" t="inlineStr">
        <is>
          <t>Ayyapa Cars</t>
        </is>
      </c>
      <c r="M1206" s="23" t="n">
        <v>4237.29</v>
      </c>
      <c r="N1206" s="23" t="n">
        <v>5000</v>
      </c>
      <c r="O1206" s="24">
        <f>IF(AND(ISNUMBER(M1206), ISNUMBER(I1206), I1206&gt;0), M1206/I1206, "")</f>
        <v/>
      </c>
    </row>
    <row r="1207">
      <c r="A1207" s="19" t="inlineStr">
        <is>
          <t>FY27</t>
        </is>
      </c>
      <c r="B1207" s="19" t="inlineStr">
        <is>
          <t>Apr</t>
        </is>
      </c>
      <c r="C1207" s="19" t="inlineStr">
        <is>
          <t>TN</t>
        </is>
      </c>
      <c r="D1207" s="20" t="inlineStr">
        <is>
          <t>TN27R9677</t>
        </is>
      </c>
      <c r="E1207" s="20" t="inlineStr">
        <is>
          <t>MARUTI SUZUKI</t>
        </is>
      </c>
      <c r="F1207" s="20" t="inlineStr">
        <is>
          <t>Zen Estilo</t>
        </is>
      </c>
      <c r="G1207" s="21" t="n">
        <v>2002</v>
      </c>
      <c r="H1207" s="22" t="n">
        <v>247344</v>
      </c>
      <c r="I1207" s="23" t="n">
        <v>40000</v>
      </c>
      <c r="J1207" s="20" t="inlineStr">
        <is>
          <t>EXCHANGE ROTN</t>
        </is>
      </c>
      <c r="K1207" s="20" t="inlineStr">
        <is>
          <t>Captive</t>
        </is>
      </c>
      <c r="L1207" s="20" t="inlineStr">
        <is>
          <t>Stalin Cars</t>
        </is>
      </c>
      <c r="M1207" s="23" t="n">
        <v>4237.29</v>
      </c>
      <c r="N1207" s="23" t="n">
        <v>5000</v>
      </c>
      <c r="O1207" s="24">
        <f>IF(AND(ISNUMBER(M1207), ISNUMBER(I1207), I1207&gt;0), M1207/I1207, "")</f>
        <v/>
      </c>
    </row>
    <row r="1208">
      <c r="A1208" s="19" t="inlineStr">
        <is>
          <t>FY27</t>
        </is>
      </c>
      <c r="B1208" s="19" t="inlineStr">
        <is>
          <t>Apr</t>
        </is>
      </c>
      <c r="C1208" s="19" t="inlineStr">
        <is>
          <t>TN</t>
        </is>
      </c>
      <c r="D1208" s="20" t="inlineStr">
        <is>
          <t>TN30AT9787</t>
        </is>
      </c>
      <c r="E1208" s="20" t="inlineStr">
        <is>
          <t>MARUTI SUZUKI</t>
        </is>
      </c>
      <c r="F1208" s="20" t="inlineStr">
        <is>
          <t>Alto</t>
        </is>
      </c>
      <c r="G1208" s="21" t="n">
        <v>2013</v>
      </c>
      <c r="H1208" s="22" t="n">
        <v>71656</v>
      </c>
      <c r="I1208" s="23" t="n">
        <v>175000</v>
      </c>
      <c r="J1208" s="20" t="inlineStr">
        <is>
          <t>EXCHANGE ROTN</t>
        </is>
      </c>
      <c r="K1208" s="20" t="inlineStr">
        <is>
          <t>Captive</t>
        </is>
      </c>
      <c r="L1208" s="20" t="inlineStr">
        <is>
          <t>Stalin Cars</t>
        </is>
      </c>
      <c r="M1208" s="23" t="n">
        <v>4237.29</v>
      </c>
      <c r="N1208" s="23" t="n">
        <v>5000</v>
      </c>
      <c r="O1208" s="24">
        <f>IF(AND(ISNUMBER(M1208), ISNUMBER(I1208), I1208&gt;0), M1208/I1208, "")</f>
        <v/>
      </c>
    </row>
    <row r="1209">
      <c r="A1209" s="19" t="inlineStr">
        <is>
          <t>FY27</t>
        </is>
      </c>
      <c r="B1209" s="19" t="inlineStr">
        <is>
          <t>Apr</t>
        </is>
      </c>
      <c r="C1209" s="19" t="inlineStr">
        <is>
          <t>TN</t>
        </is>
      </c>
      <c r="D1209" s="20" t="inlineStr">
        <is>
          <t>TN34X7876</t>
        </is>
      </c>
      <c r="E1209" s="20" t="inlineStr">
        <is>
          <t>RENAULT</t>
        </is>
      </c>
      <c r="F1209" s="20" t="inlineStr">
        <is>
          <t>Kwid</t>
        </is>
      </c>
      <c r="G1209" s="21" t="n">
        <v>2016</v>
      </c>
      <c r="H1209" s="22" t="n">
        <v>83473</v>
      </c>
      <c r="I1209" s="23" t="n">
        <v>250000</v>
      </c>
      <c r="J1209" s="20" t="inlineStr">
        <is>
          <t>EXCHANGE ROTN</t>
        </is>
      </c>
      <c r="K1209" s="20" t="inlineStr">
        <is>
          <t>Captive</t>
        </is>
      </c>
      <c r="L1209" s="20" t="inlineStr">
        <is>
          <t>Ayyapa Cars</t>
        </is>
      </c>
      <c r="M1209" s="23" t="n">
        <v>4237.29</v>
      </c>
      <c r="N1209" s="23" t="n">
        <v>5000</v>
      </c>
      <c r="O1209" s="24">
        <f>IF(AND(ISNUMBER(M1209), ISNUMBER(I1209), I1209&gt;0), M1209/I1209, "")</f>
        <v/>
      </c>
    </row>
    <row r="1210">
      <c r="A1210" s="19" t="inlineStr">
        <is>
          <t>FY27</t>
        </is>
      </c>
      <c r="B1210" s="19" t="inlineStr">
        <is>
          <t>Apr</t>
        </is>
      </c>
      <c r="C1210" s="19" t="inlineStr">
        <is>
          <t>TN</t>
        </is>
      </c>
      <c r="D1210" s="20" t="inlineStr">
        <is>
          <t>TN38BX0181</t>
        </is>
      </c>
      <c r="E1210" s="20" t="inlineStr">
        <is>
          <t>MARUTI SUZUKI</t>
        </is>
      </c>
      <c r="F1210" s="20" t="inlineStr">
        <is>
          <t>Wagon R</t>
        </is>
      </c>
      <c r="G1210" s="21" t="n">
        <v>2014</v>
      </c>
      <c r="H1210" s="22" t="n">
        <v>119856</v>
      </c>
      <c r="I1210" s="23" t="n">
        <v>270000</v>
      </c>
      <c r="J1210" s="20" t="inlineStr">
        <is>
          <t>EXCHANGE ROTN</t>
        </is>
      </c>
      <c r="K1210" s="20" t="inlineStr">
        <is>
          <t>Captive</t>
        </is>
      </c>
      <c r="L1210" s="20" t="inlineStr">
        <is>
          <t>Geethanjali cars</t>
        </is>
      </c>
      <c r="M1210" s="23" t="n">
        <v>8474.58</v>
      </c>
      <c r="N1210" s="23" t="n">
        <v>10000</v>
      </c>
      <c r="O1210" s="24">
        <f>IF(AND(ISNUMBER(M1210), ISNUMBER(I1210), I1210&gt;0), M1210/I1210, "")</f>
        <v/>
      </c>
    </row>
    <row r="1211">
      <c r="A1211" s="19" t="inlineStr">
        <is>
          <t>FY27</t>
        </is>
      </c>
      <c r="B1211" s="19" t="inlineStr">
        <is>
          <t>Apr</t>
        </is>
      </c>
      <c r="C1211" s="19" t="inlineStr">
        <is>
          <t>TN</t>
        </is>
      </c>
      <c r="D1211" s="20" t="inlineStr">
        <is>
          <t>TN66F3033</t>
        </is>
      </c>
      <c r="E1211" s="20" t="inlineStr">
        <is>
          <t>FORD</t>
        </is>
      </c>
      <c r="F1211" s="20" t="inlineStr">
        <is>
          <t>Figo</t>
        </is>
      </c>
      <c r="G1211" s="21" t="n">
        <v>2012</v>
      </c>
      <c r="H1211" s="22" t="n">
        <v>157283</v>
      </c>
      <c r="I1211" s="23" t="n">
        <v>110000</v>
      </c>
      <c r="J1211" s="20" t="inlineStr">
        <is>
          <t>EXCHANGE ROTN</t>
        </is>
      </c>
      <c r="K1211" s="20" t="inlineStr">
        <is>
          <t>Captive</t>
        </is>
      </c>
      <c r="L1211" s="20" t="inlineStr">
        <is>
          <t>Dheera Cars</t>
        </is>
      </c>
      <c r="M1211" s="23" t="n">
        <v>4237.29</v>
      </c>
      <c r="N1211" s="23" t="n">
        <v>5000</v>
      </c>
      <c r="O1211" s="24">
        <f>IF(AND(ISNUMBER(M1211), ISNUMBER(I1211), I1211&gt;0), M1211/I1211, "")</f>
        <v/>
      </c>
    </row>
    <row r="1212">
      <c r="A1212" s="19" t="inlineStr">
        <is>
          <t>FY27</t>
        </is>
      </c>
      <c r="B1212" s="19" t="inlineStr">
        <is>
          <t>Apr</t>
        </is>
      </c>
      <c r="C1212" s="19" t="inlineStr">
        <is>
          <t>TN</t>
        </is>
      </c>
      <c r="D1212" s="20" t="inlineStr">
        <is>
          <t>TN72T1091</t>
        </is>
      </c>
      <c r="E1212" s="20" t="inlineStr">
        <is>
          <t>MARUTI SUZUKI</t>
        </is>
      </c>
      <c r="F1212" s="20" t="inlineStr">
        <is>
          <t>Alto</t>
        </is>
      </c>
      <c r="G1212" s="21" t="n">
        <v>2001</v>
      </c>
      <c r="H1212" s="22" t="n">
        <v>89209</v>
      </c>
      <c r="I1212" s="23" t="n">
        <v>55000</v>
      </c>
      <c r="J1212" s="20" t="inlineStr">
        <is>
          <t>EXCHANGE ROTN</t>
        </is>
      </c>
      <c r="K1212" s="20" t="inlineStr">
        <is>
          <t>Captive</t>
        </is>
      </c>
      <c r="L1212" s="20" t="inlineStr">
        <is>
          <t>SIVASHANKAR CARS</t>
        </is>
      </c>
      <c r="M1212" s="23" t="n">
        <v>5932.2</v>
      </c>
      <c r="N1212" s="23" t="n">
        <v>7000</v>
      </c>
      <c r="O1212" s="24">
        <f>IF(AND(ISNUMBER(M1212), ISNUMBER(I1212), I1212&gt;0), M1212/I1212, "")</f>
        <v/>
      </c>
    </row>
    <row r="1213">
      <c r="A1213" s="19" t="inlineStr">
        <is>
          <t>FY27</t>
        </is>
      </c>
      <c r="B1213" s="19" t="inlineStr">
        <is>
          <t>Apr</t>
        </is>
      </c>
      <c r="C1213" s="19" t="inlineStr">
        <is>
          <t>TN</t>
        </is>
      </c>
      <c r="D1213" s="20" t="inlineStr">
        <is>
          <t>TN47AK6867</t>
        </is>
      </c>
      <c r="E1213" s="20" t="inlineStr">
        <is>
          <t>HONDA</t>
        </is>
      </c>
      <c r="F1213" s="20" t="inlineStr">
        <is>
          <t>Wr-V</t>
        </is>
      </c>
      <c r="G1213" s="21" t="n">
        <v>2018</v>
      </c>
      <c r="H1213" s="22" t="n">
        <v>89620</v>
      </c>
      <c r="I1213" s="23" t="n">
        <v>670000</v>
      </c>
      <c r="J1213" s="20" t="inlineStr">
        <is>
          <t>EXCHANGE ROTN</t>
        </is>
      </c>
      <c r="K1213" s="20" t="inlineStr">
        <is>
          <t>Captive</t>
        </is>
      </c>
      <c r="L1213" s="20" t="inlineStr">
        <is>
          <t>Sarvesh Cars</t>
        </is>
      </c>
      <c r="M1213" s="23" t="n">
        <v>4237.29</v>
      </c>
      <c r="N1213" s="23" t="n">
        <v>5000</v>
      </c>
      <c r="O1213" s="24">
        <f>IF(AND(ISNUMBER(M1213), ISNUMBER(I1213), I1213&gt;0), M1213/I1213, "")</f>
        <v/>
      </c>
    </row>
    <row r="1214">
      <c r="A1214" s="19" t="inlineStr">
        <is>
          <t>FY27</t>
        </is>
      </c>
      <c r="B1214" s="19" t="inlineStr">
        <is>
          <t>Apr</t>
        </is>
      </c>
      <c r="C1214" s="19" t="inlineStr">
        <is>
          <t>TN</t>
        </is>
      </c>
      <c r="D1214" s="20" t="inlineStr">
        <is>
          <t>TN74AD7121</t>
        </is>
      </c>
      <c r="E1214" s="20" t="inlineStr">
        <is>
          <t>HYUNDAI</t>
        </is>
      </c>
      <c r="F1214" s="20" t="inlineStr">
        <is>
          <t>I20</t>
        </is>
      </c>
      <c r="G1214" s="21" t="n">
        <v>2012</v>
      </c>
      <c r="H1214" s="22" t="n">
        <v>72299</v>
      </c>
      <c r="I1214" s="23" t="n">
        <v>250000</v>
      </c>
      <c r="J1214" s="20" t="inlineStr">
        <is>
          <t>EXCHANGE ROTN</t>
        </is>
      </c>
      <c r="K1214" s="20" t="inlineStr">
        <is>
          <t>Captive</t>
        </is>
      </c>
      <c r="L1214" s="20" t="inlineStr">
        <is>
          <t>KSM AUTO CONSULTING</t>
        </is>
      </c>
      <c r="M1214" s="23" t="n">
        <v>4237.29</v>
      </c>
      <c r="N1214" s="23" t="n">
        <v>5000</v>
      </c>
      <c r="O1214" s="24">
        <f>IF(AND(ISNUMBER(M1214), ISNUMBER(I1214), I1214&gt;0), M1214/I1214, "")</f>
        <v/>
      </c>
    </row>
    <row r="1215">
      <c r="A1215" s="19" t="inlineStr">
        <is>
          <t>FY27</t>
        </is>
      </c>
      <c r="B1215" s="19" t="inlineStr">
        <is>
          <t>Apr</t>
        </is>
      </c>
      <c r="C1215" s="19" t="inlineStr">
        <is>
          <t>TN</t>
        </is>
      </c>
      <c r="D1215" s="20" t="inlineStr">
        <is>
          <t>TN45AY9672</t>
        </is>
      </c>
      <c r="E1215" s="20" t="inlineStr">
        <is>
          <t>HYUNDAI</t>
        </is>
      </c>
      <c r="F1215" s="20" t="inlineStr">
        <is>
          <t>I10</t>
        </is>
      </c>
      <c r="G1215" s="21" t="n">
        <v>2009</v>
      </c>
      <c r="H1215" s="22" t="n">
        <v>86945</v>
      </c>
      <c r="I1215" s="23" t="n">
        <v>130000</v>
      </c>
      <c r="J1215" s="20" t="inlineStr">
        <is>
          <t>VISHNU CARS PRIVATE LIMITED</t>
        </is>
      </c>
      <c r="K1215" s="20" t="inlineStr">
        <is>
          <t>Non-Captive</t>
        </is>
      </c>
      <c r="L1215" s="20" t="inlineStr">
        <is>
          <t>Essar Preowned Cars</t>
        </is>
      </c>
      <c r="M1215" s="23" t="n">
        <v>2542.37</v>
      </c>
      <c r="N1215" s="23" t="n">
        <v>3000</v>
      </c>
      <c r="O1215" s="24">
        <f>IF(AND(ISNUMBER(M1215), ISNUMBER(I1215), I1215&gt;0), M1215/I1215, "")</f>
        <v/>
      </c>
    </row>
    <row r="1216">
      <c r="A1216" s="19" t="inlineStr">
        <is>
          <t>FY27</t>
        </is>
      </c>
      <c r="B1216" s="19" t="inlineStr">
        <is>
          <t>Apr</t>
        </is>
      </c>
      <c r="C1216" s="19" t="inlineStr">
        <is>
          <t>TN</t>
        </is>
      </c>
      <c r="D1216" s="20" t="inlineStr">
        <is>
          <t>TN31AJ3063</t>
        </is>
      </c>
      <c r="E1216" s="20" t="inlineStr">
        <is>
          <t>MARUTI SUZUKI</t>
        </is>
      </c>
      <c r="F1216" s="20" t="inlineStr">
        <is>
          <t>Alto</t>
        </is>
      </c>
      <c r="G1216" s="21" t="n">
        <v>2013</v>
      </c>
      <c r="H1216" s="22" t="n">
        <v>99999</v>
      </c>
      <c r="I1216" s="23" t="n">
        <v>170000</v>
      </c>
      <c r="J1216" s="20" t="inlineStr">
        <is>
          <t>VISHNU CARS PRIVATE LIMITED</t>
        </is>
      </c>
      <c r="K1216" s="20" t="inlineStr">
        <is>
          <t>Non-Captive</t>
        </is>
      </c>
      <c r="L1216" s="20" t="inlineStr">
        <is>
          <t>Essar Preowned Cars</t>
        </is>
      </c>
      <c r="M1216" s="23" t="n">
        <v>2542.37</v>
      </c>
      <c r="N1216" s="23" t="n">
        <v>3000</v>
      </c>
      <c r="O1216" s="24">
        <f>IF(AND(ISNUMBER(M1216), ISNUMBER(I1216), I1216&gt;0), M1216/I1216, "")</f>
        <v/>
      </c>
    </row>
    <row r="1217">
      <c r="A1217" s="19" t="inlineStr">
        <is>
          <t>FY27</t>
        </is>
      </c>
      <c r="B1217" s="19" t="inlineStr">
        <is>
          <t>Apr</t>
        </is>
      </c>
      <c r="C1217" s="19" t="inlineStr">
        <is>
          <t>TN</t>
        </is>
      </c>
      <c r="D1217" s="20" t="inlineStr">
        <is>
          <t>TN22EA0931</t>
        </is>
      </c>
      <c r="E1217" s="20" t="inlineStr">
        <is>
          <t>MARUTI SUZUKI</t>
        </is>
      </c>
      <c r="F1217" s="20" t="inlineStr">
        <is>
          <t>Swift</t>
        </is>
      </c>
      <c r="G1217" s="21" t="n">
        <v>2008</v>
      </c>
      <c r="H1217" s="22" t="n">
        <v>122514</v>
      </c>
      <c r="I1217" s="23" t="n">
        <v>200000</v>
      </c>
      <c r="J1217" s="20" t="inlineStr">
        <is>
          <t>ABT LIMITED</t>
        </is>
      </c>
      <c r="K1217" s="20" t="inlineStr">
        <is>
          <t>Non-Captive</t>
        </is>
      </c>
      <c r="L1217" s="20" t="inlineStr">
        <is>
          <t>Essar Preowned Cars</t>
        </is>
      </c>
      <c r="M1217" s="23" t="n">
        <v>2542.37</v>
      </c>
      <c r="N1217" s="23" t="n">
        <v>3000</v>
      </c>
      <c r="O1217" s="24">
        <f>IF(AND(ISNUMBER(M1217), ISNUMBER(I1217), I1217&gt;0), M1217/I1217, "")</f>
        <v/>
      </c>
    </row>
    <row r="1218">
      <c r="A1218" s="19" t="inlineStr">
        <is>
          <t>FY27</t>
        </is>
      </c>
      <c r="B1218" s="19" t="inlineStr">
        <is>
          <t>Apr</t>
        </is>
      </c>
      <c r="C1218" s="19" t="inlineStr">
        <is>
          <t>TN</t>
        </is>
      </c>
      <c r="D1218" s="20" t="inlineStr">
        <is>
          <t>TN22DM9274</t>
        </is>
      </c>
      <c r="E1218" s="20" t="inlineStr">
        <is>
          <t>MARUTI SUZUKI</t>
        </is>
      </c>
      <c r="F1218" s="20" t="inlineStr">
        <is>
          <t>Alto</t>
        </is>
      </c>
      <c r="G1218" s="21" t="n">
        <v>2018</v>
      </c>
      <c r="H1218" s="22" t="n">
        <v>54763</v>
      </c>
      <c r="I1218" s="23" t="n">
        <v>200000</v>
      </c>
      <c r="J1218" s="20" t="inlineStr">
        <is>
          <t>POPULAR VEHICLES AND SERVICES LIMITED</t>
        </is>
      </c>
      <c r="K1218" s="20" t="inlineStr">
        <is>
          <t>Non-Captive</t>
        </is>
      </c>
      <c r="L1218" s="20" t="inlineStr">
        <is>
          <t>Essar Preowned Cars</t>
        </is>
      </c>
      <c r="M1218" s="23" t="n">
        <v>3389.83</v>
      </c>
      <c r="N1218" s="23" t="n">
        <v>4000</v>
      </c>
      <c r="O1218" s="24">
        <f>IF(AND(ISNUMBER(M1218), ISNUMBER(I1218), I1218&gt;0), M1218/I1218, "")</f>
        <v/>
      </c>
    </row>
    <row r="1219">
      <c r="A1219" s="19" t="inlineStr">
        <is>
          <t>FY27</t>
        </is>
      </c>
      <c r="B1219" s="19" t="inlineStr">
        <is>
          <t>Apr</t>
        </is>
      </c>
      <c r="C1219" s="19" t="inlineStr">
        <is>
          <t>TN</t>
        </is>
      </c>
      <c r="D1219" s="20" t="inlineStr">
        <is>
          <t>TN22DA8998</t>
        </is>
      </c>
      <c r="E1219" s="20" t="inlineStr">
        <is>
          <t>MARUTI SUZUKI</t>
        </is>
      </c>
      <c r="F1219" s="20" t="inlineStr">
        <is>
          <t>Alto</t>
        </is>
      </c>
      <c r="G1219" s="21" t="n">
        <v>2015</v>
      </c>
      <c r="H1219" s="22" t="n">
        <v>131168</v>
      </c>
      <c r="I1219" s="23" t="n">
        <v>200000</v>
      </c>
      <c r="J1219" s="20" t="inlineStr">
        <is>
          <t>VISHNU CARS PRIVATE LIMITED</t>
        </is>
      </c>
      <c r="K1219" s="20" t="inlineStr">
        <is>
          <t>Non-Captive</t>
        </is>
      </c>
      <c r="L1219" s="20" t="inlineStr">
        <is>
          <t>Essar Preowned Cars</t>
        </is>
      </c>
      <c r="M1219" s="23" t="n">
        <v>2542.37</v>
      </c>
      <c r="N1219" s="23" t="n">
        <v>3000</v>
      </c>
      <c r="O1219" s="24">
        <f>IF(AND(ISNUMBER(M1219), ISNUMBER(I1219), I1219&gt;0), M1219/I1219, "")</f>
        <v/>
      </c>
    </row>
    <row r="1220">
      <c r="A1220" s="19" t="inlineStr">
        <is>
          <t>FY27</t>
        </is>
      </c>
      <c r="B1220" s="19" t="inlineStr">
        <is>
          <t>Apr</t>
        </is>
      </c>
      <c r="C1220" s="19" t="inlineStr">
        <is>
          <t>TN</t>
        </is>
      </c>
      <c r="D1220" s="20" t="inlineStr">
        <is>
          <t>TN22CY9522</t>
        </is>
      </c>
      <c r="E1220" s="20" t="inlineStr">
        <is>
          <t>HYUNDAI</t>
        </is>
      </c>
      <c r="F1220" s="20" t="inlineStr">
        <is>
          <t>I20</t>
        </is>
      </c>
      <c r="G1220" s="21" t="n">
        <v>2011</v>
      </c>
      <c r="H1220" s="22" t="n">
        <v>105101</v>
      </c>
      <c r="I1220" s="23" t="n">
        <v>200000</v>
      </c>
      <c r="J1220" s="20" t="inlineStr">
        <is>
          <t>POPULAR VEHICLES AND SERVICES LIMITED</t>
        </is>
      </c>
      <c r="K1220" s="20" t="inlineStr">
        <is>
          <t>Non-Captive</t>
        </is>
      </c>
      <c r="L1220" s="20" t="inlineStr">
        <is>
          <t>Essar Preowned Cars</t>
        </is>
      </c>
      <c r="M1220" s="23" t="n">
        <v>2542.37</v>
      </c>
      <c r="N1220" s="23" t="n">
        <v>3000</v>
      </c>
      <c r="O1220" s="24">
        <f>IF(AND(ISNUMBER(M1220), ISNUMBER(I1220), I1220&gt;0), M1220/I1220, "")</f>
        <v/>
      </c>
    </row>
    <row r="1221">
      <c r="A1221" s="19" t="inlineStr">
        <is>
          <t>FY27</t>
        </is>
      </c>
      <c r="B1221" s="19" t="inlineStr">
        <is>
          <t>Apr</t>
        </is>
      </c>
      <c r="C1221" s="19" t="inlineStr">
        <is>
          <t>TN</t>
        </is>
      </c>
      <c r="D1221" s="20" t="inlineStr">
        <is>
          <t>TN22CW4901</t>
        </is>
      </c>
      <c r="E1221" s="20" t="inlineStr">
        <is>
          <t>MARUTI SUZUKI</t>
        </is>
      </c>
      <c r="F1221" s="20" t="inlineStr">
        <is>
          <t>Swift</t>
        </is>
      </c>
      <c r="G1221" s="21" t="n">
        <v>2011</v>
      </c>
      <c r="H1221" s="22" t="n">
        <v>181773</v>
      </c>
      <c r="I1221" s="23" t="n">
        <v>170000</v>
      </c>
      <c r="J1221" s="20" t="inlineStr">
        <is>
          <t>VISHNU CARS PRIVATE LIMITED</t>
        </is>
      </c>
      <c r="K1221" s="20" t="inlineStr">
        <is>
          <t>Non-Captive</t>
        </is>
      </c>
      <c r="L1221" s="20" t="inlineStr">
        <is>
          <t>Essar Preowned Cars</t>
        </is>
      </c>
      <c r="M1221" s="23" t="n">
        <v>2542.37</v>
      </c>
      <c r="N1221" s="23" t="n">
        <v>3000</v>
      </c>
      <c r="O1221" s="24">
        <f>IF(AND(ISNUMBER(M1221), ISNUMBER(I1221), I1221&gt;0), M1221/I1221, "")</f>
        <v/>
      </c>
    </row>
    <row r="1222">
      <c r="A1222" s="19" t="inlineStr">
        <is>
          <t>FY27</t>
        </is>
      </c>
      <c r="B1222" s="19" t="inlineStr">
        <is>
          <t>Apr</t>
        </is>
      </c>
      <c r="C1222" s="19" t="inlineStr">
        <is>
          <t>TN</t>
        </is>
      </c>
      <c r="D1222" s="20" t="inlineStr">
        <is>
          <t>TN22CU1198</t>
        </is>
      </c>
      <c r="E1222" s="20" t="inlineStr">
        <is>
          <t>MARUTI SUZUKI</t>
        </is>
      </c>
      <c r="F1222" s="20" t="inlineStr">
        <is>
          <t>Alto</t>
        </is>
      </c>
      <c r="G1222" s="21" t="n">
        <v>2011</v>
      </c>
      <c r="H1222" s="22" t="n">
        <v>52602</v>
      </c>
      <c r="I1222" s="23" t="n">
        <v>111000</v>
      </c>
      <c r="J1222" s="20" t="inlineStr">
        <is>
          <t>VISHNU CARS PRIVATE LIMITED</t>
        </is>
      </c>
      <c r="K1222" s="20" t="inlineStr">
        <is>
          <t>Non-Captive</t>
        </is>
      </c>
      <c r="L1222" s="20" t="inlineStr">
        <is>
          <t>Essar Preowned Cars</t>
        </is>
      </c>
      <c r="M1222" s="23" t="n">
        <v>2542.37</v>
      </c>
      <c r="N1222" s="23" t="n">
        <v>3000</v>
      </c>
      <c r="O1222" s="24">
        <f>IF(AND(ISNUMBER(M1222), ISNUMBER(I1222), I1222&gt;0), M1222/I1222, "")</f>
        <v/>
      </c>
    </row>
    <row r="1223">
      <c r="A1223" s="19" t="inlineStr">
        <is>
          <t>FY27</t>
        </is>
      </c>
      <c r="B1223" s="19" t="inlineStr">
        <is>
          <t>Apr</t>
        </is>
      </c>
      <c r="C1223" s="19" t="inlineStr">
        <is>
          <t>TN</t>
        </is>
      </c>
      <c r="D1223" s="20" t="inlineStr">
        <is>
          <t>TN22BR3765</t>
        </is>
      </c>
      <c r="E1223" s="20" t="inlineStr">
        <is>
          <t>HYUNDAI</t>
        </is>
      </c>
      <c r="F1223" s="20" t="inlineStr">
        <is>
          <t>I20</t>
        </is>
      </c>
      <c r="G1223" s="21" t="n">
        <v>2010</v>
      </c>
      <c r="H1223" s="22" t="n">
        <v>150716</v>
      </c>
      <c r="I1223" s="23" t="n">
        <v>200000</v>
      </c>
      <c r="J1223" s="20" t="inlineStr">
        <is>
          <t>POPULAR VEHICLES AND SERVICES LIMITED</t>
        </is>
      </c>
      <c r="K1223" s="20" t="inlineStr">
        <is>
          <t>Non-Captive</t>
        </is>
      </c>
      <c r="L1223" s="20" t="inlineStr">
        <is>
          <t>Senthil Cars</t>
        </is>
      </c>
      <c r="M1223" s="23" t="n">
        <v>2542.37</v>
      </c>
      <c r="N1223" s="23" t="n">
        <v>3000</v>
      </c>
      <c r="O1223" s="24">
        <f>IF(AND(ISNUMBER(M1223), ISNUMBER(I1223), I1223&gt;0), M1223/I1223, "")</f>
        <v/>
      </c>
    </row>
    <row r="1224">
      <c r="A1224" s="19" t="inlineStr">
        <is>
          <t>FY27</t>
        </is>
      </c>
      <c r="B1224" s="19" t="inlineStr">
        <is>
          <t>Apr</t>
        </is>
      </c>
      <c r="C1224" s="19" t="inlineStr">
        <is>
          <t>TN</t>
        </is>
      </c>
      <c r="D1224" s="20" t="inlineStr">
        <is>
          <t>TN22BR1136</t>
        </is>
      </c>
      <c r="E1224" s="20" t="inlineStr">
        <is>
          <t>MARUTI SUZUKI</t>
        </is>
      </c>
      <c r="F1224" s="20" t="inlineStr">
        <is>
          <t>Ritz</t>
        </is>
      </c>
      <c r="G1224" s="21" t="n">
        <v>2010</v>
      </c>
      <c r="H1224" s="22" t="n">
        <v>20935</v>
      </c>
      <c r="I1224" s="23" t="n">
        <v>200000</v>
      </c>
      <c r="J1224" s="20" t="inlineStr">
        <is>
          <t>VISHNU CARS PRIVATE LIMITED</t>
        </is>
      </c>
      <c r="K1224" s="20" t="inlineStr">
        <is>
          <t>Non-Captive</t>
        </is>
      </c>
      <c r="L1224" s="20" t="inlineStr">
        <is>
          <t>Senthil Cars</t>
        </is>
      </c>
      <c r="M1224" s="23" t="n">
        <v>3389.83</v>
      </c>
      <c r="N1224" s="23" t="n">
        <v>4000</v>
      </c>
      <c r="O1224" s="24">
        <f>IF(AND(ISNUMBER(M1224), ISNUMBER(I1224), I1224&gt;0), M1224/I1224, "")</f>
        <v/>
      </c>
    </row>
    <row r="1225">
      <c r="A1225" s="19" t="inlineStr">
        <is>
          <t>FY27</t>
        </is>
      </c>
      <c r="B1225" s="19" t="inlineStr">
        <is>
          <t>Apr</t>
        </is>
      </c>
      <c r="C1225" s="19" t="inlineStr">
        <is>
          <t>TN</t>
        </is>
      </c>
      <c r="D1225" s="20" t="inlineStr">
        <is>
          <t>TN01AK8996</t>
        </is>
      </c>
      <c r="E1225" s="20" t="inlineStr">
        <is>
          <t>HYUNDAI</t>
        </is>
      </c>
      <c r="F1225" s="20" t="inlineStr">
        <is>
          <t>I20</t>
        </is>
      </c>
      <c r="G1225" s="21" t="n">
        <v>2010</v>
      </c>
      <c r="H1225" s="22" t="n">
        <v>105101</v>
      </c>
      <c r="I1225" s="23" t="n">
        <v>200000</v>
      </c>
      <c r="J1225" s="20" t="inlineStr">
        <is>
          <t>POPULAR VEHICLES AND SERVICES LIMITED</t>
        </is>
      </c>
      <c r="K1225" s="20" t="inlineStr">
        <is>
          <t>Non-Captive</t>
        </is>
      </c>
      <c r="L1225" s="20" t="inlineStr">
        <is>
          <t>Senthil Cars</t>
        </is>
      </c>
      <c r="M1225" s="23" t="n">
        <v>2542.37</v>
      </c>
      <c r="N1225" s="23" t="n">
        <v>3000</v>
      </c>
      <c r="O1225" s="24">
        <f>IF(AND(ISNUMBER(M1225), ISNUMBER(I1225), I1225&gt;0), M1225/I1225, "")</f>
        <v/>
      </c>
    </row>
    <row r="1226">
      <c r="A1226" s="19" t="inlineStr">
        <is>
          <t>FY27</t>
        </is>
      </c>
      <c r="B1226" s="19" t="inlineStr">
        <is>
          <t>Apr</t>
        </is>
      </c>
      <c r="C1226" s="19" t="inlineStr">
        <is>
          <t>TN</t>
        </is>
      </c>
      <c r="D1226" s="20" t="inlineStr">
        <is>
          <t>TN22BH0270</t>
        </is>
      </c>
      <c r="E1226" s="20" t="inlineStr">
        <is>
          <t>MARUTI SUZUKI</t>
        </is>
      </c>
      <c r="F1226" s="20" t="inlineStr">
        <is>
          <t>Wagon R</t>
        </is>
      </c>
      <c r="G1226" s="21" t="n">
        <v>2009</v>
      </c>
      <c r="H1226" s="22" t="n">
        <v>114554</v>
      </c>
      <c r="I1226" s="23" t="n">
        <v>130000</v>
      </c>
      <c r="J1226" s="20" t="inlineStr">
        <is>
          <t>VISHNU CARS PRIVATE LIMITED</t>
        </is>
      </c>
      <c r="K1226" s="20" t="inlineStr">
        <is>
          <t>Non-Captive</t>
        </is>
      </c>
      <c r="L1226" s="20" t="inlineStr">
        <is>
          <t>S2 Cars</t>
        </is>
      </c>
      <c r="M1226" s="23" t="n">
        <v>2542.37</v>
      </c>
      <c r="N1226" s="23" t="n">
        <v>3000</v>
      </c>
      <c r="O1226" s="24">
        <f>IF(AND(ISNUMBER(M1226), ISNUMBER(I1226), I1226&gt;0), M1226/I1226, "")</f>
        <v/>
      </c>
    </row>
    <row r="1227">
      <c r="A1227" s="19" t="inlineStr">
        <is>
          <t>FY27</t>
        </is>
      </c>
      <c r="B1227" s="19" t="inlineStr">
        <is>
          <t>Apr</t>
        </is>
      </c>
      <c r="C1227" s="19" t="inlineStr">
        <is>
          <t>TN</t>
        </is>
      </c>
      <c r="D1227" s="20" t="inlineStr">
        <is>
          <t>TN22BF1723</t>
        </is>
      </c>
      <c r="E1227" s="20" t="inlineStr">
        <is>
          <t>MARUTI SUZUKI</t>
        </is>
      </c>
      <c r="F1227" s="20" t="inlineStr">
        <is>
          <t>Ritz</t>
        </is>
      </c>
      <c r="G1227" s="21" t="n">
        <v>2009</v>
      </c>
      <c r="H1227" s="22" t="n">
        <v>99999</v>
      </c>
      <c r="I1227" s="23" t="n">
        <v>90000</v>
      </c>
      <c r="J1227" s="20" t="inlineStr">
        <is>
          <t>VISHNU CARS PRIVATE LIMITED</t>
        </is>
      </c>
      <c r="K1227" s="20" t="inlineStr">
        <is>
          <t>Non-Captive</t>
        </is>
      </c>
      <c r="L1227" s="20" t="inlineStr">
        <is>
          <t>S2 Cars</t>
        </is>
      </c>
      <c r="M1227" s="23" t="n">
        <v>2542.37</v>
      </c>
      <c r="N1227" s="23" t="n">
        <v>3000</v>
      </c>
      <c r="O1227" s="24">
        <f>IF(AND(ISNUMBER(M1227), ISNUMBER(I1227), I1227&gt;0), M1227/I1227, "")</f>
        <v/>
      </c>
    </row>
    <row r="1228">
      <c r="A1228" s="19" t="inlineStr">
        <is>
          <t>FY27</t>
        </is>
      </c>
      <c r="B1228" s="19" t="inlineStr">
        <is>
          <t>Apr</t>
        </is>
      </c>
      <c r="C1228" s="19" t="inlineStr">
        <is>
          <t>TN</t>
        </is>
      </c>
      <c r="D1228" s="20" t="inlineStr">
        <is>
          <t>TN20CC4801</t>
        </is>
      </c>
      <c r="E1228" s="20" t="inlineStr">
        <is>
          <t>MARUTI SUZUKI</t>
        </is>
      </c>
      <c r="F1228" s="20" t="inlineStr">
        <is>
          <t>Omni</t>
        </is>
      </c>
      <c r="G1228" s="21" t="n">
        <v>2013</v>
      </c>
      <c r="H1228" s="22" t="n">
        <v>63804</v>
      </c>
      <c r="I1228" s="23" t="n">
        <v>180000</v>
      </c>
      <c r="J1228" s="20" t="inlineStr">
        <is>
          <t>POPULAR VEHICLES AND SERVICES LIMITED</t>
        </is>
      </c>
      <c r="K1228" s="20" t="inlineStr">
        <is>
          <t>Non-Captive</t>
        </is>
      </c>
      <c r="L1228" s="20" t="inlineStr">
        <is>
          <t>S2 Cars</t>
        </is>
      </c>
      <c r="M1228" s="23" t="n">
        <v>2542.37</v>
      </c>
      <c r="N1228" s="23" t="n">
        <v>3000</v>
      </c>
      <c r="O1228" s="24">
        <f>IF(AND(ISNUMBER(M1228), ISNUMBER(I1228), I1228&gt;0), M1228/I1228, "")</f>
        <v/>
      </c>
    </row>
    <row r="1229">
      <c r="A1229" s="19" t="inlineStr">
        <is>
          <t>FY27</t>
        </is>
      </c>
      <c r="B1229" s="19" t="inlineStr">
        <is>
          <t>Apr</t>
        </is>
      </c>
      <c r="C1229" s="19" t="inlineStr">
        <is>
          <t>TN</t>
        </is>
      </c>
      <c r="D1229" s="20" t="inlineStr">
        <is>
          <t>TN20BS3926</t>
        </is>
      </c>
      <c r="E1229" s="20" t="inlineStr">
        <is>
          <t>MARUTI SUZUKI</t>
        </is>
      </c>
      <c r="F1229" s="20" t="inlineStr">
        <is>
          <t>Wagon R</t>
        </is>
      </c>
      <c r="G1229" s="21" t="n">
        <v>2010</v>
      </c>
      <c r="H1229" s="22" t="n">
        <v>35070</v>
      </c>
      <c r="I1229" s="23" t="n">
        <v>100000</v>
      </c>
      <c r="J1229" s="20" t="inlineStr">
        <is>
          <t>ABT LIMITED</t>
        </is>
      </c>
      <c r="K1229" s="20" t="inlineStr">
        <is>
          <t>Non-Captive</t>
        </is>
      </c>
      <c r="L1229" s="20" t="inlineStr">
        <is>
          <t>Thiya Cars</t>
        </is>
      </c>
      <c r="M1229" s="23" t="n">
        <v>2542.37</v>
      </c>
      <c r="N1229" s="23" t="n">
        <v>3000</v>
      </c>
      <c r="O1229" s="24">
        <f>IF(AND(ISNUMBER(M1229), ISNUMBER(I1229), I1229&gt;0), M1229/I1229, "")</f>
        <v/>
      </c>
    </row>
    <row r="1230">
      <c r="A1230" s="19" t="inlineStr">
        <is>
          <t>FY27</t>
        </is>
      </c>
      <c r="B1230" s="19" t="inlineStr">
        <is>
          <t>Apr</t>
        </is>
      </c>
      <c r="C1230" s="19" t="inlineStr">
        <is>
          <t>TN</t>
        </is>
      </c>
      <c r="D1230" s="20" t="inlineStr">
        <is>
          <t>TN20BK4928</t>
        </is>
      </c>
      <c r="E1230" s="20" t="inlineStr">
        <is>
          <t>MARUTI SUZUKI</t>
        </is>
      </c>
      <c r="F1230" s="20" t="inlineStr">
        <is>
          <t>Alto K10</t>
        </is>
      </c>
      <c r="G1230" s="21" t="n">
        <v>2012</v>
      </c>
      <c r="H1230" s="22" t="n">
        <v>31283</v>
      </c>
      <c r="I1230" s="23" t="n">
        <v>160000</v>
      </c>
      <c r="J1230" s="20" t="inlineStr">
        <is>
          <t>ABT LIMITED</t>
        </is>
      </c>
      <c r="K1230" s="20" t="inlineStr">
        <is>
          <t>Non-Captive</t>
        </is>
      </c>
      <c r="L1230" s="20" t="inlineStr">
        <is>
          <t>Thiya Cars</t>
        </is>
      </c>
      <c r="M1230" s="23" t="n">
        <v>2542.37</v>
      </c>
      <c r="N1230" s="23" t="n">
        <v>3000</v>
      </c>
      <c r="O1230" s="24">
        <f>IF(AND(ISNUMBER(M1230), ISNUMBER(I1230), I1230&gt;0), M1230/I1230, "")</f>
        <v/>
      </c>
    </row>
    <row r="1231">
      <c r="A1231" s="19" t="inlineStr">
        <is>
          <t>FY27</t>
        </is>
      </c>
      <c r="B1231" s="19" t="inlineStr">
        <is>
          <t>Apr</t>
        </is>
      </c>
      <c r="C1231" s="19" t="inlineStr">
        <is>
          <t>TN</t>
        </is>
      </c>
      <c r="D1231" s="20" t="inlineStr">
        <is>
          <t>TN20AL4088</t>
        </is>
      </c>
      <c r="E1231" s="20" t="inlineStr">
        <is>
          <t>MARUTI SUZUKI</t>
        </is>
      </c>
      <c r="F1231" s="20" t="inlineStr">
        <is>
          <t>Sx4</t>
        </is>
      </c>
      <c r="G1231" s="21" t="n">
        <v>2008</v>
      </c>
      <c r="H1231" s="22" t="n">
        <v>98500</v>
      </c>
      <c r="I1231" s="23" t="n">
        <v>70000</v>
      </c>
      <c r="J1231" s="20" t="inlineStr">
        <is>
          <t>VISHNU CARS PRIVATE LIMITED</t>
        </is>
      </c>
      <c r="K1231" s="20" t="inlineStr">
        <is>
          <t>Non-Captive</t>
        </is>
      </c>
      <c r="L1231" s="20" t="inlineStr">
        <is>
          <t>TSM</t>
        </is>
      </c>
      <c r="M1231" s="23" t="n">
        <v>2542.37</v>
      </c>
      <c r="N1231" s="23" t="n">
        <v>3000</v>
      </c>
      <c r="O1231" s="24">
        <f>IF(AND(ISNUMBER(M1231), ISNUMBER(I1231), I1231&gt;0), M1231/I1231, "")</f>
        <v/>
      </c>
    </row>
    <row r="1232">
      <c r="A1232" s="19" t="inlineStr">
        <is>
          <t>FY27</t>
        </is>
      </c>
      <c r="B1232" s="19" t="inlineStr">
        <is>
          <t>Apr</t>
        </is>
      </c>
      <c r="C1232" s="19" t="inlineStr">
        <is>
          <t>TN</t>
        </is>
      </c>
      <c r="D1232" s="20" t="inlineStr">
        <is>
          <t>TN19L6450</t>
        </is>
      </c>
      <c r="E1232" s="20" t="inlineStr">
        <is>
          <t>MARUTI SUZUKI</t>
        </is>
      </c>
      <c r="F1232" s="20" t="inlineStr">
        <is>
          <t>Alto</t>
        </is>
      </c>
      <c r="G1232" s="21" t="n">
        <v>2013</v>
      </c>
      <c r="H1232" s="22" t="n">
        <v>61207</v>
      </c>
      <c r="I1232" s="23" t="n">
        <v>180000</v>
      </c>
      <c r="J1232" s="20" t="inlineStr">
        <is>
          <t>VISHNU CARS PRIVATE LIMITED</t>
        </is>
      </c>
      <c r="K1232" s="20" t="inlineStr">
        <is>
          <t>Non-Captive</t>
        </is>
      </c>
      <c r="L1232" s="20" t="inlineStr">
        <is>
          <t>TSM</t>
        </is>
      </c>
      <c r="M1232" s="23" t="n">
        <v>2542.37</v>
      </c>
      <c r="N1232" s="23" t="n">
        <v>3000</v>
      </c>
      <c r="O1232" s="24">
        <f>IF(AND(ISNUMBER(M1232), ISNUMBER(I1232), I1232&gt;0), M1232/I1232, "")</f>
        <v/>
      </c>
    </row>
    <row r="1233">
      <c r="A1233" s="19" t="inlineStr">
        <is>
          <t>FY27</t>
        </is>
      </c>
      <c r="B1233" s="19" t="inlineStr">
        <is>
          <t>Apr</t>
        </is>
      </c>
      <c r="C1233" s="19" t="inlineStr">
        <is>
          <t>TN</t>
        </is>
      </c>
      <c r="D1233" s="20" t="inlineStr">
        <is>
          <t>TN19H8700</t>
        </is>
      </c>
      <c r="E1233" s="20" t="inlineStr">
        <is>
          <t>CHEVROLET</t>
        </is>
      </c>
      <c r="F1233" s="20" t="inlineStr">
        <is>
          <t>Beat</t>
        </is>
      </c>
      <c r="G1233" s="21" t="n">
        <v>2012</v>
      </c>
      <c r="H1233" s="22" t="n">
        <v>101416</v>
      </c>
      <c r="I1233" s="23" t="n">
        <v>150000</v>
      </c>
      <c r="J1233" s="20" t="inlineStr">
        <is>
          <t>VISHNU CARS PRIVATE LIMITED</t>
        </is>
      </c>
      <c r="K1233" s="20" t="inlineStr">
        <is>
          <t>Non-Captive</t>
        </is>
      </c>
      <c r="L1233" s="20" t="inlineStr">
        <is>
          <t>Nirmal Cars</t>
        </is>
      </c>
      <c r="M1233" s="23" t="n">
        <v>2542.37</v>
      </c>
      <c r="N1233" s="23" t="n">
        <v>3000</v>
      </c>
      <c r="O1233" s="24">
        <f>IF(AND(ISNUMBER(M1233), ISNUMBER(I1233), I1233&gt;0), M1233/I1233, "")</f>
        <v/>
      </c>
    </row>
    <row r="1234">
      <c r="A1234" s="19" t="inlineStr">
        <is>
          <t>FY27</t>
        </is>
      </c>
      <c r="B1234" s="19" t="inlineStr">
        <is>
          <t>Apr</t>
        </is>
      </c>
      <c r="C1234" s="19" t="inlineStr">
        <is>
          <t>TN</t>
        </is>
      </c>
      <c r="D1234" s="20" t="inlineStr">
        <is>
          <t>TN19AC0806</t>
        </is>
      </c>
      <c r="E1234" s="20" t="inlineStr">
        <is>
          <t>MARUTI SUZUKI</t>
        </is>
      </c>
      <c r="F1234" s="20" t="inlineStr">
        <is>
          <t>Celerio</t>
        </is>
      </c>
      <c r="G1234" s="21" t="n">
        <v>2016</v>
      </c>
      <c r="H1234" s="22" t="n">
        <v>121070</v>
      </c>
      <c r="I1234" s="23" t="n">
        <v>170000</v>
      </c>
      <c r="J1234" s="20" t="inlineStr">
        <is>
          <t>VISHNU CARS PRIVATE LIMITED</t>
        </is>
      </c>
      <c r="K1234" s="20" t="inlineStr">
        <is>
          <t>Non-Captive</t>
        </is>
      </c>
      <c r="L1234" s="20" t="inlineStr">
        <is>
          <t>KB Motor</t>
        </is>
      </c>
      <c r="M1234" s="23" t="n">
        <v>2542.37</v>
      </c>
      <c r="N1234" s="23" t="n">
        <v>3000</v>
      </c>
      <c r="O1234" s="24">
        <f>IF(AND(ISNUMBER(M1234), ISNUMBER(I1234), I1234&gt;0), M1234/I1234, "")</f>
        <v/>
      </c>
    </row>
    <row r="1235">
      <c r="A1235" s="19" t="inlineStr">
        <is>
          <t>FY27</t>
        </is>
      </c>
      <c r="B1235" s="19" t="inlineStr">
        <is>
          <t>Apr</t>
        </is>
      </c>
      <c r="C1235" s="19" t="inlineStr">
        <is>
          <t>TN</t>
        </is>
      </c>
      <c r="D1235" s="20" t="inlineStr">
        <is>
          <t>TN18V9966</t>
        </is>
      </c>
      <c r="E1235" s="20" t="inlineStr">
        <is>
          <t>MARUTI SUZUKI</t>
        </is>
      </c>
      <c r="F1235" s="20" t="inlineStr">
        <is>
          <t>Alto</t>
        </is>
      </c>
      <c r="G1235" s="21" t="n">
        <v>2013</v>
      </c>
      <c r="H1235" s="22" t="n">
        <v>65452</v>
      </c>
      <c r="I1235" s="23" t="n">
        <v>155000</v>
      </c>
      <c r="J1235" s="20" t="inlineStr">
        <is>
          <t>ABT LIMITED</t>
        </is>
      </c>
      <c r="K1235" s="20" t="inlineStr">
        <is>
          <t>Non-Captive</t>
        </is>
      </c>
      <c r="L1235" s="20" t="inlineStr">
        <is>
          <t>KB Motor</t>
        </is>
      </c>
      <c r="M1235" s="23" t="n">
        <v>2542.37</v>
      </c>
      <c r="N1235" s="23" t="n">
        <v>3000</v>
      </c>
      <c r="O1235" s="24">
        <f>IF(AND(ISNUMBER(M1235), ISNUMBER(I1235), I1235&gt;0), M1235/I1235, "")</f>
        <v/>
      </c>
    </row>
    <row r="1236">
      <c r="A1236" s="19" t="inlineStr">
        <is>
          <t>FY27</t>
        </is>
      </c>
      <c r="B1236" s="19" t="inlineStr">
        <is>
          <t>Apr</t>
        </is>
      </c>
      <c r="C1236" s="19" t="inlineStr">
        <is>
          <t>TN</t>
        </is>
      </c>
      <c r="D1236" s="20" t="inlineStr">
        <is>
          <t>TN18V9087</t>
        </is>
      </c>
      <c r="E1236" s="20" t="inlineStr">
        <is>
          <t>MARUTI SUZUKI</t>
        </is>
      </c>
      <c r="F1236" s="20" t="inlineStr">
        <is>
          <t>Ritz</t>
        </is>
      </c>
      <c r="G1236" s="21" t="n">
        <v>2013</v>
      </c>
      <c r="H1236" s="22" t="n">
        <v>9899</v>
      </c>
      <c r="I1236" s="23" t="n">
        <v>180000</v>
      </c>
      <c r="J1236" s="20" t="inlineStr">
        <is>
          <t>ABT LIMITED</t>
        </is>
      </c>
      <c r="K1236" s="20" t="inlineStr">
        <is>
          <t>Non-Captive</t>
        </is>
      </c>
      <c r="L1236" s="20" t="inlineStr">
        <is>
          <t>KB Motor</t>
        </is>
      </c>
      <c r="M1236" s="23" t="n">
        <v>2542.37</v>
      </c>
      <c r="N1236" s="23" t="n">
        <v>3000</v>
      </c>
      <c r="O1236" s="24">
        <f>IF(AND(ISNUMBER(M1236), ISNUMBER(I1236), I1236&gt;0), M1236/I1236, "")</f>
        <v/>
      </c>
    </row>
    <row r="1237">
      <c r="A1237" s="19" t="inlineStr">
        <is>
          <t>FY27</t>
        </is>
      </c>
      <c r="B1237" s="19" t="inlineStr">
        <is>
          <t>Apr</t>
        </is>
      </c>
      <c r="C1237" s="19" t="inlineStr">
        <is>
          <t>TN</t>
        </is>
      </c>
      <c r="D1237" s="20" t="inlineStr">
        <is>
          <t>TN18D8443</t>
        </is>
      </c>
      <c r="E1237" s="20" t="inlineStr">
        <is>
          <t>MARUTI SUZUKI</t>
        </is>
      </c>
      <c r="F1237" s="20" t="inlineStr">
        <is>
          <t>Wagon R</t>
        </is>
      </c>
      <c r="G1237" s="21" t="n">
        <v>2010</v>
      </c>
      <c r="H1237" s="22" t="n">
        <v>123459</v>
      </c>
      <c r="I1237" s="23" t="n">
        <v>140000</v>
      </c>
      <c r="J1237" s="20" t="inlineStr">
        <is>
          <t>POPULAR VEHICLES AND SERVICES LIMITED</t>
        </is>
      </c>
      <c r="K1237" s="20" t="inlineStr">
        <is>
          <t>Non-Captive</t>
        </is>
      </c>
      <c r="L1237" s="20" t="inlineStr">
        <is>
          <t>KB Motor</t>
        </is>
      </c>
      <c r="M1237" s="23" t="n">
        <v>2542.37</v>
      </c>
      <c r="N1237" s="23" t="n">
        <v>3000</v>
      </c>
      <c r="O1237" s="24">
        <f>IF(AND(ISNUMBER(M1237), ISNUMBER(I1237), I1237&gt;0), M1237/I1237, "")</f>
        <v/>
      </c>
    </row>
    <row r="1238">
      <c r="A1238" s="19" t="inlineStr">
        <is>
          <t>FY27</t>
        </is>
      </c>
      <c r="B1238" s="19" t="inlineStr">
        <is>
          <t>Apr</t>
        </is>
      </c>
      <c r="C1238" s="19" t="inlineStr">
        <is>
          <t>TN</t>
        </is>
      </c>
      <c r="D1238" s="20" t="inlineStr">
        <is>
          <t>TN14F9004</t>
        </is>
      </c>
      <c r="E1238" s="20" t="inlineStr">
        <is>
          <t>MARUTI SUZUKI</t>
        </is>
      </c>
      <c r="F1238" s="20" t="inlineStr">
        <is>
          <t>Alto</t>
        </is>
      </c>
      <c r="G1238" s="21" t="n">
        <v>2016</v>
      </c>
      <c r="H1238" s="22" t="n">
        <v>94521</v>
      </c>
      <c r="I1238" s="23" t="n">
        <v>160000</v>
      </c>
      <c r="J1238" s="20" t="inlineStr">
        <is>
          <t>VISHNU CARS PRIVATE LIMITED</t>
        </is>
      </c>
      <c r="K1238" s="20" t="inlineStr">
        <is>
          <t>Non-Captive</t>
        </is>
      </c>
      <c r="L1238" s="20" t="inlineStr">
        <is>
          <t>Vijaya Cars</t>
        </is>
      </c>
      <c r="M1238" s="23" t="n">
        <v>2542.37</v>
      </c>
      <c r="N1238" s="23" t="n">
        <v>3000</v>
      </c>
      <c r="O1238" s="24">
        <f>IF(AND(ISNUMBER(M1238), ISNUMBER(I1238), I1238&gt;0), M1238/I1238, "")</f>
        <v/>
      </c>
    </row>
    <row r="1239">
      <c r="A1239" s="19" t="inlineStr">
        <is>
          <t>FY27</t>
        </is>
      </c>
      <c r="B1239" s="19" t="inlineStr">
        <is>
          <t>Apr</t>
        </is>
      </c>
      <c r="C1239" s="19" t="inlineStr">
        <is>
          <t>TN</t>
        </is>
      </c>
      <c r="D1239" s="20" t="inlineStr">
        <is>
          <t>TN14F0029</t>
        </is>
      </c>
      <c r="E1239" s="20" t="inlineStr">
        <is>
          <t>MARUTI SUZUKI</t>
        </is>
      </c>
      <c r="F1239" s="20" t="inlineStr">
        <is>
          <t>Alto</t>
        </is>
      </c>
      <c r="G1239" s="21" t="n">
        <v>2016</v>
      </c>
      <c r="H1239" s="22" t="n">
        <v>58148</v>
      </c>
      <c r="I1239" s="23" t="n">
        <v>150000</v>
      </c>
      <c r="J1239" s="20" t="inlineStr">
        <is>
          <t>ABT LIMITED</t>
        </is>
      </c>
      <c r="K1239" s="20" t="inlineStr">
        <is>
          <t>Non-Captive</t>
        </is>
      </c>
      <c r="L1239" s="20" t="inlineStr">
        <is>
          <t>Vijaya Cars</t>
        </is>
      </c>
      <c r="M1239" s="23" t="n">
        <v>2542.37</v>
      </c>
      <c r="N1239" s="23" t="n">
        <v>3000</v>
      </c>
      <c r="O1239" s="24">
        <f>IF(AND(ISNUMBER(M1239), ISNUMBER(I1239), I1239&gt;0), M1239/I1239, "")</f>
        <v/>
      </c>
    </row>
    <row r="1240">
      <c r="A1240" s="19" t="inlineStr">
        <is>
          <t>FY27</t>
        </is>
      </c>
      <c r="B1240" s="19" t="inlineStr">
        <is>
          <t>Apr</t>
        </is>
      </c>
      <c r="C1240" s="19" t="inlineStr">
        <is>
          <t>TN</t>
        </is>
      </c>
      <c r="D1240" s="20" t="inlineStr">
        <is>
          <t>TN13F9734</t>
        </is>
      </c>
      <c r="E1240" s="20" t="inlineStr">
        <is>
          <t>DATSUN</t>
        </is>
      </c>
      <c r="F1240" s="20" t="inlineStr">
        <is>
          <t>Redi-Go</t>
        </is>
      </c>
      <c r="G1240" s="21" t="n">
        <v>2016</v>
      </c>
      <c r="H1240" s="22" t="n">
        <v>46412</v>
      </c>
      <c r="I1240" s="23" t="n">
        <v>160000</v>
      </c>
      <c r="J1240" s="20" t="inlineStr">
        <is>
          <t>POPULAR VEHICLES AND SERVICES LIMITED</t>
        </is>
      </c>
      <c r="K1240" s="20" t="inlineStr">
        <is>
          <t>Non-Captive</t>
        </is>
      </c>
      <c r="L1240" s="20" t="inlineStr">
        <is>
          <t>Vijaya Cars</t>
        </is>
      </c>
      <c r="M1240" s="23" t="n">
        <v>2542.37</v>
      </c>
      <c r="N1240" s="23" t="n">
        <v>3000</v>
      </c>
      <c r="O1240" s="24">
        <f>IF(AND(ISNUMBER(M1240), ISNUMBER(I1240), I1240&gt;0), M1240/I1240, "")</f>
        <v/>
      </c>
    </row>
    <row r="1241">
      <c r="A1241" s="19" t="inlineStr">
        <is>
          <t>FY27</t>
        </is>
      </c>
      <c r="B1241" s="19" t="inlineStr">
        <is>
          <t>Apr</t>
        </is>
      </c>
      <c r="C1241" s="19" t="inlineStr">
        <is>
          <t>TN</t>
        </is>
      </c>
      <c r="D1241" s="20" t="inlineStr">
        <is>
          <t>TN12M0039</t>
        </is>
      </c>
      <c r="E1241" s="20" t="inlineStr">
        <is>
          <t>TATA</t>
        </is>
      </c>
      <c r="F1241" s="20" t="inlineStr">
        <is>
          <t>Indica</t>
        </is>
      </c>
      <c r="G1241" s="21" t="n">
        <v>2016</v>
      </c>
      <c r="H1241" s="22" t="n">
        <v>99999</v>
      </c>
      <c r="I1241" s="23" t="n">
        <v>100000</v>
      </c>
      <c r="J1241" s="20" t="inlineStr">
        <is>
          <t>VISHNU CARS PRIVATE LIMITED</t>
        </is>
      </c>
      <c r="K1241" s="20" t="inlineStr">
        <is>
          <t>Non-Captive</t>
        </is>
      </c>
      <c r="L1241" s="20" t="inlineStr">
        <is>
          <t>Vijaya Cars</t>
        </is>
      </c>
      <c r="M1241" s="23" t="n">
        <v>2542.37</v>
      </c>
      <c r="N1241" s="23" t="n">
        <v>3000</v>
      </c>
      <c r="O1241" s="24">
        <f>IF(AND(ISNUMBER(M1241), ISNUMBER(I1241), I1241&gt;0), M1241/I1241, "")</f>
        <v/>
      </c>
    </row>
    <row r="1242">
      <c r="A1242" s="19" t="inlineStr">
        <is>
          <t>FY27</t>
        </is>
      </c>
      <c r="B1242" s="19" t="inlineStr">
        <is>
          <t>Apr</t>
        </is>
      </c>
      <c r="C1242" s="19" t="inlineStr">
        <is>
          <t>TN</t>
        </is>
      </c>
      <c r="D1242" s="20" t="inlineStr">
        <is>
          <t>TN12K8026</t>
        </is>
      </c>
      <c r="E1242" s="20" t="inlineStr">
        <is>
          <t>MARUTI SUZUKI</t>
        </is>
      </c>
      <c r="F1242" s="20" t="inlineStr">
        <is>
          <t>Alto</t>
        </is>
      </c>
      <c r="G1242" s="21" t="n">
        <v>2015</v>
      </c>
      <c r="H1242" s="22" t="n">
        <v>40030</v>
      </c>
      <c r="I1242" s="23" t="n">
        <v>175000</v>
      </c>
      <c r="J1242" s="20" t="inlineStr">
        <is>
          <t>POPULAR VEHICLES AND SERVICES LIMITED</t>
        </is>
      </c>
      <c r="K1242" s="20" t="inlineStr">
        <is>
          <t>Non-Captive</t>
        </is>
      </c>
      <c r="L1242" s="20" t="inlineStr">
        <is>
          <t>Vijaya Cars</t>
        </is>
      </c>
      <c r="M1242" s="23" t="n">
        <v>2542.37</v>
      </c>
      <c r="N1242" s="23" t="n">
        <v>3000</v>
      </c>
      <c r="O1242" s="24">
        <f>IF(AND(ISNUMBER(M1242), ISNUMBER(I1242), I1242&gt;0), M1242/I1242, "")</f>
        <v/>
      </c>
    </row>
    <row r="1243">
      <c r="A1243" s="19" t="inlineStr">
        <is>
          <t>FY27</t>
        </is>
      </c>
      <c r="B1243" s="19" t="inlineStr">
        <is>
          <t>Apr</t>
        </is>
      </c>
      <c r="C1243" s="19" t="inlineStr">
        <is>
          <t>TN</t>
        </is>
      </c>
      <c r="D1243" s="20" t="inlineStr">
        <is>
          <t>TN11Z7647</t>
        </is>
      </c>
      <c r="E1243" s="20" t="inlineStr">
        <is>
          <t>FORD</t>
        </is>
      </c>
      <c r="F1243" s="20" t="inlineStr">
        <is>
          <t>Figo</t>
        </is>
      </c>
      <c r="G1243" s="21" t="n">
        <v>2012</v>
      </c>
      <c r="H1243" s="22" t="n">
        <v>89160</v>
      </c>
      <c r="I1243" s="23" t="n">
        <v>110000</v>
      </c>
      <c r="J1243" s="20" t="inlineStr">
        <is>
          <t>VISHNU CARS PRIVATE LIMITED</t>
        </is>
      </c>
      <c r="K1243" s="20" t="inlineStr">
        <is>
          <t>Non-Captive</t>
        </is>
      </c>
      <c r="L1243" s="20" t="inlineStr">
        <is>
          <t>Vijaya Cars</t>
        </is>
      </c>
      <c r="M1243" s="23" t="n">
        <v>2542.37</v>
      </c>
      <c r="N1243" s="23" t="n">
        <v>3000</v>
      </c>
      <c r="O1243" s="24">
        <f>IF(AND(ISNUMBER(M1243), ISNUMBER(I1243), I1243&gt;0), M1243/I1243, "")</f>
        <v/>
      </c>
    </row>
    <row r="1244">
      <c r="A1244" s="19" t="inlineStr">
        <is>
          <t>FY27</t>
        </is>
      </c>
      <c r="B1244" s="19" t="inlineStr">
        <is>
          <t>Apr</t>
        </is>
      </c>
      <c r="C1244" s="19" t="inlineStr">
        <is>
          <t>TN</t>
        </is>
      </c>
      <c r="D1244" s="20" t="inlineStr">
        <is>
          <t>TN11Y9858</t>
        </is>
      </c>
      <c r="E1244" s="20" t="inlineStr">
        <is>
          <t>HONDA</t>
        </is>
      </c>
      <c r="F1244" s="20" t="inlineStr">
        <is>
          <t>Brio</t>
        </is>
      </c>
      <c r="G1244" s="21" t="n">
        <v>2013</v>
      </c>
      <c r="H1244" s="22" t="n">
        <v>48440</v>
      </c>
      <c r="I1244" s="23" t="n">
        <v>190000</v>
      </c>
      <c r="J1244" s="20" t="inlineStr">
        <is>
          <t>ABT LIMITED</t>
        </is>
      </c>
      <c r="K1244" s="20" t="inlineStr">
        <is>
          <t>Non-Captive</t>
        </is>
      </c>
      <c r="L1244" s="20" t="inlineStr">
        <is>
          <t>Vijaya Cars</t>
        </is>
      </c>
      <c r="M1244" s="23" t="n">
        <v>2542.37</v>
      </c>
      <c r="N1244" s="23" t="n">
        <v>3000</v>
      </c>
      <c r="O1244" s="24">
        <f>IF(AND(ISNUMBER(M1244), ISNUMBER(I1244), I1244&gt;0), M1244/I1244, "")</f>
        <v/>
      </c>
    </row>
    <row r="1245">
      <c r="A1245" s="19" t="inlineStr">
        <is>
          <t>FY27</t>
        </is>
      </c>
      <c r="B1245" s="19" t="inlineStr">
        <is>
          <t>Apr</t>
        </is>
      </c>
      <c r="C1245" s="19" t="inlineStr">
        <is>
          <t>TN</t>
        </is>
      </c>
      <c r="D1245" s="20" t="inlineStr">
        <is>
          <t>TN11U2242</t>
        </is>
      </c>
      <c r="E1245" s="20" t="inlineStr">
        <is>
          <t>NISSAN</t>
        </is>
      </c>
      <c r="F1245" s="20" t="inlineStr">
        <is>
          <t>Micra</t>
        </is>
      </c>
      <c r="G1245" s="21" t="n">
        <v>2016</v>
      </c>
      <c r="H1245" s="22" t="n">
        <v>66351</v>
      </c>
      <c r="I1245" s="23" t="n">
        <v>200000</v>
      </c>
      <c r="J1245" s="20" t="inlineStr">
        <is>
          <t>POPULAR VEHICLES AND SERVICES LIMITED</t>
        </is>
      </c>
      <c r="K1245" s="20" t="inlineStr">
        <is>
          <t>Non-Captive</t>
        </is>
      </c>
      <c r="L1245" s="20" t="inlineStr">
        <is>
          <t>Vijaya Cars</t>
        </is>
      </c>
      <c r="M1245" s="23" t="n">
        <v>2542.37</v>
      </c>
      <c r="N1245" s="23" t="n">
        <v>3000</v>
      </c>
      <c r="O1245" s="24">
        <f>IF(AND(ISNUMBER(M1245), ISNUMBER(I1245), I1245&gt;0), M1245/I1245, "")</f>
        <v/>
      </c>
    </row>
    <row r="1246">
      <c r="A1246" s="19" t="inlineStr">
        <is>
          <t>FY27</t>
        </is>
      </c>
      <c r="B1246" s="19" t="inlineStr">
        <is>
          <t>Apr</t>
        </is>
      </c>
      <c r="C1246" s="19" t="inlineStr">
        <is>
          <t>TN</t>
        </is>
      </c>
      <c r="D1246" s="20" t="inlineStr">
        <is>
          <t>TN11E8175</t>
        </is>
      </c>
      <c r="E1246" s="20" t="inlineStr">
        <is>
          <t>HYUNDAI</t>
        </is>
      </c>
      <c r="F1246" s="20" t="inlineStr">
        <is>
          <t>Eon</t>
        </is>
      </c>
      <c r="G1246" s="21" t="n">
        <v>2013</v>
      </c>
      <c r="H1246" s="22" t="n">
        <v>41466</v>
      </c>
      <c r="I1246" s="23" t="n">
        <v>210000</v>
      </c>
      <c r="J1246" s="20" t="inlineStr">
        <is>
          <t>VISHNU CARS PRIVATE LIMITED</t>
        </is>
      </c>
      <c r="K1246" s="20" t="inlineStr">
        <is>
          <t>Non-Captive</t>
        </is>
      </c>
      <c r="L1246" s="20" t="inlineStr">
        <is>
          <t>Santhosh Cars</t>
        </is>
      </c>
      <c r="M1246" s="23" t="n">
        <v>4237.29</v>
      </c>
      <c r="N1246" s="23" t="n">
        <v>5000</v>
      </c>
      <c r="O1246" s="24">
        <f>IF(AND(ISNUMBER(M1246), ISNUMBER(I1246), I1246&gt;0), M1246/I1246, "")</f>
        <v/>
      </c>
    </row>
    <row r="1247">
      <c r="A1247" s="19" t="inlineStr">
        <is>
          <t>FY27</t>
        </is>
      </c>
      <c r="B1247" s="19" t="inlineStr">
        <is>
          <t>Apr</t>
        </is>
      </c>
      <c r="C1247" s="19" t="inlineStr">
        <is>
          <t>TN</t>
        </is>
      </c>
      <c r="D1247" s="20" t="inlineStr">
        <is>
          <t>TN11D4848</t>
        </is>
      </c>
      <c r="E1247" s="20" t="inlineStr">
        <is>
          <t>VOLKSWAGEN</t>
        </is>
      </c>
      <c r="F1247" s="20" t="inlineStr">
        <is>
          <t>Vento</t>
        </is>
      </c>
      <c r="G1247" s="21" t="n">
        <v>2013</v>
      </c>
      <c r="H1247" s="22" t="n">
        <v>74809</v>
      </c>
      <c r="I1247" s="23" t="n">
        <v>202000</v>
      </c>
      <c r="J1247" s="20" t="inlineStr">
        <is>
          <t>POPULAR VEHICLES AND SERVICES LIMITED</t>
        </is>
      </c>
      <c r="K1247" s="20" t="inlineStr">
        <is>
          <t>Non-Captive</t>
        </is>
      </c>
      <c r="L1247" s="20" t="inlineStr">
        <is>
          <t>TSM</t>
        </is>
      </c>
      <c r="M1247" s="23" t="n">
        <v>3389.83</v>
      </c>
      <c r="N1247" s="23" t="n">
        <v>4000</v>
      </c>
      <c r="O1247" s="24">
        <f>IF(AND(ISNUMBER(M1247), ISNUMBER(I1247), I1247&gt;0), M1247/I1247, "")</f>
        <v/>
      </c>
    </row>
    <row r="1248">
      <c r="A1248" s="19" t="inlineStr">
        <is>
          <t>FY27</t>
        </is>
      </c>
      <c r="B1248" s="19" t="inlineStr">
        <is>
          <t>Apr</t>
        </is>
      </c>
      <c r="C1248" s="19" t="inlineStr">
        <is>
          <t>TN</t>
        </is>
      </c>
      <c r="D1248" s="20" t="inlineStr">
        <is>
          <t>TN11AE1236</t>
        </is>
      </c>
      <c r="E1248" s="20" t="inlineStr">
        <is>
          <t>MARUTI SUZUKI</t>
        </is>
      </c>
      <c r="F1248" s="20" t="inlineStr">
        <is>
          <t>Alto</t>
        </is>
      </c>
      <c r="G1248" s="21" t="n">
        <v>2018</v>
      </c>
      <c r="H1248" s="22" t="n">
        <v>53810</v>
      </c>
      <c r="I1248" s="23" t="n">
        <v>200000</v>
      </c>
      <c r="J1248" s="20" t="inlineStr">
        <is>
          <t>VISHNU CARS PRIVATE LIMITED</t>
        </is>
      </c>
      <c r="K1248" s="20" t="inlineStr">
        <is>
          <t>Non-Captive</t>
        </is>
      </c>
      <c r="L1248" s="20" t="inlineStr">
        <is>
          <t>KB Motor</t>
        </is>
      </c>
      <c r="M1248" s="23" t="n">
        <v>3389.83</v>
      </c>
      <c r="N1248" s="23" t="n">
        <v>4000</v>
      </c>
      <c r="O1248" s="24">
        <f>IF(AND(ISNUMBER(M1248), ISNUMBER(I1248), I1248&gt;0), M1248/I1248, "")</f>
        <v/>
      </c>
    </row>
    <row r="1249">
      <c r="A1249" s="19" t="inlineStr">
        <is>
          <t>FY27</t>
        </is>
      </c>
      <c r="B1249" s="19" t="inlineStr">
        <is>
          <t>Apr</t>
        </is>
      </c>
      <c r="C1249" s="19" t="inlineStr">
        <is>
          <t>TN</t>
        </is>
      </c>
      <c r="D1249" s="20" t="inlineStr">
        <is>
          <t>TN116681</t>
        </is>
      </c>
      <c r="E1249" s="20" t="inlineStr">
        <is>
          <t>FORD</t>
        </is>
      </c>
      <c r="F1249" s="20" t="inlineStr">
        <is>
          <t>Figo</t>
        </is>
      </c>
      <c r="G1249" s="21" t="n">
        <v>2012</v>
      </c>
      <c r="H1249" s="22" t="n">
        <v>119119</v>
      </c>
      <c r="I1249" s="23" t="n">
        <v>120000</v>
      </c>
      <c r="J1249" s="20" t="inlineStr">
        <is>
          <t>ABT LIMITED</t>
        </is>
      </c>
      <c r="K1249" s="20" t="inlineStr">
        <is>
          <t>Non-Captive</t>
        </is>
      </c>
      <c r="L1249" s="20" t="inlineStr">
        <is>
          <t>Vijaya Cars</t>
        </is>
      </c>
      <c r="M1249" s="23" t="n">
        <v>2542.37</v>
      </c>
      <c r="N1249" s="23" t="n">
        <v>3000</v>
      </c>
      <c r="O1249" s="24">
        <f>IF(AND(ISNUMBER(M1249), ISNUMBER(I1249), I1249&gt;0), M1249/I1249, "")</f>
        <v/>
      </c>
    </row>
    <row r="1250">
      <c r="A1250" s="19" t="inlineStr">
        <is>
          <t>FY27</t>
        </is>
      </c>
      <c r="B1250" s="19" t="inlineStr">
        <is>
          <t>Apr</t>
        </is>
      </c>
      <c r="C1250" s="19" t="inlineStr">
        <is>
          <t>TN</t>
        </is>
      </c>
      <c r="D1250" s="20" t="inlineStr">
        <is>
          <t>TN10Z2679</t>
        </is>
      </c>
      <c r="E1250" s="20" t="inlineStr">
        <is>
          <t>FORD</t>
        </is>
      </c>
      <c r="F1250" s="20" t="inlineStr">
        <is>
          <t>Fiesta Classic</t>
        </is>
      </c>
      <c r="G1250" s="21" t="n">
        <v>2010</v>
      </c>
      <c r="H1250" s="22" t="n">
        <v>113949</v>
      </c>
      <c r="I1250" s="23" t="n">
        <v>55000</v>
      </c>
      <c r="J1250" s="20" t="inlineStr">
        <is>
          <t>VISHNU CARS PRIVATE LIMITED</t>
        </is>
      </c>
      <c r="K1250" s="20" t="inlineStr">
        <is>
          <t>Non-Captive</t>
        </is>
      </c>
      <c r="L1250" s="20" t="inlineStr">
        <is>
          <t>Vijaya Cars</t>
        </is>
      </c>
      <c r="M1250" s="23" t="n">
        <v>2542.37</v>
      </c>
      <c r="N1250" s="23" t="n">
        <v>3000</v>
      </c>
      <c r="O1250" s="24">
        <f>IF(AND(ISNUMBER(M1250), ISNUMBER(I1250), I1250&gt;0), M1250/I1250, "")</f>
        <v/>
      </c>
    </row>
    <row r="1251">
      <c r="A1251" s="19" t="inlineStr">
        <is>
          <t>FY27</t>
        </is>
      </c>
      <c r="B1251" s="19" t="inlineStr">
        <is>
          <t>Apr</t>
        </is>
      </c>
      <c r="C1251" s="19" t="inlineStr">
        <is>
          <t>TN</t>
        </is>
      </c>
      <c r="D1251" s="20" t="inlineStr">
        <is>
          <t>TN10Y5947</t>
        </is>
      </c>
      <c r="E1251" s="20" t="inlineStr">
        <is>
          <t>MARUTI SUZUKI</t>
        </is>
      </c>
      <c r="F1251" s="20" t="inlineStr">
        <is>
          <t>Ritz</t>
        </is>
      </c>
      <c r="G1251" s="21" t="n">
        <v>2010</v>
      </c>
      <c r="H1251" s="22" t="n">
        <v>38616</v>
      </c>
      <c r="I1251" s="23" t="n">
        <v>125000</v>
      </c>
      <c r="J1251" s="20" t="inlineStr">
        <is>
          <t>VISHNU CARS PRIVATE LIMITED</t>
        </is>
      </c>
      <c r="K1251" s="20" t="inlineStr">
        <is>
          <t>Non-Captive</t>
        </is>
      </c>
      <c r="L1251" s="20" t="inlineStr">
        <is>
          <t>Thiya Cars</t>
        </is>
      </c>
      <c r="M1251" s="23" t="n">
        <v>2542.37</v>
      </c>
      <c r="N1251" s="23" t="n">
        <v>3000</v>
      </c>
      <c r="O1251" s="24">
        <f>IF(AND(ISNUMBER(M1251), ISNUMBER(I1251), I1251&gt;0), M1251/I1251, "")</f>
        <v/>
      </c>
    </row>
    <row r="1252">
      <c r="A1252" s="19" t="inlineStr">
        <is>
          <t>FY27</t>
        </is>
      </c>
      <c r="B1252" s="19" t="inlineStr">
        <is>
          <t>Apr</t>
        </is>
      </c>
      <c r="C1252" s="19" t="inlineStr">
        <is>
          <t>TN</t>
        </is>
      </c>
      <c r="D1252" s="20" t="inlineStr">
        <is>
          <t>TN10Y0357</t>
        </is>
      </c>
      <c r="E1252" s="20" t="inlineStr">
        <is>
          <t>MARUTI SUZUKI</t>
        </is>
      </c>
      <c r="F1252" s="20" t="inlineStr">
        <is>
          <t>A-Star</t>
        </is>
      </c>
      <c r="G1252" s="21" t="n">
        <v>2009</v>
      </c>
      <c r="H1252" s="22" t="n">
        <v>99999</v>
      </c>
      <c r="I1252" s="23" t="n">
        <v>125000</v>
      </c>
      <c r="J1252" s="20" t="inlineStr">
        <is>
          <t>VISHNU CARS PRIVATE LIMITED</t>
        </is>
      </c>
      <c r="K1252" s="20" t="inlineStr">
        <is>
          <t>Non-Captive</t>
        </is>
      </c>
      <c r="L1252" s="20" t="inlineStr">
        <is>
          <t>Thiya Cars</t>
        </is>
      </c>
      <c r="M1252" s="23" t="n">
        <v>2542.37</v>
      </c>
      <c r="N1252" s="23" t="n">
        <v>3000</v>
      </c>
      <c r="O1252" s="24">
        <f>IF(AND(ISNUMBER(M1252), ISNUMBER(I1252), I1252&gt;0), M1252/I1252, "")</f>
        <v/>
      </c>
    </row>
    <row r="1253">
      <c r="A1253" s="19" t="inlineStr">
        <is>
          <t>FY27</t>
        </is>
      </c>
      <c r="B1253" s="19" t="inlineStr">
        <is>
          <t>Apr</t>
        </is>
      </c>
      <c r="C1253" s="19" t="inlineStr">
        <is>
          <t>TN</t>
        </is>
      </c>
      <c r="D1253" s="20" t="inlineStr">
        <is>
          <t>TN10AJ3127</t>
        </is>
      </c>
      <c r="E1253" s="20" t="inlineStr">
        <is>
          <t>HYUNDAI</t>
        </is>
      </c>
      <c r="F1253" s="20" t="inlineStr">
        <is>
          <t>I10</t>
        </is>
      </c>
      <c r="G1253" s="21" t="n">
        <v>2012</v>
      </c>
      <c r="H1253" s="22" t="n">
        <v>57567</v>
      </c>
      <c r="I1253" s="23" t="n">
        <v>200000</v>
      </c>
      <c r="J1253" s="20" t="inlineStr">
        <is>
          <t>POPULAR VEHICLES AND SERVICES LIMITED</t>
        </is>
      </c>
      <c r="K1253" s="20" t="inlineStr">
        <is>
          <t>Non-Captive</t>
        </is>
      </c>
      <c r="L1253" s="20" t="inlineStr">
        <is>
          <t>Thiya Cars</t>
        </is>
      </c>
      <c r="M1253" s="23" t="n">
        <v>2542.37</v>
      </c>
      <c r="N1253" s="23" t="n">
        <v>3000</v>
      </c>
      <c r="O1253" s="24">
        <f>IF(AND(ISNUMBER(M1253), ISNUMBER(I1253), I1253&gt;0), M1253/I1253, "")</f>
        <v/>
      </c>
    </row>
    <row r="1254">
      <c r="A1254" s="19" t="inlineStr">
        <is>
          <t>FY27</t>
        </is>
      </c>
      <c r="B1254" s="19" t="inlineStr">
        <is>
          <t>Apr</t>
        </is>
      </c>
      <c r="C1254" s="19" t="inlineStr">
        <is>
          <t>TN</t>
        </is>
      </c>
      <c r="D1254" s="20" t="inlineStr">
        <is>
          <t>TN10AH1599</t>
        </is>
      </c>
      <c r="E1254" s="20" t="inlineStr">
        <is>
          <t>MARUTI SUZUKI</t>
        </is>
      </c>
      <c r="F1254" s="20" t="inlineStr">
        <is>
          <t>Wagon R</t>
        </is>
      </c>
      <c r="G1254" s="21" t="n">
        <v>2012</v>
      </c>
      <c r="H1254" s="22" t="n">
        <v>77775</v>
      </c>
      <c r="I1254" s="23" t="n">
        <v>200000</v>
      </c>
      <c r="J1254" s="20" t="inlineStr">
        <is>
          <t>VISHNU CARS PRIVATE LIMITED</t>
        </is>
      </c>
      <c r="K1254" s="20" t="inlineStr">
        <is>
          <t>Non-Captive</t>
        </is>
      </c>
      <c r="L1254" s="20" t="inlineStr">
        <is>
          <t>Thiya Cars</t>
        </is>
      </c>
      <c r="M1254" s="23" t="n">
        <v>2542.37</v>
      </c>
      <c r="N1254" s="23" t="n">
        <v>3000</v>
      </c>
      <c r="O1254" s="24">
        <f>IF(AND(ISNUMBER(M1254), ISNUMBER(I1254), I1254&gt;0), M1254/I1254, "")</f>
        <v/>
      </c>
    </row>
    <row r="1255">
      <c r="A1255" s="19" t="inlineStr">
        <is>
          <t>FY27</t>
        </is>
      </c>
      <c r="B1255" s="19" t="inlineStr">
        <is>
          <t>Apr</t>
        </is>
      </c>
      <c r="C1255" s="19" t="inlineStr">
        <is>
          <t>TN</t>
        </is>
      </c>
      <c r="D1255" s="20" t="inlineStr">
        <is>
          <t>TN10AE7697</t>
        </is>
      </c>
      <c r="E1255" s="20" t="inlineStr">
        <is>
          <t>MARUTI SUZUKI</t>
        </is>
      </c>
      <c r="F1255" s="20" t="inlineStr">
        <is>
          <t>Wagon R</t>
        </is>
      </c>
      <c r="G1255" s="21" t="n">
        <v>2011</v>
      </c>
      <c r="H1255" s="22" t="n">
        <v>53508</v>
      </c>
      <c r="I1255" s="23" t="n">
        <v>145000</v>
      </c>
      <c r="J1255" s="20" t="inlineStr">
        <is>
          <t>ABT LIMITED</t>
        </is>
      </c>
      <c r="K1255" s="20" t="inlineStr">
        <is>
          <t>Non-Captive</t>
        </is>
      </c>
      <c r="L1255" s="20" t="inlineStr">
        <is>
          <t>Thiya Cars</t>
        </is>
      </c>
      <c r="M1255" s="23" t="n">
        <v>2542.37</v>
      </c>
      <c r="N1255" s="23" t="n">
        <v>3000</v>
      </c>
      <c r="O1255" s="24">
        <f>IF(AND(ISNUMBER(M1255), ISNUMBER(I1255), I1255&gt;0), M1255/I1255, "")</f>
        <v/>
      </c>
    </row>
    <row r="1256">
      <c r="A1256" s="19" t="inlineStr">
        <is>
          <t>FY27</t>
        </is>
      </c>
      <c r="B1256" s="19" t="inlineStr">
        <is>
          <t>Apr</t>
        </is>
      </c>
      <c r="C1256" s="19" t="inlineStr">
        <is>
          <t>TN</t>
        </is>
      </c>
      <c r="D1256" s="20" t="inlineStr">
        <is>
          <t>TN10AA7345</t>
        </is>
      </c>
      <c r="E1256" s="20" t="inlineStr">
        <is>
          <t>MARUTI SUZUKI</t>
        </is>
      </c>
      <c r="F1256" s="20" t="inlineStr">
        <is>
          <t>Wagon R</t>
        </is>
      </c>
      <c r="G1256" s="21" t="n">
        <v>2010</v>
      </c>
      <c r="H1256" s="22" t="n">
        <v>99999</v>
      </c>
      <c r="I1256" s="23" t="n">
        <v>160000</v>
      </c>
      <c r="J1256" s="20" t="inlineStr">
        <is>
          <t>VISHNU CARS PRIVATE LIMITED</t>
        </is>
      </c>
      <c r="K1256" s="20" t="inlineStr">
        <is>
          <t>Non-Captive</t>
        </is>
      </c>
      <c r="L1256" s="20" t="inlineStr">
        <is>
          <t>Thiya Cars</t>
        </is>
      </c>
      <c r="M1256" s="23" t="n">
        <v>2542.37</v>
      </c>
      <c r="N1256" s="23" t="n">
        <v>3000</v>
      </c>
      <c r="O1256" s="24">
        <f>IF(AND(ISNUMBER(M1256), ISNUMBER(I1256), I1256&gt;0), M1256/I1256, "")</f>
        <v/>
      </c>
    </row>
    <row r="1257">
      <c r="A1257" s="19" t="inlineStr">
        <is>
          <t>FY27</t>
        </is>
      </c>
      <c r="B1257" s="19" t="inlineStr">
        <is>
          <t>Apr</t>
        </is>
      </c>
      <c r="C1257" s="19" t="inlineStr">
        <is>
          <t>TN</t>
        </is>
      </c>
      <c r="D1257" s="20" t="inlineStr">
        <is>
          <t>TN10AA2073</t>
        </is>
      </c>
      <c r="E1257" s="20" t="inlineStr">
        <is>
          <t>HYUNDAI</t>
        </is>
      </c>
      <c r="F1257" s="20" t="inlineStr">
        <is>
          <t>I10</t>
        </is>
      </c>
      <c r="G1257" s="21" t="n">
        <v>2010</v>
      </c>
      <c r="H1257" s="22" t="n">
        <v>50262</v>
      </c>
      <c r="I1257" s="23" t="n">
        <v>120000</v>
      </c>
      <c r="J1257" s="20" t="inlineStr">
        <is>
          <t>POPULAR VEHICLES AND SERVICES LIMITED</t>
        </is>
      </c>
      <c r="K1257" s="20" t="inlineStr">
        <is>
          <t>Non-Captive</t>
        </is>
      </c>
      <c r="L1257" s="20" t="inlineStr">
        <is>
          <t>Thiya Cars</t>
        </is>
      </c>
      <c r="M1257" s="23" t="n">
        <v>2542.37</v>
      </c>
      <c r="N1257" s="23" t="n">
        <v>3000</v>
      </c>
      <c r="O1257" s="24">
        <f>IF(AND(ISNUMBER(M1257), ISNUMBER(I1257), I1257&gt;0), M1257/I1257, "")</f>
        <v/>
      </c>
    </row>
    <row r="1258">
      <c r="A1258" s="19" t="inlineStr">
        <is>
          <t>FY27</t>
        </is>
      </c>
      <c r="B1258" s="19" t="inlineStr">
        <is>
          <t>Apr</t>
        </is>
      </c>
      <c r="C1258" s="19" t="inlineStr">
        <is>
          <t>TN</t>
        </is>
      </c>
      <c r="D1258" s="20" t="inlineStr">
        <is>
          <t>TN09CA1687</t>
        </is>
      </c>
      <c r="E1258" s="20" t="inlineStr">
        <is>
          <t>MARUTI SUZUKI</t>
        </is>
      </c>
      <c r="F1258" s="20" t="inlineStr">
        <is>
          <t>Alto</t>
        </is>
      </c>
      <c r="G1258" s="21" t="n">
        <v>2015</v>
      </c>
      <c r="H1258" s="22" t="n">
        <v>50522</v>
      </c>
      <c r="I1258" s="23" t="n">
        <v>150000</v>
      </c>
      <c r="J1258" s="20" t="inlineStr">
        <is>
          <t>POPULAR VEHICLES AND SERVICES LIMITED</t>
        </is>
      </c>
      <c r="K1258" s="20" t="inlineStr">
        <is>
          <t>Non-Captive</t>
        </is>
      </c>
      <c r="L1258" s="20" t="inlineStr">
        <is>
          <t>Ashok Cars</t>
        </is>
      </c>
      <c r="M1258" s="23" t="n">
        <v>2542.37</v>
      </c>
      <c r="N1258" s="23" t="n">
        <v>3000</v>
      </c>
      <c r="O1258" s="24">
        <f>IF(AND(ISNUMBER(M1258), ISNUMBER(I1258), I1258&gt;0), M1258/I1258, "")</f>
        <v/>
      </c>
    </row>
    <row r="1259">
      <c r="A1259" s="19" t="inlineStr">
        <is>
          <t>FY27</t>
        </is>
      </c>
      <c r="B1259" s="19" t="inlineStr">
        <is>
          <t>Apr</t>
        </is>
      </c>
      <c r="C1259" s="19" t="inlineStr">
        <is>
          <t>TN</t>
        </is>
      </c>
      <c r="D1259" s="20" t="inlineStr">
        <is>
          <t>TN09CA0742</t>
        </is>
      </c>
      <c r="E1259" s="20" t="inlineStr">
        <is>
          <t>HYUNDAI</t>
        </is>
      </c>
      <c r="F1259" s="20" t="inlineStr">
        <is>
          <t>Grand I10</t>
        </is>
      </c>
      <c r="G1259" s="21" t="n">
        <v>2015</v>
      </c>
      <c r="H1259" s="22" t="n">
        <v>37344</v>
      </c>
      <c r="I1259" s="23" t="n">
        <v>200000</v>
      </c>
      <c r="J1259" s="20" t="inlineStr">
        <is>
          <t>VISHNU CARS PRIVATE LIMITED</t>
        </is>
      </c>
      <c r="K1259" s="20" t="inlineStr">
        <is>
          <t>Non-Captive</t>
        </is>
      </c>
      <c r="L1259" s="20" t="inlineStr">
        <is>
          <t>Ashok Cars</t>
        </is>
      </c>
      <c r="M1259" s="23" t="n">
        <v>2542.37</v>
      </c>
      <c r="N1259" s="23" t="n">
        <v>3000</v>
      </c>
      <c r="O1259" s="24">
        <f>IF(AND(ISNUMBER(M1259), ISNUMBER(I1259), I1259&gt;0), M1259/I1259, "")</f>
        <v/>
      </c>
    </row>
    <row r="1260">
      <c r="A1260" s="19" t="inlineStr">
        <is>
          <t>FY27</t>
        </is>
      </c>
      <c r="B1260" s="19" t="inlineStr">
        <is>
          <t>Apr</t>
        </is>
      </c>
      <c r="C1260" s="19" t="inlineStr">
        <is>
          <t>TN</t>
        </is>
      </c>
      <c r="D1260" s="20" t="inlineStr">
        <is>
          <t>TN09BY0480</t>
        </is>
      </c>
      <c r="E1260" s="20" t="inlineStr">
        <is>
          <t>FIAT</t>
        </is>
      </c>
      <c r="F1260" s="20" t="inlineStr">
        <is>
          <t>Punto</t>
        </is>
      </c>
      <c r="G1260" s="21" t="n">
        <v>2014</v>
      </c>
      <c r="H1260" s="22" t="n">
        <v>15885</v>
      </c>
      <c r="I1260" s="23" t="n">
        <v>150000</v>
      </c>
      <c r="J1260" s="20" t="inlineStr">
        <is>
          <t>ABT LIMITED</t>
        </is>
      </c>
      <c r="K1260" s="20" t="inlineStr">
        <is>
          <t>Non-Captive</t>
        </is>
      </c>
      <c r="L1260" s="20" t="inlineStr">
        <is>
          <t>Nirmal Cars</t>
        </is>
      </c>
      <c r="M1260" s="23" t="n">
        <v>2542.37</v>
      </c>
      <c r="N1260" s="23" t="n">
        <v>3000</v>
      </c>
      <c r="O1260" s="24">
        <f>IF(AND(ISNUMBER(M1260), ISNUMBER(I1260), I1260&gt;0), M1260/I1260, "")</f>
        <v/>
      </c>
    </row>
    <row r="1261">
      <c r="A1261" s="19" t="inlineStr">
        <is>
          <t>FY27</t>
        </is>
      </c>
      <c r="B1261" s="19" t="inlineStr">
        <is>
          <t>Apr</t>
        </is>
      </c>
      <c r="C1261" s="19" t="inlineStr">
        <is>
          <t>TN</t>
        </is>
      </c>
      <c r="D1261" s="20" t="inlineStr">
        <is>
          <t>TN09BX9048</t>
        </is>
      </c>
      <c r="E1261" s="20" t="inlineStr">
        <is>
          <t>HYUNDAI</t>
        </is>
      </c>
      <c r="F1261" s="20" t="inlineStr">
        <is>
          <t>Eon</t>
        </is>
      </c>
      <c r="G1261" s="21" t="n">
        <v>2014</v>
      </c>
      <c r="H1261" s="22" t="n">
        <v>46006</v>
      </c>
      <c r="I1261" s="23" t="n">
        <v>189000</v>
      </c>
      <c r="J1261" s="20" t="inlineStr">
        <is>
          <t>POPULAR VEHICLES AND SERVICES LIMITED</t>
        </is>
      </c>
      <c r="K1261" s="20" t="inlineStr">
        <is>
          <t>Non-Captive</t>
        </is>
      </c>
      <c r="L1261" s="20" t="inlineStr">
        <is>
          <t>Nirmal Cars</t>
        </is>
      </c>
      <c r="M1261" s="23" t="n">
        <v>2542.37</v>
      </c>
      <c r="N1261" s="23" t="n">
        <v>3000</v>
      </c>
      <c r="O1261" s="24">
        <f>IF(AND(ISNUMBER(M1261), ISNUMBER(I1261), I1261&gt;0), M1261/I1261, "")</f>
        <v/>
      </c>
    </row>
    <row r="1262">
      <c r="A1262" s="19" t="inlineStr">
        <is>
          <t>FY27</t>
        </is>
      </c>
      <c r="B1262" s="19" t="inlineStr">
        <is>
          <t>Apr</t>
        </is>
      </c>
      <c r="C1262" s="19" t="inlineStr">
        <is>
          <t>TN</t>
        </is>
      </c>
      <c r="D1262" s="20" t="inlineStr">
        <is>
          <t>TN09BP1119</t>
        </is>
      </c>
      <c r="E1262" s="20" t="inlineStr">
        <is>
          <t>MARUTI SUZUKI</t>
        </is>
      </c>
      <c r="F1262" s="20" t="inlineStr">
        <is>
          <t>A-Star</t>
        </is>
      </c>
      <c r="G1262" s="21" t="n">
        <v>2011</v>
      </c>
      <c r="H1262" s="22" t="n">
        <v>56711</v>
      </c>
      <c r="I1262" s="23" t="n">
        <v>160000</v>
      </c>
      <c r="J1262" s="20" t="inlineStr">
        <is>
          <t>VISHNU CARS PRIVATE LIMITED</t>
        </is>
      </c>
      <c r="K1262" s="20" t="inlineStr">
        <is>
          <t>Non-Captive</t>
        </is>
      </c>
      <c r="L1262" s="20" t="inlineStr">
        <is>
          <t>Nirmal Cars</t>
        </is>
      </c>
      <c r="M1262" s="23" t="n">
        <v>2542.37</v>
      </c>
      <c r="N1262" s="23" t="n">
        <v>3000</v>
      </c>
      <c r="O1262" s="24">
        <f>IF(AND(ISNUMBER(M1262), ISNUMBER(I1262), I1262&gt;0), M1262/I1262, "")</f>
        <v/>
      </c>
    </row>
    <row r="1263">
      <c r="A1263" s="19" t="inlineStr">
        <is>
          <t>FY27</t>
        </is>
      </c>
      <c r="B1263" s="19" t="inlineStr">
        <is>
          <t>Apr</t>
        </is>
      </c>
      <c r="C1263" s="19" t="inlineStr">
        <is>
          <t>TN</t>
        </is>
      </c>
      <c r="D1263" s="20" t="inlineStr">
        <is>
          <t>TN09BM2503</t>
        </is>
      </c>
      <c r="E1263" s="20" t="inlineStr">
        <is>
          <t>FORD</t>
        </is>
      </c>
      <c r="F1263" s="20" t="inlineStr">
        <is>
          <t>Fiesta Classic</t>
        </is>
      </c>
      <c r="G1263" s="21" t="n">
        <v>2011</v>
      </c>
      <c r="H1263" s="22" t="n">
        <v>105851</v>
      </c>
      <c r="I1263" s="23" t="n">
        <v>150000</v>
      </c>
      <c r="J1263" s="20" t="inlineStr">
        <is>
          <t>VISHNU CARS PRIVATE LIMITED</t>
        </is>
      </c>
      <c r="K1263" s="20" t="inlineStr">
        <is>
          <t>Non-Captive</t>
        </is>
      </c>
      <c r="L1263" s="20" t="inlineStr">
        <is>
          <t>Nirmal Cars</t>
        </is>
      </c>
      <c r="M1263" s="23" t="n">
        <v>2542.37</v>
      </c>
      <c r="N1263" s="23" t="n">
        <v>3000</v>
      </c>
      <c r="O1263" s="24">
        <f>IF(AND(ISNUMBER(M1263), ISNUMBER(I1263), I1263&gt;0), M1263/I1263, "")</f>
        <v/>
      </c>
    </row>
    <row r="1264">
      <c r="A1264" s="19" t="inlineStr">
        <is>
          <t>FY27</t>
        </is>
      </c>
      <c r="B1264" s="19" t="inlineStr">
        <is>
          <t>Apr</t>
        </is>
      </c>
      <c r="C1264" s="19" t="inlineStr">
        <is>
          <t>TN</t>
        </is>
      </c>
      <c r="D1264" s="20" t="inlineStr">
        <is>
          <t>TN09BM0018</t>
        </is>
      </c>
      <c r="E1264" s="20" t="inlineStr">
        <is>
          <t>MARUTI SUZUKI</t>
        </is>
      </c>
      <c r="F1264" s="20" t="inlineStr">
        <is>
          <t>Ritz</t>
        </is>
      </c>
      <c r="G1264" s="21" t="n">
        <v>2011</v>
      </c>
      <c r="H1264" s="22" t="n">
        <v>8554</v>
      </c>
      <c r="I1264" s="23" t="n">
        <v>180000</v>
      </c>
      <c r="J1264" s="20" t="inlineStr">
        <is>
          <t>POPULAR VEHICLES AND SERVICES LIMITED</t>
        </is>
      </c>
      <c r="K1264" s="20" t="inlineStr">
        <is>
          <t>Non-Captive</t>
        </is>
      </c>
      <c r="L1264" s="20" t="inlineStr">
        <is>
          <t>Nirmal Cars</t>
        </is>
      </c>
      <c r="M1264" s="23" t="n">
        <v>2542.37</v>
      </c>
      <c r="N1264" s="23" t="n">
        <v>3000</v>
      </c>
      <c r="O1264" s="24">
        <f>IF(AND(ISNUMBER(M1264), ISNUMBER(I1264), I1264&gt;0), M1264/I1264, "")</f>
        <v/>
      </c>
    </row>
    <row r="1265">
      <c r="A1265" s="19" t="inlineStr">
        <is>
          <t>FY27</t>
        </is>
      </c>
      <c r="B1265" s="19" t="inlineStr">
        <is>
          <t>Apr</t>
        </is>
      </c>
      <c r="C1265" s="19" t="inlineStr">
        <is>
          <t>TN</t>
        </is>
      </c>
      <c r="D1265" s="20" t="inlineStr">
        <is>
          <t>TN09BK5864</t>
        </is>
      </c>
      <c r="E1265" s="20" t="inlineStr">
        <is>
          <t>FORD</t>
        </is>
      </c>
      <c r="F1265" s="20" t="inlineStr">
        <is>
          <t>Figo</t>
        </is>
      </c>
      <c r="G1265" s="21" t="n">
        <v>2011</v>
      </c>
      <c r="H1265" s="22" t="n">
        <v>63804</v>
      </c>
      <c r="I1265" s="23" t="n">
        <v>140000</v>
      </c>
      <c r="J1265" s="20" t="inlineStr">
        <is>
          <t>VISHNU CARS PRIVATE LIMITED</t>
        </is>
      </c>
      <c r="K1265" s="20" t="inlineStr">
        <is>
          <t>Non-Captive</t>
        </is>
      </c>
      <c r="L1265" s="20" t="inlineStr">
        <is>
          <t>Santhosh Cars</t>
        </is>
      </c>
      <c r="M1265" s="23" t="n">
        <v>2542.37</v>
      </c>
      <c r="N1265" s="23" t="n">
        <v>3000</v>
      </c>
      <c r="O1265" s="24">
        <f>IF(AND(ISNUMBER(M1265), ISNUMBER(I1265), I1265&gt;0), M1265/I1265, "")</f>
        <v/>
      </c>
    </row>
    <row r="1266">
      <c r="A1266" s="19" t="inlineStr">
        <is>
          <t>FY27</t>
        </is>
      </c>
      <c r="B1266" s="19" t="inlineStr">
        <is>
          <t>Apr</t>
        </is>
      </c>
      <c r="C1266" s="19" t="inlineStr">
        <is>
          <t>TN</t>
        </is>
      </c>
      <c r="D1266" s="20" t="inlineStr">
        <is>
          <t>TN09BH3813</t>
        </is>
      </c>
      <c r="E1266" s="20" t="inlineStr">
        <is>
          <t>MARUTI SUZUKI</t>
        </is>
      </c>
      <c r="F1266" s="20" t="inlineStr">
        <is>
          <t>A-Star</t>
        </is>
      </c>
      <c r="G1266" s="21" t="n">
        <v>2011</v>
      </c>
      <c r="H1266" s="22" t="n">
        <v>71762</v>
      </c>
      <c r="I1266" s="23" t="n">
        <v>110000</v>
      </c>
      <c r="J1266" s="20" t="inlineStr">
        <is>
          <t>POPULAR VEHICLES AND SERVICES LIMITED</t>
        </is>
      </c>
      <c r="K1266" s="20" t="inlineStr">
        <is>
          <t>Non-Captive</t>
        </is>
      </c>
      <c r="L1266" s="20" t="inlineStr">
        <is>
          <t>Santhosh Cars</t>
        </is>
      </c>
      <c r="M1266" s="23" t="n">
        <v>2542.37</v>
      </c>
      <c r="N1266" s="23" t="n">
        <v>3000</v>
      </c>
      <c r="O1266" s="24">
        <f>IF(AND(ISNUMBER(M1266), ISNUMBER(I1266), I1266&gt;0), M1266/I1266, "")</f>
        <v/>
      </c>
    </row>
    <row r="1267">
      <c r="A1267" s="19" t="inlineStr">
        <is>
          <t>FY27</t>
        </is>
      </c>
      <c r="B1267" s="19" t="inlineStr">
        <is>
          <t>Apr</t>
        </is>
      </c>
      <c r="C1267" s="19" t="inlineStr">
        <is>
          <t>TN</t>
        </is>
      </c>
      <c r="D1267" s="20" t="inlineStr">
        <is>
          <t>TN09BE2157</t>
        </is>
      </c>
      <c r="E1267" s="20" t="inlineStr">
        <is>
          <t>HYUNDAI</t>
        </is>
      </c>
      <c r="F1267" s="20" t="inlineStr">
        <is>
          <t>I20</t>
        </is>
      </c>
      <c r="G1267" s="21" t="n">
        <v>2010</v>
      </c>
      <c r="H1267" s="22" t="n">
        <v>16260</v>
      </c>
      <c r="I1267" s="23" t="n">
        <v>200000</v>
      </c>
      <c r="J1267" s="20" t="inlineStr">
        <is>
          <t>POPULAR VEHICLES AND SERVICES LIMITED</t>
        </is>
      </c>
      <c r="K1267" s="20" t="inlineStr">
        <is>
          <t>Non-Captive</t>
        </is>
      </c>
      <c r="L1267" s="20" t="inlineStr">
        <is>
          <t>KB Motor</t>
        </is>
      </c>
      <c r="M1267" s="23" t="n">
        <v>3389.83</v>
      </c>
      <c r="N1267" s="23" t="n">
        <v>4000</v>
      </c>
      <c r="O1267" s="24">
        <f>IF(AND(ISNUMBER(M1267), ISNUMBER(I1267), I1267&gt;0), M1267/I1267, "")</f>
        <v/>
      </c>
    </row>
    <row r="1268">
      <c r="A1268" s="19" t="inlineStr">
        <is>
          <t>FY27</t>
        </is>
      </c>
      <c r="B1268" s="19" t="inlineStr">
        <is>
          <t>Apr</t>
        </is>
      </c>
      <c r="C1268" s="19" t="inlineStr">
        <is>
          <t>TN</t>
        </is>
      </c>
      <c r="D1268" s="20" t="inlineStr">
        <is>
          <t>TN09BD6087</t>
        </is>
      </c>
      <c r="E1268" s="20" t="inlineStr">
        <is>
          <t>HYUNDAI</t>
        </is>
      </c>
      <c r="F1268" s="20" t="inlineStr">
        <is>
          <t>I10</t>
        </is>
      </c>
      <c r="G1268" s="21" t="n">
        <v>2010</v>
      </c>
      <c r="H1268" s="22" t="n">
        <v>66082</v>
      </c>
      <c r="I1268" s="23" t="n">
        <v>150000</v>
      </c>
      <c r="J1268" s="20" t="inlineStr">
        <is>
          <t>POPULAR VEHICLES AND SERVICES LIMITED</t>
        </is>
      </c>
      <c r="K1268" s="20" t="inlineStr">
        <is>
          <t>Non-Captive</t>
        </is>
      </c>
      <c r="L1268" s="20" t="inlineStr">
        <is>
          <t>Santhosh Cars</t>
        </is>
      </c>
      <c r="M1268" s="23" t="n">
        <v>2542.37</v>
      </c>
      <c r="N1268" s="23" t="n">
        <v>3000</v>
      </c>
      <c r="O1268" s="24">
        <f>IF(AND(ISNUMBER(M1268), ISNUMBER(I1268), I1268&gt;0), M1268/I1268, "")</f>
        <v/>
      </c>
    </row>
    <row r="1269">
      <c r="A1269" s="19" t="inlineStr">
        <is>
          <t>FY27</t>
        </is>
      </c>
      <c r="B1269" s="19" t="inlineStr">
        <is>
          <t>Apr</t>
        </is>
      </c>
      <c r="C1269" s="19" t="inlineStr">
        <is>
          <t>TN</t>
        </is>
      </c>
      <c r="D1269" s="20" t="inlineStr">
        <is>
          <t>TN07DD3317</t>
        </is>
      </c>
      <c r="E1269" s="20" t="inlineStr">
        <is>
          <t>HYUNDAI</t>
        </is>
      </c>
      <c r="F1269" s="20" t="inlineStr">
        <is>
          <t>I20</t>
        </is>
      </c>
      <c r="G1269" s="21" t="n">
        <v>2009</v>
      </c>
      <c r="H1269" s="22" t="n">
        <v>107964</v>
      </c>
      <c r="I1269" s="23" t="n">
        <v>200000</v>
      </c>
      <c r="J1269" s="20" t="inlineStr">
        <is>
          <t>POPULAR VEHICLES AND SERVICES LIMITED</t>
        </is>
      </c>
      <c r="K1269" s="20" t="inlineStr">
        <is>
          <t>Non-Captive</t>
        </is>
      </c>
      <c r="L1269" s="20" t="inlineStr">
        <is>
          <t>Santhosh Cars</t>
        </is>
      </c>
      <c r="M1269" s="23" t="n">
        <v>2542.37</v>
      </c>
      <c r="N1269" s="23" t="n">
        <v>3000</v>
      </c>
      <c r="O1269" s="24">
        <f>IF(AND(ISNUMBER(M1269), ISNUMBER(I1269), I1269&gt;0), M1269/I1269, "")</f>
        <v/>
      </c>
    </row>
    <row r="1270">
      <c r="A1270" s="19" t="inlineStr">
        <is>
          <t>FY27</t>
        </is>
      </c>
      <c r="B1270" s="19" t="inlineStr">
        <is>
          <t>Apr</t>
        </is>
      </c>
      <c r="C1270" s="19" t="inlineStr">
        <is>
          <t>TN</t>
        </is>
      </c>
      <c r="D1270" s="20" t="inlineStr">
        <is>
          <t>TN07CU0901</t>
        </is>
      </c>
      <c r="E1270" s="20" t="inlineStr">
        <is>
          <t>FIAT</t>
        </is>
      </c>
      <c r="F1270" s="20" t="inlineStr">
        <is>
          <t>Avventura</t>
        </is>
      </c>
      <c r="G1270" s="21" t="n">
        <v>2014</v>
      </c>
      <c r="H1270" s="22" t="n">
        <v>94475</v>
      </c>
      <c r="I1270" s="23" t="n">
        <v>130000</v>
      </c>
      <c r="J1270" s="20" t="inlineStr">
        <is>
          <t>VISHNU CARS PRIVATE LIMITED</t>
        </is>
      </c>
      <c r="K1270" s="20" t="inlineStr">
        <is>
          <t>Non-Captive</t>
        </is>
      </c>
      <c r="L1270" s="20" t="inlineStr">
        <is>
          <t>Santhosh Cars</t>
        </is>
      </c>
      <c r="M1270" s="23" t="n">
        <v>2542.37</v>
      </c>
      <c r="N1270" s="23" t="n">
        <v>3000</v>
      </c>
      <c r="O1270" s="24">
        <f>IF(AND(ISNUMBER(M1270), ISNUMBER(I1270), I1270&gt;0), M1270/I1270, "")</f>
        <v/>
      </c>
    </row>
    <row r="1271">
      <c r="A1271" s="19" t="inlineStr">
        <is>
          <t>FY27</t>
        </is>
      </c>
      <c r="B1271" s="19" t="inlineStr">
        <is>
          <t>Apr</t>
        </is>
      </c>
      <c r="C1271" s="19" t="inlineStr">
        <is>
          <t>TN</t>
        </is>
      </c>
      <c r="D1271" s="20" t="inlineStr">
        <is>
          <t>TN07BU3334</t>
        </is>
      </c>
      <c r="E1271" s="20" t="inlineStr">
        <is>
          <t>MARUTI SUZUKI</t>
        </is>
      </c>
      <c r="F1271" s="20" t="inlineStr">
        <is>
          <t>Alto</t>
        </is>
      </c>
      <c r="G1271" s="21" t="n">
        <v>2013</v>
      </c>
      <c r="H1271" s="22" t="n">
        <v>27991</v>
      </c>
      <c r="I1271" s="23" t="n">
        <v>165000</v>
      </c>
      <c r="J1271" s="20" t="inlineStr">
        <is>
          <t>ABT LIMITED</t>
        </is>
      </c>
      <c r="K1271" s="20" t="inlineStr">
        <is>
          <t>Non-Captive</t>
        </is>
      </c>
      <c r="L1271" s="20" t="inlineStr">
        <is>
          <t>Santhosh Cars</t>
        </is>
      </c>
      <c r="M1271" s="23" t="n">
        <v>2542.37</v>
      </c>
      <c r="N1271" s="23" t="n">
        <v>3000</v>
      </c>
      <c r="O1271" s="24">
        <f>IF(AND(ISNUMBER(M1271), ISNUMBER(I1271), I1271&gt;0), M1271/I1271, "")</f>
        <v/>
      </c>
    </row>
    <row r="1272">
      <c r="A1272" s="19" t="inlineStr">
        <is>
          <t>FY27</t>
        </is>
      </c>
      <c r="B1272" s="19" t="inlineStr">
        <is>
          <t>Apr</t>
        </is>
      </c>
      <c r="C1272" s="19" t="inlineStr">
        <is>
          <t>TN</t>
        </is>
      </c>
      <c r="D1272" s="20" t="inlineStr">
        <is>
          <t>TN07BP2007</t>
        </is>
      </c>
      <c r="E1272" s="20" t="inlineStr">
        <is>
          <t>MARUTI SUZUKI</t>
        </is>
      </c>
      <c r="F1272" s="20" t="inlineStr">
        <is>
          <t>Ritz</t>
        </is>
      </c>
      <c r="G1272" s="21" t="n">
        <v>2011</v>
      </c>
      <c r="H1272" s="22" t="n">
        <v>76417</v>
      </c>
      <c r="I1272" s="23" t="n">
        <v>160000</v>
      </c>
      <c r="J1272" s="20" t="inlineStr">
        <is>
          <t>ABT LIMITED</t>
        </is>
      </c>
      <c r="K1272" s="20" t="inlineStr">
        <is>
          <t>Non-Captive</t>
        </is>
      </c>
      <c r="L1272" s="20" t="inlineStr">
        <is>
          <t>Santhosh Cars</t>
        </is>
      </c>
      <c r="M1272" s="23" t="n">
        <v>2542.37</v>
      </c>
      <c r="N1272" s="23" t="n">
        <v>3000</v>
      </c>
      <c r="O1272" s="24">
        <f>IF(AND(ISNUMBER(M1272), ISNUMBER(I1272), I1272&gt;0), M1272/I1272, "")</f>
        <v/>
      </c>
    </row>
    <row r="1273">
      <c r="A1273" s="19" t="inlineStr">
        <is>
          <t>FY27</t>
        </is>
      </c>
      <c r="B1273" s="19" t="inlineStr">
        <is>
          <t>Apr</t>
        </is>
      </c>
      <c r="C1273" s="19" t="inlineStr">
        <is>
          <t>TN</t>
        </is>
      </c>
      <c r="D1273" s="20" t="inlineStr">
        <is>
          <t>TN07BM2127</t>
        </is>
      </c>
      <c r="E1273" s="20" t="inlineStr">
        <is>
          <t>VOLKSWAGEN</t>
        </is>
      </c>
      <c r="F1273" s="20" t="inlineStr">
        <is>
          <t>Polo</t>
        </is>
      </c>
      <c r="G1273" s="21" t="n">
        <v>2011</v>
      </c>
      <c r="H1273" s="22" t="n">
        <v>121230</v>
      </c>
      <c r="I1273" s="23" t="n">
        <v>180000</v>
      </c>
      <c r="J1273" s="20" t="inlineStr">
        <is>
          <t>ABT LIMITED</t>
        </is>
      </c>
      <c r="K1273" s="20" t="inlineStr">
        <is>
          <t>Non-Captive</t>
        </is>
      </c>
      <c r="L1273" s="20" t="inlineStr">
        <is>
          <t>Santhosh Cars</t>
        </is>
      </c>
      <c r="M1273" s="23" t="n">
        <v>2542.37</v>
      </c>
      <c r="N1273" s="23" t="n">
        <v>3000</v>
      </c>
      <c r="O1273" s="24">
        <f>IF(AND(ISNUMBER(M1273), ISNUMBER(I1273), I1273&gt;0), M1273/I1273, "")</f>
        <v/>
      </c>
    </row>
    <row r="1274">
      <c r="A1274" s="19" t="inlineStr">
        <is>
          <t>FY27</t>
        </is>
      </c>
      <c r="B1274" s="19" t="inlineStr">
        <is>
          <t>Apr</t>
        </is>
      </c>
      <c r="C1274" s="19" t="inlineStr">
        <is>
          <t>TN</t>
        </is>
      </c>
      <c r="D1274" s="20" t="inlineStr">
        <is>
          <t>TN07BK0554</t>
        </is>
      </c>
      <c r="E1274" s="20" t="inlineStr">
        <is>
          <t>CHEVROLET</t>
        </is>
      </c>
      <c r="F1274" s="20" t="inlineStr">
        <is>
          <t>Spark</t>
        </is>
      </c>
      <c r="G1274" s="21" t="n">
        <v>2010</v>
      </c>
      <c r="H1274" s="22" t="n">
        <v>100440</v>
      </c>
      <c r="I1274" s="23" t="n">
        <v>35000</v>
      </c>
      <c r="J1274" s="20" t="inlineStr">
        <is>
          <t>POPULAR VEHICLES AND SERVICES LIMITED</t>
        </is>
      </c>
      <c r="K1274" s="20" t="inlineStr">
        <is>
          <t>Non-Captive</t>
        </is>
      </c>
      <c r="L1274" s="20" t="inlineStr">
        <is>
          <t>Santhosh Cars</t>
        </is>
      </c>
      <c r="M1274" s="23" t="n">
        <v>2542.37</v>
      </c>
      <c r="N1274" s="23" t="n">
        <v>3000</v>
      </c>
      <c r="O1274" s="24">
        <f>IF(AND(ISNUMBER(M1274), ISNUMBER(I1274), I1274&gt;0), M1274/I1274, "")</f>
        <v/>
      </c>
    </row>
    <row r="1275">
      <c r="A1275" s="19" t="inlineStr">
        <is>
          <t>FY27</t>
        </is>
      </c>
      <c r="B1275" s="19" t="inlineStr">
        <is>
          <t>Apr</t>
        </is>
      </c>
      <c r="C1275" s="19" t="inlineStr">
        <is>
          <t>TN</t>
        </is>
      </c>
      <c r="D1275" s="20" t="inlineStr">
        <is>
          <t>TN07BJ5413</t>
        </is>
      </c>
      <c r="E1275" s="20" t="inlineStr">
        <is>
          <t>MARUTI SUZUKI</t>
        </is>
      </c>
      <c r="F1275" s="20" t="inlineStr">
        <is>
          <t>Swift</t>
        </is>
      </c>
      <c r="G1275" s="21" t="n">
        <v>2010</v>
      </c>
      <c r="H1275" s="22" t="n">
        <v>18765</v>
      </c>
      <c r="I1275" s="23" t="n">
        <v>175000</v>
      </c>
      <c r="J1275" s="20" t="inlineStr">
        <is>
          <t>ABT LIMITED</t>
        </is>
      </c>
      <c r="K1275" s="20" t="inlineStr">
        <is>
          <t>Non-Captive</t>
        </is>
      </c>
      <c r="L1275" s="20" t="inlineStr">
        <is>
          <t>Santhosh Cars</t>
        </is>
      </c>
      <c r="M1275" s="23" t="n">
        <v>2542.37</v>
      </c>
      <c r="N1275" s="23" t="n">
        <v>3000</v>
      </c>
      <c r="O1275" s="24">
        <f>IF(AND(ISNUMBER(M1275), ISNUMBER(I1275), I1275&gt;0), M1275/I1275, "")</f>
        <v/>
      </c>
    </row>
    <row r="1276">
      <c r="A1276" s="19" t="inlineStr">
        <is>
          <t>FY27</t>
        </is>
      </c>
      <c r="B1276" s="19" t="inlineStr">
        <is>
          <t>Apr</t>
        </is>
      </c>
      <c r="C1276" s="19" t="inlineStr">
        <is>
          <t>TN</t>
        </is>
      </c>
      <c r="D1276" s="20" t="inlineStr">
        <is>
          <t>TN07BH5829</t>
        </is>
      </c>
      <c r="E1276" s="20" t="inlineStr">
        <is>
          <t>MARUTI SUZUKI</t>
        </is>
      </c>
      <c r="F1276" s="20" t="inlineStr">
        <is>
          <t>Ritz</t>
        </is>
      </c>
      <c r="G1276" s="21" t="n">
        <v>2010</v>
      </c>
      <c r="H1276" s="22" t="n">
        <v>37909</v>
      </c>
      <c r="I1276" s="23" t="n">
        <v>150000</v>
      </c>
      <c r="J1276" s="20" t="inlineStr">
        <is>
          <t>POPULAR VEHICLES AND SERVICES LIMITED</t>
        </is>
      </c>
      <c r="K1276" s="20" t="inlineStr">
        <is>
          <t>Non-Captive</t>
        </is>
      </c>
      <c r="L1276" s="20" t="inlineStr">
        <is>
          <t>Santhosh Cars</t>
        </is>
      </c>
      <c r="M1276" s="23" t="n">
        <v>2542.37</v>
      </c>
      <c r="N1276" s="23" t="n">
        <v>3000</v>
      </c>
      <c r="O1276" s="24">
        <f>IF(AND(ISNUMBER(M1276), ISNUMBER(I1276), I1276&gt;0), M1276/I1276, "")</f>
        <v/>
      </c>
    </row>
    <row r="1277">
      <c r="A1277" s="19" t="inlineStr">
        <is>
          <t>FY27</t>
        </is>
      </c>
      <c r="B1277" s="19" t="inlineStr">
        <is>
          <t>Apr</t>
        </is>
      </c>
      <c r="C1277" s="19" t="inlineStr">
        <is>
          <t>TN</t>
        </is>
      </c>
      <c r="D1277" s="20" t="inlineStr">
        <is>
          <t>TN07BH1535</t>
        </is>
      </c>
      <c r="E1277" s="20" t="inlineStr">
        <is>
          <t>MARUTI SUZUKI</t>
        </is>
      </c>
      <c r="F1277" s="20" t="inlineStr">
        <is>
          <t>Wagon R</t>
        </is>
      </c>
      <c r="G1277" s="21" t="n">
        <v>2010</v>
      </c>
      <c r="H1277" s="22" t="n">
        <v>130612</v>
      </c>
      <c r="I1277" s="23" t="n">
        <v>140000</v>
      </c>
      <c r="J1277" s="20" t="inlineStr">
        <is>
          <t>ABT LIMITED</t>
        </is>
      </c>
      <c r="K1277" s="20" t="inlineStr">
        <is>
          <t>Non-Captive</t>
        </is>
      </c>
      <c r="L1277" s="20" t="inlineStr">
        <is>
          <t>Santhosh Cars</t>
        </is>
      </c>
      <c r="M1277" s="23" t="n">
        <v>2542.37</v>
      </c>
      <c r="N1277" s="23" t="n">
        <v>3000</v>
      </c>
      <c r="O1277" s="24">
        <f>IF(AND(ISNUMBER(M1277), ISNUMBER(I1277), I1277&gt;0), M1277/I1277, "")</f>
        <v/>
      </c>
    </row>
    <row r="1278">
      <c r="A1278" s="19" t="inlineStr">
        <is>
          <t>FY27</t>
        </is>
      </c>
      <c r="B1278" s="19" t="inlineStr">
        <is>
          <t>Apr</t>
        </is>
      </c>
      <c r="C1278" s="19" t="inlineStr">
        <is>
          <t>TN</t>
        </is>
      </c>
      <c r="D1278" s="20" t="inlineStr">
        <is>
          <t>TN07AW9736</t>
        </is>
      </c>
      <c r="E1278" s="20" t="inlineStr">
        <is>
          <t>HYUNDAI</t>
        </is>
      </c>
      <c r="F1278" s="20" t="inlineStr">
        <is>
          <t>Getz</t>
        </is>
      </c>
      <c r="G1278" s="21" t="n">
        <v>2005</v>
      </c>
      <c r="H1278" s="22" t="n">
        <v>84058</v>
      </c>
      <c r="I1278" s="23" t="n">
        <v>50000</v>
      </c>
      <c r="J1278" s="20" t="inlineStr">
        <is>
          <t>POPULAR VEHICLES AND SERVICES LIMITED</t>
        </is>
      </c>
      <c r="K1278" s="20" t="inlineStr">
        <is>
          <t>Non-Captive</t>
        </is>
      </c>
      <c r="L1278" s="20" t="inlineStr">
        <is>
          <t>Santhosh Cars</t>
        </is>
      </c>
      <c r="M1278" s="23" t="n">
        <v>2542.37</v>
      </c>
      <c r="N1278" s="23" t="n">
        <v>3000</v>
      </c>
      <c r="O1278" s="24">
        <f>IF(AND(ISNUMBER(M1278), ISNUMBER(I1278), I1278&gt;0), M1278/I1278, "")</f>
        <v/>
      </c>
    </row>
    <row r="1279">
      <c r="A1279" s="19" t="inlineStr">
        <is>
          <t>FY27</t>
        </is>
      </c>
      <c r="B1279" s="19" t="inlineStr">
        <is>
          <t>Apr</t>
        </is>
      </c>
      <c r="C1279" s="19" t="inlineStr">
        <is>
          <t>TN</t>
        </is>
      </c>
      <c r="D1279" s="20" t="inlineStr">
        <is>
          <t>TN06M2517</t>
        </is>
      </c>
      <c r="E1279" s="20" t="inlineStr">
        <is>
          <t>MARUTI SUZUKI</t>
        </is>
      </c>
      <c r="F1279" s="20" t="inlineStr">
        <is>
          <t>Alto</t>
        </is>
      </c>
      <c r="G1279" s="21" t="n">
        <v>2014</v>
      </c>
      <c r="H1279" s="22" t="n">
        <v>56999</v>
      </c>
      <c r="I1279" s="23" t="n">
        <v>165000</v>
      </c>
      <c r="J1279" s="20" t="inlineStr">
        <is>
          <t>VISHNU CARS PRIVATE LIMITED</t>
        </is>
      </c>
      <c r="K1279" s="20" t="inlineStr">
        <is>
          <t>Non-Captive</t>
        </is>
      </c>
      <c r="L1279" s="20" t="inlineStr">
        <is>
          <t>Santhosh Cars</t>
        </is>
      </c>
      <c r="M1279" s="23" t="n">
        <v>2542.37</v>
      </c>
      <c r="N1279" s="23" t="n">
        <v>3000</v>
      </c>
      <c r="O1279" s="24">
        <f>IF(AND(ISNUMBER(M1279), ISNUMBER(I1279), I1279&gt;0), M1279/I1279, "")</f>
        <v/>
      </c>
    </row>
    <row r="1280">
      <c r="A1280" s="19" t="inlineStr">
        <is>
          <t>FY27</t>
        </is>
      </c>
      <c r="B1280" s="19" t="inlineStr">
        <is>
          <t>Apr</t>
        </is>
      </c>
      <c r="C1280" s="19" t="inlineStr">
        <is>
          <t>TN</t>
        </is>
      </c>
      <c r="D1280" s="20" t="inlineStr">
        <is>
          <t>TN06E3035</t>
        </is>
      </c>
      <c r="E1280" s="20" t="inlineStr">
        <is>
          <t>MARUTI SUZUKI</t>
        </is>
      </c>
      <c r="F1280" s="20" t="inlineStr">
        <is>
          <t>Ritz</t>
        </is>
      </c>
      <c r="G1280" s="21" t="n">
        <v>2011</v>
      </c>
      <c r="H1280" s="22" t="n">
        <v>5609</v>
      </c>
      <c r="I1280" s="23" t="n">
        <v>160000</v>
      </c>
      <c r="J1280" s="20" t="inlineStr">
        <is>
          <t>POPULAR VEHICLES AND SERVICES LIMITED</t>
        </is>
      </c>
      <c r="K1280" s="20" t="inlineStr">
        <is>
          <t>Non-Captive</t>
        </is>
      </c>
      <c r="L1280" s="20" t="inlineStr">
        <is>
          <t>Santhosh Cars</t>
        </is>
      </c>
      <c r="M1280" s="23" t="n">
        <v>2542.37</v>
      </c>
      <c r="N1280" s="23" t="n">
        <v>3000</v>
      </c>
      <c r="O1280" s="24">
        <f>IF(AND(ISNUMBER(M1280), ISNUMBER(I1280), I1280&gt;0), M1280/I1280, "")</f>
        <v/>
      </c>
    </row>
    <row r="1281">
      <c r="A1281" s="19" t="inlineStr">
        <is>
          <t>FY27</t>
        </is>
      </c>
      <c r="B1281" s="19" t="inlineStr">
        <is>
          <t>Apr</t>
        </is>
      </c>
      <c r="C1281" s="19" t="inlineStr">
        <is>
          <t>TN</t>
        </is>
      </c>
      <c r="D1281" s="20" t="inlineStr">
        <is>
          <t>TN06E0508</t>
        </is>
      </c>
      <c r="E1281" s="20" t="inlineStr">
        <is>
          <t>VOLKSWAGEN</t>
        </is>
      </c>
      <c r="F1281" s="20" t="inlineStr">
        <is>
          <t>Vento</t>
        </is>
      </c>
      <c r="G1281" s="21" t="n">
        <v>2011</v>
      </c>
      <c r="H1281" s="22" t="n">
        <v>93131</v>
      </c>
      <c r="I1281" s="23" t="n">
        <v>150000</v>
      </c>
      <c r="J1281" s="20" t="inlineStr">
        <is>
          <t>POPULAR VEHICLES AND SERVICES LIMITED</t>
        </is>
      </c>
      <c r="K1281" s="20" t="inlineStr">
        <is>
          <t>Non-Captive</t>
        </is>
      </c>
      <c r="L1281" s="20" t="inlineStr">
        <is>
          <t>Santhosh Cars</t>
        </is>
      </c>
      <c r="M1281" s="23" t="n">
        <v>2542.37</v>
      </c>
      <c r="N1281" s="23" t="n">
        <v>3000</v>
      </c>
      <c r="O1281" s="24">
        <f>IF(AND(ISNUMBER(M1281), ISNUMBER(I1281), I1281&gt;0), M1281/I1281, "")</f>
        <v/>
      </c>
    </row>
    <row r="1282">
      <c r="A1282" s="19" t="inlineStr">
        <is>
          <t>FY27</t>
        </is>
      </c>
      <c r="B1282" s="19" t="inlineStr">
        <is>
          <t>Apr</t>
        </is>
      </c>
      <c r="C1282" s="19" t="inlineStr">
        <is>
          <t>TN</t>
        </is>
      </c>
      <c r="D1282" s="20" t="inlineStr">
        <is>
          <t>TN06D7066</t>
        </is>
      </c>
      <c r="E1282" s="20" t="inlineStr">
        <is>
          <t>MARUTI SUZUKI</t>
        </is>
      </c>
      <c r="F1282" s="20" t="inlineStr">
        <is>
          <t>Ritz</t>
        </is>
      </c>
      <c r="G1282" s="21" t="n">
        <v>2011</v>
      </c>
      <c r="H1282" s="22" t="n">
        <v>99999</v>
      </c>
      <c r="I1282" s="23" t="n">
        <v>170000</v>
      </c>
      <c r="J1282" s="20" t="inlineStr">
        <is>
          <t>ABT LIMITED</t>
        </is>
      </c>
      <c r="K1282" s="20" t="inlineStr">
        <is>
          <t>Non-Captive</t>
        </is>
      </c>
      <c r="L1282" s="20" t="inlineStr">
        <is>
          <t>Santhosh Cars</t>
        </is>
      </c>
      <c r="M1282" s="23" t="n">
        <v>2542.37</v>
      </c>
      <c r="N1282" s="23" t="n">
        <v>3000</v>
      </c>
      <c r="O1282" s="24">
        <f>IF(AND(ISNUMBER(M1282), ISNUMBER(I1282), I1282&gt;0), M1282/I1282, "")</f>
        <v/>
      </c>
    </row>
    <row r="1283">
      <c r="A1283" s="19" t="inlineStr">
        <is>
          <t>FY27</t>
        </is>
      </c>
      <c r="B1283" s="19" t="inlineStr">
        <is>
          <t>Apr</t>
        </is>
      </c>
      <c r="C1283" s="19" t="inlineStr">
        <is>
          <t>TN</t>
        </is>
      </c>
      <c r="D1283" s="20" t="inlineStr">
        <is>
          <t>TN05AR6959</t>
        </is>
      </c>
      <c r="E1283" s="20" t="inlineStr">
        <is>
          <t>MARUTI SUZUKI</t>
        </is>
      </c>
      <c r="F1283" s="20" t="inlineStr">
        <is>
          <t>Alto</t>
        </is>
      </c>
      <c r="G1283" s="21" t="n">
        <v>2012</v>
      </c>
      <c r="H1283" s="22" t="n">
        <v>73296</v>
      </c>
      <c r="I1283" s="23" t="n">
        <v>130000</v>
      </c>
      <c r="J1283" s="20" t="inlineStr">
        <is>
          <t>VISHNU CARS PRIVATE LIMITED</t>
        </is>
      </c>
      <c r="K1283" s="20" t="inlineStr">
        <is>
          <t>Non-Captive</t>
        </is>
      </c>
      <c r="L1283" s="20" t="inlineStr">
        <is>
          <t>Santhosh Cars</t>
        </is>
      </c>
      <c r="M1283" s="23" t="n">
        <v>2542.37</v>
      </c>
      <c r="N1283" s="23" t="n">
        <v>3000</v>
      </c>
      <c r="O1283" s="24">
        <f>IF(AND(ISNUMBER(M1283), ISNUMBER(I1283), I1283&gt;0), M1283/I1283, "")</f>
        <v/>
      </c>
    </row>
    <row r="1284">
      <c r="A1284" s="19" t="inlineStr">
        <is>
          <t>FY27</t>
        </is>
      </c>
      <c r="B1284" s="19" t="inlineStr">
        <is>
          <t>Apr</t>
        </is>
      </c>
      <c r="C1284" s="19" t="inlineStr">
        <is>
          <t>TN</t>
        </is>
      </c>
      <c r="D1284" s="20" t="inlineStr">
        <is>
          <t>TN05AQ7807</t>
        </is>
      </c>
      <c r="E1284" s="20" t="inlineStr">
        <is>
          <t>MARUTI SUZUKI</t>
        </is>
      </c>
      <c r="F1284" s="20" t="inlineStr">
        <is>
          <t>Alto K10</t>
        </is>
      </c>
      <c r="G1284" s="21" t="n">
        <v>2012</v>
      </c>
      <c r="H1284" s="22" t="n">
        <v>70348</v>
      </c>
      <c r="I1284" s="23" t="n">
        <v>130000</v>
      </c>
      <c r="J1284" s="20" t="inlineStr">
        <is>
          <t>POPULAR VEHICLES AND SERVICES LIMITED</t>
        </is>
      </c>
      <c r="K1284" s="20" t="inlineStr">
        <is>
          <t>Non-Captive</t>
        </is>
      </c>
      <c r="L1284" s="20" t="inlineStr">
        <is>
          <t>Santhosh Cars</t>
        </is>
      </c>
      <c r="M1284" s="23" t="n">
        <v>2542.37</v>
      </c>
      <c r="N1284" s="23" t="n">
        <v>3000</v>
      </c>
      <c r="O1284" s="24">
        <f>IF(AND(ISNUMBER(M1284), ISNUMBER(I1284), I1284&gt;0), M1284/I1284, "")</f>
        <v/>
      </c>
    </row>
    <row r="1285">
      <c r="A1285" s="19" t="inlineStr">
        <is>
          <t>FY27</t>
        </is>
      </c>
      <c r="B1285" s="19" t="inlineStr">
        <is>
          <t>Apr</t>
        </is>
      </c>
      <c r="C1285" s="19" t="inlineStr">
        <is>
          <t>TN</t>
        </is>
      </c>
      <c r="D1285" s="20" t="inlineStr">
        <is>
          <t>TN05AK6792</t>
        </is>
      </c>
      <c r="E1285" s="20" t="inlineStr">
        <is>
          <t>MARUTI SUZUKI</t>
        </is>
      </c>
      <c r="F1285" s="20" t="inlineStr">
        <is>
          <t>Ritz</t>
        </is>
      </c>
      <c r="G1285" s="21" t="n">
        <v>2011</v>
      </c>
      <c r="H1285" s="22" t="n">
        <v>210033</v>
      </c>
      <c r="I1285" s="23" t="n">
        <v>140000</v>
      </c>
      <c r="J1285" s="20" t="inlineStr">
        <is>
          <t>ABT LIMITED</t>
        </is>
      </c>
      <c r="K1285" s="20" t="inlineStr">
        <is>
          <t>Non-Captive</t>
        </is>
      </c>
      <c r="L1285" s="20" t="inlineStr">
        <is>
          <t>Santhosh Cars</t>
        </is>
      </c>
      <c r="M1285" s="23" t="n">
        <v>2542.37</v>
      </c>
      <c r="N1285" s="23" t="n">
        <v>3000</v>
      </c>
      <c r="O1285" s="24">
        <f>IF(AND(ISNUMBER(M1285), ISNUMBER(I1285), I1285&gt;0), M1285/I1285, "")</f>
        <v/>
      </c>
    </row>
    <row r="1286">
      <c r="A1286" s="19" t="inlineStr">
        <is>
          <t>FY27</t>
        </is>
      </c>
      <c r="B1286" s="19" t="inlineStr">
        <is>
          <t>Apr</t>
        </is>
      </c>
      <c r="C1286" s="19" t="inlineStr">
        <is>
          <t>TN</t>
        </is>
      </c>
      <c r="D1286" s="20" t="inlineStr">
        <is>
          <t>TN05AF4762</t>
        </is>
      </c>
      <c r="E1286" s="20" t="inlineStr">
        <is>
          <t>HYUNDAI</t>
        </is>
      </c>
      <c r="F1286" s="20" t="inlineStr">
        <is>
          <t>I20</t>
        </is>
      </c>
      <c r="G1286" s="21" t="n">
        <v>2010</v>
      </c>
      <c r="H1286" s="22" t="n">
        <v>99434</v>
      </c>
      <c r="I1286" s="23" t="n">
        <v>100000</v>
      </c>
      <c r="J1286" s="20" t="inlineStr">
        <is>
          <t>POPULAR VEHICLES AND SERVICES LIMITED</t>
        </is>
      </c>
      <c r="K1286" s="20" t="inlineStr">
        <is>
          <t>Non-Captive</t>
        </is>
      </c>
      <c r="L1286" s="20" t="inlineStr">
        <is>
          <t>Santhosh Cars</t>
        </is>
      </c>
      <c r="M1286" s="23" t="n">
        <v>2542.37</v>
      </c>
      <c r="N1286" s="23" t="n">
        <v>3000</v>
      </c>
      <c r="O1286" s="24">
        <f>IF(AND(ISNUMBER(M1286), ISNUMBER(I1286), I1286&gt;0), M1286/I1286, "")</f>
        <v/>
      </c>
    </row>
    <row r="1287">
      <c r="A1287" s="19" t="inlineStr">
        <is>
          <t>FY27</t>
        </is>
      </c>
      <c r="B1287" s="19" t="inlineStr">
        <is>
          <t>Apr</t>
        </is>
      </c>
      <c r="C1287" s="19" t="inlineStr">
        <is>
          <t>TN</t>
        </is>
      </c>
      <c r="D1287" s="20" t="inlineStr">
        <is>
          <t>TN05AD6610</t>
        </is>
      </c>
      <c r="E1287" s="20" t="inlineStr">
        <is>
          <t>HYUNDAI</t>
        </is>
      </c>
      <c r="F1287" s="20" t="inlineStr">
        <is>
          <t>I20</t>
        </is>
      </c>
      <c r="G1287" s="21" t="n">
        <v>2010</v>
      </c>
      <c r="H1287" s="22" t="n">
        <v>99512</v>
      </c>
      <c r="I1287" s="23" t="n">
        <v>200000</v>
      </c>
      <c r="J1287" s="20" t="inlineStr">
        <is>
          <t>POPULAR VEHICLES AND SERVICES LIMITED</t>
        </is>
      </c>
      <c r="K1287" s="20" t="inlineStr">
        <is>
          <t>Non-Captive</t>
        </is>
      </c>
      <c r="L1287" s="20" t="inlineStr">
        <is>
          <t>Santhosh Cars</t>
        </is>
      </c>
      <c r="M1287" s="23" t="n">
        <v>2542.37</v>
      </c>
      <c r="N1287" s="23" t="n">
        <v>3000</v>
      </c>
      <c r="O1287" s="24">
        <f>IF(AND(ISNUMBER(M1287), ISNUMBER(I1287), I1287&gt;0), M1287/I1287, "")</f>
        <v/>
      </c>
    </row>
    <row r="1288">
      <c r="A1288" s="19" t="inlineStr">
        <is>
          <t>FY27</t>
        </is>
      </c>
      <c r="B1288" s="19" t="inlineStr">
        <is>
          <t>Apr</t>
        </is>
      </c>
      <c r="C1288" s="19" t="inlineStr">
        <is>
          <t>TN</t>
        </is>
      </c>
      <c r="D1288" s="20" t="inlineStr">
        <is>
          <t>TN05AC2849</t>
        </is>
      </c>
      <c r="E1288" s="20" t="inlineStr">
        <is>
          <t>MARUTI SUZUKI</t>
        </is>
      </c>
      <c r="F1288" s="20" t="inlineStr">
        <is>
          <t>Wagon R</t>
        </is>
      </c>
      <c r="G1288" s="21" t="n">
        <v>2009</v>
      </c>
      <c r="H1288" s="22" t="n">
        <v>55018</v>
      </c>
      <c r="I1288" s="23" t="n">
        <v>110000</v>
      </c>
      <c r="J1288" s="20" t="inlineStr">
        <is>
          <t>POPULAR VEHICLES AND SERVICES LIMITED</t>
        </is>
      </c>
      <c r="K1288" s="20" t="inlineStr">
        <is>
          <t>Non-Captive</t>
        </is>
      </c>
      <c r="L1288" s="20" t="inlineStr">
        <is>
          <t>Santhosh Cars</t>
        </is>
      </c>
      <c r="M1288" s="23" t="n">
        <v>2542.37</v>
      </c>
      <c r="N1288" s="23" t="n">
        <v>3000</v>
      </c>
      <c r="O1288" s="24">
        <f>IF(AND(ISNUMBER(M1288), ISNUMBER(I1288), I1288&gt;0), M1288/I1288, "")</f>
        <v/>
      </c>
    </row>
    <row r="1289">
      <c r="A1289" s="19" t="inlineStr">
        <is>
          <t>FY27</t>
        </is>
      </c>
      <c r="B1289" s="19" t="inlineStr">
        <is>
          <t>Apr</t>
        </is>
      </c>
      <c r="C1289" s="19" t="inlineStr">
        <is>
          <t>TN</t>
        </is>
      </c>
      <c r="D1289" s="20" t="inlineStr">
        <is>
          <t>TN05AA5712</t>
        </is>
      </c>
      <c r="E1289" s="20" t="inlineStr">
        <is>
          <t>CHEVROLET</t>
        </is>
      </c>
      <c r="F1289" s="20" t="inlineStr">
        <is>
          <t>Spark</t>
        </is>
      </c>
      <c r="G1289" s="21" t="n">
        <v>2009</v>
      </c>
      <c r="H1289" s="22" t="n">
        <v>130716</v>
      </c>
      <c r="I1289" s="23" t="n">
        <v>40000</v>
      </c>
      <c r="J1289" s="20" t="inlineStr">
        <is>
          <t>VISHNU CARS PRIVATE LIMITED</t>
        </is>
      </c>
      <c r="K1289" s="20" t="inlineStr">
        <is>
          <t>Non-Captive</t>
        </is>
      </c>
      <c r="L1289" s="20" t="inlineStr">
        <is>
          <t>Santhosh Cars</t>
        </is>
      </c>
      <c r="M1289" s="23" t="n">
        <v>2542.37</v>
      </c>
      <c r="N1289" s="23" t="n">
        <v>3000</v>
      </c>
      <c r="O1289" s="24">
        <f>IF(AND(ISNUMBER(M1289), ISNUMBER(I1289), I1289&gt;0), M1289/I1289, "")</f>
        <v/>
      </c>
    </row>
    <row r="1290">
      <c r="A1290" s="19" t="inlineStr">
        <is>
          <t>FY27</t>
        </is>
      </c>
      <c r="B1290" s="19" t="inlineStr">
        <is>
          <t>Apr</t>
        </is>
      </c>
      <c r="C1290" s="19" t="inlineStr">
        <is>
          <t>TN</t>
        </is>
      </c>
      <c r="D1290" s="20" t="inlineStr">
        <is>
          <t>TN04AM1668</t>
        </is>
      </c>
      <c r="E1290" s="20" t="inlineStr">
        <is>
          <t>FIAT</t>
        </is>
      </c>
      <c r="F1290" s="20" t="inlineStr">
        <is>
          <t>Punto</t>
        </is>
      </c>
      <c r="G1290" s="21" t="n">
        <v>2013</v>
      </c>
      <c r="H1290" s="22" t="n">
        <v>152381</v>
      </c>
      <c r="I1290" s="23" t="n">
        <v>150000</v>
      </c>
      <c r="J1290" s="20" t="inlineStr">
        <is>
          <t>VISHNU CARS PRIVATE LIMITED</t>
        </is>
      </c>
      <c r="K1290" s="20" t="inlineStr">
        <is>
          <t>Non-Captive</t>
        </is>
      </c>
      <c r="L1290" s="20" t="inlineStr">
        <is>
          <t>Santhosh Cars</t>
        </is>
      </c>
      <c r="M1290" s="23" t="n">
        <v>2542.37</v>
      </c>
      <c r="N1290" s="23" t="n">
        <v>3000</v>
      </c>
      <c r="O1290" s="24">
        <f>IF(AND(ISNUMBER(M1290), ISNUMBER(I1290), I1290&gt;0), M1290/I1290, "")</f>
        <v/>
      </c>
    </row>
    <row r="1291">
      <c r="A1291" s="19" t="inlineStr">
        <is>
          <t>FY27</t>
        </is>
      </c>
      <c r="B1291" s="19" t="inlineStr">
        <is>
          <t>Apr</t>
        </is>
      </c>
      <c r="C1291" s="19" t="inlineStr">
        <is>
          <t>TN</t>
        </is>
      </c>
      <c r="D1291" s="20" t="inlineStr">
        <is>
          <t>TN04AL7849</t>
        </is>
      </c>
      <c r="E1291" s="20" t="inlineStr">
        <is>
          <t>MARUTI SUZUKI</t>
        </is>
      </c>
      <c r="F1291" s="20" t="inlineStr">
        <is>
          <t>Alto</t>
        </is>
      </c>
      <c r="G1291" s="21" t="n">
        <v>2013</v>
      </c>
      <c r="H1291" s="22" t="n">
        <v>34955</v>
      </c>
      <c r="I1291" s="23" t="n">
        <v>135000</v>
      </c>
      <c r="J1291" s="20" t="inlineStr">
        <is>
          <t>POPULAR VEHICLES AND SERVICES LIMITED</t>
        </is>
      </c>
      <c r="K1291" s="20" t="inlineStr">
        <is>
          <t>Non-Captive</t>
        </is>
      </c>
      <c r="L1291" s="20" t="inlineStr">
        <is>
          <t>Santhosh Cars</t>
        </is>
      </c>
      <c r="M1291" s="23" t="n">
        <v>2542.37</v>
      </c>
      <c r="N1291" s="23" t="n">
        <v>3000</v>
      </c>
      <c r="O1291" s="24">
        <f>IF(AND(ISNUMBER(M1291), ISNUMBER(I1291), I1291&gt;0), M1291/I1291, "")</f>
        <v/>
      </c>
    </row>
    <row r="1292">
      <c r="A1292" s="19" t="inlineStr">
        <is>
          <t>FY27</t>
        </is>
      </c>
      <c r="B1292" s="19" t="inlineStr">
        <is>
          <t>Apr</t>
        </is>
      </c>
      <c r="C1292" s="19" t="inlineStr">
        <is>
          <t>TN</t>
        </is>
      </c>
      <c r="D1292" s="20" t="inlineStr">
        <is>
          <t>TN04AK5796</t>
        </is>
      </c>
      <c r="E1292" s="20" t="inlineStr">
        <is>
          <t>MARUTI SUZUKI</t>
        </is>
      </c>
      <c r="F1292" s="20" t="inlineStr">
        <is>
          <t>Wagon R</t>
        </is>
      </c>
      <c r="G1292" s="21" t="n">
        <v>2012</v>
      </c>
      <c r="H1292" s="22" t="n">
        <v>43011</v>
      </c>
      <c r="I1292" s="23" t="n">
        <v>210000</v>
      </c>
      <c r="J1292" s="20" t="inlineStr">
        <is>
          <t>ABT LIMITED</t>
        </is>
      </c>
      <c r="K1292" s="20" t="inlineStr">
        <is>
          <t>Non-Captive</t>
        </is>
      </c>
      <c r="L1292" s="20" t="inlineStr">
        <is>
          <t>Ashok Cars</t>
        </is>
      </c>
      <c r="M1292" s="23" t="n">
        <v>3389.83</v>
      </c>
      <c r="N1292" s="23" t="n">
        <v>4000</v>
      </c>
      <c r="O1292" s="24">
        <f>IF(AND(ISNUMBER(M1292), ISNUMBER(I1292), I1292&gt;0), M1292/I1292, "")</f>
        <v/>
      </c>
    </row>
    <row r="1293">
      <c r="A1293" s="19" t="inlineStr">
        <is>
          <t>FY27</t>
        </is>
      </c>
      <c r="B1293" s="19" t="inlineStr">
        <is>
          <t>Apr</t>
        </is>
      </c>
      <c r="C1293" s="19" t="inlineStr">
        <is>
          <t>TN</t>
        </is>
      </c>
      <c r="D1293" s="20" t="inlineStr">
        <is>
          <t>TN03B4912</t>
        </is>
      </c>
      <c r="E1293" s="20" t="inlineStr">
        <is>
          <t>MARUTI SUZUKI</t>
        </is>
      </c>
      <c r="F1293" s="20" t="inlineStr">
        <is>
          <t>Alto</t>
        </is>
      </c>
      <c r="G1293" s="21" t="n">
        <v>2009</v>
      </c>
      <c r="H1293" s="22" t="n">
        <v>65478</v>
      </c>
      <c r="I1293" s="23" t="n">
        <v>90000</v>
      </c>
      <c r="J1293" s="20" t="inlineStr">
        <is>
          <t>ABT LIMITED</t>
        </is>
      </c>
      <c r="K1293" s="20" t="inlineStr">
        <is>
          <t>Non-Captive</t>
        </is>
      </c>
      <c r="L1293" s="20" t="inlineStr">
        <is>
          <t>Santhosh Cars</t>
        </is>
      </c>
      <c r="M1293" s="23" t="n">
        <v>2542.37</v>
      </c>
      <c r="N1293" s="23" t="n">
        <v>3000</v>
      </c>
      <c r="O1293" s="24">
        <f>IF(AND(ISNUMBER(M1293), ISNUMBER(I1293), I1293&gt;0), M1293/I1293, "")</f>
        <v/>
      </c>
    </row>
    <row r="1294">
      <c r="A1294" s="19" t="inlineStr">
        <is>
          <t>FY27</t>
        </is>
      </c>
      <c r="B1294" s="19" t="inlineStr">
        <is>
          <t>Apr</t>
        </is>
      </c>
      <c r="C1294" s="19" t="inlineStr">
        <is>
          <t>TN</t>
        </is>
      </c>
      <c r="D1294" s="20" t="inlineStr">
        <is>
          <t>TN02V1183</t>
        </is>
      </c>
      <c r="E1294" s="20" t="inlineStr">
        <is>
          <t>MARUTI SUZUKI</t>
        </is>
      </c>
      <c r="F1294" s="20" t="inlineStr">
        <is>
          <t>Wagon R</t>
        </is>
      </c>
      <c r="G1294" s="21" t="n">
        <v>2005</v>
      </c>
      <c r="H1294" s="22" t="n">
        <v>73607</v>
      </c>
      <c r="I1294" s="23" t="n">
        <v>60000</v>
      </c>
      <c r="J1294" s="20" t="inlineStr">
        <is>
          <t>POPULAR VEHICLES AND SERVICES LIMITED</t>
        </is>
      </c>
      <c r="K1294" s="20" t="inlineStr">
        <is>
          <t>Non-Captive</t>
        </is>
      </c>
      <c r="L1294" s="20" t="inlineStr">
        <is>
          <t>Santhosh Cars</t>
        </is>
      </c>
      <c r="M1294" s="23" t="n">
        <v>2542.37</v>
      </c>
      <c r="N1294" s="23" t="n">
        <v>3000</v>
      </c>
      <c r="O1294" s="24">
        <f>IF(AND(ISNUMBER(M1294), ISNUMBER(I1294), I1294&gt;0), M1294/I1294, "")</f>
        <v/>
      </c>
    </row>
    <row r="1295">
      <c r="A1295" s="19" t="inlineStr">
        <is>
          <t>FY27</t>
        </is>
      </c>
      <c r="B1295" s="19" t="inlineStr">
        <is>
          <t>Apr</t>
        </is>
      </c>
      <c r="C1295" s="19" t="inlineStr">
        <is>
          <t>TN</t>
        </is>
      </c>
      <c r="D1295" s="20" t="inlineStr">
        <is>
          <t>TN02BM0870</t>
        </is>
      </c>
      <c r="E1295" s="20" t="inlineStr">
        <is>
          <t>MARUTI SUZUKI</t>
        </is>
      </c>
      <c r="F1295" s="20" t="inlineStr">
        <is>
          <t>Alto</t>
        </is>
      </c>
      <c r="G1295" s="21" t="n">
        <v>2018</v>
      </c>
      <c r="H1295" s="22" t="n">
        <v>24754</v>
      </c>
      <c r="I1295" s="23" t="n">
        <v>210000</v>
      </c>
      <c r="J1295" s="20" t="inlineStr">
        <is>
          <t>POPULAR VEHICLES AND SERVICES LIMITED</t>
        </is>
      </c>
      <c r="K1295" s="20" t="inlineStr">
        <is>
          <t>Non-Captive</t>
        </is>
      </c>
      <c r="L1295" s="20" t="inlineStr">
        <is>
          <t>Thiya Cars</t>
        </is>
      </c>
      <c r="M1295" s="23" t="n">
        <v>3389.83</v>
      </c>
      <c r="N1295" s="23" t="n">
        <v>4000</v>
      </c>
      <c r="O1295" s="24">
        <f>IF(AND(ISNUMBER(M1295), ISNUMBER(I1295), I1295&gt;0), M1295/I1295, "")</f>
        <v/>
      </c>
    </row>
    <row r="1296">
      <c r="A1296" s="19" t="inlineStr">
        <is>
          <t>FY27</t>
        </is>
      </c>
      <c r="B1296" s="19" t="inlineStr">
        <is>
          <t>Apr</t>
        </is>
      </c>
      <c r="C1296" s="19" t="inlineStr">
        <is>
          <t>TN</t>
        </is>
      </c>
      <c r="D1296" s="20" t="inlineStr">
        <is>
          <t>TN02BB9913</t>
        </is>
      </c>
      <c r="E1296" s="20" t="inlineStr">
        <is>
          <t>SKODA</t>
        </is>
      </c>
      <c r="F1296" s="20" t="inlineStr">
        <is>
          <t>Rapid</t>
        </is>
      </c>
      <c r="G1296" s="21" t="n">
        <v>2015</v>
      </c>
      <c r="H1296" s="22" t="n">
        <v>178045</v>
      </c>
      <c r="I1296" s="23" t="n">
        <v>200000</v>
      </c>
      <c r="J1296" s="20" t="inlineStr">
        <is>
          <t>ABT LIMITED</t>
        </is>
      </c>
      <c r="K1296" s="20" t="inlineStr">
        <is>
          <t>Non-Captive</t>
        </is>
      </c>
      <c r="L1296" s="20" t="inlineStr">
        <is>
          <t>Santhosh Cars</t>
        </is>
      </c>
      <c r="M1296" s="23" t="n">
        <v>2542.37</v>
      </c>
      <c r="N1296" s="23" t="n">
        <v>3000</v>
      </c>
      <c r="O1296" s="24">
        <f>IF(AND(ISNUMBER(M1296), ISNUMBER(I1296), I1296&gt;0), M1296/I1296, "")</f>
        <v/>
      </c>
    </row>
    <row r="1297">
      <c r="A1297" s="19" t="inlineStr">
        <is>
          <t>FY27</t>
        </is>
      </c>
      <c r="B1297" s="19" t="inlineStr">
        <is>
          <t>Apr</t>
        </is>
      </c>
      <c r="C1297" s="19" t="inlineStr">
        <is>
          <t>TN</t>
        </is>
      </c>
      <c r="D1297" s="20" t="inlineStr">
        <is>
          <t>TN02AY5053</t>
        </is>
      </c>
      <c r="E1297" s="20" t="inlineStr">
        <is>
          <t>MARUTI SUZUKI</t>
        </is>
      </c>
      <c r="F1297" s="20" t="inlineStr">
        <is>
          <t>Alto</t>
        </is>
      </c>
      <c r="G1297" s="21" t="n">
        <v>2013</v>
      </c>
      <c r="H1297" s="22" t="n">
        <v>67616</v>
      </c>
      <c r="I1297" s="23" t="n">
        <v>150000</v>
      </c>
      <c r="J1297" s="20" t="inlineStr">
        <is>
          <t>POPULAR VEHICLES AND SERVICES LIMITED</t>
        </is>
      </c>
      <c r="K1297" s="20" t="inlineStr">
        <is>
          <t>Non-Captive</t>
        </is>
      </c>
      <c r="L1297" s="20" t="inlineStr">
        <is>
          <t>Santhosh Cars</t>
        </is>
      </c>
      <c r="M1297" s="23" t="n">
        <v>2542.37</v>
      </c>
      <c r="N1297" s="23" t="n">
        <v>3000</v>
      </c>
      <c r="O1297" s="24">
        <f>IF(AND(ISNUMBER(M1297), ISNUMBER(I1297), I1297&gt;0), M1297/I1297, "")</f>
        <v/>
      </c>
    </row>
    <row r="1298">
      <c r="A1298" s="19" t="inlineStr">
        <is>
          <t>FY27</t>
        </is>
      </c>
      <c r="B1298" s="19" t="inlineStr">
        <is>
          <t>Apr</t>
        </is>
      </c>
      <c r="C1298" s="19" t="inlineStr">
        <is>
          <t>TN</t>
        </is>
      </c>
      <c r="D1298" s="20" t="inlineStr">
        <is>
          <t>TN02AX4167</t>
        </is>
      </c>
      <c r="E1298" s="20" t="inlineStr">
        <is>
          <t>MARUTI SUZUKI</t>
        </is>
      </c>
      <c r="F1298" s="20" t="inlineStr">
        <is>
          <t>Alto</t>
        </is>
      </c>
      <c r="G1298" s="21" t="n">
        <v>2013</v>
      </c>
      <c r="H1298" s="22" t="n">
        <v>32620</v>
      </c>
      <c r="I1298" s="23" t="n">
        <v>150000</v>
      </c>
      <c r="J1298" s="20" t="inlineStr">
        <is>
          <t>POPULAR VEHICLES AND SERVICES LIMITED</t>
        </is>
      </c>
      <c r="K1298" s="20" t="inlineStr">
        <is>
          <t>Non-Captive</t>
        </is>
      </c>
      <c r="L1298" s="20" t="inlineStr">
        <is>
          <t>Santhosh Cars</t>
        </is>
      </c>
      <c r="M1298" s="23" t="n">
        <v>2542.37</v>
      </c>
      <c r="N1298" s="23" t="n">
        <v>3000</v>
      </c>
      <c r="O1298" s="24">
        <f>IF(AND(ISNUMBER(M1298), ISNUMBER(I1298), I1298&gt;0), M1298/I1298, "")</f>
        <v/>
      </c>
    </row>
    <row r="1299">
      <c r="A1299" s="19" t="inlineStr">
        <is>
          <t>FY27</t>
        </is>
      </c>
      <c r="B1299" s="19" t="inlineStr">
        <is>
          <t>Apr</t>
        </is>
      </c>
      <c r="C1299" s="19" t="inlineStr">
        <is>
          <t>TN</t>
        </is>
      </c>
      <c r="D1299" s="20" t="inlineStr">
        <is>
          <t>TN02AR4407</t>
        </is>
      </c>
      <c r="E1299" s="20" t="inlineStr">
        <is>
          <t>MARUTI SUZUKI</t>
        </is>
      </c>
      <c r="F1299" s="20" t="inlineStr">
        <is>
          <t>Wagon R</t>
        </is>
      </c>
      <c r="G1299" s="21" t="n">
        <v>2011</v>
      </c>
      <c r="H1299" s="22" t="n">
        <v>56229</v>
      </c>
      <c r="I1299" s="23" t="n">
        <v>150000</v>
      </c>
      <c r="J1299" s="20" t="inlineStr">
        <is>
          <t>ABT LIMITED</t>
        </is>
      </c>
      <c r="K1299" s="20" t="inlineStr">
        <is>
          <t>Non-Captive</t>
        </is>
      </c>
      <c r="L1299" s="20" t="inlineStr">
        <is>
          <t>Santhosh Cars</t>
        </is>
      </c>
      <c r="M1299" s="23" t="n">
        <v>2542.37</v>
      </c>
      <c r="N1299" s="23" t="n">
        <v>3000</v>
      </c>
      <c r="O1299" s="24">
        <f>IF(AND(ISNUMBER(M1299), ISNUMBER(I1299), I1299&gt;0), M1299/I1299, "")</f>
        <v/>
      </c>
    </row>
    <row r="1300">
      <c r="A1300" s="19" t="inlineStr">
        <is>
          <t>FY27</t>
        </is>
      </c>
      <c r="B1300" s="19" t="inlineStr">
        <is>
          <t>Apr</t>
        </is>
      </c>
      <c r="C1300" s="19" t="inlineStr">
        <is>
          <t>TN</t>
        </is>
      </c>
      <c r="D1300" s="20" t="inlineStr">
        <is>
          <t>TN02AM9560</t>
        </is>
      </c>
      <c r="E1300" s="20" t="inlineStr">
        <is>
          <t>MARUTI SUZUKI</t>
        </is>
      </c>
      <c r="F1300" s="20" t="inlineStr">
        <is>
          <t>Alto</t>
        </is>
      </c>
      <c r="G1300" s="21" t="n">
        <v>2010</v>
      </c>
      <c r="H1300" s="22" t="n">
        <v>104033</v>
      </c>
      <c r="I1300" s="23" t="n">
        <v>100000</v>
      </c>
      <c r="J1300" s="20" t="inlineStr">
        <is>
          <t>ABT LIMITED</t>
        </is>
      </c>
      <c r="K1300" s="20" t="inlineStr">
        <is>
          <t>Non-Captive</t>
        </is>
      </c>
      <c r="L1300" s="20" t="inlineStr">
        <is>
          <t>Santhosh Cars</t>
        </is>
      </c>
      <c r="M1300" s="23" t="n">
        <v>2542.37</v>
      </c>
      <c r="N1300" s="23" t="n">
        <v>3000</v>
      </c>
      <c r="O1300" s="24">
        <f>IF(AND(ISNUMBER(M1300), ISNUMBER(I1300), I1300&gt;0), M1300/I1300, "")</f>
        <v/>
      </c>
    </row>
    <row r="1301">
      <c r="A1301" s="19" t="inlineStr">
        <is>
          <t>FY27</t>
        </is>
      </c>
      <c r="B1301" s="19" t="inlineStr">
        <is>
          <t>Apr</t>
        </is>
      </c>
      <c r="C1301" s="19" t="inlineStr">
        <is>
          <t>TN</t>
        </is>
      </c>
      <c r="D1301" s="20" t="inlineStr">
        <is>
          <t>TN02AM9453</t>
        </is>
      </c>
      <c r="E1301" s="20" t="inlineStr">
        <is>
          <t>HYUNDAI</t>
        </is>
      </c>
      <c r="F1301" s="20" t="inlineStr">
        <is>
          <t>I10</t>
        </is>
      </c>
      <c r="G1301" s="21" t="n">
        <v>2010</v>
      </c>
      <c r="H1301" s="22" t="n">
        <v>67390</v>
      </c>
      <c r="I1301" s="23" t="n">
        <v>140000</v>
      </c>
      <c r="J1301" s="20" t="inlineStr">
        <is>
          <t>POPULAR VEHICLES AND SERVICES LIMITED</t>
        </is>
      </c>
      <c r="K1301" s="20" t="inlineStr">
        <is>
          <t>Non-Captive</t>
        </is>
      </c>
      <c r="L1301" s="20" t="inlineStr">
        <is>
          <t>Santhosh Cars</t>
        </is>
      </c>
      <c r="M1301" s="23" t="n">
        <v>2542.37</v>
      </c>
      <c r="N1301" s="23" t="n">
        <v>3000</v>
      </c>
      <c r="O1301" s="24">
        <f>IF(AND(ISNUMBER(M1301), ISNUMBER(I1301), I1301&gt;0), M1301/I1301, "")</f>
        <v/>
      </c>
    </row>
    <row r="1302">
      <c r="A1302" s="19" t="inlineStr">
        <is>
          <t>FY27</t>
        </is>
      </c>
      <c r="B1302" s="19" t="inlineStr">
        <is>
          <t>Apr</t>
        </is>
      </c>
      <c r="C1302" s="19" t="inlineStr">
        <is>
          <t>TN</t>
        </is>
      </c>
      <c r="D1302" s="20" t="inlineStr">
        <is>
          <t>TN02AL6933</t>
        </is>
      </c>
      <c r="E1302" s="20" t="inlineStr">
        <is>
          <t>HYUNDAI</t>
        </is>
      </c>
      <c r="F1302" s="20" t="inlineStr">
        <is>
          <t>I10</t>
        </is>
      </c>
      <c r="G1302" s="21" t="n">
        <v>2010</v>
      </c>
      <c r="H1302" s="22" t="n">
        <v>66025</v>
      </c>
      <c r="I1302" s="23" t="n">
        <v>145000</v>
      </c>
      <c r="J1302" s="20" t="inlineStr">
        <is>
          <t>POPULAR VEHICLES AND SERVICES LIMITED</t>
        </is>
      </c>
      <c r="K1302" s="20" t="inlineStr">
        <is>
          <t>Non-Captive</t>
        </is>
      </c>
      <c r="L1302" s="20" t="inlineStr">
        <is>
          <t>Santhosh Cars</t>
        </is>
      </c>
      <c r="M1302" s="23" t="n">
        <v>2542.37</v>
      </c>
      <c r="N1302" s="23" t="n">
        <v>3000</v>
      </c>
      <c r="O1302" s="24">
        <f>IF(AND(ISNUMBER(M1302), ISNUMBER(I1302), I1302&gt;0), M1302/I1302, "")</f>
        <v/>
      </c>
    </row>
    <row r="1303">
      <c r="A1303" s="19" t="inlineStr">
        <is>
          <t>FY27</t>
        </is>
      </c>
      <c r="B1303" s="19" t="inlineStr">
        <is>
          <t>Apr</t>
        </is>
      </c>
      <c r="C1303" s="19" t="inlineStr">
        <is>
          <t>TN</t>
        </is>
      </c>
      <c r="D1303" s="20" t="inlineStr">
        <is>
          <t>TN02AJ5060</t>
        </is>
      </c>
      <c r="E1303" s="20" t="inlineStr">
        <is>
          <t>TATA</t>
        </is>
      </c>
      <c r="F1303" s="20" t="inlineStr">
        <is>
          <t>Indica</t>
        </is>
      </c>
      <c r="G1303" s="21" t="n">
        <v>2009</v>
      </c>
      <c r="H1303" s="22" t="n">
        <v>95848</v>
      </c>
      <c r="I1303" s="23" t="n">
        <v>50000</v>
      </c>
      <c r="J1303" s="20" t="inlineStr">
        <is>
          <t>ABT LIMITED</t>
        </is>
      </c>
      <c r="K1303" s="20" t="inlineStr">
        <is>
          <t>Non-Captive</t>
        </is>
      </c>
      <c r="L1303" s="20" t="inlineStr">
        <is>
          <t>Shree Shan Motor</t>
        </is>
      </c>
      <c r="M1303" s="23" t="n">
        <v>2542.37</v>
      </c>
      <c r="N1303" s="23" t="n">
        <v>3000</v>
      </c>
      <c r="O1303" s="24">
        <f>IF(AND(ISNUMBER(M1303), ISNUMBER(I1303), I1303&gt;0), M1303/I1303, "")</f>
        <v/>
      </c>
    </row>
    <row r="1304">
      <c r="A1304" s="19" t="inlineStr">
        <is>
          <t>FY27</t>
        </is>
      </c>
      <c r="B1304" s="19" t="inlineStr">
        <is>
          <t>Apr</t>
        </is>
      </c>
      <c r="C1304" s="19" t="inlineStr">
        <is>
          <t>TN</t>
        </is>
      </c>
      <c r="D1304" s="20" t="inlineStr">
        <is>
          <t>TN01Z6684</t>
        </is>
      </c>
      <c r="E1304" s="20" t="inlineStr">
        <is>
          <t>HYUNDAI</t>
        </is>
      </c>
      <c r="F1304" s="20" t="inlineStr">
        <is>
          <t>Santro</t>
        </is>
      </c>
      <c r="G1304" s="21" t="n">
        <v>2005</v>
      </c>
      <c r="H1304" s="22" t="n">
        <v>82163</v>
      </c>
      <c r="I1304" s="23" t="n">
        <v>70000</v>
      </c>
      <c r="J1304" s="20" t="inlineStr">
        <is>
          <t>ABT LIMITED</t>
        </is>
      </c>
      <c r="K1304" s="20" t="inlineStr">
        <is>
          <t>Non-Captive</t>
        </is>
      </c>
      <c r="L1304" s="20" t="inlineStr">
        <is>
          <t>Shree Shan Motor</t>
        </is>
      </c>
      <c r="M1304" s="23" t="n">
        <v>2542.37</v>
      </c>
      <c r="N1304" s="23" t="n">
        <v>3000</v>
      </c>
      <c r="O1304" s="24">
        <f>IF(AND(ISNUMBER(M1304), ISNUMBER(I1304), I1304&gt;0), M1304/I1304, "")</f>
        <v/>
      </c>
    </row>
    <row r="1305">
      <c r="A1305" s="19" t="inlineStr">
        <is>
          <t>FY27</t>
        </is>
      </c>
      <c r="B1305" s="19" t="inlineStr">
        <is>
          <t>Apr</t>
        </is>
      </c>
      <c r="C1305" s="19" t="inlineStr">
        <is>
          <t>TN</t>
        </is>
      </c>
      <c r="D1305" s="20" t="inlineStr">
        <is>
          <t>TN01AT4390</t>
        </is>
      </c>
      <c r="E1305" s="20" t="inlineStr">
        <is>
          <t>HONDA</t>
        </is>
      </c>
      <c r="F1305" s="20" t="inlineStr">
        <is>
          <t>Brio</t>
        </is>
      </c>
      <c r="G1305" s="21" t="n">
        <v>2013</v>
      </c>
      <c r="H1305" s="22" t="n">
        <v>95242</v>
      </c>
      <c r="I1305" s="23" t="n">
        <v>160000</v>
      </c>
      <c r="J1305" s="20" t="inlineStr">
        <is>
          <t>VISHNU CARS PRIVATE LIMITED</t>
        </is>
      </c>
      <c r="K1305" s="20" t="inlineStr">
        <is>
          <t>Non-Captive</t>
        </is>
      </c>
      <c r="L1305" s="20" t="inlineStr">
        <is>
          <t>Shree Shan Motor</t>
        </is>
      </c>
      <c r="M1305" s="23" t="n">
        <v>2542.37</v>
      </c>
      <c r="N1305" s="23" t="n">
        <v>3000</v>
      </c>
      <c r="O1305" s="24">
        <f>IF(AND(ISNUMBER(M1305), ISNUMBER(I1305), I1305&gt;0), M1305/I1305, "")</f>
        <v/>
      </c>
    </row>
    <row r="1306">
      <c r="A1306" s="19" t="inlineStr">
        <is>
          <t>FY27</t>
        </is>
      </c>
      <c r="B1306" s="19" t="inlineStr">
        <is>
          <t>Apr</t>
        </is>
      </c>
      <c r="C1306" s="19" t="inlineStr">
        <is>
          <t>TN</t>
        </is>
      </c>
      <c r="D1306" s="20" t="inlineStr">
        <is>
          <t>TN01AS0585</t>
        </is>
      </c>
      <c r="E1306" s="20" t="inlineStr">
        <is>
          <t>HYUNDAI</t>
        </is>
      </c>
      <c r="F1306" s="20" t="inlineStr">
        <is>
          <t>I10</t>
        </is>
      </c>
      <c r="G1306" s="21" t="n">
        <v>2011</v>
      </c>
      <c r="H1306" s="22" t="n">
        <v>69824</v>
      </c>
      <c r="I1306" s="23" t="n">
        <v>190000</v>
      </c>
      <c r="J1306" s="20" t="inlineStr">
        <is>
          <t>ABT LIMITED</t>
        </is>
      </c>
      <c r="K1306" s="20" t="inlineStr">
        <is>
          <t>Non-Captive</t>
        </is>
      </c>
      <c r="L1306" s="20" t="inlineStr">
        <is>
          <t>Shree Shan Motor</t>
        </is>
      </c>
      <c r="M1306" s="23" t="n">
        <v>2542.37</v>
      </c>
      <c r="N1306" s="23" t="n">
        <v>3000</v>
      </c>
      <c r="O1306" s="24">
        <f>IF(AND(ISNUMBER(M1306), ISNUMBER(I1306), I1306&gt;0), M1306/I1306, "")</f>
        <v/>
      </c>
    </row>
    <row r="1307">
      <c r="A1307" s="19" t="inlineStr">
        <is>
          <t>FY27</t>
        </is>
      </c>
      <c r="B1307" s="19" t="inlineStr">
        <is>
          <t>Apr</t>
        </is>
      </c>
      <c r="C1307" s="19" t="inlineStr">
        <is>
          <t>TN</t>
        </is>
      </c>
      <c r="D1307" s="20" t="inlineStr">
        <is>
          <t>TN01AR2660</t>
        </is>
      </c>
      <c r="E1307" s="20" t="inlineStr">
        <is>
          <t>RENAULT</t>
        </is>
      </c>
      <c r="F1307" s="20" t="inlineStr">
        <is>
          <t>Pulse</t>
        </is>
      </c>
      <c r="G1307" s="21" t="n">
        <v>2012</v>
      </c>
      <c r="H1307" s="22" t="n">
        <v>122630</v>
      </c>
      <c r="I1307" s="23" t="n">
        <v>200000</v>
      </c>
      <c r="J1307" s="20" t="inlineStr">
        <is>
          <t>VISHNU CARS PRIVATE LIMITED</t>
        </is>
      </c>
      <c r="K1307" s="20" t="inlineStr">
        <is>
          <t>Non-Captive</t>
        </is>
      </c>
      <c r="L1307" s="20" t="inlineStr">
        <is>
          <t>Shree Shan Motor</t>
        </is>
      </c>
      <c r="M1307" s="23" t="n">
        <v>3389.83</v>
      </c>
      <c r="N1307" s="23" t="n">
        <v>4000</v>
      </c>
      <c r="O1307" s="24">
        <f>IF(AND(ISNUMBER(M1307), ISNUMBER(I1307), I1307&gt;0), M1307/I1307, "")</f>
        <v/>
      </c>
    </row>
    <row r="1308">
      <c r="A1308" s="19" t="inlineStr">
        <is>
          <t>FY27</t>
        </is>
      </c>
      <c r="B1308" s="19" t="inlineStr">
        <is>
          <t>Apr</t>
        </is>
      </c>
      <c r="C1308" s="19" t="inlineStr">
        <is>
          <t>TN</t>
        </is>
      </c>
      <c r="D1308" s="20" t="inlineStr">
        <is>
          <t>TN01AR2556</t>
        </is>
      </c>
      <c r="E1308" s="20" t="inlineStr">
        <is>
          <t>VOLKSWAGEN</t>
        </is>
      </c>
      <c r="F1308" s="20" t="inlineStr">
        <is>
          <t>Vento</t>
        </is>
      </c>
      <c r="G1308" s="21" t="n">
        <v>2012</v>
      </c>
      <c r="H1308" s="22" t="n">
        <v>128607</v>
      </c>
      <c r="I1308" s="23" t="n">
        <v>170000</v>
      </c>
      <c r="J1308" s="20" t="inlineStr">
        <is>
          <t>POPULAR VEHICLES AND SERVICES LIMITED</t>
        </is>
      </c>
      <c r="K1308" s="20" t="inlineStr">
        <is>
          <t>Non-Captive</t>
        </is>
      </c>
      <c r="L1308" s="20" t="inlineStr">
        <is>
          <t>Shree Shan Motor</t>
        </is>
      </c>
      <c r="M1308" s="23" t="n">
        <v>2542.37</v>
      </c>
      <c r="N1308" s="23" t="n">
        <v>3000</v>
      </c>
      <c r="O1308" s="24">
        <f>IF(AND(ISNUMBER(M1308), ISNUMBER(I1308), I1308&gt;0), M1308/I1308, "")</f>
        <v/>
      </c>
    </row>
    <row r="1309">
      <c r="A1309" s="19" t="inlineStr">
        <is>
          <t>FY27</t>
        </is>
      </c>
      <c r="B1309" s="19" t="inlineStr">
        <is>
          <t>Apr</t>
        </is>
      </c>
      <c r="C1309" s="19" t="inlineStr">
        <is>
          <t>TN</t>
        </is>
      </c>
      <c r="D1309" s="20" t="inlineStr">
        <is>
          <t>TN01AL5888</t>
        </is>
      </c>
      <c r="E1309" s="20" t="inlineStr">
        <is>
          <t>CHEVROLET</t>
        </is>
      </c>
      <c r="F1309" s="20" t="inlineStr">
        <is>
          <t>Spark</t>
        </is>
      </c>
      <c r="G1309" s="21" t="n">
        <v>2010</v>
      </c>
      <c r="H1309" s="22" t="n">
        <v>90338</v>
      </c>
      <c r="I1309" s="23" t="n">
        <v>120000</v>
      </c>
      <c r="J1309" s="20" t="inlineStr">
        <is>
          <t>POPULAR VEHICLES AND SERVICES LIMITED</t>
        </is>
      </c>
      <c r="K1309" s="20" t="inlineStr">
        <is>
          <t>Non-Captive</t>
        </is>
      </c>
      <c r="L1309" s="20" t="inlineStr">
        <is>
          <t>Shree Shan Motor</t>
        </is>
      </c>
      <c r="M1309" s="23" t="n">
        <v>2542.37</v>
      </c>
      <c r="N1309" s="23" t="n">
        <v>3000</v>
      </c>
      <c r="O1309" s="24">
        <f>IF(AND(ISNUMBER(M1309), ISNUMBER(I1309), I1309&gt;0), M1309/I1309, "")</f>
        <v/>
      </c>
    </row>
    <row r="1310">
      <c r="A1310" s="19" t="inlineStr">
        <is>
          <t>FY27</t>
        </is>
      </c>
      <c r="B1310" s="19" t="inlineStr">
        <is>
          <t>Apr</t>
        </is>
      </c>
      <c r="C1310" s="19" t="inlineStr">
        <is>
          <t>TN</t>
        </is>
      </c>
      <c r="D1310" s="20" t="inlineStr">
        <is>
          <t>TN01AK9356</t>
        </is>
      </c>
      <c r="E1310" s="20" t="inlineStr">
        <is>
          <t>MARUTI SUZUKI</t>
        </is>
      </c>
      <c r="F1310" s="20" t="inlineStr">
        <is>
          <t>Ritz</t>
        </is>
      </c>
      <c r="G1310" s="21" t="n">
        <v>2010</v>
      </c>
      <c r="H1310" s="22" t="n">
        <v>120791</v>
      </c>
      <c r="I1310" s="23" t="n">
        <v>150000</v>
      </c>
      <c r="J1310" s="20" t="inlineStr">
        <is>
          <t>VISHNU CARS PRIVATE LIMITED</t>
        </is>
      </c>
      <c r="K1310" s="20" t="inlineStr">
        <is>
          <t>Non-Captive</t>
        </is>
      </c>
      <c r="L1310" s="20" t="inlineStr">
        <is>
          <t>Shree Shan Motor</t>
        </is>
      </c>
      <c r="M1310" s="23" t="n">
        <v>2542.37</v>
      </c>
      <c r="N1310" s="23" t="n">
        <v>3000</v>
      </c>
      <c r="O1310" s="24">
        <f>IF(AND(ISNUMBER(M1310), ISNUMBER(I1310), I1310&gt;0), M1310/I1310, "")</f>
        <v/>
      </c>
    </row>
    <row r="1311">
      <c r="A1311" s="19" t="inlineStr">
        <is>
          <t>FY27</t>
        </is>
      </c>
      <c r="B1311" s="19" t="inlineStr">
        <is>
          <t>Apr</t>
        </is>
      </c>
      <c r="C1311" s="19" t="inlineStr">
        <is>
          <t>TN</t>
        </is>
      </c>
      <c r="D1311" s="20" t="inlineStr">
        <is>
          <t>TN54D1282</t>
        </is>
      </c>
      <c r="E1311" s="20" t="inlineStr">
        <is>
          <t>FORD</t>
        </is>
      </c>
      <c r="F1311" s="20" t="inlineStr">
        <is>
          <t>Figo</t>
        </is>
      </c>
      <c r="G1311" s="21" t="n">
        <v>2011</v>
      </c>
      <c r="H1311" s="22" t="n">
        <v>147595</v>
      </c>
      <c r="I1311" s="23" t="n">
        <v>80000</v>
      </c>
      <c r="J1311" s="20" t="inlineStr">
        <is>
          <t>VISHNU CARS PRIVATE LIMITED</t>
        </is>
      </c>
      <c r="K1311" s="20" t="inlineStr">
        <is>
          <t>Non-Captive</t>
        </is>
      </c>
      <c r="L1311" s="20" t="inlineStr">
        <is>
          <t>Cars 24</t>
        </is>
      </c>
      <c r="M1311" s="23" t="n">
        <v>4237.29</v>
      </c>
      <c r="N1311" s="23" t="n">
        <v>5000</v>
      </c>
      <c r="O1311" s="24">
        <f>IF(AND(ISNUMBER(M1311), ISNUMBER(I1311), I1311&gt;0), M1311/I1311, "")</f>
        <v/>
      </c>
    </row>
    <row r="1312">
      <c r="A1312" s="19" t="inlineStr">
        <is>
          <t>FY27</t>
        </is>
      </c>
      <c r="B1312" s="19" t="inlineStr">
        <is>
          <t>Apr</t>
        </is>
      </c>
      <c r="C1312" s="19" t="inlineStr">
        <is>
          <t>TN</t>
        </is>
      </c>
      <c r="D1312" s="20" t="inlineStr">
        <is>
          <t>TN22CP7779</t>
        </is>
      </c>
      <c r="E1312" s="20" t="inlineStr">
        <is>
          <t>FIAT</t>
        </is>
      </c>
      <c r="F1312" s="20" t="inlineStr">
        <is>
          <t>Grand Punto</t>
        </is>
      </c>
      <c r="G1312" s="21" t="n">
        <v>2014</v>
      </c>
      <c r="H1312" s="22" t="n">
        <v>99999</v>
      </c>
      <c r="I1312" s="23" t="n">
        <v>90000</v>
      </c>
      <c r="J1312" s="20" t="inlineStr">
        <is>
          <t>VISHNU CARS PRIVATE LIMITED</t>
        </is>
      </c>
      <c r="K1312" s="20" t="inlineStr">
        <is>
          <t>Non-Captive</t>
        </is>
      </c>
      <c r="L1312" s="20" t="inlineStr">
        <is>
          <t>Cars 24</t>
        </is>
      </c>
      <c r="M1312" s="23" t="n">
        <v>4237.29</v>
      </c>
      <c r="N1312" s="23" t="n">
        <v>5000</v>
      </c>
      <c r="O1312" s="24">
        <f>IF(AND(ISNUMBER(M1312), ISNUMBER(I1312), I1312&gt;0), M1312/I1312, "")</f>
        <v/>
      </c>
    </row>
    <row r="1313">
      <c r="A1313" s="19" t="inlineStr">
        <is>
          <t>FY27</t>
        </is>
      </c>
      <c r="B1313" s="19" t="inlineStr">
        <is>
          <t>Apr</t>
        </is>
      </c>
      <c r="C1313" s="19" t="inlineStr">
        <is>
          <t>TN</t>
        </is>
      </c>
      <c r="D1313" s="20" t="inlineStr">
        <is>
          <t>TN22BS1810</t>
        </is>
      </c>
      <c r="E1313" s="20" t="inlineStr">
        <is>
          <t>FIAT</t>
        </is>
      </c>
      <c r="F1313" s="20" t="inlineStr">
        <is>
          <t>Linea</t>
        </is>
      </c>
      <c r="G1313" s="21" t="n">
        <v>2010</v>
      </c>
      <c r="H1313" s="22" t="n">
        <v>103075</v>
      </c>
      <c r="I1313" s="23" t="n">
        <v>50000</v>
      </c>
      <c r="J1313" s="20" t="inlineStr">
        <is>
          <t>VISHNU CARS PRIVATE LIMITED</t>
        </is>
      </c>
      <c r="K1313" s="20" t="inlineStr">
        <is>
          <t>Non-Captive</t>
        </is>
      </c>
      <c r="L1313" s="20" t="inlineStr">
        <is>
          <t>Cars 24</t>
        </is>
      </c>
      <c r="M1313" s="23" t="n">
        <v>4237.29</v>
      </c>
      <c r="N1313" s="23" t="n">
        <v>5000</v>
      </c>
      <c r="O1313" s="24">
        <f>IF(AND(ISNUMBER(M1313), ISNUMBER(I1313), I1313&gt;0), M1313/I1313, "")</f>
        <v/>
      </c>
    </row>
    <row r="1314">
      <c r="A1314" s="19" t="inlineStr">
        <is>
          <t>FY27</t>
        </is>
      </c>
      <c r="B1314" s="19" t="inlineStr">
        <is>
          <t>Apr</t>
        </is>
      </c>
      <c r="C1314" s="19" t="inlineStr">
        <is>
          <t>TN</t>
        </is>
      </c>
      <c r="D1314" s="20" t="inlineStr">
        <is>
          <t>TN01AD1717</t>
        </is>
      </c>
      <c r="E1314" s="20" t="inlineStr">
        <is>
          <t>MARUTI SUZUKI</t>
        </is>
      </c>
      <c r="F1314" s="20" t="inlineStr">
        <is>
          <t>Wagon R</t>
        </is>
      </c>
      <c r="G1314" s="21" t="n">
        <v>2007</v>
      </c>
      <c r="H1314" s="22" t="n">
        <v>101606</v>
      </c>
      <c r="I1314" s="23" t="n">
        <v>30000</v>
      </c>
      <c r="J1314" s="20" t="inlineStr">
        <is>
          <t>Khivraj Motor</t>
        </is>
      </c>
      <c r="K1314" s="20" t="inlineStr">
        <is>
          <t>Non-Captive</t>
        </is>
      </c>
      <c r="L1314" s="20" t="inlineStr">
        <is>
          <t>Santhosh Cars</t>
        </is>
      </c>
      <c r="M1314" s="23" t="n">
        <v>4237.29</v>
      </c>
      <c r="N1314" s="23" t="n">
        <v>5000</v>
      </c>
      <c r="O1314" s="24">
        <f>IF(AND(ISNUMBER(M1314), ISNUMBER(I1314), I1314&gt;0), M1314/I1314, "")</f>
        <v/>
      </c>
    </row>
    <row r="1315">
      <c r="A1315" s="19" t="inlineStr">
        <is>
          <t>FY27</t>
        </is>
      </c>
      <c r="B1315" s="19" t="inlineStr">
        <is>
          <t>Apr</t>
        </is>
      </c>
      <c r="C1315" s="19" t="inlineStr">
        <is>
          <t>TN</t>
        </is>
      </c>
      <c r="D1315" s="20" t="inlineStr">
        <is>
          <t>TN07AW2850</t>
        </is>
      </c>
      <c r="E1315" s="20" t="inlineStr">
        <is>
          <t>MARUTI SUZUKI</t>
        </is>
      </c>
      <c r="F1315" s="20" t="inlineStr">
        <is>
          <t>Alto</t>
        </is>
      </c>
      <c r="G1315" s="21" t="n">
        <v>2005</v>
      </c>
      <c r="H1315" s="22" t="n">
        <v>103502</v>
      </c>
      <c r="I1315" s="23" t="n">
        <v>30000</v>
      </c>
      <c r="J1315" s="20" t="inlineStr">
        <is>
          <t>Khivraj Motor</t>
        </is>
      </c>
      <c r="K1315" s="20" t="inlineStr">
        <is>
          <t>Non-Captive</t>
        </is>
      </c>
      <c r="L1315" s="20" t="inlineStr">
        <is>
          <t>Santhosh Cars</t>
        </is>
      </c>
      <c r="M1315" s="23" t="n">
        <v>4237.29</v>
      </c>
      <c r="N1315" s="23" t="n">
        <v>5000</v>
      </c>
      <c r="O1315" s="24">
        <f>IF(AND(ISNUMBER(M1315), ISNUMBER(I1315), I1315&gt;0), M1315/I1315, "")</f>
        <v/>
      </c>
    </row>
    <row r="1316">
      <c r="A1316" s="19" t="inlineStr">
        <is>
          <t>FY27</t>
        </is>
      </c>
      <c r="B1316" s="19" t="inlineStr">
        <is>
          <t>Apr</t>
        </is>
      </c>
      <c r="C1316" s="19" t="inlineStr">
        <is>
          <t>TN</t>
        </is>
      </c>
      <c r="D1316" s="20" t="inlineStr">
        <is>
          <t>TN07AS2543</t>
        </is>
      </c>
      <c r="E1316" s="20" t="inlineStr">
        <is>
          <t>MARUTI SUZUKI</t>
        </is>
      </c>
      <c r="F1316" s="20" t="inlineStr">
        <is>
          <t>Wagon R</t>
        </is>
      </c>
      <c r="G1316" s="21" t="n">
        <v>2007</v>
      </c>
      <c r="H1316" s="22" t="n">
        <v>92652</v>
      </c>
      <c r="I1316" s="23" t="n">
        <v>40000</v>
      </c>
      <c r="J1316" s="20" t="inlineStr">
        <is>
          <t>Khivraj Motor</t>
        </is>
      </c>
      <c r="K1316" s="20" t="inlineStr">
        <is>
          <t>Non-Captive</t>
        </is>
      </c>
      <c r="L1316" s="20" t="inlineStr">
        <is>
          <t>Santhosh Cars</t>
        </is>
      </c>
      <c r="M1316" s="23" t="n">
        <v>4237.29</v>
      </c>
      <c r="N1316" s="23" t="n">
        <v>5000</v>
      </c>
      <c r="O1316" s="24">
        <f>IF(AND(ISNUMBER(M1316), ISNUMBER(I1316), I1316&gt;0), M1316/I1316, "")</f>
        <v/>
      </c>
    </row>
    <row r="1317">
      <c r="A1317" s="19" t="inlineStr">
        <is>
          <t>FY27</t>
        </is>
      </c>
      <c r="B1317" s="19" t="inlineStr">
        <is>
          <t>Apr</t>
        </is>
      </c>
      <c r="C1317" s="19" t="inlineStr">
        <is>
          <t>TN</t>
        </is>
      </c>
      <c r="D1317" s="20" t="inlineStr">
        <is>
          <t>TN10P1468</t>
        </is>
      </c>
      <c r="E1317" s="20" t="inlineStr">
        <is>
          <t>MARUTI SUZUKI</t>
        </is>
      </c>
      <c r="F1317" s="20" t="inlineStr">
        <is>
          <t>Zen</t>
        </is>
      </c>
      <c r="G1317" s="21" t="n">
        <v>2006</v>
      </c>
      <c r="H1317" s="22" t="n">
        <v>48465</v>
      </c>
      <c r="I1317" s="23" t="n">
        <v>40000</v>
      </c>
      <c r="J1317" s="20" t="inlineStr">
        <is>
          <t>Khivraj Motor</t>
        </is>
      </c>
      <c r="K1317" s="20" t="inlineStr">
        <is>
          <t>Non-Captive</t>
        </is>
      </c>
      <c r="L1317" s="20" t="inlineStr">
        <is>
          <t>Santhosh Cars</t>
        </is>
      </c>
      <c r="M1317" s="23" t="n">
        <v>4237.29</v>
      </c>
      <c r="N1317" s="23" t="n">
        <v>5000</v>
      </c>
      <c r="O1317" s="24">
        <f>IF(AND(ISNUMBER(M1317), ISNUMBER(I1317), I1317&gt;0), M1317/I1317, "")</f>
        <v/>
      </c>
    </row>
    <row r="1318">
      <c r="A1318" s="19" t="inlineStr">
        <is>
          <t>FY27</t>
        </is>
      </c>
      <c r="B1318" s="19" t="inlineStr">
        <is>
          <t>Apr</t>
        </is>
      </c>
      <c r="C1318" s="19" t="inlineStr">
        <is>
          <t>TN</t>
        </is>
      </c>
      <c r="D1318" s="20" t="inlineStr">
        <is>
          <t>TN01V5216</t>
        </is>
      </c>
      <c r="E1318" s="20" t="inlineStr">
        <is>
          <t>MARUTI SUZUKI</t>
        </is>
      </c>
      <c r="F1318" s="20" t="inlineStr">
        <is>
          <t>M800</t>
        </is>
      </c>
      <c r="G1318" s="21" t="n">
        <v>2003</v>
      </c>
      <c r="H1318" s="22" t="n">
        <v>29025</v>
      </c>
      <c r="I1318" s="23" t="n">
        <v>42000</v>
      </c>
      <c r="J1318" s="20" t="inlineStr">
        <is>
          <t>Khivraj Motor</t>
        </is>
      </c>
      <c r="K1318" s="20" t="inlineStr">
        <is>
          <t>Non-Captive</t>
        </is>
      </c>
      <c r="L1318" s="20" t="inlineStr">
        <is>
          <t>AAA Cars</t>
        </is>
      </c>
      <c r="M1318" s="23" t="n">
        <v>4237.29</v>
      </c>
      <c r="N1318" s="23" t="n">
        <v>5000</v>
      </c>
      <c r="O1318" s="24">
        <f>IF(AND(ISNUMBER(M1318), ISNUMBER(I1318), I1318&gt;0), M1318/I1318, "")</f>
        <v/>
      </c>
    </row>
    <row r="1319">
      <c r="A1319" s="19" t="inlineStr">
        <is>
          <t>FY27</t>
        </is>
      </c>
      <c r="B1319" s="19" t="inlineStr">
        <is>
          <t>Apr</t>
        </is>
      </c>
      <c r="C1319" s="19" t="inlineStr">
        <is>
          <t>TN</t>
        </is>
      </c>
      <c r="D1319" s="20" t="inlineStr">
        <is>
          <t>KL22P0763</t>
        </is>
      </c>
      <c r="E1319" s="20" t="inlineStr">
        <is>
          <t>MARUTI SUZUKI</t>
        </is>
      </c>
      <c r="F1319" s="20" t="inlineStr">
        <is>
          <t>Ertiga</t>
        </is>
      </c>
      <c r="G1319" s="21" t="n">
        <v>2020</v>
      </c>
      <c r="H1319" s="22" t="n">
        <v>69056</v>
      </c>
      <c r="I1319" s="23" t="n">
        <v>190000</v>
      </c>
      <c r="J1319" s="20" t="inlineStr">
        <is>
          <t>DERIK MOTORS PRIVATE LIMITED</t>
        </is>
      </c>
      <c r="K1319" s="20" t="inlineStr">
        <is>
          <t>Non-Captive</t>
        </is>
      </c>
      <c r="L1319" s="20" t="inlineStr">
        <is>
          <t>Shamnad AH</t>
        </is>
      </c>
      <c r="M1319" s="23" t="n">
        <v>5932.2</v>
      </c>
      <c r="N1319" s="23" t="n">
        <v>7000</v>
      </c>
      <c r="O1319" s="24">
        <f>IF(AND(ISNUMBER(M1319), ISNUMBER(I1319), I1319&gt;0), M1319/I1319, "")</f>
        <v/>
      </c>
    </row>
    <row r="1320">
      <c r="A1320" s="19" t="inlineStr">
        <is>
          <t>FY27</t>
        </is>
      </c>
      <c r="B1320" s="19" t="inlineStr">
        <is>
          <t>Apr</t>
        </is>
      </c>
      <c r="C1320" s="19" t="inlineStr">
        <is>
          <t>TN</t>
        </is>
      </c>
      <c r="D1320" s="20" t="inlineStr">
        <is>
          <t>KL20Q4343</t>
        </is>
      </c>
      <c r="E1320" s="20" t="inlineStr">
        <is>
          <t>MARUTI SUZUKI</t>
        </is>
      </c>
      <c r="F1320" s="20" t="inlineStr">
        <is>
          <t>Ertiga</t>
        </is>
      </c>
      <c r="G1320" s="21" t="n">
        <v>2020</v>
      </c>
      <c r="H1320" s="22" t="n">
        <v>63731</v>
      </c>
      <c r="I1320" s="23" t="n">
        <v>190000</v>
      </c>
      <c r="J1320" s="20" t="inlineStr">
        <is>
          <t>Fortune Malayalam</t>
        </is>
      </c>
      <c r="K1320" s="20" t="inlineStr">
        <is>
          <t>Non-Captive</t>
        </is>
      </c>
      <c r="L1320" s="20" t="inlineStr">
        <is>
          <t>Popular Alleppy</t>
        </is>
      </c>
      <c r="M1320" s="23" t="n">
        <v>5000</v>
      </c>
      <c r="N1320" s="23" t="n">
        <v>5900</v>
      </c>
      <c r="O1320" s="24">
        <f>IF(AND(ISNUMBER(M1320), ISNUMBER(I1320), I1320&gt;0), M1320/I1320, "")</f>
        <v/>
      </c>
    </row>
    <row r="1321">
      <c r="A1321" s="19" t="inlineStr">
        <is>
          <t>FY27</t>
        </is>
      </c>
      <c r="B1321" s="19" t="inlineStr">
        <is>
          <t>Apr</t>
        </is>
      </c>
      <c r="C1321" s="19" t="inlineStr">
        <is>
          <t>TN</t>
        </is>
      </c>
      <c r="D1321" s="20" t="inlineStr">
        <is>
          <t>KL73A7315</t>
        </is>
      </c>
      <c r="E1321" s="20" t="inlineStr">
        <is>
          <t>MARUTI SUZUKI</t>
        </is>
      </c>
      <c r="F1321" s="20" t="inlineStr">
        <is>
          <t>Celerio</t>
        </is>
      </c>
      <c r="G1321" s="21" t="n">
        <v>2016</v>
      </c>
      <c r="H1321" s="22" t="n">
        <v>68094</v>
      </c>
      <c r="I1321" s="23" t="n">
        <v>175000</v>
      </c>
      <c r="J1321" s="20" t="inlineStr">
        <is>
          <t>Fortune Malayalam</t>
        </is>
      </c>
      <c r="K1321" s="20" t="inlineStr">
        <is>
          <t>Non-Captive</t>
        </is>
      </c>
      <c r="L1321" s="20" t="inlineStr">
        <is>
          <t>Popular Alleppy</t>
        </is>
      </c>
      <c r="M1321" s="23" t="n">
        <v>5000</v>
      </c>
      <c r="N1321" s="23" t="n">
        <v>5900</v>
      </c>
      <c r="O1321" s="24">
        <f>IF(AND(ISNUMBER(M1321), ISNUMBER(I1321), I1321&gt;0), M1321/I1321, "")</f>
        <v/>
      </c>
    </row>
    <row r="1322">
      <c r="A1322" s="19" t="inlineStr">
        <is>
          <t>FY27</t>
        </is>
      </c>
      <c r="B1322" s="19" t="inlineStr">
        <is>
          <t>Apr</t>
        </is>
      </c>
      <c r="C1322" s="19" t="inlineStr">
        <is>
          <t>TN</t>
        </is>
      </c>
      <c r="D1322" s="20" t="inlineStr">
        <is>
          <t>KL02BB2084</t>
        </is>
      </c>
      <c r="E1322" s="20" t="inlineStr">
        <is>
          <t>MARUTI SUZUKI</t>
        </is>
      </c>
      <c r="F1322" s="20" t="inlineStr">
        <is>
          <t>Celerio</t>
        </is>
      </c>
      <c r="G1322" s="21" t="n">
        <v>2017</v>
      </c>
      <c r="H1322" s="22" t="n">
        <v>87242</v>
      </c>
      <c r="I1322" s="23" t="n">
        <v>170000</v>
      </c>
      <c r="J1322" s="20" t="inlineStr">
        <is>
          <t>INDEL Motor Corporation</t>
        </is>
      </c>
      <c r="K1322" s="20" t="inlineStr">
        <is>
          <t>Non-Captive</t>
        </is>
      </c>
      <c r="L1322" s="20" t="inlineStr">
        <is>
          <t>Popular Thrissur</t>
        </is>
      </c>
      <c r="M1322" s="23" t="n">
        <v>5000</v>
      </c>
      <c r="N1322" s="23" t="n">
        <v>5900</v>
      </c>
      <c r="O1322" s="24">
        <f>IF(AND(ISNUMBER(M1322), ISNUMBER(I1322), I1322&gt;0), M1322/I1322, "")</f>
        <v/>
      </c>
    </row>
    <row r="1323">
      <c r="A1323" s="19" t="inlineStr">
        <is>
          <t>FY27</t>
        </is>
      </c>
      <c r="B1323" s="19" t="inlineStr">
        <is>
          <t>Apr</t>
        </is>
      </c>
      <c r="C1323" s="19" t="inlineStr">
        <is>
          <t>TN</t>
        </is>
      </c>
      <c r="D1323" s="20" t="inlineStr">
        <is>
          <t>KL01CT5645</t>
        </is>
      </c>
      <c r="E1323" s="20" t="inlineStr">
        <is>
          <t>MARUTI SUZUKI</t>
        </is>
      </c>
      <c r="F1323" s="20" t="inlineStr">
        <is>
          <t>S-Presso</t>
        </is>
      </c>
      <c r="G1323" s="21" t="n">
        <v>2021</v>
      </c>
      <c r="H1323" s="22" t="n">
        <v>54562</v>
      </c>
      <c r="I1323" s="23" t="n">
        <v>180000</v>
      </c>
      <c r="J1323" s="20" t="inlineStr">
        <is>
          <t>Derik Automobile</t>
        </is>
      </c>
      <c r="K1323" s="20" t="inlineStr">
        <is>
          <t>Non-Captive</t>
        </is>
      </c>
      <c r="L1323" s="20" t="inlineStr">
        <is>
          <t>Popular Thrissur</t>
        </is>
      </c>
      <c r="M1323" s="23" t="n">
        <v>5000</v>
      </c>
      <c r="N1323" s="23" t="n">
        <v>5900</v>
      </c>
      <c r="O1323" s="24">
        <f>IF(AND(ISNUMBER(M1323), ISNUMBER(I1323), I1323&gt;0), M1323/I1323, "")</f>
        <v/>
      </c>
    </row>
    <row r="1324">
      <c r="A1324" s="19" t="inlineStr">
        <is>
          <t>FY27</t>
        </is>
      </c>
      <c r="B1324" s="19" t="inlineStr">
        <is>
          <t>Apr</t>
        </is>
      </c>
      <c r="C1324" s="19" t="inlineStr">
        <is>
          <t>TN</t>
        </is>
      </c>
      <c r="D1324" s="20" t="inlineStr">
        <is>
          <t>KL20F6613</t>
        </is>
      </c>
      <c r="E1324" s="20" t="inlineStr">
        <is>
          <t>MARUTI SUZUKI</t>
        </is>
      </c>
      <c r="F1324" s="20" t="inlineStr">
        <is>
          <t>Wagon R</t>
        </is>
      </c>
      <c r="G1324" s="21" t="n">
        <v>2013</v>
      </c>
      <c r="H1324" s="22" t="n">
        <v>137870</v>
      </c>
      <c r="I1324" s="23" t="n">
        <v>180000</v>
      </c>
      <c r="J1324" s="20" t="inlineStr">
        <is>
          <t>Popular Hyundai</t>
        </is>
      </c>
      <c r="K1324" s="20" t="inlineStr">
        <is>
          <t>Non-Captive</t>
        </is>
      </c>
      <c r="L1324" s="20" t="inlineStr">
        <is>
          <t>Popular Thrissur</t>
        </is>
      </c>
      <c r="M1324" s="23" t="n">
        <v>5000</v>
      </c>
      <c r="N1324" s="23" t="n">
        <v>5900</v>
      </c>
      <c r="O1324" s="24">
        <f>IF(AND(ISNUMBER(M1324), ISNUMBER(I1324), I1324&gt;0), M1324/I1324, "")</f>
        <v/>
      </c>
    </row>
    <row r="1325">
      <c r="A1325" s="19" t="inlineStr">
        <is>
          <t>FY27</t>
        </is>
      </c>
      <c r="B1325" s="19" t="inlineStr">
        <is>
          <t>Apr</t>
        </is>
      </c>
      <c r="C1325" s="19" t="inlineStr">
        <is>
          <t>TN</t>
        </is>
      </c>
      <c r="D1325" s="20" t="inlineStr">
        <is>
          <t>KL19C800</t>
        </is>
      </c>
      <c r="E1325" s="20" t="inlineStr">
        <is>
          <t>MARUTI SUZUKI</t>
        </is>
      </c>
      <c r="F1325" s="20" t="inlineStr">
        <is>
          <t>Wagon R</t>
        </is>
      </c>
      <c r="G1325" s="21" t="n">
        <v>2016</v>
      </c>
      <c r="H1325" s="22" t="n">
        <v>53298</v>
      </c>
      <c r="I1325" s="23" t="n">
        <v>180000</v>
      </c>
      <c r="J1325" s="20" t="inlineStr">
        <is>
          <t>Nippon Motor Corporation Pvt Ltd</t>
        </is>
      </c>
      <c r="K1325" s="20" t="inlineStr">
        <is>
          <t>Non-Captive</t>
        </is>
      </c>
      <c r="L1325" s="20" t="inlineStr">
        <is>
          <t>Popular Thrissur</t>
        </is>
      </c>
      <c r="M1325" s="23" t="n">
        <v>5000</v>
      </c>
      <c r="N1325" s="23" t="n">
        <v>5900</v>
      </c>
      <c r="O1325" s="24">
        <f>IF(AND(ISNUMBER(M1325), ISNUMBER(I1325), I1325&gt;0), M1325/I1325, "")</f>
        <v/>
      </c>
    </row>
    <row r="1326">
      <c r="A1326" s="19" t="inlineStr">
        <is>
          <t>FY27</t>
        </is>
      </c>
      <c r="B1326" s="19" t="inlineStr">
        <is>
          <t>Apr</t>
        </is>
      </c>
      <c r="C1326" s="19" t="inlineStr">
        <is>
          <t>TN</t>
        </is>
      </c>
      <c r="D1326" s="20" t="inlineStr">
        <is>
          <t>KL19D6071</t>
        </is>
      </c>
      <c r="E1326" s="20" t="inlineStr">
        <is>
          <t>MARUTI SUZUKI</t>
        </is>
      </c>
      <c r="F1326" s="20" t="inlineStr">
        <is>
          <t>Alto</t>
        </is>
      </c>
      <c r="G1326" s="21" t="n">
        <v>2013</v>
      </c>
      <c r="H1326" s="22" t="n">
        <v>43326</v>
      </c>
      <c r="I1326" s="23" t="n">
        <v>160000</v>
      </c>
      <c r="J1326" s="20" t="inlineStr">
        <is>
          <t>Nippon Motor Corporation Pvt Ltd</t>
        </is>
      </c>
      <c r="K1326" s="20" t="inlineStr">
        <is>
          <t>Non-Captive</t>
        </is>
      </c>
      <c r="L1326" s="20" t="inlineStr">
        <is>
          <t>Popular Thrissur</t>
        </is>
      </c>
      <c r="M1326" s="23" t="n">
        <v>5000</v>
      </c>
      <c r="N1326" s="23" t="n">
        <v>5900</v>
      </c>
      <c r="O1326" s="24">
        <f>IF(AND(ISNUMBER(M1326), ISNUMBER(I1326), I1326&gt;0), M1326/I1326, "")</f>
        <v/>
      </c>
    </row>
    <row r="1327">
      <c r="A1327" s="19" t="inlineStr">
        <is>
          <t>FY27</t>
        </is>
      </c>
      <c r="B1327" s="19" t="inlineStr">
        <is>
          <t>Apr</t>
        </is>
      </c>
      <c r="C1327" s="19" t="inlineStr">
        <is>
          <t>TN</t>
        </is>
      </c>
      <c r="D1327" s="20" t="inlineStr">
        <is>
          <t>KL29L3190</t>
        </is>
      </c>
      <c r="E1327" s="20" t="inlineStr">
        <is>
          <t>MARUTI SUZUKI</t>
        </is>
      </c>
      <c r="F1327" s="20" t="inlineStr">
        <is>
          <t>Vitara Brezza</t>
        </is>
      </c>
      <c r="G1327" s="21" t="n">
        <v>2016</v>
      </c>
      <c r="H1327" s="22" t="n">
        <v>129456</v>
      </c>
      <c r="I1327" s="23" t="n">
        <v>190000</v>
      </c>
      <c r="J1327" s="20" t="inlineStr">
        <is>
          <t>Genuine cars</t>
        </is>
      </c>
      <c r="K1327" s="20" t="inlineStr">
        <is>
          <t>Non-Captive</t>
        </is>
      </c>
      <c r="L1327" s="20" t="inlineStr">
        <is>
          <t>Popular Trivandrum</t>
        </is>
      </c>
      <c r="M1327" s="23" t="n">
        <v>5000</v>
      </c>
      <c r="N1327" s="23" t="n">
        <v>5900</v>
      </c>
      <c r="O1327" s="24">
        <f>IF(AND(ISNUMBER(M1327), ISNUMBER(I1327), I1327&gt;0), M1327/I1327, "")</f>
        <v/>
      </c>
    </row>
    <row r="1328">
      <c r="A1328" s="19" t="inlineStr">
        <is>
          <t>FY27</t>
        </is>
      </c>
      <c r="B1328" s="19" t="inlineStr">
        <is>
          <t>Apr</t>
        </is>
      </c>
      <c r="C1328" s="19" t="inlineStr">
        <is>
          <t>TN</t>
        </is>
      </c>
      <c r="D1328" s="20" t="inlineStr">
        <is>
          <t>KL22J2798</t>
        </is>
      </c>
      <c r="E1328" s="20" t="inlineStr">
        <is>
          <t>MARUTI SUZUKI</t>
        </is>
      </c>
      <c r="F1328" s="20" t="inlineStr">
        <is>
          <t>Swift</t>
        </is>
      </c>
      <c r="G1328" s="21" t="n">
        <v>2016</v>
      </c>
      <c r="H1328" s="22" t="n">
        <v>64390</v>
      </c>
      <c r="I1328" s="23" t="n">
        <v>180000</v>
      </c>
      <c r="J1328" s="20" t="inlineStr">
        <is>
          <t>INDEL Motor Corporation</t>
        </is>
      </c>
      <c r="K1328" s="20" t="inlineStr">
        <is>
          <t>Non-Captive</t>
        </is>
      </c>
      <c r="L1328" s="20" t="inlineStr">
        <is>
          <t>Popular Thrissur</t>
        </is>
      </c>
      <c r="M1328" s="23" t="n">
        <v>5000</v>
      </c>
      <c r="N1328" s="23" t="n">
        <v>5900</v>
      </c>
      <c r="O1328" s="24">
        <f>IF(AND(ISNUMBER(M1328), ISNUMBER(I1328), I1328&gt;0), M1328/I1328, "")</f>
        <v/>
      </c>
    </row>
    <row r="1329">
      <c r="A1329" s="19" t="inlineStr">
        <is>
          <t>FY27</t>
        </is>
      </c>
      <c r="B1329" s="19" t="inlineStr">
        <is>
          <t>Apr</t>
        </is>
      </c>
      <c r="C1329" s="19" t="inlineStr">
        <is>
          <t>TN</t>
        </is>
      </c>
      <c r="D1329" s="20" t="inlineStr">
        <is>
          <t>KL02BN1442</t>
        </is>
      </c>
      <c r="E1329" s="20" t="inlineStr">
        <is>
          <t>MARUTI SUZUKI</t>
        </is>
      </c>
      <c r="F1329" s="20" t="inlineStr">
        <is>
          <t>Baleno</t>
        </is>
      </c>
      <c r="G1329" s="21" t="n">
        <v>2020</v>
      </c>
      <c r="H1329" s="22" t="n">
        <v>87452</v>
      </c>
      <c r="I1329" s="23" t="n">
        <v>180000</v>
      </c>
      <c r="J1329" s="20" t="inlineStr">
        <is>
          <t>Popular Motorworld pvt Ltd</t>
        </is>
      </c>
      <c r="K1329" s="20" t="inlineStr">
        <is>
          <t>Non-Captive</t>
        </is>
      </c>
      <c r="L1329" s="20" t="inlineStr">
        <is>
          <t>Popular Thrissur</t>
        </is>
      </c>
      <c r="M1329" s="23" t="n">
        <v>5000</v>
      </c>
      <c r="N1329" s="23" t="n">
        <v>5900</v>
      </c>
      <c r="O1329" s="24">
        <f>IF(AND(ISNUMBER(M1329), ISNUMBER(I1329), I1329&gt;0), M1329/I1329, "")</f>
        <v/>
      </c>
    </row>
    <row r="1330">
      <c r="A1330" s="19" t="inlineStr">
        <is>
          <t>FY27</t>
        </is>
      </c>
      <c r="B1330" s="19" t="inlineStr">
        <is>
          <t>Apr</t>
        </is>
      </c>
      <c r="C1330" s="19" t="inlineStr">
        <is>
          <t>TN</t>
        </is>
      </c>
      <c r="D1330" s="20" t="inlineStr">
        <is>
          <t>KL01BP6999</t>
        </is>
      </c>
      <c r="E1330" s="20" t="inlineStr">
        <is>
          <t>MARUTI SUZUKI</t>
        </is>
      </c>
      <c r="F1330" s="20" t="inlineStr">
        <is>
          <t>Swift</t>
        </is>
      </c>
      <c r="G1330" s="21" t="n">
        <v>2014</v>
      </c>
      <c r="H1330" s="22" t="n">
        <v>76430</v>
      </c>
      <c r="I1330" s="23" t="n">
        <v>180000</v>
      </c>
      <c r="J1330" s="20" t="inlineStr">
        <is>
          <t>Popular Motorworld pvt Ltd</t>
        </is>
      </c>
      <c r="K1330" s="20" t="inlineStr">
        <is>
          <t>Non-Captive</t>
        </is>
      </c>
      <c r="L1330" s="20" t="inlineStr">
        <is>
          <t>Trust On wheels</t>
        </is>
      </c>
      <c r="M1330" s="23" t="n">
        <v>5000</v>
      </c>
      <c r="N1330" s="23" t="n">
        <v>5900</v>
      </c>
      <c r="O1330" s="24">
        <f>IF(AND(ISNUMBER(M1330), ISNUMBER(I1330), I1330&gt;0), M1330/I1330, "")</f>
        <v/>
      </c>
    </row>
    <row r="1331">
      <c r="A1331" s="19" t="inlineStr">
        <is>
          <t>FY27</t>
        </is>
      </c>
      <c r="B1331" s="19" t="inlineStr">
        <is>
          <t>May</t>
        </is>
      </c>
      <c r="C1331" s="19" t="inlineStr">
        <is>
          <t>TN</t>
        </is>
      </c>
      <c r="D1331" s="20" t="inlineStr">
        <is>
          <t>TN09BX1474</t>
        </is>
      </c>
      <c r="E1331" s="20" t="inlineStr">
        <is>
          <t>MARUTI SUZUKI</t>
        </is>
      </c>
      <c r="F1331" s="20" t="inlineStr">
        <is>
          <t>Alto</t>
        </is>
      </c>
      <c r="G1331" s="21" t="n">
        <v>2014</v>
      </c>
      <c r="H1331" s="22" t="n">
        <v>49872</v>
      </c>
      <c r="I1331" s="23" t="n">
        <v>145000</v>
      </c>
      <c r="J1331" s="20" t="inlineStr">
        <is>
          <t>Khivraj Motor</t>
        </is>
      </c>
      <c r="K1331" s="20" t="inlineStr">
        <is>
          <t>Non-Captive</t>
        </is>
      </c>
      <c r="L1331" s="20" t="inlineStr">
        <is>
          <t>Yes Cars</t>
        </is>
      </c>
      <c r="M1331" s="23" t="n">
        <v>5084.75</v>
      </c>
      <c r="N1331" s="23" t="n">
        <v>6000</v>
      </c>
      <c r="O1331" s="24">
        <f>IF(AND(ISNUMBER(M1331), ISNUMBER(I1331), I1331&gt;0), M1331/I1331, "")</f>
        <v/>
      </c>
    </row>
    <row r="1332">
      <c r="A1332" s="19" t="inlineStr">
        <is>
          <t>FY27</t>
        </is>
      </c>
      <c r="B1332" s="19" t="inlineStr">
        <is>
          <t>May</t>
        </is>
      </c>
      <c r="C1332" s="19" t="inlineStr">
        <is>
          <t>TN</t>
        </is>
      </c>
      <c r="D1332" s="20" t="inlineStr">
        <is>
          <t>TN21BK6901</t>
        </is>
      </c>
      <c r="E1332" s="20" t="inlineStr">
        <is>
          <t>MARUTI SUZUKI</t>
        </is>
      </c>
      <c r="F1332" s="20" t="inlineStr">
        <is>
          <t>Swift Dzire</t>
        </is>
      </c>
      <c r="G1332" s="21" t="n">
        <v>2020</v>
      </c>
      <c r="H1332" s="22" t="n">
        <v>142802</v>
      </c>
      <c r="I1332" s="23" t="n">
        <v>425000</v>
      </c>
      <c r="J1332" s="20" t="inlineStr">
        <is>
          <t>Khivraj Motor</t>
        </is>
      </c>
      <c r="K1332" s="20" t="inlineStr">
        <is>
          <t>Non-Captive</t>
        </is>
      </c>
      <c r="L1332" s="20" t="inlineStr">
        <is>
          <t>MAHATHI CARS</t>
        </is>
      </c>
      <c r="M1332" s="23" t="n">
        <v>7627.12</v>
      </c>
      <c r="N1332" s="23" t="n">
        <v>9000</v>
      </c>
      <c r="O1332" s="24">
        <f>IF(AND(ISNUMBER(M1332), ISNUMBER(I1332), I1332&gt;0), M1332/I1332, "")</f>
        <v/>
      </c>
    </row>
    <row r="1333">
      <c r="A1333" s="19" t="inlineStr">
        <is>
          <t>FY27</t>
        </is>
      </c>
      <c r="B1333" s="19" t="inlineStr">
        <is>
          <t>May</t>
        </is>
      </c>
      <c r="C1333" s="19" t="inlineStr">
        <is>
          <t>TN</t>
        </is>
      </c>
      <c r="D1333" s="20" t="inlineStr">
        <is>
          <t>TN04AQ5217</t>
        </is>
      </c>
      <c r="E1333" s="20" t="inlineStr">
        <is>
          <t>MARUTI SUZUKI</t>
        </is>
      </c>
      <c r="F1333" s="20" t="inlineStr">
        <is>
          <t>Alto</t>
        </is>
      </c>
      <c r="G1333" s="21" t="n">
        <v>2015</v>
      </c>
      <c r="H1333" s="22" t="n">
        <v>107000</v>
      </c>
      <c r="I1333" s="23" t="n">
        <v>169000</v>
      </c>
      <c r="J1333" s="20" t="inlineStr">
        <is>
          <t>Khivraj Motor</t>
        </is>
      </c>
      <c r="K1333" s="20" t="inlineStr">
        <is>
          <t>Non-Captive</t>
        </is>
      </c>
      <c r="L1333" s="20" t="inlineStr">
        <is>
          <t>AS Cars Gopi</t>
        </is>
      </c>
      <c r="M1333" s="23" t="n">
        <v>5847.46</v>
      </c>
      <c r="N1333" s="23" t="n">
        <v>6900</v>
      </c>
      <c r="O1333" s="24">
        <f>IF(AND(ISNUMBER(M1333), ISNUMBER(I1333), I1333&gt;0), M1333/I1333, "")</f>
        <v/>
      </c>
    </row>
    <row r="1334">
      <c r="A1334" s="19" t="inlineStr">
        <is>
          <t>FY27</t>
        </is>
      </c>
      <c r="B1334" s="19" t="inlineStr">
        <is>
          <t>May</t>
        </is>
      </c>
      <c r="C1334" s="19" t="inlineStr">
        <is>
          <t>TN</t>
        </is>
      </c>
      <c r="D1334" s="20" t="inlineStr">
        <is>
          <t>TN04AK6059</t>
        </is>
      </c>
      <c r="E1334" s="20" t="inlineStr">
        <is>
          <t>MARUTI SUZUKI</t>
        </is>
      </c>
      <c r="F1334" s="20" t="inlineStr">
        <is>
          <t>Swift</t>
        </is>
      </c>
      <c r="G1334" s="21" t="n">
        <v>2012</v>
      </c>
      <c r="H1334" s="22" t="n">
        <v>73074</v>
      </c>
      <c r="I1334" s="23" t="n">
        <v>200000</v>
      </c>
      <c r="J1334" s="20" t="inlineStr">
        <is>
          <t>EXCHANGE ROTN</t>
        </is>
      </c>
      <c r="K1334" s="20" t="inlineStr">
        <is>
          <t>Captive</t>
        </is>
      </c>
      <c r="L1334" s="20" t="inlineStr">
        <is>
          <t>YUGA DHEERAN CARS</t>
        </is>
      </c>
      <c r="M1334" s="23" t="n">
        <v>8474.58</v>
      </c>
      <c r="N1334" s="23" t="n">
        <v>10000</v>
      </c>
      <c r="O1334" s="24">
        <f>IF(AND(ISNUMBER(M1334), ISNUMBER(I1334), I1334&gt;0), M1334/I1334, "")</f>
        <v/>
      </c>
    </row>
    <row r="1335">
      <c r="A1335" s="19" t="inlineStr">
        <is>
          <t>FY27</t>
        </is>
      </c>
      <c r="B1335" s="19" t="inlineStr">
        <is>
          <t>May</t>
        </is>
      </c>
      <c r="C1335" s="19" t="inlineStr">
        <is>
          <t>TN</t>
        </is>
      </c>
      <c r="D1335" s="20" t="inlineStr">
        <is>
          <t>TN40L8016</t>
        </is>
      </c>
      <c r="E1335" s="20" t="inlineStr">
        <is>
          <t>HYUNDAI</t>
        </is>
      </c>
      <c r="F1335" s="20" t="inlineStr">
        <is>
          <t>Grand I10</t>
        </is>
      </c>
      <c r="G1335" s="21" t="n">
        <v>2015</v>
      </c>
      <c r="H1335" s="22" t="n">
        <v>64115</v>
      </c>
      <c r="I1335" s="23" t="n">
        <v>300000</v>
      </c>
      <c r="J1335" s="20" t="inlineStr">
        <is>
          <t>EXCHANGE ROTN</t>
        </is>
      </c>
      <c r="K1335" s="20" t="inlineStr">
        <is>
          <t>Captive</t>
        </is>
      </c>
      <c r="L1335" s="20" t="inlineStr">
        <is>
          <t>YUGA DHEERAN CARS</t>
        </is>
      </c>
      <c r="M1335" s="23" t="n">
        <v>12711.86</v>
      </c>
      <c r="N1335" s="23" t="n">
        <v>15000</v>
      </c>
      <c r="O1335" s="24">
        <f>IF(AND(ISNUMBER(M1335), ISNUMBER(I1335), I1335&gt;0), M1335/I1335, "")</f>
        <v/>
      </c>
    </row>
    <row r="1336">
      <c r="A1336" s="19" t="inlineStr">
        <is>
          <t>FY27</t>
        </is>
      </c>
      <c r="B1336" s="19" t="inlineStr">
        <is>
          <t>May</t>
        </is>
      </c>
      <c r="C1336" s="19" t="inlineStr">
        <is>
          <t>TN</t>
        </is>
      </c>
      <c r="D1336" s="20" t="inlineStr">
        <is>
          <t>TN59BL7621</t>
        </is>
      </c>
      <c r="E1336" s="20" t="inlineStr">
        <is>
          <t>MAHINDRA</t>
        </is>
      </c>
      <c r="F1336" s="20" t="inlineStr">
        <is>
          <t>Tuv300</t>
        </is>
      </c>
      <c r="G1336" s="21" t="n">
        <v>2016</v>
      </c>
      <c r="H1336" s="22" t="n">
        <v>55480</v>
      </c>
      <c r="I1336" s="23" t="n">
        <v>400000</v>
      </c>
      <c r="J1336" s="20" t="inlineStr">
        <is>
          <t>EXCHANGE ROTN</t>
        </is>
      </c>
      <c r="K1336" s="20" t="inlineStr">
        <is>
          <t>Captive</t>
        </is>
      </c>
      <c r="L1336" s="20" t="inlineStr">
        <is>
          <t>Auto Motivators</t>
        </is>
      </c>
      <c r="M1336" s="23" t="n">
        <v>12711.86</v>
      </c>
      <c r="N1336" s="23" t="n">
        <v>15000</v>
      </c>
      <c r="O1336" s="24">
        <f>IF(AND(ISNUMBER(M1336), ISNUMBER(I1336), I1336&gt;0), M1336/I1336, "")</f>
        <v/>
      </c>
    </row>
    <row r="1337">
      <c r="A1337" s="19" t="inlineStr">
        <is>
          <t>FY27</t>
        </is>
      </c>
      <c r="B1337" s="19" t="inlineStr">
        <is>
          <t>May</t>
        </is>
      </c>
      <c r="C1337" s="19" t="inlineStr">
        <is>
          <t>TN</t>
        </is>
      </c>
      <c r="D1337" s="20" t="inlineStr">
        <is>
          <t>TN69BD8543</t>
        </is>
      </c>
      <c r="E1337" s="20" t="inlineStr">
        <is>
          <t>HONDA</t>
        </is>
      </c>
      <c r="F1337" s="20" t="inlineStr">
        <is>
          <t>Brio</t>
        </is>
      </c>
      <c r="G1337" s="21" t="n">
        <v>2017</v>
      </c>
      <c r="H1337" s="22" t="n">
        <v>84259</v>
      </c>
      <c r="I1337" s="23" t="n">
        <v>300000</v>
      </c>
      <c r="J1337" s="20" t="inlineStr">
        <is>
          <t>EXCHANGE CHENNAI</t>
        </is>
      </c>
      <c r="K1337" s="20" t="inlineStr">
        <is>
          <t>Captive</t>
        </is>
      </c>
      <c r="L1337" s="20" t="inlineStr">
        <is>
          <t>Varadhrajan cars</t>
        </is>
      </c>
      <c r="M1337" s="23" t="n">
        <v>8474.58</v>
      </c>
      <c r="N1337" s="23" t="n">
        <v>10000</v>
      </c>
      <c r="O1337" s="24">
        <f>IF(AND(ISNUMBER(M1337), ISNUMBER(I1337), I1337&gt;0), M1337/I1337, "")</f>
        <v/>
      </c>
    </row>
    <row r="1338">
      <c r="A1338" s="19" t="inlineStr">
        <is>
          <t>FY27</t>
        </is>
      </c>
      <c r="B1338" s="19" t="inlineStr">
        <is>
          <t>May</t>
        </is>
      </c>
      <c r="C1338" s="19" t="inlineStr">
        <is>
          <t>TN</t>
        </is>
      </c>
      <c r="D1338" s="20" t="inlineStr">
        <is>
          <t>TN07CH6696</t>
        </is>
      </c>
      <c r="E1338" s="20" t="inlineStr">
        <is>
          <t>MARUTI SUZUKI</t>
        </is>
      </c>
      <c r="F1338" s="20" t="inlineStr">
        <is>
          <t>Wagon R</t>
        </is>
      </c>
      <c r="G1338" s="21" t="n">
        <v>2016</v>
      </c>
      <c r="H1338" s="22" t="n">
        <v>17174</v>
      </c>
      <c r="I1338" s="23" t="n">
        <v>325000</v>
      </c>
      <c r="J1338" s="20" t="inlineStr">
        <is>
          <t>EXCHANGE CHENNAI</t>
        </is>
      </c>
      <c r="K1338" s="20" t="inlineStr">
        <is>
          <t>Captive</t>
        </is>
      </c>
      <c r="L1338" s="20" t="inlineStr">
        <is>
          <t>Grid 33</t>
        </is>
      </c>
      <c r="M1338" s="23" t="n">
        <v>8474.58</v>
      </c>
      <c r="N1338" s="23" t="n">
        <v>10000</v>
      </c>
      <c r="O1338" s="24">
        <f>IF(AND(ISNUMBER(M1338), ISNUMBER(I1338), I1338&gt;0), M1338/I1338, "")</f>
        <v/>
      </c>
    </row>
    <row r="1339">
      <c r="A1339" s="19" t="inlineStr">
        <is>
          <t>FY27</t>
        </is>
      </c>
      <c r="B1339" s="19" t="inlineStr">
        <is>
          <t>May</t>
        </is>
      </c>
      <c r="C1339" s="19" t="inlineStr">
        <is>
          <t>TN</t>
        </is>
      </c>
      <c r="D1339" s="20" t="inlineStr">
        <is>
          <t>TN07BX7119</t>
        </is>
      </c>
      <c r="E1339" s="20" t="inlineStr">
        <is>
          <t>HONDA</t>
        </is>
      </c>
      <c r="F1339" s="20" t="inlineStr">
        <is>
          <t>Amaze</t>
        </is>
      </c>
      <c r="G1339" s="21" t="n">
        <v>2014</v>
      </c>
      <c r="H1339" s="22" t="n">
        <v>158887</v>
      </c>
      <c r="I1339" s="23" t="n">
        <v>210000</v>
      </c>
      <c r="J1339" s="20" t="inlineStr">
        <is>
          <t>EXCHANGE CHENNAI</t>
        </is>
      </c>
      <c r="K1339" s="20" t="inlineStr">
        <is>
          <t>Captive</t>
        </is>
      </c>
      <c r="L1339" s="20" t="inlineStr">
        <is>
          <t>Santhosh Cars</t>
        </is>
      </c>
      <c r="M1339" s="23" t="n">
        <v>8474.58</v>
      </c>
      <c r="N1339" s="23" t="n">
        <v>10000</v>
      </c>
      <c r="O1339" s="24">
        <f>IF(AND(ISNUMBER(M1339), ISNUMBER(I1339), I1339&gt;0), M1339/I1339, "")</f>
        <v/>
      </c>
    </row>
    <row r="1340">
      <c r="A1340" s="19" t="inlineStr">
        <is>
          <t>FY27</t>
        </is>
      </c>
      <c r="B1340" s="19" t="inlineStr">
        <is>
          <t>May</t>
        </is>
      </c>
      <c r="C1340" s="19" t="inlineStr">
        <is>
          <t>TN</t>
        </is>
      </c>
      <c r="D1340" s="20" t="inlineStr">
        <is>
          <t>TN03H5873</t>
        </is>
      </c>
      <c r="E1340" s="20" t="inlineStr">
        <is>
          <t>MARUTI SUZUKI</t>
        </is>
      </c>
      <c r="F1340" s="20" t="inlineStr">
        <is>
          <t>Ritz</t>
        </is>
      </c>
      <c r="G1340" s="21" t="n">
        <v>2012</v>
      </c>
      <c r="H1340" s="22" t="n">
        <v>6201</v>
      </c>
      <c r="I1340" s="23" t="n">
        <v>214500</v>
      </c>
      <c r="J1340" s="20" t="inlineStr">
        <is>
          <t>Khivraj Motor</t>
        </is>
      </c>
      <c r="K1340" s="20" t="inlineStr">
        <is>
          <t>Non-Captive</t>
        </is>
      </c>
      <c r="L1340" s="20" t="inlineStr">
        <is>
          <t>Pine Autos</t>
        </is>
      </c>
      <c r="M1340" s="23" t="n">
        <v>6355.93</v>
      </c>
      <c r="N1340" s="23" t="n">
        <v>7500</v>
      </c>
      <c r="O1340" s="24">
        <f>IF(AND(ISNUMBER(M1340), ISNUMBER(I1340), I1340&gt;0), M1340/I1340, "")</f>
        <v/>
      </c>
    </row>
    <row r="1341">
      <c r="A1341" s="19" t="inlineStr">
        <is>
          <t>FY27</t>
        </is>
      </c>
      <c r="B1341" s="19" t="inlineStr">
        <is>
          <t>May</t>
        </is>
      </c>
      <c r="C1341" s="19" t="inlineStr">
        <is>
          <t>TN</t>
        </is>
      </c>
      <c r="D1341" s="20" t="inlineStr">
        <is>
          <t>TN12AB0426</t>
        </is>
      </c>
      <c r="E1341" s="20" t="inlineStr">
        <is>
          <t>HYUNDAI</t>
        </is>
      </c>
      <c r="F1341" s="20" t="inlineStr">
        <is>
          <t>Santro</t>
        </is>
      </c>
      <c r="G1341" s="21" t="n">
        <v>2018</v>
      </c>
      <c r="H1341" s="22" t="n">
        <v>119238</v>
      </c>
      <c r="I1341" s="23" t="n">
        <v>270000</v>
      </c>
      <c r="J1341" s="20" t="inlineStr">
        <is>
          <t>Khivraj Motor</t>
        </is>
      </c>
      <c r="K1341" s="20" t="inlineStr">
        <is>
          <t>Non-Captive</t>
        </is>
      </c>
      <c r="L1341" s="20" t="inlineStr">
        <is>
          <t>Aasim Motor</t>
        </is>
      </c>
      <c r="M1341" s="23" t="n">
        <v>6355.93</v>
      </c>
      <c r="N1341" s="23" t="n">
        <v>7500</v>
      </c>
      <c r="O1341" s="24">
        <f>IF(AND(ISNUMBER(M1341), ISNUMBER(I1341), I1341&gt;0), M1341/I1341, "")</f>
        <v/>
      </c>
    </row>
    <row r="1342">
      <c r="A1342" s="19" t="inlineStr">
        <is>
          <t>FY27</t>
        </is>
      </c>
      <c r="B1342" s="19" t="inlineStr">
        <is>
          <t>May</t>
        </is>
      </c>
      <c r="C1342" s="19" t="inlineStr">
        <is>
          <t>TN</t>
        </is>
      </c>
      <c r="D1342" s="20" t="inlineStr">
        <is>
          <t>TN05AS0392</t>
        </is>
      </c>
      <c r="E1342" s="20" t="inlineStr">
        <is>
          <t>HYUNDAI</t>
        </is>
      </c>
      <c r="F1342" s="20" t="inlineStr">
        <is>
          <t>Eon</t>
        </is>
      </c>
      <c r="G1342" s="21" t="n">
        <v>2013</v>
      </c>
      <c r="H1342" s="22" t="n">
        <v>6714</v>
      </c>
      <c r="I1342" s="23" t="n">
        <v>155000</v>
      </c>
      <c r="J1342" s="20" t="inlineStr">
        <is>
          <t>Khivraj Motor</t>
        </is>
      </c>
      <c r="K1342" s="20" t="inlineStr">
        <is>
          <t>Non-Captive</t>
        </is>
      </c>
      <c r="L1342" s="20" t="inlineStr">
        <is>
          <t>S2 Cars</t>
        </is>
      </c>
      <c r="M1342" s="23" t="n">
        <v>5084.75</v>
      </c>
      <c r="N1342" s="23" t="n">
        <v>6000</v>
      </c>
      <c r="O1342" s="24">
        <f>IF(AND(ISNUMBER(M1342), ISNUMBER(I1342), I1342&gt;0), M1342/I1342, "")</f>
        <v/>
      </c>
    </row>
    <row r="1343">
      <c r="A1343" s="19" t="inlineStr">
        <is>
          <t>FY27</t>
        </is>
      </c>
      <c r="B1343" s="19" t="inlineStr">
        <is>
          <t>May</t>
        </is>
      </c>
      <c r="C1343" s="19" t="inlineStr">
        <is>
          <t>TN</t>
        </is>
      </c>
      <c r="D1343" s="20" t="inlineStr">
        <is>
          <t>TN07AU0684</t>
        </is>
      </c>
      <c r="E1343" s="20" t="inlineStr">
        <is>
          <t>MARUTI SUZUKI</t>
        </is>
      </c>
      <c r="F1343" s="20" t="inlineStr">
        <is>
          <t>Alto</t>
        </is>
      </c>
      <c r="G1343" s="21" t="n">
        <v>2006</v>
      </c>
      <c r="H1343" s="22" t="n">
        <v>32661</v>
      </c>
      <c r="I1343" s="23" t="n">
        <v>70000</v>
      </c>
      <c r="J1343" s="20" t="inlineStr">
        <is>
          <t>Khivraj Motor</t>
        </is>
      </c>
      <c r="K1343" s="20" t="inlineStr">
        <is>
          <t>Non-Captive</t>
        </is>
      </c>
      <c r="L1343" s="20" t="inlineStr">
        <is>
          <t>S2 Cars</t>
        </is>
      </c>
      <c r="M1343" s="23" t="n">
        <v>4237.29</v>
      </c>
      <c r="N1343" s="23" t="n">
        <v>5000</v>
      </c>
      <c r="O1343" s="24">
        <f>IF(AND(ISNUMBER(M1343), ISNUMBER(I1343), I1343&gt;0), M1343/I1343, "")</f>
        <v/>
      </c>
    </row>
    <row r="1344">
      <c r="A1344" s="19" t="inlineStr">
        <is>
          <t>FY27</t>
        </is>
      </c>
      <c r="B1344" s="19" t="inlineStr">
        <is>
          <t>May</t>
        </is>
      </c>
      <c r="C1344" s="19" t="inlineStr">
        <is>
          <t>TN</t>
        </is>
      </c>
      <c r="D1344" s="20" t="inlineStr">
        <is>
          <t>TN02BU6244</t>
        </is>
      </c>
      <c r="E1344" s="20" t="inlineStr">
        <is>
          <t>HONDA</t>
        </is>
      </c>
      <c r="F1344" s="20" t="inlineStr">
        <is>
          <t>City</t>
        </is>
      </c>
      <c r="G1344" s="21" t="n">
        <v>2021</v>
      </c>
      <c r="H1344" s="22" t="n">
        <v>69085</v>
      </c>
      <c r="I1344" s="23" t="n">
        <v>750000</v>
      </c>
      <c r="J1344" s="20" t="inlineStr">
        <is>
          <t>EXCHANGE CHENNAI</t>
        </is>
      </c>
      <c r="K1344" s="20" t="inlineStr">
        <is>
          <t>Captive</t>
        </is>
      </c>
      <c r="L1344" s="20" t="inlineStr">
        <is>
          <t>Grid 33</t>
        </is>
      </c>
      <c r="M1344" s="23" t="n">
        <v>8474.58</v>
      </c>
      <c r="N1344" s="23" t="n">
        <v>10000</v>
      </c>
      <c r="O1344" s="24">
        <f>IF(AND(ISNUMBER(M1344), ISNUMBER(I1344), I1344&gt;0), M1344/I1344, "")</f>
        <v/>
      </c>
    </row>
    <row r="1345">
      <c r="A1345" s="19" t="inlineStr">
        <is>
          <t>FY27</t>
        </is>
      </c>
      <c r="B1345" s="19" t="inlineStr">
        <is>
          <t>May</t>
        </is>
      </c>
      <c r="C1345" s="19" t="inlineStr">
        <is>
          <t>TN</t>
        </is>
      </c>
      <c r="D1345" s="20" t="inlineStr">
        <is>
          <t>TN85V7857</t>
        </is>
      </c>
      <c r="E1345" s="20" t="inlineStr">
        <is>
          <t>MG MOTORS</t>
        </is>
      </c>
      <c r="F1345" s="20" t="inlineStr">
        <is>
          <t>Hector-Plus</t>
        </is>
      </c>
      <c r="G1345" s="21" t="n">
        <v>2024</v>
      </c>
      <c r="H1345" s="22" t="n">
        <v>35542</v>
      </c>
      <c r="I1345" s="23" t="n">
        <v>1350000</v>
      </c>
      <c r="J1345" s="20" t="inlineStr">
        <is>
          <t>EXCHANGE CHENNAI</t>
        </is>
      </c>
      <c r="K1345" s="20" t="inlineStr">
        <is>
          <t>Captive</t>
        </is>
      </c>
      <c r="L1345" s="20" t="inlineStr">
        <is>
          <t>Yes Cars</t>
        </is>
      </c>
      <c r="M1345" s="23" t="n">
        <v>12711.86</v>
      </c>
      <c r="N1345" s="23" t="n">
        <v>15000</v>
      </c>
      <c r="O1345" s="24">
        <f>IF(AND(ISNUMBER(M1345), ISNUMBER(I1345), I1345&gt;0), M1345/I1345, "")</f>
        <v/>
      </c>
    </row>
    <row r="1346">
      <c r="A1346" s="19" t="inlineStr">
        <is>
          <t>FY27</t>
        </is>
      </c>
      <c r="B1346" s="19" t="inlineStr">
        <is>
          <t>May</t>
        </is>
      </c>
      <c r="C1346" s="19" t="inlineStr">
        <is>
          <t>TN</t>
        </is>
      </c>
      <c r="D1346" s="20" t="inlineStr">
        <is>
          <t>TN04AL8685</t>
        </is>
      </c>
      <c r="E1346" s="20" t="inlineStr">
        <is>
          <t>HONDA</t>
        </is>
      </c>
      <c r="F1346" s="20" t="inlineStr">
        <is>
          <t>Brio</t>
        </is>
      </c>
      <c r="G1346" s="21" t="n">
        <v>2013</v>
      </c>
      <c r="H1346" s="22" t="n">
        <v>87559</v>
      </c>
      <c r="I1346" s="23" t="n">
        <v>160000</v>
      </c>
      <c r="J1346" s="20" t="inlineStr">
        <is>
          <t>EXCHANGE CHENNAI</t>
        </is>
      </c>
      <c r="K1346" s="20" t="inlineStr">
        <is>
          <t>Captive</t>
        </is>
      </c>
      <c r="L1346" s="20" t="inlineStr">
        <is>
          <t>Santhosh Cars</t>
        </is>
      </c>
      <c r="M1346" s="23" t="n">
        <v>8474.58</v>
      </c>
      <c r="N1346" s="23" t="n">
        <v>10000</v>
      </c>
      <c r="O1346" s="24">
        <f>IF(AND(ISNUMBER(M1346), ISNUMBER(I1346), I1346&gt;0), M1346/I1346, "")</f>
        <v/>
      </c>
    </row>
    <row r="1347">
      <c r="A1347" s="19" t="inlineStr">
        <is>
          <t>FY27</t>
        </is>
      </c>
      <c r="B1347" s="19" t="inlineStr">
        <is>
          <t>May</t>
        </is>
      </c>
      <c r="C1347" s="19" t="inlineStr">
        <is>
          <t>TN</t>
        </is>
      </c>
      <c r="D1347" s="20" t="inlineStr">
        <is>
          <t>TN22CA5018</t>
        </is>
      </c>
      <c r="E1347" s="20" t="inlineStr">
        <is>
          <t>HONDA</t>
        </is>
      </c>
      <c r="F1347" s="20" t="inlineStr">
        <is>
          <t>Jazz</t>
        </is>
      </c>
      <c r="G1347" s="21" t="n">
        <v>2011</v>
      </c>
      <c r="H1347" s="22" t="n">
        <v>96412</v>
      </c>
      <c r="I1347" s="23" t="n">
        <v>160000</v>
      </c>
      <c r="J1347" s="20" t="inlineStr">
        <is>
          <t>EXCHANGE CHENNAI</t>
        </is>
      </c>
      <c r="K1347" s="20" t="inlineStr">
        <is>
          <t>Captive</t>
        </is>
      </c>
      <c r="L1347" s="20" t="inlineStr">
        <is>
          <t>Varadhrajan cars</t>
        </is>
      </c>
      <c r="M1347" s="23" t="n">
        <v>4237.29</v>
      </c>
      <c r="N1347" s="23" t="n">
        <v>5000</v>
      </c>
      <c r="O1347" s="24">
        <f>IF(AND(ISNUMBER(M1347), ISNUMBER(I1347), I1347&gt;0), M1347/I1347, "")</f>
        <v/>
      </c>
    </row>
    <row r="1348">
      <c r="A1348" s="19" t="inlineStr">
        <is>
          <t>FY27</t>
        </is>
      </c>
      <c r="B1348" s="19" t="inlineStr">
        <is>
          <t>May</t>
        </is>
      </c>
      <c r="C1348" s="19" t="inlineStr">
        <is>
          <t>TN</t>
        </is>
      </c>
      <c r="D1348" s="20" t="inlineStr">
        <is>
          <t>TN37CQ8669</t>
        </is>
      </c>
      <c r="E1348" s="20" t="inlineStr">
        <is>
          <t>HYUNDAI</t>
        </is>
      </c>
      <c r="F1348" s="20" t="inlineStr">
        <is>
          <t>Grand I10</t>
        </is>
      </c>
      <c r="G1348" s="21" t="n">
        <v>2016</v>
      </c>
      <c r="H1348" s="22" t="n">
        <v>126313</v>
      </c>
      <c r="I1348" s="23" t="n">
        <v>310000</v>
      </c>
      <c r="J1348" s="20" t="inlineStr">
        <is>
          <t>EXCHANGE ROTN</t>
        </is>
      </c>
      <c r="K1348" s="20" t="inlineStr">
        <is>
          <t>Captive</t>
        </is>
      </c>
      <c r="L1348" s="20" t="inlineStr">
        <is>
          <t>Gugha Cars</t>
        </is>
      </c>
      <c r="M1348" s="23" t="n">
        <v>12711.86</v>
      </c>
      <c r="N1348" s="23" t="n">
        <v>15000</v>
      </c>
      <c r="O1348" s="24">
        <f>IF(AND(ISNUMBER(M1348), ISNUMBER(I1348), I1348&gt;0), M1348/I1348, "")</f>
        <v/>
      </c>
    </row>
    <row r="1349">
      <c r="A1349" s="19" t="inlineStr">
        <is>
          <t>FY27</t>
        </is>
      </c>
      <c r="B1349" s="19" t="inlineStr">
        <is>
          <t>May</t>
        </is>
      </c>
      <c r="C1349" s="19" t="inlineStr">
        <is>
          <t>TN</t>
        </is>
      </c>
      <c r="D1349" s="20" t="inlineStr">
        <is>
          <t>TN63AS4156</t>
        </is>
      </c>
      <c r="E1349" s="20" t="inlineStr">
        <is>
          <t>HYUNDAI</t>
        </is>
      </c>
      <c r="F1349" s="20" t="inlineStr">
        <is>
          <t>Grand I10</t>
        </is>
      </c>
      <c r="G1349" s="21" t="n">
        <v>2016</v>
      </c>
      <c r="H1349" s="22" t="n">
        <v>138822</v>
      </c>
      <c r="I1349" s="23" t="n">
        <v>265000</v>
      </c>
      <c r="J1349" s="20" t="inlineStr">
        <is>
          <t>EXCHANGE ROTN</t>
        </is>
      </c>
      <c r="K1349" s="20" t="inlineStr">
        <is>
          <t>Captive</t>
        </is>
      </c>
      <c r="L1349" s="20" t="inlineStr">
        <is>
          <t>SRI RAJA KANAPATHY CARS</t>
        </is>
      </c>
      <c r="M1349" s="23" t="n">
        <v>8474.58</v>
      </c>
      <c r="N1349" s="23" t="n">
        <v>10000</v>
      </c>
      <c r="O1349" s="24">
        <f>IF(AND(ISNUMBER(M1349), ISNUMBER(I1349), I1349&gt;0), M1349/I1349, "")</f>
        <v/>
      </c>
    </row>
    <row r="1350">
      <c r="A1350" s="19" t="inlineStr">
        <is>
          <t>FY27</t>
        </is>
      </c>
      <c r="B1350" s="19" t="inlineStr">
        <is>
          <t>May</t>
        </is>
      </c>
      <c r="C1350" s="19" t="inlineStr">
        <is>
          <t>TN</t>
        </is>
      </c>
      <c r="D1350" s="20" t="inlineStr">
        <is>
          <t>TN09BM7437</t>
        </is>
      </c>
      <c r="E1350" s="20" t="inlineStr">
        <is>
          <t>SKODA</t>
        </is>
      </c>
      <c r="F1350" s="20" t="inlineStr">
        <is>
          <t>Rapid</t>
        </is>
      </c>
      <c r="G1350" s="21" t="n">
        <v>2012</v>
      </c>
      <c r="H1350" s="22" t="n">
        <v>146016</v>
      </c>
      <c r="I1350" s="23" t="n">
        <v>175000</v>
      </c>
      <c r="J1350" s="20" t="inlineStr">
        <is>
          <t>EXCHANGE ROTN</t>
        </is>
      </c>
      <c r="K1350" s="20" t="inlineStr">
        <is>
          <t>Captive</t>
        </is>
      </c>
      <c r="L1350" s="20" t="inlineStr">
        <is>
          <t>KSM AUTO CONSULTING</t>
        </is>
      </c>
      <c r="M1350" s="23" t="n">
        <v>4237.29</v>
      </c>
      <c r="N1350" s="23" t="n">
        <v>5000</v>
      </c>
      <c r="O1350" s="24">
        <f>IF(AND(ISNUMBER(M1350), ISNUMBER(I1350), I1350&gt;0), M1350/I1350, "")</f>
        <v/>
      </c>
    </row>
    <row r="1351">
      <c r="A1351" s="19" t="inlineStr">
        <is>
          <t>FY27</t>
        </is>
      </c>
      <c r="B1351" s="19" t="inlineStr">
        <is>
          <t>May</t>
        </is>
      </c>
      <c r="C1351" s="19" t="inlineStr">
        <is>
          <t>TN</t>
        </is>
      </c>
      <c r="D1351" s="20" t="inlineStr">
        <is>
          <t>TN67AL8575</t>
        </is>
      </c>
      <c r="E1351" s="20" t="inlineStr">
        <is>
          <t>MARUTI SUZUKI</t>
        </is>
      </c>
      <c r="F1351" s="20" t="inlineStr">
        <is>
          <t>Swift Dzire</t>
        </is>
      </c>
      <c r="G1351" s="21" t="n">
        <v>2013</v>
      </c>
      <c r="H1351" s="22" t="n">
        <v>176000</v>
      </c>
      <c r="I1351" s="23" t="n">
        <v>210000</v>
      </c>
      <c r="J1351" s="20" t="inlineStr">
        <is>
          <t>EXCHANGE ROTN</t>
        </is>
      </c>
      <c r="K1351" s="20" t="inlineStr">
        <is>
          <t>Captive</t>
        </is>
      </c>
      <c r="L1351" s="20" t="inlineStr">
        <is>
          <t>PURUSOTHAMAN J CARS</t>
        </is>
      </c>
      <c r="M1351" s="23" t="n">
        <v>4237.29</v>
      </c>
      <c r="N1351" s="23" t="n">
        <v>5000</v>
      </c>
      <c r="O1351" s="24">
        <f>IF(AND(ISNUMBER(M1351), ISNUMBER(I1351), I1351&gt;0), M1351/I1351, "")</f>
        <v/>
      </c>
    </row>
    <row r="1352">
      <c r="A1352" s="19" t="inlineStr">
        <is>
          <t>FY27</t>
        </is>
      </c>
      <c r="B1352" s="19" t="inlineStr">
        <is>
          <t>May</t>
        </is>
      </c>
      <c r="C1352" s="19" t="inlineStr">
        <is>
          <t>TN</t>
        </is>
      </c>
      <c r="D1352" s="20" t="inlineStr">
        <is>
          <t>TN59AU2679</t>
        </is>
      </c>
      <c r="E1352" s="20" t="inlineStr">
        <is>
          <t>MARUTI SUZUKI</t>
        </is>
      </c>
      <c r="F1352" s="20" t="inlineStr">
        <is>
          <t>Alto K10</t>
        </is>
      </c>
      <c r="G1352" s="21" t="n">
        <v>2012</v>
      </c>
      <c r="H1352" s="22" t="n">
        <v>99101</v>
      </c>
      <c r="I1352" s="23" t="n">
        <v>150000</v>
      </c>
      <c r="J1352" s="20" t="inlineStr">
        <is>
          <t>EXCHANGE ROTN</t>
        </is>
      </c>
      <c r="K1352" s="20" t="inlineStr">
        <is>
          <t>Captive</t>
        </is>
      </c>
      <c r="L1352" s="20" t="inlineStr">
        <is>
          <t>KSM AUTO CONSULTING</t>
        </is>
      </c>
      <c r="M1352" s="23" t="n">
        <v>4237.29</v>
      </c>
      <c r="N1352" s="23" t="n">
        <v>5000</v>
      </c>
      <c r="O1352" s="24">
        <f>IF(AND(ISNUMBER(M1352), ISNUMBER(I1352), I1352&gt;0), M1352/I1352, "")</f>
        <v/>
      </c>
    </row>
    <row r="1353">
      <c r="A1353" s="19" t="inlineStr">
        <is>
          <t>FY27</t>
        </is>
      </c>
      <c r="B1353" s="19" t="inlineStr">
        <is>
          <t>May</t>
        </is>
      </c>
      <c r="C1353" s="19" t="inlineStr">
        <is>
          <t>TN</t>
        </is>
      </c>
      <c r="D1353" s="20" t="inlineStr">
        <is>
          <t>TN07DH4641</t>
        </is>
      </c>
      <c r="E1353" s="20" t="inlineStr">
        <is>
          <t>MARUTI SUZUKI</t>
        </is>
      </c>
      <c r="F1353" s="20" t="inlineStr">
        <is>
          <t>Alto K10</t>
        </is>
      </c>
      <c r="G1353" s="21" t="n">
        <v>2024</v>
      </c>
      <c r="H1353" s="22" t="n">
        <v>18769</v>
      </c>
      <c r="I1353" s="23" t="n">
        <v>400000</v>
      </c>
      <c r="J1353" s="20" t="inlineStr">
        <is>
          <t>Khivraj Motor</t>
        </is>
      </c>
      <c r="K1353" s="20" t="inlineStr">
        <is>
          <t>Non-Captive</t>
        </is>
      </c>
      <c r="L1353" s="20" t="inlineStr">
        <is>
          <t>Cars 24</t>
        </is>
      </c>
      <c r="M1353" s="23" t="n">
        <v>7627.12</v>
      </c>
      <c r="N1353" s="23" t="n">
        <v>9000</v>
      </c>
      <c r="O1353" s="24">
        <f>IF(AND(ISNUMBER(M1353), ISNUMBER(I1353), I1353&gt;0), M1353/I1353, "")</f>
        <v/>
      </c>
    </row>
    <row r="1354">
      <c r="A1354" s="19" t="inlineStr">
        <is>
          <t>FY27</t>
        </is>
      </c>
      <c r="B1354" s="19" t="inlineStr">
        <is>
          <t>May</t>
        </is>
      </c>
      <c r="C1354" s="19" t="inlineStr">
        <is>
          <t>TN</t>
        </is>
      </c>
      <c r="D1354" s="20" t="inlineStr">
        <is>
          <t>TN01BD9231</t>
        </is>
      </c>
      <c r="E1354" s="20" t="inlineStr">
        <is>
          <t>SKODA</t>
        </is>
      </c>
      <c r="F1354" s="20" t="inlineStr">
        <is>
          <t>Octavia</t>
        </is>
      </c>
      <c r="G1354" s="21" t="n">
        <v>2018</v>
      </c>
      <c r="H1354" s="22" t="n">
        <v>42625</v>
      </c>
      <c r="I1354" s="23" t="n">
        <v>820000</v>
      </c>
      <c r="J1354" s="20" t="inlineStr">
        <is>
          <t>Castel Traders Honda</t>
        </is>
      </c>
      <c r="K1354" s="20" t="inlineStr">
        <is>
          <t>Non-Captive</t>
        </is>
      </c>
      <c r="L1354" s="20" t="inlineStr">
        <is>
          <t>car Hub</t>
        </is>
      </c>
      <c r="M1354" s="23" t="n">
        <v>12711.86</v>
      </c>
      <c r="N1354" s="23" t="n">
        <v>15000</v>
      </c>
      <c r="O1354" s="24">
        <f>IF(AND(ISNUMBER(M1354), ISNUMBER(I1354), I1354&gt;0), M1354/I1354, "")</f>
        <v/>
      </c>
    </row>
    <row r="1355">
      <c r="A1355" s="19" t="inlineStr">
        <is>
          <t>FY27</t>
        </is>
      </c>
      <c r="B1355" s="19" t="inlineStr">
        <is>
          <t>May</t>
        </is>
      </c>
      <c r="C1355" s="19" t="inlineStr">
        <is>
          <t>TN</t>
        </is>
      </c>
      <c r="D1355" s="20" t="inlineStr">
        <is>
          <t>TN02CC9528</t>
        </is>
      </c>
      <c r="E1355" s="20" t="inlineStr">
        <is>
          <t>TATA</t>
        </is>
      </c>
      <c r="F1355" s="20" t="inlineStr">
        <is>
          <t>Altroz</t>
        </is>
      </c>
      <c r="G1355" s="21" t="n">
        <v>2024</v>
      </c>
      <c r="H1355" s="22" t="n">
        <v>14763</v>
      </c>
      <c r="I1355" s="23" t="n">
        <v>675000</v>
      </c>
      <c r="J1355" s="20" t="inlineStr">
        <is>
          <t>Castel Traders Honda</t>
        </is>
      </c>
      <c r="K1355" s="20" t="inlineStr">
        <is>
          <t>Non-Captive</t>
        </is>
      </c>
      <c r="L1355" s="20" t="inlineStr">
        <is>
          <t>Grid 33</t>
        </is>
      </c>
      <c r="M1355" s="23" t="n">
        <v>8474.58</v>
      </c>
      <c r="N1355" s="23" t="n">
        <v>10000</v>
      </c>
      <c r="O1355" s="24">
        <f>IF(AND(ISNUMBER(M1355), ISNUMBER(I1355), I1355&gt;0), M1355/I1355, "")</f>
        <v/>
      </c>
    </row>
    <row r="1356">
      <c r="A1356" s="19" t="inlineStr">
        <is>
          <t>FY27</t>
        </is>
      </c>
      <c r="B1356" s="19" t="inlineStr">
        <is>
          <t>May</t>
        </is>
      </c>
      <c r="C1356" s="19" t="inlineStr">
        <is>
          <t>TN</t>
        </is>
      </c>
      <c r="D1356" s="20" t="inlineStr">
        <is>
          <t>TN18U8154</t>
        </is>
      </c>
      <c r="E1356" s="20" t="inlineStr">
        <is>
          <t>HONDA</t>
        </is>
      </c>
      <c r="F1356" s="20" t="inlineStr">
        <is>
          <t>Amaze</t>
        </is>
      </c>
      <c r="G1356" s="21" t="n">
        <v>2013</v>
      </c>
      <c r="H1356" s="22" t="n">
        <v>110320</v>
      </c>
      <c r="I1356" s="23" t="n">
        <v>280000</v>
      </c>
      <c r="J1356" s="20" t="inlineStr">
        <is>
          <t>Castel Traders Honda</t>
        </is>
      </c>
      <c r="K1356" s="20" t="inlineStr">
        <is>
          <t>Non-Captive</t>
        </is>
      </c>
      <c r="L1356" s="20" t="inlineStr">
        <is>
          <t>Grid 33</t>
        </is>
      </c>
      <c r="M1356" s="23" t="n">
        <v>5084.75</v>
      </c>
      <c r="N1356" s="23" t="n">
        <v>6000</v>
      </c>
      <c r="O1356" s="24">
        <f>IF(AND(ISNUMBER(M1356), ISNUMBER(I1356), I1356&gt;0), M1356/I1356, "")</f>
        <v/>
      </c>
    </row>
    <row r="1357">
      <c r="A1357" s="19" t="inlineStr">
        <is>
          <t>FY27</t>
        </is>
      </c>
      <c r="B1357" s="19" t="inlineStr">
        <is>
          <t>May</t>
        </is>
      </c>
      <c r="C1357" s="19" t="inlineStr">
        <is>
          <t>TN</t>
        </is>
      </c>
      <c r="D1357" s="20" t="inlineStr">
        <is>
          <t>TN13H3153</t>
        </is>
      </c>
      <c r="E1357" s="20" t="inlineStr">
        <is>
          <t>VOLKSWAGEN</t>
        </is>
      </c>
      <c r="F1357" s="20" t="inlineStr">
        <is>
          <t>Ameo</t>
        </is>
      </c>
      <c r="G1357" s="21" t="n">
        <v>2016</v>
      </c>
      <c r="H1357" s="22" t="n">
        <v>114694</v>
      </c>
      <c r="I1357" s="23" t="n">
        <v>290000</v>
      </c>
      <c r="J1357" s="20" t="inlineStr">
        <is>
          <t>Castel Traders Honda</t>
        </is>
      </c>
      <c r="K1357" s="20" t="inlineStr">
        <is>
          <t>Non-Captive</t>
        </is>
      </c>
      <c r="L1357" s="20" t="inlineStr">
        <is>
          <t>YUGA DHEERAN CARS</t>
        </is>
      </c>
      <c r="M1357" s="23" t="n">
        <v>5084.75</v>
      </c>
      <c r="N1357" s="23" t="n">
        <v>6000</v>
      </c>
      <c r="O1357" s="24">
        <f>IF(AND(ISNUMBER(M1357), ISNUMBER(I1357), I1357&gt;0), M1357/I1357, "")</f>
        <v/>
      </c>
    </row>
    <row r="1358">
      <c r="A1358" s="19" t="inlineStr">
        <is>
          <t>FY27</t>
        </is>
      </c>
      <c r="B1358" s="19" t="inlineStr">
        <is>
          <t>May</t>
        </is>
      </c>
      <c r="C1358" s="19" t="inlineStr">
        <is>
          <t>TN</t>
        </is>
      </c>
      <c r="D1358" s="20" t="inlineStr">
        <is>
          <t>TN38CP1418</t>
        </is>
      </c>
      <c r="E1358" s="20" t="inlineStr">
        <is>
          <t>HONDA</t>
        </is>
      </c>
      <c r="F1358" s="20" t="inlineStr">
        <is>
          <t>Amaze</t>
        </is>
      </c>
      <c r="G1358" s="21" t="n">
        <v>2018</v>
      </c>
      <c r="H1358" s="22" t="n">
        <v>94907</v>
      </c>
      <c r="I1358" s="23" t="n">
        <v>560000</v>
      </c>
      <c r="J1358" s="20" t="inlineStr">
        <is>
          <t>EXCHANGE ROTN</t>
        </is>
      </c>
      <c r="K1358" s="20" t="inlineStr">
        <is>
          <t>Captive</t>
        </is>
      </c>
      <c r="L1358" s="20" t="inlineStr">
        <is>
          <t>YUGA DHEERAN CARS</t>
        </is>
      </c>
      <c r="M1358" s="23" t="n">
        <v>13728.81</v>
      </c>
      <c r="N1358" s="23" t="n">
        <v>16200</v>
      </c>
      <c r="O1358" s="24">
        <f>IF(AND(ISNUMBER(M1358), ISNUMBER(I1358), I1358&gt;0), M1358/I1358, "")</f>
        <v/>
      </c>
    </row>
    <row r="1359">
      <c r="A1359" s="19" t="inlineStr">
        <is>
          <t>FY27</t>
        </is>
      </c>
      <c r="B1359" s="19" t="inlineStr">
        <is>
          <t>May</t>
        </is>
      </c>
      <c r="C1359" s="19" t="inlineStr">
        <is>
          <t>TN</t>
        </is>
      </c>
      <c r="D1359" s="20" t="inlineStr">
        <is>
          <t>TN38AX2424</t>
        </is>
      </c>
      <c r="E1359" s="20" t="inlineStr">
        <is>
          <t>MARUTI SUZUKI</t>
        </is>
      </c>
      <c r="F1359" s="20" t="inlineStr">
        <is>
          <t>Swift</t>
        </is>
      </c>
      <c r="G1359" s="21" t="n">
        <v>2008</v>
      </c>
      <c r="H1359" s="22" t="n">
        <v>95861</v>
      </c>
      <c r="I1359" s="23" t="n">
        <v>150000</v>
      </c>
      <c r="J1359" s="20" t="inlineStr">
        <is>
          <t>EXCHANGE ROTN</t>
        </is>
      </c>
      <c r="K1359" s="20" t="inlineStr">
        <is>
          <t>Captive</t>
        </is>
      </c>
      <c r="L1359" s="20" t="inlineStr">
        <is>
          <t>YUGA DHEERAN CARS</t>
        </is>
      </c>
      <c r="M1359" s="23" t="n">
        <v>8474.58</v>
      </c>
      <c r="N1359" s="23" t="n">
        <v>10000</v>
      </c>
      <c r="O1359" s="24">
        <f>IF(AND(ISNUMBER(M1359), ISNUMBER(I1359), I1359&gt;0), M1359/I1359, "")</f>
        <v/>
      </c>
    </row>
    <row r="1360">
      <c r="A1360" s="19" t="inlineStr">
        <is>
          <t>FY27</t>
        </is>
      </c>
      <c r="B1360" s="19" t="inlineStr">
        <is>
          <t>May</t>
        </is>
      </c>
      <c r="C1360" s="19" t="inlineStr">
        <is>
          <t>TN</t>
        </is>
      </c>
      <c r="D1360" s="20" t="inlineStr">
        <is>
          <t>TN01BF1441</t>
        </is>
      </c>
      <c r="E1360" s="20" t="inlineStr">
        <is>
          <t>HONDA</t>
        </is>
      </c>
      <c r="F1360" s="20" t="inlineStr">
        <is>
          <t>Amaze</t>
        </is>
      </c>
      <c r="G1360" s="21" t="n">
        <v>2018</v>
      </c>
      <c r="H1360" s="22" t="n">
        <v>85779</v>
      </c>
      <c r="I1360" s="23" t="n">
        <v>465000</v>
      </c>
      <c r="J1360" s="20" t="inlineStr">
        <is>
          <t>EXCHANGE ROTN</t>
        </is>
      </c>
      <c r="K1360" s="20" t="inlineStr">
        <is>
          <t>Captive</t>
        </is>
      </c>
      <c r="L1360" s="20" t="inlineStr">
        <is>
          <t>Gugha Cars</t>
        </is>
      </c>
      <c r="M1360" s="23" t="n">
        <v>16949.15</v>
      </c>
      <c r="N1360" s="23" t="n">
        <v>20000</v>
      </c>
      <c r="O1360" s="24">
        <f>IF(AND(ISNUMBER(M1360), ISNUMBER(I1360), I1360&gt;0), M1360/I1360, "")</f>
        <v/>
      </c>
    </row>
    <row r="1361">
      <c r="A1361" s="19" t="inlineStr">
        <is>
          <t>FY27</t>
        </is>
      </c>
      <c r="B1361" s="19" t="inlineStr">
        <is>
          <t>May</t>
        </is>
      </c>
      <c r="C1361" s="19" t="inlineStr">
        <is>
          <t>TN</t>
        </is>
      </c>
      <c r="D1361" s="20" t="inlineStr">
        <is>
          <t>TN01AV6822</t>
        </is>
      </c>
      <c r="E1361" s="20" t="inlineStr">
        <is>
          <t>HONDA</t>
        </is>
      </c>
      <c r="F1361" s="20" t="inlineStr">
        <is>
          <t>Cr-V</t>
        </is>
      </c>
      <c r="G1361" s="21" t="n">
        <v>2013</v>
      </c>
      <c r="H1361" s="22" t="n">
        <v>111667</v>
      </c>
      <c r="I1361" s="23" t="n">
        <v>300000</v>
      </c>
      <c r="J1361" s="20" t="inlineStr">
        <is>
          <t>EXCHANGE ROTN</t>
        </is>
      </c>
      <c r="K1361" s="20" t="inlineStr">
        <is>
          <t>Captive</t>
        </is>
      </c>
      <c r="L1361" s="20" t="inlineStr">
        <is>
          <t>Sai Cars</t>
        </is>
      </c>
      <c r="M1361" s="23" t="n">
        <v>8474.58</v>
      </c>
      <c r="N1361" s="23" t="n">
        <v>10000</v>
      </c>
      <c r="O1361" s="24">
        <f>IF(AND(ISNUMBER(M1361), ISNUMBER(I1361), I1361&gt;0), M1361/I1361, "")</f>
        <v/>
      </c>
    </row>
    <row r="1362">
      <c r="A1362" s="19" t="inlineStr">
        <is>
          <t>FY27</t>
        </is>
      </c>
      <c r="B1362" s="19" t="inlineStr">
        <is>
          <t>May</t>
        </is>
      </c>
      <c r="C1362" s="19" t="inlineStr">
        <is>
          <t>TN</t>
        </is>
      </c>
      <c r="D1362" s="20" t="inlineStr">
        <is>
          <t>TN67BC5293</t>
        </is>
      </c>
      <c r="E1362" s="20" t="inlineStr">
        <is>
          <t>FORD</t>
        </is>
      </c>
      <c r="F1362" s="20" t="inlineStr">
        <is>
          <t>Figo</t>
        </is>
      </c>
      <c r="G1362" s="21" t="n">
        <v>2015</v>
      </c>
      <c r="H1362" s="22" t="n">
        <v>183351</v>
      </c>
      <c r="I1362" s="23" t="n">
        <v>245000</v>
      </c>
      <c r="J1362" s="20" t="inlineStr">
        <is>
          <t>EXCHANGE ROTN</t>
        </is>
      </c>
      <c r="K1362" s="20" t="inlineStr">
        <is>
          <t>Captive</t>
        </is>
      </c>
      <c r="L1362" s="20" t="inlineStr">
        <is>
          <t>Sai Cars</t>
        </is>
      </c>
      <c r="M1362" s="23" t="n">
        <v>8474.58</v>
      </c>
      <c r="N1362" s="23" t="n">
        <v>10000</v>
      </c>
      <c r="O1362" s="24">
        <f>IF(AND(ISNUMBER(M1362), ISNUMBER(I1362), I1362&gt;0), M1362/I1362, "")</f>
        <v/>
      </c>
    </row>
    <row r="1363">
      <c r="A1363" s="19" t="inlineStr">
        <is>
          <t>FY27</t>
        </is>
      </c>
      <c r="B1363" s="19" t="inlineStr">
        <is>
          <t>May</t>
        </is>
      </c>
      <c r="C1363" s="19" t="inlineStr">
        <is>
          <t>TN</t>
        </is>
      </c>
      <c r="D1363" s="20" t="inlineStr">
        <is>
          <t>TN20BP9007</t>
        </is>
      </c>
      <c r="E1363" s="20" t="inlineStr">
        <is>
          <t>MARUTI SUZUKI</t>
        </is>
      </c>
      <c r="F1363" s="20" t="inlineStr">
        <is>
          <t>Alto K10</t>
        </is>
      </c>
      <c r="G1363" s="21" t="n">
        <v>2011</v>
      </c>
      <c r="H1363" s="22" t="n">
        <v>69505</v>
      </c>
      <c r="I1363" s="23" t="n">
        <v>96000</v>
      </c>
      <c r="J1363" s="20" t="inlineStr">
        <is>
          <t>EXCHANGE ROTN</t>
        </is>
      </c>
      <c r="K1363" s="20" t="inlineStr">
        <is>
          <t>Captive</t>
        </is>
      </c>
      <c r="L1363" s="20" t="inlineStr">
        <is>
          <t>Gugha Cars</t>
        </is>
      </c>
      <c r="M1363" s="23" t="n">
        <v>4237.29</v>
      </c>
      <c r="N1363" s="23" t="n">
        <v>5000</v>
      </c>
      <c r="O1363" s="24">
        <f>IF(AND(ISNUMBER(M1363), ISNUMBER(I1363), I1363&gt;0), M1363/I1363, "")</f>
        <v/>
      </c>
    </row>
    <row r="1364">
      <c r="A1364" s="19" t="inlineStr">
        <is>
          <t>FY27</t>
        </is>
      </c>
      <c r="B1364" s="19" t="inlineStr">
        <is>
          <t>May</t>
        </is>
      </c>
      <c r="C1364" s="19" t="inlineStr">
        <is>
          <t>TN</t>
        </is>
      </c>
      <c r="D1364" s="20" t="inlineStr">
        <is>
          <t>TN43C8595</t>
        </is>
      </c>
      <c r="E1364" s="20" t="inlineStr">
        <is>
          <t>TATA</t>
        </is>
      </c>
      <c r="F1364" s="20" t="inlineStr">
        <is>
          <t>Indigo</t>
        </is>
      </c>
      <c r="G1364" s="21" t="n">
        <v>2010</v>
      </c>
      <c r="H1364" s="22" t="n">
        <v>121384</v>
      </c>
      <c r="I1364" s="23" t="n">
        <v>95000</v>
      </c>
      <c r="J1364" s="20" t="inlineStr">
        <is>
          <t>EXCHANGE ROTN</t>
        </is>
      </c>
      <c r="K1364" s="20" t="inlineStr">
        <is>
          <t>Captive</t>
        </is>
      </c>
      <c r="L1364" s="20" t="inlineStr">
        <is>
          <t>Thirupathi Traders</t>
        </is>
      </c>
      <c r="M1364" s="23" t="n">
        <v>4237.29</v>
      </c>
      <c r="N1364" s="23" t="n">
        <v>5000</v>
      </c>
      <c r="O1364" s="24">
        <f>IF(AND(ISNUMBER(M1364), ISNUMBER(I1364), I1364&gt;0), M1364/I1364, "")</f>
        <v/>
      </c>
    </row>
    <row r="1365">
      <c r="A1365" s="19" t="inlineStr">
        <is>
          <t>FY27</t>
        </is>
      </c>
      <c r="B1365" s="19" t="inlineStr">
        <is>
          <t>May</t>
        </is>
      </c>
      <c r="C1365" s="19" t="inlineStr">
        <is>
          <t>TN</t>
        </is>
      </c>
      <c r="D1365" s="20" t="inlineStr">
        <is>
          <t>TN10AB0895</t>
        </is>
      </c>
      <c r="E1365" s="20" t="inlineStr">
        <is>
          <t>FORD</t>
        </is>
      </c>
      <c r="F1365" s="20" t="inlineStr">
        <is>
          <t>Figo</t>
        </is>
      </c>
      <c r="G1365" s="21" t="n">
        <v>2010</v>
      </c>
      <c r="H1365" s="22" t="n">
        <v>55791</v>
      </c>
      <c r="I1365" s="23" t="n">
        <v>20000</v>
      </c>
      <c r="J1365" s="20" t="inlineStr">
        <is>
          <t>EXCHANGE ROTN</t>
        </is>
      </c>
      <c r="K1365" s="20" t="inlineStr">
        <is>
          <t>Captive</t>
        </is>
      </c>
      <c r="L1365" s="20" t="inlineStr">
        <is>
          <t>Geethanjali cars</t>
        </is>
      </c>
      <c r="M1365" s="23" t="n">
        <v>4237.29</v>
      </c>
      <c r="N1365" s="23" t="n">
        <v>5000</v>
      </c>
      <c r="O1365" s="24">
        <f>IF(AND(ISNUMBER(M1365), ISNUMBER(I1365), I1365&gt;0), M1365/I1365, "")</f>
        <v/>
      </c>
    </row>
    <row r="1366">
      <c r="A1366" s="19" t="inlineStr">
        <is>
          <t>FY27</t>
        </is>
      </c>
      <c r="B1366" s="19" t="inlineStr">
        <is>
          <t>May</t>
        </is>
      </c>
      <c r="C1366" s="19" t="inlineStr">
        <is>
          <t>TN</t>
        </is>
      </c>
      <c r="D1366" s="20" t="inlineStr">
        <is>
          <t>TN45AT3116</t>
        </is>
      </c>
      <c r="E1366" s="20" t="inlineStr">
        <is>
          <t>HYUNDAI</t>
        </is>
      </c>
      <c r="F1366" s="20" t="inlineStr">
        <is>
          <t>I20</t>
        </is>
      </c>
      <c r="G1366" s="21" t="n">
        <v>2011</v>
      </c>
      <c r="H1366" s="22" t="n">
        <v>197920</v>
      </c>
      <c r="I1366" s="23" t="n">
        <v>98000</v>
      </c>
      <c r="J1366" s="20" t="inlineStr">
        <is>
          <t>EXCHANGE ROTN</t>
        </is>
      </c>
      <c r="K1366" s="20" t="inlineStr">
        <is>
          <t>Captive</t>
        </is>
      </c>
      <c r="L1366" s="20" t="inlineStr">
        <is>
          <t>Thirupathi Traders</t>
        </is>
      </c>
      <c r="M1366" s="23" t="n">
        <v>4237.29</v>
      </c>
      <c r="N1366" s="23" t="n">
        <v>5000</v>
      </c>
      <c r="O1366" s="24">
        <f>IF(AND(ISNUMBER(M1366), ISNUMBER(I1366), I1366&gt;0), M1366/I1366, "")</f>
        <v/>
      </c>
    </row>
    <row r="1367">
      <c r="A1367" s="19" t="inlineStr">
        <is>
          <t>FY27</t>
        </is>
      </c>
      <c r="B1367" s="19" t="inlineStr">
        <is>
          <t>May</t>
        </is>
      </c>
      <c r="C1367" s="19" t="inlineStr">
        <is>
          <t>TN</t>
        </is>
      </c>
      <c r="D1367" s="20" t="inlineStr">
        <is>
          <t>TN99E2405</t>
        </is>
      </c>
      <c r="E1367" s="20" t="inlineStr">
        <is>
          <t>RENAULT</t>
        </is>
      </c>
      <c r="F1367" s="20" t="inlineStr">
        <is>
          <t>Kwid</t>
        </is>
      </c>
      <c r="G1367" s="21" t="n">
        <v>2016</v>
      </c>
      <c r="H1367" s="22" t="n">
        <v>75713</v>
      </c>
      <c r="I1367" s="23" t="n">
        <v>98000</v>
      </c>
      <c r="J1367" s="20" t="inlineStr">
        <is>
          <t>EXCHANGE ROTN</t>
        </is>
      </c>
      <c r="K1367" s="20" t="inlineStr">
        <is>
          <t>Captive</t>
        </is>
      </c>
      <c r="L1367" s="20" t="inlineStr">
        <is>
          <t>Gugha Cars</t>
        </is>
      </c>
      <c r="M1367" s="23" t="n">
        <v>4237.29</v>
      </c>
      <c r="N1367" s="23" t="n">
        <v>5000</v>
      </c>
      <c r="O1367" s="24">
        <f>IF(AND(ISNUMBER(M1367), ISNUMBER(I1367), I1367&gt;0), M1367/I1367, "")</f>
        <v/>
      </c>
    </row>
    <row r="1368">
      <c r="A1368" s="19" t="inlineStr">
        <is>
          <t>FY27</t>
        </is>
      </c>
      <c r="B1368" s="19" t="inlineStr">
        <is>
          <t>May</t>
        </is>
      </c>
      <c r="C1368" s="19" t="inlineStr">
        <is>
          <t>TN</t>
        </is>
      </c>
      <c r="D1368" s="20" t="inlineStr">
        <is>
          <t>TN84D9832</t>
        </is>
      </c>
      <c r="E1368" s="20" t="inlineStr">
        <is>
          <t>DATSUN</t>
        </is>
      </c>
      <c r="F1368" s="20" t="inlineStr">
        <is>
          <t>Redi-Go</t>
        </is>
      </c>
      <c r="G1368" s="21" t="n">
        <v>2017</v>
      </c>
      <c r="H1368" s="22" t="n">
        <v>156273</v>
      </c>
      <c r="I1368" s="23" t="n">
        <v>95000</v>
      </c>
      <c r="J1368" s="20" t="inlineStr">
        <is>
          <t>EXCHANGE ROTN</t>
        </is>
      </c>
      <c r="K1368" s="20" t="inlineStr">
        <is>
          <t>Captive</t>
        </is>
      </c>
      <c r="L1368" s="20" t="inlineStr">
        <is>
          <t>Paul Cars</t>
        </is>
      </c>
      <c r="M1368" s="23" t="n">
        <v>4237.29</v>
      </c>
      <c r="N1368" s="23" t="n">
        <v>5000</v>
      </c>
      <c r="O1368" s="24">
        <f>IF(AND(ISNUMBER(M1368), ISNUMBER(I1368), I1368&gt;0), M1368/I1368, "")</f>
        <v/>
      </c>
    </row>
    <row r="1369">
      <c r="A1369" s="19" t="inlineStr">
        <is>
          <t>FY27</t>
        </is>
      </c>
      <c r="B1369" s="19" t="inlineStr">
        <is>
          <t>May</t>
        </is>
      </c>
      <c r="C1369" s="19" t="inlineStr">
        <is>
          <t>TN</t>
        </is>
      </c>
      <c r="D1369" s="20" t="inlineStr">
        <is>
          <t>TN95B8698</t>
        </is>
      </c>
      <c r="E1369" s="20" t="inlineStr">
        <is>
          <t>DATSUN</t>
        </is>
      </c>
      <c r="F1369" s="20" t="inlineStr">
        <is>
          <t>Redi-Go</t>
        </is>
      </c>
      <c r="G1369" s="21" t="n">
        <v>2018</v>
      </c>
      <c r="H1369" s="22" t="n">
        <v>111828</v>
      </c>
      <c r="I1369" s="23" t="n">
        <v>90000</v>
      </c>
      <c r="J1369" s="20" t="inlineStr">
        <is>
          <t>EXCHANGE ROTN</t>
        </is>
      </c>
      <c r="K1369" s="20" t="inlineStr">
        <is>
          <t>Captive</t>
        </is>
      </c>
      <c r="L1369" s="20" t="inlineStr">
        <is>
          <t>Paul Cars</t>
        </is>
      </c>
      <c r="M1369" s="23" t="n">
        <v>4237.29</v>
      </c>
      <c r="N1369" s="23" t="n">
        <v>5000</v>
      </c>
      <c r="O1369" s="24">
        <f>IF(AND(ISNUMBER(M1369), ISNUMBER(I1369), I1369&gt;0), M1369/I1369, "")</f>
        <v/>
      </c>
    </row>
    <row r="1370">
      <c r="A1370" s="19" t="inlineStr">
        <is>
          <t>FY27</t>
        </is>
      </c>
      <c r="B1370" s="19" t="inlineStr">
        <is>
          <t>May</t>
        </is>
      </c>
      <c r="C1370" s="19" t="inlineStr">
        <is>
          <t>TN</t>
        </is>
      </c>
      <c r="D1370" s="20" t="inlineStr">
        <is>
          <t>TN58AC5286</t>
        </is>
      </c>
      <c r="E1370" s="20" t="inlineStr">
        <is>
          <t>CHEVROLET</t>
        </is>
      </c>
      <c r="F1370" s="20" t="inlineStr">
        <is>
          <t>Beat</t>
        </is>
      </c>
      <c r="G1370" s="21" t="n">
        <v>2012</v>
      </c>
      <c r="H1370" s="22" t="n">
        <v>87790</v>
      </c>
      <c r="I1370" s="23" t="n">
        <v>82000</v>
      </c>
      <c r="J1370" s="20" t="inlineStr">
        <is>
          <t>KSM AUTO CONSULTING</t>
        </is>
      </c>
      <c r="K1370" s="20" t="inlineStr">
        <is>
          <t>Non-Captive</t>
        </is>
      </c>
      <c r="L1370" s="20" t="inlineStr">
        <is>
          <t>Paul Cars</t>
        </is>
      </c>
      <c r="M1370" s="23" t="n">
        <v>4237.29</v>
      </c>
      <c r="N1370" s="23" t="n">
        <v>5000</v>
      </c>
      <c r="O1370" s="24">
        <f>IF(AND(ISNUMBER(M1370), ISNUMBER(I1370), I1370&gt;0), M1370/I1370, "")</f>
        <v/>
      </c>
    </row>
    <row r="1371">
      <c r="A1371" s="19" t="inlineStr">
        <is>
          <t>FY27</t>
        </is>
      </c>
      <c r="B1371" s="19" t="inlineStr">
        <is>
          <t>May</t>
        </is>
      </c>
      <c r="C1371" s="19" t="inlineStr">
        <is>
          <t>TN</t>
        </is>
      </c>
      <c r="D1371" s="20" t="inlineStr">
        <is>
          <t>TN67BZ8286</t>
        </is>
      </c>
      <c r="E1371" s="20" t="inlineStr">
        <is>
          <t>NISSAN</t>
        </is>
      </c>
      <c r="F1371" s="20" t="inlineStr">
        <is>
          <t>Micra</t>
        </is>
      </c>
      <c r="G1371" s="21" t="n">
        <v>2014</v>
      </c>
      <c r="H1371" s="22" t="n">
        <v>103819</v>
      </c>
      <c r="I1371" s="23" t="n">
        <v>88000</v>
      </c>
      <c r="J1371" s="20" t="inlineStr">
        <is>
          <t>EXCHANGE ROTN</t>
        </is>
      </c>
      <c r="K1371" s="20" t="inlineStr">
        <is>
          <t>Captive</t>
        </is>
      </c>
      <c r="L1371" s="20" t="inlineStr">
        <is>
          <t>Paul Cars</t>
        </is>
      </c>
      <c r="M1371" s="23" t="n">
        <v>4237.29</v>
      </c>
      <c r="N1371" s="23" t="n">
        <v>5000</v>
      </c>
      <c r="O1371" s="24">
        <f>IF(AND(ISNUMBER(M1371), ISNUMBER(I1371), I1371&gt;0), M1371/I1371, "")</f>
        <v/>
      </c>
    </row>
    <row r="1372">
      <c r="A1372" s="19" t="inlineStr">
        <is>
          <t>FY27</t>
        </is>
      </c>
      <c r="B1372" s="19" t="inlineStr">
        <is>
          <t>May</t>
        </is>
      </c>
      <c r="C1372" s="19" t="inlineStr">
        <is>
          <t>TN</t>
        </is>
      </c>
      <c r="D1372" s="20" t="inlineStr">
        <is>
          <t>TN23CV2135</t>
        </is>
      </c>
      <c r="E1372" s="20" t="inlineStr">
        <is>
          <t>MARUTI SUZUKI</t>
        </is>
      </c>
      <c r="F1372" s="20" t="inlineStr">
        <is>
          <t>Alto</t>
        </is>
      </c>
      <c r="G1372" s="21" t="n">
        <v>2019</v>
      </c>
      <c r="H1372" s="22" t="n">
        <v>101309</v>
      </c>
      <c r="I1372" s="23" t="n">
        <v>65000</v>
      </c>
      <c r="J1372" s="20" t="inlineStr">
        <is>
          <t>EXCHANGE ROTN</t>
        </is>
      </c>
      <c r="K1372" s="20" t="inlineStr">
        <is>
          <t>Captive</t>
        </is>
      </c>
      <c r="L1372" s="20" t="inlineStr">
        <is>
          <t>Paul Cars</t>
        </is>
      </c>
      <c r="M1372" s="23" t="n">
        <v>4237.29</v>
      </c>
      <c r="N1372" s="23" t="n">
        <v>5000</v>
      </c>
      <c r="O1372" s="24">
        <f>IF(AND(ISNUMBER(M1372), ISNUMBER(I1372), I1372&gt;0), M1372/I1372, "")</f>
        <v/>
      </c>
    </row>
    <row r="1373">
      <c r="A1373" s="19" t="inlineStr">
        <is>
          <t>FY27</t>
        </is>
      </c>
      <c r="B1373" s="19" t="inlineStr">
        <is>
          <t>May</t>
        </is>
      </c>
      <c r="C1373" s="19" t="inlineStr">
        <is>
          <t>TN</t>
        </is>
      </c>
      <c r="D1373" s="20" t="inlineStr">
        <is>
          <t>TN04AB1224</t>
        </is>
      </c>
      <c r="E1373" s="20" t="inlineStr">
        <is>
          <t>HYUNDAI</t>
        </is>
      </c>
      <c r="F1373" s="20" t="inlineStr">
        <is>
          <t>Santor</t>
        </is>
      </c>
      <c r="G1373" s="21" t="n">
        <v>2007</v>
      </c>
      <c r="H1373" s="22" t="n">
        <v>71019</v>
      </c>
      <c r="I1373" s="23" t="n">
        <v>85000</v>
      </c>
      <c r="J1373" s="20" t="inlineStr">
        <is>
          <t>EXCHANGE CHENNAI</t>
        </is>
      </c>
      <c r="K1373" s="20" t="inlineStr">
        <is>
          <t>Captive</t>
        </is>
      </c>
      <c r="L1373" s="20" t="inlineStr">
        <is>
          <t>S2 Cars</t>
        </is>
      </c>
      <c r="M1373" s="23" t="n">
        <v>4237.29</v>
      </c>
      <c r="N1373" s="23" t="n">
        <v>5000</v>
      </c>
      <c r="O1373" s="24">
        <f>IF(AND(ISNUMBER(M1373), ISNUMBER(I1373), I1373&gt;0), M1373/I1373, "")</f>
        <v/>
      </c>
    </row>
    <row r="1374">
      <c r="A1374" s="19" t="inlineStr">
        <is>
          <t>FY27</t>
        </is>
      </c>
      <c r="B1374" s="19" t="inlineStr">
        <is>
          <t>May</t>
        </is>
      </c>
      <c r="C1374" s="19" t="inlineStr">
        <is>
          <t>TN</t>
        </is>
      </c>
      <c r="D1374" s="20" t="inlineStr">
        <is>
          <t>TN11AM5778</t>
        </is>
      </c>
      <c r="E1374" s="20" t="inlineStr">
        <is>
          <t>HONDA</t>
        </is>
      </c>
      <c r="F1374" s="20" t="inlineStr">
        <is>
          <t>Amaze</t>
        </is>
      </c>
      <c r="G1374" s="21" t="n">
        <v>2019</v>
      </c>
      <c r="H1374" s="22" t="n">
        <v>62643</v>
      </c>
      <c r="I1374" s="23" t="n">
        <v>440000</v>
      </c>
      <c r="J1374" s="20" t="inlineStr">
        <is>
          <t>EXCHANGE CHENNAI</t>
        </is>
      </c>
      <c r="K1374" s="20" t="inlineStr">
        <is>
          <t>Captive</t>
        </is>
      </c>
      <c r="L1374" s="20" t="inlineStr">
        <is>
          <t>Nirmal Cars</t>
        </is>
      </c>
      <c r="M1374" s="23" t="n">
        <v>8474.58</v>
      </c>
      <c r="N1374" s="23" t="n">
        <v>10000</v>
      </c>
      <c r="O1374" s="24">
        <f>IF(AND(ISNUMBER(M1374), ISNUMBER(I1374), I1374&gt;0), M1374/I1374, "")</f>
        <v/>
      </c>
    </row>
    <row r="1375">
      <c r="A1375" s="19" t="inlineStr">
        <is>
          <t>FY27</t>
        </is>
      </c>
      <c r="B1375" s="19" t="inlineStr">
        <is>
          <t>May</t>
        </is>
      </c>
      <c r="C1375" s="19" t="inlineStr">
        <is>
          <t>TN</t>
        </is>
      </c>
      <c r="D1375" s="20" t="inlineStr">
        <is>
          <t>KL01BY7994</t>
        </is>
      </c>
      <c r="E1375" s="20" t="inlineStr">
        <is>
          <t>MARUTI SUZUKI</t>
        </is>
      </c>
      <c r="F1375" s="20" t="inlineStr">
        <is>
          <t>Alto</t>
        </is>
      </c>
      <c r="G1375" s="21" t="n">
        <v>2016</v>
      </c>
      <c r="H1375" s="22" t="n">
        <v>34291</v>
      </c>
      <c r="I1375" s="23" t="n">
        <v>190000</v>
      </c>
      <c r="J1375" s="20" t="inlineStr">
        <is>
          <t>DERIK MOTORS PRIVATE LIMITED</t>
        </is>
      </c>
      <c r="K1375" s="20" t="inlineStr">
        <is>
          <t>Non-Captive</t>
        </is>
      </c>
      <c r="L1375" s="20" t="inlineStr">
        <is>
          <t>Popular Thrissur</t>
        </is>
      </c>
      <c r="M1375" s="23" t="n">
        <v>5000</v>
      </c>
      <c r="N1375" s="23" t="n">
        <v>5900</v>
      </c>
      <c r="O1375" s="24">
        <f>IF(AND(ISNUMBER(M1375), ISNUMBER(I1375), I1375&gt;0), M1375/I1375, "")</f>
        <v/>
      </c>
    </row>
    <row r="1376">
      <c r="A1376" s="19" t="inlineStr">
        <is>
          <t>FY27</t>
        </is>
      </c>
      <c r="B1376" s="19" t="inlineStr">
        <is>
          <t>May</t>
        </is>
      </c>
      <c r="C1376" s="19" t="inlineStr">
        <is>
          <t>TN</t>
        </is>
      </c>
      <c r="D1376" s="20" t="inlineStr">
        <is>
          <t>KL01CQ1801</t>
        </is>
      </c>
      <c r="E1376" s="20" t="inlineStr">
        <is>
          <t>TATA</t>
        </is>
      </c>
      <c r="F1376" s="20" t="inlineStr">
        <is>
          <t>Altroz</t>
        </is>
      </c>
      <c r="G1376" s="21" t="n">
        <v>2020</v>
      </c>
      <c r="H1376" s="22" t="n">
        <v>54310</v>
      </c>
      <c r="I1376" s="23" t="n">
        <v>175000</v>
      </c>
      <c r="J1376" s="20" t="inlineStr">
        <is>
          <t>INDEL Motor Corporation</t>
        </is>
      </c>
      <c r="K1376" s="20" t="inlineStr">
        <is>
          <t>Non-Captive</t>
        </is>
      </c>
      <c r="L1376" s="20" t="inlineStr">
        <is>
          <t>Popular Thrissur</t>
        </is>
      </c>
      <c r="M1376" s="23" t="n">
        <v>5000</v>
      </c>
      <c r="N1376" s="23" t="n">
        <v>5900</v>
      </c>
      <c r="O1376" s="24">
        <f>IF(AND(ISNUMBER(M1376), ISNUMBER(I1376), I1376&gt;0), M1376/I1376, "")</f>
        <v/>
      </c>
    </row>
    <row r="1377">
      <c r="A1377" s="19" t="inlineStr">
        <is>
          <t>FY27</t>
        </is>
      </c>
      <c r="B1377" s="19" t="inlineStr">
        <is>
          <t>May</t>
        </is>
      </c>
      <c r="C1377" s="19" t="inlineStr">
        <is>
          <t>TN</t>
        </is>
      </c>
      <c r="D1377" s="20" t="inlineStr">
        <is>
          <t>KL01CS3802</t>
        </is>
      </c>
      <c r="E1377" s="20" t="inlineStr">
        <is>
          <t>MARUTI SUZUKI</t>
        </is>
      </c>
      <c r="F1377" s="20" t="inlineStr">
        <is>
          <t>Baleno</t>
        </is>
      </c>
      <c r="G1377" s="21" t="n">
        <v>2021</v>
      </c>
      <c r="H1377" s="22" t="n">
        <v>76528</v>
      </c>
      <c r="I1377" s="23" t="n">
        <v>190000</v>
      </c>
      <c r="J1377" s="20" t="inlineStr">
        <is>
          <t>INDEL Motor Corporation</t>
        </is>
      </c>
      <c r="K1377" s="20" t="inlineStr">
        <is>
          <t>Non-Captive</t>
        </is>
      </c>
      <c r="L1377" s="20" t="inlineStr">
        <is>
          <t>Popular Thrissur</t>
        </is>
      </c>
      <c r="M1377" s="23" t="n">
        <v>5000</v>
      </c>
      <c r="N1377" s="23" t="n">
        <v>5900</v>
      </c>
      <c r="O1377" s="24">
        <f>IF(AND(ISNUMBER(M1377), ISNUMBER(I1377), I1377&gt;0), M1377/I1377, "")</f>
        <v/>
      </c>
    </row>
    <row r="1378">
      <c r="A1378" s="19" t="inlineStr">
        <is>
          <t>FY27</t>
        </is>
      </c>
      <c r="B1378" s="19" t="inlineStr">
        <is>
          <t>May</t>
        </is>
      </c>
      <c r="C1378" s="19" t="inlineStr">
        <is>
          <t>TN</t>
        </is>
      </c>
      <c r="D1378" s="20" t="inlineStr">
        <is>
          <t>KL02AS3043</t>
        </is>
      </c>
      <c r="E1378" s="20" t="inlineStr">
        <is>
          <t>MARUTI SUZUKI</t>
        </is>
      </c>
      <c r="F1378" s="20" t="inlineStr">
        <is>
          <t>Swift Dzire</t>
        </is>
      </c>
      <c r="G1378" s="21" t="n">
        <v>2014</v>
      </c>
      <c r="H1378" s="22" t="n">
        <v>65371</v>
      </c>
      <c r="I1378" s="23" t="n">
        <v>170000</v>
      </c>
      <c r="J1378" s="20" t="inlineStr">
        <is>
          <t>INDEL Motor Corporation</t>
        </is>
      </c>
      <c r="K1378" s="20" t="inlineStr">
        <is>
          <t>Non-Captive</t>
        </is>
      </c>
      <c r="L1378" s="20" t="inlineStr">
        <is>
          <t>Popular Thrissur</t>
        </is>
      </c>
      <c r="M1378" s="23" t="n">
        <v>5000</v>
      </c>
      <c r="N1378" s="23" t="n">
        <v>5900</v>
      </c>
      <c r="O1378" s="24">
        <f>IF(AND(ISNUMBER(M1378), ISNUMBER(I1378), I1378&gt;0), M1378/I1378, "")</f>
        <v/>
      </c>
    </row>
    <row r="1379">
      <c r="A1379" s="19" t="inlineStr">
        <is>
          <t>FY27</t>
        </is>
      </c>
      <c r="B1379" s="19" t="inlineStr">
        <is>
          <t>May</t>
        </is>
      </c>
      <c r="C1379" s="19" t="inlineStr">
        <is>
          <t>TN</t>
        </is>
      </c>
      <c r="D1379" s="20" t="inlineStr">
        <is>
          <t>KL01CH8014</t>
        </is>
      </c>
      <c r="E1379" s="20" t="inlineStr">
        <is>
          <t>MARUTI SUZUKI</t>
        </is>
      </c>
      <c r="F1379" s="20" t="inlineStr">
        <is>
          <t>Celerio</t>
        </is>
      </c>
      <c r="G1379" s="21" t="n">
        <v>2018</v>
      </c>
      <c r="H1379" s="22" t="n">
        <v>25674</v>
      </c>
      <c r="I1379" s="23" t="n">
        <v>170000</v>
      </c>
      <c r="J1379" s="20" t="inlineStr">
        <is>
          <t>INDEL Motor Corporation</t>
        </is>
      </c>
      <c r="K1379" s="20" t="inlineStr">
        <is>
          <t>Non-Captive</t>
        </is>
      </c>
      <c r="L1379" s="20" t="inlineStr">
        <is>
          <t>Popular Thrissur</t>
        </is>
      </c>
      <c r="M1379" s="23" t="n">
        <v>5000</v>
      </c>
      <c r="N1379" s="23" t="n">
        <v>5900</v>
      </c>
      <c r="O1379" s="24">
        <f>IF(AND(ISNUMBER(M1379), ISNUMBER(I1379), I1379&gt;0), M1379/I1379, "")</f>
        <v/>
      </c>
    </row>
    <row r="1380">
      <c r="A1380" s="19" t="inlineStr">
        <is>
          <t>FY27</t>
        </is>
      </c>
      <c r="B1380" s="19" t="inlineStr">
        <is>
          <t>May</t>
        </is>
      </c>
      <c r="C1380" s="19" t="inlineStr">
        <is>
          <t>TN</t>
        </is>
      </c>
      <c r="D1380" s="20" t="inlineStr">
        <is>
          <t>TN22BX0339</t>
        </is>
      </c>
      <c r="E1380" s="20" t="inlineStr">
        <is>
          <t>CHEVROLET</t>
        </is>
      </c>
      <c r="F1380" s="20" t="inlineStr">
        <is>
          <t>Spark</t>
        </is>
      </c>
      <c r="G1380" s="21" t="n">
        <v>2008</v>
      </c>
      <c r="H1380" s="22" t="n">
        <v>43292</v>
      </c>
      <c r="I1380" s="23" t="n">
        <v>50000</v>
      </c>
      <c r="J1380" s="20" t="inlineStr">
        <is>
          <t>Cresco cars</t>
        </is>
      </c>
      <c r="K1380" s="20" t="inlineStr">
        <is>
          <t>Non-Captive</t>
        </is>
      </c>
      <c r="L1380" s="20" t="inlineStr">
        <is>
          <t>aasim motor</t>
        </is>
      </c>
      <c r="M1380" s="23" t="n">
        <v>4661.02</v>
      </c>
      <c r="N1380" s="23" t="n">
        <v>5500</v>
      </c>
      <c r="O1380" s="24">
        <f>IF(AND(ISNUMBER(M1380), ISNUMBER(I1380), I1380&gt;0), M1380/I1380, "")</f>
        <v/>
      </c>
    </row>
    <row r="1381">
      <c r="A1381" s="19" t="inlineStr">
        <is>
          <t>FY27</t>
        </is>
      </c>
      <c r="B1381" s="19" t="inlineStr">
        <is>
          <t>May</t>
        </is>
      </c>
      <c r="C1381" s="19" t="inlineStr">
        <is>
          <t>TN</t>
        </is>
      </c>
      <c r="D1381" s="20" t="inlineStr">
        <is>
          <t>TN02V3376</t>
        </is>
      </c>
      <c r="E1381" s="20" t="inlineStr">
        <is>
          <t>HONDA</t>
        </is>
      </c>
      <c r="F1381" s="20" t="inlineStr">
        <is>
          <t>nan</t>
        </is>
      </c>
      <c r="G1381" s="21" t="n">
        <v>2005</v>
      </c>
      <c r="H1381" s="22" t="n">
        <v>114290</v>
      </c>
      <c r="I1381" s="23" t="n">
        <v>50000</v>
      </c>
      <c r="J1381" s="20" t="inlineStr">
        <is>
          <t>STEER AUTO TECHNOLOGIES PRIVATE LIMITED</t>
        </is>
      </c>
      <c r="K1381" s="20" t="inlineStr">
        <is>
          <t>Non-Captive</t>
        </is>
      </c>
      <c r="L1381" s="20" t="inlineStr">
        <is>
          <t>S2 Cars</t>
        </is>
      </c>
      <c r="M1381" s="23" t="n">
        <v>2542.37</v>
      </c>
      <c r="N1381" s="23" t="n">
        <v>3000</v>
      </c>
      <c r="O1381" s="24">
        <f>IF(AND(ISNUMBER(M1381), ISNUMBER(I1381), I1381&gt;0), M1381/I1381, "")</f>
        <v/>
      </c>
    </row>
    <row r="1382">
      <c r="A1382" s="19" t="inlineStr">
        <is>
          <t>FY27</t>
        </is>
      </c>
      <c r="B1382" s="19" t="inlineStr">
        <is>
          <t>May</t>
        </is>
      </c>
      <c r="C1382" s="19" t="inlineStr">
        <is>
          <t>TN</t>
        </is>
      </c>
      <c r="D1382" s="20" t="inlineStr">
        <is>
          <t>TN22AA3810</t>
        </is>
      </c>
      <c r="E1382" s="20" t="inlineStr">
        <is>
          <t>MAHINDRA</t>
        </is>
      </c>
      <c r="F1382" s="20" t="inlineStr">
        <is>
          <t>Scorpio</t>
        </is>
      </c>
      <c r="G1382" s="21" t="n">
        <v>2003</v>
      </c>
      <c r="H1382" s="22" t="n">
        <v>183431</v>
      </c>
      <c r="I1382" s="23" t="n">
        <v>50000</v>
      </c>
      <c r="J1382" s="20" t="inlineStr">
        <is>
          <t>STEER AUTO TECHNOLOGIES PRIVATE LIMITED</t>
        </is>
      </c>
      <c r="K1382" s="20" t="inlineStr">
        <is>
          <t>Non-Captive</t>
        </is>
      </c>
      <c r="L1382" s="20" t="inlineStr">
        <is>
          <t>Mahathi Cars</t>
        </is>
      </c>
      <c r="M1382" s="23" t="n">
        <v>4237.29</v>
      </c>
      <c r="N1382" s="23" t="n">
        <v>5000</v>
      </c>
      <c r="O1382" s="24">
        <f>IF(AND(ISNUMBER(M1382), ISNUMBER(I1382), I1382&gt;0), M1382/I1382, "")</f>
        <v/>
      </c>
    </row>
    <row r="1383">
      <c r="A1383" s="19" t="inlineStr">
        <is>
          <t>FY27</t>
        </is>
      </c>
      <c r="B1383" s="19" t="inlineStr">
        <is>
          <t>May</t>
        </is>
      </c>
      <c r="C1383" s="19" t="inlineStr">
        <is>
          <t>TN</t>
        </is>
      </c>
      <c r="D1383" s="20" t="inlineStr">
        <is>
          <t>TN33AJ9229</t>
        </is>
      </c>
      <c r="E1383" s="20" t="inlineStr">
        <is>
          <t>TATA</t>
        </is>
      </c>
      <c r="F1383" s="20" t="inlineStr">
        <is>
          <t>Indica</t>
        </is>
      </c>
      <c r="G1383" s="21" t="n">
        <v>2007</v>
      </c>
      <c r="H1383" s="22" t="n">
        <v>202069</v>
      </c>
      <c r="I1383" s="23" t="n">
        <v>50000</v>
      </c>
      <c r="J1383" s="20" t="inlineStr">
        <is>
          <t>THIRIVENI CARS</t>
        </is>
      </c>
      <c r="K1383" s="20" t="inlineStr">
        <is>
          <t>Non-Captive</t>
        </is>
      </c>
      <c r="L1383" s="20" t="inlineStr">
        <is>
          <t>Mahathi Cars</t>
        </is>
      </c>
      <c r="M1383" s="23" t="n">
        <v>4237.29</v>
      </c>
      <c r="N1383" s="23" t="n">
        <v>5000</v>
      </c>
      <c r="O1383" s="24">
        <f>IF(AND(ISNUMBER(M1383), ISNUMBER(I1383), I1383&gt;0), M1383/I1383, "")</f>
        <v/>
      </c>
    </row>
    <row r="1384">
      <c r="A1384" s="19" t="inlineStr">
        <is>
          <t>FY27</t>
        </is>
      </c>
      <c r="B1384" s="19" t="inlineStr">
        <is>
          <t>May</t>
        </is>
      </c>
      <c r="C1384" s="19" t="inlineStr">
        <is>
          <t>TN</t>
        </is>
      </c>
      <c r="D1384" s="20" t="inlineStr">
        <is>
          <t>TN30AK1498</t>
        </is>
      </c>
      <c r="E1384" s="20" t="inlineStr">
        <is>
          <t>TATA</t>
        </is>
      </c>
      <c r="F1384" s="20" t="inlineStr">
        <is>
          <t>Indigo</t>
        </is>
      </c>
      <c r="G1384" s="21" t="n">
        <v>2011</v>
      </c>
      <c r="H1384" s="22" t="n">
        <v>99999</v>
      </c>
      <c r="I1384" s="23" t="n">
        <v>50000</v>
      </c>
      <c r="J1384" s="20" t="inlineStr">
        <is>
          <t>THIRIVENI CARS</t>
        </is>
      </c>
      <c r="K1384" s="20" t="inlineStr">
        <is>
          <t>Non-Captive</t>
        </is>
      </c>
      <c r="L1384" s="20" t="inlineStr">
        <is>
          <t>Mahathi Cars</t>
        </is>
      </c>
      <c r="M1384" s="23" t="n">
        <v>4237.29</v>
      </c>
      <c r="N1384" s="23" t="n">
        <v>5000</v>
      </c>
      <c r="O1384" s="24">
        <f>IF(AND(ISNUMBER(M1384), ISNUMBER(I1384), I1384&gt;0), M1384/I1384, "")</f>
        <v/>
      </c>
    </row>
    <row r="1385">
      <c r="A1385" s="19" t="inlineStr">
        <is>
          <t>FY27</t>
        </is>
      </c>
      <c r="B1385" s="19" t="inlineStr">
        <is>
          <t>May</t>
        </is>
      </c>
      <c r="C1385" s="19" t="inlineStr">
        <is>
          <t>TN</t>
        </is>
      </c>
      <c r="D1385" s="20" t="inlineStr">
        <is>
          <t>TN01AP2777</t>
        </is>
      </c>
      <c r="E1385" s="20" t="inlineStr">
        <is>
          <t>MARUTI SUZUKI</t>
        </is>
      </c>
      <c r="F1385" s="20" t="inlineStr">
        <is>
          <t>Alto K10</t>
        </is>
      </c>
      <c r="G1385" s="21" t="n">
        <v>2011</v>
      </c>
      <c r="H1385" s="22" t="n">
        <v>0</v>
      </c>
      <c r="I1385" s="23" t="n">
        <v>50000</v>
      </c>
      <c r="J1385" s="20" t="inlineStr">
        <is>
          <t>Suriyakumar</t>
        </is>
      </c>
      <c r="K1385" s="20" t="inlineStr">
        <is>
          <t>Non-Captive</t>
        </is>
      </c>
      <c r="L1385" s="20" t="inlineStr">
        <is>
          <t>Mahathi Cars</t>
        </is>
      </c>
      <c r="M1385" s="23" t="n">
        <v>4237.29</v>
      </c>
      <c r="N1385" s="23" t="n">
        <v>5000</v>
      </c>
      <c r="O1385" s="24">
        <f>IF(AND(ISNUMBER(M1385), ISNUMBER(I1385), I1385&gt;0), M1385/I1385, "")</f>
        <v/>
      </c>
    </row>
    <row r="1386">
      <c r="A1386" s="19" t="inlineStr">
        <is>
          <t>FY27</t>
        </is>
      </c>
      <c r="B1386" s="19" t="inlineStr">
        <is>
          <t>May</t>
        </is>
      </c>
      <c r="C1386" s="19" t="inlineStr">
        <is>
          <t>TN</t>
        </is>
      </c>
      <c r="D1386" s="20" t="inlineStr">
        <is>
          <t>TN45AP8961</t>
        </is>
      </c>
      <c r="E1386" s="20" t="inlineStr">
        <is>
          <t>MARUTI SUZUKI</t>
        </is>
      </c>
      <c r="F1386" s="20" t="inlineStr">
        <is>
          <t>Zen</t>
        </is>
      </c>
      <c r="G1386" s="21" t="n">
        <v>2010</v>
      </c>
      <c r="H1386" s="22" t="n">
        <v>57550</v>
      </c>
      <c r="I1386" s="23" t="n">
        <v>60000</v>
      </c>
      <c r="J1386" s="20" t="inlineStr">
        <is>
          <t>STEER AUTO TECHNOLOGIES PRIVATE LIMITED</t>
        </is>
      </c>
      <c r="K1386" s="20" t="inlineStr">
        <is>
          <t>Non-Captive</t>
        </is>
      </c>
      <c r="L1386" s="20" t="inlineStr">
        <is>
          <t>Mahathi Cars</t>
        </is>
      </c>
      <c r="M1386" s="23" t="n">
        <v>5084.75</v>
      </c>
      <c r="N1386" s="23" t="n">
        <v>6000</v>
      </c>
      <c r="O1386" s="24">
        <f>IF(AND(ISNUMBER(M1386), ISNUMBER(I1386), I1386&gt;0), M1386/I1386, "")</f>
        <v/>
      </c>
    </row>
    <row r="1387">
      <c r="A1387" s="19" t="inlineStr">
        <is>
          <t>FY27</t>
        </is>
      </c>
      <c r="B1387" s="19" t="inlineStr">
        <is>
          <t>May</t>
        </is>
      </c>
      <c r="C1387" s="19" t="inlineStr">
        <is>
          <t>TN</t>
        </is>
      </c>
      <c r="D1387" s="20" t="inlineStr">
        <is>
          <t>TN10T1134</t>
        </is>
      </c>
      <c r="E1387" s="20" t="inlineStr">
        <is>
          <t>TATA</t>
        </is>
      </c>
      <c r="F1387" s="20" t="inlineStr">
        <is>
          <t>Indica</t>
        </is>
      </c>
      <c r="G1387" s="21" t="n">
        <v>2007</v>
      </c>
      <c r="H1387" s="22" t="n">
        <v>130473</v>
      </c>
      <c r="I1387" s="23" t="n">
        <v>60000</v>
      </c>
      <c r="J1387" s="20" t="inlineStr">
        <is>
          <t>THIRIVENI CARS</t>
        </is>
      </c>
      <c r="K1387" s="20" t="inlineStr">
        <is>
          <t>Non-Captive</t>
        </is>
      </c>
      <c r="L1387" s="20" t="inlineStr">
        <is>
          <t>Nirmal Cars</t>
        </is>
      </c>
      <c r="M1387" s="23" t="n">
        <v>4237.29</v>
      </c>
      <c r="N1387" s="23" t="n">
        <v>5000</v>
      </c>
      <c r="O1387" s="24">
        <f>IF(AND(ISNUMBER(M1387), ISNUMBER(I1387), I1387&gt;0), M1387/I1387, "")</f>
        <v/>
      </c>
    </row>
    <row r="1388">
      <c r="A1388" s="19" t="inlineStr">
        <is>
          <t>FY27</t>
        </is>
      </c>
      <c r="B1388" s="19" t="inlineStr">
        <is>
          <t>May</t>
        </is>
      </c>
      <c r="C1388" s="19" t="inlineStr">
        <is>
          <t>TN</t>
        </is>
      </c>
      <c r="D1388" s="20" t="inlineStr">
        <is>
          <t>AP09BB8254</t>
        </is>
      </c>
      <c r="E1388" s="20" t="inlineStr">
        <is>
          <t>MARUTI SUZUKI</t>
        </is>
      </c>
      <c r="F1388" s="20" t="inlineStr">
        <is>
          <t>Zen</t>
        </is>
      </c>
      <c r="G1388" s="21" t="n">
        <v>2006</v>
      </c>
      <c r="H1388" s="22" t="n">
        <v>82714</v>
      </c>
      <c r="I1388" s="23" t="n">
        <v>55000</v>
      </c>
      <c r="J1388" s="20" t="inlineStr">
        <is>
          <t>Harsha</t>
        </is>
      </c>
      <c r="K1388" s="20" t="inlineStr">
        <is>
          <t>Non-Captive</t>
        </is>
      </c>
      <c r="L1388" s="20" t="inlineStr">
        <is>
          <t>Nirmal Cars</t>
        </is>
      </c>
      <c r="M1388" s="23" t="n">
        <v>4237.29</v>
      </c>
      <c r="N1388" s="23" t="n">
        <v>5000</v>
      </c>
      <c r="O1388" s="24">
        <f>IF(AND(ISNUMBER(M1388), ISNUMBER(I1388), I1388&gt;0), M1388/I1388, "")</f>
        <v/>
      </c>
    </row>
    <row r="1389">
      <c r="A1389" s="19" t="inlineStr">
        <is>
          <t>FY27</t>
        </is>
      </c>
      <c r="B1389" s="19" t="inlineStr">
        <is>
          <t>May</t>
        </is>
      </c>
      <c r="C1389" s="19" t="inlineStr">
        <is>
          <t>TN</t>
        </is>
      </c>
      <c r="D1389" s="20" t="inlineStr">
        <is>
          <t>TN09AL6078</t>
        </is>
      </c>
      <c r="E1389" s="20" t="inlineStr">
        <is>
          <t>MARUTI SUZUKI</t>
        </is>
      </c>
      <c r="F1389" s="20" t="inlineStr">
        <is>
          <t>Wagon R</t>
        </is>
      </c>
      <c r="G1389" s="21" t="n">
        <v>2005</v>
      </c>
      <c r="H1389" s="22" t="n">
        <v>88448</v>
      </c>
      <c r="I1389" s="23" t="n">
        <v>50000</v>
      </c>
      <c r="J1389" s="20" t="inlineStr">
        <is>
          <t>KSM AUTO CONSULTING</t>
        </is>
      </c>
      <c r="K1389" s="20" t="inlineStr">
        <is>
          <t>Non-Captive</t>
        </is>
      </c>
      <c r="L1389" s="20" t="inlineStr">
        <is>
          <t>Nirmal Cars</t>
        </is>
      </c>
      <c r="M1389" s="23" t="n">
        <v>4237.29</v>
      </c>
      <c r="N1389" s="23" t="n">
        <v>5000</v>
      </c>
      <c r="O1389" s="24">
        <f>IF(AND(ISNUMBER(M1389), ISNUMBER(I1389), I1389&gt;0), M1389/I1389, "")</f>
        <v/>
      </c>
    </row>
    <row r="1390">
      <c r="A1390" s="19" t="inlineStr">
        <is>
          <t>FY27</t>
        </is>
      </c>
      <c r="B1390" s="19" t="inlineStr">
        <is>
          <t>May</t>
        </is>
      </c>
      <c r="C1390" s="19" t="inlineStr">
        <is>
          <t>TN</t>
        </is>
      </c>
      <c r="D1390" s="20" t="inlineStr">
        <is>
          <t>TN32D4150</t>
        </is>
      </c>
      <c r="E1390" s="20" t="inlineStr">
        <is>
          <t>MAHINDRA</t>
        </is>
      </c>
      <c r="F1390" s="20" t="inlineStr">
        <is>
          <t>Bolero</t>
        </is>
      </c>
      <c r="G1390" s="21" t="n">
        <v>2007</v>
      </c>
      <c r="H1390" s="22" t="n">
        <v>209404</v>
      </c>
      <c r="I1390" s="23" t="n">
        <v>50000</v>
      </c>
      <c r="J1390" s="20" t="inlineStr">
        <is>
          <t>Khivraj Motor</t>
        </is>
      </c>
      <c r="K1390" s="20" t="inlineStr">
        <is>
          <t>Non-Captive</t>
        </is>
      </c>
      <c r="L1390" s="20" t="inlineStr">
        <is>
          <t>Nirmal Cars</t>
        </is>
      </c>
      <c r="M1390" s="23" t="n">
        <v>4237.29</v>
      </c>
      <c r="N1390" s="23" t="n">
        <v>5000</v>
      </c>
      <c r="O1390" s="24">
        <f>IF(AND(ISNUMBER(M1390), ISNUMBER(I1390), I1390&gt;0), M1390/I1390, "")</f>
        <v/>
      </c>
    </row>
    <row r="1391">
      <c r="A1391" s="19" t="inlineStr">
        <is>
          <t>FY27</t>
        </is>
      </c>
      <c r="B1391" s="19" t="inlineStr">
        <is>
          <t>May</t>
        </is>
      </c>
      <c r="C1391" s="19" t="inlineStr">
        <is>
          <t>TN</t>
        </is>
      </c>
      <c r="D1391" s="20" t="inlineStr">
        <is>
          <t>TN09CB8346</t>
        </is>
      </c>
      <c r="E1391" s="20" t="inlineStr">
        <is>
          <t>HYUNDAI</t>
        </is>
      </c>
      <c r="F1391" s="20" t="inlineStr">
        <is>
          <t>Creta</t>
        </is>
      </c>
      <c r="G1391" s="21" t="n">
        <v>2015</v>
      </c>
      <c r="H1391" s="22" t="n">
        <v>150000</v>
      </c>
      <c r="I1391" s="23" t="n">
        <v>50000</v>
      </c>
      <c r="J1391" s="20" t="inlineStr">
        <is>
          <t>Suriyakumar</t>
        </is>
      </c>
      <c r="K1391" s="20" t="inlineStr">
        <is>
          <t>Non-Captive</t>
        </is>
      </c>
      <c r="L1391" s="20" t="inlineStr">
        <is>
          <t>Shree Shan Motor</t>
        </is>
      </c>
      <c r="M1391" s="23" t="n">
        <v>3389.83</v>
      </c>
      <c r="N1391" s="23" t="n">
        <v>4000</v>
      </c>
      <c r="O1391" s="24">
        <f>IF(AND(ISNUMBER(M1391), ISNUMBER(I1391), I1391&gt;0), M1391/I1391, "")</f>
        <v/>
      </c>
    </row>
    <row r="1392">
      <c r="A1392" s="19" t="inlineStr">
        <is>
          <t>FY27</t>
        </is>
      </c>
      <c r="B1392" s="19" t="inlineStr">
        <is>
          <t>May</t>
        </is>
      </c>
      <c r="C1392" s="19" t="inlineStr">
        <is>
          <t>TN</t>
        </is>
      </c>
      <c r="D1392" s="20" t="inlineStr">
        <is>
          <t>TN01AA5423</t>
        </is>
      </c>
      <c r="E1392" s="20" t="inlineStr">
        <is>
          <t>MARUTI SUZUKI</t>
        </is>
      </c>
      <c r="F1392" s="20" t="inlineStr">
        <is>
          <t>Swift</t>
        </is>
      </c>
      <c r="G1392" s="21" t="n">
        <v>2006</v>
      </c>
      <c r="H1392" s="22" t="n">
        <v>114761</v>
      </c>
      <c r="I1392" s="23" t="n">
        <v>60000</v>
      </c>
      <c r="J1392" s="20" t="inlineStr">
        <is>
          <t>Khivraj Motor</t>
        </is>
      </c>
      <c r="K1392" s="20" t="inlineStr">
        <is>
          <t>Non-Captive</t>
        </is>
      </c>
      <c r="L1392" s="20" t="inlineStr">
        <is>
          <t>Shree Shan Motor</t>
        </is>
      </c>
      <c r="M1392" s="23" t="n">
        <v>3389.83</v>
      </c>
      <c r="N1392" s="23" t="n">
        <v>4000</v>
      </c>
      <c r="O1392" s="24">
        <f>IF(AND(ISNUMBER(M1392), ISNUMBER(I1392), I1392&gt;0), M1392/I1392, "")</f>
        <v/>
      </c>
    </row>
    <row r="1393">
      <c r="A1393" s="19" t="inlineStr">
        <is>
          <t>FY27</t>
        </is>
      </c>
      <c r="B1393" s="19" t="inlineStr">
        <is>
          <t>May</t>
        </is>
      </c>
      <c r="C1393" s="19" t="inlineStr">
        <is>
          <t>TN</t>
        </is>
      </c>
      <c r="D1393" s="20" t="inlineStr">
        <is>
          <t>TN52Y8302</t>
        </is>
      </c>
      <c r="E1393" s="20" t="inlineStr">
        <is>
          <t>TATA</t>
        </is>
      </c>
      <c r="F1393" s="20" t="inlineStr">
        <is>
          <t>Indica</t>
        </is>
      </c>
      <c r="G1393" s="21" t="n">
        <v>2010</v>
      </c>
      <c r="H1393" s="22" t="n">
        <v>152241</v>
      </c>
      <c r="I1393" s="23" t="n">
        <v>90000</v>
      </c>
      <c r="J1393" s="20" t="inlineStr">
        <is>
          <t>THIRIVENI CARS</t>
        </is>
      </c>
      <c r="K1393" s="20" t="inlineStr">
        <is>
          <t>Non-Captive</t>
        </is>
      </c>
      <c r="L1393" s="20" t="inlineStr">
        <is>
          <t>Shree Shan Motor</t>
        </is>
      </c>
      <c r="M1393" s="23" t="n">
        <v>3389.83</v>
      </c>
      <c r="N1393" s="23" t="n">
        <v>4000</v>
      </c>
      <c r="O1393" s="24">
        <f>IF(AND(ISNUMBER(M1393), ISNUMBER(I1393), I1393&gt;0), M1393/I1393, "")</f>
        <v/>
      </c>
    </row>
    <row r="1394">
      <c r="A1394" s="19" t="inlineStr">
        <is>
          <t>FY27</t>
        </is>
      </c>
      <c r="B1394" s="19" t="inlineStr">
        <is>
          <t>May</t>
        </is>
      </c>
      <c r="C1394" s="19" t="inlineStr">
        <is>
          <t>TN</t>
        </is>
      </c>
      <c r="D1394" s="20" t="inlineStr">
        <is>
          <t>TN03H7888</t>
        </is>
      </c>
      <c r="E1394" s="20" t="inlineStr">
        <is>
          <t>CHEVROLET</t>
        </is>
      </c>
      <c r="F1394" s="20" t="inlineStr">
        <is>
          <t>Beat</t>
        </is>
      </c>
      <c r="G1394" s="21" t="n">
        <v>2012</v>
      </c>
      <c r="H1394" s="22" t="n">
        <v>117991</v>
      </c>
      <c r="I1394" s="23" t="n">
        <v>60000</v>
      </c>
      <c r="J1394" s="20" t="inlineStr">
        <is>
          <t>Khivraj Motor</t>
        </is>
      </c>
      <c r="K1394" s="20" t="inlineStr">
        <is>
          <t>Non-Captive</t>
        </is>
      </c>
      <c r="L1394" s="20" t="inlineStr">
        <is>
          <t>Shree Shan Motor</t>
        </is>
      </c>
      <c r="M1394" s="23" t="n">
        <v>3389.83</v>
      </c>
      <c r="N1394" s="23" t="n">
        <v>4000</v>
      </c>
      <c r="O1394" s="24">
        <f>IF(AND(ISNUMBER(M1394), ISNUMBER(I1394), I1394&gt;0), M1394/I1394, "")</f>
        <v/>
      </c>
    </row>
    <row r="1395">
      <c r="A1395" s="19" t="inlineStr">
        <is>
          <t>FY27</t>
        </is>
      </c>
      <c r="B1395" s="19" t="inlineStr">
        <is>
          <t>May</t>
        </is>
      </c>
      <c r="C1395" s="19" t="inlineStr">
        <is>
          <t>TN</t>
        </is>
      </c>
      <c r="D1395" s="20" t="inlineStr">
        <is>
          <t>TN82P2907</t>
        </is>
      </c>
      <c r="E1395" s="20" t="inlineStr">
        <is>
          <t>TOYOTA</t>
        </is>
      </c>
      <c r="F1395" s="20" t="inlineStr">
        <is>
          <t>Crysta</t>
        </is>
      </c>
      <c r="G1395" s="21" t="n">
        <v>2023</v>
      </c>
      <c r="H1395" s="22" t="n">
        <v>20352</v>
      </c>
      <c r="I1395" s="23" t="n">
        <v>60000</v>
      </c>
      <c r="J1395" s="20" t="inlineStr">
        <is>
          <t>Suriyakumar</t>
        </is>
      </c>
      <c r="K1395" s="20" t="inlineStr">
        <is>
          <t>Non-Captive</t>
        </is>
      </c>
      <c r="L1395" s="20" t="inlineStr">
        <is>
          <t>Shree Shan Motor</t>
        </is>
      </c>
      <c r="M1395" s="23" t="n">
        <v>3389.83</v>
      </c>
      <c r="N1395" s="23" t="n">
        <v>4000</v>
      </c>
      <c r="O1395" s="24">
        <f>IF(AND(ISNUMBER(M1395), ISNUMBER(I1395), I1395&gt;0), M1395/I1395, "")</f>
        <v/>
      </c>
    </row>
    <row r="1396">
      <c r="A1396" s="19" t="inlineStr">
        <is>
          <t>FY27</t>
        </is>
      </c>
      <c r="B1396" s="19" t="inlineStr">
        <is>
          <t>May</t>
        </is>
      </c>
      <c r="C1396" s="19" t="inlineStr">
        <is>
          <t>TN</t>
        </is>
      </c>
      <c r="D1396" s="20" t="inlineStr">
        <is>
          <t>TN05AC4234</t>
        </is>
      </c>
      <c r="E1396" s="20" t="inlineStr">
        <is>
          <t>CHEVROLET</t>
        </is>
      </c>
      <c r="F1396" s="20" t="inlineStr">
        <is>
          <t>Spark</t>
        </is>
      </c>
      <c r="G1396" s="21" t="n">
        <v>2009</v>
      </c>
      <c r="H1396" s="22" t="n">
        <v>75030</v>
      </c>
      <c r="I1396" s="23" t="n">
        <v>65000</v>
      </c>
      <c r="J1396" s="20" t="inlineStr">
        <is>
          <t>Shree Thiya cars</t>
        </is>
      </c>
      <c r="K1396" s="20" t="inlineStr">
        <is>
          <t>Non-Captive</t>
        </is>
      </c>
      <c r="L1396" s="20" t="inlineStr">
        <is>
          <t>Shree Shan Motor</t>
        </is>
      </c>
      <c r="M1396" s="23" t="n">
        <v>3389.83</v>
      </c>
      <c r="N1396" s="23" t="n">
        <v>4000</v>
      </c>
      <c r="O1396" s="24">
        <f>IF(AND(ISNUMBER(M1396), ISNUMBER(I1396), I1396&gt;0), M1396/I1396, "")</f>
        <v/>
      </c>
    </row>
    <row r="1397">
      <c r="A1397" s="19" t="inlineStr">
        <is>
          <t>FY27</t>
        </is>
      </c>
      <c r="B1397" s="19" t="inlineStr">
        <is>
          <t>May</t>
        </is>
      </c>
      <c r="C1397" s="19" t="inlineStr">
        <is>
          <t>TN</t>
        </is>
      </c>
      <c r="D1397" s="20" t="inlineStr">
        <is>
          <t>TN02AE7660</t>
        </is>
      </c>
      <c r="E1397" s="20" t="inlineStr">
        <is>
          <t>HYUNDAI</t>
        </is>
      </c>
      <c r="F1397" s="20" t="inlineStr">
        <is>
          <t>Santro</t>
        </is>
      </c>
      <c r="G1397" s="21" t="n">
        <v>2008</v>
      </c>
      <c r="H1397" s="22" t="n">
        <v>23304</v>
      </c>
      <c r="I1397" s="23" t="n">
        <v>65000</v>
      </c>
      <c r="J1397" s="20" t="inlineStr">
        <is>
          <t>Khivraj Motor</t>
        </is>
      </c>
      <c r="K1397" s="20" t="inlineStr">
        <is>
          <t>Non-Captive</t>
        </is>
      </c>
      <c r="L1397" s="20" t="inlineStr">
        <is>
          <t>Shree Shan Motor</t>
        </is>
      </c>
      <c r="M1397" s="23" t="n">
        <v>3389.83</v>
      </c>
      <c r="N1397" s="23" t="n">
        <v>4000</v>
      </c>
      <c r="O1397" s="24">
        <f>IF(AND(ISNUMBER(M1397), ISNUMBER(I1397), I1397&gt;0), M1397/I1397, "")</f>
        <v/>
      </c>
    </row>
    <row r="1398">
      <c r="A1398" s="19" t="inlineStr">
        <is>
          <t>FY27</t>
        </is>
      </c>
      <c r="B1398" s="19" t="inlineStr">
        <is>
          <t>May</t>
        </is>
      </c>
      <c r="C1398" s="19" t="inlineStr">
        <is>
          <t>TN</t>
        </is>
      </c>
      <c r="D1398" s="20" t="inlineStr">
        <is>
          <t>TN32AC7779</t>
        </is>
      </c>
      <c r="E1398" s="20" t="inlineStr">
        <is>
          <t>TATA</t>
        </is>
      </c>
      <c r="F1398" s="20" t="inlineStr">
        <is>
          <t>Indigo</t>
        </is>
      </c>
      <c r="G1398" s="21" t="n">
        <v>2011</v>
      </c>
      <c r="H1398" s="22" t="n">
        <v>170205</v>
      </c>
      <c r="I1398" s="23" t="n">
        <v>80000</v>
      </c>
      <c r="J1398" s="20" t="inlineStr">
        <is>
          <t>THIRIVENI CARS</t>
        </is>
      </c>
      <c r="K1398" s="20" t="inlineStr">
        <is>
          <t>Non-Captive</t>
        </is>
      </c>
      <c r="L1398" s="20" t="inlineStr">
        <is>
          <t>Shree Shan Motor</t>
        </is>
      </c>
      <c r="M1398" s="23" t="n">
        <v>5084.75</v>
      </c>
      <c r="N1398" s="23" t="n">
        <v>6000</v>
      </c>
      <c r="O1398" s="24">
        <f>IF(AND(ISNUMBER(M1398), ISNUMBER(I1398), I1398&gt;0), M1398/I1398, "")</f>
        <v/>
      </c>
    </row>
    <row r="1399">
      <c r="A1399" s="19" t="inlineStr">
        <is>
          <t>FY27</t>
        </is>
      </c>
      <c r="B1399" s="19" t="inlineStr">
        <is>
          <t>May</t>
        </is>
      </c>
      <c r="C1399" s="19" t="inlineStr">
        <is>
          <t>TN</t>
        </is>
      </c>
      <c r="D1399" s="20" t="inlineStr">
        <is>
          <t>TN18E1831</t>
        </is>
      </c>
      <c r="E1399" s="20" t="inlineStr">
        <is>
          <t>CHEVROLET</t>
        </is>
      </c>
      <c r="F1399" s="20" t="inlineStr">
        <is>
          <t>Spark</t>
        </is>
      </c>
      <c r="G1399" s="21" t="n">
        <v>2010</v>
      </c>
      <c r="H1399" s="22" t="n">
        <v>20072</v>
      </c>
      <c r="I1399" s="23" t="n">
        <v>80000</v>
      </c>
      <c r="J1399" s="20" t="inlineStr">
        <is>
          <t>Cresco cars</t>
        </is>
      </c>
      <c r="K1399" s="20" t="inlineStr">
        <is>
          <t>Non-Captive</t>
        </is>
      </c>
      <c r="L1399" s="20" t="inlineStr">
        <is>
          <t>Shree Shan Motor</t>
        </is>
      </c>
      <c r="M1399" s="23" t="n">
        <v>5084.75</v>
      </c>
      <c r="N1399" s="23" t="n">
        <v>6000</v>
      </c>
      <c r="O1399" s="24">
        <f>IF(AND(ISNUMBER(M1399), ISNUMBER(I1399), I1399&gt;0), M1399/I1399, "")</f>
        <v/>
      </c>
    </row>
    <row r="1400">
      <c r="A1400" s="19" t="inlineStr">
        <is>
          <t>FY27</t>
        </is>
      </c>
      <c r="B1400" s="19" t="inlineStr">
        <is>
          <t>May</t>
        </is>
      </c>
      <c r="C1400" s="19" t="inlineStr">
        <is>
          <t>TN</t>
        </is>
      </c>
      <c r="D1400" s="20" t="inlineStr">
        <is>
          <t>TN01AK7291</t>
        </is>
      </c>
      <c r="E1400" s="20" t="inlineStr">
        <is>
          <t>HYUNDAI</t>
        </is>
      </c>
      <c r="F1400" s="20" t="inlineStr">
        <is>
          <t>Verna</t>
        </is>
      </c>
      <c r="G1400" s="21" t="n">
        <v>2010</v>
      </c>
      <c r="H1400" s="22" t="n">
        <v>69519</v>
      </c>
      <c r="I1400" s="23" t="n">
        <v>70000</v>
      </c>
      <c r="J1400" s="20" t="inlineStr">
        <is>
          <t>Khivraj Motor</t>
        </is>
      </c>
      <c r="K1400" s="20" t="inlineStr">
        <is>
          <t>Non-Captive</t>
        </is>
      </c>
      <c r="L1400" s="20" t="inlineStr">
        <is>
          <t>Grid 33</t>
        </is>
      </c>
      <c r="M1400" s="23" t="n">
        <v>4237.29</v>
      </c>
      <c r="N1400" s="23" t="n">
        <v>5000</v>
      </c>
      <c r="O1400" s="24">
        <f>IF(AND(ISNUMBER(M1400), ISNUMBER(I1400), I1400&gt;0), M1400/I1400, "")</f>
        <v/>
      </c>
    </row>
    <row r="1401">
      <c r="A1401" s="19" t="inlineStr">
        <is>
          <t>FY27</t>
        </is>
      </c>
      <c r="B1401" s="19" t="inlineStr">
        <is>
          <t>May</t>
        </is>
      </c>
      <c r="C1401" s="19" t="inlineStr">
        <is>
          <t>TN</t>
        </is>
      </c>
      <c r="D1401" s="20" t="inlineStr">
        <is>
          <t>TN02AR3280</t>
        </is>
      </c>
      <c r="E1401" s="20" t="inlineStr">
        <is>
          <t>MARUTI SUZUKI</t>
        </is>
      </c>
      <c r="F1401" s="20" t="inlineStr">
        <is>
          <t>Ritz</t>
        </is>
      </c>
      <c r="G1401" s="21" t="n">
        <v>2011</v>
      </c>
      <c r="H1401" s="22" t="n">
        <v>68686</v>
      </c>
      <c r="I1401" s="23" t="n">
        <v>75000</v>
      </c>
      <c r="J1401" s="20" t="inlineStr">
        <is>
          <t>Khivraj Motor</t>
        </is>
      </c>
      <c r="K1401" s="20" t="inlineStr">
        <is>
          <t>Non-Captive</t>
        </is>
      </c>
      <c r="L1401" s="20" t="inlineStr">
        <is>
          <t>Grid 33</t>
        </is>
      </c>
      <c r="M1401" s="23" t="n">
        <v>4237.29</v>
      </c>
      <c r="N1401" s="23" t="n">
        <v>5000</v>
      </c>
      <c r="O1401" s="24">
        <f>IF(AND(ISNUMBER(M1401), ISNUMBER(I1401), I1401&gt;0), M1401/I1401, "")</f>
        <v/>
      </c>
    </row>
    <row r="1402">
      <c r="A1402" s="19" t="inlineStr">
        <is>
          <t>FY27</t>
        </is>
      </c>
      <c r="B1402" s="19" t="inlineStr">
        <is>
          <t>May</t>
        </is>
      </c>
      <c r="C1402" s="19" t="inlineStr">
        <is>
          <t>TN</t>
        </is>
      </c>
      <c r="D1402" s="20" t="inlineStr">
        <is>
          <t>TN22CD9748</t>
        </is>
      </c>
      <c r="E1402" s="20" t="inlineStr">
        <is>
          <t>CHEVROLET</t>
        </is>
      </c>
      <c r="F1402" s="20" t="inlineStr">
        <is>
          <t>Beat</t>
        </is>
      </c>
      <c r="G1402" s="21" t="n">
        <v>2012</v>
      </c>
      <c r="H1402" s="22" t="n">
        <v>164761</v>
      </c>
      <c r="I1402" s="23" t="n">
        <v>80000</v>
      </c>
      <c r="J1402" s="20" t="inlineStr">
        <is>
          <t>Indus</t>
        </is>
      </c>
      <c r="K1402" s="20" t="inlineStr">
        <is>
          <t>Non-Captive</t>
        </is>
      </c>
      <c r="L1402" s="20" t="inlineStr">
        <is>
          <t>Grid 33</t>
        </is>
      </c>
      <c r="M1402" s="23" t="n">
        <v>4237.29</v>
      </c>
      <c r="N1402" s="23" t="n">
        <v>5000</v>
      </c>
      <c r="O1402" s="24">
        <f>IF(AND(ISNUMBER(M1402), ISNUMBER(I1402), I1402&gt;0), M1402/I1402, "")</f>
        <v/>
      </c>
    </row>
    <row r="1403">
      <c r="A1403" s="19" t="inlineStr">
        <is>
          <t>FY27</t>
        </is>
      </c>
      <c r="B1403" s="19" t="inlineStr">
        <is>
          <t>May</t>
        </is>
      </c>
      <c r="C1403" s="19" t="inlineStr">
        <is>
          <t>TN</t>
        </is>
      </c>
      <c r="D1403" s="20" t="inlineStr">
        <is>
          <t>TN06D7607</t>
        </is>
      </c>
      <c r="E1403" s="20" t="inlineStr">
        <is>
          <t>MARUTI SUZUKI</t>
        </is>
      </c>
      <c r="F1403" s="20" t="inlineStr">
        <is>
          <t>Alto K10</t>
        </is>
      </c>
      <c r="G1403" s="21" t="n">
        <v>2011</v>
      </c>
      <c r="H1403" s="22" t="n">
        <v>75326</v>
      </c>
      <c r="I1403" s="23" t="n">
        <v>75000</v>
      </c>
      <c r="J1403" s="20" t="inlineStr">
        <is>
          <t>Khivraj Motor</t>
        </is>
      </c>
      <c r="K1403" s="20" t="inlineStr">
        <is>
          <t>Non-Captive</t>
        </is>
      </c>
      <c r="L1403" s="20" t="inlineStr">
        <is>
          <t>Grid 33</t>
        </is>
      </c>
      <c r="M1403" s="23" t="n">
        <v>4237.29</v>
      </c>
      <c r="N1403" s="23" t="n">
        <v>5000</v>
      </c>
      <c r="O1403" s="24">
        <f>IF(AND(ISNUMBER(M1403), ISNUMBER(I1403), I1403&gt;0), M1403/I1403, "")</f>
        <v/>
      </c>
    </row>
    <row r="1404">
      <c r="A1404" s="19" t="inlineStr">
        <is>
          <t>FY27</t>
        </is>
      </c>
      <c r="B1404" s="19" t="inlineStr">
        <is>
          <t>May</t>
        </is>
      </c>
      <c r="C1404" s="19" t="inlineStr">
        <is>
          <t>TN</t>
        </is>
      </c>
      <c r="D1404" s="20" t="inlineStr">
        <is>
          <t>TN07AL2017</t>
        </is>
      </c>
      <c r="E1404" s="20" t="inlineStr">
        <is>
          <t>HYUNDAI</t>
        </is>
      </c>
      <c r="F1404" s="20" t="inlineStr">
        <is>
          <t>Santro</t>
        </is>
      </c>
      <c r="G1404" s="21" t="n">
        <v>2007</v>
      </c>
      <c r="H1404" s="22" t="n">
        <v>136031</v>
      </c>
      <c r="I1404" s="23" t="n">
        <v>90000</v>
      </c>
      <c r="J1404" s="20" t="inlineStr">
        <is>
          <t>Khivraj Motor</t>
        </is>
      </c>
      <c r="K1404" s="20" t="inlineStr">
        <is>
          <t>Non-Captive</t>
        </is>
      </c>
      <c r="L1404" s="20" t="inlineStr">
        <is>
          <t>Grid 33</t>
        </is>
      </c>
      <c r="M1404" s="23" t="n">
        <v>4237.29</v>
      </c>
      <c r="N1404" s="23" t="n">
        <v>5000</v>
      </c>
      <c r="O1404" s="24">
        <f>IF(AND(ISNUMBER(M1404), ISNUMBER(I1404), I1404&gt;0), M1404/I1404, "")</f>
        <v/>
      </c>
    </row>
    <row r="1405">
      <c r="A1405" s="19" t="inlineStr">
        <is>
          <t>FY27</t>
        </is>
      </c>
      <c r="B1405" s="19" t="inlineStr">
        <is>
          <t>May</t>
        </is>
      </c>
      <c r="C1405" s="19" t="inlineStr">
        <is>
          <t>TN</t>
        </is>
      </c>
      <c r="D1405" s="20" t="inlineStr">
        <is>
          <t>TN06E7256</t>
        </is>
      </c>
      <c r="E1405" s="20" t="inlineStr">
        <is>
          <t>CHEVROLET</t>
        </is>
      </c>
      <c r="F1405" s="20" t="inlineStr">
        <is>
          <t>Beat</t>
        </is>
      </c>
      <c r="G1405" s="21" t="n">
        <v>2011</v>
      </c>
      <c r="H1405" s="22" t="n">
        <v>60100</v>
      </c>
      <c r="I1405" s="23" t="n">
        <v>80000</v>
      </c>
      <c r="J1405" s="20" t="inlineStr">
        <is>
          <t>PRODUCTIVITY ELEMENTS PRIVATE LIMITED</t>
        </is>
      </c>
      <c r="K1405" s="20" t="inlineStr">
        <is>
          <t>Non-Captive</t>
        </is>
      </c>
      <c r="L1405" s="20" t="inlineStr">
        <is>
          <t>Grid 33</t>
        </is>
      </c>
      <c r="M1405" s="23" t="n">
        <v>4237.29</v>
      </c>
      <c r="N1405" s="23" t="n">
        <v>5000</v>
      </c>
      <c r="O1405" s="24">
        <f>IF(AND(ISNUMBER(M1405), ISNUMBER(I1405), I1405&gt;0), M1405/I1405, "")</f>
        <v/>
      </c>
    </row>
    <row r="1406">
      <c r="A1406" s="19" t="inlineStr">
        <is>
          <t>FY27</t>
        </is>
      </c>
      <c r="B1406" s="19" t="inlineStr">
        <is>
          <t>May</t>
        </is>
      </c>
      <c r="C1406" s="19" t="inlineStr">
        <is>
          <t>TN</t>
        </is>
      </c>
      <c r="D1406" s="20" t="inlineStr">
        <is>
          <t>TN01AE2144</t>
        </is>
      </c>
      <c r="E1406" s="20" t="inlineStr">
        <is>
          <t>FORD</t>
        </is>
      </c>
      <c r="F1406" s="20" t="inlineStr">
        <is>
          <t>Figo</t>
        </is>
      </c>
      <c r="G1406" s="21" t="n">
        <v>2007</v>
      </c>
      <c r="H1406" s="22" t="n">
        <v>99999</v>
      </c>
      <c r="I1406" s="23" t="n">
        <v>80000</v>
      </c>
      <c r="J1406" s="20" t="inlineStr">
        <is>
          <t>POPULAR VEHICLES AND SERVICES LIMITED</t>
        </is>
      </c>
      <c r="K1406" s="20" t="inlineStr">
        <is>
          <t>Non-Captive</t>
        </is>
      </c>
      <c r="L1406" s="20" t="inlineStr">
        <is>
          <t>Grid 33</t>
        </is>
      </c>
      <c r="M1406" s="23" t="n">
        <v>4237.29</v>
      </c>
      <c r="N1406" s="23" t="n">
        <v>5000</v>
      </c>
      <c r="O1406" s="24">
        <f>IF(AND(ISNUMBER(M1406), ISNUMBER(I1406), I1406&gt;0), M1406/I1406, "")</f>
        <v/>
      </c>
    </row>
    <row r="1407">
      <c r="A1407" s="19" t="inlineStr">
        <is>
          <t>FY27</t>
        </is>
      </c>
      <c r="B1407" s="19" t="inlineStr">
        <is>
          <t>May</t>
        </is>
      </c>
      <c r="C1407" s="19" t="inlineStr">
        <is>
          <t>TN</t>
        </is>
      </c>
      <c r="D1407" s="20" t="inlineStr">
        <is>
          <t>TN37BA6896</t>
        </is>
      </c>
      <c r="E1407" s="20" t="inlineStr">
        <is>
          <t>MARUTI SUZUKI</t>
        </is>
      </c>
      <c r="F1407" s="20" t="inlineStr">
        <is>
          <t>Alto</t>
        </is>
      </c>
      <c r="G1407" s="21" t="n">
        <v>2008</v>
      </c>
      <c r="H1407" s="22" t="n">
        <v>26478</v>
      </c>
      <c r="I1407" s="23" t="n">
        <v>80000</v>
      </c>
      <c r="J1407" s="20" t="inlineStr">
        <is>
          <t>Indus</t>
        </is>
      </c>
      <c r="K1407" s="20" t="inlineStr">
        <is>
          <t>Non-Captive</t>
        </is>
      </c>
      <c r="L1407" s="20" t="inlineStr">
        <is>
          <t>Grid 33</t>
        </is>
      </c>
      <c r="M1407" s="23" t="n">
        <v>4237.29</v>
      </c>
      <c r="N1407" s="23" t="n">
        <v>5000</v>
      </c>
      <c r="O1407" s="24">
        <f>IF(AND(ISNUMBER(M1407), ISNUMBER(I1407), I1407&gt;0), M1407/I1407, "")</f>
        <v/>
      </c>
    </row>
    <row r="1408">
      <c r="A1408" s="19" t="inlineStr">
        <is>
          <t>FY27</t>
        </is>
      </c>
      <c r="B1408" s="19" t="inlineStr">
        <is>
          <t>May</t>
        </is>
      </c>
      <c r="C1408" s="19" t="inlineStr">
        <is>
          <t>TN</t>
        </is>
      </c>
      <c r="D1408" s="20" t="inlineStr">
        <is>
          <t>TN10X4183</t>
        </is>
      </c>
      <c r="E1408" s="20" t="inlineStr">
        <is>
          <t>MARUTI SUZUKI</t>
        </is>
      </c>
      <c r="F1408" s="20" t="inlineStr">
        <is>
          <t>Alto</t>
        </is>
      </c>
      <c r="G1408" s="21" t="n">
        <v>2009</v>
      </c>
      <c r="H1408" s="22" t="n">
        <v>72145</v>
      </c>
      <c r="I1408" s="23" t="n">
        <v>80000</v>
      </c>
      <c r="J1408" s="20" t="inlineStr">
        <is>
          <t>AIE CARS PRIVATE LIMITED</t>
        </is>
      </c>
      <c r="K1408" s="20" t="inlineStr">
        <is>
          <t>Non-Captive</t>
        </is>
      </c>
      <c r="L1408" s="20" t="inlineStr">
        <is>
          <t>Grid 33</t>
        </is>
      </c>
      <c r="M1408" s="23" t="n">
        <v>4237.29</v>
      </c>
      <c r="N1408" s="23" t="n">
        <v>5000</v>
      </c>
      <c r="O1408" s="24">
        <f>IF(AND(ISNUMBER(M1408), ISNUMBER(I1408), I1408&gt;0), M1408/I1408, "")</f>
        <v/>
      </c>
    </row>
    <row r="1409">
      <c r="A1409" s="19" t="inlineStr">
        <is>
          <t>FY27</t>
        </is>
      </c>
      <c r="B1409" s="19" t="inlineStr">
        <is>
          <t>May</t>
        </is>
      </c>
      <c r="C1409" s="19" t="inlineStr">
        <is>
          <t>TN</t>
        </is>
      </c>
      <c r="D1409" s="20" t="inlineStr">
        <is>
          <t>TN09AZ0565</t>
        </is>
      </c>
      <c r="E1409" s="20" t="inlineStr">
        <is>
          <t>MARUTI SUZUKI</t>
        </is>
      </c>
      <c r="F1409" s="20" t="inlineStr">
        <is>
          <t>Alto</t>
        </is>
      </c>
      <c r="G1409" s="21" t="n">
        <v>2008</v>
      </c>
      <c r="H1409" s="22" t="n">
        <v>66711</v>
      </c>
      <c r="I1409" s="23" t="n">
        <v>75001</v>
      </c>
      <c r="J1409" s="20" t="inlineStr">
        <is>
          <t>Cresco cars</t>
        </is>
      </c>
      <c r="K1409" s="20" t="inlineStr">
        <is>
          <t>Non-Captive</t>
        </is>
      </c>
      <c r="L1409" s="20" t="inlineStr">
        <is>
          <t>Grid 33</t>
        </is>
      </c>
      <c r="M1409" s="23" t="n">
        <v>4237.29</v>
      </c>
      <c r="N1409" s="23" t="n">
        <v>5000</v>
      </c>
      <c r="O1409" s="24">
        <f>IF(AND(ISNUMBER(M1409), ISNUMBER(I1409), I1409&gt;0), M1409/I1409, "")</f>
        <v/>
      </c>
    </row>
    <row r="1410">
      <c r="A1410" s="19" t="inlineStr">
        <is>
          <t>FY27</t>
        </is>
      </c>
      <c r="B1410" s="19" t="inlineStr">
        <is>
          <t>May</t>
        </is>
      </c>
      <c r="C1410" s="19" t="inlineStr">
        <is>
          <t>TN</t>
        </is>
      </c>
      <c r="D1410" s="20" t="inlineStr">
        <is>
          <t>TN09BK0211</t>
        </is>
      </c>
      <c r="E1410" s="20" t="inlineStr">
        <is>
          <t>HYUNDAI</t>
        </is>
      </c>
      <c r="F1410" s="20" t="inlineStr">
        <is>
          <t>I10</t>
        </is>
      </c>
      <c r="G1410" s="21" t="n">
        <v>2011</v>
      </c>
      <c r="H1410" s="22" t="n">
        <v>62218</v>
      </c>
      <c r="I1410" s="23" t="n">
        <v>80000</v>
      </c>
      <c r="J1410" s="20" t="inlineStr">
        <is>
          <t>Khivraj Motor</t>
        </is>
      </c>
      <c r="K1410" s="20" t="inlineStr">
        <is>
          <t>Non-Captive</t>
        </is>
      </c>
      <c r="L1410" s="20" t="inlineStr">
        <is>
          <t>Grid 33</t>
        </is>
      </c>
      <c r="M1410" s="23" t="n">
        <v>4237.29</v>
      </c>
      <c r="N1410" s="23" t="n">
        <v>5000</v>
      </c>
      <c r="O1410" s="24">
        <f>IF(AND(ISNUMBER(M1410), ISNUMBER(I1410), I1410&gt;0), M1410/I1410, "")</f>
        <v/>
      </c>
    </row>
    <row r="1411">
      <c r="A1411" s="19" t="inlineStr">
        <is>
          <t>FY27</t>
        </is>
      </c>
      <c r="B1411" s="19" t="inlineStr">
        <is>
          <t>May</t>
        </is>
      </c>
      <c r="C1411" s="19" t="inlineStr">
        <is>
          <t>TN</t>
        </is>
      </c>
      <c r="D1411" s="20" t="inlineStr">
        <is>
          <t>TN11A9309</t>
        </is>
      </c>
      <c r="E1411" s="20" t="inlineStr">
        <is>
          <t>MARUTI SUZUKI</t>
        </is>
      </c>
      <c r="F1411" s="20" t="inlineStr">
        <is>
          <t>Ritz</t>
        </is>
      </c>
      <c r="G1411" s="21" t="n">
        <v>2010</v>
      </c>
      <c r="H1411" s="22" t="n">
        <v>15488</v>
      </c>
      <c r="I1411" s="23" t="n">
        <v>80000</v>
      </c>
      <c r="J1411" s="20" t="inlineStr">
        <is>
          <t>Khivraj Motor</t>
        </is>
      </c>
      <c r="K1411" s="20" t="inlineStr">
        <is>
          <t>Non-Captive</t>
        </is>
      </c>
      <c r="L1411" s="20" t="inlineStr">
        <is>
          <t>Grid 33</t>
        </is>
      </c>
      <c r="M1411" s="23" t="n">
        <v>4237.29</v>
      </c>
      <c r="N1411" s="23" t="n">
        <v>5000</v>
      </c>
      <c r="O1411" s="24">
        <f>IF(AND(ISNUMBER(M1411), ISNUMBER(I1411), I1411&gt;0), M1411/I1411, "")</f>
        <v/>
      </c>
    </row>
    <row r="1412">
      <c r="A1412" s="19" t="inlineStr">
        <is>
          <t>FY27</t>
        </is>
      </c>
      <c r="B1412" s="19" t="inlineStr">
        <is>
          <t>May</t>
        </is>
      </c>
      <c r="C1412" s="19" t="inlineStr">
        <is>
          <t>TN</t>
        </is>
      </c>
      <c r="D1412" s="20" t="inlineStr">
        <is>
          <t>TN10AF0023</t>
        </is>
      </c>
      <c r="E1412" s="20" t="inlineStr">
        <is>
          <t>CHEVROLET</t>
        </is>
      </c>
      <c r="F1412" s="20" t="inlineStr">
        <is>
          <t>Beat</t>
        </is>
      </c>
      <c r="G1412" s="21" t="n">
        <v>2012</v>
      </c>
      <c r="H1412" s="22" t="n">
        <v>68743</v>
      </c>
      <c r="I1412" s="23" t="n">
        <v>80000</v>
      </c>
      <c r="J1412" s="20" t="inlineStr">
        <is>
          <t>CARS INDIA</t>
        </is>
      </c>
      <c r="K1412" s="20" t="inlineStr">
        <is>
          <t>Non-Captive</t>
        </is>
      </c>
      <c r="L1412" s="20" t="inlineStr">
        <is>
          <t>Grid 33</t>
        </is>
      </c>
      <c r="M1412" s="23" t="n">
        <v>5084.75</v>
      </c>
      <c r="N1412" s="23" t="n">
        <v>6000</v>
      </c>
      <c r="O1412" s="24">
        <f>IF(AND(ISNUMBER(M1412), ISNUMBER(I1412), I1412&gt;0), M1412/I1412, "")</f>
        <v/>
      </c>
    </row>
    <row r="1413">
      <c r="A1413" s="19" t="inlineStr">
        <is>
          <t>FY27</t>
        </is>
      </c>
      <c r="B1413" s="19" t="inlineStr">
        <is>
          <t>May</t>
        </is>
      </c>
      <c r="C1413" s="19" t="inlineStr">
        <is>
          <t>TN</t>
        </is>
      </c>
      <c r="D1413" s="20" t="inlineStr">
        <is>
          <t>TN09BB7115</t>
        </is>
      </c>
      <c r="E1413" s="20" t="inlineStr">
        <is>
          <t>HYUNDAI</t>
        </is>
      </c>
      <c r="F1413" s="20" t="inlineStr">
        <is>
          <t>Santro</t>
        </is>
      </c>
      <c r="G1413" s="21" t="n">
        <v>2009</v>
      </c>
      <c r="H1413" s="22" t="n">
        <v>49036</v>
      </c>
      <c r="I1413" s="23" t="n">
        <v>90000</v>
      </c>
      <c r="J1413" s="20" t="inlineStr">
        <is>
          <t>Khivraj Motor</t>
        </is>
      </c>
      <c r="K1413" s="20" t="inlineStr">
        <is>
          <t>Non-Captive</t>
        </is>
      </c>
      <c r="L1413" s="20" t="inlineStr">
        <is>
          <t>Grid 33</t>
        </is>
      </c>
      <c r="M1413" s="23" t="n">
        <v>5084.75</v>
      </c>
      <c r="N1413" s="23" t="n">
        <v>6000</v>
      </c>
      <c r="O1413" s="24">
        <f>IF(AND(ISNUMBER(M1413), ISNUMBER(I1413), I1413&gt;0), M1413/I1413, "")</f>
        <v/>
      </c>
    </row>
    <row r="1414">
      <c r="A1414" s="19" t="inlineStr">
        <is>
          <t>FY27</t>
        </is>
      </c>
      <c r="B1414" s="19" t="inlineStr">
        <is>
          <t>May</t>
        </is>
      </c>
      <c r="C1414" s="19" t="inlineStr">
        <is>
          <t>TN</t>
        </is>
      </c>
      <c r="D1414" s="20" t="inlineStr">
        <is>
          <t>TN07BF1229</t>
        </is>
      </c>
      <c r="E1414" s="20" t="inlineStr">
        <is>
          <t>MARUTI SUZUKI</t>
        </is>
      </c>
      <c r="F1414" s="20" t="inlineStr">
        <is>
          <t>A-Star</t>
        </is>
      </c>
      <c r="G1414" s="21" t="n">
        <v>2010</v>
      </c>
      <c r="H1414" s="22" t="n">
        <v>50387</v>
      </c>
      <c r="I1414" s="23" t="n">
        <v>100000</v>
      </c>
      <c r="J1414" s="20" t="inlineStr">
        <is>
          <t>SVM CARS PRIVATE LIMITED</t>
        </is>
      </c>
      <c r="K1414" s="20" t="inlineStr">
        <is>
          <t>Non-Captive</t>
        </is>
      </c>
      <c r="L1414" s="20" t="inlineStr">
        <is>
          <t>Grid 33</t>
        </is>
      </c>
      <c r="M1414" s="23" t="n">
        <v>5084.75</v>
      </c>
      <c r="N1414" s="23" t="n">
        <v>6000</v>
      </c>
      <c r="O1414" s="24">
        <f>IF(AND(ISNUMBER(M1414), ISNUMBER(I1414), I1414&gt;0), M1414/I1414, "")</f>
        <v/>
      </c>
    </row>
    <row r="1415">
      <c r="A1415" s="19" t="inlineStr">
        <is>
          <t>FY27</t>
        </is>
      </c>
      <c r="B1415" s="19" t="inlineStr">
        <is>
          <t>May</t>
        </is>
      </c>
      <c r="C1415" s="19" t="inlineStr">
        <is>
          <t>TN</t>
        </is>
      </c>
      <c r="D1415" s="20" t="inlineStr">
        <is>
          <t>TN22AY6925</t>
        </is>
      </c>
      <c r="E1415" s="20" t="inlineStr">
        <is>
          <t>MARUTI SUZUKI</t>
        </is>
      </c>
      <c r="F1415" s="20" t="inlineStr">
        <is>
          <t>Swift</t>
        </is>
      </c>
      <c r="G1415" s="21" t="n">
        <v>2007</v>
      </c>
      <c r="H1415" s="22" t="n">
        <v>126340</v>
      </c>
      <c r="I1415" s="23" t="n">
        <v>100000</v>
      </c>
      <c r="J1415" s="20" t="inlineStr">
        <is>
          <t>Khivraj Motor</t>
        </is>
      </c>
      <c r="K1415" s="20" t="inlineStr">
        <is>
          <t>Non-Captive</t>
        </is>
      </c>
      <c r="L1415" s="20" t="inlineStr">
        <is>
          <t>Grid 33</t>
        </is>
      </c>
      <c r="M1415" s="23" t="n">
        <v>5084.75</v>
      </c>
      <c r="N1415" s="23" t="n">
        <v>6000</v>
      </c>
      <c r="O1415" s="24">
        <f>IF(AND(ISNUMBER(M1415), ISNUMBER(I1415), I1415&gt;0), M1415/I1415, "")</f>
        <v/>
      </c>
    </row>
    <row r="1416">
      <c r="A1416" s="19" t="inlineStr">
        <is>
          <t>FY27</t>
        </is>
      </c>
      <c r="B1416" s="19" t="inlineStr">
        <is>
          <t>May</t>
        </is>
      </c>
      <c r="C1416" s="19" t="inlineStr">
        <is>
          <t>TN</t>
        </is>
      </c>
      <c r="D1416" s="20" t="inlineStr">
        <is>
          <t>TN10AD7706</t>
        </is>
      </c>
      <c r="E1416" s="20" t="inlineStr">
        <is>
          <t>MARUTI SUZUKI</t>
        </is>
      </c>
      <c r="F1416" s="20" t="inlineStr">
        <is>
          <t>Zen Estilo</t>
        </is>
      </c>
      <c r="G1416" s="21" t="n">
        <v>2011</v>
      </c>
      <c r="H1416" s="22" t="n">
        <v>135108</v>
      </c>
      <c r="I1416" s="23" t="n">
        <v>100000</v>
      </c>
      <c r="J1416" s="20" t="inlineStr">
        <is>
          <t>Khivraj Motor</t>
        </is>
      </c>
      <c r="K1416" s="20" t="inlineStr">
        <is>
          <t>Non-Captive</t>
        </is>
      </c>
      <c r="L1416" s="20" t="inlineStr">
        <is>
          <t>Grid 33</t>
        </is>
      </c>
      <c r="M1416" s="23" t="n">
        <v>5084.75</v>
      </c>
      <c r="N1416" s="23" t="n">
        <v>6000</v>
      </c>
      <c r="O1416" s="24">
        <f>IF(AND(ISNUMBER(M1416), ISNUMBER(I1416), I1416&gt;0), M1416/I1416, "")</f>
        <v/>
      </c>
    </row>
    <row r="1417">
      <c r="A1417" s="19" t="inlineStr">
        <is>
          <t>FY27</t>
        </is>
      </c>
      <c r="B1417" s="19" t="inlineStr">
        <is>
          <t>May</t>
        </is>
      </c>
      <c r="C1417" s="19" t="inlineStr">
        <is>
          <t>TN</t>
        </is>
      </c>
      <c r="D1417" s="20" t="inlineStr">
        <is>
          <t>TN52Y5371</t>
        </is>
      </c>
      <c r="E1417" s="20" t="inlineStr">
        <is>
          <t>MARUTI SUZUKI</t>
        </is>
      </c>
      <c r="F1417" s="20" t="inlineStr">
        <is>
          <t>Omni</t>
        </is>
      </c>
      <c r="G1417" s="21" t="n">
        <v>2010</v>
      </c>
      <c r="H1417" s="22" t="n">
        <v>116301</v>
      </c>
      <c r="I1417" s="23" t="n">
        <v>100000</v>
      </c>
      <c r="J1417" s="20" t="inlineStr">
        <is>
          <t>THIRIVENI CARS</t>
        </is>
      </c>
      <c r="K1417" s="20" t="inlineStr">
        <is>
          <t>Non-Captive</t>
        </is>
      </c>
      <c r="L1417" s="20" t="inlineStr">
        <is>
          <t>Santhosh Cars</t>
        </is>
      </c>
      <c r="M1417" s="23" t="n">
        <v>4237.29</v>
      </c>
      <c r="N1417" s="23" t="n">
        <v>5000</v>
      </c>
      <c r="O1417" s="24">
        <f>IF(AND(ISNUMBER(M1417), ISNUMBER(I1417), I1417&gt;0), M1417/I1417, "")</f>
        <v/>
      </c>
    </row>
    <row r="1418">
      <c r="A1418" s="19" t="inlineStr">
        <is>
          <t>FY27</t>
        </is>
      </c>
      <c r="B1418" s="19" t="inlineStr">
        <is>
          <t>May</t>
        </is>
      </c>
      <c r="C1418" s="19" t="inlineStr">
        <is>
          <t>TN</t>
        </is>
      </c>
      <c r="D1418" s="20" t="inlineStr">
        <is>
          <t>TN04AJ6640</t>
        </is>
      </c>
      <c r="E1418" s="20" t="inlineStr">
        <is>
          <t>CHEVROLET</t>
        </is>
      </c>
      <c r="F1418" s="20" t="inlineStr">
        <is>
          <t>Beat</t>
        </is>
      </c>
      <c r="G1418" s="21" t="n">
        <v>2012</v>
      </c>
      <c r="H1418" s="22" t="n">
        <v>70253</v>
      </c>
      <c r="I1418" s="23" t="n">
        <v>100000</v>
      </c>
      <c r="J1418" s="20" t="inlineStr">
        <is>
          <t>STEER AUTO TECHNOLOGIES PRIVATE LIMITED</t>
        </is>
      </c>
      <c r="K1418" s="20" t="inlineStr">
        <is>
          <t>Non-Captive</t>
        </is>
      </c>
      <c r="L1418" s="20" t="inlineStr">
        <is>
          <t>Santhosh Cars</t>
        </is>
      </c>
      <c r="M1418" s="23" t="n">
        <v>4237.29</v>
      </c>
      <c r="N1418" s="23" t="n">
        <v>5000</v>
      </c>
      <c r="O1418" s="24">
        <f>IF(AND(ISNUMBER(M1418), ISNUMBER(I1418), I1418&gt;0), M1418/I1418, "")</f>
        <v/>
      </c>
    </row>
    <row r="1419">
      <c r="A1419" s="19" t="inlineStr">
        <is>
          <t>FY27</t>
        </is>
      </c>
      <c r="B1419" s="19" t="inlineStr">
        <is>
          <t>May</t>
        </is>
      </c>
      <c r="C1419" s="19" t="inlineStr">
        <is>
          <t>TN</t>
        </is>
      </c>
      <c r="D1419" s="20" t="inlineStr">
        <is>
          <t>TN09AX3893</t>
        </is>
      </c>
      <c r="E1419" s="20" t="inlineStr">
        <is>
          <t>MAHINDRA</t>
        </is>
      </c>
      <c r="F1419" s="20" t="inlineStr">
        <is>
          <t>Logan</t>
        </is>
      </c>
      <c r="G1419" s="21" t="n">
        <v>2008</v>
      </c>
      <c r="H1419" s="22" t="n">
        <v>56733</v>
      </c>
      <c r="I1419" s="23" t="n">
        <v>100000</v>
      </c>
      <c r="J1419" s="20" t="inlineStr">
        <is>
          <t>STEER AUTO TECHNOLOGIES PRIVATE LIMITED</t>
        </is>
      </c>
      <c r="K1419" s="20" t="inlineStr">
        <is>
          <t>Non-Captive</t>
        </is>
      </c>
      <c r="L1419" s="20" t="inlineStr">
        <is>
          <t>Santhosh Cars</t>
        </is>
      </c>
      <c r="M1419" s="23" t="n">
        <v>4237.29</v>
      </c>
      <c r="N1419" s="23" t="n">
        <v>5000</v>
      </c>
      <c r="O1419" s="24">
        <f>IF(AND(ISNUMBER(M1419), ISNUMBER(I1419), I1419&gt;0), M1419/I1419, "")</f>
        <v/>
      </c>
    </row>
    <row r="1420">
      <c r="A1420" s="19" t="inlineStr">
        <is>
          <t>FY27</t>
        </is>
      </c>
      <c r="B1420" s="19" t="inlineStr">
        <is>
          <t>May</t>
        </is>
      </c>
      <c r="C1420" s="19" t="inlineStr">
        <is>
          <t>TN</t>
        </is>
      </c>
      <c r="D1420" s="20" t="inlineStr">
        <is>
          <t>TN07BF1802</t>
        </is>
      </c>
      <c r="E1420" s="20" t="inlineStr">
        <is>
          <t>MARUTI SUZUKI</t>
        </is>
      </c>
      <c r="F1420" s="20" t="inlineStr">
        <is>
          <t>Alto</t>
        </is>
      </c>
      <c r="G1420" s="21" t="n">
        <v>2010</v>
      </c>
      <c r="H1420" s="22" t="n">
        <v>85751</v>
      </c>
      <c r="I1420" s="23" t="n">
        <v>100000</v>
      </c>
      <c r="J1420" s="20" t="inlineStr">
        <is>
          <t>Cresco cars</t>
        </is>
      </c>
      <c r="K1420" s="20" t="inlineStr">
        <is>
          <t>Non-Captive</t>
        </is>
      </c>
      <c r="L1420" s="20" t="inlineStr">
        <is>
          <t>Santhosh Cars</t>
        </is>
      </c>
      <c r="M1420" s="23" t="n">
        <v>4237.29</v>
      </c>
      <c r="N1420" s="23" t="n">
        <v>5000</v>
      </c>
      <c r="O1420" s="24">
        <f>IF(AND(ISNUMBER(M1420), ISNUMBER(I1420), I1420&gt;0), M1420/I1420, "")</f>
        <v/>
      </c>
    </row>
    <row r="1421">
      <c r="A1421" s="19" t="inlineStr">
        <is>
          <t>FY27</t>
        </is>
      </c>
      <c r="B1421" s="19" t="inlineStr">
        <is>
          <t>May</t>
        </is>
      </c>
      <c r="C1421" s="19" t="inlineStr">
        <is>
          <t>TN</t>
        </is>
      </c>
      <c r="D1421" s="20" t="inlineStr">
        <is>
          <t>TN18W4792</t>
        </is>
      </c>
      <c r="E1421" s="20" t="inlineStr">
        <is>
          <t>CHEVROLET</t>
        </is>
      </c>
      <c r="F1421" s="20" t="inlineStr">
        <is>
          <t>Beat</t>
        </is>
      </c>
      <c r="G1421" s="21" t="n">
        <v>2012</v>
      </c>
      <c r="H1421" s="22" t="n">
        <v>107481</v>
      </c>
      <c r="I1421" s="23" t="n">
        <v>100000</v>
      </c>
      <c r="J1421" s="20" t="inlineStr">
        <is>
          <t>Khivraj Motor</t>
        </is>
      </c>
      <c r="K1421" s="20" t="inlineStr">
        <is>
          <t>Non-Captive</t>
        </is>
      </c>
      <c r="L1421" s="20" t="inlineStr">
        <is>
          <t>Santhosh Cars</t>
        </is>
      </c>
      <c r="M1421" s="23" t="n">
        <v>4237.29</v>
      </c>
      <c r="N1421" s="23" t="n">
        <v>5000</v>
      </c>
      <c r="O1421" s="24">
        <f>IF(AND(ISNUMBER(M1421), ISNUMBER(I1421), I1421&gt;0), M1421/I1421, "")</f>
        <v/>
      </c>
    </row>
    <row r="1422">
      <c r="A1422" s="19" t="inlineStr">
        <is>
          <t>FY27</t>
        </is>
      </c>
      <c r="B1422" s="19" t="inlineStr">
        <is>
          <t>May</t>
        </is>
      </c>
      <c r="C1422" s="19" t="inlineStr">
        <is>
          <t>TN</t>
        </is>
      </c>
      <c r="D1422" s="20" t="inlineStr">
        <is>
          <t>TN07AT0792</t>
        </is>
      </c>
      <c r="E1422" s="20" t="inlineStr">
        <is>
          <t>MARUTI SUZUKI</t>
        </is>
      </c>
      <c r="F1422" s="20" t="inlineStr">
        <is>
          <t>Wagon R</t>
        </is>
      </c>
      <c r="G1422" s="21" t="n">
        <v>2006</v>
      </c>
      <c r="H1422" s="22" t="n">
        <v>116145</v>
      </c>
      <c r="I1422" s="23" t="n">
        <v>100000</v>
      </c>
      <c r="J1422" s="20" t="inlineStr">
        <is>
          <t>Khivraj Motor</t>
        </is>
      </c>
      <c r="K1422" s="20" t="inlineStr">
        <is>
          <t>Non-Captive</t>
        </is>
      </c>
      <c r="L1422" s="20" t="inlineStr">
        <is>
          <t>Santhosh Cars</t>
        </is>
      </c>
      <c r="M1422" s="23" t="n">
        <v>4237.29</v>
      </c>
      <c r="N1422" s="23" t="n">
        <v>5000</v>
      </c>
      <c r="O1422" s="24">
        <f>IF(AND(ISNUMBER(M1422), ISNUMBER(I1422), I1422&gt;0), M1422/I1422, "")</f>
        <v/>
      </c>
    </row>
    <row r="1423">
      <c r="A1423" s="19" t="inlineStr">
        <is>
          <t>FY27</t>
        </is>
      </c>
      <c r="B1423" s="19" t="inlineStr">
        <is>
          <t>May</t>
        </is>
      </c>
      <c r="C1423" s="19" t="inlineStr">
        <is>
          <t>TN</t>
        </is>
      </c>
      <c r="D1423" s="20" t="inlineStr">
        <is>
          <t>TN05AQ8875</t>
        </is>
      </c>
      <c r="E1423" s="20" t="inlineStr">
        <is>
          <t>FORD</t>
        </is>
      </c>
      <c r="F1423" s="20" t="inlineStr">
        <is>
          <t>Figo</t>
        </is>
      </c>
      <c r="G1423" s="21" t="n">
        <v>2012</v>
      </c>
      <c r="H1423" s="22" t="n">
        <v>70591</v>
      </c>
      <c r="I1423" s="23" t="n">
        <v>100000</v>
      </c>
      <c r="J1423" s="20" t="inlineStr">
        <is>
          <t>Khivraj Motor</t>
        </is>
      </c>
      <c r="K1423" s="20" t="inlineStr">
        <is>
          <t>Non-Captive</t>
        </is>
      </c>
      <c r="L1423" s="20" t="inlineStr">
        <is>
          <t>Santhosh Cars</t>
        </is>
      </c>
      <c r="M1423" s="23" t="n">
        <v>4237.29</v>
      </c>
      <c r="N1423" s="23" t="n">
        <v>5000</v>
      </c>
      <c r="O1423" s="24">
        <f>IF(AND(ISNUMBER(M1423), ISNUMBER(I1423), I1423&gt;0), M1423/I1423, "")</f>
        <v/>
      </c>
    </row>
    <row r="1424">
      <c r="A1424" s="19" t="inlineStr">
        <is>
          <t>FY27</t>
        </is>
      </c>
      <c r="B1424" s="19" t="inlineStr">
        <is>
          <t>May</t>
        </is>
      </c>
      <c r="C1424" s="19" t="inlineStr">
        <is>
          <t>TN</t>
        </is>
      </c>
      <c r="D1424" s="20" t="inlineStr">
        <is>
          <t>TN09BR4017</t>
        </is>
      </c>
      <c r="E1424" s="20" t="inlineStr">
        <is>
          <t>HONDA</t>
        </is>
      </c>
      <c r="F1424" s="20" t="inlineStr">
        <is>
          <t>City</t>
        </is>
      </c>
      <c r="G1424" s="21" t="n">
        <v>2012</v>
      </c>
      <c r="H1424" s="22" t="n">
        <v>153073</v>
      </c>
      <c r="I1424" s="23" t="n">
        <v>100000</v>
      </c>
      <c r="J1424" s="20" t="inlineStr">
        <is>
          <t>Khivraj Motor</t>
        </is>
      </c>
      <c r="K1424" s="20" t="inlineStr">
        <is>
          <t>Non-Captive</t>
        </is>
      </c>
      <c r="L1424" s="20" t="inlineStr">
        <is>
          <t>Santhosh Cars</t>
        </is>
      </c>
      <c r="M1424" s="23" t="n">
        <v>4237.29</v>
      </c>
      <c r="N1424" s="23" t="n">
        <v>5000</v>
      </c>
      <c r="O1424" s="24">
        <f>IF(AND(ISNUMBER(M1424), ISNUMBER(I1424), I1424&gt;0), M1424/I1424, "")</f>
        <v/>
      </c>
    </row>
    <row r="1425">
      <c r="A1425" s="19" t="inlineStr">
        <is>
          <t>FY27</t>
        </is>
      </c>
      <c r="B1425" s="19" t="inlineStr">
        <is>
          <t>May</t>
        </is>
      </c>
      <c r="C1425" s="19" t="inlineStr">
        <is>
          <t>TN</t>
        </is>
      </c>
      <c r="D1425" s="20" t="inlineStr">
        <is>
          <t>TN05AM8275</t>
        </is>
      </c>
      <c r="E1425" s="20" t="inlineStr">
        <is>
          <t>HYUNDAI</t>
        </is>
      </c>
      <c r="F1425" s="20" t="inlineStr">
        <is>
          <t>Santro</t>
        </is>
      </c>
      <c r="G1425" s="21" t="n">
        <v>2011</v>
      </c>
      <c r="H1425" s="22" t="n">
        <v>45216</v>
      </c>
      <c r="I1425" s="23" t="n">
        <v>100000</v>
      </c>
      <c r="J1425" s="20" t="inlineStr">
        <is>
          <t>PRODUCTIVITY ELEMENTS PRIVATE LIMITED</t>
        </is>
      </c>
      <c r="K1425" s="20" t="inlineStr">
        <is>
          <t>Non-Captive</t>
        </is>
      </c>
      <c r="L1425" s="20" t="inlineStr">
        <is>
          <t>Santhosh Cars</t>
        </is>
      </c>
      <c r="M1425" s="23" t="n">
        <v>4237.29</v>
      </c>
      <c r="N1425" s="23" t="n">
        <v>5000</v>
      </c>
      <c r="O1425" s="24">
        <f>IF(AND(ISNUMBER(M1425), ISNUMBER(I1425), I1425&gt;0), M1425/I1425, "")</f>
        <v/>
      </c>
    </row>
    <row r="1426">
      <c r="A1426" s="19" t="inlineStr">
        <is>
          <t>FY27</t>
        </is>
      </c>
      <c r="B1426" s="19" t="inlineStr">
        <is>
          <t>May</t>
        </is>
      </c>
      <c r="C1426" s="19" t="inlineStr">
        <is>
          <t>TN</t>
        </is>
      </c>
      <c r="D1426" s="20" t="inlineStr">
        <is>
          <t>TN09AW2965</t>
        </is>
      </c>
      <c r="E1426" s="20" t="inlineStr">
        <is>
          <t>MARUTI SUZUKI</t>
        </is>
      </c>
      <c r="F1426" s="20" t="inlineStr">
        <is>
          <t>Zen</t>
        </is>
      </c>
      <c r="G1426" s="21" t="n">
        <v>2008</v>
      </c>
      <c r="H1426" s="22" t="n">
        <v>132136</v>
      </c>
      <c r="I1426" s="23" t="n">
        <v>100000</v>
      </c>
      <c r="J1426" s="20" t="inlineStr">
        <is>
          <t>Cresco cars</t>
        </is>
      </c>
      <c r="K1426" s="20" t="inlineStr">
        <is>
          <t>Non-Captive</t>
        </is>
      </c>
      <c r="L1426" s="20" t="inlineStr">
        <is>
          <t>Santhosh Cars</t>
        </is>
      </c>
      <c r="M1426" s="23" t="n">
        <v>4237.29</v>
      </c>
      <c r="N1426" s="23" t="n">
        <v>5000</v>
      </c>
      <c r="O1426" s="24">
        <f>IF(AND(ISNUMBER(M1426), ISNUMBER(I1426), I1426&gt;0), M1426/I1426, "")</f>
        <v/>
      </c>
    </row>
    <row r="1427">
      <c r="A1427" s="19" t="inlineStr">
        <is>
          <t>FY27</t>
        </is>
      </c>
      <c r="B1427" s="19" t="inlineStr">
        <is>
          <t>May</t>
        </is>
      </c>
      <c r="C1427" s="19" t="inlineStr">
        <is>
          <t>TN</t>
        </is>
      </c>
      <c r="D1427" s="20" t="inlineStr">
        <is>
          <t>TN09CH3602</t>
        </is>
      </c>
      <c r="E1427" s="20" t="inlineStr">
        <is>
          <t>HYUNDAI</t>
        </is>
      </c>
      <c r="F1427" s="20" t="inlineStr">
        <is>
          <t>Xcent</t>
        </is>
      </c>
      <c r="G1427" s="21" t="n">
        <v>2017</v>
      </c>
      <c r="H1427" s="22" t="n">
        <v>198673</v>
      </c>
      <c r="I1427" s="23" t="n">
        <v>100000</v>
      </c>
      <c r="J1427" s="20" t="inlineStr">
        <is>
          <t>CARS INDIA</t>
        </is>
      </c>
      <c r="K1427" s="20" t="inlineStr">
        <is>
          <t>Non-Captive</t>
        </is>
      </c>
      <c r="L1427" s="20" t="inlineStr">
        <is>
          <t>Cars 24</t>
        </is>
      </c>
      <c r="M1427" s="23" t="n">
        <v>4237.29</v>
      </c>
      <c r="N1427" s="23" t="n">
        <v>5000</v>
      </c>
      <c r="O1427" s="24">
        <f>IF(AND(ISNUMBER(M1427), ISNUMBER(I1427), I1427&gt;0), M1427/I1427, "")</f>
        <v/>
      </c>
    </row>
    <row r="1428">
      <c r="A1428" s="19" t="inlineStr">
        <is>
          <t>FY27</t>
        </is>
      </c>
      <c r="B1428" s="19" t="inlineStr">
        <is>
          <t>May</t>
        </is>
      </c>
      <c r="C1428" s="19" t="inlineStr">
        <is>
          <t>TN</t>
        </is>
      </c>
      <c r="D1428" s="20" t="inlineStr">
        <is>
          <t>TN09BM2216</t>
        </is>
      </c>
      <c r="E1428" s="20" t="inlineStr">
        <is>
          <t>HYUNDAI</t>
        </is>
      </c>
      <c r="F1428" s="20" t="inlineStr">
        <is>
          <t>Santro</t>
        </is>
      </c>
      <c r="G1428" s="21" t="n">
        <v>2012</v>
      </c>
      <c r="H1428" s="22" t="n">
        <v>48811</v>
      </c>
      <c r="I1428" s="23" t="n">
        <v>100000</v>
      </c>
      <c r="J1428" s="20" t="inlineStr">
        <is>
          <t>SVM CARS PRIVATE LIMITED</t>
        </is>
      </c>
      <c r="K1428" s="20" t="inlineStr">
        <is>
          <t>Non-Captive</t>
        </is>
      </c>
      <c r="L1428" s="20" t="inlineStr">
        <is>
          <t>Cars 24</t>
        </is>
      </c>
      <c r="M1428" s="23" t="n">
        <v>4237.29</v>
      </c>
      <c r="N1428" s="23" t="n">
        <v>5000</v>
      </c>
      <c r="O1428" s="24">
        <f>IF(AND(ISNUMBER(M1428), ISNUMBER(I1428), I1428&gt;0), M1428/I1428, "")</f>
        <v/>
      </c>
    </row>
    <row r="1429">
      <c r="A1429" s="19" t="inlineStr">
        <is>
          <t>FY27</t>
        </is>
      </c>
      <c r="B1429" s="19" t="inlineStr">
        <is>
          <t>May</t>
        </is>
      </c>
      <c r="C1429" s="19" t="inlineStr">
        <is>
          <t>TN</t>
        </is>
      </c>
      <c r="D1429" s="20" t="inlineStr">
        <is>
          <t>TN20BL0546</t>
        </is>
      </c>
      <c r="E1429" s="20" t="inlineStr">
        <is>
          <t>CHEVROLET</t>
        </is>
      </c>
      <c r="F1429" s="20" t="inlineStr">
        <is>
          <t>Spark</t>
        </is>
      </c>
      <c r="G1429" s="21" t="n">
        <v>2011</v>
      </c>
      <c r="H1429" s="22" t="n">
        <v>29050</v>
      </c>
      <c r="I1429" s="23" t="n">
        <v>100000</v>
      </c>
      <c r="J1429" s="20" t="inlineStr">
        <is>
          <t>Indus</t>
        </is>
      </c>
      <c r="K1429" s="20" t="inlineStr">
        <is>
          <t>Non-Captive</t>
        </is>
      </c>
      <c r="L1429" s="20" t="inlineStr">
        <is>
          <t>Cars 24</t>
        </is>
      </c>
      <c r="M1429" s="23" t="n">
        <v>5084.75</v>
      </c>
      <c r="N1429" s="23" t="n">
        <v>6000</v>
      </c>
      <c r="O1429" s="24">
        <f>IF(AND(ISNUMBER(M1429), ISNUMBER(I1429), I1429&gt;0), M1429/I1429, "")</f>
        <v/>
      </c>
    </row>
    <row r="1430">
      <c r="A1430" s="19" t="inlineStr">
        <is>
          <t>FY27</t>
        </is>
      </c>
      <c r="B1430" s="19" t="inlineStr">
        <is>
          <t>May</t>
        </is>
      </c>
      <c r="C1430" s="19" t="inlineStr">
        <is>
          <t>TN</t>
        </is>
      </c>
      <c r="D1430" s="20" t="inlineStr">
        <is>
          <t>TN22CB6347</t>
        </is>
      </c>
      <c r="E1430" s="20" t="inlineStr">
        <is>
          <t>FIAT</t>
        </is>
      </c>
      <c r="F1430" s="20" t="inlineStr">
        <is>
          <t>Grand Punto</t>
        </is>
      </c>
      <c r="G1430" s="21" t="n">
        <v>2011</v>
      </c>
      <c r="H1430" s="22" t="n">
        <v>99999</v>
      </c>
      <c r="I1430" s="23" t="n">
        <v>120000</v>
      </c>
      <c r="J1430" s="20" t="inlineStr">
        <is>
          <t>STEER AUTO TECHNOLOGIES PRIVATE LIMITED</t>
        </is>
      </c>
      <c r="K1430" s="20" t="inlineStr">
        <is>
          <t>Non-Captive</t>
        </is>
      </c>
      <c r="L1430" s="20" t="inlineStr">
        <is>
          <t>Nirmal Cars</t>
        </is>
      </c>
      <c r="M1430" s="23" t="n">
        <v>4237.29</v>
      </c>
      <c r="N1430" s="23" t="n">
        <v>5000</v>
      </c>
      <c r="O1430" s="24">
        <f>IF(AND(ISNUMBER(M1430), ISNUMBER(I1430), I1430&gt;0), M1430/I1430, "")</f>
        <v/>
      </c>
    </row>
    <row r="1431">
      <c r="A1431" s="19" t="inlineStr">
        <is>
          <t>FY27</t>
        </is>
      </c>
      <c r="B1431" s="19" t="inlineStr">
        <is>
          <t>May</t>
        </is>
      </c>
      <c r="C1431" s="19" t="inlineStr">
        <is>
          <t>TN</t>
        </is>
      </c>
      <c r="D1431" s="20" t="inlineStr">
        <is>
          <t>TN14E3712</t>
        </is>
      </c>
      <c r="E1431" s="20" t="inlineStr">
        <is>
          <t>MARUTI SUZUKI</t>
        </is>
      </c>
      <c r="F1431" s="20" t="inlineStr">
        <is>
          <t>Wagon R</t>
        </is>
      </c>
      <c r="G1431" s="21" t="n"/>
      <c r="H1431" s="22" t="n"/>
      <c r="I1431" s="23" t="n">
        <v>275000</v>
      </c>
      <c r="J1431" s="20" t="inlineStr">
        <is>
          <t>Khivraj Motor</t>
        </is>
      </c>
      <c r="K1431" s="20" t="inlineStr">
        <is>
          <t>Non-Captive</t>
        </is>
      </c>
      <c r="L1431" s="20" t="inlineStr">
        <is>
          <t>Sri Shakthi Vinayaga Cars</t>
        </is>
      </c>
      <c r="M1431" s="23" t="n">
        <v>4237.29</v>
      </c>
      <c r="N1431" s="23" t="n">
        <v>5000</v>
      </c>
      <c r="O1431" s="24">
        <f>IF(AND(ISNUMBER(M1431), ISNUMBER(I1431), I1431&gt;0), M1431/I1431, "")</f>
        <v/>
      </c>
    </row>
    <row r="1432">
      <c r="A1432" s="19" t="inlineStr">
        <is>
          <t>FY27</t>
        </is>
      </c>
      <c r="B1432" s="19" t="inlineStr">
        <is>
          <t>May</t>
        </is>
      </c>
      <c r="C1432" s="19" t="inlineStr">
        <is>
          <t>TN</t>
        </is>
      </c>
      <c r="D1432" s="20" t="inlineStr">
        <is>
          <t>TN10AU0228</t>
        </is>
      </c>
      <c r="E1432" s="20" t="inlineStr">
        <is>
          <t>HONDA</t>
        </is>
      </c>
      <c r="F1432" s="20" t="inlineStr">
        <is>
          <t>Jazz</t>
        </is>
      </c>
      <c r="G1432" s="21" t="n"/>
      <c r="H1432" s="22" t="n"/>
      <c r="I1432" s="23" t="n">
        <v>285000</v>
      </c>
      <c r="J1432" s="20" t="inlineStr">
        <is>
          <t>Castel Traders Honda</t>
        </is>
      </c>
      <c r="K1432" s="20" t="inlineStr">
        <is>
          <t>Non-Captive</t>
        </is>
      </c>
      <c r="L1432" s="20" t="inlineStr">
        <is>
          <t>Cars 24</t>
        </is>
      </c>
      <c r="M1432" s="23" t="n">
        <v>4237.29</v>
      </c>
      <c r="N1432" s="23" t="n">
        <v>5000</v>
      </c>
      <c r="O1432" s="24">
        <f>IF(AND(ISNUMBER(M1432), ISNUMBER(I1432), I1432&gt;0), M1432/I1432, "")</f>
        <v/>
      </c>
    </row>
    <row r="1433">
      <c r="A1433" s="19" t="inlineStr">
        <is>
          <t>FY27</t>
        </is>
      </c>
      <c r="B1433" s="19" t="inlineStr">
        <is>
          <t>May</t>
        </is>
      </c>
      <c r="C1433" s="19" t="inlineStr">
        <is>
          <t>TN</t>
        </is>
      </c>
      <c r="D1433" s="20" t="inlineStr">
        <is>
          <t>TN07CF4030</t>
        </is>
      </c>
      <c r="E1433" s="20" t="inlineStr">
        <is>
          <t>HONDA</t>
        </is>
      </c>
      <c r="F1433" s="20" t="inlineStr">
        <is>
          <t>Amaze</t>
        </is>
      </c>
      <c r="G1433" s="21" t="n"/>
      <c r="H1433" s="22" t="n"/>
      <c r="I1433" s="23" t="n">
        <v>160000</v>
      </c>
      <c r="J1433" s="20" t="inlineStr">
        <is>
          <t>Castel Traders Honda</t>
        </is>
      </c>
      <c r="K1433" s="20" t="inlineStr">
        <is>
          <t>Non-Captive</t>
        </is>
      </c>
      <c r="L1433" s="20" t="inlineStr">
        <is>
          <t>Shree Shan Motor</t>
        </is>
      </c>
      <c r="M1433" s="23" t="n">
        <v>4237.29</v>
      </c>
      <c r="N1433" s="23" t="n">
        <v>5000</v>
      </c>
      <c r="O1433" s="24">
        <f>IF(AND(ISNUMBER(M1433), ISNUMBER(I1433), I1433&gt;0), M1433/I1433, "")</f>
        <v/>
      </c>
    </row>
    <row r="1434">
      <c r="A1434" s="19" t="inlineStr">
        <is>
          <t>FY27</t>
        </is>
      </c>
      <c r="B1434" s="19" t="inlineStr">
        <is>
          <t>May</t>
        </is>
      </c>
      <c r="C1434" s="19" t="inlineStr">
        <is>
          <t>TN</t>
        </is>
      </c>
      <c r="D1434" s="20" t="inlineStr">
        <is>
          <t>TN09BL6037</t>
        </is>
      </c>
      <c r="E1434" s="20" t="inlineStr">
        <is>
          <t>MARUTI SUZUKI</t>
        </is>
      </c>
      <c r="F1434" s="20" t="inlineStr">
        <is>
          <t>A Star</t>
        </is>
      </c>
      <c r="G1434" s="21" t="n"/>
      <c r="H1434" s="22" t="n"/>
      <c r="I1434" s="23" t="n">
        <v>110000</v>
      </c>
      <c r="J1434" s="20" t="inlineStr">
        <is>
          <t>Khivraj Motor</t>
        </is>
      </c>
      <c r="K1434" s="20" t="inlineStr">
        <is>
          <t>Non-Captive</t>
        </is>
      </c>
      <c r="L1434" s="20" t="inlineStr">
        <is>
          <t>Pine Autos</t>
        </is>
      </c>
      <c r="M1434" s="23" t="n">
        <v>5084.75</v>
      </c>
      <c r="N1434" s="23" t="n">
        <v>6000</v>
      </c>
      <c r="O1434" s="24">
        <f>IF(AND(ISNUMBER(M1434), ISNUMBER(I1434), I1434&gt;0), M1434/I1434, "")</f>
        <v/>
      </c>
    </row>
    <row r="1435">
      <c r="A1435" s="19" t="inlineStr">
        <is>
          <t>FY27</t>
        </is>
      </c>
      <c r="B1435" s="19" t="inlineStr">
        <is>
          <t>May</t>
        </is>
      </c>
      <c r="C1435" s="19" t="inlineStr">
        <is>
          <t>TN</t>
        </is>
      </c>
      <c r="D1435" s="20" t="inlineStr">
        <is>
          <t>TN22BJ6562</t>
        </is>
      </c>
      <c r="E1435" s="20" t="inlineStr">
        <is>
          <t>FORD</t>
        </is>
      </c>
      <c r="F1435" s="20" t="inlineStr">
        <is>
          <t>Fiesta Classic</t>
        </is>
      </c>
      <c r="G1435" s="21" t="n">
        <v>2010</v>
      </c>
      <c r="H1435" s="22" t="n">
        <v>132495</v>
      </c>
      <c r="I1435" s="23" t="n">
        <v>90000</v>
      </c>
      <c r="J1435" s="20" t="inlineStr">
        <is>
          <t>LANSON QCARS PRIVATE LIMITED</t>
        </is>
      </c>
      <c r="K1435" s="20" t="inlineStr">
        <is>
          <t>Non-Captive</t>
        </is>
      </c>
      <c r="L1435" s="20" t="inlineStr">
        <is>
          <t>Pine Autos</t>
        </is>
      </c>
      <c r="M1435" s="23" t="n">
        <v>3389.83</v>
      </c>
      <c r="N1435" s="23" t="n">
        <v>4000</v>
      </c>
      <c r="O1435" s="24">
        <f>IF(AND(ISNUMBER(M1435), ISNUMBER(I1435), I1435&gt;0), M1435/I1435, "")</f>
        <v/>
      </c>
    </row>
    <row r="1436">
      <c r="A1436" s="19" t="inlineStr">
        <is>
          <t>FY27</t>
        </is>
      </c>
      <c r="B1436" s="19" t="inlineStr">
        <is>
          <t>May</t>
        </is>
      </c>
      <c r="C1436" s="19" t="inlineStr">
        <is>
          <t>TN</t>
        </is>
      </c>
      <c r="D1436" s="20" t="inlineStr">
        <is>
          <t>TN30BC5254</t>
        </is>
      </c>
      <c r="E1436" s="20" t="inlineStr">
        <is>
          <t>HYUNDAI</t>
        </is>
      </c>
      <c r="F1436" s="20" t="inlineStr">
        <is>
          <t>I10</t>
        </is>
      </c>
      <c r="G1436" s="21" t="n">
        <v>2015</v>
      </c>
      <c r="H1436" s="22" t="n">
        <v>99560</v>
      </c>
      <c r="I1436" s="23" t="n">
        <v>90000</v>
      </c>
      <c r="J1436" s="20" t="inlineStr">
        <is>
          <t>THIRIVENI CARS</t>
        </is>
      </c>
      <c r="K1436" s="20" t="inlineStr">
        <is>
          <t>Non-Captive</t>
        </is>
      </c>
      <c r="L1436" s="20" t="inlineStr">
        <is>
          <t>Pine Autos</t>
        </is>
      </c>
      <c r="M1436" s="23" t="n">
        <v>4237.29</v>
      </c>
      <c r="N1436" s="23" t="n">
        <v>5000</v>
      </c>
      <c r="O1436" s="24">
        <f>IF(AND(ISNUMBER(M1436), ISNUMBER(I1436), I1436&gt;0), M1436/I1436, "")</f>
        <v/>
      </c>
    </row>
    <row r="1437">
      <c r="A1437" s="19" t="inlineStr">
        <is>
          <t>FY27</t>
        </is>
      </c>
      <c r="B1437" s="19" t="inlineStr">
        <is>
          <t>May</t>
        </is>
      </c>
      <c r="C1437" s="19" t="inlineStr">
        <is>
          <t>TN</t>
        </is>
      </c>
      <c r="D1437" s="20" t="inlineStr">
        <is>
          <t>TN18A3605</t>
        </is>
      </c>
      <c r="E1437" s="20" t="inlineStr">
        <is>
          <t>MARUTI SUZUKI</t>
        </is>
      </c>
      <c r="F1437" s="20" t="inlineStr">
        <is>
          <t>Alto</t>
        </is>
      </c>
      <c r="G1437" s="21" t="n">
        <v>2009</v>
      </c>
      <c r="H1437" s="22" t="n">
        <v>46335</v>
      </c>
      <c r="I1437" s="23" t="n">
        <v>100000</v>
      </c>
      <c r="J1437" s="20" t="inlineStr">
        <is>
          <t>KALYANIMOTORS MARUTHI</t>
        </is>
      </c>
      <c r="K1437" s="20" t="inlineStr">
        <is>
          <t>Non-Captive</t>
        </is>
      </c>
      <c r="L1437" s="20" t="inlineStr">
        <is>
          <t>Pine Autos</t>
        </is>
      </c>
      <c r="M1437" s="23" t="n">
        <v>4237.29</v>
      </c>
      <c r="N1437" s="23" t="n">
        <v>5000</v>
      </c>
      <c r="O1437" s="24">
        <f>IF(AND(ISNUMBER(M1437), ISNUMBER(I1437), I1437&gt;0), M1437/I1437, "")</f>
        <v/>
      </c>
    </row>
    <row r="1438">
      <c r="A1438" s="19" t="inlineStr">
        <is>
          <t>FY27</t>
        </is>
      </c>
      <c r="B1438" s="19" t="inlineStr">
        <is>
          <t>May</t>
        </is>
      </c>
      <c r="C1438" s="19" t="inlineStr">
        <is>
          <t>TN</t>
        </is>
      </c>
      <c r="D1438" s="20" t="inlineStr">
        <is>
          <t>TN09AW0739</t>
        </is>
      </c>
      <c r="E1438" s="20" t="inlineStr">
        <is>
          <t>MAHINDRA</t>
        </is>
      </c>
      <c r="F1438" s="20" t="inlineStr">
        <is>
          <t>Logan</t>
        </is>
      </c>
      <c r="G1438" s="21" t="n">
        <v>2008</v>
      </c>
      <c r="H1438" s="22" t="n">
        <v>114731</v>
      </c>
      <c r="I1438" s="23" t="n">
        <v>100000</v>
      </c>
      <c r="J1438" s="20" t="inlineStr">
        <is>
          <t>Khivraj Motor</t>
        </is>
      </c>
      <c r="K1438" s="20" t="inlineStr">
        <is>
          <t>Non-Captive</t>
        </is>
      </c>
      <c r="L1438" s="20" t="inlineStr">
        <is>
          <t>Pine Autos</t>
        </is>
      </c>
      <c r="M1438" s="23" t="n">
        <v>4237.29</v>
      </c>
      <c r="N1438" s="23" t="n">
        <v>5000</v>
      </c>
      <c r="O1438" s="24">
        <f>IF(AND(ISNUMBER(M1438), ISNUMBER(I1438), I1438&gt;0), M1438/I1438, "")</f>
        <v/>
      </c>
    </row>
    <row r="1439">
      <c r="A1439" s="19" t="inlineStr">
        <is>
          <t>FY27</t>
        </is>
      </c>
      <c r="B1439" s="19" t="inlineStr">
        <is>
          <t>May</t>
        </is>
      </c>
      <c r="C1439" s="19" t="inlineStr">
        <is>
          <t>TN</t>
        </is>
      </c>
      <c r="D1439" s="20" t="inlineStr">
        <is>
          <t>TN22BA4745</t>
        </is>
      </c>
      <c r="E1439" s="20" t="inlineStr">
        <is>
          <t>MARUTI SUZUKI</t>
        </is>
      </c>
      <c r="F1439" s="20" t="inlineStr">
        <is>
          <t>Sx4</t>
        </is>
      </c>
      <c r="G1439" s="21" t="n">
        <v>2008</v>
      </c>
      <c r="H1439" s="22" t="n">
        <v>80483</v>
      </c>
      <c r="I1439" s="23" t="n">
        <v>100000</v>
      </c>
      <c r="J1439" s="20" t="inlineStr">
        <is>
          <t>Khivraj Motor</t>
        </is>
      </c>
      <c r="K1439" s="20" t="inlineStr">
        <is>
          <t>Non-Captive</t>
        </is>
      </c>
      <c r="L1439" s="20" t="inlineStr">
        <is>
          <t>Thiya Cars</t>
        </is>
      </c>
      <c r="M1439" s="23" t="n">
        <v>3389.83</v>
      </c>
      <c r="N1439" s="23" t="n">
        <v>4000</v>
      </c>
      <c r="O1439" s="24">
        <f>IF(AND(ISNUMBER(M1439), ISNUMBER(I1439), I1439&gt;0), M1439/I1439, "")</f>
        <v/>
      </c>
    </row>
    <row r="1440">
      <c r="A1440" s="19" t="inlineStr">
        <is>
          <t>FY27</t>
        </is>
      </c>
      <c r="B1440" s="19" t="inlineStr">
        <is>
          <t>May</t>
        </is>
      </c>
      <c r="C1440" s="19" t="inlineStr">
        <is>
          <t>TN</t>
        </is>
      </c>
      <c r="D1440" s="20" t="inlineStr">
        <is>
          <t>TN01AP1122</t>
        </is>
      </c>
      <c r="E1440" s="20" t="inlineStr">
        <is>
          <t>SKODA</t>
        </is>
      </c>
      <c r="F1440" s="20" t="inlineStr">
        <is>
          <t>Laura</t>
        </is>
      </c>
      <c r="G1440" s="21" t="n">
        <v>2011</v>
      </c>
      <c r="H1440" s="22" t="n">
        <v>51130</v>
      </c>
      <c r="I1440" s="23" t="n">
        <v>100000</v>
      </c>
      <c r="J1440" s="20" t="inlineStr">
        <is>
          <t>Senthil Cars</t>
        </is>
      </c>
      <c r="K1440" s="20" t="inlineStr">
        <is>
          <t>Non-Captive</t>
        </is>
      </c>
      <c r="L1440" s="20" t="inlineStr">
        <is>
          <t>Thiya Cars</t>
        </is>
      </c>
      <c r="M1440" s="23" t="n">
        <v>3389.83</v>
      </c>
      <c r="N1440" s="23" t="n">
        <v>4000</v>
      </c>
      <c r="O1440" s="24">
        <f>IF(AND(ISNUMBER(M1440), ISNUMBER(I1440), I1440&gt;0), M1440/I1440, "")</f>
        <v/>
      </c>
    </row>
    <row r="1441">
      <c r="A1441" s="19" t="inlineStr">
        <is>
          <t>FY27</t>
        </is>
      </c>
      <c r="B1441" s="19" t="inlineStr">
        <is>
          <t>May</t>
        </is>
      </c>
      <c r="C1441" s="19" t="inlineStr">
        <is>
          <t>TN</t>
        </is>
      </c>
      <c r="D1441" s="20" t="inlineStr">
        <is>
          <t>TN22DE8871</t>
        </is>
      </c>
      <c r="E1441" s="20" t="inlineStr">
        <is>
          <t>RENAULT</t>
        </is>
      </c>
      <c r="F1441" s="20" t="inlineStr">
        <is>
          <t>Kwid</t>
        </is>
      </c>
      <c r="G1441" s="21" t="n">
        <v>2016</v>
      </c>
      <c r="H1441" s="22" t="n">
        <v>37653</v>
      </c>
      <c r="I1441" s="23" t="n">
        <v>100000</v>
      </c>
      <c r="J1441" s="20" t="inlineStr">
        <is>
          <t>Khivraj Motor</t>
        </is>
      </c>
      <c r="K1441" s="20" t="inlineStr">
        <is>
          <t>Non-Captive</t>
        </is>
      </c>
      <c r="L1441" s="20" t="inlineStr">
        <is>
          <t>Thiya Cars</t>
        </is>
      </c>
      <c r="M1441" s="23" t="n">
        <v>3389.83</v>
      </c>
      <c r="N1441" s="23" t="n">
        <v>4000</v>
      </c>
      <c r="O1441" s="24">
        <f>IF(AND(ISNUMBER(M1441), ISNUMBER(I1441), I1441&gt;0), M1441/I1441, "")</f>
        <v/>
      </c>
    </row>
    <row r="1442">
      <c r="A1442" s="19" t="inlineStr">
        <is>
          <t>FY27</t>
        </is>
      </c>
      <c r="B1442" s="19" t="inlineStr">
        <is>
          <t>May</t>
        </is>
      </c>
      <c r="C1442" s="19" t="inlineStr">
        <is>
          <t>TN</t>
        </is>
      </c>
      <c r="D1442" s="20" t="inlineStr">
        <is>
          <t>TN06B0814</t>
        </is>
      </c>
      <c r="E1442" s="20" t="inlineStr">
        <is>
          <t>HYUNDAI</t>
        </is>
      </c>
      <c r="F1442" s="20" t="inlineStr">
        <is>
          <t>Santro</t>
        </is>
      </c>
      <c r="G1442" s="21" t="n">
        <v>2010</v>
      </c>
      <c r="H1442" s="22" t="n">
        <v>132795</v>
      </c>
      <c r="I1442" s="23" t="n">
        <v>100000</v>
      </c>
      <c r="J1442" s="20" t="inlineStr">
        <is>
          <t>PPS MOTORS PRIVATE LTD</t>
        </is>
      </c>
      <c r="K1442" s="20" t="inlineStr">
        <is>
          <t>Non-Captive</t>
        </is>
      </c>
      <c r="L1442" s="20" t="inlineStr">
        <is>
          <t>Thiya Cars</t>
        </is>
      </c>
      <c r="M1442" s="23" t="n">
        <v>3389.83</v>
      </c>
      <c r="N1442" s="23" t="n">
        <v>4000</v>
      </c>
      <c r="O1442" s="24">
        <f>IF(AND(ISNUMBER(M1442), ISNUMBER(I1442), I1442&gt;0), M1442/I1442, "")</f>
        <v/>
      </c>
    </row>
    <row r="1443">
      <c r="A1443" s="19" t="inlineStr">
        <is>
          <t>FY27</t>
        </is>
      </c>
      <c r="B1443" s="19" t="inlineStr">
        <is>
          <t>May</t>
        </is>
      </c>
      <c r="C1443" s="19" t="inlineStr">
        <is>
          <t>TN</t>
        </is>
      </c>
      <c r="D1443" s="20" t="inlineStr">
        <is>
          <t>TN02AU4271</t>
        </is>
      </c>
      <c r="E1443" s="20" t="inlineStr">
        <is>
          <t>HONDA</t>
        </is>
      </c>
      <c r="F1443" s="20" t="inlineStr">
        <is>
          <t>Brio</t>
        </is>
      </c>
      <c r="G1443" s="21" t="n">
        <v>2012</v>
      </c>
      <c r="H1443" s="22" t="n">
        <v>108432</v>
      </c>
      <c r="I1443" s="23" t="n">
        <v>100000</v>
      </c>
      <c r="J1443" s="20" t="inlineStr">
        <is>
          <t>Khivraj Motor</t>
        </is>
      </c>
      <c r="K1443" s="20" t="inlineStr">
        <is>
          <t>Non-Captive</t>
        </is>
      </c>
      <c r="L1443" s="20" t="inlineStr">
        <is>
          <t>Thiya Cars</t>
        </is>
      </c>
      <c r="M1443" s="23" t="n">
        <v>3389.83</v>
      </c>
      <c r="N1443" s="23" t="n">
        <v>4000</v>
      </c>
      <c r="O1443" s="24">
        <f>IF(AND(ISNUMBER(M1443), ISNUMBER(I1443), I1443&gt;0), M1443/I1443, "")</f>
        <v/>
      </c>
    </row>
    <row r="1444">
      <c r="A1444" s="19" t="inlineStr">
        <is>
          <t>FY27</t>
        </is>
      </c>
      <c r="B1444" s="19" t="inlineStr">
        <is>
          <t>May</t>
        </is>
      </c>
      <c r="C1444" s="19" t="inlineStr">
        <is>
          <t>TN</t>
        </is>
      </c>
      <c r="D1444" s="20" t="inlineStr">
        <is>
          <t>TN22BB8957</t>
        </is>
      </c>
      <c r="E1444" s="20" t="inlineStr">
        <is>
          <t>HYUNDAI</t>
        </is>
      </c>
      <c r="F1444" s="20" t="inlineStr">
        <is>
          <t>I10</t>
        </is>
      </c>
      <c r="G1444" s="21" t="n">
        <v>2008</v>
      </c>
      <c r="H1444" s="22" t="n">
        <v>79689</v>
      </c>
      <c r="I1444" s="23" t="n">
        <v>100000</v>
      </c>
      <c r="J1444" s="20" t="inlineStr">
        <is>
          <t>Khivraj Motor</t>
        </is>
      </c>
      <c r="K1444" s="20" t="inlineStr">
        <is>
          <t>Non-Captive</t>
        </is>
      </c>
      <c r="L1444" s="20" t="inlineStr">
        <is>
          <t>Thiya Cars</t>
        </is>
      </c>
      <c r="M1444" s="23" t="n">
        <v>3389.83</v>
      </c>
      <c r="N1444" s="23" t="n">
        <v>4000</v>
      </c>
      <c r="O1444" s="24">
        <f>IF(AND(ISNUMBER(M1444), ISNUMBER(I1444), I1444&gt;0), M1444/I1444, "")</f>
        <v/>
      </c>
    </row>
    <row r="1445">
      <c r="A1445" s="19" t="inlineStr">
        <is>
          <t>FY27</t>
        </is>
      </c>
      <c r="B1445" s="19" t="inlineStr">
        <is>
          <t>May</t>
        </is>
      </c>
      <c r="C1445" s="19" t="inlineStr">
        <is>
          <t>TN</t>
        </is>
      </c>
      <c r="D1445" s="20" t="inlineStr">
        <is>
          <t>TN02AQ2940</t>
        </is>
      </c>
      <c r="E1445" s="20" t="inlineStr">
        <is>
          <t>MARUTI SUZUKI</t>
        </is>
      </c>
      <c r="F1445" s="20" t="inlineStr">
        <is>
          <t>Zen Estilo</t>
        </is>
      </c>
      <c r="G1445" s="21" t="n">
        <v>2010</v>
      </c>
      <c r="H1445" s="22" t="n">
        <v>120204</v>
      </c>
      <c r="I1445" s="23" t="n">
        <v>108000</v>
      </c>
      <c r="J1445" s="20" t="inlineStr">
        <is>
          <t>PRODUCTIVITY ELEMENTS PRIVATE LIMITED</t>
        </is>
      </c>
      <c r="K1445" s="20" t="inlineStr">
        <is>
          <t>Non-Captive</t>
        </is>
      </c>
      <c r="L1445" s="20" t="inlineStr">
        <is>
          <t>Thiya Cars</t>
        </is>
      </c>
      <c r="M1445" s="23" t="n">
        <v>3389.83</v>
      </c>
      <c r="N1445" s="23" t="n">
        <v>4000</v>
      </c>
      <c r="O1445" s="24">
        <f>IF(AND(ISNUMBER(M1445), ISNUMBER(I1445), I1445&gt;0), M1445/I1445, "")</f>
        <v/>
      </c>
    </row>
    <row r="1446">
      <c r="A1446" s="19" t="inlineStr">
        <is>
          <t>FY27</t>
        </is>
      </c>
      <c r="B1446" s="19" t="inlineStr">
        <is>
          <t>May</t>
        </is>
      </c>
      <c r="C1446" s="19" t="inlineStr">
        <is>
          <t>TN</t>
        </is>
      </c>
      <c r="D1446" s="20" t="inlineStr">
        <is>
          <t>TN02AV6939</t>
        </is>
      </c>
      <c r="E1446" s="20" t="inlineStr">
        <is>
          <t>SKODA</t>
        </is>
      </c>
      <c r="F1446" s="20" t="inlineStr">
        <is>
          <t>Laura</t>
        </is>
      </c>
      <c r="G1446" s="21" t="n">
        <v>2012</v>
      </c>
      <c r="H1446" s="22" t="n">
        <v>118931</v>
      </c>
      <c r="I1446" s="23" t="n">
        <v>108000</v>
      </c>
      <c r="J1446" s="20" t="inlineStr">
        <is>
          <t>LANSON QCARS PRIVATE LIMITED</t>
        </is>
      </c>
      <c r="K1446" s="20" t="inlineStr">
        <is>
          <t>Non-Captive</t>
        </is>
      </c>
      <c r="L1446" s="20" t="inlineStr">
        <is>
          <t>Thiya Cars</t>
        </is>
      </c>
      <c r="M1446" s="23" t="n">
        <v>3389.83</v>
      </c>
      <c r="N1446" s="23" t="n">
        <v>4000</v>
      </c>
      <c r="O1446" s="24">
        <f>IF(AND(ISNUMBER(M1446), ISNUMBER(I1446), I1446&gt;0), M1446/I1446, "")</f>
        <v/>
      </c>
    </row>
    <row r="1447">
      <c r="A1447" s="19" t="inlineStr">
        <is>
          <t>FY27</t>
        </is>
      </c>
      <c r="B1447" s="19" t="inlineStr">
        <is>
          <t>May</t>
        </is>
      </c>
      <c r="C1447" s="19" t="inlineStr">
        <is>
          <t>TN</t>
        </is>
      </c>
      <c r="D1447" s="20" t="inlineStr">
        <is>
          <t>KL07BR8354</t>
        </is>
      </c>
      <c r="E1447" s="20" t="inlineStr">
        <is>
          <t>FORD</t>
        </is>
      </c>
      <c r="F1447" s="20" t="inlineStr">
        <is>
          <t>Freestyle</t>
        </is>
      </c>
      <c r="G1447" s="21" t="n">
        <v>2011</v>
      </c>
      <c r="H1447" s="22" t="n">
        <v>102580</v>
      </c>
      <c r="I1447" s="23" t="n">
        <v>108000</v>
      </c>
      <c r="J1447" s="20" t="inlineStr">
        <is>
          <t>MM Motor</t>
        </is>
      </c>
      <c r="K1447" s="20" t="inlineStr">
        <is>
          <t>Non-Captive</t>
        </is>
      </c>
      <c r="L1447" s="20" t="inlineStr">
        <is>
          <t>Thiya Cars</t>
        </is>
      </c>
      <c r="M1447" s="23" t="n">
        <v>3389.83</v>
      </c>
      <c r="N1447" s="23" t="n">
        <v>4000</v>
      </c>
      <c r="O1447" s="24">
        <f>IF(AND(ISNUMBER(M1447), ISNUMBER(I1447), I1447&gt;0), M1447/I1447, "")</f>
        <v/>
      </c>
    </row>
    <row r="1448">
      <c r="A1448" s="19" t="inlineStr">
        <is>
          <t>FY27</t>
        </is>
      </c>
      <c r="B1448" s="19" t="inlineStr">
        <is>
          <t>May</t>
        </is>
      </c>
      <c r="C1448" s="19" t="inlineStr">
        <is>
          <t>TN</t>
        </is>
      </c>
      <c r="D1448" s="20" t="inlineStr">
        <is>
          <t>TN07BE5826</t>
        </is>
      </c>
      <c r="E1448" s="20" t="inlineStr">
        <is>
          <t>MARUTI SUZUKI</t>
        </is>
      </c>
      <c r="F1448" s="20" t="inlineStr">
        <is>
          <t>Ritz</t>
        </is>
      </c>
      <c r="G1448" s="21" t="n">
        <v>2009</v>
      </c>
      <c r="H1448" s="22" t="n">
        <v>43224</v>
      </c>
      <c r="I1448" s="23" t="n">
        <v>110000</v>
      </c>
      <c r="J1448" s="20" t="inlineStr">
        <is>
          <t>Khivraj Motor</t>
        </is>
      </c>
      <c r="K1448" s="20" t="inlineStr">
        <is>
          <t>Non-Captive</t>
        </is>
      </c>
      <c r="L1448" s="20" t="inlineStr">
        <is>
          <t>Thiya Cars</t>
        </is>
      </c>
      <c r="M1448" s="23" t="n">
        <v>3389.83</v>
      </c>
      <c r="N1448" s="23" t="n">
        <v>4000</v>
      </c>
      <c r="O1448" s="24">
        <f>IF(AND(ISNUMBER(M1448), ISNUMBER(I1448), I1448&gt;0), M1448/I1448, "")</f>
        <v/>
      </c>
    </row>
    <row r="1449">
      <c r="A1449" s="19" t="inlineStr">
        <is>
          <t>FY27</t>
        </is>
      </c>
      <c r="B1449" s="19" t="inlineStr">
        <is>
          <t>May</t>
        </is>
      </c>
      <c r="C1449" s="19" t="inlineStr">
        <is>
          <t>TN</t>
        </is>
      </c>
      <c r="D1449" s="20" t="inlineStr">
        <is>
          <t>TN06F6229</t>
        </is>
      </c>
      <c r="E1449" s="20" t="inlineStr">
        <is>
          <t>RENAULT</t>
        </is>
      </c>
      <c r="F1449" s="20" t="inlineStr">
        <is>
          <t>Pulse</t>
        </is>
      </c>
      <c r="G1449" s="21" t="n">
        <v>2012</v>
      </c>
      <c r="H1449" s="22" t="n">
        <v>104980</v>
      </c>
      <c r="I1449" s="23" t="n">
        <v>110000</v>
      </c>
      <c r="J1449" s="20" t="inlineStr">
        <is>
          <t>Indus</t>
        </is>
      </c>
      <c r="K1449" s="20" t="inlineStr">
        <is>
          <t>Non-Captive</t>
        </is>
      </c>
      <c r="L1449" s="20" t="inlineStr">
        <is>
          <t>Thiya Cars</t>
        </is>
      </c>
      <c r="M1449" s="23" t="n">
        <v>3389.83</v>
      </c>
      <c r="N1449" s="23" t="n">
        <v>4000</v>
      </c>
      <c r="O1449" s="24">
        <f>IF(AND(ISNUMBER(M1449), ISNUMBER(I1449), I1449&gt;0), M1449/I1449, "")</f>
        <v/>
      </c>
    </row>
    <row r="1450">
      <c r="A1450" s="19" t="inlineStr">
        <is>
          <t>FY27</t>
        </is>
      </c>
      <c r="B1450" s="19" t="inlineStr">
        <is>
          <t>May</t>
        </is>
      </c>
      <c r="C1450" s="19" t="inlineStr">
        <is>
          <t>TN</t>
        </is>
      </c>
      <c r="D1450" s="20" t="inlineStr">
        <is>
          <t>TN09BE2895</t>
        </is>
      </c>
      <c r="E1450" s="20" t="inlineStr">
        <is>
          <t>NISSAN</t>
        </is>
      </c>
      <c r="F1450" s="20" t="inlineStr">
        <is>
          <t>Micra</t>
        </is>
      </c>
      <c r="G1450" s="21" t="n">
        <v>2010</v>
      </c>
      <c r="H1450" s="22" t="n">
        <v>113283</v>
      </c>
      <c r="I1450" s="23" t="n">
        <v>110000</v>
      </c>
      <c r="J1450" s="20" t="inlineStr">
        <is>
          <t>Khivraj Motor</t>
        </is>
      </c>
      <c r="K1450" s="20" t="inlineStr">
        <is>
          <t>Non-Captive</t>
        </is>
      </c>
      <c r="L1450" s="20" t="inlineStr">
        <is>
          <t>Thiya Cars</t>
        </is>
      </c>
      <c r="M1450" s="23" t="n">
        <v>3389.83</v>
      </c>
      <c r="N1450" s="23" t="n">
        <v>4000</v>
      </c>
      <c r="O1450" s="24">
        <f>IF(AND(ISNUMBER(M1450), ISNUMBER(I1450), I1450&gt;0), M1450/I1450, "")</f>
        <v/>
      </c>
    </row>
    <row r="1451">
      <c r="A1451" s="19" t="inlineStr">
        <is>
          <t>FY27</t>
        </is>
      </c>
      <c r="B1451" s="19" t="inlineStr">
        <is>
          <t>May</t>
        </is>
      </c>
      <c r="C1451" s="19" t="inlineStr">
        <is>
          <t>TN</t>
        </is>
      </c>
      <c r="D1451" s="20" t="inlineStr">
        <is>
          <t>TN01AV4336</t>
        </is>
      </c>
      <c r="E1451" s="20" t="inlineStr">
        <is>
          <t>TATA</t>
        </is>
      </c>
      <c r="F1451" s="20" t="inlineStr">
        <is>
          <t>Indica</t>
        </is>
      </c>
      <c r="G1451" s="21" t="n">
        <v>2013</v>
      </c>
      <c r="H1451" s="22" t="n">
        <v>58749</v>
      </c>
      <c r="I1451" s="23" t="n">
        <v>110000</v>
      </c>
      <c r="J1451" s="20" t="inlineStr">
        <is>
          <t>STEER AUTO TECHNOLOGIES PRIVATE LIMITED</t>
        </is>
      </c>
      <c r="K1451" s="20" t="inlineStr">
        <is>
          <t>Non-Captive</t>
        </is>
      </c>
      <c r="L1451" s="20" t="inlineStr">
        <is>
          <t>Thiya Cars</t>
        </is>
      </c>
      <c r="M1451" s="23" t="n">
        <v>4237.29</v>
      </c>
      <c r="N1451" s="23" t="n">
        <v>5000</v>
      </c>
      <c r="O1451" s="24">
        <f>IF(AND(ISNUMBER(M1451), ISNUMBER(I1451), I1451&gt;0), M1451/I1451, "")</f>
        <v/>
      </c>
    </row>
    <row r="1452">
      <c r="A1452" s="19" t="inlineStr">
        <is>
          <t>FY27</t>
        </is>
      </c>
      <c r="B1452" s="19" t="inlineStr">
        <is>
          <t>May</t>
        </is>
      </c>
      <c r="C1452" s="19" t="inlineStr">
        <is>
          <t>TN</t>
        </is>
      </c>
      <c r="D1452" s="20" t="inlineStr">
        <is>
          <t>TN20BY5004</t>
        </is>
      </c>
      <c r="E1452" s="20" t="inlineStr">
        <is>
          <t>HYUNDAI</t>
        </is>
      </c>
      <c r="F1452" s="20" t="inlineStr">
        <is>
          <t>I10</t>
        </is>
      </c>
      <c r="G1452" s="21" t="n">
        <v>2008</v>
      </c>
      <c r="H1452" s="22" t="n">
        <v>76367</v>
      </c>
      <c r="I1452" s="23" t="n">
        <v>110000</v>
      </c>
      <c r="J1452" s="20" t="inlineStr">
        <is>
          <t>STEER AUTO TECHNOLOGIES PRIVATE LIMITED</t>
        </is>
      </c>
      <c r="K1452" s="20" t="inlineStr">
        <is>
          <t>Non-Captive</t>
        </is>
      </c>
      <c r="L1452" s="20" t="inlineStr">
        <is>
          <t>Thiya Cars</t>
        </is>
      </c>
      <c r="M1452" s="23" t="n">
        <v>4237.29</v>
      </c>
      <c r="N1452" s="23" t="n">
        <v>5000</v>
      </c>
      <c r="O1452" s="24">
        <f>IF(AND(ISNUMBER(M1452), ISNUMBER(I1452), I1452&gt;0), M1452/I1452, "")</f>
        <v/>
      </c>
    </row>
    <row r="1453">
      <c r="A1453" s="19" t="inlineStr">
        <is>
          <t>FY27</t>
        </is>
      </c>
      <c r="B1453" s="19" t="inlineStr">
        <is>
          <t>May</t>
        </is>
      </c>
      <c r="C1453" s="19" t="inlineStr">
        <is>
          <t>TN</t>
        </is>
      </c>
      <c r="D1453" s="20" t="inlineStr">
        <is>
          <t>TN01AZ5721</t>
        </is>
      </c>
      <c r="E1453" s="20" t="inlineStr">
        <is>
          <t>MARUTI SUZUKI</t>
        </is>
      </c>
      <c r="F1453" s="20" t="inlineStr">
        <is>
          <t>Alto</t>
        </is>
      </c>
      <c r="G1453" s="21" t="n">
        <v>2016</v>
      </c>
      <c r="H1453" s="22" t="n">
        <v>82806</v>
      </c>
      <c r="I1453" s="23" t="n">
        <v>110000</v>
      </c>
      <c r="J1453" s="20" t="inlineStr">
        <is>
          <t>Trust On Wheels</t>
        </is>
      </c>
      <c r="K1453" s="20" t="inlineStr">
        <is>
          <t>Non-Captive</t>
        </is>
      </c>
      <c r="L1453" s="20" t="inlineStr">
        <is>
          <t>Thiya Cars</t>
        </is>
      </c>
      <c r="M1453" s="23" t="n">
        <v>4237.29</v>
      </c>
      <c r="N1453" s="23" t="n">
        <v>5000</v>
      </c>
      <c r="O1453" s="24">
        <f>IF(AND(ISNUMBER(M1453), ISNUMBER(I1453), I1453&gt;0), M1453/I1453, "")</f>
        <v/>
      </c>
    </row>
    <row r="1454">
      <c r="A1454" s="19" t="inlineStr">
        <is>
          <t>FY27</t>
        </is>
      </c>
      <c r="B1454" s="19" t="inlineStr">
        <is>
          <t>May</t>
        </is>
      </c>
      <c r="C1454" s="19" t="inlineStr">
        <is>
          <t>TN</t>
        </is>
      </c>
      <c r="D1454" s="20" t="inlineStr">
        <is>
          <t>TN38BL6214</t>
        </is>
      </c>
      <c r="E1454" s="20" t="inlineStr">
        <is>
          <t>FORD</t>
        </is>
      </c>
      <c r="F1454" s="20" t="inlineStr">
        <is>
          <t>Fiesta Classic</t>
        </is>
      </c>
      <c r="G1454" s="21" t="n">
        <v>2012</v>
      </c>
      <c r="H1454" s="22" t="n">
        <v>123376</v>
      </c>
      <c r="I1454" s="23" t="n">
        <v>110000</v>
      </c>
      <c r="J1454" s="20" t="inlineStr">
        <is>
          <t>STEER AUTO TECHNOLOGIES PRIVATE LIMITED</t>
        </is>
      </c>
      <c r="K1454" s="20" t="inlineStr">
        <is>
          <t>Non-Captive</t>
        </is>
      </c>
      <c r="L1454" s="20" t="inlineStr">
        <is>
          <t>Thiya Cars</t>
        </is>
      </c>
      <c r="M1454" s="23" t="n">
        <v>4237.29</v>
      </c>
      <c r="N1454" s="23" t="n">
        <v>5000</v>
      </c>
      <c r="O1454" s="24">
        <f>IF(AND(ISNUMBER(M1454), ISNUMBER(I1454), I1454&gt;0), M1454/I1454, "")</f>
        <v/>
      </c>
    </row>
    <row r="1455">
      <c r="A1455" s="19" t="inlineStr">
        <is>
          <t>FY27</t>
        </is>
      </c>
      <c r="B1455" s="19" t="inlineStr">
        <is>
          <t>May</t>
        </is>
      </c>
      <c r="C1455" s="19" t="inlineStr">
        <is>
          <t>TN</t>
        </is>
      </c>
      <c r="D1455" s="20" t="inlineStr">
        <is>
          <t>TN18E9284</t>
        </is>
      </c>
      <c r="E1455" s="20" t="inlineStr">
        <is>
          <t>FORD</t>
        </is>
      </c>
      <c r="F1455" s="20" t="inlineStr">
        <is>
          <t>Figo</t>
        </is>
      </c>
      <c r="G1455" s="21" t="n">
        <v>2011</v>
      </c>
      <c r="H1455" s="22" t="n">
        <v>58533</v>
      </c>
      <c r="I1455" s="23" t="n">
        <v>110000</v>
      </c>
      <c r="J1455" s="20" t="inlineStr">
        <is>
          <t>Castel Traders Honda</t>
        </is>
      </c>
      <c r="K1455" s="20" t="inlineStr">
        <is>
          <t>Non-Captive</t>
        </is>
      </c>
      <c r="L1455" s="20" t="inlineStr">
        <is>
          <t>Thiya Cars</t>
        </is>
      </c>
      <c r="M1455" s="23" t="n">
        <v>4237.29</v>
      </c>
      <c r="N1455" s="23" t="n">
        <v>5000</v>
      </c>
      <c r="O1455" s="24">
        <f>IF(AND(ISNUMBER(M1455), ISNUMBER(I1455), I1455&gt;0), M1455/I1455, "")</f>
        <v/>
      </c>
    </row>
    <row r="1456">
      <c r="A1456" s="19" t="inlineStr">
        <is>
          <t>FY27</t>
        </is>
      </c>
      <c r="B1456" s="19" t="inlineStr">
        <is>
          <t>May</t>
        </is>
      </c>
      <c r="C1456" s="19" t="inlineStr">
        <is>
          <t>TN</t>
        </is>
      </c>
      <c r="D1456" s="20" t="inlineStr">
        <is>
          <t>TN07BJ6867</t>
        </is>
      </c>
      <c r="E1456" s="20" t="inlineStr">
        <is>
          <t>MARUTI SUZUKI</t>
        </is>
      </c>
      <c r="F1456" s="20" t="inlineStr">
        <is>
          <t>Ritz</t>
        </is>
      </c>
      <c r="G1456" s="21" t="n">
        <v>2010</v>
      </c>
      <c r="H1456" s="22" t="n">
        <v>107196</v>
      </c>
      <c r="I1456" s="23" t="n">
        <v>110000</v>
      </c>
      <c r="J1456" s="20" t="inlineStr">
        <is>
          <t>STEER AUTO TECHNOLOGIES PRIVATE LIMITED</t>
        </is>
      </c>
      <c r="K1456" s="20" t="inlineStr">
        <is>
          <t>Non-Captive</t>
        </is>
      </c>
      <c r="L1456" s="20" t="inlineStr">
        <is>
          <t>Thiya Cars</t>
        </is>
      </c>
      <c r="M1456" s="23" t="n">
        <v>4237.29</v>
      </c>
      <c r="N1456" s="23" t="n">
        <v>5000</v>
      </c>
      <c r="O1456" s="24">
        <f>IF(AND(ISNUMBER(M1456), ISNUMBER(I1456), I1456&gt;0), M1456/I1456, "")</f>
        <v/>
      </c>
    </row>
    <row r="1457">
      <c r="A1457" s="19" t="inlineStr">
        <is>
          <t>FY27</t>
        </is>
      </c>
      <c r="B1457" s="19" t="inlineStr">
        <is>
          <t>May</t>
        </is>
      </c>
      <c r="C1457" s="19" t="inlineStr">
        <is>
          <t>TN</t>
        </is>
      </c>
      <c r="D1457" s="20" t="inlineStr">
        <is>
          <t>TN22CK1371</t>
        </is>
      </c>
      <c r="E1457" s="20" t="inlineStr">
        <is>
          <t>MAHINDRA</t>
        </is>
      </c>
      <c r="F1457" s="20" t="inlineStr">
        <is>
          <t>Quanto</t>
        </is>
      </c>
      <c r="G1457" s="21" t="n">
        <v>2013</v>
      </c>
      <c r="H1457" s="22" t="n">
        <v>48019</v>
      </c>
      <c r="I1457" s="23" t="n">
        <v>115000</v>
      </c>
      <c r="J1457" s="20" t="inlineStr">
        <is>
          <t>ATHEN MARUTI</t>
        </is>
      </c>
      <c r="K1457" s="20" t="inlineStr">
        <is>
          <t>Non-Captive</t>
        </is>
      </c>
      <c r="L1457" s="20" t="inlineStr">
        <is>
          <t>Thiya Cars</t>
        </is>
      </c>
      <c r="M1457" s="23" t="n">
        <v>4237.29</v>
      </c>
      <c r="N1457" s="23" t="n">
        <v>5000</v>
      </c>
      <c r="O1457" s="24">
        <f>IF(AND(ISNUMBER(M1457), ISNUMBER(I1457), I1457&gt;0), M1457/I1457, "")</f>
        <v/>
      </c>
    </row>
    <row r="1458">
      <c r="A1458" s="19" t="inlineStr">
        <is>
          <t>FY27</t>
        </is>
      </c>
      <c r="B1458" s="19" t="inlineStr">
        <is>
          <t>May</t>
        </is>
      </c>
      <c r="C1458" s="19" t="inlineStr">
        <is>
          <t>TN</t>
        </is>
      </c>
      <c r="D1458" s="20" t="inlineStr">
        <is>
          <t>TN09BK4793</t>
        </is>
      </c>
      <c r="E1458" s="20" t="inlineStr">
        <is>
          <t>HYUNDAI</t>
        </is>
      </c>
      <c r="F1458" s="20" t="inlineStr">
        <is>
          <t>Santro</t>
        </is>
      </c>
      <c r="G1458" s="21" t="n">
        <v>2011</v>
      </c>
      <c r="H1458" s="22" t="n">
        <v>21360</v>
      </c>
      <c r="I1458" s="23" t="n">
        <v>118000</v>
      </c>
      <c r="J1458" s="20" t="inlineStr">
        <is>
          <t>KALYANIMOTORS MARUTHI</t>
        </is>
      </c>
      <c r="K1458" s="20" t="inlineStr">
        <is>
          <t>Non-Captive</t>
        </is>
      </c>
      <c r="L1458" s="20" t="inlineStr">
        <is>
          <t>Thiya Cars</t>
        </is>
      </c>
      <c r="M1458" s="23" t="n">
        <v>4237.29</v>
      </c>
      <c r="N1458" s="23" t="n">
        <v>5000</v>
      </c>
      <c r="O1458" s="24">
        <f>IF(AND(ISNUMBER(M1458), ISNUMBER(I1458), I1458&gt;0), M1458/I1458, "")</f>
        <v/>
      </c>
    </row>
    <row r="1459">
      <c r="A1459" s="19" t="inlineStr">
        <is>
          <t>FY27</t>
        </is>
      </c>
      <c r="B1459" s="19" t="inlineStr">
        <is>
          <t>May</t>
        </is>
      </c>
      <c r="C1459" s="19" t="inlineStr">
        <is>
          <t>TN</t>
        </is>
      </c>
      <c r="D1459" s="20" t="inlineStr">
        <is>
          <t>TN07BH8088</t>
        </is>
      </c>
      <c r="E1459" s="20" t="inlineStr">
        <is>
          <t>MARUTI SUZUKI</t>
        </is>
      </c>
      <c r="F1459" s="20" t="inlineStr">
        <is>
          <t>Swift</t>
        </is>
      </c>
      <c r="G1459" s="21" t="n">
        <v>2010</v>
      </c>
      <c r="H1459" s="22" t="n">
        <v>220061</v>
      </c>
      <c r="I1459" s="23" t="n">
        <v>120000</v>
      </c>
      <c r="J1459" s="20" t="inlineStr">
        <is>
          <t>ATHEN MARUTI</t>
        </is>
      </c>
      <c r="K1459" s="20" t="inlineStr">
        <is>
          <t>Non-Captive</t>
        </is>
      </c>
      <c r="L1459" s="20" t="inlineStr">
        <is>
          <t>Thiya Cars</t>
        </is>
      </c>
      <c r="M1459" s="23" t="n">
        <v>4237.29</v>
      </c>
      <c r="N1459" s="23" t="n">
        <v>5000</v>
      </c>
      <c r="O1459" s="24">
        <f>IF(AND(ISNUMBER(M1459), ISNUMBER(I1459), I1459&gt;0), M1459/I1459, "")</f>
        <v/>
      </c>
    </row>
    <row r="1460">
      <c r="A1460" s="19" t="inlineStr">
        <is>
          <t>FY27</t>
        </is>
      </c>
      <c r="B1460" s="19" t="inlineStr">
        <is>
          <t>May</t>
        </is>
      </c>
      <c r="C1460" s="19" t="inlineStr">
        <is>
          <t>TN</t>
        </is>
      </c>
      <c r="D1460" s="20" t="inlineStr">
        <is>
          <t>KA51MC9891</t>
        </is>
      </c>
      <c r="E1460" s="20" t="inlineStr">
        <is>
          <t>MARUTI SUZUKI</t>
        </is>
      </c>
      <c r="F1460" s="20" t="inlineStr">
        <is>
          <t>Swift Dzire</t>
        </is>
      </c>
      <c r="G1460" s="21" t="n">
        <v>2011</v>
      </c>
      <c r="H1460" s="22" t="n">
        <v>76949</v>
      </c>
      <c r="I1460" s="23" t="n">
        <v>120000</v>
      </c>
      <c r="J1460" s="20" t="inlineStr">
        <is>
          <t>Khivraj Motor</t>
        </is>
      </c>
      <c r="K1460" s="20" t="inlineStr">
        <is>
          <t>Non-Captive</t>
        </is>
      </c>
      <c r="L1460" s="20" t="inlineStr">
        <is>
          <t>Thiya Cars</t>
        </is>
      </c>
      <c r="M1460" s="23" t="n">
        <v>4237.29</v>
      </c>
      <c r="N1460" s="23" t="n">
        <v>5000</v>
      </c>
      <c r="O1460" s="24">
        <f>IF(AND(ISNUMBER(M1460), ISNUMBER(I1460), I1460&gt;0), M1460/I1460, "")</f>
        <v/>
      </c>
    </row>
    <row r="1461">
      <c r="A1461" s="19" t="inlineStr">
        <is>
          <t>FY27</t>
        </is>
      </c>
      <c r="B1461" s="19" t="inlineStr">
        <is>
          <t>May</t>
        </is>
      </c>
      <c r="C1461" s="19" t="inlineStr">
        <is>
          <t>TN</t>
        </is>
      </c>
      <c r="D1461" s="20" t="inlineStr">
        <is>
          <t>TN06L3865</t>
        </is>
      </c>
      <c r="E1461" s="20" t="inlineStr">
        <is>
          <t>DATSUN</t>
        </is>
      </c>
      <c r="F1461" s="20" t="inlineStr">
        <is>
          <t>Redi-Go</t>
        </is>
      </c>
      <c r="G1461" s="21" t="n">
        <v>2014</v>
      </c>
      <c r="H1461" s="22" t="n">
        <v>134433</v>
      </c>
      <c r="I1461" s="23" t="n">
        <v>120000</v>
      </c>
      <c r="J1461" s="20" t="inlineStr">
        <is>
          <t>Indus</t>
        </is>
      </c>
      <c r="K1461" s="20" t="inlineStr">
        <is>
          <t>Non-Captive</t>
        </is>
      </c>
      <c r="L1461" s="20" t="inlineStr">
        <is>
          <t>Thiya Cars</t>
        </is>
      </c>
      <c r="M1461" s="23" t="n">
        <v>4237.29</v>
      </c>
      <c r="N1461" s="23" t="n">
        <v>5000</v>
      </c>
      <c r="O1461" s="24">
        <f>IF(AND(ISNUMBER(M1461), ISNUMBER(I1461), I1461&gt;0), M1461/I1461, "")</f>
        <v/>
      </c>
    </row>
    <row r="1462">
      <c r="A1462" s="19" t="inlineStr">
        <is>
          <t>FY27</t>
        </is>
      </c>
      <c r="B1462" s="19" t="inlineStr">
        <is>
          <t>May</t>
        </is>
      </c>
      <c r="C1462" s="19" t="inlineStr">
        <is>
          <t>TN</t>
        </is>
      </c>
      <c r="D1462" s="20" t="inlineStr">
        <is>
          <t>TN14W9561</t>
        </is>
      </c>
      <c r="E1462" s="20" t="inlineStr">
        <is>
          <t>MARUTI SUZUKI</t>
        </is>
      </c>
      <c r="F1462" s="20" t="inlineStr">
        <is>
          <t>Alto</t>
        </is>
      </c>
      <c r="G1462" s="21" t="n">
        <v>2020</v>
      </c>
      <c r="H1462" s="22" t="n">
        <v>30314</v>
      </c>
      <c r="I1462" s="23" t="n">
        <v>120000</v>
      </c>
      <c r="J1462" s="20" t="inlineStr">
        <is>
          <t>FPL AUTOMOBILES PRIVATE LIMITED</t>
        </is>
      </c>
      <c r="K1462" s="20" t="inlineStr">
        <is>
          <t>Non-Captive</t>
        </is>
      </c>
      <c r="L1462" s="20" t="inlineStr">
        <is>
          <t>Thiya Cars</t>
        </is>
      </c>
      <c r="M1462" s="23" t="n">
        <v>4237.29</v>
      </c>
      <c r="N1462" s="23" t="n">
        <v>5000</v>
      </c>
      <c r="O1462" s="24">
        <f>IF(AND(ISNUMBER(M1462), ISNUMBER(I1462), I1462&gt;0), M1462/I1462, "")</f>
        <v/>
      </c>
    </row>
    <row r="1463">
      <c r="A1463" s="19" t="inlineStr">
        <is>
          <t>FY27</t>
        </is>
      </c>
      <c r="B1463" s="19" t="inlineStr">
        <is>
          <t>May</t>
        </is>
      </c>
      <c r="C1463" s="19" t="inlineStr">
        <is>
          <t>TN</t>
        </is>
      </c>
      <c r="D1463" s="20" t="inlineStr">
        <is>
          <t>TN01AU1901</t>
        </is>
      </c>
      <c r="E1463" s="20" t="inlineStr">
        <is>
          <t>NISSAN</t>
        </is>
      </c>
      <c r="F1463" s="20" t="inlineStr">
        <is>
          <t>Micra</t>
        </is>
      </c>
      <c r="G1463" s="21" t="n">
        <v>2013</v>
      </c>
      <c r="H1463" s="22" t="n">
        <v>70231</v>
      </c>
      <c r="I1463" s="23" t="n">
        <v>120000</v>
      </c>
      <c r="J1463" s="20" t="inlineStr">
        <is>
          <t>STEER AUTO TECHNOLOGIES PRIVATE LIMITED</t>
        </is>
      </c>
      <c r="K1463" s="20" t="inlineStr">
        <is>
          <t>Non-Captive</t>
        </is>
      </c>
      <c r="L1463" s="20" t="inlineStr">
        <is>
          <t>Thiya Cars</t>
        </is>
      </c>
      <c r="M1463" s="23" t="n">
        <v>4237.29</v>
      </c>
      <c r="N1463" s="23" t="n">
        <v>5000</v>
      </c>
      <c r="O1463" s="24">
        <f>IF(AND(ISNUMBER(M1463), ISNUMBER(I1463), I1463&gt;0), M1463/I1463, "")</f>
        <v/>
      </c>
    </row>
    <row r="1464">
      <c r="A1464" s="19" t="inlineStr">
        <is>
          <t>FY27</t>
        </is>
      </c>
      <c r="B1464" s="19" t="inlineStr">
        <is>
          <t>May</t>
        </is>
      </c>
      <c r="C1464" s="19" t="inlineStr">
        <is>
          <t>TN</t>
        </is>
      </c>
      <c r="D1464" s="20" t="inlineStr">
        <is>
          <t>TN10AE4930</t>
        </is>
      </c>
      <c r="E1464" s="20" t="inlineStr">
        <is>
          <t>HYUNDAI</t>
        </is>
      </c>
      <c r="F1464" s="20" t="inlineStr">
        <is>
          <t>I10</t>
        </is>
      </c>
      <c r="G1464" s="21" t="n">
        <v>2011</v>
      </c>
      <c r="H1464" s="22" t="n">
        <v>84439</v>
      </c>
      <c r="I1464" s="23" t="n">
        <v>120000</v>
      </c>
      <c r="J1464" s="20" t="inlineStr">
        <is>
          <t>Indus</t>
        </is>
      </c>
      <c r="K1464" s="20" t="inlineStr">
        <is>
          <t>Non-Captive</t>
        </is>
      </c>
      <c r="L1464" s="20" t="inlineStr">
        <is>
          <t>Thiya Cars</t>
        </is>
      </c>
      <c r="M1464" s="23" t="n">
        <v>4237.29</v>
      </c>
      <c r="N1464" s="23" t="n">
        <v>5000</v>
      </c>
      <c r="O1464" s="24">
        <f>IF(AND(ISNUMBER(M1464), ISNUMBER(I1464), I1464&gt;0), M1464/I1464, "")</f>
        <v/>
      </c>
    </row>
    <row r="1465">
      <c r="A1465" s="19" t="inlineStr">
        <is>
          <t>FY27</t>
        </is>
      </c>
      <c r="B1465" s="19" t="inlineStr">
        <is>
          <t>May</t>
        </is>
      </c>
      <c r="C1465" s="19" t="inlineStr">
        <is>
          <t>TN</t>
        </is>
      </c>
      <c r="D1465" s="20" t="inlineStr">
        <is>
          <t>TN09CE9972</t>
        </is>
      </c>
      <c r="E1465" s="20" t="inlineStr">
        <is>
          <t>DATSUN</t>
        </is>
      </c>
      <c r="F1465" s="20" t="inlineStr">
        <is>
          <t>Redi-Go</t>
        </is>
      </c>
      <c r="G1465" s="21" t="n">
        <v>2016</v>
      </c>
      <c r="H1465" s="22" t="n">
        <v>69642</v>
      </c>
      <c r="I1465" s="23" t="n">
        <v>125000</v>
      </c>
      <c r="J1465" s="20" t="inlineStr">
        <is>
          <t>Harsha</t>
        </is>
      </c>
      <c r="K1465" s="20" t="inlineStr">
        <is>
          <t>Non-Captive</t>
        </is>
      </c>
      <c r="L1465" s="20" t="inlineStr">
        <is>
          <t>Thiya Cars</t>
        </is>
      </c>
      <c r="M1465" s="23" t="n">
        <v>4237.29</v>
      </c>
      <c r="N1465" s="23" t="n">
        <v>5000</v>
      </c>
      <c r="O1465" s="24">
        <f>IF(AND(ISNUMBER(M1465), ISNUMBER(I1465), I1465&gt;0), M1465/I1465, "")</f>
        <v/>
      </c>
    </row>
    <row r="1466">
      <c r="A1466" s="19" t="inlineStr">
        <is>
          <t>FY27</t>
        </is>
      </c>
      <c r="B1466" s="19" t="inlineStr">
        <is>
          <t>May</t>
        </is>
      </c>
      <c r="C1466" s="19" t="inlineStr">
        <is>
          <t>TN</t>
        </is>
      </c>
      <c r="D1466" s="20" t="inlineStr">
        <is>
          <t>TN19H9509</t>
        </is>
      </c>
      <c r="E1466" s="20" t="inlineStr">
        <is>
          <t>FORD</t>
        </is>
      </c>
      <c r="F1466" s="20" t="inlineStr">
        <is>
          <t>Fiesta</t>
        </is>
      </c>
      <c r="G1466" s="21" t="n">
        <v>2012</v>
      </c>
      <c r="H1466" s="22" t="n">
        <v>141264</v>
      </c>
      <c r="I1466" s="23" t="n">
        <v>125000</v>
      </c>
      <c r="J1466" s="20" t="inlineStr">
        <is>
          <t>Cresco cars</t>
        </is>
      </c>
      <c r="K1466" s="20" t="inlineStr">
        <is>
          <t>Non-Captive</t>
        </is>
      </c>
      <c r="L1466" s="20" t="inlineStr">
        <is>
          <t>Thiya Cars</t>
        </is>
      </c>
      <c r="M1466" s="23" t="n">
        <v>4237.29</v>
      </c>
      <c r="N1466" s="23" t="n">
        <v>5000</v>
      </c>
      <c r="O1466" s="24">
        <f>IF(AND(ISNUMBER(M1466), ISNUMBER(I1466), I1466&gt;0), M1466/I1466, "")</f>
        <v/>
      </c>
    </row>
    <row r="1467">
      <c r="A1467" s="19" t="inlineStr">
        <is>
          <t>FY27</t>
        </is>
      </c>
      <c r="B1467" s="19" t="inlineStr">
        <is>
          <t>May</t>
        </is>
      </c>
      <c r="C1467" s="19" t="inlineStr">
        <is>
          <t>TN</t>
        </is>
      </c>
      <c r="D1467" s="20" t="inlineStr">
        <is>
          <t>TN10AH3559</t>
        </is>
      </c>
      <c r="E1467" s="20" t="inlineStr">
        <is>
          <t>HYUNDAI</t>
        </is>
      </c>
      <c r="F1467" s="20" t="inlineStr">
        <is>
          <t>Eon</t>
        </is>
      </c>
      <c r="G1467" s="21" t="n">
        <v>2012</v>
      </c>
      <c r="H1467" s="22" t="n">
        <v>67169</v>
      </c>
      <c r="I1467" s="23" t="n">
        <v>125000</v>
      </c>
      <c r="J1467" s="20" t="inlineStr">
        <is>
          <t>Khivraj Motor</t>
        </is>
      </c>
      <c r="K1467" s="20" t="inlineStr">
        <is>
          <t>Non-Captive</t>
        </is>
      </c>
      <c r="L1467" s="20" t="inlineStr">
        <is>
          <t>Nirmal Cars</t>
        </is>
      </c>
      <c r="M1467" s="23" t="n">
        <v>4237.29</v>
      </c>
      <c r="N1467" s="23" t="n">
        <v>5000</v>
      </c>
      <c r="O1467" s="24">
        <f>IF(AND(ISNUMBER(M1467), ISNUMBER(I1467), I1467&gt;0), M1467/I1467, "")</f>
        <v/>
      </c>
    </row>
    <row r="1468">
      <c r="A1468" s="19" t="inlineStr">
        <is>
          <t>FY27</t>
        </is>
      </c>
      <c r="B1468" s="19" t="inlineStr">
        <is>
          <t>May</t>
        </is>
      </c>
      <c r="C1468" s="19" t="inlineStr">
        <is>
          <t>TN</t>
        </is>
      </c>
      <c r="D1468" s="20" t="inlineStr">
        <is>
          <t>TN10AY9271</t>
        </is>
      </c>
      <c r="E1468" s="20" t="inlineStr">
        <is>
          <t>RENAULT</t>
        </is>
      </c>
      <c r="F1468" s="20" t="inlineStr">
        <is>
          <t>Kwid</t>
        </is>
      </c>
      <c r="G1468" s="21" t="n">
        <v>2016</v>
      </c>
      <c r="H1468" s="22" t="n">
        <v>44780</v>
      </c>
      <c r="I1468" s="23" t="n">
        <v>125000</v>
      </c>
      <c r="J1468" s="20" t="inlineStr">
        <is>
          <t>Khivraj Motor</t>
        </is>
      </c>
      <c r="K1468" s="20" t="inlineStr">
        <is>
          <t>Non-Captive</t>
        </is>
      </c>
      <c r="L1468" s="20" t="inlineStr">
        <is>
          <t>Nirmal Cars</t>
        </is>
      </c>
      <c r="M1468" s="23" t="n">
        <v>4237.29</v>
      </c>
      <c r="N1468" s="23" t="n">
        <v>5000</v>
      </c>
      <c r="O1468" s="24">
        <f>IF(AND(ISNUMBER(M1468), ISNUMBER(I1468), I1468&gt;0), M1468/I1468, "")</f>
        <v/>
      </c>
    </row>
    <row r="1469">
      <c r="A1469" s="19" t="inlineStr">
        <is>
          <t>FY27</t>
        </is>
      </c>
      <c r="B1469" s="19" t="inlineStr">
        <is>
          <t>May</t>
        </is>
      </c>
      <c r="C1469" s="19" t="inlineStr">
        <is>
          <t>TN</t>
        </is>
      </c>
      <c r="D1469" s="20" t="inlineStr">
        <is>
          <t>TN01AQ9625</t>
        </is>
      </c>
      <c r="E1469" s="20" t="inlineStr">
        <is>
          <t>CHEVROLET</t>
        </is>
      </c>
      <c r="F1469" s="20" t="inlineStr">
        <is>
          <t>Beat</t>
        </is>
      </c>
      <c r="G1469" s="21" t="n">
        <v>2012</v>
      </c>
      <c r="H1469" s="22" t="n">
        <v>75551</v>
      </c>
      <c r="I1469" s="23" t="n">
        <v>126000</v>
      </c>
      <c r="J1469" s="20" t="inlineStr">
        <is>
          <t>Khivraj Motor</t>
        </is>
      </c>
      <c r="K1469" s="20" t="inlineStr">
        <is>
          <t>Non-Captive</t>
        </is>
      </c>
      <c r="L1469" s="20" t="inlineStr">
        <is>
          <t>Nirmal Cars</t>
        </is>
      </c>
      <c r="M1469" s="23" t="n">
        <v>4237.29</v>
      </c>
      <c r="N1469" s="23" t="n">
        <v>5000</v>
      </c>
      <c r="O1469" s="24">
        <f>IF(AND(ISNUMBER(M1469), ISNUMBER(I1469), I1469&gt;0), M1469/I1469, "")</f>
        <v/>
      </c>
    </row>
    <row r="1470">
      <c r="A1470" s="19" t="inlineStr">
        <is>
          <t>FY27</t>
        </is>
      </c>
      <c r="B1470" s="19" t="inlineStr">
        <is>
          <t>May</t>
        </is>
      </c>
      <c r="C1470" s="19" t="inlineStr">
        <is>
          <t>TN</t>
        </is>
      </c>
      <c r="D1470" s="20" t="inlineStr">
        <is>
          <t>TN05AS6345</t>
        </is>
      </c>
      <c r="E1470" s="20" t="inlineStr">
        <is>
          <t>MARUTI SUZUKI</t>
        </is>
      </c>
      <c r="F1470" s="20" t="inlineStr">
        <is>
          <t>Alto</t>
        </is>
      </c>
      <c r="G1470" s="21" t="n">
        <v>2013</v>
      </c>
      <c r="H1470" s="22" t="n">
        <v>38870</v>
      </c>
      <c r="I1470" s="23" t="n">
        <v>128000</v>
      </c>
      <c r="J1470" s="20" t="inlineStr">
        <is>
          <t>Cresco cars</t>
        </is>
      </c>
      <c r="K1470" s="20" t="inlineStr">
        <is>
          <t>Non-Captive</t>
        </is>
      </c>
      <c r="L1470" s="20" t="inlineStr">
        <is>
          <t>Nirmal Cars</t>
        </is>
      </c>
      <c r="M1470" s="23" t="n">
        <v>4237.29</v>
      </c>
      <c r="N1470" s="23" t="n">
        <v>5000</v>
      </c>
      <c r="O1470" s="24">
        <f>IF(AND(ISNUMBER(M1470), ISNUMBER(I1470), I1470&gt;0), M1470/I1470, "")</f>
        <v/>
      </c>
    </row>
    <row r="1471">
      <c r="A1471" s="19" t="inlineStr">
        <is>
          <t>FY27</t>
        </is>
      </c>
      <c r="B1471" s="19" t="inlineStr">
        <is>
          <t>May</t>
        </is>
      </c>
      <c r="C1471" s="19" t="inlineStr">
        <is>
          <t>TN</t>
        </is>
      </c>
      <c r="D1471" s="20" t="inlineStr">
        <is>
          <t>TN07BR4789</t>
        </is>
      </c>
      <c r="E1471" s="20" t="inlineStr">
        <is>
          <t>FORD</t>
        </is>
      </c>
      <c r="F1471" s="20" t="inlineStr">
        <is>
          <t>Fiesta Classic</t>
        </is>
      </c>
      <c r="G1471" s="21" t="n">
        <v>2012</v>
      </c>
      <c r="H1471" s="22" t="n">
        <v>67797</v>
      </c>
      <c r="I1471" s="23" t="n">
        <v>128000</v>
      </c>
      <c r="J1471" s="20" t="inlineStr">
        <is>
          <t>FPL AUTOMOBILES PRIVATE LIMITED</t>
        </is>
      </c>
      <c r="K1471" s="20" t="inlineStr">
        <is>
          <t>Non-Captive</t>
        </is>
      </c>
      <c r="L1471" s="20" t="inlineStr">
        <is>
          <t>Nirmal Cars</t>
        </is>
      </c>
      <c r="M1471" s="23" t="n">
        <v>4237.29</v>
      </c>
      <c r="N1471" s="23" t="n">
        <v>5000</v>
      </c>
      <c r="O1471" s="24">
        <f>IF(AND(ISNUMBER(M1471), ISNUMBER(I1471), I1471&gt;0), M1471/I1471, "")</f>
        <v/>
      </c>
    </row>
    <row r="1472">
      <c r="A1472" s="19" t="inlineStr">
        <is>
          <t>FY27</t>
        </is>
      </c>
      <c r="B1472" s="19" t="inlineStr">
        <is>
          <t>May</t>
        </is>
      </c>
      <c r="C1472" s="19" t="inlineStr">
        <is>
          <t>TN</t>
        </is>
      </c>
      <c r="D1472" s="20" t="inlineStr">
        <is>
          <t>TN07AS7911</t>
        </is>
      </c>
      <c r="E1472" s="20" t="inlineStr">
        <is>
          <t>MARUTI SUZUKI</t>
        </is>
      </c>
      <c r="F1472" s="20" t="inlineStr">
        <is>
          <t>Swift</t>
        </is>
      </c>
      <c r="G1472" s="21" t="n">
        <v>2007</v>
      </c>
      <c r="H1472" s="22" t="n">
        <v>70138</v>
      </c>
      <c r="I1472" s="23" t="n">
        <v>130000</v>
      </c>
      <c r="J1472" s="20" t="inlineStr">
        <is>
          <t>Khivraj Motor</t>
        </is>
      </c>
      <c r="K1472" s="20" t="inlineStr">
        <is>
          <t>Non-Captive</t>
        </is>
      </c>
      <c r="L1472" s="20" t="inlineStr">
        <is>
          <t>Nirmal Cars</t>
        </is>
      </c>
      <c r="M1472" s="23" t="n">
        <v>4237.29</v>
      </c>
      <c r="N1472" s="23" t="n">
        <v>5000</v>
      </c>
      <c r="O1472" s="24">
        <f>IF(AND(ISNUMBER(M1472), ISNUMBER(I1472), I1472&gt;0), M1472/I1472, "")</f>
        <v/>
      </c>
    </row>
    <row r="1473">
      <c r="A1473" s="19" t="inlineStr">
        <is>
          <t>FY27</t>
        </is>
      </c>
      <c r="B1473" s="19" t="inlineStr">
        <is>
          <t>May</t>
        </is>
      </c>
      <c r="C1473" s="19" t="inlineStr">
        <is>
          <t>TN</t>
        </is>
      </c>
      <c r="D1473" s="20" t="inlineStr">
        <is>
          <t>TN02AM8562</t>
        </is>
      </c>
      <c r="E1473" s="20" t="inlineStr">
        <is>
          <t>MARUTI SUZUKI</t>
        </is>
      </c>
      <c r="F1473" s="20" t="inlineStr">
        <is>
          <t>Wagon R</t>
        </is>
      </c>
      <c r="G1473" s="21" t="n">
        <v>2010</v>
      </c>
      <c r="H1473" s="22" t="n">
        <v>119755</v>
      </c>
      <c r="I1473" s="23" t="n">
        <v>130000</v>
      </c>
      <c r="J1473" s="20" t="inlineStr">
        <is>
          <t>Khivraj Motor</t>
        </is>
      </c>
      <c r="K1473" s="20" t="inlineStr">
        <is>
          <t>Non-Captive</t>
        </is>
      </c>
      <c r="L1473" s="20" t="inlineStr">
        <is>
          <t>Nirmal Cars</t>
        </is>
      </c>
      <c r="M1473" s="23" t="n">
        <v>4237.29</v>
      </c>
      <c r="N1473" s="23" t="n">
        <v>5000</v>
      </c>
      <c r="O1473" s="24">
        <f>IF(AND(ISNUMBER(M1473), ISNUMBER(I1473), I1473&gt;0), M1473/I1473, "")</f>
        <v/>
      </c>
    </row>
    <row r="1474">
      <c r="A1474" s="19" t="inlineStr">
        <is>
          <t>FY27</t>
        </is>
      </c>
      <c r="B1474" s="19" t="inlineStr">
        <is>
          <t>May</t>
        </is>
      </c>
      <c r="C1474" s="19" t="inlineStr">
        <is>
          <t>TN</t>
        </is>
      </c>
      <c r="D1474" s="20" t="inlineStr">
        <is>
          <t>TN05AK5585</t>
        </is>
      </c>
      <c r="E1474" s="20" t="inlineStr">
        <is>
          <t>NISSAN</t>
        </is>
      </c>
      <c r="F1474" s="20" t="inlineStr">
        <is>
          <t>Micra</t>
        </is>
      </c>
      <c r="G1474" s="21" t="n">
        <v>2011</v>
      </c>
      <c r="H1474" s="22" t="n">
        <v>77280</v>
      </c>
      <c r="I1474" s="23" t="n">
        <v>130000</v>
      </c>
      <c r="J1474" s="20" t="inlineStr">
        <is>
          <t>Cresco cars</t>
        </is>
      </c>
      <c r="K1474" s="20" t="inlineStr">
        <is>
          <t>Non-Captive</t>
        </is>
      </c>
      <c r="L1474" s="20" t="inlineStr">
        <is>
          <t>Nirmal Cars</t>
        </is>
      </c>
      <c r="M1474" s="23" t="n">
        <v>4237.29</v>
      </c>
      <c r="N1474" s="23" t="n">
        <v>5000</v>
      </c>
      <c r="O1474" s="24">
        <f>IF(AND(ISNUMBER(M1474), ISNUMBER(I1474), I1474&gt;0), M1474/I1474, "")</f>
        <v/>
      </c>
    </row>
    <row r="1475">
      <c r="A1475" s="19" t="inlineStr">
        <is>
          <t>FY27</t>
        </is>
      </c>
      <c r="B1475" s="19" t="inlineStr">
        <is>
          <t>May</t>
        </is>
      </c>
      <c r="C1475" s="19" t="inlineStr">
        <is>
          <t>TN</t>
        </is>
      </c>
      <c r="D1475" s="20" t="inlineStr">
        <is>
          <t>TN22CW2549</t>
        </is>
      </c>
      <c r="E1475" s="20" t="inlineStr">
        <is>
          <t>MARUTI SUZUKI</t>
        </is>
      </c>
      <c r="F1475" s="20" t="inlineStr">
        <is>
          <t>Wagon R</t>
        </is>
      </c>
      <c r="G1475" s="21" t="n">
        <v>2011</v>
      </c>
      <c r="H1475" s="22" t="n">
        <v>66245</v>
      </c>
      <c r="I1475" s="23" t="n">
        <v>130000</v>
      </c>
      <c r="J1475" s="20" t="inlineStr">
        <is>
          <t>CARS INDIA</t>
        </is>
      </c>
      <c r="K1475" s="20" t="inlineStr">
        <is>
          <t>Non-Captive</t>
        </is>
      </c>
      <c r="L1475" s="20" t="inlineStr">
        <is>
          <t>Nirmal Cars</t>
        </is>
      </c>
      <c r="M1475" s="23" t="n">
        <v>4237.29</v>
      </c>
      <c r="N1475" s="23" t="n">
        <v>5000</v>
      </c>
      <c r="O1475" s="24">
        <f>IF(AND(ISNUMBER(M1475), ISNUMBER(I1475), I1475&gt;0), M1475/I1475, "")</f>
        <v/>
      </c>
    </row>
    <row r="1476">
      <c r="A1476" s="19" t="inlineStr">
        <is>
          <t>FY27</t>
        </is>
      </c>
      <c r="B1476" s="19" t="inlineStr">
        <is>
          <t>May</t>
        </is>
      </c>
      <c r="C1476" s="19" t="inlineStr">
        <is>
          <t>TN</t>
        </is>
      </c>
      <c r="D1476" s="20" t="inlineStr">
        <is>
          <t>TN18W9253</t>
        </is>
      </c>
      <c r="E1476" s="20" t="inlineStr">
        <is>
          <t>FIAT</t>
        </is>
      </c>
      <c r="F1476" s="20" t="inlineStr">
        <is>
          <t>Grand Punto</t>
        </is>
      </c>
      <c r="G1476" s="21" t="n">
        <v>2012</v>
      </c>
      <c r="H1476" s="22" t="n">
        <v>81146</v>
      </c>
      <c r="I1476" s="23" t="n">
        <v>132000</v>
      </c>
      <c r="J1476" s="20" t="inlineStr">
        <is>
          <t>Cresco cars</t>
        </is>
      </c>
      <c r="K1476" s="20" t="inlineStr">
        <is>
          <t>Non-Captive</t>
        </is>
      </c>
      <c r="L1476" s="20" t="inlineStr">
        <is>
          <t>Nirmal Cars</t>
        </is>
      </c>
      <c r="M1476" s="23" t="n">
        <v>4237.29</v>
      </c>
      <c r="N1476" s="23" t="n">
        <v>5000</v>
      </c>
      <c r="O1476" s="24">
        <f>IF(AND(ISNUMBER(M1476), ISNUMBER(I1476), I1476&gt;0), M1476/I1476, "")</f>
        <v/>
      </c>
    </row>
    <row r="1477">
      <c r="A1477" s="19" t="inlineStr">
        <is>
          <t>FY27</t>
        </is>
      </c>
      <c r="B1477" s="19" t="inlineStr">
        <is>
          <t>May</t>
        </is>
      </c>
      <c r="C1477" s="19" t="inlineStr">
        <is>
          <t>TN</t>
        </is>
      </c>
      <c r="D1477" s="20" t="inlineStr">
        <is>
          <t>TN02AU9785</t>
        </is>
      </c>
      <c r="E1477" s="20" t="inlineStr">
        <is>
          <t>MARUTI SUZUKI</t>
        </is>
      </c>
      <c r="F1477" s="20" t="inlineStr">
        <is>
          <t>Alto</t>
        </is>
      </c>
      <c r="G1477" s="21" t="n">
        <v>2012</v>
      </c>
      <c r="H1477" s="22" t="n">
        <v>64181</v>
      </c>
      <c r="I1477" s="23" t="n">
        <v>132000</v>
      </c>
      <c r="J1477" s="20" t="inlineStr">
        <is>
          <t>Cresco cars</t>
        </is>
      </c>
      <c r="K1477" s="20" t="inlineStr">
        <is>
          <t>Non-Captive</t>
        </is>
      </c>
      <c r="L1477" s="20" t="inlineStr">
        <is>
          <t>Nirmal Cars</t>
        </is>
      </c>
      <c r="M1477" s="23" t="n">
        <v>4237.29</v>
      </c>
      <c r="N1477" s="23" t="n">
        <v>5000</v>
      </c>
      <c r="O1477" s="24">
        <f>IF(AND(ISNUMBER(M1477), ISNUMBER(I1477), I1477&gt;0), M1477/I1477, "")</f>
        <v/>
      </c>
    </row>
    <row r="1478">
      <c r="A1478" s="19" t="inlineStr">
        <is>
          <t>FY27</t>
        </is>
      </c>
      <c r="B1478" s="19" t="inlineStr">
        <is>
          <t>May</t>
        </is>
      </c>
      <c r="C1478" s="19" t="inlineStr">
        <is>
          <t>TN</t>
        </is>
      </c>
      <c r="D1478" s="20" t="inlineStr">
        <is>
          <t>TN20BU4529</t>
        </is>
      </c>
      <c r="E1478" s="20" t="inlineStr">
        <is>
          <t>MARUTI SUZUKI</t>
        </is>
      </c>
      <c r="F1478" s="20" t="inlineStr">
        <is>
          <t>Swift</t>
        </is>
      </c>
      <c r="G1478" s="21" t="n">
        <v>2010</v>
      </c>
      <c r="H1478" s="22" t="n">
        <v>207198</v>
      </c>
      <c r="I1478" s="23" t="n">
        <v>135000</v>
      </c>
      <c r="J1478" s="20" t="inlineStr">
        <is>
          <t>AIE CARS PRIVATE LIMITED</t>
        </is>
      </c>
      <c r="K1478" s="20" t="inlineStr">
        <is>
          <t>Non-Captive</t>
        </is>
      </c>
      <c r="L1478" s="20" t="inlineStr">
        <is>
          <t>Nirmal Cars</t>
        </is>
      </c>
      <c r="M1478" s="23" t="n">
        <v>4237.29</v>
      </c>
      <c r="N1478" s="23" t="n">
        <v>5000</v>
      </c>
      <c r="O1478" s="24">
        <f>IF(AND(ISNUMBER(M1478), ISNUMBER(I1478), I1478&gt;0), M1478/I1478, "")</f>
        <v/>
      </c>
    </row>
    <row r="1479">
      <c r="A1479" s="19" t="inlineStr">
        <is>
          <t>FY27</t>
        </is>
      </c>
      <c r="B1479" s="19" t="inlineStr">
        <is>
          <t>May</t>
        </is>
      </c>
      <c r="C1479" s="19" t="inlineStr">
        <is>
          <t>TN</t>
        </is>
      </c>
      <c r="D1479" s="20" t="inlineStr">
        <is>
          <t>TN22CQ1445</t>
        </is>
      </c>
      <c r="E1479" s="20" t="inlineStr">
        <is>
          <t>MARUTI SUZUKI</t>
        </is>
      </c>
      <c r="F1479" s="20" t="inlineStr">
        <is>
          <t>Eeco</t>
        </is>
      </c>
      <c r="G1479" s="21" t="n">
        <v>2014</v>
      </c>
      <c r="H1479" s="22" t="n">
        <v>17591</v>
      </c>
      <c r="I1479" s="23" t="n">
        <v>135000</v>
      </c>
      <c r="J1479" s="20" t="inlineStr">
        <is>
          <t>POPULAR VEHICLES AND SERVICES LIMITED</t>
        </is>
      </c>
      <c r="K1479" s="20" t="inlineStr">
        <is>
          <t>Non-Captive</t>
        </is>
      </c>
      <c r="L1479" s="20" t="inlineStr">
        <is>
          <t>Nirmal Cars</t>
        </is>
      </c>
      <c r="M1479" s="23" t="n">
        <v>4237.29</v>
      </c>
      <c r="N1479" s="23" t="n">
        <v>5000</v>
      </c>
      <c r="O1479" s="24">
        <f>IF(AND(ISNUMBER(M1479), ISNUMBER(I1479), I1479&gt;0), M1479/I1479, "")</f>
        <v/>
      </c>
    </row>
    <row r="1480">
      <c r="A1480" s="19" t="inlineStr">
        <is>
          <t>FY27</t>
        </is>
      </c>
      <c r="B1480" s="19" t="inlineStr">
        <is>
          <t>May</t>
        </is>
      </c>
      <c r="C1480" s="19" t="inlineStr">
        <is>
          <t>TN</t>
        </is>
      </c>
      <c r="D1480" s="20" t="inlineStr">
        <is>
          <t>TN01AS1470</t>
        </is>
      </c>
      <c r="E1480" s="20" t="inlineStr">
        <is>
          <t>MARUTI SUZUKI</t>
        </is>
      </c>
      <c r="F1480" s="20" t="inlineStr">
        <is>
          <t>Ritz</t>
        </is>
      </c>
      <c r="G1480" s="21" t="n">
        <v>2011</v>
      </c>
      <c r="H1480" s="22" t="n">
        <v>89778</v>
      </c>
      <c r="I1480" s="23" t="n">
        <v>135000</v>
      </c>
      <c r="J1480" s="20" t="inlineStr">
        <is>
          <t>CARS INDIA</t>
        </is>
      </c>
      <c r="K1480" s="20" t="inlineStr">
        <is>
          <t>Non-Captive</t>
        </is>
      </c>
      <c r="L1480" s="20" t="inlineStr">
        <is>
          <t>Nirmal Cars</t>
        </is>
      </c>
      <c r="M1480" s="23" t="n">
        <v>4237.29</v>
      </c>
      <c r="N1480" s="23" t="n">
        <v>5000</v>
      </c>
      <c r="O1480" s="24">
        <f>IF(AND(ISNUMBER(M1480), ISNUMBER(I1480), I1480&gt;0), M1480/I1480, "")</f>
        <v/>
      </c>
    </row>
    <row r="1481">
      <c r="A1481" s="19" t="inlineStr">
        <is>
          <t>FY27</t>
        </is>
      </c>
      <c r="B1481" s="19" t="inlineStr">
        <is>
          <t>May</t>
        </is>
      </c>
      <c r="C1481" s="19" t="inlineStr">
        <is>
          <t>TN</t>
        </is>
      </c>
      <c r="D1481" s="20" t="inlineStr">
        <is>
          <t>TN11K9238</t>
        </is>
      </c>
      <c r="E1481" s="20" t="inlineStr">
        <is>
          <t>HYUNDAI</t>
        </is>
      </c>
      <c r="F1481" s="20" t="inlineStr">
        <is>
          <t>Eon</t>
        </is>
      </c>
      <c r="G1481" s="21" t="n">
        <v>2014</v>
      </c>
      <c r="H1481" s="22" t="n">
        <v>97548</v>
      </c>
      <c r="I1481" s="23" t="n">
        <v>140000</v>
      </c>
      <c r="J1481" s="20" t="inlineStr">
        <is>
          <t>SVM CARS PRIVATE LIMITED</t>
        </is>
      </c>
      <c r="K1481" s="20" t="inlineStr">
        <is>
          <t>Non-Captive</t>
        </is>
      </c>
      <c r="L1481" s="20" t="inlineStr">
        <is>
          <t>Nirmal Cars</t>
        </is>
      </c>
      <c r="M1481" s="23" t="n">
        <v>4237.29</v>
      </c>
      <c r="N1481" s="23" t="n">
        <v>5000</v>
      </c>
      <c r="O1481" s="24">
        <f>IF(AND(ISNUMBER(M1481), ISNUMBER(I1481), I1481&gt;0), M1481/I1481, "")</f>
        <v/>
      </c>
    </row>
    <row r="1482">
      <c r="A1482" s="19" t="inlineStr">
        <is>
          <t>FY27</t>
        </is>
      </c>
      <c r="B1482" s="19" t="inlineStr">
        <is>
          <t>May</t>
        </is>
      </c>
      <c r="C1482" s="19" t="inlineStr">
        <is>
          <t>TN</t>
        </is>
      </c>
      <c r="D1482" s="20" t="inlineStr">
        <is>
          <t>TN07BJ0529</t>
        </is>
      </c>
      <c r="E1482" s="20" t="inlineStr">
        <is>
          <t>HYUNDAI</t>
        </is>
      </c>
      <c r="F1482" s="20" t="inlineStr">
        <is>
          <t>I20</t>
        </is>
      </c>
      <c r="G1482" s="21" t="n">
        <v>2010</v>
      </c>
      <c r="H1482" s="22" t="n">
        <v>54199</v>
      </c>
      <c r="I1482" s="23" t="n">
        <v>140000</v>
      </c>
      <c r="J1482" s="20" t="inlineStr">
        <is>
          <t>Cresco cars</t>
        </is>
      </c>
      <c r="K1482" s="20" t="inlineStr">
        <is>
          <t>Non-Captive</t>
        </is>
      </c>
      <c r="L1482" s="20" t="inlineStr">
        <is>
          <t>Nirmal Cars</t>
        </is>
      </c>
      <c r="M1482" s="23" t="n">
        <v>4237.29</v>
      </c>
      <c r="N1482" s="23" t="n">
        <v>5000</v>
      </c>
      <c r="O1482" s="24">
        <f>IF(AND(ISNUMBER(M1482), ISNUMBER(I1482), I1482&gt;0), M1482/I1482, "")</f>
        <v/>
      </c>
    </row>
    <row r="1483">
      <c r="A1483" s="19" t="inlineStr">
        <is>
          <t>FY27</t>
        </is>
      </c>
      <c r="B1483" s="19" t="inlineStr">
        <is>
          <t>May</t>
        </is>
      </c>
      <c r="C1483" s="19" t="inlineStr">
        <is>
          <t>TN</t>
        </is>
      </c>
      <c r="D1483" s="20" t="inlineStr">
        <is>
          <t>TN10AE4468</t>
        </is>
      </c>
      <c r="E1483" s="20" t="inlineStr">
        <is>
          <t>NISSAN</t>
        </is>
      </c>
      <c r="F1483" s="20" t="inlineStr">
        <is>
          <t>Micra</t>
        </is>
      </c>
      <c r="G1483" s="21" t="n">
        <v>2011</v>
      </c>
      <c r="H1483" s="22" t="n">
        <v>52328</v>
      </c>
      <c r="I1483" s="23" t="n">
        <v>140000</v>
      </c>
      <c r="J1483" s="20" t="inlineStr">
        <is>
          <t>PRODUCTIVITY ELEMENTS PRIVATE LIMITED</t>
        </is>
      </c>
      <c r="K1483" s="20" t="inlineStr">
        <is>
          <t>Non-Captive</t>
        </is>
      </c>
      <c r="L1483" s="20" t="inlineStr">
        <is>
          <t>Nirmal Cars</t>
        </is>
      </c>
      <c r="M1483" s="23" t="n">
        <v>3389.83</v>
      </c>
      <c r="N1483" s="23" t="n">
        <v>4000</v>
      </c>
      <c r="O1483" s="24">
        <f>IF(AND(ISNUMBER(M1483), ISNUMBER(I1483), I1483&gt;0), M1483/I1483, "")</f>
        <v/>
      </c>
    </row>
    <row r="1484">
      <c r="A1484" s="19" t="inlineStr">
        <is>
          <t>FY27</t>
        </is>
      </c>
      <c r="B1484" s="19" t="inlineStr">
        <is>
          <t>May</t>
        </is>
      </c>
      <c r="C1484" s="19" t="inlineStr">
        <is>
          <t>TN</t>
        </is>
      </c>
      <c r="D1484" s="20" t="inlineStr">
        <is>
          <t>TN02AU9718</t>
        </is>
      </c>
      <c r="E1484" s="20" t="inlineStr">
        <is>
          <t>MARUTI SUZUKI</t>
        </is>
      </c>
      <c r="F1484" s="20" t="inlineStr">
        <is>
          <t>Ritz</t>
        </is>
      </c>
      <c r="G1484" s="21" t="n">
        <v>2012</v>
      </c>
      <c r="H1484" s="22" t="n">
        <v>92962</v>
      </c>
      <c r="I1484" s="23" t="n">
        <v>140000</v>
      </c>
      <c r="J1484" s="20" t="inlineStr">
        <is>
          <t>Indus</t>
        </is>
      </c>
      <c r="K1484" s="20" t="inlineStr">
        <is>
          <t>Non-Captive</t>
        </is>
      </c>
      <c r="L1484" s="20" t="inlineStr">
        <is>
          <t>Nirmal Cars</t>
        </is>
      </c>
      <c r="M1484" s="23" t="n">
        <v>3389.83</v>
      </c>
      <c r="N1484" s="23" t="n">
        <v>4000</v>
      </c>
      <c r="O1484" s="24">
        <f>IF(AND(ISNUMBER(M1484), ISNUMBER(I1484), I1484&gt;0), M1484/I1484, "")</f>
        <v/>
      </c>
    </row>
    <row r="1485">
      <c r="A1485" s="19" t="inlineStr">
        <is>
          <t>FY27</t>
        </is>
      </c>
      <c r="B1485" s="19" t="inlineStr">
        <is>
          <t>May</t>
        </is>
      </c>
      <c r="C1485" s="19" t="inlineStr">
        <is>
          <t>TN</t>
        </is>
      </c>
      <c r="D1485" s="20" t="inlineStr">
        <is>
          <t>TN02AY4012</t>
        </is>
      </c>
      <c r="E1485" s="20" t="inlineStr">
        <is>
          <t>MARUTI SUZUKI</t>
        </is>
      </c>
      <c r="F1485" s="20" t="inlineStr">
        <is>
          <t>A-Star</t>
        </is>
      </c>
      <c r="G1485" s="21" t="n">
        <v>2013</v>
      </c>
      <c r="H1485" s="22" t="n">
        <v>88519</v>
      </c>
      <c r="I1485" s="23" t="n">
        <v>140000</v>
      </c>
      <c r="J1485" s="20" t="inlineStr">
        <is>
          <t>Epic Toyota</t>
        </is>
      </c>
      <c r="K1485" s="20" t="inlineStr">
        <is>
          <t>Non-Captive</t>
        </is>
      </c>
      <c r="L1485" s="20" t="inlineStr">
        <is>
          <t>Nirmal Cars</t>
        </is>
      </c>
      <c r="M1485" s="23" t="n">
        <v>3389.83</v>
      </c>
      <c r="N1485" s="23" t="n">
        <v>4000</v>
      </c>
      <c r="O1485" s="24">
        <f>IF(AND(ISNUMBER(M1485), ISNUMBER(I1485), I1485&gt;0), M1485/I1485, "")</f>
        <v/>
      </c>
    </row>
    <row r="1486">
      <c r="A1486" s="19" t="inlineStr">
        <is>
          <t>FY27</t>
        </is>
      </c>
      <c r="B1486" s="19" t="inlineStr">
        <is>
          <t>May</t>
        </is>
      </c>
      <c r="C1486" s="19" t="inlineStr">
        <is>
          <t>TN</t>
        </is>
      </c>
      <c r="D1486" s="20" t="inlineStr">
        <is>
          <t>TN63R9682</t>
        </is>
      </c>
      <c r="E1486" s="20" t="inlineStr">
        <is>
          <t>HYUNDAI</t>
        </is>
      </c>
      <c r="F1486" s="20" t="inlineStr">
        <is>
          <t>I10</t>
        </is>
      </c>
      <c r="G1486" s="21" t="n">
        <v>2010</v>
      </c>
      <c r="H1486" s="22" t="n">
        <v>82737</v>
      </c>
      <c r="I1486" s="23" t="n">
        <v>144000</v>
      </c>
      <c r="J1486" s="20" t="inlineStr">
        <is>
          <t>KUN KIA - MADURAI (PRODUCTIVITY ELEMENTS PRIVATE LIMITED)</t>
        </is>
      </c>
      <c r="K1486" s="20" t="inlineStr">
        <is>
          <t>Non-Captive</t>
        </is>
      </c>
      <c r="L1486" s="20" t="inlineStr">
        <is>
          <t>Nirmal Cars</t>
        </is>
      </c>
      <c r="M1486" s="23" t="n">
        <v>3389.83</v>
      </c>
      <c r="N1486" s="23" t="n">
        <v>4000</v>
      </c>
      <c r="O1486" s="24">
        <f>IF(AND(ISNUMBER(M1486), ISNUMBER(I1486), I1486&gt;0), M1486/I1486, "")</f>
        <v/>
      </c>
    </row>
    <row r="1487">
      <c r="A1487" s="19" t="inlineStr">
        <is>
          <t>FY27</t>
        </is>
      </c>
      <c r="B1487" s="19" t="inlineStr">
        <is>
          <t>May</t>
        </is>
      </c>
      <c r="C1487" s="19" t="inlineStr">
        <is>
          <t>TN</t>
        </is>
      </c>
      <c r="D1487" s="20" t="inlineStr">
        <is>
          <t>TN07BJ7503</t>
        </is>
      </c>
      <c r="E1487" s="20" t="inlineStr">
        <is>
          <t>MARUTI SUZUKI</t>
        </is>
      </c>
      <c r="F1487" s="20" t="inlineStr">
        <is>
          <t>Ritz</t>
        </is>
      </c>
      <c r="G1487" s="21" t="n">
        <v>2010</v>
      </c>
      <c r="H1487" s="22" t="n">
        <v>119188</v>
      </c>
      <c r="I1487" s="23" t="n">
        <v>144000</v>
      </c>
      <c r="J1487" s="20" t="inlineStr">
        <is>
          <t>AIE CARS PRIVATE LIMITED</t>
        </is>
      </c>
      <c r="K1487" s="20" t="inlineStr">
        <is>
          <t>Non-Captive</t>
        </is>
      </c>
      <c r="L1487" s="20" t="inlineStr">
        <is>
          <t>Nirmal Cars</t>
        </is>
      </c>
      <c r="M1487" s="23" t="n">
        <v>3389.83</v>
      </c>
      <c r="N1487" s="23" t="n">
        <v>4000</v>
      </c>
      <c r="O1487" s="24">
        <f>IF(AND(ISNUMBER(M1487), ISNUMBER(I1487), I1487&gt;0), M1487/I1487, "")</f>
        <v/>
      </c>
    </row>
    <row r="1488">
      <c r="A1488" s="19" t="inlineStr">
        <is>
          <t>FY27</t>
        </is>
      </c>
      <c r="B1488" s="19" t="inlineStr">
        <is>
          <t>May</t>
        </is>
      </c>
      <c r="C1488" s="19" t="inlineStr">
        <is>
          <t>TN</t>
        </is>
      </c>
      <c r="D1488" s="20" t="inlineStr">
        <is>
          <t>TN21AK7174</t>
        </is>
      </c>
      <c r="E1488" s="20" t="inlineStr">
        <is>
          <t>HYUNDAI</t>
        </is>
      </c>
      <c r="F1488" s="20" t="inlineStr">
        <is>
          <t>Eon</t>
        </is>
      </c>
      <c r="G1488" s="21" t="n">
        <v>2011</v>
      </c>
      <c r="H1488" s="22" t="n">
        <v>35413</v>
      </c>
      <c r="I1488" s="23" t="n">
        <v>144000</v>
      </c>
      <c r="J1488" s="20" t="inlineStr">
        <is>
          <t>Cresco cars</t>
        </is>
      </c>
      <c r="K1488" s="20" t="inlineStr">
        <is>
          <t>Non-Captive</t>
        </is>
      </c>
      <c r="L1488" s="20" t="inlineStr">
        <is>
          <t>Nirmal Cars</t>
        </is>
      </c>
      <c r="M1488" s="23" t="n">
        <v>3389.83</v>
      </c>
      <c r="N1488" s="23" t="n">
        <v>4000</v>
      </c>
      <c r="O1488" s="24">
        <f>IF(AND(ISNUMBER(M1488), ISNUMBER(I1488), I1488&gt;0), M1488/I1488, "")</f>
        <v/>
      </c>
    </row>
    <row r="1489">
      <c r="A1489" s="19" t="inlineStr">
        <is>
          <t>FY27</t>
        </is>
      </c>
      <c r="B1489" s="19" t="inlineStr">
        <is>
          <t>May</t>
        </is>
      </c>
      <c r="C1489" s="19" t="inlineStr">
        <is>
          <t>TN</t>
        </is>
      </c>
      <c r="D1489" s="20" t="inlineStr">
        <is>
          <t>TN05AX6656</t>
        </is>
      </c>
      <c r="E1489" s="20" t="inlineStr">
        <is>
          <t>MARUTI SUZUKI</t>
        </is>
      </c>
      <c r="F1489" s="20" t="inlineStr">
        <is>
          <t>Alto</t>
        </is>
      </c>
      <c r="G1489" s="21" t="n">
        <v>2014</v>
      </c>
      <c r="H1489" s="22" t="n">
        <v>70707</v>
      </c>
      <c r="I1489" s="23" t="n">
        <v>144000</v>
      </c>
      <c r="J1489" s="20" t="inlineStr">
        <is>
          <t>Harsha</t>
        </is>
      </c>
      <c r="K1489" s="20" t="inlineStr">
        <is>
          <t>Non-Captive</t>
        </is>
      </c>
      <c r="L1489" s="20" t="inlineStr">
        <is>
          <t>Nirmal Cars</t>
        </is>
      </c>
      <c r="M1489" s="23" t="n">
        <v>3389.83</v>
      </c>
      <c r="N1489" s="23" t="n">
        <v>4000</v>
      </c>
      <c r="O1489" s="24">
        <f>IF(AND(ISNUMBER(M1489), ISNUMBER(I1489), I1489&gt;0), M1489/I1489, "")</f>
        <v/>
      </c>
    </row>
    <row r="1490">
      <c r="A1490" s="19" t="inlineStr">
        <is>
          <t>FY27</t>
        </is>
      </c>
      <c r="B1490" s="19" t="inlineStr">
        <is>
          <t>May</t>
        </is>
      </c>
      <c r="C1490" s="19" t="inlineStr">
        <is>
          <t>TN</t>
        </is>
      </c>
      <c r="D1490" s="20" t="inlineStr">
        <is>
          <t>TN07BJ2187</t>
        </is>
      </c>
      <c r="E1490" s="20" t="inlineStr">
        <is>
          <t>HYUNDAI</t>
        </is>
      </c>
      <c r="F1490" s="20" t="inlineStr">
        <is>
          <t>I20</t>
        </is>
      </c>
      <c r="G1490" s="21" t="n">
        <v>2010</v>
      </c>
      <c r="H1490" s="22" t="n">
        <v>104931</v>
      </c>
      <c r="I1490" s="23" t="n">
        <v>145000</v>
      </c>
      <c r="J1490" s="20" t="inlineStr">
        <is>
          <t>PRODUCTIVITY ELEMENTS PRIVATE LIMITED</t>
        </is>
      </c>
      <c r="K1490" s="20" t="inlineStr">
        <is>
          <t>Non-Captive</t>
        </is>
      </c>
      <c r="L1490" s="20" t="inlineStr">
        <is>
          <t>Nirmal Cars</t>
        </is>
      </c>
      <c r="M1490" s="23" t="n">
        <v>3389.83</v>
      </c>
      <c r="N1490" s="23" t="n">
        <v>4000</v>
      </c>
      <c r="O1490" s="24">
        <f>IF(AND(ISNUMBER(M1490), ISNUMBER(I1490), I1490&gt;0), M1490/I1490, "")</f>
        <v/>
      </c>
    </row>
    <row r="1491">
      <c r="A1491" s="19" t="inlineStr">
        <is>
          <t>FY27</t>
        </is>
      </c>
      <c r="B1491" s="19" t="inlineStr">
        <is>
          <t>May</t>
        </is>
      </c>
      <c r="C1491" s="19" t="inlineStr">
        <is>
          <t>TN</t>
        </is>
      </c>
      <c r="D1491" s="20" t="inlineStr">
        <is>
          <t>TN01AD2742</t>
        </is>
      </c>
      <c r="E1491" s="20" t="inlineStr">
        <is>
          <t>TOYOTA</t>
        </is>
      </c>
      <c r="F1491" s="20" t="inlineStr">
        <is>
          <t>Camry</t>
        </is>
      </c>
      <c r="G1491" s="21" t="n">
        <v>2007</v>
      </c>
      <c r="H1491" s="22" t="n">
        <v>117107</v>
      </c>
      <c r="I1491" s="23" t="n">
        <v>148000</v>
      </c>
      <c r="J1491" s="20" t="inlineStr">
        <is>
          <t>CAR HUB</t>
        </is>
      </c>
      <c r="K1491" s="20" t="inlineStr">
        <is>
          <t>Non-Captive</t>
        </is>
      </c>
      <c r="L1491" s="20" t="inlineStr">
        <is>
          <t>Nirmal Cars</t>
        </is>
      </c>
      <c r="M1491" s="23" t="n">
        <v>3389.83</v>
      </c>
      <c r="N1491" s="23" t="n">
        <v>4000</v>
      </c>
      <c r="O1491" s="24">
        <f>IF(AND(ISNUMBER(M1491), ISNUMBER(I1491), I1491&gt;0), M1491/I1491, "")</f>
        <v/>
      </c>
    </row>
    <row r="1492">
      <c r="A1492" s="19" t="inlineStr">
        <is>
          <t>FY27</t>
        </is>
      </c>
      <c r="B1492" s="19" t="inlineStr">
        <is>
          <t>May</t>
        </is>
      </c>
      <c r="C1492" s="19" t="inlineStr">
        <is>
          <t>TN</t>
        </is>
      </c>
      <c r="D1492" s="20" t="inlineStr">
        <is>
          <t>TN02AY5330</t>
        </is>
      </c>
      <c r="E1492" s="20" t="inlineStr">
        <is>
          <t>NISSAN</t>
        </is>
      </c>
      <c r="F1492" s="20" t="inlineStr">
        <is>
          <t>Micra</t>
        </is>
      </c>
      <c r="G1492" s="21" t="n">
        <v>2013</v>
      </c>
      <c r="H1492" s="22" t="n">
        <v>75518</v>
      </c>
      <c r="I1492" s="23" t="n">
        <v>148000</v>
      </c>
      <c r="J1492" s="20" t="inlineStr">
        <is>
          <t>Cresco cars</t>
        </is>
      </c>
      <c r="K1492" s="20" t="inlineStr">
        <is>
          <t>Non-Captive</t>
        </is>
      </c>
      <c r="L1492" s="20" t="inlineStr">
        <is>
          <t>Nirmal Cars</t>
        </is>
      </c>
      <c r="M1492" s="23" t="n">
        <v>3389.83</v>
      </c>
      <c r="N1492" s="23" t="n">
        <v>4000</v>
      </c>
      <c r="O1492" s="24">
        <f>IF(AND(ISNUMBER(M1492), ISNUMBER(I1492), I1492&gt;0), M1492/I1492, "")</f>
        <v/>
      </c>
    </row>
    <row r="1493">
      <c r="A1493" s="19" t="inlineStr">
        <is>
          <t>FY27</t>
        </is>
      </c>
      <c r="B1493" s="19" t="inlineStr">
        <is>
          <t>May</t>
        </is>
      </c>
      <c r="C1493" s="19" t="inlineStr">
        <is>
          <t>TN</t>
        </is>
      </c>
      <c r="D1493" s="20" t="inlineStr">
        <is>
          <t>TN04AM2820</t>
        </is>
      </c>
      <c r="E1493" s="20" t="inlineStr">
        <is>
          <t>HYUNDAI</t>
        </is>
      </c>
      <c r="F1493" s="20" t="inlineStr">
        <is>
          <t>Verna</t>
        </is>
      </c>
      <c r="G1493" s="21" t="n">
        <v>2013</v>
      </c>
      <c r="H1493" s="22" t="n">
        <v>116047</v>
      </c>
      <c r="I1493" s="23" t="n">
        <v>297500</v>
      </c>
      <c r="J1493" s="20" t="inlineStr">
        <is>
          <t>Khivraj Motor</t>
        </is>
      </c>
      <c r="K1493" s="20" t="inlineStr">
        <is>
          <t>Non-Captive</t>
        </is>
      </c>
      <c r="L1493" s="20" t="inlineStr">
        <is>
          <t>Thiya Cars</t>
        </is>
      </c>
      <c r="M1493" s="23" t="n">
        <v>6355.93</v>
      </c>
      <c r="N1493" s="23" t="n">
        <v>7500</v>
      </c>
      <c r="O1493" s="24">
        <f>IF(AND(ISNUMBER(M1493), ISNUMBER(I1493), I1493&gt;0), M1493/I1493, "")</f>
        <v/>
      </c>
    </row>
    <row r="1494">
      <c r="A1494" s="19" t="inlineStr">
        <is>
          <t>FY27</t>
        </is>
      </c>
      <c r="B1494" s="19" t="inlineStr">
        <is>
          <t>May</t>
        </is>
      </c>
      <c r="C1494" s="19" t="inlineStr">
        <is>
          <t>TN</t>
        </is>
      </c>
      <c r="D1494" s="20" t="inlineStr">
        <is>
          <t>TN06Z7112</t>
        </is>
      </c>
      <c r="E1494" s="20" t="inlineStr">
        <is>
          <t>MARUTI SUZUKI</t>
        </is>
      </c>
      <c r="F1494" s="20" t="inlineStr">
        <is>
          <t>Wagon R</t>
        </is>
      </c>
      <c r="G1494" s="21" t="n">
        <v>2020</v>
      </c>
      <c r="H1494" s="22" t="n">
        <v>62373</v>
      </c>
      <c r="I1494" s="23" t="n">
        <v>402500</v>
      </c>
      <c r="J1494" s="20" t="inlineStr">
        <is>
          <t>Khivraj Motor</t>
        </is>
      </c>
      <c r="K1494" s="20" t="inlineStr">
        <is>
          <t>Non-Captive</t>
        </is>
      </c>
      <c r="L1494" s="20" t="inlineStr">
        <is>
          <t>Lanson Toyota</t>
        </is>
      </c>
      <c r="M1494" s="23" t="n">
        <v>6355.93</v>
      </c>
      <c r="N1494" s="23" t="n">
        <v>7500</v>
      </c>
      <c r="O1494" s="24">
        <f>IF(AND(ISNUMBER(M1494), ISNUMBER(I1494), I1494&gt;0), M1494/I1494, "")</f>
        <v/>
      </c>
    </row>
    <row r="1495">
      <c r="A1495" s="19" t="inlineStr">
        <is>
          <t>FY27</t>
        </is>
      </c>
      <c r="B1495" s="19" t="inlineStr">
        <is>
          <t>May</t>
        </is>
      </c>
      <c r="C1495" s="19" t="inlineStr">
        <is>
          <t>TN</t>
        </is>
      </c>
      <c r="D1495" s="20" t="inlineStr">
        <is>
          <t>TN10S7561</t>
        </is>
      </c>
      <c r="E1495" s="20" t="inlineStr">
        <is>
          <t>MARUTI SUZUKI</t>
        </is>
      </c>
      <c r="F1495" s="20" t="inlineStr">
        <is>
          <t>Alto</t>
        </is>
      </c>
      <c r="G1495" s="21" t="n">
        <v>2007</v>
      </c>
      <c r="H1495" s="22" t="n">
        <v>100000</v>
      </c>
      <c r="I1495" s="23" t="n">
        <v>75000</v>
      </c>
      <c r="J1495" s="20" t="inlineStr">
        <is>
          <t>Khivraj Motor</t>
        </is>
      </c>
      <c r="K1495" s="20" t="inlineStr">
        <is>
          <t>Non-Captive</t>
        </is>
      </c>
      <c r="L1495" s="20" t="inlineStr">
        <is>
          <t>S2 Cars</t>
        </is>
      </c>
      <c r="M1495" s="23" t="n">
        <v>2800</v>
      </c>
      <c r="N1495" s="23" t="n">
        <v>3304</v>
      </c>
      <c r="O1495" s="24">
        <f>IF(AND(ISNUMBER(M1495), ISNUMBER(I1495), I1495&gt;0), M1495/I1495, "")</f>
        <v/>
      </c>
    </row>
    <row r="1496">
      <c r="A1496" s="19" t="inlineStr">
        <is>
          <t>FY27</t>
        </is>
      </c>
      <c r="B1496" s="19" t="inlineStr">
        <is>
          <t>May</t>
        </is>
      </c>
      <c r="C1496" s="19" t="inlineStr">
        <is>
          <t>TN</t>
        </is>
      </c>
      <c r="D1496" s="20" t="inlineStr">
        <is>
          <t>TN01BR8609</t>
        </is>
      </c>
      <c r="E1496" s="20" t="inlineStr">
        <is>
          <t>HONDA</t>
        </is>
      </c>
      <c r="F1496" s="20" t="inlineStr">
        <is>
          <t>City</t>
        </is>
      </c>
      <c r="G1496" s="21" t="n">
        <v>2023</v>
      </c>
      <c r="H1496" s="22" t="n">
        <v>87344</v>
      </c>
      <c r="I1496" s="23" t="n">
        <v>1120000</v>
      </c>
      <c r="J1496" s="20" t="inlineStr">
        <is>
          <t>Castel Traders Honda</t>
        </is>
      </c>
      <c r="K1496" s="20" t="inlineStr">
        <is>
          <t>Non-Captive</t>
        </is>
      </c>
      <c r="L1496" s="20" t="inlineStr">
        <is>
          <t>TSM</t>
        </is>
      </c>
      <c r="M1496" s="23" t="n">
        <v>7627.12</v>
      </c>
      <c r="N1496" s="23" t="n">
        <v>9000</v>
      </c>
      <c r="O1496" s="24">
        <f>IF(AND(ISNUMBER(M1496), ISNUMBER(I1496), I1496&gt;0), M1496/I1496, "")</f>
        <v/>
      </c>
    </row>
    <row r="1497">
      <c r="A1497" s="19" t="inlineStr">
        <is>
          <t>FY27</t>
        </is>
      </c>
      <c r="B1497" s="19" t="inlineStr">
        <is>
          <t>May</t>
        </is>
      </c>
      <c r="C1497" s="19" t="inlineStr">
        <is>
          <t>TN</t>
        </is>
      </c>
      <c r="D1497" s="20" t="inlineStr">
        <is>
          <t>KL01CH1704</t>
        </is>
      </c>
      <c r="E1497" s="20" t="inlineStr">
        <is>
          <t>MARUTI SUZUKI</t>
        </is>
      </c>
      <c r="F1497" s="20" t="inlineStr">
        <is>
          <t>Celerio</t>
        </is>
      </c>
      <c r="G1497" s="21" t="n">
        <v>2018</v>
      </c>
      <c r="H1497" s="22" t="n">
        <v>51658</v>
      </c>
      <c r="I1497" s="23" t="n">
        <v>170000</v>
      </c>
      <c r="J1497" s="20" t="inlineStr">
        <is>
          <t>KAIRALI TOYOTA</t>
        </is>
      </c>
      <c r="K1497" s="20" t="inlineStr">
        <is>
          <t>Non-Captive</t>
        </is>
      </c>
      <c r="L1497" s="20" t="inlineStr">
        <is>
          <t>Popular Thrissur</t>
        </is>
      </c>
      <c r="M1497" s="23" t="n">
        <v>5000</v>
      </c>
      <c r="N1497" s="23" t="n">
        <v>5900</v>
      </c>
      <c r="O1497" s="24">
        <f>IF(AND(ISNUMBER(M1497), ISNUMBER(I1497), I1497&gt;0), M1497/I1497, "")</f>
        <v/>
      </c>
    </row>
    <row r="1498">
      <c r="A1498" s="19" t="inlineStr">
        <is>
          <t>FY27</t>
        </is>
      </c>
      <c r="B1498" s="19" t="inlineStr">
        <is>
          <t>May</t>
        </is>
      </c>
      <c r="C1498" s="19" t="inlineStr">
        <is>
          <t>TN</t>
        </is>
      </c>
      <c r="D1498" s="20" t="inlineStr">
        <is>
          <t>KL22N6123</t>
        </is>
      </c>
      <c r="E1498" s="20" t="inlineStr">
        <is>
          <t>MARUTI SUZUKI</t>
        </is>
      </c>
      <c r="F1498" s="20" t="inlineStr">
        <is>
          <t>Wagon R</t>
        </is>
      </c>
      <c r="G1498" s="21" t="n">
        <v>2019</v>
      </c>
      <c r="H1498" s="22" t="n">
        <v>42347</v>
      </c>
      <c r="I1498" s="23" t="n">
        <v>180000</v>
      </c>
      <c r="J1498" s="20" t="inlineStr">
        <is>
          <t>NBT AUTOCORP INDIA PRIVATE LIMITED</t>
        </is>
      </c>
      <c r="K1498" s="20" t="inlineStr">
        <is>
          <t>Non-Captive</t>
        </is>
      </c>
      <c r="L1498" s="20" t="inlineStr">
        <is>
          <t>Popular Thrissur</t>
        </is>
      </c>
      <c r="M1498" s="23" t="n">
        <v>5000</v>
      </c>
      <c r="N1498" s="23" t="n">
        <v>5900</v>
      </c>
      <c r="O1498" s="24">
        <f>IF(AND(ISNUMBER(M1498), ISNUMBER(I1498), I1498&gt;0), M1498/I1498, "")</f>
        <v/>
      </c>
    </row>
    <row r="1499">
      <c r="A1499" s="19" t="inlineStr">
        <is>
          <t>FY27</t>
        </is>
      </c>
      <c r="B1499" s="19" t="inlineStr">
        <is>
          <t>May</t>
        </is>
      </c>
      <c r="C1499" s="19" t="inlineStr">
        <is>
          <t>TN</t>
        </is>
      </c>
      <c r="D1499" s="20" t="inlineStr">
        <is>
          <t>KL01CR7129</t>
        </is>
      </c>
      <c r="E1499" s="20" t="inlineStr">
        <is>
          <t>RENAULT</t>
        </is>
      </c>
      <c r="F1499" s="20" t="inlineStr">
        <is>
          <t>Kwid</t>
        </is>
      </c>
      <c r="G1499" s="21" t="n">
        <v>2021</v>
      </c>
      <c r="H1499" s="22" t="n">
        <v>40679</v>
      </c>
      <c r="I1499" s="23" t="n">
        <v>180000</v>
      </c>
      <c r="J1499" s="20" t="inlineStr">
        <is>
          <t>MAXX MOTORS</t>
        </is>
      </c>
      <c r="K1499" s="20" t="inlineStr">
        <is>
          <t>Non-Captive</t>
        </is>
      </c>
      <c r="L1499" s="20" t="inlineStr">
        <is>
          <t>Popular Thrissur</t>
        </is>
      </c>
      <c r="M1499" s="23" t="n">
        <v>5000</v>
      </c>
      <c r="N1499" s="23" t="n">
        <v>5900</v>
      </c>
      <c r="O1499" s="24">
        <f>IF(AND(ISNUMBER(M1499), ISNUMBER(I1499), I1499&gt;0), M1499/I1499, "")</f>
        <v/>
      </c>
    </row>
    <row r="1500">
      <c r="A1500" s="19" t="inlineStr">
        <is>
          <t>FY27</t>
        </is>
      </c>
      <c r="B1500" s="19" t="inlineStr">
        <is>
          <t>May</t>
        </is>
      </c>
      <c r="C1500" s="19" t="inlineStr">
        <is>
          <t>TN</t>
        </is>
      </c>
      <c r="D1500" s="20" t="inlineStr">
        <is>
          <t>KL01CL9285</t>
        </is>
      </c>
      <c r="E1500" s="20" t="inlineStr">
        <is>
          <t>MARUTI SUZUKI</t>
        </is>
      </c>
      <c r="F1500" s="20" t="inlineStr">
        <is>
          <t>Celerio</t>
        </is>
      </c>
      <c r="G1500" s="21" t="n">
        <v>2019</v>
      </c>
      <c r="H1500" s="22" t="n">
        <v>19538</v>
      </c>
      <c r="I1500" s="23" t="n">
        <v>190000</v>
      </c>
      <c r="J1500" s="20" t="inlineStr">
        <is>
          <t>Genuine cars</t>
        </is>
      </c>
      <c r="K1500" s="20" t="inlineStr">
        <is>
          <t>Non-Captive</t>
        </is>
      </c>
      <c r="L1500" s="20" t="inlineStr">
        <is>
          <t>Popular Alleppy</t>
        </is>
      </c>
      <c r="M1500" s="23" t="n">
        <v>5000</v>
      </c>
      <c r="N1500" s="23" t="n">
        <v>5900</v>
      </c>
      <c r="O1500" s="24">
        <f>IF(AND(ISNUMBER(M1500), ISNUMBER(I1500), I1500&gt;0), M1500/I1500, "")</f>
        <v/>
      </c>
    </row>
    <row r="1501">
      <c r="A1501" s="19" t="inlineStr">
        <is>
          <t>FY27</t>
        </is>
      </c>
      <c r="B1501" s="19" t="inlineStr">
        <is>
          <t>May</t>
        </is>
      </c>
      <c r="C1501" s="19" t="inlineStr">
        <is>
          <t>TN</t>
        </is>
      </c>
      <c r="D1501" s="20" t="inlineStr">
        <is>
          <t>KL02BL6949</t>
        </is>
      </c>
      <c r="E1501" s="20" t="inlineStr">
        <is>
          <t>MARUTI SUZUKI</t>
        </is>
      </c>
      <c r="F1501" s="20" t="inlineStr">
        <is>
          <t>Xl6</t>
        </is>
      </c>
      <c r="G1501" s="21" t="n">
        <v>2020</v>
      </c>
      <c r="H1501" s="22" t="n">
        <v>36423</v>
      </c>
      <c r="I1501" s="23" t="n">
        <v>180000</v>
      </c>
      <c r="J1501" s="20" t="inlineStr">
        <is>
          <t>Genuine cars</t>
        </is>
      </c>
      <c r="K1501" s="20" t="inlineStr">
        <is>
          <t>Non-Captive</t>
        </is>
      </c>
      <c r="L1501" s="20" t="inlineStr">
        <is>
          <t>Popular Alleppy</t>
        </is>
      </c>
      <c r="M1501" s="23" t="n">
        <v>5000</v>
      </c>
      <c r="N1501" s="23" t="n">
        <v>5900</v>
      </c>
      <c r="O1501" s="24">
        <f>IF(AND(ISNUMBER(M1501), ISNUMBER(I1501), I1501&gt;0), M1501/I1501, "")</f>
        <v/>
      </c>
    </row>
    <row r="1502">
      <c r="A1502" s="19" t="inlineStr">
        <is>
          <t>FY27</t>
        </is>
      </c>
      <c r="B1502" s="19" t="inlineStr">
        <is>
          <t>May</t>
        </is>
      </c>
      <c r="C1502" s="19" t="inlineStr">
        <is>
          <t>TN</t>
        </is>
      </c>
      <c r="D1502" s="20" t="inlineStr">
        <is>
          <t>KL01BM3416</t>
        </is>
      </c>
      <c r="E1502" s="20" t="inlineStr">
        <is>
          <t>HONDA</t>
        </is>
      </c>
      <c r="F1502" s="20" t="inlineStr">
        <is>
          <t>Amaze</t>
        </is>
      </c>
      <c r="G1502" s="21" t="n">
        <v>2013</v>
      </c>
      <c r="H1502" s="22" t="n">
        <v>34565</v>
      </c>
      <c r="I1502" s="23" t="n">
        <v>160000</v>
      </c>
      <c r="J1502" s="20" t="inlineStr">
        <is>
          <t>Nippon Motor Corporation Pvt Ltd</t>
        </is>
      </c>
      <c r="K1502" s="20" t="inlineStr">
        <is>
          <t>Non-Captive</t>
        </is>
      </c>
      <c r="L1502" s="20" t="inlineStr">
        <is>
          <t>Popular Thrissur</t>
        </is>
      </c>
      <c r="M1502" s="23" t="n">
        <v>5000</v>
      </c>
      <c r="N1502" s="23" t="n">
        <v>5900</v>
      </c>
      <c r="O1502" s="24">
        <f>IF(AND(ISNUMBER(M1502), ISNUMBER(I1502), I1502&gt;0), M1502/I1502, "")</f>
        <v/>
      </c>
    </row>
    <row r="1503">
      <c r="A1503" s="19" t="inlineStr">
        <is>
          <t>FY27</t>
        </is>
      </c>
      <c r="B1503" s="19" t="inlineStr">
        <is>
          <t>May</t>
        </is>
      </c>
      <c r="C1503" s="19" t="inlineStr">
        <is>
          <t>TN</t>
        </is>
      </c>
      <c r="D1503" s="20" t="inlineStr">
        <is>
          <t>KL22M2843</t>
        </is>
      </c>
      <c r="E1503" s="20" t="inlineStr">
        <is>
          <t>MARUTI SUZUKI</t>
        </is>
      </c>
      <c r="F1503" s="20" t="inlineStr">
        <is>
          <t>Swift Dzire</t>
        </is>
      </c>
      <c r="G1503" s="21" t="n">
        <v>2018</v>
      </c>
      <c r="H1503" s="22" t="n">
        <v>47177</v>
      </c>
      <c r="I1503" s="23" t="n">
        <v>180000</v>
      </c>
      <c r="J1503" s="20" t="inlineStr">
        <is>
          <t>Nippon Motor Corporation Pvt Ltd</t>
        </is>
      </c>
      <c r="K1503" s="20" t="inlineStr">
        <is>
          <t>Non-Captive</t>
        </is>
      </c>
      <c r="L1503" s="20" t="inlineStr">
        <is>
          <t>Popular Thrissur</t>
        </is>
      </c>
      <c r="M1503" s="23" t="n">
        <v>5000</v>
      </c>
      <c r="N1503" s="23" t="n">
        <v>5900</v>
      </c>
      <c r="O1503" s="24">
        <f>IF(AND(ISNUMBER(M1503), ISNUMBER(I1503), I1503&gt;0), M1503/I1503, "")</f>
        <v/>
      </c>
    </row>
    <row r="1504">
      <c r="A1504" s="19" t="inlineStr">
        <is>
          <t>FY27</t>
        </is>
      </c>
      <c r="B1504" s="19" t="inlineStr">
        <is>
          <t>May</t>
        </is>
      </c>
      <c r="C1504" s="19" t="inlineStr">
        <is>
          <t>TN</t>
        </is>
      </c>
      <c r="D1504" s="20" t="inlineStr">
        <is>
          <t>KL74A8927</t>
        </is>
      </c>
      <c r="E1504" s="20" t="inlineStr">
        <is>
          <t>MARUTI SUZUKI</t>
        </is>
      </c>
      <c r="F1504" s="20" t="inlineStr">
        <is>
          <t>Swift Dzire</t>
        </is>
      </c>
      <c r="G1504" s="21" t="n">
        <v>2020</v>
      </c>
      <c r="H1504" s="22" t="n">
        <v>36590</v>
      </c>
      <c r="I1504" s="23" t="n">
        <v>170000</v>
      </c>
      <c r="J1504" s="20" t="inlineStr">
        <is>
          <t>Nippon Motor Corporation Pvt Ltd</t>
        </is>
      </c>
      <c r="K1504" s="20" t="inlineStr">
        <is>
          <t>Non-Captive</t>
        </is>
      </c>
      <c r="L1504" s="20" t="inlineStr">
        <is>
          <t>Popular Thrissur</t>
        </is>
      </c>
      <c r="M1504" s="23" t="n">
        <v>5000</v>
      </c>
      <c r="N1504" s="23" t="n">
        <v>5900</v>
      </c>
      <c r="O1504" s="24">
        <f>IF(AND(ISNUMBER(M1504), ISNUMBER(I1504), I1504&gt;0), M1504/I1504, "")</f>
        <v/>
      </c>
    </row>
    <row r="1505">
      <c r="A1505" s="19" t="inlineStr">
        <is>
          <t>FY27</t>
        </is>
      </c>
      <c r="B1505" s="19" t="inlineStr">
        <is>
          <t>May</t>
        </is>
      </c>
      <c r="C1505" s="19" t="inlineStr">
        <is>
          <t>TN</t>
        </is>
      </c>
      <c r="D1505" s="20" t="inlineStr">
        <is>
          <t>KL01CB4430</t>
        </is>
      </c>
      <c r="E1505" s="20" t="inlineStr">
        <is>
          <t>MARUTI SUZUKI</t>
        </is>
      </c>
      <c r="F1505" s="20" t="inlineStr">
        <is>
          <t>Wagon R</t>
        </is>
      </c>
      <c r="G1505" s="21" t="n">
        <v>2017</v>
      </c>
      <c r="H1505" s="22" t="n">
        <v>33415</v>
      </c>
      <c r="I1505" s="23" t="n">
        <v>180000</v>
      </c>
      <c r="J1505" s="20" t="inlineStr">
        <is>
          <t>Nippon Motor Corporation Pvt Ltd</t>
        </is>
      </c>
      <c r="K1505" s="20" t="inlineStr">
        <is>
          <t>Non-Captive</t>
        </is>
      </c>
      <c r="L1505" s="20" t="inlineStr">
        <is>
          <t>Popular Alleppy</t>
        </is>
      </c>
      <c r="M1505" s="23" t="n">
        <v>5000</v>
      </c>
      <c r="N1505" s="23" t="n">
        <v>5900</v>
      </c>
      <c r="O1505" s="24">
        <f>IF(AND(ISNUMBER(M1505), ISNUMBER(I1505), I1505&gt;0), M1505/I1505, "")</f>
        <v/>
      </c>
    </row>
    <row r="1506">
      <c r="A1506" s="19" t="inlineStr">
        <is>
          <t>FY27</t>
        </is>
      </c>
      <c r="B1506" s="19" t="inlineStr">
        <is>
          <t>May</t>
        </is>
      </c>
      <c r="C1506" s="19" t="inlineStr">
        <is>
          <t>TN</t>
        </is>
      </c>
      <c r="D1506" s="20" t="inlineStr">
        <is>
          <t>KL01BU8937</t>
        </is>
      </c>
      <c r="E1506" s="20" t="inlineStr">
        <is>
          <t>HONDA</t>
        </is>
      </c>
      <c r="F1506" s="20" t="inlineStr">
        <is>
          <t>City</t>
        </is>
      </c>
      <c r="G1506" s="21" t="n">
        <v>2015</v>
      </c>
      <c r="H1506" s="22" t="n">
        <v>110830</v>
      </c>
      <c r="I1506" s="23" t="n">
        <v>180000</v>
      </c>
      <c r="J1506" s="20" t="inlineStr">
        <is>
          <t>Nippon Motor Corporation Pvt Ltd</t>
        </is>
      </c>
      <c r="K1506" s="20" t="inlineStr">
        <is>
          <t>Non-Captive</t>
        </is>
      </c>
      <c r="L1506" s="20" t="inlineStr">
        <is>
          <t>Shamnad AH</t>
        </is>
      </c>
      <c r="M1506" s="23" t="n">
        <v>5000</v>
      </c>
      <c r="N1506" s="23" t="n">
        <v>5900</v>
      </c>
      <c r="O1506" s="24">
        <f>IF(AND(ISNUMBER(M1506), ISNUMBER(I1506), I1506&gt;0), M1506/I1506, "")</f>
        <v/>
      </c>
    </row>
    <row r="1507">
      <c r="A1507" s="19" t="inlineStr">
        <is>
          <t>FY27</t>
        </is>
      </c>
      <c r="B1507" s="19" t="inlineStr">
        <is>
          <t>May</t>
        </is>
      </c>
      <c r="C1507" s="19" t="inlineStr">
        <is>
          <t>TN</t>
        </is>
      </c>
      <c r="D1507" s="20" t="inlineStr">
        <is>
          <t>TN59AV7116</t>
        </is>
      </c>
      <c r="E1507" s="20" t="inlineStr">
        <is>
          <t>FORD</t>
        </is>
      </c>
      <c r="F1507" s="20" t="inlineStr">
        <is>
          <t>Fiesta Classic</t>
        </is>
      </c>
      <c r="G1507" s="21" t="n">
        <v>2012</v>
      </c>
      <c r="H1507" s="22" t="n">
        <v>156855</v>
      </c>
      <c r="I1507" s="23" t="n">
        <v>94000</v>
      </c>
      <c r="J1507" s="20" t="inlineStr">
        <is>
          <t>KSM AUTO CONSULTING</t>
        </is>
      </c>
      <c r="K1507" s="20" t="inlineStr">
        <is>
          <t>Non-Captive</t>
        </is>
      </c>
      <c r="L1507" s="20" t="inlineStr">
        <is>
          <t>Thiya Cars</t>
        </is>
      </c>
      <c r="M1507" s="23" t="n">
        <v>3389.83</v>
      </c>
      <c r="N1507" s="23" t="n">
        <v>4000</v>
      </c>
      <c r="O1507" s="24">
        <f>IF(AND(ISNUMBER(M1507), ISNUMBER(I1507), I1507&gt;0), M1507/I1507, "")</f>
        <v/>
      </c>
    </row>
    <row r="1508">
      <c r="A1508" s="19" t="inlineStr">
        <is>
          <t>FY27</t>
        </is>
      </c>
      <c r="B1508" s="19" t="inlineStr">
        <is>
          <t>May</t>
        </is>
      </c>
      <c r="C1508" s="19" t="inlineStr">
        <is>
          <t>TN</t>
        </is>
      </c>
      <c r="D1508" s="20" t="inlineStr">
        <is>
          <t>TN03J8305</t>
        </is>
      </c>
      <c r="E1508" s="20" t="inlineStr">
        <is>
          <t>NISSAN</t>
        </is>
      </c>
      <c r="F1508" s="20" t="inlineStr">
        <is>
          <t>Micra</t>
        </is>
      </c>
      <c r="G1508" s="21" t="n">
        <v>2012</v>
      </c>
      <c r="H1508" s="22" t="n">
        <v>90045</v>
      </c>
      <c r="I1508" s="23" t="n">
        <v>94000</v>
      </c>
      <c r="J1508" s="20" t="inlineStr">
        <is>
          <t>Cars India</t>
        </is>
      </c>
      <c r="K1508" s="20" t="inlineStr">
        <is>
          <t>Non-Captive</t>
        </is>
      </c>
      <c r="L1508" s="20" t="inlineStr">
        <is>
          <t>Thiya Cars</t>
        </is>
      </c>
      <c r="M1508" s="23" t="n">
        <v>3389.83</v>
      </c>
      <c r="N1508" s="23" t="n">
        <v>4000</v>
      </c>
      <c r="O1508" s="24">
        <f>IF(AND(ISNUMBER(M1508), ISNUMBER(I1508), I1508&gt;0), M1508/I1508, "")</f>
        <v/>
      </c>
    </row>
    <row r="1509">
      <c r="A1509" s="19" t="inlineStr">
        <is>
          <t>FY27</t>
        </is>
      </c>
      <c r="B1509" s="19" t="inlineStr">
        <is>
          <t>May</t>
        </is>
      </c>
      <c r="C1509" s="19" t="inlineStr">
        <is>
          <t>TN</t>
        </is>
      </c>
      <c r="D1509" s="20" t="inlineStr">
        <is>
          <t>TN06L0682</t>
        </is>
      </c>
      <c r="E1509" s="20" t="inlineStr">
        <is>
          <t>MARUTI SUZUKI</t>
        </is>
      </c>
      <c r="F1509" s="20" t="inlineStr">
        <is>
          <t>Alto</t>
        </is>
      </c>
      <c r="G1509" s="21" t="n">
        <v>2014</v>
      </c>
      <c r="H1509" s="22" t="n">
        <v>43161</v>
      </c>
      <c r="I1509" s="23" t="n">
        <v>144000</v>
      </c>
      <c r="J1509" s="20" t="inlineStr">
        <is>
          <t>Khivraj Motor</t>
        </is>
      </c>
      <c r="K1509" s="20" t="inlineStr">
        <is>
          <t>Non-Captive</t>
        </is>
      </c>
      <c r="L1509" s="20" t="inlineStr">
        <is>
          <t>Thiya Cars</t>
        </is>
      </c>
      <c r="M1509" s="23" t="n">
        <v>3389.83</v>
      </c>
      <c r="N1509" s="23" t="n">
        <v>4000</v>
      </c>
      <c r="O1509" s="24">
        <f>IF(AND(ISNUMBER(M1509), ISNUMBER(I1509), I1509&gt;0), M1509/I1509, "")</f>
        <v/>
      </c>
    </row>
    <row r="1510">
      <c r="A1510" s="19" t="inlineStr">
        <is>
          <t>FY27</t>
        </is>
      </c>
      <c r="B1510" s="19" t="inlineStr">
        <is>
          <t>May</t>
        </is>
      </c>
      <c r="C1510" s="19" t="inlineStr">
        <is>
          <t>TN</t>
        </is>
      </c>
      <c r="D1510" s="20" t="inlineStr">
        <is>
          <t>TN20BU7040</t>
        </is>
      </c>
      <c r="E1510" s="20" t="inlineStr">
        <is>
          <t>MARUTI SUZUKI</t>
        </is>
      </c>
      <c r="F1510" s="20" t="inlineStr">
        <is>
          <t>Ritz</t>
        </is>
      </c>
      <c r="G1510" s="21" t="n">
        <v>2010</v>
      </c>
      <c r="H1510" s="22" t="n">
        <v>108284</v>
      </c>
      <c r="I1510" s="23" t="n">
        <v>144000</v>
      </c>
      <c r="J1510" s="20" t="inlineStr">
        <is>
          <t>FPL AUTOMOBILES PRIVATE LIMITED</t>
        </is>
      </c>
      <c r="K1510" s="20" t="inlineStr">
        <is>
          <t>Non-Captive</t>
        </is>
      </c>
      <c r="L1510" s="20" t="inlineStr">
        <is>
          <t>Thiya Cars</t>
        </is>
      </c>
      <c r="M1510" s="23" t="n">
        <v>3389.83</v>
      </c>
      <c r="N1510" s="23" t="n">
        <v>4000</v>
      </c>
      <c r="O1510" s="24">
        <f>IF(AND(ISNUMBER(M1510), ISNUMBER(I1510), I1510&gt;0), M1510/I1510, "")</f>
        <v/>
      </c>
    </row>
    <row r="1511">
      <c r="A1511" s="19" t="inlineStr">
        <is>
          <t>FY27</t>
        </is>
      </c>
      <c r="B1511" s="19" t="inlineStr">
        <is>
          <t>May</t>
        </is>
      </c>
      <c r="C1511" s="19" t="inlineStr">
        <is>
          <t>TN</t>
        </is>
      </c>
      <c r="D1511" s="20" t="inlineStr">
        <is>
          <t>TN85A2584</t>
        </is>
      </c>
      <c r="E1511" s="20" t="inlineStr">
        <is>
          <t>MARUTI SUZUKI</t>
        </is>
      </c>
      <c r="F1511" s="20" t="inlineStr">
        <is>
          <t>Alto</t>
        </is>
      </c>
      <c r="G1511" s="21" t="n">
        <v>2014</v>
      </c>
      <c r="H1511" s="22" t="n">
        <v>102780</v>
      </c>
      <c r="I1511" s="23" t="n">
        <v>145000</v>
      </c>
      <c r="J1511" s="20" t="inlineStr">
        <is>
          <t>Khivraj Motor</t>
        </is>
      </c>
      <c r="K1511" s="20" t="inlineStr">
        <is>
          <t>Non-Captive</t>
        </is>
      </c>
      <c r="L1511" s="20" t="inlineStr">
        <is>
          <t>Thiya Cars</t>
        </is>
      </c>
      <c r="M1511" s="23" t="n">
        <v>3389.83</v>
      </c>
      <c r="N1511" s="23" t="n">
        <v>4000</v>
      </c>
      <c r="O1511" s="24">
        <f>IF(AND(ISNUMBER(M1511), ISNUMBER(I1511), I1511&gt;0), M1511/I1511, "")</f>
        <v/>
      </c>
    </row>
    <row r="1512">
      <c r="A1512" s="19" t="inlineStr">
        <is>
          <t>FY27</t>
        </is>
      </c>
      <c r="B1512" s="19" t="inlineStr">
        <is>
          <t>May</t>
        </is>
      </c>
      <c r="C1512" s="19" t="inlineStr">
        <is>
          <t>TN</t>
        </is>
      </c>
      <c r="D1512" s="20" t="inlineStr">
        <is>
          <t>TN22CF5611</t>
        </is>
      </c>
      <c r="E1512" s="20" t="inlineStr">
        <is>
          <t>MARUTI SUZUKI</t>
        </is>
      </c>
      <c r="F1512" s="20" t="inlineStr">
        <is>
          <t>Alto</t>
        </is>
      </c>
      <c r="G1512" s="21" t="n">
        <v>2012</v>
      </c>
      <c r="H1512" s="22" t="n">
        <v>68708</v>
      </c>
      <c r="I1512" s="23" t="n">
        <v>148500</v>
      </c>
      <c r="J1512" s="20" t="inlineStr">
        <is>
          <t>Indus</t>
        </is>
      </c>
      <c r="K1512" s="20" t="inlineStr">
        <is>
          <t>Non-Captive</t>
        </is>
      </c>
      <c r="L1512" s="20" t="inlineStr">
        <is>
          <t>Thiya Cars</t>
        </is>
      </c>
      <c r="M1512" s="23" t="n">
        <v>4237.29</v>
      </c>
      <c r="N1512" s="23" t="n">
        <v>5000</v>
      </c>
      <c r="O1512" s="24">
        <f>IF(AND(ISNUMBER(M1512), ISNUMBER(I1512), I1512&gt;0), M1512/I1512, "")</f>
        <v/>
      </c>
    </row>
    <row r="1513">
      <c r="A1513" s="19" t="inlineStr">
        <is>
          <t>FY27</t>
        </is>
      </c>
      <c r="B1513" s="19" t="inlineStr">
        <is>
          <t>May</t>
        </is>
      </c>
      <c r="C1513" s="19" t="inlineStr">
        <is>
          <t>TN</t>
        </is>
      </c>
      <c r="D1513" s="20" t="inlineStr">
        <is>
          <t>TN10AK8453</t>
        </is>
      </c>
      <c r="E1513" s="20" t="inlineStr">
        <is>
          <t>MARUTI SUZUKI</t>
        </is>
      </c>
      <c r="F1513" s="20" t="inlineStr">
        <is>
          <t>Alto</t>
        </is>
      </c>
      <c r="G1513" s="21" t="n">
        <v>2013</v>
      </c>
      <c r="H1513" s="22" t="n">
        <v>49107</v>
      </c>
      <c r="I1513" s="23" t="n">
        <v>150000</v>
      </c>
      <c r="J1513" s="20" t="inlineStr">
        <is>
          <t>Khivraj Motor</t>
        </is>
      </c>
      <c r="K1513" s="20" t="inlineStr">
        <is>
          <t>Non-Captive</t>
        </is>
      </c>
      <c r="L1513" s="20" t="inlineStr">
        <is>
          <t>TSM</t>
        </is>
      </c>
      <c r="M1513" s="23" t="n">
        <v>3389.83</v>
      </c>
      <c r="N1513" s="23" t="n">
        <v>4000</v>
      </c>
      <c r="O1513" s="24">
        <f>IF(AND(ISNUMBER(M1513), ISNUMBER(I1513), I1513&gt;0), M1513/I1513, "")</f>
        <v/>
      </c>
    </row>
    <row r="1514">
      <c r="A1514" s="19" t="inlineStr">
        <is>
          <t>FY27</t>
        </is>
      </c>
      <c r="B1514" s="19" t="inlineStr">
        <is>
          <t>May</t>
        </is>
      </c>
      <c r="C1514" s="19" t="inlineStr">
        <is>
          <t>TN</t>
        </is>
      </c>
      <c r="D1514" s="20" t="inlineStr">
        <is>
          <t>TN85D6060</t>
        </is>
      </c>
      <c r="E1514" s="20" t="inlineStr">
        <is>
          <t>MARUTI SUZUKI</t>
        </is>
      </c>
      <c r="F1514" s="20" t="inlineStr">
        <is>
          <t>Omni</t>
        </is>
      </c>
      <c r="G1514" s="21" t="n">
        <v>2017</v>
      </c>
      <c r="H1514" s="22" t="n">
        <v>44518</v>
      </c>
      <c r="I1514" s="23" t="n">
        <v>150000</v>
      </c>
      <c r="J1514" s="20" t="inlineStr">
        <is>
          <t>Indus</t>
        </is>
      </c>
      <c r="K1514" s="20" t="inlineStr">
        <is>
          <t>Non-Captive</t>
        </is>
      </c>
      <c r="L1514" s="20" t="inlineStr">
        <is>
          <t>TSM</t>
        </is>
      </c>
      <c r="M1514" s="23" t="n">
        <v>3389.83</v>
      </c>
      <c r="N1514" s="23" t="n">
        <v>4000</v>
      </c>
      <c r="O1514" s="24">
        <f>IF(AND(ISNUMBER(M1514), ISNUMBER(I1514), I1514&gt;0), M1514/I1514, "")</f>
        <v/>
      </c>
    </row>
    <row r="1515">
      <c r="A1515" s="19" t="inlineStr">
        <is>
          <t>FY27</t>
        </is>
      </c>
      <c r="B1515" s="19" t="inlineStr">
        <is>
          <t>May</t>
        </is>
      </c>
      <c r="C1515" s="19" t="inlineStr">
        <is>
          <t>TN</t>
        </is>
      </c>
      <c r="D1515" s="20" t="inlineStr">
        <is>
          <t>TN07BL4476</t>
        </is>
      </c>
      <c r="E1515" s="20" t="inlineStr">
        <is>
          <t>MARUTI SUZUKI</t>
        </is>
      </c>
      <c r="F1515" s="20" t="inlineStr">
        <is>
          <t>Ritz</t>
        </is>
      </c>
      <c r="G1515" s="21" t="n">
        <v>2011</v>
      </c>
      <c r="H1515" s="22" t="n">
        <v>1177</v>
      </c>
      <c r="I1515" s="23" t="n">
        <v>150000</v>
      </c>
      <c r="J1515" s="20" t="inlineStr">
        <is>
          <t>PRODUCTIVITY ELEMENTS PRIVATE LIMITED</t>
        </is>
      </c>
      <c r="K1515" s="20" t="inlineStr">
        <is>
          <t>Non-Captive</t>
        </is>
      </c>
      <c r="L1515" s="20" t="inlineStr">
        <is>
          <t>TSM</t>
        </is>
      </c>
      <c r="M1515" s="23" t="n">
        <v>3389.83</v>
      </c>
      <c r="N1515" s="23" t="n">
        <v>4000</v>
      </c>
      <c r="O1515" s="24">
        <f>IF(AND(ISNUMBER(M1515), ISNUMBER(I1515), I1515&gt;0), M1515/I1515, "")</f>
        <v/>
      </c>
    </row>
    <row r="1516">
      <c r="A1516" s="19" t="inlineStr">
        <is>
          <t>FY27</t>
        </is>
      </c>
      <c r="B1516" s="19" t="inlineStr">
        <is>
          <t>May</t>
        </is>
      </c>
      <c r="C1516" s="19" t="inlineStr">
        <is>
          <t>TN</t>
        </is>
      </c>
      <c r="D1516" s="20" t="inlineStr">
        <is>
          <t>TN06E5472</t>
        </is>
      </c>
      <c r="E1516" s="20" t="inlineStr">
        <is>
          <t>HYUNDAI</t>
        </is>
      </c>
      <c r="F1516" s="20" t="inlineStr">
        <is>
          <t>I10</t>
        </is>
      </c>
      <c r="G1516" s="21" t="n">
        <v>2011</v>
      </c>
      <c r="H1516" s="22" t="n">
        <v>57041</v>
      </c>
      <c r="I1516" s="23" t="n">
        <v>150000</v>
      </c>
      <c r="J1516" s="20" t="inlineStr">
        <is>
          <t>Cresco cars</t>
        </is>
      </c>
      <c r="K1516" s="20" t="inlineStr">
        <is>
          <t>Non-Captive</t>
        </is>
      </c>
      <c r="L1516" s="20" t="inlineStr">
        <is>
          <t>TSM</t>
        </is>
      </c>
      <c r="M1516" s="23" t="n">
        <v>3389.83</v>
      </c>
      <c r="N1516" s="23" t="n">
        <v>4000</v>
      </c>
      <c r="O1516" s="24">
        <f>IF(AND(ISNUMBER(M1516), ISNUMBER(I1516), I1516&gt;0), M1516/I1516, "")</f>
        <v/>
      </c>
    </row>
    <row r="1517">
      <c r="A1517" s="19" t="inlineStr">
        <is>
          <t>FY27</t>
        </is>
      </c>
      <c r="B1517" s="19" t="inlineStr">
        <is>
          <t>May</t>
        </is>
      </c>
      <c r="C1517" s="19" t="inlineStr">
        <is>
          <t>TN</t>
        </is>
      </c>
      <c r="D1517" s="20" t="inlineStr">
        <is>
          <t>TN21AU5612</t>
        </is>
      </c>
      <c r="E1517" s="20" t="inlineStr">
        <is>
          <t>HYUNDAI</t>
        </is>
      </c>
      <c r="F1517" s="20" t="inlineStr">
        <is>
          <t>I10</t>
        </is>
      </c>
      <c r="G1517" s="21" t="n">
        <v>2013</v>
      </c>
      <c r="H1517" s="22" t="n">
        <v>128301</v>
      </c>
      <c r="I1517" s="23" t="n">
        <v>150000</v>
      </c>
      <c r="J1517" s="20" t="inlineStr">
        <is>
          <t>SVM CARS PRIVATE LIMITED</t>
        </is>
      </c>
      <c r="K1517" s="20" t="inlineStr">
        <is>
          <t>Non-Captive</t>
        </is>
      </c>
      <c r="L1517" s="20" t="inlineStr">
        <is>
          <t>TSM</t>
        </is>
      </c>
      <c r="M1517" s="23" t="n">
        <v>3389.83</v>
      </c>
      <c r="N1517" s="23" t="n">
        <v>4000</v>
      </c>
      <c r="O1517" s="24">
        <f>IF(AND(ISNUMBER(M1517), ISNUMBER(I1517), I1517&gt;0), M1517/I1517, "")</f>
        <v/>
      </c>
    </row>
    <row r="1518">
      <c r="A1518" s="19" t="inlineStr">
        <is>
          <t>FY27</t>
        </is>
      </c>
      <c r="B1518" s="19" t="inlineStr">
        <is>
          <t>May</t>
        </is>
      </c>
      <c r="C1518" s="19" t="inlineStr">
        <is>
          <t>TN</t>
        </is>
      </c>
      <c r="D1518" s="20" t="inlineStr">
        <is>
          <t>TN09BK0717</t>
        </is>
      </c>
      <c r="E1518" s="20" t="inlineStr">
        <is>
          <t>HYUNDAI</t>
        </is>
      </c>
      <c r="F1518" s="20" t="inlineStr">
        <is>
          <t>I10</t>
        </is>
      </c>
      <c r="G1518" s="21" t="n">
        <v>2012</v>
      </c>
      <c r="H1518" s="22" t="n">
        <v>70157</v>
      </c>
      <c r="I1518" s="23" t="n">
        <v>152000</v>
      </c>
      <c r="J1518" s="20" t="inlineStr">
        <is>
          <t>PRODUCTIVITY ELEMENTS PRIVATE LIMITED</t>
        </is>
      </c>
      <c r="K1518" s="20" t="inlineStr">
        <is>
          <t>Non-Captive</t>
        </is>
      </c>
      <c r="L1518" s="20" t="inlineStr">
        <is>
          <t>TSM</t>
        </is>
      </c>
      <c r="M1518" s="23" t="n">
        <v>3389.83</v>
      </c>
      <c r="N1518" s="23" t="n">
        <v>4000</v>
      </c>
      <c r="O1518" s="24">
        <f>IF(AND(ISNUMBER(M1518), ISNUMBER(I1518), I1518&gt;0), M1518/I1518, "")</f>
        <v/>
      </c>
    </row>
    <row r="1519">
      <c r="A1519" s="19" t="inlineStr">
        <is>
          <t>FY27</t>
        </is>
      </c>
      <c r="B1519" s="19" t="inlineStr">
        <is>
          <t>May</t>
        </is>
      </c>
      <c r="C1519" s="19" t="inlineStr">
        <is>
          <t>TN</t>
        </is>
      </c>
      <c r="D1519" s="20" t="inlineStr">
        <is>
          <t>TN22CT9270</t>
        </is>
      </c>
      <c r="E1519" s="20" t="inlineStr">
        <is>
          <t>MAHINDRA</t>
        </is>
      </c>
      <c r="F1519" s="20" t="inlineStr">
        <is>
          <t>Xylo</t>
        </is>
      </c>
      <c r="G1519" s="21" t="n">
        <v>2012</v>
      </c>
      <c r="H1519" s="22" t="n">
        <v>155238</v>
      </c>
      <c r="I1519" s="23" t="n">
        <v>153000</v>
      </c>
      <c r="J1519" s="20" t="inlineStr">
        <is>
          <t>AIE CARS PRIVATE LIMITED</t>
        </is>
      </c>
      <c r="K1519" s="20" t="inlineStr">
        <is>
          <t>Non-Captive</t>
        </is>
      </c>
      <c r="L1519" s="20" t="inlineStr">
        <is>
          <t>TSM</t>
        </is>
      </c>
      <c r="M1519" s="23" t="n">
        <v>3389.83</v>
      </c>
      <c r="N1519" s="23" t="n">
        <v>4000</v>
      </c>
      <c r="O1519" s="24">
        <f>IF(AND(ISNUMBER(M1519), ISNUMBER(I1519), I1519&gt;0), M1519/I1519, "")</f>
        <v/>
      </c>
    </row>
    <row r="1520">
      <c r="A1520" s="19" t="inlineStr">
        <is>
          <t>FY27</t>
        </is>
      </c>
      <c r="B1520" s="19" t="inlineStr">
        <is>
          <t>May</t>
        </is>
      </c>
      <c r="C1520" s="19" t="inlineStr">
        <is>
          <t>TN</t>
        </is>
      </c>
      <c r="D1520" s="20" t="inlineStr">
        <is>
          <t>TN02AT0667</t>
        </is>
      </c>
      <c r="E1520" s="20" t="inlineStr">
        <is>
          <t>HYUNDAI</t>
        </is>
      </c>
      <c r="F1520" s="20" t="inlineStr">
        <is>
          <t>I10</t>
        </is>
      </c>
      <c r="G1520" s="21" t="n">
        <v>2011</v>
      </c>
      <c r="H1520" s="22" t="n">
        <v>74046</v>
      </c>
      <c r="I1520" s="23" t="n">
        <v>154000</v>
      </c>
      <c r="J1520" s="20" t="inlineStr">
        <is>
          <t>FPL AUTOMOBILES PRIVATE LIMITED</t>
        </is>
      </c>
      <c r="K1520" s="20" t="inlineStr">
        <is>
          <t>Non-Captive</t>
        </is>
      </c>
      <c r="L1520" s="20" t="inlineStr">
        <is>
          <t>TSM</t>
        </is>
      </c>
      <c r="M1520" s="23" t="n">
        <v>3389.83</v>
      </c>
      <c r="N1520" s="23" t="n">
        <v>4000</v>
      </c>
      <c r="O1520" s="24">
        <f>IF(AND(ISNUMBER(M1520), ISNUMBER(I1520), I1520&gt;0), M1520/I1520, "")</f>
        <v/>
      </c>
    </row>
    <row r="1521">
      <c r="A1521" s="19" t="inlineStr">
        <is>
          <t>FY27</t>
        </is>
      </c>
      <c r="B1521" s="19" t="inlineStr">
        <is>
          <t>May</t>
        </is>
      </c>
      <c r="C1521" s="19" t="inlineStr">
        <is>
          <t>TN</t>
        </is>
      </c>
      <c r="D1521" s="20" t="inlineStr">
        <is>
          <t>KA03MQ1678</t>
        </is>
      </c>
      <c r="E1521" s="20" t="inlineStr">
        <is>
          <t>HONDA</t>
        </is>
      </c>
      <c r="F1521" s="20" t="inlineStr">
        <is>
          <t>Brio</t>
        </is>
      </c>
      <c r="G1521" s="21" t="n">
        <v>2012</v>
      </c>
      <c r="H1521" s="22" t="n">
        <v>48122</v>
      </c>
      <c r="I1521" s="23" t="n">
        <v>155000</v>
      </c>
      <c r="J1521" s="20" t="inlineStr">
        <is>
          <t>Khivraj Motor</t>
        </is>
      </c>
      <c r="K1521" s="20" t="inlineStr">
        <is>
          <t>Non-Captive</t>
        </is>
      </c>
      <c r="L1521" s="20" t="inlineStr">
        <is>
          <t>TSM</t>
        </is>
      </c>
      <c r="M1521" s="23" t="n">
        <v>3389.83</v>
      </c>
      <c r="N1521" s="23" t="n">
        <v>4000</v>
      </c>
      <c r="O1521" s="24">
        <f>IF(AND(ISNUMBER(M1521), ISNUMBER(I1521), I1521&gt;0), M1521/I1521, "")</f>
        <v/>
      </c>
    </row>
    <row r="1522">
      <c r="A1522" s="19" t="inlineStr">
        <is>
          <t>FY27</t>
        </is>
      </c>
      <c r="B1522" s="19" t="inlineStr">
        <is>
          <t>May</t>
        </is>
      </c>
      <c r="C1522" s="19" t="inlineStr">
        <is>
          <t>TN</t>
        </is>
      </c>
      <c r="D1522" s="20" t="inlineStr">
        <is>
          <t>TN21AJ2642</t>
        </is>
      </c>
      <c r="E1522" s="20" t="inlineStr">
        <is>
          <t>HYUNDAI</t>
        </is>
      </c>
      <c r="F1522" s="20" t="inlineStr">
        <is>
          <t>I10</t>
        </is>
      </c>
      <c r="G1522" s="21" t="n">
        <v>2011</v>
      </c>
      <c r="H1522" s="22" t="n">
        <v>63520</v>
      </c>
      <c r="I1522" s="23" t="n">
        <v>157500</v>
      </c>
      <c r="J1522" s="20" t="inlineStr">
        <is>
          <t>Khivraj Motor</t>
        </is>
      </c>
      <c r="K1522" s="20" t="inlineStr">
        <is>
          <t>Non-Captive</t>
        </is>
      </c>
      <c r="L1522" s="20" t="inlineStr">
        <is>
          <t>TSM</t>
        </is>
      </c>
      <c r="M1522" s="23" t="n">
        <v>3389.83</v>
      </c>
      <c r="N1522" s="23" t="n">
        <v>4000</v>
      </c>
      <c r="O1522" s="24">
        <f>IF(AND(ISNUMBER(M1522), ISNUMBER(I1522), I1522&gt;0), M1522/I1522, "")</f>
        <v/>
      </c>
    </row>
    <row r="1523">
      <c r="A1523" s="19" t="inlineStr">
        <is>
          <t>FY27</t>
        </is>
      </c>
      <c r="B1523" s="19" t="inlineStr">
        <is>
          <t>May</t>
        </is>
      </c>
      <c r="C1523" s="19" t="inlineStr">
        <is>
          <t>TN</t>
        </is>
      </c>
      <c r="D1523" s="20" t="inlineStr">
        <is>
          <t>TN06B3071</t>
        </is>
      </c>
      <c r="E1523" s="20" t="inlineStr">
        <is>
          <t>HYUNDAI</t>
        </is>
      </c>
      <c r="F1523" s="20" t="inlineStr">
        <is>
          <t>I10</t>
        </is>
      </c>
      <c r="G1523" s="21" t="n">
        <v>2010</v>
      </c>
      <c r="H1523" s="22" t="n">
        <v>50629</v>
      </c>
      <c r="I1523" s="23" t="n">
        <v>160000</v>
      </c>
      <c r="J1523" s="20" t="inlineStr">
        <is>
          <t>NIRMAL</t>
        </is>
      </c>
      <c r="K1523" s="20" t="inlineStr">
        <is>
          <t>Non-Captive</t>
        </is>
      </c>
      <c r="L1523" s="20" t="inlineStr">
        <is>
          <t>TSM</t>
        </is>
      </c>
      <c r="M1523" s="23" t="n">
        <v>4237.29</v>
      </c>
      <c r="N1523" s="23" t="n">
        <v>5000</v>
      </c>
      <c r="O1523" s="24">
        <f>IF(AND(ISNUMBER(M1523), ISNUMBER(I1523), I1523&gt;0), M1523/I1523, "")</f>
        <v/>
      </c>
    </row>
    <row r="1524">
      <c r="A1524" s="19" t="inlineStr">
        <is>
          <t>FY27</t>
        </is>
      </c>
      <c r="B1524" s="19" t="inlineStr">
        <is>
          <t>May</t>
        </is>
      </c>
      <c r="C1524" s="19" t="inlineStr">
        <is>
          <t>TN</t>
        </is>
      </c>
      <c r="D1524" s="20" t="inlineStr">
        <is>
          <t>TN05AY7254</t>
        </is>
      </c>
      <c r="E1524" s="20" t="inlineStr">
        <is>
          <t>FIAT</t>
        </is>
      </c>
      <c r="F1524" s="20" t="inlineStr">
        <is>
          <t>Linea</t>
        </is>
      </c>
      <c r="G1524" s="21" t="n">
        <v>2014</v>
      </c>
      <c r="H1524" s="22" t="n">
        <v>69052</v>
      </c>
      <c r="I1524" s="23" t="n">
        <v>160000</v>
      </c>
      <c r="J1524" s="20" t="inlineStr">
        <is>
          <t>SVM CARS PRIVATE LIMITED</t>
        </is>
      </c>
      <c r="K1524" s="20" t="inlineStr">
        <is>
          <t>Non-Captive</t>
        </is>
      </c>
      <c r="L1524" s="20" t="inlineStr">
        <is>
          <t>TSM</t>
        </is>
      </c>
      <c r="M1524" s="23" t="n">
        <v>4237.29</v>
      </c>
      <c r="N1524" s="23" t="n">
        <v>5000</v>
      </c>
      <c r="O1524" s="24">
        <f>IF(AND(ISNUMBER(M1524), ISNUMBER(I1524), I1524&gt;0), M1524/I1524, "")</f>
        <v/>
      </c>
    </row>
    <row r="1525">
      <c r="A1525" s="19" t="inlineStr">
        <is>
          <t>FY27</t>
        </is>
      </c>
      <c r="B1525" s="19" t="inlineStr">
        <is>
          <t>May</t>
        </is>
      </c>
      <c r="C1525" s="19" t="inlineStr">
        <is>
          <t>TN</t>
        </is>
      </c>
      <c r="D1525" s="20" t="inlineStr">
        <is>
          <t>TN65T7573</t>
        </is>
      </c>
      <c r="E1525" s="20" t="inlineStr">
        <is>
          <t>MARUTI SUZUKI</t>
        </is>
      </c>
      <c r="F1525" s="20" t="inlineStr">
        <is>
          <t>Alto</t>
        </is>
      </c>
      <c r="G1525" s="21" t="n">
        <v>2014</v>
      </c>
      <c r="H1525" s="22" t="n">
        <v>88550</v>
      </c>
      <c r="I1525" s="23" t="n">
        <v>160000</v>
      </c>
      <c r="J1525" s="20" t="inlineStr">
        <is>
          <t>CAR HUB</t>
        </is>
      </c>
      <c r="K1525" s="20" t="inlineStr">
        <is>
          <t>Non-Captive</t>
        </is>
      </c>
      <c r="L1525" s="20" t="inlineStr">
        <is>
          <t>TSM</t>
        </is>
      </c>
      <c r="M1525" s="23" t="n">
        <v>4237.29</v>
      </c>
      <c r="N1525" s="23" t="n">
        <v>5000</v>
      </c>
      <c r="O1525" s="24">
        <f>IF(AND(ISNUMBER(M1525), ISNUMBER(I1525), I1525&gt;0), M1525/I1525, "")</f>
        <v/>
      </c>
    </row>
    <row r="1526">
      <c r="A1526" s="19" t="inlineStr">
        <is>
          <t>FY27</t>
        </is>
      </c>
      <c r="B1526" s="19" t="inlineStr">
        <is>
          <t>May</t>
        </is>
      </c>
      <c r="C1526" s="19" t="inlineStr">
        <is>
          <t>TN</t>
        </is>
      </c>
      <c r="D1526" s="20" t="inlineStr">
        <is>
          <t>TN19AZ3601</t>
        </is>
      </c>
      <c r="E1526" s="20" t="inlineStr">
        <is>
          <t>DATSUN</t>
        </is>
      </c>
      <c r="F1526" s="20" t="inlineStr">
        <is>
          <t>Go</t>
        </is>
      </c>
      <c r="G1526" s="21" t="n">
        <v>2017</v>
      </c>
      <c r="H1526" s="22" t="n">
        <v>120818</v>
      </c>
      <c r="I1526" s="23" t="n">
        <v>160000</v>
      </c>
      <c r="J1526" s="20" t="inlineStr">
        <is>
          <t>AIE CARS PRIVATE LIMITED</t>
        </is>
      </c>
      <c r="K1526" s="20" t="inlineStr">
        <is>
          <t>Non-Captive</t>
        </is>
      </c>
      <c r="L1526" s="20" t="inlineStr">
        <is>
          <t>TSM</t>
        </is>
      </c>
      <c r="M1526" s="23" t="n">
        <v>5084.75</v>
      </c>
      <c r="N1526" s="23" t="n">
        <v>6000</v>
      </c>
      <c r="O1526" s="24">
        <f>IF(AND(ISNUMBER(M1526), ISNUMBER(I1526), I1526&gt;0), M1526/I1526, "")</f>
        <v/>
      </c>
    </row>
    <row r="1527">
      <c r="A1527" s="19" t="inlineStr">
        <is>
          <t>FY27</t>
        </is>
      </c>
      <c r="B1527" s="19" t="inlineStr">
        <is>
          <t>May</t>
        </is>
      </c>
      <c r="C1527" s="19" t="inlineStr">
        <is>
          <t>TN</t>
        </is>
      </c>
      <c r="D1527" s="20" t="inlineStr">
        <is>
          <t>TN41AQ7131</t>
        </is>
      </c>
      <c r="E1527" s="20" t="inlineStr">
        <is>
          <t>MARUTI SUZUKI</t>
        </is>
      </c>
      <c r="F1527" s="20" t="inlineStr">
        <is>
          <t>Swift</t>
        </is>
      </c>
      <c r="G1527" s="21" t="n">
        <v>2016</v>
      </c>
      <c r="H1527" s="22" t="n">
        <v>48593</v>
      </c>
      <c r="I1527" s="23" t="n">
        <v>450000</v>
      </c>
      <c r="J1527" s="20" t="inlineStr">
        <is>
          <t>EXCHANGE ROTN</t>
        </is>
      </c>
      <c r="K1527" s="20" t="inlineStr">
        <is>
          <t>Captive</t>
        </is>
      </c>
      <c r="L1527" s="20" t="inlineStr">
        <is>
          <t>YUGA DHEERAN CARS</t>
        </is>
      </c>
      <c r="M1527" s="23" t="n">
        <v>8474.58</v>
      </c>
      <c r="N1527" s="23" t="n">
        <v>10000</v>
      </c>
      <c r="O1527" s="24">
        <f>IF(AND(ISNUMBER(M1527), ISNUMBER(I1527), I1527&gt;0), M1527/I1527, "")</f>
        <v/>
      </c>
    </row>
    <row r="1528">
      <c r="A1528" s="19" t="inlineStr">
        <is>
          <t>FY27</t>
        </is>
      </c>
      <c r="B1528" s="19" t="inlineStr">
        <is>
          <t>May</t>
        </is>
      </c>
      <c r="C1528" s="19" t="inlineStr">
        <is>
          <t>TN</t>
        </is>
      </c>
      <c r="D1528" s="20" t="inlineStr">
        <is>
          <t>TN58AD2370</t>
        </is>
      </c>
      <c r="E1528" s="20" t="inlineStr">
        <is>
          <t>TATA</t>
        </is>
      </c>
      <c r="F1528" s="20" t="inlineStr">
        <is>
          <t>Indigo</t>
        </is>
      </c>
      <c r="G1528" s="21" t="n">
        <v>2012</v>
      </c>
      <c r="H1528" s="22" t="n">
        <v>112989</v>
      </c>
      <c r="I1528" s="23" t="n">
        <v>76000</v>
      </c>
      <c r="J1528" s="20" t="inlineStr">
        <is>
          <t>EXCHANGE ROTN</t>
        </is>
      </c>
      <c r="K1528" s="20" t="inlineStr">
        <is>
          <t>Captive</t>
        </is>
      </c>
      <c r="L1528" s="20" t="inlineStr">
        <is>
          <t>Ashwin cars</t>
        </is>
      </c>
      <c r="M1528" s="23" t="n">
        <v>4237.29</v>
      </c>
      <c r="N1528" s="23" t="n">
        <v>5000</v>
      </c>
      <c r="O1528" s="24">
        <f>IF(AND(ISNUMBER(M1528), ISNUMBER(I1528), I1528&gt;0), M1528/I1528, "")</f>
        <v/>
      </c>
    </row>
    <row r="1529">
      <c r="A1529" s="19" t="inlineStr">
        <is>
          <t>FY27</t>
        </is>
      </c>
      <c r="B1529" s="19" t="inlineStr">
        <is>
          <t>May</t>
        </is>
      </c>
      <c r="C1529" s="19" t="inlineStr">
        <is>
          <t>TN</t>
        </is>
      </c>
      <c r="D1529" s="20" t="inlineStr">
        <is>
          <t>TN67AJ5697</t>
        </is>
      </c>
      <c r="E1529" s="20" t="inlineStr">
        <is>
          <t>HONDA</t>
        </is>
      </c>
      <c r="F1529" s="20" t="inlineStr">
        <is>
          <t>City</t>
        </is>
      </c>
      <c r="G1529" s="21" t="n">
        <v>2013</v>
      </c>
      <c r="H1529" s="22" t="n">
        <v>95284</v>
      </c>
      <c r="I1529" s="23" t="n">
        <v>290000</v>
      </c>
      <c r="J1529" s="20" t="inlineStr">
        <is>
          <t>EXCHANGE ROTN</t>
        </is>
      </c>
      <c r="K1529" s="20" t="inlineStr">
        <is>
          <t>Captive</t>
        </is>
      </c>
      <c r="L1529" s="20" t="inlineStr">
        <is>
          <t>Ashwin cars</t>
        </is>
      </c>
      <c r="M1529" s="23" t="n">
        <v>8474.58</v>
      </c>
      <c r="N1529" s="23" t="n">
        <v>10000</v>
      </c>
      <c r="O1529" s="24">
        <f>IF(AND(ISNUMBER(M1529), ISNUMBER(I1529), I1529&gt;0), M1529/I1529, "")</f>
        <v/>
      </c>
    </row>
    <row r="1530">
      <c r="A1530" s="19" t="inlineStr">
        <is>
          <t>FY27</t>
        </is>
      </c>
      <c r="B1530" s="19" t="inlineStr">
        <is>
          <t>May</t>
        </is>
      </c>
      <c r="C1530" s="19" t="inlineStr">
        <is>
          <t>TN</t>
        </is>
      </c>
      <c r="D1530" s="20" t="inlineStr">
        <is>
          <t>TN74AB5960</t>
        </is>
      </c>
      <c r="E1530" s="20" t="inlineStr">
        <is>
          <t>TATA</t>
        </is>
      </c>
      <c r="F1530" s="20" t="inlineStr">
        <is>
          <t>Indigo</t>
        </is>
      </c>
      <c r="G1530" s="21" t="n">
        <v>2011</v>
      </c>
      <c r="H1530" s="22" t="n">
        <v>135151</v>
      </c>
      <c r="I1530" s="23" t="n">
        <v>82000</v>
      </c>
      <c r="J1530" s="20" t="inlineStr">
        <is>
          <t>EXCHANGE ROTN</t>
        </is>
      </c>
      <c r="K1530" s="20" t="inlineStr">
        <is>
          <t>Captive</t>
        </is>
      </c>
      <c r="L1530" s="20" t="inlineStr">
        <is>
          <t>Ashwin cars</t>
        </is>
      </c>
      <c r="M1530" s="23" t="n">
        <v>4237.29</v>
      </c>
      <c r="N1530" s="23" t="n">
        <v>5000</v>
      </c>
      <c r="O1530" s="24">
        <f>IF(AND(ISNUMBER(M1530), ISNUMBER(I1530), I1530&gt;0), M1530/I1530, "")</f>
        <v/>
      </c>
    </row>
    <row r="1531">
      <c r="A1531" s="19" t="inlineStr">
        <is>
          <t>FY27</t>
        </is>
      </c>
      <c r="B1531" s="19" t="inlineStr">
        <is>
          <t>May</t>
        </is>
      </c>
      <c r="C1531" s="19" t="inlineStr">
        <is>
          <t>TN</t>
        </is>
      </c>
      <c r="D1531" s="20" t="inlineStr">
        <is>
          <t>TN37BV3920</t>
        </is>
      </c>
      <c r="E1531" s="20" t="inlineStr">
        <is>
          <t>HYUNDAI</t>
        </is>
      </c>
      <c r="F1531" s="20" t="inlineStr">
        <is>
          <t>Eon</t>
        </is>
      </c>
      <c r="G1531" s="21" t="n">
        <v>2012</v>
      </c>
      <c r="H1531" s="22" t="n">
        <v>205290</v>
      </c>
      <c r="I1531" s="23" t="n">
        <v>97000</v>
      </c>
      <c r="J1531" s="20" t="inlineStr">
        <is>
          <t>EXCHANGE ROTN</t>
        </is>
      </c>
      <c r="K1531" s="20" t="inlineStr">
        <is>
          <t>Captive</t>
        </is>
      </c>
      <c r="L1531" s="20" t="inlineStr">
        <is>
          <t>Ashwin cars</t>
        </is>
      </c>
      <c r="M1531" s="23" t="n">
        <v>4237.29</v>
      </c>
      <c r="N1531" s="23" t="n">
        <v>5000</v>
      </c>
      <c r="O1531" s="24">
        <f>IF(AND(ISNUMBER(M1531), ISNUMBER(I1531), I1531&gt;0), M1531/I1531, "")</f>
        <v/>
      </c>
    </row>
    <row r="1532">
      <c r="A1532" s="19" t="inlineStr">
        <is>
          <t>FY27</t>
        </is>
      </c>
      <c r="B1532" s="19" t="inlineStr">
        <is>
          <t>May</t>
        </is>
      </c>
      <c r="C1532" s="19" t="inlineStr">
        <is>
          <t>TN</t>
        </is>
      </c>
      <c r="D1532" s="20" t="inlineStr">
        <is>
          <t>TN58AP1014</t>
        </is>
      </c>
      <c r="E1532" s="20" t="inlineStr">
        <is>
          <t>DATSUN</t>
        </is>
      </c>
      <c r="F1532" s="20" t="inlineStr">
        <is>
          <t>Redi-Go</t>
        </is>
      </c>
      <c r="G1532" s="21" t="n">
        <v>2017</v>
      </c>
      <c r="H1532" s="22" t="n">
        <v>64854</v>
      </c>
      <c r="I1532" s="23" t="n">
        <v>88000</v>
      </c>
      <c r="J1532" s="20" t="inlineStr">
        <is>
          <t>EXCHANGE ROTN</t>
        </is>
      </c>
      <c r="K1532" s="20" t="inlineStr">
        <is>
          <t>Captive</t>
        </is>
      </c>
      <c r="L1532" s="20" t="inlineStr">
        <is>
          <t>Ashwin cars</t>
        </is>
      </c>
      <c r="M1532" s="23" t="n">
        <v>4237.29</v>
      </c>
      <c r="N1532" s="23" t="n">
        <v>5000</v>
      </c>
      <c r="O1532" s="24">
        <f>IF(AND(ISNUMBER(M1532), ISNUMBER(I1532), I1532&gt;0), M1532/I1532, "")</f>
        <v/>
      </c>
    </row>
    <row r="1533">
      <c r="A1533" s="19" t="inlineStr">
        <is>
          <t>FY27</t>
        </is>
      </c>
      <c r="B1533" s="19" t="inlineStr">
        <is>
          <t>May</t>
        </is>
      </c>
      <c r="C1533" s="19" t="inlineStr">
        <is>
          <t>TN</t>
        </is>
      </c>
      <c r="D1533" s="20" t="inlineStr">
        <is>
          <t>TN47W5068</t>
        </is>
      </c>
      <c r="E1533" s="20" t="inlineStr">
        <is>
          <t>MARUTI SUZUKI</t>
        </is>
      </c>
      <c r="F1533" s="20" t="inlineStr">
        <is>
          <t>Swift</t>
        </is>
      </c>
      <c r="G1533" s="21" t="n">
        <v>2011</v>
      </c>
      <c r="H1533" s="22" t="n">
        <v>287153</v>
      </c>
      <c r="I1533" s="23" t="n">
        <v>94000</v>
      </c>
      <c r="J1533" s="20" t="inlineStr">
        <is>
          <t>EXCHANGE ROTN</t>
        </is>
      </c>
      <c r="K1533" s="20" t="inlineStr">
        <is>
          <t>Captive</t>
        </is>
      </c>
      <c r="L1533" s="20" t="inlineStr">
        <is>
          <t>Ashwin cars</t>
        </is>
      </c>
      <c r="M1533" s="23" t="n">
        <v>4237.29</v>
      </c>
      <c r="N1533" s="23" t="n">
        <v>5000</v>
      </c>
      <c r="O1533" s="24">
        <f>IF(AND(ISNUMBER(M1533), ISNUMBER(I1533), I1533&gt;0), M1533/I1533, "")</f>
        <v/>
      </c>
    </row>
    <row r="1534">
      <c r="A1534" s="19" t="inlineStr">
        <is>
          <t>FY27</t>
        </is>
      </c>
      <c r="B1534" s="19" t="inlineStr">
        <is>
          <t>May</t>
        </is>
      </c>
      <c r="C1534" s="19" t="inlineStr">
        <is>
          <t>TN</t>
        </is>
      </c>
      <c r="D1534" s="20" t="inlineStr">
        <is>
          <t>TN01AR3143</t>
        </is>
      </c>
      <c r="E1534" s="20" t="inlineStr">
        <is>
          <t>FORD</t>
        </is>
      </c>
      <c r="F1534" s="20" t="inlineStr">
        <is>
          <t>Figo</t>
        </is>
      </c>
      <c r="G1534" s="21" t="n">
        <v>2012</v>
      </c>
      <c r="H1534" s="22" t="n">
        <v>157724</v>
      </c>
      <c r="I1534" s="23" t="n">
        <v>90000</v>
      </c>
      <c r="J1534" s="20" t="inlineStr">
        <is>
          <t>EXCHANGE ROTN</t>
        </is>
      </c>
      <c r="K1534" s="20" t="inlineStr">
        <is>
          <t>Captive</t>
        </is>
      </c>
      <c r="L1534" s="20" t="inlineStr">
        <is>
          <t>Ashwin cars</t>
        </is>
      </c>
      <c r="M1534" s="23" t="n">
        <v>4237.29</v>
      </c>
      <c r="N1534" s="23" t="n">
        <v>5000</v>
      </c>
      <c r="O1534" s="24">
        <f>IF(AND(ISNUMBER(M1534), ISNUMBER(I1534), I1534&gt;0), M1534/I1534, "")</f>
        <v/>
      </c>
    </row>
    <row r="1535">
      <c r="A1535" s="19" t="inlineStr">
        <is>
          <t>FY27</t>
        </is>
      </c>
      <c r="B1535" s="19" t="inlineStr">
        <is>
          <t>May</t>
        </is>
      </c>
      <c r="C1535" s="19" t="inlineStr">
        <is>
          <t>TN</t>
        </is>
      </c>
      <c r="D1535" s="20" t="inlineStr">
        <is>
          <t>TN20CY3045</t>
        </is>
      </c>
      <c r="E1535" s="20" t="inlineStr">
        <is>
          <t>FORD</t>
        </is>
      </c>
      <c r="F1535" s="20" t="inlineStr">
        <is>
          <t>Figo</t>
        </is>
      </c>
      <c r="G1535" s="21" t="n">
        <v>2012</v>
      </c>
      <c r="H1535" s="22" t="n">
        <v>214446</v>
      </c>
      <c r="I1535" s="23" t="n">
        <v>85000</v>
      </c>
      <c r="J1535" s="20" t="inlineStr">
        <is>
          <t>EXCHANGE ROTN</t>
        </is>
      </c>
      <c r="K1535" s="20" t="inlineStr">
        <is>
          <t>Captive</t>
        </is>
      </c>
      <c r="L1535" s="20" t="inlineStr">
        <is>
          <t>Ashwin cars</t>
        </is>
      </c>
      <c r="M1535" s="23" t="n">
        <v>4237.29</v>
      </c>
      <c r="N1535" s="23" t="n">
        <v>5000</v>
      </c>
      <c r="O1535" s="24">
        <f>IF(AND(ISNUMBER(M1535), ISNUMBER(I1535), I1535&gt;0), M1535/I1535, "")</f>
        <v/>
      </c>
    </row>
    <row r="1536">
      <c r="A1536" s="19" t="inlineStr">
        <is>
          <t>FY27</t>
        </is>
      </c>
      <c r="B1536" s="19" t="inlineStr">
        <is>
          <t>May</t>
        </is>
      </c>
      <c r="C1536" s="19" t="inlineStr">
        <is>
          <t>TN</t>
        </is>
      </c>
      <c r="D1536" s="20" t="inlineStr">
        <is>
          <t>TN59AT8632</t>
        </is>
      </c>
      <c r="E1536" s="20" t="inlineStr">
        <is>
          <t>MARUTI SUZUKI</t>
        </is>
      </c>
      <c r="F1536" s="20" t="inlineStr">
        <is>
          <t>Swift Dzire</t>
        </is>
      </c>
      <c r="G1536" s="21" t="n">
        <v>2011</v>
      </c>
      <c r="H1536" s="22" t="n">
        <v>139800</v>
      </c>
      <c r="I1536" s="23" t="n">
        <v>94000</v>
      </c>
      <c r="J1536" s="20" t="inlineStr">
        <is>
          <t>EXCHANGE ROTN</t>
        </is>
      </c>
      <c r="K1536" s="20" t="inlineStr">
        <is>
          <t>Captive</t>
        </is>
      </c>
      <c r="L1536" s="20" t="inlineStr">
        <is>
          <t>Ashwin cars</t>
        </is>
      </c>
      <c r="M1536" s="23" t="n">
        <v>4237.29</v>
      </c>
      <c r="N1536" s="23" t="n">
        <v>5000</v>
      </c>
      <c r="O1536" s="24">
        <f>IF(AND(ISNUMBER(M1536), ISNUMBER(I1536), I1536&gt;0), M1536/I1536, "")</f>
        <v/>
      </c>
    </row>
    <row r="1537">
      <c r="A1537" s="19" t="inlineStr">
        <is>
          <t>FY27</t>
        </is>
      </c>
      <c r="B1537" s="19" t="inlineStr">
        <is>
          <t>May</t>
        </is>
      </c>
      <c r="C1537" s="19" t="inlineStr">
        <is>
          <t>TN</t>
        </is>
      </c>
      <c r="D1537" s="20" t="inlineStr">
        <is>
          <t>TN06H3913</t>
        </is>
      </c>
      <c r="E1537" s="20" t="inlineStr">
        <is>
          <t>FIAT</t>
        </is>
      </c>
      <c r="F1537" s="20" t="inlineStr">
        <is>
          <t>Punto</t>
        </is>
      </c>
      <c r="G1537" s="21" t="n">
        <v>2012</v>
      </c>
      <c r="H1537" s="22" t="n">
        <v>177830</v>
      </c>
      <c r="I1537" s="23" t="n">
        <v>68000</v>
      </c>
      <c r="J1537" s="20" t="inlineStr">
        <is>
          <t>EXCHANGE ROTN</t>
        </is>
      </c>
      <c r="K1537" s="20" t="inlineStr">
        <is>
          <t>Captive</t>
        </is>
      </c>
      <c r="L1537" s="20" t="inlineStr">
        <is>
          <t>Ashwin cars</t>
        </is>
      </c>
      <c r="M1537" s="23" t="n">
        <v>4237.29</v>
      </c>
      <c r="N1537" s="23" t="n">
        <v>5000</v>
      </c>
      <c r="O1537" s="24">
        <f>IF(AND(ISNUMBER(M1537), ISNUMBER(I1537), I1537&gt;0), M1537/I1537, "")</f>
        <v/>
      </c>
    </row>
    <row r="1538">
      <c r="A1538" s="19" t="inlineStr">
        <is>
          <t>FY27</t>
        </is>
      </c>
      <c r="B1538" s="19" t="inlineStr">
        <is>
          <t>May</t>
        </is>
      </c>
      <c r="C1538" s="19" t="inlineStr">
        <is>
          <t>TN</t>
        </is>
      </c>
      <c r="D1538" s="20" t="inlineStr">
        <is>
          <t>TN58S8727</t>
        </is>
      </c>
      <c r="E1538" s="20" t="inlineStr">
        <is>
          <t>HYUNDAI</t>
        </is>
      </c>
      <c r="F1538" s="20" t="inlineStr">
        <is>
          <t>Santro</t>
        </is>
      </c>
      <c r="G1538" s="21" t="n">
        <v>2008</v>
      </c>
      <c r="H1538" s="22" t="n">
        <v>91322</v>
      </c>
      <c r="I1538" s="23" t="n">
        <v>63000</v>
      </c>
      <c r="J1538" s="20" t="inlineStr">
        <is>
          <t>EXCHANGE ROTN</t>
        </is>
      </c>
      <c r="K1538" s="20" t="inlineStr">
        <is>
          <t>Captive</t>
        </is>
      </c>
      <c r="L1538" s="20" t="inlineStr">
        <is>
          <t>Ashwin cars</t>
        </is>
      </c>
      <c r="M1538" s="23" t="n">
        <v>4237.29</v>
      </c>
      <c r="N1538" s="23" t="n">
        <v>5000</v>
      </c>
      <c r="O1538" s="24">
        <f>IF(AND(ISNUMBER(M1538), ISNUMBER(I1538), I1538&gt;0), M1538/I1538, "")</f>
        <v/>
      </c>
    </row>
    <row r="1539">
      <c r="A1539" s="19" t="inlineStr">
        <is>
          <t>FY27</t>
        </is>
      </c>
      <c r="B1539" s="19" t="inlineStr">
        <is>
          <t>May</t>
        </is>
      </c>
      <c r="C1539" s="19" t="inlineStr">
        <is>
          <t>TN</t>
        </is>
      </c>
      <c r="D1539" s="20" t="inlineStr">
        <is>
          <t>TN37DV0790</t>
        </is>
      </c>
      <c r="E1539" s="20" t="inlineStr">
        <is>
          <t>HYUNDAI</t>
        </is>
      </c>
      <c r="F1539" s="20" t="inlineStr">
        <is>
          <t>Grand I10</t>
        </is>
      </c>
      <c r="G1539" s="21" t="n">
        <v>2019</v>
      </c>
      <c r="H1539" s="22" t="n">
        <v>54168</v>
      </c>
      <c r="I1539" s="23" t="n">
        <v>95000</v>
      </c>
      <c r="J1539" s="20" t="inlineStr">
        <is>
          <t>EXCHANGE ROTN</t>
        </is>
      </c>
      <c r="K1539" s="20" t="inlineStr">
        <is>
          <t>Captive</t>
        </is>
      </c>
      <c r="L1539" s="20" t="inlineStr">
        <is>
          <t>Sai Cars</t>
        </is>
      </c>
      <c r="M1539" s="23" t="n">
        <v>4237.29</v>
      </c>
      <c r="N1539" s="23" t="n">
        <v>5000</v>
      </c>
      <c r="O1539" s="24">
        <f>IF(AND(ISNUMBER(M1539), ISNUMBER(I1539), I1539&gt;0), M1539/I1539, "")</f>
        <v/>
      </c>
    </row>
    <row r="1540">
      <c r="A1540" s="19" t="inlineStr">
        <is>
          <t>FY27</t>
        </is>
      </c>
      <c r="B1540" s="19" t="inlineStr">
        <is>
          <t>May</t>
        </is>
      </c>
      <c r="C1540" s="19" t="inlineStr">
        <is>
          <t>TN</t>
        </is>
      </c>
      <c r="D1540" s="20" t="inlineStr">
        <is>
          <t>TN59BM9842</t>
        </is>
      </c>
      <c r="E1540" s="20" t="inlineStr">
        <is>
          <t>RENAULT</t>
        </is>
      </c>
      <c r="F1540" s="20" t="inlineStr">
        <is>
          <t>Kwid</t>
        </is>
      </c>
      <c r="G1540" s="21" t="n">
        <v>2017</v>
      </c>
      <c r="H1540" s="22" t="n">
        <v>133565</v>
      </c>
      <c r="I1540" s="23" t="n">
        <v>98000</v>
      </c>
      <c r="J1540" s="20" t="inlineStr">
        <is>
          <t>EXCHANGE ROTN</t>
        </is>
      </c>
      <c r="K1540" s="20" t="inlineStr">
        <is>
          <t>Captive</t>
        </is>
      </c>
      <c r="L1540" s="20" t="inlineStr">
        <is>
          <t>Sai Cars</t>
        </is>
      </c>
      <c r="M1540" s="23" t="n">
        <v>4237.29</v>
      </c>
      <c r="N1540" s="23" t="n">
        <v>5000</v>
      </c>
      <c r="O1540" s="24">
        <f>IF(AND(ISNUMBER(M1540), ISNUMBER(I1540), I1540&gt;0), M1540/I1540, "")</f>
        <v/>
      </c>
    </row>
    <row r="1541">
      <c r="A1541" s="19" t="inlineStr">
        <is>
          <t>FY27</t>
        </is>
      </c>
      <c r="B1541" s="19" t="inlineStr">
        <is>
          <t>May</t>
        </is>
      </c>
      <c r="C1541" s="19" t="inlineStr">
        <is>
          <t>TN</t>
        </is>
      </c>
      <c r="D1541" s="20" t="inlineStr">
        <is>
          <t>TN67BP4424</t>
        </is>
      </c>
      <c r="E1541" s="20" t="inlineStr">
        <is>
          <t>HONDA</t>
        </is>
      </c>
      <c r="F1541" s="20" t="inlineStr">
        <is>
          <t>City</t>
        </is>
      </c>
      <c r="G1541" s="21" t="n">
        <v>2022</v>
      </c>
      <c r="H1541" s="22" t="n">
        <v>72441</v>
      </c>
      <c r="I1541" s="23" t="n">
        <v>850000</v>
      </c>
      <c r="J1541" s="20" t="inlineStr">
        <is>
          <t>EXCHANGE ROTN</t>
        </is>
      </c>
      <c r="K1541" s="20" t="inlineStr">
        <is>
          <t>Captive</t>
        </is>
      </c>
      <c r="L1541" s="20" t="inlineStr">
        <is>
          <t>Somasundharam cars</t>
        </is>
      </c>
      <c r="M1541" s="23" t="n">
        <v>16949.15</v>
      </c>
      <c r="N1541" s="23" t="n">
        <v>20000</v>
      </c>
      <c r="O1541" s="24">
        <f>IF(AND(ISNUMBER(M1541), ISNUMBER(I1541), I1541&gt;0), M1541/I1541, "")</f>
        <v/>
      </c>
    </row>
    <row r="1542">
      <c r="A1542" s="19" t="inlineStr">
        <is>
          <t>FY27</t>
        </is>
      </c>
      <c r="B1542" s="19" t="inlineStr">
        <is>
          <t>May</t>
        </is>
      </c>
      <c r="C1542" s="19" t="inlineStr">
        <is>
          <t>TN</t>
        </is>
      </c>
      <c r="D1542" s="20" t="inlineStr">
        <is>
          <t>TN37BA1876</t>
        </is>
      </c>
      <c r="E1542" s="20" t="inlineStr">
        <is>
          <t>TATA</t>
        </is>
      </c>
      <c r="F1542" s="20" t="inlineStr">
        <is>
          <t>Indica</t>
        </is>
      </c>
      <c r="G1542" s="21" t="n">
        <v>2008</v>
      </c>
      <c r="H1542" s="22" t="n">
        <v>152546</v>
      </c>
      <c r="I1542" s="23" t="n">
        <v>70000</v>
      </c>
      <c r="J1542" s="20" t="inlineStr">
        <is>
          <t>EXCHANGE ROTN</t>
        </is>
      </c>
      <c r="K1542" s="20" t="inlineStr">
        <is>
          <t>Captive</t>
        </is>
      </c>
      <c r="L1542" s="20" t="inlineStr">
        <is>
          <t>Sri Murugan Cars</t>
        </is>
      </c>
      <c r="M1542" s="23" t="n">
        <v>4237.29</v>
      </c>
      <c r="N1542" s="23" t="n">
        <v>5000</v>
      </c>
      <c r="O1542" s="24">
        <f>IF(AND(ISNUMBER(M1542), ISNUMBER(I1542), I1542&gt;0), M1542/I1542, "")</f>
        <v/>
      </c>
    </row>
    <row r="1543">
      <c r="A1543" s="19" t="inlineStr">
        <is>
          <t>FY27</t>
        </is>
      </c>
      <c r="B1543" s="19" t="inlineStr">
        <is>
          <t>May</t>
        </is>
      </c>
      <c r="C1543" s="19" t="inlineStr">
        <is>
          <t>TN</t>
        </is>
      </c>
      <c r="D1543" s="20" t="inlineStr">
        <is>
          <t>TN37CC9847</t>
        </is>
      </c>
      <c r="E1543" s="20" t="inlineStr">
        <is>
          <t>CHEVROLET</t>
        </is>
      </c>
      <c r="F1543" s="20" t="inlineStr">
        <is>
          <t>Sail</t>
        </is>
      </c>
      <c r="G1543" s="21" t="n">
        <v>2013</v>
      </c>
      <c r="H1543" s="22" t="n">
        <v>101597</v>
      </c>
      <c r="I1543" s="23" t="n">
        <v>83000</v>
      </c>
      <c r="J1543" s="20" t="inlineStr">
        <is>
          <t>EXCHANGE ROTN</t>
        </is>
      </c>
      <c r="K1543" s="20" t="inlineStr">
        <is>
          <t>Captive</t>
        </is>
      </c>
      <c r="L1543" s="20" t="inlineStr">
        <is>
          <t>Raju Cars</t>
        </is>
      </c>
      <c r="M1543" s="23" t="n">
        <v>4237.29</v>
      </c>
      <c r="N1543" s="23" t="n">
        <v>5000</v>
      </c>
      <c r="O1543" s="24">
        <f>IF(AND(ISNUMBER(M1543), ISNUMBER(I1543), I1543&gt;0), M1543/I1543, "")</f>
        <v/>
      </c>
    </row>
    <row r="1544">
      <c r="A1544" s="19" t="inlineStr">
        <is>
          <t>FY27</t>
        </is>
      </c>
      <c r="B1544" s="19" t="inlineStr">
        <is>
          <t>May</t>
        </is>
      </c>
      <c r="C1544" s="19" t="inlineStr">
        <is>
          <t>TN</t>
        </is>
      </c>
      <c r="D1544" s="20" t="inlineStr">
        <is>
          <t>TN30AS2106</t>
        </is>
      </c>
      <c r="E1544" s="20" t="inlineStr">
        <is>
          <t>CHEVROLET</t>
        </is>
      </c>
      <c r="F1544" s="20" t="inlineStr">
        <is>
          <t>Spark</t>
        </is>
      </c>
      <c r="G1544" s="21" t="n">
        <v>2012</v>
      </c>
      <c r="H1544" s="22" t="n">
        <v>98196</v>
      </c>
      <c r="I1544" s="23" t="n">
        <v>60000</v>
      </c>
      <c r="J1544" s="20" t="inlineStr">
        <is>
          <t>EXCHANGE ROTN</t>
        </is>
      </c>
      <c r="K1544" s="20" t="inlineStr">
        <is>
          <t>Captive</t>
        </is>
      </c>
      <c r="L1544" s="20" t="inlineStr">
        <is>
          <t>Somasundharam cars</t>
        </is>
      </c>
      <c r="M1544" s="23" t="n">
        <v>4237.29</v>
      </c>
      <c r="N1544" s="23" t="n">
        <v>5000</v>
      </c>
      <c r="O1544" s="24">
        <f>IF(AND(ISNUMBER(M1544), ISNUMBER(I1544), I1544&gt;0), M1544/I1544, "")</f>
        <v/>
      </c>
    </row>
    <row r="1545">
      <c r="A1545" s="19" t="inlineStr">
        <is>
          <t>FY27</t>
        </is>
      </c>
      <c r="B1545" s="19" t="inlineStr">
        <is>
          <t>May</t>
        </is>
      </c>
      <c r="C1545" s="19" t="inlineStr">
        <is>
          <t>TN</t>
        </is>
      </c>
      <c r="D1545" s="20" t="inlineStr">
        <is>
          <t>TN28AL6332</t>
        </is>
      </c>
      <c r="E1545" s="20" t="inlineStr">
        <is>
          <t>TATA</t>
        </is>
      </c>
      <c r="F1545" s="20" t="inlineStr">
        <is>
          <t>Indica</t>
        </is>
      </c>
      <c r="G1545" s="21" t="n">
        <v>2012</v>
      </c>
      <c r="H1545" s="22" t="n">
        <v>193586</v>
      </c>
      <c r="I1545" s="23" t="n">
        <v>58000</v>
      </c>
      <c r="J1545" s="20" t="inlineStr">
        <is>
          <t>EXCHANGE ROTN</t>
        </is>
      </c>
      <c r="K1545" s="20" t="inlineStr">
        <is>
          <t>Captive</t>
        </is>
      </c>
      <c r="L1545" s="20" t="inlineStr">
        <is>
          <t>Somasundharam cars</t>
        </is>
      </c>
      <c r="M1545" s="23" t="n">
        <v>4237.29</v>
      </c>
      <c r="N1545" s="23" t="n">
        <v>5000</v>
      </c>
      <c r="O1545" s="24">
        <f>IF(AND(ISNUMBER(M1545), ISNUMBER(I1545), I1545&gt;0), M1545/I1545, "")</f>
        <v/>
      </c>
    </row>
    <row r="1546">
      <c r="A1546" s="19" t="inlineStr">
        <is>
          <t>FY27</t>
        </is>
      </c>
      <c r="B1546" s="19" t="inlineStr">
        <is>
          <t>May</t>
        </is>
      </c>
      <c r="C1546" s="19" t="inlineStr">
        <is>
          <t>TN</t>
        </is>
      </c>
      <c r="D1546" s="20" t="inlineStr">
        <is>
          <t>TN63S0367</t>
        </is>
      </c>
      <c r="E1546" s="20" t="inlineStr">
        <is>
          <t>TATA</t>
        </is>
      </c>
      <c r="F1546" s="20" t="inlineStr">
        <is>
          <t>Indica</t>
        </is>
      </c>
      <c r="G1546" s="21" t="n">
        <v>2008</v>
      </c>
      <c r="H1546" s="22" t="n">
        <v>118678</v>
      </c>
      <c r="I1546" s="23" t="n">
        <v>62000</v>
      </c>
      <c r="J1546" s="20" t="inlineStr">
        <is>
          <t>EXCHANGE ROTN</t>
        </is>
      </c>
      <c r="K1546" s="20" t="inlineStr">
        <is>
          <t>Captive</t>
        </is>
      </c>
      <c r="L1546" s="20" t="inlineStr">
        <is>
          <t>Somasundharam cars</t>
        </is>
      </c>
      <c r="M1546" s="23" t="n">
        <v>4237.29</v>
      </c>
      <c r="N1546" s="23" t="n">
        <v>5000</v>
      </c>
      <c r="O1546" s="24">
        <f>IF(AND(ISNUMBER(M1546), ISNUMBER(I1546), I1546&gt;0), M1546/I1546, "")</f>
        <v/>
      </c>
    </row>
    <row r="1547">
      <c r="A1547" s="19" t="inlineStr">
        <is>
          <t>FY27</t>
        </is>
      </c>
      <c r="B1547" s="19" t="inlineStr">
        <is>
          <t>May</t>
        </is>
      </c>
      <c r="C1547" s="19" t="inlineStr">
        <is>
          <t>TN</t>
        </is>
      </c>
      <c r="D1547" s="20" t="inlineStr">
        <is>
          <t>TN10AD9636</t>
        </is>
      </c>
      <c r="E1547" s="20" t="inlineStr">
        <is>
          <t>TATA</t>
        </is>
      </c>
      <c r="F1547" s="20" t="inlineStr">
        <is>
          <t>Nano</t>
        </is>
      </c>
      <c r="G1547" s="21" t="n">
        <v>2011</v>
      </c>
      <c r="H1547" s="22" t="n">
        <v>163194</v>
      </c>
      <c r="I1547" s="23" t="n">
        <v>40000</v>
      </c>
      <c r="J1547" s="20" t="inlineStr">
        <is>
          <t>EXCHANGE ROTN</t>
        </is>
      </c>
      <c r="K1547" s="20" t="inlineStr">
        <is>
          <t>Captive</t>
        </is>
      </c>
      <c r="L1547" s="20" t="inlineStr">
        <is>
          <t>Somasundharam cars</t>
        </is>
      </c>
      <c r="M1547" s="23" t="n">
        <v>4237.29</v>
      </c>
      <c r="N1547" s="23" t="n">
        <v>5000</v>
      </c>
      <c r="O1547" s="24">
        <f>IF(AND(ISNUMBER(M1547), ISNUMBER(I1547), I1547&gt;0), M1547/I1547, "")</f>
        <v/>
      </c>
    </row>
    <row r="1548">
      <c r="A1548" s="19" t="inlineStr">
        <is>
          <t>FY27</t>
        </is>
      </c>
      <c r="B1548" s="19" t="inlineStr">
        <is>
          <t>May</t>
        </is>
      </c>
      <c r="C1548" s="19" t="inlineStr">
        <is>
          <t>TN</t>
        </is>
      </c>
      <c r="D1548" s="20" t="inlineStr">
        <is>
          <t>TN21AF1040</t>
        </is>
      </c>
      <c r="E1548" s="20" t="inlineStr">
        <is>
          <t>HYUNDAI</t>
        </is>
      </c>
      <c r="F1548" s="20" t="inlineStr">
        <is>
          <t>Santro</t>
        </is>
      </c>
      <c r="G1548" s="21" t="n">
        <v>2010</v>
      </c>
      <c r="H1548" s="22" t="n">
        <v>108040</v>
      </c>
      <c r="I1548" s="23" t="n">
        <v>86000</v>
      </c>
      <c r="J1548" s="20" t="inlineStr">
        <is>
          <t>EXCHANGE ROTN</t>
        </is>
      </c>
      <c r="K1548" s="20" t="inlineStr">
        <is>
          <t>Captive</t>
        </is>
      </c>
      <c r="L1548" s="20" t="inlineStr">
        <is>
          <t>Somasundharam cars</t>
        </is>
      </c>
      <c r="M1548" s="23" t="n">
        <v>4237.29</v>
      </c>
      <c r="N1548" s="23" t="n">
        <v>5000</v>
      </c>
      <c r="O1548" s="24">
        <f>IF(AND(ISNUMBER(M1548), ISNUMBER(I1548), I1548&gt;0), M1548/I1548, "")</f>
        <v/>
      </c>
    </row>
    <row r="1549">
      <c r="A1549" s="19" t="inlineStr">
        <is>
          <t>FY27</t>
        </is>
      </c>
      <c r="B1549" s="19" t="inlineStr">
        <is>
          <t>May</t>
        </is>
      </c>
      <c r="C1549" s="19" t="inlineStr">
        <is>
          <t>TN</t>
        </is>
      </c>
      <c r="D1549" s="20" t="inlineStr">
        <is>
          <t>TN779050</t>
        </is>
      </c>
      <c r="E1549" s="20" t="inlineStr">
        <is>
          <t>MAHINDRA</t>
        </is>
      </c>
      <c r="F1549" s="20" t="inlineStr">
        <is>
          <t>Verito</t>
        </is>
      </c>
      <c r="G1549" s="21" t="n">
        <v>2011</v>
      </c>
      <c r="H1549" s="22" t="n">
        <v>339172</v>
      </c>
      <c r="I1549" s="23" t="n">
        <v>75000</v>
      </c>
      <c r="J1549" s="20" t="inlineStr">
        <is>
          <t>EXCHANGE ROTN</t>
        </is>
      </c>
      <c r="K1549" s="20" t="inlineStr">
        <is>
          <t>Captive</t>
        </is>
      </c>
      <c r="L1549" s="20" t="inlineStr">
        <is>
          <t>Somasundharam cars</t>
        </is>
      </c>
      <c r="M1549" s="23" t="n">
        <v>4237.29</v>
      </c>
      <c r="N1549" s="23" t="n">
        <v>5000</v>
      </c>
      <c r="O1549" s="24">
        <f>IF(AND(ISNUMBER(M1549), ISNUMBER(I1549), I1549&gt;0), M1549/I1549, "")</f>
        <v/>
      </c>
    </row>
    <row r="1550">
      <c r="A1550" s="19" t="inlineStr">
        <is>
          <t>FY27</t>
        </is>
      </c>
      <c r="B1550" s="19" t="inlineStr">
        <is>
          <t>May</t>
        </is>
      </c>
      <c r="C1550" s="19" t="inlineStr">
        <is>
          <t>TN</t>
        </is>
      </c>
      <c r="D1550" s="20" t="inlineStr">
        <is>
          <t>TN54D5293</t>
        </is>
      </c>
      <c r="E1550" s="20" t="inlineStr">
        <is>
          <t>TATA</t>
        </is>
      </c>
      <c r="F1550" s="20" t="inlineStr">
        <is>
          <t>Indica</t>
        </is>
      </c>
      <c r="G1550" s="21" t="n">
        <v>2011</v>
      </c>
      <c r="H1550" s="22" t="n">
        <v>95687</v>
      </c>
      <c r="I1550" s="23" t="n">
        <v>45000</v>
      </c>
      <c r="J1550" s="20" t="inlineStr">
        <is>
          <t>EXCHANGE ROTN</t>
        </is>
      </c>
      <c r="K1550" s="20" t="inlineStr">
        <is>
          <t>Captive</t>
        </is>
      </c>
      <c r="L1550" s="20" t="inlineStr">
        <is>
          <t>Somasundharam cars</t>
        </is>
      </c>
      <c r="M1550" s="23" t="n">
        <v>4237.29</v>
      </c>
      <c r="N1550" s="23" t="n">
        <v>5000</v>
      </c>
      <c r="O1550" s="24">
        <f>IF(AND(ISNUMBER(M1550), ISNUMBER(I1550), I1550&gt;0), M1550/I1550, "")</f>
        <v/>
      </c>
    </row>
    <row r="1551">
      <c r="A1551" s="19" t="inlineStr">
        <is>
          <t>FY27</t>
        </is>
      </c>
      <c r="B1551" s="19" t="inlineStr">
        <is>
          <t>May</t>
        </is>
      </c>
      <c r="C1551" s="19" t="inlineStr">
        <is>
          <t>TN</t>
        </is>
      </c>
      <c r="D1551" s="20" t="inlineStr">
        <is>
          <t>TN02BW0094</t>
        </is>
      </c>
      <c r="E1551" s="20" t="inlineStr">
        <is>
          <t>HYUNDAI</t>
        </is>
      </c>
      <c r="F1551" s="20" t="inlineStr">
        <is>
          <t>I10</t>
        </is>
      </c>
      <c r="G1551" s="21" t="n">
        <v>2022</v>
      </c>
      <c r="H1551" s="22" t="n">
        <v>27189</v>
      </c>
      <c r="I1551" s="23" t="n">
        <v>505000</v>
      </c>
      <c r="J1551" s="20" t="inlineStr">
        <is>
          <t>EXCHANGE CHENNAI</t>
        </is>
      </c>
      <c r="K1551" s="20" t="inlineStr">
        <is>
          <t>Captive</t>
        </is>
      </c>
      <c r="L1551" s="20" t="inlineStr">
        <is>
          <t>Santhosh Cars</t>
        </is>
      </c>
      <c r="M1551" s="23" t="n">
        <v>8474.58</v>
      </c>
      <c r="N1551" s="23" t="n">
        <v>10000</v>
      </c>
      <c r="O1551" s="24">
        <f>IF(AND(ISNUMBER(M1551), ISNUMBER(I1551), I1551&gt;0), M1551/I1551, "")</f>
        <v/>
      </c>
    </row>
    <row r="1552">
      <c r="A1552" s="19" t="inlineStr">
        <is>
          <t>FY27</t>
        </is>
      </c>
      <c r="B1552" s="19" t="inlineStr">
        <is>
          <t>May</t>
        </is>
      </c>
      <c r="C1552" s="19" t="inlineStr">
        <is>
          <t>TN</t>
        </is>
      </c>
      <c r="D1552" s="20" t="inlineStr">
        <is>
          <t>TN09CW1374</t>
        </is>
      </c>
      <c r="E1552" s="20" t="inlineStr">
        <is>
          <t>HONDA</t>
        </is>
      </c>
      <c r="F1552" s="20" t="inlineStr">
        <is>
          <t>Amaze</t>
        </is>
      </c>
      <c r="G1552" s="21" t="n">
        <v>2020</v>
      </c>
      <c r="H1552" s="22" t="n">
        <v>19733</v>
      </c>
      <c r="I1552" s="23" t="n">
        <v>485000</v>
      </c>
      <c r="J1552" s="20" t="inlineStr">
        <is>
          <t>EXCHANGE CHENNAI</t>
        </is>
      </c>
      <c r="K1552" s="20" t="inlineStr">
        <is>
          <t>Captive</t>
        </is>
      </c>
      <c r="L1552" s="20" t="inlineStr">
        <is>
          <t>Varadhrajan cars</t>
        </is>
      </c>
      <c r="M1552" s="23" t="n">
        <v>8474.58</v>
      </c>
      <c r="N1552" s="23" t="n">
        <v>10000</v>
      </c>
      <c r="O1552" s="24">
        <f>IF(AND(ISNUMBER(M1552), ISNUMBER(I1552), I1552&gt;0), M1552/I1552, "")</f>
        <v/>
      </c>
    </row>
    <row r="1553">
      <c r="A1553" s="19" t="inlineStr">
        <is>
          <t>FY27</t>
        </is>
      </c>
      <c r="B1553" s="19" t="inlineStr">
        <is>
          <t>May</t>
        </is>
      </c>
      <c r="C1553" s="19" t="inlineStr">
        <is>
          <t>TN</t>
        </is>
      </c>
      <c r="D1553" s="20" t="inlineStr">
        <is>
          <t>TN02BF0279</t>
        </is>
      </c>
      <c r="E1553" s="20" t="inlineStr">
        <is>
          <t>MARUTI SUZUKI</t>
        </is>
      </c>
      <c r="F1553" s="20" t="inlineStr">
        <is>
          <t>Alto K10</t>
        </is>
      </c>
      <c r="G1553" s="21" t="n">
        <v>2015</v>
      </c>
      <c r="H1553" s="22" t="n">
        <v>28796</v>
      </c>
      <c r="I1553" s="23" t="n">
        <v>86000</v>
      </c>
      <c r="J1553" s="20" t="inlineStr">
        <is>
          <t>Khivraj Motor</t>
        </is>
      </c>
      <c r="K1553" s="20" t="inlineStr">
        <is>
          <t>Non-Captive</t>
        </is>
      </c>
      <c r="L1553" s="20" t="inlineStr">
        <is>
          <t>Varadhrajan cars</t>
        </is>
      </c>
      <c r="M1553" s="23" t="n">
        <v>4237.29</v>
      </c>
      <c r="N1553" s="23" t="n">
        <v>5000</v>
      </c>
      <c r="O1553" s="24">
        <f>IF(AND(ISNUMBER(M1553), ISNUMBER(I1553), I1553&gt;0), M1553/I1553, "")</f>
        <v/>
      </c>
    </row>
    <row r="1554">
      <c r="A1554" s="19" t="inlineStr">
        <is>
          <t>FY26</t>
        </is>
      </c>
      <c r="B1554" s="19" t="inlineStr">
        <is>
          <t>Jan</t>
        </is>
      </c>
      <c r="C1554" s="19" t="inlineStr">
        <is>
          <t>Kerala</t>
        </is>
      </c>
      <c r="D1554" s="20" t="inlineStr">
        <is>
          <t>KL76C2174</t>
        </is>
      </c>
      <c r="E1554" s="20" t="inlineStr">
        <is>
          <t>HYUNDAI</t>
        </is>
      </c>
      <c r="F1554" s="20" t="inlineStr">
        <is>
          <t>I10</t>
        </is>
      </c>
      <c r="G1554" s="21" t="n"/>
      <c r="H1554" s="22" t="n">
        <v>40000</v>
      </c>
      <c r="I1554" s="23" t="n">
        <v>410000</v>
      </c>
      <c r="J1554" s="20" t="inlineStr">
        <is>
          <t>DILEEP MG</t>
        </is>
      </c>
      <c r="K1554" s="20" t="inlineStr">
        <is>
          <t>Non-Captive</t>
        </is>
      </c>
      <c r="L1554" s="20" t="inlineStr">
        <is>
          <t>DKH KIA</t>
        </is>
      </c>
      <c r="M1554" s="23" t="n">
        <v>8474.58</v>
      </c>
      <c r="N1554" s="23" t="n">
        <v>10000</v>
      </c>
      <c r="O1554" s="24">
        <f>IF(AND(ISNUMBER(M1554), ISNUMBER(I1554), I1554&gt;0), M1554/I1554, "")</f>
        <v/>
      </c>
    </row>
    <row r="1555">
      <c r="A1555" s="19" t="inlineStr">
        <is>
          <t>FY26</t>
        </is>
      </c>
      <c r="B1555" s="19" t="inlineStr">
        <is>
          <t>Jan</t>
        </is>
      </c>
      <c r="C1555" s="19" t="inlineStr">
        <is>
          <t>Kerala</t>
        </is>
      </c>
      <c r="D1555" s="20" t="inlineStr">
        <is>
          <t>KL16R9979</t>
        </is>
      </c>
      <c r="E1555" s="20" t="inlineStr">
        <is>
          <t>MARUTI SUZUKI</t>
        </is>
      </c>
      <c r="F1555" s="20" t="inlineStr">
        <is>
          <t>Alto</t>
        </is>
      </c>
      <c r="G1555" s="21" t="n"/>
      <c r="H1555" s="22" t="n">
        <v>65880</v>
      </c>
      <c r="I1555" s="23" t="n">
        <v>170000</v>
      </c>
      <c r="J1555" s="20" t="inlineStr">
        <is>
          <t>LUXON TATA</t>
        </is>
      </c>
      <c r="K1555" s="20" t="inlineStr">
        <is>
          <t>Non-Captive</t>
        </is>
      </c>
      <c r="L1555" s="20" t="inlineStr">
        <is>
          <t>SHAMNAD</t>
        </is>
      </c>
      <c r="M1555" s="23" t="n">
        <v>5932.2</v>
      </c>
      <c r="N1555" s="23" t="n">
        <v>7000</v>
      </c>
      <c r="O1555" s="24">
        <f>IF(AND(ISNUMBER(M1555), ISNUMBER(I1555), I1555&gt;0), M1555/I1555, "")</f>
        <v/>
      </c>
    </row>
    <row r="1556">
      <c r="A1556" s="19" t="inlineStr">
        <is>
          <t>FY26</t>
        </is>
      </c>
      <c r="B1556" s="19" t="inlineStr">
        <is>
          <t>Jan</t>
        </is>
      </c>
      <c r="C1556" s="19" t="inlineStr">
        <is>
          <t>Kerala</t>
        </is>
      </c>
      <c r="D1556" s="20" t="inlineStr">
        <is>
          <t>KL16Y3740</t>
        </is>
      </c>
      <c r="E1556" s="20" t="inlineStr">
        <is>
          <t>FORD</t>
        </is>
      </c>
      <c r="F1556" s="20" t="inlineStr">
        <is>
          <t>Ecosport</t>
        </is>
      </c>
      <c r="G1556" s="21" t="n"/>
      <c r="H1556" s="22" t="n">
        <v>81200</v>
      </c>
      <c r="I1556" s="23" t="n">
        <v>620000</v>
      </c>
      <c r="J1556" s="20" t="inlineStr">
        <is>
          <t>FORTUNE MG</t>
        </is>
      </c>
      <c r="K1556" s="20" t="inlineStr">
        <is>
          <t>Non-Captive</t>
        </is>
      </c>
      <c r="L1556" s="20" t="inlineStr">
        <is>
          <t>RAHUL</t>
        </is>
      </c>
      <c r="M1556" s="23" t="n">
        <v>8474.58</v>
      </c>
      <c r="N1556" s="23" t="n">
        <v>10000</v>
      </c>
      <c r="O1556" s="24">
        <f>IF(AND(ISNUMBER(M1556), ISNUMBER(I1556), I1556&gt;0), M1556/I1556, "")</f>
        <v/>
      </c>
    </row>
    <row r="1557">
      <c r="A1557" s="19" t="inlineStr">
        <is>
          <t>FY26</t>
        </is>
      </c>
      <c r="B1557" s="19" t="inlineStr">
        <is>
          <t>Jan</t>
        </is>
      </c>
      <c r="C1557" s="19" t="inlineStr">
        <is>
          <t>Kerala</t>
        </is>
      </c>
      <c r="D1557" s="20" t="inlineStr">
        <is>
          <t>KL04AM3848</t>
        </is>
      </c>
      <c r="E1557" s="20" t="inlineStr">
        <is>
          <t>MARUTI SUZUKI</t>
        </is>
      </c>
      <c r="F1557" s="20" t="inlineStr">
        <is>
          <t>Wagon R</t>
        </is>
      </c>
      <c r="G1557" s="21" t="n"/>
      <c r="H1557" s="22" t="n">
        <v>24166</v>
      </c>
      <c r="I1557" s="23" t="n">
        <v>345000</v>
      </c>
      <c r="J1557" s="20" t="inlineStr">
        <is>
          <t>POPULAR HYUNDAI</t>
        </is>
      </c>
      <c r="K1557" s="20" t="inlineStr">
        <is>
          <t>Non-Captive</t>
        </is>
      </c>
      <c r="L1557" s="20" t="inlineStr">
        <is>
          <t>NIZAR A U</t>
        </is>
      </c>
      <c r="M1557" s="23" t="n">
        <v>8474.58</v>
      </c>
      <c r="N1557" s="23" t="n">
        <v>10000</v>
      </c>
      <c r="O1557" s="24">
        <f>IF(AND(ISNUMBER(M1557), ISNUMBER(I1557), I1557&gt;0), M1557/I1557, "")</f>
        <v/>
      </c>
    </row>
    <row r="1558">
      <c r="A1558" s="19" t="inlineStr">
        <is>
          <t>FY26</t>
        </is>
      </c>
      <c r="B1558" s="19" t="inlineStr">
        <is>
          <t>Jan</t>
        </is>
      </c>
      <c r="C1558" s="19" t="inlineStr">
        <is>
          <t>Kerala</t>
        </is>
      </c>
      <c r="D1558" s="20" t="inlineStr">
        <is>
          <t>KL11BE7740</t>
        </is>
      </c>
      <c r="E1558" s="20" t="inlineStr">
        <is>
          <t>RENAULT</t>
        </is>
      </c>
      <c r="F1558" s="20" t="inlineStr">
        <is>
          <t>Kwid</t>
        </is>
      </c>
      <c r="G1558" s="21" t="n"/>
      <c r="H1558" s="22" t="n">
        <v>47969</v>
      </c>
      <c r="I1558" s="23" t="n">
        <v>150000</v>
      </c>
      <c r="J1558" s="20" t="inlineStr">
        <is>
          <t>SAI MARUTI</t>
        </is>
      </c>
      <c r="K1558" s="20" t="inlineStr">
        <is>
          <t>Non-Captive</t>
        </is>
      </c>
      <c r="L1558" s="20" t="inlineStr">
        <is>
          <t>ALTHAF</t>
        </is>
      </c>
      <c r="M1558" s="23" t="n">
        <v>5932.2</v>
      </c>
      <c r="N1558" s="23" t="n">
        <v>7000</v>
      </c>
      <c r="O1558" s="24">
        <f>IF(AND(ISNUMBER(M1558), ISNUMBER(I1558), I1558&gt;0), M1558/I1558, "")</f>
        <v/>
      </c>
    </row>
    <row r="1559">
      <c r="A1559" s="19" t="inlineStr">
        <is>
          <t>FY26</t>
        </is>
      </c>
      <c r="B1559" s="19" t="inlineStr">
        <is>
          <t>Jan</t>
        </is>
      </c>
      <c r="C1559" s="19" t="inlineStr">
        <is>
          <t>Kerala</t>
        </is>
      </c>
      <c r="D1559" s="20" t="inlineStr">
        <is>
          <t>KL11BK6305</t>
        </is>
      </c>
      <c r="E1559" s="20" t="inlineStr">
        <is>
          <t>MARUTI SUZUKI</t>
        </is>
      </c>
      <c r="F1559" s="20" t="inlineStr">
        <is>
          <t>Baleno</t>
        </is>
      </c>
      <c r="G1559" s="21" t="n"/>
      <c r="H1559" s="22" t="n">
        <v>61000</v>
      </c>
      <c r="I1559" s="23" t="n">
        <v>550000</v>
      </c>
      <c r="J1559" s="20" t="inlineStr">
        <is>
          <t>VASIL</t>
        </is>
      </c>
      <c r="K1559" s="20" t="inlineStr">
        <is>
          <t>Non-Captive</t>
        </is>
      </c>
      <c r="L1559" s="20" t="inlineStr">
        <is>
          <t>MARVEL</t>
        </is>
      </c>
      <c r="M1559" s="23" t="n">
        <v>6779.66</v>
      </c>
      <c r="N1559" s="23" t="n">
        <v>8000</v>
      </c>
      <c r="O1559" s="24">
        <f>IF(AND(ISNUMBER(M1559), ISNUMBER(I1559), I1559&gt;0), M1559/I1559, "")</f>
        <v/>
      </c>
    </row>
    <row r="1560">
      <c r="A1560" s="19" t="inlineStr">
        <is>
          <t>FY26</t>
        </is>
      </c>
      <c r="B1560" s="19" t="inlineStr">
        <is>
          <t>Jan</t>
        </is>
      </c>
      <c r="C1560" s="19" t="inlineStr">
        <is>
          <t>Kerala</t>
        </is>
      </c>
      <c r="D1560" s="20" t="inlineStr">
        <is>
          <t>KL51K4180</t>
        </is>
      </c>
      <c r="E1560" s="20" t="inlineStr">
        <is>
          <t>HYUNDAI</t>
        </is>
      </c>
      <c r="F1560" s="20" t="inlineStr">
        <is>
          <t>Eon</t>
        </is>
      </c>
      <c r="G1560" s="21" t="n"/>
      <c r="H1560" s="22" t="n">
        <v>42000</v>
      </c>
      <c r="I1560" s="23" t="n">
        <v>165000</v>
      </c>
      <c r="J1560" s="20" t="inlineStr">
        <is>
          <t>ATHUL</t>
        </is>
      </c>
      <c r="K1560" s="20" t="inlineStr">
        <is>
          <t>Non-Captive</t>
        </is>
      </c>
      <c r="L1560" s="20" t="inlineStr">
        <is>
          <t>BIMAL</t>
        </is>
      </c>
      <c r="M1560" s="23" t="n">
        <v>5932.2</v>
      </c>
      <c r="N1560" s="23" t="n">
        <v>7000</v>
      </c>
      <c r="O1560" s="24">
        <f>IF(AND(ISNUMBER(M1560), ISNUMBER(I1560), I1560&gt;0), M1560/I1560, "")</f>
        <v/>
      </c>
    </row>
    <row r="1561">
      <c r="A1561" s="19" t="inlineStr">
        <is>
          <t>FY26</t>
        </is>
      </c>
      <c r="B1561" s="19" t="inlineStr">
        <is>
          <t>Jan</t>
        </is>
      </c>
      <c r="C1561" s="19" t="inlineStr">
        <is>
          <t>Kerala</t>
        </is>
      </c>
      <c r="D1561" s="20" t="inlineStr">
        <is>
          <t>KL11BF4251</t>
        </is>
      </c>
      <c r="E1561" s="20" t="inlineStr">
        <is>
          <t>DATSUN</t>
        </is>
      </c>
      <c r="F1561" s="20" t="inlineStr">
        <is>
          <t>Redi-Go</t>
        </is>
      </c>
      <c r="G1561" s="21" t="n"/>
      <c r="H1561" s="22" t="n">
        <v>97000</v>
      </c>
      <c r="I1561" s="23" t="n">
        <v>110000</v>
      </c>
      <c r="J1561" s="20" t="inlineStr">
        <is>
          <t>NIDHI S K</t>
        </is>
      </c>
      <c r="K1561" s="20" t="inlineStr">
        <is>
          <t>Non-Captive</t>
        </is>
      </c>
      <c r="L1561" s="20" t="inlineStr">
        <is>
          <t>BIMAL</t>
        </is>
      </c>
      <c r="M1561" s="23" t="n">
        <v>8474.58</v>
      </c>
      <c r="N1561" s="23" t="n">
        <v>10000</v>
      </c>
      <c r="O1561" s="24">
        <f>IF(AND(ISNUMBER(M1561), ISNUMBER(I1561), I1561&gt;0), M1561/I1561, "")</f>
        <v/>
      </c>
    </row>
    <row r="1562">
      <c r="A1562" s="19" t="inlineStr">
        <is>
          <t>FY26</t>
        </is>
      </c>
      <c r="B1562" s="19" t="inlineStr">
        <is>
          <t>Jan</t>
        </is>
      </c>
      <c r="C1562" s="19" t="inlineStr">
        <is>
          <t>Kerala</t>
        </is>
      </c>
      <c r="D1562" s="20" t="inlineStr">
        <is>
          <t>KL35L5321</t>
        </is>
      </c>
      <c r="E1562" s="20" t="inlineStr">
        <is>
          <t>HONDA</t>
        </is>
      </c>
      <c r="F1562" s="20" t="inlineStr">
        <is>
          <t>City</t>
        </is>
      </c>
      <c r="G1562" s="21" t="n"/>
      <c r="H1562" s="22" t="n">
        <v>170734</v>
      </c>
      <c r="I1562" s="23" t="n">
        <v>130000</v>
      </c>
      <c r="J1562" s="20" t="inlineStr">
        <is>
          <t>POPULAR MARUTI</t>
        </is>
      </c>
      <c r="K1562" s="20" t="inlineStr">
        <is>
          <t>Non-Captive</t>
        </is>
      </c>
      <c r="L1562" s="20" t="inlineStr">
        <is>
          <t>RAFEEK T A</t>
        </is>
      </c>
      <c r="M1562" s="23" t="n">
        <v>5932.2</v>
      </c>
      <c r="N1562" s="23" t="n">
        <v>7000</v>
      </c>
      <c r="O1562" s="24">
        <f>IF(AND(ISNUMBER(M1562), ISNUMBER(I1562), I1562&gt;0), M1562/I1562, "")</f>
        <v/>
      </c>
    </row>
    <row r="1563">
      <c r="A1563" s="19" t="inlineStr">
        <is>
          <t>FY26</t>
        </is>
      </c>
      <c r="B1563" s="19" t="inlineStr">
        <is>
          <t>Jan</t>
        </is>
      </c>
      <c r="C1563" s="19" t="inlineStr">
        <is>
          <t>Kerala</t>
        </is>
      </c>
      <c r="D1563" s="20" t="inlineStr">
        <is>
          <t>KL321415</t>
        </is>
      </c>
      <c r="E1563" s="20" t="inlineStr">
        <is>
          <t>MARUTI SUZUKI</t>
        </is>
      </c>
      <c r="F1563" s="20" t="inlineStr">
        <is>
          <t>Alto</t>
        </is>
      </c>
      <c r="G1563" s="21" t="n"/>
      <c r="H1563" s="22" t="n">
        <v>73000</v>
      </c>
      <c r="I1563" s="23" t="n">
        <v>23000</v>
      </c>
      <c r="J1563" s="20" t="inlineStr">
        <is>
          <t>EVM CITROEN</t>
        </is>
      </c>
      <c r="K1563" s="20" t="inlineStr">
        <is>
          <t>Non-Captive</t>
        </is>
      </c>
      <c r="L1563" s="20" t="inlineStr">
        <is>
          <t>ASHRAF T A</t>
        </is>
      </c>
      <c r="M1563" s="23" t="n">
        <v>6779.66</v>
      </c>
      <c r="N1563" s="23" t="n">
        <v>8000</v>
      </c>
      <c r="O1563" s="24">
        <f>IF(AND(ISNUMBER(M1563), ISNUMBER(I1563), I1563&gt;0), M1563/I1563, "")</f>
        <v/>
      </c>
    </row>
    <row r="1564">
      <c r="A1564" s="19" t="inlineStr">
        <is>
          <t>FY26</t>
        </is>
      </c>
      <c r="B1564" s="19" t="inlineStr">
        <is>
          <t>Jan</t>
        </is>
      </c>
      <c r="C1564" s="19" t="inlineStr">
        <is>
          <t>Kerala</t>
        </is>
      </c>
      <c r="D1564" s="20" t="inlineStr">
        <is>
          <t>KL18G2110</t>
        </is>
      </c>
      <c r="E1564" s="20" t="inlineStr">
        <is>
          <t>MARUTI SUZUKI</t>
        </is>
      </c>
      <c r="F1564" s="20" t="inlineStr">
        <is>
          <t>Alto</t>
        </is>
      </c>
      <c r="G1564" s="21" t="n"/>
      <c r="H1564" s="22" t="n">
        <v>96081</v>
      </c>
      <c r="I1564" s="23" t="n">
        <v>24000</v>
      </c>
      <c r="J1564" s="20" t="inlineStr">
        <is>
          <t>POPULAR MARUTI</t>
        </is>
      </c>
      <c r="K1564" s="20" t="inlineStr">
        <is>
          <t>Non-Captive</t>
        </is>
      </c>
      <c r="L1564" s="20" t="inlineStr">
        <is>
          <t>VTJ</t>
        </is>
      </c>
      <c r="M1564" s="23" t="n">
        <v>6779.66</v>
      </c>
      <c r="N1564" s="23" t="n">
        <v>8000</v>
      </c>
      <c r="O1564" s="24">
        <f>IF(AND(ISNUMBER(M1564), ISNUMBER(I1564), I1564&gt;0), M1564/I1564, "")</f>
        <v/>
      </c>
    </row>
    <row r="1565">
      <c r="A1565" s="19" t="inlineStr">
        <is>
          <t>FY26</t>
        </is>
      </c>
      <c r="B1565" s="19" t="inlineStr">
        <is>
          <t>Jan</t>
        </is>
      </c>
      <c r="C1565" s="19" t="inlineStr">
        <is>
          <t>Kerala</t>
        </is>
      </c>
      <c r="D1565" s="20" t="inlineStr">
        <is>
          <t>KL01BB7667</t>
        </is>
      </c>
      <c r="E1565" s="20" t="inlineStr">
        <is>
          <t>HYUNDAI</t>
        </is>
      </c>
      <c r="F1565" s="20" t="inlineStr">
        <is>
          <t>I10</t>
        </is>
      </c>
      <c r="G1565" s="21" t="n"/>
      <c r="H1565" s="22" t="n">
        <v>109471</v>
      </c>
      <c r="I1565" s="23" t="n">
        <v>82000</v>
      </c>
      <c r="J1565" s="20" t="inlineStr">
        <is>
          <t>POPULAR HYUNDAI</t>
        </is>
      </c>
      <c r="K1565" s="20" t="inlineStr">
        <is>
          <t>Non-Captive</t>
        </is>
      </c>
      <c r="L1565" s="20" t="inlineStr">
        <is>
          <t>DINESH P S</t>
        </is>
      </c>
      <c r="M1565" s="23" t="n">
        <v>6779.66</v>
      </c>
      <c r="N1565" s="23" t="n">
        <v>8000</v>
      </c>
      <c r="O1565" s="24">
        <f>IF(AND(ISNUMBER(M1565), ISNUMBER(I1565), I1565&gt;0), M1565/I1565, "")</f>
        <v/>
      </c>
    </row>
    <row r="1566">
      <c r="A1566" s="19" t="inlineStr">
        <is>
          <t>FY26</t>
        </is>
      </c>
      <c r="B1566" s="19" t="inlineStr">
        <is>
          <t>Jan</t>
        </is>
      </c>
      <c r="C1566" s="19" t="inlineStr">
        <is>
          <t>Kerala</t>
        </is>
      </c>
      <c r="D1566" s="20" t="inlineStr">
        <is>
          <t>KL05F5765</t>
        </is>
      </c>
      <c r="E1566" s="20" t="inlineStr">
        <is>
          <t>MARUTI SUZUKI</t>
        </is>
      </c>
      <c r="F1566" s="20" t="inlineStr">
        <is>
          <t>Alto</t>
        </is>
      </c>
      <c r="G1566" s="21" t="n"/>
      <c r="H1566" s="22" t="n">
        <v>97480</v>
      </c>
      <c r="I1566" s="23" t="n">
        <v>15000</v>
      </c>
      <c r="J1566" s="20" t="inlineStr">
        <is>
          <t>MUHAMMED SHAJI</t>
        </is>
      </c>
      <c r="K1566" s="20" t="inlineStr">
        <is>
          <t>Non-Captive</t>
        </is>
      </c>
      <c r="L1566" s="20" t="inlineStr">
        <is>
          <t>DREAM DRIVE</t>
        </is>
      </c>
      <c r="M1566" s="23" t="n">
        <v>4237.29</v>
      </c>
      <c r="N1566" s="23" t="n">
        <v>5000</v>
      </c>
      <c r="O1566" s="24">
        <f>IF(AND(ISNUMBER(M1566), ISNUMBER(I1566), I1566&gt;0), M1566/I1566, "")</f>
        <v/>
      </c>
    </row>
    <row r="1567">
      <c r="A1567" s="19" t="inlineStr">
        <is>
          <t>FY26</t>
        </is>
      </c>
      <c r="B1567" s="19" t="inlineStr">
        <is>
          <t>Jan</t>
        </is>
      </c>
      <c r="C1567" s="19" t="inlineStr">
        <is>
          <t>Kerala</t>
        </is>
      </c>
      <c r="D1567" s="20" t="inlineStr">
        <is>
          <t>KL27K7747</t>
        </is>
      </c>
      <c r="E1567" s="20" t="inlineStr">
        <is>
          <t>RENAULT</t>
        </is>
      </c>
      <c r="F1567" s="20" t="inlineStr">
        <is>
          <t>Kiger</t>
        </is>
      </c>
      <c r="G1567" s="21" t="n"/>
      <c r="H1567" s="22" t="n">
        <v>49500</v>
      </c>
      <c r="I1567" s="23" t="n">
        <v>505000</v>
      </c>
      <c r="J1567" s="20" t="inlineStr">
        <is>
          <t>MUTHOOT HONDA</t>
        </is>
      </c>
      <c r="K1567" s="20" t="inlineStr">
        <is>
          <t>Non-Captive</t>
        </is>
      </c>
      <c r="L1567" s="20" t="inlineStr">
        <is>
          <t>MAXX MOTORS</t>
        </is>
      </c>
      <c r="M1567" s="23" t="n">
        <v>8474.58</v>
      </c>
      <c r="N1567" s="23" t="n">
        <v>10000</v>
      </c>
      <c r="O1567" s="24">
        <f>IF(AND(ISNUMBER(M1567), ISNUMBER(I1567), I1567&gt;0), M1567/I1567, "")</f>
        <v/>
      </c>
    </row>
    <row r="1568">
      <c r="A1568" s="19" t="inlineStr">
        <is>
          <t>FY26</t>
        </is>
      </c>
      <c r="B1568" s="19" t="inlineStr">
        <is>
          <t>Jan</t>
        </is>
      </c>
      <c r="C1568" s="19" t="inlineStr">
        <is>
          <t>Kerala</t>
        </is>
      </c>
      <c r="D1568" s="20" t="inlineStr">
        <is>
          <t>KL01BE2793</t>
        </is>
      </c>
      <c r="E1568" s="20" t="inlineStr">
        <is>
          <t>MARUTI SUZUKI</t>
        </is>
      </c>
      <c r="F1568" s="20" t="inlineStr">
        <is>
          <t>Omni</t>
        </is>
      </c>
      <c r="G1568" s="21" t="n"/>
      <c r="H1568" s="22" t="n">
        <v>75000</v>
      </c>
      <c r="I1568" s="23" t="n">
        <v>55000</v>
      </c>
      <c r="J1568" s="20" t="inlineStr">
        <is>
          <t>POPULAR MARUTI</t>
        </is>
      </c>
      <c r="K1568" s="20" t="inlineStr">
        <is>
          <t>Non-Captive</t>
        </is>
      </c>
      <c r="L1568" s="20" t="inlineStr">
        <is>
          <t>SATHOSH</t>
        </is>
      </c>
      <c r="M1568" s="23" t="n">
        <v>5932.2</v>
      </c>
      <c r="N1568" s="23" t="n">
        <v>7000</v>
      </c>
      <c r="O1568" s="24">
        <f>IF(AND(ISNUMBER(M1568), ISNUMBER(I1568), I1568&gt;0), M1568/I1568, "")</f>
        <v/>
      </c>
    </row>
    <row r="1569">
      <c r="A1569" s="19" t="inlineStr">
        <is>
          <t>FY26</t>
        </is>
      </c>
      <c r="B1569" s="19" t="inlineStr">
        <is>
          <t>Jan</t>
        </is>
      </c>
      <c r="C1569" s="19" t="inlineStr">
        <is>
          <t>Kerala</t>
        </is>
      </c>
      <c r="D1569" s="20" t="inlineStr">
        <is>
          <t>KL01BB4909</t>
        </is>
      </c>
      <c r="E1569" s="20" t="inlineStr">
        <is>
          <t>MARUTI SUZUKI</t>
        </is>
      </c>
      <c r="F1569" s="20" t="inlineStr">
        <is>
          <t>Alto</t>
        </is>
      </c>
      <c r="G1569" s="21" t="n"/>
      <c r="H1569" s="22" t="n">
        <v>85000</v>
      </c>
      <c r="I1569" s="23" t="n">
        <v>70000</v>
      </c>
      <c r="J1569" s="20" t="inlineStr">
        <is>
          <t>POPULAR MARUTI</t>
        </is>
      </c>
      <c r="K1569" s="20" t="inlineStr">
        <is>
          <t>Non-Captive</t>
        </is>
      </c>
      <c r="L1569" s="20" t="inlineStr">
        <is>
          <t>ARAVIND</t>
        </is>
      </c>
      <c r="M1569" s="23" t="n">
        <v>6779.66</v>
      </c>
      <c r="N1569" s="23" t="n">
        <v>8000</v>
      </c>
      <c r="O1569" s="24">
        <f>IF(AND(ISNUMBER(M1569), ISNUMBER(I1569), I1569&gt;0), M1569/I1569, "")</f>
        <v/>
      </c>
    </row>
    <row r="1570">
      <c r="A1570" s="19" t="inlineStr">
        <is>
          <t>FY26</t>
        </is>
      </c>
      <c r="B1570" s="19" t="inlineStr">
        <is>
          <t>Jan</t>
        </is>
      </c>
      <c r="C1570" s="19" t="inlineStr">
        <is>
          <t>Kerala</t>
        </is>
      </c>
      <c r="D1570" s="20" t="inlineStr">
        <is>
          <t>KL02BP1047</t>
        </is>
      </c>
      <c r="E1570" s="20" t="inlineStr">
        <is>
          <t>TATA</t>
        </is>
      </c>
      <c r="F1570" s="20" t="inlineStr">
        <is>
          <t>Tiago</t>
        </is>
      </c>
      <c r="G1570" s="21" t="n"/>
      <c r="H1570" s="22" t="n">
        <v>44534</v>
      </c>
      <c r="I1570" s="23" t="n">
        <v>390000</v>
      </c>
      <c r="J1570" s="20" t="inlineStr">
        <is>
          <t>PINNACALE NISSAN</t>
        </is>
      </c>
      <c r="K1570" s="20" t="inlineStr">
        <is>
          <t>Non-Captive</t>
        </is>
      </c>
      <c r="L1570" s="20" t="inlineStr">
        <is>
          <t>SHAHAR</t>
        </is>
      </c>
      <c r="M1570" s="23" t="n">
        <v>6355.93</v>
      </c>
      <c r="N1570" s="23" t="n">
        <v>7500</v>
      </c>
      <c r="O1570" s="24">
        <f>IF(AND(ISNUMBER(M1570), ISNUMBER(I1570), I1570&gt;0), M1570/I1570, "")</f>
        <v/>
      </c>
    </row>
    <row r="1571">
      <c r="A1571" s="19" t="inlineStr">
        <is>
          <t>FY26</t>
        </is>
      </c>
      <c r="B1571" s="19" t="inlineStr">
        <is>
          <t>Jan</t>
        </is>
      </c>
      <c r="C1571" s="19" t="inlineStr">
        <is>
          <t>Kerala</t>
        </is>
      </c>
      <c r="D1571" s="20" t="inlineStr">
        <is>
          <t>KL39R8584</t>
        </is>
      </c>
      <c r="E1571" s="20" t="inlineStr">
        <is>
          <t>TATA</t>
        </is>
      </c>
      <c r="F1571" s="20" t="inlineStr">
        <is>
          <t>Punch</t>
        </is>
      </c>
      <c r="G1571" s="21" t="n"/>
      <c r="H1571" s="22" t="n">
        <v>30830</v>
      </c>
      <c r="I1571" s="23" t="n">
        <v>450000</v>
      </c>
      <c r="J1571" s="20" t="inlineStr">
        <is>
          <t>GOKULAM</t>
        </is>
      </c>
      <c r="K1571" s="20" t="inlineStr">
        <is>
          <t>Non-Captive</t>
        </is>
      </c>
      <c r="L1571" s="20" t="inlineStr">
        <is>
          <t>YAHIYA</t>
        </is>
      </c>
      <c r="M1571" s="23" t="n">
        <v>8474.58</v>
      </c>
      <c r="N1571" s="23" t="n">
        <v>10000</v>
      </c>
      <c r="O1571" s="24">
        <f>IF(AND(ISNUMBER(M1571), ISNUMBER(I1571), I1571&gt;0), M1571/I1571, "")</f>
        <v/>
      </c>
    </row>
    <row r="1572">
      <c r="A1572" s="19" t="inlineStr">
        <is>
          <t>FY26</t>
        </is>
      </c>
      <c r="B1572" s="19" t="inlineStr">
        <is>
          <t>Jan</t>
        </is>
      </c>
      <c r="C1572" s="19" t="inlineStr">
        <is>
          <t>Kerala</t>
        </is>
      </c>
      <c r="D1572" s="20" t="inlineStr">
        <is>
          <t>KL31A7020</t>
        </is>
      </c>
      <c r="E1572" s="20" t="inlineStr">
        <is>
          <t>MARUTI SUZUKI</t>
        </is>
      </c>
      <c r="F1572" s="20" t="inlineStr">
        <is>
          <t>Swift</t>
        </is>
      </c>
      <c r="G1572" s="21" t="n"/>
      <c r="H1572" s="22" t="n">
        <v>165789</v>
      </c>
      <c r="I1572" s="23" t="n">
        <v>158000</v>
      </c>
      <c r="J1572" s="20" t="inlineStr">
        <is>
          <t>AMRUTH</t>
        </is>
      </c>
      <c r="K1572" s="20" t="inlineStr">
        <is>
          <t>Non-Captive</t>
        </is>
      </c>
      <c r="L1572" s="20" t="inlineStr">
        <is>
          <t>ANAS VH</t>
        </is>
      </c>
      <c r="M1572" s="23" t="n">
        <v>5932.2</v>
      </c>
      <c r="N1572" s="23" t="n">
        <v>7000</v>
      </c>
      <c r="O1572" s="24">
        <f>IF(AND(ISNUMBER(M1572), ISNUMBER(I1572), I1572&gt;0), M1572/I1572, "")</f>
        <v/>
      </c>
    </row>
    <row r="1573">
      <c r="A1573" s="19" t="inlineStr">
        <is>
          <t>FY26</t>
        </is>
      </c>
      <c r="B1573" s="19" t="inlineStr">
        <is>
          <t>Jan</t>
        </is>
      </c>
      <c r="C1573" s="19" t="inlineStr">
        <is>
          <t>Kerala</t>
        </is>
      </c>
      <c r="D1573" s="20" t="inlineStr">
        <is>
          <t>KL05Y7060</t>
        </is>
      </c>
      <c r="E1573" s="20" t="inlineStr">
        <is>
          <t>HYUNDAI</t>
        </is>
      </c>
      <c r="F1573" s="20" t="inlineStr">
        <is>
          <t>Santro</t>
        </is>
      </c>
      <c r="G1573" s="21" t="n"/>
      <c r="H1573" s="22" t="n">
        <v>48768</v>
      </c>
      <c r="I1573" s="23" t="n">
        <v>53000</v>
      </c>
      <c r="J1573" s="20" t="inlineStr">
        <is>
          <t>MUHAMMAD SHAJI</t>
        </is>
      </c>
      <c r="K1573" s="20" t="inlineStr">
        <is>
          <t>Non-Captive</t>
        </is>
      </c>
      <c r="L1573" s="20" t="inlineStr">
        <is>
          <t>TINU P SOMAN</t>
        </is>
      </c>
      <c r="M1573" s="23" t="n">
        <v>5932.2</v>
      </c>
      <c r="N1573" s="23" t="n">
        <v>7000</v>
      </c>
      <c r="O1573" s="24">
        <f>IF(AND(ISNUMBER(M1573), ISNUMBER(I1573), I1573&gt;0), M1573/I1573, "")</f>
        <v/>
      </c>
    </row>
    <row r="1574">
      <c r="A1574" s="19" t="inlineStr">
        <is>
          <t>FY26</t>
        </is>
      </c>
      <c r="B1574" s="19" t="inlineStr">
        <is>
          <t>Jan</t>
        </is>
      </c>
      <c r="C1574" s="19" t="inlineStr">
        <is>
          <t>Kerala</t>
        </is>
      </c>
      <c r="D1574" s="20" t="inlineStr">
        <is>
          <t>KL08BU5434</t>
        </is>
      </c>
      <c r="E1574" s="20" t="inlineStr">
        <is>
          <t>JEEP</t>
        </is>
      </c>
      <c r="F1574" s="20" t="inlineStr">
        <is>
          <t>Compass</t>
        </is>
      </c>
      <c r="G1574" s="21" t="n"/>
      <c r="H1574" s="22" t="n">
        <v>53655</v>
      </c>
      <c r="I1574" s="23" t="n">
        <v>1100000</v>
      </c>
      <c r="J1574" s="20" t="inlineStr">
        <is>
          <t>PHOENIX VOLKSWAGEN</t>
        </is>
      </c>
      <c r="K1574" s="20" t="inlineStr">
        <is>
          <t>Non-Captive</t>
        </is>
      </c>
      <c r="L1574" s="20" t="inlineStr">
        <is>
          <t>UMESHKUMAR T U</t>
        </is>
      </c>
      <c r="M1574" s="23" t="n">
        <v>8474.58</v>
      </c>
      <c r="N1574" s="23" t="n">
        <v>10000</v>
      </c>
      <c r="O1574" s="24">
        <f>IF(AND(ISNUMBER(M1574), ISNUMBER(I1574), I1574&gt;0), M1574/I1574, "")</f>
        <v/>
      </c>
    </row>
    <row r="1575">
      <c r="A1575" s="19" t="inlineStr">
        <is>
          <t>FY26</t>
        </is>
      </c>
      <c r="B1575" s="19" t="inlineStr">
        <is>
          <t>Jan</t>
        </is>
      </c>
      <c r="C1575" s="19" t="inlineStr">
        <is>
          <t>Kerala</t>
        </is>
      </c>
      <c r="D1575" s="20" t="inlineStr">
        <is>
          <t>KL06J3493</t>
        </is>
      </c>
      <c r="E1575" s="20" t="inlineStr">
        <is>
          <t>FORD</t>
        </is>
      </c>
      <c r="F1575" s="20" t="inlineStr">
        <is>
          <t>Ecosport</t>
        </is>
      </c>
      <c r="G1575" s="21" t="n"/>
      <c r="H1575" s="22" t="n">
        <v>66300</v>
      </c>
      <c r="I1575" s="23" t="n">
        <v>475000</v>
      </c>
      <c r="J1575" s="20" t="inlineStr">
        <is>
          <t>JANVIS MOTO CONNECT</t>
        </is>
      </c>
      <c r="K1575" s="20" t="inlineStr">
        <is>
          <t>Non-Captive</t>
        </is>
      </c>
      <c r="L1575" s="20" t="inlineStr">
        <is>
          <t>HAVEN MOTORS</t>
        </is>
      </c>
      <c r="M1575" s="23" t="n">
        <v>12711.86</v>
      </c>
      <c r="N1575" s="23" t="n">
        <v>15000</v>
      </c>
      <c r="O1575" s="24">
        <f>IF(AND(ISNUMBER(M1575), ISNUMBER(I1575), I1575&gt;0), M1575/I1575, "")</f>
        <v/>
      </c>
    </row>
    <row r="1576">
      <c r="A1576" s="19" t="inlineStr">
        <is>
          <t>FY26</t>
        </is>
      </c>
      <c r="B1576" s="19" t="inlineStr">
        <is>
          <t>Jan</t>
        </is>
      </c>
      <c r="C1576" s="19" t="inlineStr">
        <is>
          <t>Kerala</t>
        </is>
      </c>
      <c r="D1576" s="20" t="inlineStr">
        <is>
          <t>KL56A3515</t>
        </is>
      </c>
      <c r="E1576" s="20" t="inlineStr">
        <is>
          <t>MARUTI SUZUKI</t>
        </is>
      </c>
      <c r="F1576" s="20" t="inlineStr">
        <is>
          <t>Wagon R</t>
        </is>
      </c>
      <c r="G1576" s="21" t="n"/>
      <c r="H1576" s="22" t="n">
        <v>122000</v>
      </c>
      <c r="I1576" s="23" t="n">
        <v>70000</v>
      </c>
      <c r="J1576" s="20" t="inlineStr">
        <is>
          <t>SAHARUN</t>
        </is>
      </c>
      <c r="K1576" s="20" t="inlineStr">
        <is>
          <t>Non-Captive</t>
        </is>
      </c>
      <c r="L1576" s="20" t="inlineStr">
        <is>
          <t>BIMAL</t>
        </is>
      </c>
      <c r="M1576" s="23" t="n">
        <v>5084.75</v>
      </c>
      <c r="N1576" s="23" t="n">
        <v>6000</v>
      </c>
      <c r="O1576" s="24">
        <f>IF(AND(ISNUMBER(M1576), ISNUMBER(I1576), I1576&gt;0), M1576/I1576, "")</f>
        <v/>
      </c>
    </row>
    <row r="1577">
      <c r="A1577" s="19" t="inlineStr">
        <is>
          <t>FY26</t>
        </is>
      </c>
      <c r="B1577" s="19" t="inlineStr">
        <is>
          <t>Jan</t>
        </is>
      </c>
      <c r="C1577" s="19" t="inlineStr">
        <is>
          <t>Kerala</t>
        </is>
      </c>
      <c r="D1577" s="20" t="inlineStr">
        <is>
          <t>KL60U5273</t>
        </is>
      </c>
      <c r="E1577" s="20" t="inlineStr">
        <is>
          <t>MARUTI SUZUKI</t>
        </is>
      </c>
      <c r="F1577" s="20" t="inlineStr">
        <is>
          <t>Alto</t>
        </is>
      </c>
      <c r="G1577" s="21" t="n"/>
      <c r="H1577" s="22" t="n">
        <v>59000</v>
      </c>
      <c r="I1577" s="23" t="n">
        <v>302000</v>
      </c>
      <c r="J1577" s="20" t="inlineStr">
        <is>
          <t>SHAJI</t>
        </is>
      </c>
      <c r="K1577" s="20" t="inlineStr">
        <is>
          <t>Non-Captive</t>
        </is>
      </c>
      <c r="L1577" s="20" t="inlineStr">
        <is>
          <t>KVR TATA</t>
        </is>
      </c>
      <c r="M1577" s="23" t="n">
        <v>6779.66</v>
      </c>
      <c r="N1577" s="23" t="n">
        <v>8000</v>
      </c>
      <c r="O1577" s="24">
        <f>IF(AND(ISNUMBER(M1577), ISNUMBER(I1577), I1577&gt;0), M1577/I1577, "")</f>
        <v/>
      </c>
    </row>
    <row r="1578">
      <c r="A1578" s="19" t="inlineStr">
        <is>
          <t>FY26</t>
        </is>
      </c>
      <c r="B1578" s="19" t="inlineStr">
        <is>
          <t>Jan</t>
        </is>
      </c>
      <c r="C1578" s="19" t="inlineStr">
        <is>
          <t>Kerala</t>
        </is>
      </c>
      <c r="D1578" s="20" t="inlineStr">
        <is>
          <t>KL48E7545</t>
        </is>
      </c>
      <c r="E1578" s="20" t="inlineStr">
        <is>
          <t>MARUTI SUZUKI</t>
        </is>
      </c>
      <c r="F1578" s="20" t="inlineStr">
        <is>
          <t>Alto</t>
        </is>
      </c>
      <c r="G1578" s="21" t="n"/>
      <c r="H1578" s="22" t="n">
        <v>110000</v>
      </c>
      <c r="I1578" s="23" t="n">
        <v>110000</v>
      </c>
      <c r="J1578" s="20" t="inlineStr">
        <is>
          <t>RAYON</t>
        </is>
      </c>
      <c r="K1578" s="20" t="inlineStr">
        <is>
          <t>Non-Captive</t>
        </is>
      </c>
      <c r="L1578" s="20" t="inlineStr">
        <is>
          <t>KIA</t>
        </is>
      </c>
      <c r="M1578" s="23" t="n">
        <v>4237.29</v>
      </c>
      <c r="N1578" s="23" t="n">
        <v>5000</v>
      </c>
      <c r="O1578" s="24">
        <f>IF(AND(ISNUMBER(M1578), ISNUMBER(I1578), I1578&gt;0), M1578/I1578, "")</f>
        <v/>
      </c>
    </row>
    <row r="1579">
      <c r="A1579" s="19" t="inlineStr">
        <is>
          <t>FY26</t>
        </is>
      </c>
      <c r="B1579" s="19" t="inlineStr">
        <is>
          <t>Jan</t>
        </is>
      </c>
      <c r="C1579" s="19" t="inlineStr">
        <is>
          <t>Kerala</t>
        </is>
      </c>
      <c r="D1579" s="20" t="inlineStr">
        <is>
          <t>KL56R5506</t>
        </is>
      </c>
      <c r="E1579" s="20" t="inlineStr">
        <is>
          <t>MARUTI SUZUKI</t>
        </is>
      </c>
      <c r="F1579" s="20" t="inlineStr">
        <is>
          <t>Alto</t>
        </is>
      </c>
      <c r="G1579" s="21" t="n"/>
      <c r="H1579" s="22" t="n">
        <v>24000</v>
      </c>
      <c r="I1579" s="23" t="n">
        <v>200000</v>
      </c>
      <c r="J1579" s="20" t="inlineStr">
        <is>
          <t>UNAISE</t>
        </is>
      </c>
      <c r="K1579" s="20" t="inlineStr">
        <is>
          <t>Non-Captive</t>
        </is>
      </c>
      <c r="L1579" s="20" t="inlineStr">
        <is>
          <t>APCO HYUNDAI</t>
        </is>
      </c>
      <c r="M1579" s="23" t="n">
        <v>8474.58</v>
      </c>
      <c r="N1579" s="23" t="n">
        <v>10000</v>
      </c>
      <c r="O1579" s="24">
        <f>IF(AND(ISNUMBER(M1579), ISNUMBER(I1579), I1579&gt;0), M1579/I1579, "")</f>
        <v/>
      </c>
    </row>
    <row r="1580">
      <c r="A1580" s="19" t="inlineStr">
        <is>
          <t>FY26</t>
        </is>
      </c>
      <c r="B1580" s="19" t="inlineStr">
        <is>
          <t>Jan</t>
        </is>
      </c>
      <c r="C1580" s="19" t="inlineStr">
        <is>
          <t>Kerala</t>
        </is>
      </c>
      <c r="D1580" s="20" t="inlineStr">
        <is>
          <t>KL78B9921</t>
        </is>
      </c>
      <c r="E1580" s="20" t="inlineStr">
        <is>
          <t>HYUNDAI</t>
        </is>
      </c>
      <c r="F1580" s="20" t="inlineStr">
        <is>
          <t>I10</t>
        </is>
      </c>
      <c r="G1580" s="21" t="n"/>
      <c r="H1580" s="22" t="n">
        <v>46000</v>
      </c>
      <c r="I1580" s="23" t="n">
        <v>120000</v>
      </c>
      <c r="J1580" s="20" t="inlineStr">
        <is>
          <t>MOHAMMED RAFI</t>
        </is>
      </c>
      <c r="K1580" s="20" t="inlineStr">
        <is>
          <t>Non-Captive</t>
        </is>
      </c>
      <c r="L1580" s="20" t="inlineStr">
        <is>
          <t>APCO HYUNDAI</t>
        </is>
      </c>
      <c r="M1580" s="23" t="n">
        <v>8474.58</v>
      </c>
      <c r="N1580" s="23" t="n">
        <v>10000</v>
      </c>
      <c r="O1580" s="24">
        <f>IF(AND(ISNUMBER(M1580), ISNUMBER(I1580), I1580&gt;0), M1580/I1580, "")</f>
        <v/>
      </c>
    </row>
    <row r="1581">
      <c r="A1581" s="19" t="inlineStr">
        <is>
          <t>FY26</t>
        </is>
      </c>
      <c r="B1581" s="19" t="inlineStr">
        <is>
          <t>Jan</t>
        </is>
      </c>
      <c r="C1581" s="19" t="inlineStr">
        <is>
          <t>Kerala</t>
        </is>
      </c>
      <c r="D1581" s="20" t="inlineStr">
        <is>
          <t>KL58S4885</t>
        </is>
      </c>
      <c r="E1581" s="20" t="inlineStr">
        <is>
          <t>MARUTI SUZUKI</t>
        </is>
      </c>
      <c r="F1581" s="20" t="inlineStr">
        <is>
          <t>Swift</t>
        </is>
      </c>
      <c r="G1581" s="21" t="n"/>
      <c r="H1581" s="22" t="n">
        <v>42000</v>
      </c>
      <c r="I1581" s="23" t="n">
        <v>390000</v>
      </c>
      <c r="J1581" s="20" t="inlineStr">
        <is>
          <t>SARITH</t>
        </is>
      </c>
      <c r="K1581" s="20" t="inlineStr">
        <is>
          <t>Non-Captive</t>
        </is>
      </c>
      <c r="L1581" s="20" t="inlineStr">
        <is>
          <t>AMANA TOYOTA</t>
        </is>
      </c>
      <c r="M1581" s="23" t="n">
        <v>8474.58</v>
      </c>
      <c r="N1581" s="23" t="n">
        <v>10000</v>
      </c>
      <c r="O1581" s="24">
        <f>IF(AND(ISNUMBER(M1581), ISNUMBER(I1581), I1581&gt;0), M1581/I1581, "")</f>
        <v/>
      </c>
    </row>
    <row r="1582">
      <c r="A1582" s="19" t="inlineStr">
        <is>
          <t>FY26</t>
        </is>
      </c>
      <c r="B1582" s="19" t="inlineStr">
        <is>
          <t>Jan</t>
        </is>
      </c>
      <c r="C1582" s="19" t="inlineStr">
        <is>
          <t>Kerala</t>
        </is>
      </c>
      <c r="D1582" s="20" t="inlineStr">
        <is>
          <t>KL59U3388</t>
        </is>
      </c>
      <c r="E1582" s="20" t="inlineStr">
        <is>
          <t>HYUNDAI</t>
        </is>
      </c>
      <c r="F1582" s="20" t="inlineStr">
        <is>
          <t>Grand I10</t>
        </is>
      </c>
      <c r="G1582" s="21" t="n"/>
      <c r="H1582" s="22" t="n">
        <v>57000</v>
      </c>
      <c r="I1582" s="23" t="n">
        <v>355000</v>
      </c>
      <c r="J1582" s="20" t="inlineStr">
        <is>
          <t>PRAJOSH</t>
        </is>
      </c>
      <c r="K1582" s="20" t="inlineStr">
        <is>
          <t>Non-Captive</t>
        </is>
      </c>
      <c r="L1582" s="20" t="inlineStr">
        <is>
          <t>ERAM MAHINDRA</t>
        </is>
      </c>
      <c r="M1582" s="23" t="n">
        <v>4237.29</v>
      </c>
      <c r="N1582" s="23" t="n">
        <v>5000</v>
      </c>
      <c r="O1582" s="24">
        <f>IF(AND(ISNUMBER(M1582), ISNUMBER(I1582), I1582&gt;0), M1582/I1582, "")</f>
        <v/>
      </c>
    </row>
    <row r="1583">
      <c r="A1583" s="19" t="inlineStr">
        <is>
          <t>FY26</t>
        </is>
      </c>
      <c r="B1583" s="19" t="inlineStr">
        <is>
          <t>Jan</t>
        </is>
      </c>
      <c r="C1583" s="19" t="inlineStr">
        <is>
          <t>Kerala</t>
        </is>
      </c>
      <c r="D1583" s="20" t="inlineStr">
        <is>
          <t>KL02AF0369</t>
        </is>
      </c>
      <c r="E1583" s="20" t="inlineStr">
        <is>
          <t>HYUNDAI</t>
        </is>
      </c>
      <c r="F1583" s="20" t="inlineStr">
        <is>
          <t>I10</t>
        </is>
      </c>
      <c r="G1583" s="21" t="n"/>
      <c r="H1583" s="22" t="n">
        <v>55000</v>
      </c>
      <c r="I1583" s="23" t="n">
        <v>150000</v>
      </c>
      <c r="J1583" s="20" t="inlineStr">
        <is>
          <t>LUXON TATA</t>
        </is>
      </c>
      <c r="K1583" s="20" t="inlineStr">
        <is>
          <t>Non-Captive</t>
        </is>
      </c>
      <c r="L1583" s="20" t="inlineStr">
        <is>
          <t>BINIL</t>
        </is>
      </c>
      <c r="M1583" s="23" t="n">
        <v>5932.2</v>
      </c>
      <c r="N1583" s="23" t="n">
        <v>7000</v>
      </c>
      <c r="O1583" s="24">
        <f>IF(AND(ISNUMBER(M1583), ISNUMBER(I1583), I1583&gt;0), M1583/I1583, "")</f>
        <v/>
      </c>
    </row>
    <row r="1584">
      <c r="A1584" s="19" t="inlineStr">
        <is>
          <t>FY26</t>
        </is>
      </c>
      <c r="B1584" s="19" t="inlineStr">
        <is>
          <t>Jan</t>
        </is>
      </c>
      <c r="C1584" s="19" t="inlineStr">
        <is>
          <t>Kerala</t>
        </is>
      </c>
      <c r="D1584" s="20" t="inlineStr">
        <is>
          <t>KL07CD1015</t>
        </is>
      </c>
      <c r="E1584" s="20" t="inlineStr">
        <is>
          <t>FORD</t>
        </is>
      </c>
      <c r="F1584" s="20" t="inlineStr">
        <is>
          <t>Ecosport</t>
        </is>
      </c>
      <c r="G1584" s="21" t="n"/>
      <c r="H1584" s="22" t="n">
        <v>143000</v>
      </c>
      <c r="I1584" s="23" t="n">
        <v>310000</v>
      </c>
      <c r="J1584" s="20" t="inlineStr">
        <is>
          <t>POPULAR MARUTI</t>
        </is>
      </c>
      <c r="K1584" s="20" t="inlineStr">
        <is>
          <t>Non-Captive</t>
        </is>
      </c>
      <c r="L1584" s="20" t="inlineStr">
        <is>
          <t>RAFEEK T A</t>
        </is>
      </c>
      <c r="M1584" s="23" t="n">
        <v>8474.58</v>
      </c>
      <c r="N1584" s="23" t="n">
        <v>10000</v>
      </c>
      <c r="O1584" s="24">
        <f>IF(AND(ISNUMBER(M1584), ISNUMBER(I1584), I1584&gt;0), M1584/I1584, "")</f>
        <v/>
      </c>
    </row>
    <row r="1585">
      <c r="A1585" s="19" t="inlineStr">
        <is>
          <t>FY26</t>
        </is>
      </c>
      <c r="B1585" s="19" t="inlineStr">
        <is>
          <t>Jan</t>
        </is>
      </c>
      <c r="C1585" s="19" t="inlineStr">
        <is>
          <t>Kerala</t>
        </is>
      </c>
      <c r="D1585" s="20" t="inlineStr">
        <is>
          <t>KL25G3160</t>
        </is>
      </c>
      <c r="E1585" s="20" t="inlineStr">
        <is>
          <t>FORD</t>
        </is>
      </c>
      <c r="F1585" s="20" t="inlineStr">
        <is>
          <t>Ecosport</t>
        </is>
      </c>
      <c r="G1585" s="21" t="n"/>
      <c r="H1585" s="22" t="n">
        <v>107596</v>
      </c>
      <c r="I1585" s="23" t="n">
        <v>350000</v>
      </c>
      <c r="J1585" s="20" t="inlineStr">
        <is>
          <t>EVM SKODA</t>
        </is>
      </c>
      <c r="K1585" s="20" t="inlineStr">
        <is>
          <t>Non-Captive</t>
        </is>
      </c>
      <c r="L1585" s="20" t="inlineStr">
        <is>
          <t>RAFEEK T A</t>
        </is>
      </c>
      <c r="M1585" s="23" t="n">
        <v>8474.58</v>
      </c>
      <c r="N1585" s="23" t="n">
        <v>10000</v>
      </c>
      <c r="O1585" s="24">
        <f>IF(AND(ISNUMBER(M1585), ISNUMBER(I1585), I1585&gt;0), M1585/I1585, "")</f>
        <v/>
      </c>
    </row>
    <row r="1586">
      <c r="A1586" s="19" t="inlineStr">
        <is>
          <t>FY26</t>
        </is>
      </c>
      <c r="B1586" s="19" t="inlineStr">
        <is>
          <t>Jan</t>
        </is>
      </c>
      <c r="C1586" s="19" t="inlineStr">
        <is>
          <t>Kerala</t>
        </is>
      </c>
      <c r="D1586" s="20" t="inlineStr">
        <is>
          <t>KL01CQ9988</t>
        </is>
      </c>
      <c r="E1586" s="20" t="inlineStr">
        <is>
          <t>MARUTI SUZUKI</t>
        </is>
      </c>
      <c r="F1586" s="20" t="inlineStr">
        <is>
          <t>Swift Dzire</t>
        </is>
      </c>
      <c r="G1586" s="21" t="n"/>
      <c r="H1586" s="22" t="n">
        <v>37700</v>
      </c>
      <c r="I1586" s="23" t="n">
        <v>525000</v>
      </c>
      <c r="J1586" s="20" t="inlineStr">
        <is>
          <t>KAIRALI TOYOTA</t>
        </is>
      </c>
      <c r="K1586" s="20" t="inlineStr">
        <is>
          <t>Non-Captive</t>
        </is>
      </c>
      <c r="L1586" s="20" t="inlineStr">
        <is>
          <t>BINIL</t>
        </is>
      </c>
      <c r="M1586" s="23" t="n">
        <v>6779.66</v>
      </c>
      <c r="N1586" s="23" t="n">
        <v>8000</v>
      </c>
      <c r="O1586" s="24">
        <f>IF(AND(ISNUMBER(M1586), ISNUMBER(I1586), I1586&gt;0), M1586/I1586, "")</f>
        <v/>
      </c>
    </row>
    <row r="1587">
      <c r="A1587" s="19" t="inlineStr">
        <is>
          <t>FY26</t>
        </is>
      </c>
      <c r="B1587" s="19" t="inlineStr">
        <is>
          <t>Jan</t>
        </is>
      </c>
      <c r="C1587" s="19" t="inlineStr">
        <is>
          <t>Kerala</t>
        </is>
      </c>
      <c r="D1587" s="20" t="inlineStr">
        <is>
          <t>KL02AT5056</t>
        </is>
      </c>
      <c r="E1587" s="20" t="inlineStr">
        <is>
          <t>HYUNDAI</t>
        </is>
      </c>
      <c r="F1587" s="20" t="inlineStr">
        <is>
          <t>I20</t>
        </is>
      </c>
      <c r="G1587" s="21" t="n"/>
      <c r="H1587" s="22" t="n">
        <v>51665</v>
      </c>
      <c r="I1587" s="23" t="n">
        <v>343000</v>
      </c>
      <c r="J1587" s="20" t="inlineStr">
        <is>
          <t>REFERENCE</t>
        </is>
      </c>
      <c r="K1587" s="20" t="inlineStr">
        <is>
          <t>Non-Captive</t>
        </is>
      </c>
      <c r="L1587" s="20" t="inlineStr">
        <is>
          <t>SHIBU</t>
        </is>
      </c>
      <c r="M1587" s="23" t="n">
        <v>5932.2</v>
      </c>
      <c r="N1587" s="23" t="n">
        <v>7000</v>
      </c>
      <c r="O1587" s="24">
        <f>IF(AND(ISNUMBER(M1587), ISNUMBER(I1587), I1587&gt;0), M1587/I1587, "")</f>
        <v/>
      </c>
    </row>
    <row r="1588">
      <c r="A1588" s="19" t="inlineStr">
        <is>
          <t>FY26</t>
        </is>
      </c>
      <c r="B1588" s="19" t="inlineStr">
        <is>
          <t>Jan</t>
        </is>
      </c>
      <c r="C1588" s="19" t="inlineStr">
        <is>
          <t>Kerala</t>
        </is>
      </c>
      <c r="D1588" s="20" t="inlineStr">
        <is>
          <t>KL59U6402</t>
        </is>
      </c>
      <c r="E1588" s="20" t="inlineStr">
        <is>
          <t>RENAULT</t>
        </is>
      </c>
      <c r="F1588" s="20" t="inlineStr">
        <is>
          <t>Duster</t>
        </is>
      </c>
      <c r="G1588" s="21" t="n"/>
      <c r="H1588" s="22" t="n">
        <v>139000</v>
      </c>
      <c r="I1588" s="23" t="n">
        <v>520000</v>
      </c>
      <c r="J1588" s="20" t="inlineStr">
        <is>
          <t>PRAJOSH</t>
        </is>
      </c>
      <c r="K1588" s="20" t="inlineStr">
        <is>
          <t>Non-Captive</t>
        </is>
      </c>
      <c r="L1588" s="20" t="inlineStr">
        <is>
          <t>KVR MARUTHI</t>
        </is>
      </c>
      <c r="M1588" s="23" t="n">
        <v>8474.58</v>
      </c>
      <c r="N1588" s="23" t="n">
        <v>10000</v>
      </c>
      <c r="O1588" s="24">
        <f>IF(AND(ISNUMBER(M1588), ISNUMBER(I1588), I1588&gt;0), M1588/I1588, "")</f>
        <v/>
      </c>
    </row>
    <row r="1589">
      <c r="A1589" s="19" t="inlineStr">
        <is>
          <t>FY26</t>
        </is>
      </c>
      <c r="B1589" s="19" t="inlineStr">
        <is>
          <t>Jan</t>
        </is>
      </c>
      <c r="C1589" s="19" t="inlineStr">
        <is>
          <t>Kerala</t>
        </is>
      </c>
      <c r="D1589" s="20" t="inlineStr">
        <is>
          <t>KL03AC9958</t>
        </is>
      </c>
      <c r="E1589" s="20" t="inlineStr">
        <is>
          <t>FORD</t>
        </is>
      </c>
      <c r="F1589" s="20" t="inlineStr">
        <is>
          <t>Freestyle</t>
        </is>
      </c>
      <c r="G1589" s="21" t="n"/>
      <c r="H1589" s="22" t="n">
        <v>46000</v>
      </c>
      <c r="I1589" s="23" t="n">
        <v>320000</v>
      </c>
      <c r="J1589" s="20" t="inlineStr">
        <is>
          <t>LUXON TATA</t>
        </is>
      </c>
      <c r="K1589" s="20" t="inlineStr">
        <is>
          <t>Non-Captive</t>
        </is>
      </c>
      <c r="L1589" s="20" t="inlineStr">
        <is>
          <t>PRAMOD</t>
        </is>
      </c>
      <c r="M1589" s="23" t="n">
        <v>6779.66</v>
      </c>
      <c r="N1589" s="23" t="n">
        <v>8000</v>
      </c>
      <c r="O1589" s="24">
        <f>IF(AND(ISNUMBER(M1589), ISNUMBER(I1589), I1589&gt;0), M1589/I1589, "")</f>
        <v/>
      </c>
    </row>
    <row r="1590">
      <c r="A1590" s="19" t="inlineStr">
        <is>
          <t>FY26</t>
        </is>
      </c>
      <c r="B1590" s="19" t="inlineStr">
        <is>
          <t>Jan</t>
        </is>
      </c>
      <c r="C1590" s="19" t="inlineStr">
        <is>
          <t>Kerala</t>
        </is>
      </c>
      <c r="D1590" s="20" t="inlineStr">
        <is>
          <t>KL07CW9773</t>
        </is>
      </c>
      <c r="E1590" s="20" t="inlineStr">
        <is>
          <t>TATA</t>
        </is>
      </c>
      <c r="F1590" s="20" t="inlineStr">
        <is>
          <t>Harrier</t>
        </is>
      </c>
      <c r="G1590" s="21" t="n"/>
      <c r="H1590" s="22" t="n">
        <v>72000</v>
      </c>
      <c r="I1590" s="23" t="n">
        <v>890000</v>
      </c>
      <c r="J1590" s="20" t="inlineStr">
        <is>
          <t>POPULAR HYUNDAI</t>
        </is>
      </c>
      <c r="K1590" s="20" t="inlineStr">
        <is>
          <t>Non-Captive</t>
        </is>
      </c>
      <c r="L1590" s="20" t="inlineStr">
        <is>
          <t>AITOS CARS</t>
        </is>
      </c>
      <c r="M1590" s="23" t="n">
        <v>8474.58</v>
      </c>
      <c r="N1590" s="23" t="n">
        <v>10000</v>
      </c>
      <c r="O1590" s="24">
        <f>IF(AND(ISNUMBER(M1590), ISNUMBER(I1590), I1590&gt;0), M1590/I1590, "")</f>
        <v/>
      </c>
    </row>
    <row r="1591">
      <c r="A1591" s="19" t="inlineStr">
        <is>
          <t>FY26</t>
        </is>
      </c>
      <c r="B1591" s="19" t="inlineStr">
        <is>
          <t>Jan</t>
        </is>
      </c>
      <c r="C1591" s="19" t="inlineStr">
        <is>
          <t>Kerala</t>
        </is>
      </c>
      <c r="D1591" s="20" t="inlineStr">
        <is>
          <t>KL39C4264</t>
        </is>
      </c>
      <c r="E1591" s="20" t="inlineStr">
        <is>
          <t>HYUNDAI</t>
        </is>
      </c>
      <c r="F1591" s="20" t="inlineStr">
        <is>
          <t>I20</t>
        </is>
      </c>
      <c r="G1591" s="21" t="n"/>
      <c r="H1591" s="22" t="n">
        <v>90000</v>
      </c>
      <c r="I1591" s="23" t="n">
        <v>130000</v>
      </c>
      <c r="J1591" s="20" t="inlineStr">
        <is>
          <t>POPULAR HYUNDAI</t>
        </is>
      </c>
      <c r="K1591" s="20" t="inlineStr">
        <is>
          <t>Non-Captive</t>
        </is>
      </c>
      <c r="L1591" s="20" t="inlineStr">
        <is>
          <t>UMESHKUMAR T U</t>
        </is>
      </c>
      <c r="M1591" s="23" t="n">
        <v>8474.58</v>
      </c>
      <c r="N1591" s="23" t="n">
        <v>10000</v>
      </c>
      <c r="O1591" s="24">
        <f>IF(AND(ISNUMBER(M1591), ISNUMBER(I1591), I1591&gt;0), M1591/I1591, "")</f>
        <v/>
      </c>
    </row>
    <row r="1592">
      <c r="A1592" s="19" t="inlineStr">
        <is>
          <t>FY26</t>
        </is>
      </c>
      <c r="B1592" s="19" t="inlineStr">
        <is>
          <t>Jan</t>
        </is>
      </c>
      <c r="C1592" s="19" t="inlineStr">
        <is>
          <t>Kerala</t>
        </is>
      </c>
      <c r="D1592" s="20" t="inlineStr">
        <is>
          <t>KL01AX2527</t>
        </is>
      </c>
      <c r="E1592" s="20" t="inlineStr">
        <is>
          <t>HYUNDAI</t>
        </is>
      </c>
      <c r="F1592" s="20" t="inlineStr">
        <is>
          <t>I20</t>
        </is>
      </c>
      <c r="G1592" s="21" t="n"/>
      <c r="H1592" s="22" t="n">
        <v>128000</v>
      </c>
      <c r="I1592" s="23" t="n">
        <v>90000</v>
      </c>
      <c r="J1592" s="20" t="inlineStr">
        <is>
          <t>EVM SKODA</t>
        </is>
      </c>
      <c r="K1592" s="20" t="inlineStr">
        <is>
          <t>Non-Captive</t>
        </is>
      </c>
      <c r="L1592" s="20" t="inlineStr">
        <is>
          <t>G M MOTORS</t>
        </is>
      </c>
      <c r="M1592" s="23" t="n">
        <v>8474.58</v>
      </c>
      <c r="N1592" s="23" t="n">
        <v>10000</v>
      </c>
      <c r="O1592" s="24">
        <f>IF(AND(ISNUMBER(M1592), ISNUMBER(I1592), I1592&gt;0), M1592/I1592, "")</f>
        <v/>
      </c>
    </row>
    <row r="1593">
      <c r="A1593" s="19" t="inlineStr">
        <is>
          <t>FY26</t>
        </is>
      </c>
      <c r="B1593" s="19" t="inlineStr">
        <is>
          <t>Jan</t>
        </is>
      </c>
      <c r="C1593" s="19" t="inlineStr">
        <is>
          <t>Kerala</t>
        </is>
      </c>
      <c r="D1593" s="20" t="inlineStr">
        <is>
          <t>KL07BM5510</t>
        </is>
      </c>
      <c r="E1593" s="20" t="inlineStr">
        <is>
          <t>HYUNDAI</t>
        </is>
      </c>
      <c r="F1593" s="20" t="inlineStr">
        <is>
          <t>Santro</t>
        </is>
      </c>
      <c r="G1593" s="21" t="n"/>
      <c r="H1593" s="22" t="n">
        <v>64825</v>
      </c>
      <c r="I1593" s="23" t="n">
        <v>70000</v>
      </c>
      <c r="J1593" s="20" t="inlineStr">
        <is>
          <t>EVM CITROEN</t>
        </is>
      </c>
      <c r="K1593" s="20" t="inlineStr">
        <is>
          <t>Non-Captive</t>
        </is>
      </c>
      <c r="L1593" s="20" t="inlineStr">
        <is>
          <t>MANOJ</t>
        </is>
      </c>
      <c r="M1593" s="23" t="n">
        <v>6355.93</v>
      </c>
      <c r="N1593" s="23" t="n">
        <v>7500</v>
      </c>
      <c r="O1593" s="24">
        <f>IF(AND(ISNUMBER(M1593), ISNUMBER(I1593), I1593&gt;0), M1593/I1593, "")</f>
        <v/>
      </c>
    </row>
    <row r="1594">
      <c r="A1594" s="19" t="inlineStr">
        <is>
          <t>FY26</t>
        </is>
      </c>
      <c r="B1594" s="19" t="inlineStr">
        <is>
          <t>Jan</t>
        </is>
      </c>
      <c r="C1594" s="19" t="inlineStr">
        <is>
          <t>Kerala</t>
        </is>
      </c>
      <c r="D1594" s="20" t="inlineStr">
        <is>
          <t>KL05AP7196</t>
        </is>
      </c>
      <c r="E1594" s="20" t="inlineStr">
        <is>
          <t>CHEVROLET</t>
        </is>
      </c>
      <c r="F1594" s="20" t="inlineStr">
        <is>
          <t>Enjoy</t>
        </is>
      </c>
      <c r="G1594" s="21" t="n"/>
      <c r="H1594" s="22" t="n">
        <v>117688</v>
      </c>
      <c r="I1594" s="23" t="n">
        <v>150000</v>
      </c>
      <c r="J1594" s="20" t="inlineStr">
        <is>
          <t>lUXON TATA</t>
        </is>
      </c>
      <c r="K1594" s="20" t="inlineStr">
        <is>
          <t>Non-Captive</t>
        </is>
      </c>
      <c r="L1594" s="20" t="inlineStr">
        <is>
          <t>TINU P SOMAN</t>
        </is>
      </c>
      <c r="M1594" s="23" t="n">
        <v>5932.2</v>
      </c>
      <c r="N1594" s="23" t="n">
        <v>7000</v>
      </c>
      <c r="O1594" s="24">
        <f>IF(AND(ISNUMBER(M1594), ISNUMBER(I1594), I1594&gt;0), M1594/I1594, "")</f>
        <v/>
      </c>
    </row>
    <row r="1595">
      <c r="A1595" s="19" t="inlineStr">
        <is>
          <t>FY26</t>
        </is>
      </c>
      <c r="B1595" s="19" t="inlineStr">
        <is>
          <t>Jan</t>
        </is>
      </c>
      <c r="C1595" s="19" t="inlineStr">
        <is>
          <t>Kerala</t>
        </is>
      </c>
      <c r="D1595" s="20" t="inlineStr">
        <is>
          <t>KL40D3470</t>
        </is>
      </c>
      <c r="E1595" s="20" t="inlineStr">
        <is>
          <t>MARUTI SUZUKI</t>
        </is>
      </c>
      <c r="F1595" s="20" t="inlineStr">
        <is>
          <t>Estilo</t>
        </is>
      </c>
      <c r="G1595" s="21" t="n"/>
      <c r="H1595" s="22" t="n">
        <v>97867</v>
      </c>
      <c r="I1595" s="23" t="n">
        <v>130000</v>
      </c>
      <c r="J1595" s="20" t="inlineStr">
        <is>
          <t>AMRITH V CHANDY</t>
        </is>
      </c>
      <c r="K1595" s="20" t="inlineStr">
        <is>
          <t>Non-Captive</t>
        </is>
      </c>
      <c r="L1595" s="20" t="inlineStr">
        <is>
          <t>ANAS VH</t>
        </is>
      </c>
      <c r="M1595" s="23" t="n">
        <v>5932.2</v>
      </c>
      <c r="N1595" s="23" t="n">
        <v>7000</v>
      </c>
      <c r="O1595" s="24">
        <f>IF(AND(ISNUMBER(M1595), ISNUMBER(I1595), I1595&gt;0), M1595/I1595, "")</f>
        <v/>
      </c>
    </row>
    <row r="1596">
      <c r="A1596" s="19" t="inlineStr">
        <is>
          <t>FY26</t>
        </is>
      </c>
      <c r="B1596" s="19" t="inlineStr">
        <is>
          <t>Jan</t>
        </is>
      </c>
      <c r="C1596" s="19" t="inlineStr">
        <is>
          <t>Kerala</t>
        </is>
      </c>
      <c r="D1596" s="20" t="inlineStr">
        <is>
          <t>KL08BY3673</t>
        </is>
      </c>
      <c r="E1596" s="20" t="inlineStr">
        <is>
          <t>TATA</t>
        </is>
      </c>
      <c r="F1596" s="20" t="inlineStr">
        <is>
          <t>Tiago</t>
        </is>
      </c>
      <c r="G1596" s="21" t="n"/>
      <c r="H1596" s="22" t="n">
        <v>13634</v>
      </c>
      <c r="I1596" s="23" t="n">
        <v>315000</v>
      </c>
      <c r="J1596" s="20" t="inlineStr">
        <is>
          <t>POPULAR HYUNDAI</t>
        </is>
      </c>
      <c r="K1596" s="20" t="inlineStr">
        <is>
          <t>Non-Captive</t>
        </is>
      </c>
      <c r="L1596" s="20" t="inlineStr">
        <is>
          <t>AITOS CARS</t>
        </is>
      </c>
      <c r="M1596" s="23" t="n">
        <v>8474.58</v>
      </c>
      <c r="N1596" s="23" t="n">
        <v>10000</v>
      </c>
      <c r="O1596" s="24">
        <f>IF(AND(ISNUMBER(M1596), ISNUMBER(I1596), I1596&gt;0), M1596/I1596, "")</f>
        <v/>
      </c>
    </row>
    <row r="1597">
      <c r="A1597" s="19" t="inlineStr">
        <is>
          <t>FY26</t>
        </is>
      </c>
      <c r="B1597" s="19" t="inlineStr">
        <is>
          <t>Jan</t>
        </is>
      </c>
      <c r="C1597" s="19" t="inlineStr">
        <is>
          <t>Kerala</t>
        </is>
      </c>
      <c r="D1597" s="20" t="inlineStr">
        <is>
          <t>KL18U2555</t>
        </is>
      </c>
      <c r="E1597" s="20" t="inlineStr">
        <is>
          <t>MARUTI SUZUKI</t>
        </is>
      </c>
      <c r="F1597" s="20" t="inlineStr">
        <is>
          <t>Brezza</t>
        </is>
      </c>
      <c r="G1597" s="21" t="n"/>
      <c r="H1597" s="22" t="n">
        <v>99000</v>
      </c>
      <c r="I1597" s="23" t="n">
        <v>540000</v>
      </c>
      <c r="J1597" s="20" t="inlineStr">
        <is>
          <t>ABBAS</t>
        </is>
      </c>
      <c r="K1597" s="20" t="inlineStr">
        <is>
          <t>Non-Captive</t>
        </is>
      </c>
      <c r="L1597" s="20" t="inlineStr">
        <is>
          <t>MAYAN</t>
        </is>
      </c>
      <c r="M1597" s="23" t="n">
        <v>6779.66</v>
      </c>
      <c r="N1597" s="23" t="n">
        <v>8000</v>
      </c>
      <c r="O1597" s="24">
        <f>IF(AND(ISNUMBER(M1597), ISNUMBER(I1597), I1597&gt;0), M1597/I1597, "")</f>
        <v/>
      </c>
    </row>
    <row r="1598">
      <c r="A1598" s="19" t="inlineStr">
        <is>
          <t>FY26</t>
        </is>
      </c>
      <c r="B1598" s="19" t="inlineStr">
        <is>
          <t>Jan</t>
        </is>
      </c>
      <c r="C1598" s="19" t="inlineStr">
        <is>
          <t>Kerala</t>
        </is>
      </c>
      <c r="D1598" s="20" t="inlineStr">
        <is>
          <t>KL560052</t>
        </is>
      </c>
      <c r="E1598" s="20" t="inlineStr">
        <is>
          <t>TATA</t>
        </is>
      </c>
      <c r="F1598" s="20" t="inlineStr">
        <is>
          <t>Safari</t>
        </is>
      </c>
      <c r="G1598" s="21" t="n"/>
      <c r="H1598" s="22" t="n">
        <v>190000</v>
      </c>
      <c r="I1598" s="23" t="n">
        <v>90000</v>
      </c>
      <c r="J1598" s="20" t="inlineStr">
        <is>
          <t>ABBAS</t>
        </is>
      </c>
      <c r="K1598" s="20" t="inlineStr">
        <is>
          <t>Non-Captive</t>
        </is>
      </c>
      <c r="L1598" s="20" t="inlineStr">
        <is>
          <t>KIA DKH</t>
        </is>
      </c>
      <c r="M1598" s="23" t="n">
        <v>4237.29</v>
      </c>
      <c r="N1598" s="23" t="n">
        <v>5000</v>
      </c>
      <c r="O1598" s="24">
        <f>IF(AND(ISNUMBER(M1598), ISNUMBER(I1598), I1598&gt;0), M1598/I1598, "")</f>
        <v/>
      </c>
    </row>
    <row r="1599">
      <c r="A1599" s="19" t="inlineStr">
        <is>
          <t>FY26</t>
        </is>
      </c>
      <c r="B1599" s="19" t="inlineStr">
        <is>
          <t>Jan</t>
        </is>
      </c>
      <c r="C1599" s="19" t="inlineStr">
        <is>
          <t>Kerala</t>
        </is>
      </c>
      <c r="D1599" s="20" t="inlineStr">
        <is>
          <t>KL17P5509</t>
        </is>
      </c>
      <c r="E1599" s="20" t="inlineStr">
        <is>
          <t>FIAT</t>
        </is>
      </c>
      <c r="F1599" s="20" t="inlineStr">
        <is>
          <t>Punto</t>
        </is>
      </c>
      <c r="G1599" s="21" t="n"/>
      <c r="H1599" s="22" t="n">
        <v>61000</v>
      </c>
      <c r="I1599" s="23" t="n">
        <v>130000</v>
      </c>
      <c r="J1599" s="20" t="inlineStr">
        <is>
          <t>ABBAS</t>
        </is>
      </c>
      <c r="K1599" s="20" t="inlineStr">
        <is>
          <t>Non-Captive</t>
        </is>
      </c>
      <c r="L1599" s="20" t="inlineStr">
        <is>
          <t>KVR TATA</t>
        </is>
      </c>
      <c r="M1599" s="23" t="n">
        <v>4237.29</v>
      </c>
      <c r="N1599" s="23" t="n">
        <v>5000</v>
      </c>
      <c r="O1599" s="24">
        <f>IF(AND(ISNUMBER(M1599), ISNUMBER(I1599), I1599&gt;0), M1599/I1599, "")</f>
        <v/>
      </c>
    </row>
    <row r="1600">
      <c r="A1600" s="19" t="inlineStr">
        <is>
          <t>FY26</t>
        </is>
      </c>
      <c r="B1600" s="19" t="inlineStr">
        <is>
          <t>Jan</t>
        </is>
      </c>
      <c r="C1600" s="19" t="inlineStr">
        <is>
          <t>Kerala</t>
        </is>
      </c>
      <c r="D1600" s="20" t="inlineStr">
        <is>
          <t>KL56R9007</t>
        </is>
      </c>
      <c r="E1600" s="20" t="inlineStr">
        <is>
          <t>MAHINDRA</t>
        </is>
      </c>
      <c r="F1600" s="20" t="inlineStr">
        <is>
          <t>Bolero</t>
        </is>
      </c>
      <c r="G1600" s="21" t="n"/>
      <c r="H1600" s="22" t="n">
        <v>76000</v>
      </c>
      <c r="I1600" s="23" t="n">
        <v>575000</v>
      </c>
      <c r="J1600" s="20" t="inlineStr">
        <is>
          <t>MARVEL MOTORS</t>
        </is>
      </c>
      <c r="K1600" s="20" t="inlineStr">
        <is>
          <t>Non-Captive</t>
        </is>
      </c>
      <c r="L1600" s="20" t="inlineStr">
        <is>
          <t>DKH KIA</t>
        </is>
      </c>
      <c r="M1600" s="23" t="n">
        <v>5084.75</v>
      </c>
      <c r="N1600" s="23" t="n">
        <v>6000</v>
      </c>
      <c r="O1600" s="24">
        <f>IF(AND(ISNUMBER(M1600), ISNUMBER(I1600), I1600&gt;0), M1600/I1600, "")</f>
        <v/>
      </c>
    </row>
    <row r="1601">
      <c r="A1601" s="19" t="inlineStr">
        <is>
          <t>FY26</t>
        </is>
      </c>
      <c r="B1601" s="19" t="inlineStr">
        <is>
          <t>Jan</t>
        </is>
      </c>
      <c r="C1601" s="19" t="inlineStr">
        <is>
          <t>Kerala</t>
        </is>
      </c>
      <c r="D1601" s="20" t="inlineStr">
        <is>
          <t>KL13AT0019</t>
        </is>
      </c>
      <c r="E1601" s="20" t="inlineStr">
        <is>
          <t>TATA</t>
        </is>
      </c>
      <c r="F1601" s="20" t="inlineStr">
        <is>
          <t>Tiago</t>
        </is>
      </c>
      <c r="G1601" s="21" t="n"/>
      <c r="H1601" s="22" t="n">
        <v>42000</v>
      </c>
      <c r="I1601" s="23" t="n">
        <v>415000</v>
      </c>
      <c r="J1601" s="20" t="inlineStr">
        <is>
          <t>KANNUR PLATINUM</t>
        </is>
      </c>
      <c r="K1601" s="20" t="inlineStr">
        <is>
          <t>Non-Captive</t>
        </is>
      </c>
      <c r="L1601" s="20" t="inlineStr">
        <is>
          <t>KVR TATA</t>
        </is>
      </c>
      <c r="M1601" s="23" t="n">
        <v>4237.29</v>
      </c>
      <c r="N1601" s="23" t="n">
        <v>5000</v>
      </c>
      <c r="O1601" s="24">
        <f>IF(AND(ISNUMBER(M1601), ISNUMBER(I1601), I1601&gt;0), M1601/I1601, "")</f>
        <v/>
      </c>
    </row>
    <row r="1602">
      <c r="A1602" s="19" t="inlineStr">
        <is>
          <t>FY26</t>
        </is>
      </c>
      <c r="B1602" s="19" t="inlineStr">
        <is>
          <t>Jan</t>
        </is>
      </c>
      <c r="C1602" s="19" t="inlineStr">
        <is>
          <t>Kerala</t>
        </is>
      </c>
      <c r="D1602" s="20" t="inlineStr">
        <is>
          <t>KL13AQ6956</t>
        </is>
      </c>
      <c r="E1602" s="20" t="inlineStr">
        <is>
          <t>HYUNDAI</t>
        </is>
      </c>
      <c r="F1602" s="20" t="inlineStr">
        <is>
          <t>Venue</t>
        </is>
      </c>
      <c r="G1602" s="21" t="n"/>
      <c r="H1602" s="22" t="n">
        <v>37000</v>
      </c>
      <c r="I1602" s="23" t="n">
        <v>540000</v>
      </c>
      <c r="J1602" s="20" t="inlineStr">
        <is>
          <t>PRAJOSH</t>
        </is>
      </c>
      <c r="K1602" s="20" t="inlineStr">
        <is>
          <t>Non-Captive</t>
        </is>
      </c>
      <c r="L1602" s="20" t="inlineStr">
        <is>
          <t>APCO HYUNDAI</t>
        </is>
      </c>
      <c r="M1602" s="23" t="n">
        <v>8474.58</v>
      </c>
      <c r="N1602" s="23" t="n">
        <v>10000</v>
      </c>
      <c r="O1602" s="24">
        <f>IF(AND(ISNUMBER(M1602), ISNUMBER(I1602), I1602&gt;0), M1602/I1602, "")</f>
        <v/>
      </c>
    </row>
    <row r="1603">
      <c r="A1603" s="19" t="inlineStr">
        <is>
          <t>FY26</t>
        </is>
      </c>
      <c r="B1603" s="19" t="inlineStr">
        <is>
          <t>Jan</t>
        </is>
      </c>
      <c r="C1603" s="19" t="inlineStr">
        <is>
          <t>Kerala</t>
        </is>
      </c>
      <c r="D1603" s="20" t="inlineStr">
        <is>
          <t>KL01BZ0870</t>
        </is>
      </c>
      <c r="E1603" s="20" t="inlineStr">
        <is>
          <t>RENAULT</t>
        </is>
      </c>
      <c r="F1603" s="20" t="inlineStr">
        <is>
          <t>Kwid</t>
        </is>
      </c>
      <c r="G1603" s="21" t="n"/>
      <c r="H1603" s="22" t="n">
        <v>28990</v>
      </c>
      <c r="I1603" s="23" t="n">
        <v>160000</v>
      </c>
      <c r="J1603" s="20" t="inlineStr">
        <is>
          <t>ARAVIND</t>
        </is>
      </c>
      <c r="K1603" s="20" t="inlineStr">
        <is>
          <t>Non-Captive</t>
        </is>
      </c>
      <c r="L1603" s="20" t="inlineStr">
        <is>
          <t>REFERENCE</t>
        </is>
      </c>
      <c r="M1603" s="23" t="n">
        <v>5084.75</v>
      </c>
      <c r="N1603" s="23" t="n">
        <v>6000</v>
      </c>
      <c r="O1603" s="24">
        <f>IF(AND(ISNUMBER(M1603), ISNUMBER(I1603), I1603&gt;0), M1603/I1603, "")</f>
        <v/>
      </c>
    </row>
    <row r="1604">
      <c r="A1604" s="19" t="inlineStr">
        <is>
          <t>FY26</t>
        </is>
      </c>
      <c r="B1604" s="19" t="inlineStr">
        <is>
          <t>Jan</t>
        </is>
      </c>
      <c r="C1604" s="19" t="inlineStr">
        <is>
          <t>Kerala</t>
        </is>
      </c>
      <c r="D1604" s="20" t="inlineStr">
        <is>
          <t>KL01CQ4731</t>
        </is>
      </c>
      <c r="E1604" s="20" t="inlineStr">
        <is>
          <t>MARUTI SUZUKI</t>
        </is>
      </c>
      <c r="F1604" s="20" t="inlineStr">
        <is>
          <t>Swift Dzire</t>
        </is>
      </c>
      <c r="G1604" s="21" t="n"/>
      <c r="H1604" s="22" t="n">
        <v>77840</v>
      </c>
      <c r="I1604" s="23" t="n">
        <v>450000</v>
      </c>
      <c r="J1604" s="20" t="inlineStr">
        <is>
          <t>ATHEN MARUTI</t>
        </is>
      </c>
      <c r="K1604" s="20" t="inlineStr">
        <is>
          <t>Non-Captive</t>
        </is>
      </c>
      <c r="L1604" s="20" t="inlineStr">
        <is>
          <t>ROSHAN</t>
        </is>
      </c>
      <c r="M1604" s="23" t="n">
        <v>8474.58</v>
      </c>
      <c r="N1604" s="23" t="n">
        <v>10000</v>
      </c>
      <c r="O1604" s="24">
        <f>IF(AND(ISNUMBER(M1604), ISNUMBER(I1604), I1604&gt;0), M1604/I1604, "")</f>
        <v/>
      </c>
    </row>
    <row r="1605">
      <c r="A1605" s="19" t="inlineStr">
        <is>
          <t>FY26</t>
        </is>
      </c>
      <c r="B1605" s="19" t="inlineStr">
        <is>
          <t>Jan</t>
        </is>
      </c>
      <c r="C1605" s="19" t="inlineStr">
        <is>
          <t>Kerala</t>
        </is>
      </c>
      <c r="D1605" s="20" t="inlineStr">
        <is>
          <t>KL01BN8919</t>
        </is>
      </c>
      <c r="E1605" s="20" t="inlineStr">
        <is>
          <t>HYUNDAI</t>
        </is>
      </c>
      <c r="F1605" s="20" t="inlineStr">
        <is>
          <t>Eon</t>
        </is>
      </c>
      <c r="G1605" s="21" t="n"/>
      <c r="H1605" s="22" t="n">
        <v>28400</v>
      </c>
      <c r="I1605" s="23" t="n">
        <v>95000</v>
      </c>
      <c r="J1605" s="20" t="inlineStr">
        <is>
          <t>FORTUNE MG</t>
        </is>
      </c>
      <c r="K1605" s="20" t="inlineStr">
        <is>
          <t>Non-Captive</t>
        </is>
      </c>
      <c r="L1605" s="20" t="inlineStr">
        <is>
          <t>RAHUL</t>
        </is>
      </c>
      <c r="M1605" s="23" t="n">
        <v>6779.66</v>
      </c>
      <c r="N1605" s="23" t="n">
        <v>8000</v>
      </c>
      <c r="O1605" s="24">
        <f>IF(AND(ISNUMBER(M1605), ISNUMBER(I1605), I1605&gt;0), M1605/I1605, "")</f>
        <v/>
      </c>
    </row>
    <row r="1606">
      <c r="A1606" s="19" t="inlineStr">
        <is>
          <t>FY26</t>
        </is>
      </c>
      <c r="B1606" s="19" t="inlineStr">
        <is>
          <t>Jan</t>
        </is>
      </c>
      <c r="C1606" s="19" t="inlineStr">
        <is>
          <t>Kerala</t>
        </is>
      </c>
      <c r="D1606" s="20" t="inlineStr">
        <is>
          <t>KL23S2848</t>
        </is>
      </c>
      <c r="E1606" s="20" t="inlineStr">
        <is>
          <t>DATSUN</t>
        </is>
      </c>
      <c r="F1606" s="20" t="inlineStr">
        <is>
          <t>Redi-Go</t>
        </is>
      </c>
      <c r="G1606" s="21" t="n"/>
      <c r="H1606" s="22" t="n">
        <v>25244</v>
      </c>
      <c r="I1606" s="23" t="n">
        <v>138000</v>
      </c>
      <c r="J1606" s="20" t="inlineStr">
        <is>
          <t>SS HYUNDAI</t>
        </is>
      </c>
      <c r="K1606" s="20" t="inlineStr">
        <is>
          <t>Non-Captive</t>
        </is>
      </c>
      <c r="L1606" s="20" t="inlineStr">
        <is>
          <t>AKHILNATH</t>
        </is>
      </c>
      <c r="M1606" s="23" t="n">
        <v>5932.2</v>
      </c>
      <c r="N1606" s="23" t="n">
        <v>7000</v>
      </c>
      <c r="O1606" s="24">
        <f>IF(AND(ISNUMBER(M1606), ISNUMBER(I1606), I1606&gt;0), M1606/I1606, "")</f>
        <v/>
      </c>
    </row>
    <row r="1607">
      <c r="A1607" s="19" t="inlineStr">
        <is>
          <t>FY26</t>
        </is>
      </c>
      <c r="B1607" s="19" t="inlineStr">
        <is>
          <t>Jan</t>
        </is>
      </c>
      <c r="C1607" s="19" t="inlineStr">
        <is>
          <t>Kerala</t>
        </is>
      </c>
      <c r="D1607" s="20" t="inlineStr">
        <is>
          <t>KL63E8739</t>
        </is>
      </c>
      <c r="E1607" s="20" t="inlineStr">
        <is>
          <t>RENAULT</t>
        </is>
      </c>
      <c r="F1607" s="20" t="inlineStr">
        <is>
          <t>Kwid</t>
        </is>
      </c>
      <c r="G1607" s="21" t="n"/>
      <c r="H1607" s="22" t="n">
        <v>18300</v>
      </c>
      <c r="I1607" s="23" t="n">
        <v>193000</v>
      </c>
      <c r="J1607" s="20" t="inlineStr">
        <is>
          <t>POPULAR MARUTI</t>
        </is>
      </c>
      <c r="K1607" s="20" t="inlineStr">
        <is>
          <t>Non-Captive</t>
        </is>
      </c>
      <c r="L1607" s="20" t="inlineStr">
        <is>
          <t>HAVEN MOTORS</t>
        </is>
      </c>
      <c r="M1607" s="23" t="n">
        <v>8474.58</v>
      </c>
      <c r="N1607" s="23" t="n">
        <v>10000</v>
      </c>
      <c r="O1607" s="24">
        <f>IF(AND(ISNUMBER(M1607), ISNUMBER(I1607), I1607&gt;0), M1607/I1607, "")</f>
        <v/>
      </c>
    </row>
    <row r="1608">
      <c r="A1608" s="19" t="inlineStr">
        <is>
          <t>FY26</t>
        </is>
      </c>
      <c r="B1608" s="19" t="inlineStr">
        <is>
          <t>Jan</t>
        </is>
      </c>
      <c r="C1608" s="19" t="inlineStr">
        <is>
          <t>Kerala</t>
        </is>
      </c>
      <c r="D1608" s="20" t="inlineStr">
        <is>
          <t>KL01CT1901</t>
        </is>
      </c>
      <c r="E1608" s="20" t="inlineStr">
        <is>
          <t>VOLKSWAGEN</t>
        </is>
      </c>
      <c r="F1608" s="20" t="inlineStr">
        <is>
          <t>Taigun</t>
        </is>
      </c>
      <c r="G1608" s="21" t="n"/>
      <c r="H1608" s="22" t="n">
        <v>15300</v>
      </c>
      <c r="I1608" s="23" t="n">
        <v>1040000</v>
      </c>
      <c r="J1608" s="20" t="inlineStr">
        <is>
          <t>PHOENIX VOLKSWAGEN</t>
        </is>
      </c>
      <c r="K1608" s="20" t="inlineStr">
        <is>
          <t>Non-Captive</t>
        </is>
      </c>
      <c r="L1608" s="20" t="inlineStr">
        <is>
          <t>KAPS CARS</t>
        </is>
      </c>
      <c r="M1608" s="23" t="n">
        <v>8474.58</v>
      </c>
      <c r="N1608" s="23" t="n">
        <v>10000</v>
      </c>
      <c r="O1608" s="24">
        <f>IF(AND(ISNUMBER(M1608), ISNUMBER(I1608), I1608&gt;0), M1608/I1608, "")</f>
        <v/>
      </c>
    </row>
    <row r="1609">
      <c r="A1609" s="19" t="inlineStr">
        <is>
          <t>FY26</t>
        </is>
      </c>
      <c r="B1609" s="19" t="inlineStr">
        <is>
          <t>Jan</t>
        </is>
      </c>
      <c r="C1609" s="19" t="inlineStr">
        <is>
          <t>Kerala</t>
        </is>
      </c>
      <c r="D1609" s="20" t="inlineStr">
        <is>
          <t>KL14T0826</t>
        </is>
      </c>
      <c r="E1609" s="20" t="inlineStr">
        <is>
          <t>MARUTI SUZUKI</t>
        </is>
      </c>
      <c r="F1609" s="20" t="inlineStr">
        <is>
          <t>Swift</t>
        </is>
      </c>
      <c r="G1609" s="21" t="n"/>
      <c r="H1609" s="22" t="n">
        <v>114000</v>
      </c>
      <c r="I1609" s="23" t="n">
        <v>415000</v>
      </c>
      <c r="J1609" s="20" t="inlineStr">
        <is>
          <t>PRAJOSH</t>
        </is>
      </c>
      <c r="K1609" s="20" t="inlineStr">
        <is>
          <t>Non-Captive</t>
        </is>
      </c>
      <c r="L1609" s="20" t="inlineStr">
        <is>
          <t>KVR TATA</t>
        </is>
      </c>
      <c r="M1609" s="23" t="n">
        <v>4237.29</v>
      </c>
      <c r="N1609" s="23" t="n">
        <v>5000</v>
      </c>
      <c r="O1609" s="24">
        <f>IF(AND(ISNUMBER(M1609), ISNUMBER(I1609), I1609&gt;0), M1609/I1609, "")</f>
        <v/>
      </c>
    </row>
    <row r="1610">
      <c r="A1610" s="19" t="inlineStr">
        <is>
          <t>FY26</t>
        </is>
      </c>
      <c r="B1610" s="19" t="inlineStr">
        <is>
          <t>Jan</t>
        </is>
      </c>
      <c r="C1610" s="19" t="inlineStr">
        <is>
          <t>Kerala</t>
        </is>
      </c>
      <c r="D1610" s="20" t="inlineStr">
        <is>
          <t>KL11BN2752</t>
        </is>
      </c>
      <c r="E1610" s="20" t="inlineStr">
        <is>
          <t>MARUTI SUZUKI</t>
        </is>
      </c>
      <c r="F1610" s="20" t="inlineStr">
        <is>
          <t>Swift</t>
        </is>
      </c>
      <c r="G1610" s="21" t="n"/>
      <c r="H1610" s="22" t="n">
        <v>56000</v>
      </c>
      <c r="I1610" s="23" t="n">
        <v>510000</v>
      </c>
      <c r="J1610" s="20" t="inlineStr">
        <is>
          <t>SANOOP KM</t>
        </is>
      </c>
      <c r="K1610" s="20" t="inlineStr">
        <is>
          <t>Non-Captive</t>
        </is>
      </c>
      <c r="L1610" s="20" t="inlineStr">
        <is>
          <t>BIMAL</t>
        </is>
      </c>
      <c r="M1610" s="23" t="n">
        <v>5084.75</v>
      </c>
      <c r="N1610" s="23" t="n">
        <v>6000</v>
      </c>
      <c r="O1610" s="24">
        <f>IF(AND(ISNUMBER(M1610), ISNUMBER(I1610), I1610&gt;0), M1610/I1610, "")</f>
        <v/>
      </c>
    </row>
    <row r="1611">
      <c r="A1611" s="19" t="inlineStr">
        <is>
          <t>FY26</t>
        </is>
      </c>
      <c r="B1611" s="19" t="inlineStr">
        <is>
          <t>Jan</t>
        </is>
      </c>
      <c r="C1611" s="19" t="inlineStr">
        <is>
          <t>Kerala</t>
        </is>
      </c>
      <c r="D1611" s="20" t="inlineStr">
        <is>
          <t>KL59U5723</t>
        </is>
      </c>
      <c r="E1611" s="20" t="inlineStr">
        <is>
          <t>HYUNDAI</t>
        </is>
      </c>
      <c r="F1611" s="20" t="inlineStr">
        <is>
          <t>Venue</t>
        </is>
      </c>
      <c r="G1611" s="21" t="n"/>
      <c r="H1611" s="22" t="n">
        <v>70000</v>
      </c>
      <c r="I1611" s="23" t="n">
        <v>660000</v>
      </c>
      <c r="J1611" s="20" t="inlineStr">
        <is>
          <t>SANOOP KM</t>
        </is>
      </c>
      <c r="K1611" s="20" t="inlineStr">
        <is>
          <t>Non-Captive</t>
        </is>
      </c>
      <c r="L1611" s="20" t="inlineStr">
        <is>
          <t>APCO HYUNDAI</t>
        </is>
      </c>
      <c r="M1611" s="23" t="n">
        <v>8474.58</v>
      </c>
      <c r="N1611" s="23" t="n">
        <v>10000</v>
      </c>
      <c r="O1611" s="24">
        <f>IF(AND(ISNUMBER(M1611), ISNUMBER(I1611), I1611&gt;0), M1611/I1611, "")</f>
        <v/>
      </c>
    </row>
    <row r="1612">
      <c r="A1612" s="19" t="inlineStr">
        <is>
          <t>FY26</t>
        </is>
      </c>
      <c r="B1612" s="19" t="inlineStr">
        <is>
          <t>Jan</t>
        </is>
      </c>
      <c r="C1612" s="19" t="inlineStr">
        <is>
          <t>Kerala</t>
        </is>
      </c>
      <c r="D1612" s="20" t="inlineStr">
        <is>
          <t>KL42T9696</t>
        </is>
      </c>
      <c r="E1612" s="20" t="inlineStr">
        <is>
          <t>RENAULT</t>
        </is>
      </c>
      <c r="F1612" s="20" t="inlineStr">
        <is>
          <t>Kiger</t>
        </is>
      </c>
      <c r="G1612" s="21" t="n"/>
      <c r="H1612" s="22" t="n">
        <v>32000</v>
      </c>
      <c r="I1612" s="23" t="n">
        <v>515000</v>
      </c>
      <c r="J1612" s="20" t="inlineStr">
        <is>
          <t>EVM SKODA</t>
        </is>
      </c>
      <c r="K1612" s="20" t="inlineStr">
        <is>
          <t>Non-Captive</t>
        </is>
      </c>
      <c r="L1612" s="20" t="inlineStr">
        <is>
          <t>VTJ</t>
        </is>
      </c>
      <c r="M1612" s="23" t="n">
        <v>8474.58</v>
      </c>
      <c r="N1612" s="23" t="n">
        <v>10000</v>
      </c>
      <c r="O1612" s="24">
        <f>IF(AND(ISNUMBER(M1612), ISNUMBER(I1612), I1612&gt;0), M1612/I1612, "")</f>
        <v/>
      </c>
    </row>
    <row r="1613">
      <c r="A1613" s="19" t="inlineStr">
        <is>
          <t>FY26</t>
        </is>
      </c>
      <c r="B1613" s="19" t="inlineStr">
        <is>
          <t>Jan</t>
        </is>
      </c>
      <c r="C1613" s="19" t="inlineStr">
        <is>
          <t>Kerala</t>
        </is>
      </c>
      <c r="D1613" s="20" t="inlineStr">
        <is>
          <t>KL325619</t>
        </is>
      </c>
      <c r="E1613" s="20" t="inlineStr">
        <is>
          <t>MARUTI SUZUKI</t>
        </is>
      </c>
      <c r="F1613" s="20" t="inlineStr">
        <is>
          <t>Swift</t>
        </is>
      </c>
      <c r="G1613" s="21" t="n"/>
      <c r="H1613" s="22" t="n">
        <v>79524</v>
      </c>
      <c r="I1613" s="23" t="n">
        <v>63000</v>
      </c>
      <c r="J1613" s="20" t="inlineStr">
        <is>
          <t>POPULAR MARUTI</t>
        </is>
      </c>
      <c r="K1613" s="20" t="inlineStr">
        <is>
          <t>Non-Captive</t>
        </is>
      </c>
      <c r="L1613" s="20" t="inlineStr">
        <is>
          <t>RAFEEK T A</t>
        </is>
      </c>
      <c r="M1613" s="23" t="n">
        <v>5932.2</v>
      </c>
      <c r="N1613" s="23" t="n">
        <v>7000</v>
      </c>
      <c r="O1613" s="24">
        <f>IF(AND(ISNUMBER(M1613), ISNUMBER(I1613), I1613&gt;0), M1613/I1613, "")</f>
        <v/>
      </c>
    </row>
    <row r="1614">
      <c r="A1614" s="19" t="inlineStr">
        <is>
          <t>FY26</t>
        </is>
      </c>
      <c r="B1614" s="19" t="inlineStr">
        <is>
          <t>Jan</t>
        </is>
      </c>
      <c r="C1614" s="19" t="inlineStr">
        <is>
          <t>Kerala</t>
        </is>
      </c>
      <c r="D1614" s="20" t="inlineStr">
        <is>
          <t>KL07CY8549</t>
        </is>
      </c>
      <c r="E1614" s="20" t="inlineStr">
        <is>
          <t>HYUNDAI</t>
        </is>
      </c>
      <c r="F1614" s="20" t="inlineStr">
        <is>
          <t>Alcazar</t>
        </is>
      </c>
      <c r="G1614" s="21" t="n"/>
      <c r="H1614" s="22" t="n">
        <v>89900</v>
      </c>
      <c r="I1614" s="23" t="n">
        <v>1300000</v>
      </c>
      <c r="J1614" s="20" t="inlineStr">
        <is>
          <t>POPULAR HYUNDAI</t>
        </is>
      </c>
      <c r="K1614" s="20" t="inlineStr">
        <is>
          <t>Non-Captive</t>
        </is>
      </c>
      <c r="L1614" s="20" t="inlineStr">
        <is>
          <t>SHAMSUDEEN C E</t>
        </is>
      </c>
      <c r="M1614" s="23" t="n">
        <v>8474.58</v>
      </c>
      <c r="N1614" s="23" t="n">
        <v>10000</v>
      </c>
      <c r="O1614" s="24">
        <f>IF(AND(ISNUMBER(M1614), ISNUMBER(I1614), I1614&gt;0), M1614/I1614, "")</f>
        <v/>
      </c>
    </row>
    <row r="1615">
      <c r="A1615" s="19" t="inlineStr">
        <is>
          <t>FY26</t>
        </is>
      </c>
      <c r="B1615" s="19" t="inlineStr">
        <is>
          <t>Jan</t>
        </is>
      </c>
      <c r="C1615" s="19" t="inlineStr">
        <is>
          <t>Kerala</t>
        </is>
      </c>
      <c r="D1615" s="20" t="inlineStr">
        <is>
          <t>KL32K6334</t>
        </is>
      </c>
      <c r="E1615" s="20" t="inlineStr">
        <is>
          <t>RENAULT</t>
        </is>
      </c>
      <c r="F1615" s="20" t="inlineStr">
        <is>
          <t>Kwid</t>
        </is>
      </c>
      <c r="G1615" s="21" t="n"/>
      <c r="H1615" s="22" t="n">
        <v>46677</v>
      </c>
      <c r="I1615" s="23" t="n">
        <v>140000</v>
      </c>
      <c r="J1615" s="20" t="inlineStr">
        <is>
          <t>ANAS HAMEED</t>
        </is>
      </c>
      <c r="K1615" s="20" t="inlineStr">
        <is>
          <t>Non-Captive</t>
        </is>
      </c>
      <c r="L1615" s="20" t="inlineStr">
        <is>
          <t>ARUN NARAYANAN</t>
        </is>
      </c>
      <c r="M1615" s="23" t="n">
        <v>8474.58</v>
      </c>
      <c r="N1615" s="23" t="n">
        <v>10000</v>
      </c>
      <c r="O1615" s="24">
        <f>IF(AND(ISNUMBER(M1615), ISNUMBER(I1615), I1615&gt;0), M1615/I1615, "")</f>
        <v/>
      </c>
    </row>
    <row r="1616">
      <c r="A1616" s="19" t="inlineStr">
        <is>
          <t>FY26</t>
        </is>
      </c>
      <c r="B1616" s="19" t="inlineStr">
        <is>
          <t>Jan</t>
        </is>
      </c>
      <c r="C1616" s="19" t="inlineStr">
        <is>
          <t>Kerala</t>
        </is>
      </c>
      <c r="D1616" s="20" t="inlineStr">
        <is>
          <t>KL07BT7908</t>
        </is>
      </c>
      <c r="E1616" s="20" t="inlineStr">
        <is>
          <t>TATA</t>
        </is>
      </c>
      <c r="F1616" s="20" t="inlineStr">
        <is>
          <t>Indica</t>
        </is>
      </c>
      <c r="G1616" s="21" t="n"/>
      <c r="H1616" s="22" t="n">
        <v>46000</v>
      </c>
      <c r="I1616" s="23" t="n">
        <v>61000</v>
      </c>
      <c r="J1616" s="20" t="inlineStr">
        <is>
          <t>GOKULAM TATA</t>
        </is>
      </c>
      <c r="K1616" s="20" t="inlineStr">
        <is>
          <t>Non-Captive</t>
        </is>
      </c>
      <c r="L1616" s="20" t="inlineStr">
        <is>
          <t>RAFEEK T A</t>
        </is>
      </c>
      <c r="M1616" s="23" t="n">
        <v>8474.58</v>
      </c>
      <c r="N1616" s="23" t="n">
        <v>10000</v>
      </c>
      <c r="O1616" s="24">
        <f>IF(AND(ISNUMBER(M1616), ISNUMBER(I1616), I1616&gt;0), M1616/I1616, "")</f>
        <v/>
      </c>
    </row>
    <row r="1617">
      <c r="A1617" s="19" t="inlineStr">
        <is>
          <t>FY26</t>
        </is>
      </c>
      <c r="B1617" s="19" t="inlineStr">
        <is>
          <t>Jan</t>
        </is>
      </c>
      <c r="C1617" s="19" t="inlineStr">
        <is>
          <t>Kerala</t>
        </is>
      </c>
      <c r="D1617" s="20" t="inlineStr">
        <is>
          <t>KL05AK6352</t>
        </is>
      </c>
      <c r="E1617" s="20" t="inlineStr">
        <is>
          <t>CHEVROLET</t>
        </is>
      </c>
      <c r="F1617" s="20" t="inlineStr">
        <is>
          <t>Sail</t>
        </is>
      </c>
      <c r="G1617" s="21" t="n"/>
      <c r="H1617" s="22" t="n">
        <v>41629</v>
      </c>
      <c r="I1617" s="23" t="n">
        <v>80000</v>
      </c>
      <c r="J1617" s="20" t="inlineStr">
        <is>
          <t>ANAS</t>
        </is>
      </c>
      <c r="K1617" s="20" t="inlineStr">
        <is>
          <t>Non-Captive</t>
        </is>
      </c>
      <c r="L1617" s="20" t="inlineStr">
        <is>
          <t>VTJ</t>
        </is>
      </c>
      <c r="M1617" s="23" t="n">
        <v>6779.66</v>
      </c>
      <c r="N1617" s="23" t="n">
        <v>8000</v>
      </c>
      <c r="O1617" s="24">
        <f>IF(AND(ISNUMBER(M1617), ISNUMBER(I1617), I1617&gt;0), M1617/I1617, "")</f>
        <v/>
      </c>
    </row>
    <row r="1618">
      <c r="A1618" s="19" t="inlineStr">
        <is>
          <t>FY26</t>
        </is>
      </c>
      <c r="B1618" s="19" t="inlineStr">
        <is>
          <t>Jan</t>
        </is>
      </c>
      <c r="C1618" s="19" t="inlineStr">
        <is>
          <t>Kerala</t>
        </is>
      </c>
      <c r="D1618" s="20" t="inlineStr">
        <is>
          <t>KL38F7686</t>
        </is>
      </c>
      <c r="E1618" s="20" t="inlineStr">
        <is>
          <t>HONDA</t>
        </is>
      </c>
      <c r="F1618" s="20" t="inlineStr">
        <is>
          <t>Wr-V</t>
        </is>
      </c>
      <c r="G1618" s="21" t="n"/>
      <c r="H1618" s="22" t="n">
        <v>130800</v>
      </c>
      <c r="I1618" s="23" t="n">
        <v>420000</v>
      </c>
      <c r="J1618" s="20" t="inlineStr">
        <is>
          <t>ANAS</t>
        </is>
      </c>
      <c r="K1618" s="20" t="inlineStr">
        <is>
          <t>Non-Captive</t>
        </is>
      </c>
      <c r="L1618" s="20" t="inlineStr">
        <is>
          <t>MUHAMMAD SHAJI</t>
        </is>
      </c>
      <c r="M1618" s="23" t="n">
        <v>8474.58</v>
      </c>
      <c r="N1618" s="23" t="n">
        <v>10000</v>
      </c>
      <c r="O1618" s="24">
        <f>IF(AND(ISNUMBER(M1618), ISNUMBER(I1618), I1618&gt;0), M1618/I1618, "")</f>
        <v/>
      </c>
    </row>
    <row r="1619">
      <c r="A1619" s="19" t="inlineStr">
        <is>
          <t>FY26</t>
        </is>
      </c>
      <c r="B1619" s="19" t="inlineStr">
        <is>
          <t>Jan</t>
        </is>
      </c>
      <c r="C1619" s="19" t="inlineStr">
        <is>
          <t>Kerala</t>
        </is>
      </c>
      <c r="D1619" s="20" t="inlineStr">
        <is>
          <t>KL05AA4166</t>
        </is>
      </c>
      <c r="E1619" s="20" t="inlineStr">
        <is>
          <t>MARUTI SUZUKI</t>
        </is>
      </c>
      <c r="F1619" s="20" t="inlineStr">
        <is>
          <t>Alto</t>
        </is>
      </c>
      <c r="G1619" s="21" t="n"/>
      <c r="H1619" s="22" t="n">
        <v>44566</v>
      </c>
      <c r="I1619" s="23" t="n">
        <v>89000</v>
      </c>
      <c r="J1619" s="20" t="inlineStr">
        <is>
          <t>POPULAR MARUTI</t>
        </is>
      </c>
      <c r="K1619" s="20" t="inlineStr">
        <is>
          <t>Non-Captive</t>
        </is>
      </c>
      <c r="L1619" s="20" t="inlineStr">
        <is>
          <t>TINU P SOMAN</t>
        </is>
      </c>
      <c r="M1619" s="23" t="n">
        <v>5084.75</v>
      </c>
      <c r="N1619" s="23" t="n">
        <v>6000</v>
      </c>
      <c r="O1619" s="24">
        <f>IF(AND(ISNUMBER(M1619), ISNUMBER(I1619), I1619&gt;0), M1619/I1619, "")</f>
        <v/>
      </c>
    </row>
    <row r="1620">
      <c r="A1620" s="19" t="inlineStr">
        <is>
          <t>FY26</t>
        </is>
      </c>
      <c r="B1620" s="19" t="inlineStr">
        <is>
          <t>Jan</t>
        </is>
      </c>
      <c r="C1620" s="19" t="inlineStr">
        <is>
          <t>Kerala</t>
        </is>
      </c>
      <c r="D1620" s="20" t="inlineStr">
        <is>
          <t>KL39L0601</t>
        </is>
      </c>
      <c r="E1620" s="20" t="inlineStr">
        <is>
          <t>RENAULT</t>
        </is>
      </c>
      <c r="F1620" s="20" t="inlineStr">
        <is>
          <t>Kwid</t>
        </is>
      </c>
      <c r="G1620" s="21" t="n"/>
      <c r="H1620" s="22" t="n">
        <v>25000</v>
      </c>
      <c r="I1620" s="23" t="n">
        <v>140000</v>
      </c>
      <c r="J1620" s="20" t="inlineStr">
        <is>
          <t>CARS24</t>
        </is>
      </c>
      <c r="K1620" s="20" t="inlineStr">
        <is>
          <t>Non-Captive</t>
        </is>
      </c>
      <c r="L1620" s="20" t="inlineStr">
        <is>
          <t>VTJ</t>
        </is>
      </c>
      <c r="M1620" s="23" t="n">
        <v>8474.58</v>
      </c>
      <c r="N1620" s="23" t="n">
        <v>10000</v>
      </c>
      <c r="O1620" s="24">
        <f>IF(AND(ISNUMBER(M1620), ISNUMBER(I1620), I1620&gt;0), M1620/I1620, "")</f>
        <v/>
      </c>
    </row>
    <row r="1621">
      <c r="A1621" s="19" t="inlineStr">
        <is>
          <t>FY26</t>
        </is>
      </c>
      <c r="B1621" s="19" t="inlineStr">
        <is>
          <t>Jan</t>
        </is>
      </c>
      <c r="C1621" s="19" t="inlineStr">
        <is>
          <t>Kerala</t>
        </is>
      </c>
      <c r="D1621" s="20" t="inlineStr">
        <is>
          <t>KL74C6902</t>
        </is>
      </c>
      <c r="E1621" s="20" t="inlineStr">
        <is>
          <t>TATA</t>
        </is>
      </c>
      <c r="F1621" s="20" t="inlineStr">
        <is>
          <t>Nexon</t>
        </is>
      </c>
      <c r="G1621" s="21" t="n"/>
      <c r="H1621" s="22" t="n">
        <v>28652</v>
      </c>
      <c r="I1621" s="23" t="n">
        <v>715000</v>
      </c>
      <c r="J1621" s="20" t="inlineStr">
        <is>
          <t>GOKULAM TATA</t>
        </is>
      </c>
      <c r="K1621" s="20" t="inlineStr">
        <is>
          <t>Non-Captive</t>
        </is>
      </c>
      <c r="L1621" s="20" t="inlineStr">
        <is>
          <t>AITOS CARS</t>
        </is>
      </c>
      <c r="M1621" s="23" t="n">
        <v>5508.47</v>
      </c>
      <c r="N1621" s="23" t="n">
        <v>6500</v>
      </c>
      <c r="O1621" s="24">
        <f>IF(AND(ISNUMBER(M1621), ISNUMBER(I1621), I1621&gt;0), M1621/I1621, "")</f>
        <v/>
      </c>
    </row>
    <row r="1622">
      <c r="A1622" s="19" t="inlineStr">
        <is>
          <t>FY26</t>
        </is>
      </c>
      <c r="B1622" s="19" t="inlineStr">
        <is>
          <t>Jan</t>
        </is>
      </c>
      <c r="C1622" s="19" t="inlineStr">
        <is>
          <t>Kerala</t>
        </is>
      </c>
      <c r="D1622" s="20" t="inlineStr">
        <is>
          <t>KL11AV9909</t>
        </is>
      </c>
      <c r="E1622" s="20" t="inlineStr">
        <is>
          <t>RENAULT</t>
        </is>
      </c>
      <c r="F1622" s="20" t="inlineStr">
        <is>
          <t>Duster</t>
        </is>
      </c>
      <c r="G1622" s="21" t="n"/>
      <c r="H1622" s="22" t="n">
        <v>59854</v>
      </c>
      <c r="I1622" s="23" t="n">
        <v>300000</v>
      </c>
      <c r="J1622" s="20" t="inlineStr">
        <is>
          <t>PHOENIX VOLKSWAGEN</t>
        </is>
      </c>
      <c r="K1622" s="20" t="inlineStr">
        <is>
          <t>Non-Captive</t>
        </is>
      </c>
      <c r="L1622" s="20" t="inlineStr">
        <is>
          <t>AITOS CARS</t>
        </is>
      </c>
      <c r="M1622" s="23" t="n">
        <v>5508.47</v>
      </c>
      <c r="N1622" s="23" t="n">
        <v>6500</v>
      </c>
      <c r="O1622" s="24">
        <f>IF(AND(ISNUMBER(M1622), ISNUMBER(I1622), I1622&gt;0), M1622/I1622, "")</f>
        <v/>
      </c>
    </row>
    <row r="1623">
      <c r="A1623" s="19" t="inlineStr">
        <is>
          <t>FY26</t>
        </is>
      </c>
      <c r="B1623" s="19" t="inlineStr">
        <is>
          <t>Jan</t>
        </is>
      </c>
      <c r="C1623" s="19" t="inlineStr">
        <is>
          <t>Kerala</t>
        </is>
      </c>
      <c r="D1623" s="20" t="inlineStr">
        <is>
          <t>KL01BG0667</t>
        </is>
      </c>
      <c r="E1623" s="20" t="inlineStr">
        <is>
          <t>MARUTI SUZUKI</t>
        </is>
      </c>
      <c r="F1623" s="20" t="inlineStr">
        <is>
          <t>Alto</t>
        </is>
      </c>
      <c r="G1623" s="21" t="n"/>
      <c r="H1623" s="22" t="n">
        <v>46540</v>
      </c>
      <c r="I1623" s="23" t="n">
        <v>90000</v>
      </c>
      <c r="J1623" s="20" t="inlineStr">
        <is>
          <t>POPULAR MARUTI</t>
        </is>
      </c>
      <c r="K1623" s="20" t="inlineStr">
        <is>
          <t>Non-Captive</t>
        </is>
      </c>
      <c r="L1623" s="20" t="inlineStr">
        <is>
          <t>RATHEESH</t>
        </is>
      </c>
      <c r="M1623" s="23" t="n">
        <v>4661.02</v>
      </c>
      <c r="N1623" s="23" t="n">
        <v>5500</v>
      </c>
      <c r="O1623" s="24">
        <f>IF(AND(ISNUMBER(M1623), ISNUMBER(I1623), I1623&gt;0), M1623/I1623, "")</f>
        <v/>
      </c>
    </row>
    <row r="1624">
      <c r="A1624" s="19" t="inlineStr">
        <is>
          <t>FY26</t>
        </is>
      </c>
      <c r="B1624" s="19" t="inlineStr">
        <is>
          <t>Jan</t>
        </is>
      </c>
      <c r="C1624" s="19" t="inlineStr">
        <is>
          <t>Kerala</t>
        </is>
      </c>
      <c r="D1624" s="20" t="inlineStr">
        <is>
          <t>KL21R4550</t>
        </is>
      </c>
      <c r="E1624" s="20" t="inlineStr">
        <is>
          <t>FORD</t>
        </is>
      </c>
      <c r="F1624" s="20" t="inlineStr">
        <is>
          <t>Figo</t>
        </is>
      </c>
      <c r="G1624" s="21" t="n"/>
      <c r="H1624" s="22" t="n">
        <v>65550</v>
      </c>
      <c r="I1624" s="23" t="n">
        <v>280000</v>
      </c>
      <c r="J1624" s="20" t="inlineStr">
        <is>
          <t>TRIVANDRUM MOTORS</t>
        </is>
      </c>
      <c r="K1624" s="20" t="inlineStr">
        <is>
          <t>Non-Captive</t>
        </is>
      </c>
      <c r="L1624" s="20" t="inlineStr">
        <is>
          <t>SANTHOSH</t>
        </is>
      </c>
      <c r="M1624" s="23" t="n">
        <v>5932.2</v>
      </c>
      <c r="N1624" s="23" t="n">
        <v>7000</v>
      </c>
      <c r="O1624" s="24">
        <f>IF(AND(ISNUMBER(M1624), ISNUMBER(I1624), I1624&gt;0), M1624/I1624, "")</f>
        <v/>
      </c>
    </row>
    <row r="1625">
      <c r="A1625" s="19" t="inlineStr">
        <is>
          <t>FY26</t>
        </is>
      </c>
      <c r="B1625" s="19" t="inlineStr">
        <is>
          <t>Jan</t>
        </is>
      </c>
      <c r="C1625" s="19" t="inlineStr">
        <is>
          <t>Kerala</t>
        </is>
      </c>
      <c r="D1625" s="20" t="inlineStr">
        <is>
          <t>KL13AD909</t>
        </is>
      </c>
      <c r="E1625" s="20" t="inlineStr">
        <is>
          <t>NISSAN</t>
        </is>
      </c>
      <c r="F1625" s="20" t="inlineStr">
        <is>
          <t>Micra</t>
        </is>
      </c>
      <c r="G1625" s="21" t="n"/>
      <c r="H1625" s="22" t="n">
        <v>84000</v>
      </c>
      <c r="I1625" s="23" t="n">
        <v>265000</v>
      </c>
      <c r="J1625" s="20" t="inlineStr">
        <is>
          <t>MARVEL VIJIL</t>
        </is>
      </c>
      <c r="K1625" s="20" t="inlineStr">
        <is>
          <t>Non-Captive</t>
        </is>
      </c>
      <c r="L1625" s="20" t="inlineStr">
        <is>
          <t>KVR TATA</t>
        </is>
      </c>
      <c r="M1625" s="23" t="n">
        <v>8474.58</v>
      </c>
      <c r="N1625" s="23" t="n">
        <v>10000</v>
      </c>
      <c r="O1625" s="24">
        <f>IF(AND(ISNUMBER(M1625), ISNUMBER(I1625), I1625&gt;0), M1625/I1625, "")</f>
        <v/>
      </c>
    </row>
    <row r="1626">
      <c r="A1626" s="19" t="inlineStr">
        <is>
          <t>FY26</t>
        </is>
      </c>
      <c r="B1626" s="19" t="inlineStr">
        <is>
          <t>Jan</t>
        </is>
      </c>
      <c r="C1626" s="19" t="inlineStr">
        <is>
          <t>Kerala</t>
        </is>
      </c>
      <c r="D1626" s="20" t="inlineStr">
        <is>
          <t>KL59W4351</t>
        </is>
      </c>
      <c r="E1626" s="20" t="inlineStr">
        <is>
          <t>MARUTI SUZUKI</t>
        </is>
      </c>
      <c r="F1626" s="20" t="inlineStr">
        <is>
          <t>Celerio</t>
        </is>
      </c>
      <c r="G1626" s="21" t="n"/>
      <c r="H1626" s="22" t="n">
        <v>76000</v>
      </c>
      <c r="I1626" s="23" t="n">
        <v>415000</v>
      </c>
      <c r="J1626" s="20" t="inlineStr">
        <is>
          <t>NADIR K K</t>
        </is>
      </c>
      <c r="K1626" s="20" t="inlineStr">
        <is>
          <t>Non-Captive</t>
        </is>
      </c>
      <c r="L1626" s="20" t="inlineStr">
        <is>
          <t>KVR TATA</t>
        </is>
      </c>
      <c r="M1626" s="23" t="n">
        <v>6355.93</v>
      </c>
      <c r="N1626" s="23" t="n">
        <v>7500</v>
      </c>
      <c r="O1626" s="24">
        <f>IF(AND(ISNUMBER(M1626), ISNUMBER(I1626), I1626&gt;0), M1626/I1626, "")</f>
        <v/>
      </c>
    </row>
    <row r="1627">
      <c r="A1627" s="19" t="inlineStr">
        <is>
          <t>FY26</t>
        </is>
      </c>
      <c r="B1627" s="19" t="inlineStr">
        <is>
          <t>Jan</t>
        </is>
      </c>
      <c r="C1627" s="19" t="inlineStr">
        <is>
          <t>Kerala</t>
        </is>
      </c>
      <c r="D1627" s="20" t="inlineStr">
        <is>
          <t>KL18Z4651</t>
        </is>
      </c>
      <c r="E1627" s="20" t="inlineStr">
        <is>
          <t>MARUTI SUZUKI</t>
        </is>
      </c>
      <c r="F1627" s="20" t="inlineStr">
        <is>
          <t>Eeco</t>
        </is>
      </c>
      <c r="G1627" s="21" t="n"/>
      <c r="H1627" s="22" t="n">
        <v>24000</v>
      </c>
      <c r="I1627" s="23" t="n">
        <v>350000</v>
      </c>
      <c r="J1627" s="20" t="inlineStr">
        <is>
          <t>SAMSHUD</t>
        </is>
      </c>
      <c r="K1627" s="20" t="inlineStr">
        <is>
          <t>Non-Captive</t>
        </is>
      </c>
      <c r="L1627" s="20" t="inlineStr">
        <is>
          <t>MARVEL</t>
        </is>
      </c>
      <c r="M1627" s="23" t="n">
        <v>8475.42</v>
      </c>
      <c r="N1627" s="23" t="n">
        <v>10001</v>
      </c>
      <c r="O1627" s="24">
        <f>IF(AND(ISNUMBER(M1627), ISNUMBER(I1627), I1627&gt;0), M1627/I1627, "")</f>
        <v/>
      </c>
    </row>
    <row r="1628">
      <c r="A1628" s="19" t="inlineStr">
        <is>
          <t>FY26</t>
        </is>
      </c>
      <c r="B1628" s="19" t="inlineStr">
        <is>
          <t>Jan</t>
        </is>
      </c>
      <c r="C1628" s="19" t="inlineStr">
        <is>
          <t>Kerala</t>
        </is>
      </c>
      <c r="D1628" s="20" t="inlineStr">
        <is>
          <t>KL58G4087</t>
        </is>
      </c>
      <c r="E1628" s="20" t="inlineStr">
        <is>
          <t>HYUNDAI</t>
        </is>
      </c>
      <c r="F1628" s="20" t="inlineStr">
        <is>
          <t>I20</t>
        </is>
      </c>
      <c r="G1628" s="21" t="n"/>
      <c r="H1628" s="22" t="n">
        <v>85000</v>
      </c>
      <c r="I1628" s="23" t="n">
        <v>125000</v>
      </c>
      <c r="J1628" s="20" t="inlineStr">
        <is>
          <t>SANOOP KM</t>
        </is>
      </c>
      <c r="K1628" s="20" t="inlineStr">
        <is>
          <t>Non-Captive</t>
        </is>
      </c>
      <c r="L1628" s="20" t="inlineStr">
        <is>
          <t>KIA DKH</t>
        </is>
      </c>
      <c r="M1628" s="23" t="n">
        <v>4237.29</v>
      </c>
      <c r="N1628" s="23" t="n">
        <v>5000</v>
      </c>
      <c r="O1628" s="24">
        <f>IF(AND(ISNUMBER(M1628), ISNUMBER(I1628), I1628&gt;0), M1628/I1628, "")</f>
        <v/>
      </c>
    </row>
    <row r="1629">
      <c r="A1629" s="19" t="inlineStr">
        <is>
          <t>FY26</t>
        </is>
      </c>
      <c r="B1629" s="19" t="inlineStr">
        <is>
          <t>Jan</t>
        </is>
      </c>
      <c r="C1629" s="19" t="inlineStr">
        <is>
          <t>Kerala</t>
        </is>
      </c>
      <c r="D1629" s="20" t="inlineStr">
        <is>
          <t>KL56K6673</t>
        </is>
      </c>
      <c r="E1629" s="20" t="inlineStr">
        <is>
          <t>MARUTI SUZUKI</t>
        </is>
      </c>
      <c r="F1629" s="20" t="inlineStr">
        <is>
          <t>Alto</t>
        </is>
      </c>
      <c r="G1629" s="21" t="n"/>
      <c r="H1629" s="22" t="n">
        <v>41000</v>
      </c>
      <c r="I1629" s="23" t="n">
        <v>155000</v>
      </c>
      <c r="J1629" s="20" t="inlineStr">
        <is>
          <t>NIDEESH MOHAN</t>
        </is>
      </c>
      <c r="K1629" s="20" t="inlineStr">
        <is>
          <t>Non-Captive</t>
        </is>
      </c>
      <c r="L1629" s="20" t="inlineStr">
        <is>
          <t>BIMAL</t>
        </is>
      </c>
      <c r="M1629" s="23" t="n">
        <v>8474.58</v>
      </c>
      <c r="N1629" s="23" t="n">
        <v>10000</v>
      </c>
      <c r="O1629" s="24">
        <f>IF(AND(ISNUMBER(M1629), ISNUMBER(I1629), I1629&gt;0), M1629/I1629, "")</f>
        <v/>
      </c>
    </row>
    <row r="1630">
      <c r="A1630" s="19" t="inlineStr">
        <is>
          <t>FY26</t>
        </is>
      </c>
      <c r="B1630" s="19" t="inlineStr">
        <is>
          <t>Jan</t>
        </is>
      </c>
      <c r="C1630" s="19" t="inlineStr">
        <is>
          <t>Kerala</t>
        </is>
      </c>
      <c r="D1630" s="20" t="inlineStr">
        <is>
          <t>KL26B4947</t>
        </is>
      </c>
      <c r="E1630" s="20" t="inlineStr">
        <is>
          <t>CHEVROLET</t>
        </is>
      </c>
      <c r="F1630" s="20" t="inlineStr">
        <is>
          <t>Spark</t>
        </is>
      </c>
      <c r="G1630" s="21" t="n"/>
      <c r="H1630" s="22" t="n">
        <v>45000</v>
      </c>
      <c r="I1630" s="23" t="n">
        <v>65000</v>
      </c>
      <c r="J1630" s="20" t="inlineStr">
        <is>
          <t>INDUS MARUTI</t>
        </is>
      </c>
      <c r="K1630" s="20" t="inlineStr">
        <is>
          <t>Non-Captive</t>
        </is>
      </c>
      <c r="L1630" s="20" t="inlineStr">
        <is>
          <t>VIJIL</t>
        </is>
      </c>
      <c r="M1630" s="23" t="n">
        <v>5084.75</v>
      </c>
      <c r="N1630" s="23" t="n">
        <v>6000</v>
      </c>
      <c r="O1630" s="24">
        <f>IF(AND(ISNUMBER(M1630), ISNUMBER(I1630), I1630&gt;0), M1630/I1630, "")</f>
        <v/>
      </c>
    </row>
    <row r="1631">
      <c r="A1631" s="19" t="inlineStr">
        <is>
          <t>FY26</t>
        </is>
      </c>
      <c r="B1631" s="19" t="inlineStr">
        <is>
          <t>Jan</t>
        </is>
      </c>
      <c r="C1631" s="19" t="inlineStr">
        <is>
          <t>Kerala</t>
        </is>
      </c>
      <c r="D1631" s="20" t="inlineStr">
        <is>
          <t>KL02AW2215</t>
        </is>
      </c>
      <c r="E1631" s="20" t="inlineStr">
        <is>
          <t>MARUTI SUZUKI</t>
        </is>
      </c>
      <c r="F1631" s="20" t="inlineStr">
        <is>
          <t>Alto</t>
        </is>
      </c>
      <c r="G1631" s="21" t="n"/>
      <c r="H1631" s="22" t="n">
        <v>82234</v>
      </c>
      <c r="I1631" s="23" t="n">
        <v>183000</v>
      </c>
      <c r="J1631" s="20" t="inlineStr">
        <is>
          <t>REFERENCE</t>
        </is>
      </c>
      <c r="K1631" s="20" t="inlineStr">
        <is>
          <t>Non-Captive</t>
        </is>
      </c>
      <c r="L1631" s="20" t="inlineStr">
        <is>
          <t>VIJIL</t>
        </is>
      </c>
      <c r="M1631" s="23" t="n">
        <v>5932.2</v>
      </c>
      <c r="N1631" s="23" t="n">
        <v>7000</v>
      </c>
      <c r="O1631" s="24">
        <f>IF(AND(ISNUMBER(M1631), ISNUMBER(I1631), I1631&gt;0), M1631/I1631, "")</f>
        <v/>
      </c>
    </row>
    <row r="1632">
      <c r="A1632" s="19" t="inlineStr">
        <is>
          <t>FY26</t>
        </is>
      </c>
      <c r="B1632" s="19" t="inlineStr">
        <is>
          <t>Jan</t>
        </is>
      </c>
      <c r="C1632" s="19" t="inlineStr">
        <is>
          <t>Kerala</t>
        </is>
      </c>
      <c r="D1632" s="20" t="inlineStr">
        <is>
          <t>KL32Q1115</t>
        </is>
      </c>
      <c r="E1632" s="20" t="inlineStr">
        <is>
          <t>HYUNDAI</t>
        </is>
      </c>
      <c r="F1632" s="20" t="inlineStr">
        <is>
          <t>Santro</t>
        </is>
      </c>
      <c r="G1632" s="21" t="n"/>
      <c r="H1632" s="22" t="n">
        <v>32454</v>
      </c>
      <c r="I1632" s="23" t="n">
        <v>375000</v>
      </c>
      <c r="J1632" s="20" t="inlineStr">
        <is>
          <t>POPULAR MARUTI</t>
        </is>
      </c>
      <c r="K1632" s="20" t="inlineStr">
        <is>
          <t>Non-Captive</t>
        </is>
      </c>
      <c r="L1632" s="20" t="inlineStr">
        <is>
          <t>VAISAKH</t>
        </is>
      </c>
      <c r="M1632" s="23" t="n">
        <v>8474.58</v>
      </c>
      <c r="N1632" s="23" t="n">
        <v>10000</v>
      </c>
      <c r="O1632" s="24">
        <f>IF(AND(ISNUMBER(M1632), ISNUMBER(I1632), I1632&gt;0), M1632/I1632, "")</f>
        <v/>
      </c>
    </row>
    <row r="1633">
      <c r="A1633" s="19" t="inlineStr">
        <is>
          <t>FY26</t>
        </is>
      </c>
      <c r="B1633" s="19" t="inlineStr">
        <is>
          <t>Jan</t>
        </is>
      </c>
      <c r="C1633" s="19" t="inlineStr">
        <is>
          <t>Kerala</t>
        </is>
      </c>
      <c r="D1633" s="20" t="inlineStr">
        <is>
          <t>KL07CF7206</t>
        </is>
      </c>
      <c r="E1633" s="20" t="inlineStr">
        <is>
          <t>MARUTI SUZUKI</t>
        </is>
      </c>
      <c r="F1633" s="20" t="inlineStr">
        <is>
          <t>Baleno</t>
        </is>
      </c>
      <c r="G1633" s="21" t="n"/>
      <c r="H1633" s="22" t="n">
        <v>69245</v>
      </c>
      <c r="I1633" s="23" t="n">
        <v>400000</v>
      </c>
      <c r="J1633" s="20" t="inlineStr">
        <is>
          <t>CARS24</t>
        </is>
      </c>
      <c r="K1633" s="20" t="inlineStr">
        <is>
          <t>Non-Captive</t>
        </is>
      </c>
      <c r="L1633" s="20" t="inlineStr">
        <is>
          <t>HUSSAIN O E</t>
        </is>
      </c>
      <c r="M1633" s="23" t="n">
        <v>10169.49</v>
      </c>
      <c r="N1633" s="23" t="n">
        <v>12000</v>
      </c>
      <c r="O1633" s="24">
        <f>IF(AND(ISNUMBER(M1633), ISNUMBER(I1633), I1633&gt;0), M1633/I1633, "")</f>
        <v/>
      </c>
    </row>
    <row r="1634">
      <c r="A1634" s="19" t="inlineStr">
        <is>
          <t>FY26</t>
        </is>
      </c>
      <c r="B1634" s="19" t="inlineStr">
        <is>
          <t>Jan</t>
        </is>
      </c>
      <c r="C1634" s="19" t="inlineStr">
        <is>
          <t>Kerala</t>
        </is>
      </c>
      <c r="D1634" s="20" t="inlineStr">
        <is>
          <t>KL39A0530</t>
        </is>
      </c>
      <c r="E1634" s="20" t="inlineStr">
        <is>
          <t>CHEVROLET</t>
        </is>
      </c>
      <c r="F1634" s="20" t="inlineStr">
        <is>
          <t>Spark</t>
        </is>
      </c>
      <c r="G1634" s="21" t="n"/>
      <c r="H1634" s="22" t="n">
        <v>93689</v>
      </c>
      <c r="I1634" s="23" t="n">
        <v>22000</v>
      </c>
      <c r="J1634" s="20" t="inlineStr">
        <is>
          <t>POPULAR MARUTI</t>
        </is>
      </c>
      <c r="K1634" s="20" t="inlineStr">
        <is>
          <t>Non-Captive</t>
        </is>
      </c>
      <c r="L1634" s="20" t="inlineStr">
        <is>
          <t>RAFEEK T A</t>
        </is>
      </c>
      <c r="M1634" s="23" t="n">
        <v>6779.66</v>
      </c>
      <c r="N1634" s="23" t="n">
        <v>8000</v>
      </c>
      <c r="O1634" s="24">
        <f>IF(AND(ISNUMBER(M1634), ISNUMBER(I1634), I1634&gt;0), M1634/I1634, "")</f>
        <v/>
      </c>
    </row>
    <row r="1635">
      <c r="A1635" s="19" t="inlineStr">
        <is>
          <t>FY26</t>
        </is>
      </c>
      <c r="B1635" s="19" t="inlineStr">
        <is>
          <t>Jan</t>
        </is>
      </c>
      <c r="C1635" s="19" t="inlineStr">
        <is>
          <t>Kerala</t>
        </is>
      </c>
      <c r="D1635" s="20" t="inlineStr">
        <is>
          <t>KL47M6441</t>
        </is>
      </c>
      <c r="E1635" s="20" t="inlineStr">
        <is>
          <t>MARUTI SUZUKI</t>
        </is>
      </c>
      <c r="F1635" s="20" t="inlineStr">
        <is>
          <t>Swift</t>
        </is>
      </c>
      <c r="G1635" s="21" t="n"/>
      <c r="H1635" s="22" t="n">
        <v>26875</v>
      </c>
      <c r="I1635" s="23" t="n">
        <v>675000</v>
      </c>
      <c r="J1635" s="20" t="inlineStr">
        <is>
          <t>PHOENIX VOLKSWAGEN</t>
        </is>
      </c>
      <c r="K1635" s="20" t="inlineStr">
        <is>
          <t>Non-Captive</t>
        </is>
      </c>
      <c r="L1635" s="20" t="inlineStr">
        <is>
          <t>UMESHKUMAR T U</t>
        </is>
      </c>
      <c r="M1635" s="23" t="n">
        <v>8474.58</v>
      </c>
      <c r="N1635" s="23" t="n">
        <v>10000</v>
      </c>
      <c r="O1635" s="24">
        <f>IF(AND(ISNUMBER(M1635), ISNUMBER(I1635), I1635&gt;0), M1635/I1635, "")</f>
        <v/>
      </c>
    </row>
    <row r="1636">
      <c r="A1636" s="19" t="inlineStr">
        <is>
          <t>FY26</t>
        </is>
      </c>
      <c r="B1636" s="19" t="inlineStr">
        <is>
          <t>Jan</t>
        </is>
      </c>
      <c r="C1636" s="19" t="inlineStr">
        <is>
          <t>Kerala</t>
        </is>
      </c>
      <c r="D1636" s="20" t="inlineStr">
        <is>
          <t>KL45P1396</t>
        </is>
      </c>
      <c r="E1636" s="20" t="inlineStr">
        <is>
          <t>MARUTI SUZUKI</t>
        </is>
      </c>
      <c r="F1636" s="20" t="inlineStr">
        <is>
          <t>Swift</t>
        </is>
      </c>
      <c r="G1636" s="21" t="n"/>
      <c r="H1636" s="22" t="n">
        <v>23805</v>
      </c>
      <c r="I1636" s="23" t="n">
        <v>375000</v>
      </c>
      <c r="J1636" s="20" t="inlineStr">
        <is>
          <t>POPULAR HYUNDAI</t>
        </is>
      </c>
      <c r="K1636" s="20" t="inlineStr">
        <is>
          <t>Non-Captive</t>
        </is>
      </c>
      <c r="L1636" s="20" t="inlineStr">
        <is>
          <t>AITOS CARS</t>
        </is>
      </c>
      <c r="M1636" s="23" t="n">
        <v>8474.58</v>
      </c>
      <c r="N1636" s="23" t="n">
        <v>10000</v>
      </c>
      <c r="O1636" s="24">
        <f>IF(AND(ISNUMBER(M1636), ISNUMBER(I1636), I1636&gt;0), M1636/I1636, "")</f>
        <v/>
      </c>
    </row>
    <row r="1637">
      <c r="A1637" s="19" t="inlineStr">
        <is>
          <t>FY26</t>
        </is>
      </c>
      <c r="B1637" s="19" t="inlineStr">
        <is>
          <t>Jan</t>
        </is>
      </c>
      <c r="C1637" s="19" t="inlineStr">
        <is>
          <t>Kerala</t>
        </is>
      </c>
      <c r="D1637" s="20" t="inlineStr">
        <is>
          <t>KL17E7947</t>
        </is>
      </c>
      <c r="E1637" s="20" t="inlineStr">
        <is>
          <t>HYUNDAI</t>
        </is>
      </c>
      <c r="F1637" s="20" t="inlineStr">
        <is>
          <t>Santro</t>
        </is>
      </c>
      <c r="G1637" s="21" t="n"/>
      <c r="H1637" s="22" t="n">
        <v>106742</v>
      </c>
      <c r="I1637" s="23" t="n">
        <v>30000</v>
      </c>
      <c r="J1637" s="20" t="inlineStr">
        <is>
          <t>POPULAR MARUTI</t>
        </is>
      </c>
      <c r="K1637" s="20" t="inlineStr">
        <is>
          <t>Non-Captive</t>
        </is>
      </c>
      <c r="L1637" s="20" t="inlineStr">
        <is>
          <t>HUSSAIN O E</t>
        </is>
      </c>
      <c r="M1637" s="23" t="n">
        <v>8474.58</v>
      </c>
      <c r="N1637" s="23" t="n">
        <v>10000</v>
      </c>
      <c r="O1637" s="24">
        <f>IF(AND(ISNUMBER(M1637), ISNUMBER(I1637), I1637&gt;0), M1637/I1637, "")</f>
        <v/>
      </c>
    </row>
    <row r="1638">
      <c r="A1638" s="19" t="inlineStr">
        <is>
          <t>FY26</t>
        </is>
      </c>
      <c r="B1638" s="19" t="inlineStr">
        <is>
          <t>Jan</t>
        </is>
      </c>
      <c r="C1638" s="19" t="inlineStr">
        <is>
          <t>Kerala</t>
        </is>
      </c>
      <c r="D1638" s="20" t="inlineStr">
        <is>
          <t>KL22L9374</t>
        </is>
      </c>
      <c r="E1638" s="20" t="inlineStr">
        <is>
          <t>FORD</t>
        </is>
      </c>
      <c r="F1638" s="20" t="inlineStr">
        <is>
          <t>Ecosport</t>
        </is>
      </c>
      <c r="G1638" s="21" t="n"/>
      <c r="H1638" s="22" t="n">
        <v>106000</v>
      </c>
      <c r="I1638" s="23" t="n">
        <v>532000</v>
      </c>
      <c r="J1638" s="20" t="inlineStr">
        <is>
          <t>SPRICE HYUNDAI</t>
        </is>
      </c>
      <c r="K1638" s="20" t="inlineStr">
        <is>
          <t>Non-Captive</t>
        </is>
      </c>
      <c r="L1638" s="20" t="inlineStr">
        <is>
          <t>PRAMOD</t>
        </is>
      </c>
      <c r="M1638" s="23" t="n">
        <v>6779.66</v>
      </c>
      <c r="N1638" s="23" t="n">
        <v>8000</v>
      </c>
      <c r="O1638" s="24">
        <f>IF(AND(ISNUMBER(M1638), ISNUMBER(I1638), I1638&gt;0), M1638/I1638, "")</f>
        <v/>
      </c>
    </row>
    <row r="1639">
      <c r="A1639" s="19" t="inlineStr">
        <is>
          <t>FY26</t>
        </is>
      </c>
      <c r="B1639" s="19" t="inlineStr">
        <is>
          <t>Jan</t>
        </is>
      </c>
      <c r="C1639" s="19" t="inlineStr">
        <is>
          <t>Kerala</t>
        </is>
      </c>
      <c r="D1639" s="20" t="inlineStr">
        <is>
          <t>KL23B9827</t>
        </is>
      </c>
      <c r="E1639" s="20" t="inlineStr">
        <is>
          <t>MARUTI SUZUKI</t>
        </is>
      </c>
      <c r="F1639" s="20" t="inlineStr">
        <is>
          <t>Swift Dzire</t>
        </is>
      </c>
      <c r="G1639" s="21" t="n"/>
      <c r="H1639" s="22" t="n">
        <v>175000</v>
      </c>
      <c r="I1639" s="23" t="n">
        <v>142000</v>
      </c>
      <c r="J1639" s="20" t="inlineStr">
        <is>
          <t>REFERENCE</t>
        </is>
      </c>
      <c r="K1639" s="20" t="inlineStr">
        <is>
          <t>Non-Captive</t>
        </is>
      </c>
      <c r="L1639" s="20" t="inlineStr">
        <is>
          <t>RAMSHAD</t>
        </is>
      </c>
      <c r="M1639" s="23" t="n">
        <v>6779.66</v>
      </c>
      <c r="N1639" s="23" t="n">
        <v>8000</v>
      </c>
      <c r="O1639" s="24">
        <f>IF(AND(ISNUMBER(M1639), ISNUMBER(I1639), I1639&gt;0), M1639/I1639, "")</f>
        <v/>
      </c>
    </row>
    <row r="1640">
      <c r="A1640" s="19" t="inlineStr">
        <is>
          <t>FY26</t>
        </is>
      </c>
      <c r="B1640" s="19" t="inlineStr">
        <is>
          <t>Jan</t>
        </is>
      </c>
      <c r="C1640" s="19" t="inlineStr">
        <is>
          <t>Kerala</t>
        </is>
      </c>
      <c r="D1640" s="20" t="inlineStr">
        <is>
          <t>KL70B5353</t>
        </is>
      </c>
      <c r="E1640" s="20" t="inlineStr">
        <is>
          <t>HYUNDAI</t>
        </is>
      </c>
      <c r="F1640" s="20" t="inlineStr">
        <is>
          <t>I20</t>
        </is>
      </c>
      <c r="G1640" s="21" t="n"/>
      <c r="H1640" s="22" t="n">
        <v>90000</v>
      </c>
      <c r="I1640" s="23" t="n">
        <v>395000</v>
      </c>
      <c r="J1640" s="20" t="inlineStr">
        <is>
          <t>MARVEL MOTORS</t>
        </is>
      </c>
      <c r="K1640" s="20" t="inlineStr">
        <is>
          <t>Non-Captive</t>
        </is>
      </c>
      <c r="L1640" s="20" t="inlineStr">
        <is>
          <t>SANOOP</t>
        </is>
      </c>
      <c r="M1640" s="23" t="n">
        <v>8474.58</v>
      </c>
      <c r="N1640" s="23" t="n">
        <v>10000</v>
      </c>
      <c r="O1640" s="24">
        <f>IF(AND(ISNUMBER(M1640), ISNUMBER(I1640), I1640&gt;0), M1640/I1640, "")</f>
        <v/>
      </c>
    </row>
    <row r="1641">
      <c r="A1641" s="19" t="inlineStr">
        <is>
          <t>FY26</t>
        </is>
      </c>
      <c r="B1641" s="19" t="inlineStr">
        <is>
          <t>Jan</t>
        </is>
      </c>
      <c r="C1641" s="19" t="inlineStr">
        <is>
          <t>Kerala</t>
        </is>
      </c>
      <c r="D1641" s="20" t="inlineStr">
        <is>
          <t>KL10AZ1203</t>
        </is>
      </c>
      <c r="E1641" s="20" t="inlineStr">
        <is>
          <t>MARUTI SUZUKI</t>
        </is>
      </c>
      <c r="F1641" s="20" t="inlineStr">
        <is>
          <t>Alto</t>
        </is>
      </c>
      <c r="G1641" s="21" t="n"/>
      <c r="H1641" s="22" t="n">
        <v>68000</v>
      </c>
      <c r="I1641" s="23" t="n">
        <v>223000</v>
      </c>
      <c r="J1641" s="20" t="inlineStr">
        <is>
          <t>UNAISE</t>
        </is>
      </c>
      <c r="K1641" s="20" t="inlineStr">
        <is>
          <t>Non-Captive</t>
        </is>
      </c>
      <c r="L1641" s="20" t="inlineStr">
        <is>
          <t>BIMAL</t>
        </is>
      </c>
      <c r="M1641" s="23" t="n">
        <v>5932.2</v>
      </c>
      <c r="N1641" s="23" t="n">
        <v>7000</v>
      </c>
      <c r="O1641" s="24">
        <f>IF(AND(ISNUMBER(M1641), ISNUMBER(I1641), I1641&gt;0), M1641/I1641, "")</f>
        <v/>
      </c>
    </row>
    <row r="1642">
      <c r="A1642" s="19" t="inlineStr">
        <is>
          <t>FY26</t>
        </is>
      </c>
      <c r="B1642" s="19" t="inlineStr">
        <is>
          <t>Jan</t>
        </is>
      </c>
      <c r="C1642" s="19" t="inlineStr">
        <is>
          <t>Kerala</t>
        </is>
      </c>
      <c r="D1642" s="20" t="inlineStr">
        <is>
          <t>KL03U6063</t>
        </is>
      </c>
      <c r="E1642" s="20" t="inlineStr">
        <is>
          <t>MARUTI SUZUKI</t>
        </is>
      </c>
      <c r="F1642" s="20" t="inlineStr">
        <is>
          <t>Swift</t>
        </is>
      </c>
      <c r="G1642" s="21" t="n"/>
      <c r="H1642" s="22" t="n">
        <v>78000</v>
      </c>
      <c r="I1642" s="23" t="n">
        <v>115000</v>
      </c>
      <c r="J1642" s="20" t="inlineStr">
        <is>
          <t>UNAISE</t>
        </is>
      </c>
      <c r="K1642" s="20" t="inlineStr">
        <is>
          <t>Non-Captive</t>
        </is>
      </c>
      <c r="L1642" s="20" t="inlineStr">
        <is>
          <t>BIMAL</t>
        </is>
      </c>
      <c r="M1642" s="23" t="n">
        <v>4237.29</v>
      </c>
      <c r="N1642" s="23" t="n">
        <v>5000</v>
      </c>
      <c r="O1642" s="24">
        <f>IF(AND(ISNUMBER(M1642), ISNUMBER(I1642), I1642&gt;0), M1642/I1642, "")</f>
        <v/>
      </c>
    </row>
    <row r="1643">
      <c r="A1643" s="19" t="inlineStr">
        <is>
          <t>FY26</t>
        </is>
      </c>
      <c r="B1643" s="19" t="inlineStr">
        <is>
          <t>Jan</t>
        </is>
      </c>
      <c r="C1643" s="19" t="inlineStr">
        <is>
          <t>Kerala</t>
        </is>
      </c>
      <c r="D1643" s="20" t="inlineStr">
        <is>
          <t>KL73C8527</t>
        </is>
      </c>
      <c r="E1643" s="20" t="inlineStr">
        <is>
          <t>HYUNDAI</t>
        </is>
      </c>
      <c r="F1643" s="20" t="inlineStr">
        <is>
          <t>Nios</t>
        </is>
      </c>
      <c r="G1643" s="21" t="n"/>
      <c r="H1643" s="22" t="n">
        <v>74000</v>
      </c>
      <c r="I1643" s="23" t="n">
        <v>385000</v>
      </c>
      <c r="J1643" s="20" t="inlineStr">
        <is>
          <t>MARVEL MOTORS</t>
        </is>
      </c>
      <c r="K1643" s="20" t="inlineStr">
        <is>
          <t>Non-Captive</t>
        </is>
      </c>
      <c r="L1643" s="20" t="inlineStr">
        <is>
          <t>BIMAL</t>
        </is>
      </c>
      <c r="M1643" s="23" t="n">
        <v>4237.29</v>
      </c>
      <c r="N1643" s="23" t="n">
        <v>5000</v>
      </c>
      <c r="O1643" s="24">
        <f>IF(AND(ISNUMBER(M1643), ISNUMBER(I1643), I1643&gt;0), M1643/I1643, "")</f>
        <v/>
      </c>
    </row>
    <row r="1644">
      <c r="A1644" s="19" t="inlineStr">
        <is>
          <t>FY26</t>
        </is>
      </c>
      <c r="B1644" s="19" t="inlineStr">
        <is>
          <t>Jan</t>
        </is>
      </c>
      <c r="C1644" s="19" t="inlineStr">
        <is>
          <t>Kerala</t>
        </is>
      </c>
      <c r="D1644" s="20" t="inlineStr">
        <is>
          <t>KL58T0066</t>
        </is>
      </c>
      <c r="E1644" s="20" t="inlineStr">
        <is>
          <t>MARUTI SUZUKI</t>
        </is>
      </c>
      <c r="F1644" s="20" t="inlineStr">
        <is>
          <t>Celerio</t>
        </is>
      </c>
      <c r="G1644" s="21" t="n"/>
      <c r="H1644" s="22" t="n">
        <v>83000</v>
      </c>
      <c r="I1644" s="23" t="n">
        <v>265000</v>
      </c>
      <c r="J1644" s="20" t="inlineStr">
        <is>
          <t>ATHUL</t>
        </is>
      </c>
      <c r="K1644" s="20" t="inlineStr">
        <is>
          <t>Non-Captive</t>
        </is>
      </c>
      <c r="L1644" s="20" t="inlineStr">
        <is>
          <t>BIMAL</t>
        </is>
      </c>
      <c r="M1644" s="23" t="n">
        <v>4237.29</v>
      </c>
      <c r="N1644" s="23" t="n">
        <v>5000</v>
      </c>
      <c r="O1644" s="24">
        <f>IF(AND(ISNUMBER(M1644), ISNUMBER(I1644), I1644&gt;0), M1644/I1644, "")</f>
        <v/>
      </c>
    </row>
    <row r="1645">
      <c r="A1645" s="19" t="inlineStr">
        <is>
          <t>FY26</t>
        </is>
      </c>
      <c r="B1645" s="19" t="inlineStr">
        <is>
          <t>Jan</t>
        </is>
      </c>
      <c r="C1645" s="19" t="inlineStr">
        <is>
          <t>Kerala</t>
        </is>
      </c>
      <c r="D1645" s="20" t="inlineStr">
        <is>
          <t>KL58R7284</t>
        </is>
      </c>
      <c r="E1645" s="20" t="inlineStr">
        <is>
          <t>MARUTI SUZUKI</t>
        </is>
      </c>
      <c r="F1645" s="20" t="inlineStr">
        <is>
          <t>Swift</t>
        </is>
      </c>
      <c r="G1645" s="21" t="n"/>
      <c r="H1645" s="22" t="n">
        <v>90000</v>
      </c>
      <c r="I1645" s="23" t="n">
        <v>290000</v>
      </c>
      <c r="J1645" s="20" t="inlineStr">
        <is>
          <t>MARVEL MOTORS</t>
        </is>
      </c>
      <c r="K1645" s="20" t="inlineStr">
        <is>
          <t>Non-Captive</t>
        </is>
      </c>
      <c r="L1645" s="20" t="inlineStr">
        <is>
          <t>KVR TATA</t>
        </is>
      </c>
      <c r="M1645" s="23" t="n">
        <v>5084.75</v>
      </c>
      <c r="N1645" s="23" t="n">
        <v>6000</v>
      </c>
      <c r="O1645" s="24">
        <f>IF(AND(ISNUMBER(M1645), ISNUMBER(I1645), I1645&gt;0), M1645/I1645, "")</f>
        <v/>
      </c>
    </row>
    <row r="1646">
      <c r="A1646" s="19" t="inlineStr">
        <is>
          <t>FY26</t>
        </is>
      </c>
      <c r="B1646" s="19" t="inlineStr">
        <is>
          <t>Jan</t>
        </is>
      </c>
      <c r="C1646" s="19" t="inlineStr">
        <is>
          <t>Kerala</t>
        </is>
      </c>
      <c r="D1646" s="20" t="inlineStr">
        <is>
          <t>KL18AB5949</t>
        </is>
      </c>
      <c r="E1646" s="20" t="inlineStr">
        <is>
          <t>MARUTI SUZUKI</t>
        </is>
      </c>
      <c r="F1646" s="20" t="inlineStr">
        <is>
          <t>Eeco</t>
        </is>
      </c>
      <c r="G1646" s="21" t="n"/>
      <c r="H1646" s="22" t="n">
        <v>80000</v>
      </c>
      <c r="I1646" s="23" t="n">
        <v>330000</v>
      </c>
      <c r="J1646" s="20" t="inlineStr">
        <is>
          <t>NIDEESH MOHAN</t>
        </is>
      </c>
      <c r="K1646" s="20" t="inlineStr">
        <is>
          <t>Non-Captive</t>
        </is>
      </c>
      <c r="L1646" s="20" t="inlineStr">
        <is>
          <t>APCO HYUNDAI</t>
        </is>
      </c>
      <c r="M1646" s="23" t="n">
        <v>8474.58</v>
      </c>
      <c r="N1646" s="23" t="n">
        <v>10000</v>
      </c>
      <c r="O1646" s="24">
        <f>IF(AND(ISNUMBER(M1646), ISNUMBER(I1646), I1646&gt;0), M1646/I1646, "")</f>
        <v/>
      </c>
    </row>
    <row r="1647">
      <c r="A1647" s="19" t="inlineStr">
        <is>
          <t>FY26</t>
        </is>
      </c>
      <c r="B1647" s="19" t="inlineStr">
        <is>
          <t>Jan</t>
        </is>
      </c>
      <c r="C1647" s="19" t="inlineStr">
        <is>
          <t>Kerala</t>
        </is>
      </c>
      <c r="D1647" s="20" t="inlineStr">
        <is>
          <t>KL47G4309</t>
        </is>
      </c>
      <c r="E1647" s="20" t="inlineStr">
        <is>
          <t>HYUNDAI</t>
        </is>
      </c>
      <c r="F1647" s="20" t="inlineStr">
        <is>
          <t>Eon</t>
        </is>
      </c>
      <c r="G1647" s="21" t="n"/>
      <c r="H1647" s="22" t="n">
        <v>34000</v>
      </c>
      <c r="I1647" s="23" t="n">
        <v>190000</v>
      </c>
      <c r="J1647" s="20" t="inlineStr">
        <is>
          <t>NIDEESH MOHAN</t>
        </is>
      </c>
      <c r="K1647" s="20" t="inlineStr">
        <is>
          <t>Non-Captive</t>
        </is>
      </c>
      <c r="L1647" s="20" t="inlineStr">
        <is>
          <t>DKH KIA</t>
        </is>
      </c>
      <c r="M1647" s="23" t="n">
        <v>8474.58</v>
      </c>
      <c r="N1647" s="23" t="n">
        <v>10000</v>
      </c>
      <c r="O1647" s="24">
        <f>IF(AND(ISNUMBER(M1647), ISNUMBER(I1647), I1647&gt;0), M1647/I1647, "")</f>
        <v/>
      </c>
    </row>
    <row r="1648">
      <c r="A1648" s="19" t="inlineStr">
        <is>
          <t>FY26</t>
        </is>
      </c>
      <c r="B1648" s="19" t="inlineStr">
        <is>
          <t>Jan</t>
        </is>
      </c>
      <c r="C1648" s="19" t="inlineStr">
        <is>
          <t>Kerala</t>
        </is>
      </c>
      <c r="D1648" s="20" t="inlineStr">
        <is>
          <t>KL01BU1819</t>
        </is>
      </c>
      <c r="E1648" s="20" t="inlineStr">
        <is>
          <t>MAHINDRA</t>
        </is>
      </c>
      <c r="F1648" s="20" t="inlineStr">
        <is>
          <t>Xuv300</t>
        </is>
      </c>
      <c r="G1648" s="21" t="n"/>
      <c r="H1648" s="22" t="n">
        <v>135000</v>
      </c>
      <c r="I1648" s="23" t="n">
        <v>460000</v>
      </c>
      <c r="J1648" s="20" t="inlineStr">
        <is>
          <t>SANTHOSH</t>
        </is>
      </c>
      <c r="K1648" s="20" t="inlineStr">
        <is>
          <t>Non-Captive</t>
        </is>
      </c>
      <c r="L1648" s="20" t="inlineStr">
        <is>
          <t>POPULAR MARUTI</t>
        </is>
      </c>
      <c r="M1648" s="23" t="n">
        <v>6779.66</v>
      </c>
      <c r="N1648" s="23" t="n">
        <v>8000</v>
      </c>
      <c r="O1648" s="24">
        <f>IF(AND(ISNUMBER(M1648), ISNUMBER(I1648), I1648&gt;0), M1648/I1648, "")</f>
        <v/>
      </c>
    </row>
    <row r="1649">
      <c r="A1649" s="19" t="inlineStr">
        <is>
          <t>FY26</t>
        </is>
      </c>
      <c r="B1649" s="19" t="inlineStr">
        <is>
          <t>Jan</t>
        </is>
      </c>
      <c r="C1649" s="19" t="inlineStr">
        <is>
          <t>Kerala</t>
        </is>
      </c>
      <c r="D1649" s="20" t="inlineStr">
        <is>
          <t>KL11BU1546</t>
        </is>
      </c>
      <c r="E1649" s="20" t="inlineStr">
        <is>
          <t>MARUTI SUZUKI</t>
        </is>
      </c>
      <c r="F1649" s="20" t="inlineStr">
        <is>
          <t>Brezza</t>
        </is>
      </c>
      <c r="G1649" s="21" t="n"/>
      <c r="H1649" s="22" t="n">
        <v>86000</v>
      </c>
      <c r="I1649" s="23" t="n">
        <v>625000</v>
      </c>
      <c r="J1649" s="20" t="inlineStr">
        <is>
          <t>MARK 4</t>
        </is>
      </c>
      <c r="K1649" s="20" t="inlineStr">
        <is>
          <t>Non-Captive</t>
        </is>
      </c>
      <c r="L1649" s="20" t="inlineStr">
        <is>
          <t>BIMAL MARUTI</t>
        </is>
      </c>
      <c r="M1649" s="23" t="n">
        <v>4237.29</v>
      </c>
      <c r="N1649" s="23" t="n">
        <v>5000</v>
      </c>
      <c r="O1649" s="24">
        <f>IF(AND(ISNUMBER(M1649), ISNUMBER(I1649), I1649&gt;0), M1649/I1649, "")</f>
        <v/>
      </c>
    </row>
    <row r="1650">
      <c r="A1650" s="19" t="inlineStr">
        <is>
          <t>FY26</t>
        </is>
      </c>
      <c r="B1650" s="19" t="inlineStr">
        <is>
          <t>Jan</t>
        </is>
      </c>
      <c r="C1650" s="19" t="inlineStr">
        <is>
          <t>Kerala</t>
        </is>
      </c>
      <c r="D1650" s="20" t="inlineStr">
        <is>
          <t>KL368292</t>
        </is>
      </c>
      <c r="E1650" s="20" t="inlineStr">
        <is>
          <t>HYUNDAI</t>
        </is>
      </c>
      <c r="F1650" s="20" t="inlineStr">
        <is>
          <t>I10</t>
        </is>
      </c>
      <c r="G1650" s="21" t="n"/>
      <c r="H1650" s="22" t="n">
        <v>70482</v>
      </c>
      <c r="I1650" s="23" t="n">
        <v>105000</v>
      </c>
      <c r="J1650" s="20" t="inlineStr">
        <is>
          <t>ANAS</t>
        </is>
      </c>
      <c r="K1650" s="20" t="inlineStr">
        <is>
          <t>Non-Captive</t>
        </is>
      </c>
      <c r="L1650" s="20" t="inlineStr">
        <is>
          <t>MUHAMMED SHAJI</t>
        </is>
      </c>
      <c r="M1650" s="23" t="n">
        <v>8474.58</v>
      </c>
      <c r="N1650" s="23" t="n">
        <v>10000</v>
      </c>
      <c r="O1650" s="24">
        <f>IF(AND(ISNUMBER(M1650), ISNUMBER(I1650), I1650&gt;0), M1650/I1650, "")</f>
        <v/>
      </c>
    </row>
    <row r="1651">
      <c r="A1651" s="19" t="inlineStr">
        <is>
          <t>FY26</t>
        </is>
      </c>
      <c r="B1651" s="19" t="inlineStr">
        <is>
          <t>Jan</t>
        </is>
      </c>
      <c r="C1651" s="19" t="inlineStr">
        <is>
          <t>Kerala</t>
        </is>
      </c>
      <c r="D1651" s="20" t="inlineStr">
        <is>
          <t>KL26A2714</t>
        </is>
      </c>
      <c r="E1651" s="20" t="inlineStr">
        <is>
          <t>MARUTI SUZUKI</t>
        </is>
      </c>
      <c r="F1651" s="20" t="inlineStr">
        <is>
          <t>Wagon R</t>
        </is>
      </c>
      <c r="G1651" s="21" t="n"/>
      <c r="H1651" s="22" t="n">
        <v>121200</v>
      </c>
      <c r="I1651" s="23" t="n">
        <v>65000</v>
      </c>
      <c r="J1651" s="20" t="inlineStr">
        <is>
          <t>POPULAR MARUTI</t>
        </is>
      </c>
      <c r="K1651" s="20" t="inlineStr">
        <is>
          <t>Non-Captive</t>
        </is>
      </c>
      <c r="L1651" s="20" t="inlineStr">
        <is>
          <t>VTJ</t>
        </is>
      </c>
      <c r="M1651" s="23" t="n">
        <v>6779.66</v>
      </c>
      <c r="N1651" s="23" t="n">
        <v>8000</v>
      </c>
      <c r="O1651" s="24">
        <f>IF(AND(ISNUMBER(M1651), ISNUMBER(I1651), I1651&gt;0), M1651/I1651, "")</f>
        <v/>
      </c>
    </row>
    <row r="1652">
      <c r="A1652" s="19" t="inlineStr">
        <is>
          <t>FY26</t>
        </is>
      </c>
      <c r="B1652" s="19" t="inlineStr">
        <is>
          <t>Jan</t>
        </is>
      </c>
      <c r="C1652" s="19" t="inlineStr">
        <is>
          <t>Kerala</t>
        </is>
      </c>
      <c r="D1652" s="20" t="inlineStr">
        <is>
          <t>KL07CB8857</t>
        </is>
      </c>
      <c r="E1652" s="20" t="inlineStr">
        <is>
          <t>MARUTI SUZUKI</t>
        </is>
      </c>
      <c r="F1652" s="20" t="inlineStr">
        <is>
          <t>Ciaz</t>
        </is>
      </c>
      <c r="G1652" s="21" t="n"/>
      <c r="H1652" s="22" t="n">
        <v>76983</v>
      </c>
      <c r="I1652" s="23" t="n">
        <v>340000</v>
      </c>
      <c r="J1652" s="20" t="inlineStr">
        <is>
          <t>POPULAR MARUTI</t>
        </is>
      </c>
      <c r="K1652" s="20" t="inlineStr">
        <is>
          <t>Non-Captive</t>
        </is>
      </c>
      <c r="L1652" s="20" t="inlineStr">
        <is>
          <t>VTJ</t>
        </is>
      </c>
      <c r="M1652" s="23" t="n">
        <v>8474.58</v>
      </c>
      <c r="N1652" s="23" t="n">
        <v>10000</v>
      </c>
      <c r="O1652" s="24">
        <f>IF(AND(ISNUMBER(M1652), ISNUMBER(I1652), I1652&gt;0), M1652/I1652, "")</f>
        <v/>
      </c>
    </row>
    <row r="1653">
      <c r="A1653" s="19" t="inlineStr">
        <is>
          <t>FY26</t>
        </is>
      </c>
      <c r="B1653" s="19" t="inlineStr">
        <is>
          <t>Jan</t>
        </is>
      </c>
      <c r="C1653" s="19" t="inlineStr">
        <is>
          <t>Kerala</t>
        </is>
      </c>
      <c r="D1653" s="20" t="inlineStr">
        <is>
          <t>KL08BW5977</t>
        </is>
      </c>
      <c r="E1653" s="20" t="inlineStr">
        <is>
          <t>DATSUN</t>
        </is>
      </c>
      <c r="F1653" s="20" t="inlineStr">
        <is>
          <t>Redi-Go</t>
        </is>
      </c>
      <c r="G1653" s="21" t="n"/>
      <c r="H1653" s="22" t="n">
        <v>30672</v>
      </c>
      <c r="I1653" s="23" t="n">
        <v>195000</v>
      </c>
      <c r="J1653" s="20" t="inlineStr">
        <is>
          <t>CARS24</t>
        </is>
      </c>
      <c r="K1653" s="20" t="inlineStr">
        <is>
          <t>Non-Captive</t>
        </is>
      </c>
      <c r="L1653" s="20" t="inlineStr">
        <is>
          <t>VTJ</t>
        </is>
      </c>
      <c r="M1653" s="23" t="n">
        <v>10169.49</v>
      </c>
      <c r="N1653" s="23" t="n">
        <v>12000</v>
      </c>
      <c r="O1653" s="24">
        <f>IF(AND(ISNUMBER(M1653), ISNUMBER(I1653), I1653&gt;0), M1653/I1653, "")</f>
        <v/>
      </c>
    </row>
    <row r="1654">
      <c r="A1654" s="19" t="inlineStr">
        <is>
          <t>FY26</t>
        </is>
      </c>
      <c r="B1654" s="19" t="inlineStr">
        <is>
          <t>Jan</t>
        </is>
      </c>
      <c r="C1654" s="19" t="inlineStr">
        <is>
          <t>Kerala</t>
        </is>
      </c>
      <c r="D1654" s="20" t="inlineStr">
        <is>
          <t>KL03U3578</t>
        </is>
      </c>
      <c r="E1654" s="20" t="inlineStr">
        <is>
          <t>MARUTI SUZUKI</t>
        </is>
      </c>
      <c r="F1654" s="20" t="inlineStr">
        <is>
          <t>Alto</t>
        </is>
      </c>
      <c r="G1654" s="21" t="n"/>
      <c r="H1654" s="22" t="n">
        <v>114548</v>
      </c>
      <c r="I1654" s="23" t="n">
        <v>84000</v>
      </c>
      <c r="J1654" s="20" t="inlineStr">
        <is>
          <t>ANAS HAMEED</t>
        </is>
      </c>
      <c r="K1654" s="20" t="inlineStr">
        <is>
          <t>Non-Captive</t>
        </is>
      </c>
      <c r="L1654" s="20" t="inlineStr">
        <is>
          <t>MUHAMMAD SHAJI</t>
        </is>
      </c>
      <c r="M1654" s="23" t="n">
        <v>5084.75</v>
      </c>
      <c r="N1654" s="23" t="n">
        <v>6000</v>
      </c>
      <c r="O1654" s="24">
        <f>IF(AND(ISNUMBER(M1654), ISNUMBER(I1654), I1654&gt;0), M1654/I1654, "")</f>
        <v/>
      </c>
    </row>
    <row r="1655">
      <c r="A1655" s="19" t="inlineStr">
        <is>
          <t>FY26</t>
        </is>
      </c>
      <c r="B1655" s="19" t="inlineStr">
        <is>
          <t>Jan</t>
        </is>
      </c>
      <c r="C1655" s="19" t="inlineStr">
        <is>
          <t>Kerala</t>
        </is>
      </c>
      <c r="D1655" s="20" t="inlineStr">
        <is>
          <t>KL65L2168</t>
        </is>
      </c>
      <c r="E1655" s="20" t="inlineStr">
        <is>
          <t>MARUTI SUZUKI</t>
        </is>
      </c>
      <c r="F1655" s="20" t="inlineStr">
        <is>
          <t>Alto</t>
        </is>
      </c>
      <c r="G1655" s="21" t="n"/>
      <c r="H1655" s="22" t="n">
        <v>64000</v>
      </c>
      <c r="I1655" s="23" t="n">
        <v>230000</v>
      </c>
      <c r="J1655" s="20" t="inlineStr">
        <is>
          <t>NIKESH</t>
        </is>
      </c>
      <c r="K1655" s="20" t="inlineStr">
        <is>
          <t>Non-Captive</t>
        </is>
      </c>
      <c r="L1655" s="20" t="inlineStr">
        <is>
          <t>BIMAL</t>
        </is>
      </c>
      <c r="M1655" s="23" t="n">
        <v>4237.29</v>
      </c>
      <c r="N1655" s="23" t="n">
        <v>5000</v>
      </c>
      <c r="O1655" s="24">
        <f>IF(AND(ISNUMBER(M1655), ISNUMBER(I1655), I1655&gt;0), M1655/I1655, "")</f>
        <v/>
      </c>
    </row>
    <row r="1656">
      <c r="A1656" s="19" t="inlineStr">
        <is>
          <t>FY26</t>
        </is>
      </c>
      <c r="B1656" s="19" t="inlineStr">
        <is>
          <t>Jan</t>
        </is>
      </c>
      <c r="C1656" s="19" t="inlineStr">
        <is>
          <t>Kerala</t>
        </is>
      </c>
      <c r="D1656" s="20" t="inlineStr">
        <is>
          <t>KL11BF9835</t>
        </is>
      </c>
      <c r="E1656" s="20" t="inlineStr">
        <is>
          <t>MARUTI SUZUKI</t>
        </is>
      </c>
      <c r="F1656" s="20" t="inlineStr">
        <is>
          <t>Baleno</t>
        </is>
      </c>
      <c r="G1656" s="21" t="n"/>
      <c r="H1656" s="22" t="n">
        <v>68000</v>
      </c>
      <c r="I1656" s="23" t="n">
        <v>435000</v>
      </c>
      <c r="J1656" s="20" t="inlineStr">
        <is>
          <t>ARJUN KK</t>
        </is>
      </c>
      <c r="K1656" s="20" t="inlineStr">
        <is>
          <t>Non-Captive</t>
        </is>
      </c>
      <c r="L1656" s="20" t="inlineStr">
        <is>
          <t>BIMAL</t>
        </is>
      </c>
      <c r="M1656" s="23" t="n">
        <v>4237.29</v>
      </c>
      <c r="N1656" s="23" t="n">
        <v>5000</v>
      </c>
      <c r="O1656" s="24">
        <f>IF(AND(ISNUMBER(M1656), ISNUMBER(I1656), I1656&gt;0), M1656/I1656, "")</f>
        <v/>
      </c>
    </row>
    <row r="1657">
      <c r="A1657" s="19" t="inlineStr">
        <is>
          <t>FY26</t>
        </is>
      </c>
      <c r="B1657" s="19" t="inlineStr">
        <is>
          <t>Jan</t>
        </is>
      </c>
      <c r="C1657" s="19" t="inlineStr">
        <is>
          <t>Kerala</t>
        </is>
      </c>
      <c r="D1657" s="20" t="inlineStr">
        <is>
          <t>KL11BX0343</t>
        </is>
      </c>
      <c r="E1657" s="20" t="inlineStr">
        <is>
          <t>MARUTI SUZUKI</t>
        </is>
      </c>
      <c r="F1657" s="20" t="inlineStr">
        <is>
          <t>Wagon R</t>
        </is>
      </c>
      <c r="G1657" s="21" t="n"/>
      <c r="H1657" s="22" t="n">
        <v>67000</v>
      </c>
      <c r="I1657" s="23" t="n">
        <v>505000</v>
      </c>
      <c r="J1657" s="20" t="inlineStr">
        <is>
          <t>ABBAS</t>
        </is>
      </c>
      <c r="K1657" s="20" t="inlineStr">
        <is>
          <t>Non-Captive</t>
        </is>
      </c>
      <c r="L1657" s="20" t="inlineStr">
        <is>
          <t>DKH KIA</t>
        </is>
      </c>
      <c r="M1657" s="23" t="n">
        <v>5932.2</v>
      </c>
      <c r="N1657" s="23" t="n">
        <v>7000</v>
      </c>
      <c r="O1657" s="24">
        <f>IF(AND(ISNUMBER(M1657), ISNUMBER(I1657), I1657&gt;0), M1657/I1657, "")</f>
        <v/>
      </c>
    </row>
    <row r="1658">
      <c r="A1658" s="19" t="inlineStr">
        <is>
          <t>FY26</t>
        </is>
      </c>
      <c r="B1658" s="19" t="inlineStr">
        <is>
          <t>Jan</t>
        </is>
      </c>
      <c r="C1658" s="19" t="inlineStr">
        <is>
          <t>Kerala</t>
        </is>
      </c>
      <c r="D1658" s="20" t="inlineStr">
        <is>
          <t>KL25J4879</t>
        </is>
      </c>
      <c r="E1658" s="20" t="inlineStr">
        <is>
          <t>RENAULT</t>
        </is>
      </c>
      <c r="F1658" s="20" t="inlineStr">
        <is>
          <t>Kwid</t>
        </is>
      </c>
      <c r="G1658" s="21" t="n"/>
      <c r="H1658" s="22" t="n">
        <v>34000</v>
      </c>
      <c r="I1658" s="23" t="n">
        <v>143000</v>
      </c>
      <c r="J1658" s="20" t="inlineStr">
        <is>
          <t>MUTHOOT HONDA</t>
        </is>
      </c>
      <c r="K1658" s="20" t="inlineStr">
        <is>
          <t>Non-Captive</t>
        </is>
      </c>
      <c r="L1658" s="20" t="inlineStr">
        <is>
          <t>AKHILNATH</t>
        </is>
      </c>
      <c r="M1658" s="23" t="n">
        <v>5932.2</v>
      </c>
      <c r="N1658" s="23" t="n">
        <v>7000</v>
      </c>
      <c r="O1658" s="24">
        <f>IF(AND(ISNUMBER(M1658), ISNUMBER(I1658), I1658&gt;0), M1658/I1658, "")</f>
        <v/>
      </c>
    </row>
    <row r="1659">
      <c r="A1659" s="19" t="inlineStr">
        <is>
          <t>FY26</t>
        </is>
      </c>
      <c r="B1659" s="19" t="inlineStr">
        <is>
          <t>Jan</t>
        </is>
      </c>
      <c r="C1659" s="19" t="inlineStr">
        <is>
          <t>Kerala</t>
        </is>
      </c>
      <c r="D1659" s="20" t="inlineStr">
        <is>
          <t>KL29C3504</t>
        </is>
      </c>
      <c r="E1659" s="20" t="inlineStr">
        <is>
          <t>HYUNDAI</t>
        </is>
      </c>
      <c r="F1659" s="20" t="inlineStr">
        <is>
          <t>Santro</t>
        </is>
      </c>
      <c r="G1659" s="21" t="n"/>
      <c r="H1659" s="22" t="n">
        <v>140939</v>
      </c>
      <c r="I1659" s="23" t="n">
        <v>52000</v>
      </c>
      <c r="J1659" s="20" t="inlineStr">
        <is>
          <t>LUXON TATA</t>
        </is>
      </c>
      <c r="K1659" s="20" t="inlineStr">
        <is>
          <t>Non-Captive</t>
        </is>
      </c>
      <c r="L1659" s="20" t="inlineStr">
        <is>
          <t>BIJIN</t>
        </is>
      </c>
      <c r="M1659" s="23" t="n">
        <v>6779.66</v>
      </c>
      <c r="N1659" s="23" t="n">
        <v>8000</v>
      </c>
      <c r="O1659" s="24">
        <f>IF(AND(ISNUMBER(M1659), ISNUMBER(I1659), I1659&gt;0), M1659/I1659, "")</f>
        <v/>
      </c>
    </row>
    <row r="1660">
      <c r="A1660" s="19" t="inlineStr">
        <is>
          <t>FY26</t>
        </is>
      </c>
      <c r="B1660" s="19" t="inlineStr">
        <is>
          <t>Jan</t>
        </is>
      </c>
      <c r="C1660" s="19" t="inlineStr">
        <is>
          <t>Kerala</t>
        </is>
      </c>
      <c r="D1660" s="20" t="inlineStr">
        <is>
          <t>KL36A4427</t>
        </is>
      </c>
      <c r="E1660" s="20" t="inlineStr">
        <is>
          <t>HYUNDAI</t>
        </is>
      </c>
      <c r="F1660" s="20" t="inlineStr">
        <is>
          <t>I20</t>
        </is>
      </c>
      <c r="G1660" s="21" t="n"/>
      <c r="H1660" s="22" t="n">
        <v>74657</v>
      </c>
      <c r="I1660" s="23" t="n">
        <v>100000</v>
      </c>
      <c r="J1660" s="20" t="inlineStr">
        <is>
          <t>POPULAR MARUTI</t>
        </is>
      </c>
      <c r="K1660" s="20" t="inlineStr">
        <is>
          <t>Non-Captive</t>
        </is>
      </c>
      <c r="L1660" s="20" t="inlineStr">
        <is>
          <t>VISHNU M S</t>
        </is>
      </c>
      <c r="M1660" s="23" t="n">
        <v>8474.58</v>
      </c>
      <c r="N1660" s="23" t="n">
        <v>10000</v>
      </c>
      <c r="O1660" s="24">
        <f>IF(AND(ISNUMBER(M1660), ISNUMBER(I1660), I1660&gt;0), M1660/I1660, "")</f>
        <v/>
      </c>
    </row>
    <row r="1661">
      <c r="A1661" s="19" t="inlineStr">
        <is>
          <t>FY26</t>
        </is>
      </c>
      <c r="B1661" s="19" t="inlineStr">
        <is>
          <t>Jan</t>
        </is>
      </c>
      <c r="C1661" s="19" t="inlineStr">
        <is>
          <t>Kerala</t>
        </is>
      </c>
      <c r="D1661" s="20" t="inlineStr">
        <is>
          <t>KL640430</t>
        </is>
      </c>
      <c r="E1661" s="20" t="inlineStr">
        <is>
          <t>MARUTI SUZUKI</t>
        </is>
      </c>
      <c r="F1661" s="20" t="inlineStr">
        <is>
          <t>Zen</t>
        </is>
      </c>
      <c r="G1661" s="21" t="n"/>
      <c r="H1661" s="22" t="n">
        <v>22083</v>
      </c>
      <c r="I1661" s="23" t="n">
        <v>85000</v>
      </c>
      <c r="J1661" s="20" t="inlineStr">
        <is>
          <t>MAIJO MARUTI</t>
        </is>
      </c>
      <c r="K1661" s="20" t="inlineStr">
        <is>
          <t>Non-Captive</t>
        </is>
      </c>
      <c r="L1661" s="20" t="inlineStr">
        <is>
          <t>HUSSAIN O E</t>
        </is>
      </c>
      <c r="M1661" s="23" t="n">
        <v>8474.58</v>
      </c>
      <c r="N1661" s="23" t="n">
        <v>10000</v>
      </c>
      <c r="O1661" s="24">
        <f>IF(AND(ISNUMBER(M1661), ISNUMBER(I1661), I1661&gt;0), M1661/I1661, "")</f>
        <v/>
      </c>
    </row>
    <row r="1662">
      <c r="A1662" s="19" t="inlineStr">
        <is>
          <t>FY26</t>
        </is>
      </c>
      <c r="B1662" s="19" t="inlineStr">
        <is>
          <t>Jan</t>
        </is>
      </c>
      <c r="C1662" s="19" t="inlineStr">
        <is>
          <t>Kerala</t>
        </is>
      </c>
      <c r="D1662" s="20" t="inlineStr">
        <is>
          <t>KL25G6798</t>
        </is>
      </c>
      <c r="E1662" s="20" t="inlineStr">
        <is>
          <t>MARUTI SUZUKI</t>
        </is>
      </c>
      <c r="F1662" s="20" t="inlineStr">
        <is>
          <t>Wagon R</t>
        </is>
      </c>
      <c r="G1662" s="21" t="n"/>
      <c r="H1662" s="22" t="n">
        <v>95000</v>
      </c>
      <c r="I1662" s="23" t="n">
        <v>213000</v>
      </c>
      <c r="J1662" s="20" t="inlineStr">
        <is>
          <t>POPULAR MARUTI</t>
        </is>
      </c>
      <c r="K1662" s="20" t="inlineStr">
        <is>
          <t>Non-Captive</t>
        </is>
      </c>
      <c r="L1662" s="20" t="inlineStr">
        <is>
          <t>ABHISHEK</t>
        </is>
      </c>
      <c r="M1662" s="23" t="n">
        <v>4237.29</v>
      </c>
      <c r="N1662" s="23" t="n">
        <v>5000</v>
      </c>
      <c r="O1662" s="24">
        <f>IF(AND(ISNUMBER(M1662), ISNUMBER(I1662), I1662&gt;0), M1662/I1662, "")</f>
        <v/>
      </c>
    </row>
    <row r="1663">
      <c r="A1663" s="19" t="inlineStr">
        <is>
          <t>FY26</t>
        </is>
      </c>
      <c r="B1663" s="19" t="inlineStr">
        <is>
          <t>Jan</t>
        </is>
      </c>
      <c r="C1663" s="19" t="inlineStr">
        <is>
          <t>Kerala</t>
        </is>
      </c>
      <c r="D1663" s="20" t="inlineStr">
        <is>
          <t>KL20B2394</t>
        </is>
      </c>
      <c r="E1663" s="20" t="inlineStr">
        <is>
          <t>MARUTI SUZUKI</t>
        </is>
      </c>
      <c r="F1663" s="20" t="inlineStr">
        <is>
          <t>Swift Dzire</t>
        </is>
      </c>
      <c r="G1663" s="21" t="n"/>
      <c r="H1663" s="22" t="n">
        <v>67500</v>
      </c>
      <c r="I1663" s="23" t="n">
        <v>180000</v>
      </c>
      <c r="J1663" s="20" t="inlineStr">
        <is>
          <t>TOYOTA FINANCE</t>
        </is>
      </c>
      <c r="K1663" s="20" t="inlineStr">
        <is>
          <t>Non-Captive</t>
        </is>
      </c>
      <c r="L1663" s="20" t="inlineStr">
        <is>
          <t>SUBRAMANIAN</t>
        </is>
      </c>
      <c r="M1663" s="23" t="n">
        <v>4237.29</v>
      </c>
      <c r="N1663" s="23" t="n">
        <v>5000</v>
      </c>
      <c r="O1663" s="24">
        <f>IF(AND(ISNUMBER(M1663), ISNUMBER(I1663), I1663&gt;0), M1663/I1663, "")</f>
        <v/>
      </c>
    </row>
    <row r="1664">
      <c r="A1664" s="19" t="inlineStr">
        <is>
          <t>FY26</t>
        </is>
      </c>
      <c r="B1664" s="19" t="inlineStr">
        <is>
          <t>Jan</t>
        </is>
      </c>
      <c r="C1664" s="19" t="inlineStr">
        <is>
          <t>Kerala</t>
        </is>
      </c>
      <c r="D1664" s="20" t="inlineStr">
        <is>
          <t>KL39D7746</t>
        </is>
      </c>
      <c r="E1664" s="20" t="inlineStr">
        <is>
          <t>MARUTI SUZUKI</t>
        </is>
      </c>
      <c r="F1664" s="20" t="inlineStr">
        <is>
          <t>A-Star</t>
        </is>
      </c>
      <c r="G1664" s="21" t="n"/>
      <c r="H1664" s="22" t="n">
        <v>67000</v>
      </c>
      <c r="I1664" s="23" t="n">
        <v>85000</v>
      </c>
      <c r="J1664" s="20" t="inlineStr">
        <is>
          <t>INCHEON KIA</t>
        </is>
      </c>
      <c r="K1664" s="20" t="inlineStr">
        <is>
          <t>Non-Captive</t>
        </is>
      </c>
      <c r="L1664" s="20" t="inlineStr">
        <is>
          <t>DINESH P S</t>
        </is>
      </c>
      <c r="M1664" s="23" t="n">
        <v>10169.49</v>
      </c>
      <c r="N1664" s="23" t="n">
        <v>12000</v>
      </c>
      <c r="O1664" s="24">
        <f>IF(AND(ISNUMBER(M1664), ISNUMBER(I1664), I1664&gt;0), M1664/I1664, "")</f>
        <v/>
      </c>
    </row>
    <row r="1665">
      <c r="A1665" s="19" t="inlineStr">
        <is>
          <t>FY26</t>
        </is>
      </c>
      <c r="B1665" s="19" t="inlineStr">
        <is>
          <t>Jan</t>
        </is>
      </c>
      <c r="C1665" s="19" t="inlineStr">
        <is>
          <t>Kerala</t>
        </is>
      </c>
      <c r="D1665" s="20" t="inlineStr">
        <is>
          <t>KL07CX7656</t>
        </is>
      </c>
      <c r="E1665" s="20" t="inlineStr">
        <is>
          <t>TATA</t>
        </is>
      </c>
      <c r="F1665" s="20" t="inlineStr">
        <is>
          <t>Nexon</t>
        </is>
      </c>
      <c r="G1665" s="21" t="n"/>
      <c r="H1665" s="22" t="n">
        <v>30972</v>
      </c>
      <c r="I1665" s="23" t="n">
        <v>585000</v>
      </c>
      <c r="J1665" s="20" t="inlineStr">
        <is>
          <t>GOKULAM TATA</t>
        </is>
      </c>
      <c r="K1665" s="20" t="inlineStr">
        <is>
          <t>Non-Captive</t>
        </is>
      </c>
      <c r="L1665" s="20" t="inlineStr">
        <is>
          <t>UMESHKUMAR T U</t>
        </is>
      </c>
      <c r="M1665" s="23" t="n">
        <v>8474.58</v>
      </c>
      <c r="N1665" s="23" t="n">
        <v>10000</v>
      </c>
      <c r="O1665" s="24">
        <f>IF(AND(ISNUMBER(M1665), ISNUMBER(I1665), I1665&gt;0), M1665/I1665, "")</f>
        <v/>
      </c>
    </row>
    <row r="1666">
      <c r="A1666" s="19" t="inlineStr">
        <is>
          <t>FY26</t>
        </is>
      </c>
      <c r="B1666" s="19" t="inlineStr">
        <is>
          <t>Jan</t>
        </is>
      </c>
      <c r="C1666" s="19" t="inlineStr">
        <is>
          <t>Kerala</t>
        </is>
      </c>
      <c r="D1666" s="20" t="inlineStr">
        <is>
          <t>KL36A3363</t>
        </is>
      </c>
      <c r="E1666" s="20" t="inlineStr">
        <is>
          <t>MARUTI SUZUKI</t>
        </is>
      </c>
      <c r="F1666" s="20" t="inlineStr">
        <is>
          <t>Alto</t>
        </is>
      </c>
      <c r="G1666" s="21" t="n"/>
      <c r="H1666" s="22" t="n">
        <v>84960</v>
      </c>
      <c r="I1666" s="23" t="n">
        <v>77000</v>
      </c>
      <c r="J1666" s="20" t="inlineStr">
        <is>
          <t>CARS24</t>
        </is>
      </c>
      <c r="K1666" s="20" t="inlineStr">
        <is>
          <t>Non-Captive</t>
        </is>
      </c>
      <c r="L1666" s="20" t="inlineStr">
        <is>
          <t>SALAM</t>
        </is>
      </c>
      <c r="M1666" s="23" t="n">
        <v>8474.58</v>
      </c>
      <c r="N1666" s="23" t="n">
        <v>10000</v>
      </c>
      <c r="O1666" s="24">
        <f>IF(AND(ISNUMBER(M1666), ISNUMBER(I1666), I1666&gt;0), M1666/I1666, "")</f>
        <v/>
      </c>
    </row>
    <row r="1667">
      <c r="A1667" s="19" t="inlineStr">
        <is>
          <t>FY26</t>
        </is>
      </c>
      <c r="B1667" s="19" t="inlineStr">
        <is>
          <t>Feb</t>
        </is>
      </c>
      <c r="C1667" s="19" t="inlineStr">
        <is>
          <t>Kerala</t>
        </is>
      </c>
      <c r="D1667" s="20" t="inlineStr">
        <is>
          <t>KL58M5553</t>
        </is>
      </c>
      <c r="E1667" s="20" t="inlineStr">
        <is>
          <t>HYUNDAI</t>
        </is>
      </c>
      <c r="F1667" s="20" t="inlineStr">
        <is>
          <t>Grand I10</t>
        </is>
      </c>
      <c r="G1667" s="21" t="n"/>
      <c r="H1667" s="22" t="n">
        <v>84000</v>
      </c>
      <c r="I1667" s="23" t="n">
        <v>297000</v>
      </c>
      <c r="J1667" s="20" t="inlineStr">
        <is>
          <t>VIJIL MARVEL CARS</t>
        </is>
      </c>
      <c r="K1667" s="20" t="inlineStr">
        <is>
          <t>Non-Captive</t>
        </is>
      </c>
      <c r="L1667" s="20" t="inlineStr">
        <is>
          <t>AMANA TOYOTA</t>
        </is>
      </c>
      <c r="M1667" s="23" t="n">
        <v>5932.2</v>
      </c>
      <c r="N1667" s="23" t="n">
        <v>7000</v>
      </c>
      <c r="O1667" s="24">
        <f>IF(AND(ISNUMBER(M1667), ISNUMBER(I1667), I1667&gt;0), M1667/I1667, "")</f>
        <v/>
      </c>
    </row>
    <row r="1668">
      <c r="A1668" s="19" t="inlineStr">
        <is>
          <t>FY26</t>
        </is>
      </c>
      <c r="B1668" s="19" t="inlineStr">
        <is>
          <t>Feb</t>
        </is>
      </c>
      <c r="C1668" s="19" t="inlineStr">
        <is>
          <t>Kerala</t>
        </is>
      </c>
      <c r="D1668" s="20" t="inlineStr">
        <is>
          <t>KL13AH3933</t>
        </is>
      </c>
      <c r="E1668" s="20" t="inlineStr">
        <is>
          <t>TATA</t>
        </is>
      </c>
      <c r="F1668" s="20" t="inlineStr">
        <is>
          <t>Tiago</t>
        </is>
      </c>
      <c r="G1668" s="21" t="n"/>
      <c r="H1668" s="22" t="n">
        <v>42000</v>
      </c>
      <c r="I1668" s="23" t="n">
        <v>195000</v>
      </c>
      <c r="J1668" s="20" t="inlineStr">
        <is>
          <t>HARI NK</t>
        </is>
      </c>
      <c r="K1668" s="20" t="inlineStr">
        <is>
          <t>Non-Captive</t>
        </is>
      </c>
      <c r="L1668" s="20" t="inlineStr">
        <is>
          <t>EVM NISSAN</t>
        </is>
      </c>
      <c r="M1668" s="23" t="n">
        <v>4237.29</v>
      </c>
      <c r="N1668" s="23" t="n">
        <v>5000</v>
      </c>
      <c r="O1668" s="24">
        <f>IF(AND(ISNUMBER(M1668), ISNUMBER(I1668), I1668&gt;0), M1668/I1668, "")</f>
        <v/>
      </c>
    </row>
    <row r="1669">
      <c r="A1669" s="19" t="inlineStr">
        <is>
          <t>FY26</t>
        </is>
      </c>
      <c r="B1669" s="19" t="inlineStr">
        <is>
          <t>Feb</t>
        </is>
      </c>
      <c r="C1669" s="19" t="inlineStr">
        <is>
          <t>Kerala</t>
        </is>
      </c>
      <c r="D1669" s="20" t="inlineStr">
        <is>
          <t>KL52L5979</t>
        </is>
      </c>
      <c r="E1669" s="20" t="inlineStr">
        <is>
          <t>HYUNDAI</t>
        </is>
      </c>
      <c r="F1669" s="20" t="inlineStr">
        <is>
          <t>Creta</t>
        </is>
      </c>
      <c r="G1669" s="21" t="n"/>
      <c r="H1669" s="22" t="n">
        <v>97000</v>
      </c>
      <c r="I1669" s="23" t="n">
        <v>550000</v>
      </c>
      <c r="J1669" s="20" t="inlineStr">
        <is>
          <t>M S NOUSHAD</t>
        </is>
      </c>
      <c r="K1669" s="20" t="inlineStr">
        <is>
          <t>Non-Captive</t>
        </is>
      </c>
      <c r="L1669" s="20" t="inlineStr">
        <is>
          <t>CLASSIC HYUNDAI</t>
        </is>
      </c>
      <c r="M1669" s="23" t="n">
        <v>6355.93</v>
      </c>
      <c r="N1669" s="23" t="n">
        <v>7500</v>
      </c>
      <c r="O1669" s="24">
        <f>IF(AND(ISNUMBER(M1669), ISNUMBER(I1669), I1669&gt;0), M1669/I1669, "")</f>
        <v/>
      </c>
    </row>
    <row r="1670">
      <c r="A1670" s="19" t="inlineStr">
        <is>
          <t>FY26</t>
        </is>
      </c>
      <c r="B1670" s="19" t="inlineStr">
        <is>
          <t>Feb</t>
        </is>
      </c>
      <c r="C1670" s="19" t="inlineStr">
        <is>
          <t>Kerala</t>
        </is>
      </c>
      <c r="D1670" s="20" t="inlineStr">
        <is>
          <t>KL01CU9461</t>
        </is>
      </c>
      <c r="E1670" s="20" t="inlineStr">
        <is>
          <t>TATA</t>
        </is>
      </c>
      <c r="F1670" s="20" t="inlineStr">
        <is>
          <t>Tiago</t>
        </is>
      </c>
      <c r="G1670" s="21" t="n"/>
      <c r="H1670" s="22" t="n">
        <v>41000</v>
      </c>
      <c r="I1670" s="23" t="n">
        <v>405000</v>
      </c>
      <c r="J1670" s="20" t="inlineStr">
        <is>
          <t>KANNUR PLATINUM</t>
        </is>
      </c>
      <c r="K1670" s="20" t="inlineStr">
        <is>
          <t>Non-Captive</t>
        </is>
      </c>
      <c r="L1670" s="20" t="inlineStr">
        <is>
          <t>BIMAL</t>
        </is>
      </c>
      <c r="M1670" s="23" t="n">
        <v>5932.2</v>
      </c>
      <c r="N1670" s="23" t="n">
        <v>7000</v>
      </c>
      <c r="O1670" s="24">
        <f>IF(AND(ISNUMBER(M1670), ISNUMBER(I1670), I1670&gt;0), M1670/I1670, "")</f>
        <v/>
      </c>
    </row>
    <row r="1671">
      <c r="A1671" s="19" t="inlineStr">
        <is>
          <t>FY26</t>
        </is>
      </c>
      <c r="B1671" s="19" t="inlineStr">
        <is>
          <t>Feb</t>
        </is>
      </c>
      <c r="C1671" s="19" t="inlineStr">
        <is>
          <t>Kerala</t>
        </is>
      </c>
      <c r="D1671" s="20" t="inlineStr">
        <is>
          <t>KL11BM0509</t>
        </is>
      </c>
      <c r="E1671" s="20" t="inlineStr">
        <is>
          <t>FORD</t>
        </is>
      </c>
      <c r="F1671" s="20" t="inlineStr">
        <is>
          <t>Freestyle</t>
        </is>
      </c>
      <c r="G1671" s="21" t="n"/>
      <c r="H1671" s="22" t="n">
        <v>105000</v>
      </c>
      <c r="I1671" s="23" t="n">
        <v>392000</v>
      </c>
      <c r="J1671" s="20" t="inlineStr">
        <is>
          <t>ANIL</t>
        </is>
      </c>
      <c r="K1671" s="20" t="inlineStr">
        <is>
          <t>Non-Captive</t>
        </is>
      </c>
      <c r="L1671" s="20" t="inlineStr">
        <is>
          <t>EVM SKODA</t>
        </is>
      </c>
      <c r="M1671" s="23" t="n">
        <v>8474.58</v>
      </c>
      <c r="N1671" s="23" t="n">
        <v>10000</v>
      </c>
      <c r="O1671" s="24">
        <f>IF(AND(ISNUMBER(M1671), ISNUMBER(I1671), I1671&gt;0), M1671/I1671, "")</f>
        <v/>
      </c>
    </row>
    <row r="1672">
      <c r="A1672" s="19" t="inlineStr">
        <is>
          <t>FY26</t>
        </is>
      </c>
      <c r="B1672" s="19" t="inlineStr">
        <is>
          <t>Feb</t>
        </is>
      </c>
      <c r="C1672" s="19" t="inlineStr">
        <is>
          <t>Kerala</t>
        </is>
      </c>
      <c r="D1672" s="20" t="inlineStr">
        <is>
          <t>KL13AC5137</t>
        </is>
      </c>
      <c r="E1672" s="20" t="inlineStr">
        <is>
          <t>NISSAN</t>
        </is>
      </c>
      <c r="F1672" s="20" t="inlineStr">
        <is>
          <t>Micra</t>
        </is>
      </c>
      <c r="G1672" s="21" t="n"/>
      <c r="H1672" s="22" t="n">
        <v>84000</v>
      </c>
      <c r="I1672" s="23" t="n">
        <v>120000</v>
      </c>
      <c r="J1672" s="20" t="inlineStr">
        <is>
          <t>KANNUR PLATINUM</t>
        </is>
      </c>
      <c r="K1672" s="20" t="inlineStr">
        <is>
          <t>Non-Captive</t>
        </is>
      </c>
      <c r="L1672" s="20" t="inlineStr">
        <is>
          <t>KVR TATA</t>
        </is>
      </c>
      <c r="M1672" s="23" t="n">
        <v>4237.29</v>
      </c>
      <c r="N1672" s="23" t="n">
        <v>5000</v>
      </c>
      <c r="O1672" s="24">
        <f>IF(AND(ISNUMBER(M1672), ISNUMBER(I1672), I1672&gt;0), M1672/I1672, "")</f>
        <v/>
      </c>
    </row>
    <row r="1673">
      <c r="A1673" s="19" t="inlineStr">
        <is>
          <t>FY26</t>
        </is>
      </c>
      <c r="B1673" s="19" t="inlineStr">
        <is>
          <t>Feb</t>
        </is>
      </c>
      <c r="C1673" s="19" t="inlineStr">
        <is>
          <t>Kerala</t>
        </is>
      </c>
      <c r="D1673" s="20" t="inlineStr">
        <is>
          <t>KL08AZ7203</t>
        </is>
      </c>
      <c r="E1673" s="20" t="inlineStr">
        <is>
          <t>VOLKSWAGEN</t>
        </is>
      </c>
      <c r="F1673" s="20" t="inlineStr">
        <is>
          <t>Vento</t>
        </is>
      </c>
      <c r="G1673" s="21" t="n"/>
      <c r="H1673" s="22" t="n">
        <v>56506</v>
      </c>
      <c r="I1673" s="23" t="n">
        <v>89000</v>
      </c>
      <c r="J1673" s="20" t="inlineStr">
        <is>
          <t>PHOENIX VOLKSWAGEN</t>
        </is>
      </c>
      <c r="K1673" s="20" t="inlineStr">
        <is>
          <t>Non-Captive</t>
        </is>
      </c>
      <c r="L1673" s="20" t="inlineStr">
        <is>
          <t>MUHAMMAD SHAJI</t>
        </is>
      </c>
      <c r="M1673" s="23" t="n">
        <v>8474.58</v>
      </c>
      <c r="N1673" s="23" t="n">
        <v>10000</v>
      </c>
      <c r="O1673" s="24">
        <f>IF(AND(ISNUMBER(M1673), ISNUMBER(I1673), I1673&gt;0), M1673/I1673, "")</f>
        <v/>
      </c>
    </row>
    <row r="1674">
      <c r="A1674" s="19" t="inlineStr">
        <is>
          <t>FY26</t>
        </is>
      </c>
      <c r="B1674" s="19" t="inlineStr">
        <is>
          <t>Feb</t>
        </is>
      </c>
      <c r="C1674" s="19" t="inlineStr">
        <is>
          <t>Kerala</t>
        </is>
      </c>
      <c r="D1674" s="20" t="inlineStr">
        <is>
          <t>KL40M4684</t>
        </is>
      </c>
      <c r="E1674" s="20" t="inlineStr">
        <is>
          <t>MARUTI SUZUKI</t>
        </is>
      </c>
      <c r="F1674" s="20" t="inlineStr">
        <is>
          <t>Swift</t>
        </is>
      </c>
      <c r="G1674" s="21" t="n"/>
      <c r="H1674" s="22" t="n">
        <v>105600</v>
      </c>
      <c r="I1674" s="23" t="n">
        <v>340000</v>
      </c>
      <c r="J1674" s="20" t="inlineStr">
        <is>
          <t>POPULAR MARUTI</t>
        </is>
      </c>
      <c r="K1674" s="20" t="inlineStr">
        <is>
          <t>Non-Captive</t>
        </is>
      </c>
      <c r="L1674" s="20" t="inlineStr">
        <is>
          <t>RAFEEK T A</t>
        </is>
      </c>
      <c r="M1674" s="23" t="n">
        <v>8474.58</v>
      </c>
      <c r="N1674" s="23" t="n">
        <v>10000</v>
      </c>
      <c r="O1674" s="24">
        <f>IF(AND(ISNUMBER(M1674), ISNUMBER(I1674), I1674&gt;0), M1674/I1674, "")</f>
        <v/>
      </c>
    </row>
    <row r="1675">
      <c r="A1675" s="19" t="inlineStr">
        <is>
          <t>FY26</t>
        </is>
      </c>
      <c r="B1675" s="19" t="inlineStr">
        <is>
          <t>Feb</t>
        </is>
      </c>
      <c r="C1675" s="19" t="inlineStr">
        <is>
          <t>Kerala</t>
        </is>
      </c>
      <c r="D1675" s="20" t="inlineStr">
        <is>
          <t>KL39N4145</t>
        </is>
      </c>
      <c r="E1675" s="20" t="inlineStr">
        <is>
          <t>MARUTI SUZUKI</t>
        </is>
      </c>
      <c r="F1675" s="20" t="inlineStr">
        <is>
          <t>Swift</t>
        </is>
      </c>
      <c r="G1675" s="21" t="n"/>
      <c r="H1675" s="22" t="n">
        <v>26890</v>
      </c>
      <c r="I1675" s="23" t="n">
        <v>515000</v>
      </c>
      <c r="J1675" s="20" t="inlineStr">
        <is>
          <t>EVM SKODA</t>
        </is>
      </c>
      <c r="K1675" s="20" t="inlineStr">
        <is>
          <t>Non-Captive</t>
        </is>
      </c>
      <c r="L1675" s="20" t="inlineStr">
        <is>
          <t>ASHRAF T A</t>
        </is>
      </c>
      <c r="M1675" s="23" t="n">
        <v>8474.58</v>
      </c>
      <c r="N1675" s="23" t="n">
        <v>10000</v>
      </c>
      <c r="O1675" s="24">
        <f>IF(AND(ISNUMBER(M1675), ISNUMBER(I1675), I1675&gt;0), M1675/I1675, "")</f>
        <v/>
      </c>
    </row>
    <row r="1676">
      <c r="A1676" s="19" t="inlineStr">
        <is>
          <t>FY26</t>
        </is>
      </c>
      <c r="B1676" s="19" t="inlineStr">
        <is>
          <t>Feb</t>
        </is>
      </c>
      <c r="C1676" s="19" t="inlineStr">
        <is>
          <t>Kerala</t>
        </is>
      </c>
      <c r="D1676" s="20" t="inlineStr">
        <is>
          <t>KL04V5860</t>
        </is>
      </c>
      <c r="E1676" s="20" t="inlineStr">
        <is>
          <t>MARUTI SUZUKI</t>
        </is>
      </c>
      <c r="F1676" s="20" t="inlineStr">
        <is>
          <t>Swift</t>
        </is>
      </c>
      <c r="G1676" s="21" t="n"/>
      <c r="H1676" s="22" t="n">
        <v>89000</v>
      </c>
      <c r="I1676" s="23" t="n">
        <v>30000</v>
      </c>
      <c r="J1676" s="20" t="inlineStr">
        <is>
          <t>CARS24</t>
        </is>
      </c>
      <c r="K1676" s="20" t="inlineStr">
        <is>
          <t>Non-Captive</t>
        </is>
      </c>
      <c r="L1676" s="20" t="inlineStr">
        <is>
          <t>4 WHEEL DRIVE</t>
        </is>
      </c>
      <c r="M1676" s="23" t="n">
        <v>8474.58</v>
      </c>
      <c r="N1676" s="23" t="n">
        <v>10000</v>
      </c>
      <c r="O1676" s="24">
        <f>IF(AND(ISNUMBER(M1676), ISNUMBER(I1676), I1676&gt;0), M1676/I1676, "")</f>
        <v/>
      </c>
    </row>
    <row r="1677">
      <c r="A1677" s="19" t="inlineStr">
        <is>
          <t>FY26</t>
        </is>
      </c>
      <c r="B1677" s="19" t="inlineStr">
        <is>
          <t>Feb</t>
        </is>
      </c>
      <c r="C1677" s="19" t="inlineStr">
        <is>
          <t>Kerala</t>
        </is>
      </c>
      <c r="D1677" s="20" t="inlineStr">
        <is>
          <t>KL33F8905</t>
        </is>
      </c>
      <c r="E1677" s="20" t="inlineStr">
        <is>
          <t>MARUTI SUZUKI</t>
        </is>
      </c>
      <c r="F1677" s="20" t="inlineStr">
        <is>
          <t>Swift Dzire</t>
        </is>
      </c>
      <c r="G1677" s="21" t="n"/>
      <c r="H1677" s="22" t="n">
        <v>107897</v>
      </c>
      <c r="I1677" s="23" t="n">
        <v>320000</v>
      </c>
      <c r="J1677" s="20" t="inlineStr">
        <is>
          <t>AMRITH V CHANDY</t>
        </is>
      </c>
      <c r="K1677" s="20" t="inlineStr">
        <is>
          <t>Non-Captive</t>
        </is>
      </c>
      <c r="L1677" s="20" t="inlineStr">
        <is>
          <t>MUHAMMAD SHAJI</t>
        </is>
      </c>
      <c r="M1677" s="23" t="n">
        <v>8474.58</v>
      </c>
      <c r="N1677" s="23" t="n">
        <v>10000</v>
      </c>
      <c r="O1677" s="24">
        <f>IF(AND(ISNUMBER(M1677), ISNUMBER(I1677), I1677&gt;0), M1677/I1677, "")</f>
        <v/>
      </c>
    </row>
    <row r="1678">
      <c r="A1678" s="19" t="inlineStr">
        <is>
          <t>FY26</t>
        </is>
      </c>
      <c r="B1678" s="19" t="inlineStr">
        <is>
          <t>Feb</t>
        </is>
      </c>
      <c r="C1678" s="19" t="inlineStr">
        <is>
          <t>Kerala</t>
        </is>
      </c>
      <c r="D1678" s="20" t="inlineStr">
        <is>
          <t>KL35F9122</t>
        </is>
      </c>
      <c r="E1678" s="20" t="inlineStr">
        <is>
          <t>TATA</t>
        </is>
      </c>
      <c r="F1678" s="20" t="inlineStr">
        <is>
          <t>Nano</t>
        </is>
      </c>
      <c r="G1678" s="21" t="n"/>
      <c r="H1678" s="22" t="n">
        <v>53464</v>
      </c>
      <c r="I1678" s="23" t="n">
        <v>155000</v>
      </c>
      <c r="J1678" s="20" t="inlineStr">
        <is>
          <t>ANAS VH</t>
        </is>
      </c>
      <c r="K1678" s="20" t="inlineStr">
        <is>
          <t>Non-Captive</t>
        </is>
      </c>
      <c r="L1678" s="20" t="inlineStr">
        <is>
          <t>SUDHEESH K SATHYAN</t>
        </is>
      </c>
      <c r="M1678" s="23" t="n">
        <v>7627.12</v>
      </c>
      <c r="N1678" s="23" t="n">
        <v>9000</v>
      </c>
      <c r="O1678" s="24">
        <f>IF(AND(ISNUMBER(M1678), ISNUMBER(I1678), I1678&gt;0), M1678/I1678, "")</f>
        <v/>
      </c>
    </row>
    <row r="1679">
      <c r="A1679" s="19" t="inlineStr">
        <is>
          <t>FY26</t>
        </is>
      </c>
      <c r="B1679" s="19" t="inlineStr">
        <is>
          <t>Feb</t>
        </is>
      </c>
      <c r="C1679" s="19" t="inlineStr">
        <is>
          <t>Kerala</t>
        </is>
      </c>
      <c r="D1679" s="20" t="inlineStr">
        <is>
          <t>KL01AT8748</t>
        </is>
      </c>
      <c r="E1679" s="20" t="inlineStr">
        <is>
          <t>HYUNDAI</t>
        </is>
      </c>
      <c r="F1679" s="20" t="inlineStr">
        <is>
          <t>Santro</t>
        </is>
      </c>
      <c r="G1679" s="21" t="n"/>
      <c r="H1679" s="22" t="n">
        <v>88900</v>
      </c>
      <c r="I1679" s="23" t="n">
        <v>39000</v>
      </c>
      <c r="J1679" s="20" t="inlineStr">
        <is>
          <t>SANTHOSH</t>
        </is>
      </c>
      <c r="K1679" s="20" t="inlineStr">
        <is>
          <t>Non-Captive</t>
        </is>
      </c>
      <c r="L1679" s="20" t="inlineStr">
        <is>
          <t>REFERENCE</t>
        </is>
      </c>
      <c r="M1679" s="23" t="n">
        <v>5084.75</v>
      </c>
      <c r="N1679" s="23" t="n">
        <v>6000</v>
      </c>
      <c r="O1679" s="24">
        <f>IF(AND(ISNUMBER(M1679), ISNUMBER(I1679), I1679&gt;0), M1679/I1679, "")</f>
        <v/>
      </c>
    </row>
    <row r="1680">
      <c r="A1680" s="19" t="inlineStr">
        <is>
          <t>FY26</t>
        </is>
      </c>
      <c r="B1680" s="19" t="inlineStr">
        <is>
          <t>Feb</t>
        </is>
      </c>
      <c r="C1680" s="19" t="inlineStr">
        <is>
          <t>Kerala</t>
        </is>
      </c>
      <c r="D1680" s="20" t="inlineStr">
        <is>
          <t>KL19B0502</t>
        </is>
      </c>
      <c r="E1680" s="20" t="inlineStr">
        <is>
          <t>MARUTI SUZUKI</t>
        </is>
      </c>
      <c r="F1680" s="20" t="inlineStr">
        <is>
          <t>Swift</t>
        </is>
      </c>
      <c r="G1680" s="21" t="n"/>
      <c r="H1680" s="22" t="n">
        <v>168000</v>
      </c>
      <c r="I1680" s="23" t="n">
        <v>130000</v>
      </c>
      <c r="J1680" s="20" t="inlineStr">
        <is>
          <t>ABHISHEK</t>
        </is>
      </c>
      <c r="K1680" s="20" t="inlineStr">
        <is>
          <t>Non-Captive</t>
        </is>
      </c>
      <c r="L1680" s="20" t="inlineStr">
        <is>
          <t>POPULAR MARUTI</t>
        </is>
      </c>
      <c r="M1680" s="23" t="n">
        <v>6779.66</v>
      </c>
      <c r="N1680" s="23" t="n">
        <v>8000</v>
      </c>
      <c r="O1680" s="24">
        <f>IF(AND(ISNUMBER(M1680), ISNUMBER(I1680), I1680&gt;0), M1680/I1680, "")</f>
        <v/>
      </c>
    </row>
    <row r="1681">
      <c r="A1681" s="19" t="inlineStr">
        <is>
          <t>FY26</t>
        </is>
      </c>
      <c r="B1681" s="19" t="inlineStr">
        <is>
          <t>Feb</t>
        </is>
      </c>
      <c r="C1681" s="19" t="inlineStr">
        <is>
          <t>Kerala</t>
        </is>
      </c>
      <c r="D1681" s="20" t="inlineStr">
        <is>
          <t>KL01BD3165</t>
        </is>
      </c>
      <c r="E1681" s="20" t="inlineStr">
        <is>
          <t>MARUTI SUZUKI</t>
        </is>
      </c>
      <c r="F1681" s="20" t="inlineStr">
        <is>
          <t>Swift Dzire</t>
        </is>
      </c>
      <c r="G1681" s="21" t="n"/>
      <c r="H1681" s="22" t="n">
        <v>117500</v>
      </c>
      <c r="I1681" s="23" t="n">
        <v>125000</v>
      </c>
      <c r="J1681" s="20" t="inlineStr">
        <is>
          <t>ABHISHEK</t>
        </is>
      </c>
      <c r="K1681" s="20" t="inlineStr">
        <is>
          <t>Non-Captive</t>
        </is>
      </c>
      <c r="L1681" s="20" t="inlineStr">
        <is>
          <t>POPULAR MARUTI</t>
        </is>
      </c>
      <c r="M1681" s="23" t="n">
        <v>5932.2</v>
      </c>
      <c r="N1681" s="23" t="n">
        <v>7000</v>
      </c>
      <c r="O1681" s="24">
        <f>IF(AND(ISNUMBER(M1681), ISNUMBER(I1681), I1681&gt;0), M1681/I1681, "")</f>
        <v/>
      </c>
    </row>
    <row r="1682">
      <c r="A1682" s="19" t="inlineStr">
        <is>
          <t>FY26</t>
        </is>
      </c>
      <c r="B1682" s="19" t="inlineStr">
        <is>
          <t>Feb</t>
        </is>
      </c>
      <c r="C1682" s="19" t="inlineStr">
        <is>
          <t>Kerala</t>
        </is>
      </c>
      <c r="D1682" s="20" t="inlineStr">
        <is>
          <t>KL01AQ9403</t>
        </is>
      </c>
      <c r="E1682" s="20" t="inlineStr">
        <is>
          <t>MARUTI SUZUKI</t>
        </is>
      </c>
      <c r="F1682" s="20" t="inlineStr">
        <is>
          <t>Wagon R</t>
        </is>
      </c>
      <c r="G1682" s="21" t="n"/>
      <c r="H1682" s="22" t="n">
        <v>96550</v>
      </c>
      <c r="I1682" s="23" t="n">
        <v>75000</v>
      </c>
      <c r="J1682" s="20" t="inlineStr">
        <is>
          <t>RAHUL</t>
        </is>
      </c>
      <c r="K1682" s="20" t="inlineStr">
        <is>
          <t>Non-Captive</t>
        </is>
      </c>
      <c r="L1682" s="20" t="inlineStr">
        <is>
          <t>POPULAR HYUNDAI</t>
        </is>
      </c>
      <c r="M1682" s="23" t="n">
        <v>5932.2</v>
      </c>
      <c r="N1682" s="23" t="n">
        <v>7000</v>
      </c>
      <c r="O1682" s="24">
        <f>IF(AND(ISNUMBER(M1682), ISNUMBER(I1682), I1682&gt;0), M1682/I1682, "")</f>
        <v/>
      </c>
    </row>
    <row r="1683">
      <c r="A1683" s="19" t="inlineStr">
        <is>
          <t>FY26</t>
        </is>
      </c>
      <c r="B1683" s="19" t="inlineStr">
        <is>
          <t>Feb</t>
        </is>
      </c>
      <c r="C1683" s="19" t="inlineStr">
        <is>
          <t>Kerala</t>
        </is>
      </c>
      <c r="D1683" s="20" t="inlineStr">
        <is>
          <t>KL23B5200</t>
        </is>
      </c>
      <c r="E1683" s="20" t="inlineStr">
        <is>
          <t>MARUTI SUZUKI</t>
        </is>
      </c>
      <c r="F1683" s="20" t="inlineStr">
        <is>
          <t>Wagon R</t>
        </is>
      </c>
      <c r="G1683" s="21" t="n"/>
      <c r="H1683" s="22" t="n">
        <v>88000</v>
      </c>
      <c r="I1683" s="23" t="n">
        <v>120000</v>
      </c>
      <c r="J1683" s="20" t="inlineStr">
        <is>
          <t>MIDHUN</t>
        </is>
      </c>
      <c r="K1683" s="20" t="inlineStr">
        <is>
          <t>Non-Captive</t>
        </is>
      </c>
      <c r="L1683" s="20" t="inlineStr">
        <is>
          <t>INDUS MARUTI</t>
        </is>
      </c>
      <c r="M1683" s="23" t="n">
        <v>6779.66</v>
      </c>
      <c r="N1683" s="23" t="n">
        <v>8000</v>
      </c>
      <c r="O1683" s="24">
        <f>IF(AND(ISNUMBER(M1683), ISNUMBER(I1683), I1683&gt;0), M1683/I1683, "")</f>
        <v/>
      </c>
    </row>
    <row r="1684">
      <c r="A1684" s="19" t="inlineStr">
        <is>
          <t>FY26</t>
        </is>
      </c>
      <c r="B1684" s="19" t="inlineStr">
        <is>
          <t>Feb</t>
        </is>
      </c>
      <c r="C1684" s="19" t="inlineStr">
        <is>
          <t>Kerala</t>
        </is>
      </c>
      <c r="D1684" s="20" t="inlineStr">
        <is>
          <t>KL41N2482</t>
        </is>
      </c>
      <c r="E1684" s="20" t="inlineStr">
        <is>
          <t>RENAULT</t>
        </is>
      </c>
      <c r="F1684" s="20" t="inlineStr">
        <is>
          <t>Kwid</t>
        </is>
      </c>
      <c r="G1684" s="21" t="n"/>
      <c r="H1684" s="22" t="n">
        <v>24443</v>
      </c>
      <c r="I1684" s="23" t="n">
        <v>210000</v>
      </c>
      <c r="J1684" s="20" t="inlineStr">
        <is>
          <t>NASSIMKUNJU</t>
        </is>
      </c>
      <c r="K1684" s="20" t="inlineStr">
        <is>
          <t>Non-Captive</t>
        </is>
      </c>
      <c r="L1684" s="20" t="inlineStr">
        <is>
          <t>MUTHOOT TATA</t>
        </is>
      </c>
      <c r="M1684" s="23" t="n">
        <v>5932.2</v>
      </c>
      <c r="N1684" s="23" t="n">
        <v>7000</v>
      </c>
      <c r="O1684" s="24">
        <f>IF(AND(ISNUMBER(M1684), ISNUMBER(I1684), I1684&gt;0), M1684/I1684, "")</f>
        <v/>
      </c>
    </row>
    <row r="1685">
      <c r="A1685" s="19" t="inlineStr">
        <is>
          <t>FY26</t>
        </is>
      </c>
      <c r="B1685" s="19" t="inlineStr">
        <is>
          <t>Feb</t>
        </is>
      </c>
      <c r="C1685" s="19" t="inlineStr">
        <is>
          <t>Kerala</t>
        </is>
      </c>
      <c r="D1685" s="20" t="inlineStr">
        <is>
          <t>KL07BY4466</t>
        </is>
      </c>
      <c r="E1685" s="20" t="inlineStr">
        <is>
          <t>MARUTI SUZUKI</t>
        </is>
      </c>
      <c r="F1685" s="20" t="inlineStr">
        <is>
          <t>A-Star</t>
        </is>
      </c>
      <c r="G1685" s="21" t="n"/>
      <c r="H1685" s="22" t="n">
        <v>51806</v>
      </c>
      <c r="I1685" s="23" t="n">
        <v>165000</v>
      </c>
      <c r="J1685" s="20" t="inlineStr">
        <is>
          <t>JISHNU PRIYAN</t>
        </is>
      </c>
      <c r="K1685" s="20" t="inlineStr">
        <is>
          <t>Non-Captive</t>
        </is>
      </c>
      <c r="L1685" s="20" t="inlineStr">
        <is>
          <t>HUSSAIN O E</t>
        </is>
      </c>
      <c r="M1685" s="23" t="n">
        <v>8474.58</v>
      </c>
      <c r="N1685" s="23" t="n">
        <v>10000</v>
      </c>
      <c r="O1685" s="24">
        <f>IF(AND(ISNUMBER(M1685), ISNUMBER(I1685), I1685&gt;0), M1685/I1685, "")</f>
        <v/>
      </c>
    </row>
    <row r="1686">
      <c r="A1686" s="19" t="inlineStr">
        <is>
          <t>FY26</t>
        </is>
      </c>
      <c r="B1686" s="19" t="inlineStr">
        <is>
          <t>Feb</t>
        </is>
      </c>
      <c r="C1686" s="19" t="inlineStr">
        <is>
          <t>Kerala</t>
        </is>
      </c>
      <c r="D1686" s="20" t="inlineStr">
        <is>
          <t>KL39R2947</t>
        </is>
      </c>
      <c r="E1686" s="20" t="inlineStr">
        <is>
          <t>TATA</t>
        </is>
      </c>
      <c r="F1686" s="20" t="inlineStr">
        <is>
          <t>Altroz</t>
        </is>
      </c>
      <c r="G1686" s="21" t="n"/>
      <c r="H1686" s="22" t="n">
        <v>85382</v>
      </c>
      <c r="I1686" s="23" t="n">
        <v>450000</v>
      </c>
      <c r="J1686" s="20" t="inlineStr">
        <is>
          <t>MAIJO MARUTI</t>
        </is>
      </c>
      <c r="K1686" s="20" t="inlineStr">
        <is>
          <t>Non-Captive</t>
        </is>
      </c>
      <c r="L1686" s="20" t="inlineStr">
        <is>
          <t>HUSSAIN O E</t>
        </is>
      </c>
      <c r="M1686" s="23" t="n">
        <v>8474.58</v>
      </c>
      <c r="N1686" s="23" t="n">
        <v>10000</v>
      </c>
      <c r="O1686" s="24">
        <f>IF(AND(ISNUMBER(M1686), ISNUMBER(I1686), I1686&gt;0), M1686/I1686, "")</f>
        <v/>
      </c>
    </row>
    <row r="1687">
      <c r="A1687" s="19" t="inlineStr">
        <is>
          <t>FY26</t>
        </is>
      </c>
      <c r="B1687" s="19" t="inlineStr">
        <is>
          <t>Feb</t>
        </is>
      </c>
      <c r="C1687" s="19" t="inlineStr">
        <is>
          <t>Kerala</t>
        </is>
      </c>
      <c r="D1687" s="20" t="inlineStr">
        <is>
          <t>KL69C8969</t>
        </is>
      </c>
      <c r="E1687" s="20" t="inlineStr">
        <is>
          <t>TATA</t>
        </is>
      </c>
      <c r="F1687" s="20" t="inlineStr">
        <is>
          <t>Punch</t>
        </is>
      </c>
      <c r="G1687" s="21" t="n"/>
      <c r="H1687" s="22" t="n">
        <v>106900</v>
      </c>
      <c r="I1687" s="23" t="n">
        <v>350000</v>
      </c>
      <c r="J1687" s="20" t="inlineStr">
        <is>
          <t>JANI MOHAN</t>
        </is>
      </c>
      <c r="K1687" s="20" t="inlineStr">
        <is>
          <t>Non-Captive</t>
        </is>
      </c>
      <c r="L1687" s="20" t="inlineStr">
        <is>
          <t>MUHAMMAD SHAJI</t>
        </is>
      </c>
      <c r="M1687" s="23" t="n">
        <v>12711.86</v>
      </c>
      <c r="N1687" s="23" t="n">
        <v>15000</v>
      </c>
      <c r="O1687" s="24">
        <f>IF(AND(ISNUMBER(M1687), ISNUMBER(I1687), I1687&gt;0), M1687/I1687, "")</f>
        <v/>
      </c>
    </row>
    <row r="1688">
      <c r="A1688" s="19" t="inlineStr">
        <is>
          <t>FY26</t>
        </is>
      </c>
      <c r="B1688" s="19" t="inlineStr">
        <is>
          <t>Feb</t>
        </is>
      </c>
      <c r="C1688" s="19" t="inlineStr">
        <is>
          <t>Kerala</t>
        </is>
      </c>
      <c r="D1688" s="20" t="inlineStr">
        <is>
          <t>KL64G8616</t>
        </is>
      </c>
      <c r="E1688" s="20" t="inlineStr">
        <is>
          <t>MARUTI SUZUKI</t>
        </is>
      </c>
      <c r="F1688" s="20" t="inlineStr">
        <is>
          <t>Swift</t>
        </is>
      </c>
      <c r="G1688" s="21" t="n"/>
      <c r="H1688" s="22" t="n">
        <v>77315</v>
      </c>
      <c r="I1688" s="23" t="n">
        <v>425000</v>
      </c>
      <c r="J1688" s="20" t="inlineStr">
        <is>
          <t>INCHEON KIA</t>
        </is>
      </c>
      <c r="K1688" s="20" t="inlineStr">
        <is>
          <t>Non-Captive</t>
        </is>
      </c>
      <c r="L1688" s="20" t="inlineStr">
        <is>
          <t>AITOS CARS</t>
        </is>
      </c>
      <c r="M1688" s="23" t="n">
        <v>8474.58</v>
      </c>
      <c r="N1688" s="23" t="n">
        <v>10000</v>
      </c>
      <c r="O1688" s="24">
        <f>IF(AND(ISNUMBER(M1688), ISNUMBER(I1688), I1688&gt;0), M1688/I1688, "")</f>
        <v/>
      </c>
    </row>
    <row r="1689">
      <c r="A1689" s="19" t="inlineStr">
        <is>
          <t>FY26</t>
        </is>
      </c>
      <c r="B1689" s="19" t="inlineStr">
        <is>
          <t>Feb</t>
        </is>
      </c>
      <c r="C1689" s="19" t="inlineStr">
        <is>
          <t>Kerala</t>
        </is>
      </c>
      <c r="D1689" s="20" t="inlineStr">
        <is>
          <t>KL39T7329</t>
        </is>
      </c>
      <c r="E1689" s="20" t="inlineStr">
        <is>
          <t>MARUTI SUZUKI</t>
        </is>
      </c>
      <c r="F1689" s="20" t="inlineStr">
        <is>
          <t>Wagon R</t>
        </is>
      </c>
      <c r="G1689" s="21" t="n"/>
      <c r="H1689" s="22" t="n">
        <v>40000</v>
      </c>
      <c r="I1689" s="23" t="n">
        <v>395000</v>
      </c>
      <c r="J1689" s="20" t="inlineStr">
        <is>
          <t>EVM CITROEN</t>
        </is>
      </c>
      <c r="K1689" s="20" t="inlineStr">
        <is>
          <t>Non-Captive</t>
        </is>
      </c>
      <c r="L1689" s="20" t="inlineStr">
        <is>
          <t>RAFEEK T A</t>
        </is>
      </c>
      <c r="M1689" s="23" t="n">
        <v>8474.58</v>
      </c>
      <c r="N1689" s="23" t="n">
        <v>10000</v>
      </c>
      <c r="O1689" s="24">
        <f>IF(AND(ISNUMBER(M1689), ISNUMBER(I1689), I1689&gt;0), M1689/I1689, "")</f>
        <v/>
      </c>
    </row>
    <row r="1690">
      <c r="A1690" s="19" t="inlineStr">
        <is>
          <t>FY26</t>
        </is>
      </c>
      <c r="B1690" s="19" t="inlineStr">
        <is>
          <t>Feb</t>
        </is>
      </c>
      <c r="C1690" s="19" t="inlineStr">
        <is>
          <t>Kerala</t>
        </is>
      </c>
      <c r="D1690" s="20" t="inlineStr">
        <is>
          <t>KL07CZ2831</t>
        </is>
      </c>
      <c r="E1690" s="20" t="inlineStr">
        <is>
          <t>MAHINDRA</t>
        </is>
      </c>
      <c r="F1690" s="20" t="inlineStr">
        <is>
          <t>Furio 7</t>
        </is>
      </c>
      <c r="G1690" s="21" t="n"/>
      <c r="H1690" s="22" t="n">
        <v>40000</v>
      </c>
      <c r="I1690" s="23" t="n">
        <v>570000</v>
      </c>
      <c r="J1690" s="20" t="inlineStr">
        <is>
          <t>MTBL</t>
        </is>
      </c>
      <c r="K1690" s="20" t="inlineStr">
        <is>
          <t>Non-Captive</t>
        </is>
      </c>
      <c r="L1690" s="20" t="inlineStr">
        <is>
          <t>ALI,HAPPY DRIVE</t>
        </is>
      </c>
      <c r="M1690" s="23" t="n">
        <v>8474.58</v>
      </c>
      <c r="N1690" s="23" t="n">
        <v>10000</v>
      </c>
      <c r="O1690" s="24">
        <f>IF(AND(ISNUMBER(M1690), ISNUMBER(I1690), I1690&gt;0), M1690/I1690, "")</f>
        <v/>
      </c>
    </row>
    <row r="1691">
      <c r="A1691" s="19" t="inlineStr">
        <is>
          <t>FY26</t>
        </is>
      </c>
      <c r="B1691" s="19" t="inlineStr">
        <is>
          <t>Feb</t>
        </is>
      </c>
      <c r="C1691" s="19" t="inlineStr">
        <is>
          <t>Kerala</t>
        </is>
      </c>
      <c r="D1691" s="20" t="inlineStr">
        <is>
          <t>KL07CZ2167</t>
        </is>
      </c>
      <c r="E1691" s="20" t="inlineStr">
        <is>
          <t>MAHINDRA</t>
        </is>
      </c>
      <c r="F1691" s="20" t="inlineStr">
        <is>
          <t>Furio 7</t>
        </is>
      </c>
      <c r="G1691" s="21" t="n"/>
      <c r="H1691" s="22" t="n">
        <v>20000</v>
      </c>
      <c r="I1691" s="23" t="n">
        <v>510000</v>
      </c>
      <c r="J1691" s="20" t="inlineStr">
        <is>
          <t>MTBL</t>
        </is>
      </c>
      <c r="K1691" s="20" t="inlineStr">
        <is>
          <t>Non-Captive</t>
        </is>
      </c>
      <c r="L1691" s="20" t="inlineStr">
        <is>
          <t>ALI,HAPPY DRIVE</t>
        </is>
      </c>
      <c r="M1691" s="23" t="n">
        <v>8474.58</v>
      </c>
      <c r="N1691" s="23" t="n">
        <v>10000</v>
      </c>
      <c r="O1691" s="24">
        <f>IF(AND(ISNUMBER(M1691), ISNUMBER(I1691), I1691&gt;0), M1691/I1691, "")</f>
        <v/>
      </c>
    </row>
    <row r="1692">
      <c r="A1692" s="19" t="inlineStr">
        <is>
          <t>FY26</t>
        </is>
      </c>
      <c r="B1692" s="19" t="inlineStr">
        <is>
          <t>Feb</t>
        </is>
      </c>
      <c r="C1692" s="19" t="inlineStr">
        <is>
          <t>Kerala</t>
        </is>
      </c>
      <c r="D1692" s="20" t="inlineStr">
        <is>
          <t>KL07CX7784</t>
        </is>
      </c>
      <c r="E1692" s="20" t="inlineStr">
        <is>
          <t>MAHINDRA</t>
        </is>
      </c>
      <c r="F1692" s="20" t="inlineStr">
        <is>
          <t>Furio 11</t>
        </is>
      </c>
      <c r="G1692" s="21" t="n"/>
      <c r="H1692" s="22" t="n">
        <v>42000</v>
      </c>
      <c r="I1692" s="23" t="n">
        <v>600000</v>
      </c>
      <c r="J1692" s="20" t="inlineStr">
        <is>
          <t>MTBL</t>
        </is>
      </c>
      <c r="K1692" s="20" t="inlineStr">
        <is>
          <t>Non-Captive</t>
        </is>
      </c>
      <c r="L1692" s="20" t="inlineStr">
        <is>
          <t>ALI,HAPPY DRIVE</t>
        </is>
      </c>
      <c r="M1692" s="23" t="n">
        <v>8474.58</v>
      </c>
      <c r="N1692" s="23" t="n">
        <v>10000</v>
      </c>
      <c r="O1692" s="24">
        <f>IF(AND(ISNUMBER(M1692), ISNUMBER(I1692), I1692&gt;0), M1692/I1692, "")</f>
        <v/>
      </c>
    </row>
    <row r="1693">
      <c r="A1693" s="19" t="inlineStr">
        <is>
          <t>FY26</t>
        </is>
      </c>
      <c r="B1693" s="19" t="inlineStr">
        <is>
          <t>Feb</t>
        </is>
      </c>
      <c r="C1693" s="19" t="inlineStr">
        <is>
          <t>Kerala</t>
        </is>
      </c>
      <c r="D1693" s="20" t="inlineStr">
        <is>
          <t>KL855843</t>
        </is>
      </c>
      <c r="E1693" s="20" t="inlineStr">
        <is>
          <t>KIA</t>
        </is>
      </c>
      <c r="F1693" s="20" t="inlineStr">
        <is>
          <t>Sonnet</t>
        </is>
      </c>
      <c r="G1693" s="21" t="n"/>
      <c r="H1693" s="22" t="n">
        <v>98000</v>
      </c>
      <c r="I1693" s="23" t="n">
        <v>660000</v>
      </c>
      <c r="J1693" s="20" t="inlineStr">
        <is>
          <t>ABBAS</t>
        </is>
      </c>
      <c r="K1693" s="20" t="inlineStr">
        <is>
          <t>Non-Captive</t>
        </is>
      </c>
      <c r="L1693" s="20" t="inlineStr">
        <is>
          <t>DKH KIA</t>
        </is>
      </c>
      <c r="M1693" s="23" t="n">
        <v>4237.29</v>
      </c>
      <c r="N1693" s="23" t="n">
        <v>5000</v>
      </c>
      <c r="O1693" s="24">
        <f>IF(AND(ISNUMBER(M1693), ISNUMBER(I1693), I1693&gt;0), M1693/I1693, "")</f>
        <v/>
      </c>
    </row>
    <row r="1694">
      <c r="A1694" s="19" t="inlineStr">
        <is>
          <t>FY26</t>
        </is>
      </c>
      <c r="B1694" s="19" t="inlineStr">
        <is>
          <t>Feb</t>
        </is>
      </c>
      <c r="C1694" s="19" t="inlineStr">
        <is>
          <t>Kerala</t>
        </is>
      </c>
      <c r="D1694" s="20" t="inlineStr">
        <is>
          <t>KL17Q8093</t>
        </is>
      </c>
      <c r="E1694" s="20" t="inlineStr">
        <is>
          <t>MAHINDRA</t>
        </is>
      </c>
      <c r="F1694" s="20" t="inlineStr">
        <is>
          <t>Kuv100</t>
        </is>
      </c>
      <c r="G1694" s="21" t="n"/>
      <c r="H1694" s="22" t="n">
        <v>86000</v>
      </c>
      <c r="I1694" s="23" t="n">
        <v>220000</v>
      </c>
      <c r="J1694" s="20" t="inlineStr">
        <is>
          <t>ABBAS</t>
        </is>
      </c>
      <c r="K1694" s="20" t="inlineStr">
        <is>
          <t>Non-Captive</t>
        </is>
      </c>
      <c r="L1694" s="20" t="inlineStr">
        <is>
          <t>SANTHOSH</t>
        </is>
      </c>
      <c r="M1694" s="23" t="n">
        <v>6355.93</v>
      </c>
      <c r="N1694" s="23" t="n">
        <v>7500</v>
      </c>
      <c r="O1694" s="24">
        <f>IF(AND(ISNUMBER(M1694), ISNUMBER(I1694), I1694&gt;0), M1694/I1694, "")</f>
        <v/>
      </c>
    </row>
    <row r="1695">
      <c r="A1695" s="19" t="inlineStr">
        <is>
          <t>FY26</t>
        </is>
      </c>
      <c r="B1695" s="19" t="inlineStr">
        <is>
          <t>Feb</t>
        </is>
      </c>
      <c r="C1695" s="19" t="inlineStr">
        <is>
          <t>Kerala</t>
        </is>
      </c>
      <c r="D1695" s="20" t="inlineStr">
        <is>
          <t>KL72C6764</t>
        </is>
      </c>
      <c r="E1695" s="20" t="inlineStr">
        <is>
          <t>TATA</t>
        </is>
      </c>
      <c r="F1695" s="20" t="inlineStr">
        <is>
          <t>Tiago</t>
        </is>
      </c>
      <c r="G1695" s="21" t="n"/>
      <c r="H1695" s="22" t="n">
        <v>50000</v>
      </c>
      <c r="I1695" s="23" t="n">
        <v>400000</v>
      </c>
      <c r="J1695" s="20" t="inlineStr">
        <is>
          <t>ABBAS</t>
        </is>
      </c>
      <c r="K1695" s="20" t="inlineStr">
        <is>
          <t>Non-Captive</t>
        </is>
      </c>
      <c r="L1695" s="20" t="inlineStr">
        <is>
          <t>EVM SKODA</t>
        </is>
      </c>
      <c r="M1695" s="23" t="n">
        <v>6355.93</v>
      </c>
      <c r="N1695" s="23" t="n">
        <v>7500</v>
      </c>
      <c r="O1695" s="24">
        <f>IF(AND(ISNUMBER(M1695), ISNUMBER(I1695), I1695&gt;0), M1695/I1695, "")</f>
        <v/>
      </c>
    </row>
    <row r="1696">
      <c r="A1696" s="19" t="inlineStr">
        <is>
          <t>FY26</t>
        </is>
      </c>
      <c r="B1696" s="19" t="inlineStr">
        <is>
          <t>Feb</t>
        </is>
      </c>
      <c r="C1696" s="19" t="inlineStr">
        <is>
          <t>Kerala</t>
        </is>
      </c>
      <c r="D1696" s="20" t="inlineStr">
        <is>
          <t>KL71D8517</t>
        </is>
      </c>
      <c r="E1696" s="20" t="inlineStr">
        <is>
          <t>HYUNDAI</t>
        </is>
      </c>
      <c r="F1696" s="20" t="inlineStr">
        <is>
          <t>Creta</t>
        </is>
      </c>
      <c r="G1696" s="21" t="n"/>
      <c r="H1696" s="22" t="n">
        <v>110000</v>
      </c>
      <c r="I1696" s="23" t="n">
        <v>655000</v>
      </c>
      <c r="J1696" s="20" t="inlineStr">
        <is>
          <t>CAPS</t>
        </is>
      </c>
      <c r="K1696" s="20" t="inlineStr">
        <is>
          <t>Non-Captive</t>
        </is>
      </c>
      <c r="L1696" s="20" t="inlineStr">
        <is>
          <t>CLASSIC HYUNDAI</t>
        </is>
      </c>
      <c r="M1696" s="23" t="n">
        <v>4237.29</v>
      </c>
      <c r="N1696" s="23" t="n">
        <v>5000</v>
      </c>
      <c r="O1696" s="24">
        <f>IF(AND(ISNUMBER(M1696), ISNUMBER(I1696), I1696&gt;0), M1696/I1696, "")</f>
        <v/>
      </c>
    </row>
    <row r="1697">
      <c r="A1697" s="19" t="inlineStr">
        <is>
          <t>FY26</t>
        </is>
      </c>
      <c r="B1697" s="19" t="inlineStr">
        <is>
          <t>Feb</t>
        </is>
      </c>
      <c r="C1697" s="19" t="inlineStr">
        <is>
          <t>Kerala</t>
        </is>
      </c>
      <c r="D1697" s="20" t="inlineStr">
        <is>
          <t>KL60M8073</t>
        </is>
      </c>
      <c r="E1697" s="20" t="inlineStr">
        <is>
          <t>MARUTI SUZUKI</t>
        </is>
      </c>
      <c r="F1697" s="20" t="inlineStr">
        <is>
          <t>Alto</t>
        </is>
      </c>
      <c r="G1697" s="21" t="n"/>
      <c r="H1697" s="22" t="n">
        <v>57000</v>
      </c>
      <c r="I1697" s="23" t="n">
        <v>220000</v>
      </c>
      <c r="J1697" s="20" t="inlineStr">
        <is>
          <t>NOUSHAD</t>
        </is>
      </c>
      <c r="K1697" s="20" t="inlineStr">
        <is>
          <t>Non-Captive</t>
        </is>
      </c>
      <c r="L1697" s="20" t="inlineStr">
        <is>
          <t>KPD UCD</t>
        </is>
      </c>
      <c r="M1697" s="23" t="n">
        <v>6355.93</v>
      </c>
      <c r="N1697" s="23" t="n">
        <v>7500</v>
      </c>
      <c r="O1697" s="24">
        <f>IF(AND(ISNUMBER(M1697), ISNUMBER(I1697), I1697&gt;0), M1697/I1697, "")</f>
        <v/>
      </c>
    </row>
    <row r="1698">
      <c r="A1698" s="19" t="inlineStr">
        <is>
          <t>FY26</t>
        </is>
      </c>
      <c r="B1698" s="19" t="inlineStr">
        <is>
          <t>Feb</t>
        </is>
      </c>
      <c r="C1698" s="19" t="inlineStr">
        <is>
          <t>Kerala</t>
        </is>
      </c>
      <c r="D1698" s="20" t="inlineStr">
        <is>
          <t>KL22L8780</t>
        </is>
      </c>
      <c r="E1698" s="20" t="inlineStr">
        <is>
          <t>MARUTI SUZUKI</t>
        </is>
      </c>
      <c r="F1698" s="20" t="inlineStr">
        <is>
          <t>Celerio</t>
        </is>
      </c>
      <c r="G1698" s="21" t="n"/>
      <c r="H1698" s="22" t="n">
        <v>84000</v>
      </c>
      <c r="I1698" s="23" t="n">
        <v>250000</v>
      </c>
      <c r="J1698" s="20" t="inlineStr">
        <is>
          <t>RAHUL</t>
        </is>
      </c>
      <c r="K1698" s="20" t="inlineStr">
        <is>
          <t>Non-Captive</t>
        </is>
      </c>
      <c r="L1698" s="20" t="inlineStr">
        <is>
          <t>TRIVANDRUM MOTORS</t>
        </is>
      </c>
      <c r="M1698" s="23" t="n">
        <v>5932.2</v>
      </c>
      <c r="N1698" s="23" t="n">
        <v>7000</v>
      </c>
      <c r="O1698" s="24">
        <f>IF(AND(ISNUMBER(M1698), ISNUMBER(I1698), I1698&gt;0), M1698/I1698, "")</f>
        <v/>
      </c>
    </row>
    <row r="1699">
      <c r="A1699" s="19" t="inlineStr">
        <is>
          <t>FY26</t>
        </is>
      </c>
      <c r="B1699" s="19" t="inlineStr">
        <is>
          <t>Feb</t>
        </is>
      </c>
      <c r="C1699" s="19" t="inlineStr">
        <is>
          <t>Kerala</t>
        </is>
      </c>
      <c r="D1699" s="20" t="inlineStr">
        <is>
          <t>KL21G2143</t>
        </is>
      </c>
      <c r="E1699" s="20" t="inlineStr">
        <is>
          <t>VOLKSWAGEN</t>
        </is>
      </c>
      <c r="F1699" s="20" t="inlineStr">
        <is>
          <t>Polo</t>
        </is>
      </c>
      <c r="G1699" s="21" t="n"/>
      <c r="H1699" s="22" t="n">
        <v>91000</v>
      </c>
      <c r="I1699" s="23" t="n">
        <v>170000</v>
      </c>
      <c r="J1699" s="20" t="inlineStr">
        <is>
          <t>AKHILNATH</t>
        </is>
      </c>
      <c r="K1699" s="20" t="inlineStr">
        <is>
          <t>Non-Captive</t>
        </is>
      </c>
      <c r="L1699" s="20" t="inlineStr">
        <is>
          <t>INDUS MARUTI</t>
        </is>
      </c>
      <c r="M1699" s="23" t="n">
        <v>6779.66</v>
      </c>
      <c r="N1699" s="23" t="n">
        <v>8000</v>
      </c>
      <c r="O1699" s="24">
        <f>IF(AND(ISNUMBER(M1699), ISNUMBER(I1699), I1699&gt;0), M1699/I1699, "")</f>
        <v/>
      </c>
    </row>
    <row r="1700">
      <c r="A1700" s="19" t="inlineStr">
        <is>
          <t>FY26</t>
        </is>
      </c>
      <c r="B1700" s="19" t="inlineStr">
        <is>
          <t>Feb</t>
        </is>
      </c>
      <c r="C1700" s="19" t="inlineStr">
        <is>
          <t>Kerala</t>
        </is>
      </c>
      <c r="D1700" s="20" t="inlineStr">
        <is>
          <t>KL58N8181</t>
        </is>
      </c>
      <c r="E1700" s="20" t="inlineStr">
        <is>
          <t>HYUNDAI</t>
        </is>
      </c>
      <c r="F1700" s="20" t="inlineStr">
        <is>
          <t>Tucson</t>
        </is>
      </c>
      <c r="G1700" s="21" t="n"/>
      <c r="H1700" s="22" t="n">
        <v>24000</v>
      </c>
      <c r="I1700" s="23" t="n">
        <v>980000</v>
      </c>
      <c r="J1700" s="20" t="inlineStr">
        <is>
          <t>HISHAM</t>
        </is>
      </c>
      <c r="K1700" s="20" t="inlineStr">
        <is>
          <t>Non-Captive</t>
        </is>
      </c>
      <c r="L1700" s="20" t="inlineStr">
        <is>
          <t>UCD KPD</t>
        </is>
      </c>
      <c r="M1700" s="23" t="n">
        <v>12711.86</v>
      </c>
      <c r="N1700" s="23" t="n">
        <v>15000</v>
      </c>
      <c r="O1700" s="24">
        <f>IF(AND(ISNUMBER(M1700), ISNUMBER(I1700), I1700&gt;0), M1700/I1700, "")</f>
        <v/>
      </c>
    </row>
    <row r="1701">
      <c r="A1701" s="19" t="inlineStr">
        <is>
          <t>FY26</t>
        </is>
      </c>
      <c r="B1701" s="19" t="inlineStr">
        <is>
          <t>Feb</t>
        </is>
      </c>
      <c r="C1701" s="19" t="inlineStr">
        <is>
          <t>Kerala</t>
        </is>
      </c>
      <c r="D1701" s="20" t="inlineStr">
        <is>
          <t>KL13AC3041</t>
        </is>
      </c>
      <c r="E1701" s="20" t="inlineStr">
        <is>
          <t>HYUNDAI</t>
        </is>
      </c>
      <c r="F1701" s="20" t="inlineStr">
        <is>
          <t>I10</t>
        </is>
      </c>
      <c r="G1701" s="21" t="n"/>
      <c r="H1701" s="22" t="n">
        <v>84000</v>
      </c>
      <c r="I1701" s="23" t="n">
        <v>250000</v>
      </c>
      <c r="J1701" s="20" t="inlineStr">
        <is>
          <t>VIJIL MARVEL CARS</t>
        </is>
      </c>
      <c r="K1701" s="20" t="inlineStr">
        <is>
          <t>Non-Captive</t>
        </is>
      </c>
      <c r="L1701" s="20" t="inlineStr">
        <is>
          <t>APCO HYUNDAI</t>
        </is>
      </c>
      <c r="M1701" s="23" t="n">
        <v>4237.29</v>
      </c>
      <c r="N1701" s="23" t="n">
        <v>5000</v>
      </c>
      <c r="O1701" s="24">
        <f>IF(AND(ISNUMBER(M1701), ISNUMBER(I1701), I1701&gt;0), M1701/I1701, "")</f>
        <v/>
      </c>
    </row>
    <row r="1702">
      <c r="A1702" s="19" t="inlineStr">
        <is>
          <t>FY26</t>
        </is>
      </c>
      <c r="B1702" s="19" t="inlineStr">
        <is>
          <t>Feb</t>
        </is>
      </c>
      <c r="C1702" s="19" t="inlineStr">
        <is>
          <t>Kerala</t>
        </is>
      </c>
      <c r="D1702" s="20" t="inlineStr">
        <is>
          <t>KL35K7695</t>
        </is>
      </c>
      <c r="E1702" s="20" t="inlineStr">
        <is>
          <t>FORD</t>
        </is>
      </c>
      <c r="F1702" s="20" t="inlineStr">
        <is>
          <t>Ecosport</t>
        </is>
      </c>
      <c r="G1702" s="21" t="n"/>
      <c r="H1702" s="22" t="n">
        <v>87000</v>
      </c>
      <c r="I1702" s="23" t="n">
        <v>625000</v>
      </c>
      <c r="J1702" s="20" t="inlineStr">
        <is>
          <t>KESHVIN HYUNDAI</t>
        </is>
      </c>
      <c r="K1702" s="20" t="inlineStr">
        <is>
          <t>Non-Captive</t>
        </is>
      </c>
      <c r="L1702" s="20" t="inlineStr">
        <is>
          <t>HUSSAIN O E</t>
        </is>
      </c>
      <c r="M1702" s="23" t="n">
        <v>8474.58</v>
      </c>
      <c r="N1702" s="23" t="n">
        <v>10000</v>
      </c>
      <c r="O1702" s="24">
        <f>IF(AND(ISNUMBER(M1702), ISNUMBER(I1702), I1702&gt;0), M1702/I1702, "")</f>
        <v/>
      </c>
    </row>
    <row r="1703">
      <c r="A1703" s="19" t="inlineStr">
        <is>
          <t>FY26</t>
        </is>
      </c>
      <c r="B1703" s="19" t="inlineStr">
        <is>
          <t>Feb</t>
        </is>
      </c>
      <c r="C1703" s="19" t="inlineStr">
        <is>
          <t>Kerala</t>
        </is>
      </c>
      <c r="D1703" s="20" t="inlineStr">
        <is>
          <t>KL48F4554</t>
        </is>
      </c>
      <c r="E1703" s="20" t="inlineStr">
        <is>
          <t>SKODA</t>
        </is>
      </c>
      <c r="F1703" s="20" t="inlineStr">
        <is>
          <t>Rapid</t>
        </is>
      </c>
      <c r="G1703" s="21" t="n"/>
      <c r="H1703" s="22" t="n">
        <v>76666</v>
      </c>
      <c r="I1703" s="23" t="n">
        <v>185000</v>
      </c>
      <c r="J1703" s="20" t="inlineStr">
        <is>
          <t>EVM SKODA</t>
        </is>
      </c>
      <c r="K1703" s="20" t="inlineStr">
        <is>
          <t>Non-Captive</t>
        </is>
      </c>
      <c r="L1703" s="20" t="inlineStr">
        <is>
          <t>MUHAMMAD SHAJI</t>
        </is>
      </c>
      <c r="M1703" s="23" t="n">
        <v>12711.86</v>
      </c>
      <c r="N1703" s="23" t="n">
        <v>15000</v>
      </c>
      <c r="O1703" s="24">
        <f>IF(AND(ISNUMBER(M1703), ISNUMBER(I1703), I1703&gt;0), M1703/I1703, "")</f>
        <v/>
      </c>
    </row>
    <row r="1704">
      <c r="A1704" s="19" t="inlineStr">
        <is>
          <t>FY26</t>
        </is>
      </c>
      <c r="B1704" s="19" t="inlineStr">
        <is>
          <t>Feb</t>
        </is>
      </c>
      <c r="C1704" s="19" t="inlineStr">
        <is>
          <t>Kerala</t>
        </is>
      </c>
      <c r="D1704" s="20" t="inlineStr">
        <is>
          <t>KL45V3467</t>
        </is>
      </c>
      <c r="E1704" s="20" t="inlineStr">
        <is>
          <t>MARUTI SUZUKI</t>
        </is>
      </c>
      <c r="F1704" s="20" t="inlineStr">
        <is>
          <t>Swift</t>
        </is>
      </c>
      <c r="G1704" s="21" t="n"/>
      <c r="H1704" s="22" t="n">
        <v>37000</v>
      </c>
      <c r="I1704" s="23" t="n">
        <v>490000</v>
      </c>
      <c r="J1704" s="20" t="inlineStr">
        <is>
          <t>POPULAR MARUTI</t>
        </is>
      </c>
      <c r="K1704" s="20" t="inlineStr">
        <is>
          <t>Non-Captive</t>
        </is>
      </c>
      <c r="L1704" s="20" t="inlineStr">
        <is>
          <t>AITOS CARS</t>
        </is>
      </c>
      <c r="M1704" s="23" t="n">
        <v>8474.58</v>
      </c>
      <c r="N1704" s="23" t="n">
        <v>10000</v>
      </c>
      <c r="O1704" s="24">
        <f>IF(AND(ISNUMBER(M1704), ISNUMBER(I1704), I1704&gt;0), M1704/I1704, "")</f>
        <v/>
      </c>
    </row>
    <row r="1705">
      <c r="A1705" s="19" t="inlineStr">
        <is>
          <t>FY26</t>
        </is>
      </c>
      <c r="B1705" s="19" t="inlineStr">
        <is>
          <t>Feb</t>
        </is>
      </c>
      <c r="C1705" s="19" t="inlineStr">
        <is>
          <t>Kerala</t>
        </is>
      </c>
      <c r="D1705" s="20" t="inlineStr">
        <is>
          <t>KL08BR0302</t>
        </is>
      </c>
      <c r="E1705" s="20" t="inlineStr">
        <is>
          <t>NISSAN</t>
        </is>
      </c>
      <c r="F1705" s="20" t="inlineStr">
        <is>
          <t>Redi-Go</t>
        </is>
      </c>
      <c r="G1705" s="21" t="n"/>
      <c r="H1705" s="22" t="n">
        <v>65326</v>
      </c>
      <c r="I1705" s="23" t="n">
        <v>117500</v>
      </c>
      <c r="J1705" s="20" t="inlineStr">
        <is>
          <t>EVM CITROEN</t>
        </is>
      </c>
      <c r="K1705" s="20" t="inlineStr">
        <is>
          <t>Non-Captive</t>
        </is>
      </c>
      <c r="L1705" s="20" t="inlineStr">
        <is>
          <t>AITOS CARS</t>
        </is>
      </c>
      <c r="M1705" s="23" t="n">
        <v>6355.93</v>
      </c>
      <c r="N1705" s="23" t="n">
        <v>7500</v>
      </c>
      <c r="O1705" s="24">
        <f>IF(AND(ISNUMBER(M1705), ISNUMBER(I1705), I1705&gt;0), M1705/I1705, "")</f>
        <v/>
      </c>
    </row>
    <row r="1706">
      <c r="A1706" s="19" t="inlineStr">
        <is>
          <t>FY26</t>
        </is>
      </c>
      <c r="B1706" s="19" t="inlineStr">
        <is>
          <t>Feb</t>
        </is>
      </c>
      <c r="C1706" s="19" t="inlineStr">
        <is>
          <t>Kerala</t>
        </is>
      </c>
      <c r="D1706" s="20" t="inlineStr">
        <is>
          <t>KL05T8953</t>
        </is>
      </c>
      <c r="E1706" s="20" t="inlineStr">
        <is>
          <t>MARUTI SUZUKI</t>
        </is>
      </c>
      <c r="F1706" s="20" t="inlineStr">
        <is>
          <t>Alto</t>
        </is>
      </c>
      <c r="G1706" s="21" t="n"/>
      <c r="H1706" s="22" t="n">
        <v>78689</v>
      </c>
      <c r="I1706" s="23" t="n">
        <v>66000</v>
      </c>
      <c r="J1706" s="20" t="inlineStr">
        <is>
          <t>MUHAMMAD SHAJI</t>
        </is>
      </c>
      <c r="K1706" s="20" t="inlineStr">
        <is>
          <t>Non-Captive</t>
        </is>
      </c>
      <c r="L1706" s="20" t="inlineStr">
        <is>
          <t>ANAS VH</t>
        </is>
      </c>
      <c r="M1706" s="23" t="n">
        <v>5932.2</v>
      </c>
      <c r="N1706" s="23" t="n">
        <v>7000</v>
      </c>
      <c r="O1706" s="24">
        <f>IF(AND(ISNUMBER(M1706), ISNUMBER(I1706), I1706&gt;0), M1706/I1706, "")</f>
        <v/>
      </c>
    </row>
    <row r="1707">
      <c r="A1707" s="19" t="inlineStr">
        <is>
          <t>FY26</t>
        </is>
      </c>
      <c r="B1707" s="19" t="inlineStr">
        <is>
          <t>Feb</t>
        </is>
      </c>
      <c r="C1707" s="19" t="inlineStr">
        <is>
          <t>Kerala</t>
        </is>
      </c>
      <c r="D1707" s="20" t="inlineStr">
        <is>
          <t>KL25L0066</t>
        </is>
      </c>
      <c r="E1707" s="20" t="inlineStr">
        <is>
          <t>MARUTI SUZUKI</t>
        </is>
      </c>
      <c r="F1707" s="20" t="inlineStr">
        <is>
          <t>Baleno</t>
        </is>
      </c>
      <c r="G1707" s="21" t="n"/>
      <c r="H1707" s="22" t="n">
        <v>119591</v>
      </c>
      <c r="I1707" s="23" t="n">
        <v>395000</v>
      </c>
      <c r="J1707" s="20" t="inlineStr">
        <is>
          <t>POPULAR MARUTI</t>
        </is>
      </c>
      <c r="K1707" s="20" t="inlineStr">
        <is>
          <t>Non-Captive</t>
        </is>
      </c>
      <c r="L1707" s="20" t="inlineStr">
        <is>
          <t>RAFEEK T A</t>
        </is>
      </c>
      <c r="M1707" s="23" t="n">
        <v>8474.58</v>
      </c>
      <c r="N1707" s="23" t="n">
        <v>10000</v>
      </c>
      <c r="O1707" s="24">
        <f>IF(AND(ISNUMBER(M1707), ISNUMBER(I1707), I1707&gt;0), M1707/I1707, "")</f>
        <v/>
      </c>
    </row>
    <row r="1708">
      <c r="A1708" s="19" t="inlineStr">
        <is>
          <t>FY26</t>
        </is>
      </c>
      <c r="B1708" s="19" t="inlineStr">
        <is>
          <t>Feb</t>
        </is>
      </c>
      <c r="C1708" s="19" t="inlineStr">
        <is>
          <t>Kerala</t>
        </is>
      </c>
      <c r="D1708" s="20" t="inlineStr">
        <is>
          <t>KL22L4890</t>
        </is>
      </c>
      <c r="E1708" s="20" t="inlineStr">
        <is>
          <t>TATA</t>
        </is>
      </c>
      <c r="F1708" s="20" t="inlineStr">
        <is>
          <t>Tiago</t>
        </is>
      </c>
      <c r="G1708" s="21" t="n"/>
      <c r="H1708" s="22" t="n">
        <v>20872</v>
      </c>
      <c r="I1708" s="23" t="n">
        <v>310000</v>
      </c>
      <c r="J1708" s="20" t="inlineStr">
        <is>
          <t>EVM CITROEN</t>
        </is>
      </c>
      <c r="K1708" s="20" t="inlineStr">
        <is>
          <t>Non-Captive</t>
        </is>
      </c>
      <c r="L1708" s="20" t="inlineStr">
        <is>
          <t>VTJ</t>
        </is>
      </c>
      <c r="M1708" s="23" t="n">
        <v>8474.58</v>
      </c>
      <c r="N1708" s="23" t="n">
        <v>10000</v>
      </c>
      <c r="O1708" s="24">
        <f>IF(AND(ISNUMBER(M1708), ISNUMBER(I1708), I1708&gt;0), M1708/I1708, "")</f>
        <v/>
      </c>
    </row>
    <row r="1709">
      <c r="A1709" s="19" t="inlineStr">
        <is>
          <t>FY26</t>
        </is>
      </c>
      <c r="B1709" s="19" t="inlineStr">
        <is>
          <t>Feb</t>
        </is>
      </c>
      <c r="C1709" s="19" t="inlineStr">
        <is>
          <t>Kerala</t>
        </is>
      </c>
      <c r="D1709" s="20" t="inlineStr">
        <is>
          <t>KL33P1680</t>
        </is>
      </c>
      <c r="E1709" s="20" t="inlineStr">
        <is>
          <t>TATA</t>
        </is>
      </c>
      <c r="F1709" s="20" t="inlineStr">
        <is>
          <t>Triber</t>
        </is>
      </c>
      <c r="G1709" s="21" t="n"/>
      <c r="H1709" s="22" t="n">
        <v>17500</v>
      </c>
      <c r="I1709" s="23" t="n">
        <v>490000</v>
      </c>
      <c r="J1709" s="20" t="inlineStr">
        <is>
          <t>EVM SKODA</t>
        </is>
      </c>
      <c r="K1709" s="20" t="inlineStr">
        <is>
          <t>Non-Captive</t>
        </is>
      </c>
      <c r="L1709" s="20" t="inlineStr">
        <is>
          <t>AITOS CARS</t>
        </is>
      </c>
      <c r="M1709" s="23" t="n">
        <v>8474.58</v>
      </c>
      <c r="N1709" s="23" t="n">
        <v>10000</v>
      </c>
      <c r="O1709" s="24">
        <f>IF(AND(ISNUMBER(M1709), ISNUMBER(I1709), I1709&gt;0), M1709/I1709, "")</f>
        <v/>
      </c>
    </row>
    <row r="1710">
      <c r="A1710" s="19" t="inlineStr">
        <is>
          <t>FY26</t>
        </is>
      </c>
      <c r="B1710" s="19" t="inlineStr">
        <is>
          <t>Feb</t>
        </is>
      </c>
      <c r="C1710" s="19" t="inlineStr">
        <is>
          <t>Kerala</t>
        </is>
      </c>
      <c r="D1710" s="20" t="inlineStr">
        <is>
          <t>KL38F7287</t>
        </is>
      </c>
      <c r="E1710" s="20" t="inlineStr">
        <is>
          <t>RENAULT</t>
        </is>
      </c>
      <c r="F1710" s="20" t="inlineStr">
        <is>
          <t>Kwid</t>
        </is>
      </c>
      <c r="G1710" s="21" t="n"/>
      <c r="H1710" s="22" t="n">
        <v>48353</v>
      </c>
      <c r="I1710" s="23" t="n">
        <v>237500</v>
      </c>
      <c r="J1710" s="20" t="inlineStr">
        <is>
          <t>GOKULAM TATA</t>
        </is>
      </c>
      <c r="K1710" s="20" t="inlineStr">
        <is>
          <t>Non-Captive</t>
        </is>
      </c>
      <c r="L1710" s="20" t="inlineStr">
        <is>
          <t>MANOJ</t>
        </is>
      </c>
      <c r="M1710" s="23" t="n">
        <v>6355.93</v>
      </c>
      <c r="N1710" s="23" t="n">
        <v>7500</v>
      </c>
      <c r="O1710" s="24">
        <f>IF(AND(ISNUMBER(M1710), ISNUMBER(I1710), I1710&gt;0), M1710/I1710, "")</f>
        <v/>
      </c>
    </row>
    <row r="1711">
      <c r="A1711" s="19" t="inlineStr">
        <is>
          <t>FY26</t>
        </is>
      </c>
      <c r="B1711" s="19" t="inlineStr">
        <is>
          <t>Feb</t>
        </is>
      </c>
      <c r="C1711" s="19" t="inlineStr">
        <is>
          <t>Kerala</t>
        </is>
      </c>
      <c r="D1711" s="20" t="inlineStr">
        <is>
          <t>KL07CD8020</t>
        </is>
      </c>
      <c r="E1711" s="20" t="inlineStr">
        <is>
          <t>RENAULT</t>
        </is>
      </c>
      <c r="F1711" s="20" t="inlineStr">
        <is>
          <t>Duster</t>
        </is>
      </c>
      <c r="G1711" s="21" t="n"/>
      <c r="H1711" s="22" t="n">
        <v>86444</v>
      </c>
      <c r="I1711" s="23" t="n">
        <v>100000</v>
      </c>
      <c r="J1711" s="20" t="inlineStr">
        <is>
          <t>JISHNU PRIYAN</t>
        </is>
      </c>
      <c r="K1711" s="20" t="inlineStr">
        <is>
          <t>Non-Captive</t>
        </is>
      </c>
      <c r="L1711" s="20" t="inlineStr">
        <is>
          <t>HUSSAIN O E</t>
        </is>
      </c>
      <c r="M1711" s="23" t="n">
        <v>8474.58</v>
      </c>
      <c r="N1711" s="23" t="n">
        <v>10000</v>
      </c>
      <c r="O1711" s="24">
        <f>IF(AND(ISNUMBER(M1711), ISNUMBER(I1711), I1711&gt;0), M1711/I1711, "")</f>
        <v/>
      </c>
    </row>
    <row r="1712">
      <c r="A1712" s="19" t="inlineStr">
        <is>
          <t>FY26</t>
        </is>
      </c>
      <c r="B1712" s="19" t="inlineStr">
        <is>
          <t>Feb</t>
        </is>
      </c>
      <c r="C1712" s="19" t="inlineStr">
        <is>
          <t>Kerala</t>
        </is>
      </c>
      <c r="D1712" s="20" t="inlineStr">
        <is>
          <t>KL55A8792</t>
        </is>
      </c>
      <c r="E1712" s="20" t="inlineStr">
        <is>
          <t>TOYOTA</t>
        </is>
      </c>
      <c r="F1712" s="20" t="inlineStr">
        <is>
          <t>Innova</t>
        </is>
      </c>
      <c r="G1712" s="21" t="n"/>
      <c r="H1712" s="22" t="n">
        <v>345768</v>
      </c>
      <c r="I1712" s="23" t="n">
        <v>325000</v>
      </c>
      <c r="J1712" s="20" t="inlineStr">
        <is>
          <t>MUHAMMAD SHAJI</t>
        </is>
      </c>
      <c r="K1712" s="20" t="inlineStr">
        <is>
          <t>Non-Captive</t>
        </is>
      </c>
      <c r="L1712" s="20" t="inlineStr">
        <is>
          <t>ANAS VH</t>
        </is>
      </c>
      <c r="M1712" s="23" t="n">
        <v>8474.58</v>
      </c>
      <c r="N1712" s="23" t="n">
        <v>10000</v>
      </c>
      <c r="O1712" s="24">
        <f>IF(AND(ISNUMBER(M1712), ISNUMBER(I1712), I1712&gt;0), M1712/I1712, "")</f>
        <v/>
      </c>
    </row>
    <row r="1713">
      <c r="A1713" s="19" t="inlineStr">
        <is>
          <t>FY26</t>
        </is>
      </c>
      <c r="B1713" s="19" t="inlineStr">
        <is>
          <t>Feb</t>
        </is>
      </c>
      <c r="C1713" s="19" t="inlineStr">
        <is>
          <t>Kerala</t>
        </is>
      </c>
      <c r="D1713" s="20" t="inlineStr">
        <is>
          <t>KL389473</t>
        </is>
      </c>
      <c r="E1713" s="20" t="inlineStr">
        <is>
          <t>HYUNDAI</t>
        </is>
      </c>
      <c r="F1713" s="20" t="inlineStr">
        <is>
          <t>Santro</t>
        </is>
      </c>
      <c r="G1713" s="21" t="n"/>
      <c r="H1713" s="22" t="n">
        <v>116000</v>
      </c>
      <c r="I1713" s="23" t="n">
        <v>89000</v>
      </c>
      <c r="J1713" s="20" t="inlineStr">
        <is>
          <t>TINU P SOMAN</t>
        </is>
      </c>
      <c r="K1713" s="20" t="inlineStr">
        <is>
          <t>Non-Captive</t>
        </is>
      </c>
      <c r="L1713" s="20" t="inlineStr">
        <is>
          <t>SUDHEESH K SATHYAN</t>
        </is>
      </c>
      <c r="M1713" s="23" t="n">
        <v>8474.58</v>
      </c>
      <c r="N1713" s="23" t="n">
        <v>10000</v>
      </c>
      <c r="O1713" s="24">
        <f>IF(AND(ISNUMBER(M1713), ISNUMBER(I1713), I1713&gt;0), M1713/I1713, "")</f>
        <v/>
      </c>
    </row>
    <row r="1714">
      <c r="A1714" s="19" t="inlineStr">
        <is>
          <t>FY26</t>
        </is>
      </c>
      <c r="B1714" s="19" t="inlineStr">
        <is>
          <t>Feb</t>
        </is>
      </c>
      <c r="C1714" s="19" t="inlineStr">
        <is>
          <t>Kerala</t>
        </is>
      </c>
      <c r="D1714" s="20" t="inlineStr">
        <is>
          <t>KL38B3341</t>
        </is>
      </c>
      <c r="E1714" s="20" t="inlineStr">
        <is>
          <t>MARUTI SUZUKI</t>
        </is>
      </c>
      <c r="F1714" s="20" t="inlineStr">
        <is>
          <t>A-Star</t>
        </is>
      </c>
      <c r="G1714" s="21" t="n"/>
      <c r="H1714" s="22" t="n">
        <v>93570</v>
      </c>
      <c r="I1714" s="23" t="n">
        <v>50000</v>
      </c>
      <c r="J1714" s="20" t="inlineStr">
        <is>
          <t>MAIJO MARUTI</t>
        </is>
      </c>
      <c r="K1714" s="20" t="inlineStr">
        <is>
          <t>Non-Captive</t>
        </is>
      </c>
      <c r="L1714" s="20" t="inlineStr">
        <is>
          <t>ABITH M S</t>
        </is>
      </c>
      <c r="M1714" s="23" t="n">
        <v>8474.58</v>
      </c>
      <c r="N1714" s="23" t="n">
        <v>10000</v>
      </c>
      <c r="O1714" s="24">
        <f>IF(AND(ISNUMBER(M1714), ISNUMBER(I1714), I1714&gt;0), M1714/I1714, "")</f>
        <v/>
      </c>
    </row>
    <row r="1715">
      <c r="A1715" s="19" t="inlineStr">
        <is>
          <t>FY26</t>
        </is>
      </c>
      <c r="B1715" s="19" t="inlineStr">
        <is>
          <t>Feb</t>
        </is>
      </c>
      <c r="C1715" s="19" t="inlineStr">
        <is>
          <t>Kerala</t>
        </is>
      </c>
      <c r="D1715" s="20" t="inlineStr">
        <is>
          <t>KL13L8839</t>
        </is>
      </c>
      <c r="E1715" s="20" t="inlineStr">
        <is>
          <t>MARUTI SUZUKI</t>
        </is>
      </c>
      <c r="F1715" s="20" t="inlineStr">
        <is>
          <t>Wagon R</t>
        </is>
      </c>
      <c r="G1715" s="21" t="n"/>
      <c r="H1715" s="22" t="n">
        <v>98000</v>
      </c>
      <c r="I1715" s="23" t="n">
        <v>30000</v>
      </c>
      <c r="J1715" s="20" t="inlineStr">
        <is>
          <t>SARITH</t>
        </is>
      </c>
      <c r="K1715" s="20" t="inlineStr">
        <is>
          <t>Non-Captive</t>
        </is>
      </c>
      <c r="L1715" s="20" t="inlineStr">
        <is>
          <t>KVR TATA</t>
        </is>
      </c>
      <c r="M1715" s="23" t="n">
        <v>4237.29</v>
      </c>
      <c r="N1715" s="23" t="n">
        <v>5000</v>
      </c>
      <c r="O1715" s="24">
        <f>IF(AND(ISNUMBER(M1715), ISNUMBER(I1715), I1715&gt;0), M1715/I1715, "")</f>
        <v/>
      </c>
    </row>
    <row r="1716">
      <c r="A1716" s="19" t="inlineStr">
        <is>
          <t>FY26</t>
        </is>
      </c>
      <c r="B1716" s="19" t="inlineStr">
        <is>
          <t>Feb</t>
        </is>
      </c>
      <c r="C1716" s="19" t="inlineStr">
        <is>
          <t>Kerala</t>
        </is>
      </c>
      <c r="D1716" s="20" t="inlineStr">
        <is>
          <t>KL45X0194</t>
        </is>
      </c>
      <c r="E1716" s="20" t="inlineStr">
        <is>
          <t>MARUTI SUZUKI</t>
        </is>
      </c>
      <c r="F1716" s="20" t="inlineStr">
        <is>
          <t>Wagon R</t>
        </is>
      </c>
      <c r="G1716" s="21" t="n"/>
      <c r="H1716" s="22" t="n">
        <v>45000</v>
      </c>
      <c r="I1716" s="23" t="n">
        <v>550000</v>
      </c>
      <c r="J1716" s="20" t="inlineStr">
        <is>
          <t>ROYAL DRIVE</t>
        </is>
      </c>
      <c r="K1716" s="20" t="inlineStr">
        <is>
          <t>Non-Captive</t>
        </is>
      </c>
      <c r="L1716" s="20" t="inlineStr">
        <is>
          <t>UCD HARIS</t>
        </is>
      </c>
      <c r="M1716" s="23" t="n">
        <v>4237.29</v>
      </c>
      <c r="N1716" s="23" t="n">
        <v>5000</v>
      </c>
      <c r="O1716" s="24">
        <f>IF(AND(ISNUMBER(M1716), ISNUMBER(I1716), I1716&gt;0), M1716/I1716, "")</f>
        <v/>
      </c>
    </row>
    <row r="1717">
      <c r="A1717" s="19" t="inlineStr">
        <is>
          <t>FY26</t>
        </is>
      </c>
      <c r="B1717" s="19" t="inlineStr">
        <is>
          <t>Feb</t>
        </is>
      </c>
      <c r="C1717" s="19" t="inlineStr">
        <is>
          <t>Kerala</t>
        </is>
      </c>
      <c r="D1717" s="20" t="inlineStr">
        <is>
          <t>KL11AH8842</t>
        </is>
      </c>
      <c r="E1717" s="20" t="inlineStr">
        <is>
          <t>HYUNDAI</t>
        </is>
      </c>
      <c r="F1717" s="20" t="inlineStr">
        <is>
          <t>I10</t>
        </is>
      </c>
      <c r="G1717" s="21" t="n"/>
      <c r="H1717" s="22" t="n">
        <v>110000</v>
      </c>
      <c r="I1717" s="23" t="n">
        <v>117000</v>
      </c>
      <c r="J1717" s="20" t="inlineStr">
        <is>
          <t>ARJID</t>
        </is>
      </c>
      <c r="K1717" s="20" t="inlineStr">
        <is>
          <t>Non-Captive</t>
        </is>
      </c>
      <c r="L1717" s="20" t="inlineStr">
        <is>
          <t>DKH KIA</t>
        </is>
      </c>
      <c r="M1717" s="23" t="n">
        <v>4237.29</v>
      </c>
      <c r="N1717" s="23" t="n">
        <v>5000</v>
      </c>
      <c r="O1717" s="24">
        <f>IF(AND(ISNUMBER(M1717), ISNUMBER(I1717), I1717&gt;0), M1717/I1717, "")</f>
        <v/>
      </c>
    </row>
    <row r="1718">
      <c r="A1718" s="19" t="inlineStr">
        <is>
          <t>FY26</t>
        </is>
      </c>
      <c r="B1718" s="19" t="inlineStr">
        <is>
          <t>Feb</t>
        </is>
      </c>
      <c r="C1718" s="19" t="inlineStr">
        <is>
          <t>Kerala</t>
        </is>
      </c>
      <c r="D1718" s="20" t="inlineStr">
        <is>
          <t>KL58S1441</t>
        </is>
      </c>
      <c r="E1718" s="20" t="inlineStr">
        <is>
          <t>MARUTI SUZUKI</t>
        </is>
      </c>
      <c r="F1718" s="20" t="inlineStr">
        <is>
          <t>Baleno</t>
        </is>
      </c>
      <c r="G1718" s="21" t="n"/>
      <c r="H1718" s="22" t="n">
        <v>80000</v>
      </c>
      <c r="I1718" s="23" t="n">
        <v>420000</v>
      </c>
      <c r="J1718" s="20" t="inlineStr">
        <is>
          <t>SANOOP KM</t>
        </is>
      </c>
      <c r="K1718" s="20" t="inlineStr">
        <is>
          <t>Non-Captive</t>
        </is>
      </c>
      <c r="L1718" s="20" t="inlineStr">
        <is>
          <t>APCO HYUNDAI</t>
        </is>
      </c>
      <c r="M1718" s="23" t="n">
        <v>6186.44</v>
      </c>
      <c r="N1718" s="23" t="n">
        <v>7300</v>
      </c>
      <c r="O1718" s="24">
        <f>IF(AND(ISNUMBER(M1718), ISNUMBER(I1718), I1718&gt;0), M1718/I1718, "")</f>
        <v/>
      </c>
    </row>
    <row r="1719">
      <c r="A1719" s="19" t="inlineStr">
        <is>
          <t>FY26</t>
        </is>
      </c>
      <c r="B1719" s="19" t="inlineStr">
        <is>
          <t>Feb</t>
        </is>
      </c>
      <c r="C1719" s="19" t="inlineStr">
        <is>
          <t>Kerala</t>
        </is>
      </c>
      <c r="D1719" s="20" t="inlineStr">
        <is>
          <t>KL08BG2606</t>
        </is>
      </c>
      <c r="E1719" s="20" t="inlineStr">
        <is>
          <t>HONDA</t>
        </is>
      </c>
      <c r="F1719" s="20" t="inlineStr">
        <is>
          <t>Jazz</t>
        </is>
      </c>
      <c r="G1719" s="21" t="n"/>
      <c r="H1719" s="22" t="n">
        <v>79000</v>
      </c>
      <c r="I1719" s="23" t="n">
        <v>415000</v>
      </c>
      <c r="J1719" s="20" t="inlineStr">
        <is>
          <t>JAYANTH PK</t>
        </is>
      </c>
      <c r="K1719" s="20" t="inlineStr">
        <is>
          <t>Non-Captive</t>
        </is>
      </c>
      <c r="L1719" s="20" t="inlineStr">
        <is>
          <t>UCD NADIR</t>
        </is>
      </c>
      <c r="M1719" s="23" t="n">
        <v>4237.29</v>
      </c>
      <c r="N1719" s="23" t="n">
        <v>5000</v>
      </c>
      <c r="O1719" s="24">
        <f>IF(AND(ISNUMBER(M1719), ISNUMBER(I1719), I1719&gt;0), M1719/I1719, "")</f>
        <v/>
      </c>
    </row>
    <row r="1720">
      <c r="A1720" s="19" t="inlineStr">
        <is>
          <t>FY26</t>
        </is>
      </c>
      <c r="B1720" s="19" t="inlineStr">
        <is>
          <t>Feb</t>
        </is>
      </c>
      <c r="C1720" s="19" t="inlineStr">
        <is>
          <t>Kerala</t>
        </is>
      </c>
      <c r="D1720" s="20" t="inlineStr">
        <is>
          <t>KL01CF1636</t>
        </is>
      </c>
      <c r="E1720" s="20" t="inlineStr">
        <is>
          <t>MARUTI SUZUKI</t>
        </is>
      </c>
      <c r="F1720" s="20" t="inlineStr">
        <is>
          <t>Swift</t>
        </is>
      </c>
      <c r="G1720" s="21" t="n"/>
      <c r="H1720" s="22" t="n">
        <v>77000</v>
      </c>
      <c r="I1720" s="23" t="n">
        <v>420000</v>
      </c>
      <c r="J1720" s="20" t="inlineStr">
        <is>
          <t>ABHISHEK</t>
        </is>
      </c>
      <c r="K1720" s="20" t="inlineStr">
        <is>
          <t>Non-Captive</t>
        </is>
      </c>
      <c r="L1720" s="20" t="inlineStr">
        <is>
          <t>PPS KIA</t>
        </is>
      </c>
      <c r="M1720" s="23" t="n">
        <v>5084.75</v>
      </c>
      <c r="N1720" s="23" t="n">
        <v>6000</v>
      </c>
      <c r="O1720" s="24">
        <f>IF(AND(ISNUMBER(M1720), ISNUMBER(I1720), I1720&gt;0), M1720/I1720, "")</f>
        <v/>
      </c>
    </row>
    <row r="1721">
      <c r="A1721" s="19" t="inlineStr">
        <is>
          <t>FY26</t>
        </is>
      </c>
      <c r="B1721" s="19" t="inlineStr">
        <is>
          <t>Feb</t>
        </is>
      </c>
      <c r="C1721" s="19" t="inlineStr">
        <is>
          <t>Kerala</t>
        </is>
      </c>
      <c r="D1721" s="20" t="inlineStr">
        <is>
          <t>KL01CQ6864</t>
        </is>
      </c>
      <c r="E1721" s="20" t="inlineStr">
        <is>
          <t>MARUTI SUZUKI</t>
        </is>
      </c>
      <c r="F1721" s="20" t="inlineStr">
        <is>
          <t>Wagon R</t>
        </is>
      </c>
      <c r="G1721" s="21" t="n"/>
      <c r="H1721" s="22" t="n">
        <v>85000</v>
      </c>
      <c r="I1721" s="23" t="n">
        <v>325000</v>
      </c>
      <c r="J1721" s="20" t="inlineStr">
        <is>
          <t>PRAJOTH</t>
        </is>
      </c>
      <c r="K1721" s="20" t="inlineStr">
        <is>
          <t>Non-Captive</t>
        </is>
      </c>
      <c r="L1721" s="20" t="inlineStr">
        <is>
          <t>KAIRALI TOYOTA</t>
        </is>
      </c>
      <c r="M1721" s="23" t="n">
        <v>5084.75</v>
      </c>
      <c r="N1721" s="23" t="n">
        <v>6000</v>
      </c>
      <c r="O1721" s="24">
        <f>IF(AND(ISNUMBER(M1721), ISNUMBER(I1721), I1721&gt;0), M1721/I1721, "")</f>
        <v/>
      </c>
    </row>
    <row r="1722">
      <c r="A1722" s="19" t="inlineStr">
        <is>
          <t>FY26</t>
        </is>
      </c>
      <c r="B1722" s="19" t="inlineStr">
        <is>
          <t>Feb</t>
        </is>
      </c>
      <c r="C1722" s="19" t="inlineStr">
        <is>
          <t>Kerala</t>
        </is>
      </c>
      <c r="D1722" s="20" t="inlineStr">
        <is>
          <t>KL25J3389</t>
        </is>
      </c>
      <c r="E1722" s="20" t="inlineStr">
        <is>
          <t>RENAULT</t>
        </is>
      </c>
      <c r="F1722" s="20" t="inlineStr">
        <is>
          <t>Kwid</t>
        </is>
      </c>
      <c r="G1722" s="21" t="n"/>
      <c r="H1722" s="22" t="n">
        <v>103345</v>
      </c>
      <c r="I1722" s="23" t="n">
        <v>93000</v>
      </c>
      <c r="J1722" s="20" t="inlineStr">
        <is>
          <t>PRAMOD</t>
        </is>
      </c>
      <c r="K1722" s="20" t="inlineStr">
        <is>
          <t>Non-Captive</t>
        </is>
      </c>
      <c r="L1722" s="20" t="inlineStr">
        <is>
          <t>MUTHOOT TATA</t>
        </is>
      </c>
      <c r="M1722" s="23" t="n">
        <v>5932.2</v>
      </c>
      <c r="N1722" s="23" t="n">
        <v>7000</v>
      </c>
      <c r="O1722" s="24">
        <f>IF(AND(ISNUMBER(M1722), ISNUMBER(I1722), I1722&gt;0), M1722/I1722, "")</f>
        <v/>
      </c>
    </row>
    <row r="1723">
      <c r="A1723" s="19" t="inlineStr">
        <is>
          <t>FY26</t>
        </is>
      </c>
      <c r="B1723" s="19" t="inlineStr">
        <is>
          <t>Feb</t>
        </is>
      </c>
      <c r="C1723" s="19" t="inlineStr">
        <is>
          <t>Kerala</t>
        </is>
      </c>
      <c r="D1723" s="20" t="inlineStr">
        <is>
          <t>KL13R6477</t>
        </is>
      </c>
      <c r="E1723" s="20" t="inlineStr">
        <is>
          <t>MARUTI SUZUKI</t>
        </is>
      </c>
      <c r="F1723" s="20" t="inlineStr">
        <is>
          <t>Zen</t>
        </is>
      </c>
      <c r="G1723" s="21" t="n"/>
      <c r="H1723" s="22" t="n">
        <v>41000</v>
      </c>
      <c r="I1723" s="23" t="n">
        <v>70000</v>
      </c>
      <c r="J1723" s="20" t="inlineStr">
        <is>
          <t>SARITH</t>
        </is>
      </c>
      <c r="K1723" s="20" t="inlineStr">
        <is>
          <t>Non-Captive</t>
        </is>
      </c>
      <c r="L1723" s="20" t="inlineStr">
        <is>
          <t>AMANA TOYOTA</t>
        </is>
      </c>
      <c r="M1723" s="23" t="n">
        <v>4237.29</v>
      </c>
      <c r="N1723" s="23" t="n">
        <v>5000</v>
      </c>
      <c r="O1723" s="24">
        <f>IF(AND(ISNUMBER(M1723), ISNUMBER(I1723), I1723&gt;0), M1723/I1723, "")</f>
        <v/>
      </c>
    </row>
    <row r="1724">
      <c r="A1724" s="19" t="inlineStr">
        <is>
          <t>FY26</t>
        </is>
      </c>
      <c r="B1724" s="19" t="inlineStr">
        <is>
          <t>Feb</t>
        </is>
      </c>
      <c r="C1724" s="19" t="inlineStr">
        <is>
          <t>Kerala</t>
        </is>
      </c>
      <c r="D1724" s="20" t="inlineStr">
        <is>
          <t>KL58F9089</t>
        </is>
      </c>
      <c r="E1724" s="20" t="inlineStr">
        <is>
          <t>MARUTI SUZUKI</t>
        </is>
      </c>
      <c r="F1724" s="20" t="inlineStr">
        <is>
          <t>Ritz</t>
        </is>
      </c>
      <c r="G1724" s="21" t="n"/>
      <c r="H1724" s="22" t="n">
        <v>160000</v>
      </c>
      <c r="I1724" s="23" t="n">
        <v>143000</v>
      </c>
      <c r="J1724" s="20" t="inlineStr">
        <is>
          <t>THNSEER</t>
        </is>
      </c>
      <c r="K1724" s="20" t="inlineStr">
        <is>
          <t>Non-Captive</t>
        </is>
      </c>
      <c r="L1724" s="20" t="inlineStr">
        <is>
          <t>NIKESH APCO</t>
        </is>
      </c>
      <c r="M1724" s="23" t="n">
        <v>4237.29</v>
      </c>
      <c r="N1724" s="23" t="n">
        <v>5000</v>
      </c>
      <c r="O1724" s="24">
        <f>IF(AND(ISNUMBER(M1724), ISNUMBER(I1724), I1724&gt;0), M1724/I1724, "")</f>
        <v/>
      </c>
    </row>
    <row r="1725">
      <c r="A1725" s="19" t="inlineStr">
        <is>
          <t>FY26</t>
        </is>
      </c>
      <c r="B1725" s="19" t="inlineStr">
        <is>
          <t>Feb</t>
        </is>
      </c>
      <c r="C1725" s="19" t="inlineStr">
        <is>
          <t>Kerala</t>
        </is>
      </c>
      <c r="D1725" s="20" t="inlineStr">
        <is>
          <t>KL67D4954</t>
        </is>
      </c>
      <c r="E1725" s="20" t="inlineStr">
        <is>
          <t>MARUTI SUZUKI</t>
        </is>
      </c>
      <c r="F1725" s="20" t="inlineStr">
        <is>
          <t>Ignis</t>
        </is>
      </c>
      <c r="G1725" s="21" t="n"/>
      <c r="H1725" s="22" t="n">
        <v>26578</v>
      </c>
      <c r="I1725" s="23" t="n">
        <v>598000</v>
      </c>
      <c r="J1725" s="20" t="inlineStr">
        <is>
          <t>POPULAR MARUTI</t>
        </is>
      </c>
      <c r="K1725" s="20" t="inlineStr">
        <is>
          <t>Non-Captive</t>
        </is>
      </c>
      <c r="L1725" s="20" t="inlineStr">
        <is>
          <t>SUDHEESH K SATHYAN</t>
        </is>
      </c>
      <c r="M1725" s="23" t="n">
        <v>8474.58</v>
      </c>
      <c r="N1725" s="23" t="n">
        <v>10000</v>
      </c>
      <c r="O1725" s="24">
        <f>IF(AND(ISNUMBER(M1725), ISNUMBER(I1725), I1725&gt;0), M1725/I1725, "")</f>
        <v/>
      </c>
    </row>
    <row r="1726">
      <c r="A1726" s="19" t="inlineStr">
        <is>
          <t>FY26</t>
        </is>
      </c>
      <c r="B1726" s="19" t="inlineStr">
        <is>
          <t>Feb</t>
        </is>
      </c>
      <c r="C1726" s="19" t="inlineStr">
        <is>
          <t>Kerala</t>
        </is>
      </c>
      <c r="D1726" s="20" t="inlineStr">
        <is>
          <t>KL35D7032</t>
        </is>
      </c>
      <c r="E1726" s="20" t="inlineStr">
        <is>
          <t>HYUNDAI</t>
        </is>
      </c>
      <c r="F1726" s="20" t="inlineStr">
        <is>
          <t>Eon</t>
        </is>
      </c>
      <c r="G1726" s="21" t="n"/>
      <c r="H1726" s="22" t="n">
        <v>96000</v>
      </c>
      <c r="I1726" s="23" t="n">
        <v>89000</v>
      </c>
      <c r="J1726" s="20" t="inlineStr">
        <is>
          <t>LUXON TATA</t>
        </is>
      </c>
      <c r="K1726" s="20" t="inlineStr">
        <is>
          <t>Non-Captive</t>
        </is>
      </c>
      <c r="L1726" s="20" t="inlineStr">
        <is>
          <t>MUHAMMAD SHAJI</t>
        </is>
      </c>
      <c r="M1726" s="23" t="n">
        <v>4237.29</v>
      </c>
      <c r="N1726" s="23" t="n">
        <v>5000</v>
      </c>
      <c r="O1726" s="24">
        <f>IF(AND(ISNUMBER(M1726), ISNUMBER(I1726), I1726&gt;0), M1726/I1726, "")</f>
        <v/>
      </c>
    </row>
    <row r="1727">
      <c r="A1727" s="19" t="inlineStr">
        <is>
          <t>FY26</t>
        </is>
      </c>
      <c r="B1727" s="19" t="inlineStr">
        <is>
          <t>Feb</t>
        </is>
      </c>
      <c r="C1727" s="19" t="inlineStr">
        <is>
          <t>Kerala</t>
        </is>
      </c>
      <c r="D1727" s="20" t="inlineStr">
        <is>
          <t>KL35M6853</t>
        </is>
      </c>
      <c r="E1727" s="20" t="inlineStr">
        <is>
          <t>TOYOTA</t>
        </is>
      </c>
      <c r="F1727" s="20" t="inlineStr">
        <is>
          <t>Innova</t>
        </is>
      </c>
      <c r="G1727" s="21" t="n"/>
      <c r="H1727" s="22" t="n">
        <v>169877</v>
      </c>
      <c r="I1727" s="23" t="n">
        <v>585000</v>
      </c>
      <c r="J1727" s="20" t="inlineStr">
        <is>
          <t>MUHAMMAD SHAJI</t>
        </is>
      </c>
      <c r="K1727" s="20" t="inlineStr">
        <is>
          <t>Non-Captive</t>
        </is>
      </c>
      <c r="L1727" s="20" t="inlineStr">
        <is>
          <t>ANAS VH</t>
        </is>
      </c>
      <c r="M1727" s="23" t="n">
        <v>8474.58</v>
      </c>
      <c r="N1727" s="23" t="n">
        <v>10000</v>
      </c>
      <c r="O1727" s="24">
        <f>IF(AND(ISNUMBER(M1727), ISNUMBER(I1727), I1727&gt;0), M1727/I1727, "")</f>
        <v/>
      </c>
    </row>
    <row r="1728">
      <c r="A1728" s="19" t="inlineStr">
        <is>
          <t>FY26</t>
        </is>
      </c>
      <c r="B1728" s="19" t="inlineStr">
        <is>
          <t>Feb</t>
        </is>
      </c>
      <c r="C1728" s="19" t="inlineStr">
        <is>
          <t>Kerala</t>
        </is>
      </c>
      <c r="D1728" s="20" t="inlineStr">
        <is>
          <t>KL04AD0797</t>
        </is>
      </c>
      <c r="E1728" s="20" t="inlineStr">
        <is>
          <t>MARUTI SUZUKI</t>
        </is>
      </c>
      <c r="F1728" s="20" t="inlineStr">
        <is>
          <t>Wagon R</t>
        </is>
      </c>
      <c r="G1728" s="21" t="n"/>
      <c r="H1728" s="22" t="n">
        <v>29870</v>
      </c>
      <c r="I1728" s="23" t="n">
        <v>235000</v>
      </c>
      <c r="J1728" s="20" t="inlineStr">
        <is>
          <t>MUHAMMAD SHAJI</t>
        </is>
      </c>
      <c r="K1728" s="20" t="inlineStr">
        <is>
          <t>Non-Captive</t>
        </is>
      </c>
      <c r="L1728" s="20" t="inlineStr">
        <is>
          <t>DREAM DRIVE</t>
        </is>
      </c>
      <c r="M1728" s="23" t="n">
        <v>8474.58</v>
      </c>
      <c r="N1728" s="23" t="n">
        <v>10000</v>
      </c>
      <c r="O1728" s="24">
        <f>IF(AND(ISNUMBER(M1728), ISNUMBER(I1728), I1728&gt;0), M1728/I1728, "")</f>
        <v/>
      </c>
    </row>
    <row r="1729">
      <c r="A1729" s="19" t="inlineStr">
        <is>
          <t>FY26</t>
        </is>
      </c>
      <c r="B1729" s="19" t="inlineStr">
        <is>
          <t>Feb</t>
        </is>
      </c>
      <c r="C1729" s="19" t="inlineStr">
        <is>
          <t>Kerala</t>
        </is>
      </c>
      <c r="D1729" s="20" t="inlineStr">
        <is>
          <t>KL07BT3871</t>
        </is>
      </c>
      <c r="E1729" s="20" t="inlineStr">
        <is>
          <t>CHEVROLET</t>
        </is>
      </c>
      <c r="F1729" s="20" t="inlineStr">
        <is>
          <t>Spark</t>
        </is>
      </c>
      <c r="G1729" s="21" t="n"/>
      <c r="H1729" s="22" t="n">
        <v>36857</v>
      </c>
      <c r="I1729" s="23" t="n">
        <v>42000</v>
      </c>
      <c r="J1729" s="20" t="inlineStr">
        <is>
          <t>JISHNU PRIYAN</t>
        </is>
      </c>
      <c r="K1729" s="20" t="inlineStr">
        <is>
          <t>Non-Captive</t>
        </is>
      </c>
      <c r="L1729" s="20" t="inlineStr">
        <is>
          <t>HUSSAIN O E</t>
        </is>
      </c>
      <c r="M1729" s="23" t="n">
        <v>5932.2</v>
      </c>
      <c r="N1729" s="23" t="n">
        <v>7000</v>
      </c>
      <c r="O1729" s="24">
        <f>IF(AND(ISNUMBER(M1729), ISNUMBER(I1729), I1729&gt;0), M1729/I1729, "")</f>
        <v/>
      </c>
    </row>
    <row r="1730">
      <c r="A1730" s="19" t="inlineStr">
        <is>
          <t>FY26</t>
        </is>
      </c>
      <c r="B1730" s="19" t="inlineStr">
        <is>
          <t>Feb</t>
        </is>
      </c>
      <c r="C1730" s="19" t="inlineStr">
        <is>
          <t>Kerala</t>
        </is>
      </c>
      <c r="D1730" s="20" t="inlineStr">
        <is>
          <t>KL39L8506</t>
        </is>
      </c>
      <c r="E1730" s="20" t="inlineStr">
        <is>
          <t>HONDA</t>
        </is>
      </c>
      <c r="F1730" s="20" t="inlineStr">
        <is>
          <t>Jazz</t>
        </is>
      </c>
      <c r="G1730" s="21" t="n"/>
      <c r="H1730" s="22" t="n">
        <v>72367</v>
      </c>
      <c r="I1730" s="23" t="n">
        <v>350000</v>
      </c>
      <c r="J1730" s="20" t="inlineStr">
        <is>
          <t>INCHEON KIA</t>
        </is>
      </c>
      <c r="K1730" s="20" t="inlineStr">
        <is>
          <t>Non-Captive</t>
        </is>
      </c>
      <c r="L1730" s="20" t="inlineStr">
        <is>
          <t>DINESH P S</t>
        </is>
      </c>
      <c r="M1730" s="23" t="n">
        <v>8474.58</v>
      </c>
      <c r="N1730" s="23" t="n">
        <v>10000</v>
      </c>
      <c r="O1730" s="24">
        <f>IF(AND(ISNUMBER(M1730), ISNUMBER(I1730), I1730&gt;0), M1730/I1730, "")</f>
        <v/>
      </c>
    </row>
    <row r="1731">
      <c r="A1731" s="19" t="inlineStr">
        <is>
          <t>FY26</t>
        </is>
      </c>
      <c r="B1731" s="19" t="inlineStr">
        <is>
          <t>Feb</t>
        </is>
      </c>
      <c r="C1731" s="19" t="inlineStr">
        <is>
          <t>Kerala</t>
        </is>
      </c>
      <c r="D1731" s="20" t="inlineStr">
        <is>
          <t>KL63D5455</t>
        </is>
      </c>
      <c r="E1731" s="20" t="inlineStr">
        <is>
          <t>MARUTI SUZUKI</t>
        </is>
      </c>
      <c r="F1731" s="20" t="inlineStr">
        <is>
          <t>Swift Dzire</t>
        </is>
      </c>
      <c r="G1731" s="21" t="n"/>
      <c r="H1731" s="22" t="n">
        <v>104000</v>
      </c>
      <c r="I1731" s="23" t="n">
        <v>300000</v>
      </c>
      <c r="J1731" s="20" t="inlineStr">
        <is>
          <t>INCHEON KIA</t>
        </is>
      </c>
      <c r="K1731" s="20" t="inlineStr">
        <is>
          <t>Non-Captive</t>
        </is>
      </c>
      <c r="L1731" s="20" t="inlineStr">
        <is>
          <t>SHAMSUDEEN C E</t>
        </is>
      </c>
      <c r="M1731" s="23" t="n">
        <v>8474.58</v>
      </c>
      <c r="N1731" s="23" t="n">
        <v>10000</v>
      </c>
      <c r="O1731" s="24">
        <f>IF(AND(ISNUMBER(M1731), ISNUMBER(I1731), I1731&gt;0), M1731/I1731, "")</f>
        <v/>
      </c>
    </row>
    <row r="1732">
      <c r="A1732" s="19" t="inlineStr">
        <is>
          <t>FY26</t>
        </is>
      </c>
      <c r="B1732" s="19" t="inlineStr">
        <is>
          <t>Feb</t>
        </is>
      </c>
      <c r="C1732" s="19" t="inlineStr">
        <is>
          <t>Kerala</t>
        </is>
      </c>
      <c r="D1732" s="20" t="inlineStr">
        <is>
          <t>KL75A6157</t>
        </is>
      </c>
      <c r="E1732" s="20" t="inlineStr">
        <is>
          <t>MARUTI SUZUKI</t>
        </is>
      </c>
      <c r="F1732" s="20" t="inlineStr">
        <is>
          <t>Xl6</t>
        </is>
      </c>
      <c r="G1732" s="21" t="n"/>
      <c r="H1732" s="22" t="n">
        <v>23756</v>
      </c>
      <c r="I1732" s="23" t="n">
        <v>860000</v>
      </c>
      <c r="J1732" s="20" t="inlineStr">
        <is>
          <t>EVM CITROEN</t>
        </is>
      </c>
      <c r="K1732" s="20" t="inlineStr">
        <is>
          <t>Non-Captive</t>
        </is>
      </c>
      <c r="L1732" s="20" t="inlineStr">
        <is>
          <t>KAPS CARS</t>
        </is>
      </c>
      <c r="M1732" s="23" t="n">
        <v>8474.58</v>
      </c>
      <c r="N1732" s="23" t="n">
        <v>10000</v>
      </c>
      <c r="O1732" s="24">
        <f>IF(AND(ISNUMBER(M1732), ISNUMBER(I1732), I1732&gt;0), M1732/I1732, "")</f>
        <v/>
      </c>
    </row>
    <row r="1733">
      <c r="A1733" s="19" t="inlineStr">
        <is>
          <t>FY26</t>
        </is>
      </c>
      <c r="B1733" s="19" t="inlineStr">
        <is>
          <t>Feb</t>
        </is>
      </c>
      <c r="C1733" s="19" t="inlineStr">
        <is>
          <t>Kerala</t>
        </is>
      </c>
      <c r="D1733" s="20" t="inlineStr">
        <is>
          <t>KL31K2122</t>
        </is>
      </c>
      <c r="E1733" s="20" t="inlineStr">
        <is>
          <t>MARUTI SUZUKI</t>
        </is>
      </c>
      <c r="F1733" s="20" t="inlineStr">
        <is>
          <t>Celerio</t>
        </is>
      </c>
      <c r="G1733" s="21" t="n"/>
      <c r="H1733" s="22" t="n">
        <v>78696</v>
      </c>
      <c r="I1733" s="23" t="n">
        <v>330000</v>
      </c>
      <c r="J1733" s="20" t="inlineStr">
        <is>
          <t>POPULAR MARUTI</t>
        </is>
      </c>
      <c r="K1733" s="20" t="inlineStr">
        <is>
          <t>Non-Captive</t>
        </is>
      </c>
      <c r="L1733" s="20" t="inlineStr">
        <is>
          <t>MUHAMMAD SHAJI</t>
        </is>
      </c>
      <c r="M1733" s="23" t="n">
        <v>8474.58</v>
      </c>
      <c r="N1733" s="23" t="n">
        <v>10000</v>
      </c>
      <c r="O1733" s="24">
        <f>IF(AND(ISNUMBER(M1733), ISNUMBER(I1733), I1733&gt;0), M1733/I1733, "")</f>
        <v/>
      </c>
    </row>
    <row r="1734">
      <c r="A1734" s="19" t="inlineStr">
        <is>
          <t>FY26</t>
        </is>
      </c>
      <c r="B1734" s="19" t="inlineStr">
        <is>
          <t>Feb</t>
        </is>
      </c>
      <c r="C1734" s="19" t="inlineStr">
        <is>
          <t>Kerala</t>
        </is>
      </c>
      <c r="D1734" s="20" t="inlineStr">
        <is>
          <t>KL263681</t>
        </is>
      </c>
      <c r="E1734" s="20" t="inlineStr">
        <is>
          <t>MARUTI SUZUKI</t>
        </is>
      </c>
      <c r="F1734" s="20" t="inlineStr">
        <is>
          <t>M800</t>
        </is>
      </c>
      <c r="G1734" s="21" t="n"/>
      <c r="H1734" s="22" t="n">
        <v>123243</v>
      </c>
      <c r="I1734" s="23" t="n">
        <v>30000</v>
      </c>
      <c r="J1734" s="20" t="inlineStr">
        <is>
          <t>POPULAR MARUTI</t>
        </is>
      </c>
      <c r="K1734" s="20" t="inlineStr">
        <is>
          <t>Non-Captive</t>
        </is>
      </c>
      <c r="L1734" s="20" t="inlineStr">
        <is>
          <t>MUHAMMAD SHAJI</t>
        </is>
      </c>
      <c r="M1734" s="23" t="n">
        <v>8474.58</v>
      </c>
      <c r="N1734" s="23" t="n">
        <v>10000</v>
      </c>
      <c r="O1734" s="24">
        <f>IF(AND(ISNUMBER(M1734), ISNUMBER(I1734), I1734&gt;0), M1734/I1734, "")</f>
        <v/>
      </c>
    </row>
    <row r="1735">
      <c r="A1735" s="19" t="inlineStr">
        <is>
          <t>FY26</t>
        </is>
      </c>
      <c r="B1735" s="19" t="inlineStr">
        <is>
          <t>Feb</t>
        </is>
      </c>
      <c r="C1735" s="19" t="inlineStr">
        <is>
          <t>Kerala</t>
        </is>
      </c>
      <c r="D1735" s="20" t="inlineStr">
        <is>
          <t>KL01BA5230</t>
        </is>
      </c>
      <c r="E1735" s="20" t="inlineStr">
        <is>
          <t>MARUTI SUZUKI</t>
        </is>
      </c>
      <c r="F1735" s="20" t="inlineStr">
        <is>
          <t>Alto</t>
        </is>
      </c>
      <c r="G1735" s="21" t="n"/>
      <c r="H1735" s="22" t="n">
        <v>6000</v>
      </c>
      <c r="I1735" s="23" t="n">
        <v>145000</v>
      </c>
      <c r="J1735" s="20" t="inlineStr">
        <is>
          <t>ABHISHEK</t>
        </is>
      </c>
      <c r="K1735" s="20" t="inlineStr">
        <is>
          <t>Non-Captive</t>
        </is>
      </c>
      <c r="L1735" s="20" t="inlineStr">
        <is>
          <t>PPS SKODA</t>
        </is>
      </c>
      <c r="M1735" s="23" t="n">
        <v>4237.29</v>
      </c>
      <c r="N1735" s="23" t="n">
        <v>5000</v>
      </c>
      <c r="O1735" s="24">
        <f>IF(AND(ISNUMBER(M1735), ISNUMBER(I1735), I1735&gt;0), M1735/I1735, "")</f>
        <v/>
      </c>
    </row>
    <row r="1736">
      <c r="A1736" s="19" t="inlineStr">
        <is>
          <t>FY26</t>
        </is>
      </c>
      <c r="B1736" s="19" t="inlineStr">
        <is>
          <t>Feb</t>
        </is>
      </c>
      <c r="C1736" s="19" t="inlineStr">
        <is>
          <t>Kerala</t>
        </is>
      </c>
      <c r="D1736" s="20" t="inlineStr">
        <is>
          <t>KL39N1171</t>
        </is>
      </c>
      <c r="E1736" s="20" t="inlineStr">
        <is>
          <t>FORD</t>
        </is>
      </c>
      <c r="F1736" s="20" t="inlineStr">
        <is>
          <t>Ecosport</t>
        </is>
      </c>
      <c r="G1736" s="21" t="n"/>
      <c r="H1736" s="22" t="n">
        <v>121581</v>
      </c>
      <c r="I1736" s="23" t="n">
        <v>530000</v>
      </c>
      <c r="J1736" s="20" t="inlineStr">
        <is>
          <t>INCHEON KIA</t>
        </is>
      </c>
      <c r="K1736" s="20" t="inlineStr">
        <is>
          <t>Non-Captive</t>
        </is>
      </c>
      <c r="L1736" s="20" t="inlineStr">
        <is>
          <t>HAVEN MOTORS</t>
        </is>
      </c>
      <c r="M1736" s="23" t="n">
        <v>8474.58</v>
      </c>
      <c r="N1736" s="23" t="n">
        <v>10000</v>
      </c>
      <c r="O1736" s="24">
        <f>IF(AND(ISNUMBER(M1736), ISNUMBER(I1736), I1736&gt;0), M1736/I1736, "")</f>
        <v/>
      </c>
    </row>
    <row r="1737">
      <c r="A1737" s="19" t="inlineStr">
        <is>
          <t>FY26</t>
        </is>
      </c>
      <c r="B1737" s="19" t="inlineStr">
        <is>
          <t>Feb</t>
        </is>
      </c>
      <c r="C1737" s="19" t="inlineStr">
        <is>
          <t>Kerala</t>
        </is>
      </c>
      <c r="D1737" s="20" t="inlineStr">
        <is>
          <t>KL48F5980</t>
        </is>
      </c>
      <c r="E1737" s="20" t="inlineStr">
        <is>
          <t>TOYOTA</t>
        </is>
      </c>
      <c r="F1737" s="20" t="inlineStr">
        <is>
          <t>Etios</t>
        </is>
      </c>
      <c r="G1737" s="21" t="n"/>
      <c r="H1737" s="22" t="n">
        <v>108000</v>
      </c>
      <c r="I1737" s="23" t="n">
        <v>270000</v>
      </c>
      <c r="J1737" s="20" t="inlineStr">
        <is>
          <t>JOHNS HONDA CARS</t>
        </is>
      </c>
      <c r="K1737" s="20" t="inlineStr">
        <is>
          <t>Non-Captive</t>
        </is>
      </c>
      <c r="L1737" s="20" t="inlineStr">
        <is>
          <t>AITOS CARS</t>
        </is>
      </c>
      <c r="M1737" s="23" t="n">
        <v>8474.58</v>
      </c>
      <c r="N1737" s="23" t="n">
        <v>10000</v>
      </c>
      <c r="O1737" s="24">
        <f>IF(AND(ISNUMBER(M1737), ISNUMBER(I1737), I1737&gt;0), M1737/I1737, "")</f>
        <v/>
      </c>
    </row>
    <row r="1738">
      <c r="A1738" s="19" t="inlineStr">
        <is>
          <t>FY26</t>
        </is>
      </c>
      <c r="B1738" s="19" t="inlineStr">
        <is>
          <t>Feb</t>
        </is>
      </c>
      <c r="C1738" s="19" t="inlineStr">
        <is>
          <t>Kerala</t>
        </is>
      </c>
      <c r="D1738" s="20" t="inlineStr">
        <is>
          <t>KL46Z9001</t>
        </is>
      </c>
      <c r="E1738" s="20" t="inlineStr">
        <is>
          <t>CITROEN</t>
        </is>
      </c>
      <c r="F1738" s="20" t="inlineStr">
        <is>
          <t>C3</t>
        </is>
      </c>
      <c r="G1738" s="21" t="n"/>
      <c r="H1738" s="22" t="n">
        <v>10344</v>
      </c>
      <c r="I1738" s="23" t="n">
        <v>500000</v>
      </c>
      <c r="J1738" s="20" t="inlineStr">
        <is>
          <t>EVM CITROEN</t>
        </is>
      </c>
      <c r="K1738" s="20" t="inlineStr">
        <is>
          <t>Non-Captive</t>
        </is>
      </c>
      <c r="L1738" s="20" t="inlineStr">
        <is>
          <t>VTJ</t>
        </is>
      </c>
      <c r="M1738" s="23" t="n">
        <v>8474.58</v>
      </c>
      <c r="N1738" s="23" t="n">
        <v>10000</v>
      </c>
      <c r="O1738" s="24">
        <f>IF(AND(ISNUMBER(M1738), ISNUMBER(I1738), I1738&gt;0), M1738/I1738, "")</f>
        <v/>
      </c>
    </row>
    <row r="1739">
      <c r="A1739" s="19" t="inlineStr">
        <is>
          <t>FY26</t>
        </is>
      </c>
      <c r="B1739" s="19" t="inlineStr">
        <is>
          <t>Feb</t>
        </is>
      </c>
      <c r="C1739" s="19" t="inlineStr">
        <is>
          <t>Kerala</t>
        </is>
      </c>
      <c r="D1739" s="20" t="inlineStr">
        <is>
          <t>KL09AW9693</t>
        </is>
      </c>
      <c r="E1739" s="20" t="inlineStr">
        <is>
          <t>VOLKSWAGEN</t>
        </is>
      </c>
      <c r="F1739" s="20" t="inlineStr">
        <is>
          <t>Virtus</t>
        </is>
      </c>
      <c r="G1739" s="21" t="n"/>
      <c r="H1739" s="22" t="n">
        <v>8834</v>
      </c>
      <c r="I1739" s="23" t="n">
        <v>900000</v>
      </c>
      <c r="J1739" s="20" t="inlineStr">
        <is>
          <t>PHOENIX VOLKSWAGEN</t>
        </is>
      </c>
      <c r="K1739" s="20" t="inlineStr">
        <is>
          <t>Non-Captive</t>
        </is>
      </c>
      <c r="L1739" s="20" t="inlineStr">
        <is>
          <t>UMESHKUMAR T U</t>
        </is>
      </c>
      <c r="M1739" s="23" t="n">
        <v>8474.58</v>
      </c>
      <c r="N1739" s="23" t="n">
        <v>10000</v>
      </c>
      <c r="O1739" s="24">
        <f>IF(AND(ISNUMBER(M1739), ISNUMBER(I1739), I1739&gt;0), M1739/I1739, "")</f>
        <v/>
      </c>
    </row>
    <row r="1740">
      <c r="A1740" s="19" t="inlineStr">
        <is>
          <t>FY26</t>
        </is>
      </c>
      <c r="B1740" s="19" t="inlineStr">
        <is>
          <t>Feb</t>
        </is>
      </c>
      <c r="C1740" s="19" t="inlineStr">
        <is>
          <t>Kerala</t>
        </is>
      </c>
      <c r="D1740" s="20" t="inlineStr">
        <is>
          <t>KL13AB2050</t>
        </is>
      </c>
      <c r="E1740" s="20" t="inlineStr">
        <is>
          <t>TATA</t>
        </is>
      </c>
      <c r="F1740" s="20" t="inlineStr">
        <is>
          <t>Nexon</t>
        </is>
      </c>
      <c r="G1740" s="21" t="n"/>
      <c r="H1740" s="22" t="n">
        <v>90000</v>
      </c>
      <c r="I1740" s="23" t="n">
        <v>900000</v>
      </c>
      <c r="J1740" s="20" t="inlineStr">
        <is>
          <t>SIVAPRASAD</t>
        </is>
      </c>
      <c r="K1740" s="20" t="inlineStr">
        <is>
          <t>Non-Captive</t>
        </is>
      </c>
      <c r="L1740" s="20" t="inlineStr">
        <is>
          <t>KVR TATA</t>
        </is>
      </c>
      <c r="M1740" s="23" t="n">
        <v>8474.58</v>
      </c>
      <c r="N1740" s="23" t="n">
        <v>10000</v>
      </c>
      <c r="O1740" s="24">
        <f>IF(AND(ISNUMBER(M1740), ISNUMBER(I1740), I1740&gt;0), M1740/I1740, "")</f>
        <v/>
      </c>
    </row>
    <row r="1741">
      <c r="A1741" s="19" t="inlineStr">
        <is>
          <t>FY26</t>
        </is>
      </c>
      <c r="B1741" s="19" t="inlineStr">
        <is>
          <t>Feb</t>
        </is>
      </c>
      <c r="C1741" s="19" t="inlineStr">
        <is>
          <t>Kerala</t>
        </is>
      </c>
      <c r="D1741" s="20" t="inlineStr">
        <is>
          <t>KL60V2378</t>
        </is>
      </c>
      <c r="E1741" s="20" t="inlineStr">
        <is>
          <t>TATA</t>
        </is>
      </c>
      <c r="F1741" s="20" t="inlineStr">
        <is>
          <t>Tiago</t>
        </is>
      </c>
      <c r="G1741" s="21" t="n"/>
      <c r="H1741" s="22" t="n">
        <v>71000</v>
      </c>
      <c r="I1741" s="23" t="n">
        <v>730000</v>
      </c>
      <c r="J1741" s="20" t="inlineStr">
        <is>
          <t>AUGSTY MJ</t>
        </is>
      </c>
      <c r="K1741" s="20" t="inlineStr">
        <is>
          <t>Non-Captive</t>
        </is>
      </c>
      <c r="L1741" s="20" t="inlineStr">
        <is>
          <t>KVR TATA</t>
        </is>
      </c>
      <c r="M1741" s="23" t="n">
        <v>8474.58</v>
      </c>
      <c r="N1741" s="23" t="n">
        <v>10000</v>
      </c>
      <c r="O1741" s="24">
        <f>IF(AND(ISNUMBER(M1741), ISNUMBER(I1741), I1741&gt;0), M1741/I1741, "")</f>
        <v/>
      </c>
    </row>
    <row r="1742">
      <c r="A1742" s="19" t="inlineStr">
        <is>
          <t>FY26</t>
        </is>
      </c>
      <c r="B1742" s="19" t="inlineStr">
        <is>
          <t>Feb</t>
        </is>
      </c>
      <c r="C1742" s="19" t="inlineStr">
        <is>
          <t>Kerala</t>
        </is>
      </c>
      <c r="D1742" s="20" t="inlineStr">
        <is>
          <t>KL14AE3707</t>
        </is>
      </c>
      <c r="E1742" s="20" t="inlineStr">
        <is>
          <t>TATA</t>
        </is>
      </c>
      <c r="F1742" s="20" t="inlineStr">
        <is>
          <t>Tiago</t>
        </is>
      </c>
      <c r="G1742" s="21" t="n"/>
      <c r="H1742" s="22" t="n">
        <v>45563</v>
      </c>
      <c r="I1742" s="23" t="n">
        <v>610000</v>
      </c>
      <c r="J1742" s="20" t="inlineStr">
        <is>
          <t>AUGUSTIN THOMAS</t>
        </is>
      </c>
      <c r="K1742" s="20" t="inlineStr">
        <is>
          <t>Non-Captive</t>
        </is>
      </c>
      <c r="L1742" s="20" t="inlineStr">
        <is>
          <t>KVR TATA</t>
        </is>
      </c>
      <c r="M1742" s="23" t="n">
        <v>8474.58</v>
      </c>
      <c r="N1742" s="23" t="n">
        <v>10000</v>
      </c>
      <c r="O1742" s="24">
        <f>IF(AND(ISNUMBER(M1742), ISNUMBER(I1742), I1742&gt;0), M1742/I1742, "")</f>
        <v/>
      </c>
    </row>
    <row r="1743">
      <c r="A1743" s="19" t="inlineStr">
        <is>
          <t>FY26</t>
        </is>
      </c>
      <c r="B1743" s="19" t="inlineStr">
        <is>
          <t>Feb</t>
        </is>
      </c>
      <c r="C1743" s="19" t="inlineStr">
        <is>
          <t>Kerala</t>
        </is>
      </c>
      <c r="D1743" s="20" t="inlineStr">
        <is>
          <t>KL59P300</t>
        </is>
      </c>
      <c r="E1743" s="20" t="inlineStr">
        <is>
          <t>MARUTI SUZUKI</t>
        </is>
      </c>
      <c r="F1743" s="20" t="inlineStr">
        <is>
          <t>Swift Dzire</t>
        </is>
      </c>
      <c r="G1743" s="21" t="n"/>
      <c r="H1743" s="22" t="n">
        <v>80000</v>
      </c>
      <c r="I1743" s="23" t="n">
        <v>370000</v>
      </c>
      <c r="J1743" s="20" t="inlineStr">
        <is>
          <t>ARJID</t>
        </is>
      </c>
      <c r="K1743" s="20" t="inlineStr">
        <is>
          <t>Non-Captive</t>
        </is>
      </c>
      <c r="L1743" s="20" t="inlineStr">
        <is>
          <t>DKH KIA</t>
        </is>
      </c>
      <c r="M1743" s="23" t="n">
        <v>4237.29</v>
      </c>
      <c r="N1743" s="23" t="n">
        <v>5000</v>
      </c>
      <c r="O1743" s="24">
        <f>IF(AND(ISNUMBER(M1743), ISNUMBER(I1743), I1743&gt;0), M1743/I1743, "")</f>
        <v/>
      </c>
    </row>
    <row r="1744">
      <c r="A1744" s="19" t="inlineStr">
        <is>
          <t>FY26</t>
        </is>
      </c>
      <c r="B1744" s="19" t="inlineStr">
        <is>
          <t>Feb</t>
        </is>
      </c>
      <c r="C1744" s="19" t="inlineStr">
        <is>
          <t>Kerala</t>
        </is>
      </c>
      <c r="D1744" s="20" t="inlineStr">
        <is>
          <t>KL56T8925</t>
        </is>
      </c>
      <c r="E1744" s="20" t="inlineStr">
        <is>
          <t>RENAULT</t>
        </is>
      </c>
      <c r="F1744" s="20" t="inlineStr">
        <is>
          <t>Kwid</t>
        </is>
      </c>
      <c r="G1744" s="21" t="n"/>
      <c r="H1744" s="22" t="n">
        <v>18000</v>
      </c>
      <c r="I1744" s="23" t="n">
        <v>275000</v>
      </c>
      <c r="J1744" s="20" t="inlineStr">
        <is>
          <t>SHINOOJ</t>
        </is>
      </c>
      <c r="K1744" s="20" t="inlineStr">
        <is>
          <t>Non-Captive</t>
        </is>
      </c>
      <c r="L1744" s="20" t="inlineStr">
        <is>
          <t>BIMAL</t>
        </is>
      </c>
      <c r="M1744" s="23" t="n">
        <v>4237.29</v>
      </c>
      <c r="N1744" s="23" t="n">
        <v>5000</v>
      </c>
      <c r="O1744" s="24">
        <f>IF(AND(ISNUMBER(M1744), ISNUMBER(I1744), I1744&gt;0), M1744/I1744, "")</f>
        <v/>
      </c>
    </row>
    <row r="1745">
      <c r="A1745" s="19" t="inlineStr">
        <is>
          <t>FY26</t>
        </is>
      </c>
      <c r="B1745" s="19" t="inlineStr">
        <is>
          <t>Feb</t>
        </is>
      </c>
      <c r="C1745" s="19" t="inlineStr">
        <is>
          <t>Kerala</t>
        </is>
      </c>
      <c r="D1745" s="20" t="inlineStr">
        <is>
          <t>KL78B6099</t>
        </is>
      </c>
      <c r="E1745" s="20" t="inlineStr">
        <is>
          <t>TATA</t>
        </is>
      </c>
      <c r="F1745" s="20" t="inlineStr">
        <is>
          <t>Harrier</t>
        </is>
      </c>
      <c r="G1745" s="21" t="n"/>
      <c r="H1745" s="22" t="n">
        <v>78000</v>
      </c>
      <c r="I1745" s="23" t="n">
        <v>1000000</v>
      </c>
      <c r="J1745" s="20" t="inlineStr">
        <is>
          <t>AUGUSTHY M J</t>
        </is>
      </c>
      <c r="K1745" s="20" t="inlineStr">
        <is>
          <t>Non-Captive</t>
        </is>
      </c>
      <c r="L1745" s="20" t="inlineStr">
        <is>
          <t>AMANA TOYOTA</t>
        </is>
      </c>
      <c r="M1745" s="23" t="n">
        <v>8474.58</v>
      </c>
      <c r="N1745" s="23" t="n">
        <v>10000</v>
      </c>
      <c r="O1745" s="24">
        <f>IF(AND(ISNUMBER(M1745), ISNUMBER(I1745), I1745&gt;0), M1745/I1745, "")</f>
        <v/>
      </c>
    </row>
    <row r="1746">
      <c r="A1746" s="19" t="inlineStr">
        <is>
          <t>FY26</t>
        </is>
      </c>
      <c r="B1746" s="19" t="inlineStr">
        <is>
          <t>Feb</t>
        </is>
      </c>
      <c r="C1746" s="19" t="inlineStr">
        <is>
          <t>Kerala</t>
        </is>
      </c>
      <c r="D1746" s="20" t="inlineStr">
        <is>
          <t>KL32C7999</t>
        </is>
      </c>
      <c r="E1746" s="20" t="inlineStr">
        <is>
          <t>MAHINDRA</t>
        </is>
      </c>
      <c r="F1746" s="20" t="inlineStr">
        <is>
          <t>Bolero</t>
        </is>
      </c>
      <c r="G1746" s="21" t="n"/>
      <c r="H1746" s="22" t="n">
        <v>140000</v>
      </c>
      <c r="I1746" s="23" t="n">
        <v>165000</v>
      </c>
      <c r="J1746" s="20" t="inlineStr">
        <is>
          <t>SANOOP</t>
        </is>
      </c>
      <c r="K1746" s="20" t="inlineStr">
        <is>
          <t>Non-Captive</t>
        </is>
      </c>
      <c r="L1746" s="20" t="inlineStr">
        <is>
          <t>MARVEL</t>
        </is>
      </c>
      <c r="M1746" s="23" t="n">
        <v>4237.29</v>
      </c>
      <c r="N1746" s="23" t="n">
        <v>5000</v>
      </c>
      <c r="O1746" s="24">
        <f>IF(AND(ISNUMBER(M1746), ISNUMBER(I1746), I1746&gt;0), M1746/I1746, "")</f>
        <v/>
      </c>
    </row>
    <row r="1747">
      <c r="A1747" s="19" t="inlineStr">
        <is>
          <t>FY26</t>
        </is>
      </c>
      <c r="B1747" s="19" t="inlineStr">
        <is>
          <t>Feb</t>
        </is>
      </c>
      <c r="C1747" s="19" t="inlineStr">
        <is>
          <t>Kerala</t>
        </is>
      </c>
      <c r="D1747" s="20" t="inlineStr">
        <is>
          <t>KL63E7738</t>
        </is>
      </c>
      <c r="E1747" s="20" t="inlineStr">
        <is>
          <t>MARUTI SUZUKI</t>
        </is>
      </c>
      <c r="F1747" s="20" t="inlineStr">
        <is>
          <t>Swift Dzire</t>
        </is>
      </c>
      <c r="G1747" s="21" t="n"/>
      <c r="H1747" s="22" t="n">
        <v>31849</v>
      </c>
      <c r="I1747" s="23" t="n">
        <v>540000</v>
      </c>
      <c r="J1747" s="20" t="inlineStr">
        <is>
          <t>EVM SKODA</t>
        </is>
      </c>
      <c r="K1747" s="20" t="inlineStr">
        <is>
          <t>Non-Captive</t>
        </is>
      </c>
      <c r="L1747" s="20" t="inlineStr">
        <is>
          <t>HUSSAIN O E</t>
        </is>
      </c>
      <c r="M1747" s="23" t="n">
        <v>8474.58</v>
      </c>
      <c r="N1747" s="23" t="n">
        <v>10000</v>
      </c>
      <c r="O1747" s="24">
        <f>IF(AND(ISNUMBER(M1747), ISNUMBER(I1747), I1747&gt;0), M1747/I1747, "")</f>
        <v/>
      </c>
    </row>
    <row r="1748">
      <c r="A1748" s="19" t="inlineStr">
        <is>
          <t>FY26</t>
        </is>
      </c>
      <c r="B1748" s="19" t="inlineStr">
        <is>
          <t>Feb</t>
        </is>
      </c>
      <c r="C1748" s="19" t="inlineStr">
        <is>
          <t>Kerala</t>
        </is>
      </c>
      <c r="D1748" s="20" t="inlineStr">
        <is>
          <t>KL08BV0073</t>
        </is>
      </c>
      <c r="E1748" s="20" t="inlineStr">
        <is>
          <t>TATA</t>
        </is>
      </c>
      <c r="F1748" s="20" t="inlineStr">
        <is>
          <t>Nexon</t>
        </is>
      </c>
      <c r="G1748" s="21" t="n"/>
      <c r="H1748" s="22" t="n">
        <v>76500</v>
      </c>
      <c r="I1748" s="23" t="n">
        <v>540000</v>
      </c>
      <c r="J1748" s="20" t="inlineStr">
        <is>
          <t>JOHNS HONDA CARS</t>
        </is>
      </c>
      <c r="K1748" s="20" t="inlineStr">
        <is>
          <t>Non-Captive</t>
        </is>
      </c>
      <c r="L1748" s="20" t="inlineStr">
        <is>
          <t>AITOS CARS</t>
        </is>
      </c>
      <c r="M1748" s="23" t="n">
        <v>8474.58</v>
      </c>
      <c r="N1748" s="23" t="n">
        <v>10000</v>
      </c>
      <c r="O1748" s="24">
        <f>IF(AND(ISNUMBER(M1748), ISNUMBER(I1748), I1748&gt;0), M1748/I1748, "")</f>
        <v/>
      </c>
    </row>
    <row r="1749">
      <c r="A1749" s="19" t="inlineStr">
        <is>
          <t>FY26</t>
        </is>
      </c>
      <c r="B1749" s="19" t="inlineStr">
        <is>
          <t>Feb</t>
        </is>
      </c>
      <c r="C1749" s="19" t="inlineStr">
        <is>
          <t>Kerala</t>
        </is>
      </c>
      <c r="D1749" s="20" t="inlineStr">
        <is>
          <t>KL36E7608</t>
        </is>
      </c>
      <c r="E1749" s="20" t="inlineStr">
        <is>
          <t>MARUTI SUZUKI</t>
        </is>
      </c>
      <c r="F1749" s="20" t="inlineStr">
        <is>
          <t>Celerio</t>
        </is>
      </c>
      <c r="G1749" s="21" t="n"/>
      <c r="H1749" s="22" t="n">
        <v>108594</v>
      </c>
      <c r="I1749" s="23" t="n">
        <v>220000</v>
      </c>
      <c r="J1749" s="20" t="inlineStr">
        <is>
          <t>POPULAR MARUTI</t>
        </is>
      </c>
      <c r="K1749" s="20" t="inlineStr">
        <is>
          <t>Non-Captive</t>
        </is>
      </c>
      <c r="L1749" s="20" t="inlineStr">
        <is>
          <t>HAVEN MOTORS</t>
        </is>
      </c>
      <c r="M1749" s="23" t="n">
        <v>8474.58</v>
      </c>
      <c r="N1749" s="23" t="n">
        <v>10000</v>
      </c>
      <c r="O1749" s="24">
        <f>IF(AND(ISNUMBER(M1749), ISNUMBER(I1749), I1749&gt;0), M1749/I1749, "")</f>
        <v/>
      </c>
    </row>
    <row r="1750">
      <c r="A1750" s="19" t="inlineStr">
        <is>
          <t>FY26</t>
        </is>
      </c>
      <c r="B1750" s="19" t="inlineStr">
        <is>
          <t>Feb</t>
        </is>
      </c>
      <c r="C1750" s="19" t="inlineStr">
        <is>
          <t>Kerala</t>
        </is>
      </c>
      <c r="D1750" s="20" t="inlineStr">
        <is>
          <t>KL11BV7821</t>
        </is>
      </c>
      <c r="E1750" s="20" t="inlineStr">
        <is>
          <t>RENAULT</t>
        </is>
      </c>
      <c r="F1750" s="20" t="inlineStr">
        <is>
          <t>Kiger</t>
        </is>
      </c>
      <c r="G1750" s="21" t="n"/>
      <c r="H1750" s="22" t="n">
        <v>23417</v>
      </c>
      <c r="I1750" s="23" t="n">
        <v>500000</v>
      </c>
      <c r="J1750" s="20" t="inlineStr">
        <is>
          <t>POPULAR MARUTI</t>
        </is>
      </c>
      <c r="K1750" s="20" t="inlineStr">
        <is>
          <t>Non-Captive</t>
        </is>
      </c>
      <c r="L1750" s="20" t="inlineStr">
        <is>
          <t>CIRIL SEBASTIAN</t>
        </is>
      </c>
      <c r="M1750" s="23" t="n">
        <v>6355.93</v>
      </c>
      <c r="N1750" s="23" t="n">
        <v>7500</v>
      </c>
      <c r="O1750" s="24">
        <f>IF(AND(ISNUMBER(M1750), ISNUMBER(I1750), I1750&gt;0), M1750/I1750, "")</f>
        <v/>
      </c>
    </row>
    <row r="1751">
      <c r="A1751" s="19" t="inlineStr">
        <is>
          <t>FY26</t>
        </is>
      </c>
      <c r="B1751" s="19" t="inlineStr">
        <is>
          <t>Feb</t>
        </is>
      </c>
      <c r="C1751" s="19" t="inlineStr">
        <is>
          <t>Kerala</t>
        </is>
      </c>
      <c r="D1751" s="20" t="inlineStr">
        <is>
          <t>KL46F3157</t>
        </is>
      </c>
      <c r="E1751" s="20" t="inlineStr">
        <is>
          <t>TOYOTA</t>
        </is>
      </c>
      <c r="F1751" s="20" t="inlineStr">
        <is>
          <t>Etios</t>
        </is>
      </c>
      <c r="G1751" s="21" t="n"/>
      <c r="H1751" s="22" t="n">
        <v>111525</v>
      </c>
      <c r="I1751" s="23" t="n">
        <v>340000</v>
      </c>
      <c r="J1751" s="20" t="inlineStr">
        <is>
          <t>EVM CITROEN</t>
        </is>
      </c>
      <c r="K1751" s="20" t="inlineStr">
        <is>
          <t>Non-Captive</t>
        </is>
      </c>
      <c r="L1751" s="20" t="inlineStr">
        <is>
          <t>FABITH</t>
        </is>
      </c>
      <c r="M1751" s="23" t="n">
        <v>8474.58</v>
      </c>
      <c r="N1751" s="23" t="n">
        <v>10000</v>
      </c>
      <c r="O1751" s="24">
        <f>IF(AND(ISNUMBER(M1751), ISNUMBER(I1751), I1751&gt;0), M1751/I1751, "")</f>
        <v/>
      </c>
    </row>
    <row r="1752">
      <c r="A1752" s="19" t="inlineStr">
        <is>
          <t>FY26</t>
        </is>
      </c>
      <c r="B1752" s="19" t="inlineStr">
        <is>
          <t>Feb</t>
        </is>
      </c>
      <c r="C1752" s="19" t="inlineStr">
        <is>
          <t>Kerala</t>
        </is>
      </c>
      <c r="D1752" s="20" t="inlineStr">
        <is>
          <t>KL45T6950</t>
        </is>
      </c>
      <c r="E1752" s="20" t="inlineStr">
        <is>
          <t>TATA</t>
        </is>
      </c>
      <c r="F1752" s="20" t="inlineStr">
        <is>
          <t>Altroz</t>
        </is>
      </c>
      <c r="G1752" s="21" t="n"/>
      <c r="H1752" s="22" t="n">
        <v>50618</v>
      </c>
      <c r="I1752" s="23" t="n">
        <v>310000</v>
      </c>
      <c r="J1752" s="20" t="inlineStr">
        <is>
          <t>PHOENIX VOLKSWAGEN</t>
        </is>
      </c>
      <c r="K1752" s="20" t="inlineStr">
        <is>
          <t>Non-Captive</t>
        </is>
      </c>
      <c r="L1752" s="20" t="inlineStr">
        <is>
          <t>AITOS CARS</t>
        </is>
      </c>
      <c r="M1752" s="23" t="n">
        <v>8474.58</v>
      </c>
      <c r="N1752" s="23" t="n">
        <v>10000</v>
      </c>
      <c r="O1752" s="24">
        <f>IF(AND(ISNUMBER(M1752), ISNUMBER(I1752), I1752&gt;0), M1752/I1752, "")</f>
        <v/>
      </c>
    </row>
    <row r="1753">
      <c r="A1753" s="19" t="inlineStr">
        <is>
          <t>FY26</t>
        </is>
      </c>
      <c r="B1753" s="19" t="inlineStr">
        <is>
          <t>Feb</t>
        </is>
      </c>
      <c r="C1753" s="19" t="inlineStr">
        <is>
          <t>Kerala</t>
        </is>
      </c>
      <c r="D1753" s="20" t="inlineStr">
        <is>
          <t>KL43N4838</t>
        </is>
      </c>
      <c r="E1753" s="20" t="inlineStr">
        <is>
          <t>RENAULT</t>
        </is>
      </c>
      <c r="F1753" s="20" t="inlineStr">
        <is>
          <t>Triber</t>
        </is>
      </c>
      <c r="G1753" s="21" t="n"/>
      <c r="H1753" s="22" t="n">
        <v>21600</v>
      </c>
      <c r="I1753" s="23" t="n">
        <v>350000</v>
      </c>
      <c r="J1753" s="20" t="inlineStr">
        <is>
          <t>POPULAR MARUTI</t>
        </is>
      </c>
      <c r="K1753" s="20" t="inlineStr">
        <is>
          <t>Non-Captive</t>
        </is>
      </c>
      <c r="L1753" s="20" t="inlineStr">
        <is>
          <t>HUSSAIN O E</t>
        </is>
      </c>
      <c r="M1753" s="23" t="n">
        <v>8474.58</v>
      </c>
      <c r="N1753" s="23" t="n">
        <v>10000</v>
      </c>
      <c r="O1753" s="24">
        <f>IF(AND(ISNUMBER(M1753), ISNUMBER(I1753), I1753&gt;0), M1753/I1753, "")</f>
        <v/>
      </c>
    </row>
    <row r="1754">
      <c r="A1754" s="19" t="inlineStr">
        <is>
          <t>FY26</t>
        </is>
      </c>
      <c r="B1754" s="19" t="inlineStr">
        <is>
          <t>Feb</t>
        </is>
      </c>
      <c r="C1754" s="19" t="inlineStr">
        <is>
          <t>Kerala</t>
        </is>
      </c>
      <c r="D1754" s="20" t="inlineStr">
        <is>
          <t>KL18W9303</t>
        </is>
      </c>
      <c r="E1754" s="20" t="inlineStr">
        <is>
          <t>HYUNDAI</t>
        </is>
      </c>
      <c r="F1754" s="20" t="inlineStr">
        <is>
          <t>I10</t>
        </is>
      </c>
      <c r="G1754" s="21" t="n"/>
      <c r="H1754" s="22" t="n">
        <v>70000</v>
      </c>
      <c r="I1754" s="23" t="n">
        <v>310000</v>
      </c>
      <c r="J1754" s="20" t="inlineStr">
        <is>
          <t>PRAJOSH</t>
        </is>
      </c>
      <c r="K1754" s="20" t="inlineStr">
        <is>
          <t>Non-Captive</t>
        </is>
      </c>
      <c r="L1754" s="20" t="inlineStr">
        <is>
          <t>AM MOTORS</t>
        </is>
      </c>
      <c r="M1754" s="23" t="n">
        <v>4237.29</v>
      </c>
      <c r="N1754" s="23" t="n">
        <v>5000</v>
      </c>
      <c r="O1754" s="24">
        <f>IF(AND(ISNUMBER(M1754), ISNUMBER(I1754), I1754&gt;0), M1754/I1754, "")</f>
        <v/>
      </c>
    </row>
    <row r="1755">
      <c r="A1755" s="19" t="inlineStr">
        <is>
          <t>FY26</t>
        </is>
      </c>
      <c r="B1755" s="19" t="inlineStr">
        <is>
          <t>Feb</t>
        </is>
      </c>
      <c r="C1755" s="19" t="inlineStr">
        <is>
          <t>Kerala</t>
        </is>
      </c>
      <c r="D1755" s="20" t="inlineStr">
        <is>
          <t>KL56P3737</t>
        </is>
      </c>
      <c r="E1755" s="20" t="inlineStr">
        <is>
          <t>HYUNDAI</t>
        </is>
      </c>
      <c r="F1755" s="20" t="inlineStr">
        <is>
          <t>I10</t>
        </is>
      </c>
      <c r="G1755" s="21" t="n"/>
      <c r="H1755" s="22" t="n">
        <v>43000</v>
      </c>
      <c r="I1755" s="23" t="n">
        <v>260000</v>
      </c>
      <c r="J1755" s="20" t="inlineStr">
        <is>
          <t>Basith</t>
        </is>
      </c>
      <c r="K1755" s="20" t="inlineStr">
        <is>
          <t>Non-Captive</t>
        </is>
      </c>
      <c r="L1755" s="20" t="inlineStr">
        <is>
          <t>AM MOTORS</t>
        </is>
      </c>
      <c r="M1755" s="23" t="n">
        <v>8474.58</v>
      </c>
      <c r="N1755" s="23" t="n">
        <v>10000</v>
      </c>
      <c r="O1755" s="24">
        <f>IF(AND(ISNUMBER(M1755), ISNUMBER(I1755), I1755&gt;0), M1755/I1755, "")</f>
        <v/>
      </c>
    </row>
    <row r="1756">
      <c r="A1756" s="19" t="inlineStr">
        <is>
          <t>FY26</t>
        </is>
      </c>
      <c r="B1756" s="19" t="inlineStr">
        <is>
          <t>Feb</t>
        </is>
      </c>
      <c r="C1756" s="19" t="inlineStr">
        <is>
          <t>Kerala</t>
        </is>
      </c>
      <c r="D1756" s="20" t="inlineStr">
        <is>
          <t>KL56A1600</t>
        </is>
      </c>
      <c r="E1756" s="20" t="inlineStr">
        <is>
          <t>TOYOTA</t>
        </is>
      </c>
      <c r="F1756" s="20" t="inlineStr">
        <is>
          <t>Innova</t>
        </is>
      </c>
      <c r="G1756" s="21" t="n"/>
      <c r="H1756" s="22" t="n">
        <v>280000</v>
      </c>
      <c r="I1756" s="23" t="n">
        <v>285000</v>
      </c>
      <c r="J1756" s="20" t="inlineStr">
        <is>
          <t>NISHA</t>
        </is>
      </c>
      <c r="K1756" s="20" t="inlineStr">
        <is>
          <t>Non-Captive</t>
        </is>
      </c>
      <c r="L1756" s="20" t="inlineStr">
        <is>
          <t>AMANA TOYOTA</t>
        </is>
      </c>
      <c r="M1756" s="23" t="n">
        <v>4237.29</v>
      </c>
      <c r="N1756" s="23" t="n">
        <v>5000</v>
      </c>
      <c r="O1756" s="24">
        <f>IF(AND(ISNUMBER(M1756), ISNUMBER(I1756), I1756&gt;0), M1756/I1756, "")</f>
        <v/>
      </c>
    </row>
    <row r="1757">
      <c r="A1757" s="19" t="inlineStr">
        <is>
          <t>FY26</t>
        </is>
      </c>
      <c r="B1757" s="19" t="inlineStr">
        <is>
          <t>Feb</t>
        </is>
      </c>
      <c r="C1757" s="19" t="inlineStr">
        <is>
          <t>Kerala</t>
        </is>
      </c>
      <c r="D1757" s="20" t="inlineStr">
        <is>
          <t>KL55B6891</t>
        </is>
      </c>
      <c r="E1757" s="20" t="inlineStr">
        <is>
          <t>MARUTI SUZUKI</t>
        </is>
      </c>
      <c r="F1757" s="20" t="inlineStr">
        <is>
          <t>Estilo</t>
        </is>
      </c>
      <c r="G1757" s="21" t="n"/>
      <c r="H1757" s="22" t="n">
        <v>173000</v>
      </c>
      <c r="I1757" s="23" t="n">
        <v>30000</v>
      </c>
      <c r="J1757" s="20" t="inlineStr">
        <is>
          <t>Basith</t>
        </is>
      </c>
      <c r="K1757" s="20" t="inlineStr">
        <is>
          <t>Non-Captive</t>
        </is>
      </c>
      <c r="L1757" s="20" t="inlineStr">
        <is>
          <t>BIMAL</t>
        </is>
      </c>
      <c r="M1757" s="23" t="n">
        <v>4237.29</v>
      </c>
      <c r="N1757" s="23" t="n">
        <v>5000</v>
      </c>
      <c r="O1757" s="24">
        <f>IF(AND(ISNUMBER(M1757), ISNUMBER(I1757), I1757&gt;0), M1757/I1757, "")</f>
        <v/>
      </c>
    </row>
    <row r="1758">
      <c r="A1758" s="19" t="inlineStr">
        <is>
          <t>FY26</t>
        </is>
      </c>
      <c r="B1758" s="19" t="inlineStr">
        <is>
          <t>Feb</t>
        </is>
      </c>
      <c r="C1758" s="19" t="inlineStr">
        <is>
          <t>Kerala</t>
        </is>
      </c>
      <c r="D1758" s="20" t="inlineStr">
        <is>
          <t>KL02AU6760</t>
        </is>
      </c>
      <c r="E1758" s="20" t="inlineStr">
        <is>
          <t>FORD</t>
        </is>
      </c>
      <c r="F1758" s="20" t="inlineStr">
        <is>
          <t>Ecosport</t>
        </is>
      </c>
      <c r="G1758" s="21" t="n"/>
      <c r="H1758" s="22" t="n">
        <v>106000</v>
      </c>
      <c r="I1758" s="23" t="n">
        <v>400000</v>
      </c>
      <c r="J1758" s="20" t="inlineStr">
        <is>
          <t>SANOOP</t>
        </is>
      </c>
      <c r="K1758" s="20" t="inlineStr">
        <is>
          <t>Non-Captive</t>
        </is>
      </c>
      <c r="L1758" s="20" t="inlineStr">
        <is>
          <t>UCD SANTHOSH</t>
        </is>
      </c>
      <c r="M1758" s="23" t="n">
        <v>8474.58</v>
      </c>
      <c r="N1758" s="23" t="n">
        <v>10000</v>
      </c>
      <c r="O1758" s="24">
        <f>IF(AND(ISNUMBER(M1758), ISNUMBER(I1758), I1758&gt;0), M1758/I1758, "")</f>
        <v/>
      </c>
    </row>
    <row r="1759">
      <c r="A1759" s="19" t="inlineStr">
        <is>
          <t>FY26</t>
        </is>
      </c>
      <c r="B1759" s="19" t="inlineStr">
        <is>
          <t>Feb</t>
        </is>
      </c>
      <c r="C1759" s="19" t="inlineStr">
        <is>
          <t>Kerala</t>
        </is>
      </c>
      <c r="D1759" s="20" t="inlineStr">
        <is>
          <t>KL37D4248</t>
        </is>
      </c>
      <c r="E1759" s="20" t="inlineStr">
        <is>
          <t>MARUTI SUZUKI</t>
        </is>
      </c>
      <c r="F1759" s="20" t="inlineStr">
        <is>
          <t>Alto</t>
        </is>
      </c>
      <c r="G1759" s="21" t="n"/>
      <c r="H1759" s="22" t="n">
        <v>57980</v>
      </c>
      <c r="I1759" s="23" t="n">
        <v>260000</v>
      </c>
      <c r="J1759" s="20" t="inlineStr">
        <is>
          <t>POPULAR MARUTI</t>
        </is>
      </c>
      <c r="K1759" s="20" t="inlineStr">
        <is>
          <t>Non-Captive</t>
        </is>
      </c>
      <c r="L1759" s="20" t="inlineStr">
        <is>
          <t>MUHAMMAD SHAJI</t>
        </is>
      </c>
      <c r="M1759" s="23" t="n">
        <v>11016.95</v>
      </c>
      <c r="N1759" s="23" t="n">
        <v>13000</v>
      </c>
      <c r="O1759" s="24">
        <f>IF(AND(ISNUMBER(M1759), ISNUMBER(I1759), I1759&gt;0), M1759/I1759, "")</f>
        <v/>
      </c>
    </row>
    <row r="1760">
      <c r="A1760" s="19" t="inlineStr">
        <is>
          <t>FY26</t>
        </is>
      </c>
      <c r="B1760" s="19" t="inlineStr">
        <is>
          <t>Feb</t>
        </is>
      </c>
      <c r="C1760" s="19" t="inlineStr">
        <is>
          <t>Kerala</t>
        </is>
      </c>
      <c r="D1760" s="20" t="inlineStr">
        <is>
          <t>KL07BQ6871</t>
        </is>
      </c>
      <c r="E1760" s="20" t="inlineStr">
        <is>
          <t>MARUTI SUZUKI</t>
        </is>
      </c>
      <c r="F1760" s="20" t="inlineStr">
        <is>
          <t>Omni</t>
        </is>
      </c>
      <c r="G1760" s="21" t="n"/>
      <c r="H1760" s="22" t="n">
        <v>75756</v>
      </c>
      <c r="I1760" s="23" t="n">
        <v>30000</v>
      </c>
      <c r="J1760" s="20" t="inlineStr">
        <is>
          <t>POPULAR MARUTI</t>
        </is>
      </c>
      <c r="K1760" s="20" t="inlineStr">
        <is>
          <t>Non-Captive</t>
        </is>
      </c>
      <c r="L1760" s="20" t="inlineStr">
        <is>
          <t>RAJEEV A C</t>
        </is>
      </c>
      <c r="M1760" s="23" t="n">
        <v>5084.75</v>
      </c>
      <c r="N1760" s="23" t="n">
        <v>6000</v>
      </c>
      <c r="O1760" s="24">
        <f>IF(AND(ISNUMBER(M1760), ISNUMBER(I1760), I1760&gt;0), M1760/I1760, "")</f>
        <v/>
      </c>
    </row>
    <row r="1761">
      <c r="A1761" s="19" t="inlineStr">
        <is>
          <t>FY26</t>
        </is>
      </c>
      <c r="B1761" s="19" t="inlineStr">
        <is>
          <t>Feb</t>
        </is>
      </c>
      <c r="C1761" s="19" t="inlineStr">
        <is>
          <t>Kerala</t>
        </is>
      </c>
      <c r="D1761" s="20" t="inlineStr">
        <is>
          <t>KL57P1708</t>
        </is>
      </c>
      <c r="E1761" s="20" t="inlineStr">
        <is>
          <t>HONDA</t>
        </is>
      </c>
      <c r="F1761" s="20" t="inlineStr">
        <is>
          <t>Jazz</t>
        </is>
      </c>
      <c r="G1761" s="21" t="n"/>
      <c r="H1761" s="22" t="n">
        <v>85760</v>
      </c>
      <c r="I1761" s="23" t="n">
        <v>380000</v>
      </c>
      <c r="J1761" s="20" t="inlineStr">
        <is>
          <t>INCHEON KIA</t>
        </is>
      </c>
      <c r="K1761" s="20" t="inlineStr">
        <is>
          <t>Non-Captive</t>
        </is>
      </c>
      <c r="L1761" s="20" t="inlineStr">
        <is>
          <t>DINESH P S</t>
        </is>
      </c>
      <c r="M1761" s="23" t="n">
        <v>8474.58</v>
      </c>
      <c r="N1761" s="23" t="n">
        <v>10000</v>
      </c>
      <c r="O1761" s="24">
        <f>IF(AND(ISNUMBER(M1761), ISNUMBER(I1761), I1761&gt;0), M1761/I1761, "")</f>
        <v/>
      </c>
    </row>
    <row r="1762">
      <c r="A1762" s="19" t="inlineStr">
        <is>
          <t>FY26</t>
        </is>
      </c>
      <c r="B1762" s="19" t="inlineStr">
        <is>
          <t>Feb</t>
        </is>
      </c>
      <c r="C1762" s="19" t="inlineStr">
        <is>
          <t>Kerala</t>
        </is>
      </c>
      <c r="D1762" s="20" t="inlineStr">
        <is>
          <t>KL07BN0257</t>
        </is>
      </c>
      <c r="E1762" s="20" t="inlineStr">
        <is>
          <t>MARUTI SUZUKI</t>
        </is>
      </c>
      <c r="F1762" s="20" t="inlineStr">
        <is>
          <t>Zen</t>
        </is>
      </c>
      <c r="G1762" s="21" t="n"/>
      <c r="H1762" s="22" t="n">
        <v>55942</v>
      </c>
      <c r="I1762" s="23" t="n">
        <v>70000</v>
      </c>
      <c r="J1762" s="20" t="inlineStr">
        <is>
          <t>POPULAR MARUTI</t>
        </is>
      </c>
      <c r="K1762" s="20" t="inlineStr">
        <is>
          <t>Non-Captive</t>
        </is>
      </c>
      <c r="L1762" s="20" t="inlineStr">
        <is>
          <t>VTJ</t>
        </is>
      </c>
      <c r="M1762" s="23" t="n">
        <v>8474.58</v>
      </c>
      <c r="N1762" s="23" t="n">
        <v>10000</v>
      </c>
      <c r="O1762" s="24">
        <f>IF(AND(ISNUMBER(M1762), ISNUMBER(I1762), I1762&gt;0), M1762/I1762, "")</f>
        <v/>
      </c>
    </row>
    <row r="1763">
      <c r="A1763" s="19" t="inlineStr">
        <is>
          <t>FY26</t>
        </is>
      </c>
      <c r="B1763" s="19" t="inlineStr">
        <is>
          <t>Feb</t>
        </is>
      </c>
      <c r="C1763" s="19" t="inlineStr">
        <is>
          <t>Kerala</t>
        </is>
      </c>
      <c r="D1763" s="20" t="inlineStr">
        <is>
          <t>KL30B3578</t>
        </is>
      </c>
      <c r="E1763" s="20" t="inlineStr">
        <is>
          <t>HYUNDAI</t>
        </is>
      </c>
      <c r="F1763" s="20" t="inlineStr">
        <is>
          <t>Santro</t>
        </is>
      </c>
      <c r="G1763" s="21" t="n"/>
      <c r="H1763" s="22" t="n">
        <v>108000</v>
      </c>
      <c r="I1763" s="23" t="n">
        <v>50000</v>
      </c>
      <c r="J1763" s="20" t="inlineStr">
        <is>
          <t>ARAVIND</t>
        </is>
      </c>
      <c r="K1763" s="20" t="inlineStr">
        <is>
          <t>Non-Captive</t>
        </is>
      </c>
      <c r="L1763" s="20" t="inlineStr">
        <is>
          <t>TRIVANDRUM MOTORS</t>
        </is>
      </c>
      <c r="M1763" s="23" t="n">
        <v>5084.75</v>
      </c>
      <c r="N1763" s="23" t="n">
        <v>6000</v>
      </c>
      <c r="O1763" s="24">
        <f>IF(AND(ISNUMBER(M1763), ISNUMBER(I1763), I1763&gt;0), M1763/I1763, "")</f>
        <v/>
      </c>
    </row>
    <row r="1764">
      <c r="A1764" s="19" t="inlineStr">
        <is>
          <t>FY26</t>
        </is>
      </c>
      <c r="B1764" s="19" t="inlineStr">
        <is>
          <t>Feb</t>
        </is>
      </c>
      <c r="C1764" s="19" t="inlineStr">
        <is>
          <t>Kerala</t>
        </is>
      </c>
      <c r="D1764" s="20" t="inlineStr">
        <is>
          <t>KL01AT7560</t>
        </is>
      </c>
      <c r="E1764" s="20" t="inlineStr">
        <is>
          <t>HYUNDAI</t>
        </is>
      </c>
      <c r="F1764" s="20" t="inlineStr">
        <is>
          <t>Santro</t>
        </is>
      </c>
      <c r="G1764" s="21" t="n"/>
      <c r="H1764" s="22" t="n">
        <v>30500</v>
      </c>
      <c r="I1764" s="23" t="n">
        <v>60000</v>
      </c>
      <c r="J1764" s="20" t="inlineStr">
        <is>
          <t>ARAVIND</t>
        </is>
      </c>
      <c r="K1764" s="20" t="inlineStr">
        <is>
          <t>Non-Captive</t>
        </is>
      </c>
      <c r="L1764" s="20" t="inlineStr">
        <is>
          <t>PPS SKODA</t>
        </is>
      </c>
      <c r="M1764" s="23" t="n">
        <v>5084.75</v>
      </c>
      <c r="N1764" s="23" t="n">
        <v>6000</v>
      </c>
      <c r="O1764" s="24">
        <f>IF(AND(ISNUMBER(M1764), ISNUMBER(I1764), I1764&gt;0), M1764/I1764, "")</f>
        <v/>
      </c>
    </row>
    <row r="1765">
      <c r="A1765" s="19" t="inlineStr">
        <is>
          <t>FY26</t>
        </is>
      </c>
      <c r="B1765" s="19" t="inlineStr">
        <is>
          <t>Feb</t>
        </is>
      </c>
      <c r="C1765" s="19" t="inlineStr">
        <is>
          <t>Kerala</t>
        </is>
      </c>
      <c r="D1765" s="20" t="inlineStr">
        <is>
          <t>KL13AD0984</t>
        </is>
      </c>
      <c r="E1765" s="20" t="inlineStr">
        <is>
          <t>HYUNDAI</t>
        </is>
      </c>
      <c r="F1765" s="20" t="inlineStr">
        <is>
          <t>I10</t>
        </is>
      </c>
      <c r="G1765" s="21" t="n"/>
      <c r="H1765" s="22" t="n">
        <v>77000</v>
      </c>
      <c r="I1765" s="23" t="n">
        <v>200000</v>
      </c>
      <c r="J1765" s="20" t="inlineStr">
        <is>
          <t>PRAJOSH</t>
        </is>
      </c>
      <c r="K1765" s="20" t="inlineStr">
        <is>
          <t>Non-Captive</t>
        </is>
      </c>
      <c r="L1765" s="20" t="inlineStr">
        <is>
          <t>DKH KIA</t>
        </is>
      </c>
      <c r="M1765" s="23" t="n">
        <v>4237.29</v>
      </c>
      <c r="N1765" s="23" t="n">
        <v>5000</v>
      </c>
      <c r="O1765" s="24">
        <f>IF(AND(ISNUMBER(M1765), ISNUMBER(I1765), I1765&gt;0), M1765/I1765, "")</f>
        <v/>
      </c>
    </row>
    <row r="1766">
      <c r="A1766" s="19" t="inlineStr">
        <is>
          <t>FY26</t>
        </is>
      </c>
      <c r="B1766" s="19" t="inlineStr">
        <is>
          <t>Feb</t>
        </is>
      </c>
      <c r="C1766" s="19" t="inlineStr">
        <is>
          <t>Kerala</t>
        </is>
      </c>
      <c r="D1766" s="20" t="inlineStr">
        <is>
          <t>KL11AT5571</t>
        </is>
      </c>
      <c r="E1766" s="20" t="inlineStr">
        <is>
          <t>MARUTI SUZUKI</t>
        </is>
      </c>
      <c r="F1766" s="20" t="inlineStr">
        <is>
          <t>Swift Dzire</t>
        </is>
      </c>
      <c r="G1766" s="21" t="n"/>
      <c r="H1766" s="22" t="n">
        <v>102267</v>
      </c>
      <c r="I1766" s="23" t="n">
        <v>240000</v>
      </c>
      <c r="J1766" s="20" t="inlineStr">
        <is>
          <t>POPULAR MARUTI</t>
        </is>
      </c>
      <c r="K1766" s="20" t="inlineStr">
        <is>
          <t>Non-Captive</t>
        </is>
      </c>
      <c r="L1766" s="20" t="inlineStr">
        <is>
          <t>ASHRAF T A</t>
        </is>
      </c>
      <c r="M1766" s="23" t="n">
        <v>8474.58</v>
      </c>
      <c r="N1766" s="23" t="n">
        <v>10000</v>
      </c>
      <c r="O1766" s="24">
        <f>IF(AND(ISNUMBER(M1766), ISNUMBER(I1766), I1766&gt;0), M1766/I1766, "")</f>
        <v/>
      </c>
    </row>
    <row r="1767">
      <c r="A1767" s="19" t="inlineStr">
        <is>
          <t>FY26</t>
        </is>
      </c>
      <c r="B1767" s="19" t="inlineStr">
        <is>
          <t>Feb</t>
        </is>
      </c>
      <c r="C1767" s="19" t="inlineStr">
        <is>
          <t>Kerala</t>
        </is>
      </c>
      <c r="D1767" s="20" t="inlineStr">
        <is>
          <t>KL55B1566</t>
        </is>
      </c>
      <c r="E1767" s="20" t="inlineStr">
        <is>
          <t>MARUTI SUZUKI</t>
        </is>
      </c>
      <c r="F1767" s="20" t="inlineStr">
        <is>
          <t>M800</t>
        </is>
      </c>
      <c r="G1767" s="21" t="n"/>
      <c r="H1767" s="22" t="n">
        <v>160000</v>
      </c>
      <c r="I1767" s="23" t="n">
        <v>30000</v>
      </c>
      <c r="J1767" s="20" t="inlineStr">
        <is>
          <t>SANOOP</t>
        </is>
      </c>
      <c r="K1767" s="20" t="inlineStr">
        <is>
          <t>Non-Captive</t>
        </is>
      </c>
      <c r="L1767" s="20" t="inlineStr">
        <is>
          <t>BIMAL</t>
        </is>
      </c>
      <c r="M1767" s="23" t="n">
        <v>4237.29</v>
      </c>
      <c r="N1767" s="23" t="n">
        <v>5000</v>
      </c>
      <c r="O1767" s="24">
        <f>IF(AND(ISNUMBER(M1767), ISNUMBER(I1767), I1767&gt;0), M1767/I1767, "")</f>
        <v/>
      </c>
    </row>
    <row r="1768">
      <c r="A1768" s="19" t="inlineStr">
        <is>
          <t>FY26</t>
        </is>
      </c>
      <c r="B1768" s="19" t="inlineStr">
        <is>
          <t>Feb</t>
        </is>
      </c>
      <c r="C1768" s="19" t="inlineStr">
        <is>
          <t>Kerala</t>
        </is>
      </c>
      <c r="D1768" s="20" t="inlineStr">
        <is>
          <t>KL13AM3190</t>
        </is>
      </c>
      <c r="E1768" s="20" t="inlineStr">
        <is>
          <t>MARUTI SUZUKI</t>
        </is>
      </c>
      <c r="F1768" s="20" t="inlineStr">
        <is>
          <t>Wagon R</t>
        </is>
      </c>
      <c r="G1768" s="21" t="n"/>
      <c r="H1768" s="22" t="n">
        <v>180000</v>
      </c>
      <c r="I1768" s="23" t="n">
        <v>20000</v>
      </c>
      <c r="J1768" s="20" t="inlineStr">
        <is>
          <t>SARITH</t>
        </is>
      </c>
      <c r="K1768" s="20" t="inlineStr">
        <is>
          <t>Non-Captive</t>
        </is>
      </c>
      <c r="L1768" s="20" t="inlineStr">
        <is>
          <t>INDUS MARUTI</t>
        </is>
      </c>
      <c r="M1768" s="23" t="n">
        <v>4237.29</v>
      </c>
      <c r="N1768" s="23" t="n">
        <v>5000</v>
      </c>
      <c r="O1768" s="24">
        <f>IF(AND(ISNUMBER(M1768), ISNUMBER(I1768), I1768&gt;0), M1768/I1768, "")</f>
        <v/>
      </c>
    </row>
    <row r="1769">
      <c r="A1769" s="19" t="inlineStr">
        <is>
          <t>FY26</t>
        </is>
      </c>
      <c r="B1769" s="19" t="inlineStr">
        <is>
          <t>Feb</t>
        </is>
      </c>
      <c r="C1769" s="19" t="inlineStr">
        <is>
          <t>Kerala</t>
        </is>
      </c>
      <c r="D1769" s="20" t="inlineStr">
        <is>
          <t>KL17T7840</t>
        </is>
      </c>
      <c r="E1769" s="20" t="inlineStr">
        <is>
          <t>DATSUN</t>
        </is>
      </c>
      <c r="F1769" s="20" t="inlineStr">
        <is>
          <t>Redi-Go</t>
        </is>
      </c>
      <c r="G1769" s="21" t="n"/>
      <c r="H1769" s="22" t="n">
        <v>69000</v>
      </c>
      <c r="I1769" s="23" t="n">
        <v>130000</v>
      </c>
      <c r="J1769" s="20" t="inlineStr">
        <is>
          <t>NIDEESH MOHAN</t>
        </is>
      </c>
      <c r="K1769" s="20" t="inlineStr">
        <is>
          <t>Non-Captive</t>
        </is>
      </c>
      <c r="L1769" s="20" t="inlineStr">
        <is>
          <t>BIMAL</t>
        </is>
      </c>
      <c r="M1769" s="23" t="n">
        <v>4237.29</v>
      </c>
      <c r="N1769" s="23" t="n">
        <v>5000</v>
      </c>
      <c r="O1769" s="24">
        <f>IF(AND(ISNUMBER(M1769), ISNUMBER(I1769), I1769&gt;0), M1769/I1769, "")</f>
        <v/>
      </c>
    </row>
    <row r="1770">
      <c r="A1770" s="19" t="inlineStr">
        <is>
          <t>FY26</t>
        </is>
      </c>
      <c r="B1770" s="19" t="inlineStr">
        <is>
          <t>Feb</t>
        </is>
      </c>
      <c r="C1770" s="19" t="inlineStr">
        <is>
          <t>Kerala</t>
        </is>
      </c>
      <c r="D1770" s="20" t="inlineStr">
        <is>
          <t>KL20R9128</t>
        </is>
      </c>
      <c r="E1770" s="20" t="inlineStr">
        <is>
          <t>MARUTI SUZUKI</t>
        </is>
      </c>
      <c r="F1770" s="20" t="inlineStr">
        <is>
          <t>Alto</t>
        </is>
      </c>
      <c r="G1770" s="21" t="n"/>
      <c r="H1770" s="22" t="n">
        <v>37600</v>
      </c>
      <c r="I1770" s="23" t="n">
        <v>305000</v>
      </c>
      <c r="J1770" s="20" t="inlineStr">
        <is>
          <t>AUTOBOT</t>
        </is>
      </c>
      <c r="K1770" s="20" t="inlineStr">
        <is>
          <t>Non-Captive</t>
        </is>
      </c>
      <c r="L1770" s="20" t="inlineStr">
        <is>
          <t>LUXON TATA</t>
        </is>
      </c>
      <c r="M1770" s="23" t="n">
        <v>4237.29</v>
      </c>
      <c r="N1770" s="23" t="n">
        <v>5000</v>
      </c>
      <c r="O1770" s="24">
        <f>IF(AND(ISNUMBER(M1770), ISNUMBER(I1770), I1770&gt;0), M1770/I1770, "")</f>
        <v/>
      </c>
    </row>
    <row r="1771">
      <c r="A1771" s="19" t="inlineStr">
        <is>
          <t>FY26</t>
        </is>
      </c>
      <c r="B1771" s="19" t="inlineStr">
        <is>
          <t>Feb</t>
        </is>
      </c>
      <c r="C1771" s="19" t="inlineStr">
        <is>
          <t>Kerala</t>
        </is>
      </c>
      <c r="D1771" s="20" t="inlineStr">
        <is>
          <t>KL16X9007</t>
        </is>
      </c>
      <c r="E1771" s="20" t="inlineStr">
        <is>
          <t>RENAULT</t>
        </is>
      </c>
      <c r="F1771" s="20" t="inlineStr">
        <is>
          <t>Triber</t>
        </is>
      </c>
      <c r="G1771" s="21" t="n"/>
      <c r="H1771" s="22" t="n">
        <v>57000</v>
      </c>
      <c r="I1771" s="23" t="n">
        <v>335000</v>
      </c>
      <c r="J1771" s="20" t="inlineStr">
        <is>
          <t>ABHISHEK</t>
        </is>
      </c>
      <c r="K1771" s="20" t="inlineStr">
        <is>
          <t>Non-Captive</t>
        </is>
      </c>
      <c r="L1771" s="20" t="inlineStr">
        <is>
          <t>DERIK TATA</t>
        </is>
      </c>
      <c r="M1771" s="23" t="n">
        <v>4237.29</v>
      </c>
      <c r="N1771" s="23" t="n">
        <v>5000</v>
      </c>
      <c r="O1771" s="24">
        <f>IF(AND(ISNUMBER(M1771), ISNUMBER(I1771), I1771&gt;0), M1771/I1771, "")</f>
        <v/>
      </c>
    </row>
    <row r="1772">
      <c r="A1772" s="19" t="inlineStr">
        <is>
          <t>FY26</t>
        </is>
      </c>
      <c r="B1772" s="19" t="inlineStr">
        <is>
          <t>Feb</t>
        </is>
      </c>
      <c r="C1772" s="19" t="inlineStr">
        <is>
          <t>Kerala</t>
        </is>
      </c>
      <c r="D1772" s="20" t="inlineStr">
        <is>
          <t>KL30F3711</t>
        </is>
      </c>
      <c r="E1772" s="20" t="inlineStr">
        <is>
          <t>MARUTI SUZUKI</t>
        </is>
      </c>
      <c r="F1772" s="20" t="inlineStr">
        <is>
          <t>Wagon R</t>
        </is>
      </c>
      <c r="G1772" s="21" t="n"/>
      <c r="H1772" s="22" t="n">
        <v>57490</v>
      </c>
      <c r="I1772" s="23" t="n">
        <v>350000</v>
      </c>
      <c r="J1772" s="20" t="inlineStr">
        <is>
          <t>POPULAR MARUTI</t>
        </is>
      </c>
      <c r="K1772" s="20" t="inlineStr">
        <is>
          <t>Non-Captive</t>
        </is>
      </c>
      <c r="L1772" s="20" t="inlineStr">
        <is>
          <t>RAFEEK T A</t>
        </is>
      </c>
      <c r="M1772" s="23" t="n">
        <v>8474.58</v>
      </c>
      <c r="N1772" s="23" t="n">
        <v>10000</v>
      </c>
      <c r="O1772" s="24">
        <f>IF(AND(ISNUMBER(M1772), ISNUMBER(I1772), I1772&gt;0), M1772/I1772, "")</f>
        <v/>
      </c>
    </row>
    <row r="1773">
      <c r="A1773" s="19" t="inlineStr">
        <is>
          <t>FY26</t>
        </is>
      </c>
      <c r="B1773" s="19" t="inlineStr">
        <is>
          <t>Feb</t>
        </is>
      </c>
      <c r="C1773" s="19" t="inlineStr">
        <is>
          <t>Kerala</t>
        </is>
      </c>
      <c r="D1773" s="20" t="inlineStr">
        <is>
          <t>KL31K4959</t>
        </is>
      </c>
      <c r="E1773" s="20" t="inlineStr">
        <is>
          <t>RENAULT</t>
        </is>
      </c>
      <c r="F1773" s="20" t="inlineStr">
        <is>
          <t>Kwid</t>
        </is>
      </c>
      <c r="G1773" s="21" t="n"/>
      <c r="H1773" s="22" t="n">
        <v>44753</v>
      </c>
      <c r="I1773" s="23" t="n">
        <v>120000</v>
      </c>
      <c r="J1773" s="20" t="inlineStr">
        <is>
          <t>VARUN B</t>
        </is>
      </c>
      <c r="K1773" s="20" t="inlineStr">
        <is>
          <t>Non-Captive</t>
        </is>
      </c>
      <c r="L1773" s="20" t="inlineStr">
        <is>
          <t>REMIL SARATHY NEXA</t>
        </is>
      </c>
      <c r="M1773" s="23" t="n">
        <v>4237.29</v>
      </c>
      <c r="N1773" s="23" t="n">
        <v>5000</v>
      </c>
      <c r="O1773" s="24">
        <f>IF(AND(ISNUMBER(M1773), ISNUMBER(I1773), I1773&gt;0), M1773/I1773, "")</f>
        <v/>
      </c>
    </row>
    <row r="1774">
      <c r="A1774" s="19" t="inlineStr">
        <is>
          <t>FY26</t>
        </is>
      </c>
      <c r="B1774" s="19" t="inlineStr">
        <is>
          <t>Feb</t>
        </is>
      </c>
      <c r="C1774" s="19" t="inlineStr">
        <is>
          <t>Kerala</t>
        </is>
      </c>
      <c r="D1774" s="20" t="inlineStr">
        <is>
          <t>KL78A4978</t>
        </is>
      </c>
      <c r="E1774" s="20" t="inlineStr">
        <is>
          <t>MARUTI SUZUKI</t>
        </is>
      </c>
      <c r="F1774" s="20" t="inlineStr">
        <is>
          <t>Celerio</t>
        </is>
      </c>
      <c r="G1774" s="21" t="n"/>
      <c r="H1774" s="22" t="n">
        <v>32000</v>
      </c>
      <c r="I1774" s="23" t="n">
        <v>395000</v>
      </c>
      <c r="J1774" s="20" t="inlineStr">
        <is>
          <t>NIDEESH MOHAN</t>
        </is>
      </c>
      <c r="K1774" s="20" t="inlineStr">
        <is>
          <t>Non-Captive</t>
        </is>
      </c>
      <c r="L1774" s="20" t="inlineStr">
        <is>
          <t>APCO HYUNDAI</t>
        </is>
      </c>
      <c r="M1774" s="23" t="n">
        <v>4237.29</v>
      </c>
      <c r="N1774" s="23" t="n">
        <v>5000</v>
      </c>
      <c r="O1774" s="24">
        <f>IF(AND(ISNUMBER(M1774), ISNUMBER(I1774), I1774&gt;0), M1774/I1774, "")</f>
        <v/>
      </c>
    </row>
    <row r="1775">
      <c r="A1775" s="19" t="inlineStr">
        <is>
          <t>FY26</t>
        </is>
      </c>
      <c r="B1775" s="19" t="inlineStr">
        <is>
          <t>Feb</t>
        </is>
      </c>
      <c r="C1775" s="19" t="inlineStr">
        <is>
          <t>Kerala</t>
        </is>
      </c>
      <c r="D1775" s="20" t="inlineStr">
        <is>
          <t>KL58N2833</t>
        </is>
      </c>
      <c r="E1775" s="20" t="inlineStr">
        <is>
          <t>MARUTI SUZUKI</t>
        </is>
      </c>
      <c r="F1775" s="20" t="inlineStr">
        <is>
          <t>Celerio</t>
        </is>
      </c>
      <c r="G1775" s="21" t="n"/>
      <c r="H1775" s="22" t="n">
        <v>132000</v>
      </c>
      <c r="I1775" s="23" t="n">
        <v>230000</v>
      </c>
      <c r="J1775" s="20" t="inlineStr">
        <is>
          <t>SANOOP KM</t>
        </is>
      </c>
      <c r="K1775" s="20" t="inlineStr">
        <is>
          <t>Non-Captive</t>
        </is>
      </c>
      <c r="L1775" s="20" t="inlineStr">
        <is>
          <t>KVR TATA</t>
        </is>
      </c>
      <c r="M1775" s="23" t="n">
        <v>4237.29</v>
      </c>
      <c r="N1775" s="23" t="n">
        <v>5000</v>
      </c>
      <c r="O1775" s="24">
        <f>IF(AND(ISNUMBER(M1775), ISNUMBER(I1775), I1775&gt;0), M1775/I1775, "")</f>
        <v/>
      </c>
    </row>
    <row r="1776">
      <c r="A1776" s="19" t="inlineStr">
        <is>
          <t>FY26</t>
        </is>
      </c>
      <c r="B1776" s="19" t="inlineStr">
        <is>
          <t>Feb</t>
        </is>
      </c>
      <c r="C1776" s="19" t="inlineStr">
        <is>
          <t>Kerala</t>
        </is>
      </c>
      <c r="D1776" s="20" t="inlineStr">
        <is>
          <t>KL20C3658</t>
        </is>
      </c>
      <c r="E1776" s="20" t="inlineStr">
        <is>
          <t>CHEVROLET</t>
        </is>
      </c>
      <c r="F1776" s="20" t="inlineStr">
        <is>
          <t>Beat</t>
        </is>
      </c>
      <c r="G1776" s="21" t="n"/>
      <c r="H1776" s="22" t="n">
        <v>80000</v>
      </c>
      <c r="I1776" s="23" t="n">
        <v>40000</v>
      </c>
      <c r="J1776" s="20" t="inlineStr">
        <is>
          <t>VIJIL MARVEL CARS</t>
        </is>
      </c>
      <c r="K1776" s="20" t="inlineStr">
        <is>
          <t>Non-Captive</t>
        </is>
      </c>
      <c r="L1776" s="20" t="inlineStr">
        <is>
          <t>AMANA TOYOTA</t>
        </is>
      </c>
      <c r="M1776" s="23" t="n">
        <v>4237.29</v>
      </c>
      <c r="N1776" s="23" t="n">
        <v>5000</v>
      </c>
      <c r="O1776" s="24">
        <f>IF(AND(ISNUMBER(M1776), ISNUMBER(I1776), I1776&gt;0), M1776/I1776, "")</f>
        <v/>
      </c>
    </row>
    <row r="1777">
      <c r="A1777" s="19" t="inlineStr">
        <is>
          <t>FY26</t>
        </is>
      </c>
      <c r="B1777" s="19" t="inlineStr">
        <is>
          <t>Feb</t>
        </is>
      </c>
      <c r="C1777" s="19" t="inlineStr">
        <is>
          <t>Kerala</t>
        </is>
      </c>
      <c r="D1777" s="20" t="inlineStr">
        <is>
          <t>KL02BP2641</t>
        </is>
      </c>
      <c r="E1777" s="20" t="inlineStr">
        <is>
          <t>MARUTI SUZUKI</t>
        </is>
      </c>
      <c r="F1777" s="20" t="inlineStr">
        <is>
          <t>Ignis</t>
        </is>
      </c>
      <c r="G1777" s="21" t="n"/>
      <c r="H1777" s="22" t="n">
        <v>30310</v>
      </c>
      <c r="I1777" s="23" t="n">
        <v>450000</v>
      </c>
      <c r="J1777" s="20" t="inlineStr">
        <is>
          <t>AKHILNATH</t>
        </is>
      </c>
      <c r="K1777" s="20" t="inlineStr">
        <is>
          <t>Non-Captive</t>
        </is>
      </c>
      <c r="L1777" s="20" t="inlineStr">
        <is>
          <t>RENSON SPRICE HYUNDAI</t>
        </is>
      </c>
      <c r="M1777" s="23" t="n">
        <v>4237.29</v>
      </c>
      <c r="N1777" s="23" t="n">
        <v>5000</v>
      </c>
      <c r="O1777" s="24">
        <f>IF(AND(ISNUMBER(M1777), ISNUMBER(I1777), I1777&gt;0), M1777/I1777, "")</f>
        <v/>
      </c>
    </row>
    <row r="1778">
      <c r="A1778" s="19" t="inlineStr">
        <is>
          <t>FY26</t>
        </is>
      </c>
      <c r="B1778" s="19" t="inlineStr">
        <is>
          <t>Feb</t>
        </is>
      </c>
      <c r="C1778" s="19" t="inlineStr">
        <is>
          <t>Kerala</t>
        </is>
      </c>
      <c r="D1778" s="20" t="inlineStr">
        <is>
          <t>KL58F300</t>
        </is>
      </c>
      <c r="E1778" s="20" t="inlineStr">
        <is>
          <t>HYUNDAI</t>
        </is>
      </c>
      <c r="F1778" s="20" t="inlineStr">
        <is>
          <t>I20</t>
        </is>
      </c>
      <c r="G1778" s="21" t="n"/>
      <c r="H1778" s="22" t="n">
        <v>71000</v>
      </c>
      <c r="I1778" s="23" t="n">
        <v>125000</v>
      </c>
      <c r="J1778" s="20" t="inlineStr">
        <is>
          <t>NADIR</t>
        </is>
      </c>
      <c r="K1778" s="20" t="inlineStr">
        <is>
          <t>Non-Captive</t>
        </is>
      </c>
      <c r="L1778" s="20" t="inlineStr">
        <is>
          <t>APCO HYUNDAI</t>
        </is>
      </c>
      <c r="M1778" s="23" t="n">
        <v>5084.75</v>
      </c>
      <c r="N1778" s="23" t="n">
        <v>6000</v>
      </c>
      <c r="O1778" s="24">
        <f>IF(AND(ISNUMBER(M1778), ISNUMBER(I1778), I1778&gt;0), M1778/I1778, "")</f>
        <v/>
      </c>
    </row>
    <row r="1779">
      <c r="A1779" s="19" t="inlineStr">
        <is>
          <t>FY26</t>
        </is>
      </c>
      <c r="B1779" s="19" t="inlineStr">
        <is>
          <t>Feb</t>
        </is>
      </c>
      <c r="C1779" s="19" t="inlineStr">
        <is>
          <t>Kerala</t>
        </is>
      </c>
      <c r="D1779" s="20" t="inlineStr">
        <is>
          <t>KL16R5099</t>
        </is>
      </c>
      <c r="E1779" s="20" t="inlineStr">
        <is>
          <t>MARUTI SUZUKI</t>
        </is>
      </c>
      <c r="F1779" s="20" t="inlineStr">
        <is>
          <t>Wagon R</t>
        </is>
      </c>
      <c r="G1779" s="21" t="n"/>
      <c r="H1779" s="22" t="n">
        <v>19868</v>
      </c>
      <c r="I1779" s="23" t="n">
        <v>270000</v>
      </c>
      <c r="J1779" s="20" t="inlineStr">
        <is>
          <t>PRAMOD</t>
        </is>
      </c>
      <c r="K1779" s="20" t="inlineStr">
        <is>
          <t>Non-Captive</t>
        </is>
      </c>
      <c r="L1779" s="20" t="inlineStr">
        <is>
          <t>NOUFAL LUXON TATA</t>
        </is>
      </c>
      <c r="M1779" s="23" t="n">
        <v>4237.29</v>
      </c>
      <c r="N1779" s="23" t="n">
        <v>5000</v>
      </c>
      <c r="O1779" s="24">
        <f>IF(AND(ISNUMBER(M1779), ISNUMBER(I1779), I1779&gt;0), M1779/I1779, "")</f>
        <v/>
      </c>
    </row>
    <row r="1780">
      <c r="A1780" s="19" t="inlineStr">
        <is>
          <t>FY26</t>
        </is>
      </c>
      <c r="B1780" s="19" t="inlineStr">
        <is>
          <t>Feb</t>
        </is>
      </c>
      <c r="C1780" s="19" t="inlineStr">
        <is>
          <t>Kerala</t>
        </is>
      </c>
      <c r="D1780" s="20" t="inlineStr">
        <is>
          <t>KL02AS4643</t>
        </is>
      </c>
      <c r="E1780" s="20" t="inlineStr">
        <is>
          <t>MARUTI SUZUKI</t>
        </is>
      </c>
      <c r="F1780" s="20" t="inlineStr">
        <is>
          <t>Alto</t>
        </is>
      </c>
      <c r="G1780" s="21" t="n"/>
      <c r="H1780" s="22" t="n">
        <v>54322</v>
      </c>
      <c r="I1780" s="23" t="n">
        <v>135000</v>
      </c>
      <c r="J1780" s="20" t="inlineStr">
        <is>
          <t>SHAHAR T</t>
        </is>
      </c>
      <c r="K1780" s="20" t="inlineStr">
        <is>
          <t>Non-Captive</t>
        </is>
      </c>
      <c r="L1780" s="20" t="inlineStr">
        <is>
          <t>REMIL MARUTI NEXA</t>
        </is>
      </c>
      <c r="M1780" s="23" t="n">
        <v>4237.29</v>
      </c>
      <c r="N1780" s="23" t="n">
        <v>5000</v>
      </c>
      <c r="O1780" s="24">
        <f>IF(AND(ISNUMBER(M1780), ISNUMBER(I1780), I1780&gt;0), M1780/I1780, "")</f>
        <v/>
      </c>
    </row>
    <row r="1781">
      <c r="A1781" s="19" t="inlineStr">
        <is>
          <t>FY26</t>
        </is>
      </c>
      <c r="B1781" s="19" t="inlineStr">
        <is>
          <t>Feb</t>
        </is>
      </c>
      <c r="C1781" s="19" t="inlineStr">
        <is>
          <t>Kerala</t>
        </is>
      </c>
      <c r="D1781" s="20" t="inlineStr">
        <is>
          <t>KL03S7779</t>
        </is>
      </c>
      <c r="E1781" s="20" t="inlineStr">
        <is>
          <t>MARUTI SUZUKI</t>
        </is>
      </c>
      <c r="F1781" s="20" t="inlineStr">
        <is>
          <t>Wagon R</t>
        </is>
      </c>
      <c r="G1781" s="21" t="n"/>
      <c r="H1781" s="22" t="n">
        <v>79879</v>
      </c>
      <c r="I1781" s="23" t="n">
        <v>135000</v>
      </c>
      <c r="J1781" s="20" t="inlineStr">
        <is>
          <t>ANAS HAMEED</t>
        </is>
      </c>
      <c r="K1781" s="20" t="inlineStr">
        <is>
          <t>Non-Captive</t>
        </is>
      </c>
      <c r="L1781" s="20" t="inlineStr">
        <is>
          <t>SUDHEESH K SATHYAN</t>
        </is>
      </c>
      <c r="M1781" s="23" t="n">
        <v>8474.58</v>
      </c>
      <c r="N1781" s="23" t="n">
        <v>10000</v>
      </c>
      <c r="O1781" s="24">
        <f>IF(AND(ISNUMBER(M1781), ISNUMBER(I1781), I1781&gt;0), M1781/I1781, "")</f>
        <v/>
      </c>
    </row>
    <row r="1782">
      <c r="A1782" s="19" t="inlineStr">
        <is>
          <t>FY26</t>
        </is>
      </c>
      <c r="B1782" s="19" t="inlineStr">
        <is>
          <t>Feb</t>
        </is>
      </c>
      <c r="C1782" s="19" t="inlineStr">
        <is>
          <t>Kerala</t>
        </is>
      </c>
      <c r="D1782" s="20" t="inlineStr">
        <is>
          <t>KL32H4325</t>
        </is>
      </c>
      <c r="E1782" s="20" t="inlineStr">
        <is>
          <t>HYUNDAI</t>
        </is>
      </c>
      <c r="F1782" s="20" t="inlineStr">
        <is>
          <t>I20</t>
        </is>
      </c>
      <c r="G1782" s="21" t="n"/>
      <c r="H1782" s="22" t="n">
        <v>130298</v>
      </c>
      <c r="I1782" s="23" t="n">
        <v>360000</v>
      </c>
      <c r="J1782" s="20" t="inlineStr">
        <is>
          <t>ANAS HAMEED</t>
        </is>
      </c>
      <c r="K1782" s="20" t="inlineStr">
        <is>
          <t>Non-Captive</t>
        </is>
      </c>
      <c r="L1782" s="20" t="inlineStr">
        <is>
          <t>MUHAMMAD SHAJI</t>
        </is>
      </c>
      <c r="M1782" s="23" t="n">
        <v>4237.29</v>
      </c>
      <c r="N1782" s="23" t="n">
        <v>5000</v>
      </c>
      <c r="O1782" s="24">
        <f>IF(AND(ISNUMBER(M1782), ISNUMBER(I1782), I1782&gt;0), M1782/I1782, "")</f>
        <v/>
      </c>
    </row>
    <row r="1783">
      <c r="A1783" s="19" t="inlineStr">
        <is>
          <t>FY26</t>
        </is>
      </c>
      <c r="B1783" s="19" t="inlineStr">
        <is>
          <t>Feb</t>
        </is>
      </c>
      <c r="C1783" s="19" t="inlineStr">
        <is>
          <t>Kerala</t>
        </is>
      </c>
      <c r="D1783" s="20" t="inlineStr">
        <is>
          <t>TN02BJ0988</t>
        </is>
      </c>
      <c r="E1783" s="20" t="inlineStr">
        <is>
          <t>VOLKSWAGEN</t>
        </is>
      </c>
      <c r="F1783" s="20" t="inlineStr">
        <is>
          <t>Polo</t>
        </is>
      </c>
      <c r="G1783" s="21" t="n"/>
      <c r="H1783" s="22" t="n">
        <v>69500</v>
      </c>
      <c r="I1783" s="23" t="n">
        <v>505000</v>
      </c>
      <c r="J1783" s="20" t="inlineStr">
        <is>
          <t>PHOENIX VOLKSWAGEN</t>
        </is>
      </c>
      <c r="K1783" s="20" t="inlineStr">
        <is>
          <t>Non-Captive</t>
        </is>
      </c>
      <c r="L1783" s="20" t="inlineStr">
        <is>
          <t>AITOS CARS</t>
        </is>
      </c>
      <c r="M1783" s="23" t="n">
        <v>8474.58</v>
      </c>
      <c r="N1783" s="23" t="n">
        <v>10000</v>
      </c>
      <c r="O1783" s="24">
        <f>IF(AND(ISNUMBER(M1783), ISNUMBER(I1783), I1783&gt;0), M1783/I1783, "")</f>
        <v/>
      </c>
    </row>
    <row r="1784">
      <c r="A1784" s="19" t="inlineStr">
        <is>
          <t>FY26</t>
        </is>
      </c>
      <c r="B1784" s="19" t="inlineStr">
        <is>
          <t>Feb</t>
        </is>
      </c>
      <c r="C1784" s="19" t="inlineStr">
        <is>
          <t>Kerala</t>
        </is>
      </c>
      <c r="D1784" s="20" t="inlineStr">
        <is>
          <t>KL04Y7588</t>
        </is>
      </c>
      <c r="E1784" s="20" t="inlineStr">
        <is>
          <t>HYUNDAI</t>
        </is>
      </c>
      <c r="F1784" s="20" t="inlineStr">
        <is>
          <t>I10</t>
        </is>
      </c>
      <c r="G1784" s="21" t="n"/>
      <c r="H1784" s="22" t="n">
        <v>67204</v>
      </c>
      <c r="I1784" s="23" t="n">
        <v>60000</v>
      </c>
      <c r="J1784" s="20" t="inlineStr">
        <is>
          <t>EVM CITROEN</t>
        </is>
      </c>
      <c r="K1784" s="20" t="inlineStr">
        <is>
          <t>Non-Captive</t>
        </is>
      </c>
      <c r="L1784" s="20" t="inlineStr">
        <is>
          <t>ASHRAF T A</t>
        </is>
      </c>
      <c r="M1784" s="23" t="n">
        <v>8474.58</v>
      </c>
      <c r="N1784" s="23" t="n">
        <v>10000</v>
      </c>
      <c r="O1784" s="24">
        <f>IF(AND(ISNUMBER(M1784), ISNUMBER(I1784), I1784&gt;0), M1784/I1784, "")</f>
        <v/>
      </c>
    </row>
    <row r="1785">
      <c r="A1785" s="19" t="inlineStr">
        <is>
          <t>FY26</t>
        </is>
      </c>
      <c r="B1785" s="19" t="inlineStr">
        <is>
          <t>Feb</t>
        </is>
      </c>
      <c r="C1785" s="19" t="inlineStr">
        <is>
          <t>Kerala</t>
        </is>
      </c>
      <c r="D1785" s="20" t="inlineStr">
        <is>
          <t>KL07BR7989</t>
        </is>
      </c>
      <c r="E1785" s="20" t="inlineStr">
        <is>
          <t>MARUTI SUZUKI</t>
        </is>
      </c>
      <c r="F1785" s="20" t="inlineStr">
        <is>
          <t>K10</t>
        </is>
      </c>
      <c r="G1785" s="21" t="n"/>
      <c r="H1785" s="22" t="n">
        <v>79468</v>
      </c>
      <c r="I1785" s="23" t="n">
        <v>88500</v>
      </c>
      <c r="J1785" s="20" t="inlineStr">
        <is>
          <t>POPULAR MARUTI</t>
        </is>
      </c>
      <c r="K1785" s="20" t="inlineStr">
        <is>
          <t>Non-Captive</t>
        </is>
      </c>
      <c r="L1785" s="20" t="inlineStr">
        <is>
          <t>FABITH</t>
        </is>
      </c>
      <c r="M1785" s="23" t="n">
        <v>8474.58</v>
      </c>
      <c r="N1785" s="23" t="n">
        <v>10000</v>
      </c>
      <c r="O1785" s="24">
        <f>IF(AND(ISNUMBER(M1785), ISNUMBER(I1785), I1785&gt;0), M1785/I1785, "")</f>
        <v/>
      </c>
    </row>
    <row r="1786">
      <c r="A1786" s="19" t="inlineStr">
        <is>
          <t>FY26</t>
        </is>
      </c>
      <c r="B1786" s="19" t="inlineStr">
        <is>
          <t>Feb</t>
        </is>
      </c>
      <c r="C1786" s="19" t="inlineStr">
        <is>
          <t>Kerala</t>
        </is>
      </c>
      <c r="D1786" s="20" t="inlineStr">
        <is>
          <t>KL13AA7164</t>
        </is>
      </c>
      <c r="E1786" s="20" t="inlineStr">
        <is>
          <t>CHEVROLET</t>
        </is>
      </c>
      <c r="F1786" s="20" t="inlineStr">
        <is>
          <t>Beat</t>
        </is>
      </c>
      <c r="G1786" s="21" t="n"/>
      <c r="H1786" s="22" t="n">
        <v>150000</v>
      </c>
      <c r="I1786" s="23" t="n">
        <v>20000</v>
      </c>
      <c r="J1786" s="20" t="inlineStr">
        <is>
          <t>VIJIL MARVEL CARS</t>
        </is>
      </c>
      <c r="K1786" s="20" t="inlineStr">
        <is>
          <t>Non-Captive</t>
        </is>
      </c>
      <c r="L1786" s="20" t="inlineStr">
        <is>
          <t>AUTOTRUST</t>
        </is>
      </c>
      <c r="M1786" s="23" t="n">
        <v>4237.29</v>
      </c>
      <c r="N1786" s="23" t="n">
        <v>5000</v>
      </c>
      <c r="O1786" s="24">
        <f>IF(AND(ISNUMBER(M1786), ISNUMBER(I1786), I1786&gt;0), M1786/I1786, "")</f>
        <v/>
      </c>
    </row>
    <row r="1787">
      <c r="A1787" s="19" t="inlineStr">
        <is>
          <t>FY26</t>
        </is>
      </c>
      <c r="B1787" s="19" t="inlineStr">
        <is>
          <t>Mar</t>
        </is>
      </c>
      <c r="C1787" s="19" t="inlineStr">
        <is>
          <t>Kerala</t>
        </is>
      </c>
      <c r="D1787" s="20" t="inlineStr">
        <is>
          <t>KL39R4921</t>
        </is>
      </c>
      <c r="E1787" s="20" t="inlineStr">
        <is>
          <t>NISSAN</t>
        </is>
      </c>
      <c r="F1787" s="20" t="inlineStr">
        <is>
          <t>Magnite</t>
        </is>
      </c>
      <c r="G1787" s="21" t="n"/>
      <c r="H1787" s="22" t="n">
        <v>41000</v>
      </c>
      <c r="I1787" s="23" t="n">
        <v>435000</v>
      </c>
      <c r="J1787" s="20" t="inlineStr">
        <is>
          <t>NIRANJAN</t>
        </is>
      </c>
      <c r="K1787" s="20" t="inlineStr">
        <is>
          <t>Non-Captive</t>
        </is>
      </c>
      <c r="L1787" s="20" t="inlineStr">
        <is>
          <t>SANTHOSH</t>
        </is>
      </c>
      <c r="M1787" s="23" t="n">
        <v>8474.58</v>
      </c>
      <c r="N1787" s="23" t="n">
        <v>10000</v>
      </c>
      <c r="O1787" s="24">
        <f>IF(AND(ISNUMBER(M1787), ISNUMBER(I1787), I1787&gt;0), M1787/I1787, "")</f>
        <v/>
      </c>
    </row>
    <row r="1788">
      <c r="A1788" s="19" t="inlineStr">
        <is>
          <t>FY26</t>
        </is>
      </c>
      <c r="B1788" s="19" t="inlineStr">
        <is>
          <t>Mar</t>
        </is>
      </c>
      <c r="C1788" s="19" t="inlineStr">
        <is>
          <t>Kerala</t>
        </is>
      </c>
      <c r="D1788" s="20" t="inlineStr">
        <is>
          <t>KL14T0826</t>
        </is>
      </c>
      <c r="E1788" s="20" t="inlineStr">
        <is>
          <t>MARUTI SUZUKI</t>
        </is>
      </c>
      <c r="F1788" s="20" t="inlineStr">
        <is>
          <t>Swift</t>
        </is>
      </c>
      <c r="G1788" s="21" t="n"/>
      <c r="H1788" s="22" t="n">
        <v>107000</v>
      </c>
      <c r="I1788" s="23" t="n">
        <v>421000</v>
      </c>
      <c r="J1788" s="20" t="inlineStr">
        <is>
          <t>NISAB</t>
        </is>
      </c>
      <c r="K1788" s="20" t="inlineStr">
        <is>
          <t>Non-Captive</t>
        </is>
      </c>
      <c r="L1788" s="20" t="inlineStr">
        <is>
          <t>PRAJOTH</t>
        </is>
      </c>
      <c r="M1788" s="23" t="n">
        <v>7627.12</v>
      </c>
      <c r="N1788" s="23" t="n">
        <v>9000</v>
      </c>
      <c r="O1788" s="24">
        <f>IF(AND(ISNUMBER(M1788), ISNUMBER(I1788), I1788&gt;0), M1788/I1788, "")</f>
        <v/>
      </c>
    </row>
    <row r="1789">
      <c r="A1789" s="19" t="inlineStr">
        <is>
          <t>FY26</t>
        </is>
      </c>
      <c r="B1789" s="19" t="inlineStr">
        <is>
          <t>Mar</t>
        </is>
      </c>
      <c r="C1789" s="19" t="inlineStr">
        <is>
          <t>Kerala</t>
        </is>
      </c>
      <c r="D1789" s="20" t="inlineStr">
        <is>
          <t>KL07BM6035</t>
        </is>
      </c>
      <c r="E1789" s="20" t="inlineStr">
        <is>
          <t>HYUNDAI</t>
        </is>
      </c>
      <c r="F1789" s="20" t="inlineStr">
        <is>
          <t>Santro</t>
        </is>
      </c>
      <c r="G1789" s="21" t="n"/>
      <c r="H1789" s="22" t="n">
        <v>100000</v>
      </c>
      <c r="I1789" s="23" t="n">
        <v>65000</v>
      </c>
      <c r="J1789" s="20" t="inlineStr">
        <is>
          <t>SANOOP KM</t>
        </is>
      </c>
      <c r="K1789" s="20" t="inlineStr">
        <is>
          <t>Non-Captive</t>
        </is>
      </c>
      <c r="L1789" s="20" t="inlineStr">
        <is>
          <t>BIMAL</t>
        </is>
      </c>
      <c r="M1789" s="23" t="n">
        <v>4237.29</v>
      </c>
      <c r="N1789" s="23" t="n">
        <v>5000</v>
      </c>
      <c r="O1789" s="24">
        <f>IF(AND(ISNUMBER(M1789), ISNUMBER(I1789), I1789&gt;0), M1789/I1789, "")</f>
        <v/>
      </c>
    </row>
    <row r="1790">
      <c r="A1790" s="19" t="inlineStr">
        <is>
          <t>FY26</t>
        </is>
      </c>
      <c r="B1790" s="19" t="inlineStr">
        <is>
          <t>Mar</t>
        </is>
      </c>
      <c r="C1790" s="19" t="inlineStr">
        <is>
          <t>Kerala</t>
        </is>
      </c>
      <c r="D1790" s="20" t="inlineStr">
        <is>
          <t>KL11AW1914</t>
        </is>
      </c>
      <c r="E1790" s="20" t="inlineStr">
        <is>
          <t>RENAULT</t>
        </is>
      </c>
      <c r="F1790" s="20" t="inlineStr">
        <is>
          <t>Duster</t>
        </is>
      </c>
      <c r="G1790" s="21" t="n"/>
      <c r="H1790" s="22" t="n">
        <v>83000</v>
      </c>
      <c r="I1790" s="23" t="n">
        <v>245000</v>
      </c>
      <c r="J1790" s="20" t="inlineStr">
        <is>
          <t>PRASEED KUMAR</t>
        </is>
      </c>
      <c r="K1790" s="20" t="inlineStr">
        <is>
          <t>Non-Captive</t>
        </is>
      </c>
      <c r="L1790" s="20" t="inlineStr">
        <is>
          <t>MOTOEXCHANGE</t>
        </is>
      </c>
      <c r="M1790" s="23" t="n">
        <v>8474.58</v>
      </c>
      <c r="N1790" s="23" t="n">
        <v>10000</v>
      </c>
      <c r="O1790" s="24">
        <f>IF(AND(ISNUMBER(M1790), ISNUMBER(I1790), I1790&gt;0), M1790/I1790, "")</f>
        <v/>
      </c>
    </row>
    <row r="1791">
      <c r="A1791" s="19" t="inlineStr">
        <is>
          <t>FY26</t>
        </is>
      </c>
      <c r="B1791" s="19" t="inlineStr">
        <is>
          <t>Mar</t>
        </is>
      </c>
      <c r="C1791" s="19" t="inlineStr">
        <is>
          <t>Kerala</t>
        </is>
      </c>
      <c r="D1791" s="20" t="inlineStr">
        <is>
          <t>KL58G5594</t>
        </is>
      </c>
      <c r="E1791" s="20" t="inlineStr">
        <is>
          <t>MARUTI SUZUKI</t>
        </is>
      </c>
      <c r="F1791" s="20" t="inlineStr">
        <is>
          <t>Swift</t>
        </is>
      </c>
      <c r="G1791" s="21" t="n"/>
      <c r="H1791" s="22" t="n">
        <v>117000</v>
      </c>
      <c r="I1791" s="23" t="n">
        <v>247000</v>
      </c>
      <c r="J1791" s="20" t="inlineStr">
        <is>
          <t>RASIQUE BASHEER</t>
        </is>
      </c>
      <c r="K1791" s="20" t="inlineStr">
        <is>
          <t>Non-Captive</t>
        </is>
      </c>
      <c r="L1791" s="20" t="inlineStr">
        <is>
          <t>EVM SKODA</t>
        </is>
      </c>
      <c r="M1791" s="23" t="n">
        <v>4237.29</v>
      </c>
      <c r="N1791" s="23" t="n">
        <v>5000</v>
      </c>
      <c r="O1791" s="24">
        <f>IF(AND(ISNUMBER(M1791), ISNUMBER(I1791), I1791&gt;0), M1791/I1791, "")</f>
        <v/>
      </c>
    </row>
    <row r="1792">
      <c r="A1792" s="19" t="inlineStr">
        <is>
          <t>FY26</t>
        </is>
      </c>
      <c r="B1792" s="19" t="inlineStr">
        <is>
          <t>Mar</t>
        </is>
      </c>
      <c r="C1792" s="19" t="inlineStr">
        <is>
          <t>Kerala</t>
        </is>
      </c>
      <c r="D1792" s="20" t="inlineStr">
        <is>
          <t>KL13AH8640</t>
        </is>
      </c>
      <c r="E1792" s="20" t="inlineStr">
        <is>
          <t>MARUTI SUZUKI</t>
        </is>
      </c>
      <c r="F1792" s="20" t="inlineStr">
        <is>
          <t>Swift</t>
        </is>
      </c>
      <c r="G1792" s="21" t="n"/>
      <c r="H1792" s="22" t="n">
        <v>62000</v>
      </c>
      <c r="I1792" s="23" t="n">
        <v>370000</v>
      </c>
      <c r="J1792" s="20" t="inlineStr">
        <is>
          <t>VASIL</t>
        </is>
      </c>
      <c r="K1792" s="20" t="inlineStr">
        <is>
          <t>Non-Captive</t>
        </is>
      </c>
      <c r="L1792" s="20" t="inlineStr">
        <is>
          <t>CLASSIC HYUNDAI</t>
        </is>
      </c>
      <c r="M1792" s="23" t="n">
        <v>8474.58</v>
      </c>
      <c r="N1792" s="23" t="n">
        <v>10000</v>
      </c>
      <c r="O1792" s="24">
        <f>IF(AND(ISNUMBER(M1792), ISNUMBER(I1792), I1792&gt;0), M1792/I1792, "")</f>
        <v/>
      </c>
    </row>
    <row r="1793">
      <c r="A1793" s="19" t="inlineStr">
        <is>
          <t>FY26</t>
        </is>
      </c>
      <c r="B1793" s="19" t="inlineStr">
        <is>
          <t>Mar</t>
        </is>
      </c>
      <c r="C1793" s="19" t="inlineStr">
        <is>
          <t>Kerala</t>
        </is>
      </c>
      <c r="D1793" s="20" t="inlineStr">
        <is>
          <t>KL01DG4009</t>
        </is>
      </c>
      <c r="E1793" s="20" t="inlineStr">
        <is>
          <t>RENAULT</t>
        </is>
      </c>
      <c r="F1793" s="20" t="inlineStr">
        <is>
          <t>Triber</t>
        </is>
      </c>
      <c r="G1793" s="21" t="n"/>
      <c r="H1793" s="22" t="n">
        <v>3500</v>
      </c>
      <c r="I1793" s="23" t="n">
        <v>620000</v>
      </c>
      <c r="J1793" s="20" t="inlineStr">
        <is>
          <t>ABHISHEK</t>
        </is>
      </c>
      <c r="K1793" s="20" t="inlineStr">
        <is>
          <t>Non-Captive</t>
        </is>
      </c>
      <c r="L1793" s="20" t="inlineStr">
        <is>
          <t>CBC MAHINDRA</t>
        </is>
      </c>
      <c r="M1793" s="23" t="n">
        <v>8474.58</v>
      </c>
      <c r="N1793" s="23" t="n">
        <v>10000</v>
      </c>
      <c r="O1793" s="24">
        <f>IF(AND(ISNUMBER(M1793), ISNUMBER(I1793), I1793&gt;0), M1793/I1793, "")</f>
        <v/>
      </c>
    </row>
    <row r="1794">
      <c r="A1794" s="19" t="inlineStr">
        <is>
          <t>FY26</t>
        </is>
      </c>
      <c r="B1794" s="19" t="inlineStr">
        <is>
          <t>Mar</t>
        </is>
      </c>
      <c r="C1794" s="19" t="inlineStr">
        <is>
          <t>Kerala</t>
        </is>
      </c>
      <c r="D1794" s="20" t="inlineStr">
        <is>
          <t>KL24B3492</t>
        </is>
      </c>
      <c r="E1794" s="20" t="inlineStr">
        <is>
          <t>MARUTI SUZUKI</t>
        </is>
      </c>
      <c r="F1794" s="20" t="inlineStr">
        <is>
          <t>Wagon R</t>
        </is>
      </c>
      <c r="G1794" s="21" t="n"/>
      <c r="H1794" s="22" t="n">
        <v>112000</v>
      </c>
      <c r="I1794" s="23" t="n">
        <v>90000</v>
      </c>
      <c r="J1794" s="20" t="inlineStr">
        <is>
          <t>AKHILNATH</t>
        </is>
      </c>
      <c r="K1794" s="20" t="inlineStr">
        <is>
          <t>Non-Captive</t>
        </is>
      </c>
      <c r="L1794" s="20" t="inlineStr">
        <is>
          <t>PINNACLE NISSAN</t>
        </is>
      </c>
      <c r="M1794" s="23" t="n">
        <v>5932.2</v>
      </c>
      <c r="N1794" s="23" t="n">
        <v>7000</v>
      </c>
      <c r="O1794" s="24">
        <f>IF(AND(ISNUMBER(M1794), ISNUMBER(I1794), I1794&gt;0), M1794/I1794, "")</f>
        <v/>
      </c>
    </row>
    <row r="1795">
      <c r="A1795" s="19" t="inlineStr">
        <is>
          <t>FY26</t>
        </is>
      </c>
      <c r="B1795" s="19" t="inlineStr">
        <is>
          <t>Mar</t>
        </is>
      </c>
      <c r="C1795" s="19" t="inlineStr">
        <is>
          <t>Kerala</t>
        </is>
      </c>
      <c r="D1795" s="20" t="inlineStr">
        <is>
          <t>KL08BK0717</t>
        </is>
      </c>
      <c r="E1795" s="20" t="inlineStr">
        <is>
          <t>VOLKSWAGEN</t>
        </is>
      </c>
      <c r="F1795" s="20" t="inlineStr">
        <is>
          <t>Polo</t>
        </is>
      </c>
      <c r="G1795" s="21" t="n"/>
      <c r="H1795" s="22" t="n">
        <v>20000</v>
      </c>
      <c r="I1795" s="23" t="n">
        <v>700000</v>
      </c>
      <c r="J1795" s="20" t="inlineStr">
        <is>
          <t>PHOENIX VOLKSWAGEN</t>
        </is>
      </c>
      <c r="K1795" s="20" t="inlineStr">
        <is>
          <t>Non-Captive</t>
        </is>
      </c>
      <c r="L1795" s="20" t="inlineStr">
        <is>
          <t>UMESHKUMAR T U</t>
        </is>
      </c>
      <c r="M1795" s="23" t="n">
        <v>12711.86</v>
      </c>
      <c r="N1795" s="23" t="n">
        <v>15000</v>
      </c>
      <c r="O1795" s="24">
        <f>IF(AND(ISNUMBER(M1795), ISNUMBER(I1795), I1795&gt;0), M1795/I1795, "")</f>
        <v/>
      </c>
    </row>
    <row r="1796">
      <c r="A1796" s="19" t="inlineStr">
        <is>
          <t>FY26</t>
        </is>
      </c>
      <c r="B1796" s="19" t="inlineStr">
        <is>
          <t>Mar</t>
        </is>
      </c>
      <c r="C1796" s="19" t="inlineStr">
        <is>
          <t>Kerala</t>
        </is>
      </c>
      <c r="D1796" s="20" t="inlineStr">
        <is>
          <t>KL48S4341</t>
        </is>
      </c>
      <c r="E1796" s="20" t="inlineStr">
        <is>
          <t>VOLKSWAGEN</t>
        </is>
      </c>
      <c r="F1796" s="20" t="inlineStr">
        <is>
          <t>Taigun</t>
        </is>
      </c>
      <c r="G1796" s="21" t="n"/>
      <c r="H1796" s="22" t="n">
        <v>22000</v>
      </c>
      <c r="I1796" s="23" t="n">
        <v>1135000</v>
      </c>
      <c r="J1796" s="20" t="inlineStr">
        <is>
          <t>PHOENIX VOLKSWAGEN</t>
        </is>
      </c>
      <c r="K1796" s="20" t="inlineStr">
        <is>
          <t>Non-Captive</t>
        </is>
      </c>
      <c r="L1796" s="20" t="inlineStr">
        <is>
          <t>KAPS CARS</t>
        </is>
      </c>
      <c r="M1796" s="23" t="n">
        <v>12711.86</v>
      </c>
      <c r="N1796" s="23" t="n">
        <v>15000</v>
      </c>
      <c r="O1796" s="24">
        <f>IF(AND(ISNUMBER(M1796), ISNUMBER(I1796), I1796&gt;0), M1796/I1796, "")</f>
        <v/>
      </c>
    </row>
    <row r="1797">
      <c r="A1797" s="19" t="inlineStr">
        <is>
          <t>FY26</t>
        </is>
      </c>
      <c r="B1797" s="19" t="inlineStr">
        <is>
          <t>Mar</t>
        </is>
      </c>
      <c r="C1797" s="19" t="inlineStr">
        <is>
          <t>Kerala</t>
        </is>
      </c>
      <c r="D1797" s="20" t="inlineStr">
        <is>
          <t>KL07CD6065</t>
        </is>
      </c>
      <c r="E1797" s="20" t="inlineStr">
        <is>
          <t>TATA</t>
        </is>
      </c>
      <c r="F1797" s="20" t="inlineStr">
        <is>
          <t>Nano</t>
        </is>
      </c>
      <c r="G1797" s="21" t="n"/>
      <c r="H1797" s="22" t="n">
        <v>46000</v>
      </c>
      <c r="I1797" s="23" t="n">
        <v>99000</v>
      </c>
      <c r="J1797" s="20" t="inlineStr">
        <is>
          <t>POPULAR MARUTI</t>
        </is>
      </c>
      <c r="K1797" s="20" t="inlineStr">
        <is>
          <t>Non-Captive</t>
        </is>
      </c>
      <c r="L1797" s="20" t="inlineStr">
        <is>
          <t>RAFEEK T A</t>
        </is>
      </c>
      <c r="M1797" s="23" t="n">
        <v>8474.58</v>
      </c>
      <c r="N1797" s="23" t="n">
        <v>10000</v>
      </c>
      <c r="O1797" s="24">
        <f>IF(AND(ISNUMBER(M1797), ISNUMBER(I1797), I1797&gt;0), M1797/I1797, "")</f>
        <v/>
      </c>
    </row>
    <row r="1798">
      <c r="A1798" s="19" t="inlineStr">
        <is>
          <t>FY26</t>
        </is>
      </c>
      <c r="B1798" s="19" t="inlineStr">
        <is>
          <t>Mar</t>
        </is>
      </c>
      <c r="C1798" s="19" t="inlineStr">
        <is>
          <t>Kerala</t>
        </is>
      </c>
      <c r="D1798" s="20" t="inlineStr">
        <is>
          <t>KL32D9934</t>
        </is>
      </c>
      <c r="E1798" s="20" t="inlineStr">
        <is>
          <t>TATA</t>
        </is>
      </c>
      <c r="F1798" s="20" t="inlineStr">
        <is>
          <t>Nano</t>
        </is>
      </c>
      <c r="G1798" s="21" t="n"/>
      <c r="H1798" s="22" t="n">
        <v>45000</v>
      </c>
      <c r="I1798" s="23" t="n">
        <v>18000</v>
      </c>
      <c r="J1798" s="20" t="inlineStr">
        <is>
          <t>EVM CITROEN</t>
        </is>
      </c>
      <c r="K1798" s="20" t="inlineStr">
        <is>
          <t>Non-Captive</t>
        </is>
      </c>
      <c r="L1798" s="20" t="inlineStr">
        <is>
          <t>HUSSAIN O E</t>
        </is>
      </c>
      <c r="M1798" s="23" t="n">
        <v>8474.58</v>
      </c>
      <c r="N1798" s="23" t="n">
        <v>10000</v>
      </c>
      <c r="O1798" s="24">
        <f>IF(AND(ISNUMBER(M1798), ISNUMBER(I1798), I1798&gt;0), M1798/I1798, "")</f>
        <v/>
      </c>
    </row>
    <row r="1799">
      <c r="A1799" s="19" t="inlineStr">
        <is>
          <t>FY26</t>
        </is>
      </c>
      <c r="B1799" s="19" t="inlineStr">
        <is>
          <t>Mar</t>
        </is>
      </c>
      <c r="C1799" s="19" t="inlineStr">
        <is>
          <t>Kerala</t>
        </is>
      </c>
      <c r="D1799" s="20" t="inlineStr">
        <is>
          <t>KL07CV2148</t>
        </is>
      </c>
      <c r="E1799" s="20" t="inlineStr">
        <is>
          <t>RENAULT</t>
        </is>
      </c>
      <c r="F1799" s="20" t="inlineStr">
        <is>
          <t>Triber</t>
        </is>
      </c>
      <c r="G1799" s="21" t="n"/>
      <c r="H1799" s="22" t="n">
        <v>49100</v>
      </c>
      <c r="I1799" s="23" t="n">
        <v>400000</v>
      </c>
      <c r="J1799" s="20" t="inlineStr">
        <is>
          <t>JISHNU PRIYAN</t>
        </is>
      </c>
      <c r="K1799" s="20" t="inlineStr">
        <is>
          <t>Non-Captive</t>
        </is>
      </c>
      <c r="L1799" s="20" t="inlineStr">
        <is>
          <t>AITOS CARS</t>
        </is>
      </c>
      <c r="M1799" s="23" t="n">
        <v>8474.58</v>
      </c>
      <c r="N1799" s="23" t="n">
        <v>10000</v>
      </c>
      <c r="O1799" s="24">
        <f>IF(AND(ISNUMBER(M1799), ISNUMBER(I1799), I1799&gt;0), M1799/I1799, "")</f>
        <v/>
      </c>
    </row>
    <row r="1800">
      <c r="A1800" s="19" t="inlineStr">
        <is>
          <t>FY26</t>
        </is>
      </c>
      <c r="B1800" s="19" t="inlineStr">
        <is>
          <t>Mar</t>
        </is>
      </c>
      <c r="C1800" s="19" t="inlineStr">
        <is>
          <t>Kerala</t>
        </is>
      </c>
      <c r="D1800" s="20" t="inlineStr">
        <is>
          <t>KL08BL3234</t>
        </is>
      </c>
      <c r="E1800" s="20" t="inlineStr">
        <is>
          <t>SKODA</t>
        </is>
      </c>
      <c r="F1800" s="20" t="inlineStr">
        <is>
          <t>Rapid</t>
        </is>
      </c>
      <c r="G1800" s="21" t="n"/>
      <c r="H1800" s="22" t="n">
        <v>144371</v>
      </c>
      <c r="I1800" s="23" t="n">
        <v>290000</v>
      </c>
      <c r="J1800" s="20" t="inlineStr">
        <is>
          <t>PHOENIX VOLKSWAGEN</t>
        </is>
      </c>
      <c r="K1800" s="20" t="inlineStr">
        <is>
          <t>Non-Captive</t>
        </is>
      </c>
      <c r="L1800" s="20" t="inlineStr">
        <is>
          <t>UMESHKUMAR T U</t>
        </is>
      </c>
      <c r="M1800" s="23" t="n">
        <v>8474.58</v>
      </c>
      <c r="N1800" s="23" t="n">
        <v>10000</v>
      </c>
      <c r="O1800" s="24">
        <f>IF(AND(ISNUMBER(M1800), ISNUMBER(I1800), I1800&gt;0), M1800/I1800, "")</f>
        <v/>
      </c>
    </row>
    <row r="1801">
      <c r="A1801" s="19" t="inlineStr">
        <is>
          <t>FY26</t>
        </is>
      </c>
      <c r="B1801" s="19" t="inlineStr">
        <is>
          <t>Mar</t>
        </is>
      </c>
      <c r="C1801" s="19" t="inlineStr">
        <is>
          <t>Kerala</t>
        </is>
      </c>
      <c r="D1801" s="20" t="inlineStr">
        <is>
          <t>KL05Y8435</t>
        </is>
      </c>
      <c r="E1801" s="20" t="inlineStr">
        <is>
          <t>MARUTI SUZUKI</t>
        </is>
      </c>
      <c r="F1801" s="20" t="inlineStr">
        <is>
          <t>Alto</t>
        </is>
      </c>
      <c r="G1801" s="21" t="n"/>
      <c r="H1801" s="22" t="n">
        <v>108797</v>
      </c>
      <c r="I1801" s="23" t="n">
        <v>74000</v>
      </c>
      <c r="J1801" s="20" t="inlineStr">
        <is>
          <t>POPULAR MARUTI</t>
        </is>
      </c>
      <c r="K1801" s="20" t="inlineStr">
        <is>
          <t>Non-Captive</t>
        </is>
      </c>
      <c r="L1801" s="20" t="inlineStr">
        <is>
          <t>RAFEEK T A</t>
        </is>
      </c>
      <c r="M1801" s="23" t="n">
        <v>8474.58</v>
      </c>
      <c r="N1801" s="23" t="n">
        <v>10000</v>
      </c>
      <c r="O1801" s="24">
        <f>IF(AND(ISNUMBER(M1801), ISNUMBER(I1801), I1801&gt;0), M1801/I1801, "")</f>
        <v/>
      </c>
    </row>
    <row r="1802">
      <c r="A1802" s="19" t="inlineStr">
        <is>
          <t>FY26</t>
        </is>
      </c>
      <c r="B1802" s="19" t="inlineStr">
        <is>
          <t>Mar</t>
        </is>
      </c>
      <c r="C1802" s="19" t="inlineStr">
        <is>
          <t>Kerala</t>
        </is>
      </c>
      <c r="D1802" s="20" t="inlineStr">
        <is>
          <t>KL33J2526</t>
        </is>
      </c>
      <c r="E1802" s="20" t="inlineStr">
        <is>
          <t>RENAULT</t>
        </is>
      </c>
      <c r="F1802" s="20" t="inlineStr">
        <is>
          <t>Kwid</t>
        </is>
      </c>
      <c r="G1802" s="21" t="n"/>
      <c r="H1802" s="22" t="n">
        <v>58098</v>
      </c>
      <c r="I1802" s="23" t="n">
        <v>175000</v>
      </c>
      <c r="J1802" s="20" t="inlineStr">
        <is>
          <t>POPULAR MARUTI</t>
        </is>
      </c>
      <c r="K1802" s="20" t="inlineStr">
        <is>
          <t>Non-Captive</t>
        </is>
      </c>
      <c r="L1802" s="20" t="inlineStr">
        <is>
          <t>GOOD CHOICE</t>
        </is>
      </c>
      <c r="M1802" s="23" t="n">
        <v>8474.58</v>
      </c>
      <c r="N1802" s="23" t="n">
        <v>10000</v>
      </c>
      <c r="O1802" s="24">
        <f>IF(AND(ISNUMBER(M1802), ISNUMBER(I1802), I1802&gt;0), M1802/I1802, "")</f>
        <v/>
      </c>
    </row>
    <row r="1803">
      <c r="A1803" s="19" t="inlineStr">
        <is>
          <t>FY26</t>
        </is>
      </c>
      <c r="B1803" s="19" t="inlineStr">
        <is>
          <t>Mar</t>
        </is>
      </c>
      <c r="C1803" s="19" t="inlineStr">
        <is>
          <t>Kerala</t>
        </is>
      </c>
      <c r="D1803" s="20" t="inlineStr">
        <is>
          <t>KL21P8685</t>
        </is>
      </c>
      <c r="E1803" s="20" t="inlineStr">
        <is>
          <t>RENAULT</t>
        </is>
      </c>
      <c r="F1803" s="20" t="inlineStr">
        <is>
          <t>Kwid</t>
        </is>
      </c>
      <c r="G1803" s="21" t="n"/>
      <c r="H1803" s="22" t="n">
        <v>27036</v>
      </c>
      <c r="I1803" s="23" t="n">
        <v>175000</v>
      </c>
      <c r="J1803" s="20" t="inlineStr">
        <is>
          <t>JISHNU PRIYAN</t>
        </is>
      </c>
      <c r="K1803" s="20" t="inlineStr">
        <is>
          <t>Non-Captive</t>
        </is>
      </c>
      <c r="L1803" s="20" t="inlineStr">
        <is>
          <t>VTJ</t>
        </is>
      </c>
      <c r="M1803" s="23" t="n">
        <v>8474.58</v>
      </c>
      <c r="N1803" s="23" t="n">
        <v>10000</v>
      </c>
      <c r="O1803" s="24">
        <f>IF(AND(ISNUMBER(M1803), ISNUMBER(I1803), I1803&gt;0), M1803/I1803, "")</f>
        <v/>
      </c>
    </row>
    <row r="1804">
      <c r="A1804" s="19" t="inlineStr">
        <is>
          <t>FY26</t>
        </is>
      </c>
      <c r="B1804" s="19" t="inlineStr">
        <is>
          <t>Mar</t>
        </is>
      </c>
      <c r="C1804" s="19" t="inlineStr">
        <is>
          <t>Kerala</t>
        </is>
      </c>
      <c r="D1804" s="20" t="inlineStr">
        <is>
          <t>KL02BH2945</t>
        </is>
      </c>
      <c r="E1804" s="20" t="inlineStr">
        <is>
          <t>TATA</t>
        </is>
      </c>
      <c r="F1804" s="20" t="inlineStr">
        <is>
          <t>Tiago</t>
        </is>
      </c>
      <c r="G1804" s="21" t="n"/>
      <c r="H1804" s="22" t="n">
        <v>42400</v>
      </c>
      <c r="I1804" s="23" t="n">
        <v>195000</v>
      </c>
      <c r="J1804" s="20" t="inlineStr">
        <is>
          <t>SARATHY MARUTI</t>
        </is>
      </c>
      <c r="K1804" s="20" t="inlineStr">
        <is>
          <t>Non-Captive</t>
        </is>
      </c>
      <c r="L1804" s="20" t="inlineStr">
        <is>
          <t>SETHUNATH</t>
        </is>
      </c>
      <c r="M1804" s="23" t="n">
        <v>4237.29</v>
      </c>
      <c r="N1804" s="23" t="n">
        <v>5000</v>
      </c>
      <c r="O1804" s="24">
        <f>IF(AND(ISNUMBER(M1804), ISNUMBER(I1804), I1804&gt;0), M1804/I1804, "")</f>
        <v/>
      </c>
    </row>
    <row r="1805">
      <c r="A1805" s="19" t="inlineStr">
        <is>
          <t>FY26</t>
        </is>
      </c>
      <c r="B1805" s="19" t="inlineStr">
        <is>
          <t>Mar</t>
        </is>
      </c>
      <c r="C1805" s="19" t="inlineStr">
        <is>
          <t>Kerala</t>
        </is>
      </c>
      <c r="D1805" s="20" t="inlineStr">
        <is>
          <t>KL07BF2159</t>
        </is>
      </c>
      <c r="E1805" s="20" t="inlineStr">
        <is>
          <t>HONDA</t>
        </is>
      </c>
      <c r="F1805" s="20" t="inlineStr">
        <is>
          <t>City</t>
        </is>
      </c>
      <c r="G1805" s="21" t="n"/>
      <c r="H1805" s="22" t="n">
        <v>77140</v>
      </c>
      <c r="I1805" s="23" t="n">
        <v>50000</v>
      </c>
      <c r="J1805" s="20" t="inlineStr">
        <is>
          <t>POPULAR MARUTI</t>
        </is>
      </c>
      <c r="K1805" s="20" t="inlineStr">
        <is>
          <t>Non-Captive</t>
        </is>
      </c>
      <c r="L1805" s="20" t="inlineStr">
        <is>
          <t>PRAJOTH</t>
        </is>
      </c>
      <c r="M1805" s="23" t="n">
        <v>5084.75</v>
      </c>
      <c r="N1805" s="23" t="n">
        <v>6000</v>
      </c>
      <c r="O1805" s="24">
        <f>IF(AND(ISNUMBER(M1805), ISNUMBER(I1805), I1805&gt;0), M1805/I1805, "")</f>
        <v/>
      </c>
    </row>
    <row r="1806">
      <c r="A1806" s="19" t="inlineStr">
        <is>
          <t>FY26</t>
        </is>
      </c>
      <c r="B1806" s="19" t="inlineStr">
        <is>
          <t>Mar</t>
        </is>
      </c>
      <c r="C1806" s="19" t="inlineStr">
        <is>
          <t>Kerala</t>
        </is>
      </c>
      <c r="D1806" s="20" t="inlineStr">
        <is>
          <t>KL01CP7253</t>
        </is>
      </c>
      <c r="E1806" s="20" t="inlineStr">
        <is>
          <t>MARUTI SUZUKI</t>
        </is>
      </c>
      <c r="F1806" s="20" t="inlineStr">
        <is>
          <t>Ertiga</t>
        </is>
      </c>
      <c r="G1806" s="21" t="n"/>
      <c r="H1806" s="22" t="n">
        <v>54500</v>
      </c>
      <c r="I1806" s="23" t="n">
        <v>695000</v>
      </c>
      <c r="J1806" s="20" t="inlineStr">
        <is>
          <t>REFERENCE</t>
        </is>
      </c>
      <c r="K1806" s="20" t="inlineStr">
        <is>
          <t>Non-Captive</t>
        </is>
      </c>
      <c r="L1806" s="20" t="inlineStr">
        <is>
          <t>PRAJOTH</t>
        </is>
      </c>
      <c r="M1806" s="23" t="n">
        <v>8474.58</v>
      </c>
      <c r="N1806" s="23" t="n">
        <v>10000</v>
      </c>
      <c r="O1806" s="24">
        <f>IF(AND(ISNUMBER(M1806), ISNUMBER(I1806), I1806&gt;0), M1806/I1806, "")</f>
        <v/>
      </c>
    </row>
    <row r="1807">
      <c r="A1807" s="19" t="inlineStr">
        <is>
          <t>FY26</t>
        </is>
      </c>
      <c r="B1807" s="19" t="inlineStr">
        <is>
          <t>Mar</t>
        </is>
      </c>
      <c r="C1807" s="19" t="inlineStr">
        <is>
          <t>Kerala</t>
        </is>
      </c>
      <c r="D1807" s="20" t="inlineStr">
        <is>
          <t>KL08BM6496</t>
        </is>
      </c>
      <c r="E1807" s="20" t="inlineStr">
        <is>
          <t>MARUTI SUZUKI</t>
        </is>
      </c>
      <c r="F1807" s="20" t="inlineStr">
        <is>
          <t>Ignis</t>
        </is>
      </c>
      <c r="G1807" s="21" t="n"/>
      <c r="H1807" s="22" t="n">
        <v>53260</v>
      </c>
      <c r="I1807" s="23" t="n">
        <v>400000</v>
      </c>
      <c r="J1807" s="20" t="inlineStr">
        <is>
          <t>ERAM MOTORS</t>
        </is>
      </c>
      <c r="K1807" s="20" t="inlineStr">
        <is>
          <t>Non-Captive</t>
        </is>
      </c>
      <c r="L1807" s="20" t="inlineStr">
        <is>
          <t>AITOS CARS</t>
        </is>
      </c>
      <c r="M1807" s="23" t="n">
        <v>8474.58</v>
      </c>
      <c r="N1807" s="23" t="n">
        <v>10000</v>
      </c>
      <c r="O1807" s="24">
        <f>IF(AND(ISNUMBER(M1807), ISNUMBER(I1807), I1807&gt;0), M1807/I1807, "")</f>
        <v/>
      </c>
    </row>
    <row r="1808">
      <c r="A1808" s="19" t="inlineStr">
        <is>
          <t>FY26</t>
        </is>
      </c>
      <c r="B1808" s="19" t="inlineStr">
        <is>
          <t>Mar</t>
        </is>
      </c>
      <c r="C1808" s="19" t="inlineStr">
        <is>
          <t>Kerala</t>
        </is>
      </c>
      <c r="D1808" s="20" t="inlineStr">
        <is>
          <t>KL398096</t>
        </is>
      </c>
      <c r="E1808" s="20" t="inlineStr">
        <is>
          <t>HYUNDAI</t>
        </is>
      </c>
      <c r="F1808" s="20" t="inlineStr">
        <is>
          <t>Santro</t>
        </is>
      </c>
      <c r="G1808" s="21" t="n"/>
      <c r="H1808" s="22" t="n">
        <v>78058</v>
      </c>
      <c r="I1808" s="23" t="n">
        <v>60000</v>
      </c>
      <c r="J1808" s="20" t="inlineStr">
        <is>
          <t>JISHNU PRIYAN</t>
        </is>
      </c>
      <c r="K1808" s="20" t="inlineStr">
        <is>
          <t>Non-Captive</t>
        </is>
      </c>
      <c r="L1808" s="20" t="inlineStr">
        <is>
          <t>NISHAD</t>
        </is>
      </c>
      <c r="M1808" s="23" t="n">
        <v>6779.66</v>
      </c>
      <c r="N1808" s="23" t="n">
        <v>8000</v>
      </c>
      <c r="O1808" s="24">
        <f>IF(AND(ISNUMBER(M1808), ISNUMBER(I1808), I1808&gt;0), M1808/I1808, "")</f>
        <v/>
      </c>
    </row>
    <row r="1809">
      <c r="A1809" s="19" t="inlineStr">
        <is>
          <t>FY26</t>
        </is>
      </c>
      <c r="B1809" s="19" t="inlineStr">
        <is>
          <t>Mar</t>
        </is>
      </c>
      <c r="C1809" s="19" t="inlineStr">
        <is>
          <t>Kerala</t>
        </is>
      </c>
      <c r="D1809" s="20" t="inlineStr">
        <is>
          <t>KL35E6382</t>
        </is>
      </c>
      <c r="E1809" s="20" t="inlineStr">
        <is>
          <t>MARUTI SUZUKI</t>
        </is>
      </c>
      <c r="F1809" s="20" t="inlineStr">
        <is>
          <t>Ertiga</t>
        </is>
      </c>
      <c r="G1809" s="21" t="n"/>
      <c r="H1809" s="22" t="n">
        <v>143500</v>
      </c>
      <c r="I1809" s="23" t="n">
        <v>300000</v>
      </c>
      <c r="J1809" s="20" t="inlineStr">
        <is>
          <t>POPULAR MARUTI</t>
        </is>
      </c>
      <c r="K1809" s="20" t="inlineStr">
        <is>
          <t>Non-Captive</t>
        </is>
      </c>
      <c r="L1809" s="20" t="inlineStr">
        <is>
          <t>AITOS CARS</t>
        </is>
      </c>
      <c r="M1809" s="23" t="n">
        <v>8474.58</v>
      </c>
      <c r="N1809" s="23" t="n">
        <v>10000</v>
      </c>
      <c r="O1809" s="24">
        <f>IF(AND(ISNUMBER(M1809), ISNUMBER(I1809), I1809&gt;0), M1809/I1809, "")</f>
        <v/>
      </c>
    </row>
    <row r="1810">
      <c r="A1810" s="19" t="inlineStr">
        <is>
          <t>FY26</t>
        </is>
      </c>
      <c r="B1810" s="19" t="inlineStr">
        <is>
          <t>Mar</t>
        </is>
      </c>
      <c r="C1810" s="19" t="inlineStr">
        <is>
          <t>Kerala</t>
        </is>
      </c>
      <c r="D1810" s="20" t="inlineStr">
        <is>
          <t>KL570038</t>
        </is>
      </c>
      <c r="E1810" s="20" t="inlineStr">
        <is>
          <t>MARUTI SUZUKI</t>
        </is>
      </c>
      <c r="F1810" s="20" t="inlineStr">
        <is>
          <t>Alto</t>
        </is>
      </c>
      <c r="G1810" s="21" t="n"/>
      <c r="H1810" s="22" t="n">
        <v>87000</v>
      </c>
      <c r="I1810" s="23" t="n">
        <v>20000</v>
      </c>
      <c r="J1810" s="20" t="inlineStr">
        <is>
          <t>POPULAR MARUTI</t>
        </is>
      </c>
      <c r="K1810" s="20" t="inlineStr">
        <is>
          <t>Non-Captive</t>
        </is>
      </c>
      <c r="L1810" s="20" t="inlineStr">
        <is>
          <t>VISHNU M S</t>
        </is>
      </c>
      <c r="M1810" s="23" t="n">
        <v>6779.66</v>
      </c>
      <c r="N1810" s="23" t="n">
        <v>8000</v>
      </c>
      <c r="O1810" s="24">
        <f>IF(AND(ISNUMBER(M1810), ISNUMBER(I1810), I1810&gt;0), M1810/I1810, "")</f>
        <v/>
      </c>
    </row>
    <row r="1811">
      <c r="A1811" s="19" t="inlineStr">
        <is>
          <t>FY26</t>
        </is>
      </c>
      <c r="B1811" s="19" t="inlineStr">
        <is>
          <t>Mar</t>
        </is>
      </c>
      <c r="C1811" s="19" t="inlineStr">
        <is>
          <t>Kerala</t>
        </is>
      </c>
      <c r="D1811" s="20" t="inlineStr">
        <is>
          <t>KL30J5846</t>
        </is>
      </c>
      <c r="E1811" s="20" t="inlineStr">
        <is>
          <t>TATA</t>
        </is>
      </c>
      <c r="F1811" s="20" t="inlineStr">
        <is>
          <t>Nexon Ev</t>
        </is>
      </c>
      <c r="G1811" s="21" t="n"/>
      <c r="H1811" s="22" t="n">
        <v>30130</v>
      </c>
      <c r="I1811" s="23" t="n">
        <v>700000</v>
      </c>
      <c r="J1811" s="20" t="inlineStr">
        <is>
          <t>POPULAR MARUTI</t>
        </is>
      </c>
      <c r="K1811" s="20" t="inlineStr">
        <is>
          <t>Non-Captive</t>
        </is>
      </c>
      <c r="L1811" s="20" t="inlineStr">
        <is>
          <t>FABITH</t>
        </is>
      </c>
      <c r="M1811" s="23" t="n">
        <v>16949.15</v>
      </c>
      <c r="N1811" s="23" t="n">
        <v>20000</v>
      </c>
      <c r="O1811" s="24">
        <f>IF(AND(ISNUMBER(M1811), ISNUMBER(I1811), I1811&gt;0), M1811/I1811, "")</f>
        <v/>
      </c>
    </row>
    <row r="1812">
      <c r="A1812" s="19" t="inlineStr">
        <is>
          <t>FY26</t>
        </is>
      </c>
      <c r="B1812" s="19" t="inlineStr">
        <is>
          <t>Mar</t>
        </is>
      </c>
      <c r="C1812" s="19" t="inlineStr">
        <is>
          <t>Kerala</t>
        </is>
      </c>
      <c r="D1812" s="20" t="inlineStr">
        <is>
          <t>KL58K3074</t>
        </is>
      </c>
      <c r="E1812" s="20" t="inlineStr">
        <is>
          <t>TOYOTA</t>
        </is>
      </c>
      <c r="F1812" s="20" t="inlineStr">
        <is>
          <t>Etios</t>
        </is>
      </c>
      <c r="G1812" s="21" t="n"/>
      <c r="H1812" s="22" t="n">
        <v>123000</v>
      </c>
      <c r="I1812" s="23" t="n">
        <v>190000</v>
      </c>
      <c r="J1812" s="20" t="inlineStr">
        <is>
          <t>PRAJOSH</t>
        </is>
      </c>
      <c r="K1812" s="20" t="inlineStr">
        <is>
          <t>Non-Captive</t>
        </is>
      </c>
      <c r="L1812" s="20" t="inlineStr">
        <is>
          <t>EVM NISSAN</t>
        </is>
      </c>
      <c r="M1812" s="23" t="n">
        <v>8474.58</v>
      </c>
      <c r="N1812" s="23" t="n">
        <v>10000</v>
      </c>
      <c r="O1812" s="24">
        <f>IF(AND(ISNUMBER(M1812), ISNUMBER(I1812), I1812&gt;0), M1812/I1812, "")</f>
        <v/>
      </c>
    </row>
    <row r="1813">
      <c r="A1813" s="19" t="inlineStr">
        <is>
          <t>FY26</t>
        </is>
      </c>
      <c r="B1813" s="19" t="inlineStr">
        <is>
          <t>Mar</t>
        </is>
      </c>
      <c r="C1813" s="19" t="inlineStr">
        <is>
          <t>Kerala</t>
        </is>
      </c>
      <c r="D1813" s="20" t="inlineStr">
        <is>
          <t>KL58V3278</t>
        </is>
      </c>
      <c r="E1813" s="20" t="inlineStr">
        <is>
          <t>MARUTI SUZUKI</t>
        </is>
      </c>
      <c r="F1813" s="20" t="inlineStr">
        <is>
          <t>Baleno</t>
        </is>
      </c>
      <c r="G1813" s="21" t="n"/>
      <c r="H1813" s="22" t="n">
        <v>43000</v>
      </c>
      <c r="I1813" s="23" t="n">
        <v>457000</v>
      </c>
      <c r="J1813" s="20" t="inlineStr">
        <is>
          <t>AUTOBOT</t>
        </is>
      </c>
      <c r="K1813" s="20" t="inlineStr">
        <is>
          <t>Non-Captive</t>
        </is>
      </c>
      <c r="L1813" s="20" t="inlineStr">
        <is>
          <t>APCO HYUNDAI</t>
        </is>
      </c>
      <c r="M1813" s="23" t="n">
        <v>4237.29</v>
      </c>
      <c r="N1813" s="23" t="n">
        <v>5000</v>
      </c>
      <c r="O1813" s="24">
        <f>IF(AND(ISNUMBER(M1813), ISNUMBER(I1813), I1813&gt;0), M1813/I1813, "")</f>
        <v/>
      </c>
    </row>
    <row r="1814">
      <c r="A1814" s="19" t="inlineStr">
        <is>
          <t>FY26</t>
        </is>
      </c>
      <c r="B1814" s="19" t="inlineStr">
        <is>
          <t>Mar</t>
        </is>
      </c>
      <c r="C1814" s="19" t="inlineStr">
        <is>
          <t>Kerala</t>
        </is>
      </c>
      <c r="D1814" s="20" t="inlineStr">
        <is>
          <t>KL13AT6587</t>
        </is>
      </c>
      <c r="E1814" s="20" t="inlineStr">
        <is>
          <t>HONDA</t>
        </is>
      </c>
      <c r="F1814" s="20" t="inlineStr">
        <is>
          <t>Amaze</t>
        </is>
      </c>
      <c r="G1814" s="21" t="n"/>
      <c r="H1814" s="22" t="n">
        <v>45000</v>
      </c>
      <c r="I1814" s="23" t="n">
        <v>500000</v>
      </c>
      <c r="J1814" s="20" t="inlineStr">
        <is>
          <t>AUTOBOT</t>
        </is>
      </c>
      <c r="K1814" s="20" t="inlineStr">
        <is>
          <t>Non-Captive</t>
        </is>
      </c>
      <c r="L1814" s="20" t="inlineStr">
        <is>
          <t>UCD PRAJOSH</t>
        </is>
      </c>
      <c r="M1814" s="23" t="n">
        <v>4237.29</v>
      </c>
      <c r="N1814" s="23" t="n">
        <v>5000</v>
      </c>
      <c r="O1814" s="24">
        <f>IF(AND(ISNUMBER(M1814), ISNUMBER(I1814), I1814&gt;0), M1814/I1814, "")</f>
        <v/>
      </c>
    </row>
    <row r="1815">
      <c r="A1815" s="19" t="inlineStr">
        <is>
          <t>FY26</t>
        </is>
      </c>
      <c r="B1815" s="19" t="inlineStr">
        <is>
          <t>Mar</t>
        </is>
      </c>
      <c r="C1815" s="19" t="inlineStr">
        <is>
          <t>Kerala</t>
        </is>
      </c>
      <c r="D1815" s="20" t="inlineStr">
        <is>
          <t>KL08AS5205</t>
        </is>
      </c>
      <c r="E1815" s="20" t="inlineStr">
        <is>
          <t>HYUNDAI</t>
        </is>
      </c>
      <c r="F1815" s="20" t="inlineStr">
        <is>
          <t>I10</t>
        </is>
      </c>
      <c r="G1815" s="21" t="n"/>
      <c r="H1815" s="22" t="n">
        <v>80000</v>
      </c>
      <c r="I1815" s="23" t="n">
        <v>150000</v>
      </c>
      <c r="J1815" s="20" t="inlineStr">
        <is>
          <t>UNAISE</t>
        </is>
      </c>
      <c r="K1815" s="20" t="inlineStr">
        <is>
          <t>Non-Captive</t>
        </is>
      </c>
      <c r="L1815" s="20" t="inlineStr">
        <is>
          <t>MOTOEXCHANGE</t>
        </is>
      </c>
      <c r="M1815" s="23" t="n">
        <v>5932.2</v>
      </c>
      <c r="N1815" s="23" t="n">
        <v>7000</v>
      </c>
      <c r="O1815" s="24">
        <f>IF(AND(ISNUMBER(M1815), ISNUMBER(I1815), I1815&gt;0), M1815/I1815, "")</f>
        <v/>
      </c>
    </row>
    <row r="1816">
      <c r="A1816" s="19" t="inlineStr">
        <is>
          <t>FY26</t>
        </is>
      </c>
      <c r="B1816" s="19" t="inlineStr">
        <is>
          <t>Mar</t>
        </is>
      </c>
      <c r="C1816" s="19" t="inlineStr">
        <is>
          <t>Kerala</t>
        </is>
      </c>
      <c r="D1816" s="20" t="inlineStr">
        <is>
          <t>KL58H8775</t>
        </is>
      </c>
      <c r="E1816" s="20" t="inlineStr">
        <is>
          <t>TATA</t>
        </is>
      </c>
      <c r="F1816" s="20" t="inlineStr">
        <is>
          <t>Indica</t>
        </is>
      </c>
      <c r="G1816" s="21" t="n"/>
      <c r="H1816" s="22" t="n">
        <v>113000</v>
      </c>
      <c r="I1816" s="23" t="n">
        <v>70000</v>
      </c>
      <c r="J1816" s="20" t="inlineStr">
        <is>
          <t>UNAISE</t>
        </is>
      </c>
      <c r="K1816" s="20" t="inlineStr">
        <is>
          <t>Non-Captive</t>
        </is>
      </c>
      <c r="L1816" s="20" t="inlineStr">
        <is>
          <t>MOTOEXCHANGE</t>
        </is>
      </c>
      <c r="M1816" s="23" t="n">
        <v>8474.58</v>
      </c>
      <c r="N1816" s="23" t="n">
        <v>10000</v>
      </c>
      <c r="O1816" s="24">
        <f>IF(AND(ISNUMBER(M1816), ISNUMBER(I1816), I1816&gt;0), M1816/I1816, "")</f>
        <v/>
      </c>
    </row>
    <row r="1817">
      <c r="A1817" s="19" t="inlineStr">
        <is>
          <t>FY26</t>
        </is>
      </c>
      <c r="B1817" s="19" t="inlineStr">
        <is>
          <t>Mar</t>
        </is>
      </c>
      <c r="C1817" s="19" t="inlineStr">
        <is>
          <t>Kerala</t>
        </is>
      </c>
      <c r="D1817" s="20" t="inlineStr">
        <is>
          <t>KL11BC7392</t>
        </is>
      </c>
      <c r="E1817" s="20" t="inlineStr">
        <is>
          <t>MARUTI SUZUKI</t>
        </is>
      </c>
      <c r="F1817" s="20" t="inlineStr">
        <is>
          <t>Alto</t>
        </is>
      </c>
      <c r="G1817" s="21" t="n"/>
      <c r="H1817" s="22" t="n">
        <v>44000</v>
      </c>
      <c r="I1817" s="23" t="n">
        <v>215000</v>
      </c>
      <c r="J1817" s="20" t="inlineStr">
        <is>
          <t>SANOOP KM</t>
        </is>
      </c>
      <c r="K1817" s="20" t="inlineStr">
        <is>
          <t>Non-Captive</t>
        </is>
      </c>
      <c r="L1817" s="20" t="inlineStr">
        <is>
          <t>PK SANTOSH UCD</t>
        </is>
      </c>
      <c r="M1817" s="23" t="n">
        <v>8474.58</v>
      </c>
      <c r="N1817" s="23" t="n">
        <v>10000</v>
      </c>
      <c r="O1817" s="24">
        <f>IF(AND(ISNUMBER(M1817), ISNUMBER(I1817), I1817&gt;0), M1817/I1817, "")</f>
        <v/>
      </c>
    </row>
    <row r="1818">
      <c r="A1818" s="19" t="inlineStr">
        <is>
          <t>FY26</t>
        </is>
      </c>
      <c r="B1818" s="19" t="inlineStr">
        <is>
          <t>Mar</t>
        </is>
      </c>
      <c r="C1818" s="19" t="inlineStr">
        <is>
          <t>Kerala</t>
        </is>
      </c>
      <c r="D1818" s="20" t="inlineStr">
        <is>
          <t>KL35F3114</t>
        </is>
      </c>
      <c r="E1818" s="20" t="inlineStr">
        <is>
          <t>HYUNDAI</t>
        </is>
      </c>
      <c r="F1818" s="20" t="inlineStr">
        <is>
          <t>Eon</t>
        </is>
      </c>
      <c r="G1818" s="21" t="n"/>
      <c r="H1818" s="22" t="n">
        <v>68678</v>
      </c>
      <c r="I1818" s="23" t="n">
        <v>155000</v>
      </c>
      <c r="J1818" s="20" t="inlineStr">
        <is>
          <t>AMRITH V CHANDY</t>
        </is>
      </c>
      <c r="K1818" s="20" t="inlineStr">
        <is>
          <t>Non-Captive</t>
        </is>
      </c>
      <c r="L1818" s="20" t="inlineStr">
        <is>
          <t>HUSSAIN O E</t>
        </is>
      </c>
      <c r="M1818" s="23" t="n">
        <v>8474.58</v>
      </c>
      <c r="N1818" s="23" t="n">
        <v>10000</v>
      </c>
      <c r="O1818" s="24">
        <f>IF(AND(ISNUMBER(M1818), ISNUMBER(I1818), I1818&gt;0), M1818/I1818, "")</f>
        <v/>
      </c>
    </row>
    <row r="1819">
      <c r="A1819" s="19" t="inlineStr">
        <is>
          <t>FY26</t>
        </is>
      </c>
      <c r="B1819" s="19" t="inlineStr">
        <is>
          <t>Mar</t>
        </is>
      </c>
      <c r="C1819" s="19" t="inlineStr">
        <is>
          <t>Kerala</t>
        </is>
      </c>
      <c r="D1819" s="20" t="inlineStr">
        <is>
          <t>KL48F4554</t>
        </is>
      </c>
      <c r="E1819" s="20" t="inlineStr">
        <is>
          <t>SKODA</t>
        </is>
      </c>
      <c r="F1819" s="20" t="inlineStr">
        <is>
          <t>Rapid</t>
        </is>
      </c>
      <c r="G1819" s="21" t="n"/>
      <c r="H1819" s="22" t="n">
        <v>78678</v>
      </c>
      <c r="I1819" s="23" t="n">
        <v>255000</v>
      </c>
      <c r="J1819" s="20" t="inlineStr">
        <is>
          <t>MUHAMMAD SHAJI</t>
        </is>
      </c>
      <c r="K1819" s="20" t="inlineStr">
        <is>
          <t>Non-Captive</t>
        </is>
      </c>
      <c r="L1819" s="20" t="inlineStr">
        <is>
          <t>FABITH</t>
        </is>
      </c>
      <c r="M1819" s="23" t="n">
        <v>8474.58</v>
      </c>
      <c r="N1819" s="23" t="n">
        <v>10000</v>
      </c>
      <c r="O1819" s="24">
        <f>IF(AND(ISNUMBER(M1819), ISNUMBER(I1819), I1819&gt;0), M1819/I1819, "")</f>
        <v/>
      </c>
    </row>
    <row r="1820">
      <c r="A1820" s="19" t="inlineStr">
        <is>
          <t>FY26</t>
        </is>
      </c>
      <c r="B1820" s="19" t="inlineStr">
        <is>
          <t>Mar</t>
        </is>
      </c>
      <c r="C1820" s="19" t="inlineStr">
        <is>
          <t>Kerala</t>
        </is>
      </c>
      <c r="D1820" s="20" t="inlineStr">
        <is>
          <t>KL01BN4327</t>
        </is>
      </c>
      <c r="E1820" s="20" t="inlineStr">
        <is>
          <t>MARUTI SUZUKI</t>
        </is>
      </c>
      <c r="F1820" s="20" t="inlineStr">
        <is>
          <t>A-Star</t>
        </is>
      </c>
      <c r="G1820" s="21" t="n"/>
      <c r="H1820" s="22" t="n">
        <v>80790</v>
      </c>
      <c r="I1820" s="23" t="n">
        <v>233000</v>
      </c>
      <c r="J1820" s="20" t="inlineStr">
        <is>
          <t>MUHAMMAD SHAJI</t>
        </is>
      </c>
      <c r="K1820" s="20" t="inlineStr">
        <is>
          <t>Non-Captive</t>
        </is>
      </c>
      <c r="L1820" s="20" t="inlineStr">
        <is>
          <t>DREAM DRIVE</t>
        </is>
      </c>
      <c r="M1820" s="23" t="n">
        <v>8474.58</v>
      </c>
      <c r="N1820" s="23" t="n">
        <v>10000</v>
      </c>
      <c r="O1820" s="24">
        <f>IF(AND(ISNUMBER(M1820), ISNUMBER(I1820), I1820&gt;0), M1820/I1820, "")</f>
        <v/>
      </c>
    </row>
    <row r="1821">
      <c r="A1821" s="19" t="inlineStr">
        <is>
          <t>FY26</t>
        </is>
      </c>
      <c r="B1821" s="19" t="inlineStr">
        <is>
          <t>Mar</t>
        </is>
      </c>
      <c r="C1821" s="19" t="inlineStr">
        <is>
          <t>Kerala</t>
        </is>
      </c>
      <c r="D1821" s="20" t="inlineStr">
        <is>
          <t>KL07CT0907</t>
        </is>
      </c>
      <c r="E1821" s="20" t="inlineStr">
        <is>
          <t>MARUTI SUZUKI</t>
        </is>
      </c>
      <c r="F1821" s="20" t="inlineStr">
        <is>
          <t>S-Presso</t>
        </is>
      </c>
      <c r="G1821" s="21" t="n"/>
      <c r="H1821" s="22" t="n">
        <v>64522</v>
      </c>
      <c r="I1821" s="23" t="n">
        <v>325000</v>
      </c>
      <c r="J1821" s="20" t="inlineStr">
        <is>
          <t>AMRITH V CHANDY</t>
        </is>
      </c>
      <c r="K1821" s="20" t="inlineStr">
        <is>
          <t>Non-Captive</t>
        </is>
      </c>
      <c r="L1821" s="20" t="inlineStr">
        <is>
          <t>ANAS VH</t>
        </is>
      </c>
      <c r="M1821" s="23" t="n">
        <v>8474.58</v>
      </c>
      <c r="N1821" s="23" t="n">
        <v>10000</v>
      </c>
      <c r="O1821" s="24">
        <f>IF(AND(ISNUMBER(M1821), ISNUMBER(I1821), I1821&gt;0), M1821/I1821, "")</f>
        <v/>
      </c>
    </row>
    <row r="1822">
      <c r="A1822" s="19" t="inlineStr">
        <is>
          <t>FY26</t>
        </is>
      </c>
      <c r="B1822" s="19" t="inlineStr">
        <is>
          <t>Mar</t>
        </is>
      </c>
      <c r="C1822" s="19" t="inlineStr">
        <is>
          <t>Kerala</t>
        </is>
      </c>
      <c r="D1822" s="20" t="inlineStr">
        <is>
          <t>KL43G6519</t>
        </is>
      </c>
      <c r="E1822" s="20" t="inlineStr">
        <is>
          <t>RENAULT</t>
        </is>
      </c>
      <c r="F1822" s="20" t="inlineStr">
        <is>
          <t>Duster</t>
        </is>
      </c>
      <c r="G1822" s="21" t="n"/>
      <c r="H1822" s="22" t="n">
        <v>200567</v>
      </c>
      <c r="I1822" s="23" t="n">
        <v>240000</v>
      </c>
      <c r="J1822" s="20" t="inlineStr">
        <is>
          <t>INCHEON KIA</t>
        </is>
      </c>
      <c r="K1822" s="20" t="inlineStr">
        <is>
          <t>Non-Captive</t>
        </is>
      </c>
      <c r="L1822" s="20" t="inlineStr">
        <is>
          <t>RAFEEK T A</t>
        </is>
      </c>
      <c r="M1822" s="23" t="n">
        <v>8474.58</v>
      </c>
      <c r="N1822" s="23" t="n">
        <v>10000</v>
      </c>
      <c r="O1822" s="24">
        <f>IF(AND(ISNUMBER(M1822), ISNUMBER(I1822), I1822&gt;0), M1822/I1822, "")</f>
        <v/>
      </c>
    </row>
    <row r="1823">
      <c r="A1823" s="19" t="inlineStr">
        <is>
          <t>FY26</t>
        </is>
      </c>
      <c r="B1823" s="19" t="inlineStr">
        <is>
          <t>Mar</t>
        </is>
      </c>
      <c r="C1823" s="19" t="inlineStr">
        <is>
          <t>Kerala</t>
        </is>
      </c>
      <c r="D1823" s="20" t="inlineStr">
        <is>
          <t>KL29J1447</t>
        </is>
      </c>
      <c r="E1823" s="20" t="inlineStr">
        <is>
          <t>TOYOTA</t>
        </is>
      </c>
      <c r="F1823" s="20" t="inlineStr">
        <is>
          <t>Etios</t>
        </is>
      </c>
      <c r="G1823" s="21" t="n"/>
      <c r="H1823" s="22" t="n">
        <v>130022</v>
      </c>
      <c r="I1823" s="23" t="n">
        <v>225000</v>
      </c>
      <c r="J1823" s="20" t="inlineStr">
        <is>
          <t>MAIJO MARUTI</t>
        </is>
      </c>
      <c r="K1823" s="20" t="inlineStr">
        <is>
          <t>Non-Captive</t>
        </is>
      </c>
      <c r="L1823" s="20" t="inlineStr">
        <is>
          <t>RAFEEK T A</t>
        </is>
      </c>
      <c r="M1823" s="23" t="n">
        <v>8474.58</v>
      </c>
      <c r="N1823" s="23" t="n">
        <v>10000</v>
      </c>
      <c r="O1823" s="24">
        <f>IF(AND(ISNUMBER(M1823), ISNUMBER(I1823), I1823&gt;0), M1823/I1823, "")</f>
        <v/>
      </c>
    </row>
    <row r="1824">
      <c r="A1824" s="19" t="inlineStr">
        <is>
          <t>FY26</t>
        </is>
      </c>
      <c r="B1824" s="19" t="inlineStr">
        <is>
          <t>Mar</t>
        </is>
      </c>
      <c r="C1824" s="19" t="inlineStr">
        <is>
          <t>Kerala</t>
        </is>
      </c>
      <c r="D1824" s="20" t="inlineStr">
        <is>
          <t>KL14S6863</t>
        </is>
      </c>
      <c r="E1824" s="20" t="inlineStr">
        <is>
          <t>HYUNDAI</t>
        </is>
      </c>
      <c r="F1824" s="20" t="inlineStr">
        <is>
          <t>I10</t>
        </is>
      </c>
      <c r="G1824" s="21" t="n"/>
      <c r="H1824" s="22" t="n">
        <v>118000</v>
      </c>
      <c r="I1824" s="23" t="n">
        <v>235000</v>
      </c>
      <c r="J1824" s="20" t="inlineStr">
        <is>
          <t>MARVEL VIJIL</t>
        </is>
      </c>
      <c r="K1824" s="20" t="inlineStr">
        <is>
          <t>Non-Captive</t>
        </is>
      </c>
      <c r="L1824" s="20" t="inlineStr">
        <is>
          <t>KVR TATA</t>
        </is>
      </c>
      <c r="M1824" s="23" t="n">
        <v>4237.29</v>
      </c>
      <c r="N1824" s="23" t="n">
        <v>5000</v>
      </c>
      <c r="O1824" s="24">
        <f>IF(AND(ISNUMBER(M1824), ISNUMBER(I1824), I1824&gt;0), M1824/I1824, "")</f>
        <v/>
      </c>
    </row>
    <row r="1825">
      <c r="A1825" s="19" t="inlineStr">
        <is>
          <t>FY26</t>
        </is>
      </c>
      <c r="B1825" s="19" t="inlineStr">
        <is>
          <t>Mar</t>
        </is>
      </c>
      <c r="C1825" s="19" t="inlineStr">
        <is>
          <t>Kerala</t>
        </is>
      </c>
      <c r="D1825" s="20" t="inlineStr">
        <is>
          <t>KL13AW7090</t>
        </is>
      </c>
      <c r="E1825" s="20" t="inlineStr">
        <is>
          <t>TATA</t>
        </is>
      </c>
      <c r="F1825" s="20" t="inlineStr">
        <is>
          <t>Harrier</t>
        </is>
      </c>
      <c r="G1825" s="21" t="n"/>
      <c r="H1825" s="22" t="n">
        <v>42000</v>
      </c>
      <c r="I1825" s="23" t="n">
        <v>1530000</v>
      </c>
      <c r="J1825" s="20" t="inlineStr">
        <is>
          <t>MARVEL VIJIL</t>
        </is>
      </c>
      <c r="K1825" s="20" t="inlineStr">
        <is>
          <t>Non-Captive</t>
        </is>
      </c>
      <c r="L1825" s="20" t="inlineStr">
        <is>
          <t>KVR TATA</t>
        </is>
      </c>
      <c r="M1825" s="23" t="n">
        <v>16949.15</v>
      </c>
      <c r="N1825" s="23" t="n">
        <v>20000</v>
      </c>
      <c r="O1825" s="24">
        <f>IF(AND(ISNUMBER(M1825), ISNUMBER(I1825), I1825&gt;0), M1825/I1825, "")</f>
        <v/>
      </c>
    </row>
    <row r="1826">
      <c r="A1826" s="19" t="inlineStr">
        <is>
          <t>FY26</t>
        </is>
      </c>
      <c r="B1826" s="19" t="inlineStr">
        <is>
          <t>Mar</t>
        </is>
      </c>
      <c r="C1826" s="19" t="inlineStr">
        <is>
          <t>Kerala</t>
        </is>
      </c>
      <c r="D1826" s="20" t="inlineStr">
        <is>
          <t>KL11BY4248</t>
        </is>
      </c>
      <c r="E1826" s="20" t="inlineStr">
        <is>
          <t>KIA</t>
        </is>
      </c>
      <c r="F1826" s="20" t="inlineStr">
        <is>
          <t>Seltos</t>
        </is>
      </c>
      <c r="G1826" s="21" t="n"/>
      <c r="H1826" s="22" t="n">
        <v>80000</v>
      </c>
      <c r="I1826" s="23" t="n">
        <v>1200000</v>
      </c>
      <c r="J1826" s="20" t="inlineStr">
        <is>
          <t>VIJIL</t>
        </is>
      </c>
      <c r="K1826" s="20" t="inlineStr">
        <is>
          <t>Non-Captive</t>
        </is>
      </c>
      <c r="L1826" s="20" t="inlineStr">
        <is>
          <t>DKH KIA</t>
        </is>
      </c>
      <c r="M1826" s="23" t="n">
        <v>8474.58</v>
      </c>
      <c r="N1826" s="23" t="n">
        <v>10000</v>
      </c>
      <c r="O1826" s="24">
        <f>IF(AND(ISNUMBER(M1826), ISNUMBER(I1826), I1826&gt;0), M1826/I1826, "")</f>
        <v/>
      </c>
    </row>
    <row r="1827">
      <c r="A1827" s="19" t="inlineStr">
        <is>
          <t>FY26</t>
        </is>
      </c>
      <c r="B1827" s="19" t="inlineStr">
        <is>
          <t>Mar</t>
        </is>
      </c>
      <c r="C1827" s="19" t="inlineStr">
        <is>
          <t>Kerala</t>
        </is>
      </c>
      <c r="D1827" s="20" t="inlineStr">
        <is>
          <t>KL10BH4824</t>
        </is>
      </c>
      <c r="E1827" s="20" t="inlineStr">
        <is>
          <t>HYUNDAI</t>
        </is>
      </c>
      <c r="F1827" s="20" t="inlineStr">
        <is>
          <t>Nios</t>
        </is>
      </c>
      <c r="G1827" s="21" t="n"/>
      <c r="H1827" s="22" t="n">
        <v>59000</v>
      </c>
      <c r="I1827" s="23" t="n">
        <v>550000</v>
      </c>
      <c r="J1827" s="20" t="inlineStr">
        <is>
          <t>VIJIL</t>
        </is>
      </c>
      <c r="K1827" s="20" t="inlineStr">
        <is>
          <t>Non-Captive</t>
        </is>
      </c>
      <c r="L1827" s="20" t="inlineStr">
        <is>
          <t>CLASSIC HYUNDAI</t>
        </is>
      </c>
      <c r="M1827" s="23" t="n">
        <v>6779.66</v>
      </c>
      <c r="N1827" s="23" t="n">
        <v>8000</v>
      </c>
      <c r="O1827" s="24">
        <f>IF(AND(ISNUMBER(M1827), ISNUMBER(I1827), I1827&gt;0), M1827/I1827, "")</f>
        <v/>
      </c>
    </row>
    <row r="1828">
      <c r="A1828" s="19" t="inlineStr">
        <is>
          <t>FY26</t>
        </is>
      </c>
      <c r="B1828" s="19" t="inlineStr">
        <is>
          <t>Mar</t>
        </is>
      </c>
      <c r="C1828" s="19" t="inlineStr">
        <is>
          <t>Kerala</t>
        </is>
      </c>
      <c r="D1828" s="20" t="inlineStr">
        <is>
          <t>KL11AH9649</t>
        </is>
      </c>
      <c r="E1828" s="20" t="inlineStr">
        <is>
          <t>MARUTI SUZUKI</t>
        </is>
      </c>
      <c r="F1828" s="20" t="inlineStr">
        <is>
          <t>Alto</t>
        </is>
      </c>
      <c r="G1828" s="21" t="n"/>
      <c r="H1828" s="22" t="n">
        <v>100000</v>
      </c>
      <c r="I1828" s="23" t="n">
        <v>47000</v>
      </c>
      <c r="J1828" s="20" t="inlineStr">
        <is>
          <t>UNAISE</t>
        </is>
      </c>
      <c r="K1828" s="20" t="inlineStr">
        <is>
          <t>Non-Captive</t>
        </is>
      </c>
      <c r="L1828" s="20" t="inlineStr">
        <is>
          <t>MOTOEXCHANGE</t>
        </is>
      </c>
      <c r="M1828" s="23" t="n">
        <v>5084.75</v>
      </c>
      <c r="N1828" s="23" t="n">
        <v>6000</v>
      </c>
      <c r="O1828" s="24">
        <f>IF(AND(ISNUMBER(M1828), ISNUMBER(I1828), I1828&gt;0), M1828/I1828, "")</f>
        <v/>
      </c>
    </row>
    <row r="1829">
      <c r="A1829" s="19" t="inlineStr">
        <is>
          <t>FY26</t>
        </is>
      </c>
      <c r="B1829" s="19" t="inlineStr">
        <is>
          <t>Mar</t>
        </is>
      </c>
      <c r="C1829" s="19" t="inlineStr">
        <is>
          <t>Kerala</t>
        </is>
      </c>
      <c r="D1829" s="20" t="inlineStr">
        <is>
          <t>KL02AG7333</t>
        </is>
      </c>
      <c r="E1829" s="20" t="inlineStr">
        <is>
          <t>MARUTI SUZUKI</t>
        </is>
      </c>
      <c r="F1829" s="20" t="inlineStr">
        <is>
          <t>Sx4</t>
        </is>
      </c>
      <c r="G1829" s="21" t="n"/>
      <c r="H1829" s="22" t="n">
        <v>140000</v>
      </c>
      <c r="I1829" s="23" t="n">
        <v>120000</v>
      </c>
      <c r="J1829" s="20" t="inlineStr">
        <is>
          <t>UNAISE</t>
        </is>
      </c>
      <c r="K1829" s="20" t="inlineStr">
        <is>
          <t>Non-Captive</t>
        </is>
      </c>
      <c r="L1829" s="20" t="inlineStr">
        <is>
          <t>UCD ABHILASH</t>
        </is>
      </c>
      <c r="M1829" s="23" t="n">
        <v>5932.2</v>
      </c>
      <c r="N1829" s="23" t="n">
        <v>7000</v>
      </c>
      <c r="O1829" s="24">
        <f>IF(AND(ISNUMBER(M1829), ISNUMBER(I1829), I1829&gt;0), M1829/I1829, "")</f>
        <v/>
      </c>
    </row>
    <row r="1830">
      <c r="A1830" s="19" t="inlineStr">
        <is>
          <t>FY26</t>
        </is>
      </c>
      <c r="B1830" s="19" t="inlineStr">
        <is>
          <t>Mar</t>
        </is>
      </c>
      <c r="C1830" s="19" t="inlineStr">
        <is>
          <t>Kerala</t>
        </is>
      </c>
      <c r="D1830" s="20" t="inlineStr">
        <is>
          <t>KL01AS0123</t>
        </is>
      </c>
      <c r="E1830" s="20" t="inlineStr">
        <is>
          <t>HONDA</t>
        </is>
      </c>
      <c r="F1830" s="20" t="inlineStr">
        <is>
          <t>City</t>
        </is>
      </c>
      <c r="G1830" s="21" t="n"/>
      <c r="H1830" s="22" t="n">
        <v>116000</v>
      </c>
      <c r="I1830" s="23" t="n">
        <v>55000</v>
      </c>
      <c r="J1830" s="20" t="inlineStr">
        <is>
          <t>SANTHOSH</t>
        </is>
      </c>
      <c r="K1830" s="20" t="inlineStr">
        <is>
          <t>Non-Captive</t>
        </is>
      </c>
      <c r="L1830" s="20" t="inlineStr">
        <is>
          <t>POPULAR MARUTI</t>
        </is>
      </c>
      <c r="M1830" s="23" t="n">
        <v>4237.29</v>
      </c>
      <c r="N1830" s="23" t="n">
        <v>5000</v>
      </c>
      <c r="O1830" s="24">
        <f>IF(AND(ISNUMBER(M1830), ISNUMBER(I1830), I1830&gt;0), M1830/I1830, "")</f>
        <v/>
      </c>
    </row>
    <row r="1831">
      <c r="A1831" s="19" t="inlineStr">
        <is>
          <t>FY26</t>
        </is>
      </c>
      <c r="B1831" s="19" t="inlineStr">
        <is>
          <t>Mar</t>
        </is>
      </c>
      <c r="C1831" s="19" t="inlineStr">
        <is>
          <t>Kerala</t>
        </is>
      </c>
      <c r="D1831" s="20" t="inlineStr">
        <is>
          <t>KL32U3055</t>
        </is>
      </c>
      <c r="E1831" s="20" t="inlineStr">
        <is>
          <t>TOYOTA</t>
        </is>
      </c>
      <c r="F1831" s="20" t="inlineStr">
        <is>
          <t>Innova</t>
        </is>
      </c>
      <c r="G1831" s="21" t="n"/>
      <c r="H1831" s="22" t="n">
        <v>89000</v>
      </c>
      <c r="I1831" s="23" t="n">
        <v>1550000</v>
      </c>
      <c r="J1831" s="20" t="inlineStr">
        <is>
          <t>ARUN T RAJ</t>
        </is>
      </c>
      <c r="K1831" s="20" t="inlineStr">
        <is>
          <t>Non-Captive</t>
        </is>
      </c>
      <c r="L1831" s="20" t="inlineStr">
        <is>
          <t>TOYOTA FINANCE</t>
        </is>
      </c>
      <c r="M1831" s="23" t="n">
        <v>12711.86</v>
      </c>
      <c r="N1831" s="23" t="n">
        <v>15000</v>
      </c>
      <c r="O1831" s="24">
        <f>IF(AND(ISNUMBER(M1831), ISNUMBER(I1831), I1831&gt;0), M1831/I1831, "")</f>
        <v/>
      </c>
    </row>
    <row r="1832">
      <c r="A1832" s="19" t="inlineStr">
        <is>
          <t>FY26</t>
        </is>
      </c>
      <c r="B1832" s="19" t="inlineStr">
        <is>
          <t>Mar</t>
        </is>
      </c>
      <c r="C1832" s="19" t="inlineStr">
        <is>
          <t>Kerala</t>
        </is>
      </c>
      <c r="D1832" s="20" t="inlineStr">
        <is>
          <t>KL23K0619</t>
        </is>
      </c>
      <c r="E1832" s="20" t="inlineStr">
        <is>
          <t>VOLKSWAGEN</t>
        </is>
      </c>
      <c r="F1832" s="20" t="inlineStr">
        <is>
          <t>Polo</t>
        </is>
      </c>
      <c r="G1832" s="21" t="n"/>
      <c r="H1832" s="22" t="n">
        <v>48900</v>
      </c>
      <c r="I1832" s="23" t="n">
        <v>255000</v>
      </c>
      <c r="J1832" s="20" t="inlineStr">
        <is>
          <t>SANTHOSH</t>
        </is>
      </c>
      <c r="K1832" s="20" t="inlineStr">
        <is>
          <t>Non-Captive</t>
        </is>
      </c>
      <c r="L1832" s="20" t="inlineStr">
        <is>
          <t>POPULAR MARUTI</t>
        </is>
      </c>
      <c r="M1832" s="23" t="n">
        <v>12711.86</v>
      </c>
      <c r="N1832" s="23" t="n">
        <v>15000</v>
      </c>
      <c r="O1832" s="24">
        <f>IF(AND(ISNUMBER(M1832), ISNUMBER(I1832), I1832&gt;0), M1832/I1832, "")</f>
        <v/>
      </c>
    </row>
    <row r="1833">
      <c r="A1833" s="19" t="inlineStr">
        <is>
          <t>FY26</t>
        </is>
      </c>
      <c r="B1833" s="19" t="inlineStr">
        <is>
          <t>Mar</t>
        </is>
      </c>
      <c r="C1833" s="19" t="inlineStr">
        <is>
          <t>Kerala</t>
        </is>
      </c>
      <c r="D1833" s="20" t="inlineStr">
        <is>
          <t>KL20R5356</t>
        </is>
      </c>
      <c r="E1833" s="20" t="inlineStr">
        <is>
          <t>RENAULT</t>
        </is>
      </c>
      <c r="F1833" s="20" t="inlineStr">
        <is>
          <t>Kiger</t>
        </is>
      </c>
      <c r="G1833" s="21" t="n"/>
      <c r="H1833" s="22" t="n">
        <v>35000</v>
      </c>
      <c r="I1833" s="23" t="n">
        <v>390000</v>
      </c>
      <c r="J1833" s="20" t="inlineStr">
        <is>
          <t>ABHISHEK</t>
        </is>
      </c>
      <c r="K1833" s="20" t="inlineStr">
        <is>
          <t>Non-Captive</t>
        </is>
      </c>
      <c r="L1833" s="20" t="inlineStr">
        <is>
          <t>REFERENCE</t>
        </is>
      </c>
      <c r="M1833" s="23" t="n">
        <v>8474.58</v>
      </c>
      <c r="N1833" s="23" t="n">
        <v>10000</v>
      </c>
      <c r="O1833" s="24">
        <f>IF(AND(ISNUMBER(M1833), ISNUMBER(I1833), I1833&gt;0), M1833/I1833, "")</f>
        <v/>
      </c>
    </row>
    <row r="1834">
      <c r="A1834" s="19" t="inlineStr">
        <is>
          <t>FY26</t>
        </is>
      </c>
      <c r="B1834" s="19" t="inlineStr">
        <is>
          <t>Mar</t>
        </is>
      </c>
      <c r="C1834" s="19" t="inlineStr">
        <is>
          <t>Kerala</t>
        </is>
      </c>
      <c r="D1834" s="20" t="inlineStr">
        <is>
          <t>KL22M3580</t>
        </is>
      </c>
      <c r="E1834" s="20" t="inlineStr">
        <is>
          <t>MAHINDRA</t>
        </is>
      </c>
      <c r="F1834" s="20" t="inlineStr">
        <is>
          <t>Kuv100</t>
        </is>
      </c>
      <c r="G1834" s="21" t="n"/>
      <c r="H1834" s="22" t="n">
        <v>45000</v>
      </c>
      <c r="I1834" s="23" t="n">
        <v>200000</v>
      </c>
      <c r="J1834" s="20" t="inlineStr">
        <is>
          <t>DIPEESH</t>
        </is>
      </c>
      <c r="K1834" s="20" t="inlineStr">
        <is>
          <t>Non-Captive</t>
        </is>
      </c>
      <c r="L1834" s="20" t="inlineStr">
        <is>
          <t>TRIVANDRUM MOTORS</t>
        </is>
      </c>
      <c r="M1834" s="23" t="n">
        <v>8474.58</v>
      </c>
      <c r="N1834" s="23" t="n">
        <v>10000</v>
      </c>
      <c r="O1834" s="24">
        <f>IF(AND(ISNUMBER(M1834), ISNUMBER(I1834), I1834&gt;0), M1834/I1834, "")</f>
        <v/>
      </c>
    </row>
    <row r="1835">
      <c r="A1835" s="19" t="inlineStr">
        <is>
          <t>FY26</t>
        </is>
      </c>
      <c r="B1835" s="19" t="inlineStr">
        <is>
          <t>Mar</t>
        </is>
      </c>
      <c r="C1835" s="19" t="inlineStr">
        <is>
          <t>Kerala</t>
        </is>
      </c>
      <c r="D1835" s="20" t="inlineStr">
        <is>
          <t>KL05AU4097</t>
        </is>
      </c>
      <c r="E1835" s="20" t="inlineStr">
        <is>
          <t>TATA</t>
        </is>
      </c>
      <c r="F1835" s="20" t="inlineStr">
        <is>
          <t>Tiago</t>
        </is>
      </c>
      <c r="G1835" s="21" t="n"/>
      <c r="H1835" s="22" t="n">
        <v>44800</v>
      </c>
      <c r="I1835" s="23" t="n">
        <v>240000</v>
      </c>
      <c r="J1835" s="20" t="inlineStr">
        <is>
          <t>PRAJOD</t>
        </is>
      </c>
      <c r="K1835" s="20" t="inlineStr">
        <is>
          <t>Non-Captive</t>
        </is>
      </c>
      <c r="L1835" s="20" t="inlineStr">
        <is>
          <t>PPS SKODA</t>
        </is>
      </c>
      <c r="M1835" s="23" t="n">
        <v>8474.58</v>
      </c>
      <c r="N1835" s="23" t="n">
        <v>10000</v>
      </c>
      <c r="O1835" s="24">
        <f>IF(AND(ISNUMBER(M1835), ISNUMBER(I1835), I1835&gt;0), M1835/I1835, "")</f>
        <v/>
      </c>
    </row>
    <row r="1836">
      <c r="A1836" s="19" t="inlineStr">
        <is>
          <t>FY26</t>
        </is>
      </c>
      <c r="B1836" s="19" t="inlineStr">
        <is>
          <t>Mar</t>
        </is>
      </c>
      <c r="C1836" s="19" t="inlineStr">
        <is>
          <t>Kerala</t>
        </is>
      </c>
      <c r="D1836" s="20" t="inlineStr">
        <is>
          <t>KL07BV7056</t>
        </is>
      </c>
      <c r="E1836" s="20" t="inlineStr">
        <is>
          <t>HYUNDAI</t>
        </is>
      </c>
      <c r="F1836" s="20" t="inlineStr">
        <is>
          <t>Eon</t>
        </is>
      </c>
      <c r="G1836" s="21" t="n"/>
      <c r="H1836" s="22" t="n">
        <v>36217</v>
      </c>
      <c r="I1836" s="23" t="n">
        <v>100000</v>
      </c>
      <c r="J1836" s="20" t="inlineStr">
        <is>
          <t>JISHNU PRIYAN</t>
        </is>
      </c>
      <c r="K1836" s="20" t="inlineStr">
        <is>
          <t>Non-Captive</t>
        </is>
      </c>
      <c r="L1836" s="20" t="inlineStr">
        <is>
          <t>VTJ</t>
        </is>
      </c>
      <c r="M1836" s="23" t="n">
        <v>8474.58</v>
      </c>
      <c r="N1836" s="23" t="n">
        <v>10000</v>
      </c>
      <c r="O1836" s="24">
        <f>IF(AND(ISNUMBER(M1836), ISNUMBER(I1836), I1836&gt;0), M1836/I1836, "")</f>
        <v/>
      </c>
    </row>
    <row r="1837">
      <c r="A1837" s="19" t="inlineStr">
        <is>
          <t>FY26</t>
        </is>
      </c>
      <c r="B1837" s="19" t="inlineStr">
        <is>
          <t>Mar</t>
        </is>
      </c>
      <c r="C1837" s="19" t="inlineStr">
        <is>
          <t>Kerala</t>
        </is>
      </c>
      <c r="D1837" s="20" t="inlineStr">
        <is>
          <t>KL17V7826</t>
        </is>
      </c>
      <c r="E1837" s="20" t="inlineStr">
        <is>
          <t>HYUNDAI</t>
        </is>
      </c>
      <c r="F1837" s="20" t="inlineStr">
        <is>
          <t>Santro</t>
        </is>
      </c>
      <c r="G1837" s="21" t="n"/>
      <c r="H1837" s="22" t="n">
        <v>36711</v>
      </c>
      <c r="I1837" s="23" t="n">
        <v>225000</v>
      </c>
      <c r="J1837" s="20" t="inlineStr">
        <is>
          <t>EVM SKODA</t>
        </is>
      </c>
      <c r="K1837" s="20" t="inlineStr">
        <is>
          <t>Non-Captive</t>
        </is>
      </c>
      <c r="L1837" s="20" t="inlineStr">
        <is>
          <t>DINESH P S</t>
        </is>
      </c>
      <c r="M1837" s="23" t="n">
        <v>8474.58</v>
      </c>
      <c r="N1837" s="23" t="n">
        <v>10000</v>
      </c>
      <c r="O1837" s="24">
        <f>IF(AND(ISNUMBER(M1837), ISNUMBER(I1837), I1837&gt;0), M1837/I1837, "")</f>
        <v/>
      </c>
    </row>
    <row r="1838">
      <c r="A1838" s="19" t="inlineStr">
        <is>
          <t>FY26</t>
        </is>
      </c>
      <c r="B1838" s="19" t="inlineStr">
        <is>
          <t>Mar</t>
        </is>
      </c>
      <c r="C1838" s="19" t="inlineStr">
        <is>
          <t>Kerala</t>
        </is>
      </c>
      <c r="D1838" s="20" t="inlineStr">
        <is>
          <t>KL39A0605</t>
        </is>
      </c>
      <c r="E1838" s="20" t="inlineStr">
        <is>
          <t>MARUTI SUZUKI</t>
        </is>
      </c>
      <c r="F1838" s="20" t="inlineStr">
        <is>
          <t>Zen</t>
        </is>
      </c>
      <c r="G1838" s="21" t="n"/>
      <c r="H1838" s="22" t="n">
        <v>156845</v>
      </c>
      <c r="I1838" s="23" t="n">
        <v>45000</v>
      </c>
      <c r="J1838" s="20" t="inlineStr">
        <is>
          <t>JISHNU PRIYAN</t>
        </is>
      </c>
      <c r="K1838" s="20" t="inlineStr">
        <is>
          <t>Non-Captive</t>
        </is>
      </c>
      <c r="L1838" s="20" t="inlineStr">
        <is>
          <t>VISHNU M S</t>
        </is>
      </c>
      <c r="M1838" s="23" t="n">
        <v>8474.58</v>
      </c>
      <c r="N1838" s="23" t="n">
        <v>10000</v>
      </c>
      <c r="O1838" s="24">
        <f>IF(AND(ISNUMBER(M1838), ISNUMBER(I1838), I1838&gt;0), M1838/I1838, "")</f>
        <v/>
      </c>
    </row>
    <row r="1839">
      <c r="A1839" s="19" t="inlineStr">
        <is>
          <t>FY26</t>
        </is>
      </c>
      <c r="B1839" s="19" t="inlineStr">
        <is>
          <t>Mar</t>
        </is>
      </c>
      <c r="C1839" s="19" t="inlineStr">
        <is>
          <t>Kerala</t>
        </is>
      </c>
      <c r="D1839" s="20" t="inlineStr">
        <is>
          <t>KL07BZ4218</t>
        </is>
      </c>
      <c r="E1839" s="20" t="inlineStr">
        <is>
          <t>RENAULT</t>
        </is>
      </c>
      <c r="F1839" s="20" t="inlineStr">
        <is>
          <t>Duster</t>
        </is>
      </c>
      <c r="G1839" s="21" t="n"/>
      <c r="H1839" s="22" t="n">
        <v>102194</v>
      </c>
      <c r="I1839" s="23" t="n">
        <v>240000</v>
      </c>
      <c r="J1839" s="20" t="inlineStr">
        <is>
          <t>JISHNU PRIYAN</t>
        </is>
      </c>
      <c r="K1839" s="20" t="inlineStr">
        <is>
          <t>Non-Captive</t>
        </is>
      </c>
      <c r="L1839" s="20" t="inlineStr">
        <is>
          <t>4 WHEEL DRIVE</t>
        </is>
      </c>
      <c r="M1839" s="23" t="n">
        <v>8474.58</v>
      </c>
      <c r="N1839" s="23" t="n">
        <v>10000</v>
      </c>
      <c r="O1839" s="24">
        <f>IF(AND(ISNUMBER(M1839), ISNUMBER(I1839), I1839&gt;0), M1839/I1839, "")</f>
        <v/>
      </c>
    </row>
    <row r="1840">
      <c r="A1840" s="19" t="inlineStr">
        <is>
          <t>FY26</t>
        </is>
      </c>
      <c r="B1840" s="19" t="inlineStr">
        <is>
          <t>Mar</t>
        </is>
      </c>
      <c r="C1840" s="19" t="inlineStr">
        <is>
          <t>Kerala</t>
        </is>
      </c>
      <c r="D1840" s="20" t="inlineStr">
        <is>
          <t>KL30L0892</t>
        </is>
      </c>
      <c r="E1840" s="20" t="inlineStr">
        <is>
          <t>FORD</t>
        </is>
      </c>
      <c r="F1840" s="20" t="inlineStr">
        <is>
          <t>Figo</t>
        </is>
      </c>
      <c r="G1840" s="21" t="n"/>
      <c r="H1840" s="22" t="n">
        <v>100000</v>
      </c>
      <c r="I1840" s="23" t="n">
        <v>89000</v>
      </c>
      <c r="J1840" s="20" t="inlineStr">
        <is>
          <t>MUHAMMAD SHAJI</t>
        </is>
      </c>
      <c r="K1840" s="20" t="inlineStr">
        <is>
          <t>Non-Captive</t>
        </is>
      </c>
      <c r="L1840" s="20" t="inlineStr">
        <is>
          <t>ANAS VH</t>
        </is>
      </c>
      <c r="M1840" s="23" t="n">
        <v>8474.58</v>
      </c>
      <c r="N1840" s="23" t="n">
        <v>10000</v>
      </c>
      <c r="O1840" s="24">
        <f>IF(AND(ISNUMBER(M1840), ISNUMBER(I1840), I1840&gt;0), M1840/I1840, "")</f>
        <v/>
      </c>
    </row>
    <row r="1841">
      <c r="A1841" s="19" t="inlineStr">
        <is>
          <t>FY26</t>
        </is>
      </c>
      <c r="B1841" s="19" t="inlineStr">
        <is>
          <t>Mar</t>
        </is>
      </c>
      <c r="C1841" s="19" t="inlineStr">
        <is>
          <t>Kerala</t>
        </is>
      </c>
      <c r="D1841" s="20" t="inlineStr">
        <is>
          <t>KL63G6635</t>
        </is>
      </c>
      <c r="E1841" s="20" t="inlineStr">
        <is>
          <t>RENAULT</t>
        </is>
      </c>
      <c r="F1841" s="20" t="inlineStr">
        <is>
          <t>Kwid</t>
        </is>
      </c>
      <c r="G1841" s="21" t="n"/>
      <c r="H1841" s="22" t="n">
        <v>9944</v>
      </c>
      <c r="I1841" s="23" t="n">
        <v>265000</v>
      </c>
      <c r="J1841" s="20" t="inlineStr">
        <is>
          <t>RAFEEK T A</t>
        </is>
      </c>
      <c r="K1841" s="20" t="inlineStr">
        <is>
          <t>Non-Captive</t>
        </is>
      </c>
      <c r="L1841" s="20" t="inlineStr">
        <is>
          <t>ABDUL SALAM K K</t>
        </is>
      </c>
      <c r="M1841" s="23" t="n">
        <v>8474.58</v>
      </c>
      <c r="N1841" s="23" t="n">
        <v>10000</v>
      </c>
      <c r="O1841" s="24">
        <f>IF(AND(ISNUMBER(M1841), ISNUMBER(I1841), I1841&gt;0), M1841/I1841, "")</f>
        <v/>
      </c>
    </row>
    <row r="1842">
      <c r="A1842" s="19" t="inlineStr">
        <is>
          <t>FY26</t>
        </is>
      </c>
      <c r="B1842" s="19" t="inlineStr">
        <is>
          <t>Mar</t>
        </is>
      </c>
      <c r="C1842" s="19" t="inlineStr">
        <is>
          <t>Kerala</t>
        </is>
      </c>
      <c r="D1842" s="20" t="inlineStr">
        <is>
          <t>KL02AU2788</t>
        </is>
      </c>
      <c r="E1842" s="20" t="inlineStr">
        <is>
          <t>MARUTI SUZUKI</t>
        </is>
      </c>
      <c r="F1842" s="20" t="inlineStr">
        <is>
          <t>Wagon R</t>
        </is>
      </c>
      <c r="G1842" s="21" t="n"/>
      <c r="H1842" s="22" t="n">
        <v>146557</v>
      </c>
      <c r="I1842" s="23" t="n">
        <v>190000</v>
      </c>
      <c r="J1842" s="20" t="inlineStr">
        <is>
          <t>NASIM</t>
        </is>
      </c>
      <c r="K1842" s="20" t="inlineStr">
        <is>
          <t>Non-Captive</t>
        </is>
      </c>
      <c r="L1842" s="20" t="inlineStr">
        <is>
          <t>LUXON TATA</t>
        </is>
      </c>
      <c r="M1842" s="23" t="n">
        <v>5932.2</v>
      </c>
      <c r="N1842" s="23" t="n">
        <v>7000</v>
      </c>
      <c r="O1842" s="24">
        <f>IF(AND(ISNUMBER(M1842), ISNUMBER(I1842), I1842&gt;0), M1842/I1842, "")</f>
        <v/>
      </c>
    </row>
    <row r="1843">
      <c r="A1843" s="19" t="inlineStr">
        <is>
          <t>FY26</t>
        </is>
      </c>
      <c r="B1843" s="19" t="inlineStr">
        <is>
          <t>Mar</t>
        </is>
      </c>
      <c r="C1843" s="19" t="inlineStr">
        <is>
          <t>Kerala</t>
        </is>
      </c>
      <c r="D1843" s="20" t="inlineStr">
        <is>
          <t>KL05AM2339</t>
        </is>
      </c>
      <c r="E1843" s="20" t="inlineStr">
        <is>
          <t>FORD</t>
        </is>
      </c>
      <c r="F1843" s="20" t="inlineStr">
        <is>
          <t>Figo</t>
        </is>
      </c>
      <c r="G1843" s="21" t="n"/>
      <c r="H1843" s="22" t="n">
        <v>104540</v>
      </c>
      <c r="I1843" s="23" t="n">
        <v>200000</v>
      </c>
      <c r="J1843" s="20" t="inlineStr">
        <is>
          <t>POPULAR MARUTI</t>
        </is>
      </c>
      <c r="K1843" s="20" t="inlineStr">
        <is>
          <t>Non-Captive</t>
        </is>
      </c>
      <c r="L1843" s="20" t="inlineStr">
        <is>
          <t>DREAM DRIVE</t>
        </is>
      </c>
      <c r="M1843" s="23" t="n">
        <v>8474.58</v>
      </c>
      <c r="N1843" s="23" t="n">
        <v>10000</v>
      </c>
      <c r="O1843" s="24">
        <f>IF(AND(ISNUMBER(M1843), ISNUMBER(I1843), I1843&gt;0), M1843/I1843, "")</f>
        <v/>
      </c>
    </row>
    <row r="1844">
      <c r="A1844" s="19" t="inlineStr">
        <is>
          <t>FY26</t>
        </is>
      </c>
      <c r="B1844" s="19" t="inlineStr">
        <is>
          <t>Mar</t>
        </is>
      </c>
      <c r="C1844" s="19" t="inlineStr">
        <is>
          <t>Kerala</t>
        </is>
      </c>
      <c r="D1844" s="20" t="inlineStr">
        <is>
          <t>KL05AU6118</t>
        </is>
      </c>
      <c r="E1844" s="20" t="inlineStr">
        <is>
          <t>HYUNDAI</t>
        </is>
      </c>
      <c r="F1844" s="20" t="inlineStr">
        <is>
          <t>Grand I10</t>
        </is>
      </c>
      <c r="G1844" s="21" t="n"/>
      <c r="H1844" s="22" t="n">
        <v>45218</v>
      </c>
      <c r="I1844" s="23" t="n">
        <v>235000</v>
      </c>
      <c r="J1844" s="20" t="inlineStr">
        <is>
          <t>POPULAR MARUTI</t>
        </is>
      </c>
      <c r="K1844" s="20" t="inlineStr">
        <is>
          <t>Non-Captive</t>
        </is>
      </c>
      <c r="L1844" s="20" t="inlineStr">
        <is>
          <t>DREAM DRIVE</t>
        </is>
      </c>
      <c r="M1844" s="23" t="n">
        <v>8474.58</v>
      </c>
      <c r="N1844" s="23" t="n">
        <v>10000</v>
      </c>
      <c r="O1844" s="24">
        <f>IF(AND(ISNUMBER(M1844), ISNUMBER(I1844), I1844&gt;0), M1844/I1844, "")</f>
        <v/>
      </c>
    </row>
    <row r="1845">
      <c r="A1845" s="19" t="inlineStr">
        <is>
          <t>FY26</t>
        </is>
      </c>
      <c r="B1845" s="19" t="inlineStr">
        <is>
          <t>Mar</t>
        </is>
      </c>
      <c r="C1845" s="19" t="inlineStr">
        <is>
          <t>Kerala</t>
        </is>
      </c>
      <c r="D1845" s="20" t="inlineStr">
        <is>
          <t>KL45V1772</t>
        </is>
      </c>
      <c r="E1845" s="20" t="inlineStr">
        <is>
          <t>MARUTI SUZUKI</t>
        </is>
      </c>
      <c r="F1845" s="20" t="inlineStr">
        <is>
          <t>Alto</t>
        </is>
      </c>
      <c r="G1845" s="21" t="n"/>
      <c r="H1845" s="22" t="n">
        <v>56757</v>
      </c>
      <c r="I1845" s="23" t="n">
        <v>305000</v>
      </c>
      <c r="J1845" s="20" t="inlineStr">
        <is>
          <t>AMRITH V CHANDY</t>
        </is>
      </c>
      <c r="K1845" s="20" t="inlineStr">
        <is>
          <t>Non-Captive</t>
        </is>
      </c>
      <c r="L1845" s="20" t="inlineStr">
        <is>
          <t>MUHAMMAD SHAJI</t>
        </is>
      </c>
      <c r="M1845" s="23" t="n">
        <v>8474.58</v>
      </c>
      <c r="N1845" s="23" t="n">
        <v>10000</v>
      </c>
      <c r="O1845" s="24">
        <f>IF(AND(ISNUMBER(M1845), ISNUMBER(I1845), I1845&gt;0), M1845/I1845, "")</f>
        <v/>
      </c>
    </row>
    <row r="1846">
      <c r="A1846" s="19" t="inlineStr">
        <is>
          <t>FY26</t>
        </is>
      </c>
      <c r="B1846" s="19" t="inlineStr">
        <is>
          <t>Mar</t>
        </is>
      </c>
      <c r="C1846" s="19" t="inlineStr">
        <is>
          <t>Kerala</t>
        </is>
      </c>
      <c r="D1846" s="20" t="inlineStr">
        <is>
          <t>KL29G0159</t>
        </is>
      </c>
      <c r="E1846" s="20" t="inlineStr">
        <is>
          <t>MARUTI SUZUKI</t>
        </is>
      </c>
      <c r="F1846" s="20" t="inlineStr">
        <is>
          <t>Swift</t>
        </is>
      </c>
      <c r="G1846" s="21" t="n"/>
      <c r="H1846" s="22" t="n">
        <v>157711</v>
      </c>
      <c r="I1846" s="23" t="n">
        <v>190000</v>
      </c>
      <c r="J1846" s="20" t="inlineStr">
        <is>
          <t>POPULAR MARUTI</t>
        </is>
      </c>
      <c r="K1846" s="20" t="inlineStr">
        <is>
          <t>Non-Captive</t>
        </is>
      </c>
      <c r="L1846" s="20" t="inlineStr">
        <is>
          <t>SABU</t>
        </is>
      </c>
      <c r="M1846" s="23" t="n">
        <v>8474.58</v>
      </c>
      <c r="N1846" s="23" t="n">
        <v>10000</v>
      </c>
      <c r="O1846" s="24">
        <f>IF(AND(ISNUMBER(M1846), ISNUMBER(I1846), I1846&gt;0), M1846/I1846, "")</f>
        <v/>
      </c>
    </row>
    <row r="1847">
      <c r="A1847" s="19" t="inlineStr">
        <is>
          <t>FY26</t>
        </is>
      </c>
      <c r="B1847" s="19" t="inlineStr">
        <is>
          <t>Mar</t>
        </is>
      </c>
      <c r="C1847" s="19" t="inlineStr">
        <is>
          <t>Kerala</t>
        </is>
      </c>
      <c r="D1847" s="20" t="inlineStr">
        <is>
          <t>KL41L2233</t>
        </is>
      </c>
      <c r="E1847" s="20" t="inlineStr">
        <is>
          <t>FORD</t>
        </is>
      </c>
      <c r="F1847" s="20" t="inlineStr">
        <is>
          <t>Ecosport</t>
        </is>
      </c>
      <c r="G1847" s="21" t="n"/>
      <c r="H1847" s="22" t="n">
        <v>165899</v>
      </c>
      <c r="I1847" s="23" t="n">
        <v>350000</v>
      </c>
      <c r="J1847" s="20" t="inlineStr">
        <is>
          <t>AUTOMOTIVE MAHINDRA</t>
        </is>
      </c>
      <c r="K1847" s="20" t="inlineStr">
        <is>
          <t>Non-Captive</t>
        </is>
      </c>
      <c r="L1847" s="20" t="inlineStr">
        <is>
          <t>VTJ</t>
        </is>
      </c>
      <c r="M1847" s="23" t="n">
        <v>8474.58</v>
      </c>
      <c r="N1847" s="23" t="n">
        <v>10000</v>
      </c>
      <c r="O1847" s="24">
        <f>IF(AND(ISNUMBER(M1847), ISNUMBER(I1847), I1847&gt;0), M1847/I1847, "")</f>
        <v/>
      </c>
    </row>
    <row r="1848">
      <c r="A1848" s="19" t="inlineStr">
        <is>
          <t>FY26</t>
        </is>
      </c>
      <c r="B1848" s="19" t="inlineStr">
        <is>
          <t>Mar</t>
        </is>
      </c>
      <c r="C1848" s="19" t="inlineStr">
        <is>
          <t>Kerala</t>
        </is>
      </c>
      <c r="D1848" s="20" t="inlineStr">
        <is>
          <t>KL07BX8955</t>
        </is>
      </c>
      <c r="E1848" s="20" t="inlineStr">
        <is>
          <t>VOLKSWAGEN</t>
        </is>
      </c>
      <c r="F1848" s="20" t="inlineStr">
        <is>
          <t>Vento</t>
        </is>
      </c>
      <c r="G1848" s="21" t="n"/>
      <c r="H1848" s="22" t="n">
        <v>48900</v>
      </c>
      <c r="I1848" s="23" t="n">
        <v>190000</v>
      </c>
      <c r="J1848" s="20" t="inlineStr">
        <is>
          <t>EVM VOLKSWAGEN</t>
        </is>
      </c>
      <c r="K1848" s="20" t="inlineStr">
        <is>
          <t>Non-Captive</t>
        </is>
      </c>
      <c r="L1848" s="20" t="inlineStr">
        <is>
          <t>VISHNU M S</t>
        </is>
      </c>
      <c r="M1848" s="23" t="n">
        <v>8474.58</v>
      </c>
      <c r="N1848" s="23" t="n">
        <v>10000</v>
      </c>
      <c r="O1848" s="24">
        <f>IF(AND(ISNUMBER(M1848), ISNUMBER(I1848), I1848&gt;0), M1848/I1848, "")</f>
        <v/>
      </c>
    </row>
    <row r="1849">
      <c r="A1849" s="19" t="inlineStr">
        <is>
          <t>FY26</t>
        </is>
      </c>
      <c r="B1849" s="19" t="inlineStr">
        <is>
          <t>Mar</t>
        </is>
      </c>
      <c r="C1849" s="19" t="inlineStr">
        <is>
          <t>Kerala</t>
        </is>
      </c>
      <c r="D1849" s="20" t="inlineStr">
        <is>
          <t>KL62B2102</t>
        </is>
      </c>
      <c r="E1849" s="20" t="inlineStr">
        <is>
          <t>MARUTI SUZUKI</t>
        </is>
      </c>
      <c r="F1849" s="20" t="inlineStr">
        <is>
          <t>Alto</t>
        </is>
      </c>
      <c r="G1849" s="21" t="n"/>
      <c r="H1849" s="22" t="n">
        <v>83000</v>
      </c>
      <c r="I1849" s="23" t="n">
        <v>135000</v>
      </c>
      <c r="J1849" s="20" t="inlineStr">
        <is>
          <t>INCHEON KIA</t>
        </is>
      </c>
      <c r="K1849" s="20" t="inlineStr">
        <is>
          <t>Non-Captive</t>
        </is>
      </c>
      <c r="L1849" s="20" t="inlineStr">
        <is>
          <t>HUSSAIN O E</t>
        </is>
      </c>
      <c r="M1849" s="23" t="n">
        <v>8474.58</v>
      </c>
      <c r="N1849" s="23" t="n">
        <v>10000</v>
      </c>
      <c r="O1849" s="24">
        <f>IF(AND(ISNUMBER(M1849), ISNUMBER(I1849), I1849&gt;0), M1849/I1849, "")</f>
        <v/>
      </c>
    </row>
    <row r="1850">
      <c r="A1850" s="19" t="inlineStr">
        <is>
          <t>FY26</t>
        </is>
      </c>
      <c r="B1850" s="19" t="inlineStr">
        <is>
          <t>Mar</t>
        </is>
      </c>
      <c r="C1850" s="19" t="inlineStr">
        <is>
          <t>Kerala</t>
        </is>
      </c>
      <c r="D1850" s="20" t="inlineStr">
        <is>
          <t>KL43L0710</t>
        </is>
      </c>
      <c r="E1850" s="20" t="inlineStr">
        <is>
          <t>HYUNDAI</t>
        </is>
      </c>
      <c r="F1850" s="20" t="inlineStr">
        <is>
          <t>Eon</t>
        </is>
      </c>
      <c r="G1850" s="21" t="n"/>
      <c r="H1850" s="22" t="n">
        <v>88832</v>
      </c>
      <c r="I1850" s="23" t="n">
        <v>130000</v>
      </c>
      <c r="J1850" s="20" t="inlineStr">
        <is>
          <t>CARS24</t>
        </is>
      </c>
      <c r="K1850" s="20" t="inlineStr">
        <is>
          <t>Non-Captive</t>
        </is>
      </c>
      <c r="L1850" s="20" t="inlineStr">
        <is>
          <t>HUSSAIN O E</t>
        </is>
      </c>
      <c r="M1850" s="23" t="n">
        <v>8474.58</v>
      </c>
      <c r="N1850" s="23" t="n">
        <v>10000</v>
      </c>
      <c r="O1850" s="24">
        <f>IF(AND(ISNUMBER(M1850), ISNUMBER(I1850), I1850&gt;0), M1850/I1850, "")</f>
        <v/>
      </c>
    </row>
    <row r="1851">
      <c r="A1851" s="19" t="inlineStr">
        <is>
          <t>FY26</t>
        </is>
      </c>
      <c r="B1851" s="19" t="inlineStr">
        <is>
          <t>Mar</t>
        </is>
      </c>
      <c r="C1851" s="19" t="inlineStr">
        <is>
          <t>Kerala</t>
        </is>
      </c>
      <c r="D1851" s="20" t="inlineStr">
        <is>
          <t>KL58AJ6903</t>
        </is>
      </c>
      <c r="E1851" s="20" t="inlineStr">
        <is>
          <t>RENAULT</t>
        </is>
      </c>
      <c r="F1851" s="20" t="inlineStr">
        <is>
          <t>Kwid</t>
        </is>
      </c>
      <c r="G1851" s="21" t="n"/>
      <c r="H1851" s="22" t="n">
        <v>13100</v>
      </c>
      <c r="I1851" s="23" t="n">
        <v>335000</v>
      </c>
      <c r="J1851" s="20" t="inlineStr">
        <is>
          <t>VASIL</t>
        </is>
      </c>
      <c r="K1851" s="20" t="inlineStr">
        <is>
          <t>Non-Captive</t>
        </is>
      </c>
      <c r="L1851" s="20" t="inlineStr">
        <is>
          <t>ICICI BANK</t>
        </is>
      </c>
      <c r="M1851" s="23" t="n">
        <v>8474.58</v>
      </c>
      <c r="N1851" s="23" t="n">
        <v>10000</v>
      </c>
      <c r="O1851" s="24">
        <f>IF(AND(ISNUMBER(M1851), ISNUMBER(I1851), I1851&gt;0), M1851/I1851, "")</f>
        <v/>
      </c>
    </row>
    <row r="1852">
      <c r="A1852" s="19" t="inlineStr">
        <is>
          <t>FY26</t>
        </is>
      </c>
      <c r="B1852" s="19" t="inlineStr">
        <is>
          <t>Mar</t>
        </is>
      </c>
      <c r="C1852" s="19" t="inlineStr">
        <is>
          <t>Kerala</t>
        </is>
      </c>
      <c r="D1852" s="20" t="inlineStr">
        <is>
          <t>KL11BD5650</t>
        </is>
      </c>
      <c r="E1852" s="20" t="inlineStr">
        <is>
          <t>MAHINDRA</t>
        </is>
      </c>
      <c r="F1852" s="20" t="inlineStr">
        <is>
          <t>Kuv100</t>
        </is>
      </c>
      <c r="G1852" s="21" t="n"/>
      <c r="H1852" s="22" t="n">
        <v>84000</v>
      </c>
      <c r="I1852" s="23" t="n">
        <v>215000</v>
      </c>
      <c r="J1852" s="20" t="inlineStr">
        <is>
          <t>SUNILKUMAR S</t>
        </is>
      </c>
      <c r="K1852" s="20" t="inlineStr">
        <is>
          <t>Non-Captive</t>
        </is>
      </c>
      <c r="L1852" s="20" t="inlineStr">
        <is>
          <t>PK SANTOSH UCD</t>
        </is>
      </c>
      <c r="M1852" s="23" t="n">
        <v>8474.58</v>
      </c>
      <c r="N1852" s="23" t="n">
        <v>10000</v>
      </c>
      <c r="O1852" s="24">
        <f>IF(AND(ISNUMBER(M1852), ISNUMBER(I1852), I1852&gt;0), M1852/I1852, "")</f>
        <v/>
      </c>
    </row>
    <row r="1853">
      <c r="A1853" s="19" t="inlineStr">
        <is>
          <t>FY26</t>
        </is>
      </c>
      <c r="B1853" s="19" t="inlineStr">
        <is>
          <t>Mar</t>
        </is>
      </c>
      <c r="C1853" s="19" t="inlineStr">
        <is>
          <t>Kerala</t>
        </is>
      </c>
      <c r="D1853" s="20" t="inlineStr">
        <is>
          <t>KL597960</t>
        </is>
      </c>
      <c r="E1853" s="20" t="inlineStr">
        <is>
          <t>MARUTI SUZUKI</t>
        </is>
      </c>
      <c r="F1853" s="20" t="inlineStr">
        <is>
          <t>M800</t>
        </is>
      </c>
      <c r="G1853" s="21" t="n"/>
      <c r="H1853" s="22" t="n">
        <v>76000</v>
      </c>
      <c r="I1853" s="23" t="n">
        <v>40000</v>
      </c>
      <c r="J1853" s="20" t="inlineStr">
        <is>
          <t>PRAJOSH</t>
        </is>
      </c>
      <c r="K1853" s="20" t="inlineStr">
        <is>
          <t>Non-Captive</t>
        </is>
      </c>
      <c r="L1853" s="20" t="inlineStr">
        <is>
          <t>KVR TATA</t>
        </is>
      </c>
      <c r="M1853" s="23" t="n">
        <v>4237.29</v>
      </c>
      <c r="N1853" s="23" t="n">
        <v>5000</v>
      </c>
      <c r="O1853" s="24">
        <f>IF(AND(ISNUMBER(M1853), ISNUMBER(I1853), I1853&gt;0), M1853/I1853, "")</f>
        <v/>
      </c>
    </row>
    <row r="1854">
      <c r="A1854" s="19" t="inlineStr">
        <is>
          <t>FY26</t>
        </is>
      </c>
      <c r="B1854" s="19" t="inlineStr">
        <is>
          <t>Mar</t>
        </is>
      </c>
      <c r="C1854" s="19" t="inlineStr">
        <is>
          <t>Kerala</t>
        </is>
      </c>
      <c r="D1854" s="20" t="inlineStr">
        <is>
          <t>KL59AC1605</t>
        </is>
      </c>
      <c r="E1854" s="20" t="inlineStr">
        <is>
          <t>RENAULT</t>
        </is>
      </c>
      <c r="F1854" s="20" t="inlineStr">
        <is>
          <t>Kwid</t>
        </is>
      </c>
      <c r="G1854" s="21" t="n"/>
      <c r="H1854" s="22" t="n">
        <v>4000</v>
      </c>
      <c r="I1854" s="23" t="n">
        <v>360000</v>
      </c>
      <c r="J1854" s="20" t="inlineStr">
        <is>
          <t>Arjid</t>
        </is>
      </c>
      <c r="K1854" s="20" t="inlineStr">
        <is>
          <t>Non-Captive</t>
        </is>
      </c>
      <c r="L1854" s="20" t="inlineStr">
        <is>
          <t>CHOLA FINANCE</t>
        </is>
      </c>
      <c r="M1854" s="23" t="n">
        <v>5084.75</v>
      </c>
      <c r="N1854" s="23" t="n">
        <v>6000</v>
      </c>
      <c r="O1854" s="24">
        <f>IF(AND(ISNUMBER(M1854), ISNUMBER(I1854), I1854&gt;0), M1854/I1854, "")</f>
        <v/>
      </c>
    </row>
    <row r="1855">
      <c r="A1855" s="19" t="inlineStr">
        <is>
          <t>FY26</t>
        </is>
      </c>
      <c r="B1855" s="19" t="inlineStr">
        <is>
          <t>Mar</t>
        </is>
      </c>
      <c r="C1855" s="19" t="inlineStr">
        <is>
          <t>Kerala</t>
        </is>
      </c>
      <c r="D1855" s="20" t="inlineStr">
        <is>
          <t>KL18D9933</t>
        </is>
      </c>
      <c r="E1855" s="20" t="inlineStr">
        <is>
          <t>CHEVROLET</t>
        </is>
      </c>
      <c r="F1855" s="20" t="inlineStr">
        <is>
          <t>Uva</t>
        </is>
      </c>
      <c r="G1855" s="21" t="n"/>
      <c r="H1855" s="22" t="n">
        <v>109000</v>
      </c>
      <c r="I1855" s="23" t="n">
        <v>14000</v>
      </c>
      <c r="J1855" s="20" t="inlineStr">
        <is>
          <t>Arjid</t>
        </is>
      </c>
      <c r="K1855" s="20" t="inlineStr">
        <is>
          <t>Non-Captive</t>
        </is>
      </c>
      <c r="L1855" s="20" t="inlineStr">
        <is>
          <t>KVR TATA</t>
        </is>
      </c>
      <c r="M1855" s="23" t="n">
        <v>5084.75</v>
      </c>
      <c r="N1855" s="23" t="n">
        <v>6000</v>
      </c>
      <c r="O1855" s="24">
        <f>IF(AND(ISNUMBER(M1855), ISNUMBER(I1855), I1855&gt;0), M1855/I1855, "")</f>
        <v/>
      </c>
    </row>
    <row r="1856">
      <c r="A1856" s="19" t="inlineStr">
        <is>
          <t>FY26</t>
        </is>
      </c>
      <c r="B1856" s="19" t="inlineStr">
        <is>
          <t>Mar</t>
        </is>
      </c>
      <c r="C1856" s="19" t="inlineStr">
        <is>
          <t>Kerala</t>
        </is>
      </c>
      <c r="D1856" s="20" t="inlineStr">
        <is>
          <t>KL54B6926</t>
        </is>
      </c>
      <c r="E1856" s="20" t="inlineStr">
        <is>
          <t>HYUNDAI</t>
        </is>
      </c>
      <c r="F1856" s="20" t="inlineStr">
        <is>
          <t>I20</t>
        </is>
      </c>
      <c r="G1856" s="21" t="n"/>
      <c r="H1856" s="22" t="n">
        <v>200000</v>
      </c>
      <c r="I1856" s="23" t="n">
        <v>20000</v>
      </c>
      <c r="J1856" s="20" t="inlineStr">
        <is>
          <t>AUTOTRUST</t>
        </is>
      </c>
      <c r="K1856" s="20" t="inlineStr">
        <is>
          <t>Non-Captive</t>
        </is>
      </c>
      <c r="L1856" s="20" t="inlineStr">
        <is>
          <t>CERO MAHINDRA</t>
        </is>
      </c>
      <c r="M1856" s="23" t="n">
        <v>4237.29</v>
      </c>
      <c r="N1856" s="23" t="n">
        <v>5000</v>
      </c>
      <c r="O1856" s="24">
        <f>IF(AND(ISNUMBER(M1856), ISNUMBER(I1856), I1856&gt;0), M1856/I1856, "")</f>
        <v/>
      </c>
    </row>
    <row r="1857">
      <c r="A1857" s="19" t="inlineStr">
        <is>
          <t>FY26</t>
        </is>
      </c>
      <c r="B1857" s="19" t="inlineStr">
        <is>
          <t>Mar</t>
        </is>
      </c>
      <c r="C1857" s="19" t="inlineStr">
        <is>
          <t>Kerala</t>
        </is>
      </c>
      <c r="D1857" s="20" t="inlineStr">
        <is>
          <t>KL59Q6576</t>
        </is>
      </c>
      <c r="E1857" s="20" t="inlineStr">
        <is>
          <t>TATA</t>
        </is>
      </c>
      <c r="F1857" s="20" t="inlineStr">
        <is>
          <t>Tigore</t>
        </is>
      </c>
      <c r="G1857" s="21" t="n"/>
      <c r="H1857" s="22" t="n">
        <v>70000</v>
      </c>
      <c r="I1857" s="23" t="n">
        <v>160000</v>
      </c>
      <c r="J1857" s="20" t="inlineStr">
        <is>
          <t>SHAJEE CARS</t>
        </is>
      </c>
      <c r="K1857" s="20" t="inlineStr">
        <is>
          <t>Non-Captive</t>
        </is>
      </c>
      <c r="L1857" s="20" t="inlineStr">
        <is>
          <t>SRIRAM FINANCE</t>
        </is>
      </c>
      <c r="M1857" s="23" t="n">
        <v>4237.29</v>
      </c>
      <c r="N1857" s="23" t="n">
        <v>5000</v>
      </c>
      <c r="O1857" s="24">
        <f>IF(AND(ISNUMBER(M1857), ISNUMBER(I1857), I1857&gt;0), M1857/I1857, "")</f>
        <v/>
      </c>
    </row>
    <row r="1858">
      <c r="A1858" s="19" t="inlineStr">
        <is>
          <t>FY26</t>
        </is>
      </c>
      <c r="B1858" s="19" t="inlineStr">
        <is>
          <t>Mar</t>
        </is>
      </c>
      <c r="C1858" s="19" t="inlineStr">
        <is>
          <t>Kerala</t>
        </is>
      </c>
      <c r="D1858" s="20" t="inlineStr">
        <is>
          <t>KL78B7964</t>
        </is>
      </c>
      <c r="E1858" s="20" t="inlineStr">
        <is>
          <t>TATA</t>
        </is>
      </c>
      <c r="F1858" s="20" t="inlineStr">
        <is>
          <t>Punch</t>
        </is>
      </c>
      <c r="G1858" s="21" t="n"/>
      <c r="H1858" s="22" t="n">
        <v>66000</v>
      </c>
      <c r="I1858" s="23" t="n">
        <v>450000</v>
      </c>
      <c r="J1858" s="20" t="inlineStr">
        <is>
          <t>KANNUR PLATINUM</t>
        </is>
      </c>
      <c r="K1858" s="20" t="inlineStr">
        <is>
          <t>Non-Captive</t>
        </is>
      </c>
      <c r="L1858" s="20" t="inlineStr">
        <is>
          <t>APCO HYUNDAI</t>
        </is>
      </c>
      <c r="M1858" s="23" t="n">
        <v>4237.29</v>
      </c>
      <c r="N1858" s="23" t="n">
        <v>5000</v>
      </c>
      <c r="O1858" s="24">
        <f>IF(AND(ISNUMBER(M1858), ISNUMBER(I1858), I1858&gt;0), M1858/I1858, "")</f>
        <v/>
      </c>
    </row>
    <row r="1859">
      <c r="A1859" s="19" t="inlineStr">
        <is>
          <t>FY26</t>
        </is>
      </c>
      <c r="B1859" s="19" t="inlineStr">
        <is>
          <t>Mar</t>
        </is>
      </c>
      <c r="C1859" s="19" t="inlineStr">
        <is>
          <t>Kerala</t>
        </is>
      </c>
      <c r="D1859" s="20" t="inlineStr">
        <is>
          <t>KL58J8563</t>
        </is>
      </c>
      <c r="E1859" s="20" t="inlineStr">
        <is>
          <t>HYUNDAI</t>
        </is>
      </c>
      <c r="F1859" s="20" t="inlineStr">
        <is>
          <t>Eon</t>
        </is>
      </c>
      <c r="G1859" s="21" t="n"/>
      <c r="H1859" s="22" t="n">
        <v>99000</v>
      </c>
      <c r="I1859" s="23" t="n">
        <v>105000</v>
      </c>
      <c r="J1859" s="20" t="inlineStr">
        <is>
          <t>PRAJOSH</t>
        </is>
      </c>
      <c r="K1859" s="20" t="inlineStr">
        <is>
          <t>Non-Captive</t>
        </is>
      </c>
      <c r="L1859" s="20" t="inlineStr">
        <is>
          <t>APCO HYUNDAI</t>
        </is>
      </c>
      <c r="M1859" s="23" t="n">
        <v>6779.66</v>
      </c>
      <c r="N1859" s="23" t="n">
        <v>8000</v>
      </c>
      <c r="O1859" s="24">
        <f>IF(AND(ISNUMBER(M1859), ISNUMBER(I1859), I1859&gt;0), M1859/I1859, "")</f>
        <v/>
      </c>
    </row>
    <row r="1860">
      <c r="A1860" s="19" t="inlineStr">
        <is>
          <t>FY26</t>
        </is>
      </c>
      <c r="B1860" s="19" t="inlineStr">
        <is>
          <t>Mar</t>
        </is>
      </c>
      <c r="C1860" s="19" t="inlineStr">
        <is>
          <t>Kerala</t>
        </is>
      </c>
      <c r="D1860" s="20" t="inlineStr">
        <is>
          <t>KL13AD8254</t>
        </is>
      </c>
      <c r="E1860" s="20" t="inlineStr">
        <is>
          <t>MARUTI SUZUKI</t>
        </is>
      </c>
      <c r="F1860" s="20" t="inlineStr">
        <is>
          <t>Wagon R</t>
        </is>
      </c>
      <c r="G1860" s="21" t="n"/>
      <c r="H1860" s="22" t="n">
        <v>70000</v>
      </c>
      <c r="I1860" s="23" t="n">
        <v>290000</v>
      </c>
      <c r="J1860" s="20" t="inlineStr">
        <is>
          <t>MUHAMMED NIZAB</t>
        </is>
      </c>
      <c r="K1860" s="20" t="inlineStr">
        <is>
          <t>Non-Captive</t>
        </is>
      </c>
      <c r="L1860" s="20" t="inlineStr">
        <is>
          <t>SHAJEE CARS</t>
        </is>
      </c>
      <c r="M1860" s="23" t="n">
        <v>8474.58</v>
      </c>
      <c r="N1860" s="23" t="n">
        <v>10000</v>
      </c>
      <c r="O1860" s="24">
        <f>IF(AND(ISNUMBER(M1860), ISNUMBER(I1860), I1860&gt;0), M1860/I1860, "")</f>
        <v/>
      </c>
    </row>
    <row r="1861">
      <c r="A1861" s="19" t="inlineStr">
        <is>
          <t>FY26</t>
        </is>
      </c>
      <c r="B1861" s="19" t="inlineStr">
        <is>
          <t>Mar</t>
        </is>
      </c>
      <c r="C1861" s="19" t="inlineStr">
        <is>
          <t>Kerala</t>
        </is>
      </c>
      <c r="D1861" s="20" t="inlineStr">
        <is>
          <t>KL79A4567</t>
        </is>
      </c>
      <c r="E1861" s="20" t="inlineStr">
        <is>
          <t>HYUNDAI</t>
        </is>
      </c>
      <c r="F1861" s="20" t="inlineStr">
        <is>
          <t>Alcazar</t>
        </is>
      </c>
      <c r="G1861" s="21" t="n"/>
      <c r="H1861" s="22" t="n">
        <v>107000</v>
      </c>
      <c r="I1861" s="23" t="n">
        <v>950000</v>
      </c>
      <c r="J1861" s="20" t="inlineStr">
        <is>
          <t>SANOOP KM</t>
        </is>
      </c>
      <c r="K1861" s="20" t="inlineStr">
        <is>
          <t>Non-Captive</t>
        </is>
      </c>
      <c r="L1861" s="20" t="inlineStr">
        <is>
          <t>ERAM MAHINDRA</t>
        </is>
      </c>
      <c r="M1861" s="23" t="n">
        <v>8474.58</v>
      </c>
      <c r="N1861" s="23" t="n">
        <v>10000</v>
      </c>
      <c r="O1861" s="24">
        <f>IF(AND(ISNUMBER(M1861), ISNUMBER(I1861), I1861&gt;0), M1861/I1861, "")</f>
        <v/>
      </c>
    </row>
    <row r="1862">
      <c r="A1862" s="19" t="inlineStr">
        <is>
          <t>FY26</t>
        </is>
      </c>
      <c r="B1862" s="19" t="inlineStr">
        <is>
          <t>Mar</t>
        </is>
      </c>
      <c r="C1862" s="19" t="inlineStr">
        <is>
          <t>Kerala</t>
        </is>
      </c>
      <c r="D1862" s="20" t="inlineStr">
        <is>
          <t>KL13AC9904</t>
        </is>
      </c>
      <c r="E1862" s="20" t="inlineStr">
        <is>
          <t>MARUTI SUZUKI</t>
        </is>
      </c>
      <c r="F1862" s="20" t="inlineStr">
        <is>
          <t>Celerio</t>
        </is>
      </c>
      <c r="G1862" s="21" t="n"/>
      <c r="H1862" s="22" t="n">
        <v>35000</v>
      </c>
      <c r="I1862" s="23" t="n">
        <v>225000</v>
      </c>
      <c r="J1862" s="20" t="inlineStr">
        <is>
          <t>SANOOP KM</t>
        </is>
      </c>
      <c r="K1862" s="20" t="inlineStr">
        <is>
          <t>Non-Captive</t>
        </is>
      </c>
      <c r="L1862" s="20" t="inlineStr">
        <is>
          <t>UCD ABHILASH</t>
        </is>
      </c>
      <c r="M1862" s="23" t="n">
        <v>8474.58</v>
      </c>
      <c r="N1862" s="23" t="n">
        <v>10000</v>
      </c>
      <c r="O1862" s="24">
        <f>IF(AND(ISNUMBER(M1862), ISNUMBER(I1862), I1862&gt;0), M1862/I1862, "")</f>
        <v/>
      </c>
    </row>
    <row r="1863">
      <c r="A1863" s="19" t="inlineStr">
        <is>
          <t>FY26</t>
        </is>
      </c>
      <c r="B1863" s="19" t="inlineStr">
        <is>
          <t>Mar</t>
        </is>
      </c>
      <c r="C1863" s="19" t="inlineStr">
        <is>
          <t>Kerala</t>
        </is>
      </c>
      <c r="D1863" s="20" t="inlineStr">
        <is>
          <t>KL01CK0561</t>
        </is>
      </c>
      <c r="E1863" s="20" t="inlineStr">
        <is>
          <t>TATA</t>
        </is>
      </c>
      <c r="F1863" s="20" t="inlineStr">
        <is>
          <t>Nexon</t>
        </is>
      </c>
      <c r="G1863" s="21" t="n"/>
      <c r="H1863" s="22" t="n">
        <v>59671</v>
      </c>
      <c r="I1863" s="23" t="n">
        <v>440000</v>
      </c>
      <c r="J1863" s="20" t="inlineStr">
        <is>
          <t>MUTHOOT HONDA</t>
        </is>
      </c>
      <c r="K1863" s="20" t="inlineStr">
        <is>
          <t>Non-Captive</t>
        </is>
      </c>
      <c r="L1863" s="20" t="inlineStr">
        <is>
          <t>AITOS CARS</t>
        </is>
      </c>
      <c r="M1863" s="23" t="n">
        <v>8474.58</v>
      </c>
      <c r="N1863" s="23" t="n">
        <v>10000</v>
      </c>
      <c r="O1863" s="24">
        <f>IF(AND(ISNUMBER(M1863), ISNUMBER(I1863), I1863&gt;0), M1863/I1863, "")</f>
        <v/>
      </c>
    </row>
    <row r="1864">
      <c r="A1864" s="19" t="inlineStr">
        <is>
          <t>FY26</t>
        </is>
      </c>
      <c r="B1864" s="19" t="inlineStr">
        <is>
          <t>Mar</t>
        </is>
      </c>
      <c r="C1864" s="19" t="inlineStr">
        <is>
          <t>Kerala</t>
        </is>
      </c>
      <c r="D1864" s="20" t="inlineStr">
        <is>
          <t>KL64L4249</t>
        </is>
      </c>
      <c r="E1864" s="20" t="inlineStr">
        <is>
          <t>NISSAN</t>
        </is>
      </c>
      <c r="F1864" s="20" t="inlineStr">
        <is>
          <t>Magnite</t>
        </is>
      </c>
      <c r="G1864" s="21" t="n"/>
      <c r="H1864" s="22" t="n">
        <v>51874</v>
      </c>
      <c r="I1864" s="23" t="n">
        <v>450000</v>
      </c>
      <c r="J1864" s="20" t="inlineStr">
        <is>
          <t>GOKULAM TATA</t>
        </is>
      </c>
      <c r="K1864" s="20" t="inlineStr">
        <is>
          <t>Non-Captive</t>
        </is>
      </c>
      <c r="L1864" s="20" t="inlineStr">
        <is>
          <t>AITOS CARS</t>
        </is>
      </c>
      <c r="M1864" s="23" t="n">
        <v>8474.58</v>
      </c>
      <c r="N1864" s="23" t="n">
        <v>10000</v>
      </c>
      <c r="O1864" s="24">
        <f>IF(AND(ISNUMBER(M1864), ISNUMBER(I1864), I1864&gt;0), M1864/I1864, "")</f>
        <v/>
      </c>
    </row>
    <row r="1865">
      <c r="A1865" s="19" t="inlineStr">
        <is>
          <t>FY26</t>
        </is>
      </c>
      <c r="B1865" s="19" t="inlineStr">
        <is>
          <t>Mar</t>
        </is>
      </c>
      <c r="C1865" s="19" t="inlineStr">
        <is>
          <t>Kerala</t>
        </is>
      </c>
      <c r="D1865" s="20" t="inlineStr">
        <is>
          <t>KL08BM6884</t>
        </is>
      </c>
      <c r="E1865" s="20" t="inlineStr">
        <is>
          <t>MARUTI SUZUKI</t>
        </is>
      </c>
      <c r="F1865" s="20" t="inlineStr">
        <is>
          <t>Baleno</t>
        </is>
      </c>
      <c r="G1865" s="21" t="n"/>
      <c r="H1865" s="22" t="n">
        <v>78000</v>
      </c>
      <c r="I1865" s="23" t="n">
        <v>450000</v>
      </c>
      <c r="J1865" s="20" t="inlineStr">
        <is>
          <t>PHOENIX VOLKSWAGEN</t>
        </is>
      </c>
      <c r="K1865" s="20" t="inlineStr">
        <is>
          <t>Non-Captive</t>
        </is>
      </c>
      <c r="L1865" s="20" t="inlineStr">
        <is>
          <t>UMESHKUMAR T U</t>
        </is>
      </c>
      <c r="M1865" s="23" t="n">
        <v>8474.58</v>
      </c>
      <c r="N1865" s="23" t="n">
        <v>10000</v>
      </c>
      <c r="O1865" s="24">
        <f>IF(AND(ISNUMBER(M1865), ISNUMBER(I1865), I1865&gt;0), M1865/I1865, "")</f>
        <v/>
      </c>
    </row>
    <row r="1866">
      <c r="A1866" s="19" t="inlineStr">
        <is>
          <t>FY26</t>
        </is>
      </c>
      <c r="B1866" s="19" t="inlineStr">
        <is>
          <t>Mar</t>
        </is>
      </c>
      <c r="C1866" s="19" t="inlineStr">
        <is>
          <t>Kerala</t>
        </is>
      </c>
      <c r="D1866" s="20" t="inlineStr">
        <is>
          <t>KL390300</t>
        </is>
      </c>
      <c r="E1866" s="20" t="inlineStr">
        <is>
          <t>TATA</t>
        </is>
      </c>
      <c r="F1866" s="20" t="inlineStr">
        <is>
          <t>Indica</t>
        </is>
      </c>
      <c r="G1866" s="21" t="n"/>
      <c r="H1866" s="22" t="n">
        <v>95670</v>
      </c>
      <c r="I1866" s="23" t="n">
        <v>25000</v>
      </c>
      <c r="J1866" s="20" t="inlineStr">
        <is>
          <t>POPULAR MARUTI</t>
        </is>
      </c>
      <c r="K1866" s="20" t="inlineStr">
        <is>
          <t>Non-Captive</t>
        </is>
      </c>
      <c r="L1866" s="20" t="inlineStr">
        <is>
          <t>RAFEEK T A</t>
        </is>
      </c>
      <c r="M1866" s="23" t="n">
        <v>8474.58</v>
      </c>
      <c r="N1866" s="23" t="n">
        <v>10000</v>
      </c>
      <c r="O1866" s="24">
        <f>IF(AND(ISNUMBER(M1866), ISNUMBER(I1866), I1866&gt;0), M1866/I1866, "")</f>
        <v/>
      </c>
    </row>
    <row r="1867">
      <c r="A1867" s="19" t="inlineStr">
        <is>
          <t>FY26</t>
        </is>
      </c>
      <c r="B1867" s="19" t="inlineStr">
        <is>
          <t>Mar</t>
        </is>
      </c>
      <c r="C1867" s="19" t="inlineStr">
        <is>
          <t>Kerala</t>
        </is>
      </c>
      <c r="D1867" s="20" t="inlineStr">
        <is>
          <t>KL63H8212</t>
        </is>
      </c>
      <c r="E1867" s="20" t="inlineStr">
        <is>
          <t>MARUTI SUZUKI</t>
        </is>
      </c>
      <c r="F1867" s="20" t="inlineStr">
        <is>
          <t>Wagon R</t>
        </is>
      </c>
      <c r="G1867" s="21" t="n"/>
      <c r="H1867" s="22" t="n">
        <v>15436</v>
      </c>
      <c r="I1867" s="23" t="n">
        <v>430000</v>
      </c>
      <c r="J1867" s="20" t="inlineStr">
        <is>
          <t>EVM CITROEN</t>
        </is>
      </c>
      <c r="K1867" s="20" t="inlineStr">
        <is>
          <t>Non-Captive</t>
        </is>
      </c>
      <c r="L1867" s="20" t="inlineStr">
        <is>
          <t>VTJ</t>
        </is>
      </c>
      <c r="M1867" s="23" t="n">
        <v>8474.58</v>
      </c>
      <c r="N1867" s="23" t="n">
        <v>10000</v>
      </c>
      <c r="O1867" s="24">
        <f>IF(AND(ISNUMBER(M1867), ISNUMBER(I1867), I1867&gt;0), M1867/I1867, "")</f>
        <v/>
      </c>
    </row>
    <row r="1868">
      <c r="A1868" s="19" t="inlineStr">
        <is>
          <t>FY26</t>
        </is>
      </c>
      <c r="B1868" s="19" t="inlineStr">
        <is>
          <t>Mar</t>
        </is>
      </c>
      <c r="C1868" s="19" t="inlineStr">
        <is>
          <t>Kerala</t>
        </is>
      </c>
      <c r="D1868" s="20" t="inlineStr">
        <is>
          <t>KL63G1831</t>
        </is>
      </c>
      <c r="E1868" s="20" t="inlineStr">
        <is>
          <t>RENAULT</t>
        </is>
      </c>
      <c r="F1868" s="20" t="inlineStr">
        <is>
          <t>Kwid</t>
        </is>
      </c>
      <c r="G1868" s="21" t="n"/>
      <c r="H1868" s="22" t="n">
        <v>69494</v>
      </c>
      <c r="I1868" s="23" t="n">
        <v>190000</v>
      </c>
      <c r="J1868" s="20" t="inlineStr">
        <is>
          <t>POPULAR MARUTI</t>
        </is>
      </c>
      <c r="K1868" s="20" t="inlineStr">
        <is>
          <t>Non-Captive</t>
        </is>
      </c>
      <c r="L1868" s="20" t="inlineStr">
        <is>
          <t>VTJ</t>
        </is>
      </c>
      <c r="M1868" s="23" t="n">
        <v>8474.58</v>
      </c>
      <c r="N1868" s="23" t="n">
        <v>10000</v>
      </c>
      <c r="O1868" s="24">
        <f>IF(AND(ISNUMBER(M1868), ISNUMBER(I1868), I1868&gt;0), M1868/I1868, "")</f>
        <v/>
      </c>
    </row>
    <row r="1869">
      <c r="A1869" s="19" t="inlineStr">
        <is>
          <t>FY26</t>
        </is>
      </c>
      <c r="B1869" s="19" t="inlineStr">
        <is>
          <t>Mar</t>
        </is>
      </c>
      <c r="C1869" s="19" t="inlineStr">
        <is>
          <t>Kerala</t>
        </is>
      </c>
      <c r="D1869" s="20" t="inlineStr">
        <is>
          <t>KL05R5362</t>
        </is>
      </c>
      <c r="E1869" s="20" t="inlineStr">
        <is>
          <t>MARUTI SUZUKI</t>
        </is>
      </c>
      <c r="F1869" s="20" t="inlineStr">
        <is>
          <t>Alto</t>
        </is>
      </c>
      <c r="G1869" s="21" t="n"/>
      <c r="H1869" s="22" t="n">
        <v>92000</v>
      </c>
      <c r="I1869" s="23" t="n">
        <v>45000</v>
      </c>
      <c r="J1869" s="20" t="inlineStr">
        <is>
          <t>POPULAR MARUTI</t>
        </is>
      </c>
      <c r="K1869" s="20" t="inlineStr">
        <is>
          <t>Non-Captive</t>
        </is>
      </c>
      <c r="L1869" s="20" t="inlineStr">
        <is>
          <t>RAFEEK T A</t>
        </is>
      </c>
      <c r="M1869" s="23" t="n">
        <v>8474.58</v>
      </c>
      <c r="N1869" s="23" t="n">
        <v>10000</v>
      </c>
      <c r="O1869" s="24">
        <f>IF(AND(ISNUMBER(M1869), ISNUMBER(I1869), I1869&gt;0), M1869/I1869, "")</f>
        <v/>
      </c>
    </row>
    <row r="1870">
      <c r="A1870" s="19" t="inlineStr">
        <is>
          <t>FY26</t>
        </is>
      </c>
      <c r="B1870" s="19" t="inlineStr">
        <is>
          <t>Mar</t>
        </is>
      </c>
      <c r="C1870" s="19" t="inlineStr">
        <is>
          <t>Kerala</t>
        </is>
      </c>
      <c r="D1870" s="20" t="inlineStr">
        <is>
          <t>KL07CL5157</t>
        </is>
      </c>
      <c r="E1870" s="20" t="inlineStr">
        <is>
          <t>MARUTI SUZUKI</t>
        </is>
      </c>
      <c r="F1870" s="20" t="inlineStr">
        <is>
          <t>Baleno</t>
        </is>
      </c>
      <c r="G1870" s="21" t="n"/>
      <c r="H1870" s="22" t="n">
        <v>46800</v>
      </c>
      <c r="I1870" s="23" t="n">
        <v>325000</v>
      </c>
      <c r="J1870" s="20" t="inlineStr">
        <is>
          <t>POPULAR MARUTI</t>
        </is>
      </c>
      <c r="K1870" s="20" t="inlineStr">
        <is>
          <t>Non-Captive</t>
        </is>
      </c>
      <c r="L1870" s="20" t="inlineStr">
        <is>
          <t>RAJEEV AC</t>
        </is>
      </c>
      <c r="M1870" s="23" t="n">
        <v>8474.58</v>
      </c>
      <c r="N1870" s="23" t="n">
        <v>10000</v>
      </c>
      <c r="O1870" s="24">
        <f>IF(AND(ISNUMBER(M1870), ISNUMBER(I1870), I1870&gt;0), M1870/I1870, "")</f>
        <v/>
      </c>
    </row>
    <row r="1871">
      <c r="A1871" s="19" t="inlineStr">
        <is>
          <t>FY26</t>
        </is>
      </c>
      <c r="B1871" s="19" t="inlineStr">
        <is>
          <t>Mar</t>
        </is>
      </c>
      <c r="C1871" s="19" t="inlineStr">
        <is>
          <t>Kerala</t>
        </is>
      </c>
      <c r="D1871" s="20" t="inlineStr">
        <is>
          <t>KL283397</t>
        </is>
      </c>
      <c r="E1871" s="20" t="inlineStr">
        <is>
          <t>MARUTI SUZUKI</t>
        </is>
      </c>
      <c r="F1871" s="20" t="inlineStr">
        <is>
          <t>Alto</t>
        </is>
      </c>
      <c r="G1871" s="21" t="n"/>
      <c r="H1871" s="22" t="n">
        <v>81000</v>
      </c>
      <c r="I1871" s="23" t="n">
        <v>20000</v>
      </c>
      <c r="J1871" s="20" t="inlineStr">
        <is>
          <t>MUTHOOT TATA</t>
        </is>
      </c>
      <c r="K1871" s="20" t="inlineStr">
        <is>
          <t>Non-Captive</t>
        </is>
      </c>
      <c r="L1871" s="20" t="inlineStr">
        <is>
          <t>SHAHAR</t>
        </is>
      </c>
      <c r="M1871" s="23" t="n">
        <v>4237.29</v>
      </c>
      <c r="N1871" s="23" t="n">
        <v>5000</v>
      </c>
      <c r="O1871" s="24">
        <f>IF(AND(ISNUMBER(M1871), ISNUMBER(I1871), I1871&gt;0), M1871/I1871, "")</f>
        <v/>
      </c>
    </row>
    <row r="1872">
      <c r="A1872" s="19" t="inlineStr">
        <is>
          <t>FY26</t>
        </is>
      </c>
      <c r="B1872" s="19" t="inlineStr">
        <is>
          <t>Mar</t>
        </is>
      </c>
      <c r="C1872" s="19" t="inlineStr">
        <is>
          <t>Kerala</t>
        </is>
      </c>
      <c r="D1872" s="20" t="inlineStr">
        <is>
          <t>KL58N2833</t>
        </is>
      </c>
      <c r="E1872" s="20" t="inlineStr">
        <is>
          <t>MARUTI SUZUKI</t>
        </is>
      </c>
      <c r="F1872" s="20" t="inlineStr">
        <is>
          <t>Celerio</t>
        </is>
      </c>
      <c r="G1872" s="21" t="n"/>
      <c r="H1872" s="22" t="n">
        <v>130000</v>
      </c>
      <c r="I1872" s="23" t="n">
        <v>250000</v>
      </c>
      <c r="J1872" s="20" t="inlineStr">
        <is>
          <t>SREEJITH</t>
        </is>
      </c>
      <c r="K1872" s="20" t="inlineStr">
        <is>
          <t>Non-Captive</t>
        </is>
      </c>
      <c r="L1872" s="20" t="inlineStr">
        <is>
          <t>SANOOP</t>
        </is>
      </c>
      <c r="M1872" s="23" t="n">
        <v>4237.29</v>
      </c>
      <c r="N1872" s="23" t="n">
        <v>5000</v>
      </c>
      <c r="O1872" s="24">
        <f>IF(AND(ISNUMBER(M1872), ISNUMBER(I1872), I1872&gt;0), M1872/I1872, "")</f>
        <v/>
      </c>
    </row>
    <row r="1873">
      <c r="A1873" s="19" t="inlineStr">
        <is>
          <t>FY26</t>
        </is>
      </c>
      <c r="B1873" s="19" t="inlineStr">
        <is>
          <t>Mar</t>
        </is>
      </c>
      <c r="C1873" s="19" t="inlineStr">
        <is>
          <t>Kerala</t>
        </is>
      </c>
      <c r="D1873" s="20" t="inlineStr">
        <is>
          <t>KL56T8925</t>
        </is>
      </c>
      <c r="E1873" s="20" t="inlineStr">
        <is>
          <t>DATSUN</t>
        </is>
      </c>
      <c r="F1873" s="20" t="inlineStr">
        <is>
          <t>Go</t>
        </is>
      </c>
      <c r="G1873" s="21" t="n"/>
      <c r="H1873" s="22" t="n">
        <v>70000</v>
      </c>
      <c r="I1873" s="23" t="n">
        <v>155000</v>
      </c>
      <c r="J1873" s="20" t="inlineStr">
        <is>
          <t>KANNUR PLATINUM</t>
        </is>
      </c>
      <c r="K1873" s="20" t="inlineStr">
        <is>
          <t>Non-Captive</t>
        </is>
      </c>
      <c r="L1873" s="20" t="inlineStr">
        <is>
          <t>CETRION CALICUT</t>
        </is>
      </c>
      <c r="M1873" s="23" t="n">
        <v>4237.29</v>
      </c>
      <c r="N1873" s="23" t="n">
        <v>5000</v>
      </c>
      <c r="O1873" s="24">
        <f>IF(AND(ISNUMBER(M1873), ISNUMBER(I1873), I1873&gt;0), M1873/I1873, "")</f>
        <v/>
      </c>
    </row>
    <row r="1874">
      <c r="A1874" s="19" t="inlineStr">
        <is>
          <t>FY26</t>
        </is>
      </c>
      <c r="B1874" s="19" t="inlineStr">
        <is>
          <t>Mar</t>
        </is>
      </c>
      <c r="C1874" s="19" t="inlineStr">
        <is>
          <t>Kerala</t>
        </is>
      </c>
      <c r="D1874" s="20" t="inlineStr">
        <is>
          <t>KL11BB2328</t>
        </is>
      </c>
      <c r="E1874" s="20" t="inlineStr">
        <is>
          <t>MARUTI SUZUKI</t>
        </is>
      </c>
      <c r="F1874" s="20" t="inlineStr">
        <is>
          <t>Celerio</t>
        </is>
      </c>
      <c r="G1874" s="21" t="n"/>
      <c r="H1874" s="22" t="n">
        <v>55000</v>
      </c>
      <c r="I1874" s="23" t="n">
        <v>300000</v>
      </c>
      <c r="J1874" s="20" t="inlineStr">
        <is>
          <t>KANNUR PLATINUM</t>
        </is>
      </c>
      <c r="K1874" s="20" t="inlineStr">
        <is>
          <t>Non-Captive</t>
        </is>
      </c>
      <c r="L1874" s="20" t="inlineStr">
        <is>
          <t>UCD SANOOP</t>
        </is>
      </c>
      <c r="M1874" s="23" t="n">
        <v>4237.29</v>
      </c>
      <c r="N1874" s="23" t="n">
        <v>5000</v>
      </c>
      <c r="O1874" s="24">
        <f>IF(AND(ISNUMBER(M1874), ISNUMBER(I1874), I1874&gt;0), M1874/I1874, "")</f>
        <v/>
      </c>
    </row>
    <row r="1875">
      <c r="A1875" s="19" t="inlineStr">
        <is>
          <t>FY26</t>
        </is>
      </c>
      <c r="B1875" s="19" t="inlineStr">
        <is>
          <t>Mar</t>
        </is>
      </c>
      <c r="C1875" s="19" t="inlineStr">
        <is>
          <t>Kerala</t>
        </is>
      </c>
      <c r="D1875" s="20" t="inlineStr">
        <is>
          <t>KL57N3753</t>
        </is>
      </c>
      <c r="E1875" s="20" t="inlineStr">
        <is>
          <t>HYUNDAI</t>
        </is>
      </c>
      <c r="F1875" s="20" t="inlineStr">
        <is>
          <t>Grand I10</t>
        </is>
      </c>
      <c r="G1875" s="21" t="n"/>
      <c r="H1875" s="22" t="n">
        <v>46000</v>
      </c>
      <c r="I1875" s="23" t="n">
        <v>265000</v>
      </c>
      <c r="J1875" s="20" t="inlineStr">
        <is>
          <t>PRAJOSH</t>
        </is>
      </c>
      <c r="K1875" s="20" t="inlineStr">
        <is>
          <t>Non-Captive</t>
        </is>
      </c>
      <c r="L1875" s="20" t="inlineStr">
        <is>
          <t>BIMAL</t>
        </is>
      </c>
      <c r="M1875" s="23" t="n">
        <v>4237.29</v>
      </c>
      <c r="N1875" s="23" t="n">
        <v>5000</v>
      </c>
      <c r="O1875" s="24">
        <f>IF(AND(ISNUMBER(M1875), ISNUMBER(I1875), I1875&gt;0), M1875/I1875, "")</f>
        <v/>
      </c>
    </row>
    <row r="1876">
      <c r="A1876" s="19" t="inlineStr">
        <is>
          <t>FY26</t>
        </is>
      </c>
      <c r="B1876" s="19" t="inlineStr">
        <is>
          <t>Mar</t>
        </is>
      </c>
      <c r="C1876" s="19" t="inlineStr">
        <is>
          <t>Kerala</t>
        </is>
      </c>
      <c r="D1876" s="20" t="inlineStr">
        <is>
          <t>KL01BL9922</t>
        </is>
      </c>
      <c r="E1876" s="20" t="inlineStr">
        <is>
          <t>MARUTI SUZUKI</t>
        </is>
      </c>
      <c r="F1876" s="20" t="inlineStr">
        <is>
          <t>Wagon R</t>
        </is>
      </c>
      <c r="G1876" s="21" t="n"/>
      <c r="H1876" s="22" t="n">
        <v>69300</v>
      </c>
      <c r="I1876" s="23" t="n">
        <v>195000</v>
      </c>
      <c r="J1876" s="20" t="inlineStr">
        <is>
          <t>SHAHAR</t>
        </is>
      </c>
      <c r="K1876" s="20" t="inlineStr">
        <is>
          <t>Non-Captive</t>
        </is>
      </c>
      <c r="L1876" s="20" t="inlineStr">
        <is>
          <t>LUXON TATA</t>
        </is>
      </c>
      <c r="M1876" s="23" t="n">
        <v>4237.29</v>
      </c>
      <c r="N1876" s="23" t="n">
        <v>5000</v>
      </c>
      <c r="O1876" s="24">
        <f>IF(AND(ISNUMBER(M1876), ISNUMBER(I1876), I1876&gt;0), M1876/I1876, "")</f>
        <v/>
      </c>
    </row>
    <row r="1877">
      <c r="A1877" s="19" t="inlineStr">
        <is>
          <t>FY26</t>
        </is>
      </c>
      <c r="B1877" s="19" t="inlineStr">
        <is>
          <t>Mar</t>
        </is>
      </c>
      <c r="C1877" s="19" t="inlineStr">
        <is>
          <t>Kerala</t>
        </is>
      </c>
      <c r="D1877" s="20" t="inlineStr">
        <is>
          <t>KL04W8682</t>
        </is>
      </c>
      <c r="E1877" s="20" t="inlineStr">
        <is>
          <t>MARUTI SUZUKI</t>
        </is>
      </c>
      <c r="F1877" s="20" t="inlineStr">
        <is>
          <t>Alto</t>
        </is>
      </c>
      <c r="G1877" s="21" t="n"/>
      <c r="H1877" s="22" t="n">
        <v>64000</v>
      </c>
      <c r="I1877" s="23" t="n">
        <v>42000</v>
      </c>
      <c r="J1877" s="20" t="inlineStr">
        <is>
          <t>PRAMOD</t>
        </is>
      </c>
      <c r="K1877" s="20" t="inlineStr">
        <is>
          <t>Non-Captive</t>
        </is>
      </c>
      <c r="L1877" s="20" t="inlineStr">
        <is>
          <t>PINNACLE NISSAN</t>
        </is>
      </c>
      <c r="M1877" s="23" t="n">
        <v>4237.29</v>
      </c>
      <c r="N1877" s="23" t="n">
        <v>5000</v>
      </c>
      <c r="O1877" s="24">
        <f>IF(AND(ISNUMBER(M1877), ISNUMBER(I1877), I1877&gt;0), M1877/I1877, "")</f>
        <v/>
      </c>
    </row>
    <row r="1878">
      <c r="A1878" s="19" t="inlineStr">
        <is>
          <t>FY26</t>
        </is>
      </c>
      <c r="B1878" s="19" t="inlineStr">
        <is>
          <t>Mar</t>
        </is>
      </c>
      <c r="C1878" s="19" t="inlineStr">
        <is>
          <t>Kerala</t>
        </is>
      </c>
      <c r="D1878" s="20" t="inlineStr">
        <is>
          <t>KL07AE9663</t>
        </is>
      </c>
      <c r="E1878" s="20" t="inlineStr">
        <is>
          <t>MARUTI SUZUKI</t>
        </is>
      </c>
      <c r="F1878" s="20" t="inlineStr">
        <is>
          <t>M800</t>
        </is>
      </c>
      <c r="G1878" s="21" t="n"/>
      <c r="H1878" s="22" t="n">
        <v>92000</v>
      </c>
      <c r="I1878" s="23" t="n">
        <v>15000</v>
      </c>
      <c r="J1878" s="20" t="inlineStr">
        <is>
          <t>SETHUNATH</t>
        </is>
      </c>
      <c r="K1878" s="20" t="inlineStr">
        <is>
          <t>Non-Captive</t>
        </is>
      </c>
      <c r="L1878" s="20" t="inlineStr">
        <is>
          <t>LUXON TATA</t>
        </is>
      </c>
      <c r="M1878" s="23" t="n">
        <v>4237.29</v>
      </c>
      <c r="N1878" s="23" t="n">
        <v>5000</v>
      </c>
      <c r="O1878" s="24">
        <f>IF(AND(ISNUMBER(M1878), ISNUMBER(I1878), I1878&gt;0), M1878/I1878, "")</f>
        <v/>
      </c>
    </row>
    <row r="1879">
      <c r="A1879" s="19" t="inlineStr">
        <is>
          <t>FY26</t>
        </is>
      </c>
      <c r="B1879" s="19" t="inlineStr">
        <is>
          <t>Mar</t>
        </is>
      </c>
      <c r="C1879" s="19" t="inlineStr">
        <is>
          <t>Kerala</t>
        </is>
      </c>
      <c r="D1879" s="20" t="inlineStr">
        <is>
          <t>KL02AW3991</t>
        </is>
      </c>
      <c r="E1879" s="20" t="inlineStr">
        <is>
          <t>HYUNDAI</t>
        </is>
      </c>
      <c r="F1879" s="20" t="inlineStr">
        <is>
          <t>Grand I10</t>
        </is>
      </c>
      <c r="G1879" s="21" t="n"/>
      <c r="H1879" s="22" t="n">
        <v>36538</v>
      </c>
      <c r="I1879" s="23" t="n">
        <v>285000</v>
      </c>
      <c r="J1879" s="20" t="inlineStr">
        <is>
          <t>AKHILNATH</t>
        </is>
      </c>
      <c r="K1879" s="20" t="inlineStr">
        <is>
          <t>Non-Captive</t>
        </is>
      </c>
      <c r="L1879" s="20" t="inlineStr">
        <is>
          <t>PINNACLE NISSAN</t>
        </is>
      </c>
      <c r="M1879" s="23" t="n">
        <v>4237.29</v>
      </c>
      <c r="N1879" s="23" t="n">
        <v>5000</v>
      </c>
      <c r="O1879" s="24">
        <f>IF(AND(ISNUMBER(M1879), ISNUMBER(I1879), I1879&gt;0), M1879/I1879, "")</f>
        <v/>
      </c>
    </row>
    <row r="1880">
      <c r="A1880" s="19" t="inlineStr">
        <is>
          <t>FY26</t>
        </is>
      </c>
      <c r="B1880" s="19" t="inlineStr">
        <is>
          <t>Mar</t>
        </is>
      </c>
      <c r="C1880" s="19" t="inlineStr">
        <is>
          <t>Kerala</t>
        </is>
      </c>
      <c r="D1880" s="20" t="inlineStr">
        <is>
          <t>KL02AM8111</t>
        </is>
      </c>
      <c r="E1880" s="20" t="inlineStr">
        <is>
          <t>VOLKSWAGEN</t>
        </is>
      </c>
      <c r="F1880" s="20" t="inlineStr">
        <is>
          <t>Vento</t>
        </is>
      </c>
      <c r="G1880" s="21" t="n"/>
      <c r="H1880" s="22" t="n">
        <v>123000</v>
      </c>
      <c r="I1880" s="23" t="n">
        <v>225000</v>
      </c>
      <c r="J1880" s="20" t="inlineStr">
        <is>
          <t>SHIBU</t>
        </is>
      </c>
      <c r="K1880" s="20" t="inlineStr">
        <is>
          <t>Non-Captive</t>
        </is>
      </c>
      <c r="L1880" s="20" t="inlineStr">
        <is>
          <t>REFERENCE</t>
        </is>
      </c>
      <c r="M1880" s="23" t="n">
        <v>4237.29</v>
      </c>
      <c r="N1880" s="23" t="n">
        <v>5000</v>
      </c>
      <c r="O1880" s="24">
        <f>IF(AND(ISNUMBER(M1880), ISNUMBER(I1880), I1880&gt;0), M1880/I1880, "")</f>
        <v/>
      </c>
    </row>
    <row r="1881">
      <c r="A1881" s="19" t="inlineStr">
        <is>
          <t>FY26</t>
        </is>
      </c>
      <c r="B1881" s="19" t="inlineStr">
        <is>
          <t>Mar</t>
        </is>
      </c>
      <c r="C1881" s="19" t="inlineStr">
        <is>
          <t>Kerala</t>
        </is>
      </c>
      <c r="D1881" s="20" t="inlineStr">
        <is>
          <t>KL07BL0181</t>
        </is>
      </c>
      <c r="E1881" s="20" t="inlineStr">
        <is>
          <t>HYUNDAI</t>
        </is>
      </c>
      <c r="F1881" s="20" t="inlineStr">
        <is>
          <t>I10</t>
        </is>
      </c>
      <c r="G1881" s="21" t="n"/>
      <c r="H1881" s="22" t="n">
        <v>59500</v>
      </c>
      <c r="I1881" s="23" t="n">
        <v>155000</v>
      </c>
      <c r="J1881" s="20" t="inlineStr">
        <is>
          <t>JOHNS HONDA CARS</t>
        </is>
      </c>
      <c r="K1881" s="20" t="inlineStr">
        <is>
          <t>Non-Captive</t>
        </is>
      </c>
      <c r="L1881" s="20" t="inlineStr">
        <is>
          <t>AITOS CARS</t>
        </is>
      </c>
      <c r="M1881" s="23" t="n">
        <v>8474.58</v>
      </c>
      <c r="N1881" s="23" t="n">
        <v>10000</v>
      </c>
      <c r="O1881" s="24">
        <f>IF(AND(ISNUMBER(M1881), ISNUMBER(I1881), I1881&gt;0), M1881/I1881, "")</f>
        <v/>
      </c>
    </row>
    <row r="1882">
      <c r="A1882" s="19" t="inlineStr">
        <is>
          <t>FY26</t>
        </is>
      </c>
      <c r="B1882" s="19" t="inlineStr">
        <is>
          <t>Mar</t>
        </is>
      </c>
      <c r="C1882" s="19" t="inlineStr">
        <is>
          <t>Kerala</t>
        </is>
      </c>
      <c r="D1882" s="20" t="inlineStr">
        <is>
          <t>KL08BQ1636</t>
        </is>
      </c>
      <c r="E1882" s="20" t="inlineStr">
        <is>
          <t>RENAULT</t>
        </is>
      </c>
      <c r="F1882" s="20" t="inlineStr">
        <is>
          <t>Kwid</t>
        </is>
      </c>
      <c r="G1882" s="21" t="n"/>
      <c r="H1882" s="22" t="n">
        <v>30000</v>
      </c>
      <c r="I1882" s="23" t="n">
        <v>200000</v>
      </c>
      <c r="J1882" s="20" t="inlineStr">
        <is>
          <t>JOHNS HONDA CARS</t>
        </is>
      </c>
      <c r="K1882" s="20" t="inlineStr">
        <is>
          <t>Non-Captive</t>
        </is>
      </c>
      <c r="L1882" s="20" t="inlineStr">
        <is>
          <t>AITOS CARS</t>
        </is>
      </c>
      <c r="M1882" s="23" t="n">
        <v>8474.58</v>
      </c>
      <c r="N1882" s="23" t="n">
        <v>10000</v>
      </c>
      <c r="O1882" s="24">
        <f>IF(AND(ISNUMBER(M1882), ISNUMBER(I1882), I1882&gt;0), M1882/I1882, "")</f>
        <v/>
      </c>
    </row>
    <row r="1883">
      <c r="A1883" s="19" t="inlineStr">
        <is>
          <t>FY26</t>
        </is>
      </c>
      <c r="B1883" s="19" t="inlineStr">
        <is>
          <t>Mar</t>
        </is>
      </c>
      <c r="C1883" s="19" t="inlineStr">
        <is>
          <t>Kerala</t>
        </is>
      </c>
      <c r="D1883" s="20" t="inlineStr">
        <is>
          <t>KL35K8029</t>
        </is>
      </c>
      <c r="E1883" s="20" t="inlineStr">
        <is>
          <t>HONDA</t>
        </is>
      </c>
      <c r="F1883" s="20" t="inlineStr">
        <is>
          <t>Amaze</t>
        </is>
      </c>
      <c r="G1883" s="21" t="n"/>
      <c r="H1883" s="22" t="n">
        <v>39777</v>
      </c>
      <c r="I1883" s="23" t="n">
        <v>585000</v>
      </c>
      <c r="J1883" s="20" t="inlineStr">
        <is>
          <t>EVM SKODA</t>
        </is>
      </c>
      <c r="K1883" s="20" t="inlineStr">
        <is>
          <t>Non-Captive</t>
        </is>
      </c>
      <c r="L1883" s="20" t="inlineStr">
        <is>
          <t>VTJ</t>
        </is>
      </c>
      <c r="M1883" s="23" t="n">
        <v>8474.58</v>
      </c>
      <c r="N1883" s="23" t="n">
        <v>10000</v>
      </c>
      <c r="O1883" s="24">
        <f>IF(AND(ISNUMBER(M1883), ISNUMBER(I1883), I1883&gt;0), M1883/I1883, "")</f>
        <v/>
      </c>
    </row>
    <row r="1884">
      <c r="A1884" s="19" t="inlineStr">
        <is>
          <t>FY26</t>
        </is>
      </c>
      <c r="B1884" s="19" t="inlineStr">
        <is>
          <t>Mar</t>
        </is>
      </c>
      <c r="C1884" s="19" t="inlineStr">
        <is>
          <t>Kerala</t>
        </is>
      </c>
      <c r="D1884" s="20" t="inlineStr">
        <is>
          <t>KL69A0755</t>
        </is>
      </c>
      <c r="E1884" s="20" t="inlineStr">
        <is>
          <t>FIAT</t>
        </is>
      </c>
      <c r="F1884" s="20" t="inlineStr">
        <is>
          <t>Avventura</t>
        </is>
      </c>
      <c r="G1884" s="21" t="n"/>
      <c r="H1884" s="22" t="n">
        <v>68238</v>
      </c>
      <c r="I1884" s="23" t="n">
        <v>200000</v>
      </c>
      <c r="J1884" s="20" t="inlineStr">
        <is>
          <t>CARS24</t>
        </is>
      </c>
      <c r="K1884" s="20" t="inlineStr">
        <is>
          <t>Non-Captive</t>
        </is>
      </c>
      <c r="L1884" s="20" t="inlineStr">
        <is>
          <t>ASHRAF T A</t>
        </is>
      </c>
      <c r="M1884" s="23" t="n">
        <v>8474.58</v>
      </c>
      <c r="N1884" s="23" t="n">
        <v>10000</v>
      </c>
      <c r="O1884" s="24">
        <f>IF(AND(ISNUMBER(M1884), ISNUMBER(I1884), I1884&gt;0), M1884/I1884, "")</f>
        <v/>
      </c>
    </row>
    <row r="1885">
      <c r="A1885" s="19" t="inlineStr">
        <is>
          <t>FY26</t>
        </is>
      </c>
      <c r="B1885" s="19" t="inlineStr">
        <is>
          <t>Mar</t>
        </is>
      </c>
      <c r="C1885" s="19" t="inlineStr">
        <is>
          <t>Kerala</t>
        </is>
      </c>
      <c r="D1885" s="20" t="inlineStr">
        <is>
          <t>KL43P6758</t>
        </is>
      </c>
      <c r="E1885" s="20" t="inlineStr">
        <is>
          <t>RENAULT</t>
        </is>
      </c>
      <c r="F1885" s="20" t="inlineStr">
        <is>
          <t>Kiger</t>
        </is>
      </c>
      <c r="G1885" s="21" t="n"/>
      <c r="H1885" s="22" t="n">
        <v>23000</v>
      </c>
      <c r="I1885" s="23" t="n">
        <v>540000</v>
      </c>
      <c r="J1885" s="20" t="inlineStr">
        <is>
          <t>HASEENA</t>
        </is>
      </c>
      <c r="K1885" s="20" t="inlineStr">
        <is>
          <t>Non-Captive</t>
        </is>
      </c>
      <c r="L1885" s="20" t="inlineStr">
        <is>
          <t>UCD SANTHOSH</t>
        </is>
      </c>
      <c r="M1885" s="23" t="n">
        <v>8474.58</v>
      </c>
      <c r="N1885" s="23" t="n">
        <v>10000</v>
      </c>
      <c r="O1885" s="24">
        <f>IF(AND(ISNUMBER(M1885), ISNUMBER(I1885), I1885&gt;0), M1885/I1885, "")</f>
        <v/>
      </c>
    </row>
    <row r="1886">
      <c r="A1886" s="19" t="inlineStr">
        <is>
          <t>FY26</t>
        </is>
      </c>
      <c r="B1886" s="19" t="inlineStr">
        <is>
          <t>Mar</t>
        </is>
      </c>
      <c r="C1886" s="19" t="inlineStr">
        <is>
          <t>Kerala</t>
        </is>
      </c>
      <c r="D1886" s="20" t="inlineStr">
        <is>
          <t>KL56T4060</t>
        </is>
      </c>
      <c r="E1886" s="20" t="inlineStr">
        <is>
          <t>MARUTI SUZUKI</t>
        </is>
      </c>
      <c r="F1886" s="20" t="inlineStr">
        <is>
          <t>Baleno</t>
        </is>
      </c>
      <c r="G1886" s="21" t="n"/>
      <c r="H1886" s="22" t="n">
        <v>46000</v>
      </c>
      <c r="I1886" s="23" t="n">
        <v>470000</v>
      </c>
      <c r="J1886" s="20" t="inlineStr">
        <is>
          <t>SIRAJ K V</t>
        </is>
      </c>
      <c r="K1886" s="20" t="inlineStr">
        <is>
          <t>Non-Captive</t>
        </is>
      </c>
      <c r="L1886" s="20" t="inlineStr">
        <is>
          <t>KVR TATA</t>
        </is>
      </c>
      <c r="M1886" s="23" t="n">
        <v>8474.58</v>
      </c>
      <c r="N1886" s="23" t="n">
        <v>10000</v>
      </c>
      <c r="O1886" s="24">
        <f>IF(AND(ISNUMBER(M1886), ISNUMBER(I1886), I1886&gt;0), M1886/I1886, "")</f>
        <v/>
      </c>
    </row>
    <row r="1887">
      <c r="A1887" s="19" t="inlineStr">
        <is>
          <t>FY26</t>
        </is>
      </c>
      <c r="B1887" s="19" t="inlineStr">
        <is>
          <t>Mar</t>
        </is>
      </c>
      <c r="C1887" s="19" t="inlineStr">
        <is>
          <t>Kerala</t>
        </is>
      </c>
      <c r="D1887" s="20" t="inlineStr">
        <is>
          <t>KL11BX2700</t>
        </is>
      </c>
      <c r="E1887" s="20" t="inlineStr">
        <is>
          <t>NISSAN</t>
        </is>
      </c>
      <c r="F1887" s="20" t="inlineStr">
        <is>
          <t>Terrano</t>
        </is>
      </c>
      <c r="G1887" s="21" t="n"/>
      <c r="H1887" s="22" t="n">
        <v>88000</v>
      </c>
      <c r="I1887" s="23" t="n">
        <v>280000</v>
      </c>
      <c r="J1887" s="20" t="inlineStr">
        <is>
          <t>SANOOP</t>
        </is>
      </c>
      <c r="K1887" s="20" t="inlineStr">
        <is>
          <t>Non-Captive</t>
        </is>
      </c>
      <c r="L1887" s="20" t="inlineStr">
        <is>
          <t>HARIS</t>
        </is>
      </c>
      <c r="M1887" s="23" t="n">
        <v>8474.58</v>
      </c>
      <c r="N1887" s="23" t="n">
        <v>10000</v>
      </c>
      <c r="O1887" s="24">
        <f>IF(AND(ISNUMBER(M1887), ISNUMBER(I1887), I1887&gt;0), M1887/I1887, "")</f>
        <v/>
      </c>
    </row>
    <row r="1888">
      <c r="A1888" s="19" t="inlineStr">
        <is>
          <t>FY26</t>
        </is>
      </c>
      <c r="B1888" s="19" t="inlineStr">
        <is>
          <t>Mar</t>
        </is>
      </c>
      <c r="C1888" s="19" t="inlineStr">
        <is>
          <t>Kerala</t>
        </is>
      </c>
      <c r="D1888" s="20" t="inlineStr">
        <is>
          <t>KL57D8282</t>
        </is>
      </c>
      <c r="E1888" s="20" t="inlineStr">
        <is>
          <t>MARUTI SUZUKI</t>
        </is>
      </c>
      <c r="F1888" s="20" t="inlineStr">
        <is>
          <t>Ritz</t>
        </is>
      </c>
      <c r="G1888" s="21" t="n"/>
      <c r="H1888" s="22" t="n">
        <v>100000</v>
      </c>
      <c r="I1888" s="23" t="n">
        <v>80000</v>
      </c>
      <c r="J1888" s="20" t="inlineStr">
        <is>
          <t>PRAJOSH</t>
        </is>
      </c>
      <c r="K1888" s="20" t="inlineStr">
        <is>
          <t>Non-Captive</t>
        </is>
      </c>
      <c r="L1888" s="20" t="inlineStr">
        <is>
          <t>DKH KIA</t>
        </is>
      </c>
      <c r="M1888" s="23" t="n">
        <v>4237.29</v>
      </c>
      <c r="N1888" s="23" t="n">
        <v>5000</v>
      </c>
      <c r="O1888" s="24">
        <f>IF(AND(ISNUMBER(M1888), ISNUMBER(I1888), I1888&gt;0), M1888/I1888, "")</f>
        <v/>
      </c>
    </row>
    <row r="1889">
      <c r="A1889" s="19" t="inlineStr">
        <is>
          <t>FY26</t>
        </is>
      </c>
      <c r="B1889" s="19" t="inlineStr">
        <is>
          <t>Mar</t>
        </is>
      </c>
      <c r="C1889" s="19" t="inlineStr">
        <is>
          <t>Kerala</t>
        </is>
      </c>
      <c r="D1889" s="20" t="inlineStr">
        <is>
          <t>KL07DD6932</t>
        </is>
      </c>
      <c r="E1889" s="20" t="inlineStr">
        <is>
          <t>MAHINDRA</t>
        </is>
      </c>
      <c r="F1889" s="20" t="inlineStr">
        <is>
          <t>Optimo</t>
        </is>
      </c>
      <c r="G1889" s="21" t="n"/>
      <c r="H1889" s="22" t="n">
        <v>16000</v>
      </c>
      <c r="I1889" s="23" t="n">
        <v>900000</v>
      </c>
      <c r="J1889" s="20" t="inlineStr">
        <is>
          <t>MTBL</t>
        </is>
      </c>
      <c r="K1889" s="20" t="inlineStr">
        <is>
          <t>Non-Captive</t>
        </is>
      </c>
      <c r="L1889" s="20" t="inlineStr">
        <is>
          <t>GARUDA TRUCKS</t>
        </is>
      </c>
      <c r="M1889" s="23" t="n">
        <v>8474.58</v>
      </c>
      <c r="N1889" s="23" t="n">
        <v>10000</v>
      </c>
      <c r="O1889" s="24">
        <f>IF(AND(ISNUMBER(M1889), ISNUMBER(I1889), I1889&gt;0), M1889/I1889, "")</f>
        <v/>
      </c>
    </row>
    <row r="1890">
      <c r="A1890" s="19" t="inlineStr">
        <is>
          <t>FY26</t>
        </is>
      </c>
      <c r="B1890" s="19" t="inlineStr">
        <is>
          <t>Mar</t>
        </is>
      </c>
      <c r="C1890" s="19" t="inlineStr">
        <is>
          <t>Kerala</t>
        </is>
      </c>
      <c r="D1890" s="20" t="inlineStr">
        <is>
          <t>KL20F2154</t>
        </is>
      </c>
      <c r="E1890" s="20" t="inlineStr">
        <is>
          <t>CHEVROLET</t>
        </is>
      </c>
      <c r="F1890" s="20" t="inlineStr">
        <is>
          <t>Beat</t>
        </is>
      </c>
      <c r="G1890" s="21" t="n"/>
      <c r="H1890" s="22" t="n">
        <v>55800</v>
      </c>
      <c r="I1890" s="23" t="n">
        <v>70000</v>
      </c>
      <c r="J1890" s="20" t="inlineStr">
        <is>
          <t>LUXON TATA</t>
        </is>
      </c>
      <c r="K1890" s="20" t="inlineStr">
        <is>
          <t>Non-Captive</t>
        </is>
      </c>
      <c r="L1890" s="20" t="inlineStr">
        <is>
          <t>ABHISHEK</t>
        </is>
      </c>
      <c r="M1890" s="23" t="n">
        <v>5084.75</v>
      </c>
      <c r="N1890" s="23" t="n">
        <v>6000</v>
      </c>
      <c r="O1890" s="24">
        <f>IF(AND(ISNUMBER(M1890), ISNUMBER(I1890), I1890&gt;0), M1890/I1890, "")</f>
        <v/>
      </c>
    </row>
    <row r="1891">
      <c r="A1891" s="19" t="inlineStr">
        <is>
          <t>FY26</t>
        </is>
      </c>
      <c r="B1891" s="19" t="inlineStr">
        <is>
          <t>Mar</t>
        </is>
      </c>
      <c r="C1891" s="19" t="inlineStr">
        <is>
          <t>Kerala</t>
        </is>
      </c>
      <c r="D1891" s="20" t="inlineStr">
        <is>
          <t>KL58S9485</t>
        </is>
      </c>
      <c r="E1891" s="20" t="inlineStr">
        <is>
          <t>HYUNDAI</t>
        </is>
      </c>
      <c r="F1891" s="20" t="inlineStr">
        <is>
          <t>I10</t>
        </is>
      </c>
      <c r="G1891" s="21" t="n"/>
      <c r="H1891" s="22" t="n">
        <v>78000</v>
      </c>
      <c r="I1891" s="23" t="n">
        <v>230000</v>
      </c>
      <c r="J1891" s="20" t="inlineStr">
        <is>
          <t>KANNUR PLATINUM</t>
        </is>
      </c>
      <c r="K1891" s="20" t="inlineStr">
        <is>
          <t>Non-Captive</t>
        </is>
      </c>
      <c r="L1891" s="20" t="inlineStr">
        <is>
          <t>KVR TATA</t>
        </is>
      </c>
      <c r="M1891" s="23" t="n">
        <v>4237.29</v>
      </c>
      <c r="N1891" s="23" t="n">
        <v>5000</v>
      </c>
      <c r="O1891" s="24">
        <f>IF(AND(ISNUMBER(M1891), ISNUMBER(I1891), I1891&gt;0), M1891/I1891, "")</f>
        <v/>
      </c>
    </row>
    <row r="1892">
      <c r="A1892" s="19" t="inlineStr">
        <is>
          <t>FY26</t>
        </is>
      </c>
      <c r="B1892" s="19" t="inlineStr">
        <is>
          <t>Mar</t>
        </is>
      </c>
      <c r="C1892" s="19" t="inlineStr">
        <is>
          <t>Kerala</t>
        </is>
      </c>
      <c r="D1892" s="20" t="inlineStr">
        <is>
          <t>KL20J9239</t>
        </is>
      </c>
      <c r="E1892" s="20" t="inlineStr">
        <is>
          <t>HONDA</t>
        </is>
      </c>
      <c r="F1892" s="20" t="inlineStr">
        <is>
          <t>Jazz</t>
        </is>
      </c>
      <c r="G1892" s="21" t="n"/>
      <c r="H1892" s="22" t="n">
        <v>145000</v>
      </c>
      <c r="I1892" s="23" t="n">
        <v>240000</v>
      </c>
      <c r="J1892" s="20" t="inlineStr">
        <is>
          <t>POPULAR HYUNDAI</t>
        </is>
      </c>
      <c r="K1892" s="20" t="inlineStr">
        <is>
          <t>Non-Captive</t>
        </is>
      </c>
      <c r="L1892" s="20" t="inlineStr">
        <is>
          <t>ARAVIND</t>
        </is>
      </c>
      <c r="M1892" s="23" t="n">
        <v>5084.75</v>
      </c>
      <c r="N1892" s="23" t="n">
        <v>6000</v>
      </c>
      <c r="O1892" s="24">
        <f>IF(AND(ISNUMBER(M1892), ISNUMBER(I1892), I1892&gt;0), M1892/I1892, "")</f>
        <v/>
      </c>
    </row>
    <row r="1893">
      <c r="A1893" s="19" t="inlineStr">
        <is>
          <t>FY26</t>
        </is>
      </c>
      <c r="B1893" s="19" t="inlineStr">
        <is>
          <t>Mar</t>
        </is>
      </c>
      <c r="C1893" s="19" t="inlineStr">
        <is>
          <t>Kerala</t>
        </is>
      </c>
      <c r="D1893" s="20" t="inlineStr">
        <is>
          <t>KL43L0196</t>
        </is>
      </c>
      <c r="E1893" s="20" t="inlineStr">
        <is>
          <t>TOYOTA</t>
        </is>
      </c>
      <c r="F1893" s="20" t="inlineStr">
        <is>
          <t>Yaris</t>
        </is>
      </c>
      <c r="G1893" s="21" t="n"/>
      <c r="H1893" s="22" t="n">
        <v>52000</v>
      </c>
      <c r="I1893" s="23" t="n">
        <v>520000</v>
      </c>
      <c r="J1893" s="20" t="inlineStr">
        <is>
          <t>EVM CITROEN</t>
        </is>
      </c>
      <c r="K1893" s="20" t="inlineStr">
        <is>
          <t>Non-Captive</t>
        </is>
      </c>
      <c r="L1893" s="20" t="inlineStr">
        <is>
          <t>HAVEN MOTORS</t>
        </is>
      </c>
      <c r="M1893" s="23" t="n">
        <v>8474.58</v>
      </c>
      <c r="N1893" s="23" t="n">
        <v>10000</v>
      </c>
      <c r="O1893" s="24">
        <f>IF(AND(ISNUMBER(M1893), ISNUMBER(I1893), I1893&gt;0), M1893/I1893, "")</f>
        <v/>
      </c>
    </row>
    <row r="1894">
      <c r="A1894" s="19" t="inlineStr">
        <is>
          <t>FY26</t>
        </is>
      </c>
      <c r="B1894" s="19" t="inlineStr">
        <is>
          <t>Mar</t>
        </is>
      </c>
      <c r="C1894" s="19" t="inlineStr">
        <is>
          <t>Kerala</t>
        </is>
      </c>
      <c r="D1894" s="20" t="inlineStr">
        <is>
          <t>KL38J7590</t>
        </is>
      </c>
      <c r="E1894" s="20" t="inlineStr">
        <is>
          <t>HYUNDAI</t>
        </is>
      </c>
      <c r="F1894" s="20" t="inlineStr">
        <is>
          <t>I10</t>
        </is>
      </c>
      <c r="G1894" s="21" t="n"/>
      <c r="H1894" s="22" t="n">
        <v>70000</v>
      </c>
      <c r="I1894" s="23" t="n">
        <v>220000</v>
      </c>
      <c r="J1894" s="20" t="inlineStr">
        <is>
          <t>KANNUR PLATINUM</t>
        </is>
      </c>
      <c r="K1894" s="20" t="inlineStr">
        <is>
          <t>Non-Captive</t>
        </is>
      </c>
      <c r="L1894" s="20" t="inlineStr">
        <is>
          <t>ERAM MOTORS</t>
        </is>
      </c>
      <c r="M1894" s="23" t="n">
        <v>4237.29</v>
      </c>
      <c r="N1894" s="23" t="n">
        <v>5000</v>
      </c>
      <c r="O1894" s="24">
        <f>IF(AND(ISNUMBER(M1894), ISNUMBER(I1894), I1894&gt;0), M1894/I1894, "")</f>
        <v/>
      </c>
    </row>
    <row r="1895">
      <c r="A1895" s="19" t="inlineStr">
        <is>
          <t>FY26</t>
        </is>
      </c>
      <c r="B1895" s="19" t="inlineStr">
        <is>
          <t>Mar</t>
        </is>
      </c>
      <c r="C1895" s="19" t="inlineStr">
        <is>
          <t>Kerala</t>
        </is>
      </c>
      <c r="D1895" s="20" t="inlineStr">
        <is>
          <t>KL08BF2662</t>
        </is>
      </c>
      <c r="E1895" s="20" t="inlineStr">
        <is>
          <t>DATSUN</t>
        </is>
      </c>
      <c r="F1895" s="20" t="inlineStr">
        <is>
          <t>Go Plus</t>
        </is>
      </c>
      <c r="G1895" s="21" t="n"/>
      <c r="H1895" s="22" t="n">
        <v>74572</v>
      </c>
      <c r="I1895" s="23" t="n">
        <v>140000</v>
      </c>
      <c r="J1895" s="20" t="inlineStr">
        <is>
          <t>PINNACLE NISSAN</t>
        </is>
      </c>
      <c r="K1895" s="20" t="inlineStr">
        <is>
          <t>Non-Captive</t>
        </is>
      </c>
      <c r="L1895" s="20" t="inlineStr">
        <is>
          <t>UMESHKUMAR T U</t>
        </is>
      </c>
      <c r="M1895" s="23" t="n">
        <v>8474.58</v>
      </c>
      <c r="N1895" s="23" t="n">
        <v>10000</v>
      </c>
      <c r="O1895" s="24">
        <f>IF(AND(ISNUMBER(M1895), ISNUMBER(I1895), I1895&gt;0), M1895/I1895, "")</f>
        <v/>
      </c>
    </row>
    <row r="1896">
      <c r="A1896" s="19" t="inlineStr">
        <is>
          <t>FY26</t>
        </is>
      </c>
      <c r="B1896" s="19" t="inlineStr">
        <is>
          <t>Mar</t>
        </is>
      </c>
      <c r="C1896" s="19" t="inlineStr">
        <is>
          <t>Kerala</t>
        </is>
      </c>
      <c r="D1896" s="20" t="inlineStr">
        <is>
          <t>KL33G9508</t>
        </is>
      </c>
      <c r="E1896" s="20" t="inlineStr">
        <is>
          <t>MARUTI SUZUKI</t>
        </is>
      </c>
      <c r="F1896" s="20" t="inlineStr">
        <is>
          <t>Celerio</t>
        </is>
      </c>
      <c r="G1896" s="21" t="n"/>
      <c r="H1896" s="22" t="n">
        <v>161433</v>
      </c>
      <c r="I1896" s="23" t="n">
        <v>180000</v>
      </c>
      <c r="J1896" s="20" t="inlineStr">
        <is>
          <t>POPULAR MARUTI</t>
        </is>
      </c>
      <c r="K1896" s="20" t="inlineStr">
        <is>
          <t>Non-Captive</t>
        </is>
      </c>
      <c r="L1896" s="20" t="inlineStr">
        <is>
          <t>4 WHEEL DRIVE</t>
        </is>
      </c>
      <c r="M1896" s="23" t="n">
        <v>8474.58</v>
      </c>
      <c r="N1896" s="23" t="n">
        <v>10000</v>
      </c>
      <c r="O1896" s="24">
        <f>IF(AND(ISNUMBER(M1896), ISNUMBER(I1896), I1896&gt;0), M1896/I1896, "")</f>
        <v/>
      </c>
    </row>
    <row r="1897">
      <c r="A1897" s="19" t="inlineStr">
        <is>
          <t>FY26</t>
        </is>
      </c>
      <c r="B1897" s="19" t="inlineStr">
        <is>
          <t>Mar</t>
        </is>
      </c>
      <c r="C1897" s="19" t="inlineStr">
        <is>
          <t>Kerala</t>
        </is>
      </c>
      <c r="D1897" s="20" t="inlineStr">
        <is>
          <t>KL41M3068</t>
        </is>
      </c>
      <c r="E1897" s="20" t="inlineStr">
        <is>
          <t>MARUTI SUZUKI</t>
        </is>
      </c>
      <c r="F1897" s="20" t="inlineStr">
        <is>
          <t>Celerio</t>
        </is>
      </c>
      <c r="G1897" s="21" t="n"/>
      <c r="H1897" s="22" t="n">
        <v>81115</v>
      </c>
      <c r="I1897" s="23" t="n">
        <v>300000</v>
      </c>
      <c r="J1897" s="20" t="inlineStr">
        <is>
          <t>MAIJO MARUTI</t>
        </is>
      </c>
      <c r="K1897" s="20" t="inlineStr">
        <is>
          <t>Non-Captive</t>
        </is>
      </c>
      <c r="L1897" s="20" t="inlineStr">
        <is>
          <t>RAFEEK T A</t>
        </is>
      </c>
      <c r="M1897" s="23" t="n">
        <v>8474.58</v>
      </c>
      <c r="N1897" s="23" t="n">
        <v>10000</v>
      </c>
      <c r="O1897" s="24">
        <f>IF(AND(ISNUMBER(M1897), ISNUMBER(I1897), I1897&gt;0), M1897/I1897, "")</f>
        <v/>
      </c>
    </row>
    <row r="1898">
      <c r="A1898" s="19" t="inlineStr">
        <is>
          <t>FY26</t>
        </is>
      </c>
      <c r="B1898" s="19" t="inlineStr">
        <is>
          <t>Mar</t>
        </is>
      </c>
      <c r="C1898" s="19" t="inlineStr">
        <is>
          <t>Kerala</t>
        </is>
      </c>
      <c r="D1898" s="20" t="inlineStr">
        <is>
          <t>KL12H4422</t>
        </is>
      </c>
      <c r="E1898" s="20" t="inlineStr">
        <is>
          <t>HYUNDAI</t>
        </is>
      </c>
      <c r="F1898" s="20" t="inlineStr">
        <is>
          <t>Eon</t>
        </is>
      </c>
      <c r="G1898" s="21" t="n"/>
      <c r="H1898" s="22" t="n">
        <v>90000</v>
      </c>
      <c r="I1898" s="23" t="n">
        <v>120000</v>
      </c>
      <c r="J1898" s="20" t="inlineStr">
        <is>
          <t>VASIL</t>
        </is>
      </c>
      <c r="K1898" s="20" t="inlineStr">
        <is>
          <t>Non-Captive</t>
        </is>
      </c>
      <c r="L1898" s="20" t="inlineStr">
        <is>
          <t>AM MOTORS</t>
        </is>
      </c>
      <c r="M1898" s="23" t="n">
        <v>8474.58</v>
      </c>
      <c r="N1898" s="23" t="n">
        <v>10000</v>
      </c>
      <c r="O1898" s="24">
        <f>IF(AND(ISNUMBER(M1898), ISNUMBER(I1898), I1898&gt;0), M1898/I1898, "")</f>
        <v/>
      </c>
    </row>
    <row r="1899">
      <c r="A1899" s="19" t="inlineStr">
        <is>
          <t>FY26</t>
        </is>
      </c>
      <c r="B1899" s="19" t="inlineStr">
        <is>
          <t>Mar</t>
        </is>
      </c>
      <c r="C1899" s="19" t="inlineStr">
        <is>
          <t>Kerala</t>
        </is>
      </c>
      <c r="D1899" s="20" t="inlineStr">
        <is>
          <t>KL13AW6601</t>
        </is>
      </c>
      <c r="E1899" s="20" t="inlineStr">
        <is>
          <t>MARUTI SUZUKI</t>
        </is>
      </c>
      <c r="F1899" s="20" t="inlineStr">
        <is>
          <t>Baleno</t>
        </is>
      </c>
      <c r="G1899" s="21" t="n"/>
      <c r="H1899" s="22" t="n">
        <v>77890</v>
      </c>
      <c r="I1899" s="23" t="n">
        <v>350000</v>
      </c>
      <c r="J1899" s="20" t="inlineStr">
        <is>
          <t>PRAJOSH</t>
        </is>
      </c>
      <c r="K1899" s="20" t="inlineStr">
        <is>
          <t>Non-Captive</t>
        </is>
      </c>
      <c r="L1899" s="20" t="inlineStr">
        <is>
          <t>APCO HYUNDAI</t>
        </is>
      </c>
      <c r="M1899" s="23" t="n">
        <v>4237.29</v>
      </c>
      <c r="N1899" s="23" t="n">
        <v>5000</v>
      </c>
      <c r="O1899" s="24">
        <f>IF(AND(ISNUMBER(M1899), ISNUMBER(I1899), I1899&gt;0), M1899/I1899, "")</f>
        <v/>
      </c>
    </row>
    <row r="1900">
      <c r="A1900" s="19" t="inlineStr">
        <is>
          <t>FY26</t>
        </is>
      </c>
      <c r="B1900" s="19" t="inlineStr">
        <is>
          <t>Mar</t>
        </is>
      </c>
      <c r="C1900" s="19" t="inlineStr">
        <is>
          <t>Kerala</t>
        </is>
      </c>
      <c r="D1900" s="20" t="inlineStr">
        <is>
          <t>KL11AV2300</t>
        </is>
      </c>
      <c r="E1900" s="20" t="inlineStr">
        <is>
          <t>FORD</t>
        </is>
      </c>
      <c r="F1900" s="20" t="inlineStr">
        <is>
          <t>Ecosport</t>
        </is>
      </c>
      <c r="G1900" s="21" t="n"/>
      <c r="H1900" s="22" t="n">
        <v>120000</v>
      </c>
      <c r="I1900" s="23" t="n">
        <v>350000</v>
      </c>
      <c r="J1900" s="20" t="inlineStr">
        <is>
          <t>UNAISE</t>
        </is>
      </c>
      <c r="K1900" s="20" t="inlineStr">
        <is>
          <t>Non-Captive</t>
        </is>
      </c>
      <c r="L1900" s="20" t="inlineStr">
        <is>
          <t>BIMAL</t>
        </is>
      </c>
      <c r="M1900" s="23" t="n">
        <v>8474.58</v>
      </c>
      <c r="N1900" s="23" t="n">
        <v>10000</v>
      </c>
      <c r="O1900" s="24">
        <f>IF(AND(ISNUMBER(M1900), ISNUMBER(I1900), I1900&gt;0), M1900/I1900, "")</f>
        <v/>
      </c>
    </row>
    <row r="1901">
      <c r="A1901" s="19" t="inlineStr">
        <is>
          <t>FY26</t>
        </is>
      </c>
      <c r="B1901" s="19" t="inlineStr">
        <is>
          <t>Mar</t>
        </is>
      </c>
      <c r="C1901" s="19" t="inlineStr">
        <is>
          <t>Kerala</t>
        </is>
      </c>
      <c r="D1901" s="20" t="inlineStr">
        <is>
          <t>KL859348</t>
        </is>
      </c>
      <c r="E1901" s="20" t="inlineStr">
        <is>
          <t>RENAULT</t>
        </is>
      </c>
      <c r="F1901" s="20" t="inlineStr">
        <is>
          <t>Kiger</t>
        </is>
      </c>
      <c r="G1901" s="21" t="n"/>
      <c r="H1901" s="22" t="n">
        <v>46321</v>
      </c>
      <c r="I1901" s="23" t="n">
        <v>380000</v>
      </c>
      <c r="J1901" s="20" t="inlineStr">
        <is>
          <t>SANU</t>
        </is>
      </c>
      <c r="K1901" s="20" t="inlineStr">
        <is>
          <t>Non-Captive</t>
        </is>
      </c>
      <c r="L1901" s="20" t="inlineStr">
        <is>
          <t>EVM NISSAN</t>
        </is>
      </c>
      <c r="M1901" s="23" t="n">
        <v>8474.58</v>
      </c>
      <c r="N1901" s="23" t="n">
        <v>10000</v>
      </c>
      <c r="O1901" s="24">
        <f>IF(AND(ISNUMBER(M1901), ISNUMBER(I1901), I1901&gt;0), M1901/I1901, "")</f>
        <v/>
      </c>
    </row>
    <row r="1902">
      <c r="A1902" s="19" t="inlineStr">
        <is>
          <t>FY26</t>
        </is>
      </c>
      <c r="B1902" s="19" t="inlineStr">
        <is>
          <t>Mar</t>
        </is>
      </c>
      <c r="C1902" s="19" t="inlineStr">
        <is>
          <t>Kerala</t>
        </is>
      </c>
      <c r="D1902" s="20" t="inlineStr">
        <is>
          <t>KL07BN7180</t>
        </is>
      </c>
      <c r="E1902" s="20" t="inlineStr">
        <is>
          <t>MARUTI SUZUKI</t>
        </is>
      </c>
      <c r="F1902" s="20" t="inlineStr">
        <is>
          <t>Zen</t>
        </is>
      </c>
      <c r="G1902" s="21" t="n"/>
      <c r="H1902" s="22" t="n">
        <v>45303</v>
      </c>
      <c r="I1902" s="23" t="n">
        <v>50000</v>
      </c>
      <c r="J1902" s="20" t="inlineStr">
        <is>
          <t>POPULAR MARUTI</t>
        </is>
      </c>
      <c r="K1902" s="20" t="inlineStr">
        <is>
          <t>Non-Captive</t>
        </is>
      </c>
      <c r="L1902" s="20" t="inlineStr">
        <is>
          <t>HUSSAIN O E</t>
        </is>
      </c>
      <c r="M1902" s="23" t="n">
        <v>8474.58</v>
      </c>
      <c r="N1902" s="23" t="n">
        <v>10000</v>
      </c>
      <c r="O1902" s="24">
        <f>IF(AND(ISNUMBER(M1902), ISNUMBER(I1902), I1902&gt;0), M1902/I1902, "")</f>
        <v/>
      </c>
    </row>
    <row r="1903">
      <c r="A1903" s="19" t="inlineStr">
        <is>
          <t>FY26</t>
        </is>
      </c>
      <c r="B1903" s="19" t="inlineStr">
        <is>
          <t>Mar</t>
        </is>
      </c>
      <c r="C1903" s="19" t="inlineStr">
        <is>
          <t>Kerala</t>
        </is>
      </c>
      <c r="D1903" s="20" t="inlineStr">
        <is>
          <t>KL41Q3839</t>
        </is>
      </c>
      <c r="E1903" s="20" t="inlineStr">
        <is>
          <t>TOYOTA</t>
        </is>
      </c>
      <c r="F1903" s="20" t="inlineStr">
        <is>
          <t>Etios</t>
        </is>
      </c>
      <c r="G1903" s="21" t="n"/>
      <c r="H1903" s="22" t="n">
        <v>67011</v>
      </c>
      <c r="I1903" s="23" t="n">
        <v>440000</v>
      </c>
      <c r="J1903" s="20" t="inlineStr">
        <is>
          <t>EVM SKODA</t>
        </is>
      </c>
      <c r="K1903" s="20" t="inlineStr">
        <is>
          <t>Non-Captive</t>
        </is>
      </c>
      <c r="L1903" s="20" t="inlineStr">
        <is>
          <t>FABITH</t>
        </is>
      </c>
      <c r="M1903" s="23" t="n">
        <v>8474.58</v>
      </c>
      <c r="N1903" s="23" t="n">
        <v>10000</v>
      </c>
      <c r="O1903" s="24">
        <f>IF(AND(ISNUMBER(M1903), ISNUMBER(I1903), I1903&gt;0), M1903/I1903, "")</f>
        <v/>
      </c>
    </row>
    <row r="1904">
      <c r="A1904" s="19" t="inlineStr">
        <is>
          <t>FY26</t>
        </is>
      </c>
      <c r="B1904" s="19" t="inlineStr">
        <is>
          <t>Mar</t>
        </is>
      </c>
      <c r="C1904" s="19" t="inlineStr">
        <is>
          <t>Kerala</t>
        </is>
      </c>
      <c r="D1904" s="20" t="inlineStr">
        <is>
          <t>KL65F5035</t>
        </is>
      </c>
      <c r="E1904" s="20" t="inlineStr">
        <is>
          <t>MARUTI SUZUKI</t>
        </is>
      </c>
      <c r="F1904" s="20" t="inlineStr">
        <is>
          <t>Swift</t>
        </is>
      </c>
      <c r="G1904" s="21" t="n"/>
      <c r="H1904" s="22" t="n">
        <v>27708</v>
      </c>
      <c r="I1904" s="23" t="n">
        <v>290000</v>
      </c>
      <c r="J1904" s="20" t="inlineStr">
        <is>
          <t>RAYON JOY</t>
        </is>
      </c>
      <c r="K1904" s="20" t="inlineStr">
        <is>
          <t>Non-Captive</t>
        </is>
      </c>
      <c r="L1904" s="20" t="inlineStr">
        <is>
          <t>DKH KIA</t>
        </is>
      </c>
      <c r="M1904" s="23" t="n">
        <v>4237.29</v>
      </c>
      <c r="N1904" s="23" t="n">
        <v>5000</v>
      </c>
      <c r="O1904" s="24">
        <f>IF(AND(ISNUMBER(M1904), ISNUMBER(I1904), I1904&gt;0), M1904/I1904, "")</f>
        <v/>
      </c>
    </row>
    <row r="1905">
      <c r="A1905" s="19" t="inlineStr">
        <is>
          <t>FY26</t>
        </is>
      </c>
      <c r="B1905" s="19" t="inlineStr">
        <is>
          <t>Mar</t>
        </is>
      </c>
      <c r="C1905" s="19" t="inlineStr">
        <is>
          <t>Kerala</t>
        </is>
      </c>
      <c r="D1905" s="20" t="inlineStr">
        <is>
          <t>KL59E3031</t>
        </is>
      </c>
      <c r="E1905" s="20" t="inlineStr">
        <is>
          <t>MARUTI SUZUKI</t>
        </is>
      </c>
      <c r="F1905" s="20" t="inlineStr">
        <is>
          <t>Celerio</t>
        </is>
      </c>
      <c r="G1905" s="21" t="n"/>
      <c r="H1905" s="22" t="n">
        <v>35000</v>
      </c>
      <c r="I1905" s="23" t="n">
        <v>215000</v>
      </c>
      <c r="J1905" s="20" t="inlineStr">
        <is>
          <t>NIDEESH MOHAN</t>
        </is>
      </c>
      <c r="K1905" s="20" t="inlineStr">
        <is>
          <t>Non-Captive</t>
        </is>
      </c>
      <c r="L1905" s="20" t="inlineStr">
        <is>
          <t>BIMAL</t>
        </is>
      </c>
      <c r="M1905" s="23" t="n">
        <v>4237.29</v>
      </c>
      <c r="N1905" s="23" t="n">
        <v>5000</v>
      </c>
      <c r="O1905" s="24">
        <f>IF(AND(ISNUMBER(M1905), ISNUMBER(I1905), I1905&gt;0), M1905/I1905, "")</f>
        <v/>
      </c>
    </row>
    <row r="1906">
      <c r="A1906" s="19" t="inlineStr">
        <is>
          <t>FY26</t>
        </is>
      </c>
      <c r="B1906" s="19" t="inlineStr">
        <is>
          <t>Mar</t>
        </is>
      </c>
      <c r="C1906" s="19" t="inlineStr">
        <is>
          <t>Kerala</t>
        </is>
      </c>
      <c r="D1906" s="20" t="inlineStr">
        <is>
          <t>KL60V2537</t>
        </is>
      </c>
      <c r="E1906" s="20" t="inlineStr">
        <is>
          <t>TATA</t>
        </is>
      </c>
      <c r="F1906" s="20" t="inlineStr">
        <is>
          <t>Tiago</t>
        </is>
      </c>
      <c r="G1906" s="21" t="n"/>
      <c r="H1906" s="22" t="n">
        <v>27000</v>
      </c>
      <c r="I1906" s="23" t="n">
        <v>555000</v>
      </c>
      <c r="J1906" s="20" t="inlineStr">
        <is>
          <t>NIDEESH MOHAN</t>
        </is>
      </c>
      <c r="K1906" s="20" t="inlineStr">
        <is>
          <t>Non-Captive</t>
        </is>
      </c>
      <c r="L1906" s="20" t="inlineStr">
        <is>
          <t>KVR TATA</t>
        </is>
      </c>
      <c r="M1906" s="23" t="n">
        <v>4237.29</v>
      </c>
      <c r="N1906" s="23" t="n">
        <v>5000</v>
      </c>
      <c r="O1906" s="24">
        <f>IF(AND(ISNUMBER(M1906), ISNUMBER(I1906), I1906&gt;0), M1906/I1906, "")</f>
        <v/>
      </c>
    </row>
    <row r="1907">
      <c r="A1907" s="19" t="inlineStr">
        <is>
          <t>FY26</t>
        </is>
      </c>
      <c r="B1907" s="19" t="inlineStr">
        <is>
          <t>Mar</t>
        </is>
      </c>
      <c r="C1907" s="19" t="inlineStr">
        <is>
          <t>Kerala</t>
        </is>
      </c>
      <c r="D1907" s="20" t="inlineStr">
        <is>
          <t>KL57K6370</t>
        </is>
      </c>
      <c r="E1907" s="20" t="inlineStr">
        <is>
          <t>HYUNDAI</t>
        </is>
      </c>
      <c r="F1907" s="20" t="inlineStr">
        <is>
          <t>Xcent</t>
        </is>
      </c>
      <c r="G1907" s="21" t="n"/>
      <c r="H1907" s="22" t="n">
        <v>75000</v>
      </c>
      <c r="I1907" s="23" t="n">
        <v>335000</v>
      </c>
      <c r="J1907" s="20" t="inlineStr">
        <is>
          <t>AUTOBOT</t>
        </is>
      </c>
      <c r="K1907" s="20" t="inlineStr">
        <is>
          <t>Non-Captive</t>
        </is>
      </c>
      <c r="L1907" s="20" t="inlineStr">
        <is>
          <t>ERAM MAHINDRA</t>
        </is>
      </c>
      <c r="M1907" s="23" t="n">
        <v>4237.29</v>
      </c>
      <c r="N1907" s="23" t="n">
        <v>5000</v>
      </c>
      <c r="O1907" s="24">
        <f>IF(AND(ISNUMBER(M1907), ISNUMBER(I1907), I1907&gt;0), M1907/I1907, "")</f>
        <v/>
      </c>
    </row>
    <row r="1908">
      <c r="A1908" s="19" t="inlineStr">
        <is>
          <t>FY26</t>
        </is>
      </c>
      <c r="B1908" s="19" t="inlineStr">
        <is>
          <t>Mar</t>
        </is>
      </c>
      <c r="C1908" s="19" t="inlineStr">
        <is>
          <t>Kerala</t>
        </is>
      </c>
      <c r="D1908" s="20" t="inlineStr">
        <is>
          <t>KL59B8094</t>
        </is>
      </c>
      <c r="E1908" s="20" t="inlineStr">
        <is>
          <t>MAHINDRA</t>
        </is>
      </c>
      <c r="F1908" s="20" t="inlineStr">
        <is>
          <t>Bolero</t>
        </is>
      </c>
      <c r="G1908" s="21" t="n"/>
      <c r="H1908" s="22" t="n">
        <v>136000</v>
      </c>
      <c r="I1908" s="23" t="n">
        <v>125000</v>
      </c>
      <c r="J1908" s="20" t="inlineStr">
        <is>
          <t>SARITH</t>
        </is>
      </c>
      <c r="K1908" s="20" t="inlineStr">
        <is>
          <t>Non-Captive</t>
        </is>
      </c>
      <c r="L1908" s="20" t="inlineStr">
        <is>
          <t>BIMAL</t>
        </is>
      </c>
      <c r="M1908" s="23" t="n">
        <v>4237.29</v>
      </c>
      <c r="N1908" s="23" t="n">
        <v>5000</v>
      </c>
      <c r="O1908" s="24">
        <f>IF(AND(ISNUMBER(M1908), ISNUMBER(I1908), I1908&gt;0), M1908/I1908, "")</f>
        <v/>
      </c>
    </row>
    <row r="1909">
      <c r="A1909" s="19" t="inlineStr">
        <is>
          <t>FY26</t>
        </is>
      </c>
      <c r="B1909" s="19" t="inlineStr">
        <is>
          <t>Mar</t>
        </is>
      </c>
      <c r="C1909" s="19" t="inlineStr">
        <is>
          <t>Kerala</t>
        </is>
      </c>
      <c r="D1909" s="20" t="inlineStr">
        <is>
          <t>KL65B2399</t>
        </is>
      </c>
      <c r="E1909" s="20" t="inlineStr">
        <is>
          <t>HYUNDAI</t>
        </is>
      </c>
      <c r="F1909" s="20" t="inlineStr">
        <is>
          <t>Eon</t>
        </is>
      </c>
      <c r="G1909" s="21" t="n"/>
      <c r="H1909" s="22" t="n">
        <v>198000</v>
      </c>
      <c r="I1909" s="23" t="n">
        <v>60000</v>
      </c>
      <c r="J1909" s="20" t="inlineStr">
        <is>
          <t>RAYON JOY</t>
        </is>
      </c>
      <c r="K1909" s="20" t="inlineStr">
        <is>
          <t>Non-Captive</t>
        </is>
      </c>
      <c r="L1909" s="20" t="inlineStr">
        <is>
          <t>ROTANA TATA</t>
        </is>
      </c>
      <c r="M1909" s="23" t="n">
        <v>4237.29</v>
      </c>
      <c r="N1909" s="23" t="n">
        <v>5000</v>
      </c>
      <c r="O1909" s="24">
        <f>IF(AND(ISNUMBER(M1909), ISNUMBER(I1909), I1909&gt;0), M1909/I1909, "")</f>
        <v/>
      </c>
    </row>
    <row r="1910">
      <c r="A1910" s="19" t="inlineStr">
        <is>
          <t>FY27</t>
        </is>
      </c>
      <c r="B1910" s="19" t="inlineStr">
        <is>
          <t>Apr</t>
        </is>
      </c>
      <c r="C1910" s="19" t="inlineStr">
        <is>
          <t>Kerala</t>
        </is>
      </c>
      <c r="D1910" s="20" t="inlineStr">
        <is>
          <t>KL59T9455</t>
        </is>
      </c>
      <c r="E1910" s="20" t="inlineStr">
        <is>
          <t>MAHINDRA</t>
        </is>
      </c>
      <c r="F1910" s="20" t="inlineStr">
        <is>
          <t>Xuv300</t>
        </is>
      </c>
      <c r="G1910" s="21" t="n">
        <v>2019</v>
      </c>
      <c r="H1910" s="22" t="n">
        <v>99000</v>
      </c>
      <c r="I1910" s="23" t="n">
        <v>565000</v>
      </c>
      <c r="J1910" s="20" t="inlineStr">
        <is>
          <t>SIRAJ</t>
        </is>
      </c>
      <c r="K1910" s="20" t="inlineStr">
        <is>
          <t>Non-Captive</t>
        </is>
      </c>
      <c r="L1910" s="20" t="inlineStr">
        <is>
          <t>ERAM MAHINDRA</t>
        </is>
      </c>
      <c r="M1910" s="23" t="n">
        <v>8474.58</v>
      </c>
      <c r="N1910" s="23" t="n">
        <v>10000</v>
      </c>
      <c r="O1910" s="24">
        <f>IF(AND(ISNUMBER(M1910), ISNUMBER(I1910), I1910&gt;0), M1910/I1910, "")</f>
        <v/>
      </c>
    </row>
    <row r="1911">
      <c r="A1911" s="19" t="inlineStr">
        <is>
          <t>FY27</t>
        </is>
      </c>
      <c r="B1911" s="19" t="inlineStr">
        <is>
          <t>Apr</t>
        </is>
      </c>
      <c r="C1911" s="19" t="inlineStr">
        <is>
          <t>Kerala</t>
        </is>
      </c>
      <c r="D1911" s="20" t="inlineStr">
        <is>
          <t>KL59L2150</t>
        </is>
      </c>
      <c r="E1911" s="20" t="inlineStr">
        <is>
          <t>HYUNDAI</t>
        </is>
      </c>
      <c r="F1911" s="20" t="inlineStr">
        <is>
          <t>Grand I10</t>
        </is>
      </c>
      <c r="G1911" s="21" t="n">
        <v>2015</v>
      </c>
      <c r="H1911" s="22" t="n">
        <v>70000</v>
      </c>
      <c r="I1911" s="23" t="n">
        <v>260000</v>
      </c>
      <c r="J1911" s="20" t="inlineStr">
        <is>
          <t>SIRAJ</t>
        </is>
      </c>
      <c r="K1911" s="20" t="inlineStr">
        <is>
          <t>Non-Captive</t>
        </is>
      </c>
      <c r="L1911" s="20" t="inlineStr">
        <is>
          <t>ERAM MAHINDRA</t>
        </is>
      </c>
      <c r="M1911" s="23" t="n">
        <v>8474.58</v>
      </c>
      <c r="N1911" s="23" t="n">
        <v>10000</v>
      </c>
      <c r="O1911" s="24">
        <f>IF(AND(ISNUMBER(M1911), ISNUMBER(I1911), I1911&gt;0), M1911/I1911, "")</f>
        <v/>
      </c>
    </row>
    <row r="1912">
      <c r="A1912" s="19" t="inlineStr">
        <is>
          <t>FY27</t>
        </is>
      </c>
      <c r="B1912" s="19" t="inlineStr">
        <is>
          <t>Apr</t>
        </is>
      </c>
      <c r="C1912" s="19" t="inlineStr">
        <is>
          <t>Kerala</t>
        </is>
      </c>
      <c r="D1912" s="20" t="inlineStr">
        <is>
          <t>KL13X8740</t>
        </is>
      </c>
      <c r="E1912" s="20" t="inlineStr">
        <is>
          <t>MARUTI SUZUKI</t>
        </is>
      </c>
      <c r="F1912" s="20" t="inlineStr">
        <is>
          <t>Alto</t>
        </is>
      </c>
      <c r="G1912" s="21" t="n">
        <v>2012</v>
      </c>
      <c r="H1912" s="22" t="n">
        <v>110000</v>
      </c>
      <c r="I1912" s="23" t="n">
        <v>100000</v>
      </c>
      <c r="J1912" s="20" t="inlineStr">
        <is>
          <t>RATHEESH</t>
        </is>
      </c>
      <c r="K1912" s="20" t="inlineStr">
        <is>
          <t>Non-Captive</t>
        </is>
      </c>
      <c r="L1912" s="20" t="inlineStr">
        <is>
          <t>MARVEL CARS</t>
        </is>
      </c>
      <c r="M1912" s="23" t="n">
        <v>4237.29</v>
      </c>
      <c r="N1912" s="23" t="n">
        <v>5000</v>
      </c>
      <c r="O1912" s="24">
        <f>IF(AND(ISNUMBER(M1912), ISNUMBER(I1912), I1912&gt;0), M1912/I1912, "")</f>
        <v/>
      </c>
    </row>
    <row r="1913">
      <c r="A1913" s="19" t="inlineStr">
        <is>
          <t>FY27</t>
        </is>
      </c>
      <c r="B1913" s="19" t="inlineStr">
        <is>
          <t>Apr</t>
        </is>
      </c>
      <c r="C1913" s="19" t="inlineStr">
        <is>
          <t>Kerala</t>
        </is>
      </c>
      <c r="D1913" s="20" t="inlineStr">
        <is>
          <t>KL10AK8334</t>
        </is>
      </c>
      <c r="E1913" s="20" t="inlineStr">
        <is>
          <t>HYUNDAI</t>
        </is>
      </c>
      <c r="F1913" s="20" t="inlineStr">
        <is>
          <t>Verna</t>
        </is>
      </c>
      <c r="G1913" s="21" t="n">
        <v>2012</v>
      </c>
      <c r="H1913" s="22" t="n">
        <v>100000</v>
      </c>
      <c r="I1913" s="23" t="n">
        <v>310000</v>
      </c>
      <c r="J1913" s="20" t="inlineStr">
        <is>
          <t>BIRAJU RAJ</t>
        </is>
      </c>
      <c r="K1913" s="20" t="inlineStr">
        <is>
          <t>Non-Captive</t>
        </is>
      </c>
      <c r="L1913" s="20" t="inlineStr">
        <is>
          <t>UCD ASOKAN</t>
        </is>
      </c>
      <c r="M1913" s="23" t="n">
        <v>4237.29</v>
      </c>
      <c r="N1913" s="23" t="n">
        <v>5000</v>
      </c>
      <c r="O1913" s="24">
        <f>IF(AND(ISNUMBER(M1913), ISNUMBER(I1913), I1913&gt;0), M1913/I1913, "")</f>
        <v/>
      </c>
    </row>
    <row r="1914">
      <c r="A1914" s="19" t="inlineStr">
        <is>
          <t>FY27</t>
        </is>
      </c>
      <c r="B1914" s="19" t="inlineStr">
        <is>
          <t>Apr</t>
        </is>
      </c>
      <c r="C1914" s="19" t="inlineStr">
        <is>
          <t>Kerala</t>
        </is>
      </c>
      <c r="D1914" s="20" t="inlineStr">
        <is>
          <t>KL60U3962</t>
        </is>
      </c>
      <c r="E1914" s="20" t="inlineStr">
        <is>
          <t>MARUTI SUZUKI</t>
        </is>
      </c>
      <c r="F1914" s="20" t="inlineStr">
        <is>
          <t>Ignis</t>
        </is>
      </c>
      <c r="G1914" s="21" t="n">
        <v>2022</v>
      </c>
      <c r="H1914" s="22" t="n">
        <v>55000</v>
      </c>
      <c r="I1914" s="23" t="n">
        <v>513000</v>
      </c>
      <c r="J1914" s="20" t="inlineStr">
        <is>
          <t>PRAJOSH</t>
        </is>
      </c>
      <c r="K1914" s="20" t="inlineStr">
        <is>
          <t>Non-Captive</t>
        </is>
      </c>
      <c r="L1914" s="20" t="inlineStr">
        <is>
          <t>APCO HYUNDAI</t>
        </is>
      </c>
      <c r="M1914" s="23" t="n">
        <v>5932.2</v>
      </c>
      <c r="N1914" s="23" t="n">
        <v>7000</v>
      </c>
      <c r="O1914" s="24">
        <f>IF(AND(ISNUMBER(M1914), ISNUMBER(I1914), I1914&gt;0), M1914/I1914, "")</f>
        <v/>
      </c>
    </row>
    <row r="1915">
      <c r="A1915" s="19" t="inlineStr">
        <is>
          <t>FY27</t>
        </is>
      </c>
      <c r="B1915" s="19" t="inlineStr">
        <is>
          <t>Apr</t>
        </is>
      </c>
      <c r="C1915" s="19" t="inlineStr">
        <is>
          <t>Kerala</t>
        </is>
      </c>
      <c r="D1915" s="20" t="inlineStr">
        <is>
          <t>KL55AG8352</t>
        </is>
      </c>
      <c r="E1915" s="20" t="inlineStr">
        <is>
          <t>MARUTI SUZUKI</t>
        </is>
      </c>
      <c r="F1915" s="20" t="inlineStr">
        <is>
          <t>Ciaz</t>
        </is>
      </c>
      <c r="G1915" s="21" t="n">
        <v>2017</v>
      </c>
      <c r="H1915" s="22" t="n">
        <v>100600</v>
      </c>
      <c r="I1915" s="23" t="n">
        <v>350000</v>
      </c>
      <c r="J1915" s="20" t="inlineStr">
        <is>
          <t>MAHESH</t>
        </is>
      </c>
      <c r="K1915" s="20" t="inlineStr">
        <is>
          <t>Non-Captive</t>
        </is>
      </c>
      <c r="L1915" s="20" t="inlineStr">
        <is>
          <t>SHIVAN MAXX MOTORS</t>
        </is>
      </c>
      <c r="M1915" s="23" t="n">
        <v>8474.58</v>
      </c>
      <c r="N1915" s="23" t="n">
        <v>10000</v>
      </c>
      <c r="O1915" s="24">
        <f>IF(AND(ISNUMBER(M1915), ISNUMBER(I1915), I1915&gt;0), M1915/I1915, "")</f>
        <v/>
      </c>
    </row>
    <row r="1916">
      <c r="A1916" s="19" t="inlineStr">
        <is>
          <t>FY27</t>
        </is>
      </c>
      <c r="B1916" s="19" t="inlineStr">
        <is>
          <t>Apr</t>
        </is>
      </c>
      <c r="C1916" s="19" t="inlineStr">
        <is>
          <t>Kerala</t>
        </is>
      </c>
      <c r="D1916" s="20" t="inlineStr">
        <is>
          <t>KL01BR4041</t>
        </is>
      </c>
      <c r="E1916" s="20" t="inlineStr">
        <is>
          <t>HYUNDAI</t>
        </is>
      </c>
      <c r="F1916" s="20" t="inlineStr">
        <is>
          <t>Accent</t>
        </is>
      </c>
      <c r="G1916" s="21" t="n">
        <v>2014</v>
      </c>
      <c r="H1916" s="22" t="n">
        <v>98900</v>
      </c>
      <c r="I1916" s="23" t="n">
        <v>240000</v>
      </c>
      <c r="J1916" s="20" t="inlineStr">
        <is>
          <t>PRAJOD</t>
        </is>
      </c>
      <c r="K1916" s="20" t="inlineStr">
        <is>
          <t>Non-Captive</t>
        </is>
      </c>
      <c r="L1916" s="20" t="inlineStr">
        <is>
          <t>KAIRALI TOYOTA</t>
        </is>
      </c>
      <c r="M1916" s="23" t="n">
        <v>8474.58</v>
      </c>
      <c r="N1916" s="23" t="n">
        <v>10000</v>
      </c>
      <c r="O1916" s="24">
        <f>IF(AND(ISNUMBER(M1916), ISNUMBER(I1916), I1916&gt;0), M1916/I1916, "")</f>
        <v/>
      </c>
    </row>
    <row r="1917">
      <c r="A1917" s="19" t="inlineStr">
        <is>
          <t>FY27</t>
        </is>
      </c>
      <c r="B1917" s="19" t="inlineStr">
        <is>
          <t>Apr</t>
        </is>
      </c>
      <c r="C1917" s="19" t="inlineStr">
        <is>
          <t>Kerala</t>
        </is>
      </c>
      <c r="D1917" s="20" t="inlineStr">
        <is>
          <t>KL01AT4014</t>
        </is>
      </c>
      <c r="E1917" s="20" t="inlineStr">
        <is>
          <t>HYUNDAI</t>
        </is>
      </c>
      <c r="F1917" s="20" t="inlineStr">
        <is>
          <t>Santro</t>
        </is>
      </c>
      <c r="G1917" s="21" t="n">
        <v>2008</v>
      </c>
      <c r="H1917" s="22" t="n">
        <v>90000</v>
      </c>
      <c r="I1917" s="23" t="n">
        <v>40000</v>
      </c>
      <c r="J1917" s="20" t="inlineStr">
        <is>
          <t>ABHISHEK</t>
        </is>
      </c>
      <c r="K1917" s="20" t="inlineStr">
        <is>
          <t>Non-Captive</t>
        </is>
      </c>
      <c r="L1917" s="20" t="inlineStr">
        <is>
          <t>TRIVANDRUM MOTORS</t>
        </is>
      </c>
      <c r="M1917" s="23" t="n">
        <v>5932.2</v>
      </c>
      <c r="N1917" s="23" t="n">
        <v>7000</v>
      </c>
      <c r="O1917" s="24">
        <f>IF(AND(ISNUMBER(M1917), ISNUMBER(I1917), I1917&gt;0), M1917/I1917, "")</f>
        <v/>
      </c>
    </row>
    <row r="1918">
      <c r="A1918" s="19" t="inlineStr">
        <is>
          <t>FY27</t>
        </is>
      </c>
      <c r="B1918" s="19" t="inlineStr">
        <is>
          <t>Apr</t>
        </is>
      </c>
      <c r="C1918" s="19" t="inlineStr">
        <is>
          <t>Kerala</t>
        </is>
      </c>
      <c r="D1918" s="20" t="inlineStr">
        <is>
          <t>KL02AR3312</t>
        </is>
      </c>
      <c r="E1918" s="20" t="inlineStr">
        <is>
          <t>HYUNDAI</t>
        </is>
      </c>
      <c r="F1918" s="20" t="inlineStr">
        <is>
          <t>I20</t>
        </is>
      </c>
      <c r="G1918" s="21" t="n">
        <v>2014</v>
      </c>
      <c r="H1918" s="22" t="n">
        <v>68000</v>
      </c>
      <c r="I1918" s="23" t="n">
        <v>320000</v>
      </c>
      <c r="J1918" s="20" t="inlineStr">
        <is>
          <t>MUHANNED NASIM</t>
        </is>
      </c>
      <c r="K1918" s="20" t="inlineStr">
        <is>
          <t>Non-Captive</t>
        </is>
      </c>
      <c r="L1918" s="20" t="inlineStr">
        <is>
          <t>SHIBU BABU</t>
        </is>
      </c>
      <c r="M1918" s="23" t="n">
        <v>6779.66</v>
      </c>
      <c r="N1918" s="23" t="n">
        <v>8000</v>
      </c>
      <c r="O1918" s="24">
        <f>IF(AND(ISNUMBER(M1918), ISNUMBER(I1918), I1918&gt;0), M1918/I1918, "")</f>
        <v/>
      </c>
    </row>
    <row r="1919">
      <c r="A1919" s="19" t="inlineStr">
        <is>
          <t>FY27</t>
        </is>
      </c>
      <c r="B1919" s="19" t="inlineStr">
        <is>
          <t>Apr</t>
        </is>
      </c>
      <c r="C1919" s="19" t="inlineStr">
        <is>
          <t>Kerala</t>
        </is>
      </c>
      <c r="D1919" s="20" t="inlineStr">
        <is>
          <t>KL05Z1771</t>
        </is>
      </c>
      <c r="E1919" s="20" t="inlineStr">
        <is>
          <t>MARUTI SUZUKI</t>
        </is>
      </c>
      <c r="F1919" s="20" t="inlineStr">
        <is>
          <t>Swift</t>
        </is>
      </c>
      <c r="G1919" s="21" t="n"/>
      <c r="H1919" s="22" t="n">
        <v>184594</v>
      </c>
      <c r="I1919" s="23" t="n">
        <v>113500</v>
      </c>
      <c r="J1919" s="20" t="inlineStr">
        <is>
          <t>POPULAR MARUTI</t>
        </is>
      </c>
      <c r="K1919" s="20" t="inlineStr">
        <is>
          <t>Non-Captive</t>
        </is>
      </c>
      <c r="L1919" s="20" t="inlineStr">
        <is>
          <t>RAFEEK T A</t>
        </is>
      </c>
      <c r="M1919" s="23" t="n">
        <v>8474.58</v>
      </c>
      <c r="N1919" s="23" t="n">
        <v>10000</v>
      </c>
      <c r="O1919" s="24">
        <f>IF(AND(ISNUMBER(M1919), ISNUMBER(I1919), I1919&gt;0), M1919/I1919, "")</f>
        <v/>
      </c>
    </row>
    <row r="1920">
      <c r="A1920" s="19" t="inlineStr">
        <is>
          <t>FY27</t>
        </is>
      </c>
      <c r="B1920" s="19" t="inlineStr">
        <is>
          <t>Apr</t>
        </is>
      </c>
      <c r="C1920" s="19" t="inlineStr">
        <is>
          <t>Kerala</t>
        </is>
      </c>
      <c r="D1920" s="20" t="inlineStr">
        <is>
          <t>KL07CA6996</t>
        </is>
      </c>
      <c r="E1920" s="20" t="inlineStr">
        <is>
          <t>RENAULT</t>
        </is>
      </c>
      <c r="F1920" s="20" t="inlineStr">
        <is>
          <t>Scala</t>
        </is>
      </c>
      <c r="G1920" s="21" t="n"/>
      <c r="H1920" s="22" t="n">
        <v>70800</v>
      </c>
      <c r="I1920" s="23" t="n">
        <v>210000</v>
      </c>
      <c r="J1920" s="20" t="inlineStr">
        <is>
          <t>EVM CITROEN</t>
        </is>
      </c>
      <c r="K1920" s="20" t="inlineStr">
        <is>
          <t>Non-Captive</t>
        </is>
      </c>
      <c r="L1920" s="20" t="inlineStr">
        <is>
          <t>VISHNU M S</t>
        </is>
      </c>
      <c r="M1920" s="23" t="n">
        <v>8474.58</v>
      </c>
      <c r="N1920" s="23" t="n">
        <v>10000</v>
      </c>
      <c r="O1920" s="24">
        <f>IF(AND(ISNUMBER(M1920), ISNUMBER(I1920), I1920&gt;0), M1920/I1920, "")</f>
        <v/>
      </c>
    </row>
    <row r="1921">
      <c r="A1921" s="19" t="inlineStr">
        <is>
          <t>FY27</t>
        </is>
      </c>
      <c r="B1921" s="19" t="inlineStr">
        <is>
          <t>Apr</t>
        </is>
      </c>
      <c r="C1921" s="19" t="inlineStr">
        <is>
          <t>Kerala</t>
        </is>
      </c>
      <c r="D1921" s="20" t="inlineStr">
        <is>
          <t>KL759366</t>
        </is>
      </c>
      <c r="E1921" s="20" t="inlineStr">
        <is>
          <t>FORD</t>
        </is>
      </c>
      <c r="F1921" s="20" t="inlineStr">
        <is>
          <t>Ecosport</t>
        </is>
      </c>
      <c r="G1921" s="21" t="n"/>
      <c r="H1921" s="22" t="n">
        <v>30500</v>
      </c>
      <c r="I1921" s="23" t="n">
        <v>645000</v>
      </c>
      <c r="J1921" s="20" t="inlineStr">
        <is>
          <t>JOHNS HONDA CARS</t>
        </is>
      </c>
      <c r="K1921" s="20" t="inlineStr">
        <is>
          <t>Non-Captive</t>
        </is>
      </c>
      <c r="L1921" s="20" t="inlineStr">
        <is>
          <t>HAVEN MOTORS</t>
        </is>
      </c>
      <c r="M1921" s="23" t="n">
        <v>8474.58</v>
      </c>
      <c r="N1921" s="23" t="n">
        <v>10000</v>
      </c>
      <c r="O1921" s="24">
        <f>IF(AND(ISNUMBER(M1921), ISNUMBER(I1921), I1921&gt;0), M1921/I1921, "")</f>
        <v/>
      </c>
    </row>
    <row r="1922">
      <c r="A1922" s="19" t="inlineStr">
        <is>
          <t>FY27</t>
        </is>
      </c>
      <c r="B1922" s="19" t="inlineStr">
        <is>
          <t>Apr</t>
        </is>
      </c>
      <c r="C1922" s="19" t="inlineStr">
        <is>
          <t>Kerala</t>
        </is>
      </c>
      <c r="D1922" s="20" t="inlineStr">
        <is>
          <t>KL07CR9102</t>
        </is>
      </c>
      <c r="E1922" s="20" t="inlineStr">
        <is>
          <t>HONDA</t>
        </is>
      </c>
      <c r="F1922" s="20" t="inlineStr">
        <is>
          <t>Amaze</t>
        </is>
      </c>
      <c r="G1922" s="21" t="n"/>
      <c r="H1922" s="22" t="n">
        <v>61297</v>
      </c>
      <c r="I1922" s="23" t="n">
        <v>410000</v>
      </c>
      <c r="J1922" s="20" t="inlineStr">
        <is>
          <t>POPULAR MARUTI</t>
        </is>
      </c>
      <c r="K1922" s="20" t="inlineStr">
        <is>
          <t>Non-Captive</t>
        </is>
      </c>
      <c r="L1922" s="20" t="inlineStr">
        <is>
          <t>CARNIVAL CARS</t>
        </is>
      </c>
      <c r="M1922" s="23" t="n">
        <v>8474.58</v>
      </c>
      <c r="N1922" s="23" t="n">
        <v>10000</v>
      </c>
      <c r="O1922" s="24">
        <f>IF(AND(ISNUMBER(M1922), ISNUMBER(I1922), I1922&gt;0), M1922/I1922, "")</f>
        <v/>
      </c>
    </row>
    <row r="1923">
      <c r="A1923" s="19" t="inlineStr">
        <is>
          <t>FY27</t>
        </is>
      </c>
      <c r="B1923" s="19" t="inlineStr">
        <is>
          <t>Apr</t>
        </is>
      </c>
      <c r="C1923" s="19" t="inlineStr">
        <is>
          <t>Kerala</t>
        </is>
      </c>
      <c r="D1923" s="20" t="inlineStr">
        <is>
          <t>KL75E2054</t>
        </is>
      </c>
      <c r="E1923" s="20" t="inlineStr">
        <is>
          <t>MARUTI SUZUKI</t>
        </is>
      </c>
      <c r="F1923" s="20" t="inlineStr">
        <is>
          <t>Jimny</t>
        </is>
      </c>
      <c r="G1923" s="21" t="n"/>
      <c r="H1923" s="22" t="n">
        <v>14000</v>
      </c>
      <c r="I1923" s="23" t="n">
        <v>940000</v>
      </c>
      <c r="J1923" s="20" t="inlineStr">
        <is>
          <t>POPULAR MARUTI</t>
        </is>
      </c>
      <c r="K1923" s="20" t="inlineStr">
        <is>
          <t>Non-Captive</t>
        </is>
      </c>
      <c r="L1923" s="20" t="inlineStr">
        <is>
          <t>KAPS CARS</t>
        </is>
      </c>
      <c r="M1923" s="23" t="n">
        <v>8474.58</v>
      </c>
      <c r="N1923" s="23" t="n">
        <v>10000</v>
      </c>
      <c r="O1923" s="24">
        <f>IF(AND(ISNUMBER(M1923), ISNUMBER(I1923), I1923&gt;0), M1923/I1923, "")</f>
        <v/>
      </c>
    </row>
    <row r="1924">
      <c r="A1924" s="19" t="inlineStr">
        <is>
          <t>FY27</t>
        </is>
      </c>
      <c r="B1924" s="19" t="inlineStr">
        <is>
          <t>Apr</t>
        </is>
      </c>
      <c r="C1924" s="19" t="inlineStr">
        <is>
          <t>Kerala</t>
        </is>
      </c>
      <c r="D1924" s="20" t="inlineStr">
        <is>
          <t>KL23L9292</t>
        </is>
      </c>
      <c r="E1924" s="20" t="inlineStr">
        <is>
          <t>MARUTI SUZUKI</t>
        </is>
      </c>
      <c r="F1924" s="20" t="inlineStr">
        <is>
          <t>Wagon R</t>
        </is>
      </c>
      <c r="G1924" s="21" t="n"/>
      <c r="H1924" s="22" t="n">
        <v>58687</v>
      </c>
      <c r="I1924" s="23" t="n">
        <v>350000</v>
      </c>
      <c r="J1924" s="20" t="inlineStr">
        <is>
          <t>MUHAMMED SHAJI</t>
        </is>
      </c>
      <c r="K1924" s="20" t="inlineStr">
        <is>
          <t>Non-Captive</t>
        </is>
      </c>
      <c r="L1924" s="20" t="inlineStr">
        <is>
          <t>ASHRAF T A</t>
        </is>
      </c>
      <c r="M1924" s="23" t="n">
        <v>8474.58</v>
      </c>
      <c r="N1924" s="23" t="n">
        <v>10000</v>
      </c>
      <c r="O1924" s="24">
        <f>IF(AND(ISNUMBER(M1924), ISNUMBER(I1924), I1924&gt;0), M1924/I1924, "")</f>
        <v/>
      </c>
    </row>
    <row r="1925">
      <c r="A1925" s="19" t="inlineStr">
        <is>
          <t>FY27</t>
        </is>
      </c>
      <c r="B1925" s="19" t="inlineStr">
        <is>
          <t>Apr</t>
        </is>
      </c>
      <c r="C1925" s="19" t="inlineStr">
        <is>
          <t>Kerala</t>
        </is>
      </c>
      <c r="D1925" s="20" t="inlineStr">
        <is>
          <t>KL11BW9704</t>
        </is>
      </c>
      <c r="E1925" s="20" t="inlineStr">
        <is>
          <t>MAHINDRA</t>
        </is>
      </c>
      <c r="F1925" s="20" t="inlineStr">
        <is>
          <t>Scorpio</t>
        </is>
      </c>
      <c r="G1925" s="21" t="n">
        <v>2022</v>
      </c>
      <c r="H1925" s="22" t="n">
        <v>89000</v>
      </c>
      <c r="I1925" s="23" t="n">
        <v>500000</v>
      </c>
      <c r="J1925" s="20" t="inlineStr">
        <is>
          <t>SHIMJITH</t>
        </is>
      </c>
      <c r="K1925" s="20" t="inlineStr">
        <is>
          <t>Non-Captive</t>
        </is>
      </c>
      <c r="L1925" s="20" t="inlineStr">
        <is>
          <t>SHAHARIYAD</t>
        </is>
      </c>
      <c r="M1925" s="23" t="n">
        <v>8474.58</v>
      </c>
      <c r="N1925" s="23" t="n">
        <v>10000</v>
      </c>
      <c r="O1925" s="24">
        <f>IF(AND(ISNUMBER(M1925), ISNUMBER(I1925), I1925&gt;0), M1925/I1925, "")</f>
        <v/>
      </c>
    </row>
    <row r="1926">
      <c r="A1926" s="19" t="inlineStr">
        <is>
          <t>FY27</t>
        </is>
      </c>
      <c r="B1926" s="19" t="inlineStr">
        <is>
          <t>Apr</t>
        </is>
      </c>
      <c r="C1926" s="19" t="inlineStr">
        <is>
          <t>Kerala</t>
        </is>
      </c>
      <c r="D1926" s="20" t="inlineStr">
        <is>
          <t>KL18AD6385</t>
        </is>
      </c>
      <c r="E1926" s="20" t="inlineStr">
        <is>
          <t>RENAULT</t>
        </is>
      </c>
      <c r="F1926" s="20" t="inlineStr">
        <is>
          <t>Kwid</t>
        </is>
      </c>
      <c r="G1926" s="21" t="n">
        <v>2020</v>
      </c>
      <c r="H1926" s="22" t="n">
        <v>28000</v>
      </c>
      <c r="I1926" s="23" t="n">
        <v>295000</v>
      </c>
      <c r="J1926" s="20" t="inlineStr">
        <is>
          <t>PALMS ASSOCIATES</t>
        </is>
      </c>
      <c r="K1926" s="20" t="inlineStr">
        <is>
          <t>Non-Captive</t>
        </is>
      </c>
      <c r="L1926" s="20" t="inlineStr">
        <is>
          <t>SHAJEE CARS</t>
        </is>
      </c>
      <c r="M1926" s="23" t="n">
        <v>5084.75</v>
      </c>
      <c r="N1926" s="23" t="n">
        <v>6000</v>
      </c>
      <c r="O1926" s="24">
        <f>IF(AND(ISNUMBER(M1926), ISNUMBER(I1926), I1926&gt;0), M1926/I1926, "")</f>
        <v/>
      </c>
    </row>
    <row r="1927">
      <c r="A1927" s="19" t="inlineStr">
        <is>
          <t>FY27</t>
        </is>
      </c>
      <c r="B1927" s="19" t="inlineStr">
        <is>
          <t>Apr</t>
        </is>
      </c>
      <c r="C1927" s="19" t="inlineStr">
        <is>
          <t>Kerala</t>
        </is>
      </c>
      <c r="D1927" s="20" t="inlineStr">
        <is>
          <t>KL26G8384</t>
        </is>
      </c>
      <c r="E1927" s="20" t="inlineStr">
        <is>
          <t>MARUTI SUZUKI</t>
        </is>
      </c>
      <c r="F1927" s="20" t="inlineStr">
        <is>
          <t>Swift</t>
        </is>
      </c>
      <c r="G1927" s="21" t="n">
        <v>2016</v>
      </c>
      <c r="H1927" s="22" t="n">
        <v>149665</v>
      </c>
      <c r="I1927" s="23" t="n">
        <v>250000</v>
      </c>
      <c r="J1927" s="20" t="inlineStr">
        <is>
          <t>AKHILNATH</t>
        </is>
      </c>
      <c r="K1927" s="20" t="inlineStr">
        <is>
          <t>Non-Captive</t>
        </is>
      </c>
      <c r="L1927" s="20" t="inlineStr">
        <is>
          <t>LUXON TATA</t>
        </is>
      </c>
      <c r="M1927" s="23" t="n">
        <v>5932.2</v>
      </c>
      <c r="N1927" s="23" t="n">
        <v>7000</v>
      </c>
      <c r="O1927" s="24">
        <f>IF(AND(ISNUMBER(M1927), ISNUMBER(I1927), I1927&gt;0), M1927/I1927, "")</f>
        <v/>
      </c>
    </row>
    <row r="1928">
      <c r="A1928" s="19" t="inlineStr">
        <is>
          <t>FY27</t>
        </is>
      </c>
      <c r="B1928" s="19" t="inlineStr">
        <is>
          <t>Apr</t>
        </is>
      </c>
      <c r="C1928" s="19" t="inlineStr">
        <is>
          <t>Kerala</t>
        </is>
      </c>
      <c r="D1928" s="20" t="inlineStr">
        <is>
          <t>KL41E8267</t>
        </is>
      </c>
      <c r="E1928" s="20" t="inlineStr">
        <is>
          <t>CHEVROLET</t>
        </is>
      </c>
      <c r="F1928" s="20" t="inlineStr">
        <is>
          <t>Spark</t>
        </is>
      </c>
      <c r="G1928" s="21" t="n"/>
      <c r="H1928" s="22" t="n">
        <v>60893</v>
      </c>
      <c r="I1928" s="23" t="n">
        <v>30000</v>
      </c>
      <c r="J1928" s="20" t="inlineStr">
        <is>
          <t>POPULAR MARUTI</t>
        </is>
      </c>
      <c r="K1928" s="20" t="inlineStr">
        <is>
          <t>Non-Captive</t>
        </is>
      </c>
      <c r="L1928" s="20" t="inlineStr">
        <is>
          <t>HUSSAIN O E</t>
        </is>
      </c>
      <c r="M1928" s="23" t="n">
        <v>8474.58</v>
      </c>
      <c r="N1928" s="23" t="n">
        <v>10000</v>
      </c>
      <c r="O1928" s="24">
        <f>IF(AND(ISNUMBER(M1928), ISNUMBER(I1928), I1928&gt;0), M1928/I1928, "")</f>
        <v/>
      </c>
    </row>
    <row r="1929">
      <c r="A1929" s="19" t="inlineStr">
        <is>
          <t>FY27</t>
        </is>
      </c>
      <c r="B1929" s="19" t="inlineStr">
        <is>
          <t>Apr</t>
        </is>
      </c>
      <c r="C1929" s="19" t="inlineStr">
        <is>
          <t>Kerala</t>
        </is>
      </c>
      <c r="D1929" s="20" t="inlineStr">
        <is>
          <t>KL43L6805</t>
        </is>
      </c>
      <c r="E1929" s="20" t="inlineStr">
        <is>
          <t>MARUTI SUZUKI</t>
        </is>
      </c>
      <c r="F1929" s="20" t="inlineStr">
        <is>
          <t>Zen</t>
        </is>
      </c>
      <c r="G1929" s="21" t="n"/>
      <c r="H1929" s="22" t="n">
        <v>107865</v>
      </c>
      <c r="I1929" s="23" t="n">
        <v>20000</v>
      </c>
      <c r="J1929" s="20" t="inlineStr">
        <is>
          <t>MAIJO MARUTI</t>
        </is>
      </c>
      <c r="K1929" s="20" t="inlineStr">
        <is>
          <t>Non-Captive</t>
        </is>
      </c>
      <c r="L1929" s="20" t="inlineStr">
        <is>
          <t>HUSSAIN O E</t>
        </is>
      </c>
      <c r="M1929" s="23" t="n">
        <v>8474.58</v>
      </c>
      <c r="N1929" s="23" t="n">
        <v>10000</v>
      </c>
      <c r="O1929" s="24">
        <f>IF(AND(ISNUMBER(M1929), ISNUMBER(I1929), I1929&gt;0), M1929/I1929, "")</f>
        <v/>
      </c>
    </row>
    <row r="1930">
      <c r="A1930" s="19" t="inlineStr">
        <is>
          <t>FY27</t>
        </is>
      </c>
      <c r="B1930" s="19" t="inlineStr">
        <is>
          <t>Apr</t>
        </is>
      </c>
      <c r="C1930" s="19" t="inlineStr">
        <is>
          <t>Kerala</t>
        </is>
      </c>
      <c r="D1930" s="20" t="inlineStr">
        <is>
          <t>KL41K2939</t>
        </is>
      </c>
      <c r="E1930" s="20" t="inlineStr">
        <is>
          <t>RENAULT</t>
        </is>
      </c>
      <c r="F1930" s="20" t="inlineStr">
        <is>
          <t>Duster</t>
        </is>
      </c>
      <c r="G1930" s="21" t="n"/>
      <c r="H1930" s="22" t="n">
        <v>184947</v>
      </c>
      <c r="I1930" s="23" t="n">
        <v>300000</v>
      </c>
      <c r="J1930" s="20" t="inlineStr">
        <is>
          <t>JISHNU PRIYAN</t>
        </is>
      </c>
      <c r="K1930" s="20" t="inlineStr">
        <is>
          <t>Non-Captive</t>
        </is>
      </c>
      <c r="L1930" s="20" t="inlineStr">
        <is>
          <t>HUSSAIN O E</t>
        </is>
      </c>
      <c r="M1930" s="23" t="n">
        <v>8474.58</v>
      </c>
      <c r="N1930" s="23" t="n">
        <v>10000</v>
      </c>
      <c r="O1930" s="24">
        <f>IF(AND(ISNUMBER(M1930), ISNUMBER(I1930), I1930&gt;0), M1930/I1930, "")</f>
        <v/>
      </c>
    </row>
    <row r="1931">
      <c r="A1931" s="19" t="inlineStr">
        <is>
          <t>FY27</t>
        </is>
      </c>
      <c r="B1931" s="19" t="inlineStr">
        <is>
          <t>Apr</t>
        </is>
      </c>
      <c r="C1931" s="19" t="inlineStr">
        <is>
          <t>Kerala</t>
        </is>
      </c>
      <c r="D1931" s="20" t="inlineStr">
        <is>
          <t>KL07BT9243</t>
        </is>
      </c>
      <c r="E1931" s="20" t="inlineStr">
        <is>
          <t>TOYOTA</t>
        </is>
      </c>
      <c r="F1931" s="20" t="inlineStr">
        <is>
          <t>Innova</t>
        </is>
      </c>
      <c r="G1931" s="21" t="n"/>
      <c r="H1931" s="22" t="n">
        <v>113000</v>
      </c>
      <c r="I1931" s="23" t="n">
        <v>680000</v>
      </c>
      <c r="J1931" s="20" t="inlineStr">
        <is>
          <t>AUTOMOTIVE MAHINDRA</t>
        </is>
      </c>
      <c r="K1931" s="20" t="inlineStr">
        <is>
          <t>Non-Captive</t>
        </is>
      </c>
      <c r="L1931" s="20" t="inlineStr">
        <is>
          <t>VTJ</t>
        </is>
      </c>
      <c r="M1931" s="23" t="n">
        <v>8474.58</v>
      </c>
      <c r="N1931" s="23" t="n">
        <v>10000</v>
      </c>
      <c r="O1931" s="24">
        <f>IF(AND(ISNUMBER(M1931), ISNUMBER(I1931), I1931&gt;0), M1931/I1931, "")</f>
        <v/>
      </c>
    </row>
    <row r="1932">
      <c r="A1932" s="19" t="inlineStr">
        <is>
          <t>FY27</t>
        </is>
      </c>
      <c r="B1932" s="19" t="inlineStr">
        <is>
          <t>Apr</t>
        </is>
      </c>
      <c r="C1932" s="19" t="inlineStr">
        <is>
          <t>Kerala</t>
        </is>
      </c>
      <c r="D1932" s="20" t="inlineStr">
        <is>
          <t>KL04X9757</t>
        </is>
      </c>
      <c r="E1932" s="20" t="inlineStr">
        <is>
          <t>MARUTI SUZUKI</t>
        </is>
      </c>
      <c r="F1932" s="20" t="inlineStr">
        <is>
          <t>Estilo</t>
        </is>
      </c>
      <c r="G1932" s="21" t="n"/>
      <c r="H1932" s="22" t="n">
        <v>90898</v>
      </c>
      <c r="I1932" s="23" t="n">
        <v>65000</v>
      </c>
      <c r="J1932" s="20" t="inlineStr">
        <is>
          <t>AMRITH V CHANDY</t>
        </is>
      </c>
      <c r="K1932" s="20" t="inlineStr">
        <is>
          <t>Non-Captive</t>
        </is>
      </c>
      <c r="L1932" s="20" t="inlineStr">
        <is>
          <t>ASHRAF T A</t>
        </is>
      </c>
      <c r="M1932" s="23" t="n">
        <v>8474.58</v>
      </c>
      <c r="N1932" s="23" t="n">
        <v>10000</v>
      </c>
      <c r="O1932" s="24">
        <f>IF(AND(ISNUMBER(M1932), ISNUMBER(I1932), I1932&gt;0), M1932/I1932, "")</f>
        <v/>
      </c>
    </row>
    <row r="1933">
      <c r="A1933" s="19" t="inlineStr">
        <is>
          <t>FY27</t>
        </is>
      </c>
      <c r="B1933" s="19" t="inlineStr">
        <is>
          <t>Apr</t>
        </is>
      </c>
      <c r="C1933" s="19" t="inlineStr">
        <is>
          <t>Kerala</t>
        </is>
      </c>
      <c r="D1933" s="20" t="inlineStr">
        <is>
          <t>KL03U1993</t>
        </is>
      </c>
      <c r="E1933" s="20" t="inlineStr">
        <is>
          <t>MARUTI SUZUKI</t>
        </is>
      </c>
      <c r="F1933" s="20" t="inlineStr">
        <is>
          <t>Zen</t>
        </is>
      </c>
      <c r="G1933" s="21" t="n"/>
      <c r="H1933" s="22" t="n">
        <v>140000</v>
      </c>
      <c r="I1933" s="23" t="n">
        <v>45000</v>
      </c>
      <c r="J1933" s="20" t="inlineStr">
        <is>
          <t>EVM SKODA</t>
        </is>
      </c>
      <c r="K1933" s="20" t="inlineStr">
        <is>
          <t>Non-Captive</t>
        </is>
      </c>
      <c r="L1933" s="20" t="inlineStr">
        <is>
          <t>HUSSAIN O E</t>
        </is>
      </c>
      <c r="M1933" s="23" t="n">
        <v>8474.58</v>
      </c>
      <c r="N1933" s="23" t="n">
        <v>10000</v>
      </c>
      <c r="O1933" s="24">
        <f>IF(AND(ISNUMBER(M1933), ISNUMBER(I1933), I1933&gt;0), M1933/I1933, "")</f>
        <v/>
      </c>
    </row>
    <row r="1934">
      <c r="A1934" s="19" t="inlineStr">
        <is>
          <t>FY27</t>
        </is>
      </c>
      <c r="B1934" s="19" t="inlineStr">
        <is>
          <t>Apr</t>
        </is>
      </c>
      <c r="C1934" s="19" t="inlineStr">
        <is>
          <t>Kerala</t>
        </is>
      </c>
      <c r="D1934" s="20" t="inlineStr">
        <is>
          <t>KL40T4157</t>
        </is>
      </c>
      <c r="E1934" s="20" t="inlineStr">
        <is>
          <t>RENAULT</t>
        </is>
      </c>
      <c r="F1934" s="20" t="inlineStr">
        <is>
          <t>Kiger</t>
        </is>
      </c>
      <c r="G1934" s="21" t="n"/>
      <c r="H1934" s="22" t="n">
        <v>56139</v>
      </c>
      <c r="I1934" s="23" t="n">
        <v>415000</v>
      </c>
      <c r="J1934" s="20" t="inlineStr">
        <is>
          <t>EVM JEEP</t>
        </is>
      </c>
      <c r="K1934" s="20" t="inlineStr">
        <is>
          <t>Non-Captive</t>
        </is>
      </c>
      <c r="L1934" s="20" t="inlineStr">
        <is>
          <t>RASIK RAHIM</t>
        </is>
      </c>
      <c r="M1934" s="23" t="n">
        <v>8474.58</v>
      </c>
      <c r="N1934" s="23" t="n">
        <v>10000</v>
      </c>
      <c r="O1934" s="24">
        <f>IF(AND(ISNUMBER(M1934), ISNUMBER(I1934), I1934&gt;0), M1934/I1934, "")</f>
        <v/>
      </c>
    </row>
    <row r="1935">
      <c r="A1935" s="19" t="inlineStr">
        <is>
          <t>FY27</t>
        </is>
      </c>
      <c r="B1935" s="19" t="inlineStr">
        <is>
          <t>Apr</t>
        </is>
      </c>
      <c r="C1935" s="19" t="inlineStr">
        <is>
          <t>Kerala</t>
        </is>
      </c>
      <c r="D1935" s="20" t="inlineStr">
        <is>
          <t>KL02BV4262</t>
        </is>
      </c>
      <c r="E1935" s="20" t="inlineStr">
        <is>
          <t>HYUNDAI</t>
        </is>
      </c>
      <c r="F1935" s="20" t="inlineStr">
        <is>
          <t>Venue</t>
        </is>
      </c>
      <c r="G1935" s="21" t="n"/>
      <c r="H1935" s="22" t="n">
        <v>15800</v>
      </c>
      <c r="I1935" s="23" t="n">
        <v>700000</v>
      </c>
      <c r="J1935" s="20" t="inlineStr">
        <is>
          <t>TRIVANDRUM MOTORS</t>
        </is>
      </c>
      <c r="K1935" s="20" t="inlineStr">
        <is>
          <t>Non-Captive</t>
        </is>
      </c>
      <c r="L1935" s="20" t="inlineStr">
        <is>
          <t>RIYAS</t>
        </is>
      </c>
      <c r="M1935" s="23" t="n">
        <v>8474.58</v>
      </c>
      <c r="N1935" s="23" t="n">
        <v>10000</v>
      </c>
      <c r="O1935" s="24">
        <f>IF(AND(ISNUMBER(M1935), ISNUMBER(I1935), I1935&gt;0), M1935/I1935, "")</f>
        <v/>
      </c>
    </row>
    <row r="1936">
      <c r="A1936" s="19" t="inlineStr">
        <is>
          <t>FY27</t>
        </is>
      </c>
      <c r="B1936" s="19" t="inlineStr">
        <is>
          <t>Apr</t>
        </is>
      </c>
      <c r="C1936" s="19" t="inlineStr">
        <is>
          <t>Kerala</t>
        </is>
      </c>
      <c r="D1936" s="20" t="inlineStr">
        <is>
          <t>KL01BH6206</t>
        </is>
      </c>
      <c r="E1936" s="20" t="inlineStr">
        <is>
          <t>FORD</t>
        </is>
      </c>
      <c r="F1936" s="20" t="inlineStr">
        <is>
          <t>Figo</t>
        </is>
      </c>
      <c r="G1936" s="21" t="n"/>
      <c r="H1936" s="22" t="n">
        <v>168000</v>
      </c>
      <c r="I1936" s="23" t="n">
        <v>50000</v>
      </c>
      <c r="J1936" s="20" t="inlineStr">
        <is>
          <t>POPULAR MARUTI</t>
        </is>
      </c>
      <c r="K1936" s="20" t="inlineStr">
        <is>
          <t>Non-Captive</t>
        </is>
      </c>
      <c r="L1936" s="20" t="inlineStr">
        <is>
          <t>SANTHOSH</t>
        </is>
      </c>
      <c r="M1936" s="23" t="n">
        <v>5932.2</v>
      </c>
      <c r="N1936" s="23" t="n">
        <v>7000</v>
      </c>
      <c r="O1936" s="24">
        <f>IF(AND(ISNUMBER(M1936), ISNUMBER(I1936), I1936&gt;0), M1936/I1936, "")</f>
        <v/>
      </c>
    </row>
    <row r="1937">
      <c r="A1937" s="19" t="inlineStr">
        <is>
          <t>FY27</t>
        </is>
      </c>
      <c r="B1937" s="19" t="inlineStr">
        <is>
          <t>Apr</t>
        </is>
      </c>
      <c r="C1937" s="19" t="inlineStr">
        <is>
          <t>Kerala</t>
        </is>
      </c>
      <c r="D1937" s="20" t="inlineStr">
        <is>
          <t>KL02AZ6059</t>
        </is>
      </c>
      <c r="E1937" s="20" t="inlineStr">
        <is>
          <t>HYUNDAI</t>
        </is>
      </c>
      <c r="F1937" s="20" t="inlineStr">
        <is>
          <t>Eon</t>
        </is>
      </c>
      <c r="G1937" s="21" t="n"/>
      <c r="H1937" s="22" t="n">
        <v>69756</v>
      </c>
      <c r="I1937" s="23" t="n">
        <v>194000</v>
      </c>
      <c r="J1937" s="20" t="inlineStr">
        <is>
          <t>PINNACLE NISSAN</t>
        </is>
      </c>
      <c r="K1937" s="20" t="inlineStr">
        <is>
          <t>Non-Captive</t>
        </is>
      </c>
      <c r="L1937" s="20" t="inlineStr">
        <is>
          <t>SHAHAR</t>
        </is>
      </c>
      <c r="M1937" s="23" t="n">
        <v>5084.75</v>
      </c>
      <c r="N1937" s="23" t="n">
        <v>6000</v>
      </c>
      <c r="O1937" s="24">
        <f>IF(AND(ISNUMBER(M1937), ISNUMBER(I1937), I1937&gt;0), M1937/I1937, "")</f>
        <v/>
      </c>
    </row>
    <row r="1938">
      <c r="A1938" s="19" t="inlineStr">
        <is>
          <t>FY27</t>
        </is>
      </c>
      <c r="B1938" s="19" t="inlineStr">
        <is>
          <t>Apr</t>
        </is>
      </c>
      <c r="C1938" s="19" t="inlineStr">
        <is>
          <t>Kerala</t>
        </is>
      </c>
      <c r="D1938" s="20" t="inlineStr">
        <is>
          <t>KL58G5578</t>
        </is>
      </c>
      <c r="E1938" s="20" t="inlineStr">
        <is>
          <t>HYUNDAI</t>
        </is>
      </c>
      <c r="F1938" s="20" t="inlineStr">
        <is>
          <t>Eon</t>
        </is>
      </c>
      <c r="G1938" s="21" t="n"/>
      <c r="H1938" s="22" t="n">
        <v>116000</v>
      </c>
      <c r="I1938" s="23" t="n">
        <v>95000</v>
      </c>
      <c r="J1938" s="20" t="inlineStr">
        <is>
          <t>ABILASH CHANDRAN</t>
        </is>
      </c>
      <c r="K1938" s="20" t="inlineStr">
        <is>
          <t>Non-Captive</t>
        </is>
      </c>
      <c r="L1938" s="20" t="inlineStr">
        <is>
          <t>KVR TATA</t>
        </is>
      </c>
      <c r="M1938" s="23" t="n">
        <v>4237.29</v>
      </c>
      <c r="N1938" s="23" t="n">
        <v>5000</v>
      </c>
      <c r="O1938" s="24">
        <f>IF(AND(ISNUMBER(M1938), ISNUMBER(I1938), I1938&gt;0), M1938/I1938, "")</f>
        <v/>
      </c>
    </row>
    <row r="1939">
      <c r="A1939" s="19" t="inlineStr">
        <is>
          <t>FY27</t>
        </is>
      </c>
      <c r="B1939" s="19" t="inlineStr">
        <is>
          <t>Apr</t>
        </is>
      </c>
      <c r="C1939" s="19" t="inlineStr">
        <is>
          <t>Kerala</t>
        </is>
      </c>
      <c r="D1939" s="20" t="inlineStr">
        <is>
          <t>KL58AF3006</t>
        </is>
      </c>
      <c r="E1939" s="20" t="inlineStr">
        <is>
          <t>MARUTI SUZUKI</t>
        </is>
      </c>
      <c r="F1939" s="20" t="inlineStr">
        <is>
          <t>Brezza</t>
        </is>
      </c>
      <c r="G1939" s="21" t="n">
        <v>2021</v>
      </c>
      <c r="H1939" s="22" t="n">
        <v>50000</v>
      </c>
      <c r="I1939" s="23" t="n">
        <v>280000</v>
      </c>
      <c r="J1939" s="20" t="inlineStr">
        <is>
          <t>NIDEESH MOHAN</t>
        </is>
      </c>
      <c r="K1939" s="20" t="inlineStr">
        <is>
          <t>Non-Captive</t>
        </is>
      </c>
      <c r="L1939" s="20" t="inlineStr">
        <is>
          <t>SAP MAHINDRA</t>
        </is>
      </c>
      <c r="M1939" s="23" t="n">
        <v>5932.2</v>
      </c>
      <c r="N1939" s="23" t="n">
        <v>7000</v>
      </c>
      <c r="O1939" s="24">
        <f>IF(AND(ISNUMBER(M1939), ISNUMBER(I1939), I1939&gt;0), M1939/I1939, "")</f>
        <v/>
      </c>
    </row>
    <row r="1940">
      <c r="A1940" s="19" t="inlineStr">
        <is>
          <t>FY27</t>
        </is>
      </c>
      <c r="B1940" s="19" t="inlineStr">
        <is>
          <t>Apr</t>
        </is>
      </c>
      <c r="C1940" s="19" t="inlineStr">
        <is>
          <t>Kerala</t>
        </is>
      </c>
      <c r="D1940" s="20" t="inlineStr">
        <is>
          <t>KL56M0627</t>
        </is>
      </c>
      <c r="E1940" s="20" t="inlineStr">
        <is>
          <t>DATSUN</t>
        </is>
      </c>
      <c r="F1940" s="20" t="inlineStr">
        <is>
          <t>Datson</t>
        </is>
      </c>
      <c r="G1940" s="21" t="n">
        <v>2015</v>
      </c>
      <c r="H1940" s="22" t="n">
        <v>83000</v>
      </c>
      <c r="I1940" s="23" t="n">
        <v>120000</v>
      </c>
      <c r="J1940" s="20" t="inlineStr">
        <is>
          <t>NIDEESH MOHAN</t>
        </is>
      </c>
      <c r="K1940" s="20" t="inlineStr">
        <is>
          <t>Non-Captive</t>
        </is>
      </c>
      <c r="L1940" s="20" t="inlineStr">
        <is>
          <t>BIMAL</t>
        </is>
      </c>
      <c r="M1940" s="23" t="n">
        <v>5932.2</v>
      </c>
      <c r="N1940" s="23" t="n">
        <v>7000</v>
      </c>
      <c r="O1940" s="24">
        <f>IF(AND(ISNUMBER(M1940), ISNUMBER(I1940), I1940&gt;0), M1940/I1940, "")</f>
        <v/>
      </c>
    </row>
    <row r="1941">
      <c r="A1941" s="19" t="inlineStr">
        <is>
          <t>FY27</t>
        </is>
      </c>
      <c r="B1941" s="19" t="inlineStr">
        <is>
          <t>Apr</t>
        </is>
      </c>
      <c r="C1941" s="19" t="inlineStr">
        <is>
          <t>Kerala</t>
        </is>
      </c>
      <c r="D1941" s="20" t="inlineStr">
        <is>
          <t>KL10AJ1863</t>
        </is>
      </c>
      <c r="E1941" s="20" t="inlineStr">
        <is>
          <t>MARUTI SUZUKI</t>
        </is>
      </c>
      <c r="F1941" s="20" t="inlineStr">
        <is>
          <t>Ritz</t>
        </is>
      </c>
      <c r="G1941" s="21" t="n">
        <v>2011</v>
      </c>
      <c r="H1941" s="22" t="n">
        <v>151000</v>
      </c>
      <c r="I1941" s="23" t="n">
        <v>145000</v>
      </c>
      <c r="J1941" s="20" t="inlineStr">
        <is>
          <t>HAMSA</t>
        </is>
      </c>
      <c r="K1941" s="20" t="inlineStr">
        <is>
          <t>Non-Captive</t>
        </is>
      </c>
      <c r="L1941" s="20" t="inlineStr">
        <is>
          <t>BIMAL</t>
        </is>
      </c>
      <c r="M1941" s="23" t="n">
        <v>4237.29</v>
      </c>
      <c r="N1941" s="23" t="n">
        <v>5000</v>
      </c>
      <c r="O1941" s="24">
        <f>IF(AND(ISNUMBER(M1941), ISNUMBER(I1941), I1941&gt;0), M1941/I1941, "")</f>
        <v/>
      </c>
    </row>
    <row r="1942">
      <c r="A1942" s="19" t="inlineStr">
        <is>
          <t>FY27</t>
        </is>
      </c>
      <c r="B1942" s="19" t="inlineStr">
        <is>
          <t>Apr</t>
        </is>
      </c>
      <c r="C1942" s="19" t="inlineStr">
        <is>
          <t>Kerala</t>
        </is>
      </c>
      <c r="D1942" s="20" t="inlineStr">
        <is>
          <t>KL38D4621</t>
        </is>
      </c>
      <c r="E1942" s="20" t="inlineStr">
        <is>
          <t>HYUNDAI</t>
        </is>
      </c>
      <c r="F1942" s="20" t="inlineStr">
        <is>
          <t>Eon</t>
        </is>
      </c>
      <c r="G1942" s="21" t="n">
        <v>2013</v>
      </c>
      <c r="H1942" s="22" t="n">
        <v>28000</v>
      </c>
      <c r="I1942" s="23" t="n">
        <v>120000</v>
      </c>
      <c r="J1942" s="20" t="inlineStr">
        <is>
          <t>SARITH AUTOBOT</t>
        </is>
      </c>
      <c r="K1942" s="20" t="inlineStr">
        <is>
          <t>Non-Captive</t>
        </is>
      </c>
      <c r="L1942" s="20" t="inlineStr">
        <is>
          <t>BIMAL</t>
        </is>
      </c>
      <c r="M1942" s="23" t="n">
        <v>5084.75</v>
      </c>
      <c r="N1942" s="23" t="n">
        <v>6000</v>
      </c>
      <c r="O1942" s="24">
        <f>IF(AND(ISNUMBER(M1942), ISNUMBER(I1942), I1942&gt;0), M1942/I1942, "")</f>
        <v/>
      </c>
    </row>
    <row r="1943">
      <c r="A1943" s="19" t="inlineStr">
        <is>
          <t>FY27</t>
        </is>
      </c>
      <c r="B1943" s="19" t="inlineStr">
        <is>
          <t>Apr</t>
        </is>
      </c>
      <c r="C1943" s="19" t="inlineStr">
        <is>
          <t>Kerala</t>
        </is>
      </c>
      <c r="D1943" s="20" t="inlineStr">
        <is>
          <t>KL18S7048</t>
        </is>
      </c>
      <c r="E1943" s="20" t="inlineStr">
        <is>
          <t>DATSUN</t>
        </is>
      </c>
      <c r="F1943" s="20" t="inlineStr">
        <is>
          <t>Redi-Go</t>
        </is>
      </c>
      <c r="G1943" s="21" t="n"/>
      <c r="H1943" s="22" t="n">
        <v>84100</v>
      </c>
      <c r="I1943" s="23" t="n">
        <v>90000</v>
      </c>
      <c r="J1943" s="20" t="inlineStr">
        <is>
          <t>EVM CITROEN</t>
        </is>
      </c>
      <c r="K1943" s="20" t="inlineStr">
        <is>
          <t>Non-Captive</t>
        </is>
      </c>
      <c r="L1943" s="20" t="inlineStr">
        <is>
          <t>VTJ</t>
        </is>
      </c>
      <c r="M1943" s="23" t="n">
        <v>8474.58</v>
      </c>
      <c r="N1943" s="23" t="n">
        <v>10000</v>
      </c>
      <c r="O1943" s="24">
        <f>IF(AND(ISNUMBER(M1943), ISNUMBER(I1943), I1943&gt;0), M1943/I1943, "")</f>
        <v/>
      </c>
    </row>
    <row r="1944">
      <c r="A1944" s="19" t="inlineStr">
        <is>
          <t>FY27</t>
        </is>
      </c>
      <c r="B1944" s="19" t="inlineStr">
        <is>
          <t>Apr</t>
        </is>
      </c>
      <c r="C1944" s="19" t="inlineStr">
        <is>
          <t>Kerala</t>
        </is>
      </c>
      <c r="D1944" s="20" t="inlineStr">
        <is>
          <t>KL35E9561</t>
        </is>
      </c>
      <c r="E1944" s="20" t="inlineStr">
        <is>
          <t>MARUTI SUZUKI</t>
        </is>
      </c>
      <c r="F1944" s="20" t="inlineStr">
        <is>
          <t>Wagon R</t>
        </is>
      </c>
      <c r="G1944" s="21" t="n"/>
      <c r="H1944" s="22" t="n">
        <v>82000</v>
      </c>
      <c r="I1944" s="23" t="n">
        <v>230000</v>
      </c>
      <c r="J1944" s="20" t="inlineStr">
        <is>
          <t>AMRITH V CHANDY</t>
        </is>
      </c>
      <c r="K1944" s="20" t="inlineStr">
        <is>
          <t>Non-Captive</t>
        </is>
      </c>
      <c r="L1944" s="20" t="inlineStr">
        <is>
          <t>TINU P SOMAN</t>
        </is>
      </c>
      <c r="M1944" s="23" t="n">
        <v>8474.58</v>
      </c>
      <c r="N1944" s="23" t="n">
        <v>10000</v>
      </c>
      <c r="O1944" s="24">
        <f>IF(AND(ISNUMBER(M1944), ISNUMBER(I1944), I1944&gt;0), M1944/I1944, "")</f>
        <v/>
      </c>
    </row>
    <row r="1945">
      <c r="A1945" s="19" t="inlineStr">
        <is>
          <t>FY27</t>
        </is>
      </c>
      <c r="B1945" s="19" t="inlineStr">
        <is>
          <t>Apr</t>
        </is>
      </c>
      <c r="C1945" s="19" t="inlineStr">
        <is>
          <t>Kerala</t>
        </is>
      </c>
      <c r="D1945" s="20" t="inlineStr">
        <is>
          <t>KL49H8453</t>
        </is>
      </c>
      <c r="E1945" s="20" t="inlineStr">
        <is>
          <t>RENAULT</t>
        </is>
      </c>
      <c r="F1945" s="20" t="inlineStr">
        <is>
          <t>Kwid</t>
        </is>
      </c>
      <c r="G1945" s="21" t="n"/>
      <c r="H1945" s="22" t="n">
        <v>22500</v>
      </c>
      <c r="I1945" s="23" t="n">
        <v>230000</v>
      </c>
      <c r="J1945" s="20" t="inlineStr">
        <is>
          <t>PHOENIX VOLKSWAGEN</t>
        </is>
      </c>
      <c r="K1945" s="20" t="inlineStr">
        <is>
          <t>Non-Captive</t>
        </is>
      </c>
      <c r="L1945" s="20" t="inlineStr">
        <is>
          <t>GREEN LIGHT PRE OWNED CARS</t>
        </is>
      </c>
      <c r="M1945" s="23" t="n">
        <v>8474.58</v>
      </c>
      <c r="N1945" s="23" t="n">
        <v>10000</v>
      </c>
      <c r="O1945" s="24">
        <f>IF(AND(ISNUMBER(M1945), ISNUMBER(I1945), I1945&gt;0), M1945/I1945, "")</f>
        <v/>
      </c>
    </row>
    <row r="1946">
      <c r="A1946" s="19" t="inlineStr">
        <is>
          <t>FY27</t>
        </is>
      </c>
      <c r="B1946" s="19" t="inlineStr">
        <is>
          <t>Apr</t>
        </is>
      </c>
      <c r="C1946" s="19" t="inlineStr">
        <is>
          <t>Kerala</t>
        </is>
      </c>
      <c r="D1946" s="20" t="inlineStr">
        <is>
          <t>KL67B4296</t>
        </is>
      </c>
      <c r="E1946" s="20" t="inlineStr">
        <is>
          <t>MARUTI SUZUKI</t>
        </is>
      </c>
      <c r="F1946" s="20" t="inlineStr">
        <is>
          <t>Alto</t>
        </is>
      </c>
      <c r="G1946" s="21" t="n"/>
      <c r="H1946" s="22" t="n">
        <v>25664</v>
      </c>
      <c r="I1946" s="23" t="n">
        <v>270000</v>
      </c>
      <c r="J1946" s="20" t="inlineStr">
        <is>
          <t>AMRITH V CHANDY</t>
        </is>
      </c>
      <c r="K1946" s="20" t="inlineStr">
        <is>
          <t>Non-Captive</t>
        </is>
      </c>
      <c r="L1946" s="20" t="inlineStr">
        <is>
          <t>SUDHEESH K SATHEESH</t>
        </is>
      </c>
      <c r="M1946" s="23" t="n">
        <v>8474.58</v>
      </c>
      <c r="N1946" s="23" t="n">
        <v>10000</v>
      </c>
      <c r="O1946" s="24">
        <f>IF(AND(ISNUMBER(M1946), ISNUMBER(I1946), I1946&gt;0), M1946/I1946, "")</f>
        <v/>
      </c>
    </row>
    <row r="1947">
      <c r="A1947" s="19" t="inlineStr">
        <is>
          <t>FY27</t>
        </is>
      </c>
      <c r="B1947" s="19" t="inlineStr">
        <is>
          <t>Apr</t>
        </is>
      </c>
      <c r="C1947" s="19" t="inlineStr">
        <is>
          <t>Kerala</t>
        </is>
      </c>
      <c r="D1947" s="20" t="inlineStr">
        <is>
          <t>KL02BF2227</t>
        </is>
      </c>
      <c r="E1947" s="20" t="inlineStr">
        <is>
          <t>MAHINDRA</t>
        </is>
      </c>
      <c r="F1947" s="20" t="inlineStr">
        <is>
          <t>Tuv300</t>
        </is>
      </c>
      <c r="G1947" s="21" t="n"/>
      <c r="H1947" s="22" t="n">
        <v>57631</v>
      </c>
      <c r="I1947" s="23" t="n">
        <v>415000</v>
      </c>
      <c r="J1947" s="20" t="inlineStr">
        <is>
          <t>MAXX MOTORS</t>
        </is>
      </c>
      <c r="K1947" s="20" t="inlineStr">
        <is>
          <t>Non-Captive</t>
        </is>
      </c>
      <c r="L1947" s="20" t="inlineStr">
        <is>
          <t>PINNACLE NISSAN</t>
        </is>
      </c>
      <c r="M1947" s="23" t="n">
        <v>8474.58</v>
      </c>
      <c r="N1947" s="23" t="n">
        <v>10000</v>
      </c>
      <c r="O1947" s="24">
        <f>IF(AND(ISNUMBER(M1947), ISNUMBER(I1947), I1947&gt;0), M1947/I1947, "")</f>
        <v/>
      </c>
    </row>
    <row r="1948">
      <c r="A1948" s="19" t="inlineStr">
        <is>
          <t>FY27</t>
        </is>
      </c>
      <c r="B1948" s="19" t="inlineStr">
        <is>
          <t>Apr</t>
        </is>
      </c>
      <c r="C1948" s="19" t="inlineStr">
        <is>
          <t>Kerala</t>
        </is>
      </c>
      <c r="D1948" s="20" t="inlineStr">
        <is>
          <t>KL43M5149</t>
        </is>
      </c>
      <c r="E1948" s="20" t="inlineStr">
        <is>
          <t>MARUTI SUZUKI</t>
        </is>
      </c>
      <c r="F1948" s="20" t="inlineStr">
        <is>
          <t>Swift</t>
        </is>
      </c>
      <c r="G1948" s="21" t="n"/>
      <c r="H1948" s="22" t="n">
        <v>33450</v>
      </c>
      <c r="I1948" s="23" t="n">
        <v>410000</v>
      </c>
      <c r="J1948" s="20" t="inlineStr">
        <is>
          <t>MAIJO MARUTI</t>
        </is>
      </c>
      <c r="K1948" s="20" t="inlineStr">
        <is>
          <t>Non-Captive</t>
        </is>
      </c>
      <c r="L1948" s="20" t="inlineStr">
        <is>
          <t>ABDUL SALAM K K</t>
        </is>
      </c>
      <c r="M1948" s="23" t="n">
        <v>8474.58</v>
      </c>
      <c r="N1948" s="23" t="n">
        <v>10000</v>
      </c>
      <c r="O1948" s="24">
        <f>IF(AND(ISNUMBER(M1948), ISNUMBER(I1948), I1948&gt;0), M1948/I1948, "")</f>
        <v/>
      </c>
    </row>
    <row r="1949">
      <c r="A1949" s="19" t="inlineStr">
        <is>
          <t>FY27</t>
        </is>
      </c>
      <c r="B1949" s="19" t="inlineStr">
        <is>
          <t>Apr</t>
        </is>
      </c>
      <c r="C1949" s="19" t="inlineStr">
        <is>
          <t>Kerala</t>
        </is>
      </c>
      <c r="D1949" s="20" t="inlineStr">
        <is>
          <t>KL01BE7810</t>
        </is>
      </c>
      <c r="E1949" s="20" t="inlineStr">
        <is>
          <t>HYUNDAI</t>
        </is>
      </c>
      <c r="F1949" s="20" t="inlineStr">
        <is>
          <t>Eon</t>
        </is>
      </c>
      <c r="G1949" s="21" t="n"/>
      <c r="H1949" s="22" t="n">
        <v>55570</v>
      </c>
      <c r="I1949" s="23" t="n">
        <v>90000</v>
      </c>
      <c r="J1949" s="20" t="inlineStr">
        <is>
          <t>JISHNU PRIYAN</t>
        </is>
      </c>
      <c r="K1949" s="20" t="inlineStr">
        <is>
          <t>Non-Captive</t>
        </is>
      </c>
      <c r="L1949" s="20" t="inlineStr">
        <is>
          <t>DINESH P S</t>
        </is>
      </c>
      <c r="M1949" s="23" t="n">
        <v>8474.58</v>
      </c>
      <c r="N1949" s="23" t="n">
        <v>10000</v>
      </c>
      <c r="O1949" s="24">
        <f>IF(AND(ISNUMBER(M1949), ISNUMBER(I1949), I1949&gt;0), M1949/I1949, "")</f>
        <v/>
      </c>
    </row>
    <row r="1950">
      <c r="A1950" s="19" t="inlineStr">
        <is>
          <t>FY27</t>
        </is>
      </c>
      <c r="B1950" s="19" t="inlineStr">
        <is>
          <t>Apr</t>
        </is>
      </c>
      <c r="C1950" s="19" t="inlineStr">
        <is>
          <t>Kerala</t>
        </is>
      </c>
      <c r="D1950" s="20" t="inlineStr">
        <is>
          <t>KL42M6147</t>
        </is>
      </c>
      <c r="E1950" s="20" t="inlineStr">
        <is>
          <t>MARUTI SUZUKI</t>
        </is>
      </c>
      <c r="F1950" s="20" t="inlineStr">
        <is>
          <t>Swift</t>
        </is>
      </c>
      <c r="G1950" s="21" t="n"/>
      <c r="H1950" s="22" t="n">
        <v>60893</v>
      </c>
      <c r="I1950" s="23" t="n">
        <v>325000</v>
      </c>
      <c r="J1950" s="20" t="inlineStr">
        <is>
          <t>POPULAR MARUTI</t>
        </is>
      </c>
      <c r="K1950" s="20" t="inlineStr">
        <is>
          <t>Non-Captive</t>
        </is>
      </c>
      <c r="L1950" s="20" t="inlineStr">
        <is>
          <t>FABITH</t>
        </is>
      </c>
      <c r="M1950" s="23" t="n">
        <v>8474.58</v>
      </c>
      <c r="N1950" s="23" t="n">
        <v>10000</v>
      </c>
      <c r="O1950" s="24">
        <f>IF(AND(ISNUMBER(M1950), ISNUMBER(I1950), I1950&gt;0), M1950/I1950, "")</f>
        <v/>
      </c>
    </row>
    <row r="1951">
      <c r="A1951" s="19" t="inlineStr">
        <is>
          <t>FY27</t>
        </is>
      </c>
      <c r="B1951" s="19" t="inlineStr">
        <is>
          <t>Apr</t>
        </is>
      </c>
      <c r="C1951" s="19" t="inlineStr">
        <is>
          <t>Kerala</t>
        </is>
      </c>
      <c r="D1951" s="20" t="inlineStr">
        <is>
          <t>KL32F0961</t>
        </is>
      </c>
      <c r="E1951" s="20" t="inlineStr">
        <is>
          <t>HYUNDAI</t>
        </is>
      </c>
      <c r="F1951" s="20" t="inlineStr">
        <is>
          <t>Eon</t>
        </is>
      </c>
      <c r="G1951" s="21" t="n"/>
      <c r="H1951" s="22" t="n">
        <v>49700</v>
      </c>
      <c r="I1951" s="23" t="n">
        <v>91000</v>
      </c>
      <c r="J1951" s="20" t="inlineStr">
        <is>
          <t>VTJ</t>
        </is>
      </c>
      <c r="K1951" s="20" t="inlineStr">
        <is>
          <t>Non-Captive</t>
        </is>
      </c>
      <c r="L1951" s="20" t="inlineStr">
        <is>
          <t>ABDUL SALAM K K</t>
        </is>
      </c>
      <c r="M1951" s="23" t="n">
        <v>8474.58</v>
      </c>
      <c r="N1951" s="23" t="n">
        <v>10000</v>
      </c>
      <c r="O1951" s="24">
        <f>IF(AND(ISNUMBER(M1951), ISNUMBER(I1951), I1951&gt;0), M1951/I1951, "")</f>
        <v/>
      </c>
    </row>
    <row r="1952">
      <c r="A1952" s="19" t="inlineStr">
        <is>
          <t>FY27</t>
        </is>
      </c>
      <c r="B1952" s="19" t="inlineStr">
        <is>
          <t>Apr</t>
        </is>
      </c>
      <c r="C1952" s="19" t="inlineStr">
        <is>
          <t>Kerala</t>
        </is>
      </c>
      <c r="D1952" s="20" t="inlineStr">
        <is>
          <t>KL05M5665</t>
        </is>
      </c>
      <c r="E1952" s="20" t="inlineStr">
        <is>
          <t>HONDA</t>
        </is>
      </c>
      <c r="F1952" s="20" t="inlineStr">
        <is>
          <t>City</t>
        </is>
      </c>
      <c r="G1952" s="21" t="n"/>
      <c r="H1952" s="22" t="n">
        <v>187978</v>
      </c>
      <c r="I1952" s="23" t="n">
        <v>142000</v>
      </c>
      <c r="J1952" s="20" t="inlineStr">
        <is>
          <t>POPULAR MARUTI</t>
        </is>
      </c>
      <c r="K1952" s="20" t="inlineStr">
        <is>
          <t>Non-Captive</t>
        </is>
      </c>
      <c r="L1952" s="20" t="inlineStr">
        <is>
          <t>ROBIN MATHEW</t>
        </is>
      </c>
      <c r="M1952" s="23" t="n">
        <v>6779.66</v>
      </c>
      <c r="N1952" s="23" t="n">
        <v>8000</v>
      </c>
      <c r="O1952" s="24">
        <f>IF(AND(ISNUMBER(M1952), ISNUMBER(I1952), I1952&gt;0), M1952/I1952, "")</f>
        <v/>
      </c>
    </row>
    <row r="1953">
      <c r="A1953" s="19" t="inlineStr">
        <is>
          <t>FY27</t>
        </is>
      </c>
      <c r="B1953" s="19" t="inlineStr">
        <is>
          <t>Apr</t>
        </is>
      </c>
      <c r="C1953" s="19" t="inlineStr">
        <is>
          <t>Kerala</t>
        </is>
      </c>
      <c r="D1953" s="20" t="inlineStr">
        <is>
          <t>KL43R5780</t>
        </is>
      </c>
      <c r="E1953" s="20" t="inlineStr">
        <is>
          <t>MARUTI SUZUKI</t>
        </is>
      </c>
      <c r="F1953" s="20" t="inlineStr">
        <is>
          <t>Alto</t>
        </is>
      </c>
      <c r="G1953" s="21" t="n"/>
      <c r="H1953" s="22" t="n">
        <v>5041</v>
      </c>
      <c r="I1953" s="23" t="n">
        <v>330000</v>
      </c>
      <c r="J1953" s="20" t="inlineStr">
        <is>
          <t>EVM NISSAN</t>
        </is>
      </c>
      <c r="K1953" s="20" t="inlineStr">
        <is>
          <t>Non-Captive</t>
        </is>
      </c>
      <c r="L1953" s="20" t="inlineStr">
        <is>
          <t>VTJ</t>
        </is>
      </c>
      <c r="M1953" s="23" t="n">
        <v>8474.58</v>
      </c>
      <c r="N1953" s="23" t="n">
        <v>10000</v>
      </c>
      <c r="O1953" s="24">
        <f>IF(AND(ISNUMBER(M1953), ISNUMBER(I1953), I1953&gt;0), M1953/I1953, "")</f>
        <v/>
      </c>
    </row>
    <row r="1954">
      <c r="A1954" s="19" t="inlineStr">
        <is>
          <t>FY27</t>
        </is>
      </c>
      <c r="B1954" s="19" t="inlineStr">
        <is>
          <t>Apr</t>
        </is>
      </c>
      <c r="C1954" s="19" t="inlineStr">
        <is>
          <t>Kerala</t>
        </is>
      </c>
      <c r="D1954" s="20" t="inlineStr">
        <is>
          <t>KL07DC7060</t>
        </is>
      </c>
      <c r="E1954" s="20" t="inlineStr">
        <is>
          <t>MAHINDRA</t>
        </is>
      </c>
      <c r="F1954" s="20" t="inlineStr">
        <is>
          <t>Xuv400</t>
        </is>
      </c>
      <c r="G1954" s="21" t="n"/>
      <c r="H1954" s="22" t="n">
        <v>33600</v>
      </c>
      <c r="I1954" s="23" t="n">
        <v>965000</v>
      </c>
      <c r="J1954" s="20" t="inlineStr">
        <is>
          <t>ERAM MOTORS</t>
        </is>
      </c>
      <c r="K1954" s="20" t="inlineStr">
        <is>
          <t>Non-Captive</t>
        </is>
      </c>
      <c r="L1954" s="20" t="inlineStr">
        <is>
          <t>FABITH</t>
        </is>
      </c>
      <c r="M1954" s="23" t="n">
        <v>8474.58</v>
      </c>
      <c r="N1954" s="23" t="n">
        <v>10000</v>
      </c>
      <c r="O1954" s="24">
        <f>IF(AND(ISNUMBER(M1954), ISNUMBER(I1954), I1954&gt;0), M1954/I1954, "")</f>
        <v/>
      </c>
    </row>
    <row r="1955">
      <c r="A1955" s="19" t="inlineStr">
        <is>
          <t>FY27</t>
        </is>
      </c>
      <c r="B1955" s="19" t="inlineStr">
        <is>
          <t>Apr</t>
        </is>
      </c>
      <c r="C1955" s="19" t="inlineStr">
        <is>
          <t>Kerala</t>
        </is>
      </c>
      <c r="D1955" s="20" t="inlineStr">
        <is>
          <t>KL08AV3989</t>
        </is>
      </c>
      <c r="E1955" s="20" t="inlineStr">
        <is>
          <t>TOYOTA</t>
        </is>
      </c>
      <c r="F1955" s="20" t="inlineStr">
        <is>
          <t>Etios</t>
        </is>
      </c>
      <c r="G1955" s="21" t="n"/>
      <c r="H1955" s="22" t="n">
        <v>89000</v>
      </c>
      <c r="I1955" s="23" t="n">
        <v>155000</v>
      </c>
      <c r="J1955" s="20" t="inlineStr">
        <is>
          <t>EVM CITROEN</t>
        </is>
      </c>
      <c r="K1955" s="20" t="inlineStr">
        <is>
          <t>Non-Captive</t>
        </is>
      </c>
      <c r="L1955" s="20" t="inlineStr">
        <is>
          <t>AITOS CARS</t>
        </is>
      </c>
      <c r="M1955" s="23" t="n">
        <v>8474.58</v>
      </c>
      <c r="N1955" s="23" t="n">
        <v>10000</v>
      </c>
      <c r="O1955" s="24">
        <f>IF(AND(ISNUMBER(M1955), ISNUMBER(I1955), I1955&gt;0), M1955/I1955, "")</f>
        <v/>
      </c>
    </row>
    <row r="1956">
      <c r="A1956" s="19" t="inlineStr">
        <is>
          <t>FY27</t>
        </is>
      </c>
      <c r="B1956" s="19" t="inlineStr">
        <is>
          <t>Apr</t>
        </is>
      </c>
      <c r="C1956" s="19" t="inlineStr">
        <is>
          <t>Kerala</t>
        </is>
      </c>
      <c r="D1956" s="20" t="inlineStr">
        <is>
          <t>KL05AH7804</t>
        </is>
      </c>
      <c r="E1956" s="20" t="inlineStr">
        <is>
          <t>MARUTI SUZUKI</t>
        </is>
      </c>
      <c r="F1956" s="20" t="inlineStr">
        <is>
          <t>A-Star</t>
        </is>
      </c>
      <c r="G1956" s="21" t="n"/>
      <c r="H1956" s="22" t="n">
        <v>53656</v>
      </c>
      <c r="I1956" s="23" t="n">
        <v>215000</v>
      </c>
      <c r="J1956" s="20" t="inlineStr">
        <is>
          <t>AMRITH V CHANDY</t>
        </is>
      </c>
      <c r="K1956" s="20" t="inlineStr">
        <is>
          <t>Non-Captive</t>
        </is>
      </c>
      <c r="L1956" s="20" t="inlineStr">
        <is>
          <t>ROBIN MATHEW</t>
        </is>
      </c>
      <c r="M1956" s="23" t="n">
        <v>8474.58</v>
      </c>
      <c r="N1956" s="23" t="n">
        <v>10000</v>
      </c>
      <c r="O1956" s="24">
        <f>IF(AND(ISNUMBER(M1956), ISNUMBER(I1956), I1956&gt;0), M1956/I1956, "")</f>
        <v/>
      </c>
    </row>
    <row r="1957">
      <c r="A1957" s="19" t="inlineStr">
        <is>
          <t>FY27</t>
        </is>
      </c>
      <c r="B1957" s="19" t="inlineStr">
        <is>
          <t>Apr</t>
        </is>
      </c>
      <c r="C1957" s="19" t="inlineStr">
        <is>
          <t>Kerala</t>
        </is>
      </c>
      <c r="D1957" s="20" t="inlineStr">
        <is>
          <t>KL14U7488</t>
        </is>
      </c>
      <c r="E1957" s="20" t="inlineStr">
        <is>
          <t>HYUNDAI</t>
        </is>
      </c>
      <c r="F1957" s="20" t="inlineStr">
        <is>
          <t>Eon</t>
        </is>
      </c>
      <c r="G1957" s="21" t="n"/>
      <c r="H1957" s="22" t="n">
        <v>90000</v>
      </c>
      <c r="I1957" s="23" t="n">
        <v>120000</v>
      </c>
      <c r="J1957" s="20" t="inlineStr">
        <is>
          <t>MARVEL MOTORS</t>
        </is>
      </c>
      <c r="K1957" s="20" t="inlineStr">
        <is>
          <t>Non-Captive</t>
        </is>
      </c>
      <c r="L1957" s="20" t="inlineStr">
        <is>
          <t>POPULAR</t>
        </is>
      </c>
      <c r="M1957" s="23" t="n">
        <v>4237.29</v>
      </c>
      <c r="N1957" s="23" t="n">
        <v>5000</v>
      </c>
      <c r="O1957" s="24">
        <f>IF(AND(ISNUMBER(M1957), ISNUMBER(I1957), I1957&gt;0), M1957/I1957, "")</f>
        <v/>
      </c>
    </row>
    <row r="1958">
      <c r="A1958" s="19" t="inlineStr">
        <is>
          <t>FY27</t>
        </is>
      </c>
      <c r="B1958" s="19" t="inlineStr">
        <is>
          <t>Apr</t>
        </is>
      </c>
      <c r="C1958" s="19" t="inlineStr">
        <is>
          <t>Kerala</t>
        </is>
      </c>
      <c r="D1958" s="20" t="inlineStr">
        <is>
          <t>KL13Z0062</t>
        </is>
      </c>
      <c r="E1958" s="20" t="inlineStr">
        <is>
          <t>MARUTI SUZUKI</t>
        </is>
      </c>
      <c r="F1958" s="20" t="inlineStr">
        <is>
          <t>Wagon R</t>
        </is>
      </c>
      <c r="G1958" s="21" t="n">
        <v>2012</v>
      </c>
      <c r="H1958" s="22" t="n">
        <v>66180</v>
      </c>
      <c r="I1958" s="23" t="n">
        <v>150000</v>
      </c>
      <c r="J1958" s="20" t="inlineStr">
        <is>
          <t>MARVEL MOTORS</t>
        </is>
      </c>
      <c r="K1958" s="20" t="inlineStr">
        <is>
          <t>Non-Captive</t>
        </is>
      </c>
      <c r="L1958" s="20" t="inlineStr">
        <is>
          <t>POPULAR</t>
        </is>
      </c>
      <c r="M1958" s="23" t="n">
        <v>4237.29</v>
      </c>
      <c r="N1958" s="23" t="n">
        <v>5000</v>
      </c>
      <c r="O1958" s="24">
        <f>IF(AND(ISNUMBER(M1958), ISNUMBER(I1958), I1958&gt;0), M1958/I1958, "")</f>
        <v/>
      </c>
    </row>
    <row r="1959">
      <c r="A1959" s="19" t="inlineStr">
        <is>
          <t>FY27</t>
        </is>
      </c>
      <c r="B1959" s="19" t="inlineStr">
        <is>
          <t>Apr</t>
        </is>
      </c>
      <c r="C1959" s="19" t="inlineStr">
        <is>
          <t>Kerala</t>
        </is>
      </c>
      <c r="D1959" s="20" t="inlineStr">
        <is>
          <t>KL09K4185</t>
        </is>
      </c>
      <c r="E1959" s="20" t="inlineStr">
        <is>
          <t>MARUTI SUZUKI</t>
        </is>
      </c>
      <c r="F1959" s="20" t="inlineStr">
        <is>
          <t>Alto</t>
        </is>
      </c>
      <c r="G1959" s="21" t="n">
        <v>2002</v>
      </c>
      <c r="H1959" s="22" t="n">
        <v>168000</v>
      </c>
      <c r="I1959" s="23" t="n">
        <v>14000</v>
      </c>
      <c r="J1959" s="20" t="inlineStr">
        <is>
          <t>AUTOTRUST</t>
        </is>
      </c>
      <c r="K1959" s="20" t="inlineStr">
        <is>
          <t>Non-Captive</t>
        </is>
      </c>
      <c r="L1959" s="20" t="inlineStr">
        <is>
          <t>INDUS MARUTI</t>
        </is>
      </c>
      <c r="M1959" s="23" t="n">
        <v>4237.29</v>
      </c>
      <c r="N1959" s="23" t="n">
        <v>5000</v>
      </c>
      <c r="O1959" s="24">
        <f>IF(AND(ISNUMBER(M1959), ISNUMBER(I1959), I1959&gt;0), M1959/I1959, "")</f>
        <v/>
      </c>
    </row>
    <row r="1960">
      <c r="A1960" s="19" t="inlineStr">
        <is>
          <t>FY27</t>
        </is>
      </c>
      <c r="B1960" s="19" t="inlineStr">
        <is>
          <t>Apr</t>
        </is>
      </c>
      <c r="C1960" s="19" t="inlineStr">
        <is>
          <t>Kerala</t>
        </is>
      </c>
      <c r="D1960" s="20" t="inlineStr">
        <is>
          <t>KL13E8289</t>
        </is>
      </c>
      <c r="E1960" s="20" t="inlineStr">
        <is>
          <t>MARUTI SUZUKI</t>
        </is>
      </c>
      <c r="F1960" s="20" t="inlineStr">
        <is>
          <t>Esteem</t>
        </is>
      </c>
      <c r="G1960" s="21" t="n">
        <v>1999</v>
      </c>
      <c r="H1960" s="22" t="n">
        <v>230000</v>
      </c>
      <c r="I1960" s="23" t="n">
        <v>10000</v>
      </c>
      <c r="J1960" s="20" t="inlineStr">
        <is>
          <t>AUTOTRUST</t>
        </is>
      </c>
      <c r="K1960" s="20" t="inlineStr">
        <is>
          <t>Non-Captive</t>
        </is>
      </c>
      <c r="L1960" s="20" t="inlineStr">
        <is>
          <t>INDUS MARUTI</t>
        </is>
      </c>
      <c r="M1960" s="23" t="n">
        <v>4237.29</v>
      </c>
      <c r="N1960" s="23" t="n">
        <v>5000</v>
      </c>
      <c r="O1960" s="24">
        <f>IF(AND(ISNUMBER(M1960), ISNUMBER(I1960), I1960&gt;0), M1960/I1960, "")</f>
        <v/>
      </c>
    </row>
    <row r="1961">
      <c r="A1961" s="19" t="inlineStr">
        <is>
          <t>FY27</t>
        </is>
      </c>
      <c r="B1961" s="19" t="inlineStr">
        <is>
          <t>Apr</t>
        </is>
      </c>
      <c r="C1961" s="19" t="inlineStr">
        <is>
          <t>Kerala</t>
        </is>
      </c>
      <c r="D1961" s="20" t="inlineStr">
        <is>
          <t>KL60J5387</t>
        </is>
      </c>
      <c r="E1961" s="20" t="inlineStr">
        <is>
          <t>HYUNDAI</t>
        </is>
      </c>
      <c r="F1961" s="20" t="inlineStr">
        <is>
          <t>Eon</t>
        </is>
      </c>
      <c r="G1961" s="21" t="n">
        <v>2015</v>
      </c>
      <c r="H1961" s="22" t="n">
        <v>98000</v>
      </c>
      <c r="I1961" s="23" t="n">
        <v>75000</v>
      </c>
      <c r="J1961" s="20" t="inlineStr">
        <is>
          <t>VASIL AUTOBOT</t>
        </is>
      </c>
      <c r="K1961" s="20" t="inlineStr">
        <is>
          <t>Non-Captive</t>
        </is>
      </c>
      <c r="L1961" s="20" t="inlineStr">
        <is>
          <t>APCO HYUNDAI</t>
        </is>
      </c>
      <c r="M1961" s="23" t="n">
        <v>5084.75</v>
      </c>
      <c r="N1961" s="23" t="n">
        <v>6000</v>
      </c>
      <c r="O1961" s="24">
        <f>IF(AND(ISNUMBER(M1961), ISNUMBER(I1961), I1961&gt;0), M1961/I1961, "")</f>
        <v/>
      </c>
    </row>
    <row r="1962">
      <c r="A1962" s="19" t="inlineStr">
        <is>
          <t>FY27</t>
        </is>
      </c>
      <c r="B1962" s="19" t="inlineStr">
        <is>
          <t>Apr</t>
        </is>
      </c>
      <c r="C1962" s="19" t="inlineStr">
        <is>
          <t>Kerala</t>
        </is>
      </c>
      <c r="D1962" s="20" t="inlineStr">
        <is>
          <t>KL14H5906</t>
        </is>
      </c>
      <c r="E1962" s="20" t="inlineStr">
        <is>
          <t>HYUNDAI</t>
        </is>
      </c>
      <c r="F1962" s="20" t="inlineStr">
        <is>
          <t>Santro</t>
        </is>
      </c>
      <c r="G1962" s="21" t="n">
        <v>2009</v>
      </c>
      <c r="H1962" s="22" t="n">
        <v>120000</v>
      </c>
      <c r="I1962" s="23" t="n">
        <v>70000</v>
      </c>
      <c r="J1962" s="20" t="inlineStr">
        <is>
          <t>VASIL AUTOBOT</t>
        </is>
      </c>
      <c r="K1962" s="20" t="inlineStr">
        <is>
          <t>Non-Captive</t>
        </is>
      </c>
      <c r="L1962" s="20" t="inlineStr">
        <is>
          <t>APCO HYUNDAI</t>
        </is>
      </c>
      <c r="M1962" s="23" t="n">
        <v>4237.29</v>
      </c>
      <c r="N1962" s="23" t="n">
        <v>5000</v>
      </c>
      <c r="O1962" s="24">
        <f>IF(AND(ISNUMBER(M1962), ISNUMBER(I1962), I1962&gt;0), M1962/I1962, "")</f>
        <v/>
      </c>
    </row>
    <row r="1963">
      <c r="A1963" s="19" t="inlineStr">
        <is>
          <t>FY27</t>
        </is>
      </c>
      <c r="B1963" s="19" t="inlineStr">
        <is>
          <t>Apr</t>
        </is>
      </c>
      <c r="C1963" s="19" t="inlineStr">
        <is>
          <t>Kerala</t>
        </is>
      </c>
      <c r="D1963" s="20" t="inlineStr">
        <is>
          <t>KL14V9215</t>
        </is>
      </c>
      <c r="E1963" s="20" t="inlineStr">
        <is>
          <t>MAHINDRA</t>
        </is>
      </c>
      <c r="F1963" s="20" t="inlineStr">
        <is>
          <t>Kuv100</t>
        </is>
      </c>
      <c r="G1963" s="21" t="n">
        <v>2018</v>
      </c>
      <c r="H1963" s="22" t="n">
        <v>55000</v>
      </c>
      <c r="I1963" s="23" t="n">
        <v>195000</v>
      </c>
      <c r="J1963" s="20" t="inlineStr">
        <is>
          <t>SARITH AUTOBOT</t>
        </is>
      </c>
      <c r="K1963" s="20" t="inlineStr">
        <is>
          <t>Non-Captive</t>
        </is>
      </c>
      <c r="L1963" s="20" t="inlineStr">
        <is>
          <t>KVR TATA KASEGODE</t>
        </is>
      </c>
      <c r="M1963" s="23" t="n">
        <v>5932.2</v>
      </c>
      <c r="N1963" s="23" t="n">
        <v>7000</v>
      </c>
      <c r="O1963" s="24">
        <f>IF(AND(ISNUMBER(M1963), ISNUMBER(I1963), I1963&gt;0), M1963/I1963, "")</f>
        <v/>
      </c>
    </row>
    <row r="1964">
      <c r="A1964" s="19" t="inlineStr">
        <is>
          <t>FY27</t>
        </is>
      </c>
      <c r="B1964" s="19" t="inlineStr">
        <is>
          <t>Apr</t>
        </is>
      </c>
      <c r="C1964" s="19" t="inlineStr">
        <is>
          <t>Kerala</t>
        </is>
      </c>
      <c r="D1964" s="20" t="inlineStr">
        <is>
          <t>KL24D1308</t>
        </is>
      </c>
      <c r="E1964" s="20" t="inlineStr">
        <is>
          <t>HYUNDAI</t>
        </is>
      </c>
      <c r="F1964" s="20" t="inlineStr">
        <is>
          <t>I10</t>
        </is>
      </c>
      <c r="G1964" s="21" t="n">
        <v>2011</v>
      </c>
      <c r="H1964" s="22" t="n">
        <v>106000</v>
      </c>
      <c r="I1964" s="23" t="n">
        <v>50000</v>
      </c>
      <c r="J1964" s="20" t="inlineStr">
        <is>
          <t>PRAJOSH P</t>
        </is>
      </c>
      <c r="K1964" s="20" t="inlineStr">
        <is>
          <t>Non-Captive</t>
        </is>
      </c>
      <c r="L1964" s="20" t="inlineStr">
        <is>
          <t>EVM CETRION</t>
        </is>
      </c>
      <c r="M1964" s="23" t="n">
        <v>4237.29</v>
      </c>
      <c r="N1964" s="23" t="n">
        <v>5000</v>
      </c>
      <c r="O1964" s="24">
        <f>IF(AND(ISNUMBER(M1964), ISNUMBER(I1964), I1964&gt;0), M1964/I1964, "")</f>
        <v/>
      </c>
    </row>
    <row r="1965">
      <c r="A1965" s="19" t="inlineStr">
        <is>
          <t>FY27</t>
        </is>
      </c>
      <c r="B1965" s="19" t="inlineStr">
        <is>
          <t>Apr</t>
        </is>
      </c>
      <c r="C1965" s="19" t="inlineStr">
        <is>
          <t>Kerala</t>
        </is>
      </c>
      <c r="D1965" s="20" t="inlineStr">
        <is>
          <t>KL20L7575</t>
        </is>
      </c>
      <c r="E1965" s="20" t="inlineStr">
        <is>
          <t>VOLKSWAGEN</t>
        </is>
      </c>
      <c r="F1965" s="20" t="inlineStr">
        <is>
          <t>Ameo</t>
        </is>
      </c>
      <c r="G1965" s="21" t="n">
        <v>2017</v>
      </c>
      <c r="H1965" s="22" t="n">
        <v>67000</v>
      </c>
      <c r="I1965" s="23" t="n">
        <v>275000</v>
      </c>
      <c r="J1965" s="20" t="inlineStr">
        <is>
          <t>HAMSA</t>
        </is>
      </c>
      <c r="K1965" s="20" t="inlineStr">
        <is>
          <t>Non-Captive</t>
        </is>
      </c>
      <c r="L1965" s="20" t="inlineStr">
        <is>
          <t>DKH KIA</t>
        </is>
      </c>
      <c r="M1965" s="23" t="n">
        <v>4237.29</v>
      </c>
      <c r="N1965" s="23" t="n">
        <v>5000</v>
      </c>
      <c r="O1965" s="24">
        <f>IF(AND(ISNUMBER(M1965), ISNUMBER(I1965), I1965&gt;0), M1965/I1965, "")</f>
        <v/>
      </c>
    </row>
    <row r="1966">
      <c r="A1966" s="19" t="inlineStr">
        <is>
          <t>FY27</t>
        </is>
      </c>
      <c r="B1966" s="19" t="inlineStr">
        <is>
          <t>Apr</t>
        </is>
      </c>
      <c r="C1966" s="19" t="inlineStr">
        <is>
          <t>Kerala</t>
        </is>
      </c>
      <c r="D1966" s="20" t="inlineStr">
        <is>
          <t>KL59G6672</t>
        </is>
      </c>
      <c r="E1966" s="20" t="inlineStr">
        <is>
          <t>MARUTI SUZUKI</t>
        </is>
      </c>
      <c r="F1966" s="20" t="inlineStr">
        <is>
          <t>Bolero</t>
        </is>
      </c>
      <c r="G1966" s="21" t="n">
        <v>2013</v>
      </c>
      <c r="H1966" s="22" t="n">
        <v>130000</v>
      </c>
      <c r="I1966" s="23" t="n">
        <v>275000</v>
      </c>
      <c r="J1966" s="20" t="inlineStr">
        <is>
          <t>NIDEESH MOHAN</t>
        </is>
      </c>
      <c r="K1966" s="20" t="inlineStr">
        <is>
          <t>Non-Captive</t>
        </is>
      </c>
      <c r="L1966" s="20" t="inlineStr">
        <is>
          <t>VEER MAHINDRA</t>
        </is>
      </c>
      <c r="M1966" s="23" t="n">
        <v>4237.29</v>
      </c>
      <c r="N1966" s="23" t="n">
        <v>5000</v>
      </c>
      <c r="O1966" s="24">
        <f>IF(AND(ISNUMBER(M1966), ISNUMBER(I1966), I1966&gt;0), M1966/I1966, "")</f>
        <v/>
      </c>
    </row>
    <row r="1967">
      <c r="A1967" s="19" t="inlineStr">
        <is>
          <t>FY27</t>
        </is>
      </c>
      <c r="B1967" s="19" t="inlineStr">
        <is>
          <t>Apr</t>
        </is>
      </c>
      <c r="C1967" s="19" t="inlineStr">
        <is>
          <t>Kerala</t>
        </is>
      </c>
      <c r="D1967" s="20" t="inlineStr">
        <is>
          <t>KL11BM0789</t>
        </is>
      </c>
      <c r="E1967" s="20" t="inlineStr">
        <is>
          <t>TATA</t>
        </is>
      </c>
      <c r="F1967" s="20" t="inlineStr">
        <is>
          <t>Tiago</t>
        </is>
      </c>
      <c r="G1967" s="21" t="n">
        <v>2018</v>
      </c>
      <c r="H1967" s="22" t="n">
        <v>60000</v>
      </c>
      <c r="I1967" s="23" t="n">
        <v>295000</v>
      </c>
      <c r="J1967" s="20" t="inlineStr">
        <is>
          <t>CAR ZONE</t>
        </is>
      </c>
      <c r="K1967" s="20" t="inlineStr">
        <is>
          <t>Non-Captive</t>
        </is>
      </c>
      <c r="L1967" s="20" t="inlineStr">
        <is>
          <t>BIMAL</t>
        </is>
      </c>
      <c r="M1967" s="23" t="n">
        <v>4237.29</v>
      </c>
      <c r="N1967" s="23" t="n">
        <v>5000</v>
      </c>
      <c r="O1967" s="24">
        <f>IF(AND(ISNUMBER(M1967), ISNUMBER(I1967), I1967&gt;0), M1967/I1967, "")</f>
        <v/>
      </c>
    </row>
    <row r="1968">
      <c r="A1968" s="19" t="inlineStr">
        <is>
          <t>FY27</t>
        </is>
      </c>
      <c r="B1968" s="19" t="inlineStr">
        <is>
          <t>Apr</t>
        </is>
      </c>
      <c r="C1968" s="19" t="inlineStr">
        <is>
          <t>Kerala</t>
        </is>
      </c>
      <c r="D1968" s="20" t="inlineStr">
        <is>
          <t>KL60L7095</t>
        </is>
      </c>
      <c r="E1968" s="20" t="inlineStr">
        <is>
          <t>RENAULT</t>
        </is>
      </c>
      <c r="F1968" s="20" t="inlineStr">
        <is>
          <t>Kwid</t>
        </is>
      </c>
      <c r="G1968" s="21" t="n">
        <v>2016</v>
      </c>
      <c r="H1968" s="22" t="n">
        <v>73000</v>
      </c>
      <c r="I1968" s="23" t="n">
        <v>137000</v>
      </c>
      <c r="J1968" s="20" t="inlineStr">
        <is>
          <t>Prajosh</t>
        </is>
      </c>
      <c r="K1968" s="20" t="inlineStr">
        <is>
          <t>Non-Captive</t>
        </is>
      </c>
      <c r="L1968" s="20" t="inlineStr">
        <is>
          <t>BIMAL</t>
        </is>
      </c>
      <c r="M1968" s="23" t="n">
        <v>4237.29</v>
      </c>
      <c r="N1968" s="23" t="n">
        <v>5000</v>
      </c>
      <c r="O1968" s="24">
        <f>IF(AND(ISNUMBER(M1968), ISNUMBER(I1968), I1968&gt;0), M1968/I1968, "")</f>
        <v/>
      </c>
    </row>
    <row r="1969">
      <c r="A1969" s="19" t="inlineStr">
        <is>
          <t>FY27</t>
        </is>
      </c>
      <c r="B1969" s="19" t="inlineStr">
        <is>
          <t>Apr</t>
        </is>
      </c>
      <c r="C1969" s="19" t="inlineStr">
        <is>
          <t>Kerala</t>
        </is>
      </c>
      <c r="D1969" s="20" t="inlineStr">
        <is>
          <t>KL11BU2380</t>
        </is>
      </c>
      <c r="E1969" s="20" t="inlineStr">
        <is>
          <t>RENAULT</t>
        </is>
      </c>
      <c r="F1969" s="20" t="inlineStr">
        <is>
          <t>Kwid</t>
        </is>
      </c>
      <c r="G1969" s="21" t="n">
        <v>2021</v>
      </c>
      <c r="H1969" s="22" t="n">
        <v>26000</v>
      </c>
      <c r="I1969" s="23" t="n">
        <v>325000</v>
      </c>
      <c r="J1969" s="20" t="inlineStr">
        <is>
          <t>ABDUL SAMAD</t>
        </is>
      </c>
      <c r="K1969" s="20" t="inlineStr">
        <is>
          <t>Non-Captive</t>
        </is>
      </c>
      <c r="L1969" s="20" t="inlineStr">
        <is>
          <t>APCO HONDA</t>
        </is>
      </c>
      <c r="M1969" s="23" t="n">
        <v>8474.58</v>
      </c>
      <c r="N1969" s="23" t="n">
        <v>10000</v>
      </c>
      <c r="O1969" s="24">
        <f>IF(AND(ISNUMBER(M1969), ISNUMBER(I1969), I1969&gt;0), M1969/I1969, "")</f>
        <v/>
      </c>
    </row>
    <row r="1970">
      <c r="A1970" s="19" t="inlineStr">
        <is>
          <t>FY27</t>
        </is>
      </c>
      <c r="B1970" s="19" t="inlineStr">
        <is>
          <t>Apr</t>
        </is>
      </c>
      <c r="C1970" s="19" t="inlineStr">
        <is>
          <t>Kerala</t>
        </is>
      </c>
      <c r="D1970" s="20" t="inlineStr">
        <is>
          <t>KL45L2364</t>
        </is>
      </c>
      <c r="E1970" s="20" t="inlineStr">
        <is>
          <t>SKODA</t>
        </is>
      </c>
      <c r="F1970" s="20" t="inlineStr">
        <is>
          <t>Rapid</t>
        </is>
      </c>
      <c r="G1970" s="21" t="n"/>
      <c r="H1970" s="22" t="n">
        <v>148941</v>
      </c>
      <c r="I1970" s="23" t="n">
        <v>200000</v>
      </c>
      <c r="J1970" s="20" t="inlineStr">
        <is>
          <t>PHOENIX VOLKSWAGEN</t>
        </is>
      </c>
      <c r="K1970" s="20" t="inlineStr">
        <is>
          <t>Non-Captive</t>
        </is>
      </c>
      <c r="L1970" s="20" t="inlineStr">
        <is>
          <t>MUHAMMED SHAJI</t>
        </is>
      </c>
      <c r="M1970" s="23" t="n">
        <v>8474.58</v>
      </c>
      <c r="N1970" s="23" t="n">
        <v>10000</v>
      </c>
      <c r="O1970" s="24">
        <f>IF(AND(ISNUMBER(M1970), ISNUMBER(I1970), I1970&gt;0), M1970/I1970, "")</f>
        <v/>
      </c>
    </row>
    <row r="1971">
      <c r="A1971" s="19" t="inlineStr">
        <is>
          <t>FY27</t>
        </is>
      </c>
      <c r="B1971" s="19" t="inlineStr">
        <is>
          <t>Apr</t>
        </is>
      </c>
      <c r="C1971" s="19" t="inlineStr">
        <is>
          <t>Kerala</t>
        </is>
      </c>
      <c r="D1971" s="20" t="inlineStr">
        <is>
          <t>KL39D7804</t>
        </is>
      </c>
      <c r="E1971" s="20" t="inlineStr">
        <is>
          <t>MARUTI SUZUKI</t>
        </is>
      </c>
      <c r="F1971" s="20" t="inlineStr">
        <is>
          <t>Swift</t>
        </is>
      </c>
      <c r="G1971" s="21" t="n"/>
      <c r="H1971" s="22" t="n">
        <v>144966</v>
      </c>
      <c r="I1971" s="23" t="n">
        <v>225000</v>
      </c>
      <c r="J1971" s="20" t="inlineStr">
        <is>
          <t>INDUS MARUTI</t>
        </is>
      </c>
      <c r="K1971" s="20" t="inlineStr">
        <is>
          <t>Non-Captive</t>
        </is>
      </c>
      <c r="L1971" s="20" t="inlineStr">
        <is>
          <t>HUSSAIN O E</t>
        </is>
      </c>
      <c r="M1971" s="23" t="n">
        <v>8474.58</v>
      </c>
      <c r="N1971" s="23" t="n">
        <v>10000</v>
      </c>
      <c r="O1971" s="24">
        <f>IF(AND(ISNUMBER(M1971), ISNUMBER(I1971), I1971&gt;0), M1971/I1971, "")</f>
        <v/>
      </c>
    </row>
    <row r="1972">
      <c r="A1972" s="19" t="inlineStr">
        <is>
          <t>FY27</t>
        </is>
      </c>
      <c r="B1972" s="19" t="inlineStr">
        <is>
          <t>Apr</t>
        </is>
      </c>
      <c r="C1972" s="19" t="inlineStr">
        <is>
          <t>Kerala</t>
        </is>
      </c>
      <c r="D1972" s="20" t="inlineStr">
        <is>
          <t>KL07CV1873</t>
        </is>
      </c>
      <c r="E1972" s="20" t="inlineStr">
        <is>
          <t>KIA</t>
        </is>
      </c>
      <c r="F1972" s="20" t="inlineStr">
        <is>
          <t>Seltos</t>
        </is>
      </c>
      <c r="G1972" s="21" t="n"/>
      <c r="H1972" s="22" t="n">
        <v>48056</v>
      </c>
      <c r="I1972" s="23" t="n">
        <v>950000</v>
      </c>
      <c r="J1972" s="20" t="inlineStr">
        <is>
          <t>EVM SKODA</t>
        </is>
      </c>
      <c r="K1972" s="20" t="inlineStr">
        <is>
          <t>Non-Captive</t>
        </is>
      </c>
      <c r="L1972" s="20" t="inlineStr">
        <is>
          <t>VISHNU M S</t>
        </is>
      </c>
      <c r="M1972" s="23" t="n">
        <v>8474.58</v>
      </c>
      <c r="N1972" s="23" t="n">
        <v>10000</v>
      </c>
      <c r="O1972" s="24">
        <f>IF(AND(ISNUMBER(M1972), ISNUMBER(I1972), I1972&gt;0), M1972/I1972, "")</f>
        <v/>
      </c>
    </row>
    <row r="1973">
      <c r="A1973" s="19" t="inlineStr">
        <is>
          <t>FY27</t>
        </is>
      </c>
      <c r="B1973" s="19" t="inlineStr">
        <is>
          <t>Apr</t>
        </is>
      </c>
      <c r="C1973" s="19" t="inlineStr">
        <is>
          <t>Kerala</t>
        </is>
      </c>
      <c r="D1973" s="20" t="inlineStr">
        <is>
          <t>KL67B1800</t>
        </is>
      </c>
      <c r="E1973" s="20" t="inlineStr">
        <is>
          <t>HYUNDAI</t>
        </is>
      </c>
      <c r="F1973" s="20" t="inlineStr">
        <is>
          <t>Verna</t>
        </is>
      </c>
      <c r="G1973" s="21" t="n"/>
      <c r="H1973" s="22" t="n">
        <v>88281</v>
      </c>
      <c r="I1973" s="23" t="n">
        <v>440000</v>
      </c>
      <c r="J1973" s="20" t="inlineStr">
        <is>
          <t>KESHVIN HYUNDAI</t>
        </is>
      </c>
      <c r="K1973" s="20" t="inlineStr">
        <is>
          <t>Non-Captive</t>
        </is>
      </c>
      <c r="L1973" s="20" t="inlineStr">
        <is>
          <t>HUSSAIN O E</t>
        </is>
      </c>
      <c r="M1973" s="23" t="n">
        <v>8474.58</v>
      </c>
      <c r="N1973" s="23" t="n">
        <v>10000</v>
      </c>
      <c r="O1973" s="24">
        <f>IF(AND(ISNUMBER(M1973), ISNUMBER(I1973), I1973&gt;0), M1973/I1973, "")</f>
        <v/>
      </c>
    </row>
    <row r="1974">
      <c r="A1974" s="19" t="inlineStr">
        <is>
          <t>FY27</t>
        </is>
      </c>
      <c r="B1974" s="19" t="inlineStr">
        <is>
          <t>Apr</t>
        </is>
      </c>
      <c r="C1974" s="19" t="inlineStr">
        <is>
          <t>Kerala</t>
        </is>
      </c>
      <c r="D1974" s="20" t="inlineStr">
        <is>
          <t>KL315638</t>
        </is>
      </c>
      <c r="E1974" s="20" t="inlineStr">
        <is>
          <t>nan</t>
        </is>
      </c>
      <c r="F1974" s="20" t="inlineStr">
        <is>
          <t>nan</t>
        </is>
      </c>
      <c r="G1974" s="21" t="n"/>
      <c r="H1974" s="22" t="n">
        <v>300000</v>
      </c>
      <c r="I1974" s="23" t="n">
        <v>170000</v>
      </c>
      <c r="J1974" s="20" t="inlineStr"/>
      <c r="K1974" s="20" t="inlineStr">
        <is>
          <t>Non-Captive</t>
        </is>
      </c>
      <c r="L1974" s="20" t="inlineStr">
        <is>
          <t>SAJITH.LEAPS TRUACKS</t>
        </is>
      </c>
      <c r="M1974" s="23" t="n">
        <v>5084.75</v>
      </c>
      <c r="N1974" s="23" t="n">
        <v>6000</v>
      </c>
      <c r="O1974" s="24">
        <f>IF(AND(ISNUMBER(M1974), ISNUMBER(I1974), I1974&gt;0), M1974/I1974, "")</f>
        <v/>
      </c>
    </row>
    <row r="1975">
      <c r="A1975" s="19" t="inlineStr">
        <is>
          <t>FY27</t>
        </is>
      </c>
      <c r="B1975" s="19" t="inlineStr">
        <is>
          <t>Apr</t>
        </is>
      </c>
      <c r="C1975" s="19" t="inlineStr">
        <is>
          <t>Kerala</t>
        </is>
      </c>
      <c r="D1975" s="20" t="inlineStr">
        <is>
          <t>KL16Q5004</t>
        </is>
      </c>
      <c r="E1975" s="20" t="inlineStr">
        <is>
          <t>NISSAN</t>
        </is>
      </c>
      <c r="F1975" s="20" t="inlineStr">
        <is>
          <t>Terrano</t>
        </is>
      </c>
      <c r="G1975" s="21" t="n"/>
      <c r="H1975" s="22" t="n">
        <v>147905</v>
      </c>
      <c r="I1975" s="23" t="n">
        <v>365000</v>
      </c>
      <c r="J1975" s="20" t="inlineStr">
        <is>
          <t>ALBIN</t>
        </is>
      </c>
      <c r="K1975" s="20" t="inlineStr">
        <is>
          <t>Non-Captive</t>
        </is>
      </c>
      <c r="L1975" s="20" t="inlineStr">
        <is>
          <t>RAFEEK T A</t>
        </is>
      </c>
      <c r="M1975" s="23" t="n">
        <v>8474.58</v>
      </c>
      <c r="N1975" s="23" t="n">
        <v>10000</v>
      </c>
      <c r="O1975" s="24">
        <f>IF(AND(ISNUMBER(M1975), ISNUMBER(I1975), I1975&gt;0), M1975/I1975, "")</f>
        <v/>
      </c>
    </row>
    <row r="1976">
      <c r="A1976" s="19" t="inlineStr">
        <is>
          <t>FY27</t>
        </is>
      </c>
      <c r="B1976" s="19" t="inlineStr">
        <is>
          <t>Apr</t>
        </is>
      </c>
      <c r="C1976" s="19" t="inlineStr">
        <is>
          <t>Kerala</t>
        </is>
      </c>
      <c r="D1976" s="20" t="inlineStr">
        <is>
          <t>KL08BK5112</t>
        </is>
      </c>
      <c r="E1976" s="20" t="inlineStr">
        <is>
          <t>FORD</t>
        </is>
      </c>
      <c r="F1976" s="20" t="inlineStr">
        <is>
          <t>Ecosport</t>
        </is>
      </c>
      <c r="G1976" s="21" t="n"/>
      <c r="H1976" s="22" t="n">
        <v>61566</v>
      </c>
      <c r="I1976" s="23" t="n">
        <v>450000</v>
      </c>
      <c r="J1976" s="20" t="inlineStr">
        <is>
          <t>POPULAR MARUTI</t>
        </is>
      </c>
      <c r="K1976" s="20" t="inlineStr">
        <is>
          <t>Non-Captive</t>
        </is>
      </c>
      <c r="L1976" s="20" t="inlineStr">
        <is>
          <t>AITOS CARS</t>
        </is>
      </c>
      <c r="M1976" s="23" t="n">
        <v>8474.58</v>
      </c>
      <c r="N1976" s="23" t="n">
        <v>10000</v>
      </c>
      <c r="O1976" s="24">
        <f>IF(AND(ISNUMBER(M1976), ISNUMBER(I1976), I1976&gt;0), M1976/I1976, "")</f>
        <v/>
      </c>
    </row>
    <row r="1977">
      <c r="A1977" s="19" t="inlineStr">
        <is>
          <t>FY27</t>
        </is>
      </c>
      <c r="B1977" s="19" t="inlineStr">
        <is>
          <t>Apr</t>
        </is>
      </c>
      <c r="C1977" s="19" t="inlineStr">
        <is>
          <t>Kerala</t>
        </is>
      </c>
      <c r="D1977" s="20" t="inlineStr">
        <is>
          <t>KL43N1212</t>
        </is>
      </c>
      <c r="E1977" s="20" t="inlineStr">
        <is>
          <t>KIA</t>
        </is>
      </c>
      <c r="F1977" s="20" t="inlineStr">
        <is>
          <t>Seltos</t>
        </is>
      </c>
      <c r="G1977" s="21" t="n"/>
      <c r="H1977" s="22" t="n">
        <v>49000</v>
      </c>
      <c r="I1977" s="23" t="n">
        <v>813000</v>
      </c>
      <c r="J1977" s="20" t="inlineStr">
        <is>
          <t>LUXON TATA</t>
        </is>
      </c>
      <c r="K1977" s="20" t="inlineStr">
        <is>
          <t>Non-Captive</t>
        </is>
      </c>
      <c r="L1977" s="20" t="inlineStr">
        <is>
          <t>HAVEN MOTORS</t>
        </is>
      </c>
      <c r="M1977" s="23" t="n">
        <v>8474.58</v>
      </c>
      <c r="N1977" s="23" t="n">
        <v>10000</v>
      </c>
      <c r="O1977" s="24">
        <f>IF(AND(ISNUMBER(M1977), ISNUMBER(I1977), I1977&gt;0), M1977/I1977, "")</f>
        <v/>
      </c>
    </row>
    <row r="1978">
      <c r="A1978" s="19" t="inlineStr">
        <is>
          <t>FY27</t>
        </is>
      </c>
      <c r="B1978" s="19" t="inlineStr">
        <is>
          <t>Apr</t>
        </is>
      </c>
      <c r="C1978" s="19" t="inlineStr">
        <is>
          <t>Kerala</t>
        </is>
      </c>
      <c r="D1978" s="20" t="inlineStr">
        <is>
          <t>KL07BG9678</t>
        </is>
      </c>
      <c r="E1978" s="20" t="inlineStr">
        <is>
          <t>MARUTI SUZUKI</t>
        </is>
      </c>
      <c r="F1978" s="20" t="inlineStr">
        <is>
          <t>Estilo</t>
        </is>
      </c>
      <c r="G1978" s="21" t="n"/>
      <c r="H1978" s="22" t="n">
        <v>424552</v>
      </c>
      <c r="I1978" s="23" t="n">
        <v>55000</v>
      </c>
      <c r="J1978" s="20" t="inlineStr">
        <is>
          <t>POPULAR MARUTI</t>
        </is>
      </c>
      <c r="K1978" s="20" t="inlineStr">
        <is>
          <t>Non-Captive</t>
        </is>
      </c>
      <c r="L1978" s="20" t="inlineStr">
        <is>
          <t>ANAS VH</t>
        </is>
      </c>
      <c r="M1978" s="23" t="n">
        <v>8474.58</v>
      </c>
      <c r="N1978" s="23" t="n">
        <v>10000</v>
      </c>
      <c r="O1978" s="24">
        <f>IF(AND(ISNUMBER(M1978), ISNUMBER(I1978), I1978&gt;0), M1978/I1978, "")</f>
        <v/>
      </c>
    </row>
    <row r="1979">
      <c r="A1979" s="19" t="inlineStr">
        <is>
          <t>FY27</t>
        </is>
      </c>
      <c r="B1979" s="19" t="inlineStr">
        <is>
          <t>Apr</t>
        </is>
      </c>
      <c r="C1979" s="19" t="inlineStr">
        <is>
          <t>Kerala</t>
        </is>
      </c>
      <c r="D1979" s="20" t="inlineStr">
        <is>
          <t>KL07CR9102</t>
        </is>
      </c>
      <c r="E1979" s="20" t="inlineStr">
        <is>
          <t>HONDA</t>
        </is>
      </c>
      <c r="F1979" s="20" t="inlineStr">
        <is>
          <t>Amaze</t>
        </is>
      </c>
      <c r="G1979" s="21" t="n"/>
      <c r="H1979" s="22" t="n">
        <v>62000</v>
      </c>
      <c r="I1979" s="23" t="n">
        <v>420000</v>
      </c>
      <c r="J1979" s="20" t="inlineStr">
        <is>
          <t>CARNIVAL CARS</t>
        </is>
      </c>
      <c r="K1979" s="20" t="inlineStr">
        <is>
          <t>Non-Captive</t>
        </is>
      </c>
      <c r="L1979" s="20" t="inlineStr">
        <is>
          <t>VTJ</t>
        </is>
      </c>
      <c r="M1979" s="23" t="n">
        <v>8474.58</v>
      </c>
      <c r="N1979" s="23" t="n">
        <v>10000</v>
      </c>
      <c r="O1979" s="24">
        <f>IF(AND(ISNUMBER(M1979), ISNUMBER(I1979), I1979&gt;0), M1979/I1979, "")</f>
        <v/>
      </c>
    </row>
    <row r="1980">
      <c r="A1980" s="19" t="inlineStr">
        <is>
          <t>FY27</t>
        </is>
      </c>
      <c r="B1980" s="19" t="inlineStr">
        <is>
          <t>Apr</t>
        </is>
      </c>
      <c r="C1980" s="19" t="inlineStr">
        <is>
          <t>Kerala</t>
        </is>
      </c>
      <c r="D1980" s="20" t="inlineStr">
        <is>
          <t>KL58J8563</t>
        </is>
      </c>
      <c r="E1980" s="20" t="inlineStr">
        <is>
          <t>HYUNDAI</t>
        </is>
      </c>
      <c r="F1980" s="20" t="inlineStr">
        <is>
          <t>Eon</t>
        </is>
      </c>
      <c r="G1980" s="21" t="n">
        <v>2013</v>
      </c>
      <c r="H1980" s="22" t="n">
        <v>63000</v>
      </c>
      <c r="I1980" s="23" t="n">
        <v>135000</v>
      </c>
      <c r="J1980" s="20" t="inlineStr">
        <is>
          <t>KANNUR PLATINUM</t>
        </is>
      </c>
      <c r="K1980" s="20" t="inlineStr">
        <is>
          <t>Non-Captive</t>
        </is>
      </c>
      <c r="L1980" s="20" t="inlineStr">
        <is>
          <t>PRJOSH</t>
        </is>
      </c>
      <c r="M1980" s="23" t="n">
        <v>4237.29</v>
      </c>
      <c r="N1980" s="23" t="n">
        <v>5000</v>
      </c>
      <c r="O1980" s="24">
        <f>IF(AND(ISNUMBER(M1980), ISNUMBER(I1980), I1980&gt;0), M1980/I1980, "")</f>
        <v/>
      </c>
    </row>
    <row r="1981">
      <c r="A1981" s="19" t="inlineStr">
        <is>
          <t>FY27</t>
        </is>
      </c>
      <c r="B1981" s="19" t="inlineStr">
        <is>
          <t>Apr</t>
        </is>
      </c>
      <c r="C1981" s="19" t="inlineStr">
        <is>
          <t>Kerala</t>
        </is>
      </c>
      <c r="D1981" s="20" t="inlineStr">
        <is>
          <t>KL58Q5944</t>
        </is>
      </c>
      <c r="E1981" s="20" t="inlineStr">
        <is>
          <t>MARUTI SUZUKI</t>
        </is>
      </c>
      <c r="F1981" s="20" t="inlineStr">
        <is>
          <t>Swift</t>
        </is>
      </c>
      <c r="G1981" s="21" t="n">
        <v>2015</v>
      </c>
      <c r="H1981" s="22" t="n">
        <v>51000</v>
      </c>
      <c r="I1981" s="23" t="n">
        <v>325000</v>
      </c>
      <c r="J1981" s="20" t="inlineStr">
        <is>
          <t>SARITH AUTOBOT</t>
        </is>
      </c>
      <c r="K1981" s="20" t="inlineStr">
        <is>
          <t>Non-Captive</t>
        </is>
      </c>
      <c r="L1981" s="20" t="inlineStr">
        <is>
          <t>APCO HYUNDAI</t>
        </is>
      </c>
      <c r="M1981" s="23" t="n">
        <v>5932.2</v>
      </c>
      <c r="N1981" s="23" t="n">
        <v>7000</v>
      </c>
      <c r="O1981" s="24">
        <f>IF(AND(ISNUMBER(M1981), ISNUMBER(I1981), I1981&gt;0), M1981/I1981, "")</f>
        <v/>
      </c>
    </row>
    <row r="1982">
      <c r="A1982" s="19" t="inlineStr">
        <is>
          <t>FY27</t>
        </is>
      </c>
      <c r="B1982" s="19" t="inlineStr">
        <is>
          <t>Apr</t>
        </is>
      </c>
      <c r="C1982" s="19" t="inlineStr">
        <is>
          <t>Kerala</t>
        </is>
      </c>
      <c r="D1982" s="20" t="inlineStr">
        <is>
          <t>KL58X7315</t>
        </is>
      </c>
      <c r="E1982" s="20" t="inlineStr">
        <is>
          <t>MARUTI SUZUKI</t>
        </is>
      </c>
      <c r="F1982" s="20" t="inlineStr">
        <is>
          <t>Ignis</t>
        </is>
      </c>
      <c r="G1982" s="21" t="n">
        <v>2018</v>
      </c>
      <c r="H1982" s="22" t="n">
        <v>55000</v>
      </c>
      <c r="I1982" s="23" t="n">
        <v>390000</v>
      </c>
      <c r="J1982" s="20" t="inlineStr">
        <is>
          <t>PRAJOSH</t>
        </is>
      </c>
      <c r="K1982" s="20" t="inlineStr">
        <is>
          <t>Non-Captive</t>
        </is>
      </c>
      <c r="L1982" s="20" t="inlineStr">
        <is>
          <t>TOYOTA FINANCE</t>
        </is>
      </c>
      <c r="M1982" s="23" t="n">
        <v>4237.29</v>
      </c>
      <c r="N1982" s="23" t="n">
        <v>5000</v>
      </c>
      <c r="O1982" s="24">
        <f>IF(AND(ISNUMBER(M1982), ISNUMBER(I1982), I1982&gt;0), M1982/I1982, "")</f>
        <v/>
      </c>
    </row>
    <row r="1983">
      <c r="A1983" s="19" t="inlineStr">
        <is>
          <t>FY27</t>
        </is>
      </c>
      <c r="B1983" s="19" t="inlineStr">
        <is>
          <t>Apr</t>
        </is>
      </c>
      <c r="C1983" s="19" t="inlineStr">
        <is>
          <t>Kerala</t>
        </is>
      </c>
      <c r="D1983" s="20" t="inlineStr">
        <is>
          <t>KL60P4478</t>
        </is>
      </c>
      <c r="E1983" s="20" t="inlineStr">
        <is>
          <t>TATA</t>
        </is>
      </c>
      <c r="F1983" s="20" t="inlineStr">
        <is>
          <t>Tiago</t>
        </is>
      </c>
      <c r="G1983" s="21" t="n">
        <v>2018</v>
      </c>
      <c r="H1983" s="22" t="n">
        <v>65000</v>
      </c>
      <c r="I1983" s="23" t="n">
        <v>255000</v>
      </c>
      <c r="J1983" s="20" t="inlineStr">
        <is>
          <t>PRAJOSH</t>
        </is>
      </c>
      <c r="K1983" s="20" t="inlineStr">
        <is>
          <t>Non-Captive</t>
        </is>
      </c>
      <c r="L1983" s="20" t="inlineStr">
        <is>
          <t>KVR TATA</t>
        </is>
      </c>
      <c r="M1983" s="23" t="n">
        <v>4237.29</v>
      </c>
      <c r="N1983" s="23" t="n">
        <v>5000</v>
      </c>
      <c r="O1983" s="24">
        <f>IF(AND(ISNUMBER(M1983), ISNUMBER(I1983), I1983&gt;0), M1983/I1983, "")</f>
        <v/>
      </c>
    </row>
    <row r="1984">
      <c r="A1984" s="19" t="inlineStr">
        <is>
          <t>FY27</t>
        </is>
      </c>
      <c r="B1984" s="19" t="inlineStr">
        <is>
          <t>Apr</t>
        </is>
      </c>
      <c r="C1984" s="19" t="inlineStr">
        <is>
          <t>Kerala</t>
        </is>
      </c>
      <c r="D1984" s="20" t="inlineStr">
        <is>
          <t>KL266452</t>
        </is>
      </c>
      <c r="E1984" s="20" t="inlineStr">
        <is>
          <t>MARUTI SUZUKI</t>
        </is>
      </c>
      <c r="F1984" s="20" t="inlineStr">
        <is>
          <t>Alto</t>
        </is>
      </c>
      <c r="G1984" s="21" t="n"/>
      <c r="H1984" s="22" t="n">
        <v>102000</v>
      </c>
      <c r="I1984" s="23" t="n">
        <v>30000</v>
      </c>
      <c r="J1984" s="20" t="inlineStr">
        <is>
          <t>SANTHOSH</t>
        </is>
      </c>
      <c r="K1984" s="20" t="inlineStr">
        <is>
          <t>Non-Captive</t>
        </is>
      </c>
      <c r="L1984" s="20" t="inlineStr">
        <is>
          <t>POPULAR MARUTI</t>
        </is>
      </c>
      <c r="M1984" s="23" t="n">
        <v>4237.29</v>
      </c>
      <c r="N1984" s="23" t="n">
        <v>5000</v>
      </c>
      <c r="O1984" s="24">
        <f>IF(AND(ISNUMBER(M1984), ISNUMBER(I1984), I1984&gt;0), M1984/I1984, "")</f>
        <v/>
      </c>
    </row>
    <row r="1985">
      <c r="A1985" s="19" t="inlineStr">
        <is>
          <t>FY27</t>
        </is>
      </c>
      <c r="B1985" s="19" t="inlineStr">
        <is>
          <t>Apr</t>
        </is>
      </c>
      <c r="C1985" s="19" t="inlineStr">
        <is>
          <t>Kerala</t>
        </is>
      </c>
      <c r="D1985" s="20" t="inlineStr">
        <is>
          <t>KL195397</t>
        </is>
      </c>
      <c r="E1985" s="20" t="inlineStr">
        <is>
          <t>MARUTI SUZUKI</t>
        </is>
      </c>
      <c r="F1985" s="20" t="inlineStr">
        <is>
          <t>Wagon R</t>
        </is>
      </c>
      <c r="G1985" s="21" t="n"/>
      <c r="H1985" s="22" t="n">
        <v>100300</v>
      </c>
      <c r="I1985" s="23" t="n">
        <v>55000</v>
      </c>
      <c r="J1985" s="20" t="inlineStr">
        <is>
          <t>MUHSIN</t>
        </is>
      </c>
      <c r="K1985" s="20" t="inlineStr">
        <is>
          <t>Non-Captive</t>
        </is>
      </c>
      <c r="L1985" s="20" t="inlineStr">
        <is>
          <t>PPS KIA</t>
        </is>
      </c>
      <c r="M1985" s="23" t="n">
        <v>4237.29</v>
      </c>
      <c r="N1985" s="23" t="n">
        <v>5000</v>
      </c>
      <c r="O1985" s="24">
        <f>IF(AND(ISNUMBER(M1985), ISNUMBER(I1985), I1985&gt;0), M1985/I1985, "")</f>
        <v/>
      </c>
    </row>
    <row r="1986">
      <c r="A1986" s="19" t="inlineStr">
        <is>
          <t>FY27</t>
        </is>
      </c>
      <c r="B1986" s="19" t="inlineStr">
        <is>
          <t>Apr</t>
        </is>
      </c>
      <c r="C1986" s="19" t="inlineStr">
        <is>
          <t>Kerala</t>
        </is>
      </c>
      <c r="D1986" s="20" t="inlineStr">
        <is>
          <t>KL24U8812</t>
        </is>
      </c>
      <c r="E1986" s="20" t="inlineStr">
        <is>
          <t>HYUNDAI</t>
        </is>
      </c>
      <c r="F1986" s="20" t="inlineStr">
        <is>
          <t>Venue</t>
        </is>
      </c>
      <c r="G1986" s="21" t="n"/>
      <c r="H1986" s="22" t="n">
        <v>39887</v>
      </c>
      <c r="I1986" s="23" t="n">
        <v>650000</v>
      </c>
      <c r="J1986" s="20" t="inlineStr">
        <is>
          <t>SAIDALI</t>
        </is>
      </c>
      <c r="K1986" s="20" t="inlineStr">
        <is>
          <t>Non-Captive</t>
        </is>
      </c>
      <c r="L1986" s="20" t="inlineStr">
        <is>
          <t>INDUS MARUTI</t>
        </is>
      </c>
      <c r="M1986" s="23" t="n">
        <v>5932.2</v>
      </c>
      <c r="N1986" s="23" t="n">
        <v>7000</v>
      </c>
      <c r="O1986" s="24">
        <f>IF(AND(ISNUMBER(M1986), ISNUMBER(I1986), I1986&gt;0), M1986/I1986, "")</f>
        <v/>
      </c>
    </row>
    <row r="1987">
      <c r="A1987" s="19" t="inlineStr">
        <is>
          <t>FY27</t>
        </is>
      </c>
      <c r="B1987" s="19" t="inlineStr">
        <is>
          <t>Apr</t>
        </is>
      </c>
      <c r="C1987" s="19" t="inlineStr">
        <is>
          <t>Kerala</t>
        </is>
      </c>
      <c r="D1987" s="20" t="inlineStr">
        <is>
          <t>KL16J8335</t>
        </is>
      </c>
      <c r="E1987" s="20" t="inlineStr">
        <is>
          <t>VOLKSWAGEN</t>
        </is>
      </c>
      <c r="F1987" s="20" t="inlineStr">
        <is>
          <t>Polo</t>
        </is>
      </c>
      <c r="G1987" s="21" t="n"/>
      <c r="H1987" s="22" t="n">
        <v>87993</v>
      </c>
      <c r="I1987" s="23" t="n">
        <v>175000</v>
      </c>
      <c r="J1987" s="20" t="inlineStr">
        <is>
          <t>VARUN</t>
        </is>
      </c>
      <c r="K1987" s="20" t="inlineStr">
        <is>
          <t>Non-Captive</t>
        </is>
      </c>
      <c r="L1987" s="20" t="inlineStr">
        <is>
          <t>ANOOP</t>
        </is>
      </c>
      <c r="M1987" s="23" t="n">
        <v>5932.2</v>
      </c>
      <c r="N1987" s="23" t="n">
        <v>7000</v>
      </c>
      <c r="O1987" s="24">
        <f>IF(AND(ISNUMBER(M1987), ISNUMBER(I1987), I1987&gt;0), M1987/I1987, "")</f>
        <v/>
      </c>
    </row>
    <row r="1988">
      <c r="A1988" s="19" t="inlineStr">
        <is>
          <t>FY27</t>
        </is>
      </c>
      <c r="B1988" s="19" t="inlineStr">
        <is>
          <t>Apr</t>
        </is>
      </c>
      <c r="C1988" s="19" t="inlineStr">
        <is>
          <t>Kerala</t>
        </is>
      </c>
      <c r="D1988" s="20" t="inlineStr">
        <is>
          <t>KL02S3932</t>
        </is>
      </c>
      <c r="E1988" s="20" t="inlineStr">
        <is>
          <t>MARUTI SUZUKI</t>
        </is>
      </c>
      <c r="F1988" s="20" t="inlineStr">
        <is>
          <t>Alto</t>
        </is>
      </c>
      <c r="G1988" s="21" t="n"/>
      <c r="H1988" s="22" t="n">
        <v>87012</v>
      </c>
      <c r="I1988" s="23" t="n">
        <v>35000</v>
      </c>
      <c r="J1988" s="20" t="inlineStr">
        <is>
          <t>MITHUN BABU</t>
        </is>
      </c>
      <c r="K1988" s="20" t="inlineStr">
        <is>
          <t>Non-Captive</t>
        </is>
      </c>
      <c r="L1988" s="20" t="inlineStr">
        <is>
          <t>AKHILNATH</t>
        </is>
      </c>
      <c r="M1988" s="23" t="n">
        <v>4237.29</v>
      </c>
      <c r="N1988" s="23" t="n">
        <v>5000</v>
      </c>
      <c r="O1988" s="24">
        <f>IF(AND(ISNUMBER(M1988), ISNUMBER(I1988), I1988&gt;0), M1988/I1988, "")</f>
        <v/>
      </c>
    </row>
    <row r="1989">
      <c r="A1989" s="19" t="inlineStr">
        <is>
          <t>FY27</t>
        </is>
      </c>
      <c r="B1989" s="19" t="inlineStr">
        <is>
          <t>Apr</t>
        </is>
      </c>
      <c r="C1989" s="19" t="inlineStr">
        <is>
          <t>Kerala</t>
        </is>
      </c>
      <c r="D1989" s="20" t="inlineStr">
        <is>
          <t>KL18X0919</t>
        </is>
      </c>
      <c r="E1989" s="20" t="inlineStr">
        <is>
          <t>MARUTI SUZUKI</t>
        </is>
      </c>
      <c r="F1989" s="20" t="inlineStr">
        <is>
          <t>Brezza</t>
        </is>
      </c>
      <c r="G1989" s="21" t="n">
        <v>2019</v>
      </c>
      <c r="H1989" s="22" t="n">
        <v>130000</v>
      </c>
      <c r="I1989" s="23" t="n">
        <v>610000</v>
      </c>
      <c r="J1989" s="20" t="inlineStr">
        <is>
          <t>FAHAD TOKYO CARS</t>
        </is>
      </c>
      <c r="K1989" s="20" t="inlineStr">
        <is>
          <t>Non-Captive</t>
        </is>
      </c>
      <c r="L1989" s="20" t="inlineStr">
        <is>
          <t>AMANA TOYOTA</t>
        </is>
      </c>
      <c r="M1989" s="23" t="n">
        <v>6779.66</v>
      </c>
      <c r="N1989" s="23" t="n">
        <v>8000</v>
      </c>
      <c r="O1989" s="24">
        <f>IF(AND(ISNUMBER(M1989), ISNUMBER(I1989), I1989&gt;0), M1989/I1989, "")</f>
        <v/>
      </c>
    </row>
    <row r="1990">
      <c r="A1990" s="19" t="inlineStr">
        <is>
          <t>FY27</t>
        </is>
      </c>
      <c r="B1990" s="19" t="inlineStr">
        <is>
          <t>Apr</t>
        </is>
      </c>
      <c r="C1990" s="19" t="inlineStr">
        <is>
          <t>Kerala</t>
        </is>
      </c>
      <c r="D1990" s="20" t="inlineStr">
        <is>
          <t>KL60S4874</t>
        </is>
      </c>
      <c r="E1990" s="20" t="inlineStr">
        <is>
          <t>MARUTI SUZUKI</t>
        </is>
      </c>
      <c r="F1990" s="20" t="inlineStr">
        <is>
          <t>Alto</t>
        </is>
      </c>
      <c r="G1990" s="21" t="n">
        <v>2021</v>
      </c>
      <c r="H1990" s="22" t="n">
        <v>52000</v>
      </c>
      <c r="I1990" s="23" t="n">
        <v>280000</v>
      </c>
      <c r="J1990" s="20" t="inlineStr">
        <is>
          <t>FAHAD TOKYO CARS</t>
        </is>
      </c>
      <c r="K1990" s="20" t="inlineStr">
        <is>
          <t>Non-Captive</t>
        </is>
      </c>
      <c r="L1990" s="20" t="inlineStr">
        <is>
          <t>SHAJEE CARS</t>
        </is>
      </c>
      <c r="M1990" s="23" t="n">
        <v>5932.2</v>
      </c>
      <c r="N1990" s="23" t="n">
        <v>7000</v>
      </c>
      <c r="O1990" s="24">
        <f>IF(AND(ISNUMBER(M1990), ISNUMBER(I1990), I1990&gt;0), M1990/I1990, "")</f>
        <v/>
      </c>
    </row>
    <row r="1991">
      <c r="A1991" s="19" t="inlineStr">
        <is>
          <t>FY27</t>
        </is>
      </c>
      <c r="B1991" s="19" t="inlineStr">
        <is>
          <t>Apr</t>
        </is>
      </c>
      <c r="C1991" s="19" t="inlineStr">
        <is>
          <t>Kerala</t>
        </is>
      </c>
      <c r="D1991" s="20" t="inlineStr">
        <is>
          <t>KL42N2145</t>
        </is>
      </c>
      <c r="E1991" s="20" t="inlineStr">
        <is>
          <t>HONDA</t>
        </is>
      </c>
      <c r="F1991" s="20" t="inlineStr">
        <is>
          <t>Jazz</t>
        </is>
      </c>
      <c r="G1991" s="21" t="n">
        <v>2017</v>
      </c>
      <c r="H1991" s="22" t="n">
        <v>57000</v>
      </c>
      <c r="I1991" s="23" t="n">
        <v>390000</v>
      </c>
      <c r="J1991" s="20" t="inlineStr">
        <is>
          <t>SANOOP KM</t>
        </is>
      </c>
      <c r="K1991" s="20" t="inlineStr">
        <is>
          <t>Non-Captive</t>
        </is>
      </c>
      <c r="L1991" s="20" t="inlineStr">
        <is>
          <t>UCD SANTHOSH</t>
        </is>
      </c>
      <c r="M1991" s="23" t="n">
        <v>8474.58</v>
      </c>
      <c r="N1991" s="23" t="n">
        <v>10000</v>
      </c>
      <c r="O1991" s="24">
        <f>IF(AND(ISNUMBER(M1991), ISNUMBER(I1991), I1991&gt;0), M1991/I1991, "")</f>
        <v/>
      </c>
    </row>
    <row r="1992">
      <c r="A1992" s="19" t="inlineStr">
        <is>
          <t>FY27</t>
        </is>
      </c>
      <c r="B1992" s="19" t="inlineStr">
        <is>
          <t>Apr</t>
        </is>
      </c>
      <c r="C1992" s="19" t="inlineStr">
        <is>
          <t>Kerala</t>
        </is>
      </c>
      <c r="D1992" s="20" t="inlineStr">
        <is>
          <t>KL64D9669</t>
        </is>
      </c>
      <c r="E1992" s="20" t="inlineStr">
        <is>
          <t>HYUNDAI</t>
        </is>
      </c>
      <c r="F1992" s="20" t="inlineStr">
        <is>
          <t>I20</t>
        </is>
      </c>
      <c r="G1992" s="21" t="n"/>
      <c r="H1992" s="22" t="n">
        <v>77000</v>
      </c>
      <c r="I1992" s="23" t="n">
        <v>390000</v>
      </c>
      <c r="J1992" s="20" t="inlineStr">
        <is>
          <t>POPULAR HYUNDAI</t>
        </is>
      </c>
      <c r="K1992" s="20" t="inlineStr">
        <is>
          <t>Non-Captive</t>
        </is>
      </c>
      <c r="L1992" s="20" t="inlineStr">
        <is>
          <t>AITOS CARS</t>
        </is>
      </c>
      <c r="M1992" s="23" t="n">
        <v>8474.58</v>
      </c>
      <c r="N1992" s="23" t="n">
        <v>10000</v>
      </c>
      <c r="O1992" s="24">
        <f>IF(AND(ISNUMBER(M1992), ISNUMBER(I1992), I1992&gt;0), M1992/I1992, "")</f>
        <v/>
      </c>
    </row>
    <row r="1993">
      <c r="A1993" s="19" t="inlineStr">
        <is>
          <t>FY27</t>
        </is>
      </c>
      <c r="B1993" s="19" t="inlineStr">
        <is>
          <t>Apr</t>
        </is>
      </c>
      <c r="C1993" s="19" t="inlineStr">
        <is>
          <t>Kerala</t>
        </is>
      </c>
      <c r="D1993" s="20" t="inlineStr">
        <is>
          <t>KL45N0567</t>
        </is>
      </c>
      <c r="E1993" s="20" t="inlineStr">
        <is>
          <t>MARUTI SUZUKI</t>
        </is>
      </c>
      <c r="F1993" s="20" t="inlineStr">
        <is>
          <t>Baleno</t>
        </is>
      </c>
      <c r="G1993" s="21" t="n"/>
      <c r="H1993" s="22" t="n">
        <v>111066</v>
      </c>
      <c r="I1993" s="23" t="n">
        <v>390000</v>
      </c>
      <c r="J1993" s="20" t="inlineStr">
        <is>
          <t>POPULAR MARUTI</t>
        </is>
      </c>
      <c r="K1993" s="20" t="inlineStr">
        <is>
          <t>Non-Captive</t>
        </is>
      </c>
      <c r="L1993" s="20" t="inlineStr">
        <is>
          <t>AITOS CARS</t>
        </is>
      </c>
      <c r="M1993" s="23" t="n">
        <v>8474.58</v>
      </c>
      <c r="N1993" s="23" t="n">
        <v>10000</v>
      </c>
      <c r="O1993" s="24">
        <f>IF(AND(ISNUMBER(M1993), ISNUMBER(I1993), I1993&gt;0), M1993/I1993, "")</f>
        <v/>
      </c>
    </row>
    <row r="1994">
      <c r="A1994" s="19" t="inlineStr">
        <is>
          <t>FY27</t>
        </is>
      </c>
      <c r="B1994" s="19" t="inlineStr">
        <is>
          <t>Apr</t>
        </is>
      </c>
      <c r="C1994" s="19" t="inlineStr">
        <is>
          <t>Kerala</t>
        </is>
      </c>
      <c r="D1994" s="20" t="inlineStr">
        <is>
          <t>KL69A6226</t>
        </is>
      </c>
      <c r="E1994" s="20" t="inlineStr">
        <is>
          <t>MARUTI SUZUKI</t>
        </is>
      </c>
      <c r="F1994" s="20" t="inlineStr">
        <is>
          <t>Baleno</t>
        </is>
      </c>
      <c r="G1994" s="21" t="n"/>
      <c r="H1994" s="22" t="n">
        <v>138000</v>
      </c>
      <c r="I1994" s="23" t="n">
        <v>390000</v>
      </c>
      <c r="J1994" s="20" t="inlineStr">
        <is>
          <t>AUTOMOTIVE MAHINDRA</t>
        </is>
      </c>
      <c r="K1994" s="20" t="inlineStr">
        <is>
          <t>Non-Captive</t>
        </is>
      </c>
      <c r="L1994" s="20" t="inlineStr">
        <is>
          <t>AITOS CARS</t>
        </is>
      </c>
      <c r="M1994" s="23" t="n">
        <v>8474.58</v>
      </c>
      <c r="N1994" s="23" t="n">
        <v>10000</v>
      </c>
      <c r="O1994" s="24">
        <f>IF(AND(ISNUMBER(M1994), ISNUMBER(I1994), I1994&gt;0), M1994/I1994, "")</f>
        <v/>
      </c>
    </row>
    <row r="1995">
      <c r="A1995" s="19" t="inlineStr">
        <is>
          <t>FY27</t>
        </is>
      </c>
      <c r="B1995" s="19" t="inlineStr">
        <is>
          <t>Apr</t>
        </is>
      </c>
      <c r="C1995" s="19" t="inlineStr">
        <is>
          <t>Kerala</t>
        </is>
      </c>
      <c r="D1995" s="20" t="inlineStr">
        <is>
          <t>KL48F8181</t>
        </is>
      </c>
      <c r="E1995" s="20" t="inlineStr">
        <is>
          <t>FORD</t>
        </is>
      </c>
      <c r="F1995" s="20" t="inlineStr">
        <is>
          <t>Aspire</t>
        </is>
      </c>
      <c r="G1995" s="21" t="n"/>
      <c r="H1995" s="22" t="n">
        <v>93500</v>
      </c>
      <c r="I1995" s="23" t="n">
        <v>350000</v>
      </c>
      <c r="J1995" s="20" t="inlineStr">
        <is>
          <t>PHOENIX VOLKSWAGEN</t>
        </is>
      </c>
      <c r="K1995" s="20" t="inlineStr">
        <is>
          <t>Non-Captive</t>
        </is>
      </c>
      <c r="L1995" s="20" t="inlineStr">
        <is>
          <t>UMESHKUMAR T U</t>
        </is>
      </c>
      <c r="M1995" s="23" t="n">
        <v>8474.58</v>
      </c>
      <c r="N1995" s="23" t="n">
        <v>10000</v>
      </c>
      <c r="O1995" s="24">
        <f>IF(AND(ISNUMBER(M1995), ISNUMBER(I1995), I1995&gt;0), M1995/I1995, "")</f>
        <v/>
      </c>
    </row>
    <row r="1996">
      <c r="A1996" s="19" t="inlineStr">
        <is>
          <t>FY27</t>
        </is>
      </c>
      <c r="B1996" s="19" t="inlineStr">
        <is>
          <t>Apr</t>
        </is>
      </c>
      <c r="C1996" s="19" t="inlineStr">
        <is>
          <t>Kerala</t>
        </is>
      </c>
      <c r="D1996" s="20" t="inlineStr">
        <is>
          <t>KL01AV9428</t>
        </is>
      </c>
      <c r="E1996" s="20" t="inlineStr">
        <is>
          <t>MARUTI SUZUKI</t>
        </is>
      </c>
      <c r="F1996" s="20" t="inlineStr">
        <is>
          <t>Estilo</t>
        </is>
      </c>
      <c r="G1996" s="21" t="n"/>
      <c r="H1996" s="22" t="n">
        <v>40000</v>
      </c>
      <c r="I1996" s="23" t="n">
        <v>20000</v>
      </c>
      <c r="J1996" s="20" t="inlineStr">
        <is>
          <t>ABHISHEK</t>
        </is>
      </c>
      <c r="K1996" s="20" t="inlineStr">
        <is>
          <t>Non-Captive</t>
        </is>
      </c>
      <c r="L1996" s="20" t="inlineStr">
        <is>
          <t>TOYOTA FINANCE</t>
        </is>
      </c>
      <c r="M1996" s="23" t="n">
        <v>4237.29</v>
      </c>
      <c r="N1996" s="23" t="n">
        <v>5000</v>
      </c>
      <c r="O1996" s="24">
        <f>IF(AND(ISNUMBER(M1996), ISNUMBER(I1996), I1996&gt;0), M1996/I1996, "")</f>
        <v/>
      </c>
    </row>
    <row r="1997">
      <c r="A1997" s="19" t="inlineStr">
        <is>
          <t>FY27</t>
        </is>
      </c>
      <c r="B1997" s="19" t="inlineStr">
        <is>
          <t>Apr</t>
        </is>
      </c>
      <c r="C1997" s="19" t="inlineStr">
        <is>
          <t>Kerala</t>
        </is>
      </c>
      <c r="D1997" s="20" t="inlineStr">
        <is>
          <t>KL01W9612</t>
        </is>
      </c>
      <c r="E1997" s="20" t="inlineStr">
        <is>
          <t>MARUTI SUZUKI</t>
        </is>
      </c>
      <c r="F1997" s="20" t="inlineStr">
        <is>
          <t>Alto</t>
        </is>
      </c>
      <c r="G1997" s="21" t="n"/>
      <c r="H1997" s="22" t="n">
        <v>50000</v>
      </c>
      <c r="I1997" s="23" t="n">
        <v>15000</v>
      </c>
      <c r="J1997" s="20" t="inlineStr">
        <is>
          <t>KISHORE</t>
        </is>
      </c>
      <c r="K1997" s="20" t="inlineStr">
        <is>
          <t>Non-Captive</t>
        </is>
      </c>
      <c r="L1997" s="20" t="inlineStr">
        <is>
          <t>POPULAR MARUTI</t>
        </is>
      </c>
      <c r="M1997" s="23" t="n">
        <v>4237.29</v>
      </c>
      <c r="N1997" s="23" t="n">
        <v>5000</v>
      </c>
      <c r="O1997" s="24">
        <f>IF(AND(ISNUMBER(M1997), ISNUMBER(I1997), I1997&gt;0), M1997/I1997, "")</f>
        <v/>
      </c>
    </row>
    <row r="1998">
      <c r="A1998" s="19" t="inlineStr">
        <is>
          <t>FY27</t>
        </is>
      </c>
      <c r="B1998" s="19" t="inlineStr">
        <is>
          <t>Apr</t>
        </is>
      </c>
      <c r="C1998" s="19" t="inlineStr">
        <is>
          <t>Kerala</t>
        </is>
      </c>
      <c r="D1998" s="20" t="inlineStr">
        <is>
          <t>KL42L4225</t>
        </is>
      </c>
      <c r="E1998" s="20" t="inlineStr">
        <is>
          <t>HYUNDAI</t>
        </is>
      </c>
      <c r="F1998" s="20" t="inlineStr">
        <is>
          <t>Eon</t>
        </is>
      </c>
      <c r="G1998" s="21" t="n"/>
      <c r="H1998" s="22" t="n">
        <v>92078</v>
      </c>
      <c r="I1998" s="23" t="n">
        <v>120000</v>
      </c>
      <c r="J1998" s="20" t="inlineStr">
        <is>
          <t>POPULAR MARUTI</t>
        </is>
      </c>
      <c r="K1998" s="20" t="inlineStr">
        <is>
          <t>Non-Captive</t>
        </is>
      </c>
      <c r="L1998" s="20" t="inlineStr">
        <is>
          <t>SHAMEER V H</t>
        </is>
      </c>
      <c r="M1998" s="23" t="n">
        <v>8474.58</v>
      </c>
      <c r="N1998" s="23" t="n">
        <v>10000</v>
      </c>
      <c r="O1998" s="24">
        <f>IF(AND(ISNUMBER(M1998), ISNUMBER(I1998), I1998&gt;0), M1998/I1998, "")</f>
        <v/>
      </c>
    </row>
    <row r="1999">
      <c r="A1999" s="19" t="inlineStr">
        <is>
          <t>FY27</t>
        </is>
      </c>
      <c r="B1999" s="19" t="inlineStr">
        <is>
          <t>Apr</t>
        </is>
      </c>
      <c r="C1999" s="19" t="inlineStr">
        <is>
          <t>Kerala</t>
        </is>
      </c>
      <c r="D1999" s="20" t="inlineStr">
        <is>
          <t>KL40V5629</t>
        </is>
      </c>
      <c r="E1999" s="20" t="inlineStr">
        <is>
          <t>TATA</t>
        </is>
      </c>
      <c r="F1999" s="20" t="inlineStr">
        <is>
          <t>Nexon</t>
        </is>
      </c>
      <c r="G1999" s="21" t="n"/>
      <c r="H1999" s="22" t="n">
        <v>6500</v>
      </c>
      <c r="I1999" s="23" t="n">
        <v>740000</v>
      </c>
      <c r="J1999" s="20" t="inlineStr">
        <is>
          <t>GOKULAM TATA</t>
        </is>
      </c>
      <c r="K1999" s="20" t="inlineStr">
        <is>
          <t>Non-Captive</t>
        </is>
      </c>
      <c r="L1999" s="20" t="inlineStr">
        <is>
          <t>AITOS CARS</t>
        </is>
      </c>
      <c r="M1999" s="23" t="n">
        <v>8474.58</v>
      </c>
      <c r="N1999" s="23" t="n">
        <v>10000</v>
      </c>
      <c r="O1999" s="24">
        <f>IF(AND(ISNUMBER(M1999), ISNUMBER(I1999), I1999&gt;0), M1999/I1999, "")</f>
        <v/>
      </c>
    </row>
    <row r="2000">
      <c r="A2000" s="19" t="inlineStr">
        <is>
          <t>FY27</t>
        </is>
      </c>
      <c r="B2000" s="19" t="inlineStr">
        <is>
          <t>Apr</t>
        </is>
      </c>
      <c r="C2000" s="19" t="inlineStr">
        <is>
          <t>Kerala</t>
        </is>
      </c>
      <c r="D2000" s="20" t="inlineStr">
        <is>
          <t>KL07BS0732</t>
        </is>
      </c>
      <c r="E2000" s="20" t="inlineStr">
        <is>
          <t>MARUTI SUZUKI</t>
        </is>
      </c>
      <c r="F2000" s="20" t="inlineStr">
        <is>
          <t>Eeco</t>
        </is>
      </c>
      <c r="G2000" s="21" t="n"/>
      <c r="H2000" s="22" t="n">
        <v>176000</v>
      </c>
      <c r="I2000" s="23" t="n">
        <v>70000</v>
      </c>
      <c r="J2000" s="20" t="inlineStr">
        <is>
          <t>POPULAR MARUTI</t>
        </is>
      </c>
      <c r="K2000" s="20" t="inlineStr">
        <is>
          <t>Non-Captive</t>
        </is>
      </c>
      <c r="L2000" s="20" t="inlineStr">
        <is>
          <t>HUSSAIN O E</t>
        </is>
      </c>
      <c r="M2000" s="23" t="n">
        <v>8474.58</v>
      </c>
      <c r="N2000" s="23" t="n">
        <v>10000</v>
      </c>
      <c r="O2000" s="24">
        <f>IF(AND(ISNUMBER(M2000), ISNUMBER(I2000), I2000&gt;0), M2000/I2000, "")</f>
        <v/>
      </c>
    </row>
    <row r="2001">
      <c r="A2001" s="19" t="inlineStr">
        <is>
          <t>FY27</t>
        </is>
      </c>
      <c r="B2001" s="19" t="inlineStr">
        <is>
          <t>Apr</t>
        </is>
      </c>
      <c r="C2001" s="19" t="inlineStr">
        <is>
          <t>Kerala</t>
        </is>
      </c>
      <c r="D2001" s="20" t="inlineStr">
        <is>
          <t>KL04AV7697</t>
        </is>
      </c>
      <c r="E2001" s="20" t="inlineStr">
        <is>
          <t>MARUTI SUZUKI</t>
        </is>
      </c>
      <c r="F2001" s="20" t="inlineStr">
        <is>
          <t>Swift</t>
        </is>
      </c>
      <c r="G2001" s="21" t="n"/>
      <c r="H2001" s="22" t="n">
        <v>16771</v>
      </c>
      <c r="I2001" s="23" t="n">
        <v>675000</v>
      </c>
      <c r="J2001" s="20" t="inlineStr">
        <is>
          <t>MAIJO MARUTI</t>
        </is>
      </c>
      <c r="K2001" s="20" t="inlineStr">
        <is>
          <t>Non-Captive</t>
        </is>
      </c>
      <c r="L2001" s="20" t="inlineStr">
        <is>
          <t>HUSSAIN O E</t>
        </is>
      </c>
      <c r="M2001" s="23" t="n">
        <v>8474.58</v>
      </c>
      <c r="N2001" s="23" t="n">
        <v>10000</v>
      </c>
      <c r="O2001" s="24">
        <f>IF(AND(ISNUMBER(M2001), ISNUMBER(I2001), I2001&gt;0), M2001/I2001, "")</f>
        <v/>
      </c>
    </row>
    <row r="2002">
      <c r="A2002" s="19" t="inlineStr">
        <is>
          <t>FY27</t>
        </is>
      </c>
      <c r="B2002" s="19" t="inlineStr">
        <is>
          <t>Apr</t>
        </is>
      </c>
      <c r="C2002" s="19" t="inlineStr">
        <is>
          <t>Kerala</t>
        </is>
      </c>
      <c r="D2002" s="20" t="inlineStr">
        <is>
          <t>KL41J1449</t>
        </is>
      </c>
      <c r="E2002" s="20" t="inlineStr">
        <is>
          <t>MARUTI SUZUKI</t>
        </is>
      </c>
      <c r="F2002" s="20" t="inlineStr">
        <is>
          <t>Alto</t>
        </is>
      </c>
      <c r="G2002" s="21" t="n"/>
      <c r="H2002" s="22" t="n">
        <v>81000</v>
      </c>
      <c r="I2002" s="23" t="n">
        <v>137000</v>
      </c>
      <c r="J2002" s="20" t="inlineStr">
        <is>
          <t>POPULAR MARUTI</t>
        </is>
      </c>
      <c r="K2002" s="20" t="inlineStr">
        <is>
          <t>Non-Captive</t>
        </is>
      </c>
      <c r="L2002" s="20" t="inlineStr">
        <is>
          <t>HUSSAIN O E</t>
        </is>
      </c>
      <c r="M2002" s="23" t="n">
        <v>8474.58</v>
      </c>
      <c r="N2002" s="23" t="n">
        <v>10000</v>
      </c>
      <c r="O2002" s="24">
        <f>IF(AND(ISNUMBER(M2002), ISNUMBER(I2002), I2002&gt;0), M2002/I2002, "")</f>
        <v/>
      </c>
    </row>
    <row r="2003">
      <c r="A2003" s="19" t="inlineStr">
        <is>
          <t>FY27</t>
        </is>
      </c>
      <c r="B2003" s="19" t="inlineStr">
        <is>
          <t>Apr</t>
        </is>
      </c>
      <c r="C2003" s="19" t="inlineStr">
        <is>
          <t>Kerala</t>
        </is>
      </c>
      <c r="D2003" s="20" t="inlineStr">
        <is>
          <t>KL60R8996</t>
        </is>
      </c>
      <c r="E2003" s="20" t="inlineStr">
        <is>
          <t>RENAULT</t>
        </is>
      </c>
      <c r="F2003" s="20" t="inlineStr">
        <is>
          <t>Triber</t>
        </is>
      </c>
      <c r="G2003" s="21" t="n"/>
      <c r="H2003" s="22" t="n">
        <v>64000</v>
      </c>
      <c r="I2003" s="23" t="n">
        <v>390000</v>
      </c>
      <c r="J2003" s="20" t="inlineStr">
        <is>
          <t>ISMAIL FARHAN</t>
        </is>
      </c>
      <c r="K2003" s="20" t="inlineStr">
        <is>
          <t>Non-Captive</t>
        </is>
      </c>
      <c r="L2003" s="20" t="inlineStr">
        <is>
          <t>SHAJEE CARS</t>
        </is>
      </c>
      <c r="M2003" s="23" t="n">
        <v>8474.58</v>
      </c>
      <c r="N2003" s="23" t="n">
        <v>10000</v>
      </c>
      <c r="O2003" s="24">
        <f>IF(AND(ISNUMBER(M2003), ISNUMBER(I2003), I2003&gt;0), M2003/I2003, "")</f>
        <v/>
      </c>
    </row>
    <row r="2004">
      <c r="A2004" s="19" t="inlineStr">
        <is>
          <t>FY27</t>
        </is>
      </c>
      <c r="B2004" s="19" t="inlineStr">
        <is>
          <t>Apr</t>
        </is>
      </c>
      <c r="C2004" s="19" t="inlineStr">
        <is>
          <t>Kerala</t>
        </is>
      </c>
      <c r="D2004" s="20" t="inlineStr">
        <is>
          <t>KL55P1919</t>
        </is>
      </c>
      <c r="E2004" s="20" t="inlineStr">
        <is>
          <t>NISSAN</t>
        </is>
      </c>
      <c r="F2004" s="20" t="inlineStr">
        <is>
          <t>Sunny</t>
        </is>
      </c>
      <c r="G2004" s="21" t="n"/>
      <c r="H2004" s="22" t="n">
        <v>135000</v>
      </c>
      <c r="I2004" s="23" t="n">
        <v>210000</v>
      </c>
      <c r="J2004" s="20" t="inlineStr">
        <is>
          <t>SHAHIL NK</t>
        </is>
      </c>
      <c r="K2004" s="20" t="inlineStr">
        <is>
          <t>Non-Captive</t>
        </is>
      </c>
      <c r="L2004" s="20" t="inlineStr">
        <is>
          <t>UCD BKR NASAR</t>
        </is>
      </c>
      <c r="M2004" s="23" t="n">
        <v>8474.58</v>
      </c>
      <c r="N2004" s="23" t="n">
        <v>10000</v>
      </c>
      <c r="O2004" s="24">
        <f>IF(AND(ISNUMBER(M2004), ISNUMBER(I2004), I2004&gt;0), M2004/I2004, "")</f>
        <v/>
      </c>
    </row>
    <row r="2005">
      <c r="A2005" s="19" t="inlineStr">
        <is>
          <t>FY27</t>
        </is>
      </c>
      <c r="B2005" s="19" t="inlineStr">
        <is>
          <t>Apr</t>
        </is>
      </c>
      <c r="C2005" s="19" t="inlineStr">
        <is>
          <t>Kerala</t>
        </is>
      </c>
      <c r="D2005" s="20" t="inlineStr">
        <is>
          <t>KL10AE0642</t>
        </is>
      </c>
      <c r="E2005" s="20" t="inlineStr">
        <is>
          <t>MARUTI SUZUKI</t>
        </is>
      </c>
      <c r="F2005" s="20" t="inlineStr">
        <is>
          <t>Alto</t>
        </is>
      </c>
      <c r="G2005" s="21" t="n"/>
      <c r="H2005" s="22" t="n">
        <v>94000</v>
      </c>
      <c r="I2005" s="23" t="n">
        <v>50000</v>
      </c>
      <c r="J2005" s="20" t="inlineStr">
        <is>
          <t>VIMAL</t>
        </is>
      </c>
      <c r="K2005" s="20" t="inlineStr">
        <is>
          <t>Non-Captive</t>
        </is>
      </c>
      <c r="L2005" s="20" t="inlineStr">
        <is>
          <t>CETREION</t>
        </is>
      </c>
      <c r="M2005" s="23" t="n">
        <v>4237.29</v>
      </c>
      <c r="N2005" s="23" t="n">
        <v>5000</v>
      </c>
      <c r="O2005" s="24">
        <f>IF(AND(ISNUMBER(M2005), ISNUMBER(I2005), I2005&gt;0), M2005/I2005, "")</f>
        <v/>
      </c>
    </row>
    <row r="2006">
      <c r="A2006" s="19" t="inlineStr">
        <is>
          <t>FY27</t>
        </is>
      </c>
      <c r="B2006" s="19" t="inlineStr">
        <is>
          <t>Apr</t>
        </is>
      </c>
      <c r="C2006" s="19" t="inlineStr">
        <is>
          <t>Kerala</t>
        </is>
      </c>
      <c r="D2006" s="20" t="inlineStr">
        <is>
          <t>KL58S4696</t>
        </is>
      </c>
      <c r="E2006" s="20" t="inlineStr">
        <is>
          <t>DATSUN</t>
        </is>
      </c>
      <c r="F2006" s="20" t="inlineStr">
        <is>
          <t>Go</t>
        </is>
      </c>
      <c r="G2006" s="21" t="n"/>
      <c r="H2006" s="22" t="n">
        <v>66000</v>
      </c>
      <c r="I2006" s="23" t="n">
        <v>140000</v>
      </c>
      <c r="J2006" s="20" t="inlineStr">
        <is>
          <t>SANOOP</t>
        </is>
      </c>
      <c r="K2006" s="20" t="inlineStr">
        <is>
          <t>Non-Captive</t>
        </is>
      </c>
      <c r="L2006" s="20" t="inlineStr">
        <is>
          <t>BIMAL</t>
        </is>
      </c>
      <c r="M2006" s="23" t="n">
        <v>6779.66</v>
      </c>
      <c r="N2006" s="23" t="n">
        <v>8000</v>
      </c>
      <c r="O2006" s="24">
        <f>IF(AND(ISNUMBER(M2006), ISNUMBER(I2006), I2006&gt;0), M2006/I2006, "")</f>
        <v/>
      </c>
    </row>
    <row r="2007">
      <c r="A2007" s="19" t="inlineStr">
        <is>
          <t>FY27</t>
        </is>
      </c>
      <c r="B2007" s="19" t="inlineStr">
        <is>
          <t>Apr</t>
        </is>
      </c>
      <c r="C2007" s="19" t="inlineStr">
        <is>
          <t>Kerala</t>
        </is>
      </c>
      <c r="D2007" s="20" t="inlineStr">
        <is>
          <t>KA04MD9968</t>
        </is>
      </c>
      <c r="E2007" s="20" t="inlineStr">
        <is>
          <t>FORD</t>
        </is>
      </c>
      <c r="F2007" s="20" t="inlineStr">
        <is>
          <t>Fiesta</t>
        </is>
      </c>
      <c r="G2007" s="21" t="n"/>
      <c r="H2007" s="22" t="n">
        <v>105000</v>
      </c>
      <c r="I2007" s="23" t="n">
        <v>25000</v>
      </c>
      <c r="J2007" s="20" t="inlineStr">
        <is>
          <t>JISHNU PRIYAN</t>
        </is>
      </c>
      <c r="K2007" s="20" t="inlineStr">
        <is>
          <t>Non-Captive</t>
        </is>
      </c>
      <c r="L2007" s="20" t="inlineStr">
        <is>
          <t>RAFEEK T A</t>
        </is>
      </c>
      <c r="M2007" s="23" t="n">
        <v>8474.58</v>
      </c>
      <c r="N2007" s="23" t="n">
        <v>10000</v>
      </c>
      <c r="O2007" s="24">
        <f>IF(AND(ISNUMBER(M2007), ISNUMBER(I2007), I2007&gt;0), M2007/I2007, "")</f>
        <v/>
      </c>
    </row>
    <row r="2008">
      <c r="A2008" s="19" t="inlineStr">
        <is>
          <t>FY27</t>
        </is>
      </c>
      <c r="B2008" s="19" t="inlineStr">
        <is>
          <t>Apr</t>
        </is>
      </c>
      <c r="C2008" s="19" t="inlineStr">
        <is>
          <t>Kerala</t>
        </is>
      </c>
      <c r="D2008" s="20" t="inlineStr">
        <is>
          <t>KL57D8282</t>
        </is>
      </c>
      <c r="E2008" s="20" t="inlineStr">
        <is>
          <t>MARUTI SUZUKI</t>
        </is>
      </c>
      <c r="F2008" s="20" t="inlineStr">
        <is>
          <t>Ritz</t>
        </is>
      </c>
      <c r="G2008" s="21" t="n"/>
      <c r="H2008" s="22" t="n">
        <v>180000</v>
      </c>
      <c r="I2008" s="23" t="n">
        <v>100000</v>
      </c>
      <c r="J2008" s="20" t="inlineStr">
        <is>
          <t>SARITH AUTOBOT</t>
        </is>
      </c>
      <c r="K2008" s="20" t="inlineStr">
        <is>
          <t>Non-Captive</t>
        </is>
      </c>
      <c r="L2008" s="20" t="inlineStr">
        <is>
          <t>ROTANA TATA</t>
        </is>
      </c>
      <c r="M2008" s="23" t="n">
        <v>5932.2</v>
      </c>
      <c r="N2008" s="23" t="n">
        <v>7000</v>
      </c>
      <c r="O2008" s="24">
        <f>IF(AND(ISNUMBER(M2008), ISNUMBER(I2008), I2008&gt;0), M2008/I2008, "")</f>
        <v/>
      </c>
    </row>
    <row r="2009">
      <c r="A2009" s="19" t="inlineStr">
        <is>
          <t>FY27</t>
        </is>
      </c>
      <c r="B2009" s="19" t="inlineStr">
        <is>
          <t>Apr</t>
        </is>
      </c>
      <c r="C2009" s="19" t="inlineStr">
        <is>
          <t>Kerala</t>
        </is>
      </c>
      <c r="D2009" s="20" t="inlineStr">
        <is>
          <t>KL59D2237</t>
        </is>
      </c>
      <c r="E2009" s="20" t="inlineStr">
        <is>
          <t>HYUNDAI</t>
        </is>
      </c>
      <c r="F2009" s="20" t="inlineStr">
        <is>
          <t>I10</t>
        </is>
      </c>
      <c r="G2009" s="21" t="n"/>
      <c r="H2009" s="22" t="n">
        <v>78000</v>
      </c>
      <c r="I2009" s="23" t="n">
        <v>70000</v>
      </c>
      <c r="J2009" s="20" t="inlineStr">
        <is>
          <t>SARITH AUTOBOT</t>
        </is>
      </c>
      <c r="K2009" s="20" t="inlineStr">
        <is>
          <t>Non-Captive</t>
        </is>
      </c>
      <c r="L2009" s="20" t="inlineStr">
        <is>
          <t>APCO KANJAGAD</t>
        </is>
      </c>
      <c r="M2009" s="23" t="n">
        <v>5932.2</v>
      </c>
      <c r="N2009" s="23" t="n">
        <v>7000</v>
      </c>
      <c r="O2009" s="24">
        <f>IF(AND(ISNUMBER(M2009), ISNUMBER(I2009), I2009&gt;0), M2009/I2009, "")</f>
        <v/>
      </c>
    </row>
    <row r="2010">
      <c r="A2010" s="19" t="inlineStr">
        <is>
          <t>FY27</t>
        </is>
      </c>
      <c r="B2010" s="19" t="inlineStr">
        <is>
          <t>Apr</t>
        </is>
      </c>
      <c r="C2010" s="19" t="inlineStr">
        <is>
          <t>Kerala</t>
        </is>
      </c>
      <c r="D2010" s="20" t="inlineStr">
        <is>
          <t>KL25L9868</t>
        </is>
      </c>
      <c r="E2010" s="20" t="inlineStr">
        <is>
          <t>TATA</t>
        </is>
      </c>
      <c r="F2010" s="20" t="inlineStr">
        <is>
          <t>Hexa</t>
        </is>
      </c>
      <c r="G2010" s="21" t="n"/>
      <c r="H2010" s="22" t="n">
        <v>130000</v>
      </c>
      <c r="I2010" s="23" t="n">
        <v>750000</v>
      </c>
      <c r="J2010" s="20" t="inlineStr">
        <is>
          <t>SIRAJ</t>
        </is>
      </c>
      <c r="K2010" s="20" t="inlineStr">
        <is>
          <t>Non-Captive</t>
        </is>
      </c>
      <c r="L2010" s="20" t="inlineStr">
        <is>
          <t>TATA KVR</t>
        </is>
      </c>
      <c r="M2010" s="23" t="n">
        <v>12711.86</v>
      </c>
      <c r="N2010" s="23" t="n">
        <v>15000</v>
      </c>
      <c r="O2010" s="24">
        <f>IF(AND(ISNUMBER(M2010), ISNUMBER(I2010), I2010&gt;0), M2010/I2010, "")</f>
        <v/>
      </c>
    </row>
    <row r="2011">
      <c r="A2011" s="19" t="inlineStr">
        <is>
          <t>FY27</t>
        </is>
      </c>
      <c r="B2011" s="19" t="inlineStr">
        <is>
          <t>Apr</t>
        </is>
      </c>
      <c r="C2011" s="19" t="inlineStr">
        <is>
          <t>Kerala</t>
        </is>
      </c>
      <c r="D2011" s="20" t="inlineStr">
        <is>
          <t>KL794517</t>
        </is>
      </c>
      <c r="E2011" s="20" t="inlineStr">
        <is>
          <t>HYUNDAI</t>
        </is>
      </c>
      <c r="F2011" s="20" t="inlineStr">
        <is>
          <t>Santro</t>
        </is>
      </c>
      <c r="G2011" s="21" t="n"/>
      <c r="H2011" s="22" t="n">
        <v>78000</v>
      </c>
      <c r="I2011" s="23" t="n">
        <v>255000</v>
      </c>
      <c r="J2011" s="20" t="inlineStr">
        <is>
          <t>MARVEL MOTORS</t>
        </is>
      </c>
      <c r="K2011" s="20" t="inlineStr">
        <is>
          <t>Non-Captive</t>
        </is>
      </c>
      <c r="L2011" s="20" t="inlineStr">
        <is>
          <t>SANOOP</t>
        </is>
      </c>
      <c r="M2011" s="23" t="n">
        <v>5084.75</v>
      </c>
      <c r="N2011" s="23" t="n">
        <v>6000</v>
      </c>
      <c r="O2011" s="24">
        <f>IF(AND(ISNUMBER(M2011), ISNUMBER(I2011), I2011&gt;0), M2011/I2011, "")</f>
        <v/>
      </c>
    </row>
    <row r="2012">
      <c r="A2012" s="19" t="inlineStr">
        <is>
          <t>FY27</t>
        </is>
      </c>
      <c r="B2012" s="19" t="inlineStr">
        <is>
          <t>Apr</t>
        </is>
      </c>
      <c r="C2012" s="19" t="inlineStr">
        <is>
          <t>Kerala</t>
        </is>
      </c>
      <c r="D2012" s="20" t="inlineStr">
        <is>
          <t>KL58B6344</t>
        </is>
      </c>
      <c r="E2012" s="20" t="inlineStr">
        <is>
          <t>MARUTI SUZUKI</t>
        </is>
      </c>
      <c r="F2012" s="20" t="inlineStr">
        <is>
          <t>Wagon R</t>
        </is>
      </c>
      <c r="G2012" s="21" t="n"/>
      <c r="H2012" s="22" t="n">
        <v>61000</v>
      </c>
      <c r="I2012" s="23" t="n">
        <v>95000</v>
      </c>
      <c r="J2012" s="20" t="inlineStr">
        <is>
          <t>NIDEESH MOHAN</t>
        </is>
      </c>
      <c r="K2012" s="20" t="inlineStr">
        <is>
          <t>Non-Captive</t>
        </is>
      </c>
      <c r="L2012" s="20" t="inlineStr">
        <is>
          <t>INDUS MARUTI</t>
        </is>
      </c>
      <c r="M2012" s="23" t="n">
        <v>4237.29</v>
      </c>
      <c r="N2012" s="23" t="n">
        <v>5000</v>
      </c>
      <c r="O2012" s="24">
        <f>IF(AND(ISNUMBER(M2012), ISNUMBER(I2012), I2012&gt;0), M2012/I2012, "")</f>
        <v/>
      </c>
    </row>
    <row r="2013">
      <c r="A2013" s="19" t="inlineStr">
        <is>
          <t>FY27</t>
        </is>
      </c>
      <c r="B2013" s="19" t="inlineStr">
        <is>
          <t>Apr</t>
        </is>
      </c>
      <c r="C2013" s="19" t="inlineStr">
        <is>
          <t>Kerala</t>
        </is>
      </c>
      <c r="D2013" s="20" t="inlineStr">
        <is>
          <t>KL13X7347</t>
        </is>
      </c>
      <c r="E2013" s="20" t="inlineStr">
        <is>
          <t>HYUNDAI</t>
        </is>
      </c>
      <c r="F2013" s="20" t="inlineStr">
        <is>
          <t>Eon</t>
        </is>
      </c>
      <c r="G2013" s="21" t="n"/>
      <c r="H2013" s="22" t="n">
        <v>90000</v>
      </c>
      <c r="I2013" s="23" t="n">
        <v>90000</v>
      </c>
      <c r="J2013" s="20" t="inlineStr">
        <is>
          <t>MARVEL MOTORS</t>
        </is>
      </c>
      <c r="K2013" s="20" t="inlineStr">
        <is>
          <t>Non-Captive</t>
        </is>
      </c>
      <c r="L2013" s="20" t="inlineStr">
        <is>
          <t>SAP MAHINDRA</t>
        </is>
      </c>
      <c r="M2013" s="23" t="n">
        <v>5084.75</v>
      </c>
      <c r="N2013" s="23" t="n">
        <v>6000</v>
      </c>
      <c r="O2013" s="24">
        <f>IF(AND(ISNUMBER(M2013), ISNUMBER(I2013), I2013&gt;0), M2013/I2013, "")</f>
        <v/>
      </c>
    </row>
    <row r="2014">
      <c r="A2014" s="19" t="inlineStr">
        <is>
          <t>FY27</t>
        </is>
      </c>
      <c r="B2014" s="19" t="inlineStr">
        <is>
          <t>Apr</t>
        </is>
      </c>
      <c r="C2014" s="19" t="inlineStr">
        <is>
          <t>Kerala</t>
        </is>
      </c>
      <c r="D2014" s="20" t="inlineStr">
        <is>
          <t>KL11BN0554</t>
        </is>
      </c>
      <c r="E2014" s="20" t="inlineStr">
        <is>
          <t>HYUNDAI</t>
        </is>
      </c>
      <c r="F2014" s="20" t="inlineStr">
        <is>
          <t>Santro</t>
        </is>
      </c>
      <c r="G2014" s="21" t="n"/>
      <c r="H2014" s="22" t="n">
        <v>33000</v>
      </c>
      <c r="I2014" s="23" t="n">
        <v>335000</v>
      </c>
      <c r="J2014" s="20" t="inlineStr">
        <is>
          <t>SHAHIL NK</t>
        </is>
      </c>
      <c r="K2014" s="20" t="inlineStr">
        <is>
          <t>Non-Captive</t>
        </is>
      </c>
      <c r="L2014" s="20" t="inlineStr">
        <is>
          <t>EVM SKODA</t>
        </is>
      </c>
      <c r="M2014" s="23" t="n">
        <v>4237.29</v>
      </c>
      <c r="N2014" s="23" t="n">
        <v>5000</v>
      </c>
      <c r="O2014" s="24">
        <f>IF(AND(ISNUMBER(M2014), ISNUMBER(I2014), I2014&gt;0), M2014/I2014, "")</f>
        <v/>
      </c>
    </row>
    <row r="2015">
      <c r="A2015" s="19" t="inlineStr">
        <is>
          <t>FY27</t>
        </is>
      </c>
      <c r="B2015" s="19" t="inlineStr">
        <is>
          <t>Apr</t>
        </is>
      </c>
      <c r="C2015" s="19" t="inlineStr">
        <is>
          <t>Kerala</t>
        </is>
      </c>
      <c r="D2015" s="20" t="inlineStr">
        <is>
          <t>KL01AN3853</t>
        </is>
      </c>
      <c r="E2015" s="20" t="inlineStr">
        <is>
          <t>MARUTI SUZUKI</t>
        </is>
      </c>
      <c r="F2015" s="20" t="inlineStr">
        <is>
          <t>Swift</t>
        </is>
      </c>
      <c r="G2015" s="21" t="n"/>
      <c r="H2015" s="22" t="n">
        <v>94000</v>
      </c>
      <c r="I2015" s="23" t="n">
        <v>75000</v>
      </c>
      <c r="J2015" s="20" t="inlineStr">
        <is>
          <t>ABHISHEK</t>
        </is>
      </c>
      <c r="K2015" s="20" t="inlineStr">
        <is>
          <t>Non-Captive</t>
        </is>
      </c>
      <c r="L2015" s="20" t="inlineStr">
        <is>
          <t>TRIVANDRUM MOTORS</t>
        </is>
      </c>
      <c r="M2015" s="23" t="n">
        <v>4237.29</v>
      </c>
      <c r="N2015" s="23" t="n">
        <v>5000</v>
      </c>
      <c r="O2015" s="24">
        <f>IF(AND(ISNUMBER(M2015), ISNUMBER(I2015), I2015&gt;0), M2015/I2015, "")</f>
        <v/>
      </c>
    </row>
    <row r="2016">
      <c r="A2016" s="19" t="inlineStr">
        <is>
          <t>FY27</t>
        </is>
      </c>
      <c r="B2016" s="19" t="inlineStr">
        <is>
          <t>Apr</t>
        </is>
      </c>
      <c r="C2016" s="19" t="inlineStr">
        <is>
          <t>Kerala</t>
        </is>
      </c>
      <c r="D2016" s="20" t="inlineStr">
        <is>
          <t>KL39N5652</t>
        </is>
      </c>
      <c r="E2016" s="20" t="inlineStr">
        <is>
          <t>RENAULT</t>
        </is>
      </c>
      <c r="F2016" s="20" t="inlineStr">
        <is>
          <t>Captur</t>
        </is>
      </c>
      <c r="G2016" s="21" t="n"/>
      <c r="H2016" s="22" t="n">
        <v>31000</v>
      </c>
      <c r="I2016" s="23" t="n">
        <v>420000</v>
      </c>
      <c r="J2016" s="20" t="inlineStr">
        <is>
          <t>EVM JEEP</t>
        </is>
      </c>
      <c r="K2016" s="20" t="inlineStr">
        <is>
          <t>Non-Captive</t>
        </is>
      </c>
      <c r="L2016" s="20" t="inlineStr">
        <is>
          <t>HAVEN MOTORS</t>
        </is>
      </c>
      <c r="M2016" s="23" t="n">
        <v>8474.58</v>
      </c>
      <c r="N2016" s="23" t="n">
        <v>10000</v>
      </c>
      <c r="O2016" s="24">
        <f>IF(AND(ISNUMBER(M2016), ISNUMBER(I2016), I2016&gt;0), M2016/I2016, "")</f>
        <v/>
      </c>
    </row>
    <row r="2017">
      <c r="A2017" s="19" t="inlineStr">
        <is>
          <t>FY27</t>
        </is>
      </c>
      <c r="B2017" s="19" t="inlineStr">
        <is>
          <t>Apr</t>
        </is>
      </c>
      <c r="C2017" s="19" t="inlineStr">
        <is>
          <t>Kerala</t>
        </is>
      </c>
      <c r="D2017" s="20" t="inlineStr">
        <is>
          <t>KL43M4411</t>
        </is>
      </c>
      <c r="E2017" s="20" t="inlineStr">
        <is>
          <t>MARUTI SUZUKI</t>
        </is>
      </c>
      <c r="F2017" s="20" t="inlineStr">
        <is>
          <t>Baleno</t>
        </is>
      </c>
      <c r="G2017" s="21" t="n"/>
      <c r="H2017" s="22" t="n">
        <v>103252</v>
      </c>
      <c r="I2017" s="23" t="n">
        <v>440000</v>
      </c>
      <c r="J2017" s="20" t="inlineStr">
        <is>
          <t>POPULAR MARUTI</t>
        </is>
      </c>
      <c r="K2017" s="20" t="inlineStr">
        <is>
          <t>Non-Captive</t>
        </is>
      </c>
      <c r="L2017" s="20" t="inlineStr">
        <is>
          <t>ASHRAF T A</t>
        </is>
      </c>
      <c r="M2017" s="23" t="n">
        <v>8474.58</v>
      </c>
      <c r="N2017" s="23" t="n">
        <v>10000</v>
      </c>
      <c r="O2017" s="24">
        <f>IF(AND(ISNUMBER(M2017), ISNUMBER(I2017), I2017&gt;0), M2017/I2017, "")</f>
        <v/>
      </c>
    </row>
    <row r="2018">
      <c r="A2018" s="19" t="inlineStr">
        <is>
          <t>FY27</t>
        </is>
      </c>
      <c r="B2018" s="19" t="inlineStr">
        <is>
          <t>Apr</t>
        </is>
      </c>
      <c r="C2018" s="19" t="inlineStr">
        <is>
          <t>Kerala</t>
        </is>
      </c>
      <c r="D2018" s="20" t="inlineStr">
        <is>
          <t>KL03AJ4656</t>
        </is>
      </c>
      <c r="E2018" s="20" t="inlineStr">
        <is>
          <t>HYUNDAI</t>
        </is>
      </c>
      <c r="F2018" s="20" t="inlineStr">
        <is>
          <t>Creta</t>
        </is>
      </c>
      <c r="G2018" s="21" t="n"/>
      <c r="H2018" s="22" t="n">
        <v>89462</v>
      </c>
      <c r="I2018" s="23" t="n">
        <v>565000</v>
      </c>
      <c r="J2018" s="20" t="inlineStr">
        <is>
          <t>KESHVIN HYUNDAI</t>
        </is>
      </c>
      <c r="K2018" s="20" t="inlineStr">
        <is>
          <t>Non-Captive</t>
        </is>
      </c>
      <c r="L2018" s="20" t="inlineStr">
        <is>
          <t>HAVEN MOTORS</t>
        </is>
      </c>
      <c r="M2018" s="23" t="n">
        <v>8474.58</v>
      </c>
      <c r="N2018" s="23" t="n">
        <v>10000</v>
      </c>
      <c r="O2018" s="24">
        <f>IF(AND(ISNUMBER(M2018), ISNUMBER(I2018), I2018&gt;0), M2018/I2018, "")</f>
        <v/>
      </c>
    </row>
    <row r="2019">
      <c r="A2019" s="19" t="inlineStr">
        <is>
          <t>FY27</t>
        </is>
      </c>
      <c r="B2019" s="19" t="inlineStr">
        <is>
          <t>Apr</t>
        </is>
      </c>
      <c r="C2019" s="19" t="inlineStr">
        <is>
          <t>Kerala</t>
        </is>
      </c>
      <c r="D2019" s="20" t="inlineStr">
        <is>
          <t>KL05AB8106</t>
        </is>
      </c>
      <c r="E2019" s="20" t="inlineStr">
        <is>
          <t>MARUTI SUZUKI</t>
        </is>
      </c>
      <c r="F2019" s="20" t="inlineStr">
        <is>
          <t>A-Star</t>
        </is>
      </c>
      <c r="G2019" s="21" t="n"/>
      <c r="H2019" s="22" t="n">
        <v>83000</v>
      </c>
      <c r="I2019" s="23" t="n">
        <v>70000</v>
      </c>
      <c r="J2019" s="20" t="inlineStr">
        <is>
          <t>MUHAMMED SHAJI</t>
        </is>
      </c>
      <c r="K2019" s="20" t="inlineStr">
        <is>
          <t>Non-Captive</t>
        </is>
      </c>
      <c r="L2019" s="20" t="inlineStr">
        <is>
          <t>TINU P SOMAN</t>
        </is>
      </c>
      <c r="M2019" s="23" t="n">
        <v>8474.58</v>
      </c>
      <c r="N2019" s="23" t="n">
        <v>10000</v>
      </c>
      <c r="O2019" s="24">
        <f>IF(AND(ISNUMBER(M2019), ISNUMBER(I2019), I2019&gt;0), M2019/I2019, "")</f>
        <v/>
      </c>
    </row>
    <row r="2020">
      <c r="A2020" s="19" t="inlineStr">
        <is>
          <t>FY27</t>
        </is>
      </c>
      <c r="B2020" s="19" t="inlineStr">
        <is>
          <t>Apr</t>
        </is>
      </c>
      <c r="C2020" s="19" t="inlineStr">
        <is>
          <t>Kerala</t>
        </is>
      </c>
      <c r="D2020" s="20" t="inlineStr">
        <is>
          <t>KL05AE2392</t>
        </is>
      </c>
      <c r="E2020" s="20" t="inlineStr">
        <is>
          <t>FORD</t>
        </is>
      </c>
      <c r="F2020" s="20" t="inlineStr">
        <is>
          <t>Figo</t>
        </is>
      </c>
      <c r="G2020" s="21" t="n"/>
      <c r="H2020" s="22" t="n">
        <v>58990</v>
      </c>
      <c r="I2020" s="23" t="n">
        <v>65000</v>
      </c>
      <c r="J2020" s="20" t="inlineStr">
        <is>
          <t>ANAS HAMEED</t>
        </is>
      </c>
      <c r="K2020" s="20" t="inlineStr">
        <is>
          <t>Non-Captive</t>
        </is>
      </c>
      <c r="L2020" s="20" t="inlineStr">
        <is>
          <t>VTJ</t>
        </is>
      </c>
      <c r="M2020" s="23" t="n">
        <v>8474.58</v>
      </c>
      <c r="N2020" s="23" t="n">
        <v>10000</v>
      </c>
      <c r="O2020" s="24">
        <f>IF(AND(ISNUMBER(M2020), ISNUMBER(I2020), I2020&gt;0), M2020/I2020, "")</f>
        <v/>
      </c>
    </row>
    <row r="2021">
      <c r="A2021" s="19" t="inlineStr">
        <is>
          <t>FY27</t>
        </is>
      </c>
      <c r="B2021" s="19" t="inlineStr">
        <is>
          <t>Apr</t>
        </is>
      </c>
      <c r="C2021" s="19" t="inlineStr">
        <is>
          <t>Kerala</t>
        </is>
      </c>
      <c r="D2021" s="20" t="inlineStr">
        <is>
          <t>KL05AF4030</t>
        </is>
      </c>
      <c r="E2021" s="20" t="inlineStr">
        <is>
          <t>MARUTI SUZUKI</t>
        </is>
      </c>
      <c r="F2021" s="20" t="inlineStr">
        <is>
          <t>Alto</t>
        </is>
      </c>
      <c r="G2021" s="21" t="n"/>
      <c r="H2021" s="22" t="n">
        <v>120890</v>
      </c>
      <c r="I2021" s="23" t="n">
        <v>85000</v>
      </c>
      <c r="J2021" s="20" t="inlineStr">
        <is>
          <t>POPULAR MARUTI</t>
        </is>
      </c>
      <c r="K2021" s="20" t="inlineStr">
        <is>
          <t>Non-Captive</t>
        </is>
      </c>
      <c r="L2021" s="20" t="inlineStr">
        <is>
          <t>VTJ</t>
        </is>
      </c>
      <c r="M2021" s="23" t="n">
        <v>8474.58</v>
      </c>
      <c r="N2021" s="23" t="n">
        <v>10000</v>
      </c>
      <c r="O2021" s="24">
        <f>IF(AND(ISNUMBER(M2021), ISNUMBER(I2021), I2021&gt;0), M2021/I2021, "")</f>
        <v/>
      </c>
    </row>
    <row r="2022">
      <c r="A2022" s="19" t="inlineStr">
        <is>
          <t>FY27</t>
        </is>
      </c>
      <c r="B2022" s="19" t="inlineStr">
        <is>
          <t>Apr</t>
        </is>
      </c>
      <c r="C2022" s="19" t="inlineStr">
        <is>
          <t>Kerala</t>
        </is>
      </c>
      <c r="D2022" s="20" t="inlineStr">
        <is>
          <t>KL16U4959</t>
        </is>
      </c>
      <c r="E2022" s="20" t="inlineStr">
        <is>
          <t>HONDA</t>
        </is>
      </c>
      <c r="F2022" s="20" t="inlineStr">
        <is>
          <t>Amaze</t>
        </is>
      </c>
      <c r="G2022" s="21" t="n"/>
      <c r="H2022" s="22" t="n">
        <v>58787</v>
      </c>
      <c r="I2022" s="23" t="n">
        <v>545000</v>
      </c>
      <c r="J2022" s="20" t="inlineStr">
        <is>
          <t>MUHAMMED SHAJI</t>
        </is>
      </c>
      <c r="K2022" s="20" t="inlineStr">
        <is>
          <t>Non-Captive</t>
        </is>
      </c>
      <c r="L2022" s="20" t="inlineStr">
        <is>
          <t>VTJ</t>
        </is>
      </c>
      <c r="M2022" s="23" t="n">
        <v>8474.58</v>
      </c>
      <c r="N2022" s="23" t="n">
        <v>10000</v>
      </c>
      <c r="O2022" s="24">
        <f>IF(AND(ISNUMBER(M2022), ISNUMBER(I2022), I2022&gt;0), M2022/I2022, "")</f>
        <v/>
      </c>
    </row>
    <row r="2023">
      <c r="A2023" s="19" t="inlineStr">
        <is>
          <t>FY27</t>
        </is>
      </c>
      <c r="B2023" s="19" t="inlineStr">
        <is>
          <t>Apr</t>
        </is>
      </c>
      <c r="C2023" s="19" t="inlineStr">
        <is>
          <t>Kerala</t>
        </is>
      </c>
      <c r="D2023" s="20" t="inlineStr">
        <is>
          <t>KL01CN7173</t>
        </is>
      </c>
      <c r="E2023" s="20" t="inlineStr">
        <is>
          <t>RENAULT</t>
        </is>
      </c>
      <c r="F2023" s="20" t="inlineStr">
        <is>
          <t>Triber</t>
        </is>
      </c>
      <c r="G2023" s="21" t="n"/>
      <c r="H2023" s="22" t="n">
        <v>37800</v>
      </c>
      <c r="I2023" s="23" t="n">
        <v>375000</v>
      </c>
      <c r="J2023" s="20" t="inlineStr">
        <is>
          <t>KISHORE</t>
        </is>
      </c>
      <c r="K2023" s="20" t="inlineStr">
        <is>
          <t>Non-Captive</t>
        </is>
      </c>
      <c r="L2023" s="20" t="inlineStr">
        <is>
          <t>SS MAHINDRA</t>
        </is>
      </c>
      <c r="M2023" s="23" t="n">
        <v>4237.29</v>
      </c>
      <c r="N2023" s="23" t="n">
        <v>5000</v>
      </c>
      <c r="O2023" s="24">
        <f>IF(AND(ISNUMBER(M2023), ISNUMBER(I2023), I2023&gt;0), M2023/I2023, "")</f>
        <v/>
      </c>
    </row>
    <row r="2024">
      <c r="A2024" s="19" t="inlineStr">
        <is>
          <t>FY27</t>
        </is>
      </c>
      <c r="B2024" s="19" t="inlineStr">
        <is>
          <t>Apr</t>
        </is>
      </c>
      <c r="C2024" s="19" t="inlineStr">
        <is>
          <t>Kerala</t>
        </is>
      </c>
      <c r="D2024" s="20" t="inlineStr">
        <is>
          <t>KL30A0577</t>
        </is>
      </c>
      <c r="E2024" s="20" t="inlineStr">
        <is>
          <t>MARUTI SUZUKI</t>
        </is>
      </c>
      <c r="F2024" s="20" t="inlineStr">
        <is>
          <t>A-Star</t>
        </is>
      </c>
      <c r="G2024" s="21" t="n"/>
      <c r="H2024" s="22" t="n">
        <v>75645</v>
      </c>
      <c r="I2024" s="23" t="n">
        <v>100000</v>
      </c>
      <c r="J2024" s="20" t="inlineStr">
        <is>
          <t>AKHILNATH</t>
        </is>
      </c>
      <c r="K2024" s="20" t="inlineStr">
        <is>
          <t>Non-Captive</t>
        </is>
      </c>
      <c r="L2024" s="20" t="inlineStr">
        <is>
          <t>MITHUN BABU</t>
        </is>
      </c>
      <c r="M2024" s="23" t="n">
        <v>4237.29</v>
      </c>
      <c r="N2024" s="23" t="n">
        <v>5000</v>
      </c>
      <c r="O2024" s="24">
        <f>IF(AND(ISNUMBER(M2024), ISNUMBER(I2024), I2024&gt;0), M2024/I2024, "")</f>
        <v/>
      </c>
    </row>
    <row r="2025">
      <c r="A2025" s="19" t="inlineStr">
        <is>
          <t>FY27</t>
        </is>
      </c>
      <c r="B2025" s="19" t="inlineStr">
        <is>
          <t>Apr</t>
        </is>
      </c>
      <c r="C2025" s="19" t="inlineStr">
        <is>
          <t>Kerala</t>
        </is>
      </c>
      <c r="D2025" s="20" t="inlineStr">
        <is>
          <t>KL77A6017</t>
        </is>
      </c>
      <c r="E2025" s="20" t="inlineStr">
        <is>
          <t>HYUNDAI</t>
        </is>
      </c>
      <c r="F2025" s="20" t="inlineStr">
        <is>
          <t>I10</t>
        </is>
      </c>
      <c r="G2025" s="21" t="n"/>
      <c r="H2025" s="22" t="n">
        <v>84000</v>
      </c>
      <c r="I2025" s="23" t="n">
        <v>390000</v>
      </c>
      <c r="J2025" s="20" t="inlineStr">
        <is>
          <t>VASIL</t>
        </is>
      </c>
      <c r="K2025" s="20" t="inlineStr">
        <is>
          <t>Non-Captive</t>
        </is>
      </c>
      <c r="L2025" s="20" t="inlineStr">
        <is>
          <t>SANOOP</t>
        </is>
      </c>
      <c r="M2025" s="23" t="n">
        <v>8474.58</v>
      </c>
      <c r="N2025" s="23" t="n">
        <v>10000</v>
      </c>
      <c r="O2025" s="24">
        <f>IF(AND(ISNUMBER(M2025), ISNUMBER(I2025), I2025&gt;0), M2025/I2025, "")</f>
        <v/>
      </c>
    </row>
    <row r="2026">
      <c r="A2026" s="19" t="inlineStr">
        <is>
          <t>FY27</t>
        </is>
      </c>
      <c r="B2026" s="19" t="inlineStr">
        <is>
          <t>Apr</t>
        </is>
      </c>
      <c r="C2026" s="19" t="inlineStr">
        <is>
          <t>Kerala</t>
        </is>
      </c>
      <c r="D2026" s="20" t="inlineStr">
        <is>
          <t>KL13AT0234</t>
        </is>
      </c>
      <c r="E2026" s="20" t="inlineStr">
        <is>
          <t>KIA</t>
        </is>
      </c>
      <c r="F2026" s="20" t="inlineStr">
        <is>
          <t>Sonnet</t>
        </is>
      </c>
      <c r="G2026" s="21" t="n"/>
      <c r="H2026" s="22" t="n">
        <v>84000</v>
      </c>
      <c r="I2026" s="23" t="n">
        <v>700000</v>
      </c>
      <c r="J2026" s="20" t="inlineStr">
        <is>
          <t>CARZONE</t>
        </is>
      </c>
      <c r="K2026" s="20" t="inlineStr">
        <is>
          <t>Non-Captive</t>
        </is>
      </c>
      <c r="L2026" s="20" t="inlineStr">
        <is>
          <t>DKH KIA</t>
        </is>
      </c>
      <c r="M2026" s="23" t="n">
        <v>8474.58</v>
      </c>
      <c r="N2026" s="23" t="n">
        <v>10000</v>
      </c>
      <c r="O2026" s="24">
        <f>IF(AND(ISNUMBER(M2026), ISNUMBER(I2026), I2026&gt;0), M2026/I2026, "")</f>
        <v/>
      </c>
    </row>
    <row r="2027">
      <c r="A2027" s="19" t="inlineStr">
        <is>
          <t>FY27</t>
        </is>
      </c>
      <c r="B2027" s="19" t="inlineStr">
        <is>
          <t>Apr</t>
        </is>
      </c>
      <c r="C2027" s="19" t="inlineStr">
        <is>
          <t>Kerala</t>
        </is>
      </c>
      <c r="D2027" s="20" t="inlineStr">
        <is>
          <t>KL02V3821</t>
        </is>
      </c>
      <c r="E2027" s="20" t="inlineStr">
        <is>
          <t>MARUTI SUZUKI</t>
        </is>
      </c>
      <c r="F2027" s="20" t="inlineStr">
        <is>
          <t>Alto</t>
        </is>
      </c>
      <c r="G2027" s="21" t="n"/>
      <c r="H2027" s="22" t="n">
        <v>112356</v>
      </c>
      <c r="I2027" s="23" t="n">
        <v>25000</v>
      </c>
      <c r="J2027" s="20" t="inlineStr">
        <is>
          <t>MUTHOOT HONDA</t>
        </is>
      </c>
      <c r="K2027" s="20" t="inlineStr">
        <is>
          <t>Non-Captive</t>
        </is>
      </c>
      <c r="L2027" s="20" t="inlineStr">
        <is>
          <t>SHAHAR</t>
        </is>
      </c>
      <c r="M2027" s="23" t="n">
        <v>4237.29</v>
      </c>
      <c r="N2027" s="23" t="n">
        <v>5000</v>
      </c>
      <c r="O2027" s="24">
        <f>IF(AND(ISNUMBER(M2027), ISNUMBER(I2027), I2027&gt;0), M2027/I2027, "")</f>
        <v/>
      </c>
    </row>
    <row r="2028">
      <c r="A2028" s="19" t="inlineStr">
        <is>
          <t>FY27</t>
        </is>
      </c>
      <c r="B2028" s="19" t="inlineStr">
        <is>
          <t>Apr</t>
        </is>
      </c>
      <c r="C2028" s="19" t="inlineStr">
        <is>
          <t>Kerala</t>
        </is>
      </c>
      <c r="D2028" s="20" t="inlineStr">
        <is>
          <t>KL45W0968</t>
        </is>
      </c>
      <c r="E2028" s="20" t="inlineStr">
        <is>
          <t>MARUTI SUZUKI</t>
        </is>
      </c>
      <c r="F2028" s="20" t="inlineStr">
        <is>
          <t>Alto</t>
        </is>
      </c>
      <c r="G2028" s="21" t="n"/>
      <c r="H2028" s="22" t="n">
        <v>16800</v>
      </c>
      <c r="I2028" s="23" t="n">
        <v>303000</v>
      </c>
      <c r="J2028" s="20" t="inlineStr">
        <is>
          <t>JOHNS HONDA CARS</t>
        </is>
      </c>
      <c r="K2028" s="20" t="inlineStr">
        <is>
          <t>Non-Captive</t>
        </is>
      </c>
      <c r="L2028" s="20" t="inlineStr">
        <is>
          <t>VTJ</t>
        </is>
      </c>
      <c r="M2028" s="23" t="n">
        <v>8474.58</v>
      </c>
      <c r="N2028" s="23" t="n">
        <v>10000</v>
      </c>
      <c r="O2028" s="24">
        <f>IF(AND(ISNUMBER(M2028), ISNUMBER(I2028), I2028&gt;0), M2028/I2028, "")</f>
        <v/>
      </c>
    </row>
    <row r="2029">
      <c r="A2029" s="19" t="inlineStr">
        <is>
          <t>FY27</t>
        </is>
      </c>
      <c r="B2029" s="19" t="inlineStr">
        <is>
          <t>Apr</t>
        </is>
      </c>
      <c r="C2029" s="19" t="inlineStr">
        <is>
          <t>Kerala</t>
        </is>
      </c>
      <c r="D2029" s="20" t="inlineStr">
        <is>
          <t>KL05BA5525</t>
        </is>
      </c>
      <c r="E2029" s="20" t="inlineStr">
        <is>
          <t>TOYOTA</t>
        </is>
      </c>
      <c r="F2029" s="20" t="inlineStr">
        <is>
          <t>Glanza</t>
        </is>
      </c>
      <c r="G2029" s="21" t="n"/>
      <c r="H2029" s="22" t="n">
        <v>38787</v>
      </c>
      <c r="I2029" s="23" t="n">
        <v>740000</v>
      </c>
      <c r="J2029" s="20" t="inlineStr">
        <is>
          <t>VYSHAKH RAJESH</t>
        </is>
      </c>
      <c r="K2029" s="20" t="inlineStr">
        <is>
          <t>Non-Captive</t>
        </is>
      </c>
      <c r="L2029" s="20" t="inlineStr">
        <is>
          <t>SHAMSUDHEEN</t>
        </is>
      </c>
      <c r="M2029" s="23" t="n">
        <v>8474.58</v>
      </c>
      <c r="N2029" s="23" t="n">
        <v>10000</v>
      </c>
      <c r="O2029" s="24">
        <f>IF(AND(ISNUMBER(M2029), ISNUMBER(I2029), I2029&gt;0), M2029/I2029, "")</f>
        <v/>
      </c>
    </row>
    <row r="2030">
      <c r="A2030" s="19" t="inlineStr">
        <is>
          <t>FY27</t>
        </is>
      </c>
      <c r="B2030" s="19" t="inlineStr">
        <is>
          <t>May</t>
        </is>
      </c>
      <c r="C2030" s="19" t="inlineStr">
        <is>
          <t>Kerala</t>
        </is>
      </c>
      <c r="D2030" s="20" t="inlineStr">
        <is>
          <t>KL05AT6778</t>
        </is>
      </c>
      <c r="E2030" s="20" t="inlineStr">
        <is>
          <t>HYUNDAI</t>
        </is>
      </c>
      <c r="F2030" s="20" t="inlineStr">
        <is>
          <t>Santro</t>
        </is>
      </c>
      <c r="G2030" s="21" t="n"/>
      <c r="H2030" s="22" t="n">
        <v>83000</v>
      </c>
      <c r="I2030" s="23" t="n">
        <v>380000</v>
      </c>
      <c r="J2030" s="20" t="inlineStr">
        <is>
          <t>MUHAMMED NAFEED T</t>
        </is>
      </c>
      <c r="K2030" s="20" t="inlineStr">
        <is>
          <t>Non-Captive</t>
        </is>
      </c>
      <c r="L2030" s="20" t="inlineStr">
        <is>
          <t>PK SANTOSH UCD</t>
        </is>
      </c>
      <c r="M2030" s="23" t="n">
        <v>8474.58</v>
      </c>
      <c r="N2030" s="23" t="n">
        <v>10000</v>
      </c>
      <c r="O2030" s="24">
        <f>IF(AND(ISNUMBER(M2030), ISNUMBER(I2030), I2030&gt;0), M2030/I2030, "")</f>
        <v/>
      </c>
    </row>
    <row r="2031">
      <c r="A2031" s="19" t="inlineStr">
        <is>
          <t>FY27</t>
        </is>
      </c>
      <c r="B2031" s="19" t="inlineStr">
        <is>
          <t>May</t>
        </is>
      </c>
      <c r="C2031" s="19" t="inlineStr">
        <is>
          <t>Kerala</t>
        </is>
      </c>
      <c r="D2031" s="20" t="inlineStr">
        <is>
          <t>KL11BD5650</t>
        </is>
      </c>
      <c r="E2031" s="20" t="inlineStr">
        <is>
          <t>MAHINDRA</t>
        </is>
      </c>
      <c r="F2031" s="20" t="inlineStr">
        <is>
          <t>Kuv100</t>
        </is>
      </c>
      <c r="G2031" s="21" t="n"/>
      <c r="H2031" s="22" t="n">
        <v>80000</v>
      </c>
      <c r="I2031" s="23" t="n">
        <v>215000</v>
      </c>
      <c r="J2031" s="20" t="inlineStr">
        <is>
          <t>MK MAMMOOTTY</t>
        </is>
      </c>
      <c r="K2031" s="20" t="inlineStr">
        <is>
          <t>Non-Captive</t>
        </is>
      </c>
      <c r="L2031" s="20" t="inlineStr">
        <is>
          <t>PK SANTOSH UCD</t>
        </is>
      </c>
      <c r="M2031" s="23" t="n">
        <v>8474.58</v>
      </c>
      <c r="N2031" s="23" t="n">
        <v>10000</v>
      </c>
      <c r="O2031" s="24">
        <f>IF(AND(ISNUMBER(M2031), ISNUMBER(I2031), I2031&gt;0), M2031/I2031, "")</f>
        <v/>
      </c>
    </row>
    <row r="2032">
      <c r="A2032" s="19" t="inlineStr">
        <is>
          <t>FY27</t>
        </is>
      </c>
      <c r="B2032" s="19" t="inlineStr">
        <is>
          <t>May</t>
        </is>
      </c>
      <c r="C2032" s="19" t="inlineStr">
        <is>
          <t>Kerala</t>
        </is>
      </c>
      <c r="D2032" s="20" t="inlineStr">
        <is>
          <t>KL13AL6637</t>
        </is>
      </c>
      <c r="E2032" s="20" t="inlineStr">
        <is>
          <t>MARUTI SUZUKI</t>
        </is>
      </c>
      <c r="F2032" s="20" t="inlineStr">
        <is>
          <t>Baleno</t>
        </is>
      </c>
      <c r="G2032" s="21" t="n"/>
      <c r="H2032" s="22" t="n">
        <v>63000</v>
      </c>
      <c r="I2032" s="23" t="n">
        <v>480000</v>
      </c>
      <c r="J2032" s="20" t="inlineStr">
        <is>
          <t>MARVEL MOTORS</t>
        </is>
      </c>
      <c r="K2032" s="20" t="inlineStr">
        <is>
          <t>Non-Captive</t>
        </is>
      </c>
      <c r="L2032" s="20" t="inlineStr">
        <is>
          <t>APCO HYUNDAI</t>
        </is>
      </c>
      <c r="M2032" s="23" t="n">
        <v>4237.29</v>
      </c>
      <c r="N2032" s="23" t="n">
        <v>5000</v>
      </c>
      <c r="O2032" s="24">
        <f>IF(AND(ISNUMBER(M2032), ISNUMBER(I2032), I2032&gt;0), M2032/I2032, "")</f>
        <v/>
      </c>
    </row>
    <row r="2033">
      <c r="A2033" s="19" t="inlineStr">
        <is>
          <t>FY27</t>
        </is>
      </c>
      <c r="B2033" s="19" t="inlineStr">
        <is>
          <t>May</t>
        </is>
      </c>
      <c r="C2033" s="19" t="inlineStr">
        <is>
          <t>Kerala</t>
        </is>
      </c>
      <c r="D2033" s="20" t="inlineStr">
        <is>
          <t>KL18S8035</t>
        </is>
      </c>
      <c r="E2033" s="20" t="inlineStr">
        <is>
          <t>MARUTI SUZUKI</t>
        </is>
      </c>
      <c r="F2033" s="20" t="inlineStr">
        <is>
          <t>Wagon R</t>
        </is>
      </c>
      <c r="G2033" s="21" t="n"/>
      <c r="H2033" s="22" t="n">
        <v>124000</v>
      </c>
      <c r="I2033" s="23" t="n">
        <v>265000</v>
      </c>
      <c r="J2033" s="20" t="inlineStr">
        <is>
          <t>SANOOP</t>
        </is>
      </c>
      <c r="K2033" s="20" t="inlineStr">
        <is>
          <t>Non-Captive</t>
        </is>
      </c>
      <c r="L2033" s="20" t="inlineStr">
        <is>
          <t>INDUS MARUTI</t>
        </is>
      </c>
      <c r="M2033" s="23" t="n">
        <v>4237.29</v>
      </c>
      <c r="N2033" s="23" t="n">
        <v>5000</v>
      </c>
      <c r="O2033" s="24">
        <f>IF(AND(ISNUMBER(M2033), ISNUMBER(I2033), I2033&gt;0), M2033/I2033, "")</f>
        <v/>
      </c>
    </row>
    <row r="2034">
      <c r="A2034" s="19" t="inlineStr">
        <is>
          <t>FY27</t>
        </is>
      </c>
      <c r="B2034" s="19" t="inlineStr">
        <is>
          <t>May</t>
        </is>
      </c>
      <c r="C2034" s="19" t="inlineStr">
        <is>
          <t>Kerala</t>
        </is>
      </c>
      <c r="D2034" s="20" t="inlineStr">
        <is>
          <t>KL58X9251</t>
        </is>
      </c>
      <c r="E2034" s="20" t="inlineStr">
        <is>
          <t>MARUTI SUZUKI</t>
        </is>
      </c>
      <c r="F2034" s="20" t="inlineStr">
        <is>
          <t>Alto</t>
        </is>
      </c>
      <c r="G2034" s="21" t="n"/>
      <c r="H2034" s="22" t="n">
        <v>40000</v>
      </c>
      <c r="I2034" s="23" t="n">
        <v>250000</v>
      </c>
      <c r="J2034" s="20" t="inlineStr">
        <is>
          <t>SANOOP</t>
        </is>
      </c>
      <c r="K2034" s="20" t="inlineStr">
        <is>
          <t>Non-Captive</t>
        </is>
      </c>
      <c r="L2034" s="20" t="inlineStr">
        <is>
          <t>UCD MITHUN</t>
        </is>
      </c>
      <c r="M2034" s="23" t="n">
        <v>4237.29</v>
      </c>
      <c r="N2034" s="23" t="n">
        <v>5000</v>
      </c>
      <c r="O2034" s="24">
        <f>IF(AND(ISNUMBER(M2034), ISNUMBER(I2034), I2034&gt;0), M2034/I2034, "")</f>
        <v/>
      </c>
    </row>
    <row r="2035">
      <c r="A2035" s="19" t="inlineStr">
        <is>
          <t>FY27</t>
        </is>
      </c>
      <c r="B2035" s="19" t="inlineStr">
        <is>
          <t>May</t>
        </is>
      </c>
      <c r="C2035" s="19" t="inlineStr">
        <is>
          <t>Kerala</t>
        </is>
      </c>
      <c r="D2035" s="20" t="inlineStr">
        <is>
          <t>KL14T6473</t>
        </is>
      </c>
      <c r="E2035" s="20" t="inlineStr">
        <is>
          <t>RENAULT</t>
        </is>
      </c>
      <c r="F2035" s="20" t="inlineStr">
        <is>
          <t>Kwid</t>
        </is>
      </c>
      <c r="G2035" s="21" t="n"/>
      <c r="H2035" s="22" t="n">
        <v>117000</v>
      </c>
      <c r="I2035" s="23" t="n">
        <v>90000</v>
      </c>
      <c r="J2035" s="20" t="inlineStr">
        <is>
          <t>SANOOP</t>
        </is>
      </c>
      <c r="K2035" s="20" t="inlineStr">
        <is>
          <t>Non-Captive</t>
        </is>
      </c>
      <c r="L2035" s="20" t="inlineStr">
        <is>
          <t>UCD PRAJU</t>
        </is>
      </c>
      <c r="M2035" s="23" t="n">
        <v>8474.58</v>
      </c>
      <c r="N2035" s="23" t="n">
        <v>10000</v>
      </c>
      <c r="O2035" s="24">
        <f>IF(AND(ISNUMBER(M2035), ISNUMBER(I2035), I2035&gt;0), M2035/I2035, "")</f>
        <v/>
      </c>
    </row>
    <row r="2036">
      <c r="A2036" s="19" t="inlineStr">
        <is>
          <t>FY27</t>
        </is>
      </c>
      <c r="B2036" s="19" t="inlineStr">
        <is>
          <t>May</t>
        </is>
      </c>
      <c r="C2036" s="19" t="inlineStr">
        <is>
          <t>Kerala</t>
        </is>
      </c>
      <c r="D2036" s="20" t="inlineStr">
        <is>
          <t>KL43F2744</t>
        </is>
      </c>
      <c r="E2036" s="20" t="inlineStr">
        <is>
          <t>MARUTI SUZUKI</t>
        </is>
      </c>
      <c r="F2036" s="20" t="inlineStr">
        <is>
          <t>Wagon R</t>
        </is>
      </c>
      <c r="G2036" s="21" t="n"/>
      <c r="H2036" s="22" t="n">
        <v>119074</v>
      </c>
      <c r="I2036" s="23" t="n">
        <v>90000</v>
      </c>
      <c r="J2036" s="20" t="inlineStr">
        <is>
          <t>CARS24</t>
        </is>
      </c>
      <c r="K2036" s="20" t="inlineStr">
        <is>
          <t>Non-Captive</t>
        </is>
      </c>
      <c r="L2036" s="20" t="inlineStr">
        <is>
          <t>RAFEEK T A</t>
        </is>
      </c>
      <c r="M2036" s="23" t="n">
        <v>8474.58</v>
      </c>
      <c r="N2036" s="23" t="n">
        <v>10000</v>
      </c>
      <c r="O2036" s="24">
        <f>IF(AND(ISNUMBER(M2036), ISNUMBER(I2036), I2036&gt;0), M2036/I2036, "")</f>
        <v/>
      </c>
    </row>
    <row r="2037">
      <c r="A2037" s="19" t="inlineStr">
        <is>
          <t>FY27</t>
        </is>
      </c>
      <c r="B2037" s="19" t="inlineStr">
        <is>
          <t>May</t>
        </is>
      </c>
      <c r="C2037" s="19" t="inlineStr">
        <is>
          <t>Kerala</t>
        </is>
      </c>
      <c r="D2037" s="20" t="inlineStr">
        <is>
          <t>KL43P2784</t>
        </is>
      </c>
      <c r="E2037" s="20" t="inlineStr">
        <is>
          <t>MARUTI SUZUKI</t>
        </is>
      </c>
      <c r="F2037" s="20" t="inlineStr">
        <is>
          <t>Wagon R</t>
        </is>
      </c>
      <c r="G2037" s="21" t="n"/>
      <c r="H2037" s="22" t="n">
        <v>69800</v>
      </c>
      <c r="I2037" s="23" t="n">
        <v>460000</v>
      </c>
      <c r="J2037" s="20" t="inlineStr">
        <is>
          <t>CARS24</t>
        </is>
      </c>
      <c r="K2037" s="20" t="inlineStr">
        <is>
          <t>Non-Captive</t>
        </is>
      </c>
      <c r="L2037" s="20" t="inlineStr">
        <is>
          <t>HAVEN MOTORS</t>
        </is>
      </c>
      <c r="M2037" s="23" t="n">
        <v>8474.58</v>
      </c>
      <c r="N2037" s="23" t="n">
        <v>10000</v>
      </c>
      <c r="O2037" s="24">
        <f>IF(AND(ISNUMBER(M2037), ISNUMBER(I2037), I2037&gt;0), M2037/I2037, "")</f>
        <v/>
      </c>
    </row>
    <row r="2038">
      <c r="A2038" s="19" t="inlineStr">
        <is>
          <t>FY27</t>
        </is>
      </c>
      <c r="B2038" s="19" t="inlineStr">
        <is>
          <t>May</t>
        </is>
      </c>
      <c r="C2038" s="19" t="inlineStr">
        <is>
          <t>Kerala</t>
        </is>
      </c>
      <c r="D2038" s="20" t="inlineStr">
        <is>
          <t>KL04AU9238</t>
        </is>
      </c>
      <c r="E2038" s="20" t="inlineStr">
        <is>
          <t>NISSAN</t>
        </is>
      </c>
      <c r="F2038" s="20" t="inlineStr">
        <is>
          <t>Terrano</t>
        </is>
      </c>
      <c r="G2038" s="21" t="n"/>
      <c r="H2038" s="22" t="n">
        <v>129020</v>
      </c>
      <c r="I2038" s="23" t="n">
        <v>150000</v>
      </c>
      <c r="J2038" s="20" t="inlineStr">
        <is>
          <t>POPULAR MARUTI</t>
        </is>
      </c>
      <c r="K2038" s="20" t="inlineStr">
        <is>
          <t>Non-Captive</t>
        </is>
      </c>
      <c r="L2038" s="20" t="inlineStr">
        <is>
          <t>PRAVEEN KUMAR</t>
        </is>
      </c>
      <c r="M2038" s="23" t="n">
        <v>8474.58</v>
      </c>
      <c r="N2038" s="23" t="n">
        <v>10000</v>
      </c>
      <c r="O2038" s="24">
        <f>IF(AND(ISNUMBER(M2038), ISNUMBER(I2038), I2038&gt;0), M2038/I2038, "")</f>
        <v/>
      </c>
    </row>
    <row r="2039">
      <c r="A2039" s="19" t="inlineStr">
        <is>
          <t>FY27</t>
        </is>
      </c>
      <c r="B2039" s="19" t="inlineStr">
        <is>
          <t>May</t>
        </is>
      </c>
      <c r="C2039" s="19" t="inlineStr">
        <is>
          <t>Kerala</t>
        </is>
      </c>
      <c r="D2039" s="20" t="inlineStr">
        <is>
          <t>KL03N5200</t>
        </is>
      </c>
      <c r="E2039" s="20" t="inlineStr">
        <is>
          <t>HONDA</t>
        </is>
      </c>
      <c r="F2039" s="20" t="inlineStr">
        <is>
          <t>City</t>
        </is>
      </c>
      <c r="G2039" s="21" t="n"/>
      <c r="H2039" s="22" t="n">
        <v>182345</v>
      </c>
      <c r="I2039" s="23" t="n">
        <v>100000</v>
      </c>
      <c r="J2039" s="20" t="inlineStr">
        <is>
          <t>MUHAMMED SHAJI</t>
        </is>
      </c>
      <c r="K2039" s="20" t="inlineStr">
        <is>
          <t>Non-Captive</t>
        </is>
      </c>
      <c r="L2039" s="20" t="inlineStr">
        <is>
          <t>ANAS VH</t>
        </is>
      </c>
      <c r="M2039" s="23" t="n">
        <v>8474.58</v>
      </c>
      <c r="N2039" s="23" t="n">
        <v>10000</v>
      </c>
      <c r="O2039" s="24">
        <f>IF(AND(ISNUMBER(M2039), ISNUMBER(I2039), I2039&gt;0), M2039/I2039, "")</f>
        <v/>
      </c>
    </row>
    <row r="2040">
      <c r="A2040" s="19" t="inlineStr">
        <is>
          <t>FY27</t>
        </is>
      </c>
      <c r="B2040" s="19" t="inlineStr">
        <is>
          <t>May</t>
        </is>
      </c>
      <c r="C2040" s="19" t="inlineStr">
        <is>
          <t>Kerala</t>
        </is>
      </c>
      <c r="D2040" s="20" t="inlineStr">
        <is>
          <t>KL28B5032</t>
        </is>
      </c>
      <c r="E2040" s="20" t="inlineStr">
        <is>
          <t>HYUNDAI</t>
        </is>
      </c>
      <c r="F2040" s="20" t="inlineStr">
        <is>
          <t>Grand I10</t>
        </is>
      </c>
      <c r="G2040" s="21" t="n"/>
      <c r="H2040" s="22" t="n">
        <v>96757</v>
      </c>
      <c r="I2040" s="23" t="n">
        <v>260000</v>
      </c>
      <c r="J2040" s="20" t="inlineStr">
        <is>
          <t>AMRITH V CHANDY</t>
        </is>
      </c>
      <c r="K2040" s="20" t="inlineStr">
        <is>
          <t>Non-Captive</t>
        </is>
      </c>
      <c r="L2040" s="20" t="inlineStr">
        <is>
          <t>DREAM DRIVE</t>
        </is>
      </c>
      <c r="M2040" s="23" t="n">
        <v>8474.58</v>
      </c>
      <c r="N2040" s="23" t="n">
        <v>10000</v>
      </c>
      <c r="O2040" s="24">
        <f>IF(AND(ISNUMBER(M2040), ISNUMBER(I2040), I2040&gt;0), M2040/I2040, "")</f>
        <v/>
      </c>
    </row>
    <row r="2041">
      <c r="A2041" s="19" t="inlineStr">
        <is>
          <t>FY27</t>
        </is>
      </c>
      <c r="B2041" s="19" t="inlineStr">
        <is>
          <t>May</t>
        </is>
      </c>
      <c r="C2041" s="19" t="inlineStr">
        <is>
          <t>Kerala</t>
        </is>
      </c>
      <c r="D2041" s="20" t="inlineStr">
        <is>
          <t>KL05X1309</t>
        </is>
      </c>
      <c r="E2041" s="20" t="inlineStr">
        <is>
          <t>MARUTI SUZUKI</t>
        </is>
      </c>
      <c r="F2041" s="20" t="inlineStr">
        <is>
          <t>Wagon R</t>
        </is>
      </c>
      <c r="G2041" s="21" t="n"/>
      <c r="H2041" s="22" t="n">
        <v>130927</v>
      </c>
      <c r="I2041" s="23" t="n">
        <v>20000</v>
      </c>
      <c r="J2041" s="20" t="inlineStr">
        <is>
          <t>AMRITH V CHANDY</t>
        </is>
      </c>
      <c r="K2041" s="20" t="inlineStr">
        <is>
          <t>Non-Captive</t>
        </is>
      </c>
      <c r="L2041" s="20" t="inlineStr">
        <is>
          <t>DREAM DRIVE</t>
        </is>
      </c>
      <c r="M2041" s="23" t="n">
        <v>8474.58</v>
      </c>
      <c r="N2041" s="23" t="n">
        <v>10000</v>
      </c>
      <c r="O2041" s="24">
        <f>IF(AND(ISNUMBER(M2041), ISNUMBER(I2041), I2041&gt;0), M2041/I2041, "")</f>
        <v/>
      </c>
    </row>
    <row r="2042">
      <c r="A2042" s="19" t="inlineStr">
        <is>
          <t>FY27</t>
        </is>
      </c>
      <c r="B2042" s="19" t="inlineStr">
        <is>
          <t>May</t>
        </is>
      </c>
      <c r="C2042" s="19" t="inlineStr">
        <is>
          <t>Kerala</t>
        </is>
      </c>
      <c r="D2042" s="20" t="inlineStr">
        <is>
          <t>KL07CA0989</t>
        </is>
      </c>
      <c r="E2042" s="20" t="inlineStr">
        <is>
          <t>HYUNDAI</t>
        </is>
      </c>
      <c r="F2042" s="20" t="inlineStr">
        <is>
          <t>Grand I10</t>
        </is>
      </c>
      <c r="G2042" s="21" t="n"/>
      <c r="H2042" s="22" t="n">
        <v>61971</v>
      </c>
      <c r="I2042" s="23" t="n">
        <v>190000</v>
      </c>
      <c r="J2042" s="20" t="inlineStr">
        <is>
          <t>POPULAR HYUNDAI</t>
        </is>
      </c>
      <c r="K2042" s="20" t="inlineStr">
        <is>
          <t>Non-Captive</t>
        </is>
      </c>
      <c r="L2042" s="20" t="inlineStr">
        <is>
          <t>VISHNU M S</t>
        </is>
      </c>
      <c r="M2042" s="23" t="n">
        <v>8474.58</v>
      </c>
      <c r="N2042" s="23" t="n">
        <v>10000</v>
      </c>
      <c r="O2042" s="24">
        <f>IF(AND(ISNUMBER(M2042), ISNUMBER(I2042), I2042&gt;0), M2042/I2042, "")</f>
        <v/>
      </c>
    </row>
    <row r="2043">
      <c r="A2043" s="19" t="inlineStr">
        <is>
          <t>FY27</t>
        </is>
      </c>
      <c r="B2043" s="19" t="inlineStr">
        <is>
          <t>May</t>
        </is>
      </c>
      <c r="C2043" s="19" t="inlineStr">
        <is>
          <t>Kerala</t>
        </is>
      </c>
      <c r="D2043" s="20" t="inlineStr">
        <is>
          <t>KL01CM8954</t>
        </is>
      </c>
      <c r="E2043" s="20" t="inlineStr">
        <is>
          <t>FORD</t>
        </is>
      </c>
      <c r="F2043" s="20" t="inlineStr">
        <is>
          <t>Ecosport</t>
        </is>
      </c>
      <c r="G2043" s="21" t="n"/>
      <c r="H2043" s="22" t="n">
        <v>47000</v>
      </c>
      <c r="I2043" s="23" t="n">
        <v>550000</v>
      </c>
      <c r="J2043" s="20" t="inlineStr">
        <is>
          <t>POPULAR MARUTI</t>
        </is>
      </c>
      <c r="K2043" s="20" t="inlineStr">
        <is>
          <t>Non-Captive</t>
        </is>
      </c>
      <c r="L2043" s="20" t="inlineStr">
        <is>
          <t>CARLINK</t>
        </is>
      </c>
      <c r="M2043" s="23" t="n">
        <v>11016.95</v>
      </c>
      <c r="N2043" s="23" t="n">
        <v>13000</v>
      </c>
      <c r="O2043" s="24">
        <f>IF(AND(ISNUMBER(M2043), ISNUMBER(I2043), I2043&gt;0), M2043/I2043, "")</f>
        <v/>
      </c>
    </row>
    <row r="2044">
      <c r="A2044" s="19" t="inlineStr">
        <is>
          <t>FY27</t>
        </is>
      </c>
      <c r="B2044" s="19" t="inlineStr">
        <is>
          <t>May</t>
        </is>
      </c>
      <c r="C2044" s="19" t="inlineStr">
        <is>
          <t>Kerala</t>
        </is>
      </c>
      <c r="D2044" s="20" t="inlineStr">
        <is>
          <t>KL07CJ7840</t>
        </is>
      </c>
      <c r="E2044" s="20" t="inlineStr">
        <is>
          <t>MARUTI SUZUKI</t>
        </is>
      </c>
      <c r="F2044" s="20" t="inlineStr">
        <is>
          <t>Celerio</t>
        </is>
      </c>
      <c r="G2044" s="21" t="n"/>
      <c r="H2044" s="22" t="n">
        <v>33290</v>
      </c>
      <c r="I2044" s="23" t="n">
        <v>280000</v>
      </c>
      <c r="J2044" s="20" t="inlineStr">
        <is>
          <t>MAIJO MARUTI</t>
        </is>
      </c>
      <c r="K2044" s="20" t="inlineStr">
        <is>
          <t>Non-Captive</t>
        </is>
      </c>
      <c r="L2044" s="20" t="inlineStr">
        <is>
          <t>SANOOB V A</t>
        </is>
      </c>
      <c r="M2044" s="23" t="n">
        <v>8474.58</v>
      </c>
      <c r="N2044" s="23" t="n">
        <v>10000</v>
      </c>
      <c r="O2044" s="24">
        <f>IF(AND(ISNUMBER(M2044), ISNUMBER(I2044), I2044&gt;0), M2044/I2044, "")</f>
        <v/>
      </c>
    </row>
    <row r="2045">
      <c r="A2045" s="19" t="inlineStr">
        <is>
          <t>FY27</t>
        </is>
      </c>
      <c r="B2045" s="19" t="inlineStr">
        <is>
          <t>May</t>
        </is>
      </c>
      <c r="C2045" s="19" t="inlineStr">
        <is>
          <t>Kerala</t>
        </is>
      </c>
      <c r="D2045" s="20" t="inlineStr">
        <is>
          <t>KL08BJ2680</t>
        </is>
      </c>
      <c r="E2045" s="20" t="inlineStr">
        <is>
          <t>MAHINDRA</t>
        </is>
      </c>
      <c r="F2045" s="20" t="inlineStr">
        <is>
          <t>Xuv500</t>
        </is>
      </c>
      <c r="G2045" s="21" t="n"/>
      <c r="H2045" s="22" t="n">
        <v>151000</v>
      </c>
      <c r="I2045" s="23" t="n">
        <v>485000</v>
      </c>
      <c r="J2045" s="20" t="inlineStr">
        <is>
          <t>INCHEON KIA</t>
        </is>
      </c>
      <c r="K2045" s="20" t="inlineStr">
        <is>
          <t>Non-Captive</t>
        </is>
      </c>
      <c r="L2045" s="20" t="inlineStr">
        <is>
          <t>AITOS CARS</t>
        </is>
      </c>
      <c r="M2045" s="23" t="n">
        <v>8474.58</v>
      </c>
      <c r="N2045" s="23" t="n">
        <v>10000</v>
      </c>
      <c r="O2045" s="24">
        <f>IF(AND(ISNUMBER(M2045), ISNUMBER(I2045), I2045&gt;0), M2045/I2045, "")</f>
        <v/>
      </c>
    </row>
    <row r="2046">
      <c r="A2046" s="19" t="inlineStr">
        <is>
          <t>FY27</t>
        </is>
      </c>
      <c r="B2046" s="19" t="inlineStr">
        <is>
          <t>May</t>
        </is>
      </c>
      <c r="C2046" s="19" t="inlineStr">
        <is>
          <t>Kerala</t>
        </is>
      </c>
      <c r="D2046" s="20" t="inlineStr">
        <is>
          <t>KL08BL3836</t>
        </is>
      </c>
      <c r="E2046" s="20" t="inlineStr">
        <is>
          <t>HYUNDAI</t>
        </is>
      </c>
      <c r="F2046" s="20" t="inlineStr">
        <is>
          <t>Eon</t>
        </is>
      </c>
      <c r="G2046" s="21" t="n"/>
      <c r="H2046" s="22" t="n">
        <v>82000</v>
      </c>
      <c r="I2046" s="23" t="n">
        <v>120000</v>
      </c>
      <c r="J2046" s="20" t="inlineStr">
        <is>
          <t>POPULAR MARUTI</t>
        </is>
      </c>
      <c r="K2046" s="20" t="inlineStr">
        <is>
          <t>Non-Captive</t>
        </is>
      </c>
      <c r="L2046" s="20" t="inlineStr">
        <is>
          <t>AITOS CARS</t>
        </is>
      </c>
      <c r="M2046" s="23" t="n">
        <v>12711.86</v>
      </c>
      <c r="N2046" s="23" t="n">
        <v>15000</v>
      </c>
      <c r="O2046" s="24">
        <f>IF(AND(ISNUMBER(M2046), ISNUMBER(I2046), I2046&gt;0), M2046/I2046, "")</f>
        <v/>
      </c>
    </row>
    <row r="2047">
      <c r="A2047" s="19" t="inlineStr">
        <is>
          <t>FY27</t>
        </is>
      </c>
      <c r="B2047" s="19" t="inlineStr">
        <is>
          <t>May</t>
        </is>
      </c>
      <c r="C2047" s="19" t="inlineStr">
        <is>
          <t>Kerala</t>
        </is>
      </c>
      <c r="D2047" s="20" t="inlineStr">
        <is>
          <t>KL01BW0013</t>
        </is>
      </c>
      <c r="E2047" s="20" t="inlineStr">
        <is>
          <t>HONDA</t>
        </is>
      </c>
      <c r="F2047" s="20" t="inlineStr">
        <is>
          <t>Jazz</t>
        </is>
      </c>
      <c r="G2047" s="21" t="n"/>
      <c r="H2047" s="22" t="n">
        <v>61863</v>
      </c>
      <c r="I2047" s="23" t="n">
        <v>365000</v>
      </c>
      <c r="J2047" s="20" t="inlineStr">
        <is>
          <t>INCHEON KIA</t>
        </is>
      </c>
      <c r="K2047" s="20" t="inlineStr">
        <is>
          <t>Non-Captive</t>
        </is>
      </c>
      <c r="L2047" s="20" t="inlineStr">
        <is>
          <t>CLIND</t>
        </is>
      </c>
      <c r="M2047" s="23" t="n">
        <v>8474.58</v>
      </c>
      <c r="N2047" s="23" t="n">
        <v>10000</v>
      </c>
      <c r="O2047" s="24">
        <f>IF(AND(ISNUMBER(M2047), ISNUMBER(I2047), I2047&gt;0), M2047/I2047, "")</f>
        <v/>
      </c>
    </row>
    <row r="2048">
      <c r="A2048" s="19" t="inlineStr">
        <is>
          <t>FY27</t>
        </is>
      </c>
      <c r="B2048" s="19" t="inlineStr">
        <is>
          <t>May</t>
        </is>
      </c>
      <c r="C2048" s="19" t="inlineStr">
        <is>
          <t>Kerala</t>
        </is>
      </c>
      <c r="D2048" s="20" t="inlineStr">
        <is>
          <t>KL01CS2322</t>
        </is>
      </c>
      <c r="E2048" s="20" t="inlineStr">
        <is>
          <t>MARUTI SUZUKI</t>
        </is>
      </c>
      <c r="F2048" s="20" t="inlineStr">
        <is>
          <t>Eeco</t>
        </is>
      </c>
      <c r="G2048" s="21" t="n"/>
      <c r="H2048" s="22" t="n">
        <v>47665</v>
      </c>
      <c r="I2048" s="23" t="n">
        <v>340000</v>
      </c>
      <c r="J2048" s="20" t="inlineStr">
        <is>
          <t>INCHEON KIA</t>
        </is>
      </c>
      <c r="K2048" s="20" t="inlineStr">
        <is>
          <t>Non-Captive</t>
        </is>
      </c>
      <c r="L2048" s="20" t="inlineStr">
        <is>
          <t>MAXX MOTORS</t>
        </is>
      </c>
      <c r="M2048" s="23" t="n">
        <v>8474.58</v>
      </c>
      <c r="N2048" s="23" t="n">
        <v>10000</v>
      </c>
      <c r="O2048" s="24">
        <f>IF(AND(ISNUMBER(M2048), ISNUMBER(I2048), I2048&gt;0), M2048/I2048, "")</f>
        <v/>
      </c>
    </row>
    <row r="2049">
      <c r="A2049" s="19" t="inlineStr">
        <is>
          <t>FY27</t>
        </is>
      </c>
      <c r="B2049" s="19" t="inlineStr">
        <is>
          <t>May</t>
        </is>
      </c>
      <c r="C2049" s="19" t="inlineStr">
        <is>
          <t>Kerala</t>
        </is>
      </c>
      <c r="D2049" s="20" t="inlineStr">
        <is>
          <t>KL01BJ8385</t>
        </is>
      </c>
      <c r="E2049" s="20" t="inlineStr">
        <is>
          <t>MARUTI SUZUKI</t>
        </is>
      </c>
      <c r="F2049" s="20" t="inlineStr">
        <is>
          <t>K10</t>
        </is>
      </c>
      <c r="G2049" s="21" t="n"/>
      <c r="H2049" s="22" t="n">
        <v>79195</v>
      </c>
      <c r="I2049" s="23" t="n">
        <v>110000</v>
      </c>
      <c r="J2049" s="20" t="inlineStr">
        <is>
          <t>LUXON TATA</t>
        </is>
      </c>
      <c r="K2049" s="20" t="inlineStr">
        <is>
          <t>Non-Captive</t>
        </is>
      </c>
      <c r="L2049" s="20" t="inlineStr">
        <is>
          <t>KISHORE</t>
        </is>
      </c>
      <c r="M2049" s="23" t="n">
        <v>5932.2</v>
      </c>
      <c r="N2049" s="23" t="n">
        <v>7000</v>
      </c>
      <c r="O2049" s="24">
        <f>IF(AND(ISNUMBER(M2049), ISNUMBER(I2049), I2049&gt;0), M2049/I2049, "")</f>
        <v/>
      </c>
    </row>
    <row r="2050">
      <c r="A2050" s="19" t="inlineStr">
        <is>
          <t>FY27</t>
        </is>
      </c>
      <c r="B2050" s="19" t="inlineStr">
        <is>
          <t>May</t>
        </is>
      </c>
      <c r="C2050" s="19" t="inlineStr">
        <is>
          <t>Kerala</t>
        </is>
      </c>
      <c r="D2050" s="20" t="inlineStr">
        <is>
          <t>KL01BF8125</t>
        </is>
      </c>
      <c r="E2050" s="20" t="inlineStr">
        <is>
          <t>MARUTI SUZUKI</t>
        </is>
      </c>
      <c r="F2050" s="20" t="inlineStr">
        <is>
          <t>Alto</t>
        </is>
      </c>
      <c r="G2050" s="21" t="n"/>
      <c r="H2050" s="22" t="n">
        <v>32780</v>
      </c>
      <c r="I2050" s="23" t="n">
        <v>80000</v>
      </c>
      <c r="J2050" s="20" t="inlineStr">
        <is>
          <t>LUXON TATA</t>
        </is>
      </c>
      <c r="K2050" s="20" t="inlineStr">
        <is>
          <t>Non-Captive</t>
        </is>
      </c>
      <c r="L2050" s="20" t="inlineStr">
        <is>
          <t>PRAJOD</t>
        </is>
      </c>
      <c r="M2050" s="23" t="n">
        <v>5084.75</v>
      </c>
      <c r="N2050" s="23" t="n">
        <v>6000</v>
      </c>
      <c r="O2050" s="24">
        <f>IF(AND(ISNUMBER(M2050), ISNUMBER(I2050), I2050&gt;0), M2050/I2050, "")</f>
        <v/>
      </c>
    </row>
    <row r="2051">
      <c r="A2051" s="19" t="inlineStr">
        <is>
          <t>FY27</t>
        </is>
      </c>
      <c r="B2051" s="19" t="inlineStr">
        <is>
          <t>May</t>
        </is>
      </c>
      <c r="C2051" s="19" t="inlineStr">
        <is>
          <t>Kerala</t>
        </is>
      </c>
      <c r="D2051" s="20" t="inlineStr">
        <is>
          <t>KL01CC7499</t>
        </is>
      </c>
      <c r="E2051" s="20" t="inlineStr">
        <is>
          <t>RENAULT</t>
        </is>
      </c>
      <c r="F2051" s="20" t="inlineStr">
        <is>
          <t>Kwid</t>
        </is>
      </c>
      <c r="G2051" s="21" t="n"/>
      <c r="H2051" s="22" t="n">
        <v>49200</v>
      </c>
      <c r="I2051" s="23" t="n">
        <v>150000</v>
      </c>
      <c r="J2051" s="20" t="inlineStr">
        <is>
          <t>INCHEON KIA</t>
        </is>
      </c>
      <c r="K2051" s="20" t="inlineStr">
        <is>
          <t>Non-Captive</t>
        </is>
      </c>
      <c r="L2051" s="20" t="inlineStr">
        <is>
          <t>KISHORE</t>
        </is>
      </c>
      <c r="M2051" s="23" t="n">
        <v>5932.2</v>
      </c>
      <c r="N2051" s="23" t="n">
        <v>7000</v>
      </c>
      <c r="O2051" s="24">
        <f>IF(AND(ISNUMBER(M2051), ISNUMBER(I2051), I2051&gt;0), M2051/I2051, "")</f>
        <v/>
      </c>
    </row>
    <row r="2052">
      <c r="A2052" s="19" t="inlineStr">
        <is>
          <t>FY27</t>
        </is>
      </c>
      <c r="B2052" s="19" t="inlineStr">
        <is>
          <t>May</t>
        </is>
      </c>
      <c r="C2052" s="19" t="inlineStr">
        <is>
          <t>Kerala</t>
        </is>
      </c>
      <c r="D2052" s="20" t="inlineStr">
        <is>
          <t>KL05Z2324</t>
        </is>
      </c>
      <c r="E2052" s="20" t="inlineStr">
        <is>
          <t>HYUNDAI</t>
        </is>
      </c>
      <c r="F2052" s="20" t="inlineStr">
        <is>
          <t>Santro</t>
        </is>
      </c>
      <c r="G2052" s="21" t="n"/>
      <c r="H2052" s="22" t="n">
        <v>71887</v>
      </c>
      <c r="I2052" s="23" t="n">
        <v>70000</v>
      </c>
      <c r="J2052" s="20" t="inlineStr">
        <is>
          <t>POPULAR MARUTI</t>
        </is>
      </c>
      <c r="K2052" s="20" t="inlineStr">
        <is>
          <t>Non-Captive</t>
        </is>
      </c>
      <c r="L2052" s="20" t="inlineStr">
        <is>
          <t>AITOS CARS</t>
        </is>
      </c>
      <c r="M2052" s="23" t="n">
        <v>12711.86</v>
      </c>
      <c r="N2052" s="23" t="n">
        <v>15000</v>
      </c>
      <c r="O2052" s="24">
        <f>IF(AND(ISNUMBER(M2052), ISNUMBER(I2052), I2052&gt;0), M2052/I2052, "")</f>
        <v/>
      </c>
    </row>
    <row r="2053">
      <c r="A2053" s="19" t="inlineStr">
        <is>
          <t>FY27</t>
        </is>
      </c>
      <c r="B2053" s="19" t="inlineStr">
        <is>
          <t>May</t>
        </is>
      </c>
      <c r="C2053" s="19" t="inlineStr">
        <is>
          <t>Kerala</t>
        </is>
      </c>
      <c r="D2053" s="20" t="inlineStr">
        <is>
          <t>KL11BC2309</t>
        </is>
      </c>
      <c r="E2053" s="20" t="inlineStr">
        <is>
          <t>MARUTI SUZUKI</t>
        </is>
      </c>
      <c r="F2053" s="20" t="inlineStr">
        <is>
          <t>Brezza</t>
        </is>
      </c>
      <c r="G2053" s="21" t="n"/>
      <c r="H2053" s="22" t="n">
        <v>78000</v>
      </c>
      <c r="I2053" s="23" t="n">
        <v>625000</v>
      </c>
      <c r="J2053" s="20" t="inlineStr">
        <is>
          <t>RATHEESH</t>
        </is>
      </c>
      <c r="K2053" s="20" t="inlineStr">
        <is>
          <t>Non-Captive</t>
        </is>
      </c>
      <c r="L2053" s="20" t="inlineStr">
        <is>
          <t>BIMAL</t>
        </is>
      </c>
      <c r="M2053" s="23" t="n">
        <v>8474.58</v>
      </c>
      <c r="N2053" s="23" t="n">
        <v>10000</v>
      </c>
      <c r="O2053" s="24">
        <f>IF(AND(ISNUMBER(M2053), ISNUMBER(I2053), I2053&gt;0), M2053/I2053, "")</f>
        <v/>
      </c>
    </row>
    <row r="2054">
      <c r="A2054" s="19" t="inlineStr">
        <is>
          <t>FY27</t>
        </is>
      </c>
      <c r="B2054" s="19" t="inlineStr">
        <is>
          <t>May</t>
        </is>
      </c>
      <c r="C2054" s="19" t="inlineStr">
        <is>
          <t>Kerala</t>
        </is>
      </c>
      <c r="D2054" s="20" t="inlineStr">
        <is>
          <t>KL60R8996</t>
        </is>
      </c>
      <c r="E2054" s="20" t="inlineStr">
        <is>
          <t>RENAULT</t>
        </is>
      </c>
      <c r="F2054" s="20" t="inlineStr">
        <is>
          <t>Triber</t>
        </is>
      </c>
      <c r="G2054" s="21" t="n"/>
      <c r="H2054" s="22" t="n">
        <v>66000</v>
      </c>
      <c r="I2054" s="23" t="n">
        <v>400000</v>
      </c>
      <c r="J2054" s="20" t="inlineStr">
        <is>
          <t>ISMAIL FARHAN</t>
        </is>
      </c>
      <c r="K2054" s="20" t="inlineStr">
        <is>
          <t>Non-Captive</t>
        </is>
      </c>
      <c r="L2054" s="20" t="inlineStr">
        <is>
          <t>UCD REJU</t>
        </is>
      </c>
      <c r="M2054" s="23" t="n">
        <v>8474.58</v>
      </c>
      <c r="N2054" s="23" t="n">
        <v>10000</v>
      </c>
      <c r="O2054" s="24">
        <f>IF(AND(ISNUMBER(M2054), ISNUMBER(I2054), I2054&gt;0), M2054/I2054, "")</f>
        <v/>
      </c>
    </row>
    <row r="2055">
      <c r="A2055" s="19" t="inlineStr">
        <is>
          <t>FY27</t>
        </is>
      </c>
      <c r="B2055" s="19" t="inlineStr">
        <is>
          <t>May</t>
        </is>
      </c>
      <c r="C2055" s="19" t="inlineStr">
        <is>
          <t>Kerala</t>
        </is>
      </c>
      <c r="D2055" s="20" t="inlineStr">
        <is>
          <t>KL56V0343</t>
        </is>
      </c>
      <c r="E2055" s="20" t="inlineStr">
        <is>
          <t>MARUTI SUZUKI</t>
        </is>
      </c>
      <c r="F2055" s="20" t="inlineStr">
        <is>
          <t>Swift</t>
        </is>
      </c>
      <c r="G2055" s="21" t="n"/>
      <c r="H2055" s="22" t="n">
        <v>55000</v>
      </c>
      <c r="I2055" s="23" t="n">
        <v>400000</v>
      </c>
      <c r="J2055" s="20" t="inlineStr">
        <is>
          <t>HAMSA</t>
        </is>
      </c>
      <c r="K2055" s="20" t="inlineStr">
        <is>
          <t>Non-Captive</t>
        </is>
      </c>
      <c r="L2055" s="20" t="inlineStr">
        <is>
          <t>BIMAL</t>
        </is>
      </c>
      <c r="M2055" s="23" t="n">
        <v>4237.29</v>
      </c>
      <c r="N2055" s="23" t="n">
        <v>5000</v>
      </c>
      <c r="O2055" s="24">
        <f>IF(AND(ISNUMBER(M2055), ISNUMBER(I2055), I2055&gt;0), M2055/I2055, "")</f>
        <v/>
      </c>
    </row>
    <row r="2056">
      <c r="A2056" s="19" t="inlineStr">
        <is>
          <t>FY27</t>
        </is>
      </c>
      <c r="B2056" s="19" t="inlineStr">
        <is>
          <t>May</t>
        </is>
      </c>
      <c r="C2056" s="19" t="inlineStr">
        <is>
          <t>Kerala</t>
        </is>
      </c>
      <c r="D2056" s="20" t="inlineStr">
        <is>
          <t>KL57F6284</t>
        </is>
      </c>
      <c r="E2056" s="20" t="inlineStr">
        <is>
          <t>MARUTI SUZUKI</t>
        </is>
      </c>
      <c r="F2056" s="20" t="inlineStr">
        <is>
          <t>Swift Dzire</t>
        </is>
      </c>
      <c r="G2056" s="21" t="n"/>
      <c r="H2056" s="22" t="n">
        <v>142000</v>
      </c>
      <c r="I2056" s="23" t="n">
        <v>243000</v>
      </c>
      <c r="J2056" s="20" t="inlineStr">
        <is>
          <t>UNAISE</t>
        </is>
      </c>
      <c r="K2056" s="20" t="inlineStr">
        <is>
          <t>Non-Captive</t>
        </is>
      </c>
      <c r="L2056" s="20" t="inlineStr">
        <is>
          <t>UCD NOUSHAD</t>
        </is>
      </c>
      <c r="M2056" s="23" t="n">
        <v>5932.2</v>
      </c>
      <c r="N2056" s="23" t="n">
        <v>7000</v>
      </c>
      <c r="O2056" s="24">
        <f>IF(AND(ISNUMBER(M2056), ISNUMBER(I2056), I2056&gt;0), M2056/I2056, "")</f>
        <v/>
      </c>
    </row>
    <row r="2057">
      <c r="A2057" s="19" t="inlineStr">
        <is>
          <t>FY27</t>
        </is>
      </c>
      <c r="B2057" s="19" t="inlineStr">
        <is>
          <t>May</t>
        </is>
      </c>
      <c r="C2057" s="19" t="inlineStr">
        <is>
          <t>Kerala</t>
        </is>
      </c>
      <c r="D2057" s="20" t="inlineStr">
        <is>
          <t>KL10AW0956</t>
        </is>
      </c>
      <c r="E2057" s="20" t="inlineStr">
        <is>
          <t>RENAULT</t>
        </is>
      </c>
      <c r="F2057" s="20" t="inlineStr">
        <is>
          <t>Kwid</t>
        </is>
      </c>
      <c r="G2057" s="21" t="n"/>
      <c r="H2057" s="22" t="n">
        <v>71000</v>
      </c>
      <c r="I2057" s="23" t="n">
        <v>145000</v>
      </c>
      <c r="J2057" s="20" t="inlineStr">
        <is>
          <t>SANOOP</t>
        </is>
      </c>
      <c r="K2057" s="20" t="inlineStr">
        <is>
          <t>Non-Captive</t>
        </is>
      </c>
      <c r="L2057" s="20" t="inlineStr">
        <is>
          <t>UCD ABHILASH</t>
        </is>
      </c>
      <c r="M2057" s="23" t="n">
        <v>8474.58</v>
      </c>
      <c r="N2057" s="23" t="n">
        <v>10000</v>
      </c>
      <c r="O2057" s="24">
        <f>IF(AND(ISNUMBER(M2057), ISNUMBER(I2057), I2057&gt;0), M2057/I2057, "")</f>
        <v/>
      </c>
    </row>
    <row r="2058">
      <c r="A2058" s="19" t="inlineStr">
        <is>
          <t>FY27</t>
        </is>
      </c>
      <c r="B2058" s="19" t="inlineStr">
        <is>
          <t>May</t>
        </is>
      </c>
      <c r="C2058" s="19" t="inlineStr">
        <is>
          <t>Kerala</t>
        </is>
      </c>
      <c r="D2058" s="20" t="inlineStr">
        <is>
          <t>KL58B6344</t>
        </is>
      </c>
      <c r="E2058" s="20" t="inlineStr">
        <is>
          <t>MARUTI SUZUKI</t>
        </is>
      </c>
      <c r="F2058" s="20" t="inlineStr">
        <is>
          <t>Wagon R</t>
        </is>
      </c>
      <c r="G2058" s="21" t="n"/>
      <c r="H2058" s="22" t="n">
        <v>61000</v>
      </c>
      <c r="I2058" s="23" t="n">
        <v>105000</v>
      </c>
      <c r="J2058" s="20" t="inlineStr">
        <is>
          <t>UMARALI</t>
        </is>
      </c>
      <c r="K2058" s="20" t="inlineStr">
        <is>
          <t>Non-Captive</t>
        </is>
      </c>
      <c r="L2058" s="20" t="inlineStr">
        <is>
          <t>MARVEL</t>
        </is>
      </c>
      <c r="M2058" s="23" t="n">
        <v>4237.29</v>
      </c>
      <c r="N2058" s="23" t="n">
        <v>5000</v>
      </c>
      <c r="O2058" s="24">
        <f>IF(AND(ISNUMBER(M2058), ISNUMBER(I2058), I2058&gt;0), M2058/I2058, "")</f>
        <v/>
      </c>
    </row>
    <row r="2059">
      <c r="A2059" s="19" t="inlineStr">
        <is>
          <t>FY27</t>
        </is>
      </c>
      <c r="B2059" s="19" t="inlineStr">
        <is>
          <t>May</t>
        </is>
      </c>
      <c r="C2059" s="19" t="inlineStr">
        <is>
          <t>Kerala</t>
        </is>
      </c>
      <c r="D2059" s="20" t="inlineStr">
        <is>
          <t>KL13AH5183</t>
        </is>
      </c>
      <c r="E2059" s="20" t="inlineStr">
        <is>
          <t>RENAULT</t>
        </is>
      </c>
      <c r="F2059" s="20" t="inlineStr">
        <is>
          <t>Kwid</t>
        </is>
      </c>
      <c r="G2059" s="21" t="n"/>
      <c r="H2059" s="22" t="n">
        <v>53000</v>
      </c>
      <c r="I2059" s="23" t="n">
        <v>275000</v>
      </c>
      <c r="J2059" s="20" t="inlineStr">
        <is>
          <t>SABITH</t>
        </is>
      </c>
      <c r="K2059" s="20" t="inlineStr">
        <is>
          <t>Non-Captive</t>
        </is>
      </c>
      <c r="L2059" s="20" t="inlineStr">
        <is>
          <t>VEER MAHINDRA</t>
        </is>
      </c>
      <c r="M2059" s="23" t="n">
        <v>8474.58</v>
      </c>
      <c r="N2059" s="23" t="n">
        <v>10000</v>
      </c>
      <c r="O2059" s="24">
        <f>IF(AND(ISNUMBER(M2059), ISNUMBER(I2059), I2059&gt;0), M2059/I2059, "")</f>
        <v/>
      </c>
    </row>
    <row r="2060">
      <c r="A2060" s="19" t="inlineStr">
        <is>
          <t>FY27</t>
        </is>
      </c>
      <c r="B2060" s="19" t="inlineStr">
        <is>
          <t>May</t>
        </is>
      </c>
      <c r="C2060" s="19" t="inlineStr">
        <is>
          <t>Kerala</t>
        </is>
      </c>
      <c r="D2060" s="20" t="inlineStr">
        <is>
          <t>KL587329</t>
        </is>
      </c>
      <c r="E2060" s="20" t="inlineStr">
        <is>
          <t>MARUTI SUZUKI</t>
        </is>
      </c>
      <c r="F2060" s="20" t="inlineStr">
        <is>
          <t>Swift</t>
        </is>
      </c>
      <c r="G2060" s="21" t="n"/>
      <c r="H2060" s="22" t="n">
        <v>158000</v>
      </c>
      <c r="I2060" s="23" t="n">
        <v>60000</v>
      </c>
      <c r="J2060" s="20" t="inlineStr">
        <is>
          <t>NIDEESH MOHAN</t>
        </is>
      </c>
      <c r="K2060" s="20" t="inlineStr">
        <is>
          <t>Non-Captive</t>
        </is>
      </c>
      <c r="L2060" s="20" t="inlineStr">
        <is>
          <t>POPULAR</t>
        </is>
      </c>
      <c r="M2060" s="23" t="n">
        <v>4237.29</v>
      </c>
      <c r="N2060" s="23" t="n">
        <v>5000</v>
      </c>
      <c r="O2060" s="24">
        <f>IF(AND(ISNUMBER(M2060), ISNUMBER(I2060), I2060&gt;0), M2060/I2060, "")</f>
        <v/>
      </c>
    </row>
    <row r="2061">
      <c r="A2061" s="19" t="inlineStr">
        <is>
          <t>FY27</t>
        </is>
      </c>
      <c r="B2061" s="19" t="inlineStr">
        <is>
          <t>May</t>
        </is>
      </c>
      <c r="C2061" s="19" t="inlineStr">
        <is>
          <t>Kerala</t>
        </is>
      </c>
      <c r="D2061" s="20" t="inlineStr">
        <is>
          <t>KL58AE8768</t>
        </is>
      </c>
      <c r="E2061" s="20" t="inlineStr">
        <is>
          <t>RENAULT</t>
        </is>
      </c>
      <c r="F2061" s="20" t="inlineStr">
        <is>
          <t>Kwid</t>
        </is>
      </c>
      <c r="G2061" s="21" t="n"/>
      <c r="H2061" s="22" t="n">
        <v>39000</v>
      </c>
      <c r="I2061" s="23" t="n">
        <v>315000</v>
      </c>
      <c r="J2061" s="20" t="inlineStr">
        <is>
          <t>KANNUR PLATINUM</t>
        </is>
      </c>
      <c r="K2061" s="20" t="inlineStr">
        <is>
          <t>Non-Captive</t>
        </is>
      </c>
      <c r="L2061" s="20" t="inlineStr">
        <is>
          <t>ARJID</t>
        </is>
      </c>
      <c r="M2061" s="23" t="n">
        <v>5932.2</v>
      </c>
      <c r="N2061" s="23" t="n">
        <v>7000</v>
      </c>
      <c r="O2061" s="24">
        <f>IF(AND(ISNUMBER(M2061), ISNUMBER(I2061), I2061&gt;0), M2061/I2061, "")</f>
        <v/>
      </c>
    </row>
    <row r="2062">
      <c r="A2062" s="19" t="inlineStr">
        <is>
          <t>FY27</t>
        </is>
      </c>
      <c r="B2062" s="19" t="inlineStr">
        <is>
          <t>May</t>
        </is>
      </c>
      <c r="C2062" s="19" t="inlineStr">
        <is>
          <t>Kerala</t>
        </is>
      </c>
      <c r="D2062" s="20" t="inlineStr">
        <is>
          <t>KL08S9609</t>
        </is>
      </c>
      <c r="E2062" s="20" t="inlineStr">
        <is>
          <t>MARUTI SUZUKI</t>
        </is>
      </c>
      <c r="F2062" s="20" t="inlineStr">
        <is>
          <t>M800</t>
        </is>
      </c>
      <c r="G2062" s="21" t="n"/>
      <c r="H2062" s="22" t="n">
        <v>130000</v>
      </c>
      <c r="I2062" s="23" t="n">
        <v>8000</v>
      </c>
      <c r="J2062" s="20" t="inlineStr">
        <is>
          <t>AUTOTRUST</t>
        </is>
      </c>
      <c r="K2062" s="20" t="inlineStr">
        <is>
          <t>Non-Captive</t>
        </is>
      </c>
      <c r="L2062" s="20" t="inlineStr">
        <is>
          <t>POPULAR</t>
        </is>
      </c>
      <c r="M2062" s="23" t="n">
        <v>4237.29</v>
      </c>
      <c r="N2062" s="23" t="n">
        <v>5000</v>
      </c>
      <c r="O2062" s="24">
        <f>IF(AND(ISNUMBER(M2062), ISNUMBER(I2062), I2062&gt;0), M2062/I2062, "")</f>
        <v/>
      </c>
    </row>
    <row r="2063">
      <c r="A2063" s="19" t="inlineStr">
        <is>
          <t>FY27</t>
        </is>
      </c>
      <c r="B2063" s="19" t="inlineStr">
        <is>
          <t>May</t>
        </is>
      </c>
      <c r="C2063" s="19" t="inlineStr">
        <is>
          <t>Kerala</t>
        </is>
      </c>
      <c r="D2063" s="20" t="inlineStr">
        <is>
          <t>KL09AH6423</t>
        </is>
      </c>
      <c r="E2063" s="20" t="inlineStr">
        <is>
          <t>HONDA</t>
        </is>
      </c>
      <c r="F2063" s="20" t="inlineStr">
        <is>
          <t>City</t>
        </is>
      </c>
      <c r="G2063" s="21" t="n"/>
      <c r="H2063" s="22" t="n">
        <v>57000</v>
      </c>
      <c r="I2063" s="23" t="n">
        <v>415000</v>
      </c>
      <c r="J2063" s="20" t="inlineStr">
        <is>
          <t>CITROEN EVM</t>
        </is>
      </c>
      <c r="K2063" s="20" t="inlineStr">
        <is>
          <t>Non-Captive</t>
        </is>
      </c>
      <c r="L2063" s="20" t="inlineStr">
        <is>
          <t>AITOS CARS</t>
        </is>
      </c>
      <c r="M2063" s="23" t="n">
        <v>8474.58</v>
      </c>
      <c r="N2063" s="23" t="n">
        <v>10000</v>
      </c>
      <c r="O2063" s="24">
        <f>IF(AND(ISNUMBER(M2063), ISNUMBER(I2063), I2063&gt;0), M2063/I2063, "")</f>
        <v/>
      </c>
    </row>
    <row r="2064">
      <c r="A2064" s="19" t="inlineStr">
        <is>
          <t>FY27</t>
        </is>
      </c>
      <c r="B2064" s="19" t="inlineStr">
        <is>
          <t>May</t>
        </is>
      </c>
      <c r="C2064" s="19" t="inlineStr">
        <is>
          <t>Kerala</t>
        </is>
      </c>
      <c r="D2064" s="20" t="inlineStr">
        <is>
          <t>KL47L5209</t>
        </is>
      </c>
      <c r="E2064" s="20" t="inlineStr">
        <is>
          <t>TATA</t>
        </is>
      </c>
      <c r="F2064" s="20" t="inlineStr">
        <is>
          <t>Punch</t>
        </is>
      </c>
      <c r="G2064" s="21" t="n"/>
      <c r="H2064" s="22" t="n">
        <v>17800</v>
      </c>
      <c r="I2064" s="23" t="n">
        <v>570000</v>
      </c>
      <c r="J2064" s="20" t="inlineStr">
        <is>
          <t>PHOENIX VOLKSWAGEN</t>
        </is>
      </c>
      <c r="K2064" s="20" t="inlineStr">
        <is>
          <t>Non-Captive</t>
        </is>
      </c>
      <c r="L2064" s="20" t="inlineStr">
        <is>
          <t>AITOS CARS</t>
        </is>
      </c>
      <c r="M2064" s="23" t="n">
        <v>8474.58</v>
      </c>
      <c r="N2064" s="23" t="n">
        <v>10000</v>
      </c>
      <c r="O2064" s="24">
        <f>IF(AND(ISNUMBER(M2064), ISNUMBER(I2064), I2064&gt;0), M2064/I2064, "")</f>
        <v/>
      </c>
    </row>
    <row r="2065">
      <c r="A2065" s="19" t="inlineStr">
        <is>
          <t>FY27</t>
        </is>
      </c>
      <c r="B2065" s="19" t="inlineStr">
        <is>
          <t>May</t>
        </is>
      </c>
      <c r="C2065" s="19" t="inlineStr">
        <is>
          <t>Kerala</t>
        </is>
      </c>
      <c r="D2065" s="20" t="inlineStr">
        <is>
          <t>KL46N7160</t>
        </is>
      </c>
      <c r="E2065" s="20" t="inlineStr">
        <is>
          <t>DATSUN</t>
        </is>
      </c>
      <c r="F2065" s="20" t="inlineStr">
        <is>
          <t>Go Plus</t>
        </is>
      </c>
      <c r="G2065" s="21" t="n"/>
      <c r="H2065" s="22" t="n">
        <v>44500</v>
      </c>
      <c r="I2065" s="23" t="n">
        <v>155000</v>
      </c>
      <c r="J2065" s="20" t="inlineStr">
        <is>
          <t>PINNACLE WHEELS PVT LTD</t>
        </is>
      </c>
      <c r="K2065" s="20" t="inlineStr">
        <is>
          <t>Non-Captive</t>
        </is>
      </c>
      <c r="L2065" s="20" t="inlineStr">
        <is>
          <t>UMESHKUMAR T U</t>
        </is>
      </c>
      <c r="M2065" s="23" t="n">
        <v>8474.58</v>
      </c>
      <c r="N2065" s="23" t="n">
        <v>10000</v>
      </c>
      <c r="O2065" s="24">
        <f>IF(AND(ISNUMBER(M2065), ISNUMBER(I2065), I2065&gt;0), M2065/I2065, "")</f>
        <v/>
      </c>
    </row>
    <row r="2066">
      <c r="A2066" s="19" t="inlineStr">
        <is>
          <t>FY27</t>
        </is>
      </c>
      <c r="B2066" s="19" t="inlineStr">
        <is>
          <t>May</t>
        </is>
      </c>
      <c r="C2066" s="19" t="inlineStr">
        <is>
          <t>Kerala</t>
        </is>
      </c>
      <c r="D2066" s="20" t="inlineStr">
        <is>
          <t>KL07BD5917</t>
        </is>
      </c>
      <c r="E2066" s="20" t="inlineStr">
        <is>
          <t>MARUTI SUZUKI</t>
        </is>
      </c>
      <c r="F2066" s="20" t="inlineStr">
        <is>
          <t>Alto</t>
        </is>
      </c>
      <c r="G2066" s="21" t="n"/>
      <c r="H2066" s="22" t="n">
        <v>62083</v>
      </c>
      <c r="I2066" s="23" t="n">
        <v>30000</v>
      </c>
      <c r="J2066" s="20" t="inlineStr">
        <is>
          <t>SAI NEXA</t>
        </is>
      </c>
      <c r="K2066" s="20" t="inlineStr">
        <is>
          <t>Non-Captive</t>
        </is>
      </c>
      <c r="L2066" s="20" t="inlineStr">
        <is>
          <t>NIZAR K K</t>
        </is>
      </c>
      <c r="M2066" s="23" t="n">
        <v>8474.58</v>
      </c>
      <c r="N2066" s="23" t="n">
        <v>10000</v>
      </c>
      <c r="O2066" s="24">
        <f>IF(AND(ISNUMBER(M2066), ISNUMBER(I2066), I2066&gt;0), M2066/I2066, "")</f>
        <v/>
      </c>
    </row>
    <row r="2067">
      <c r="A2067" s="19" t="inlineStr">
        <is>
          <t>FY27</t>
        </is>
      </c>
      <c r="B2067" s="19" t="inlineStr">
        <is>
          <t>May</t>
        </is>
      </c>
      <c r="C2067" s="19" t="inlineStr">
        <is>
          <t>Kerala</t>
        </is>
      </c>
      <c r="D2067" s="20" t="inlineStr">
        <is>
          <t>KL36D5820</t>
        </is>
      </c>
      <c r="E2067" s="20" t="inlineStr">
        <is>
          <t>MARUTI SUZUKI</t>
        </is>
      </c>
      <c r="F2067" s="20" t="inlineStr">
        <is>
          <t>Alto</t>
        </is>
      </c>
      <c r="G2067" s="21" t="n"/>
      <c r="H2067" s="22" t="n">
        <v>41900</v>
      </c>
      <c r="I2067" s="23" t="n">
        <v>105000</v>
      </c>
      <c r="J2067" s="20" t="inlineStr">
        <is>
          <t>MAIJO MARUTI</t>
        </is>
      </c>
      <c r="K2067" s="20" t="inlineStr">
        <is>
          <t>Non-Captive</t>
        </is>
      </c>
      <c r="L2067" s="20" t="inlineStr">
        <is>
          <t>HUSSAIN O E</t>
        </is>
      </c>
      <c r="M2067" s="23" t="n">
        <v>8474.58</v>
      </c>
      <c r="N2067" s="23" t="n">
        <v>10000</v>
      </c>
      <c r="O2067" s="24">
        <f>IF(AND(ISNUMBER(M2067), ISNUMBER(I2067), I2067&gt;0), M2067/I2067, "")</f>
        <v/>
      </c>
    </row>
    <row r="2068">
      <c r="A2068" s="19" t="inlineStr">
        <is>
          <t>FY27</t>
        </is>
      </c>
      <c r="B2068" s="19" t="inlineStr">
        <is>
          <t>May</t>
        </is>
      </c>
      <c r="C2068" s="19" t="inlineStr">
        <is>
          <t>Kerala</t>
        </is>
      </c>
      <c r="D2068" s="20" t="inlineStr">
        <is>
          <t>KL07BU6608</t>
        </is>
      </c>
      <c r="E2068" s="20" t="inlineStr">
        <is>
          <t>HONDA</t>
        </is>
      </c>
      <c r="F2068" s="20" t="inlineStr">
        <is>
          <t>Brio</t>
        </is>
      </c>
      <c r="G2068" s="21" t="n"/>
      <c r="H2068" s="22" t="n">
        <v>52989</v>
      </c>
      <c r="I2068" s="23" t="n">
        <v>190000</v>
      </c>
      <c r="J2068" s="20" t="inlineStr">
        <is>
          <t>ANAS VH</t>
        </is>
      </c>
      <c r="K2068" s="20" t="inlineStr">
        <is>
          <t>Non-Captive</t>
        </is>
      </c>
      <c r="L2068" s="20" t="inlineStr">
        <is>
          <t>DREAM DRIVE</t>
        </is>
      </c>
      <c r="M2068" s="23" t="n">
        <v>8474.58</v>
      </c>
      <c r="N2068" s="23" t="n">
        <v>10000</v>
      </c>
      <c r="O2068" s="24">
        <f>IF(AND(ISNUMBER(M2068), ISNUMBER(I2068), I2068&gt;0), M2068/I2068, "")</f>
        <v/>
      </c>
    </row>
    <row r="2069">
      <c r="A2069" s="19" t="inlineStr">
        <is>
          <t>FY27</t>
        </is>
      </c>
      <c r="B2069" s="19" t="inlineStr">
        <is>
          <t>May</t>
        </is>
      </c>
      <c r="C2069" s="19" t="inlineStr">
        <is>
          <t>Kerala</t>
        </is>
      </c>
      <c r="D2069" s="20" t="inlineStr">
        <is>
          <t>KL17E8176</t>
        </is>
      </c>
      <c r="E2069" s="20" t="inlineStr">
        <is>
          <t>MARUTI SUZUKI</t>
        </is>
      </c>
      <c r="F2069" s="20" t="inlineStr">
        <is>
          <t>Estilo</t>
        </is>
      </c>
      <c r="G2069" s="21" t="n"/>
      <c r="H2069" s="22" t="n">
        <v>78098</v>
      </c>
      <c r="I2069" s="23" t="n">
        <v>75000</v>
      </c>
      <c r="J2069" s="20" t="inlineStr">
        <is>
          <t>MUHAMMED SHAJI</t>
        </is>
      </c>
      <c r="K2069" s="20" t="inlineStr">
        <is>
          <t>Non-Captive</t>
        </is>
      </c>
      <c r="L2069" s="20" t="inlineStr">
        <is>
          <t>ANAS VH</t>
        </is>
      </c>
      <c r="M2069" s="23" t="n">
        <v>8474.58</v>
      </c>
      <c r="N2069" s="23" t="n">
        <v>10000</v>
      </c>
      <c r="O2069" s="24">
        <f>IF(AND(ISNUMBER(M2069), ISNUMBER(I2069), I2069&gt;0), M2069/I2069, "")</f>
        <v/>
      </c>
    </row>
    <row r="2070">
      <c r="A2070" s="19" t="inlineStr">
        <is>
          <t>FY27</t>
        </is>
      </c>
      <c r="B2070" s="19" t="inlineStr">
        <is>
          <t>May</t>
        </is>
      </c>
      <c r="C2070" s="19" t="inlineStr">
        <is>
          <t>Kerala</t>
        </is>
      </c>
      <c r="D2070" s="20" t="inlineStr">
        <is>
          <t>KL34D8180</t>
        </is>
      </c>
      <c r="E2070" s="20" t="inlineStr">
        <is>
          <t>RENAULT</t>
        </is>
      </c>
      <c r="F2070" s="20" t="inlineStr">
        <is>
          <t>Kwid</t>
        </is>
      </c>
      <c r="G2070" s="21" t="n"/>
      <c r="H2070" s="22" t="n">
        <v>74000</v>
      </c>
      <c r="I2070" s="23" t="n">
        <v>130000</v>
      </c>
      <c r="J2070" s="20" t="inlineStr">
        <is>
          <t>MAIJO MARUTI</t>
        </is>
      </c>
      <c r="K2070" s="20" t="inlineStr">
        <is>
          <t>Non-Captive</t>
        </is>
      </c>
      <c r="L2070" s="20" t="inlineStr">
        <is>
          <t>ABDUL SALAM K K</t>
        </is>
      </c>
      <c r="M2070" s="23" t="n">
        <v>8474.58</v>
      </c>
      <c r="N2070" s="23" t="n">
        <v>10000</v>
      </c>
      <c r="O2070" s="24">
        <f>IF(AND(ISNUMBER(M2070), ISNUMBER(I2070), I2070&gt;0), M2070/I2070, "")</f>
        <v/>
      </c>
    </row>
    <row r="2071">
      <c r="A2071" s="19" t="inlineStr">
        <is>
          <t>FY27</t>
        </is>
      </c>
      <c r="B2071" s="19" t="inlineStr">
        <is>
          <t>May</t>
        </is>
      </c>
      <c r="C2071" s="19" t="inlineStr">
        <is>
          <t>Kerala</t>
        </is>
      </c>
      <c r="D2071" s="20" t="inlineStr">
        <is>
          <t>KL13E3971</t>
        </is>
      </c>
      <c r="E2071" s="20" t="inlineStr">
        <is>
          <t>MARUTI SUZUKI</t>
        </is>
      </c>
      <c r="F2071" s="20" t="inlineStr">
        <is>
          <t>M800</t>
        </is>
      </c>
      <c r="G2071" s="21" t="n"/>
      <c r="H2071" s="22" t="n">
        <v>145000</v>
      </c>
      <c r="I2071" s="23" t="n">
        <v>12000</v>
      </c>
      <c r="J2071" s="20" t="inlineStr">
        <is>
          <t>ASAMS M SUNNY</t>
        </is>
      </c>
      <c r="K2071" s="20" t="inlineStr">
        <is>
          <t>Non-Captive</t>
        </is>
      </c>
      <c r="L2071" s="20" t="inlineStr">
        <is>
          <t>MARVEL</t>
        </is>
      </c>
      <c r="M2071" s="23" t="n">
        <v>4237.29</v>
      </c>
      <c r="N2071" s="23" t="n">
        <v>5000</v>
      </c>
      <c r="O2071" s="24">
        <f>IF(AND(ISNUMBER(M2071), ISNUMBER(I2071), I2071&gt;0), M2071/I2071, "")</f>
        <v/>
      </c>
    </row>
    <row r="2072">
      <c r="A2072" s="19" t="inlineStr">
        <is>
          <t>FY27</t>
        </is>
      </c>
      <c r="B2072" s="19" t="inlineStr">
        <is>
          <t>May</t>
        </is>
      </c>
      <c r="C2072" s="19" t="inlineStr">
        <is>
          <t>Kerala</t>
        </is>
      </c>
      <c r="D2072" s="20" t="inlineStr">
        <is>
          <t>KL09S9829</t>
        </is>
      </c>
      <c r="E2072" s="20" t="inlineStr">
        <is>
          <t>MARUTI SUZUKI</t>
        </is>
      </c>
      <c r="F2072" s="20" t="inlineStr">
        <is>
          <t>Alto</t>
        </is>
      </c>
      <c r="G2072" s="21" t="n"/>
      <c r="H2072" s="22" t="n">
        <v>200000</v>
      </c>
      <c r="I2072" s="23" t="n">
        <v>14000</v>
      </c>
      <c r="J2072" s="20" t="inlineStr">
        <is>
          <t>ASAMS M SUNNY</t>
        </is>
      </c>
      <c r="K2072" s="20" t="inlineStr">
        <is>
          <t>Non-Captive</t>
        </is>
      </c>
      <c r="L2072" s="20" t="inlineStr">
        <is>
          <t>MARVEL</t>
        </is>
      </c>
      <c r="M2072" s="23" t="n">
        <v>4237.29</v>
      </c>
      <c r="N2072" s="23" t="n">
        <v>5000</v>
      </c>
      <c r="O2072" s="24">
        <f>IF(AND(ISNUMBER(M2072), ISNUMBER(I2072), I2072&gt;0), M2072/I2072, "")</f>
        <v/>
      </c>
    </row>
    <row r="2073">
      <c r="A2073" s="19" t="inlineStr">
        <is>
          <t>FY27</t>
        </is>
      </c>
      <c r="B2073" s="19" t="inlineStr">
        <is>
          <t>May</t>
        </is>
      </c>
      <c r="C2073" s="19" t="inlineStr">
        <is>
          <t>Kerala</t>
        </is>
      </c>
      <c r="D2073" s="20" t="inlineStr">
        <is>
          <t>KL58Y314</t>
        </is>
      </c>
      <c r="E2073" s="20" t="inlineStr">
        <is>
          <t>MARUTI SUZUKI</t>
        </is>
      </c>
      <c r="F2073" s="20" t="inlineStr">
        <is>
          <t>Celerio</t>
        </is>
      </c>
      <c r="G2073" s="21" t="n"/>
      <c r="H2073" s="22" t="n">
        <v>55000</v>
      </c>
      <c r="I2073" s="23" t="n">
        <v>380000</v>
      </c>
      <c r="J2073" s="20" t="inlineStr">
        <is>
          <t>PRAJOSH</t>
        </is>
      </c>
      <c r="K2073" s="20" t="inlineStr">
        <is>
          <t>Non-Captive</t>
        </is>
      </c>
      <c r="L2073" s="20" t="inlineStr">
        <is>
          <t>BIMAL</t>
        </is>
      </c>
      <c r="M2073" s="23" t="n">
        <v>5084.75</v>
      </c>
      <c r="N2073" s="23" t="n">
        <v>6000</v>
      </c>
      <c r="O2073" s="24">
        <f>IF(AND(ISNUMBER(M2073), ISNUMBER(I2073), I2073&gt;0), M2073/I2073, "")</f>
        <v/>
      </c>
    </row>
    <row r="2074">
      <c r="A2074" s="19" t="inlineStr">
        <is>
          <t>FY27</t>
        </is>
      </c>
      <c r="B2074" s="19" t="inlineStr">
        <is>
          <t>May</t>
        </is>
      </c>
      <c r="C2074" s="19" t="inlineStr">
        <is>
          <t>Kerala</t>
        </is>
      </c>
      <c r="D2074" s="20" t="inlineStr">
        <is>
          <t>KL60B4801</t>
        </is>
      </c>
      <c r="E2074" s="20" t="inlineStr">
        <is>
          <t>HYUNDAI</t>
        </is>
      </c>
      <c r="F2074" s="20" t="inlineStr">
        <is>
          <t>I10</t>
        </is>
      </c>
      <c r="G2074" s="21" t="n"/>
      <c r="H2074" s="22" t="n">
        <v>120000</v>
      </c>
      <c r="I2074" s="23" t="n">
        <v>80000</v>
      </c>
      <c r="J2074" s="20" t="inlineStr">
        <is>
          <t>PRAJOSH</t>
        </is>
      </c>
      <c r="K2074" s="20" t="inlineStr">
        <is>
          <t>Non-Captive</t>
        </is>
      </c>
      <c r="L2074" s="20" t="inlineStr">
        <is>
          <t>KVR TATA</t>
        </is>
      </c>
      <c r="M2074" s="23" t="n">
        <v>5932.2</v>
      </c>
      <c r="N2074" s="23" t="n">
        <v>7000</v>
      </c>
      <c r="O2074" s="24">
        <f>IF(AND(ISNUMBER(M2074), ISNUMBER(I2074), I2074&gt;0), M2074/I2074, "")</f>
        <v/>
      </c>
    </row>
    <row r="2075">
      <c r="A2075" s="19" t="inlineStr">
        <is>
          <t>FY27</t>
        </is>
      </c>
      <c r="B2075" s="19" t="inlineStr">
        <is>
          <t>May</t>
        </is>
      </c>
      <c r="C2075" s="19" t="inlineStr">
        <is>
          <t>Kerala</t>
        </is>
      </c>
      <c r="D2075" s="20" t="inlineStr">
        <is>
          <t>KL10BJ3199</t>
        </is>
      </c>
      <c r="E2075" s="20" t="inlineStr">
        <is>
          <t>MARUTI SUZUKI</t>
        </is>
      </c>
      <c r="F2075" s="20" t="inlineStr">
        <is>
          <t>Jimny</t>
        </is>
      </c>
      <c r="G2075" s="21" t="n"/>
      <c r="H2075" s="22" t="n">
        <v>28983</v>
      </c>
      <c r="I2075" s="23" t="n">
        <v>971500</v>
      </c>
      <c r="J2075" s="20" t="inlineStr">
        <is>
          <t>MOTOXCHANGE</t>
        </is>
      </c>
      <c r="K2075" s="20" t="inlineStr">
        <is>
          <t>Non-Captive</t>
        </is>
      </c>
      <c r="L2075" s="20" t="inlineStr">
        <is>
          <t>QUEENSWAY</t>
        </is>
      </c>
      <c r="M2075" s="23" t="n">
        <v>10169.49</v>
      </c>
      <c r="N2075" s="23" t="n">
        <v>12000</v>
      </c>
      <c r="O2075" s="24">
        <f>IF(AND(ISNUMBER(M2075), ISNUMBER(I2075), I2075&gt;0), M2075/I2075, "")</f>
        <v/>
      </c>
    </row>
    <row r="2076">
      <c r="A2076" s="19" t="inlineStr">
        <is>
          <t>FY27</t>
        </is>
      </c>
      <c r="B2076" s="19" t="inlineStr">
        <is>
          <t>May</t>
        </is>
      </c>
      <c r="C2076" s="19" t="inlineStr">
        <is>
          <t>Kerala</t>
        </is>
      </c>
      <c r="D2076" s="20" t="inlineStr">
        <is>
          <t>KL52P5976</t>
        </is>
      </c>
      <c r="E2076" s="20" t="inlineStr">
        <is>
          <t>MAHINDRA</t>
        </is>
      </c>
      <c r="F2076" s="20" t="inlineStr">
        <is>
          <t>Kuv100</t>
        </is>
      </c>
      <c r="G2076" s="21" t="n"/>
      <c r="H2076" s="22" t="n">
        <v>44241</v>
      </c>
      <c r="I2076" s="23" t="n">
        <v>205000</v>
      </c>
      <c r="J2076" s="20" t="inlineStr">
        <is>
          <t>PINNACLE WHEELS PVT LTD</t>
        </is>
      </c>
      <c r="K2076" s="20" t="inlineStr">
        <is>
          <t>Non-Captive</t>
        </is>
      </c>
      <c r="L2076" s="20" t="inlineStr">
        <is>
          <t>VTJ</t>
        </is>
      </c>
      <c r="M2076" s="23" t="n">
        <v>8474.58</v>
      </c>
      <c r="N2076" s="23" t="n">
        <v>10000</v>
      </c>
      <c r="O2076" s="24">
        <f>IF(AND(ISNUMBER(M2076), ISNUMBER(I2076), I2076&gt;0), M2076/I2076, "")</f>
        <v/>
      </c>
    </row>
    <row r="2077">
      <c r="A2077" s="19" t="inlineStr">
        <is>
          <t>FY27</t>
        </is>
      </c>
      <c r="B2077" s="19" t="inlineStr">
        <is>
          <t>May</t>
        </is>
      </c>
      <c r="C2077" s="19" t="inlineStr">
        <is>
          <t>Kerala</t>
        </is>
      </c>
      <c r="D2077" s="20" t="inlineStr">
        <is>
          <t>KL07BZ1401</t>
        </is>
      </c>
      <c r="E2077" s="20" t="inlineStr">
        <is>
          <t>HYUNDAI</t>
        </is>
      </c>
      <c r="F2077" s="20" t="inlineStr">
        <is>
          <t>Grand I10</t>
        </is>
      </c>
      <c r="G2077" s="21" t="n"/>
      <c r="H2077" s="22" t="n">
        <v>115306</v>
      </c>
      <c r="I2077" s="23" t="n">
        <v>190000</v>
      </c>
      <c r="J2077" s="20" t="inlineStr">
        <is>
          <t>EVM MG</t>
        </is>
      </c>
      <c r="K2077" s="20" t="inlineStr">
        <is>
          <t>Non-Captive</t>
        </is>
      </c>
      <c r="L2077" s="20" t="inlineStr">
        <is>
          <t>HUSSAIN O E</t>
        </is>
      </c>
      <c r="M2077" s="23" t="n">
        <v>8474.58</v>
      </c>
      <c r="N2077" s="23" t="n">
        <v>10000</v>
      </c>
      <c r="O2077" s="24">
        <f>IF(AND(ISNUMBER(M2077), ISNUMBER(I2077), I2077&gt;0), M2077/I2077, "")</f>
        <v/>
      </c>
    </row>
    <row r="2078">
      <c r="A2078" s="19" t="inlineStr">
        <is>
          <t>FY27</t>
        </is>
      </c>
      <c r="B2078" s="19" t="inlineStr">
        <is>
          <t>May</t>
        </is>
      </c>
      <c r="C2078" s="19" t="inlineStr">
        <is>
          <t>Kerala</t>
        </is>
      </c>
      <c r="D2078" s="20" t="inlineStr">
        <is>
          <t>KL39M2276</t>
        </is>
      </c>
      <c r="E2078" s="20" t="inlineStr">
        <is>
          <t>FORD</t>
        </is>
      </c>
      <c r="F2078" s="20" t="inlineStr">
        <is>
          <t>Ecosport</t>
        </is>
      </c>
      <c r="G2078" s="21" t="n"/>
      <c r="H2078" s="22" t="n">
        <v>92000</v>
      </c>
      <c r="I2078" s="23" t="n">
        <v>560000</v>
      </c>
      <c r="J2078" s="20" t="inlineStr">
        <is>
          <t>KVR TATA</t>
        </is>
      </c>
      <c r="K2078" s="20" t="inlineStr">
        <is>
          <t>Non-Captive</t>
        </is>
      </c>
      <c r="L2078" s="20" t="inlineStr">
        <is>
          <t>YAHIYA</t>
        </is>
      </c>
      <c r="M2078" s="23" t="n">
        <v>8474.58</v>
      </c>
      <c r="N2078" s="23" t="n">
        <v>10000</v>
      </c>
      <c r="O2078" s="24">
        <f>IF(AND(ISNUMBER(M2078), ISNUMBER(I2078), I2078&gt;0), M2078/I2078, "")</f>
        <v/>
      </c>
    </row>
    <row r="2079">
      <c r="A2079" s="19" t="inlineStr">
        <is>
          <t>FY27</t>
        </is>
      </c>
      <c r="B2079" s="19" t="inlineStr">
        <is>
          <t>May</t>
        </is>
      </c>
      <c r="C2079" s="19" t="inlineStr">
        <is>
          <t>Kerala</t>
        </is>
      </c>
      <c r="D2079" s="20" t="inlineStr">
        <is>
          <t>KL17F8891</t>
        </is>
      </c>
      <c r="E2079" s="20" t="inlineStr">
        <is>
          <t>CHEVROLET</t>
        </is>
      </c>
      <c r="F2079" s="20" t="inlineStr">
        <is>
          <t>Spark</t>
        </is>
      </c>
      <c r="G2079" s="21" t="n"/>
      <c r="H2079" s="22" t="n">
        <v>66342</v>
      </c>
      <c r="I2079" s="23" t="n">
        <v>20000</v>
      </c>
      <c r="J2079" s="20" t="inlineStr">
        <is>
          <t>EVM MG</t>
        </is>
      </c>
      <c r="K2079" s="20" t="inlineStr">
        <is>
          <t>Non-Captive</t>
        </is>
      </c>
      <c r="L2079" s="20" t="inlineStr">
        <is>
          <t>HUSSAIN O E</t>
        </is>
      </c>
      <c r="M2079" s="23" t="n">
        <v>8474.58</v>
      </c>
      <c r="N2079" s="23" t="n">
        <v>10000</v>
      </c>
      <c r="O2079" s="24">
        <f>IF(AND(ISNUMBER(M2079), ISNUMBER(I2079), I2079&gt;0), M2079/I2079, "")</f>
        <v/>
      </c>
    </row>
    <row r="2080">
      <c r="A2080" s="19" t="inlineStr">
        <is>
          <t>FY27</t>
        </is>
      </c>
      <c r="B2080" s="19" t="inlineStr">
        <is>
          <t>May</t>
        </is>
      </c>
      <c r="C2080" s="19" t="inlineStr">
        <is>
          <t>Kerala</t>
        </is>
      </c>
      <c r="D2080" s="20" t="inlineStr">
        <is>
          <t>KL04AG4939</t>
        </is>
      </c>
      <c r="E2080" s="20" t="inlineStr">
        <is>
          <t>TATA</t>
        </is>
      </c>
      <c r="F2080" s="20" t="inlineStr">
        <is>
          <t>Indigo</t>
        </is>
      </c>
      <c r="G2080" s="21" t="n"/>
      <c r="H2080" s="22" t="n">
        <v>238414</v>
      </c>
      <c r="I2080" s="23" t="n">
        <v>52000</v>
      </c>
      <c r="J2080" s="20" t="inlineStr">
        <is>
          <t>POPULAR HYUNDAI</t>
        </is>
      </c>
      <c r="K2080" s="20" t="inlineStr">
        <is>
          <t>Non-Captive</t>
        </is>
      </c>
      <c r="L2080" s="20" t="inlineStr">
        <is>
          <t>RAFEEK T A</t>
        </is>
      </c>
      <c r="M2080" s="23" t="n">
        <v>8474.58</v>
      </c>
      <c r="N2080" s="23" t="n">
        <v>10000</v>
      </c>
      <c r="O2080" s="24">
        <f>IF(AND(ISNUMBER(M2080), ISNUMBER(I2080), I2080&gt;0), M2080/I2080, "")</f>
        <v/>
      </c>
    </row>
    <row r="2081">
      <c r="A2081" s="19" t="inlineStr">
        <is>
          <t>FY27</t>
        </is>
      </c>
      <c r="B2081" s="19" t="inlineStr">
        <is>
          <t>May</t>
        </is>
      </c>
      <c r="C2081" s="19" t="inlineStr">
        <is>
          <t>Kerala</t>
        </is>
      </c>
      <c r="D2081" s="20" t="inlineStr">
        <is>
          <t>KL47A5192</t>
        </is>
      </c>
      <c r="E2081" s="20" t="inlineStr">
        <is>
          <t>HYUNDAI</t>
        </is>
      </c>
      <c r="F2081" s="20" t="inlineStr">
        <is>
          <t>I10</t>
        </is>
      </c>
      <c r="G2081" s="21" t="n"/>
      <c r="H2081" s="22" t="n">
        <v>94057</v>
      </c>
      <c r="I2081" s="23" t="n">
        <v>63000</v>
      </c>
      <c r="J2081" s="20" t="inlineStr">
        <is>
          <t>POPULAR HYUNDAI</t>
        </is>
      </c>
      <c r="K2081" s="20" t="inlineStr">
        <is>
          <t>Non-Captive</t>
        </is>
      </c>
      <c r="L2081" s="20" t="inlineStr">
        <is>
          <t>RAFEEK T A</t>
        </is>
      </c>
      <c r="M2081" s="23" t="n">
        <v>8474.58</v>
      </c>
      <c r="N2081" s="23" t="n">
        <v>10000</v>
      </c>
      <c r="O2081" s="24">
        <f>IF(AND(ISNUMBER(M2081), ISNUMBER(I2081), I2081&gt;0), M2081/I2081, "")</f>
        <v/>
      </c>
    </row>
    <row r="2082">
      <c r="A2082" s="19" t="inlineStr">
        <is>
          <t>FY27</t>
        </is>
      </c>
      <c r="B2082" s="19" t="inlineStr">
        <is>
          <t>May</t>
        </is>
      </c>
      <c r="C2082" s="19" t="inlineStr">
        <is>
          <t>Kerala</t>
        </is>
      </c>
      <c r="D2082" s="20" t="inlineStr">
        <is>
          <t>KL55AH9881</t>
        </is>
      </c>
      <c r="E2082" s="20" t="inlineStr">
        <is>
          <t>TATA</t>
        </is>
      </c>
      <c r="F2082" s="20" t="inlineStr">
        <is>
          <t>Punch</t>
        </is>
      </c>
      <c r="G2082" s="21" t="n"/>
      <c r="H2082" s="22" t="n">
        <v>23000</v>
      </c>
      <c r="I2082" s="23" t="n">
        <v>560000</v>
      </c>
      <c r="J2082" s="20" t="inlineStr">
        <is>
          <t>LUXON TATA</t>
        </is>
      </c>
      <c r="K2082" s="20" t="inlineStr">
        <is>
          <t>Non-Captive</t>
        </is>
      </c>
      <c r="L2082" s="20" t="inlineStr">
        <is>
          <t>YAHIYA</t>
        </is>
      </c>
      <c r="M2082" s="23" t="n">
        <v>8474.58</v>
      </c>
      <c r="N2082" s="23" t="n">
        <v>10000</v>
      </c>
      <c r="O2082" s="24">
        <f>IF(AND(ISNUMBER(M2082), ISNUMBER(I2082), I2082&gt;0), M2082/I2082, "")</f>
        <v/>
      </c>
    </row>
    <row r="2083">
      <c r="A2083" s="19" t="inlineStr">
        <is>
          <t>FY27</t>
        </is>
      </c>
      <c r="B2083" s="19" t="inlineStr">
        <is>
          <t>May</t>
        </is>
      </c>
      <c r="C2083" s="19" t="inlineStr">
        <is>
          <t>Kerala</t>
        </is>
      </c>
      <c r="D2083" s="20" t="inlineStr">
        <is>
          <t>KL08AM9112</t>
        </is>
      </c>
      <c r="E2083" s="20" t="inlineStr">
        <is>
          <t>MARUTI SUZUKI</t>
        </is>
      </c>
      <c r="F2083" s="20" t="inlineStr">
        <is>
          <t>Alto</t>
        </is>
      </c>
      <c r="G2083" s="21" t="n"/>
      <c r="H2083" s="22" t="n">
        <v>100727</v>
      </c>
      <c r="I2083" s="23" t="n">
        <v>35000</v>
      </c>
      <c r="J2083" s="20" t="inlineStr">
        <is>
          <t>POPULAR MARUTI</t>
        </is>
      </c>
      <c r="K2083" s="20" t="inlineStr">
        <is>
          <t>Non-Captive</t>
        </is>
      </c>
      <c r="L2083" s="20" t="inlineStr">
        <is>
          <t>AITOS CARS</t>
        </is>
      </c>
      <c r="M2083" s="23" t="n">
        <v>12711.86</v>
      </c>
      <c r="N2083" s="23" t="n">
        <v>15000</v>
      </c>
      <c r="O2083" s="24">
        <f>IF(AND(ISNUMBER(M2083), ISNUMBER(I2083), I2083&gt;0), M2083/I2083, "")</f>
        <v/>
      </c>
    </row>
    <row r="2084">
      <c r="A2084" s="19" t="inlineStr">
        <is>
          <t>FY27</t>
        </is>
      </c>
      <c r="B2084" s="19" t="inlineStr">
        <is>
          <t>May</t>
        </is>
      </c>
      <c r="C2084" s="19" t="inlineStr">
        <is>
          <t>Kerala</t>
        </is>
      </c>
      <c r="D2084" s="20" t="inlineStr">
        <is>
          <t>KL63J8915</t>
        </is>
      </c>
      <c r="E2084" s="20" t="inlineStr">
        <is>
          <t>TOYOTA</t>
        </is>
      </c>
      <c r="F2084" s="20" t="inlineStr">
        <is>
          <t>Glanza</t>
        </is>
      </c>
      <c r="G2084" s="21" t="n"/>
      <c r="H2084" s="22" t="n">
        <v>11000</v>
      </c>
      <c r="I2084" s="23" t="n">
        <v>840000</v>
      </c>
      <c r="J2084" s="20" t="inlineStr">
        <is>
          <t>AUTOMOTIVE</t>
        </is>
      </c>
      <c r="K2084" s="20" t="inlineStr">
        <is>
          <t>Non-Captive</t>
        </is>
      </c>
      <c r="L2084" s="20" t="inlineStr">
        <is>
          <t>AUTOBOT</t>
        </is>
      </c>
      <c r="M2084" s="23" t="n">
        <v>8474.58</v>
      </c>
      <c r="N2084" s="23" t="n">
        <v>10000</v>
      </c>
      <c r="O2084" s="24">
        <f>IF(AND(ISNUMBER(M2084), ISNUMBER(I2084), I2084&gt;0), M2084/I2084, "")</f>
        <v/>
      </c>
    </row>
    <row r="2085">
      <c r="A2085" s="19" t="inlineStr">
        <is>
          <t>FY27</t>
        </is>
      </c>
      <c r="B2085" s="19" t="inlineStr">
        <is>
          <t>May</t>
        </is>
      </c>
      <c r="C2085" s="19" t="inlineStr">
        <is>
          <t>Kerala</t>
        </is>
      </c>
      <c r="D2085" s="20" t="inlineStr">
        <is>
          <t>KL17U8299</t>
        </is>
      </c>
      <c r="E2085" s="20" t="inlineStr">
        <is>
          <t>MARUTI SUZUKI</t>
        </is>
      </c>
      <c r="F2085" s="20" t="inlineStr">
        <is>
          <t>Swift</t>
        </is>
      </c>
      <c r="G2085" s="21" t="n"/>
      <c r="H2085" s="22" t="n">
        <v>106423</v>
      </c>
      <c r="I2085" s="23" t="n">
        <v>500000</v>
      </c>
      <c r="J2085" s="20" t="inlineStr">
        <is>
          <t>GOKULAM TATA</t>
        </is>
      </c>
      <c r="K2085" s="20" t="inlineStr">
        <is>
          <t>Non-Captive</t>
        </is>
      </c>
      <c r="L2085" s="20" t="inlineStr">
        <is>
          <t>AUTOBOT</t>
        </is>
      </c>
      <c r="M2085" s="23" t="n">
        <v>8474.58</v>
      </c>
      <c r="N2085" s="23" t="n">
        <v>10000</v>
      </c>
      <c r="O2085" s="24">
        <f>IF(AND(ISNUMBER(M2085), ISNUMBER(I2085), I2085&gt;0), M2085/I2085, "")</f>
        <v/>
      </c>
    </row>
    <row r="2086">
      <c r="A2086" s="19" t="inlineStr">
        <is>
          <t>FY27</t>
        </is>
      </c>
      <c r="B2086" s="19" t="inlineStr">
        <is>
          <t>May</t>
        </is>
      </c>
      <c r="C2086" s="19" t="inlineStr">
        <is>
          <t>Kerala</t>
        </is>
      </c>
      <c r="D2086" s="20" t="inlineStr">
        <is>
          <t>KL07BT4839</t>
        </is>
      </c>
      <c r="E2086" s="20" t="inlineStr">
        <is>
          <t>NISSAN</t>
        </is>
      </c>
      <c r="F2086" s="20" t="inlineStr">
        <is>
          <t>Sunny</t>
        </is>
      </c>
      <c r="G2086" s="21" t="n"/>
      <c r="H2086" s="22" t="n">
        <v>156456</v>
      </c>
      <c r="I2086" s="23" t="n">
        <v>65000</v>
      </c>
      <c r="J2086" s="20" t="inlineStr">
        <is>
          <t>MUHAMMED SHAJI</t>
        </is>
      </c>
      <c r="K2086" s="20" t="inlineStr">
        <is>
          <t>Non-Captive</t>
        </is>
      </c>
      <c r="L2086" s="20" t="inlineStr">
        <is>
          <t>AJMAL ASHIQ</t>
        </is>
      </c>
      <c r="M2086" s="23" t="n">
        <v>8474.58</v>
      </c>
      <c r="N2086" s="23" t="n">
        <v>10000</v>
      </c>
      <c r="O2086" s="24">
        <f>IF(AND(ISNUMBER(M2086), ISNUMBER(I2086), I2086&gt;0), M2086/I2086, "")</f>
        <v/>
      </c>
    </row>
    <row r="2087">
      <c r="A2087" s="19" t="inlineStr">
        <is>
          <t>FY27</t>
        </is>
      </c>
      <c r="B2087" s="19" t="inlineStr">
        <is>
          <t>May</t>
        </is>
      </c>
      <c r="C2087" s="19" t="inlineStr">
        <is>
          <t>Kerala</t>
        </is>
      </c>
      <c r="D2087" s="20" t="inlineStr">
        <is>
          <t>KL05AC9375</t>
        </is>
      </c>
      <c r="E2087" s="20" t="inlineStr">
        <is>
          <t>MARUTI SUZUKI</t>
        </is>
      </c>
      <c r="F2087" s="20" t="inlineStr">
        <is>
          <t>Alto</t>
        </is>
      </c>
      <c r="G2087" s="21" t="n"/>
      <c r="H2087" s="22" t="n">
        <v>78678</v>
      </c>
      <c r="I2087" s="23" t="n">
        <v>90000</v>
      </c>
      <c r="J2087" s="20" t="inlineStr">
        <is>
          <t>AMRITH V CHANDY</t>
        </is>
      </c>
      <c r="K2087" s="20" t="inlineStr">
        <is>
          <t>Non-Captive</t>
        </is>
      </c>
      <c r="L2087" s="20" t="inlineStr">
        <is>
          <t>MUHAMMED SHAJI</t>
        </is>
      </c>
      <c r="M2087" s="23" t="n">
        <v>8474.58</v>
      </c>
      <c r="N2087" s="23" t="n">
        <v>10000</v>
      </c>
      <c r="O2087" s="24">
        <f>IF(AND(ISNUMBER(M2087), ISNUMBER(I2087), I2087&gt;0), M2087/I2087, "")</f>
        <v/>
      </c>
    </row>
    <row r="2088">
      <c r="A2088" s="19" t="inlineStr">
        <is>
          <t>FY27</t>
        </is>
      </c>
      <c r="B2088" s="19" t="inlineStr">
        <is>
          <t>May</t>
        </is>
      </c>
      <c r="C2088" s="19" t="inlineStr">
        <is>
          <t>Kerala</t>
        </is>
      </c>
      <c r="D2088" s="20" t="inlineStr">
        <is>
          <t>KL24R6008</t>
        </is>
      </c>
      <c r="E2088" s="20" t="inlineStr">
        <is>
          <t>HONDA</t>
        </is>
      </c>
      <c r="F2088" s="20" t="inlineStr">
        <is>
          <t>Amaze</t>
        </is>
      </c>
      <c r="G2088" s="21" t="n"/>
      <c r="H2088" s="22" t="n">
        <v>81000</v>
      </c>
      <c r="I2088" s="23" t="n">
        <v>410000</v>
      </c>
      <c r="J2088" s="20" t="inlineStr">
        <is>
          <t>INCHEON KIA</t>
        </is>
      </c>
      <c r="K2088" s="20" t="inlineStr">
        <is>
          <t>Non-Captive</t>
        </is>
      </c>
      <c r="L2088" s="20" t="inlineStr">
        <is>
          <t>RAMSHAD</t>
        </is>
      </c>
      <c r="M2088" s="23" t="n">
        <v>6779.66</v>
      </c>
      <c r="N2088" s="23" t="n">
        <v>8000</v>
      </c>
      <c r="O2088" s="24">
        <f>IF(AND(ISNUMBER(M2088), ISNUMBER(I2088), I2088&gt;0), M2088/I2088, "")</f>
        <v/>
      </c>
    </row>
    <row r="2089">
      <c r="A2089" s="19" t="inlineStr">
        <is>
          <t>FY27</t>
        </is>
      </c>
      <c r="B2089" s="19" t="inlineStr">
        <is>
          <t>May</t>
        </is>
      </c>
      <c r="C2089" s="19" t="inlineStr">
        <is>
          <t>Kerala</t>
        </is>
      </c>
      <c r="D2089" s="20" t="inlineStr">
        <is>
          <t>KL03T6693</t>
        </is>
      </c>
      <c r="E2089" s="20" t="inlineStr">
        <is>
          <t>MARUTI SUZUKI</t>
        </is>
      </c>
      <c r="F2089" s="20" t="inlineStr">
        <is>
          <t>Alto</t>
        </is>
      </c>
      <c r="G2089" s="21" t="n"/>
      <c r="H2089" s="22" t="n">
        <v>83000</v>
      </c>
      <c r="I2089" s="23" t="n">
        <v>85000</v>
      </c>
      <c r="J2089" s="20" t="inlineStr">
        <is>
          <t>LUXON TATA</t>
        </is>
      </c>
      <c r="K2089" s="20" t="inlineStr">
        <is>
          <t>Non-Captive</t>
        </is>
      </c>
      <c r="L2089" s="20" t="inlineStr">
        <is>
          <t>SHAHAR</t>
        </is>
      </c>
      <c r="M2089" s="23" t="n">
        <v>4237.29</v>
      </c>
      <c r="N2089" s="23" t="n">
        <v>5000</v>
      </c>
      <c r="O2089" s="24">
        <f>IF(AND(ISNUMBER(M2089), ISNUMBER(I2089), I2089&gt;0), M2089/I2089, "")</f>
        <v/>
      </c>
    </row>
    <row r="2090">
      <c r="A2090" s="19" t="inlineStr">
        <is>
          <t>FY27</t>
        </is>
      </c>
      <c r="B2090" s="19" t="inlineStr">
        <is>
          <t>May</t>
        </is>
      </c>
      <c r="C2090" s="19" t="inlineStr">
        <is>
          <t>Kerala</t>
        </is>
      </c>
      <c r="D2090" s="20" t="inlineStr">
        <is>
          <t>KL24N4000</t>
        </is>
      </c>
      <c r="E2090" s="20" t="inlineStr">
        <is>
          <t>HYUNDAI</t>
        </is>
      </c>
      <c r="F2090" s="20" t="inlineStr">
        <is>
          <t>Creta</t>
        </is>
      </c>
      <c r="G2090" s="21" t="n"/>
      <c r="H2090" s="22" t="n">
        <v>71000</v>
      </c>
      <c r="I2090" s="23" t="n">
        <v>690000</v>
      </c>
      <c r="J2090" s="20" t="inlineStr">
        <is>
          <t>INDUS MARUTI</t>
        </is>
      </c>
      <c r="K2090" s="20" t="inlineStr">
        <is>
          <t>Non-Captive</t>
        </is>
      </c>
      <c r="L2090" s="20" t="inlineStr">
        <is>
          <t>AKHILNATH</t>
        </is>
      </c>
      <c r="M2090" s="23" t="n">
        <v>8474.58</v>
      </c>
      <c r="N2090" s="23" t="n">
        <v>10000</v>
      </c>
      <c r="O2090" s="24">
        <f>IF(AND(ISNUMBER(M2090), ISNUMBER(I2090), I2090&gt;0), M2090/I2090, "")</f>
        <v/>
      </c>
    </row>
    <row r="2091">
      <c r="A2091" s="19" t="inlineStr">
        <is>
          <t>FY27</t>
        </is>
      </c>
      <c r="B2091" s="19" t="inlineStr">
        <is>
          <t>May</t>
        </is>
      </c>
      <c r="C2091" s="19" t="inlineStr">
        <is>
          <t>Kerala</t>
        </is>
      </c>
      <c r="D2091" s="20" t="inlineStr">
        <is>
          <t>KL02BT379</t>
        </is>
      </c>
      <c r="E2091" s="20" t="inlineStr">
        <is>
          <t>MARUTI SUZUKI</t>
        </is>
      </c>
      <c r="F2091" s="20" t="inlineStr">
        <is>
          <t>S-Presso</t>
        </is>
      </c>
      <c r="G2091" s="21" t="n"/>
      <c r="H2091" s="22" t="n">
        <v>58000</v>
      </c>
      <c r="I2091" s="23" t="n">
        <v>320000</v>
      </c>
      <c r="J2091" s="20" t="inlineStr">
        <is>
          <t>LUXON TATA</t>
        </is>
      </c>
      <c r="K2091" s="20" t="inlineStr">
        <is>
          <t>Non-Captive</t>
        </is>
      </c>
      <c r="L2091" s="20" t="inlineStr">
        <is>
          <t>VARUN</t>
        </is>
      </c>
      <c r="M2091" s="23" t="n">
        <v>6779.66</v>
      </c>
      <c r="N2091" s="23" t="n">
        <v>8000</v>
      </c>
      <c r="O2091" s="24">
        <f>IF(AND(ISNUMBER(M2091), ISNUMBER(I2091), I2091&gt;0), M2091/I2091, "")</f>
        <v/>
      </c>
    </row>
    <row r="2092">
      <c r="A2092" s="19" t="inlineStr">
        <is>
          <t>FY27</t>
        </is>
      </c>
      <c r="B2092" s="19" t="inlineStr">
        <is>
          <t>May</t>
        </is>
      </c>
      <c r="C2092" s="19" t="inlineStr">
        <is>
          <t>Kerala</t>
        </is>
      </c>
      <c r="D2092" s="20" t="inlineStr">
        <is>
          <t>KL20U0111</t>
        </is>
      </c>
      <c r="E2092" s="20" t="inlineStr">
        <is>
          <t>MARUTI SUZUKI</t>
        </is>
      </c>
      <c r="F2092" s="20" t="inlineStr">
        <is>
          <t>Swift Dzire</t>
        </is>
      </c>
      <c r="G2092" s="21" t="n"/>
      <c r="H2092" s="22" t="n">
        <v>15500</v>
      </c>
      <c r="I2092" s="23" t="n">
        <v>820000</v>
      </c>
      <c r="J2092" s="20" t="inlineStr">
        <is>
          <t>FORTUNE MG</t>
        </is>
      </c>
      <c r="K2092" s="20" t="inlineStr">
        <is>
          <t>Non-Captive</t>
        </is>
      </c>
      <c r="L2092" s="20" t="inlineStr">
        <is>
          <t>AUTOBOT</t>
        </is>
      </c>
      <c r="M2092" s="23" t="n">
        <v>8474.58</v>
      </c>
      <c r="N2092" s="23" t="n">
        <v>10000</v>
      </c>
      <c r="O2092" s="24">
        <f>IF(AND(ISNUMBER(M2092), ISNUMBER(I2092), I2092&gt;0), M2092/I2092, "")</f>
        <v/>
      </c>
    </row>
    <row r="2093">
      <c r="A2093" s="19" t="inlineStr">
        <is>
          <t>FY27</t>
        </is>
      </c>
      <c r="B2093" s="19" t="inlineStr">
        <is>
          <t>May</t>
        </is>
      </c>
      <c r="C2093" s="19" t="inlineStr">
        <is>
          <t>Kerala</t>
        </is>
      </c>
      <c r="D2093" s="20" t="inlineStr">
        <is>
          <t>KL26M1979</t>
        </is>
      </c>
      <c r="E2093" s="20" t="inlineStr">
        <is>
          <t>TATA</t>
        </is>
      </c>
      <c r="F2093" s="20" t="inlineStr">
        <is>
          <t>Nexon</t>
        </is>
      </c>
      <c r="G2093" s="21" t="n"/>
      <c r="H2093" s="22" t="n">
        <v>75144</v>
      </c>
      <c r="I2093" s="23" t="n">
        <v>560000</v>
      </c>
      <c r="J2093" s="20" t="inlineStr">
        <is>
          <t>AUTOMOTIVE</t>
        </is>
      </c>
      <c r="K2093" s="20" t="inlineStr">
        <is>
          <t>Non-Captive</t>
        </is>
      </c>
      <c r="L2093" s="20" t="inlineStr">
        <is>
          <t>AUTOBOT</t>
        </is>
      </c>
      <c r="M2093" s="23" t="n">
        <v>8474.58</v>
      </c>
      <c r="N2093" s="23" t="n">
        <v>10000</v>
      </c>
      <c r="O2093" s="24">
        <f>IF(AND(ISNUMBER(M2093), ISNUMBER(I2093), I2093&gt;0), M2093/I2093, "")</f>
        <v/>
      </c>
    </row>
    <row r="2094">
      <c r="A2094" s="19" t="inlineStr">
        <is>
          <t>FY27</t>
        </is>
      </c>
      <c r="B2094" s="19" t="inlineStr">
        <is>
          <t>May</t>
        </is>
      </c>
      <c r="C2094" s="19" t="inlineStr">
        <is>
          <t>Kerala</t>
        </is>
      </c>
      <c r="D2094" s="20" t="inlineStr">
        <is>
          <t>KL05AK3198</t>
        </is>
      </c>
      <c r="E2094" s="20" t="inlineStr">
        <is>
          <t>MARUTI SUZUKI</t>
        </is>
      </c>
      <c r="F2094" s="20" t="inlineStr">
        <is>
          <t>Swift</t>
        </is>
      </c>
      <c r="G2094" s="21" t="n"/>
      <c r="H2094" s="22" t="n">
        <v>106171</v>
      </c>
      <c r="I2094" s="23" t="n">
        <v>330000</v>
      </c>
      <c r="J2094" s="20" t="inlineStr">
        <is>
          <t>EVM SKODA</t>
        </is>
      </c>
      <c r="K2094" s="20" t="inlineStr">
        <is>
          <t>Non-Captive</t>
        </is>
      </c>
      <c r="L2094" s="20" t="inlineStr">
        <is>
          <t>FABITH</t>
        </is>
      </c>
      <c r="M2094" s="23" t="n">
        <v>8474.58</v>
      </c>
      <c r="N2094" s="23" t="n">
        <v>10000</v>
      </c>
      <c r="O2094" s="24">
        <f>IF(AND(ISNUMBER(M2094), ISNUMBER(I2094), I2094&gt;0), M2094/I2094, "")</f>
        <v/>
      </c>
    </row>
    <row r="2095">
      <c r="A2095" s="19" t="inlineStr">
        <is>
          <t>FY27</t>
        </is>
      </c>
      <c r="B2095" s="19" t="inlineStr">
        <is>
          <t>May</t>
        </is>
      </c>
      <c r="C2095" s="19" t="inlineStr">
        <is>
          <t>Kerala</t>
        </is>
      </c>
      <c r="D2095" s="20" t="inlineStr">
        <is>
          <t>KL36B9175</t>
        </is>
      </c>
      <c r="E2095" s="20" t="inlineStr">
        <is>
          <t>MARUTI SUZUKI</t>
        </is>
      </c>
      <c r="F2095" s="20" t="inlineStr">
        <is>
          <t>Wagon R</t>
        </is>
      </c>
      <c r="G2095" s="21" t="n"/>
      <c r="H2095" s="22" t="n">
        <v>44789</v>
      </c>
      <c r="I2095" s="23" t="n">
        <v>135000</v>
      </c>
      <c r="J2095" s="20" t="inlineStr">
        <is>
          <t>POPULAR MARUTI</t>
        </is>
      </c>
      <c r="K2095" s="20" t="inlineStr">
        <is>
          <t>Non-Captive</t>
        </is>
      </c>
      <c r="L2095" s="20" t="inlineStr">
        <is>
          <t>SHARIK SHERIF</t>
        </is>
      </c>
      <c r="M2095" s="23" t="n">
        <v>10169.49</v>
      </c>
      <c r="N2095" s="23" t="n">
        <v>12000</v>
      </c>
      <c r="O2095" s="24">
        <f>IF(AND(ISNUMBER(M2095), ISNUMBER(I2095), I2095&gt;0), M2095/I2095, "")</f>
        <v/>
      </c>
    </row>
    <row r="2096">
      <c r="A2096" s="19" t="inlineStr">
        <is>
          <t>FY27</t>
        </is>
      </c>
      <c r="B2096" s="19" t="inlineStr">
        <is>
          <t>May</t>
        </is>
      </c>
      <c r="C2096" s="19" t="inlineStr">
        <is>
          <t>Kerala</t>
        </is>
      </c>
      <c r="D2096" s="20" t="inlineStr">
        <is>
          <t>KL20H5085</t>
        </is>
      </c>
      <c r="E2096" s="20" t="inlineStr">
        <is>
          <t>TATA</t>
        </is>
      </c>
      <c r="F2096" s="20" t="inlineStr">
        <is>
          <t>Nano</t>
        </is>
      </c>
      <c r="G2096" s="21" t="n"/>
      <c r="H2096" s="22" t="n">
        <v>45000</v>
      </c>
      <c r="I2096" s="23" t="n">
        <v>40000</v>
      </c>
      <c r="J2096" s="20" t="inlineStr">
        <is>
          <t>ABHILASH</t>
        </is>
      </c>
      <c r="K2096" s="20" t="inlineStr">
        <is>
          <t>Non-Captive</t>
        </is>
      </c>
      <c r="L2096" s="20" t="inlineStr">
        <is>
          <t>SANTHOSH</t>
        </is>
      </c>
      <c r="M2096" s="23" t="n">
        <v>5932.2</v>
      </c>
      <c r="N2096" s="23" t="n">
        <v>7000</v>
      </c>
      <c r="O2096" s="24">
        <f>IF(AND(ISNUMBER(M2096), ISNUMBER(I2096), I2096&gt;0), M2096/I2096, "")</f>
        <v/>
      </c>
    </row>
    <row r="2097">
      <c r="A2097" s="19" t="inlineStr">
        <is>
          <t>FY27</t>
        </is>
      </c>
      <c r="B2097" s="19" t="inlineStr">
        <is>
          <t>May</t>
        </is>
      </c>
      <c r="C2097" s="19" t="inlineStr">
        <is>
          <t>Kerala</t>
        </is>
      </c>
      <c r="D2097" s="20" t="inlineStr">
        <is>
          <t>KL20A8069</t>
        </is>
      </c>
      <c r="E2097" s="20" t="inlineStr">
        <is>
          <t>HYUNDAI</t>
        </is>
      </c>
      <c r="F2097" s="20" t="inlineStr">
        <is>
          <t>Santro</t>
        </is>
      </c>
      <c r="G2097" s="21" t="n"/>
      <c r="H2097" s="22" t="n">
        <v>58100</v>
      </c>
      <c r="I2097" s="23" t="n">
        <v>70000</v>
      </c>
      <c r="J2097" s="20" t="inlineStr">
        <is>
          <t>RAJESH</t>
        </is>
      </c>
      <c r="K2097" s="20" t="inlineStr">
        <is>
          <t>Non-Captive</t>
        </is>
      </c>
      <c r="L2097" s="20" t="inlineStr">
        <is>
          <t>KISHORE</t>
        </is>
      </c>
      <c r="M2097" s="23" t="n">
        <v>6779.66</v>
      </c>
      <c r="N2097" s="23" t="n">
        <v>8000</v>
      </c>
      <c r="O2097" s="24">
        <f>IF(AND(ISNUMBER(M2097), ISNUMBER(I2097), I2097&gt;0), M2097/I2097, "")</f>
        <v/>
      </c>
    </row>
    <row r="2098">
      <c r="A2098" s="19" t="inlineStr">
        <is>
          <t>FY27</t>
        </is>
      </c>
      <c r="B2098" s="19" t="inlineStr">
        <is>
          <t>May</t>
        </is>
      </c>
      <c r="C2098" s="19" t="inlineStr">
        <is>
          <t>Kerala</t>
        </is>
      </c>
      <c r="D2098" s="20" t="inlineStr">
        <is>
          <t>KL22K2661</t>
        </is>
      </c>
      <c r="E2098" s="20" t="inlineStr">
        <is>
          <t>DATSUN</t>
        </is>
      </c>
      <c r="F2098" s="20" t="inlineStr">
        <is>
          <t>Redi-Go</t>
        </is>
      </c>
      <c r="G2098" s="21" t="n"/>
      <c r="H2098" s="22" t="n">
        <v>31500</v>
      </c>
      <c r="I2098" s="23" t="n">
        <v>80000</v>
      </c>
      <c r="J2098" s="20" t="inlineStr">
        <is>
          <t>SHIVAKUMAR</t>
        </is>
      </c>
      <c r="K2098" s="20" t="inlineStr">
        <is>
          <t>Non-Captive</t>
        </is>
      </c>
      <c r="L2098" s="20" t="inlineStr">
        <is>
          <t>ABHISHEK</t>
        </is>
      </c>
      <c r="M2098" s="23" t="n">
        <v>6779.66</v>
      </c>
      <c r="N2098" s="23" t="n">
        <v>8000</v>
      </c>
      <c r="O2098" s="24">
        <f>IF(AND(ISNUMBER(M2098), ISNUMBER(I2098), I2098&gt;0), M2098/I2098, "")</f>
        <v/>
      </c>
    </row>
    <row r="2099">
      <c r="A2099" s="19" t="inlineStr">
        <is>
          <t>FY27</t>
        </is>
      </c>
      <c r="B2099" s="19" t="inlineStr">
        <is>
          <t>May</t>
        </is>
      </c>
      <c r="C2099" s="19" t="inlineStr">
        <is>
          <t>Kerala</t>
        </is>
      </c>
      <c r="D2099" s="20" t="inlineStr">
        <is>
          <t>KL01CW3287</t>
        </is>
      </c>
      <c r="E2099" s="20" t="inlineStr">
        <is>
          <t>RENAULT</t>
        </is>
      </c>
      <c r="F2099" s="20" t="inlineStr">
        <is>
          <t>Kwid</t>
        </is>
      </c>
      <c r="G2099" s="21" t="n"/>
      <c r="H2099" s="22" t="n">
        <v>20500</v>
      </c>
      <c r="I2099" s="23" t="n">
        <v>320000</v>
      </c>
      <c r="J2099" s="20" t="inlineStr">
        <is>
          <t>SARITH</t>
        </is>
      </c>
      <c r="K2099" s="20" t="inlineStr">
        <is>
          <t>Non-Captive</t>
        </is>
      </c>
      <c r="L2099" s="20" t="inlineStr">
        <is>
          <t>PRAJOD</t>
        </is>
      </c>
      <c r="M2099" s="23" t="n">
        <v>6779.66</v>
      </c>
      <c r="N2099" s="23" t="n">
        <v>8000</v>
      </c>
      <c r="O2099" s="24">
        <f>IF(AND(ISNUMBER(M2099), ISNUMBER(I2099), I2099&gt;0), M2099/I2099, "")</f>
        <v/>
      </c>
    </row>
    <row r="2100">
      <c r="A2100" s="19" t="inlineStr">
        <is>
          <t>FY27</t>
        </is>
      </c>
      <c r="B2100" s="19" t="inlineStr">
        <is>
          <t>May</t>
        </is>
      </c>
      <c r="C2100" s="19" t="inlineStr">
        <is>
          <t>Kerala</t>
        </is>
      </c>
      <c r="D2100" s="20" t="inlineStr">
        <is>
          <t>KL32K4060</t>
        </is>
      </c>
      <c r="E2100" s="20" t="inlineStr">
        <is>
          <t>RENAULT</t>
        </is>
      </c>
      <c r="F2100" s="20" t="inlineStr">
        <is>
          <t>Duster</t>
        </is>
      </c>
      <c r="G2100" s="21" t="n"/>
      <c r="H2100" s="22" t="n">
        <v>134000</v>
      </c>
      <c r="I2100" s="23" t="n">
        <v>360000</v>
      </c>
      <c r="J2100" s="20" t="inlineStr">
        <is>
          <t>KESHVIN HYUNDAI</t>
        </is>
      </c>
      <c r="K2100" s="20" t="inlineStr">
        <is>
          <t>Non-Captive</t>
        </is>
      </c>
      <c r="L2100" s="20" t="inlineStr">
        <is>
          <t>ABDUL SALAM K K</t>
        </is>
      </c>
      <c r="M2100" s="23" t="n">
        <v>11016.95</v>
      </c>
      <c r="N2100" s="23" t="n">
        <v>13000</v>
      </c>
      <c r="O2100" s="24">
        <f>IF(AND(ISNUMBER(M2100), ISNUMBER(I2100), I2100&gt;0), M2100/I2100, "")</f>
        <v/>
      </c>
    </row>
    <row r="2101">
      <c r="A2101" s="19" t="inlineStr">
        <is>
          <t>FY27</t>
        </is>
      </c>
      <c r="B2101" s="19" t="inlineStr">
        <is>
          <t>May</t>
        </is>
      </c>
      <c r="C2101" s="19" t="inlineStr">
        <is>
          <t>Kerala</t>
        </is>
      </c>
      <c r="D2101" s="20" t="inlineStr">
        <is>
          <t>KL45P1000</t>
        </is>
      </c>
      <c r="E2101" s="20" t="inlineStr">
        <is>
          <t>FORD</t>
        </is>
      </c>
      <c r="F2101" s="20" t="inlineStr">
        <is>
          <t>Figo</t>
        </is>
      </c>
      <c r="G2101" s="21" t="n"/>
      <c r="H2101" s="22" t="n">
        <v>75000</v>
      </c>
      <c r="I2101" s="23" t="n">
        <v>195000</v>
      </c>
      <c r="J2101" s="20" t="inlineStr">
        <is>
          <t>INCHEON KIA</t>
        </is>
      </c>
      <c r="K2101" s="20" t="inlineStr">
        <is>
          <t>Non-Captive</t>
        </is>
      </c>
      <c r="L2101" s="20" t="inlineStr">
        <is>
          <t>VTJ</t>
        </is>
      </c>
      <c r="M2101" s="23" t="n">
        <v>8474.58</v>
      </c>
      <c r="N2101" s="23" t="n">
        <v>10000</v>
      </c>
      <c r="O2101" s="24">
        <f>IF(AND(ISNUMBER(M2101), ISNUMBER(I2101), I2101&gt;0), M2101/I2101, "")</f>
        <v/>
      </c>
    </row>
    <row r="2102">
      <c r="A2102" s="19" t="inlineStr">
        <is>
          <t>FY27</t>
        </is>
      </c>
      <c r="B2102" s="19" t="inlineStr">
        <is>
          <t>May</t>
        </is>
      </c>
      <c r="C2102" s="19" t="inlineStr">
        <is>
          <t>Kerala</t>
        </is>
      </c>
      <c r="D2102" s="20" t="inlineStr">
        <is>
          <t>KL64M2770</t>
        </is>
      </c>
      <c r="E2102" s="20" t="inlineStr">
        <is>
          <t>KIA</t>
        </is>
      </c>
      <c r="F2102" s="20" t="inlineStr">
        <is>
          <t>Seltos</t>
        </is>
      </c>
      <c r="G2102" s="21" t="n"/>
      <c r="H2102" s="22" t="n">
        <v>12000</v>
      </c>
      <c r="I2102" s="23" t="n">
        <v>1240000</v>
      </c>
      <c r="J2102" s="20" t="inlineStr">
        <is>
          <t>AUTOMOTIVE</t>
        </is>
      </c>
      <c r="K2102" s="20" t="inlineStr">
        <is>
          <t>Non-Captive</t>
        </is>
      </c>
      <c r="L2102" s="20" t="inlineStr">
        <is>
          <t>KAPS CARS</t>
        </is>
      </c>
      <c r="M2102" s="23" t="n">
        <v>8474.58</v>
      </c>
      <c r="N2102" s="23" t="n">
        <v>10000</v>
      </c>
      <c r="O2102" s="24">
        <f>IF(AND(ISNUMBER(M2102), ISNUMBER(I2102), I2102&gt;0), M2102/I2102, "")</f>
        <v/>
      </c>
    </row>
    <row r="2103">
      <c r="A2103" s="19" t="inlineStr">
        <is>
          <t>FY27</t>
        </is>
      </c>
      <c r="B2103" s="19" t="inlineStr">
        <is>
          <t>May</t>
        </is>
      </c>
      <c r="C2103" s="19" t="inlineStr">
        <is>
          <t>Kerala</t>
        </is>
      </c>
      <c r="D2103" s="20" t="inlineStr">
        <is>
          <t>KL47C5259</t>
        </is>
      </c>
      <c r="E2103" s="20" t="inlineStr">
        <is>
          <t>MARUTI SUZUKI</t>
        </is>
      </c>
      <c r="F2103" s="20" t="inlineStr">
        <is>
          <t>Alto</t>
        </is>
      </c>
      <c r="G2103" s="21" t="n"/>
      <c r="H2103" s="22" t="n">
        <v>62000</v>
      </c>
      <c r="I2103" s="23" t="n">
        <v>120000</v>
      </c>
      <c r="J2103" s="20" t="inlineStr">
        <is>
          <t>POPULAR MARUTI</t>
        </is>
      </c>
      <c r="K2103" s="20" t="inlineStr">
        <is>
          <t>Non-Captive</t>
        </is>
      </c>
      <c r="L2103" s="20" t="inlineStr">
        <is>
          <t>RAFEEK T A</t>
        </is>
      </c>
      <c r="M2103" s="23" t="n">
        <v>8474.58</v>
      </c>
      <c r="N2103" s="23" t="n">
        <v>10000</v>
      </c>
      <c r="O2103" s="24">
        <f>IF(AND(ISNUMBER(M2103), ISNUMBER(I2103), I2103&gt;0), M2103/I2103, "")</f>
        <v/>
      </c>
    </row>
    <row r="2104">
      <c r="A2104" s="19" t="inlineStr">
        <is>
          <t>FY27</t>
        </is>
      </c>
      <c r="B2104" s="19" t="inlineStr">
        <is>
          <t>May</t>
        </is>
      </c>
      <c r="C2104" s="19" t="inlineStr">
        <is>
          <t>Kerala</t>
        </is>
      </c>
      <c r="D2104" s="20" t="inlineStr">
        <is>
          <t>KL04AC3806</t>
        </is>
      </c>
      <c r="E2104" s="20" t="inlineStr">
        <is>
          <t>MARUTI SUZUKI</t>
        </is>
      </c>
      <c r="F2104" s="20" t="inlineStr">
        <is>
          <t>Ritz</t>
        </is>
      </c>
      <c r="G2104" s="21" t="n"/>
      <c r="H2104" s="22" t="n">
        <v>75000</v>
      </c>
      <c r="I2104" s="23" t="n">
        <v>160000</v>
      </c>
      <c r="J2104" s="20" t="inlineStr">
        <is>
          <t>POPULAR MARUTI</t>
        </is>
      </c>
      <c r="K2104" s="20" t="inlineStr">
        <is>
          <t>Non-Captive</t>
        </is>
      </c>
      <c r="L2104" s="20" t="inlineStr">
        <is>
          <t>DREAM DRIVE</t>
        </is>
      </c>
      <c r="M2104" s="23" t="n">
        <v>8474.58</v>
      </c>
      <c r="N2104" s="23" t="n">
        <v>10000</v>
      </c>
      <c r="O2104" s="24">
        <f>IF(AND(ISNUMBER(M2104), ISNUMBER(I2104), I2104&gt;0), M2104/I2104, "")</f>
        <v/>
      </c>
    </row>
    <row r="2105">
      <c r="A2105" s="19" t="inlineStr">
        <is>
          <t>FY27</t>
        </is>
      </c>
      <c r="B2105" s="19" t="inlineStr">
        <is>
          <t>May</t>
        </is>
      </c>
      <c r="C2105" s="19" t="inlineStr">
        <is>
          <t>Kerala</t>
        </is>
      </c>
      <c r="D2105" s="20" t="inlineStr">
        <is>
          <t>KL55P9929</t>
        </is>
      </c>
      <c r="E2105" s="20" t="inlineStr">
        <is>
          <t>MARUTI SUZUKI</t>
        </is>
      </c>
      <c r="F2105" s="20" t="inlineStr">
        <is>
          <t>Alto</t>
        </is>
      </c>
      <c r="G2105" s="21" t="n"/>
      <c r="H2105" s="22" t="n">
        <v>96000</v>
      </c>
      <c r="I2105" s="23" t="n">
        <v>120000</v>
      </c>
      <c r="J2105" s="20" t="inlineStr">
        <is>
          <t>NIZAB</t>
        </is>
      </c>
      <c r="K2105" s="20" t="inlineStr">
        <is>
          <t>Non-Captive</t>
        </is>
      </c>
      <c r="L2105" s="20" t="inlineStr">
        <is>
          <t>POPULAR MARUTI</t>
        </is>
      </c>
      <c r="M2105" s="23" t="n">
        <v>12711.86</v>
      </c>
      <c r="N2105" s="23" t="n">
        <v>15000</v>
      </c>
      <c r="O2105" s="24">
        <f>IF(AND(ISNUMBER(M2105), ISNUMBER(I2105), I2105&gt;0), M2105/I2105, "")</f>
        <v/>
      </c>
    </row>
    <row r="2106">
      <c r="A2106" s="19" t="inlineStr">
        <is>
          <t>FY27</t>
        </is>
      </c>
      <c r="B2106" s="19" t="inlineStr">
        <is>
          <t>May</t>
        </is>
      </c>
      <c r="C2106" s="19" t="inlineStr">
        <is>
          <t>Kerala</t>
        </is>
      </c>
      <c r="D2106" s="20" t="inlineStr">
        <is>
          <t>KL08BB9930</t>
        </is>
      </c>
      <c r="E2106" s="20" t="inlineStr">
        <is>
          <t>HYUNDAI</t>
        </is>
      </c>
      <c r="F2106" s="20" t="inlineStr">
        <is>
          <t>I20</t>
        </is>
      </c>
      <c r="G2106" s="21" t="n"/>
      <c r="H2106" s="22" t="n">
        <v>39000</v>
      </c>
      <c r="I2106" s="23" t="n">
        <v>565000</v>
      </c>
      <c r="J2106" s="20" t="inlineStr">
        <is>
          <t>AITO CARS</t>
        </is>
      </c>
      <c r="K2106" s="20" t="inlineStr">
        <is>
          <t>Non-Captive</t>
        </is>
      </c>
      <c r="L2106" s="20" t="inlineStr">
        <is>
          <t>UCD SANTHOSH</t>
        </is>
      </c>
      <c r="M2106" s="23" t="n">
        <v>5932.2</v>
      </c>
      <c r="N2106" s="23" t="n">
        <v>7000</v>
      </c>
      <c r="O2106" s="24">
        <f>IF(AND(ISNUMBER(M2106), ISNUMBER(I2106), I2106&gt;0), M2106/I2106, "")</f>
        <v/>
      </c>
    </row>
    <row r="2107">
      <c r="A2107" s="19" t="inlineStr">
        <is>
          <t>FY27</t>
        </is>
      </c>
      <c r="B2107" s="19" t="inlineStr">
        <is>
          <t>May</t>
        </is>
      </c>
      <c r="C2107" s="19" t="inlineStr">
        <is>
          <t>Kerala</t>
        </is>
      </c>
      <c r="D2107" s="20" t="inlineStr">
        <is>
          <t>KL56B7485</t>
        </is>
      </c>
      <c r="E2107" s="20" t="inlineStr">
        <is>
          <t>MARUTI SUZUKI</t>
        </is>
      </c>
      <c r="F2107" s="20" t="inlineStr">
        <is>
          <t>Alto</t>
        </is>
      </c>
      <c r="G2107" s="21" t="n"/>
      <c r="H2107" s="22" t="n">
        <v>92000</v>
      </c>
      <c r="I2107" s="23" t="n">
        <v>105000</v>
      </c>
      <c r="J2107" s="20" t="inlineStr">
        <is>
          <t>HAMSA</t>
        </is>
      </c>
      <c r="K2107" s="20" t="inlineStr">
        <is>
          <t>Non-Captive</t>
        </is>
      </c>
      <c r="L2107" s="20" t="inlineStr">
        <is>
          <t>EVM</t>
        </is>
      </c>
      <c r="M2107" s="23" t="n">
        <v>4237.29</v>
      </c>
      <c r="N2107" s="23" t="n">
        <v>5000</v>
      </c>
      <c r="O2107" s="24">
        <f>IF(AND(ISNUMBER(M2107), ISNUMBER(I2107), I2107&gt;0), M2107/I2107, "")</f>
        <v/>
      </c>
    </row>
    <row r="2108">
      <c r="A2108" s="19" t="inlineStr">
        <is>
          <t>FY27</t>
        </is>
      </c>
      <c r="B2108" s="19" t="inlineStr">
        <is>
          <t>May</t>
        </is>
      </c>
      <c r="C2108" s="19" t="inlineStr">
        <is>
          <t>Kerala</t>
        </is>
      </c>
      <c r="D2108" s="20" t="inlineStr">
        <is>
          <t>KL38D4621</t>
        </is>
      </c>
      <c r="E2108" s="20" t="inlineStr">
        <is>
          <t>HYUNDAI</t>
        </is>
      </c>
      <c r="F2108" s="20" t="inlineStr">
        <is>
          <t>Eon</t>
        </is>
      </c>
      <c r="G2108" s="21" t="n">
        <v>2013</v>
      </c>
      <c r="H2108" s="22" t="n">
        <v>56000</v>
      </c>
      <c r="I2108" s="23" t="n">
        <v>150000</v>
      </c>
      <c r="J2108" s="20" t="inlineStr">
        <is>
          <t>ABU THAHIR AITO CARS</t>
        </is>
      </c>
      <c r="K2108" s="20" t="inlineStr">
        <is>
          <t>Non-Captive</t>
        </is>
      </c>
      <c r="L2108" s="20" t="inlineStr">
        <is>
          <t>UCD NITHEESH</t>
        </is>
      </c>
      <c r="M2108" s="23" t="n">
        <v>4237.29</v>
      </c>
      <c r="N2108" s="23" t="n">
        <v>5000</v>
      </c>
      <c r="O2108" s="24">
        <f>IF(AND(ISNUMBER(M2108), ISNUMBER(I2108), I2108&gt;0), M2108/I2108, "")</f>
        <v/>
      </c>
    </row>
    <row r="2109">
      <c r="A2109" s="19" t="inlineStr">
        <is>
          <t>FY27</t>
        </is>
      </c>
      <c r="B2109" s="19" t="inlineStr">
        <is>
          <t>May</t>
        </is>
      </c>
      <c r="C2109" s="19" t="inlineStr">
        <is>
          <t>Kerala</t>
        </is>
      </c>
      <c r="D2109" s="20" t="inlineStr">
        <is>
          <t>KL71D1677</t>
        </is>
      </c>
      <c r="E2109" s="20" t="inlineStr">
        <is>
          <t>MARUTI SUZUKI</t>
        </is>
      </c>
      <c r="F2109" s="20" t="inlineStr">
        <is>
          <t>Ritz</t>
        </is>
      </c>
      <c r="G2109" s="21" t="n"/>
      <c r="H2109" s="22" t="n">
        <v>160000</v>
      </c>
      <c r="I2109" s="23" t="n">
        <v>100000</v>
      </c>
      <c r="J2109" s="20" t="inlineStr">
        <is>
          <t>AUTOTRUST ARJID</t>
        </is>
      </c>
      <c r="K2109" s="20" t="inlineStr">
        <is>
          <t>Non-Captive</t>
        </is>
      </c>
      <c r="L2109" s="20" t="inlineStr">
        <is>
          <t>BIMAL</t>
        </is>
      </c>
      <c r="M2109" s="23" t="n">
        <v>4237.29</v>
      </c>
      <c r="N2109" s="23" t="n">
        <v>5000</v>
      </c>
      <c r="O2109" s="24">
        <f>IF(AND(ISNUMBER(M2109), ISNUMBER(I2109), I2109&gt;0), M2109/I2109, "")</f>
        <v/>
      </c>
    </row>
    <row r="2110">
      <c r="A2110" s="19" t="inlineStr">
        <is>
          <t>FY27</t>
        </is>
      </c>
      <c r="B2110" s="19" t="inlineStr">
        <is>
          <t>May</t>
        </is>
      </c>
      <c r="C2110" s="19" t="inlineStr">
        <is>
          <t>Kerala</t>
        </is>
      </c>
      <c r="D2110" s="20" t="inlineStr">
        <is>
          <t>KL57U6373</t>
        </is>
      </c>
      <c r="E2110" s="20" t="inlineStr">
        <is>
          <t>JEEP</t>
        </is>
      </c>
      <c r="F2110" s="20" t="inlineStr">
        <is>
          <t>Compass</t>
        </is>
      </c>
      <c r="G2110" s="21" t="n"/>
      <c r="H2110" s="22" t="n">
        <v>100000</v>
      </c>
      <c r="I2110" s="23" t="n">
        <v>835000</v>
      </c>
      <c r="J2110" s="20" t="inlineStr">
        <is>
          <t>GARAGE CARS</t>
        </is>
      </c>
      <c r="K2110" s="20" t="inlineStr">
        <is>
          <t>Non-Captive</t>
        </is>
      </c>
      <c r="L2110" s="20" t="inlineStr">
        <is>
          <t>MOTOEXCHANGE</t>
        </is>
      </c>
      <c r="M2110" s="23" t="n">
        <v>4237.29</v>
      </c>
      <c r="N2110" s="23" t="n">
        <v>5000</v>
      </c>
      <c r="O2110" s="24">
        <f>IF(AND(ISNUMBER(M2110), ISNUMBER(I2110), I2110&gt;0), M2110/I2110, "")</f>
        <v/>
      </c>
    </row>
    <row r="2111">
      <c r="A2111" s="19" t="inlineStr">
        <is>
          <t>FY27</t>
        </is>
      </c>
      <c r="B2111" s="19" t="inlineStr">
        <is>
          <t>May</t>
        </is>
      </c>
      <c r="C2111" s="19" t="inlineStr">
        <is>
          <t>Kerala</t>
        </is>
      </c>
      <c r="D2111" s="20" t="inlineStr">
        <is>
          <t>KL07BT8128</t>
        </is>
      </c>
      <c r="E2111" s="20" t="inlineStr">
        <is>
          <t>FORD</t>
        </is>
      </c>
      <c r="F2111" s="20" t="inlineStr">
        <is>
          <t>Figo</t>
        </is>
      </c>
      <c r="G2111" s="21" t="n"/>
      <c r="H2111" s="22" t="n">
        <v>100000</v>
      </c>
      <c r="I2111" s="23" t="n">
        <v>95000</v>
      </c>
      <c r="J2111" s="20" t="inlineStr">
        <is>
          <t>SAFARNAS</t>
        </is>
      </c>
      <c r="K2111" s="20" t="inlineStr">
        <is>
          <t>Non-Captive</t>
        </is>
      </c>
      <c r="L2111" s="20" t="inlineStr">
        <is>
          <t>AMANA TOYOTA</t>
        </is>
      </c>
      <c r="M2111" s="23" t="n">
        <v>8474.58</v>
      </c>
      <c r="N2111" s="23" t="n">
        <v>10000</v>
      </c>
      <c r="O2111" s="24">
        <f>IF(AND(ISNUMBER(M2111), ISNUMBER(I2111), I2111&gt;0), M2111/I2111, "")</f>
        <v/>
      </c>
    </row>
    <row r="2112">
      <c r="A2112" s="19" t="inlineStr">
        <is>
          <t>FY27</t>
        </is>
      </c>
      <c r="B2112" s="19" t="inlineStr">
        <is>
          <t>May</t>
        </is>
      </c>
      <c r="C2112" s="19" t="inlineStr">
        <is>
          <t>Kerala</t>
        </is>
      </c>
      <c r="D2112" s="20" t="inlineStr">
        <is>
          <t>KL45C2175</t>
        </is>
      </c>
      <c r="E2112" s="20" t="inlineStr">
        <is>
          <t>TATA</t>
        </is>
      </c>
      <c r="F2112" s="20" t="inlineStr">
        <is>
          <t>Indica</t>
        </is>
      </c>
      <c r="G2112" s="21" t="n"/>
      <c r="H2112" s="22" t="n">
        <v>42000</v>
      </c>
      <c r="I2112" s="23" t="n">
        <v>50000</v>
      </c>
      <c r="J2112" s="20" t="inlineStr">
        <is>
          <t>POPULAR MARUTI</t>
        </is>
      </c>
      <c r="K2112" s="20" t="inlineStr">
        <is>
          <t>Non-Captive</t>
        </is>
      </c>
      <c r="L2112" s="20" t="inlineStr">
        <is>
          <t>AITOS CARS</t>
        </is>
      </c>
      <c r="M2112" s="23" t="n">
        <v>4237.29</v>
      </c>
      <c r="N2112" s="23" t="n">
        <v>5000</v>
      </c>
      <c r="O2112" s="24">
        <f>IF(AND(ISNUMBER(M2112), ISNUMBER(I2112), I2112&gt;0), M2112/I2112, "")</f>
        <v/>
      </c>
    </row>
    <row r="2113">
      <c r="A2113" s="19" t="inlineStr">
        <is>
          <t>FY27</t>
        </is>
      </c>
      <c r="B2113" s="19" t="inlineStr">
        <is>
          <t>May</t>
        </is>
      </c>
      <c r="C2113" s="19" t="inlineStr">
        <is>
          <t>Kerala</t>
        </is>
      </c>
      <c r="D2113" s="20" t="inlineStr">
        <is>
          <t>KL58A4187</t>
        </is>
      </c>
      <c r="E2113" s="20" t="inlineStr">
        <is>
          <t>MARUTI SUZUKI</t>
        </is>
      </c>
      <c r="F2113" s="20" t="inlineStr">
        <is>
          <t>Wagon R</t>
        </is>
      </c>
      <c r="G2113" s="21" t="n"/>
      <c r="H2113" s="22" t="n">
        <v>124000</v>
      </c>
      <c r="I2113" s="23" t="n">
        <v>45000</v>
      </c>
      <c r="J2113" s="20" t="inlineStr">
        <is>
          <t>NITHEESH MOHAN</t>
        </is>
      </c>
      <c r="K2113" s="20" t="inlineStr">
        <is>
          <t>Non-Captive</t>
        </is>
      </c>
      <c r="L2113" s="20" t="inlineStr">
        <is>
          <t>INDUS MARUTI</t>
        </is>
      </c>
      <c r="M2113" s="23" t="n">
        <v>4237.29</v>
      </c>
      <c r="N2113" s="23" t="n">
        <v>5000</v>
      </c>
      <c r="O2113" s="24">
        <f>IF(AND(ISNUMBER(M2113), ISNUMBER(I2113), I2113&gt;0), M2113/I2113, "")</f>
        <v/>
      </c>
    </row>
    <row r="2114">
      <c r="A2114" s="19" t="inlineStr">
        <is>
          <t>FY27</t>
        </is>
      </c>
      <c r="B2114" s="19" t="inlineStr">
        <is>
          <t>May</t>
        </is>
      </c>
      <c r="C2114" s="19" t="inlineStr">
        <is>
          <t>Kerala</t>
        </is>
      </c>
      <c r="D2114" s="20" t="inlineStr">
        <is>
          <t>KL13P6026</t>
        </is>
      </c>
      <c r="E2114" s="20" t="inlineStr">
        <is>
          <t>MARUTI SUZUKI</t>
        </is>
      </c>
      <c r="F2114" s="20" t="inlineStr">
        <is>
          <t>Omni</t>
        </is>
      </c>
      <c r="G2114" s="21" t="n"/>
      <c r="H2114" s="22" t="n">
        <v>180000</v>
      </c>
      <c r="I2114" s="23" t="n">
        <v>6000</v>
      </c>
      <c r="J2114" s="20" t="inlineStr">
        <is>
          <t>AUTOTRUST</t>
        </is>
      </c>
      <c r="K2114" s="20" t="inlineStr">
        <is>
          <t>Non-Captive</t>
        </is>
      </c>
      <c r="L2114" s="20" t="inlineStr">
        <is>
          <t>POPULAR MARUTI</t>
        </is>
      </c>
      <c r="M2114" s="23" t="n">
        <v>5084.75</v>
      </c>
      <c r="N2114" s="23" t="n">
        <v>6000</v>
      </c>
      <c r="O2114" s="24">
        <f>IF(AND(ISNUMBER(M2114), ISNUMBER(I2114), I2114&gt;0), M2114/I2114, "")</f>
        <v/>
      </c>
    </row>
    <row r="2115">
      <c r="A2115" s="19" t="inlineStr">
        <is>
          <t>FY27</t>
        </is>
      </c>
      <c r="B2115" s="19" t="inlineStr">
        <is>
          <t>May</t>
        </is>
      </c>
      <c r="C2115" s="19" t="inlineStr">
        <is>
          <t>Kerala</t>
        </is>
      </c>
      <c r="D2115" s="20" t="inlineStr">
        <is>
          <t>KL78B7502</t>
        </is>
      </c>
      <c r="E2115" s="20" t="inlineStr">
        <is>
          <t>HYUNDAI</t>
        </is>
      </c>
      <c r="F2115" s="20" t="inlineStr">
        <is>
          <t>Nios</t>
        </is>
      </c>
      <c r="G2115" s="21" t="n"/>
      <c r="H2115" s="22" t="n">
        <v>14000</v>
      </c>
      <c r="I2115" s="23" t="n">
        <v>462000</v>
      </c>
      <c r="J2115" s="20" t="inlineStr">
        <is>
          <t>Prajosh</t>
        </is>
      </c>
      <c r="K2115" s="20" t="inlineStr">
        <is>
          <t>Non-Captive</t>
        </is>
      </c>
      <c r="L2115" s="20" t="inlineStr">
        <is>
          <t>INDUS MARUTI</t>
        </is>
      </c>
      <c r="M2115" s="23" t="n">
        <v>5932.2</v>
      </c>
      <c r="N2115" s="23" t="n">
        <v>7000</v>
      </c>
      <c r="O2115" s="24">
        <f>IF(AND(ISNUMBER(M2115), ISNUMBER(I2115), I2115&gt;0), M2115/I2115, "")</f>
        <v/>
      </c>
    </row>
    <row r="2116">
      <c r="A2116" s="19" t="inlineStr">
        <is>
          <t>FY27</t>
        </is>
      </c>
      <c r="B2116" s="19" t="inlineStr">
        <is>
          <t>May</t>
        </is>
      </c>
      <c r="C2116" s="19" t="inlineStr">
        <is>
          <t>Kerala</t>
        </is>
      </c>
      <c r="D2116" s="20" t="inlineStr">
        <is>
          <t>KL13AW7090</t>
        </is>
      </c>
      <c r="E2116" s="20" t="inlineStr">
        <is>
          <t>TATA</t>
        </is>
      </c>
      <c r="F2116" s="20" t="inlineStr">
        <is>
          <t>Harrier</t>
        </is>
      </c>
      <c r="G2116" s="21" t="n"/>
      <c r="H2116" s="22" t="n">
        <v>43000</v>
      </c>
      <c r="I2116" s="23" t="n">
        <v>1500000</v>
      </c>
      <c r="J2116" s="20" t="inlineStr">
        <is>
          <t>VASIL AUTOBOT</t>
        </is>
      </c>
      <c r="K2116" s="20" t="inlineStr">
        <is>
          <t>Non-Captive</t>
        </is>
      </c>
      <c r="L2116" s="20" t="inlineStr">
        <is>
          <t>KVR TATA</t>
        </is>
      </c>
      <c r="M2116" s="23" t="n">
        <v>8474.58</v>
      </c>
      <c r="N2116" s="23" t="n">
        <v>10000</v>
      </c>
      <c r="O2116" s="24">
        <f>IF(AND(ISNUMBER(M2116), ISNUMBER(I2116), I2116&gt;0), M2116/I2116, "")</f>
        <v/>
      </c>
    </row>
    <row r="2117">
      <c r="A2117" s="19" t="inlineStr">
        <is>
          <t>FY27</t>
        </is>
      </c>
      <c r="B2117" s="19" t="inlineStr">
        <is>
          <t>May</t>
        </is>
      </c>
      <c r="C2117" s="19" t="inlineStr">
        <is>
          <t>Kerala</t>
        </is>
      </c>
      <c r="D2117" s="20" t="inlineStr">
        <is>
          <t>KL58Q9263</t>
        </is>
      </c>
      <c r="E2117" s="20" t="inlineStr">
        <is>
          <t>MARUTI SUZUKI</t>
        </is>
      </c>
      <c r="F2117" s="20" t="inlineStr">
        <is>
          <t>Swift</t>
        </is>
      </c>
      <c r="G2117" s="21" t="n"/>
      <c r="H2117" s="22" t="n">
        <v>160000</v>
      </c>
      <c r="I2117" s="23" t="n">
        <v>230000</v>
      </c>
      <c r="J2117" s="20" t="inlineStr">
        <is>
          <t>NITHEESH MOHAN</t>
        </is>
      </c>
      <c r="K2117" s="20" t="inlineStr">
        <is>
          <t>Non-Captive</t>
        </is>
      </c>
      <c r="L2117" s="20" t="inlineStr">
        <is>
          <t>INDUS MARUTI</t>
        </is>
      </c>
      <c r="M2117" s="23" t="n">
        <v>8474.58</v>
      </c>
      <c r="N2117" s="23" t="n">
        <v>10000</v>
      </c>
      <c r="O2117" s="24">
        <f>IF(AND(ISNUMBER(M2117), ISNUMBER(I2117), I2117&gt;0), M2117/I2117, "")</f>
        <v/>
      </c>
    </row>
    <row r="2118">
      <c r="A2118" s="19" t="inlineStr">
        <is>
          <t>FY27</t>
        </is>
      </c>
      <c r="B2118" s="19" t="inlineStr">
        <is>
          <t>May</t>
        </is>
      </c>
      <c r="C2118" s="19" t="inlineStr">
        <is>
          <t>Kerala</t>
        </is>
      </c>
      <c r="D2118" s="20" t="inlineStr">
        <is>
          <t>KL13T6459</t>
        </is>
      </c>
      <c r="E2118" s="20" t="inlineStr">
        <is>
          <t>MARUTI SUZUKI</t>
        </is>
      </c>
      <c r="F2118" s="20" t="inlineStr">
        <is>
          <t>Alto</t>
        </is>
      </c>
      <c r="G2118" s="21" t="n"/>
      <c r="H2118" s="22" t="n">
        <v>75000</v>
      </c>
      <c r="I2118" s="23" t="n">
        <v>55000</v>
      </c>
      <c r="J2118" s="20" t="inlineStr">
        <is>
          <t>SARANG</t>
        </is>
      </c>
      <c r="K2118" s="20" t="inlineStr">
        <is>
          <t>Non-Captive</t>
        </is>
      </c>
      <c r="L2118" s="20" t="inlineStr">
        <is>
          <t>POPULAR MARUTI</t>
        </is>
      </c>
      <c r="M2118" s="23" t="n">
        <v>8474.58</v>
      </c>
      <c r="N2118" s="23" t="n">
        <v>10000</v>
      </c>
      <c r="O2118" s="24">
        <f>IF(AND(ISNUMBER(M2118), ISNUMBER(I2118), I2118&gt;0), M2118/I2118, "")</f>
        <v/>
      </c>
    </row>
    <row r="2119">
      <c r="A2119" s="19" t="inlineStr">
        <is>
          <t>FY27</t>
        </is>
      </c>
      <c r="B2119" s="19" t="inlineStr">
        <is>
          <t>May</t>
        </is>
      </c>
      <c r="C2119" s="19" t="inlineStr">
        <is>
          <t>Kerala</t>
        </is>
      </c>
      <c r="D2119" s="20" t="inlineStr">
        <is>
          <t>KL59G3993</t>
        </is>
      </c>
      <c r="E2119" s="20" t="inlineStr">
        <is>
          <t>MARUTI SUZUKI</t>
        </is>
      </c>
      <c r="F2119" s="20" t="inlineStr">
        <is>
          <t>Alto</t>
        </is>
      </c>
      <c r="G2119" s="21" t="n"/>
      <c r="H2119" s="22" t="n">
        <v>98000</v>
      </c>
      <c r="I2119" s="23" t="n">
        <v>125000</v>
      </c>
      <c r="J2119" s="20" t="inlineStr">
        <is>
          <t>SAJITH</t>
        </is>
      </c>
      <c r="K2119" s="20" t="inlineStr">
        <is>
          <t>Non-Captive</t>
        </is>
      </c>
      <c r="L2119" s="20" t="inlineStr">
        <is>
          <t>POPULAR MARUTI</t>
        </is>
      </c>
      <c r="M2119" s="23" t="n">
        <v>8474.58</v>
      </c>
      <c r="N2119" s="23" t="n">
        <v>10000</v>
      </c>
      <c r="O2119" s="24">
        <f>IF(AND(ISNUMBER(M2119), ISNUMBER(I2119), I2119&gt;0), M2119/I2119, "")</f>
        <v/>
      </c>
    </row>
    <row r="2120">
      <c r="A2120" s="19" t="inlineStr">
        <is>
          <t>FY27</t>
        </is>
      </c>
      <c r="B2120" s="19" t="inlineStr">
        <is>
          <t>May</t>
        </is>
      </c>
      <c r="C2120" s="19" t="inlineStr">
        <is>
          <t>Kerala</t>
        </is>
      </c>
      <c r="D2120" s="20" t="inlineStr">
        <is>
          <t>KL33C3406</t>
        </is>
      </c>
      <c r="E2120" s="20" t="inlineStr">
        <is>
          <t>MARUTI SUZUKI</t>
        </is>
      </c>
      <c r="F2120" s="20" t="inlineStr">
        <is>
          <t>Alto</t>
        </is>
      </c>
      <c r="G2120" s="21" t="n"/>
      <c r="H2120" s="22" t="n">
        <v>135676</v>
      </c>
      <c r="I2120" s="23" t="n">
        <v>104000</v>
      </c>
      <c r="J2120" s="20" t="inlineStr">
        <is>
          <t>MUHAMMED SHAJI</t>
        </is>
      </c>
      <c r="K2120" s="20" t="inlineStr">
        <is>
          <t>Non-Captive</t>
        </is>
      </c>
      <c r="L2120" s="20" t="inlineStr">
        <is>
          <t>DREAM DRIVE</t>
        </is>
      </c>
      <c r="M2120" s="23" t="n">
        <v>8474.58</v>
      </c>
      <c r="N2120" s="23" t="n">
        <v>10000</v>
      </c>
      <c r="O2120" s="24">
        <f>IF(AND(ISNUMBER(M2120), ISNUMBER(I2120), I2120&gt;0), M2120/I2120, "")</f>
        <v/>
      </c>
    </row>
    <row r="2121">
      <c r="A2121" s="19" t="inlineStr">
        <is>
          <t>FY27</t>
        </is>
      </c>
      <c r="B2121" s="19" t="inlineStr">
        <is>
          <t>May</t>
        </is>
      </c>
      <c r="C2121" s="19" t="inlineStr">
        <is>
          <t>Kerala</t>
        </is>
      </c>
      <c r="D2121" s="20" t="inlineStr">
        <is>
          <t>KL42E5883</t>
        </is>
      </c>
      <c r="E2121" s="20" t="inlineStr">
        <is>
          <t>FORD</t>
        </is>
      </c>
      <c r="F2121" s="20" t="inlineStr">
        <is>
          <t>Figo</t>
        </is>
      </c>
      <c r="G2121" s="21" t="n"/>
      <c r="H2121" s="22" t="n">
        <v>104954</v>
      </c>
      <c r="I2121" s="23" t="n">
        <v>55000</v>
      </c>
      <c r="J2121" s="20" t="inlineStr">
        <is>
          <t>CITROEN EVM</t>
        </is>
      </c>
      <c r="K2121" s="20" t="inlineStr">
        <is>
          <t>Non-Captive</t>
        </is>
      </c>
      <c r="L2121" s="20" t="inlineStr">
        <is>
          <t>HUSSAIN O E</t>
        </is>
      </c>
      <c r="M2121" s="23" t="n">
        <v>10169.49</v>
      </c>
      <c r="N2121" s="23" t="n">
        <v>12000</v>
      </c>
      <c r="O2121" s="24">
        <f>IF(AND(ISNUMBER(M2121), ISNUMBER(I2121), I2121&gt;0), M2121/I2121, "")</f>
        <v/>
      </c>
    </row>
    <row r="2122">
      <c r="A2122" s="19" t="inlineStr">
        <is>
          <t>FY27</t>
        </is>
      </c>
      <c r="B2122" s="19" t="inlineStr">
        <is>
          <t>May</t>
        </is>
      </c>
      <c r="C2122" s="19" t="inlineStr">
        <is>
          <t>Kerala</t>
        </is>
      </c>
      <c r="D2122" s="20" t="inlineStr">
        <is>
          <t>KL48H9187</t>
        </is>
      </c>
      <c r="E2122" s="20" t="inlineStr">
        <is>
          <t>TATA</t>
        </is>
      </c>
      <c r="F2122" s="20" t="inlineStr">
        <is>
          <t>Nano</t>
        </is>
      </c>
      <c r="G2122" s="21" t="n"/>
      <c r="H2122" s="22" t="n">
        <v>55386</v>
      </c>
      <c r="I2122" s="23" t="n">
        <v>90000</v>
      </c>
      <c r="J2122" s="20" t="inlineStr">
        <is>
          <t>POPULAR HYUNDAI</t>
        </is>
      </c>
      <c r="K2122" s="20" t="inlineStr">
        <is>
          <t>Non-Captive</t>
        </is>
      </c>
      <c r="L2122" s="20" t="inlineStr">
        <is>
          <t>AITOS CARS</t>
        </is>
      </c>
      <c r="M2122" s="23" t="n">
        <v>8474.58</v>
      </c>
      <c r="N2122" s="23" t="n">
        <v>10000</v>
      </c>
      <c r="O2122" s="24">
        <f>IF(AND(ISNUMBER(M2122), ISNUMBER(I2122), I2122&gt;0), M2122/I2122, "")</f>
        <v/>
      </c>
    </row>
    <row r="2123">
      <c r="A2123" s="19" t="inlineStr">
        <is>
          <t>FY27</t>
        </is>
      </c>
      <c r="B2123" s="19" t="inlineStr">
        <is>
          <t>May</t>
        </is>
      </c>
      <c r="C2123" s="19" t="inlineStr">
        <is>
          <t>Kerala</t>
        </is>
      </c>
      <c r="D2123" s="20" t="inlineStr">
        <is>
          <t>KL05Y5004</t>
        </is>
      </c>
      <c r="E2123" s="20" t="inlineStr">
        <is>
          <t>HYUNDAI</t>
        </is>
      </c>
      <c r="F2123" s="20" t="inlineStr">
        <is>
          <t>Santro</t>
        </is>
      </c>
      <c r="G2123" s="21" t="n"/>
      <c r="H2123" s="22" t="n">
        <v>151564</v>
      </c>
      <c r="I2123" s="23" t="n">
        <v>30000</v>
      </c>
      <c r="J2123" s="20" t="inlineStr">
        <is>
          <t>POPULAR MARUTI</t>
        </is>
      </c>
      <c r="K2123" s="20" t="inlineStr">
        <is>
          <t>Non-Captive</t>
        </is>
      </c>
      <c r="L2123" s="20" t="inlineStr">
        <is>
          <t>DREAM DRIVE</t>
        </is>
      </c>
      <c r="M2123" s="23" t="n">
        <v>8474.58</v>
      </c>
      <c r="N2123" s="23" t="n">
        <v>10000</v>
      </c>
      <c r="O2123" s="24">
        <f>IF(AND(ISNUMBER(M2123), ISNUMBER(I2123), I2123&gt;0), M2123/I2123, "")</f>
        <v/>
      </c>
    </row>
    <row r="2124">
      <c r="A2124" s="19" t="inlineStr">
        <is>
          <t>FY27</t>
        </is>
      </c>
      <c r="B2124" s="19" t="inlineStr">
        <is>
          <t>May</t>
        </is>
      </c>
      <c r="C2124" s="19" t="inlineStr">
        <is>
          <t>Kerala</t>
        </is>
      </c>
      <c r="D2124" s="20" t="inlineStr">
        <is>
          <t>KL41S1117</t>
        </is>
      </c>
      <c r="E2124" s="20" t="inlineStr">
        <is>
          <t>MAHINDRA</t>
        </is>
      </c>
      <c r="F2124" s="20" t="inlineStr">
        <is>
          <t>Bolero</t>
        </is>
      </c>
      <c r="G2124" s="21" t="n"/>
      <c r="H2124" s="22" t="n">
        <v>130815</v>
      </c>
      <c r="I2124" s="23" t="n">
        <v>515000</v>
      </c>
      <c r="J2124" s="20" t="inlineStr">
        <is>
          <t>AUTOMOTIVE</t>
        </is>
      </c>
      <c r="K2124" s="20" t="inlineStr">
        <is>
          <t>Non-Captive</t>
        </is>
      </c>
      <c r="L2124" s="20" t="inlineStr">
        <is>
          <t>FABITH</t>
        </is>
      </c>
      <c r="M2124" s="23" t="n">
        <v>8474.58</v>
      </c>
      <c r="N2124" s="23" t="n">
        <v>10000</v>
      </c>
      <c r="O2124" s="24">
        <f>IF(AND(ISNUMBER(M2124), ISNUMBER(I2124), I2124&gt;0), M2124/I2124, "")</f>
        <v/>
      </c>
    </row>
    <row r="2125">
      <c r="A2125" s="19" t="inlineStr">
        <is>
          <t>FY27</t>
        </is>
      </c>
      <c r="B2125" s="19" t="inlineStr">
        <is>
          <t>May</t>
        </is>
      </c>
      <c r="C2125" s="19" t="inlineStr">
        <is>
          <t>Kerala</t>
        </is>
      </c>
      <c r="D2125" s="20" t="inlineStr">
        <is>
          <t>KL25B1902</t>
        </is>
      </c>
      <c r="E2125" s="20" t="inlineStr">
        <is>
          <t>MARUTI SUZUKI</t>
        </is>
      </c>
      <c r="F2125" s="20" t="inlineStr">
        <is>
          <t>Estilo</t>
        </is>
      </c>
      <c r="G2125" s="21" t="n"/>
      <c r="H2125" s="22" t="n">
        <v>65461</v>
      </c>
      <c r="I2125" s="23" t="n">
        <v>45000</v>
      </c>
      <c r="J2125" s="20" t="inlineStr">
        <is>
          <t>JOHNSON</t>
        </is>
      </c>
      <c r="K2125" s="20" t="inlineStr">
        <is>
          <t>Non-Captive</t>
        </is>
      </c>
      <c r="L2125" s="20" t="inlineStr">
        <is>
          <t>INCHEON KIA</t>
        </is>
      </c>
      <c r="M2125" s="23" t="n">
        <v>5932.2</v>
      </c>
      <c r="N2125" s="23" t="n">
        <v>7000</v>
      </c>
      <c r="O2125" s="24">
        <f>IF(AND(ISNUMBER(M2125), ISNUMBER(I2125), I2125&gt;0), M2125/I2125, "")</f>
        <v/>
      </c>
    </row>
    <row r="2126">
      <c r="A2126" s="19" t="inlineStr">
        <is>
          <t>FY27</t>
        </is>
      </c>
      <c r="B2126" s="19" t="inlineStr">
        <is>
          <t>May</t>
        </is>
      </c>
      <c r="C2126" s="19" t="inlineStr">
        <is>
          <t>Kerala</t>
        </is>
      </c>
      <c r="D2126" s="20" t="inlineStr">
        <is>
          <t>KL51E6751</t>
        </is>
      </c>
      <c r="E2126" s="20" t="inlineStr">
        <is>
          <t>HYUNDAI</t>
        </is>
      </c>
      <c r="F2126" s="20" t="inlineStr">
        <is>
          <t>Eon</t>
        </is>
      </c>
      <c r="G2126" s="21" t="n"/>
      <c r="H2126" s="22" t="n">
        <v>62247</v>
      </c>
      <c r="I2126" s="23" t="n">
        <v>65000</v>
      </c>
      <c r="J2126" s="20" t="inlineStr">
        <is>
          <t>POPULAR MARUTI</t>
        </is>
      </c>
      <c r="K2126" s="20" t="inlineStr">
        <is>
          <t>Non-Captive</t>
        </is>
      </c>
      <c r="L2126" s="20" t="inlineStr">
        <is>
          <t>PRAVEEN</t>
        </is>
      </c>
      <c r="M2126" s="23" t="n">
        <v>8474.58</v>
      </c>
      <c r="N2126" s="23" t="n">
        <v>10000</v>
      </c>
      <c r="O2126" s="24">
        <f>IF(AND(ISNUMBER(M2126), ISNUMBER(I2126), I2126&gt;0), M2126/I2126, "")</f>
        <v/>
      </c>
    </row>
    <row r="2127">
      <c r="A2127" s="19" t="inlineStr">
        <is>
          <t>FY27</t>
        </is>
      </c>
      <c r="B2127" s="19" t="inlineStr">
        <is>
          <t>May</t>
        </is>
      </c>
      <c r="C2127" s="19" t="inlineStr">
        <is>
          <t>Kerala</t>
        </is>
      </c>
      <c r="D2127" s="20" t="inlineStr">
        <is>
          <t>KL07CJ4311</t>
        </is>
      </c>
      <c r="E2127" s="20" t="inlineStr">
        <is>
          <t>NISSAN</t>
        </is>
      </c>
      <c r="F2127" s="20" t="inlineStr">
        <is>
          <t>Terrano</t>
        </is>
      </c>
      <c r="G2127" s="21" t="n"/>
      <c r="H2127" s="22" t="n">
        <v>106000</v>
      </c>
      <c r="I2127" s="23" t="n">
        <v>440000</v>
      </c>
      <c r="J2127" s="20" t="inlineStr">
        <is>
          <t>INCHEON KIA</t>
        </is>
      </c>
      <c r="K2127" s="20" t="inlineStr">
        <is>
          <t>Non-Captive</t>
        </is>
      </c>
      <c r="L2127" s="20" t="inlineStr">
        <is>
          <t>AITOS CARS</t>
        </is>
      </c>
      <c r="M2127" s="23" t="n">
        <v>8474.58</v>
      </c>
      <c r="N2127" s="23" t="n">
        <v>10000</v>
      </c>
      <c r="O2127" s="24">
        <f>IF(AND(ISNUMBER(M2127), ISNUMBER(I2127), I2127&gt;0), M2127/I2127, "")</f>
        <v/>
      </c>
    </row>
    <row r="2128">
      <c r="A2128" s="19" t="inlineStr">
        <is>
          <t>FY27</t>
        </is>
      </c>
      <c r="B2128" s="19" t="inlineStr">
        <is>
          <t>May</t>
        </is>
      </c>
      <c r="C2128" s="19" t="inlineStr">
        <is>
          <t>Kerala</t>
        </is>
      </c>
      <c r="D2128" s="20" t="inlineStr">
        <is>
          <t>KL08BS0450</t>
        </is>
      </c>
      <c r="E2128" s="20" t="inlineStr">
        <is>
          <t>HONDA</t>
        </is>
      </c>
      <c r="F2128" s="20" t="inlineStr">
        <is>
          <t>Amaze</t>
        </is>
      </c>
      <c r="G2128" s="21" t="n"/>
      <c r="H2128" s="22" t="n">
        <v>219760</v>
      </c>
      <c r="I2128" s="23" t="n">
        <v>450000</v>
      </c>
      <c r="J2128" s="20" t="inlineStr">
        <is>
          <t>VISION HONDA</t>
        </is>
      </c>
      <c r="K2128" s="20" t="inlineStr">
        <is>
          <t>Non-Captive</t>
        </is>
      </c>
      <c r="L2128" s="20" t="inlineStr">
        <is>
          <t>MUHAMMED SHAJI</t>
        </is>
      </c>
      <c r="M2128" s="23" t="n">
        <v>8474.58</v>
      </c>
      <c r="N2128" s="23" t="n">
        <v>10000</v>
      </c>
      <c r="O2128" s="24">
        <f>IF(AND(ISNUMBER(M2128), ISNUMBER(I2128), I2128&gt;0), M2128/I2128, "")</f>
        <v/>
      </c>
    </row>
    <row r="2129">
      <c r="A2129" s="19" t="inlineStr">
        <is>
          <t>FY27</t>
        </is>
      </c>
      <c r="B2129" s="19" t="inlineStr">
        <is>
          <t>May</t>
        </is>
      </c>
      <c r="C2129" s="19" t="inlineStr">
        <is>
          <t>Kerala</t>
        </is>
      </c>
      <c r="D2129" s="20" t="inlineStr">
        <is>
          <t>KL627926</t>
        </is>
      </c>
      <c r="E2129" s="20" t="inlineStr">
        <is>
          <t>NISSAN</t>
        </is>
      </c>
      <c r="F2129" s="20" t="inlineStr">
        <is>
          <t>Sunny</t>
        </is>
      </c>
      <c r="G2129" s="21" t="n"/>
      <c r="H2129" s="22" t="n">
        <v>86821</v>
      </c>
      <c r="I2129" s="23" t="n">
        <v>75000</v>
      </c>
      <c r="J2129" s="20" t="inlineStr">
        <is>
          <t>POPULAR MARUTI</t>
        </is>
      </c>
      <c r="K2129" s="20" t="inlineStr">
        <is>
          <t>Non-Captive</t>
        </is>
      </c>
      <c r="L2129" s="20" t="inlineStr">
        <is>
          <t>AITOS CARS</t>
        </is>
      </c>
      <c r="M2129" s="23" t="n">
        <v>12711.86</v>
      </c>
      <c r="N2129" s="23" t="n">
        <v>15000</v>
      </c>
      <c r="O2129" s="24">
        <f>IF(AND(ISNUMBER(M2129), ISNUMBER(I2129), I2129&gt;0), M2129/I2129, "")</f>
        <v/>
      </c>
    </row>
    <row r="2130">
      <c r="A2130" s="19" t="inlineStr">
        <is>
          <t>FY27</t>
        </is>
      </c>
      <c r="B2130" s="19" t="inlineStr">
        <is>
          <t>May</t>
        </is>
      </c>
      <c r="C2130" s="19" t="inlineStr">
        <is>
          <t>Kerala</t>
        </is>
      </c>
      <c r="D2130" s="20" t="inlineStr">
        <is>
          <t>KL39F1505</t>
        </is>
      </c>
      <c r="E2130" s="20" t="inlineStr">
        <is>
          <t>HONDA</t>
        </is>
      </c>
      <c r="F2130" s="20" t="inlineStr">
        <is>
          <t>Amaze</t>
        </is>
      </c>
      <c r="G2130" s="21" t="n"/>
      <c r="H2130" s="22" t="n">
        <v>124009</v>
      </c>
      <c r="I2130" s="23" t="n">
        <v>180000</v>
      </c>
      <c r="J2130" s="20" t="inlineStr">
        <is>
          <t>KESHVIN HYUNDAI</t>
        </is>
      </c>
      <c r="K2130" s="20" t="inlineStr">
        <is>
          <t>Non-Captive</t>
        </is>
      </c>
      <c r="L2130" s="20" t="inlineStr">
        <is>
          <t>RAFEEK T A</t>
        </is>
      </c>
      <c r="M2130" s="23" t="n">
        <v>8474.58</v>
      </c>
      <c r="N2130" s="23" t="n">
        <v>10000</v>
      </c>
      <c r="O2130" s="24">
        <f>IF(AND(ISNUMBER(M2130), ISNUMBER(I2130), I2130&gt;0), M2130/I2130, "")</f>
        <v/>
      </c>
    </row>
    <row r="2131">
      <c r="A2131" s="19" t="inlineStr">
        <is>
          <t>FY27</t>
        </is>
      </c>
      <c r="B2131" s="19" t="inlineStr">
        <is>
          <t>May</t>
        </is>
      </c>
      <c r="C2131" s="19" t="inlineStr">
        <is>
          <t>Kerala</t>
        </is>
      </c>
      <c r="D2131" s="20" t="inlineStr">
        <is>
          <t>KL07BH7683</t>
        </is>
      </c>
      <c r="E2131" s="20" t="inlineStr">
        <is>
          <t>MARUTI SUZUKI</t>
        </is>
      </c>
      <c r="F2131" s="20" t="inlineStr">
        <is>
          <t>Alto</t>
        </is>
      </c>
      <c r="G2131" s="21" t="n"/>
      <c r="H2131" s="22" t="n">
        <v>63000</v>
      </c>
      <c r="I2131" s="23" t="n">
        <v>50000</v>
      </c>
      <c r="J2131" s="20" t="inlineStr">
        <is>
          <t>GOKULAM TATA</t>
        </is>
      </c>
      <c r="K2131" s="20" t="inlineStr">
        <is>
          <t>Non-Captive</t>
        </is>
      </c>
      <c r="L2131" s="20" t="inlineStr">
        <is>
          <t>RAFEEK T A</t>
        </is>
      </c>
      <c r="M2131" s="23" t="n">
        <v>8474.58</v>
      </c>
      <c r="N2131" s="23" t="n">
        <v>10000</v>
      </c>
      <c r="O2131" s="24">
        <f>IF(AND(ISNUMBER(M2131), ISNUMBER(I2131), I2131&gt;0), M2131/I2131, "")</f>
        <v/>
      </c>
    </row>
    <row r="2132">
      <c r="A2132" s="19" t="inlineStr">
        <is>
          <t>FY27</t>
        </is>
      </c>
      <c r="B2132" s="19" t="inlineStr">
        <is>
          <t>May</t>
        </is>
      </c>
      <c r="C2132" s="19" t="inlineStr">
        <is>
          <t>Kerala</t>
        </is>
      </c>
      <c r="D2132" s="20" t="inlineStr">
        <is>
          <t>KL02AD3097</t>
        </is>
      </c>
      <c r="E2132" s="20" t="inlineStr">
        <is>
          <t>MARUTI SUZUKI</t>
        </is>
      </c>
      <c r="F2132" s="20" t="inlineStr">
        <is>
          <t>A-Star</t>
        </is>
      </c>
      <c r="G2132" s="21" t="n"/>
      <c r="H2132" s="22" t="n">
        <v>123000</v>
      </c>
      <c r="I2132" s="23" t="n">
        <v>60000</v>
      </c>
      <c r="J2132" s="20" t="inlineStr">
        <is>
          <t>FORTUNE MG</t>
        </is>
      </c>
      <c r="K2132" s="20" t="inlineStr">
        <is>
          <t>Non-Captive</t>
        </is>
      </c>
      <c r="L2132" s="20" t="inlineStr">
        <is>
          <t>ATHUL RAJ</t>
        </is>
      </c>
      <c r="M2132" s="23" t="n">
        <v>5932.2</v>
      </c>
      <c r="N2132" s="23" t="n">
        <v>7000</v>
      </c>
      <c r="O2132" s="24">
        <f>IF(AND(ISNUMBER(M2132), ISNUMBER(I2132), I2132&gt;0), M2132/I2132, "")</f>
        <v/>
      </c>
    </row>
    <row r="2133">
      <c r="A2133" s="19" t="inlineStr">
        <is>
          <t>FY27</t>
        </is>
      </c>
      <c r="B2133" s="19" t="inlineStr">
        <is>
          <t>May</t>
        </is>
      </c>
      <c r="C2133" s="19" t="inlineStr">
        <is>
          <t>Kerala</t>
        </is>
      </c>
      <c r="D2133" s="20" t="inlineStr">
        <is>
          <t>KL33P3886</t>
        </is>
      </c>
      <c r="E2133" s="20" t="inlineStr">
        <is>
          <t>TATA</t>
        </is>
      </c>
      <c r="F2133" s="20" t="inlineStr">
        <is>
          <t>Tiago</t>
        </is>
      </c>
      <c r="G2133" s="21" t="n"/>
      <c r="H2133" s="22" t="n">
        <v>24000</v>
      </c>
      <c r="I2133" s="23" t="n">
        <v>417000</v>
      </c>
      <c r="J2133" s="20" t="inlineStr">
        <is>
          <t>GOKULAM TATA</t>
        </is>
      </c>
      <c r="K2133" s="20" t="inlineStr">
        <is>
          <t>Non-Captive</t>
        </is>
      </c>
      <c r="L2133" s="20" t="inlineStr">
        <is>
          <t>HORIZON CARS</t>
        </is>
      </c>
      <c r="M2133" s="23" t="n">
        <v>6779.66</v>
      </c>
      <c r="N2133" s="23" t="n">
        <v>8000</v>
      </c>
      <c r="O2133" s="24">
        <f>IF(AND(ISNUMBER(M2133), ISNUMBER(I2133), I2133&gt;0), M2133/I2133, "")</f>
        <v/>
      </c>
    </row>
    <row r="2134">
      <c r="A2134" s="19" t="inlineStr">
        <is>
          <t>FY27</t>
        </is>
      </c>
      <c r="B2134" s="19" t="inlineStr">
        <is>
          <t>May</t>
        </is>
      </c>
      <c r="C2134" s="19" t="inlineStr">
        <is>
          <t>Kerala</t>
        </is>
      </c>
      <c r="D2134" s="20" t="inlineStr">
        <is>
          <t>KL13AD3910</t>
        </is>
      </c>
      <c r="E2134" s="20" t="inlineStr">
        <is>
          <t>TATA</t>
        </is>
      </c>
      <c r="F2134" s="20" t="inlineStr">
        <is>
          <t>Zest</t>
        </is>
      </c>
      <c r="G2134" s="21" t="n"/>
      <c r="H2134" s="22" t="n">
        <v>100000</v>
      </c>
      <c r="I2134" s="23" t="n">
        <v>130000</v>
      </c>
      <c r="J2134" s="20" t="inlineStr">
        <is>
          <t>VASIL AUTOBOT</t>
        </is>
      </c>
      <c r="K2134" s="20" t="inlineStr">
        <is>
          <t>Non-Captive</t>
        </is>
      </c>
      <c r="L2134" s="20" t="inlineStr">
        <is>
          <t>POPULAR</t>
        </is>
      </c>
      <c r="M2134" s="23" t="n">
        <v>8474.58</v>
      </c>
      <c r="N2134" s="23" t="n">
        <v>10000</v>
      </c>
      <c r="O2134" s="24">
        <f>IF(AND(ISNUMBER(M2134), ISNUMBER(I2134), I2134&gt;0), M2134/I2134, "")</f>
        <v/>
      </c>
    </row>
    <row r="2135">
      <c r="A2135" s="19" t="inlineStr">
        <is>
          <t>FY27</t>
        </is>
      </c>
      <c r="B2135" s="19" t="inlineStr">
        <is>
          <t>May</t>
        </is>
      </c>
      <c r="C2135" s="19" t="inlineStr">
        <is>
          <t>Kerala</t>
        </is>
      </c>
      <c r="D2135" s="20" t="inlineStr">
        <is>
          <t>KL52F9121</t>
        </is>
      </c>
      <c r="E2135" s="20" t="inlineStr">
        <is>
          <t>MARUTI SUZUKI</t>
        </is>
      </c>
      <c r="F2135" s="20" t="inlineStr">
        <is>
          <t>Swift</t>
        </is>
      </c>
      <c r="G2135" s="21" t="n"/>
      <c r="H2135" s="22" t="n">
        <v>107000</v>
      </c>
      <c r="I2135" s="23" t="n">
        <v>230000</v>
      </c>
      <c r="J2135" s="20" t="inlineStr">
        <is>
          <t>RATHEESH</t>
        </is>
      </c>
      <c r="K2135" s="20" t="inlineStr">
        <is>
          <t>Non-Captive</t>
        </is>
      </c>
      <c r="L2135" s="20" t="inlineStr">
        <is>
          <t>POPULAR MARUTI</t>
        </is>
      </c>
      <c r="M2135" s="23" t="n">
        <v>8474.58</v>
      </c>
      <c r="N2135" s="23" t="n">
        <v>10000</v>
      </c>
      <c r="O2135" s="24">
        <f>IF(AND(ISNUMBER(M2135), ISNUMBER(I2135), I2135&gt;0), M2135/I2135, "")</f>
        <v/>
      </c>
    </row>
    <row r="2136">
      <c r="A2136" s="19" t="inlineStr">
        <is>
          <t>FY27</t>
        </is>
      </c>
      <c r="B2136" s="19" t="inlineStr">
        <is>
          <t>May</t>
        </is>
      </c>
      <c r="C2136" s="19" t="inlineStr">
        <is>
          <t>Kerala</t>
        </is>
      </c>
      <c r="D2136" s="20" t="inlineStr">
        <is>
          <t>KL55E2688</t>
        </is>
      </c>
      <c r="E2136" s="20" t="inlineStr">
        <is>
          <t>MARUTI SUZUKI</t>
        </is>
      </c>
      <c r="F2136" s="20" t="inlineStr">
        <is>
          <t>Alto</t>
        </is>
      </c>
      <c r="G2136" s="21" t="n"/>
      <c r="H2136" s="22" t="n">
        <v>110000</v>
      </c>
      <c r="I2136" s="23" t="n">
        <v>45000</v>
      </c>
      <c r="J2136" s="20" t="inlineStr">
        <is>
          <t>DELUX MOTORS</t>
        </is>
      </c>
      <c r="K2136" s="20" t="inlineStr">
        <is>
          <t>Non-Captive</t>
        </is>
      </c>
      <c r="L2136" s="20" t="inlineStr">
        <is>
          <t>POPULAR MARUTI</t>
        </is>
      </c>
      <c r="M2136" s="23" t="n">
        <v>13559.32</v>
      </c>
      <c r="N2136" s="23" t="n">
        <v>16000</v>
      </c>
      <c r="O2136" s="24">
        <f>IF(AND(ISNUMBER(M2136), ISNUMBER(I2136), I2136&gt;0), M2136/I2136, "")</f>
        <v/>
      </c>
    </row>
    <row r="2137">
      <c r="A2137" s="19" t="inlineStr">
        <is>
          <t>FY27</t>
        </is>
      </c>
      <c r="B2137" s="19" t="inlineStr">
        <is>
          <t>May</t>
        </is>
      </c>
      <c r="C2137" s="19" t="inlineStr">
        <is>
          <t>Kerala</t>
        </is>
      </c>
      <c r="D2137" s="20" t="inlineStr">
        <is>
          <t>KL57L3023</t>
        </is>
      </c>
      <c r="E2137" s="20" t="inlineStr">
        <is>
          <t>TATA</t>
        </is>
      </c>
      <c r="F2137" s="20" t="inlineStr">
        <is>
          <t>Nano</t>
        </is>
      </c>
      <c r="G2137" s="21" t="n"/>
      <c r="H2137" s="22" t="n">
        <v>100000</v>
      </c>
      <c r="I2137" s="23" t="n">
        <v>33000</v>
      </c>
      <c r="J2137" s="20" t="inlineStr">
        <is>
          <t>SAFARNAS</t>
        </is>
      </c>
      <c r="K2137" s="20" t="inlineStr">
        <is>
          <t>Non-Captive</t>
        </is>
      </c>
      <c r="L2137" s="20" t="inlineStr">
        <is>
          <t>POPULAR MARUTI</t>
        </is>
      </c>
      <c r="M2137" s="23" t="n">
        <v>4237.29</v>
      </c>
      <c r="N2137" s="23" t="n">
        <v>5000</v>
      </c>
      <c r="O2137" s="24">
        <f>IF(AND(ISNUMBER(M2137), ISNUMBER(I2137), I2137&gt;0), M2137/I2137, "")</f>
        <v/>
      </c>
    </row>
    <row r="2138">
      <c r="A2138" s="19" t="inlineStr">
        <is>
          <t>FY27</t>
        </is>
      </c>
      <c r="B2138" s="19" t="inlineStr">
        <is>
          <t>May</t>
        </is>
      </c>
      <c r="C2138" s="19" t="inlineStr">
        <is>
          <t>Kerala</t>
        </is>
      </c>
      <c r="D2138" s="20" t="inlineStr">
        <is>
          <t>KL711677</t>
        </is>
      </c>
      <c r="E2138" s="20" t="inlineStr">
        <is>
          <t>MARUTI SUZUKI</t>
        </is>
      </c>
      <c r="F2138" s="20" t="inlineStr">
        <is>
          <t>Swift</t>
        </is>
      </c>
      <c r="G2138" s="21" t="n"/>
      <c r="H2138" s="22" t="n">
        <v>74000</v>
      </c>
      <c r="I2138" s="23" t="n">
        <v>540000</v>
      </c>
      <c r="J2138" s="20" t="inlineStr">
        <is>
          <t>VASIL AUTOBOT</t>
        </is>
      </c>
      <c r="K2138" s="20" t="inlineStr">
        <is>
          <t>Non-Captive</t>
        </is>
      </c>
      <c r="L2138" s="20" t="inlineStr">
        <is>
          <t>BIMAL</t>
        </is>
      </c>
      <c r="M2138" s="23" t="n">
        <v>8474.58</v>
      </c>
      <c r="N2138" s="23" t="n">
        <v>10000</v>
      </c>
      <c r="O2138" s="24">
        <f>IF(AND(ISNUMBER(M2138), ISNUMBER(I2138), I2138&gt;0), M2138/I2138, "")</f>
        <v/>
      </c>
    </row>
    <row r="2139">
      <c r="A2139" s="19" t="inlineStr">
        <is>
          <t>FY27</t>
        </is>
      </c>
      <c r="B2139" s="19" t="inlineStr">
        <is>
          <t>May</t>
        </is>
      </c>
      <c r="C2139" s="19" t="inlineStr">
        <is>
          <t>Kerala</t>
        </is>
      </c>
      <c r="D2139" s="20" t="inlineStr">
        <is>
          <t>KL59G8036</t>
        </is>
      </c>
      <c r="E2139" s="20" t="inlineStr">
        <is>
          <t>MARUTI SUZUKI</t>
        </is>
      </c>
      <c r="F2139" s="20" t="inlineStr">
        <is>
          <t>Wagon R</t>
        </is>
      </c>
      <c r="G2139" s="21" t="n"/>
      <c r="H2139" s="22" t="n">
        <v>77000</v>
      </c>
      <c r="I2139" s="23" t="n">
        <v>200000</v>
      </c>
      <c r="J2139" s="20" t="inlineStr">
        <is>
          <t>SHAJEE CARS</t>
        </is>
      </c>
      <c r="K2139" s="20" t="inlineStr">
        <is>
          <t>Non-Captive</t>
        </is>
      </c>
      <c r="L2139" s="20" t="inlineStr">
        <is>
          <t>POPULAR MARUTI</t>
        </is>
      </c>
      <c r="M2139" s="23" t="n">
        <v>8474.58</v>
      </c>
      <c r="N2139" s="23" t="n">
        <v>10000</v>
      </c>
      <c r="O2139" s="24">
        <f>IF(AND(ISNUMBER(M2139), ISNUMBER(I2139), I2139&gt;0), M2139/I2139, "")</f>
        <v/>
      </c>
    </row>
    <row r="2140">
      <c r="A2140" s="19" t="inlineStr">
        <is>
          <t>FY27</t>
        </is>
      </c>
      <c r="B2140" s="19" t="inlineStr">
        <is>
          <t>May</t>
        </is>
      </c>
      <c r="C2140" s="19" t="inlineStr">
        <is>
          <t>Kerala</t>
        </is>
      </c>
      <c r="D2140" s="20" t="inlineStr">
        <is>
          <t>KL60F3018</t>
        </is>
      </c>
      <c r="E2140" s="20" t="inlineStr">
        <is>
          <t>MARUTI SUZUKI</t>
        </is>
      </c>
      <c r="F2140" s="20" t="inlineStr">
        <is>
          <t>Alto</t>
        </is>
      </c>
      <c r="G2140" s="21" t="n"/>
      <c r="H2140" s="22" t="n">
        <v>190000</v>
      </c>
      <c r="I2140" s="23" t="n">
        <v>115000</v>
      </c>
      <c r="J2140" s="20" t="inlineStr">
        <is>
          <t>SHAJEE CARS</t>
        </is>
      </c>
      <c r="K2140" s="20" t="inlineStr">
        <is>
          <t>Non-Captive</t>
        </is>
      </c>
      <c r="L2140" s="20" t="inlineStr">
        <is>
          <t>POPULAR MARUTI</t>
        </is>
      </c>
      <c r="M2140" s="23" t="n">
        <v>10169.49</v>
      </c>
      <c r="N2140" s="23" t="n">
        <v>12000</v>
      </c>
      <c r="O2140" s="24">
        <f>IF(AND(ISNUMBER(M2140), ISNUMBER(I2140), I2140&gt;0), M2140/I2140, "")</f>
        <v/>
      </c>
    </row>
    <row r="2141">
      <c r="A2141" s="19" t="inlineStr">
        <is>
          <t>FY27</t>
        </is>
      </c>
      <c r="B2141" s="19" t="inlineStr">
        <is>
          <t>May</t>
        </is>
      </c>
      <c r="C2141" s="19" t="inlineStr">
        <is>
          <t>Kerala</t>
        </is>
      </c>
      <c r="D2141" s="20" t="inlineStr">
        <is>
          <t>KL07CK8998</t>
        </is>
      </c>
      <c r="E2141" s="20" t="inlineStr">
        <is>
          <t>HONDA</t>
        </is>
      </c>
      <c r="F2141" s="20" t="inlineStr">
        <is>
          <t>Wr-V</t>
        </is>
      </c>
      <c r="G2141" s="21" t="n"/>
      <c r="H2141" s="22" t="n">
        <v>90569</v>
      </c>
      <c r="I2141" s="23" t="n">
        <v>410000</v>
      </c>
      <c r="J2141" s="20" t="inlineStr">
        <is>
          <t>JISHNU PRIYAN</t>
        </is>
      </c>
      <c r="K2141" s="20" t="inlineStr">
        <is>
          <t>Non-Captive</t>
        </is>
      </c>
      <c r="L2141" s="20" t="inlineStr">
        <is>
          <t>VISHNU M S</t>
        </is>
      </c>
      <c r="M2141" s="23" t="n">
        <v>10169.49</v>
      </c>
      <c r="N2141" s="23" t="n">
        <v>12000</v>
      </c>
      <c r="O2141" s="24">
        <f>IF(AND(ISNUMBER(M2141), ISNUMBER(I2141), I2141&gt;0), M2141/I2141, "")</f>
        <v/>
      </c>
    </row>
    <row r="2142">
      <c r="A2142" s="19" t="inlineStr">
        <is>
          <t>FY27</t>
        </is>
      </c>
      <c r="B2142" s="19" t="inlineStr">
        <is>
          <t>May</t>
        </is>
      </c>
      <c r="C2142" s="19" t="inlineStr">
        <is>
          <t>Kerala</t>
        </is>
      </c>
      <c r="D2142" s="20" t="inlineStr">
        <is>
          <t>KL27D3926</t>
        </is>
      </c>
      <c r="E2142" s="20" t="inlineStr">
        <is>
          <t>MARUTI SUZUKI</t>
        </is>
      </c>
      <c r="F2142" s="20" t="inlineStr">
        <is>
          <t>Wagon R</t>
        </is>
      </c>
      <c r="G2142" s="21" t="n"/>
      <c r="H2142" s="22" t="n">
        <v>78688</v>
      </c>
      <c r="I2142" s="23" t="n">
        <v>160000</v>
      </c>
      <c r="J2142" s="20" t="inlineStr">
        <is>
          <t>AMRITH V CHANDY</t>
        </is>
      </c>
      <c r="K2142" s="20" t="inlineStr">
        <is>
          <t>Non-Captive</t>
        </is>
      </c>
      <c r="L2142" s="20" t="inlineStr">
        <is>
          <t>DREAM DRIVE</t>
        </is>
      </c>
      <c r="M2142" s="23" t="n">
        <v>9322.030000000001</v>
      </c>
      <c r="N2142" s="23" t="n">
        <v>11000</v>
      </c>
      <c r="O2142" s="24">
        <f>IF(AND(ISNUMBER(M2142), ISNUMBER(I2142), I2142&gt;0), M2142/I2142, "")</f>
        <v/>
      </c>
    </row>
    <row r="2143">
      <c r="A2143" s="19" t="inlineStr">
        <is>
          <t>FY27</t>
        </is>
      </c>
      <c r="B2143" s="19" t="inlineStr">
        <is>
          <t>May</t>
        </is>
      </c>
      <c r="C2143" s="19" t="inlineStr">
        <is>
          <t>Kerala</t>
        </is>
      </c>
      <c r="D2143" s="20" t="inlineStr">
        <is>
          <t>KL08BQ6760</t>
        </is>
      </c>
      <c r="E2143" s="20" t="inlineStr">
        <is>
          <t>NISSAN</t>
        </is>
      </c>
      <c r="F2143" s="20" t="inlineStr">
        <is>
          <t>Redi-Go</t>
        </is>
      </c>
      <c r="G2143" s="21" t="n"/>
      <c r="H2143" s="22" t="n">
        <v>36500</v>
      </c>
      <c r="I2143" s="23" t="n">
        <v>170000</v>
      </c>
      <c r="J2143" s="20" t="inlineStr">
        <is>
          <t>PINNACLE WHEELS PVT LTD</t>
        </is>
      </c>
      <c r="K2143" s="20" t="inlineStr">
        <is>
          <t>Non-Captive</t>
        </is>
      </c>
      <c r="L2143" s="20" t="inlineStr">
        <is>
          <t>UMESHKUMAR T U</t>
        </is>
      </c>
      <c r="M2143" s="23" t="n">
        <v>8474.58</v>
      </c>
      <c r="N2143" s="23" t="n">
        <v>10000</v>
      </c>
      <c r="O2143" s="24">
        <f>IF(AND(ISNUMBER(M2143), ISNUMBER(I2143), I2143&gt;0), M2143/I2143, "")</f>
        <v/>
      </c>
    </row>
    <row r="2144">
      <c r="A2144" s="19" t="inlineStr">
        <is>
          <t>FY27</t>
        </is>
      </c>
      <c r="B2144" s="19" t="inlineStr">
        <is>
          <t>May</t>
        </is>
      </c>
      <c r="C2144" s="19" t="inlineStr">
        <is>
          <t>Kerala</t>
        </is>
      </c>
      <c r="D2144" s="20" t="inlineStr">
        <is>
          <t>KL36B6149</t>
        </is>
      </c>
      <c r="E2144" s="20" t="inlineStr">
        <is>
          <t>HYUNDAI</t>
        </is>
      </c>
      <c r="F2144" s="20" t="inlineStr">
        <is>
          <t>I20</t>
        </is>
      </c>
      <c r="G2144" s="21" t="n"/>
      <c r="H2144" s="22" t="n">
        <v>108246</v>
      </c>
      <c r="I2144" s="23" t="n">
        <v>75000</v>
      </c>
      <c r="J2144" s="20" t="inlineStr">
        <is>
          <t>POPULAR MARUTI</t>
        </is>
      </c>
      <c r="K2144" s="20" t="inlineStr">
        <is>
          <t>Non-Captive</t>
        </is>
      </c>
      <c r="L2144" s="20" t="inlineStr">
        <is>
          <t>JOSHY K U</t>
        </is>
      </c>
      <c r="M2144" s="23" t="n">
        <v>6779.66</v>
      </c>
      <c r="N2144" s="23" t="n">
        <v>8000</v>
      </c>
      <c r="O2144" s="24">
        <f>IF(AND(ISNUMBER(M2144), ISNUMBER(I2144), I2144&gt;0), M2144/I2144, "")</f>
        <v/>
      </c>
    </row>
    <row r="2145">
      <c r="A2145" s="19" t="inlineStr">
        <is>
          <t>FY27</t>
        </is>
      </c>
      <c r="B2145" s="19" t="inlineStr">
        <is>
          <t>May</t>
        </is>
      </c>
      <c r="C2145" s="19" t="inlineStr">
        <is>
          <t>Kerala</t>
        </is>
      </c>
      <c r="D2145" s="20" t="inlineStr">
        <is>
          <t>KL59H3826</t>
        </is>
      </c>
      <c r="E2145" s="20" t="inlineStr">
        <is>
          <t>HYUNDAI</t>
        </is>
      </c>
      <c r="F2145" s="20" t="inlineStr">
        <is>
          <t>I10</t>
        </is>
      </c>
      <c r="G2145" s="21" t="n"/>
      <c r="H2145" s="22" t="n">
        <v>100000</v>
      </c>
      <c r="I2145" s="23" t="n">
        <v>90000</v>
      </c>
      <c r="J2145" s="20" t="inlineStr">
        <is>
          <t>SABITH</t>
        </is>
      </c>
      <c r="K2145" s="20" t="inlineStr">
        <is>
          <t>Non-Captive</t>
        </is>
      </c>
      <c r="L2145" s="20" t="inlineStr">
        <is>
          <t>APCO HYUNDAI</t>
        </is>
      </c>
      <c r="M2145" s="23" t="n">
        <v>4237.29</v>
      </c>
      <c r="N2145" s="23" t="n">
        <v>5000</v>
      </c>
      <c r="O2145" s="24">
        <f>IF(AND(ISNUMBER(M2145), ISNUMBER(I2145), I2145&gt;0), M2145/I2145, "")</f>
        <v/>
      </c>
    </row>
    <row r="2146">
      <c r="A2146" s="19" t="inlineStr">
        <is>
          <t>FY27</t>
        </is>
      </c>
      <c r="B2146" s="19" t="inlineStr">
        <is>
          <t>May</t>
        </is>
      </c>
      <c r="C2146" s="19" t="inlineStr">
        <is>
          <t>Kerala</t>
        </is>
      </c>
      <c r="D2146" s="20" t="inlineStr">
        <is>
          <t>KL13AH1360</t>
        </is>
      </c>
      <c r="E2146" s="20" t="inlineStr">
        <is>
          <t>HYUNDAI</t>
        </is>
      </c>
      <c r="F2146" s="20" t="inlineStr">
        <is>
          <t>Creta</t>
        </is>
      </c>
      <c r="G2146" s="21" t="n"/>
      <c r="H2146" s="22" t="n">
        <v>44000</v>
      </c>
      <c r="I2146" s="23" t="n">
        <v>560000</v>
      </c>
      <c r="J2146" s="20" t="inlineStr">
        <is>
          <t>VASIL AUTOBOT</t>
        </is>
      </c>
      <c r="K2146" s="20" t="inlineStr">
        <is>
          <t>Non-Captive</t>
        </is>
      </c>
      <c r="L2146" s="20" t="inlineStr">
        <is>
          <t>AMANA TOYOTA</t>
        </is>
      </c>
      <c r="M2146" s="23" t="n">
        <v>8474.58</v>
      </c>
      <c r="N2146" s="23" t="n">
        <v>10000</v>
      </c>
      <c r="O2146" s="24">
        <f>IF(AND(ISNUMBER(M2146), ISNUMBER(I2146), I2146&gt;0), M2146/I2146, "")</f>
        <v/>
      </c>
    </row>
    <row r="2147">
      <c r="A2147" s="19" t="inlineStr">
        <is>
          <t>FY27</t>
        </is>
      </c>
      <c r="B2147" s="19" t="inlineStr">
        <is>
          <t>May</t>
        </is>
      </c>
      <c r="C2147" s="19" t="inlineStr">
        <is>
          <t>Kerala</t>
        </is>
      </c>
      <c r="D2147" s="20" t="inlineStr">
        <is>
          <t>KL08S1909</t>
        </is>
      </c>
      <c r="E2147" s="20" t="inlineStr">
        <is>
          <t>MARUTI SUZUKI</t>
        </is>
      </c>
      <c r="F2147" s="20" t="inlineStr">
        <is>
          <t>M800</t>
        </is>
      </c>
      <c r="G2147" s="21" t="n"/>
      <c r="H2147" s="22" t="n">
        <v>150000</v>
      </c>
      <c r="I2147" s="23" t="n">
        <v>25000</v>
      </c>
      <c r="J2147" s="20" t="inlineStr">
        <is>
          <t>ASAMS M SUNNY</t>
        </is>
      </c>
      <c r="K2147" s="20" t="inlineStr">
        <is>
          <t>Non-Captive</t>
        </is>
      </c>
      <c r="L2147" s="20" t="inlineStr">
        <is>
          <t>UCD NIDHEESH</t>
        </is>
      </c>
      <c r="M2147" s="23" t="n">
        <v>4237.29</v>
      </c>
      <c r="N2147" s="23" t="n">
        <v>5000</v>
      </c>
      <c r="O2147" s="24">
        <f>IF(AND(ISNUMBER(M2147), ISNUMBER(I2147), I2147&gt;0), M2147/I2147, "")</f>
        <v/>
      </c>
    </row>
    <row r="2148">
      <c r="A2148" s="19" t="inlineStr">
        <is>
          <t>FY27</t>
        </is>
      </c>
      <c r="B2148" s="19" t="inlineStr">
        <is>
          <t>May</t>
        </is>
      </c>
      <c r="C2148" s="19" t="inlineStr">
        <is>
          <t>Kerala</t>
        </is>
      </c>
      <c r="D2148" s="20" t="inlineStr">
        <is>
          <t>KL58E0124</t>
        </is>
      </c>
      <c r="E2148" s="20" t="inlineStr">
        <is>
          <t>MARUTI SUZUKI</t>
        </is>
      </c>
      <c r="F2148" s="20" t="inlineStr">
        <is>
          <t>Wagon R</t>
        </is>
      </c>
      <c r="G2148" s="21" t="n"/>
      <c r="H2148" s="22" t="n">
        <v>59000</v>
      </c>
      <c r="I2148" s="23" t="n">
        <v>150000</v>
      </c>
      <c r="J2148" s="20" t="inlineStr">
        <is>
          <t>VASIL AUTOBOT</t>
        </is>
      </c>
      <c r="K2148" s="20" t="inlineStr">
        <is>
          <t>Non-Captive</t>
        </is>
      </c>
      <c r="L2148" s="20" t="inlineStr">
        <is>
          <t>UCD NIDIHIN</t>
        </is>
      </c>
      <c r="M2148" s="23" t="n">
        <v>8474.58</v>
      </c>
      <c r="N2148" s="23" t="n">
        <v>10000</v>
      </c>
      <c r="O2148" s="24">
        <f>IF(AND(ISNUMBER(M2148), ISNUMBER(I2148), I2148&gt;0), M2148/I2148, "")</f>
        <v/>
      </c>
    </row>
    <row r="2149">
      <c r="A2149" s="19" t="inlineStr">
        <is>
          <t>FY27</t>
        </is>
      </c>
      <c r="B2149" s="19" t="inlineStr">
        <is>
          <t>May</t>
        </is>
      </c>
      <c r="C2149" s="19" t="inlineStr">
        <is>
          <t>Kerala</t>
        </is>
      </c>
      <c r="D2149" s="20" t="inlineStr">
        <is>
          <t>KL02AA3960</t>
        </is>
      </c>
      <c r="E2149" s="20" t="inlineStr">
        <is>
          <t>MARUTI SUZUKI</t>
        </is>
      </c>
      <c r="F2149" s="20" t="inlineStr">
        <is>
          <t>Swift</t>
        </is>
      </c>
      <c r="G2149" s="21" t="n"/>
      <c r="H2149" s="22" t="n">
        <v>195585</v>
      </c>
      <c r="I2149" s="23" t="n">
        <v>100000</v>
      </c>
      <c r="J2149" s="20" t="inlineStr">
        <is>
          <t>POPULAR MARUTI</t>
        </is>
      </c>
      <c r="K2149" s="20" t="inlineStr">
        <is>
          <t>Non-Captive</t>
        </is>
      </c>
      <c r="L2149" s="20" t="inlineStr">
        <is>
          <t>AITOS CARS</t>
        </is>
      </c>
      <c r="M2149" s="23" t="n">
        <v>8474.58</v>
      </c>
      <c r="N2149" s="23" t="n">
        <v>10000</v>
      </c>
      <c r="O2149" s="24">
        <f>IF(AND(ISNUMBER(M2149), ISNUMBER(I2149), I2149&gt;0), M2149/I2149, "")</f>
        <v/>
      </c>
    </row>
    <row r="2150">
      <c r="A2150" s="19" t="inlineStr">
        <is>
          <t>FY27</t>
        </is>
      </c>
      <c r="B2150" s="19" t="inlineStr">
        <is>
          <t>May</t>
        </is>
      </c>
      <c r="C2150" s="19" t="inlineStr">
        <is>
          <t>Kerala</t>
        </is>
      </c>
      <c r="D2150" s="20" t="inlineStr">
        <is>
          <t>KL38K9417</t>
        </is>
      </c>
      <c r="E2150" s="20" t="inlineStr">
        <is>
          <t>TATA</t>
        </is>
      </c>
      <c r="F2150" s="20" t="inlineStr">
        <is>
          <t>Tiago Ev</t>
        </is>
      </c>
      <c r="G2150" s="21" t="n"/>
      <c r="H2150" s="22" t="n">
        <v>59775</v>
      </c>
      <c r="I2150" s="23" t="n">
        <v>613000</v>
      </c>
      <c r="J2150" s="20" t="inlineStr">
        <is>
          <t>EVM CITROEN</t>
        </is>
      </c>
      <c r="K2150" s="20" t="inlineStr">
        <is>
          <t>Non-Captive</t>
        </is>
      </c>
      <c r="L2150" s="20" t="inlineStr">
        <is>
          <t>AITOS CARS</t>
        </is>
      </c>
      <c r="M2150" s="23" t="n">
        <v>10169.49</v>
      </c>
      <c r="N2150" s="23" t="n">
        <v>12000</v>
      </c>
      <c r="O2150" s="24">
        <f>IF(AND(ISNUMBER(M2150), ISNUMBER(I2150), I2150&gt;0), M2150/I2150, "")</f>
        <v/>
      </c>
    </row>
    <row r="2151">
      <c r="A2151" s="19" t="inlineStr">
        <is>
          <t>FY27</t>
        </is>
      </c>
      <c r="B2151" s="19" t="inlineStr">
        <is>
          <t>May</t>
        </is>
      </c>
      <c r="C2151" s="19" t="inlineStr">
        <is>
          <t>Kerala</t>
        </is>
      </c>
      <c r="D2151" s="20" t="inlineStr">
        <is>
          <t>KL41T1195</t>
        </is>
      </c>
      <c r="E2151" s="20" t="inlineStr">
        <is>
          <t>TATA</t>
        </is>
      </c>
      <c r="F2151" s="20" t="inlineStr">
        <is>
          <t>Nexon</t>
        </is>
      </c>
      <c r="G2151" s="21" t="n"/>
      <c r="H2151" s="22" t="n">
        <v>76000</v>
      </c>
      <c r="I2151" s="23" t="n">
        <v>590000</v>
      </c>
      <c r="J2151" s="20" t="inlineStr">
        <is>
          <t>VOLKSWAGEN PHOENIX</t>
        </is>
      </c>
      <c r="K2151" s="20" t="inlineStr">
        <is>
          <t>Non-Captive</t>
        </is>
      </c>
      <c r="L2151" s="20" t="inlineStr">
        <is>
          <t>HORIZON CARS</t>
        </is>
      </c>
      <c r="M2151" s="23" t="n">
        <v>8474.58</v>
      </c>
      <c r="N2151" s="23" t="n">
        <v>10000</v>
      </c>
      <c r="O2151" s="24">
        <f>IF(AND(ISNUMBER(M2151), ISNUMBER(I2151), I2151&gt;0), M2151/I2151, "")</f>
        <v/>
      </c>
    </row>
    <row r="2152">
      <c r="A2152" s="19" t="inlineStr">
        <is>
          <t>FY27</t>
        </is>
      </c>
      <c r="B2152" s="19" t="inlineStr">
        <is>
          <t>May</t>
        </is>
      </c>
      <c r="C2152" s="19" t="inlineStr">
        <is>
          <t>Kerala</t>
        </is>
      </c>
      <c r="D2152" s="20" t="inlineStr">
        <is>
          <t>KL07CX7116</t>
        </is>
      </c>
      <c r="E2152" s="20" t="inlineStr">
        <is>
          <t>MARUTI SUZUKI</t>
        </is>
      </c>
      <c r="F2152" s="20" t="inlineStr">
        <is>
          <t>S-Presso</t>
        </is>
      </c>
      <c r="G2152" s="21" t="n"/>
      <c r="H2152" s="22" t="n">
        <v>25010</v>
      </c>
      <c r="I2152" s="23" t="n">
        <v>340000</v>
      </c>
      <c r="J2152" s="20" t="inlineStr">
        <is>
          <t>INCHEON KIA</t>
        </is>
      </c>
      <c r="K2152" s="20" t="inlineStr">
        <is>
          <t>Non-Captive</t>
        </is>
      </c>
      <c r="L2152" s="20" t="inlineStr">
        <is>
          <t>VTJ</t>
        </is>
      </c>
      <c r="M2152" s="23" t="n">
        <v>8474.58</v>
      </c>
      <c r="N2152" s="23" t="n">
        <v>10000</v>
      </c>
      <c r="O2152" s="24">
        <f>IF(AND(ISNUMBER(M2152), ISNUMBER(I2152), I2152&gt;0), M2152/I2152, "")</f>
        <v/>
      </c>
    </row>
    <row r="2153">
      <c r="A2153" s="19" t="inlineStr">
        <is>
          <t>FY27</t>
        </is>
      </c>
      <c r="B2153" s="19" t="inlineStr">
        <is>
          <t>May</t>
        </is>
      </c>
      <c r="C2153" s="19" t="inlineStr">
        <is>
          <t>Kerala</t>
        </is>
      </c>
      <c r="D2153" s="20" t="inlineStr">
        <is>
          <t>KL01BZ0892</t>
        </is>
      </c>
      <c r="E2153" s="20" t="inlineStr">
        <is>
          <t>RENAULT</t>
        </is>
      </c>
      <c r="F2153" s="20" t="inlineStr">
        <is>
          <t>Kwid</t>
        </is>
      </c>
      <c r="G2153" s="21" t="n"/>
      <c r="H2153" s="22" t="n">
        <v>14300</v>
      </c>
      <c r="I2153" s="23" t="n">
        <v>130000</v>
      </c>
      <c r="J2153" s="20" t="inlineStr">
        <is>
          <t>KESHVIN HYUNDAI</t>
        </is>
      </c>
      <c r="K2153" s="20" t="inlineStr">
        <is>
          <t>Non-Captive</t>
        </is>
      </c>
      <c r="L2153" s="20" t="inlineStr">
        <is>
          <t>RAFEEK T A</t>
        </is>
      </c>
      <c r="M2153" s="23" t="n">
        <v>10169.49</v>
      </c>
      <c r="N2153" s="23" t="n">
        <v>12000</v>
      </c>
      <c r="O2153" s="24">
        <f>IF(AND(ISNUMBER(M2153), ISNUMBER(I2153), I2153&gt;0), M2153/I2153, "")</f>
        <v/>
      </c>
    </row>
    <row r="2154">
      <c r="A2154" s="19" t="inlineStr">
        <is>
          <t>FY27</t>
        </is>
      </c>
      <c r="B2154" s="19" t="inlineStr">
        <is>
          <t>May</t>
        </is>
      </c>
      <c r="C2154" s="19" t="inlineStr">
        <is>
          <t>Kerala</t>
        </is>
      </c>
      <c r="D2154" s="20" t="inlineStr">
        <is>
          <t>KL45L1892</t>
        </is>
      </c>
      <c r="E2154" s="20" t="inlineStr">
        <is>
          <t>HYUNDAI</t>
        </is>
      </c>
      <c r="F2154" s="20" t="inlineStr">
        <is>
          <t>Eon</t>
        </is>
      </c>
      <c r="G2154" s="21" t="n"/>
      <c r="H2154" s="22" t="n">
        <v>84800</v>
      </c>
      <c r="I2154" s="23" t="n">
        <v>125000</v>
      </c>
      <c r="J2154" s="20" t="inlineStr">
        <is>
          <t>EVM CITROEN</t>
        </is>
      </c>
      <c r="K2154" s="20" t="inlineStr">
        <is>
          <t>Non-Captive</t>
        </is>
      </c>
      <c r="L2154" s="20" t="inlineStr">
        <is>
          <t>UMESHKUMAR T U</t>
        </is>
      </c>
      <c r="M2154" s="23" t="n">
        <v>8474.58</v>
      </c>
      <c r="N2154" s="23" t="n">
        <v>10000</v>
      </c>
      <c r="O2154" s="24">
        <f>IF(AND(ISNUMBER(M2154), ISNUMBER(I2154), I2154&gt;0), M2154/I2154, "")</f>
        <v/>
      </c>
    </row>
    <row r="2155">
      <c r="A2155" s="19" t="inlineStr">
        <is>
          <t>FY27</t>
        </is>
      </c>
      <c r="B2155" s="19" t="inlineStr">
        <is>
          <t>May</t>
        </is>
      </c>
      <c r="C2155" s="19" t="inlineStr">
        <is>
          <t>Kerala</t>
        </is>
      </c>
      <c r="D2155" s="20" t="inlineStr">
        <is>
          <t>KL44E4315</t>
        </is>
      </c>
      <c r="E2155" s="20" t="inlineStr">
        <is>
          <t>RENAULT</t>
        </is>
      </c>
      <c r="F2155" s="20" t="inlineStr">
        <is>
          <t>Kwid</t>
        </is>
      </c>
      <c r="G2155" s="21" t="n"/>
      <c r="H2155" s="22" t="n">
        <v>56852</v>
      </c>
      <c r="I2155" s="23" t="n">
        <v>170000</v>
      </c>
      <c r="J2155" s="20" t="inlineStr">
        <is>
          <t>KESHVIN HYUNDAI</t>
        </is>
      </c>
      <c r="K2155" s="20" t="inlineStr">
        <is>
          <t>Non-Captive</t>
        </is>
      </c>
      <c r="L2155" s="20" t="inlineStr">
        <is>
          <t>ABDUL SALAM K K</t>
        </is>
      </c>
      <c r="M2155" s="23" t="n">
        <v>8474.58</v>
      </c>
      <c r="N2155" s="23" t="n">
        <v>10000</v>
      </c>
      <c r="O2155" s="24">
        <f>IF(AND(ISNUMBER(M2155), ISNUMBER(I2155), I2155&gt;0), M2155/I2155, "")</f>
        <v/>
      </c>
    </row>
    <row r="2156">
      <c r="A2156" s="19" t="inlineStr">
        <is>
          <t>FY27</t>
        </is>
      </c>
      <c r="B2156" s="19" t="inlineStr">
        <is>
          <t>May</t>
        </is>
      </c>
      <c r="C2156" s="19" t="inlineStr">
        <is>
          <t>Kerala</t>
        </is>
      </c>
      <c r="D2156" s="20" t="inlineStr">
        <is>
          <t>KL43G9700</t>
        </is>
      </c>
      <c r="E2156" s="20" t="inlineStr">
        <is>
          <t>RENAULT</t>
        </is>
      </c>
      <c r="F2156" s="20" t="inlineStr">
        <is>
          <t>Duster</t>
        </is>
      </c>
      <c r="G2156" s="21" t="n"/>
      <c r="H2156" s="22" t="n">
        <v>221000</v>
      </c>
      <c r="I2156" s="23" t="n">
        <v>200000</v>
      </c>
      <c r="J2156" s="20" t="inlineStr">
        <is>
          <t>JISHNU PRIYAN</t>
        </is>
      </c>
      <c r="K2156" s="20" t="inlineStr">
        <is>
          <t>Non-Captive</t>
        </is>
      </c>
      <c r="L2156" s="20" t="inlineStr">
        <is>
          <t>DINESH P S</t>
        </is>
      </c>
      <c r="M2156" s="23" t="n">
        <v>10169.49</v>
      </c>
      <c r="N2156" s="23" t="n">
        <v>12000</v>
      </c>
      <c r="O2156" s="24">
        <f>IF(AND(ISNUMBER(M2156), ISNUMBER(I2156), I2156&gt;0), M2156/I2156, "")</f>
        <v/>
      </c>
    </row>
    <row r="2157">
      <c r="A2157" s="19" t="inlineStr">
        <is>
          <t>FY27</t>
        </is>
      </c>
      <c r="B2157" s="19" t="inlineStr">
        <is>
          <t>May</t>
        </is>
      </c>
      <c r="C2157" s="19" t="inlineStr">
        <is>
          <t>Kerala</t>
        </is>
      </c>
      <c r="D2157" s="20" t="inlineStr">
        <is>
          <t>KL60G3279</t>
        </is>
      </c>
      <c r="E2157" s="20" t="inlineStr">
        <is>
          <t>MARUTI SUZUKI</t>
        </is>
      </c>
      <c r="F2157" s="20" t="inlineStr">
        <is>
          <t>Swift</t>
        </is>
      </c>
      <c r="G2157" s="21" t="n"/>
      <c r="H2157" s="22" t="n">
        <v>89000</v>
      </c>
      <c r="I2157" s="23" t="n">
        <v>250000</v>
      </c>
      <c r="J2157" s="20" t="inlineStr">
        <is>
          <t>MARVEL MOTORS</t>
        </is>
      </c>
      <c r="K2157" s="20" t="inlineStr">
        <is>
          <t>Non-Captive</t>
        </is>
      </c>
      <c r="L2157" s="20" t="inlineStr">
        <is>
          <t>POPULAR MARUTI</t>
        </is>
      </c>
      <c r="M2157" s="23" t="n">
        <v>8474.58</v>
      </c>
      <c r="N2157" s="23" t="n">
        <v>10000</v>
      </c>
      <c r="O2157" s="24">
        <f>IF(AND(ISNUMBER(M2157), ISNUMBER(I2157), I2157&gt;0), M2157/I2157, "")</f>
        <v/>
      </c>
    </row>
    <row r="2158">
      <c r="A2158" s="19" t="inlineStr">
        <is>
          <t>FY27</t>
        </is>
      </c>
      <c r="B2158" s="19" t="inlineStr">
        <is>
          <t>May</t>
        </is>
      </c>
      <c r="C2158" s="19" t="inlineStr">
        <is>
          <t>Kerala</t>
        </is>
      </c>
      <c r="D2158" s="20" t="inlineStr">
        <is>
          <t>PY035995</t>
        </is>
      </c>
      <c r="E2158" s="20" t="inlineStr">
        <is>
          <t>HONDA</t>
        </is>
      </c>
      <c r="F2158" s="20" t="inlineStr">
        <is>
          <t>Amaze</t>
        </is>
      </c>
      <c r="G2158" s="21" t="n"/>
      <c r="H2158" s="22" t="n">
        <v>68000</v>
      </c>
      <c r="I2158" s="23" t="n">
        <v>230000</v>
      </c>
      <c r="J2158" s="20" t="inlineStr">
        <is>
          <t>SANOOP</t>
        </is>
      </c>
      <c r="K2158" s="20" t="inlineStr">
        <is>
          <t>Non-Captive</t>
        </is>
      </c>
      <c r="L2158" s="20" t="inlineStr">
        <is>
          <t>MARVEL CARS</t>
        </is>
      </c>
      <c r="M2158" s="23" t="n">
        <v>5084.75</v>
      </c>
      <c r="N2158" s="23" t="n">
        <v>6000</v>
      </c>
      <c r="O2158" s="24">
        <f>IF(AND(ISNUMBER(M2158), ISNUMBER(I2158), I2158&gt;0), M2158/I2158, "")</f>
        <v/>
      </c>
    </row>
    <row r="2159">
      <c r="A2159" s="19" t="inlineStr">
        <is>
          <t>FY27</t>
        </is>
      </c>
      <c r="B2159" s="19" t="inlineStr">
        <is>
          <t>May</t>
        </is>
      </c>
      <c r="C2159" s="19" t="inlineStr">
        <is>
          <t>Kerala</t>
        </is>
      </c>
      <c r="D2159" s="20" t="inlineStr">
        <is>
          <t>KL58V9077</t>
        </is>
      </c>
      <c r="E2159" s="20" t="inlineStr">
        <is>
          <t>MARUTI SUZUKI</t>
        </is>
      </c>
      <c r="F2159" s="20" t="inlineStr">
        <is>
          <t>Alto</t>
        </is>
      </c>
      <c r="G2159" s="21" t="n"/>
      <c r="H2159" s="22" t="n">
        <v>68000</v>
      </c>
      <c r="I2159" s="23" t="n">
        <v>165000</v>
      </c>
      <c r="J2159" s="20" t="inlineStr">
        <is>
          <t>NITHEESH</t>
        </is>
      </c>
      <c r="K2159" s="20" t="inlineStr">
        <is>
          <t>Non-Captive</t>
        </is>
      </c>
      <c r="L2159" s="20" t="inlineStr">
        <is>
          <t>INDUS MARUTI</t>
        </is>
      </c>
      <c r="M2159" s="23" t="n">
        <v>4237.29</v>
      </c>
      <c r="N2159" s="23" t="n">
        <v>5000</v>
      </c>
      <c r="O2159" s="24">
        <f>IF(AND(ISNUMBER(M2159), ISNUMBER(I2159), I2159&gt;0), M2159/I2159, "")</f>
        <v/>
      </c>
    </row>
    <row r="2160">
      <c r="A2160" s="19" t="inlineStr">
        <is>
          <t>FY27</t>
        </is>
      </c>
      <c r="B2160" s="19" t="inlineStr">
        <is>
          <t>May</t>
        </is>
      </c>
      <c r="C2160" s="19" t="inlineStr">
        <is>
          <t>Kerala</t>
        </is>
      </c>
      <c r="D2160" s="20" t="inlineStr">
        <is>
          <t>KL12H1796</t>
        </is>
      </c>
      <c r="E2160" s="20" t="inlineStr">
        <is>
          <t>RENAULT</t>
        </is>
      </c>
      <c r="F2160" s="20" t="inlineStr">
        <is>
          <t>Scala</t>
        </is>
      </c>
      <c r="G2160" s="21" t="n"/>
      <c r="H2160" s="22" t="n">
        <v>70000</v>
      </c>
      <c r="I2160" s="23" t="n">
        <v>200000</v>
      </c>
      <c r="J2160" s="20" t="inlineStr">
        <is>
          <t>ASAMS M SUNNY</t>
        </is>
      </c>
      <c r="K2160" s="20" t="inlineStr">
        <is>
          <t>Non-Captive</t>
        </is>
      </c>
      <c r="L2160" s="20" t="inlineStr">
        <is>
          <t>MARVEL CARS</t>
        </is>
      </c>
      <c r="M2160" s="23" t="n">
        <v>4237.29</v>
      </c>
      <c r="N2160" s="23" t="n">
        <v>5000</v>
      </c>
      <c r="O2160" s="24">
        <f>IF(AND(ISNUMBER(M2160), ISNUMBER(I2160), I2160&gt;0), M2160/I2160, "")</f>
        <v/>
      </c>
    </row>
    <row r="2161">
      <c r="A2161" s="19" t="inlineStr">
        <is>
          <t>FY27</t>
        </is>
      </c>
      <c r="B2161" s="19" t="inlineStr">
        <is>
          <t>May</t>
        </is>
      </c>
      <c r="C2161" s="19" t="inlineStr">
        <is>
          <t>Kerala</t>
        </is>
      </c>
      <c r="D2161" s="20" t="inlineStr">
        <is>
          <t>KL63H5001</t>
        </is>
      </c>
      <c r="E2161" s="20" t="inlineStr">
        <is>
          <t>MAHINDRA</t>
        </is>
      </c>
      <c r="F2161" s="20" t="inlineStr">
        <is>
          <t>Xuv300</t>
        </is>
      </c>
      <c r="G2161" s="21" t="n"/>
      <c r="H2161" s="22" t="n">
        <v>114000</v>
      </c>
      <c r="I2161" s="23" t="n">
        <v>590000</v>
      </c>
      <c r="J2161" s="20" t="inlineStr">
        <is>
          <t>MARVEL MOTORS</t>
        </is>
      </c>
      <c r="K2161" s="20" t="inlineStr">
        <is>
          <t>Non-Captive</t>
        </is>
      </c>
      <c r="L2161" s="20" t="inlineStr">
        <is>
          <t>ERAM MAHINDRA</t>
        </is>
      </c>
      <c r="M2161" s="23" t="n">
        <v>8474.58</v>
      </c>
      <c r="N2161" s="23" t="n">
        <v>10000</v>
      </c>
      <c r="O2161" s="24">
        <f>IF(AND(ISNUMBER(M2161), ISNUMBER(I2161), I2161&gt;0), M2161/I2161, "")</f>
        <v/>
      </c>
    </row>
    <row r="2162">
      <c r="A2162" s="19" t="inlineStr">
        <is>
          <t>FY27</t>
        </is>
      </c>
      <c r="B2162" s="19" t="inlineStr">
        <is>
          <t>May</t>
        </is>
      </c>
      <c r="C2162" s="19" t="inlineStr">
        <is>
          <t>Kerala</t>
        </is>
      </c>
      <c r="D2162" s="20" t="inlineStr">
        <is>
          <t>KL58Y9480</t>
        </is>
      </c>
      <c r="E2162" s="20" t="inlineStr">
        <is>
          <t>DATSUN</t>
        </is>
      </c>
      <c r="F2162" s="20" t="inlineStr">
        <is>
          <t>Go Plus</t>
        </is>
      </c>
      <c r="G2162" s="21" t="n"/>
      <c r="H2162" s="22" t="n">
        <v>59000</v>
      </c>
      <c r="I2162" s="23" t="n">
        <v>130000</v>
      </c>
      <c r="J2162" s="20" t="inlineStr">
        <is>
          <t>SANOOP</t>
        </is>
      </c>
      <c r="K2162" s="20" t="inlineStr">
        <is>
          <t>Non-Captive</t>
        </is>
      </c>
      <c r="L2162" s="20" t="inlineStr">
        <is>
          <t>MARVEL CARS</t>
        </is>
      </c>
      <c r="M2162" s="23" t="n">
        <v>4237.29</v>
      </c>
      <c r="N2162" s="23" t="n">
        <v>5000</v>
      </c>
      <c r="O2162" s="24">
        <f>IF(AND(ISNUMBER(M2162), ISNUMBER(I2162), I2162&gt;0), M2162/I2162, "")</f>
        <v/>
      </c>
    </row>
    <row r="2163">
      <c r="A2163" s="19" t="inlineStr">
        <is>
          <t>FY27</t>
        </is>
      </c>
      <c r="B2163" s="19" t="inlineStr">
        <is>
          <t>May</t>
        </is>
      </c>
      <c r="C2163" s="19" t="inlineStr">
        <is>
          <t>Kerala</t>
        </is>
      </c>
      <c r="D2163" s="20" t="inlineStr">
        <is>
          <t>KL59H7542</t>
        </is>
      </c>
      <c r="E2163" s="20" t="inlineStr">
        <is>
          <t>MARUTI SUZUKI</t>
        </is>
      </c>
      <c r="F2163" s="20" t="inlineStr">
        <is>
          <t>M800</t>
        </is>
      </c>
      <c r="G2163" s="21" t="n"/>
      <c r="H2163" s="22" t="n">
        <v>85000</v>
      </c>
      <c r="I2163" s="23" t="n">
        <v>95000</v>
      </c>
      <c r="J2163" s="20" t="inlineStr">
        <is>
          <t>NADIR</t>
        </is>
      </c>
      <c r="K2163" s="20" t="inlineStr">
        <is>
          <t>Non-Captive</t>
        </is>
      </c>
      <c r="L2163" s="20" t="inlineStr">
        <is>
          <t>INDUS MARUTI</t>
        </is>
      </c>
      <c r="M2163" s="23" t="n">
        <v>4237.29</v>
      </c>
      <c r="N2163" s="23" t="n">
        <v>5000</v>
      </c>
      <c r="O2163" s="24">
        <f>IF(AND(ISNUMBER(M2163), ISNUMBER(I2163), I2163&gt;0), M2163/I2163, "")</f>
        <v/>
      </c>
    </row>
    <row r="2164">
      <c r="A2164" s="19" t="inlineStr">
        <is>
          <t>FY27</t>
        </is>
      </c>
      <c r="B2164" s="19" t="inlineStr">
        <is>
          <t>May</t>
        </is>
      </c>
      <c r="C2164" s="19" t="inlineStr">
        <is>
          <t>Kerala</t>
        </is>
      </c>
      <c r="D2164" s="20" t="inlineStr">
        <is>
          <t>KL25C2176</t>
        </is>
      </c>
      <c r="E2164" s="20" t="inlineStr">
        <is>
          <t>MARUTI SUZUKI</t>
        </is>
      </c>
      <c r="F2164" s="20" t="inlineStr">
        <is>
          <t>Alto</t>
        </is>
      </c>
      <c r="G2164" s="21" t="n"/>
      <c r="H2164" s="22" t="n">
        <v>110000</v>
      </c>
      <c r="I2164" s="23" t="n">
        <v>60000</v>
      </c>
      <c r="J2164" s="20" t="inlineStr">
        <is>
          <t>PRAJOD</t>
        </is>
      </c>
      <c r="K2164" s="20" t="inlineStr">
        <is>
          <t>Non-Captive</t>
        </is>
      </c>
      <c r="L2164" s="20" t="inlineStr">
        <is>
          <t>SHIVAKUMAR</t>
        </is>
      </c>
      <c r="M2164" s="23" t="n">
        <v>5084.75</v>
      </c>
      <c r="N2164" s="23" t="n">
        <v>6000</v>
      </c>
      <c r="O2164" s="24">
        <f>IF(AND(ISNUMBER(M2164), ISNUMBER(I2164), I2164&gt;0), M2164/I2164, "")</f>
        <v/>
      </c>
    </row>
    <row r="2165">
      <c r="A2165" s="19" t="inlineStr">
        <is>
          <t>FY27</t>
        </is>
      </c>
      <c r="B2165" s="19" t="inlineStr">
        <is>
          <t>May</t>
        </is>
      </c>
      <c r="C2165" s="19" t="inlineStr">
        <is>
          <t>Kerala</t>
        </is>
      </c>
      <c r="D2165" s="20" t="inlineStr">
        <is>
          <t>KL01BU5552</t>
        </is>
      </c>
      <c r="E2165" s="20" t="inlineStr">
        <is>
          <t>MARUTI SUZUKI</t>
        </is>
      </c>
      <c r="F2165" s="20" t="inlineStr">
        <is>
          <t>Alto</t>
        </is>
      </c>
      <c r="G2165" s="21" t="n"/>
      <c r="H2165" s="22" t="n">
        <v>114500</v>
      </c>
      <c r="I2165" s="23" t="n">
        <v>125000</v>
      </c>
      <c r="J2165" s="20" t="inlineStr">
        <is>
          <t>ABHILASH</t>
        </is>
      </c>
      <c r="K2165" s="20" t="inlineStr">
        <is>
          <t>Non-Captive</t>
        </is>
      </c>
      <c r="L2165" s="20" t="inlineStr">
        <is>
          <t>POPULAR MARUTI</t>
        </is>
      </c>
      <c r="M2165" s="23" t="n">
        <v>12711.86</v>
      </c>
      <c r="N2165" s="23" t="n">
        <v>15000</v>
      </c>
      <c r="O2165" s="24">
        <f>IF(AND(ISNUMBER(M2165), ISNUMBER(I2165), I2165&gt;0), M2165/I2165, "")</f>
        <v/>
      </c>
    </row>
    <row r="2166">
      <c r="A2166" s="19" t="inlineStr">
        <is>
          <t>FY27</t>
        </is>
      </c>
      <c r="B2166" s="19" t="inlineStr">
        <is>
          <t>May</t>
        </is>
      </c>
      <c r="C2166" s="19" t="inlineStr">
        <is>
          <t>Kerala</t>
        </is>
      </c>
      <c r="D2166" s="20" t="inlineStr">
        <is>
          <t>KL21Z1614</t>
        </is>
      </c>
      <c r="E2166" s="20" t="inlineStr">
        <is>
          <t>MARUTI SUZUKI</t>
        </is>
      </c>
      <c r="F2166" s="20" t="inlineStr">
        <is>
          <t>Swift Dzire</t>
        </is>
      </c>
      <c r="G2166" s="21" t="n"/>
      <c r="H2166" s="22" t="n">
        <v>17800</v>
      </c>
      <c r="I2166" s="23" t="n">
        <v>560000</v>
      </c>
      <c r="J2166" s="20" t="inlineStr">
        <is>
          <t>VIJIL</t>
        </is>
      </c>
      <c r="K2166" s="20" t="inlineStr">
        <is>
          <t>Non-Captive</t>
        </is>
      </c>
      <c r="L2166" s="20" t="inlineStr">
        <is>
          <t>POPULAR MARUTI</t>
        </is>
      </c>
      <c r="M2166" s="23" t="n">
        <v>8474.58</v>
      </c>
      <c r="N2166" s="23" t="n">
        <v>10000</v>
      </c>
      <c r="O2166" s="24">
        <f>IF(AND(ISNUMBER(M2166), ISNUMBER(I2166), I2166&gt;0), M2166/I2166, "")</f>
        <v/>
      </c>
    </row>
    <row r="2167">
      <c r="A2167" s="19" t="inlineStr">
        <is>
          <t>FY27</t>
        </is>
      </c>
      <c r="B2167" s="19" t="inlineStr">
        <is>
          <t>May</t>
        </is>
      </c>
      <c r="C2167" s="19" t="inlineStr">
        <is>
          <t>Kerala</t>
        </is>
      </c>
      <c r="D2167" s="20" t="inlineStr">
        <is>
          <t>KL20R0137</t>
        </is>
      </c>
      <c r="E2167" s="20" t="inlineStr">
        <is>
          <t>HYUNDAI</t>
        </is>
      </c>
      <c r="F2167" s="20" t="inlineStr">
        <is>
          <t>Neos</t>
        </is>
      </c>
      <c r="G2167" s="21" t="n"/>
      <c r="H2167" s="22" t="n">
        <v>45600</v>
      </c>
      <c r="I2167" s="23" t="n">
        <v>427000</v>
      </c>
      <c r="J2167" s="20" t="inlineStr">
        <is>
          <t>MARVEL MOTORS</t>
        </is>
      </c>
      <c r="K2167" s="20" t="inlineStr">
        <is>
          <t>Non-Captive</t>
        </is>
      </c>
      <c r="L2167" s="20" t="inlineStr">
        <is>
          <t>LUXON TATA</t>
        </is>
      </c>
      <c r="M2167" s="23" t="n">
        <v>6779.66</v>
      </c>
      <c r="N2167" s="23" t="n">
        <v>8000</v>
      </c>
      <c r="O2167" s="24">
        <f>IF(AND(ISNUMBER(M2167), ISNUMBER(I2167), I2167&gt;0), M2167/I2167, "")</f>
        <v/>
      </c>
    </row>
    <row r="2168">
      <c r="A2168" s="19" t="inlineStr">
        <is>
          <t>FY27</t>
        </is>
      </c>
      <c r="B2168" s="19" t="inlineStr">
        <is>
          <t>May</t>
        </is>
      </c>
      <c r="C2168" s="19" t="inlineStr">
        <is>
          <t>Kerala</t>
        </is>
      </c>
      <c r="D2168" s="20" t="inlineStr">
        <is>
          <t>KL05Y4038</t>
        </is>
      </c>
      <c r="E2168" s="20" t="inlineStr">
        <is>
          <t>HYUNDAI</t>
        </is>
      </c>
      <c r="F2168" s="20" t="inlineStr">
        <is>
          <t>I10</t>
        </is>
      </c>
      <c r="G2168" s="21" t="n"/>
      <c r="H2168" s="22" t="n">
        <v>102000</v>
      </c>
      <c r="I2168" s="23" t="n">
        <v>65000</v>
      </c>
      <c r="J2168" s="20" t="inlineStr">
        <is>
          <t>KISHORE</t>
        </is>
      </c>
      <c r="K2168" s="20" t="inlineStr">
        <is>
          <t>Non-Captive</t>
        </is>
      </c>
      <c r="L2168" s="20" t="inlineStr">
        <is>
          <t>POPULAR HYUNDAI</t>
        </is>
      </c>
      <c r="M2168" s="23" t="n">
        <v>4237.29</v>
      </c>
      <c r="N2168" s="23" t="n">
        <v>5000</v>
      </c>
      <c r="O2168" s="24">
        <f>IF(AND(ISNUMBER(M2168), ISNUMBER(I2168), I2168&gt;0), M2168/I2168, "")</f>
        <v/>
      </c>
    </row>
    <row r="2169">
      <c r="A2169" s="19" t="inlineStr">
        <is>
          <t>FY27</t>
        </is>
      </c>
      <c r="B2169" s="19" t="inlineStr">
        <is>
          <t>May</t>
        </is>
      </c>
      <c r="C2169" s="19" t="inlineStr">
        <is>
          <t>Kerala</t>
        </is>
      </c>
      <c r="D2169" s="20" t="inlineStr">
        <is>
          <t>KL64E0159</t>
        </is>
      </c>
      <c r="E2169" s="20" t="inlineStr">
        <is>
          <t>MARUTI SUZUKI</t>
        </is>
      </c>
      <c r="F2169" s="20" t="inlineStr">
        <is>
          <t>Swift Dzire</t>
        </is>
      </c>
      <c r="G2169" s="21" t="n"/>
      <c r="H2169" s="22" t="n">
        <v>60797</v>
      </c>
      <c r="I2169" s="23" t="n">
        <v>324000</v>
      </c>
      <c r="J2169" s="20" t="inlineStr">
        <is>
          <t>PINNACLE WHEELS PVT LTD</t>
        </is>
      </c>
      <c r="K2169" s="20" t="inlineStr">
        <is>
          <t>Non-Captive</t>
        </is>
      </c>
      <c r="L2169" s="20" t="inlineStr">
        <is>
          <t>AITOS CARS</t>
        </is>
      </c>
      <c r="M2169" s="23" t="n">
        <v>13559.32</v>
      </c>
      <c r="N2169" s="23" t="n">
        <v>16000</v>
      </c>
      <c r="O2169" s="24">
        <f>IF(AND(ISNUMBER(M2169), ISNUMBER(I2169), I2169&gt;0), M2169/I2169, "")</f>
        <v/>
      </c>
    </row>
    <row r="2170">
      <c r="A2170" s="19" t="inlineStr">
        <is>
          <t>FY27</t>
        </is>
      </c>
      <c r="B2170" s="19" t="inlineStr">
        <is>
          <t>May</t>
        </is>
      </c>
      <c r="C2170" s="19" t="inlineStr">
        <is>
          <t>Kerala</t>
        </is>
      </c>
      <c r="D2170" s="20" t="inlineStr">
        <is>
          <t>KL51C4596</t>
        </is>
      </c>
      <c r="E2170" s="20" t="inlineStr">
        <is>
          <t>MARUTI SUZUKI</t>
        </is>
      </c>
      <c r="F2170" s="20" t="inlineStr">
        <is>
          <t>Swift</t>
        </is>
      </c>
      <c r="G2170" s="21" t="n"/>
      <c r="H2170" s="22" t="n">
        <v>99000</v>
      </c>
      <c r="I2170" s="23" t="n">
        <v>190000</v>
      </c>
      <c r="J2170" s="20" t="inlineStr">
        <is>
          <t>RATHEESH</t>
        </is>
      </c>
      <c r="K2170" s="20" t="inlineStr">
        <is>
          <t>Non-Captive</t>
        </is>
      </c>
      <c r="L2170" s="20" t="inlineStr">
        <is>
          <t>BIMAL</t>
        </is>
      </c>
      <c r="M2170" s="23" t="n">
        <v>8474.58</v>
      </c>
      <c r="N2170" s="23" t="n">
        <v>10000</v>
      </c>
      <c r="O2170" s="24">
        <f>IF(AND(ISNUMBER(M2170), ISNUMBER(I2170), I2170&gt;0), M2170/I2170, "")</f>
        <v/>
      </c>
    </row>
    <row r="2171">
      <c r="A2171" s="19" t="inlineStr">
        <is>
          <t>FY27</t>
        </is>
      </c>
      <c r="B2171" s="19" t="inlineStr">
        <is>
          <t>May</t>
        </is>
      </c>
      <c r="C2171" s="19" t="inlineStr">
        <is>
          <t>Kerala</t>
        </is>
      </c>
      <c r="D2171" s="20" t="inlineStr">
        <is>
          <t>KL14F6793</t>
        </is>
      </c>
      <c r="E2171" s="20" t="inlineStr">
        <is>
          <t>MARUTI SUZUKI</t>
        </is>
      </c>
      <c r="F2171" s="20" t="inlineStr">
        <is>
          <t>A-Star</t>
        </is>
      </c>
      <c r="G2171" s="21" t="n"/>
      <c r="H2171" s="22" t="n">
        <v>132000</v>
      </c>
      <c r="I2171" s="23" t="n">
        <v>6000</v>
      </c>
      <c r="J2171" s="20" t="inlineStr">
        <is>
          <t>AUTOTRUST</t>
        </is>
      </c>
      <c r="K2171" s="20" t="inlineStr">
        <is>
          <t>Non-Captive</t>
        </is>
      </c>
      <c r="L2171" s="20" t="inlineStr">
        <is>
          <t>UCD ABHILASH</t>
        </is>
      </c>
      <c r="M2171" s="23" t="n">
        <v>5084.75</v>
      </c>
      <c r="N2171" s="23" t="n">
        <v>6000</v>
      </c>
      <c r="O2171" s="24">
        <f>IF(AND(ISNUMBER(M2171), ISNUMBER(I2171), I2171&gt;0), M2171/I2171, "")</f>
        <v/>
      </c>
    </row>
    <row r="2172">
      <c r="A2172" s="19" t="inlineStr">
        <is>
          <t>FY27</t>
        </is>
      </c>
      <c r="B2172" s="19" t="inlineStr">
        <is>
          <t>May</t>
        </is>
      </c>
      <c r="C2172" s="19" t="inlineStr">
        <is>
          <t>Kerala</t>
        </is>
      </c>
      <c r="D2172" s="20" t="inlineStr">
        <is>
          <t>KL13J8476</t>
        </is>
      </c>
      <c r="E2172" s="20" t="inlineStr">
        <is>
          <t>MARUTI SUZUKI</t>
        </is>
      </c>
      <c r="F2172" s="20" t="inlineStr">
        <is>
          <t>M800</t>
        </is>
      </c>
      <c r="G2172" s="21" t="n"/>
      <c r="H2172" s="22" t="n">
        <v>184000</v>
      </c>
      <c r="I2172" s="23" t="n">
        <v>30000</v>
      </c>
      <c r="J2172" s="20" t="inlineStr">
        <is>
          <t>SHAJEE CARS</t>
        </is>
      </c>
      <c r="K2172" s="20" t="inlineStr">
        <is>
          <t>Non-Captive</t>
        </is>
      </c>
      <c r="L2172" s="20" t="inlineStr">
        <is>
          <t>AMANA TOYOTA</t>
        </is>
      </c>
      <c r="M2172" s="23" t="n">
        <v>4237.29</v>
      </c>
      <c r="N2172" s="23" t="n">
        <v>5000</v>
      </c>
      <c r="O2172" s="24">
        <f>IF(AND(ISNUMBER(M2172), ISNUMBER(I2172), I2172&gt;0), M2172/I2172, "")</f>
        <v/>
      </c>
    </row>
    <row r="2173">
      <c r="A2173" s="19" t="inlineStr">
        <is>
          <t>FY27</t>
        </is>
      </c>
      <c r="B2173" s="19" t="inlineStr">
        <is>
          <t>May</t>
        </is>
      </c>
      <c r="C2173" s="19" t="inlineStr">
        <is>
          <t>Kerala</t>
        </is>
      </c>
      <c r="D2173" s="20" t="inlineStr">
        <is>
          <t>KL11AH1821</t>
        </is>
      </c>
      <c r="E2173" s="20" t="inlineStr">
        <is>
          <t>MARUTI SUZUKI</t>
        </is>
      </c>
      <c r="F2173" s="20" t="inlineStr">
        <is>
          <t>Ritz</t>
        </is>
      </c>
      <c r="G2173" s="21" t="n"/>
      <c r="H2173" s="22" t="n">
        <v>142000</v>
      </c>
      <c r="I2173" s="23" t="n">
        <v>90000</v>
      </c>
      <c r="J2173" s="20" t="inlineStr">
        <is>
          <t>RATHEESH</t>
        </is>
      </c>
      <c r="K2173" s="20" t="inlineStr">
        <is>
          <t>Non-Captive</t>
        </is>
      </c>
      <c r="L2173" s="20" t="inlineStr">
        <is>
          <t>EVM SKODA</t>
        </is>
      </c>
      <c r="M2173" s="23" t="n">
        <v>8474.58</v>
      </c>
      <c r="N2173" s="23" t="n">
        <v>10000</v>
      </c>
      <c r="O2173" s="24">
        <f>IF(AND(ISNUMBER(M2173), ISNUMBER(I2173), I2173&gt;0), M2173/I2173, "")</f>
        <v/>
      </c>
    </row>
    <row r="2174">
      <c r="A2174" s="19" t="inlineStr">
        <is>
          <t>FY27</t>
        </is>
      </c>
      <c r="B2174" s="19" t="inlineStr">
        <is>
          <t>May</t>
        </is>
      </c>
      <c r="C2174" s="19" t="inlineStr">
        <is>
          <t>Kerala</t>
        </is>
      </c>
      <c r="D2174" s="20" t="inlineStr">
        <is>
          <t>KL33H9951</t>
        </is>
      </c>
      <c r="E2174" s="20" t="inlineStr">
        <is>
          <t>HYUNDAI</t>
        </is>
      </c>
      <c r="F2174" s="20" t="inlineStr">
        <is>
          <t>Grand I10</t>
        </is>
      </c>
      <c r="G2174" s="21" t="n"/>
      <c r="H2174" s="22" t="n">
        <v>54000</v>
      </c>
      <c r="I2174" s="23" t="n">
        <v>300000</v>
      </c>
      <c r="J2174" s="20" t="inlineStr">
        <is>
          <t>ATHUL RAJ</t>
        </is>
      </c>
      <c r="K2174" s="20" t="inlineStr">
        <is>
          <t>Non-Captive</t>
        </is>
      </c>
      <c r="L2174" s="20" t="inlineStr">
        <is>
          <t>INDUS MARUTI</t>
        </is>
      </c>
      <c r="M2174" s="23" t="n">
        <v>4237.29</v>
      </c>
      <c r="N2174" s="23" t="n">
        <v>5000</v>
      </c>
      <c r="O2174" s="24">
        <f>IF(AND(ISNUMBER(M2174), ISNUMBER(I2174), I2174&gt;0), M2174/I2174, "")</f>
        <v/>
      </c>
    </row>
    <row r="2175">
      <c r="A2175" s="19" t="inlineStr">
        <is>
          <t>FY27</t>
        </is>
      </c>
      <c r="B2175" s="19" t="inlineStr">
        <is>
          <t>May</t>
        </is>
      </c>
      <c r="C2175" s="19" t="inlineStr">
        <is>
          <t>Kerala</t>
        </is>
      </c>
      <c r="D2175" s="20" t="inlineStr">
        <is>
          <t>KL32E8002</t>
        </is>
      </c>
      <c r="E2175" s="20" t="inlineStr">
        <is>
          <t>HYUNDAI</t>
        </is>
      </c>
      <c r="F2175" s="20" t="inlineStr">
        <is>
          <t>Verna</t>
        </is>
      </c>
      <c r="G2175" s="21" t="n"/>
      <c r="H2175" s="22" t="n">
        <v>127000</v>
      </c>
      <c r="I2175" s="23" t="n">
        <v>203000</v>
      </c>
      <c r="J2175" s="20" t="inlineStr">
        <is>
          <t>CLIND</t>
        </is>
      </c>
      <c r="K2175" s="20" t="inlineStr">
        <is>
          <t>Non-Captive</t>
        </is>
      </c>
      <c r="L2175" s="20" t="inlineStr">
        <is>
          <t>INCHEON KIA</t>
        </is>
      </c>
      <c r="M2175" s="23" t="n">
        <v>5932.2</v>
      </c>
      <c r="N2175" s="23" t="n">
        <v>7000</v>
      </c>
      <c r="O2175" s="24">
        <f>IF(AND(ISNUMBER(M2175), ISNUMBER(I2175), I2175&gt;0), M2175/I2175, "")</f>
        <v/>
      </c>
    </row>
    <row r="2176">
      <c r="A2176" s="19" t="inlineStr">
        <is>
          <t>FY27</t>
        </is>
      </c>
      <c r="B2176" s="19" t="inlineStr">
        <is>
          <t>May</t>
        </is>
      </c>
      <c r="C2176" s="19" t="inlineStr">
        <is>
          <t>Kerala</t>
        </is>
      </c>
      <c r="D2176" s="20" t="inlineStr">
        <is>
          <t>KL58W0491</t>
        </is>
      </c>
      <c r="E2176" s="20" t="inlineStr">
        <is>
          <t>MARUTI SUZUKI</t>
        </is>
      </c>
      <c r="F2176" s="20" t="inlineStr">
        <is>
          <t>Brezza</t>
        </is>
      </c>
      <c r="G2176" s="21" t="n"/>
      <c r="H2176" s="22" t="n">
        <v>97000</v>
      </c>
      <c r="I2176" s="23" t="n">
        <v>600000</v>
      </c>
      <c r="J2176" s="20" t="inlineStr">
        <is>
          <t>SANOOP</t>
        </is>
      </c>
      <c r="K2176" s="20" t="inlineStr">
        <is>
          <t>Non-Captive</t>
        </is>
      </c>
      <c r="L2176" s="20" t="inlineStr">
        <is>
          <t>AMANA TOYOTA</t>
        </is>
      </c>
      <c r="M2176" s="23" t="n">
        <v>5084.75</v>
      </c>
      <c r="N2176" s="23" t="n">
        <v>6000</v>
      </c>
      <c r="O2176" s="24">
        <f>IF(AND(ISNUMBER(M2176), ISNUMBER(I2176), I2176&gt;0), M2176/I2176, "")</f>
        <v/>
      </c>
    </row>
    <row r="2177">
      <c r="A2177" s="19" t="inlineStr">
        <is>
          <t>FY27</t>
        </is>
      </c>
      <c r="B2177" s="19" t="inlineStr">
        <is>
          <t>May</t>
        </is>
      </c>
      <c r="C2177" s="19" t="inlineStr">
        <is>
          <t>Kerala</t>
        </is>
      </c>
      <c r="D2177" s="20" t="inlineStr">
        <is>
          <t>KL56A1600</t>
        </is>
      </c>
      <c r="E2177" s="20" t="inlineStr">
        <is>
          <t>TOYOTA</t>
        </is>
      </c>
      <c r="F2177" s="20" t="inlineStr">
        <is>
          <t>Innova</t>
        </is>
      </c>
      <c r="G2177" s="21" t="n"/>
      <c r="H2177" s="22" t="n">
        <v>320000</v>
      </c>
      <c r="I2177" s="23" t="n">
        <v>250000</v>
      </c>
      <c r="J2177" s="20" t="inlineStr">
        <is>
          <t>SAFARNAS</t>
        </is>
      </c>
      <c r="K2177" s="20" t="inlineStr">
        <is>
          <t>Non-Captive</t>
        </is>
      </c>
      <c r="L2177" s="20" t="inlineStr">
        <is>
          <t>SANTHOSH</t>
        </is>
      </c>
      <c r="M2177" s="23" t="n">
        <v>4237.29</v>
      </c>
      <c r="N2177" s="23" t="n">
        <v>5000</v>
      </c>
      <c r="O2177" s="24">
        <f>IF(AND(ISNUMBER(M2177), ISNUMBER(I2177), I2177&gt;0), M2177/I2177, "")</f>
        <v/>
      </c>
    </row>
    <row r="2178">
      <c r="A2178" s="19" t="inlineStr">
        <is>
          <t>FY27</t>
        </is>
      </c>
      <c r="B2178" s="19" t="inlineStr">
        <is>
          <t>May</t>
        </is>
      </c>
      <c r="C2178" s="19" t="inlineStr">
        <is>
          <t>Kerala</t>
        </is>
      </c>
      <c r="D2178" s="20" t="inlineStr">
        <is>
          <t>KL24F6737</t>
        </is>
      </c>
      <c r="E2178" s="20" t="inlineStr">
        <is>
          <t>HYUNDAI</t>
        </is>
      </c>
      <c r="F2178" s="20" t="inlineStr">
        <is>
          <t>Eon</t>
        </is>
      </c>
      <c r="G2178" s="21" t="n"/>
      <c r="H2178" s="22" t="n">
        <v>91443</v>
      </c>
      <c r="I2178" s="23" t="n">
        <v>80000</v>
      </c>
      <c r="J2178" s="20" t="inlineStr">
        <is>
          <t>RENSON</t>
        </is>
      </c>
      <c r="K2178" s="20" t="inlineStr">
        <is>
          <t>Non-Captive</t>
        </is>
      </c>
      <c r="L2178" s="20" t="inlineStr">
        <is>
          <t>LUXON TATA</t>
        </is>
      </c>
      <c r="M2178" s="23" t="n">
        <v>4237.29</v>
      </c>
      <c r="N2178" s="23" t="n">
        <v>5000</v>
      </c>
      <c r="O2178" s="24">
        <f>IF(AND(ISNUMBER(M2178), ISNUMBER(I2178), I2178&gt;0), M2178/I2178, "")</f>
        <v/>
      </c>
    </row>
    <row r="2179">
      <c r="A2179" s="19" t="inlineStr">
        <is>
          <t>FY27</t>
        </is>
      </c>
      <c r="B2179" s="19" t="inlineStr">
        <is>
          <t>May</t>
        </is>
      </c>
      <c r="C2179" s="19" t="inlineStr">
        <is>
          <t>Kerala</t>
        </is>
      </c>
      <c r="D2179" s="20" t="inlineStr">
        <is>
          <t>KL07DB3679</t>
        </is>
      </c>
      <c r="E2179" s="20" t="inlineStr">
        <is>
          <t>TATA</t>
        </is>
      </c>
      <c r="F2179" s="20" t="inlineStr">
        <is>
          <t>Nexon Ev</t>
        </is>
      </c>
      <c r="G2179" s="21" t="n"/>
      <c r="H2179" s="22" t="n">
        <v>45000</v>
      </c>
      <c r="I2179" s="23" t="n">
        <v>740000</v>
      </c>
      <c r="J2179" s="20" t="inlineStr">
        <is>
          <t>GOKULAM TATA</t>
        </is>
      </c>
      <c r="K2179" s="20" t="inlineStr">
        <is>
          <t>Non-Captive</t>
        </is>
      </c>
      <c r="L2179" s="20" t="inlineStr">
        <is>
          <t>FABITH</t>
        </is>
      </c>
      <c r="M2179" s="23" t="n">
        <v>8474.58</v>
      </c>
      <c r="N2179" s="23" t="n">
        <v>10000</v>
      </c>
      <c r="O2179" s="24">
        <f>IF(AND(ISNUMBER(M2179), ISNUMBER(I2179), I2179&gt;0), M2179/I2179, "")</f>
        <v/>
      </c>
    </row>
    <row r="2180">
      <c r="A2180" s="19" t="inlineStr">
        <is>
          <t>FY27</t>
        </is>
      </c>
      <c r="B2180" s="19" t="inlineStr">
        <is>
          <t>May</t>
        </is>
      </c>
      <c r="C2180" s="19" t="inlineStr">
        <is>
          <t>Kerala</t>
        </is>
      </c>
      <c r="D2180" s="20" t="inlineStr">
        <is>
          <t>KL07CH0017</t>
        </is>
      </c>
      <c r="E2180" s="20" t="inlineStr">
        <is>
          <t>RENAULT</t>
        </is>
      </c>
      <c r="F2180" s="20" t="inlineStr">
        <is>
          <t>Duster</t>
        </is>
      </c>
      <c r="G2180" s="21" t="n"/>
      <c r="H2180" s="22" t="n">
        <v>183000</v>
      </c>
      <c r="I2180" s="23" t="n">
        <v>315000</v>
      </c>
      <c r="J2180" s="20" t="inlineStr">
        <is>
          <t>KESHVIN HYUNDAI</t>
        </is>
      </c>
      <c r="K2180" s="20" t="inlineStr">
        <is>
          <t>Non-Captive</t>
        </is>
      </c>
      <c r="L2180" s="20" t="inlineStr">
        <is>
          <t>DINESH P S</t>
        </is>
      </c>
      <c r="M2180" s="23" t="n">
        <v>12711.86</v>
      </c>
      <c r="N2180" s="23" t="n">
        <v>15000</v>
      </c>
      <c r="O2180" s="24">
        <f>IF(AND(ISNUMBER(M2180), ISNUMBER(I2180), I2180&gt;0), M2180/I2180, "")</f>
        <v/>
      </c>
    </row>
    <row r="2181">
      <c r="A2181" s="19" t="inlineStr">
        <is>
          <t>FY27</t>
        </is>
      </c>
      <c r="B2181" s="19" t="inlineStr">
        <is>
          <t>May</t>
        </is>
      </c>
      <c r="C2181" s="19" t="inlineStr">
        <is>
          <t>Kerala</t>
        </is>
      </c>
      <c r="D2181" s="20" t="inlineStr">
        <is>
          <t>KL07CV2030</t>
        </is>
      </c>
      <c r="E2181" s="20" t="inlineStr">
        <is>
          <t>TATA</t>
        </is>
      </c>
      <c r="F2181" s="20" t="inlineStr">
        <is>
          <t>Tiago</t>
        </is>
      </c>
      <c r="G2181" s="21" t="n"/>
      <c r="H2181" s="22" t="n">
        <v>42047</v>
      </c>
      <c r="I2181" s="23" t="n">
        <v>345000</v>
      </c>
      <c r="J2181" s="20" t="inlineStr">
        <is>
          <t>CARS24</t>
        </is>
      </c>
      <c r="K2181" s="20" t="inlineStr">
        <is>
          <t>Non-Captive</t>
        </is>
      </c>
      <c r="L2181" s="20" t="inlineStr">
        <is>
          <t>ABDUL SALAM K K</t>
        </is>
      </c>
      <c r="M2181" s="23" t="n">
        <v>8474.58</v>
      </c>
      <c r="N2181" s="23" t="n">
        <v>10000</v>
      </c>
      <c r="O2181" s="24">
        <f>IF(AND(ISNUMBER(M2181), ISNUMBER(I2181), I2181&gt;0), M2181/I2181, "")</f>
        <v/>
      </c>
    </row>
    <row r="2182">
      <c r="A2182" s="19" t="inlineStr">
        <is>
          <t>FY27</t>
        </is>
      </c>
      <c r="B2182" s="19" t="inlineStr">
        <is>
          <t>May</t>
        </is>
      </c>
      <c r="C2182" s="19" t="inlineStr">
        <is>
          <t>Kerala</t>
        </is>
      </c>
      <c r="D2182" s="20" t="inlineStr">
        <is>
          <t>KL32P5849</t>
        </is>
      </c>
      <c r="E2182" s="20" t="inlineStr">
        <is>
          <t>RENAULT</t>
        </is>
      </c>
      <c r="F2182" s="20" t="inlineStr">
        <is>
          <t>Duster</t>
        </is>
      </c>
      <c r="G2182" s="21" t="n"/>
      <c r="H2182" s="22" t="n">
        <v>47088</v>
      </c>
      <c r="I2182" s="23" t="n">
        <v>540000</v>
      </c>
      <c r="J2182" s="20" t="inlineStr">
        <is>
          <t>KESHVIN HYUNDAI</t>
        </is>
      </c>
      <c r="K2182" s="20" t="inlineStr">
        <is>
          <t>Non-Captive</t>
        </is>
      </c>
      <c r="L2182" s="20" t="inlineStr">
        <is>
          <t>ABDUL SALAM K K</t>
        </is>
      </c>
      <c r="M2182" s="23" t="n">
        <v>11016.95</v>
      </c>
      <c r="N2182" s="23" t="n">
        <v>13000</v>
      </c>
      <c r="O2182" s="24">
        <f>IF(AND(ISNUMBER(M2182), ISNUMBER(I2182), I2182&gt;0), M2182/I2182, "")</f>
        <v/>
      </c>
    </row>
    <row r="2183">
      <c r="A2183" s="19" t="inlineStr">
        <is>
          <t>FY27</t>
        </is>
      </c>
      <c r="B2183" s="19" t="inlineStr">
        <is>
          <t>May</t>
        </is>
      </c>
      <c r="C2183" s="19" t="inlineStr">
        <is>
          <t>Kerala</t>
        </is>
      </c>
      <c r="D2183" s="20" t="inlineStr">
        <is>
          <t>KL05AU7487</t>
        </is>
      </c>
      <c r="E2183" s="20" t="inlineStr">
        <is>
          <t>HYUNDAI</t>
        </is>
      </c>
      <c r="F2183" s="20" t="inlineStr">
        <is>
          <t>Grand I10</t>
        </is>
      </c>
      <c r="G2183" s="21" t="n"/>
      <c r="H2183" s="22" t="n">
        <v>90227</v>
      </c>
      <c r="I2183" s="23" t="n">
        <v>275000</v>
      </c>
      <c r="J2183" s="20" t="inlineStr">
        <is>
          <t>POPULAR HYUNDAI</t>
        </is>
      </c>
      <c r="K2183" s="20" t="inlineStr">
        <is>
          <t>Non-Captive</t>
        </is>
      </c>
      <c r="L2183" s="20" t="inlineStr">
        <is>
          <t>VISHNU M S</t>
        </is>
      </c>
      <c r="M2183" s="23" t="n">
        <v>9322.030000000001</v>
      </c>
      <c r="N2183" s="23" t="n">
        <v>11000</v>
      </c>
      <c r="O2183" s="24">
        <f>IF(AND(ISNUMBER(M2183), ISNUMBER(I2183), I2183&gt;0), M2183/I2183, "")</f>
        <v/>
      </c>
    </row>
    <row r="2184">
      <c r="A2184" s="19" t="inlineStr">
        <is>
          <t>FY27</t>
        </is>
      </c>
      <c r="B2184" s="19" t="inlineStr">
        <is>
          <t>May</t>
        </is>
      </c>
      <c r="C2184" s="19" t="inlineStr">
        <is>
          <t>Kerala</t>
        </is>
      </c>
      <c r="D2184" s="20" t="inlineStr">
        <is>
          <t>KL05AA2887</t>
        </is>
      </c>
      <c r="E2184" s="20" t="inlineStr">
        <is>
          <t>MARUTI SUZUKI</t>
        </is>
      </c>
      <c r="F2184" s="20" t="inlineStr">
        <is>
          <t>Swift Dzire</t>
        </is>
      </c>
      <c r="G2184" s="21" t="n"/>
      <c r="H2184" s="22" t="n">
        <v>153793</v>
      </c>
      <c r="I2184" s="23" t="n">
        <v>150000</v>
      </c>
      <c r="J2184" s="20" t="inlineStr">
        <is>
          <t>INCHEON KIA</t>
        </is>
      </c>
      <c r="K2184" s="20" t="inlineStr">
        <is>
          <t>Non-Captive</t>
        </is>
      </c>
      <c r="L2184" s="20" t="inlineStr">
        <is>
          <t>HUSSAIN O E</t>
        </is>
      </c>
      <c r="M2184" s="23" t="n">
        <v>10169.49</v>
      </c>
      <c r="N2184" s="23" t="n">
        <v>12000</v>
      </c>
      <c r="O2184" s="24">
        <f>IF(AND(ISNUMBER(M2184), ISNUMBER(I2184), I2184&gt;0), M2184/I2184, "")</f>
        <v/>
      </c>
    </row>
    <row r="2185">
      <c r="A2185" s="19" t="inlineStr">
        <is>
          <t>FY27</t>
        </is>
      </c>
      <c r="B2185" s="19" t="inlineStr">
        <is>
          <t>May</t>
        </is>
      </c>
      <c r="C2185" s="19" t="inlineStr">
        <is>
          <t>Kerala</t>
        </is>
      </c>
      <c r="D2185" s="20" t="inlineStr">
        <is>
          <t>KL39H5182</t>
        </is>
      </c>
      <c r="E2185" s="20" t="inlineStr">
        <is>
          <t>HYUNDAI</t>
        </is>
      </c>
      <c r="F2185" s="20" t="inlineStr">
        <is>
          <t>Eon</t>
        </is>
      </c>
      <c r="G2185" s="21" t="n"/>
      <c r="H2185" s="22" t="n">
        <v>105208</v>
      </c>
      <c r="I2185" s="23" t="n">
        <v>91000</v>
      </c>
      <c r="J2185" s="20" t="inlineStr">
        <is>
          <t>POPULAR HYUNDAI</t>
        </is>
      </c>
      <c r="K2185" s="20" t="inlineStr">
        <is>
          <t>Non-Captive</t>
        </is>
      </c>
      <c r="L2185" s="20" t="inlineStr">
        <is>
          <t>VTJ</t>
        </is>
      </c>
      <c r="M2185" s="23" t="n">
        <v>9322.030000000001</v>
      </c>
      <c r="N2185" s="23" t="n">
        <v>11000</v>
      </c>
      <c r="O2185" s="24">
        <f>IF(AND(ISNUMBER(M2185), ISNUMBER(I2185), I2185&gt;0), M2185/I2185, "")</f>
        <v/>
      </c>
    </row>
    <row r="2186">
      <c r="A2186" s="19" t="inlineStr">
        <is>
          <t>FY27</t>
        </is>
      </c>
      <c r="B2186" s="19" t="inlineStr">
        <is>
          <t>May</t>
        </is>
      </c>
      <c r="C2186" s="19" t="inlineStr">
        <is>
          <t>Kerala</t>
        </is>
      </c>
      <c r="D2186" s="20" t="inlineStr">
        <is>
          <t>KL13Y3715</t>
        </is>
      </c>
      <c r="E2186" s="20" t="inlineStr">
        <is>
          <t>HYUNDAI</t>
        </is>
      </c>
      <c r="F2186" s="20" t="inlineStr">
        <is>
          <t>Eon</t>
        </is>
      </c>
      <c r="G2186" s="21" t="n"/>
      <c r="H2186" s="22" t="n">
        <v>112000</v>
      </c>
      <c r="I2186" s="23" t="n">
        <v>55000</v>
      </c>
      <c r="J2186" s="20" t="inlineStr">
        <is>
          <t>AUTOBOT</t>
        </is>
      </c>
      <c r="K2186" s="20" t="inlineStr">
        <is>
          <t>Non-Captive</t>
        </is>
      </c>
      <c r="L2186" s="20" t="inlineStr">
        <is>
          <t>POPULAR MARUTI</t>
        </is>
      </c>
      <c r="M2186" s="23" t="n">
        <v>5932.2</v>
      </c>
      <c r="N2186" s="23" t="n">
        <v>7000</v>
      </c>
      <c r="O2186" s="24">
        <f>IF(AND(ISNUMBER(M2186), ISNUMBER(I2186), I2186&gt;0), M2186/I2186, "")</f>
        <v/>
      </c>
    </row>
    <row r="2187">
      <c r="A2187" s="19" t="inlineStr">
        <is>
          <t>FY27</t>
        </is>
      </c>
      <c r="B2187" s="19" t="inlineStr">
        <is>
          <t>May</t>
        </is>
      </c>
      <c r="C2187" s="19" t="inlineStr">
        <is>
          <t>Kerala</t>
        </is>
      </c>
      <c r="D2187" s="20" t="inlineStr">
        <is>
          <t>KL05AU0170</t>
        </is>
      </c>
      <c r="E2187" s="20" t="inlineStr">
        <is>
          <t>FORD</t>
        </is>
      </c>
      <c r="F2187" s="20" t="inlineStr">
        <is>
          <t>Freestyle</t>
        </is>
      </c>
      <c r="G2187" s="21" t="n"/>
      <c r="H2187" s="22" t="n">
        <v>73099</v>
      </c>
      <c r="I2187" s="23" t="n">
        <v>350000</v>
      </c>
      <c r="J2187" s="20" t="inlineStr">
        <is>
          <t>ANAS VH</t>
        </is>
      </c>
      <c r="K2187" s="20" t="inlineStr">
        <is>
          <t>Non-Captive</t>
        </is>
      </c>
      <c r="L2187" s="20" t="inlineStr">
        <is>
          <t>SANOOB V A</t>
        </is>
      </c>
      <c r="M2187" s="23" t="n">
        <v>12711.86</v>
      </c>
      <c r="N2187" s="23" t="n">
        <v>15000</v>
      </c>
      <c r="O2187" s="24">
        <f>IF(AND(ISNUMBER(M2187), ISNUMBER(I2187), I2187&gt;0), M2187/I2187, "")</f>
        <v/>
      </c>
    </row>
    <row r="2188">
      <c r="A2188" s="19" t="inlineStr">
        <is>
          <t>FY27</t>
        </is>
      </c>
      <c r="B2188" s="19" t="inlineStr">
        <is>
          <t>May</t>
        </is>
      </c>
      <c r="C2188" s="19" t="inlineStr">
        <is>
          <t>Kerala</t>
        </is>
      </c>
      <c r="D2188" s="20" t="inlineStr">
        <is>
          <t>KL58G7722</t>
        </is>
      </c>
      <c r="E2188" s="20" t="inlineStr">
        <is>
          <t>HONDA</t>
        </is>
      </c>
      <c r="F2188" s="20" t="inlineStr">
        <is>
          <t>City</t>
        </is>
      </c>
      <c r="G2188" s="21" t="n"/>
      <c r="H2188" s="22" t="n">
        <v>72649</v>
      </c>
      <c r="I2188" s="23" t="n">
        <v>178000</v>
      </c>
      <c r="J2188" s="20" t="inlineStr">
        <is>
          <t>CARS24</t>
        </is>
      </c>
      <c r="K2188" s="20" t="inlineStr">
        <is>
          <t>Non-Captive</t>
        </is>
      </c>
      <c r="L2188" s="20" t="inlineStr">
        <is>
          <t>SHAMSUDEEN C E</t>
        </is>
      </c>
      <c r="M2188" s="23" t="n">
        <v>10169.49</v>
      </c>
      <c r="N2188" s="23" t="n">
        <v>12000</v>
      </c>
      <c r="O2188" s="24">
        <f>IF(AND(ISNUMBER(M2188), ISNUMBER(I2188), I2188&gt;0), M2188/I2188, "")</f>
        <v/>
      </c>
    </row>
    <row r="2189">
      <c r="A2189" s="19" t="inlineStr">
        <is>
          <t>FY27</t>
        </is>
      </c>
      <c r="B2189" s="19" t="inlineStr">
        <is>
          <t>May</t>
        </is>
      </c>
      <c r="C2189" s="19" t="inlineStr">
        <is>
          <t>Kerala</t>
        </is>
      </c>
      <c r="D2189" s="20" t="inlineStr">
        <is>
          <t>KL27J5862</t>
        </is>
      </c>
      <c r="E2189" s="20" t="inlineStr">
        <is>
          <t>RENAULT</t>
        </is>
      </c>
      <c r="F2189" s="20" t="inlineStr">
        <is>
          <t>Kwid</t>
        </is>
      </c>
      <c r="G2189" s="21" t="n"/>
      <c r="H2189" s="22" t="n">
        <v>103127</v>
      </c>
      <c r="I2189" s="23" t="n">
        <v>170000</v>
      </c>
      <c r="J2189" s="20" t="inlineStr">
        <is>
          <t>INDUS MARUTI</t>
        </is>
      </c>
      <c r="K2189" s="20" t="inlineStr">
        <is>
          <t>Non-Captive</t>
        </is>
      </c>
      <c r="L2189" s="20" t="inlineStr">
        <is>
          <t>MUHAMMED MUKTHAR</t>
        </is>
      </c>
      <c r="M2189" s="23" t="n">
        <v>9322.030000000001</v>
      </c>
      <c r="N2189" s="23" t="n">
        <v>11000</v>
      </c>
      <c r="O2189" s="24">
        <f>IF(AND(ISNUMBER(M2189), ISNUMBER(I2189), I2189&gt;0), M2189/I2189, "")</f>
        <v/>
      </c>
    </row>
    <row r="2190">
      <c r="A2190" s="19" t="inlineStr">
        <is>
          <t>FY27</t>
        </is>
      </c>
      <c r="B2190" s="19" t="inlineStr">
        <is>
          <t>May</t>
        </is>
      </c>
      <c r="C2190" s="19" t="inlineStr">
        <is>
          <t>Kerala</t>
        </is>
      </c>
      <c r="D2190" s="20" t="inlineStr">
        <is>
          <t>KL13AT0356</t>
        </is>
      </c>
      <c r="E2190" s="20" t="inlineStr">
        <is>
          <t>MARUTI SUZUKI</t>
        </is>
      </c>
      <c r="F2190" s="20" t="inlineStr">
        <is>
          <t>Alto</t>
        </is>
      </c>
      <c r="G2190" s="21" t="n"/>
      <c r="H2190" s="22" t="n">
        <v>41000</v>
      </c>
      <c r="I2190" s="23" t="n">
        <v>300000</v>
      </c>
      <c r="J2190" s="20" t="inlineStr">
        <is>
          <t>NIDEESH</t>
        </is>
      </c>
      <c r="K2190" s="20" t="inlineStr">
        <is>
          <t>Non-Captive</t>
        </is>
      </c>
      <c r="L2190" s="20" t="inlineStr">
        <is>
          <t>KVR TATA</t>
        </is>
      </c>
      <c r="M2190" s="23" t="n">
        <v>4237.29</v>
      </c>
      <c r="N2190" s="23" t="n">
        <v>5000</v>
      </c>
      <c r="O2190" s="24">
        <f>IF(AND(ISNUMBER(M2190), ISNUMBER(I2190), I2190&gt;0), M2190/I2190, "")</f>
        <v/>
      </c>
    </row>
    <row r="2191">
      <c r="A2191" s="19" t="inlineStr">
        <is>
          <t>FY27</t>
        </is>
      </c>
      <c r="B2191" s="19" t="inlineStr">
        <is>
          <t>May</t>
        </is>
      </c>
      <c r="C2191" s="19" t="inlineStr">
        <is>
          <t>Kerala</t>
        </is>
      </c>
      <c r="D2191" s="20" t="inlineStr">
        <is>
          <t>KL58AH7958</t>
        </is>
      </c>
      <c r="E2191" s="20" t="inlineStr">
        <is>
          <t>MARUTI SUZUKI</t>
        </is>
      </c>
      <c r="F2191" s="20" t="inlineStr">
        <is>
          <t>Swift</t>
        </is>
      </c>
      <c r="G2191" s="21" t="n"/>
      <c r="H2191" s="22" t="n">
        <v>40000</v>
      </c>
      <c r="I2191" s="23" t="n">
        <v>615000</v>
      </c>
      <c r="J2191" s="20" t="inlineStr">
        <is>
          <t>NIDEESH</t>
        </is>
      </c>
      <c r="K2191" s="20" t="inlineStr">
        <is>
          <t>Non-Captive</t>
        </is>
      </c>
      <c r="L2191" s="20" t="inlineStr">
        <is>
          <t>KVR TATA</t>
        </is>
      </c>
      <c r="M2191" s="23" t="n">
        <v>4237.29</v>
      </c>
      <c r="N2191" s="23" t="n">
        <v>5000</v>
      </c>
      <c r="O2191" s="24">
        <f>IF(AND(ISNUMBER(M2191), ISNUMBER(I2191), I2191&gt;0), M2191/I2191, "")</f>
        <v/>
      </c>
    </row>
    <row r="2192">
      <c r="A2192" s="19" t="inlineStr">
        <is>
          <t>FY27</t>
        </is>
      </c>
      <c r="B2192" s="19" t="inlineStr">
        <is>
          <t>Jun</t>
        </is>
      </c>
      <c r="C2192" s="19" t="inlineStr">
        <is>
          <t>AP/TS</t>
        </is>
      </c>
      <c r="D2192" s="20" t="inlineStr">
        <is>
          <t>AP39LZ8860</t>
        </is>
      </c>
      <c r="E2192" s="20" t="inlineStr">
        <is>
          <t>HONDA</t>
        </is>
      </c>
      <c r="F2192" s="20" t="inlineStr">
        <is>
          <t>Amaze</t>
        </is>
      </c>
      <c r="G2192" s="21" t="n">
        <v>2022</v>
      </c>
      <c r="H2192" s="22" t="n">
        <v>41567</v>
      </c>
      <c r="I2192" s="23" t="n">
        <v>540000</v>
      </c>
      <c r="J2192" s="20" t="inlineStr">
        <is>
          <t>Exchange</t>
        </is>
      </c>
      <c r="K2192" s="20" t="inlineStr">
        <is>
          <t>Captive</t>
        </is>
      </c>
      <c r="L2192" s="20" t="inlineStr">
        <is>
          <t>Kesireddy Saikiran</t>
        </is>
      </c>
      <c r="M2192" s="23" t="n">
        <v>16949.15</v>
      </c>
      <c r="N2192" s="23" t="n">
        <v>20000</v>
      </c>
      <c r="O2192" s="24">
        <f>IF(AND(ISNUMBER(M2192), ISNUMBER(I2192), I2192&gt;0), M2192/I2192, "")</f>
        <v/>
      </c>
    </row>
    <row r="2193">
      <c r="A2193" s="19" t="inlineStr">
        <is>
          <t>FY27</t>
        </is>
      </c>
      <c r="B2193" s="19" t="inlineStr">
        <is>
          <t>Jun</t>
        </is>
      </c>
      <c r="C2193" s="19" t="inlineStr">
        <is>
          <t>AP/TS</t>
        </is>
      </c>
      <c r="D2193" s="20" t="inlineStr">
        <is>
          <t>TS07HR1050</t>
        </is>
      </c>
      <c r="E2193" s="20" t="inlineStr">
        <is>
          <t>MARUTI SUZUKI</t>
        </is>
      </c>
      <c r="F2193" s="20" t="inlineStr">
        <is>
          <t>Swift</t>
        </is>
      </c>
      <c r="G2193" s="21" t="n">
        <v>2021</v>
      </c>
      <c r="H2193" s="22" t="n">
        <v>44361</v>
      </c>
      <c r="I2193" s="23" t="n">
        <v>450000</v>
      </c>
      <c r="J2193" s="20" t="inlineStr">
        <is>
          <t>Exchange</t>
        </is>
      </c>
      <c r="K2193" s="20" t="inlineStr">
        <is>
          <t>Captive</t>
        </is>
      </c>
      <c r="L2193" s="20" t="inlineStr">
        <is>
          <t>K Surendra Reddy</t>
        </is>
      </c>
      <c r="M2193" s="23" t="n">
        <v>8474.58</v>
      </c>
      <c r="N2193" s="23" t="n">
        <v>10000</v>
      </c>
      <c r="O2193" s="24">
        <f>IF(AND(ISNUMBER(M2193), ISNUMBER(I2193), I2193&gt;0), M2193/I2193, "")</f>
        <v/>
      </c>
    </row>
    <row r="2194">
      <c r="A2194" s="19" t="inlineStr">
        <is>
          <t>FY27</t>
        </is>
      </c>
      <c r="B2194" s="19" t="inlineStr">
        <is>
          <t>Jun</t>
        </is>
      </c>
      <c r="C2194" s="19" t="inlineStr">
        <is>
          <t>AP/TS</t>
        </is>
      </c>
      <c r="D2194" s="20" t="inlineStr">
        <is>
          <t>AP10AJ5168</t>
        </is>
      </c>
      <c r="E2194" s="20" t="inlineStr">
        <is>
          <t>MARUTI SUZUKI</t>
        </is>
      </c>
      <c r="F2194" s="20" t="inlineStr">
        <is>
          <t>Alto</t>
        </is>
      </c>
      <c r="G2194" s="21" t="n">
        <v>2006</v>
      </c>
      <c r="H2194" s="22" t="n">
        <v>88251</v>
      </c>
      <c r="I2194" s="23" t="n">
        <v>45000</v>
      </c>
      <c r="J2194" s="20" t="inlineStr">
        <is>
          <t>Exchange</t>
        </is>
      </c>
      <c r="K2194" s="20" t="inlineStr">
        <is>
          <t>Captive</t>
        </is>
      </c>
      <c r="L2194" s="20" t="inlineStr">
        <is>
          <t>Odapally Sandeep</t>
        </is>
      </c>
      <c r="M2194" s="23" t="n">
        <v>4237.29</v>
      </c>
      <c r="N2194" s="23" t="n">
        <v>5000</v>
      </c>
      <c r="O2194" s="24">
        <f>IF(AND(ISNUMBER(M2194), ISNUMBER(I2194), I2194&gt;0), M2194/I2194, "")</f>
        <v/>
      </c>
    </row>
    <row r="2195">
      <c r="A2195" s="19" t="inlineStr">
        <is>
          <t>FY27</t>
        </is>
      </c>
      <c r="B2195" s="19" t="inlineStr">
        <is>
          <t>Jun</t>
        </is>
      </c>
      <c r="C2195" s="19" t="inlineStr">
        <is>
          <t>AP/TS</t>
        </is>
      </c>
      <c r="D2195" s="20" t="inlineStr">
        <is>
          <t>AP09CA8319</t>
        </is>
      </c>
      <c r="E2195" s="20" t="inlineStr">
        <is>
          <t>HONDA</t>
        </is>
      </c>
      <c r="F2195" s="20" t="inlineStr">
        <is>
          <t>City</t>
        </is>
      </c>
      <c r="G2195" s="21" t="n">
        <v>2010</v>
      </c>
      <c r="H2195" s="22" t="n">
        <v>113675</v>
      </c>
      <c r="I2195" s="23" t="n">
        <v>160000</v>
      </c>
      <c r="J2195" s="20" t="inlineStr">
        <is>
          <t>Exchange</t>
        </is>
      </c>
      <c r="K2195" s="20" t="inlineStr">
        <is>
          <t>Captive</t>
        </is>
      </c>
      <c r="L2195" s="20" t="inlineStr">
        <is>
          <t>Odapally Sandeep</t>
        </is>
      </c>
      <c r="M2195" s="23" t="n">
        <v>8474.58</v>
      </c>
      <c r="N2195" s="23" t="n">
        <v>10000</v>
      </c>
      <c r="O2195" s="24">
        <f>IF(AND(ISNUMBER(M2195), ISNUMBER(I2195), I2195&gt;0), M2195/I2195, "")</f>
        <v/>
      </c>
    </row>
    <row r="2196">
      <c r="A2196" s="19" t="inlineStr">
        <is>
          <t>FY27</t>
        </is>
      </c>
      <c r="B2196" s="19" t="inlineStr">
        <is>
          <t>Jun</t>
        </is>
      </c>
      <c r="C2196" s="19" t="inlineStr">
        <is>
          <t>AP/TS</t>
        </is>
      </c>
      <c r="D2196" s="20" t="inlineStr">
        <is>
          <t>AP31BT6919</t>
        </is>
      </c>
      <c r="E2196" s="20" t="inlineStr">
        <is>
          <t>HYUNDAI</t>
        </is>
      </c>
      <c r="F2196" s="20" t="inlineStr">
        <is>
          <t>I10</t>
        </is>
      </c>
      <c r="G2196" s="21" t="n">
        <v>2011</v>
      </c>
      <c r="H2196" s="22" t="n">
        <v>69278</v>
      </c>
      <c r="I2196" s="23" t="n">
        <v>128000</v>
      </c>
      <c r="J2196" s="20" t="inlineStr">
        <is>
          <t>Exchange</t>
        </is>
      </c>
      <c r="K2196" s="20" t="inlineStr">
        <is>
          <t>Captive</t>
        </is>
      </c>
      <c r="L2196" s="20" t="inlineStr">
        <is>
          <t>Gadi Sri Bharathi</t>
        </is>
      </c>
      <c r="M2196" s="23" t="n">
        <v>6779.66</v>
      </c>
      <c r="N2196" s="23" t="n">
        <v>8000</v>
      </c>
      <c r="O2196" s="24">
        <f>IF(AND(ISNUMBER(M2196), ISNUMBER(I2196), I2196&gt;0), M2196/I2196, "")</f>
        <v/>
      </c>
    </row>
    <row r="2197">
      <c r="A2197" s="19" t="inlineStr">
        <is>
          <t>FY27</t>
        </is>
      </c>
      <c r="B2197" s="19" t="inlineStr">
        <is>
          <t>Jun</t>
        </is>
      </c>
      <c r="C2197" s="19" t="inlineStr">
        <is>
          <t>AP/TS</t>
        </is>
      </c>
      <c r="D2197" s="20" t="inlineStr">
        <is>
          <t>AP09BV9038</t>
        </is>
      </c>
      <c r="E2197" s="20" t="inlineStr">
        <is>
          <t>HONDA</t>
        </is>
      </c>
      <c r="F2197" s="20" t="inlineStr">
        <is>
          <t>City</t>
        </is>
      </c>
      <c r="G2197" s="21" t="n">
        <v>2009</v>
      </c>
      <c r="H2197" s="22" t="n">
        <v>189142</v>
      </c>
      <c r="I2197" s="23" t="n">
        <v>75000</v>
      </c>
      <c r="J2197" s="20" t="inlineStr">
        <is>
          <t>Puneet Gupta</t>
        </is>
      </c>
      <c r="K2197" s="20" t="inlineStr">
        <is>
          <t>Non-Captive</t>
        </is>
      </c>
      <c r="L2197" s="20" t="inlineStr">
        <is>
          <t>Abdul Mugees</t>
        </is>
      </c>
      <c r="M2197" s="23" t="n">
        <v>4237.29</v>
      </c>
      <c r="N2197" s="23" t="n">
        <v>5000</v>
      </c>
      <c r="O2197" s="24">
        <f>IF(AND(ISNUMBER(M2197), ISNUMBER(I2197), I2197&gt;0), M2197/I2197, "")</f>
        <v/>
      </c>
    </row>
    <row r="2198">
      <c r="A2198" s="19" t="inlineStr">
        <is>
          <t>FY27</t>
        </is>
      </c>
      <c r="B2198" s="19" t="inlineStr">
        <is>
          <t>Jun</t>
        </is>
      </c>
      <c r="C2198" s="19" t="inlineStr">
        <is>
          <t>AP/TS</t>
        </is>
      </c>
      <c r="D2198" s="20" t="inlineStr">
        <is>
          <t>AP09BJ4154</t>
        </is>
      </c>
      <c r="E2198" s="20" t="inlineStr">
        <is>
          <t>HYUNDAI</t>
        </is>
      </c>
      <c r="F2198" s="20" t="inlineStr">
        <is>
          <t>Santro</t>
        </is>
      </c>
      <c r="G2198" s="21" t="n">
        <v>2007</v>
      </c>
      <c r="H2198" s="22" t="n">
        <v>194125</v>
      </c>
      <c r="I2198" s="23" t="n">
        <v>45000</v>
      </c>
      <c r="J2198" s="20" t="inlineStr">
        <is>
          <t>Puneet Gupta</t>
        </is>
      </c>
      <c r="K2198" s="20" t="inlineStr">
        <is>
          <t>Non-Captive</t>
        </is>
      </c>
      <c r="L2198" s="20" t="inlineStr">
        <is>
          <t>Abdul Mugees</t>
        </is>
      </c>
      <c r="M2198" s="23" t="n">
        <v>4237.29</v>
      </c>
      <c r="N2198" s="23" t="n">
        <v>5000</v>
      </c>
      <c r="O2198" s="24">
        <f>IF(AND(ISNUMBER(M2198), ISNUMBER(I2198), I2198&gt;0), M2198/I2198, "")</f>
        <v/>
      </c>
    </row>
    <row r="2199">
      <c r="A2199" s="19" t="inlineStr">
        <is>
          <t>FY27</t>
        </is>
      </c>
      <c r="B2199" s="19" t="inlineStr">
        <is>
          <t>Jun</t>
        </is>
      </c>
      <c r="C2199" s="19" t="inlineStr">
        <is>
          <t>AP/TS</t>
        </is>
      </c>
      <c r="D2199" s="20" t="inlineStr">
        <is>
          <t>AP39JD8006</t>
        </is>
      </c>
      <c r="E2199" s="20" t="inlineStr">
        <is>
          <t>HYUNDAI</t>
        </is>
      </c>
      <c r="F2199" s="20" t="inlineStr">
        <is>
          <t>I20</t>
        </is>
      </c>
      <c r="G2199" s="21" t="n">
        <v>2021</v>
      </c>
      <c r="H2199" s="22" t="n">
        <v>32101</v>
      </c>
      <c r="I2199" s="23" t="n">
        <v>380000</v>
      </c>
      <c r="J2199" s="20" t="inlineStr">
        <is>
          <t>Exchange</t>
        </is>
      </c>
      <c r="K2199" s="20" t="inlineStr">
        <is>
          <t>Captive</t>
        </is>
      </c>
      <c r="L2199" s="20" t="inlineStr">
        <is>
          <t>Shaik Rasul</t>
        </is>
      </c>
      <c r="M2199" s="23" t="n">
        <v>8474.58</v>
      </c>
      <c r="N2199" s="23" t="n">
        <v>10000</v>
      </c>
      <c r="O2199" s="24">
        <f>IF(AND(ISNUMBER(M2199), ISNUMBER(I2199), I2199&gt;0), M2199/I2199, "")</f>
        <v/>
      </c>
    </row>
    <row r="2200">
      <c r="A2200" s="19" t="inlineStr">
        <is>
          <t>FY27</t>
        </is>
      </c>
      <c r="B2200" s="19" t="inlineStr">
        <is>
          <t>Jun</t>
        </is>
      </c>
      <c r="C2200" s="19" t="inlineStr">
        <is>
          <t>AP/TS</t>
        </is>
      </c>
      <c r="D2200" s="20" t="inlineStr">
        <is>
          <t>AP31EM6677</t>
        </is>
      </c>
      <c r="E2200" s="20" t="inlineStr">
        <is>
          <t>HONDA</t>
        </is>
      </c>
      <c r="F2200" s="20" t="inlineStr">
        <is>
          <t>Brio</t>
        </is>
      </c>
      <c r="G2200" s="21" t="n">
        <v>2018</v>
      </c>
      <c r="H2200" s="22" t="n">
        <v>29567</v>
      </c>
      <c r="I2200" s="23" t="n">
        <v>338000</v>
      </c>
      <c r="J2200" s="20" t="inlineStr">
        <is>
          <t>Exchange</t>
        </is>
      </c>
      <c r="K2200" s="20" t="inlineStr">
        <is>
          <t>Captive</t>
        </is>
      </c>
      <c r="L2200" s="20" t="inlineStr">
        <is>
          <t>Kaki Dinesh Kumar</t>
        </is>
      </c>
      <c r="M2200" s="23" t="n">
        <v>8474.58</v>
      </c>
      <c r="N2200" s="23" t="n">
        <v>10000</v>
      </c>
      <c r="O2200" s="24">
        <f>IF(AND(ISNUMBER(M2200), ISNUMBER(I2200), I2200&gt;0), M2200/I2200, "")</f>
        <v/>
      </c>
    </row>
    <row r="2201">
      <c r="A2201" s="19" t="inlineStr">
        <is>
          <t>FY27</t>
        </is>
      </c>
      <c r="B2201" s="19" t="inlineStr">
        <is>
          <t>Jun</t>
        </is>
      </c>
      <c r="C2201" s="19" t="inlineStr">
        <is>
          <t>AP/TS</t>
        </is>
      </c>
      <c r="D2201" s="20" t="inlineStr">
        <is>
          <t>AP09CS2374</t>
        </is>
      </c>
      <c r="E2201" s="20" t="inlineStr">
        <is>
          <t>HONDA</t>
        </is>
      </c>
      <c r="F2201" s="20" t="inlineStr">
        <is>
          <t>Amaze</t>
        </is>
      </c>
      <c r="G2201" s="21" t="n">
        <v>2013</v>
      </c>
      <c r="H2201" s="22" t="n">
        <v>125802</v>
      </c>
      <c r="I2201" s="23" t="n">
        <v>251000</v>
      </c>
      <c r="J2201" s="20" t="inlineStr">
        <is>
          <t>Exchange</t>
        </is>
      </c>
      <c r="K2201" s="20" t="inlineStr">
        <is>
          <t>Captive</t>
        </is>
      </c>
      <c r="L2201" s="20" t="inlineStr">
        <is>
          <t>Abdul Mugees</t>
        </is>
      </c>
      <c r="M2201" s="23" t="n">
        <v>8474.58</v>
      </c>
      <c r="N2201" s="23" t="n">
        <v>10000</v>
      </c>
      <c r="O2201" s="24">
        <f>IF(AND(ISNUMBER(M2201), ISNUMBER(I2201), I2201&gt;0), M2201/I2201, "")</f>
        <v/>
      </c>
    </row>
    <row r="2202">
      <c r="A2202" s="19" t="inlineStr">
        <is>
          <t>FY27</t>
        </is>
      </c>
      <c r="B2202" s="19" t="inlineStr">
        <is>
          <t>Jun</t>
        </is>
      </c>
      <c r="C2202" s="19" t="inlineStr">
        <is>
          <t>AP/TS</t>
        </is>
      </c>
      <c r="D2202" s="20" t="inlineStr">
        <is>
          <t>TS09ET3105</t>
        </is>
      </c>
      <c r="E2202" s="20" t="inlineStr">
        <is>
          <t>MARUTI SUZUKI</t>
        </is>
      </c>
      <c r="F2202" s="20" t="inlineStr">
        <is>
          <t>Baleno</t>
        </is>
      </c>
      <c r="G2202" s="21" t="n">
        <v>2017</v>
      </c>
      <c r="H2202" s="22" t="n">
        <v>55021</v>
      </c>
      <c r="I2202" s="23" t="n">
        <v>370000</v>
      </c>
      <c r="J2202" s="20" t="inlineStr">
        <is>
          <t>Exchange</t>
        </is>
      </c>
      <c r="K2202" s="20" t="inlineStr">
        <is>
          <t>Captive</t>
        </is>
      </c>
      <c r="L2202" s="20" t="inlineStr">
        <is>
          <t>Abdul Mugees</t>
        </is>
      </c>
      <c r="M2202" s="23" t="n">
        <v>8474.58</v>
      </c>
      <c r="N2202" s="23" t="n">
        <v>10000</v>
      </c>
      <c r="O2202" s="24">
        <f>IF(AND(ISNUMBER(M2202), ISNUMBER(I2202), I2202&gt;0), M2202/I2202, "")</f>
        <v/>
      </c>
    </row>
    <row r="2203">
      <c r="A2203" s="19" t="inlineStr">
        <is>
          <t>FY27</t>
        </is>
      </c>
      <c r="B2203" s="19" t="inlineStr">
        <is>
          <t>Jun</t>
        </is>
      </c>
      <c r="C2203" s="19" t="inlineStr">
        <is>
          <t>AP/TS</t>
        </is>
      </c>
      <c r="D2203" s="20" t="inlineStr">
        <is>
          <t>AP10AM2200</t>
        </is>
      </c>
      <c r="E2203" s="20" t="inlineStr">
        <is>
          <t>SKODA</t>
        </is>
      </c>
      <c r="F2203" s="20" t="inlineStr">
        <is>
          <t>Laura</t>
        </is>
      </c>
      <c r="G2203" s="21" t="n">
        <v>2007</v>
      </c>
      <c r="H2203" s="22" t="n">
        <v>105689</v>
      </c>
      <c r="I2203" s="23" t="n">
        <v>92000</v>
      </c>
      <c r="J2203" s="20" t="inlineStr">
        <is>
          <t>Exchange</t>
        </is>
      </c>
      <c r="K2203" s="20" t="inlineStr">
        <is>
          <t>Captive</t>
        </is>
      </c>
      <c r="L2203" s="20" t="inlineStr">
        <is>
          <t>Uppari Sandeep Kumar</t>
        </is>
      </c>
      <c r="M2203" s="23" t="n">
        <v>5932.2</v>
      </c>
      <c r="N2203" s="23" t="n">
        <v>7000</v>
      </c>
      <c r="O2203" s="24">
        <f>IF(AND(ISNUMBER(M2203), ISNUMBER(I2203), I2203&gt;0), M2203/I2203, "")</f>
        <v/>
      </c>
    </row>
    <row r="2204">
      <c r="A2204" s="19" t="inlineStr">
        <is>
          <t>FY27</t>
        </is>
      </c>
      <c r="B2204" s="19" t="inlineStr">
        <is>
          <t>Jun</t>
        </is>
      </c>
      <c r="C2204" s="19" t="inlineStr">
        <is>
          <t>AP/TS</t>
        </is>
      </c>
      <c r="D2204" s="20" t="inlineStr">
        <is>
          <t>TS07FM9848</t>
        </is>
      </c>
      <c r="E2204" s="20" t="inlineStr">
        <is>
          <t>RENAULT</t>
        </is>
      </c>
      <c r="F2204" s="20" t="inlineStr">
        <is>
          <t>Kwid</t>
        </is>
      </c>
      <c r="G2204" s="21" t="n">
        <v>2017</v>
      </c>
      <c r="H2204" s="22" t="n">
        <v>141580</v>
      </c>
      <c r="I2204" s="23" t="n">
        <v>168000</v>
      </c>
      <c r="J2204" s="20" t="inlineStr">
        <is>
          <t>Puneet Gupta</t>
        </is>
      </c>
      <c r="K2204" s="20" t="inlineStr">
        <is>
          <t>Non-Captive</t>
        </is>
      </c>
      <c r="L2204" s="20" t="inlineStr">
        <is>
          <t>Uppari Sandeep Kumar</t>
        </is>
      </c>
      <c r="M2204" s="23" t="n">
        <v>5932.2</v>
      </c>
      <c r="N2204" s="23" t="n">
        <v>7000</v>
      </c>
      <c r="O2204" s="24">
        <f>IF(AND(ISNUMBER(M2204), ISNUMBER(I2204), I2204&gt;0), M2204/I2204, "")</f>
        <v/>
      </c>
    </row>
    <row r="2205">
      <c r="A2205" s="19" t="inlineStr">
        <is>
          <t>FY27</t>
        </is>
      </c>
      <c r="B2205" s="19" t="inlineStr">
        <is>
          <t>Jun</t>
        </is>
      </c>
      <c r="C2205" s="19" t="inlineStr">
        <is>
          <t>AP/TS</t>
        </is>
      </c>
      <c r="D2205" s="20" t="inlineStr">
        <is>
          <t>AP37TK1689</t>
        </is>
      </c>
      <c r="E2205" s="20" t="inlineStr">
        <is>
          <t>MARUTI SUZUKI</t>
        </is>
      </c>
      <c r="F2205" s="20" t="inlineStr">
        <is>
          <t>Swift Dzire</t>
        </is>
      </c>
      <c r="G2205" s="21" t="n">
        <v>2018</v>
      </c>
      <c r="H2205" s="22" t="n">
        <v>128589</v>
      </c>
      <c r="I2205" s="23" t="n">
        <v>435000</v>
      </c>
      <c r="J2205" s="20" t="inlineStr">
        <is>
          <t>Exchange</t>
        </is>
      </c>
      <c r="K2205" s="20" t="inlineStr">
        <is>
          <t>Captive</t>
        </is>
      </c>
      <c r="L2205" s="20" t="inlineStr">
        <is>
          <t>Mohammed Gouse Basha</t>
        </is>
      </c>
      <c r="M2205" s="23" t="n">
        <v>8474.58</v>
      </c>
      <c r="N2205" s="23" t="n">
        <v>10000</v>
      </c>
      <c r="O2205" s="24">
        <f>IF(AND(ISNUMBER(M2205), ISNUMBER(I2205), I2205&gt;0), M2205/I2205, "")</f>
        <v/>
      </c>
    </row>
    <row r="2206">
      <c r="A2206" s="19" t="inlineStr">
        <is>
          <t>FY27</t>
        </is>
      </c>
      <c r="B2206" s="19" t="inlineStr">
        <is>
          <t>Jun</t>
        </is>
      </c>
      <c r="C2206" s="19" t="inlineStr">
        <is>
          <t>AP/TS</t>
        </is>
      </c>
      <c r="D2206" s="20" t="inlineStr">
        <is>
          <t>AP09CB3447</t>
        </is>
      </c>
      <c r="E2206" s="20" t="inlineStr">
        <is>
          <t>TOYOTA</t>
        </is>
      </c>
      <c r="F2206" s="20" t="inlineStr">
        <is>
          <t>Innova</t>
        </is>
      </c>
      <c r="G2206" s="21" t="n">
        <v>2010</v>
      </c>
      <c r="H2206" s="22" t="n">
        <v>281452</v>
      </c>
      <c r="I2206" s="23" t="n">
        <v>200000</v>
      </c>
      <c r="J2206" s="20" t="inlineStr">
        <is>
          <t>Vinod Kumar Murari</t>
        </is>
      </c>
      <c r="K2206" s="20" t="inlineStr">
        <is>
          <t>Non-Captive</t>
        </is>
      </c>
      <c r="L2206" s="20" t="inlineStr">
        <is>
          <t>Mohammed Gouse Basha</t>
        </is>
      </c>
      <c r="M2206" s="23" t="n">
        <v>5932.2</v>
      </c>
      <c r="N2206" s="23" t="n">
        <v>7000</v>
      </c>
      <c r="O2206" s="24">
        <f>IF(AND(ISNUMBER(M2206), ISNUMBER(I2206), I2206&gt;0), M2206/I2206, "")</f>
        <v/>
      </c>
    </row>
    <row r="2207">
      <c r="A2207" s="19" t="inlineStr">
        <is>
          <t>FY27</t>
        </is>
      </c>
      <c r="B2207" s="19" t="inlineStr">
        <is>
          <t>Jun</t>
        </is>
      </c>
      <c r="C2207" s="19" t="inlineStr">
        <is>
          <t>AP/TS</t>
        </is>
      </c>
      <c r="D2207" s="20" t="inlineStr">
        <is>
          <t>AP37CU8559</t>
        </is>
      </c>
      <c r="E2207" s="20" t="inlineStr">
        <is>
          <t>HONDA</t>
        </is>
      </c>
      <c r="F2207" s="20" t="inlineStr">
        <is>
          <t>City</t>
        </is>
      </c>
      <c r="G2207" s="21" t="n">
        <v>2017</v>
      </c>
      <c r="H2207" s="22" t="n">
        <v>90210</v>
      </c>
      <c r="I2207" s="23" t="n">
        <v>397500</v>
      </c>
      <c r="J2207" s="20" t="inlineStr">
        <is>
          <t>Devarapalli Avinash</t>
        </is>
      </c>
      <c r="K2207" s="20" t="inlineStr">
        <is>
          <t>Non-Captive</t>
        </is>
      </c>
      <c r="L2207" s="20" t="inlineStr">
        <is>
          <t>Chittibomma Srinivasa Rao</t>
        </is>
      </c>
      <c r="M2207" s="23" t="n">
        <v>6355.93</v>
      </c>
      <c r="N2207" s="23" t="n">
        <v>7500</v>
      </c>
      <c r="O2207" s="24">
        <f>IF(AND(ISNUMBER(M2207), ISNUMBER(I2207), I2207&gt;0), M2207/I2207, "")</f>
        <v/>
      </c>
    </row>
    <row r="2208">
      <c r="A2208" s="19" t="inlineStr">
        <is>
          <t>FY27</t>
        </is>
      </c>
      <c r="B2208" s="19" t="inlineStr">
        <is>
          <t>Jun</t>
        </is>
      </c>
      <c r="C2208" s="19" t="inlineStr">
        <is>
          <t>AP/TS</t>
        </is>
      </c>
      <c r="D2208" s="20" t="inlineStr">
        <is>
          <t>AP16EF5035</t>
        </is>
      </c>
      <c r="E2208" s="20" t="inlineStr">
        <is>
          <t>HONDA</t>
        </is>
      </c>
      <c r="F2208" s="20" t="inlineStr">
        <is>
          <t>Brio</t>
        </is>
      </c>
      <c r="G2208" s="21" t="n">
        <v>2017</v>
      </c>
      <c r="H2208" s="22" t="n">
        <v>158025</v>
      </c>
      <c r="I2208" s="23" t="n">
        <v>200000</v>
      </c>
      <c r="J2208" s="20" t="inlineStr">
        <is>
          <t>Mohammed Gouse Basha</t>
        </is>
      </c>
      <c r="K2208" s="20" t="inlineStr">
        <is>
          <t>Non-Captive</t>
        </is>
      </c>
      <c r="L2208" s="20" t="inlineStr">
        <is>
          <t>Guthi Ravi Krishna</t>
        </is>
      </c>
      <c r="M2208" s="23" t="n">
        <v>5084.75</v>
      </c>
      <c r="N2208" s="23" t="n">
        <v>6000</v>
      </c>
      <c r="O2208" s="24">
        <f>IF(AND(ISNUMBER(M2208), ISNUMBER(I2208), I2208&gt;0), M2208/I2208, "")</f>
        <v/>
      </c>
    </row>
    <row r="2209">
      <c r="A2209" s="19" t="inlineStr">
        <is>
          <t>FY27</t>
        </is>
      </c>
      <c r="B2209" s="19" t="inlineStr">
        <is>
          <t>Jun</t>
        </is>
      </c>
      <c r="C2209" s="19" t="inlineStr">
        <is>
          <t>AP/TS</t>
        </is>
      </c>
      <c r="D2209" s="20" t="inlineStr">
        <is>
          <t>TS09EP6325</t>
        </is>
      </c>
      <c r="E2209" s="20" t="inlineStr">
        <is>
          <t>HONDA</t>
        </is>
      </c>
      <c r="F2209" s="20" t="inlineStr">
        <is>
          <t>Jazz</t>
        </is>
      </c>
      <c r="G2209" s="21" t="n">
        <v>2016</v>
      </c>
      <c r="H2209" s="22" t="n">
        <v>129952</v>
      </c>
      <c r="I2209" s="23" t="n">
        <v>190000</v>
      </c>
      <c r="J2209" s="20" t="inlineStr">
        <is>
          <t>Mohammed Gouse Basha</t>
        </is>
      </c>
      <c r="K2209" s="20" t="inlineStr">
        <is>
          <t>Non-Captive</t>
        </is>
      </c>
      <c r="L2209" s="20" t="inlineStr">
        <is>
          <t>Guthi Ravi Krishna</t>
        </is>
      </c>
      <c r="M2209" s="23" t="n">
        <v>5084.75</v>
      </c>
      <c r="N2209" s="23" t="n">
        <v>6000</v>
      </c>
      <c r="O2209" s="24">
        <f>IF(AND(ISNUMBER(M2209), ISNUMBER(I2209), I2209&gt;0), M2209/I2209, "")</f>
        <v/>
      </c>
    </row>
    <row r="2210">
      <c r="A2210" s="19" t="inlineStr">
        <is>
          <t>FY27</t>
        </is>
      </c>
      <c r="B2210" s="19" t="inlineStr">
        <is>
          <t>Jun</t>
        </is>
      </c>
      <c r="C2210" s="19" t="inlineStr">
        <is>
          <t>AP/TS</t>
        </is>
      </c>
      <c r="D2210" s="20" t="inlineStr">
        <is>
          <t>AP05EC8976</t>
        </is>
      </c>
      <c r="E2210" s="20" t="inlineStr">
        <is>
          <t>HONDA</t>
        </is>
      </c>
      <c r="F2210" s="20" t="inlineStr">
        <is>
          <t>Amaze</t>
        </is>
      </c>
      <c r="G2210" s="21" t="n">
        <v>2017</v>
      </c>
      <c r="H2210" s="22" t="n">
        <v>111002</v>
      </c>
      <c r="I2210" s="23" t="n">
        <v>228000</v>
      </c>
      <c r="J2210" s="20" t="inlineStr">
        <is>
          <t>Devarapalli Avinash</t>
        </is>
      </c>
      <c r="K2210" s="20" t="inlineStr">
        <is>
          <t>Non-Captive</t>
        </is>
      </c>
      <c r="L2210" s="20" t="inlineStr">
        <is>
          <t>Suresh Ginjupalli</t>
        </is>
      </c>
      <c r="M2210" s="23" t="n">
        <v>6779.66</v>
      </c>
      <c r="N2210" s="23" t="n">
        <v>8000</v>
      </c>
      <c r="O2210" s="24">
        <f>IF(AND(ISNUMBER(M2210), ISNUMBER(I2210), I2210&gt;0), M2210/I2210, "")</f>
        <v/>
      </c>
    </row>
    <row r="2211">
      <c r="A2211" s="19" t="inlineStr">
        <is>
          <t>FY27</t>
        </is>
      </c>
      <c r="B2211" s="19" t="inlineStr">
        <is>
          <t>Jun</t>
        </is>
      </c>
      <c r="C2211" s="19" t="inlineStr">
        <is>
          <t>AP/TS</t>
        </is>
      </c>
      <c r="D2211" s="20" t="inlineStr">
        <is>
          <t>AP16DG7789</t>
        </is>
      </c>
      <c r="E2211" s="20" t="inlineStr">
        <is>
          <t>HONDA</t>
        </is>
      </c>
      <c r="F2211" s="20" t="inlineStr">
        <is>
          <t>Amaze</t>
        </is>
      </c>
      <c r="G2211" s="21" t="n">
        <v>2015</v>
      </c>
      <c r="H2211" s="22" t="n">
        <v>172162</v>
      </c>
      <c r="I2211" s="23" t="n">
        <v>160000</v>
      </c>
      <c r="J2211" s="20" t="inlineStr">
        <is>
          <t>Exchange</t>
        </is>
      </c>
      <c r="K2211" s="20" t="inlineStr">
        <is>
          <t>Captive</t>
        </is>
      </c>
      <c r="L2211" s="20" t="inlineStr">
        <is>
          <t>Naga Suresh Polukonda</t>
        </is>
      </c>
      <c r="M2211" s="23" t="n">
        <v>8474.58</v>
      </c>
      <c r="N2211" s="23" t="n">
        <v>10000</v>
      </c>
      <c r="O2211" s="24">
        <f>IF(AND(ISNUMBER(M2211), ISNUMBER(I2211), I2211&gt;0), M2211/I2211, "")</f>
        <v/>
      </c>
    </row>
    <row r="2212">
      <c r="A2212" s="19" t="inlineStr">
        <is>
          <t>FY27</t>
        </is>
      </c>
      <c r="B2212" s="19" t="inlineStr">
        <is>
          <t>Jun</t>
        </is>
      </c>
      <c r="C2212" s="19" t="inlineStr">
        <is>
          <t>AP/TS</t>
        </is>
      </c>
      <c r="D2212" s="20" t="inlineStr">
        <is>
          <t>AP16BB9000</t>
        </is>
      </c>
      <c r="E2212" s="20" t="inlineStr">
        <is>
          <t>MARUTI SUZUKI</t>
        </is>
      </c>
      <c r="F2212" s="20" t="inlineStr">
        <is>
          <t>Alto</t>
        </is>
      </c>
      <c r="G2212" s="21" t="n">
        <v>2007</v>
      </c>
      <c r="H2212" s="22" t="n">
        <v>179546</v>
      </c>
      <c r="I2212" s="23" t="n">
        <v>50000</v>
      </c>
      <c r="J2212" s="20" t="inlineStr">
        <is>
          <t>Guthi Ravi Krishna</t>
        </is>
      </c>
      <c r="K2212" s="20" t="inlineStr">
        <is>
          <t>Non-Captive</t>
        </is>
      </c>
      <c r="L2212" s="20" t="inlineStr">
        <is>
          <t>Devarapalli Avinash</t>
        </is>
      </c>
      <c r="M2212" s="23" t="n">
        <v>4237.29</v>
      </c>
      <c r="N2212" s="23" t="n">
        <v>5000</v>
      </c>
      <c r="O2212" s="24">
        <f>IF(AND(ISNUMBER(M2212), ISNUMBER(I2212), I2212&gt;0), M2212/I2212, "")</f>
        <v/>
      </c>
    </row>
    <row r="2213">
      <c r="A2213" s="19" t="inlineStr">
        <is>
          <t>FY27</t>
        </is>
      </c>
      <c r="B2213" s="19" t="inlineStr">
        <is>
          <t>Jun</t>
        </is>
      </c>
      <c r="C2213" s="19" t="inlineStr">
        <is>
          <t>AP/TS</t>
        </is>
      </c>
      <c r="D2213" s="20" t="inlineStr">
        <is>
          <t>AP04AQ0747</t>
        </is>
      </c>
      <c r="E2213" s="20" t="inlineStr">
        <is>
          <t>MARUTI SUZUKI</t>
        </is>
      </c>
      <c r="F2213" s="20" t="inlineStr">
        <is>
          <t>Wagon R</t>
        </is>
      </c>
      <c r="G2213" s="21" t="n">
        <v>2012</v>
      </c>
      <c r="H2213" s="22" t="n">
        <v>189125</v>
      </c>
      <c r="I2213" s="23" t="n">
        <v>150000</v>
      </c>
      <c r="J2213" s="20" t="inlineStr">
        <is>
          <t>Guthi Ravi Krishna</t>
        </is>
      </c>
      <c r="K2213" s="20" t="inlineStr">
        <is>
          <t>Non-Captive</t>
        </is>
      </c>
      <c r="L2213" s="20" t="inlineStr">
        <is>
          <t>Vinod Kumar Murari</t>
        </is>
      </c>
      <c r="M2213" s="23" t="n">
        <v>5084.75</v>
      </c>
      <c r="N2213" s="23" t="n">
        <v>6000</v>
      </c>
      <c r="O2213" s="24">
        <f>IF(AND(ISNUMBER(M2213), ISNUMBER(I2213), I2213&gt;0), M2213/I2213, "")</f>
        <v/>
      </c>
    </row>
    <row r="2214">
      <c r="A2214" s="19" t="inlineStr">
        <is>
          <t>FY27</t>
        </is>
      </c>
      <c r="B2214" s="19" t="inlineStr">
        <is>
          <t>Jun</t>
        </is>
      </c>
      <c r="C2214" s="19" t="inlineStr">
        <is>
          <t>AP/TS</t>
        </is>
      </c>
      <c r="D2214" s="20" t="inlineStr">
        <is>
          <t>AP16DP3345</t>
        </is>
      </c>
      <c r="E2214" s="20" t="inlineStr">
        <is>
          <t>HONDA</t>
        </is>
      </c>
      <c r="F2214" s="20" t="inlineStr">
        <is>
          <t>Amaze</t>
        </is>
      </c>
      <c r="G2214" s="21" t="n">
        <v>2016</v>
      </c>
      <c r="H2214" s="22" t="n">
        <v>159309</v>
      </c>
      <c r="I2214" s="23" t="n">
        <v>321000</v>
      </c>
      <c r="J2214" s="20" t="inlineStr">
        <is>
          <t>Exchange</t>
        </is>
      </c>
      <c r="K2214" s="20" t="inlineStr">
        <is>
          <t>Captive</t>
        </is>
      </c>
      <c r="L2214" s="20" t="inlineStr">
        <is>
          <t>Chittibomma Srinivasa Rao</t>
        </is>
      </c>
      <c r="M2214" s="23" t="n">
        <v>8474.58</v>
      </c>
      <c r="N2214" s="23" t="n">
        <v>10000</v>
      </c>
      <c r="O2214" s="24">
        <f>IF(AND(ISNUMBER(M2214), ISNUMBER(I2214), I2214&gt;0), M2214/I2214, "")</f>
        <v/>
      </c>
    </row>
    <row r="2215">
      <c r="A2215" s="19" t="inlineStr">
        <is>
          <t>FY27</t>
        </is>
      </c>
      <c r="B2215" s="19" t="inlineStr">
        <is>
          <t>Jun</t>
        </is>
      </c>
      <c r="C2215" s="19" t="inlineStr">
        <is>
          <t>AP/TS</t>
        </is>
      </c>
      <c r="D2215" s="20" t="inlineStr">
        <is>
          <t>AP39DF5454</t>
        </is>
      </c>
      <c r="E2215" s="20" t="inlineStr">
        <is>
          <t>MARUTI SUZUKI</t>
        </is>
      </c>
      <c r="F2215" s="20" t="inlineStr">
        <is>
          <t>S-Cross</t>
        </is>
      </c>
      <c r="G2215" s="21" t="n">
        <v>2019</v>
      </c>
      <c r="H2215" s="22" t="n">
        <v>94558</v>
      </c>
      <c r="I2215" s="23" t="n">
        <v>357500</v>
      </c>
      <c r="J2215" s="20" t="inlineStr">
        <is>
          <t>Devarapalli Avinash</t>
        </is>
      </c>
      <c r="K2215" s="20" t="inlineStr">
        <is>
          <t>Non-Captive</t>
        </is>
      </c>
      <c r="L2215" s="20" t="inlineStr">
        <is>
          <t>Chittibomma Srinivasa Rao</t>
        </is>
      </c>
      <c r="M2215" s="23" t="n">
        <v>6355.93</v>
      </c>
      <c r="N2215" s="23" t="n">
        <v>7500</v>
      </c>
      <c r="O2215" s="24">
        <f>IF(AND(ISNUMBER(M2215), ISNUMBER(I2215), I2215&gt;0), M2215/I2215, "")</f>
        <v/>
      </c>
    </row>
    <row r="2216">
      <c r="A2216" s="19" t="inlineStr">
        <is>
          <t>FY27</t>
        </is>
      </c>
      <c r="B2216" s="19" t="inlineStr">
        <is>
          <t>Jun</t>
        </is>
      </c>
      <c r="C2216" s="19" t="inlineStr">
        <is>
          <t>AP/TS</t>
        </is>
      </c>
      <c r="D2216" s="20" t="inlineStr">
        <is>
          <t>AP31EQ5259</t>
        </is>
      </c>
      <c r="E2216" s="20" t="inlineStr">
        <is>
          <t>MARUTI SUZUKI</t>
        </is>
      </c>
      <c r="F2216" s="20" t="inlineStr">
        <is>
          <t>V Brezza</t>
        </is>
      </c>
      <c r="G2216" s="21" t="n">
        <v>2018</v>
      </c>
      <c r="H2216" s="22" t="n">
        <v>134547</v>
      </c>
      <c r="I2216" s="23" t="n">
        <v>397500</v>
      </c>
      <c r="J2216" s="20" t="inlineStr">
        <is>
          <t>Devarapalli Avinash</t>
        </is>
      </c>
      <c r="K2216" s="20" t="inlineStr">
        <is>
          <t>Non-Captive</t>
        </is>
      </c>
      <c r="L2216" s="20" t="inlineStr">
        <is>
          <t>Chittibomma Srinivasa Rao</t>
        </is>
      </c>
      <c r="M2216" s="23" t="n">
        <v>6355.93</v>
      </c>
      <c r="N2216" s="23" t="n">
        <v>7500</v>
      </c>
      <c r="O2216" s="24">
        <f>IF(AND(ISNUMBER(M2216), ISNUMBER(I2216), I2216&gt;0), M2216/I2216, "")</f>
        <v/>
      </c>
    </row>
    <row r="2217">
      <c r="A2217" s="19" t="inlineStr">
        <is>
          <t>FY27</t>
        </is>
      </c>
      <c r="B2217" s="19" t="inlineStr">
        <is>
          <t>Jun</t>
        </is>
      </c>
      <c r="C2217" s="19" t="inlineStr">
        <is>
          <t>AP/TS</t>
        </is>
      </c>
      <c r="D2217" s="20" t="inlineStr">
        <is>
          <t>AP09BM0311</t>
        </is>
      </c>
      <c r="E2217" s="20" t="inlineStr">
        <is>
          <t>HYUNDAI</t>
        </is>
      </c>
      <c r="F2217" s="20" t="inlineStr">
        <is>
          <t>Getz</t>
        </is>
      </c>
      <c r="G2217" s="21" t="n">
        <v>2007</v>
      </c>
      <c r="H2217" s="22" t="n">
        <v>198585</v>
      </c>
      <c r="I2217" s="23" t="n">
        <v>50000</v>
      </c>
      <c r="J2217" s="20" t="inlineStr">
        <is>
          <t>Chekkala Gangadhar Rao</t>
        </is>
      </c>
      <c r="K2217" s="20" t="inlineStr">
        <is>
          <t>Non-Captive</t>
        </is>
      </c>
      <c r="L2217" s="20" t="inlineStr">
        <is>
          <t>Tenali Srinivas</t>
        </is>
      </c>
      <c r="M2217" s="23" t="n">
        <v>5084.75</v>
      </c>
      <c r="N2217" s="23" t="n">
        <v>6000</v>
      </c>
      <c r="O2217" s="24">
        <f>IF(AND(ISNUMBER(M2217), ISNUMBER(I2217), I2217&gt;0), M2217/I2217, "")</f>
        <v/>
      </c>
    </row>
    <row r="2218">
      <c r="A2218" s="19" t="inlineStr">
        <is>
          <t>FY27</t>
        </is>
      </c>
      <c r="B2218" s="19" t="inlineStr">
        <is>
          <t>Jun</t>
        </is>
      </c>
      <c r="C2218" s="19" t="inlineStr">
        <is>
          <t>AP/TS</t>
        </is>
      </c>
      <c r="D2218" s="20" t="inlineStr">
        <is>
          <t>AP31BN6719</t>
        </is>
      </c>
      <c r="E2218" s="20" t="inlineStr">
        <is>
          <t>HYUNDAI</t>
        </is>
      </c>
      <c r="F2218" s="20" t="inlineStr">
        <is>
          <t>I10</t>
        </is>
      </c>
      <c r="G2218" s="21" t="n">
        <v>2011</v>
      </c>
      <c r="H2218" s="22" t="n">
        <v>89585</v>
      </c>
      <c r="I2218" s="23" t="n">
        <v>130000</v>
      </c>
      <c r="J2218" s="20" t="inlineStr">
        <is>
          <t>Chekkala Gangadhar Rao</t>
        </is>
      </c>
      <c r="K2218" s="20" t="inlineStr">
        <is>
          <t>Non-Captive</t>
        </is>
      </c>
      <c r="L2218" s="20" t="inlineStr">
        <is>
          <t>Tenali Srinivas</t>
        </is>
      </c>
      <c r="M2218" s="23" t="n">
        <v>5932.2</v>
      </c>
      <c r="N2218" s="23" t="n">
        <v>7000</v>
      </c>
      <c r="O2218" s="24">
        <f>IF(AND(ISNUMBER(M2218), ISNUMBER(I2218), I2218&gt;0), M2218/I2218, "")</f>
        <v/>
      </c>
    </row>
    <row r="2219">
      <c r="A2219" s="19" t="inlineStr">
        <is>
          <t>FY27</t>
        </is>
      </c>
      <c r="B2219" s="19" t="inlineStr">
        <is>
          <t>Jun</t>
        </is>
      </c>
      <c r="C2219" s="19" t="inlineStr">
        <is>
          <t>AP/TS</t>
        </is>
      </c>
      <c r="D2219" s="20" t="inlineStr">
        <is>
          <t>AP16CJ8453</t>
        </is>
      </c>
      <c r="E2219" s="20" t="inlineStr">
        <is>
          <t>HYUNDAI</t>
        </is>
      </c>
      <c r="F2219" s="20" t="inlineStr">
        <is>
          <t>I10</t>
        </is>
      </c>
      <c r="G2219" s="21" t="n">
        <v>2010</v>
      </c>
      <c r="H2219" s="22" t="n">
        <v>110521</v>
      </c>
      <c r="I2219" s="23" t="n">
        <v>120000</v>
      </c>
      <c r="J2219" s="20" t="inlineStr">
        <is>
          <t>Chekkala Gangadhar Rao</t>
        </is>
      </c>
      <c r="K2219" s="20" t="inlineStr">
        <is>
          <t>Non-Captive</t>
        </is>
      </c>
      <c r="L2219" s="20" t="inlineStr">
        <is>
          <t>Tenali Srinivas</t>
        </is>
      </c>
      <c r="M2219" s="23" t="n">
        <v>5932.2</v>
      </c>
      <c r="N2219" s="23" t="n">
        <v>7000</v>
      </c>
      <c r="O2219" s="24">
        <f>IF(AND(ISNUMBER(M2219), ISNUMBER(I2219), I2219&gt;0), M2219/I2219, "")</f>
        <v/>
      </c>
    </row>
    <row r="2220">
      <c r="A2220" s="19" t="inlineStr">
        <is>
          <t>FY27</t>
        </is>
      </c>
      <c r="B2220" s="19" t="inlineStr">
        <is>
          <t>Jun</t>
        </is>
      </c>
      <c r="C2220" s="19" t="inlineStr">
        <is>
          <t>AP/TS</t>
        </is>
      </c>
      <c r="D2220" s="20" t="inlineStr">
        <is>
          <t>AP09CG2277</t>
        </is>
      </c>
      <c r="E2220" s="20" t="inlineStr">
        <is>
          <t>HYUNDAI</t>
        </is>
      </c>
      <c r="F2220" s="20" t="inlineStr">
        <is>
          <t>I20</t>
        </is>
      </c>
      <c r="G2220" s="21" t="n">
        <v>2011</v>
      </c>
      <c r="H2220" s="22" t="n">
        <v>134011</v>
      </c>
      <c r="I2220" s="23" t="n">
        <v>133000</v>
      </c>
      <c r="J2220" s="20" t="inlineStr">
        <is>
          <t>Exchange</t>
        </is>
      </c>
      <c r="K2220" s="20" t="inlineStr">
        <is>
          <t>Captive</t>
        </is>
      </c>
      <c r="L2220" s="20" t="inlineStr">
        <is>
          <t>Koppuravuri Srinivasa Rao</t>
        </is>
      </c>
      <c r="M2220" s="23" t="n">
        <v>6779.66</v>
      </c>
      <c r="N2220" s="23" t="n">
        <v>8000</v>
      </c>
      <c r="O2220" s="24">
        <f>IF(AND(ISNUMBER(M2220), ISNUMBER(I2220), I2220&gt;0), M2220/I2220, "")</f>
        <v/>
      </c>
    </row>
    <row r="2221">
      <c r="A2221" s="19" t="inlineStr">
        <is>
          <t>FY27</t>
        </is>
      </c>
      <c r="B2221" s="19" t="inlineStr">
        <is>
          <t>Jun</t>
        </is>
      </c>
      <c r="C2221" s="19" t="inlineStr">
        <is>
          <t>AP/TS</t>
        </is>
      </c>
      <c r="D2221" s="20" t="inlineStr">
        <is>
          <t>TS07JS3369</t>
        </is>
      </c>
      <c r="E2221" s="20" t="inlineStr">
        <is>
          <t>CITROEN</t>
        </is>
      </c>
      <c r="F2221" s="20" t="inlineStr">
        <is>
          <t>C3</t>
        </is>
      </c>
      <c r="G2221" s="21" t="n">
        <v>2023</v>
      </c>
      <c r="H2221" s="22" t="n">
        <v>45459</v>
      </c>
      <c r="I2221" s="23" t="n">
        <v>270000</v>
      </c>
      <c r="J2221" s="20" t="inlineStr">
        <is>
          <t>Exchange</t>
        </is>
      </c>
      <c r="K2221" s="20" t="inlineStr">
        <is>
          <t>Captive</t>
        </is>
      </c>
      <c r="L2221" s="20" t="inlineStr">
        <is>
          <t>Addla Mithin (Sri Venkateswara Cars)</t>
        </is>
      </c>
      <c r="M2221" s="23" t="n">
        <v>8474.58</v>
      </c>
      <c r="N2221" s="23" t="n">
        <v>10000</v>
      </c>
      <c r="O2221" s="24">
        <f>IF(AND(ISNUMBER(M2221), ISNUMBER(I2221), I2221&gt;0), M2221/I2221, "")</f>
        <v/>
      </c>
    </row>
    <row r="2222">
      <c r="A2222" s="19" t="inlineStr">
        <is>
          <t>FY27</t>
        </is>
      </c>
      <c r="B2222" s="19" t="inlineStr">
        <is>
          <t>Jun</t>
        </is>
      </c>
      <c r="C2222" s="19" t="inlineStr">
        <is>
          <t>AP/TS</t>
        </is>
      </c>
      <c r="D2222" s="20" t="inlineStr">
        <is>
          <t>AP40DB5888</t>
        </is>
      </c>
      <c r="E2222" s="20" t="inlineStr">
        <is>
          <t>HONDA</t>
        </is>
      </c>
      <c r="F2222" s="20" t="inlineStr">
        <is>
          <t>Elevate</t>
        </is>
      </c>
      <c r="G2222" s="21" t="n">
        <v>2024</v>
      </c>
      <c r="H2222" s="22" t="n">
        <v>50541</v>
      </c>
      <c r="I2222" s="23" t="n">
        <v>985000</v>
      </c>
      <c r="J2222" s="20" t="inlineStr">
        <is>
          <t>Exchange</t>
        </is>
      </c>
      <c r="K2222" s="20" t="inlineStr">
        <is>
          <t>Captive</t>
        </is>
      </c>
      <c r="L2222" s="20" t="inlineStr">
        <is>
          <t>Odapally Sandeep</t>
        </is>
      </c>
      <c r="M2222" s="23" t="n">
        <v>16949.15</v>
      </c>
      <c r="N2222" s="23" t="n">
        <v>20000</v>
      </c>
      <c r="O2222" s="24">
        <f>IF(AND(ISNUMBER(M2222), ISNUMBER(I2222), I2222&gt;0), M2222/I2222, "")</f>
        <v/>
      </c>
    </row>
    <row r="2223">
      <c r="A2223" s="19" t="inlineStr">
        <is>
          <t>FY27</t>
        </is>
      </c>
      <c r="B2223" s="19" t="inlineStr">
        <is>
          <t>Jun</t>
        </is>
      </c>
      <c r="C2223" s="19" t="inlineStr">
        <is>
          <t>AP/TS</t>
        </is>
      </c>
      <c r="D2223" s="20" t="inlineStr">
        <is>
          <t>TS07EU2967</t>
        </is>
      </c>
      <c r="E2223" s="20" t="inlineStr">
        <is>
          <t>HYUNDAI</t>
        </is>
      </c>
      <c r="F2223" s="20" t="inlineStr">
        <is>
          <t>Eon</t>
        </is>
      </c>
      <c r="G2223" s="21" t="n">
        <v>2015</v>
      </c>
      <c r="H2223" s="22" t="n">
        <v>127894</v>
      </c>
      <c r="I2223" s="23" t="n">
        <v>126000</v>
      </c>
      <c r="J2223" s="20" t="inlineStr">
        <is>
          <t>Exchange</t>
        </is>
      </c>
      <c r="K2223" s="20" t="inlineStr">
        <is>
          <t>Captive</t>
        </is>
      </c>
      <c r="L2223" s="20" t="inlineStr">
        <is>
          <t>Odapally Sandeep</t>
        </is>
      </c>
      <c r="M2223" s="23" t="n">
        <v>5084.75</v>
      </c>
      <c r="N2223" s="23" t="n">
        <v>6000</v>
      </c>
      <c r="O2223" s="24">
        <f>IF(AND(ISNUMBER(M2223), ISNUMBER(I2223), I2223&gt;0), M2223/I2223, "")</f>
        <v/>
      </c>
    </row>
    <row r="2224">
      <c r="A2224" s="19" t="inlineStr">
        <is>
          <t>FY27</t>
        </is>
      </c>
      <c r="B2224" s="19" t="inlineStr">
        <is>
          <t>Jun</t>
        </is>
      </c>
      <c r="C2224" s="19" t="inlineStr">
        <is>
          <t>AP/TS</t>
        </is>
      </c>
      <c r="D2224" s="20" t="inlineStr">
        <is>
          <t>AP09BX0228</t>
        </is>
      </c>
      <c r="E2224" s="20" t="inlineStr">
        <is>
          <t>TATA</t>
        </is>
      </c>
      <c r="F2224" s="20" t="inlineStr">
        <is>
          <t>Nano</t>
        </is>
      </c>
      <c r="G2224" s="21" t="n">
        <v>2009</v>
      </c>
      <c r="H2224" s="22" t="n">
        <v>32247</v>
      </c>
      <c r="I2224" s="23" t="n">
        <v>44000</v>
      </c>
      <c r="J2224" s="20" t="inlineStr">
        <is>
          <t>Exchange</t>
        </is>
      </c>
      <c r="K2224" s="20" t="inlineStr">
        <is>
          <t>Captive</t>
        </is>
      </c>
      <c r="L2224" s="20" t="inlineStr">
        <is>
          <t>Gopal</t>
        </is>
      </c>
      <c r="M2224" s="23" t="n">
        <v>5084.75</v>
      </c>
      <c r="N2224" s="23" t="n">
        <v>6000</v>
      </c>
      <c r="O2224" s="24">
        <f>IF(AND(ISNUMBER(M2224), ISNUMBER(I2224), I2224&gt;0), M2224/I2224, "")</f>
        <v/>
      </c>
    </row>
    <row r="2225">
      <c r="A2225" s="19" t="inlineStr">
        <is>
          <t>FY27</t>
        </is>
      </c>
      <c r="B2225" s="19" t="inlineStr">
        <is>
          <t>Jun</t>
        </is>
      </c>
      <c r="C2225" s="19" t="inlineStr">
        <is>
          <t>AP/TS</t>
        </is>
      </c>
      <c r="D2225" s="20" t="inlineStr">
        <is>
          <t>AP31EM9311</t>
        </is>
      </c>
      <c r="E2225" s="20" t="inlineStr">
        <is>
          <t>TATA</t>
        </is>
      </c>
      <c r="F2225" s="20" t="inlineStr">
        <is>
          <t>Tigore</t>
        </is>
      </c>
      <c r="G2225" s="21" t="n">
        <v>2018</v>
      </c>
      <c r="H2225" s="22" t="n">
        <v>80398</v>
      </c>
      <c r="I2225" s="23" t="n">
        <v>335000</v>
      </c>
      <c r="J2225" s="20" t="inlineStr">
        <is>
          <t>Exchange</t>
        </is>
      </c>
      <c r="K2225" s="20" t="inlineStr">
        <is>
          <t>Captive</t>
        </is>
      </c>
      <c r="L2225" s="20" t="inlineStr">
        <is>
          <t>Nakka Chandrasekhar (Cs Cars)</t>
        </is>
      </c>
      <c r="M2225" s="23" t="n">
        <v>8474.58</v>
      </c>
      <c r="N2225" s="23" t="n">
        <v>10000</v>
      </c>
      <c r="O2225" s="24">
        <f>IF(AND(ISNUMBER(M2225), ISNUMBER(I2225), I2225&gt;0), M2225/I2225, "")</f>
        <v/>
      </c>
    </row>
    <row r="2226">
      <c r="A2226" s="19" t="inlineStr">
        <is>
          <t>FY27</t>
        </is>
      </c>
      <c r="B2226" s="19" t="inlineStr">
        <is>
          <t>Jun</t>
        </is>
      </c>
      <c r="C2226" s="19" t="inlineStr">
        <is>
          <t>AP/TS</t>
        </is>
      </c>
      <c r="D2226" s="20" t="inlineStr">
        <is>
          <t>TS32B3368</t>
        </is>
      </c>
      <c r="E2226" s="20" t="inlineStr">
        <is>
          <t>RENAULT</t>
        </is>
      </c>
      <c r="F2226" s="20" t="inlineStr">
        <is>
          <t>Kwid</t>
        </is>
      </c>
      <c r="G2226" s="21" t="n">
        <v>2017</v>
      </c>
      <c r="H2226" s="22" t="n">
        <v>121589</v>
      </c>
      <c r="I2226" s="23" t="n">
        <v>148000</v>
      </c>
      <c r="J2226" s="20" t="inlineStr">
        <is>
          <t>Mohammed Ghouse</t>
        </is>
      </c>
      <c r="K2226" s="20" t="inlineStr">
        <is>
          <t>Non-Captive</t>
        </is>
      </c>
      <c r="L2226" s="20" t="inlineStr">
        <is>
          <t>Odapally Sandeep</t>
        </is>
      </c>
      <c r="M2226" s="23" t="n">
        <v>5084.75</v>
      </c>
      <c r="N2226" s="23" t="n">
        <v>6000</v>
      </c>
      <c r="O2226" s="24">
        <f>IF(AND(ISNUMBER(M2226), ISNUMBER(I2226), I2226&gt;0), M2226/I2226, "")</f>
        <v/>
      </c>
    </row>
    <row r="2227">
      <c r="A2227" s="19" t="inlineStr">
        <is>
          <t>FY27</t>
        </is>
      </c>
      <c r="B2227" s="19" t="inlineStr">
        <is>
          <t>Jun</t>
        </is>
      </c>
      <c r="C2227" s="19" t="inlineStr">
        <is>
          <t>AP/TS</t>
        </is>
      </c>
      <c r="D2227" s="20" t="inlineStr">
        <is>
          <t>TS09ES1602</t>
        </is>
      </c>
      <c r="E2227" s="20" t="inlineStr">
        <is>
          <t>HONDA</t>
        </is>
      </c>
      <c r="F2227" s="20" t="inlineStr">
        <is>
          <t>Brio</t>
        </is>
      </c>
      <c r="G2227" s="21" t="n">
        <v>2016</v>
      </c>
      <c r="H2227" s="22" t="n">
        <v>101252</v>
      </c>
      <c r="I2227" s="23" t="n">
        <v>190000</v>
      </c>
      <c r="J2227" s="20" t="inlineStr">
        <is>
          <t>Mohammed Ghouse</t>
        </is>
      </c>
      <c r="K2227" s="20" t="inlineStr">
        <is>
          <t>Non-Captive</t>
        </is>
      </c>
      <c r="L2227" s="20" t="inlineStr">
        <is>
          <t>Odapally Sandeep</t>
        </is>
      </c>
      <c r="M2227" s="23" t="n">
        <v>5932.2</v>
      </c>
      <c r="N2227" s="23" t="n">
        <v>7000</v>
      </c>
      <c r="O2227" s="24">
        <f>IF(AND(ISNUMBER(M2227), ISNUMBER(I2227), I2227&gt;0), M2227/I2227, "")</f>
        <v/>
      </c>
    </row>
    <row r="2228">
      <c r="A2228" s="19" t="inlineStr">
        <is>
          <t>FY27</t>
        </is>
      </c>
      <c r="B2228" s="19" t="inlineStr">
        <is>
          <t>Jun</t>
        </is>
      </c>
      <c r="C2228" s="19" t="inlineStr">
        <is>
          <t>AP/TS</t>
        </is>
      </c>
      <c r="D2228" s="20" t="inlineStr">
        <is>
          <t>TS15EX5285</t>
        </is>
      </c>
      <c r="E2228" s="20" t="inlineStr">
        <is>
          <t>MARUTI SUZUKI</t>
        </is>
      </c>
      <c r="F2228" s="20" t="inlineStr">
        <is>
          <t>Alto</t>
        </is>
      </c>
      <c r="G2228" s="21" t="n">
        <v>2019</v>
      </c>
      <c r="H2228" s="22" t="n">
        <v>105457</v>
      </c>
      <c r="I2228" s="23" t="n">
        <v>190000</v>
      </c>
      <c r="J2228" s="20" t="inlineStr">
        <is>
          <t>Mohammed Ghouse</t>
        </is>
      </c>
      <c r="K2228" s="20" t="inlineStr">
        <is>
          <t>Non-Captive</t>
        </is>
      </c>
      <c r="L2228" s="20" t="inlineStr">
        <is>
          <t>Odapally Sandeep</t>
        </is>
      </c>
      <c r="M2228" s="23" t="n">
        <v>5084.75</v>
      </c>
      <c r="N2228" s="23" t="n">
        <v>6000</v>
      </c>
      <c r="O2228" s="24">
        <f>IF(AND(ISNUMBER(M2228), ISNUMBER(I2228), I2228&gt;0), M2228/I2228, "")</f>
        <v/>
      </c>
    </row>
    <row r="2229">
      <c r="A2229" s="19" t="inlineStr">
        <is>
          <t>FY27</t>
        </is>
      </c>
      <c r="B2229" s="19" t="inlineStr">
        <is>
          <t>Jun</t>
        </is>
      </c>
      <c r="C2229" s="19" t="inlineStr">
        <is>
          <t>AP/TS</t>
        </is>
      </c>
      <c r="D2229" s="20" t="inlineStr">
        <is>
          <t>AP28DV5467</t>
        </is>
      </c>
      <c r="E2229" s="20" t="inlineStr">
        <is>
          <t>HONDA</t>
        </is>
      </c>
      <c r="F2229" s="20" t="inlineStr">
        <is>
          <t>Brio</t>
        </is>
      </c>
      <c r="G2229" s="21" t="n">
        <v>2013</v>
      </c>
      <c r="H2229" s="22" t="n">
        <v>98565</v>
      </c>
      <c r="I2229" s="23" t="n">
        <v>172000</v>
      </c>
      <c r="J2229" s="20" t="inlineStr">
        <is>
          <t>Mohammed Ghouse</t>
        </is>
      </c>
      <c r="K2229" s="20" t="inlineStr">
        <is>
          <t>Non-Captive</t>
        </is>
      </c>
      <c r="L2229" s="20" t="inlineStr">
        <is>
          <t>Odapally Sandeep</t>
        </is>
      </c>
      <c r="M2229" s="23" t="n">
        <v>5084.75</v>
      </c>
      <c r="N2229" s="23" t="n">
        <v>6000</v>
      </c>
      <c r="O2229" s="24">
        <f>IF(AND(ISNUMBER(M2229), ISNUMBER(I2229), I2229&gt;0), M2229/I2229, "")</f>
        <v/>
      </c>
    </row>
    <row r="2230">
      <c r="A2230" s="19" t="inlineStr">
        <is>
          <t>FY27</t>
        </is>
      </c>
      <c r="B2230" s="19" t="inlineStr">
        <is>
          <t>Jun</t>
        </is>
      </c>
      <c r="C2230" s="19" t="inlineStr">
        <is>
          <t>AP/TS</t>
        </is>
      </c>
      <c r="D2230" s="20" t="inlineStr">
        <is>
          <t>AP21BP2830</t>
        </is>
      </c>
      <c r="E2230" s="20" t="inlineStr">
        <is>
          <t>MARUTI SUZUKI</t>
        </is>
      </c>
      <c r="F2230" s="20" t="inlineStr">
        <is>
          <t>Swift</t>
        </is>
      </c>
      <c r="G2230" s="21" t="n">
        <v>2016</v>
      </c>
      <c r="H2230" s="22" t="n">
        <v>135832</v>
      </c>
      <c r="I2230" s="23" t="n">
        <v>338000</v>
      </c>
      <c r="J2230" s="20" t="inlineStr">
        <is>
          <t>Exchange</t>
        </is>
      </c>
      <c r="K2230" s="20" t="inlineStr">
        <is>
          <t>Captive</t>
        </is>
      </c>
      <c r="L2230" s="20" t="inlineStr">
        <is>
          <t>Mohammed Faiz Ur Rehman</t>
        </is>
      </c>
      <c r="M2230" s="23" t="n">
        <v>6779.66</v>
      </c>
      <c r="N2230" s="23" t="n">
        <v>8000</v>
      </c>
      <c r="O2230" s="24">
        <f>IF(AND(ISNUMBER(M2230), ISNUMBER(I2230), I2230&gt;0), M2230/I2230, "")</f>
        <v/>
      </c>
    </row>
    <row r="2231">
      <c r="A2231" s="19" t="inlineStr">
        <is>
          <t>FY27</t>
        </is>
      </c>
      <c r="B2231" s="19" t="inlineStr">
        <is>
          <t>Jun</t>
        </is>
      </c>
      <c r="C2231" s="19" t="inlineStr">
        <is>
          <t>AP/TS</t>
        </is>
      </c>
      <c r="D2231" s="20" t="inlineStr">
        <is>
          <t>AP10AR0852</t>
        </is>
      </c>
      <c r="E2231" s="20" t="inlineStr">
        <is>
          <t>HYUNDAI</t>
        </is>
      </c>
      <c r="F2231" s="20" t="inlineStr">
        <is>
          <t>I20</t>
        </is>
      </c>
      <c r="G2231" s="21" t="n">
        <v>2009</v>
      </c>
      <c r="H2231" s="22" t="n">
        <v>44328</v>
      </c>
      <c r="I2231" s="23" t="n">
        <v>152000</v>
      </c>
      <c r="J2231" s="20" t="inlineStr">
        <is>
          <t>Exchange</t>
        </is>
      </c>
      <c r="K2231" s="20" t="inlineStr">
        <is>
          <t>Captive</t>
        </is>
      </c>
      <c r="L2231" s="20" t="inlineStr">
        <is>
          <t>Mohammed Faiz Ur Rehman</t>
        </is>
      </c>
      <c r="M2231" s="23" t="n">
        <v>5932.2</v>
      </c>
      <c r="N2231" s="23" t="n">
        <v>7000</v>
      </c>
      <c r="O2231" s="24">
        <f>IF(AND(ISNUMBER(M2231), ISNUMBER(I2231), I2231&gt;0), M2231/I2231, "")</f>
        <v/>
      </c>
    </row>
    <row r="2232">
      <c r="A2232" s="19" t="inlineStr">
        <is>
          <t>FY27</t>
        </is>
      </c>
      <c r="B2232" s="19" t="inlineStr">
        <is>
          <t>Jun</t>
        </is>
      </c>
      <c r="C2232" s="19" t="inlineStr">
        <is>
          <t>AP/TS</t>
        </is>
      </c>
      <c r="D2232" s="20" t="inlineStr">
        <is>
          <t>AP23Q7056</t>
        </is>
      </c>
      <c r="E2232" s="20" t="inlineStr">
        <is>
          <t>HYUNDAI</t>
        </is>
      </c>
      <c r="F2232" s="20" t="inlineStr">
        <is>
          <t>Getz</t>
        </is>
      </c>
      <c r="G2232" s="21" t="n">
        <v>2008</v>
      </c>
      <c r="H2232" s="22" t="n">
        <v>134160</v>
      </c>
      <c r="I2232" s="23" t="n">
        <v>55000</v>
      </c>
      <c r="J2232" s="20" t="inlineStr">
        <is>
          <t>Puneet Gupta</t>
        </is>
      </c>
      <c r="K2232" s="20" t="inlineStr">
        <is>
          <t>Non-Captive</t>
        </is>
      </c>
      <c r="L2232" s="20" t="inlineStr">
        <is>
          <t>Mohammed Faiz Ur Rehman</t>
        </is>
      </c>
      <c r="M2232" s="23" t="n">
        <v>4237.29</v>
      </c>
      <c r="N2232" s="23" t="n">
        <v>5000</v>
      </c>
      <c r="O2232" s="24">
        <f>IF(AND(ISNUMBER(M2232), ISNUMBER(I2232), I2232&gt;0), M2232/I2232, "")</f>
        <v/>
      </c>
    </row>
    <row r="2233">
      <c r="A2233" s="19" t="inlineStr">
        <is>
          <t>FY27</t>
        </is>
      </c>
      <c r="B2233" s="19" t="inlineStr">
        <is>
          <t>Jun</t>
        </is>
      </c>
      <c r="C2233" s="19" t="inlineStr">
        <is>
          <t>AP/TS</t>
        </is>
      </c>
      <c r="D2233" s="20" t="inlineStr">
        <is>
          <t>TS09FS1056</t>
        </is>
      </c>
      <c r="E2233" s="20" t="inlineStr">
        <is>
          <t>MARUTI SUZUKI</t>
        </is>
      </c>
      <c r="F2233" s="20" t="inlineStr">
        <is>
          <t>Ciaz</t>
        </is>
      </c>
      <c r="G2233" s="21" t="n">
        <v>2021</v>
      </c>
      <c r="H2233" s="22" t="n">
        <v>108765</v>
      </c>
      <c r="I2233" s="23" t="n">
        <v>460000</v>
      </c>
      <c r="J2233" s="20" t="inlineStr">
        <is>
          <t>Exchange</t>
        </is>
      </c>
      <c r="K2233" s="20" t="inlineStr">
        <is>
          <t>Captive</t>
        </is>
      </c>
      <c r="L2233" s="20" t="inlineStr">
        <is>
          <t>Prabjyoth Singh Wasu</t>
        </is>
      </c>
      <c r="M2233" s="23" t="n">
        <v>8474.58</v>
      </c>
      <c r="N2233" s="23" t="n">
        <v>10000</v>
      </c>
      <c r="O2233" s="24">
        <f>IF(AND(ISNUMBER(M2233), ISNUMBER(I2233), I2233&gt;0), M2233/I2233, "")</f>
        <v/>
      </c>
    </row>
    <row r="2234">
      <c r="A2234" s="19" t="inlineStr">
        <is>
          <t>FY27</t>
        </is>
      </c>
      <c r="B2234" s="19" t="inlineStr">
        <is>
          <t>Jun</t>
        </is>
      </c>
      <c r="C2234" s="19" t="inlineStr">
        <is>
          <t>AP/TS</t>
        </is>
      </c>
      <c r="D2234" s="20" t="inlineStr">
        <is>
          <t>AP16FG2222</t>
        </is>
      </c>
      <c r="E2234" s="20" t="inlineStr">
        <is>
          <t>HONDA</t>
        </is>
      </c>
      <c r="F2234" s="20" t="inlineStr">
        <is>
          <t>Amaze</t>
        </is>
      </c>
      <c r="G2234" s="21" t="n">
        <v>2018</v>
      </c>
      <c r="H2234" s="22" t="n">
        <v>65087</v>
      </c>
      <c r="I2234" s="23" t="n">
        <v>387500</v>
      </c>
      <c r="J2234" s="20" t="inlineStr">
        <is>
          <t>Exchange</t>
        </is>
      </c>
      <c r="K2234" s="20" t="inlineStr">
        <is>
          <t>Captive</t>
        </is>
      </c>
      <c r="L2234" s="20" t="inlineStr">
        <is>
          <t>Koppuravuri Srinivasa Rao</t>
        </is>
      </c>
      <c r="M2234" s="23" t="n">
        <v>6355.93</v>
      </c>
      <c r="N2234" s="23" t="n">
        <v>7500</v>
      </c>
      <c r="O2234" s="24">
        <f>IF(AND(ISNUMBER(M2234), ISNUMBER(I2234), I2234&gt;0), M2234/I2234, "")</f>
        <v/>
      </c>
    </row>
    <row r="2235">
      <c r="A2235" s="19" t="inlineStr">
        <is>
          <t>FY27</t>
        </is>
      </c>
      <c r="B2235" s="19" t="inlineStr">
        <is>
          <t>Jun</t>
        </is>
      </c>
      <c r="C2235" s="19" t="inlineStr">
        <is>
          <t>AP/TS</t>
        </is>
      </c>
      <c r="D2235" s="20" t="inlineStr">
        <is>
          <t>AP31AQ3301</t>
        </is>
      </c>
      <c r="E2235" s="20" t="inlineStr">
        <is>
          <t>MARUTI SUZUKI</t>
        </is>
      </c>
      <c r="F2235" s="20" t="inlineStr">
        <is>
          <t>Alto</t>
        </is>
      </c>
      <c r="G2235" s="21" t="n">
        <v>2006</v>
      </c>
      <c r="H2235" s="22" t="n">
        <v>168521</v>
      </c>
      <c r="I2235" s="23" t="n">
        <v>30000</v>
      </c>
      <c r="J2235" s="20" t="inlineStr">
        <is>
          <t>T Srinivas</t>
        </is>
      </c>
      <c r="K2235" s="20" t="inlineStr">
        <is>
          <t>Non-Captive</t>
        </is>
      </c>
      <c r="L2235" s="20" t="inlineStr">
        <is>
          <t>Koppuravuri Srinivasa Rao</t>
        </is>
      </c>
      <c r="M2235" s="23" t="n">
        <v>5932.2</v>
      </c>
      <c r="N2235" s="23" t="n">
        <v>7000</v>
      </c>
      <c r="O2235" s="24">
        <f>IF(AND(ISNUMBER(M2235), ISNUMBER(I2235), I2235&gt;0), M2235/I2235, "")</f>
        <v/>
      </c>
    </row>
    <row r="2236">
      <c r="A2236" s="19" t="inlineStr">
        <is>
          <t>FY27</t>
        </is>
      </c>
      <c r="B2236" s="19" t="inlineStr">
        <is>
          <t>Jun</t>
        </is>
      </c>
      <c r="C2236" s="19" t="inlineStr">
        <is>
          <t>AP/TS</t>
        </is>
      </c>
      <c r="D2236" s="20" t="inlineStr">
        <is>
          <t>AP40H9819</t>
        </is>
      </c>
      <c r="E2236" s="20" t="inlineStr">
        <is>
          <t>MAHINDRA</t>
        </is>
      </c>
      <c r="F2236" s="20" t="inlineStr">
        <is>
          <t>Xuv300</t>
        </is>
      </c>
      <c r="G2236" s="21" t="n">
        <v>2023</v>
      </c>
      <c r="H2236" s="22" t="n">
        <v>70110</v>
      </c>
      <c r="I2236" s="23" t="n">
        <v>825000</v>
      </c>
      <c r="J2236" s="20" t="inlineStr">
        <is>
          <t>Exchange</t>
        </is>
      </c>
      <c r="K2236" s="20" t="inlineStr">
        <is>
          <t>Captive</t>
        </is>
      </c>
      <c r="L2236" s="20" t="inlineStr">
        <is>
          <t>Vedicherla Sudheer Reddy - VSR Cars</t>
        </is>
      </c>
      <c r="M2236" s="23" t="n">
        <v>12711.86</v>
      </c>
      <c r="N2236" s="23" t="n">
        <v>15000</v>
      </c>
      <c r="O2236" s="24">
        <f>IF(AND(ISNUMBER(M2236), ISNUMBER(I2236), I2236&gt;0), M2236/I2236, "")</f>
        <v/>
      </c>
    </row>
    <row r="2237">
      <c r="A2237" s="19" t="inlineStr">
        <is>
          <t>FY27</t>
        </is>
      </c>
      <c r="B2237" s="19" t="inlineStr">
        <is>
          <t>Jun</t>
        </is>
      </c>
      <c r="C2237" s="19" t="inlineStr">
        <is>
          <t>AP/TS</t>
        </is>
      </c>
      <c r="D2237" s="20" t="inlineStr">
        <is>
          <t>AP07CG1361</t>
        </is>
      </c>
      <c r="E2237" s="20" t="inlineStr">
        <is>
          <t>HYUNDAI</t>
        </is>
      </c>
      <c r="F2237" s="20" t="inlineStr">
        <is>
          <t>Grand I10</t>
        </is>
      </c>
      <c r="G2237" s="21" t="n">
        <v>2014</v>
      </c>
      <c r="H2237" s="22" t="n">
        <v>254125</v>
      </c>
      <c r="I2237" s="23" t="n">
        <v>187000</v>
      </c>
      <c r="J2237" s="20" t="inlineStr">
        <is>
          <t>Exchange</t>
        </is>
      </c>
      <c r="K2237" s="20" t="inlineStr">
        <is>
          <t>Captive</t>
        </is>
      </c>
      <c r="L2237" s="20" t="inlineStr">
        <is>
          <t>Vedicherla Sudheer Reddy - VSR Cars</t>
        </is>
      </c>
      <c r="M2237" s="23" t="n">
        <v>5932.2</v>
      </c>
      <c r="N2237" s="23" t="n">
        <v>7000</v>
      </c>
      <c r="O2237" s="24">
        <f>IF(AND(ISNUMBER(M2237), ISNUMBER(I2237), I2237&gt;0), M2237/I2237, "")</f>
        <v/>
      </c>
    </row>
    <row r="2238">
      <c r="A2238" s="19" t="inlineStr">
        <is>
          <t>FY27</t>
        </is>
      </c>
      <c r="B2238" s="19" t="inlineStr">
        <is>
          <t>Jun</t>
        </is>
      </c>
      <c r="C2238" s="19" t="inlineStr">
        <is>
          <t>AP/TS</t>
        </is>
      </c>
      <c r="D2238" s="20" t="inlineStr">
        <is>
          <t>AP39DW0459</t>
        </is>
      </c>
      <c r="E2238" s="20" t="inlineStr">
        <is>
          <t>MARUTI SUZUKI</t>
        </is>
      </c>
      <c r="F2238" s="20" t="inlineStr">
        <is>
          <t>Ignis</t>
        </is>
      </c>
      <c r="G2238" s="21" t="n">
        <v>2019</v>
      </c>
      <c r="H2238" s="22" t="n">
        <v>72520</v>
      </c>
      <c r="I2238" s="23" t="n">
        <v>287500</v>
      </c>
      <c r="J2238" s="20" t="inlineStr">
        <is>
          <t>Guthi Ravi Krishna</t>
        </is>
      </c>
      <c r="K2238" s="20" t="inlineStr">
        <is>
          <t>Non-Captive</t>
        </is>
      </c>
      <c r="L2238" s="20" t="inlineStr">
        <is>
          <t>Suresh Ginjupalli</t>
        </is>
      </c>
      <c r="M2238" s="23" t="n">
        <v>6355.93</v>
      </c>
      <c r="N2238" s="23" t="n">
        <v>7500</v>
      </c>
      <c r="O2238" s="24">
        <f>IF(AND(ISNUMBER(M2238), ISNUMBER(I2238), I2238&gt;0), M2238/I2238, "")</f>
        <v/>
      </c>
    </row>
    <row r="2239">
      <c r="A2239" s="19" t="inlineStr">
        <is>
          <t>FY27</t>
        </is>
      </c>
      <c r="B2239" s="19" t="inlineStr">
        <is>
          <t>Jun</t>
        </is>
      </c>
      <c r="C2239" s="19" t="inlineStr">
        <is>
          <t>AP/TS</t>
        </is>
      </c>
      <c r="D2239" s="20" t="inlineStr">
        <is>
          <t>AP16DP0126</t>
        </is>
      </c>
      <c r="E2239" s="20" t="inlineStr">
        <is>
          <t>FORD</t>
        </is>
      </c>
      <c r="F2239" s="20" t="inlineStr">
        <is>
          <t>Figo</t>
        </is>
      </c>
      <c r="G2239" s="21" t="n">
        <v>2016</v>
      </c>
      <c r="H2239" s="22" t="n">
        <v>185758</v>
      </c>
      <c r="I2239" s="23" t="n">
        <v>217500</v>
      </c>
      <c r="J2239" s="20" t="inlineStr">
        <is>
          <t>Guthi Ravi Krishna</t>
        </is>
      </c>
      <c r="K2239" s="20" t="inlineStr">
        <is>
          <t>Non-Captive</t>
        </is>
      </c>
      <c r="L2239" s="20" t="inlineStr">
        <is>
          <t>Suresh Ginjupalli</t>
        </is>
      </c>
      <c r="M2239" s="23" t="n">
        <v>6355.93</v>
      </c>
      <c r="N2239" s="23" t="n">
        <v>7500</v>
      </c>
      <c r="O2239" s="24">
        <f>IF(AND(ISNUMBER(M2239), ISNUMBER(I2239), I2239&gt;0), M2239/I2239, "")</f>
        <v/>
      </c>
    </row>
    <row r="2240">
      <c r="A2240" s="19" t="inlineStr">
        <is>
          <t>FY27</t>
        </is>
      </c>
      <c r="B2240" s="19" t="inlineStr">
        <is>
          <t>Jun</t>
        </is>
      </c>
      <c r="C2240" s="19" t="inlineStr">
        <is>
          <t>AP/TS</t>
        </is>
      </c>
      <c r="D2240" s="20" t="inlineStr">
        <is>
          <t>AP16CS0450</t>
        </is>
      </c>
      <c r="E2240" s="20" t="inlineStr">
        <is>
          <t>HONDA</t>
        </is>
      </c>
      <c r="F2240" s="20" t="inlineStr">
        <is>
          <t>City</t>
        </is>
      </c>
      <c r="G2240" s="21" t="n">
        <v>2014</v>
      </c>
      <c r="H2240" s="22" t="n">
        <v>151480</v>
      </c>
      <c r="I2240" s="23" t="n">
        <v>310000</v>
      </c>
      <c r="J2240" s="20" t="inlineStr">
        <is>
          <t>Exchange</t>
        </is>
      </c>
      <c r="K2240" s="20" t="inlineStr">
        <is>
          <t>Captive</t>
        </is>
      </c>
      <c r="L2240" s="20" t="inlineStr">
        <is>
          <t>Tenali Srinivas</t>
        </is>
      </c>
      <c r="M2240" s="23" t="n">
        <v>8474.58</v>
      </c>
      <c r="N2240" s="23" t="n">
        <v>10000</v>
      </c>
      <c r="O2240" s="24">
        <f>IF(AND(ISNUMBER(M2240), ISNUMBER(I2240), I2240&gt;0), M2240/I2240, "")</f>
        <v/>
      </c>
    </row>
    <row r="2241">
      <c r="A2241" s="19" t="inlineStr">
        <is>
          <t>FY27</t>
        </is>
      </c>
      <c r="B2241" s="19" t="inlineStr">
        <is>
          <t>Jun</t>
        </is>
      </c>
      <c r="C2241" s="19" t="inlineStr">
        <is>
          <t>AP/TS</t>
        </is>
      </c>
      <c r="D2241" s="20" t="inlineStr">
        <is>
          <t>AP24AY4899</t>
        </is>
      </c>
      <c r="E2241" s="20" t="inlineStr">
        <is>
          <t>HONDA</t>
        </is>
      </c>
      <c r="F2241" s="20" t="inlineStr">
        <is>
          <t>City</t>
        </is>
      </c>
      <c r="G2241" s="21" t="n">
        <v>2014</v>
      </c>
      <c r="H2241" s="22" t="n">
        <v>285812</v>
      </c>
      <c r="I2241" s="23" t="n">
        <v>247500</v>
      </c>
      <c r="J2241" s="20" t="inlineStr">
        <is>
          <t>Mohammed Gouse Basha</t>
        </is>
      </c>
      <c r="K2241" s="20" t="inlineStr">
        <is>
          <t>Non-Captive</t>
        </is>
      </c>
      <c r="L2241" s="20" t="inlineStr">
        <is>
          <t>Tenali Srinivas</t>
        </is>
      </c>
      <c r="M2241" s="23" t="n">
        <v>6355.93</v>
      </c>
      <c r="N2241" s="23" t="n">
        <v>7500</v>
      </c>
      <c r="O2241" s="24">
        <f>IF(AND(ISNUMBER(M2241), ISNUMBER(I2241), I2241&gt;0), M2241/I2241, "")</f>
        <v/>
      </c>
    </row>
    <row r="2242">
      <c r="A2242" s="19" t="inlineStr">
        <is>
          <t>FY27</t>
        </is>
      </c>
      <c r="B2242" s="19" t="inlineStr">
        <is>
          <t>Jun</t>
        </is>
      </c>
      <c r="C2242" s="19" t="inlineStr">
        <is>
          <t>AP/TS</t>
        </is>
      </c>
      <c r="D2242" s="20" t="inlineStr">
        <is>
          <t>AP16ED1423</t>
        </is>
      </c>
      <c r="E2242" s="20" t="inlineStr">
        <is>
          <t>HYUNDAI</t>
        </is>
      </c>
      <c r="F2242" s="20" t="inlineStr">
        <is>
          <t>Grand I10</t>
        </is>
      </c>
      <c r="G2242" s="21" t="n">
        <v>2016</v>
      </c>
      <c r="H2242" s="22" t="n">
        <v>125128</v>
      </c>
      <c r="I2242" s="23" t="n">
        <v>217500</v>
      </c>
      <c r="J2242" s="20" t="inlineStr">
        <is>
          <t>Mohammed Gouse Basha</t>
        </is>
      </c>
      <c r="K2242" s="20" t="inlineStr">
        <is>
          <t>Non-Captive</t>
        </is>
      </c>
      <c r="L2242" s="20" t="inlineStr">
        <is>
          <t>Tenali Srinivas</t>
        </is>
      </c>
      <c r="M2242" s="23" t="n">
        <v>6355.93</v>
      </c>
      <c r="N2242" s="23" t="n">
        <v>7500</v>
      </c>
      <c r="O2242" s="24">
        <f>IF(AND(ISNUMBER(M2242), ISNUMBER(I2242), I2242&gt;0), M2242/I2242, "")</f>
        <v/>
      </c>
    </row>
    <row r="2243">
      <c r="A2243" s="19" t="inlineStr">
        <is>
          <t>FY27</t>
        </is>
      </c>
      <c r="B2243" s="19" t="inlineStr">
        <is>
          <t>Jun</t>
        </is>
      </c>
      <c r="C2243" s="19" t="inlineStr">
        <is>
          <t>AP/TS</t>
        </is>
      </c>
      <c r="D2243" s="20" t="inlineStr">
        <is>
          <t>AP31CP2079</t>
        </is>
      </c>
      <c r="E2243" s="20" t="inlineStr">
        <is>
          <t>CHEVROLET</t>
        </is>
      </c>
      <c r="F2243" s="20" t="inlineStr">
        <is>
          <t>Sail</t>
        </is>
      </c>
      <c r="G2243" s="21" t="n">
        <v>2013</v>
      </c>
      <c r="H2243" s="22" t="n">
        <v>179532</v>
      </c>
      <c r="I2243" s="23" t="n">
        <v>90000</v>
      </c>
      <c r="J2243" s="20" t="inlineStr">
        <is>
          <t>Siva Reddy Gudla</t>
        </is>
      </c>
      <c r="K2243" s="20" t="inlineStr">
        <is>
          <t>Non-Captive</t>
        </is>
      </c>
      <c r="L2243" s="20" t="inlineStr">
        <is>
          <t>Kesireddy Saikiran</t>
        </is>
      </c>
      <c r="M2243" s="23" t="n">
        <v>4237.29</v>
      </c>
      <c r="N2243" s="23" t="n">
        <v>5000</v>
      </c>
      <c r="O2243" s="24">
        <f>IF(AND(ISNUMBER(M2243), ISNUMBER(I2243), I2243&gt;0), M2243/I2243, "")</f>
        <v/>
      </c>
    </row>
    <row r="2244">
      <c r="A2244" s="19" t="inlineStr">
        <is>
          <t>FY27</t>
        </is>
      </c>
      <c r="B2244" s="19" t="inlineStr">
        <is>
          <t>Jun</t>
        </is>
      </c>
      <c r="C2244" s="19" t="inlineStr">
        <is>
          <t>AP/TS</t>
        </is>
      </c>
      <c r="D2244" s="20" t="inlineStr">
        <is>
          <t>AP05BD5599</t>
        </is>
      </c>
      <c r="E2244" s="20" t="inlineStr">
        <is>
          <t>FORD</t>
        </is>
      </c>
      <c r="F2244" s="20" t="inlineStr">
        <is>
          <t>Fiesta</t>
        </is>
      </c>
      <c r="G2244" s="21" t="n">
        <v>2009</v>
      </c>
      <c r="H2244" s="22" t="n">
        <v>190714</v>
      </c>
      <c r="I2244" s="23" t="n">
        <v>95000</v>
      </c>
      <c r="J2244" s="20" t="inlineStr">
        <is>
          <t>Siva Reddy Gudla</t>
        </is>
      </c>
      <c r="K2244" s="20" t="inlineStr">
        <is>
          <t>Non-Captive</t>
        </is>
      </c>
      <c r="L2244" s="20" t="inlineStr">
        <is>
          <t>Kesireddy Saikiran</t>
        </is>
      </c>
      <c r="M2244" s="23" t="n">
        <v>4237.29</v>
      </c>
      <c r="N2244" s="23" t="n">
        <v>5000</v>
      </c>
      <c r="O2244" s="24">
        <f>IF(AND(ISNUMBER(M2244), ISNUMBER(I2244), I2244&gt;0), M2244/I2244, "")</f>
        <v/>
      </c>
    </row>
    <row r="2245">
      <c r="A2245" s="19" t="inlineStr">
        <is>
          <t>FY27</t>
        </is>
      </c>
      <c r="B2245" s="19" t="inlineStr">
        <is>
          <t>Jun</t>
        </is>
      </c>
      <c r="C2245" s="19" t="inlineStr">
        <is>
          <t>AP/TS</t>
        </is>
      </c>
      <c r="D2245" s="20" t="inlineStr">
        <is>
          <t>TS07GZ0599</t>
        </is>
      </c>
      <c r="E2245" s="20" t="inlineStr">
        <is>
          <t>SKODA</t>
        </is>
      </c>
      <c r="F2245" s="20" t="inlineStr">
        <is>
          <t>Rapid</t>
        </is>
      </c>
      <c r="G2245" s="21" t="n">
        <v>2019</v>
      </c>
      <c r="H2245" s="22" t="n">
        <v>111023</v>
      </c>
      <c r="I2245" s="23" t="n">
        <v>394000</v>
      </c>
      <c r="J2245" s="20" t="inlineStr">
        <is>
          <t>Exchange</t>
        </is>
      </c>
      <c r="K2245" s="20" t="inlineStr">
        <is>
          <t>Captive</t>
        </is>
      </c>
      <c r="L2245" s="20" t="inlineStr">
        <is>
          <t>Kaki Dinesh Kumar</t>
        </is>
      </c>
      <c r="M2245" s="23" t="n">
        <v>8474.58</v>
      </c>
      <c r="N2245" s="23" t="n">
        <v>10000</v>
      </c>
      <c r="O2245" s="24">
        <f>IF(AND(ISNUMBER(M2245), ISNUMBER(I2245), I2245&gt;0), M2245/I2245, "")</f>
        <v/>
      </c>
    </row>
    <row r="2246">
      <c r="A2246" s="19" t="inlineStr">
        <is>
          <t>FY27</t>
        </is>
      </c>
      <c r="B2246" s="19" t="inlineStr">
        <is>
          <t>Jun</t>
        </is>
      </c>
      <c r="C2246" s="19" t="inlineStr">
        <is>
          <t>AP/TS</t>
        </is>
      </c>
      <c r="D2246" s="20" t="inlineStr">
        <is>
          <t>AP31DL4542</t>
        </is>
      </c>
      <c r="E2246" s="20" t="inlineStr">
        <is>
          <t>NISSAN</t>
        </is>
      </c>
      <c r="F2246" s="20" t="inlineStr">
        <is>
          <t>Datsun</t>
        </is>
      </c>
      <c r="G2246" s="21" t="n">
        <v>2016</v>
      </c>
      <c r="H2246" s="22" t="n">
        <v>122511</v>
      </c>
      <c r="I2246" s="23" t="n">
        <v>127000</v>
      </c>
      <c r="J2246" s="20" t="inlineStr">
        <is>
          <t>Gadi Sri Bharathi</t>
        </is>
      </c>
      <c r="K2246" s="20" t="inlineStr">
        <is>
          <t>Non-Captive</t>
        </is>
      </c>
      <c r="L2246" s="20" t="inlineStr">
        <is>
          <t>Kaki Dinesh Kumar</t>
        </is>
      </c>
      <c r="M2246" s="23" t="n">
        <v>5932.2</v>
      </c>
      <c r="N2246" s="23" t="n">
        <v>7000</v>
      </c>
      <c r="O2246" s="24">
        <f>IF(AND(ISNUMBER(M2246), ISNUMBER(I2246), I2246&gt;0), M2246/I2246, "")</f>
        <v/>
      </c>
    </row>
    <row r="2247">
      <c r="A2247" s="19" t="inlineStr">
        <is>
          <t>FY27</t>
        </is>
      </c>
      <c r="B2247" s="19" t="inlineStr">
        <is>
          <t>Jun</t>
        </is>
      </c>
      <c r="C2247" s="19" t="inlineStr">
        <is>
          <t>AP/TS</t>
        </is>
      </c>
      <c r="D2247" s="20" t="inlineStr">
        <is>
          <t>AP23AD5773</t>
        </is>
      </c>
      <c r="E2247" s="20" t="inlineStr">
        <is>
          <t>HONDA</t>
        </is>
      </c>
      <c r="F2247" s="20" t="inlineStr">
        <is>
          <t>Accord</t>
        </is>
      </c>
      <c r="G2247" s="21" t="n">
        <v>2011</v>
      </c>
      <c r="H2247" s="22" t="n">
        <v>72338</v>
      </c>
      <c r="I2247" s="23" t="n">
        <v>220000</v>
      </c>
      <c r="J2247" s="20" t="inlineStr">
        <is>
          <t>Exchange</t>
        </is>
      </c>
      <c r="K2247" s="20" t="inlineStr">
        <is>
          <t>Captive</t>
        </is>
      </c>
      <c r="L2247" s="20" t="inlineStr">
        <is>
          <t>Odapally Sandeep</t>
        </is>
      </c>
      <c r="M2247" s="23" t="n">
        <v>8474.58</v>
      </c>
      <c r="N2247" s="23" t="n">
        <v>10000</v>
      </c>
      <c r="O2247" s="24">
        <f>IF(AND(ISNUMBER(M2247), ISNUMBER(I2247), I2247&gt;0), M2247/I2247, "")</f>
        <v/>
      </c>
    </row>
    <row r="2248">
      <c r="A2248" s="19" t="inlineStr">
        <is>
          <t>FY27</t>
        </is>
      </c>
      <c r="B2248" s="19" t="inlineStr">
        <is>
          <t>Jun</t>
        </is>
      </c>
      <c r="C2248" s="19" t="inlineStr">
        <is>
          <t>AP/TS</t>
        </is>
      </c>
      <c r="D2248" s="20" t="inlineStr">
        <is>
          <t>TS08GD8188</t>
        </is>
      </c>
      <c r="E2248" s="20" t="inlineStr">
        <is>
          <t>MARUTI SUZUKI</t>
        </is>
      </c>
      <c r="F2248" s="20" t="inlineStr">
        <is>
          <t>Eeco</t>
        </is>
      </c>
      <c r="G2248" s="21" t="n">
        <v>2018</v>
      </c>
      <c r="H2248" s="22" t="n">
        <v>125644</v>
      </c>
      <c r="I2248" s="23" t="n">
        <v>126000</v>
      </c>
      <c r="J2248" s="20" t="inlineStr">
        <is>
          <t>Bukya Santhosh Naik</t>
        </is>
      </c>
      <c r="K2248" s="20" t="inlineStr">
        <is>
          <t>Non-Captive</t>
        </is>
      </c>
      <c r="L2248" s="20" t="inlineStr">
        <is>
          <t>Odapally Sandeep</t>
        </is>
      </c>
      <c r="M2248" s="23" t="n">
        <v>5084.75</v>
      </c>
      <c r="N2248" s="23" t="n">
        <v>6000</v>
      </c>
      <c r="O2248" s="24">
        <f>IF(AND(ISNUMBER(M2248), ISNUMBER(I2248), I2248&gt;0), M2248/I2248, "")</f>
        <v/>
      </c>
    </row>
    <row r="2249">
      <c r="A2249" s="19" t="inlineStr">
        <is>
          <t>FY27</t>
        </is>
      </c>
      <c r="B2249" s="19" t="inlineStr">
        <is>
          <t>Jun</t>
        </is>
      </c>
      <c r="C2249" s="19" t="inlineStr">
        <is>
          <t>AP/TS</t>
        </is>
      </c>
      <c r="D2249" s="20" t="inlineStr">
        <is>
          <t>TS09FB4820</t>
        </is>
      </c>
      <c r="E2249" s="20" t="inlineStr">
        <is>
          <t>RENAULT</t>
        </is>
      </c>
      <c r="F2249" s="20" t="inlineStr">
        <is>
          <t>Kwid</t>
        </is>
      </c>
      <c r="G2249" s="21" t="n">
        <v>2018</v>
      </c>
      <c r="H2249" s="22" t="n">
        <v>130964</v>
      </c>
      <c r="I2249" s="23" t="n">
        <v>186000</v>
      </c>
      <c r="J2249" s="20" t="inlineStr">
        <is>
          <t>Bukya Santhosh Naik</t>
        </is>
      </c>
      <c r="K2249" s="20" t="inlineStr">
        <is>
          <t>Non-Captive</t>
        </is>
      </c>
      <c r="L2249" s="20" t="inlineStr">
        <is>
          <t>Odapally Sandeep</t>
        </is>
      </c>
      <c r="M2249" s="23" t="n">
        <v>5084.75</v>
      </c>
      <c r="N2249" s="23" t="n">
        <v>6000</v>
      </c>
      <c r="O2249" s="24">
        <f>IF(AND(ISNUMBER(M2249), ISNUMBER(I2249), I2249&gt;0), M2249/I2249, "")</f>
        <v/>
      </c>
    </row>
    <row r="2250">
      <c r="A2250" s="19" t="inlineStr">
        <is>
          <t>FY27</t>
        </is>
      </c>
      <c r="B2250" s="19" t="inlineStr">
        <is>
          <t>Jun</t>
        </is>
      </c>
      <c r="C2250" s="19" t="inlineStr">
        <is>
          <t>AP/TS</t>
        </is>
      </c>
      <c r="D2250" s="20" t="inlineStr">
        <is>
          <t>TS07EW1889</t>
        </is>
      </c>
      <c r="E2250" s="20" t="inlineStr">
        <is>
          <t>FORD</t>
        </is>
      </c>
      <c r="F2250" s="20" t="inlineStr">
        <is>
          <t>Figo</t>
        </is>
      </c>
      <c r="G2250" s="21" t="n">
        <v>2015</v>
      </c>
      <c r="H2250" s="22" t="n">
        <v>102521</v>
      </c>
      <c r="I2250" s="23" t="n">
        <v>308000</v>
      </c>
      <c r="J2250" s="20" t="inlineStr">
        <is>
          <t>Bukya Santhosh Naik</t>
        </is>
      </c>
      <c r="K2250" s="20" t="inlineStr">
        <is>
          <t>Non-Captive</t>
        </is>
      </c>
      <c r="L2250" s="20" t="inlineStr">
        <is>
          <t>Odapally Sandeep</t>
        </is>
      </c>
      <c r="M2250" s="23" t="n">
        <v>6779.66</v>
      </c>
      <c r="N2250" s="23" t="n">
        <v>8000</v>
      </c>
      <c r="O2250" s="24">
        <f>IF(AND(ISNUMBER(M2250), ISNUMBER(I2250), I2250&gt;0), M2250/I2250, "")</f>
        <v/>
      </c>
    </row>
    <row r="2251">
      <c r="A2251" s="19" t="inlineStr">
        <is>
          <t>FY27</t>
        </is>
      </c>
      <c r="B2251" s="19" t="inlineStr">
        <is>
          <t>Jun</t>
        </is>
      </c>
      <c r="C2251" s="19" t="inlineStr">
        <is>
          <t>AP/TS</t>
        </is>
      </c>
      <c r="D2251" s="20" t="inlineStr">
        <is>
          <t>AP39LV2488</t>
        </is>
      </c>
      <c r="E2251" s="20" t="inlineStr">
        <is>
          <t>HONDA</t>
        </is>
      </c>
      <c r="F2251" s="20" t="inlineStr">
        <is>
          <t>City</t>
        </is>
      </c>
      <c r="G2251" s="21" t="n">
        <v>2021</v>
      </c>
      <c r="H2251" s="22" t="n">
        <v>54274</v>
      </c>
      <c r="I2251" s="23" t="n">
        <v>692000</v>
      </c>
      <c r="J2251" s="20" t="inlineStr">
        <is>
          <t>Exchange</t>
        </is>
      </c>
      <c r="K2251" s="20" t="inlineStr">
        <is>
          <t>Captive</t>
        </is>
      </c>
      <c r="L2251" s="20" t="inlineStr">
        <is>
          <t>Kesireddy Saikiran</t>
        </is>
      </c>
      <c r="M2251" s="23" t="n">
        <v>10169.49</v>
      </c>
      <c r="N2251" s="23" t="n">
        <v>12000</v>
      </c>
      <c r="O2251" s="24">
        <f>IF(AND(ISNUMBER(M2251), ISNUMBER(I2251), I2251&gt;0), M2251/I2251, "")</f>
        <v/>
      </c>
    </row>
    <row r="2252">
      <c r="A2252" s="19" t="inlineStr">
        <is>
          <t>FY27</t>
        </is>
      </c>
      <c r="B2252" s="19" t="inlineStr">
        <is>
          <t>Jun</t>
        </is>
      </c>
      <c r="C2252" s="19" t="inlineStr">
        <is>
          <t>TN</t>
        </is>
      </c>
      <c r="D2252" s="20" t="inlineStr">
        <is>
          <t>TN01AV9038</t>
        </is>
      </c>
      <c r="E2252" s="20" t="inlineStr">
        <is>
          <t>HONDA</t>
        </is>
      </c>
      <c r="F2252" s="20" t="inlineStr">
        <is>
          <t>City</t>
        </is>
      </c>
      <c r="G2252" s="21" t="n">
        <v>2014</v>
      </c>
      <c r="H2252" s="22" t="n">
        <v>42013</v>
      </c>
      <c r="I2252" s="23" t="n">
        <v>390000</v>
      </c>
      <c r="J2252" s="20" t="inlineStr">
        <is>
          <t>Khivraj Motor</t>
        </is>
      </c>
      <c r="K2252" s="20" t="inlineStr">
        <is>
          <t>Non-Captive</t>
        </is>
      </c>
      <c r="L2252" s="20" t="inlineStr">
        <is>
          <t>Ramalingam Cars</t>
        </is>
      </c>
      <c r="M2252" s="23" t="n">
        <v>8474.58</v>
      </c>
      <c r="N2252" s="23" t="n">
        <v>10000</v>
      </c>
      <c r="O2252" s="24">
        <f>IF(AND(ISNUMBER(M2252), ISNUMBER(I2252), I2252&gt;0), M2252/I2252, "")</f>
        <v/>
      </c>
    </row>
    <row r="2253">
      <c r="A2253" s="19" t="inlineStr">
        <is>
          <t>FY27</t>
        </is>
      </c>
      <c r="B2253" s="19" t="inlineStr">
        <is>
          <t>Jun</t>
        </is>
      </c>
      <c r="C2253" s="19" t="inlineStr">
        <is>
          <t>TN</t>
        </is>
      </c>
      <c r="D2253" s="20" t="inlineStr">
        <is>
          <t>TN01AV3979</t>
        </is>
      </c>
      <c r="E2253" s="20" t="inlineStr">
        <is>
          <t>MARUTI SUZUKI</t>
        </is>
      </c>
      <c r="F2253" s="20" t="inlineStr">
        <is>
          <t>Swift Dzire</t>
        </is>
      </c>
      <c r="G2253" s="21" t="n">
        <v>2013</v>
      </c>
      <c r="H2253" s="22" t="n">
        <v>96225</v>
      </c>
      <c r="I2253" s="23" t="n">
        <v>285000</v>
      </c>
      <c r="J2253" s="20" t="inlineStr">
        <is>
          <t>Khivraj Motor</t>
        </is>
      </c>
      <c r="K2253" s="20" t="inlineStr">
        <is>
          <t>Non-Captive</t>
        </is>
      </c>
      <c r="L2253" s="20" t="inlineStr">
        <is>
          <t>AAA Cars</t>
        </is>
      </c>
      <c r="M2253" s="23" t="n">
        <v>6355.93</v>
      </c>
      <c r="N2253" s="23" t="n">
        <v>7500</v>
      </c>
      <c r="O2253" s="24">
        <f>IF(AND(ISNUMBER(M2253), ISNUMBER(I2253), I2253&gt;0), M2253/I2253, "")</f>
        <v/>
      </c>
    </row>
    <row r="2254">
      <c r="A2254" s="19" t="inlineStr">
        <is>
          <t>FY27</t>
        </is>
      </c>
      <c r="B2254" s="19" t="inlineStr">
        <is>
          <t>Jun</t>
        </is>
      </c>
      <c r="C2254" s="19" t="inlineStr">
        <is>
          <t>TN</t>
        </is>
      </c>
      <c r="D2254" s="20" t="inlineStr">
        <is>
          <t>TN07BS1374</t>
        </is>
      </c>
      <c r="E2254" s="20" t="inlineStr">
        <is>
          <t>MARUTI SUZUKI</t>
        </is>
      </c>
      <c r="F2254" s="20" t="inlineStr">
        <is>
          <t>Swift Dzire</t>
        </is>
      </c>
      <c r="G2254" s="21" t="n">
        <v>2012</v>
      </c>
      <c r="H2254" s="22" t="n">
        <v>70168</v>
      </c>
      <c r="I2254" s="23" t="n">
        <v>297000</v>
      </c>
      <c r="J2254" s="20" t="inlineStr">
        <is>
          <t>Khivraj Motor</t>
        </is>
      </c>
      <c r="K2254" s="20" t="inlineStr">
        <is>
          <t>Non-Captive</t>
        </is>
      </c>
      <c r="L2254" s="20" t="inlineStr">
        <is>
          <t>AAA Cars</t>
        </is>
      </c>
      <c r="M2254" s="23" t="n">
        <v>6355.93</v>
      </c>
      <c r="N2254" s="23" t="n">
        <v>7500</v>
      </c>
      <c r="O2254" s="24">
        <f>IF(AND(ISNUMBER(M2254), ISNUMBER(I2254), I2254&gt;0), M2254/I2254, "")</f>
        <v/>
      </c>
    </row>
    <row r="2255">
      <c r="A2255" s="19" t="inlineStr">
        <is>
          <t>FY27</t>
        </is>
      </c>
      <c r="B2255" s="19" t="inlineStr">
        <is>
          <t>Jun</t>
        </is>
      </c>
      <c r="C2255" s="19" t="inlineStr">
        <is>
          <t>TN</t>
        </is>
      </c>
      <c r="D2255" s="20" t="inlineStr">
        <is>
          <t>TN14X8523</t>
        </is>
      </c>
      <c r="E2255" s="20" t="inlineStr">
        <is>
          <t>MARUTI SUZUKI</t>
        </is>
      </c>
      <c r="F2255" s="20" t="inlineStr">
        <is>
          <t>Celerio</t>
        </is>
      </c>
      <c r="G2255" s="21" t="n">
        <v>2021</v>
      </c>
      <c r="H2255" s="22" t="n">
        <v>15607</v>
      </c>
      <c r="I2255" s="23" t="n">
        <v>365000</v>
      </c>
      <c r="J2255" s="20" t="inlineStr">
        <is>
          <t>Khivraj Motor</t>
        </is>
      </c>
      <c r="K2255" s="20" t="inlineStr">
        <is>
          <t>Non-Captive</t>
        </is>
      </c>
      <c r="L2255" s="20" t="inlineStr">
        <is>
          <t>Trust On wheels</t>
        </is>
      </c>
      <c r="M2255" s="23" t="n">
        <v>6355.93</v>
      </c>
      <c r="N2255" s="23" t="n">
        <v>7500</v>
      </c>
      <c r="O2255" s="24">
        <f>IF(AND(ISNUMBER(M2255), ISNUMBER(I2255), I2255&gt;0), M2255/I2255, "")</f>
        <v/>
      </c>
    </row>
    <row r="2256">
      <c r="A2256" s="19" t="inlineStr">
        <is>
          <t>FY27</t>
        </is>
      </c>
      <c r="B2256" s="19" t="inlineStr">
        <is>
          <t>Jun</t>
        </is>
      </c>
      <c r="C2256" s="19" t="inlineStr">
        <is>
          <t>TN</t>
        </is>
      </c>
      <c r="D2256" s="20" t="inlineStr">
        <is>
          <t>TN10BF8277</t>
        </is>
      </c>
      <c r="E2256" s="20" t="inlineStr">
        <is>
          <t>MARUTI SUZUKI</t>
        </is>
      </c>
      <c r="F2256" s="20" t="inlineStr">
        <is>
          <t>Wagon R</t>
        </is>
      </c>
      <c r="G2256" s="21" t="n">
        <v>2019</v>
      </c>
      <c r="H2256" s="22" t="n">
        <v>46208</v>
      </c>
      <c r="I2256" s="23" t="n">
        <v>370000</v>
      </c>
      <c r="J2256" s="20" t="inlineStr">
        <is>
          <t>Khivraj Motor</t>
        </is>
      </c>
      <c r="K2256" s="20" t="inlineStr">
        <is>
          <t>Non-Captive</t>
        </is>
      </c>
      <c r="L2256" s="20" t="inlineStr">
        <is>
          <t>TSM</t>
        </is>
      </c>
      <c r="M2256" s="23" t="n">
        <v>6779.66</v>
      </c>
      <c r="N2256" s="23" t="n">
        <v>8000</v>
      </c>
      <c r="O2256" s="24">
        <f>IF(AND(ISNUMBER(M2256), ISNUMBER(I2256), I2256&gt;0), M2256/I2256, "")</f>
        <v/>
      </c>
    </row>
    <row r="2257">
      <c r="A2257" s="19" t="inlineStr">
        <is>
          <t>FY27</t>
        </is>
      </c>
      <c r="B2257" s="19" t="inlineStr">
        <is>
          <t>Jun</t>
        </is>
      </c>
      <c r="C2257" s="19" t="inlineStr">
        <is>
          <t>TN</t>
        </is>
      </c>
      <c r="D2257" s="20" t="inlineStr">
        <is>
          <t>TN07DQ2986</t>
        </is>
      </c>
      <c r="E2257" s="20" t="inlineStr">
        <is>
          <t>HYUNDAI</t>
        </is>
      </c>
      <c r="F2257" s="20" t="inlineStr">
        <is>
          <t>Nios</t>
        </is>
      </c>
      <c r="G2257" s="21" t="n">
        <v>2026</v>
      </c>
      <c r="H2257" s="22" t="n">
        <v>30196</v>
      </c>
      <c r="I2257" s="23" t="n">
        <v>650000</v>
      </c>
      <c r="J2257" s="20" t="inlineStr">
        <is>
          <t>Khivraj Motor</t>
        </is>
      </c>
      <c r="K2257" s="20" t="inlineStr">
        <is>
          <t>Non-Captive</t>
        </is>
      </c>
      <c r="L2257" s="20" t="inlineStr">
        <is>
          <t>TSM</t>
        </is>
      </c>
      <c r="M2257" s="23" t="n">
        <v>10169.49</v>
      </c>
      <c r="N2257" s="23" t="n">
        <v>12000</v>
      </c>
      <c r="O2257" s="24">
        <f>IF(AND(ISNUMBER(M2257), ISNUMBER(I2257), I2257&gt;0), M2257/I2257, "")</f>
        <v/>
      </c>
    </row>
    <row r="2258">
      <c r="A2258" s="19" t="inlineStr">
        <is>
          <t>FY27</t>
        </is>
      </c>
      <c r="B2258" s="19" t="inlineStr">
        <is>
          <t>Jun</t>
        </is>
      </c>
      <c r="C2258" s="19" t="inlineStr">
        <is>
          <t>TN</t>
        </is>
      </c>
      <c r="D2258" s="20" t="inlineStr">
        <is>
          <t>TN22DD7501</t>
        </is>
      </c>
      <c r="E2258" s="20" t="inlineStr">
        <is>
          <t>MARUTI SUZUKI</t>
        </is>
      </c>
      <c r="F2258" s="20" t="inlineStr">
        <is>
          <t>Wagon R</t>
        </is>
      </c>
      <c r="G2258" s="21" t="n">
        <v>2016</v>
      </c>
      <c r="H2258" s="22" t="n">
        <v>42074</v>
      </c>
      <c r="I2258" s="23" t="n">
        <v>290000</v>
      </c>
      <c r="J2258" s="20" t="inlineStr">
        <is>
          <t>Khivraj Motor</t>
        </is>
      </c>
      <c r="K2258" s="20" t="inlineStr">
        <is>
          <t>Non-Captive</t>
        </is>
      </c>
      <c r="L2258" s="20" t="inlineStr">
        <is>
          <t>New Citi Cars</t>
        </is>
      </c>
      <c r="M2258" s="23" t="n">
        <v>8474.58</v>
      </c>
      <c r="N2258" s="23" t="n">
        <v>10000</v>
      </c>
      <c r="O2258" s="24">
        <f>IF(AND(ISNUMBER(M2258), ISNUMBER(I2258), I2258&gt;0), M2258/I2258, "")</f>
        <v/>
      </c>
    </row>
    <row r="2259">
      <c r="A2259" s="19" t="inlineStr">
        <is>
          <t>FY27</t>
        </is>
      </c>
      <c r="B2259" s="19" t="inlineStr">
        <is>
          <t>Jun</t>
        </is>
      </c>
      <c r="C2259" s="19" t="inlineStr">
        <is>
          <t>TN</t>
        </is>
      </c>
      <c r="D2259" s="20" t="inlineStr">
        <is>
          <t>TN20CR2194</t>
        </is>
      </c>
      <c r="E2259" s="20" t="inlineStr">
        <is>
          <t>MARUTI SUZUKI</t>
        </is>
      </c>
      <c r="F2259" s="20" t="inlineStr">
        <is>
          <t>Swift Dzire</t>
        </is>
      </c>
      <c r="G2259" s="21" t="n">
        <v>2019</v>
      </c>
      <c r="H2259" s="22" t="n">
        <v>66661</v>
      </c>
      <c r="I2259" s="23" t="n">
        <v>500000</v>
      </c>
      <c r="J2259" s="20" t="inlineStr">
        <is>
          <t>Castel Traders Honda</t>
        </is>
      </c>
      <c r="K2259" s="20" t="inlineStr">
        <is>
          <t>Non-Captive</t>
        </is>
      </c>
      <c r="L2259" s="20" t="inlineStr">
        <is>
          <t>Pine Autos</t>
        </is>
      </c>
      <c r="M2259" s="23" t="n">
        <v>7627.12</v>
      </c>
      <c r="N2259" s="23" t="n">
        <v>9000</v>
      </c>
      <c r="O2259" s="24">
        <f>IF(AND(ISNUMBER(M2259), ISNUMBER(I2259), I2259&gt;0), M2259/I2259, "")</f>
        <v/>
      </c>
    </row>
    <row r="2260">
      <c r="A2260" s="19" t="inlineStr">
        <is>
          <t>FY27</t>
        </is>
      </c>
      <c r="B2260" s="19" t="inlineStr">
        <is>
          <t>Jun</t>
        </is>
      </c>
      <c r="C2260" s="19" t="inlineStr">
        <is>
          <t>TN</t>
        </is>
      </c>
      <c r="D2260" s="20" t="inlineStr">
        <is>
          <t>TN02BM1055</t>
        </is>
      </c>
      <c r="E2260" s="20" t="inlineStr">
        <is>
          <t>HONDA</t>
        </is>
      </c>
      <c r="F2260" s="20" t="inlineStr">
        <is>
          <t>Amaze</t>
        </is>
      </c>
      <c r="G2260" s="21" t="n">
        <v>2018</v>
      </c>
      <c r="H2260" s="22" t="n">
        <v>31259</v>
      </c>
      <c r="I2260" s="23" t="n">
        <v>481000</v>
      </c>
      <c r="J2260" s="20" t="inlineStr">
        <is>
          <t>Castel Traders Honda</t>
        </is>
      </c>
      <c r="K2260" s="20" t="inlineStr">
        <is>
          <t>Non-Captive</t>
        </is>
      </c>
      <c r="L2260" s="20" t="inlineStr">
        <is>
          <t>Pine Autos</t>
        </is>
      </c>
      <c r="M2260" s="23" t="n">
        <v>7627.12</v>
      </c>
      <c r="N2260" s="23" t="n">
        <v>9000</v>
      </c>
      <c r="O2260" s="24">
        <f>IF(AND(ISNUMBER(M2260), ISNUMBER(I2260), I2260&gt;0), M2260/I2260, "")</f>
        <v/>
      </c>
    </row>
    <row r="2261">
      <c r="A2261" s="19" t="inlineStr">
        <is>
          <t>FY27</t>
        </is>
      </c>
      <c r="B2261" s="19" t="inlineStr">
        <is>
          <t>Jun</t>
        </is>
      </c>
      <c r="C2261" s="19" t="inlineStr">
        <is>
          <t>TN</t>
        </is>
      </c>
      <c r="D2261" s="20" t="inlineStr">
        <is>
          <t>TN10AS3468</t>
        </is>
      </c>
      <c r="E2261" s="20" t="inlineStr">
        <is>
          <t>HONDA</t>
        </is>
      </c>
      <c r="F2261" s="20" t="inlineStr">
        <is>
          <t>Amaze</t>
        </is>
      </c>
      <c r="G2261" s="21" t="n">
        <v>2015</v>
      </c>
      <c r="H2261" s="22" t="n">
        <v>54328</v>
      </c>
      <c r="I2261" s="23" t="n">
        <v>274000</v>
      </c>
      <c r="J2261" s="20" t="inlineStr">
        <is>
          <t>Castel Traders Honda</t>
        </is>
      </c>
      <c r="K2261" s="20" t="inlineStr">
        <is>
          <t>Non-Captive</t>
        </is>
      </c>
      <c r="L2261" s="20" t="inlineStr">
        <is>
          <t>Aasim Motor</t>
        </is>
      </c>
      <c r="M2261" s="23" t="n">
        <v>6355.93</v>
      </c>
      <c r="N2261" s="23" t="n">
        <v>7500</v>
      </c>
      <c r="O2261" s="24">
        <f>IF(AND(ISNUMBER(M2261), ISNUMBER(I2261), I2261&gt;0), M2261/I2261, "")</f>
        <v/>
      </c>
    </row>
    <row r="2262">
      <c r="A2262" s="19" t="inlineStr">
        <is>
          <t>FY27</t>
        </is>
      </c>
      <c r="B2262" s="19" t="inlineStr">
        <is>
          <t>Jun</t>
        </is>
      </c>
      <c r="C2262" s="19" t="inlineStr">
        <is>
          <t>TN</t>
        </is>
      </c>
      <c r="D2262" s="20" t="inlineStr">
        <is>
          <t>TN06U6987</t>
        </is>
      </c>
      <c r="E2262" s="20" t="inlineStr">
        <is>
          <t>MARUTI SUZUKI</t>
        </is>
      </c>
      <c r="F2262" s="20" t="inlineStr">
        <is>
          <t>Celerio</t>
        </is>
      </c>
      <c r="G2262" s="21" t="n">
        <v>2017</v>
      </c>
      <c r="H2262" s="22" t="n">
        <v>30196</v>
      </c>
      <c r="I2262" s="23" t="n">
        <v>280000</v>
      </c>
      <c r="J2262" s="20" t="inlineStr">
        <is>
          <t>Khivraj Motor</t>
        </is>
      </c>
      <c r="K2262" s="20" t="inlineStr">
        <is>
          <t>Non-Captive</t>
        </is>
      </c>
      <c r="L2262" s="20" t="inlineStr">
        <is>
          <t>Ramalingam Cars</t>
        </is>
      </c>
      <c r="M2262" s="23" t="n">
        <v>6355.93</v>
      </c>
      <c r="N2262" s="23" t="n">
        <v>7500</v>
      </c>
      <c r="O2262" s="24">
        <f>IF(AND(ISNUMBER(M2262), ISNUMBER(I2262), I2262&gt;0), M2262/I2262, "")</f>
        <v/>
      </c>
    </row>
    <row r="2263">
      <c r="A2263" s="19" t="inlineStr">
        <is>
          <t>FY27</t>
        </is>
      </c>
      <c r="B2263" s="19" t="inlineStr">
        <is>
          <t>Jun</t>
        </is>
      </c>
      <c r="C2263" s="19" t="inlineStr">
        <is>
          <t>TN</t>
        </is>
      </c>
      <c r="D2263" s="20" t="inlineStr">
        <is>
          <t>TN06AJ7130</t>
        </is>
      </c>
      <c r="E2263" s="20" t="inlineStr">
        <is>
          <t>HYUNDAI</t>
        </is>
      </c>
      <c r="F2263" s="20" t="inlineStr">
        <is>
          <t>I20</t>
        </is>
      </c>
      <c r="G2263" s="21" t="n">
        <v>2025</v>
      </c>
      <c r="H2263" s="22" t="n">
        <v>5220</v>
      </c>
      <c r="I2263" s="23" t="n">
        <v>720000</v>
      </c>
      <c r="J2263" s="20" t="inlineStr">
        <is>
          <t>Khivraj Motor</t>
        </is>
      </c>
      <c r="K2263" s="20" t="inlineStr">
        <is>
          <t>Non-Captive</t>
        </is>
      </c>
      <c r="L2263" s="20" t="inlineStr">
        <is>
          <t>TSM</t>
        </is>
      </c>
      <c r="M2263" s="23" t="n">
        <v>10169.49</v>
      </c>
      <c r="N2263" s="23" t="n">
        <v>12000</v>
      </c>
      <c r="O2263" s="24">
        <f>IF(AND(ISNUMBER(M2263), ISNUMBER(I2263), I2263&gt;0), M2263/I2263, "")</f>
        <v/>
      </c>
    </row>
    <row r="2264">
      <c r="A2264" s="19" t="inlineStr">
        <is>
          <t>FY27</t>
        </is>
      </c>
      <c r="B2264" s="19" t="inlineStr">
        <is>
          <t>Jun</t>
        </is>
      </c>
      <c r="C2264" s="19" t="inlineStr">
        <is>
          <t>TN</t>
        </is>
      </c>
      <c r="D2264" s="20" t="inlineStr">
        <is>
          <t>TN59CB8223</t>
        </is>
      </c>
      <c r="E2264" s="20" t="inlineStr">
        <is>
          <t>DATSUN</t>
        </is>
      </c>
      <c r="F2264" s="20" t="inlineStr">
        <is>
          <t>Redi-Go</t>
        </is>
      </c>
      <c r="G2264" s="21" t="n">
        <v>2018</v>
      </c>
      <c r="H2264" s="22" t="n">
        <v>48750</v>
      </c>
      <c r="I2264" s="23" t="n">
        <v>75000</v>
      </c>
      <c r="J2264" s="20" t="inlineStr">
        <is>
          <t>EXCHANGE ROTN</t>
        </is>
      </c>
      <c r="K2264" s="20" t="inlineStr">
        <is>
          <t>Captive</t>
        </is>
      </c>
      <c r="L2264" s="20" t="inlineStr">
        <is>
          <t>Rajaganapathy</t>
        </is>
      </c>
      <c r="M2264" s="23" t="n">
        <v>4237.29</v>
      </c>
      <c r="N2264" s="23" t="n">
        <v>5000</v>
      </c>
      <c r="O2264" s="24">
        <f>IF(AND(ISNUMBER(M2264), ISNUMBER(I2264), I2264&gt;0), M2264/I2264, "")</f>
        <v/>
      </c>
    </row>
    <row r="2265">
      <c r="A2265" s="19" t="inlineStr">
        <is>
          <t>FY27</t>
        </is>
      </c>
      <c r="B2265" s="19" t="inlineStr">
        <is>
          <t>Jun</t>
        </is>
      </c>
      <c r="C2265" s="19" t="inlineStr">
        <is>
          <t>TN</t>
        </is>
      </c>
      <c r="D2265" s="20" t="inlineStr">
        <is>
          <t>TN58AM7446</t>
        </is>
      </c>
      <c r="E2265" s="20" t="inlineStr">
        <is>
          <t>DATSUN</t>
        </is>
      </c>
      <c r="F2265" s="20" t="inlineStr">
        <is>
          <t>Redi-Go</t>
        </is>
      </c>
      <c r="G2265" s="21" t="n">
        <v>2018</v>
      </c>
      <c r="H2265" s="22" t="n">
        <v>48750</v>
      </c>
      <c r="I2265" s="23" t="n">
        <v>96000</v>
      </c>
      <c r="J2265" s="20" t="inlineStr">
        <is>
          <t>EXCHANGE ROTN</t>
        </is>
      </c>
      <c r="K2265" s="20" t="inlineStr">
        <is>
          <t>Captive</t>
        </is>
      </c>
      <c r="L2265" s="20" t="inlineStr">
        <is>
          <t>Rajaganapathy</t>
        </is>
      </c>
      <c r="M2265" s="23" t="n">
        <v>4237.29</v>
      </c>
      <c r="N2265" s="23" t="n">
        <v>5000</v>
      </c>
      <c r="O2265" s="24">
        <f>IF(AND(ISNUMBER(M2265), ISNUMBER(I2265), I2265&gt;0), M2265/I2265, "")</f>
        <v/>
      </c>
    </row>
    <row r="2266">
      <c r="A2266" s="19" t="inlineStr">
        <is>
          <t>FY27</t>
        </is>
      </c>
      <c r="B2266" s="19" t="inlineStr">
        <is>
          <t>Jun</t>
        </is>
      </c>
      <c r="C2266" s="19" t="inlineStr">
        <is>
          <t>TN</t>
        </is>
      </c>
      <c r="D2266" s="20" t="inlineStr">
        <is>
          <t>TN58P4834</t>
        </is>
      </c>
      <c r="E2266" s="20" t="inlineStr">
        <is>
          <t>MARUTI SUZUKI</t>
        </is>
      </c>
      <c r="F2266" s="20" t="inlineStr">
        <is>
          <t>Alto</t>
        </is>
      </c>
      <c r="G2266" s="21" t="n">
        <v>2006</v>
      </c>
      <c r="H2266" s="22" t="n">
        <v>79986</v>
      </c>
      <c r="I2266" s="23" t="n">
        <v>81000</v>
      </c>
      <c r="J2266" s="20" t="inlineStr">
        <is>
          <t>EXCHANGE ROTN</t>
        </is>
      </c>
      <c r="K2266" s="20" t="inlineStr">
        <is>
          <t>Captive</t>
        </is>
      </c>
      <c r="L2266" s="20" t="inlineStr">
        <is>
          <t>Rajaganapathy</t>
        </is>
      </c>
      <c r="M2266" s="23" t="n">
        <v>4237.29</v>
      </c>
      <c r="N2266" s="23" t="n">
        <v>5000</v>
      </c>
      <c r="O2266" s="24">
        <f>IF(AND(ISNUMBER(M2266), ISNUMBER(I2266), I2266&gt;0), M2266/I2266, "")</f>
        <v/>
      </c>
    </row>
    <row r="2267">
      <c r="A2267" s="19" t="inlineStr">
        <is>
          <t>FY27</t>
        </is>
      </c>
      <c r="B2267" s="19" t="inlineStr">
        <is>
          <t>Jun</t>
        </is>
      </c>
      <c r="C2267" s="19" t="inlineStr">
        <is>
          <t>TN</t>
        </is>
      </c>
      <c r="D2267" s="20" t="inlineStr">
        <is>
          <t>TN10Q2847</t>
        </is>
      </c>
      <c r="E2267" s="20" t="inlineStr">
        <is>
          <t>MARUTI SUZUKI</t>
        </is>
      </c>
      <c r="F2267" s="20" t="inlineStr">
        <is>
          <t>Alto</t>
        </is>
      </c>
      <c r="G2267" s="21" t="n">
        <v>2006</v>
      </c>
      <c r="H2267" s="22" t="n">
        <v>110000</v>
      </c>
      <c r="I2267" s="23" t="n">
        <v>77000</v>
      </c>
      <c r="J2267" s="20" t="inlineStr">
        <is>
          <t>EXCHANGE ROTN</t>
        </is>
      </c>
      <c r="K2267" s="20" t="inlineStr">
        <is>
          <t>Captive</t>
        </is>
      </c>
      <c r="L2267" s="20" t="inlineStr">
        <is>
          <t>Rajaganapathy</t>
        </is>
      </c>
      <c r="M2267" s="23" t="n">
        <v>4237.29</v>
      </c>
      <c r="N2267" s="23" t="n">
        <v>5000</v>
      </c>
      <c r="O2267" s="24">
        <f>IF(AND(ISNUMBER(M2267), ISNUMBER(I2267), I2267&gt;0), M2267/I2267, "")</f>
        <v/>
      </c>
    </row>
    <row r="2268">
      <c r="A2268" s="19" t="inlineStr">
        <is>
          <t>FY27</t>
        </is>
      </c>
      <c r="B2268" s="19" t="inlineStr">
        <is>
          <t>Jun</t>
        </is>
      </c>
      <c r="C2268" s="19" t="inlineStr">
        <is>
          <t>TN</t>
        </is>
      </c>
      <c r="D2268" s="20" t="inlineStr">
        <is>
          <t>TN63AZ0868</t>
        </is>
      </c>
      <c r="E2268" s="20" t="inlineStr">
        <is>
          <t>CHEVROLET</t>
        </is>
      </c>
      <c r="F2268" s="20" t="inlineStr">
        <is>
          <t>Spark</t>
        </is>
      </c>
      <c r="G2268" s="21" t="n">
        <v>2011</v>
      </c>
      <c r="H2268" s="22" t="n">
        <v>63805</v>
      </c>
      <c r="I2268" s="23" t="n">
        <v>48000</v>
      </c>
      <c r="J2268" s="20" t="inlineStr">
        <is>
          <t>EXCHANGE ROTN</t>
        </is>
      </c>
      <c r="K2268" s="20" t="inlineStr">
        <is>
          <t>Captive</t>
        </is>
      </c>
      <c r="L2268" s="20" t="inlineStr">
        <is>
          <t>Rajaganapathy</t>
        </is>
      </c>
      <c r="M2268" s="23" t="n">
        <v>4237.29</v>
      </c>
      <c r="N2268" s="23" t="n">
        <v>5000</v>
      </c>
      <c r="O2268" s="24">
        <f>IF(AND(ISNUMBER(M2268), ISNUMBER(I2268), I2268&gt;0), M2268/I2268, "")</f>
        <v/>
      </c>
    </row>
    <row r="2269">
      <c r="A2269" s="19" t="inlineStr">
        <is>
          <t>FY27</t>
        </is>
      </c>
      <c r="B2269" s="19" t="inlineStr">
        <is>
          <t>Jun</t>
        </is>
      </c>
      <c r="C2269" s="19" t="inlineStr">
        <is>
          <t>TN</t>
        </is>
      </c>
      <c r="D2269" s="20" t="inlineStr">
        <is>
          <t>TN74R8444</t>
        </is>
      </c>
      <c r="E2269" s="20" t="inlineStr">
        <is>
          <t>CHEVROLET</t>
        </is>
      </c>
      <c r="F2269" s="20" t="inlineStr">
        <is>
          <t>Beat</t>
        </is>
      </c>
      <c r="G2269" s="21" t="n">
        <v>2010</v>
      </c>
      <c r="H2269" s="22" t="n">
        <v>77602</v>
      </c>
      <c r="I2269" s="23" t="n">
        <v>94000</v>
      </c>
      <c r="J2269" s="20" t="inlineStr">
        <is>
          <t>EXCHANGE ROTN</t>
        </is>
      </c>
      <c r="K2269" s="20" t="inlineStr">
        <is>
          <t>Captive</t>
        </is>
      </c>
      <c r="L2269" s="20" t="inlineStr">
        <is>
          <t>Rajaganapathy</t>
        </is>
      </c>
      <c r="M2269" s="23" t="n">
        <v>4237.29</v>
      </c>
      <c r="N2269" s="23" t="n">
        <v>5000</v>
      </c>
      <c r="O2269" s="24">
        <f>IF(AND(ISNUMBER(M2269), ISNUMBER(I2269), I2269&gt;0), M2269/I2269, "")</f>
        <v/>
      </c>
    </row>
    <row r="2270">
      <c r="A2270" s="19" t="inlineStr">
        <is>
          <t>FY27</t>
        </is>
      </c>
      <c r="B2270" s="19" t="inlineStr">
        <is>
          <t>Jun</t>
        </is>
      </c>
      <c r="C2270" s="19" t="inlineStr">
        <is>
          <t>TN</t>
        </is>
      </c>
      <c r="D2270" s="20" t="inlineStr">
        <is>
          <t>TN03B8555</t>
        </is>
      </c>
      <c r="E2270" s="20" t="inlineStr">
        <is>
          <t>MAHINDRA</t>
        </is>
      </c>
      <c r="F2270" s="20" t="inlineStr">
        <is>
          <t>Xylo</t>
        </is>
      </c>
      <c r="G2270" s="21" t="n">
        <v>2009</v>
      </c>
      <c r="H2270" s="22" t="n">
        <v>178073</v>
      </c>
      <c r="I2270" s="23" t="n">
        <v>98000</v>
      </c>
      <c r="J2270" s="20" t="inlineStr">
        <is>
          <t>EXCHANGE ROTN</t>
        </is>
      </c>
      <c r="K2270" s="20" t="inlineStr">
        <is>
          <t>Captive</t>
        </is>
      </c>
      <c r="L2270" s="20" t="inlineStr">
        <is>
          <t>Rajaganapathy</t>
        </is>
      </c>
      <c r="M2270" s="23" t="n">
        <v>4237.29</v>
      </c>
      <c r="N2270" s="23" t="n">
        <v>5000</v>
      </c>
      <c r="O2270" s="24">
        <f>IF(AND(ISNUMBER(M2270), ISNUMBER(I2270), I2270&gt;0), M2270/I2270, "")</f>
        <v/>
      </c>
    </row>
    <row r="2271">
      <c r="A2271" s="19" t="inlineStr">
        <is>
          <t>FY27</t>
        </is>
      </c>
      <c r="B2271" s="19" t="inlineStr">
        <is>
          <t>Jun</t>
        </is>
      </c>
      <c r="C2271" s="19" t="inlineStr">
        <is>
          <t>TN</t>
        </is>
      </c>
      <c r="D2271" s="20" t="inlineStr">
        <is>
          <t>TN37CK3390</t>
        </is>
      </c>
      <c r="E2271" s="20" t="inlineStr">
        <is>
          <t>FIAT</t>
        </is>
      </c>
      <c r="F2271" s="20" t="inlineStr">
        <is>
          <t>Linea</t>
        </is>
      </c>
      <c r="G2271" s="21" t="n">
        <v>2014</v>
      </c>
      <c r="H2271" s="22" t="n">
        <v>101375</v>
      </c>
      <c r="I2271" s="23" t="n">
        <v>70000</v>
      </c>
      <c r="J2271" s="20" t="inlineStr">
        <is>
          <t>EXCHANGE ROTN</t>
        </is>
      </c>
      <c r="K2271" s="20" t="inlineStr">
        <is>
          <t>Captive</t>
        </is>
      </c>
      <c r="L2271" s="20" t="inlineStr">
        <is>
          <t>Sai Cars</t>
        </is>
      </c>
      <c r="M2271" s="23" t="n">
        <v>4237.29</v>
      </c>
      <c r="N2271" s="23" t="n">
        <v>5000</v>
      </c>
      <c r="O2271" s="24">
        <f>IF(AND(ISNUMBER(M2271), ISNUMBER(I2271), I2271&gt;0), M2271/I2271, "")</f>
        <v/>
      </c>
    </row>
    <row r="2272">
      <c r="A2272" s="19" t="inlineStr">
        <is>
          <t>FY27</t>
        </is>
      </c>
      <c r="B2272" s="19" t="inlineStr">
        <is>
          <t>Jun</t>
        </is>
      </c>
      <c r="C2272" s="19" t="inlineStr">
        <is>
          <t>TN</t>
        </is>
      </c>
      <c r="D2272" s="20" t="inlineStr">
        <is>
          <t>TN24AL1770</t>
        </is>
      </c>
      <c r="E2272" s="20" t="inlineStr">
        <is>
          <t>DATSUN</t>
        </is>
      </c>
      <c r="F2272" s="20" t="inlineStr">
        <is>
          <t>Redi-Go</t>
        </is>
      </c>
      <c r="G2272" s="21" t="n">
        <v>2017</v>
      </c>
      <c r="H2272" s="22" t="n">
        <v>58692</v>
      </c>
      <c r="I2272" s="23" t="n">
        <v>93000</v>
      </c>
      <c r="J2272" s="20" t="inlineStr">
        <is>
          <t>EXCHANGE ROTN</t>
        </is>
      </c>
      <c r="K2272" s="20" t="inlineStr">
        <is>
          <t>Captive</t>
        </is>
      </c>
      <c r="L2272" s="20" t="inlineStr">
        <is>
          <t>Sai Cars</t>
        </is>
      </c>
      <c r="M2272" s="23" t="n">
        <v>4237.29</v>
      </c>
      <c r="N2272" s="23" t="n">
        <v>5000</v>
      </c>
      <c r="O2272" s="24">
        <f>IF(AND(ISNUMBER(M2272), ISNUMBER(I2272), I2272&gt;0), M2272/I2272, "")</f>
        <v/>
      </c>
    </row>
    <row r="2273">
      <c r="A2273" s="19" t="inlineStr">
        <is>
          <t>FY27</t>
        </is>
      </c>
      <c r="B2273" s="19" t="inlineStr">
        <is>
          <t>Jun</t>
        </is>
      </c>
      <c r="C2273" s="19" t="inlineStr">
        <is>
          <t>TN</t>
        </is>
      </c>
      <c r="D2273" s="20" t="inlineStr">
        <is>
          <t>TN38AK7818</t>
        </is>
      </c>
      <c r="E2273" s="20" t="inlineStr">
        <is>
          <t>HYUNDAI</t>
        </is>
      </c>
      <c r="F2273" s="20" t="inlineStr">
        <is>
          <t>Santro</t>
        </is>
      </c>
      <c r="G2273" s="21" t="n">
        <v>2007</v>
      </c>
      <c r="H2273" s="22" t="n">
        <v>133585</v>
      </c>
      <c r="I2273" s="23" t="n">
        <v>72000</v>
      </c>
      <c r="J2273" s="20" t="inlineStr">
        <is>
          <t>EXCHANGE ROTN</t>
        </is>
      </c>
      <c r="K2273" s="20" t="inlineStr">
        <is>
          <t>Captive</t>
        </is>
      </c>
      <c r="L2273" s="20" t="inlineStr">
        <is>
          <t>Sai Cars</t>
        </is>
      </c>
      <c r="M2273" s="23" t="n">
        <v>4237.29</v>
      </c>
      <c r="N2273" s="23" t="n">
        <v>5000</v>
      </c>
      <c r="O2273" s="24">
        <f>IF(AND(ISNUMBER(M2273), ISNUMBER(I2273), I2273&gt;0), M2273/I2273, "")</f>
        <v/>
      </c>
    </row>
    <row r="2274">
      <c r="A2274" s="19" t="inlineStr">
        <is>
          <t>FY27</t>
        </is>
      </c>
      <c r="B2274" s="19" t="inlineStr">
        <is>
          <t>Jun</t>
        </is>
      </c>
      <c r="C2274" s="19" t="inlineStr">
        <is>
          <t>TN</t>
        </is>
      </c>
      <c r="D2274" s="20" t="inlineStr">
        <is>
          <t>TN66H0411</t>
        </is>
      </c>
      <c r="E2274" s="20" t="inlineStr">
        <is>
          <t>TATA</t>
        </is>
      </c>
      <c r="F2274" s="20" t="inlineStr">
        <is>
          <t>Nano</t>
        </is>
      </c>
      <c r="G2274" s="21" t="n">
        <v>2012</v>
      </c>
      <c r="H2274" s="22" t="n">
        <v>27934</v>
      </c>
      <c r="I2274" s="23" t="n">
        <v>40000</v>
      </c>
      <c r="J2274" s="20" t="inlineStr">
        <is>
          <t>EXCHANGE ROTN</t>
        </is>
      </c>
      <c r="K2274" s="20" t="inlineStr">
        <is>
          <t>Captive</t>
        </is>
      </c>
      <c r="L2274" s="20" t="inlineStr">
        <is>
          <t>Sai Cars</t>
        </is>
      </c>
      <c r="M2274" s="23" t="n">
        <v>4237.29</v>
      </c>
      <c r="N2274" s="23" t="n">
        <v>5000</v>
      </c>
      <c r="O2274" s="24">
        <f>IF(AND(ISNUMBER(M2274), ISNUMBER(I2274), I2274&gt;0), M2274/I2274, "")</f>
        <v/>
      </c>
    </row>
    <row r="2275">
      <c r="A2275" s="19" t="inlineStr">
        <is>
          <t>FY27</t>
        </is>
      </c>
      <c r="B2275" s="19" t="inlineStr">
        <is>
          <t>Jun</t>
        </is>
      </c>
      <c r="C2275" s="19" t="inlineStr">
        <is>
          <t>TN</t>
        </is>
      </c>
      <c r="D2275" s="20" t="inlineStr">
        <is>
          <t>TN37BF3435</t>
        </is>
      </c>
      <c r="E2275" s="20" t="inlineStr">
        <is>
          <t>CHEVROLET</t>
        </is>
      </c>
      <c r="F2275" s="20" t="inlineStr">
        <is>
          <t>Spark</t>
        </is>
      </c>
      <c r="G2275" s="21" t="n">
        <v>2009</v>
      </c>
      <c r="H2275" s="22" t="n">
        <v>294800</v>
      </c>
      <c r="I2275" s="23" t="n">
        <v>46000</v>
      </c>
      <c r="J2275" s="20" t="inlineStr">
        <is>
          <t>EXCHANGE ROTN</t>
        </is>
      </c>
      <c r="K2275" s="20" t="inlineStr">
        <is>
          <t>Captive</t>
        </is>
      </c>
      <c r="L2275" s="20" t="inlineStr">
        <is>
          <t>Sai Cars</t>
        </is>
      </c>
      <c r="M2275" s="23" t="n">
        <v>4237.29</v>
      </c>
      <c r="N2275" s="23" t="n">
        <v>5000</v>
      </c>
      <c r="O2275" s="24">
        <f>IF(AND(ISNUMBER(M2275), ISNUMBER(I2275), I2275&gt;0), M2275/I2275, "")</f>
        <v/>
      </c>
    </row>
    <row r="2276">
      <c r="A2276" s="19" t="inlineStr">
        <is>
          <t>FY27</t>
        </is>
      </c>
      <c r="B2276" s="19" t="inlineStr">
        <is>
          <t>Jun</t>
        </is>
      </c>
      <c r="C2276" s="19" t="inlineStr">
        <is>
          <t>TN</t>
        </is>
      </c>
      <c r="D2276" s="20" t="inlineStr">
        <is>
          <t>TN37BZ9033</t>
        </is>
      </c>
      <c r="E2276" s="20" t="inlineStr">
        <is>
          <t>HYUNDAI</t>
        </is>
      </c>
      <c r="F2276" s="20" t="inlineStr">
        <is>
          <t>I10</t>
        </is>
      </c>
      <c r="G2276" s="21" t="n">
        <v>2012</v>
      </c>
      <c r="H2276" s="22" t="n">
        <v>100870</v>
      </c>
      <c r="I2276" s="23" t="n">
        <v>86000</v>
      </c>
      <c r="J2276" s="20" t="inlineStr">
        <is>
          <t>EXCHANGE ROTN</t>
        </is>
      </c>
      <c r="K2276" s="20" t="inlineStr">
        <is>
          <t>Captive</t>
        </is>
      </c>
      <c r="L2276" s="20" t="inlineStr">
        <is>
          <t>Sai Cars</t>
        </is>
      </c>
      <c r="M2276" s="23" t="n">
        <v>4237.29</v>
      </c>
      <c r="N2276" s="23" t="n">
        <v>5000</v>
      </c>
      <c r="O2276" s="24">
        <f>IF(AND(ISNUMBER(M2276), ISNUMBER(I2276), I2276&gt;0), M2276/I2276, "")</f>
        <v/>
      </c>
    </row>
    <row r="2277">
      <c r="A2277" s="19" t="inlineStr">
        <is>
          <t>FY27</t>
        </is>
      </c>
      <c r="B2277" s="19" t="inlineStr">
        <is>
          <t>Jun</t>
        </is>
      </c>
      <c r="C2277" s="19" t="inlineStr">
        <is>
          <t>TN</t>
        </is>
      </c>
      <c r="D2277" s="20" t="inlineStr">
        <is>
          <t>TN38T5577</t>
        </is>
      </c>
      <c r="E2277" s="20" t="inlineStr">
        <is>
          <t>HONDA</t>
        </is>
      </c>
      <c r="F2277" s="20" t="inlineStr">
        <is>
          <t>City</t>
        </is>
      </c>
      <c r="G2277" s="21" t="n">
        <v>2003</v>
      </c>
      <c r="H2277" s="22" t="n">
        <v>176666</v>
      </c>
      <c r="I2277" s="23" t="n">
        <v>60000</v>
      </c>
      <c r="J2277" s="20" t="inlineStr">
        <is>
          <t>EXCHANGE ROTN</t>
        </is>
      </c>
      <c r="K2277" s="20" t="inlineStr">
        <is>
          <t>Captive</t>
        </is>
      </c>
      <c r="L2277" s="20" t="inlineStr">
        <is>
          <t>Sai Cars</t>
        </is>
      </c>
      <c r="M2277" s="23" t="n">
        <v>4237.29</v>
      </c>
      <c r="N2277" s="23" t="n">
        <v>5000</v>
      </c>
      <c r="O2277" s="24">
        <f>IF(AND(ISNUMBER(M2277), ISNUMBER(I2277), I2277&gt;0), M2277/I2277, "")</f>
        <v/>
      </c>
    </row>
    <row r="2278">
      <c r="A2278" s="19" t="inlineStr">
        <is>
          <t>FY27</t>
        </is>
      </c>
      <c r="B2278" s="19" t="inlineStr">
        <is>
          <t>Jun</t>
        </is>
      </c>
      <c r="C2278" s="19" t="inlineStr">
        <is>
          <t>TN</t>
        </is>
      </c>
      <c r="D2278" s="20" t="inlineStr">
        <is>
          <t>TN30M3454</t>
        </is>
      </c>
      <c r="E2278" s="20" t="inlineStr">
        <is>
          <t>MARUTI SUZUKI</t>
        </is>
      </c>
      <c r="F2278" s="20" t="inlineStr">
        <is>
          <t>Swift</t>
        </is>
      </c>
      <c r="G2278" s="21" t="n">
        <v>2006</v>
      </c>
      <c r="H2278" s="22" t="n">
        <v>105748</v>
      </c>
      <c r="I2278" s="23" t="n">
        <v>97000</v>
      </c>
      <c r="J2278" s="20" t="inlineStr">
        <is>
          <t>EXCHANGE ROTN</t>
        </is>
      </c>
      <c r="K2278" s="20" t="inlineStr">
        <is>
          <t>Captive</t>
        </is>
      </c>
      <c r="L2278" s="20" t="inlineStr">
        <is>
          <t>Sai Cars</t>
        </is>
      </c>
      <c r="M2278" s="23" t="n">
        <v>4237.29</v>
      </c>
      <c r="N2278" s="23" t="n">
        <v>5000</v>
      </c>
      <c r="O2278" s="24">
        <f>IF(AND(ISNUMBER(M2278), ISNUMBER(I2278), I2278&gt;0), M2278/I2278, "")</f>
        <v/>
      </c>
    </row>
    <row r="2279">
      <c r="A2279" s="19" t="inlineStr">
        <is>
          <t>FY27</t>
        </is>
      </c>
      <c r="B2279" s="19" t="inlineStr">
        <is>
          <t>Jun</t>
        </is>
      </c>
      <c r="C2279" s="19" t="inlineStr">
        <is>
          <t>TN</t>
        </is>
      </c>
      <c r="D2279" s="20" t="inlineStr">
        <is>
          <t>TN37BU1035</t>
        </is>
      </c>
      <c r="E2279" s="20" t="inlineStr">
        <is>
          <t>TATA</t>
        </is>
      </c>
      <c r="F2279" s="20" t="inlineStr">
        <is>
          <t>Aria</t>
        </is>
      </c>
      <c r="G2279" s="21" t="n">
        <v>2011</v>
      </c>
      <c r="H2279" s="22" t="n">
        <v>160259</v>
      </c>
      <c r="I2279" s="23" t="n">
        <v>97000</v>
      </c>
      <c r="J2279" s="20" t="inlineStr">
        <is>
          <t>EXCHANGE ROTN</t>
        </is>
      </c>
      <c r="K2279" s="20" t="inlineStr">
        <is>
          <t>Captive</t>
        </is>
      </c>
      <c r="L2279" s="20" t="inlineStr">
        <is>
          <t>Sai Cars</t>
        </is>
      </c>
      <c r="M2279" s="23" t="n">
        <v>4237.29</v>
      </c>
      <c r="N2279" s="23" t="n">
        <v>5000</v>
      </c>
      <c r="O2279" s="24">
        <f>IF(AND(ISNUMBER(M2279), ISNUMBER(I2279), I2279&gt;0), M2279/I2279, "")</f>
        <v/>
      </c>
    </row>
    <row r="2280">
      <c r="A2280" s="19" t="inlineStr">
        <is>
          <t>FY27</t>
        </is>
      </c>
      <c r="B2280" s="19" t="inlineStr">
        <is>
          <t>Jun</t>
        </is>
      </c>
      <c r="C2280" s="19" t="inlineStr">
        <is>
          <t>TN</t>
        </is>
      </c>
      <c r="D2280" s="20" t="inlineStr">
        <is>
          <t>TN57K7661</t>
        </is>
      </c>
      <c r="E2280" s="20" t="inlineStr">
        <is>
          <t>MARUTI SUZUKI</t>
        </is>
      </c>
      <c r="F2280" s="20" t="inlineStr">
        <is>
          <t>Swift</t>
        </is>
      </c>
      <c r="G2280" s="21" t="n">
        <v>2006</v>
      </c>
      <c r="H2280" s="22" t="n">
        <v>87777</v>
      </c>
      <c r="I2280" s="23" t="n">
        <v>95000</v>
      </c>
      <c r="J2280" s="20" t="inlineStr">
        <is>
          <t>EXCHANGE ROTN</t>
        </is>
      </c>
      <c r="K2280" s="20" t="inlineStr">
        <is>
          <t>Captive</t>
        </is>
      </c>
      <c r="L2280" s="20" t="inlineStr">
        <is>
          <t>Sai Cars</t>
        </is>
      </c>
      <c r="M2280" s="23" t="n">
        <v>4237.29</v>
      </c>
      <c r="N2280" s="23" t="n">
        <v>5000</v>
      </c>
      <c r="O2280" s="24">
        <f>IF(AND(ISNUMBER(M2280), ISNUMBER(I2280), I2280&gt;0), M2280/I2280, "")</f>
        <v/>
      </c>
    </row>
    <row r="2281">
      <c r="A2281" s="19" t="inlineStr">
        <is>
          <t>FY27</t>
        </is>
      </c>
      <c r="B2281" s="19" t="inlineStr">
        <is>
          <t>Jun</t>
        </is>
      </c>
      <c r="C2281" s="19" t="inlineStr">
        <is>
          <t>TN</t>
        </is>
      </c>
      <c r="D2281" s="20" t="inlineStr">
        <is>
          <t>TN10X0515</t>
        </is>
      </c>
      <c r="E2281" s="20" t="inlineStr">
        <is>
          <t>MARUTI SUZUKI</t>
        </is>
      </c>
      <c r="F2281" s="20" t="inlineStr">
        <is>
          <t>Alto 800</t>
        </is>
      </c>
      <c r="G2281" s="21" t="n">
        <v>2008</v>
      </c>
      <c r="H2281" s="22" t="n">
        <v>61707</v>
      </c>
      <c r="I2281" s="23" t="n">
        <v>55000</v>
      </c>
      <c r="J2281" s="20" t="inlineStr">
        <is>
          <t>EXCHANGE ROTN</t>
        </is>
      </c>
      <c r="K2281" s="20" t="inlineStr">
        <is>
          <t>Captive</t>
        </is>
      </c>
      <c r="L2281" s="20" t="inlineStr">
        <is>
          <t>Sai Cars</t>
        </is>
      </c>
      <c r="M2281" s="23" t="n">
        <v>4237.29</v>
      </c>
      <c r="N2281" s="23" t="n">
        <v>5000</v>
      </c>
      <c r="O2281" s="24">
        <f>IF(AND(ISNUMBER(M2281), ISNUMBER(I2281), I2281&gt;0), M2281/I2281, "")</f>
        <v/>
      </c>
    </row>
    <row r="2282">
      <c r="A2282" s="19" t="inlineStr">
        <is>
          <t>FY27</t>
        </is>
      </c>
      <c r="B2282" s="19" t="inlineStr">
        <is>
          <t>Jun</t>
        </is>
      </c>
      <c r="C2282" s="19" t="inlineStr">
        <is>
          <t>TN</t>
        </is>
      </c>
      <c r="D2282" s="20" t="inlineStr">
        <is>
          <t>TN37BH5388</t>
        </is>
      </c>
      <c r="E2282" s="20" t="inlineStr">
        <is>
          <t>MARUTI SUZUKI</t>
        </is>
      </c>
      <c r="F2282" s="20" t="inlineStr">
        <is>
          <t>Alto 800</t>
        </is>
      </c>
      <c r="G2282" s="21" t="n">
        <v>2010</v>
      </c>
      <c r="H2282" s="22" t="n">
        <v>85553</v>
      </c>
      <c r="I2282" s="23" t="n">
        <v>72000</v>
      </c>
      <c r="J2282" s="20" t="inlineStr">
        <is>
          <t>EXCHANGE ROTN</t>
        </is>
      </c>
      <c r="K2282" s="20" t="inlineStr">
        <is>
          <t>Captive</t>
        </is>
      </c>
      <c r="L2282" s="20" t="inlineStr">
        <is>
          <t>Sai Cars</t>
        </is>
      </c>
      <c r="M2282" s="23" t="n">
        <v>4237.29</v>
      </c>
      <c r="N2282" s="23" t="n">
        <v>5000</v>
      </c>
      <c r="O2282" s="24">
        <f>IF(AND(ISNUMBER(M2282), ISNUMBER(I2282), I2282&gt;0), M2282/I2282, "")</f>
        <v/>
      </c>
    </row>
    <row r="2283">
      <c r="A2283" s="19" t="inlineStr">
        <is>
          <t>FY27</t>
        </is>
      </c>
      <c r="B2283" s="19" t="inlineStr">
        <is>
          <t>Jun</t>
        </is>
      </c>
      <c r="C2283" s="19" t="inlineStr">
        <is>
          <t>TN</t>
        </is>
      </c>
      <c r="D2283" s="20" t="inlineStr">
        <is>
          <t>TN38AU1119</t>
        </is>
      </c>
      <c r="E2283" s="20" t="inlineStr">
        <is>
          <t>MARUTI SUZUKI</t>
        </is>
      </c>
      <c r="F2283" s="20" t="inlineStr">
        <is>
          <t>Alto</t>
        </is>
      </c>
      <c r="G2283" s="21" t="n">
        <v>2008</v>
      </c>
      <c r="H2283" s="22" t="n">
        <v>46434</v>
      </c>
      <c r="I2283" s="23" t="n">
        <v>82000</v>
      </c>
      <c r="J2283" s="20" t="inlineStr">
        <is>
          <t>EXCHANGE ROTN</t>
        </is>
      </c>
      <c r="K2283" s="20" t="inlineStr">
        <is>
          <t>Captive</t>
        </is>
      </c>
      <c r="L2283" s="20" t="inlineStr">
        <is>
          <t>Sai Cars</t>
        </is>
      </c>
      <c r="M2283" s="23" t="n">
        <v>4237.29</v>
      </c>
      <c r="N2283" s="23" t="n">
        <v>5000</v>
      </c>
      <c r="O2283" s="24">
        <f>IF(AND(ISNUMBER(M2283), ISNUMBER(I2283), I2283&gt;0), M2283/I2283, "")</f>
        <v/>
      </c>
    </row>
    <row r="2284">
      <c r="A2284" s="19" t="inlineStr">
        <is>
          <t>FY27</t>
        </is>
      </c>
      <c r="B2284" s="19" t="inlineStr">
        <is>
          <t>Jun</t>
        </is>
      </c>
      <c r="C2284" s="19" t="inlineStr">
        <is>
          <t>TN</t>
        </is>
      </c>
      <c r="D2284" s="20" t="inlineStr">
        <is>
          <t>TN19AQ7396</t>
        </is>
      </c>
      <c r="E2284" s="20" t="inlineStr">
        <is>
          <t>HONDA</t>
        </is>
      </c>
      <c r="F2284" s="20" t="inlineStr">
        <is>
          <t>Amaze</t>
        </is>
      </c>
      <c r="G2284" s="21" t="n">
        <v>2021</v>
      </c>
      <c r="H2284" s="22" t="n">
        <v>73395</v>
      </c>
      <c r="I2284" s="23" t="n">
        <v>500000</v>
      </c>
      <c r="J2284" s="20" t="inlineStr">
        <is>
          <t>EXCHANGE CHENNAI</t>
        </is>
      </c>
      <c r="K2284" s="20" t="inlineStr">
        <is>
          <t>Captive</t>
        </is>
      </c>
      <c r="L2284" s="20" t="inlineStr">
        <is>
          <t>Lanson</t>
        </is>
      </c>
      <c r="M2284" s="23" t="n">
        <v>8474.58</v>
      </c>
      <c r="N2284" s="23" t="n">
        <v>10000</v>
      </c>
      <c r="O2284" s="24">
        <f>IF(AND(ISNUMBER(M2284), ISNUMBER(I2284), I2284&gt;0), M2284/I2284, "")</f>
        <v/>
      </c>
    </row>
    <row r="2285">
      <c r="A2285" s="19" t="inlineStr">
        <is>
          <t>FY27</t>
        </is>
      </c>
      <c r="B2285" s="19" t="inlineStr">
        <is>
          <t>Jun</t>
        </is>
      </c>
      <c r="C2285" s="19" t="inlineStr">
        <is>
          <t>TN</t>
        </is>
      </c>
      <c r="D2285" s="20" t="inlineStr">
        <is>
          <t>TN22CV8416</t>
        </is>
      </c>
      <c r="E2285" s="20" t="inlineStr">
        <is>
          <t>HYUNDAI</t>
        </is>
      </c>
      <c r="F2285" s="20" t="inlineStr">
        <is>
          <t>I10</t>
        </is>
      </c>
      <c r="G2285" s="21" t="n">
        <v>2012</v>
      </c>
      <c r="H2285" s="22" t="n">
        <v>51591</v>
      </c>
      <c r="I2285" s="23" t="n">
        <v>150000</v>
      </c>
      <c r="J2285" s="20" t="inlineStr">
        <is>
          <t>EXCHANGE CHENNAI</t>
        </is>
      </c>
      <c r="K2285" s="20" t="inlineStr">
        <is>
          <t>Captive</t>
        </is>
      </c>
      <c r="L2285" s="20" t="inlineStr">
        <is>
          <t>S2 Cars</t>
        </is>
      </c>
      <c r="M2285" s="23" t="n">
        <v>8474.58</v>
      </c>
      <c r="N2285" s="23" t="n">
        <v>10000</v>
      </c>
      <c r="O2285" s="24">
        <f>IF(AND(ISNUMBER(M2285), ISNUMBER(I2285), I2285&gt;0), M2285/I2285, "")</f>
        <v/>
      </c>
    </row>
    <row r="2286">
      <c r="A2286" s="19" t="inlineStr">
        <is>
          <t>FY27</t>
        </is>
      </c>
      <c r="B2286" s="19" t="inlineStr">
        <is>
          <t>Jun</t>
        </is>
      </c>
      <c r="C2286" s="19" t="inlineStr">
        <is>
          <t>TN</t>
        </is>
      </c>
      <c r="D2286" s="20" t="inlineStr">
        <is>
          <t>TN06Y8511</t>
        </is>
      </c>
      <c r="E2286" s="20" t="inlineStr">
        <is>
          <t>HONDA</t>
        </is>
      </c>
      <c r="F2286" s="20" t="inlineStr">
        <is>
          <t>City</t>
        </is>
      </c>
      <c r="G2286" s="21" t="n">
        <v>2019</v>
      </c>
      <c r="H2286" s="22" t="n">
        <v>40694</v>
      </c>
      <c r="I2286" s="23" t="n">
        <v>700000</v>
      </c>
      <c r="J2286" s="20" t="inlineStr">
        <is>
          <t>EXCHANGE CHENNAI</t>
        </is>
      </c>
      <c r="K2286" s="20" t="inlineStr">
        <is>
          <t>Captive</t>
        </is>
      </c>
      <c r="L2286" s="20" t="inlineStr">
        <is>
          <t>TSM</t>
        </is>
      </c>
      <c r="M2286" s="23" t="n">
        <v>8474.58</v>
      </c>
      <c r="N2286" s="23" t="n">
        <v>10000</v>
      </c>
      <c r="O2286" s="24">
        <f>IF(AND(ISNUMBER(M2286), ISNUMBER(I2286), I2286&gt;0), M2286/I2286, "")</f>
        <v/>
      </c>
    </row>
    <row r="2287">
      <c r="A2287" s="19" t="inlineStr">
        <is>
          <t>FY27</t>
        </is>
      </c>
      <c r="B2287" s="19" t="inlineStr">
        <is>
          <t>Jun</t>
        </is>
      </c>
      <c r="C2287" s="19" t="inlineStr">
        <is>
          <t>TN</t>
        </is>
      </c>
      <c r="D2287" s="20" t="inlineStr">
        <is>
          <t>TN02BD7285</t>
        </is>
      </c>
      <c r="E2287" s="20" t="inlineStr">
        <is>
          <t>HONDA</t>
        </is>
      </c>
      <c r="F2287" s="20" t="inlineStr">
        <is>
          <t>Amaze</t>
        </is>
      </c>
      <c r="G2287" s="21" t="n">
        <v>2015</v>
      </c>
      <c r="H2287" s="22" t="n">
        <v>85119</v>
      </c>
      <c r="I2287" s="23" t="n">
        <v>310000</v>
      </c>
      <c r="J2287" s="20" t="inlineStr">
        <is>
          <t>EXCHANGE CHENNAI</t>
        </is>
      </c>
      <c r="K2287" s="20" t="inlineStr">
        <is>
          <t>Captive</t>
        </is>
      </c>
      <c r="L2287" s="20" t="inlineStr">
        <is>
          <t>AAA Cars</t>
        </is>
      </c>
      <c r="M2287" s="23" t="n">
        <v>8474.58</v>
      </c>
      <c r="N2287" s="23" t="n">
        <v>10000</v>
      </c>
      <c r="O2287" s="24">
        <f>IF(AND(ISNUMBER(M2287), ISNUMBER(I2287), I2287&gt;0), M2287/I2287, "")</f>
        <v/>
      </c>
    </row>
    <row r="2288">
      <c r="A2288" s="19" t="inlineStr">
        <is>
          <t>FY27</t>
        </is>
      </c>
      <c r="B2288" s="19" t="inlineStr">
        <is>
          <t>Jun</t>
        </is>
      </c>
      <c r="C2288" s="19" t="inlineStr">
        <is>
          <t>TN</t>
        </is>
      </c>
      <c r="D2288" s="20" t="inlineStr">
        <is>
          <t>TN10BK9570</t>
        </is>
      </c>
      <c r="E2288" s="20" t="inlineStr">
        <is>
          <t>MARUTI SUZUKI</t>
        </is>
      </c>
      <c r="F2288" s="20" t="inlineStr">
        <is>
          <t>Ignis</t>
        </is>
      </c>
      <c r="G2288" s="21" t="n">
        <v>2020</v>
      </c>
      <c r="H2288" s="22" t="n">
        <v>65041</v>
      </c>
      <c r="I2288" s="23" t="n">
        <v>440000</v>
      </c>
      <c r="J2288" s="20" t="inlineStr">
        <is>
          <t>CAR HUB</t>
        </is>
      </c>
      <c r="K2288" s="20" t="inlineStr">
        <is>
          <t>Non-Captive</t>
        </is>
      </c>
      <c r="L2288" s="20" t="inlineStr">
        <is>
          <t>Spinny</t>
        </is>
      </c>
      <c r="M2288" s="23" t="n">
        <v>5084.75</v>
      </c>
      <c r="N2288" s="23" t="n">
        <v>6000</v>
      </c>
      <c r="O2288" s="24">
        <f>IF(AND(ISNUMBER(M2288), ISNUMBER(I2288), I2288&gt;0), M2288/I2288, "")</f>
        <v/>
      </c>
    </row>
    <row r="2289">
      <c r="A2289" s="19" t="inlineStr">
        <is>
          <t>FY27</t>
        </is>
      </c>
      <c r="B2289" s="19" t="inlineStr">
        <is>
          <t>Jun</t>
        </is>
      </c>
      <c r="C2289" s="19" t="inlineStr">
        <is>
          <t>TN</t>
        </is>
      </c>
      <c r="D2289" s="20" t="inlineStr">
        <is>
          <t>TN10AV4592</t>
        </is>
      </c>
      <c r="E2289" s="20" t="inlineStr">
        <is>
          <t>MARUTI SUZUKI</t>
        </is>
      </c>
      <c r="F2289" s="20" t="inlineStr">
        <is>
          <t>Alto 800</t>
        </is>
      </c>
      <c r="G2289" s="21" t="n">
        <v>2016</v>
      </c>
      <c r="H2289" s="22" t="n">
        <v>50523</v>
      </c>
      <c r="I2289" s="23" t="n">
        <v>300000</v>
      </c>
      <c r="J2289" s="20" t="inlineStr">
        <is>
          <t>POPULAR VEHICLES AND SERVICES LIMITED</t>
        </is>
      </c>
      <c r="K2289" s="20" t="inlineStr">
        <is>
          <t>Non-Captive</t>
        </is>
      </c>
      <c r="L2289" s="20" t="inlineStr">
        <is>
          <t>Car Hub</t>
        </is>
      </c>
      <c r="M2289" s="23" t="n">
        <v>4237.29</v>
      </c>
      <c r="N2289" s="23" t="n">
        <v>5000</v>
      </c>
      <c r="O2289" s="24">
        <f>IF(AND(ISNUMBER(M2289), ISNUMBER(I2289), I2289&gt;0), M2289/I2289, "")</f>
        <v/>
      </c>
    </row>
    <row r="2290">
      <c r="A2290" s="19" t="inlineStr">
        <is>
          <t>FY27</t>
        </is>
      </c>
      <c r="B2290" s="19" t="inlineStr">
        <is>
          <t>Jun</t>
        </is>
      </c>
      <c r="C2290" s="19" t="inlineStr">
        <is>
          <t>TN</t>
        </is>
      </c>
      <c r="D2290" s="20" t="inlineStr">
        <is>
          <t>TN30BQ5064</t>
        </is>
      </c>
      <c r="E2290" s="20" t="inlineStr">
        <is>
          <t>MARUTI SUZUKI</t>
        </is>
      </c>
      <c r="F2290" s="20" t="inlineStr">
        <is>
          <t>Ciaz</t>
        </is>
      </c>
      <c r="G2290" s="21" t="n">
        <v>2020</v>
      </c>
      <c r="H2290" s="22" t="n">
        <v>67770</v>
      </c>
      <c r="I2290" s="23" t="n">
        <v>500000</v>
      </c>
      <c r="J2290" s="20" t="inlineStr">
        <is>
          <t>Castel Traders Honda</t>
        </is>
      </c>
      <c r="K2290" s="20" t="inlineStr">
        <is>
          <t>Non-Captive</t>
        </is>
      </c>
      <c r="L2290" s="20" t="inlineStr">
        <is>
          <t>S2 cars</t>
        </is>
      </c>
      <c r="M2290" s="23" t="n">
        <v>6779.66</v>
      </c>
      <c r="N2290" s="23" t="n">
        <v>8000</v>
      </c>
      <c r="O2290" s="24">
        <f>IF(AND(ISNUMBER(M2290), ISNUMBER(I2290), I2290&gt;0), M2290/I2290, "")</f>
        <v/>
      </c>
    </row>
    <row r="2291">
      <c r="A2291" s="19" t="inlineStr">
        <is>
          <t>FY27</t>
        </is>
      </c>
      <c r="B2291" s="19" t="inlineStr">
        <is>
          <t>Jun</t>
        </is>
      </c>
      <c r="C2291" s="19" t="inlineStr">
        <is>
          <t>TN</t>
        </is>
      </c>
      <c r="D2291" s="20" t="inlineStr">
        <is>
          <t>TN05BP5447</t>
        </is>
      </c>
      <c r="E2291" s="20" t="inlineStr">
        <is>
          <t>MARUTI SUZUKI</t>
        </is>
      </c>
      <c r="F2291" s="20" t="inlineStr">
        <is>
          <t>Wagon R</t>
        </is>
      </c>
      <c r="G2291" s="21" t="n">
        <v>2017</v>
      </c>
      <c r="H2291" s="22" t="n">
        <v>45051</v>
      </c>
      <c r="I2291" s="23" t="n">
        <v>310000</v>
      </c>
      <c r="J2291" s="20" t="inlineStr">
        <is>
          <t>Khivraj Motor</t>
        </is>
      </c>
      <c r="K2291" s="20" t="inlineStr">
        <is>
          <t>Non-Captive</t>
        </is>
      </c>
      <c r="L2291" s="20" t="inlineStr">
        <is>
          <t>Prem Cars</t>
        </is>
      </c>
      <c r="M2291" s="23" t="n">
        <v>6355.93</v>
      </c>
      <c r="N2291" s="23" t="n">
        <v>7500</v>
      </c>
      <c r="O2291" s="24">
        <f>IF(AND(ISNUMBER(M2291), ISNUMBER(I2291), I2291&gt;0), M2291/I2291, "")</f>
        <v/>
      </c>
    </row>
    <row r="2292">
      <c r="A2292" s="19" t="inlineStr">
        <is>
          <t>FY27</t>
        </is>
      </c>
      <c r="B2292" s="19" t="inlineStr">
        <is>
          <t>Jun</t>
        </is>
      </c>
      <c r="C2292" s="19" t="inlineStr">
        <is>
          <t>TN</t>
        </is>
      </c>
      <c r="D2292" s="20" t="inlineStr">
        <is>
          <t>TN57AK0405</t>
        </is>
      </c>
      <c r="E2292" s="20" t="inlineStr">
        <is>
          <t>HYUNDAI</t>
        </is>
      </c>
      <c r="F2292" s="20" t="inlineStr">
        <is>
          <t>Grand I10</t>
        </is>
      </c>
      <c r="G2292" s="21" t="n">
        <v>2015</v>
      </c>
      <c r="H2292" s="22" t="n">
        <v>91825</v>
      </c>
      <c r="I2292" s="23" t="n">
        <v>200000</v>
      </c>
      <c r="J2292" s="20" t="inlineStr">
        <is>
          <t>Khivraj Motor</t>
        </is>
      </c>
      <c r="K2292" s="20" t="inlineStr">
        <is>
          <t>Non-Captive</t>
        </is>
      </c>
      <c r="L2292" s="20" t="inlineStr">
        <is>
          <t>SRI SENTHUR CARS</t>
        </is>
      </c>
      <c r="M2292" s="23" t="n">
        <v>6355.93</v>
      </c>
      <c r="N2292" s="23" t="n">
        <v>7500</v>
      </c>
      <c r="O2292" s="24">
        <f>IF(AND(ISNUMBER(M2292), ISNUMBER(I2292), I2292&gt;0), M2292/I2292, "")</f>
        <v/>
      </c>
    </row>
    <row r="2293">
      <c r="A2293" s="19" t="inlineStr">
        <is>
          <t>FY27</t>
        </is>
      </c>
      <c r="B2293" s="19" t="inlineStr">
        <is>
          <t>Jun</t>
        </is>
      </c>
      <c r="C2293" s="19" t="inlineStr">
        <is>
          <t>TN</t>
        </is>
      </c>
      <c r="D2293" s="20" t="inlineStr">
        <is>
          <t>TN875898</t>
        </is>
      </c>
      <c r="E2293" s="20" t="inlineStr">
        <is>
          <t>HYUNDAI</t>
        </is>
      </c>
      <c r="F2293" s="20" t="inlineStr">
        <is>
          <t>Creta</t>
        </is>
      </c>
      <c r="G2293" s="21" t="n">
        <v>2017</v>
      </c>
      <c r="H2293" s="22" t="n">
        <v>87224</v>
      </c>
      <c r="I2293" s="23" t="n">
        <v>552500</v>
      </c>
      <c r="J2293" s="20" t="inlineStr">
        <is>
          <t>Mahathi Cars</t>
        </is>
      </c>
      <c r="K2293" s="20" t="inlineStr">
        <is>
          <t>Non-Captive</t>
        </is>
      </c>
      <c r="L2293" s="20" t="inlineStr">
        <is>
          <t>Value Drive</t>
        </is>
      </c>
      <c r="M2293" s="23" t="n">
        <v>6355.93</v>
      </c>
      <c r="N2293" s="23" t="n">
        <v>7500</v>
      </c>
      <c r="O2293" s="24">
        <f>IF(AND(ISNUMBER(M2293), ISNUMBER(I2293), I2293&gt;0), M2293/I2293, "")</f>
        <v/>
      </c>
    </row>
    <row r="2294">
      <c r="A2294" s="19" t="inlineStr">
        <is>
          <t>FY27</t>
        </is>
      </c>
      <c r="B2294" s="19" t="inlineStr">
        <is>
          <t>Jun</t>
        </is>
      </c>
      <c r="C2294" s="19" t="inlineStr">
        <is>
          <t>TN</t>
        </is>
      </c>
      <c r="D2294" s="20" t="inlineStr">
        <is>
          <t>TN18W5593</t>
        </is>
      </c>
      <c r="E2294" s="20" t="inlineStr">
        <is>
          <t>MARUTI SUZUKI</t>
        </is>
      </c>
      <c r="F2294" s="20" t="inlineStr">
        <is>
          <t>Wagon R</t>
        </is>
      </c>
      <c r="G2294" s="21" t="n">
        <v>2012</v>
      </c>
      <c r="H2294" s="22" t="n">
        <v>38742</v>
      </c>
      <c r="I2294" s="23" t="n">
        <v>145000</v>
      </c>
      <c r="J2294" s="20" t="inlineStr">
        <is>
          <t>Castel Traders Honda</t>
        </is>
      </c>
      <c r="K2294" s="20" t="inlineStr">
        <is>
          <t>Non-Captive</t>
        </is>
      </c>
      <c r="L2294" s="20" t="inlineStr">
        <is>
          <t>Grid 33</t>
        </is>
      </c>
      <c r="M2294" s="23" t="n">
        <v>4237.29</v>
      </c>
      <c r="N2294" s="23" t="n">
        <v>5000</v>
      </c>
      <c r="O2294" s="24">
        <f>IF(AND(ISNUMBER(M2294), ISNUMBER(I2294), I2294&gt;0), M2294/I2294, "")</f>
        <v/>
      </c>
    </row>
    <row r="2295">
      <c r="A2295" s="19" t="inlineStr">
        <is>
          <t>FY27</t>
        </is>
      </c>
      <c r="B2295" s="19" t="inlineStr">
        <is>
          <t>Jun</t>
        </is>
      </c>
      <c r="C2295" s="19" t="inlineStr">
        <is>
          <t>TN</t>
        </is>
      </c>
      <c r="D2295" s="20" t="inlineStr">
        <is>
          <t>TN14K9119</t>
        </is>
      </c>
      <c r="E2295" s="20" t="inlineStr">
        <is>
          <t>MARUTI SUZUKI</t>
        </is>
      </c>
      <c r="F2295" s="20" t="inlineStr">
        <is>
          <t>Ciaz</t>
        </is>
      </c>
      <c r="G2295" s="21" t="n">
        <v>2017</v>
      </c>
      <c r="H2295" s="22" t="n">
        <v>91825</v>
      </c>
      <c r="I2295" s="23" t="n">
        <v>440000</v>
      </c>
      <c r="J2295" s="20" t="inlineStr">
        <is>
          <t>Khivraj Motor</t>
        </is>
      </c>
      <c r="K2295" s="20" t="inlineStr">
        <is>
          <t>Non-Captive</t>
        </is>
      </c>
      <c r="L2295" s="20" t="inlineStr">
        <is>
          <t>Yogeshwari Cars</t>
        </is>
      </c>
      <c r="M2295" s="23" t="n">
        <v>7627.12</v>
      </c>
      <c r="N2295" s="23" t="n">
        <v>9000</v>
      </c>
      <c r="O2295" s="24">
        <f>IF(AND(ISNUMBER(M2295), ISNUMBER(I2295), I2295&gt;0), M2295/I2295, "")</f>
        <v/>
      </c>
    </row>
    <row r="2296">
      <c r="A2296" s="19" t="inlineStr">
        <is>
          <t>FY27</t>
        </is>
      </c>
      <c r="B2296" s="19" t="inlineStr">
        <is>
          <t>Jun</t>
        </is>
      </c>
      <c r="C2296" s="19" t="inlineStr">
        <is>
          <t>TN</t>
        </is>
      </c>
      <c r="D2296" s="20" t="inlineStr">
        <is>
          <t>TN07BB4387</t>
        </is>
      </c>
      <c r="E2296" s="20" t="inlineStr">
        <is>
          <t>HYUNDAI</t>
        </is>
      </c>
      <c r="F2296" s="20" t="inlineStr">
        <is>
          <t>I10</t>
        </is>
      </c>
      <c r="G2296" s="21" t="n">
        <v>2008</v>
      </c>
      <c r="H2296" s="22" t="n">
        <v>41459</v>
      </c>
      <c r="I2296" s="23" t="n">
        <v>95000</v>
      </c>
      <c r="J2296" s="20" t="inlineStr">
        <is>
          <t>Khivraj Motor</t>
        </is>
      </c>
      <c r="K2296" s="20" t="inlineStr">
        <is>
          <t>Non-Captive</t>
        </is>
      </c>
      <c r="L2296" s="20" t="inlineStr">
        <is>
          <t>Grid 33</t>
        </is>
      </c>
      <c r="M2296" s="23" t="n">
        <v>4237.29</v>
      </c>
      <c r="N2296" s="23" t="n">
        <v>5000</v>
      </c>
      <c r="O2296" s="24">
        <f>IF(AND(ISNUMBER(M2296), ISNUMBER(I2296), I2296&gt;0), M2296/I2296, "")</f>
        <v/>
      </c>
    </row>
    <row r="2297">
      <c r="A2297" s="19" t="inlineStr">
        <is>
          <t>FY27</t>
        </is>
      </c>
      <c r="B2297" s="19" t="inlineStr">
        <is>
          <t>Jun</t>
        </is>
      </c>
      <c r="C2297" s="19" t="inlineStr">
        <is>
          <t>TN</t>
        </is>
      </c>
      <c r="D2297" s="20" t="inlineStr">
        <is>
          <t>TN72AL0615</t>
        </is>
      </c>
      <c r="E2297" s="20" t="inlineStr">
        <is>
          <t>MARUTI SUZUKI</t>
        </is>
      </c>
      <c r="F2297" s="20" t="inlineStr">
        <is>
          <t>K10</t>
        </is>
      </c>
      <c r="G2297" s="21" t="n">
        <v>2011</v>
      </c>
      <c r="H2297" s="22" t="n">
        <v>103240</v>
      </c>
      <c r="I2297" s="23" t="n">
        <v>155000</v>
      </c>
      <c r="J2297" s="20" t="inlineStr">
        <is>
          <t>Khivraj Motor</t>
        </is>
      </c>
      <c r="K2297" s="20" t="inlineStr">
        <is>
          <t>Non-Captive</t>
        </is>
      </c>
      <c r="L2297" s="20" t="inlineStr">
        <is>
          <t>Grid 33</t>
        </is>
      </c>
      <c r="M2297" s="23" t="n">
        <v>5084.75</v>
      </c>
      <c r="N2297" s="23" t="n">
        <v>6000</v>
      </c>
      <c r="O2297" s="24">
        <f>IF(AND(ISNUMBER(M2297), ISNUMBER(I2297), I2297&gt;0), M2297/I2297, "")</f>
        <v/>
      </c>
    </row>
    <row r="2298">
      <c r="A2298" s="19" t="inlineStr">
        <is>
          <t>FY27</t>
        </is>
      </c>
      <c r="B2298" s="19" t="inlineStr">
        <is>
          <t>Jun</t>
        </is>
      </c>
      <c r="C2298" s="19" t="inlineStr">
        <is>
          <t>TN</t>
        </is>
      </c>
      <c r="D2298" s="20" t="inlineStr">
        <is>
          <t>TN12B5548</t>
        </is>
      </c>
      <c r="E2298" s="20" t="inlineStr">
        <is>
          <t>NISSAN</t>
        </is>
      </c>
      <c r="F2298" s="20" t="inlineStr">
        <is>
          <t>Sunny</t>
        </is>
      </c>
      <c r="G2298" s="21" t="n">
        <v>2014</v>
      </c>
      <c r="H2298" s="22" t="n">
        <v>97995</v>
      </c>
      <c r="I2298" s="23" t="n">
        <v>210000</v>
      </c>
      <c r="J2298" s="20" t="inlineStr">
        <is>
          <t>Khivraj Motor</t>
        </is>
      </c>
      <c r="K2298" s="20" t="inlineStr">
        <is>
          <t>Non-Captive</t>
        </is>
      </c>
      <c r="L2298" s="20" t="inlineStr">
        <is>
          <t>Grid 33</t>
        </is>
      </c>
      <c r="M2298" s="23" t="n">
        <v>6355.93</v>
      </c>
      <c r="N2298" s="23" t="n">
        <v>7500</v>
      </c>
      <c r="O2298" s="24">
        <f>IF(AND(ISNUMBER(M2298), ISNUMBER(I2298), I2298&gt;0), M2298/I2298, "")</f>
        <v/>
      </c>
    </row>
    <row r="2299">
      <c r="A2299" s="19" t="inlineStr">
        <is>
          <t>FY27</t>
        </is>
      </c>
      <c r="B2299" s="19" t="inlineStr">
        <is>
          <t>Jun</t>
        </is>
      </c>
      <c r="C2299" s="19" t="inlineStr">
        <is>
          <t>TN</t>
        </is>
      </c>
      <c r="D2299" s="20" t="inlineStr">
        <is>
          <t>TN13L9032</t>
        </is>
      </c>
      <c r="E2299" s="20" t="inlineStr">
        <is>
          <t>MARUTI SUZUKI</t>
        </is>
      </c>
      <c r="F2299" s="20" t="inlineStr">
        <is>
          <t>Swift Dzire</t>
        </is>
      </c>
      <c r="G2299" s="21" t="n">
        <v>2018</v>
      </c>
      <c r="H2299" s="22" t="n">
        <v>25806</v>
      </c>
      <c r="I2299" s="23" t="n">
        <v>445000</v>
      </c>
      <c r="J2299" s="20" t="inlineStr">
        <is>
          <t>Khivraj Motor</t>
        </is>
      </c>
      <c r="K2299" s="20" t="inlineStr">
        <is>
          <t>Non-Captive</t>
        </is>
      </c>
      <c r="L2299" s="20" t="inlineStr">
        <is>
          <t>Grid 33</t>
        </is>
      </c>
      <c r="M2299" s="23" t="n">
        <v>7627.12</v>
      </c>
      <c r="N2299" s="23" t="n">
        <v>9000</v>
      </c>
      <c r="O2299" s="24">
        <f>IF(AND(ISNUMBER(M2299), ISNUMBER(I2299), I2299&gt;0), M2299/I2299, "")</f>
        <v/>
      </c>
    </row>
    <row r="2300">
      <c r="A2300" s="19" t="inlineStr">
        <is>
          <t>FY27</t>
        </is>
      </c>
      <c r="B2300" s="19" t="inlineStr">
        <is>
          <t>Jun</t>
        </is>
      </c>
      <c r="C2300" s="19" t="inlineStr">
        <is>
          <t>TN</t>
        </is>
      </c>
      <c r="D2300" s="20" t="inlineStr">
        <is>
          <t>TN45AF1224</t>
        </is>
      </c>
      <c r="E2300" s="20" t="inlineStr">
        <is>
          <t>FORD</t>
        </is>
      </c>
      <c r="F2300" s="20" t="inlineStr">
        <is>
          <t>Fiesta</t>
        </is>
      </c>
      <c r="G2300" s="21" t="n">
        <v>2006</v>
      </c>
      <c r="H2300" s="22" t="n">
        <v>164114</v>
      </c>
      <c r="I2300" s="23" t="n">
        <v>40000</v>
      </c>
      <c r="J2300" s="20" t="inlineStr">
        <is>
          <t>EXCHANGE ROTN</t>
        </is>
      </c>
      <c r="K2300" s="20" t="inlineStr">
        <is>
          <t>Captive</t>
        </is>
      </c>
      <c r="L2300" s="20" t="inlineStr">
        <is>
          <t>Shivashankar cars</t>
        </is>
      </c>
      <c r="M2300" s="23" t="n">
        <v>4237.29</v>
      </c>
      <c r="N2300" s="23" t="n">
        <v>5000</v>
      </c>
      <c r="O2300" s="24">
        <f>IF(AND(ISNUMBER(M2300), ISNUMBER(I2300), I2300&gt;0), M2300/I2300, "")</f>
        <v/>
      </c>
    </row>
    <row r="2301">
      <c r="A2301" s="19" t="inlineStr">
        <is>
          <t>FY27</t>
        </is>
      </c>
      <c r="B2301" s="19" t="inlineStr">
        <is>
          <t>Jun</t>
        </is>
      </c>
      <c r="C2301" s="19" t="inlineStr">
        <is>
          <t>TN</t>
        </is>
      </c>
      <c r="D2301" s="20" t="inlineStr">
        <is>
          <t>TN58AR3445</t>
        </is>
      </c>
      <c r="E2301" s="20" t="inlineStr">
        <is>
          <t>HONDA</t>
        </is>
      </c>
      <c r="F2301" s="20" t="inlineStr">
        <is>
          <t>Brio</t>
        </is>
      </c>
      <c r="G2301" s="21" t="n">
        <v>2018</v>
      </c>
      <c r="H2301" s="22" t="n">
        <v>65913</v>
      </c>
      <c r="I2301" s="23" t="n">
        <v>320000</v>
      </c>
      <c r="J2301" s="20" t="inlineStr">
        <is>
          <t>EXCHANGE ROTN</t>
        </is>
      </c>
      <c r="K2301" s="20" t="inlineStr">
        <is>
          <t>Captive</t>
        </is>
      </c>
      <c r="L2301" s="20" t="inlineStr">
        <is>
          <t>SAi cars</t>
        </is>
      </c>
      <c r="M2301" s="23" t="n">
        <v>8474.58</v>
      </c>
      <c r="N2301" s="23" t="n">
        <v>10000</v>
      </c>
      <c r="O2301" s="24">
        <f>IF(AND(ISNUMBER(M2301), ISNUMBER(I2301), I2301&gt;0), M2301/I2301, "")</f>
        <v/>
      </c>
    </row>
    <row r="2302">
      <c r="A2302" s="19" t="inlineStr">
        <is>
          <t>FY27</t>
        </is>
      </c>
      <c r="B2302" s="19" t="inlineStr">
        <is>
          <t>Jun</t>
        </is>
      </c>
      <c r="C2302" s="19" t="inlineStr">
        <is>
          <t>TN</t>
        </is>
      </c>
      <c r="D2302" s="20" t="inlineStr">
        <is>
          <t>TN58BB0070</t>
        </is>
      </c>
      <c r="E2302" s="20" t="inlineStr">
        <is>
          <t>RENAULT</t>
        </is>
      </c>
      <c r="F2302" s="20" t="inlineStr">
        <is>
          <t>Kwid</t>
        </is>
      </c>
      <c r="G2302" s="21" t="n">
        <v>2019</v>
      </c>
      <c r="H2302" s="22" t="n">
        <v>53501</v>
      </c>
      <c r="I2302" s="23" t="n">
        <v>205000</v>
      </c>
      <c r="J2302" s="20" t="inlineStr">
        <is>
          <t>EXCHANGE ROTN</t>
        </is>
      </c>
      <c r="K2302" s="20" t="inlineStr">
        <is>
          <t>Captive</t>
        </is>
      </c>
      <c r="L2302" s="20" t="inlineStr">
        <is>
          <t>Sai Cars</t>
        </is>
      </c>
      <c r="M2302" s="23" t="n">
        <v>8474.58</v>
      </c>
      <c r="N2302" s="23" t="n">
        <v>10000</v>
      </c>
      <c r="O2302" s="24">
        <f>IF(AND(ISNUMBER(M2302), ISNUMBER(I2302), I2302&gt;0), M2302/I2302, "")</f>
        <v/>
      </c>
    </row>
    <row r="2303">
      <c r="A2303" s="19" t="inlineStr">
        <is>
          <t>FY27</t>
        </is>
      </c>
      <c r="B2303" s="19" t="inlineStr">
        <is>
          <t>Jun</t>
        </is>
      </c>
      <c r="C2303" s="19" t="inlineStr">
        <is>
          <t>TN</t>
        </is>
      </c>
      <c r="D2303" s="20" t="inlineStr">
        <is>
          <t>TN63AX7758</t>
        </is>
      </c>
      <c r="E2303" s="20" t="inlineStr">
        <is>
          <t>MARUTI SUZUKI</t>
        </is>
      </c>
      <c r="F2303" s="20" t="inlineStr">
        <is>
          <t>Wagon R</t>
        </is>
      </c>
      <c r="G2303" s="21" t="n">
        <v>2013</v>
      </c>
      <c r="H2303" s="22" t="n">
        <v>92059</v>
      </c>
      <c r="I2303" s="23" t="n">
        <v>140000</v>
      </c>
      <c r="J2303" s="20" t="inlineStr">
        <is>
          <t>EXCHANGE ROTN</t>
        </is>
      </c>
      <c r="K2303" s="20" t="inlineStr">
        <is>
          <t>Captive</t>
        </is>
      </c>
      <c r="L2303" s="20" t="inlineStr">
        <is>
          <t>Purushotham Cars</t>
        </is>
      </c>
      <c r="M2303" s="23" t="n">
        <v>8474.58</v>
      </c>
      <c r="N2303" s="23" t="n">
        <v>10000</v>
      </c>
      <c r="O2303" s="24">
        <f>IF(AND(ISNUMBER(M2303), ISNUMBER(I2303), I2303&gt;0), M2303/I2303, "")</f>
        <v/>
      </c>
    </row>
    <row r="2304">
      <c r="A2304" s="19" t="inlineStr">
        <is>
          <t>FY27</t>
        </is>
      </c>
      <c r="B2304" s="19" t="inlineStr">
        <is>
          <t>Jun</t>
        </is>
      </c>
      <c r="C2304" s="19" t="inlineStr">
        <is>
          <t>TN</t>
        </is>
      </c>
      <c r="D2304" s="20" t="inlineStr">
        <is>
          <t>TN63CB1985</t>
        </is>
      </c>
      <c r="E2304" s="20" t="inlineStr">
        <is>
          <t>TATA</t>
        </is>
      </c>
      <c r="F2304" s="20" t="inlineStr">
        <is>
          <t>Nexon</t>
        </is>
      </c>
      <c r="G2304" s="21" t="n">
        <v>2025</v>
      </c>
      <c r="H2304" s="22" t="n">
        <v>12794</v>
      </c>
      <c r="I2304" s="23" t="n">
        <v>690000</v>
      </c>
      <c r="J2304" s="20" t="inlineStr">
        <is>
          <t>EXCHANGE ROTN</t>
        </is>
      </c>
      <c r="K2304" s="20" t="inlineStr">
        <is>
          <t>Captive</t>
        </is>
      </c>
      <c r="L2304" s="20" t="inlineStr">
        <is>
          <t>Vivek Cars</t>
        </is>
      </c>
      <c r="M2304" s="23" t="n">
        <v>16949.15</v>
      </c>
      <c r="N2304" s="23" t="n">
        <v>20000</v>
      </c>
      <c r="O2304" s="24">
        <f>IF(AND(ISNUMBER(M2304), ISNUMBER(I2304), I2304&gt;0), M2304/I2304, "")</f>
        <v/>
      </c>
    </row>
    <row r="2305">
      <c r="A2305" s="19" t="inlineStr">
        <is>
          <t>FY27</t>
        </is>
      </c>
      <c r="B2305" s="19" t="inlineStr">
        <is>
          <t>Jun</t>
        </is>
      </c>
      <c r="C2305" s="19" t="inlineStr">
        <is>
          <t>TN</t>
        </is>
      </c>
      <c r="D2305" s="20" t="inlineStr">
        <is>
          <t>TN34Y5519</t>
        </is>
      </c>
      <c r="E2305" s="20" t="inlineStr">
        <is>
          <t>HYUNDAI</t>
        </is>
      </c>
      <c r="F2305" s="20" t="inlineStr">
        <is>
          <t>Eon</t>
        </is>
      </c>
      <c r="G2305" s="21" t="n">
        <v>2016</v>
      </c>
      <c r="H2305" s="22" t="n">
        <v>114065</v>
      </c>
      <c r="I2305" s="23" t="n">
        <v>200000</v>
      </c>
      <c r="J2305" s="20" t="inlineStr">
        <is>
          <t>EXCHANGE ROTN</t>
        </is>
      </c>
      <c r="K2305" s="20" t="inlineStr">
        <is>
          <t>Captive</t>
        </is>
      </c>
      <c r="L2305" s="20" t="inlineStr">
        <is>
          <t>Sri Amman Cars</t>
        </is>
      </c>
      <c r="M2305" s="23" t="n">
        <v>12711.86</v>
      </c>
      <c r="N2305" s="23" t="n">
        <v>15000</v>
      </c>
      <c r="O2305" s="24">
        <f>IF(AND(ISNUMBER(M2305), ISNUMBER(I2305), I2305&gt;0), M2305/I2305, "")</f>
        <v/>
      </c>
    </row>
    <row r="2306">
      <c r="A2306" s="19" t="inlineStr">
        <is>
          <t>FY27</t>
        </is>
      </c>
      <c r="B2306" s="19" t="inlineStr">
        <is>
          <t>Jun</t>
        </is>
      </c>
      <c r="C2306" s="19" t="inlineStr">
        <is>
          <t>TN</t>
        </is>
      </c>
      <c r="D2306" s="20" t="inlineStr">
        <is>
          <t>TN39CK1924</t>
        </is>
      </c>
      <c r="E2306" s="20" t="inlineStr">
        <is>
          <t>HONDA</t>
        </is>
      </c>
      <c r="F2306" s="20" t="inlineStr">
        <is>
          <t>Amaze</t>
        </is>
      </c>
      <c r="G2306" s="21" t="n">
        <v>2019</v>
      </c>
      <c r="H2306" s="22" t="n">
        <v>72891</v>
      </c>
      <c r="I2306" s="23" t="n">
        <v>420000</v>
      </c>
      <c r="J2306" s="20" t="inlineStr">
        <is>
          <t>EXCHANGE ROTN</t>
        </is>
      </c>
      <c r="K2306" s="20" t="inlineStr">
        <is>
          <t>Captive</t>
        </is>
      </c>
      <c r="L2306" s="20" t="inlineStr">
        <is>
          <t>Sai Cars</t>
        </is>
      </c>
      <c r="M2306" s="23" t="n">
        <v>16949.15</v>
      </c>
      <c r="N2306" s="23" t="n">
        <v>20000</v>
      </c>
      <c r="O2306" s="24">
        <f>IF(AND(ISNUMBER(M2306), ISNUMBER(I2306), I2306&gt;0), M2306/I2306, "")</f>
        <v/>
      </c>
    </row>
    <row r="2307">
      <c r="A2307" s="19" t="inlineStr">
        <is>
          <t>FY27</t>
        </is>
      </c>
      <c r="B2307" s="19" t="inlineStr">
        <is>
          <t>Jun</t>
        </is>
      </c>
      <c r="C2307" s="19" t="inlineStr">
        <is>
          <t>TN</t>
        </is>
      </c>
      <c r="D2307" s="20" t="inlineStr">
        <is>
          <t>TN38CR2616</t>
        </is>
      </c>
      <c r="E2307" s="20" t="inlineStr">
        <is>
          <t>HYUNDAI</t>
        </is>
      </c>
      <c r="F2307" s="20" t="inlineStr">
        <is>
          <t>Santro</t>
        </is>
      </c>
      <c r="G2307" s="21" t="n">
        <v>2018</v>
      </c>
      <c r="H2307" s="22" t="n">
        <v>53205</v>
      </c>
      <c r="I2307" s="23" t="n">
        <v>350000</v>
      </c>
      <c r="J2307" s="20" t="inlineStr">
        <is>
          <t>EXCHANGE ROTN</t>
        </is>
      </c>
      <c r="K2307" s="20" t="inlineStr">
        <is>
          <t>Captive</t>
        </is>
      </c>
      <c r="L2307" s="20" t="inlineStr">
        <is>
          <t>Yugatheran cars</t>
        </is>
      </c>
      <c r="M2307" s="23" t="n">
        <v>10169.49</v>
      </c>
      <c r="N2307" s="23" t="n">
        <v>12000</v>
      </c>
      <c r="O2307" s="24">
        <f>IF(AND(ISNUMBER(M2307), ISNUMBER(I2307), I2307&gt;0), M2307/I2307, "")</f>
        <v/>
      </c>
    </row>
    <row r="2308">
      <c r="A2308" s="19" t="inlineStr">
        <is>
          <t>FY27</t>
        </is>
      </c>
      <c r="B2308" s="19" t="inlineStr">
        <is>
          <t>Jun</t>
        </is>
      </c>
      <c r="C2308" s="19" t="inlineStr">
        <is>
          <t>TN</t>
        </is>
      </c>
      <c r="D2308" s="20" t="inlineStr">
        <is>
          <t>TN36AB0790</t>
        </is>
      </c>
      <c r="E2308" s="20" t="inlineStr">
        <is>
          <t>MARUTI SUZUKI</t>
        </is>
      </c>
      <c r="F2308" s="20" t="inlineStr">
        <is>
          <t>Alto</t>
        </is>
      </c>
      <c r="G2308" s="21" t="n">
        <v>2013</v>
      </c>
      <c r="H2308" s="22" t="n">
        <v>77516</v>
      </c>
      <c r="I2308" s="23" t="n">
        <v>210000</v>
      </c>
      <c r="J2308" s="20" t="inlineStr">
        <is>
          <t>EXCHANGE ROTN</t>
        </is>
      </c>
      <c r="K2308" s="20" t="inlineStr">
        <is>
          <t>Captive</t>
        </is>
      </c>
      <c r="L2308" s="20" t="inlineStr">
        <is>
          <t>Yugatheran cars</t>
        </is>
      </c>
      <c r="M2308" s="23" t="n">
        <v>12711.86</v>
      </c>
      <c r="N2308" s="23" t="n">
        <v>15000</v>
      </c>
      <c r="O2308" s="24">
        <f>IF(AND(ISNUMBER(M2308), ISNUMBER(I2308), I2308&gt;0), M2308/I2308, "")</f>
        <v/>
      </c>
    </row>
    <row r="2309">
      <c r="A2309" s="19" t="inlineStr">
        <is>
          <t>FY27</t>
        </is>
      </c>
      <c r="B2309" s="19" t="inlineStr">
        <is>
          <t>Jun</t>
        </is>
      </c>
      <c r="C2309" s="19" t="inlineStr">
        <is>
          <t>TN</t>
        </is>
      </c>
      <c r="D2309" s="20" t="inlineStr">
        <is>
          <t>TN38BP0840</t>
        </is>
      </c>
      <c r="E2309" s="20" t="inlineStr">
        <is>
          <t>TATA</t>
        </is>
      </c>
      <c r="F2309" s="20" t="inlineStr">
        <is>
          <t>Indica</t>
        </is>
      </c>
      <c r="G2309" s="21" t="n">
        <v>2012</v>
      </c>
      <c r="H2309" s="22" t="n">
        <v>39421</v>
      </c>
      <c r="I2309" s="23" t="n">
        <v>240000</v>
      </c>
      <c r="J2309" s="20" t="inlineStr">
        <is>
          <t>EXCHANGE ROTN</t>
        </is>
      </c>
      <c r="K2309" s="20" t="inlineStr">
        <is>
          <t>Captive</t>
        </is>
      </c>
      <c r="L2309" s="20" t="inlineStr">
        <is>
          <t>Yugatheran cars</t>
        </is>
      </c>
      <c r="M2309" s="23" t="n">
        <v>8474.58</v>
      </c>
      <c r="N2309" s="23" t="n">
        <v>10000</v>
      </c>
      <c r="O2309" s="24">
        <f>IF(AND(ISNUMBER(M2309), ISNUMBER(I2309), I2309&gt;0), M2309/I2309, "")</f>
        <v/>
      </c>
    </row>
    <row r="2310">
      <c r="A2310" s="19" t="inlineStr">
        <is>
          <t>FY27</t>
        </is>
      </c>
      <c r="B2310" s="19" t="inlineStr">
        <is>
          <t>Jun</t>
        </is>
      </c>
      <c r="C2310" s="19" t="inlineStr">
        <is>
          <t>TN</t>
        </is>
      </c>
      <c r="D2310" s="20" t="inlineStr">
        <is>
          <t>TN01BH9508</t>
        </is>
      </c>
      <c r="E2310" s="20" t="inlineStr">
        <is>
          <t>MARUTI SUZUKI</t>
        </is>
      </c>
      <c r="F2310" s="20" t="inlineStr">
        <is>
          <t>Swift Dzire</t>
        </is>
      </c>
      <c r="G2310" s="21" t="n">
        <v>2019</v>
      </c>
      <c r="H2310" s="22" t="n">
        <v>49528</v>
      </c>
      <c r="I2310" s="23" t="n">
        <v>510000</v>
      </c>
      <c r="J2310" s="20" t="inlineStr">
        <is>
          <t>EXCHANGE CHENNAI</t>
        </is>
      </c>
      <c r="K2310" s="20" t="inlineStr">
        <is>
          <t>Captive</t>
        </is>
      </c>
      <c r="L2310" s="20" t="inlineStr">
        <is>
          <t>NIrmal Cars</t>
        </is>
      </c>
      <c r="M2310" s="23" t="n">
        <v>8474.58</v>
      </c>
      <c r="N2310" s="23" t="n">
        <v>10000</v>
      </c>
      <c r="O2310" s="24">
        <f>IF(AND(ISNUMBER(M2310), ISNUMBER(I2310), I2310&gt;0), M2310/I2310, "")</f>
        <v/>
      </c>
    </row>
    <row r="2311">
      <c r="A2311" s="19" t="inlineStr">
        <is>
          <t>FY27</t>
        </is>
      </c>
      <c r="B2311" s="19" t="inlineStr">
        <is>
          <t>Jun</t>
        </is>
      </c>
      <c r="C2311" s="19" t="inlineStr">
        <is>
          <t>TN</t>
        </is>
      </c>
      <c r="D2311" s="20" t="inlineStr">
        <is>
          <t>TN01AS6582</t>
        </is>
      </c>
      <c r="E2311" s="20" t="inlineStr">
        <is>
          <t>HONDA</t>
        </is>
      </c>
      <c r="F2311" s="20" t="inlineStr">
        <is>
          <t>City</t>
        </is>
      </c>
      <c r="G2311" s="21" t="n">
        <v>2012</v>
      </c>
      <c r="H2311" s="22" t="n">
        <v>110454</v>
      </c>
      <c r="I2311" s="23" t="n">
        <v>255000</v>
      </c>
      <c r="J2311" s="20" t="inlineStr">
        <is>
          <t>EXCHANGE CHENNAI</t>
        </is>
      </c>
      <c r="K2311" s="20" t="inlineStr">
        <is>
          <t>Captive</t>
        </is>
      </c>
      <c r="L2311" s="20" t="inlineStr">
        <is>
          <t>Santhosh Cars</t>
        </is>
      </c>
      <c r="M2311" s="23" t="n">
        <v>8474.58</v>
      </c>
      <c r="N2311" s="23" t="n">
        <v>10000</v>
      </c>
      <c r="O2311" s="24">
        <f>IF(AND(ISNUMBER(M2311), ISNUMBER(I2311), I2311&gt;0), M2311/I2311, "")</f>
        <v/>
      </c>
    </row>
    <row r="2312">
      <c r="A2312" s="19" t="inlineStr">
        <is>
          <t>FY27</t>
        </is>
      </c>
      <c r="B2312" s="19" t="inlineStr">
        <is>
          <t>Jun</t>
        </is>
      </c>
      <c r="C2312" s="19" t="inlineStr">
        <is>
          <t>TN</t>
        </is>
      </c>
      <c r="D2312" s="20" t="inlineStr">
        <is>
          <t>TN12R9434</t>
        </is>
      </c>
      <c r="E2312" s="20" t="inlineStr">
        <is>
          <t>CHEVROLET</t>
        </is>
      </c>
      <c r="F2312" s="20" t="inlineStr">
        <is>
          <t>Tavera</t>
        </is>
      </c>
      <c r="G2312" s="21" t="n">
        <v>2016</v>
      </c>
      <c r="H2312" s="22" t="n">
        <v>181753</v>
      </c>
      <c r="I2312" s="23" t="n">
        <v>190000</v>
      </c>
      <c r="J2312" s="20" t="inlineStr">
        <is>
          <t>Khivraj Motor</t>
        </is>
      </c>
      <c r="K2312" s="20" t="inlineStr">
        <is>
          <t>Non-Captive</t>
        </is>
      </c>
      <c r="L2312" s="20" t="inlineStr">
        <is>
          <t>Trust On wheels</t>
        </is>
      </c>
      <c r="M2312" s="23" t="n">
        <v>5084.75</v>
      </c>
      <c r="N2312" s="23" t="n">
        <v>6000</v>
      </c>
      <c r="O2312" s="24">
        <f>IF(AND(ISNUMBER(M2312), ISNUMBER(I2312), I2312&gt;0), M2312/I2312, "")</f>
        <v/>
      </c>
    </row>
    <row r="2313">
      <c r="A2313" s="19" t="inlineStr">
        <is>
          <t>FY27</t>
        </is>
      </c>
      <c r="B2313" s="19" t="inlineStr">
        <is>
          <t>Jun</t>
        </is>
      </c>
      <c r="C2313" s="19" t="inlineStr">
        <is>
          <t>TN</t>
        </is>
      </c>
      <c r="D2313" s="20" t="inlineStr">
        <is>
          <t>TN128184</t>
        </is>
      </c>
      <c r="E2313" s="20" t="inlineStr">
        <is>
          <t>TATA</t>
        </is>
      </c>
      <c r="F2313" s="20" t="inlineStr">
        <is>
          <t>Safari</t>
        </is>
      </c>
      <c r="G2313" s="21" t="n">
        <v>2012</v>
      </c>
      <c r="H2313" s="22" t="n">
        <v>142964</v>
      </c>
      <c r="I2313" s="23" t="n">
        <v>185000</v>
      </c>
      <c r="J2313" s="20" t="inlineStr">
        <is>
          <t>Khivraj Motor</t>
        </is>
      </c>
      <c r="K2313" s="20" t="inlineStr">
        <is>
          <t>Non-Captive</t>
        </is>
      </c>
      <c r="L2313" s="20" t="inlineStr">
        <is>
          <t>Trust On wheels</t>
        </is>
      </c>
      <c r="M2313" s="23" t="n">
        <v>5084.75</v>
      </c>
      <c r="N2313" s="23" t="n">
        <v>6000</v>
      </c>
      <c r="O2313" s="24">
        <f>IF(AND(ISNUMBER(M2313), ISNUMBER(I2313), I2313&gt;0), M2313/I2313, "")</f>
        <v/>
      </c>
    </row>
    <row r="2314">
      <c r="A2314" s="19" t="inlineStr">
        <is>
          <t>FY27</t>
        </is>
      </c>
      <c r="B2314" s="19" t="inlineStr">
        <is>
          <t>Jun</t>
        </is>
      </c>
      <c r="C2314" s="19" t="inlineStr">
        <is>
          <t>TN</t>
        </is>
      </c>
      <c r="D2314" s="20" t="inlineStr">
        <is>
          <t>TN12Z5049</t>
        </is>
      </c>
      <c r="E2314" s="20" t="inlineStr">
        <is>
          <t>MARUTI SUZUKI</t>
        </is>
      </c>
      <c r="F2314" s="20" t="inlineStr">
        <is>
          <t>Celerio</t>
        </is>
      </c>
      <c r="G2314" s="21" t="n">
        <v>2015</v>
      </c>
      <c r="H2314" s="22" t="n">
        <v>98642</v>
      </c>
      <c r="I2314" s="23" t="n">
        <v>295000</v>
      </c>
      <c r="J2314" s="20" t="inlineStr">
        <is>
          <t>Khivraj Motor</t>
        </is>
      </c>
      <c r="K2314" s="20" t="inlineStr">
        <is>
          <t>Non-Captive</t>
        </is>
      </c>
      <c r="L2314" s="20" t="inlineStr">
        <is>
          <t>Kamal Cars</t>
        </is>
      </c>
      <c r="M2314" s="23" t="n">
        <v>6355.93</v>
      </c>
      <c r="N2314" s="23" t="n">
        <v>7500</v>
      </c>
      <c r="O2314" s="24">
        <f>IF(AND(ISNUMBER(M2314), ISNUMBER(I2314), I2314&gt;0), M2314/I2314, "")</f>
        <v/>
      </c>
    </row>
    <row r="2315">
      <c r="A2315" s="19" t="inlineStr">
        <is>
          <t>FY27</t>
        </is>
      </c>
      <c r="B2315" s="19" t="inlineStr">
        <is>
          <t>Jun</t>
        </is>
      </c>
      <c r="C2315" s="19" t="inlineStr">
        <is>
          <t>TN</t>
        </is>
      </c>
      <c r="D2315" s="20" t="inlineStr">
        <is>
          <t>TN06K6447</t>
        </is>
      </c>
      <c r="E2315" s="20" t="inlineStr">
        <is>
          <t>MARUTI SUZUKI</t>
        </is>
      </c>
      <c r="F2315" s="20" t="inlineStr">
        <is>
          <t>Eeco</t>
        </is>
      </c>
      <c r="G2315" s="21" t="n">
        <v>2013</v>
      </c>
      <c r="H2315" s="22" t="n">
        <v>87398</v>
      </c>
      <c r="I2315" s="23" t="n">
        <v>215000</v>
      </c>
      <c r="J2315" s="20" t="inlineStr">
        <is>
          <t>Khivraj Motor</t>
        </is>
      </c>
      <c r="K2315" s="20" t="inlineStr">
        <is>
          <t>Non-Captive</t>
        </is>
      </c>
      <c r="L2315" s="20" t="inlineStr">
        <is>
          <t>Pine Autos</t>
        </is>
      </c>
      <c r="M2315" s="23" t="n">
        <v>6355.93</v>
      </c>
      <c r="N2315" s="23" t="n">
        <v>7500</v>
      </c>
      <c r="O2315" s="24">
        <f>IF(AND(ISNUMBER(M2315), ISNUMBER(I2315), I2315&gt;0), M2315/I2315, "")</f>
        <v/>
      </c>
    </row>
    <row r="2316">
      <c r="A2316" s="19" t="inlineStr">
        <is>
          <t>FY27</t>
        </is>
      </c>
      <c r="B2316" s="19" t="inlineStr">
        <is>
          <t>Jun</t>
        </is>
      </c>
      <c r="C2316" s="19" t="inlineStr">
        <is>
          <t>TN</t>
        </is>
      </c>
      <c r="D2316" s="20" t="inlineStr">
        <is>
          <t>TN14Q1923</t>
        </is>
      </c>
      <c r="E2316" s="20" t="inlineStr">
        <is>
          <t>RENAULT</t>
        </is>
      </c>
      <c r="F2316" s="20" t="inlineStr">
        <is>
          <t>Kwid</t>
        </is>
      </c>
      <c r="G2316" s="21" t="n">
        <v>2018</v>
      </c>
      <c r="H2316" s="22" t="n">
        <v>66715</v>
      </c>
      <c r="I2316" s="23" t="n">
        <v>110000</v>
      </c>
      <c r="J2316" s="20" t="inlineStr">
        <is>
          <t>EXCHANGE CHENNAI</t>
        </is>
      </c>
      <c r="K2316" s="20" t="inlineStr">
        <is>
          <t>Captive</t>
        </is>
      </c>
      <c r="L2316" s="20" t="inlineStr">
        <is>
          <t>Santhosh Cars</t>
        </is>
      </c>
      <c r="M2316" s="23" t="n">
        <v>5084.75</v>
      </c>
      <c r="N2316" s="23" t="n">
        <v>6000</v>
      </c>
      <c r="O2316" s="24">
        <f>IF(AND(ISNUMBER(M2316), ISNUMBER(I2316), I2316&gt;0), M2316/I2316, "")</f>
        <v/>
      </c>
    </row>
    <row r="2317">
      <c r="A2317" s="19" t="inlineStr">
        <is>
          <t>FY27</t>
        </is>
      </c>
      <c r="B2317" s="19" t="inlineStr">
        <is>
          <t>Jun</t>
        </is>
      </c>
      <c r="C2317" s="19" t="inlineStr">
        <is>
          <t>TN</t>
        </is>
      </c>
      <c r="D2317" s="20" t="inlineStr">
        <is>
          <t>TN67BD9942</t>
        </is>
      </c>
      <c r="E2317" s="20" t="inlineStr">
        <is>
          <t>MARUTI SUZUKI</t>
        </is>
      </c>
      <c r="F2317" s="20" t="inlineStr">
        <is>
          <t>Breeza</t>
        </is>
      </c>
      <c r="G2317" s="21" t="n">
        <v>2017</v>
      </c>
      <c r="H2317" s="22" t="n">
        <v>91300</v>
      </c>
      <c r="I2317" s="23" t="n">
        <v>480000</v>
      </c>
      <c r="J2317" s="20" t="inlineStr">
        <is>
          <t>EXCHANGE ROTN</t>
        </is>
      </c>
      <c r="K2317" s="20" t="inlineStr">
        <is>
          <t>Captive</t>
        </is>
      </c>
      <c r="L2317" s="20" t="inlineStr">
        <is>
          <t>Sri Visakam</t>
        </is>
      </c>
      <c r="M2317" s="23" t="n">
        <v>8474.58</v>
      </c>
      <c r="N2317" s="23" t="n">
        <v>10000</v>
      </c>
      <c r="O2317" s="24">
        <f>IF(AND(ISNUMBER(M2317), ISNUMBER(I2317), I2317&gt;0), M2317/I2317, "")</f>
        <v/>
      </c>
    </row>
    <row r="2318">
      <c r="A2318" s="19" t="inlineStr">
        <is>
          <t>FY27</t>
        </is>
      </c>
      <c r="B2318" s="19" t="inlineStr">
        <is>
          <t>Jun</t>
        </is>
      </c>
      <c r="C2318" s="19" t="inlineStr">
        <is>
          <t>TN</t>
        </is>
      </c>
      <c r="D2318" s="20" t="inlineStr">
        <is>
          <t>TN20BP7636</t>
        </is>
      </c>
      <c r="E2318" s="20" t="inlineStr">
        <is>
          <t>MARUTI SUZUKI</t>
        </is>
      </c>
      <c r="F2318" s="20" t="inlineStr">
        <is>
          <t>Swift</t>
        </is>
      </c>
      <c r="G2318" s="21" t="n">
        <v>2011</v>
      </c>
      <c r="H2318" s="22" t="n">
        <v>133036</v>
      </c>
      <c r="I2318" s="23" t="n">
        <v>175000</v>
      </c>
      <c r="J2318" s="20" t="inlineStr">
        <is>
          <t>EXCHANGE ROTN</t>
        </is>
      </c>
      <c r="K2318" s="20" t="inlineStr">
        <is>
          <t>Captive</t>
        </is>
      </c>
      <c r="L2318" s="20" t="inlineStr">
        <is>
          <t>Balaji Cars</t>
        </is>
      </c>
      <c r="M2318" s="23" t="n">
        <v>8474.58</v>
      </c>
      <c r="N2318" s="23" t="n">
        <v>10000</v>
      </c>
      <c r="O2318" s="24">
        <f>IF(AND(ISNUMBER(M2318), ISNUMBER(I2318), I2318&gt;0), M2318/I2318, "")</f>
        <v/>
      </c>
    </row>
    <row r="2319">
      <c r="A2319" s="19" t="inlineStr">
        <is>
          <t>FY27</t>
        </is>
      </c>
      <c r="B2319" s="19" t="inlineStr">
        <is>
          <t>Jun</t>
        </is>
      </c>
      <c r="C2319" s="19" t="inlineStr">
        <is>
          <t>TN</t>
        </is>
      </c>
      <c r="D2319" s="20" t="inlineStr">
        <is>
          <t>TN67BA9979</t>
        </is>
      </c>
      <c r="E2319" s="20" t="inlineStr">
        <is>
          <t>HONDA</t>
        </is>
      </c>
      <c r="F2319" s="20" t="inlineStr">
        <is>
          <t>Brio</t>
        </is>
      </c>
      <c r="G2319" s="21" t="n">
        <v>2014</v>
      </c>
      <c r="H2319" s="22" t="n">
        <v>117847</v>
      </c>
      <c r="I2319" s="23" t="n">
        <v>85000</v>
      </c>
      <c r="J2319" s="20" t="inlineStr">
        <is>
          <t>EXCHANGE ROTN</t>
        </is>
      </c>
      <c r="K2319" s="20" t="inlineStr">
        <is>
          <t>Captive</t>
        </is>
      </c>
      <c r="L2319" s="20" t="inlineStr">
        <is>
          <t>Paul Cars</t>
        </is>
      </c>
      <c r="M2319" s="23" t="n">
        <v>8474.58</v>
      </c>
      <c r="N2319" s="23" t="n">
        <v>10000</v>
      </c>
      <c r="O2319" s="24">
        <f>IF(AND(ISNUMBER(M2319), ISNUMBER(I2319), I2319&gt;0), M2319/I2319, "")</f>
        <v/>
      </c>
    </row>
    <row r="2320">
      <c r="A2320" s="19" t="inlineStr">
        <is>
          <t>FY27</t>
        </is>
      </c>
      <c r="B2320" s="19" t="inlineStr">
        <is>
          <t>Jun</t>
        </is>
      </c>
      <c r="C2320" s="19" t="inlineStr">
        <is>
          <t>TN</t>
        </is>
      </c>
      <c r="D2320" s="20" t="inlineStr">
        <is>
          <t>TN64U4942</t>
        </is>
      </c>
      <c r="E2320" s="20" t="inlineStr">
        <is>
          <t>HONDA</t>
        </is>
      </c>
      <c r="F2320" s="20" t="inlineStr">
        <is>
          <t>City</t>
        </is>
      </c>
      <c r="G2320" s="21" t="n">
        <v>2019</v>
      </c>
      <c r="H2320" s="22" t="n">
        <v>210219</v>
      </c>
      <c r="I2320" s="23" t="n">
        <v>500000</v>
      </c>
      <c r="J2320" s="20" t="inlineStr">
        <is>
          <t>EXCHANGE ROTN</t>
        </is>
      </c>
      <c r="K2320" s="20" t="inlineStr">
        <is>
          <t>Captive</t>
        </is>
      </c>
      <c r="L2320" s="20" t="inlineStr">
        <is>
          <t>Rajaganapathy</t>
        </is>
      </c>
      <c r="M2320" s="23" t="n">
        <v>12711.86</v>
      </c>
      <c r="N2320" s="23" t="n">
        <v>15000</v>
      </c>
      <c r="O2320" s="24">
        <f>IF(AND(ISNUMBER(M2320), ISNUMBER(I2320), I2320&gt;0), M2320/I2320, "")</f>
        <v/>
      </c>
    </row>
    <row r="2321">
      <c r="A2321" s="19" t="inlineStr">
        <is>
          <t>FY27</t>
        </is>
      </c>
      <c r="B2321" s="19" t="inlineStr">
        <is>
          <t>Jun</t>
        </is>
      </c>
      <c r="C2321" s="19" t="inlineStr">
        <is>
          <t>TN</t>
        </is>
      </c>
      <c r="D2321" s="20" t="inlineStr">
        <is>
          <t>TN59CS5654</t>
        </is>
      </c>
      <c r="E2321" s="20" t="inlineStr">
        <is>
          <t>TATA</t>
        </is>
      </c>
      <c r="F2321" s="20" t="inlineStr">
        <is>
          <t>Nexon</t>
        </is>
      </c>
      <c r="G2321" s="21" t="n">
        <v>2023</v>
      </c>
      <c r="H2321" s="22" t="n">
        <v>26551</v>
      </c>
      <c r="I2321" s="23" t="n">
        <v>760000</v>
      </c>
      <c r="J2321" s="20" t="inlineStr">
        <is>
          <t>EXCHANGE ROTN</t>
        </is>
      </c>
      <c r="K2321" s="20" t="inlineStr">
        <is>
          <t>Captive</t>
        </is>
      </c>
      <c r="L2321" s="20" t="inlineStr">
        <is>
          <t>Farkeen Reenu</t>
        </is>
      </c>
      <c r="M2321" s="23" t="n">
        <v>8474.58</v>
      </c>
      <c r="N2321" s="23" t="n">
        <v>10000</v>
      </c>
      <c r="O2321" s="24">
        <f>IF(AND(ISNUMBER(M2321), ISNUMBER(I2321), I2321&gt;0), M2321/I2321, "")</f>
        <v/>
      </c>
    </row>
    <row r="2322">
      <c r="A2322" s="19" t="inlineStr">
        <is>
          <t>FY27</t>
        </is>
      </c>
      <c r="B2322" s="19" t="inlineStr">
        <is>
          <t>Jun</t>
        </is>
      </c>
      <c r="C2322" s="19" t="inlineStr">
        <is>
          <t>TN</t>
        </is>
      </c>
      <c r="D2322" s="20" t="inlineStr">
        <is>
          <t>TN01BH3567</t>
        </is>
      </c>
      <c r="E2322" s="20" t="inlineStr">
        <is>
          <t>MAHINDRA</t>
        </is>
      </c>
      <c r="F2322" s="20" t="inlineStr">
        <is>
          <t>Bolero</t>
        </is>
      </c>
      <c r="G2322" s="21" t="n">
        <v>2019</v>
      </c>
      <c r="H2322" s="22" t="n">
        <v>275762</v>
      </c>
      <c r="I2322" s="23" t="n">
        <v>475000</v>
      </c>
      <c r="J2322" s="20" t="inlineStr">
        <is>
          <t>AIE CARS PRIVATE LIMITED</t>
        </is>
      </c>
      <c r="K2322" s="20" t="inlineStr">
        <is>
          <t>Non-Captive</t>
        </is>
      </c>
      <c r="L2322" s="20" t="inlineStr">
        <is>
          <t>Balaji Cars</t>
        </is>
      </c>
      <c r="M2322" s="23" t="n">
        <v>7627.12</v>
      </c>
      <c r="N2322" s="23" t="n">
        <v>9000</v>
      </c>
      <c r="O2322" s="24">
        <f>IF(AND(ISNUMBER(M2322), ISNUMBER(I2322), I2322&gt;0), M2322/I2322, "")</f>
        <v/>
      </c>
    </row>
    <row r="2323">
      <c r="A2323" s="19" t="inlineStr">
        <is>
          <t>FY27</t>
        </is>
      </c>
      <c r="B2323" s="19" t="inlineStr">
        <is>
          <t>Jun</t>
        </is>
      </c>
      <c r="C2323" s="19" t="inlineStr">
        <is>
          <t>TN</t>
        </is>
      </c>
      <c r="D2323" s="20" t="inlineStr">
        <is>
          <t>TN09CH9371</t>
        </is>
      </c>
      <c r="E2323" s="20" t="inlineStr">
        <is>
          <t>HYUNDAI</t>
        </is>
      </c>
      <c r="F2323" s="20" t="inlineStr">
        <is>
          <t>Xcent</t>
        </is>
      </c>
      <c r="G2323" s="21" t="n">
        <v>2017</v>
      </c>
      <c r="H2323" s="22" t="n">
        <v>133378</v>
      </c>
      <c r="I2323" s="23" t="n">
        <v>350000</v>
      </c>
      <c r="J2323" s="20" t="inlineStr">
        <is>
          <t>ABT LIMITED</t>
        </is>
      </c>
      <c r="K2323" s="20" t="inlineStr">
        <is>
          <t>Non-Captive</t>
        </is>
      </c>
      <c r="L2323" s="20" t="inlineStr">
        <is>
          <t>NIrmal Cars</t>
        </is>
      </c>
      <c r="M2323" s="23" t="n">
        <v>6016.95</v>
      </c>
      <c r="N2323" s="23" t="n">
        <v>7100</v>
      </c>
      <c r="O2323" s="24">
        <f>IF(AND(ISNUMBER(M2323), ISNUMBER(I2323), I2323&gt;0), M2323/I2323, "")</f>
        <v/>
      </c>
    </row>
    <row r="2324">
      <c r="A2324" s="19" t="inlineStr">
        <is>
          <t>FY27</t>
        </is>
      </c>
      <c r="B2324" s="19" t="inlineStr">
        <is>
          <t>Jun</t>
        </is>
      </c>
      <c r="C2324" s="19" t="inlineStr">
        <is>
          <t>TN</t>
        </is>
      </c>
      <c r="D2324" s="20" t="inlineStr">
        <is>
          <t>TN10AS5986</t>
        </is>
      </c>
      <c r="E2324" s="20" t="inlineStr">
        <is>
          <t>MARUTI SUZUKI</t>
        </is>
      </c>
      <c r="F2324" s="20" t="inlineStr">
        <is>
          <t>Alto</t>
        </is>
      </c>
      <c r="G2324" s="21" t="n">
        <v>2015</v>
      </c>
      <c r="H2324" s="22" t="n">
        <v>23145</v>
      </c>
      <c r="I2324" s="23" t="n">
        <v>350000</v>
      </c>
      <c r="J2324" s="20" t="inlineStr">
        <is>
          <t>Khivraj Motor</t>
        </is>
      </c>
      <c r="K2324" s="20" t="inlineStr">
        <is>
          <t>Non-Captive</t>
        </is>
      </c>
      <c r="L2324" s="20" t="inlineStr">
        <is>
          <t>Pine Autos</t>
        </is>
      </c>
      <c r="M2324" s="23" t="n">
        <v>6355.93</v>
      </c>
      <c r="N2324" s="23" t="n">
        <v>7500</v>
      </c>
      <c r="O2324" s="24">
        <f>IF(AND(ISNUMBER(M2324), ISNUMBER(I2324), I2324&gt;0), M2324/I2324, "")</f>
        <v/>
      </c>
    </row>
    <row r="2325">
      <c r="A2325" s="19" t="inlineStr">
        <is>
          <t>FY27</t>
        </is>
      </c>
      <c r="B2325" s="19" t="inlineStr">
        <is>
          <t>Jun</t>
        </is>
      </c>
      <c r="C2325" s="19" t="inlineStr">
        <is>
          <t>TN</t>
        </is>
      </c>
      <c r="D2325" s="20" t="inlineStr">
        <is>
          <t>KA03NB6172</t>
        </is>
      </c>
      <c r="E2325" s="20" t="inlineStr">
        <is>
          <t>HYUNDAI</t>
        </is>
      </c>
      <c r="F2325" s="20" t="inlineStr">
        <is>
          <t>I20</t>
        </is>
      </c>
      <c r="G2325" s="21" t="n">
        <v>2016</v>
      </c>
      <c r="H2325" s="22" t="n">
        <v>98271</v>
      </c>
      <c r="I2325" s="23" t="n">
        <v>350000</v>
      </c>
      <c r="J2325" s="20" t="inlineStr">
        <is>
          <t>Khivraj Motor</t>
        </is>
      </c>
      <c r="K2325" s="20" t="inlineStr">
        <is>
          <t>Non-Captive</t>
        </is>
      </c>
      <c r="L2325" s="20" t="inlineStr">
        <is>
          <t>Grid 33</t>
        </is>
      </c>
      <c r="M2325" s="23" t="n">
        <v>6355.93</v>
      </c>
      <c r="N2325" s="23" t="n">
        <v>7500</v>
      </c>
      <c r="O2325" s="24">
        <f>IF(AND(ISNUMBER(M2325), ISNUMBER(I2325), I2325&gt;0), M2325/I2325, "")</f>
        <v/>
      </c>
    </row>
    <row r="2326">
      <c r="A2326" s="19" t="inlineStr">
        <is>
          <t>FY27</t>
        </is>
      </c>
      <c r="B2326" s="19" t="inlineStr">
        <is>
          <t>Jun</t>
        </is>
      </c>
      <c r="C2326" s="19" t="inlineStr">
        <is>
          <t>TN</t>
        </is>
      </c>
      <c r="D2326" s="20" t="inlineStr">
        <is>
          <t>TN13Q7672</t>
        </is>
      </c>
      <c r="E2326" s="20" t="inlineStr">
        <is>
          <t>RENAULT</t>
        </is>
      </c>
      <c r="F2326" s="20" t="inlineStr">
        <is>
          <t>Kwid</t>
        </is>
      </c>
      <c r="G2326" s="21" t="n">
        <v>2018</v>
      </c>
      <c r="H2326" s="22" t="n">
        <v>70182</v>
      </c>
      <c r="I2326" s="23" t="n">
        <v>330000</v>
      </c>
      <c r="J2326" s="20" t="inlineStr">
        <is>
          <t>LAKSHMI Hyundai</t>
        </is>
      </c>
      <c r="K2326" s="20" t="inlineStr">
        <is>
          <t>Non-Captive</t>
        </is>
      </c>
      <c r="L2326" s="20" t="inlineStr">
        <is>
          <t>Yogeshwari Cars</t>
        </is>
      </c>
      <c r="M2326" s="23" t="n">
        <v>5932.2</v>
      </c>
      <c r="N2326" s="23" t="n">
        <v>7000</v>
      </c>
      <c r="O2326" s="24">
        <f>IF(AND(ISNUMBER(M2326), ISNUMBER(I2326), I2326&gt;0), M2326/I2326, "")</f>
        <v/>
      </c>
    </row>
    <row r="2327">
      <c r="A2327" s="19" t="inlineStr">
        <is>
          <t>FY27</t>
        </is>
      </c>
      <c r="B2327" s="19" t="inlineStr">
        <is>
          <t>Jun</t>
        </is>
      </c>
      <c r="C2327" s="19" t="inlineStr">
        <is>
          <t>TN</t>
        </is>
      </c>
      <c r="D2327" s="20" t="inlineStr">
        <is>
          <t>TN07CE7657</t>
        </is>
      </c>
      <c r="E2327" s="20" t="inlineStr">
        <is>
          <t>HYUNDAI</t>
        </is>
      </c>
      <c r="F2327" s="20" t="inlineStr">
        <is>
          <t>I10</t>
        </is>
      </c>
      <c r="G2327" s="21" t="n">
        <v>2016</v>
      </c>
      <c r="H2327" s="22" t="n">
        <v>51503</v>
      </c>
      <c r="I2327" s="23" t="n">
        <v>325000</v>
      </c>
      <c r="J2327" s="20" t="inlineStr">
        <is>
          <t>ABT LIMITED</t>
        </is>
      </c>
      <c r="K2327" s="20" t="inlineStr">
        <is>
          <t>Non-Captive</t>
        </is>
      </c>
      <c r="L2327" s="20" t="inlineStr">
        <is>
          <t>Santhosh Cars</t>
        </is>
      </c>
      <c r="M2327" s="23" t="n">
        <v>5084.75</v>
      </c>
      <c r="N2327" s="23" t="n">
        <v>6000</v>
      </c>
      <c r="O2327" s="24">
        <f>IF(AND(ISNUMBER(M2327), ISNUMBER(I2327), I2327&gt;0), M2327/I2327, "")</f>
        <v/>
      </c>
    </row>
    <row r="2328">
      <c r="A2328" s="19" t="inlineStr">
        <is>
          <t>FY27</t>
        </is>
      </c>
      <c r="B2328" s="19" t="inlineStr">
        <is>
          <t>Jun</t>
        </is>
      </c>
      <c r="C2328" s="19" t="inlineStr">
        <is>
          <t>TN</t>
        </is>
      </c>
      <c r="D2328" s="20" t="inlineStr">
        <is>
          <t>TN18AE6315</t>
        </is>
      </c>
      <c r="E2328" s="20" t="inlineStr">
        <is>
          <t>HONDA</t>
        </is>
      </c>
      <c r="F2328" s="20" t="inlineStr">
        <is>
          <t>Jazz</t>
        </is>
      </c>
      <c r="G2328" s="21" t="n">
        <v>2015</v>
      </c>
      <c r="H2328" s="22" t="n">
        <v>95158</v>
      </c>
      <c r="I2328" s="23" t="n">
        <v>320000</v>
      </c>
      <c r="J2328" s="20" t="inlineStr">
        <is>
          <t>Shree Thiya cars</t>
        </is>
      </c>
      <c r="K2328" s="20" t="inlineStr">
        <is>
          <t>Non-Captive</t>
        </is>
      </c>
      <c r="L2328" s="20" t="inlineStr">
        <is>
          <t>NIrmal Cars</t>
        </is>
      </c>
      <c r="M2328" s="23" t="n">
        <v>5254.24</v>
      </c>
      <c r="N2328" s="23" t="n">
        <v>6200</v>
      </c>
      <c r="O2328" s="24">
        <f>IF(AND(ISNUMBER(M2328), ISNUMBER(I2328), I2328&gt;0), M2328/I2328, "")</f>
        <v/>
      </c>
    </row>
    <row r="2329">
      <c r="A2329" s="19" t="inlineStr">
        <is>
          <t>FY27</t>
        </is>
      </c>
      <c r="B2329" s="19" t="inlineStr">
        <is>
          <t>Jun</t>
        </is>
      </c>
      <c r="C2329" s="19" t="inlineStr">
        <is>
          <t>TN</t>
        </is>
      </c>
      <c r="D2329" s="20" t="inlineStr">
        <is>
          <t>TN06J2741</t>
        </is>
      </c>
      <c r="E2329" s="20" t="inlineStr">
        <is>
          <t>HONDA</t>
        </is>
      </c>
      <c r="F2329" s="20" t="inlineStr">
        <is>
          <t>Brio</t>
        </is>
      </c>
      <c r="G2329" s="21" t="n">
        <v>2013</v>
      </c>
      <c r="H2329" s="22" t="n">
        <v>66194</v>
      </c>
      <c r="I2329" s="23" t="n">
        <v>310000</v>
      </c>
      <c r="J2329" s="20" t="inlineStr">
        <is>
          <t>GLOVIS INDIA PVT LTD</t>
        </is>
      </c>
      <c r="K2329" s="20" t="inlineStr">
        <is>
          <t>Non-Captive</t>
        </is>
      </c>
      <c r="L2329" s="20" t="inlineStr">
        <is>
          <t>Ramalingam Cars</t>
        </is>
      </c>
      <c r="M2329" s="23" t="n">
        <v>5084.75</v>
      </c>
      <c r="N2329" s="23" t="n">
        <v>6000</v>
      </c>
      <c r="O2329" s="24">
        <f>IF(AND(ISNUMBER(M2329), ISNUMBER(I2329), I2329&gt;0), M2329/I2329, "")</f>
        <v/>
      </c>
    </row>
    <row r="2330">
      <c r="A2330" s="19" t="inlineStr">
        <is>
          <t>FY27</t>
        </is>
      </c>
      <c r="B2330" s="19" t="inlineStr">
        <is>
          <t>Jun</t>
        </is>
      </c>
      <c r="C2330" s="19" t="inlineStr">
        <is>
          <t>TN</t>
        </is>
      </c>
      <c r="D2330" s="20" t="inlineStr">
        <is>
          <t>TN11AH7128</t>
        </is>
      </c>
      <c r="E2330" s="20" t="inlineStr">
        <is>
          <t>MARUTI SUZUKI</t>
        </is>
      </c>
      <c r="F2330" s="20" t="inlineStr">
        <is>
          <t>Swift</t>
        </is>
      </c>
      <c r="G2330" s="21" t="n">
        <v>2018</v>
      </c>
      <c r="H2330" s="22" t="n">
        <v>99999</v>
      </c>
      <c r="I2330" s="23" t="n">
        <v>300000</v>
      </c>
      <c r="J2330" s="20" t="inlineStr">
        <is>
          <t>ABT LIMITED</t>
        </is>
      </c>
      <c r="K2330" s="20" t="inlineStr">
        <is>
          <t>Non-Captive</t>
        </is>
      </c>
      <c r="L2330" s="20" t="inlineStr">
        <is>
          <t>Ramalingam Cars</t>
        </is>
      </c>
      <c r="M2330" s="23" t="n">
        <v>5084.75</v>
      </c>
      <c r="N2330" s="23" t="n">
        <v>6000</v>
      </c>
      <c r="O2330" s="24">
        <f>IF(AND(ISNUMBER(M2330), ISNUMBER(I2330), I2330&gt;0), M2330/I2330, "")</f>
        <v/>
      </c>
    </row>
    <row r="2331">
      <c r="A2331" s="19" t="inlineStr">
        <is>
          <t>FY27</t>
        </is>
      </c>
      <c r="B2331" s="19" t="inlineStr">
        <is>
          <t>Jun</t>
        </is>
      </c>
      <c r="C2331" s="19" t="inlineStr">
        <is>
          <t>TN</t>
        </is>
      </c>
      <c r="D2331" s="20" t="inlineStr">
        <is>
          <t>TN01AM2102</t>
        </is>
      </c>
      <c r="E2331" s="20" t="inlineStr">
        <is>
          <t>HYUNDAI</t>
        </is>
      </c>
      <c r="F2331" s="20" t="inlineStr">
        <is>
          <t>I20</t>
        </is>
      </c>
      <c r="G2331" s="21" t="n">
        <v>2010</v>
      </c>
      <c r="H2331" s="22" t="n">
        <v>116647</v>
      </c>
      <c r="I2331" s="23" t="n">
        <v>300000</v>
      </c>
      <c r="J2331" s="20" t="inlineStr">
        <is>
          <t>Khivraj Motor</t>
        </is>
      </c>
      <c r="K2331" s="20" t="inlineStr">
        <is>
          <t>Non-Captive</t>
        </is>
      </c>
      <c r="L2331" s="20" t="inlineStr">
        <is>
          <t>AAA Cars</t>
        </is>
      </c>
      <c r="M2331" s="23" t="n">
        <v>5084.75</v>
      </c>
      <c r="N2331" s="23" t="n">
        <v>6000</v>
      </c>
      <c r="O2331" s="24">
        <f>IF(AND(ISNUMBER(M2331), ISNUMBER(I2331), I2331&gt;0), M2331/I2331, "")</f>
        <v/>
      </c>
    </row>
    <row r="2332">
      <c r="A2332" s="19" t="inlineStr">
        <is>
          <t>FY27</t>
        </is>
      </c>
      <c r="B2332" s="19" t="inlineStr">
        <is>
          <t>Jun</t>
        </is>
      </c>
      <c r="C2332" s="19" t="inlineStr">
        <is>
          <t>TN</t>
        </is>
      </c>
      <c r="D2332" s="20" t="inlineStr">
        <is>
          <t>TN18F5182</t>
        </is>
      </c>
      <c r="E2332" s="20" t="inlineStr">
        <is>
          <t>MARUTI SUZUKI</t>
        </is>
      </c>
      <c r="F2332" s="20" t="inlineStr">
        <is>
          <t>Swift Dzire</t>
        </is>
      </c>
      <c r="G2332" s="21" t="n">
        <v>2011</v>
      </c>
      <c r="H2332" s="22" t="n">
        <v>58733</v>
      </c>
      <c r="I2332" s="23" t="n">
        <v>300000</v>
      </c>
      <c r="J2332" s="20" t="inlineStr">
        <is>
          <t>SVM CARS PRIVATE LIMITED</t>
        </is>
      </c>
      <c r="K2332" s="20" t="inlineStr">
        <is>
          <t>Non-Captive</t>
        </is>
      </c>
      <c r="L2332" s="20" t="inlineStr">
        <is>
          <t>AAA Cars</t>
        </is>
      </c>
      <c r="M2332" s="23" t="n">
        <v>5084.75</v>
      </c>
      <c r="N2332" s="23" t="n">
        <v>6000</v>
      </c>
      <c r="O2332" s="24">
        <f>IF(AND(ISNUMBER(M2332), ISNUMBER(I2332), I2332&gt;0), M2332/I2332, "")</f>
        <v/>
      </c>
    </row>
    <row r="2333">
      <c r="A2333" s="19" t="inlineStr">
        <is>
          <t>FY27</t>
        </is>
      </c>
      <c r="B2333" s="19" t="inlineStr">
        <is>
          <t>Jun</t>
        </is>
      </c>
      <c r="C2333" s="19" t="inlineStr">
        <is>
          <t>TN</t>
        </is>
      </c>
      <c r="D2333" s="20" t="inlineStr">
        <is>
          <t>TN879570</t>
        </is>
      </c>
      <c r="E2333" s="20" t="inlineStr">
        <is>
          <t>MAHINDRA</t>
        </is>
      </c>
      <c r="F2333" s="20" t="inlineStr">
        <is>
          <t>Xylo</t>
        </is>
      </c>
      <c r="G2333" s="21" t="n">
        <v>2018</v>
      </c>
      <c r="H2333" s="22" t="n">
        <v>138194</v>
      </c>
      <c r="I2333" s="23" t="n">
        <v>300000</v>
      </c>
      <c r="J2333" s="20" t="inlineStr">
        <is>
          <t>BHAGAVAN CARS</t>
        </is>
      </c>
      <c r="K2333" s="20" t="inlineStr">
        <is>
          <t>Non-Captive</t>
        </is>
      </c>
      <c r="L2333" s="20" t="inlineStr">
        <is>
          <t>AAA Cars</t>
        </is>
      </c>
      <c r="M2333" s="23" t="n">
        <v>5084.75</v>
      </c>
      <c r="N2333" s="23" t="n">
        <v>6000</v>
      </c>
      <c r="O2333" s="24">
        <f>IF(AND(ISNUMBER(M2333), ISNUMBER(I2333), I2333&gt;0), M2333/I2333, "")</f>
        <v/>
      </c>
    </row>
    <row r="2334">
      <c r="A2334" s="19" t="inlineStr">
        <is>
          <t>FY27</t>
        </is>
      </c>
      <c r="B2334" s="19" t="inlineStr">
        <is>
          <t>Jun</t>
        </is>
      </c>
      <c r="C2334" s="19" t="inlineStr">
        <is>
          <t>TN</t>
        </is>
      </c>
      <c r="D2334" s="20" t="inlineStr">
        <is>
          <t>MH17BS0185</t>
        </is>
      </c>
      <c r="E2334" s="20" t="inlineStr">
        <is>
          <t>MARUTI SUZUKI</t>
        </is>
      </c>
      <c r="F2334" s="20" t="inlineStr">
        <is>
          <t>Celerio</t>
        </is>
      </c>
      <c r="G2334" s="21" t="n">
        <v>2016</v>
      </c>
      <c r="H2334" s="22" t="n">
        <v>109736</v>
      </c>
      <c r="I2334" s="23" t="n">
        <v>300000</v>
      </c>
      <c r="J2334" s="20" t="inlineStr">
        <is>
          <t>Khivraj Motor</t>
        </is>
      </c>
      <c r="K2334" s="20" t="inlineStr">
        <is>
          <t>Non-Captive</t>
        </is>
      </c>
      <c r="L2334" s="20" t="inlineStr">
        <is>
          <t>Pine Autos</t>
        </is>
      </c>
      <c r="M2334" s="23" t="n">
        <v>5084.75</v>
      </c>
      <c r="N2334" s="23" t="n">
        <v>6000</v>
      </c>
      <c r="O2334" s="24">
        <f>IF(AND(ISNUMBER(M2334), ISNUMBER(I2334), I2334&gt;0), M2334/I2334, "")</f>
        <v/>
      </c>
    </row>
    <row r="2335">
      <c r="A2335" s="19" t="inlineStr">
        <is>
          <t>FY27</t>
        </is>
      </c>
      <c r="B2335" s="19" t="inlineStr">
        <is>
          <t>Jun</t>
        </is>
      </c>
      <c r="C2335" s="19" t="inlineStr">
        <is>
          <t>TN</t>
        </is>
      </c>
      <c r="D2335" s="20" t="inlineStr">
        <is>
          <t>TN09BH8095</t>
        </is>
      </c>
      <c r="E2335" s="20" t="inlineStr">
        <is>
          <t>MARUTI SUZUKI</t>
        </is>
      </c>
      <c r="F2335" s="20" t="inlineStr">
        <is>
          <t>Swift Dzire</t>
        </is>
      </c>
      <c r="G2335" s="21" t="n">
        <v>2011</v>
      </c>
      <c r="H2335" s="22" t="n">
        <v>70335</v>
      </c>
      <c r="I2335" s="23" t="n">
        <v>300000</v>
      </c>
      <c r="J2335" s="20" t="inlineStr">
        <is>
          <t>PRODUCTIVITY ELEMENTS PRIVATE LIMITED</t>
        </is>
      </c>
      <c r="K2335" s="20" t="inlineStr">
        <is>
          <t>Non-Captive</t>
        </is>
      </c>
      <c r="L2335" s="20" t="inlineStr">
        <is>
          <t>Balaji Cars</t>
        </is>
      </c>
      <c r="M2335" s="23" t="n">
        <v>5084.75</v>
      </c>
      <c r="N2335" s="23" t="n">
        <v>6000</v>
      </c>
      <c r="O2335" s="24">
        <f>IF(AND(ISNUMBER(M2335), ISNUMBER(I2335), I2335&gt;0), M2335/I2335, "")</f>
        <v/>
      </c>
    </row>
    <row r="2336">
      <c r="A2336" s="19" t="inlineStr">
        <is>
          <t>FY27</t>
        </is>
      </c>
      <c r="B2336" s="19" t="inlineStr">
        <is>
          <t>Jun</t>
        </is>
      </c>
      <c r="C2336" s="19" t="inlineStr">
        <is>
          <t>TN</t>
        </is>
      </c>
      <c r="D2336" s="20" t="inlineStr">
        <is>
          <t>TN05AH8335</t>
        </is>
      </c>
      <c r="E2336" s="20" t="inlineStr">
        <is>
          <t>HYUNDAI</t>
        </is>
      </c>
      <c r="F2336" s="20" t="inlineStr">
        <is>
          <t>I10</t>
        </is>
      </c>
      <c r="G2336" s="21" t="n">
        <v>2011</v>
      </c>
      <c r="H2336" s="22" t="n">
        <v>56026</v>
      </c>
      <c r="I2336" s="23" t="n">
        <v>290000</v>
      </c>
      <c r="J2336" s="20" t="inlineStr">
        <is>
          <t>Khivraj Motor</t>
        </is>
      </c>
      <c r="K2336" s="20" t="inlineStr">
        <is>
          <t>Non-Captive</t>
        </is>
      </c>
      <c r="L2336" s="20" t="inlineStr">
        <is>
          <t>NIrmal Cars</t>
        </is>
      </c>
      <c r="M2336" s="23" t="n">
        <v>4237.29</v>
      </c>
      <c r="N2336" s="23" t="n">
        <v>5000</v>
      </c>
      <c r="O2336" s="24">
        <f>IF(AND(ISNUMBER(M2336), ISNUMBER(I2336), I2336&gt;0), M2336/I2336, "")</f>
        <v/>
      </c>
    </row>
    <row r="2337">
      <c r="A2337" s="19" t="inlineStr">
        <is>
          <t>FY27</t>
        </is>
      </c>
      <c r="B2337" s="19" t="inlineStr">
        <is>
          <t>Jun</t>
        </is>
      </c>
      <c r="C2337" s="19" t="inlineStr">
        <is>
          <t>TN</t>
        </is>
      </c>
      <c r="D2337" s="20" t="inlineStr">
        <is>
          <t>TN144131</t>
        </is>
      </c>
      <c r="E2337" s="20" t="inlineStr">
        <is>
          <t>HONDA</t>
        </is>
      </c>
      <c r="F2337" s="20" t="inlineStr">
        <is>
          <t>Brio</t>
        </is>
      </c>
      <c r="G2337" s="21" t="n">
        <v>2014</v>
      </c>
      <c r="H2337" s="22" t="n">
        <v>121399</v>
      </c>
      <c r="I2337" s="23" t="n">
        <v>290000</v>
      </c>
      <c r="J2337" s="20" t="inlineStr">
        <is>
          <t>Khivraj Motor</t>
        </is>
      </c>
      <c r="K2337" s="20" t="inlineStr">
        <is>
          <t>Non-Captive</t>
        </is>
      </c>
      <c r="L2337" s="20" t="inlineStr">
        <is>
          <t>NIrmal Cars</t>
        </is>
      </c>
      <c r="M2337" s="23" t="n">
        <v>4237.29</v>
      </c>
      <c r="N2337" s="23" t="n">
        <v>5000</v>
      </c>
      <c r="O2337" s="24">
        <f>IF(AND(ISNUMBER(M2337), ISNUMBER(I2337), I2337&gt;0), M2337/I2337, "")</f>
        <v/>
      </c>
    </row>
    <row r="2338">
      <c r="A2338" s="19" t="inlineStr">
        <is>
          <t>FY27</t>
        </is>
      </c>
      <c r="B2338" s="19" t="inlineStr">
        <is>
          <t>Jun</t>
        </is>
      </c>
      <c r="C2338" s="19" t="inlineStr">
        <is>
          <t>TN</t>
        </is>
      </c>
      <c r="D2338" s="20" t="inlineStr">
        <is>
          <t>TN59AV2470</t>
        </is>
      </c>
      <c r="E2338" s="20" t="inlineStr">
        <is>
          <t>HYUNDAI</t>
        </is>
      </c>
      <c r="F2338" s="20" t="inlineStr">
        <is>
          <t>I10</t>
        </is>
      </c>
      <c r="G2338" s="21" t="n">
        <v>2012</v>
      </c>
      <c r="H2338" s="22" t="n">
        <v>103395</v>
      </c>
      <c r="I2338" s="23" t="n">
        <v>290000</v>
      </c>
      <c r="J2338" s="20" t="inlineStr">
        <is>
          <t>SUN CARS</t>
        </is>
      </c>
      <c r="K2338" s="20" t="inlineStr">
        <is>
          <t>Non-Captive</t>
        </is>
      </c>
      <c r="L2338" s="20" t="inlineStr">
        <is>
          <t>NIrmal Cars</t>
        </is>
      </c>
      <c r="M2338" s="23" t="n">
        <v>4237.29</v>
      </c>
      <c r="N2338" s="23" t="n">
        <v>5000</v>
      </c>
      <c r="O2338" s="24">
        <f>IF(AND(ISNUMBER(M2338), ISNUMBER(I2338), I2338&gt;0), M2338/I2338, "")</f>
        <v/>
      </c>
    </row>
    <row r="2339">
      <c r="A2339" s="19" t="inlineStr">
        <is>
          <t>FY27</t>
        </is>
      </c>
      <c r="B2339" s="19" t="inlineStr">
        <is>
          <t>Jun</t>
        </is>
      </c>
      <c r="C2339" s="19" t="inlineStr">
        <is>
          <t>TN</t>
        </is>
      </c>
      <c r="D2339" s="20" t="inlineStr">
        <is>
          <t>TN04AP3861</t>
        </is>
      </c>
      <c r="E2339" s="20" t="inlineStr">
        <is>
          <t>HYUNDAI</t>
        </is>
      </c>
      <c r="F2339" s="20" t="inlineStr">
        <is>
          <t>I10</t>
        </is>
      </c>
      <c r="G2339" s="21" t="n">
        <v>2014</v>
      </c>
      <c r="H2339" s="22" t="n">
        <v>69684</v>
      </c>
      <c r="I2339" s="23" t="n">
        <v>290000</v>
      </c>
      <c r="J2339" s="20" t="inlineStr">
        <is>
          <t>Cresco cars</t>
        </is>
      </c>
      <c r="K2339" s="20" t="inlineStr">
        <is>
          <t>Non-Captive</t>
        </is>
      </c>
      <c r="L2339" s="20" t="inlineStr">
        <is>
          <t>NIrmal Cars</t>
        </is>
      </c>
      <c r="M2339" s="23" t="n">
        <v>4237.29</v>
      </c>
      <c r="N2339" s="23" t="n">
        <v>5000</v>
      </c>
      <c r="O2339" s="24">
        <f>IF(AND(ISNUMBER(M2339), ISNUMBER(I2339), I2339&gt;0), M2339/I2339, "")</f>
        <v/>
      </c>
    </row>
    <row r="2340">
      <c r="A2340" s="19" t="inlineStr">
        <is>
          <t>FY27</t>
        </is>
      </c>
      <c r="B2340" s="19" t="inlineStr">
        <is>
          <t>Jun</t>
        </is>
      </c>
      <c r="C2340" s="19" t="inlineStr">
        <is>
          <t>TN</t>
        </is>
      </c>
      <c r="D2340" s="20" t="inlineStr">
        <is>
          <t>TN92B1407</t>
        </is>
      </c>
      <c r="E2340" s="20" t="inlineStr">
        <is>
          <t>RENAULT</t>
        </is>
      </c>
      <c r="F2340" s="20" t="inlineStr">
        <is>
          <t>Kwid</t>
        </is>
      </c>
      <c r="G2340" s="21" t="n">
        <v>2017</v>
      </c>
      <c r="H2340" s="22" t="n">
        <v>121785</v>
      </c>
      <c r="I2340" s="23" t="n">
        <v>280000</v>
      </c>
      <c r="J2340" s="20" t="inlineStr">
        <is>
          <t>AADHI CARS</t>
        </is>
      </c>
      <c r="K2340" s="20" t="inlineStr">
        <is>
          <t>Non-Captive</t>
        </is>
      </c>
      <c r="L2340" s="20" t="inlineStr">
        <is>
          <t>NIrmal Cars</t>
        </is>
      </c>
      <c r="M2340" s="23" t="n">
        <v>4237.29</v>
      </c>
      <c r="N2340" s="23" t="n">
        <v>5000</v>
      </c>
      <c r="O2340" s="24">
        <f>IF(AND(ISNUMBER(M2340), ISNUMBER(I2340), I2340&gt;0), M2340/I2340, "")</f>
        <v/>
      </c>
    </row>
    <row r="2341">
      <c r="A2341" s="19" t="inlineStr">
        <is>
          <t>FY27</t>
        </is>
      </c>
      <c r="B2341" s="19" t="inlineStr">
        <is>
          <t>Jun</t>
        </is>
      </c>
      <c r="C2341" s="19" t="inlineStr">
        <is>
          <t>TN</t>
        </is>
      </c>
      <c r="D2341" s="20" t="inlineStr">
        <is>
          <t>TN01AR8188</t>
        </is>
      </c>
      <c r="E2341" s="20" t="inlineStr">
        <is>
          <t>MARUTI SUZUKI</t>
        </is>
      </c>
      <c r="F2341" s="20" t="inlineStr">
        <is>
          <t>Wagon R</t>
        </is>
      </c>
      <c r="G2341" s="21" t="n">
        <v>2012</v>
      </c>
      <c r="H2341" s="22" t="n">
        <v>89413</v>
      </c>
      <c r="I2341" s="23" t="n">
        <v>280000</v>
      </c>
      <c r="J2341" s="20" t="inlineStr">
        <is>
          <t>Cresco cars</t>
        </is>
      </c>
      <c r="K2341" s="20" t="inlineStr">
        <is>
          <t>Non-Captive</t>
        </is>
      </c>
      <c r="L2341" s="20" t="inlineStr">
        <is>
          <t>NIrmal Cars</t>
        </is>
      </c>
      <c r="M2341" s="23" t="n">
        <v>4237.29</v>
      </c>
      <c r="N2341" s="23" t="n">
        <v>5000</v>
      </c>
      <c r="O2341" s="24">
        <f>IF(AND(ISNUMBER(M2341), ISNUMBER(I2341), I2341&gt;0), M2341/I2341, "")</f>
        <v/>
      </c>
    </row>
    <row r="2342">
      <c r="A2342" s="19" t="inlineStr">
        <is>
          <t>FY27</t>
        </is>
      </c>
      <c r="B2342" s="19" t="inlineStr">
        <is>
          <t>Jun</t>
        </is>
      </c>
      <c r="C2342" s="19" t="inlineStr">
        <is>
          <t>TN</t>
        </is>
      </c>
      <c r="D2342" s="20" t="inlineStr">
        <is>
          <t>TN10AA9111</t>
        </is>
      </c>
      <c r="E2342" s="20" t="inlineStr">
        <is>
          <t>MARUTI SUZUKI</t>
        </is>
      </c>
      <c r="F2342" s="20" t="inlineStr">
        <is>
          <t>Swift</t>
        </is>
      </c>
      <c r="G2342" s="21" t="n">
        <v>2010</v>
      </c>
      <c r="H2342" s="22" t="n">
        <v>74048</v>
      </c>
      <c r="I2342" s="23" t="n">
        <v>280000</v>
      </c>
      <c r="J2342" s="20" t="inlineStr">
        <is>
          <t>Cresco cars</t>
        </is>
      </c>
      <c r="K2342" s="20" t="inlineStr">
        <is>
          <t>Non-Captive</t>
        </is>
      </c>
      <c r="L2342" s="20" t="inlineStr">
        <is>
          <t>NIrmal Cars</t>
        </is>
      </c>
      <c r="M2342" s="23" t="n">
        <v>4237.29</v>
      </c>
      <c r="N2342" s="23" t="n">
        <v>5000</v>
      </c>
      <c r="O2342" s="24">
        <f>IF(AND(ISNUMBER(M2342), ISNUMBER(I2342), I2342&gt;0), M2342/I2342, "")</f>
        <v/>
      </c>
    </row>
    <row r="2343">
      <c r="A2343" s="19" t="inlineStr">
        <is>
          <t>FY27</t>
        </is>
      </c>
      <c r="B2343" s="19" t="inlineStr">
        <is>
          <t>Jun</t>
        </is>
      </c>
      <c r="C2343" s="19" t="inlineStr">
        <is>
          <t>TN</t>
        </is>
      </c>
      <c r="D2343" s="20" t="inlineStr">
        <is>
          <t>TN04AK9900</t>
        </is>
      </c>
      <c r="E2343" s="20" t="inlineStr">
        <is>
          <t>HONDA</t>
        </is>
      </c>
      <c r="F2343" s="20" t="inlineStr">
        <is>
          <t>Brio</t>
        </is>
      </c>
      <c r="G2343" s="21" t="n">
        <v>2012</v>
      </c>
      <c r="H2343" s="22" t="n">
        <v>66644</v>
      </c>
      <c r="I2343" s="23" t="n">
        <v>280000</v>
      </c>
      <c r="J2343" s="20" t="inlineStr">
        <is>
          <t>LANSON QCARS PRIVATE LIMITED</t>
        </is>
      </c>
      <c r="K2343" s="20" t="inlineStr">
        <is>
          <t>Non-Captive</t>
        </is>
      </c>
      <c r="L2343" s="20" t="inlineStr">
        <is>
          <t>TSM</t>
        </is>
      </c>
      <c r="M2343" s="23" t="n">
        <v>4237.29</v>
      </c>
      <c r="N2343" s="23" t="n">
        <v>5000</v>
      </c>
      <c r="O2343" s="24">
        <f>IF(AND(ISNUMBER(M2343), ISNUMBER(I2343), I2343&gt;0), M2343/I2343, "")</f>
        <v/>
      </c>
    </row>
    <row r="2344">
      <c r="A2344" s="19" t="inlineStr">
        <is>
          <t>FY27</t>
        </is>
      </c>
      <c r="B2344" s="19" t="inlineStr">
        <is>
          <t>Jun</t>
        </is>
      </c>
      <c r="C2344" s="19" t="inlineStr">
        <is>
          <t>TN</t>
        </is>
      </c>
      <c r="D2344" s="20" t="inlineStr">
        <is>
          <t>TN13A4839</t>
        </is>
      </c>
      <c r="E2344" s="20" t="inlineStr">
        <is>
          <t>MARUTI SUZUKI</t>
        </is>
      </c>
      <c r="F2344" s="20" t="inlineStr">
        <is>
          <t>Ritz</t>
        </is>
      </c>
      <c r="G2344" s="21" t="n">
        <v>2014</v>
      </c>
      <c r="H2344" s="22" t="n">
        <v>180115</v>
      </c>
      <c r="I2344" s="23" t="n">
        <v>275000</v>
      </c>
      <c r="J2344" s="20" t="inlineStr">
        <is>
          <t>Cresco cars</t>
        </is>
      </c>
      <c r="K2344" s="20" t="inlineStr">
        <is>
          <t>Non-Captive</t>
        </is>
      </c>
      <c r="L2344" s="20" t="inlineStr">
        <is>
          <t>TSM</t>
        </is>
      </c>
      <c r="M2344" s="23" t="n">
        <v>4237.29</v>
      </c>
      <c r="N2344" s="23" t="n">
        <v>5000</v>
      </c>
      <c r="O2344" s="24">
        <f>IF(AND(ISNUMBER(M2344), ISNUMBER(I2344), I2344&gt;0), M2344/I2344, "")</f>
        <v/>
      </c>
    </row>
    <row r="2345">
      <c r="A2345" s="19" t="inlineStr">
        <is>
          <t>FY27</t>
        </is>
      </c>
      <c r="B2345" s="19" t="inlineStr">
        <is>
          <t>Jun</t>
        </is>
      </c>
      <c r="C2345" s="19" t="inlineStr">
        <is>
          <t>TN</t>
        </is>
      </c>
      <c r="D2345" s="20" t="inlineStr">
        <is>
          <t>TN09CA9387</t>
        </is>
      </c>
      <c r="E2345" s="20" t="inlineStr">
        <is>
          <t>MARUTI SUZUKI</t>
        </is>
      </c>
      <c r="F2345" s="20" t="inlineStr">
        <is>
          <t>Alto K10</t>
        </is>
      </c>
      <c r="G2345" s="21" t="n">
        <v>2015</v>
      </c>
      <c r="H2345" s="22" t="n">
        <v>39411</v>
      </c>
      <c r="I2345" s="23" t="n">
        <v>275000</v>
      </c>
      <c r="J2345" s="20" t="inlineStr">
        <is>
          <t>Cresco cars</t>
        </is>
      </c>
      <c r="K2345" s="20" t="inlineStr">
        <is>
          <t>Non-Captive</t>
        </is>
      </c>
      <c r="L2345" s="20" t="inlineStr">
        <is>
          <t>Ramalingam Cars</t>
        </is>
      </c>
      <c r="M2345" s="23" t="n">
        <v>4237.29</v>
      </c>
      <c r="N2345" s="23" t="n">
        <v>5000</v>
      </c>
      <c r="O2345" s="24">
        <f>IF(AND(ISNUMBER(M2345), ISNUMBER(I2345), I2345&gt;0), M2345/I2345, "")</f>
        <v/>
      </c>
    </row>
    <row r="2346">
      <c r="A2346" s="19" t="inlineStr">
        <is>
          <t>FY27</t>
        </is>
      </c>
      <c r="B2346" s="19" t="inlineStr">
        <is>
          <t>Jun</t>
        </is>
      </c>
      <c r="C2346" s="19" t="inlineStr">
        <is>
          <t>TN</t>
        </is>
      </c>
      <c r="D2346" s="20" t="inlineStr">
        <is>
          <t>TN22DB2137</t>
        </is>
      </c>
      <c r="E2346" s="20" t="inlineStr">
        <is>
          <t>MARUTI SUZUKI</t>
        </is>
      </c>
      <c r="F2346" s="20" t="inlineStr">
        <is>
          <t>Alto 800</t>
        </is>
      </c>
      <c r="G2346" s="21" t="n">
        <v>2015</v>
      </c>
      <c r="H2346" s="22" t="n">
        <v>32800</v>
      </c>
      <c r="I2346" s="23" t="n">
        <v>270000</v>
      </c>
      <c r="J2346" s="20" t="inlineStr">
        <is>
          <t>Khivraj Motor</t>
        </is>
      </c>
      <c r="K2346" s="20" t="inlineStr">
        <is>
          <t>Non-Captive</t>
        </is>
      </c>
      <c r="L2346" s="20" t="inlineStr">
        <is>
          <t>Ramalingam Cars</t>
        </is>
      </c>
      <c r="M2346" s="23" t="n">
        <v>4237.29</v>
      </c>
      <c r="N2346" s="23" t="n">
        <v>5000</v>
      </c>
      <c r="O2346" s="24">
        <f>IF(AND(ISNUMBER(M2346), ISNUMBER(I2346), I2346&gt;0), M2346/I2346, "")</f>
        <v/>
      </c>
    </row>
    <row r="2347">
      <c r="A2347" s="19" t="inlineStr">
        <is>
          <t>FY27</t>
        </is>
      </c>
      <c r="B2347" s="19" t="inlineStr">
        <is>
          <t>Jun</t>
        </is>
      </c>
      <c r="C2347" s="19" t="inlineStr">
        <is>
          <t>TN</t>
        </is>
      </c>
      <c r="D2347" s="20" t="inlineStr">
        <is>
          <t>TN88Z2352</t>
        </is>
      </c>
      <c r="E2347" s="20" t="inlineStr">
        <is>
          <t>CHEVROLET</t>
        </is>
      </c>
      <c r="F2347" s="20" t="inlineStr">
        <is>
          <t>Sail</t>
        </is>
      </c>
      <c r="G2347" s="21" t="n">
        <v>2013</v>
      </c>
      <c r="H2347" s="22" t="n">
        <v>99546</v>
      </c>
      <c r="I2347" s="23" t="n">
        <v>270000</v>
      </c>
      <c r="J2347" s="20" t="inlineStr">
        <is>
          <t>THIRIVENI CARS</t>
        </is>
      </c>
      <c r="K2347" s="20" t="inlineStr">
        <is>
          <t>Non-Captive</t>
        </is>
      </c>
      <c r="L2347" s="20" t="inlineStr">
        <is>
          <t>Ramalingam Cars</t>
        </is>
      </c>
      <c r="M2347" s="23" t="n">
        <v>4237.29</v>
      </c>
      <c r="N2347" s="23" t="n">
        <v>5000</v>
      </c>
      <c r="O2347" s="24">
        <f>IF(AND(ISNUMBER(M2347), ISNUMBER(I2347), I2347&gt;0), M2347/I2347, "")</f>
        <v/>
      </c>
    </row>
    <row r="2348">
      <c r="A2348" s="19" t="inlineStr">
        <is>
          <t>FY27</t>
        </is>
      </c>
      <c r="B2348" s="19" t="inlineStr">
        <is>
          <t>Jun</t>
        </is>
      </c>
      <c r="C2348" s="19" t="inlineStr">
        <is>
          <t>TN</t>
        </is>
      </c>
      <c r="D2348" s="20" t="inlineStr">
        <is>
          <t>TN10BB1063</t>
        </is>
      </c>
      <c r="E2348" s="20" t="inlineStr">
        <is>
          <t>RENAULT</t>
        </is>
      </c>
      <c r="F2348" s="20" t="inlineStr">
        <is>
          <t>Kwid</t>
        </is>
      </c>
      <c r="G2348" s="21" t="n">
        <v>2017</v>
      </c>
      <c r="H2348" s="22" t="n">
        <v>55369</v>
      </c>
      <c r="I2348" s="23" t="n">
        <v>270000</v>
      </c>
      <c r="J2348" s="20" t="inlineStr">
        <is>
          <t>SVM CARS PRIVATE LIMITED</t>
        </is>
      </c>
      <c r="K2348" s="20" t="inlineStr">
        <is>
          <t>Non-Captive</t>
        </is>
      </c>
      <c r="L2348" s="20" t="inlineStr">
        <is>
          <t>TSM</t>
        </is>
      </c>
      <c r="M2348" s="23" t="n">
        <v>4237.29</v>
      </c>
      <c r="N2348" s="23" t="n">
        <v>5000</v>
      </c>
      <c r="O2348" s="24">
        <f>IF(AND(ISNUMBER(M2348), ISNUMBER(I2348), I2348&gt;0), M2348/I2348, "")</f>
        <v/>
      </c>
    </row>
    <row r="2349">
      <c r="A2349" s="19" t="inlineStr">
        <is>
          <t>FY27</t>
        </is>
      </c>
      <c r="B2349" s="19" t="inlineStr">
        <is>
          <t>Jun</t>
        </is>
      </c>
      <c r="C2349" s="19" t="inlineStr">
        <is>
          <t>TN</t>
        </is>
      </c>
      <c r="D2349" s="20" t="inlineStr">
        <is>
          <t>TN59AV0333</t>
        </is>
      </c>
      <c r="E2349" s="20" t="inlineStr">
        <is>
          <t>VOLKSWAGEN</t>
        </is>
      </c>
      <c r="F2349" s="20" t="inlineStr">
        <is>
          <t>Vento</t>
        </is>
      </c>
      <c r="G2349" s="21" t="n">
        <v>2011</v>
      </c>
      <c r="H2349" s="22" t="n">
        <v>88060</v>
      </c>
      <c r="I2349" s="23" t="n">
        <v>270000</v>
      </c>
      <c r="J2349" s="20" t="inlineStr">
        <is>
          <t>SUN CARS</t>
        </is>
      </c>
      <c r="K2349" s="20" t="inlineStr">
        <is>
          <t>Non-Captive</t>
        </is>
      </c>
      <c r="L2349" s="20" t="inlineStr">
        <is>
          <t>TSM</t>
        </is>
      </c>
      <c r="M2349" s="23" t="n">
        <v>4237.29</v>
      </c>
      <c r="N2349" s="23" t="n">
        <v>5000</v>
      </c>
      <c r="O2349" s="24">
        <f>IF(AND(ISNUMBER(M2349), ISNUMBER(I2349), I2349&gt;0), M2349/I2349, "")</f>
        <v/>
      </c>
    </row>
    <row r="2350">
      <c r="A2350" s="19" t="inlineStr">
        <is>
          <t>FY27</t>
        </is>
      </c>
      <c r="B2350" s="19" t="inlineStr">
        <is>
          <t>Jun</t>
        </is>
      </c>
      <c r="C2350" s="19" t="inlineStr">
        <is>
          <t>TN</t>
        </is>
      </c>
      <c r="D2350" s="20" t="inlineStr">
        <is>
          <t>TN18W5857</t>
        </is>
      </c>
      <c r="E2350" s="20" t="inlineStr">
        <is>
          <t>MARUTI SUZUKI</t>
        </is>
      </c>
      <c r="F2350" s="20" t="inlineStr">
        <is>
          <t>Wagon R</t>
        </is>
      </c>
      <c r="G2350" s="21" t="n">
        <v>2012</v>
      </c>
      <c r="H2350" s="22" t="n">
        <v>72564</v>
      </c>
      <c r="I2350" s="23" t="n">
        <v>270000</v>
      </c>
      <c r="J2350" s="20" t="inlineStr">
        <is>
          <t>Khivraj Motor</t>
        </is>
      </c>
      <c r="K2350" s="20" t="inlineStr">
        <is>
          <t>Non-Captive</t>
        </is>
      </c>
      <c r="L2350" s="20" t="inlineStr">
        <is>
          <t>TSM</t>
        </is>
      </c>
      <c r="M2350" s="23" t="n">
        <v>4237.29</v>
      </c>
      <c r="N2350" s="23" t="n">
        <v>5000</v>
      </c>
      <c r="O2350" s="24">
        <f>IF(AND(ISNUMBER(M2350), ISNUMBER(I2350), I2350&gt;0), M2350/I2350, "")</f>
        <v/>
      </c>
    </row>
    <row r="2351">
      <c r="A2351" s="19" t="inlineStr">
        <is>
          <t>FY27</t>
        </is>
      </c>
      <c r="B2351" s="19" t="inlineStr">
        <is>
          <t>Jun</t>
        </is>
      </c>
      <c r="C2351" s="19" t="inlineStr">
        <is>
          <t>TN</t>
        </is>
      </c>
      <c r="D2351" s="20" t="inlineStr">
        <is>
          <t>TN07BV6721</t>
        </is>
      </c>
      <c r="E2351" s="20" t="inlineStr">
        <is>
          <t>MARUTI SUZUKI</t>
        </is>
      </c>
      <c r="F2351" s="20" t="inlineStr">
        <is>
          <t>Wagon R</t>
        </is>
      </c>
      <c r="G2351" s="21" t="n">
        <v>2013</v>
      </c>
      <c r="H2351" s="22" t="n">
        <v>48754</v>
      </c>
      <c r="I2351" s="23" t="n">
        <v>260000</v>
      </c>
      <c r="J2351" s="20" t="inlineStr">
        <is>
          <t>Khivraj Motor</t>
        </is>
      </c>
      <c r="K2351" s="20" t="inlineStr">
        <is>
          <t>Non-Captive</t>
        </is>
      </c>
      <c r="L2351" s="20" t="inlineStr">
        <is>
          <t>TSM</t>
        </is>
      </c>
      <c r="M2351" s="23" t="n">
        <v>4237.29</v>
      </c>
      <c r="N2351" s="23" t="n">
        <v>5000</v>
      </c>
      <c r="O2351" s="24">
        <f>IF(AND(ISNUMBER(M2351), ISNUMBER(I2351), I2351&gt;0), M2351/I2351, "")</f>
        <v/>
      </c>
    </row>
    <row r="2352">
      <c r="A2352" s="19" t="inlineStr">
        <is>
          <t>FY27</t>
        </is>
      </c>
      <c r="B2352" s="19" t="inlineStr">
        <is>
          <t>Jun</t>
        </is>
      </c>
      <c r="C2352" s="19" t="inlineStr">
        <is>
          <t>TN</t>
        </is>
      </c>
      <c r="D2352" s="20" t="inlineStr">
        <is>
          <t>TN22CU2246</t>
        </is>
      </c>
      <c r="E2352" s="20" t="inlineStr">
        <is>
          <t>HYUNDAI</t>
        </is>
      </c>
      <c r="F2352" s="20" t="inlineStr">
        <is>
          <t>I10</t>
        </is>
      </c>
      <c r="G2352" s="21" t="n">
        <v>2011</v>
      </c>
      <c r="H2352" s="22" t="n">
        <v>54408</v>
      </c>
      <c r="I2352" s="23" t="n">
        <v>260000</v>
      </c>
      <c r="J2352" s="20" t="inlineStr">
        <is>
          <t>GLOVIS INDIA PVT LTD</t>
        </is>
      </c>
      <c r="K2352" s="20" t="inlineStr">
        <is>
          <t>Non-Captive</t>
        </is>
      </c>
      <c r="L2352" s="20" t="inlineStr">
        <is>
          <t>TSM</t>
        </is>
      </c>
      <c r="M2352" s="23" t="n">
        <v>4237.29</v>
      </c>
      <c r="N2352" s="23" t="n">
        <v>5000</v>
      </c>
      <c r="O2352" s="24">
        <f>IF(AND(ISNUMBER(M2352), ISNUMBER(I2352), I2352&gt;0), M2352/I2352, "")</f>
        <v/>
      </c>
    </row>
    <row r="2353">
      <c r="A2353" s="19" t="inlineStr">
        <is>
          <t>FY27</t>
        </is>
      </c>
      <c r="B2353" s="19" t="inlineStr">
        <is>
          <t>Jun</t>
        </is>
      </c>
      <c r="C2353" s="19" t="inlineStr">
        <is>
          <t>TN</t>
        </is>
      </c>
      <c r="D2353" s="20" t="inlineStr">
        <is>
          <t>TN13H2009</t>
        </is>
      </c>
      <c r="E2353" s="20" t="inlineStr">
        <is>
          <t>MARUTI SUZUKI</t>
        </is>
      </c>
      <c r="F2353" s="20" t="inlineStr">
        <is>
          <t>Alto</t>
        </is>
      </c>
      <c r="G2353" s="21" t="n">
        <v>2016</v>
      </c>
      <c r="H2353" s="22" t="n">
        <v>44441</v>
      </c>
      <c r="I2353" s="23" t="n">
        <v>260000</v>
      </c>
      <c r="J2353" s="20" t="inlineStr">
        <is>
          <t>AIE CARS PRIVATE LIMITED</t>
        </is>
      </c>
      <c r="K2353" s="20" t="inlineStr">
        <is>
          <t>Non-Captive</t>
        </is>
      </c>
      <c r="L2353" s="20" t="inlineStr">
        <is>
          <t>TSM</t>
        </is>
      </c>
      <c r="M2353" s="23" t="n">
        <v>4237.29</v>
      </c>
      <c r="N2353" s="23" t="n">
        <v>5000</v>
      </c>
      <c r="O2353" s="24">
        <f>IF(AND(ISNUMBER(M2353), ISNUMBER(I2353), I2353&gt;0), M2353/I2353, "")</f>
        <v/>
      </c>
    </row>
    <row r="2354">
      <c r="A2354" s="19" t="inlineStr">
        <is>
          <t>FY27</t>
        </is>
      </c>
      <c r="B2354" s="19" t="inlineStr">
        <is>
          <t>Jun</t>
        </is>
      </c>
      <c r="C2354" s="19" t="inlineStr">
        <is>
          <t>TN</t>
        </is>
      </c>
      <c r="D2354" s="20" t="inlineStr">
        <is>
          <t>TN01AU2757</t>
        </is>
      </c>
      <c r="E2354" s="20" t="inlineStr">
        <is>
          <t>SKODA</t>
        </is>
      </c>
      <c r="F2354" s="20" t="inlineStr">
        <is>
          <t>Rapid</t>
        </is>
      </c>
      <c r="G2354" s="21" t="n">
        <v>2013</v>
      </c>
      <c r="H2354" s="22" t="n">
        <v>107786</v>
      </c>
      <c r="I2354" s="23" t="n">
        <v>260000</v>
      </c>
      <c r="J2354" s="20" t="inlineStr">
        <is>
          <t>Khivraj Motor</t>
        </is>
      </c>
      <c r="K2354" s="20" t="inlineStr">
        <is>
          <t>Non-Captive</t>
        </is>
      </c>
      <c r="L2354" s="20" t="inlineStr">
        <is>
          <t>TSM</t>
        </is>
      </c>
      <c r="M2354" s="23" t="n">
        <v>4237.29</v>
      </c>
      <c r="N2354" s="23" t="n">
        <v>5000</v>
      </c>
      <c r="O2354" s="24">
        <f>IF(AND(ISNUMBER(M2354), ISNUMBER(I2354), I2354&gt;0), M2354/I2354, "")</f>
        <v/>
      </c>
    </row>
    <row r="2355">
      <c r="A2355" s="19" t="inlineStr">
        <is>
          <t>FY27</t>
        </is>
      </c>
      <c r="B2355" s="19" t="inlineStr">
        <is>
          <t>Jun</t>
        </is>
      </c>
      <c r="C2355" s="19" t="inlineStr">
        <is>
          <t>TN</t>
        </is>
      </c>
      <c r="D2355" s="20" t="inlineStr">
        <is>
          <t>TN13H7879</t>
        </is>
      </c>
      <c r="E2355" s="20" t="inlineStr">
        <is>
          <t>DATSUN</t>
        </is>
      </c>
      <c r="F2355" s="20" t="inlineStr">
        <is>
          <t>Redi-Go</t>
        </is>
      </c>
      <c r="G2355" s="21" t="n">
        <v>2017</v>
      </c>
      <c r="H2355" s="22" t="n">
        <v>49674</v>
      </c>
      <c r="I2355" s="23" t="n">
        <v>260000</v>
      </c>
      <c r="J2355" s="20" t="inlineStr">
        <is>
          <t>ABT LIMITED</t>
        </is>
      </c>
      <c r="K2355" s="20" t="inlineStr">
        <is>
          <t>Non-Captive</t>
        </is>
      </c>
      <c r="L2355" s="20" t="inlineStr">
        <is>
          <t>TSM</t>
        </is>
      </c>
      <c r="M2355" s="23" t="n">
        <v>4237.29</v>
      </c>
      <c r="N2355" s="23" t="n">
        <v>5000</v>
      </c>
      <c r="O2355" s="24">
        <f>IF(AND(ISNUMBER(M2355), ISNUMBER(I2355), I2355&gt;0), M2355/I2355, "")</f>
        <v/>
      </c>
    </row>
    <row r="2356">
      <c r="A2356" s="19" t="inlineStr">
        <is>
          <t>FY27</t>
        </is>
      </c>
      <c r="B2356" s="19" t="inlineStr">
        <is>
          <t>Jun</t>
        </is>
      </c>
      <c r="C2356" s="19" t="inlineStr">
        <is>
          <t>TN</t>
        </is>
      </c>
      <c r="D2356" s="20" t="inlineStr">
        <is>
          <t>TN22CJ3258</t>
        </is>
      </c>
      <c r="E2356" s="20" t="inlineStr">
        <is>
          <t>NISSAN</t>
        </is>
      </c>
      <c r="F2356" s="20" t="inlineStr">
        <is>
          <t>Micra</t>
        </is>
      </c>
      <c r="G2356" s="21" t="n">
        <v>2012</v>
      </c>
      <c r="H2356" s="22" t="n">
        <v>13626</v>
      </c>
      <c r="I2356" s="23" t="n">
        <v>260000</v>
      </c>
      <c r="J2356" s="20" t="inlineStr">
        <is>
          <t>POPULAR VEHICLES AND SERVICES LIMITED</t>
        </is>
      </c>
      <c r="K2356" s="20" t="inlineStr">
        <is>
          <t>Non-Captive</t>
        </is>
      </c>
      <c r="L2356" s="20" t="inlineStr">
        <is>
          <t>TSM</t>
        </is>
      </c>
      <c r="M2356" s="23" t="n">
        <v>4237.29</v>
      </c>
      <c r="N2356" s="23" t="n">
        <v>5000</v>
      </c>
      <c r="O2356" s="24">
        <f>IF(AND(ISNUMBER(M2356), ISNUMBER(I2356), I2356&gt;0), M2356/I2356, "")</f>
        <v/>
      </c>
    </row>
    <row r="2357">
      <c r="A2357" s="19" t="inlineStr">
        <is>
          <t>FY27</t>
        </is>
      </c>
      <c r="B2357" s="19" t="inlineStr">
        <is>
          <t>Jun</t>
        </is>
      </c>
      <c r="C2357" s="19" t="inlineStr">
        <is>
          <t>TN</t>
        </is>
      </c>
      <c r="D2357" s="20" t="inlineStr">
        <is>
          <t>TN01AS8286</t>
        </is>
      </c>
      <c r="E2357" s="20" t="inlineStr">
        <is>
          <t>MARUTI SUZUKI</t>
        </is>
      </c>
      <c r="F2357" s="20" t="inlineStr">
        <is>
          <t>Alto K10</t>
        </is>
      </c>
      <c r="G2357" s="21" t="n">
        <v>2012</v>
      </c>
      <c r="H2357" s="22" t="n">
        <v>36822</v>
      </c>
      <c r="I2357" s="23" t="n">
        <v>250000</v>
      </c>
      <c r="J2357" s="20" t="inlineStr">
        <is>
          <t>ABT LIMITED</t>
        </is>
      </c>
      <c r="K2357" s="20" t="inlineStr">
        <is>
          <t>Non-Captive</t>
        </is>
      </c>
      <c r="L2357" s="20" t="inlineStr">
        <is>
          <t>TSM</t>
        </is>
      </c>
      <c r="M2357" s="23" t="n">
        <v>4237.29</v>
      </c>
      <c r="N2357" s="23" t="n">
        <v>5000</v>
      </c>
      <c r="O2357" s="24">
        <f>IF(AND(ISNUMBER(M2357), ISNUMBER(I2357), I2357&gt;0), M2357/I2357, "")</f>
        <v/>
      </c>
    </row>
    <row r="2358">
      <c r="A2358" s="19" t="inlineStr">
        <is>
          <t>FY27</t>
        </is>
      </c>
      <c r="B2358" s="19" t="inlineStr">
        <is>
          <t>Jun</t>
        </is>
      </c>
      <c r="C2358" s="19" t="inlineStr">
        <is>
          <t>TN</t>
        </is>
      </c>
      <c r="D2358" s="20" t="inlineStr">
        <is>
          <t>TN22DH6862</t>
        </is>
      </c>
      <c r="E2358" s="20" t="inlineStr">
        <is>
          <t>MARUTI SUZUKI</t>
        </is>
      </c>
      <c r="F2358" s="20" t="inlineStr">
        <is>
          <t>Alto 800</t>
        </is>
      </c>
      <c r="G2358" s="21" t="n">
        <v>2017</v>
      </c>
      <c r="H2358" s="22" t="n">
        <v>53687</v>
      </c>
      <c r="I2358" s="23" t="n">
        <v>250000</v>
      </c>
      <c r="J2358" s="20" t="inlineStr">
        <is>
          <t>THIRIVENI CARS</t>
        </is>
      </c>
      <c r="K2358" s="20" t="inlineStr">
        <is>
          <t>Non-Captive</t>
        </is>
      </c>
      <c r="L2358" s="20" t="inlineStr">
        <is>
          <t>Ramalingam Cars</t>
        </is>
      </c>
      <c r="M2358" s="23" t="n">
        <v>4449.15</v>
      </c>
      <c r="N2358" s="23" t="n">
        <v>5250</v>
      </c>
      <c r="O2358" s="24">
        <f>IF(AND(ISNUMBER(M2358), ISNUMBER(I2358), I2358&gt;0), M2358/I2358, "")</f>
        <v/>
      </c>
    </row>
    <row r="2359">
      <c r="A2359" s="19" t="inlineStr">
        <is>
          <t>FY27</t>
        </is>
      </c>
      <c r="B2359" s="19" t="inlineStr">
        <is>
          <t>Jun</t>
        </is>
      </c>
      <c r="C2359" s="19" t="inlineStr">
        <is>
          <t>TN</t>
        </is>
      </c>
      <c r="D2359" s="20" t="inlineStr">
        <is>
          <t>TN22CX4097</t>
        </is>
      </c>
      <c r="E2359" s="20" t="inlineStr">
        <is>
          <t>MARUTI SUZUKI</t>
        </is>
      </c>
      <c r="F2359" s="20" t="inlineStr">
        <is>
          <t>Wagon R</t>
        </is>
      </c>
      <c r="G2359" s="21" t="n">
        <v>2011</v>
      </c>
      <c r="H2359" s="22" t="n">
        <v>148963</v>
      </c>
      <c r="I2359" s="23" t="n">
        <v>250000</v>
      </c>
      <c r="J2359" s="20" t="inlineStr">
        <is>
          <t>Khivraj Motor</t>
        </is>
      </c>
      <c r="K2359" s="20" t="inlineStr">
        <is>
          <t>Non-Captive</t>
        </is>
      </c>
      <c r="L2359" s="20" t="inlineStr">
        <is>
          <t>Ramalingam Cars</t>
        </is>
      </c>
      <c r="M2359" s="23" t="n">
        <v>4449.15</v>
      </c>
      <c r="N2359" s="23" t="n">
        <v>5250</v>
      </c>
      <c r="O2359" s="24">
        <f>IF(AND(ISNUMBER(M2359), ISNUMBER(I2359), I2359&gt;0), M2359/I2359, "")</f>
        <v/>
      </c>
    </row>
    <row r="2360">
      <c r="A2360" s="19" t="inlineStr">
        <is>
          <t>FY27</t>
        </is>
      </c>
      <c r="B2360" s="19" t="inlineStr">
        <is>
          <t>Jun</t>
        </is>
      </c>
      <c r="C2360" s="19" t="inlineStr">
        <is>
          <t>TN</t>
        </is>
      </c>
      <c r="D2360" s="20" t="inlineStr">
        <is>
          <t>TN062424</t>
        </is>
      </c>
      <c r="E2360" s="20" t="inlineStr">
        <is>
          <t>HONDA</t>
        </is>
      </c>
      <c r="F2360" s="20" t="inlineStr">
        <is>
          <t>City</t>
        </is>
      </c>
      <c r="G2360" s="21" t="n">
        <v>2009</v>
      </c>
      <c r="H2360" s="22" t="n">
        <v>77996</v>
      </c>
      <c r="I2360" s="23" t="n">
        <v>250000</v>
      </c>
      <c r="J2360" s="20" t="inlineStr">
        <is>
          <t>NIRMAL</t>
        </is>
      </c>
      <c r="K2360" s="20" t="inlineStr">
        <is>
          <t>Non-Captive</t>
        </is>
      </c>
      <c r="L2360" s="20" t="inlineStr">
        <is>
          <t>TSM</t>
        </is>
      </c>
      <c r="M2360" s="23" t="n">
        <v>4237.29</v>
      </c>
      <c r="N2360" s="23" t="n">
        <v>5000</v>
      </c>
      <c r="O2360" s="24">
        <f>IF(AND(ISNUMBER(M2360), ISNUMBER(I2360), I2360&gt;0), M2360/I2360, "")</f>
        <v/>
      </c>
    </row>
    <row r="2361">
      <c r="A2361" s="19" t="inlineStr">
        <is>
          <t>FY27</t>
        </is>
      </c>
      <c r="B2361" s="19" t="inlineStr">
        <is>
          <t>Jun</t>
        </is>
      </c>
      <c r="C2361" s="19" t="inlineStr">
        <is>
          <t>TN</t>
        </is>
      </c>
      <c r="D2361" s="20" t="inlineStr">
        <is>
          <t>TN05AR0535</t>
        </is>
      </c>
      <c r="E2361" s="20" t="inlineStr">
        <is>
          <t>VOLKSWAGEN</t>
        </is>
      </c>
      <c r="F2361" s="20" t="inlineStr">
        <is>
          <t>Polo</t>
        </is>
      </c>
      <c r="G2361" s="21" t="n">
        <v>2012</v>
      </c>
      <c r="H2361" s="22" t="n">
        <v>9999</v>
      </c>
      <c r="I2361" s="23" t="n">
        <v>250000</v>
      </c>
      <c r="J2361" s="20" t="inlineStr">
        <is>
          <t>CARS INDIA</t>
        </is>
      </c>
      <c r="K2361" s="20" t="inlineStr">
        <is>
          <t>Non-Captive</t>
        </is>
      </c>
      <c r="L2361" s="20" t="inlineStr">
        <is>
          <t>TSM</t>
        </is>
      </c>
      <c r="M2361" s="23" t="n">
        <v>4237.29</v>
      </c>
      <c r="N2361" s="23" t="n">
        <v>5000</v>
      </c>
      <c r="O2361" s="24">
        <f>IF(AND(ISNUMBER(M2361), ISNUMBER(I2361), I2361&gt;0), M2361/I2361, "")</f>
        <v/>
      </c>
    </row>
    <row r="2362">
      <c r="A2362" s="19" t="inlineStr">
        <is>
          <t>FY27</t>
        </is>
      </c>
      <c r="B2362" s="19" t="inlineStr">
        <is>
          <t>Jun</t>
        </is>
      </c>
      <c r="C2362" s="19" t="inlineStr">
        <is>
          <t>TN</t>
        </is>
      </c>
      <c r="D2362" s="20" t="inlineStr">
        <is>
          <t>GJ05CP7816</t>
        </is>
      </c>
      <c r="E2362" s="20" t="inlineStr">
        <is>
          <t>MARUTI SUZUKI</t>
        </is>
      </c>
      <c r="F2362" s="20" t="inlineStr">
        <is>
          <t>Swift Dzire</t>
        </is>
      </c>
      <c r="G2362" s="21" t="n">
        <v>2011</v>
      </c>
      <c r="H2362" s="22" t="n">
        <v>53608</v>
      </c>
      <c r="I2362" s="23" t="n">
        <v>250000</v>
      </c>
      <c r="J2362" s="20" t="inlineStr">
        <is>
          <t>Khivraj Motor</t>
        </is>
      </c>
      <c r="K2362" s="20" t="inlineStr">
        <is>
          <t>Non-Captive</t>
        </is>
      </c>
      <c r="L2362" s="20" t="inlineStr">
        <is>
          <t>TSM</t>
        </is>
      </c>
      <c r="M2362" s="23" t="n">
        <v>4237.29</v>
      </c>
      <c r="N2362" s="23" t="n">
        <v>5000</v>
      </c>
      <c r="O2362" s="24">
        <f>IF(AND(ISNUMBER(M2362), ISNUMBER(I2362), I2362&gt;0), M2362/I2362, "")</f>
        <v/>
      </c>
    </row>
    <row r="2363">
      <c r="A2363" s="19" t="inlineStr">
        <is>
          <t>FY27</t>
        </is>
      </c>
      <c r="B2363" s="19" t="inlineStr">
        <is>
          <t>Jun</t>
        </is>
      </c>
      <c r="C2363" s="19" t="inlineStr">
        <is>
          <t>TN</t>
        </is>
      </c>
      <c r="D2363" s="20" t="inlineStr">
        <is>
          <t>TN22BK1050</t>
        </is>
      </c>
      <c r="E2363" s="20" t="inlineStr">
        <is>
          <t>MARUTI SUZUKI</t>
        </is>
      </c>
      <c r="F2363" s="20" t="inlineStr">
        <is>
          <t>Swift</t>
        </is>
      </c>
      <c r="G2363" s="21" t="n">
        <v>2010</v>
      </c>
      <c r="H2363" s="22" t="n">
        <v>51059</v>
      </c>
      <c r="I2363" s="23" t="n">
        <v>250000</v>
      </c>
      <c r="J2363" s="20" t="inlineStr">
        <is>
          <t>AA Cars Madhurai</t>
        </is>
      </c>
      <c r="K2363" s="20" t="inlineStr">
        <is>
          <t>Non-Captive</t>
        </is>
      </c>
      <c r="L2363" s="20" t="inlineStr">
        <is>
          <t>TSM</t>
        </is>
      </c>
      <c r="M2363" s="23" t="n">
        <v>4237.29</v>
      </c>
      <c r="N2363" s="23" t="n">
        <v>5000</v>
      </c>
      <c r="O2363" s="24">
        <f>IF(AND(ISNUMBER(M2363), ISNUMBER(I2363), I2363&gt;0), M2363/I2363, "")</f>
        <v/>
      </c>
    </row>
    <row r="2364">
      <c r="A2364" s="19" t="inlineStr">
        <is>
          <t>FY27</t>
        </is>
      </c>
      <c r="B2364" s="19" t="inlineStr">
        <is>
          <t>Jun</t>
        </is>
      </c>
      <c r="C2364" s="19" t="inlineStr">
        <is>
          <t>TN</t>
        </is>
      </c>
      <c r="D2364" s="20" t="inlineStr">
        <is>
          <t>TN02BC0339</t>
        </is>
      </c>
      <c r="E2364" s="20" t="inlineStr">
        <is>
          <t>HYUNDAI</t>
        </is>
      </c>
      <c r="F2364" s="20" t="inlineStr">
        <is>
          <t>Eon</t>
        </is>
      </c>
      <c r="G2364" s="21" t="n">
        <v>2015</v>
      </c>
      <c r="H2364" s="22" t="n">
        <v>83940</v>
      </c>
      <c r="I2364" s="23" t="n">
        <v>250000</v>
      </c>
      <c r="J2364" s="20" t="inlineStr">
        <is>
          <t>LANSON QCARS PRIVATE LIMITED</t>
        </is>
      </c>
      <c r="K2364" s="20" t="inlineStr">
        <is>
          <t>Non-Captive</t>
        </is>
      </c>
      <c r="L2364" s="20" t="inlineStr">
        <is>
          <t>TSM</t>
        </is>
      </c>
      <c r="M2364" s="23" t="n">
        <v>4237.29</v>
      </c>
      <c r="N2364" s="23" t="n">
        <v>5000</v>
      </c>
      <c r="O2364" s="24">
        <f>IF(AND(ISNUMBER(M2364), ISNUMBER(I2364), I2364&gt;0), M2364/I2364, "")</f>
        <v/>
      </c>
    </row>
    <row r="2365">
      <c r="A2365" s="19" t="inlineStr">
        <is>
          <t>FY27</t>
        </is>
      </c>
      <c r="B2365" s="19" t="inlineStr">
        <is>
          <t>Jun</t>
        </is>
      </c>
      <c r="C2365" s="19" t="inlineStr">
        <is>
          <t>TN</t>
        </is>
      </c>
      <c r="D2365" s="20" t="inlineStr">
        <is>
          <t>TN20CW4053</t>
        </is>
      </c>
      <c r="E2365" s="20" t="inlineStr">
        <is>
          <t>MARUTI SUZUKI</t>
        </is>
      </c>
      <c r="F2365" s="20" t="inlineStr">
        <is>
          <t>A-Star</t>
        </is>
      </c>
      <c r="G2365" s="21" t="n">
        <v>2013</v>
      </c>
      <c r="H2365" s="22" t="n">
        <v>27087</v>
      </c>
      <c r="I2365" s="23" t="n">
        <v>250000</v>
      </c>
      <c r="J2365" s="20" t="inlineStr">
        <is>
          <t>SUN CARS</t>
        </is>
      </c>
      <c r="K2365" s="20" t="inlineStr">
        <is>
          <t>Non-Captive</t>
        </is>
      </c>
      <c r="L2365" s="20" t="inlineStr">
        <is>
          <t>TSM</t>
        </is>
      </c>
      <c r="M2365" s="23" t="n">
        <v>4237.29</v>
      </c>
      <c r="N2365" s="23" t="n">
        <v>5000</v>
      </c>
      <c r="O2365" s="24">
        <f>IF(AND(ISNUMBER(M2365), ISNUMBER(I2365), I2365&gt;0), M2365/I2365, "")</f>
        <v/>
      </c>
    </row>
    <row r="2366">
      <c r="A2366" s="19" t="inlineStr">
        <is>
          <t>FY27</t>
        </is>
      </c>
      <c r="B2366" s="19" t="inlineStr">
        <is>
          <t>Jun</t>
        </is>
      </c>
      <c r="C2366" s="19" t="inlineStr">
        <is>
          <t>TN</t>
        </is>
      </c>
      <c r="D2366" s="20" t="inlineStr">
        <is>
          <t>TN09BA0123</t>
        </is>
      </c>
      <c r="E2366" s="20" t="inlineStr">
        <is>
          <t>TOYOTA</t>
        </is>
      </c>
      <c r="F2366" s="20" t="inlineStr">
        <is>
          <t>Corolla</t>
        </is>
      </c>
      <c r="G2366" s="21" t="n">
        <v>2009</v>
      </c>
      <c r="H2366" s="22" t="n">
        <v>124030</v>
      </c>
      <c r="I2366" s="23" t="n">
        <v>250000</v>
      </c>
      <c r="J2366" s="20" t="inlineStr">
        <is>
          <t>Castel Traders Honda</t>
        </is>
      </c>
      <c r="K2366" s="20" t="inlineStr">
        <is>
          <t>Non-Captive</t>
        </is>
      </c>
      <c r="L2366" s="20" t="inlineStr">
        <is>
          <t>TSM</t>
        </is>
      </c>
      <c r="M2366" s="23" t="n">
        <v>4237.29</v>
      </c>
      <c r="N2366" s="23" t="n">
        <v>5000</v>
      </c>
      <c r="O2366" s="24">
        <f>IF(AND(ISNUMBER(M2366), ISNUMBER(I2366), I2366&gt;0), M2366/I2366, "")</f>
        <v/>
      </c>
    </row>
    <row r="2367">
      <c r="A2367" s="19" t="inlineStr">
        <is>
          <t>FY27</t>
        </is>
      </c>
      <c r="B2367" s="19" t="inlineStr">
        <is>
          <t>Jun</t>
        </is>
      </c>
      <c r="C2367" s="19" t="inlineStr">
        <is>
          <t>TN</t>
        </is>
      </c>
      <c r="D2367" s="20" t="inlineStr">
        <is>
          <t>TN03S7009</t>
        </is>
      </c>
      <c r="E2367" s="20" t="inlineStr">
        <is>
          <t>MARUTI SUZUKI</t>
        </is>
      </c>
      <c r="F2367" s="20" t="inlineStr">
        <is>
          <t>Celerio</t>
        </is>
      </c>
      <c r="G2367" s="21" t="n">
        <v>2016</v>
      </c>
      <c r="H2367" s="22" t="n">
        <v>102689</v>
      </c>
      <c r="I2367" s="23" t="n">
        <v>250000</v>
      </c>
      <c r="J2367" s="20" t="inlineStr">
        <is>
          <t>Khivraj Motor</t>
        </is>
      </c>
      <c r="K2367" s="20" t="inlineStr">
        <is>
          <t>Non-Captive</t>
        </is>
      </c>
      <c r="L2367" s="20" t="inlineStr">
        <is>
          <t>TSM</t>
        </is>
      </c>
      <c r="M2367" s="23" t="n">
        <v>4237.29</v>
      </c>
      <c r="N2367" s="23" t="n">
        <v>5000</v>
      </c>
      <c r="O2367" s="24">
        <f>IF(AND(ISNUMBER(M2367), ISNUMBER(I2367), I2367&gt;0), M2367/I2367, "")</f>
        <v/>
      </c>
    </row>
    <row r="2368">
      <c r="A2368" s="19" t="inlineStr">
        <is>
          <t>FY27</t>
        </is>
      </c>
      <c r="B2368" s="19" t="inlineStr">
        <is>
          <t>Jun</t>
        </is>
      </c>
      <c r="C2368" s="19" t="inlineStr">
        <is>
          <t>TN</t>
        </is>
      </c>
      <c r="D2368" s="20" t="inlineStr">
        <is>
          <t>TN02AZ1600</t>
        </is>
      </c>
      <c r="E2368" s="20" t="inlineStr">
        <is>
          <t>FORD</t>
        </is>
      </c>
      <c r="F2368" s="20" t="inlineStr">
        <is>
          <t>Ecosport</t>
        </is>
      </c>
      <c r="G2368" s="21" t="n">
        <v>2014</v>
      </c>
      <c r="H2368" s="22" t="n">
        <v>99999</v>
      </c>
      <c r="I2368" s="23" t="n">
        <v>250000</v>
      </c>
      <c r="J2368" s="20" t="inlineStr">
        <is>
          <t>Khivraj Motor</t>
        </is>
      </c>
      <c r="K2368" s="20" t="inlineStr">
        <is>
          <t>Non-Captive</t>
        </is>
      </c>
      <c r="L2368" s="20" t="inlineStr">
        <is>
          <t>TSM</t>
        </is>
      </c>
      <c r="M2368" s="23" t="n">
        <v>4237.29</v>
      </c>
      <c r="N2368" s="23" t="n">
        <v>5000</v>
      </c>
      <c r="O2368" s="24">
        <f>IF(AND(ISNUMBER(M2368), ISNUMBER(I2368), I2368&gt;0), M2368/I2368, "")</f>
        <v/>
      </c>
    </row>
    <row r="2369">
      <c r="A2369" s="19" t="inlineStr">
        <is>
          <t>FY27</t>
        </is>
      </c>
      <c r="B2369" s="19" t="inlineStr">
        <is>
          <t>Jun</t>
        </is>
      </c>
      <c r="C2369" s="19" t="inlineStr">
        <is>
          <t>TN</t>
        </is>
      </c>
      <c r="D2369" s="20" t="inlineStr">
        <is>
          <t>TN09BL9472</t>
        </is>
      </c>
      <c r="E2369" s="20" t="inlineStr">
        <is>
          <t>MARUTI SUZUKI</t>
        </is>
      </c>
      <c r="F2369" s="20" t="inlineStr">
        <is>
          <t>Swift</t>
        </is>
      </c>
      <c r="G2369" s="21" t="n">
        <v>2011</v>
      </c>
      <c r="H2369" s="22" t="n">
        <v>43481</v>
      </c>
      <c r="I2369" s="23" t="n">
        <v>250000</v>
      </c>
      <c r="J2369" s="20" t="inlineStr">
        <is>
          <t>Khivraj Motor</t>
        </is>
      </c>
      <c r="K2369" s="20" t="inlineStr">
        <is>
          <t>Non-Captive</t>
        </is>
      </c>
      <c r="L2369" s="20" t="inlineStr">
        <is>
          <t>TSM</t>
        </is>
      </c>
      <c r="M2369" s="23" t="n">
        <v>4237.29</v>
      </c>
      <c r="N2369" s="23" t="n">
        <v>5000</v>
      </c>
      <c r="O2369" s="24">
        <f>IF(AND(ISNUMBER(M2369), ISNUMBER(I2369), I2369&gt;0), M2369/I2369, "")</f>
        <v/>
      </c>
    </row>
    <row r="2370">
      <c r="A2370" s="19" t="inlineStr">
        <is>
          <t>FY27</t>
        </is>
      </c>
      <c r="B2370" s="19" t="inlineStr">
        <is>
          <t>Jun</t>
        </is>
      </c>
      <c r="C2370" s="19" t="inlineStr">
        <is>
          <t>TN</t>
        </is>
      </c>
      <c r="D2370" s="20" t="inlineStr">
        <is>
          <t>TN02BE0698</t>
        </is>
      </c>
      <c r="E2370" s="20" t="inlineStr">
        <is>
          <t>RENAULT</t>
        </is>
      </c>
      <c r="F2370" s="20" t="inlineStr">
        <is>
          <t>Kwid</t>
        </is>
      </c>
      <c r="G2370" s="21" t="n">
        <v>2016</v>
      </c>
      <c r="H2370" s="22" t="n">
        <v>30336</v>
      </c>
      <c r="I2370" s="23" t="n">
        <v>250000</v>
      </c>
      <c r="J2370" s="20" t="inlineStr">
        <is>
          <t>SVM CARS PRIVATE LIMITED</t>
        </is>
      </c>
      <c r="K2370" s="20" t="inlineStr">
        <is>
          <t>Non-Captive</t>
        </is>
      </c>
      <c r="L2370" s="20" t="inlineStr">
        <is>
          <t>TSM</t>
        </is>
      </c>
      <c r="M2370" s="23" t="n">
        <v>4237.29</v>
      </c>
      <c r="N2370" s="23" t="n">
        <v>5000</v>
      </c>
      <c r="O2370" s="24">
        <f>IF(AND(ISNUMBER(M2370), ISNUMBER(I2370), I2370&gt;0), M2370/I2370, "")</f>
        <v/>
      </c>
    </row>
    <row r="2371">
      <c r="A2371" s="19" t="inlineStr">
        <is>
          <t>FY27</t>
        </is>
      </c>
      <c r="B2371" s="19" t="inlineStr">
        <is>
          <t>Jun</t>
        </is>
      </c>
      <c r="C2371" s="19" t="inlineStr">
        <is>
          <t>TN</t>
        </is>
      </c>
      <c r="D2371" s="20" t="inlineStr">
        <is>
          <t>TN30AV9779</t>
        </is>
      </c>
      <c r="E2371" s="20" t="inlineStr">
        <is>
          <t>RENAULT</t>
        </is>
      </c>
      <c r="F2371" s="20" t="inlineStr">
        <is>
          <t>Scala</t>
        </is>
      </c>
      <c r="G2371" s="21" t="n">
        <v>2013</v>
      </c>
      <c r="H2371" s="22" t="n">
        <v>176900</v>
      </c>
      <c r="I2371" s="23" t="n">
        <v>250000</v>
      </c>
      <c r="J2371" s="20" t="inlineStr">
        <is>
          <t>THIRIVENI CARS</t>
        </is>
      </c>
      <c r="K2371" s="20" t="inlineStr">
        <is>
          <t>Non-Captive</t>
        </is>
      </c>
      <c r="L2371" s="20" t="inlineStr">
        <is>
          <t>Pine Autos</t>
        </is>
      </c>
      <c r="M2371" s="23" t="n">
        <v>4237.29</v>
      </c>
      <c r="N2371" s="23" t="n">
        <v>5000</v>
      </c>
      <c r="O2371" s="24">
        <f>IF(AND(ISNUMBER(M2371), ISNUMBER(I2371), I2371&gt;0), M2371/I2371, "")</f>
        <v/>
      </c>
    </row>
    <row r="2372">
      <c r="A2372" s="19" t="inlineStr">
        <is>
          <t>FY27</t>
        </is>
      </c>
      <c r="B2372" s="19" t="inlineStr">
        <is>
          <t>Jun</t>
        </is>
      </c>
      <c r="C2372" s="19" t="inlineStr">
        <is>
          <t>TN</t>
        </is>
      </c>
      <c r="D2372" s="20" t="inlineStr">
        <is>
          <t>TN01AM9009</t>
        </is>
      </c>
      <c r="E2372" s="20" t="inlineStr">
        <is>
          <t>TOYOTA</t>
        </is>
      </c>
      <c r="F2372" s="20" t="inlineStr">
        <is>
          <t>Corolla</t>
        </is>
      </c>
      <c r="G2372" s="21" t="n">
        <v>2010</v>
      </c>
      <c r="H2372" s="22" t="n">
        <v>117640</v>
      </c>
      <c r="I2372" s="23" t="n">
        <v>250000</v>
      </c>
      <c r="J2372" s="20" t="inlineStr">
        <is>
          <t>GLOVIS INDIA PVT LTD</t>
        </is>
      </c>
      <c r="K2372" s="20" t="inlineStr">
        <is>
          <t>Non-Captive</t>
        </is>
      </c>
      <c r="L2372" s="20" t="inlineStr">
        <is>
          <t>NIrmal Cars</t>
        </is>
      </c>
      <c r="M2372" s="23" t="n">
        <v>4237.29</v>
      </c>
      <c r="N2372" s="23" t="n">
        <v>5000</v>
      </c>
      <c r="O2372" s="24">
        <f>IF(AND(ISNUMBER(M2372), ISNUMBER(I2372), I2372&gt;0), M2372/I2372, "")</f>
        <v/>
      </c>
    </row>
    <row r="2373">
      <c r="A2373" s="19" t="inlineStr">
        <is>
          <t>FY27</t>
        </is>
      </c>
      <c r="B2373" s="19" t="inlineStr">
        <is>
          <t>Jun</t>
        </is>
      </c>
      <c r="C2373" s="19" t="inlineStr">
        <is>
          <t>TN</t>
        </is>
      </c>
      <c r="D2373" s="20" t="inlineStr">
        <is>
          <t>TN18T0572</t>
        </is>
      </c>
      <c r="E2373" s="20" t="inlineStr">
        <is>
          <t>MARUTI SUZUKI</t>
        </is>
      </c>
      <c r="F2373" s="20" t="inlineStr">
        <is>
          <t>Wagon R</t>
        </is>
      </c>
      <c r="G2373" s="21" t="n">
        <v>2013</v>
      </c>
      <c r="H2373" s="22" t="n">
        <v>89334</v>
      </c>
      <c r="I2373" s="23" t="n">
        <v>250000</v>
      </c>
      <c r="J2373" s="20" t="inlineStr">
        <is>
          <t>GURUDEV MOTORS LLP</t>
        </is>
      </c>
      <c r="K2373" s="20" t="inlineStr">
        <is>
          <t>Non-Captive</t>
        </is>
      </c>
      <c r="L2373" s="20" t="inlineStr">
        <is>
          <t>NIrmal Cars</t>
        </is>
      </c>
      <c r="M2373" s="23" t="n">
        <v>4237.29</v>
      </c>
      <c r="N2373" s="23" t="n">
        <v>5000</v>
      </c>
      <c r="O2373" s="24">
        <f>IF(AND(ISNUMBER(M2373), ISNUMBER(I2373), I2373&gt;0), M2373/I2373, "")</f>
        <v/>
      </c>
    </row>
    <row r="2374">
      <c r="A2374" s="19" t="inlineStr">
        <is>
          <t>FY27</t>
        </is>
      </c>
      <c r="B2374" s="19" t="inlineStr">
        <is>
          <t>Jun</t>
        </is>
      </c>
      <c r="C2374" s="19" t="inlineStr">
        <is>
          <t>TN</t>
        </is>
      </c>
      <c r="D2374" s="20" t="inlineStr">
        <is>
          <t>TN01AU4028</t>
        </is>
      </c>
      <c r="E2374" s="20" t="inlineStr">
        <is>
          <t>MARUTI SUZUKI</t>
        </is>
      </c>
      <c r="F2374" s="20" t="inlineStr">
        <is>
          <t>Alto K10</t>
        </is>
      </c>
      <c r="G2374" s="21" t="n">
        <v>2012</v>
      </c>
      <c r="H2374" s="22" t="n">
        <v>82816</v>
      </c>
      <c r="I2374" s="23" t="n">
        <v>245000</v>
      </c>
      <c r="J2374" s="20" t="inlineStr">
        <is>
          <t>SUN CARS</t>
        </is>
      </c>
      <c r="K2374" s="20" t="inlineStr">
        <is>
          <t>Non-Captive</t>
        </is>
      </c>
      <c r="L2374" s="20" t="inlineStr">
        <is>
          <t>NIrmal Cars</t>
        </is>
      </c>
      <c r="M2374" s="23" t="n">
        <v>4237.29</v>
      </c>
      <c r="N2374" s="23" t="n">
        <v>5000</v>
      </c>
      <c r="O2374" s="24">
        <f>IF(AND(ISNUMBER(M2374), ISNUMBER(I2374), I2374&gt;0), M2374/I2374, "")</f>
        <v/>
      </c>
    </row>
    <row r="2375">
      <c r="A2375" s="19" t="inlineStr">
        <is>
          <t>FY27</t>
        </is>
      </c>
      <c r="B2375" s="19" t="inlineStr">
        <is>
          <t>Jun</t>
        </is>
      </c>
      <c r="C2375" s="19" t="inlineStr">
        <is>
          <t>TN</t>
        </is>
      </c>
      <c r="D2375" s="20" t="inlineStr">
        <is>
          <t>TN05AL4561</t>
        </is>
      </c>
      <c r="E2375" s="20" t="inlineStr">
        <is>
          <t>HYUNDAI</t>
        </is>
      </c>
      <c r="F2375" s="20" t="inlineStr">
        <is>
          <t>I20</t>
        </is>
      </c>
      <c r="G2375" s="21" t="n">
        <v>2011</v>
      </c>
      <c r="H2375" s="22" t="n">
        <v>179843</v>
      </c>
      <c r="I2375" s="23" t="n">
        <v>240000</v>
      </c>
      <c r="J2375" s="20" t="inlineStr">
        <is>
          <t>PRODUCTIVITY ELEMENTS PRIVATE LIMITED</t>
        </is>
      </c>
      <c r="K2375" s="20" t="inlineStr">
        <is>
          <t>Non-Captive</t>
        </is>
      </c>
      <c r="L2375" s="20" t="inlineStr">
        <is>
          <t>NIrmal Cars</t>
        </is>
      </c>
      <c r="M2375" s="23" t="n">
        <v>4237.29</v>
      </c>
      <c r="N2375" s="23" t="n">
        <v>5000</v>
      </c>
      <c r="O2375" s="24">
        <f>IF(AND(ISNUMBER(M2375), ISNUMBER(I2375), I2375&gt;0), M2375/I2375, "")</f>
        <v/>
      </c>
    </row>
    <row r="2376">
      <c r="A2376" s="19" t="inlineStr">
        <is>
          <t>FY27</t>
        </is>
      </c>
      <c r="B2376" s="19" t="inlineStr">
        <is>
          <t>Jun</t>
        </is>
      </c>
      <c r="C2376" s="19" t="inlineStr">
        <is>
          <t>TN</t>
        </is>
      </c>
      <c r="D2376" s="20" t="inlineStr">
        <is>
          <t>TN19L8696</t>
        </is>
      </c>
      <c r="E2376" s="20" t="inlineStr">
        <is>
          <t>HYUNDAI</t>
        </is>
      </c>
      <c r="F2376" s="20" t="inlineStr">
        <is>
          <t>I10</t>
        </is>
      </c>
      <c r="G2376" s="21" t="n">
        <v>2013</v>
      </c>
      <c r="H2376" s="22" t="n">
        <v>51471</v>
      </c>
      <c r="I2376" s="23" t="n">
        <v>240000</v>
      </c>
      <c r="J2376" s="20" t="inlineStr">
        <is>
          <t>STEER AUTO TECHNOLOGIES PRIVATE LIMITED</t>
        </is>
      </c>
      <c r="K2376" s="20" t="inlineStr">
        <is>
          <t>Non-Captive</t>
        </is>
      </c>
      <c r="L2376" s="20" t="inlineStr">
        <is>
          <t>NIrmal Cars</t>
        </is>
      </c>
      <c r="M2376" s="23" t="n">
        <v>4237.29</v>
      </c>
      <c r="N2376" s="23" t="n">
        <v>5000</v>
      </c>
      <c r="O2376" s="24">
        <f>IF(AND(ISNUMBER(M2376), ISNUMBER(I2376), I2376&gt;0), M2376/I2376, "")</f>
        <v/>
      </c>
    </row>
    <row r="2377">
      <c r="A2377" s="19" t="inlineStr">
        <is>
          <t>FY27</t>
        </is>
      </c>
      <c r="B2377" s="19" t="inlineStr">
        <is>
          <t>Jun</t>
        </is>
      </c>
      <c r="C2377" s="19" t="inlineStr">
        <is>
          <t>TN</t>
        </is>
      </c>
      <c r="D2377" s="20" t="inlineStr">
        <is>
          <t>TN23BF3433</t>
        </is>
      </c>
      <c r="E2377" s="20" t="inlineStr">
        <is>
          <t>HYUNDAI</t>
        </is>
      </c>
      <c r="F2377" s="20" t="inlineStr">
        <is>
          <t>I20</t>
        </is>
      </c>
      <c r="G2377" s="21" t="n">
        <v>2013</v>
      </c>
      <c r="H2377" s="22" t="n">
        <v>111021</v>
      </c>
      <c r="I2377" s="23" t="n">
        <v>240000</v>
      </c>
      <c r="J2377" s="20" t="inlineStr">
        <is>
          <t>THIRIVENI CARS</t>
        </is>
      </c>
      <c r="K2377" s="20" t="inlineStr">
        <is>
          <t>Non-Captive</t>
        </is>
      </c>
      <c r="L2377" s="20" t="inlineStr">
        <is>
          <t>NIrmal Cars</t>
        </is>
      </c>
      <c r="M2377" s="23" t="n">
        <v>4237.29</v>
      </c>
      <c r="N2377" s="23" t="n">
        <v>5000</v>
      </c>
      <c r="O2377" s="24">
        <f>IF(AND(ISNUMBER(M2377), ISNUMBER(I2377), I2377&gt;0), M2377/I2377, "")</f>
        <v/>
      </c>
    </row>
    <row r="2378">
      <c r="A2378" s="19" t="inlineStr">
        <is>
          <t>FY27</t>
        </is>
      </c>
      <c r="B2378" s="19" t="inlineStr">
        <is>
          <t>Jun</t>
        </is>
      </c>
      <c r="C2378" s="19" t="inlineStr">
        <is>
          <t>TN</t>
        </is>
      </c>
      <c r="D2378" s="20" t="inlineStr">
        <is>
          <t>TN11Y4790</t>
        </is>
      </c>
      <c r="E2378" s="20" t="inlineStr">
        <is>
          <t>VOLKSWAGEN</t>
        </is>
      </c>
      <c r="F2378" s="20" t="inlineStr">
        <is>
          <t>Vento</t>
        </is>
      </c>
      <c r="G2378" s="21" t="n">
        <v>2013</v>
      </c>
      <c r="H2378" s="22" t="n">
        <v>139595</v>
      </c>
      <c r="I2378" s="23" t="n">
        <v>240000</v>
      </c>
      <c r="J2378" s="20" t="inlineStr">
        <is>
          <t>Khivraj Motor</t>
        </is>
      </c>
      <c r="K2378" s="20" t="inlineStr">
        <is>
          <t>Non-Captive</t>
        </is>
      </c>
      <c r="L2378" s="20" t="inlineStr">
        <is>
          <t>NIrmal Cars</t>
        </is>
      </c>
      <c r="M2378" s="23" t="n">
        <v>4237.29</v>
      </c>
      <c r="N2378" s="23" t="n">
        <v>5000</v>
      </c>
      <c r="O2378" s="24">
        <f>IF(AND(ISNUMBER(M2378), ISNUMBER(I2378), I2378&gt;0), M2378/I2378, "")</f>
        <v/>
      </c>
    </row>
    <row r="2379">
      <c r="A2379" s="19" t="inlineStr">
        <is>
          <t>FY27</t>
        </is>
      </c>
      <c r="B2379" s="19" t="inlineStr">
        <is>
          <t>Jun</t>
        </is>
      </c>
      <c r="C2379" s="19" t="inlineStr">
        <is>
          <t>TN</t>
        </is>
      </c>
      <c r="D2379" s="20" t="inlineStr">
        <is>
          <t>TN12K2824</t>
        </is>
      </c>
      <c r="E2379" s="20" t="inlineStr">
        <is>
          <t>TATA</t>
        </is>
      </c>
      <c r="F2379" s="20" t="inlineStr">
        <is>
          <t>Bolt</t>
        </is>
      </c>
      <c r="G2379" s="21" t="n">
        <v>2015</v>
      </c>
      <c r="H2379" s="22" t="n">
        <v>152245</v>
      </c>
      <c r="I2379" s="23" t="n">
        <v>240000</v>
      </c>
      <c r="J2379" s="20" t="inlineStr">
        <is>
          <t>Khivraj Motor</t>
        </is>
      </c>
      <c r="K2379" s="20" t="inlineStr">
        <is>
          <t>Non-Captive</t>
        </is>
      </c>
      <c r="L2379" s="20" t="inlineStr">
        <is>
          <t>NIrmal Cars</t>
        </is>
      </c>
      <c r="M2379" s="23" t="n">
        <v>4237.29</v>
      </c>
      <c r="N2379" s="23" t="n">
        <v>5000</v>
      </c>
      <c r="O2379" s="24">
        <f>IF(AND(ISNUMBER(M2379), ISNUMBER(I2379), I2379&gt;0), M2379/I2379, "")</f>
        <v/>
      </c>
    </row>
    <row r="2380">
      <c r="A2380" s="19" t="inlineStr">
        <is>
          <t>FY27</t>
        </is>
      </c>
      <c r="B2380" s="19" t="inlineStr">
        <is>
          <t>Jun</t>
        </is>
      </c>
      <c r="C2380" s="19" t="inlineStr">
        <is>
          <t>TN</t>
        </is>
      </c>
      <c r="D2380" s="20" t="inlineStr">
        <is>
          <t>TN01AR5567</t>
        </is>
      </c>
      <c r="E2380" s="20" t="inlineStr">
        <is>
          <t>MARUTI SUZUKI</t>
        </is>
      </c>
      <c r="F2380" s="20" t="inlineStr">
        <is>
          <t>Wagon R</t>
        </is>
      </c>
      <c r="G2380" s="21" t="n">
        <v>2012</v>
      </c>
      <c r="H2380" s="22" t="n">
        <v>63599</v>
      </c>
      <c r="I2380" s="23" t="n">
        <v>240000</v>
      </c>
      <c r="J2380" s="20" t="inlineStr">
        <is>
          <t>A A CARS</t>
        </is>
      </c>
      <c r="K2380" s="20" t="inlineStr">
        <is>
          <t>Non-Captive</t>
        </is>
      </c>
      <c r="L2380" s="20" t="inlineStr">
        <is>
          <t>NIrmal Cars</t>
        </is>
      </c>
      <c r="M2380" s="23" t="n">
        <v>4237.29</v>
      </c>
      <c r="N2380" s="23" t="n">
        <v>5000</v>
      </c>
      <c r="O2380" s="24">
        <f>IF(AND(ISNUMBER(M2380), ISNUMBER(I2380), I2380&gt;0), M2380/I2380, "")</f>
        <v/>
      </c>
    </row>
    <row r="2381">
      <c r="A2381" s="19" t="inlineStr">
        <is>
          <t>FY27</t>
        </is>
      </c>
      <c r="B2381" s="19" t="inlineStr">
        <is>
          <t>Jun</t>
        </is>
      </c>
      <c r="C2381" s="19" t="inlineStr">
        <is>
          <t>TN</t>
        </is>
      </c>
      <c r="D2381" s="20" t="inlineStr">
        <is>
          <t>TN43D6234</t>
        </is>
      </c>
      <c r="E2381" s="20" t="inlineStr">
        <is>
          <t>HYUNDAI</t>
        </is>
      </c>
      <c r="F2381" s="20" t="inlineStr">
        <is>
          <t>I20</t>
        </is>
      </c>
      <c r="G2381" s="21" t="n">
        <v>2011</v>
      </c>
      <c r="H2381" s="22" t="n">
        <v>107361</v>
      </c>
      <c r="I2381" s="23" t="n">
        <v>240000</v>
      </c>
      <c r="J2381" s="20" t="inlineStr">
        <is>
          <t>LANSON QCARS PRIVATE LIMITED</t>
        </is>
      </c>
      <c r="K2381" s="20" t="inlineStr">
        <is>
          <t>Non-Captive</t>
        </is>
      </c>
      <c r="L2381" s="20" t="inlineStr">
        <is>
          <t>NIrmal Cars</t>
        </is>
      </c>
      <c r="M2381" s="23" t="n">
        <v>4237.29</v>
      </c>
      <c r="N2381" s="23" t="n">
        <v>5000</v>
      </c>
      <c r="O2381" s="24">
        <f>IF(AND(ISNUMBER(M2381), ISNUMBER(I2381), I2381&gt;0), M2381/I2381, "")</f>
        <v/>
      </c>
    </row>
    <row r="2382">
      <c r="A2382" s="19" t="inlineStr">
        <is>
          <t>FY27</t>
        </is>
      </c>
      <c r="B2382" s="19" t="inlineStr">
        <is>
          <t>Jun</t>
        </is>
      </c>
      <c r="C2382" s="19" t="inlineStr">
        <is>
          <t>TN</t>
        </is>
      </c>
      <c r="D2382" s="20" t="inlineStr">
        <is>
          <t>TN09CE7367</t>
        </is>
      </c>
      <c r="E2382" s="20" t="inlineStr">
        <is>
          <t>RENAULT</t>
        </is>
      </c>
      <c r="F2382" s="20" t="inlineStr">
        <is>
          <t>Kwid</t>
        </is>
      </c>
      <c r="G2382" s="21" t="n">
        <v>2016</v>
      </c>
      <c r="H2382" s="22" t="n">
        <v>60566</v>
      </c>
      <c r="I2382" s="23" t="n">
        <v>230000</v>
      </c>
      <c r="J2382" s="20" t="inlineStr">
        <is>
          <t>AIE CARS PRIVATE LIMITED</t>
        </is>
      </c>
      <c r="K2382" s="20" t="inlineStr">
        <is>
          <t>Non-Captive</t>
        </is>
      </c>
      <c r="L2382" s="20" t="inlineStr">
        <is>
          <t>NIrmal Cars</t>
        </is>
      </c>
      <c r="M2382" s="23" t="n">
        <v>4237.29</v>
      </c>
      <c r="N2382" s="23" t="n">
        <v>5000</v>
      </c>
      <c r="O2382" s="24">
        <f>IF(AND(ISNUMBER(M2382), ISNUMBER(I2382), I2382&gt;0), M2382/I2382, "")</f>
        <v/>
      </c>
    </row>
    <row r="2383">
      <c r="A2383" s="19" t="inlineStr">
        <is>
          <t>FY27</t>
        </is>
      </c>
      <c r="B2383" s="19" t="inlineStr">
        <is>
          <t>Jun</t>
        </is>
      </c>
      <c r="C2383" s="19" t="inlineStr">
        <is>
          <t>TN</t>
        </is>
      </c>
      <c r="D2383" s="20" t="inlineStr">
        <is>
          <t>TN06U0842</t>
        </is>
      </c>
      <c r="E2383" s="20" t="inlineStr">
        <is>
          <t>HYUNDAI</t>
        </is>
      </c>
      <c r="F2383" s="20" t="inlineStr">
        <is>
          <t>Eon</t>
        </is>
      </c>
      <c r="G2383" s="21" t="n">
        <v>2017</v>
      </c>
      <c r="H2383" s="22" t="n">
        <v>56449</v>
      </c>
      <c r="I2383" s="23" t="n">
        <v>230000</v>
      </c>
      <c r="J2383" s="20" t="inlineStr">
        <is>
          <t>Castel Traders Honda</t>
        </is>
      </c>
      <c r="K2383" s="20" t="inlineStr">
        <is>
          <t>Non-Captive</t>
        </is>
      </c>
      <c r="L2383" s="20" t="inlineStr">
        <is>
          <t>NIrmal Cars</t>
        </is>
      </c>
      <c r="M2383" s="23" t="n">
        <v>4237.29</v>
      </c>
      <c r="N2383" s="23" t="n">
        <v>5000</v>
      </c>
      <c r="O2383" s="24">
        <f>IF(AND(ISNUMBER(M2383), ISNUMBER(I2383), I2383&gt;0), M2383/I2383, "")</f>
        <v/>
      </c>
    </row>
    <row r="2384">
      <c r="A2384" s="19" t="inlineStr">
        <is>
          <t>FY27</t>
        </is>
      </c>
      <c r="B2384" s="19" t="inlineStr">
        <is>
          <t>Jun</t>
        </is>
      </c>
      <c r="C2384" s="19" t="inlineStr">
        <is>
          <t>TN</t>
        </is>
      </c>
      <c r="D2384" s="20" t="inlineStr">
        <is>
          <t>TN01BB5428</t>
        </is>
      </c>
      <c r="E2384" s="20" t="inlineStr">
        <is>
          <t>RENAULT</t>
        </is>
      </c>
      <c r="F2384" s="20" t="inlineStr">
        <is>
          <t>Kwid</t>
        </is>
      </c>
      <c r="G2384" s="21" t="n">
        <v>2016</v>
      </c>
      <c r="H2384" s="22" t="n">
        <v>49938</v>
      </c>
      <c r="I2384" s="23" t="n">
        <v>230000</v>
      </c>
      <c r="J2384" s="20" t="inlineStr">
        <is>
          <t>Khivraj Motor</t>
        </is>
      </c>
      <c r="K2384" s="20" t="inlineStr">
        <is>
          <t>Non-Captive</t>
        </is>
      </c>
      <c r="L2384" s="20" t="inlineStr">
        <is>
          <t>NIrmal Cars</t>
        </is>
      </c>
      <c r="M2384" s="23" t="n">
        <v>4237.29</v>
      </c>
      <c r="N2384" s="23" t="n">
        <v>5000</v>
      </c>
      <c r="O2384" s="24">
        <f>IF(AND(ISNUMBER(M2384), ISNUMBER(I2384), I2384&gt;0), M2384/I2384, "")</f>
        <v/>
      </c>
    </row>
    <row r="2385">
      <c r="A2385" s="19" t="inlineStr">
        <is>
          <t>FY27</t>
        </is>
      </c>
      <c r="B2385" s="19" t="inlineStr">
        <is>
          <t>Jun</t>
        </is>
      </c>
      <c r="C2385" s="19" t="inlineStr">
        <is>
          <t>TN</t>
        </is>
      </c>
      <c r="D2385" s="20" t="inlineStr">
        <is>
          <t>TN09BL3844</t>
        </is>
      </c>
      <c r="E2385" s="20" t="inlineStr">
        <is>
          <t>FORD</t>
        </is>
      </c>
      <c r="F2385" s="20" t="inlineStr">
        <is>
          <t>Fiesta</t>
        </is>
      </c>
      <c r="G2385" s="21" t="n">
        <v>2011</v>
      </c>
      <c r="H2385" s="22" t="n">
        <v>77118</v>
      </c>
      <c r="I2385" s="23" t="n">
        <v>225000</v>
      </c>
      <c r="J2385" s="20" t="inlineStr">
        <is>
          <t>Khivraj Motor</t>
        </is>
      </c>
      <c r="K2385" s="20" t="inlineStr">
        <is>
          <t>Non-Captive</t>
        </is>
      </c>
      <c r="L2385" s="20" t="inlineStr">
        <is>
          <t>NIrmal Cars</t>
        </is>
      </c>
      <c r="M2385" s="23" t="n">
        <v>4237.29</v>
      </c>
      <c r="N2385" s="23" t="n">
        <v>5000</v>
      </c>
      <c r="O2385" s="24">
        <f>IF(AND(ISNUMBER(M2385), ISNUMBER(I2385), I2385&gt;0), M2385/I2385, "")</f>
        <v/>
      </c>
    </row>
    <row r="2386">
      <c r="A2386" s="19" t="inlineStr">
        <is>
          <t>FY27</t>
        </is>
      </c>
      <c r="B2386" s="19" t="inlineStr">
        <is>
          <t>Jun</t>
        </is>
      </c>
      <c r="C2386" s="19" t="inlineStr">
        <is>
          <t>TN</t>
        </is>
      </c>
      <c r="D2386" s="20" t="inlineStr">
        <is>
          <t>TN20CF7059</t>
        </is>
      </c>
      <c r="E2386" s="20" t="inlineStr">
        <is>
          <t>MARUTI SUZUKI</t>
        </is>
      </c>
      <c r="F2386" s="20" t="inlineStr">
        <is>
          <t>Alto</t>
        </is>
      </c>
      <c r="G2386" s="21" t="n">
        <v>2015</v>
      </c>
      <c r="H2386" s="22" t="n">
        <v>124952</v>
      </c>
      <c r="I2386" s="23" t="n">
        <v>225000</v>
      </c>
      <c r="J2386" s="20" t="inlineStr">
        <is>
          <t>Khivraj Motor</t>
        </is>
      </c>
      <c r="K2386" s="20" t="inlineStr">
        <is>
          <t>Non-Captive</t>
        </is>
      </c>
      <c r="L2386" s="20" t="inlineStr">
        <is>
          <t>NIrmal Cars</t>
        </is>
      </c>
      <c r="M2386" s="23" t="n">
        <v>4237.29</v>
      </c>
      <c r="N2386" s="23" t="n">
        <v>5000</v>
      </c>
      <c r="O2386" s="24">
        <f>IF(AND(ISNUMBER(M2386), ISNUMBER(I2386), I2386&gt;0), M2386/I2386, "")</f>
        <v/>
      </c>
    </row>
    <row r="2387">
      <c r="A2387" s="19" t="inlineStr">
        <is>
          <t>FY27</t>
        </is>
      </c>
      <c r="B2387" s="19" t="inlineStr">
        <is>
          <t>Jun</t>
        </is>
      </c>
      <c r="C2387" s="19" t="inlineStr">
        <is>
          <t>TN</t>
        </is>
      </c>
      <c r="D2387" s="20" t="inlineStr">
        <is>
          <t>TN05BF4413</t>
        </is>
      </c>
      <c r="E2387" s="20" t="inlineStr">
        <is>
          <t>MARUTI SUZUKI</t>
        </is>
      </c>
      <c r="F2387" s="20" t="inlineStr">
        <is>
          <t>Alto</t>
        </is>
      </c>
      <c r="G2387" s="21" t="n">
        <v>2016</v>
      </c>
      <c r="H2387" s="22" t="n">
        <v>59960</v>
      </c>
      <c r="I2387" s="23" t="n">
        <v>225000</v>
      </c>
      <c r="J2387" s="20" t="inlineStr">
        <is>
          <t>Cresco cars</t>
        </is>
      </c>
      <c r="K2387" s="20" t="inlineStr">
        <is>
          <t>Non-Captive</t>
        </is>
      </c>
      <c r="L2387" s="20" t="inlineStr">
        <is>
          <t>NIrmal Cars</t>
        </is>
      </c>
      <c r="M2387" s="23" t="n">
        <v>4237.29</v>
      </c>
      <c r="N2387" s="23" t="n">
        <v>5000</v>
      </c>
      <c r="O2387" s="24">
        <f>IF(AND(ISNUMBER(M2387), ISNUMBER(I2387), I2387&gt;0), M2387/I2387, "")</f>
        <v/>
      </c>
    </row>
    <row r="2388">
      <c r="A2388" s="19" t="inlineStr">
        <is>
          <t>FY27</t>
        </is>
      </c>
      <c r="B2388" s="19" t="inlineStr">
        <is>
          <t>Jun</t>
        </is>
      </c>
      <c r="C2388" s="19" t="inlineStr">
        <is>
          <t>TN</t>
        </is>
      </c>
      <c r="D2388" s="20" t="inlineStr">
        <is>
          <t>TN18T3119</t>
        </is>
      </c>
      <c r="E2388" s="20" t="inlineStr">
        <is>
          <t>NISSAN</t>
        </is>
      </c>
      <c r="F2388" s="20" t="inlineStr">
        <is>
          <t>Micra</t>
        </is>
      </c>
      <c r="G2388" s="21" t="n">
        <v>2013</v>
      </c>
      <c r="H2388" s="22" t="n">
        <v>44184</v>
      </c>
      <c r="I2388" s="23" t="n">
        <v>220000</v>
      </c>
      <c r="J2388" s="20" t="inlineStr">
        <is>
          <t>Khivraj Motor</t>
        </is>
      </c>
      <c r="K2388" s="20" t="inlineStr">
        <is>
          <t>Non-Captive</t>
        </is>
      </c>
      <c r="L2388" s="20" t="inlineStr">
        <is>
          <t>NIrmal Cars</t>
        </is>
      </c>
      <c r="M2388" s="23" t="n">
        <v>4237.29</v>
      </c>
      <c r="N2388" s="23" t="n">
        <v>5000</v>
      </c>
      <c r="O2388" s="24">
        <f>IF(AND(ISNUMBER(M2388), ISNUMBER(I2388), I2388&gt;0), M2388/I2388, "")</f>
        <v/>
      </c>
    </row>
    <row r="2389">
      <c r="A2389" s="19" t="inlineStr">
        <is>
          <t>FY27</t>
        </is>
      </c>
      <c r="B2389" s="19" t="inlineStr">
        <is>
          <t>Jun</t>
        </is>
      </c>
      <c r="C2389" s="19" t="inlineStr">
        <is>
          <t>TN</t>
        </is>
      </c>
      <c r="D2389" s="20" t="inlineStr">
        <is>
          <t>TN12R5205</t>
        </is>
      </c>
      <c r="E2389" s="20" t="inlineStr">
        <is>
          <t>MAHINDRA</t>
        </is>
      </c>
      <c r="F2389" s="20" t="inlineStr">
        <is>
          <t>Kuv100</t>
        </is>
      </c>
      <c r="G2389" s="21" t="n">
        <v>2016</v>
      </c>
      <c r="H2389" s="22" t="n">
        <v>87242</v>
      </c>
      <c r="I2389" s="23" t="n">
        <v>210000</v>
      </c>
      <c r="J2389" s="20" t="inlineStr">
        <is>
          <t>Khivraj Motor</t>
        </is>
      </c>
      <c r="K2389" s="20" t="inlineStr">
        <is>
          <t>Non-Captive</t>
        </is>
      </c>
      <c r="L2389" s="20" t="inlineStr">
        <is>
          <t>NIrmal Cars</t>
        </is>
      </c>
      <c r="M2389" s="23" t="n">
        <v>4237.29</v>
      </c>
      <c r="N2389" s="23" t="n">
        <v>5000</v>
      </c>
      <c r="O2389" s="24">
        <f>IF(AND(ISNUMBER(M2389), ISNUMBER(I2389), I2389&gt;0), M2389/I2389, "")</f>
        <v/>
      </c>
    </row>
    <row r="2390">
      <c r="A2390" s="19" t="inlineStr">
        <is>
          <t>FY27</t>
        </is>
      </c>
      <c r="B2390" s="19" t="inlineStr">
        <is>
          <t>Jun</t>
        </is>
      </c>
      <c r="C2390" s="19" t="inlineStr">
        <is>
          <t>TN</t>
        </is>
      </c>
      <c r="D2390" s="20" t="inlineStr">
        <is>
          <t>TN11AE9733</t>
        </is>
      </c>
      <c r="E2390" s="20" t="inlineStr">
        <is>
          <t>MAHINDRA</t>
        </is>
      </c>
      <c r="F2390" s="20" t="inlineStr">
        <is>
          <t>Xylo</t>
        </is>
      </c>
      <c r="G2390" s="21" t="n">
        <v>2018</v>
      </c>
      <c r="H2390" s="22" t="n">
        <v>99999</v>
      </c>
      <c r="I2390" s="23" t="n">
        <v>200000</v>
      </c>
      <c r="J2390" s="20" t="inlineStr">
        <is>
          <t>ABT LIMITED</t>
        </is>
      </c>
      <c r="K2390" s="20" t="inlineStr">
        <is>
          <t>Non-Captive</t>
        </is>
      </c>
      <c r="L2390" s="20" t="inlineStr">
        <is>
          <t>NIrmal Cars</t>
        </is>
      </c>
      <c r="M2390" s="23" t="n">
        <v>4237.29</v>
      </c>
      <c r="N2390" s="23" t="n">
        <v>5000</v>
      </c>
      <c r="O2390" s="24">
        <f>IF(AND(ISNUMBER(M2390), ISNUMBER(I2390), I2390&gt;0), M2390/I2390, "")</f>
        <v/>
      </c>
    </row>
    <row r="2391">
      <c r="A2391" s="19" t="inlineStr">
        <is>
          <t>FY27</t>
        </is>
      </c>
      <c r="B2391" s="19" t="inlineStr">
        <is>
          <t>Jun</t>
        </is>
      </c>
      <c r="C2391" s="19" t="inlineStr">
        <is>
          <t>TN</t>
        </is>
      </c>
      <c r="D2391" s="20" t="inlineStr">
        <is>
          <t>TN10AV4573</t>
        </is>
      </c>
      <c r="E2391" s="20" t="inlineStr">
        <is>
          <t>FIAT</t>
        </is>
      </c>
      <c r="F2391" s="20" t="inlineStr">
        <is>
          <t>Grand Punto</t>
        </is>
      </c>
      <c r="G2391" s="21" t="n">
        <v>2016</v>
      </c>
      <c r="H2391" s="22" t="n">
        <v>255353</v>
      </c>
      <c r="I2391" s="23" t="n">
        <v>200000</v>
      </c>
      <c r="J2391" s="20" t="inlineStr">
        <is>
          <t>Khivraj Motor</t>
        </is>
      </c>
      <c r="K2391" s="20" t="inlineStr">
        <is>
          <t>Non-Captive</t>
        </is>
      </c>
      <c r="L2391" s="20" t="inlineStr">
        <is>
          <t>NIrmal Cars</t>
        </is>
      </c>
      <c r="M2391" s="23" t="n">
        <v>4237.29</v>
      </c>
      <c r="N2391" s="23" t="n">
        <v>5000</v>
      </c>
      <c r="O2391" s="24">
        <f>IF(AND(ISNUMBER(M2391), ISNUMBER(I2391), I2391&gt;0), M2391/I2391, "")</f>
        <v/>
      </c>
    </row>
    <row r="2392">
      <c r="A2392" s="19" t="inlineStr">
        <is>
          <t>FY27</t>
        </is>
      </c>
      <c r="B2392" s="19" t="inlineStr">
        <is>
          <t>Jun</t>
        </is>
      </c>
      <c r="C2392" s="19" t="inlineStr">
        <is>
          <t>TN</t>
        </is>
      </c>
      <c r="D2392" s="20" t="inlineStr">
        <is>
          <t>TN30AQ5595</t>
        </is>
      </c>
      <c r="E2392" s="20" t="inlineStr">
        <is>
          <t>HYUNDAI</t>
        </is>
      </c>
      <c r="F2392" s="20" t="inlineStr">
        <is>
          <t>Eon</t>
        </is>
      </c>
      <c r="G2392" s="21" t="n">
        <v>2012</v>
      </c>
      <c r="H2392" s="22" t="n">
        <v>68974</v>
      </c>
      <c r="I2392" s="23" t="n">
        <v>200000</v>
      </c>
      <c r="J2392" s="20" t="inlineStr">
        <is>
          <t>THIRIVENI CARS</t>
        </is>
      </c>
      <c r="K2392" s="20" t="inlineStr">
        <is>
          <t>Non-Captive</t>
        </is>
      </c>
      <c r="L2392" s="20" t="inlineStr">
        <is>
          <t>NIrmal Cars</t>
        </is>
      </c>
      <c r="M2392" s="23" t="n">
        <v>4237.29</v>
      </c>
      <c r="N2392" s="23" t="n">
        <v>5000</v>
      </c>
      <c r="O2392" s="24">
        <f>IF(AND(ISNUMBER(M2392), ISNUMBER(I2392), I2392&gt;0), M2392/I2392, "")</f>
        <v/>
      </c>
    </row>
    <row r="2393">
      <c r="A2393" s="19" t="inlineStr">
        <is>
          <t>FY27</t>
        </is>
      </c>
      <c r="B2393" s="19" t="inlineStr">
        <is>
          <t>Jun</t>
        </is>
      </c>
      <c r="C2393" s="19" t="inlineStr">
        <is>
          <t>TN</t>
        </is>
      </c>
      <c r="D2393" s="20" t="inlineStr">
        <is>
          <t>TN10AJ2140</t>
        </is>
      </c>
      <c r="E2393" s="20" t="inlineStr">
        <is>
          <t>HYUNDAI</t>
        </is>
      </c>
      <c r="F2393" s="20" t="inlineStr">
        <is>
          <t>I10</t>
        </is>
      </c>
      <c r="G2393" s="21" t="n">
        <v>2012</v>
      </c>
      <c r="H2393" s="22" t="n">
        <v>107488</v>
      </c>
      <c r="I2393" s="23" t="n">
        <v>200000</v>
      </c>
      <c r="J2393" s="20" t="inlineStr">
        <is>
          <t>Khivraj Motor</t>
        </is>
      </c>
      <c r="K2393" s="20" t="inlineStr">
        <is>
          <t>Non-Captive</t>
        </is>
      </c>
      <c r="L2393" s="20" t="inlineStr">
        <is>
          <t>NIrmal Cars</t>
        </is>
      </c>
      <c r="M2393" s="23" t="n">
        <v>4237.29</v>
      </c>
      <c r="N2393" s="23" t="n">
        <v>5000</v>
      </c>
      <c r="O2393" s="24">
        <f>IF(AND(ISNUMBER(M2393), ISNUMBER(I2393), I2393&gt;0), M2393/I2393, "")</f>
        <v/>
      </c>
    </row>
    <row r="2394">
      <c r="A2394" s="19" t="inlineStr">
        <is>
          <t>FY27</t>
        </is>
      </c>
      <c r="B2394" s="19" t="inlineStr">
        <is>
          <t>Jun</t>
        </is>
      </c>
      <c r="C2394" s="19" t="inlineStr">
        <is>
          <t>TN</t>
        </is>
      </c>
      <c r="D2394" s="20" t="inlineStr">
        <is>
          <t>TN02BC4150</t>
        </is>
      </c>
      <c r="E2394" s="20" t="inlineStr">
        <is>
          <t>HYUNDAI</t>
        </is>
      </c>
      <c r="F2394" s="20" t="inlineStr">
        <is>
          <t>Eon</t>
        </is>
      </c>
      <c r="G2394" s="21" t="n">
        <v>2015</v>
      </c>
      <c r="H2394" s="22" t="n">
        <v>67535</v>
      </c>
      <c r="I2394" s="23" t="n">
        <v>190000</v>
      </c>
      <c r="J2394" s="20" t="inlineStr">
        <is>
          <t>THIRIVENI CARS</t>
        </is>
      </c>
      <c r="K2394" s="20" t="inlineStr">
        <is>
          <t>Non-Captive</t>
        </is>
      </c>
      <c r="L2394" s="20" t="inlineStr">
        <is>
          <t>NIrmal Cars</t>
        </is>
      </c>
      <c r="M2394" s="23" t="n">
        <v>4237.29</v>
      </c>
      <c r="N2394" s="23" t="n">
        <v>5000</v>
      </c>
      <c r="O2394" s="24">
        <f>IF(AND(ISNUMBER(M2394), ISNUMBER(I2394), I2394&gt;0), M2394/I2394, "")</f>
        <v/>
      </c>
    </row>
    <row r="2395">
      <c r="A2395" s="19" t="inlineStr">
        <is>
          <t>FY27</t>
        </is>
      </c>
      <c r="B2395" s="19" t="inlineStr">
        <is>
          <t>Jun</t>
        </is>
      </c>
      <c r="C2395" s="19" t="inlineStr">
        <is>
          <t>TN</t>
        </is>
      </c>
      <c r="D2395" s="20" t="inlineStr">
        <is>
          <t>TN92A7006</t>
        </is>
      </c>
      <c r="E2395" s="20" t="inlineStr">
        <is>
          <t>DATSUN</t>
        </is>
      </c>
      <c r="F2395" s="20" t="inlineStr">
        <is>
          <t>Redi-Go</t>
        </is>
      </c>
      <c r="G2395" s="21" t="n">
        <v>2016</v>
      </c>
      <c r="H2395" s="22" t="n">
        <v>95664</v>
      </c>
      <c r="I2395" s="23" t="n">
        <v>190000</v>
      </c>
      <c r="J2395" s="20" t="inlineStr">
        <is>
          <t>THIRIVENI CARS</t>
        </is>
      </c>
      <c r="K2395" s="20" t="inlineStr">
        <is>
          <t>Non-Captive</t>
        </is>
      </c>
      <c r="L2395" s="20" t="inlineStr">
        <is>
          <t>NIrmal Cars</t>
        </is>
      </c>
      <c r="M2395" s="23" t="n">
        <v>4237.29</v>
      </c>
      <c r="N2395" s="23" t="n">
        <v>5000</v>
      </c>
      <c r="O2395" s="24">
        <f>IF(AND(ISNUMBER(M2395), ISNUMBER(I2395), I2395&gt;0), M2395/I2395, "")</f>
        <v/>
      </c>
    </row>
    <row r="2396">
      <c r="A2396" s="19" t="inlineStr">
        <is>
          <t>FY27</t>
        </is>
      </c>
      <c r="B2396" s="19" t="inlineStr">
        <is>
          <t>Jun</t>
        </is>
      </c>
      <c r="C2396" s="19" t="inlineStr">
        <is>
          <t>TN</t>
        </is>
      </c>
      <c r="D2396" s="20" t="inlineStr">
        <is>
          <t>TN138676</t>
        </is>
      </c>
      <c r="E2396" s="20" t="inlineStr">
        <is>
          <t>MARUTI SUZUKI</t>
        </is>
      </c>
      <c r="F2396" s="20" t="inlineStr">
        <is>
          <t>Alto</t>
        </is>
      </c>
      <c r="G2396" s="21" t="n">
        <v>2014</v>
      </c>
      <c r="H2396" s="22" t="n">
        <v>28064</v>
      </c>
      <c r="I2396" s="23" t="n">
        <v>180000</v>
      </c>
      <c r="J2396" s="20" t="inlineStr">
        <is>
          <t>Khivraj Motor</t>
        </is>
      </c>
      <c r="K2396" s="20" t="inlineStr">
        <is>
          <t>Non-Captive</t>
        </is>
      </c>
      <c r="L2396" s="20" t="inlineStr">
        <is>
          <t>NIrmal Cars</t>
        </is>
      </c>
      <c r="M2396" s="23" t="n">
        <v>4237.29</v>
      </c>
      <c r="N2396" s="23" t="n">
        <v>5000</v>
      </c>
      <c r="O2396" s="24">
        <f>IF(AND(ISNUMBER(M2396), ISNUMBER(I2396), I2396&gt;0), M2396/I2396, "")</f>
        <v/>
      </c>
    </row>
    <row r="2397">
      <c r="A2397" s="19" t="inlineStr">
        <is>
          <t>FY27</t>
        </is>
      </c>
      <c r="B2397" s="19" t="inlineStr">
        <is>
          <t>Jun</t>
        </is>
      </c>
      <c r="C2397" s="19" t="inlineStr">
        <is>
          <t>TN</t>
        </is>
      </c>
      <c r="D2397" s="20" t="inlineStr">
        <is>
          <t>TN420909</t>
        </is>
      </c>
      <c r="E2397" s="20" t="inlineStr">
        <is>
          <t>SKODA</t>
        </is>
      </c>
      <c r="F2397" s="20" t="inlineStr">
        <is>
          <t>Fabia</t>
        </is>
      </c>
      <c r="G2397" s="21" t="n">
        <v>2008</v>
      </c>
      <c r="H2397" s="22" t="n">
        <v>290501</v>
      </c>
      <c r="I2397" s="23" t="n">
        <v>170000</v>
      </c>
      <c r="J2397" s="20" t="inlineStr">
        <is>
          <t>THIRIVENI CARS</t>
        </is>
      </c>
      <c r="K2397" s="20" t="inlineStr">
        <is>
          <t>Non-Captive</t>
        </is>
      </c>
      <c r="L2397" s="20" t="inlineStr">
        <is>
          <t>NIrmal Cars</t>
        </is>
      </c>
      <c r="M2397" s="23" t="n">
        <v>4237.29</v>
      </c>
      <c r="N2397" s="23" t="n">
        <v>5000</v>
      </c>
      <c r="O2397" s="24">
        <f>IF(AND(ISNUMBER(M2397), ISNUMBER(I2397), I2397&gt;0), M2397/I2397, "")</f>
        <v/>
      </c>
    </row>
    <row r="2398">
      <c r="A2398" s="19" t="inlineStr">
        <is>
          <t>FY27</t>
        </is>
      </c>
      <c r="B2398" s="19" t="inlineStr">
        <is>
          <t>Jun</t>
        </is>
      </c>
      <c r="C2398" s="19" t="inlineStr">
        <is>
          <t>TN</t>
        </is>
      </c>
      <c r="D2398" s="20" t="inlineStr">
        <is>
          <t>TN52L9882</t>
        </is>
      </c>
      <c r="E2398" s="20" t="inlineStr">
        <is>
          <t>MARUTI SUZUKI</t>
        </is>
      </c>
      <c r="F2398" s="20" t="inlineStr">
        <is>
          <t>Omni</t>
        </is>
      </c>
      <c r="G2398" s="21" t="n">
        <v>2017</v>
      </c>
      <c r="H2398" s="22" t="n">
        <v>127939</v>
      </c>
      <c r="I2398" s="23" t="n">
        <v>160000</v>
      </c>
      <c r="J2398" s="20" t="inlineStr">
        <is>
          <t>THIRIVENI CARS</t>
        </is>
      </c>
      <c r="K2398" s="20" t="inlineStr">
        <is>
          <t>Non-Captive</t>
        </is>
      </c>
      <c r="L2398" s="20" t="inlineStr">
        <is>
          <t>NIrmal Cars</t>
        </is>
      </c>
      <c r="M2398" s="23" t="n">
        <v>4237.29</v>
      </c>
      <c r="N2398" s="23" t="n">
        <v>5000</v>
      </c>
      <c r="O2398" s="24">
        <f>IF(AND(ISNUMBER(M2398), ISNUMBER(I2398), I2398&gt;0), M2398/I2398, "")</f>
        <v/>
      </c>
    </row>
    <row r="2399">
      <c r="A2399" s="19" t="inlineStr">
        <is>
          <t>FY27</t>
        </is>
      </c>
      <c r="B2399" s="19" t="inlineStr">
        <is>
          <t>Jun</t>
        </is>
      </c>
      <c r="C2399" s="19" t="inlineStr">
        <is>
          <t>TN</t>
        </is>
      </c>
      <c r="D2399" s="20" t="inlineStr">
        <is>
          <t>TN14AD1585</t>
        </is>
      </c>
      <c r="E2399" s="20" t="inlineStr">
        <is>
          <t>CITROEN</t>
        </is>
      </c>
      <c r="F2399" s="20" t="inlineStr">
        <is>
          <t>C3</t>
        </is>
      </c>
      <c r="G2399" s="21" t="n">
        <v>2022</v>
      </c>
      <c r="H2399" s="22" t="n">
        <v>32987</v>
      </c>
      <c r="I2399" s="23" t="n">
        <v>400000</v>
      </c>
      <c r="J2399" s="20" t="inlineStr">
        <is>
          <t>Santhosh</t>
        </is>
      </c>
      <c r="K2399" s="20" t="inlineStr">
        <is>
          <t>Non-Captive</t>
        </is>
      </c>
      <c r="L2399" s="20" t="inlineStr">
        <is>
          <t>NIrmal Cars</t>
        </is>
      </c>
      <c r="M2399" s="23" t="n">
        <v>4237.29</v>
      </c>
      <c r="N2399" s="23" t="n">
        <v>5000</v>
      </c>
      <c r="O2399" s="24">
        <f>IF(AND(ISNUMBER(M2399), ISNUMBER(I2399), I2399&gt;0), M2399/I2399, "")</f>
        <v/>
      </c>
    </row>
    <row r="2400">
      <c r="A2400" s="19" t="inlineStr">
        <is>
          <t>FY27</t>
        </is>
      </c>
      <c r="B2400" s="19" t="inlineStr">
        <is>
          <t>Jun</t>
        </is>
      </c>
      <c r="C2400" s="19" t="inlineStr">
        <is>
          <t>TN</t>
        </is>
      </c>
      <c r="D2400" s="20" t="inlineStr">
        <is>
          <t>TN14AD1686</t>
        </is>
      </c>
      <c r="E2400" s="20" t="inlineStr">
        <is>
          <t>CITROEN</t>
        </is>
      </c>
      <c r="F2400" s="20" t="inlineStr">
        <is>
          <t>C3</t>
        </is>
      </c>
      <c r="G2400" s="21" t="n">
        <v>2022</v>
      </c>
      <c r="H2400" s="22" t="n">
        <v>435679</v>
      </c>
      <c r="I2400" s="23" t="n">
        <v>380000</v>
      </c>
      <c r="J2400" s="20" t="inlineStr">
        <is>
          <t>Santhosh</t>
        </is>
      </c>
      <c r="K2400" s="20" t="inlineStr">
        <is>
          <t>Non-Captive</t>
        </is>
      </c>
      <c r="L2400" s="20" t="inlineStr">
        <is>
          <t>NIrmal Cars</t>
        </is>
      </c>
      <c r="M2400" s="23" t="n">
        <v>4237.29</v>
      </c>
      <c r="N2400" s="23" t="n">
        <v>5000</v>
      </c>
      <c r="O2400" s="24">
        <f>IF(AND(ISNUMBER(M2400), ISNUMBER(I2400), I2400&gt;0), M2400/I2400, "")</f>
        <v/>
      </c>
    </row>
    <row r="2401">
      <c r="A2401" s="19" t="inlineStr">
        <is>
          <t>FY27</t>
        </is>
      </c>
      <c r="B2401" s="19" t="inlineStr">
        <is>
          <t>Jun</t>
        </is>
      </c>
      <c r="C2401" s="19" t="inlineStr">
        <is>
          <t>TN</t>
        </is>
      </c>
      <c r="D2401" s="20" t="inlineStr">
        <is>
          <t>TN14AD1665</t>
        </is>
      </c>
      <c r="E2401" s="20" t="inlineStr">
        <is>
          <t>CITROEN</t>
        </is>
      </c>
      <c r="F2401" s="20" t="inlineStr">
        <is>
          <t>C3</t>
        </is>
      </c>
      <c r="G2401" s="21" t="n">
        <v>2022</v>
      </c>
      <c r="H2401" s="22" t="n">
        <v>217865</v>
      </c>
      <c r="I2401" s="23" t="n">
        <v>200000</v>
      </c>
      <c r="J2401" s="20" t="inlineStr">
        <is>
          <t>Santhosh</t>
        </is>
      </c>
      <c r="K2401" s="20" t="inlineStr">
        <is>
          <t>Non-Captive</t>
        </is>
      </c>
      <c r="L2401" s="20" t="inlineStr">
        <is>
          <t>NIrmal Cars</t>
        </is>
      </c>
      <c r="M2401" s="23" t="n">
        <v>4237.29</v>
      </c>
      <c r="N2401" s="23" t="n">
        <v>5000</v>
      </c>
      <c r="O2401" s="24">
        <f>IF(AND(ISNUMBER(M2401), ISNUMBER(I2401), I2401&gt;0), M2401/I2401, "")</f>
        <v/>
      </c>
    </row>
    <row r="2402">
      <c r="A2402" s="19" t="inlineStr">
        <is>
          <t>FY27</t>
        </is>
      </c>
      <c r="B2402" s="19" t="inlineStr">
        <is>
          <t>Jun</t>
        </is>
      </c>
      <c r="C2402" s="19" t="inlineStr">
        <is>
          <t>TN</t>
        </is>
      </c>
      <c r="D2402" s="20" t="inlineStr">
        <is>
          <t>TN14AD1623</t>
        </is>
      </c>
      <c r="E2402" s="20" t="inlineStr">
        <is>
          <t>CITROEN</t>
        </is>
      </c>
      <c r="F2402" s="20" t="inlineStr">
        <is>
          <t>C3</t>
        </is>
      </c>
      <c r="G2402" s="21" t="n">
        <v>2022</v>
      </c>
      <c r="H2402" s="22" t="n">
        <v>22498</v>
      </c>
      <c r="I2402" s="23" t="n">
        <v>400000</v>
      </c>
      <c r="J2402" s="20" t="inlineStr">
        <is>
          <t>Santhosh</t>
        </is>
      </c>
      <c r="K2402" s="20" t="inlineStr">
        <is>
          <t>Non-Captive</t>
        </is>
      </c>
      <c r="L2402" s="20" t="inlineStr">
        <is>
          <t>NIrmal Cars</t>
        </is>
      </c>
      <c r="M2402" s="23" t="n">
        <v>4237.29</v>
      </c>
      <c r="N2402" s="23" t="n">
        <v>5000</v>
      </c>
      <c r="O2402" s="24">
        <f>IF(AND(ISNUMBER(M2402), ISNUMBER(I2402), I2402&gt;0), M2402/I2402, "")</f>
        <v/>
      </c>
    </row>
    <row r="2403">
      <c r="A2403" s="19" t="inlineStr">
        <is>
          <t>FY27</t>
        </is>
      </c>
      <c r="B2403" s="19" t="inlineStr">
        <is>
          <t>Jun</t>
        </is>
      </c>
      <c r="C2403" s="19" t="inlineStr">
        <is>
          <t>TN</t>
        </is>
      </c>
      <c r="D2403" s="20" t="inlineStr">
        <is>
          <t>TN03F6676</t>
        </is>
      </c>
      <c r="E2403" s="20" t="inlineStr">
        <is>
          <t>FORD</t>
        </is>
      </c>
      <c r="F2403" s="20" t="inlineStr">
        <is>
          <t>Figo</t>
        </is>
      </c>
      <c r="G2403" s="21" t="n">
        <v>2011</v>
      </c>
      <c r="H2403" s="22" t="n">
        <v>119083</v>
      </c>
      <c r="I2403" s="23" t="n">
        <v>100000</v>
      </c>
      <c r="J2403" s="20" t="inlineStr">
        <is>
          <t>KALYANIMOTORS MARUTHI</t>
        </is>
      </c>
      <c r="K2403" s="20" t="inlineStr">
        <is>
          <t>Non-Captive</t>
        </is>
      </c>
      <c r="L2403" s="20" t="inlineStr">
        <is>
          <t>NIrmal Cars</t>
        </is>
      </c>
      <c r="M2403" s="23" t="n">
        <v>3389.83</v>
      </c>
      <c r="N2403" s="23" t="n">
        <v>4000</v>
      </c>
      <c r="O2403" s="24">
        <f>IF(AND(ISNUMBER(M2403), ISNUMBER(I2403), I2403&gt;0), M2403/I2403, "")</f>
        <v/>
      </c>
    </row>
    <row r="2404">
      <c r="A2404" s="19" t="inlineStr">
        <is>
          <t>FY27</t>
        </is>
      </c>
      <c r="B2404" s="19" t="inlineStr">
        <is>
          <t>Jun</t>
        </is>
      </c>
      <c r="C2404" s="19" t="inlineStr">
        <is>
          <t>TN</t>
        </is>
      </c>
      <c r="D2404" s="20" t="inlineStr">
        <is>
          <t>TN07BT0904</t>
        </is>
      </c>
      <c r="E2404" s="20" t="inlineStr">
        <is>
          <t>MAHINDRA</t>
        </is>
      </c>
      <c r="F2404" s="20" t="inlineStr">
        <is>
          <t>Xuv500</t>
        </is>
      </c>
      <c r="G2404" s="21" t="n">
        <v>2012</v>
      </c>
      <c r="H2404" s="22" t="n">
        <v>140376</v>
      </c>
      <c r="I2404" s="23" t="n">
        <v>220000</v>
      </c>
      <c r="J2404" s="20" t="inlineStr">
        <is>
          <t>Nirmal</t>
        </is>
      </c>
      <c r="K2404" s="20" t="inlineStr">
        <is>
          <t>Non-Captive</t>
        </is>
      </c>
      <c r="L2404" s="20" t="inlineStr">
        <is>
          <t>Kamal Cars</t>
        </is>
      </c>
      <c r="M2404" s="23" t="n">
        <v>3813.56</v>
      </c>
      <c r="N2404" s="23" t="n">
        <v>4500</v>
      </c>
      <c r="O2404" s="24">
        <f>IF(AND(ISNUMBER(M2404), ISNUMBER(I2404), I2404&gt;0), M2404/I2404, "")</f>
        <v/>
      </c>
    </row>
    <row r="2405">
      <c r="A2405" s="19" t="inlineStr">
        <is>
          <t>FY27</t>
        </is>
      </c>
      <c r="B2405" s="19" t="inlineStr">
        <is>
          <t>Jun</t>
        </is>
      </c>
      <c r="C2405" s="19" t="inlineStr">
        <is>
          <t>TN</t>
        </is>
      </c>
      <c r="D2405" s="20" t="inlineStr">
        <is>
          <t>TN07AS7719</t>
        </is>
      </c>
      <c r="E2405" s="20" t="inlineStr">
        <is>
          <t>MARUTI SUZUKI</t>
        </is>
      </c>
      <c r="F2405" s="20" t="inlineStr">
        <is>
          <t>Swift</t>
        </is>
      </c>
      <c r="G2405" s="21" t="n">
        <v>2007</v>
      </c>
      <c r="H2405" s="22" t="n">
        <v>71019</v>
      </c>
      <c r="I2405" s="23" t="n">
        <v>130000</v>
      </c>
      <c r="J2405" s="20" t="inlineStr">
        <is>
          <t>KALYANIMOTORS MARUTHI</t>
        </is>
      </c>
      <c r="K2405" s="20" t="inlineStr">
        <is>
          <t>Non-Captive</t>
        </is>
      </c>
      <c r="L2405" s="20" t="inlineStr">
        <is>
          <t>Pine Autos</t>
        </is>
      </c>
      <c r="M2405" s="23" t="n">
        <v>4237.29</v>
      </c>
      <c r="N2405" s="23" t="n">
        <v>5000</v>
      </c>
      <c r="O2405" s="24">
        <f>IF(AND(ISNUMBER(M2405), ISNUMBER(I2405), I2405&gt;0), M2405/I2405, "")</f>
        <v/>
      </c>
    </row>
    <row r="2406">
      <c r="A2406" s="19" t="inlineStr">
        <is>
          <t>FY27</t>
        </is>
      </c>
      <c r="B2406" s="19" t="inlineStr">
        <is>
          <t>Jun</t>
        </is>
      </c>
      <c r="C2406" s="19" t="inlineStr">
        <is>
          <t>TN</t>
        </is>
      </c>
      <c r="D2406" s="20" t="inlineStr">
        <is>
          <t>TN02AT1408</t>
        </is>
      </c>
      <c r="E2406" s="20" t="inlineStr">
        <is>
          <t>FORD</t>
        </is>
      </c>
      <c r="F2406" s="20" t="inlineStr">
        <is>
          <t>Figo</t>
        </is>
      </c>
      <c r="G2406" s="21" t="n">
        <v>2011</v>
      </c>
      <c r="H2406" s="22" t="n">
        <v>126520</v>
      </c>
      <c r="I2406" s="23" t="n">
        <v>100000</v>
      </c>
      <c r="J2406" s="20" t="inlineStr">
        <is>
          <t>Nirmal</t>
        </is>
      </c>
      <c r="K2406" s="20" t="inlineStr">
        <is>
          <t>Non-Captive</t>
        </is>
      </c>
      <c r="L2406" s="20" t="inlineStr">
        <is>
          <t>Pine Autos</t>
        </is>
      </c>
      <c r="M2406" s="23" t="n">
        <v>4237.29</v>
      </c>
      <c r="N2406" s="23" t="n">
        <v>5000</v>
      </c>
      <c r="O2406" s="24">
        <f>IF(AND(ISNUMBER(M2406), ISNUMBER(I2406), I2406&gt;0), M2406/I2406, "")</f>
        <v/>
      </c>
    </row>
    <row r="2407">
      <c r="A2407" s="19" t="inlineStr">
        <is>
          <t>FY27</t>
        </is>
      </c>
      <c r="B2407" s="19" t="inlineStr">
        <is>
          <t>Jun</t>
        </is>
      </c>
      <c r="C2407" s="19" t="inlineStr">
        <is>
          <t>TN</t>
        </is>
      </c>
      <c r="D2407" s="20" t="inlineStr">
        <is>
          <t>TN11E8778</t>
        </is>
      </c>
      <c r="E2407" s="20" t="inlineStr">
        <is>
          <t>MAHINDRA</t>
        </is>
      </c>
      <c r="F2407" s="20" t="inlineStr">
        <is>
          <t>Xuv500</t>
        </is>
      </c>
      <c r="G2407" s="21" t="n">
        <v>2013</v>
      </c>
      <c r="H2407" s="22" t="n">
        <v>119851</v>
      </c>
      <c r="I2407" s="23" t="n">
        <v>225000</v>
      </c>
      <c r="J2407" s="20" t="inlineStr">
        <is>
          <t>KALYANIMOTORS MARUTHI</t>
        </is>
      </c>
      <c r="K2407" s="20" t="inlineStr">
        <is>
          <t>Non-Captive</t>
        </is>
      </c>
      <c r="L2407" s="20" t="inlineStr">
        <is>
          <t>Pine Autos</t>
        </is>
      </c>
      <c r="M2407" s="23" t="n">
        <v>4237.29</v>
      </c>
      <c r="N2407" s="23" t="n">
        <v>5000</v>
      </c>
      <c r="O2407" s="24">
        <f>IF(AND(ISNUMBER(M2407), ISNUMBER(I2407), I2407&gt;0), M2407/I2407, "")</f>
        <v/>
      </c>
    </row>
    <row r="2408">
      <c r="A2408" s="19" t="inlineStr">
        <is>
          <t>FY27</t>
        </is>
      </c>
      <c r="B2408" s="19" t="inlineStr">
        <is>
          <t>Jun</t>
        </is>
      </c>
      <c r="C2408" s="19" t="inlineStr">
        <is>
          <t>TN</t>
        </is>
      </c>
      <c r="D2408" s="20" t="inlineStr">
        <is>
          <t>TN05BH5562</t>
        </is>
      </c>
      <c r="E2408" s="20" t="inlineStr">
        <is>
          <t>MARUTI SUZUKI</t>
        </is>
      </c>
      <c r="F2408" s="20" t="inlineStr">
        <is>
          <t>Swift</t>
        </is>
      </c>
      <c r="G2408" s="21" t="n">
        <v>2016</v>
      </c>
      <c r="H2408" s="22" t="n">
        <v>77268</v>
      </c>
      <c r="I2408" s="23" t="n">
        <v>330000</v>
      </c>
      <c r="J2408" s="20" t="inlineStr">
        <is>
          <t>KALYANIMOTORS MARUTHI</t>
        </is>
      </c>
      <c r="K2408" s="20" t="inlineStr">
        <is>
          <t>Non-Captive</t>
        </is>
      </c>
      <c r="L2408" s="20" t="inlineStr">
        <is>
          <t>Pine Autos</t>
        </is>
      </c>
      <c r="M2408" s="23" t="n">
        <v>4237.29</v>
      </c>
      <c r="N2408" s="23" t="n">
        <v>5000</v>
      </c>
      <c r="O2408" s="24">
        <f>IF(AND(ISNUMBER(M2408), ISNUMBER(I2408), I2408&gt;0), M2408/I2408, "")</f>
        <v/>
      </c>
    </row>
    <row r="2409">
      <c r="A2409" s="19" t="inlineStr">
        <is>
          <t>FY27</t>
        </is>
      </c>
      <c r="B2409" s="19" t="inlineStr">
        <is>
          <t>Jun</t>
        </is>
      </c>
      <c r="C2409" s="19" t="inlineStr">
        <is>
          <t>TN</t>
        </is>
      </c>
      <c r="D2409" s="20" t="inlineStr">
        <is>
          <t>TN06V3234</t>
        </is>
      </c>
      <c r="E2409" s="20" t="inlineStr">
        <is>
          <t>MARUTI SUZUKI</t>
        </is>
      </c>
      <c r="F2409" s="20" t="inlineStr">
        <is>
          <t>Baleno</t>
        </is>
      </c>
      <c r="G2409" s="21" t="n">
        <v>2018</v>
      </c>
      <c r="H2409" s="22" t="n">
        <v>48762</v>
      </c>
      <c r="I2409" s="23" t="n">
        <v>400000</v>
      </c>
      <c r="J2409" s="20" t="inlineStr">
        <is>
          <t>Nirmal</t>
        </is>
      </c>
      <c r="K2409" s="20" t="inlineStr">
        <is>
          <t>Non-Captive</t>
        </is>
      </c>
      <c r="L2409" s="20" t="inlineStr">
        <is>
          <t>Pine Autos</t>
        </is>
      </c>
      <c r="M2409" s="23" t="n">
        <v>4237.29</v>
      </c>
      <c r="N2409" s="23" t="n">
        <v>5000</v>
      </c>
      <c r="O2409" s="24">
        <f>IF(AND(ISNUMBER(M2409), ISNUMBER(I2409), I2409&gt;0), M2409/I2409, "")</f>
        <v/>
      </c>
    </row>
    <row r="2410">
      <c r="A2410" s="19" t="inlineStr">
        <is>
          <t>FY27</t>
        </is>
      </c>
      <c r="B2410" s="19" t="inlineStr">
        <is>
          <t>Jun</t>
        </is>
      </c>
      <c r="C2410" s="19" t="inlineStr">
        <is>
          <t>TN</t>
        </is>
      </c>
      <c r="D2410" s="20" t="inlineStr">
        <is>
          <t>TN05AQ9364</t>
        </is>
      </c>
      <c r="E2410" s="20" t="inlineStr">
        <is>
          <t>HYUNDAI</t>
        </is>
      </c>
      <c r="F2410" s="20" t="inlineStr">
        <is>
          <t>Eon</t>
        </is>
      </c>
      <c r="G2410" s="21" t="n">
        <v>2012</v>
      </c>
      <c r="H2410" s="22" t="n">
        <v>26561</v>
      </c>
      <c r="I2410" s="23" t="n">
        <v>90000</v>
      </c>
      <c r="J2410" s="20" t="inlineStr">
        <is>
          <t>KALYANIMOTORS MARUTHI</t>
        </is>
      </c>
      <c r="K2410" s="20" t="inlineStr">
        <is>
          <t>Non-Captive</t>
        </is>
      </c>
      <c r="L2410" s="20" t="inlineStr">
        <is>
          <t>Pine Autos</t>
        </is>
      </c>
      <c r="M2410" s="23" t="n">
        <v>4237.29</v>
      </c>
      <c r="N2410" s="23" t="n">
        <v>5000</v>
      </c>
      <c r="O2410" s="24">
        <f>IF(AND(ISNUMBER(M2410), ISNUMBER(I2410), I2410&gt;0), M2410/I2410, "")</f>
        <v/>
      </c>
    </row>
    <row r="2411">
      <c r="A2411" s="19" t="inlineStr">
        <is>
          <t>FY27</t>
        </is>
      </c>
      <c r="B2411" s="19" t="inlineStr">
        <is>
          <t>Jun</t>
        </is>
      </c>
      <c r="C2411" s="19" t="inlineStr">
        <is>
          <t>TN</t>
        </is>
      </c>
      <c r="D2411" s="20" t="inlineStr">
        <is>
          <t>TN14AD1688</t>
        </is>
      </c>
      <c r="E2411" s="20" t="inlineStr">
        <is>
          <t>CITROEN</t>
        </is>
      </c>
      <c r="F2411" s="20" t="inlineStr">
        <is>
          <t>C3</t>
        </is>
      </c>
      <c r="G2411" s="21" t="n">
        <v>2022</v>
      </c>
      <c r="H2411" s="22" t="n">
        <v>25217</v>
      </c>
      <c r="I2411" s="23" t="n">
        <v>400000</v>
      </c>
      <c r="J2411" s="20" t="inlineStr">
        <is>
          <t>Nirmal</t>
        </is>
      </c>
      <c r="K2411" s="20" t="inlineStr">
        <is>
          <t>Non-Captive</t>
        </is>
      </c>
      <c r="L2411" s="20" t="inlineStr">
        <is>
          <t>Kamal Cars</t>
        </is>
      </c>
      <c r="M2411" s="23" t="n">
        <v>4237.29</v>
      </c>
      <c r="N2411" s="23" t="n">
        <v>5000</v>
      </c>
      <c r="O2411" s="24">
        <f>IF(AND(ISNUMBER(M2411), ISNUMBER(I2411), I2411&gt;0), M2411/I2411, "")</f>
        <v/>
      </c>
    </row>
    <row r="2412">
      <c r="A2412" s="19" t="inlineStr">
        <is>
          <t>FY27</t>
        </is>
      </c>
      <c r="B2412" s="19" t="inlineStr">
        <is>
          <t>Jun</t>
        </is>
      </c>
      <c r="C2412" s="19" t="inlineStr">
        <is>
          <t>TN</t>
        </is>
      </c>
      <c r="D2412" s="20" t="inlineStr">
        <is>
          <t>TN10AK6224</t>
        </is>
      </c>
      <c r="E2412" s="20" t="inlineStr">
        <is>
          <t>MARUTI SUZUKI</t>
        </is>
      </c>
      <c r="F2412" s="20" t="inlineStr">
        <is>
          <t>Alto 800</t>
        </is>
      </c>
      <c r="G2412" s="21" t="n">
        <v>2013</v>
      </c>
      <c r="H2412" s="22" t="n">
        <v>24387</v>
      </c>
      <c r="I2412" s="23" t="n">
        <v>160000</v>
      </c>
      <c r="J2412" s="20" t="inlineStr">
        <is>
          <t>Castel Traders Honda</t>
        </is>
      </c>
      <c r="K2412" s="20" t="inlineStr">
        <is>
          <t>Non-Captive</t>
        </is>
      </c>
      <c r="L2412" s="20" t="inlineStr">
        <is>
          <t>Varadharajan</t>
        </is>
      </c>
      <c r="M2412" s="23" t="n">
        <v>5932.2</v>
      </c>
      <c r="N2412" s="23" t="n">
        <v>7000</v>
      </c>
      <c r="O2412" s="24">
        <f>IF(AND(ISNUMBER(M2412), ISNUMBER(I2412), I2412&gt;0), M2412/I2412, "")</f>
        <v/>
      </c>
    </row>
    <row r="2413">
      <c r="A2413" s="19" t="inlineStr">
        <is>
          <t>FY27</t>
        </is>
      </c>
      <c r="B2413" s="19" t="inlineStr">
        <is>
          <t>Jun</t>
        </is>
      </c>
      <c r="C2413" s="19" t="inlineStr">
        <is>
          <t>TN</t>
        </is>
      </c>
      <c r="D2413" s="20" t="inlineStr">
        <is>
          <t>TN20CW9307</t>
        </is>
      </c>
      <c r="E2413" s="20" t="inlineStr">
        <is>
          <t>MARUTI SUZUKI</t>
        </is>
      </c>
      <c r="F2413" s="20" t="inlineStr">
        <is>
          <t>Figo</t>
        </is>
      </c>
      <c r="G2413" s="21" t="n">
        <v>2013</v>
      </c>
      <c r="H2413" s="22" t="n">
        <v>66541</v>
      </c>
      <c r="I2413" s="23" t="n">
        <v>140000</v>
      </c>
      <c r="J2413" s="20" t="inlineStr">
        <is>
          <t>Castel Traders Honda</t>
        </is>
      </c>
      <c r="K2413" s="20" t="inlineStr">
        <is>
          <t>Non-Captive</t>
        </is>
      </c>
      <c r="L2413" s="20" t="inlineStr">
        <is>
          <t>AAA Cars</t>
        </is>
      </c>
      <c r="M2413" s="23" t="n">
        <v>3389.83</v>
      </c>
      <c r="N2413" s="23" t="n">
        <v>4000</v>
      </c>
      <c r="O2413" s="24">
        <f>IF(AND(ISNUMBER(M2413), ISNUMBER(I2413), I2413&gt;0), M2413/I2413, "")</f>
        <v/>
      </c>
    </row>
    <row r="2414">
      <c r="A2414" s="19" t="inlineStr">
        <is>
          <t>FY27</t>
        </is>
      </c>
      <c r="B2414" s="19" t="inlineStr">
        <is>
          <t>Jun</t>
        </is>
      </c>
      <c r="C2414" s="19" t="inlineStr">
        <is>
          <t>TN</t>
        </is>
      </c>
      <c r="D2414" s="20" t="inlineStr">
        <is>
          <t>TN14L6147</t>
        </is>
      </c>
      <c r="E2414" s="20" t="inlineStr">
        <is>
          <t>HONDA</t>
        </is>
      </c>
      <c r="F2414" s="20" t="inlineStr">
        <is>
          <t>City</t>
        </is>
      </c>
      <c r="G2414" s="21" t="n">
        <v>2017</v>
      </c>
      <c r="H2414" s="22" t="n">
        <v>98763</v>
      </c>
      <c r="I2414" s="23" t="n">
        <v>430000</v>
      </c>
      <c r="J2414" s="20" t="inlineStr">
        <is>
          <t>Castel Traders Honda</t>
        </is>
      </c>
      <c r="K2414" s="20" t="inlineStr">
        <is>
          <t>Non-Captive</t>
        </is>
      </c>
      <c r="L2414" s="20" t="inlineStr">
        <is>
          <t>AAA Cars</t>
        </is>
      </c>
      <c r="M2414" s="23" t="n">
        <v>3389.83</v>
      </c>
      <c r="N2414" s="23" t="n">
        <v>4000</v>
      </c>
      <c r="O2414" s="24">
        <f>IF(AND(ISNUMBER(M2414), ISNUMBER(I2414), I2414&gt;0), M2414/I2414, "")</f>
        <v/>
      </c>
    </row>
    <row r="2415">
      <c r="A2415" s="19" t="inlineStr">
        <is>
          <t>FY27</t>
        </is>
      </c>
      <c r="B2415" s="19" t="inlineStr">
        <is>
          <t>Jun</t>
        </is>
      </c>
      <c r="C2415" s="19" t="inlineStr">
        <is>
          <t>TN</t>
        </is>
      </c>
      <c r="D2415" s="20" t="inlineStr">
        <is>
          <t>TN18AW2928</t>
        </is>
      </c>
      <c r="E2415" s="20" t="inlineStr">
        <is>
          <t>MARUTI SUZUKI</t>
        </is>
      </c>
      <c r="F2415" s="20" t="inlineStr">
        <is>
          <t>Celerio</t>
        </is>
      </c>
      <c r="G2415" s="21" t="n">
        <v>2019</v>
      </c>
      <c r="H2415" s="22" t="n">
        <v>87821</v>
      </c>
      <c r="I2415" s="23" t="n">
        <v>315000</v>
      </c>
      <c r="J2415" s="20" t="inlineStr">
        <is>
          <t>Khivraj Motor</t>
        </is>
      </c>
      <c r="K2415" s="20" t="inlineStr">
        <is>
          <t>Non-Captive</t>
        </is>
      </c>
      <c r="L2415" s="20" t="inlineStr">
        <is>
          <t>Lanson</t>
        </is>
      </c>
      <c r="M2415" s="23" t="n">
        <v>6355.93</v>
      </c>
      <c r="N2415" s="23" t="n">
        <v>7500</v>
      </c>
      <c r="O2415" s="24">
        <f>IF(AND(ISNUMBER(M2415), ISNUMBER(I2415), I2415&gt;0), M2415/I2415, "")</f>
        <v/>
      </c>
    </row>
    <row r="2416">
      <c r="A2416" s="19" t="inlineStr">
        <is>
          <t>FY27</t>
        </is>
      </c>
      <c r="B2416" s="19" t="inlineStr">
        <is>
          <t>Jun</t>
        </is>
      </c>
      <c r="C2416" s="19" t="inlineStr">
        <is>
          <t>TN</t>
        </is>
      </c>
      <c r="D2416" s="20" t="inlineStr">
        <is>
          <t>TN10BC9986</t>
        </is>
      </c>
      <c r="E2416" s="20" t="inlineStr">
        <is>
          <t>MARUTI SUZUKI</t>
        </is>
      </c>
      <c r="F2416" s="20" t="inlineStr">
        <is>
          <t>Swift</t>
        </is>
      </c>
      <c r="G2416" s="21" t="n">
        <v>2018</v>
      </c>
      <c r="H2416" s="22" t="n">
        <v>66661</v>
      </c>
      <c r="I2416" s="23" t="n">
        <v>435000</v>
      </c>
      <c r="J2416" s="20" t="inlineStr">
        <is>
          <t>Khivraj Motor</t>
        </is>
      </c>
      <c r="K2416" s="20" t="inlineStr">
        <is>
          <t>Non-Captive</t>
        </is>
      </c>
      <c r="L2416" s="20" t="inlineStr">
        <is>
          <t>Lanson</t>
        </is>
      </c>
      <c r="M2416" s="23" t="n">
        <v>7627.12</v>
      </c>
      <c r="N2416" s="23" t="n">
        <v>9000</v>
      </c>
      <c r="O2416" s="24">
        <f>IF(AND(ISNUMBER(M2416), ISNUMBER(I2416), I2416&gt;0), M2416/I2416, "")</f>
        <v/>
      </c>
    </row>
    <row r="2417">
      <c r="A2417" s="19" t="inlineStr">
        <is>
          <t>FY27</t>
        </is>
      </c>
      <c r="B2417" s="19" t="inlineStr">
        <is>
          <t>Jun</t>
        </is>
      </c>
      <c r="C2417" s="19" t="inlineStr">
        <is>
          <t>TN</t>
        </is>
      </c>
      <c r="D2417" s="20" t="inlineStr">
        <is>
          <t>TN09BF0696</t>
        </is>
      </c>
      <c r="E2417" s="20" t="inlineStr">
        <is>
          <t>HYUNDAI</t>
        </is>
      </c>
      <c r="F2417" s="20" t="inlineStr">
        <is>
          <t>I10</t>
        </is>
      </c>
      <c r="G2417" s="21" t="n">
        <v>2010</v>
      </c>
      <c r="H2417" s="22" t="n">
        <v>119451</v>
      </c>
      <c r="I2417" s="23" t="n">
        <v>135000</v>
      </c>
      <c r="J2417" s="20" t="inlineStr">
        <is>
          <t>Khivraj Motor</t>
        </is>
      </c>
      <c r="K2417" s="20" t="inlineStr">
        <is>
          <t>Non-Captive</t>
        </is>
      </c>
      <c r="L2417" s="20" t="inlineStr">
        <is>
          <t>S2 cars</t>
        </is>
      </c>
      <c r="M2417" s="23" t="n">
        <v>5084.75</v>
      </c>
      <c r="N2417" s="23" t="n">
        <v>6000</v>
      </c>
      <c r="O2417" s="24">
        <f>IF(AND(ISNUMBER(M2417), ISNUMBER(I2417), I2417&gt;0), M2417/I2417, "")</f>
        <v/>
      </c>
    </row>
    <row r="2418">
      <c r="A2418" s="19" t="inlineStr">
        <is>
          <t>FY27</t>
        </is>
      </c>
      <c r="B2418" s="19" t="inlineStr">
        <is>
          <t>Jun</t>
        </is>
      </c>
      <c r="C2418" s="19" t="inlineStr">
        <is>
          <t>TN</t>
        </is>
      </c>
      <c r="D2418" s="20" t="inlineStr">
        <is>
          <t>TN11J5544</t>
        </is>
      </c>
      <c r="E2418" s="20" t="inlineStr">
        <is>
          <t>MARUTI SUZUKI</t>
        </is>
      </c>
      <c r="F2418" s="20" t="inlineStr">
        <is>
          <t>K10</t>
        </is>
      </c>
      <c r="G2418" s="21" t="n">
        <v>2014</v>
      </c>
      <c r="H2418" s="22" t="n">
        <v>84422</v>
      </c>
      <c r="I2418" s="23" t="n">
        <v>180000</v>
      </c>
      <c r="J2418" s="20" t="inlineStr">
        <is>
          <t>Khivraj Motor</t>
        </is>
      </c>
      <c r="K2418" s="20" t="inlineStr">
        <is>
          <t>Non-Captive</t>
        </is>
      </c>
      <c r="L2418" s="20" t="inlineStr">
        <is>
          <t>S2 cars</t>
        </is>
      </c>
      <c r="M2418" s="23" t="n">
        <v>5084.75</v>
      </c>
      <c r="N2418" s="23" t="n">
        <v>6000</v>
      </c>
      <c r="O2418" s="24">
        <f>IF(AND(ISNUMBER(M2418), ISNUMBER(I2418), I2418&gt;0), M2418/I2418, "")</f>
        <v/>
      </c>
    </row>
    <row r="2419">
      <c r="A2419" s="19" t="inlineStr">
        <is>
          <t>FY27</t>
        </is>
      </c>
      <c r="B2419" s="19" t="inlineStr">
        <is>
          <t>Jun</t>
        </is>
      </c>
      <c r="C2419" s="19" t="inlineStr">
        <is>
          <t>TN</t>
        </is>
      </c>
      <c r="D2419" s="20" t="inlineStr">
        <is>
          <t>TN60J7962</t>
        </is>
      </c>
      <c r="E2419" s="20" t="inlineStr">
        <is>
          <t>NISSAN</t>
        </is>
      </c>
      <c r="F2419" s="20" t="inlineStr">
        <is>
          <t>Sunny</t>
        </is>
      </c>
      <c r="G2419" s="21" t="n">
        <v>2012</v>
      </c>
      <c r="H2419" s="22" t="n">
        <v>207382</v>
      </c>
      <c r="I2419" s="23" t="n">
        <v>200000</v>
      </c>
      <c r="J2419" s="20" t="inlineStr">
        <is>
          <t>Khivraj Motor</t>
        </is>
      </c>
      <c r="K2419" s="20" t="inlineStr">
        <is>
          <t>Non-Captive</t>
        </is>
      </c>
      <c r="L2419" s="20" t="inlineStr">
        <is>
          <t>Senthil Cars</t>
        </is>
      </c>
      <c r="M2419" s="23" t="n">
        <v>5084.75</v>
      </c>
      <c r="N2419" s="23" t="n">
        <v>6000</v>
      </c>
      <c r="O2419" s="24">
        <f>IF(AND(ISNUMBER(M2419), ISNUMBER(I2419), I2419&gt;0), M2419/I2419, "")</f>
        <v/>
      </c>
    </row>
    <row r="2420">
      <c r="A2420" s="19" t="inlineStr">
        <is>
          <t>FY27</t>
        </is>
      </c>
      <c r="B2420" s="19" t="inlineStr">
        <is>
          <t>Jun</t>
        </is>
      </c>
      <c r="C2420" s="19" t="inlineStr">
        <is>
          <t>TN</t>
        </is>
      </c>
      <c r="D2420" s="20" t="inlineStr">
        <is>
          <t>TN09BQ5114</t>
        </is>
      </c>
      <c r="E2420" s="20" t="inlineStr">
        <is>
          <t>HYUNDAI</t>
        </is>
      </c>
      <c r="F2420" s="20" t="inlineStr">
        <is>
          <t>I10</t>
        </is>
      </c>
      <c r="G2420" s="21" t="n">
        <v>2012</v>
      </c>
      <c r="H2420" s="22" t="n">
        <v>97990</v>
      </c>
      <c r="I2420" s="23" t="n">
        <v>135000</v>
      </c>
      <c r="J2420" s="20" t="inlineStr">
        <is>
          <t>Khivraj Motor</t>
        </is>
      </c>
      <c r="K2420" s="20" t="inlineStr">
        <is>
          <t>Non-Captive</t>
        </is>
      </c>
      <c r="L2420" s="20" t="inlineStr">
        <is>
          <t>Amarnath Cars</t>
        </is>
      </c>
      <c r="M2420" s="23" t="n">
        <v>5084.75</v>
      </c>
      <c r="N2420" s="23" t="n">
        <v>6000</v>
      </c>
      <c r="O2420" s="24">
        <f>IF(AND(ISNUMBER(M2420), ISNUMBER(I2420), I2420&gt;0), M2420/I2420, "")</f>
        <v/>
      </c>
    </row>
    <row r="2421">
      <c r="A2421" s="19" t="inlineStr">
        <is>
          <t>FY27</t>
        </is>
      </c>
      <c r="B2421" s="19" t="inlineStr">
        <is>
          <t>Jun</t>
        </is>
      </c>
      <c r="C2421" s="19" t="inlineStr">
        <is>
          <t>TN</t>
        </is>
      </c>
      <c r="D2421" s="20" t="inlineStr">
        <is>
          <t>KL436309</t>
        </is>
      </c>
      <c r="E2421" s="20" t="inlineStr">
        <is>
          <t>MARUTI SUZUKI</t>
        </is>
      </c>
      <c r="F2421" s="20" t="inlineStr">
        <is>
          <t>Zen</t>
        </is>
      </c>
      <c r="G2421" s="21" t="n">
        <v>2006</v>
      </c>
      <c r="H2421" s="22" t="n">
        <v>56470</v>
      </c>
      <c r="I2421" s="23" t="n">
        <v>65000</v>
      </c>
      <c r="J2421" s="20" t="inlineStr">
        <is>
          <t>POPULAR MOTORWORLD PVT LTD</t>
        </is>
      </c>
      <c r="K2421" s="20" t="inlineStr">
        <is>
          <t>Non-Captive</t>
        </is>
      </c>
      <c r="L2421" s="20" t="inlineStr">
        <is>
          <t>STEVE JACKSON</t>
        </is>
      </c>
      <c r="M2421" s="23" t="n">
        <v>5932.2</v>
      </c>
      <c r="N2421" s="23" t="n">
        <v>7000</v>
      </c>
      <c r="O2421" s="24">
        <f>IF(AND(ISNUMBER(M2421), ISNUMBER(I2421), I2421&gt;0), M2421/I2421, "")</f>
        <v/>
      </c>
    </row>
    <row r="2422">
      <c r="A2422" s="19" t="inlineStr">
        <is>
          <t>FY27</t>
        </is>
      </c>
      <c r="B2422" s="19" t="inlineStr">
        <is>
          <t>Jun</t>
        </is>
      </c>
      <c r="C2422" s="19" t="inlineStr">
        <is>
          <t>TN</t>
        </is>
      </c>
      <c r="D2422" s="20" t="inlineStr">
        <is>
          <t>KL01BS4651</t>
        </is>
      </c>
      <c r="E2422" s="20" t="inlineStr">
        <is>
          <t>HYUNDAI</t>
        </is>
      </c>
      <c r="F2422" s="20" t="inlineStr">
        <is>
          <t>Grand I10</t>
        </is>
      </c>
      <c r="G2422" s="21" t="n">
        <v>2014</v>
      </c>
      <c r="H2422" s="22" t="n">
        <v>45822</v>
      </c>
      <c r="I2422" s="23" t="n">
        <v>170000</v>
      </c>
      <c r="J2422" s="20" t="inlineStr">
        <is>
          <t>Nippon Motor Corporation Pvt Ltd</t>
        </is>
      </c>
      <c r="K2422" s="20" t="inlineStr">
        <is>
          <t>Non-Captive</t>
        </is>
      </c>
      <c r="L2422" s="20" t="inlineStr">
        <is>
          <t>POPULAR THRISSUR</t>
        </is>
      </c>
      <c r="M2422" s="23" t="n">
        <v>5000</v>
      </c>
      <c r="N2422" s="23" t="n">
        <v>5900</v>
      </c>
      <c r="O2422" s="24">
        <f>IF(AND(ISNUMBER(M2422), ISNUMBER(I2422), I2422&gt;0), M2422/I2422, "")</f>
        <v/>
      </c>
    </row>
    <row r="2423">
      <c r="A2423" s="19" t="inlineStr">
        <is>
          <t>FY27</t>
        </is>
      </c>
      <c r="B2423" s="19" t="inlineStr">
        <is>
          <t>Jun</t>
        </is>
      </c>
      <c r="C2423" s="19" t="inlineStr">
        <is>
          <t>TN</t>
        </is>
      </c>
      <c r="D2423" s="20" t="inlineStr">
        <is>
          <t>KL16W2030</t>
        </is>
      </c>
      <c r="E2423" s="20" t="inlineStr">
        <is>
          <t>MARUTI SUZUKI</t>
        </is>
      </c>
      <c r="F2423" s="20" t="inlineStr">
        <is>
          <t>Ertiga</t>
        </is>
      </c>
      <c r="G2423" s="21" t="n">
        <v>2019</v>
      </c>
      <c r="H2423" s="22" t="n">
        <v>36565</v>
      </c>
      <c r="I2423" s="23" t="n">
        <v>190000</v>
      </c>
      <c r="J2423" s="20" t="inlineStr">
        <is>
          <t>FORTUNE MALAYALAM AUTOMOBILES PRIVATE LIMITED</t>
        </is>
      </c>
      <c r="K2423" s="20" t="inlineStr">
        <is>
          <t>Non-Captive</t>
        </is>
      </c>
      <c r="L2423" s="20" t="inlineStr">
        <is>
          <t>POPULAR ALLEPPY</t>
        </is>
      </c>
      <c r="M2423" s="23" t="n">
        <v>5000</v>
      </c>
      <c r="N2423" s="23" t="n">
        <v>5900</v>
      </c>
      <c r="O2423" s="24">
        <f>IF(AND(ISNUMBER(M2423), ISNUMBER(I2423), I2423&gt;0), M2423/I2423, "")</f>
        <v/>
      </c>
    </row>
    <row r="2424">
      <c r="A2424" s="19" t="inlineStr">
        <is>
          <t>FY27</t>
        </is>
      </c>
      <c r="B2424" s="19" t="inlineStr">
        <is>
          <t>Jun</t>
        </is>
      </c>
      <c r="C2424" s="19" t="inlineStr">
        <is>
          <t>TN</t>
        </is>
      </c>
      <c r="D2424" s="20" t="inlineStr">
        <is>
          <t>KL21W1568</t>
        </is>
      </c>
      <c r="E2424" s="20" t="inlineStr">
        <is>
          <t>MARUTI SUZUKI</t>
        </is>
      </c>
      <c r="F2424" s="20" t="inlineStr">
        <is>
          <t>Swift</t>
        </is>
      </c>
      <c r="G2424" s="21" t="n">
        <v>2018</v>
      </c>
      <c r="H2424" s="22" t="n">
        <v>90872</v>
      </c>
      <c r="I2424" s="23" t="n">
        <v>190000</v>
      </c>
      <c r="J2424" s="20" t="inlineStr">
        <is>
          <t>Trust N DRIVE</t>
        </is>
      </c>
      <c r="K2424" s="20" t="inlineStr">
        <is>
          <t>Non-Captive</t>
        </is>
      </c>
      <c r="L2424" s="20" t="inlineStr">
        <is>
          <t>POPULAR KOTTAYAM</t>
        </is>
      </c>
      <c r="M2424" s="23" t="n">
        <v>5000</v>
      </c>
      <c r="N2424" s="23" t="n">
        <v>5900</v>
      </c>
      <c r="O2424" s="24">
        <f>IF(AND(ISNUMBER(M2424), ISNUMBER(I2424), I2424&gt;0), M2424/I2424, "")</f>
        <v/>
      </c>
    </row>
    <row r="2425">
      <c r="A2425" s="19" t="inlineStr">
        <is>
          <t>FY27</t>
        </is>
      </c>
      <c r="B2425" s="19" t="inlineStr">
        <is>
          <t>Jun</t>
        </is>
      </c>
      <c r="C2425" s="19" t="inlineStr">
        <is>
          <t>TN</t>
        </is>
      </c>
      <c r="D2425" s="20" t="inlineStr">
        <is>
          <t>KL01CS3282</t>
        </is>
      </c>
      <c r="E2425" s="20" t="inlineStr">
        <is>
          <t>HYUNDAI</t>
        </is>
      </c>
      <c r="F2425" s="20" t="inlineStr">
        <is>
          <t>Venue</t>
        </is>
      </c>
      <c r="G2425" s="21" t="n">
        <v>2017</v>
      </c>
      <c r="H2425" s="22" t="n">
        <v>78543</v>
      </c>
      <c r="I2425" s="23" t="n">
        <v>175000</v>
      </c>
      <c r="J2425" s="20" t="inlineStr">
        <is>
          <t>EVM AUTOCRAFT CITRON</t>
        </is>
      </c>
      <c r="K2425" s="20" t="inlineStr">
        <is>
          <t>Non-Captive</t>
        </is>
      </c>
      <c r="L2425" s="20" t="inlineStr">
        <is>
          <t>SHAMNAD AH</t>
        </is>
      </c>
      <c r="M2425" s="23" t="n">
        <v>6016.95</v>
      </c>
      <c r="N2425" s="23" t="n">
        <v>7100</v>
      </c>
      <c r="O2425" s="24">
        <f>IF(AND(ISNUMBER(M2425), ISNUMBER(I2425), I2425&gt;0), M2425/I2425, "")</f>
        <v/>
      </c>
    </row>
    <row r="2426">
      <c r="A2426" s="19" t="inlineStr">
        <is>
          <t>FY27</t>
        </is>
      </c>
      <c r="B2426" s="19" t="inlineStr">
        <is>
          <t>Jun</t>
        </is>
      </c>
      <c r="C2426" s="19" t="inlineStr">
        <is>
          <t>TN</t>
        </is>
      </c>
      <c r="D2426" s="20" t="inlineStr">
        <is>
          <t>KL20K3589</t>
        </is>
      </c>
      <c r="E2426" s="20" t="inlineStr">
        <is>
          <t>VOLKSWAGEN</t>
        </is>
      </c>
      <c r="F2426" s="20" t="inlineStr">
        <is>
          <t>Polo</t>
        </is>
      </c>
      <c r="G2426" s="21" t="n">
        <v>2016</v>
      </c>
      <c r="H2426" s="22" t="n">
        <v>76956</v>
      </c>
      <c r="I2426" s="23" t="n">
        <v>190000</v>
      </c>
      <c r="J2426" s="20" t="inlineStr">
        <is>
          <t>Nippon Motor Corporation Pvt Ltd</t>
        </is>
      </c>
      <c r="K2426" s="20" t="inlineStr">
        <is>
          <t>Non-Captive</t>
        </is>
      </c>
      <c r="L2426" s="20" t="inlineStr">
        <is>
          <t>SHAMNAD AH</t>
        </is>
      </c>
      <c r="M2426" s="23" t="n">
        <v>6016.95</v>
      </c>
      <c r="N2426" s="23" t="n">
        <v>7100</v>
      </c>
      <c r="O2426" s="24">
        <f>IF(AND(ISNUMBER(M2426), ISNUMBER(I2426), I2426&gt;0), M2426/I2426, "")</f>
        <v/>
      </c>
    </row>
    <row r="2427">
      <c r="A2427" s="19" t="inlineStr">
        <is>
          <t>FY27</t>
        </is>
      </c>
      <c r="B2427" s="19" t="inlineStr">
        <is>
          <t>Jun</t>
        </is>
      </c>
      <c r="C2427" s="19" t="inlineStr">
        <is>
          <t>TN</t>
        </is>
      </c>
      <c r="D2427" s="20" t="inlineStr">
        <is>
          <t>KL01AS9275</t>
        </is>
      </c>
      <c r="E2427" s="20" t="inlineStr">
        <is>
          <t>HYUNDAI</t>
        </is>
      </c>
      <c r="F2427" s="20" t="inlineStr">
        <is>
          <t>Santro</t>
        </is>
      </c>
      <c r="G2427" s="21" t="n">
        <v>2008</v>
      </c>
      <c r="H2427" s="22" t="n">
        <v>117856</v>
      </c>
      <c r="I2427" s="23" t="n">
        <v>65000</v>
      </c>
      <c r="J2427" s="20" t="inlineStr">
        <is>
          <t>Nippon Motor Corporation Pvt Ltd</t>
        </is>
      </c>
      <c r="K2427" s="20" t="inlineStr">
        <is>
          <t>Non-Captive</t>
        </is>
      </c>
      <c r="L2427" s="20" t="inlineStr">
        <is>
          <t>SHAMNAD AH</t>
        </is>
      </c>
      <c r="M2427" s="23" t="n">
        <v>8474.58</v>
      </c>
      <c r="N2427" s="23" t="n">
        <v>10000</v>
      </c>
      <c r="O2427" s="24">
        <f>IF(AND(ISNUMBER(M2427), ISNUMBER(I2427), I2427&gt;0), M2427/I2427, "")</f>
        <v/>
      </c>
    </row>
    <row r="2428">
      <c r="A2428" s="19" t="inlineStr">
        <is>
          <t>FY27</t>
        </is>
      </c>
      <c r="B2428" s="19" t="inlineStr">
        <is>
          <t>Jun</t>
        </is>
      </c>
      <c r="C2428" s="19" t="inlineStr">
        <is>
          <t>TN</t>
        </is>
      </c>
      <c r="D2428" s="20" t="inlineStr">
        <is>
          <t>KL01BV3600</t>
        </is>
      </c>
      <c r="E2428" s="20" t="inlineStr">
        <is>
          <t>MARUTI SUZUKI</t>
        </is>
      </c>
      <c r="F2428" s="20" t="inlineStr">
        <is>
          <t>Swift</t>
        </is>
      </c>
      <c r="G2428" s="21" t="n">
        <v>2015</v>
      </c>
      <c r="H2428" s="22" t="n">
        <v>88741</v>
      </c>
      <c r="I2428" s="23" t="n">
        <v>185000</v>
      </c>
      <c r="J2428" s="20" t="inlineStr">
        <is>
          <t>KIRALI TOYOTA</t>
        </is>
      </c>
      <c r="K2428" s="20" t="inlineStr">
        <is>
          <t>Non-Captive</t>
        </is>
      </c>
      <c r="L2428" s="20" t="inlineStr">
        <is>
          <t>POPULAR THRISSUR</t>
        </is>
      </c>
      <c r="M2428" s="23" t="n">
        <v>5000</v>
      </c>
      <c r="N2428" s="23" t="n">
        <v>5900</v>
      </c>
      <c r="O2428" s="24">
        <f>IF(AND(ISNUMBER(M2428), ISNUMBER(I2428), I2428&gt;0), M2428/I2428, "")</f>
        <v/>
      </c>
    </row>
    <row r="2429">
      <c r="A2429" s="19" t="inlineStr">
        <is>
          <t>FY27</t>
        </is>
      </c>
      <c r="B2429" s="19" t="inlineStr">
        <is>
          <t>Jun</t>
        </is>
      </c>
      <c r="C2429" s="19" t="inlineStr">
        <is>
          <t>TN</t>
        </is>
      </c>
      <c r="D2429" s="20" t="inlineStr">
        <is>
          <t>KL16V0161</t>
        </is>
      </c>
      <c r="E2429" s="20" t="inlineStr">
        <is>
          <t>MARUTI SUZUKI</t>
        </is>
      </c>
      <c r="F2429" s="20" t="inlineStr">
        <is>
          <t>Ertiga</t>
        </is>
      </c>
      <c r="G2429" s="21" t="n">
        <v>2018</v>
      </c>
      <c r="H2429" s="22" t="n">
        <v>76502</v>
      </c>
      <c r="I2429" s="23" t="n">
        <v>185000</v>
      </c>
      <c r="J2429" s="20" t="inlineStr">
        <is>
          <t>Nippon Motor Corporation Pvt Ltd</t>
        </is>
      </c>
      <c r="K2429" s="20" t="inlineStr">
        <is>
          <t>Non-Captive</t>
        </is>
      </c>
      <c r="L2429" s="20" t="inlineStr">
        <is>
          <t>POPULAR THRISSUR</t>
        </is>
      </c>
      <c r="M2429" s="23" t="n">
        <v>5000</v>
      </c>
      <c r="N2429" s="23" t="n">
        <v>5900</v>
      </c>
      <c r="O2429" s="24">
        <f>IF(AND(ISNUMBER(M2429), ISNUMBER(I2429), I2429&gt;0), M2429/I2429, "")</f>
        <v/>
      </c>
    </row>
    <row r="2430">
      <c r="A2430" s="19" t="inlineStr">
        <is>
          <t>FY27</t>
        </is>
      </c>
      <c r="B2430" s="19" t="inlineStr">
        <is>
          <t>Jun</t>
        </is>
      </c>
      <c r="C2430" s="19" t="inlineStr">
        <is>
          <t>TN</t>
        </is>
      </c>
      <c r="D2430" s="20" t="inlineStr">
        <is>
          <t>KL22D4057</t>
        </is>
      </c>
      <c r="E2430" s="20" t="inlineStr">
        <is>
          <t>MARUTI SUZUKI</t>
        </is>
      </c>
      <c r="F2430" s="20" t="inlineStr">
        <is>
          <t>Sx4</t>
        </is>
      </c>
      <c r="G2430" s="21" t="n">
        <v>2012</v>
      </c>
      <c r="H2430" s="22" t="n">
        <v>138385</v>
      </c>
      <c r="I2430" s="23" t="n">
        <v>135000</v>
      </c>
      <c r="J2430" s="20" t="inlineStr">
        <is>
          <t>DERIK MOTORS PRIVATE LIMITED</t>
        </is>
      </c>
      <c r="K2430" s="20" t="inlineStr">
        <is>
          <t>Non-Captive</t>
        </is>
      </c>
      <c r="L2430" s="20" t="inlineStr">
        <is>
          <t>SABU SALAM</t>
        </is>
      </c>
      <c r="M2430" s="23" t="n">
        <v>8474.58</v>
      </c>
      <c r="N2430" s="23" t="n">
        <v>10000</v>
      </c>
      <c r="O2430" s="24">
        <f>IF(AND(ISNUMBER(M2430), ISNUMBER(I2430), I2430&gt;0), M2430/I2430, "")</f>
        <v/>
      </c>
    </row>
    <row r="2431">
      <c r="A2431" s="19" t="inlineStr">
        <is>
          <t>FY27</t>
        </is>
      </c>
      <c r="B2431" s="19" t="inlineStr">
        <is>
          <t>Jun</t>
        </is>
      </c>
      <c r="C2431" s="19" t="inlineStr">
        <is>
          <t>TN</t>
        </is>
      </c>
      <c r="D2431" s="20" t="inlineStr">
        <is>
          <t>KL01CH1976</t>
        </is>
      </c>
      <c r="E2431" s="20" t="inlineStr">
        <is>
          <t>MARUTI SUZUKI</t>
        </is>
      </c>
      <c r="F2431" s="20" t="inlineStr">
        <is>
          <t>Swift Dzire</t>
        </is>
      </c>
      <c r="G2431" s="21" t="n">
        <v>2018</v>
      </c>
      <c r="H2431" s="22" t="n">
        <v>120690</v>
      </c>
      <c r="I2431" s="23" t="n">
        <v>185000</v>
      </c>
      <c r="J2431" s="20" t="inlineStr">
        <is>
          <t>POPULAR MOTORWORLD PVT LTD</t>
        </is>
      </c>
      <c r="K2431" s="20" t="inlineStr">
        <is>
          <t>Non-Captive</t>
        </is>
      </c>
      <c r="L2431" s="20" t="inlineStr">
        <is>
          <t>SABU SALAM</t>
        </is>
      </c>
      <c r="M2431" s="23" t="n">
        <v>8474.58</v>
      </c>
      <c r="N2431" s="23" t="n">
        <v>10000</v>
      </c>
      <c r="O2431" s="24">
        <f>IF(AND(ISNUMBER(M2431), ISNUMBER(I2431), I2431&gt;0), M2431/I2431, "")</f>
        <v/>
      </c>
    </row>
    <row r="2432">
      <c r="A2432" s="19" t="inlineStr">
        <is>
          <t>FY27</t>
        </is>
      </c>
      <c r="B2432" s="19" t="inlineStr">
        <is>
          <t>Jun</t>
        </is>
      </c>
      <c r="C2432" s="19" t="inlineStr">
        <is>
          <t>TN</t>
        </is>
      </c>
      <c r="D2432" s="20" t="inlineStr">
        <is>
          <t>TN02AT8898</t>
        </is>
      </c>
      <c r="E2432" s="20" t="inlineStr">
        <is>
          <t>HYUNDAI</t>
        </is>
      </c>
      <c r="F2432" s="20" t="inlineStr">
        <is>
          <t>I10</t>
        </is>
      </c>
      <c r="G2432" s="21" t="n">
        <v>2012</v>
      </c>
      <c r="H2432" s="22" t="n">
        <v>65670</v>
      </c>
      <c r="I2432" s="23" t="n">
        <v>150000</v>
      </c>
      <c r="J2432" s="20" t="inlineStr">
        <is>
          <t>PRODUCTIVITY ELEMENTS PRIVATE LIMITED</t>
        </is>
      </c>
      <c r="K2432" s="20" t="inlineStr">
        <is>
          <t>Non-Captive</t>
        </is>
      </c>
      <c r="L2432" s="20" t="inlineStr">
        <is>
          <t>NIrmal Cars</t>
        </is>
      </c>
      <c r="M2432" s="23" t="n">
        <v>4237.29</v>
      </c>
      <c r="N2432" s="23" t="n">
        <v>5000</v>
      </c>
      <c r="O2432" s="24">
        <f>IF(AND(ISNUMBER(M2432), ISNUMBER(I2432), I2432&gt;0), M2432/I2432, "")</f>
        <v/>
      </c>
    </row>
    <row r="2433">
      <c r="A2433" s="19" t="inlineStr">
        <is>
          <t>FY27</t>
        </is>
      </c>
      <c r="B2433" s="19" t="inlineStr">
        <is>
          <t>Jun</t>
        </is>
      </c>
      <c r="C2433" s="19" t="inlineStr">
        <is>
          <t>TN</t>
        </is>
      </c>
      <c r="D2433" s="20" t="inlineStr">
        <is>
          <t>TN22DS7853</t>
        </is>
      </c>
      <c r="E2433" s="20" t="inlineStr">
        <is>
          <t>HYUNDAI</t>
        </is>
      </c>
      <c r="F2433" s="20" t="inlineStr">
        <is>
          <t>Grand I10</t>
        </is>
      </c>
      <c r="G2433" s="21" t="n">
        <v>2020</v>
      </c>
      <c r="H2433" s="22" t="n">
        <v>18740</v>
      </c>
      <c r="I2433" s="23" t="n">
        <v>420000</v>
      </c>
      <c r="J2433" s="20" t="inlineStr">
        <is>
          <t>CARS INDIA</t>
        </is>
      </c>
      <c r="K2433" s="20" t="inlineStr">
        <is>
          <t>Non-Captive</t>
        </is>
      </c>
      <c r="L2433" s="20" t="inlineStr">
        <is>
          <t>NIrmal Cars</t>
        </is>
      </c>
      <c r="M2433" s="23" t="n">
        <v>8474.58</v>
      </c>
      <c r="N2433" s="23" t="n">
        <v>10000</v>
      </c>
      <c r="O2433" s="24">
        <f>IF(AND(ISNUMBER(M2433), ISNUMBER(I2433), I2433&gt;0), M2433/I2433, "")</f>
        <v/>
      </c>
    </row>
    <row r="2434">
      <c r="A2434" s="19" t="inlineStr">
        <is>
          <t>FY27</t>
        </is>
      </c>
      <c r="B2434" s="19" t="inlineStr">
        <is>
          <t>Jun</t>
        </is>
      </c>
      <c r="C2434" s="19" t="inlineStr">
        <is>
          <t>TN</t>
        </is>
      </c>
      <c r="D2434" s="20" t="inlineStr">
        <is>
          <t>TN48AA2952</t>
        </is>
      </c>
      <c r="E2434" s="20" t="inlineStr">
        <is>
          <t>MARUTI SUZUKI</t>
        </is>
      </c>
      <c r="F2434" s="20" t="inlineStr">
        <is>
          <t>Swift</t>
        </is>
      </c>
      <c r="G2434" s="21" t="n">
        <v>2013</v>
      </c>
      <c r="H2434" s="22" t="n">
        <v>18895</v>
      </c>
      <c r="I2434" s="23" t="n">
        <v>300000</v>
      </c>
      <c r="J2434" s="20" t="inlineStr">
        <is>
          <t>AIE CARS PRIVATE LIMITED</t>
        </is>
      </c>
      <c r="K2434" s="20" t="inlineStr">
        <is>
          <t>Non-Captive</t>
        </is>
      </c>
      <c r="L2434" s="20" t="inlineStr">
        <is>
          <t>Lanson</t>
        </is>
      </c>
      <c r="M2434" s="23" t="n">
        <v>6779.66</v>
      </c>
      <c r="N2434" s="23" t="n">
        <v>8000</v>
      </c>
      <c r="O2434" s="24">
        <f>IF(AND(ISNUMBER(M2434), ISNUMBER(I2434), I2434&gt;0), M2434/I2434, "")</f>
        <v/>
      </c>
    </row>
    <row r="2435">
      <c r="A2435" s="19" t="inlineStr">
        <is>
          <t>FY27</t>
        </is>
      </c>
      <c r="B2435" s="19" t="inlineStr">
        <is>
          <t>Jun</t>
        </is>
      </c>
      <c r="C2435" s="19" t="inlineStr">
        <is>
          <t>TN</t>
        </is>
      </c>
      <c r="D2435" s="20" t="inlineStr">
        <is>
          <t>TN05CD0119</t>
        </is>
      </c>
      <c r="E2435" s="20" t="inlineStr">
        <is>
          <t>RENAULT</t>
        </is>
      </c>
      <c r="F2435" s="20" t="inlineStr">
        <is>
          <t>Kwid</t>
        </is>
      </c>
      <c r="G2435" s="21" t="n">
        <v>2021</v>
      </c>
      <c r="H2435" s="22" t="n">
        <v>120418</v>
      </c>
      <c r="I2435" s="23" t="n">
        <v>325000</v>
      </c>
      <c r="J2435" s="20" t="inlineStr">
        <is>
          <t>Castel Traders Honda</t>
        </is>
      </c>
      <c r="K2435" s="20" t="inlineStr">
        <is>
          <t>Non-Captive</t>
        </is>
      </c>
      <c r="L2435" s="20" t="inlineStr">
        <is>
          <t>AAA Cars</t>
        </is>
      </c>
      <c r="M2435" s="23" t="n">
        <v>8474.58</v>
      </c>
      <c r="N2435" s="23" t="n">
        <v>10000</v>
      </c>
      <c r="O2435" s="24">
        <f>IF(AND(ISNUMBER(M2435), ISNUMBER(I2435), I2435&gt;0), M2435/I2435, "")</f>
        <v/>
      </c>
    </row>
    <row r="2436">
      <c r="A2436" s="19" t="inlineStr">
        <is>
          <t>FY27</t>
        </is>
      </c>
      <c r="B2436" s="19" t="inlineStr">
        <is>
          <t>Jun</t>
        </is>
      </c>
      <c r="C2436" s="19" t="inlineStr">
        <is>
          <t>TN</t>
        </is>
      </c>
      <c r="D2436" s="20" t="inlineStr">
        <is>
          <t>TN10AF9599</t>
        </is>
      </c>
      <c r="E2436" s="20" t="inlineStr">
        <is>
          <t>TOYOTA</t>
        </is>
      </c>
      <c r="F2436" s="20" t="inlineStr">
        <is>
          <t>Etios</t>
        </is>
      </c>
      <c r="G2436" s="21" t="n">
        <v>2011</v>
      </c>
      <c r="H2436" s="22" t="n">
        <v>86000</v>
      </c>
      <c r="I2436" s="23" t="n">
        <v>240000</v>
      </c>
      <c r="J2436" s="20" t="inlineStr">
        <is>
          <t>Castel Traders Honda</t>
        </is>
      </c>
      <c r="K2436" s="20" t="inlineStr">
        <is>
          <t>Non-Captive</t>
        </is>
      </c>
      <c r="L2436" s="20" t="inlineStr">
        <is>
          <t>Pine Autos</t>
        </is>
      </c>
      <c r="M2436" s="23" t="n">
        <v>8474.58</v>
      </c>
      <c r="N2436" s="23" t="n">
        <v>10000</v>
      </c>
      <c r="O2436" s="24">
        <f>IF(AND(ISNUMBER(M2436), ISNUMBER(I2436), I2436&gt;0), M2436/I2436, "")</f>
        <v/>
      </c>
    </row>
    <row r="2437">
      <c r="A2437" s="19" t="inlineStr">
        <is>
          <t>FY27</t>
        </is>
      </c>
      <c r="B2437" s="19" t="inlineStr">
        <is>
          <t>Jun</t>
        </is>
      </c>
      <c r="C2437" s="19" t="inlineStr">
        <is>
          <t>TN</t>
        </is>
      </c>
      <c r="D2437" s="20" t="inlineStr">
        <is>
          <t>TN12L2208</t>
        </is>
      </c>
      <c r="E2437" s="20" t="inlineStr">
        <is>
          <t>MARUTI SUZUKI</t>
        </is>
      </c>
      <c r="F2437" s="20" t="inlineStr">
        <is>
          <t>Swift Dzire</t>
        </is>
      </c>
      <c r="G2437" s="21" t="n">
        <v>2016</v>
      </c>
      <c r="H2437" s="22" t="n">
        <v>218237</v>
      </c>
      <c r="I2437" s="23" t="n">
        <v>150000</v>
      </c>
      <c r="J2437" s="20" t="inlineStr">
        <is>
          <t>POPULAR VEHICLES AND SERVICES LIMITED</t>
        </is>
      </c>
      <c r="K2437" s="20" t="inlineStr">
        <is>
          <t>Non-Captive</t>
        </is>
      </c>
      <c r="L2437" s="20" t="inlineStr">
        <is>
          <t>Senthil Cars</t>
        </is>
      </c>
      <c r="M2437" s="23" t="n">
        <v>5084.75</v>
      </c>
      <c r="N2437" s="23" t="n">
        <v>6000</v>
      </c>
      <c r="O2437" s="24">
        <f>IF(AND(ISNUMBER(M2437), ISNUMBER(I2437), I2437&gt;0), M2437/I2437, "")</f>
        <v/>
      </c>
    </row>
    <row r="2438">
      <c r="A2438" s="19" t="inlineStr">
        <is>
          <t>FY27</t>
        </is>
      </c>
      <c r="B2438" s="19" t="inlineStr">
        <is>
          <t>Jun</t>
        </is>
      </c>
      <c r="C2438" s="19" t="inlineStr">
        <is>
          <t>TN</t>
        </is>
      </c>
      <c r="D2438" s="20" t="inlineStr">
        <is>
          <t>TN09AZ7688</t>
        </is>
      </c>
      <c r="E2438" s="20" t="inlineStr">
        <is>
          <t>MARUTI SUZUKI</t>
        </is>
      </c>
      <c r="F2438" s="20" t="inlineStr">
        <is>
          <t>Omni</t>
        </is>
      </c>
      <c r="G2438" s="21" t="n">
        <v>2009</v>
      </c>
      <c r="H2438" s="22" t="n">
        <v>144347</v>
      </c>
      <c r="I2438" s="23" t="n">
        <v>100000</v>
      </c>
      <c r="J2438" s="20" t="inlineStr">
        <is>
          <t>PLA MOTORS</t>
        </is>
      </c>
      <c r="K2438" s="20" t="inlineStr">
        <is>
          <t>Non-Captive</t>
        </is>
      </c>
      <c r="L2438" s="20" t="inlineStr">
        <is>
          <t>Senthil Cars</t>
        </is>
      </c>
      <c r="M2438" s="23" t="n">
        <v>4237.29</v>
      </c>
      <c r="N2438" s="23" t="n">
        <v>5000</v>
      </c>
      <c r="O2438" s="24">
        <f>IF(AND(ISNUMBER(M2438), ISNUMBER(I2438), I2438&gt;0), M2438/I2438, "")</f>
        <v/>
      </c>
    </row>
    <row r="2439">
      <c r="A2439" s="19" t="inlineStr">
        <is>
          <t>FY27</t>
        </is>
      </c>
      <c r="B2439" s="19" t="inlineStr">
        <is>
          <t>Jun</t>
        </is>
      </c>
      <c r="C2439" s="19" t="inlineStr">
        <is>
          <t>TN</t>
        </is>
      </c>
      <c r="D2439" s="20" t="inlineStr">
        <is>
          <t>TN42X5172</t>
        </is>
      </c>
      <c r="E2439" s="20" t="inlineStr">
        <is>
          <t>TATA</t>
        </is>
      </c>
      <c r="F2439" s="20" t="inlineStr">
        <is>
          <t>Indica</t>
        </is>
      </c>
      <c r="G2439" s="21" t="n">
        <v>2010</v>
      </c>
      <c r="H2439" s="22" t="n">
        <v>67786</v>
      </c>
      <c r="I2439" s="23" t="n">
        <v>80000</v>
      </c>
      <c r="J2439" s="20" t="inlineStr">
        <is>
          <t>AIE CARS PRIVATE LIMITED</t>
        </is>
      </c>
      <c r="K2439" s="20" t="inlineStr">
        <is>
          <t>Non-Captive</t>
        </is>
      </c>
      <c r="L2439" s="20" t="inlineStr">
        <is>
          <t>S2 Cars</t>
        </is>
      </c>
      <c r="M2439" s="23" t="n">
        <v>4237.29</v>
      </c>
      <c r="N2439" s="23" t="n">
        <v>5000</v>
      </c>
      <c r="O2439" s="24">
        <f>IF(AND(ISNUMBER(M2439), ISNUMBER(I2439), I2439&gt;0), M2439/I2439, "")</f>
        <v/>
      </c>
    </row>
    <row r="2440">
      <c r="A2440" s="19" t="inlineStr">
        <is>
          <t>FY27</t>
        </is>
      </c>
      <c r="B2440" s="19" t="inlineStr">
        <is>
          <t>Jun</t>
        </is>
      </c>
      <c r="C2440" s="19" t="inlineStr">
        <is>
          <t>TN</t>
        </is>
      </c>
      <c r="D2440" s="20" t="inlineStr">
        <is>
          <t>TN04AM4482</t>
        </is>
      </c>
      <c r="E2440" s="20" t="inlineStr">
        <is>
          <t>MARUTI SUZUKI</t>
        </is>
      </c>
      <c r="F2440" s="20" t="inlineStr">
        <is>
          <t>Ritz</t>
        </is>
      </c>
      <c r="G2440" s="21" t="n">
        <v>2014</v>
      </c>
      <c r="H2440" s="22" t="n">
        <v>93374</v>
      </c>
      <c r="I2440" s="23" t="n">
        <v>96000</v>
      </c>
      <c r="J2440" s="20" t="inlineStr">
        <is>
          <t>STEER AUTO TECHNOLOGIES PRIVATE LIMITED</t>
        </is>
      </c>
      <c r="K2440" s="20" t="inlineStr">
        <is>
          <t>Non-Captive</t>
        </is>
      </c>
      <c r="L2440" s="20" t="inlineStr">
        <is>
          <t>Senthil Cars</t>
        </is>
      </c>
      <c r="M2440" s="23" t="n">
        <v>4237.29</v>
      </c>
      <c r="N2440" s="23" t="n">
        <v>5000</v>
      </c>
      <c r="O2440" s="24">
        <f>IF(AND(ISNUMBER(M2440), ISNUMBER(I2440), I2440&gt;0), M2440/I2440, "")</f>
        <v/>
      </c>
    </row>
    <row r="2441">
      <c r="A2441" s="19" t="inlineStr">
        <is>
          <t>FY27</t>
        </is>
      </c>
      <c r="B2441" s="19" t="inlineStr">
        <is>
          <t>Jun</t>
        </is>
      </c>
      <c r="C2441" s="19" t="inlineStr">
        <is>
          <t>TN</t>
        </is>
      </c>
      <c r="D2441" s="20" t="inlineStr">
        <is>
          <t>TN23CF0761</t>
        </is>
      </c>
      <c r="E2441" s="20" t="inlineStr">
        <is>
          <t>HYUNDAI</t>
        </is>
      </c>
      <c r="F2441" s="20" t="inlineStr">
        <is>
          <t>Grand I10</t>
        </is>
      </c>
      <c r="G2441" s="21" t="n">
        <v>2017</v>
      </c>
      <c r="H2441" s="22" t="n">
        <v>89034</v>
      </c>
      <c r="I2441" s="23" t="n">
        <v>91000</v>
      </c>
      <c r="J2441" s="20" t="inlineStr">
        <is>
          <t>JAINS CAR SHOPEE</t>
        </is>
      </c>
      <c r="K2441" s="20" t="inlineStr">
        <is>
          <t>Non-Captive</t>
        </is>
      </c>
      <c r="L2441" s="20" t="inlineStr">
        <is>
          <t>Senthil Cars</t>
        </is>
      </c>
      <c r="M2441" s="23" t="n">
        <v>4237.29</v>
      </c>
      <c r="N2441" s="23" t="n">
        <v>5000</v>
      </c>
      <c r="O2441" s="24">
        <f>IF(AND(ISNUMBER(M2441), ISNUMBER(I2441), I2441&gt;0), M2441/I2441, "")</f>
        <v/>
      </c>
    </row>
    <row r="2442">
      <c r="A2442" s="19" t="inlineStr">
        <is>
          <t>FY27</t>
        </is>
      </c>
      <c r="B2442" s="19" t="inlineStr">
        <is>
          <t>Jun</t>
        </is>
      </c>
      <c r="C2442" s="19" t="inlineStr">
        <is>
          <t>TN</t>
        </is>
      </c>
      <c r="D2442" s="20" t="inlineStr">
        <is>
          <t>TN07CP8032</t>
        </is>
      </c>
      <c r="E2442" s="20" t="inlineStr">
        <is>
          <t>FORD</t>
        </is>
      </c>
      <c r="F2442" s="20" t="inlineStr">
        <is>
          <t>Figo Aspire</t>
        </is>
      </c>
      <c r="G2442" s="21" t="n">
        <v>2018</v>
      </c>
      <c r="H2442" s="22" t="n">
        <v>89303</v>
      </c>
      <c r="I2442" s="23" t="n">
        <v>180000</v>
      </c>
      <c r="J2442" s="20" t="inlineStr">
        <is>
          <t>PEEYESYEM HK MOTORS LLP</t>
        </is>
      </c>
      <c r="K2442" s="20" t="inlineStr">
        <is>
          <t>Non-Captive</t>
        </is>
      </c>
      <c r="L2442" s="20" t="inlineStr">
        <is>
          <t>Senthil Cars</t>
        </is>
      </c>
      <c r="M2442" s="23" t="n">
        <v>5084.75</v>
      </c>
      <c r="N2442" s="23" t="n">
        <v>6000</v>
      </c>
      <c r="O2442" s="24">
        <f>IF(AND(ISNUMBER(M2442), ISNUMBER(I2442), I2442&gt;0), M2442/I2442, "")</f>
        <v/>
      </c>
    </row>
    <row r="2443">
      <c r="A2443" s="19" t="inlineStr">
        <is>
          <t>FY27</t>
        </is>
      </c>
      <c r="B2443" s="19" t="inlineStr">
        <is>
          <t>Jun</t>
        </is>
      </c>
      <c r="C2443" s="19" t="inlineStr">
        <is>
          <t>TN</t>
        </is>
      </c>
      <c r="D2443" s="20" t="inlineStr">
        <is>
          <t>TN18U7128</t>
        </is>
      </c>
      <c r="E2443" s="20" t="inlineStr">
        <is>
          <t>HYUNDAI</t>
        </is>
      </c>
      <c r="F2443" s="20" t="inlineStr">
        <is>
          <t>Eon</t>
        </is>
      </c>
      <c r="G2443" s="21" t="n">
        <v>2013</v>
      </c>
      <c r="H2443" s="22" t="n">
        <v>111374</v>
      </c>
      <c r="I2443" s="23" t="n">
        <v>93000</v>
      </c>
      <c r="J2443" s="20" t="inlineStr">
        <is>
          <t>PEEYESYEM HK MOTORS LLP</t>
        </is>
      </c>
      <c r="K2443" s="20" t="inlineStr">
        <is>
          <t>Non-Captive</t>
        </is>
      </c>
      <c r="L2443" s="20" t="inlineStr">
        <is>
          <t>Senthil Cars</t>
        </is>
      </c>
      <c r="M2443" s="23" t="n">
        <v>4237.29</v>
      </c>
      <c r="N2443" s="23" t="n">
        <v>5000</v>
      </c>
      <c r="O2443" s="24">
        <f>IF(AND(ISNUMBER(M2443), ISNUMBER(I2443), I2443&gt;0), M2443/I2443, "")</f>
        <v/>
      </c>
    </row>
    <row r="2444">
      <c r="A2444" s="19" t="inlineStr">
        <is>
          <t>FY27</t>
        </is>
      </c>
      <c r="B2444" s="19" t="inlineStr">
        <is>
          <t>Jun</t>
        </is>
      </c>
      <c r="C2444" s="19" t="inlineStr">
        <is>
          <t>TN</t>
        </is>
      </c>
      <c r="D2444" s="20" t="inlineStr">
        <is>
          <t>TN01AF9599</t>
        </is>
      </c>
      <c r="E2444" s="20" t="inlineStr">
        <is>
          <t>HINDUSTAN MOTOR</t>
        </is>
      </c>
      <c r="F2444" s="20" t="inlineStr">
        <is>
          <t>Ambassador</t>
        </is>
      </c>
      <c r="G2444" s="21" t="n">
        <v>2008</v>
      </c>
      <c r="H2444" s="22" t="n">
        <v>99754</v>
      </c>
      <c r="I2444" s="23" t="n">
        <v>70000</v>
      </c>
      <c r="J2444" s="20" t="inlineStr">
        <is>
          <t>Castel Traders Honda</t>
        </is>
      </c>
      <c r="K2444" s="20" t="inlineStr">
        <is>
          <t>Non-Captive</t>
        </is>
      </c>
      <c r="L2444" s="20" t="inlineStr">
        <is>
          <t>Senthil Cars</t>
        </is>
      </c>
      <c r="M2444" s="23" t="n">
        <v>4237.29</v>
      </c>
      <c r="N2444" s="23" t="n">
        <v>5000</v>
      </c>
      <c r="O2444" s="24">
        <f>IF(AND(ISNUMBER(M2444), ISNUMBER(I2444), I2444&gt;0), M2444/I2444, "")</f>
        <v/>
      </c>
    </row>
    <row r="2445">
      <c r="A2445" s="19" t="inlineStr">
        <is>
          <t>FY27</t>
        </is>
      </c>
      <c r="B2445" s="19" t="inlineStr">
        <is>
          <t>Jun</t>
        </is>
      </c>
      <c r="C2445" s="19" t="inlineStr">
        <is>
          <t>TN</t>
        </is>
      </c>
      <c r="D2445" s="20" t="inlineStr">
        <is>
          <t>TN20AL2791</t>
        </is>
      </c>
      <c r="E2445" s="20" t="inlineStr">
        <is>
          <t>MARUTI SUZUKI</t>
        </is>
      </c>
      <c r="F2445" s="20" t="inlineStr">
        <is>
          <t>Alto</t>
        </is>
      </c>
      <c r="G2445" s="21" t="n">
        <v>2008</v>
      </c>
      <c r="H2445" s="22" t="n">
        <v>153471</v>
      </c>
      <c r="I2445" s="23" t="n">
        <v>75000</v>
      </c>
      <c r="J2445" s="20" t="inlineStr">
        <is>
          <t>Khivraj Motor</t>
        </is>
      </c>
      <c r="K2445" s="20" t="inlineStr">
        <is>
          <t>Non-Captive</t>
        </is>
      </c>
      <c r="L2445" s="20" t="inlineStr">
        <is>
          <t>Vijaya Cars</t>
        </is>
      </c>
      <c r="M2445" s="23" t="n">
        <v>4237.29</v>
      </c>
      <c r="N2445" s="23" t="n">
        <v>5000</v>
      </c>
      <c r="O2445" s="24">
        <f>IF(AND(ISNUMBER(M2445), ISNUMBER(I2445), I2445&gt;0), M2445/I2445, "")</f>
        <v/>
      </c>
    </row>
    <row r="2446">
      <c r="A2446" s="19" t="inlineStr">
        <is>
          <t>FY27</t>
        </is>
      </c>
      <c r="B2446" s="19" t="inlineStr">
        <is>
          <t>Jun</t>
        </is>
      </c>
      <c r="C2446" s="19" t="inlineStr">
        <is>
          <t>TN</t>
        </is>
      </c>
      <c r="D2446" s="20" t="inlineStr">
        <is>
          <t>TN09CL0889</t>
        </is>
      </c>
      <c r="E2446" s="20" t="inlineStr">
        <is>
          <t>VOLKSWAGEN</t>
        </is>
      </c>
      <c r="F2446" s="20" t="inlineStr">
        <is>
          <t>Polo</t>
        </is>
      </c>
      <c r="G2446" s="21" t="n">
        <v>2017</v>
      </c>
      <c r="H2446" s="22" t="n">
        <v>201326</v>
      </c>
      <c r="I2446" s="23" t="n">
        <v>245000</v>
      </c>
      <c r="J2446" s="20" t="inlineStr">
        <is>
          <t>Khivraj Motor</t>
        </is>
      </c>
      <c r="K2446" s="20" t="inlineStr">
        <is>
          <t>Non-Captive</t>
        </is>
      </c>
      <c r="L2446" s="20" t="inlineStr">
        <is>
          <t>Senthil Cars</t>
        </is>
      </c>
      <c r="M2446" s="23" t="n">
        <v>7627.12</v>
      </c>
      <c r="N2446" s="23" t="n">
        <v>9000</v>
      </c>
      <c r="O2446" s="24">
        <f>IF(AND(ISNUMBER(M2446), ISNUMBER(I2446), I2446&gt;0), M2446/I2446, "")</f>
        <v/>
      </c>
    </row>
    <row r="2447">
      <c r="A2447" s="19" t="inlineStr">
        <is>
          <t>FY27</t>
        </is>
      </c>
      <c r="B2447" s="19" t="inlineStr">
        <is>
          <t>Jun</t>
        </is>
      </c>
      <c r="C2447" s="19" t="inlineStr">
        <is>
          <t>TN</t>
        </is>
      </c>
      <c r="D2447" s="20" t="inlineStr">
        <is>
          <t>TN36AZ5859</t>
        </is>
      </c>
      <c r="E2447" s="20" t="inlineStr">
        <is>
          <t>HONDA</t>
        </is>
      </c>
      <c r="F2447" s="20" t="inlineStr">
        <is>
          <t>Jazz</t>
        </is>
      </c>
      <c r="G2447" s="21" t="n">
        <v>2012</v>
      </c>
      <c r="H2447" s="22" t="n">
        <v>203360</v>
      </c>
      <c r="I2447" s="23" t="n">
        <v>210000</v>
      </c>
      <c r="J2447" s="20" t="inlineStr">
        <is>
          <t>EXCHANGE ROTN</t>
        </is>
      </c>
      <c r="K2447" s="20" t="inlineStr">
        <is>
          <t>Captive</t>
        </is>
      </c>
      <c r="L2447" s="20" t="inlineStr">
        <is>
          <t>Uzhavan Entp</t>
        </is>
      </c>
      <c r="M2447" s="23" t="n">
        <v>6779.66</v>
      </c>
      <c r="N2447" s="23" t="n">
        <v>8000</v>
      </c>
      <c r="O2447" s="24">
        <f>IF(AND(ISNUMBER(M2447), ISNUMBER(I2447), I2447&gt;0), M2447/I2447, "")</f>
        <v/>
      </c>
    </row>
    <row r="2448">
      <c r="A2448" s="19" t="inlineStr">
        <is>
          <t>FY27</t>
        </is>
      </c>
      <c r="B2448" s="19" t="inlineStr">
        <is>
          <t>Jun</t>
        </is>
      </c>
      <c r="C2448" s="19" t="inlineStr">
        <is>
          <t>TN</t>
        </is>
      </c>
      <c r="D2448" s="20" t="inlineStr">
        <is>
          <t>TN66F3376</t>
        </is>
      </c>
      <c r="E2448" s="20" t="inlineStr">
        <is>
          <t>HYUNDAI</t>
        </is>
      </c>
      <c r="F2448" s="20" t="inlineStr">
        <is>
          <t>I10</t>
        </is>
      </c>
      <c r="G2448" s="21" t="n">
        <v>2012</v>
      </c>
      <c r="H2448" s="22" t="n">
        <v>106956</v>
      </c>
      <c r="I2448" s="23" t="n">
        <v>210000</v>
      </c>
      <c r="J2448" s="20" t="inlineStr">
        <is>
          <t>EXCHANGE ROTN</t>
        </is>
      </c>
      <c r="K2448" s="20" t="inlineStr">
        <is>
          <t>Captive</t>
        </is>
      </c>
      <c r="L2448" s="20" t="inlineStr">
        <is>
          <t>Senthur Finance</t>
        </is>
      </c>
      <c r="M2448" s="23" t="n">
        <v>12711.86</v>
      </c>
      <c r="N2448" s="23" t="n">
        <v>15000</v>
      </c>
      <c r="O2448" s="24">
        <f>IF(AND(ISNUMBER(M2448), ISNUMBER(I2448), I2448&gt;0), M2448/I2448, "")</f>
        <v/>
      </c>
    </row>
    <row r="2449">
      <c r="A2449" s="19" t="inlineStr">
        <is>
          <t>FY27</t>
        </is>
      </c>
      <c r="B2449" s="19" t="inlineStr">
        <is>
          <t>Jun</t>
        </is>
      </c>
      <c r="C2449" s="19" t="inlineStr">
        <is>
          <t>TN</t>
        </is>
      </c>
      <c r="D2449" s="20" t="inlineStr">
        <is>
          <t>TN59AA4565</t>
        </is>
      </c>
      <c r="E2449" s="20" t="inlineStr">
        <is>
          <t>MARUTI SUZUKI</t>
        </is>
      </c>
      <c r="F2449" s="20" t="inlineStr">
        <is>
          <t>Omni</t>
        </is>
      </c>
      <c r="G2449" s="21" t="n">
        <v>2005</v>
      </c>
      <c r="H2449" s="22" t="n">
        <v>187962</v>
      </c>
      <c r="I2449" s="23" t="n">
        <v>85000</v>
      </c>
      <c r="J2449" s="20" t="inlineStr">
        <is>
          <t>AUTOMOTIVATORS</t>
        </is>
      </c>
      <c r="K2449" s="20" t="inlineStr">
        <is>
          <t>Non-Captive</t>
        </is>
      </c>
      <c r="L2449" s="20" t="inlineStr">
        <is>
          <t>Purushotham Cars</t>
        </is>
      </c>
      <c r="M2449" s="23" t="n">
        <v>4237.29</v>
      </c>
      <c r="N2449" s="23" t="n">
        <v>5000</v>
      </c>
      <c r="O2449" s="24">
        <f>IF(AND(ISNUMBER(M2449), ISNUMBER(I2449), I2449&gt;0), M2449/I2449, "")</f>
        <v/>
      </c>
    </row>
    <row r="2450">
      <c r="A2450" s="19" t="inlineStr">
        <is>
          <t>FY27</t>
        </is>
      </c>
      <c r="B2450" s="19" t="inlineStr">
        <is>
          <t>Jun</t>
        </is>
      </c>
      <c r="C2450" s="19" t="inlineStr">
        <is>
          <t>TN</t>
        </is>
      </c>
      <c r="D2450" s="20" t="inlineStr">
        <is>
          <t>TN69M5701</t>
        </is>
      </c>
      <c r="E2450" s="20" t="inlineStr">
        <is>
          <t>MARUTI SUZUKI</t>
        </is>
      </c>
      <c r="F2450" s="20" t="inlineStr">
        <is>
          <t>Omni</t>
        </is>
      </c>
      <c r="G2450" s="21" t="n">
        <v>2008</v>
      </c>
      <c r="H2450" s="22" t="n">
        <v>89332</v>
      </c>
      <c r="I2450" s="23" t="n">
        <v>93000</v>
      </c>
      <c r="J2450" s="20" t="inlineStr">
        <is>
          <t>KSM AUTO CONSULTING</t>
        </is>
      </c>
      <c r="K2450" s="20" t="inlineStr">
        <is>
          <t>Non-Captive</t>
        </is>
      </c>
      <c r="L2450" s="20" t="inlineStr">
        <is>
          <t>Purushotham Cars</t>
        </is>
      </c>
      <c r="M2450" s="23" t="n">
        <v>4237.29</v>
      </c>
      <c r="N2450" s="23" t="n">
        <v>5000</v>
      </c>
      <c r="O2450" s="24">
        <f>IF(AND(ISNUMBER(M2450), ISNUMBER(I2450), I2450&gt;0), M2450/I2450, "")</f>
        <v/>
      </c>
    </row>
    <row r="2451">
      <c r="A2451" s="19" t="inlineStr">
        <is>
          <t>FY27</t>
        </is>
      </c>
      <c r="B2451" s="19" t="inlineStr">
        <is>
          <t>Jun</t>
        </is>
      </c>
      <c r="C2451" s="19" t="inlineStr">
        <is>
          <t>TN</t>
        </is>
      </c>
      <c r="D2451" s="20" t="inlineStr">
        <is>
          <t>TN02AK1598</t>
        </is>
      </c>
      <c r="E2451" s="20" t="inlineStr">
        <is>
          <t>CHEVROLET</t>
        </is>
      </c>
      <c r="F2451" s="20" t="inlineStr">
        <is>
          <t>Spark</t>
        </is>
      </c>
      <c r="G2451" s="21" t="n">
        <v>2009</v>
      </c>
      <c r="H2451" s="22" t="n">
        <v>84324</v>
      </c>
      <c r="I2451" s="23" t="n">
        <v>60000</v>
      </c>
      <c r="J2451" s="20" t="inlineStr">
        <is>
          <t>VIVEK CARS</t>
        </is>
      </c>
      <c r="K2451" s="20" t="inlineStr">
        <is>
          <t>Non-Captive</t>
        </is>
      </c>
      <c r="L2451" s="20" t="inlineStr">
        <is>
          <t>Purushotham Cars</t>
        </is>
      </c>
      <c r="M2451" s="23" t="n">
        <v>4237.29</v>
      </c>
      <c r="N2451" s="23" t="n">
        <v>5000</v>
      </c>
      <c r="O2451" s="24">
        <f>IF(AND(ISNUMBER(M2451), ISNUMBER(I2451), I2451&gt;0), M2451/I2451, "")</f>
        <v/>
      </c>
    </row>
    <row r="2452">
      <c r="A2452" s="19" t="inlineStr">
        <is>
          <t>FY27</t>
        </is>
      </c>
      <c r="B2452" s="19" t="inlineStr">
        <is>
          <t>Jun</t>
        </is>
      </c>
      <c r="C2452" s="19" t="inlineStr">
        <is>
          <t>TN</t>
        </is>
      </c>
      <c r="D2452" s="20" t="inlineStr">
        <is>
          <t>TN65AH1389</t>
        </is>
      </c>
      <c r="E2452" s="20" t="inlineStr">
        <is>
          <t>DATSUN</t>
        </is>
      </c>
      <c r="F2452" s="20" t="inlineStr">
        <is>
          <t>Redi-Go</t>
        </is>
      </c>
      <c r="G2452" s="21" t="n">
        <v>2018</v>
      </c>
      <c r="H2452" s="22" t="n">
        <v>41537</v>
      </c>
      <c r="I2452" s="23" t="n">
        <v>98000</v>
      </c>
      <c r="J2452" s="20" t="inlineStr">
        <is>
          <t>BALAJI CARS (THENI)</t>
        </is>
      </c>
      <c r="K2452" s="20" t="inlineStr">
        <is>
          <t>Non-Captive</t>
        </is>
      </c>
      <c r="L2452" s="20" t="inlineStr">
        <is>
          <t>Purushotham Cars</t>
        </is>
      </c>
      <c r="M2452" s="23" t="n">
        <v>4237.29</v>
      </c>
      <c r="N2452" s="23" t="n">
        <v>5000</v>
      </c>
      <c r="O2452" s="24">
        <f>IF(AND(ISNUMBER(M2452), ISNUMBER(I2452), I2452&gt;0), M2452/I2452, "")</f>
        <v/>
      </c>
    </row>
    <row r="2453">
      <c r="A2453" s="19" t="inlineStr">
        <is>
          <t>FY27</t>
        </is>
      </c>
      <c r="B2453" s="19" t="inlineStr">
        <is>
          <t>Jun</t>
        </is>
      </c>
      <c r="C2453" s="19" t="inlineStr">
        <is>
          <t>TN</t>
        </is>
      </c>
      <c r="D2453" s="20" t="inlineStr">
        <is>
          <t>TN58AT1389</t>
        </is>
      </c>
      <c r="E2453" s="20" t="inlineStr">
        <is>
          <t>HYUNDAI</t>
        </is>
      </c>
      <c r="F2453" s="20" t="inlineStr">
        <is>
          <t>Eon</t>
        </is>
      </c>
      <c r="G2453" s="21" t="n">
        <v>2018</v>
      </c>
      <c r="H2453" s="22" t="n">
        <v>205290</v>
      </c>
      <c r="I2453" s="23" t="n">
        <v>95000</v>
      </c>
      <c r="J2453" s="20" t="inlineStr">
        <is>
          <t>PURUSOTHAMAN J CARS</t>
        </is>
      </c>
      <c r="K2453" s="20" t="inlineStr">
        <is>
          <t>Non-Captive</t>
        </is>
      </c>
      <c r="L2453" s="20" t="inlineStr">
        <is>
          <t>Vivek Cars</t>
        </is>
      </c>
      <c r="M2453" s="23" t="n">
        <v>4237.29</v>
      </c>
      <c r="N2453" s="23" t="n">
        <v>5000</v>
      </c>
      <c r="O2453" s="24">
        <f>IF(AND(ISNUMBER(M2453), ISNUMBER(I2453), I2453&gt;0), M2453/I2453, "")</f>
        <v/>
      </c>
    </row>
    <row r="2454">
      <c r="A2454" s="19" t="inlineStr">
        <is>
          <t>FY27</t>
        </is>
      </c>
      <c r="B2454" s="19" t="inlineStr">
        <is>
          <t>Jun</t>
        </is>
      </c>
      <c r="C2454" s="19" t="inlineStr">
        <is>
          <t>TN</t>
        </is>
      </c>
      <c r="D2454" s="20" t="inlineStr">
        <is>
          <t>TN60AC4237</t>
        </is>
      </c>
      <c r="E2454" s="20" t="inlineStr">
        <is>
          <t>DATSUN</t>
        </is>
      </c>
      <c r="F2454" s="20" t="inlineStr">
        <is>
          <t>Redi-Go</t>
        </is>
      </c>
      <c r="G2454" s="21" t="n">
        <v>2017</v>
      </c>
      <c r="H2454" s="22" t="n">
        <v>27943</v>
      </c>
      <c r="I2454" s="23" t="n">
        <v>95000</v>
      </c>
      <c r="J2454" s="20" t="inlineStr">
        <is>
          <t>PURUSOTHAMAN J CARS</t>
        </is>
      </c>
      <c r="K2454" s="20" t="inlineStr">
        <is>
          <t>Non-Captive</t>
        </is>
      </c>
      <c r="L2454" s="20" t="inlineStr">
        <is>
          <t>Vivek Cars</t>
        </is>
      </c>
      <c r="M2454" s="23" t="n">
        <v>4237.29</v>
      </c>
      <c r="N2454" s="23" t="n">
        <v>5000</v>
      </c>
      <c r="O2454" s="24">
        <f>IF(AND(ISNUMBER(M2454), ISNUMBER(I2454), I2454&gt;0), M2454/I2454, "")</f>
        <v/>
      </c>
    </row>
    <row r="2455">
      <c r="A2455" s="19" t="inlineStr">
        <is>
          <t>FY27</t>
        </is>
      </c>
      <c r="B2455" s="19" t="inlineStr">
        <is>
          <t>Jun</t>
        </is>
      </c>
      <c r="C2455" s="19" t="inlineStr">
        <is>
          <t>TN</t>
        </is>
      </c>
      <c r="D2455" s="20" t="inlineStr">
        <is>
          <t>TN58R6498</t>
        </is>
      </c>
      <c r="E2455" s="20" t="inlineStr">
        <is>
          <t>FORD</t>
        </is>
      </c>
      <c r="F2455" s="20" t="inlineStr">
        <is>
          <t>Fiesta</t>
        </is>
      </c>
      <c r="G2455" s="21" t="n">
        <v>2007</v>
      </c>
      <c r="H2455" s="22" t="n">
        <v>149729</v>
      </c>
      <c r="I2455" s="23" t="n">
        <v>60000</v>
      </c>
      <c r="J2455" s="20" t="inlineStr">
        <is>
          <t>AUTOMOTIVATORS</t>
        </is>
      </c>
      <c r="K2455" s="20" t="inlineStr">
        <is>
          <t>Non-Captive</t>
        </is>
      </c>
      <c r="L2455" s="20" t="inlineStr">
        <is>
          <t>Vivek Cars</t>
        </is>
      </c>
      <c r="M2455" s="23" t="n">
        <v>4237.29</v>
      </c>
      <c r="N2455" s="23" t="n">
        <v>5000</v>
      </c>
      <c r="O2455" s="24">
        <f>IF(AND(ISNUMBER(M2455), ISNUMBER(I2455), I2455&gt;0), M2455/I2455, "")</f>
        <v/>
      </c>
    </row>
    <row r="2456">
      <c r="A2456" s="19" t="inlineStr">
        <is>
          <t>FY27</t>
        </is>
      </c>
      <c r="B2456" s="19" t="inlineStr">
        <is>
          <t>Jun</t>
        </is>
      </c>
      <c r="C2456" s="19" t="inlineStr">
        <is>
          <t>TN</t>
        </is>
      </c>
      <c r="D2456" s="20" t="inlineStr">
        <is>
          <t>TN65U5727</t>
        </is>
      </c>
      <c r="E2456" s="20" t="inlineStr">
        <is>
          <t>TATA</t>
        </is>
      </c>
      <c r="F2456" s="20" t="inlineStr">
        <is>
          <t>Indica</t>
        </is>
      </c>
      <c r="G2456" s="21" t="n">
        <v>2015</v>
      </c>
      <c r="H2456" s="22" t="n">
        <v>361599</v>
      </c>
      <c r="I2456" s="23" t="n">
        <v>45000</v>
      </c>
      <c r="J2456" s="20" t="inlineStr">
        <is>
          <t>KSM AUTO CONSULTING</t>
        </is>
      </c>
      <c r="K2456" s="20" t="inlineStr">
        <is>
          <t>Non-Captive</t>
        </is>
      </c>
      <c r="L2456" s="20" t="inlineStr">
        <is>
          <t>Vivek Cars</t>
        </is>
      </c>
      <c r="M2456" s="23" t="n">
        <v>4237.29</v>
      </c>
      <c r="N2456" s="23" t="n">
        <v>5000</v>
      </c>
      <c r="O2456" s="24">
        <f>IF(AND(ISNUMBER(M2456), ISNUMBER(I2456), I2456&gt;0), M2456/I2456, "")</f>
        <v/>
      </c>
    </row>
    <row r="2457">
      <c r="A2457" s="19" t="inlineStr">
        <is>
          <t>FY27</t>
        </is>
      </c>
      <c r="B2457" s="19" t="inlineStr">
        <is>
          <t>Jun</t>
        </is>
      </c>
      <c r="C2457" s="19" t="inlineStr">
        <is>
          <t>TN</t>
        </is>
      </c>
      <c r="D2457" s="20" t="inlineStr">
        <is>
          <t>TN59AR5279</t>
        </is>
      </c>
      <c r="E2457" s="20" t="inlineStr">
        <is>
          <t>NISSAN</t>
        </is>
      </c>
      <c r="F2457" s="20" t="inlineStr">
        <is>
          <t>Micra</t>
        </is>
      </c>
      <c r="G2457" s="21" t="n">
        <v>2011</v>
      </c>
      <c r="H2457" s="22" t="n">
        <v>149532</v>
      </c>
      <c r="I2457" s="23" t="n">
        <v>96000</v>
      </c>
      <c r="J2457" s="20" t="inlineStr">
        <is>
          <t>DINDIGUL VALUE CAR</t>
        </is>
      </c>
      <c r="K2457" s="20" t="inlineStr">
        <is>
          <t>Non-Captive</t>
        </is>
      </c>
      <c r="L2457" s="20" t="inlineStr">
        <is>
          <t>Vivek Cars</t>
        </is>
      </c>
      <c r="M2457" s="23" t="n">
        <v>4237.29</v>
      </c>
      <c r="N2457" s="23" t="n">
        <v>5000</v>
      </c>
      <c r="O2457" s="24">
        <f>IF(AND(ISNUMBER(M2457), ISNUMBER(I2457), I2457&gt;0), M2457/I2457, "")</f>
        <v/>
      </c>
    </row>
    <row r="2458">
      <c r="A2458" s="19" t="inlineStr">
        <is>
          <t>FY27</t>
        </is>
      </c>
      <c r="B2458" s="19" t="inlineStr">
        <is>
          <t>Jun</t>
        </is>
      </c>
      <c r="C2458" s="19" t="inlineStr">
        <is>
          <t>TN</t>
        </is>
      </c>
      <c r="D2458" s="20" t="inlineStr">
        <is>
          <t>TN64C9429</t>
        </is>
      </c>
      <c r="E2458" s="20" t="inlineStr">
        <is>
          <t>HYUNDAI</t>
        </is>
      </c>
      <c r="F2458" s="20" t="inlineStr">
        <is>
          <t>I10</t>
        </is>
      </c>
      <c r="G2458" s="21" t="n">
        <v>2010</v>
      </c>
      <c r="H2458" s="22" t="n">
        <v>118152</v>
      </c>
      <c r="I2458" s="23" t="n">
        <v>85000</v>
      </c>
      <c r="J2458" s="20" t="inlineStr">
        <is>
          <t>SIVA AUTOMOTIVE TRADING PRIVATE LIMITED</t>
        </is>
      </c>
      <c r="K2458" s="20" t="inlineStr">
        <is>
          <t>Non-Captive</t>
        </is>
      </c>
      <c r="L2458" s="20" t="inlineStr">
        <is>
          <t>Vivek Cars</t>
        </is>
      </c>
      <c r="M2458" s="23" t="n">
        <v>4237.29</v>
      </c>
      <c r="N2458" s="23" t="n">
        <v>5000</v>
      </c>
      <c r="O2458" s="24">
        <f>IF(AND(ISNUMBER(M2458), ISNUMBER(I2458), I2458&gt;0), M2458/I2458, "")</f>
        <v/>
      </c>
    </row>
    <row r="2459">
      <c r="A2459" s="19" t="inlineStr">
        <is>
          <t>FY27</t>
        </is>
      </c>
      <c r="B2459" s="19" t="inlineStr">
        <is>
          <t>Jun</t>
        </is>
      </c>
      <c r="C2459" s="19" t="inlineStr">
        <is>
          <t>TN</t>
        </is>
      </c>
      <c r="D2459" s="20" t="inlineStr">
        <is>
          <t>TN63S1724</t>
        </is>
      </c>
      <c r="E2459" s="20" t="inlineStr">
        <is>
          <t>HYUNDAI</t>
        </is>
      </c>
      <c r="F2459" s="20" t="inlineStr">
        <is>
          <t>Santro</t>
        </is>
      </c>
      <c r="G2459" s="21" t="n">
        <v>2008</v>
      </c>
      <c r="H2459" s="22" t="n">
        <v>188449</v>
      </c>
      <c r="I2459" s="23" t="n">
        <v>70000</v>
      </c>
      <c r="J2459" s="20" t="inlineStr">
        <is>
          <t>PAUL CARS</t>
        </is>
      </c>
      <c r="K2459" s="20" t="inlineStr">
        <is>
          <t>Non-Captive</t>
        </is>
      </c>
      <c r="L2459" s="20" t="inlineStr">
        <is>
          <t>Rajaganapathy</t>
        </is>
      </c>
      <c r="M2459" s="23" t="n">
        <v>4237.29</v>
      </c>
      <c r="N2459" s="23" t="n">
        <v>5000</v>
      </c>
      <c r="O2459" s="24">
        <f>IF(AND(ISNUMBER(M2459), ISNUMBER(I2459), I2459&gt;0), M2459/I2459, "")</f>
        <v/>
      </c>
    </row>
    <row r="2460">
      <c r="A2460" s="19" t="inlineStr">
        <is>
          <t>FY27</t>
        </is>
      </c>
      <c r="B2460" s="19" t="inlineStr">
        <is>
          <t>Jun</t>
        </is>
      </c>
      <c r="C2460" s="19" t="inlineStr">
        <is>
          <t>TN</t>
        </is>
      </c>
      <c r="D2460" s="20" t="inlineStr">
        <is>
          <t>TN60V3999</t>
        </is>
      </c>
      <c r="E2460" s="20" t="inlineStr">
        <is>
          <t>HYUNDAI</t>
        </is>
      </c>
      <c r="F2460" s="20" t="inlineStr">
        <is>
          <t>I20</t>
        </is>
      </c>
      <c r="G2460" s="21" t="n">
        <v>2010</v>
      </c>
      <c r="H2460" s="22" t="n">
        <v>131268</v>
      </c>
      <c r="I2460" s="23" t="n">
        <v>95000</v>
      </c>
      <c r="J2460" s="20" t="inlineStr">
        <is>
          <t>SABARISH CARS</t>
        </is>
      </c>
      <c r="K2460" s="20" t="inlineStr">
        <is>
          <t>Non-Captive</t>
        </is>
      </c>
      <c r="L2460" s="20" t="inlineStr">
        <is>
          <t>Rajaganapathy</t>
        </is>
      </c>
      <c r="M2460" s="23" t="n">
        <v>4237.29</v>
      </c>
      <c r="N2460" s="23" t="n">
        <v>5000</v>
      </c>
      <c r="O2460" s="24">
        <f>IF(AND(ISNUMBER(M2460), ISNUMBER(I2460), I2460&gt;0), M2460/I2460, "")</f>
        <v/>
      </c>
    </row>
    <row r="2461">
      <c r="A2461" s="19" t="inlineStr">
        <is>
          <t>FY27</t>
        </is>
      </c>
      <c r="B2461" s="19" t="inlineStr">
        <is>
          <t>Jun</t>
        </is>
      </c>
      <c r="C2461" s="19" t="inlineStr">
        <is>
          <t>TN</t>
        </is>
      </c>
      <c r="D2461" s="20" t="inlineStr">
        <is>
          <t>TN22CD4336</t>
        </is>
      </c>
      <c r="E2461" s="20" t="inlineStr">
        <is>
          <t>HYUNDAI</t>
        </is>
      </c>
      <c r="F2461" s="20" t="inlineStr">
        <is>
          <t>I20</t>
        </is>
      </c>
      <c r="G2461" s="21" t="n">
        <v>2012</v>
      </c>
      <c r="H2461" s="22" t="n">
        <v>147401</v>
      </c>
      <c r="I2461" s="23" t="n">
        <v>93000</v>
      </c>
      <c r="J2461" s="20" t="inlineStr">
        <is>
          <t>PLA MOTORS</t>
        </is>
      </c>
      <c r="K2461" s="20" t="inlineStr">
        <is>
          <t>Non-Captive</t>
        </is>
      </c>
      <c r="L2461" s="20" t="inlineStr">
        <is>
          <t>Rajaganapathy</t>
        </is>
      </c>
      <c r="M2461" s="23" t="n">
        <v>4237.29</v>
      </c>
      <c r="N2461" s="23" t="n">
        <v>5000</v>
      </c>
      <c r="O2461" s="24">
        <f>IF(AND(ISNUMBER(M2461), ISNUMBER(I2461), I2461&gt;0), M2461/I2461, "")</f>
        <v/>
      </c>
    </row>
    <row r="2462">
      <c r="A2462" s="19" t="inlineStr">
        <is>
          <t>FY27</t>
        </is>
      </c>
      <c r="B2462" s="19" t="inlineStr">
        <is>
          <t>Jun</t>
        </is>
      </c>
      <c r="C2462" s="19" t="inlineStr">
        <is>
          <t>TN</t>
        </is>
      </c>
      <c r="D2462" s="20" t="inlineStr">
        <is>
          <t>TN64H0081</t>
        </is>
      </c>
      <c r="E2462" s="20" t="inlineStr">
        <is>
          <t>MARUTI SUZUKI</t>
        </is>
      </c>
      <c r="F2462" s="20" t="inlineStr">
        <is>
          <t>Wagon R</t>
        </is>
      </c>
      <c r="G2462" s="21" t="n">
        <v>2014</v>
      </c>
      <c r="H2462" s="22" t="n">
        <v>87338</v>
      </c>
      <c r="I2462" s="23" t="n">
        <v>90000</v>
      </c>
      <c r="J2462" s="20" t="inlineStr">
        <is>
          <t>SUN CARS</t>
        </is>
      </c>
      <c r="K2462" s="20" t="inlineStr">
        <is>
          <t>Non-Captive</t>
        </is>
      </c>
      <c r="L2462" s="20" t="inlineStr">
        <is>
          <t>Rajaganapathy</t>
        </is>
      </c>
      <c r="M2462" s="23" t="n">
        <v>4237.29</v>
      </c>
      <c r="N2462" s="23" t="n">
        <v>5000</v>
      </c>
      <c r="O2462" s="24">
        <f>IF(AND(ISNUMBER(M2462), ISNUMBER(I2462), I2462&gt;0), M2462/I2462, "")</f>
        <v/>
      </c>
    </row>
    <row r="2463">
      <c r="A2463" s="19" t="inlineStr">
        <is>
          <t>FY27</t>
        </is>
      </c>
      <c r="B2463" s="19" t="inlineStr">
        <is>
          <t>Jun</t>
        </is>
      </c>
      <c r="C2463" s="19" t="inlineStr">
        <is>
          <t>TN</t>
        </is>
      </c>
      <c r="D2463" s="20" t="inlineStr">
        <is>
          <t>TN86B5673</t>
        </is>
      </c>
      <c r="E2463" s="20" t="inlineStr">
        <is>
          <t>MARUTI SUZUKI</t>
        </is>
      </c>
      <c r="F2463" s="20" t="inlineStr">
        <is>
          <t>Swift</t>
        </is>
      </c>
      <c r="G2463" s="21" t="n">
        <v>2016</v>
      </c>
      <c r="H2463" s="22" t="n">
        <v>86784</v>
      </c>
      <c r="I2463" s="23" t="n">
        <v>490000</v>
      </c>
      <c r="J2463" s="20" t="inlineStr">
        <is>
          <t>COIMBATORE ANAMALLAIS AGENCIES PRIVATE LIMITED</t>
        </is>
      </c>
      <c r="K2463" s="20" t="inlineStr">
        <is>
          <t>Non-Captive</t>
        </is>
      </c>
      <c r="L2463" s="20" t="inlineStr">
        <is>
          <t>Srimurugan Cars</t>
        </is>
      </c>
      <c r="M2463" s="23" t="n">
        <v>8474.58</v>
      </c>
      <c r="N2463" s="23" t="n">
        <v>10000</v>
      </c>
      <c r="O2463" s="24">
        <f>IF(AND(ISNUMBER(M2463), ISNUMBER(I2463), I2463&gt;0), M2463/I2463, "")</f>
        <v/>
      </c>
    </row>
    <row r="2464">
      <c r="A2464" s="19" t="inlineStr">
        <is>
          <t>FY27</t>
        </is>
      </c>
      <c r="B2464" s="19" t="inlineStr">
        <is>
          <t>Jun</t>
        </is>
      </c>
      <c r="C2464" s="19" t="inlineStr">
        <is>
          <t>TN</t>
        </is>
      </c>
      <c r="D2464" s="20" t="inlineStr">
        <is>
          <t>TN60J3868</t>
        </is>
      </c>
      <c r="E2464" s="20" t="inlineStr">
        <is>
          <t>TATA</t>
        </is>
      </c>
      <c r="F2464" s="20" t="inlineStr">
        <is>
          <t>Nano</t>
        </is>
      </c>
      <c r="G2464" s="21" t="n">
        <v>2011</v>
      </c>
      <c r="H2464" s="22" t="n">
        <v>110050</v>
      </c>
      <c r="I2464" s="23" t="n">
        <v>40000</v>
      </c>
      <c r="J2464" s="20" t="inlineStr">
        <is>
          <t>M R MOTORS</t>
        </is>
      </c>
      <c r="K2464" s="20" t="inlineStr">
        <is>
          <t>Non-Captive</t>
        </is>
      </c>
      <c r="L2464" s="20" t="inlineStr">
        <is>
          <t>Rajaganapathy</t>
        </is>
      </c>
      <c r="M2464" s="23" t="n">
        <v>4237.29</v>
      </c>
      <c r="N2464" s="23" t="n">
        <v>5000</v>
      </c>
      <c r="O2464" s="24">
        <f>IF(AND(ISNUMBER(M2464), ISNUMBER(I2464), I2464&gt;0), M2464/I2464, "")</f>
        <v/>
      </c>
    </row>
    <row r="2465">
      <c r="A2465" s="19" t="inlineStr">
        <is>
          <t>FY27</t>
        </is>
      </c>
      <c r="B2465" s="19" t="inlineStr">
        <is>
          <t>Jun</t>
        </is>
      </c>
      <c r="C2465" s="19" t="inlineStr">
        <is>
          <t>TN</t>
        </is>
      </c>
      <c r="D2465" s="20" t="inlineStr">
        <is>
          <t>TN58AM5061</t>
        </is>
      </c>
      <c r="E2465" s="20" t="inlineStr">
        <is>
          <t>MARUTI SUZUKI</t>
        </is>
      </c>
      <c r="F2465" s="20" t="inlineStr">
        <is>
          <t>Celerio</t>
        </is>
      </c>
      <c r="G2465" s="21" t="n">
        <v>2016</v>
      </c>
      <c r="H2465" s="22" t="n">
        <v>108868</v>
      </c>
      <c r="I2465" s="23" t="n">
        <v>275000</v>
      </c>
      <c r="J2465" s="20" t="inlineStr">
        <is>
          <t>Khivraj Motor</t>
        </is>
      </c>
      <c r="K2465" s="20" t="inlineStr">
        <is>
          <t>Non-Captive</t>
        </is>
      </c>
      <c r="L2465" s="20" t="inlineStr">
        <is>
          <t>SRI SENTHUR CARS</t>
        </is>
      </c>
      <c r="M2465" s="23" t="n">
        <v>8627.120000000001</v>
      </c>
      <c r="N2465" s="23" t="n">
        <v>10180</v>
      </c>
      <c r="O2465" s="24">
        <f>IF(AND(ISNUMBER(M2465), ISNUMBER(I2465), I2465&gt;0), M2465/I2465, "")</f>
        <v/>
      </c>
    </row>
    <row r="2466">
      <c r="A2466" s="19" t="inlineStr">
        <is>
          <t>FY27</t>
        </is>
      </c>
      <c r="B2466" s="19" t="inlineStr">
        <is>
          <t>Jun</t>
        </is>
      </c>
      <c r="C2466" s="19" t="inlineStr">
        <is>
          <t>TN</t>
        </is>
      </c>
      <c r="D2466" s="20" t="inlineStr">
        <is>
          <t>TN18BF7547</t>
        </is>
      </c>
      <c r="E2466" s="20" t="inlineStr">
        <is>
          <t>MARUTI SUZUKI</t>
        </is>
      </c>
      <c r="F2466" s="20" t="inlineStr">
        <is>
          <t>Swift</t>
        </is>
      </c>
      <c r="G2466" s="21" t="n">
        <v>2022</v>
      </c>
      <c r="H2466" s="22" t="n">
        <v>78555</v>
      </c>
      <c r="I2466" s="23" t="n">
        <v>550000</v>
      </c>
      <c r="J2466" s="20" t="inlineStr">
        <is>
          <t>Khivraj Motor</t>
        </is>
      </c>
      <c r="K2466" s="20" t="inlineStr">
        <is>
          <t>Non-Captive</t>
        </is>
      </c>
      <c r="L2466" s="20" t="inlineStr">
        <is>
          <t>Lanson</t>
        </is>
      </c>
      <c r="M2466" s="23" t="n">
        <v>7627.12</v>
      </c>
      <c r="N2466" s="23" t="n">
        <v>9000</v>
      </c>
      <c r="O2466" s="24">
        <f>IF(AND(ISNUMBER(M2466), ISNUMBER(I2466), I2466&gt;0), M2466/I2466, "")</f>
        <v/>
      </c>
    </row>
    <row r="2467">
      <c r="A2467" s="19" t="inlineStr">
        <is>
          <t>FY27</t>
        </is>
      </c>
      <c r="B2467" s="19" t="inlineStr">
        <is>
          <t>Jun</t>
        </is>
      </c>
      <c r="C2467" s="19" t="inlineStr">
        <is>
          <t>TN</t>
        </is>
      </c>
      <c r="D2467" s="20" t="inlineStr">
        <is>
          <t>TN18AU2590</t>
        </is>
      </c>
      <c r="E2467" s="20" t="inlineStr">
        <is>
          <t>MARUTI SUZUKI</t>
        </is>
      </c>
      <c r="F2467" s="20" t="inlineStr">
        <is>
          <t>Swift</t>
        </is>
      </c>
      <c r="G2467" s="21" t="n">
        <v>2019</v>
      </c>
      <c r="H2467" s="22" t="n">
        <v>43300</v>
      </c>
      <c r="I2467" s="23" t="n">
        <v>425000</v>
      </c>
      <c r="J2467" s="20" t="inlineStr">
        <is>
          <t>Khivraj Motor</t>
        </is>
      </c>
      <c r="K2467" s="20" t="inlineStr">
        <is>
          <t>Non-Captive</t>
        </is>
      </c>
      <c r="L2467" s="20" t="inlineStr">
        <is>
          <t>Lanson</t>
        </is>
      </c>
      <c r="M2467" s="23" t="n">
        <v>7627.12</v>
      </c>
      <c r="N2467" s="23" t="n">
        <v>9000</v>
      </c>
      <c r="O2467" s="24">
        <f>IF(AND(ISNUMBER(M2467), ISNUMBER(I2467), I2467&gt;0), M2467/I2467, "")</f>
        <v/>
      </c>
    </row>
    <row r="2468">
      <c r="A2468" s="19" t="inlineStr">
        <is>
          <t>FY27</t>
        </is>
      </c>
      <c r="B2468" s="19" t="inlineStr">
        <is>
          <t>Jun</t>
        </is>
      </c>
      <c r="C2468" s="19" t="inlineStr">
        <is>
          <t>TN</t>
        </is>
      </c>
      <c r="D2468" s="20" t="inlineStr">
        <is>
          <t>TN136453</t>
        </is>
      </c>
      <c r="E2468" s="20" t="inlineStr">
        <is>
          <t>MAHINDRA</t>
        </is>
      </c>
      <c r="F2468" s="20" t="inlineStr">
        <is>
          <t>Bolero</t>
        </is>
      </c>
      <c r="G2468" s="21" t="n">
        <v>2014</v>
      </c>
      <c r="H2468" s="22" t="n">
        <v>190518</v>
      </c>
      <c r="I2468" s="23" t="n">
        <v>185000</v>
      </c>
      <c r="J2468" s="20" t="inlineStr">
        <is>
          <t>Khivraj Motor</t>
        </is>
      </c>
      <c r="K2468" s="20" t="inlineStr">
        <is>
          <t>Non-Captive</t>
        </is>
      </c>
      <c r="L2468" s="20" t="inlineStr">
        <is>
          <t>Trust On Wheels</t>
        </is>
      </c>
      <c r="M2468" s="23" t="n">
        <v>5084.75</v>
      </c>
      <c r="N2468" s="23" t="n">
        <v>6000</v>
      </c>
      <c r="O2468" s="24">
        <f>IF(AND(ISNUMBER(M2468), ISNUMBER(I2468), I2468&gt;0), M2468/I2468, "")</f>
        <v/>
      </c>
    </row>
    <row r="2469">
      <c r="A2469" s="19" t="inlineStr">
        <is>
          <t>FY27</t>
        </is>
      </c>
      <c r="B2469" s="19" t="inlineStr">
        <is>
          <t>Jun</t>
        </is>
      </c>
      <c r="C2469" s="19" t="inlineStr">
        <is>
          <t>TN</t>
        </is>
      </c>
      <c r="D2469" s="20" t="inlineStr">
        <is>
          <t>TN14AA6305</t>
        </is>
      </c>
      <c r="E2469" s="20" t="inlineStr">
        <is>
          <t>TATA</t>
        </is>
      </c>
      <c r="F2469" s="20" t="inlineStr">
        <is>
          <t>Tigore</t>
        </is>
      </c>
      <c r="G2469" s="21" t="n">
        <v>2022</v>
      </c>
      <c r="H2469" s="22" t="n">
        <v>48782</v>
      </c>
      <c r="I2469" s="23" t="n">
        <v>520000</v>
      </c>
      <c r="J2469" s="20" t="inlineStr">
        <is>
          <t>EXCHANGE CHENNAI</t>
        </is>
      </c>
      <c r="K2469" s="20" t="inlineStr">
        <is>
          <t>Captive</t>
        </is>
      </c>
      <c r="L2469" s="20" t="inlineStr">
        <is>
          <t>Sreeshan</t>
        </is>
      </c>
      <c r="M2469" s="23" t="n">
        <v>8474.58</v>
      </c>
      <c r="N2469" s="23" t="n">
        <v>10000</v>
      </c>
      <c r="O2469" s="24">
        <f>IF(AND(ISNUMBER(M2469), ISNUMBER(I2469), I2469&gt;0), M2469/I2469, "")</f>
        <v/>
      </c>
    </row>
    <row r="2470">
      <c r="A2470" s="19" t="inlineStr">
        <is>
          <t>FY27</t>
        </is>
      </c>
      <c r="B2470" s="19" t="inlineStr">
        <is>
          <t>Jun</t>
        </is>
      </c>
      <c r="C2470" s="19" t="inlineStr">
        <is>
          <t>TN</t>
        </is>
      </c>
      <c r="D2470" s="20" t="inlineStr">
        <is>
          <t>TN13E9927</t>
        </is>
      </c>
      <c r="E2470" s="20" t="inlineStr">
        <is>
          <t>MARUTI SUZUKI</t>
        </is>
      </c>
      <c r="F2470" s="20" t="inlineStr">
        <is>
          <t>Celerio</t>
        </is>
      </c>
      <c r="G2470" s="21" t="n">
        <v>2016</v>
      </c>
      <c r="H2470" s="22" t="n">
        <v>87455</v>
      </c>
      <c r="I2470" s="23" t="n">
        <v>270000</v>
      </c>
      <c r="J2470" s="20" t="inlineStr">
        <is>
          <t>Khivraj Motor</t>
        </is>
      </c>
      <c r="K2470" s="20" t="inlineStr">
        <is>
          <t>Non-Captive</t>
        </is>
      </c>
      <c r="L2470" s="20" t="inlineStr">
        <is>
          <t>AAA Cars</t>
        </is>
      </c>
      <c r="M2470" s="23" t="n">
        <v>8474.58</v>
      </c>
      <c r="N2470" s="23" t="n">
        <v>10000</v>
      </c>
      <c r="O2470" s="24">
        <f>IF(AND(ISNUMBER(M2470), ISNUMBER(I2470), I2470&gt;0), M2470/I2470, "")</f>
        <v/>
      </c>
    </row>
    <row r="2471">
      <c r="A2471" s="19" t="inlineStr">
        <is>
          <t>FY27</t>
        </is>
      </c>
      <c r="B2471" s="19" t="inlineStr">
        <is>
          <t>Jun</t>
        </is>
      </c>
      <c r="C2471" s="19" t="inlineStr">
        <is>
          <t>TN</t>
        </is>
      </c>
      <c r="D2471" s="20" t="inlineStr">
        <is>
          <t>TN64L1237</t>
        </is>
      </c>
      <c r="E2471" s="20" t="inlineStr">
        <is>
          <t>HONDA</t>
        </is>
      </c>
      <c r="F2471" s="20" t="inlineStr">
        <is>
          <t>City</t>
        </is>
      </c>
      <c r="G2471" s="21" t="n">
        <v>2015</v>
      </c>
      <c r="H2471" s="22" t="n">
        <v>46030</v>
      </c>
      <c r="I2471" s="23" t="n">
        <v>460000</v>
      </c>
      <c r="J2471" s="20" t="inlineStr">
        <is>
          <t>EXCHANGE ROTN</t>
        </is>
      </c>
      <c r="K2471" s="20" t="inlineStr">
        <is>
          <t>Captive</t>
        </is>
      </c>
      <c r="L2471" s="20" t="inlineStr">
        <is>
          <t>GGEE Autocare</t>
        </is>
      </c>
      <c r="M2471" s="23" t="n">
        <v>12711.86</v>
      </c>
      <c r="N2471" s="23" t="n">
        <v>15000</v>
      </c>
      <c r="O2471" s="24">
        <f>IF(AND(ISNUMBER(M2471), ISNUMBER(I2471), I2471&gt;0), M2471/I2471, "")</f>
        <v/>
      </c>
    </row>
    <row r="2472">
      <c r="A2472" s="19" t="inlineStr">
        <is>
          <t>FY27</t>
        </is>
      </c>
      <c r="B2472" s="19" t="inlineStr">
        <is>
          <t>Jun</t>
        </is>
      </c>
      <c r="C2472" s="19" t="inlineStr">
        <is>
          <t>TN</t>
        </is>
      </c>
      <c r="D2472" s="20" t="inlineStr">
        <is>
          <t>TN37BF1678</t>
        </is>
      </c>
      <c r="E2472" s="20" t="inlineStr">
        <is>
          <t>MARUTI SUZUKI</t>
        </is>
      </c>
      <c r="F2472" s="20" t="inlineStr">
        <is>
          <t>Alto</t>
        </is>
      </c>
      <c r="G2472" s="21" t="n">
        <v>2009</v>
      </c>
      <c r="H2472" s="22" t="n">
        <v>61675</v>
      </c>
      <c r="I2472" s="23" t="n">
        <v>140000</v>
      </c>
      <c r="J2472" s="20" t="inlineStr">
        <is>
          <t>EXCHANGE ROTN</t>
        </is>
      </c>
      <c r="K2472" s="20" t="inlineStr">
        <is>
          <t>Captive</t>
        </is>
      </c>
      <c r="L2472" s="20" t="inlineStr">
        <is>
          <t>Senthur Finance</t>
        </is>
      </c>
      <c r="M2472" s="23" t="n">
        <v>8474.58</v>
      </c>
      <c r="N2472" s="23" t="n">
        <v>10000</v>
      </c>
      <c r="O2472" s="24">
        <f>IF(AND(ISNUMBER(M2472), ISNUMBER(I2472), I2472&gt;0), M2472/I2472, "")</f>
        <v/>
      </c>
    </row>
    <row r="2473">
      <c r="A2473" s="19" t="inlineStr">
        <is>
          <t>FY27</t>
        </is>
      </c>
      <c r="B2473" s="19" t="inlineStr">
        <is>
          <t>Jun</t>
        </is>
      </c>
      <c r="C2473" s="19" t="inlineStr">
        <is>
          <t>TN</t>
        </is>
      </c>
      <c r="D2473" s="20" t="inlineStr">
        <is>
          <t>TN22BY2665</t>
        </is>
      </c>
      <c r="E2473" s="20" t="inlineStr">
        <is>
          <t>FORD</t>
        </is>
      </c>
      <c r="F2473" s="20" t="inlineStr">
        <is>
          <t>Fiesta</t>
        </is>
      </c>
      <c r="G2473" s="21" t="n">
        <v>2008</v>
      </c>
      <c r="H2473" s="22" t="n">
        <v>147291</v>
      </c>
      <c r="I2473" s="23" t="n">
        <v>60000</v>
      </c>
      <c r="J2473" s="20" t="inlineStr">
        <is>
          <t>EXCHANGE ROTN</t>
        </is>
      </c>
      <c r="K2473" s="20" t="inlineStr">
        <is>
          <t>Captive</t>
        </is>
      </c>
      <c r="L2473" s="20" t="inlineStr">
        <is>
          <t>Shivashankar cars</t>
        </is>
      </c>
      <c r="M2473" s="23" t="n">
        <v>4237.29</v>
      </c>
      <c r="N2473" s="23" t="n">
        <v>5000</v>
      </c>
      <c r="O2473" s="24">
        <f>IF(AND(ISNUMBER(M2473), ISNUMBER(I2473), I2473&gt;0), M2473/I2473, "")</f>
        <v/>
      </c>
    </row>
    <row r="2474">
      <c r="A2474" s="19" t="inlineStr">
        <is>
          <t>FY27</t>
        </is>
      </c>
      <c r="B2474" s="19" t="inlineStr">
        <is>
          <t>Jun</t>
        </is>
      </c>
      <c r="C2474" s="19" t="inlineStr">
        <is>
          <t>TN</t>
        </is>
      </c>
      <c r="D2474" s="20" t="inlineStr">
        <is>
          <t>TN36F5969</t>
        </is>
      </c>
      <c r="E2474" s="20" t="inlineStr">
        <is>
          <t>MARUTI SUZUKI</t>
        </is>
      </c>
      <c r="F2474" s="20" t="inlineStr">
        <is>
          <t>Alto 800</t>
        </is>
      </c>
      <c r="G2474" s="21" t="n">
        <v>2003</v>
      </c>
      <c r="H2474" s="22" t="n">
        <v>97056</v>
      </c>
      <c r="I2474" s="23" t="n">
        <v>45000</v>
      </c>
      <c r="J2474" s="20" t="inlineStr">
        <is>
          <t>LOTUS HYUNDAI (TEJAS CARS PRIVATE LIMITED)</t>
        </is>
      </c>
      <c r="K2474" s="20" t="inlineStr">
        <is>
          <t>Non-Captive</t>
        </is>
      </c>
      <c r="L2474" s="20" t="inlineStr">
        <is>
          <t>Shivashankar cars</t>
        </is>
      </c>
      <c r="M2474" s="23" t="n">
        <v>4237.29</v>
      </c>
      <c r="N2474" s="23" t="n">
        <v>5000</v>
      </c>
      <c r="O2474" s="24">
        <f>IF(AND(ISNUMBER(M2474), ISNUMBER(I2474), I2474&gt;0), M2474/I2474, "")</f>
        <v/>
      </c>
    </row>
    <row r="2475">
      <c r="A2475" s="19" t="inlineStr">
        <is>
          <t>FY27</t>
        </is>
      </c>
      <c r="B2475" s="19" t="inlineStr">
        <is>
          <t>Jun</t>
        </is>
      </c>
      <c r="C2475" s="19" t="inlineStr">
        <is>
          <t>TN</t>
        </is>
      </c>
      <c r="D2475" s="20" t="inlineStr">
        <is>
          <t>TN37V1600</t>
        </is>
      </c>
      <c r="E2475" s="20" t="inlineStr">
        <is>
          <t>MARUTI SUZUKI</t>
        </is>
      </c>
      <c r="F2475" s="20" t="inlineStr">
        <is>
          <t>Zen</t>
        </is>
      </c>
      <c r="G2475" s="21" t="n">
        <v>2000</v>
      </c>
      <c r="H2475" s="22" t="n">
        <v>177007</v>
      </c>
      <c r="I2475" s="23" t="n">
        <v>35000</v>
      </c>
      <c r="J2475" s="20" t="inlineStr">
        <is>
          <t>EXCHANGE ROTN</t>
        </is>
      </c>
      <c r="K2475" s="20" t="inlineStr">
        <is>
          <t>Captive</t>
        </is>
      </c>
      <c r="L2475" s="20" t="inlineStr">
        <is>
          <t>Shivashankar cars</t>
        </is>
      </c>
      <c r="M2475" s="23" t="n">
        <v>4237.29</v>
      </c>
      <c r="N2475" s="23" t="n">
        <v>5000</v>
      </c>
      <c r="O2475" s="24">
        <f>IF(AND(ISNUMBER(M2475), ISNUMBER(I2475), I2475&gt;0), M2475/I2475, "")</f>
        <v/>
      </c>
    </row>
    <row r="2476">
      <c r="A2476" s="19" t="inlineStr">
        <is>
          <t>FY27</t>
        </is>
      </c>
      <c r="B2476" s="19" t="inlineStr">
        <is>
          <t>Jun</t>
        </is>
      </c>
      <c r="C2476" s="19" t="inlineStr">
        <is>
          <t>TN</t>
        </is>
      </c>
      <c r="D2476" s="20" t="inlineStr">
        <is>
          <t>TN59CE0943</t>
        </is>
      </c>
      <c r="E2476" s="20" t="inlineStr">
        <is>
          <t>TATA</t>
        </is>
      </c>
      <c r="F2476" s="20" t="inlineStr">
        <is>
          <t>Nexon</t>
        </is>
      </c>
      <c r="G2476" s="21" t="n">
        <v>2019</v>
      </c>
      <c r="H2476" s="22" t="n">
        <v>36280</v>
      </c>
      <c r="I2476" s="23" t="n">
        <v>440000</v>
      </c>
      <c r="J2476" s="20" t="inlineStr">
        <is>
          <t>EXCHANGE ROTN</t>
        </is>
      </c>
      <c r="K2476" s="20" t="inlineStr">
        <is>
          <t>Captive</t>
        </is>
      </c>
      <c r="L2476" s="20" t="inlineStr">
        <is>
          <t>Paul Cars</t>
        </is>
      </c>
      <c r="M2476" s="23" t="n">
        <v>8474.58</v>
      </c>
      <c r="N2476" s="23" t="n">
        <v>10000</v>
      </c>
      <c r="O2476" s="24">
        <f>IF(AND(ISNUMBER(M2476), ISNUMBER(I2476), I2476&gt;0), M2476/I2476, "")</f>
        <v/>
      </c>
    </row>
    <row r="2477">
      <c r="A2477" s="19" t="inlineStr">
        <is>
          <t>FY27</t>
        </is>
      </c>
      <c r="B2477" s="19" t="inlineStr">
        <is>
          <t>Jun</t>
        </is>
      </c>
      <c r="C2477" s="19" t="inlineStr">
        <is>
          <t>TN</t>
        </is>
      </c>
      <c r="D2477" s="20" t="inlineStr">
        <is>
          <t>TN07BM3649</t>
        </is>
      </c>
      <c r="E2477" s="20" t="inlineStr">
        <is>
          <t>TATA</t>
        </is>
      </c>
      <c r="F2477" s="20" t="inlineStr">
        <is>
          <t>Indica</t>
        </is>
      </c>
      <c r="G2477" s="21" t="n">
        <v>2011</v>
      </c>
      <c r="H2477" s="22" t="n">
        <v>99999</v>
      </c>
      <c r="I2477" s="23" t="n">
        <v>80000</v>
      </c>
      <c r="J2477" s="20" t="inlineStr">
        <is>
          <t>AIE CARS PRIVATE LIMITED</t>
        </is>
      </c>
      <c r="K2477" s="20" t="inlineStr">
        <is>
          <t>Non-Captive</t>
        </is>
      </c>
      <c r="L2477" s="20" t="inlineStr">
        <is>
          <t>Lanson</t>
        </is>
      </c>
      <c r="M2477" s="23" t="n">
        <v>4237.29</v>
      </c>
      <c r="N2477" s="23" t="n">
        <v>5000</v>
      </c>
      <c r="O2477" s="24">
        <f>IF(AND(ISNUMBER(M2477), ISNUMBER(I2477), I2477&gt;0), M2477/I2477, "")</f>
        <v/>
      </c>
    </row>
    <row r="2478">
      <c r="A2478" s="19" t="inlineStr">
        <is>
          <t>FY27</t>
        </is>
      </c>
      <c r="B2478" s="19" t="inlineStr">
        <is>
          <t>Jun</t>
        </is>
      </c>
      <c r="C2478" s="19" t="inlineStr">
        <is>
          <t>TN</t>
        </is>
      </c>
      <c r="D2478" s="20" t="inlineStr">
        <is>
          <t>TN09BQ5221</t>
        </is>
      </c>
      <c r="E2478" s="20" t="inlineStr">
        <is>
          <t>HONDA</t>
        </is>
      </c>
      <c r="F2478" s="20" t="inlineStr">
        <is>
          <t>Brio</t>
        </is>
      </c>
      <c r="G2478" s="21" t="n">
        <v>2012</v>
      </c>
      <c r="H2478" s="22" t="n">
        <v>66137</v>
      </c>
      <c r="I2478" s="23" t="n">
        <v>100000</v>
      </c>
      <c r="J2478" s="20" t="inlineStr">
        <is>
          <t>Maansarovar Honda Cars</t>
        </is>
      </c>
      <c r="K2478" s="20" t="inlineStr">
        <is>
          <t>Non-Captive</t>
        </is>
      </c>
      <c r="L2478" s="20" t="inlineStr">
        <is>
          <t>Lanson</t>
        </is>
      </c>
      <c r="M2478" s="23" t="n">
        <v>4237.29</v>
      </c>
      <c r="N2478" s="23" t="n">
        <v>5000</v>
      </c>
      <c r="O2478" s="24">
        <f>IF(AND(ISNUMBER(M2478), ISNUMBER(I2478), I2478&gt;0), M2478/I2478, "")</f>
        <v/>
      </c>
    </row>
    <row r="2479">
      <c r="A2479" s="19" t="inlineStr">
        <is>
          <t>FY27</t>
        </is>
      </c>
      <c r="B2479" s="19" t="inlineStr">
        <is>
          <t>Jun</t>
        </is>
      </c>
      <c r="C2479" s="19" t="inlineStr">
        <is>
          <t>TN</t>
        </is>
      </c>
      <c r="D2479" s="20" t="inlineStr">
        <is>
          <t>TN22CU3592</t>
        </is>
      </c>
      <c r="E2479" s="20" t="inlineStr">
        <is>
          <t>MARUTI SUZUKI</t>
        </is>
      </c>
      <c r="F2479" s="20" t="inlineStr">
        <is>
          <t>Alto K10</t>
        </is>
      </c>
      <c r="G2479" s="21" t="n">
        <v>2012</v>
      </c>
      <c r="H2479" s="22" t="n">
        <v>59008</v>
      </c>
      <c r="I2479" s="23" t="n">
        <v>120000</v>
      </c>
      <c r="J2479" s="20" t="inlineStr">
        <is>
          <t>AIE CARS PRIVATE LIMITED</t>
        </is>
      </c>
      <c r="K2479" s="20" t="inlineStr">
        <is>
          <t>Non-Captive</t>
        </is>
      </c>
      <c r="L2479" s="20" t="inlineStr">
        <is>
          <t>Lanson</t>
        </is>
      </c>
      <c r="M2479" s="23" t="n">
        <v>4237.29</v>
      </c>
      <c r="N2479" s="23" t="n">
        <v>5000</v>
      </c>
      <c r="O2479" s="24">
        <f>IF(AND(ISNUMBER(M2479), ISNUMBER(I2479), I2479&gt;0), M2479/I2479, "")</f>
        <v/>
      </c>
    </row>
    <row r="2480">
      <c r="A2480" s="19" t="inlineStr">
        <is>
          <t>FY27</t>
        </is>
      </c>
      <c r="B2480" s="19" t="inlineStr">
        <is>
          <t>Jun</t>
        </is>
      </c>
      <c r="C2480" s="19" t="inlineStr">
        <is>
          <t>TN</t>
        </is>
      </c>
      <c r="D2480" s="20" t="inlineStr">
        <is>
          <t>TN09BA1400</t>
        </is>
      </c>
      <c r="E2480" s="20" t="inlineStr">
        <is>
          <t>HYUNDAI</t>
        </is>
      </c>
      <c r="F2480" s="20" t="inlineStr">
        <is>
          <t>I20</t>
        </is>
      </c>
      <c r="G2480" s="21" t="n">
        <v>2009</v>
      </c>
      <c r="H2480" s="22" t="n">
        <v>103202</v>
      </c>
      <c r="I2480" s="23" t="n">
        <v>130000</v>
      </c>
      <c r="J2480" s="20" t="inlineStr">
        <is>
          <t>PEEYESYEM HK MOTORS LLP</t>
        </is>
      </c>
      <c r="K2480" s="20" t="inlineStr">
        <is>
          <t>Non-Captive</t>
        </is>
      </c>
      <c r="L2480" s="20" t="inlineStr">
        <is>
          <t>Lanson</t>
        </is>
      </c>
      <c r="M2480" s="23" t="n">
        <v>4237.29</v>
      </c>
      <c r="N2480" s="23" t="n">
        <v>5000</v>
      </c>
      <c r="O2480" s="24">
        <f>IF(AND(ISNUMBER(M2480), ISNUMBER(I2480), I2480&gt;0), M2480/I2480, "")</f>
        <v/>
      </c>
    </row>
    <row r="2481">
      <c r="A2481" s="19" t="inlineStr">
        <is>
          <t>FY27</t>
        </is>
      </c>
      <c r="B2481" s="19" t="inlineStr">
        <is>
          <t>Jun</t>
        </is>
      </c>
      <c r="C2481" s="19" t="inlineStr">
        <is>
          <t>TN</t>
        </is>
      </c>
      <c r="D2481" s="20" t="inlineStr">
        <is>
          <t>TN09BU3992</t>
        </is>
      </c>
      <c r="E2481" s="20" t="inlineStr">
        <is>
          <t>NISSAN</t>
        </is>
      </c>
      <c r="F2481" s="20" t="inlineStr">
        <is>
          <t>Micra</t>
        </is>
      </c>
      <c r="G2481" s="21" t="n">
        <v>2013</v>
      </c>
      <c r="H2481" s="22" t="n">
        <v>77141</v>
      </c>
      <c r="I2481" s="23" t="n">
        <v>150000</v>
      </c>
      <c r="J2481" s="20" t="inlineStr">
        <is>
          <t>STEER AUTO TECHNOLOGIES PRIVATE LIMITED</t>
        </is>
      </c>
      <c r="K2481" s="20" t="inlineStr">
        <is>
          <t>Non-Captive</t>
        </is>
      </c>
      <c r="L2481" s="20" t="inlineStr">
        <is>
          <t>Lanson</t>
        </is>
      </c>
      <c r="M2481" s="23" t="n">
        <v>4237.29</v>
      </c>
      <c r="N2481" s="23" t="n">
        <v>5000</v>
      </c>
      <c r="O2481" s="24">
        <f>IF(AND(ISNUMBER(M2481), ISNUMBER(I2481), I2481&gt;0), M2481/I2481, "")</f>
        <v/>
      </c>
    </row>
    <row r="2482">
      <c r="A2482" s="19" t="inlineStr">
        <is>
          <t>FY27</t>
        </is>
      </c>
      <c r="B2482" s="19" t="inlineStr">
        <is>
          <t>Jun</t>
        </is>
      </c>
      <c r="C2482" s="19" t="inlineStr">
        <is>
          <t>TN</t>
        </is>
      </c>
      <c r="D2482" s="20" t="inlineStr">
        <is>
          <t>TN20CZ6303</t>
        </is>
      </c>
      <c r="E2482" s="20" t="inlineStr">
        <is>
          <t>VOLKSWAGEN</t>
        </is>
      </c>
      <c r="F2482" s="20" t="inlineStr">
        <is>
          <t>Polo</t>
        </is>
      </c>
      <c r="G2482" s="21" t="n">
        <v>2012</v>
      </c>
      <c r="H2482" s="22" t="n">
        <v>157774</v>
      </c>
      <c r="I2482" s="23" t="n">
        <v>170000</v>
      </c>
      <c r="J2482" s="20" t="inlineStr">
        <is>
          <t>STEER AUTO TECHNOLOGIES PRIVATE LIMITED</t>
        </is>
      </c>
      <c r="K2482" s="20" t="inlineStr">
        <is>
          <t>Non-Captive</t>
        </is>
      </c>
      <c r="L2482" s="20" t="inlineStr">
        <is>
          <t>Lanson</t>
        </is>
      </c>
      <c r="M2482" s="23" t="n">
        <v>4237.29</v>
      </c>
      <c r="N2482" s="23" t="n">
        <v>5000</v>
      </c>
      <c r="O2482" s="24">
        <f>IF(AND(ISNUMBER(M2482), ISNUMBER(I2482), I2482&gt;0), M2482/I2482, "")</f>
        <v/>
      </c>
    </row>
    <row r="2483">
      <c r="A2483" s="19" t="inlineStr">
        <is>
          <t>FY27</t>
        </is>
      </c>
      <c r="B2483" s="19" t="inlineStr">
        <is>
          <t>Jun</t>
        </is>
      </c>
      <c r="C2483" s="19" t="inlineStr">
        <is>
          <t>TN</t>
        </is>
      </c>
      <c r="D2483" s="20" t="inlineStr">
        <is>
          <t>TN10AQ2914</t>
        </is>
      </c>
      <c r="E2483" s="20" t="inlineStr">
        <is>
          <t>HYUNDAI</t>
        </is>
      </c>
      <c r="F2483" s="20" t="inlineStr">
        <is>
          <t>Xcent</t>
        </is>
      </c>
      <c r="G2483" s="21" t="n">
        <v>2014</v>
      </c>
      <c r="H2483" s="22" t="n">
        <v>106981</v>
      </c>
      <c r="I2483" s="23" t="n">
        <v>200000</v>
      </c>
      <c r="J2483" s="20" t="inlineStr">
        <is>
          <t>STEER AUTO TECHNOLOGIES PRIVATE LIMITED</t>
        </is>
      </c>
      <c r="K2483" s="20" t="inlineStr">
        <is>
          <t>Non-Captive</t>
        </is>
      </c>
      <c r="L2483" s="20" t="inlineStr">
        <is>
          <t>Lanson</t>
        </is>
      </c>
      <c r="M2483" s="23" t="n">
        <v>4237.29</v>
      </c>
      <c r="N2483" s="23" t="n">
        <v>5000</v>
      </c>
      <c r="O2483" s="24">
        <f>IF(AND(ISNUMBER(M2483), ISNUMBER(I2483), I2483&gt;0), M2483/I2483, "")</f>
        <v/>
      </c>
    </row>
    <row r="2484">
      <c r="A2484" s="19" t="inlineStr">
        <is>
          <t>FY27</t>
        </is>
      </c>
      <c r="B2484" s="19" t="inlineStr">
        <is>
          <t>Jun</t>
        </is>
      </c>
      <c r="C2484" s="19" t="inlineStr">
        <is>
          <t>TN</t>
        </is>
      </c>
      <c r="D2484" s="20" t="inlineStr">
        <is>
          <t>TN13K5441</t>
        </is>
      </c>
      <c r="E2484" s="20" t="inlineStr">
        <is>
          <t>HYUNDAI</t>
        </is>
      </c>
      <c r="F2484" s="20" t="inlineStr">
        <is>
          <t>Grand I10</t>
        </is>
      </c>
      <c r="G2484" s="21" t="n">
        <v>2017</v>
      </c>
      <c r="H2484" s="22" t="n">
        <v>61669</v>
      </c>
      <c r="I2484" s="23" t="n">
        <v>270000</v>
      </c>
      <c r="J2484" s="20" t="inlineStr">
        <is>
          <t>STEER AUTO TECHNOLOGIES PRIVATE LIMITED</t>
        </is>
      </c>
      <c r="K2484" s="20" t="inlineStr">
        <is>
          <t>Non-Captive</t>
        </is>
      </c>
      <c r="L2484" s="20" t="inlineStr">
        <is>
          <t>Lanson</t>
        </is>
      </c>
      <c r="M2484" s="23" t="n">
        <v>4237.29</v>
      </c>
      <c r="N2484" s="23" t="n">
        <v>5000</v>
      </c>
      <c r="O2484" s="24">
        <f>IF(AND(ISNUMBER(M2484), ISNUMBER(I2484), I2484&gt;0), M2484/I2484, "")</f>
        <v/>
      </c>
    </row>
    <row r="2485">
      <c r="A2485" s="19" t="inlineStr">
        <is>
          <t>FY27</t>
        </is>
      </c>
      <c r="B2485" s="19" t="inlineStr">
        <is>
          <t>Jun</t>
        </is>
      </c>
      <c r="C2485" s="19" t="inlineStr">
        <is>
          <t>TN</t>
        </is>
      </c>
      <c r="D2485" s="20" t="inlineStr">
        <is>
          <t>TN22CQ8217</t>
        </is>
      </c>
      <c r="E2485" s="20" t="inlineStr">
        <is>
          <t>HYUNDAI</t>
        </is>
      </c>
      <c r="F2485" s="20" t="inlineStr">
        <is>
          <t>I10</t>
        </is>
      </c>
      <c r="G2485" s="21" t="n">
        <v>2014</v>
      </c>
      <c r="H2485" s="22" t="n">
        <v>47875</v>
      </c>
      <c r="I2485" s="23" t="n">
        <v>300000</v>
      </c>
      <c r="J2485" s="20" t="inlineStr">
        <is>
          <t>STEER AUTO TECHNOLOGIES PRIVATE LIMITED</t>
        </is>
      </c>
      <c r="K2485" s="20" t="inlineStr">
        <is>
          <t>Non-Captive</t>
        </is>
      </c>
      <c r="L2485" s="20" t="inlineStr">
        <is>
          <t>Lanson</t>
        </is>
      </c>
      <c r="M2485" s="23" t="n">
        <v>4237.29</v>
      </c>
      <c r="N2485" s="23" t="n">
        <v>5000</v>
      </c>
      <c r="O2485" s="24">
        <f>IF(AND(ISNUMBER(M2485), ISNUMBER(I2485), I2485&gt;0), M2485/I2485, "")</f>
        <v/>
      </c>
    </row>
    <row r="2486">
      <c r="A2486" s="19" t="inlineStr">
        <is>
          <t>FY27</t>
        </is>
      </c>
      <c r="B2486" s="19" t="inlineStr">
        <is>
          <t>Jun</t>
        </is>
      </c>
      <c r="C2486" s="19" t="inlineStr">
        <is>
          <t>TN</t>
        </is>
      </c>
      <c r="D2486" s="20" t="inlineStr">
        <is>
          <t>TN11X9689</t>
        </is>
      </c>
      <c r="E2486" s="20" t="inlineStr">
        <is>
          <t>NISSAN</t>
        </is>
      </c>
      <c r="F2486" s="20" t="inlineStr">
        <is>
          <t>Terrano</t>
        </is>
      </c>
      <c r="G2486" s="21" t="n">
        <v>2013</v>
      </c>
      <c r="H2486" s="22" t="n">
        <v>128350</v>
      </c>
      <c r="I2486" s="23" t="n">
        <v>300000</v>
      </c>
      <c r="J2486" s="20" t="inlineStr">
        <is>
          <t>STEER AUTO TECHNOLOGIES PRIVATE LIMITED</t>
        </is>
      </c>
      <c r="K2486" s="20" t="inlineStr">
        <is>
          <t>Non-Captive</t>
        </is>
      </c>
      <c r="L2486" s="20" t="inlineStr">
        <is>
          <t>Lanson</t>
        </is>
      </c>
      <c r="M2486" s="23" t="n">
        <v>4237.29</v>
      </c>
      <c r="N2486" s="23" t="n">
        <v>5000</v>
      </c>
      <c r="O2486" s="24">
        <f>IF(AND(ISNUMBER(M2486), ISNUMBER(I2486), I2486&gt;0), M2486/I2486, "")</f>
        <v/>
      </c>
    </row>
    <row r="2487">
      <c r="A2487" s="19" t="inlineStr">
        <is>
          <t>FY27</t>
        </is>
      </c>
      <c r="B2487" s="19" t="inlineStr">
        <is>
          <t>Jun</t>
        </is>
      </c>
      <c r="C2487" s="19" t="inlineStr">
        <is>
          <t>TN</t>
        </is>
      </c>
      <c r="D2487" s="20" t="inlineStr">
        <is>
          <t>TN10AT0652</t>
        </is>
      </c>
      <c r="E2487" s="20" t="inlineStr">
        <is>
          <t>HYUNDAI</t>
        </is>
      </c>
      <c r="F2487" s="20" t="inlineStr">
        <is>
          <t>I20</t>
        </is>
      </c>
      <c r="G2487" s="21" t="n">
        <v>2015</v>
      </c>
      <c r="H2487" s="22" t="n">
        <v>111835</v>
      </c>
      <c r="I2487" s="23" t="n">
        <v>300000</v>
      </c>
      <c r="J2487" s="20" t="inlineStr">
        <is>
          <t>STEER AUTO TECHNOLOGIES PRIVATE LIMITED</t>
        </is>
      </c>
      <c r="K2487" s="20" t="inlineStr">
        <is>
          <t>Non-Captive</t>
        </is>
      </c>
      <c r="L2487" s="20" t="inlineStr">
        <is>
          <t>Lanson</t>
        </is>
      </c>
      <c r="M2487" s="23" t="n">
        <v>4237.29</v>
      </c>
      <c r="N2487" s="23" t="n">
        <v>5000</v>
      </c>
      <c r="O2487" s="24">
        <f>IF(AND(ISNUMBER(M2487), ISNUMBER(I2487), I2487&gt;0), M2487/I2487, "")</f>
        <v/>
      </c>
    </row>
    <row r="2488">
      <c r="A2488" s="19" t="inlineStr">
        <is>
          <t>FY27</t>
        </is>
      </c>
      <c r="B2488" s="19" t="inlineStr">
        <is>
          <t>Jun</t>
        </is>
      </c>
      <c r="C2488" s="19" t="inlineStr">
        <is>
          <t>TN</t>
        </is>
      </c>
      <c r="D2488" s="20" t="inlineStr">
        <is>
          <t>TN07CP8031</t>
        </is>
      </c>
      <c r="E2488" s="20" t="inlineStr">
        <is>
          <t>HONDA</t>
        </is>
      </c>
      <c r="F2488" s="20" t="inlineStr">
        <is>
          <t>Jazz</t>
        </is>
      </c>
      <c r="G2488" s="21" t="n">
        <v>2018</v>
      </c>
      <c r="H2488" s="22" t="n">
        <v>75752</v>
      </c>
      <c r="I2488" s="23" t="n">
        <v>350000</v>
      </c>
      <c r="J2488" s="20" t="inlineStr">
        <is>
          <t>PEEYESYEM HK MOTORS LLP</t>
        </is>
      </c>
      <c r="K2488" s="20" t="inlineStr">
        <is>
          <t>Non-Captive</t>
        </is>
      </c>
      <c r="L2488" s="20" t="inlineStr">
        <is>
          <t>Santhosh Cars</t>
        </is>
      </c>
      <c r="M2488" s="23" t="n">
        <v>4237.29</v>
      </c>
      <c r="N2488" s="23" t="n">
        <v>5000</v>
      </c>
      <c r="O2488" s="24">
        <f>IF(AND(ISNUMBER(M2488), ISNUMBER(I2488), I2488&gt;0), M2488/I2488, "")</f>
        <v/>
      </c>
    </row>
    <row r="2489">
      <c r="A2489" s="19" t="inlineStr">
        <is>
          <t>FY27</t>
        </is>
      </c>
      <c r="B2489" s="19" t="inlineStr">
        <is>
          <t>Jun</t>
        </is>
      </c>
      <c r="C2489" s="19" t="inlineStr">
        <is>
          <t>TN</t>
        </is>
      </c>
      <c r="D2489" s="20" t="inlineStr">
        <is>
          <t>TN14M4343</t>
        </is>
      </c>
      <c r="E2489" s="20" t="inlineStr">
        <is>
          <t>VOLKSWAGEN</t>
        </is>
      </c>
      <c r="F2489" s="20" t="inlineStr">
        <is>
          <t>Vento</t>
        </is>
      </c>
      <c r="G2489" s="21" t="n">
        <v>2017</v>
      </c>
      <c r="H2489" s="22" t="n">
        <v>58730</v>
      </c>
      <c r="I2489" s="23" t="n">
        <v>350000</v>
      </c>
      <c r="J2489" s="20" t="inlineStr">
        <is>
          <t>AIE CARS PRIVATE LIMITED</t>
        </is>
      </c>
      <c r="K2489" s="20" t="inlineStr">
        <is>
          <t>Non-Captive</t>
        </is>
      </c>
      <c r="L2489" s="20" t="inlineStr">
        <is>
          <t>Santhosh Cars</t>
        </is>
      </c>
      <c r="M2489" s="23" t="n">
        <v>4237.29</v>
      </c>
      <c r="N2489" s="23" t="n">
        <v>5000</v>
      </c>
      <c r="O2489" s="24">
        <f>IF(AND(ISNUMBER(M2489), ISNUMBER(I2489), I2489&gt;0), M2489/I2489, "")</f>
        <v/>
      </c>
    </row>
    <row r="2490">
      <c r="A2490" s="19" t="inlineStr">
        <is>
          <t>FY27</t>
        </is>
      </c>
      <c r="B2490" s="19" t="inlineStr">
        <is>
          <t>Jun</t>
        </is>
      </c>
      <c r="C2490" s="19" t="inlineStr">
        <is>
          <t>TN</t>
        </is>
      </c>
      <c r="D2490" s="20" t="inlineStr">
        <is>
          <t>TN07CD1525</t>
        </is>
      </c>
      <c r="E2490" s="20" t="inlineStr">
        <is>
          <t>HONDA</t>
        </is>
      </c>
      <c r="F2490" s="20" t="inlineStr">
        <is>
          <t>Jazz</t>
        </is>
      </c>
      <c r="G2490" s="21" t="n">
        <v>2015</v>
      </c>
      <c r="H2490" s="22" t="n">
        <v>23631</v>
      </c>
      <c r="I2490" s="23" t="n">
        <v>360000</v>
      </c>
      <c r="J2490" s="20" t="inlineStr">
        <is>
          <t>STEER AUTO TECHNOLOGIES PRIVATE LIMITED</t>
        </is>
      </c>
      <c r="K2490" s="20" t="inlineStr">
        <is>
          <t>Non-Captive</t>
        </is>
      </c>
      <c r="L2490" s="20" t="inlineStr">
        <is>
          <t>Santhosh Cars</t>
        </is>
      </c>
      <c r="M2490" s="23" t="n">
        <v>4237.29</v>
      </c>
      <c r="N2490" s="23" t="n">
        <v>5000</v>
      </c>
      <c r="O2490" s="24">
        <f>IF(AND(ISNUMBER(M2490), ISNUMBER(I2490), I2490&gt;0), M2490/I2490, "")</f>
        <v/>
      </c>
    </row>
    <row r="2491">
      <c r="A2491" s="19" t="inlineStr">
        <is>
          <t>FY27</t>
        </is>
      </c>
      <c r="B2491" s="19" t="inlineStr">
        <is>
          <t>Jun</t>
        </is>
      </c>
      <c r="C2491" s="19" t="inlineStr">
        <is>
          <t>TN</t>
        </is>
      </c>
      <c r="D2491" s="20" t="inlineStr">
        <is>
          <t>TN19AZ3894</t>
        </is>
      </c>
      <c r="E2491" s="20" t="inlineStr">
        <is>
          <t>MARUTI SUZUKI</t>
        </is>
      </c>
      <c r="F2491" s="20" t="inlineStr">
        <is>
          <t>Swift</t>
        </is>
      </c>
      <c r="G2491" s="21" t="n">
        <v>2017</v>
      </c>
      <c r="H2491" s="22" t="n">
        <v>152641</v>
      </c>
      <c r="I2491" s="23" t="n">
        <v>380000</v>
      </c>
      <c r="J2491" s="20" t="inlineStr">
        <is>
          <t>AIE CARS PRIVATE LIMITED</t>
        </is>
      </c>
      <c r="K2491" s="20" t="inlineStr">
        <is>
          <t>Non-Captive</t>
        </is>
      </c>
      <c r="L2491" s="20" t="inlineStr">
        <is>
          <t>Santhosh Cars</t>
        </is>
      </c>
      <c r="M2491" s="23" t="n">
        <v>4237.29</v>
      </c>
      <c r="N2491" s="23" t="n">
        <v>5000</v>
      </c>
      <c r="O2491" s="24">
        <f>IF(AND(ISNUMBER(M2491), ISNUMBER(I2491), I2491&gt;0), M2491/I2491, "")</f>
        <v/>
      </c>
    </row>
    <row r="2492">
      <c r="A2492" s="19" t="inlineStr">
        <is>
          <t>FY27</t>
        </is>
      </c>
      <c r="B2492" s="19" t="inlineStr">
        <is>
          <t>Jun</t>
        </is>
      </c>
      <c r="C2492" s="19" t="inlineStr">
        <is>
          <t>TN</t>
        </is>
      </c>
      <c r="D2492" s="20" t="inlineStr">
        <is>
          <t>TN02BQ4731</t>
        </is>
      </c>
      <c r="E2492" s="20" t="inlineStr">
        <is>
          <t>MAHINDRA</t>
        </is>
      </c>
      <c r="F2492" s="20" t="inlineStr">
        <is>
          <t>Xuv300</t>
        </is>
      </c>
      <c r="G2492" s="21" t="n">
        <v>2019</v>
      </c>
      <c r="H2492" s="22" t="n">
        <v>46297</v>
      </c>
      <c r="I2492" s="23" t="n">
        <v>400000</v>
      </c>
      <c r="J2492" s="20" t="inlineStr">
        <is>
          <t>AIE CARS PRIVATE LIMITED</t>
        </is>
      </c>
      <c r="K2492" s="20" t="inlineStr">
        <is>
          <t>Non-Captive</t>
        </is>
      </c>
      <c r="L2492" s="20" t="inlineStr">
        <is>
          <t>Santhosh Cars</t>
        </is>
      </c>
      <c r="M2492" s="23" t="n">
        <v>4237.29</v>
      </c>
      <c r="N2492" s="23" t="n">
        <v>5000</v>
      </c>
      <c r="O2492" s="24">
        <f>IF(AND(ISNUMBER(M2492), ISNUMBER(I2492), I2492&gt;0), M2492/I2492, "")</f>
        <v/>
      </c>
    </row>
    <row r="2493">
      <c r="A2493" s="19" t="inlineStr">
        <is>
          <t>FY27</t>
        </is>
      </c>
      <c r="B2493" s="19" t="inlineStr">
        <is>
          <t>Jun</t>
        </is>
      </c>
      <c r="C2493" s="19" t="inlineStr">
        <is>
          <t>TN</t>
        </is>
      </c>
      <c r="D2493" s="20" t="inlineStr">
        <is>
          <t>TN19AS2527</t>
        </is>
      </c>
      <c r="E2493" s="20" t="inlineStr">
        <is>
          <t>MARUTI SUZUKI</t>
        </is>
      </c>
      <c r="F2493" s="20" t="inlineStr">
        <is>
          <t>Celerio</t>
        </is>
      </c>
      <c r="G2493" s="21" t="n">
        <v>2022</v>
      </c>
      <c r="H2493" s="22" t="n">
        <v>134202</v>
      </c>
      <c r="I2493" s="23" t="n">
        <v>400000</v>
      </c>
      <c r="J2493" s="20" t="inlineStr">
        <is>
          <t>AIE CARS PRIVATE LIMITED</t>
        </is>
      </c>
      <c r="K2493" s="20" t="inlineStr">
        <is>
          <t>Non-Captive</t>
        </is>
      </c>
      <c r="L2493" s="20" t="inlineStr">
        <is>
          <t>Santhosh Cars</t>
        </is>
      </c>
      <c r="M2493" s="23" t="n">
        <v>4237.29</v>
      </c>
      <c r="N2493" s="23" t="n">
        <v>5000</v>
      </c>
      <c r="O2493" s="24">
        <f>IF(AND(ISNUMBER(M2493), ISNUMBER(I2493), I2493&gt;0), M2493/I2493, "")</f>
        <v/>
      </c>
    </row>
    <row r="2494">
      <c r="A2494" s="19" t="inlineStr">
        <is>
          <t>FY27</t>
        </is>
      </c>
      <c r="B2494" s="19" t="inlineStr">
        <is>
          <t>Jun</t>
        </is>
      </c>
      <c r="C2494" s="19" t="inlineStr">
        <is>
          <t>TN</t>
        </is>
      </c>
      <c r="D2494" s="20" t="inlineStr">
        <is>
          <t>TN07CB6662</t>
        </is>
      </c>
      <c r="E2494" s="20" t="inlineStr">
        <is>
          <t>HONDA</t>
        </is>
      </c>
      <c r="F2494" s="20" t="inlineStr">
        <is>
          <t>City</t>
        </is>
      </c>
      <c r="G2494" s="21" t="n">
        <v>2015</v>
      </c>
      <c r="H2494" s="22" t="n">
        <v>72202</v>
      </c>
      <c r="I2494" s="23" t="n">
        <v>480000</v>
      </c>
      <c r="J2494" s="20" t="inlineStr">
        <is>
          <t>PEEYESYEM HK MOTORS LLP</t>
        </is>
      </c>
      <c r="K2494" s="20" t="inlineStr">
        <is>
          <t>Non-Captive</t>
        </is>
      </c>
      <c r="L2494" s="20" t="inlineStr">
        <is>
          <t>Santhosh Cars</t>
        </is>
      </c>
      <c r="M2494" s="23" t="n">
        <v>4237.29</v>
      </c>
      <c r="N2494" s="23" t="n">
        <v>5000</v>
      </c>
      <c r="O2494" s="24">
        <f>IF(AND(ISNUMBER(M2494), ISNUMBER(I2494), I2494&gt;0), M2494/I2494, "")</f>
        <v/>
      </c>
    </row>
    <row r="2495">
      <c r="A2495" s="19" t="inlineStr">
        <is>
          <t>FY27</t>
        </is>
      </c>
      <c r="B2495" s="19" t="inlineStr">
        <is>
          <t>Jun</t>
        </is>
      </c>
      <c r="C2495" s="19" t="inlineStr">
        <is>
          <t>TN</t>
        </is>
      </c>
      <c r="D2495" s="20" t="inlineStr">
        <is>
          <t>TN05BK0580</t>
        </is>
      </c>
      <c r="E2495" s="20" t="inlineStr">
        <is>
          <t>MARUTI SUZUKI</t>
        </is>
      </c>
      <c r="F2495" s="20" t="inlineStr">
        <is>
          <t>Swift</t>
        </is>
      </c>
      <c r="G2495" s="21" t="n">
        <v>2017</v>
      </c>
      <c r="H2495" s="22" t="n">
        <v>62249</v>
      </c>
      <c r="I2495" s="23" t="n">
        <v>300000</v>
      </c>
      <c r="J2495" s="20" t="inlineStr">
        <is>
          <t>Castel Traders Honda</t>
        </is>
      </c>
      <c r="K2495" s="20" t="inlineStr">
        <is>
          <t>Non-Captive</t>
        </is>
      </c>
      <c r="L2495" s="20" t="inlineStr">
        <is>
          <t>Thiya Cars</t>
        </is>
      </c>
      <c r="M2495" s="23" t="n">
        <v>5932.2</v>
      </c>
      <c r="N2495" s="23" t="n">
        <v>7000</v>
      </c>
      <c r="O2495" s="24">
        <f>IF(AND(ISNUMBER(M2495), ISNUMBER(I2495), I2495&gt;0), M2495/I2495, "")</f>
        <v/>
      </c>
    </row>
    <row r="2496">
      <c r="A2496" s="19" t="inlineStr">
        <is>
          <t>FY27</t>
        </is>
      </c>
      <c r="B2496" s="19" t="inlineStr">
        <is>
          <t>Jun</t>
        </is>
      </c>
      <c r="C2496" s="19" t="inlineStr">
        <is>
          <t>TN</t>
        </is>
      </c>
      <c r="D2496" s="20" t="inlineStr">
        <is>
          <t>TN02BT5875</t>
        </is>
      </c>
      <c r="E2496" s="20" t="inlineStr">
        <is>
          <t>HYUNDAI</t>
        </is>
      </c>
      <c r="F2496" s="20" t="inlineStr">
        <is>
          <t>Venue</t>
        </is>
      </c>
      <c r="G2496" s="21" t="n">
        <v>2020</v>
      </c>
      <c r="H2496" s="22" t="n">
        <v>82143</v>
      </c>
      <c r="I2496" s="23" t="n">
        <v>580000</v>
      </c>
      <c r="J2496" s="20" t="inlineStr">
        <is>
          <t>Castel Traders Honda</t>
        </is>
      </c>
      <c r="K2496" s="20" t="inlineStr">
        <is>
          <t>Non-Captive</t>
        </is>
      </c>
      <c r="L2496" s="20" t="inlineStr">
        <is>
          <t>Car Hub</t>
        </is>
      </c>
      <c r="M2496" s="23" t="n">
        <v>4237.29</v>
      </c>
      <c r="N2496" s="23" t="n">
        <v>5000</v>
      </c>
      <c r="O2496" s="24">
        <f>IF(AND(ISNUMBER(M2496), ISNUMBER(I2496), I2496&gt;0), M2496/I2496, "")</f>
        <v/>
      </c>
    </row>
    <row r="2497">
      <c r="A2497" s="19" t="inlineStr">
        <is>
          <t>FY27</t>
        </is>
      </c>
      <c r="B2497" s="19" t="inlineStr">
        <is>
          <t>Jun</t>
        </is>
      </c>
      <c r="C2497" s="19" t="inlineStr">
        <is>
          <t>TN</t>
        </is>
      </c>
      <c r="D2497" s="20" t="inlineStr">
        <is>
          <t>KL22Q8827</t>
        </is>
      </c>
      <c r="E2497" s="20" t="inlineStr">
        <is>
          <t>MARUTI SUZUKI</t>
        </is>
      </c>
      <c r="F2497" s="20" t="inlineStr">
        <is>
          <t>Breeza</t>
        </is>
      </c>
      <c r="G2497" s="21" t="n">
        <v>2018</v>
      </c>
      <c r="H2497" s="22" t="n">
        <v>34291</v>
      </c>
      <c r="I2497" s="23" t="n">
        <v>185000</v>
      </c>
      <c r="J2497" s="20" t="inlineStr">
        <is>
          <t>Trust N DRIVE</t>
        </is>
      </c>
      <c r="K2497" s="20" t="inlineStr">
        <is>
          <t>Non-Captive</t>
        </is>
      </c>
      <c r="L2497" s="20" t="inlineStr">
        <is>
          <t>Popular Kottayam</t>
        </is>
      </c>
      <c r="M2497" s="23" t="n">
        <v>5000</v>
      </c>
      <c r="N2497" s="23" t="n">
        <v>5900</v>
      </c>
      <c r="O2497" s="24">
        <f>IF(AND(ISNUMBER(M2497), ISNUMBER(I2497), I2497&gt;0), M2497/I2497, "")</f>
        <v/>
      </c>
    </row>
    <row r="2498">
      <c r="A2498" s="19" t="inlineStr">
        <is>
          <t>FY27</t>
        </is>
      </c>
      <c r="B2498" s="19" t="inlineStr">
        <is>
          <t>Jun</t>
        </is>
      </c>
      <c r="C2498" s="19" t="inlineStr">
        <is>
          <t>TN</t>
        </is>
      </c>
      <c r="D2498" s="20" t="inlineStr">
        <is>
          <t>TN47AB4141</t>
        </is>
      </c>
      <c r="E2498" s="20" t="inlineStr">
        <is>
          <t>VOLKSWAGEN</t>
        </is>
      </c>
      <c r="F2498" s="20" t="inlineStr">
        <is>
          <t>Vento</t>
        </is>
      </c>
      <c r="G2498" s="21" t="n">
        <v>2012</v>
      </c>
      <c r="H2498" s="22" t="n">
        <v>203326</v>
      </c>
      <c r="I2498" s="23" t="n">
        <v>260000</v>
      </c>
      <c r="J2498" s="20" t="inlineStr">
        <is>
          <t>EXCHANGE ROTN</t>
        </is>
      </c>
      <c r="K2498" s="20" t="inlineStr">
        <is>
          <t>Captive</t>
        </is>
      </c>
      <c r="L2498" s="20" t="inlineStr"/>
      <c r="M2498" s="23" t="n">
        <v>8474.58</v>
      </c>
      <c r="N2498" s="23" t="n">
        <v>10000</v>
      </c>
      <c r="O2498" s="24">
        <f>IF(AND(ISNUMBER(M2498), ISNUMBER(I2498), I2498&gt;0), M2498/I2498, "")</f>
        <v/>
      </c>
    </row>
    <row r="2499">
      <c r="A2499" s="19" t="inlineStr">
        <is>
          <t>FY27</t>
        </is>
      </c>
      <c r="B2499" s="19" t="inlineStr">
        <is>
          <t>Jun</t>
        </is>
      </c>
      <c r="C2499" s="19" t="inlineStr">
        <is>
          <t>TN</t>
        </is>
      </c>
      <c r="D2499" s="20" t="inlineStr">
        <is>
          <t>TN06U6079</t>
        </is>
      </c>
      <c r="E2499" s="20" t="inlineStr">
        <is>
          <t>MARUTI SUZUKI</t>
        </is>
      </c>
      <c r="F2499" s="20" t="inlineStr">
        <is>
          <t>Alto 800</t>
        </is>
      </c>
      <c r="G2499" s="21" t="n">
        <v>2017</v>
      </c>
      <c r="H2499" s="22" t="n">
        <v>30506</v>
      </c>
      <c r="I2499" s="23" t="n">
        <v>200000</v>
      </c>
      <c r="J2499" s="20" t="inlineStr">
        <is>
          <t>EXCHANGE CHENNAI</t>
        </is>
      </c>
      <c r="K2499" s="20" t="inlineStr">
        <is>
          <t>Captive</t>
        </is>
      </c>
      <c r="L2499" s="20" t="inlineStr"/>
      <c r="M2499" s="23" t="n">
        <v>4237.29</v>
      </c>
      <c r="N2499" s="23" t="n">
        <v>5000</v>
      </c>
      <c r="O2499" s="24">
        <f>IF(AND(ISNUMBER(M2499), ISNUMBER(I2499), I2499&gt;0), M2499/I2499, "")</f>
        <v/>
      </c>
    </row>
    <row r="2500">
      <c r="A2500" s="19" t="inlineStr">
        <is>
          <t>FY27</t>
        </is>
      </c>
      <c r="B2500" s="19" t="inlineStr">
        <is>
          <t>Jun</t>
        </is>
      </c>
      <c r="C2500" s="19" t="inlineStr">
        <is>
          <t>TN</t>
        </is>
      </c>
      <c r="D2500" s="20" t="inlineStr">
        <is>
          <t>TN06A5778</t>
        </is>
      </c>
      <c r="E2500" s="20" t="inlineStr">
        <is>
          <t>HONDA</t>
        </is>
      </c>
      <c r="F2500" s="20" t="inlineStr">
        <is>
          <t>Jazz</t>
        </is>
      </c>
      <c r="G2500" s="21" t="n">
        <v>2009</v>
      </c>
      <c r="H2500" s="22" t="n">
        <v>97422</v>
      </c>
      <c r="I2500" s="23" t="n">
        <v>170000</v>
      </c>
      <c r="J2500" s="20" t="inlineStr">
        <is>
          <t>EXCHANGE CHENNAI</t>
        </is>
      </c>
      <c r="K2500" s="20" t="inlineStr">
        <is>
          <t>Captive</t>
        </is>
      </c>
      <c r="L2500" s="20" t="inlineStr"/>
      <c r="M2500" s="23" t="n">
        <v>8474.58</v>
      </c>
      <c r="N2500" s="23" t="n">
        <v>10000</v>
      </c>
      <c r="O2500" s="24">
        <f>IF(AND(ISNUMBER(M2500), ISNUMBER(I2500), I2500&gt;0), M2500/I2500, "")</f>
        <v/>
      </c>
    </row>
    <row r="2501">
      <c r="A2501" s="19" t="inlineStr">
        <is>
          <t>FY27</t>
        </is>
      </c>
      <c r="B2501" s="19" t="inlineStr">
        <is>
          <t>Jun</t>
        </is>
      </c>
      <c r="C2501" s="19" t="inlineStr">
        <is>
          <t>TN</t>
        </is>
      </c>
      <c r="D2501" s="20" t="inlineStr">
        <is>
          <t>TN23AU7376</t>
        </is>
      </c>
      <c r="E2501" s="20" t="inlineStr">
        <is>
          <t>HYUNDAI</t>
        </is>
      </c>
      <c r="F2501" s="20" t="inlineStr">
        <is>
          <t>I10</t>
        </is>
      </c>
      <c r="G2501" s="21" t="n">
        <v>2008</v>
      </c>
      <c r="H2501" s="22" t="n">
        <v>124793</v>
      </c>
      <c r="I2501" s="23" t="n">
        <v>110000</v>
      </c>
      <c r="J2501" s="20" t="inlineStr">
        <is>
          <t>EXCHANGE CHENNAI</t>
        </is>
      </c>
      <c r="K2501" s="20" t="inlineStr">
        <is>
          <t>Captive</t>
        </is>
      </c>
      <c r="L2501" s="20" t="inlineStr"/>
      <c r="M2501" s="23" t="n">
        <v>4237.29</v>
      </c>
      <c r="N2501" s="23" t="n">
        <v>5000</v>
      </c>
      <c r="O2501" s="24">
        <f>IF(AND(ISNUMBER(M2501), ISNUMBER(I2501), I2501&gt;0), M2501/I2501, "")</f>
        <v/>
      </c>
    </row>
    <row r="2502">
      <c r="A2502" s="19" t="inlineStr">
        <is>
          <t>FY27</t>
        </is>
      </c>
      <c r="B2502" s="19" t="inlineStr">
        <is>
          <t>Jun</t>
        </is>
      </c>
      <c r="C2502" s="19" t="inlineStr">
        <is>
          <t>TN</t>
        </is>
      </c>
      <c r="D2502" s="20" t="inlineStr">
        <is>
          <t>TN07BM1994</t>
        </is>
      </c>
      <c r="E2502" s="20" t="inlineStr">
        <is>
          <t>HONDA</t>
        </is>
      </c>
      <c r="F2502" s="20" t="inlineStr">
        <is>
          <t>City</t>
        </is>
      </c>
      <c r="G2502" s="21" t="n">
        <v>2011</v>
      </c>
      <c r="H2502" s="22" t="n">
        <v>97114</v>
      </c>
      <c r="I2502" s="23" t="n">
        <v>190000</v>
      </c>
      <c r="J2502" s="20" t="inlineStr">
        <is>
          <t>EXCHANGE CHENNAI</t>
        </is>
      </c>
      <c r="K2502" s="20" t="inlineStr">
        <is>
          <t>Captive</t>
        </is>
      </c>
      <c r="L2502" s="20" t="inlineStr"/>
      <c r="M2502" s="23" t="n">
        <v>8474.58</v>
      </c>
      <c r="N2502" s="23" t="n">
        <v>10000</v>
      </c>
      <c r="O2502" s="24">
        <f>IF(AND(ISNUMBER(M2502), ISNUMBER(I2502), I2502&gt;0), M2502/I2502, "")</f>
        <v/>
      </c>
    </row>
    <row r="2503">
      <c r="A2503" s="19" t="inlineStr">
        <is>
          <t>FY27</t>
        </is>
      </c>
      <c r="B2503" s="19" t="inlineStr">
        <is>
          <t>Jun</t>
        </is>
      </c>
      <c r="C2503" s="19" t="inlineStr">
        <is>
          <t>TN</t>
        </is>
      </c>
      <c r="D2503" s="20" t="inlineStr">
        <is>
          <t>TN23CP2599</t>
        </is>
      </c>
      <c r="E2503" s="20" t="inlineStr">
        <is>
          <t>VOLKSWAGEN</t>
        </is>
      </c>
      <c r="F2503" s="20" t="inlineStr">
        <is>
          <t>Polo</t>
        </is>
      </c>
      <c r="G2503" s="21" t="n">
        <v>2019</v>
      </c>
      <c r="H2503" s="22" t="n">
        <v>102681</v>
      </c>
      <c r="I2503" s="23" t="n">
        <v>525000</v>
      </c>
      <c r="J2503" s="20" t="inlineStr">
        <is>
          <t>EXCHANGE CHENNAI</t>
        </is>
      </c>
      <c r="K2503" s="20" t="inlineStr">
        <is>
          <t>Captive</t>
        </is>
      </c>
      <c r="L2503" s="20" t="inlineStr"/>
      <c r="M2503" s="23" t="n">
        <v>8474.58</v>
      </c>
      <c r="N2503" s="23" t="n">
        <v>10000</v>
      </c>
      <c r="O2503" s="24">
        <f>IF(AND(ISNUMBER(M2503), ISNUMBER(I2503), I2503&gt;0), M2503/I2503, "")</f>
        <v/>
      </c>
    </row>
    <row r="2504">
      <c r="A2504" s="19" t="inlineStr">
        <is>
          <t>FY27</t>
        </is>
      </c>
      <c r="B2504" s="19" t="inlineStr">
        <is>
          <t>Jun</t>
        </is>
      </c>
      <c r="C2504" s="19" t="inlineStr">
        <is>
          <t>TN</t>
        </is>
      </c>
      <c r="D2504" s="20" t="inlineStr">
        <is>
          <t>TN01AX2793</t>
        </is>
      </c>
      <c r="E2504" s="20" t="inlineStr">
        <is>
          <t>HONDA</t>
        </is>
      </c>
      <c r="F2504" s="20" t="inlineStr">
        <is>
          <t>Amaze</t>
        </is>
      </c>
      <c r="G2504" s="21" t="n">
        <v>2014</v>
      </c>
      <c r="H2504" s="22" t="n">
        <v>88712</v>
      </c>
      <c r="I2504" s="23" t="n">
        <v>300000</v>
      </c>
      <c r="J2504" s="20" t="inlineStr">
        <is>
          <t>EXCHANGE CHENNAI</t>
        </is>
      </c>
      <c r="K2504" s="20" t="inlineStr">
        <is>
          <t>Captive</t>
        </is>
      </c>
      <c r="L2504" s="20" t="inlineStr"/>
      <c r="M2504" s="23" t="n">
        <v>8474.58</v>
      </c>
      <c r="N2504" s="23" t="n">
        <v>10000</v>
      </c>
      <c r="O2504" s="24">
        <f>IF(AND(ISNUMBER(M2504), ISNUMBER(I2504), I2504&gt;0), M2504/I2504, "")</f>
        <v/>
      </c>
    </row>
    <row r="2505">
      <c r="A2505" s="19" t="inlineStr">
        <is>
          <t>FY27</t>
        </is>
      </c>
      <c r="B2505" s="19" t="inlineStr">
        <is>
          <t>Jun</t>
        </is>
      </c>
      <c r="C2505" s="19" t="inlineStr">
        <is>
          <t>TN</t>
        </is>
      </c>
      <c r="D2505" s="20" t="inlineStr">
        <is>
          <t>TN04AW5353</t>
        </is>
      </c>
      <c r="E2505" s="20" t="inlineStr">
        <is>
          <t>VOLKSWAGEN</t>
        </is>
      </c>
      <c r="F2505" s="20" t="inlineStr">
        <is>
          <t>Polo</t>
        </is>
      </c>
      <c r="G2505" s="21" t="n">
        <v>2019</v>
      </c>
      <c r="H2505" s="22" t="n">
        <v>94123</v>
      </c>
      <c r="I2505" s="23" t="n">
        <v>475000</v>
      </c>
      <c r="J2505" s="20" t="inlineStr">
        <is>
          <t>EXCHANGE CHENNAI</t>
        </is>
      </c>
      <c r="K2505" s="20" t="inlineStr">
        <is>
          <t>Captive</t>
        </is>
      </c>
      <c r="L2505" s="20" t="inlineStr"/>
      <c r="M2505" s="23" t="n">
        <v>4237.29</v>
      </c>
      <c r="N2505" s="23" t="n">
        <v>5000</v>
      </c>
      <c r="O2505" s="24">
        <f>IF(AND(ISNUMBER(M2505), ISNUMBER(I2505), I2505&gt;0), M2505/I2505, "")</f>
        <v/>
      </c>
    </row>
    <row r="2506">
      <c r="A2506" s="19" t="inlineStr">
        <is>
          <t>FY27</t>
        </is>
      </c>
      <c r="B2506" s="19" t="inlineStr">
        <is>
          <t>Jun</t>
        </is>
      </c>
      <c r="C2506" s="19" t="inlineStr">
        <is>
          <t>TN</t>
        </is>
      </c>
      <c r="D2506" s="20" t="inlineStr">
        <is>
          <t>TN34K8989</t>
        </is>
      </c>
      <c r="E2506" s="20" t="inlineStr">
        <is>
          <t>MAHINDRA</t>
        </is>
      </c>
      <c r="F2506" s="20" t="inlineStr">
        <is>
          <t>Scorpio</t>
        </is>
      </c>
      <c r="G2506" s="21" t="n">
        <v>2010</v>
      </c>
      <c r="H2506" s="22" t="n">
        <v>168504</v>
      </c>
      <c r="I2506" s="23" t="n">
        <v>475000</v>
      </c>
      <c r="J2506" s="20" t="inlineStr">
        <is>
          <t>EXCHANGE ROTN</t>
        </is>
      </c>
      <c r="K2506" s="20" t="inlineStr">
        <is>
          <t>Captive</t>
        </is>
      </c>
      <c r="L2506" s="20" t="inlineStr"/>
      <c r="M2506" s="23" t="n">
        <v>4237.29</v>
      </c>
      <c r="N2506" s="23" t="n">
        <v>5000</v>
      </c>
      <c r="O2506" s="24">
        <f>IF(AND(ISNUMBER(M2506), ISNUMBER(I2506), I2506&gt;0), M2506/I2506, "")</f>
        <v/>
      </c>
    </row>
    <row r="2507">
      <c r="A2507" s="19" t="inlineStr">
        <is>
          <t>FY27</t>
        </is>
      </c>
      <c r="B2507" s="19" t="inlineStr">
        <is>
          <t>Jun</t>
        </is>
      </c>
      <c r="C2507" s="19" t="inlineStr">
        <is>
          <t>TN</t>
        </is>
      </c>
      <c r="D2507" s="20" t="inlineStr">
        <is>
          <t>TN38CM3988</t>
        </is>
      </c>
      <c r="E2507" s="20" t="inlineStr">
        <is>
          <t>DATSUN</t>
        </is>
      </c>
      <c r="F2507" s="20" t="inlineStr">
        <is>
          <t>Redi-Go</t>
        </is>
      </c>
      <c r="G2507" s="21" t="n">
        <v>2017</v>
      </c>
      <c r="H2507" s="22" t="n">
        <v>77848</v>
      </c>
      <c r="I2507" s="23" t="n">
        <v>200000</v>
      </c>
      <c r="J2507" s="20" t="inlineStr">
        <is>
          <t>EXCHANGE ROTN</t>
        </is>
      </c>
      <c r="K2507" s="20" t="inlineStr">
        <is>
          <t>Captive</t>
        </is>
      </c>
      <c r="L2507" s="20" t="inlineStr"/>
      <c r="M2507" s="23" t="n">
        <v>4237.29</v>
      </c>
      <c r="N2507" s="23" t="n">
        <v>5000</v>
      </c>
      <c r="O2507" s="24">
        <f>IF(AND(ISNUMBER(M2507), ISNUMBER(I2507), I2507&gt;0), M2507/I2507, "")</f>
        <v/>
      </c>
    </row>
    <row r="2508">
      <c r="A2508" s="19" t="inlineStr">
        <is>
          <t>FY27</t>
        </is>
      </c>
      <c r="B2508" s="19" t="inlineStr">
        <is>
          <t>Jun</t>
        </is>
      </c>
      <c r="C2508" s="19" t="inlineStr">
        <is>
          <t>TN</t>
        </is>
      </c>
      <c r="D2508" s="20" t="inlineStr">
        <is>
          <t>TN66S5716</t>
        </is>
      </c>
      <c r="E2508" s="20" t="inlineStr">
        <is>
          <t>HONDA</t>
        </is>
      </c>
      <c r="F2508" s="20" t="inlineStr">
        <is>
          <t>City</t>
        </is>
      </c>
      <c r="G2508" s="21" t="n">
        <v>2016</v>
      </c>
      <c r="H2508" s="22" t="n">
        <v>190744</v>
      </c>
      <c r="I2508" s="23" t="n">
        <v>375000</v>
      </c>
      <c r="J2508" s="20" t="inlineStr">
        <is>
          <t>EXCHANGE ROTN</t>
        </is>
      </c>
      <c r="K2508" s="20" t="inlineStr">
        <is>
          <t>Captive</t>
        </is>
      </c>
      <c r="L2508" s="20" t="inlineStr"/>
      <c r="M2508" s="23" t="n">
        <v>8474.58</v>
      </c>
      <c r="N2508" s="23" t="n">
        <v>10000</v>
      </c>
      <c r="O2508" s="24">
        <f>IF(AND(ISNUMBER(M2508), ISNUMBER(I2508), I2508&gt;0), M2508/I2508, "")</f>
        <v/>
      </c>
    </row>
    <row r="2509">
      <c r="A2509" s="19" t="inlineStr">
        <is>
          <t>FY27</t>
        </is>
      </c>
      <c r="B2509" s="19" t="inlineStr">
        <is>
          <t>Jun</t>
        </is>
      </c>
      <c r="C2509" s="19" t="inlineStr">
        <is>
          <t>TN</t>
        </is>
      </c>
      <c r="D2509" s="20" t="inlineStr">
        <is>
          <t>TN30AL3069</t>
        </is>
      </c>
      <c r="E2509" s="20" t="inlineStr">
        <is>
          <t>TATA</t>
        </is>
      </c>
      <c r="F2509" s="20" t="inlineStr">
        <is>
          <t>Indigo</t>
        </is>
      </c>
      <c r="G2509" s="21" t="n">
        <v>2011</v>
      </c>
      <c r="H2509" s="22" t="n">
        <v>146841</v>
      </c>
      <c r="I2509" s="23" t="n">
        <v>145000</v>
      </c>
      <c r="J2509" s="20" t="inlineStr">
        <is>
          <t>EXCHANGE ROTN</t>
        </is>
      </c>
      <c r="K2509" s="20" t="inlineStr">
        <is>
          <t>Captive</t>
        </is>
      </c>
      <c r="L2509" s="20" t="inlineStr"/>
      <c r="M2509" s="23" t="n">
        <v>4237.29</v>
      </c>
      <c r="N2509" s="23" t="n">
        <v>5000</v>
      </c>
      <c r="O2509" s="24">
        <f>IF(AND(ISNUMBER(M2509), ISNUMBER(I2509), I2509&gt;0), M2509/I2509, "")</f>
        <v/>
      </c>
    </row>
    <row r="2510">
      <c r="A2510" s="19" t="inlineStr">
        <is>
          <t>FY27</t>
        </is>
      </c>
      <c r="B2510" s="19" t="inlineStr">
        <is>
          <t>Jun</t>
        </is>
      </c>
      <c r="C2510" s="19" t="inlineStr">
        <is>
          <t>TN</t>
        </is>
      </c>
      <c r="D2510" s="20" t="inlineStr">
        <is>
          <t>TN30AB2265</t>
        </is>
      </c>
      <c r="E2510" s="20" t="inlineStr">
        <is>
          <t>TATA</t>
        </is>
      </c>
      <c r="F2510" s="20" t="inlineStr">
        <is>
          <t>Indica</t>
        </is>
      </c>
      <c r="G2510" s="21" t="n">
        <v>2007</v>
      </c>
      <c r="H2510" s="22" t="n">
        <v>159605</v>
      </c>
      <c r="I2510" s="23" t="n">
        <v>30000</v>
      </c>
      <c r="J2510" s="20" t="inlineStr">
        <is>
          <t>EXCHANGE ROTN</t>
        </is>
      </c>
      <c r="K2510" s="20" t="inlineStr">
        <is>
          <t>Captive</t>
        </is>
      </c>
      <c r="L2510" s="20" t="inlineStr"/>
      <c r="M2510" s="23" t="n">
        <v>4237.29</v>
      </c>
      <c r="N2510" s="23" t="n">
        <v>5000</v>
      </c>
      <c r="O2510" s="24">
        <f>IF(AND(ISNUMBER(M2510), ISNUMBER(I2510), I2510&gt;0), M2510/I2510, "")</f>
        <v/>
      </c>
    </row>
    <row r="2511">
      <c r="A2511" s="19" t="inlineStr">
        <is>
          <t>FY27</t>
        </is>
      </c>
      <c r="B2511" s="19" t="inlineStr">
        <is>
          <t>Jun</t>
        </is>
      </c>
      <c r="C2511" s="19" t="inlineStr">
        <is>
          <t>TN</t>
        </is>
      </c>
      <c r="D2511" s="20" t="inlineStr">
        <is>
          <t>TN06B1563</t>
        </is>
      </c>
      <c r="E2511" s="20" t="inlineStr">
        <is>
          <t>TATA</t>
        </is>
      </c>
      <c r="F2511" s="20" t="inlineStr">
        <is>
          <t>Indica</t>
        </is>
      </c>
      <c r="G2511" s="21" t="n">
        <v>2010</v>
      </c>
      <c r="H2511" s="22" t="n">
        <v>149407</v>
      </c>
      <c r="I2511" s="23" t="n">
        <v>30000</v>
      </c>
      <c r="J2511" s="20" t="inlineStr">
        <is>
          <t>EXCHANGE ROTN</t>
        </is>
      </c>
      <c r="K2511" s="20" t="inlineStr">
        <is>
          <t>Captive</t>
        </is>
      </c>
      <c r="L2511" s="20" t="inlineStr"/>
      <c r="M2511" s="23" t="n">
        <v>4237.29</v>
      </c>
      <c r="N2511" s="23" t="n">
        <v>5000</v>
      </c>
      <c r="O2511" s="24">
        <f>IF(AND(ISNUMBER(M2511), ISNUMBER(I2511), I2511&gt;0), M2511/I2511, "")</f>
        <v/>
      </c>
    </row>
    <row r="2512">
      <c r="A2512" s="19" t="inlineStr">
        <is>
          <t>FY27</t>
        </is>
      </c>
      <c r="B2512" s="19" t="inlineStr">
        <is>
          <t>Jun</t>
        </is>
      </c>
      <c r="C2512" s="19" t="inlineStr">
        <is>
          <t>TN</t>
        </is>
      </c>
      <c r="D2512" s="20" t="inlineStr">
        <is>
          <t>TN45BB6176</t>
        </is>
      </c>
      <c r="E2512" s="20" t="inlineStr">
        <is>
          <t>HYUNDAI</t>
        </is>
      </c>
      <c r="F2512" s="20" t="inlineStr">
        <is>
          <t>I10</t>
        </is>
      </c>
      <c r="G2512" s="21" t="n">
        <v>2012</v>
      </c>
      <c r="H2512" s="22" t="n">
        <v>55005</v>
      </c>
      <c r="I2512" s="23" t="n">
        <v>247000</v>
      </c>
      <c r="J2512" s="20" t="inlineStr">
        <is>
          <t>EXCHANGE ROTN</t>
        </is>
      </c>
      <c r="K2512" s="20" t="inlineStr">
        <is>
          <t>Captive</t>
        </is>
      </c>
      <c r="L2512" s="20" t="inlineStr"/>
      <c r="M2512" s="23" t="n">
        <v>4237.29</v>
      </c>
      <c r="N2512" s="23" t="n">
        <v>5000</v>
      </c>
      <c r="O2512" s="24">
        <f>IF(AND(ISNUMBER(M2512), ISNUMBER(I2512), I2512&gt;0), M2512/I2512, "")</f>
        <v/>
      </c>
    </row>
    <row r="2513">
      <c r="A2513" s="19" t="inlineStr">
        <is>
          <t>FY27</t>
        </is>
      </c>
      <c r="B2513" s="19" t="inlineStr">
        <is>
          <t>Jun</t>
        </is>
      </c>
      <c r="C2513" s="19" t="inlineStr">
        <is>
          <t>TN</t>
        </is>
      </c>
      <c r="D2513" s="20" t="inlineStr">
        <is>
          <t>TN56M5346</t>
        </is>
      </c>
      <c r="E2513" s="20" t="inlineStr">
        <is>
          <t>FORD</t>
        </is>
      </c>
      <c r="F2513" s="20" t="inlineStr">
        <is>
          <t>Figo</t>
        </is>
      </c>
      <c r="G2513" s="21" t="n">
        <v>2019</v>
      </c>
      <c r="H2513" s="22" t="n">
        <v>181691</v>
      </c>
      <c r="I2513" s="23" t="n">
        <v>300000</v>
      </c>
      <c r="J2513" s="20" t="inlineStr">
        <is>
          <t>EXCHANGE ROTN</t>
        </is>
      </c>
      <c r="K2513" s="20" t="inlineStr">
        <is>
          <t>Captive</t>
        </is>
      </c>
      <c r="L2513" s="20" t="inlineStr"/>
      <c r="M2513" s="23" t="n">
        <v>8474.58</v>
      </c>
      <c r="N2513" s="23" t="n">
        <v>10000</v>
      </c>
      <c r="O2513" s="24">
        <f>IF(AND(ISNUMBER(M2513), ISNUMBER(I2513), I2513&gt;0), M2513/I2513, "")</f>
        <v/>
      </c>
    </row>
    <row r="2514">
      <c r="A2514" s="19" t="inlineStr">
        <is>
          <t>FY27</t>
        </is>
      </c>
      <c r="B2514" s="19" t="inlineStr">
        <is>
          <t>Jun</t>
        </is>
      </c>
      <c r="C2514" s="19" t="inlineStr">
        <is>
          <t>TN</t>
        </is>
      </c>
      <c r="D2514" s="20" t="inlineStr">
        <is>
          <t>TN66B2641</t>
        </is>
      </c>
      <c r="E2514" s="20" t="inlineStr">
        <is>
          <t>MARUTI SUZUKI</t>
        </is>
      </c>
      <c r="F2514" s="20" t="inlineStr">
        <is>
          <t>Swift</t>
        </is>
      </c>
      <c r="G2514" s="21" t="n">
        <v>2010</v>
      </c>
      <c r="H2514" s="22" t="n">
        <v>110869</v>
      </c>
      <c r="I2514" s="23" t="n">
        <v>98000</v>
      </c>
      <c r="J2514" s="20" t="inlineStr">
        <is>
          <t>EXCHANGE ROTN</t>
        </is>
      </c>
      <c r="K2514" s="20" t="inlineStr">
        <is>
          <t>Captive</t>
        </is>
      </c>
      <c r="L2514" s="20" t="inlineStr"/>
      <c r="M2514" s="23" t="n">
        <v>4237.29</v>
      </c>
      <c r="N2514" s="23" t="n">
        <v>5000</v>
      </c>
      <c r="O2514" s="24">
        <f>IF(AND(ISNUMBER(M2514), ISNUMBER(I2514), I2514&gt;0), M2514/I2514, "")</f>
        <v/>
      </c>
    </row>
    <row r="2515">
      <c r="A2515" s="19" t="inlineStr">
        <is>
          <t>FY27</t>
        </is>
      </c>
      <c r="B2515" s="19" t="inlineStr">
        <is>
          <t>Jun</t>
        </is>
      </c>
      <c r="C2515" s="19" t="inlineStr">
        <is>
          <t>TN</t>
        </is>
      </c>
      <c r="D2515" s="20" t="inlineStr">
        <is>
          <t>TN38AY5940</t>
        </is>
      </c>
      <c r="E2515" s="20" t="inlineStr">
        <is>
          <t>MARUTI SUZUKI</t>
        </is>
      </c>
      <c r="F2515" s="20" t="inlineStr">
        <is>
          <t>Alto</t>
        </is>
      </c>
      <c r="G2515" s="21" t="n">
        <v>2009</v>
      </c>
      <c r="H2515" s="22" t="n">
        <v>198918</v>
      </c>
      <c r="I2515" s="23" t="n">
        <v>86000</v>
      </c>
      <c r="J2515" s="20" t="inlineStr">
        <is>
          <t>EXCHANGE ROTN</t>
        </is>
      </c>
      <c r="K2515" s="20" t="inlineStr">
        <is>
          <t>Captive</t>
        </is>
      </c>
      <c r="L2515" s="20" t="inlineStr"/>
      <c r="M2515" s="23" t="n">
        <v>4237.29</v>
      </c>
      <c r="N2515" s="23" t="n">
        <v>5000</v>
      </c>
      <c r="O2515" s="24">
        <f>IF(AND(ISNUMBER(M2515), ISNUMBER(I2515), I2515&gt;0), M2515/I2515, "")</f>
        <v/>
      </c>
    </row>
    <row r="2516">
      <c r="A2516" s="19" t="inlineStr">
        <is>
          <t>FY27</t>
        </is>
      </c>
      <c r="B2516" s="19" t="inlineStr">
        <is>
          <t>Jun</t>
        </is>
      </c>
      <c r="C2516" s="19" t="inlineStr">
        <is>
          <t>TN</t>
        </is>
      </c>
      <c r="D2516" s="20" t="inlineStr">
        <is>
          <t>TN01AQ1778</t>
        </is>
      </c>
      <c r="E2516" s="20" t="inlineStr">
        <is>
          <t>HYUNDAI</t>
        </is>
      </c>
      <c r="F2516" s="20" t="inlineStr">
        <is>
          <t>I10</t>
        </is>
      </c>
      <c r="G2516" s="21" t="n">
        <v>2011</v>
      </c>
      <c r="H2516" s="22" t="n">
        <v>89034</v>
      </c>
      <c r="I2516" s="23" t="n">
        <v>130000</v>
      </c>
      <c r="J2516" s="20" t="inlineStr">
        <is>
          <t>EXCHANGE CHENNAI</t>
        </is>
      </c>
      <c r="K2516" s="20" t="inlineStr">
        <is>
          <t>Captive</t>
        </is>
      </c>
      <c r="L2516" s="20" t="inlineStr"/>
      <c r="M2516" s="23" t="n">
        <v>4237.29</v>
      </c>
      <c r="N2516" s="23" t="n">
        <v>5000</v>
      </c>
      <c r="O2516" s="24">
        <f>IF(AND(ISNUMBER(M2516), ISNUMBER(I2516), I2516&gt;0), M2516/I2516, "")</f>
        <v/>
      </c>
    </row>
    <row r="2517">
      <c r="A2517" s="19" t="inlineStr">
        <is>
          <t>FY27</t>
        </is>
      </c>
      <c r="B2517" s="19" t="inlineStr">
        <is>
          <t>Jun</t>
        </is>
      </c>
      <c r="C2517" s="19" t="inlineStr">
        <is>
          <t>TN</t>
        </is>
      </c>
      <c r="D2517" s="20" t="inlineStr">
        <is>
          <t>TN07BZ6937</t>
        </is>
      </c>
      <c r="E2517" s="20" t="inlineStr">
        <is>
          <t>MARUTI SUZUKI</t>
        </is>
      </c>
      <c r="F2517" s="20" t="inlineStr">
        <is>
          <t>Swift</t>
        </is>
      </c>
      <c r="G2517" s="21" t="n">
        <v>2008</v>
      </c>
      <c r="H2517" s="22" t="n">
        <v>171207</v>
      </c>
      <c r="I2517" s="23" t="n">
        <v>120000</v>
      </c>
      <c r="J2517" s="20" t="inlineStr">
        <is>
          <t>EXCHANGE CHENNAI</t>
        </is>
      </c>
      <c r="K2517" s="20" t="inlineStr">
        <is>
          <t>Captive</t>
        </is>
      </c>
      <c r="L2517" s="20" t="inlineStr"/>
      <c r="M2517" s="23" t="n">
        <v>4237.29</v>
      </c>
      <c r="N2517" s="23" t="n">
        <v>5000</v>
      </c>
      <c r="O2517" s="24">
        <f>IF(AND(ISNUMBER(M2517), ISNUMBER(I2517), I2517&gt;0), M2517/I2517, "")</f>
        <v/>
      </c>
    </row>
    <row r="2518">
      <c r="A2518" s="19" t="inlineStr">
        <is>
          <t>FY27</t>
        </is>
      </c>
      <c r="B2518" s="19" t="inlineStr">
        <is>
          <t>Jun</t>
        </is>
      </c>
      <c r="C2518" s="19" t="inlineStr">
        <is>
          <t>TN</t>
        </is>
      </c>
      <c r="D2518" s="20" t="inlineStr">
        <is>
          <t>TN04AZ2536</t>
        </is>
      </c>
      <c r="E2518" s="20" t="inlineStr">
        <is>
          <t>HONDA</t>
        </is>
      </c>
      <c r="F2518" s="20" t="inlineStr">
        <is>
          <t>Amaze</t>
        </is>
      </c>
      <c r="G2518" s="21" t="n">
        <v>2021</v>
      </c>
      <c r="H2518" s="22" t="n">
        <v>30158</v>
      </c>
      <c r="I2518" s="23" t="n">
        <v>550000</v>
      </c>
      <c r="J2518" s="20" t="inlineStr">
        <is>
          <t>EXCHANGE CHENNAI</t>
        </is>
      </c>
      <c r="K2518" s="20" t="inlineStr">
        <is>
          <t>Captive</t>
        </is>
      </c>
      <c r="L2518" s="20" t="inlineStr"/>
      <c r="M2518" s="23" t="n">
        <v>8474.58</v>
      </c>
      <c r="N2518" s="23" t="n">
        <v>10000</v>
      </c>
      <c r="O2518" s="24">
        <f>IF(AND(ISNUMBER(M2518), ISNUMBER(I2518), I2518&gt;0), M2518/I2518, "")</f>
        <v/>
      </c>
    </row>
    <row r="2519">
      <c r="A2519" s="19" t="inlineStr">
        <is>
          <t>FY27</t>
        </is>
      </c>
      <c r="B2519" s="19" t="inlineStr">
        <is>
          <t>Jun</t>
        </is>
      </c>
      <c r="C2519" s="19" t="inlineStr">
        <is>
          <t>TN</t>
        </is>
      </c>
      <c r="D2519" s="20" t="inlineStr">
        <is>
          <t>TN09CL8895</t>
        </is>
      </c>
      <c r="E2519" s="20" t="inlineStr">
        <is>
          <t>HONDA</t>
        </is>
      </c>
      <c r="F2519" s="20" t="inlineStr">
        <is>
          <t>Jazz</t>
        </is>
      </c>
      <c r="G2519" s="21" t="n">
        <v>2018</v>
      </c>
      <c r="H2519" s="22" t="n">
        <v>97411</v>
      </c>
      <c r="I2519" s="23" t="n">
        <v>400000</v>
      </c>
      <c r="J2519" s="20" t="inlineStr">
        <is>
          <t>EXCHANGE CHENNAI</t>
        </is>
      </c>
      <c r="K2519" s="20" t="inlineStr">
        <is>
          <t>Captive</t>
        </is>
      </c>
      <c r="L2519" s="20" t="inlineStr"/>
      <c r="M2519" s="23" t="n">
        <v>8474.58</v>
      </c>
      <c r="N2519" s="23" t="n">
        <v>10000</v>
      </c>
      <c r="O2519" s="24">
        <f>IF(AND(ISNUMBER(M2519), ISNUMBER(I2519), I2519&gt;0), M2519/I2519, "")</f>
        <v/>
      </c>
    </row>
    <row r="2520">
      <c r="A2520" s="19" t="inlineStr">
        <is>
          <t>FY27</t>
        </is>
      </c>
      <c r="B2520" s="19" t="inlineStr">
        <is>
          <t>Jun</t>
        </is>
      </c>
      <c r="C2520" s="19" t="inlineStr">
        <is>
          <t>TN</t>
        </is>
      </c>
      <c r="D2520" s="20" t="inlineStr">
        <is>
          <t>TN19AL5196</t>
        </is>
      </c>
      <c r="E2520" s="20" t="inlineStr">
        <is>
          <t>DATSUN</t>
        </is>
      </c>
      <c r="F2520" s="20" t="inlineStr">
        <is>
          <t>Redi-Go</t>
        </is>
      </c>
      <c r="G2520" s="21" t="n">
        <v>2018</v>
      </c>
      <c r="H2520" s="22" t="n">
        <v>50337</v>
      </c>
      <c r="I2520" s="23" t="n">
        <v>130000</v>
      </c>
      <c r="J2520" s="20" t="inlineStr">
        <is>
          <t>EXCHANGE CHENNAI</t>
        </is>
      </c>
      <c r="K2520" s="20" t="inlineStr">
        <is>
          <t>Captive</t>
        </is>
      </c>
      <c r="L2520" s="20" t="inlineStr"/>
      <c r="M2520" s="23" t="n">
        <v>4237.29</v>
      </c>
      <c r="N2520" s="23" t="n">
        <v>5000</v>
      </c>
      <c r="O2520" s="24">
        <f>IF(AND(ISNUMBER(M2520), ISNUMBER(I2520), I2520&gt;0), M2520/I2520, "")</f>
        <v/>
      </c>
    </row>
    <row r="2521">
      <c r="A2521" s="19" t="inlineStr">
        <is>
          <t>FY27</t>
        </is>
      </c>
      <c r="B2521" s="19" t="inlineStr">
        <is>
          <t>Jun</t>
        </is>
      </c>
      <c r="C2521" s="19" t="inlineStr">
        <is>
          <t>TN</t>
        </is>
      </c>
      <c r="D2521" s="20" t="inlineStr">
        <is>
          <t>TN04AC2679</t>
        </is>
      </c>
      <c r="E2521" s="20" t="inlineStr">
        <is>
          <t>HYUNDAI</t>
        </is>
      </c>
      <c r="F2521" s="20" t="inlineStr">
        <is>
          <t>I10</t>
        </is>
      </c>
      <c r="G2521" s="21" t="n">
        <v>2008</v>
      </c>
      <c r="H2521" s="22" t="n">
        <v>100782</v>
      </c>
      <c r="I2521" s="23" t="n">
        <v>110000</v>
      </c>
      <c r="J2521" s="20" t="inlineStr">
        <is>
          <t>EXCHANGE ROTN</t>
        </is>
      </c>
      <c r="K2521" s="20" t="inlineStr">
        <is>
          <t>Captive</t>
        </is>
      </c>
      <c r="L2521" s="20" t="inlineStr"/>
      <c r="M2521" s="23" t="n">
        <v>4237.29</v>
      </c>
      <c r="N2521" s="23" t="n">
        <v>5000</v>
      </c>
      <c r="O2521" s="24">
        <f>IF(AND(ISNUMBER(M2521), ISNUMBER(I2521), I2521&gt;0), M2521/I2521, "")</f>
        <v/>
      </c>
    </row>
    <row r="2522">
      <c r="A2522" s="19" t="inlineStr">
        <is>
          <t>FY27</t>
        </is>
      </c>
      <c r="B2522" s="19" t="inlineStr">
        <is>
          <t>Jun</t>
        </is>
      </c>
      <c r="C2522" s="19" t="inlineStr">
        <is>
          <t>TN</t>
        </is>
      </c>
      <c r="D2522" s="20" t="inlineStr">
        <is>
          <t>TN66F9164</t>
        </is>
      </c>
      <c r="E2522" s="20" t="inlineStr">
        <is>
          <t>FORD</t>
        </is>
      </c>
      <c r="F2522" s="20" t="inlineStr">
        <is>
          <t>Figo</t>
        </is>
      </c>
      <c r="G2522" s="21" t="n">
        <v>2012</v>
      </c>
      <c r="H2522" s="22" t="n">
        <v>176931</v>
      </c>
      <c r="I2522" s="23" t="n">
        <v>135000</v>
      </c>
      <c r="J2522" s="20" t="inlineStr">
        <is>
          <t>EXCHANGE ROTN</t>
        </is>
      </c>
      <c r="K2522" s="20" t="inlineStr">
        <is>
          <t>Captive</t>
        </is>
      </c>
      <c r="L2522" s="20" t="inlineStr"/>
      <c r="M2522" s="23" t="n">
        <v>4237.29</v>
      </c>
      <c r="N2522" s="23" t="n">
        <v>5000</v>
      </c>
      <c r="O2522" s="24">
        <f>IF(AND(ISNUMBER(M2522), ISNUMBER(I2522), I2522&gt;0), M2522/I2522, "")</f>
        <v/>
      </c>
    </row>
    <row r="2523">
      <c r="A2523" s="19" t="inlineStr">
        <is>
          <t>FY27</t>
        </is>
      </c>
      <c r="B2523" s="19" t="inlineStr">
        <is>
          <t>Jun</t>
        </is>
      </c>
      <c r="C2523" s="19" t="inlineStr">
        <is>
          <t>TN</t>
        </is>
      </c>
      <c r="D2523" s="20" t="inlineStr">
        <is>
          <t>TN47AD6572</t>
        </is>
      </c>
      <c r="E2523" s="20" t="inlineStr">
        <is>
          <t>HONDA</t>
        </is>
      </c>
      <c r="F2523" s="20" t="inlineStr">
        <is>
          <t>City</t>
        </is>
      </c>
      <c r="G2523" s="21" t="n">
        <v>2013</v>
      </c>
      <c r="H2523" s="22" t="n">
        <v>177823</v>
      </c>
      <c r="I2523" s="23" t="n">
        <v>310000</v>
      </c>
      <c r="J2523" s="20" t="inlineStr">
        <is>
          <t>EXCHANGE ROTN</t>
        </is>
      </c>
      <c r="K2523" s="20" t="inlineStr">
        <is>
          <t>Captive</t>
        </is>
      </c>
      <c r="L2523" s="20" t="inlineStr"/>
      <c r="M2523" s="23" t="n">
        <v>4237.29</v>
      </c>
      <c r="N2523" s="23" t="n">
        <v>5000</v>
      </c>
      <c r="O2523" s="24">
        <f>IF(AND(ISNUMBER(M2523), ISNUMBER(I2523), I2523&gt;0), M2523/I2523, "")</f>
        <v/>
      </c>
    </row>
    <row r="2524">
      <c r="A2524" s="19" t="inlineStr">
        <is>
          <t>FY27</t>
        </is>
      </c>
      <c r="B2524" s="19" t="inlineStr">
        <is>
          <t>Jun</t>
        </is>
      </c>
      <c r="C2524" s="19" t="inlineStr">
        <is>
          <t>TN</t>
        </is>
      </c>
      <c r="D2524" s="20" t="inlineStr">
        <is>
          <t>TN07BS9642</t>
        </is>
      </c>
      <c r="E2524" s="20" t="inlineStr">
        <is>
          <t>HYUNDAI</t>
        </is>
      </c>
      <c r="F2524" s="20" t="inlineStr">
        <is>
          <t>Eon</t>
        </is>
      </c>
      <c r="G2524" s="21" t="n">
        <v>2012</v>
      </c>
      <c r="H2524" s="22" t="n">
        <v>162263</v>
      </c>
      <c r="I2524" s="23" t="n">
        <v>135000</v>
      </c>
      <c r="J2524" s="20" t="inlineStr">
        <is>
          <t>EXCHANGE ROTN</t>
        </is>
      </c>
      <c r="K2524" s="20" t="inlineStr">
        <is>
          <t>Captive</t>
        </is>
      </c>
      <c r="L2524" s="20" t="inlineStr"/>
      <c r="M2524" s="23" t="n">
        <v>4237.29</v>
      </c>
      <c r="N2524" s="23" t="n">
        <v>5000</v>
      </c>
      <c r="O2524" s="24">
        <f>IF(AND(ISNUMBER(M2524), ISNUMBER(I2524), I2524&gt;0), M2524/I2524, "")</f>
        <v/>
      </c>
    </row>
    <row r="2525">
      <c r="A2525" s="19" t="inlineStr">
        <is>
          <t>FY27</t>
        </is>
      </c>
      <c r="B2525" s="19" t="inlineStr">
        <is>
          <t>Jun</t>
        </is>
      </c>
      <c r="C2525" s="19" t="inlineStr">
        <is>
          <t>TN</t>
        </is>
      </c>
      <c r="D2525" s="20" t="inlineStr">
        <is>
          <t>TN33BA8595</t>
        </is>
      </c>
      <c r="E2525" s="20" t="inlineStr">
        <is>
          <t>FORD</t>
        </is>
      </c>
      <c r="F2525" s="20" t="inlineStr">
        <is>
          <t>Figo</t>
        </is>
      </c>
      <c r="G2525" s="21" t="n">
        <v>2012</v>
      </c>
      <c r="H2525" s="22" t="n">
        <v>110054</v>
      </c>
      <c r="I2525" s="23" t="n">
        <v>165000</v>
      </c>
      <c r="J2525" s="20" t="inlineStr">
        <is>
          <t>EXCHANGE ROTN</t>
        </is>
      </c>
      <c r="K2525" s="20" t="inlineStr">
        <is>
          <t>Captive</t>
        </is>
      </c>
      <c r="L2525" s="20" t="inlineStr"/>
      <c r="M2525" s="23" t="n">
        <v>4237.29</v>
      </c>
      <c r="N2525" s="23" t="n">
        <v>5000</v>
      </c>
      <c r="O2525" s="24">
        <f>IF(AND(ISNUMBER(M2525), ISNUMBER(I2525), I2525&gt;0), M2525/I2525, "")</f>
        <v/>
      </c>
    </row>
    <row r="2526">
      <c r="A2526" s="19" t="inlineStr">
        <is>
          <t>FY27</t>
        </is>
      </c>
      <c r="B2526" s="19" t="inlineStr">
        <is>
          <t>Jun</t>
        </is>
      </c>
      <c r="C2526" s="19" t="inlineStr">
        <is>
          <t>TN</t>
        </is>
      </c>
      <c r="D2526" s="20" t="inlineStr">
        <is>
          <t>TN20BX1111</t>
        </is>
      </c>
      <c r="E2526" s="20" t="inlineStr">
        <is>
          <t>MARUTI SUZUKI</t>
        </is>
      </c>
      <c r="F2526" s="20" t="inlineStr">
        <is>
          <t>Sx4</t>
        </is>
      </c>
      <c r="G2526" s="21" t="n">
        <v>2008</v>
      </c>
      <c r="H2526" s="22" t="n">
        <v>108128</v>
      </c>
      <c r="I2526" s="23" t="n">
        <v>150000</v>
      </c>
      <c r="J2526" s="20" t="inlineStr">
        <is>
          <t>EXCHANGE ROTN</t>
        </is>
      </c>
      <c r="K2526" s="20" t="inlineStr">
        <is>
          <t>Captive</t>
        </is>
      </c>
      <c r="L2526" s="20" t="inlineStr"/>
      <c r="M2526" s="23" t="n">
        <v>4237.29</v>
      </c>
      <c r="N2526" s="23" t="n">
        <v>5000</v>
      </c>
      <c r="O2526" s="24">
        <f>IF(AND(ISNUMBER(M2526), ISNUMBER(I2526), I2526&gt;0), M2526/I2526, "")</f>
        <v/>
      </c>
    </row>
    <row r="2527">
      <c r="A2527" s="19" t="inlineStr">
        <is>
          <t>FY27</t>
        </is>
      </c>
      <c r="B2527" s="19" t="inlineStr">
        <is>
          <t>Jun</t>
        </is>
      </c>
      <c r="C2527" s="19" t="inlineStr">
        <is>
          <t>TN</t>
        </is>
      </c>
      <c r="D2527" s="20" t="inlineStr">
        <is>
          <t>TN09CQ3595</t>
        </is>
      </c>
      <c r="E2527" s="20" t="inlineStr">
        <is>
          <t>HONDA</t>
        </is>
      </c>
      <c r="F2527" s="20" t="inlineStr">
        <is>
          <t>Wr-V</t>
        </is>
      </c>
      <c r="G2527" s="21" t="n">
        <v>2018</v>
      </c>
      <c r="H2527" s="22" t="n">
        <v>59547</v>
      </c>
      <c r="I2527" s="23" t="n">
        <v>440000</v>
      </c>
      <c r="J2527" s="20" t="inlineStr">
        <is>
          <t>EXCHANGE ROTN</t>
        </is>
      </c>
      <c r="K2527" s="20" t="inlineStr">
        <is>
          <t>Captive</t>
        </is>
      </c>
      <c r="L2527" s="20" t="inlineStr"/>
      <c r="M2527" s="23" t="n">
        <v>8474.58</v>
      </c>
      <c r="N2527" s="23" t="n">
        <v>10000</v>
      </c>
      <c r="O2527" s="24">
        <f>IF(AND(ISNUMBER(M2527), ISNUMBER(I2527), I2527&gt;0), M2527/I2527, "")</f>
        <v/>
      </c>
    </row>
    <row r="2528">
      <c r="A2528" s="19" t="inlineStr">
        <is>
          <t>FY27</t>
        </is>
      </c>
      <c r="B2528" s="19" t="inlineStr">
        <is>
          <t>Jun</t>
        </is>
      </c>
      <c r="C2528" s="19" t="inlineStr">
        <is>
          <t>TN</t>
        </is>
      </c>
      <c r="D2528" s="20" t="inlineStr">
        <is>
          <t>TN55BA3434</t>
        </is>
      </c>
      <c r="E2528" s="20" t="inlineStr">
        <is>
          <t>HONDA</t>
        </is>
      </c>
      <c r="F2528" s="20" t="inlineStr">
        <is>
          <t>City</t>
        </is>
      </c>
      <c r="G2528" s="21" t="n">
        <v>2017</v>
      </c>
      <c r="H2528" s="22" t="n">
        <v>91493</v>
      </c>
      <c r="I2528" s="23" t="n">
        <v>470000</v>
      </c>
      <c r="J2528" s="20" t="inlineStr">
        <is>
          <t>EXCHANGE ROTN</t>
        </is>
      </c>
      <c r="K2528" s="20" t="inlineStr">
        <is>
          <t>Captive</t>
        </is>
      </c>
      <c r="L2528" s="20" t="inlineStr"/>
      <c r="M2528" s="23" t="n">
        <v>8474.58</v>
      </c>
      <c r="N2528" s="23" t="n">
        <v>10000</v>
      </c>
      <c r="O2528" s="24">
        <f>IF(AND(ISNUMBER(M2528), ISNUMBER(I2528), I2528&gt;0), M2528/I2528, "")</f>
        <v/>
      </c>
    </row>
    <row r="2529">
      <c r="A2529" s="19" t="inlineStr">
        <is>
          <t>FY27</t>
        </is>
      </c>
      <c r="B2529" s="19" t="inlineStr">
        <is>
          <t>Jun</t>
        </is>
      </c>
      <c r="C2529" s="19" t="inlineStr">
        <is>
          <t>TN</t>
        </is>
      </c>
      <c r="D2529" s="20" t="inlineStr">
        <is>
          <t>TN33Q9995</t>
        </is>
      </c>
      <c r="E2529" s="20" t="inlineStr">
        <is>
          <t>FIAT</t>
        </is>
      </c>
      <c r="F2529" s="20" t="inlineStr">
        <is>
          <t>Palio</t>
        </is>
      </c>
      <c r="G2529" s="21" t="n">
        <v>2002</v>
      </c>
      <c r="H2529" s="22" t="n">
        <v>88747</v>
      </c>
      <c r="I2529" s="23" t="n">
        <v>30000</v>
      </c>
      <c r="J2529" s="20" t="inlineStr">
        <is>
          <t>EXCHANGE ROTN</t>
        </is>
      </c>
      <c r="K2529" s="20" t="inlineStr">
        <is>
          <t>Captive</t>
        </is>
      </c>
      <c r="L2529" s="20" t="inlineStr"/>
      <c r="M2529" s="23" t="n">
        <v>4237.29</v>
      </c>
      <c r="N2529" s="23" t="n">
        <v>5000</v>
      </c>
      <c r="O2529" s="24">
        <f>IF(AND(ISNUMBER(M2529), ISNUMBER(I2529), I2529&gt;0), M2529/I2529, "")</f>
        <v/>
      </c>
    </row>
    <row r="2530">
      <c r="A2530" s="19" t="inlineStr">
        <is>
          <t>FY27</t>
        </is>
      </c>
      <c r="B2530" s="19" t="inlineStr">
        <is>
          <t>Jun</t>
        </is>
      </c>
      <c r="C2530" s="19" t="inlineStr">
        <is>
          <t>TN</t>
        </is>
      </c>
      <c r="D2530" s="20" t="inlineStr">
        <is>
          <t>TN18T2548</t>
        </is>
      </c>
      <c r="E2530" s="20" t="inlineStr">
        <is>
          <t>HYUNDAI</t>
        </is>
      </c>
      <c r="F2530" s="20" t="inlineStr">
        <is>
          <t>I20</t>
        </is>
      </c>
      <c r="G2530" s="21" t="n">
        <v>2013</v>
      </c>
      <c r="H2530" s="22" t="n">
        <v>113639</v>
      </c>
      <c r="I2530" s="23" t="n">
        <v>100000</v>
      </c>
      <c r="J2530" s="20" t="inlineStr">
        <is>
          <t>SGA MOTORS INDIA PRIVATE LIMITED</t>
        </is>
      </c>
      <c r="K2530" s="20" t="inlineStr">
        <is>
          <t>Non-Captive</t>
        </is>
      </c>
      <c r="L2530" s="20" t="inlineStr"/>
      <c r="M2530" s="23" t="n">
        <v>4237.29</v>
      </c>
      <c r="N2530" s="23" t="n">
        <v>5000</v>
      </c>
      <c r="O2530" s="24">
        <f>IF(AND(ISNUMBER(M2530), ISNUMBER(I2530), I2530&gt;0), M2530/I2530, "")</f>
        <v/>
      </c>
    </row>
    <row r="2531">
      <c r="A2531" s="19" t="inlineStr">
        <is>
          <t>FY27</t>
        </is>
      </c>
      <c r="B2531" s="19" t="inlineStr">
        <is>
          <t>Jun</t>
        </is>
      </c>
      <c r="C2531" s="19" t="inlineStr">
        <is>
          <t>TN</t>
        </is>
      </c>
      <c r="D2531" s="20" t="inlineStr">
        <is>
          <t>TN11W2856</t>
        </is>
      </c>
      <c r="E2531" s="20" t="inlineStr">
        <is>
          <t>RENAULT</t>
        </is>
      </c>
      <c r="F2531" s="20" t="inlineStr">
        <is>
          <t>Duster</t>
        </is>
      </c>
      <c r="G2531" s="21" t="n">
        <v>2013</v>
      </c>
      <c r="H2531" s="22" t="n">
        <v>103347</v>
      </c>
      <c r="I2531" s="23" t="n">
        <v>250000</v>
      </c>
      <c r="J2531" s="20" t="inlineStr">
        <is>
          <t>EXCHANGE ROTN</t>
        </is>
      </c>
      <c r="K2531" s="20" t="inlineStr">
        <is>
          <t>Captive</t>
        </is>
      </c>
      <c r="L2531" s="20" t="inlineStr"/>
      <c r="M2531" s="23" t="n">
        <v>8474.58</v>
      </c>
      <c r="N2531" s="23" t="n">
        <v>10000</v>
      </c>
      <c r="O2531" s="24">
        <f>IF(AND(ISNUMBER(M2531), ISNUMBER(I2531), I2531&gt;0), M2531/I2531, "")</f>
        <v/>
      </c>
    </row>
    <row r="2532">
      <c r="A2532" s="19" t="inlineStr">
        <is>
          <t>FY27</t>
        </is>
      </c>
      <c r="B2532" s="19" t="inlineStr">
        <is>
          <t>Jun</t>
        </is>
      </c>
      <c r="C2532" s="19" t="inlineStr">
        <is>
          <t>TN</t>
        </is>
      </c>
      <c r="D2532" s="20" t="inlineStr">
        <is>
          <t>TN45BD7007</t>
        </is>
      </c>
      <c r="E2532" s="20" t="inlineStr">
        <is>
          <t>HONDA</t>
        </is>
      </c>
      <c r="F2532" s="20" t="inlineStr">
        <is>
          <t>Brio</t>
        </is>
      </c>
      <c r="G2532" s="21" t="n">
        <v>2013</v>
      </c>
      <c r="H2532" s="22" t="n">
        <v>130275</v>
      </c>
      <c r="I2532" s="23" t="n">
        <v>200000</v>
      </c>
      <c r="J2532" s="20" t="inlineStr">
        <is>
          <t>EXCHANGE ROTN</t>
        </is>
      </c>
      <c r="K2532" s="20" t="inlineStr">
        <is>
          <t>Captive</t>
        </is>
      </c>
      <c r="L2532" s="20" t="inlineStr"/>
      <c r="M2532" s="23" t="n">
        <v>4237.29</v>
      </c>
      <c r="N2532" s="23" t="n">
        <v>5000</v>
      </c>
      <c r="O2532" s="24">
        <f>IF(AND(ISNUMBER(M2532), ISNUMBER(I2532), I2532&gt;0), M2532/I2532, "")</f>
        <v/>
      </c>
    </row>
    <row r="2533">
      <c r="A2533" s="19" t="inlineStr">
        <is>
          <t>FY27</t>
        </is>
      </c>
      <c r="B2533" s="19" t="inlineStr">
        <is>
          <t>Jun</t>
        </is>
      </c>
      <c r="C2533" s="19" t="inlineStr">
        <is>
          <t>TN</t>
        </is>
      </c>
      <c r="D2533" s="20" t="inlineStr">
        <is>
          <t>TN39BA2298</t>
        </is>
      </c>
      <c r="E2533" s="20" t="inlineStr">
        <is>
          <t>HYUNDAI</t>
        </is>
      </c>
      <c r="F2533" s="20" t="inlineStr">
        <is>
          <t>I10</t>
        </is>
      </c>
      <c r="G2533" s="21" t="n">
        <v>2010</v>
      </c>
      <c r="H2533" s="22" t="n">
        <v>130752</v>
      </c>
      <c r="I2533" s="23" t="n">
        <v>93000</v>
      </c>
      <c r="J2533" s="20" t="inlineStr">
        <is>
          <t>SREE SARADHAMBAL AUTOMOBILES PRIVATE LIMITED</t>
        </is>
      </c>
      <c r="K2533" s="20" t="inlineStr">
        <is>
          <t>Non-Captive</t>
        </is>
      </c>
      <c r="L2533" s="20" t="inlineStr"/>
      <c r="M2533" s="23" t="n">
        <v>4237.29</v>
      </c>
      <c r="N2533" s="23" t="n">
        <v>5000</v>
      </c>
      <c r="O2533" s="24">
        <f>IF(AND(ISNUMBER(M2533), ISNUMBER(I2533), I2533&gt;0), M2533/I2533, "")</f>
        <v/>
      </c>
    </row>
    <row r="2534">
      <c r="A2534" s="19" t="inlineStr">
        <is>
          <t>FY27</t>
        </is>
      </c>
      <c r="B2534" s="19" t="inlineStr">
        <is>
          <t>Jun</t>
        </is>
      </c>
      <c r="C2534" s="19" t="inlineStr">
        <is>
          <t>TN</t>
        </is>
      </c>
      <c r="D2534" s="20" t="inlineStr">
        <is>
          <t>TN34K0823</t>
        </is>
      </c>
      <c r="E2534" s="20" t="inlineStr">
        <is>
          <t>MARUTI SUZUKI</t>
        </is>
      </c>
      <c r="F2534" s="20" t="inlineStr">
        <is>
          <t>Zen Estilo</t>
        </is>
      </c>
      <c r="G2534" s="21" t="n">
        <v>2009</v>
      </c>
      <c r="H2534" s="22" t="n">
        <v>237903</v>
      </c>
      <c r="I2534" s="23" t="n">
        <v>45000</v>
      </c>
      <c r="J2534" s="20" t="inlineStr">
        <is>
          <t>SREE SARADHAMBAL AUTOMOBILES PRIVATE LIMITED</t>
        </is>
      </c>
      <c r="K2534" s="20" t="inlineStr">
        <is>
          <t>Non-Captive</t>
        </is>
      </c>
      <c r="L2534" s="20" t="inlineStr"/>
      <c r="M2534" s="23" t="n">
        <v>4237.29</v>
      </c>
      <c r="N2534" s="23" t="n">
        <v>5000</v>
      </c>
      <c r="O2534" s="24">
        <f>IF(AND(ISNUMBER(M2534), ISNUMBER(I2534), I2534&gt;0), M2534/I2534, "")</f>
        <v/>
      </c>
    </row>
    <row r="2535">
      <c r="A2535" s="19" t="inlineStr">
        <is>
          <t>FY27</t>
        </is>
      </c>
      <c r="B2535" s="19" t="inlineStr">
        <is>
          <t>Jun</t>
        </is>
      </c>
      <c r="C2535" s="19" t="inlineStr">
        <is>
          <t>TN</t>
        </is>
      </c>
      <c r="D2535" s="20" t="inlineStr">
        <is>
          <t>TN36F2459</t>
        </is>
      </c>
      <c r="E2535" s="20" t="inlineStr">
        <is>
          <t>MARUTI SUZUKI</t>
        </is>
      </c>
      <c r="F2535" s="20" t="inlineStr">
        <is>
          <t>Alto 800</t>
        </is>
      </c>
      <c r="G2535" s="21" t="n">
        <v>2003</v>
      </c>
      <c r="H2535" s="22" t="n">
        <v>80177</v>
      </c>
      <c r="I2535" s="23" t="n">
        <v>35000</v>
      </c>
      <c r="J2535" s="20" t="inlineStr">
        <is>
          <t>TAFE ACCESS LIMITED</t>
        </is>
      </c>
      <c r="K2535" s="20" t="inlineStr">
        <is>
          <t>Non-Captive</t>
        </is>
      </c>
      <c r="L2535" s="20" t="inlineStr"/>
      <c r="M2535" s="23" t="n">
        <v>4237.29</v>
      </c>
      <c r="N2535" s="23" t="n">
        <v>5000</v>
      </c>
      <c r="O2535" s="24">
        <f>IF(AND(ISNUMBER(M2535), ISNUMBER(I2535), I2535&gt;0), M2535/I2535, "")</f>
        <v/>
      </c>
    </row>
    <row r="2536">
      <c r="A2536" s="19" t="inlineStr">
        <is>
          <t>FY27</t>
        </is>
      </c>
      <c r="B2536" s="19" t="inlineStr">
        <is>
          <t>Jun</t>
        </is>
      </c>
      <c r="C2536" s="19" t="inlineStr">
        <is>
          <t>TN</t>
        </is>
      </c>
      <c r="D2536" s="20" t="inlineStr">
        <is>
          <t>TN43A5231</t>
        </is>
      </c>
      <c r="E2536" s="20" t="inlineStr">
        <is>
          <t>TATA</t>
        </is>
      </c>
      <c r="F2536" s="20" t="inlineStr">
        <is>
          <t>Indica</t>
        </is>
      </c>
      <c r="G2536" s="21" t="n">
        <v>2002</v>
      </c>
      <c r="H2536" s="22" t="n">
        <v>17421</v>
      </c>
      <c r="I2536" s="23" t="n">
        <v>54000</v>
      </c>
      <c r="J2536" s="20" t="inlineStr">
        <is>
          <t>LOTUS HYUNDAI (TEJAS CARS PRIVATE LIMITED)</t>
        </is>
      </c>
      <c r="K2536" s="20" t="inlineStr">
        <is>
          <t>Non-Captive</t>
        </is>
      </c>
      <c r="L2536" s="20" t="inlineStr"/>
      <c r="M2536" s="23" t="n">
        <v>4237.29</v>
      </c>
      <c r="N2536" s="23" t="n">
        <v>5000</v>
      </c>
      <c r="O2536" s="24">
        <f>IF(AND(ISNUMBER(M2536), ISNUMBER(I2536), I2536&gt;0), M2536/I2536, "")</f>
        <v/>
      </c>
    </row>
    <row r="2537">
      <c r="A2537" s="19" t="inlineStr">
        <is>
          <t>FY27</t>
        </is>
      </c>
      <c r="B2537" s="19" t="inlineStr">
        <is>
          <t>Jun</t>
        </is>
      </c>
      <c r="C2537" s="19" t="inlineStr">
        <is>
          <t>TN</t>
        </is>
      </c>
      <c r="D2537" s="20" t="inlineStr">
        <is>
          <t>TN07CA4081</t>
        </is>
      </c>
      <c r="E2537" s="20" t="inlineStr">
        <is>
          <t>MARUTI SUZUKI</t>
        </is>
      </c>
      <c r="F2537" s="20" t="inlineStr">
        <is>
          <t>Swift</t>
        </is>
      </c>
      <c r="G2537" s="21" t="n">
        <v>2014</v>
      </c>
      <c r="H2537" s="22" t="n">
        <v>89303</v>
      </c>
      <c r="I2537" s="23" t="n">
        <v>385000</v>
      </c>
      <c r="J2537" s="20" t="inlineStr">
        <is>
          <t>EXCHANGE CHENNAI</t>
        </is>
      </c>
      <c r="K2537" s="20" t="inlineStr">
        <is>
          <t>Captive</t>
        </is>
      </c>
      <c r="L2537" s="20" t="inlineStr"/>
      <c r="M2537" s="23" t="n">
        <v>8474.58</v>
      </c>
      <c r="N2537" s="23" t="n">
        <v>10000</v>
      </c>
      <c r="O2537" s="24">
        <f>IF(AND(ISNUMBER(M2537), ISNUMBER(I2537), I2537&gt;0), M2537/I2537, "")</f>
        <v/>
      </c>
    </row>
    <row r="2538">
      <c r="A2538" s="19" t="inlineStr">
        <is>
          <t>FY27</t>
        </is>
      </c>
      <c r="B2538" s="19" t="inlineStr">
        <is>
          <t>Jun</t>
        </is>
      </c>
      <c r="C2538" s="19" t="inlineStr">
        <is>
          <t>TN</t>
        </is>
      </c>
      <c r="D2538" s="20" t="inlineStr">
        <is>
          <t>TN99B7502</t>
        </is>
      </c>
      <c r="E2538" s="20" t="inlineStr">
        <is>
          <t>MARUTI SUZUKI</t>
        </is>
      </c>
      <c r="F2538" s="20" t="inlineStr">
        <is>
          <t>Alto</t>
        </is>
      </c>
      <c r="G2538" s="21" t="n">
        <v>2009</v>
      </c>
      <c r="H2538" s="22" t="n">
        <v>61675</v>
      </c>
      <c r="I2538" s="23" t="n">
        <v>340000</v>
      </c>
      <c r="J2538" s="20" t="inlineStr">
        <is>
          <t>EXCHANGE ROTN</t>
        </is>
      </c>
      <c r="K2538" s="20" t="inlineStr">
        <is>
          <t>Captive</t>
        </is>
      </c>
      <c r="L2538" s="20" t="inlineStr"/>
      <c r="M2538" s="23" t="n">
        <v>8474.58</v>
      </c>
      <c r="N2538" s="23" t="n">
        <v>10000</v>
      </c>
      <c r="O2538" s="24">
        <f>IF(AND(ISNUMBER(M2538), ISNUMBER(I2538), I2538&gt;0), M2538/I2538, "")</f>
        <v/>
      </c>
    </row>
    <row r="2539">
      <c r="A2539" s="19" t="inlineStr">
        <is>
          <t>FY27</t>
        </is>
      </c>
      <c r="B2539" s="19" t="inlineStr">
        <is>
          <t>Jun</t>
        </is>
      </c>
      <c r="C2539" s="19" t="inlineStr">
        <is>
          <t>TN</t>
        </is>
      </c>
      <c r="D2539" s="20" t="inlineStr">
        <is>
          <t>TN50F2243</t>
        </is>
      </c>
      <c r="E2539" s="20" t="inlineStr">
        <is>
          <t>MARUTI SUZUKI</t>
        </is>
      </c>
      <c r="F2539" s="20" t="inlineStr">
        <is>
          <t>Alto</t>
        </is>
      </c>
      <c r="G2539" s="21" t="n">
        <v>2008</v>
      </c>
      <c r="H2539" s="22" t="n">
        <v>162474</v>
      </c>
      <c r="I2539" s="23" t="n">
        <v>80000</v>
      </c>
      <c r="J2539" s="20" t="inlineStr">
        <is>
          <t>TAFE ACCESS LIMITED</t>
        </is>
      </c>
      <c r="K2539" s="20" t="inlineStr">
        <is>
          <t>Non-Captive</t>
        </is>
      </c>
      <c r="L2539" s="20" t="inlineStr"/>
      <c r="M2539" s="23" t="n">
        <v>4237.29</v>
      </c>
      <c r="N2539" s="23" t="n">
        <v>5000</v>
      </c>
      <c r="O2539" s="24">
        <f>IF(AND(ISNUMBER(M2539), ISNUMBER(I2539), I2539&gt;0), M2539/I2539, "")</f>
        <v/>
      </c>
    </row>
    <row r="2540">
      <c r="A2540" s="19" t="inlineStr">
        <is>
          <t>FY27</t>
        </is>
      </c>
      <c r="B2540" s="19" t="inlineStr">
        <is>
          <t>Jun</t>
        </is>
      </c>
      <c r="C2540" s="19" t="inlineStr">
        <is>
          <t>TN</t>
        </is>
      </c>
      <c r="D2540" s="20" t="inlineStr">
        <is>
          <t>TN33AP7367</t>
        </is>
      </c>
      <c r="E2540" s="20" t="inlineStr">
        <is>
          <t>TATA</t>
        </is>
      </c>
      <c r="F2540" s="20" t="inlineStr">
        <is>
          <t>Indica</t>
        </is>
      </c>
      <c r="G2540" s="21" t="n">
        <v>2009</v>
      </c>
      <c r="H2540" s="22" t="n">
        <v>186970</v>
      </c>
      <c r="I2540" s="23" t="n">
        <v>67000</v>
      </c>
      <c r="J2540" s="20" t="inlineStr">
        <is>
          <t>LOTUS HYUNDAI (TEJAS CARS PRIVATE LIMITED)</t>
        </is>
      </c>
      <c r="K2540" s="20" t="inlineStr">
        <is>
          <t>Non-Captive</t>
        </is>
      </c>
      <c r="L2540" s="20" t="inlineStr"/>
      <c r="M2540" s="23" t="n">
        <v>4237.29</v>
      </c>
      <c r="N2540" s="23" t="n">
        <v>5000</v>
      </c>
      <c r="O2540" s="24">
        <f>IF(AND(ISNUMBER(M2540), ISNUMBER(I2540), I2540&gt;0), M2540/I2540, "")</f>
        <v/>
      </c>
    </row>
    <row r="2541">
      <c r="A2541" s="19" t="inlineStr">
        <is>
          <t>FY27</t>
        </is>
      </c>
      <c r="B2541" s="19" t="inlineStr">
        <is>
          <t>Jun</t>
        </is>
      </c>
      <c r="C2541" s="19" t="inlineStr">
        <is>
          <t>TN</t>
        </is>
      </c>
      <c r="D2541" s="20" t="inlineStr">
        <is>
          <t>TN30AL4521</t>
        </is>
      </c>
      <c r="E2541" s="20" t="inlineStr">
        <is>
          <t>MARUTI SUZUKI</t>
        </is>
      </c>
      <c r="F2541" s="20" t="inlineStr">
        <is>
          <t>Alto</t>
        </is>
      </c>
      <c r="G2541" s="21" t="n">
        <v>2011</v>
      </c>
      <c r="H2541" s="22" t="n">
        <v>156306</v>
      </c>
      <c r="I2541" s="23" t="n">
        <v>75000</v>
      </c>
      <c r="J2541" s="20" t="inlineStr">
        <is>
          <t>SGA MOTORS INDIA PRIVATE LIMITED</t>
        </is>
      </c>
      <c r="K2541" s="20" t="inlineStr">
        <is>
          <t>Non-Captive</t>
        </is>
      </c>
      <c r="L2541" s="20" t="inlineStr"/>
      <c r="M2541" s="23" t="n">
        <v>4237.29</v>
      </c>
      <c r="N2541" s="23" t="n">
        <v>5000</v>
      </c>
      <c r="O2541" s="24">
        <f>IF(AND(ISNUMBER(M2541), ISNUMBER(I2541), I2541&gt;0), M2541/I2541, "")</f>
        <v/>
      </c>
    </row>
    <row r="2542">
      <c r="A2542" s="19" t="inlineStr">
        <is>
          <t>FY27</t>
        </is>
      </c>
      <c r="B2542" s="19" t="inlineStr">
        <is>
          <t>Jun</t>
        </is>
      </c>
      <c r="C2542" s="19" t="inlineStr">
        <is>
          <t>TN</t>
        </is>
      </c>
      <c r="D2542" s="20" t="inlineStr">
        <is>
          <t>TN30AX5919</t>
        </is>
      </c>
      <c r="E2542" s="20" t="inlineStr">
        <is>
          <t>TATA</t>
        </is>
      </c>
      <c r="F2542" s="20" t="inlineStr">
        <is>
          <t>Indica</t>
        </is>
      </c>
      <c r="G2542" s="21" t="n">
        <v>2011</v>
      </c>
      <c r="H2542" s="22" t="n">
        <v>289815</v>
      </c>
      <c r="I2542" s="23" t="n">
        <v>40000</v>
      </c>
      <c r="J2542" s="20" t="inlineStr">
        <is>
          <t>SGA MOTORS INDIA PRIVATE LIMITED</t>
        </is>
      </c>
      <c r="K2542" s="20" t="inlineStr">
        <is>
          <t>Non-Captive</t>
        </is>
      </c>
      <c r="L2542" s="20" t="inlineStr"/>
      <c r="M2542" s="23" t="n">
        <v>4237.29</v>
      </c>
      <c r="N2542" s="23" t="n">
        <v>5000</v>
      </c>
      <c r="O2542" s="24">
        <f>IF(AND(ISNUMBER(M2542), ISNUMBER(I2542), I2542&gt;0), M2542/I2542, "")</f>
        <v/>
      </c>
    </row>
    <row r="2543">
      <c r="A2543" s="19" t="inlineStr">
        <is>
          <t>FY27</t>
        </is>
      </c>
      <c r="B2543" s="19" t="inlineStr">
        <is>
          <t>Jun</t>
        </is>
      </c>
      <c r="C2543" s="19" t="inlineStr">
        <is>
          <t>TN</t>
        </is>
      </c>
      <c r="D2543" s="20" t="inlineStr">
        <is>
          <t>TN09AH3699</t>
        </is>
      </c>
      <c r="E2543" s="20" t="inlineStr">
        <is>
          <t>MARUTI SUZUKI</t>
        </is>
      </c>
      <c r="F2543" s="20" t="inlineStr">
        <is>
          <t>Alto</t>
        </is>
      </c>
      <c r="G2543" s="21" t="n">
        <v>2004</v>
      </c>
      <c r="H2543" s="22" t="n">
        <v>156306</v>
      </c>
      <c r="I2543" s="23" t="n">
        <v>70000</v>
      </c>
      <c r="J2543" s="20" t="inlineStr">
        <is>
          <t>SGA MOTORS INDIA PRIVATE LIMITED</t>
        </is>
      </c>
      <c r="K2543" s="20" t="inlineStr">
        <is>
          <t>Non-Captive</t>
        </is>
      </c>
      <c r="L2543" s="20" t="inlineStr"/>
      <c r="M2543" s="23" t="n">
        <v>4237.29</v>
      </c>
      <c r="N2543" s="23" t="n">
        <v>5000</v>
      </c>
      <c r="O2543" s="24">
        <f>IF(AND(ISNUMBER(M2543), ISNUMBER(I2543), I2543&gt;0), M2543/I2543, "")</f>
        <v/>
      </c>
    </row>
    <row r="2544">
      <c r="A2544" s="19" t="inlineStr">
        <is>
          <t>FY27</t>
        </is>
      </c>
      <c r="B2544" s="19" t="inlineStr">
        <is>
          <t>Jun</t>
        </is>
      </c>
      <c r="C2544" s="19" t="inlineStr">
        <is>
          <t>TN</t>
        </is>
      </c>
      <c r="D2544" s="20" t="inlineStr">
        <is>
          <t>TN54D4959</t>
        </is>
      </c>
      <c r="E2544" s="20" t="inlineStr">
        <is>
          <t>CHEVROLET</t>
        </is>
      </c>
      <c r="F2544" s="20" t="inlineStr">
        <is>
          <t>Spark</t>
        </is>
      </c>
      <c r="G2544" s="21" t="n">
        <v>2011</v>
      </c>
      <c r="H2544" s="22" t="n">
        <v>68191</v>
      </c>
      <c r="I2544" s="23" t="n">
        <v>30000</v>
      </c>
      <c r="J2544" s="20" t="inlineStr">
        <is>
          <t>SM CARS</t>
        </is>
      </c>
      <c r="K2544" s="20" t="inlineStr">
        <is>
          <t>Non-Captive</t>
        </is>
      </c>
      <c r="L2544" s="20" t="inlineStr"/>
      <c r="M2544" s="23" t="n">
        <v>4237.29</v>
      </c>
      <c r="N2544" s="23" t="n">
        <v>5000</v>
      </c>
      <c r="O2544" s="24">
        <f>IF(AND(ISNUMBER(M2544), ISNUMBER(I2544), I2544&gt;0), M2544/I2544, "")</f>
        <v/>
      </c>
    </row>
    <row r="2545">
      <c r="A2545" s="19" t="inlineStr">
        <is>
          <t>FY27</t>
        </is>
      </c>
      <c r="B2545" s="19" t="inlineStr">
        <is>
          <t>Jun</t>
        </is>
      </c>
      <c r="C2545" s="19" t="inlineStr">
        <is>
          <t>TN</t>
        </is>
      </c>
      <c r="D2545" s="20" t="inlineStr">
        <is>
          <t>TN37CU0167</t>
        </is>
      </c>
      <c r="E2545" s="20" t="inlineStr">
        <is>
          <t>HONDA</t>
        </is>
      </c>
      <c r="F2545" s="20" t="inlineStr">
        <is>
          <t>Brio</t>
        </is>
      </c>
      <c r="G2545" s="21" t="n">
        <v>2016</v>
      </c>
      <c r="H2545" s="22" t="n">
        <v>102924</v>
      </c>
      <c r="I2545" s="23" t="n">
        <v>280000</v>
      </c>
      <c r="J2545" s="20" t="inlineStr">
        <is>
          <t>EXCHANGE ROTN</t>
        </is>
      </c>
      <c r="K2545" s="20" t="inlineStr">
        <is>
          <t>Captive</t>
        </is>
      </c>
      <c r="L2545" s="20" t="inlineStr"/>
      <c r="M2545" s="23" t="n">
        <v>8474.58</v>
      </c>
      <c r="N2545" s="23" t="n">
        <v>10000</v>
      </c>
      <c r="O2545" s="24">
        <f>IF(AND(ISNUMBER(M2545), ISNUMBER(I2545), I2545&gt;0), M2545/I2545, "")</f>
        <v/>
      </c>
    </row>
    <row r="2546">
      <c r="A2546" s="19" t="inlineStr">
        <is>
          <t>FY27</t>
        </is>
      </c>
      <c r="B2546" s="19" t="inlineStr">
        <is>
          <t>Jun</t>
        </is>
      </c>
      <c r="C2546" s="19" t="inlineStr">
        <is>
          <t>TN</t>
        </is>
      </c>
      <c r="D2546" s="20" t="inlineStr">
        <is>
          <t>TN99Q9894</t>
        </is>
      </c>
      <c r="E2546" s="20" t="inlineStr">
        <is>
          <t>SKODA</t>
        </is>
      </c>
      <c r="F2546" s="20" t="inlineStr">
        <is>
          <t>Rapid</t>
        </is>
      </c>
      <c r="G2546" s="21" t="n">
        <v>2019</v>
      </c>
      <c r="H2546" s="22" t="n">
        <v>108129</v>
      </c>
      <c r="I2546" s="23" t="n">
        <v>575000</v>
      </c>
      <c r="J2546" s="20" t="inlineStr">
        <is>
          <t>N R GARAGE</t>
        </is>
      </c>
      <c r="K2546" s="20" t="inlineStr">
        <is>
          <t>Non-Captive</t>
        </is>
      </c>
      <c r="L2546" s="20" t="inlineStr"/>
      <c r="M2546" s="23" t="n">
        <v>4237.29</v>
      </c>
      <c r="N2546" s="23" t="n">
        <v>5000</v>
      </c>
      <c r="O2546" s="24">
        <f>IF(AND(ISNUMBER(M2546), ISNUMBER(I2546), I2546&gt;0), M2546/I2546, "")</f>
        <v/>
      </c>
    </row>
    <row r="2547">
      <c r="A2547" s="19" t="inlineStr">
        <is>
          <t>FY27</t>
        </is>
      </c>
      <c r="B2547" s="19" t="inlineStr">
        <is>
          <t>Jun</t>
        </is>
      </c>
      <c r="C2547" s="19" t="inlineStr">
        <is>
          <t>TN</t>
        </is>
      </c>
      <c r="D2547" s="20" t="inlineStr">
        <is>
          <t>TN67BM4978</t>
        </is>
      </c>
      <c r="E2547" s="20" t="inlineStr">
        <is>
          <t>RENAULT</t>
        </is>
      </c>
      <c r="F2547" s="20" t="inlineStr">
        <is>
          <t>Triber</t>
        </is>
      </c>
      <c r="G2547" s="21" t="n">
        <v>2021</v>
      </c>
      <c r="H2547" s="22" t="n">
        <v>65728</v>
      </c>
      <c r="I2547" s="23" t="n">
        <v>450000</v>
      </c>
      <c r="J2547" s="20" t="inlineStr">
        <is>
          <t>EXCHANGE ROTN</t>
        </is>
      </c>
      <c r="K2547" s="20" t="inlineStr">
        <is>
          <t>Captive</t>
        </is>
      </c>
      <c r="L2547" s="20" t="inlineStr"/>
      <c r="M2547" s="23" t="n">
        <v>8474.58</v>
      </c>
      <c r="N2547" s="23" t="n">
        <v>10000</v>
      </c>
      <c r="O2547" s="24">
        <f>IF(AND(ISNUMBER(M2547), ISNUMBER(I2547), I2547&gt;0), M2547/I2547, "")</f>
        <v/>
      </c>
    </row>
    <row r="2548">
      <c r="A2548" s="19" t="inlineStr">
        <is>
          <t>FY27</t>
        </is>
      </c>
      <c r="B2548" s="19" t="inlineStr">
        <is>
          <t>Jun</t>
        </is>
      </c>
      <c r="C2548" s="19" t="inlineStr">
        <is>
          <t>Kerala</t>
        </is>
      </c>
      <c r="D2548" s="20" t="inlineStr">
        <is>
          <t>KL13AP2737</t>
        </is>
      </c>
      <c r="E2548" s="20" t="inlineStr">
        <is>
          <t>MARUTI SUZUKI</t>
        </is>
      </c>
      <c r="F2548" s="20" t="inlineStr">
        <is>
          <t>Breeza</t>
        </is>
      </c>
      <c r="G2548" s="21" t="n">
        <v>2019</v>
      </c>
      <c r="H2548" s="22" t="n">
        <v>160000</v>
      </c>
      <c r="I2548" s="23" t="n">
        <v>410000</v>
      </c>
      <c r="J2548" s="20" t="inlineStr">
        <is>
          <t>POPULAR MARUTI</t>
        </is>
      </c>
      <c r="K2548" s="20" t="inlineStr">
        <is>
          <t>Non-Captive</t>
        </is>
      </c>
      <c r="L2548" s="20" t="inlineStr">
        <is>
          <t>HASNA</t>
        </is>
      </c>
      <c r="M2548" s="23" t="n">
        <v>8474.58</v>
      </c>
      <c r="N2548" s="23" t="n">
        <v>10000</v>
      </c>
      <c r="O2548" s="24">
        <f>IF(AND(ISNUMBER(M2548), ISNUMBER(I2548), I2548&gt;0), M2548/I2548, "")</f>
        <v/>
      </c>
    </row>
    <row r="2549">
      <c r="A2549" s="19" t="inlineStr">
        <is>
          <t>FY27</t>
        </is>
      </c>
      <c r="B2549" s="19" t="inlineStr">
        <is>
          <t>Jun</t>
        </is>
      </c>
      <c r="C2549" s="19" t="inlineStr">
        <is>
          <t>Kerala</t>
        </is>
      </c>
      <c r="D2549" s="20" t="inlineStr">
        <is>
          <t>KL01BF3550</t>
        </is>
      </c>
      <c r="E2549" s="20" t="inlineStr">
        <is>
          <t>MARUTI SUZUKI</t>
        </is>
      </c>
      <c r="F2549" s="20" t="inlineStr">
        <is>
          <t>Wagon R</t>
        </is>
      </c>
      <c r="G2549" s="21" t="n">
        <v>2012</v>
      </c>
      <c r="H2549" s="22" t="n">
        <v>145400</v>
      </c>
      <c r="I2549" s="23" t="n">
        <v>120000</v>
      </c>
      <c r="J2549" s="20" t="inlineStr">
        <is>
          <t>POPULAR MARUTI</t>
        </is>
      </c>
      <c r="K2549" s="20" t="inlineStr">
        <is>
          <t>Non-Captive</t>
        </is>
      </c>
      <c r="L2549" s="20" t="inlineStr">
        <is>
          <t>PRAJOD</t>
        </is>
      </c>
      <c r="M2549" s="23" t="n">
        <v>12711.86</v>
      </c>
      <c r="N2549" s="23" t="n">
        <v>15000</v>
      </c>
      <c r="O2549" s="24">
        <f>IF(AND(ISNUMBER(M2549), ISNUMBER(I2549), I2549&gt;0), M2549/I2549, "")</f>
        <v/>
      </c>
    </row>
    <row r="2550">
      <c r="A2550" s="19" t="inlineStr">
        <is>
          <t>FY27</t>
        </is>
      </c>
      <c r="B2550" s="19" t="inlineStr">
        <is>
          <t>Jun</t>
        </is>
      </c>
      <c r="C2550" s="19" t="inlineStr">
        <is>
          <t>Kerala</t>
        </is>
      </c>
      <c r="D2550" s="20" t="inlineStr">
        <is>
          <t>KL03AF1626</t>
        </is>
      </c>
      <c r="E2550" s="20" t="inlineStr">
        <is>
          <t>MARUTI SUZUKI</t>
        </is>
      </c>
      <c r="F2550" s="20" t="inlineStr">
        <is>
          <t>Wagon R</t>
        </is>
      </c>
      <c r="G2550" s="21" t="n">
        <v>2020</v>
      </c>
      <c r="H2550" s="22" t="n">
        <v>170768</v>
      </c>
      <c r="I2550" s="23" t="n">
        <v>300000</v>
      </c>
      <c r="J2550" s="20" t="inlineStr">
        <is>
          <t>POPULAR MARUTI</t>
        </is>
      </c>
      <c r="K2550" s="20" t="inlineStr">
        <is>
          <t>Non-Captive</t>
        </is>
      </c>
      <c r="L2550" s="20" t="inlineStr">
        <is>
          <t>MUHAMMAD SHAJI</t>
        </is>
      </c>
      <c r="M2550" s="23" t="n">
        <v>12711.86</v>
      </c>
      <c r="N2550" s="23" t="n">
        <v>15000</v>
      </c>
      <c r="O2550" s="24">
        <f>IF(AND(ISNUMBER(M2550), ISNUMBER(I2550), I2550&gt;0), M2550/I2550, "")</f>
        <v/>
      </c>
    </row>
    <row r="2551">
      <c r="A2551" s="19" t="inlineStr">
        <is>
          <t>FY27</t>
        </is>
      </c>
      <c r="B2551" s="19" t="inlineStr">
        <is>
          <t>Jun</t>
        </is>
      </c>
      <c r="C2551" s="19" t="inlineStr">
        <is>
          <t>Kerala</t>
        </is>
      </c>
      <c r="D2551" s="20" t="inlineStr">
        <is>
          <t>KL580716</t>
        </is>
      </c>
      <c r="E2551" s="20" t="inlineStr">
        <is>
          <t>MARUTI SUZUKI</t>
        </is>
      </c>
      <c r="F2551" s="20" t="inlineStr">
        <is>
          <t>M800</t>
        </is>
      </c>
      <c r="G2551" s="21" t="n">
        <v>2006</v>
      </c>
      <c r="H2551" s="22" t="n">
        <v>126536</v>
      </c>
      <c r="I2551" s="23" t="n">
        <v>16000</v>
      </c>
      <c r="J2551" s="20" t="inlineStr">
        <is>
          <t>POPULAR MARUTI</t>
        </is>
      </c>
      <c r="K2551" s="20" t="inlineStr">
        <is>
          <t>Non-Captive</t>
        </is>
      </c>
      <c r="L2551" s="20" t="inlineStr">
        <is>
          <t>ANAS VH</t>
        </is>
      </c>
      <c r="M2551" s="23" t="n">
        <v>4237.29</v>
      </c>
      <c r="N2551" s="23" t="n">
        <v>5000</v>
      </c>
      <c r="O2551" s="24">
        <f>IF(AND(ISNUMBER(M2551), ISNUMBER(I2551), I2551&gt;0), M2551/I2551, "")</f>
        <v/>
      </c>
    </row>
    <row r="2552">
      <c r="A2552" s="19" t="inlineStr">
        <is>
          <t>FY27</t>
        </is>
      </c>
      <c r="B2552" s="19" t="inlineStr">
        <is>
          <t>Jun</t>
        </is>
      </c>
      <c r="C2552" s="19" t="inlineStr">
        <is>
          <t>Kerala</t>
        </is>
      </c>
      <c r="D2552" s="20" t="inlineStr">
        <is>
          <t>KL05AC8627</t>
        </is>
      </c>
      <c r="E2552" s="20" t="inlineStr">
        <is>
          <t>MARUTI SUZUKI</t>
        </is>
      </c>
      <c r="F2552" s="20" t="inlineStr">
        <is>
          <t>Alto</t>
        </is>
      </c>
      <c r="G2552" s="21" t="n">
        <v>2011</v>
      </c>
      <c r="H2552" s="22" t="n">
        <v>100276</v>
      </c>
      <c r="I2552" s="23" t="n">
        <v>51500</v>
      </c>
      <c r="J2552" s="20" t="inlineStr">
        <is>
          <t>POPULAR MARUTI</t>
        </is>
      </c>
      <c r="K2552" s="20" t="inlineStr">
        <is>
          <t>Non-Captive</t>
        </is>
      </c>
      <c r="L2552" s="20" t="inlineStr">
        <is>
          <t>ANAS VH</t>
        </is>
      </c>
      <c r="M2552" s="23" t="n">
        <v>9745.76</v>
      </c>
      <c r="N2552" s="23" t="n">
        <v>11500</v>
      </c>
      <c r="O2552" s="24">
        <f>IF(AND(ISNUMBER(M2552), ISNUMBER(I2552), I2552&gt;0), M2552/I2552, "")</f>
        <v/>
      </c>
    </row>
    <row r="2553">
      <c r="A2553" s="19" t="inlineStr">
        <is>
          <t>FY27</t>
        </is>
      </c>
      <c r="B2553" s="19" t="inlineStr">
        <is>
          <t>Jun</t>
        </is>
      </c>
      <c r="C2553" s="19" t="inlineStr">
        <is>
          <t>Kerala</t>
        </is>
      </c>
      <c r="D2553" s="20" t="inlineStr">
        <is>
          <t>KL46C5856</t>
        </is>
      </c>
      <c r="E2553" s="20" t="inlineStr">
        <is>
          <t>HYUNDAI</t>
        </is>
      </c>
      <c r="F2553" s="20" t="inlineStr">
        <is>
          <t>I20</t>
        </is>
      </c>
      <c r="G2553" s="21" t="n">
        <v>2010</v>
      </c>
      <c r="H2553" s="22" t="n">
        <v>132000</v>
      </c>
      <c r="I2553" s="23" t="n">
        <v>114000</v>
      </c>
      <c r="J2553" s="20" t="inlineStr">
        <is>
          <t>POPULAR MARUTI</t>
        </is>
      </c>
      <c r="K2553" s="20" t="inlineStr">
        <is>
          <t>Non-Captive</t>
        </is>
      </c>
      <c r="L2553" s="20" t="inlineStr">
        <is>
          <t>DEAMS CARS-ARNOLD</t>
        </is>
      </c>
      <c r="M2553" s="23" t="n">
        <v>8474.58</v>
      </c>
      <c r="N2553" s="23" t="n">
        <v>10000</v>
      </c>
      <c r="O2553" s="24">
        <f>IF(AND(ISNUMBER(M2553), ISNUMBER(I2553), I2553&gt;0), M2553/I2553, "")</f>
        <v/>
      </c>
    </row>
    <row r="2554">
      <c r="A2554" s="19" t="inlineStr">
        <is>
          <t>FY27</t>
        </is>
      </c>
      <c r="B2554" s="19" t="inlineStr">
        <is>
          <t>Jun</t>
        </is>
      </c>
      <c r="C2554" s="19" t="inlineStr">
        <is>
          <t>Kerala</t>
        </is>
      </c>
      <c r="D2554" s="20" t="inlineStr">
        <is>
          <t>KL08AC8323</t>
        </is>
      </c>
      <c r="E2554" s="20" t="inlineStr">
        <is>
          <t>MARUTI SUZUKI</t>
        </is>
      </c>
      <c r="F2554" s="20" t="inlineStr">
        <is>
          <t>Alto 800</t>
        </is>
      </c>
      <c r="G2554" s="21" t="n">
        <v>2005</v>
      </c>
      <c r="H2554" s="22" t="n">
        <v>48814</v>
      </c>
      <c r="I2554" s="23" t="n">
        <v>51000</v>
      </c>
      <c r="J2554" s="20" t="inlineStr">
        <is>
          <t>POPULAR MARUTI</t>
        </is>
      </c>
      <c r="K2554" s="20" t="inlineStr">
        <is>
          <t>Non-Captive</t>
        </is>
      </c>
      <c r="L2554" s="20" t="inlineStr">
        <is>
          <t>DEAMS CARS-ARNOLD</t>
        </is>
      </c>
      <c r="M2554" s="23" t="n">
        <v>8474.58</v>
      </c>
      <c r="N2554" s="23" t="n">
        <v>10000</v>
      </c>
      <c r="O2554" s="24">
        <f>IF(AND(ISNUMBER(M2554), ISNUMBER(I2554), I2554&gt;0), M2554/I2554, "")</f>
        <v/>
      </c>
    </row>
    <row r="2555">
      <c r="A2555" s="19" t="inlineStr">
        <is>
          <t>FY27</t>
        </is>
      </c>
      <c r="B2555" s="19" t="inlineStr">
        <is>
          <t>Jun</t>
        </is>
      </c>
      <c r="C2555" s="19" t="inlineStr">
        <is>
          <t>Kerala</t>
        </is>
      </c>
      <c r="D2555" s="20" t="inlineStr">
        <is>
          <t>KL39A5739</t>
        </is>
      </c>
      <c r="E2555" s="20" t="inlineStr">
        <is>
          <t>HYUNDAI</t>
        </is>
      </c>
      <c r="F2555" s="20" t="inlineStr">
        <is>
          <t>Santro</t>
        </is>
      </c>
      <c r="G2555" s="21" t="n">
        <v>2008</v>
      </c>
      <c r="H2555" s="22" t="n">
        <v>57000</v>
      </c>
      <c r="I2555" s="23" t="n">
        <v>65000</v>
      </c>
      <c r="J2555" s="20" t="inlineStr">
        <is>
          <t>POPULAR MARUTI</t>
        </is>
      </c>
      <c r="K2555" s="20" t="inlineStr">
        <is>
          <t>Non-Captive</t>
        </is>
      </c>
      <c r="L2555" s="20" t="inlineStr">
        <is>
          <t>PRAVEEN KUMAR</t>
        </is>
      </c>
      <c r="M2555" s="23" t="n">
        <v>12711.86</v>
      </c>
      <c r="N2555" s="23" t="n">
        <v>15000</v>
      </c>
      <c r="O2555" s="24">
        <f>IF(AND(ISNUMBER(M2555), ISNUMBER(I2555), I2555&gt;0), M2555/I2555, "")</f>
        <v/>
      </c>
    </row>
    <row r="2556">
      <c r="A2556" s="19" t="inlineStr">
        <is>
          <t>FY27</t>
        </is>
      </c>
      <c r="B2556" s="19" t="inlineStr">
        <is>
          <t>Jun</t>
        </is>
      </c>
      <c r="C2556" s="19" t="inlineStr">
        <is>
          <t>Kerala</t>
        </is>
      </c>
      <c r="D2556" s="20" t="inlineStr">
        <is>
          <t>KL07U3009</t>
        </is>
      </c>
      <c r="E2556" s="20" t="inlineStr">
        <is>
          <t>MARUTI SUZUKI</t>
        </is>
      </c>
      <c r="F2556" s="20" t="inlineStr">
        <is>
          <t>Alto 800</t>
        </is>
      </c>
      <c r="G2556" s="21" t="n">
        <v>1998</v>
      </c>
      <c r="H2556" s="22" t="n">
        <v>83000</v>
      </c>
      <c r="I2556" s="23" t="n">
        <v>20000</v>
      </c>
      <c r="J2556" s="20" t="inlineStr">
        <is>
          <t>POPULAR MARUTI</t>
        </is>
      </c>
      <c r="K2556" s="20" t="inlineStr">
        <is>
          <t>Non-Captive</t>
        </is>
      </c>
      <c r="L2556" s="20" t="inlineStr">
        <is>
          <t>RAFEEK T A</t>
        </is>
      </c>
      <c r="M2556" s="23" t="n">
        <v>4237.29</v>
      </c>
      <c r="N2556" s="23" t="n">
        <v>5000</v>
      </c>
      <c r="O2556" s="24">
        <f>IF(AND(ISNUMBER(M2556), ISNUMBER(I2556), I2556&gt;0), M2556/I2556, "")</f>
        <v/>
      </c>
    </row>
    <row r="2557">
      <c r="A2557" s="19" t="inlineStr">
        <is>
          <t>FY27</t>
        </is>
      </c>
      <c r="B2557" s="19" t="inlineStr">
        <is>
          <t>Jun</t>
        </is>
      </c>
      <c r="C2557" s="19" t="inlineStr">
        <is>
          <t>Kerala</t>
        </is>
      </c>
      <c r="D2557" s="20" t="inlineStr">
        <is>
          <t>KL37B2122</t>
        </is>
      </c>
      <c r="E2557" s="20" t="inlineStr">
        <is>
          <t>MARUTI SUZUKI</t>
        </is>
      </c>
      <c r="F2557" s="20" t="inlineStr">
        <is>
          <t>Sx4</t>
        </is>
      </c>
      <c r="G2557" s="21" t="n">
        <v>2012</v>
      </c>
      <c r="H2557" s="22" t="n">
        <v>184373</v>
      </c>
      <c r="I2557" s="23" t="n">
        <v>102000</v>
      </c>
      <c r="J2557" s="20" t="inlineStr">
        <is>
          <t>POPULAR MARUTI</t>
        </is>
      </c>
      <c r="K2557" s="20" t="inlineStr">
        <is>
          <t>Non-Captive</t>
        </is>
      </c>
      <c r="L2557" s="20" t="inlineStr">
        <is>
          <t>DEREAM DRIVE</t>
        </is>
      </c>
      <c r="M2557" s="23" t="n">
        <v>10169.49</v>
      </c>
      <c r="N2557" s="23" t="n">
        <v>12000</v>
      </c>
      <c r="O2557" s="24">
        <f>IF(AND(ISNUMBER(M2557), ISNUMBER(I2557), I2557&gt;0), M2557/I2557, "")</f>
        <v/>
      </c>
    </row>
    <row r="2558">
      <c r="A2558" s="19" t="inlineStr">
        <is>
          <t>FY27</t>
        </is>
      </c>
      <c r="B2558" s="19" t="inlineStr">
        <is>
          <t>Jun</t>
        </is>
      </c>
      <c r="C2558" s="19" t="inlineStr">
        <is>
          <t>Kerala</t>
        </is>
      </c>
      <c r="D2558" s="20" t="inlineStr">
        <is>
          <t>KL23B8269</t>
        </is>
      </c>
      <c r="E2558" s="20" t="inlineStr">
        <is>
          <t>MARUTI SUZUKI</t>
        </is>
      </c>
      <c r="F2558" s="20" t="inlineStr">
        <is>
          <t>Alto</t>
        </is>
      </c>
      <c r="G2558" s="21" t="n">
        <v>2010</v>
      </c>
      <c r="H2558" s="22" t="n">
        <v>76867</v>
      </c>
      <c r="I2558" s="23" t="n">
        <v>90000</v>
      </c>
      <c r="J2558" s="20" t="inlineStr">
        <is>
          <t>EVM</t>
        </is>
      </c>
      <c r="K2558" s="20" t="inlineStr">
        <is>
          <t>Non-Captive</t>
        </is>
      </c>
      <c r="L2558" s="20" t="inlineStr">
        <is>
          <t>SANOOB V A</t>
        </is>
      </c>
      <c r="M2558" s="23" t="n">
        <v>12711.86</v>
      </c>
      <c r="N2558" s="23" t="n">
        <v>15000</v>
      </c>
      <c r="O2558" s="24">
        <f>IF(AND(ISNUMBER(M2558), ISNUMBER(I2558), I2558&gt;0), M2558/I2558, "")</f>
        <v/>
      </c>
    </row>
    <row r="2559">
      <c r="A2559" s="19" t="inlineStr">
        <is>
          <t>FY27</t>
        </is>
      </c>
      <c r="B2559" s="19" t="inlineStr">
        <is>
          <t>Jun</t>
        </is>
      </c>
      <c r="C2559" s="19" t="inlineStr">
        <is>
          <t>Kerala</t>
        </is>
      </c>
      <c r="D2559" s="20" t="inlineStr">
        <is>
          <t>KL14P5143</t>
        </is>
      </c>
      <c r="E2559" s="20" t="inlineStr">
        <is>
          <t>MARUTI SUZUKI</t>
        </is>
      </c>
      <c r="F2559" s="20" t="inlineStr">
        <is>
          <t>Alto</t>
        </is>
      </c>
      <c r="G2559" s="21" t="n">
        <v>2014</v>
      </c>
      <c r="H2559" s="22" t="n">
        <v>81000</v>
      </c>
      <c r="I2559" s="23" t="n">
        <v>130000</v>
      </c>
      <c r="J2559" s="20" t="inlineStr">
        <is>
          <t>POPULAR MARUTI</t>
        </is>
      </c>
      <c r="K2559" s="20" t="inlineStr">
        <is>
          <t>Non-Captive</t>
        </is>
      </c>
      <c r="L2559" s="20" t="inlineStr">
        <is>
          <t>ANEEFA</t>
        </is>
      </c>
      <c r="M2559" s="23" t="n">
        <v>5932.2</v>
      </c>
      <c r="N2559" s="23" t="n">
        <v>7000</v>
      </c>
      <c r="O2559" s="24">
        <f>IF(AND(ISNUMBER(M2559), ISNUMBER(I2559), I2559&gt;0), M2559/I2559, "")</f>
        <v/>
      </c>
    </row>
    <row r="2560">
      <c r="A2560" s="19" t="inlineStr">
        <is>
          <t>FY27</t>
        </is>
      </c>
      <c r="B2560" s="19" t="inlineStr">
        <is>
          <t>Jun</t>
        </is>
      </c>
      <c r="C2560" s="19" t="inlineStr">
        <is>
          <t>Kerala</t>
        </is>
      </c>
      <c r="D2560" s="20" t="inlineStr">
        <is>
          <t>KL11AT0120</t>
        </is>
      </c>
      <c r="E2560" s="20" t="inlineStr">
        <is>
          <t>MARUTI SUZUKI</t>
        </is>
      </c>
      <c r="F2560" s="20" t="inlineStr">
        <is>
          <t>Alto K10</t>
        </is>
      </c>
      <c r="G2560" s="21" t="n">
        <v>2013</v>
      </c>
      <c r="H2560" s="22" t="n">
        <v>89000</v>
      </c>
      <c r="I2560" s="23" t="n">
        <v>101000</v>
      </c>
      <c r="J2560" s="20" t="inlineStr">
        <is>
          <t>POPULAR MARUTI</t>
        </is>
      </c>
      <c r="K2560" s="20" t="inlineStr">
        <is>
          <t>Non-Captive</t>
        </is>
      </c>
      <c r="L2560" s="20" t="inlineStr">
        <is>
          <t>TOKYO CARS</t>
        </is>
      </c>
      <c r="M2560" s="23" t="n">
        <v>5084.75</v>
      </c>
      <c r="N2560" s="23" t="n">
        <v>6000</v>
      </c>
      <c r="O2560" s="24">
        <f>IF(AND(ISNUMBER(M2560), ISNUMBER(I2560), I2560&gt;0), M2560/I2560, "")</f>
        <v/>
      </c>
    </row>
    <row r="2561">
      <c r="A2561" s="19" t="inlineStr">
        <is>
          <t>FY27</t>
        </is>
      </c>
      <c r="B2561" s="19" t="inlineStr">
        <is>
          <t>Jun</t>
        </is>
      </c>
      <c r="C2561" s="19" t="inlineStr">
        <is>
          <t>Kerala</t>
        </is>
      </c>
      <c r="D2561" s="20" t="inlineStr">
        <is>
          <t>KL65D0869</t>
        </is>
      </c>
      <c r="E2561" s="20" t="inlineStr">
        <is>
          <t>MARUTI SUZUKI</t>
        </is>
      </c>
      <c r="F2561" s="20" t="inlineStr">
        <is>
          <t>Alto 800</t>
        </is>
      </c>
      <c r="G2561" s="21" t="n">
        <v>2013</v>
      </c>
      <c r="H2561" s="22" t="n">
        <v>71000</v>
      </c>
      <c r="I2561" s="23" t="n">
        <v>152000</v>
      </c>
      <c r="J2561" s="20" t="inlineStr">
        <is>
          <t>POPULAR MARUTI</t>
        </is>
      </c>
      <c r="K2561" s="20" t="inlineStr">
        <is>
          <t>Non-Captive</t>
        </is>
      </c>
      <c r="L2561" s="20" t="inlineStr">
        <is>
          <t>SUMESH</t>
        </is>
      </c>
      <c r="M2561" s="23" t="n">
        <v>5932.2</v>
      </c>
      <c r="N2561" s="23" t="n">
        <v>7000</v>
      </c>
      <c r="O2561" s="24">
        <f>IF(AND(ISNUMBER(M2561), ISNUMBER(I2561), I2561&gt;0), M2561/I2561, "")</f>
        <v/>
      </c>
    </row>
    <row r="2562">
      <c r="A2562" s="19" t="inlineStr">
        <is>
          <t>FY27</t>
        </is>
      </c>
      <c r="B2562" s="19" t="inlineStr">
        <is>
          <t>Jun</t>
        </is>
      </c>
      <c r="C2562" s="19" t="inlineStr">
        <is>
          <t>Kerala</t>
        </is>
      </c>
      <c r="D2562" s="20" t="inlineStr">
        <is>
          <t>KL44A9071</t>
        </is>
      </c>
      <c r="E2562" s="20" t="inlineStr">
        <is>
          <t>MARUTI SUZUKI</t>
        </is>
      </c>
      <c r="F2562" s="20" t="inlineStr">
        <is>
          <t>Swift Dzire</t>
        </is>
      </c>
      <c r="G2562" s="21" t="n">
        <v>2011</v>
      </c>
      <c r="H2562" s="22" t="n">
        <v>144000</v>
      </c>
      <c r="I2562" s="23" t="n">
        <v>122500</v>
      </c>
      <c r="J2562" s="20" t="inlineStr">
        <is>
          <t>POPULAR MARUTI</t>
        </is>
      </c>
      <c r="K2562" s="20" t="inlineStr">
        <is>
          <t>Non-Captive</t>
        </is>
      </c>
      <c r="L2562" s="20" t="inlineStr">
        <is>
          <t>AITOS CARS</t>
        </is>
      </c>
      <c r="M2562" s="23" t="n">
        <v>10593.22</v>
      </c>
      <c r="N2562" s="23" t="n">
        <v>12500</v>
      </c>
      <c r="O2562" s="24">
        <f>IF(AND(ISNUMBER(M2562), ISNUMBER(I2562), I2562&gt;0), M2562/I2562, "")</f>
        <v/>
      </c>
    </row>
    <row r="2563">
      <c r="A2563" s="19" t="inlineStr">
        <is>
          <t>FY27</t>
        </is>
      </c>
      <c r="B2563" s="19" t="inlineStr">
        <is>
          <t>Jun</t>
        </is>
      </c>
      <c r="C2563" s="19" t="inlineStr">
        <is>
          <t>Kerala</t>
        </is>
      </c>
      <c r="D2563" s="20" t="inlineStr">
        <is>
          <t>KL02V4666</t>
        </is>
      </c>
      <c r="E2563" s="20" t="inlineStr">
        <is>
          <t>MARUTI SUZUKI</t>
        </is>
      </c>
      <c r="F2563" s="20" t="inlineStr">
        <is>
          <t>Wagon R</t>
        </is>
      </c>
      <c r="G2563" s="21" t="n">
        <v>2005</v>
      </c>
      <c r="H2563" s="22" t="n">
        <v>105272</v>
      </c>
      <c r="I2563" s="23" t="n">
        <v>23000</v>
      </c>
      <c r="J2563" s="20" t="inlineStr">
        <is>
          <t>INCHEON KIA</t>
        </is>
      </c>
      <c r="K2563" s="20" t="inlineStr">
        <is>
          <t>Non-Captive</t>
        </is>
      </c>
      <c r="L2563" s="20" t="inlineStr">
        <is>
          <t>SHAHAR</t>
        </is>
      </c>
      <c r="M2563" s="23" t="n">
        <v>6779.66</v>
      </c>
      <c r="N2563" s="23" t="n">
        <v>8000</v>
      </c>
      <c r="O2563" s="24">
        <f>IF(AND(ISNUMBER(M2563), ISNUMBER(I2563), I2563&gt;0), M2563/I2563, "")</f>
        <v/>
      </c>
    </row>
    <row r="2564">
      <c r="A2564" s="19" t="inlineStr">
        <is>
          <t>FY27</t>
        </is>
      </c>
      <c r="B2564" s="19" t="inlineStr">
        <is>
          <t>Jun</t>
        </is>
      </c>
      <c r="C2564" s="19" t="inlineStr">
        <is>
          <t>Kerala</t>
        </is>
      </c>
      <c r="D2564" s="20" t="inlineStr">
        <is>
          <t>KL05AA7236</t>
        </is>
      </c>
      <c r="E2564" s="20" t="inlineStr">
        <is>
          <t>MARUTI SUZUKI</t>
        </is>
      </c>
      <c r="F2564" s="20" t="inlineStr">
        <is>
          <t>Alto</t>
        </is>
      </c>
      <c r="G2564" s="21" t="n">
        <v>2010</v>
      </c>
      <c r="H2564" s="22" t="n">
        <v>67000</v>
      </c>
      <c r="I2564" s="23" t="n">
        <v>60000</v>
      </c>
      <c r="J2564" s="20" t="inlineStr">
        <is>
          <t>MUTHOOT TATA</t>
        </is>
      </c>
      <c r="K2564" s="20" t="inlineStr">
        <is>
          <t>Non-Captive</t>
        </is>
      </c>
      <c r="L2564" s="20" t="inlineStr">
        <is>
          <t>ATHUL RAJ</t>
        </is>
      </c>
      <c r="M2564" s="23" t="n">
        <v>5084.75</v>
      </c>
      <c r="N2564" s="23" t="n">
        <v>6000</v>
      </c>
      <c r="O2564" s="24">
        <f>IF(AND(ISNUMBER(M2564), ISNUMBER(I2564), I2564&gt;0), M2564/I2564, "")</f>
        <v/>
      </c>
    </row>
    <row r="2565">
      <c r="A2565" s="19" t="inlineStr">
        <is>
          <t>FY27</t>
        </is>
      </c>
      <c r="B2565" s="19" t="inlineStr">
        <is>
          <t>Jun</t>
        </is>
      </c>
      <c r="C2565" s="19" t="inlineStr">
        <is>
          <t>Kerala</t>
        </is>
      </c>
      <c r="D2565" s="20" t="inlineStr">
        <is>
          <t>KL02BD1219</t>
        </is>
      </c>
      <c r="E2565" s="20" t="inlineStr">
        <is>
          <t>MAHINDRA</t>
        </is>
      </c>
      <c r="F2565" s="20" t="inlineStr">
        <is>
          <t>Kuv100</t>
        </is>
      </c>
      <c r="G2565" s="21" t="n">
        <v>2017</v>
      </c>
      <c r="H2565" s="22" t="n">
        <v>67554</v>
      </c>
      <c r="I2565" s="23" t="n">
        <v>150000</v>
      </c>
      <c r="J2565" s="20" t="inlineStr">
        <is>
          <t>INCHEON KIA</t>
        </is>
      </c>
      <c r="K2565" s="20" t="inlineStr">
        <is>
          <t>Non-Captive</t>
        </is>
      </c>
      <c r="L2565" s="20" t="inlineStr">
        <is>
          <t>NASIM</t>
        </is>
      </c>
      <c r="M2565" s="23" t="n">
        <v>5932.2</v>
      </c>
      <c r="N2565" s="23" t="n">
        <v>7000</v>
      </c>
      <c r="O2565" s="24">
        <f>IF(AND(ISNUMBER(M2565), ISNUMBER(I2565), I2565&gt;0), M2565/I2565, "")</f>
        <v/>
      </c>
    </row>
    <row r="2566">
      <c r="A2566" s="19" t="inlineStr">
        <is>
          <t>FY27</t>
        </is>
      </c>
      <c r="B2566" s="19" t="inlineStr">
        <is>
          <t>Jun</t>
        </is>
      </c>
      <c r="C2566" s="19" t="inlineStr">
        <is>
          <t>Kerala</t>
        </is>
      </c>
      <c r="D2566" s="20" t="inlineStr">
        <is>
          <t>KL654521</t>
        </is>
      </c>
      <c r="E2566" s="20" t="inlineStr">
        <is>
          <t>MARUTI SUZUKI</t>
        </is>
      </c>
      <c r="F2566" s="20" t="inlineStr">
        <is>
          <t>Alto</t>
        </is>
      </c>
      <c r="G2566" s="21" t="n">
        <v>2011</v>
      </c>
      <c r="H2566" s="22" t="n">
        <v>71000</v>
      </c>
      <c r="I2566" s="23" t="n">
        <v>86000</v>
      </c>
      <c r="J2566" s="20" t="inlineStr">
        <is>
          <t>POPULAR MARUTI</t>
        </is>
      </c>
      <c r="K2566" s="20" t="inlineStr">
        <is>
          <t>Non-Captive</t>
        </is>
      </c>
      <c r="L2566" s="20" t="inlineStr">
        <is>
          <t>TOKYO CARS</t>
        </is>
      </c>
      <c r="M2566" s="23" t="n">
        <v>5084.75</v>
      </c>
      <c r="N2566" s="23" t="n">
        <v>6000</v>
      </c>
      <c r="O2566" s="24">
        <f>IF(AND(ISNUMBER(M2566), ISNUMBER(I2566), I2566&gt;0), M2566/I2566, "")</f>
        <v/>
      </c>
    </row>
    <row r="2567">
      <c r="A2567" s="19" t="inlineStr">
        <is>
          <t>FY27</t>
        </is>
      </c>
      <c r="B2567" s="19" t="inlineStr">
        <is>
          <t>Jun</t>
        </is>
      </c>
      <c r="C2567" s="19" t="inlineStr">
        <is>
          <t>Kerala</t>
        </is>
      </c>
      <c r="D2567" s="20" t="inlineStr">
        <is>
          <t>KL13Y6105</t>
        </is>
      </c>
      <c r="E2567" s="20" t="inlineStr">
        <is>
          <t>MARUTI SUZUKI</t>
        </is>
      </c>
      <c r="F2567" s="20" t="inlineStr">
        <is>
          <t>Wagon R</t>
        </is>
      </c>
      <c r="G2567" s="21" t="n">
        <v>2012</v>
      </c>
      <c r="H2567" s="22" t="n">
        <v>63000</v>
      </c>
      <c r="I2567" s="23" t="n">
        <v>202000</v>
      </c>
      <c r="J2567" s="20" t="inlineStr">
        <is>
          <t>POPULAR MARUTI</t>
        </is>
      </c>
      <c r="K2567" s="20" t="inlineStr">
        <is>
          <t>Non-Captive</t>
        </is>
      </c>
      <c r="L2567" s="20" t="inlineStr">
        <is>
          <t>UNAIS CARS</t>
        </is>
      </c>
      <c r="M2567" s="23" t="n">
        <v>5932.2</v>
      </c>
      <c r="N2567" s="23" t="n">
        <v>7000</v>
      </c>
      <c r="O2567" s="24">
        <f>IF(AND(ISNUMBER(M2567), ISNUMBER(I2567), I2567&gt;0), M2567/I2567, "")</f>
        <v/>
      </c>
    </row>
    <row r="2568">
      <c r="A2568" s="19" t="inlineStr">
        <is>
          <t>FY27</t>
        </is>
      </c>
      <c r="B2568" s="19" t="inlineStr">
        <is>
          <t>Jun</t>
        </is>
      </c>
      <c r="C2568" s="19" t="inlineStr">
        <is>
          <t>Kerala</t>
        </is>
      </c>
      <c r="D2568" s="20" t="inlineStr">
        <is>
          <t>KL10AL1795</t>
        </is>
      </c>
      <c r="E2568" s="20" t="inlineStr">
        <is>
          <t>MARUTI SUZUKI</t>
        </is>
      </c>
      <c r="F2568" s="20" t="inlineStr">
        <is>
          <t>Swift</t>
        </is>
      </c>
      <c r="G2568" s="21" t="n">
        <v>2012</v>
      </c>
      <c r="H2568" s="22" t="n">
        <v>128000</v>
      </c>
      <c r="I2568" s="23" t="n">
        <v>256000</v>
      </c>
      <c r="J2568" s="20" t="inlineStr">
        <is>
          <t>POPULAR MARUTI</t>
        </is>
      </c>
      <c r="K2568" s="20" t="inlineStr">
        <is>
          <t>Non-Captive</t>
        </is>
      </c>
      <c r="L2568" s="20" t="inlineStr">
        <is>
          <t>UNAIS CARS</t>
        </is>
      </c>
      <c r="M2568" s="23" t="n">
        <v>5084.75</v>
      </c>
      <c r="N2568" s="23" t="n">
        <v>6000</v>
      </c>
      <c r="O2568" s="24">
        <f>IF(AND(ISNUMBER(M2568), ISNUMBER(I2568), I2568&gt;0), M2568/I2568, "")</f>
        <v/>
      </c>
    </row>
    <row r="2569">
      <c r="A2569" s="19" t="inlineStr">
        <is>
          <t>FY27</t>
        </is>
      </c>
      <c r="B2569" s="19" t="inlineStr">
        <is>
          <t>Jun</t>
        </is>
      </c>
      <c r="C2569" s="19" t="inlineStr">
        <is>
          <t>Kerala</t>
        </is>
      </c>
      <c r="D2569" s="20" t="inlineStr">
        <is>
          <t>KL11BF3827</t>
        </is>
      </c>
      <c r="E2569" s="20" t="inlineStr">
        <is>
          <t>MARUTI SUZUKI</t>
        </is>
      </c>
      <c r="F2569" s="20" t="inlineStr">
        <is>
          <t>Ignis</t>
        </is>
      </c>
      <c r="G2569" s="21" t="n">
        <v>2017</v>
      </c>
      <c r="H2569" s="22" t="n">
        <v>74000</v>
      </c>
      <c r="I2569" s="23" t="n">
        <v>368000</v>
      </c>
      <c r="J2569" s="20" t="inlineStr">
        <is>
          <t>APCO HYUNDAI</t>
        </is>
      </c>
      <c r="K2569" s="20" t="inlineStr">
        <is>
          <t>Non-Captive</t>
        </is>
      </c>
      <c r="L2569" s="20" t="inlineStr">
        <is>
          <t>SANOOP</t>
        </is>
      </c>
      <c r="M2569" s="23" t="n">
        <v>5084.75</v>
      </c>
      <c r="N2569" s="23" t="n">
        <v>6000</v>
      </c>
      <c r="O2569" s="24">
        <f>IF(AND(ISNUMBER(M2569), ISNUMBER(I2569), I2569&gt;0), M2569/I2569, "")</f>
        <v/>
      </c>
    </row>
    <row r="2570">
      <c r="A2570" s="19" t="inlineStr">
        <is>
          <t>FY27</t>
        </is>
      </c>
      <c r="B2570" s="19" t="inlineStr">
        <is>
          <t>Jun</t>
        </is>
      </c>
      <c r="C2570" s="19" t="inlineStr">
        <is>
          <t>Kerala</t>
        </is>
      </c>
      <c r="D2570" s="20" t="inlineStr">
        <is>
          <t>KL58C3021</t>
        </is>
      </c>
      <c r="E2570" s="20" t="inlineStr">
        <is>
          <t>MARUTI SUZUKI</t>
        </is>
      </c>
      <c r="F2570" s="20" t="inlineStr">
        <is>
          <t>Wagon R</t>
        </is>
      </c>
      <c r="G2570" s="21" t="n">
        <v>2010</v>
      </c>
      <c r="H2570" s="22" t="n">
        <v>85000</v>
      </c>
      <c r="I2570" s="23" t="n">
        <v>100000</v>
      </c>
      <c r="J2570" s="20" t="inlineStr">
        <is>
          <t>DKH KIA</t>
        </is>
      </c>
      <c r="K2570" s="20" t="inlineStr">
        <is>
          <t>Non-Captive</t>
        </is>
      </c>
      <c r="L2570" s="20" t="inlineStr">
        <is>
          <t>ABDUL SALAM K K</t>
        </is>
      </c>
      <c r="M2570" s="23" t="n">
        <v>4237.29</v>
      </c>
      <c r="N2570" s="23" t="n">
        <v>5000</v>
      </c>
      <c r="O2570" s="24">
        <f>IF(AND(ISNUMBER(M2570), ISNUMBER(I2570), I2570&gt;0), M2570/I2570, "")</f>
        <v/>
      </c>
    </row>
    <row r="2571">
      <c r="A2571" s="19" t="inlineStr">
        <is>
          <t>FY27</t>
        </is>
      </c>
      <c r="B2571" s="19" t="inlineStr">
        <is>
          <t>Jun</t>
        </is>
      </c>
      <c r="C2571" s="19" t="inlineStr">
        <is>
          <t>Kerala</t>
        </is>
      </c>
      <c r="D2571" s="20" t="inlineStr">
        <is>
          <t>KL58S8549</t>
        </is>
      </c>
      <c r="E2571" s="20" t="inlineStr">
        <is>
          <t>NISSAN</t>
        </is>
      </c>
      <c r="F2571" s="20" t="inlineStr">
        <is>
          <t>Terrano</t>
        </is>
      </c>
      <c r="G2571" s="21" t="n">
        <v>2015</v>
      </c>
      <c r="H2571" s="22" t="n">
        <v>259000</v>
      </c>
      <c r="I2571" s="23" t="n">
        <v>210000</v>
      </c>
      <c r="J2571" s="20" t="inlineStr">
        <is>
          <t>UCD SANTHOSH</t>
        </is>
      </c>
      <c r="K2571" s="20" t="inlineStr">
        <is>
          <t>Non-Captive</t>
        </is>
      </c>
      <c r="L2571" s="20" t="inlineStr">
        <is>
          <t>AUTOTRUST</t>
        </is>
      </c>
      <c r="M2571" s="23" t="n">
        <v>8474.58</v>
      </c>
      <c r="N2571" s="23" t="n">
        <v>10000</v>
      </c>
      <c r="O2571" s="24">
        <f>IF(AND(ISNUMBER(M2571), ISNUMBER(I2571), I2571&gt;0), M2571/I2571, "")</f>
        <v/>
      </c>
    </row>
    <row r="2572">
      <c r="A2572" s="19" t="inlineStr">
        <is>
          <t>FY27</t>
        </is>
      </c>
      <c r="B2572" s="19" t="inlineStr">
        <is>
          <t>Jun</t>
        </is>
      </c>
      <c r="C2572" s="19" t="inlineStr">
        <is>
          <t>Kerala</t>
        </is>
      </c>
      <c r="D2572" s="20" t="inlineStr">
        <is>
          <t>KL13Q9183</t>
        </is>
      </c>
      <c r="E2572" s="20" t="inlineStr">
        <is>
          <t>HYUNDAI</t>
        </is>
      </c>
      <c r="F2572" s="20" t="inlineStr">
        <is>
          <t>Santro</t>
        </is>
      </c>
      <c r="G2572" s="21" t="n">
        <v>2006</v>
      </c>
      <c r="H2572" s="22" t="n">
        <v>135000</v>
      </c>
      <c r="I2572" s="23" t="n">
        <v>12000</v>
      </c>
      <c r="J2572" s="20" t="inlineStr">
        <is>
          <t>POPULAR MARUTI</t>
        </is>
      </c>
      <c r="K2572" s="20" t="inlineStr">
        <is>
          <t>Non-Captive</t>
        </is>
      </c>
      <c r="L2572" s="20" t="inlineStr">
        <is>
          <t>AUTOTRUST</t>
        </is>
      </c>
      <c r="M2572" s="23" t="n">
        <v>5084.75</v>
      </c>
      <c r="N2572" s="23" t="n">
        <v>6000</v>
      </c>
      <c r="O2572" s="24">
        <f>IF(AND(ISNUMBER(M2572), ISNUMBER(I2572), I2572&gt;0), M2572/I2572, "")</f>
        <v/>
      </c>
    </row>
    <row r="2573">
      <c r="A2573" s="19" t="inlineStr">
        <is>
          <t>FY27</t>
        </is>
      </c>
      <c r="B2573" s="19" t="inlineStr">
        <is>
          <t>Jun</t>
        </is>
      </c>
      <c r="C2573" s="19" t="inlineStr">
        <is>
          <t>Kerala</t>
        </is>
      </c>
      <c r="D2573" s="20" t="inlineStr">
        <is>
          <t>KL43C6969</t>
        </is>
      </c>
      <c r="E2573" s="20" t="inlineStr">
        <is>
          <t>CHEVROLET</t>
        </is>
      </c>
      <c r="F2573" s="20" t="inlineStr">
        <is>
          <t>Beat</t>
        </is>
      </c>
      <c r="G2573" s="21" t="n">
        <v>2011</v>
      </c>
      <c r="H2573" s="22" t="n">
        <v>57426</v>
      </c>
      <c r="I2573" s="23" t="n">
        <v>47000</v>
      </c>
      <c r="J2573" s="20" t="inlineStr">
        <is>
          <t>MAIJO MARUTI</t>
        </is>
      </c>
      <c r="K2573" s="20" t="inlineStr">
        <is>
          <t>Non-Captive</t>
        </is>
      </c>
      <c r="L2573" s="20" t="inlineStr">
        <is>
          <t>HUSSAIN O E</t>
        </is>
      </c>
      <c r="M2573" s="23" t="n">
        <v>8474.58</v>
      </c>
      <c r="N2573" s="23" t="n">
        <v>10000</v>
      </c>
      <c r="O2573" s="24">
        <f>IF(AND(ISNUMBER(M2573), ISNUMBER(I2573), I2573&gt;0), M2573/I2573, "")</f>
        <v/>
      </c>
    </row>
    <row r="2574">
      <c r="A2574" s="19" t="inlineStr">
        <is>
          <t>FY27</t>
        </is>
      </c>
      <c r="B2574" s="19" t="inlineStr">
        <is>
          <t>Jun</t>
        </is>
      </c>
      <c r="C2574" s="19" t="inlineStr">
        <is>
          <t>Kerala</t>
        </is>
      </c>
      <c r="D2574" s="20" t="inlineStr">
        <is>
          <t>KL41R5173</t>
        </is>
      </c>
      <c r="E2574" s="20" t="inlineStr">
        <is>
          <t>MARUTI SUZUKI</t>
        </is>
      </c>
      <c r="F2574" s="20" t="inlineStr">
        <is>
          <t>Ignis</t>
        </is>
      </c>
      <c r="G2574" s="21" t="n">
        <v>2020</v>
      </c>
      <c r="H2574" s="22" t="n">
        <v>85500</v>
      </c>
      <c r="I2574" s="23" t="n">
        <v>480000</v>
      </c>
      <c r="J2574" s="20" t="inlineStr">
        <is>
          <t>EVM CITROEN</t>
        </is>
      </c>
      <c r="K2574" s="20" t="inlineStr">
        <is>
          <t>Non-Captive</t>
        </is>
      </c>
      <c r="L2574" s="20" t="inlineStr">
        <is>
          <t>YAHIYA</t>
        </is>
      </c>
      <c r="M2574" s="23" t="n">
        <v>8474.58</v>
      </c>
      <c r="N2574" s="23" t="n">
        <v>10000</v>
      </c>
      <c r="O2574" s="24">
        <f>IF(AND(ISNUMBER(M2574), ISNUMBER(I2574), I2574&gt;0), M2574/I2574, "")</f>
        <v/>
      </c>
    </row>
    <row r="2575">
      <c r="A2575" s="19" t="inlineStr">
        <is>
          <t>FY27</t>
        </is>
      </c>
      <c r="B2575" s="19" t="inlineStr">
        <is>
          <t>Jun</t>
        </is>
      </c>
      <c r="C2575" s="19" t="inlineStr">
        <is>
          <t>Kerala</t>
        </is>
      </c>
      <c r="D2575" s="20" t="inlineStr">
        <is>
          <t>KL46Y3600</t>
        </is>
      </c>
      <c r="E2575" s="20" t="inlineStr">
        <is>
          <t>CITROEN</t>
        </is>
      </c>
      <c r="F2575" s="20" t="inlineStr">
        <is>
          <t>C3</t>
        </is>
      </c>
      <c r="G2575" s="21" t="n">
        <v>2023</v>
      </c>
      <c r="H2575" s="22" t="n">
        <v>24500</v>
      </c>
      <c r="I2575" s="23" t="n">
        <v>460000</v>
      </c>
      <c r="J2575" s="20" t="inlineStr">
        <is>
          <t>INCHEON KIA</t>
        </is>
      </c>
      <c r="K2575" s="20" t="inlineStr">
        <is>
          <t>Non-Captive</t>
        </is>
      </c>
      <c r="L2575" s="20" t="inlineStr">
        <is>
          <t>AITOS CARS</t>
        </is>
      </c>
      <c r="M2575" s="23" t="n">
        <v>8474.58</v>
      </c>
      <c r="N2575" s="23" t="n">
        <v>10000</v>
      </c>
      <c r="O2575" s="24">
        <f>IF(AND(ISNUMBER(M2575), ISNUMBER(I2575), I2575&gt;0), M2575/I2575, "")</f>
        <v/>
      </c>
    </row>
    <row r="2576">
      <c r="A2576" s="19" t="inlineStr">
        <is>
          <t>FY27</t>
        </is>
      </c>
      <c r="B2576" s="19" t="inlineStr">
        <is>
          <t>Jun</t>
        </is>
      </c>
      <c r="C2576" s="19" t="inlineStr">
        <is>
          <t>Kerala</t>
        </is>
      </c>
      <c r="D2576" s="20" t="inlineStr">
        <is>
          <t>KL45Z1973</t>
        </is>
      </c>
      <c r="E2576" s="20" t="inlineStr">
        <is>
          <t>KIA</t>
        </is>
      </c>
      <c r="F2576" s="20" t="inlineStr">
        <is>
          <t>Sonnet</t>
        </is>
      </c>
      <c r="G2576" s="21" t="n">
        <v>2025</v>
      </c>
      <c r="H2576" s="22" t="n">
        <v>25000</v>
      </c>
      <c r="I2576" s="23" t="n">
        <v>1110000</v>
      </c>
      <c r="J2576" s="20" t="inlineStr">
        <is>
          <t>KVR TATA</t>
        </is>
      </c>
      <c r="K2576" s="20" t="inlineStr">
        <is>
          <t>Non-Captive</t>
        </is>
      </c>
      <c r="L2576" s="20" t="inlineStr">
        <is>
          <t>UMESHKUMAR T U</t>
        </is>
      </c>
      <c r="M2576" s="23" t="n">
        <v>8474.58</v>
      </c>
      <c r="N2576" s="23" t="n">
        <v>10000</v>
      </c>
      <c r="O2576" s="24">
        <f>IF(AND(ISNUMBER(M2576), ISNUMBER(I2576), I2576&gt;0), M2576/I2576, "")</f>
        <v/>
      </c>
    </row>
    <row r="2577">
      <c r="A2577" s="19" t="inlineStr">
        <is>
          <t>FY27</t>
        </is>
      </c>
      <c r="B2577" s="19" t="inlineStr">
        <is>
          <t>Jun</t>
        </is>
      </c>
      <c r="C2577" s="19" t="inlineStr">
        <is>
          <t>Kerala</t>
        </is>
      </c>
      <c r="D2577" s="20" t="inlineStr">
        <is>
          <t>KL07BU7788</t>
        </is>
      </c>
      <c r="E2577" s="20" t="inlineStr">
        <is>
          <t>FORD</t>
        </is>
      </c>
      <c r="F2577" s="20" t="inlineStr">
        <is>
          <t>Figo</t>
        </is>
      </c>
      <c r="G2577" s="21" t="n">
        <v>2012</v>
      </c>
      <c r="H2577" s="22" t="n">
        <v>169000</v>
      </c>
      <c r="I2577" s="23" t="n">
        <v>54000</v>
      </c>
      <c r="J2577" s="20" t="inlineStr">
        <is>
          <t>POPULAR MARUTI</t>
        </is>
      </c>
      <c r="K2577" s="20" t="inlineStr">
        <is>
          <t>Non-Captive</t>
        </is>
      </c>
      <c r="L2577" s="20" t="inlineStr">
        <is>
          <t>VTJ</t>
        </is>
      </c>
      <c r="M2577" s="23" t="n">
        <v>10169.49</v>
      </c>
      <c r="N2577" s="23" t="n">
        <v>12000</v>
      </c>
      <c r="O2577" s="24">
        <f>IF(AND(ISNUMBER(M2577), ISNUMBER(I2577), I2577&gt;0), M2577/I2577, "")</f>
        <v/>
      </c>
    </row>
    <row r="2578">
      <c r="A2578" s="19" t="inlineStr">
        <is>
          <t>FY27</t>
        </is>
      </c>
      <c r="B2578" s="19" t="inlineStr">
        <is>
          <t>Jun</t>
        </is>
      </c>
      <c r="C2578" s="19" t="inlineStr">
        <is>
          <t>Kerala</t>
        </is>
      </c>
      <c r="D2578" s="20" t="inlineStr">
        <is>
          <t>KL07CP2721</t>
        </is>
      </c>
      <c r="E2578" s="20" t="inlineStr">
        <is>
          <t>MARUTI SUZUKI</t>
        </is>
      </c>
      <c r="F2578" s="20" t="inlineStr">
        <is>
          <t>Omni</t>
        </is>
      </c>
      <c r="G2578" s="21" t="n">
        <v>2018</v>
      </c>
      <c r="H2578" s="22" t="n">
        <v>101800</v>
      </c>
      <c r="I2578" s="23" t="n">
        <v>112000</v>
      </c>
      <c r="J2578" s="20" t="inlineStr">
        <is>
          <t>POPULAR MARUTI</t>
        </is>
      </c>
      <c r="K2578" s="20" t="inlineStr">
        <is>
          <t>Non-Captive</t>
        </is>
      </c>
      <c r="L2578" s="20" t="inlineStr">
        <is>
          <t>VTJ</t>
        </is>
      </c>
      <c r="M2578" s="23" t="n">
        <v>10169.49</v>
      </c>
      <c r="N2578" s="23" t="n">
        <v>12000</v>
      </c>
      <c r="O2578" s="24">
        <f>IF(AND(ISNUMBER(M2578), ISNUMBER(I2578), I2578&gt;0), M2578/I2578, "")</f>
        <v/>
      </c>
    </row>
    <row r="2579">
      <c r="A2579" s="19" t="inlineStr">
        <is>
          <t>FY27</t>
        </is>
      </c>
      <c r="B2579" s="19" t="inlineStr">
        <is>
          <t>Jun</t>
        </is>
      </c>
      <c r="C2579" s="19" t="inlineStr">
        <is>
          <t>Kerala</t>
        </is>
      </c>
      <c r="D2579" s="20" t="inlineStr">
        <is>
          <t>KL43A5006</t>
        </is>
      </c>
      <c r="E2579" s="20" t="inlineStr">
        <is>
          <t>MARUTI SUZUKI</t>
        </is>
      </c>
      <c r="F2579" s="20" t="inlineStr">
        <is>
          <t>Wagon R</t>
        </is>
      </c>
      <c r="G2579" s="21" t="n">
        <v>2008</v>
      </c>
      <c r="H2579" s="22" t="n">
        <v>88992</v>
      </c>
      <c r="I2579" s="23" t="n">
        <v>77000</v>
      </c>
      <c r="J2579" s="20" t="inlineStr">
        <is>
          <t>POPULAR MARUTI</t>
        </is>
      </c>
      <c r="K2579" s="20" t="inlineStr">
        <is>
          <t>Non-Captive</t>
        </is>
      </c>
      <c r="L2579" s="20" t="inlineStr">
        <is>
          <t>AKHIL KT</t>
        </is>
      </c>
      <c r="M2579" s="23" t="n">
        <v>10169.49</v>
      </c>
      <c r="N2579" s="23" t="n">
        <v>12000</v>
      </c>
      <c r="O2579" s="24">
        <f>IF(AND(ISNUMBER(M2579), ISNUMBER(I2579), I2579&gt;0), M2579/I2579, "")</f>
        <v/>
      </c>
    </row>
    <row r="2580">
      <c r="A2580" s="19" t="inlineStr">
        <is>
          <t>FY27</t>
        </is>
      </c>
      <c r="B2580" s="19" t="inlineStr">
        <is>
          <t>Jun</t>
        </is>
      </c>
      <c r="C2580" s="19" t="inlineStr">
        <is>
          <t>Kerala</t>
        </is>
      </c>
      <c r="D2580" s="20" t="inlineStr">
        <is>
          <t>KL32J3566</t>
        </is>
      </c>
      <c r="E2580" s="20" t="inlineStr">
        <is>
          <t>HYUNDAI</t>
        </is>
      </c>
      <c r="F2580" s="20" t="inlineStr">
        <is>
          <t>Verna</t>
        </is>
      </c>
      <c r="G2580" s="21" t="n">
        <v>2016</v>
      </c>
      <c r="H2580" s="22" t="n">
        <v>69878</v>
      </c>
      <c r="I2580" s="23" t="n">
        <v>360000</v>
      </c>
      <c r="J2580" s="20" t="inlineStr">
        <is>
          <t>ANAS HAMEED</t>
        </is>
      </c>
      <c r="K2580" s="20" t="inlineStr">
        <is>
          <t>Non-Captive</t>
        </is>
      </c>
      <c r="L2580" s="20" t="inlineStr">
        <is>
          <t>HAVEN MOTORS</t>
        </is>
      </c>
      <c r="M2580" s="23" t="n">
        <v>16949.15</v>
      </c>
      <c r="N2580" s="23" t="n">
        <v>20000</v>
      </c>
      <c r="O2580" s="24">
        <f>IF(AND(ISNUMBER(M2580), ISNUMBER(I2580), I2580&gt;0), M2580/I2580, "")</f>
        <v/>
      </c>
    </row>
    <row r="2581">
      <c r="A2581" s="19" t="inlineStr">
        <is>
          <t>FY27</t>
        </is>
      </c>
      <c r="B2581" s="19" t="inlineStr">
        <is>
          <t>Jun</t>
        </is>
      </c>
      <c r="C2581" s="19" t="inlineStr">
        <is>
          <t>Kerala</t>
        </is>
      </c>
      <c r="D2581" s="20" t="inlineStr">
        <is>
          <t>KL33N0864</t>
        </is>
      </c>
      <c r="E2581" s="20" t="inlineStr">
        <is>
          <t>nan</t>
        </is>
      </c>
      <c r="F2581" s="20" t="inlineStr">
        <is>
          <t>Samrat</t>
        </is>
      </c>
      <c r="G2581" s="21" t="n">
        <v>2021</v>
      </c>
      <c r="H2581" s="22" t="n">
        <v>120000</v>
      </c>
      <c r="I2581" s="23" t="n">
        <v>860000</v>
      </c>
      <c r="J2581" s="20" t="inlineStr">
        <is>
          <t>REFERENCE</t>
        </is>
      </c>
      <c r="K2581" s="20" t="inlineStr">
        <is>
          <t>Non-Captive</t>
        </is>
      </c>
      <c r="L2581" s="20" t="inlineStr">
        <is>
          <t>ALI,HAPPY DRIVE</t>
        </is>
      </c>
      <c r="M2581" s="23" t="n">
        <v>8474.58</v>
      </c>
      <c r="N2581" s="23" t="n">
        <v>10000</v>
      </c>
      <c r="O2581" s="24">
        <f>IF(AND(ISNUMBER(M2581), ISNUMBER(I2581), I2581&gt;0), M2581/I2581, "")</f>
        <v/>
      </c>
    </row>
    <row r="2582">
      <c r="A2582" s="19" t="inlineStr">
        <is>
          <t>FY27</t>
        </is>
      </c>
      <c r="B2582" s="19" t="inlineStr">
        <is>
          <t>Jun</t>
        </is>
      </c>
      <c r="C2582" s="19" t="inlineStr">
        <is>
          <t>Kerala</t>
        </is>
      </c>
      <c r="D2582" s="20" t="inlineStr">
        <is>
          <t>KL05AX0604</t>
        </is>
      </c>
      <c r="E2582" s="20" t="inlineStr">
        <is>
          <t>MARUTI SUZUKI</t>
        </is>
      </c>
      <c r="F2582" s="20" t="inlineStr">
        <is>
          <t>S-Presso</t>
        </is>
      </c>
      <c r="G2582" s="21" t="n">
        <v>2021</v>
      </c>
      <c r="H2582" s="22" t="n">
        <v>123243</v>
      </c>
      <c r="I2582" s="23" t="n">
        <v>240000</v>
      </c>
      <c r="J2582" s="20" t="inlineStr">
        <is>
          <t>POPULAR MARUTI</t>
        </is>
      </c>
      <c r="K2582" s="20" t="inlineStr">
        <is>
          <t>Non-Captive</t>
        </is>
      </c>
      <c r="L2582" s="20" t="inlineStr">
        <is>
          <t>MAXX DRIVE</t>
        </is>
      </c>
      <c r="M2582" s="23" t="n">
        <v>12711.86</v>
      </c>
      <c r="N2582" s="23" t="n">
        <v>15000</v>
      </c>
      <c r="O2582" s="24">
        <f>IF(AND(ISNUMBER(M2582), ISNUMBER(I2582), I2582&gt;0), M2582/I2582, "")</f>
        <v/>
      </c>
    </row>
    <row r="2583">
      <c r="A2583" s="19" t="inlineStr">
        <is>
          <t>FY27</t>
        </is>
      </c>
      <c r="B2583" s="19" t="inlineStr">
        <is>
          <t>Jun</t>
        </is>
      </c>
      <c r="C2583" s="19" t="inlineStr">
        <is>
          <t>Kerala</t>
        </is>
      </c>
      <c r="D2583" s="20" t="inlineStr">
        <is>
          <t>KL07BT9081</t>
        </is>
      </c>
      <c r="E2583" s="20" t="inlineStr">
        <is>
          <t>MARUTI SUZUKI</t>
        </is>
      </c>
      <c r="F2583" s="20" t="inlineStr">
        <is>
          <t>Ritz</t>
        </is>
      </c>
      <c r="G2583" s="21" t="n">
        <v>2012</v>
      </c>
      <c r="H2583" s="22" t="n">
        <v>170987</v>
      </c>
      <c r="I2583" s="23" t="n">
        <v>140000</v>
      </c>
      <c r="J2583" s="20" t="inlineStr">
        <is>
          <t>POPULAR MARUTI</t>
        </is>
      </c>
      <c r="K2583" s="20" t="inlineStr">
        <is>
          <t>Non-Captive</t>
        </is>
      </c>
      <c r="L2583" s="20" t="inlineStr">
        <is>
          <t>RAJEEV O C</t>
        </is>
      </c>
      <c r="M2583" s="23" t="n">
        <v>8474.58</v>
      </c>
      <c r="N2583" s="23" t="n">
        <v>10000</v>
      </c>
      <c r="O2583" s="24">
        <f>IF(AND(ISNUMBER(M2583), ISNUMBER(I2583), I2583&gt;0), M2583/I2583, "")</f>
        <v/>
      </c>
    </row>
    <row r="2584">
      <c r="A2584" s="19" t="inlineStr">
        <is>
          <t>FY27</t>
        </is>
      </c>
      <c r="B2584" s="19" t="inlineStr">
        <is>
          <t>Jun</t>
        </is>
      </c>
      <c r="C2584" s="19" t="inlineStr">
        <is>
          <t>Kerala</t>
        </is>
      </c>
      <c r="D2584" s="20" t="inlineStr">
        <is>
          <t>KL245155</t>
        </is>
      </c>
      <c r="E2584" s="20" t="inlineStr">
        <is>
          <t>MARUTI SUZUKI</t>
        </is>
      </c>
      <c r="F2584" s="20" t="inlineStr">
        <is>
          <t>Alto</t>
        </is>
      </c>
      <c r="G2584" s="21" t="n">
        <v>2007</v>
      </c>
      <c r="H2584" s="22" t="n">
        <v>45764</v>
      </c>
      <c r="I2584" s="23" t="n">
        <v>55000</v>
      </c>
      <c r="J2584" s="20" t="inlineStr">
        <is>
          <t>POPULAR MARUTI</t>
        </is>
      </c>
      <c r="K2584" s="20" t="inlineStr">
        <is>
          <t>Non-Captive</t>
        </is>
      </c>
      <c r="L2584" s="20" t="inlineStr">
        <is>
          <t>SANTHOSH</t>
        </is>
      </c>
      <c r="M2584" s="23" t="n">
        <v>8474.58</v>
      </c>
      <c r="N2584" s="23" t="n">
        <v>10000</v>
      </c>
      <c r="O2584" s="24">
        <f>IF(AND(ISNUMBER(M2584), ISNUMBER(I2584), I2584&gt;0), M2584/I2584, "")</f>
        <v/>
      </c>
    </row>
    <row r="2585">
      <c r="A2585" s="19" t="inlineStr">
        <is>
          <t>FY27</t>
        </is>
      </c>
      <c r="B2585" s="19" t="inlineStr">
        <is>
          <t>Jun</t>
        </is>
      </c>
      <c r="C2585" s="19" t="inlineStr">
        <is>
          <t>Kerala</t>
        </is>
      </c>
      <c r="D2585" s="20" t="inlineStr">
        <is>
          <t>KL02AV5619</t>
        </is>
      </c>
      <c r="E2585" s="20" t="inlineStr">
        <is>
          <t>HYUNDAI</t>
        </is>
      </c>
      <c r="F2585" s="20" t="inlineStr">
        <is>
          <t>I10</t>
        </is>
      </c>
      <c r="G2585" s="21" t="n">
        <v>2015</v>
      </c>
      <c r="H2585" s="22" t="n">
        <v>70506</v>
      </c>
      <c r="I2585" s="23" t="n">
        <v>258000</v>
      </c>
      <c r="J2585" s="20" t="inlineStr">
        <is>
          <t>MUTHOOT HONDA</t>
        </is>
      </c>
      <c r="K2585" s="20" t="inlineStr">
        <is>
          <t>Non-Captive</t>
        </is>
      </c>
      <c r="L2585" s="20" t="inlineStr">
        <is>
          <t>SAIDALI</t>
        </is>
      </c>
      <c r="M2585" s="23" t="n">
        <v>6779.66</v>
      </c>
      <c r="N2585" s="23" t="n">
        <v>8000</v>
      </c>
      <c r="O2585" s="24">
        <f>IF(AND(ISNUMBER(M2585), ISNUMBER(I2585), I2585&gt;0), M2585/I2585, "")</f>
        <v/>
      </c>
    </row>
    <row r="2586">
      <c r="A2586" s="19" t="inlineStr">
        <is>
          <t>FY27</t>
        </is>
      </c>
      <c r="B2586" s="19" t="inlineStr">
        <is>
          <t>Jun</t>
        </is>
      </c>
      <c r="C2586" s="19" t="inlineStr">
        <is>
          <t>Kerala</t>
        </is>
      </c>
      <c r="D2586" s="20" t="inlineStr">
        <is>
          <t>KL13S0094</t>
        </is>
      </c>
      <c r="E2586" s="20" t="inlineStr">
        <is>
          <t>MARUTI SUZUKI</t>
        </is>
      </c>
      <c r="F2586" s="20" t="inlineStr">
        <is>
          <t>Omni</t>
        </is>
      </c>
      <c r="G2586" s="21" t="n">
        <v>2007</v>
      </c>
      <c r="H2586" s="22" t="n">
        <v>130000</v>
      </c>
      <c r="I2586" s="23" t="n">
        <v>45000</v>
      </c>
      <c r="J2586" s="20" t="inlineStr">
        <is>
          <t>POPULAR MARUTI</t>
        </is>
      </c>
      <c r="K2586" s="20" t="inlineStr">
        <is>
          <t>Non-Captive</t>
        </is>
      </c>
      <c r="L2586" s="20" t="inlineStr">
        <is>
          <t>AYSHA</t>
        </is>
      </c>
      <c r="M2586" s="23" t="n">
        <v>8474.58</v>
      </c>
      <c r="N2586" s="23" t="n">
        <v>10000</v>
      </c>
      <c r="O2586" s="24">
        <f>IF(AND(ISNUMBER(M2586), ISNUMBER(I2586), I2586&gt;0), M2586/I2586, "")</f>
        <v/>
      </c>
    </row>
    <row r="2587">
      <c r="A2587" s="19" t="inlineStr">
        <is>
          <t>FY27</t>
        </is>
      </c>
      <c r="B2587" s="19" t="inlineStr">
        <is>
          <t>Jun</t>
        </is>
      </c>
      <c r="C2587" s="19" t="inlineStr">
        <is>
          <t>Kerala</t>
        </is>
      </c>
      <c r="D2587" s="20" t="inlineStr">
        <is>
          <t>KL13Z3455</t>
        </is>
      </c>
      <c r="E2587" s="20" t="inlineStr">
        <is>
          <t>MARUTI SUZUKI</t>
        </is>
      </c>
      <c r="F2587" s="20" t="inlineStr">
        <is>
          <t>Swift</t>
        </is>
      </c>
      <c r="G2587" s="21" t="n">
        <v>2012</v>
      </c>
      <c r="H2587" s="22" t="n">
        <v>110000</v>
      </c>
      <c r="I2587" s="23" t="n">
        <v>225000</v>
      </c>
      <c r="J2587" s="20" t="inlineStr">
        <is>
          <t>POPULAR MARUTI</t>
        </is>
      </c>
      <c r="K2587" s="20" t="inlineStr">
        <is>
          <t>Non-Captive</t>
        </is>
      </c>
      <c r="L2587" s="20" t="inlineStr">
        <is>
          <t>THANSEER CARS</t>
        </is>
      </c>
      <c r="M2587" s="23" t="n">
        <v>8474.58</v>
      </c>
      <c r="N2587" s="23" t="n">
        <v>10000</v>
      </c>
      <c r="O2587" s="24">
        <f>IF(AND(ISNUMBER(M2587), ISNUMBER(I2587), I2587&gt;0), M2587/I2587, "")</f>
        <v/>
      </c>
    </row>
    <row r="2588">
      <c r="A2588" s="19" t="inlineStr">
        <is>
          <t>FY27</t>
        </is>
      </c>
      <c r="B2588" s="19" t="inlineStr">
        <is>
          <t>Jun</t>
        </is>
      </c>
      <c r="C2588" s="19" t="inlineStr">
        <is>
          <t>Kerala</t>
        </is>
      </c>
      <c r="D2588" s="20" t="inlineStr">
        <is>
          <t>KL59H8028</t>
        </is>
      </c>
      <c r="E2588" s="20" t="inlineStr">
        <is>
          <t>MARUTI SUZUKI</t>
        </is>
      </c>
      <c r="F2588" s="20" t="inlineStr">
        <is>
          <t>Swift</t>
        </is>
      </c>
      <c r="G2588" s="21" t="n">
        <v>2013</v>
      </c>
      <c r="H2588" s="22" t="n">
        <v>106000</v>
      </c>
      <c r="I2588" s="23" t="n">
        <v>220000</v>
      </c>
      <c r="J2588" s="20" t="inlineStr">
        <is>
          <t>POPULAR MARUTI</t>
        </is>
      </c>
      <c r="K2588" s="20" t="inlineStr">
        <is>
          <t>Non-Captive</t>
        </is>
      </c>
      <c r="L2588" s="20" t="inlineStr">
        <is>
          <t>RATHEESH</t>
        </is>
      </c>
      <c r="M2588" s="23" t="n">
        <v>8474.58</v>
      </c>
      <c r="N2588" s="23" t="n">
        <v>10000</v>
      </c>
      <c r="O2588" s="24">
        <f>IF(AND(ISNUMBER(M2588), ISNUMBER(I2588), I2588&gt;0), M2588/I2588, "")</f>
        <v/>
      </c>
    </row>
    <row r="2589">
      <c r="A2589" s="19" t="inlineStr">
        <is>
          <t>FY27</t>
        </is>
      </c>
      <c r="B2589" s="19" t="inlineStr">
        <is>
          <t>Jun</t>
        </is>
      </c>
      <c r="C2589" s="19" t="inlineStr">
        <is>
          <t>Kerala</t>
        </is>
      </c>
      <c r="D2589" s="20" t="inlineStr">
        <is>
          <t>KL39R4921</t>
        </is>
      </c>
      <c r="E2589" s="20" t="inlineStr">
        <is>
          <t>NISSAN</t>
        </is>
      </c>
      <c r="F2589" s="20" t="inlineStr">
        <is>
          <t>Magnite</t>
        </is>
      </c>
      <c r="G2589" s="21" t="n">
        <v>2021</v>
      </c>
      <c r="H2589" s="22" t="n">
        <v>38000</v>
      </c>
      <c r="I2589" s="23" t="n">
        <v>430000</v>
      </c>
      <c r="J2589" s="20" t="inlineStr">
        <is>
          <t>UCD SANTHOSH</t>
        </is>
      </c>
      <c r="K2589" s="20" t="inlineStr">
        <is>
          <t>Non-Captive</t>
        </is>
      </c>
      <c r="L2589" s="20" t="inlineStr">
        <is>
          <t>HARSHAD</t>
        </is>
      </c>
      <c r="M2589" s="23" t="n">
        <v>8474.58</v>
      </c>
      <c r="N2589" s="23" t="n">
        <v>10000</v>
      </c>
      <c r="O2589" s="24">
        <f>IF(AND(ISNUMBER(M2589), ISNUMBER(I2589), I2589&gt;0), M2589/I2589, "")</f>
        <v/>
      </c>
    </row>
    <row r="2590">
      <c r="A2590" s="19" t="inlineStr">
        <is>
          <t>FY27</t>
        </is>
      </c>
      <c r="B2590" s="19" t="inlineStr">
        <is>
          <t>Jun</t>
        </is>
      </c>
      <c r="C2590" s="19" t="inlineStr">
        <is>
          <t>Kerala</t>
        </is>
      </c>
      <c r="D2590" s="20" t="inlineStr">
        <is>
          <t>KL54D3218</t>
        </is>
      </c>
      <c r="E2590" s="20" t="inlineStr">
        <is>
          <t>MARUTI SUZUKI</t>
        </is>
      </c>
      <c r="F2590" s="20" t="inlineStr">
        <is>
          <t>Swift</t>
        </is>
      </c>
      <c r="G2590" s="21" t="n">
        <v>2012</v>
      </c>
      <c r="H2590" s="22" t="n">
        <v>150000</v>
      </c>
      <c r="I2590" s="23" t="n">
        <v>264000</v>
      </c>
      <c r="J2590" s="20" t="inlineStr">
        <is>
          <t>POPULAR MARUTI</t>
        </is>
      </c>
      <c r="K2590" s="20" t="inlineStr">
        <is>
          <t>Non-Captive</t>
        </is>
      </c>
      <c r="L2590" s="20" t="inlineStr">
        <is>
          <t>RUKSANA CARS</t>
        </is>
      </c>
      <c r="M2590" s="23" t="n">
        <v>7627.12</v>
      </c>
      <c r="N2590" s="23" t="n">
        <v>9000</v>
      </c>
      <c r="O2590" s="24">
        <f>IF(AND(ISNUMBER(M2590), ISNUMBER(I2590), I2590&gt;0), M2590/I2590, "")</f>
        <v/>
      </c>
    </row>
    <row r="2591">
      <c r="A2591" s="19" t="inlineStr">
        <is>
          <t>FY27</t>
        </is>
      </c>
      <c r="B2591" s="19" t="inlineStr">
        <is>
          <t>Jun</t>
        </is>
      </c>
      <c r="C2591" s="19" t="inlineStr">
        <is>
          <t>Kerala</t>
        </is>
      </c>
      <c r="D2591" s="20" t="inlineStr">
        <is>
          <t>KL23S6607</t>
        </is>
      </c>
      <c r="E2591" s="20" t="inlineStr">
        <is>
          <t>HYUNDAI</t>
        </is>
      </c>
      <c r="F2591" s="20" t="inlineStr">
        <is>
          <t>I20</t>
        </is>
      </c>
      <c r="G2591" s="21" t="n">
        <v>2020</v>
      </c>
      <c r="H2591" s="22" t="n">
        <v>21334</v>
      </c>
      <c r="I2591" s="23" t="n">
        <v>495000</v>
      </c>
      <c r="J2591" s="20" t="inlineStr">
        <is>
          <t>INCHEON KIA</t>
        </is>
      </c>
      <c r="K2591" s="20" t="inlineStr">
        <is>
          <t>Non-Captive</t>
        </is>
      </c>
      <c r="L2591" s="20" t="inlineStr">
        <is>
          <t>HAREESH</t>
        </is>
      </c>
      <c r="M2591" s="23" t="n">
        <v>8474.58</v>
      </c>
      <c r="N2591" s="23" t="n">
        <v>10000</v>
      </c>
      <c r="O2591" s="24">
        <f>IF(AND(ISNUMBER(M2591), ISNUMBER(I2591), I2591&gt;0), M2591/I2591, "")</f>
        <v/>
      </c>
    </row>
    <row r="2592">
      <c r="A2592" s="19" t="inlineStr">
        <is>
          <t>FY27</t>
        </is>
      </c>
      <c r="B2592" s="19" t="inlineStr">
        <is>
          <t>Jun</t>
        </is>
      </c>
      <c r="C2592" s="19" t="inlineStr">
        <is>
          <t>Kerala</t>
        </is>
      </c>
      <c r="D2592" s="20" t="inlineStr">
        <is>
          <t>KL25L7266</t>
        </is>
      </c>
      <c r="E2592" s="20" t="inlineStr">
        <is>
          <t>MARUTI SUZUKI</t>
        </is>
      </c>
      <c r="F2592" s="20" t="inlineStr">
        <is>
          <t>Ertiga</t>
        </is>
      </c>
      <c r="G2592" s="21" t="n">
        <v>2018</v>
      </c>
      <c r="H2592" s="22" t="n">
        <v>102000</v>
      </c>
      <c r="I2592" s="23" t="n">
        <v>640000</v>
      </c>
      <c r="J2592" s="20" t="inlineStr">
        <is>
          <t>POPULAR MARUTI</t>
        </is>
      </c>
      <c r="K2592" s="20" t="inlineStr">
        <is>
          <t>Non-Captive</t>
        </is>
      </c>
      <c r="L2592" s="20" t="inlineStr">
        <is>
          <t>RAMSHAD</t>
        </is>
      </c>
      <c r="M2592" s="23" t="n">
        <v>8474.58</v>
      </c>
      <c r="N2592" s="23" t="n">
        <v>10000</v>
      </c>
      <c r="O2592" s="24">
        <f>IF(AND(ISNUMBER(M2592), ISNUMBER(I2592), I2592&gt;0), M2592/I2592, "")</f>
        <v/>
      </c>
    </row>
    <row r="2593">
      <c r="A2593" s="19" t="inlineStr">
        <is>
          <t>FY27</t>
        </is>
      </c>
      <c r="B2593" s="19" t="inlineStr">
        <is>
          <t>Jun</t>
        </is>
      </c>
      <c r="C2593" s="19" t="inlineStr">
        <is>
          <t>Kerala</t>
        </is>
      </c>
      <c r="D2593" s="20" t="inlineStr">
        <is>
          <t>KL01AK2417</t>
        </is>
      </c>
      <c r="E2593" s="20" t="inlineStr">
        <is>
          <t>MARUTI SUZUKI</t>
        </is>
      </c>
      <c r="F2593" s="20" t="inlineStr">
        <is>
          <t>Wagon R</t>
        </is>
      </c>
      <c r="G2593" s="21" t="n">
        <v>2005</v>
      </c>
      <c r="H2593" s="22" t="n">
        <v>120000</v>
      </c>
      <c r="I2593" s="23" t="n">
        <v>60000</v>
      </c>
      <c r="J2593" s="20" t="inlineStr">
        <is>
          <t>POPULAR MARUTI</t>
        </is>
      </c>
      <c r="K2593" s="20" t="inlineStr">
        <is>
          <t>Non-Captive</t>
        </is>
      </c>
      <c r="L2593" s="20" t="inlineStr">
        <is>
          <t>SANTHOSH</t>
        </is>
      </c>
      <c r="M2593" s="23" t="n">
        <v>8474.58</v>
      </c>
      <c r="N2593" s="23" t="n">
        <v>10000</v>
      </c>
      <c r="O2593" s="24">
        <f>IF(AND(ISNUMBER(M2593), ISNUMBER(I2593), I2593&gt;0), M2593/I2593, "")</f>
        <v/>
      </c>
    </row>
    <row r="2594">
      <c r="A2594" s="19" t="inlineStr">
        <is>
          <t>FY27</t>
        </is>
      </c>
      <c r="B2594" s="19" t="inlineStr">
        <is>
          <t>Jun</t>
        </is>
      </c>
      <c r="C2594" s="19" t="inlineStr">
        <is>
          <t>Kerala</t>
        </is>
      </c>
      <c r="D2594" s="20" t="inlineStr">
        <is>
          <t>KL01AT8175</t>
        </is>
      </c>
      <c r="E2594" s="20" t="inlineStr">
        <is>
          <t>HYUNDAI</t>
        </is>
      </c>
      <c r="F2594" s="20" t="inlineStr">
        <is>
          <t>Santro</t>
        </is>
      </c>
      <c r="G2594" s="21" t="n">
        <v>2000</v>
      </c>
      <c r="H2594" s="22" t="n">
        <v>85000</v>
      </c>
      <c r="I2594" s="23" t="n">
        <v>26000</v>
      </c>
      <c r="J2594" s="20" t="inlineStr">
        <is>
          <t>POPULAR MARUTI</t>
        </is>
      </c>
      <c r="K2594" s="20" t="inlineStr">
        <is>
          <t>Non-Captive</t>
        </is>
      </c>
      <c r="L2594" s="20" t="inlineStr">
        <is>
          <t>MAHESH</t>
        </is>
      </c>
      <c r="M2594" s="23" t="n">
        <v>5084.75</v>
      </c>
      <c r="N2594" s="23" t="n">
        <v>6000</v>
      </c>
      <c r="O2594" s="24">
        <f>IF(AND(ISNUMBER(M2594), ISNUMBER(I2594), I2594&gt;0), M2594/I2594, "")</f>
        <v/>
      </c>
    </row>
    <row r="2595">
      <c r="A2595" s="19" t="inlineStr">
        <is>
          <t>FY27</t>
        </is>
      </c>
      <c r="B2595" s="19" t="inlineStr">
        <is>
          <t>Jun</t>
        </is>
      </c>
      <c r="C2595" s="19" t="inlineStr">
        <is>
          <t>Kerala</t>
        </is>
      </c>
      <c r="D2595" s="20" t="inlineStr">
        <is>
          <t>KL08AQ6896</t>
        </is>
      </c>
      <c r="E2595" s="20" t="inlineStr">
        <is>
          <t>MARUTI SUZUKI</t>
        </is>
      </c>
      <c r="F2595" s="20" t="inlineStr">
        <is>
          <t>Omni</t>
        </is>
      </c>
      <c r="G2595" s="21" t="n">
        <v>2009</v>
      </c>
      <c r="H2595" s="22" t="n">
        <v>108936</v>
      </c>
      <c r="I2595" s="23" t="n">
        <v>31000</v>
      </c>
      <c r="J2595" s="20" t="inlineStr">
        <is>
          <t>POPULAR MARUTI</t>
        </is>
      </c>
      <c r="K2595" s="20" t="inlineStr">
        <is>
          <t>Non-Captive</t>
        </is>
      </c>
      <c r="L2595" s="20" t="inlineStr">
        <is>
          <t>RAJEEV A C</t>
        </is>
      </c>
      <c r="M2595" s="23" t="n">
        <v>9322.030000000001</v>
      </c>
      <c r="N2595" s="23" t="n">
        <v>11000</v>
      </c>
      <c r="O2595" s="24">
        <f>IF(AND(ISNUMBER(M2595), ISNUMBER(I2595), I2595&gt;0), M2595/I2595, "")</f>
        <v/>
      </c>
    </row>
    <row r="2596">
      <c r="A2596" s="19" t="inlineStr">
        <is>
          <t>FY27</t>
        </is>
      </c>
      <c r="B2596" s="19" t="inlineStr">
        <is>
          <t>Jun</t>
        </is>
      </c>
      <c r="C2596" s="19" t="inlineStr">
        <is>
          <t>Kerala</t>
        </is>
      </c>
      <c r="D2596" s="20" t="inlineStr">
        <is>
          <t>KL07BS3220</t>
        </is>
      </c>
      <c r="E2596" s="20" t="inlineStr">
        <is>
          <t>MARUTI SUZUKI</t>
        </is>
      </c>
      <c r="F2596" s="20" t="inlineStr">
        <is>
          <t>Alto</t>
        </is>
      </c>
      <c r="G2596" s="21" t="n">
        <v>2011</v>
      </c>
      <c r="H2596" s="22" t="n">
        <v>30166</v>
      </c>
      <c r="I2596" s="23" t="n">
        <v>90000</v>
      </c>
      <c r="J2596" s="20" t="inlineStr">
        <is>
          <t>POPULAR MARUTI</t>
        </is>
      </c>
      <c r="K2596" s="20" t="inlineStr">
        <is>
          <t>Non-Captive</t>
        </is>
      </c>
      <c r="L2596" s="20" t="inlineStr">
        <is>
          <t>RAFEEK T A</t>
        </is>
      </c>
      <c r="M2596" s="23" t="n">
        <v>8474.58</v>
      </c>
      <c r="N2596" s="23" t="n">
        <v>10000</v>
      </c>
      <c r="O2596" s="24">
        <f>IF(AND(ISNUMBER(M2596), ISNUMBER(I2596), I2596&gt;0), M2596/I2596, "")</f>
        <v/>
      </c>
    </row>
    <row r="2597">
      <c r="A2597" s="19" t="inlineStr">
        <is>
          <t>FY27</t>
        </is>
      </c>
      <c r="B2597" s="19" t="inlineStr">
        <is>
          <t>Jun</t>
        </is>
      </c>
      <c r="C2597" s="19" t="inlineStr">
        <is>
          <t>Kerala</t>
        </is>
      </c>
      <c r="D2597" s="20" t="inlineStr">
        <is>
          <t>KL16H6697</t>
        </is>
      </c>
      <c r="E2597" s="20" t="inlineStr">
        <is>
          <t>HYUNDAI</t>
        </is>
      </c>
      <c r="F2597" s="20" t="inlineStr">
        <is>
          <t>I10</t>
        </is>
      </c>
      <c r="G2597" s="21" t="n">
        <v>2012</v>
      </c>
      <c r="H2597" s="22" t="n">
        <v>115767</v>
      </c>
      <c r="I2597" s="23" t="n">
        <v>130000</v>
      </c>
      <c r="J2597" s="20" t="inlineStr">
        <is>
          <t>AMRITH V CHANDY</t>
        </is>
      </c>
      <c r="K2597" s="20" t="inlineStr">
        <is>
          <t>Non-Captive</t>
        </is>
      </c>
      <c r="L2597" s="20" t="inlineStr">
        <is>
          <t>MAXX DRIVE</t>
        </is>
      </c>
      <c r="M2597" s="23" t="n">
        <v>8474.58</v>
      </c>
      <c r="N2597" s="23" t="n">
        <v>10000</v>
      </c>
      <c r="O2597" s="24">
        <f>IF(AND(ISNUMBER(M2597), ISNUMBER(I2597), I2597&gt;0), M2597/I2597, "")</f>
        <v/>
      </c>
    </row>
    <row r="2598">
      <c r="A2598" s="19" t="inlineStr">
        <is>
          <t>FY27</t>
        </is>
      </c>
      <c r="B2598" s="19" t="inlineStr">
        <is>
          <t>Jun</t>
        </is>
      </c>
      <c r="C2598" s="19" t="inlineStr">
        <is>
          <t>Kerala</t>
        </is>
      </c>
      <c r="D2598" s="20" t="inlineStr">
        <is>
          <t>KL27M7417</t>
        </is>
      </c>
      <c r="E2598" s="20" t="inlineStr">
        <is>
          <t>NISSAN</t>
        </is>
      </c>
      <c r="F2598" s="20" t="inlineStr">
        <is>
          <t>Magnite</t>
        </is>
      </c>
      <c r="G2598" s="21" t="n">
        <v>2024</v>
      </c>
      <c r="H2598" s="22" t="n">
        <v>13500</v>
      </c>
      <c r="I2598" s="23" t="n">
        <v>625000</v>
      </c>
      <c r="J2598" s="20" t="inlineStr">
        <is>
          <t>AUTOMOTIVE</t>
        </is>
      </c>
      <c r="K2598" s="20" t="inlineStr">
        <is>
          <t>Non-Captive</t>
        </is>
      </c>
      <c r="L2598" s="20" t="inlineStr">
        <is>
          <t>HAVEN MOTORS</t>
        </is>
      </c>
      <c r="M2598" s="23" t="n">
        <v>8474.58</v>
      </c>
      <c r="N2598" s="23" t="n">
        <v>10000</v>
      </c>
      <c r="O2598" s="24">
        <f>IF(AND(ISNUMBER(M2598), ISNUMBER(I2598), I2598&gt;0), M2598/I2598, "")</f>
        <v/>
      </c>
    </row>
    <row r="2599">
      <c r="A2599" s="19" t="inlineStr">
        <is>
          <t>FY27</t>
        </is>
      </c>
      <c r="B2599" s="19" t="inlineStr">
        <is>
          <t>Jun</t>
        </is>
      </c>
      <c r="C2599" s="19" t="inlineStr">
        <is>
          <t>Kerala</t>
        </is>
      </c>
      <c r="D2599" s="20" t="inlineStr">
        <is>
          <t>KL08BN9182</t>
        </is>
      </c>
      <c r="E2599" s="20" t="inlineStr">
        <is>
          <t>MARUTI SUZUKI</t>
        </is>
      </c>
      <c r="F2599" s="20" t="inlineStr">
        <is>
          <t>Brezza</t>
        </is>
      </c>
      <c r="G2599" s="21" t="n">
        <v>2017</v>
      </c>
      <c r="H2599" s="22" t="n">
        <v>37000</v>
      </c>
      <c r="I2599" s="23" t="n">
        <v>630000</v>
      </c>
      <c r="J2599" s="20" t="inlineStr">
        <is>
          <t>EVM CITROEN</t>
        </is>
      </c>
      <c r="K2599" s="20" t="inlineStr">
        <is>
          <t>Non-Captive</t>
        </is>
      </c>
      <c r="L2599" s="20" t="inlineStr">
        <is>
          <t>HAVEN MOTORS</t>
        </is>
      </c>
      <c r="M2599" s="23" t="n">
        <v>8474.58</v>
      </c>
      <c r="N2599" s="23" t="n">
        <v>10000</v>
      </c>
      <c r="O2599" s="24">
        <f>IF(AND(ISNUMBER(M2599), ISNUMBER(I2599), I2599&gt;0), M2599/I2599, "")</f>
        <v/>
      </c>
    </row>
    <row r="2600">
      <c r="A2600" s="19" t="inlineStr">
        <is>
          <t>FY27</t>
        </is>
      </c>
      <c r="B2600" s="19" t="inlineStr">
        <is>
          <t>Jun</t>
        </is>
      </c>
      <c r="C2600" s="19" t="inlineStr">
        <is>
          <t>Kerala</t>
        </is>
      </c>
      <c r="D2600" s="20" t="inlineStr">
        <is>
          <t>KL63B7641</t>
        </is>
      </c>
      <c r="E2600" s="20" t="inlineStr">
        <is>
          <t>TATA</t>
        </is>
      </c>
      <c r="F2600" s="20" t="inlineStr">
        <is>
          <t>Nano</t>
        </is>
      </c>
      <c r="G2600" s="21" t="n">
        <v>2014</v>
      </c>
      <c r="H2600" s="22" t="n">
        <v>78390</v>
      </c>
      <c r="I2600" s="23" t="n">
        <v>35000</v>
      </c>
      <c r="J2600" s="20" t="inlineStr">
        <is>
          <t>POPULAR MARUTI</t>
        </is>
      </c>
      <c r="K2600" s="20" t="inlineStr">
        <is>
          <t>Non-Captive</t>
        </is>
      </c>
      <c r="L2600" s="20" t="inlineStr">
        <is>
          <t>RAFEEK T A</t>
        </is>
      </c>
      <c r="M2600" s="23" t="n">
        <v>8474.58</v>
      </c>
      <c r="N2600" s="23" t="n">
        <v>10000</v>
      </c>
      <c r="O2600" s="24">
        <f>IF(AND(ISNUMBER(M2600), ISNUMBER(I2600), I2600&gt;0), M2600/I2600, "")</f>
        <v/>
      </c>
    </row>
    <row r="2601">
      <c r="A2601" s="19" t="inlineStr">
        <is>
          <t>FY27</t>
        </is>
      </c>
      <c r="B2601" s="19" t="inlineStr">
        <is>
          <t>Jun</t>
        </is>
      </c>
      <c r="C2601" s="19" t="inlineStr">
        <is>
          <t>Kerala</t>
        </is>
      </c>
      <c r="D2601" s="20" t="inlineStr">
        <is>
          <t>KL07AH4199</t>
        </is>
      </c>
      <c r="E2601" s="20" t="inlineStr">
        <is>
          <t>MARUTI SUZUKI</t>
        </is>
      </c>
      <c r="F2601" s="20" t="inlineStr">
        <is>
          <t>M800</t>
        </is>
      </c>
      <c r="G2601" s="21" t="n">
        <v>2002</v>
      </c>
      <c r="H2601" s="22" t="n">
        <v>132432</v>
      </c>
      <c r="I2601" s="23" t="n">
        <v>25000</v>
      </c>
      <c r="J2601" s="20" t="inlineStr">
        <is>
          <t>POPULAR MARUTI</t>
        </is>
      </c>
      <c r="K2601" s="20" t="inlineStr">
        <is>
          <t>Non-Captive</t>
        </is>
      </c>
      <c r="L2601" s="20" t="inlineStr">
        <is>
          <t>ABHINASH P V</t>
        </is>
      </c>
      <c r="M2601" s="23" t="n">
        <v>8474.58</v>
      </c>
      <c r="N2601" s="23" t="n">
        <v>10000</v>
      </c>
      <c r="O2601" s="24">
        <f>IF(AND(ISNUMBER(M2601), ISNUMBER(I2601), I2601&gt;0), M2601/I2601, "")</f>
        <v/>
      </c>
    </row>
    <row r="2602">
      <c r="A2602" s="19" t="inlineStr">
        <is>
          <t>FY27</t>
        </is>
      </c>
      <c r="B2602" s="19" t="inlineStr">
        <is>
          <t>Jun</t>
        </is>
      </c>
      <c r="C2602" s="19" t="inlineStr">
        <is>
          <t>Kerala</t>
        </is>
      </c>
      <c r="D2602" s="20" t="inlineStr">
        <is>
          <t>KL24J1157</t>
        </is>
      </c>
      <c r="E2602" s="20" t="inlineStr">
        <is>
          <t>MARUTI SUZUKI</t>
        </is>
      </c>
      <c r="F2602" s="20" t="inlineStr">
        <is>
          <t>Ertiga</t>
        </is>
      </c>
      <c r="G2602" s="21" t="n">
        <v>2014</v>
      </c>
      <c r="H2602" s="22" t="n">
        <v>93000</v>
      </c>
      <c r="I2602" s="23" t="n">
        <v>300000</v>
      </c>
      <c r="J2602" s="20" t="inlineStr">
        <is>
          <t>AKHILNATH</t>
        </is>
      </c>
      <c r="K2602" s="20" t="inlineStr">
        <is>
          <t>Non-Captive</t>
        </is>
      </c>
      <c r="L2602" s="20" t="inlineStr">
        <is>
          <t>RATHEESH V</t>
        </is>
      </c>
      <c r="M2602" s="23" t="n">
        <v>5932.2</v>
      </c>
      <c r="N2602" s="23" t="n">
        <v>7000</v>
      </c>
      <c r="O2602" s="24">
        <f>IF(AND(ISNUMBER(M2602), ISNUMBER(I2602), I2602&gt;0), M2602/I2602, "")</f>
        <v/>
      </c>
    </row>
    <row r="2603">
      <c r="A2603" s="19" t="inlineStr">
        <is>
          <t>FY27</t>
        </is>
      </c>
      <c r="B2603" s="19" t="inlineStr">
        <is>
          <t>Jun</t>
        </is>
      </c>
      <c r="C2603" s="19" t="inlineStr">
        <is>
          <t>Kerala</t>
        </is>
      </c>
      <c r="D2603" s="20" t="inlineStr">
        <is>
          <t>KL06H0250</t>
        </is>
      </c>
      <c r="E2603" s="20" t="inlineStr">
        <is>
          <t>MARUTI SUZUKI</t>
        </is>
      </c>
      <c r="F2603" s="20" t="inlineStr">
        <is>
          <t>Swift</t>
        </is>
      </c>
      <c r="G2603" s="21" t="n">
        <v>2014</v>
      </c>
      <c r="H2603" s="22" t="n">
        <v>164252</v>
      </c>
      <c r="I2603" s="23" t="n">
        <v>220000</v>
      </c>
      <c r="J2603" s="20" t="inlineStr">
        <is>
          <t>POPULAR MARUTI</t>
        </is>
      </c>
      <c r="K2603" s="20" t="inlineStr">
        <is>
          <t>Non-Captive</t>
        </is>
      </c>
      <c r="L2603" s="20" t="inlineStr">
        <is>
          <t>MUHAMMAD SHAJI</t>
        </is>
      </c>
      <c r="M2603" s="23" t="n">
        <v>12711.86</v>
      </c>
      <c r="N2603" s="23" t="n">
        <v>15000</v>
      </c>
      <c r="O2603" s="24">
        <f>IF(AND(ISNUMBER(M2603), ISNUMBER(I2603), I2603&gt;0), M2603/I2603, "")</f>
        <v/>
      </c>
    </row>
    <row r="2604">
      <c r="A2604" s="19" t="inlineStr">
        <is>
          <t>FY27</t>
        </is>
      </c>
      <c r="B2604" s="19" t="inlineStr">
        <is>
          <t>Jun</t>
        </is>
      </c>
      <c r="C2604" s="19" t="inlineStr">
        <is>
          <t>Kerala</t>
        </is>
      </c>
      <c r="D2604" s="20" t="inlineStr">
        <is>
          <t>KL59D7869</t>
        </is>
      </c>
      <c r="E2604" s="20" t="inlineStr">
        <is>
          <t>MAHINDRA</t>
        </is>
      </c>
      <c r="F2604" s="20" t="inlineStr">
        <is>
          <t>Verito</t>
        </is>
      </c>
      <c r="G2604" s="21" t="n">
        <v>2011</v>
      </c>
      <c r="H2604" s="22" t="n">
        <v>160000</v>
      </c>
      <c r="I2604" s="23" t="n">
        <v>68000</v>
      </c>
      <c r="J2604" s="20" t="inlineStr">
        <is>
          <t>POPULAR MARUTI</t>
        </is>
      </c>
      <c r="K2604" s="20" t="inlineStr">
        <is>
          <t>Non-Captive</t>
        </is>
      </c>
      <c r="L2604" s="20" t="inlineStr">
        <is>
          <t>SARITH</t>
        </is>
      </c>
      <c r="M2604" s="23" t="n">
        <v>6779.66</v>
      </c>
      <c r="N2604" s="23" t="n">
        <v>8000</v>
      </c>
      <c r="O2604" s="24">
        <f>IF(AND(ISNUMBER(M2604), ISNUMBER(I2604), I2604&gt;0), M2604/I2604, "")</f>
        <v/>
      </c>
    </row>
    <row r="2605">
      <c r="A2605" s="19" t="inlineStr">
        <is>
          <t>FY27</t>
        </is>
      </c>
      <c r="B2605" s="19" t="inlineStr">
        <is>
          <t>Jun</t>
        </is>
      </c>
      <c r="C2605" s="19" t="inlineStr">
        <is>
          <t>Kerala</t>
        </is>
      </c>
      <c r="D2605" s="20" t="inlineStr">
        <is>
          <t>KL540980</t>
        </is>
      </c>
      <c r="E2605" s="20" t="inlineStr">
        <is>
          <t>MARUTI SUZUKI</t>
        </is>
      </c>
      <c r="F2605" s="20" t="inlineStr">
        <is>
          <t>M800</t>
        </is>
      </c>
      <c r="G2605" s="21" t="n">
        <v>2006</v>
      </c>
      <c r="H2605" s="22" t="n">
        <v>208000</v>
      </c>
      <c r="I2605" s="23" t="n">
        <v>14000</v>
      </c>
      <c r="J2605" s="20" t="inlineStr">
        <is>
          <t>UCD ADVAITH</t>
        </is>
      </c>
      <c r="K2605" s="20" t="inlineStr">
        <is>
          <t>Non-Captive</t>
        </is>
      </c>
      <c r="L2605" s="20" t="inlineStr">
        <is>
          <t>AUTOTRUST</t>
        </is>
      </c>
      <c r="M2605" s="23" t="n">
        <v>5084.75</v>
      </c>
      <c r="N2605" s="23" t="n">
        <v>6000</v>
      </c>
      <c r="O2605" s="24">
        <f>IF(AND(ISNUMBER(M2605), ISNUMBER(I2605), I2605&gt;0), M2605/I2605, "")</f>
        <v/>
      </c>
    </row>
    <row r="2606">
      <c r="A2606" s="19" t="inlineStr">
        <is>
          <t>FY27</t>
        </is>
      </c>
      <c r="B2606" s="19" t="inlineStr">
        <is>
          <t>Jun</t>
        </is>
      </c>
      <c r="C2606" s="19" t="inlineStr">
        <is>
          <t>Kerala</t>
        </is>
      </c>
      <c r="D2606" s="20" t="inlineStr">
        <is>
          <t>KL57D8257</t>
        </is>
      </c>
      <c r="E2606" s="20" t="inlineStr">
        <is>
          <t>MARUTI SUZUKI</t>
        </is>
      </c>
      <c r="F2606" s="20" t="inlineStr">
        <is>
          <t>Ritz</t>
        </is>
      </c>
      <c r="G2606" s="21" t="n">
        <v>2011</v>
      </c>
      <c r="H2606" s="22" t="n">
        <v>95000</v>
      </c>
      <c r="I2606" s="23" t="n">
        <v>105000</v>
      </c>
      <c r="J2606" s="20" t="inlineStr">
        <is>
          <t>UCD NITHEESH</t>
        </is>
      </c>
      <c r="K2606" s="20" t="inlineStr">
        <is>
          <t>Non-Captive</t>
        </is>
      </c>
      <c r="L2606" s="20" t="inlineStr">
        <is>
          <t>RATHEESH</t>
        </is>
      </c>
      <c r="M2606" s="23" t="n">
        <v>4237.29</v>
      </c>
      <c r="N2606" s="23" t="n">
        <v>5000</v>
      </c>
      <c r="O2606" s="24">
        <f>IF(AND(ISNUMBER(M2606), ISNUMBER(I2606), I2606&gt;0), M2606/I2606, "")</f>
        <v/>
      </c>
    </row>
    <row r="2607">
      <c r="A2607" s="19" t="inlineStr">
        <is>
          <t>FY27</t>
        </is>
      </c>
      <c r="B2607" s="19" t="inlineStr">
        <is>
          <t>Jun</t>
        </is>
      </c>
      <c r="C2607" s="19" t="inlineStr">
        <is>
          <t>Kerala</t>
        </is>
      </c>
      <c r="D2607" s="20" t="inlineStr">
        <is>
          <t>KL51J5500</t>
        </is>
      </c>
      <c r="E2607" s="20" t="inlineStr">
        <is>
          <t>MAHINDRA</t>
        </is>
      </c>
      <c r="F2607" s="20" t="inlineStr">
        <is>
          <t>Xuv500</t>
        </is>
      </c>
      <c r="G2607" s="21" t="n">
        <v>2018</v>
      </c>
      <c r="H2607" s="22" t="n">
        <v>77000</v>
      </c>
      <c r="I2607" s="23" t="n">
        <v>810000</v>
      </c>
      <c r="J2607" s="20" t="inlineStr">
        <is>
          <t>MARVEL</t>
        </is>
      </c>
      <c r="K2607" s="20" t="inlineStr">
        <is>
          <t>Non-Captive</t>
        </is>
      </c>
      <c r="L2607" s="20" t="inlineStr">
        <is>
          <t>SHAROOQUE ANAS</t>
        </is>
      </c>
      <c r="M2607" s="23" t="n">
        <v>8474.58</v>
      </c>
      <c r="N2607" s="23" t="n">
        <v>10000</v>
      </c>
      <c r="O2607" s="24">
        <f>IF(AND(ISNUMBER(M2607), ISNUMBER(I2607), I2607&gt;0), M2607/I2607, "")</f>
        <v/>
      </c>
    </row>
    <row r="2608">
      <c r="A2608" s="19" t="inlineStr">
        <is>
          <t>FY27</t>
        </is>
      </c>
      <c r="B2608" s="19" t="inlineStr">
        <is>
          <t>Jun</t>
        </is>
      </c>
      <c r="C2608" s="19" t="inlineStr">
        <is>
          <t>Kerala</t>
        </is>
      </c>
      <c r="D2608" s="20" t="inlineStr">
        <is>
          <t>KL56F5335</t>
        </is>
      </c>
      <c r="E2608" s="20" t="inlineStr">
        <is>
          <t>FIAT</t>
        </is>
      </c>
      <c r="F2608" s="20" t="inlineStr">
        <is>
          <t>Punto</t>
        </is>
      </c>
      <c r="G2608" s="21" t="n">
        <v>2012</v>
      </c>
      <c r="H2608" s="22" t="n">
        <v>80000</v>
      </c>
      <c r="I2608" s="23" t="n">
        <v>110000</v>
      </c>
      <c r="J2608" s="20" t="inlineStr">
        <is>
          <t>APCO HONDA</t>
        </is>
      </c>
      <c r="K2608" s="20" t="inlineStr">
        <is>
          <t>Non-Captive</t>
        </is>
      </c>
      <c r="L2608" s="20" t="inlineStr">
        <is>
          <t>RUKSANA CARS</t>
        </is>
      </c>
      <c r="M2608" s="23" t="n">
        <v>8474.58</v>
      </c>
      <c r="N2608" s="23" t="n">
        <v>10000</v>
      </c>
      <c r="O2608" s="24">
        <f>IF(AND(ISNUMBER(M2608), ISNUMBER(I2608), I2608&gt;0), M2608/I2608, "")</f>
        <v/>
      </c>
    </row>
    <row r="2609">
      <c r="A2609" s="19" t="inlineStr">
        <is>
          <t>FY27</t>
        </is>
      </c>
      <c r="B2609" s="19" t="inlineStr">
        <is>
          <t>Jun</t>
        </is>
      </c>
      <c r="C2609" s="19" t="inlineStr">
        <is>
          <t>Kerala</t>
        </is>
      </c>
      <c r="D2609" s="20" t="inlineStr">
        <is>
          <t>KL31J9894</t>
        </is>
      </c>
      <c r="E2609" s="20" t="inlineStr">
        <is>
          <t>MARUTI SUZUKI</t>
        </is>
      </c>
      <c r="F2609" s="20" t="inlineStr">
        <is>
          <t>Swift Dzire</t>
        </is>
      </c>
      <c r="G2609" s="21" t="n">
        <v>2016</v>
      </c>
      <c r="H2609" s="22" t="n">
        <v>59000</v>
      </c>
      <c r="I2609" s="23" t="n">
        <v>310000</v>
      </c>
      <c r="J2609" s="20" t="inlineStr">
        <is>
          <t>AMANA TOYOTA</t>
        </is>
      </c>
      <c r="K2609" s="20" t="inlineStr">
        <is>
          <t>Non-Captive</t>
        </is>
      </c>
      <c r="L2609" s="20" t="inlineStr">
        <is>
          <t>THANSEER CARS</t>
        </is>
      </c>
      <c r="M2609" s="23" t="n">
        <v>8474.58</v>
      </c>
      <c r="N2609" s="23" t="n">
        <v>10000</v>
      </c>
      <c r="O2609" s="24">
        <f>IF(AND(ISNUMBER(M2609), ISNUMBER(I2609), I2609&gt;0), M2609/I2609, "")</f>
        <v/>
      </c>
    </row>
    <row r="2610">
      <c r="A2610" s="19" t="inlineStr">
        <is>
          <t>FY27</t>
        </is>
      </c>
      <c r="B2610" s="19" t="inlineStr">
        <is>
          <t>Jun</t>
        </is>
      </c>
      <c r="C2610" s="19" t="inlineStr">
        <is>
          <t>Kerala</t>
        </is>
      </c>
      <c r="D2610" s="20" t="inlineStr">
        <is>
          <t>KL59L1096</t>
        </is>
      </c>
      <c r="E2610" s="20" t="inlineStr">
        <is>
          <t>MARUTI SUZUKI</t>
        </is>
      </c>
      <c r="F2610" s="20" t="inlineStr">
        <is>
          <t>Swift</t>
        </is>
      </c>
      <c r="G2610" s="21" t="n">
        <v>2015</v>
      </c>
      <c r="H2610" s="22" t="n">
        <v>152000</v>
      </c>
      <c r="I2610" s="23" t="n">
        <v>235000</v>
      </c>
      <c r="J2610" s="20" t="inlineStr">
        <is>
          <t>MARVEL CARS</t>
        </is>
      </c>
      <c r="K2610" s="20" t="inlineStr">
        <is>
          <t>Non-Captive</t>
        </is>
      </c>
      <c r="L2610" s="20" t="inlineStr">
        <is>
          <t>RATHEESH V</t>
        </is>
      </c>
      <c r="M2610" s="23" t="n">
        <v>12711.86</v>
      </c>
      <c r="N2610" s="23" t="n">
        <v>15000</v>
      </c>
      <c r="O2610" s="24">
        <f>IF(AND(ISNUMBER(M2610), ISNUMBER(I2610), I2610&gt;0), M2610/I2610, "")</f>
        <v/>
      </c>
    </row>
    <row r="2611">
      <c r="A2611" s="19" t="inlineStr">
        <is>
          <t>FY27</t>
        </is>
      </c>
      <c r="B2611" s="19" t="inlineStr">
        <is>
          <t>Jun</t>
        </is>
      </c>
      <c r="C2611" s="19" t="inlineStr">
        <is>
          <t>Kerala</t>
        </is>
      </c>
      <c r="D2611" s="20" t="inlineStr">
        <is>
          <t>KL18AD0975</t>
        </is>
      </c>
      <c r="E2611" s="20" t="inlineStr">
        <is>
          <t>MARUTI SUZUKI</t>
        </is>
      </c>
      <c r="F2611" s="20" t="inlineStr">
        <is>
          <t>Swift</t>
        </is>
      </c>
      <c r="G2611" s="21" t="n">
        <v>2023</v>
      </c>
      <c r="H2611" s="22" t="n">
        <v>40000</v>
      </c>
      <c r="I2611" s="23" t="n">
        <v>607000</v>
      </c>
      <c r="J2611" s="20" t="inlineStr">
        <is>
          <t>BIMAL</t>
        </is>
      </c>
      <c r="K2611" s="20" t="inlineStr">
        <is>
          <t>Non-Captive</t>
        </is>
      </c>
      <c r="L2611" s="20" t="inlineStr">
        <is>
          <t>SARITH</t>
        </is>
      </c>
      <c r="M2611" s="23" t="n">
        <v>5932.2</v>
      </c>
      <c r="N2611" s="23" t="n">
        <v>7000</v>
      </c>
      <c r="O2611" s="24">
        <f>IF(AND(ISNUMBER(M2611), ISNUMBER(I2611), I2611&gt;0), M2611/I2611, "")</f>
        <v/>
      </c>
    </row>
    <row r="2612">
      <c r="A2612" s="19" t="inlineStr">
        <is>
          <t>FY27</t>
        </is>
      </c>
      <c r="B2612" s="19" t="inlineStr">
        <is>
          <t>Jun</t>
        </is>
      </c>
      <c r="C2612" s="19" t="inlineStr">
        <is>
          <t>Kerala</t>
        </is>
      </c>
      <c r="D2612" s="20" t="inlineStr">
        <is>
          <t>KL18U0592</t>
        </is>
      </c>
      <c r="E2612" s="20" t="inlineStr">
        <is>
          <t>RENAULT</t>
        </is>
      </c>
      <c r="F2612" s="20" t="inlineStr">
        <is>
          <t>Kwid</t>
        </is>
      </c>
      <c r="G2612" s="21" t="n">
        <v>2017</v>
      </c>
      <c r="H2612" s="22" t="n">
        <v>120000</v>
      </c>
      <c r="I2612" s="23" t="n">
        <v>110000</v>
      </c>
      <c r="J2612" s="20" t="inlineStr">
        <is>
          <t>BIMAL</t>
        </is>
      </c>
      <c r="K2612" s="20" t="inlineStr">
        <is>
          <t>Non-Captive</t>
        </is>
      </c>
      <c r="L2612" s="20" t="inlineStr">
        <is>
          <t>RUKSANA CARS</t>
        </is>
      </c>
      <c r="M2612" s="23" t="n">
        <v>8474.58</v>
      </c>
      <c r="N2612" s="23" t="n">
        <v>10000</v>
      </c>
      <c r="O2612" s="24">
        <f>IF(AND(ISNUMBER(M2612), ISNUMBER(I2612), I2612&gt;0), M2612/I2612, "")</f>
        <v/>
      </c>
    </row>
    <row r="2613">
      <c r="A2613" s="19" t="inlineStr">
        <is>
          <t>FY27</t>
        </is>
      </c>
      <c r="B2613" s="19" t="inlineStr">
        <is>
          <t>Jun</t>
        </is>
      </c>
      <c r="C2613" s="19" t="inlineStr">
        <is>
          <t>Kerala</t>
        </is>
      </c>
      <c r="D2613" s="20" t="inlineStr">
        <is>
          <t>KL08AN0023</t>
        </is>
      </c>
      <c r="E2613" s="20" t="inlineStr">
        <is>
          <t>TATA</t>
        </is>
      </c>
      <c r="F2613" s="20" t="inlineStr">
        <is>
          <t>Indica</t>
        </is>
      </c>
      <c r="G2613" s="21" t="n">
        <v>2007</v>
      </c>
      <c r="H2613" s="22" t="n">
        <v>101138</v>
      </c>
      <c r="I2613" s="23" t="n">
        <v>35000</v>
      </c>
      <c r="J2613" s="20" t="inlineStr">
        <is>
          <t>POPULAR MARUTI</t>
        </is>
      </c>
      <c r="K2613" s="20" t="inlineStr">
        <is>
          <t>Non-Captive</t>
        </is>
      </c>
      <c r="L2613" s="20" t="inlineStr">
        <is>
          <t>RAFEEK T A</t>
        </is>
      </c>
      <c r="M2613" s="23" t="n">
        <v>8474.58</v>
      </c>
      <c r="N2613" s="23" t="n">
        <v>10000</v>
      </c>
      <c r="O2613" s="24">
        <f>IF(AND(ISNUMBER(M2613), ISNUMBER(I2613), I2613&gt;0), M2613/I2613, "")</f>
        <v/>
      </c>
    </row>
    <row r="2614">
      <c r="A2614" s="19" t="inlineStr">
        <is>
          <t>FY27</t>
        </is>
      </c>
      <c r="B2614" s="19" t="inlineStr">
        <is>
          <t>Jun</t>
        </is>
      </c>
      <c r="C2614" s="19" t="inlineStr">
        <is>
          <t>Kerala</t>
        </is>
      </c>
      <c r="D2614" s="20" t="inlineStr">
        <is>
          <t>KL620336</t>
        </is>
      </c>
      <c r="E2614" s="20" t="inlineStr">
        <is>
          <t>HYUNDAI</t>
        </is>
      </c>
      <c r="F2614" s="20" t="inlineStr">
        <is>
          <t>Santro</t>
        </is>
      </c>
      <c r="G2614" s="21" t="n">
        <v>2011</v>
      </c>
      <c r="H2614" s="22" t="n">
        <v>81890</v>
      </c>
      <c r="I2614" s="23" t="n">
        <v>93000</v>
      </c>
      <c r="J2614" s="20" t="inlineStr">
        <is>
          <t>GOKULAM TATA</t>
        </is>
      </c>
      <c r="K2614" s="20" t="inlineStr">
        <is>
          <t>Non-Captive</t>
        </is>
      </c>
      <c r="L2614" s="20" t="inlineStr">
        <is>
          <t>HUSSAIN O E</t>
        </is>
      </c>
      <c r="M2614" s="23" t="n">
        <v>8474.58</v>
      </c>
      <c r="N2614" s="23" t="n">
        <v>10000</v>
      </c>
      <c r="O2614" s="24">
        <f>IF(AND(ISNUMBER(M2614), ISNUMBER(I2614), I2614&gt;0), M2614/I2614, "")</f>
        <v/>
      </c>
    </row>
    <row r="2615">
      <c r="A2615" s="19" t="inlineStr">
        <is>
          <t>FY27</t>
        </is>
      </c>
      <c r="B2615" s="19" t="inlineStr">
        <is>
          <t>Jun</t>
        </is>
      </c>
      <c r="C2615" s="19" t="inlineStr">
        <is>
          <t>Kerala</t>
        </is>
      </c>
      <c r="D2615" s="20" t="inlineStr">
        <is>
          <t>KL32M1717</t>
        </is>
      </c>
      <c r="E2615" s="20" t="inlineStr">
        <is>
          <t>MARUTI SUZUKI</t>
        </is>
      </c>
      <c r="F2615" s="20" t="inlineStr">
        <is>
          <t>Swift</t>
        </is>
      </c>
      <c r="G2615" s="21" t="n">
        <v>2018</v>
      </c>
      <c r="H2615" s="22" t="n">
        <v>90000</v>
      </c>
      <c r="I2615" s="23" t="n">
        <v>502000</v>
      </c>
      <c r="J2615" s="20" t="inlineStr">
        <is>
          <t>ERAM MOTORS</t>
        </is>
      </c>
      <c r="K2615" s="20" t="inlineStr">
        <is>
          <t>Non-Captive</t>
        </is>
      </c>
      <c r="L2615" s="20" t="inlineStr">
        <is>
          <t>HAVEN MOTORS</t>
        </is>
      </c>
      <c r="M2615" s="23" t="n">
        <v>8474.58</v>
      </c>
      <c r="N2615" s="23" t="n">
        <v>10000</v>
      </c>
      <c r="O2615" s="24">
        <f>IF(AND(ISNUMBER(M2615), ISNUMBER(I2615), I2615&gt;0), M2615/I2615, "")</f>
        <v/>
      </c>
    </row>
    <row r="2616">
      <c r="A2616" s="19" t="inlineStr">
        <is>
          <t>FY27</t>
        </is>
      </c>
      <c r="B2616" s="19" t="inlineStr">
        <is>
          <t>Jun</t>
        </is>
      </c>
      <c r="C2616" s="19" t="inlineStr">
        <is>
          <t>Kerala</t>
        </is>
      </c>
      <c r="D2616" s="20" t="inlineStr">
        <is>
          <t>KL04AT5471</t>
        </is>
      </c>
      <c r="E2616" s="20" t="inlineStr">
        <is>
          <t>TATA</t>
        </is>
      </c>
      <c r="F2616" s="20" t="inlineStr">
        <is>
          <t>Punch</t>
        </is>
      </c>
      <c r="G2616" s="21" t="n">
        <v>2023</v>
      </c>
      <c r="H2616" s="22" t="n">
        <v>18456</v>
      </c>
      <c r="I2616" s="23" t="n">
        <v>510000</v>
      </c>
      <c r="J2616" s="20" t="inlineStr">
        <is>
          <t>KESHVIN HYUNDAI</t>
        </is>
      </c>
      <c r="K2616" s="20" t="inlineStr">
        <is>
          <t>Non-Captive</t>
        </is>
      </c>
      <c r="L2616" s="20" t="inlineStr">
        <is>
          <t>AITOS CARS</t>
        </is>
      </c>
      <c r="M2616" s="23" t="n">
        <v>8474.58</v>
      </c>
      <c r="N2616" s="23" t="n">
        <v>10000</v>
      </c>
      <c r="O2616" s="24">
        <f>IF(AND(ISNUMBER(M2616), ISNUMBER(I2616), I2616&gt;0), M2616/I2616, "")</f>
        <v/>
      </c>
    </row>
    <row r="2617">
      <c r="A2617" s="19" t="inlineStr">
        <is>
          <t>FY27</t>
        </is>
      </c>
      <c r="B2617" s="19" t="inlineStr">
        <is>
          <t>Jun</t>
        </is>
      </c>
      <c r="C2617" s="19" t="inlineStr">
        <is>
          <t>Kerala</t>
        </is>
      </c>
      <c r="D2617" s="20" t="inlineStr">
        <is>
          <t>KL60D7693</t>
        </is>
      </c>
      <c r="E2617" s="20" t="inlineStr">
        <is>
          <t>MARUTI SUZUKI</t>
        </is>
      </c>
      <c r="F2617" s="20" t="inlineStr">
        <is>
          <t>Swift</t>
        </is>
      </c>
      <c r="G2617" s="21" t="n">
        <v>2012</v>
      </c>
      <c r="H2617" s="22" t="n">
        <v>84300</v>
      </c>
      <c r="I2617" s="23" t="n">
        <v>200000</v>
      </c>
      <c r="J2617" s="20" t="inlineStr">
        <is>
          <t>KVR TATA</t>
        </is>
      </c>
      <c r="K2617" s="20" t="inlineStr">
        <is>
          <t>Non-Captive</t>
        </is>
      </c>
      <c r="L2617" s="20" t="inlineStr">
        <is>
          <t>VISHNU M S</t>
        </is>
      </c>
      <c r="M2617" s="23" t="n">
        <v>8474.58</v>
      </c>
      <c r="N2617" s="23" t="n">
        <v>10000</v>
      </c>
      <c r="O2617" s="24">
        <f>IF(AND(ISNUMBER(M2617), ISNUMBER(I2617), I2617&gt;0), M2617/I2617, "")</f>
        <v/>
      </c>
    </row>
    <row r="2618">
      <c r="A2618" s="19" t="inlineStr">
        <is>
          <t>FY27</t>
        </is>
      </c>
      <c r="B2618" s="19" t="inlineStr">
        <is>
          <t>Jun</t>
        </is>
      </c>
      <c r="C2618" s="19" t="inlineStr">
        <is>
          <t>Kerala</t>
        </is>
      </c>
      <c r="D2618" s="20" t="inlineStr">
        <is>
          <t>KL48A2108</t>
        </is>
      </c>
      <c r="E2618" s="20" t="inlineStr">
        <is>
          <t>MARUTI SUZUKI</t>
        </is>
      </c>
      <c r="F2618" s="20" t="inlineStr">
        <is>
          <t>Alto</t>
        </is>
      </c>
      <c r="G2618" s="21" t="n">
        <v>2008</v>
      </c>
      <c r="H2618" s="22" t="n">
        <v>66537</v>
      </c>
      <c r="I2618" s="23" t="n">
        <v>80000</v>
      </c>
      <c r="J2618" s="20" t="inlineStr">
        <is>
          <t>POPULAR MARUTI</t>
        </is>
      </c>
      <c r="K2618" s="20" t="inlineStr">
        <is>
          <t>Non-Captive</t>
        </is>
      </c>
      <c r="L2618" s="20" t="inlineStr">
        <is>
          <t>HONEY</t>
        </is>
      </c>
      <c r="M2618" s="23" t="n">
        <v>8474.58</v>
      </c>
      <c r="N2618" s="23" t="n">
        <v>10000</v>
      </c>
      <c r="O2618" s="24">
        <f>IF(AND(ISNUMBER(M2618), ISNUMBER(I2618), I2618&gt;0), M2618/I2618, "")</f>
        <v/>
      </c>
    </row>
    <row r="2619">
      <c r="A2619" s="19" t="inlineStr">
        <is>
          <t>FY27</t>
        </is>
      </c>
      <c r="B2619" s="19" t="inlineStr">
        <is>
          <t>Jun</t>
        </is>
      </c>
      <c r="C2619" s="19" t="inlineStr">
        <is>
          <t>Kerala</t>
        </is>
      </c>
      <c r="D2619" s="20" t="inlineStr">
        <is>
          <t>KL23P6390</t>
        </is>
      </c>
      <c r="E2619" s="20" t="inlineStr">
        <is>
          <t>TATA</t>
        </is>
      </c>
      <c r="F2619" s="20" t="inlineStr">
        <is>
          <t>Tigore</t>
        </is>
      </c>
      <c r="G2619" s="21" t="n">
        <v>2017</v>
      </c>
      <c r="H2619" s="22" t="n">
        <v>98755</v>
      </c>
      <c r="I2619" s="23" t="n">
        <v>275000</v>
      </c>
      <c r="J2619" s="20" t="inlineStr">
        <is>
          <t>POPULAR MARUTI</t>
        </is>
      </c>
      <c r="K2619" s="20" t="inlineStr">
        <is>
          <t>Non-Captive</t>
        </is>
      </c>
      <c r="L2619" s="20" t="inlineStr">
        <is>
          <t>FAHAD (Auto Bot Kannur)</t>
        </is>
      </c>
      <c r="M2619" s="23" t="n">
        <v>21186.44</v>
      </c>
      <c r="N2619" s="23" t="n">
        <v>25000</v>
      </c>
      <c r="O2619" s="24">
        <f>IF(AND(ISNUMBER(M2619), ISNUMBER(I2619), I2619&gt;0), M2619/I2619, "")</f>
        <v/>
      </c>
    </row>
    <row r="2620">
      <c r="A2620" s="19" t="inlineStr">
        <is>
          <t>FY27</t>
        </is>
      </c>
      <c r="B2620" s="19" t="inlineStr">
        <is>
          <t>Jun</t>
        </is>
      </c>
      <c r="C2620" s="19" t="inlineStr">
        <is>
          <t>Kerala</t>
        </is>
      </c>
      <c r="D2620" s="20" t="inlineStr">
        <is>
          <t>KL07BZ3376</t>
        </is>
      </c>
      <c r="E2620" s="20" t="inlineStr">
        <is>
          <t>MAHINDRA</t>
        </is>
      </c>
      <c r="F2620" s="20" t="inlineStr">
        <is>
          <t>Verito</t>
        </is>
      </c>
      <c r="G2620" s="21" t="n">
        <v>2013</v>
      </c>
      <c r="H2620" s="22" t="n">
        <v>256000</v>
      </c>
      <c r="I2620" s="23" t="n">
        <v>60000</v>
      </c>
      <c r="J2620" s="20" t="inlineStr">
        <is>
          <t>SAI MARUTI</t>
        </is>
      </c>
      <c r="K2620" s="20" t="inlineStr">
        <is>
          <t>Non-Captive</t>
        </is>
      </c>
      <c r="L2620" s="20" t="inlineStr">
        <is>
          <t>RAFEEK T A</t>
        </is>
      </c>
      <c r="M2620" s="23" t="n">
        <v>8474.58</v>
      </c>
      <c r="N2620" s="23" t="n">
        <v>10000</v>
      </c>
      <c r="O2620" s="24">
        <f>IF(AND(ISNUMBER(M2620), ISNUMBER(I2620), I2620&gt;0), M2620/I2620, "")</f>
        <v/>
      </c>
    </row>
    <row r="2621">
      <c r="A2621" s="19" t="inlineStr">
        <is>
          <t>FY27</t>
        </is>
      </c>
      <c r="B2621" s="19" t="inlineStr">
        <is>
          <t>Jun</t>
        </is>
      </c>
      <c r="C2621" s="19" t="inlineStr">
        <is>
          <t>Kerala</t>
        </is>
      </c>
      <c r="D2621" s="20" t="inlineStr">
        <is>
          <t>KL42N5612</t>
        </is>
      </c>
      <c r="E2621" s="20" t="inlineStr">
        <is>
          <t>TOYOTA</t>
        </is>
      </c>
      <c r="F2621" s="20" t="inlineStr">
        <is>
          <t>Corolla</t>
        </is>
      </c>
      <c r="G2621" s="21" t="n">
        <v>2006</v>
      </c>
      <c r="H2621" s="22" t="n">
        <v>97400</v>
      </c>
      <c r="I2621" s="23" t="n">
        <v>110000</v>
      </c>
      <c r="J2621" s="20" t="inlineStr">
        <is>
          <t>EVM SKODA</t>
        </is>
      </c>
      <c r="K2621" s="20" t="inlineStr">
        <is>
          <t>Non-Captive</t>
        </is>
      </c>
      <c r="L2621" s="20" t="inlineStr">
        <is>
          <t>DINESH P S</t>
        </is>
      </c>
      <c r="M2621" s="23" t="n">
        <v>8474.58</v>
      </c>
      <c r="N2621" s="23" t="n">
        <v>10000</v>
      </c>
      <c r="O2621" s="24">
        <f>IF(AND(ISNUMBER(M2621), ISNUMBER(I2621), I2621&gt;0), M2621/I2621, "")</f>
        <v/>
      </c>
    </row>
    <row r="2622">
      <c r="A2622" s="19" t="inlineStr">
        <is>
          <t>FY27</t>
        </is>
      </c>
      <c r="B2622" s="19" t="inlineStr">
        <is>
          <t>Jun</t>
        </is>
      </c>
      <c r="C2622" s="19" t="inlineStr">
        <is>
          <t>Kerala</t>
        </is>
      </c>
      <c r="D2622" s="20" t="inlineStr">
        <is>
          <t>KL05AP5775</t>
        </is>
      </c>
      <c r="E2622" s="20" t="inlineStr">
        <is>
          <t>FORD</t>
        </is>
      </c>
      <c r="F2622" s="20" t="inlineStr">
        <is>
          <t>Figo</t>
        </is>
      </c>
      <c r="G2622" s="21" t="n">
        <v>2017</v>
      </c>
      <c r="H2622" s="22" t="n">
        <v>99547</v>
      </c>
      <c r="I2622" s="23" t="n">
        <v>235000</v>
      </c>
      <c r="J2622" s="20" t="inlineStr">
        <is>
          <t>PHOENIX VOLKSWAGEN</t>
        </is>
      </c>
      <c r="K2622" s="20" t="inlineStr">
        <is>
          <t>Non-Captive</t>
        </is>
      </c>
      <c r="L2622" s="20" t="inlineStr">
        <is>
          <t>AITOS CARS</t>
        </is>
      </c>
      <c r="M2622" s="23" t="n">
        <v>8474.58</v>
      </c>
      <c r="N2622" s="23" t="n">
        <v>10000</v>
      </c>
      <c r="O2622" s="24">
        <f>IF(AND(ISNUMBER(M2622), ISNUMBER(I2622), I2622&gt;0), M2622/I2622, "")</f>
        <v/>
      </c>
    </row>
    <row r="2623">
      <c r="A2623" s="19" t="inlineStr">
        <is>
          <t>FY27</t>
        </is>
      </c>
      <c r="B2623" s="19" t="inlineStr">
        <is>
          <t>Jun</t>
        </is>
      </c>
      <c r="C2623" s="19" t="inlineStr">
        <is>
          <t>Kerala</t>
        </is>
      </c>
      <c r="D2623" s="20" t="inlineStr">
        <is>
          <t>KL04AH4379</t>
        </is>
      </c>
      <c r="E2623" s="20" t="inlineStr">
        <is>
          <t>VOLKSWAGEN</t>
        </is>
      </c>
      <c r="F2623" s="20" t="inlineStr">
        <is>
          <t>Polo</t>
        </is>
      </c>
      <c r="G2623" s="21" t="n">
        <v>2015</v>
      </c>
      <c r="H2623" s="22" t="n">
        <v>89864</v>
      </c>
      <c r="I2623" s="23" t="n">
        <v>268000</v>
      </c>
      <c r="J2623" s="20" t="inlineStr">
        <is>
          <t>POPULAR MARUTI</t>
        </is>
      </c>
      <c r="K2623" s="20" t="inlineStr">
        <is>
          <t>Non-Captive</t>
        </is>
      </c>
      <c r="L2623" s="20" t="inlineStr">
        <is>
          <t>SANOOB V A</t>
        </is>
      </c>
      <c r="M2623" s="23" t="n">
        <v>8813.559999999999</v>
      </c>
      <c r="N2623" s="23" t="n">
        <v>10400</v>
      </c>
      <c r="O2623" s="24">
        <f>IF(AND(ISNUMBER(M2623), ISNUMBER(I2623), I2623&gt;0), M2623/I2623, "")</f>
        <v/>
      </c>
    </row>
    <row r="2624">
      <c r="A2624" s="19" t="inlineStr">
        <is>
          <t>FY27</t>
        </is>
      </c>
      <c r="B2624" s="19" t="inlineStr">
        <is>
          <t>Jun</t>
        </is>
      </c>
      <c r="C2624" s="19" t="inlineStr">
        <is>
          <t>Kerala</t>
        </is>
      </c>
      <c r="D2624" s="20" t="inlineStr">
        <is>
          <t>KL468858</t>
        </is>
      </c>
      <c r="E2624" s="20" t="inlineStr">
        <is>
          <t>MARUTI SUZUKI</t>
        </is>
      </c>
      <c r="F2624" s="20" t="inlineStr">
        <is>
          <t>Omni</t>
        </is>
      </c>
      <c r="G2624" s="21" t="n">
        <v>2007</v>
      </c>
      <c r="H2624" s="22" t="n">
        <v>74234</v>
      </c>
      <c r="I2624" s="23" t="n">
        <v>40000</v>
      </c>
      <c r="J2624" s="20" t="inlineStr">
        <is>
          <t>POPULAR MARUTI</t>
        </is>
      </c>
      <c r="K2624" s="20" t="inlineStr">
        <is>
          <t>Non-Captive</t>
        </is>
      </c>
      <c r="L2624" s="20" t="inlineStr">
        <is>
          <t>UMESHKUMAR T U</t>
        </is>
      </c>
      <c r="M2624" s="23" t="n">
        <v>8474.58</v>
      </c>
      <c r="N2624" s="23" t="n">
        <v>10000</v>
      </c>
      <c r="O2624" s="24">
        <f>IF(AND(ISNUMBER(M2624), ISNUMBER(I2624), I2624&gt;0), M2624/I2624, "")</f>
        <v/>
      </c>
    </row>
    <row r="2625">
      <c r="A2625" s="19" t="inlineStr">
        <is>
          <t>FY27</t>
        </is>
      </c>
      <c r="B2625" s="19" t="inlineStr">
        <is>
          <t>Jun</t>
        </is>
      </c>
      <c r="C2625" s="19" t="inlineStr">
        <is>
          <t>Kerala</t>
        </is>
      </c>
      <c r="D2625" s="20" t="inlineStr">
        <is>
          <t>KL14Z2695</t>
        </is>
      </c>
      <c r="E2625" s="20" t="inlineStr">
        <is>
          <t>HYUNDAI</t>
        </is>
      </c>
      <c r="F2625" s="20" t="inlineStr">
        <is>
          <t>I10</t>
        </is>
      </c>
      <c r="G2625" s="21" t="n">
        <v>2020</v>
      </c>
      <c r="H2625" s="22" t="n">
        <v>76000</v>
      </c>
      <c r="I2625" s="23" t="n">
        <v>380000</v>
      </c>
      <c r="J2625" s="20" t="inlineStr">
        <is>
          <t>APCO HYUNDAI</t>
        </is>
      </c>
      <c r="K2625" s="20" t="inlineStr">
        <is>
          <t>Non-Captive</t>
        </is>
      </c>
      <c r="L2625" s="20" t="inlineStr">
        <is>
          <t>SARITH</t>
        </is>
      </c>
      <c r="M2625" s="23" t="n">
        <v>8474.58</v>
      </c>
      <c r="N2625" s="23" t="n">
        <v>10000</v>
      </c>
      <c r="O2625" s="24">
        <f>IF(AND(ISNUMBER(M2625), ISNUMBER(I2625), I2625&gt;0), M2625/I2625, "")</f>
        <v/>
      </c>
    </row>
    <row r="2626">
      <c r="A2626" s="19" t="inlineStr">
        <is>
          <t>FY27</t>
        </is>
      </c>
      <c r="B2626" s="19" t="inlineStr">
        <is>
          <t>Jun</t>
        </is>
      </c>
      <c r="C2626" s="19" t="inlineStr">
        <is>
          <t>Kerala</t>
        </is>
      </c>
      <c r="D2626" s="20" t="inlineStr">
        <is>
          <t>KL07BL8854</t>
        </is>
      </c>
      <c r="E2626" s="20" t="inlineStr">
        <is>
          <t>MARUTI SUZUKI</t>
        </is>
      </c>
      <c r="F2626" s="20" t="inlineStr">
        <is>
          <t>Alto</t>
        </is>
      </c>
      <c r="G2626" s="21" t="n">
        <v>2009</v>
      </c>
      <c r="H2626" s="22" t="n">
        <v>90000</v>
      </c>
      <c r="I2626" s="23" t="n">
        <v>80000</v>
      </c>
      <c r="J2626" s="20" t="inlineStr">
        <is>
          <t>POPULAR MARUTI</t>
        </is>
      </c>
      <c r="K2626" s="20" t="inlineStr">
        <is>
          <t>Non-Captive</t>
        </is>
      </c>
      <c r="L2626" s="20" t="inlineStr">
        <is>
          <t>SUMESH CHOYS CARS</t>
        </is>
      </c>
      <c r="M2626" s="23" t="n">
        <v>8474.58</v>
      </c>
      <c r="N2626" s="23" t="n">
        <v>10000</v>
      </c>
      <c r="O2626" s="24">
        <f>IF(AND(ISNUMBER(M2626), ISNUMBER(I2626), I2626&gt;0), M2626/I2626, "")</f>
        <v/>
      </c>
    </row>
    <row r="2627">
      <c r="A2627" s="19" t="inlineStr">
        <is>
          <t>FY27</t>
        </is>
      </c>
      <c r="B2627" s="19" t="inlineStr">
        <is>
          <t>Jun</t>
        </is>
      </c>
      <c r="C2627" s="19" t="inlineStr">
        <is>
          <t>Kerala</t>
        </is>
      </c>
      <c r="D2627" s="20" t="inlineStr">
        <is>
          <t>KL13AG3334</t>
        </is>
      </c>
      <c r="E2627" s="20" t="inlineStr">
        <is>
          <t>HONDA</t>
        </is>
      </c>
      <c r="F2627" s="20" t="inlineStr">
        <is>
          <t>Jazz</t>
        </is>
      </c>
      <c r="G2627" s="21" t="n">
        <v>2016</v>
      </c>
      <c r="H2627" s="22" t="n">
        <v>77000</v>
      </c>
      <c r="I2627" s="23" t="n">
        <v>375000</v>
      </c>
      <c r="J2627" s="20" t="inlineStr">
        <is>
          <t>DKH KIA</t>
        </is>
      </c>
      <c r="K2627" s="20" t="inlineStr">
        <is>
          <t>Non-Captive</t>
        </is>
      </c>
      <c r="L2627" s="20" t="inlineStr">
        <is>
          <t>NADIR</t>
        </is>
      </c>
      <c r="M2627" s="23" t="n">
        <v>8474.58</v>
      </c>
      <c r="N2627" s="23" t="n">
        <v>10000</v>
      </c>
      <c r="O2627" s="24">
        <f>IF(AND(ISNUMBER(M2627), ISNUMBER(I2627), I2627&gt;0), M2627/I2627, "")</f>
        <v/>
      </c>
    </row>
    <row r="2628">
      <c r="A2628" s="19" t="inlineStr">
        <is>
          <t>FY27</t>
        </is>
      </c>
      <c r="B2628" s="19" t="inlineStr">
        <is>
          <t>Jun</t>
        </is>
      </c>
      <c r="C2628" s="19" t="inlineStr">
        <is>
          <t>Kerala</t>
        </is>
      </c>
      <c r="D2628" s="20" t="inlineStr">
        <is>
          <t>KL10AN1022</t>
        </is>
      </c>
      <c r="E2628" s="20" t="inlineStr">
        <is>
          <t>HYUNDAI</t>
        </is>
      </c>
      <c r="F2628" s="20" t="inlineStr">
        <is>
          <t>Eon</t>
        </is>
      </c>
      <c r="G2628" s="21" t="n">
        <v>2012</v>
      </c>
      <c r="H2628" s="22" t="n">
        <v>90000</v>
      </c>
      <c r="I2628" s="23" t="n">
        <v>100000</v>
      </c>
      <c r="J2628" s="20" t="inlineStr">
        <is>
          <t>POPULAR MARUTI</t>
        </is>
      </c>
      <c r="K2628" s="20" t="inlineStr">
        <is>
          <t>Non-Captive</t>
        </is>
      </c>
      <c r="L2628" s="20" t="inlineStr">
        <is>
          <t>HAMSA</t>
        </is>
      </c>
      <c r="M2628" s="23" t="n">
        <v>8474.58</v>
      </c>
      <c r="N2628" s="23" t="n">
        <v>10000</v>
      </c>
      <c r="O2628" s="24">
        <f>IF(AND(ISNUMBER(M2628), ISNUMBER(I2628), I2628&gt;0), M2628/I2628, "")</f>
        <v/>
      </c>
    </row>
    <row r="2629">
      <c r="A2629" s="19" t="inlineStr">
        <is>
          <t>FY27</t>
        </is>
      </c>
      <c r="B2629" s="19" t="inlineStr">
        <is>
          <t>Jun</t>
        </is>
      </c>
      <c r="C2629" s="19" t="inlineStr">
        <is>
          <t>Kerala</t>
        </is>
      </c>
      <c r="D2629" s="20" t="inlineStr">
        <is>
          <t>KL55G0510</t>
        </is>
      </c>
      <c r="E2629" s="20" t="inlineStr">
        <is>
          <t>HYUNDAI</t>
        </is>
      </c>
      <c r="F2629" s="20" t="inlineStr">
        <is>
          <t>I10</t>
        </is>
      </c>
      <c r="G2629" s="21" t="n">
        <v>2010</v>
      </c>
      <c r="H2629" s="22" t="n">
        <v>130000</v>
      </c>
      <c r="I2629" s="23" t="n">
        <v>117000</v>
      </c>
      <c r="J2629" s="20" t="inlineStr">
        <is>
          <t>AMANA TOYOTA</t>
        </is>
      </c>
      <c r="K2629" s="20" t="inlineStr">
        <is>
          <t>Non-Captive</t>
        </is>
      </c>
      <c r="L2629" s="20" t="inlineStr">
        <is>
          <t>SARITH R</t>
        </is>
      </c>
      <c r="M2629" s="23" t="n">
        <v>5932.2</v>
      </c>
      <c r="N2629" s="23" t="n">
        <v>7000</v>
      </c>
      <c r="O2629" s="24">
        <f>IF(AND(ISNUMBER(M2629), ISNUMBER(I2629), I2629&gt;0), M2629/I2629, "")</f>
        <v/>
      </c>
    </row>
    <row r="2630">
      <c r="A2630" s="19" t="inlineStr">
        <is>
          <t>FY27</t>
        </is>
      </c>
      <c r="B2630" s="19" t="inlineStr">
        <is>
          <t>Jun</t>
        </is>
      </c>
      <c r="C2630" s="19" t="inlineStr">
        <is>
          <t>Kerala</t>
        </is>
      </c>
      <c r="D2630" s="20" t="inlineStr">
        <is>
          <t>KL18C2449</t>
        </is>
      </c>
      <c r="E2630" s="20" t="inlineStr">
        <is>
          <t>MARUTI SUZUKI</t>
        </is>
      </c>
      <c r="F2630" s="20" t="inlineStr">
        <is>
          <t>Alto</t>
        </is>
      </c>
      <c r="G2630" s="21" t="n">
        <v>2006</v>
      </c>
      <c r="H2630" s="22" t="n">
        <v>200000</v>
      </c>
      <c r="I2630" s="23" t="n">
        <v>6000</v>
      </c>
      <c r="J2630" s="20" t="inlineStr">
        <is>
          <t>POPULAR MARUTI</t>
        </is>
      </c>
      <c r="K2630" s="20" t="inlineStr">
        <is>
          <t>Non-Captive</t>
        </is>
      </c>
      <c r="L2630" s="20" t="inlineStr">
        <is>
          <t>AUTOTRUST</t>
        </is>
      </c>
      <c r="M2630" s="23" t="n">
        <v>5084.75</v>
      </c>
      <c r="N2630" s="23" t="n">
        <v>6000</v>
      </c>
      <c r="O2630" s="24">
        <f>IF(AND(ISNUMBER(M2630), ISNUMBER(I2630), I2630&gt;0), M2630/I2630, "")</f>
        <v/>
      </c>
    </row>
    <row r="2631">
      <c r="A2631" s="19" t="inlineStr">
        <is>
          <t>FY27</t>
        </is>
      </c>
      <c r="B2631" s="19" t="inlineStr">
        <is>
          <t>Jun</t>
        </is>
      </c>
      <c r="C2631" s="19" t="inlineStr">
        <is>
          <t>Kerala</t>
        </is>
      </c>
      <c r="D2631" s="20" t="inlineStr">
        <is>
          <t>KL01CQ4227</t>
        </is>
      </c>
      <c r="E2631" s="20" t="inlineStr">
        <is>
          <t>RENAULT</t>
        </is>
      </c>
      <c r="F2631" s="20" t="inlineStr">
        <is>
          <t>Triber</t>
        </is>
      </c>
      <c r="G2631" s="21" t="n">
        <v>2020</v>
      </c>
      <c r="H2631" s="22" t="n">
        <v>65951</v>
      </c>
      <c r="I2631" s="23" t="n">
        <v>390000</v>
      </c>
      <c r="J2631" s="20" t="inlineStr">
        <is>
          <t>INCHEON KIA</t>
        </is>
      </c>
      <c r="K2631" s="20" t="inlineStr">
        <is>
          <t>Non-Captive</t>
        </is>
      </c>
      <c r="L2631" s="20" t="inlineStr">
        <is>
          <t>UMESHKUMAR T U</t>
        </is>
      </c>
      <c r="M2631" s="23" t="n">
        <v>8474.58</v>
      </c>
      <c r="N2631" s="23" t="n">
        <v>10000</v>
      </c>
      <c r="O2631" s="24">
        <f>IF(AND(ISNUMBER(M2631), ISNUMBER(I2631), I2631&gt;0), M2631/I2631, "")</f>
        <v/>
      </c>
    </row>
    <row r="2632">
      <c r="A2632" s="19" t="inlineStr">
        <is>
          <t>FY27</t>
        </is>
      </c>
      <c r="B2632" s="19" t="inlineStr">
        <is>
          <t>Jun</t>
        </is>
      </c>
      <c r="C2632" s="19" t="inlineStr">
        <is>
          <t>Kerala</t>
        </is>
      </c>
      <c r="D2632" s="20" t="inlineStr">
        <is>
          <t>KL07CF6157</t>
        </is>
      </c>
      <c r="E2632" s="20" t="inlineStr">
        <is>
          <t>MARUTI SUZUKI</t>
        </is>
      </c>
      <c r="F2632" s="20" t="inlineStr">
        <is>
          <t>Wagon R</t>
        </is>
      </c>
      <c r="G2632" s="21" t="n">
        <v>2016</v>
      </c>
      <c r="H2632" s="22" t="n">
        <v>43500</v>
      </c>
      <c r="I2632" s="23" t="n">
        <v>340000</v>
      </c>
      <c r="J2632" s="20" t="inlineStr">
        <is>
          <t>KESHVIN HYUNDAI</t>
        </is>
      </c>
      <c r="K2632" s="20" t="inlineStr">
        <is>
          <t>Non-Captive</t>
        </is>
      </c>
      <c r="L2632" s="20" t="inlineStr">
        <is>
          <t>4 wheel drive</t>
        </is>
      </c>
      <c r="M2632" s="23" t="n">
        <v>8474.58</v>
      </c>
      <c r="N2632" s="23" t="n">
        <v>10000</v>
      </c>
      <c r="O2632" s="24">
        <f>IF(AND(ISNUMBER(M2632), ISNUMBER(I2632), I2632&gt;0), M2632/I2632, "")</f>
        <v/>
      </c>
    </row>
    <row r="2633">
      <c r="A2633" s="19" t="inlineStr">
        <is>
          <t>FY27</t>
        </is>
      </c>
      <c r="B2633" s="19" t="inlineStr">
        <is>
          <t>Jun</t>
        </is>
      </c>
      <c r="C2633" s="19" t="inlineStr">
        <is>
          <t>Kerala</t>
        </is>
      </c>
      <c r="D2633" s="20" t="inlineStr">
        <is>
          <t>KL24B2560</t>
        </is>
      </c>
      <c r="E2633" s="20" t="inlineStr">
        <is>
          <t>MARUTI SUZUKI</t>
        </is>
      </c>
      <c r="F2633" s="20" t="inlineStr">
        <is>
          <t>Wagon R</t>
        </is>
      </c>
      <c r="G2633" s="21" t="n">
        <v>2009</v>
      </c>
      <c r="H2633" s="22" t="n">
        <v>106554</v>
      </c>
      <c r="I2633" s="23" t="n">
        <v>105000</v>
      </c>
      <c r="J2633" s="20" t="inlineStr">
        <is>
          <t>POPULAR MARUTI</t>
        </is>
      </c>
      <c r="K2633" s="20" t="inlineStr">
        <is>
          <t>Non-Captive</t>
        </is>
      </c>
      <c r="L2633" s="20" t="inlineStr">
        <is>
          <t>MAXX MOTORS</t>
        </is>
      </c>
      <c r="M2633" s="23" t="n">
        <v>8474.58</v>
      </c>
      <c r="N2633" s="23" t="n">
        <v>10000</v>
      </c>
      <c r="O2633" s="24">
        <f>IF(AND(ISNUMBER(M2633), ISNUMBER(I2633), I2633&gt;0), M2633/I2633, "")</f>
        <v/>
      </c>
    </row>
    <row r="2634">
      <c r="A2634" s="19" t="inlineStr">
        <is>
          <t>FY27</t>
        </is>
      </c>
      <c r="B2634" s="19" t="inlineStr">
        <is>
          <t>Jun</t>
        </is>
      </c>
      <c r="C2634" s="19" t="inlineStr">
        <is>
          <t>Kerala</t>
        </is>
      </c>
      <c r="D2634" s="20" t="inlineStr">
        <is>
          <t>KL32Q2534</t>
        </is>
      </c>
      <c r="E2634" s="20" t="inlineStr">
        <is>
          <t>MARUTI SUZUKI</t>
        </is>
      </c>
      <c r="F2634" s="20" t="inlineStr">
        <is>
          <t>S-Presso</t>
        </is>
      </c>
      <c r="G2634" s="21" t="n">
        <v>2019</v>
      </c>
      <c r="H2634" s="22" t="n">
        <v>52434</v>
      </c>
      <c r="I2634" s="23" t="n">
        <v>375000</v>
      </c>
      <c r="J2634" s="20" t="inlineStr">
        <is>
          <t>LUXON</t>
        </is>
      </c>
      <c r="K2634" s="20" t="inlineStr">
        <is>
          <t>Non-Captive</t>
        </is>
      </c>
      <c r="L2634" s="20" t="inlineStr">
        <is>
          <t>4 wheel drive</t>
        </is>
      </c>
      <c r="M2634" s="23" t="n">
        <v>12711.86</v>
      </c>
      <c r="N2634" s="23" t="n">
        <v>15000</v>
      </c>
      <c r="O2634" s="24">
        <f>IF(AND(ISNUMBER(M2634), ISNUMBER(I2634), I2634&gt;0), M2634/I2634, "")</f>
        <v/>
      </c>
    </row>
    <row r="2635">
      <c r="A2635" s="19" t="inlineStr">
        <is>
          <t>FY27</t>
        </is>
      </c>
      <c r="B2635" s="19" t="inlineStr">
        <is>
          <t>Jun</t>
        </is>
      </c>
      <c r="C2635" s="19" t="inlineStr">
        <is>
          <t>Kerala</t>
        </is>
      </c>
      <c r="D2635" s="20" t="inlineStr">
        <is>
          <t>KL07CY9107</t>
        </is>
      </c>
      <c r="E2635" s="20" t="inlineStr">
        <is>
          <t>TATA</t>
        </is>
      </c>
      <c r="F2635" s="20" t="inlineStr">
        <is>
          <t>Nexon</t>
        </is>
      </c>
      <c r="G2635" s="21" t="n">
        <v>2022</v>
      </c>
      <c r="H2635" s="22" t="n">
        <v>25673</v>
      </c>
      <c r="I2635" s="23" t="n">
        <v>940000</v>
      </c>
      <c r="J2635" s="20" t="inlineStr">
        <is>
          <t>PHOENIX VOLKSWAGEN</t>
        </is>
      </c>
      <c r="K2635" s="20" t="inlineStr">
        <is>
          <t>Non-Captive</t>
        </is>
      </c>
      <c r="L2635" s="20" t="inlineStr">
        <is>
          <t>UMESHKUMAR T U</t>
        </is>
      </c>
      <c r="M2635" s="23" t="n">
        <v>8474.58</v>
      </c>
      <c r="N2635" s="23" t="n">
        <v>10000</v>
      </c>
      <c r="O2635" s="24">
        <f>IF(AND(ISNUMBER(M2635), ISNUMBER(I2635), I2635&gt;0), M2635/I2635, "")</f>
        <v/>
      </c>
    </row>
    <row r="2636">
      <c r="A2636" s="19" t="inlineStr">
        <is>
          <t>FY27</t>
        </is>
      </c>
      <c r="B2636" s="19" t="inlineStr">
        <is>
          <t>Jun</t>
        </is>
      </c>
      <c r="C2636" s="19" t="inlineStr">
        <is>
          <t>Kerala</t>
        </is>
      </c>
      <c r="D2636" s="20" t="inlineStr">
        <is>
          <t>KL42F8686</t>
        </is>
      </c>
      <c r="E2636" s="20" t="inlineStr">
        <is>
          <t>VW</t>
        </is>
      </c>
      <c r="F2636" s="20" t="inlineStr">
        <is>
          <t>Polo</t>
        </is>
      </c>
      <c r="G2636" s="21" t="n">
        <v>2012</v>
      </c>
      <c r="H2636" s="22" t="n">
        <v>92800</v>
      </c>
      <c r="I2636" s="23" t="n">
        <v>95000</v>
      </c>
      <c r="J2636" s="20" t="inlineStr">
        <is>
          <t>CBC MAHINDRA</t>
        </is>
      </c>
      <c r="K2636" s="20" t="inlineStr">
        <is>
          <t>Non-Captive</t>
        </is>
      </c>
      <c r="L2636" s="20" t="inlineStr">
        <is>
          <t>KISHORE</t>
        </is>
      </c>
      <c r="M2636" s="23" t="n">
        <v>4237.29</v>
      </c>
      <c r="N2636" s="23" t="n">
        <v>5000</v>
      </c>
      <c r="O2636" s="24">
        <f>IF(AND(ISNUMBER(M2636), ISNUMBER(I2636), I2636&gt;0), M2636/I2636, "")</f>
        <v/>
      </c>
    </row>
    <row r="2637">
      <c r="A2637" s="19" t="inlineStr">
        <is>
          <t>FY27</t>
        </is>
      </c>
      <c r="B2637" s="19" t="inlineStr">
        <is>
          <t>Jun</t>
        </is>
      </c>
      <c r="C2637" s="19" t="inlineStr">
        <is>
          <t>Kerala</t>
        </is>
      </c>
      <c r="D2637" s="20" t="inlineStr">
        <is>
          <t>KL24J3001</t>
        </is>
      </c>
      <c r="E2637" s="20" t="inlineStr">
        <is>
          <t>HONDA</t>
        </is>
      </c>
      <c r="F2637" s="20" t="inlineStr">
        <is>
          <t>City</t>
        </is>
      </c>
      <c r="G2637" s="21" t="n">
        <v>2014</v>
      </c>
      <c r="H2637" s="22" t="n">
        <v>181000</v>
      </c>
      <c r="I2637" s="23" t="n">
        <v>281000</v>
      </c>
      <c r="J2637" s="20" t="inlineStr">
        <is>
          <t>CBC MAHINDRA</t>
        </is>
      </c>
      <c r="K2637" s="20" t="inlineStr">
        <is>
          <t>Non-Captive</t>
        </is>
      </c>
      <c r="L2637" s="20" t="inlineStr">
        <is>
          <t>Dileep S</t>
        </is>
      </c>
      <c r="M2637" s="23" t="n">
        <v>5084.75</v>
      </c>
      <c r="N2637" s="23" t="n">
        <v>6000</v>
      </c>
      <c r="O2637" s="24">
        <f>IF(AND(ISNUMBER(M2637), ISNUMBER(I2637), I2637&gt;0), M2637/I2637, "")</f>
        <v/>
      </c>
    </row>
    <row r="2638">
      <c r="A2638" s="19" t="inlineStr">
        <is>
          <t>FY27</t>
        </is>
      </c>
      <c r="B2638" s="19" t="inlineStr">
        <is>
          <t>Jun</t>
        </is>
      </c>
      <c r="C2638" s="19" t="inlineStr">
        <is>
          <t>Kerala</t>
        </is>
      </c>
      <c r="D2638" s="20" t="inlineStr">
        <is>
          <t>KL58AA8135</t>
        </is>
      </c>
      <c r="E2638" s="20" t="inlineStr">
        <is>
          <t>DATSUN</t>
        </is>
      </c>
      <c r="F2638" s="20" t="inlineStr">
        <is>
          <t>Go</t>
        </is>
      </c>
      <c r="G2638" s="21" t="n">
        <v>2019</v>
      </c>
      <c r="H2638" s="22" t="n">
        <v>23000</v>
      </c>
      <c r="I2638" s="23" t="n">
        <v>165000</v>
      </c>
      <c r="J2638" s="20" t="inlineStr">
        <is>
          <t>INDUS MARUTI</t>
        </is>
      </c>
      <c r="K2638" s="20" t="inlineStr">
        <is>
          <t>Non-Captive</t>
        </is>
      </c>
      <c r="L2638" s="20" t="inlineStr">
        <is>
          <t>THANSIR</t>
        </is>
      </c>
      <c r="M2638" s="23" t="n">
        <v>4237.29</v>
      </c>
      <c r="N2638" s="23" t="n">
        <v>5000</v>
      </c>
      <c r="O2638" s="24">
        <f>IF(AND(ISNUMBER(M2638), ISNUMBER(I2638), I2638&gt;0), M2638/I2638, "")</f>
        <v/>
      </c>
    </row>
    <row r="2639">
      <c r="A2639" s="19" t="inlineStr">
        <is>
          <t>FY27</t>
        </is>
      </c>
      <c r="B2639" s="19" t="inlineStr">
        <is>
          <t>Jun</t>
        </is>
      </c>
      <c r="C2639" s="19" t="inlineStr">
        <is>
          <t>Kerala</t>
        </is>
      </c>
      <c r="D2639" s="20" t="inlineStr">
        <is>
          <t>KL58AE0064</t>
        </is>
      </c>
      <c r="E2639" s="20" t="inlineStr">
        <is>
          <t>KIA</t>
        </is>
      </c>
      <c r="F2639" s="20" t="inlineStr">
        <is>
          <t>Seltos</t>
        </is>
      </c>
      <c r="G2639" s="21" t="n">
        <v>2021</v>
      </c>
      <c r="H2639" s="22" t="n">
        <v>60000</v>
      </c>
      <c r="I2639" s="23" t="n">
        <v>870000</v>
      </c>
      <c r="J2639" s="20" t="inlineStr">
        <is>
          <t>DKH KIA</t>
        </is>
      </c>
      <c r="K2639" s="20" t="inlineStr">
        <is>
          <t>Non-Captive</t>
        </is>
      </c>
      <c r="L2639" s="20" t="inlineStr">
        <is>
          <t>ATTASSERY THABSHEER</t>
        </is>
      </c>
      <c r="M2639" s="23" t="n">
        <v>8474.58</v>
      </c>
      <c r="N2639" s="23" t="n">
        <v>10000</v>
      </c>
      <c r="O2639" s="24">
        <f>IF(AND(ISNUMBER(M2639), ISNUMBER(I2639), I2639&gt;0), M2639/I2639, "")</f>
        <v/>
      </c>
    </row>
    <row r="2640">
      <c r="A2640" s="19" t="inlineStr">
        <is>
          <t>FY27</t>
        </is>
      </c>
      <c r="B2640" s="19" t="inlineStr">
        <is>
          <t>Jun</t>
        </is>
      </c>
      <c r="C2640" s="19" t="inlineStr">
        <is>
          <t>Kerala</t>
        </is>
      </c>
      <c r="D2640" s="20" t="inlineStr">
        <is>
          <t>KL21W9317</t>
        </is>
      </c>
      <c r="E2640" s="20" t="inlineStr">
        <is>
          <t>MARUTI SUZUKI</t>
        </is>
      </c>
      <c r="F2640" s="20" t="inlineStr">
        <is>
          <t>Swift Dzire</t>
        </is>
      </c>
      <c r="G2640" s="21" t="n">
        <v>2021</v>
      </c>
      <c r="H2640" s="22" t="n">
        <v>67885</v>
      </c>
      <c r="I2640" s="23" t="n">
        <v>448000</v>
      </c>
      <c r="J2640" s="20" t="inlineStr">
        <is>
          <t>POPULAR MARUTI</t>
        </is>
      </c>
      <c r="K2640" s="20" t="inlineStr">
        <is>
          <t>Non-Captive</t>
        </is>
      </c>
      <c r="L2640" s="20" t="inlineStr">
        <is>
          <t>RATHEESH</t>
        </is>
      </c>
      <c r="M2640" s="23" t="n">
        <v>6779.66</v>
      </c>
      <c r="N2640" s="23" t="n">
        <v>8000</v>
      </c>
      <c r="O2640" s="24">
        <f>IF(AND(ISNUMBER(M2640), ISNUMBER(I2640), I2640&gt;0), M2640/I2640, "")</f>
        <v/>
      </c>
    </row>
    <row r="2641">
      <c r="A2641" s="19" t="inlineStr">
        <is>
          <t>FY27</t>
        </is>
      </c>
      <c r="B2641" s="19" t="inlineStr">
        <is>
          <t>Jun</t>
        </is>
      </c>
      <c r="C2641" s="19" t="inlineStr">
        <is>
          <t>Kerala</t>
        </is>
      </c>
      <c r="D2641" s="20" t="inlineStr">
        <is>
          <t>KL01BJ5173</t>
        </is>
      </c>
      <c r="E2641" s="20" t="inlineStr">
        <is>
          <t>MARUTI SUZUKI</t>
        </is>
      </c>
      <c r="F2641" s="20" t="inlineStr">
        <is>
          <t>Alto K10</t>
        </is>
      </c>
      <c r="G2641" s="21" t="n">
        <v>2012</v>
      </c>
      <c r="H2641" s="22" t="n">
        <v>88994</v>
      </c>
      <c r="I2641" s="23" t="n">
        <v>92000</v>
      </c>
      <c r="J2641" s="20" t="inlineStr">
        <is>
          <t>POPULAR MARUTI</t>
        </is>
      </c>
      <c r="K2641" s="20" t="inlineStr">
        <is>
          <t>Non-Captive</t>
        </is>
      </c>
      <c r="L2641" s="20" t="inlineStr">
        <is>
          <t>RATHEESH</t>
        </is>
      </c>
      <c r="M2641" s="23" t="n">
        <v>5932.2</v>
      </c>
      <c r="N2641" s="23" t="n">
        <v>7000</v>
      </c>
      <c r="O2641" s="24">
        <f>IF(AND(ISNUMBER(M2641), ISNUMBER(I2641), I2641&gt;0), M2641/I2641, "")</f>
        <v/>
      </c>
    </row>
    <row r="2642">
      <c r="A2642" s="19" t="inlineStr">
        <is>
          <t>FY27</t>
        </is>
      </c>
      <c r="B2642" s="19" t="inlineStr">
        <is>
          <t>Jun</t>
        </is>
      </c>
      <c r="C2642" s="19" t="inlineStr">
        <is>
          <t>Kerala</t>
        </is>
      </c>
      <c r="D2642" s="20" t="inlineStr">
        <is>
          <t>KL01BD7133</t>
        </is>
      </c>
      <c r="E2642" s="20" t="inlineStr">
        <is>
          <t>NISSAN</t>
        </is>
      </c>
      <c r="F2642" s="20" t="inlineStr">
        <is>
          <t>Magnite</t>
        </is>
      </c>
      <c r="G2642" s="21" t="n">
        <v>2011</v>
      </c>
      <c r="H2642" s="22" t="n">
        <v>19800</v>
      </c>
      <c r="I2642" s="23" t="n">
        <v>407000</v>
      </c>
      <c r="J2642" s="20" t="inlineStr">
        <is>
          <t>INCHEON KIA</t>
        </is>
      </c>
      <c r="K2642" s="20" t="inlineStr">
        <is>
          <t>Non-Captive</t>
        </is>
      </c>
      <c r="L2642" s="20" t="inlineStr">
        <is>
          <t>ABHISHEK</t>
        </is>
      </c>
      <c r="M2642" s="23" t="n">
        <v>5932.2</v>
      </c>
      <c r="N2642" s="23" t="n">
        <v>7000</v>
      </c>
      <c r="O2642" s="24">
        <f>IF(AND(ISNUMBER(M2642), ISNUMBER(I2642), I2642&gt;0), M2642/I2642, "")</f>
        <v/>
      </c>
    </row>
    <row r="2643">
      <c r="A2643" s="19" t="inlineStr">
        <is>
          <t>FY27</t>
        </is>
      </c>
      <c r="B2643" s="19" t="inlineStr">
        <is>
          <t>Jun</t>
        </is>
      </c>
      <c r="C2643" s="19" t="inlineStr">
        <is>
          <t>Kerala</t>
        </is>
      </c>
      <c r="D2643" s="20" t="inlineStr">
        <is>
          <t>KL01BN4901</t>
        </is>
      </c>
      <c r="E2643" s="20" t="inlineStr">
        <is>
          <t>MARUTI SUZUKI</t>
        </is>
      </c>
      <c r="F2643" s="20" t="inlineStr">
        <is>
          <t>Ritz</t>
        </is>
      </c>
      <c r="G2643" s="21" t="n">
        <v>2013</v>
      </c>
      <c r="H2643" s="22" t="n">
        <v>93882</v>
      </c>
      <c r="I2643" s="23" t="n">
        <v>195000</v>
      </c>
      <c r="J2643" s="20" t="inlineStr">
        <is>
          <t>POPULAR MARUTI</t>
        </is>
      </c>
      <c r="K2643" s="20" t="inlineStr">
        <is>
          <t>Non-Captive</t>
        </is>
      </c>
      <c r="L2643" s="20" t="inlineStr">
        <is>
          <t>RATHEESH</t>
        </is>
      </c>
      <c r="M2643" s="23" t="n">
        <v>8474.58</v>
      </c>
      <c r="N2643" s="23" t="n">
        <v>10000</v>
      </c>
      <c r="O2643" s="24">
        <f>IF(AND(ISNUMBER(M2643), ISNUMBER(I2643), I2643&gt;0), M2643/I2643, "")</f>
        <v/>
      </c>
    </row>
    <row r="2644">
      <c r="A2644" s="19" t="inlineStr">
        <is>
          <t>FY27</t>
        </is>
      </c>
      <c r="B2644" s="19" t="inlineStr">
        <is>
          <t>Jun</t>
        </is>
      </c>
      <c r="C2644" s="19" t="inlineStr">
        <is>
          <t>Kerala</t>
        </is>
      </c>
      <c r="D2644" s="20" t="inlineStr">
        <is>
          <t>KL85A4196</t>
        </is>
      </c>
      <c r="E2644" s="20" t="inlineStr">
        <is>
          <t>RENAULT</t>
        </is>
      </c>
      <c r="F2644" s="20" t="inlineStr">
        <is>
          <t>Kwid</t>
        </is>
      </c>
      <c r="G2644" s="21" t="n">
        <v>2022</v>
      </c>
      <c r="H2644" s="22" t="n">
        <v>65000</v>
      </c>
      <c r="I2644" s="23" t="n">
        <v>320000</v>
      </c>
      <c r="J2644" s="20" t="inlineStr">
        <is>
          <t>UCD JISHNU</t>
        </is>
      </c>
      <c r="K2644" s="20" t="inlineStr">
        <is>
          <t>Non-Captive</t>
        </is>
      </c>
      <c r="L2644" s="20" t="inlineStr">
        <is>
          <t>VASIL</t>
        </is>
      </c>
      <c r="M2644" s="23" t="n">
        <v>5932.2</v>
      </c>
      <c r="N2644" s="23" t="n">
        <v>7000</v>
      </c>
      <c r="O2644" s="24">
        <f>IF(AND(ISNUMBER(M2644), ISNUMBER(I2644), I2644&gt;0), M2644/I2644, "")</f>
        <v/>
      </c>
    </row>
    <row r="2645">
      <c r="A2645" s="19" t="inlineStr">
        <is>
          <t>FY27</t>
        </is>
      </c>
      <c r="B2645" s="19" t="inlineStr">
        <is>
          <t>Jun</t>
        </is>
      </c>
      <c r="C2645" s="19" t="inlineStr">
        <is>
          <t>Kerala</t>
        </is>
      </c>
      <c r="D2645" s="20" t="inlineStr">
        <is>
          <t>KL58AF9993</t>
        </is>
      </c>
      <c r="E2645" s="20" t="inlineStr">
        <is>
          <t>HYUNDAI</t>
        </is>
      </c>
      <c r="F2645" s="20" t="inlineStr">
        <is>
          <t>I20</t>
        </is>
      </c>
      <c r="G2645" s="21" t="n">
        <v>2022</v>
      </c>
      <c r="H2645" s="22" t="n">
        <v>55000</v>
      </c>
      <c r="I2645" s="23" t="n">
        <v>510000</v>
      </c>
      <c r="J2645" s="20" t="inlineStr">
        <is>
          <t>YESBANK</t>
        </is>
      </c>
      <c r="K2645" s="20" t="inlineStr">
        <is>
          <t>Non-Captive</t>
        </is>
      </c>
      <c r="L2645" s="20" t="inlineStr">
        <is>
          <t>MARVEL CARS</t>
        </is>
      </c>
      <c r="M2645" s="23" t="n">
        <v>8474.58</v>
      </c>
      <c r="N2645" s="23" t="n">
        <v>10000</v>
      </c>
      <c r="O2645" s="24">
        <f>IF(AND(ISNUMBER(M2645), ISNUMBER(I2645), I2645&gt;0), M2645/I2645, "")</f>
        <v/>
      </c>
    </row>
    <row r="2646">
      <c r="A2646" s="19" t="inlineStr">
        <is>
          <t>FY27</t>
        </is>
      </c>
      <c r="B2646" s="19" t="inlineStr">
        <is>
          <t>Jun</t>
        </is>
      </c>
      <c r="C2646" s="19" t="inlineStr">
        <is>
          <t>Kerala</t>
        </is>
      </c>
      <c r="D2646" s="20" t="inlineStr">
        <is>
          <t>KL11BU3142</t>
        </is>
      </c>
      <c r="E2646" s="20" t="inlineStr">
        <is>
          <t>TATA</t>
        </is>
      </c>
      <c r="F2646" s="20" t="inlineStr">
        <is>
          <t>Altroz</t>
        </is>
      </c>
      <c r="G2646" s="21" t="n">
        <v>2021</v>
      </c>
      <c r="H2646" s="22" t="n">
        <v>15000</v>
      </c>
      <c r="I2646" s="23" t="n">
        <v>392000</v>
      </c>
      <c r="J2646" s="20" t="inlineStr">
        <is>
          <t>BIMAL</t>
        </is>
      </c>
      <c r="K2646" s="20" t="inlineStr">
        <is>
          <t>Non-Captive</t>
        </is>
      </c>
      <c r="L2646" s="20" t="inlineStr">
        <is>
          <t>VASIL</t>
        </is>
      </c>
      <c r="M2646" s="23" t="n">
        <v>5932.2</v>
      </c>
      <c r="N2646" s="23" t="n">
        <v>7000</v>
      </c>
      <c r="O2646" s="24">
        <f>IF(AND(ISNUMBER(M2646), ISNUMBER(I2646), I2646&gt;0), M2646/I2646, "")</f>
        <v/>
      </c>
    </row>
    <row r="2647">
      <c r="A2647" s="19" t="inlineStr">
        <is>
          <t>FY27</t>
        </is>
      </c>
      <c r="B2647" s="19" t="inlineStr">
        <is>
          <t>Jun</t>
        </is>
      </c>
      <c r="C2647" s="19" t="inlineStr">
        <is>
          <t>Kerala</t>
        </is>
      </c>
      <c r="D2647" s="20" t="inlineStr">
        <is>
          <t>KL13AU8739</t>
        </is>
      </c>
      <c r="E2647" s="20" t="inlineStr">
        <is>
          <t>MARUTI SUZUKI</t>
        </is>
      </c>
      <c r="F2647" s="20" t="inlineStr">
        <is>
          <t>S-Presso</t>
        </is>
      </c>
      <c r="G2647" s="21" t="n">
        <v>2022</v>
      </c>
      <c r="H2647" s="22" t="n">
        <v>10000</v>
      </c>
      <c r="I2647" s="23" t="n">
        <v>317000</v>
      </c>
      <c r="J2647" s="20" t="inlineStr">
        <is>
          <t>KVR TATA</t>
        </is>
      </c>
      <c r="K2647" s="20" t="inlineStr">
        <is>
          <t>Non-Captive</t>
        </is>
      </c>
      <c r="L2647" s="20" t="inlineStr">
        <is>
          <t>VASIL</t>
        </is>
      </c>
      <c r="M2647" s="23" t="n">
        <v>5932.2</v>
      </c>
      <c r="N2647" s="23" t="n">
        <v>7000</v>
      </c>
      <c r="O2647" s="24">
        <f>IF(AND(ISNUMBER(M2647), ISNUMBER(I2647), I2647&gt;0), M2647/I2647, "")</f>
        <v/>
      </c>
    </row>
    <row r="2648">
      <c r="A2648" s="19" t="inlineStr">
        <is>
          <t>FY27</t>
        </is>
      </c>
      <c r="B2648" s="19" t="inlineStr">
        <is>
          <t>Jun</t>
        </is>
      </c>
      <c r="C2648" s="19" t="inlineStr">
        <is>
          <t>Kerala</t>
        </is>
      </c>
      <c r="D2648" s="20" t="inlineStr">
        <is>
          <t>KL59M4325</t>
        </is>
      </c>
      <c r="E2648" s="20" t="inlineStr">
        <is>
          <t>MARUTI SUZUKI</t>
        </is>
      </c>
      <c r="F2648" s="20" t="inlineStr">
        <is>
          <t>Baleno</t>
        </is>
      </c>
      <c r="G2648" s="21" t="n">
        <v>2015</v>
      </c>
      <c r="H2648" s="22" t="n">
        <v>80000</v>
      </c>
      <c r="I2648" s="23" t="n">
        <v>385000</v>
      </c>
      <c r="J2648" s="20" t="inlineStr">
        <is>
          <t>UCD SANTHOSH</t>
        </is>
      </c>
      <c r="K2648" s="20" t="inlineStr">
        <is>
          <t>Non-Captive</t>
        </is>
      </c>
      <c r="L2648" s="20" t="inlineStr">
        <is>
          <t>RUKSANA</t>
        </is>
      </c>
      <c r="M2648" s="23" t="n">
        <v>8474.58</v>
      </c>
      <c r="N2648" s="23" t="n">
        <v>10000</v>
      </c>
      <c r="O2648" s="24">
        <f>IF(AND(ISNUMBER(M2648), ISNUMBER(I2648), I2648&gt;0), M2648/I2648, "")</f>
        <v/>
      </c>
    </row>
    <row r="2649">
      <c r="A2649" s="19" t="inlineStr">
        <is>
          <t>FY27</t>
        </is>
      </c>
      <c r="B2649" s="19" t="inlineStr">
        <is>
          <t>Jun</t>
        </is>
      </c>
      <c r="C2649" s="19" t="inlineStr">
        <is>
          <t>Kerala</t>
        </is>
      </c>
      <c r="D2649" s="20" t="inlineStr">
        <is>
          <t>KL58R0540</t>
        </is>
      </c>
      <c r="E2649" s="20" t="inlineStr">
        <is>
          <t>MARUTI SUZUKI</t>
        </is>
      </c>
      <c r="F2649" s="20" t="inlineStr">
        <is>
          <t>Celerio</t>
        </is>
      </c>
      <c r="G2649" s="21" t="n">
        <v>2015</v>
      </c>
      <c r="H2649" s="22" t="n">
        <v>40000</v>
      </c>
      <c r="I2649" s="23" t="n">
        <v>232000</v>
      </c>
      <c r="J2649" s="20" t="inlineStr">
        <is>
          <t>CARBAZAR</t>
        </is>
      </c>
      <c r="K2649" s="20" t="inlineStr">
        <is>
          <t>Non-Captive</t>
        </is>
      </c>
      <c r="L2649" s="20" t="inlineStr">
        <is>
          <t>Vasil</t>
        </is>
      </c>
      <c r="M2649" s="23" t="n">
        <v>5932.2</v>
      </c>
      <c r="N2649" s="23" t="n">
        <v>7000</v>
      </c>
      <c r="O2649" s="24">
        <f>IF(AND(ISNUMBER(M2649), ISNUMBER(I2649), I2649&gt;0), M2649/I2649, "")</f>
        <v/>
      </c>
    </row>
    <row r="2650">
      <c r="A2650" s="19" t="inlineStr">
        <is>
          <t>FY27</t>
        </is>
      </c>
      <c r="B2650" s="19" t="inlineStr">
        <is>
          <t>Jun</t>
        </is>
      </c>
      <c r="C2650" s="19" t="inlineStr">
        <is>
          <t>Kerala</t>
        </is>
      </c>
      <c r="D2650" s="20" t="inlineStr">
        <is>
          <t>KL13AA2544</t>
        </is>
      </c>
      <c r="E2650" s="20" t="inlineStr">
        <is>
          <t>MARUTI SUZUKI</t>
        </is>
      </c>
      <c r="F2650" s="20" t="inlineStr">
        <is>
          <t>A-Star</t>
        </is>
      </c>
      <c r="G2650" s="21" t="n">
        <v>2013</v>
      </c>
      <c r="H2650" s="22" t="n">
        <v>95000</v>
      </c>
      <c r="I2650" s="23" t="n">
        <v>95000</v>
      </c>
      <c r="J2650" s="20" t="inlineStr">
        <is>
          <t>POPULAR MARUTI</t>
        </is>
      </c>
      <c r="K2650" s="20" t="inlineStr">
        <is>
          <t>Non-Captive</t>
        </is>
      </c>
      <c r="L2650" s="20" t="inlineStr">
        <is>
          <t>SANOOP K M</t>
        </is>
      </c>
      <c r="M2650" s="23" t="n">
        <v>8474.58</v>
      </c>
      <c r="N2650" s="23" t="n">
        <v>10000</v>
      </c>
      <c r="O2650" s="24">
        <f>IF(AND(ISNUMBER(M2650), ISNUMBER(I2650), I2650&gt;0), M2650/I2650, "")</f>
        <v/>
      </c>
    </row>
    <row r="2651">
      <c r="A2651" s="19" t="inlineStr">
        <is>
          <t>FY27</t>
        </is>
      </c>
      <c r="B2651" s="19" t="inlineStr">
        <is>
          <t>Jun</t>
        </is>
      </c>
      <c r="C2651" s="19" t="inlineStr">
        <is>
          <t>Kerala</t>
        </is>
      </c>
      <c r="D2651" s="20" t="inlineStr">
        <is>
          <t>KL26H8821</t>
        </is>
      </c>
      <c r="E2651" s="20" t="inlineStr">
        <is>
          <t>RENAULT</t>
        </is>
      </c>
      <c r="F2651" s="20" t="inlineStr">
        <is>
          <t>Kwid</t>
        </is>
      </c>
      <c r="G2651" s="21" t="n">
        <v>2016</v>
      </c>
      <c r="H2651" s="22" t="n">
        <v>90000</v>
      </c>
      <c r="I2651" s="23" t="n">
        <v>120000</v>
      </c>
      <c r="J2651" s="20" t="inlineStr">
        <is>
          <t>INCHEON KIA</t>
        </is>
      </c>
      <c r="K2651" s="20" t="inlineStr">
        <is>
          <t>Non-Captive</t>
        </is>
      </c>
      <c r="L2651" s="20" t="inlineStr">
        <is>
          <t>RENJITH</t>
        </is>
      </c>
      <c r="M2651" s="23" t="n">
        <v>5084.75</v>
      </c>
      <c r="N2651" s="23" t="n">
        <v>6000</v>
      </c>
      <c r="O2651" s="24">
        <f>IF(AND(ISNUMBER(M2651), ISNUMBER(I2651), I2651&gt;0), M2651/I2651, "")</f>
        <v/>
      </c>
    </row>
    <row r="2652">
      <c r="A2652" s="19" t="inlineStr">
        <is>
          <t>FY27</t>
        </is>
      </c>
      <c r="B2652" s="19" t="inlineStr">
        <is>
          <t>Jun</t>
        </is>
      </c>
      <c r="C2652" s="19" t="inlineStr">
        <is>
          <t>Kerala</t>
        </is>
      </c>
      <c r="D2652" s="20" t="inlineStr">
        <is>
          <t>KL02AD8256</t>
        </is>
      </c>
      <c r="E2652" s="20" t="inlineStr">
        <is>
          <t>MARUTI SUZUKI</t>
        </is>
      </c>
      <c r="F2652" s="20" t="inlineStr">
        <is>
          <t>A-Star</t>
        </is>
      </c>
      <c r="G2652" s="21" t="n">
        <v>2009</v>
      </c>
      <c r="H2652" s="22" t="n">
        <v>86783</v>
      </c>
      <c r="I2652" s="23" t="n">
        <v>90000</v>
      </c>
      <c r="J2652" s="20" t="inlineStr">
        <is>
          <t>LUXON TATA</t>
        </is>
      </c>
      <c r="K2652" s="20" t="inlineStr">
        <is>
          <t>Non-Captive</t>
        </is>
      </c>
      <c r="L2652" s="20" t="inlineStr">
        <is>
          <t>VARUN BABU</t>
        </is>
      </c>
      <c r="M2652" s="23" t="n">
        <v>5932.2</v>
      </c>
      <c r="N2652" s="23" t="n">
        <v>7000</v>
      </c>
      <c r="O2652" s="24">
        <f>IF(AND(ISNUMBER(M2652), ISNUMBER(I2652), I2652&gt;0), M2652/I2652, "")</f>
        <v/>
      </c>
    </row>
    <row r="2653">
      <c r="A2653" s="19" t="inlineStr">
        <is>
          <t>FY27</t>
        </is>
      </c>
      <c r="B2653" s="19" t="inlineStr">
        <is>
          <t>Jun</t>
        </is>
      </c>
      <c r="C2653" s="19" t="inlineStr">
        <is>
          <t>Kerala</t>
        </is>
      </c>
      <c r="D2653" s="20" t="inlineStr">
        <is>
          <t>KL31C6667</t>
        </is>
      </c>
      <c r="E2653" s="20" t="inlineStr">
        <is>
          <t>MARUTI SUZUKI</t>
        </is>
      </c>
      <c r="F2653" s="20" t="inlineStr">
        <is>
          <t>Fronx</t>
        </is>
      </c>
      <c r="G2653" s="21" t="n">
        <v>2011</v>
      </c>
      <c r="H2653" s="22" t="n">
        <v>12966</v>
      </c>
      <c r="I2653" s="23" t="n">
        <v>473145</v>
      </c>
      <c r="J2653" s="20" t="inlineStr">
        <is>
          <t>MG FORTUNE</t>
        </is>
      </c>
      <c r="K2653" s="20" t="inlineStr">
        <is>
          <t>Non-Captive</t>
        </is>
      </c>
      <c r="L2653" s="20" t="inlineStr">
        <is>
          <t>INDUS MARUTI</t>
        </is>
      </c>
      <c r="M2653" s="23" t="n">
        <v>9529.66</v>
      </c>
      <c r="N2653" s="23" t="n">
        <v>11245</v>
      </c>
      <c r="O2653" s="24">
        <f>IF(AND(ISNUMBER(M2653), ISNUMBER(I2653), I2653&gt;0), M2653/I2653, "")</f>
        <v/>
      </c>
    </row>
    <row r="2654">
      <c r="A2654" s="19" t="inlineStr">
        <is>
          <t>FY27</t>
        </is>
      </c>
      <c r="B2654" s="19" t="inlineStr">
        <is>
          <t>Jun</t>
        </is>
      </c>
      <c r="C2654" s="19" t="inlineStr">
        <is>
          <t>Kerala</t>
        </is>
      </c>
      <c r="D2654" s="20" t="inlineStr">
        <is>
          <t>KL25D5211</t>
        </is>
      </c>
      <c r="E2654" s="20" t="inlineStr">
        <is>
          <t>TATA</t>
        </is>
      </c>
      <c r="F2654" s="20" t="inlineStr">
        <is>
          <t>Nano</t>
        </is>
      </c>
      <c r="G2654" s="21" t="n">
        <v>2012</v>
      </c>
      <c r="H2654" s="22" t="n">
        <v>110000</v>
      </c>
      <c r="I2654" s="23" t="n">
        <v>20000</v>
      </c>
      <c r="J2654" s="20" t="inlineStr">
        <is>
          <t>POPULAR MAHINDRA</t>
        </is>
      </c>
      <c r="K2654" s="20" t="inlineStr">
        <is>
          <t>Non-Captive</t>
        </is>
      </c>
      <c r="L2654" s="20" t="inlineStr">
        <is>
          <t>ANOOP</t>
        </is>
      </c>
      <c r="M2654" s="23" t="n">
        <v>4237.29</v>
      </c>
      <c r="N2654" s="23" t="n">
        <v>5000</v>
      </c>
      <c r="O2654" s="24">
        <f>IF(AND(ISNUMBER(M2654), ISNUMBER(I2654), I2654&gt;0), M2654/I2654, "")</f>
        <v/>
      </c>
    </row>
    <row r="2655">
      <c r="A2655" s="19" t="inlineStr">
        <is>
          <t>FY27</t>
        </is>
      </c>
      <c r="B2655" s="19" t="inlineStr">
        <is>
          <t>Jun</t>
        </is>
      </c>
      <c r="C2655" s="19" t="inlineStr">
        <is>
          <t>Kerala</t>
        </is>
      </c>
      <c r="D2655" s="20" t="inlineStr">
        <is>
          <t>KL21R7438</t>
        </is>
      </c>
      <c r="E2655" s="20" t="inlineStr">
        <is>
          <t>MARUTI SUZUKI</t>
        </is>
      </c>
      <c r="F2655" s="20" t="inlineStr">
        <is>
          <t>Alto 800</t>
        </is>
      </c>
      <c r="G2655" s="21" t="n">
        <v>2018</v>
      </c>
      <c r="H2655" s="22" t="n">
        <v>71663</v>
      </c>
      <c r="I2655" s="23" t="n">
        <v>200000</v>
      </c>
      <c r="J2655" s="20" t="inlineStr">
        <is>
          <t>TRIVANDRUM MOTORS</t>
        </is>
      </c>
      <c r="K2655" s="20" t="inlineStr">
        <is>
          <t>Non-Captive</t>
        </is>
      </c>
      <c r="L2655" s="20" t="inlineStr">
        <is>
          <t>ABHISHEK</t>
        </is>
      </c>
      <c r="M2655" s="23" t="n">
        <v>8474.58</v>
      </c>
      <c r="N2655" s="23" t="n">
        <v>10000</v>
      </c>
      <c r="O2655" s="24">
        <f>IF(AND(ISNUMBER(M2655), ISNUMBER(I2655), I2655&gt;0), M2655/I2655, "")</f>
        <v/>
      </c>
    </row>
    <row r="2656">
      <c r="A2656" s="19" t="inlineStr">
        <is>
          <t>FY27</t>
        </is>
      </c>
      <c r="B2656" s="19" t="inlineStr">
        <is>
          <t>Jun</t>
        </is>
      </c>
      <c r="C2656" s="19" t="inlineStr">
        <is>
          <t>Kerala</t>
        </is>
      </c>
      <c r="D2656" s="20" t="inlineStr">
        <is>
          <t>KL02AZ2147</t>
        </is>
      </c>
      <c r="E2656" s="20" t="inlineStr">
        <is>
          <t>MARUTI SUZUKI</t>
        </is>
      </c>
      <c r="F2656" s="20" t="inlineStr">
        <is>
          <t>Swift Dzire</t>
        </is>
      </c>
      <c r="G2656" s="21" t="n">
        <v>2018</v>
      </c>
      <c r="H2656" s="22" t="n">
        <v>69600</v>
      </c>
      <c r="I2656" s="23" t="n">
        <v>420000</v>
      </c>
      <c r="J2656" s="20" t="inlineStr">
        <is>
          <t>INCHEON KIA</t>
        </is>
      </c>
      <c r="K2656" s="20" t="inlineStr">
        <is>
          <t>Non-Captive</t>
        </is>
      </c>
      <c r="L2656" s="20" t="inlineStr">
        <is>
          <t>RATHEESH</t>
        </is>
      </c>
      <c r="M2656" s="23" t="n">
        <v>4237.29</v>
      </c>
      <c r="N2656" s="23" t="n">
        <v>5000</v>
      </c>
      <c r="O2656" s="24">
        <f>IF(AND(ISNUMBER(M2656), ISNUMBER(I2656), I2656&gt;0), M2656/I2656, "")</f>
        <v/>
      </c>
    </row>
    <row r="2657">
      <c r="A2657" s="19" t="inlineStr">
        <is>
          <t>FY27</t>
        </is>
      </c>
      <c r="B2657" s="19" t="inlineStr">
        <is>
          <t>Jun</t>
        </is>
      </c>
      <c r="C2657" s="19" t="inlineStr">
        <is>
          <t>Kerala</t>
        </is>
      </c>
      <c r="D2657" s="20" t="inlineStr">
        <is>
          <t>KL01BQ2626</t>
        </is>
      </c>
      <c r="E2657" s="20" t="inlineStr">
        <is>
          <t>RENAULT</t>
        </is>
      </c>
      <c r="F2657" s="20" t="inlineStr">
        <is>
          <t>Duster</t>
        </is>
      </c>
      <c r="G2657" s="21" t="n">
        <v>2014</v>
      </c>
      <c r="H2657" s="22" t="n">
        <v>155233</v>
      </c>
      <c r="I2657" s="23" t="n">
        <v>190000</v>
      </c>
      <c r="J2657" s="20" t="inlineStr">
        <is>
          <t>SABU MATHEW</t>
        </is>
      </c>
      <c r="K2657" s="20" t="inlineStr">
        <is>
          <t>Non-Captive</t>
        </is>
      </c>
      <c r="L2657" s="20" t="inlineStr">
        <is>
          <t>HUSSAIN O E</t>
        </is>
      </c>
      <c r="M2657" s="23" t="n">
        <v>8474.58</v>
      </c>
      <c r="N2657" s="23" t="n">
        <v>10000</v>
      </c>
      <c r="O2657" s="24">
        <f>IF(AND(ISNUMBER(M2657), ISNUMBER(I2657), I2657&gt;0), M2657/I2657, "")</f>
        <v/>
      </c>
    </row>
    <row r="2658">
      <c r="A2658" s="19" t="inlineStr">
        <is>
          <t>FY27</t>
        </is>
      </c>
      <c r="B2658" s="19" t="inlineStr">
        <is>
          <t>Jun</t>
        </is>
      </c>
      <c r="C2658" s="19" t="inlineStr">
        <is>
          <t>Kerala</t>
        </is>
      </c>
      <c r="D2658" s="20" t="inlineStr">
        <is>
          <t>KL07BX3312</t>
        </is>
      </c>
      <c r="E2658" s="20" t="inlineStr">
        <is>
          <t>MARUTI SUZUKI</t>
        </is>
      </c>
      <c r="F2658" s="20" t="inlineStr">
        <is>
          <t>Alto 800</t>
        </is>
      </c>
      <c r="G2658" s="21" t="n">
        <v>2013</v>
      </c>
      <c r="H2658" s="22" t="n">
        <v>84718</v>
      </c>
      <c r="I2658" s="23" t="n">
        <v>100000</v>
      </c>
      <c r="J2658" s="20" t="inlineStr">
        <is>
          <t>SAI MARUTI</t>
        </is>
      </c>
      <c r="K2658" s="20" t="inlineStr">
        <is>
          <t>Non-Captive</t>
        </is>
      </c>
      <c r="L2658" s="20" t="inlineStr">
        <is>
          <t>SANOOB</t>
        </is>
      </c>
      <c r="M2658" s="23" t="n">
        <v>8474.58</v>
      </c>
      <c r="N2658" s="23" t="n">
        <v>10000</v>
      </c>
      <c r="O2658" s="24">
        <f>IF(AND(ISNUMBER(M2658), ISNUMBER(I2658), I2658&gt;0), M2658/I2658, "")</f>
        <v/>
      </c>
    </row>
    <row r="2659">
      <c r="A2659" s="19" t="inlineStr">
        <is>
          <t>FY27</t>
        </is>
      </c>
      <c r="B2659" s="19" t="inlineStr">
        <is>
          <t>Jun</t>
        </is>
      </c>
      <c r="C2659" s="19" t="inlineStr">
        <is>
          <t>Kerala</t>
        </is>
      </c>
      <c r="D2659" s="20" t="inlineStr">
        <is>
          <t>KL05AU3382</t>
        </is>
      </c>
      <c r="E2659" s="20" t="inlineStr">
        <is>
          <t>TOYOTA</t>
        </is>
      </c>
      <c r="F2659" s="20" t="inlineStr">
        <is>
          <t>Crysta</t>
        </is>
      </c>
      <c r="G2659" s="21" t="n">
        <v>2019</v>
      </c>
      <c r="H2659" s="22" t="n">
        <v>135454</v>
      </c>
      <c r="I2659" s="23" t="n">
        <v>1540000</v>
      </c>
      <c r="J2659" s="20" t="inlineStr">
        <is>
          <t>ANAS HAMEED</t>
        </is>
      </c>
      <c r="K2659" s="20" t="inlineStr">
        <is>
          <t>Non-Captive</t>
        </is>
      </c>
      <c r="L2659" s="20" t="inlineStr">
        <is>
          <t>HUSSAIN O E</t>
        </is>
      </c>
      <c r="M2659" s="23" t="n">
        <v>12711.86</v>
      </c>
      <c r="N2659" s="23" t="n">
        <v>15000</v>
      </c>
      <c r="O2659" s="24">
        <f>IF(AND(ISNUMBER(M2659), ISNUMBER(I2659), I2659&gt;0), M2659/I2659, "")</f>
        <v/>
      </c>
    </row>
    <row r="2660">
      <c r="A2660" s="19" t="inlineStr">
        <is>
          <t>FY27</t>
        </is>
      </c>
      <c r="B2660" s="19" t="inlineStr">
        <is>
          <t>Jun</t>
        </is>
      </c>
      <c r="C2660" s="19" t="inlineStr">
        <is>
          <t>Kerala</t>
        </is>
      </c>
      <c r="D2660" s="20" t="inlineStr">
        <is>
          <t>KL66A8674</t>
        </is>
      </c>
      <c r="E2660" s="20" t="inlineStr">
        <is>
          <t>RENAULT</t>
        </is>
      </c>
      <c r="F2660" s="20" t="inlineStr">
        <is>
          <t>Kwid</t>
        </is>
      </c>
      <c r="G2660" s="21" t="n">
        <v>2017</v>
      </c>
      <c r="H2660" s="22" t="n">
        <v>142434</v>
      </c>
      <c r="I2660" s="23" t="n">
        <v>195000</v>
      </c>
      <c r="J2660" s="20" t="inlineStr">
        <is>
          <t>ANAS</t>
        </is>
      </c>
      <c r="K2660" s="20" t="inlineStr">
        <is>
          <t>Non-Captive</t>
        </is>
      </c>
      <c r="L2660" s="20" t="inlineStr">
        <is>
          <t>SUDHEESH K SATHEESH</t>
        </is>
      </c>
      <c r="M2660" s="23" t="n">
        <v>10169.49</v>
      </c>
      <c r="N2660" s="23" t="n">
        <v>12000</v>
      </c>
      <c r="O2660" s="24">
        <f>IF(AND(ISNUMBER(M2660), ISNUMBER(I2660), I2660&gt;0), M2660/I2660, "")</f>
        <v/>
      </c>
    </row>
    <row r="2661">
      <c r="A2661" s="19" t="inlineStr">
        <is>
          <t>FY27</t>
        </is>
      </c>
      <c r="B2661" s="19" t="inlineStr">
        <is>
          <t>Jun</t>
        </is>
      </c>
      <c r="C2661" s="19" t="inlineStr">
        <is>
          <t>Kerala</t>
        </is>
      </c>
      <c r="D2661" s="20" t="inlineStr">
        <is>
          <t>KL24T3539</t>
        </is>
      </c>
      <c r="E2661" s="20" t="inlineStr">
        <is>
          <t>RENAULT</t>
        </is>
      </c>
      <c r="F2661" s="20" t="inlineStr">
        <is>
          <t>Kwid</t>
        </is>
      </c>
      <c r="G2661" s="21" t="n">
        <v>2019</v>
      </c>
      <c r="H2661" s="22" t="n">
        <v>64500</v>
      </c>
      <c r="I2661" s="23" t="n">
        <v>269000</v>
      </c>
      <c r="J2661" s="20" t="inlineStr">
        <is>
          <t>KESHVIN HYUNDAI</t>
        </is>
      </c>
      <c r="K2661" s="20" t="inlineStr">
        <is>
          <t>Non-Captive</t>
        </is>
      </c>
      <c r="L2661" s="20" t="inlineStr">
        <is>
          <t>AITOS CARS</t>
        </is>
      </c>
      <c r="M2661" s="23" t="n">
        <v>8474.58</v>
      </c>
      <c r="N2661" s="23" t="n">
        <v>10000</v>
      </c>
      <c r="O2661" s="24">
        <f>IF(AND(ISNUMBER(M2661), ISNUMBER(I2661), I2661&gt;0), M2661/I2661, "")</f>
        <v/>
      </c>
    </row>
    <row r="2662">
      <c r="A2662" s="19" t="inlineStr">
        <is>
          <t>FY27</t>
        </is>
      </c>
      <c r="B2662" s="19" t="inlineStr">
        <is>
          <t>Jun</t>
        </is>
      </c>
      <c r="C2662" s="19" t="inlineStr">
        <is>
          <t>Kerala</t>
        </is>
      </c>
      <c r="D2662" s="20" t="inlineStr">
        <is>
          <t>KL28D7329</t>
        </is>
      </c>
      <c r="E2662" s="20" t="inlineStr">
        <is>
          <t>MARUTI SUZUKI</t>
        </is>
      </c>
      <c r="F2662" s="20" t="inlineStr">
        <is>
          <t>Wagon R</t>
        </is>
      </c>
      <c r="G2662" s="21" t="n">
        <v>2019</v>
      </c>
      <c r="H2662" s="22" t="n">
        <v>57954</v>
      </c>
      <c r="I2662" s="23" t="n">
        <v>430000</v>
      </c>
      <c r="J2662" s="20" t="inlineStr">
        <is>
          <t>GOKULAM TATA</t>
        </is>
      </c>
      <c r="K2662" s="20" t="inlineStr">
        <is>
          <t>Non-Captive</t>
        </is>
      </c>
      <c r="L2662" s="20" t="inlineStr">
        <is>
          <t>SHAMSUDEEN C E</t>
        </is>
      </c>
      <c r="M2662" s="23" t="n">
        <v>8474.58</v>
      </c>
      <c r="N2662" s="23" t="n">
        <v>10000</v>
      </c>
      <c r="O2662" s="24">
        <f>IF(AND(ISNUMBER(M2662), ISNUMBER(I2662), I2662&gt;0), M2662/I2662, "")</f>
        <v/>
      </c>
    </row>
    <row r="2663">
      <c r="A2663" s="19" t="inlineStr">
        <is>
          <t>FY27</t>
        </is>
      </c>
      <c r="B2663" s="19" t="inlineStr">
        <is>
          <t>Jun</t>
        </is>
      </c>
      <c r="C2663" s="19" t="inlineStr">
        <is>
          <t>Kerala</t>
        </is>
      </c>
      <c r="D2663" s="20" t="inlineStr">
        <is>
          <t>KL46S3974</t>
        </is>
      </c>
      <c r="E2663" s="20" t="inlineStr">
        <is>
          <t>MARUTI SUZUKI</t>
        </is>
      </c>
      <c r="F2663" s="20" t="inlineStr">
        <is>
          <t>Alto K10</t>
        </is>
      </c>
      <c r="G2663" s="21" t="n">
        <v>2018</v>
      </c>
      <c r="H2663" s="22" t="n">
        <v>36167</v>
      </c>
      <c r="I2663" s="23" t="n">
        <v>310000</v>
      </c>
      <c r="J2663" s="20" t="inlineStr">
        <is>
          <t>PINNACLE MOTOR WORKS</t>
        </is>
      </c>
      <c r="K2663" s="20" t="inlineStr">
        <is>
          <t>Non-Captive</t>
        </is>
      </c>
      <c r="L2663" s="20" t="inlineStr">
        <is>
          <t>AITOS CARS</t>
        </is>
      </c>
      <c r="M2663" s="23" t="n">
        <v>8474.58</v>
      </c>
      <c r="N2663" s="23" t="n">
        <v>10000</v>
      </c>
      <c r="O2663" s="24">
        <f>IF(AND(ISNUMBER(M2663), ISNUMBER(I2663), I2663&gt;0), M2663/I2663, "")</f>
        <v/>
      </c>
    </row>
    <row r="2664">
      <c r="A2664" s="19" t="inlineStr">
        <is>
          <t>FY27</t>
        </is>
      </c>
      <c r="B2664" s="19" t="inlineStr">
        <is>
          <t>Jun</t>
        </is>
      </c>
      <c r="C2664" s="19" t="inlineStr">
        <is>
          <t>Kerala</t>
        </is>
      </c>
      <c r="D2664" s="20" t="inlineStr">
        <is>
          <t>KL46Y4107</t>
        </is>
      </c>
      <c r="E2664" s="20" t="inlineStr">
        <is>
          <t>MARUTI SUZUKI</t>
        </is>
      </c>
      <c r="F2664" s="20" t="inlineStr">
        <is>
          <t>Wagon R</t>
        </is>
      </c>
      <c r="G2664" s="21" t="n">
        <v>2023</v>
      </c>
      <c r="H2664" s="22" t="n">
        <v>54962</v>
      </c>
      <c r="I2664" s="23" t="n">
        <v>500000</v>
      </c>
      <c r="J2664" s="20" t="inlineStr">
        <is>
          <t>PHOENIX VOLKSWAGEN</t>
        </is>
      </c>
      <c r="K2664" s="20" t="inlineStr">
        <is>
          <t>Non-Captive</t>
        </is>
      </c>
      <c r="L2664" s="20" t="inlineStr">
        <is>
          <t>AITOS CARS</t>
        </is>
      </c>
      <c r="M2664" s="23" t="n">
        <v>8474.58</v>
      </c>
      <c r="N2664" s="23" t="n">
        <v>10000</v>
      </c>
      <c r="O2664" s="24">
        <f>IF(AND(ISNUMBER(M2664), ISNUMBER(I2664), I2664&gt;0), M2664/I2664, "")</f>
        <v/>
      </c>
    </row>
    <row r="2665">
      <c r="A2665" s="19" t="inlineStr">
        <is>
          <t>FY27</t>
        </is>
      </c>
      <c r="B2665" s="19" t="inlineStr">
        <is>
          <t>Jun</t>
        </is>
      </c>
      <c r="C2665" s="19" t="inlineStr">
        <is>
          <t>Kerala</t>
        </is>
      </c>
      <c r="D2665" s="20" t="inlineStr">
        <is>
          <t>KL59W1483</t>
        </is>
      </c>
      <c r="E2665" s="20" t="inlineStr">
        <is>
          <t>FORD</t>
        </is>
      </c>
      <c r="F2665" s="20" t="inlineStr">
        <is>
          <t>Ecosport</t>
        </is>
      </c>
      <c r="G2665" s="21" t="n">
        <v>2020</v>
      </c>
      <c r="H2665" s="22" t="n">
        <v>110000</v>
      </c>
      <c r="I2665" s="23" t="n">
        <v>620000</v>
      </c>
      <c r="J2665" s="20" t="inlineStr">
        <is>
          <t>SAI MARUTI</t>
        </is>
      </c>
      <c r="K2665" s="20" t="inlineStr">
        <is>
          <t>Non-Captive</t>
        </is>
      </c>
      <c r="L2665" s="20" t="inlineStr">
        <is>
          <t>CARNIVAL CARS Althaf</t>
        </is>
      </c>
      <c r="M2665" s="23" t="n">
        <v>8474.58</v>
      </c>
      <c r="N2665" s="23" t="n">
        <v>10000</v>
      </c>
      <c r="O2665" s="24">
        <f>IF(AND(ISNUMBER(M2665), ISNUMBER(I2665), I2665&gt;0), M2665/I2665, "")</f>
        <v/>
      </c>
    </row>
    <row r="2666">
      <c r="A2666" s="19" t="inlineStr">
        <is>
          <t>FY27</t>
        </is>
      </c>
      <c r="B2666" s="19" t="inlineStr">
        <is>
          <t>Jun</t>
        </is>
      </c>
      <c r="C2666" s="19" t="inlineStr">
        <is>
          <t>Kerala</t>
        </is>
      </c>
      <c r="D2666" s="20" t="inlineStr">
        <is>
          <t>KL07CS9215</t>
        </is>
      </c>
      <c r="E2666" s="20" t="inlineStr">
        <is>
          <t>HYUNDAI</t>
        </is>
      </c>
      <c r="F2666" s="20" t="inlineStr">
        <is>
          <t>Nios</t>
        </is>
      </c>
      <c r="G2666" s="21" t="n">
        <v>2019</v>
      </c>
      <c r="H2666" s="22" t="n">
        <v>57300</v>
      </c>
      <c r="I2666" s="23" t="n">
        <v>435000</v>
      </c>
      <c r="J2666" s="20" t="inlineStr">
        <is>
          <t>INCHEON KIA</t>
        </is>
      </c>
      <c r="K2666" s="20" t="inlineStr">
        <is>
          <t>Non-Captive</t>
        </is>
      </c>
      <c r="L2666" s="20" t="inlineStr">
        <is>
          <t>HAVEN MOTORS</t>
        </is>
      </c>
      <c r="M2666" s="23" t="n">
        <v>8474.58</v>
      </c>
      <c r="N2666" s="23" t="n">
        <v>10000</v>
      </c>
      <c r="O2666" s="24">
        <f>IF(AND(ISNUMBER(M2666), ISNUMBER(I2666), I2666&gt;0), M2666/I2666, "")</f>
        <v/>
      </c>
    </row>
    <row r="2667">
      <c r="A2667" s="19" t="inlineStr">
        <is>
          <t>FY27</t>
        </is>
      </c>
      <c r="B2667" s="19" t="inlineStr">
        <is>
          <t>Jun</t>
        </is>
      </c>
      <c r="C2667" s="19" t="inlineStr">
        <is>
          <t>Kerala</t>
        </is>
      </c>
      <c r="D2667" s="20" t="inlineStr">
        <is>
          <t>KL33P9697</t>
        </is>
      </c>
      <c r="E2667" s="20" t="inlineStr">
        <is>
          <t>RENAULT</t>
        </is>
      </c>
      <c r="F2667" s="20" t="inlineStr">
        <is>
          <t>Triber</t>
        </is>
      </c>
      <c r="G2667" s="21" t="n">
        <v>2023</v>
      </c>
      <c r="H2667" s="22" t="n">
        <v>13000</v>
      </c>
      <c r="I2667" s="23" t="n">
        <v>490000</v>
      </c>
      <c r="J2667" s="20" t="inlineStr">
        <is>
          <t>FAHAD</t>
        </is>
      </c>
      <c r="K2667" s="20" t="inlineStr">
        <is>
          <t>Non-Captive</t>
        </is>
      </c>
      <c r="L2667" s="20" t="inlineStr">
        <is>
          <t>AITOS CARS</t>
        </is>
      </c>
      <c r="M2667" s="23" t="n">
        <v>12711.86</v>
      </c>
      <c r="N2667" s="23" t="n">
        <v>15000</v>
      </c>
      <c r="O2667" s="24">
        <f>IF(AND(ISNUMBER(M2667), ISNUMBER(I2667), I2667&gt;0), M2667/I2667, "")</f>
        <v/>
      </c>
    </row>
    <row r="2668">
      <c r="A2668" s="19" t="inlineStr">
        <is>
          <t>FY27</t>
        </is>
      </c>
      <c r="B2668" s="19" t="inlineStr">
        <is>
          <t>Jun</t>
        </is>
      </c>
      <c r="C2668" s="19" t="inlineStr">
        <is>
          <t>Kerala</t>
        </is>
      </c>
      <c r="D2668" s="20" t="inlineStr">
        <is>
          <t>KL40M5220</t>
        </is>
      </c>
      <c r="E2668" s="20" t="inlineStr">
        <is>
          <t>MARUTI SUZUKI</t>
        </is>
      </c>
      <c r="F2668" s="20" t="inlineStr">
        <is>
          <t>Baleno</t>
        </is>
      </c>
      <c r="G2668" s="21" t="n">
        <v>2016</v>
      </c>
      <c r="H2668" s="22" t="n">
        <v>55000</v>
      </c>
      <c r="I2668" s="23" t="n">
        <v>485000</v>
      </c>
      <c r="J2668" s="20" t="inlineStr">
        <is>
          <t>CITROEN EVM</t>
        </is>
      </c>
      <c r="K2668" s="20" t="inlineStr">
        <is>
          <t>Non-Captive</t>
        </is>
      </c>
      <c r="L2668" s="20" t="inlineStr">
        <is>
          <t>UMESHKUMAR T U</t>
        </is>
      </c>
      <c r="M2668" s="23" t="n">
        <v>8474.58</v>
      </c>
      <c r="N2668" s="23" t="n">
        <v>10000</v>
      </c>
      <c r="O2668" s="24">
        <f>IF(AND(ISNUMBER(M2668), ISNUMBER(I2668), I2668&gt;0), M2668/I2668, "")</f>
        <v/>
      </c>
    </row>
    <row r="2669">
      <c r="A2669" s="19" t="inlineStr">
        <is>
          <t>FY27</t>
        </is>
      </c>
      <c r="B2669" s="19" t="inlineStr">
        <is>
          <t>Jun</t>
        </is>
      </c>
      <c r="C2669" s="19" t="inlineStr">
        <is>
          <t>Kerala</t>
        </is>
      </c>
      <c r="D2669" s="20" t="inlineStr">
        <is>
          <t>KL08AP7825</t>
        </is>
      </c>
      <c r="E2669" s="20" t="inlineStr">
        <is>
          <t>HYUNDAI</t>
        </is>
      </c>
      <c r="F2669" s="20" t="inlineStr">
        <is>
          <t>I10</t>
        </is>
      </c>
      <c r="G2669" s="21" t="n">
        <v>2008</v>
      </c>
      <c r="H2669" s="22" t="n">
        <v>106000</v>
      </c>
      <c r="I2669" s="23" t="n">
        <v>80000</v>
      </c>
      <c r="J2669" s="20" t="inlineStr">
        <is>
          <t>KVR TATA</t>
        </is>
      </c>
      <c r="K2669" s="20" t="inlineStr">
        <is>
          <t>Non-Captive</t>
        </is>
      </c>
      <c r="L2669" s="20" t="inlineStr">
        <is>
          <t>Rafeek</t>
        </is>
      </c>
      <c r="M2669" s="23" t="n">
        <v>8474.58</v>
      </c>
      <c r="N2669" s="23" t="n">
        <v>10000</v>
      </c>
      <c r="O2669" s="24">
        <f>IF(AND(ISNUMBER(M2669), ISNUMBER(I2669), I2669&gt;0), M2669/I2669, "")</f>
        <v/>
      </c>
    </row>
    <row r="2670">
      <c r="A2670" s="19" t="inlineStr">
        <is>
          <t>FY27</t>
        </is>
      </c>
      <c r="B2670" s="19" t="inlineStr">
        <is>
          <t>Jun</t>
        </is>
      </c>
      <c r="C2670" s="19" t="inlineStr">
        <is>
          <t>Kerala</t>
        </is>
      </c>
      <c r="D2670" s="20" t="inlineStr">
        <is>
          <t>KL40C3090</t>
        </is>
      </c>
      <c r="E2670" s="20" t="inlineStr">
        <is>
          <t>TOYOTA</t>
        </is>
      </c>
      <c r="F2670" s="20" t="inlineStr">
        <is>
          <t>Innova</t>
        </is>
      </c>
      <c r="G2670" s="21" t="n">
        <v>2009</v>
      </c>
      <c r="H2670" s="22" t="n">
        <v>198318</v>
      </c>
      <c r="I2670" s="23" t="n">
        <v>435000</v>
      </c>
      <c r="J2670" s="20" t="inlineStr">
        <is>
          <t>AUTOMOTIVE MAHINDRA</t>
        </is>
      </c>
      <c r="K2670" s="20" t="inlineStr">
        <is>
          <t>Non-Captive</t>
        </is>
      </c>
      <c r="L2670" s="20" t="inlineStr">
        <is>
          <t>HUSSAIN O E</t>
        </is>
      </c>
      <c r="M2670" s="23" t="n">
        <v>8474.58</v>
      </c>
      <c r="N2670" s="23" t="n">
        <v>10000</v>
      </c>
      <c r="O2670" s="24">
        <f>IF(AND(ISNUMBER(M2670), ISNUMBER(I2670), I2670&gt;0), M2670/I2670, "")</f>
        <v/>
      </c>
    </row>
    <row r="2671">
      <c r="A2671" s="19" t="inlineStr">
        <is>
          <t>FY27</t>
        </is>
      </c>
      <c r="B2671" s="19" t="inlineStr">
        <is>
          <t>Jun</t>
        </is>
      </c>
      <c r="C2671" s="19" t="inlineStr">
        <is>
          <t>Kerala</t>
        </is>
      </c>
      <c r="D2671" s="20" t="inlineStr">
        <is>
          <t>KL04AG2466</t>
        </is>
      </c>
      <c r="E2671" s="20" t="inlineStr">
        <is>
          <t>TOYOTA</t>
        </is>
      </c>
      <c r="F2671" s="20" t="inlineStr">
        <is>
          <t>Etios</t>
        </is>
      </c>
      <c r="G2671" s="21" t="n">
        <v>2014</v>
      </c>
      <c r="H2671" s="22" t="n">
        <v>98000</v>
      </c>
      <c r="I2671" s="23" t="n">
        <v>375000</v>
      </c>
      <c r="J2671" s="20" t="inlineStr">
        <is>
          <t>POPULAR MARUTI</t>
        </is>
      </c>
      <c r="K2671" s="20" t="inlineStr">
        <is>
          <t>Non-Captive</t>
        </is>
      </c>
      <c r="L2671" s="20" t="inlineStr">
        <is>
          <t>AITOS CARS</t>
        </is>
      </c>
      <c r="M2671" s="23" t="n">
        <v>12711.86</v>
      </c>
      <c r="N2671" s="23" t="n">
        <v>15000</v>
      </c>
      <c r="O2671" s="24">
        <f>IF(AND(ISNUMBER(M2671), ISNUMBER(I2671), I2671&gt;0), M2671/I2671, "")</f>
        <v/>
      </c>
    </row>
    <row r="2672">
      <c r="A2672" s="19" t="inlineStr">
        <is>
          <t>FY27</t>
        </is>
      </c>
      <c r="B2672" s="19" t="inlineStr">
        <is>
          <t>Jun</t>
        </is>
      </c>
      <c r="C2672" s="19" t="inlineStr">
        <is>
          <t>Kerala</t>
        </is>
      </c>
      <c r="D2672" s="20" t="inlineStr">
        <is>
          <t>KL05V4126</t>
        </is>
      </c>
      <c r="E2672" s="20" t="inlineStr">
        <is>
          <t>MARUTI SUZUKI</t>
        </is>
      </c>
      <c r="F2672" s="20" t="inlineStr">
        <is>
          <t>Alto</t>
        </is>
      </c>
      <c r="G2672" s="21" t="n">
        <v>2006</v>
      </c>
      <c r="H2672" s="22" t="n">
        <v>74565</v>
      </c>
      <c r="I2672" s="23" t="n">
        <v>55000</v>
      </c>
      <c r="J2672" s="20" t="inlineStr">
        <is>
          <t>POPULAR MARUTI</t>
        </is>
      </c>
      <c r="K2672" s="20" t="inlineStr">
        <is>
          <t>Non-Captive</t>
        </is>
      </c>
      <c r="L2672" s="20" t="inlineStr">
        <is>
          <t>AKHIL KT</t>
        </is>
      </c>
      <c r="M2672" s="23" t="n">
        <v>8474.58</v>
      </c>
      <c r="N2672" s="23" t="n">
        <v>10000</v>
      </c>
      <c r="O2672" s="24">
        <f>IF(AND(ISNUMBER(M2672), ISNUMBER(I2672), I2672&gt;0), M2672/I2672, "")</f>
        <v/>
      </c>
    </row>
    <row r="2673">
      <c r="A2673" s="19" t="inlineStr">
        <is>
          <t>FY27</t>
        </is>
      </c>
      <c r="B2673" s="19" t="inlineStr">
        <is>
          <t>Jun</t>
        </is>
      </c>
      <c r="C2673" s="19" t="inlineStr">
        <is>
          <t>Kerala</t>
        </is>
      </c>
      <c r="D2673" s="20" t="inlineStr">
        <is>
          <t>KL04X8744</t>
        </is>
      </c>
      <c r="E2673" s="20" t="inlineStr">
        <is>
          <t>MARUTI SUZUKI</t>
        </is>
      </c>
      <c r="F2673" s="20" t="inlineStr">
        <is>
          <t>Sx4</t>
        </is>
      </c>
      <c r="G2673" s="21" t="n">
        <v>2008</v>
      </c>
      <c r="H2673" s="22" t="n">
        <v>102170</v>
      </c>
      <c r="I2673" s="23" t="n">
        <v>65000</v>
      </c>
      <c r="J2673" s="20" t="inlineStr">
        <is>
          <t>POPULAR MARUTI</t>
        </is>
      </c>
      <c r="K2673" s="20" t="inlineStr">
        <is>
          <t>Non-Captive</t>
        </is>
      </c>
      <c r="L2673" s="20" t="inlineStr">
        <is>
          <t>JOSHY</t>
        </is>
      </c>
      <c r="M2673" s="23" t="n">
        <v>12711.86</v>
      </c>
      <c r="N2673" s="23" t="n">
        <v>15000</v>
      </c>
      <c r="O2673" s="24">
        <f>IF(AND(ISNUMBER(M2673), ISNUMBER(I2673), I2673&gt;0), M2673/I2673, "")</f>
        <v/>
      </c>
    </row>
    <row r="2674">
      <c r="A2674" s="19" t="inlineStr">
        <is>
          <t>FY27</t>
        </is>
      </c>
      <c r="B2674" s="19" t="inlineStr">
        <is>
          <t>Jun</t>
        </is>
      </c>
      <c r="C2674" s="19" t="inlineStr">
        <is>
          <t>Kerala</t>
        </is>
      </c>
      <c r="D2674" s="20" t="inlineStr">
        <is>
          <t>KL30E5044</t>
        </is>
      </c>
      <c r="E2674" s="20" t="inlineStr">
        <is>
          <t>TATA</t>
        </is>
      </c>
      <c r="F2674" s="20" t="inlineStr">
        <is>
          <t>Nano</t>
        </is>
      </c>
      <c r="G2674" s="21" t="n">
        <v>2016</v>
      </c>
      <c r="H2674" s="22" t="n">
        <v>92737</v>
      </c>
      <c r="I2674" s="23" t="n">
        <v>110000</v>
      </c>
      <c r="J2674" s="20" t="inlineStr">
        <is>
          <t>POPULAR MARUTI</t>
        </is>
      </c>
      <c r="K2674" s="20" t="inlineStr">
        <is>
          <t>Non-Captive</t>
        </is>
      </c>
      <c r="L2674" s="20" t="inlineStr">
        <is>
          <t>DREAM DRIVE</t>
        </is>
      </c>
      <c r="M2674" s="23" t="n">
        <v>12711.86</v>
      </c>
      <c r="N2674" s="23" t="n">
        <v>15000</v>
      </c>
      <c r="O2674" s="24">
        <f>IF(AND(ISNUMBER(M2674), ISNUMBER(I2674), I2674&gt;0), M2674/I2674, "")</f>
        <v/>
      </c>
    </row>
    <row r="2675">
      <c r="A2675" s="19" t="inlineStr">
        <is>
          <t>FY27</t>
        </is>
      </c>
      <c r="B2675" s="19" t="inlineStr">
        <is>
          <t>Jun</t>
        </is>
      </c>
      <c r="C2675" s="19" t="inlineStr">
        <is>
          <t>Kerala</t>
        </is>
      </c>
      <c r="D2675" s="20" t="inlineStr">
        <is>
          <t>KL02AZ3386</t>
        </is>
      </c>
      <c r="E2675" s="20" t="inlineStr">
        <is>
          <t>HONDA</t>
        </is>
      </c>
      <c r="F2675" s="20" t="inlineStr">
        <is>
          <t>Br-V</t>
        </is>
      </c>
      <c r="G2675" s="21" t="n">
        <v>2016</v>
      </c>
      <c r="H2675" s="22" t="n">
        <v>136005</v>
      </c>
      <c r="I2675" s="23" t="n">
        <v>347000</v>
      </c>
      <c r="J2675" s="20" t="inlineStr">
        <is>
          <t>AKHILNATH</t>
        </is>
      </c>
      <c r="K2675" s="20" t="inlineStr">
        <is>
          <t>Non-Captive</t>
        </is>
      </c>
      <c r="L2675" s="20" t="inlineStr">
        <is>
          <t>ATHUL RAJ</t>
        </is>
      </c>
      <c r="M2675" s="23" t="n">
        <v>5932.2</v>
      </c>
      <c r="N2675" s="23" t="n">
        <v>7000</v>
      </c>
      <c r="O2675" s="24">
        <f>IF(AND(ISNUMBER(M2675), ISNUMBER(I2675), I2675&gt;0), M2675/I2675, "")</f>
        <v/>
      </c>
    </row>
    <row r="2676">
      <c r="A2676" s="19" t="inlineStr">
        <is>
          <t>FY27</t>
        </is>
      </c>
      <c r="B2676" s="19" t="inlineStr">
        <is>
          <t>Jun</t>
        </is>
      </c>
      <c r="C2676" s="19" t="inlineStr">
        <is>
          <t>Kerala</t>
        </is>
      </c>
      <c r="D2676" s="20" t="inlineStr">
        <is>
          <t>KL56M7241</t>
        </is>
      </c>
      <c r="E2676" s="20" t="inlineStr">
        <is>
          <t>TATA</t>
        </is>
      </c>
      <c r="F2676" s="20" t="inlineStr">
        <is>
          <t>Bolt</t>
        </is>
      </c>
      <c r="G2676" s="21" t="n">
        <v>2015</v>
      </c>
      <c r="H2676" s="22" t="n">
        <v>56000</v>
      </c>
      <c r="I2676" s="23" t="n">
        <v>135000</v>
      </c>
      <c r="J2676" s="20" t="inlineStr">
        <is>
          <t>KVR TATA</t>
        </is>
      </c>
      <c r="K2676" s="20" t="inlineStr">
        <is>
          <t>Non-Captive</t>
        </is>
      </c>
      <c r="L2676" s="20" t="inlineStr">
        <is>
          <t>SAYOOJ</t>
        </is>
      </c>
      <c r="M2676" s="23" t="n">
        <v>4237.29</v>
      </c>
      <c r="N2676" s="23" t="n">
        <v>5000</v>
      </c>
      <c r="O2676" s="24">
        <f>IF(AND(ISNUMBER(M2676), ISNUMBER(I2676), I2676&gt;0), M2676/I2676, "")</f>
        <v/>
      </c>
    </row>
    <row r="2677">
      <c r="A2677" s="19" t="inlineStr">
        <is>
          <t>FY27</t>
        </is>
      </c>
      <c r="B2677" s="19" t="inlineStr">
        <is>
          <t>Jun</t>
        </is>
      </c>
      <c r="C2677" s="19" t="inlineStr">
        <is>
          <t>Kerala</t>
        </is>
      </c>
      <c r="D2677" s="20" t="inlineStr">
        <is>
          <t>KL16D2941</t>
        </is>
      </c>
      <c r="E2677" s="20" t="inlineStr">
        <is>
          <t>MARUTI SUZUKI</t>
        </is>
      </c>
      <c r="F2677" s="20" t="inlineStr">
        <is>
          <t>Swift</t>
        </is>
      </c>
      <c r="G2677" s="21" t="n">
        <v>2006</v>
      </c>
      <c r="H2677" s="22" t="n">
        <v>90000</v>
      </c>
      <c r="I2677" s="23" t="n">
        <v>36000</v>
      </c>
      <c r="J2677" s="20" t="inlineStr">
        <is>
          <t>POPULAR MARUTI</t>
        </is>
      </c>
      <c r="K2677" s="20" t="inlineStr">
        <is>
          <t>Non-Captive</t>
        </is>
      </c>
      <c r="L2677" s="20" t="inlineStr">
        <is>
          <t>SARITH R</t>
        </is>
      </c>
      <c r="M2677" s="23" t="n">
        <v>5084.75</v>
      </c>
      <c r="N2677" s="23" t="n">
        <v>6000</v>
      </c>
      <c r="O2677" s="24">
        <f>IF(AND(ISNUMBER(M2677), ISNUMBER(I2677), I2677&gt;0), M2677/I2677, "")</f>
        <v/>
      </c>
    </row>
    <row r="2678">
      <c r="A2678" s="19" t="inlineStr">
        <is>
          <t>FY27</t>
        </is>
      </c>
      <c r="B2678" s="19" t="inlineStr">
        <is>
          <t>Jun</t>
        </is>
      </c>
      <c r="C2678" s="19" t="inlineStr">
        <is>
          <t>Kerala</t>
        </is>
      </c>
      <c r="D2678" s="20" t="inlineStr">
        <is>
          <t>KL59B5271</t>
        </is>
      </c>
      <c r="E2678" s="20" t="inlineStr">
        <is>
          <t>MARUTI SUZUKI</t>
        </is>
      </c>
      <c r="F2678" s="20" t="inlineStr">
        <is>
          <t>Alto</t>
        </is>
      </c>
      <c r="G2678" s="21" t="n">
        <v>2010</v>
      </c>
      <c r="H2678" s="22" t="n">
        <v>89000</v>
      </c>
      <c r="I2678" s="23" t="n">
        <v>53000</v>
      </c>
      <c r="J2678" s="20" t="inlineStr">
        <is>
          <t>POPULAR MARUTI</t>
        </is>
      </c>
      <c r="K2678" s="20" t="inlineStr">
        <is>
          <t>Non-Captive</t>
        </is>
      </c>
      <c r="L2678" s="20" t="inlineStr">
        <is>
          <t>SARITH R</t>
        </is>
      </c>
      <c r="M2678" s="23" t="n">
        <v>6779.66</v>
      </c>
      <c r="N2678" s="23" t="n">
        <v>8000</v>
      </c>
      <c r="O2678" s="24">
        <f>IF(AND(ISNUMBER(M2678), ISNUMBER(I2678), I2678&gt;0), M2678/I2678, "")</f>
        <v/>
      </c>
    </row>
    <row r="2679">
      <c r="A2679" s="19" t="inlineStr">
        <is>
          <t>FY27</t>
        </is>
      </c>
      <c r="B2679" s="19" t="inlineStr">
        <is>
          <t>Jun</t>
        </is>
      </c>
      <c r="C2679" s="19" t="inlineStr">
        <is>
          <t>Kerala</t>
        </is>
      </c>
      <c r="D2679" s="20" t="inlineStr">
        <is>
          <t>KL11Z8845</t>
        </is>
      </c>
      <c r="E2679" s="20" t="inlineStr">
        <is>
          <t>MARUTI SUZUKI</t>
        </is>
      </c>
      <c r="F2679" s="20" t="inlineStr">
        <is>
          <t>M800</t>
        </is>
      </c>
      <c r="G2679" s="21" t="n">
        <v>2007</v>
      </c>
      <c r="H2679" s="22" t="n">
        <v>190000</v>
      </c>
      <c r="I2679" s="23" t="n">
        <v>32000</v>
      </c>
      <c r="J2679" s="20" t="inlineStr">
        <is>
          <t>POPULAR MARUTI</t>
        </is>
      </c>
      <c r="K2679" s="20" t="inlineStr">
        <is>
          <t>Non-Captive</t>
        </is>
      </c>
      <c r="L2679" s="20" t="inlineStr">
        <is>
          <t>AUTOTRUST</t>
        </is>
      </c>
      <c r="M2679" s="23" t="n">
        <v>5932.2</v>
      </c>
      <c r="N2679" s="23" t="n">
        <v>7000</v>
      </c>
      <c r="O2679" s="24">
        <f>IF(AND(ISNUMBER(M2679), ISNUMBER(I2679), I2679&gt;0), M2679/I2679, "")</f>
        <v/>
      </c>
    </row>
    <row r="2680">
      <c r="A2680" s="19" t="inlineStr">
        <is>
          <t>FY27</t>
        </is>
      </c>
      <c r="B2680" s="19" t="inlineStr">
        <is>
          <t>Jun</t>
        </is>
      </c>
      <c r="C2680" s="19" t="inlineStr">
        <is>
          <t>Kerala</t>
        </is>
      </c>
      <c r="D2680" s="20" t="inlineStr">
        <is>
          <t>KL14K8154</t>
        </is>
      </c>
      <c r="E2680" s="20" t="inlineStr">
        <is>
          <t>MARUTI SUZUKI</t>
        </is>
      </c>
      <c r="F2680" s="20" t="inlineStr">
        <is>
          <t>Alto</t>
        </is>
      </c>
      <c r="G2680" s="21" t="n">
        <v>2011</v>
      </c>
      <c r="H2680" s="22" t="n">
        <v>200000</v>
      </c>
      <c r="I2680" s="23" t="n">
        <v>6000</v>
      </c>
      <c r="J2680" s="20" t="inlineStr">
        <is>
          <t>POPULAR MARUTI</t>
        </is>
      </c>
      <c r="K2680" s="20" t="inlineStr">
        <is>
          <t>Non-Captive</t>
        </is>
      </c>
      <c r="L2680" s="20" t="inlineStr">
        <is>
          <t>AUTOTRUST</t>
        </is>
      </c>
      <c r="M2680" s="23" t="n">
        <v>5084.75</v>
      </c>
      <c r="N2680" s="23" t="n">
        <v>6000</v>
      </c>
      <c r="O2680" s="24">
        <f>IF(AND(ISNUMBER(M2680), ISNUMBER(I2680), I2680&gt;0), M2680/I2680, "")</f>
        <v/>
      </c>
    </row>
    <row r="2681">
      <c r="A2681" s="19" t="inlineStr">
        <is>
          <t>FY27</t>
        </is>
      </c>
      <c r="B2681" s="19" t="inlineStr">
        <is>
          <t>Jun</t>
        </is>
      </c>
      <c r="C2681" s="19" t="inlineStr">
        <is>
          <t>Kerala</t>
        </is>
      </c>
      <c r="D2681" s="20" t="inlineStr">
        <is>
          <t>KL05AX6989</t>
        </is>
      </c>
      <c r="E2681" s="20" t="inlineStr">
        <is>
          <t>RENAULT</t>
        </is>
      </c>
      <c r="F2681" s="20" t="inlineStr">
        <is>
          <t>Kwid</t>
        </is>
      </c>
      <c r="G2681" s="21" t="n">
        <v>2021</v>
      </c>
      <c r="H2681" s="22" t="n">
        <v>51232</v>
      </c>
      <c r="I2681" s="23" t="n">
        <v>350000</v>
      </c>
      <c r="J2681" s="20" t="inlineStr">
        <is>
          <t>DREAM DRIVE</t>
        </is>
      </c>
      <c r="K2681" s="20" t="inlineStr">
        <is>
          <t>Non-Captive</t>
        </is>
      </c>
      <c r="L2681" s="20" t="inlineStr">
        <is>
          <t>SUDHEESH K SATHEESH</t>
        </is>
      </c>
      <c r="M2681" s="23" t="n">
        <v>8474.58</v>
      </c>
      <c r="N2681" s="23" t="n">
        <v>10000</v>
      </c>
      <c r="O2681" s="24">
        <f>IF(AND(ISNUMBER(M2681), ISNUMBER(I2681), I2681&gt;0), M2681/I2681, "")</f>
        <v/>
      </c>
    </row>
    <row r="2682">
      <c r="A2682" s="19" t="inlineStr">
        <is>
          <t>FY27</t>
        </is>
      </c>
      <c r="B2682" s="19" t="inlineStr">
        <is>
          <t>Jun</t>
        </is>
      </c>
      <c r="C2682" s="19" t="inlineStr">
        <is>
          <t>Kerala</t>
        </is>
      </c>
      <c r="D2682" s="20" t="inlineStr">
        <is>
          <t>KL35M8259</t>
        </is>
      </c>
      <c r="E2682" s="20" t="inlineStr">
        <is>
          <t>RENAULT</t>
        </is>
      </c>
      <c r="F2682" s="20" t="inlineStr">
        <is>
          <t>Kwid</t>
        </is>
      </c>
      <c r="G2682" s="21" t="n">
        <v>2024</v>
      </c>
      <c r="H2682" s="22" t="n">
        <v>17383</v>
      </c>
      <c r="I2682" s="23" t="n">
        <v>360000</v>
      </c>
      <c r="J2682" s="20" t="inlineStr">
        <is>
          <t>SAI MARUTI</t>
        </is>
      </c>
      <c r="K2682" s="20" t="inlineStr">
        <is>
          <t>Non-Captive</t>
        </is>
      </c>
      <c r="L2682" s="20" t="inlineStr">
        <is>
          <t>AITOS CARS</t>
        </is>
      </c>
      <c r="M2682" s="23" t="n">
        <v>8474.58</v>
      </c>
      <c r="N2682" s="23" t="n">
        <v>10000</v>
      </c>
      <c r="O2682" s="24">
        <f>IF(AND(ISNUMBER(M2682), ISNUMBER(I2682), I2682&gt;0), M2682/I2682, "")</f>
        <v/>
      </c>
    </row>
    <row r="2683">
      <c r="A2683" s="19" t="inlineStr">
        <is>
          <t>FY27</t>
        </is>
      </c>
      <c r="B2683" s="19" t="inlineStr">
        <is>
          <t>Jun</t>
        </is>
      </c>
      <c r="C2683" s="19" t="inlineStr">
        <is>
          <t>Kerala</t>
        </is>
      </c>
      <c r="D2683" s="20" t="inlineStr">
        <is>
          <t>KL22L7036</t>
        </is>
      </c>
      <c r="E2683" s="20" t="inlineStr">
        <is>
          <t>MARUTI SUZUKI</t>
        </is>
      </c>
      <c r="F2683" s="20" t="inlineStr">
        <is>
          <t>K10</t>
        </is>
      </c>
      <c r="G2683" s="21" t="n">
        <v>2018</v>
      </c>
      <c r="H2683" s="22" t="n">
        <v>17656</v>
      </c>
      <c r="I2683" s="23" t="n">
        <v>370000</v>
      </c>
      <c r="J2683" s="20" t="inlineStr">
        <is>
          <t>MUHAMMED SHAJI</t>
        </is>
      </c>
      <c r="K2683" s="20" t="inlineStr">
        <is>
          <t>Non-Captive</t>
        </is>
      </c>
      <c r="L2683" s="20" t="inlineStr">
        <is>
          <t>SUDHEESH K SATHEESH</t>
        </is>
      </c>
      <c r="M2683" s="23" t="n">
        <v>8474.58</v>
      </c>
      <c r="N2683" s="23" t="n">
        <v>10000</v>
      </c>
      <c r="O2683" s="24">
        <f>IF(AND(ISNUMBER(M2683), ISNUMBER(I2683), I2683&gt;0), M2683/I2683, "")</f>
        <v/>
      </c>
    </row>
    <row r="2684">
      <c r="A2684" s="19" t="inlineStr">
        <is>
          <t>FY27</t>
        </is>
      </c>
      <c r="B2684" s="19" t="inlineStr">
        <is>
          <t>Jun</t>
        </is>
      </c>
      <c r="C2684" s="19" t="inlineStr">
        <is>
          <t>Kerala</t>
        </is>
      </c>
      <c r="D2684" s="20" t="inlineStr">
        <is>
          <t>KL53T9538</t>
        </is>
      </c>
      <c r="E2684" s="20" t="inlineStr">
        <is>
          <t>RENAULT</t>
        </is>
      </c>
      <c r="F2684" s="20" t="inlineStr">
        <is>
          <t>Triber</t>
        </is>
      </c>
      <c r="G2684" s="21" t="n">
        <v>2022</v>
      </c>
      <c r="H2684" s="22" t="n">
        <v>10080</v>
      </c>
      <c r="I2684" s="23" t="n">
        <v>500000</v>
      </c>
      <c r="J2684" s="20" t="inlineStr">
        <is>
          <t>SAI MARUTI</t>
        </is>
      </c>
      <c r="K2684" s="20" t="inlineStr">
        <is>
          <t>Non-Captive</t>
        </is>
      </c>
      <c r="L2684" s="20" t="inlineStr">
        <is>
          <t>AITOS CARS</t>
        </is>
      </c>
      <c r="M2684" s="23" t="n">
        <v>8474.58</v>
      </c>
      <c r="N2684" s="23" t="n">
        <v>10000</v>
      </c>
      <c r="O2684" s="24">
        <f>IF(AND(ISNUMBER(M2684), ISNUMBER(I2684), I2684&gt;0), M2684/I2684, "")</f>
        <v/>
      </c>
    </row>
    <row r="2685">
      <c r="A2685" s="19" t="inlineStr">
        <is>
          <t>FY27</t>
        </is>
      </c>
      <c r="B2685" s="19" t="inlineStr">
        <is>
          <t>Jun</t>
        </is>
      </c>
      <c r="C2685" s="19" t="inlineStr">
        <is>
          <t>Kerala</t>
        </is>
      </c>
      <c r="D2685" s="20" t="inlineStr">
        <is>
          <t>KL31G2480</t>
        </is>
      </c>
      <c r="E2685" s="20" t="inlineStr">
        <is>
          <t>MARUTI SUZUKI</t>
        </is>
      </c>
      <c r="F2685" s="20" t="inlineStr">
        <is>
          <t>Swift Dzire</t>
        </is>
      </c>
      <c r="G2685" s="21" t="n">
        <v>2014</v>
      </c>
      <c r="H2685" s="22" t="n">
        <v>88978</v>
      </c>
      <c r="I2685" s="23" t="n">
        <v>340000</v>
      </c>
      <c r="J2685" s="20" t="inlineStr">
        <is>
          <t>AMRITH V CHANDY</t>
        </is>
      </c>
      <c r="K2685" s="20" t="inlineStr">
        <is>
          <t>Non-Captive</t>
        </is>
      </c>
      <c r="L2685" s="20" t="inlineStr">
        <is>
          <t>ANAS HAMEED</t>
        </is>
      </c>
      <c r="M2685" s="23" t="n">
        <v>12711.86</v>
      </c>
      <c r="N2685" s="23" t="n">
        <v>15000</v>
      </c>
      <c r="O2685" s="24">
        <f>IF(AND(ISNUMBER(M2685), ISNUMBER(I2685), I2685&gt;0), M2685/I2685, "")</f>
        <v/>
      </c>
    </row>
    <row r="2686">
      <c r="A2686" s="19" t="inlineStr">
        <is>
          <t>FY27</t>
        </is>
      </c>
      <c r="B2686" s="19" t="inlineStr">
        <is>
          <t>Jun</t>
        </is>
      </c>
      <c r="C2686" s="19" t="inlineStr">
        <is>
          <t>Kerala</t>
        </is>
      </c>
      <c r="D2686" s="20" t="inlineStr">
        <is>
          <t>KL460635</t>
        </is>
      </c>
      <c r="E2686" s="20" t="inlineStr">
        <is>
          <t>MARUTI SUZUKI</t>
        </is>
      </c>
      <c r="F2686" s="20" t="inlineStr">
        <is>
          <t>Wagon R</t>
        </is>
      </c>
      <c r="G2686" s="21" t="n">
        <v>2006</v>
      </c>
      <c r="H2686" s="22" t="n">
        <v>98000</v>
      </c>
      <c r="I2686" s="23" t="n">
        <v>110000</v>
      </c>
      <c r="J2686" s="20" t="inlineStr">
        <is>
          <t>POPULAR MARUTI</t>
        </is>
      </c>
      <c r="K2686" s="20" t="inlineStr">
        <is>
          <t>Non-Captive</t>
        </is>
      </c>
      <c r="L2686" s="20" t="inlineStr">
        <is>
          <t>AITOS CARS</t>
        </is>
      </c>
      <c r="M2686" s="23" t="n">
        <v>12711.86</v>
      </c>
      <c r="N2686" s="23" t="n">
        <v>15000</v>
      </c>
      <c r="O2686" s="24">
        <f>IF(AND(ISNUMBER(M2686), ISNUMBER(I2686), I2686&gt;0), M2686/I2686, "")</f>
        <v/>
      </c>
    </row>
    <row r="2687">
      <c r="A2687" s="19" t="inlineStr">
        <is>
          <t>FY27</t>
        </is>
      </c>
      <c r="B2687" s="19" t="inlineStr">
        <is>
          <t>Jun</t>
        </is>
      </c>
      <c r="C2687" s="19" t="inlineStr">
        <is>
          <t>Kerala</t>
        </is>
      </c>
      <c r="D2687" s="20" t="inlineStr">
        <is>
          <t>KL35G3962</t>
        </is>
      </c>
      <c r="E2687" s="20" t="inlineStr">
        <is>
          <t>HONDA</t>
        </is>
      </c>
      <c r="F2687" s="20" t="inlineStr">
        <is>
          <t>City</t>
        </is>
      </c>
      <c r="G2687" s="21" t="n">
        <v>2016</v>
      </c>
      <c r="H2687" s="22" t="n">
        <v>11900</v>
      </c>
      <c r="I2687" s="23" t="n">
        <v>450000</v>
      </c>
      <c r="J2687" s="20" t="inlineStr">
        <is>
          <t>PHOENIX VOLKSWAGEN</t>
        </is>
      </c>
      <c r="K2687" s="20" t="inlineStr">
        <is>
          <t>Non-Captive</t>
        </is>
      </c>
      <c r="L2687" s="20" t="inlineStr">
        <is>
          <t>JAMSHEER</t>
        </is>
      </c>
      <c r="M2687" s="23" t="n">
        <v>8474.58</v>
      </c>
      <c r="N2687" s="23" t="n">
        <v>10000</v>
      </c>
      <c r="O2687" s="24">
        <f>IF(AND(ISNUMBER(M2687), ISNUMBER(I2687), I2687&gt;0), M2687/I2687, "")</f>
        <v/>
      </c>
    </row>
    <row r="2688">
      <c r="A2688" s="19" t="inlineStr">
        <is>
          <t>FY27</t>
        </is>
      </c>
      <c r="B2688" s="19" t="inlineStr">
        <is>
          <t>Jun</t>
        </is>
      </c>
      <c r="C2688" s="19" t="inlineStr">
        <is>
          <t>Kerala</t>
        </is>
      </c>
      <c r="D2688" s="20" t="inlineStr">
        <is>
          <t>KL11BA8734</t>
        </is>
      </c>
      <c r="E2688" s="20" t="inlineStr">
        <is>
          <t>MARUTI SUZUKI</t>
        </is>
      </c>
      <c r="F2688" s="20" t="inlineStr">
        <is>
          <t>Wagon R</t>
        </is>
      </c>
      <c r="G2688" s="21" t="n">
        <v>2015</v>
      </c>
      <c r="H2688" s="22" t="n">
        <v>57000</v>
      </c>
      <c r="I2688" s="23" t="n">
        <v>320000</v>
      </c>
      <c r="J2688" s="20" t="inlineStr">
        <is>
          <t>BIMAL</t>
        </is>
      </c>
      <c r="K2688" s="20" t="inlineStr">
        <is>
          <t>Non-Captive</t>
        </is>
      </c>
      <c r="L2688" s="20" t="inlineStr">
        <is>
          <t>MUHAMMED NISAB</t>
        </is>
      </c>
      <c r="M2688" s="23" t="n">
        <v>8474.58</v>
      </c>
      <c r="N2688" s="23" t="n">
        <v>10000</v>
      </c>
      <c r="O2688" s="24">
        <f>IF(AND(ISNUMBER(M2688), ISNUMBER(I2688), I2688&gt;0), M2688/I2688, "")</f>
        <v/>
      </c>
    </row>
    <row r="2689">
      <c r="A2689" s="19" t="inlineStr">
        <is>
          <t>FY27</t>
        </is>
      </c>
      <c r="B2689" s="19" t="inlineStr">
        <is>
          <t>Jun</t>
        </is>
      </c>
      <c r="C2689" s="19" t="inlineStr">
        <is>
          <t>Kerala</t>
        </is>
      </c>
      <c r="D2689" s="20" t="inlineStr">
        <is>
          <t>KL58M7384</t>
        </is>
      </c>
      <c r="E2689" s="20" t="inlineStr">
        <is>
          <t>DATSUN</t>
        </is>
      </c>
      <c r="F2689" s="20" t="inlineStr">
        <is>
          <t>Go</t>
        </is>
      </c>
      <c r="G2689" s="21" t="n">
        <v>2014</v>
      </c>
      <c r="H2689" s="22" t="n">
        <v>87000</v>
      </c>
      <c r="I2689" s="23" t="n">
        <v>39007</v>
      </c>
      <c r="J2689" s="20" t="inlineStr">
        <is>
          <t>UCD DIAZ</t>
        </is>
      </c>
      <c r="K2689" s="20" t="inlineStr">
        <is>
          <t>Non-Captive</t>
        </is>
      </c>
      <c r="L2689" s="20" t="inlineStr">
        <is>
          <t>AUTOTRUST</t>
        </is>
      </c>
      <c r="M2689" s="23" t="n">
        <v>5090.68</v>
      </c>
      <c r="N2689" s="23" t="n">
        <v>6007</v>
      </c>
      <c r="O2689" s="24">
        <f>IF(AND(ISNUMBER(M2689), ISNUMBER(I2689), I2689&gt;0), M2689/I2689, "")</f>
        <v/>
      </c>
    </row>
    <row r="2690">
      <c r="A2690" s="19" t="inlineStr">
        <is>
          <t>FY27</t>
        </is>
      </c>
      <c r="B2690" s="19" t="inlineStr">
        <is>
          <t>Jun</t>
        </is>
      </c>
      <c r="C2690" s="19" t="inlineStr">
        <is>
          <t>Kerala</t>
        </is>
      </c>
      <c r="D2690" s="20" t="inlineStr">
        <is>
          <t>KL45P6622</t>
        </is>
      </c>
      <c r="E2690" s="20" t="inlineStr">
        <is>
          <t>MAHINDRA</t>
        </is>
      </c>
      <c r="F2690" s="20" t="inlineStr">
        <is>
          <t>Kuv100</t>
        </is>
      </c>
      <c r="G2690" s="21" t="n">
        <v>2017</v>
      </c>
      <c r="H2690" s="22" t="n">
        <v>35000</v>
      </c>
      <c r="I2690" s="23" t="n">
        <v>250000</v>
      </c>
      <c r="J2690" s="20" t="inlineStr">
        <is>
          <t>EVM CITROEN</t>
        </is>
      </c>
      <c r="K2690" s="20" t="inlineStr">
        <is>
          <t>Non-Captive</t>
        </is>
      </c>
      <c r="L2690" s="20" t="inlineStr">
        <is>
          <t>UMESHKUMAR T U</t>
        </is>
      </c>
      <c r="M2690" s="23" t="n">
        <v>10169.49</v>
      </c>
      <c r="N2690" s="23" t="n">
        <v>12000</v>
      </c>
      <c r="O2690" s="24">
        <f>IF(AND(ISNUMBER(M2690), ISNUMBER(I2690), I2690&gt;0), M2690/I2690, "")</f>
        <v/>
      </c>
    </row>
    <row r="2691">
      <c r="A2691" s="19" t="inlineStr">
        <is>
          <t>FY27</t>
        </is>
      </c>
      <c r="B2691" s="19" t="inlineStr">
        <is>
          <t>Jun</t>
        </is>
      </c>
      <c r="C2691" s="19" t="inlineStr">
        <is>
          <t>Kerala</t>
        </is>
      </c>
      <c r="D2691" s="20" t="inlineStr">
        <is>
          <t>KL07BT4317</t>
        </is>
      </c>
      <c r="E2691" s="20" t="inlineStr">
        <is>
          <t>MARUTI SUZUKI</t>
        </is>
      </c>
      <c r="F2691" s="20" t="inlineStr">
        <is>
          <t>Ritz</t>
        </is>
      </c>
      <c r="G2691" s="21" t="n">
        <v>2011</v>
      </c>
      <c r="H2691" s="22" t="n">
        <v>70134</v>
      </c>
      <c r="I2691" s="23" t="n">
        <v>180000</v>
      </c>
      <c r="J2691" s="20" t="inlineStr">
        <is>
          <t>INDUS MARUTI</t>
        </is>
      </c>
      <c r="K2691" s="20" t="inlineStr">
        <is>
          <t>Non-Captive</t>
        </is>
      </c>
      <c r="L2691" s="20" t="inlineStr">
        <is>
          <t>VTJ</t>
        </is>
      </c>
      <c r="M2691" s="23" t="n">
        <v>8474.58</v>
      </c>
      <c r="N2691" s="23" t="n">
        <v>10000</v>
      </c>
      <c r="O2691" s="24">
        <f>IF(AND(ISNUMBER(M2691), ISNUMBER(I2691), I2691&gt;0), M2691/I2691, "")</f>
        <v/>
      </c>
    </row>
    <row r="2692">
      <c r="A2692" s="19" t="inlineStr">
        <is>
          <t>FY27</t>
        </is>
      </c>
      <c r="B2692" s="19" t="inlineStr">
        <is>
          <t>Jun</t>
        </is>
      </c>
      <c r="C2692" s="19" t="inlineStr">
        <is>
          <t>Kerala</t>
        </is>
      </c>
      <c r="D2692" s="20" t="inlineStr">
        <is>
          <t>KL38L0347</t>
        </is>
      </c>
      <c r="E2692" s="20" t="inlineStr">
        <is>
          <t>TATA</t>
        </is>
      </c>
      <c r="F2692" s="20" t="inlineStr">
        <is>
          <t>Altroz</t>
        </is>
      </c>
      <c r="G2692" s="21" t="n">
        <v>2023</v>
      </c>
      <c r="H2692" s="22" t="n">
        <v>21789</v>
      </c>
      <c r="I2692" s="23" t="n">
        <v>330000</v>
      </c>
      <c r="J2692" s="20" t="inlineStr">
        <is>
          <t>CARS24</t>
        </is>
      </c>
      <c r="K2692" s="20" t="inlineStr">
        <is>
          <t>Non-Captive</t>
        </is>
      </c>
      <c r="L2692" s="20" t="inlineStr">
        <is>
          <t>DINESH P S</t>
        </is>
      </c>
      <c r="M2692" s="23" t="n">
        <v>8474.58</v>
      </c>
      <c r="N2692" s="23" t="n">
        <v>10000</v>
      </c>
      <c r="O2692" s="24">
        <f>IF(AND(ISNUMBER(M2692), ISNUMBER(I2692), I2692&gt;0), M2692/I2692, "")</f>
        <v/>
      </c>
    </row>
    <row r="2693">
      <c r="A2693" s="19" t="inlineStr">
        <is>
          <t>FY27</t>
        </is>
      </c>
      <c r="B2693" s="19" t="inlineStr">
        <is>
          <t>Jun</t>
        </is>
      </c>
      <c r="C2693" s="19" t="inlineStr">
        <is>
          <t>Kerala</t>
        </is>
      </c>
      <c r="D2693" s="20" t="inlineStr">
        <is>
          <t>KL13AE8873</t>
        </is>
      </c>
      <c r="E2693" s="20" t="inlineStr">
        <is>
          <t>HYUNDAI</t>
        </is>
      </c>
      <c r="F2693" s="20" t="inlineStr">
        <is>
          <t>Xcent</t>
        </is>
      </c>
      <c r="G2693" s="21" t="n">
        <v>2015</v>
      </c>
      <c r="H2693" s="22" t="n">
        <v>58500</v>
      </c>
      <c r="I2693" s="23" t="n">
        <v>255000</v>
      </c>
      <c r="J2693" s="20" t="inlineStr">
        <is>
          <t>LUXON TATA</t>
        </is>
      </c>
      <c r="K2693" s="20" t="inlineStr">
        <is>
          <t>Non-Captive</t>
        </is>
      </c>
      <c r="L2693" s="20" t="inlineStr">
        <is>
          <t>SANTHOSH</t>
        </is>
      </c>
      <c r="M2693" s="23" t="n">
        <v>4237.29</v>
      </c>
      <c r="N2693" s="23" t="n">
        <v>5000</v>
      </c>
      <c r="O2693" s="24">
        <f>IF(AND(ISNUMBER(M2693), ISNUMBER(I2693), I2693&gt;0), M2693/I2693, "")</f>
        <v/>
      </c>
    </row>
    <row r="2694">
      <c r="A2694" s="19" t="inlineStr">
        <is>
          <t>FY27</t>
        </is>
      </c>
      <c r="B2694" s="19" t="inlineStr">
        <is>
          <t>Jun</t>
        </is>
      </c>
      <c r="C2694" s="19" t="inlineStr">
        <is>
          <t>Kerala</t>
        </is>
      </c>
      <c r="D2694" s="20" t="inlineStr">
        <is>
          <t>KL01AQ1603</t>
        </is>
      </c>
      <c r="E2694" s="20" t="inlineStr">
        <is>
          <t>MARUTI SUZUKI</t>
        </is>
      </c>
      <c r="F2694" s="20" t="inlineStr">
        <is>
          <t>Wagon R</t>
        </is>
      </c>
      <c r="G2694" s="21" t="n">
        <v>2007</v>
      </c>
      <c r="H2694" s="22" t="n">
        <v>110000</v>
      </c>
      <c r="I2694" s="23" t="n">
        <v>65000</v>
      </c>
      <c r="J2694" s="20" t="inlineStr">
        <is>
          <t>MAXX MOTORS</t>
        </is>
      </c>
      <c r="K2694" s="20" t="inlineStr">
        <is>
          <t>Non-Captive</t>
        </is>
      </c>
      <c r="L2694" s="20" t="inlineStr">
        <is>
          <t>KISHORE</t>
        </is>
      </c>
      <c r="M2694" s="23" t="n">
        <v>4237.29</v>
      </c>
      <c r="N2694" s="23" t="n">
        <v>5000</v>
      </c>
      <c r="O2694" s="24">
        <f>IF(AND(ISNUMBER(M2694), ISNUMBER(I2694), I2694&gt;0), M2694/I2694, "")</f>
        <v/>
      </c>
    </row>
    <row r="2695">
      <c r="A2695" s="19" t="inlineStr">
        <is>
          <t>FY27</t>
        </is>
      </c>
      <c r="B2695" s="19" t="inlineStr">
        <is>
          <t>Jun</t>
        </is>
      </c>
      <c r="C2695" s="19" t="inlineStr">
        <is>
          <t>Kerala</t>
        </is>
      </c>
      <c r="D2695" s="20" t="inlineStr">
        <is>
          <t>KL01AR2999</t>
        </is>
      </c>
      <c r="E2695" s="20" t="inlineStr">
        <is>
          <t>FORD</t>
        </is>
      </c>
      <c r="F2695" s="20" t="inlineStr">
        <is>
          <t>Ikon</t>
        </is>
      </c>
      <c r="G2695" s="21" t="n">
        <v>2007</v>
      </c>
      <c r="H2695" s="22" t="n">
        <v>85000</v>
      </c>
      <c r="I2695" s="23" t="n">
        <v>35000</v>
      </c>
      <c r="J2695" s="20" t="inlineStr">
        <is>
          <t>LUXON TATA</t>
        </is>
      </c>
      <c r="K2695" s="20" t="inlineStr">
        <is>
          <t>Non-Captive</t>
        </is>
      </c>
      <c r="L2695" s="20" t="inlineStr">
        <is>
          <t>ABHISHEK</t>
        </is>
      </c>
      <c r="M2695" s="23" t="n">
        <v>4237.29</v>
      </c>
      <c r="N2695" s="23" t="n">
        <v>5000</v>
      </c>
      <c r="O2695" s="24">
        <f>IF(AND(ISNUMBER(M2695), ISNUMBER(I2695), I2695&gt;0), M2695/I2695, "")</f>
        <v/>
      </c>
    </row>
    <row r="2696">
      <c r="A2696" s="19" t="inlineStr">
        <is>
          <t>FY27</t>
        </is>
      </c>
      <c r="B2696" s="19" t="inlineStr">
        <is>
          <t>Jun</t>
        </is>
      </c>
      <c r="C2696" s="19" t="inlineStr">
        <is>
          <t>Kerala</t>
        </is>
      </c>
      <c r="D2696" s="20" t="inlineStr">
        <is>
          <t>KL02BC2353</t>
        </is>
      </c>
      <c r="E2696" s="20" t="inlineStr">
        <is>
          <t>HYUNDAI</t>
        </is>
      </c>
      <c r="F2696" s="20" t="inlineStr">
        <is>
          <t>Grand I10</t>
        </is>
      </c>
      <c r="G2696" s="21" t="n">
        <v>2017</v>
      </c>
      <c r="H2696" s="22" t="n">
        <v>51662</v>
      </c>
      <c r="I2696" s="23" t="n">
        <v>286000</v>
      </c>
      <c r="J2696" s="20" t="inlineStr">
        <is>
          <t>FORTUNE MG</t>
        </is>
      </c>
      <c r="K2696" s="20" t="inlineStr">
        <is>
          <t>Non-Captive</t>
        </is>
      </c>
      <c r="L2696" s="20" t="inlineStr">
        <is>
          <t>RAMSHAD</t>
        </is>
      </c>
      <c r="M2696" s="23" t="n">
        <v>5084.75</v>
      </c>
      <c r="N2696" s="23" t="n">
        <v>6000</v>
      </c>
      <c r="O2696" s="24">
        <f>IF(AND(ISNUMBER(M2696), ISNUMBER(I2696), I2696&gt;0), M2696/I2696, "")</f>
        <v/>
      </c>
    </row>
    <row r="2697">
      <c r="A2697" s="19" t="inlineStr">
        <is>
          <t>FY27</t>
        </is>
      </c>
      <c r="B2697" s="19" t="inlineStr">
        <is>
          <t>Jun</t>
        </is>
      </c>
      <c r="C2697" s="19" t="inlineStr">
        <is>
          <t>Kerala</t>
        </is>
      </c>
      <c r="D2697" s="20" t="inlineStr">
        <is>
          <t>KL24K3388</t>
        </is>
      </c>
      <c r="E2697" s="20" t="inlineStr">
        <is>
          <t>MARUTI SUZUKI</t>
        </is>
      </c>
      <c r="F2697" s="20" t="inlineStr">
        <is>
          <t>Alto</t>
        </is>
      </c>
      <c r="G2697" s="21" t="n">
        <v>2015</v>
      </c>
      <c r="H2697" s="22" t="n">
        <v>50000</v>
      </c>
      <c r="I2697" s="23" t="n">
        <v>200000</v>
      </c>
      <c r="J2697" s="20" t="inlineStr">
        <is>
          <t>INCHEON KIA</t>
        </is>
      </c>
      <c r="K2697" s="20" t="inlineStr">
        <is>
          <t>Non-Captive</t>
        </is>
      </c>
      <c r="L2697" s="20" t="inlineStr">
        <is>
          <t>ANANDHU</t>
        </is>
      </c>
      <c r="M2697" s="23" t="n">
        <v>4237.29</v>
      </c>
      <c r="N2697" s="23" t="n">
        <v>5000</v>
      </c>
      <c r="O2697" s="24">
        <f>IF(AND(ISNUMBER(M2697), ISNUMBER(I2697), I2697&gt;0), M2697/I2697, "")</f>
        <v/>
      </c>
    </row>
    <row r="2698">
      <c r="A2698" s="19" t="inlineStr">
        <is>
          <t>FY27</t>
        </is>
      </c>
      <c r="B2698" s="19" t="inlineStr">
        <is>
          <t>Jun</t>
        </is>
      </c>
      <c r="C2698" s="19" t="inlineStr">
        <is>
          <t>Kerala</t>
        </is>
      </c>
      <c r="D2698" s="20" t="inlineStr">
        <is>
          <t>KL60F6339</t>
        </is>
      </c>
      <c r="E2698" s="20" t="inlineStr">
        <is>
          <t>MARUTI SUZUKI</t>
        </is>
      </c>
      <c r="F2698" s="20" t="inlineStr">
        <is>
          <t>Swift</t>
        </is>
      </c>
      <c r="G2698" s="21" t="n">
        <v>2013</v>
      </c>
      <c r="H2698" s="22" t="n">
        <v>138000</v>
      </c>
      <c r="I2698" s="23" t="n">
        <v>212000</v>
      </c>
      <c r="J2698" s="20" t="inlineStr">
        <is>
          <t>POPULAR MARUTI</t>
        </is>
      </c>
      <c r="K2698" s="20" t="inlineStr">
        <is>
          <t>Non-Captive</t>
        </is>
      </c>
      <c r="L2698" s="20" t="inlineStr">
        <is>
          <t>JIMMY</t>
        </is>
      </c>
      <c r="M2698" s="23" t="n">
        <v>5932.2</v>
      </c>
      <c r="N2698" s="23" t="n">
        <v>7000</v>
      </c>
      <c r="O2698" s="24">
        <f>IF(AND(ISNUMBER(M2698), ISNUMBER(I2698), I2698&gt;0), M2698/I2698, "")</f>
        <v/>
      </c>
    </row>
    <row r="2699">
      <c r="A2699" s="19" t="inlineStr">
        <is>
          <t>FY27</t>
        </is>
      </c>
      <c r="B2699" s="19" t="inlineStr">
        <is>
          <t>Jun</t>
        </is>
      </c>
      <c r="C2699" s="19" t="inlineStr">
        <is>
          <t>Kerala</t>
        </is>
      </c>
      <c r="D2699" s="20" t="inlineStr">
        <is>
          <t>KL22G1848</t>
        </is>
      </c>
      <c r="E2699" s="20" t="inlineStr">
        <is>
          <t>MARUTI SUZUKI</t>
        </is>
      </c>
      <c r="F2699" s="20" t="inlineStr">
        <is>
          <t>Ritz</t>
        </is>
      </c>
      <c r="G2699" s="21" t="n">
        <v>2014</v>
      </c>
      <c r="H2699" s="22" t="n">
        <v>100000</v>
      </c>
      <c r="I2699" s="23" t="n">
        <v>130000</v>
      </c>
      <c r="J2699" s="20" t="inlineStr">
        <is>
          <t>POPULAR MARUTI</t>
        </is>
      </c>
      <c r="K2699" s="20" t="inlineStr">
        <is>
          <t>Non-Captive</t>
        </is>
      </c>
      <c r="L2699" s="20" t="inlineStr">
        <is>
          <t>AUTOBOT</t>
        </is>
      </c>
      <c r="M2699" s="23" t="n">
        <v>25423.73</v>
      </c>
      <c r="N2699" s="23" t="n">
        <v>30000</v>
      </c>
      <c r="O2699" s="24">
        <f>IF(AND(ISNUMBER(M2699), ISNUMBER(I2699), I2699&gt;0), M2699/I2699, "")</f>
        <v/>
      </c>
    </row>
    <row r="2700">
      <c r="A2700" s="19" t="inlineStr">
        <is>
          <t>FY27</t>
        </is>
      </c>
      <c r="B2700" s="19" t="inlineStr">
        <is>
          <t>Jun</t>
        </is>
      </c>
      <c r="C2700" s="19" t="inlineStr">
        <is>
          <t>Kerala</t>
        </is>
      </c>
      <c r="D2700" s="20" t="inlineStr">
        <is>
          <t>KL11AG7164</t>
        </is>
      </c>
      <c r="E2700" s="20" t="inlineStr">
        <is>
          <t>FORD</t>
        </is>
      </c>
      <c r="F2700" s="20" t="inlineStr">
        <is>
          <t>Figo</t>
        </is>
      </c>
      <c r="G2700" s="21" t="n">
        <v>2010</v>
      </c>
      <c r="H2700" s="22" t="n">
        <v>139000</v>
      </c>
      <c r="I2700" s="23" t="n">
        <v>75000</v>
      </c>
      <c r="J2700" s="20" t="inlineStr">
        <is>
          <t>BIMAL</t>
        </is>
      </c>
      <c r="K2700" s="20" t="inlineStr">
        <is>
          <t>Non-Captive</t>
        </is>
      </c>
      <c r="L2700" s="20" t="inlineStr">
        <is>
          <t>JIMMY</t>
        </is>
      </c>
      <c r="M2700" s="23" t="n">
        <v>4237.29</v>
      </c>
      <c r="N2700" s="23" t="n">
        <v>5000</v>
      </c>
      <c r="O2700" s="24">
        <f>IF(AND(ISNUMBER(M2700), ISNUMBER(I2700), I2700&gt;0), M2700/I2700, "")</f>
        <v/>
      </c>
    </row>
    <row r="2701">
      <c r="A2701" s="19" t="inlineStr">
        <is>
          <t>FY27</t>
        </is>
      </c>
      <c r="B2701" s="19" t="inlineStr">
        <is>
          <t>Jun</t>
        </is>
      </c>
      <c r="C2701" s="19" t="inlineStr">
        <is>
          <t>Kerala</t>
        </is>
      </c>
      <c r="D2701" s="20" t="inlineStr">
        <is>
          <t>KL193067</t>
        </is>
      </c>
      <c r="E2701" s="20" t="inlineStr">
        <is>
          <t>MARUTI SUZUKI</t>
        </is>
      </c>
      <c r="F2701" s="20" t="inlineStr">
        <is>
          <t>Zen</t>
        </is>
      </c>
      <c r="G2701" s="21" t="n">
        <v>2007</v>
      </c>
      <c r="H2701" s="22" t="n">
        <v>87900</v>
      </c>
      <c r="I2701" s="23" t="n">
        <v>46000</v>
      </c>
      <c r="J2701" s="20" t="inlineStr">
        <is>
          <t>INCHEON KIA</t>
        </is>
      </c>
      <c r="K2701" s="20" t="inlineStr">
        <is>
          <t>Non-Captive</t>
        </is>
      </c>
      <c r="L2701" s="20" t="inlineStr">
        <is>
          <t>KISHORE</t>
        </is>
      </c>
      <c r="M2701" s="23" t="n">
        <v>5084.75</v>
      </c>
      <c r="N2701" s="23" t="n">
        <v>6000</v>
      </c>
      <c r="O2701" s="24">
        <f>IF(AND(ISNUMBER(M2701), ISNUMBER(I2701), I2701&gt;0), M2701/I2701, "")</f>
        <v/>
      </c>
    </row>
    <row r="2702">
      <c r="A2702" s="19" t="inlineStr">
        <is>
          <t>FY27</t>
        </is>
      </c>
      <c r="B2702" s="19" t="inlineStr">
        <is>
          <t>Jun</t>
        </is>
      </c>
      <c r="C2702" s="19" t="inlineStr">
        <is>
          <t>Kerala</t>
        </is>
      </c>
      <c r="D2702" s="20" t="inlineStr">
        <is>
          <t>KL69B4433</t>
        </is>
      </c>
      <c r="E2702" s="20" t="inlineStr">
        <is>
          <t>MARUTI SUZUKI</t>
        </is>
      </c>
      <c r="F2702" s="20" t="inlineStr">
        <is>
          <t>Swift Dzire</t>
        </is>
      </c>
      <c r="G2702" s="21" t="n">
        <v>2018</v>
      </c>
      <c r="H2702" s="22" t="n">
        <v>90000</v>
      </c>
      <c r="I2702" s="23" t="n">
        <v>510000</v>
      </c>
      <c r="J2702" s="20" t="inlineStr">
        <is>
          <t>INDUS MARUTI</t>
        </is>
      </c>
      <c r="K2702" s="20" t="inlineStr">
        <is>
          <t>Non-Captive</t>
        </is>
      </c>
      <c r="L2702" s="20" t="inlineStr">
        <is>
          <t>NIDHEESH</t>
        </is>
      </c>
      <c r="M2702" s="23" t="n">
        <v>8474.58</v>
      </c>
      <c r="N2702" s="23" t="n">
        <v>10000</v>
      </c>
      <c r="O2702" s="24">
        <f>IF(AND(ISNUMBER(M2702), ISNUMBER(I2702), I2702&gt;0), M2702/I2702, "")</f>
        <v/>
      </c>
    </row>
    <row r="2703">
      <c r="A2703" s="19" t="inlineStr">
        <is>
          <t>FY27</t>
        </is>
      </c>
      <c r="B2703" s="19" t="inlineStr">
        <is>
          <t>Jun</t>
        </is>
      </c>
      <c r="C2703" s="19" t="inlineStr">
        <is>
          <t>Kerala</t>
        </is>
      </c>
      <c r="D2703" s="20" t="inlineStr">
        <is>
          <t>KL58AD1916</t>
        </is>
      </c>
      <c r="E2703" s="20" t="inlineStr">
        <is>
          <t>MARUTI SUZUKI</t>
        </is>
      </c>
      <c r="F2703" s="20" t="inlineStr">
        <is>
          <t>Alto</t>
        </is>
      </c>
      <c r="G2703" s="21" t="n">
        <v>2020</v>
      </c>
      <c r="H2703" s="22" t="n">
        <v>89000</v>
      </c>
      <c r="I2703" s="23" t="n">
        <v>215000</v>
      </c>
      <c r="J2703" s="20" t="inlineStr">
        <is>
          <t>INDUS MARUTI</t>
        </is>
      </c>
      <c r="K2703" s="20" t="inlineStr">
        <is>
          <t>Non-Captive</t>
        </is>
      </c>
      <c r="L2703" s="20" t="inlineStr">
        <is>
          <t>NIDHEESH</t>
        </is>
      </c>
      <c r="M2703" s="23" t="n">
        <v>4237.29</v>
      </c>
      <c r="N2703" s="23" t="n">
        <v>5000</v>
      </c>
      <c r="O2703" s="24">
        <f>IF(AND(ISNUMBER(M2703), ISNUMBER(I2703), I2703&gt;0), M2703/I2703, "")</f>
        <v/>
      </c>
    </row>
    <row r="2704">
      <c r="A2704" s="19" t="inlineStr">
        <is>
          <t>FY27</t>
        </is>
      </c>
      <c r="B2704" s="19" t="inlineStr">
        <is>
          <t>Jun</t>
        </is>
      </c>
      <c r="C2704" s="19" t="inlineStr">
        <is>
          <t>Kerala</t>
        </is>
      </c>
      <c r="D2704" s="20" t="inlineStr">
        <is>
          <t>KL18J7686</t>
        </is>
      </c>
      <c r="E2704" s="20" t="inlineStr">
        <is>
          <t>MARUTI SUZUKI</t>
        </is>
      </c>
      <c r="F2704" s="20" t="inlineStr">
        <is>
          <t>Alto</t>
        </is>
      </c>
      <c r="G2704" s="21" t="n">
        <v>2012</v>
      </c>
      <c r="H2704" s="22" t="n">
        <v>103000</v>
      </c>
      <c r="I2704" s="23" t="n">
        <v>110000</v>
      </c>
      <c r="J2704" s="20" t="inlineStr">
        <is>
          <t>POPULAR MARUTI</t>
        </is>
      </c>
      <c r="K2704" s="20" t="inlineStr">
        <is>
          <t>Non-Captive</t>
        </is>
      </c>
      <c r="L2704" s="20" t="inlineStr">
        <is>
          <t>SANOOP K M</t>
        </is>
      </c>
      <c r="M2704" s="23" t="n">
        <v>5932.2</v>
      </c>
      <c r="N2704" s="23" t="n">
        <v>7000</v>
      </c>
      <c r="O2704" s="24">
        <f>IF(AND(ISNUMBER(M2704), ISNUMBER(I2704), I2704&gt;0), M2704/I2704, "")</f>
        <v/>
      </c>
    </row>
    <row r="2705">
      <c r="A2705" s="19" t="inlineStr">
        <is>
          <t>FY27</t>
        </is>
      </c>
      <c r="B2705" s="19" t="inlineStr">
        <is>
          <t>Jun</t>
        </is>
      </c>
      <c r="C2705" s="19" t="inlineStr">
        <is>
          <t>Kerala</t>
        </is>
      </c>
      <c r="D2705" s="20" t="inlineStr">
        <is>
          <t>KL65D0524</t>
        </is>
      </c>
      <c r="E2705" s="20" t="inlineStr">
        <is>
          <t>MARUTI SUZUKI</t>
        </is>
      </c>
      <c r="F2705" s="20" t="inlineStr">
        <is>
          <t>Alto</t>
        </is>
      </c>
      <c r="G2705" s="21" t="n">
        <v>2013</v>
      </c>
      <c r="H2705" s="22" t="n">
        <v>88000</v>
      </c>
      <c r="I2705" s="23" t="n">
        <v>140000</v>
      </c>
      <c r="J2705" s="20" t="inlineStr">
        <is>
          <t>POPULAR MARUTI</t>
        </is>
      </c>
      <c r="K2705" s="20" t="inlineStr">
        <is>
          <t>Non-Captive</t>
        </is>
      </c>
      <c r="L2705" s="20" t="inlineStr">
        <is>
          <t>FAHAD</t>
        </is>
      </c>
      <c r="M2705" s="23" t="n">
        <v>8474.58</v>
      </c>
      <c r="N2705" s="23" t="n">
        <v>10000</v>
      </c>
      <c r="O2705" s="24">
        <f>IF(AND(ISNUMBER(M2705), ISNUMBER(I2705), I2705&gt;0), M2705/I2705, "")</f>
        <v/>
      </c>
    </row>
    <row r="2706">
      <c r="A2706" s="19" t="inlineStr">
        <is>
          <t>FY27</t>
        </is>
      </c>
      <c r="B2706" s="19" t="inlineStr">
        <is>
          <t>Jun</t>
        </is>
      </c>
      <c r="C2706" s="19" t="inlineStr">
        <is>
          <t>Kerala</t>
        </is>
      </c>
      <c r="D2706" s="20" t="inlineStr">
        <is>
          <t>KL35F3657</t>
        </is>
      </c>
      <c r="E2706" s="20" t="inlineStr">
        <is>
          <t>MARUTI SUZUKI</t>
        </is>
      </c>
      <c r="F2706" s="20" t="inlineStr">
        <is>
          <t>Celerio</t>
        </is>
      </c>
      <c r="G2706" s="21" t="n">
        <v>2014</v>
      </c>
      <c r="H2706" s="22" t="n">
        <v>76883</v>
      </c>
      <c r="I2706" s="23" t="n">
        <v>200000</v>
      </c>
      <c r="J2706" s="20" t="inlineStr">
        <is>
          <t>PINNACLE NISSAN</t>
        </is>
      </c>
      <c r="K2706" s="20" t="inlineStr">
        <is>
          <t>Non-Captive</t>
        </is>
      </c>
      <c r="L2706" s="20" t="inlineStr">
        <is>
          <t>INDUS MOTORS</t>
        </is>
      </c>
      <c r="M2706" s="23" t="n">
        <v>8474.58</v>
      </c>
      <c r="N2706" s="23" t="n">
        <v>10000</v>
      </c>
      <c r="O2706" s="24">
        <f>IF(AND(ISNUMBER(M2706), ISNUMBER(I2706), I2706&gt;0), M2706/I2706, "")</f>
        <v/>
      </c>
    </row>
    <row r="2707">
      <c r="A2707" s="19" t="inlineStr">
        <is>
          <t>FY27</t>
        </is>
      </c>
      <c r="B2707" s="19" t="inlineStr">
        <is>
          <t>Jun</t>
        </is>
      </c>
      <c r="C2707" s="19" t="inlineStr">
        <is>
          <t>Kerala</t>
        </is>
      </c>
      <c r="D2707" s="20" t="inlineStr">
        <is>
          <t>KL749814</t>
        </is>
      </c>
      <c r="E2707" s="20" t="inlineStr">
        <is>
          <t>MARUTI SUZUKI</t>
        </is>
      </c>
      <c r="F2707" s="20" t="inlineStr">
        <is>
          <t>Swift Dzire</t>
        </is>
      </c>
      <c r="G2707" s="21" t="n">
        <v>2019</v>
      </c>
      <c r="H2707" s="22" t="n">
        <v>90000</v>
      </c>
      <c r="I2707" s="23" t="n">
        <v>490000</v>
      </c>
      <c r="J2707" s="20" t="inlineStr">
        <is>
          <t>AUTOTRUST</t>
        </is>
      </c>
      <c r="K2707" s="20" t="inlineStr">
        <is>
          <t>Non-Captive</t>
        </is>
      </c>
      <c r="L2707" s="20" t="inlineStr">
        <is>
          <t>SARITH R</t>
        </is>
      </c>
      <c r="M2707" s="23" t="n">
        <v>8474.58</v>
      </c>
      <c r="N2707" s="23" t="n">
        <v>10000</v>
      </c>
      <c r="O2707" s="24">
        <f>IF(AND(ISNUMBER(M2707), ISNUMBER(I2707), I2707&gt;0), M2707/I2707, "")</f>
        <v/>
      </c>
    </row>
    <row r="2708">
      <c r="A2708" s="19" t="inlineStr">
        <is>
          <t>FY27</t>
        </is>
      </c>
      <c r="B2708" s="19" t="inlineStr">
        <is>
          <t>Jun</t>
        </is>
      </c>
      <c r="C2708" s="19" t="inlineStr">
        <is>
          <t>Kerala</t>
        </is>
      </c>
      <c r="D2708" s="20" t="inlineStr">
        <is>
          <t>KL02AT1367</t>
        </is>
      </c>
      <c r="E2708" s="20" t="inlineStr">
        <is>
          <t>MARUTI SUZUKI</t>
        </is>
      </c>
      <c r="F2708" s="20" t="inlineStr">
        <is>
          <t>Celerio</t>
        </is>
      </c>
      <c r="G2708" s="21" t="n">
        <v>2014</v>
      </c>
      <c r="H2708" s="22" t="n">
        <v>37900</v>
      </c>
      <c r="I2708" s="23" t="n">
        <v>230000</v>
      </c>
      <c r="J2708" s="20" t="inlineStr">
        <is>
          <t>POPULAR MARUTI</t>
        </is>
      </c>
      <c r="K2708" s="20" t="inlineStr">
        <is>
          <t>Non-Captive</t>
        </is>
      </c>
      <c r="L2708" s="20" t="inlineStr">
        <is>
          <t>INDUS MOTORS</t>
        </is>
      </c>
      <c r="M2708" s="23" t="n">
        <v>8474.58</v>
      </c>
      <c r="N2708" s="23" t="n">
        <v>10000</v>
      </c>
      <c r="O2708" s="24">
        <f>IF(AND(ISNUMBER(M2708), ISNUMBER(I2708), I2708&gt;0), M2708/I2708, "")</f>
        <v/>
      </c>
    </row>
    <row r="2709">
      <c r="A2709" s="19" t="inlineStr">
        <is>
          <t>FY27</t>
        </is>
      </c>
      <c r="B2709" s="19" t="inlineStr">
        <is>
          <t>Jun</t>
        </is>
      </c>
      <c r="C2709" s="19" t="inlineStr">
        <is>
          <t>Kerala</t>
        </is>
      </c>
      <c r="D2709" s="20" t="inlineStr">
        <is>
          <t>KL25M3083</t>
        </is>
      </c>
      <c r="E2709" s="20" t="inlineStr">
        <is>
          <t>MAHINDRA</t>
        </is>
      </c>
      <c r="F2709" s="20" t="inlineStr">
        <is>
          <t>Kuv100</t>
        </is>
      </c>
      <c r="G2709" s="21" t="n">
        <v>2018</v>
      </c>
      <c r="H2709" s="22" t="n">
        <v>39065</v>
      </c>
      <c r="I2709" s="23" t="n">
        <v>225000</v>
      </c>
      <c r="J2709" s="20" t="inlineStr">
        <is>
          <t>POPULAR MAHINDRA</t>
        </is>
      </c>
      <c r="K2709" s="20" t="inlineStr">
        <is>
          <t>Non-Captive</t>
        </is>
      </c>
      <c r="L2709" s="20" t="inlineStr">
        <is>
          <t>AKHILNATH</t>
        </is>
      </c>
      <c r="M2709" s="23" t="n">
        <v>4237.29</v>
      </c>
      <c r="N2709" s="23" t="n">
        <v>5000</v>
      </c>
      <c r="O2709" s="24">
        <f>IF(AND(ISNUMBER(M2709), ISNUMBER(I2709), I2709&gt;0), M2709/I2709, "")</f>
        <v/>
      </c>
    </row>
    <row r="2710">
      <c r="A2710" s="19" t="inlineStr">
        <is>
          <t>FY27</t>
        </is>
      </c>
      <c r="B2710" s="19" t="inlineStr">
        <is>
          <t>Jun</t>
        </is>
      </c>
      <c r="C2710" s="19" t="inlineStr">
        <is>
          <t>Kerala</t>
        </is>
      </c>
      <c r="D2710" s="20" t="inlineStr">
        <is>
          <t>KL231007</t>
        </is>
      </c>
      <c r="E2710" s="20" t="inlineStr">
        <is>
          <t>MARUTI SUZUKI</t>
        </is>
      </c>
      <c r="F2710" s="20" t="inlineStr">
        <is>
          <t>Alto</t>
        </is>
      </c>
      <c r="G2710" s="21" t="n">
        <v>2006</v>
      </c>
      <c r="H2710" s="22" t="n">
        <v>158938</v>
      </c>
      <c r="I2710" s="23" t="n">
        <v>32000</v>
      </c>
      <c r="J2710" s="20" t="inlineStr">
        <is>
          <t>POPULAR MARUTI</t>
        </is>
      </c>
      <c r="K2710" s="20" t="inlineStr">
        <is>
          <t>Non-Captive</t>
        </is>
      </c>
      <c r="L2710" s="20" t="inlineStr">
        <is>
          <t>RAFEEK T A</t>
        </is>
      </c>
      <c r="M2710" s="23" t="n">
        <v>8474.58</v>
      </c>
      <c r="N2710" s="23" t="n">
        <v>10000</v>
      </c>
      <c r="O2710" s="24">
        <f>IF(AND(ISNUMBER(M2710), ISNUMBER(I2710), I2710&gt;0), M2710/I2710, "")</f>
        <v/>
      </c>
    </row>
    <row r="2711">
      <c r="A2711" s="19" t="inlineStr">
        <is>
          <t>FY27</t>
        </is>
      </c>
      <c r="B2711" s="19" t="inlineStr">
        <is>
          <t>Jun</t>
        </is>
      </c>
      <c r="C2711" s="19" t="inlineStr">
        <is>
          <t>Kerala</t>
        </is>
      </c>
      <c r="D2711" s="20" t="inlineStr">
        <is>
          <t>KL13AF2123</t>
        </is>
      </c>
      <c r="E2711" s="20" t="inlineStr">
        <is>
          <t>FORD</t>
        </is>
      </c>
      <c r="F2711" s="20" t="inlineStr">
        <is>
          <t>Ecosport</t>
        </is>
      </c>
      <c r="G2711" s="21" t="n">
        <v>2015</v>
      </c>
      <c r="H2711" s="22" t="n">
        <v>89797</v>
      </c>
      <c r="I2711" s="23" t="n">
        <v>464000</v>
      </c>
      <c r="J2711" s="20" t="inlineStr">
        <is>
          <t>ANAS HAMEED</t>
        </is>
      </c>
      <c r="K2711" s="20" t="inlineStr">
        <is>
          <t>Non-Captive</t>
        </is>
      </c>
      <c r="L2711" s="20" t="inlineStr">
        <is>
          <t>DREAM DRIVE</t>
        </is>
      </c>
      <c r="M2711" s="23" t="n">
        <v>10169.49</v>
      </c>
      <c r="N2711" s="23" t="n">
        <v>12000</v>
      </c>
      <c r="O2711" s="24">
        <f>IF(AND(ISNUMBER(M2711), ISNUMBER(I2711), I2711&gt;0), M2711/I2711, "")</f>
        <v/>
      </c>
    </row>
    <row r="2712">
      <c r="A2712" s="19" t="inlineStr">
        <is>
          <t>FY27</t>
        </is>
      </c>
      <c r="B2712" s="19" t="inlineStr">
        <is>
          <t>Jun</t>
        </is>
      </c>
      <c r="C2712" s="19" t="inlineStr">
        <is>
          <t>Kerala</t>
        </is>
      </c>
      <c r="D2712" s="20" t="inlineStr">
        <is>
          <t>KL72B9874</t>
        </is>
      </c>
      <c r="E2712" s="20" t="inlineStr">
        <is>
          <t>MARUTI SUZUKI</t>
        </is>
      </c>
      <c r="F2712" s="20" t="inlineStr">
        <is>
          <t>Baleno</t>
        </is>
      </c>
      <c r="G2712" s="21" t="n">
        <v>2018</v>
      </c>
      <c r="H2712" s="22" t="n">
        <v>137613</v>
      </c>
      <c r="I2712" s="23" t="n">
        <v>385000</v>
      </c>
      <c r="J2712" s="20" t="inlineStr">
        <is>
          <t>INDUS MARUTI</t>
        </is>
      </c>
      <c r="K2712" s="20" t="inlineStr">
        <is>
          <t>Non-Captive</t>
        </is>
      </c>
      <c r="L2712" s="20" t="inlineStr">
        <is>
          <t>4 WHEEL DRIVE</t>
        </is>
      </c>
      <c r="M2712" s="23" t="n">
        <v>8474.58</v>
      </c>
      <c r="N2712" s="23" t="n">
        <v>10000</v>
      </c>
      <c r="O2712" s="24">
        <f>IF(AND(ISNUMBER(M2712), ISNUMBER(I2712), I2712&gt;0), M2712/I2712, "")</f>
        <v/>
      </c>
    </row>
    <row r="2713">
      <c r="A2713" s="19" t="inlineStr">
        <is>
          <t>FY27</t>
        </is>
      </c>
      <c r="B2713" s="19" t="inlineStr">
        <is>
          <t>Jun</t>
        </is>
      </c>
      <c r="C2713" s="19" t="inlineStr">
        <is>
          <t>Kerala</t>
        </is>
      </c>
      <c r="D2713" s="20" t="inlineStr">
        <is>
          <t>KL41R5744</t>
        </is>
      </c>
      <c r="E2713" s="20" t="inlineStr">
        <is>
          <t>RENAULT</t>
        </is>
      </c>
      <c r="F2713" s="20" t="inlineStr">
        <is>
          <t>Triber</t>
        </is>
      </c>
      <c r="G2713" s="21" t="n">
        <v>2020</v>
      </c>
      <c r="H2713" s="22" t="n">
        <v>43067</v>
      </c>
      <c r="I2713" s="23" t="n">
        <v>450000</v>
      </c>
      <c r="J2713" s="20" t="inlineStr">
        <is>
          <t>ERAM MOTORS</t>
        </is>
      </c>
      <c r="K2713" s="20" t="inlineStr">
        <is>
          <t>Non-Captive</t>
        </is>
      </c>
      <c r="L2713" s="20" t="inlineStr">
        <is>
          <t>UMESHKUMAR T U</t>
        </is>
      </c>
      <c r="M2713" s="23" t="n">
        <v>10169.49</v>
      </c>
      <c r="N2713" s="23" t="n">
        <v>12000</v>
      </c>
      <c r="O2713" s="24">
        <f>IF(AND(ISNUMBER(M2713), ISNUMBER(I2713), I2713&gt;0), M2713/I2713, "")</f>
        <v/>
      </c>
    </row>
    <row r="2714">
      <c r="A2714" s="19" t="inlineStr">
        <is>
          <t>FY27</t>
        </is>
      </c>
      <c r="B2714" s="19" t="inlineStr">
        <is>
          <t>Jun</t>
        </is>
      </c>
      <c r="C2714" s="19" t="inlineStr">
        <is>
          <t>Kerala</t>
        </is>
      </c>
      <c r="D2714" s="20" t="inlineStr">
        <is>
          <t>KL32J9515</t>
        </is>
      </c>
      <c r="E2714" s="20" t="inlineStr">
        <is>
          <t>HYUNDAI</t>
        </is>
      </c>
      <c r="F2714" s="20" t="inlineStr">
        <is>
          <t>Grand I10</t>
        </is>
      </c>
      <c r="G2714" s="21" t="n">
        <v>2016</v>
      </c>
      <c r="H2714" s="22" t="n">
        <v>49000</v>
      </c>
      <c r="I2714" s="23" t="n">
        <v>220000</v>
      </c>
      <c r="J2714" s="20" t="inlineStr">
        <is>
          <t>CARS24</t>
        </is>
      </c>
      <c r="K2714" s="20" t="inlineStr">
        <is>
          <t>Non-Captive</t>
        </is>
      </c>
      <c r="L2714" s="20" t="inlineStr">
        <is>
          <t>ABDUL SALAM K K</t>
        </is>
      </c>
      <c r="M2714" s="23" t="n">
        <v>8474.58</v>
      </c>
      <c r="N2714" s="23" t="n">
        <v>10000</v>
      </c>
      <c r="O2714" s="24">
        <f>IF(AND(ISNUMBER(M2714), ISNUMBER(I2714), I2714&gt;0), M2714/I2714, "")</f>
        <v/>
      </c>
    </row>
    <row r="2715">
      <c r="A2715" s="19" t="inlineStr">
        <is>
          <t>FY27</t>
        </is>
      </c>
      <c r="B2715" s="19" t="inlineStr">
        <is>
          <t>Jun</t>
        </is>
      </c>
      <c r="C2715" s="19" t="inlineStr">
        <is>
          <t>Kerala</t>
        </is>
      </c>
      <c r="D2715" s="20" t="inlineStr">
        <is>
          <t>KL59AB6654</t>
        </is>
      </c>
      <c r="E2715" s="20" t="inlineStr">
        <is>
          <t>MARUTI SUZUKI</t>
        </is>
      </c>
      <c r="F2715" s="20" t="inlineStr">
        <is>
          <t>Swift</t>
        </is>
      </c>
      <c r="G2715" s="21" t="n">
        <v>2025</v>
      </c>
      <c r="H2715" s="22" t="n">
        <v>15000</v>
      </c>
      <c r="I2715" s="23" t="n">
        <v>620000</v>
      </c>
      <c r="J2715" s="20" t="inlineStr">
        <is>
          <t>KVR TATA</t>
        </is>
      </c>
      <c r="K2715" s="20" t="inlineStr">
        <is>
          <t>Non-Captive</t>
        </is>
      </c>
      <c r="L2715" s="20" t="inlineStr">
        <is>
          <t>VARUN PRAKASH</t>
        </is>
      </c>
      <c r="M2715" s="23" t="n">
        <v>8474.58</v>
      </c>
      <c r="N2715" s="23" t="n">
        <v>10000</v>
      </c>
      <c r="O2715" s="24">
        <f>IF(AND(ISNUMBER(M2715), ISNUMBER(I2715), I2715&gt;0), M2715/I2715, "")</f>
        <v/>
      </c>
    </row>
    <row r="2716">
      <c r="A2716" s="19" t="inlineStr">
        <is>
          <t>FY27</t>
        </is>
      </c>
      <c r="B2716" s="19" t="inlineStr">
        <is>
          <t>Jun</t>
        </is>
      </c>
      <c r="C2716" s="19" t="inlineStr">
        <is>
          <t>Kerala</t>
        </is>
      </c>
      <c r="D2716" s="20" t="inlineStr">
        <is>
          <t>KL60J7319</t>
        </is>
      </c>
      <c r="E2716" s="20" t="inlineStr">
        <is>
          <t>MARUTI SUZUKI</t>
        </is>
      </c>
      <c r="F2716" s="20" t="inlineStr">
        <is>
          <t>Celerio</t>
        </is>
      </c>
      <c r="G2716" s="21" t="n">
        <v>2015</v>
      </c>
      <c r="H2716" s="22" t="n">
        <v>115000</v>
      </c>
      <c r="I2716" s="23" t="n">
        <v>215000</v>
      </c>
      <c r="J2716" s="20" t="inlineStr">
        <is>
          <t>KVR TATA</t>
        </is>
      </c>
      <c r="K2716" s="20" t="inlineStr">
        <is>
          <t>Non-Captive</t>
        </is>
      </c>
      <c r="L2716" s="20" t="inlineStr">
        <is>
          <t>ANSHWAL P ANIL</t>
        </is>
      </c>
      <c r="M2716" s="23" t="n">
        <v>4237.29</v>
      </c>
      <c r="N2716" s="23" t="n">
        <v>5000</v>
      </c>
      <c r="O2716" s="24">
        <f>IF(AND(ISNUMBER(M2716), ISNUMBER(I2716), I2716&gt;0), M2716/I2716, "")</f>
        <v/>
      </c>
    </row>
    <row r="2717">
      <c r="A2717" s="19" t="inlineStr">
        <is>
          <t>FY27</t>
        </is>
      </c>
      <c r="B2717" s="19" t="inlineStr">
        <is>
          <t>Jun</t>
        </is>
      </c>
      <c r="C2717" s="19" t="inlineStr">
        <is>
          <t>Kerala</t>
        </is>
      </c>
      <c r="D2717" s="20" t="inlineStr">
        <is>
          <t>KL01CC7884</t>
        </is>
      </c>
      <c r="E2717" s="20" t="inlineStr">
        <is>
          <t>HYUNDAI</t>
        </is>
      </c>
      <c r="F2717" s="20" t="inlineStr">
        <is>
          <t>I10</t>
        </is>
      </c>
      <c r="G2717" s="21" t="n">
        <v>2017</v>
      </c>
      <c r="H2717" s="22" t="n">
        <v>82000</v>
      </c>
      <c r="I2717" s="23" t="n">
        <v>215000</v>
      </c>
      <c r="J2717" s="20" t="inlineStr">
        <is>
          <t>KVR TATA</t>
        </is>
      </c>
      <c r="K2717" s="20" t="inlineStr">
        <is>
          <t>Non-Captive</t>
        </is>
      </c>
      <c r="L2717" s="20" t="inlineStr">
        <is>
          <t>ANSHWAL P ANIL</t>
        </is>
      </c>
      <c r="M2717" s="23" t="n">
        <v>4237.29</v>
      </c>
      <c r="N2717" s="23" t="n">
        <v>5000</v>
      </c>
      <c r="O2717" s="24">
        <f>IF(AND(ISNUMBER(M2717), ISNUMBER(I2717), I2717&gt;0), M2717/I2717, "")</f>
        <v/>
      </c>
    </row>
    <row r="2718">
      <c r="A2718" s="19" t="inlineStr">
        <is>
          <t>FY27</t>
        </is>
      </c>
      <c r="B2718" s="19" t="inlineStr">
        <is>
          <t>Jun</t>
        </is>
      </c>
      <c r="C2718" s="19" t="inlineStr">
        <is>
          <t>Kerala</t>
        </is>
      </c>
      <c r="D2718" s="20" t="inlineStr">
        <is>
          <t>KL13T5377</t>
        </is>
      </c>
      <c r="E2718" s="20" t="inlineStr">
        <is>
          <t>MARUTI SUZUKI</t>
        </is>
      </c>
      <c r="F2718" s="20" t="inlineStr">
        <is>
          <t>A-Star</t>
        </is>
      </c>
      <c r="G2718" s="21" t="n">
        <v>2009</v>
      </c>
      <c r="H2718" s="22" t="n">
        <v>52000</v>
      </c>
      <c r="I2718" s="23" t="n">
        <v>80000</v>
      </c>
      <c r="J2718" s="20" t="inlineStr">
        <is>
          <t>POPULAR MARUTI</t>
        </is>
      </c>
      <c r="K2718" s="20" t="inlineStr">
        <is>
          <t>Non-Captive</t>
        </is>
      </c>
      <c r="L2718" s="20" t="inlineStr">
        <is>
          <t>ANEES</t>
        </is>
      </c>
      <c r="M2718" s="23" t="n">
        <v>8474.58</v>
      </c>
      <c r="N2718" s="23" t="n">
        <v>10000</v>
      </c>
      <c r="O2718" s="24">
        <f>IF(AND(ISNUMBER(M2718), ISNUMBER(I2718), I2718&gt;0), M2718/I2718, "")</f>
        <v/>
      </c>
    </row>
    <row r="2719">
      <c r="A2719" s="19" t="inlineStr">
        <is>
          <t>FY27</t>
        </is>
      </c>
      <c r="B2719" s="19" t="inlineStr">
        <is>
          <t>Jun</t>
        </is>
      </c>
      <c r="C2719" s="19" t="inlineStr">
        <is>
          <t>Kerala</t>
        </is>
      </c>
      <c r="D2719" s="20" t="inlineStr">
        <is>
          <t>KL11BV0440</t>
        </is>
      </c>
      <c r="E2719" s="20" t="inlineStr">
        <is>
          <t>MAHINDRA</t>
        </is>
      </c>
      <c r="F2719" s="20" t="inlineStr">
        <is>
          <t>Thar</t>
        </is>
      </c>
      <c r="G2719" s="21" t="n">
        <v>2021</v>
      </c>
      <c r="H2719" s="22" t="n">
        <v>100000</v>
      </c>
      <c r="I2719" s="23" t="n">
        <v>1010000</v>
      </c>
      <c r="J2719" s="20" t="inlineStr">
        <is>
          <t>NIDHEESH UCD</t>
        </is>
      </c>
      <c r="K2719" s="20" t="inlineStr">
        <is>
          <t>Non-Captive</t>
        </is>
      </c>
      <c r="L2719" s="20" t="inlineStr">
        <is>
          <t>ASHIN P</t>
        </is>
      </c>
      <c r="M2719" s="23" t="n">
        <v>8474.58</v>
      </c>
      <c r="N2719" s="23" t="n">
        <v>10000</v>
      </c>
      <c r="O2719" s="24">
        <f>IF(AND(ISNUMBER(M2719), ISNUMBER(I2719), I2719&gt;0), M2719/I2719, "")</f>
        <v/>
      </c>
    </row>
    <row r="2720">
      <c r="A2720" s="19" t="inlineStr">
        <is>
          <t>FY27</t>
        </is>
      </c>
      <c r="B2720" s="19" t="inlineStr">
        <is>
          <t>Jun</t>
        </is>
      </c>
      <c r="C2720" s="19" t="inlineStr">
        <is>
          <t>Kerala</t>
        </is>
      </c>
      <c r="D2720" s="20" t="inlineStr">
        <is>
          <t>KL597554</t>
        </is>
      </c>
      <c r="E2720" s="20" t="inlineStr">
        <is>
          <t>MARUTI SUZUKI</t>
        </is>
      </c>
      <c r="F2720" s="20" t="inlineStr">
        <is>
          <t>Alto</t>
        </is>
      </c>
      <c r="G2720" s="21" t="n">
        <v>2007</v>
      </c>
      <c r="H2720" s="22" t="n">
        <v>100000</v>
      </c>
      <c r="I2720" s="23" t="n">
        <v>40000</v>
      </c>
      <c r="J2720" s="20" t="inlineStr">
        <is>
          <t>POPULAR MARUTI</t>
        </is>
      </c>
      <c r="K2720" s="20" t="inlineStr">
        <is>
          <t>Non-Captive</t>
        </is>
      </c>
      <c r="L2720" s="20" t="inlineStr">
        <is>
          <t>RIYAS</t>
        </is>
      </c>
      <c r="M2720" s="23" t="n">
        <v>8474.58</v>
      </c>
      <c r="N2720" s="23" t="n">
        <v>10000</v>
      </c>
      <c r="O2720" s="24">
        <f>IF(AND(ISNUMBER(M2720), ISNUMBER(I2720), I2720&gt;0), M2720/I2720, "")</f>
        <v/>
      </c>
    </row>
    <row r="2721">
      <c r="A2721" s="19" t="inlineStr">
        <is>
          <t>FY27</t>
        </is>
      </c>
      <c r="B2721" s="19" t="inlineStr">
        <is>
          <t>Jun</t>
        </is>
      </c>
      <c r="C2721" s="19" t="inlineStr">
        <is>
          <t>Kerala</t>
        </is>
      </c>
      <c r="D2721" s="20" t="inlineStr">
        <is>
          <t>KL58L5954</t>
        </is>
      </c>
      <c r="E2721" s="20" t="inlineStr">
        <is>
          <t>NISSAN</t>
        </is>
      </c>
      <c r="F2721" s="20" t="inlineStr">
        <is>
          <t>Evalia</t>
        </is>
      </c>
      <c r="G2721" s="21" t="n">
        <v>2013</v>
      </c>
      <c r="H2721" s="22" t="n">
        <v>200000</v>
      </c>
      <c r="I2721" s="23" t="n">
        <v>225000</v>
      </c>
      <c r="J2721" s="20" t="inlineStr">
        <is>
          <t>ERAM MOTORS</t>
        </is>
      </c>
      <c r="K2721" s="20" t="inlineStr">
        <is>
          <t>Non-Captive</t>
        </is>
      </c>
      <c r="L2721" s="20" t="inlineStr">
        <is>
          <t>NIDHEESH</t>
        </is>
      </c>
      <c r="M2721" s="23" t="n">
        <v>4237.29</v>
      </c>
      <c r="N2721" s="23" t="n">
        <v>5000</v>
      </c>
      <c r="O2721" s="24">
        <f>IF(AND(ISNUMBER(M2721), ISNUMBER(I2721), I2721&gt;0), M2721/I2721, "")</f>
        <v/>
      </c>
    </row>
    <row r="2722">
      <c r="A2722" s="19" t="inlineStr">
        <is>
          <t>FY27</t>
        </is>
      </c>
      <c r="B2722" s="19" t="inlineStr">
        <is>
          <t>Jun</t>
        </is>
      </c>
      <c r="C2722" s="19" t="inlineStr">
        <is>
          <t>Kerala</t>
        </is>
      </c>
      <c r="D2722" s="20" t="inlineStr">
        <is>
          <t>KL58U4464</t>
        </is>
      </c>
      <c r="E2722" s="20" t="inlineStr">
        <is>
          <t>MARUTI SUZUKI</t>
        </is>
      </c>
      <c r="F2722" s="20" t="inlineStr">
        <is>
          <t>Wagon R</t>
        </is>
      </c>
      <c r="G2722" s="21" t="n">
        <v>2016</v>
      </c>
      <c r="H2722" s="22" t="n">
        <v>105000</v>
      </c>
      <c r="I2722" s="23" t="n">
        <v>285000</v>
      </c>
      <c r="J2722" s="20" t="inlineStr">
        <is>
          <t>ERAM MOTORS</t>
        </is>
      </c>
      <c r="K2722" s="20" t="inlineStr">
        <is>
          <t>Non-Captive</t>
        </is>
      </c>
      <c r="L2722" s="20" t="inlineStr">
        <is>
          <t>VARUN</t>
        </is>
      </c>
      <c r="M2722" s="23" t="n">
        <v>4237.29</v>
      </c>
      <c r="N2722" s="23" t="n">
        <v>5000</v>
      </c>
      <c r="O2722" s="24">
        <f>IF(AND(ISNUMBER(M2722), ISNUMBER(I2722), I2722&gt;0), M2722/I2722, "")</f>
        <v/>
      </c>
    </row>
    <row r="2723">
      <c r="A2723" s="19" t="inlineStr">
        <is>
          <t>FY27</t>
        </is>
      </c>
      <c r="B2723" s="19" t="inlineStr">
        <is>
          <t>Jun</t>
        </is>
      </c>
      <c r="C2723" s="19" t="inlineStr">
        <is>
          <t>Kerala</t>
        </is>
      </c>
      <c r="D2723" s="20" t="inlineStr">
        <is>
          <t>KL60H5503</t>
        </is>
      </c>
      <c r="E2723" s="20" t="inlineStr">
        <is>
          <t>FIAT</t>
        </is>
      </c>
      <c r="F2723" s="20" t="inlineStr">
        <is>
          <t>Punto</t>
        </is>
      </c>
      <c r="G2723" s="21" t="n">
        <v>2014</v>
      </c>
      <c r="H2723" s="22" t="n">
        <v>159000</v>
      </c>
      <c r="I2723" s="23" t="n">
        <v>155000</v>
      </c>
      <c r="J2723" s="20" t="inlineStr">
        <is>
          <t>VEER</t>
        </is>
      </c>
      <c r="K2723" s="20" t="inlineStr">
        <is>
          <t>Non-Captive</t>
        </is>
      </c>
      <c r="L2723" s="20" t="inlineStr">
        <is>
          <t>VARUN</t>
        </is>
      </c>
      <c r="M2723" s="23" t="n">
        <v>4237.29</v>
      </c>
      <c r="N2723" s="23" t="n">
        <v>5000</v>
      </c>
      <c r="O2723" s="24">
        <f>IF(AND(ISNUMBER(M2723), ISNUMBER(I2723), I2723&gt;0), M2723/I2723, "")</f>
        <v/>
      </c>
    </row>
    <row r="2724">
      <c r="A2724" s="19" t="inlineStr">
        <is>
          <t>FY27</t>
        </is>
      </c>
      <c r="B2724" s="19" t="inlineStr">
        <is>
          <t>Jun</t>
        </is>
      </c>
      <c r="C2724" s="19" t="inlineStr">
        <is>
          <t>Kerala</t>
        </is>
      </c>
      <c r="D2724" s="20" t="inlineStr">
        <is>
          <t>KL07BT4296</t>
        </is>
      </c>
      <c r="E2724" s="20" t="inlineStr">
        <is>
          <t>MAHINDRA</t>
        </is>
      </c>
      <c r="F2724" s="20" t="inlineStr">
        <is>
          <t>Xuv500</t>
        </is>
      </c>
      <c r="G2724" s="21" t="n">
        <v>2012</v>
      </c>
      <c r="H2724" s="22" t="n">
        <v>124000</v>
      </c>
      <c r="I2724" s="23" t="n">
        <v>270000</v>
      </c>
      <c r="J2724" s="20" t="inlineStr">
        <is>
          <t>POPULAR MARUTI</t>
        </is>
      </c>
      <c r="K2724" s="20" t="inlineStr">
        <is>
          <t>Non-Captive</t>
        </is>
      </c>
      <c r="L2724" s="20" t="inlineStr">
        <is>
          <t>VARUN</t>
        </is>
      </c>
      <c r="M2724" s="23" t="n">
        <v>8474.58</v>
      </c>
      <c r="N2724" s="23" t="n">
        <v>10000</v>
      </c>
      <c r="O2724" s="24">
        <f>IF(AND(ISNUMBER(M2724), ISNUMBER(I2724), I2724&gt;0), M2724/I2724, "")</f>
        <v/>
      </c>
    </row>
    <row r="2725">
      <c r="A2725" s="19" t="inlineStr">
        <is>
          <t>FY27</t>
        </is>
      </c>
      <c r="B2725" s="19" t="inlineStr">
        <is>
          <t>Jun</t>
        </is>
      </c>
      <c r="C2725" s="19" t="inlineStr">
        <is>
          <t>Kerala</t>
        </is>
      </c>
      <c r="D2725" s="20" t="inlineStr">
        <is>
          <t>KL58AJ4564</t>
        </is>
      </c>
      <c r="E2725" s="20" t="inlineStr">
        <is>
          <t>TATA</t>
        </is>
      </c>
      <c r="F2725" s="20" t="inlineStr">
        <is>
          <t>Tiago</t>
        </is>
      </c>
      <c r="G2725" s="21" t="n">
        <v>2023</v>
      </c>
      <c r="H2725" s="22" t="n">
        <v>70000</v>
      </c>
      <c r="I2725" s="23" t="n">
        <v>277000</v>
      </c>
      <c r="J2725" s="20" t="inlineStr">
        <is>
          <t>KVR TATA</t>
        </is>
      </c>
      <c r="K2725" s="20" t="inlineStr">
        <is>
          <t>Non-Captive</t>
        </is>
      </c>
      <c r="L2725" s="20" t="inlineStr">
        <is>
          <t>SARITH R</t>
        </is>
      </c>
      <c r="M2725" s="23" t="n">
        <v>5932.2</v>
      </c>
      <c r="N2725" s="23" t="n">
        <v>7000</v>
      </c>
      <c r="O2725" s="24">
        <f>IF(AND(ISNUMBER(M2725), ISNUMBER(I2725), I2725&gt;0), M2725/I2725, "")</f>
        <v/>
      </c>
    </row>
    <row r="2726">
      <c r="A2726" s="19" t="inlineStr">
        <is>
          <t>FY27</t>
        </is>
      </c>
      <c r="B2726" s="19" t="inlineStr">
        <is>
          <t>Jun</t>
        </is>
      </c>
      <c r="C2726" s="19" t="inlineStr">
        <is>
          <t>Kerala</t>
        </is>
      </c>
      <c r="D2726" s="20" t="inlineStr">
        <is>
          <t>KL59E6434</t>
        </is>
      </c>
      <c r="E2726" s="20" t="inlineStr">
        <is>
          <t>TATA</t>
        </is>
      </c>
      <c r="F2726" s="20" t="inlineStr">
        <is>
          <t>Nano</t>
        </is>
      </c>
      <c r="G2726" s="21" t="n">
        <v>2012</v>
      </c>
      <c r="H2726" s="22" t="n">
        <v>76000</v>
      </c>
      <c r="I2726" s="23" t="n">
        <v>25000</v>
      </c>
      <c r="J2726" s="20" t="inlineStr">
        <is>
          <t>AUTOTRUST</t>
        </is>
      </c>
      <c r="K2726" s="20" t="inlineStr">
        <is>
          <t>Non-Captive</t>
        </is>
      </c>
      <c r="L2726" s="20" t="inlineStr">
        <is>
          <t>SARITH R</t>
        </is>
      </c>
      <c r="M2726" s="23" t="n">
        <v>8474.58</v>
      </c>
      <c r="N2726" s="23" t="n">
        <v>10000</v>
      </c>
      <c r="O2726" s="24">
        <f>IF(AND(ISNUMBER(M2726), ISNUMBER(I2726), I2726&gt;0), M2726/I2726, "")</f>
        <v/>
      </c>
    </row>
    <row r="2727">
      <c r="A2727" s="19" t="inlineStr">
        <is>
          <t>FY27</t>
        </is>
      </c>
      <c r="B2727" s="19" t="inlineStr">
        <is>
          <t>Jul</t>
        </is>
      </c>
      <c r="C2727" s="19" t="inlineStr">
        <is>
          <t>AP/TS</t>
        </is>
      </c>
      <c r="D2727" s="20" t="inlineStr">
        <is>
          <t>AP16FL1292</t>
        </is>
      </c>
      <c r="E2727" s="20" t="inlineStr">
        <is>
          <t>MARUTI</t>
        </is>
      </c>
      <c r="F2727" s="20" t="inlineStr">
        <is>
          <t>Swift</t>
        </is>
      </c>
      <c r="G2727" s="21" t="n">
        <v>2018</v>
      </c>
      <c r="H2727" s="22" t="n">
        <v>127705</v>
      </c>
      <c r="I2727" s="23" t="n">
        <v>317500</v>
      </c>
      <c r="J2727" s="20" t="inlineStr">
        <is>
          <t>Vinod Kumar Murari</t>
        </is>
      </c>
      <c r="K2727" s="20" t="inlineStr">
        <is>
          <t>Non-Captive</t>
        </is>
      </c>
      <c r="L2727" s="20" t="inlineStr">
        <is>
          <t>Mohammed Gouse Basha</t>
        </is>
      </c>
      <c r="M2727" s="23" t="n">
        <v>6355.93</v>
      </c>
      <c r="N2727" s="23" t="n">
        <v>7500</v>
      </c>
      <c r="O2727" s="24">
        <f>IF(AND(ISNUMBER(M2727), ISNUMBER(I2727), I2727&gt;0), M2727/I2727, "")</f>
        <v/>
      </c>
    </row>
    <row r="2728">
      <c r="A2728" s="19" t="inlineStr">
        <is>
          <t>FY27</t>
        </is>
      </c>
      <c r="B2728" s="19" t="inlineStr">
        <is>
          <t>Jul</t>
        </is>
      </c>
      <c r="C2728" s="19" t="inlineStr">
        <is>
          <t>AP/TS</t>
        </is>
      </c>
      <c r="D2728" s="20" t="inlineStr">
        <is>
          <t>AP03CS2961</t>
        </is>
      </c>
      <c r="E2728" s="20" t="inlineStr">
        <is>
          <t>HONDA</t>
        </is>
      </c>
      <c r="F2728" s="20" t="inlineStr">
        <is>
          <t>Wr-V</t>
        </is>
      </c>
      <c r="G2728" s="21" t="n">
        <v>2018</v>
      </c>
      <c r="H2728" s="22" t="n">
        <v>171025</v>
      </c>
      <c r="I2728" s="23" t="n">
        <v>265000</v>
      </c>
      <c r="J2728" s="20" t="inlineStr">
        <is>
          <t>Exchange</t>
        </is>
      </c>
      <c r="K2728" s="20" t="inlineStr">
        <is>
          <t>Captive</t>
        </is>
      </c>
      <c r="L2728" s="20" t="inlineStr">
        <is>
          <t>Chekuri Chandra Shekar Satyanarayana Raju</t>
        </is>
      </c>
      <c r="M2728" s="23" t="n">
        <v>8474.58</v>
      </c>
      <c r="N2728" s="23" t="n">
        <v>10000</v>
      </c>
      <c r="O2728" s="24">
        <f>IF(AND(ISNUMBER(M2728), ISNUMBER(I2728), I2728&gt;0), M2728/I2728, "")</f>
        <v/>
      </c>
    </row>
    <row r="2729">
      <c r="A2729" s="19" t="inlineStr">
        <is>
          <t>FY27</t>
        </is>
      </c>
      <c r="B2729" s="19" t="inlineStr">
        <is>
          <t>Jul</t>
        </is>
      </c>
      <c r="C2729" s="19" t="inlineStr">
        <is>
          <t>AP/TS</t>
        </is>
      </c>
      <c r="D2729" s="20" t="inlineStr">
        <is>
          <t>TS07ED2599</t>
        </is>
      </c>
      <c r="E2729" s="20" t="inlineStr">
        <is>
          <t>FORD</t>
        </is>
      </c>
      <c r="F2729" s="20" t="inlineStr">
        <is>
          <t>Ecosport</t>
        </is>
      </c>
      <c r="G2729" s="21" t="n">
        <v>2014</v>
      </c>
      <c r="H2729" s="22" t="n">
        <v>140251</v>
      </c>
      <c r="I2729" s="23" t="n">
        <v>287500</v>
      </c>
      <c r="J2729" s="20" t="inlineStr">
        <is>
          <t>Puneet Gupta</t>
        </is>
      </c>
      <c r="K2729" s="20" t="inlineStr">
        <is>
          <t>Non-Captive</t>
        </is>
      </c>
      <c r="L2729" s="20" t="inlineStr">
        <is>
          <t>Chekuri Chandra Shekar Satyanarayana Raju</t>
        </is>
      </c>
      <c r="M2729" s="23" t="n">
        <v>6355.93</v>
      </c>
      <c r="N2729" s="23" t="n">
        <v>7500</v>
      </c>
      <c r="O2729" s="24">
        <f>IF(AND(ISNUMBER(M2729), ISNUMBER(I2729), I2729&gt;0), M2729/I2729, "")</f>
        <v/>
      </c>
    </row>
    <row r="2730">
      <c r="A2730" s="19" t="inlineStr">
        <is>
          <t>FY27</t>
        </is>
      </c>
      <c r="B2730" s="19" t="inlineStr">
        <is>
          <t>Jul</t>
        </is>
      </c>
      <c r="C2730" s="19" t="inlineStr">
        <is>
          <t>AP/TS</t>
        </is>
      </c>
      <c r="D2730" s="20" t="inlineStr">
        <is>
          <t>TS07FS8253</t>
        </is>
      </c>
      <c r="E2730" s="20" t="inlineStr">
        <is>
          <t>HYUNDAI</t>
        </is>
      </c>
      <c r="F2730" s="20" t="inlineStr">
        <is>
          <t>Grand I10</t>
        </is>
      </c>
      <c r="G2730" s="21" t="n">
        <v>2017</v>
      </c>
      <c r="H2730" s="22" t="n">
        <v>124613</v>
      </c>
      <c r="I2730" s="23" t="n">
        <v>277500</v>
      </c>
      <c r="J2730" s="20" t="inlineStr">
        <is>
          <t>Puneet Gupta</t>
        </is>
      </c>
      <c r="K2730" s="20" t="inlineStr">
        <is>
          <t>Non-Captive</t>
        </is>
      </c>
      <c r="L2730" s="20" t="inlineStr">
        <is>
          <t>Chekuri Chandra Shekar Satyanarayana Raju</t>
        </is>
      </c>
      <c r="M2730" s="23" t="n">
        <v>6355.93</v>
      </c>
      <c r="N2730" s="23" t="n">
        <v>7500</v>
      </c>
      <c r="O2730" s="24">
        <f>IF(AND(ISNUMBER(M2730), ISNUMBER(I2730), I2730&gt;0), M2730/I2730, "")</f>
        <v/>
      </c>
    </row>
    <row r="2731">
      <c r="A2731" s="19" t="inlineStr">
        <is>
          <t>FY27</t>
        </is>
      </c>
      <c r="B2731" s="19" t="inlineStr">
        <is>
          <t>Jul</t>
        </is>
      </c>
      <c r="C2731" s="19" t="inlineStr">
        <is>
          <t>AP/TS</t>
        </is>
      </c>
      <c r="D2731" s="20" t="inlineStr">
        <is>
          <t>AP28DK5306</t>
        </is>
      </c>
      <c r="E2731" s="20" t="inlineStr">
        <is>
          <t>HONDA</t>
        </is>
      </c>
      <c r="F2731" s="20" t="inlineStr">
        <is>
          <t>City</t>
        </is>
      </c>
      <c r="G2731" s="21" t="n">
        <v>2011</v>
      </c>
      <c r="H2731" s="22" t="n">
        <v>71587</v>
      </c>
      <c r="I2731" s="23" t="n">
        <v>177000</v>
      </c>
      <c r="J2731" s="20" t="inlineStr">
        <is>
          <t>Exchange</t>
        </is>
      </c>
      <c r="K2731" s="20" t="inlineStr">
        <is>
          <t>Captive</t>
        </is>
      </c>
      <c r="L2731" s="20" t="inlineStr">
        <is>
          <t>Abdul Razzaq</t>
        </is>
      </c>
      <c r="M2731" s="23" t="n">
        <v>5932.2</v>
      </c>
      <c r="N2731" s="23" t="n">
        <v>7000</v>
      </c>
      <c r="O2731" s="24">
        <f>IF(AND(ISNUMBER(M2731), ISNUMBER(I2731), I2731&gt;0), M2731/I2731, "")</f>
        <v/>
      </c>
    </row>
    <row r="2732">
      <c r="A2732" s="19" t="inlineStr">
        <is>
          <t>FY27</t>
        </is>
      </c>
      <c r="B2732" s="19" t="inlineStr">
        <is>
          <t>Jul</t>
        </is>
      </c>
      <c r="C2732" s="19" t="inlineStr">
        <is>
          <t>AP/TS</t>
        </is>
      </c>
      <c r="D2732" s="20" t="inlineStr">
        <is>
          <t>TS09EL4677</t>
        </is>
      </c>
      <c r="E2732" s="20" t="inlineStr">
        <is>
          <t>MARUTI</t>
        </is>
      </c>
      <c r="F2732" s="20" t="inlineStr">
        <is>
          <t>Baleno</t>
        </is>
      </c>
      <c r="G2732" s="21" t="n">
        <v>2016</v>
      </c>
      <c r="H2732" s="22" t="n">
        <v>65338</v>
      </c>
      <c r="I2732" s="23" t="n">
        <v>308000</v>
      </c>
      <c r="J2732" s="20" t="inlineStr">
        <is>
          <t>Puneet Gupta</t>
        </is>
      </c>
      <c r="K2732" s="20" t="inlineStr">
        <is>
          <t>Non-Captive</t>
        </is>
      </c>
      <c r="L2732" s="20" t="inlineStr">
        <is>
          <t>Abdul Razzaq</t>
        </is>
      </c>
      <c r="M2732" s="23" t="n">
        <v>6779.66</v>
      </c>
      <c r="N2732" s="23" t="n">
        <v>8000</v>
      </c>
      <c r="O2732" s="24">
        <f>IF(AND(ISNUMBER(M2732), ISNUMBER(I2732), I2732&gt;0), M2732/I2732, "")</f>
        <v/>
      </c>
    </row>
    <row r="2733">
      <c r="A2733" s="19" t="inlineStr">
        <is>
          <t>FY27</t>
        </is>
      </c>
      <c r="B2733" s="19" t="inlineStr">
        <is>
          <t>Jul</t>
        </is>
      </c>
      <c r="C2733" s="19" t="inlineStr">
        <is>
          <t>AP/TS</t>
        </is>
      </c>
      <c r="D2733" s="20" t="inlineStr">
        <is>
          <t>AP39DE4559</t>
        </is>
      </c>
      <c r="E2733" s="20" t="inlineStr">
        <is>
          <t>HYUNDAI</t>
        </is>
      </c>
      <c r="F2733" s="20" t="inlineStr">
        <is>
          <t>I20</t>
        </is>
      </c>
      <c r="G2733" s="21" t="n">
        <v>2019</v>
      </c>
      <c r="H2733" s="22" t="n">
        <v>117553</v>
      </c>
      <c r="I2733" s="23" t="n">
        <v>417000</v>
      </c>
      <c r="J2733" s="20" t="inlineStr">
        <is>
          <t>Exchange</t>
        </is>
      </c>
      <c r="K2733" s="20" t="inlineStr">
        <is>
          <t>Captive</t>
        </is>
      </c>
      <c r="L2733" s="20" t="inlineStr">
        <is>
          <t>Guthi Ravi Krishna</t>
        </is>
      </c>
      <c r="M2733" s="23" t="n">
        <v>10169.49</v>
      </c>
      <c r="N2733" s="23" t="n">
        <v>12000</v>
      </c>
      <c r="O2733" s="24">
        <f>IF(AND(ISNUMBER(M2733), ISNUMBER(I2733), I2733&gt;0), M2733/I2733, "")</f>
        <v/>
      </c>
    </row>
    <row r="2734">
      <c r="A2734" s="19" t="inlineStr">
        <is>
          <t>FY27</t>
        </is>
      </c>
      <c r="B2734" s="19" t="inlineStr">
        <is>
          <t>Jul</t>
        </is>
      </c>
      <c r="C2734" s="19" t="inlineStr">
        <is>
          <t>AP/TS</t>
        </is>
      </c>
      <c r="D2734" s="20" t="inlineStr">
        <is>
          <t>MH12PZ1248</t>
        </is>
      </c>
      <c r="E2734" s="20" t="inlineStr">
        <is>
          <t>FORD</t>
        </is>
      </c>
      <c r="F2734" s="20" t="inlineStr">
        <is>
          <t>Ecosport</t>
        </is>
      </c>
      <c r="G2734" s="21" t="n">
        <v>2017</v>
      </c>
      <c r="H2734" s="22" t="n">
        <v>44951</v>
      </c>
      <c r="I2734" s="23" t="n">
        <v>240000</v>
      </c>
      <c r="J2734" s="20" t="inlineStr">
        <is>
          <t>Exchange</t>
        </is>
      </c>
      <c r="K2734" s="20" t="inlineStr">
        <is>
          <t>Captive</t>
        </is>
      </c>
      <c r="L2734" s="20" t="inlineStr">
        <is>
          <t>Polukonda Naga Suresh</t>
        </is>
      </c>
      <c r="M2734" s="23" t="n">
        <v>8474.58</v>
      </c>
      <c r="N2734" s="23" t="n">
        <v>10000</v>
      </c>
      <c r="O2734" s="24">
        <f>IF(AND(ISNUMBER(M2734), ISNUMBER(I2734), I2734&gt;0), M2734/I2734, "")</f>
        <v/>
      </c>
    </row>
    <row r="2735">
      <c r="A2735" s="19" t="inlineStr">
        <is>
          <t>FY27</t>
        </is>
      </c>
      <c r="B2735" s="19" t="inlineStr">
        <is>
          <t>Jul</t>
        </is>
      </c>
      <c r="C2735" s="19" t="inlineStr">
        <is>
          <t>AP/TS</t>
        </is>
      </c>
      <c r="D2735" s="20" t="inlineStr">
        <is>
          <t>AP37DE9196</t>
        </is>
      </c>
      <c r="E2735" s="20" t="inlineStr">
        <is>
          <t>HONDA</t>
        </is>
      </c>
      <c r="F2735" s="20" t="inlineStr">
        <is>
          <t>City</t>
        </is>
      </c>
      <c r="G2735" s="21" t="n">
        <v>2018</v>
      </c>
      <c r="H2735" s="22" t="n">
        <v>83809</v>
      </c>
      <c r="I2735" s="23" t="n">
        <v>357500</v>
      </c>
      <c r="J2735" s="20" t="inlineStr">
        <is>
          <t>Exchange</t>
        </is>
      </c>
      <c r="K2735" s="20" t="inlineStr">
        <is>
          <t>Captive</t>
        </is>
      </c>
      <c r="L2735" s="20" t="inlineStr">
        <is>
          <t>D Avinash</t>
        </is>
      </c>
      <c r="M2735" s="23" t="n">
        <v>6355.93</v>
      </c>
      <c r="N2735" s="23" t="n">
        <v>7500</v>
      </c>
      <c r="O2735" s="24">
        <f>IF(AND(ISNUMBER(M2735), ISNUMBER(I2735), I2735&gt;0), M2735/I2735, "")</f>
        <v/>
      </c>
    </row>
    <row r="2736">
      <c r="A2736" s="19" t="inlineStr">
        <is>
          <t>FY27</t>
        </is>
      </c>
      <c r="B2736" s="19" t="inlineStr">
        <is>
          <t>Jul</t>
        </is>
      </c>
      <c r="C2736" s="19" t="inlineStr">
        <is>
          <t>AP/TS</t>
        </is>
      </c>
      <c r="D2736" s="20" t="inlineStr">
        <is>
          <t>AP16BQ5232</t>
        </is>
      </c>
      <c r="E2736" s="20" t="inlineStr">
        <is>
          <t>HYUNDAI</t>
        </is>
      </c>
      <c r="F2736" s="20" t="inlineStr">
        <is>
          <t>Santro</t>
        </is>
      </c>
      <c r="G2736" s="21" t="n">
        <v>2010</v>
      </c>
      <c r="H2736" s="22" t="n">
        <v>88320</v>
      </c>
      <c r="I2736" s="23" t="n">
        <v>66000</v>
      </c>
      <c r="J2736" s="20" t="inlineStr">
        <is>
          <t>Tenali Srinivas</t>
        </is>
      </c>
      <c r="K2736" s="20" t="inlineStr">
        <is>
          <t>Non-Captive</t>
        </is>
      </c>
      <c r="L2736" s="20" t="inlineStr">
        <is>
          <t>Guthi Ravi Krishna</t>
        </is>
      </c>
      <c r="M2736" s="23" t="n">
        <v>5084.75</v>
      </c>
      <c r="N2736" s="23" t="n">
        <v>6000</v>
      </c>
      <c r="O2736" s="24">
        <f>IF(AND(ISNUMBER(M2736), ISNUMBER(I2736), I2736&gt;0), M2736/I2736, "")</f>
        <v/>
      </c>
    </row>
    <row r="2737">
      <c r="A2737" s="19" t="inlineStr">
        <is>
          <t>FY27</t>
        </is>
      </c>
      <c r="B2737" s="19" t="inlineStr">
        <is>
          <t>Jul</t>
        </is>
      </c>
      <c r="C2737" s="19" t="inlineStr">
        <is>
          <t>AP/TS</t>
        </is>
      </c>
      <c r="D2737" s="20" t="inlineStr">
        <is>
          <t>AP16CU6588</t>
        </is>
      </c>
      <c r="E2737" s="20" t="inlineStr">
        <is>
          <t>HONDA</t>
        </is>
      </c>
      <c r="F2737" s="20" t="inlineStr">
        <is>
          <t>Mobilio</t>
        </is>
      </c>
      <c r="G2737" s="21" t="n">
        <v>2014</v>
      </c>
      <c r="H2737" s="22" t="n">
        <v>125263</v>
      </c>
      <c r="I2737" s="23" t="n">
        <v>327500</v>
      </c>
      <c r="J2737" s="20" t="inlineStr">
        <is>
          <t>Gopi Nagaraju</t>
        </is>
      </c>
      <c r="K2737" s="20" t="inlineStr">
        <is>
          <t>Non-Captive</t>
        </is>
      </c>
      <c r="L2737" s="20" t="inlineStr">
        <is>
          <t>Tenali Srinivas</t>
        </is>
      </c>
      <c r="M2737" s="23" t="n">
        <v>6355.93</v>
      </c>
      <c r="N2737" s="23" t="n">
        <v>7500</v>
      </c>
      <c r="O2737" s="24">
        <f>IF(AND(ISNUMBER(M2737), ISNUMBER(I2737), I2737&gt;0), M2737/I2737, "")</f>
        <v/>
      </c>
    </row>
    <row r="2738">
      <c r="A2738" s="19" t="inlineStr">
        <is>
          <t>FY27</t>
        </is>
      </c>
      <c r="B2738" s="19" t="inlineStr">
        <is>
          <t>Jul</t>
        </is>
      </c>
      <c r="C2738" s="19" t="inlineStr">
        <is>
          <t>AP/TS</t>
        </is>
      </c>
      <c r="D2738" s="20" t="inlineStr">
        <is>
          <t>AP16DC2538</t>
        </is>
      </c>
      <c r="E2738" s="20" t="inlineStr">
        <is>
          <t>VOLKSWAGEN</t>
        </is>
      </c>
      <c r="F2738" s="20" t="inlineStr">
        <is>
          <t>Vento</t>
        </is>
      </c>
      <c r="G2738" s="21" t="n">
        <v>2015</v>
      </c>
      <c r="H2738" s="22" t="n">
        <v>95452</v>
      </c>
      <c r="I2738" s="23" t="n">
        <v>327500</v>
      </c>
      <c r="J2738" s="20" t="inlineStr">
        <is>
          <t>Gopi Nagaraju</t>
        </is>
      </c>
      <c r="K2738" s="20" t="inlineStr">
        <is>
          <t>Non-Captive</t>
        </is>
      </c>
      <c r="L2738" s="20" t="inlineStr">
        <is>
          <t>Tenali Srinivas</t>
        </is>
      </c>
      <c r="M2738" s="23" t="n">
        <v>6355.93</v>
      </c>
      <c r="N2738" s="23" t="n">
        <v>7500</v>
      </c>
      <c r="O2738" s="24">
        <f>IF(AND(ISNUMBER(M2738), ISNUMBER(I2738), I2738&gt;0), M2738/I2738, "")</f>
        <v/>
      </c>
    </row>
    <row r="2739">
      <c r="A2739" s="19" t="inlineStr">
        <is>
          <t>FY27</t>
        </is>
      </c>
      <c r="B2739" s="19" t="inlineStr">
        <is>
          <t>Jul</t>
        </is>
      </c>
      <c r="C2739" s="19" t="inlineStr">
        <is>
          <t>AP/TS</t>
        </is>
      </c>
      <c r="D2739" s="20" t="inlineStr">
        <is>
          <t>AP09CC9090</t>
        </is>
      </c>
      <c r="E2739" s="20" t="inlineStr">
        <is>
          <t>HONDA</t>
        </is>
      </c>
      <c r="F2739" s="20" t="inlineStr">
        <is>
          <t>Accord</t>
        </is>
      </c>
      <c r="G2739" s="21" t="n">
        <v>2011</v>
      </c>
      <c r="H2739" s="22" t="n">
        <v>90286</v>
      </c>
      <c r="I2739" s="23" t="n">
        <v>207500</v>
      </c>
      <c r="J2739" s="20" t="inlineStr">
        <is>
          <t>Bukya Santhosh Naik</t>
        </is>
      </c>
      <c r="K2739" s="20" t="inlineStr">
        <is>
          <t>Non-Captive</t>
        </is>
      </c>
      <c r="L2739" s="20" t="inlineStr">
        <is>
          <t>K Surendra Reddy (KSR Enterprises)</t>
        </is>
      </c>
      <c r="M2739" s="23" t="n">
        <v>6355.93</v>
      </c>
      <c r="N2739" s="23" t="n">
        <v>7500</v>
      </c>
      <c r="O2739" s="24">
        <f>IF(AND(ISNUMBER(M2739), ISNUMBER(I2739), I2739&gt;0), M2739/I2739, "")</f>
        <v/>
      </c>
    </row>
    <row r="2740">
      <c r="A2740" s="19" t="inlineStr">
        <is>
          <t>FY27</t>
        </is>
      </c>
      <c r="B2740" s="19" t="inlineStr">
        <is>
          <t>Jul</t>
        </is>
      </c>
      <c r="C2740" s="19" t="inlineStr">
        <is>
          <t>AP/TS</t>
        </is>
      </c>
      <c r="D2740" s="20" t="inlineStr">
        <is>
          <t>TS15EV1921</t>
        </is>
      </c>
      <c r="E2740" s="20" t="inlineStr">
        <is>
          <t>TOYOTA</t>
        </is>
      </c>
      <c r="F2740" s="20" t="inlineStr">
        <is>
          <t>Etios</t>
        </is>
      </c>
      <c r="G2740" s="21" t="n">
        <v>2018</v>
      </c>
      <c r="H2740" s="22" t="n">
        <v>142251</v>
      </c>
      <c r="I2740" s="23" t="n">
        <v>247500</v>
      </c>
      <c r="J2740" s="20" t="inlineStr">
        <is>
          <t>Bukya Santhosh Naik</t>
        </is>
      </c>
      <c r="K2740" s="20" t="inlineStr">
        <is>
          <t>Non-Captive</t>
        </is>
      </c>
      <c r="L2740" s="20" t="inlineStr">
        <is>
          <t>K Surendra Reddy (KSR Enterprises)</t>
        </is>
      </c>
      <c r="M2740" s="23" t="n">
        <v>6355.93</v>
      </c>
      <c r="N2740" s="23" t="n">
        <v>7500</v>
      </c>
      <c r="O2740" s="24">
        <f>IF(AND(ISNUMBER(M2740), ISNUMBER(I2740), I2740&gt;0), M2740/I2740, "")</f>
        <v/>
      </c>
    </row>
    <row r="2741">
      <c r="A2741" s="19" t="inlineStr">
        <is>
          <t>FY27</t>
        </is>
      </c>
      <c r="B2741" s="19" t="inlineStr">
        <is>
          <t>Jul</t>
        </is>
      </c>
      <c r="C2741" s="19" t="inlineStr">
        <is>
          <t>AP/TS</t>
        </is>
      </c>
      <c r="D2741" s="20" t="inlineStr">
        <is>
          <t>AP16DP0879</t>
        </is>
      </c>
      <c r="E2741" s="20" t="inlineStr">
        <is>
          <t>HONDA</t>
        </is>
      </c>
      <c r="F2741" s="20" t="inlineStr">
        <is>
          <t>Jazz</t>
        </is>
      </c>
      <c r="G2741" s="21" t="n">
        <v>2016</v>
      </c>
      <c r="H2741" s="22" t="n">
        <v>68049</v>
      </c>
      <c r="I2741" s="23" t="n">
        <v>261000</v>
      </c>
      <c r="J2741" s="20" t="inlineStr">
        <is>
          <t>Exchange</t>
        </is>
      </c>
      <c r="K2741" s="20" t="inlineStr">
        <is>
          <t>Captive</t>
        </is>
      </c>
      <c r="L2741" s="20" t="inlineStr">
        <is>
          <t>Mittisila Jeevan Kumar</t>
        </is>
      </c>
      <c r="M2741" s="23" t="n">
        <v>12711.86</v>
      </c>
      <c r="N2741" s="23" t="n">
        <v>15000</v>
      </c>
      <c r="O2741" s="24">
        <f>IF(AND(ISNUMBER(M2741), ISNUMBER(I2741), I2741&gt;0), M2741/I2741, "")</f>
        <v/>
      </c>
    </row>
    <row r="2742">
      <c r="A2742" s="19" t="inlineStr">
        <is>
          <t>FY27</t>
        </is>
      </c>
      <c r="B2742" s="19" t="inlineStr">
        <is>
          <t>Jul</t>
        </is>
      </c>
      <c r="C2742" s="19" t="inlineStr">
        <is>
          <t>AP/TS</t>
        </is>
      </c>
      <c r="D2742" s="20" t="inlineStr">
        <is>
          <t>AP31TV7513</t>
        </is>
      </c>
      <c r="E2742" s="20" t="inlineStr">
        <is>
          <t>MARUTI</t>
        </is>
      </c>
      <c r="F2742" s="20" t="inlineStr">
        <is>
          <t>Swift Dzire</t>
        </is>
      </c>
      <c r="G2742" s="21" t="n">
        <v>2016</v>
      </c>
      <c r="H2742" s="22" t="n">
        <v>124855</v>
      </c>
      <c r="I2742" s="23" t="n">
        <v>196000</v>
      </c>
      <c r="J2742" s="20" t="inlineStr">
        <is>
          <t>Tenali Srinivas</t>
        </is>
      </c>
      <c r="K2742" s="20" t="inlineStr">
        <is>
          <t>Non-Captive</t>
        </is>
      </c>
      <c r="L2742" s="20" t="inlineStr">
        <is>
          <t>Shaik Naseer Basha</t>
        </is>
      </c>
      <c r="M2742" s="23" t="n">
        <v>5084.75</v>
      </c>
      <c r="N2742" s="23" t="n">
        <v>6000</v>
      </c>
      <c r="O2742" s="24">
        <f>IF(AND(ISNUMBER(M2742), ISNUMBER(I2742), I2742&gt;0), M2742/I2742, "")</f>
        <v/>
      </c>
    </row>
    <row r="2743">
      <c r="A2743" s="19" t="inlineStr">
        <is>
          <t>FY27</t>
        </is>
      </c>
      <c r="B2743" s="19" t="inlineStr">
        <is>
          <t>Jul</t>
        </is>
      </c>
      <c r="C2743" s="19" t="inlineStr">
        <is>
          <t>AP/TS</t>
        </is>
      </c>
      <c r="D2743" s="20" t="inlineStr">
        <is>
          <t>AP16AP4099</t>
        </is>
      </c>
      <c r="E2743" s="20" t="inlineStr">
        <is>
          <t>MARUTI</t>
        </is>
      </c>
      <c r="F2743" s="20" t="inlineStr">
        <is>
          <t>Alto</t>
        </is>
      </c>
      <c r="G2743" s="21" t="n">
        <v>2006</v>
      </c>
      <c r="H2743" s="22" t="n">
        <v>130023</v>
      </c>
      <c r="I2743" s="23" t="n">
        <v>66500</v>
      </c>
      <c r="J2743" s="20" t="inlineStr">
        <is>
          <t>Tenali Srinivas</t>
        </is>
      </c>
      <c r="K2743" s="20" t="inlineStr">
        <is>
          <t>Non-Captive</t>
        </is>
      </c>
      <c r="L2743" s="20" t="inlineStr">
        <is>
          <t>Shaik Naseer Basha</t>
        </is>
      </c>
      <c r="M2743" s="23" t="n">
        <v>5508.47</v>
      </c>
      <c r="N2743" s="23" t="n">
        <v>6500</v>
      </c>
      <c r="O2743" s="24">
        <f>IF(AND(ISNUMBER(M2743), ISNUMBER(I2743), I2743&gt;0), M2743/I2743, "")</f>
        <v/>
      </c>
    </row>
    <row r="2744">
      <c r="A2744" s="19" t="inlineStr">
        <is>
          <t>FY27</t>
        </is>
      </c>
      <c r="B2744" s="19" t="inlineStr">
        <is>
          <t>Jul</t>
        </is>
      </c>
      <c r="C2744" s="19" t="inlineStr">
        <is>
          <t>AP/TS</t>
        </is>
      </c>
      <c r="D2744" s="20" t="inlineStr">
        <is>
          <t>AP16AX6129</t>
        </is>
      </c>
      <c r="E2744" s="20" t="inlineStr">
        <is>
          <t>HONDA</t>
        </is>
      </c>
      <c r="F2744" s="20" t="inlineStr">
        <is>
          <t>City</t>
        </is>
      </c>
      <c r="G2744" s="21" t="n">
        <v>2013</v>
      </c>
      <c r="H2744" s="22" t="n">
        <v>147623</v>
      </c>
      <c r="I2744" s="23" t="n">
        <v>237500</v>
      </c>
      <c r="J2744" s="20" t="inlineStr">
        <is>
          <t>Tenali Srinivas</t>
        </is>
      </c>
      <c r="K2744" s="20" t="inlineStr">
        <is>
          <t>Non-Captive</t>
        </is>
      </c>
      <c r="L2744" s="20" t="inlineStr">
        <is>
          <t>Sireesha Kodali</t>
        </is>
      </c>
      <c r="M2744" s="23" t="n">
        <v>6355.93</v>
      </c>
      <c r="N2744" s="23" t="n">
        <v>7500</v>
      </c>
      <c r="O2744" s="24">
        <f>IF(AND(ISNUMBER(M2744), ISNUMBER(I2744), I2744&gt;0), M2744/I2744, "")</f>
        <v/>
      </c>
    </row>
    <row r="2745">
      <c r="A2745" s="19" t="inlineStr">
        <is>
          <t>FY27</t>
        </is>
      </c>
      <c r="B2745" s="19" t="inlineStr">
        <is>
          <t>Jul</t>
        </is>
      </c>
      <c r="C2745" s="19" t="inlineStr">
        <is>
          <t>AP/TS</t>
        </is>
      </c>
      <c r="D2745" s="20" t="inlineStr">
        <is>
          <t>AP16CW4786</t>
        </is>
      </c>
      <c r="E2745" s="20" t="inlineStr">
        <is>
          <t>HONDA</t>
        </is>
      </c>
      <c r="F2745" s="20" t="inlineStr">
        <is>
          <t>Amaze</t>
        </is>
      </c>
      <c r="G2745" s="21" t="n">
        <v>2014</v>
      </c>
      <c r="H2745" s="22" t="n">
        <v>126680</v>
      </c>
      <c r="I2745" s="23" t="n">
        <v>222500</v>
      </c>
      <c r="J2745" s="20" t="inlineStr">
        <is>
          <t>Tenali Srinivas</t>
        </is>
      </c>
      <c r="K2745" s="20" t="inlineStr">
        <is>
          <t>Non-Captive</t>
        </is>
      </c>
      <c r="L2745" s="20" t="inlineStr">
        <is>
          <t>Sireesha Kodali</t>
        </is>
      </c>
      <c r="M2745" s="23" t="n">
        <v>6355.93</v>
      </c>
      <c r="N2745" s="23" t="n">
        <v>7500</v>
      </c>
      <c r="O2745" s="24">
        <f>IF(AND(ISNUMBER(M2745), ISNUMBER(I2745), I2745&gt;0), M2745/I2745, "")</f>
        <v/>
      </c>
    </row>
    <row r="2746">
      <c r="A2746" s="19" t="inlineStr">
        <is>
          <t>FY27</t>
        </is>
      </c>
      <c r="B2746" s="19" t="inlineStr">
        <is>
          <t>Jul</t>
        </is>
      </c>
      <c r="C2746" s="19" t="inlineStr">
        <is>
          <t>AP/TS</t>
        </is>
      </c>
      <c r="D2746" s="20" t="inlineStr">
        <is>
          <t>TS09EB2998</t>
        </is>
      </c>
      <c r="E2746" s="20" t="inlineStr">
        <is>
          <t>HONDA</t>
        </is>
      </c>
      <c r="F2746" s="20" t="inlineStr">
        <is>
          <t>Brio</t>
        </is>
      </c>
      <c r="G2746" s="21" t="n">
        <v>2014</v>
      </c>
      <c r="H2746" s="22" t="n">
        <v>108256</v>
      </c>
      <c r="I2746" s="23" t="n">
        <v>210000</v>
      </c>
      <c r="J2746" s="20" t="inlineStr">
        <is>
          <t>Puneet Gupta</t>
        </is>
      </c>
      <c r="K2746" s="20" t="inlineStr">
        <is>
          <t>Non-Captive</t>
        </is>
      </c>
      <c r="L2746" s="20" t="inlineStr">
        <is>
          <t>Bukya Santhosh Naik</t>
        </is>
      </c>
      <c r="M2746" s="23" t="n">
        <v>8474.58</v>
      </c>
      <c r="N2746" s="23" t="n">
        <v>10000</v>
      </c>
      <c r="O2746" s="24">
        <f>IF(AND(ISNUMBER(M2746), ISNUMBER(I2746), I2746&gt;0), M2746/I2746, "")</f>
        <v/>
      </c>
    </row>
    <row r="2747">
      <c r="A2747" s="19" t="inlineStr">
        <is>
          <t>FY27</t>
        </is>
      </c>
      <c r="B2747" s="19" t="inlineStr">
        <is>
          <t>Jul</t>
        </is>
      </c>
      <c r="C2747" s="19" t="inlineStr">
        <is>
          <t>AP/TS</t>
        </is>
      </c>
      <c r="D2747" s="20" t="inlineStr">
        <is>
          <t>AP15BE4757</t>
        </is>
      </c>
      <c r="E2747" s="20" t="inlineStr">
        <is>
          <t>HYUNDAI</t>
        </is>
      </c>
      <c r="F2747" s="20" t="inlineStr">
        <is>
          <t>I20</t>
        </is>
      </c>
      <c r="G2747" s="21" t="n">
        <v>2012</v>
      </c>
      <c r="H2747" s="22" t="n">
        <v>89420</v>
      </c>
      <c r="I2747" s="23" t="n">
        <v>126500</v>
      </c>
      <c r="J2747" s="20" t="inlineStr">
        <is>
          <t>Tenali Srinivas</t>
        </is>
      </c>
      <c r="K2747" s="20" t="inlineStr">
        <is>
          <t>Non-Captive</t>
        </is>
      </c>
      <c r="L2747" s="20" t="inlineStr">
        <is>
          <t>Shaik Salim</t>
        </is>
      </c>
      <c r="M2747" s="23" t="n">
        <v>5508.47</v>
      </c>
      <c r="N2747" s="23" t="n">
        <v>6500</v>
      </c>
      <c r="O2747" s="24">
        <f>IF(AND(ISNUMBER(M2747), ISNUMBER(I2747), I2747&gt;0), M2747/I2747, "")</f>
        <v/>
      </c>
    </row>
    <row r="2748">
      <c r="A2748" s="19" t="inlineStr">
        <is>
          <t>FY27</t>
        </is>
      </c>
      <c r="B2748" s="19" t="inlineStr">
        <is>
          <t>Jul</t>
        </is>
      </c>
      <c r="C2748" s="19" t="inlineStr">
        <is>
          <t>AP/TS</t>
        </is>
      </c>
      <c r="D2748" s="20" t="inlineStr">
        <is>
          <t>AP16EF3967</t>
        </is>
      </c>
      <c r="E2748" s="20" t="inlineStr">
        <is>
          <t>HONDA</t>
        </is>
      </c>
      <c r="F2748" s="20" t="inlineStr">
        <is>
          <t>City</t>
        </is>
      </c>
      <c r="G2748" s="21" t="n">
        <v>2017</v>
      </c>
      <c r="H2748" s="22" t="n">
        <v>47400</v>
      </c>
      <c r="I2748" s="23" t="n">
        <v>410000</v>
      </c>
      <c r="J2748" s="20" t="inlineStr">
        <is>
          <t>Exchange</t>
        </is>
      </c>
      <c r="K2748" s="20" t="inlineStr">
        <is>
          <t>Captive</t>
        </is>
      </c>
      <c r="L2748" s="20" t="inlineStr">
        <is>
          <t>Vedicherla Sudheer Reddy - VSR Cars</t>
        </is>
      </c>
      <c r="M2748" s="23" t="n">
        <v>8474.58</v>
      </c>
      <c r="N2748" s="23" t="n">
        <v>10000</v>
      </c>
      <c r="O2748" s="24">
        <f>IF(AND(ISNUMBER(M2748), ISNUMBER(I2748), I2748&gt;0), M2748/I2748, "")</f>
        <v/>
      </c>
    </row>
    <row r="2749">
      <c r="A2749" s="19" t="inlineStr">
        <is>
          <t>FY27</t>
        </is>
      </c>
      <c r="B2749" s="19" t="inlineStr">
        <is>
          <t>Jul</t>
        </is>
      </c>
      <c r="C2749" s="19" t="inlineStr">
        <is>
          <t>AP/TS</t>
        </is>
      </c>
      <c r="D2749" s="20" t="inlineStr">
        <is>
          <t>TS08GS0984</t>
        </is>
      </c>
      <c r="E2749" s="20" t="inlineStr">
        <is>
          <t>MARUTI</t>
        </is>
      </c>
      <c r="F2749" s="20" t="inlineStr">
        <is>
          <t>Swift</t>
        </is>
      </c>
      <c r="G2749" s="21" t="n">
        <v>2019</v>
      </c>
      <c r="H2749" s="22" t="n">
        <v>94476</v>
      </c>
      <c r="I2749" s="23" t="n">
        <v>378000</v>
      </c>
      <c r="J2749" s="20" t="inlineStr">
        <is>
          <t>Exchange</t>
        </is>
      </c>
      <c r="K2749" s="20" t="inlineStr">
        <is>
          <t>Captive</t>
        </is>
      </c>
      <c r="L2749" s="20" t="inlineStr">
        <is>
          <t>Ramesh Palley</t>
        </is>
      </c>
      <c r="M2749" s="23" t="n">
        <v>6779.66</v>
      </c>
      <c r="N2749" s="23" t="n">
        <v>8000</v>
      </c>
      <c r="O2749" s="24">
        <f>IF(AND(ISNUMBER(M2749), ISNUMBER(I2749), I2749&gt;0), M2749/I2749, "")</f>
        <v/>
      </c>
    </row>
    <row r="2750">
      <c r="A2750" s="19" t="inlineStr">
        <is>
          <t>FY27</t>
        </is>
      </c>
      <c r="B2750" s="19" t="inlineStr">
        <is>
          <t>Jul</t>
        </is>
      </c>
      <c r="C2750" s="19" t="inlineStr">
        <is>
          <t>AP/TS</t>
        </is>
      </c>
      <c r="D2750" s="20" t="inlineStr">
        <is>
          <t>AP09BR9891</t>
        </is>
      </c>
      <c r="E2750" s="20" t="inlineStr">
        <is>
          <t>HONDA</t>
        </is>
      </c>
      <c r="F2750" s="20" t="inlineStr">
        <is>
          <t>City</t>
        </is>
      </c>
      <c r="G2750" s="21" t="n">
        <v>2008</v>
      </c>
      <c r="H2750" s="22" t="n">
        <v>146767</v>
      </c>
      <c r="I2750" s="23" t="n">
        <v>96000</v>
      </c>
      <c r="J2750" s="20" t="inlineStr">
        <is>
          <t>Prabjyoth Singh Wasu</t>
        </is>
      </c>
      <c r="K2750" s="20" t="inlineStr">
        <is>
          <t>Non-Captive</t>
        </is>
      </c>
      <c r="L2750" s="20" t="inlineStr">
        <is>
          <t>Ramesh Palley</t>
        </is>
      </c>
      <c r="M2750" s="23" t="n">
        <v>5084.75</v>
      </c>
      <c r="N2750" s="23" t="n">
        <v>6000</v>
      </c>
      <c r="O2750" s="24">
        <f>IF(AND(ISNUMBER(M2750), ISNUMBER(I2750), I2750&gt;0), M2750/I2750, "")</f>
        <v/>
      </c>
    </row>
    <row r="2751">
      <c r="A2751" s="19" t="inlineStr">
        <is>
          <t>FY27</t>
        </is>
      </c>
      <c r="B2751" s="19" t="inlineStr">
        <is>
          <t>Jul</t>
        </is>
      </c>
      <c r="C2751" s="19" t="inlineStr">
        <is>
          <t>AP/TS</t>
        </is>
      </c>
      <c r="D2751" s="20" t="inlineStr">
        <is>
          <t>AP09CW6770</t>
        </is>
      </c>
      <c r="E2751" s="20" t="inlineStr">
        <is>
          <t>MARUTI</t>
        </is>
      </c>
      <c r="F2751" s="20" t="inlineStr">
        <is>
          <t>Swift Dzire</t>
        </is>
      </c>
      <c r="G2751" s="21" t="n">
        <v>2014</v>
      </c>
      <c r="H2751" s="22" t="n">
        <v>162850</v>
      </c>
      <c r="I2751" s="23" t="n">
        <v>136000</v>
      </c>
      <c r="J2751" s="20" t="inlineStr">
        <is>
          <t>Prabjyoth Singh Wasu</t>
        </is>
      </c>
      <c r="K2751" s="20" t="inlineStr">
        <is>
          <t>Non-Captive</t>
        </is>
      </c>
      <c r="L2751" s="20" t="inlineStr">
        <is>
          <t>Ramesh Palley</t>
        </is>
      </c>
      <c r="M2751" s="23" t="n">
        <v>5084.75</v>
      </c>
      <c r="N2751" s="23" t="n">
        <v>6000</v>
      </c>
      <c r="O2751" s="24">
        <f>IF(AND(ISNUMBER(M2751), ISNUMBER(I2751), I2751&gt;0), M2751/I2751, "")</f>
        <v/>
      </c>
    </row>
    <row r="2752">
      <c r="A2752" s="19" t="inlineStr">
        <is>
          <t>FY27</t>
        </is>
      </c>
      <c r="B2752" s="19" t="inlineStr">
        <is>
          <t>Jul</t>
        </is>
      </c>
      <c r="C2752" s="19" t="inlineStr">
        <is>
          <t>AP/TS</t>
        </is>
      </c>
      <c r="D2752" s="20" t="inlineStr">
        <is>
          <t>TS08GK9365</t>
        </is>
      </c>
      <c r="E2752" s="20" t="inlineStr">
        <is>
          <t>HONDA</t>
        </is>
      </c>
      <c r="F2752" s="20" t="inlineStr">
        <is>
          <t>Amaze</t>
        </is>
      </c>
      <c r="G2752" s="21" t="n">
        <v>2019</v>
      </c>
      <c r="H2752" s="22" t="n">
        <v>68689</v>
      </c>
      <c r="I2752" s="23" t="n">
        <v>400000</v>
      </c>
      <c r="J2752" s="20" t="inlineStr">
        <is>
          <t>Exchange</t>
        </is>
      </c>
      <c r="K2752" s="20" t="inlineStr">
        <is>
          <t>Captive</t>
        </is>
      </c>
      <c r="L2752" s="20" t="inlineStr">
        <is>
          <t>Abdul Aziz</t>
        </is>
      </c>
      <c r="M2752" s="23" t="n">
        <v>8474.58</v>
      </c>
      <c r="N2752" s="23" t="n">
        <v>10000</v>
      </c>
      <c r="O2752" s="24">
        <f>IF(AND(ISNUMBER(M2752), ISNUMBER(I2752), I2752&gt;0), M2752/I2752, "")</f>
        <v/>
      </c>
    </row>
    <row r="2753">
      <c r="A2753" s="19" t="inlineStr">
        <is>
          <t>FY27</t>
        </is>
      </c>
      <c r="B2753" s="19" t="inlineStr">
        <is>
          <t>Jul</t>
        </is>
      </c>
      <c r="C2753" s="19" t="inlineStr">
        <is>
          <t>AP/TS</t>
        </is>
      </c>
      <c r="D2753" s="20" t="inlineStr">
        <is>
          <t>AP10AY0023</t>
        </is>
      </c>
      <c r="E2753" s="20" t="inlineStr">
        <is>
          <t>TOYOTA</t>
        </is>
      </c>
      <c r="F2753" s="20" t="inlineStr">
        <is>
          <t>Corolla</t>
        </is>
      </c>
      <c r="G2753" s="21" t="n">
        <v>2011</v>
      </c>
      <c r="H2753" s="22" t="n">
        <v>121016</v>
      </c>
      <c r="I2753" s="23" t="n">
        <v>90000</v>
      </c>
      <c r="J2753" s="20" t="inlineStr">
        <is>
          <t>Prabjyoth Singh Wasu</t>
        </is>
      </c>
      <c r="K2753" s="20" t="inlineStr">
        <is>
          <t>Non-Captive</t>
        </is>
      </c>
      <c r="L2753" s="20" t="inlineStr">
        <is>
          <t>Abdul Aziz</t>
        </is>
      </c>
      <c r="M2753" s="23" t="n">
        <v>4237.29</v>
      </c>
      <c r="N2753" s="23" t="n">
        <v>5000</v>
      </c>
      <c r="O2753" s="24">
        <f>IF(AND(ISNUMBER(M2753), ISNUMBER(I2753), I2753&gt;0), M2753/I2753, "")</f>
        <v/>
      </c>
    </row>
    <row r="2754">
      <c r="A2754" s="19" t="inlineStr">
        <is>
          <t>FY27</t>
        </is>
      </c>
      <c r="B2754" s="19" t="inlineStr">
        <is>
          <t>Jul</t>
        </is>
      </c>
      <c r="C2754" s="19" t="inlineStr">
        <is>
          <t>AP/TS</t>
        </is>
      </c>
      <c r="D2754" s="20" t="inlineStr">
        <is>
          <t>AP11AP6006</t>
        </is>
      </c>
      <c r="E2754" s="20" t="inlineStr">
        <is>
          <t>FORD</t>
        </is>
      </c>
      <c r="F2754" s="20" t="inlineStr">
        <is>
          <t>Figo</t>
        </is>
      </c>
      <c r="G2754" s="21" t="n">
        <v>2012</v>
      </c>
      <c r="H2754" s="22" t="n">
        <v>113050</v>
      </c>
      <c r="I2754" s="23" t="n">
        <v>90000</v>
      </c>
      <c r="J2754" s="20" t="inlineStr">
        <is>
          <t>Prabjyoth Singh Wasu</t>
        </is>
      </c>
      <c r="K2754" s="20" t="inlineStr">
        <is>
          <t>Non-Captive</t>
        </is>
      </c>
      <c r="L2754" s="20" t="inlineStr">
        <is>
          <t>Abdul Aziz</t>
        </is>
      </c>
      <c r="M2754" s="23" t="n">
        <v>4237.29</v>
      </c>
      <c r="N2754" s="23" t="n">
        <v>5000</v>
      </c>
      <c r="O2754" s="24">
        <f>IF(AND(ISNUMBER(M2754), ISNUMBER(I2754), I2754&gt;0), M2754/I2754, "")</f>
        <v/>
      </c>
    </row>
    <row r="2755">
      <c r="A2755" s="19" t="inlineStr">
        <is>
          <t>FY27</t>
        </is>
      </c>
      <c r="B2755" s="19" t="inlineStr">
        <is>
          <t>Jul</t>
        </is>
      </c>
      <c r="C2755" s="19" t="inlineStr">
        <is>
          <t>AP/TS</t>
        </is>
      </c>
      <c r="D2755" s="20" t="inlineStr">
        <is>
          <t>AP16FB5361</t>
        </is>
      </c>
      <c r="E2755" s="20" t="inlineStr">
        <is>
          <t>MARUTI</t>
        </is>
      </c>
      <c r="F2755" s="20" t="inlineStr">
        <is>
          <t>Celerio</t>
        </is>
      </c>
      <c r="G2755" s="21" t="n">
        <v>2018</v>
      </c>
      <c r="H2755" s="22" t="n">
        <v>143041</v>
      </c>
      <c r="I2755" s="23" t="n">
        <v>197000</v>
      </c>
      <c r="J2755" s="20" t="inlineStr">
        <is>
          <t>Gopi Nagaraju</t>
        </is>
      </c>
      <c r="K2755" s="20" t="inlineStr">
        <is>
          <t>Non-Captive</t>
        </is>
      </c>
      <c r="L2755" s="20" t="inlineStr">
        <is>
          <t>Mohammed Riyaz</t>
        </is>
      </c>
      <c r="M2755" s="23" t="n">
        <v>5932.2</v>
      </c>
      <c r="N2755" s="23" t="n">
        <v>7000</v>
      </c>
      <c r="O2755" s="24">
        <f>IF(AND(ISNUMBER(M2755), ISNUMBER(I2755), I2755&gt;0), M2755/I2755, "")</f>
        <v/>
      </c>
    </row>
    <row r="2756">
      <c r="A2756" s="19" t="inlineStr">
        <is>
          <t>FY27</t>
        </is>
      </c>
      <c r="B2756" s="19" t="inlineStr">
        <is>
          <t>Jul</t>
        </is>
      </c>
      <c r="C2756" s="19" t="inlineStr">
        <is>
          <t>AP/TS</t>
        </is>
      </c>
      <c r="D2756" s="20" t="inlineStr">
        <is>
          <t>AP39BC8466</t>
        </is>
      </c>
      <c r="E2756" s="20" t="inlineStr">
        <is>
          <t>VOLKSWAGEN</t>
        </is>
      </c>
      <c r="F2756" s="20" t="inlineStr">
        <is>
          <t>Ameo</t>
        </is>
      </c>
      <c r="G2756" s="21" t="n">
        <v>2018</v>
      </c>
      <c r="H2756" s="22" t="n">
        <v>142010</v>
      </c>
      <c r="I2756" s="23" t="n">
        <v>197000</v>
      </c>
      <c r="J2756" s="20" t="inlineStr">
        <is>
          <t>Gopi Nagaraju</t>
        </is>
      </c>
      <c r="K2756" s="20" t="inlineStr">
        <is>
          <t>Non-Captive</t>
        </is>
      </c>
      <c r="L2756" s="20" t="inlineStr">
        <is>
          <t>Mohammed Riyaz</t>
        </is>
      </c>
      <c r="M2756" s="23" t="n">
        <v>5932.2</v>
      </c>
      <c r="N2756" s="23" t="n">
        <v>7000</v>
      </c>
      <c r="O2756" s="24">
        <f>IF(AND(ISNUMBER(M2756), ISNUMBER(I2756), I2756&gt;0), M2756/I2756, "")</f>
        <v/>
      </c>
    </row>
    <row r="2757">
      <c r="A2757" s="19" t="inlineStr">
        <is>
          <t>FY27</t>
        </is>
      </c>
      <c r="B2757" s="19" t="inlineStr">
        <is>
          <t>Jul</t>
        </is>
      </c>
      <c r="C2757" s="19" t="inlineStr">
        <is>
          <t>AP/TS</t>
        </is>
      </c>
      <c r="D2757" s="20" t="inlineStr">
        <is>
          <t>AP16EW2265</t>
        </is>
      </c>
      <c r="E2757" s="20" t="inlineStr">
        <is>
          <t>MARUTI</t>
        </is>
      </c>
      <c r="F2757" s="20" t="inlineStr">
        <is>
          <t>Celerio</t>
        </is>
      </c>
      <c r="G2757" s="21" t="n">
        <v>2018</v>
      </c>
      <c r="H2757" s="22" t="n">
        <v>139181</v>
      </c>
      <c r="I2757" s="23" t="n">
        <v>195500</v>
      </c>
      <c r="J2757" s="20" t="inlineStr">
        <is>
          <t>Sesetti Manoj Kumar</t>
        </is>
      </c>
      <c r="K2757" s="20" t="inlineStr">
        <is>
          <t>Non-Captive</t>
        </is>
      </c>
      <c r="L2757" s="20" t="inlineStr">
        <is>
          <t>Suresh Ginjupalli</t>
        </is>
      </c>
      <c r="M2757" s="23" t="n">
        <v>6355.93</v>
      </c>
      <c r="N2757" s="23" t="n">
        <v>7500</v>
      </c>
      <c r="O2757" s="24">
        <f>IF(AND(ISNUMBER(M2757), ISNUMBER(I2757), I2757&gt;0), M2757/I2757, "")</f>
        <v/>
      </c>
    </row>
    <row r="2758">
      <c r="A2758" s="19" t="inlineStr">
        <is>
          <t>FY27</t>
        </is>
      </c>
      <c r="B2758" s="19" t="inlineStr">
        <is>
          <t>Jul</t>
        </is>
      </c>
      <c r="C2758" s="19" t="inlineStr">
        <is>
          <t>AP/TS</t>
        </is>
      </c>
      <c r="D2758" s="20" t="inlineStr">
        <is>
          <t>AP16FD1458</t>
        </is>
      </c>
      <c r="E2758" s="20" t="inlineStr">
        <is>
          <t>FORD</t>
        </is>
      </c>
      <c r="F2758" s="20" t="inlineStr">
        <is>
          <t>Figo</t>
        </is>
      </c>
      <c r="G2758" s="21" t="n">
        <v>2018</v>
      </c>
      <c r="H2758" s="22" t="n">
        <v>156334</v>
      </c>
      <c r="I2758" s="23" t="n">
        <v>195500</v>
      </c>
      <c r="J2758" s="20" t="inlineStr">
        <is>
          <t>Sesetti Manoj Kumar</t>
        </is>
      </c>
      <c r="K2758" s="20" t="inlineStr">
        <is>
          <t>Non-Captive</t>
        </is>
      </c>
      <c r="L2758" s="20" t="inlineStr">
        <is>
          <t>Suresh Ginjupalli</t>
        </is>
      </c>
      <c r="M2758" s="23" t="n">
        <v>6355.93</v>
      </c>
      <c r="N2758" s="23" t="n">
        <v>7500</v>
      </c>
      <c r="O2758" s="24">
        <f>IF(AND(ISNUMBER(M2758), ISNUMBER(I2758), I2758&gt;0), M2758/I2758, "")</f>
        <v/>
      </c>
    </row>
    <row r="2759">
      <c r="A2759" s="19" t="inlineStr">
        <is>
          <t>FY27</t>
        </is>
      </c>
      <c r="B2759" s="19" t="inlineStr">
        <is>
          <t>Jul</t>
        </is>
      </c>
      <c r="C2759" s="19" t="inlineStr">
        <is>
          <t>AP/TS</t>
        </is>
      </c>
      <c r="D2759" s="20" t="inlineStr">
        <is>
          <t>AP16CJ5564</t>
        </is>
      </c>
      <c r="E2759" s="20" t="inlineStr">
        <is>
          <t>MARUTI</t>
        </is>
      </c>
      <c r="F2759" s="20" t="inlineStr">
        <is>
          <t>Swift Dzire</t>
        </is>
      </c>
      <c r="G2759" s="21" t="n">
        <v>2013</v>
      </c>
      <c r="H2759" s="22" t="n">
        <v>126013</v>
      </c>
      <c r="I2759" s="23" t="n">
        <v>210000</v>
      </c>
      <c r="J2759" s="20" t="inlineStr">
        <is>
          <t>Exchange</t>
        </is>
      </c>
      <c r="K2759" s="20" t="inlineStr">
        <is>
          <t>Captive</t>
        </is>
      </c>
      <c r="L2759" s="20" t="inlineStr">
        <is>
          <t>Devarapalli Avinash</t>
        </is>
      </c>
      <c r="M2759" s="23" t="n">
        <v>8474.58</v>
      </c>
      <c r="N2759" s="23" t="n">
        <v>10000</v>
      </c>
      <c r="O2759" s="24">
        <f>IF(AND(ISNUMBER(M2759), ISNUMBER(I2759), I2759&gt;0), M2759/I2759, "")</f>
        <v/>
      </c>
    </row>
    <row r="2760">
      <c r="A2760" s="19" t="inlineStr">
        <is>
          <t>FY27</t>
        </is>
      </c>
      <c r="B2760" s="19" t="inlineStr">
        <is>
          <t>Jul</t>
        </is>
      </c>
      <c r="C2760" s="19" t="inlineStr">
        <is>
          <t>AP/TS</t>
        </is>
      </c>
      <c r="D2760" s="20" t="inlineStr">
        <is>
          <t>AP39CG7475</t>
        </is>
      </c>
      <c r="E2760" s="20" t="inlineStr">
        <is>
          <t>HONDA</t>
        </is>
      </c>
      <c r="F2760" s="20" t="inlineStr">
        <is>
          <t>Jazz</t>
        </is>
      </c>
      <c r="G2760" s="21" t="n">
        <v>2019</v>
      </c>
      <c r="H2760" s="22" t="n">
        <v>56411</v>
      </c>
      <c r="I2760" s="23" t="n">
        <v>378000</v>
      </c>
      <c r="J2760" s="20" t="inlineStr">
        <is>
          <t>Exchange</t>
        </is>
      </c>
      <c r="K2760" s="20" t="inlineStr">
        <is>
          <t>Captive</t>
        </is>
      </c>
      <c r="L2760" s="20" t="inlineStr">
        <is>
          <t>Tenali Srinivas</t>
        </is>
      </c>
      <c r="M2760" s="23" t="n">
        <v>6779.66</v>
      </c>
      <c r="N2760" s="23" t="n">
        <v>8000</v>
      </c>
      <c r="O2760" s="24">
        <f>IF(AND(ISNUMBER(M2760), ISNUMBER(I2760), I2760&gt;0), M2760/I2760, "")</f>
        <v/>
      </c>
    </row>
    <row r="2761">
      <c r="A2761" s="19" t="inlineStr">
        <is>
          <t>FY27</t>
        </is>
      </c>
      <c r="B2761" s="19" t="inlineStr">
        <is>
          <t>Jul</t>
        </is>
      </c>
      <c r="C2761" s="19" t="inlineStr">
        <is>
          <t>AP/TS</t>
        </is>
      </c>
      <c r="D2761" s="20" t="inlineStr">
        <is>
          <t>AP39NH1729</t>
        </is>
      </c>
      <c r="E2761" s="20" t="inlineStr">
        <is>
          <t>KIA</t>
        </is>
      </c>
      <c r="F2761" s="20" t="inlineStr">
        <is>
          <t>Seltos</t>
        </is>
      </c>
      <c r="G2761" s="21" t="n">
        <v>2022</v>
      </c>
      <c r="H2761" s="22" t="n">
        <v>67411</v>
      </c>
      <c r="I2761" s="23" t="n">
        <v>857000</v>
      </c>
      <c r="J2761" s="20" t="inlineStr">
        <is>
          <t>Exchange</t>
        </is>
      </c>
      <c r="K2761" s="20" t="inlineStr">
        <is>
          <t>Captive</t>
        </is>
      </c>
      <c r="L2761" s="20" t="inlineStr">
        <is>
          <t>Mohammed Riyaz</t>
        </is>
      </c>
      <c r="M2761" s="23" t="n">
        <v>14406.78</v>
      </c>
      <c r="N2761" s="23" t="n">
        <v>17000</v>
      </c>
      <c r="O2761" s="24">
        <f>IF(AND(ISNUMBER(M2761), ISNUMBER(I2761), I2761&gt;0), M2761/I2761, "")</f>
        <v/>
      </c>
    </row>
    <row r="2762">
      <c r="A2762" s="19" t="inlineStr">
        <is>
          <t>FY27</t>
        </is>
      </c>
      <c r="B2762" s="19" t="inlineStr">
        <is>
          <t>Jul</t>
        </is>
      </c>
      <c r="C2762" s="19" t="inlineStr">
        <is>
          <t>AP/TS</t>
        </is>
      </c>
      <c r="D2762" s="20" t="inlineStr">
        <is>
          <t>AP26BH6969</t>
        </is>
      </c>
      <c r="E2762" s="20" t="inlineStr">
        <is>
          <t>FORD</t>
        </is>
      </c>
      <c r="F2762" s="20" t="inlineStr">
        <is>
          <t>Ecosport</t>
        </is>
      </c>
      <c r="G2762" s="21" t="n">
        <v>2016</v>
      </c>
      <c r="H2762" s="22" t="n">
        <v>142566</v>
      </c>
      <c r="I2762" s="23" t="n">
        <v>338000</v>
      </c>
      <c r="J2762" s="20" t="inlineStr">
        <is>
          <t>Gopi Nagaraju</t>
        </is>
      </c>
      <c r="K2762" s="20" t="inlineStr">
        <is>
          <t>Non-Captive</t>
        </is>
      </c>
      <c r="L2762" s="20" t="inlineStr">
        <is>
          <t>Mohammed Riyaz</t>
        </is>
      </c>
      <c r="M2762" s="23" t="n">
        <v>6779.66</v>
      </c>
      <c r="N2762" s="23" t="n">
        <v>8000</v>
      </c>
      <c r="O2762" s="24">
        <f>IF(AND(ISNUMBER(M2762), ISNUMBER(I2762), I2762&gt;0), M2762/I2762, "")</f>
        <v/>
      </c>
    </row>
    <row r="2763">
      <c r="A2763" s="19" t="inlineStr">
        <is>
          <t>FY27</t>
        </is>
      </c>
      <c r="B2763" s="19" t="inlineStr">
        <is>
          <t>Jul</t>
        </is>
      </c>
      <c r="C2763" s="19" t="inlineStr">
        <is>
          <t>AP/TS</t>
        </is>
      </c>
      <c r="D2763" s="20" t="inlineStr">
        <is>
          <t>AP10BF9402</t>
        </is>
      </c>
      <c r="E2763" s="20" t="inlineStr">
        <is>
          <t>HONDA</t>
        </is>
      </c>
      <c r="F2763" s="20" t="inlineStr">
        <is>
          <t>Amaze</t>
        </is>
      </c>
      <c r="G2763" s="21" t="n">
        <v>2014</v>
      </c>
      <c r="H2763" s="22" t="n">
        <v>85452</v>
      </c>
      <c r="I2763" s="23" t="n">
        <v>187000</v>
      </c>
      <c r="J2763" s="20" t="inlineStr">
        <is>
          <t>Exchange</t>
        </is>
      </c>
      <c r="K2763" s="20" t="inlineStr">
        <is>
          <t>Captive</t>
        </is>
      </c>
      <c r="L2763" s="20" t="inlineStr">
        <is>
          <t>Koppulapelli Anand Goud (Anand Cars)</t>
        </is>
      </c>
      <c r="M2763" s="23" t="n">
        <v>5932.2</v>
      </c>
      <c r="N2763" s="23" t="n">
        <v>7000</v>
      </c>
      <c r="O2763" s="24">
        <f>IF(AND(ISNUMBER(M2763), ISNUMBER(I2763), I2763&gt;0), M2763/I2763, "")</f>
        <v/>
      </c>
    </row>
    <row r="2764">
      <c r="A2764" s="19" t="inlineStr">
        <is>
          <t>FY27</t>
        </is>
      </c>
      <c r="B2764" s="19" t="inlineStr">
        <is>
          <t>Jul</t>
        </is>
      </c>
      <c r="C2764" s="19" t="inlineStr">
        <is>
          <t>AP/TS</t>
        </is>
      </c>
      <c r="D2764" s="20" t="inlineStr">
        <is>
          <t>AP29AZ2596</t>
        </is>
      </c>
      <c r="E2764" s="20" t="inlineStr">
        <is>
          <t>HONDA</t>
        </is>
      </c>
      <c r="F2764" s="20" t="inlineStr">
        <is>
          <t>City</t>
        </is>
      </c>
      <c r="G2764" s="21" t="n">
        <v>2013</v>
      </c>
      <c r="H2764" s="22" t="n">
        <v>145236</v>
      </c>
      <c r="I2764" s="23" t="n">
        <v>190000</v>
      </c>
      <c r="J2764" s="20" t="inlineStr">
        <is>
          <t>Puneet Gupta</t>
        </is>
      </c>
      <c r="K2764" s="20" t="inlineStr">
        <is>
          <t>Non-Captive</t>
        </is>
      </c>
      <c r="L2764" s="20" t="inlineStr">
        <is>
          <t>Koppulapelli Anand Goud (Anand Cars)</t>
        </is>
      </c>
      <c r="M2764" s="23" t="n">
        <v>5932.2</v>
      </c>
      <c r="N2764" s="23" t="n">
        <v>7000</v>
      </c>
      <c r="O2764" s="24">
        <f>IF(AND(ISNUMBER(M2764), ISNUMBER(I2764), I2764&gt;0), M2764/I2764, "")</f>
        <v/>
      </c>
    </row>
    <row r="2765">
      <c r="A2765" s="19" t="inlineStr">
        <is>
          <t>FY27</t>
        </is>
      </c>
      <c r="B2765" s="19" t="inlineStr">
        <is>
          <t>Jul</t>
        </is>
      </c>
      <c r="C2765" s="19" t="inlineStr">
        <is>
          <t>AP/TS</t>
        </is>
      </c>
      <c r="D2765" s="20" t="inlineStr">
        <is>
          <t>AP09CK2300</t>
        </is>
      </c>
      <c r="E2765" s="20" t="inlineStr">
        <is>
          <t>HONDA</t>
        </is>
      </c>
      <c r="F2765" s="20" t="inlineStr">
        <is>
          <t>City</t>
        </is>
      </c>
      <c r="G2765" s="21" t="n">
        <v>2012</v>
      </c>
      <c r="H2765" s="22" t="n">
        <v>173125</v>
      </c>
      <c r="I2765" s="23" t="n">
        <v>180000</v>
      </c>
      <c r="J2765" s="20" t="inlineStr">
        <is>
          <t>Puneet Gupta</t>
        </is>
      </c>
      <c r="K2765" s="20" t="inlineStr">
        <is>
          <t>Non-Captive</t>
        </is>
      </c>
      <c r="L2765" s="20" t="inlineStr">
        <is>
          <t>Koppulapelli Anand Goud (Anand Cars)</t>
        </is>
      </c>
      <c r="M2765" s="23" t="n">
        <v>5932.2</v>
      </c>
      <c r="N2765" s="23" t="n">
        <v>7000</v>
      </c>
      <c r="O2765" s="24">
        <f>IF(AND(ISNUMBER(M2765), ISNUMBER(I2765), I2765&gt;0), M2765/I2765, "")</f>
        <v/>
      </c>
    </row>
    <row r="2766">
      <c r="A2766" s="19" t="inlineStr">
        <is>
          <t>FY27</t>
        </is>
      </c>
      <c r="B2766" s="19" t="inlineStr">
        <is>
          <t>Jul</t>
        </is>
      </c>
      <c r="C2766" s="19" t="inlineStr">
        <is>
          <t>AP/TS</t>
        </is>
      </c>
      <c r="D2766" s="20" t="inlineStr">
        <is>
          <t>TS10EM1511</t>
        </is>
      </c>
      <c r="E2766" s="20" t="inlineStr">
        <is>
          <t>NISSAN</t>
        </is>
      </c>
      <c r="F2766" s="20" t="inlineStr">
        <is>
          <t>Terrano</t>
        </is>
      </c>
      <c r="G2766" s="21" t="n">
        <v>2017</v>
      </c>
      <c r="H2766" s="22" t="n">
        <v>159967</v>
      </c>
      <c r="I2766" s="23" t="n">
        <v>297000</v>
      </c>
      <c r="J2766" s="20" t="inlineStr">
        <is>
          <t>Exchange</t>
        </is>
      </c>
      <c r="K2766" s="20" t="inlineStr">
        <is>
          <t>Captive</t>
        </is>
      </c>
      <c r="L2766" s="20" t="inlineStr">
        <is>
          <t>Vara Rajendra Varma</t>
        </is>
      </c>
      <c r="M2766" s="23" t="n">
        <v>8474.58</v>
      </c>
      <c r="N2766" s="23" t="n">
        <v>10000</v>
      </c>
      <c r="O2766" s="24">
        <f>IF(AND(ISNUMBER(M2766), ISNUMBER(I2766), I2766&gt;0), M2766/I2766, "")</f>
        <v/>
      </c>
    </row>
    <row r="2767">
      <c r="A2767" s="19" t="inlineStr">
        <is>
          <t>FY27</t>
        </is>
      </c>
      <c r="B2767" s="19" t="inlineStr">
        <is>
          <t>Jul</t>
        </is>
      </c>
      <c r="C2767" s="19" t="inlineStr">
        <is>
          <t>AP/TS</t>
        </is>
      </c>
      <c r="D2767" s="20" t="inlineStr">
        <is>
          <t>TS10EP2960</t>
        </is>
      </c>
      <c r="E2767" s="20" t="inlineStr">
        <is>
          <t>MARUTI</t>
        </is>
      </c>
      <c r="F2767" s="20" t="inlineStr">
        <is>
          <t>Celerio-X</t>
        </is>
      </c>
      <c r="G2767" s="21" t="n">
        <v>2018</v>
      </c>
      <c r="H2767" s="22" t="n">
        <v>12601</v>
      </c>
      <c r="I2767" s="23" t="n">
        <v>293000</v>
      </c>
      <c r="J2767" s="20" t="inlineStr">
        <is>
          <t>Exchange</t>
        </is>
      </c>
      <c r="K2767" s="20" t="inlineStr">
        <is>
          <t>Captive</t>
        </is>
      </c>
      <c r="L2767" s="20" t="inlineStr">
        <is>
          <t>Vara Rajendra Varma</t>
        </is>
      </c>
      <c r="M2767" s="23" t="n">
        <v>6779.66</v>
      </c>
      <c r="N2767" s="23" t="n">
        <v>8000</v>
      </c>
      <c r="O2767" s="24">
        <f>IF(AND(ISNUMBER(M2767), ISNUMBER(I2767), I2767&gt;0), M2767/I2767, "")</f>
        <v/>
      </c>
    </row>
    <row r="2768">
      <c r="A2768" s="19" t="inlineStr">
        <is>
          <t>FY27</t>
        </is>
      </c>
      <c r="B2768" s="19" t="inlineStr">
        <is>
          <t>Jul</t>
        </is>
      </c>
      <c r="C2768" s="19" t="inlineStr">
        <is>
          <t>AP/TS</t>
        </is>
      </c>
      <c r="D2768" s="20" t="inlineStr">
        <is>
          <t>TS10ED2425</t>
        </is>
      </c>
      <c r="E2768" s="20" t="inlineStr">
        <is>
          <t>FORD</t>
        </is>
      </c>
      <c r="F2768" s="20" t="inlineStr">
        <is>
          <t>Ecosport</t>
        </is>
      </c>
      <c r="G2768" s="21" t="n">
        <v>2015</v>
      </c>
      <c r="H2768" s="22" t="n">
        <v>105224</v>
      </c>
      <c r="I2768" s="23" t="n">
        <v>297000</v>
      </c>
      <c r="J2768" s="20" t="inlineStr">
        <is>
          <t>Exchange</t>
        </is>
      </c>
      <c r="K2768" s="20" t="inlineStr">
        <is>
          <t>Captive</t>
        </is>
      </c>
      <c r="L2768" s="20" t="inlineStr">
        <is>
          <t>Koppulapelli Anand Goud (Anand Cars)</t>
        </is>
      </c>
      <c r="M2768" s="23" t="n">
        <v>10169.49</v>
      </c>
      <c r="N2768" s="23" t="n">
        <v>12000</v>
      </c>
      <c r="O2768" s="24">
        <f>IF(AND(ISNUMBER(M2768), ISNUMBER(I2768), I2768&gt;0), M2768/I2768, "")</f>
        <v/>
      </c>
    </row>
    <row r="2769">
      <c r="A2769" s="19" t="inlineStr">
        <is>
          <t>FY27</t>
        </is>
      </c>
      <c r="B2769" s="19" t="inlineStr">
        <is>
          <t>Jul</t>
        </is>
      </c>
      <c r="C2769" s="19" t="inlineStr">
        <is>
          <t>AP/TS</t>
        </is>
      </c>
      <c r="D2769" s="20" t="inlineStr">
        <is>
          <t>AP09CR3003</t>
        </is>
      </c>
      <c r="E2769" s="20" t="inlineStr">
        <is>
          <t>MAHINDRA</t>
        </is>
      </c>
      <c r="F2769" s="20" t="inlineStr">
        <is>
          <t>Xuv500</t>
        </is>
      </c>
      <c r="G2769" s="21" t="n">
        <v>2013</v>
      </c>
      <c r="H2769" s="22" t="n">
        <v>160986</v>
      </c>
      <c r="I2769" s="23" t="n">
        <v>358000</v>
      </c>
      <c r="J2769" s="20" t="inlineStr">
        <is>
          <t>Puneet Gupta</t>
        </is>
      </c>
      <c r="K2769" s="20" t="inlineStr">
        <is>
          <t>Non-Captive</t>
        </is>
      </c>
      <c r="L2769" s="20" t="inlineStr">
        <is>
          <t>Koppulapelli Anand Goud (Anand Cars)</t>
        </is>
      </c>
      <c r="M2769" s="23" t="n">
        <v>6779.66</v>
      </c>
      <c r="N2769" s="23" t="n">
        <v>8000</v>
      </c>
      <c r="O2769" s="24">
        <f>IF(AND(ISNUMBER(M2769), ISNUMBER(I2769), I2769&gt;0), M2769/I2769, "")</f>
        <v/>
      </c>
    </row>
    <row r="2770">
      <c r="A2770" s="19" t="inlineStr">
        <is>
          <t>FY27</t>
        </is>
      </c>
      <c r="B2770" s="19" t="inlineStr">
        <is>
          <t>Jul</t>
        </is>
      </c>
      <c r="C2770" s="19" t="inlineStr">
        <is>
          <t>AP/TS</t>
        </is>
      </c>
      <c r="D2770" s="20" t="inlineStr">
        <is>
          <t>AP07CY2366</t>
        </is>
      </c>
      <c r="E2770" s="20" t="inlineStr">
        <is>
          <t>HYUNDAI</t>
        </is>
      </c>
      <c r="F2770" s="20" t="inlineStr">
        <is>
          <t>Grand I10</t>
        </is>
      </c>
      <c r="G2770" s="21" t="n">
        <v>2016</v>
      </c>
      <c r="H2770" s="22" t="n">
        <v>61438</v>
      </c>
      <c r="I2770" s="23" t="n">
        <v>258000</v>
      </c>
      <c r="J2770" s="20" t="inlineStr">
        <is>
          <t>Exchange</t>
        </is>
      </c>
      <c r="K2770" s="20" t="inlineStr">
        <is>
          <t>Captive</t>
        </is>
      </c>
      <c r="L2770" s="20" t="inlineStr">
        <is>
          <t>Devarakonda Siva Durga Prasad</t>
        </is>
      </c>
      <c r="M2770" s="23" t="n">
        <v>6779.66</v>
      </c>
      <c r="N2770" s="23" t="n">
        <v>8000</v>
      </c>
      <c r="O2770" s="24">
        <f>IF(AND(ISNUMBER(M2770), ISNUMBER(I2770), I2770&gt;0), M2770/I2770, "")</f>
        <v/>
      </c>
    </row>
    <row r="2771">
      <c r="A2771" s="19" t="inlineStr">
        <is>
          <t>FY27</t>
        </is>
      </c>
      <c r="B2771" s="19" t="inlineStr">
        <is>
          <t>Jul</t>
        </is>
      </c>
      <c r="C2771" s="19" t="inlineStr">
        <is>
          <t>AP/TS</t>
        </is>
      </c>
      <c r="D2771" s="20" t="inlineStr">
        <is>
          <t>AP16CZ1242</t>
        </is>
      </c>
      <c r="E2771" s="20" t="inlineStr">
        <is>
          <t>HONDA</t>
        </is>
      </c>
      <c r="F2771" s="20" t="inlineStr">
        <is>
          <t>City</t>
        </is>
      </c>
      <c r="G2771" s="21" t="n">
        <v>2014</v>
      </c>
      <c r="H2771" s="22" t="n">
        <v>158253</v>
      </c>
      <c r="I2771" s="23" t="n">
        <v>197000</v>
      </c>
      <c r="J2771" s="20" t="inlineStr">
        <is>
          <t>Tenali Srinivas</t>
        </is>
      </c>
      <c r="K2771" s="20" t="inlineStr">
        <is>
          <t>Non-Captive</t>
        </is>
      </c>
      <c r="L2771" s="20" t="inlineStr">
        <is>
          <t>Devarakonda Siva Durga Prasad</t>
        </is>
      </c>
      <c r="M2771" s="23" t="n">
        <v>5932.2</v>
      </c>
      <c r="N2771" s="23" t="n">
        <v>7000</v>
      </c>
      <c r="O2771" s="24">
        <f>IF(AND(ISNUMBER(M2771), ISNUMBER(I2771), I2771&gt;0), M2771/I2771, "")</f>
        <v/>
      </c>
    </row>
    <row r="2772">
      <c r="A2772" s="19" t="inlineStr">
        <is>
          <t>FY27</t>
        </is>
      </c>
      <c r="B2772" s="19" t="inlineStr">
        <is>
          <t>Jul</t>
        </is>
      </c>
      <c r="C2772" s="19" t="inlineStr">
        <is>
          <t>AP/TS</t>
        </is>
      </c>
      <c r="D2772" s="20" t="inlineStr">
        <is>
          <t>AP16CX2949</t>
        </is>
      </c>
      <c r="E2772" s="20" t="inlineStr">
        <is>
          <t>HONDA</t>
        </is>
      </c>
      <c r="F2772" s="20" t="inlineStr">
        <is>
          <t>Amaze</t>
        </is>
      </c>
      <c r="G2772" s="21" t="n">
        <v>2015</v>
      </c>
      <c r="H2772" s="22" t="n">
        <v>160452</v>
      </c>
      <c r="I2772" s="23" t="n">
        <v>187000</v>
      </c>
      <c r="J2772" s="20" t="inlineStr">
        <is>
          <t>Tenali Srinivas</t>
        </is>
      </c>
      <c r="K2772" s="20" t="inlineStr">
        <is>
          <t>Non-Captive</t>
        </is>
      </c>
      <c r="L2772" s="20" t="inlineStr">
        <is>
          <t>Devarakonda Siva Durga Prasad</t>
        </is>
      </c>
      <c r="M2772" s="23" t="n">
        <v>5932.2</v>
      </c>
      <c r="N2772" s="23" t="n">
        <v>7000</v>
      </c>
      <c r="O2772" s="24">
        <f>IF(AND(ISNUMBER(M2772), ISNUMBER(I2772), I2772&gt;0), M2772/I2772, "")</f>
        <v/>
      </c>
    </row>
    <row r="2773">
      <c r="A2773" s="19" t="inlineStr">
        <is>
          <t>FY27</t>
        </is>
      </c>
      <c r="B2773" s="19" t="inlineStr">
        <is>
          <t>Jul</t>
        </is>
      </c>
      <c r="C2773" s="19" t="inlineStr">
        <is>
          <t>AP/TS</t>
        </is>
      </c>
      <c r="D2773" s="20" t="inlineStr">
        <is>
          <t>AP31TV7821</t>
        </is>
      </c>
      <c r="E2773" s="20" t="inlineStr">
        <is>
          <t>HONDA</t>
        </is>
      </c>
      <c r="F2773" s="20" t="inlineStr">
        <is>
          <t>Amaze</t>
        </is>
      </c>
      <c r="G2773" s="21" t="n">
        <v>2017</v>
      </c>
      <c r="H2773" s="22" t="n">
        <v>249567</v>
      </c>
      <c r="I2773" s="23" t="n">
        <v>177000</v>
      </c>
      <c r="J2773" s="20" t="inlineStr">
        <is>
          <t>Exchange</t>
        </is>
      </c>
      <c r="K2773" s="20" t="inlineStr">
        <is>
          <t>Captive</t>
        </is>
      </c>
      <c r="L2773" s="20" t="inlineStr">
        <is>
          <t>Behara Ramu</t>
        </is>
      </c>
      <c r="M2773" s="23" t="n">
        <v>10169.49</v>
      </c>
      <c r="N2773" s="23" t="n">
        <v>12000</v>
      </c>
      <c r="O2773" s="24">
        <f>IF(AND(ISNUMBER(M2773), ISNUMBER(I2773), I2773&gt;0), M2773/I2773, "")</f>
        <v/>
      </c>
    </row>
    <row r="2774">
      <c r="A2774" s="19" t="inlineStr">
        <is>
          <t>FY27</t>
        </is>
      </c>
      <c r="B2774" s="19" t="inlineStr">
        <is>
          <t>Jul</t>
        </is>
      </c>
      <c r="C2774" s="19" t="inlineStr">
        <is>
          <t>AP/TS</t>
        </is>
      </c>
      <c r="D2774" s="20" t="inlineStr">
        <is>
          <t>AP16DK3323</t>
        </is>
      </c>
      <c r="E2774" s="20" t="inlineStr">
        <is>
          <t>MARUTI</t>
        </is>
      </c>
      <c r="F2774" s="20" t="inlineStr">
        <is>
          <t>Wagon-R</t>
        </is>
      </c>
      <c r="G2774" s="21" t="n">
        <v>2016</v>
      </c>
      <c r="H2774" s="22" t="n">
        <v>78049</v>
      </c>
      <c r="I2774" s="23" t="n">
        <v>236000</v>
      </c>
      <c r="J2774" s="20" t="inlineStr">
        <is>
          <t>Exchange</t>
        </is>
      </c>
      <c r="K2774" s="20" t="inlineStr">
        <is>
          <t>Captive</t>
        </is>
      </c>
      <c r="L2774" s="20" t="inlineStr">
        <is>
          <t>Guthi Ravi Krishna</t>
        </is>
      </c>
      <c r="M2774" s="23" t="n">
        <v>8474.58</v>
      </c>
      <c r="N2774" s="23" t="n">
        <v>10000</v>
      </c>
      <c r="O2774" s="24">
        <f>IF(AND(ISNUMBER(M2774), ISNUMBER(I2774), I2774&gt;0), M2774/I2774, "")</f>
        <v/>
      </c>
    </row>
    <row r="2775">
      <c r="A2775" s="19" t="inlineStr">
        <is>
          <t>FY27</t>
        </is>
      </c>
      <c r="B2775" s="19" t="inlineStr">
        <is>
          <t>Jul</t>
        </is>
      </c>
      <c r="C2775" s="19" t="inlineStr">
        <is>
          <t>AP/TS</t>
        </is>
      </c>
      <c r="D2775" s="20" t="inlineStr">
        <is>
          <t>AP16FJ1988</t>
        </is>
      </c>
      <c r="E2775" s="20" t="inlineStr">
        <is>
          <t>MARUTI</t>
        </is>
      </c>
      <c r="F2775" s="20" t="inlineStr">
        <is>
          <t>Ignis</t>
        </is>
      </c>
      <c r="G2775" s="21" t="n">
        <v>2018</v>
      </c>
      <c r="H2775" s="22" t="n">
        <v>106538</v>
      </c>
      <c r="I2775" s="23" t="n">
        <v>170000</v>
      </c>
      <c r="J2775" s="20" t="inlineStr">
        <is>
          <t>Exchange</t>
        </is>
      </c>
      <c r="K2775" s="20" t="inlineStr">
        <is>
          <t>Captive</t>
        </is>
      </c>
      <c r="L2775" s="20" t="inlineStr">
        <is>
          <t>Mohammed Gouse Basha</t>
        </is>
      </c>
      <c r="M2775" s="23" t="n">
        <v>8474.58</v>
      </c>
      <c r="N2775" s="23" t="n">
        <v>10000</v>
      </c>
      <c r="O2775" s="24">
        <f>IF(AND(ISNUMBER(M2775), ISNUMBER(I2775), I2775&gt;0), M2775/I2775, "")</f>
        <v/>
      </c>
    </row>
    <row r="2776">
      <c r="A2776" s="19" t="inlineStr">
        <is>
          <t>FY27</t>
        </is>
      </c>
      <c r="B2776" s="19" t="inlineStr">
        <is>
          <t>Jul</t>
        </is>
      </c>
      <c r="C2776" s="19" t="inlineStr">
        <is>
          <t>AP/TS</t>
        </is>
      </c>
      <c r="D2776" s="20" t="inlineStr">
        <is>
          <t>AP16DF4818</t>
        </is>
      </c>
      <c r="E2776" s="20" t="inlineStr">
        <is>
          <t>HONDA</t>
        </is>
      </c>
      <c r="F2776" s="20" t="inlineStr">
        <is>
          <t>Amaze</t>
        </is>
      </c>
      <c r="G2776" s="21" t="n">
        <v>2015</v>
      </c>
      <c r="H2776" s="22" t="n">
        <v>45175</v>
      </c>
      <c r="I2776" s="23" t="n">
        <v>321000</v>
      </c>
      <c r="J2776" s="20" t="inlineStr">
        <is>
          <t>Exchange</t>
        </is>
      </c>
      <c r="K2776" s="20" t="inlineStr">
        <is>
          <t>Captive</t>
        </is>
      </c>
      <c r="L2776" s="20" t="inlineStr">
        <is>
          <t>Kanakaprasad Koutharapu</t>
        </is>
      </c>
      <c r="M2776" s="23" t="n">
        <v>9322.030000000001</v>
      </c>
      <c r="N2776" s="23" t="n">
        <v>11000</v>
      </c>
      <c r="O2776" s="24">
        <f>IF(AND(ISNUMBER(M2776), ISNUMBER(I2776), I2776&gt;0), M2776/I2776, "")</f>
        <v/>
      </c>
    </row>
    <row r="2777">
      <c r="A2777" s="19" t="inlineStr">
        <is>
          <t>FY27</t>
        </is>
      </c>
      <c r="B2777" s="19" t="inlineStr">
        <is>
          <t>Jul</t>
        </is>
      </c>
      <c r="C2777" s="19" t="inlineStr">
        <is>
          <t>AP/TS</t>
        </is>
      </c>
      <c r="D2777" s="20" t="inlineStr">
        <is>
          <t>AP07DD2939</t>
        </is>
      </c>
      <c r="E2777" s="20" t="inlineStr">
        <is>
          <t>HONDA</t>
        </is>
      </c>
      <c r="F2777" s="20" t="inlineStr">
        <is>
          <t>Brio</t>
        </is>
      </c>
      <c r="G2777" s="21" t="n">
        <v>2016</v>
      </c>
      <c r="H2777" s="22" t="n">
        <v>115882</v>
      </c>
      <c r="I2777" s="23" t="n">
        <v>258000</v>
      </c>
      <c r="J2777" s="20" t="inlineStr">
        <is>
          <t>Mohammed Gouse Basha</t>
        </is>
      </c>
      <c r="K2777" s="20" t="inlineStr">
        <is>
          <t>Non-Captive</t>
        </is>
      </c>
      <c r="L2777" s="20" t="inlineStr">
        <is>
          <t>Guthi Ravi Krishna</t>
        </is>
      </c>
      <c r="M2777" s="23" t="n">
        <v>6779.66</v>
      </c>
      <c r="N2777" s="23" t="n">
        <v>8000</v>
      </c>
      <c r="O2777" s="24">
        <f>IF(AND(ISNUMBER(M2777), ISNUMBER(I2777), I2777&gt;0), M2777/I2777, "")</f>
        <v/>
      </c>
    </row>
    <row r="2778">
      <c r="A2778" s="19" t="inlineStr">
        <is>
          <t>FY27</t>
        </is>
      </c>
      <c r="B2778" s="19" t="inlineStr">
        <is>
          <t>Jul</t>
        </is>
      </c>
      <c r="C2778" s="19" t="inlineStr">
        <is>
          <t>AP/TS</t>
        </is>
      </c>
      <c r="D2778" s="20" t="inlineStr">
        <is>
          <t>AP37CP3465</t>
        </is>
      </c>
      <c r="E2778" s="20" t="inlineStr">
        <is>
          <t>HYUNDAI</t>
        </is>
      </c>
      <c r="F2778" s="20" t="inlineStr">
        <is>
          <t>I10</t>
        </is>
      </c>
      <c r="G2778" s="21" t="n">
        <v>2015</v>
      </c>
      <c r="H2778" s="22" t="n">
        <v>128668</v>
      </c>
      <c r="I2778" s="23" t="n">
        <v>187000</v>
      </c>
      <c r="J2778" s="20" t="inlineStr">
        <is>
          <t>Mohammed Gouse Basha</t>
        </is>
      </c>
      <c r="K2778" s="20" t="inlineStr">
        <is>
          <t>Non-Captive</t>
        </is>
      </c>
      <c r="L2778" s="20" t="inlineStr">
        <is>
          <t>Somanadhi Mahalaxmi Venkatesh</t>
        </is>
      </c>
      <c r="M2778" s="23" t="n">
        <v>5932.2</v>
      </c>
      <c r="N2778" s="23" t="n">
        <v>7000</v>
      </c>
      <c r="O2778" s="24">
        <f>IF(AND(ISNUMBER(M2778), ISNUMBER(I2778), I2778&gt;0), M2778/I2778, "")</f>
        <v/>
      </c>
    </row>
    <row r="2779">
      <c r="A2779" s="19" t="inlineStr">
        <is>
          <t>FY27</t>
        </is>
      </c>
      <c r="B2779" s="19" t="inlineStr">
        <is>
          <t>Jul</t>
        </is>
      </c>
      <c r="C2779" s="19" t="inlineStr">
        <is>
          <t>AP/TS</t>
        </is>
      </c>
      <c r="D2779" s="20" t="inlineStr">
        <is>
          <t>AP16BU7806</t>
        </is>
      </c>
      <c r="E2779" s="20" t="inlineStr">
        <is>
          <t>HYUNDAI</t>
        </is>
      </c>
      <c r="F2779" s="20" t="inlineStr">
        <is>
          <t>Wagon-R</t>
        </is>
      </c>
      <c r="G2779" s="21" t="n">
        <v>2010</v>
      </c>
      <c r="H2779" s="22" t="n">
        <v>121061</v>
      </c>
      <c r="I2779" s="23" t="n">
        <v>75000</v>
      </c>
      <c r="J2779" s="20" t="inlineStr">
        <is>
          <t>Mohammed Gouse Basha</t>
        </is>
      </c>
      <c r="K2779" s="20" t="inlineStr">
        <is>
          <t>Non-Captive</t>
        </is>
      </c>
      <c r="L2779" s="20" t="inlineStr">
        <is>
          <t>Kanakaprasad Koutharapu</t>
        </is>
      </c>
      <c r="M2779" s="23" t="n">
        <v>4237.29</v>
      </c>
      <c r="N2779" s="23" t="n">
        <v>5000</v>
      </c>
      <c r="O2779" s="24">
        <f>IF(AND(ISNUMBER(M2779), ISNUMBER(I2779), I2779&gt;0), M2779/I2779, "")</f>
        <v/>
      </c>
    </row>
    <row r="2780">
      <c r="A2780" s="19" t="inlineStr">
        <is>
          <t>FY27</t>
        </is>
      </c>
      <c r="B2780" s="19" t="inlineStr">
        <is>
          <t>Jul</t>
        </is>
      </c>
      <c r="C2780" s="19" t="inlineStr">
        <is>
          <t>AP/TS</t>
        </is>
      </c>
      <c r="D2780" s="20" t="inlineStr">
        <is>
          <t>AP07AR2239</t>
        </is>
      </c>
      <c r="E2780" s="20" t="inlineStr">
        <is>
          <t>MARUTI</t>
        </is>
      </c>
      <c r="F2780" s="20" t="inlineStr">
        <is>
          <t>Alto</t>
        </is>
      </c>
      <c r="G2780" s="21" t="n">
        <v>2008</v>
      </c>
      <c r="H2780" s="22" t="n">
        <v>136735</v>
      </c>
      <c r="I2780" s="23" t="n">
        <v>66000</v>
      </c>
      <c r="J2780" s="20" t="inlineStr">
        <is>
          <t>Guthi Ravi Krishna</t>
        </is>
      </c>
      <c r="K2780" s="20" t="inlineStr">
        <is>
          <t>Non-Captive</t>
        </is>
      </c>
      <c r="L2780" s="20" t="inlineStr">
        <is>
          <t>Yarlagadda Sai Phanindra</t>
        </is>
      </c>
      <c r="M2780" s="23" t="n">
        <v>5084.75</v>
      </c>
      <c r="N2780" s="23" t="n">
        <v>6000</v>
      </c>
      <c r="O2780" s="24">
        <f>IF(AND(ISNUMBER(M2780), ISNUMBER(I2780), I2780&gt;0), M2780/I2780, "")</f>
        <v/>
      </c>
    </row>
    <row r="2781">
      <c r="A2781" s="19" t="inlineStr">
        <is>
          <t>FY27</t>
        </is>
      </c>
      <c r="B2781" s="19" t="inlineStr">
        <is>
          <t>Jul</t>
        </is>
      </c>
      <c r="C2781" s="19" t="inlineStr">
        <is>
          <t>AP/TS</t>
        </is>
      </c>
      <c r="D2781" s="20" t="inlineStr">
        <is>
          <t>AP16CL3969</t>
        </is>
      </c>
      <c r="E2781" s="20" t="inlineStr">
        <is>
          <t>HONDA</t>
        </is>
      </c>
      <c r="F2781" s="20" t="inlineStr">
        <is>
          <t>City</t>
        </is>
      </c>
      <c r="G2781" s="21" t="n">
        <v>2013</v>
      </c>
      <c r="H2781" s="22" t="n">
        <v>109041</v>
      </c>
      <c r="I2781" s="23" t="n">
        <v>207000</v>
      </c>
      <c r="J2781" s="20" t="inlineStr">
        <is>
          <t>Guthi Ravi Krishna</t>
        </is>
      </c>
      <c r="K2781" s="20" t="inlineStr">
        <is>
          <t>Non-Captive</t>
        </is>
      </c>
      <c r="L2781" s="20" t="inlineStr">
        <is>
          <t>Suresh Ginjupalli</t>
        </is>
      </c>
      <c r="M2781" s="23" t="n">
        <v>5932.2</v>
      </c>
      <c r="N2781" s="23" t="n">
        <v>7000</v>
      </c>
      <c r="O2781" s="24">
        <f>IF(AND(ISNUMBER(M2781), ISNUMBER(I2781), I2781&gt;0), M2781/I2781, "")</f>
        <v/>
      </c>
    </row>
    <row r="2782">
      <c r="A2782" s="19" t="inlineStr">
        <is>
          <t>FY27</t>
        </is>
      </c>
      <c r="B2782" s="19" t="inlineStr">
        <is>
          <t>Jul</t>
        </is>
      </c>
      <c r="C2782" s="19" t="inlineStr">
        <is>
          <t>AP/TS</t>
        </is>
      </c>
      <c r="D2782" s="20" t="inlineStr">
        <is>
          <t>AP15AE8341</t>
        </is>
      </c>
      <c r="E2782" s="20" t="inlineStr">
        <is>
          <t>HYUNDAI</t>
        </is>
      </c>
      <c r="F2782" s="20" t="inlineStr">
        <is>
          <t>Santro</t>
        </is>
      </c>
      <c r="G2782" s="21" t="n">
        <v>2007</v>
      </c>
      <c r="H2782" s="22" t="n">
        <v>130010</v>
      </c>
      <c r="I2782" s="23" t="n">
        <v>55000</v>
      </c>
      <c r="J2782" s="20" t="inlineStr">
        <is>
          <t>Guthi Ravi Krishna</t>
        </is>
      </c>
      <c r="K2782" s="20" t="inlineStr">
        <is>
          <t>Non-Captive</t>
        </is>
      </c>
      <c r="L2782" s="20" t="inlineStr">
        <is>
          <t>Mohammed Gouse Basha</t>
        </is>
      </c>
      <c r="M2782" s="23" t="n">
        <v>4237.29</v>
      </c>
      <c r="N2782" s="23" t="n">
        <v>5000</v>
      </c>
      <c r="O2782" s="24">
        <f>IF(AND(ISNUMBER(M2782), ISNUMBER(I2782), I2782&gt;0), M2782/I2782, "")</f>
        <v/>
      </c>
    </row>
    <row r="2783">
      <c r="A2783" s="19" t="inlineStr">
        <is>
          <t>FY27</t>
        </is>
      </c>
      <c r="B2783" s="19" t="inlineStr">
        <is>
          <t>Jul</t>
        </is>
      </c>
      <c r="C2783" s="19" t="inlineStr">
        <is>
          <t>AP/TS</t>
        </is>
      </c>
      <c r="D2783" s="20" t="inlineStr">
        <is>
          <t>AP37CM5000</t>
        </is>
      </c>
      <c r="E2783" s="20" t="inlineStr">
        <is>
          <t>HONDA</t>
        </is>
      </c>
      <c r="F2783" s="20" t="inlineStr">
        <is>
          <t>Jazz</t>
        </is>
      </c>
      <c r="G2783" s="21" t="n">
        <v>2015</v>
      </c>
      <c r="H2783" s="22" t="n">
        <v>99123</v>
      </c>
      <c r="I2783" s="23" t="n">
        <v>278000</v>
      </c>
      <c r="J2783" s="20" t="inlineStr">
        <is>
          <t>Exchange</t>
        </is>
      </c>
      <c r="K2783" s="20" t="inlineStr">
        <is>
          <t>Captive</t>
        </is>
      </c>
      <c r="L2783" s="20" t="inlineStr">
        <is>
          <t>Kaki Dinesh Kumar</t>
        </is>
      </c>
      <c r="M2783" s="23" t="n">
        <v>10169.49</v>
      </c>
      <c r="N2783" s="23" t="n">
        <v>12000</v>
      </c>
      <c r="O2783" s="24">
        <f>IF(AND(ISNUMBER(M2783), ISNUMBER(I2783), I2783&gt;0), M2783/I2783, "")</f>
        <v/>
      </c>
    </row>
    <row r="2784">
      <c r="A2784" s="19" t="inlineStr">
        <is>
          <t>FY27</t>
        </is>
      </c>
      <c r="B2784" s="19" t="inlineStr">
        <is>
          <t>Jul</t>
        </is>
      </c>
      <c r="C2784" s="19" t="inlineStr">
        <is>
          <t>AP/TS</t>
        </is>
      </c>
      <c r="D2784" s="20" t="inlineStr">
        <is>
          <t>AP31CD8348</t>
        </is>
      </c>
      <c r="E2784" s="20" t="inlineStr">
        <is>
          <t>MARUTI</t>
        </is>
      </c>
      <c r="F2784" s="20" t="inlineStr">
        <is>
          <t>Alto 800</t>
        </is>
      </c>
      <c r="G2784" s="21" t="n">
        <v>2013</v>
      </c>
      <c r="H2784" s="22" t="n">
        <v>95762</v>
      </c>
      <c r="I2784" s="23" t="n">
        <v>123000</v>
      </c>
      <c r="J2784" s="20" t="inlineStr">
        <is>
          <t>Exchange</t>
        </is>
      </c>
      <c r="K2784" s="20" t="inlineStr">
        <is>
          <t>Captive</t>
        </is>
      </c>
      <c r="L2784" s="20" t="inlineStr">
        <is>
          <t>Kaki Dinesh Kumar</t>
        </is>
      </c>
      <c r="M2784" s="23" t="n">
        <v>6779.66</v>
      </c>
      <c r="N2784" s="23" t="n">
        <v>8000</v>
      </c>
      <c r="O2784" s="24">
        <f>IF(AND(ISNUMBER(M2784), ISNUMBER(I2784), I2784&gt;0), M2784/I2784, "")</f>
        <v/>
      </c>
    </row>
    <row r="2785">
      <c r="A2785" s="19" t="inlineStr">
        <is>
          <t>FY27</t>
        </is>
      </c>
      <c r="B2785" s="19" t="inlineStr">
        <is>
          <t>Jul</t>
        </is>
      </c>
      <c r="C2785" s="19" t="inlineStr">
        <is>
          <t>AP/TS</t>
        </is>
      </c>
      <c r="D2785" s="20" t="inlineStr">
        <is>
          <t>AP31DD6369</t>
        </is>
      </c>
      <c r="E2785" s="20" t="inlineStr">
        <is>
          <t>HONDA</t>
        </is>
      </c>
      <c r="F2785" s="20" t="inlineStr">
        <is>
          <t>City</t>
        </is>
      </c>
      <c r="G2785" s="21" t="n">
        <v>2016</v>
      </c>
      <c r="H2785" s="22" t="n">
        <v>132475</v>
      </c>
      <c r="I2785" s="23" t="n">
        <v>355000</v>
      </c>
      <c r="J2785" s="20" t="inlineStr">
        <is>
          <t>Exchange</t>
        </is>
      </c>
      <c r="K2785" s="20" t="inlineStr">
        <is>
          <t>Captive</t>
        </is>
      </c>
      <c r="L2785" s="20" t="inlineStr">
        <is>
          <t>Kaki Dinesh Kumar</t>
        </is>
      </c>
      <c r="M2785" s="23" t="n">
        <v>12711.86</v>
      </c>
      <c r="N2785" s="23" t="n">
        <v>15000</v>
      </c>
      <c r="O2785" s="24">
        <f>IF(AND(ISNUMBER(M2785), ISNUMBER(I2785), I2785&gt;0), M2785/I2785, "")</f>
        <v/>
      </c>
    </row>
    <row r="2786">
      <c r="A2786" s="19" t="inlineStr">
        <is>
          <t>FY27</t>
        </is>
      </c>
      <c r="B2786" s="19" t="inlineStr">
        <is>
          <t>Jul</t>
        </is>
      </c>
      <c r="C2786" s="19" t="inlineStr">
        <is>
          <t>AP/TS</t>
        </is>
      </c>
      <c r="D2786" s="20" t="inlineStr">
        <is>
          <t>AP31CS3345</t>
        </is>
      </c>
      <c r="E2786" s="20" t="inlineStr">
        <is>
          <t>HONDA</t>
        </is>
      </c>
      <c r="F2786" s="20" t="inlineStr">
        <is>
          <t>Mobilio</t>
        </is>
      </c>
      <c r="G2786" s="21" t="n">
        <v>2014</v>
      </c>
      <c r="H2786" s="22" t="n">
        <v>289675</v>
      </c>
      <c r="I2786" s="23" t="n">
        <v>120000</v>
      </c>
      <c r="J2786" s="20" t="inlineStr">
        <is>
          <t>Exchange</t>
        </is>
      </c>
      <c r="K2786" s="20" t="inlineStr">
        <is>
          <t>Captive</t>
        </is>
      </c>
      <c r="L2786" s="20" t="inlineStr">
        <is>
          <t>Kaki Dinesh Kumar</t>
        </is>
      </c>
      <c r="M2786" s="23" t="n">
        <v>8474.58</v>
      </c>
      <c r="N2786" s="23" t="n">
        <v>10000</v>
      </c>
      <c r="O2786" s="24">
        <f>IF(AND(ISNUMBER(M2786), ISNUMBER(I2786), I2786&gt;0), M2786/I2786, "")</f>
        <v/>
      </c>
    </row>
    <row r="2787">
      <c r="A2787" s="19" t="inlineStr">
        <is>
          <t>FY27</t>
        </is>
      </c>
      <c r="B2787" s="19" t="inlineStr">
        <is>
          <t>Jul</t>
        </is>
      </c>
      <c r="C2787" s="19" t="inlineStr">
        <is>
          <t>Kerala</t>
        </is>
      </c>
      <c r="D2787" s="20" t="inlineStr">
        <is>
          <t>KL11BG8602</t>
        </is>
      </c>
      <c r="E2787" s="20" t="inlineStr">
        <is>
          <t>RENAULT</t>
        </is>
      </c>
      <c r="F2787" s="20" t="inlineStr">
        <is>
          <t>Kwid</t>
        </is>
      </c>
      <c r="G2787" s="21" t="n">
        <v>2017</v>
      </c>
      <c r="H2787" s="22" t="n">
        <v>28000</v>
      </c>
      <c r="I2787" s="23" t="n">
        <v>250000</v>
      </c>
      <c r="J2787" s="20" t="inlineStr">
        <is>
          <t>EVM MG</t>
        </is>
      </c>
      <c r="K2787" s="20" t="inlineStr">
        <is>
          <t>Non-Captive</t>
        </is>
      </c>
      <c r="L2787" s="20" t="inlineStr">
        <is>
          <t>LATHEESH K</t>
        </is>
      </c>
      <c r="M2787" s="23" t="n">
        <v>8474.58</v>
      </c>
      <c r="N2787" s="23" t="n">
        <v>10000</v>
      </c>
      <c r="O2787" s="24">
        <f>IF(AND(ISNUMBER(M2787), ISNUMBER(I2787), I2787&gt;0), M2787/I2787, "")</f>
        <v/>
      </c>
    </row>
    <row r="2788">
      <c r="A2788" s="19" t="inlineStr">
        <is>
          <t>FY27</t>
        </is>
      </c>
      <c r="B2788" s="19" t="inlineStr">
        <is>
          <t>Jul</t>
        </is>
      </c>
      <c r="C2788" s="19" t="inlineStr">
        <is>
          <t>Kerala</t>
        </is>
      </c>
      <c r="D2788" s="20" t="inlineStr">
        <is>
          <t>KL60K7137</t>
        </is>
      </c>
      <c r="E2788" s="20" t="inlineStr">
        <is>
          <t>MARUTI</t>
        </is>
      </c>
      <c r="F2788" s="20" t="inlineStr">
        <is>
          <t>Swift</t>
        </is>
      </c>
      <c r="G2788" s="21" t="n">
        <v>2016</v>
      </c>
      <c r="H2788" s="22" t="n">
        <v>87000</v>
      </c>
      <c r="I2788" s="23" t="n">
        <v>400000</v>
      </c>
      <c r="J2788" s="20" t="inlineStr">
        <is>
          <t>UCD SANTHOSH</t>
        </is>
      </c>
      <c r="K2788" s="20" t="inlineStr">
        <is>
          <t>Non-Captive</t>
        </is>
      </c>
      <c r="L2788" s="20" t="inlineStr">
        <is>
          <t>NISAB</t>
        </is>
      </c>
      <c r="M2788" s="23" t="n">
        <v>8474.58</v>
      </c>
      <c r="N2788" s="23" t="n">
        <v>10000</v>
      </c>
      <c r="O2788" s="24">
        <f>IF(AND(ISNUMBER(M2788), ISNUMBER(I2788), I2788&gt;0), M2788/I2788, "")</f>
        <v/>
      </c>
    </row>
    <row r="2789">
      <c r="A2789" s="19" t="inlineStr">
        <is>
          <t>FY27</t>
        </is>
      </c>
      <c r="B2789" s="19" t="inlineStr">
        <is>
          <t>Jul</t>
        </is>
      </c>
      <c r="C2789" s="19" t="inlineStr">
        <is>
          <t>Kerala</t>
        </is>
      </c>
      <c r="D2789" s="20" t="inlineStr">
        <is>
          <t>KL18L9224</t>
        </is>
      </c>
      <c r="E2789" s="20" t="inlineStr">
        <is>
          <t>MARUTI</t>
        </is>
      </c>
      <c r="F2789" s="20" t="inlineStr">
        <is>
          <t>Wagonr</t>
        </is>
      </c>
      <c r="G2789" s="21" t="n">
        <v>2013</v>
      </c>
      <c r="H2789" s="22" t="n">
        <v>61000</v>
      </c>
      <c r="I2789" s="23" t="n">
        <v>240000</v>
      </c>
      <c r="J2789" s="20" t="inlineStr">
        <is>
          <t>POPULAR MARUTI</t>
        </is>
      </c>
      <c r="K2789" s="20" t="inlineStr">
        <is>
          <t>Non-Captive</t>
        </is>
      </c>
      <c r="L2789" s="20" t="inlineStr">
        <is>
          <t>NISAB</t>
        </is>
      </c>
      <c r="M2789" s="23" t="n">
        <v>8474.58</v>
      </c>
      <c r="N2789" s="23" t="n">
        <v>10000</v>
      </c>
      <c r="O2789" s="24">
        <f>IF(AND(ISNUMBER(M2789), ISNUMBER(I2789), I2789&gt;0), M2789/I2789, "")</f>
        <v/>
      </c>
    </row>
    <row r="2790">
      <c r="A2790" s="19" t="inlineStr">
        <is>
          <t>FY27</t>
        </is>
      </c>
      <c r="B2790" s="19" t="inlineStr">
        <is>
          <t>Jul</t>
        </is>
      </c>
      <c r="C2790" s="19" t="inlineStr">
        <is>
          <t>Kerala</t>
        </is>
      </c>
      <c r="D2790" s="20" t="inlineStr">
        <is>
          <t>KL58J6969</t>
        </is>
      </c>
      <c r="E2790" s="20" t="inlineStr">
        <is>
          <t>HONDA</t>
        </is>
      </c>
      <c r="F2790" s="20" t="inlineStr">
        <is>
          <t>Civic</t>
        </is>
      </c>
      <c r="G2790" s="21" t="n">
        <v>2013</v>
      </c>
      <c r="H2790" s="22" t="n">
        <v>41463</v>
      </c>
      <c r="I2790" s="23" t="n">
        <v>275000</v>
      </c>
      <c r="J2790" s="20" t="inlineStr">
        <is>
          <t>POPULAR MARUTI</t>
        </is>
      </c>
      <c r="K2790" s="20" t="inlineStr">
        <is>
          <t>Non-Captive</t>
        </is>
      </c>
      <c r="L2790" s="20" t="inlineStr">
        <is>
          <t>CARNIVAL CARS</t>
        </is>
      </c>
      <c r="M2790" s="23" t="n">
        <v>12711.86</v>
      </c>
      <c r="N2790" s="23" t="n">
        <v>15000</v>
      </c>
      <c r="O2790" s="24">
        <f>IF(AND(ISNUMBER(M2790), ISNUMBER(I2790), I2790&gt;0), M2790/I2790, "")</f>
        <v/>
      </c>
    </row>
    <row r="2791">
      <c r="A2791" s="19" t="inlineStr">
        <is>
          <t>FY27</t>
        </is>
      </c>
      <c r="B2791" s="19" t="inlineStr">
        <is>
          <t>Jul</t>
        </is>
      </c>
      <c r="C2791" s="19" t="inlineStr">
        <is>
          <t>Kerala</t>
        </is>
      </c>
      <c r="D2791" s="20" t="inlineStr">
        <is>
          <t>KL42J2536</t>
        </is>
      </c>
      <c r="E2791" s="20" t="inlineStr">
        <is>
          <t>DATSUN</t>
        </is>
      </c>
      <c r="F2791" s="20" t="inlineStr">
        <is>
          <t>Go</t>
        </is>
      </c>
      <c r="G2791" s="21" t="n">
        <v>2014</v>
      </c>
      <c r="H2791" s="22" t="n">
        <v>109808</v>
      </c>
      <c r="I2791" s="23" t="n">
        <v>85000</v>
      </c>
      <c r="J2791" s="20" t="inlineStr">
        <is>
          <t>POPULAR MARUTI</t>
        </is>
      </c>
      <c r="K2791" s="20" t="inlineStr">
        <is>
          <t>Non-Captive</t>
        </is>
      </c>
      <c r="L2791" s="20" t="inlineStr">
        <is>
          <t>CARNIVAL CARS</t>
        </is>
      </c>
      <c r="M2791" s="23" t="n">
        <v>12711.86</v>
      </c>
      <c r="N2791" s="23" t="n">
        <v>15000</v>
      </c>
      <c r="O2791" s="24">
        <f>IF(AND(ISNUMBER(M2791), ISNUMBER(I2791), I2791&gt;0), M2791/I2791, "")</f>
        <v/>
      </c>
    </row>
    <row r="2792">
      <c r="A2792" s="19" t="inlineStr">
        <is>
          <t>FY27</t>
        </is>
      </c>
      <c r="B2792" s="19" t="inlineStr">
        <is>
          <t>Jul</t>
        </is>
      </c>
      <c r="C2792" s="19" t="inlineStr">
        <is>
          <t>Kerala</t>
        </is>
      </c>
      <c r="D2792" s="20" t="inlineStr">
        <is>
          <t>KL62B0479</t>
        </is>
      </c>
      <c r="E2792" s="20" t="inlineStr">
        <is>
          <t>MARUTI</t>
        </is>
      </c>
      <c r="F2792" s="20" t="inlineStr">
        <is>
          <t>Wagon R</t>
        </is>
      </c>
      <c r="G2792" s="21" t="n">
        <v>2014</v>
      </c>
      <c r="H2792" s="22" t="n">
        <v>48627</v>
      </c>
      <c r="I2792" s="23" t="n">
        <v>225000</v>
      </c>
      <c r="J2792" s="20" t="inlineStr">
        <is>
          <t>POPULAR MARUTI</t>
        </is>
      </c>
      <c r="K2792" s="20" t="inlineStr">
        <is>
          <t>Non-Captive</t>
        </is>
      </c>
      <c r="L2792" s="20" t="inlineStr">
        <is>
          <t>SIJO THOMAS</t>
        </is>
      </c>
      <c r="M2792" s="23" t="n">
        <v>12711.86</v>
      </c>
      <c r="N2792" s="23" t="n">
        <v>15000</v>
      </c>
      <c r="O2792" s="24">
        <f>IF(AND(ISNUMBER(M2792), ISNUMBER(I2792), I2792&gt;0), M2792/I2792, "")</f>
        <v/>
      </c>
    </row>
    <row r="2793">
      <c r="A2793" s="19" t="inlineStr">
        <is>
          <t>FY27</t>
        </is>
      </c>
      <c r="B2793" s="19" t="inlineStr">
        <is>
          <t>Jul</t>
        </is>
      </c>
      <c r="C2793" s="19" t="inlineStr">
        <is>
          <t>Kerala</t>
        </is>
      </c>
      <c r="D2793" s="20" t="inlineStr">
        <is>
          <t>KL05X3212</t>
        </is>
      </c>
      <c r="E2793" s="20" t="inlineStr">
        <is>
          <t>MARUTI</t>
        </is>
      </c>
      <c r="F2793" s="20" t="inlineStr">
        <is>
          <t>800</t>
        </is>
      </c>
      <c r="G2793" s="21" t="n">
        <v>2006</v>
      </c>
      <c r="H2793" s="22" t="n">
        <v>139000</v>
      </c>
      <c r="I2793" s="23" t="n">
        <v>23000</v>
      </c>
      <c r="J2793" s="20" t="inlineStr">
        <is>
          <t>POPULAR MARUTI</t>
        </is>
      </c>
      <c r="K2793" s="20" t="inlineStr">
        <is>
          <t>Non-Captive</t>
        </is>
      </c>
      <c r="L2793" s="20" t="inlineStr">
        <is>
          <t>HUSSAIN O E</t>
        </is>
      </c>
      <c r="M2793" s="23" t="n">
        <v>8898.309999999999</v>
      </c>
      <c r="N2793" s="23" t="n">
        <v>10500</v>
      </c>
      <c r="O2793" s="24">
        <f>IF(AND(ISNUMBER(M2793), ISNUMBER(I2793), I2793&gt;0), M2793/I2793, "")</f>
        <v/>
      </c>
    </row>
    <row r="2794">
      <c r="A2794" s="19" t="inlineStr">
        <is>
          <t>FY27</t>
        </is>
      </c>
      <c r="B2794" s="19" t="inlineStr">
        <is>
          <t>Jul</t>
        </is>
      </c>
      <c r="C2794" s="19" t="inlineStr">
        <is>
          <t>Kerala</t>
        </is>
      </c>
      <c r="D2794" s="20" t="inlineStr">
        <is>
          <t>KL08AL5533</t>
        </is>
      </c>
      <c r="E2794" s="20" t="inlineStr">
        <is>
          <t>HYUNDAI</t>
        </is>
      </c>
      <c r="F2794" s="20" t="inlineStr">
        <is>
          <t>Santro</t>
        </is>
      </c>
      <c r="G2794" s="21" t="n">
        <v>2006</v>
      </c>
      <c r="H2794" s="22" t="n">
        <v>145000</v>
      </c>
      <c r="I2794" s="23" t="n">
        <v>45000</v>
      </c>
      <c r="J2794" s="20" t="inlineStr">
        <is>
          <t>POPULAR MARUTI</t>
        </is>
      </c>
      <c r="K2794" s="20" t="inlineStr">
        <is>
          <t>Non-Captive</t>
        </is>
      </c>
      <c r="L2794" s="20" t="inlineStr">
        <is>
          <t>AFSAL A</t>
        </is>
      </c>
      <c r="M2794" s="23" t="n">
        <v>8474.58</v>
      </c>
      <c r="N2794" s="23" t="n">
        <v>10000</v>
      </c>
      <c r="O2794" s="24">
        <f>IF(AND(ISNUMBER(M2794), ISNUMBER(I2794), I2794&gt;0), M2794/I2794, "")</f>
        <v/>
      </c>
    </row>
    <row r="2795">
      <c r="A2795" s="19" t="inlineStr">
        <is>
          <t>FY27</t>
        </is>
      </c>
      <c r="B2795" s="19" t="inlineStr">
        <is>
          <t>Jul</t>
        </is>
      </c>
      <c r="C2795" s="19" t="inlineStr">
        <is>
          <t>Kerala</t>
        </is>
      </c>
      <c r="D2795" s="20" t="inlineStr">
        <is>
          <t>KL16J5696</t>
        </is>
      </c>
      <c r="E2795" s="20" t="inlineStr">
        <is>
          <t>MAHINDRA</t>
        </is>
      </c>
      <c r="F2795" s="20" t="inlineStr">
        <is>
          <t>Xuv</t>
        </is>
      </c>
      <c r="G2795" s="21" t="n">
        <v>2012</v>
      </c>
      <c r="H2795" s="22" t="n">
        <v>155000</v>
      </c>
      <c r="I2795" s="23" t="n">
        <v>260000</v>
      </c>
      <c r="J2795" s="20" t="inlineStr">
        <is>
          <t>POPULAR MARUTI</t>
        </is>
      </c>
      <c r="K2795" s="20" t="inlineStr">
        <is>
          <t>Non-Captive</t>
        </is>
      </c>
      <c r="L2795" s="20" t="inlineStr">
        <is>
          <t>CARLINK</t>
        </is>
      </c>
      <c r="M2795" s="23" t="n">
        <v>8474.58</v>
      </c>
      <c r="N2795" s="23" t="n">
        <v>10000</v>
      </c>
      <c r="O2795" s="24">
        <f>IF(AND(ISNUMBER(M2795), ISNUMBER(I2795), I2795&gt;0), M2795/I2795, "")</f>
        <v/>
      </c>
    </row>
    <row r="2796">
      <c r="A2796" s="19" t="inlineStr">
        <is>
          <t>FY27</t>
        </is>
      </c>
      <c r="B2796" s="19" t="inlineStr">
        <is>
          <t>Jul</t>
        </is>
      </c>
      <c r="C2796" s="19" t="inlineStr">
        <is>
          <t>Kerala</t>
        </is>
      </c>
      <c r="D2796" s="20" t="inlineStr">
        <is>
          <t>KL02BC5127</t>
        </is>
      </c>
      <c r="E2796" s="20" t="inlineStr">
        <is>
          <t>MARUTI</t>
        </is>
      </c>
      <c r="F2796" s="20" t="inlineStr">
        <is>
          <t>Alto</t>
        </is>
      </c>
      <c r="G2796" s="21" t="n">
        <v>2017</v>
      </c>
      <c r="H2796" s="22" t="n">
        <v>16250</v>
      </c>
      <c r="I2796" s="23" t="n">
        <v>255000</v>
      </c>
      <c r="J2796" s="20" t="inlineStr">
        <is>
          <t>INCHIEON KIA</t>
        </is>
      </c>
      <c r="K2796" s="20" t="inlineStr">
        <is>
          <t>Non-Captive</t>
        </is>
      </c>
      <c r="L2796" s="20" t="inlineStr">
        <is>
          <t>ARUN GOPI</t>
        </is>
      </c>
      <c r="M2796" s="23" t="n">
        <v>8474.58</v>
      </c>
      <c r="N2796" s="23" t="n">
        <v>10000</v>
      </c>
      <c r="O2796" s="24">
        <f>IF(AND(ISNUMBER(M2796), ISNUMBER(I2796), I2796&gt;0), M2796/I2796, "")</f>
        <v/>
      </c>
    </row>
    <row r="2797">
      <c r="A2797" s="19" t="inlineStr">
        <is>
          <t>FY27</t>
        </is>
      </c>
      <c r="B2797" s="19" t="inlineStr">
        <is>
          <t>Jul</t>
        </is>
      </c>
      <c r="C2797" s="19" t="inlineStr">
        <is>
          <t>Kerala</t>
        </is>
      </c>
      <c r="D2797" s="20" t="inlineStr">
        <is>
          <t>KL818016</t>
        </is>
      </c>
      <c r="E2797" s="20" t="inlineStr">
        <is>
          <t>HYUNDAI</t>
        </is>
      </c>
      <c r="F2797" s="20" t="inlineStr">
        <is>
          <t>Santro</t>
        </is>
      </c>
      <c r="G2797" s="21" t="n">
        <v>2021</v>
      </c>
      <c r="H2797" s="22" t="n">
        <v>7400</v>
      </c>
      <c r="I2797" s="23" t="n">
        <v>340000</v>
      </c>
      <c r="J2797" s="20" t="inlineStr">
        <is>
          <t>LUXON TATA</t>
        </is>
      </c>
      <c r="K2797" s="20" t="inlineStr">
        <is>
          <t>Non-Captive</t>
        </is>
      </c>
      <c r="L2797" s="20" t="inlineStr">
        <is>
          <t>Hashir Sharafudeen</t>
        </is>
      </c>
      <c r="M2797" s="23" t="n">
        <v>5932.2</v>
      </c>
      <c r="N2797" s="23" t="n">
        <v>7000</v>
      </c>
      <c r="O2797" s="24">
        <f>IF(AND(ISNUMBER(M2797), ISNUMBER(I2797), I2797&gt;0), M2797/I2797, "")</f>
        <v/>
      </c>
    </row>
    <row r="2798">
      <c r="A2798" s="19" t="inlineStr">
        <is>
          <t>FY27</t>
        </is>
      </c>
      <c r="B2798" s="19" t="inlineStr">
        <is>
          <t>Jul</t>
        </is>
      </c>
      <c r="C2798" s="19" t="inlineStr">
        <is>
          <t>Kerala</t>
        </is>
      </c>
      <c r="D2798" s="20" t="inlineStr">
        <is>
          <t>KL02AN4554</t>
        </is>
      </c>
      <c r="E2798" s="20" t="inlineStr">
        <is>
          <t>MAHINDRA</t>
        </is>
      </c>
      <c r="F2798" s="20" t="inlineStr">
        <is>
          <t>Verito</t>
        </is>
      </c>
      <c r="G2798" s="21" t="n">
        <v>2013</v>
      </c>
      <c r="H2798" s="22" t="n">
        <v>153000</v>
      </c>
      <c r="I2798" s="23" t="n">
        <v>77000</v>
      </c>
      <c r="J2798" s="20" t="inlineStr">
        <is>
          <t>LUXON TATA</t>
        </is>
      </c>
      <c r="K2798" s="20" t="inlineStr">
        <is>
          <t>Non-Captive</t>
        </is>
      </c>
      <c r="L2798" s="20" t="inlineStr">
        <is>
          <t>MUHAMMED NASIM</t>
        </is>
      </c>
      <c r="M2798" s="23" t="n">
        <v>5932.2</v>
      </c>
      <c r="N2798" s="23" t="n">
        <v>7000</v>
      </c>
      <c r="O2798" s="24">
        <f>IF(AND(ISNUMBER(M2798), ISNUMBER(I2798), I2798&gt;0), M2798/I2798, "")</f>
        <v/>
      </c>
    </row>
    <row r="2799">
      <c r="A2799" s="19" t="inlineStr">
        <is>
          <t>FY27</t>
        </is>
      </c>
      <c r="B2799" s="19" t="inlineStr">
        <is>
          <t>Jul</t>
        </is>
      </c>
      <c r="C2799" s="19" t="inlineStr">
        <is>
          <t>Kerala</t>
        </is>
      </c>
      <c r="D2799" s="20" t="inlineStr">
        <is>
          <t>KL02AV0942</t>
        </is>
      </c>
      <c r="E2799" s="20" t="inlineStr">
        <is>
          <t>MARUTI</t>
        </is>
      </c>
      <c r="F2799" s="20" t="inlineStr">
        <is>
          <t>Swift</t>
        </is>
      </c>
      <c r="G2799" s="21" t="n">
        <v>2015</v>
      </c>
      <c r="H2799" s="22" t="n">
        <v>88000</v>
      </c>
      <c r="I2799" s="23" t="n">
        <v>320000</v>
      </c>
      <c r="J2799" s="20" t="inlineStr">
        <is>
          <t>INCHEON KIA</t>
        </is>
      </c>
      <c r="K2799" s="20" t="inlineStr">
        <is>
          <t>Non-Captive</t>
        </is>
      </c>
      <c r="L2799" s="20" t="inlineStr">
        <is>
          <t>FIROZ I</t>
        </is>
      </c>
      <c r="M2799" s="23" t="n">
        <v>5932.2</v>
      </c>
      <c r="N2799" s="23" t="n">
        <v>7000</v>
      </c>
      <c r="O2799" s="24">
        <f>IF(AND(ISNUMBER(M2799), ISNUMBER(I2799), I2799&gt;0), M2799/I2799, "")</f>
        <v/>
      </c>
    </row>
    <row r="2800">
      <c r="A2800" s="19" t="inlineStr">
        <is>
          <t>FY27</t>
        </is>
      </c>
      <c r="B2800" s="19" t="inlineStr">
        <is>
          <t>Jul</t>
        </is>
      </c>
      <c r="C2800" s="19" t="inlineStr">
        <is>
          <t>Kerala</t>
        </is>
      </c>
      <c r="D2800" s="20" t="inlineStr">
        <is>
          <t>KL07CA9845</t>
        </is>
      </c>
      <c r="E2800" s="20" t="inlineStr">
        <is>
          <t>FORD</t>
        </is>
      </c>
      <c r="F2800" s="20" t="inlineStr">
        <is>
          <t>Ecosport</t>
        </is>
      </c>
      <c r="G2800" s="21" t="n">
        <v>2014</v>
      </c>
      <c r="H2800" s="22" t="n">
        <v>185000</v>
      </c>
      <c r="I2800" s="23" t="n">
        <v>260000</v>
      </c>
      <c r="J2800" s="20" t="inlineStr">
        <is>
          <t>POPULAR HYUNDAI</t>
        </is>
      </c>
      <c r="K2800" s="20" t="inlineStr">
        <is>
          <t>Non-Captive</t>
        </is>
      </c>
      <c r="L2800" s="20" t="inlineStr">
        <is>
          <t>HUSSAIN O E</t>
        </is>
      </c>
      <c r="M2800" s="23" t="n">
        <v>8474.58</v>
      </c>
      <c r="N2800" s="23" t="n">
        <v>10000</v>
      </c>
      <c r="O2800" s="24">
        <f>IF(AND(ISNUMBER(M2800), ISNUMBER(I2800), I2800&gt;0), M2800/I2800, "")</f>
        <v/>
      </c>
    </row>
    <row r="2801">
      <c r="A2801" s="19" t="inlineStr">
        <is>
          <t>FY27</t>
        </is>
      </c>
      <c r="B2801" s="19" t="inlineStr">
        <is>
          <t>Jul</t>
        </is>
      </c>
      <c r="C2801" s="19" t="inlineStr">
        <is>
          <t>Kerala</t>
        </is>
      </c>
      <c r="D2801" s="20" t="inlineStr">
        <is>
          <t>KL41E6611</t>
        </is>
      </c>
      <c r="E2801" s="20" t="inlineStr">
        <is>
          <t>HYUNDAI</t>
        </is>
      </c>
      <c r="F2801" s="20" t="inlineStr">
        <is>
          <t>Eon</t>
        </is>
      </c>
      <c r="G2801" s="21" t="n">
        <v>2011</v>
      </c>
      <c r="H2801" s="22" t="n">
        <v>70845</v>
      </c>
      <c r="I2801" s="23" t="n">
        <v>85000</v>
      </c>
      <c r="J2801" s="20" t="inlineStr">
        <is>
          <t>POPULAR HYUNDAI</t>
        </is>
      </c>
      <c r="K2801" s="20" t="inlineStr">
        <is>
          <t>Non-Captive</t>
        </is>
      </c>
      <c r="L2801" s="20" t="inlineStr">
        <is>
          <t>VTJ</t>
        </is>
      </c>
      <c r="M2801" s="23" t="n">
        <v>8474.58</v>
      </c>
      <c r="N2801" s="23" t="n">
        <v>10000</v>
      </c>
      <c r="O2801" s="24">
        <f>IF(AND(ISNUMBER(M2801), ISNUMBER(I2801), I2801&gt;0), M2801/I2801, "")</f>
        <v/>
      </c>
    </row>
    <row r="2802">
      <c r="A2802" s="19" t="inlineStr">
        <is>
          <t>FY27</t>
        </is>
      </c>
      <c r="B2802" s="19" t="inlineStr">
        <is>
          <t>Jul</t>
        </is>
      </c>
      <c r="C2802" s="19" t="inlineStr">
        <is>
          <t>Kerala</t>
        </is>
      </c>
      <c r="D2802" s="20" t="inlineStr">
        <is>
          <t>KL27L6033</t>
        </is>
      </c>
      <c r="E2802" s="20" t="inlineStr">
        <is>
          <t>MARUTI</t>
        </is>
      </c>
      <c r="F2802" s="20" t="inlineStr">
        <is>
          <t>S-Presso</t>
        </is>
      </c>
      <c r="G2802" s="21" t="n">
        <v>2022</v>
      </c>
      <c r="H2802" s="22" t="n">
        <v>58000</v>
      </c>
      <c r="I2802" s="23" t="n">
        <v>350000</v>
      </c>
      <c r="J2802" s="20" t="inlineStr">
        <is>
          <t>INCHEON KIA</t>
        </is>
      </c>
      <c r="K2802" s="20" t="inlineStr">
        <is>
          <t>Non-Captive</t>
        </is>
      </c>
      <c r="L2802" s="20" t="inlineStr">
        <is>
          <t>AUTOBOT</t>
        </is>
      </c>
      <c r="M2802" s="23" t="n">
        <v>8474.58</v>
      </c>
      <c r="N2802" s="23" t="n">
        <v>10000</v>
      </c>
      <c r="O2802" s="24">
        <f>IF(AND(ISNUMBER(M2802), ISNUMBER(I2802), I2802&gt;0), M2802/I2802, "")</f>
        <v/>
      </c>
    </row>
    <row r="2803">
      <c r="A2803" s="19" t="inlineStr">
        <is>
          <t>FY27</t>
        </is>
      </c>
      <c r="B2803" s="19" t="inlineStr">
        <is>
          <t>Jul</t>
        </is>
      </c>
      <c r="C2803" s="19" t="inlineStr">
        <is>
          <t>Kerala</t>
        </is>
      </c>
      <c r="D2803" s="20" t="inlineStr">
        <is>
          <t>KL05AY7677</t>
        </is>
      </c>
      <c r="E2803" s="20" t="inlineStr">
        <is>
          <t>TATA</t>
        </is>
      </c>
      <c r="F2803" s="20" t="inlineStr">
        <is>
          <t>Punch</t>
        </is>
      </c>
      <c r="G2803" s="21" t="n">
        <v>2022</v>
      </c>
      <c r="H2803" s="22" t="n">
        <v>72752</v>
      </c>
      <c r="I2803" s="23" t="n">
        <v>533000</v>
      </c>
      <c r="J2803" s="20" t="inlineStr">
        <is>
          <t>DREAM DRIVE</t>
        </is>
      </c>
      <c r="K2803" s="20" t="inlineStr">
        <is>
          <t>Non-Captive</t>
        </is>
      </c>
      <c r="L2803" s="20" t="inlineStr">
        <is>
          <t>ALBIN</t>
        </is>
      </c>
      <c r="M2803" s="23" t="n">
        <v>11016.95</v>
      </c>
      <c r="N2803" s="23" t="n">
        <v>13000</v>
      </c>
      <c r="O2803" s="24">
        <f>IF(AND(ISNUMBER(M2803), ISNUMBER(I2803), I2803&gt;0), M2803/I2803, "")</f>
        <v/>
      </c>
    </row>
    <row r="2804">
      <c r="A2804" s="19" t="inlineStr">
        <is>
          <t>FY27</t>
        </is>
      </c>
      <c r="B2804" s="19" t="inlineStr">
        <is>
          <t>Jul</t>
        </is>
      </c>
      <c r="C2804" s="19" t="inlineStr">
        <is>
          <t>Kerala</t>
        </is>
      </c>
      <c r="D2804" s="20" t="inlineStr">
        <is>
          <t>KL59H4619</t>
        </is>
      </c>
      <c r="E2804" s="20" t="inlineStr">
        <is>
          <t>HYUNDAI</t>
        </is>
      </c>
      <c r="F2804" s="20" t="inlineStr">
        <is>
          <t>I20</t>
        </is>
      </c>
      <c r="G2804" s="21" t="n">
        <v>2013</v>
      </c>
      <c r="H2804" s="22" t="n">
        <v>172000</v>
      </c>
      <c r="I2804" s="23" t="n">
        <v>215000</v>
      </c>
      <c r="J2804" s="20" t="inlineStr">
        <is>
          <t>MG KAIRALI</t>
        </is>
      </c>
      <c r="K2804" s="20" t="inlineStr">
        <is>
          <t>Non-Captive</t>
        </is>
      </c>
      <c r="L2804" s="20" t="inlineStr">
        <is>
          <t>ANSHWAL</t>
        </is>
      </c>
      <c r="M2804" s="23" t="n">
        <v>4237.29</v>
      </c>
      <c r="N2804" s="23" t="n">
        <v>5000</v>
      </c>
      <c r="O2804" s="24">
        <f>IF(AND(ISNUMBER(M2804), ISNUMBER(I2804), I2804&gt;0), M2804/I2804, "")</f>
        <v/>
      </c>
    </row>
    <row r="2805">
      <c r="A2805" s="19" t="inlineStr">
        <is>
          <t>FY27</t>
        </is>
      </c>
      <c r="B2805" s="19" t="inlineStr">
        <is>
          <t>Jul</t>
        </is>
      </c>
      <c r="C2805" s="19" t="inlineStr">
        <is>
          <t>Kerala</t>
        </is>
      </c>
      <c r="D2805" s="20" t="inlineStr">
        <is>
          <t>KL14N8255</t>
        </is>
      </c>
      <c r="E2805" s="20" t="inlineStr">
        <is>
          <t>HONDA</t>
        </is>
      </c>
      <c r="F2805" s="20" t="inlineStr">
        <is>
          <t>Ameze</t>
        </is>
      </c>
      <c r="G2805" s="21" t="n">
        <v>2013</v>
      </c>
      <c r="H2805" s="22" t="n">
        <v>141000</v>
      </c>
      <c r="I2805" s="23" t="n">
        <v>280000</v>
      </c>
      <c r="J2805" s="20" t="inlineStr">
        <is>
          <t>KVR</t>
        </is>
      </c>
      <c r="K2805" s="20" t="inlineStr">
        <is>
          <t>Non-Captive</t>
        </is>
      </c>
      <c r="L2805" s="20" t="inlineStr">
        <is>
          <t>BIMAL</t>
        </is>
      </c>
      <c r="M2805" s="23" t="n">
        <v>8474.58</v>
      </c>
      <c r="N2805" s="23" t="n">
        <v>10000</v>
      </c>
      <c r="O2805" s="24">
        <f>IF(AND(ISNUMBER(M2805), ISNUMBER(I2805), I2805&gt;0), M2805/I2805, "")</f>
        <v/>
      </c>
    </row>
    <row r="2806">
      <c r="A2806" s="19" t="inlineStr">
        <is>
          <t>FY27</t>
        </is>
      </c>
      <c r="B2806" s="19" t="inlineStr">
        <is>
          <t>Jul</t>
        </is>
      </c>
      <c r="C2806" s="19" t="inlineStr">
        <is>
          <t>Kerala</t>
        </is>
      </c>
      <c r="D2806" s="20" t="inlineStr">
        <is>
          <t>KL79A2987</t>
        </is>
      </c>
      <c r="E2806" s="20" t="inlineStr">
        <is>
          <t>KIA</t>
        </is>
      </c>
      <c r="F2806" s="20" t="inlineStr">
        <is>
          <t>Sonet</t>
        </is>
      </c>
      <c r="G2806" s="21" t="n">
        <v>2022</v>
      </c>
      <c r="H2806" s="22" t="n">
        <v>40000</v>
      </c>
      <c r="I2806" s="23" t="n">
        <v>645000</v>
      </c>
      <c r="J2806" s="20" t="inlineStr">
        <is>
          <t>ERAM</t>
        </is>
      </c>
      <c r="K2806" s="20" t="inlineStr">
        <is>
          <t>Non-Captive</t>
        </is>
      </c>
      <c r="L2806" s="20" t="inlineStr">
        <is>
          <t>BASHEER</t>
        </is>
      </c>
      <c r="M2806" s="23" t="n">
        <v>8474.58</v>
      </c>
      <c r="N2806" s="23" t="n">
        <v>10000</v>
      </c>
      <c r="O2806" s="24">
        <f>IF(AND(ISNUMBER(M2806), ISNUMBER(I2806), I2806&gt;0), M2806/I2806, "")</f>
        <v/>
      </c>
    </row>
    <row r="2807">
      <c r="A2807" s="19" t="inlineStr">
        <is>
          <t>FY27</t>
        </is>
      </c>
      <c r="B2807" s="19" t="inlineStr">
        <is>
          <t>Jul</t>
        </is>
      </c>
      <c r="C2807" s="19" t="inlineStr">
        <is>
          <t>Kerala</t>
        </is>
      </c>
      <c r="D2807" s="20" t="inlineStr">
        <is>
          <t>KL600597</t>
        </is>
      </c>
      <c r="E2807" s="20" t="inlineStr">
        <is>
          <t>MAHINDRA</t>
        </is>
      </c>
      <c r="F2807" s="20" t="inlineStr">
        <is>
          <t>Scorpio</t>
        </is>
      </c>
      <c r="G2807" s="21" t="n">
        <v>2006</v>
      </c>
      <c r="H2807" s="22" t="n">
        <v>190000</v>
      </c>
      <c r="I2807" s="23" t="n">
        <v>140000</v>
      </c>
      <c r="J2807" s="20" t="inlineStr">
        <is>
          <t>UCD KAILAS</t>
        </is>
      </c>
      <c r="K2807" s="20" t="inlineStr">
        <is>
          <t>Non-Captive</t>
        </is>
      </c>
      <c r="L2807" s="20" t="inlineStr">
        <is>
          <t>MARVEL VIJIL</t>
        </is>
      </c>
      <c r="M2807" s="23" t="n">
        <v>8474.58</v>
      </c>
      <c r="N2807" s="23" t="n">
        <v>10000</v>
      </c>
      <c r="O2807" s="24">
        <f>IF(AND(ISNUMBER(M2807), ISNUMBER(I2807), I2807&gt;0), M2807/I2807, "")</f>
        <v/>
      </c>
    </row>
    <row r="2808">
      <c r="A2808" s="19" t="inlineStr">
        <is>
          <t>FY27</t>
        </is>
      </c>
      <c r="B2808" s="19" t="inlineStr">
        <is>
          <t>Jul</t>
        </is>
      </c>
      <c r="C2808" s="19" t="inlineStr">
        <is>
          <t>Kerala</t>
        </is>
      </c>
      <c r="D2808" s="20" t="inlineStr">
        <is>
          <t>KL11AB3087</t>
        </is>
      </c>
      <c r="E2808" s="20" t="inlineStr">
        <is>
          <t>HYUNDAI</t>
        </is>
      </c>
      <c r="F2808" s="20" t="inlineStr">
        <is>
          <t>I10</t>
        </is>
      </c>
      <c r="G2808" s="21" t="n">
        <v>2008</v>
      </c>
      <c r="H2808" s="22" t="n">
        <v>68000</v>
      </c>
      <c r="I2808" s="23" t="n">
        <v>52000</v>
      </c>
      <c r="J2808" s="20" t="inlineStr">
        <is>
          <t>EVM CETREON</t>
        </is>
      </c>
      <c r="K2808" s="20" t="inlineStr">
        <is>
          <t>Non-Captive</t>
        </is>
      </c>
      <c r="L2808" s="20" t="inlineStr">
        <is>
          <t>HAMSA</t>
        </is>
      </c>
      <c r="M2808" s="23" t="n">
        <v>5932.2</v>
      </c>
      <c r="N2808" s="23" t="n">
        <v>7000</v>
      </c>
      <c r="O2808" s="24">
        <f>IF(AND(ISNUMBER(M2808), ISNUMBER(I2808), I2808&gt;0), M2808/I2808, "")</f>
        <v/>
      </c>
    </row>
    <row r="2809">
      <c r="A2809" s="19" t="inlineStr">
        <is>
          <t>FY27</t>
        </is>
      </c>
      <c r="B2809" s="19" t="inlineStr">
        <is>
          <t>Jul</t>
        </is>
      </c>
      <c r="C2809" s="19" t="inlineStr">
        <is>
          <t>Kerala</t>
        </is>
      </c>
      <c r="D2809" s="20" t="inlineStr">
        <is>
          <t>KL41E4581</t>
        </is>
      </c>
      <c r="E2809" s="20" t="inlineStr">
        <is>
          <t>MARUTI</t>
        </is>
      </c>
      <c r="F2809" s="20" t="inlineStr">
        <is>
          <t>Alto</t>
        </is>
      </c>
      <c r="G2809" s="21" t="n">
        <v>2011</v>
      </c>
      <c r="H2809" s="22" t="n">
        <v>129000</v>
      </c>
      <c r="I2809" s="23" t="n">
        <v>50000</v>
      </c>
      <c r="J2809" s="20" t="inlineStr">
        <is>
          <t>POPULAR MARUTI</t>
        </is>
      </c>
      <c r="K2809" s="20" t="inlineStr">
        <is>
          <t>Non-Captive</t>
        </is>
      </c>
      <c r="L2809" s="20" t="inlineStr">
        <is>
          <t>JIMMY</t>
        </is>
      </c>
      <c r="M2809" s="23" t="n">
        <v>8474.58</v>
      </c>
      <c r="N2809" s="23" t="n">
        <v>10000</v>
      </c>
      <c r="O2809" s="24">
        <f>IF(AND(ISNUMBER(M2809), ISNUMBER(I2809), I2809&gt;0), M2809/I2809, "")</f>
        <v/>
      </c>
    </row>
    <row r="2810">
      <c r="A2810" s="19" t="inlineStr">
        <is>
          <t>FY27</t>
        </is>
      </c>
      <c r="B2810" s="19" t="inlineStr">
        <is>
          <t>Jul</t>
        </is>
      </c>
      <c r="C2810" s="19" t="inlineStr">
        <is>
          <t>Kerala</t>
        </is>
      </c>
      <c r="D2810" s="20" t="inlineStr">
        <is>
          <t>KL13S0183</t>
        </is>
      </c>
      <c r="E2810" s="20" t="inlineStr">
        <is>
          <t>MARUTI</t>
        </is>
      </c>
      <c r="F2810" s="20" t="inlineStr">
        <is>
          <t>Alto</t>
        </is>
      </c>
      <c r="G2810" s="21" t="n">
        <v>2007</v>
      </c>
      <c r="H2810" s="22" t="n">
        <v>189000</v>
      </c>
      <c r="I2810" s="23" t="n">
        <v>20000</v>
      </c>
      <c r="J2810" s="20" t="inlineStr">
        <is>
          <t>POPULAR MARUTI</t>
        </is>
      </c>
      <c r="K2810" s="20" t="inlineStr">
        <is>
          <t>Non-Captive</t>
        </is>
      </c>
      <c r="L2810" s="20" t="inlineStr">
        <is>
          <t>ABDUL BASHEER</t>
        </is>
      </c>
      <c r="M2810" s="23" t="n">
        <v>8474.58</v>
      </c>
      <c r="N2810" s="23" t="n">
        <v>10000</v>
      </c>
      <c r="O2810" s="24">
        <f>IF(AND(ISNUMBER(M2810), ISNUMBER(I2810), I2810&gt;0), M2810/I2810, "")</f>
        <v/>
      </c>
    </row>
    <row r="2811">
      <c r="A2811" s="19" t="inlineStr">
        <is>
          <t>FY27</t>
        </is>
      </c>
      <c r="B2811" s="19" t="inlineStr">
        <is>
          <t>Jul</t>
        </is>
      </c>
      <c r="C2811" s="19" t="inlineStr">
        <is>
          <t>Kerala</t>
        </is>
      </c>
      <c r="D2811" s="20" t="inlineStr">
        <is>
          <t>KL13S0524</t>
        </is>
      </c>
      <c r="E2811" s="20" t="inlineStr">
        <is>
          <t>MARUTI</t>
        </is>
      </c>
      <c r="F2811" s="20" t="inlineStr">
        <is>
          <t>Alto</t>
        </is>
      </c>
      <c r="G2811" s="21" t="n">
        <v>2007</v>
      </c>
      <c r="H2811" s="22" t="n">
        <v>45000</v>
      </c>
      <c r="I2811" s="23" t="n">
        <v>55000</v>
      </c>
      <c r="J2811" s="20" t="inlineStr">
        <is>
          <t>POPULAR MARUTI</t>
        </is>
      </c>
      <c r="K2811" s="20" t="inlineStr">
        <is>
          <t>Non-Captive</t>
        </is>
      </c>
      <c r="L2811" s="20" t="inlineStr">
        <is>
          <t>ABDUL BASHEER</t>
        </is>
      </c>
      <c r="M2811" s="23" t="n">
        <v>8474.58</v>
      </c>
      <c r="N2811" s="23" t="n">
        <v>10000</v>
      </c>
      <c r="O2811" s="24">
        <f>IF(AND(ISNUMBER(M2811), ISNUMBER(I2811), I2811&gt;0), M2811/I2811, "")</f>
        <v/>
      </c>
    </row>
    <row r="2812">
      <c r="A2812" s="19" t="inlineStr">
        <is>
          <t>FY27</t>
        </is>
      </c>
      <c r="B2812" s="19" t="inlineStr">
        <is>
          <t>Jul</t>
        </is>
      </c>
      <c r="C2812" s="19" t="inlineStr">
        <is>
          <t>Kerala</t>
        </is>
      </c>
      <c r="D2812" s="20" t="inlineStr">
        <is>
          <t>KL33F1371</t>
        </is>
      </c>
      <c r="E2812" s="20" t="inlineStr">
        <is>
          <t>HYUNDAI</t>
        </is>
      </c>
      <c r="F2812" s="20" t="inlineStr">
        <is>
          <t>Grand I10</t>
        </is>
      </c>
      <c r="G2812" s="21" t="n">
        <v>2014</v>
      </c>
      <c r="H2812" s="22" t="n">
        <v>193543</v>
      </c>
      <c r="I2812" s="23" t="n">
        <v>162000</v>
      </c>
      <c r="J2812" s="20" t="inlineStr">
        <is>
          <t>POPULAR MARUTI</t>
        </is>
      </c>
      <c r="K2812" s="20" t="inlineStr">
        <is>
          <t>Non-Captive</t>
        </is>
      </c>
      <c r="L2812" s="20" t="inlineStr">
        <is>
          <t>SAIF RASHEED</t>
        </is>
      </c>
      <c r="M2812" s="23" t="n">
        <v>10169.49</v>
      </c>
      <c r="N2812" s="23" t="n">
        <v>12000</v>
      </c>
      <c r="O2812" s="24">
        <f>IF(AND(ISNUMBER(M2812), ISNUMBER(I2812), I2812&gt;0), M2812/I2812, "")</f>
        <v/>
      </c>
    </row>
    <row r="2813">
      <c r="A2813" s="19" t="inlineStr">
        <is>
          <t>FY27</t>
        </is>
      </c>
      <c r="B2813" s="19" t="inlineStr">
        <is>
          <t>Jul</t>
        </is>
      </c>
      <c r="C2813" s="19" t="inlineStr">
        <is>
          <t>Kerala</t>
        </is>
      </c>
      <c r="D2813" s="20" t="inlineStr">
        <is>
          <t>KL05X8822</t>
        </is>
      </c>
      <c r="E2813" s="20" t="inlineStr">
        <is>
          <t>MARUTI</t>
        </is>
      </c>
      <c r="F2813" s="20" t="inlineStr">
        <is>
          <t>Zen Estilo</t>
        </is>
      </c>
      <c r="G2813" s="21" t="n">
        <v>2007</v>
      </c>
      <c r="H2813" s="22" t="n">
        <v>56636</v>
      </c>
      <c r="I2813" s="23" t="n">
        <v>57000</v>
      </c>
      <c r="J2813" s="20" t="inlineStr">
        <is>
          <t>POPULAR MARUTI</t>
        </is>
      </c>
      <c r="K2813" s="20" t="inlineStr">
        <is>
          <t>Non-Captive</t>
        </is>
      </c>
      <c r="L2813" s="20" t="inlineStr">
        <is>
          <t>SUDHEESH K SATHEESH</t>
        </is>
      </c>
      <c r="M2813" s="23" t="n">
        <v>10169.49</v>
      </c>
      <c r="N2813" s="23" t="n">
        <v>12000</v>
      </c>
      <c r="O2813" s="24">
        <f>IF(AND(ISNUMBER(M2813), ISNUMBER(I2813), I2813&gt;0), M2813/I2813, "")</f>
        <v/>
      </c>
    </row>
    <row r="2814">
      <c r="A2814" s="19" t="inlineStr">
        <is>
          <t>FY27</t>
        </is>
      </c>
      <c r="B2814" s="19" t="inlineStr">
        <is>
          <t>Jul</t>
        </is>
      </c>
      <c r="C2814" s="19" t="inlineStr">
        <is>
          <t>Kerala</t>
        </is>
      </c>
      <c r="D2814" s="20" t="inlineStr">
        <is>
          <t>KL12G7850</t>
        </is>
      </c>
      <c r="E2814" s="20" t="inlineStr">
        <is>
          <t>MARUTI</t>
        </is>
      </c>
      <c r="F2814" s="20" t="inlineStr">
        <is>
          <t>Swift Desire</t>
        </is>
      </c>
      <c r="G2814" s="21" t="n">
        <v>2012</v>
      </c>
      <c r="H2814" s="22" t="n">
        <v>128976</v>
      </c>
      <c r="I2814" s="23" t="n">
        <v>230000</v>
      </c>
      <c r="J2814" s="20" t="inlineStr">
        <is>
          <t>POPULAR HUNDAI</t>
        </is>
      </c>
      <c r="K2814" s="20" t="inlineStr">
        <is>
          <t>Non-Captive</t>
        </is>
      </c>
      <c r="L2814" s="20" t="inlineStr">
        <is>
          <t>ASHARAF T A</t>
        </is>
      </c>
      <c r="M2814" s="23" t="n">
        <v>8474.58</v>
      </c>
      <c r="N2814" s="23" t="n">
        <v>10000</v>
      </c>
      <c r="O2814" s="24">
        <f>IF(AND(ISNUMBER(M2814), ISNUMBER(I2814), I2814&gt;0), M2814/I2814, "")</f>
        <v/>
      </c>
    </row>
    <row r="2815">
      <c r="A2815" s="19" t="inlineStr">
        <is>
          <t>FY27</t>
        </is>
      </c>
      <c r="B2815" s="19" t="inlineStr">
        <is>
          <t>Jul</t>
        </is>
      </c>
      <c r="C2815" s="19" t="inlineStr">
        <is>
          <t>Kerala</t>
        </is>
      </c>
      <c r="D2815" s="20" t="inlineStr">
        <is>
          <t>KL07DA2340</t>
        </is>
      </c>
      <c r="E2815" s="20" t="inlineStr">
        <is>
          <t>HONDA</t>
        </is>
      </c>
      <c r="F2815" s="20" t="inlineStr">
        <is>
          <t>Amaze</t>
        </is>
      </c>
      <c r="G2815" s="21" t="n">
        <v>2023</v>
      </c>
      <c r="H2815" s="22" t="n">
        <v>49221</v>
      </c>
      <c r="I2815" s="23" t="n">
        <v>630000</v>
      </c>
      <c r="J2815" s="20" t="inlineStr">
        <is>
          <t>INDUS MARUTI</t>
        </is>
      </c>
      <c r="K2815" s="20" t="inlineStr">
        <is>
          <t>Non-Captive</t>
        </is>
      </c>
      <c r="L2815" s="20" t="inlineStr">
        <is>
          <t>SHAMSUDEEN C E</t>
        </is>
      </c>
      <c r="M2815" s="23" t="n">
        <v>12711.86</v>
      </c>
      <c r="N2815" s="23" t="n">
        <v>15000</v>
      </c>
      <c r="O2815" s="24">
        <f>IF(AND(ISNUMBER(M2815), ISNUMBER(I2815), I2815&gt;0), M2815/I2815, "")</f>
        <v/>
      </c>
    </row>
    <row r="2816">
      <c r="A2816" s="19" t="inlineStr">
        <is>
          <t>FY27</t>
        </is>
      </c>
      <c r="B2816" s="19" t="inlineStr">
        <is>
          <t>Jul</t>
        </is>
      </c>
      <c r="C2816" s="19" t="inlineStr">
        <is>
          <t>Kerala</t>
        </is>
      </c>
      <c r="D2816" s="20" t="inlineStr">
        <is>
          <t>KL08AT2809</t>
        </is>
      </c>
      <c r="E2816" s="20" t="inlineStr">
        <is>
          <t>MARUTI</t>
        </is>
      </c>
      <c r="F2816" s="20" t="inlineStr">
        <is>
          <t>Wagon R</t>
        </is>
      </c>
      <c r="G2816" s="21" t="n">
        <v>2010</v>
      </c>
      <c r="H2816" s="22" t="n">
        <v>48838</v>
      </c>
      <c r="I2816" s="23" t="n">
        <v>170000</v>
      </c>
      <c r="J2816" s="20" t="inlineStr">
        <is>
          <t>POPULAR MARUTI</t>
        </is>
      </c>
      <c r="K2816" s="20" t="inlineStr">
        <is>
          <t>Non-Captive</t>
        </is>
      </c>
      <c r="L2816" s="20" t="inlineStr">
        <is>
          <t>AITO CARS</t>
        </is>
      </c>
      <c r="M2816" s="23" t="n">
        <v>8474.58</v>
      </c>
      <c r="N2816" s="23" t="n">
        <v>10000</v>
      </c>
      <c r="O2816" s="24">
        <f>IF(AND(ISNUMBER(M2816), ISNUMBER(I2816), I2816&gt;0), M2816/I2816, "")</f>
        <v/>
      </c>
    </row>
    <row r="2817">
      <c r="A2817" s="19" t="inlineStr">
        <is>
          <t>FY27</t>
        </is>
      </c>
      <c r="B2817" s="19" t="inlineStr">
        <is>
          <t>Jul</t>
        </is>
      </c>
      <c r="C2817" s="19" t="inlineStr">
        <is>
          <t>Kerala</t>
        </is>
      </c>
      <c r="D2817" s="20" t="inlineStr">
        <is>
          <t>KL02AJ7835</t>
        </is>
      </c>
      <c r="E2817" s="20" t="inlineStr">
        <is>
          <t>HYUNDAI</t>
        </is>
      </c>
      <c r="F2817" s="20" t="inlineStr">
        <is>
          <t>I20</t>
        </is>
      </c>
      <c r="G2817" s="21" t="n">
        <v>2012</v>
      </c>
      <c r="H2817" s="22" t="n">
        <v>184000</v>
      </c>
      <c r="I2817" s="23" t="n">
        <v>130000</v>
      </c>
      <c r="J2817" s="20" t="inlineStr">
        <is>
          <t>POPULAR MARUTI</t>
        </is>
      </c>
      <c r="K2817" s="20" t="inlineStr">
        <is>
          <t>Non-Captive</t>
        </is>
      </c>
      <c r="L2817" s="20" t="inlineStr">
        <is>
          <t>AITO CARS</t>
        </is>
      </c>
      <c r="M2817" s="23" t="n">
        <v>8474.58</v>
      </c>
      <c r="N2817" s="23" t="n">
        <v>10000</v>
      </c>
      <c r="O2817" s="24">
        <f>IF(AND(ISNUMBER(M2817), ISNUMBER(I2817), I2817&gt;0), M2817/I2817, "")</f>
        <v/>
      </c>
    </row>
    <row r="2818">
      <c r="A2818" s="19" t="inlineStr">
        <is>
          <t>FY27</t>
        </is>
      </c>
      <c r="B2818" s="19" t="inlineStr">
        <is>
          <t>Jul</t>
        </is>
      </c>
      <c r="C2818" s="19" t="inlineStr">
        <is>
          <t>Kerala</t>
        </is>
      </c>
      <c r="D2818" s="20" t="inlineStr">
        <is>
          <t>KL08AM5898</t>
        </is>
      </c>
      <c r="E2818" s="20" t="inlineStr">
        <is>
          <t>TATA</t>
        </is>
      </c>
      <c r="F2818" s="20" t="inlineStr">
        <is>
          <t>Indica</t>
        </is>
      </c>
      <c r="G2818" s="21" t="n">
        <v>2007</v>
      </c>
      <c r="H2818" s="22" t="n">
        <v>132372</v>
      </c>
      <c r="I2818" s="23" t="n">
        <v>30000</v>
      </c>
      <c r="J2818" s="20" t="inlineStr">
        <is>
          <t>POPULAR MARUTI</t>
        </is>
      </c>
      <c r="K2818" s="20" t="inlineStr">
        <is>
          <t>Non-Captive</t>
        </is>
      </c>
      <c r="L2818" s="20" t="inlineStr">
        <is>
          <t>AFSAL A(SUDHEER K H)</t>
        </is>
      </c>
      <c r="M2818" s="23" t="n">
        <v>8474.58</v>
      </c>
      <c r="N2818" s="23" t="n">
        <v>10000</v>
      </c>
      <c r="O2818" s="24">
        <f>IF(AND(ISNUMBER(M2818), ISNUMBER(I2818), I2818&gt;0), M2818/I2818, "")</f>
        <v/>
      </c>
    </row>
    <row r="2819">
      <c r="A2819" s="19" t="inlineStr">
        <is>
          <t>FY27</t>
        </is>
      </c>
      <c r="B2819" s="19" t="inlineStr">
        <is>
          <t>Jul</t>
        </is>
      </c>
      <c r="C2819" s="19" t="inlineStr">
        <is>
          <t>Kerala</t>
        </is>
      </c>
      <c r="D2819" s="20" t="inlineStr">
        <is>
          <t>KL07AK8512</t>
        </is>
      </c>
      <c r="E2819" s="20" t="inlineStr">
        <is>
          <t>MARUTI</t>
        </is>
      </c>
      <c r="F2819" s="20" t="inlineStr">
        <is>
          <t>800</t>
        </is>
      </c>
      <c r="G2819" s="21" t="n">
        <v>2002</v>
      </c>
      <c r="H2819" s="22" t="n">
        <v>36455</v>
      </c>
      <c r="I2819" s="23" t="n">
        <v>30000</v>
      </c>
      <c r="J2819" s="20" t="inlineStr">
        <is>
          <t>POPULAR MARUTI</t>
        </is>
      </c>
      <c r="K2819" s="20" t="inlineStr">
        <is>
          <t>Non-Captive</t>
        </is>
      </c>
      <c r="L2819" s="20" t="inlineStr">
        <is>
          <t>AFSAL A(SUDHEER K H)</t>
        </is>
      </c>
      <c r="M2819" s="23" t="n">
        <v>8474.58</v>
      </c>
      <c r="N2819" s="23" t="n">
        <v>10000</v>
      </c>
      <c r="O2819" s="24">
        <f>IF(AND(ISNUMBER(M2819), ISNUMBER(I2819), I2819&gt;0), M2819/I2819, "")</f>
        <v/>
      </c>
    </row>
    <row r="2820">
      <c r="A2820" s="19" t="inlineStr">
        <is>
          <t>FY27</t>
        </is>
      </c>
      <c r="B2820" s="19" t="inlineStr">
        <is>
          <t>Jul</t>
        </is>
      </c>
      <c r="C2820" s="19" t="inlineStr">
        <is>
          <t>Kerala</t>
        </is>
      </c>
      <c r="D2820" s="20" t="inlineStr">
        <is>
          <t>KL46J1117</t>
        </is>
      </c>
      <c r="E2820" s="20" t="inlineStr">
        <is>
          <t>NISSAN</t>
        </is>
      </c>
      <c r="F2820" s="20" t="inlineStr">
        <is>
          <t>Sunny</t>
        </is>
      </c>
      <c r="G2820" s="21" t="n">
        <v>2013</v>
      </c>
      <c r="H2820" s="22" t="n">
        <v>108371</v>
      </c>
      <c r="I2820" s="23" t="n">
        <v>160000</v>
      </c>
      <c r="J2820" s="20" t="inlineStr">
        <is>
          <t>POPULAR MARUTI</t>
        </is>
      </c>
      <c r="K2820" s="20" t="inlineStr">
        <is>
          <t>Non-Captive</t>
        </is>
      </c>
      <c r="L2820" s="20" t="inlineStr">
        <is>
          <t>AITO CARS</t>
        </is>
      </c>
      <c r="M2820" s="23" t="n">
        <v>8474.58</v>
      </c>
      <c r="N2820" s="23" t="n">
        <v>10000</v>
      </c>
      <c r="O2820" s="24">
        <f>IF(AND(ISNUMBER(M2820), ISNUMBER(I2820), I2820&gt;0), M2820/I2820, "")</f>
        <v/>
      </c>
    </row>
    <row r="2821">
      <c r="A2821" s="19" t="inlineStr">
        <is>
          <t>FY27</t>
        </is>
      </c>
      <c r="B2821" s="19" t="inlineStr">
        <is>
          <t>Jul</t>
        </is>
      </c>
      <c r="C2821" s="19" t="inlineStr">
        <is>
          <t>Kerala</t>
        </is>
      </c>
      <c r="D2821" s="20" t="inlineStr">
        <is>
          <t>KL32D3062</t>
        </is>
      </c>
      <c r="E2821" s="20" t="inlineStr">
        <is>
          <t>MARUTI</t>
        </is>
      </c>
      <c r="F2821" s="20" t="inlineStr">
        <is>
          <t>Alto</t>
        </is>
      </c>
      <c r="G2821" s="21" t="n">
        <v>2012</v>
      </c>
      <c r="H2821" s="22" t="n">
        <v>10533</v>
      </c>
      <c r="I2821" s="23" t="n">
        <v>50000</v>
      </c>
      <c r="J2821" s="20" t="inlineStr">
        <is>
          <t>POPULAR MARUTI</t>
        </is>
      </c>
      <c r="K2821" s="20" t="inlineStr">
        <is>
          <t>Non-Captive</t>
        </is>
      </c>
      <c r="L2821" s="20" t="inlineStr">
        <is>
          <t>HUSSAIN O E</t>
        </is>
      </c>
      <c r="M2821" s="23" t="n">
        <v>11016.95</v>
      </c>
      <c r="N2821" s="23" t="n">
        <v>13000</v>
      </c>
      <c r="O2821" s="24">
        <f>IF(AND(ISNUMBER(M2821), ISNUMBER(I2821), I2821&gt;0), M2821/I2821, "")</f>
        <v/>
      </c>
    </row>
    <row r="2822">
      <c r="A2822" s="19" t="inlineStr">
        <is>
          <t>FY27</t>
        </is>
      </c>
      <c r="B2822" s="19" t="inlineStr">
        <is>
          <t>Jul</t>
        </is>
      </c>
      <c r="C2822" s="19" t="inlineStr">
        <is>
          <t>Kerala</t>
        </is>
      </c>
      <c r="D2822" s="20" t="inlineStr">
        <is>
          <t>KL01CE2488</t>
        </is>
      </c>
      <c r="E2822" s="20" t="inlineStr">
        <is>
          <t>HYUNDAI</t>
        </is>
      </c>
      <c r="F2822" s="20" t="inlineStr">
        <is>
          <t>I 10</t>
        </is>
      </c>
      <c r="G2822" s="21" t="n">
        <v>2014</v>
      </c>
      <c r="H2822" s="22" t="n">
        <v>84000</v>
      </c>
      <c r="I2822" s="23" t="n">
        <v>138000</v>
      </c>
      <c r="J2822" s="20" t="inlineStr">
        <is>
          <t>PINNACLE NISSAN</t>
        </is>
      </c>
      <c r="K2822" s="20" t="inlineStr">
        <is>
          <t>Non-Captive</t>
        </is>
      </c>
      <c r="L2822" s="20" t="inlineStr">
        <is>
          <t>SHAHAR</t>
        </is>
      </c>
      <c r="M2822" s="23" t="n">
        <v>6779.66</v>
      </c>
      <c r="N2822" s="23" t="n">
        <v>8000</v>
      </c>
      <c r="O2822" s="24">
        <f>IF(AND(ISNUMBER(M2822), ISNUMBER(I2822), I2822&gt;0), M2822/I2822, "")</f>
        <v/>
      </c>
    </row>
    <row r="2823">
      <c r="A2823" s="19" t="inlineStr">
        <is>
          <t>FY27</t>
        </is>
      </c>
      <c r="B2823" s="19" t="inlineStr">
        <is>
          <t>Jul</t>
        </is>
      </c>
      <c r="C2823" s="19" t="inlineStr">
        <is>
          <t>Kerala</t>
        </is>
      </c>
      <c r="D2823" s="20" t="inlineStr">
        <is>
          <t>KL64L7129</t>
        </is>
      </c>
      <c r="E2823" s="20" t="inlineStr">
        <is>
          <t>KIA</t>
        </is>
      </c>
      <c r="F2823" s="20" t="inlineStr">
        <is>
          <t>Carens</t>
        </is>
      </c>
      <c r="G2823" s="21" t="n">
        <v>2023</v>
      </c>
      <c r="H2823" s="22" t="n">
        <v>27719</v>
      </c>
      <c r="I2823" s="23" t="n">
        <v>832000</v>
      </c>
      <c r="J2823" s="20" t="inlineStr">
        <is>
          <t>JOHNS HONDA CARS</t>
        </is>
      </c>
      <c r="K2823" s="20" t="inlineStr">
        <is>
          <t>Non-Captive</t>
        </is>
      </c>
      <c r="L2823" s="20" t="inlineStr">
        <is>
          <t>KAPS CARS</t>
        </is>
      </c>
      <c r="M2823" s="23" t="n">
        <v>10169.49</v>
      </c>
      <c r="N2823" s="23" t="n">
        <v>12000</v>
      </c>
      <c r="O2823" s="24">
        <f>IF(AND(ISNUMBER(M2823), ISNUMBER(I2823), I2823&gt;0), M2823/I2823, "")</f>
        <v/>
      </c>
    </row>
    <row r="2824">
      <c r="A2824" s="19" t="inlineStr">
        <is>
          <t>FY27</t>
        </is>
      </c>
      <c r="B2824" s="19" t="inlineStr">
        <is>
          <t>Jul</t>
        </is>
      </c>
      <c r="C2824" s="19" t="inlineStr">
        <is>
          <t>Kerala</t>
        </is>
      </c>
      <c r="D2824" s="20" t="inlineStr">
        <is>
          <t>KL34H0873</t>
        </is>
      </c>
      <c r="E2824" s="20" t="inlineStr">
        <is>
          <t>HYUNDAI</t>
        </is>
      </c>
      <c r="F2824" s="20" t="inlineStr">
        <is>
          <t>Santro</t>
        </is>
      </c>
      <c r="G2824" s="21" t="n">
        <v>2022</v>
      </c>
      <c r="H2824" s="22" t="n">
        <v>12987</v>
      </c>
      <c r="I2824" s="23" t="n">
        <v>350000</v>
      </c>
      <c r="J2824" s="20" t="inlineStr">
        <is>
          <t>EVM NISSAN</t>
        </is>
      </c>
      <c r="K2824" s="20" t="inlineStr">
        <is>
          <t>Non-Captive</t>
        </is>
      </c>
      <c r="L2824" s="20" t="inlineStr">
        <is>
          <t>DREAM DRIVE</t>
        </is>
      </c>
      <c r="M2824" s="23" t="n">
        <v>8474.58</v>
      </c>
      <c r="N2824" s="23" t="n">
        <v>10000</v>
      </c>
      <c r="O2824" s="24">
        <f>IF(AND(ISNUMBER(M2824), ISNUMBER(I2824), I2824&gt;0), M2824/I2824, "")</f>
        <v/>
      </c>
    </row>
    <row r="2825">
      <c r="A2825" s="19" t="inlineStr">
        <is>
          <t>FY27</t>
        </is>
      </c>
      <c r="B2825" s="19" t="inlineStr">
        <is>
          <t>Jul</t>
        </is>
      </c>
      <c r="C2825" s="19" t="inlineStr">
        <is>
          <t>Kerala</t>
        </is>
      </c>
      <c r="D2825" s="20" t="inlineStr">
        <is>
          <t>KL31M1598</t>
        </is>
      </c>
      <c r="E2825" s="20" t="inlineStr">
        <is>
          <t>MARUTI</t>
        </is>
      </c>
      <c r="F2825" s="20" t="inlineStr">
        <is>
          <t>Wagon R</t>
        </is>
      </c>
      <c r="G2825" s="21" t="n">
        <v>2018</v>
      </c>
      <c r="H2825" s="22" t="n">
        <v>48000</v>
      </c>
      <c r="I2825" s="23" t="n">
        <v>345000</v>
      </c>
      <c r="J2825" s="20" t="inlineStr">
        <is>
          <t>JISHNU PRIYAN</t>
        </is>
      </c>
      <c r="K2825" s="20" t="inlineStr">
        <is>
          <t>Non-Captive</t>
        </is>
      </c>
      <c r="L2825" s="20" t="inlineStr">
        <is>
          <t>AITO CARS</t>
        </is>
      </c>
      <c r="M2825" s="23" t="n">
        <v>8474.58</v>
      </c>
      <c r="N2825" s="23" t="n">
        <v>10000</v>
      </c>
      <c r="O2825" s="24">
        <f>IF(AND(ISNUMBER(M2825), ISNUMBER(I2825), I2825&gt;0), M2825/I2825, "")</f>
        <v/>
      </c>
    </row>
    <row r="2826">
      <c r="A2826" s="19" t="inlineStr">
        <is>
          <t>FY27</t>
        </is>
      </c>
      <c r="B2826" s="19" t="inlineStr">
        <is>
          <t>Jul</t>
        </is>
      </c>
      <c r="C2826" s="19" t="inlineStr">
        <is>
          <t>Kerala</t>
        </is>
      </c>
      <c r="D2826" s="20" t="inlineStr">
        <is>
          <t>KL67A9510</t>
        </is>
      </c>
      <c r="E2826" s="20" t="inlineStr">
        <is>
          <t>RENAULT</t>
        </is>
      </c>
      <c r="F2826" s="20" t="inlineStr">
        <is>
          <t>Kwid</t>
        </is>
      </c>
      <c r="G2826" s="21" t="n">
        <v>2017</v>
      </c>
      <c r="H2826" s="22" t="n">
        <v>59000</v>
      </c>
      <c r="I2826" s="23" t="n">
        <v>230000</v>
      </c>
      <c r="J2826" s="20" t="inlineStr">
        <is>
          <t>KESHVIN HYUNDAI</t>
        </is>
      </c>
      <c r="K2826" s="20" t="inlineStr">
        <is>
          <t>Non-Captive</t>
        </is>
      </c>
      <c r="L2826" s="20" t="inlineStr">
        <is>
          <t>ABDUL SALAM K K</t>
        </is>
      </c>
      <c r="M2826" s="23" t="n">
        <v>8474.58</v>
      </c>
      <c r="N2826" s="23" t="n">
        <v>10000</v>
      </c>
      <c r="O2826" s="24">
        <f>IF(AND(ISNUMBER(M2826), ISNUMBER(I2826), I2826&gt;0), M2826/I2826, "")</f>
        <v/>
      </c>
    </row>
    <row r="2827">
      <c r="A2827" s="19" t="inlineStr">
        <is>
          <t>FY27</t>
        </is>
      </c>
      <c r="B2827" s="19" t="inlineStr">
        <is>
          <t>Jul</t>
        </is>
      </c>
      <c r="C2827" s="19" t="inlineStr">
        <is>
          <t>Kerala</t>
        </is>
      </c>
      <c r="D2827" s="20" t="inlineStr">
        <is>
          <t>KL45R5121</t>
        </is>
      </c>
      <c r="E2827" s="20" t="inlineStr">
        <is>
          <t>TATA</t>
        </is>
      </c>
      <c r="F2827" s="20" t="inlineStr">
        <is>
          <t>Tiago</t>
        </is>
      </c>
      <c r="G2827" s="21" t="n">
        <v>2018</v>
      </c>
      <c r="H2827" s="22" t="n">
        <v>72000</v>
      </c>
      <c r="I2827" s="23" t="n">
        <v>305000</v>
      </c>
      <c r="J2827" s="20" t="inlineStr">
        <is>
          <t>ERAM MOTORS</t>
        </is>
      </c>
      <c r="K2827" s="20" t="inlineStr">
        <is>
          <t>Non-Captive</t>
        </is>
      </c>
      <c r="L2827" s="20" t="inlineStr">
        <is>
          <t>JAMSHEER</t>
        </is>
      </c>
      <c r="M2827" s="23" t="n">
        <v>8474.58</v>
      </c>
      <c r="N2827" s="23" t="n">
        <v>10000</v>
      </c>
      <c r="O2827" s="24">
        <f>IF(AND(ISNUMBER(M2827), ISNUMBER(I2827), I2827&gt;0), M2827/I2827, "")</f>
        <v/>
      </c>
    </row>
    <row r="2828">
      <c r="A2828" s="19" t="inlineStr">
        <is>
          <t>FY27</t>
        </is>
      </c>
      <c r="B2828" s="19" t="inlineStr">
        <is>
          <t>Jul</t>
        </is>
      </c>
      <c r="C2828" s="19" t="inlineStr">
        <is>
          <t>Kerala</t>
        </is>
      </c>
      <c r="D2828" s="20" t="inlineStr">
        <is>
          <t>KL07CV0988</t>
        </is>
      </c>
      <c r="E2828" s="20" t="inlineStr">
        <is>
          <t>TATA</t>
        </is>
      </c>
      <c r="F2828" s="20" t="inlineStr">
        <is>
          <t>1112</t>
        </is>
      </c>
      <c r="G2828" s="21" t="n">
        <v>2020</v>
      </c>
      <c r="H2828" s="22" t="n">
        <v>360000</v>
      </c>
      <c r="I2828" s="23" t="n">
        <v>607000</v>
      </c>
      <c r="J2828" s="20" t="inlineStr">
        <is>
          <t>ANWAR SADATH</t>
        </is>
      </c>
      <c r="K2828" s="20" t="inlineStr">
        <is>
          <t>Non-Captive</t>
        </is>
      </c>
      <c r="L2828" s="20" t="inlineStr">
        <is>
          <t>ALI .HAPPY DRIVE</t>
        </is>
      </c>
      <c r="M2828" s="23" t="n">
        <v>5932.2</v>
      </c>
      <c r="N2828" s="23" t="n">
        <v>7000</v>
      </c>
      <c r="O2828" s="24">
        <f>IF(AND(ISNUMBER(M2828), ISNUMBER(I2828), I2828&gt;0), M2828/I2828, "")</f>
        <v/>
      </c>
    </row>
    <row r="2829">
      <c r="A2829" s="19" t="inlineStr">
        <is>
          <t>FY27</t>
        </is>
      </c>
      <c r="B2829" s="19" t="inlineStr">
        <is>
          <t>Jul</t>
        </is>
      </c>
      <c r="C2829" s="19" t="inlineStr">
        <is>
          <t>Kerala</t>
        </is>
      </c>
      <c r="D2829" s="20" t="inlineStr">
        <is>
          <t>KL05X2433</t>
        </is>
      </c>
      <c r="E2829" s="20" t="inlineStr">
        <is>
          <t>HYUNDAI</t>
        </is>
      </c>
      <c r="F2829" s="20" t="inlineStr">
        <is>
          <t>Santro</t>
        </is>
      </c>
      <c r="G2829" s="21" t="n">
        <v>2006</v>
      </c>
      <c r="H2829" s="22" t="n">
        <v>139779</v>
      </c>
      <c r="I2829" s="23" t="n">
        <v>27000</v>
      </c>
      <c r="J2829" s="20" t="inlineStr">
        <is>
          <t>KUNJU MOIDEEN</t>
        </is>
      </c>
      <c r="K2829" s="20" t="inlineStr">
        <is>
          <t>Non-Captive</t>
        </is>
      </c>
      <c r="L2829" s="20" t="inlineStr">
        <is>
          <t>ANAS HAMEEDKUTTY</t>
        </is>
      </c>
      <c r="M2829" s="23" t="n">
        <v>10169.49</v>
      </c>
      <c r="N2829" s="23" t="n">
        <v>12000</v>
      </c>
      <c r="O2829" s="24">
        <f>IF(AND(ISNUMBER(M2829), ISNUMBER(I2829), I2829&gt;0), M2829/I2829, "")</f>
        <v/>
      </c>
    </row>
    <row r="2830">
      <c r="A2830" s="19" t="inlineStr">
        <is>
          <t>FY27</t>
        </is>
      </c>
      <c r="B2830" s="19" t="inlineStr">
        <is>
          <t>Jul</t>
        </is>
      </c>
      <c r="C2830" s="19" t="inlineStr">
        <is>
          <t>Kerala</t>
        </is>
      </c>
      <c r="D2830" s="20" t="inlineStr">
        <is>
          <t>KL08AN2830</t>
        </is>
      </c>
      <c r="E2830" s="20" t="inlineStr">
        <is>
          <t>MARUTI</t>
        </is>
      </c>
      <c r="F2830" s="20" t="inlineStr">
        <is>
          <t>Wagonr</t>
        </is>
      </c>
      <c r="G2830" s="21" t="n">
        <v>2007</v>
      </c>
      <c r="H2830" s="22" t="n">
        <v>119687</v>
      </c>
      <c r="I2830" s="23" t="n">
        <v>60000</v>
      </c>
      <c r="J2830" s="20" t="inlineStr">
        <is>
          <t>POPULAR MARUTI</t>
        </is>
      </c>
      <c r="K2830" s="20" t="inlineStr">
        <is>
          <t>Non-Captive</t>
        </is>
      </c>
      <c r="L2830" s="20" t="inlineStr">
        <is>
          <t>FATHIMA HUSSAIN</t>
        </is>
      </c>
      <c r="M2830" s="23" t="n">
        <v>8474.58</v>
      </c>
      <c r="N2830" s="23" t="n">
        <v>10000</v>
      </c>
      <c r="O2830" s="24">
        <f>IF(AND(ISNUMBER(M2830), ISNUMBER(I2830), I2830&gt;0), M2830/I2830, "")</f>
        <v/>
      </c>
    </row>
    <row r="2831">
      <c r="A2831" s="19" t="inlineStr">
        <is>
          <t>FY27</t>
        </is>
      </c>
      <c r="B2831" s="19" t="inlineStr">
        <is>
          <t>Jul</t>
        </is>
      </c>
      <c r="C2831" s="19" t="inlineStr">
        <is>
          <t>Kerala</t>
        </is>
      </c>
      <c r="D2831" s="20" t="inlineStr">
        <is>
          <t>KL45C1124</t>
        </is>
      </c>
      <c r="E2831" s="20" t="inlineStr">
        <is>
          <t>HYUNDAI</t>
        </is>
      </c>
      <c r="F2831" s="20" t="inlineStr">
        <is>
          <t>I 10</t>
        </is>
      </c>
      <c r="G2831" s="21" t="n">
        <v>2008</v>
      </c>
      <c r="H2831" s="22" t="n">
        <v>140000</v>
      </c>
      <c r="I2831" s="23" t="n">
        <v>55000</v>
      </c>
      <c r="J2831" s="20" t="inlineStr">
        <is>
          <t>RATHEESH</t>
        </is>
      </c>
      <c r="K2831" s="20" t="inlineStr">
        <is>
          <t>Non-Captive</t>
        </is>
      </c>
      <c r="L2831" s="20" t="inlineStr">
        <is>
          <t>SANTHOSH</t>
        </is>
      </c>
      <c r="M2831" s="23" t="n">
        <v>4237.29</v>
      </c>
      <c r="N2831" s="23" t="n">
        <v>5000</v>
      </c>
      <c r="O2831" s="24">
        <f>IF(AND(ISNUMBER(M2831), ISNUMBER(I2831), I2831&gt;0), M2831/I2831, "")</f>
        <v/>
      </c>
    </row>
    <row r="2832">
      <c r="A2832" s="19" t="inlineStr">
        <is>
          <t>FY27</t>
        </is>
      </c>
      <c r="B2832" s="19" t="inlineStr">
        <is>
          <t>Jul</t>
        </is>
      </c>
      <c r="C2832" s="19" t="inlineStr">
        <is>
          <t>Kerala</t>
        </is>
      </c>
      <c r="D2832" s="20" t="inlineStr">
        <is>
          <t>KL60L7575</t>
        </is>
      </c>
      <c r="E2832" s="20" t="inlineStr">
        <is>
          <t>HONDA</t>
        </is>
      </c>
      <c r="F2832" s="20" t="inlineStr">
        <is>
          <t>Brv</t>
        </is>
      </c>
      <c r="G2832" s="21" t="n">
        <v>2016</v>
      </c>
      <c r="H2832" s="22" t="n">
        <v>112000</v>
      </c>
      <c r="I2832" s="23" t="n">
        <v>520000</v>
      </c>
      <c r="J2832" s="20" t="inlineStr">
        <is>
          <t>ERAM MAHINDRA</t>
        </is>
      </c>
      <c r="K2832" s="20" t="inlineStr">
        <is>
          <t>Non-Captive</t>
        </is>
      </c>
      <c r="L2832" s="20" t="inlineStr">
        <is>
          <t>HARIS</t>
        </is>
      </c>
      <c r="M2832" s="23" t="n">
        <v>8474.58</v>
      </c>
      <c r="N2832" s="23" t="n">
        <v>10000</v>
      </c>
      <c r="O2832" s="24">
        <f>IF(AND(ISNUMBER(M2832), ISNUMBER(I2832), I2832&gt;0), M2832/I2832, "")</f>
        <v/>
      </c>
    </row>
    <row r="2833">
      <c r="A2833" s="19" t="inlineStr">
        <is>
          <t>FY27</t>
        </is>
      </c>
      <c r="B2833" s="19" t="inlineStr">
        <is>
          <t>Jul</t>
        </is>
      </c>
      <c r="C2833" s="19" t="inlineStr">
        <is>
          <t>Kerala</t>
        </is>
      </c>
      <c r="D2833" s="20" t="inlineStr">
        <is>
          <t>KL22M3049</t>
        </is>
      </c>
      <c r="E2833" s="20" t="inlineStr">
        <is>
          <t>MAHINDRA</t>
        </is>
      </c>
      <c r="F2833" s="20" t="inlineStr">
        <is>
          <t>Kuv</t>
        </is>
      </c>
      <c r="G2833" s="21" t="n">
        <v>2018</v>
      </c>
      <c r="H2833" s="22" t="n">
        <v>122500</v>
      </c>
      <c r="I2833" s="23" t="n">
        <v>195000</v>
      </c>
      <c r="J2833" s="20" t="inlineStr">
        <is>
          <t>MAXXMOTORS</t>
        </is>
      </c>
      <c r="K2833" s="20" t="inlineStr">
        <is>
          <t>Non-Captive</t>
        </is>
      </c>
      <c r="L2833" s="20" t="inlineStr">
        <is>
          <t>SANTHOSH</t>
        </is>
      </c>
      <c r="M2833" s="23" t="n">
        <v>4237.29</v>
      </c>
      <c r="N2833" s="23" t="n">
        <v>5000</v>
      </c>
      <c r="O2833" s="24">
        <f>IF(AND(ISNUMBER(M2833), ISNUMBER(I2833), I2833&gt;0), M2833/I2833, "")</f>
        <v/>
      </c>
    </row>
    <row r="2834">
      <c r="A2834" s="19" t="inlineStr">
        <is>
          <t>FY27</t>
        </is>
      </c>
      <c r="B2834" s="19" t="inlineStr">
        <is>
          <t>Jul</t>
        </is>
      </c>
      <c r="C2834" s="19" t="inlineStr">
        <is>
          <t>Kerala</t>
        </is>
      </c>
      <c r="D2834" s="20" t="inlineStr">
        <is>
          <t>KL21F5587</t>
        </is>
      </c>
      <c r="E2834" s="20" t="inlineStr">
        <is>
          <t>MARUTI</t>
        </is>
      </c>
      <c r="F2834" s="20" t="inlineStr">
        <is>
          <t>K 10</t>
        </is>
      </c>
      <c r="G2834" s="21" t="n">
        <v>2012</v>
      </c>
      <c r="H2834" s="22" t="n">
        <v>58200</v>
      </c>
      <c r="I2834" s="23" t="n">
        <v>108000</v>
      </c>
      <c r="J2834" s="20" t="inlineStr">
        <is>
          <t>POPULAR MARUTI</t>
        </is>
      </c>
      <c r="K2834" s="20" t="inlineStr">
        <is>
          <t>Non-Captive</t>
        </is>
      </c>
      <c r="L2834" s="20" t="inlineStr">
        <is>
          <t>GS USED CAR</t>
        </is>
      </c>
      <c r="M2834" s="23" t="n">
        <v>6779.66</v>
      </c>
      <c r="N2834" s="23" t="n">
        <v>8000</v>
      </c>
      <c r="O2834" s="24">
        <f>IF(AND(ISNUMBER(M2834), ISNUMBER(I2834), I2834&gt;0), M2834/I2834, "")</f>
        <v/>
      </c>
    </row>
    <row r="2835">
      <c r="A2835" s="19" t="inlineStr">
        <is>
          <t>FY27</t>
        </is>
      </c>
      <c r="B2835" s="19" t="inlineStr">
        <is>
          <t>Jul</t>
        </is>
      </c>
      <c r="C2835" s="19" t="inlineStr">
        <is>
          <t>Kerala</t>
        </is>
      </c>
      <c r="D2835" s="20" t="inlineStr">
        <is>
          <t>KL14R0721</t>
        </is>
      </c>
      <c r="E2835" s="20" t="inlineStr">
        <is>
          <t>MARUTI</t>
        </is>
      </c>
      <c r="F2835" s="20" t="inlineStr">
        <is>
          <t>Altok10</t>
        </is>
      </c>
      <c r="G2835" s="21" t="n">
        <v>2015</v>
      </c>
      <c r="H2835" s="22" t="n">
        <v>70000</v>
      </c>
      <c r="I2835" s="23" t="n">
        <v>170000</v>
      </c>
      <c r="J2835" s="20" t="inlineStr">
        <is>
          <t>POPULAR MARUTI</t>
        </is>
      </c>
      <c r="K2835" s="20" t="inlineStr">
        <is>
          <t>Non-Captive</t>
        </is>
      </c>
      <c r="L2835" s="20" t="inlineStr">
        <is>
          <t>Muhammed Ashique K</t>
        </is>
      </c>
      <c r="M2835" s="23" t="n">
        <v>8474.58</v>
      </c>
      <c r="N2835" s="23" t="n">
        <v>10000</v>
      </c>
      <c r="O2835" s="24">
        <f>IF(AND(ISNUMBER(M2835), ISNUMBER(I2835), I2835&gt;0), M2835/I2835, "")</f>
        <v/>
      </c>
    </row>
    <row r="2836">
      <c r="A2836" s="19" t="inlineStr">
        <is>
          <t>FY27</t>
        </is>
      </c>
      <c r="B2836" s="19" t="inlineStr">
        <is>
          <t>Jul</t>
        </is>
      </c>
      <c r="C2836" s="19" t="inlineStr">
        <is>
          <t>Kerala</t>
        </is>
      </c>
      <c r="D2836" s="20" t="inlineStr">
        <is>
          <t>KL21D2962</t>
        </is>
      </c>
      <c r="E2836" s="20" t="inlineStr">
        <is>
          <t>MARUTI</t>
        </is>
      </c>
      <c r="F2836" s="20" t="inlineStr">
        <is>
          <t>Altok10</t>
        </is>
      </c>
      <c r="G2836" s="21" t="n">
        <v>2011</v>
      </c>
      <c r="H2836" s="22" t="n">
        <v>108000</v>
      </c>
      <c r="I2836" s="23" t="n">
        <v>92000</v>
      </c>
      <c r="J2836" s="20" t="inlineStr">
        <is>
          <t>POPULAR MARUTI</t>
        </is>
      </c>
      <c r="K2836" s="20" t="inlineStr">
        <is>
          <t>Non-Captive</t>
        </is>
      </c>
      <c r="L2836" s="20" t="inlineStr">
        <is>
          <t>GS USED CAR</t>
        </is>
      </c>
      <c r="M2836" s="23" t="n">
        <v>5932.2</v>
      </c>
      <c r="N2836" s="23" t="n">
        <v>7000</v>
      </c>
      <c r="O2836" s="24">
        <f>IF(AND(ISNUMBER(M2836), ISNUMBER(I2836), I2836&gt;0), M2836/I2836, "")</f>
        <v/>
      </c>
    </row>
    <row r="2837">
      <c r="A2837" s="19" t="inlineStr">
        <is>
          <t>FY27</t>
        </is>
      </c>
      <c r="B2837" s="19" t="inlineStr">
        <is>
          <t>Jul</t>
        </is>
      </c>
      <c r="C2837" s="19" t="inlineStr">
        <is>
          <t>Kerala</t>
        </is>
      </c>
      <c r="D2837" s="20" t="inlineStr">
        <is>
          <t>KL26L9267</t>
        </is>
      </c>
      <c r="E2837" s="20" t="inlineStr">
        <is>
          <t>MARUTI</t>
        </is>
      </c>
      <c r="F2837" s="20" t="inlineStr">
        <is>
          <t>Alto</t>
        </is>
      </c>
      <c r="G2837" s="21" t="n">
        <v>2021</v>
      </c>
      <c r="H2837" s="22" t="n">
        <v>43000</v>
      </c>
      <c r="I2837" s="23" t="n">
        <v>324000</v>
      </c>
      <c r="J2837" s="20" t="inlineStr">
        <is>
          <t>BIMAL</t>
        </is>
      </c>
      <c r="K2837" s="20" t="inlineStr">
        <is>
          <t>Non-Captive</t>
        </is>
      </c>
      <c r="L2837" s="20" t="inlineStr">
        <is>
          <t>ANEESH</t>
        </is>
      </c>
      <c r="M2837" s="23" t="n">
        <v>8474.58</v>
      </c>
      <c r="N2837" s="23" t="n">
        <v>10000</v>
      </c>
      <c r="O2837" s="24">
        <f>IF(AND(ISNUMBER(M2837), ISNUMBER(I2837), I2837&gt;0), M2837/I2837, "")</f>
        <v/>
      </c>
    </row>
    <row r="2838">
      <c r="A2838" s="19" t="inlineStr">
        <is>
          <t>FY27</t>
        </is>
      </c>
      <c r="B2838" s="19" t="inlineStr">
        <is>
          <t>Jul</t>
        </is>
      </c>
      <c r="C2838" s="19" t="inlineStr">
        <is>
          <t>Kerala</t>
        </is>
      </c>
      <c r="D2838" s="20" t="inlineStr">
        <is>
          <t>KL205359</t>
        </is>
      </c>
      <c r="E2838" s="20" t="inlineStr">
        <is>
          <t>MARUTI</t>
        </is>
      </c>
      <c r="F2838" s="20" t="inlineStr">
        <is>
          <t>Alto Std</t>
        </is>
      </c>
      <c r="G2838" s="21" t="n">
        <v>2007</v>
      </c>
      <c r="H2838" s="22" t="n">
        <v>110000</v>
      </c>
      <c r="I2838" s="23" t="n">
        <v>25000</v>
      </c>
      <c r="J2838" s="20" t="inlineStr">
        <is>
          <t>POPULAR MARUTI</t>
        </is>
      </c>
      <c r="K2838" s="20" t="inlineStr">
        <is>
          <t>Non-Captive</t>
        </is>
      </c>
      <c r="L2838" s="20" t="inlineStr">
        <is>
          <t>PRAJOD</t>
        </is>
      </c>
      <c r="M2838" s="23" t="n">
        <v>4237.29</v>
      </c>
      <c r="N2838" s="23" t="n">
        <v>5000</v>
      </c>
      <c r="O2838" s="24">
        <f>IF(AND(ISNUMBER(M2838), ISNUMBER(I2838), I2838&gt;0), M2838/I2838, "")</f>
        <v/>
      </c>
    </row>
    <row r="2839">
      <c r="A2839" s="19" t="inlineStr">
        <is>
          <t>FY27</t>
        </is>
      </c>
      <c r="B2839" s="19" t="inlineStr">
        <is>
          <t>Jul</t>
        </is>
      </c>
      <c r="C2839" s="19" t="inlineStr">
        <is>
          <t>Kerala</t>
        </is>
      </c>
      <c r="D2839" s="20" t="inlineStr">
        <is>
          <t>KL10AA2775</t>
        </is>
      </c>
      <c r="E2839" s="20" t="inlineStr">
        <is>
          <t>MARUTI</t>
        </is>
      </c>
      <c r="F2839" s="20" t="inlineStr">
        <is>
          <t>M800</t>
        </is>
      </c>
      <c r="G2839" s="21" t="n">
        <v>2007</v>
      </c>
      <c r="H2839" s="22" t="n">
        <v>200000</v>
      </c>
      <c r="I2839" s="23" t="n">
        <v>14000</v>
      </c>
      <c r="J2839" s="20" t="inlineStr">
        <is>
          <t>POPULAR MARUTI</t>
        </is>
      </c>
      <c r="K2839" s="20" t="inlineStr">
        <is>
          <t>Non-Captive</t>
        </is>
      </c>
      <c r="L2839" s="20" t="inlineStr">
        <is>
          <t>AUTOTRUST</t>
        </is>
      </c>
      <c r="M2839" s="23" t="n">
        <v>5084.75</v>
      </c>
      <c r="N2839" s="23" t="n">
        <v>6000</v>
      </c>
      <c r="O2839" s="24">
        <f>IF(AND(ISNUMBER(M2839), ISNUMBER(I2839), I2839&gt;0), M2839/I2839, "")</f>
        <v/>
      </c>
    </row>
    <row r="2840">
      <c r="A2840" s="19" t="inlineStr">
        <is>
          <t>FY27</t>
        </is>
      </c>
      <c r="B2840" s="19" t="inlineStr">
        <is>
          <t>Jul</t>
        </is>
      </c>
      <c r="C2840" s="19" t="inlineStr">
        <is>
          <t>Kerala</t>
        </is>
      </c>
      <c r="D2840" s="20" t="inlineStr">
        <is>
          <t>KL60E1603</t>
        </is>
      </c>
      <c r="E2840" s="20" t="inlineStr">
        <is>
          <t>HYUNDAI</t>
        </is>
      </c>
      <c r="F2840" s="20" t="inlineStr">
        <is>
          <t>Eon</t>
        </is>
      </c>
      <c r="G2840" s="21" t="n">
        <v>2012</v>
      </c>
      <c r="H2840" s="22" t="n">
        <v>76000</v>
      </c>
      <c r="I2840" s="23" t="n">
        <v>91000</v>
      </c>
      <c r="J2840" s="20" t="inlineStr">
        <is>
          <t>UCD FARIS</t>
        </is>
      </c>
      <c r="K2840" s="20" t="inlineStr">
        <is>
          <t>Non-Captive</t>
        </is>
      </c>
      <c r="L2840" s="20" t="inlineStr">
        <is>
          <t>Muhammed Vasil MK</t>
        </is>
      </c>
      <c r="M2840" s="23" t="n">
        <v>5084.75</v>
      </c>
      <c r="N2840" s="23" t="n">
        <v>6000</v>
      </c>
      <c r="O2840" s="24">
        <f>IF(AND(ISNUMBER(M2840), ISNUMBER(I2840), I2840&gt;0), M2840/I2840, "")</f>
        <v/>
      </c>
    </row>
    <row r="2841">
      <c r="A2841" s="19" t="inlineStr">
        <is>
          <t>FY27</t>
        </is>
      </c>
      <c r="B2841" s="19" t="inlineStr">
        <is>
          <t>Jul</t>
        </is>
      </c>
      <c r="C2841" s="19" t="inlineStr">
        <is>
          <t>Kerala</t>
        </is>
      </c>
      <c r="D2841" s="20" t="inlineStr">
        <is>
          <t>KL59G3350</t>
        </is>
      </c>
      <c r="E2841" s="20" t="inlineStr">
        <is>
          <t>MARUTI</t>
        </is>
      </c>
      <c r="F2841" s="20" t="inlineStr">
        <is>
          <t>Ertiga</t>
        </is>
      </c>
      <c r="G2841" s="21" t="n">
        <v>2013</v>
      </c>
      <c r="H2841" s="22" t="n">
        <v>149000</v>
      </c>
      <c r="I2841" s="23" t="n">
        <v>305000</v>
      </c>
      <c r="J2841" s="20" t="inlineStr">
        <is>
          <t>MARVEL CARS</t>
        </is>
      </c>
      <c r="K2841" s="20" t="inlineStr">
        <is>
          <t>Non-Captive</t>
        </is>
      </c>
      <c r="L2841" s="20" t="inlineStr">
        <is>
          <t>SOORAJ POPULAR CARS</t>
        </is>
      </c>
      <c r="M2841" s="23" t="n">
        <v>8474.58</v>
      </c>
      <c r="N2841" s="23" t="n">
        <v>10000</v>
      </c>
      <c r="O2841" s="24">
        <f>IF(AND(ISNUMBER(M2841), ISNUMBER(I2841), I2841&gt;0), M2841/I2841, "")</f>
        <v/>
      </c>
    </row>
    <row r="2842">
      <c r="A2842" s="19" t="inlineStr">
        <is>
          <t>FY27</t>
        </is>
      </c>
      <c r="B2842" s="19" t="inlineStr">
        <is>
          <t>Jul</t>
        </is>
      </c>
      <c r="C2842" s="19" t="inlineStr">
        <is>
          <t>Kerala</t>
        </is>
      </c>
      <c r="D2842" s="20" t="inlineStr">
        <is>
          <t>KL24V2533</t>
        </is>
      </c>
      <c r="E2842" s="20" t="inlineStr">
        <is>
          <t>VW</t>
        </is>
      </c>
      <c r="F2842" s="20" t="inlineStr">
        <is>
          <t>Taigun</t>
        </is>
      </c>
      <c r="G2842" s="21" t="n">
        <v>2021</v>
      </c>
      <c r="H2842" s="22" t="n">
        <v>74232</v>
      </c>
      <c r="I2842" s="23" t="n">
        <v>745000</v>
      </c>
      <c r="J2842" s="20" t="inlineStr">
        <is>
          <t>POPULAR MAHINDRA</t>
        </is>
      </c>
      <c r="K2842" s="20" t="inlineStr">
        <is>
          <t>Non-Captive</t>
        </is>
      </c>
      <c r="L2842" s="20" t="inlineStr">
        <is>
          <t>SANOOB VA</t>
        </is>
      </c>
      <c r="M2842" s="23" t="n">
        <v>8474.58</v>
      </c>
      <c r="N2842" s="23" t="n">
        <v>10000</v>
      </c>
      <c r="O2842" s="24">
        <f>IF(AND(ISNUMBER(M2842), ISNUMBER(I2842), I2842&gt;0), M2842/I2842, "")</f>
        <v/>
      </c>
    </row>
    <row r="2843">
      <c r="A2843" s="19" t="inlineStr">
        <is>
          <t>FY27</t>
        </is>
      </c>
      <c r="B2843" s="19" t="inlineStr">
        <is>
          <t>Jul</t>
        </is>
      </c>
      <c r="C2843" s="19" t="inlineStr">
        <is>
          <t>Kerala</t>
        </is>
      </c>
      <c r="D2843" s="20" t="inlineStr">
        <is>
          <t>KL16H8433</t>
        </is>
      </c>
      <c r="E2843" s="20" t="inlineStr">
        <is>
          <t>MARUTI</t>
        </is>
      </c>
      <c r="F2843" s="20" t="inlineStr">
        <is>
          <t>Alto</t>
        </is>
      </c>
      <c r="G2843" s="21" t="n">
        <v>2012</v>
      </c>
      <c r="H2843" s="22" t="n">
        <v>70765</v>
      </c>
      <c r="I2843" s="23" t="n">
        <v>78000</v>
      </c>
      <c r="J2843" s="20" t="inlineStr">
        <is>
          <t>LUXON TATA</t>
        </is>
      </c>
      <c r="K2843" s="20" t="inlineStr">
        <is>
          <t>Non-Captive</t>
        </is>
      </c>
      <c r="L2843" s="20" t="inlineStr">
        <is>
          <t>ATHUL RAJ</t>
        </is>
      </c>
      <c r="M2843" s="23" t="n">
        <v>6779.66</v>
      </c>
      <c r="N2843" s="23" t="n">
        <v>8000</v>
      </c>
      <c r="O2843" s="24">
        <f>IF(AND(ISNUMBER(M2843), ISNUMBER(I2843), I2843&gt;0), M2843/I2843, "")</f>
        <v/>
      </c>
    </row>
    <row r="2844">
      <c r="A2844" s="19" t="inlineStr">
        <is>
          <t>FY27</t>
        </is>
      </c>
      <c r="B2844" s="19" t="inlineStr">
        <is>
          <t>Jul</t>
        </is>
      </c>
      <c r="C2844" s="19" t="inlineStr">
        <is>
          <t>Kerala</t>
        </is>
      </c>
      <c r="D2844" s="20" t="inlineStr">
        <is>
          <t>KL02BK7349</t>
        </is>
      </c>
      <c r="E2844" s="20" t="inlineStr">
        <is>
          <t>RENAULT</t>
        </is>
      </c>
      <c r="F2844" s="20" t="inlineStr">
        <is>
          <t>Triber</t>
        </is>
      </c>
      <c r="G2844" s="21" t="n">
        <v>2019</v>
      </c>
      <c r="H2844" s="22" t="n">
        <v>63445</v>
      </c>
      <c r="I2844" s="23" t="n">
        <v>300000</v>
      </c>
      <c r="J2844" s="20" t="inlineStr">
        <is>
          <t>SARATHY NEXA</t>
        </is>
      </c>
      <c r="K2844" s="20" t="inlineStr">
        <is>
          <t>Non-Captive</t>
        </is>
      </c>
      <c r="L2844" s="20" t="inlineStr">
        <is>
          <t>CLIND</t>
        </is>
      </c>
      <c r="M2844" s="23" t="n">
        <v>6779.66</v>
      </c>
      <c r="N2844" s="23" t="n">
        <v>8000</v>
      </c>
      <c r="O2844" s="24">
        <f>IF(AND(ISNUMBER(M2844), ISNUMBER(I2844), I2844&gt;0), M2844/I2844, "")</f>
        <v/>
      </c>
    </row>
    <row r="2845">
      <c r="A2845" s="19" t="inlineStr">
        <is>
          <t>FY27</t>
        </is>
      </c>
      <c r="B2845" s="19" t="inlineStr">
        <is>
          <t>Jul</t>
        </is>
      </c>
      <c r="C2845" s="19" t="inlineStr">
        <is>
          <t>Kerala</t>
        </is>
      </c>
      <c r="D2845" s="20" t="inlineStr">
        <is>
          <t>KL45X8811</t>
        </is>
      </c>
      <c r="E2845" s="20" t="inlineStr">
        <is>
          <t>MARUTI</t>
        </is>
      </c>
      <c r="F2845" s="20" t="inlineStr">
        <is>
          <t>Swift</t>
        </is>
      </c>
      <c r="G2845" s="21" t="n">
        <v>2024</v>
      </c>
      <c r="H2845" s="22" t="n">
        <v>43368</v>
      </c>
      <c r="I2845" s="23" t="n">
        <v>712500</v>
      </c>
      <c r="J2845" s="20" t="inlineStr">
        <is>
          <t>ERAM MOTORS</t>
        </is>
      </c>
      <c r="K2845" s="20" t="inlineStr">
        <is>
          <t>Non-Captive</t>
        </is>
      </c>
      <c r="L2845" s="20" t="inlineStr">
        <is>
          <t>AUTOBOT</t>
        </is>
      </c>
      <c r="M2845" s="23" t="n">
        <v>10593.22</v>
      </c>
      <c r="N2845" s="23" t="n">
        <v>12500</v>
      </c>
      <c r="O2845" s="24">
        <f>IF(AND(ISNUMBER(M2845), ISNUMBER(I2845), I2845&gt;0), M2845/I2845, "")</f>
        <v/>
      </c>
    </row>
    <row r="2846">
      <c r="A2846" s="19" t="inlineStr">
        <is>
          <t>FY27</t>
        </is>
      </c>
      <c r="B2846" s="19" t="inlineStr">
        <is>
          <t>Jul</t>
        </is>
      </c>
      <c r="C2846" s="19" t="inlineStr">
        <is>
          <t>Kerala</t>
        </is>
      </c>
      <c r="D2846" s="20" t="inlineStr">
        <is>
          <t>KL08BZ9881</t>
        </is>
      </c>
      <c r="E2846" s="20" t="inlineStr">
        <is>
          <t>MARUTI</t>
        </is>
      </c>
      <c r="F2846" s="20" t="inlineStr">
        <is>
          <t>Brezza</t>
        </is>
      </c>
      <c r="G2846" s="21" t="n">
        <v>2023</v>
      </c>
      <c r="H2846" s="22" t="n">
        <v>48546</v>
      </c>
      <c r="I2846" s="23" t="n">
        <v>860000</v>
      </c>
      <c r="J2846" s="20" t="inlineStr">
        <is>
          <t>INCHEON KIA</t>
        </is>
      </c>
      <c r="K2846" s="20" t="inlineStr">
        <is>
          <t>Non-Captive</t>
        </is>
      </c>
      <c r="L2846" s="20" t="inlineStr">
        <is>
          <t>AITO CARS</t>
        </is>
      </c>
      <c r="M2846" s="23" t="n">
        <v>8474.58</v>
      </c>
      <c r="N2846" s="23" t="n">
        <v>10000</v>
      </c>
      <c r="O2846" s="24">
        <f>IF(AND(ISNUMBER(M2846), ISNUMBER(I2846), I2846&gt;0), M2846/I2846, "")</f>
        <v/>
      </c>
    </row>
    <row r="2847">
      <c r="A2847" s="19" t="inlineStr">
        <is>
          <t>FY27</t>
        </is>
      </c>
      <c r="B2847" s="19" t="inlineStr">
        <is>
          <t>Jul</t>
        </is>
      </c>
      <c r="C2847" s="19" t="inlineStr">
        <is>
          <t>Kerala</t>
        </is>
      </c>
      <c r="D2847" s="20" t="inlineStr">
        <is>
          <t>KL07CB5642</t>
        </is>
      </c>
      <c r="E2847" s="20" t="inlineStr">
        <is>
          <t>HYUNDAI</t>
        </is>
      </c>
      <c r="F2847" s="20" t="inlineStr">
        <is>
          <t>Eon</t>
        </is>
      </c>
      <c r="G2847" s="21" t="n">
        <v>2014</v>
      </c>
      <c r="H2847" s="22" t="n">
        <v>49677</v>
      </c>
      <c r="I2847" s="23" t="n">
        <v>130000</v>
      </c>
      <c r="J2847" s="20" t="inlineStr">
        <is>
          <t>POPULAR HUNDAI</t>
        </is>
      </c>
      <c r="K2847" s="20" t="inlineStr">
        <is>
          <t>Non-Captive</t>
        </is>
      </c>
      <c r="L2847" s="20" t="inlineStr">
        <is>
          <t>RAFEEK T A</t>
        </is>
      </c>
      <c r="M2847" s="23" t="n">
        <v>8474.58</v>
      </c>
      <c r="N2847" s="23" t="n">
        <v>10000</v>
      </c>
      <c r="O2847" s="24">
        <f>IF(AND(ISNUMBER(M2847), ISNUMBER(I2847), I2847&gt;0), M2847/I2847, "")</f>
        <v/>
      </c>
    </row>
    <row r="2848">
      <c r="A2848" s="19" t="inlineStr">
        <is>
          <t>FY27</t>
        </is>
      </c>
      <c r="B2848" s="19" t="inlineStr">
        <is>
          <t>Jul</t>
        </is>
      </c>
      <c r="C2848" s="19" t="inlineStr">
        <is>
          <t>Kerala</t>
        </is>
      </c>
      <c r="D2848" s="20" t="inlineStr">
        <is>
          <t>KL53K2118</t>
        </is>
      </c>
      <c r="E2848" s="20" t="inlineStr">
        <is>
          <t>MARUTI</t>
        </is>
      </c>
      <c r="F2848" s="20" t="inlineStr">
        <is>
          <t>Celerio</t>
        </is>
      </c>
      <c r="G2848" s="21" t="n">
        <v>2016</v>
      </c>
      <c r="H2848" s="22" t="n">
        <v>48924</v>
      </c>
      <c r="I2848" s="23" t="n">
        <v>375000</v>
      </c>
      <c r="J2848" s="20" t="inlineStr">
        <is>
          <t>POPULAR HYUNDAI</t>
        </is>
      </c>
      <c r="K2848" s="20" t="inlineStr">
        <is>
          <t>Non-Captive</t>
        </is>
      </c>
      <c r="L2848" s="20" t="inlineStr">
        <is>
          <t>UMESHKUMAR T U</t>
        </is>
      </c>
      <c r="M2848" s="23" t="n">
        <v>8474.58</v>
      </c>
      <c r="N2848" s="23" t="n">
        <v>10000</v>
      </c>
      <c r="O2848" s="24">
        <f>IF(AND(ISNUMBER(M2848), ISNUMBER(I2848), I2848&gt;0), M2848/I2848, "")</f>
        <v/>
      </c>
    </row>
    <row r="2849">
      <c r="A2849" s="19" t="inlineStr">
        <is>
          <t>FY27</t>
        </is>
      </c>
      <c r="B2849" s="19" t="inlineStr">
        <is>
          <t>Jul</t>
        </is>
      </c>
      <c r="C2849" s="19" t="inlineStr">
        <is>
          <t>Kerala</t>
        </is>
      </c>
      <c r="D2849" s="20" t="inlineStr">
        <is>
          <t>KL39T6945</t>
        </is>
      </c>
      <c r="E2849" s="20" t="inlineStr">
        <is>
          <t>MARUTI</t>
        </is>
      </c>
      <c r="F2849" s="20" t="inlineStr">
        <is>
          <t>Swift</t>
        </is>
      </c>
      <c r="G2849" s="21" t="n">
        <v>2023</v>
      </c>
      <c r="H2849" s="22" t="n">
        <v>27000</v>
      </c>
      <c r="I2849" s="23" t="n">
        <v>670000</v>
      </c>
      <c r="J2849" s="20" t="inlineStr">
        <is>
          <t>INDUS MARUTI</t>
        </is>
      </c>
      <c r="K2849" s="20" t="inlineStr">
        <is>
          <t>Non-Captive</t>
        </is>
      </c>
      <c r="L2849" s="20" t="inlineStr">
        <is>
          <t>HAVEN MOTORS</t>
        </is>
      </c>
      <c r="M2849" s="23" t="n">
        <v>16949.15</v>
      </c>
      <c r="N2849" s="23" t="n">
        <v>20000</v>
      </c>
      <c r="O2849" s="24">
        <f>IF(AND(ISNUMBER(M2849), ISNUMBER(I2849), I2849&gt;0), M2849/I2849, "")</f>
        <v/>
      </c>
    </row>
    <row r="2850">
      <c r="A2850" s="19" t="inlineStr">
        <is>
          <t>FY27</t>
        </is>
      </c>
      <c r="B2850" s="19" t="inlineStr">
        <is>
          <t>Jul</t>
        </is>
      </c>
      <c r="C2850" s="19" t="inlineStr">
        <is>
          <t>Kerala</t>
        </is>
      </c>
      <c r="D2850" s="20" t="inlineStr">
        <is>
          <t>KL39T9199</t>
        </is>
      </c>
      <c r="E2850" s="20" t="inlineStr">
        <is>
          <t>NISSAN</t>
        </is>
      </c>
      <c r="F2850" s="20" t="inlineStr">
        <is>
          <t>Magnite</t>
        </is>
      </c>
      <c r="G2850" s="21" t="n">
        <v>2023</v>
      </c>
      <c r="H2850" s="22" t="n">
        <v>36269</v>
      </c>
      <c r="I2850" s="23" t="n">
        <v>670000</v>
      </c>
      <c r="J2850" s="20" t="inlineStr">
        <is>
          <t>EVM NISSAN</t>
        </is>
      </c>
      <c r="K2850" s="20" t="inlineStr">
        <is>
          <t>Non-Captive</t>
        </is>
      </c>
      <c r="L2850" s="20" t="inlineStr">
        <is>
          <t>HAVEN MOTORS</t>
        </is>
      </c>
      <c r="M2850" s="23" t="n">
        <v>16949.15</v>
      </c>
      <c r="N2850" s="23" t="n">
        <v>20000</v>
      </c>
      <c r="O2850" s="24">
        <f>IF(AND(ISNUMBER(M2850), ISNUMBER(I2850), I2850&gt;0), M2850/I2850, "")</f>
        <v/>
      </c>
    </row>
    <row r="2851">
      <c r="A2851" s="19" t="inlineStr">
        <is>
          <t>FY27</t>
        </is>
      </c>
      <c r="B2851" s="19" t="inlineStr">
        <is>
          <t>Jul</t>
        </is>
      </c>
      <c r="C2851" s="19" t="inlineStr">
        <is>
          <t>Kerala</t>
        </is>
      </c>
      <c r="D2851" s="20" t="inlineStr">
        <is>
          <t>KL11AK9779</t>
        </is>
      </c>
      <c r="E2851" s="20" t="inlineStr">
        <is>
          <t>HYUNDAI</t>
        </is>
      </c>
      <c r="F2851" s="20" t="inlineStr">
        <is>
          <t>I20</t>
        </is>
      </c>
      <c r="G2851" s="21" t="n">
        <v>2012</v>
      </c>
      <c r="H2851" s="22" t="n">
        <v>131655</v>
      </c>
      <c r="I2851" s="23" t="n">
        <v>90000</v>
      </c>
      <c r="J2851" s="20" t="inlineStr">
        <is>
          <t>POPULAR MARUTI</t>
        </is>
      </c>
      <c r="K2851" s="20" t="inlineStr">
        <is>
          <t>Non-Captive</t>
        </is>
      </c>
      <c r="L2851" s="20" t="inlineStr">
        <is>
          <t>HUSSAIN O E</t>
        </is>
      </c>
      <c r="M2851" s="23" t="n">
        <v>12711.86</v>
      </c>
      <c r="N2851" s="23" t="n">
        <v>15000</v>
      </c>
      <c r="O2851" s="24">
        <f>IF(AND(ISNUMBER(M2851), ISNUMBER(I2851), I2851&gt;0), M2851/I2851, "")</f>
        <v/>
      </c>
    </row>
    <row r="2852">
      <c r="A2852" s="19" t="inlineStr">
        <is>
          <t>FY27</t>
        </is>
      </c>
      <c r="B2852" s="19" t="inlineStr">
        <is>
          <t>Jul</t>
        </is>
      </c>
      <c r="C2852" s="19" t="inlineStr">
        <is>
          <t>Kerala</t>
        </is>
      </c>
      <c r="D2852" s="20" t="inlineStr">
        <is>
          <t>KL41D0980</t>
        </is>
      </c>
      <c r="E2852" s="20" t="inlineStr">
        <is>
          <t>MARUTI</t>
        </is>
      </c>
      <c r="F2852" s="20" t="inlineStr">
        <is>
          <t>Wagonr</t>
        </is>
      </c>
      <c r="G2852" s="21" t="n">
        <v>2010</v>
      </c>
      <c r="H2852" s="22" t="n">
        <v>190000</v>
      </c>
      <c r="I2852" s="23" t="n">
        <v>115000</v>
      </c>
      <c r="J2852" s="20" t="inlineStr">
        <is>
          <t>POPULAR MARUTI</t>
        </is>
      </c>
      <c r="K2852" s="20" t="inlineStr">
        <is>
          <t>Non-Captive</t>
        </is>
      </c>
      <c r="L2852" s="20" t="inlineStr">
        <is>
          <t>HUSSAIN O E</t>
        </is>
      </c>
      <c r="M2852" s="23" t="n">
        <v>12711.86</v>
      </c>
      <c r="N2852" s="23" t="n">
        <v>15000</v>
      </c>
      <c r="O2852" s="24">
        <f>IF(AND(ISNUMBER(M2852), ISNUMBER(I2852), I2852&gt;0), M2852/I2852, "")</f>
        <v/>
      </c>
    </row>
    <row r="2853">
      <c r="A2853" s="19" t="inlineStr">
        <is>
          <t>FY27</t>
        </is>
      </c>
      <c r="B2853" s="19" t="inlineStr">
        <is>
          <t>Jul</t>
        </is>
      </c>
      <c r="C2853" s="19" t="inlineStr">
        <is>
          <t>Kerala</t>
        </is>
      </c>
      <c r="D2853" s="20" t="inlineStr">
        <is>
          <t>KL01CV2325</t>
        </is>
      </c>
      <c r="E2853" s="20" t="inlineStr">
        <is>
          <t>RENAULT</t>
        </is>
      </c>
      <c r="F2853" s="20" t="inlineStr">
        <is>
          <t>Kiger</t>
        </is>
      </c>
      <c r="G2853" s="21" t="n">
        <v>2022</v>
      </c>
      <c r="H2853" s="22" t="n">
        <v>35000</v>
      </c>
      <c r="I2853" s="23" t="n">
        <v>495000</v>
      </c>
      <c r="J2853" s="20" t="inlineStr">
        <is>
          <t>UCD HARIS</t>
        </is>
      </c>
      <c r="K2853" s="20" t="inlineStr">
        <is>
          <t>Non-Captive</t>
        </is>
      </c>
      <c r="L2853" s="20" t="inlineStr">
        <is>
          <t>Varun B Prakash</t>
        </is>
      </c>
      <c r="M2853" s="23" t="n">
        <v>8474.58</v>
      </c>
      <c r="N2853" s="23" t="n">
        <v>10000</v>
      </c>
      <c r="O2853" s="24">
        <f>IF(AND(ISNUMBER(M2853), ISNUMBER(I2853), I2853&gt;0), M2853/I2853, "")</f>
        <v/>
      </c>
    </row>
    <row r="2854">
      <c r="A2854" s="19" t="inlineStr">
        <is>
          <t>FY27</t>
        </is>
      </c>
      <c r="B2854" s="19" t="inlineStr">
        <is>
          <t>Jul</t>
        </is>
      </c>
      <c r="C2854" s="19" t="inlineStr">
        <is>
          <t>Kerala</t>
        </is>
      </c>
      <c r="D2854" s="20" t="inlineStr">
        <is>
          <t>KL13AR2516</t>
        </is>
      </c>
      <c r="E2854" s="20" t="inlineStr">
        <is>
          <t>RENAULT</t>
        </is>
      </c>
      <c r="F2854" s="20" t="inlineStr">
        <is>
          <t>Kwid</t>
        </is>
      </c>
      <c r="G2854" s="21" t="n">
        <v>2020</v>
      </c>
      <c r="H2854" s="22" t="n">
        <v>14000</v>
      </c>
      <c r="I2854" s="23" t="n">
        <v>225000</v>
      </c>
      <c r="J2854" s="20" t="inlineStr">
        <is>
          <t>VARUN UCD</t>
        </is>
      </c>
      <c r="K2854" s="20" t="inlineStr">
        <is>
          <t>Non-Captive</t>
        </is>
      </c>
      <c r="L2854" s="20" t="inlineStr">
        <is>
          <t>SANOOP</t>
        </is>
      </c>
      <c r="M2854" s="23" t="n">
        <v>4237.29</v>
      </c>
      <c r="N2854" s="23" t="n">
        <v>5000</v>
      </c>
      <c r="O2854" s="24">
        <f>IF(AND(ISNUMBER(M2854), ISNUMBER(I2854), I2854&gt;0), M2854/I2854, "")</f>
        <v/>
      </c>
    </row>
    <row r="2855">
      <c r="A2855" s="19" t="inlineStr">
        <is>
          <t>FY27</t>
        </is>
      </c>
      <c r="B2855" s="19" t="inlineStr">
        <is>
          <t>Jul</t>
        </is>
      </c>
      <c r="C2855" s="19" t="inlineStr">
        <is>
          <t>Kerala</t>
        </is>
      </c>
      <c r="D2855" s="20" t="inlineStr">
        <is>
          <t>KL60L2325</t>
        </is>
      </c>
      <c r="E2855" s="20" t="inlineStr">
        <is>
          <t>FORD</t>
        </is>
      </c>
      <c r="F2855" s="20" t="inlineStr">
        <is>
          <t>Aspire</t>
        </is>
      </c>
      <c r="G2855" s="21" t="n">
        <v>2016</v>
      </c>
      <c r="H2855" s="22" t="n">
        <v>99000</v>
      </c>
      <c r="I2855" s="23" t="n">
        <v>180000</v>
      </c>
      <c r="J2855" s="20" t="inlineStr">
        <is>
          <t>UCD HARIS</t>
        </is>
      </c>
      <c r="K2855" s="20" t="inlineStr">
        <is>
          <t>Non-Captive</t>
        </is>
      </c>
      <c r="L2855" s="20" t="inlineStr">
        <is>
          <t>SANOOP</t>
        </is>
      </c>
      <c r="M2855" s="23" t="n">
        <v>4237.29</v>
      </c>
      <c r="N2855" s="23" t="n">
        <v>5000</v>
      </c>
      <c r="O2855" s="24">
        <f>IF(AND(ISNUMBER(M2855), ISNUMBER(I2855), I2855&gt;0), M2855/I2855, "")</f>
        <v/>
      </c>
    </row>
    <row r="2856">
      <c r="A2856" s="19" t="inlineStr">
        <is>
          <t>FY27</t>
        </is>
      </c>
      <c r="B2856" s="19" t="inlineStr">
        <is>
          <t>Jul</t>
        </is>
      </c>
      <c r="C2856" s="19" t="inlineStr">
        <is>
          <t>Kerala</t>
        </is>
      </c>
      <c r="D2856" s="20" t="inlineStr">
        <is>
          <t>KL11AX3449</t>
        </is>
      </c>
      <c r="E2856" s="20" t="inlineStr">
        <is>
          <t>MARUTI</t>
        </is>
      </c>
      <c r="F2856" s="20" t="inlineStr">
        <is>
          <t>Wagonr</t>
        </is>
      </c>
      <c r="G2856" s="21" t="n">
        <v>2014</v>
      </c>
      <c r="H2856" s="22" t="n">
        <v>102000</v>
      </c>
      <c r="I2856" s="23" t="n">
        <v>222000</v>
      </c>
      <c r="J2856" s="20" t="inlineStr">
        <is>
          <t>POPULAR MARUTI</t>
        </is>
      </c>
      <c r="K2856" s="20" t="inlineStr">
        <is>
          <t>Non-Captive</t>
        </is>
      </c>
      <c r="L2856" s="20" t="inlineStr">
        <is>
          <t>MUHAMMED NISAB</t>
        </is>
      </c>
      <c r="M2856" s="23" t="n">
        <v>5932.2</v>
      </c>
      <c r="N2856" s="23" t="n">
        <v>7000</v>
      </c>
      <c r="O2856" s="24">
        <f>IF(AND(ISNUMBER(M2856), ISNUMBER(I2856), I2856&gt;0), M2856/I2856, "")</f>
        <v/>
      </c>
    </row>
    <row r="2857">
      <c r="A2857" s="19" t="inlineStr">
        <is>
          <t>FY27</t>
        </is>
      </c>
      <c r="B2857" s="19" t="inlineStr">
        <is>
          <t>Jul</t>
        </is>
      </c>
      <c r="C2857" s="19" t="inlineStr">
        <is>
          <t>Kerala</t>
        </is>
      </c>
      <c r="D2857" s="20" t="inlineStr">
        <is>
          <t>KL11AY9733</t>
        </is>
      </c>
      <c r="E2857" s="20" t="inlineStr">
        <is>
          <t>MARUTI</t>
        </is>
      </c>
      <c r="F2857" s="20" t="inlineStr">
        <is>
          <t>Celerio</t>
        </is>
      </c>
      <c r="G2857" s="21" t="n">
        <v>2015</v>
      </c>
      <c r="H2857" s="22" t="n">
        <v>56000</v>
      </c>
      <c r="I2857" s="23" t="n">
        <v>290000</v>
      </c>
      <c r="J2857" s="20" t="inlineStr">
        <is>
          <t>AMANA TOYOTA</t>
        </is>
      </c>
      <c r="K2857" s="20" t="inlineStr">
        <is>
          <t>Non-Captive</t>
        </is>
      </c>
      <c r="L2857" s="20" t="inlineStr">
        <is>
          <t>MUHAMMED NISAB</t>
        </is>
      </c>
      <c r="M2857" s="23" t="n">
        <v>4237.29</v>
      </c>
      <c r="N2857" s="23" t="n">
        <v>5000</v>
      </c>
      <c r="O2857" s="24">
        <f>IF(AND(ISNUMBER(M2857), ISNUMBER(I2857), I2857&gt;0), M2857/I2857, "")</f>
        <v/>
      </c>
    </row>
    <row r="2858">
      <c r="A2858" s="19" t="inlineStr">
        <is>
          <t>FY27</t>
        </is>
      </c>
      <c r="B2858" s="19" t="inlineStr">
        <is>
          <t>Jul</t>
        </is>
      </c>
      <c r="C2858" s="19" t="inlineStr">
        <is>
          <t>Kerala</t>
        </is>
      </c>
      <c r="D2858" s="20" t="inlineStr">
        <is>
          <t>KL13S5953</t>
        </is>
      </c>
      <c r="E2858" s="20" t="inlineStr">
        <is>
          <t>HYUNDAI</t>
        </is>
      </c>
      <c r="F2858" s="20" t="inlineStr">
        <is>
          <t>Santro</t>
        </is>
      </c>
      <c r="G2858" s="21" t="n">
        <v>2008</v>
      </c>
      <c r="H2858" s="22" t="n">
        <v>86000</v>
      </c>
      <c r="I2858" s="23" t="n">
        <v>60000</v>
      </c>
      <c r="J2858" s="20" t="inlineStr">
        <is>
          <t>APCO HYUNDAI</t>
        </is>
      </c>
      <c r="K2858" s="20" t="inlineStr">
        <is>
          <t>Non-Captive</t>
        </is>
      </c>
      <c r="L2858" s="20" t="inlineStr">
        <is>
          <t>ANOOP AUGUSTINE</t>
        </is>
      </c>
      <c r="M2858" s="23" t="n">
        <v>4237.29</v>
      </c>
      <c r="N2858" s="23" t="n">
        <v>5000</v>
      </c>
      <c r="O2858" s="24">
        <f>IF(AND(ISNUMBER(M2858), ISNUMBER(I2858), I2858&gt;0), M2858/I2858, "")</f>
        <v/>
      </c>
    </row>
    <row r="2859">
      <c r="A2859" s="19" t="inlineStr">
        <is>
          <t>FY27</t>
        </is>
      </c>
      <c r="B2859" s="19" t="inlineStr">
        <is>
          <t>Jul</t>
        </is>
      </c>
      <c r="C2859" s="19" t="inlineStr">
        <is>
          <t>Kerala</t>
        </is>
      </c>
      <c r="D2859" s="20" t="inlineStr">
        <is>
          <t>KL59S9879</t>
        </is>
      </c>
      <c r="E2859" s="20" t="inlineStr">
        <is>
          <t>TATA</t>
        </is>
      </c>
      <c r="F2859" s="20" t="inlineStr">
        <is>
          <t>Tiago</t>
        </is>
      </c>
      <c r="G2859" s="21" t="n">
        <v>2018</v>
      </c>
      <c r="H2859" s="22" t="n">
        <v>120000</v>
      </c>
      <c r="I2859" s="23" t="n">
        <v>260000</v>
      </c>
      <c r="J2859" s="20" t="inlineStr">
        <is>
          <t>KVR TATA</t>
        </is>
      </c>
      <c r="K2859" s="20" t="inlineStr">
        <is>
          <t>Non-Captive</t>
        </is>
      </c>
      <c r="L2859" s="20" t="inlineStr">
        <is>
          <t>PRAJOSH AM</t>
        </is>
      </c>
      <c r="M2859" s="23" t="n">
        <v>4237.29</v>
      </c>
      <c r="N2859" s="23" t="n">
        <v>5000</v>
      </c>
      <c r="O2859" s="24">
        <f>IF(AND(ISNUMBER(M2859), ISNUMBER(I2859), I2859&gt;0), M2859/I2859, "")</f>
        <v/>
      </c>
    </row>
    <row r="2860">
      <c r="A2860" s="19" t="inlineStr">
        <is>
          <t>FY27</t>
        </is>
      </c>
      <c r="B2860" s="19" t="inlineStr">
        <is>
          <t>Jul</t>
        </is>
      </c>
      <c r="C2860" s="19" t="inlineStr">
        <is>
          <t>Kerala</t>
        </is>
      </c>
      <c r="D2860" s="20" t="inlineStr">
        <is>
          <t>KL607190</t>
        </is>
      </c>
      <c r="E2860" s="20" t="inlineStr">
        <is>
          <t>MARUTI</t>
        </is>
      </c>
      <c r="F2860" s="20" t="inlineStr">
        <is>
          <t>Swift</t>
        </is>
      </c>
      <c r="G2860" s="21" t="n">
        <v>2007</v>
      </c>
      <c r="H2860" s="22" t="n">
        <v>190000</v>
      </c>
      <c r="I2860" s="23" t="n">
        <v>60000</v>
      </c>
      <c r="J2860" s="20" t="inlineStr">
        <is>
          <t>BIMAL</t>
        </is>
      </c>
      <c r="K2860" s="20" t="inlineStr">
        <is>
          <t>Non-Captive</t>
        </is>
      </c>
      <c r="L2860" s="20" t="inlineStr">
        <is>
          <t>JIMMY</t>
        </is>
      </c>
      <c r="M2860" s="23" t="n">
        <v>4237.29</v>
      </c>
      <c r="N2860" s="23" t="n">
        <v>5000</v>
      </c>
      <c r="O2860" s="24">
        <f>IF(AND(ISNUMBER(M2860), ISNUMBER(I2860), I2860&gt;0), M2860/I2860, "")</f>
        <v/>
      </c>
    </row>
    <row r="2861">
      <c r="A2861" s="19" t="inlineStr">
        <is>
          <t>FY27</t>
        </is>
      </c>
      <c r="B2861" s="19" t="inlineStr">
        <is>
          <t>Jul</t>
        </is>
      </c>
      <c r="C2861" s="19" t="inlineStr">
        <is>
          <t>Kerala</t>
        </is>
      </c>
      <c r="D2861" s="20" t="inlineStr">
        <is>
          <t>KL86B6134</t>
        </is>
      </c>
      <c r="E2861" s="20" t="inlineStr">
        <is>
          <t>RENAULT</t>
        </is>
      </c>
      <c r="F2861" s="20" t="inlineStr">
        <is>
          <t>Kiger</t>
        </is>
      </c>
      <c r="G2861" s="21" t="n">
        <v>2023</v>
      </c>
      <c r="H2861" s="22" t="n">
        <v>45000</v>
      </c>
      <c r="I2861" s="23" t="n">
        <v>455000</v>
      </c>
      <c r="J2861" s="20" t="inlineStr">
        <is>
          <t>APCO HYUNDAI</t>
        </is>
      </c>
      <c r="K2861" s="20" t="inlineStr">
        <is>
          <t>Non-Captive</t>
        </is>
      </c>
      <c r="L2861" s="20" t="inlineStr">
        <is>
          <t>Varun B Prakash</t>
        </is>
      </c>
      <c r="M2861" s="23" t="n">
        <v>4237.29</v>
      </c>
      <c r="N2861" s="23" t="n">
        <v>5000</v>
      </c>
      <c r="O2861" s="24">
        <f>IF(AND(ISNUMBER(M2861), ISNUMBER(I2861), I2861&gt;0), M2861/I2861, "")</f>
        <v/>
      </c>
    </row>
    <row r="2862">
      <c r="A2862" s="19" t="inlineStr">
        <is>
          <t>FY27</t>
        </is>
      </c>
      <c r="B2862" s="19" t="inlineStr">
        <is>
          <t>Jul</t>
        </is>
      </c>
      <c r="C2862" s="19" t="inlineStr">
        <is>
          <t>Kerala</t>
        </is>
      </c>
      <c r="D2862" s="20" t="inlineStr">
        <is>
          <t>KL73C6458</t>
        </is>
      </c>
      <c r="E2862" s="20" t="inlineStr">
        <is>
          <t>RENAULT</t>
        </is>
      </c>
      <c r="F2862" s="20" t="inlineStr">
        <is>
          <t>Duster</t>
        </is>
      </c>
      <c r="G2862" s="21" t="n">
        <v>2019</v>
      </c>
      <c r="H2862" s="22" t="n">
        <v>137000</v>
      </c>
      <c r="I2862" s="23" t="n">
        <v>505000</v>
      </c>
      <c r="J2862" s="20" t="inlineStr">
        <is>
          <t>ERAM MAHINDRA</t>
        </is>
      </c>
      <c r="K2862" s="20" t="inlineStr">
        <is>
          <t>Non-Captive</t>
        </is>
      </c>
      <c r="L2862" s="20" t="inlineStr">
        <is>
          <t>RAYON</t>
        </is>
      </c>
      <c r="M2862" s="23" t="n">
        <v>8474.58</v>
      </c>
      <c r="N2862" s="23" t="n">
        <v>10000</v>
      </c>
      <c r="O2862" s="24">
        <f>IF(AND(ISNUMBER(M2862), ISNUMBER(I2862), I2862&gt;0), M2862/I2862, "")</f>
        <v/>
      </c>
    </row>
    <row r="2863">
      <c r="A2863" s="19" t="inlineStr">
        <is>
          <t>FY27</t>
        </is>
      </c>
      <c r="B2863" s="19" t="inlineStr">
        <is>
          <t>Jul</t>
        </is>
      </c>
      <c r="C2863" s="19" t="inlineStr">
        <is>
          <t>Kerala</t>
        </is>
      </c>
      <c r="D2863" s="20" t="inlineStr">
        <is>
          <t>KL13BW8304</t>
        </is>
      </c>
      <c r="E2863" s="20" t="inlineStr">
        <is>
          <t>MAHINDRA</t>
        </is>
      </c>
      <c r="F2863" s="20" t="inlineStr">
        <is>
          <t>Xuv</t>
        </is>
      </c>
      <c r="G2863" s="21" t="n">
        <v>2022</v>
      </c>
      <c r="H2863" s="22" t="n">
        <v>89000</v>
      </c>
      <c r="I2863" s="23" t="n">
        <v>990000</v>
      </c>
      <c r="J2863" s="20" t="inlineStr">
        <is>
          <t>EVM</t>
        </is>
      </c>
      <c r="K2863" s="20" t="inlineStr">
        <is>
          <t>Non-Captive</t>
        </is>
      </c>
      <c r="L2863" s="20" t="inlineStr">
        <is>
          <t>ADERSH MAY BACK MOTORS</t>
        </is>
      </c>
      <c r="M2863" s="23" t="n">
        <v>8474.58</v>
      </c>
      <c r="N2863" s="23" t="n">
        <v>10000</v>
      </c>
      <c r="O2863" s="24">
        <f>IF(AND(ISNUMBER(M2863), ISNUMBER(I2863), I2863&gt;0), M2863/I2863, "")</f>
        <v/>
      </c>
    </row>
    <row r="2864">
      <c r="A2864" s="19" t="inlineStr">
        <is>
          <t>FY27</t>
        </is>
      </c>
      <c r="B2864" s="19" t="inlineStr">
        <is>
          <t>Jul</t>
        </is>
      </c>
      <c r="C2864" s="19" t="inlineStr">
        <is>
          <t>Kerala</t>
        </is>
      </c>
      <c r="D2864" s="20" t="inlineStr">
        <is>
          <t>KL11Y8689</t>
        </is>
      </c>
      <c r="E2864" s="20" t="inlineStr">
        <is>
          <t>MARUTI</t>
        </is>
      </c>
      <c r="F2864" s="20" t="inlineStr">
        <is>
          <t>Alto</t>
        </is>
      </c>
      <c r="G2864" s="21" t="n">
        <v>2006</v>
      </c>
      <c r="H2864" s="22" t="n">
        <v>75458</v>
      </c>
      <c r="I2864" s="23" t="n">
        <v>35000</v>
      </c>
      <c r="J2864" s="20" t="inlineStr">
        <is>
          <t>EVM CITROEN</t>
        </is>
      </c>
      <c r="K2864" s="20" t="inlineStr">
        <is>
          <t>Non-Captive</t>
        </is>
      </c>
      <c r="L2864" s="20" t="inlineStr">
        <is>
          <t>AFSAL A</t>
        </is>
      </c>
      <c r="M2864" s="23" t="n">
        <v>8474.58</v>
      </c>
      <c r="N2864" s="23" t="n">
        <v>10000</v>
      </c>
      <c r="O2864" s="24">
        <f>IF(AND(ISNUMBER(M2864), ISNUMBER(I2864), I2864&gt;0), M2864/I2864, "")</f>
        <v/>
      </c>
    </row>
    <row r="2865">
      <c r="A2865" s="19" t="inlineStr">
        <is>
          <t>FY27</t>
        </is>
      </c>
      <c r="B2865" s="19" t="inlineStr">
        <is>
          <t>Jul</t>
        </is>
      </c>
      <c r="C2865" s="19" t="inlineStr">
        <is>
          <t>Kerala</t>
        </is>
      </c>
      <c r="D2865" s="20" t="inlineStr">
        <is>
          <t>KL467277</t>
        </is>
      </c>
      <c r="E2865" s="20" t="inlineStr">
        <is>
          <t>MARUTI</t>
        </is>
      </c>
      <c r="F2865" s="20" t="inlineStr">
        <is>
          <t>Alto</t>
        </is>
      </c>
      <c r="G2865" s="21" t="n">
        <v>2007</v>
      </c>
      <c r="H2865" s="22" t="n">
        <v>96463</v>
      </c>
      <c r="I2865" s="23" t="n">
        <v>42500</v>
      </c>
      <c r="J2865" s="20" t="inlineStr">
        <is>
          <t>POPULAR MARUTI</t>
        </is>
      </c>
      <c r="K2865" s="20" t="inlineStr">
        <is>
          <t>Non-Captive</t>
        </is>
      </c>
      <c r="L2865" s="20" t="inlineStr">
        <is>
          <t>AFSAL A</t>
        </is>
      </c>
      <c r="M2865" s="23" t="n">
        <v>10593.22</v>
      </c>
      <c r="N2865" s="23" t="n">
        <v>12500</v>
      </c>
      <c r="O2865" s="24">
        <f>IF(AND(ISNUMBER(M2865), ISNUMBER(I2865), I2865&gt;0), M2865/I2865, "")</f>
        <v/>
      </c>
    </row>
    <row r="2866">
      <c r="A2866" s="19" t="inlineStr">
        <is>
          <t>FY27</t>
        </is>
      </c>
      <c r="B2866" s="19" t="inlineStr">
        <is>
          <t>Jul</t>
        </is>
      </c>
      <c r="C2866" s="19" t="inlineStr">
        <is>
          <t>Kerala</t>
        </is>
      </c>
      <c r="D2866" s="20" t="inlineStr">
        <is>
          <t>KL43M8844</t>
        </is>
      </c>
      <c r="E2866" s="20" t="inlineStr">
        <is>
          <t>HONDA</t>
        </is>
      </c>
      <c r="F2866" s="20" t="inlineStr">
        <is>
          <t>Amaze</t>
        </is>
      </c>
      <c r="G2866" s="21" t="n">
        <v>2020</v>
      </c>
      <c r="H2866" s="22" t="n">
        <v>35890</v>
      </c>
      <c r="I2866" s="23" t="n">
        <v>435000</v>
      </c>
      <c r="J2866" s="20" t="inlineStr">
        <is>
          <t>MAIJO MARUTI</t>
        </is>
      </c>
      <c r="K2866" s="20" t="inlineStr">
        <is>
          <t>Non-Captive</t>
        </is>
      </c>
      <c r="L2866" s="20" t="inlineStr">
        <is>
          <t>VTJ</t>
        </is>
      </c>
      <c r="M2866" s="23" t="n">
        <v>12711.86</v>
      </c>
      <c r="N2866" s="23" t="n">
        <v>15000</v>
      </c>
      <c r="O2866" s="24">
        <f>IF(AND(ISNUMBER(M2866), ISNUMBER(I2866), I2866&gt;0), M2866/I2866, "")</f>
        <v/>
      </c>
    </row>
    <row r="2867">
      <c r="A2867" s="19" t="inlineStr">
        <is>
          <t>FY27</t>
        </is>
      </c>
      <c r="B2867" s="19" t="inlineStr">
        <is>
          <t>Jul</t>
        </is>
      </c>
      <c r="C2867" s="19" t="inlineStr">
        <is>
          <t>Kerala</t>
        </is>
      </c>
      <c r="D2867" s="20" t="inlineStr">
        <is>
          <t>KL07CW7942</t>
        </is>
      </c>
      <c r="E2867" s="20" t="inlineStr">
        <is>
          <t>TATA</t>
        </is>
      </c>
      <c r="F2867" s="20" t="inlineStr">
        <is>
          <t>Tiago</t>
        </is>
      </c>
      <c r="G2867" s="21" t="n">
        <v>2021</v>
      </c>
      <c r="H2867" s="22" t="n">
        <v>26832</v>
      </c>
      <c r="I2867" s="23" t="n">
        <v>430000</v>
      </c>
      <c r="J2867" s="20" t="inlineStr">
        <is>
          <t>EVM SKODA</t>
        </is>
      </c>
      <c r="K2867" s="20" t="inlineStr">
        <is>
          <t>Non-Captive</t>
        </is>
      </c>
      <c r="L2867" s="20" t="inlineStr">
        <is>
          <t>AITO CARS</t>
        </is>
      </c>
      <c r="M2867" s="23" t="n">
        <v>8474.58</v>
      </c>
      <c r="N2867" s="23" t="n">
        <v>10000</v>
      </c>
      <c r="O2867" s="24">
        <f>IF(AND(ISNUMBER(M2867), ISNUMBER(I2867), I2867&gt;0), M2867/I2867, "")</f>
        <v/>
      </c>
    </row>
    <row r="2868">
      <c r="A2868" s="19" t="inlineStr">
        <is>
          <t>FY27</t>
        </is>
      </c>
      <c r="B2868" s="19" t="inlineStr">
        <is>
          <t>Jul</t>
        </is>
      </c>
      <c r="C2868" s="19" t="inlineStr">
        <is>
          <t>Kerala</t>
        </is>
      </c>
      <c r="D2868" s="20" t="inlineStr">
        <is>
          <t>KL40X0721</t>
        </is>
      </c>
      <c r="E2868" s="20" t="inlineStr">
        <is>
          <t>TOYOTA</t>
        </is>
      </c>
      <c r="F2868" s="20" t="inlineStr">
        <is>
          <t>Glanza</t>
        </is>
      </c>
      <c r="G2868" s="21" t="n">
        <v>2025</v>
      </c>
      <c r="H2868" s="22" t="n">
        <v>12689</v>
      </c>
      <c r="I2868" s="23" t="n">
        <v>910000</v>
      </c>
      <c r="J2868" s="20" t="inlineStr">
        <is>
          <t>GOKULAM TATA</t>
        </is>
      </c>
      <c r="K2868" s="20" t="inlineStr">
        <is>
          <t>Non-Captive</t>
        </is>
      </c>
      <c r="L2868" s="20" t="inlineStr">
        <is>
          <t>AUTO BOT</t>
        </is>
      </c>
      <c r="M2868" s="23" t="n">
        <v>8474.58</v>
      </c>
      <c r="N2868" s="23" t="n">
        <v>10000</v>
      </c>
      <c r="O2868" s="24">
        <f>IF(AND(ISNUMBER(M2868), ISNUMBER(I2868), I2868&gt;0), M2868/I2868, "")</f>
        <v/>
      </c>
    </row>
    <row r="2869">
      <c r="A2869" s="19" t="inlineStr">
        <is>
          <t>FY27</t>
        </is>
      </c>
      <c r="B2869" s="19" t="inlineStr">
        <is>
          <t>Jul</t>
        </is>
      </c>
      <c r="C2869" s="19" t="inlineStr">
        <is>
          <t>Kerala</t>
        </is>
      </c>
      <c r="D2869" s="20" t="inlineStr">
        <is>
          <t>KL04Y8457</t>
        </is>
      </c>
      <c r="E2869" s="20" t="inlineStr">
        <is>
          <t>HYUNDAI</t>
        </is>
      </c>
      <c r="F2869" s="20" t="inlineStr">
        <is>
          <t>Santro</t>
        </is>
      </c>
      <c r="G2869" s="21" t="n">
        <v>2009</v>
      </c>
      <c r="H2869" s="22" t="n">
        <v>109730</v>
      </c>
      <c r="I2869" s="23" t="n">
        <v>70000</v>
      </c>
      <c r="J2869" s="20" t="inlineStr">
        <is>
          <t>POPULAR HYUNDAI</t>
        </is>
      </c>
      <c r="K2869" s="20" t="inlineStr">
        <is>
          <t>Non-Captive</t>
        </is>
      </c>
      <c r="L2869" s="20" t="inlineStr">
        <is>
          <t>HUSSAIN O E</t>
        </is>
      </c>
      <c r="M2869" s="23" t="n">
        <v>8474.58</v>
      </c>
      <c r="N2869" s="23" t="n">
        <v>10000</v>
      </c>
      <c r="O2869" s="24">
        <f>IF(AND(ISNUMBER(M2869), ISNUMBER(I2869), I2869&gt;0), M2869/I2869, "")</f>
        <v/>
      </c>
    </row>
    <row r="2870">
      <c r="A2870" s="19" t="inlineStr">
        <is>
          <t>FY27</t>
        </is>
      </c>
      <c r="B2870" s="19" t="inlineStr">
        <is>
          <t>Jul</t>
        </is>
      </c>
      <c r="C2870" s="19" t="inlineStr">
        <is>
          <t>Kerala</t>
        </is>
      </c>
      <c r="D2870" s="20" t="inlineStr">
        <is>
          <t>KL05AE1535</t>
        </is>
      </c>
      <c r="E2870" s="20" t="inlineStr">
        <is>
          <t>MARUTI</t>
        </is>
      </c>
      <c r="F2870" s="20" t="inlineStr">
        <is>
          <t>Dzire</t>
        </is>
      </c>
      <c r="G2870" s="21" t="n">
        <v>2012</v>
      </c>
      <c r="H2870" s="22" t="n">
        <v>189768</v>
      </c>
      <c r="I2870" s="23" t="n">
        <v>190000</v>
      </c>
      <c r="J2870" s="20" t="inlineStr">
        <is>
          <t>POPULAR MARUTI</t>
        </is>
      </c>
      <c r="K2870" s="20" t="inlineStr">
        <is>
          <t>Non-Captive</t>
        </is>
      </c>
      <c r="L2870" s="20" t="inlineStr">
        <is>
          <t>SIJO THOMAS</t>
        </is>
      </c>
      <c r="M2870" s="23" t="n">
        <v>12711.86</v>
      </c>
      <c r="N2870" s="23" t="n">
        <v>15000</v>
      </c>
      <c r="O2870" s="24">
        <f>IF(AND(ISNUMBER(M2870), ISNUMBER(I2870), I2870&gt;0), M2870/I2870, "")</f>
        <v/>
      </c>
    </row>
    <row r="2871">
      <c r="A2871" s="19" t="inlineStr">
        <is>
          <t>FY27</t>
        </is>
      </c>
      <c r="B2871" s="19" t="inlineStr">
        <is>
          <t>Jul</t>
        </is>
      </c>
      <c r="C2871" s="19" t="inlineStr">
        <is>
          <t>Kerala</t>
        </is>
      </c>
      <c r="D2871" s="20" t="inlineStr">
        <is>
          <t>KL13Z1718</t>
        </is>
      </c>
      <c r="E2871" s="20" t="inlineStr">
        <is>
          <t>RENAULT</t>
        </is>
      </c>
      <c r="F2871" s="20" t="inlineStr">
        <is>
          <t>Duster</t>
        </is>
      </c>
      <c r="G2871" s="21" t="n">
        <v>2012</v>
      </c>
      <c r="H2871" s="22" t="n">
        <v>171000</v>
      </c>
      <c r="I2871" s="23" t="n">
        <v>165000</v>
      </c>
      <c r="J2871" s="20" t="inlineStr">
        <is>
          <t>EVM SKODA</t>
        </is>
      </c>
      <c r="K2871" s="20" t="inlineStr">
        <is>
          <t>Non-Captive</t>
        </is>
      </c>
      <c r="L2871" s="20" t="inlineStr">
        <is>
          <t>Illiyas Aboobacker</t>
        </is>
      </c>
      <c r="M2871" s="23" t="n">
        <v>4237.29</v>
      </c>
      <c r="N2871" s="23" t="n">
        <v>5000</v>
      </c>
      <c r="O2871" s="24">
        <f>IF(AND(ISNUMBER(M2871), ISNUMBER(I2871), I2871&gt;0), M2871/I2871, "")</f>
        <v/>
      </c>
    </row>
    <row r="2872">
      <c r="A2872" s="19" t="inlineStr">
        <is>
          <t>FY27</t>
        </is>
      </c>
      <c r="B2872" s="19" t="inlineStr">
        <is>
          <t>Jul</t>
        </is>
      </c>
      <c r="C2872" s="19" t="inlineStr">
        <is>
          <t>Kerala</t>
        </is>
      </c>
      <c r="D2872" s="20" t="inlineStr">
        <is>
          <t>KL02AA6406</t>
        </is>
      </c>
      <c r="E2872" s="20" t="inlineStr">
        <is>
          <t>MARUTI</t>
        </is>
      </c>
      <c r="F2872" s="20" t="inlineStr">
        <is>
          <t>Wagonr</t>
        </is>
      </c>
      <c r="G2872" s="21" t="n">
        <v>2007</v>
      </c>
      <c r="H2872" s="22" t="n">
        <v>188000</v>
      </c>
      <c r="I2872" s="23" t="n">
        <v>60000</v>
      </c>
      <c r="J2872" s="20" t="inlineStr">
        <is>
          <t>LUXON TATA</t>
        </is>
      </c>
      <c r="K2872" s="20" t="inlineStr">
        <is>
          <t>Non-Captive</t>
        </is>
      </c>
      <c r="L2872" s="20" t="inlineStr">
        <is>
          <t>AKHILNATH</t>
        </is>
      </c>
      <c r="M2872" s="23" t="n">
        <v>5932.2</v>
      </c>
      <c r="N2872" s="23" t="n">
        <v>7000</v>
      </c>
      <c r="O2872" s="24">
        <f>IF(AND(ISNUMBER(M2872), ISNUMBER(I2872), I2872&gt;0), M2872/I2872, "")</f>
        <v/>
      </c>
    </row>
    <row r="2873">
      <c r="A2873" s="19" t="inlineStr">
        <is>
          <t>FY27</t>
        </is>
      </c>
      <c r="B2873" s="19" t="inlineStr">
        <is>
          <t>Jul</t>
        </is>
      </c>
      <c r="C2873" s="19" t="inlineStr">
        <is>
          <t>Kerala</t>
        </is>
      </c>
      <c r="D2873" s="20" t="inlineStr">
        <is>
          <t>KL24F1272</t>
        </is>
      </c>
      <c r="E2873" s="20" t="inlineStr">
        <is>
          <t>HYUNDAI</t>
        </is>
      </c>
      <c r="F2873" s="20" t="inlineStr">
        <is>
          <t>I 10</t>
        </is>
      </c>
      <c r="G2873" s="21" t="n">
        <v>2012</v>
      </c>
      <c r="H2873" s="22" t="n">
        <v>84000</v>
      </c>
      <c r="I2873" s="23" t="n">
        <v>76000</v>
      </c>
      <c r="J2873" s="20" t="inlineStr">
        <is>
          <t>INDUS MARUTI</t>
        </is>
      </c>
      <c r="K2873" s="20" t="inlineStr">
        <is>
          <t>Non-Captive</t>
        </is>
      </c>
      <c r="L2873" s="20" t="inlineStr">
        <is>
          <t>Renjith SJ</t>
        </is>
      </c>
      <c r="M2873" s="23" t="n">
        <v>5084.75</v>
      </c>
      <c r="N2873" s="23" t="n">
        <v>6000</v>
      </c>
      <c r="O2873" s="24">
        <f>IF(AND(ISNUMBER(M2873), ISNUMBER(I2873), I2873&gt;0), M2873/I2873, "")</f>
        <v/>
      </c>
    </row>
    <row r="2874">
      <c r="A2874" s="19" t="inlineStr">
        <is>
          <t>FY27</t>
        </is>
      </c>
      <c r="B2874" s="19" t="inlineStr">
        <is>
          <t>Jul</t>
        </is>
      </c>
      <c r="C2874" s="19" t="inlineStr">
        <is>
          <t>Kerala</t>
        </is>
      </c>
      <c r="D2874" s="20" t="inlineStr">
        <is>
          <t>KL38J5463</t>
        </is>
      </c>
      <c r="E2874" s="20" t="inlineStr">
        <is>
          <t>TATA</t>
        </is>
      </c>
      <c r="F2874" s="20" t="inlineStr">
        <is>
          <t>Nexon</t>
        </is>
      </c>
      <c r="G2874" s="21" t="n">
        <v>2021</v>
      </c>
      <c r="H2874" s="22" t="n">
        <v>1183101</v>
      </c>
      <c r="I2874" s="23" t="n">
        <v>510000</v>
      </c>
      <c r="J2874" s="20" t="inlineStr">
        <is>
          <t>INCHEON KIA</t>
        </is>
      </c>
      <c r="K2874" s="20" t="inlineStr">
        <is>
          <t>Non-Captive</t>
        </is>
      </c>
      <c r="L2874" s="20" t="inlineStr">
        <is>
          <t>RASIK RAHIM</t>
        </is>
      </c>
      <c r="M2874" s="23" t="n">
        <v>8474.58</v>
      </c>
      <c r="N2874" s="23" t="n">
        <v>10000</v>
      </c>
      <c r="O2874" s="24">
        <f>IF(AND(ISNUMBER(M2874), ISNUMBER(I2874), I2874&gt;0), M2874/I2874, "")</f>
        <v/>
      </c>
    </row>
    <row r="2875">
      <c r="A2875" s="19" t="inlineStr">
        <is>
          <t>FY27</t>
        </is>
      </c>
      <c r="B2875" s="19" t="inlineStr">
        <is>
          <t>Jul</t>
        </is>
      </c>
      <c r="C2875" s="19" t="inlineStr">
        <is>
          <t>Kerala</t>
        </is>
      </c>
      <c r="D2875" s="20" t="inlineStr">
        <is>
          <t>KL34H5945</t>
        </is>
      </c>
      <c r="E2875" s="20" t="inlineStr">
        <is>
          <t>KIA</t>
        </is>
      </c>
      <c r="F2875" s="20" t="inlineStr">
        <is>
          <t>Sonet</t>
        </is>
      </c>
      <c r="G2875" s="21" t="n">
        <v>2023</v>
      </c>
      <c r="H2875" s="22" t="n">
        <v>105000</v>
      </c>
      <c r="I2875" s="23" t="n">
        <v>720000</v>
      </c>
      <c r="J2875" s="20" t="inlineStr">
        <is>
          <t>ALBIN</t>
        </is>
      </c>
      <c r="K2875" s="20" t="inlineStr">
        <is>
          <t>Non-Captive</t>
        </is>
      </c>
      <c r="L2875" s="20" t="inlineStr">
        <is>
          <t>SANOOB V A</t>
        </is>
      </c>
      <c r="M2875" s="23" t="n">
        <v>8474.58</v>
      </c>
      <c r="N2875" s="23" t="n">
        <v>10000</v>
      </c>
      <c r="O2875" s="24">
        <f>IF(AND(ISNUMBER(M2875), ISNUMBER(I2875), I2875&gt;0), M2875/I2875, "")</f>
        <v/>
      </c>
    </row>
    <row r="2876">
      <c r="A2876" s="19" t="inlineStr">
        <is>
          <t>FY27</t>
        </is>
      </c>
      <c r="B2876" s="19" t="inlineStr">
        <is>
          <t>Jul</t>
        </is>
      </c>
      <c r="C2876" s="19" t="inlineStr">
        <is>
          <t>Kerala</t>
        </is>
      </c>
      <c r="D2876" s="20" t="inlineStr">
        <is>
          <t>KL75B1454</t>
        </is>
      </c>
      <c r="E2876" s="20" t="inlineStr">
        <is>
          <t>MARUTI</t>
        </is>
      </c>
      <c r="F2876" s="20" t="inlineStr">
        <is>
          <t>Ignis</t>
        </is>
      </c>
      <c r="G2876" s="21" t="n">
        <v>2021</v>
      </c>
      <c r="H2876" s="22" t="n">
        <v>96402</v>
      </c>
      <c r="I2876" s="23" t="n">
        <v>410000</v>
      </c>
      <c r="J2876" s="20" t="inlineStr">
        <is>
          <t>KVR TATA</t>
        </is>
      </c>
      <c r="K2876" s="20" t="inlineStr">
        <is>
          <t>Non-Captive</t>
        </is>
      </c>
      <c r="L2876" s="20" t="inlineStr">
        <is>
          <t>JAMSHEER</t>
        </is>
      </c>
      <c r="M2876" s="23" t="n">
        <v>8474.58</v>
      </c>
      <c r="N2876" s="23" t="n">
        <v>10000</v>
      </c>
      <c r="O2876" s="24">
        <f>IF(AND(ISNUMBER(M2876), ISNUMBER(I2876), I2876&gt;0), M2876/I2876, "")</f>
        <v/>
      </c>
    </row>
    <row r="2877">
      <c r="A2877" s="19" t="inlineStr">
        <is>
          <t>FY27</t>
        </is>
      </c>
      <c r="B2877" s="19" t="inlineStr">
        <is>
          <t>Jul</t>
        </is>
      </c>
      <c r="C2877" s="19" t="inlineStr">
        <is>
          <t>Kerala</t>
        </is>
      </c>
      <c r="D2877" s="20" t="inlineStr">
        <is>
          <t>KL346813</t>
        </is>
      </c>
      <c r="E2877" s="20" t="inlineStr">
        <is>
          <t>FORD</t>
        </is>
      </c>
      <c r="F2877" s="20" t="inlineStr">
        <is>
          <t>Fiesta</t>
        </is>
      </c>
      <c r="G2877" s="21" t="n">
        <v>2008</v>
      </c>
      <c r="H2877" s="22" t="n">
        <v>161890</v>
      </c>
      <c r="I2877" s="23" t="n">
        <v>70000</v>
      </c>
      <c r="J2877" s="20" t="inlineStr">
        <is>
          <t>OLX</t>
        </is>
      </c>
      <c r="K2877" s="20" t="inlineStr">
        <is>
          <t>Non-Captive</t>
        </is>
      </c>
      <c r="L2877" s="20" t="inlineStr">
        <is>
          <t>DINESH P S</t>
        </is>
      </c>
      <c r="M2877" s="23" t="n">
        <v>12711.86</v>
      </c>
      <c r="N2877" s="23" t="n">
        <v>15000</v>
      </c>
      <c r="O2877" s="24">
        <f>IF(AND(ISNUMBER(M2877), ISNUMBER(I2877), I2877&gt;0), M2877/I2877, "")</f>
        <v/>
      </c>
    </row>
    <row r="2878">
      <c r="A2878" s="19" t="inlineStr">
        <is>
          <t>FY27</t>
        </is>
      </c>
      <c r="B2878" s="19" t="inlineStr">
        <is>
          <t>Jul</t>
        </is>
      </c>
      <c r="C2878" s="19" t="inlineStr">
        <is>
          <t>Kerala</t>
        </is>
      </c>
      <c r="D2878" s="20" t="inlineStr">
        <is>
          <t>KL39E7013</t>
        </is>
      </c>
      <c r="E2878" s="20" t="inlineStr">
        <is>
          <t>FORD</t>
        </is>
      </c>
      <c r="F2878" s="20" t="inlineStr">
        <is>
          <t>Figo</t>
        </is>
      </c>
      <c r="G2878" s="21" t="n">
        <v>2013</v>
      </c>
      <c r="H2878" s="22" t="n">
        <v>75570</v>
      </c>
      <c r="I2878" s="23" t="n">
        <v>110000</v>
      </c>
      <c r="J2878" s="20" t="inlineStr">
        <is>
          <t>CARS24</t>
        </is>
      </c>
      <c r="K2878" s="20" t="inlineStr">
        <is>
          <t>Non-Captive</t>
        </is>
      </c>
      <c r="L2878" s="20" t="inlineStr">
        <is>
          <t>RAFEEK T A</t>
        </is>
      </c>
      <c r="M2878" s="23" t="n">
        <v>8474.58</v>
      </c>
      <c r="N2878" s="23" t="n">
        <v>10000</v>
      </c>
      <c r="O2878" s="24">
        <f>IF(AND(ISNUMBER(M2878), ISNUMBER(I2878), I2878&gt;0), M2878/I2878, "")</f>
        <v/>
      </c>
    </row>
    <row r="2879">
      <c r="A2879" s="19" t="inlineStr">
        <is>
          <t>FY27</t>
        </is>
      </c>
      <c r="B2879" s="19" t="inlineStr">
        <is>
          <t>Jul</t>
        </is>
      </c>
      <c r="C2879" s="19" t="inlineStr">
        <is>
          <t>Kerala</t>
        </is>
      </c>
      <c r="D2879" s="20" t="inlineStr">
        <is>
          <t>KL59U8787</t>
        </is>
      </c>
      <c r="E2879" s="20" t="inlineStr">
        <is>
          <t>TATA</t>
        </is>
      </c>
      <c r="F2879" s="20" t="inlineStr">
        <is>
          <t>Nexon</t>
        </is>
      </c>
      <c r="G2879" s="21" t="n">
        <v>2019</v>
      </c>
      <c r="H2879" s="22" t="n">
        <v>62000</v>
      </c>
      <c r="I2879" s="23" t="n">
        <v>485000</v>
      </c>
      <c r="J2879" s="20" t="inlineStr">
        <is>
          <t>KVR TATA</t>
        </is>
      </c>
      <c r="K2879" s="20" t="inlineStr">
        <is>
          <t>Non-Captive</t>
        </is>
      </c>
      <c r="L2879" s="20" t="inlineStr">
        <is>
          <t>SAJEEVAN CARZONE</t>
        </is>
      </c>
      <c r="M2879" s="23" t="n">
        <v>8474.58</v>
      </c>
      <c r="N2879" s="23" t="n">
        <v>10000</v>
      </c>
      <c r="O2879" s="24">
        <f>IF(AND(ISNUMBER(M2879), ISNUMBER(I2879), I2879&gt;0), M2879/I2879, "")</f>
        <v/>
      </c>
    </row>
    <row r="2880">
      <c r="A2880" s="19" t="inlineStr">
        <is>
          <t>FY27</t>
        </is>
      </c>
      <c r="B2880" s="19" t="inlineStr">
        <is>
          <t>Jul</t>
        </is>
      </c>
      <c r="C2880" s="19" t="inlineStr">
        <is>
          <t>Kerala</t>
        </is>
      </c>
      <c r="D2880" s="20" t="inlineStr">
        <is>
          <t>KL618433</t>
        </is>
      </c>
      <c r="E2880" s="20" t="inlineStr">
        <is>
          <t>MARUTI</t>
        </is>
      </c>
      <c r="F2880" s="20" t="inlineStr">
        <is>
          <t>Wagon R</t>
        </is>
      </c>
      <c r="G2880" s="21" t="n">
        <v>2013</v>
      </c>
      <c r="H2880" s="22" t="n">
        <v>195000</v>
      </c>
      <c r="I2880" s="23" t="n">
        <v>140000</v>
      </c>
      <c r="J2880" s="20" t="inlineStr">
        <is>
          <t>POPULAR MARUTI</t>
        </is>
      </c>
      <c r="K2880" s="20" t="inlineStr">
        <is>
          <t>Non-Captive</t>
        </is>
      </c>
      <c r="L2880" s="20" t="inlineStr">
        <is>
          <t>GS USED CAR</t>
        </is>
      </c>
      <c r="M2880" s="23" t="n">
        <v>8474.58</v>
      </c>
      <c r="N2880" s="23" t="n">
        <v>10000</v>
      </c>
      <c r="O2880" s="24">
        <f>IF(AND(ISNUMBER(M2880), ISNUMBER(I2880), I2880&gt;0), M2880/I2880, "")</f>
        <v/>
      </c>
    </row>
    <row r="2881">
      <c r="A2881" s="19" t="inlineStr">
        <is>
          <t>FY27</t>
        </is>
      </c>
      <c r="B2881" s="19" t="inlineStr">
        <is>
          <t>Jul</t>
        </is>
      </c>
      <c r="C2881" s="19" t="inlineStr">
        <is>
          <t>Kerala</t>
        </is>
      </c>
      <c r="D2881" s="20" t="inlineStr">
        <is>
          <t>KL01BF4051</t>
        </is>
      </c>
      <c r="E2881" s="20" t="inlineStr">
        <is>
          <t>MARUTI</t>
        </is>
      </c>
      <c r="F2881" s="20" t="inlineStr">
        <is>
          <t>Estilo</t>
        </is>
      </c>
      <c r="G2881" s="21" t="n">
        <v>2012</v>
      </c>
      <c r="H2881" s="22" t="n">
        <v>39000</v>
      </c>
      <c r="I2881" s="23" t="n">
        <v>120000</v>
      </c>
      <c r="J2881" s="20" t="inlineStr">
        <is>
          <t>POPULAR MARUTI</t>
        </is>
      </c>
      <c r="K2881" s="20" t="inlineStr">
        <is>
          <t>Non-Captive</t>
        </is>
      </c>
      <c r="L2881" s="20" t="inlineStr">
        <is>
          <t>GS USED CAR</t>
        </is>
      </c>
      <c r="M2881" s="23" t="n">
        <v>12711.86</v>
      </c>
      <c r="N2881" s="23" t="n">
        <v>15000</v>
      </c>
      <c r="O2881" s="24">
        <f>IF(AND(ISNUMBER(M2881), ISNUMBER(I2881), I2881&gt;0), M2881/I2881, "")</f>
        <v/>
      </c>
    </row>
    <row r="2882">
      <c r="A2882" s="19" t="inlineStr">
        <is>
          <t>FY27</t>
        </is>
      </c>
      <c r="B2882" s="19" t="inlineStr">
        <is>
          <t>Jul</t>
        </is>
      </c>
      <c r="C2882" s="19" t="inlineStr">
        <is>
          <t>Kerala</t>
        </is>
      </c>
      <c r="D2882" s="20" t="inlineStr">
        <is>
          <t>KL23B1578</t>
        </is>
      </c>
      <c r="E2882" s="20" t="inlineStr">
        <is>
          <t>MARUTI</t>
        </is>
      </c>
      <c r="F2882" s="20" t="inlineStr">
        <is>
          <t>Alto</t>
        </is>
      </c>
      <c r="G2882" s="21" t="n">
        <v>2009</v>
      </c>
      <c r="H2882" s="22" t="n">
        <v>101154</v>
      </c>
      <c r="I2882" s="23" t="n">
        <v>65000</v>
      </c>
      <c r="J2882" s="20" t="inlineStr">
        <is>
          <t>POPULAR MARUTI</t>
        </is>
      </c>
      <c r="K2882" s="20" t="inlineStr">
        <is>
          <t>Non-Captive</t>
        </is>
      </c>
      <c r="L2882" s="20" t="inlineStr">
        <is>
          <t>Arun Sugunan</t>
        </is>
      </c>
      <c r="M2882" s="23" t="n">
        <v>8474.58</v>
      </c>
      <c r="N2882" s="23" t="n">
        <v>10000</v>
      </c>
      <c r="O2882" s="24">
        <f>IF(AND(ISNUMBER(M2882), ISNUMBER(I2882), I2882&gt;0), M2882/I2882, "")</f>
        <v/>
      </c>
    </row>
    <row r="2883">
      <c r="A2883" s="19" t="inlineStr">
        <is>
          <t>FY27</t>
        </is>
      </c>
      <c r="B2883" s="19" t="inlineStr">
        <is>
          <t>Jul</t>
        </is>
      </c>
      <c r="C2883" s="19" t="inlineStr">
        <is>
          <t>Kerala</t>
        </is>
      </c>
      <c r="D2883" s="20" t="inlineStr">
        <is>
          <t>KL23G2785</t>
        </is>
      </c>
      <c r="E2883" s="20" t="inlineStr">
        <is>
          <t>MARUTI</t>
        </is>
      </c>
      <c r="F2883" s="20" t="inlineStr">
        <is>
          <t>Dzire</t>
        </is>
      </c>
      <c r="G2883" s="21" t="n">
        <v>2012</v>
      </c>
      <c r="H2883" s="22" t="n">
        <v>51332</v>
      </c>
      <c r="I2883" s="23" t="n">
        <v>295000</v>
      </c>
      <c r="J2883" s="20" t="inlineStr">
        <is>
          <t>POPULAR MARUTI</t>
        </is>
      </c>
      <c r="K2883" s="20" t="inlineStr">
        <is>
          <t>Non-Captive</t>
        </is>
      </c>
      <c r="L2883" s="20" t="inlineStr">
        <is>
          <t>MAXX MOTORS</t>
        </is>
      </c>
      <c r="M2883" s="23" t="n">
        <v>8474.58</v>
      </c>
      <c r="N2883" s="23" t="n">
        <v>10000</v>
      </c>
      <c r="O2883" s="24">
        <f>IF(AND(ISNUMBER(M2883), ISNUMBER(I2883), I2883&gt;0), M2883/I2883, "")</f>
        <v/>
      </c>
    </row>
    <row r="2884">
      <c r="A2884" s="19" t="inlineStr">
        <is>
          <t>FY27</t>
        </is>
      </c>
      <c r="B2884" s="19" t="inlineStr">
        <is>
          <t>Jul</t>
        </is>
      </c>
      <c r="C2884" s="19" t="inlineStr">
        <is>
          <t>Kerala</t>
        </is>
      </c>
      <c r="D2884" s="20" t="inlineStr">
        <is>
          <t>KL02BN7929</t>
        </is>
      </c>
      <c r="E2884" s="20" t="inlineStr">
        <is>
          <t>RENAULT</t>
        </is>
      </c>
      <c r="F2884" s="20" t="inlineStr">
        <is>
          <t>Kiger</t>
        </is>
      </c>
      <c r="G2884" s="21" t="n">
        <v>2021</v>
      </c>
      <c r="H2884" s="22" t="n">
        <v>15743</v>
      </c>
      <c r="I2884" s="23" t="n">
        <v>500000</v>
      </c>
      <c r="J2884" s="20" t="inlineStr">
        <is>
          <t>INCHEON KIA</t>
        </is>
      </c>
      <c r="K2884" s="20" t="inlineStr">
        <is>
          <t>Non-Captive</t>
        </is>
      </c>
      <c r="L2884" s="20" t="inlineStr">
        <is>
          <t>MAXX MOTORS</t>
        </is>
      </c>
      <c r="M2884" s="23" t="n">
        <v>8474.58</v>
      </c>
      <c r="N2884" s="23" t="n">
        <v>10000</v>
      </c>
      <c r="O2884" s="24">
        <f>IF(AND(ISNUMBER(M2884), ISNUMBER(I2884), I2884&gt;0), M2884/I2884, "")</f>
        <v/>
      </c>
    </row>
    <row r="2885">
      <c r="A2885" s="19" t="inlineStr">
        <is>
          <t>FY27</t>
        </is>
      </c>
      <c r="B2885" s="19" t="inlineStr">
        <is>
          <t>Jul</t>
        </is>
      </c>
      <c r="C2885" s="19" t="inlineStr">
        <is>
          <t>Kerala</t>
        </is>
      </c>
      <c r="D2885" s="20" t="inlineStr">
        <is>
          <t>KL16W8477</t>
        </is>
      </c>
      <c r="E2885" s="20" t="inlineStr">
        <is>
          <t>HYUNDAI</t>
        </is>
      </c>
      <c r="F2885" s="20" t="inlineStr">
        <is>
          <t>I 10</t>
        </is>
      </c>
      <c r="G2885" s="21" t="n">
        <v>2019</v>
      </c>
      <c r="H2885" s="22" t="n">
        <v>17000</v>
      </c>
      <c r="I2885" s="23" t="n">
        <v>370000</v>
      </c>
      <c r="J2885" s="20" t="inlineStr">
        <is>
          <t>LUXON TATA</t>
        </is>
      </c>
      <c r="K2885" s="20" t="inlineStr">
        <is>
          <t>Non-Captive</t>
        </is>
      </c>
      <c r="L2885" s="20" t="inlineStr">
        <is>
          <t>MAXX MOTORS</t>
        </is>
      </c>
      <c r="M2885" s="23" t="n">
        <v>8474.58</v>
      </c>
      <c r="N2885" s="23" t="n">
        <v>10000</v>
      </c>
      <c r="O2885" s="24">
        <f>IF(AND(ISNUMBER(M2885), ISNUMBER(I2885), I2885&gt;0), M2885/I2885, "")</f>
        <v/>
      </c>
    </row>
    <row r="2886">
      <c r="A2886" s="19" t="inlineStr">
        <is>
          <t>FY27</t>
        </is>
      </c>
      <c r="B2886" s="19" t="inlineStr">
        <is>
          <t>Jul</t>
        </is>
      </c>
      <c r="C2886" s="19" t="inlineStr">
        <is>
          <t>Kerala</t>
        </is>
      </c>
      <c r="D2886" s="20" t="inlineStr">
        <is>
          <t>KL54M8401</t>
        </is>
      </c>
      <c r="E2886" s="20" t="inlineStr">
        <is>
          <t>MARUTI</t>
        </is>
      </c>
      <c r="F2886" s="20" t="inlineStr">
        <is>
          <t>Ritz</t>
        </is>
      </c>
      <c r="G2886" s="21" t="n">
        <v>2010</v>
      </c>
      <c r="H2886" s="22" t="n">
        <v>95039</v>
      </c>
      <c r="I2886" s="23" t="n">
        <v>162500</v>
      </c>
      <c r="J2886" s="20" t="inlineStr">
        <is>
          <t>KVR TATA</t>
        </is>
      </c>
      <c r="K2886" s="20" t="inlineStr">
        <is>
          <t>Non-Captive</t>
        </is>
      </c>
      <c r="L2886" s="20" t="inlineStr">
        <is>
          <t>AITO CARS</t>
        </is>
      </c>
      <c r="M2886" s="23" t="n">
        <v>10593.22</v>
      </c>
      <c r="N2886" s="23" t="n">
        <v>12500</v>
      </c>
      <c r="O2886" s="24">
        <f>IF(AND(ISNUMBER(M2886), ISNUMBER(I2886), I2886&gt;0), M2886/I2886, "")</f>
        <v/>
      </c>
    </row>
    <row r="2887">
      <c r="A2887" s="19" t="inlineStr">
        <is>
          <t>FY27</t>
        </is>
      </c>
      <c r="B2887" s="19" t="inlineStr">
        <is>
          <t>Jul</t>
        </is>
      </c>
      <c r="C2887" s="19" t="inlineStr">
        <is>
          <t>Kerala</t>
        </is>
      </c>
      <c r="D2887" s="20" t="inlineStr">
        <is>
          <t>KL07DG4625</t>
        </is>
      </c>
      <c r="E2887" s="20" t="inlineStr">
        <is>
          <t>TOYOTA</t>
        </is>
      </c>
      <c r="F2887" s="20" t="inlineStr">
        <is>
          <t>Glanza</t>
        </is>
      </c>
      <c r="G2887" s="21" t="n">
        <v>2025</v>
      </c>
      <c r="H2887" s="22" t="n">
        <v>10000</v>
      </c>
      <c r="I2887" s="23" t="n">
        <v>865000</v>
      </c>
      <c r="J2887" s="20" t="inlineStr">
        <is>
          <t>GOKULAM TATA</t>
        </is>
      </c>
      <c r="K2887" s="20" t="inlineStr">
        <is>
          <t>Non-Captive</t>
        </is>
      </c>
      <c r="L2887" s="20" t="inlineStr">
        <is>
          <t>SHAMSUDEEN C E</t>
        </is>
      </c>
      <c r="M2887" s="23" t="n">
        <v>12711.86</v>
      </c>
      <c r="N2887" s="23" t="n">
        <v>15000</v>
      </c>
      <c r="O2887" s="24">
        <f>IF(AND(ISNUMBER(M2887), ISNUMBER(I2887), I2887&gt;0), M2887/I2887, "")</f>
        <v/>
      </c>
    </row>
    <row r="2888">
      <c r="A2888" s="19" t="inlineStr">
        <is>
          <t>FY27</t>
        </is>
      </c>
      <c r="B2888" s="19" t="inlineStr">
        <is>
          <t>Jul</t>
        </is>
      </c>
      <c r="C2888" s="19" t="inlineStr">
        <is>
          <t>Kerala</t>
        </is>
      </c>
      <c r="D2888" s="20" t="inlineStr">
        <is>
          <t>KL45R1575</t>
        </is>
      </c>
      <c r="E2888" s="20" t="inlineStr">
        <is>
          <t>RENAULT</t>
        </is>
      </c>
      <c r="F2888" s="20" t="inlineStr">
        <is>
          <t>Kwid</t>
        </is>
      </c>
      <c r="G2888" s="21" t="n">
        <v>2018</v>
      </c>
      <c r="H2888" s="22" t="n">
        <v>36264</v>
      </c>
      <c r="I2888" s="23" t="n">
        <v>262500</v>
      </c>
      <c r="J2888" s="20" t="inlineStr">
        <is>
          <t>POPULAR HYUNDAI</t>
        </is>
      </c>
      <c r="K2888" s="20" t="inlineStr">
        <is>
          <t>Non-Captive</t>
        </is>
      </c>
      <c r="L2888" s="20" t="inlineStr">
        <is>
          <t>UMESHKUMAR T U</t>
        </is>
      </c>
      <c r="M2888" s="23" t="n">
        <v>10593.22</v>
      </c>
      <c r="N2888" s="23" t="n">
        <v>12500</v>
      </c>
      <c r="O2888" s="24">
        <f>IF(AND(ISNUMBER(M2888), ISNUMBER(I2888), I2888&gt;0), M2888/I2888, "")</f>
        <v/>
      </c>
    </row>
    <row r="2889">
      <c r="A2889" s="19" t="inlineStr">
        <is>
          <t>FY27</t>
        </is>
      </c>
      <c r="B2889" s="19" t="inlineStr">
        <is>
          <t>Jul</t>
        </is>
      </c>
      <c r="C2889" s="19" t="inlineStr">
        <is>
          <t>Kerala</t>
        </is>
      </c>
      <c r="D2889" s="20" t="inlineStr">
        <is>
          <t>KL07DC8227</t>
        </is>
      </c>
      <c r="E2889" s="20" t="inlineStr">
        <is>
          <t>MARUTI</t>
        </is>
      </c>
      <c r="F2889" s="20" t="inlineStr">
        <is>
          <t>G Vitara</t>
        </is>
      </c>
      <c r="G2889" s="21" t="n">
        <v>2024</v>
      </c>
      <c r="H2889" s="22" t="n">
        <v>26578</v>
      </c>
      <c r="I2889" s="23" t="n">
        <v>1215000</v>
      </c>
      <c r="J2889" s="20" t="inlineStr">
        <is>
          <t>POPULAR HYUNDAI</t>
        </is>
      </c>
      <c r="K2889" s="20" t="inlineStr">
        <is>
          <t>Non-Captive</t>
        </is>
      </c>
      <c r="L2889" s="20" t="inlineStr">
        <is>
          <t>4 WHEEL DRIVE</t>
        </is>
      </c>
      <c r="M2889" s="23" t="n">
        <v>12711.86</v>
      </c>
      <c r="N2889" s="23" t="n">
        <v>15000</v>
      </c>
      <c r="O2889" s="24">
        <f>IF(AND(ISNUMBER(M2889), ISNUMBER(I2889), I2889&gt;0), M2889/I2889, "")</f>
        <v/>
      </c>
    </row>
    <row r="2890">
      <c r="A2890" s="19" t="inlineStr">
        <is>
          <t>FY27</t>
        </is>
      </c>
      <c r="B2890" s="19" t="inlineStr">
        <is>
          <t>Jul</t>
        </is>
      </c>
      <c r="C2890" s="19" t="inlineStr">
        <is>
          <t>Kerala</t>
        </is>
      </c>
      <c r="D2890" s="20" t="inlineStr">
        <is>
          <t>KL48P4824</t>
        </is>
      </c>
      <c r="E2890" s="20" t="inlineStr">
        <is>
          <t>TATA</t>
        </is>
      </c>
      <c r="F2890" s="20" t="inlineStr">
        <is>
          <t>Nexon</t>
        </is>
      </c>
      <c r="G2890" s="21" t="n">
        <v>2023</v>
      </c>
      <c r="H2890" s="22" t="n">
        <v>66243</v>
      </c>
      <c r="I2890" s="23" t="n">
        <v>487500</v>
      </c>
      <c r="J2890" s="20" t="inlineStr">
        <is>
          <t>POPULAR HYUNDAI</t>
        </is>
      </c>
      <c r="K2890" s="20" t="inlineStr">
        <is>
          <t>Non-Captive</t>
        </is>
      </c>
      <c r="L2890" s="20" t="inlineStr">
        <is>
          <t>AITO CARS</t>
        </is>
      </c>
      <c r="M2890" s="23" t="n">
        <v>10593.22</v>
      </c>
      <c r="N2890" s="23" t="n">
        <v>12500</v>
      </c>
      <c r="O2890" s="24">
        <f>IF(AND(ISNUMBER(M2890), ISNUMBER(I2890), I2890&gt;0), M2890/I2890, "")</f>
        <v/>
      </c>
    </row>
    <row r="2891">
      <c r="A2891" s="19" t="inlineStr">
        <is>
          <t>FY27</t>
        </is>
      </c>
      <c r="B2891" s="19" t="inlineStr">
        <is>
          <t>Jul</t>
        </is>
      </c>
      <c r="C2891" s="19" t="inlineStr">
        <is>
          <t>Kerala</t>
        </is>
      </c>
      <c r="D2891" s="20" t="inlineStr">
        <is>
          <t>KL59E3511</t>
        </is>
      </c>
      <c r="E2891" s="20" t="inlineStr">
        <is>
          <t>MARUTI</t>
        </is>
      </c>
      <c r="F2891" s="20" t="inlineStr">
        <is>
          <t>Alto</t>
        </is>
      </c>
      <c r="G2891" s="21" t="n">
        <v>2008</v>
      </c>
      <c r="H2891" s="22" t="n">
        <v>134000</v>
      </c>
      <c r="I2891" s="23" t="n">
        <v>13000</v>
      </c>
      <c r="J2891" s="20" t="inlineStr">
        <is>
          <t>POPULAR MARUTI</t>
        </is>
      </c>
      <c r="K2891" s="20" t="inlineStr">
        <is>
          <t>Non-Captive</t>
        </is>
      </c>
      <c r="L2891" s="20" t="inlineStr">
        <is>
          <t>AUTOTRUST</t>
        </is>
      </c>
      <c r="M2891" s="23" t="n">
        <v>5084.75</v>
      </c>
      <c r="N2891" s="23" t="n">
        <v>6000</v>
      </c>
      <c r="O2891" s="24">
        <f>IF(AND(ISNUMBER(M2891), ISNUMBER(I2891), I2891&gt;0), M2891/I2891, "")</f>
        <v/>
      </c>
    </row>
    <row r="2892">
      <c r="A2892" s="19" t="inlineStr">
        <is>
          <t>FY27</t>
        </is>
      </c>
      <c r="B2892" s="19" t="inlineStr">
        <is>
          <t>Jul</t>
        </is>
      </c>
      <c r="C2892" s="19" t="inlineStr">
        <is>
          <t>Kerala</t>
        </is>
      </c>
      <c r="D2892" s="20" t="inlineStr">
        <is>
          <t>KL55Y2930</t>
        </is>
      </c>
      <c r="E2892" s="20" t="inlineStr">
        <is>
          <t>RENAULT</t>
        </is>
      </c>
      <c r="F2892" s="20" t="inlineStr">
        <is>
          <t>Kwid</t>
        </is>
      </c>
      <c r="G2892" s="21" t="n">
        <v>2018</v>
      </c>
      <c r="H2892" s="22" t="n">
        <v>21000</v>
      </c>
      <c r="I2892" s="23" t="n">
        <v>267000</v>
      </c>
      <c r="J2892" s="20" t="inlineStr">
        <is>
          <t>BIMAL</t>
        </is>
      </c>
      <c r="K2892" s="20" t="inlineStr">
        <is>
          <t>Non-Captive</t>
        </is>
      </c>
      <c r="L2892" s="20" t="inlineStr">
        <is>
          <t>KANNUR PLATINUM</t>
        </is>
      </c>
      <c r="M2892" s="23" t="n">
        <v>5932.2</v>
      </c>
      <c r="N2892" s="23" t="n">
        <v>7000</v>
      </c>
      <c r="O2892" s="24">
        <f>IF(AND(ISNUMBER(M2892), ISNUMBER(I2892), I2892&gt;0), M2892/I2892, "")</f>
        <v/>
      </c>
    </row>
    <row r="2893">
      <c r="A2893" s="19" t="inlineStr">
        <is>
          <t>FY27</t>
        </is>
      </c>
      <c r="B2893" s="19" t="inlineStr">
        <is>
          <t>Jul</t>
        </is>
      </c>
      <c r="C2893" s="19" t="inlineStr">
        <is>
          <t>Kerala</t>
        </is>
      </c>
      <c r="D2893" s="20" t="inlineStr">
        <is>
          <t>KL57F7789</t>
        </is>
      </c>
      <c r="E2893" s="20" t="inlineStr">
        <is>
          <t>MARUTI</t>
        </is>
      </c>
      <c r="F2893" s="20" t="inlineStr">
        <is>
          <t>Dezire</t>
        </is>
      </c>
      <c r="G2893" s="21" t="n">
        <v>2012</v>
      </c>
      <c r="H2893" s="22" t="n">
        <v>87000</v>
      </c>
      <c r="I2893" s="23" t="n">
        <v>291500</v>
      </c>
      <c r="J2893" s="20" t="inlineStr">
        <is>
          <t>POPULAR MARUTI</t>
        </is>
      </c>
      <c r="K2893" s="20" t="inlineStr">
        <is>
          <t>Non-Captive</t>
        </is>
      </c>
      <c r="L2893" s="20" t="inlineStr">
        <is>
          <t>Mahesh Shankar</t>
        </is>
      </c>
      <c r="M2893" s="23" t="n">
        <v>9745.76</v>
      </c>
      <c r="N2893" s="23" t="n">
        <v>11500</v>
      </c>
      <c r="O2893" s="24">
        <f>IF(AND(ISNUMBER(M2893), ISNUMBER(I2893), I2893&gt;0), M2893/I2893, "")</f>
        <v/>
      </c>
    </row>
    <row r="2894">
      <c r="A2894" s="19" t="inlineStr">
        <is>
          <t>FY27</t>
        </is>
      </c>
      <c r="B2894" s="19" t="inlineStr">
        <is>
          <t>Jul</t>
        </is>
      </c>
      <c r="C2894" s="19" t="inlineStr">
        <is>
          <t>Kerala</t>
        </is>
      </c>
      <c r="D2894" s="20" t="inlineStr">
        <is>
          <t>KL13AJ155</t>
        </is>
      </c>
      <c r="E2894" s="20" t="inlineStr">
        <is>
          <t>TOYOTA</t>
        </is>
      </c>
      <c r="F2894" s="20" t="inlineStr">
        <is>
          <t>Etios Liva</t>
        </is>
      </c>
      <c r="G2894" s="21" t="n">
        <v>2017</v>
      </c>
      <c r="H2894" s="22" t="n">
        <v>77000</v>
      </c>
      <c r="I2894" s="23" t="n">
        <v>425000</v>
      </c>
      <c r="J2894" s="20" t="inlineStr">
        <is>
          <t>ERAM MAHINDRA</t>
        </is>
      </c>
      <c r="K2894" s="20" t="inlineStr">
        <is>
          <t>Non-Captive</t>
        </is>
      </c>
      <c r="L2894" s="20" t="inlineStr">
        <is>
          <t>Varun B Prakash</t>
        </is>
      </c>
      <c r="M2894" s="23" t="n">
        <v>5932.2</v>
      </c>
      <c r="N2894" s="23" t="n">
        <v>7000</v>
      </c>
      <c r="O2894" s="24">
        <f>IF(AND(ISNUMBER(M2894), ISNUMBER(I2894), I2894&gt;0), M2894/I2894, "")</f>
        <v/>
      </c>
    </row>
    <row r="2895">
      <c r="A2895" s="19" t="inlineStr">
        <is>
          <t>FY27</t>
        </is>
      </c>
      <c r="B2895" s="19" t="inlineStr">
        <is>
          <t>Jul</t>
        </is>
      </c>
      <c r="C2895" s="19" t="inlineStr">
        <is>
          <t>Kerala</t>
        </is>
      </c>
      <c r="D2895" s="20" t="inlineStr">
        <is>
          <t>KL18N1771</t>
        </is>
      </c>
      <c r="E2895" s="20" t="inlineStr">
        <is>
          <t>MARUTI</t>
        </is>
      </c>
      <c r="F2895" s="20" t="inlineStr">
        <is>
          <t>Celerio</t>
        </is>
      </c>
      <c r="G2895" s="21" t="n">
        <v>2014</v>
      </c>
      <c r="H2895" s="22" t="n">
        <v>88000</v>
      </c>
      <c r="I2895" s="23" t="n">
        <v>273000</v>
      </c>
      <c r="J2895" s="20" t="inlineStr">
        <is>
          <t>POPULAR MARUTI</t>
        </is>
      </c>
      <c r="K2895" s="20" t="inlineStr">
        <is>
          <t>Non-Captive</t>
        </is>
      </c>
      <c r="L2895" s="20" t="inlineStr">
        <is>
          <t>ARSHEENA TV</t>
        </is>
      </c>
      <c r="M2895" s="23" t="n">
        <v>6779.66</v>
      </c>
      <c r="N2895" s="23" t="n">
        <v>8000</v>
      </c>
      <c r="O2895" s="24">
        <f>IF(AND(ISNUMBER(M2895), ISNUMBER(I2895), I2895&gt;0), M2895/I2895, "")</f>
        <v/>
      </c>
    </row>
    <row r="2896">
      <c r="A2896" s="19" t="inlineStr">
        <is>
          <t>FY27</t>
        </is>
      </c>
      <c r="B2896" s="19" t="inlineStr">
        <is>
          <t>Jul</t>
        </is>
      </c>
      <c r="C2896" s="19" t="inlineStr">
        <is>
          <t>Kerala</t>
        </is>
      </c>
      <c r="D2896" s="20" t="inlineStr">
        <is>
          <t>KL14G1970</t>
        </is>
      </c>
      <c r="E2896" s="20" t="inlineStr">
        <is>
          <t>HYUNDAI</t>
        </is>
      </c>
      <c r="F2896" s="20" t="inlineStr">
        <is>
          <t>Santro</t>
        </is>
      </c>
      <c r="G2896" s="21" t="n">
        <v>2006</v>
      </c>
      <c r="H2896" s="22" t="n">
        <v>126739</v>
      </c>
      <c r="I2896" s="23" t="n">
        <v>40000</v>
      </c>
      <c r="J2896" s="20" t="inlineStr">
        <is>
          <t>MAIJO MARUTI</t>
        </is>
      </c>
      <c r="K2896" s="20" t="inlineStr">
        <is>
          <t>Non-Captive</t>
        </is>
      </c>
      <c r="L2896" s="20" t="inlineStr">
        <is>
          <t>HUSSAIN O E</t>
        </is>
      </c>
      <c r="M2896" s="23" t="n">
        <v>8474.58</v>
      </c>
      <c r="N2896" s="23" t="n">
        <v>10000</v>
      </c>
      <c r="O2896" s="24">
        <f>IF(AND(ISNUMBER(M2896), ISNUMBER(I2896), I2896&gt;0), M2896/I2896, "")</f>
        <v/>
      </c>
    </row>
    <row r="2897">
      <c r="A2897" s="19" t="inlineStr">
        <is>
          <t>FY27</t>
        </is>
      </c>
      <c r="B2897" s="19" t="inlineStr">
        <is>
          <t>Jul</t>
        </is>
      </c>
      <c r="C2897" s="19" t="inlineStr">
        <is>
          <t>Kerala</t>
        </is>
      </c>
      <c r="D2897" s="20" t="inlineStr">
        <is>
          <t>KL05AJ6027</t>
        </is>
      </c>
      <c r="E2897" s="20" t="inlineStr">
        <is>
          <t>HYUNDAI</t>
        </is>
      </c>
      <c r="F2897" s="20" t="inlineStr">
        <is>
          <t>Eon</t>
        </is>
      </c>
      <c r="G2897" s="21" t="n">
        <v>2014</v>
      </c>
      <c r="H2897" s="22" t="n">
        <v>86767</v>
      </c>
      <c r="I2897" s="23" t="n">
        <v>135000</v>
      </c>
      <c r="J2897" s="20" t="inlineStr">
        <is>
          <t>AMRITH V CHANDY</t>
        </is>
      </c>
      <c r="K2897" s="20" t="inlineStr">
        <is>
          <t>Non-Captive</t>
        </is>
      </c>
      <c r="L2897" s="20" t="inlineStr">
        <is>
          <t>ALBIN JOSE</t>
        </is>
      </c>
      <c r="M2897" s="23" t="n">
        <v>8474.58</v>
      </c>
      <c r="N2897" s="23" t="n">
        <v>10000</v>
      </c>
      <c r="O2897" s="24">
        <f>IF(AND(ISNUMBER(M2897), ISNUMBER(I2897), I2897&gt;0), M2897/I2897, "")</f>
        <v/>
      </c>
    </row>
    <row r="2898">
      <c r="A2898" s="19" t="inlineStr">
        <is>
          <t>FY27</t>
        </is>
      </c>
      <c r="B2898" s="19" t="inlineStr">
        <is>
          <t>Jul</t>
        </is>
      </c>
      <c r="C2898" s="19" t="inlineStr">
        <is>
          <t>Kerala</t>
        </is>
      </c>
      <c r="D2898" s="20" t="inlineStr">
        <is>
          <t>KL67A9702</t>
        </is>
      </c>
      <c r="E2898" s="20" t="inlineStr">
        <is>
          <t>RENAULT</t>
        </is>
      </c>
      <c r="F2898" s="20" t="inlineStr">
        <is>
          <t>Kwid</t>
        </is>
      </c>
      <c r="G2898" s="21" t="n">
        <v>2017</v>
      </c>
      <c r="H2898" s="22" t="n">
        <v>61762</v>
      </c>
      <c r="I2898" s="23" t="n">
        <v>185000</v>
      </c>
      <c r="J2898" s="20" t="inlineStr">
        <is>
          <t>POPULAR HYUNDAI</t>
        </is>
      </c>
      <c r="K2898" s="20" t="inlineStr">
        <is>
          <t>Non-Captive</t>
        </is>
      </c>
      <c r="L2898" s="20" t="inlineStr">
        <is>
          <t>GOOD CHOICE</t>
        </is>
      </c>
      <c r="M2898" s="23" t="n">
        <v>8474.58</v>
      </c>
      <c r="N2898" s="23" t="n">
        <v>10000</v>
      </c>
      <c r="O2898" s="24">
        <f>IF(AND(ISNUMBER(M2898), ISNUMBER(I2898), I2898&gt;0), M2898/I2898, "")</f>
        <v/>
      </c>
    </row>
    <row r="2899">
      <c r="A2899" s="19" t="inlineStr">
        <is>
          <t>FY27</t>
        </is>
      </c>
      <c r="B2899" s="19" t="inlineStr">
        <is>
          <t>Jul</t>
        </is>
      </c>
      <c r="C2899" s="19" t="inlineStr">
        <is>
          <t>Kerala</t>
        </is>
      </c>
      <c r="D2899" s="20" t="inlineStr">
        <is>
          <t>KL43A3536</t>
        </is>
      </c>
      <c r="E2899" s="20" t="inlineStr">
        <is>
          <t>TATA</t>
        </is>
      </c>
      <c r="F2899" s="20" t="inlineStr">
        <is>
          <t>Indica</t>
        </is>
      </c>
      <c r="G2899" s="21" t="n">
        <v>2008</v>
      </c>
      <c r="H2899" s="22" t="n">
        <v>116450</v>
      </c>
      <c r="I2899" s="23" t="n">
        <v>185000</v>
      </c>
      <c r="J2899" s="20" t="inlineStr">
        <is>
          <t>POPULAR MARUTI</t>
        </is>
      </c>
      <c r="K2899" s="20" t="inlineStr">
        <is>
          <t>Non-Captive</t>
        </is>
      </c>
      <c r="L2899" s="20" t="inlineStr">
        <is>
          <t>RAFEEK T A</t>
        </is>
      </c>
      <c r="M2899" s="23" t="n">
        <v>8474.58</v>
      </c>
      <c r="N2899" s="23" t="n">
        <v>10000</v>
      </c>
      <c r="O2899" s="24">
        <f>IF(AND(ISNUMBER(M2899), ISNUMBER(I2899), I2899&gt;0), M2899/I2899, "")</f>
        <v/>
      </c>
    </row>
    <row r="2900">
      <c r="A2900" s="19" t="inlineStr">
        <is>
          <t>FY27</t>
        </is>
      </c>
      <c r="B2900" s="19" t="inlineStr">
        <is>
          <t>Jul</t>
        </is>
      </c>
      <c r="C2900" s="19" t="inlineStr">
        <is>
          <t>Kerala</t>
        </is>
      </c>
      <c r="D2900" s="20" t="inlineStr">
        <is>
          <t>KL01AV2701</t>
        </is>
      </c>
      <c r="E2900" s="20" t="inlineStr">
        <is>
          <t>MARUTI</t>
        </is>
      </c>
      <c r="F2900" s="20" t="inlineStr">
        <is>
          <t>Sx4</t>
        </is>
      </c>
      <c r="G2900" s="21" t="n">
        <v>2009</v>
      </c>
      <c r="H2900" s="22" t="n">
        <v>96578</v>
      </c>
      <c r="I2900" s="23" t="n">
        <v>70000</v>
      </c>
      <c r="J2900" s="20" t="inlineStr">
        <is>
          <t>POPULAR MARUTI</t>
        </is>
      </c>
      <c r="K2900" s="20" t="inlineStr">
        <is>
          <t>Non-Captive</t>
        </is>
      </c>
      <c r="L2900" s="20" t="inlineStr">
        <is>
          <t>RAFEEK T A</t>
        </is>
      </c>
      <c r="M2900" s="23" t="n">
        <v>8474.58</v>
      </c>
      <c r="N2900" s="23" t="n">
        <v>10000</v>
      </c>
      <c r="O2900" s="24">
        <f>IF(AND(ISNUMBER(M2900), ISNUMBER(I2900), I2900&gt;0), M2900/I2900, "")</f>
        <v/>
      </c>
    </row>
    <row r="2901">
      <c r="A2901" s="19" t="inlineStr">
        <is>
          <t>FY27</t>
        </is>
      </c>
      <c r="B2901" s="19" t="inlineStr">
        <is>
          <t>Jul</t>
        </is>
      </c>
      <c r="C2901" s="19" t="inlineStr">
        <is>
          <t>Kerala</t>
        </is>
      </c>
      <c r="D2901" s="20" t="inlineStr">
        <is>
          <t>KL271349</t>
        </is>
      </c>
      <c r="E2901" s="20" t="inlineStr">
        <is>
          <t>HYUNDAI</t>
        </is>
      </c>
      <c r="F2901" s="20" t="inlineStr">
        <is>
          <t>Santro</t>
        </is>
      </c>
      <c r="G2901" s="21" t="n">
        <v>2006</v>
      </c>
      <c r="H2901" s="22" t="n">
        <v>154667</v>
      </c>
      <c r="I2901" s="23" t="n">
        <v>25000</v>
      </c>
      <c r="J2901" s="20" t="inlineStr">
        <is>
          <t>AMRITH V CHANDY</t>
        </is>
      </c>
      <c r="K2901" s="20" t="inlineStr">
        <is>
          <t>Non-Captive</t>
        </is>
      </c>
      <c r="L2901" s="20" t="inlineStr">
        <is>
          <t>ANAS HAMEEDKUTTY</t>
        </is>
      </c>
      <c r="M2901" s="23" t="n">
        <v>8474.58</v>
      </c>
      <c r="N2901" s="23" t="n">
        <v>10000</v>
      </c>
      <c r="O2901" s="24">
        <f>IF(AND(ISNUMBER(M2901), ISNUMBER(I2901), I2901&gt;0), M2901/I2901, "")</f>
        <v/>
      </c>
    </row>
    <row r="2902">
      <c r="A2902" s="19" t="inlineStr">
        <is>
          <t>FY27</t>
        </is>
      </c>
      <c r="B2902" s="19" t="inlineStr">
        <is>
          <t>Jul</t>
        </is>
      </c>
      <c r="C2902" s="19" t="inlineStr">
        <is>
          <t>Kerala</t>
        </is>
      </c>
      <c r="D2902" s="20" t="inlineStr">
        <is>
          <t>KL48G7160</t>
        </is>
      </c>
      <c r="E2902" s="20" t="inlineStr">
        <is>
          <t>MAHINDRA</t>
        </is>
      </c>
      <c r="F2902" s="20" t="inlineStr">
        <is>
          <t>Load King</t>
        </is>
      </c>
      <c r="G2902" s="21" t="n">
        <v>2015</v>
      </c>
      <c r="H2902" s="22" t="n">
        <v>230000</v>
      </c>
      <c r="I2902" s="23" t="n">
        <v>406000</v>
      </c>
      <c r="J2902" s="20" t="inlineStr">
        <is>
          <t>KUNJU MOIDEEN</t>
        </is>
      </c>
      <c r="K2902" s="20" t="inlineStr">
        <is>
          <t>Non-Captive</t>
        </is>
      </c>
      <c r="L2902" s="20" t="inlineStr">
        <is>
          <t>Alikunju Happy Drive</t>
        </is>
      </c>
      <c r="M2902" s="23" t="n">
        <v>5084.75</v>
      </c>
      <c r="N2902" s="23" t="n">
        <v>6000</v>
      </c>
      <c r="O2902" s="24">
        <f>IF(AND(ISNUMBER(M2902), ISNUMBER(I2902), I2902&gt;0), M2902/I2902, "")</f>
        <v/>
      </c>
    </row>
    <row r="2903">
      <c r="A2903" s="19" t="inlineStr">
        <is>
          <t>FY27</t>
        </is>
      </c>
      <c r="B2903" s="19" t="inlineStr">
        <is>
          <t>Jul</t>
        </is>
      </c>
      <c r="C2903" s="19" t="inlineStr">
        <is>
          <t>Kerala</t>
        </is>
      </c>
      <c r="D2903" s="20" t="inlineStr">
        <is>
          <t>KL45D0472</t>
        </is>
      </c>
      <c r="E2903" s="20" t="inlineStr">
        <is>
          <t>CHEVROLET</t>
        </is>
      </c>
      <c r="F2903" s="20" t="inlineStr">
        <is>
          <t>Spark</t>
        </is>
      </c>
      <c r="G2903" s="21" t="n">
        <v>2009</v>
      </c>
      <c r="H2903" s="22" t="n">
        <v>79107</v>
      </c>
      <c r="I2903" s="23" t="n">
        <v>45000</v>
      </c>
      <c r="J2903" s="20" t="inlineStr">
        <is>
          <t>POPULAR MARUTI</t>
        </is>
      </c>
      <c r="K2903" s="20" t="inlineStr">
        <is>
          <t>Non-Captive</t>
        </is>
      </c>
      <c r="L2903" s="20" t="inlineStr">
        <is>
          <t>AFSAL A</t>
        </is>
      </c>
      <c r="M2903" s="23" t="n">
        <v>8474.58</v>
      </c>
      <c r="N2903" s="23" t="n">
        <v>10000</v>
      </c>
      <c r="O2903" s="24">
        <f>IF(AND(ISNUMBER(M2903), ISNUMBER(I2903), I2903&gt;0), M2903/I2903, "")</f>
        <v/>
      </c>
    </row>
    <row r="2904">
      <c r="A2904" s="19" t="inlineStr">
        <is>
          <t>FY27</t>
        </is>
      </c>
      <c r="B2904" s="19" t="inlineStr">
        <is>
          <t>Jul</t>
        </is>
      </c>
      <c r="C2904" s="19" t="inlineStr">
        <is>
          <t>Kerala</t>
        </is>
      </c>
      <c r="D2904" s="20" t="inlineStr">
        <is>
          <t>KL13AH022</t>
        </is>
      </c>
      <c r="E2904" s="20" t="inlineStr">
        <is>
          <t>MARUTI</t>
        </is>
      </c>
      <c r="F2904" s="20" t="inlineStr">
        <is>
          <t>Baleno</t>
        </is>
      </c>
      <c r="G2904" s="21" t="n">
        <v>2016</v>
      </c>
      <c r="H2904" s="22" t="n">
        <v>21000</v>
      </c>
      <c r="I2904" s="23" t="n">
        <v>466000</v>
      </c>
      <c r="J2904" s="20" t="inlineStr">
        <is>
          <t>KVR MARUTI</t>
        </is>
      </c>
      <c r="K2904" s="20" t="inlineStr">
        <is>
          <t>Non-Captive</t>
        </is>
      </c>
      <c r="L2904" s="20" t="inlineStr">
        <is>
          <t>SURAJ PK</t>
        </is>
      </c>
      <c r="M2904" s="23" t="n">
        <v>5084.75</v>
      </c>
      <c r="N2904" s="23" t="n">
        <v>6000</v>
      </c>
      <c r="O2904" s="24">
        <f>IF(AND(ISNUMBER(M2904), ISNUMBER(I2904), I2904&gt;0), M2904/I2904, "")</f>
        <v/>
      </c>
    </row>
    <row r="2905">
      <c r="A2905" s="19" t="inlineStr">
        <is>
          <t>FY27</t>
        </is>
      </c>
      <c r="B2905" s="19" t="inlineStr">
        <is>
          <t>Jul</t>
        </is>
      </c>
      <c r="C2905" s="19" t="inlineStr">
        <is>
          <t>Kerala</t>
        </is>
      </c>
      <c r="D2905" s="20" t="inlineStr">
        <is>
          <t>KL59G6434</t>
        </is>
      </c>
      <c r="E2905" s="20" t="inlineStr">
        <is>
          <t>MARUTI</t>
        </is>
      </c>
      <c r="F2905" s="20" t="inlineStr">
        <is>
          <t>Omni</t>
        </is>
      </c>
      <c r="G2905" s="21" t="n">
        <v>2013</v>
      </c>
      <c r="H2905" s="22" t="n">
        <v>170003</v>
      </c>
      <c r="I2905" s="23" t="n">
        <v>86000</v>
      </c>
      <c r="J2905" s="20" t="inlineStr">
        <is>
          <t>BM CARS</t>
        </is>
      </c>
      <c r="K2905" s="20" t="inlineStr">
        <is>
          <t>Non-Captive</t>
        </is>
      </c>
      <c r="L2905" s="20" t="inlineStr">
        <is>
          <t>AUTOBOT</t>
        </is>
      </c>
      <c r="M2905" s="23" t="n">
        <v>5084.75</v>
      </c>
      <c r="N2905" s="23" t="n">
        <v>6000</v>
      </c>
      <c r="O2905" s="24">
        <f>IF(AND(ISNUMBER(M2905), ISNUMBER(I2905), I2905&gt;0), M2905/I2905, "")</f>
        <v/>
      </c>
    </row>
    <row r="2906">
      <c r="A2906" s="19" t="inlineStr">
        <is>
          <t>FY27</t>
        </is>
      </c>
      <c r="B2906" s="19" t="inlineStr">
        <is>
          <t>Jul</t>
        </is>
      </c>
      <c r="C2906" s="19" t="inlineStr">
        <is>
          <t>Kerala</t>
        </is>
      </c>
      <c r="D2906" s="20" t="inlineStr">
        <is>
          <t>KL18C0223</t>
        </is>
      </c>
      <c r="E2906" s="20" t="inlineStr">
        <is>
          <t>MARUTI</t>
        </is>
      </c>
      <c r="F2906" s="20" t="inlineStr">
        <is>
          <t>800 Std</t>
        </is>
      </c>
      <c r="G2906" s="21" t="n">
        <v>2006</v>
      </c>
      <c r="H2906" s="22" t="n">
        <v>200671</v>
      </c>
      <c r="I2906" s="23" t="n">
        <v>30000</v>
      </c>
      <c r="J2906" s="20" t="inlineStr">
        <is>
          <t>UCD MUHAMMED</t>
        </is>
      </c>
      <c r="K2906" s="20" t="inlineStr">
        <is>
          <t>Non-Captive</t>
        </is>
      </c>
      <c r="L2906" s="20" t="inlineStr">
        <is>
          <t>AUTOTRUST</t>
        </is>
      </c>
      <c r="M2906" s="23" t="n">
        <v>6779.66</v>
      </c>
      <c r="N2906" s="23" t="n">
        <v>8000</v>
      </c>
      <c r="O2906" s="24">
        <f>IF(AND(ISNUMBER(M2906), ISNUMBER(I2906), I2906&gt;0), M2906/I2906, "")</f>
        <v/>
      </c>
    </row>
    <row r="2907">
      <c r="A2907" s="19" t="inlineStr">
        <is>
          <t>FY27</t>
        </is>
      </c>
      <c r="B2907" s="19" t="inlineStr">
        <is>
          <t>Jul</t>
        </is>
      </c>
      <c r="C2907" s="19" t="inlineStr">
        <is>
          <t>Kerala</t>
        </is>
      </c>
      <c r="D2907" s="20" t="inlineStr">
        <is>
          <t>KL13AA2604</t>
        </is>
      </c>
      <c r="E2907" s="20" t="inlineStr">
        <is>
          <t>MARUTI</t>
        </is>
      </c>
      <c r="F2907" s="20" t="inlineStr">
        <is>
          <t>Dezire</t>
        </is>
      </c>
      <c r="G2907" s="21" t="n">
        <v>2013</v>
      </c>
      <c r="H2907" s="22" t="n">
        <v>176000</v>
      </c>
      <c r="I2907" s="23" t="n">
        <v>220000</v>
      </c>
      <c r="J2907" s="20" t="inlineStr">
        <is>
          <t>POPULAR MARUTI</t>
        </is>
      </c>
      <c r="K2907" s="20" t="inlineStr">
        <is>
          <t>Non-Captive</t>
        </is>
      </c>
      <c r="L2907" s="20" t="inlineStr">
        <is>
          <t>AFSAL P ASARAF</t>
        </is>
      </c>
      <c r="M2907" s="23" t="n">
        <v>8474.58</v>
      </c>
      <c r="N2907" s="23" t="n">
        <v>10000</v>
      </c>
      <c r="O2907" s="24">
        <f>IF(AND(ISNUMBER(M2907), ISNUMBER(I2907), I2907&gt;0), M2907/I2907, "")</f>
        <v/>
      </c>
    </row>
    <row r="2908">
      <c r="A2908" s="19" t="inlineStr">
        <is>
          <t>FY27</t>
        </is>
      </c>
      <c r="B2908" s="19" t="inlineStr">
        <is>
          <t>Jul</t>
        </is>
      </c>
      <c r="C2908" s="19" t="inlineStr">
        <is>
          <t>Kerala</t>
        </is>
      </c>
      <c r="D2908" s="20" t="inlineStr">
        <is>
          <t>KL39M0124</t>
        </is>
      </c>
      <c r="E2908" s="20" t="inlineStr">
        <is>
          <t>MARUTI</t>
        </is>
      </c>
      <c r="F2908" s="20" t="inlineStr">
        <is>
          <t>Dzire</t>
        </is>
      </c>
      <c r="G2908" s="21" t="n">
        <v>2017</v>
      </c>
      <c r="H2908" s="22" t="n">
        <v>142344</v>
      </c>
      <c r="I2908" s="23" t="n">
        <v>410000</v>
      </c>
      <c r="J2908" s="20" t="inlineStr">
        <is>
          <t>AMRUTH V CHANDY</t>
        </is>
      </c>
      <c r="K2908" s="20" t="inlineStr">
        <is>
          <t>Non-Captive</t>
        </is>
      </c>
      <c r="L2908" s="20" t="inlineStr">
        <is>
          <t>Ananthu Suneesh</t>
        </is>
      </c>
      <c r="M2908" s="23" t="n">
        <v>12711.86</v>
      </c>
      <c r="N2908" s="23" t="n">
        <v>15000</v>
      </c>
      <c r="O2908" s="24">
        <f>IF(AND(ISNUMBER(M2908), ISNUMBER(I2908), I2908&gt;0), M2908/I2908, "")</f>
        <v/>
      </c>
    </row>
    <row r="2909">
      <c r="A2909" s="19" t="inlineStr">
        <is>
          <t>FY27</t>
        </is>
      </c>
      <c r="B2909" s="19" t="inlineStr">
        <is>
          <t>Jul</t>
        </is>
      </c>
      <c r="C2909" s="19" t="inlineStr">
        <is>
          <t>Kerala</t>
        </is>
      </c>
      <c r="D2909" s="20" t="inlineStr">
        <is>
          <t>KL39B4640</t>
        </is>
      </c>
      <c r="E2909" s="20" t="inlineStr">
        <is>
          <t>MARUTI</t>
        </is>
      </c>
      <c r="F2909" s="20" t="inlineStr">
        <is>
          <t>Dzire</t>
        </is>
      </c>
      <c r="G2909" s="21" t="n">
        <v>2009</v>
      </c>
      <c r="H2909" s="22" t="n">
        <v>112300</v>
      </c>
      <c r="I2909" s="23" t="n">
        <v>125000</v>
      </c>
      <c r="J2909" s="20" t="inlineStr">
        <is>
          <t>POPULAR MARUTI</t>
        </is>
      </c>
      <c r="K2909" s="20" t="inlineStr">
        <is>
          <t>Non-Captive</t>
        </is>
      </c>
      <c r="L2909" s="20" t="inlineStr">
        <is>
          <t>DREAM DRIVE</t>
        </is>
      </c>
      <c r="M2909" s="23" t="n">
        <v>12711.86</v>
      </c>
      <c r="N2909" s="23" t="n">
        <v>15000</v>
      </c>
      <c r="O2909" s="24">
        <f>IF(AND(ISNUMBER(M2909), ISNUMBER(I2909), I2909&gt;0), M2909/I2909, "")</f>
        <v/>
      </c>
    </row>
    <row r="2910">
      <c r="A2910" s="19" t="inlineStr">
        <is>
          <t>FY27</t>
        </is>
      </c>
      <c r="B2910" s="19" t="inlineStr">
        <is>
          <t>Jul</t>
        </is>
      </c>
      <c r="C2910" s="19" t="inlineStr">
        <is>
          <t>Kerala</t>
        </is>
      </c>
      <c r="D2910" s="20" t="inlineStr">
        <is>
          <t>KL61F7170</t>
        </is>
      </c>
      <c r="E2910" s="20" t="inlineStr">
        <is>
          <t>TATA</t>
        </is>
      </c>
      <c r="F2910" s="20" t="inlineStr">
        <is>
          <t>Tiago</t>
        </is>
      </c>
      <c r="G2910" s="21" t="n">
        <v>2022</v>
      </c>
      <c r="H2910" s="22" t="n">
        <v>37800</v>
      </c>
      <c r="I2910" s="23" t="n">
        <v>467000</v>
      </c>
      <c r="J2910" s="20" t="inlineStr">
        <is>
          <t>LUXON TATA</t>
        </is>
      </c>
      <c r="K2910" s="20" t="inlineStr">
        <is>
          <t>Non-Captive</t>
        </is>
      </c>
      <c r="L2910" s="20" t="inlineStr">
        <is>
          <t>VIJIL</t>
        </is>
      </c>
      <c r="M2910" s="23" t="n">
        <v>5933.05</v>
      </c>
      <c r="N2910" s="23" t="n">
        <v>7001</v>
      </c>
      <c r="O2910" s="24">
        <f>IF(AND(ISNUMBER(M2910), ISNUMBER(I2910), I2910&gt;0), M2910/I2910, "")</f>
        <v/>
      </c>
    </row>
    <row r="2911">
      <c r="A2911" s="19" t="inlineStr">
        <is>
          <t>FY27</t>
        </is>
      </c>
      <c r="B2911" s="19" t="inlineStr">
        <is>
          <t>Jul</t>
        </is>
      </c>
      <c r="C2911" s="19" t="inlineStr">
        <is>
          <t>Kerala</t>
        </is>
      </c>
      <c r="D2911" s="20" t="inlineStr">
        <is>
          <t>KL22E8839</t>
        </is>
      </c>
      <c r="E2911" s="20" t="inlineStr">
        <is>
          <t>MARUTI</t>
        </is>
      </c>
      <c r="F2911" s="20" t="inlineStr">
        <is>
          <t>Alto</t>
        </is>
      </c>
      <c r="G2911" s="21" t="n">
        <v>2013</v>
      </c>
      <c r="H2911" s="22" t="n">
        <v>89776</v>
      </c>
      <c r="I2911" s="23" t="n">
        <v>82000</v>
      </c>
      <c r="J2911" s="20" t="inlineStr">
        <is>
          <t>INCHEON KIA</t>
        </is>
      </c>
      <c r="K2911" s="20" t="inlineStr">
        <is>
          <t>Non-Captive</t>
        </is>
      </c>
      <c r="L2911" s="20" t="inlineStr">
        <is>
          <t>SUDINA</t>
        </is>
      </c>
      <c r="M2911" s="23" t="n">
        <v>5932.2</v>
      </c>
      <c r="N2911" s="23" t="n">
        <v>7000</v>
      </c>
      <c r="O2911" s="24">
        <f>IF(AND(ISNUMBER(M2911), ISNUMBER(I2911), I2911&gt;0), M2911/I2911, "")</f>
        <v/>
      </c>
    </row>
    <row r="2912">
      <c r="A2912" s="19" t="inlineStr">
        <is>
          <t>FY27</t>
        </is>
      </c>
      <c r="B2912" s="19" t="inlineStr">
        <is>
          <t>Jul</t>
        </is>
      </c>
      <c r="C2912" s="19" t="inlineStr">
        <is>
          <t>Kerala</t>
        </is>
      </c>
      <c r="D2912" s="20" t="inlineStr">
        <is>
          <t>KL02AH8523</t>
        </is>
      </c>
      <c r="E2912" s="20" t="inlineStr">
        <is>
          <t>HYUNDAI</t>
        </is>
      </c>
      <c r="F2912" s="20" t="inlineStr">
        <is>
          <t>I 10</t>
        </is>
      </c>
      <c r="G2912" s="21" t="n">
        <v>2011</v>
      </c>
      <c r="H2912" s="22" t="n">
        <v>92266</v>
      </c>
      <c r="I2912" s="23" t="n">
        <v>87000</v>
      </c>
      <c r="J2912" s="20" t="inlineStr">
        <is>
          <t>LUXON TATA</t>
        </is>
      </c>
      <c r="K2912" s="20" t="inlineStr">
        <is>
          <t>Non-Captive</t>
        </is>
      </c>
      <c r="L2912" s="20" t="inlineStr">
        <is>
          <t>SAJIN</t>
        </is>
      </c>
      <c r="M2912" s="23" t="n">
        <v>5932.2</v>
      </c>
      <c r="N2912" s="23" t="n">
        <v>7000</v>
      </c>
      <c r="O2912" s="24">
        <f>IF(AND(ISNUMBER(M2912), ISNUMBER(I2912), I2912&gt;0), M2912/I2912, "")</f>
        <v/>
      </c>
    </row>
    <row r="2913">
      <c r="A2913" s="19" t="inlineStr">
        <is>
          <t>FY27</t>
        </is>
      </c>
      <c r="B2913" s="19" t="inlineStr">
        <is>
          <t>Jul</t>
        </is>
      </c>
      <c r="C2913" s="19" t="inlineStr">
        <is>
          <t>Kerala</t>
        </is>
      </c>
      <c r="D2913" s="20" t="inlineStr">
        <is>
          <t>KL06F0053</t>
        </is>
      </c>
      <c r="E2913" s="20" t="inlineStr">
        <is>
          <t>MARUTI</t>
        </is>
      </c>
      <c r="F2913" s="20" t="inlineStr">
        <is>
          <t>Zen Estilo</t>
        </is>
      </c>
      <c r="G2913" s="21" t="n">
        <v>2011</v>
      </c>
      <c r="H2913" s="22" t="n">
        <v>138233</v>
      </c>
      <c r="I2913" s="23" t="n">
        <v>100000</v>
      </c>
      <c r="J2913" s="20" t="inlineStr">
        <is>
          <t>POPULAR MARUTI</t>
        </is>
      </c>
      <c r="K2913" s="20" t="inlineStr">
        <is>
          <t>Non-Captive</t>
        </is>
      </c>
      <c r="L2913" s="20" t="inlineStr">
        <is>
          <t>4 Wheel Drive</t>
        </is>
      </c>
      <c r="M2913" s="23" t="n">
        <v>8474.58</v>
      </c>
      <c r="N2913" s="23" t="n">
        <v>10000</v>
      </c>
      <c r="O2913" s="24">
        <f>IF(AND(ISNUMBER(M2913), ISNUMBER(I2913), I2913&gt;0), M2913/I2913, "")</f>
        <v/>
      </c>
    </row>
    <row r="2914">
      <c r="A2914" s="19" t="inlineStr">
        <is>
          <t>FY27</t>
        </is>
      </c>
      <c r="B2914" s="19" t="inlineStr">
        <is>
          <t>Jul</t>
        </is>
      </c>
      <c r="C2914" s="19" t="inlineStr">
        <is>
          <t>Kerala</t>
        </is>
      </c>
      <c r="D2914" s="20" t="inlineStr">
        <is>
          <t>KL07CY7682</t>
        </is>
      </c>
      <c r="E2914" s="20" t="inlineStr">
        <is>
          <t>KIA</t>
        </is>
      </c>
      <c r="F2914" s="20" t="inlineStr">
        <is>
          <t>Sonet</t>
        </is>
      </c>
      <c r="G2914" s="21" t="n">
        <v>2022</v>
      </c>
      <c r="H2914" s="22" t="n">
        <v>59684</v>
      </c>
      <c r="I2914" s="23" t="n">
        <v>650000</v>
      </c>
      <c r="J2914" s="20" t="inlineStr">
        <is>
          <t>AMPL MAHINDRA</t>
        </is>
      </c>
      <c r="K2914" s="20" t="inlineStr">
        <is>
          <t>Non-Captive</t>
        </is>
      </c>
      <c r="L2914" s="20" t="inlineStr">
        <is>
          <t>VTJ MOTORS</t>
        </is>
      </c>
      <c r="M2914" s="23" t="n">
        <v>8474.58</v>
      </c>
      <c r="N2914" s="23" t="n">
        <v>10000</v>
      </c>
      <c r="O2914" s="24">
        <f>IF(AND(ISNUMBER(M2914), ISNUMBER(I2914), I2914&gt;0), M2914/I2914, "")</f>
        <v/>
      </c>
    </row>
    <row r="2915">
      <c r="A2915" s="19" t="inlineStr">
        <is>
          <t>FY27</t>
        </is>
      </c>
      <c r="B2915" s="19" t="inlineStr">
        <is>
          <t>Jul</t>
        </is>
      </c>
      <c r="C2915" s="19" t="inlineStr">
        <is>
          <t>Kerala</t>
        </is>
      </c>
      <c r="D2915" s="20" t="inlineStr">
        <is>
          <t>KL01BG5614</t>
        </is>
      </c>
      <c r="E2915" s="20" t="inlineStr">
        <is>
          <t>SKODA</t>
        </is>
      </c>
      <c r="F2915" s="20" t="inlineStr">
        <is>
          <t>Fabia</t>
        </is>
      </c>
      <c r="G2915" s="21" t="n">
        <v>2012</v>
      </c>
      <c r="H2915" s="22" t="n">
        <v>179000</v>
      </c>
      <c r="I2915" s="23" t="n">
        <v>57000</v>
      </c>
      <c r="J2915" s="20" t="inlineStr">
        <is>
          <t>EVM CITRON</t>
        </is>
      </c>
      <c r="K2915" s="20" t="inlineStr">
        <is>
          <t>Non-Captive</t>
        </is>
      </c>
      <c r="L2915" s="20" t="inlineStr">
        <is>
          <t>PRAJOD</t>
        </is>
      </c>
      <c r="M2915" s="23" t="n">
        <v>5932.2</v>
      </c>
      <c r="N2915" s="23" t="n">
        <v>7000</v>
      </c>
      <c r="O2915" s="24">
        <f>IF(AND(ISNUMBER(M2915), ISNUMBER(I2915), I2915&gt;0), M2915/I2915, "")</f>
        <v/>
      </c>
    </row>
    <row r="2916">
      <c r="A2916" s="19" t="inlineStr">
        <is>
          <t>FY27</t>
        </is>
      </c>
      <c r="B2916" s="19" t="inlineStr">
        <is>
          <t>Jul</t>
        </is>
      </c>
      <c r="C2916" s="19" t="inlineStr">
        <is>
          <t>Kerala</t>
        </is>
      </c>
      <c r="D2916" s="20" t="inlineStr">
        <is>
          <t>KL26C3999</t>
        </is>
      </c>
      <c r="E2916" s="20" t="inlineStr">
        <is>
          <t>TOYOTA</t>
        </is>
      </c>
      <c r="F2916" s="20" t="inlineStr">
        <is>
          <t>Ethios</t>
        </is>
      </c>
      <c r="G2916" s="21" t="n">
        <v>2012</v>
      </c>
      <c r="H2916" s="22" t="n">
        <v>144000</v>
      </c>
      <c r="I2916" s="23" t="n">
        <v>130000</v>
      </c>
      <c r="J2916" s="20" t="inlineStr">
        <is>
          <t>EVM CITRON</t>
        </is>
      </c>
      <c r="K2916" s="20" t="inlineStr">
        <is>
          <t>Non-Captive</t>
        </is>
      </c>
      <c r="L2916" s="20" t="inlineStr">
        <is>
          <t>PRAJOD</t>
        </is>
      </c>
      <c r="M2916" s="23" t="n">
        <v>8474.58</v>
      </c>
      <c r="N2916" s="23" t="n">
        <v>10000</v>
      </c>
      <c r="O2916" s="24">
        <f>IF(AND(ISNUMBER(M2916), ISNUMBER(I2916), I2916&gt;0), M2916/I2916, "")</f>
        <v/>
      </c>
    </row>
    <row r="2917">
      <c r="A2917" s="19" t="inlineStr">
        <is>
          <t>FY27</t>
        </is>
      </c>
      <c r="B2917" s="19" t="inlineStr">
        <is>
          <t>Jul</t>
        </is>
      </c>
      <c r="C2917" s="19" t="inlineStr">
        <is>
          <t>Kerala</t>
        </is>
      </c>
      <c r="D2917" s="20" t="inlineStr">
        <is>
          <t>KL01BU1758</t>
        </is>
      </c>
      <c r="E2917" s="20" t="inlineStr">
        <is>
          <t>TATA</t>
        </is>
      </c>
      <c r="F2917" s="20" t="inlineStr">
        <is>
          <t>Nano</t>
        </is>
      </c>
      <c r="G2917" s="21" t="n">
        <v>2015</v>
      </c>
      <c r="H2917" s="22" t="n">
        <v>89000</v>
      </c>
      <c r="I2917" s="23" t="n">
        <v>47000</v>
      </c>
      <c r="J2917" s="20" t="inlineStr">
        <is>
          <t>DERIK TATA</t>
        </is>
      </c>
      <c r="K2917" s="20" t="inlineStr">
        <is>
          <t>Non-Captive</t>
        </is>
      </c>
      <c r="L2917" s="20" t="inlineStr">
        <is>
          <t>KISHORE</t>
        </is>
      </c>
      <c r="M2917" s="23" t="n">
        <v>5932.2</v>
      </c>
      <c r="N2917" s="23" t="n">
        <v>7000</v>
      </c>
      <c r="O2917" s="24">
        <f>IF(AND(ISNUMBER(M2917), ISNUMBER(I2917), I2917&gt;0), M2917/I2917, "")</f>
        <v/>
      </c>
    </row>
    <row r="2918">
      <c r="A2918" s="19" t="inlineStr">
        <is>
          <t>FY27</t>
        </is>
      </c>
      <c r="B2918" s="19" t="inlineStr">
        <is>
          <t>Jul</t>
        </is>
      </c>
      <c r="C2918" s="19" t="inlineStr">
        <is>
          <t>Kerala</t>
        </is>
      </c>
      <c r="D2918" s="20" t="inlineStr">
        <is>
          <t>KL01BQ3104</t>
        </is>
      </c>
      <c r="E2918" s="20" t="inlineStr">
        <is>
          <t>HYUNDAI</t>
        </is>
      </c>
      <c r="F2918" s="20" t="inlineStr">
        <is>
          <t>I 10</t>
        </is>
      </c>
      <c r="G2918" s="21" t="n">
        <v>2014</v>
      </c>
      <c r="H2918" s="22" t="n">
        <v>31000</v>
      </c>
      <c r="I2918" s="23" t="n">
        <v>208000</v>
      </c>
      <c r="J2918" s="20" t="inlineStr">
        <is>
          <t>NIPPON TOYOTA</t>
        </is>
      </c>
      <c r="K2918" s="20" t="inlineStr">
        <is>
          <t>Non-Captive</t>
        </is>
      </c>
      <c r="L2918" s="20" t="inlineStr">
        <is>
          <t>KISHORE</t>
        </is>
      </c>
      <c r="M2918" s="23" t="n">
        <v>6779.66</v>
      </c>
      <c r="N2918" s="23" t="n">
        <v>8000</v>
      </c>
      <c r="O2918" s="24">
        <f>IF(AND(ISNUMBER(M2918), ISNUMBER(I2918), I2918&gt;0), M2918/I2918, "")</f>
        <v/>
      </c>
    </row>
    <row r="2919">
      <c r="A2919" s="19" t="inlineStr">
        <is>
          <t>FY27</t>
        </is>
      </c>
      <c r="B2919" s="19" t="inlineStr">
        <is>
          <t>Jul</t>
        </is>
      </c>
      <c r="C2919" s="19" t="inlineStr">
        <is>
          <t>Kerala</t>
        </is>
      </c>
      <c r="D2919" s="20" t="inlineStr">
        <is>
          <t>KL16F3924</t>
        </is>
      </c>
      <c r="E2919" s="20" t="inlineStr">
        <is>
          <t>MARUTI</t>
        </is>
      </c>
      <c r="F2919" s="20" t="inlineStr">
        <is>
          <t>Alto</t>
        </is>
      </c>
      <c r="G2919" s="21" t="n">
        <v>2010</v>
      </c>
      <c r="H2919" s="22" t="n">
        <v>58772</v>
      </c>
      <c r="I2919" s="23" t="n">
        <v>117000</v>
      </c>
      <c r="J2919" s="20" t="inlineStr">
        <is>
          <t>POPULAR MARUTI</t>
        </is>
      </c>
      <c r="K2919" s="20" t="inlineStr">
        <is>
          <t>Non-Captive</t>
        </is>
      </c>
      <c r="L2919" s="20" t="inlineStr">
        <is>
          <t>MAXX MOTORS</t>
        </is>
      </c>
      <c r="M2919" s="23" t="n">
        <v>10169.49</v>
      </c>
      <c r="N2919" s="23" t="n">
        <v>12000</v>
      </c>
      <c r="O2919" s="24">
        <f>IF(AND(ISNUMBER(M2919), ISNUMBER(I2919), I2919&gt;0), M2919/I2919, "")</f>
        <v/>
      </c>
    </row>
    <row r="2920">
      <c r="A2920" s="19" t="inlineStr">
        <is>
          <t>FY27</t>
        </is>
      </c>
      <c r="B2920" s="19" t="inlineStr">
        <is>
          <t>Jul</t>
        </is>
      </c>
      <c r="C2920" s="19" t="inlineStr">
        <is>
          <t>Kerala</t>
        </is>
      </c>
      <c r="D2920" s="20" t="inlineStr">
        <is>
          <t>KL13V0376</t>
        </is>
      </c>
      <c r="E2920" s="20" t="inlineStr">
        <is>
          <t>TATA</t>
        </is>
      </c>
      <c r="F2920" s="20" t="inlineStr">
        <is>
          <t>Indigo</t>
        </is>
      </c>
      <c r="G2920" s="21" t="n">
        <v>2010</v>
      </c>
      <c r="H2920" s="22" t="n">
        <v>83000</v>
      </c>
      <c r="I2920" s="23" t="n">
        <v>40000</v>
      </c>
      <c r="J2920" s="20" t="inlineStr">
        <is>
          <t>APCO HYUNDAI</t>
        </is>
      </c>
      <c r="K2920" s="20" t="inlineStr">
        <is>
          <t>Non-Captive</t>
        </is>
      </c>
      <c r="L2920" s="20" t="inlineStr">
        <is>
          <t>AUTOTRUST</t>
        </is>
      </c>
      <c r="M2920" s="23" t="n">
        <v>5932.2</v>
      </c>
      <c r="N2920" s="23" t="n">
        <v>7000</v>
      </c>
      <c r="O2920" s="24">
        <f>IF(AND(ISNUMBER(M2920), ISNUMBER(I2920), I2920&gt;0), M2920/I2920, "")</f>
        <v/>
      </c>
    </row>
    <row r="2921">
      <c r="A2921" s="19" t="inlineStr">
        <is>
          <t>FY27</t>
        </is>
      </c>
      <c r="B2921" s="19" t="inlineStr">
        <is>
          <t>Jul</t>
        </is>
      </c>
      <c r="C2921" s="19" t="inlineStr">
        <is>
          <t>Kerala</t>
        </is>
      </c>
      <c r="D2921" s="20" t="inlineStr">
        <is>
          <t>KL57N3753</t>
        </is>
      </c>
      <c r="E2921" s="20" t="inlineStr">
        <is>
          <t>HYUNDAI</t>
        </is>
      </c>
      <c r="F2921" s="20" t="inlineStr">
        <is>
          <t>Grand I10</t>
        </is>
      </c>
      <c r="G2921" s="21" t="n">
        <v>2016</v>
      </c>
      <c r="H2921" s="22" t="n">
        <v>48000</v>
      </c>
      <c r="I2921" s="23" t="n">
        <v>260000</v>
      </c>
      <c r="J2921" s="20" t="inlineStr">
        <is>
          <t>UCD PRAJOSH</t>
        </is>
      </c>
      <c r="K2921" s="20" t="inlineStr">
        <is>
          <t>Non-Captive</t>
        </is>
      </c>
      <c r="L2921" s="20" t="inlineStr">
        <is>
          <t>IRFAN</t>
        </is>
      </c>
      <c r="M2921" s="23" t="n">
        <v>4237.29</v>
      </c>
      <c r="N2921" s="23" t="n">
        <v>5000</v>
      </c>
      <c r="O2921" s="24">
        <f>IF(AND(ISNUMBER(M2921), ISNUMBER(I2921), I2921&gt;0), M2921/I2921, "")</f>
        <v/>
      </c>
    </row>
    <row r="2922">
      <c r="A2922" s="19" t="inlineStr">
        <is>
          <t>FY27</t>
        </is>
      </c>
      <c r="B2922" s="19" t="inlineStr">
        <is>
          <t>Jul</t>
        </is>
      </c>
      <c r="C2922" s="19" t="inlineStr">
        <is>
          <t>Kerala</t>
        </is>
      </c>
      <c r="D2922" s="20" t="inlineStr">
        <is>
          <t>KL58AE3108</t>
        </is>
      </c>
      <c r="E2922" s="20" t="inlineStr">
        <is>
          <t>TATA</t>
        </is>
      </c>
      <c r="F2922" s="20" t="inlineStr">
        <is>
          <t>Tiago</t>
        </is>
      </c>
      <c r="G2922" s="21" t="n">
        <v>2021</v>
      </c>
      <c r="H2922" s="22" t="n">
        <v>52000</v>
      </c>
      <c r="I2922" s="23" t="n">
        <v>255000</v>
      </c>
      <c r="J2922" s="20" t="inlineStr">
        <is>
          <t>KVR TATA</t>
        </is>
      </c>
      <c r="K2922" s="20" t="inlineStr">
        <is>
          <t>Non-Captive</t>
        </is>
      </c>
      <c r="L2922" s="20" t="inlineStr">
        <is>
          <t>Muhammed Yasin</t>
        </is>
      </c>
      <c r="M2922" s="23" t="n">
        <v>4237.29</v>
      </c>
      <c r="N2922" s="23" t="n">
        <v>5000</v>
      </c>
      <c r="O2922" s="24">
        <f>IF(AND(ISNUMBER(M2922), ISNUMBER(I2922), I2922&gt;0), M2922/I2922, "")</f>
        <v/>
      </c>
    </row>
    <row r="2923">
      <c r="A2923" s="19" t="inlineStr">
        <is>
          <t>FY27</t>
        </is>
      </c>
      <c r="B2923" s="19" t="inlineStr">
        <is>
          <t>Jul</t>
        </is>
      </c>
      <c r="C2923" s="19" t="inlineStr">
        <is>
          <t>Kerala</t>
        </is>
      </c>
      <c r="D2923" s="20" t="inlineStr">
        <is>
          <t>KL58S2682</t>
        </is>
      </c>
      <c r="E2923" s="20" t="inlineStr">
        <is>
          <t>HYUNDAI</t>
        </is>
      </c>
      <c r="F2923" s="20" t="inlineStr">
        <is>
          <t>I10</t>
        </is>
      </c>
      <c r="G2923" s="21" t="n">
        <v>2016</v>
      </c>
      <c r="H2923" s="22" t="n">
        <v>92000</v>
      </c>
      <c r="I2923" s="23" t="n">
        <v>215000</v>
      </c>
      <c r="J2923" s="20" t="inlineStr">
        <is>
          <t>AUTOTRUST</t>
        </is>
      </c>
      <c r="K2923" s="20" t="inlineStr">
        <is>
          <t>Non-Captive</t>
        </is>
      </c>
      <c r="L2923" s="20" t="inlineStr">
        <is>
          <t>MUHAMMED NISAB</t>
        </is>
      </c>
      <c r="M2923" s="23" t="n">
        <v>4237.29</v>
      </c>
      <c r="N2923" s="23" t="n">
        <v>5000</v>
      </c>
      <c r="O2923" s="24">
        <f>IF(AND(ISNUMBER(M2923), ISNUMBER(I2923), I2923&gt;0), M2923/I2923, "")</f>
        <v/>
      </c>
    </row>
    <row r="2924">
      <c r="A2924" s="19" t="inlineStr">
        <is>
          <t>FY27</t>
        </is>
      </c>
      <c r="B2924" s="19" t="inlineStr">
        <is>
          <t>Jul</t>
        </is>
      </c>
      <c r="C2924" s="19" t="inlineStr">
        <is>
          <t>Kerala</t>
        </is>
      </c>
      <c r="D2924" s="20" t="inlineStr">
        <is>
          <t>KL59B5105</t>
        </is>
      </c>
      <c r="E2924" s="20" t="inlineStr">
        <is>
          <t>MARUTI</t>
        </is>
      </c>
      <c r="F2924" s="20" t="inlineStr">
        <is>
          <t>Alto</t>
        </is>
      </c>
      <c r="G2924" s="21" t="n">
        <v>2009</v>
      </c>
      <c r="H2924" s="22" t="n">
        <v>85000</v>
      </c>
      <c r="I2924" s="23" t="n">
        <v>70000</v>
      </c>
      <c r="J2924" s="20" t="inlineStr">
        <is>
          <t>POPULAR MARUTI</t>
        </is>
      </c>
      <c r="K2924" s="20" t="inlineStr">
        <is>
          <t>Non-Captive</t>
        </is>
      </c>
      <c r="L2924" s="20" t="inlineStr">
        <is>
          <t>KC SHUKUR</t>
        </is>
      </c>
      <c r="M2924" s="23" t="n">
        <v>8474.58</v>
      </c>
      <c r="N2924" s="23" t="n">
        <v>10000</v>
      </c>
      <c r="O2924" s="24">
        <f>IF(AND(ISNUMBER(M2924), ISNUMBER(I2924), I2924&gt;0), M2924/I2924, "")</f>
        <v/>
      </c>
    </row>
    <row r="2925">
      <c r="A2925" s="19" t="inlineStr">
        <is>
          <t>FY27</t>
        </is>
      </c>
      <c r="B2925" s="19" t="inlineStr">
        <is>
          <t>Jul</t>
        </is>
      </c>
      <c r="C2925" s="19" t="inlineStr">
        <is>
          <t>Kerala</t>
        </is>
      </c>
      <c r="D2925" s="20" t="inlineStr">
        <is>
          <t>KL13Y0324</t>
        </is>
      </c>
      <c r="E2925" s="20" t="inlineStr">
        <is>
          <t>MARUTI</t>
        </is>
      </c>
      <c r="F2925" s="20" t="inlineStr">
        <is>
          <t>Alto</t>
        </is>
      </c>
      <c r="G2925" s="21" t="n">
        <v>2012</v>
      </c>
      <c r="H2925" s="22" t="n">
        <v>95000</v>
      </c>
      <c r="I2925" s="23" t="n">
        <v>60000</v>
      </c>
      <c r="J2925" s="20" t="inlineStr">
        <is>
          <t>POPULAR MARUTI</t>
        </is>
      </c>
      <c r="K2925" s="20" t="inlineStr">
        <is>
          <t>Non-Captive</t>
        </is>
      </c>
      <c r="L2925" s="20" t="inlineStr">
        <is>
          <t>KC SHUKUR</t>
        </is>
      </c>
      <c r="M2925" s="23" t="n">
        <v>8474.58</v>
      </c>
      <c r="N2925" s="23" t="n">
        <v>10000</v>
      </c>
      <c r="O2925" s="24">
        <f>IF(AND(ISNUMBER(M2925), ISNUMBER(I2925), I2925&gt;0), M2925/I2925, "")</f>
        <v/>
      </c>
    </row>
    <row r="2926">
      <c r="A2926" s="19" t="inlineStr">
        <is>
          <t>FY27</t>
        </is>
      </c>
      <c r="B2926" s="19" t="inlineStr">
        <is>
          <t>Jul</t>
        </is>
      </c>
      <c r="C2926" s="19" t="inlineStr">
        <is>
          <t>Kerala</t>
        </is>
      </c>
      <c r="D2926" s="20" t="inlineStr">
        <is>
          <t>KL50E5722</t>
        </is>
      </c>
      <c r="E2926" s="20" t="inlineStr">
        <is>
          <t>MARUTI</t>
        </is>
      </c>
      <c r="F2926" s="20" t="inlineStr">
        <is>
          <t>Alto800</t>
        </is>
      </c>
      <c r="G2926" s="21" t="n">
        <v>2016</v>
      </c>
      <c r="H2926" s="22" t="n">
        <v>51000</v>
      </c>
      <c r="I2926" s="23" t="n">
        <v>190000</v>
      </c>
      <c r="J2926" s="20" t="inlineStr">
        <is>
          <t>UCD ANSIL</t>
        </is>
      </c>
      <c r="K2926" s="20" t="inlineStr">
        <is>
          <t>Non-Captive</t>
        </is>
      </c>
      <c r="L2926" s="20" t="inlineStr">
        <is>
          <t>VARUN</t>
        </is>
      </c>
      <c r="M2926" s="23" t="n">
        <v>5932.2</v>
      </c>
      <c r="N2926" s="23" t="n">
        <v>7000</v>
      </c>
      <c r="O2926" s="24">
        <f>IF(AND(ISNUMBER(M2926), ISNUMBER(I2926), I2926&gt;0), M2926/I2926, "")</f>
        <v/>
      </c>
    </row>
    <row r="2927">
      <c r="A2927" s="19" t="inlineStr">
        <is>
          <t>FY27</t>
        </is>
      </c>
      <c r="B2927" s="19" t="inlineStr">
        <is>
          <t>Jul</t>
        </is>
      </c>
      <c r="C2927" s="19" t="inlineStr">
        <is>
          <t>Kerala</t>
        </is>
      </c>
      <c r="D2927" s="20" t="inlineStr">
        <is>
          <t>KL52B8421</t>
        </is>
      </c>
      <c r="E2927" s="20" t="inlineStr">
        <is>
          <t>MARUTI</t>
        </is>
      </c>
      <c r="F2927" s="20" t="inlineStr">
        <is>
          <t>Wagonr</t>
        </is>
      </c>
      <c r="G2927" s="21" t="n">
        <v>2010</v>
      </c>
      <c r="H2927" s="22" t="n">
        <v>120000</v>
      </c>
      <c r="I2927" s="23" t="n">
        <v>132000</v>
      </c>
      <c r="J2927" s="20" t="inlineStr">
        <is>
          <t>POPULAR MARUTI</t>
        </is>
      </c>
      <c r="K2927" s="20" t="inlineStr">
        <is>
          <t>Non-Captive</t>
        </is>
      </c>
      <c r="L2927" s="20" t="inlineStr">
        <is>
          <t>TOKYO CARS</t>
        </is>
      </c>
      <c r="M2927" s="23" t="n">
        <v>5932.2</v>
      </c>
      <c r="N2927" s="23" t="n">
        <v>7000</v>
      </c>
      <c r="O2927" s="24">
        <f>IF(AND(ISNUMBER(M2927), ISNUMBER(I2927), I2927&gt;0), M2927/I2927, "")</f>
        <v/>
      </c>
    </row>
    <row r="2928">
      <c r="A2928" s="19" t="inlineStr">
        <is>
          <t>FY27</t>
        </is>
      </c>
      <c r="B2928" s="19" t="inlineStr">
        <is>
          <t>Jul</t>
        </is>
      </c>
      <c r="C2928" s="19" t="inlineStr">
        <is>
          <t>Kerala</t>
        </is>
      </c>
      <c r="D2928" s="20" t="inlineStr">
        <is>
          <t>KL53G5084</t>
        </is>
      </c>
      <c r="E2928" s="20" t="inlineStr">
        <is>
          <t>MARUTI</t>
        </is>
      </c>
      <c r="F2928" s="20" t="inlineStr">
        <is>
          <t>K10</t>
        </is>
      </c>
      <c r="G2928" s="21" t="n">
        <v>2014</v>
      </c>
      <c r="H2928" s="22" t="n">
        <v>88954</v>
      </c>
      <c r="I2928" s="23" t="n">
        <v>135000</v>
      </c>
      <c r="J2928" s="20" t="inlineStr">
        <is>
          <t>ANANDHU SURESH</t>
        </is>
      </c>
      <c r="K2928" s="20" t="inlineStr">
        <is>
          <t>Non-Captive</t>
        </is>
      </c>
      <c r="L2928" s="20" t="inlineStr">
        <is>
          <t>DREAM DRIVE</t>
        </is>
      </c>
      <c r="M2928" s="23" t="n">
        <v>8474.58</v>
      </c>
      <c r="N2928" s="23" t="n">
        <v>10000</v>
      </c>
      <c r="O2928" s="24">
        <f>IF(AND(ISNUMBER(M2928), ISNUMBER(I2928), I2928&gt;0), M2928/I2928, "")</f>
        <v/>
      </c>
    </row>
    <row r="2929">
      <c r="A2929" s="19" t="inlineStr">
        <is>
          <t>FY27</t>
        </is>
      </c>
      <c r="B2929" s="19" t="inlineStr">
        <is>
          <t>Jul</t>
        </is>
      </c>
      <c r="C2929" s="19" t="inlineStr">
        <is>
          <t>Kerala</t>
        </is>
      </c>
      <c r="D2929" s="20" t="inlineStr">
        <is>
          <t>KL42C0007</t>
        </is>
      </c>
      <c r="E2929" s="20" t="inlineStr">
        <is>
          <t>MARUTI</t>
        </is>
      </c>
      <c r="F2929" s="20" t="inlineStr">
        <is>
          <t>Swift</t>
        </is>
      </c>
      <c r="G2929" s="21" t="n">
        <v>2009</v>
      </c>
      <c r="H2929" s="22" t="n">
        <v>147403</v>
      </c>
      <c r="I2929" s="23" t="n">
        <v>125000</v>
      </c>
      <c r="J2929" s="20" t="inlineStr">
        <is>
          <t>EVM CITROEN</t>
        </is>
      </c>
      <c r="K2929" s="20" t="inlineStr">
        <is>
          <t>Non-Captive</t>
        </is>
      </c>
      <c r="L2929" s="20" t="inlineStr">
        <is>
          <t>DREAM DRIVE</t>
        </is>
      </c>
      <c r="M2929" s="23" t="n">
        <v>8474.58</v>
      </c>
      <c r="N2929" s="23" t="n">
        <v>10000</v>
      </c>
      <c r="O2929" s="24">
        <f>IF(AND(ISNUMBER(M2929), ISNUMBER(I2929), I2929&gt;0), M2929/I2929, "")</f>
        <v/>
      </c>
    </row>
    <row r="2930">
      <c r="A2930" s="19" t="inlineStr">
        <is>
          <t>FY27</t>
        </is>
      </c>
      <c r="B2930" s="19" t="inlineStr">
        <is>
          <t>Jul</t>
        </is>
      </c>
      <c r="C2930" s="19" t="inlineStr">
        <is>
          <t>Kerala</t>
        </is>
      </c>
      <c r="D2930" s="20" t="inlineStr">
        <is>
          <t>KL33G3965</t>
        </is>
      </c>
      <c r="E2930" s="20" t="inlineStr">
        <is>
          <t>MARUTI</t>
        </is>
      </c>
      <c r="F2930" s="20" t="inlineStr">
        <is>
          <t>Ritz</t>
        </is>
      </c>
      <c r="G2930" s="21" t="n">
        <v>2015</v>
      </c>
      <c r="H2930" s="22" t="n">
        <v>85591</v>
      </c>
      <c r="I2930" s="23" t="n">
        <v>245000</v>
      </c>
      <c r="J2930" s="20" t="inlineStr">
        <is>
          <t>INDUS MARUTI</t>
        </is>
      </c>
      <c r="K2930" s="20" t="inlineStr">
        <is>
          <t>Non-Captive</t>
        </is>
      </c>
      <c r="L2930" s="20" t="inlineStr">
        <is>
          <t>RAJEEV A C</t>
        </is>
      </c>
      <c r="M2930" s="23" t="n">
        <v>12711.86</v>
      </c>
      <c r="N2930" s="23" t="n">
        <v>15000</v>
      </c>
      <c r="O2930" s="24">
        <f>IF(AND(ISNUMBER(M2930), ISNUMBER(I2930), I2930&gt;0), M2930/I2930, "")</f>
        <v/>
      </c>
    </row>
    <row r="2931">
      <c r="A2931" s="19" t="inlineStr">
        <is>
          <t>FY27</t>
        </is>
      </c>
      <c r="B2931" s="19" t="inlineStr">
        <is>
          <t>Jul</t>
        </is>
      </c>
      <c r="C2931" s="19" t="inlineStr">
        <is>
          <t>Kerala</t>
        </is>
      </c>
      <c r="D2931" s="20" t="inlineStr">
        <is>
          <t>KL41J2993</t>
        </is>
      </c>
      <c r="E2931" s="20" t="inlineStr">
        <is>
          <t>MARUTI</t>
        </is>
      </c>
      <c r="F2931" s="20" t="inlineStr">
        <is>
          <t>Wagonr</t>
        </is>
      </c>
      <c r="G2931" s="21" t="n">
        <v>2014</v>
      </c>
      <c r="H2931" s="22" t="n">
        <v>123713</v>
      </c>
      <c r="I2931" s="23" t="n">
        <v>215000</v>
      </c>
      <c r="J2931" s="20" t="inlineStr">
        <is>
          <t>POPULAR MARUTI</t>
        </is>
      </c>
      <c r="K2931" s="20" t="inlineStr">
        <is>
          <t>Non-Captive</t>
        </is>
      </c>
      <c r="L2931" s="20" t="inlineStr">
        <is>
          <t>JAYAPRAKSH</t>
        </is>
      </c>
      <c r="M2931" s="23" t="n">
        <v>12711.86</v>
      </c>
      <c r="N2931" s="23" t="n">
        <v>15000</v>
      </c>
      <c r="O2931" s="24">
        <f>IF(AND(ISNUMBER(M2931), ISNUMBER(I2931), I2931&gt;0), M2931/I2931, "")</f>
        <v/>
      </c>
    </row>
    <row r="2932">
      <c r="A2932" s="19" t="inlineStr">
        <is>
          <t>FY27</t>
        </is>
      </c>
      <c r="B2932" s="19" t="inlineStr">
        <is>
          <t>Jul</t>
        </is>
      </c>
      <c r="C2932" s="19" t="inlineStr">
        <is>
          <t>Kerala</t>
        </is>
      </c>
      <c r="D2932" s="20" t="inlineStr">
        <is>
          <t>KL41U2030</t>
        </is>
      </c>
      <c r="E2932" s="20" t="inlineStr">
        <is>
          <t>TOYOTA</t>
        </is>
      </c>
      <c r="F2932" s="20" t="inlineStr">
        <is>
          <t>Glanza</t>
        </is>
      </c>
      <c r="G2932" s="21" t="n">
        <v>2023</v>
      </c>
      <c r="H2932" s="22" t="n">
        <v>33081</v>
      </c>
      <c r="I2932" s="23" t="n">
        <v>547500</v>
      </c>
      <c r="J2932" s="20" t="inlineStr">
        <is>
          <t>ERAM MOTORS</t>
        </is>
      </c>
      <c r="K2932" s="20" t="inlineStr">
        <is>
          <t>Non-Captive</t>
        </is>
      </c>
      <c r="L2932" s="20" t="inlineStr">
        <is>
          <t>AITO CARS</t>
        </is>
      </c>
      <c r="M2932" s="23" t="n">
        <v>10593.22</v>
      </c>
      <c r="N2932" s="23" t="n">
        <v>12500</v>
      </c>
      <c r="O2932" s="24">
        <f>IF(AND(ISNUMBER(M2932), ISNUMBER(I2932), I2932&gt;0), M2932/I2932, "")</f>
        <v/>
      </c>
    </row>
    <row r="2933">
      <c r="A2933" s="19" t="inlineStr">
        <is>
          <t>FY27</t>
        </is>
      </c>
      <c r="B2933" s="19" t="inlineStr">
        <is>
          <t>Jul</t>
        </is>
      </c>
      <c r="C2933" s="19" t="inlineStr">
        <is>
          <t>Kerala</t>
        </is>
      </c>
      <c r="D2933" s="20" t="inlineStr">
        <is>
          <t>KL05X6348</t>
        </is>
      </c>
      <c r="E2933" s="20" t="inlineStr">
        <is>
          <t>FORD</t>
        </is>
      </c>
      <c r="F2933" s="20" t="inlineStr">
        <is>
          <t>Fiesta</t>
        </is>
      </c>
      <c r="G2933" s="21" t="n">
        <v>2007</v>
      </c>
      <c r="H2933" s="22" t="n">
        <v>85000</v>
      </c>
      <c r="I2933" s="23" t="n">
        <v>135000</v>
      </c>
      <c r="J2933" s="20" t="inlineStr">
        <is>
          <t>POPULAR HYUNDAI</t>
        </is>
      </c>
      <c r="K2933" s="20" t="inlineStr">
        <is>
          <t>Non-Captive</t>
        </is>
      </c>
      <c r="L2933" s="20" t="inlineStr">
        <is>
          <t>Clind C</t>
        </is>
      </c>
      <c r="M2933" s="23" t="n">
        <v>8474.58</v>
      </c>
      <c r="N2933" s="23" t="n">
        <v>10000</v>
      </c>
      <c r="O2933" s="24">
        <f>IF(AND(ISNUMBER(M2933), ISNUMBER(I2933), I2933&gt;0), M2933/I2933, "")</f>
        <v/>
      </c>
    </row>
    <row r="2934">
      <c r="A2934" s="19" t="inlineStr">
        <is>
          <t>FY27</t>
        </is>
      </c>
      <c r="B2934" s="19" t="inlineStr">
        <is>
          <t>Jul</t>
        </is>
      </c>
      <c r="C2934" s="19" t="inlineStr">
        <is>
          <t>Kerala</t>
        </is>
      </c>
      <c r="D2934" s="20" t="inlineStr">
        <is>
          <t>KL58T1465</t>
        </is>
      </c>
      <c r="E2934" s="20" t="inlineStr">
        <is>
          <t>MARUTI</t>
        </is>
      </c>
      <c r="F2934" s="20" t="inlineStr">
        <is>
          <t>Alto</t>
        </is>
      </c>
      <c r="G2934" s="21" t="n">
        <v>2016</v>
      </c>
      <c r="H2934" s="22" t="n">
        <v>115000</v>
      </c>
      <c r="I2934" s="23" t="n">
        <v>189000</v>
      </c>
      <c r="J2934" s="20" t="inlineStr">
        <is>
          <t>KVR TATA</t>
        </is>
      </c>
      <c r="K2934" s="20" t="inlineStr">
        <is>
          <t>Non-Captive</t>
        </is>
      </c>
      <c r="L2934" s="20" t="inlineStr">
        <is>
          <t>Varun B Prakash</t>
        </is>
      </c>
      <c r="M2934" s="23" t="n">
        <v>5084.75</v>
      </c>
      <c r="N2934" s="23" t="n">
        <v>6000</v>
      </c>
      <c r="O2934" s="24">
        <f>IF(AND(ISNUMBER(M2934), ISNUMBER(I2934), I2934&gt;0), M2934/I2934, "")</f>
        <v/>
      </c>
    </row>
    <row r="2935">
      <c r="A2935" s="19" t="inlineStr">
        <is>
          <t>FY27</t>
        </is>
      </c>
      <c r="B2935" s="19" t="inlineStr">
        <is>
          <t>Jul</t>
        </is>
      </c>
      <c r="C2935" s="19" t="inlineStr">
        <is>
          <t>Kerala</t>
        </is>
      </c>
      <c r="D2935" s="20" t="inlineStr">
        <is>
          <t>KL58J405</t>
        </is>
      </c>
      <c r="E2935" s="20" t="inlineStr">
        <is>
          <t>MARUTI</t>
        </is>
      </c>
      <c r="F2935" s="20" t="inlineStr">
        <is>
          <t>Zen Estilo</t>
        </is>
      </c>
      <c r="G2935" s="21" t="n">
        <v>2012</v>
      </c>
      <c r="H2935" s="22" t="n">
        <v>207651</v>
      </c>
      <c r="I2935" s="23" t="n">
        <v>80000</v>
      </c>
      <c r="J2935" s="20" t="inlineStr">
        <is>
          <t>KVR TATA</t>
        </is>
      </c>
      <c r="K2935" s="20" t="inlineStr">
        <is>
          <t>Non-Captive</t>
        </is>
      </c>
      <c r="L2935" s="20" t="inlineStr">
        <is>
          <t>JIMMY THOMAS</t>
        </is>
      </c>
      <c r="M2935" s="23" t="n">
        <v>8474.58</v>
      </c>
      <c r="N2935" s="23" t="n">
        <v>10000</v>
      </c>
      <c r="O2935" s="24">
        <f>IF(AND(ISNUMBER(M2935), ISNUMBER(I2935), I2935&gt;0), M2935/I2935, "")</f>
        <v/>
      </c>
    </row>
    <row r="2936">
      <c r="A2936" s="19" t="inlineStr">
        <is>
          <t>FY27</t>
        </is>
      </c>
      <c r="B2936" s="19" t="inlineStr">
        <is>
          <t>Jul</t>
        </is>
      </c>
      <c r="C2936" s="19" t="inlineStr">
        <is>
          <t>Kerala</t>
        </is>
      </c>
      <c r="D2936" s="20" t="inlineStr">
        <is>
          <t>KL13AM9805</t>
        </is>
      </c>
      <c r="E2936" s="20" t="inlineStr">
        <is>
          <t>MARUTI</t>
        </is>
      </c>
      <c r="F2936" s="20" t="inlineStr">
        <is>
          <t>Wagonr</t>
        </is>
      </c>
      <c r="G2936" s="21" t="n">
        <v>2018</v>
      </c>
      <c r="H2936" s="22" t="n">
        <v>67000</v>
      </c>
      <c r="I2936" s="23" t="n">
        <v>306000</v>
      </c>
      <c r="J2936" s="20" t="inlineStr">
        <is>
          <t>AUTOBOT</t>
        </is>
      </c>
      <c r="K2936" s="20" t="inlineStr">
        <is>
          <t>Non-Captive</t>
        </is>
      </c>
      <c r="L2936" s="20" t="inlineStr">
        <is>
          <t>Varun B Prakash</t>
        </is>
      </c>
      <c r="M2936" s="23" t="n">
        <v>4237.29</v>
      </c>
      <c r="N2936" s="23" t="n">
        <v>5000</v>
      </c>
      <c r="O2936" s="24">
        <f>IF(AND(ISNUMBER(M2936), ISNUMBER(I2936), I2936&gt;0), M2936/I2936, "")</f>
        <v/>
      </c>
    </row>
    <row r="2937">
      <c r="A2937" s="19" t="inlineStr">
        <is>
          <t>FY27</t>
        </is>
      </c>
      <c r="B2937" s="19" t="inlineStr">
        <is>
          <t>Jul</t>
        </is>
      </c>
      <c r="C2937" s="19" t="inlineStr">
        <is>
          <t>Kerala</t>
        </is>
      </c>
      <c r="D2937" s="20" t="inlineStr">
        <is>
          <t>KL58Q5887</t>
        </is>
      </c>
      <c r="E2937" s="20" t="inlineStr">
        <is>
          <t>MARUTI</t>
        </is>
      </c>
      <c r="F2937" s="20" t="inlineStr">
        <is>
          <t>Wagonr</t>
        </is>
      </c>
      <c r="G2937" s="21" t="n">
        <v>2015</v>
      </c>
      <c r="H2937" s="22" t="n">
        <v>80000</v>
      </c>
      <c r="I2937" s="23" t="n">
        <v>245000</v>
      </c>
      <c r="J2937" s="20" t="inlineStr">
        <is>
          <t>APCO HYUNDAI</t>
        </is>
      </c>
      <c r="K2937" s="20" t="inlineStr">
        <is>
          <t>Non-Captive</t>
        </is>
      </c>
      <c r="L2937" s="20" t="inlineStr">
        <is>
          <t>PRAJOSH AM</t>
        </is>
      </c>
      <c r="M2937" s="23" t="n">
        <v>4237.29</v>
      </c>
      <c r="N2937" s="23" t="n">
        <v>5000</v>
      </c>
      <c r="O2937" s="24">
        <f>IF(AND(ISNUMBER(M2937), ISNUMBER(I2937), I2937&gt;0), M2937/I2937, "")</f>
        <v/>
      </c>
    </row>
    <row r="2938">
      <c r="A2938" s="19" t="inlineStr">
        <is>
          <t>FY27</t>
        </is>
      </c>
      <c r="B2938" s="19" t="inlineStr">
        <is>
          <t>Jul</t>
        </is>
      </c>
      <c r="C2938" s="19" t="inlineStr">
        <is>
          <t>Kerala</t>
        </is>
      </c>
      <c r="D2938" s="20" t="inlineStr">
        <is>
          <t>KL10AR5599</t>
        </is>
      </c>
      <c r="E2938" s="20" t="inlineStr">
        <is>
          <t>MARUTI</t>
        </is>
      </c>
      <c r="F2938" s="20" t="inlineStr">
        <is>
          <t>Alto800</t>
        </is>
      </c>
      <c r="G2938" s="21" t="n">
        <v>2014</v>
      </c>
      <c r="H2938" s="22" t="n">
        <v>51200</v>
      </c>
      <c r="I2938" s="23" t="n">
        <v>165000</v>
      </c>
      <c r="J2938" s="20" t="inlineStr">
        <is>
          <t>KVR TATA</t>
        </is>
      </c>
      <c r="K2938" s="20" t="inlineStr">
        <is>
          <t>Non-Captive</t>
        </is>
      </c>
      <c r="L2938" s="20" t="inlineStr">
        <is>
          <t>AFSAL P ASARAF</t>
        </is>
      </c>
      <c r="M2938" s="23" t="n">
        <v>4237.29</v>
      </c>
      <c r="N2938" s="23" t="n">
        <v>5000</v>
      </c>
      <c r="O2938" s="24">
        <f>IF(AND(ISNUMBER(M2938), ISNUMBER(I2938), I2938&gt;0), M2938/I2938, "")</f>
        <v/>
      </c>
    </row>
    <row r="2939">
      <c r="A2939" s="19" t="inlineStr">
        <is>
          <t>FY27</t>
        </is>
      </c>
      <c r="B2939" s="19" t="inlineStr">
        <is>
          <t>Jul</t>
        </is>
      </c>
      <c r="C2939" s="19" t="inlineStr">
        <is>
          <t>Kerala</t>
        </is>
      </c>
      <c r="D2939" s="20" t="inlineStr">
        <is>
          <t>KL41N0044</t>
        </is>
      </c>
      <c r="E2939" s="20" t="inlineStr">
        <is>
          <t>RENAULT</t>
        </is>
      </c>
      <c r="F2939" s="20" t="inlineStr">
        <is>
          <t>Kwid</t>
        </is>
      </c>
      <c r="G2939" s="21" t="n">
        <v>2017</v>
      </c>
      <c r="H2939" s="22" t="n">
        <v>80000</v>
      </c>
      <c r="I2939" s="23" t="n">
        <v>180000</v>
      </c>
      <c r="J2939" s="20" t="inlineStr">
        <is>
          <t>INDUS MARUTI</t>
        </is>
      </c>
      <c r="K2939" s="20" t="inlineStr">
        <is>
          <t>Non-Captive</t>
        </is>
      </c>
      <c r="L2939" s="20" t="inlineStr">
        <is>
          <t>RASIK RAHIM</t>
        </is>
      </c>
      <c r="M2939" s="23" t="n">
        <v>11016.95</v>
      </c>
      <c r="N2939" s="23" t="n">
        <v>13000</v>
      </c>
      <c r="O2939" s="24">
        <f>IF(AND(ISNUMBER(M2939), ISNUMBER(I2939), I2939&gt;0), M2939/I2939, "")</f>
        <v/>
      </c>
    </row>
    <row r="2940">
      <c r="A2940" s="19" t="inlineStr">
        <is>
          <t>FY27</t>
        </is>
      </c>
      <c r="B2940" s="19" t="inlineStr">
        <is>
          <t>Jul</t>
        </is>
      </c>
      <c r="C2940" s="19" t="inlineStr">
        <is>
          <t>Kerala</t>
        </is>
      </c>
      <c r="D2940" s="20" t="inlineStr">
        <is>
          <t>KL22N3055</t>
        </is>
      </c>
      <c r="E2940" s="20" t="inlineStr">
        <is>
          <t>TATA</t>
        </is>
      </c>
      <c r="F2940" s="20" t="inlineStr">
        <is>
          <t>Tiago</t>
        </is>
      </c>
      <c r="G2940" s="21" t="n">
        <v>2019</v>
      </c>
      <c r="H2940" s="22" t="n">
        <v>63787</v>
      </c>
      <c r="I2940" s="23" t="n">
        <v>250000</v>
      </c>
      <c r="J2940" s="20" t="inlineStr">
        <is>
          <t>GOKULAM TATA</t>
        </is>
      </c>
      <c r="K2940" s="20" t="inlineStr">
        <is>
          <t>Non-Captive</t>
        </is>
      </c>
      <c r="L2940" s="20" t="inlineStr">
        <is>
          <t>RASIK RAHIM</t>
        </is>
      </c>
      <c r="M2940" s="23" t="n">
        <v>8474.58</v>
      </c>
      <c r="N2940" s="23" t="n">
        <v>10000</v>
      </c>
      <c r="O2940" s="24">
        <f>IF(AND(ISNUMBER(M2940), ISNUMBER(I2940), I2940&gt;0), M2940/I2940, "")</f>
        <v/>
      </c>
    </row>
    <row r="2941">
      <c r="A2941" s="19" t="inlineStr">
        <is>
          <t>FY27</t>
        </is>
      </c>
      <c r="B2941" s="19" t="inlineStr">
        <is>
          <t>Jul</t>
        </is>
      </c>
      <c r="C2941" s="19" t="inlineStr">
        <is>
          <t>Kerala</t>
        </is>
      </c>
      <c r="D2941" s="20" t="inlineStr">
        <is>
          <t>KL58T6048</t>
        </is>
      </c>
      <c r="E2941" s="20" t="inlineStr">
        <is>
          <t>MARUTI</t>
        </is>
      </c>
      <c r="F2941" s="20" t="inlineStr">
        <is>
          <t>Celerio</t>
        </is>
      </c>
      <c r="G2941" s="21" t="n">
        <v>2016</v>
      </c>
      <c r="H2941" s="22" t="n">
        <v>68144</v>
      </c>
      <c r="I2941" s="23" t="n">
        <v>310000</v>
      </c>
      <c r="J2941" s="20" t="inlineStr">
        <is>
          <t>KESHVIN HYUNDAI</t>
        </is>
      </c>
      <c r="K2941" s="20" t="inlineStr">
        <is>
          <t>Non-Captive</t>
        </is>
      </c>
      <c r="L2941" s="20" t="inlineStr">
        <is>
          <t>VISHNU M S</t>
        </is>
      </c>
      <c r="M2941" s="23" t="n">
        <v>8474.58</v>
      </c>
      <c r="N2941" s="23" t="n">
        <v>10000</v>
      </c>
      <c r="O2941" s="24">
        <f>IF(AND(ISNUMBER(M2941), ISNUMBER(I2941), I2941&gt;0), M2941/I2941, "")</f>
        <v/>
      </c>
    </row>
    <row r="2942">
      <c r="A2942" s="19" t="inlineStr">
        <is>
          <t>FY27</t>
        </is>
      </c>
      <c r="B2942" s="19" t="inlineStr">
        <is>
          <t>Jul</t>
        </is>
      </c>
      <c r="C2942" s="19" t="inlineStr">
        <is>
          <t>Kerala</t>
        </is>
      </c>
      <c r="D2942" s="20" t="inlineStr">
        <is>
          <t>KL07DC8041</t>
        </is>
      </c>
      <c r="E2942" s="20" t="inlineStr">
        <is>
          <t>TATA</t>
        </is>
      </c>
      <c r="F2942" s="20" t="inlineStr">
        <is>
          <t>Punch</t>
        </is>
      </c>
      <c r="G2942" s="21" t="n">
        <v>2024</v>
      </c>
      <c r="H2942" s="22" t="n">
        <v>49500</v>
      </c>
      <c r="I2942" s="23" t="n">
        <v>860000</v>
      </c>
      <c r="J2942" s="20" t="inlineStr">
        <is>
          <t>GOKULAM TATA</t>
        </is>
      </c>
      <c r="K2942" s="20" t="inlineStr">
        <is>
          <t>Non-Captive</t>
        </is>
      </c>
      <c r="L2942" s="20" t="inlineStr">
        <is>
          <t>FABITH</t>
        </is>
      </c>
      <c r="M2942" s="23" t="n">
        <v>8474.58</v>
      </c>
      <c r="N2942" s="23" t="n">
        <v>10000</v>
      </c>
      <c r="O2942" s="24">
        <f>IF(AND(ISNUMBER(M2942), ISNUMBER(I2942), I2942&gt;0), M2942/I2942, "")</f>
        <v/>
      </c>
    </row>
    <row r="2943">
      <c r="A2943" s="19" t="inlineStr">
        <is>
          <t>FY27</t>
        </is>
      </c>
      <c r="B2943" s="19" t="inlineStr">
        <is>
          <t>Jul</t>
        </is>
      </c>
      <c r="C2943" s="19" t="inlineStr">
        <is>
          <t>Kerala</t>
        </is>
      </c>
      <c r="D2943" s="20" t="inlineStr">
        <is>
          <t>KL02Z0287</t>
        </is>
      </c>
      <c r="E2943" s="20" t="inlineStr">
        <is>
          <t>MARUTI</t>
        </is>
      </c>
      <c r="F2943" s="20" t="inlineStr">
        <is>
          <t>Alto</t>
        </is>
      </c>
      <c r="G2943" s="21" t="n">
        <v>2006</v>
      </c>
      <c r="H2943" s="22" t="n">
        <v>65000</v>
      </c>
      <c r="I2943" s="23" t="n">
        <v>40000</v>
      </c>
      <c r="J2943" s="20" t="inlineStr">
        <is>
          <t>MUTHOOT HONDA</t>
        </is>
      </c>
      <c r="K2943" s="20" t="inlineStr">
        <is>
          <t>Non-Captive</t>
        </is>
      </c>
      <c r="L2943" s="20" t="inlineStr">
        <is>
          <t>SHAHAR</t>
        </is>
      </c>
      <c r="M2943" s="23" t="n">
        <v>8474.58</v>
      </c>
      <c r="N2943" s="23" t="n">
        <v>10000</v>
      </c>
      <c r="O2943" s="24">
        <f>IF(AND(ISNUMBER(M2943), ISNUMBER(I2943), I2943&gt;0), M2943/I2943, "")</f>
        <v/>
      </c>
    </row>
    <row r="2944">
      <c r="A2944" s="19" t="inlineStr">
        <is>
          <t>FY27</t>
        </is>
      </c>
      <c r="B2944" s="19" t="inlineStr">
        <is>
          <t>Jul</t>
        </is>
      </c>
      <c r="C2944" s="19" t="inlineStr">
        <is>
          <t>Kerala</t>
        </is>
      </c>
      <c r="D2944" s="20" t="inlineStr">
        <is>
          <t>KL25F5739</t>
        </is>
      </c>
      <c r="E2944" s="20" t="inlineStr">
        <is>
          <t>HONDA</t>
        </is>
      </c>
      <c r="F2944" s="20" t="inlineStr">
        <is>
          <t>City</t>
        </is>
      </c>
      <c r="G2944" s="21" t="n">
        <v>2014</v>
      </c>
      <c r="H2944" s="22" t="n">
        <v>101435</v>
      </c>
      <c r="I2944" s="23" t="n">
        <v>418500</v>
      </c>
      <c r="J2944" s="20" t="inlineStr">
        <is>
          <t>SARATHY NEXA</t>
        </is>
      </c>
      <c r="K2944" s="20" t="inlineStr">
        <is>
          <t>Non-Captive</t>
        </is>
      </c>
      <c r="L2944" s="20" t="inlineStr">
        <is>
          <t>Renjith SJ</t>
        </is>
      </c>
      <c r="M2944" s="23" t="n">
        <v>7203.39</v>
      </c>
      <c r="N2944" s="23" t="n">
        <v>8500</v>
      </c>
      <c r="O2944" s="24">
        <f>IF(AND(ISNUMBER(M2944), ISNUMBER(I2944), I2944&gt;0), M2944/I2944, "")</f>
        <v/>
      </c>
    </row>
    <row r="2945">
      <c r="A2945" s="19" t="inlineStr">
        <is>
          <t>FY27</t>
        </is>
      </c>
      <c r="B2945" s="19" t="inlineStr">
        <is>
          <t>Jul</t>
        </is>
      </c>
      <c r="C2945" s="19" t="inlineStr">
        <is>
          <t>Kerala</t>
        </is>
      </c>
      <c r="D2945" s="20" t="inlineStr">
        <is>
          <t>KL20J7855</t>
        </is>
      </c>
      <c r="E2945" s="20" t="inlineStr">
        <is>
          <t>FORD</t>
        </is>
      </c>
      <c r="F2945" s="20" t="inlineStr">
        <is>
          <t>Figo</t>
        </is>
      </c>
      <c r="G2945" s="21" t="n">
        <v>2016</v>
      </c>
      <c r="H2945" s="22" t="n">
        <v>125984</v>
      </c>
      <c r="I2945" s="23" t="n">
        <v>260000</v>
      </c>
      <c r="J2945" s="20" t="inlineStr">
        <is>
          <t>OLX</t>
        </is>
      </c>
      <c r="K2945" s="20" t="inlineStr">
        <is>
          <t>Non-Captive</t>
        </is>
      </c>
      <c r="L2945" s="20" t="inlineStr">
        <is>
          <t>DINESH P S</t>
        </is>
      </c>
      <c r="M2945" s="23" t="n">
        <v>8474.58</v>
      </c>
      <c r="N2945" s="23" t="n">
        <v>10000</v>
      </c>
      <c r="O2945" s="24">
        <f>IF(AND(ISNUMBER(M2945), ISNUMBER(I2945), I2945&gt;0), M2945/I2945, "")</f>
        <v/>
      </c>
    </row>
    <row r="2946">
      <c r="A2946" s="19" t="inlineStr">
        <is>
          <t>FY27</t>
        </is>
      </c>
      <c r="B2946" s="19" t="inlineStr">
        <is>
          <t>Jul</t>
        </is>
      </c>
      <c r="C2946" s="19" t="inlineStr">
        <is>
          <t>Kerala</t>
        </is>
      </c>
      <c r="D2946" s="20" t="inlineStr">
        <is>
          <t>KL07CF9756</t>
        </is>
      </c>
      <c r="E2946" s="20" t="inlineStr">
        <is>
          <t>MARUTI</t>
        </is>
      </c>
      <c r="F2946" s="20" t="inlineStr">
        <is>
          <t>Baleno</t>
        </is>
      </c>
      <c r="G2946" s="21" t="n">
        <v>2016</v>
      </c>
      <c r="H2946" s="22" t="n">
        <v>31771</v>
      </c>
      <c r="I2946" s="23" t="n">
        <v>435000</v>
      </c>
      <c r="J2946" s="20" t="inlineStr">
        <is>
          <t>INDUS MARUTI</t>
        </is>
      </c>
      <c r="K2946" s="20" t="inlineStr">
        <is>
          <t>Non-Captive</t>
        </is>
      </c>
      <c r="L2946" s="20" t="inlineStr">
        <is>
          <t>RASIK RAHIM</t>
        </is>
      </c>
      <c r="M2946" s="23" t="n">
        <v>8474.58</v>
      </c>
      <c r="N2946" s="23" t="n">
        <v>10000</v>
      </c>
      <c r="O2946" s="24">
        <f>IF(AND(ISNUMBER(M2946), ISNUMBER(I2946), I2946&gt;0), M2946/I2946, "")</f>
        <v/>
      </c>
    </row>
    <row r="2947">
      <c r="A2947" s="19" t="inlineStr">
        <is>
          <t>FY27</t>
        </is>
      </c>
      <c r="B2947" s="19" t="inlineStr">
        <is>
          <t>Jul</t>
        </is>
      </c>
      <c r="C2947" s="19" t="inlineStr">
        <is>
          <t>Kerala</t>
        </is>
      </c>
      <c r="D2947" s="20" t="inlineStr">
        <is>
          <t>KL31B7587</t>
        </is>
      </c>
      <c r="E2947" s="20" t="inlineStr">
        <is>
          <t>MARUTI</t>
        </is>
      </c>
      <c r="F2947" s="20" t="inlineStr">
        <is>
          <t>Wgr</t>
        </is>
      </c>
      <c r="G2947" s="21" t="n">
        <v>2010</v>
      </c>
      <c r="H2947" s="22" t="n">
        <v>79830</v>
      </c>
      <c r="I2947" s="23" t="n">
        <v>116000</v>
      </c>
      <c r="J2947" s="20" t="inlineStr">
        <is>
          <t>MAXX MOTORS</t>
        </is>
      </c>
      <c r="K2947" s="20" t="inlineStr">
        <is>
          <t>Non-Captive</t>
        </is>
      </c>
      <c r="L2947" s="20" t="inlineStr">
        <is>
          <t>KISHORE</t>
        </is>
      </c>
      <c r="M2947" s="23" t="n">
        <v>5084.75</v>
      </c>
      <c r="N2947" s="23" t="n">
        <v>6000</v>
      </c>
      <c r="O2947" s="24">
        <f>IF(AND(ISNUMBER(M2947), ISNUMBER(I2947), I2947&gt;0), M2947/I2947, "")</f>
        <v/>
      </c>
    </row>
    <row r="2948">
      <c r="A2948" s="19" t="inlineStr">
        <is>
          <t>FY27</t>
        </is>
      </c>
      <c r="B2948" s="19" t="inlineStr">
        <is>
          <t>Jul</t>
        </is>
      </c>
      <c r="C2948" s="19" t="inlineStr">
        <is>
          <t>Kerala</t>
        </is>
      </c>
      <c r="D2948" s="20" t="inlineStr">
        <is>
          <t>KL20L9663</t>
        </is>
      </c>
      <c r="E2948" s="20" t="inlineStr">
        <is>
          <t>RENAULT</t>
        </is>
      </c>
      <c r="F2948" s="20" t="inlineStr">
        <is>
          <t>Kwid</t>
        </is>
      </c>
      <c r="G2948" s="21" t="n">
        <v>2017</v>
      </c>
      <c r="H2948" s="22" t="n">
        <v>58200</v>
      </c>
      <c r="I2948" s="23" t="n">
        <v>176000</v>
      </c>
      <c r="J2948" s="20" t="inlineStr">
        <is>
          <t>LUXON MOTORS</t>
        </is>
      </c>
      <c r="K2948" s="20" t="inlineStr">
        <is>
          <t>Non-Captive</t>
        </is>
      </c>
      <c r="L2948" s="20" t="inlineStr">
        <is>
          <t>ABHISHEK</t>
        </is>
      </c>
      <c r="M2948" s="23" t="n">
        <v>5084.75</v>
      </c>
      <c r="N2948" s="23" t="n">
        <v>6000</v>
      </c>
      <c r="O2948" s="24">
        <f>IF(AND(ISNUMBER(M2948), ISNUMBER(I2948), I2948&gt;0), M2948/I2948, "")</f>
        <v/>
      </c>
    </row>
    <row r="2949">
      <c r="A2949" s="19" t="inlineStr">
        <is>
          <t>FY27</t>
        </is>
      </c>
      <c r="B2949" s="19" t="inlineStr">
        <is>
          <t>Jul</t>
        </is>
      </c>
      <c r="C2949" s="19" t="inlineStr">
        <is>
          <t>Kerala</t>
        </is>
      </c>
      <c r="D2949" s="20" t="inlineStr">
        <is>
          <t>KL46V4688</t>
        </is>
      </c>
      <c r="E2949" s="20" t="inlineStr">
        <is>
          <t>MARUTI</t>
        </is>
      </c>
      <c r="F2949" s="20" t="inlineStr">
        <is>
          <t>Swift</t>
        </is>
      </c>
      <c r="G2949" s="21" t="n">
        <v>2020</v>
      </c>
      <c r="H2949" s="22" t="n">
        <v>71354</v>
      </c>
      <c r="I2949" s="23" t="n">
        <v>462500</v>
      </c>
      <c r="J2949" s="20" t="inlineStr">
        <is>
          <t>POPULAR HYUNDAI</t>
        </is>
      </c>
      <c r="K2949" s="20" t="inlineStr">
        <is>
          <t>Non-Captive</t>
        </is>
      </c>
      <c r="L2949" s="20" t="inlineStr">
        <is>
          <t>AITO CARS</t>
        </is>
      </c>
      <c r="M2949" s="23" t="n">
        <v>10593.22</v>
      </c>
      <c r="N2949" s="23" t="n">
        <v>12500</v>
      </c>
      <c r="O2949" s="24">
        <f>IF(AND(ISNUMBER(M2949), ISNUMBER(I2949), I2949&gt;0), M2949/I2949, "")</f>
        <v/>
      </c>
    </row>
    <row r="2950">
      <c r="A2950" s="19" t="inlineStr">
        <is>
          <t>FY27</t>
        </is>
      </c>
      <c r="B2950" s="19" t="inlineStr">
        <is>
          <t>Jul</t>
        </is>
      </c>
      <c r="C2950" s="19" t="inlineStr">
        <is>
          <t>Kerala</t>
        </is>
      </c>
      <c r="D2950" s="20" t="inlineStr">
        <is>
          <t>KL11X8727</t>
        </is>
      </c>
      <c r="E2950" s="20" t="inlineStr">
        <is>
          <t>HYUNDAI</t>
        </is>
      </c>
      <c r="F2950" s="20" t="inlineStr">
        <is>
          <t>Santro</t>
        </is>
      </c>
      <c r="G2950" s="21" t="n">
        <v>2006</v>
      </c>
      <c r="H2950" s="22" t="n">
        <v>88000</v>
      </c>
      <c r="I2950" s="23" t="n">
        <v>56000</v>
      </c>
      <c r="J2950" s="20" t="inlineStr">
        <is>
          <t>BIMAL</t>
        </is>
      </c>
      <c r="K2950" s="20" t="inlineStr">
        <is>
          <t>Non-Captive</t>
        </is>
      </c>
      <c r="L2950" s="20" t="inlineStr">
        <is>
          <t>SOORAJ PK</t>
        </is>
      </c>
      <c r="M2950" s="23" t="n">
        <v>5084.75</v>
      </c>
      <c r="N2950" s="23" t="n">
        <v>6000</v>
      </c>
      <c r="O2950" s="24">
        <f>IF(AND(ISNUMBER(M2950), ISNUMBER(I2950), I2950&gt;0), M2950/I2950, "")</f>
        <v/>
      </c>
    </row>
    <row r="2951">
      <c r="A2951" s="19" t="inlineStr">
        <is>
          <t>FY27</t>
        </is>
      </c>
      <c r="B2951" s="19" t="inlineStr">
        <is>
          <t>Jul</t>
        </is>
      </c>
      <c r="C2951" s="19" t="inlineStr">
        <is>
          <t>Kerala</t>
        </is>
      </c>
      <c r="D2951" s="20" t="inlineStr">
        <is>
          <t>KL48D0395</t>
        </is>
      </c>
      <c r="E2951" s="20" t="inlineStr">
        <is>
          <t>HYUNDAI</t>
        </is>
      </c>
      <c r="F2951" s="20" t="inlineStr">
        <is>
          <t>Eon</t>
        </is>
      </c>
      <c r="G2951" s="21" t="n">
        <v>2011</v>
      </c>
      <c r="H2951" s="22" t="n">
        <v>89000</v>
      </c>
      <c r="I2951" s="23" t="n">
        <v>68000</v>
      </c>
      <c r="J2951" s="20" t="inlineStr">
        <is>
          <t>POPULAR MARUTI</t>
        </is>
      </c>
      <c r="K2951" s="20" t="inlineStr">
        <is>
          <t>Non-Captive</t>
        </is>
      </c>
      <c r="L2951" s="20" t="inlineStr">
        <is>
          <t>SOORAJ PK</t>
        </is>
      </c>
      <c r="M2951" s="23" t="n">
        <v>6779.66</v>
      </c>
      <c r="N2951" s="23" t="n">
        <v>8000</v>
      </c>
      <c r="O2951" s="24">
        <f>IF(AND(ISNUMBER(M2951), ISNUMBER(I2951), I2951&gt;0), M2951/I2951, "")</f>
        <v/>
      </c>
    </row>
    <row r="2952">
      <c r="A2952" s="19" t="inlineStr">
        <is>
          <t>FY27</t>
        </is>
      </c>
      <c r="B2952" s="19" t="inlineStr">
        <is>
          <t>Jul</t>
        </is>
      </c>
      <c r="C2952" s="19" t="inlineStr">
        <is>
          <t>Kerala</t>
        </is>
      </c>
      <c r="D2952" s="20" t="inlineStr">
        <is>
          <t>KL11AE7538</t>
        </is>
      </c>
      <c r="E2952" s="20" t="inlineStr">
        <is>
          <t>MARUTI</t>
        </is>
      </c>
      <c r="F2952" s="20" t="inlineStr">
        <is>
          <t>Swift</t>
        </is>
      </c>
      <c r="G2952" s="21" t="n">
        <v>2010</v>
      </c>
      <c r="H2952" s="22" t="n">
        <v>120000</v>
      </c>
      <c r="I2952" s="23" t="n">
        <v>132000</v>
      </c>
      <c r="J2952" s="20" t="inlineStr">
        <is>
          <t>POPULAR MARUTI</t>
        </is>
      </c>
      <c r="K2952" s="20" t="inlineStr">
        <is>
          <t>Non-Captive</t>
        </is>
      </c>
      <c r="L2952" s="20" t="inlineStr">
        <is>
          <t>P M Hakkeem</t>
        </is>
      </c>
      <c r="M2952" s="23" t="n">
        <v>5932.2</v>
      </c>
      <c r="N2952" s="23" t="n">
        <v>7000</v>
      </c>
      <c r="O2952" s="24">
        <f>IF(AND(ISNUMBER(M2952), ISNUMBER(I2952), I2952&gt;0), M2952/I2952, "")</f>
        <v/>
      </c>
    </row>
    <row r="2953">
      <c r="A2953" s="19" t="inlineStr">
        <is>
          <t>FY27</t>
        </is>
      </c>
      <c r="B2953" s="19" t="inlineStr">
        <is>
          <t>Jul</t>
        </is>
      </c>
      <c r="C2953" s="19" t="inlineStr">
        <is>
          <t>Kerala</t>
        </is>
      </c>
      <c r="D2953" s="20" t="inlineStr">
        <is>
          <t>KL01CG4936</t>
        </is>
      </c>
      <c r="E2953" s="20" t="inlineStr">
        <is>
          <t>MARUTI</t>
        </is>
      </c>
      <c r="F2953" s="20" t="inlineStr">
        <is>
          <t>Wagonr</t>
        </is>
      </c>
      <c r="G2953" s="21" t="n">
        <v>2018</v>
      </c>
      <c r="H2953" s="22" t="n">
        <v>99000</v>
      </c>
      <c r="I2953" s="23" t="n">
        <v>227000</v>
      </c>
      <c r="J2953" s="20" t="inlineStr">
        <is>
          <t>POPULAR MARUTI</t>
        </is>
      </c>
      <c r="K2953" s="20" t="inlineStr">
        <is>
          <t>Non-Captive</t>
        </is>
      </c>
      <c r="L2953" s="20" t="inlineStr">
        <is>
          <t>Varun Prakash</t>
        </is>
      </c>
      <c r="M2953" s="23" t="n">
        <v>5932.2</v>
      </c>
      <c r="N2953" s="23" t="n">
        <v>7000</v>
      </c>
      <c r="O2953" s="24">
        <f>IF(AND(ISNUMBER(M2953), ISNUMBER(I2953), I2953&gt;0), M2953/I2953, "")</f>
        <v/>
      </c>
    </row>
    <row r="2954">
      <c r="A2954" s="19" t="inlineStr">
        <is>
          <t>FY27</t>
        </is>
      </c>
      <c r="B2954" s="19" t="inlineStr">
        <is>
          <t>Jul</t>
        </is>
      </c>
      <c r="C2954" s="19" t="inlineStr">
        <is>
          <t>Kerala</t>
        </is>
      </c>
      <c r="D2954" s="20" t="inlineStr">
        <is>
          <t>KL58X9981</t>
        </is>
      </c>
      <c r="E2954" s="20" t="inlineStr">
        <is>
          <t>NISSAN</t>
        </is>
      </c>
      <c r="F2954" s="20" t="inlineStr">
        <is>
          <t>Terrano</t>
        </is>
      </c>
      <c r="G2954" s="21" t="n">
        <v>2014</v>
      </c>
      <c r="H2954" s="22" t="n">
        <v>77000</v>
      </c>
      <c r="I2954" s="23" t="n">
        <v>186000</v>
      </c>
      <c r="J2954" s="20" t="inlineStr">
        <is>
          <t>KANNUR PLATINUM</t>
        </is>
      </c>
      <c r="K2954" s="20" t="inlineStr">
        <is>
          <t>Non-Captive</t>
        </is>
      </c>
      <c r="L2954" s="20" t="inlineStr">
        <is>
          <t>RATHEESH V</t>
        </is>
      </c>
      <c r="M2954" s="23" t="n">
        <v>6779.66</v>
      </c>
      <c r="N2954" s="23" t="n">
        <v>8000</v>
      </c>
      <c r="O2954" s="24">
        <f>IF(AND(ISNUMBER(M2954), ISNUMBER(I2954), I2954&gt;0), M2954/I2954, "")</f>
        <v/>
      </c>
    </row>
    <row r="2955">
      <c r="A2955" s="19" t="inlineStr">
        <is>
          <t>FY27</t>
        </is>
      </c>
      <c r="B2955" s="19" t="inlineStr">
        <is>
          <t>Jul</t>
        </is>
      </c>
      <c r="C2955" s="19" t="inlineStr">
        <is>
          <t>Kerala</t>
        </is>
      </c>
      <c r="D2955" s="20" t="inlineStr">
        <is>
          <t>KL58K9644</t>
        </is>
      </c>
      <c r="E2955" s="20" t="inlineStr">
        <is>
          <t>HYUNDAI</t>
        </is>
      </c>
      <c r="F2955" s="20" t="inlineStr">
        <is>
          <t>Eon</t>
        </is>
      </c>
      <c r="G2955" s="21" t="n">
        <v>2013</v>
      </c>
      <c r="H2955" s="22" t="n">
        <v>99000</v>
      </c>
      <c r="I2955" s="23" t="n">
        <v>85000</v>
      </c>
      <c r="J2955" s="20" t="inlineStr">
        <is>
          <t>UCD VARUN</t>
        </is>
      </c>
      <c r="K2955" s="20" t="inlineStr">
        <is>
          <t>Non-Captive</t>
        </is>
      </c>
      <c r="L2955" s="20" t="inlineStr">
        <is>
          <t>RATHEESH V</t>
        </is>
      </c>
      <c r="M2955" s="23" t="n">
        <v>5932.2</v>
      </c>
      <c r="N2955" s="23" t="n">
        <v>7000</v>
      </c>
      <c r="O2955" s="24">
        <f>IF(AND(ISNUMBER(M2955), ISNUMBER(I2955), I2955&gt;0), M2955/I2955, "")</f>
        <v/>
      </c>
    </row>
    <row r="2956">
      <c r="A2956" s="19" t="inlineStr">
        <is>
          <t>FY27</t>
        </is>
      </c>
      <c r="B2956" s="19" t="inlineStr">
        <is>
          <t>Jul</t>
        </is>
      </c>
      <c r="C2956" s="19" t="inlineStr">
        <is>
          <t>Kerala</t>
        </is>
      </c>
      <c r="D2956" s="20" t="inlineStr">
        <is>
          <t>KL58L8592</t>
        </is>
      </c>
      <c r="E2956" s="20" t="inlineStr">
        <is>
          <t>TATA</t>
        </is>
      </c>
      <c r="F2956" s="20" t="inlineStr">
        <is>
          <t>Indica</t>
        </is>
      </c>
      <c r="G2956" s="21" t="n">
        <v>2014</v>
      </c>
      <c r="H2956" s="22" t="n">
        <v>67000</v>
      </c>
      <c r="I2956" s="23" t="n">
        <v>122000</v>
      </c>
      <c r="J2956" s="20" t="inlineStr">
        <is>
          <t>POPULAR MARUTI</t>
        </is>
      </c>
      <c r="K2956" s="20" t="inlineStr">
        <is>
          <t>Non-Captive</t>
        </is>
      </c>
      <c r="L2956" s="20" t="inlineStr">
        <is>
          <t>RATEESH V</t>
        </is>
      </c>
      <c r="M2956" s="23" t="n">
        <v>5932.2</v>
      </c>
      <c r="N2956" s="23" t="n">
        <v>7000</v>
      </c>
      <c r="O2956" s="24">
        <f>IF(AND(ISNUMBER(M2956), ISNUMBER(I2956), I2956&gt;0), M2956/I2956, "")</f>
        <v/>
      </c>
    </row>
    <row r="2957">
      <c r="A2957" s="19" t="inlineStr">
        <is>
          <t>FY27</t>
        </is>
      </c>
      <c r="B2957" s="19" t="inlineStr">
        <is>
          <t>Jul</t>
        </is>
      </c>
      <c r="C2957" s="19" t="inlineStr">
        <is>
          <t>Kerala</t>
        </is>
      </c>
      <c r="D2957" s="20" t="inlineStr">
        <is>
          <t>KL56A4544</t>
        </is>
      </c>
      <c r="E2957" s="20" t="inlineStr">
        <is>
          <t>MARUTI</t>
        </is>
      </c>
      <c r="F2957" s="20" t="inlineStr">
        <is>
          <t>Wagonr</t>
        </is>
      </c>
      <c r="G2957" s="21" t="n">
        <v>2008</v>
      </c>
      <c r="H2957" s="22" t="n">
        <v>105000</v>
      </c>
      <c r="I2957" s="23" t="n">
        <v>65000</v>
      </c>
      <c r="J2957" s="20" t="inlineStr">
        <is>
          <t>EVM SKODA</t>
        </is>
      </c>
      <c r="K2957" s="20" t="inlineStr">
        <is>
          <t>Non-Captive</t>
        </is>
      </c>
      <c r="L2957" s="20" t="inlineStr">
        <is>
          <t>TOKYO CARS</t>
        </is>
      </c>
      <c r="M2957" s="23" t="n">
        <v>4237.29</v>
      </c>
      <c r="N2957" s="23" t="n">
        <v>5000</v>
      </c>
      <c r="O2957" s="24">
        <f>IF(AND(ISNUMBER(M2957), ISNUMBER(I2957), I2957&gt;0), M2957/I2957, "")</f>
        <v/>
      </c>
    </row>
    <row r="2958">
      <c r="A2958" s="19" t="inlineStr">
        <is>
          <t>FY27</t>
        </is>
      </c>
      <c r="B2958" s="19" t="inlineStr">
        <is>
          <t>Jul</t>
        </is>
      </c>
      <c r="C2958" s="19" t="inlineStr">
        <is>
          <t>Kerala</t>
        </is>
      </c>
      <c r="D2958" s="20" t="inlineStr">
        <is>
          <t>KL58AD183</t>
        </is>
      </c>
      <c r="E2958" s="20" t="inlineStr">
        <is>
          <t>MARUTI</t>
        </is>
      </c>
      <c r="F2958" s="20" t="inlineStr">
        <is>
          <t>Alto</t>
        </is>
      </c>
      <c r="G2958" s="21" t="n">
        <v>2007</v>
      </c>
      <c r="H2958" s="22" t="n">
        <v>135000</v>
      </c>
      <c r="I2958" s="23" t="n">
        <v>55000</v>
      </c>
      <c r="J2958" s="20" t="inlineStr">
        <is>
          <t>INDUS MARUTI</t>
        </is>
      </c>
      <c r="K2958" s="20" t="inlineStr">
        <is>
          <t>Non-Captive</t>
        </is>
      </c>
      <c r="L2958" s="20" t="inlineStr">
        <is>
          <t>HIBA NASRIN</t>
        </is>
      </c>
      <c r="M2958" s="23" t="n">
        <v>4237.29</v>
      </c>
      <c r="N2958" s="23" t="n">
        <v>5000</v>
      </c>
      <c r="O2958" s="24">
        <f>IF(AND(ISNUMBER(M2958), ISNUMBER(I2958), I2958&gt;0), M2958/I2958, "")</f>
        <v/>
      </c>
    </row>
    <row r="2959">
      <c r="A2959" s="19" t="inlineStr">
        <is>
          <t>FY27</t>
        </is>
      </c>
      <c r="B2959" s="19" t="inlineStr">
        <is>
          <t>Jul</t>
        </is>
      </c>
      <c r="C2959" s="19" t="inlineStr">
        <is>
          <t>TN</t>
        </is>
      </c>
      <c r="D2959" s="20" t="inlineStr">
        <is>
          <t>TN20CE5359</t>
        </is>
      </c>
      <c r="E2959" s="20" t="inlineStr">
        <is>
          <t>MARUTI</t>
        </is>
      </c>
      <c r="F2959" s="20" t="inlineStr">
        <is>
          <t>Eeco</t>
        </is>
      </c>
      <c r="G2959" s="21" t="n">
        <v>2014</v>
      </c>
      <c r="H2959" s="22" t="n">
        <v>88307</v>
      </c>
      <c r="I2959" s="23" t="n">
        <v>234000</v>
      </c>
      <c r="J2959" s="20" t="inlineStr">
        <is>
          <t>CASTLE TRADERS Maruti</t>
        </is>
      </c>
      <c r="K2959" s="20" t="inlineStr">
        <is>
          <t>Non-Captive</t>
        </is>
      </c>
      <c r="L2959" s="20" t="inlineStr">
        <is>
          <t>S2 MOTORZ</t>
        </is>
      </c>
      <c r="M2959" s="23" t="n">
        <v>6355.93</v>
      </c>
      <c r="N2959" s="23" t="n">
        <v>7500</v>
      </c>
      <c r="O2959" s="24">
        <f>IF(AND(ISNUMBER(M2959), ISNUMBER(I2959), I2959&gt;0), M2959/I2959, "")</f>
        <v/>
      </c>
    </row>
    <row r="2960">
      <c r="A2960" s="19" t="inlineStr">
        <is>
          <t>FY27</t>
        </is>
      </c>
      <c r="B2960" s="19" t="inlineStr">
        <is>
          <t>Jul</t>
        </is>
      </c>
      <c r="C2960" s="19" t="inlineStr">
        <is>
          <t>TN</t>
        </is>
      </c>
      <c r="D2960" s="20" t="inlineStr">
        <is>
          <t>TN09DJ0308</t>
        </is>
      </c>
      <c r="E2960" s="20" t="inlineStr">
        <is>
          <t>MARUTI</t>
        </is>
      </c>
      <c r="F2960" s="20" t="inlineStr">
        <is>
          <t>Baleno</t>
        </is>
      </c>
      <c r="G2960" s="21" t="n">
        <v>2024</v>
      </c>
      <c r="H2960" s="22" t="n">
        <v>21905</v>
      </c>
      <c r="I2960" s="23" t="n">
        <v>641000</v>
      </c>
      <c r="J2960" s="20" t="inlineStr">
        <is>
          <t>CASTLE TRADERS Maruti</t>
        </is>
      </c>
      <c r="K2960" s="20" t="inlineStr">
        <is>
          <t>Non-Captive</t>
        </is>
      </c>
      <c r="L2960" s="20" t="inlineStr">
        <is>
          <t>LANSON QCARS PRIVATE LIMITED</t>
        </is>
      </c>
      <c r="M2960" s="23" t="n">
        <v>7627.12</v>
      </c>
      <c r="N2960" s="23" t="n">
        <v>9000</v>
      </c>
      <c r="O2960" s="24">
        <f>IF(AND(ISNUMBER(M2960), ISNUMBER(I2960), I2960&gt;0), M2960/I2960, "")</f>
        <v/>
      </c>
    </row>
    <row r="2961">
      <c r="A2961" s="19" t="inlineStr">
        <is>
          <t>FY27</t>
        </is>
      </c>
      <c r="B2961" s="19" t="inlineStr">
        <is>
          <t>Jul</t>
        </is>
      </c>
      <c r="C2961" s="19" t="inlineStr">
        <is>
          <t>TN</t>
        </is>
      </c>
      <c r="D2961" s="20" t="inlineStr">
        <is>
          <t>TN06E0365</t>
        </is>
      </c>
      <c r="E2961" s="20" t="inlineStr">
        <is>
          <t>TOYOTA</t>
        </is>
      </c>
      <c r="F2961" s="20" t="inlineStr">
        <is>
          <t>Etios Liva</t>
        </is>
      </c>
      <c r="G2961" s="21" t="n">
        <v>2011</v>
      </c>
      <c r="H2961" s="22" t="n">
        <v>42285</v>
      </c>
      <c r="I2961" s="23" t="n">
        <v>215000</v>
      </c>
      <c r="J2961" s="20" t="inlineStr">
        <is>
          <t>CASTLE TRADERS Maruti</t>
        </is>
      </c>
      <c r="K2961" s="20" t="inlineStr">
        <is>
          <t>Non-Captive</t>
        </is>
      </c>
      <c r="L2961" s="20" t="inlineStr">
        <is>
          <t>PINE AUTOS</t>
        </is>
      </c>
      <c r="M2961" s="23" t="n">
        <v>6355.93</v>
      </c>
      <c r="N2961" s="23" t="n">
        <v>7500</v>
      </c>
      <c r="O2961" s="24">
        <f>IF(AND(ISNUMBER(M2961), ISNUMBER(I2961), I2961&gt;0), M2961/I2961, "")</f>
        <v/>
      </c>
    </row>
    <row r="2962">
      <c r="A2962" s="19" t="inlineStr">
        <is>
          <t>FY27</t>
        </is>
      </c>
      <c r="B2962" s="19" t="inlineStr">
        <is>
          <t>Jul</t>
        </is>
      </c>
      <c r="C2962" s="19" t="inlineStr">
        <is>
          <t>TN</t>
        </is>
      </c>
      <c r="D2962" s="20" t="inlineStr">
        <is>
          <t>TN11A9378</t>
        </is>
      </c>
      <c r="E2962" s="20" t="inlineStr">
        <is>
          <t>HYUNDAI</t>
        </is>
      </c>
      <c r="F2962" s="20" t="inlineStr">
        <is>
          <t>I10</t>
        </is>
      </c>
      <c r="G2962" s="21" t="n">
        <v>2012</v>
      </c>
      <c r="H2962" s="22" t="n">
        <v>88439</v>
      </c>
      <c r="I2962" s="23" t="n">
        <v>181000</v>
      </c>
      <c r="J2962" s="20" t="inlineStr">
        <is>
          <t>Castel Traders HONADA</t>
        </is>
      </c>
      <c r="K2962" s="20" t="inlineStr">
        <is>
          <t>Non-Captive</t>
        </is>
      </c>
      <c r="L2962" s="20" t="inlineStr">
        <is>
          <t>S2 MOTORZ</t>
        </is>
      </c>
      <c r="M2962" s="23" t="n">
        <v>5084.75</v>
      </c>
      <c r="N2962" s="23" t="n">
        <v>6000</v>
      </c>
      <c r="O2962" s="24">
        <f>IF(AND(ISNUMBER(M2962), ISNUMBER(I2962), I2962&gt;0), M2962/I2962, "")</f>
        <v/>
      </c>
    </row>
    <row r="2963">
      <c r="A2963" s="19" t="inlineStr">
        <is>
          <t>FY27</t>
        </is>
      </c>
      <c r="B2963" s="19" t="inlineStr">
        <is>
          <t>Jul</t>
        </is>
      </c>
      <c r="C2963" s="19" t="inlineStr">
        <is>
          <t>TN</t>
        </is>
      </c>
      <c r="D2963" s="20" t="inlineStr">
        <is>
          <t>TN09CC0142</t>
        </is>
      </c>
      <c r="E2963" s="20" t="inlineStr">
        <is>
          <t>HYUNDAI</t>
        </is>
      </c>
      <c r="F2963" s="20" t="inlineStr">
        <is>
          <t>Grand I10</t>
        </is>
      </c>
      <c r="G2963" s="21" t="n">
        <v>2015</v>
      </c>
      <c r="H2963" s="22" t="n">
        <v>59358</v>
      </c>
      <c r="I2963" s="23" t="n">
        <v>260000</v>
      </c>
      <c r="J2963" s="20" t="inlineStr">
        <is>
          <t>EXCHANGE CHENNAI</t>
        </is>
      </c>
      <c r="K2963" s="20" t="inlineStr">
        <is>
          <t>Captive</t>
        </is>
      </c>
      <c r="L2963" s="20" t="inlineStr">
        <is>
          <t>SANTHOSH CARS</t>
        </is>
      </c>
      <c r="M2963" s="23" t="n">
        <v>8474.58</v>
      </c>
      <c r="N2963" s="23" t="n">
        <v>10000</v>
      </c>
      <c r="O2963" s="24">
        <f>IF(AND(ISNUMBER(M2963), ISNUMBER(I2963), I2963&gt;0), M2963/I2963, "")</f>
        <v/>
      </c>
    </row>
    <row r="2964">
      <c r="A2964" s="19" t="inlineStr">
        <is>
          <t>FY27</t>
        </is>
      </c>
      <c r="B2964" s="19" t="inlineStr">
        <is>
          <t>Jul</t>
        </is>
      </c>
      <c r="C2964" s="19" t="inlineStr">
        <is>
          <t>TN</t>
        </is>
      </c>
      <c r="D2964" s="20" t="inlineStr">
        <is>
          <t>TN07BM1994</t>
        </is>
      </c>
      <c r="E2964" s="20" t="inlineStr">
        <is>
          <t>HONDA</t>
        </is>
      </c>
      <c r="F2964" s="20" t="inlineStr">
        <is>
          <t>City</t>
        </is>
      </c>
      <c r="G2964" s="21" t="n">
        <v>2011</v>
      </c>
      <c r="H2964" s="22" t="n">
        <v>97114</v>
      </c>
      <c r="I2964" s="23" t="n">
        <v>190000</v>
      </c>
      <c r="J2964" s="20" t="inlineStr">
        <is>
          <t>EXCHANGE CHENNAI</t>
        </is>
      </c>
      <c r="K2964" s="20" t="inlineStr">
        <is>
          <t>Captive</t>
        </is>
      </c>
      <c r="L2964" s="20" t="inlineStr">
        <is>
          <t>SANTHOSH CARS</t>
        </is>
      </c>
      <c r="M2964" s="23" t="n">
        <v>8474.58</v>
      </c>
      <c r="N2964" s="23" t="n">
        <v>10000</v>
      </c>
      <c r="O2964" s="24">
        <f>IF(AND(ISNUMBER(M2964), ISNUMBER(I2964), I2964&gt;0), M2964/I2964, "")</f>
        <v/>
      </c>
    </row>
    <row r="2965">
      <c r="A2965" s="19" t="inlineStr">
        <is>
          <t>FY27</t>
        </is>
      </c>
      <c r="B2965" s="19" t="inlineStr">
        <is>
          <t>Jul</t>
        </is>
      </c>
      <c r="C2965" s="19" t="inlineStr">
        <is>
          <t>TN</t>
        </is>
      </c>
      <c r="D2965" s="20" t="inlineStr">
        <is>
          <t>TN23CP2599</t>
        </is>
      </c>
      <c r="E2965" s="20" t="inlineStr">
        <is>
          <t>VOLKSWAGEN</t>
        </is>
      </c>
      <c r="F2965" s="20" t="inlineStr">
        <is>
          <t>Polo</t>
        </is>
      </c>
      <c r="G2965" s="21" t="n">
        <v>2019</v>
      </c>
      <c r="H2965" s="22" t="n">
        <v>102681</v>
      </c>
      <c r="I2965" s="23" t="n">
        <v>550000</v>
      </c>
      <c r="J2965" s="20" t="inlineStr">
        <is>
          <t>EXCHANGE CHENNAI</t>
        </is>
      </c>
      <c r="K2965" s="20" t="inlineStr">
        <is>
          <t>Captive</t>
        </is>
      </c>
      <c r="L2965" s="20" t="inlineStr">
        <is>
          <t>Senthil Cars</t>
        </is>
      </c>
      <c r="M2965" s="23" t="n">
        <v>8474.58</v>
      </c>
      <c r="N2965" s="23" t="n">
        <v>10000</v>
      </c>
      <c r="O2965" s="24">
        <f>IF(AND(ISNUMBER(M2965), ISNUMBER(I2965), I2965&gt;0), M2965/I2965, "")</f>
        <v/>
      </c>
    </row>
    <row r="2966">
      <c r="A2966" s="19" t="inlineStr">
        <is>
          <t>FY27</t>
        </is>
      </c>
      <c r="B2966" s="19" t="inlineStr">
        <is>
          <t>Jul</t>
        </is>
      </c>
      <c r="C2966" s="19" t="inlineStr">
        <is>
          <t>TN</t>
        </is>
      </c>
      <c r="D2966" s="20" t="inlineStr">
        <is>
          <t>TN06R1399</t>
        </is>
      </c>
      <c r="E2966" s="20" t="inlineStr">
        <is>
          <t>HONDA</t>
        </is>
      </c>
      <c r="F2966" s="20" t="inlineStr">
        <is>
          <t>Amaze</t>
        </is>
      </c>
      <c r="G2966" s="21" t="n">
        <v>2016</v>
      </c>
      <c r="H2966" s="22" t="n">
        <v>79710</v>
      </c>
      <c r="I2966" s="23" t="n">
        <v>320000</v>
      </c>
      <c r="J2966" s="20" t="inlineStr">
        <is>
          <t>EXCHANGE CHENNAI</t>
        </is>
      </c>
      <c r="K2966" s="20" t="inlineStr">
        <is>
          <t>Captive</t>
        </is>
      </c>
      <c r="L2966" s="20" t="inlineStr">
        <is>
          <t>Aasim Motors</t>
        </is>
      </c>
      <c r="M2966" s="23" t="n">
        <v>8474.58</v>
      </c>
      <c r="N2966" s="23" t="n">
        <v>10000</v>
      </c>
      <c r="O2966" s="24">
        <f>IF(AND(ISNUMBER(M2966), ISNUMBER(I2966), I2966&gt;0), M2966/I2966, "")</f>
        <v/>
      </c>
    </row>
    <row r="2967">
      <c r="A2967" s="19" t="inlineStr">
        <is>
          <t>FY27</t>
        </is>
      </c>
      <c r="B2967" s="19" t="inlineStr">
        <is>
          <t>Jul</t>
        </is>
      </c>
      <c r="C2967" s="19" t="inlineStr">
        <is>
          <t>TN</t>
        </is>
      </c>
      <c r="D2967" s="20" t="inlineStr">
        <is>
          <t>TN85T3477</t>
        </is>
      </c>
      <c r="E2967" s="20" t="inlineStr">
        <is>
          <t>TATA</t>
        </is>
      </c>
      <c r="F2967" s="20" t="inlineStr">
        <is>
          <t>Punch</t>
        </is>
      </c>
      <c r="G2967" s="21" t="n">
        <v>2023</v>
      </c>
      <c r="H2967" s="22" t="n">
        <v>16925</v>
      </c>
      <c r="I2967" s="23" t="n">
        <v>480000</v>
      </c>
      <c r="J2967" s="20" t="inlineStr">
        <is>
          <t>EXCHANGE CHENNAI</t>
        </is>
      </c>
      <c r="K2967" s="20" t="inlineStr">
        <is>
          <t>Captive</t>
        </is>
      </c>
      <c r="L2967" s="20" t="inlineStr">
        <is>
          <t>S2 MOTORZ</t>
        </is>
      </c>
      <c r="M2967" s="23" t="n">
        <v>8474.58</v>
      </c>
      <c r="N2967" s="23" t="n">
        <v>10000</v>
      </c>
      <c r="O2967" s="24">
        <f>IF(AND(ISNUMBER(M2967), ISNUMBER(I2967), I2967&gt;0), M2967/I2967, "")</f>
        <v/>
      </c>
    </row>
    <row r="2968">
      <c r="A2968" s="19" t="inlineStr">
        <is>
          <t>FY27</t>
        </is>
      </c>
      <c r="B2968" s="19" t="inlineStr">
        <is>
          <t>Jul</t>
        </is>
      </c>
      <c r="C2968" s="19" t="inlineStr">
        <is>
          <t>TN</t>
        </is>
      </c>
      <c r="D2968" s="20" t="inlineStr">
        <is>
          <t>TN20CP2560</t>
        </is>
      </c>
      <c r="E2968" s="20" t="inlineStr">
        <is>
          <t>HYUNDAI</t>
        </is>
      </c>
      <c r="F2968" s="20" t="inlineStr">
        <is>
          <t>Eon</t>
        </is>
      </c>
      <c r="G2968" s="21" t="n">
        <v>2018</v>
      </c>
      <c r="H2968" s="22" t="n">
        <v>40328</v>
      </c>
      <c r="I2968" s="23" t="n">
        <v>225000</v>
      </c>
      <c r="J2968" s="20" t="inlineStr">
        <is>
          <t>CASTLE TRADERS Maruti</t>
        </is>
      </c>
      <c r="K2968" s="20" t="inlineStr">
        <is>
          <t>Non-Captive</t>
        </is>
      </c>
      <c r="L2968" s="20" t="inlineStr">
        <is>
          <t>S2 MOTORZ</t>
        </is>
      </c>
      <c r="M2968" s="23" t="n">
        <v>6355.93</v>
      </c>
      <c r="N2968" s="23" t="n">
        <v>7500</v>
      </c>
      <c r="O2968" s="24">
        <f>IF(AND(ISNUMBER(M2968), ISNUMBER(I2968), I2968&gt;0), M2968/I2968, "")</f>
        <v/>
      </c>
    </row>
    <row r="2969">
      <c r="A2969" s="19" t="inlineStr">
        <is>
          <t>FY27</t>
        </is>
      </c>
      <c r="B2969" s="19" t="inlineStr">
        <is>
          <t>Jul</t>
        </is>
      </c>
      <c r="C2969" s="19" t="inlineStr">
        <is>
          <t>TN</t>
        </is>
      </c>
      <c r="D2969" s="20" t="inlineStr">
        <is>
          <t>TN04AP5142</t>
        </is>
      </c>
      <c r="E2969" s="20" t="inlineStr">
        <is>
          <t>MARUTI</t>
        </is>
      </c>
      <c r="F2969" s="20" t="inlineStr">
        <is>
          <t>Alto 800</t>
        </is>
      </c>
      <c r="G2969" s="21" t="n">
        <v>2014</v>
      </c>
      <c r="H2969" s="22" t="n">
        <v>44710</v>
      </c>
      <c r="I2969" s="23" t="n">
        <v>175000</v>
      </c>
      <c r="J2969" s="20" t="inlineStr">
        <is>
          <t>CASTLE TRADERS Maruti</t>
        </is>
      </c>
      <c r="K2969" s="20" t="inlineStr">
        <is>
          <t>Non-Captive</t>
        </is>
      </c>
      <c r="L2969" s="20" t="inlineStr">
        <is>
          <t>hahahashini cars</t>
        </is>
      </c>
      <c r="M2969" s="23" t="n">
        <v>4237.29</v>
      </c>
      <c r="N2969" s="23" t="n">
        <v>5000</v>
      </c>
      <c r="O2969" s="24">
        <f>IF(AND(ISNUMBER(M2969), ISNUMBER(I2969), I2969&gt;0), M2969/I2969, "")</f>
        <v/>
      </c>
    </row>
    <row r="2970">
      <c r="A2970" s="19" t="inlineStr">
        <is>
          <t>FY27</t>
        </is>
      </c>
      <c r="B2970" s="19" t="inlineStr">
        <is>
          <t>Jul</t>
        </is>
      </c>
      <c r="C2970" s="19" t="inlineStr">
        <is>
          <t>TN</t>
        </is>
      </c>
      <c r="D2970" s="20" t="inlineStr">
        <is>
          <t>TN85U5259</t>
        </is>
      </c>
      <c r="E2970" s="20" t="inlineStr">
        <is>
          <t>SKODA</t>
        </is>
      </c>
      <c r="F2970" s="20" t="inlineStr">
        <is>
          <t>Kushaq</t>
        </is>
      </c>
      <c r="G2970" s="21" t="n">
        <v>2023</v>
      </c>
      <c r="H2970" s="22" t="n">
        <v>31454</v>
      </c>
      <c r="I2970" s="23" t="n">
        <v>400000</v>
      </c>
      <c r="J2970" s="20" t="inlineStr">
        <is>
          <t>GURUDEV MOTORS LLP</t>
        </is>
      </c>
      <c r="K2970" s="20" t="inlineStr">
        <is>
          <t>Non-Captive</t>
        </is>
      </c>
      <c r="L2970" s="20" t="inlineStr">
        <is>
          <t>NIRMAL CARS</t>
        </is>
      </c>
      <c r="M2970" s="23" t="n">
        <v>6355.93</v>
      </c>
      <c r="N2970" s="23" t="n">
        <v>7500</v>
      </c>
      <c r="O2970" s="24">
        <f>IF(AND(ISNUMBER(M2970), ISNUMBER(I2970), I2970&gt;0), M2970/I2970, "")</f>
        <v/>
      </c>
    </row>
    <row r="2971">
      <c r="A2971" s="19" t="inlineStr">
        <is>
          <t>FY27</t>
        </is>
      </c>
      <c r="B2971" s="19" t="inlineStr">
        <is>
          <t>Jul</t>
        </is>
      </c>
      <c r="C2971" s="19" t="inlineStr">
        <is>
          <t>TN</t>
        </is>
      </c>
      <c r="D2971" s="20" t="inlineStr">
        <is>
          <t>TN10BU2099</t>
        </is>
      </c>
      <c r="E2971" s="20" t="inlineStr">
        <is>
          <t>KIA</t>
        </is>
      </c>
      <c r="F2971" s="20" t="inlineStr">
        <is>
          <t>Seltos</t>
        </is>
      </c>
      <c r="G2971" s="21" t="n">
        <v>2023</v>
      </c>
      <c r="H2971" s="22" t="n">
        <v>46828</v>
      </c>
      <c r="I2971" s="23" t="n">
        <v>400000</v>
      </c>
      <c r="J2971" s="20" t="inlineStr">
        <is>
          <t>GURUDEV MOTORS LLP</t>
        </is>
      </c>
      <c r="K2971" s="20" t="inlineStr">
        <is>
          <t>Non-Captive</t>
        </is>
      </c>
      <c r="L2971" s="20" t="inlineStr">
        <is>
          <t>NIRMAL CARS</t>
        </is>
      </c>
      <c r="M2971" s="23" t="n">
        <v>6355.93</v>
      </c>
      <c r="N2971" s="23" t="n">
        <v>7500</v>
      </c>
      <c r="O2971" s="24">
        <f>IF(AND(ISNUMBER(M2971), ISNUMBER(I2971), I2971&gt;0), M2971/I2971, "")</f>
        <v/>
      </c>
    </row>
    <row r="2972">
      <c r="A2972" s="19" t="inlineStr">
        <is>
          <t>FY27</t>
        </is>
      </c>
      <c r="B2972" s="19" t="inlineStr">
        <is>
          <t>Jul</t>
        </is>
      </c>
      <c r="C2972" s="19" t="inlineStr">
        <is>
          <t>TN</t>
        </is>
      </c>
      <c r="D2972" s="20" t="inlineStr">
        <is>
          <t>TN09CP2776</t>
        </is>
      </c>
      <c r="E2972" s="20" t="inlineStr">
        <is>
          <t>HYUNDAI</t>
        </is>
      </c>
      <c r="F2972" s="20" t="inlineStr">
        <is>
          <t>Creta</t>
        </is>
      </c>
      <c r="G2972" s="21" t="n">
        <v>2019</v>
      </c>
      <c r="H2972" s="22" t="n">
        <v>109567</v>
      </c>
      <c r="I2972" s="23" t="n">
        <v>620000</v>
      </c>
      <c r="J2972" s="20" t="inlineStr">
        <is>
          <t>CASTLE TRADERS Maruti</t>
        </is>
      </c>
      <c r="K2972" s="20" t="inlineStr">
        <is>
          <t>Non-Captive</t>
        </is>
      </c>
      <c r="L2972" s="20" t="inlineStr">
        <is>
          <t>Suresh cars</t>
        </is>
      </c>
      <c r="M2972" s="23" t="n">
        <v>10169.49</v>
      </c>
      <c r="N2972" s="23" t="n">
        <v>12000</v>
      </c>
      <c r="O2972" s="24">
        <f>IF(AND(ISNUMBER(M2972), ISNUMBER(I2972), I2972&gt;0), M2972/I2972, "")</f>
        <v/>
      </c>
    </row>
    <row r="2973">
      <c r="A2973" s="19" t="inlineStr">
        <is>
          <t>FY27</t>
        </is>
      </c>
      <c r="B2973" s="19" t="inlineStr">
        <is>
          <t>Jul</t>
        </is>
      </c>
      <c r="C2973" s="19" t="inlineStr">
        <is>
          <t>TN</t>
        </is>
      </c>
      <c r="D2973" s="20" t="inlineStr">
        <is>
          <t>TN29BM4646</t>
        </is>
      </c>
      <c r="E2973" s="20" t="inlineStr">
        <is>
          <t>HYUNDAI</t>
        </is>
      </c>
      <c r="F2973" s="20" t="inlineStr">
        <is>
          <t>Creta</t>
        </is>
      </c>
      <c r="G2973" s="21" t="n">
        <v>2020</v>
      </c>
      <c r="H2973" s="22" t="n">
        <v>56936</v>
      </c>
      <c r="I2973" s="23" t="n">
        <v>600000</v>
      </c>
      <c r="J2973" s="20" t="inlineStr">
        <is>
          <t>AUTOMOTIVE MANUFACTURES PRIVATE LIMITED</t>
        </is>
      </c>
      <c r="K2973" s="20" t="inlineStr">
        <is>
          <t>Non-Captive</t>
        </is>
      </c>
      <c r="L2973" s="20" t="inlineStr">
        <is>
          <t>NIRMAL CARS</t>
        </is>
      </c>
      <c r="M2973" s="23" t="n">
        <v>10169.49</v>
      </c>
      <c r="N2973" s="23" t="n">
        <v>12000</v>
      </c>
      <c r="O2973" s="24">
        <f>IF(AND(ISNUMBER(M2973), ISNUMBER(I2973), I2973&gt;0), M2973/I2973, "")</f>
        <v/>
      </c>
    </row>
    <row r="2974">
      <c r="A2974" s="19" t="inlineStr">
        <is>
          <t>FY27</t>
        </is>
      </c>
      <c r="B2974" s="19" t="inlineStr">
        <is>
          <t>Jul</t>
        </is>
      </c>
      <c r="C2974" s="19" t="inlineStr">
        <is>
          <t>TN</t>
        </is>
      </c>
      <c r="D2974" s="20" t="inlineStr">
        <is>
          <t>TN14U6741</t>
        </is>
      </c>
      <c r="E2974" s="20" t="inlineStr">
        <is>
          <t>HYUNDAI</t>
        </is>
      </c>
      <c r="F2974" s="20" t="inlineStr">
        <is>
          <t>Venue</t>
        </is>
      </c>
      <c r="G2974" s="21" t="n">
        <v>2019</v>
      </c>
      <c r="H2974" s="22" t="n">
        <v>96356</v>
      </c>
      <c r="I2974" s="23" t="n">
        <v>505000</v>
      </c>
      <c r="J2974" s="20" t="inlineStr">
        <is>
          <t>CASTLE TRADERS Maruti</t>
        </is>
      </c>
      <c r="K2974" s="20" t="inlineStr">
        <is>
          <t>Non-Captive</t>
        </is>
      </c>
      <c r="L2974" s="20" t="inlineStr">
        <is>
          <t>PINE AUTOS</t>
        </is>
      </c>
      <c r="M2974" s="23" t="n">
        <v>7627.12</v>
      </c>
      <c r="N2974" s="23" t="n">
        <v>9000</v>
      </c>
      <c r="O2974" s="24">
        <f>IF(AND(ISNUMBER(M2974), ISNUMBER(I2974), I2974&gt;0), M2974/I2974, "")</f>
        <v/>
      </c>
    </row>
    <row r="2975">
      <c r="A2975" s="19" t="inlineStr">
        <is>
          <t>FY27</t>
        </is>
      </c>
      <c r="B2975" s="19" t="inlineStr">
        <is>
          <t>Jul</t>
        </is>
      </c>
      <c r="C2975" s="19" t="inlineStr">
        <is>
          <t>TN</t>
        </is>
      </c>
      <c r="D2975" s="20" t="inlineStr">
        <is>
          <t>TN13M9442</t>
        </is>
      </c>
      <c r="E2975" s="20" t="inlineStr">
        <is>
          <t>MARUTI</t>
        </is>
      </c>
      <c r="F2975" s="20" t="inlineStr">
        <is>
          <t>Baleno</t>
        </is>
      </c>
      <c r="G2975" s="21" t="n">
        <v>2018</v>
      </c>
      <c r="H2975" s="22" t="n">
        <v>71553</v>
      </c>
      <c r="I2975" s="23" t="n">
        <v>380000</v>
      </c>
      <c r="J2975" s="20" t="inlineStr">
        <is>
          <t>CASTLE TRADERS Maruti</t>
        </is>
      </c>
      <c r="K2975" s="20" t="inlineStr">
        <is>
          <t>Non-Captive</t>
        </is>
      </c>
      <c r="L2975" s="20" t="inlineStr">
        <is>
          <t>Vijaya cars</t>
        </is>
      </c>
      <c r="M2975" s="23" t="n">
        <v>6355.93</v>
      </c>
      <c r="N2975" s="23" t="n">
        <v>7500</v>
      </c>
      <c r="O2975" s="24">
        <f>IF(AND(ISNUMBER(M2975), ISNUMBER(I2975), I2975&gt;0), M2975/I2975, "")</f>
        <v/>
      </c>
    </row>
    <row r="2976">
      <c r="A2976" s="19" t="inlineStr">
        <is>
          <t>FY27</t>
        </is>
      </c>
      <c r="B2976" s="19" t="inlineStr">
        <is>
          <t>Jul</t>
        </is>
      </c>
      <c r="C2976" s="19" t="inlineStr">
        <is>
          <t>TN</t>
        </is>
      </c>
      <c r="D2976" s="20" t="inlineStr">
        <is>
          <t>TN01BC0317</t>
        </is>
      </c>
      <c r="E2976" s="20" t="inlineStr">
        <is>
          <t>MAHINDRA</t>
        </is>
      </c>
      <c r="F2976" s="20" t="inlineStr">
        <is>
          <t>Kuv 100</t>
        </is>
      </c>
      <c r="G2976" s="21" t="n">
        <v>2017</v>
      </c>
      <c r="H2976" s="22" t="n">
        <v>52776</v>
      </c>
      <c r="I2976" s="23" t="n">
        <v>215000</v>
      </c>
      <c r="J2976" s="20" t="inlineStr">
        <is>
          <t>CASTLE TRADERS Maruti</t>
        </is>
      </c>
      <c r="K2976" s="20" t="inlineStr">
        <is>
          <t>Non-Captive</t>
        </is>
      </c>
      <c r="L2976" s="20" t="inlineStr">
        <is>
          <t>Aasim Motors</t>
        </is>
      </c>
      <c r="M2976" s="23" t="n">
        <v>6355.93</v>
      </c>
      <c r="N2976" s="23" t="n">
        <v>7500</v>
      </c>
      <c r="O2976" s="24">
        <f>IF(AND(ISNUMBER(M2976), ISNUMBER(I2976), I2976&gt;0), M2976/I2976, "")</f>
        <v/>
      </c>
    </row>
    <row r="2977">
      <c r="A2977" s="19" t="inlineStr">
        <is>
          <t>FY27</t>
        </is>
      </c>
      <c r="B2977" s="19" t="inlineStr">
        <is>
          <t>Jul</t>
        </is>
      </c>
      <c r="C2977" s="19" t="inlineStr">
        <is>
          <t>TN</t>
        </is>
      </c>
      <c r="D2977" s="20" t="inlineStr">
        <is>
          <t>TN18BE5748</t>
        </is>
      </c>
      <c r="E2977" s="20" t="inlineStr">
        <is>
          <t>MARUTI</t>
        </is>
      </c>
      <c r="F2977" s="20" t="inlineStr">
        <is>
          <t>Dzire</t>
        </is>
      </c>
      <c r="G2977" s="21" t="n">
        <v>2021</v>
      </c>
      <c r="H2977" s="22" t="n">
        <v>93265</v>
      </c>
      <c r="I2977" s="23" t="n">
        <v>495000</v>
      </c>
      <c r="J2977" s="20" t="inlineStr">
        <is>
          <t>CASTLE TRADERS Maruti</t>
        </is>
      </c>
      <c r="K2977" s="20" t="inlineStr">
        <is>
          <t>Non-Captive</t>
        </is>
      </c>
      <c r="L2977" s="20" t="inlineStr">
        <is>
          <t>KAMAL CARS</t>
        </is>
      </c>
      <c r="M2977" s="23" t="n">
        <v>7627.12</v>
      </c>
      <c r="N2977" s="23" t="n">
        <v>9000</v>
      </c>
      <c r="O2977" s="24">
        <f>IF(AND(ISNUMBER(M2977), ISNUMBER(I2977), I2977&gt;0), M2977/I2977, "")</f>
        <v/>
      </c>
    </row>
    <row r="2978">
      <c r="A2978" s="19" t="inlineStr">
        <is>
          <t>FY27</t>
        </is>
      </c>
      <c r="B2978" s="19" t="inlineStr">
        <is>
          <t>Jul</t>
        </is>
      </c>
      <c r="C2978" s="19" t="inlineStr">
        <is>
          <t>TN</t>
        </is>
      </c>
      <c r="D2978" s="20" t="inlineStr">
        <is>
          <t>TN06U7281</t>
        </is>
      </c>
      <c r="E2978" s="20" t="inlineStr">
        <is>
          <t>HONDA</t>
        </is>
      </c>
      <c r="F2978" s="20" t="inlineStr">
        <is>
          <t>Brv</t>
        </is>
      </c>
      <c r="G2978" s="21" t="n">
        <v>2017</v>
      </c>
      <c r="H2978" s="22" t="n">
        <v>965413</v>
      </c>
      <c r="I2978" s="23" t="n">
        <v>560000</v>
      </c>
      <c r="J2978" s="20" t="inlineStr">
        <is>
          <t>Castel Traders HONADA</t>
        </is>
      </c>
      <c r="K2978" s="20" t="inlineStr">
        <is>
          <t>Non-Captive</t>
        </is>
      </c>
      <c r="L2978" s="20" t="inlineStr">
        <is>
          <t>M/S YES CARS</t>
        </is>
      </c>
      <c r="M2978" s="23" t="n">
        <v>4237.29</v>
      </c>
      <c r="N2978" s="23" t="n">
        <v>5000</v>
      </c>
      <c r="O2978" s="24">
        <f>IF(AND(ISNUMBER(M2978), ISNUMBER(I2978), I2978&gt;0), M2978/I2978, "")</f>
        <v/>
      </c>
    </row>
    <row r="2979">
      <c r="A2979" s="19" t="inlineStr">
        <is>
          <t>FY27</t>
        </is>
      </c>
      <c r="B2979" s="19" t="inlineStr">
        <is>
          <t>Jul</t>
        </is>
      </c>
      <c r="C2979" s="19" t="inlineStr">
        <is>
          <t>TN</t>
        </is>
      </c>
      <c r="D2979" s="20" t="inlineStr">
        <is>
          <t>TN02BR5407</t>
        </is>
      </c>
      <c r="E2979" s="20" t="inlineStr">
        <is>
          <t>HYUNDAI</t>
        </is>
      </c>
      <c r="F2979" s="20" t="inlineStr">
        <is>
          <t>Grand I10</t>
        </is>
      </c>
      <c r="G2979" s="21" t="n">
        <v>2019</v>
      </c>
      <c r="H2979" s="22" t="n">
        <v>86238</v>
      </c>
      <c r="I2979" s="23" t="n">
        <v>355000</v>
      </c>
      <c r="J2979" s="20" t="inlineStr">
        <is>
          <t>Castel Traders HONADA</t>
        </is>
      </c>
      <c r="K2979" s="20" t="inlineStr">
        <is>
          <t>Non-Captive</t>
        </is>
      </c>
      <c r="L2979" s="20" t="inlineStr">
        <is>
          <t>M/S YES CARS</t>
        </is>
      </c>
      <c r="M2979" s="23" t="n">
        <v>4237.29</v>
      </c>
      <c r="N2979" s="23" t="n">
        <v>5000</v>
      </c>
      <c r="O2979" s="24">
        <f>IF(AND(ISNUMBER(M2979), ISNUMBER(I2979), I2979&gt;0), M2979/I2979, "")</f>
        <v/>
      </c>
    </row>
    <row r="2980">
      <c r="A2980" s="19" t="inlineStr">
        <is>
          <t>FY27</t>
        </is>
      </c>
      <c r="B2980" s="19" t="inlineStr">
        <is>
          <t>Jul</t>
        </is>
      </c>
      <c r="C2980" s="19" t="inlineStr">
        <is>
          <t>TN</t>
        </is>
      </c>
      <c r="D2980" s="20" t="inlineStr">
        <is>
          <t>TN07BL5949</t>
        </is>
      </c>
      <c r="E2980" s="20" t="inlineStr">
        <is>
          <t>NISSAN</t>
        </is>
      </c>
      <c r="F2980" s="20" t="inlineStr">
        <is>
          <t>Micra</t>
        </is>
      </c>
      <c r="G2980" s="21" t="n">
        <v>2011</v>
      </c>
      <c r="H2980" s="22" t="n">
        <v>45157</v>
      </c>
      <c r="I2980" s="23" t="n">
        <v>165000</v>
      </c>
      <c r="J2980" s="20" t="inlineStr">
        <is>
          <t>CASTLE TRADERS Maruti</t>
        </is>
      </c>
      <c r="K2980" s="20" t="inlineStr">
        <is>
          <t>Non-Captive</t>
        </is>
      </c>
      <c r="L2980" s="20" t="inlineStr">
        <is>
          <t>PINE AUTOS</t>
        </is>
      </c>
      <c r="M2980" s="23" t="n">
        <v>5084.75</v>
      </c>
      <c r="N2980" s="23" t="n">
        <v>6000</v>
      </c>
      <c r="O2980" s="24">
        <f>IF(AND(ISNUMBER(M2980), ISNUMBER(I2980), I2980&gt;0), M2980/I2980, "")</f>
        <v/>
      </c>
    </row>
    <row r="2981">
      <c r="A2981" s="19" t="inlineStr">
        <is>
          <t>FY27</t>
        </is>
      </c>
      <c r="B2981" s="19" t="inlineStr">
        <is>
          <t>Jul</t>
        </is>
      </c>
      <c r="C2981" s="19" t="inlineStr">
        <is>
          <t>TN</t>
        </is>
      </c>
      <c r="D2981" s="20" t="inlineStr">
        <is>
          <t>TN01BA5542</t>
        </is>
      </c>
      <c r="E2981" s="20" t="inlineStr">
        <is>
          <t>MAHINDRA</t>
        </is>
      </c>
      <c r="F2981" s="20" t="inlineStr">
        <is>
          <t>Kuv 100</t>
        </is>
      </c>
      <c r="G2981" s="21" t="n">
        <v>2016</v>
      </c>
      <c r="H2981" s="22" t="n">
        <v>120740</v>
      </c>
      <c r="I2981" s="23" t="n">
        <v>205000</v>
      </c>
      <c r="J2981" s="20" t="inlineStr">
        <is>
          <t>CASTLE TRADERS Maruti</t>
        </is>
      </c>
      <c r="K2981" s="20" t="inlineStr">
        <is>
          <t>Non-Captive</t>
        </is>
      </c>
      <c r="L2981" s="20" t="inlineStr">
        <is>
          <t>AAA CARS</t>
        </is>
      </c>
      <c r="M2981" s="23" t="n">
        <v>8627.120000000001</v>
      </c>
      <c r="N2981" s="23" t="n">
        <v>10180</v>
      </c>
      <c r="O2981" s="24">
        <f>IF(AND(ISNUMBER(M2981), ISNUMBER(I2981), I2981&gt;0), M2981/I2981, "")</f>
        <v/>
      </c>
    </row>
    <row r="2982">
      <c r="A2982" s="19" t="inlineStr">
        <is>
          <t>FY27</t>
        </is>
      </c>
      <c r="B2982" s="19" t="inlineStr">
        <is>
          <t>Jul</t>
        </is>
      </c>
      <c r="C2982" s="19" t="inlineStr">
        <is>
          <t>TN</t>
        </is>
      </c>
      <c r="D2982" s="20" t="inlineStr">
        <is>
          <t>TN20CJ7058</t>
        </is>
      </c>
      <c r="E2982" s="20" t="inlineStr">
        <is>
          <t>MARUTI</t>
        </is>
      </c>
      <c r="F2982" s="20" t="inlineStr">
        <is>
          <t>Wagonr</t>
        </is>
      </c>
      <c r="G2982" s="21" t="n">
        <v>2016</v>
      </c>
      <c r="H2982" s="22" t="n">
        <v>54751</v>
      </c>
      <c r="I2982" s="23" t="n">
        <v>285000</v>
      </c>
      <c r="J2982" s="20" t="inlineStr">
        <is>
          <t>CASTLE TRADERS Maruti</t>
        </is>
      </c>
      <c r="K2982" s="20" t="inlineStr">
        <is>
          <t>Non-Captive</t>
        </is>
      </c>
      <c r="L2982" s="20" t="inlineStr">
        <is>
          <t>Value Drive Tech</t>
        </is>
      </c>
      <c r="M2982" s="23" t="n">
        <v>5084.75</v>
      </c>
      <c r="N2982" s="23" t="n">
        <v>6000</v>
      </c>
      <c r="O2982" s="24">
        <f>IF(AND(ISNUMBER(M2982), ISNUMBER(I2982), I2982&gt;0), M2982/I2982, "")</f>
        <v/>
      </c>
    </row>
    <row r="2983">
      <c r="A2983" s="19" t="inlineStr">
        <is>
          <t>FY27</t>
        </is>
      </c>
      <c r="B2983" s="19" t="inlineStr">
        <is>
          <t>Jul</t>
        </is>
      </c>
      <c r="C2983" s="19" t="inlineStr">
        <is>
          <t>TN</t>
        </is>
      </c>
      <c r="D2983" s="20" t="inlineStr">
        <is>
          <t>TN09CV2538</t>
        </is>
      </c>
      <c r="E2983" s="20" t="inlineStr">
        <is>
          <t>MARUTI</t>
        </is>
      </c>
      <c r="F2983" s="20" t="inlineStr">
        <is>
          <t>Ignis</t>
        </is>
      </c>
      <c r="G2983" s="21" t="n">
        <v>2020</v>
      </c>
      <c r="H2983" s="22" t="n">
        <v>24202</v>
      </c>
      <c r="I2983" s="23" t="n">
        <v>345000</v>
      </c>
      <c r="J2983" s="20" t="inlineStr">
        <is>
          <t>CAR HUB</t>
        </is>
      </c>
      <c r="K2983" s="20" t="inlineStr">
        <is>
          <t>Non-Captive</t>
        </is>
      </c>
      <c r="L2983" s="20" t="inlineStr">
        <is>
          <t>Value Drive Tech</t>
        </is>
      </c>
      <c r="M2983" s="23" t="n">
        <v>6355.93</v>
      </c>
      <c r="N2983" s="23" t="n">
        <v>7500</v>
      </c>
      <c r="O2983" s="24">
        <f>IF(AND(ISNUMBER(M2983), ISNUMBER(I2983), I2983&gt;0), M2983/I2983, "")</f>
        <v/>
      </c>
    </row>
    <row r="2984">
      <c r="A2984" s="19" t="inlineStr">
        <is>
          <t>FY27</t>
        </is>
      </c>
      <c r="B2984" s="19" t="inlineStr">
        <is>
          <t>Jul</t>
        </is>
      </c>
      <c r="C2984" s="19" t="inlineStr">
        <is>
          <t>TN</t>
        </is>
      </c>
      <c r="D2984" s="20" t="inlineStr">
        <is>
          <t>TN01AV6018</t>
        </is>
      </c>
      <c r="E2984" s="20" t="inlineStr">
        <is>
          <t>HONDA</t>
        </is>
      </c>
      <c r="F2984" s="20" t="inlineStr">
        <is>
          <t>Brio</t>
        </is>
      </c>
      <c r="G2984" s="21" t="n">
        <v>2014</v>
      </c>
      <c r="H2984" s="22" t="n">
        <v>68178</v>
      </c>
      <c r="I2984" s="23" t="n">
        <v>200000</v>
      </c>
      <c r="J2984" s="20" t="inlineStr">
        <is>
          <t>CAR HUB</t>
        </is>
      </c>
      <c r="K2984" s="20" t="inlineStr">
        <is>
          <t>Non-Captive</t>
        </is>
      </c>
      <c r="L2984" s="20" t="inlineStr">
        <is>
          <t>S2 MOTORZ</t>
        </is>
      </c>
      <c r="M2984" s="23" t="n">
        <v>5084.75</v>
      </c>
      <c r="N2984" s="23" t="n">
        <v>6000</v>
      </c>
      <c r="O2984" s="24">
        <f>IF(AND(ISNUMBER(M2984), ISNUMBER(I2984), I2984&gt;0), M2984/I2984, "")</f>
        <v/>
      </c>
    </row>
    <row r="2985">
      <c r="A2985" s="19" t="inlineStr">
        <is>
          <t>FY27</t>
        </is>
      </c>
      <c r="B2985" s="19" t="inlineStr">
        <is>
          <t>Jul</t>
        </is>
      </c>
      <c r="C2985" s="19" t="inlineStr">
        <is>
          <t>TN</t>
        </is>
      </c>
      <c r="D2985" s="20" t="inlineStr">
        <is>
          <t>TN18AM4570</t>
        </is>
      </c>
      <c r="E2985" s="20" t="inlineStr">
        <is>
          <t>DATSUN</t>
        </is>
      </c>
      <c r="F2985" s="20" t="inlineStr">
        <is>
          <t>Redi-Go</t>
        </is>
      </c>
      <c r="G2985" s="21" t="n">
        <v>2017</v>
      </c>
      <c r="H2985" s="22" t="n">
        <v>86029</v>
      </c>
      <c r="I2985" s="23" t="n">
        <v>180000</v>
      </c>
      <c r="J2985" s="20" t="inlineStr">
        <is>
          <t>CAR HUB</t>
        </is>
      </c>
      <c r="K2985" s="20" t="inlineStr">
        <is>
          <t>Non-Captive</t>
        </is>
      </c>
      <c r="L2985" s="20" t="inlineStr">
        <is>
          <t>S2 MOTORZ</t>
        </is>
      </c>
      <c r="M2985" s="23" t="n">
        <v>5084.75</v>
      </c>
      <c r="N2985" s="23" t="n">
        <v>6000</v>
      </c>
      <c r="O2985" s="24">
        <f>IF(AND(ISNUMBER(M2985), ISNUMBER(I2985), I2985&gt;0), M2985/I2985, "")</f>
        <v/>
      </c>
    </row>
    <row r="2986">
      <c r="A2986" s="19" t="inlineStr">
        <is>
          <t>FY27</t>
        </is>
      </c>
      <c r="B2986" s="19" t="inlineStr">
        <is>
          <t>Jul</t>
        </is>
      </c>
      <c r="C2986" s="19" t="inlineStr">
        <is>
          <t>TN</t>
        </is>
      </c>
      <c r="D2986" s="20" t="inlineStr">
        <is>
          <t>TN09BP0995</t>
        </is>
      </c>
      <c r="E2986" s="20" t="inlineStr">
        <is>
          <t>NISSAN</t>
        </is>
      </c>
      <c r="F2986" s="20" t="inlineStr">
        <is>
          <t>Micra</t>
        </is>
      </c>
      <c r="G2986" s="21" t="n">
        <v>2012</v>
      </c>
      <c r="H2986" s="22" t="n">
        <v>70558</v>
      </c>
      <c r="I2986" s="23" t="n">
        <v>110000</v>
      </c>
      <c r="J2986" s="20" t="inlineStr">
        <is>
          <t>CAR HUB</t>
        </is>
      </c>
      <c r="K2986" s="20" t="inlineStr">
        <is>
          <t>Non-Captive</t>
        </is>
      </c>
      <c r="L2986" s="20" t="inlineStr">
        <is>
          <t>S2 MOTORZ</t>
        </is>
      </c>
      <c r="M2986" s="23" t="n">
        <v>4661.02</v>
      </c>
      <c r="N2986" s="23" t="n">
        <v>5500</v>
      </c>
      <c r="O2986" s="24">
        <f>IF(AND(ISNUMBER(M2986), ISNUMBER(I2986), I2986&gt;0), M2986/I2986, "")</f>
        <v/>
      </c>
    </row>
    <row r="2987">
      <c r="A2987" s="19" t="inlineStr">
        <is>
          <t>FY27</t>
        </is>
      </c>
      <c r="B2987" s="19" t="inlineStr">
        <is>
          <t>Jul</t>
        </is>
      </c>
      <c r="C2987" s="19" t="inlineStr">
        <is>
          <t>TN</t>
        </is>
      </c>
      <c r="D2987" s="20" t="inlineStr">
        <is>
          <t>TN14K3952</t>
        </is>
      </c>
      <c r="E2987" s="20" t="inlineStr">
        <is>
          <t>HYUNDAI</t>
        </is>
      </c>
      <c r="F2987" s="20" t="inlineStr">
        <is>
          <t>Grand I10</t>
        </is>
      </c>
      <c r="G2987" s="21" t="n">
        <v>2017</v>
      </c>
      <c r="H2987" s="22" t="n">
        <v>78787</v>
      </c>
      <c r="I2987" s="23" t="n">
        <v>230000</v>
      </c>
      <c r="J2987" s="20" t="inlineStr">
        <is>
          <t>CAR HUB</t>
        </is>
      </c>
      <c r="K2987" s="20" t="inlineStr">
        <is>
          <t>Non-Captive</t>
        </is>
      </c>
      <c r="L2987" s="20" t="inlineStr">
        <is>
          <t>S2 MOTORZ</t>
        </is>
      </c>
      <c r="M2987" s="23" t="n">
        <v>7203.39</v>
      </c>
      <c r="N2987" s="23" t="n">
        <v>8500</v>
      </c>
      <c r="O2987" s="24">
        <f>IF(AND(ISNUMBER(M2987), ISNUMBER(I2987), I2987&gt;0), M2987/I2987, "")</f>
        <v/>
      </c>
    </row>
    <row r="2988">
      <c r="A2988" s="19" t="inlineStr">
        <is>
          <t>FY27</t>
        </is>
      </c>
      <c r="B2988" s="19" t="inlineStr">
        <is>
          <t>Jul</t>
        </is>
      </c>
      <c r="C2988" s="19" t="inlineStr">
        <is>
          <t>TN</t>
        </is>
      </c>
      <c r="D2988" s="20" t="inlineStr">
        <is>
          <t>TN10AM1113</t>
        </is>
      </c>
      <c r="E2988" s="20" t="inlineStr">
        <is>
          <t>VOLKSWAGEN</t>
        </is>
      </c>
      <c r="F2988" s="20" t="inlineStr">
        <is>
          <t>Vento</t>
        </is>
      </c>
      <c r="G2988" s="21" t="n">
        <v>2013</v>
      </c>
      <c r="H2988" s="22" t="n">
        <v>99289</v>
      </c>
      <c r="I2988" s="23" t="n">
        <v>178000</v>
      </c>
      <c r="J2988" s="20" t="inlineStr">
        <is>
          <t>NIRMAL CARS</t>
        </is>
      </c>
      <c r="K2988" s="20" t="inlineStr">
        <is>
          <t>Non-Captive</t>
        </is>
      </c>
      <c r="L2988" s="20" t="inlineStr">
        <is>
          <t>Vijaya cars</t>
        </is>
      </c>
      <c r="M2988" s="23" t="n">
        <v>5084.75</v>
      </c>
      <c r="N2988" s="23" t="n">
        <v>6000</v>
      </c>
      <c r="O2988" s="24">
        <f>IF(AND(ISNUMBER(M2988), ISNUMBER(I2988), I2988&gt;0), M2988/I2988, "")</f>
        <v/>
      </c>
    </row>
    <row r="2989">
      <c r="A2989" s="19" t="inlineStr">
        <is>
          <t>FY27</t>
        </is>
      </c>
      <c r="B2989" s="19" t="inlineStr">
        <is>
          <t>Jul</t>
        </is>
      </c>
      <c r="C2989" s="19" t="inlineStr">
        <is>
          <t>TN</t>
        </is>
      </c>
      <c r="D2989" s="20" t="inlineStr">
        <is>
          <t>TN05BQ2968</t>
        </is>
      </c>
      <c r="E2989" s="20" t="inlineStr">
        <is>
          <t>RENAULT</t>
        </is>
      </c>
      <c r="F2989" s="20" t="inlineStr">
        <is>
          <t>Kwid</t>
        </is>
      </c>
      <c r="G2989" s="21" t="n">
        <v>2017</v>
      </c>
      <c r="H2989" s="22" t="n">
        <v>77603</v>
      </c>
      <c r="I2989" s="23" t="n">
        <v>190000</v>
      </c>
      <c r="J2989" s="20" t="inlineStr">
        <is>
          <t>NIRMAL CARS</t>
        </is>
      </c>
      <c r="K2989" s="20" t="inlineStr">
        <is>
          <t>Non-Captive</t>
        </is>
      </c>
      <c r="L2989" s="20" t="inlineStr">
        <is>
          <t>Vijaya cars</t>
        </is>
      </c>
      <c r="M2989" s="23" t="n">
        <v>5509.32</v>
      </c>
      <c r="N2989" s="23" t="n">
        <v>6501</v>
      </c>
      <c r="O2989" s="24">
        <f>IF(AND(ISNUMBER(M2989), ISNUMBER(I2989), I2989&gt;0), M2989/I2989, "")</f>
        <v/>
      </c>
    </row>
    <row r="2990">
      <c r="A2990" s="19" t="inlineStr">
        <is>
          <t>FY27</t>
        </is>
      </c>
      <c r="B2990" s="19" t="inlineStr">
        <is>
          <t>Jul</t>
        </is>
      </c>
      <c r="C2990" s="19" t="inlineStr">
        <is>
          <t>TN</t>
        </is>
      </c>
      <c r="D2990" s="20" t="inlineStr">
        <is>
          <t>TN20AJ4231</t>
        </is>
      </c>
      <c r="E2990" s="20" t="inlineStr">
        <is>
          <t>HYUNDAI</t>
        </is>
      </c>
      <c r="F2990" s="20" t="inlineStr">
        <is>
          <t>I10</t>
        </is>
      </c>
      <c r="G2990" s="21" t="n">
        <v>2008</v>
      </c>
      <c r="H2990" s="22" t="n">
        <v>34932</v>
      </c>
      <c r="I2990" s="23" t="n">
        <v>180000</v>
      </c>
      <c r="J2990" s="20" t="inlineStr">
        <is>
          <t>Thiya Cars</t>
        </is>
      </c>
      <c r="K2990" s="20" t="inlineStr">
        <is>
          <t>Non-Captive</t>
        </is>
      </c>
      <c r="L2990" s="20" t="inlineStr">
        <is>
          <t>KAMAL CARS</t>
        </is>
      </c>
      <c r="M2990" s="23" t="n">
        <v>5084.75</v>
      </c>
      <c r="N2990" s="23" t="n">
        <v>6000</v>
      </c>
      <c r="O2990" s="24">
        <f>IF(AND(ISNUMBER(M2990), ISNUMBER(I2990), I2990&gt;0), M2990/I2990, "")</f>
        <v/>
      </c>
    </row>
    <row r="2991">
      <c r="A2991" s="19" t="inlineStr">
        <is>
          <t>FY27</t>
        </is>
      </c>
      <c r="B2991" s="19" t="inlineStr">
        <is>
          <t>Jul</t>
        </is>
      </c>
      <c r="C2991" s="19" t="inlineStr">
        <is>
          <t>TN</t>
        </is>
      </c>
      <c r="D2991" s="20" t="inlineStr">
        <is>
          <t>KA51MG3191</t>
        </is>
      </c>
      <c r="E2991" s="20" t="inlineStr">
        <is>
          <t>DATSUN</t>
        </is>
      </c>
      <c r="F2991" s="20" t="inlineStr">
        <is>
          <t>Redi-Go</t>
        </is>
      </c>
      <c r="G2991" s="21" t="n">
        <v>2014</v>
      </c>
      <c r="H2991" s="22" t="n">
        <v>61074</v>
      </c>
      <c r="I2991" s="23" t="n">
        <v>120000</v>
      </c>
      <c r="J2991" s="20" t="inlineStr">
        <is>
          <t>Thiya Cars</t>
        </is>
      </c>
      <c r="K2991" s="20" t="inlineStr">
        <is>
          <t>Non-Captive</t>
        </is>
      </c>
      <c r="L2991" s="20" t="inlineStr">
        <is>
          <t>KAMAL CARS</t>
        </is>
      </c>
      <c r="M2991" s="23" t="n">
        <v>4237.29</v>
      </c>
      <c r="N2991" s="23" t="n">
        <v>5000</v>
      </c>
      <c r="O2991" s="24">
        <f>IF(AND(ISNUMBER(M2991), ISNUMBER(I2991), I2991&gt;0), M2991/I2991, "")</f>
        <v/>
      </c>
    </row>
    <row r="2992">
      <c r="A2992" s="19" t="inlineStr">
        <is>
          <t>FY27</t>
        </is>
      </c>
      <c r="B2992" s="19" t="inlineStr">
        <is>
          <t>Jul</t>
        </is>
      </c>
      <c r="C2992" s="19" t="inlineStr">
        <is>
          <t>TN</t>
        </is>
      </c>
      <c r="D2992" s="20" t="inlineStr">
        <is>
          <t>TN09AY7035</t>
        </is>
      </c>
      <c r="E2992" s="20" t="inlineStr">
        <is>
          <t>FORD</t>
        </is>
      </c>
      <c r="F2992" s="20" t="inlineStr">
        <is>
          <t>Fiesta</t>
        </is>
      </c>
      <c r="G2992" s="21" t="n">
        <v>2008</v>
      </c>
      <c r="H2992" s="22" t="n">
        <v>65503</v>
      </c>
      <c r="I2992" s="23" t="n">
        <v>78000</v>
      </c>
      <c r="J2992" s="20" t="inlineStr">
        <is>
          <t>EXCHANGE CHENNAI</t>
        </is>
      </c>
      <c r="K2992" s="20" t="inlineStr">
        <is>
          <t>Captive</t>
        </is>
      </c>
      <c r="L2992" s="20" t="inlineStr">
        <is>
          <t>SANTHOSH CARS</t>
        </is>
      </c>
      <c r="M2992" s="23" t="n">
        <v>4237.29</v>
      </c>
      <c r="N2992" s="23" t="n">
        <v>5000</v>
      </c>
      <c r="O2992" s="24">
        <f>IF(AND(ISNUMBER(M2992), ISNUMBER(I2992), I2992&gt;0), M2992/I2992, "")</f>
        <v/>
      </c>
    </row>
    <row r="2993">
      <c r="A2993" s="19" t="inlineStr">
        <is>
          <t>FY27</t>
        </is>
      </c>
      <c r="B2993" s="19" t="inlineStr">
        <is>
          <t>Jul</t>
        </is>
      </c>
      <c r="C2993" s="19" t="inlineStr">
        <is>
          <t>TN</t>
        </is>
      </c>
      <c r="D2993" s="20" t="inlineStr">
        <is>
          <t>TN04AJ6487</t>
        </is>
      </c>
      <c r="E2993" s="20" t="inlineStr">
        <is>
          <t>HONDA</t>
        </is>
      </c>
      <c r="F2993" s="20" t="inlineStr">
        <is>
          <t>City</t>
        </is>
      </c>
      <c r="G2993" s="21" t="n">
        <v>2012</v>
      </c>
      <c r="H2993" s="22" t="n">
        <v>12259</v>
      </c>
      <c r="I2993" s="23" t="n">
        <v>245000</v>
      </c>
      <c r="J2993" s="20" t="inlineStr">
        <is>
          <t>EXCHANGE CHENNAI</t>
        </is>
      </c>
      <c r="K2993" s="20" t="inlineStr">
        <is>
          <t>Captive</t>
        </is>
      </c>
      <c r="L2993" s="20" t="inlineStr">
        <is>
          <t>SANTHOSH CARS</t>
        </is>
      </c>
      <c r="M2993" s="23" t="n">
        <v>4237.29</v>
      </c>
      <c r="N2993" s="23" t="n">
        <v>5000</v>
      </c>
      <c r="O2993" s="24">
        <f>IF(AND(ISNUMBER(M2993), ISNUMBER(I2993), I2993&gt;0), M2993/I2993, "")</f>
        <v/>
      </c>
    </row>
    <row r="2994">
      <c r="A2994" s="19" t="inlineStr">
        <is>
          <t>FY27</t>
        </is>
      </c>
      <c r="B2994" s="19" t="inlineStr">
        <is>
          <t>Jul</t>
        </is>
      </c>
      <c r="C2994" s="19" t="inlineStr">
        <is>
          <t>TN</t>
        </is>
      </c>
      <c r="D2994" s="20" t="inlineStr">
        <is>
          <t>TN09BJ4837</t>
        </is>
      </c>
      <c r="E2994" s="20" t="inlineStr">
        <is>
          <t>HONDA</t>
        </is>
      </c>
      <c r="F2994" s="20" t="inlineStr">
        <is>
          <t>Jazz</t>
        </is>
      </c>
      <c r="G2994" s="21" t="n">
        <v>2011</v>
      </c>
      <c r="H2994" s="22" t="n">
        <v>41563</v>
      </c>
      <c r="I2994" s="23" t="n">
        <v>170000</v>
      </c>
      <c r="J2994" s="20" t="inlineStr">
        <is>
          <t>EXCHANGE CHENNAI</t>
        </is>
      </c>
      <c r="K2994" s="20" t="inlineStr">
        <is>
          <t>Captive</t>
        </is>
      </c>
      <c r="L2994" s="20" t="inlineStr">
        <is>
          <t>SANTHOSH CARS</t>
        </is>
      </c>
      <c r="M2994" s="23" t="n">
        <v>4237.29</v>
      </c>
      <c r="N2994" s="23" t="n">
        <v>5000</v>
      </c>
      <c r="O2994" s="24">
        <f>IF(AND(ISNUMBER(M2994), ISNUMBER(I2994), I2994&gt;0), M2994/I2994, "")</f>
        <v/>
      </c>
    </row>
    <row r="2995">
      <c r="A2995" s="19" t="inlineStr">
        <is>
          <t>FY27</t>
        </is>
      </c>
      <c r="B2995" s="19" t="inlineStr">
        <is>
          <t>Jul</t>
        </is>
      </c>
      <c r="C2995" s="19" t="inlineStr">
        <is>
          <t>TN</t>
        </is>
      </c>
      <c r="D2995" s="20" t="inlineStr">
        <is>
          <t>TN22CB6586</t>
        </is>
      </c>
      <c r="E2995" s="20" t="inlineStr">
        <is>
          <t>HYUNDAI</t>
        </is>
      </c>
      <c r="F2995" s="20" t="inlineStr">
        <is>
          <t>I10</t>
        </is>
      </c>
      <c r="G2995" s="21" t="n">
        <v>2011</v>
      </c>
      <c r="H2995" s="22" t="n">
        <v>93374</v>
      </c>
      <c r="I2995" s="23" t="n">
        <v>130000</v>
      </c>
      <c r="J2995" s="20" t="inlineStr">
        <is>
          <t>EXCHANGE CHENNAI</t>
        </is>
      </c>
      <c r="K2995" s="20" t="inlineStr">
        <is>
          <t>Captive</t>
        </is>
      </c>
      <c r="L2995" s="20" t="inlineStr">
        <is>
          <t>SANTHOSH CARS</t>
        </is>
      </c>
      <c r="M2995" s="23" t="n">
        <v>4237.29</v>
      </c>
      <c r="N2995" s="23" t="n">
        <v>5000</v>
      </c>
      <c r="O2995" s="24">
        <f>IF(AND(ISNUMBER(M2995), ISNUMBER(I2995), I2995&gt;0), M2995/I2995, "")</f>
        <v/>
      </c>
    </row>
    <row r="2996">
      <c r="A2996" s="19" t="inlineStr">
        <is>
          <t>FY27</t>
        </is>
      </c>
      <c r="B2996" s="19" t="inlineStr">
        <is>
          <t>Jul</t>
        </is>
      </c>
      <c r="C2996" s="19" t="inlineStr">
        <is>
          <t>TN</t>
        </is>
      </c>
      <c r="D2996" s="20" t="inlineStr">
        <is>
          <t>TN07CY5008</t>
        </is>
      </c>
      <c r="E2996" s="20" t="inlineStr">
        <is>
          <t>RENAULT</t>
        </is>
      </c>
      <c r="F2996" s="20" t="inlineStr">
        <is>
          <t>Kwid</t>
        </is>
      </c>
      <c r="G2996" s="21" t="n">
        <v>2021</v>
      </c>
      <c r="H2996" s="22" t="n">
        <v>46578</v>
      </c>
      <c r="I2996" s="23" t="n">
        <v>350000</v>
      </c>
      <c r="J2996" s="20" t="inlineStr">
        <is>
          <t>EXCHANGE CHENNAI</t>
        </is>
      </c>
      <c r="K2996" s="20" t="inlineStr">
        <is>
          <t>Captive</t>
        </is>
      </c>
      <c r="L2996" s="20" t="inlineStr">
        <is>
          <t>Thiya Cars</t>
        </is>
      </c>
      <c r="M2996" s="23" t="n">
        <v>8474.58</v>
      </c>
      <c r="N2996" s="23" t="n">
        <v>10000</v>
      </c>
      <c r="O2996" s="24">
        <f>IF(AND(ISNUMBER(M2996), ISNUMBER(I2996), I2996&gt;0), M2996/I2996, "")</f>
        <v/>
      </c>
    </row>
    <row r="2997">
      <c r="A2997" s="19" t="inlineStr">
        <is>
          <t>FY27</t>
        </is>
      </c>
      <c r="B2997" s="19" t="inlineStr">
        <is>
          <t>Jul</t>
        </is>
      </c>
      <c r="C2997" s="19" t="inlineStr">
        <is>
          <t>TN</t>
        </is>
      </c>
      <c r="D2997" s="20" t="inlineStr">
        <is>
          <t>TN07BC8005</t>
        </is>
      </c>
      <c r="E2997" s="20" t="inlineStr">
        <is>
          <t>HONDA</t>
        </is>
      </c>
      <c r="F2997" s="20" t="inlineStr">
        <is>
          <t>City</t>
        </is>
      </c>
      <c r="G2997" s="21" t="n">
        <v>2009</v>
      </c>
      <c r="H2997" s="22" t="n">
        <v>87591</v>
      </c>
      <c r="I2997" s="23" t="n">
        <v>165000</v>
      </c>
      <c r="J2997" s="20" t="inlineStr">
        <is>
          <t>EXCHANGE CHENNAI</t>
        </is>
      </c>
      <c r="K2997" s="20" t="inlineStr">
        <is>
          <t>Captive</t>
        </is>
      </c>
      <c r="L2997" s="20" t="inlineStr">
        <is>
          <t>SANTHOSH CARS</t>
        </is>
      </c>
      <c r="M2997" s="23" t="n">
        <v>8474.58</v>
      </c>
      <c r="N2997" s="23" t="n">
        <v>10000</v>
      </c>
      <c r="O2997" s="24">
        <f>IF(AND(ISNUMBER(M2997), ISNUMBER(I2997), I2997&gt;0), M2997/I2997, "")</f>
        <v/>
      </c>
    </row>
    <row r="2998">
      <c r="A2998" s="19" t="inlineStr">
        <is>
          <t>FY27</t>
        </is>
      </c>
      <c r="B2998" s="19" t="inlineStr">
        <is>
          <t>Jul</t>
        </is>
      </c>
      <c r="C2998" s="19" t="inlineStr">
        <is>
          <t>TN</t>
        </is>
      </c>
      <c r="D2998" s="20" t="inlineStr">
        <is>
          <t>TN30AT7490</t>
        </is>
      </c>
      <c r="E2998" s="20" t="inlineStr">
        <is>
          <t>RENAULT</t>
        </is>
      </c>
      <c r="F2998" s="20" t="inlineStr">
        <is>
          <t>Pulse</t>
        </is>
      </c>
      <c r="G2998" s="21" t="n">
        <v>2013</v>
      </c>
      <c r="H2998" s="22" t="n">
        <v>108487</v>
      </c>
      <c r="I2998" s="23" t="n">
        <v>75000</v>
      </c>
      <c r="J2998" s="20" t="inlineStr">
        <is>
          <t>EXCHANGE ROTN</t>
        </is>
      </c>
      <c r="K2998" s="20" t="inlineStr">
        <is>
          <t>Captive</t>
        </is>
      </c>
      <c r="L2998" s="20" t="inlineStr">
        <is>
          <t>SRI RAJA KANAPATHY CARS</t>
        </is>
      </c>
      <c r="M2998" s="23" t="n">
        <v>4237.29</v>
      </c>
      <c r="N2998" s="23" t="n">
        <v>5000</v>
      </c>
      <c r="O2998" s="24">
        <f>IF(AND(ISNUMBER(M2998), ISNUMBER(I2998), I2998&gt;0), M2998/I2998, "")</f>
        <v/>
      </c>
    </row>
    <row r="2999">
      <c r="A2999" s="19" t="inlineStr">
        <is>
          <t>FY27</t>
        </is>
      </c>
      <c r="B2999" s="19" t="inlineStr">
        <is>
          <t>Jul</t>
        </is>
      </c>
      <c r="C2999" s="19" t="inlineStr">
        <is>
          <t>TN</t>
        </is>
      </c>
      <c r="D2999" s="20" t="inlineStr">
        <is>
          <t>TN01AC8572</t>
        </is>
      </c>
      <c r="E2999" s="20" t="inlineStr">
        <is>
          <t>HYUNDAI</t>
        </is>
      </c>
      <c r="F2999" s="20" t="inlineStr">
        <is>
          <t>Verna</t>
        </is>
      </c>
      <c r="G2999" s="21" t="n">
        <v>2007</v>
      </c>
      <c r="H2999" s="22" t="n">
        <v>164142</v>
      </c>
      <c r="I2999" s="23" t="n">
        <v>70000</v>
      </c>
      <c r="J2999" s="20" t="inlineStr">
        <is>
          <t>SGA MOTORS INDIA PRIVATE LIMITED</t>
        </is>
      </c>
      <c r="K2999" s="20" t="inlineStr">
        <is>
          <t>Non-Captive</t>
        </is>
      </c>
      <c r="L2999" s="20" t="inlineStr">
        <is>
          <t>SRI RAJA KANAPATHY CARS</t>
        </is>
      </c>
      <c r="M2999" s="23" t="n">
        <v>4237.29</v>
      </c>
      <c r="N2999" s="23" t="n">
        <v>5000</v>
      </c>
      <c r="O2999" s="24">
        <f>IF(AND(ISNUMBER(M2999), ISNUMBER(I2999), I2999&gt;0), M2999/I2999, "")</f>
        <v/>
      </c>
    </row>
    <row r="3000">
      <c r="A3000" s="19" t="inlineStr">
        <is>
          <t>FY27</t>
        </is>
      </c>
      <c r="B3000" s="19" t="inlineStr">
        <is>
          <t>Jul</t>
        </is>
      </c>
      <c r="C3000" s="19" t="inlineStr">
        <is>
          <t>TN</t>
        </is>
      </c>
      <c r="D3000" s="20" t="inlineStr">
        <is>
          <t>TN54A8471</t>
        </is>
      </c>
      <c r="E3000" s="20" t="inlineStr">
        <is>
          <t>MARUTI</t>
        </is>
      </c>
      <c r="F3000" s="20" t="inlineStr">
        <is>
          <t>Ritz</t>
        </is>
      </c>
      <c r="G3000" s="21" t="n">
        <v>2009</v>
      </c>
      <c r="H3000" s="22" t="n">
        <v>180649</v>
      </c>
      <c r="I3000" s="23" t="n">
        <v>98000</v>
      </c>
      <c r="J3000" s="20" t="inlineStr">
        <is>
          <t>EXCHANGE ROTN</t>
        </is>
      </c>
      <c r="K3000" s="20" t="inlineStr">
        <is>
          <t>Captive</t>
        </is>
      </c>
      <c r="L3000" s="20" t="inlineStr">
        <is>
          <t>SRI RAJA KANAPATHY CARS</t>
        </is>
      </c>
      <c r="M3000" s="23" t="n">
        <v>4237.29</v>
      </c>
      <c r="N3000" s="23" t="n">
        <v>5000</v>
      </c>
      <c r="O3000" s="24">
        <f>IF(AND(ISNUMBER(M3000), ISNUMBER(I3000), I3000&gt;0), M3000/I3000, "")</f>
        <v/>
      </c>
    </row>
    <row r="3001">
      <c r="A3001" s="19" t="inlineStr">
        <is>
          <t>FY27</t>
        </is>
      </c>
      <c r="B3001" s="19" t="inlineStr">
        <is>
          <t>Jul</t>
        </is>
      </c>
      <c r="C3001" s="19" t="inlineStr">
        <is>
          <t>TN</t>
        </is>
      </c>
      <c r="D3001" s="20" t="inlineStr">
        <is>
          <t>TN41AR2000</t>
        </is>
      </c>
      <c r="E3001" s="20" t="inlineStr">
        <is>
          <t>VOLKSWAGEN</t>
        </is>
      </c>
      <c r="F3001" s="20" t="inlineStr">
        <is>
          <t>Vento</t>
        </is>
      </c>
      <c r="G3001" s="21" t="n">
        <v>2016</v>
      </c>
      <c r="H3001" s="22" t="n">
        <v>211374</v>
      </c>
      <c r="I3001" s="23" t="n">
        <v>300000</v>
      </c>
      <c r="J3001" s="20" t="inlineStr">
        <is>
          <t>EXCHANGE ROTN</t>
        </is>
      </c>
      <c r="K3001" s="20" t="inlineStr">
        <is>
          <t>Captive</t>
        </is>
      </c>
      <c r="L3001" s="20" t="inlineStr">
        <is>
          <t>Ulavan Enterprises</t>
        </is>
      </c>
      <c r="M3001" s="23" t="n">
        <v>12711.86</v>
      </c>
      <c r="N3001" s="23" t="n">
        <v>15000</v>
      </c>
      <c r="O3001" s="24">
        <f>IF(AND(ISNUMBER(M3001), ISNUMBER(I3001), I3001&gt;0), M3001/I3001, "")</f>
        <v/>
      </c>
    </row>
    <row r="3002">
      <c r="A3002" s="19" t="inlineStr">
        <is>
          <t>FY27</t>
        </is>
      </c>
      <c r="B3002" s="19" t="inlineStr">
        <is>
          <t>Jul</t>
        </is>
      </c>
      <c r="C3002" s="19" t="inlineStr">
        <is>
          <t>TN</t>
        </is>
      </c>
      <c r="D3002" s="20" t="inlineStr">
        <is>
          <t>TN38CC5550</t>
        </is>
      </c>
      <c r="E3002" s="20" t="inlineStr">
        <is>
          <t>FORD</t>
        </is>
      </c>
      <c r="F3002" s="20" t="inlineStr">
        <is>
          <t>Figo</t>
        </is>
      </c>
      <c r="G3002" s="21" t="n">
        <v>2015</v>
      </c>
      <c r="H3002" s="22" t="n">
        <v>142153</v>
      </c>
      <c r="I3002" s="23" t="n">
        <v>275000</v>
      </c>
      <c r="J3002" s="20" t="inlineStr">
        <is>
          <t>EXCHANGE ROTN</t>
        </is>
      </c>
      <c r="K3002" s="20" t="inlineStr">
        <is>
          <t>Captive</t>
        </is>
      </c>
      <c r="L3002" s="20" t="inlineStr">
        <is>
          <t>Ulavan Enterprises</t>
        </is>
      </c>
      <c r="M3002" s="23" t="n">
        <v>10169.49</v>
      </c>
      <c r="N3002" s="23" t="n">
        <v>12000</v>
      </c>
      <c r="O3002" s="24">
        <f>IF(AND(ISNUMBER(M3002), ISNUMBER(I3002), I3002&gt;0), M3002/I3002, "")</f>
        <v/>
      </c>
    </row>
    <row r="3003">
      <c r="A3003" s="19" t="inlineStr">
        <is>
          <t>FY27</t>
        </is>
      </c>
      <c r="B3003" s="19" t="inlineStr">
        <is>
          <t>Jul</t>
        </is>
      </c>
      <c r="C3003" s="19" t="inlineStr">
        <is>
          <t>TN</t>
        </is>
      </c>
      <c r="D3003" s="20" t="inlineStr">
        <is>
          <t>TN56U5644</t>
        </is>
      </c>
      <c r="E3003" s="20" t="inlineStr">
        <is>
          <t>TOYOTA</t>
        </is>
      </c>
      <c r="F3003" s="20" t="inlineStr">
        <is>
          <t>Glanza</t>
        </is>
      </c>
      <c r="G3003" s="21" t="n">
        <v>2025</v>
      </c>
      <c r="H3003" s="22" t="n">
        <v>6094</v>
      </c>
      <c r="I3003" s="23" t="n">
        <v>800000</v>
      </c>
      <c r="J3003" s="20" t="inlineStr">
        <is>
          <t>EXCHANGE ROTN</t>
        </is>
      </c>
      <c r="K3003" s="20" t="inlineStr">
        <is>
          <t>Captive</t>
        </is>
      </c>
      <c r="L3003" s="20" t="inlineStr">
        <is>
          <t>SAI CARS</t>
        </is>
      </c>
      <c r="M3003" s="23" t="n">
        <v>12711.86</v>
      </c>
      <c r="N3003" s="23" t="n">
        <v>15000</v>
      </c>
      <c r="O3003" s="24">
        <f>IF(AND(ISNUMBER(M3003), ISNUMBER(I3003), I3003&gt;0), M3003/I3003, "")</f>
        <v/>
      </c>
    </row>
    <row r="3004">
      <c r="A3004" s="19" t="inlineStr">
        <is>
          <t>FY27</t>
        </is>
      </c>
      <c r="B3004" s="19" t="inlineStr">
        <is>
          <t>Jul</t>
        </is>
      </c>
      <c r="C3004" s="19" t="inlineStr">
        <is>
          <t>TN</t>
        </is>
      </c>
      <c r="D3004" s="20" t="inlineStr">
        <is>
          <t>TN14K2574</t>
        </is>
      </c>
      <c r="E3004" s="20" t="inlineStr">
        <is>
          <t>HONDA</t>
        </is>
      </c>
      <c r="F3004" s="20" t="inlineStr">
        <is>
          <t>City</t>
        </is>
      </c>
      <c r="G3004" s="21" t="n">
        <v>2017</v>
      </c>
      <c r="H3004" s="22" t="n">
        <v>78888</v>
      </c>
      <c r="I3004" s="23" t="n">
        <v>432000</v>
      </c>
      <c r="J3004" s="20" t="inlineStr">
        <is>
          <t>EXCHANGE ROTN</t>
        </is>
      </c>
      <c r="K3004" s="20" t="inlineStr">
        <is>
          <t>Captive</t>
        </is>
      </c>
      <c r="L3004" s="20" t="inlineStr">
        <is>
          <t>Maruthi Industries</t>
        </is>
      </c>
      <c r="M3004" s="23" t="n">
        <v>16949.15</v>
      </c>
      <c r="N3004" s="23" t="n">
        <v>20000</v>
      </c>
      <c r="O3004" s="24">
        <f>IF(AND(ISNUMBER(M3004), ISNUMBER(I3004), I3004&gt;0), M3004/I3004, "")</f>
        <v/>
      </c>
    </row>
    <row r="3005">
      <c r="A3005" s="19" t="inlineStr">
        <is>
          <t>FY27</t>
        </is>
      </c>
      <c r="B3005" s="19" t="inlineStr">
        <is>
          <t>Jul</t>
        </is>
      </c>
      <c r="C3005" s="19" t="inlineStr">
        <is>
          <t>TN</t>
        </is>
      </c>
      <c r="D3005" s="20" t="inlineStr">
        <is>
          <t>TN57BM9396</t>
        </is>
      </c>
      <c r="E3005" s="20" t="inlineStr">
        <is>
          <t>HONDA</t>
        </is>
      </c>
      <c r="F3005" s="20" t="inlineStr">
        <is>
          <t>Amaze</t>
        </is>
      </c>
      <c r="G3005" s="21" t="n">
        <v>2021</v>
      </c>
      <c r="H3005" s="22" t="n">
        <v>82212</v>
      </c>
      <c r="I3005" s="23" t="n">
        <v>510000</v>
      </c>
      <c r="J3005" s="20" t="inlineStr">
        <is>
          <t>EXCHANGE ROTN</t>
        </is>
      </c>
      <c r="K3005" s="20" t="inlineStr">
        <is>
          <t>Captive</t>
        </is>
      </c>
      <c r="L3005" s="20" t="inlineStr">
        <is>
          <t>GGEE Cars</t>
        </is>
      </c>
      <c r="M3005" s="23" t="n">
        <v>16949.15</v>
      </c>
      <c r="N3005" s="23" t="n">
        <v>20000</v>
      </c>
      <c r="O3005" s="24">
        <f>IF(AND(ISNUMBER(M3005), ISNUMBER(I3005), I3005&gt;0), M3005/I3005, "")</f>
        <v/>
      </c>
    </row>
    <row r="3006">
      <c r="A3006" s="19" t="inlineStr">
        <is>
          <t>FY27</t>
        </is>
      </c>
      <c r="B3006" s="19" t="inlineStr">
        <is>
          <t>Jul</t>
        </is>
      </c>
      <c r="C3006" s="19" t="inlineStr">
        <is>
          <t>TN</t>
        </is>
      </c>
      <c r="D3006" s="20" t="inlineStr">
        <is>
          <t>TN37BF5308</t>
        </is>
      </c>
      <c r="E3006" s="20" t="inlineStr">
        <is>
          <t>MARUTI</t>
        </is>
      </c>
      <c r="F3006" s="20" t="inlineStr">
        <is>
          <t>Wagonr</t>
        </is>
      </c>
      <c r="G3006" s="21" t="n">
        <v>2010</v>
      </c>
      <c r="H3006" s="22" t="n">
        <v>131624</v>
      </c>
      <c r="I3006" s="23" t="n">
        <v>72000</v>
      </c>
      <c r="J3006" s="20" t="inlineStr">
        <is>
          <t>AADHI CARS PRIVATE LIMITED</t>
        </is>
      </c>
      <c r="K3006" s="20" t="inlineStr">
        <is>
          <t>Non-Captive</t>
        </is>
      </c>
      <c r="L3006" s="20" t="inlineStr">
        <is>
          <t>MADHURA CARS</t>
        </is>
      </c>
      <c r="M3006" s="23" t="n">
        <v>4237.29</v>
      </c>
      <c r="N3006" s="23" t="n">
        <v>5000</v>
      </c>
      <c r="O3006" s="24">
        <f>IF(AND(ISNUMBER(M3006), ISNUMBER(I3006), I3006&gt;0), M3006/I3006, "")</f>
        <v/>
      </c>
    </row>
    <row r="3007">
      <c r="A3007" s="19" t="inlineStr">
        <is>
          <t>FY27</t>
        </is>
      </c>
      <c r="B3007" s="19" t="inlineStr">
        <is>
          <t>Jul</t>
        </is>
      </c>
      <c r="C3007" s="19" t="inlineStr">
        <is>
          <t>TN</t>
        </is>
      </c>
      <c r="D3007" s="20" t="inlineStr">
        <is>
          <t>TN39AD0361</t>
        </is>
      </c>
      <c r="E3007" s="20" t="inlineStr">
        <is>
          <t>HYUNDAI</t>
        </is>
      </c>
      <c r="F3007" s="20" t="inlineStr">
        <is>
          <t>I10</t>
        </is>
      </c>
      <c r="G3007" s="21" t="n">
        <v>2005</v>
      </c>
      <c r="H3007" s="22" t="n">
        <v>138948</v>
      </c>
      <c r="I3007" s="23" t="n">
        <v>62000</v>
      </c>
      <c r="J3007" s="20" t="inlineStr">
        <is>
          <t>AADHI CARS PRIVATE LIMITED</t>
        </is>
      </c>
      <c r="K3007" s="20" t="inlineStr">
        <is>
          <t>Non-Captive</t>
        </is>
      </c>
      <c r="L3007" s="20" t="inlineStr">
        <is>
          <t>MADHURA CARS</t>
        </is>
      </c>
      <c r="M3007" s="23" t="n">
        <v>4237.29</v>
      </c>
      <c r="N3007" s="23" t="n">
        <v>5000</v>
      </c>
      <c r="O3007" s="24">
        <f>IF(AND(ISNUMBER(M3007), ISNUMBER(I3007), I3007&gt;0), M3007/I3007, "")</f>
        <v/>
      </c>
    </row>
    <row r="3008">
      <c r="A3008" s="19" t="inlineStr">
        <is>
          <t>FY27</t>
        </is>
      </c>
      <c r="B3008" s="19" t="inlineStr">
        <is>
          <t>Jul</t>
        </is>
      </c>
      <c r="C3008" s="19" t="inlineStr">
        <is>
          <t>TN</t>
        </is>
      </c>
      <c r="D3008" s="20" t="inlineStr">
        <is>
          <t>TN42P2309</t>
        </is>
      </c>
      <c r="E3008" s="20" t="inlineStr">
        <is>
          <t>CHEVROLET</t>
        </is>
      </c>
      <c r="F3008" s="20" t="inlineStr">
        <is>
          <t>Enjoy</t>
        </is>
      </c>
      <c r="G3008" s="21" t="n">
        <v>2015</v>
      </c>
      <c r="H3008" s="22" t="n">
        <v>90134</v>
      </c>
      <c r="I3008" s="23" t="n">
        <v>98000</v>
      </c>
      <c r="J3008" s="20" t="inlineStr">
        <is>
          <t>EXCHANGE ROTN</t>
        </is>
      </c>
      <c r="K3008" s="20" t="inlineStr">
        <is>
          <t>Captive</t>
        </is>
      </c>
      <c r="L3008" s="20" t="inlineStr">
        <is>
          <t>MADHURA CARS</t>
        </is>
      </c>
      <c r="M3008" s="23" t="n">
        <v>4237.29</v>
      </c>
      <c r="N3008" s="23" t="n">
        <v>5000</v>
      </c>
      <c r="O3008" s="24">
        <f>IF(AND(ISNUMBER(M3008), ISNUMBER(I3008), I3008&gt;0), M3008/I3008, "")</f>
        <v/>
      </c>
    </row>
    <row r="3009">
      <c r="A3009" s="19" t="inlineStr">
        <is>
          <t>FY27</t>
        </is>
      </c>
      <c r="B3009" s="19" t="inlineStr">
        <is>
          <t>Jul</t>
        </is>
      </c>
      <c r="C3009" s="19" t="inlineStr">
        <is>
          <t>TN</t>
        </is>
      </c>
      <c r="D3009" s="20" t="inlineStr">
        <is>
          <t>TN45BP2865</t>
        </is>
      </c>
      <c r="E3009" s="20" t="inlineStr">
        <is>
          <t>MARUTI</t>
        </is>
      </c>
      <c r="F3009" s="20" t="inlineStr">
        <is>
          <t>Alto 800</t>
        </is>
      </c>
      <c r="G3009" s="21" t="n">
        <v>2018</v>
      </c>
      <c r="H3009" s="22" t="n">
        <v>52495</v>
      </c>
      <c r="I3009" s="23" t="n">
        <v>85000</v>
      </c>
      <c r="J3009" s="20" t="inlineStr">
        <is>
          <t>PLA MOTORS</t>
        </is>
      </c>
      <c r="K3009" s="20" t="inlineStr">
        <is>
          <t>Non-Captive</t>
        </is>
      </c>
      <c r="L3009" s="20" t="inlineStr">
        <is>
          <t>MADHURA CARS</t>
        </is>
      </c>
      <c r="M3009" s="23" t="n">
        <v>4237.29</v>
      </c>
      <c r="N3009" s="23" t="n">
        <v>5000</v>
      </c>
      <c r="O3009" s="24">
        <f>IF(AND(ISNUMBER(M3009), ISNUMBER(I3009), I3009&gt;0), M3009/I3009, "")</f>
        <v/>
      </c>
    </row>
    <row r="3010">
      <c r="A3010" s="19" t="inlineStr">
        <is>
          <t>FY27</t>
        </is>
      </c>
      <c r="B3010" s="19" t="inlineStr">
        <is>
          <t>Jul</t>
        </is>
      </c>
      <c r="C3010" s="19" t="inlineStr">
        <is>
          <t>TN</t>
        </is>
      </c>
      <c r="D3010" s="20" t="inlineStr">
        <is>
          <t>TN48AF9121</t>
        </is>
      </c>
      <c r="E3010" s="20" t="inlineStr">
        <is>
          <t>MARUTI</t>
        </is>
      </c>
      <c r="F3010" s="20" t="inlineStr">
        <is>
          <t>Alto 800</t>
        </is>
      </c>
      <c r="G3010" s="21" t="n">
        <v>2017</v>
      </c>
      <c r="H3010" s="22" t="n">
        <v>78276</v>
      </c>
      <c r="I3010" s="23" t="n">
        <v>92000</v>
      </c>
      <c r="J3010" s="20" t="inlineStr">
        <is>
          <t>PLA MOTORS</t>
        </is>
      </c>
      <c r="K3010" s="20" t="inlineStr">
        <is>
          <t>Non-Captive</t>
        </is>
      </c>
      <c r="L3010" s="20" t="inlineStr">
        <is>
          <t>MADHURA CARS</t>
        </is>
      </c>
      <c r="M3010" s="23" t="n">
        <v>4237.29</v>
      </c>
      <c r="N3010" s="23" t="n">
        <v>5000</v>
      </c>
      <c r="O3010" s="24">
        <f>IF(AND(ISNUMBER(M3010), ISNUMBER(I3010), I3010&gt;0), M3010/I3010, "")</f>
        <v/>
      </c>
    </row>
    <row r="3011">
      <c r="A3011" s="19" t="inlineStr">
        <is>
          <t>FY27</t>
        </is>
      </c>
      <c r="B3011" s="19" t="inlineStr">
        <is>
          <t>Jul</t>
        </is>
      </c>
      <c r="C3011" s="19" t="inlineStr">
        <is>
          <t>TN</t>
        </is>
      </c>
      <c r="D3011" s="20" t="inlineStr">
        <is>
          <t>TN09BZ9514</t>
        </is>
      </c>
      <c r="E3011" s="20" t="inlineStr">
        <is>
          <t>VOLKSWAGEN</t>
        </is>
      </c>
      <c r="F3011" s="20" t="inlineStr">
        <is>
          <t>Vento</t>
        </is>
      </c>
      <c r="G3011" s="21" t="n">
        <v>2015</v>
      </c>
      <c r="H3011" s="22" t="n">
        <v>132799</v>
      </c>
      <c r="I3011" s="23" t="n">
        <v>90000</v>
      </c>
      <c r="J3011" s="20" t="inlineStr">
        <is>
          <t>PLA MOTORS</t>
        </is>
      </c>
      <c r="K3011" s="20" t="inlineStr">
        <is>
          <t>Non-Captive</t>
        </is>
      </c>
      <c r="L3011" s="20" t="inlineStr">
        <is>
          <t>MADHURA CARS</t>
        </is>
      </c>
      <c r="M3011" s="23" t="n">
        <v>4237.29</v>
      </c>
      <c r="N3011" s="23" t="n">
        <v>5000</v>
      </c>
      <c r="O3011" s="24">
        <f>IF(AND(ISNUMBER(M3011), ISNUMBER(I3011), I3011&gt;0), M3011/I3011, "")</f>
        <v/>
      </c>
    </row>
    <row r="3012">
      <c r="A3012" s="19" t="inlineStr">
        <is>
          <t>FY27</t>
        </is>
      </c>
      <c r="B3012" s="19" t="inlineStr">
        <is>
          <t>Jul</t>
        </is>
      </c>
      <c r="C3012" s="19" t="inlineStr">
        <is>
          <t>TN</t>
        </is>
      </c>
      <c r="D3012" s="20" t="inlineStr">
        <is>
          <t>TN38AZ8586</t>
        </is>
      </c>
      <c r="E3012" s="20" t="inlineStr">
        <is>
          <t>TATA</t>
        </is>
      </c>
      <c r="F3012" s="20" t="inlineStr">
        <is>
          <t>Indica</t>
        </is>
      </c>
      <c r="G3012" s="21" t="n">
        <v>2009</v>
      </c>
      <c r="H3012" s="22" t="n">
        <v>177185</v>
      </c>
      <c r="I3012" s="23" t="n">
        <v>110000</v>
      </c>
      <c r="J3012" s="20" t="inlineStr">
        <is>
          <t>EXCHANGE ROTN</t>
        </is>
      </c>
      <c r="K3012" s="20" t="inlineStr">
        <is>
          <t>Captive</t>
        </is>
      </c>
      <c r="L3012" s="20" t="inlineStr">
        <is>
          <t>SRI MURUGAN CARS</t>
        </is>
      </c>
      <c r="M3012" s="23" t="n">
        <v>8474.58</v>
      </c>
      <c r="N3012" s="23" t="n">
        <v>10000</v>
      </c>
      <c r="O3012" s="24">
        <f>IF(AND(ISNUMBER(M3012), ISNUMBER(I3012), I3012&gt;0), M3012/I3012, "")</f>
        <v/>
      </c>
    </row>
    <row r="3013">
      <c r="A3013" s="19" t="inlineStr">
        <is>
          <t>FY27</t>
        </is>
      </c>
      <c r="B3013" s="19" t="inlineStr">
        <is>
          <t>Jul</t>
        </is>
      </c>
      <c r="C3013" s="19" t="inlineStr">
        <is>
          <t>TN</t>
        </is>
      </c>
      <c r="D3013" s="20" t="inlineStr">
        <is>
          <t>TN23BB1170</t>
        </is>
      </c>
      <c r="E3013" s="20" t="inlineStr">
        <is>
          <t>HONDA</t>
        </is>
      </c>
      <c r="F3013" s="20" t="inlineStr">
        <is>
          <t>City</t>
        </is>
      </c>
      <c r="G3013" s="21" t="n">
        <v>2012</v>
      </c>
      <c r="H3013" s="22" t="n">
        <v>221167</v>
      </c>
      <c r="I3013" s="23" t="n">
        <v>200000</v>
      </c>
      <c r="J3013" s="20" t="inlineStr">
        <is>
          <t>EXCHANGE ROTN</t>
        </is>
      </c>
      <c r="K3013" s="20" t="inlineStr">
        <is>
          <t>Captive</t>
        </is>
      </c>
      <c r="L3013" s="20" t="inlineStr">
        <is>
          <t>SIVASHANKAR CARS</t>
        </is>
      </c>
      <c r="M3013" s="23" t="n">
        <v>6355.93</v>
      </c>
      <c r="N3013" s="23" t="n">
        <v>7500</v>
      </c>
      <c r="O3013" s="24">
        <f>IF(AND(ISNUMBER(M3013), ISNUMBER(I3013), I3013&gt;0), M3013/I3013, "")</f>
        <v/>
      </c>
    </row>
    <row r="3014">
      <c r="A3014" s="19" t="inlineStr">
        <is>
          <t>FY27</t>
        </is>
      </c>
      <c r="B3014" s="19" t="inlineStr">
        <is>
          <t>Jul</t>
        </is>
      </c>
      <c r="C3014" s="19" t="inlineStr">
        <is>
          <t>TN</t>
        </is>
      </c>
      <c r="D3014" s="20" t="inlineStr">
        <is>
          <t>TN64M9105</t>
        </is>
      </c>
      <c r="E3014" s="20" t="inlineStr">
        <is>
          <t>MARUTI</t>
        </is>
      </c>
      <c r="F3014" s="20" t="inlineStr">
        <is>
          <t>Swift</t>
        </is>
      </c>
      <c r="G3014" s="21" t="n">
        <v>2016</v>
      </c>
      <c r="H3014" s="22" t="n">
        <v>110066</v>
      </c>
      <c r="I3014" s="23" t="n">
        <v>320000</v>
      </c>
      <c r="J3014" s="20" t="inlineStr">
        <is>
          <t>EXCHANGE ROTN</t>
        </is>
      </c>
      <c r="K3014" s="20" t="inlineStr">
        <is>
          <t>Captive</t>
        </is>
      </c>
      <c r="L3014" s="20" t="inlineStr">
        <is>
          <t>READY TO RIDE CARS</t>
        </is>
      </c>
      <c r="M3014" s="23" t="n">
        <v>25423.73</v>
      </c>
      <c r="N3014" s="23" t="n">
        <v>30000</v>
      </c>
      <c r="O3014" s="24">
        <f>IF(AND(ISNUMBER(M3014), ISNUMBER(I3014), I3014&gt;0), M3014/I3014, "")</f>
        <v/>
      </c>
    </row>
    <row r="3015">
      <c r="A3015" s="19" t="inlineStr">
        <is>
          <t>FY27</t>
        </is>
      </c>
      <c r="B3015" s="19" t="inlineStr">
        <is>
          <t>Jul</t>
        </is>
      </c>
      <c r="C3015" s="19" t="inlineStr">
        <is>
          <t>TN</t>
        </is>
      </c>
      <c r="D3015" s="20" t="inlineStr">
        <is>
          <t>TN64X1398</t>
        </is>
      </c>
      <c r="E3015" s="20" t="inlineStr">
        <is>
          <t>HYUNDAI</t>
        </is>
      </c>
      <c r="F3015" s="20" t="inlineStr">
        <is>
          <t>I20</t>
        </is>
      </c>
      <c r="G3015" s="21" t="n">
        <v>2021</v>
      </c>
      <c r="H3015" s="22" t="n">
        <v>77911</v>
      </c>
      <c r="I3015" s="23" t="n">
        <v>550000</v>
      </c>
      <c r="J3015" s="20" t="inlineStr">
        <is>
          <t>EXCHANGE ROTN</t>
        </is>
      </c>
      <c r="K3015" s="20" t="inlineStr">
        <is>
          <t>Captive</t>
        </is>
      </c>
      <c r="L3015" s="20" t="inlineStr">
        <is>
          <t>GGEE Cars</t>
        </is>
      </c>
      <c r="M3015" s="23" t="n">
        <v>16949.15</v>
      </c>
      <c r="N3015" s="23" t="n">
        <v>20000</v>
      </c>
      <c r="O3015" s="24">
        <f>IF(AND(ISNUMBER(M3015), ISNUMBER(I3015), I3015&gt;0), M3015/I3015, "")</f>
        <v/>
      </c>
    </row>
    <row r="3016">
      <c r="A3016" s="19" t="inlineStr">
        <is>
          <t>FY27</t>
        </is>
      </c>
      <c r="B3016" s="19" t="inlineStr">
        <is>
          <t>Jul</t>
        </is>
      </c>
      <c r="C3016" s="19" t="inlineStr">
        <is>
          <t>TN</t>
        </is>
      </c>
      <c r="D3016" s="20" t="inlineStr">
        <is>
          <t>TN10C3835</t>
        </is>
      </c>
      <c r="E3016" s="20" t="inlineStr">
        <is>
          <t>MARUTI</t>
        </is>
      </c>
      <c r="F3016" s="20" t="inlineStr">
        <is>
          <t>Alto 800</t>
        </is>
      </c>
      <c r="G3016" s="21" t="n">
        <v>2001</v>
      </c>
      <c r="H3016" s="22" t="n">
        <v>28439</v>
      </c>
      <c r="I3016" s="23" t="n">
        <v>45000</v>
      </c>
      <c r="J3016" s="20" t="inlineStr">
        <is>
          <t>EXCHANGE ROTN</t>
        </is>
      </c>
      <c r="K3016" s="20" t="inlineStr">
        <is>
          <t>Captive</t>
        </is>
      </c>
      <c r="L3016" s="20" t="inlineStr">
        <is>
          <t>SAI CARS</t>
        </is>
      </c>
      <c r="M3016" s="23" t="n">
        <v>4237.29</v>
      </c>
      <c r="N3016" s="23" t="n">
        <v>5000</v>
      </c>
      <c r="O3016" s="24">
        <f>IF(AND(ISNUMBER(M3016), ISNUMBER(I3016), I3016&gt;0), M3016/I3016, "")</f>
        <v/>
      </c>
    </row>
    <row r="3017">
      <c r="A3017" s="19" t="inlineStr">
        <is>
          <t>FY27</t>
        </is>
      </c>
      <c r="B3017" s="19" t="inlineStr">
        <is>
          <t>Jul</t>
        </is>
      </c>
      <c r="C3017" s="19" t="inlineStr">
        <is>
          <t>TN</t>
        </is>
      </c>
      <c r="D3017" s="20" t="inlineStr">
        <is>
          <t>TN01AZ2588</t>
        </is>
      </c>
      <c r="E3017" s="20" t="inlineStr">
        <is>
          <t>CHEVROLET</t>
        </is>
      </c>
      <c r="F3017" s="20" t="inlineStr">
        <is>
          <t>Enjoy</t>
        </is>
      </c>
      <c r="G3017" s="21" t="n">
        <v>2015</v>
      </c>
      <c r="H3017" s="22" t="n">
        <v>264852</v>
      </c>
      <c r="I3017" s="23" t="n">
        <v>90000</v>
      </c>
      <c r="J3017" s="20" t="inlineStr">
        <is>
          <t>CASTLE TRADERS Maruti</t>
        </is>
      </c>
      <c r="K3017" s="20" t="inlineStr">
        <is>
          <t>Non-Captive</t>
        </is>
      </c>
      <c r="L3017" s="20" t="inlineStr">
        <is>
          <t>Senthil Cars</t>
        </is>
      </c>
      <c r="M3017" s="23" t="n">
        <v>4237.29</v>
      </c>
      <c r="N3017" s="23" t="n">
        <v>5000</v>
      </c>
      <c r="O3017" s="24">
        <f>IF(AND(ISNUMBER(M3017), ISNUMBER(I3017), I3017&gt;0), M3017/I3017, "")</f>
        <v/>
      </c>
    </row>
    <row r="3018">
      <c r="A3018" s="19" t="inlineStr">
        <is>
          <t>FY27</t>
        </is>
      </c>
      <c r="B3018" s="19" t="inlineStr">
        <is>
          <t>Jul</t>
        </is>
      </c>
      <c r="C3018" s="19" t="inlineStr">
        <is>
          <t>TN</t>
        </is>
      </c>
      <c r="D3018" s="20" t="inlineStr">
        <is>
          <t>TN21BD3016</t>
        </is>
      </c>
      <c r="E3018" s="20" t="inlineStr">
        <is>
          <t>MARUTI</t>
        </is>
      </c>
      <c r="F3018" s="20" t="inlineStr">
        <is>
          <t>Eeco</t>
        </is>
      </c>
      <c r="G3018" s="21" t="n">
        <v>2017</v>
      </c>
      <c r="H3018" s="22" t="n">
        <v>46231</v>
      </c>
      <c r="I3018" s="23" t="n">
        <v>185000</v>
      </c>
      <c r="J3018" s="20" t="inlineStr">
        <is>
          <t>NIRMAL CARS</t>
        </is>
      </c>
      <c r="K3018" s="20" t="inlineStr">
        <is>
          <t>Non-Captive</t>
        </is>
      </c>
      <c r="L3018" s="20" t="inlineStr">
        <is>
          <t>PINE AUTOS</t>
        </is>
      </c>
      <c r="M3018" s="23" t="n">
        <v>5084.75</v>
      </c>
      <c r="N3018" s="23" t="n">
        <v>6000</v>
      </c>
      <c r="O3018" s="24">
        <f>IF(AND(ISNUMBER(M3018), ISNUMBER(I3018), I3018&gt;0), M3018/I3018, "")</f>
        <v/>
      </c>
    </row>
    <row r="3019">
      <c r="A3019" s="19" t="inlineStr">
        <is>
          <t>FY27</t>
        </is>
      </c>
      <c r="B3019" s="19" t="inlineStr">
        <is>
          <t>Jul</t>
        </is>
      </c>
      <c r="C3019" s="19" t="inlineStr">
        <is>
          <t>TN</t>
        </is>
      </c>
      <c r="D3019" s="20" t="inlineStr">
        <is>
          <t>TN06K3082</t>
        </is>
      </c>
      <c r="E3019" s="20" t="inlineStr">
        <is>
          <t>FORD</t>
        </is>
      </c>
      <c r="F3019" s="20" t="inlineStr">
        <is>
          <t>Ikon</t>
        </is>
      </c>
      <c r="G3019" s="21" t="n">
        <v>2009</v>
      </c>
      <c r="H3019" s="22" t="n">
        <v>100044</v>
      </c>
      <c r="I3019" s="23" t="n">
        <v>135000</v>
      </c>
      <c r="J3019" s="20" t="inlineStr">
        <is>
          <t>NIRMAL CARS</t>
        </is>
      </c>
      <c r="K3019" s="20" t="inlineStr">
        <is>
          <t>Non-Captive</t>
        </is>
      </c>
      <c r="L3019" s="20" t="inlineStr">
        <is>
          <t>PINE AUTOS</t>
        </is>
      </c>
      <c r="M3019" s="23" t="n">
        <v>4238.14</v>
      </c>
      <c r="N3019" s="23" t="n">
        <v>5001</v>
      </c>
      <c r="O3019" s="24">
        <f>IF(AND(ISNUMBER(M3019), ISNUMBER(I3019), I3019&gt;0), M3019/I3019, "")</f>
        <v/>
      </c>
    </row>
    <row r="3020">
      <c r="A3020" s="19" t="inlineStr">
        <is>
          <t>FY27</t>
        </is>
      </c>
      <c r="B3020" s="19" t="inlineStr">
        <is>
          <t>Jul</t>
        </is>
      </c>
      <c r="C3020" s="19" t="inlineStr">
        <is>
          <t>TN</t>
        </is>
      </c>
      <c r="D3020" s="20" t="inlineStr">
        <is>
          <t>TN05AC0925</t>
        </is>
      </c>
      <c r="E3020" s="20" t="inlineStr">
        <is>
          <t>CHEVROLET</t>
        </is>
      </c>
      <c r="F3020" s="20" t="inlineStr">
        <is>
          <t>Spark</t>
        </is>
      </c>
      <c r="G3020" s="21" t="n">
        <v>2009</v>
      </c>
      <c r="H3020" s="22" t="n">
        <v>69451</v>
      </c>
      <c r="I3020" s="23" t="n">
        <v>125000</v>
      </c>
      <c r="J3020" s="20" t="inlineStr">
        <is>
          <t>NIRMAL CARS</t>
        </is>
      </c>
      <c r="K3020" s="20" t="inlineStr">
        <is>
          <t>Non-Captive</t>
        </is>
      </c>
      <c r="L3020" s="20" t="inlineStr">
        <is>
          <t>PINE AUTOS</t>
        </is>
      </c>
      <c r="M3020" s="23" t="n">
        <v>4238.14</v>
      </c>
      <c r="N3020" s="23" t="n">
        <v>5001</v>
      </c>
      <c r="O3020" s="24">
        <f>IF(AND(ISNUMBER(M3020), ISNUMBER(I3020), I3020&gt;0), M3020/I3020, "")</f>
        <v/>
      </c>
    </row>
    <row r="3021">
      <c r="A3021" s="19" t="inlineStr">
        <is>
          <t>FY27</t>
        </is>
      </c>
      <c r="B3021" s="19" t="inlineStr">
        <is>
          <t>Jul</t>
        </is>
      </c>
      <c r="C3021" s="19" t="inlineStr">
        <is>
          <t>TN</t>
        </is>
      </c>
      <c r="D3021" s="20" t="inlineStr">
        <is>
          <t>TN12AA7068</t>
        </is>
      </c>
      <c r="E3021" s="20" t="inlineStr">
        <is>
          <t>HYUNDAI</t>
        </is>
      </c>
      <c r="F3021" s="20" t="inlineStr">
        <is>
          <t>Eon</t>
        </is>
      </c>
      <c r="G3021" s="21" t="n">
        <v>2018</v>
      </c>
      <c r="H3021" s="22" t="n">
        <v>31346</v>
      </c>
      <c r="I3021" s="23" t="n">
        <v>115000</v>
      </c>
      <c r="J3021" s="20" t="inlineStr">
        <is>
          <t>PRODUCTIVITY ELEMENTS PRIVATE LIMITED</t>
        </is>
      </c>
      <c r="K3021" s="20" t="inlineStr">
        <is>
          <t>Non-Captive</t>
        </is>
      </c>
      <c r="L3021" s="20" t="inlineStr">
        <is>
          <t>PINE AUTOS</t>
        </is>
      </c>
      <c r="M3021" s="23" t="n">
        <v>4238.14</v>
      </c>
      <c r="N3021" s="23" t="n">
        <v>5001</v>
      </c>
      <c r="O3021" s="24">
        <f>IF(AND(ISNUMBER(M3021), ISNUMBER(I3021), I3021&gt;0), M3021/I3021, "")</f>
        <v/>
      </c>
    </row>
    <row r="3022">
      <c r="A3022" s="19" t="inlineStr">
        <is>
          <t>FY27</t>
        </is>
      </c>
      <c r="B3022" s="19" t="inlineStr">
        <is>
          <t>Jul</t>
        </is>
      </c>
      <c r="C3022" s="19" t="inlineStr">
        <is>
          <t>TN</t>
        </is>
      </c>
      <c r="D3022" s="20" t="inlineStr">
        <is>
          <t>TN22CA4833</t>
        </is>
      </c>
      <c r="E3022" s="20" t="inlineStr">
        <is>
          <t>MARUTI</t>
        </is>
      </c>
      <c r="F3022" s="20" t="inlineStr">
        <is>
          <t>Eeco</t>
        </is>
      </c>
      <c r="G3022" s="21" t="n">
        <v>2011</v>
      </c>
      <c r="H3022" s="22" t="n">
        <v>82644</v>
      </c>
      <c r="I3022" s="23" t="n">
        <v>130000</v>
      </c>
      <c r="J3022" s="20" t="inlineStr">
        <is>
          <t>PRODUCTIVITY ELEMENTS PRIVATE LIMITED</t>
        </is>
      </c>
      <c r="K3022" s="20" t="inlineStr">
        <is>
          <t>Non-Captive</t>
        </is>
      </c>
      <c r="L3022" s="20" t="inlineStr">
        <is>
          <t>SK Cars Prasana</t>
        </is>
      </c>
      <c r="M3022" s="23" t="n">
        <v>4238.14</v>
      </c>
      <c r="N3022" s="23" t="n">
        <v>5001</v>
      </c>
      <c r="O3022" s="24">
        <f>IF(AND(ISNUMBER(M3022), ISNUMBER(I3022), I3022&gt;0), M3022/I3022, "")</f>
        <v/>
      </c>
    </row>
    <row r="3023">
      <c r="A3023" s="19" t="inlineStr">
        <is>
          <t>FY27</t>
        </is>
      </c>
      <c r="B3023" s="19" t="inlineStr">
        <is>
          <t>Jul</t>
        </is>
      </c>
      <c r="C3023" s="19" t="inlineStr">
        <is>
          <t>TN</t>
        </is>
      </c>
      <c r="D3023" s="20" t="inlineStr">
        <is>
          <t>TN20DK1299</t>
        </is>
      </c>
      <c r="E3023" s="20" t="inlineStr">
        <is>
          <t>MARUTI</t>
        </is>
      </c>
      <c r="F3023" s="20" t="inlineStr">
        <is>
          <t>Brezza</t>
        </is>
      </c>
      <c r="G3023" s="21" t="n">
        <v>2025</v>
      </c>
      <c r="H3023" s="22" t="n">
        <v>33426</v>
      </c>
      <c r="I3023" s="23" t="n">
        <v>670000</v>
      </c>
      <c r="J3023" s="20" t="inlineStr">
        <is>
          <t>CASTLE TRADERS Maruti</t>
        </is>
      </c>
      <c r="K3023" s="20" t="inlineStr">
        <is>
          <t>Non-Captive</t>
        </is>
      </c>
      <c r="L3023" s="20" t="inlineStr">
        <is>
          <t>SK Cars Prasana</t>
        </is>
      </c>
      <c r="M3023" s="23" t="n">
        <v>10169.49</v>
      </c>
      <c r="N3023" s="23" t="n">
        <v>12000</v>
      </c>
      <c r="O3023" s="24">
        <f>IF(AND(ISNUMBER(M3023), ISNUMBER(I3023), I3023&gt;0), M3023/I3023, "")</f>
        <v/>
      </c>
    </row>
    <row r="3024">
      <c r="A3024" s="19" t="inlineStr">
        <is>
          <t>FY27</t>
        </is>
      </c>
      <c r="B3024" s="19" t="inlineStr">
        <is>
          <t>Jul</t>
        </is>
      </c>
      <c r="C3024" s="19" t="inlineStr">
        <is>
          <t>TN</t>
        </is>
      </c>
      <c r="D3024" s="20" t="inlineStr">
        <is>
          <t>TN20DH1191</t>
        </is>
      </c>
      <c r="E3024" s="20" t="inlineStr">
        <is>
          <t>MARUTI</t>
        </is>
      </c>
      <c r="F3024" s="20" t="inlineStr">
        <is>
          <t>Espresso</t>
        </is>
      </c>
      <c r="G3024" s="21" t="n">
        <v>2023</v>
      </c>
      <c r="H3024" s="22" t="n">
        <v>59890</v>
      </c>
      <c r="I3024" s="23" t="n">
        <v>355000</v>
      </c>
      <c r="J3024" s="20" t="inlineStr">
        <is>
          <t>CASTLE TRADERS Maruti</t>
        </is>
      </c>
      <c r="K3024" s="20" t="inlineStr">
        <is>
          <t>Non-Captive</t>
        </is>
      </c>
      <c r="L3024" s="20" t="inlineStr">
        <is>
          <t>SK Cars Prasana</t>
        </is>
      </c>
      <c r="M3024" s="23" t="n">
        <v>6355.93</v>
      </c>
      <c r="N3024" s="23" t="n">
        <v>7500</v>
      </c>
      <c r="O3024" s="24">
        <f>IF(AND(ISNUMBER(M3024), ISNUMBER(I3024), I3024&gt;0), M3024/I3024, "")</f>
        <v/>
      </c>
    </row>
    <row r="3025">
      <c r="A3025" s="19" t="inlineStr">
        <is>
          <t>FY27</t>
        </is>
      </c>
      <c r="B3025" s="19" t="inlineStr">
        <is>
          <t>Jul</t>
        </is>
      </c>
      <c r="C3025" s="19" t="inlineStr">
        <is>
          <t>TN</t>
        </is>
      </c>
      <c r="D3025" s="20" t="inlineStr">
        <is>
          <t>TN20BC6197</t>
        </is>
      </c>
      <c r="E3025" s="20" t="inlineStr">
        <is>
          <t>MARUTI</t>
        </is>
      </c>
      <c r="F3025" s="20" t="inlineStr">
        <is>
          <t>Alto</t>
        </is>
      </c>
      <c r="G3025" s="21" t="n">
        <v>2010</v>
      </c>
      <c r="H3025" s="22" t="n">
        <v>105115</v>
      </c>
      <c r="I3025" s="23" t="n">
        <v>110000</v>
      </c>
      <c r="J3025" s="20" t="inlineStr">
        <is>
          <t>CASTLE TRADERS Maruti</t>
        </is>
      </c>
      <c r="K3025" s="20" t="inlineStr">
        <is>
          <t>Non-Captive</t>
        </is>
      </c>
      <c r="L3025" s="20" t="inlineStr">
        <is>
          <t>Vijaya cars</t>
        </is>
      </c>
      <c r="M3025" s="23" t="n">
        <v>5084.75</v>
      </c>
      <c r="N3025" s="23" t="n">
        <v>6000</v>
      </c>
      <c r="O3025" s="24">
        <f>IF(AND(ISNUMBER(M3025), ISNUMBER(I3025), I3025&gt;0), M3025/I3025, "")</f>
        <v/>
      </c>
    </row>
    <row r="3026">
      <c r="A3026" s="19" t="inlineStr">
        <is>
          <t>FY27</t>
        </is>
      </c>
      <c r="B3026" s="19" t="inlineStr">
        <is>
          <t>Jul</t>
        </is>
      </c>
      <c r="C3026" s="19" t="inlineStr">
        <is>
          <t>TN</t>
        </is>
      </c>
      <c r="D3026" s="20" t="inlineStr">
        <is>
          <t>TN22DW5043</t>
        </is>
      </c>
      <c r="E3026" s="20" t="inlineStr">
        <is>
          <t>TATA</t>
        </is>
      </c>
      <c r="F3026" s="20" t="inlineStr">
        <is>
          <t>Tiago</t>
        </is>
      </c>
      <c r="G3026" s="21" t="n">
        <v>2022</v>
      </c>
      <c r="H3026" s="22" t="n">
        <v>52673</v>
      </c>
      <c r="I3026" s="23" t="n">
        <v>198000</v>
      </c>
      <c r="J3026" s="20" t="inlineStr">
        <is>
          <t>AUTOMOTIVE MANUFACTURES PRIVATE LIMITED</t>
        </is>
      </c>
      <c r="K3026" s="20" t="inlineStr">
        <is>
          <t>Non-Captive</t>
        </is>
      </c>
      <c r="L3026" s="20" t="inlineStr">
        <is>
          <t>Thiyagarajan Raja Cars</t>
        </is>
      </c>
      <c r="M3026" s="23" t="n">
        <v>5084.75</v>
      </c>
      <c r="N3026" s="23" t="n">
        <v>6000</v>
      </c>
      <c r="O3026" s="24">
        <f>IF(AND(ISNUMBER(M3026), ISNUMBER(I3026), I3026&gt;0), M3026/I3026, "")</f>
        <v/>
      </c>
    </row>
    <row r="3027">
      <c r="A3027" s="19" t="inlineStr">
        <is>
          <t>FY27</t>
        </is>
      </c>
      <c r="B3027" s="19" t="inlineStr">
        <is>
          <t>Jul</t>
        </is>
      </c>
      <c r="C3027" s="19" t="inlineStr">
        <is>
          <t>TN</t>
        </is>
      </c>
      <c r="D3027" s="20" t="inlineStr">
        <is>
          <t>TN09CF5312</t>
        </is>
      </c>
      <c r="E3027" s="20" t="inlineStr">
        <is>
          <t>MARUTI</t>
        </is>
      </c>
      <c r="F3027" s="20" t="inlineStr">
        <is>
          <t>Wagonr</t>
        </is>
      </c>
      <c r="G3027" s="21" t="n">
        <v>2016</v>
      </c>
      <c r="H3027" s="22" t="n">
        <v>59429</v>
      </c>
      <c r="I3027" s="23" t="n">
        <v>87000</v>
      </c>
      <c r="J3027" s="20" t="inlineStr">
        <is>
          <t>Rajalakshmi Cars</t>
        </is>
      </c>
      <c r="K3027" s="20" t="inlineStr">
        <is>
          <t>Non-Captive</t>
        </is>
      </c>
      <c r="L3027" s="20" t="inlineStr">
        <is>
          <t>PINE AUTOS</t>
        </is>
      </c>
      <c r="M3027" s="23" t="n">
        <v>4237.29</v>
      </c>
      <c r="N3027" s="23" t="n">
        <v>5000</v>
      </c>
      <c r="O3027" s="24">
        <f>IF(AND(ISNUMBER(M3027), ISNUMBER(I3027), I3027&gt;0), M3027/I3027, "")</f>
        <v/>
      </c>
    </row>
    <row r="3028">
      <c r="A3028" s="19" t="inlineStr">
        <is>
          <t>FY27</t>
        </is>
      </c>
      <c r="B3028" s="19" t="inlineStr">
        <is>
          <t>Jul</t>
        </is>
      </c>
      <c r="C3028" s="19" t="inlineStr">
        <is>
          <t>TN</t>
        </is>
      </c>
      <c r="D3028" s="20" t="inlineStr">
        <is>
          <t>TN24U6194</t>
        </is>
      </c>
      <c r="E3028" s="20" t="inlineStr">
        <is>
          <t>MARUTI</t>
        </is>
      </c>
      <c r="F3028" s="20" t="inlineStr">
        <is>
          <t>Alto</t>
        </is>
      </c>
      <c r="G3028" s="21" t="n">
        <v>2008</v>
      </c>
      <c r="H3028" s="22" t="n">
        <v>10774</v>
      </c>
      <c r="I3028" s="23" t="n">
        <v>70000</v>
      </c>
      <c r="J3028" s="20" t="inlineStr">
        <is>
          <t>STEER AUTO TECHNOLOGIES PRIVATE LIMITED</t>
        </is>
      </c>
      <c r="K3028" s="20" t="inlineStr">
        <is>
          <t>Non-Captive</t>
        </is>
      </c>
      <c r="L3028" s="20" t="inlineStr">
        <is>
          <t>KAMAL CARS</t>
        </is>
      </c>
      <c r="M3028" s="23" t="n">
        <v>4237.29</v>
      </c>
      <c r="N3028" s="23" t="n">
        <v>5000</v>
      </c>
      <c r="O3028" s="24">
        <f>IF(AND(ISNUMBER(M3028), ISNUMBER(I3028), I3028&gt;0), M3028/I3028, "")</f>
        <v/>
      </c>
    </row>
    <row r="3029">
      <c r="A3029" s="19" t="inlineStr">
        <is>
          <t>FY27</t>
        </is>
      </c>
      <c r="B3029" s="19" t="inlineStr">
        <is>
          <t>Jul</t>
        </is>
      </c>
      <c r="C3029" s="19" t="inlineStr">
        <is>
          <t>TN</t>
        </is>
      </c>
      <c r="D3029" s="20" t="inlineStr">
        <is>
          <t>TN01BM4802</t>
        </is>
      </c>
      <c r="E3029" s="20" t="inlineStr">
        <is>
          <t>DATSUN</t>
        </is>
      </c>
      <c r="F3029" s="20" t="inlineStr">
        <is>
          <t>Redi-Go</t>
        </is>
      </c>
      <c r="G3029" s="21" t="n">
        <v>2021</v>
      </c>
      <c r="H3029" s="22" t="n">
        <v>24596</v>
      </c>
      <c r="I3029" s="23" t="n">
        <v>90000</v>
      </c>
      <c r="J3029" s="20" t="inlineStr">
        <is>
          <t>Rajalakshmi Cars</t>
        </is>
      </c>
      <c r="K3029" s="20" t="inlineStr">
        <is>
          <t>Non-Captive</t>
        </is>
      </c>
      <c r="L3029" s="20" t="inlineStr">
        <is>
          <t>PINE AUTOS</t>
        </is>
      </c>
      <c r="M3029" s="23" t="n">
        <v>4661.02</v>
      </c>
      <c r="N3029" s="23" t="n">
        <v>5500</v>
      </c>
      <c r="O3029" s="24">
        <f>IF(AND(ISNUMBER(M3029), ISNUMBER(I3029), I3029&gt;0), M3029/I3029, "")</f>
        <v/>
      </c>
    </row>
    <row r="3030">
      <c r="A3030" s="19" t="inlineStr">
        <is>
          <t>FY27</t>
        </is>
      </c>
      <c r="B3030" s="19" t="inlineStr">
        <is>
          <t>Jul</t>
        </is>
      </c>
      <c r="C3030" s="19" t="inlineStr">
        <is>
          <t>TN</t>
        </is>
      </c>
      <c r="D3030" s="20" t="inlineStr">
        <is>
          <t>TN05AV3863</t>
        </is>
      </c>
      <c r="E3030" s="20" t="inlineStr">
        <is>
          <t>TOYOTA</t>
        </is>
      </c>
      <c r="F3030" s="20" t="inlineStr">
        <is>
          <t>Etios Liva</t>
        </is>
      </c>
      <c r="G3030" s="21" t="n">
        <v>2013</v>
      </c>
      <c r="H3030" s="22" t="n">
        <v>128430</v>
      </c>
      <c r="I3030" s="23" t="n">
        <v>198000</v>
      </c>
      <c r="J3030" s="20" t="inlineStr">
        <is>
          <t>Rajalakshmi Cars</t>
        </is>
      </c>
      <c r="K3030" s="20" t="inlineStr">
        <is>
          <t>Non-Captive</t>
        </is>
      </c>
      <c r="L3030" s="20" t="inlineStr">
        <is>
          <t>PINE AUTOS</t>
        </is>
      </c>
      <c r="M3030" s="23" t="n">
        <v>5084.75</v>
      </c>
      <c r="N3030" s="23" t="n">
        <v>6000</v>
      </c>
      <c r="O3030" s="24">
        <f>IF(AND(ISNUMBER(M3030), ISNUMBER(I3030), I3030&gt;0), M3030/I3030, "")</f>
        <v/>
      </c>
    </row>
    <row r="3031">
      <c r="A3031" s="19" t="inlineStr">
        <is>
          <t>FY27</t>
        </is>
      </c>
      <c r="B3031" s="19" t="inlineStr">
        <is>
          <t>Jul</t>
        </is>
      </c>
      <c r="C3031" s="19" t="inlineStr">
        <is>
          <t>TN</t>
        </is>
      </c>
      <c r="D3031" s="20" t="inlineStr">
        <is>
          <t>TN10AH8949</t>
        </is>
      </c>
      <c r="E3031" s="20" t="inlineStr">
        <is>
          <t>HONDA</t>
        </is>
      </c>
      <c r="F3031" s="20" t="inlineStr">
        <is>
          <t>City</t>
        </is>
      </c>
      <c r="G3031" s="21" t="n">
        <v>2012</v>
      </c>
      <c r="H3031" s="22" t="n">
        <v>87044</v>
      </c>
      <c r="I3031" s="23" t="n">
        <v>100000</v>
      </c>
      <c r="J3031" s="20" t="inlineStr">
        <is>
          <t>STEER AUTO TECHNOLOGIES PRIVATE LIMITED</t>
        </is>
      </c>
      <c r="K3031" s="20" t="inlineStr">
        <is>
          <t>Non-Captive</t>
        </is>
      </c>
      <c r="L3031" s="20" t="inlineStr">
        <is>
          <t>KAMAL CARS</t>
        </is>
      </c>
      <c r="M3031" s="23" t="n">
        <v>4237.29</v>
      </c>
      <c r="N3031" s="23" t="n">
        <v>5000</v>
      </c>
      <c r="O3031" s="24">
        <f>IF(AND(ISNUMBER(M3031), ISNUMBER(I3031), I3031&gt;0), M3031/I3031, "")</f>
        <v/>
      </c>
    </row>
    <row r="3032">
      <c r="A3032" s="19" t="inlineStr">
        <is>
          <t>FY27</t>
        </is>
      </c>
      <c r="B3032" s="19" t="inlineStr">
        <is>
          <t>Jul</t>
        </is>
      </c>
      <c r="C3032" s="19" t="inlineStr">
        <is>
          <t>TN</t>
        </is>
      </c>
      <c r="D3032" s="20" t="inlineStr">
        <is>
          <t>TN05BJ5369</t>
        </is>
      </c>
      <c r="E3032" s="20" t="inlineStr">
        <is>
          <t>HONDA</t>
        </is>
      </c>
      <c r="F3032" s="20" t="inlineStr">
        <is>
          <t>Amaze</t>
        </is>
      </c>
      <c r="G3032" s="21" t="n">
        <v>2016</v>
      </c>
      <c r="H3032" s="22" t="n">
        <v>37374</v>
      </c>
      <c r="I3032" s="23" t="n">
        <v>180000</v>
      </c>
      <c r="J3032" s="20" t="inlineStr">
        <is>
          <t>Rajalakshmi Cars</t>
        </is>
      </c>
      <c r="K3032" s="20" t="inlineStr">
        <is>
          <t>Non-Captive</t>
        </is>
      </c>
      <c r="L3032" s="20" t="inlineStr">
        <is>
          <t>PINE AUTOS</t>
        </is>
      </c>
      <c r="M3032" s="23" t="n">
        <v>5084.75</v>
      </c>
      <c r="N3032" s="23" t="n">
        <v>6000</v>
      </c>
      <c r="O3032" s="24">
        <f>IF(AND(ISNUMBER(M3032), ISNUMBER(I3032), I3032&gt;0), M3032/I3032, "")</f>
        <v/>
      </c>
    </row>
    <row r="3033">
      <c r="A3033" s="19" t="inlineStr">
        <is>
          <t>FY27</t>
        </is>
      </c>
      <c r="B3033" s="19" t="inlineStr">
        <is>
          <t>Jul</t>
        </is>
      </c>
      <c r="C3033" s="19" t="inlineStr">
        <is>
          <t>TN</t>
        </is>
      </c>
      <c r="D3033" s="20" t="inlineStr">
        <is>
          <t>TN04R0745</t>
        </is>
      </c>
      <c r="E3033" s="20" t="inlineStr">
        <is>
          <t>HYUNDAI</t>
        </is>
      </c>
      <c r="F3033" s="20" t="inlineStr">
        <is>
          <t>Santro</t>
        </is>
      </c>
      <c r="G3033" s="21" t="n">
        <v>2006</v>
      </c>
      <c r="H3033" s="22" t="n">
        <v>55456</v>
      </c>
      <c r="I3033" s="23" t="n">
        <v>95000</v>
      </c>
      <c r="J3033" s="20" t="inlineStr">
        <is>
          <t>STEER AUTO TECHNOLOGIES PRIVATE LIMITED</t>
        </is>
      </c>
      <c r="K3033" s="20" t="inlineStr">
        <is>
          <t>Non-Captive</t>
        </is>
      </c>
      <c r="L3033" s="20" t="inlineStr">
        <is>
          <t>SK Cars Prasana</t>
        </is>
      </c>
      <c r="M3033" s="23" t="n">
        <v>4238.14</v>
      </c>
      <c r="N3033" s="23" t="n">
        <v>5001</v>
      </c>
      <c r="O3033" s="24">
        <f>IF(AND(ISNUMBER(M3033), ISNUMBER(I3033), I3033&gt;0), M3033/I3033, "")</f>
        <v/>
      </c>
    </row>
    <row r="3034">
      <c r="A3034" s="19" t="inlineStr">
        <is>
          <t>FY27</t>
        </is>
      </c>
      <c r="B3034" s="19" t="inlineStr">
        <is>
          <t>Jul</t>
        </is>
      </c>
      <c r="C3034" s="19" t="inlineStr">
        <is>
          <t>TN</t>
        </is>
      </c>
      <c r="D3034" s="20" t="inlineStr">
        <is>
          <t>TN05CC9960</t>
        </is>
      </c>
      <c r="E3034" s="20" t="inlineStr">
        <is>
          <t>TOYOTA</t>
        </is>
      </c>
      <c r="F3034" s="20" t="inlineStr">
        <is>
          <t>Glanza</t>
        </is>
      </c>
      <c r="G3034" s="21" t="n">
        <v>2021</v>
      </c>
      <c r="H3034" s="22" t="n">
        <v>43040</v>
      </c>
      <c r="I3034" s="23" t="n">
        <v>96000</v>
      </c>
      <c r="J3034" s="20" t="inlineStr">
        <is>
          <t>GURUDEV MOTORS LLP</t>
        </is>
      </c>
      <c r="K3034" s="20" t="inlineStr">
        <is>
          <t>Non-Captive</t>
        </is>
      </c>
      <c r="L3034" s="20" t="inlineStr">
        <is>
          <t>Vellore Vathiyar</t>
        </is>
      </c>
      <c r="M3034" s="23" t="n">
        <v>4237.29</v>
      </c>
      <c r="N3034" s="23" t="n">
        <v>5000</v>
      </c>
      <c r="O3034" s="24">
        <f>IF(AND(ISNUMBER(M3034), ISNUMBER(I3034), I3034&gt;0), M3034/I3034, "")</f>
        <v/>
      </c>
    </row>
    <row r="3035">
      <c r="A3035" s="19" t="inlineStr">
        <is>
          <t>FY27</t>
        </is>
      </c>
      <c r="B3035" s="19" t="inlineStr">
        <is>
          <t>Jul</t>
        </is>
      </c>
      <c r="C3035" s="19" t="inlineStr">
        <is>
          <t>TN</t>
        </is>
      </c>
      <c r="D3035" s="20" t="inlineStr">
        <is>
          <t>TN05AU9803</t>
        </is>
      </c>
      <c r="E3035" s="20" t="inlineStr">
        <is>
          <t>MARUTI</t>
        </is>
      </c>
      <c r="F3035" s="20" t="inlineStr">
        <is>
          <t>Swiftdzire</t>
        </is>
      </c>
      <c r="G3035" s="21" t="n">
        <v>2013</v>
      </c>
      <c r="H3035" s="22" t="n">
        <v>123632</v>
      </c>
      <c r="I3035" s="23" t="n">
        <v>80000</v>
      </c>
      <c r="J3035" s="20" t="inlineStr">
        <is>
          <t>STEER AUTO TECHNOLOGIES PRIVATE LIMITED</t>
        </is>
      </c>
      <c r="K3035" s="20" t="inlineStr">
        <is>
          <t>Non-Captive</t>
        </is>
      </c>
      <c r="L3035" s="20" t="inlineStr">
        <is>
          <t>SK Cars Prasana</t>
        </is>
      </c>
      <c r="M3035" s="23" t="n">
        <v>4238.14</v>
      </c>
      <c r="N3035" s="23" t="n">
        <v>5001</v>
      </c>
      <c r="O3035" s="24">
        <f>IF(AND(ISNUMBER(M3035), ISNUMBER(I3035), I3035&gt;0), M3035/I3035, "")</f>
        <v/>
      </c>
    </row>
    <row r="3036">
      <c r="A3036" s="19" t="inlineStr">
        <is>
          <t>FY27</t>
        </is>
      </c>
      <c r="B3036" s="19" t="inlineStr">
        <is>
          <t>Jul</t>
        </is>
      </c>
      <c r="C3036" s="19" t="inlineStr">
        <is>
          <t>TN</t>
        </is>
      </c>
      <c r="D3036" s="20" t="inlineStr">
        <is>
          <t>TN20BD8218</t>
        </is>
      </c>
      <c r="E3036" s="20" t="inlineStr">
        <is>
          <t>MARUTI</t>
        </is>
      </c>
      <c r="F3036" s="20" t="inlineStr">
        <is>
          <t>Wagonr</t>
        </is>
      </c>
      <c r="G3036" s="21" t="n">
        <v>2010</v>
      </c>
      <c r="H3036" s="22" t="n">
        <v>61420</v>
      </c>
      <c r="I3036" s="23" t="n">
        <v>78000</v>
      </c>
      <c r="J3036" s="20" t="inlineStr">
        <is>
          <t>STEER AUTO TECHNOLOGIES PRIVATE LIMITED</t>
        </is>
      </c>
      <c r="K3036" s="20" t="inlineStr">
        <is>
          <t>Non-Captive</t>
        </is>
      </c>
      <c r="L3036" s="20" t="inlineStr">
        <is>
          <t>SK Cars Prasana</t>
        </is>
      </c>
      <c r="M3036" s="23" t="n">
        <v>4238.14</v>
      </c>
      <c r="N3036" s="23" t="n">
        <v>5001</v>
      </c>
      <c r="O3036" s="24">
        <f>IF(AND(ISNUMBER(M3036), ISNUMBER(I3036), I3036&gt;0), M3036/I3036, "")</f>
        <v/>
      </c>
    </row>
    <row r="3037">
      <c r="A3037" s="19" t="inlineStr">
        <is>
          <t>FY27</t>
        </is>
      </c>
      <c r="B3037" s="19" t="inlineStr">
        <is>
          <t>Jul</t>
        </is>
      </c>
      <c r="C3037" s="19" t="inlineStr">
        <is>
          <t>TN</t>
        </is>
      </c>
      <c r="D3037" s="20" t="inlineStr">
        <is>
          <t>TN07CA7909</t>
        </is>
      </c>
      <c r="E3037" s="20" t="inlineStr">
        <is>
          <t>HYUNDAI</t>
        </is>
      </c>
      <c r="F3037" s="20" t="inlineStr">
        <is>
          <t>Grand I10</t>
        </is>
      </c>
      <c r="G3037" s="21" t="n">
        <v>2014</v>
      </c>
      <c r="H3037" s="22" t="n">
        <v>161076</v>
      </c>
      <c r="I3037" s="23" t="n">
        <v>85000</v>
      </c>
      <c r="J3037" s="20" t="inlineStr">
        <is>
          <t>STEER AUTO TECHNOLOGIES PRIVATE LIMITED</t>
        </is>
      </c>
      <c r="K3037" s="20" t="inlineStr">
        <is>
          <t>Non-Captive</t>
        </is>
      </c>
      <c r="L3037" s="20" t="inlineStr">
        <is>
          <t>SK Cars Prasana</t>
        </is>
      </c>
      <c r="M3037" s="23" t="n">
        <v>4238.14</v>
      </c>
      <c r="N3037" s="23" t="n">
        <v>5001</v>
      </c>
      <c r="O3037" s="24">
        <f>IF(AND(ISNUMBER(M3037), ISNUMBER(I3037), I3037&gt;0), M3037/I3037, "")</f>
        <v/>
      </c>
    </row>
    <row r="3038">
      <c r="A3038" s="19" t="inlineStr">
        <is>
          <t>FY27</t>
        </is>
      </c>
      <c r="B3038" s="19" t="inlineStr">
        <is>
          <t>Jul</t>
        </is>
      </c>
      <c r="C3038" s="19" t="inlineStr">
        <is>
          <t>TN</t>
        </is>
      </c>
      <c r="D3038" s="20" t="inlineStr">
        <is>
          <t>TN05BE4520</t>
        </is>
      </c>
      <c r="E3038" s="20" t="inlineStr">
        <is>
          <t>MARUTI</t>
        </is>
      </c>
      <c r="F3038" s="20" t="inlineStr">
        <is>
          <t>Wagonr</t>
        </is>
      </c>
      <c r="G3038" s="21" t="n">
        <v>2016</v>
      </c>
      <c r="H3038" s="22" t="n">
        <v>31572</v>
      </c>
      <c r="I3038" s="23" t="n">
        <v>250000</v>
      </c>
      <c r="J3038" s="20" t="inlineStr">
        <is>
          <t>STEER AUTO TECHNOLOGIES PRIVATE LIMITED</t>
        </is>
      </c>
      <c r="K3038" s="20" t="inlineStr">
        <is>
          <t>Non-Captive</t>
        </is>
      </c>
      <c r="L3038" s="20" t="inlineStr">
        <is>
          <t>SK Cars Prasana</t>
        </is>
      </c>
      <c r="M3038" s="23" t="n">
        <v>6355.93</v>
      </c>
      <c r="N3038" s="23" t="n">
        <v>7500</v>
      </c>
      <c r="O3038" s="24">
        <f>IF(AND(ISNUMBER(M3038), ISNUMBER(I3038), I3038&gt;0), M3038/I3038, "")</f>
        <v/>
      </c>
    </row>
    <row r="3039">
      <c r="A3039" s="19" t="inlineStr">
        <is>
          <t>FY27</t>
        </is>
      </c>
      <c r="B3039" s="19" t="inlineStr">
        <is>
          <t>Jul</t>
        </is>
      </c>
      <c r="C3039" s="19" t="inlineStr">
        <is>
          <t>TN</t>
        </is>
      </c>
      <c r="D3039" s="20" t="inlineStr">
        <is>
          <t>GJ05JN4881</t>
        </is>
      </c>
      <c r="E3039" s="20" t="inlineStr">
        <is>
          <t>HYUNDAI</t>
        </is>
      </c>
      <c r="F3039" s="20" t="inlineStr">
        <is>
          <t>Grand I10</t>
        </is>
      </c>
      <c r="G3039" s="21" t="n">
        <v>2015</v>
      </c>
      <c r="H3039" s="22" t="n">
        <v>68535</v>
      </c>
      <c r="I3039" s="23" t="n">
        <v>100000</v>
      </c>
      <c r="J3039" s="20" t="inlineStr">
        <is>
          <t>STEER AUTO TECHNOLOGIES PRIVATE LIMITED</t>
        </is>
      </c>
      <c r="K3039" s="20" t="inlineStr">
        <is>
          <t>Non-Captive</t>
        </is>
      </c>
      <c r="L3039" s="20" t="inlineStr">
        <is>
          <t>SK Cars Prasana</t>
        </is>
      </c>
      <c r="M3039" s="23" t="n">
        <v>4238.14</v>
      </c>
      <c r="N3039" s="23" t="n">
        <v>5001</v>
      </c>
      <c r="O3039" s="24">
        <f>IF(AND(ISNUMBER(M3039), ISNUMBER(I3039), I3039&gt;0), M3039/I3039, "")</f>
        <v/>
      </c>
    </row>
    <row r="3040">
      <c r="A3040" s="19" t="inlineStr">
        <is>
          <t>FY27</t>
        </is>
      </c>
      <c r="B3040" s="19" t="inlineStr">
        <is>
          <t>Jul</t>
        </is>
      </c>
      <c r="C3040" s="19" t="inlineStr">
        <is>
          <t>TN</t>
        </is>
      </c>
      <c r="D3040" s="20" t="inlineStr">
        <is>
          <t>TN31AX7699</t>
        </is>
      </c>
      <c r="E3040" s="20" t="inlineStr">
        <is>
          <t>MARUTI</t>
        </is>
      </c>
      <c r="F3040" s="20" t="inlineStr">
        <is>
          <t>Swift</t>
        </is>
      </c>
      <c r="G3040" s="21" t="n">
        <v>2008</v>
      </c>
      <c r="H3040" s="22" t="n">
        <v>178859</v>
      </c>
      <c r="I3040" s="23" t="n">
        <v>95000</v>
      </c>
      <c r="J3040" s="20" t="inlineStr">
        <is>
          <t>CAR HUB</t>
        </is>
      </c>
      <c r="K3040" s="20" t="inlineStr">
        <is>
          <t>Non-Captive</t>
        </is>
      </c>
      <c r="L3040" s="20" t="inlineStr">
        <is>
          <t>KAMAL CARS</t>
        </is>
      </c>
      <c r="M3040" s="23" t="n">
        <v>4237.29</v>
      </c>
      <c r="N3040" s="23" t="n">
        <v>5000</v>
      </c>
      <c r="O3040" s="24">
        <f>IF(AND(ISNUMBER(M3040), ISNUMBER(I3040), I3040&gt;0), M3040/I3040, "")</f>
        <v/>
      </c>
    </row>
    <row r="3041">
      <c r="A3041" s="19" t="inlineStr">
        <is>
          <t>FY27</t>
        </is>
      </c>
      <c r="B3041" s="19" t="inlineStr">
        <is>
          <t>Jul</t>
        </is>
      </c>
      <c r="C3041" s="19" t="inlineStr">
        <is>
          <t>TN</t>
        </is>
      </c>
      <c r="D3041" s="20" t="inlineStr">
        <is>
          <t>TN07AT6066</t>
        </is>
      </c>
      <c r="E3041" s="20" t="inlineStr">
        <is>
          <t>HONDA</t>
        </is>
      </c>
      <c r="F3041" s="20" t="inlineStr">
        <is>
          <t>City</t>
        </is>
      </c>
      <c r="G3041" s="21" t="n">
        <v>2007</v>
      </c>
      <c r="H3041" s="22" t="n">
        <v>240307</v>
      </c>
      <c r="I3041" s="23" t="n">
        <v>94000</v>
      </c>
      <c r="J3041" s="20" t="inlineStr">
        <is>
          <t>VISHNU CARS PRIVATE LIMITED</t>
        </is>
      </c>
      <c r="K3041" s="20" t="inlineStr">
        <is>
          <t>Non-Captive</t>
        </is>
      </c>
      <c r="L3041" s="20" t="inlineStr">
        <is>
          <t>Thiya Cars</t>
        </is>
      </c>
      <c r="M3041" s="23" t="n">
        <v>4237.29</v>
      </c>
      <c r="N3041" s="23" t="n">
        <v>5000</v>
      </c>
      <c r="O3041" s="24">
        <f>IF(AND(ISNUMBER(M3041), ISNUMBER(I3041), I3041&gt;0), M3041/I3041, "")</f>
        <v/>
      </c>
    </row>
    <row r="3042">
      <c r="A3042" s="19" t="inlineStr">
        <is>
          <t>FY27</t>
        </is>
      </c>
      <c r="B3042" s="19" t="inlineStr">
        <is>
          <t>Jul</t>
        </is>
      </c>
      <c r="C3042" s="19" t="inlineStr">
        <is>
          <t>TN</t>
        </is>
      </c>
      <c r="D3042" s="20" t="inlineStr">
        <is>
          <t>TN02BA9210</t>
        </is>
      </c>
      <c r="E3042" s="20" t="inlineStr">
        <is>
          <t>HYUNDAI</t>
        </is>
      </c>
      <c r="F3042" s="20" t="inlineStr">
        <is>
          <t>Eon</t>
        </is>
      </c>
      <c r="G3042" s="21" t="n">
        <v>2014</v>
      </c>
      <c r="H3042" s="22" t="n">
        <v>112699</v>
      </c>
      <c r="I3042" s="23" t="n">
        <v>88000</v>
      </c>
      <c r="J3042" s="20" t="inlineStr">
        <is>
          <t>VISHNU CARS PRIVATE LIMITED</t>
        </is>
      </c>
      <c r="K3042" s="20" t="inlineStr">
        <is>
          <t>Non-Captive</t>
        </is>
      </c>
      <c r="L3042" s="20" t="inlineStr">
        <is>
          <t>LIAKATHCARS</t>
        </is>
      </c>
      <c r="M3042" s="23" t="n">
        <v>4237.29</v>
      </c>
      <c r="N3042" s="23" t="n">
        <v>5000</v>
      </c>
      <c r="O3042" s="24">
        <f>IF(AND(ISNUMBER(M3042), ISNUMBER(I3042), I3042&gt;0), M3042/I3042, "")</f>
        <v/>
      </c>
    </row>
    <row r="3043">
      <c r="A3043" s="19" t="inlineStr">
        <is>
          <t>FY27</t>
        </is>
      </c>
      <c r="B3043" s="19" t="inlineStr">
        <is>
          <t>Jul</t>
        </is>
      </c>
      <c r="C3043" s="19" t="inlineStr">
        <is>
          <t>TN</t>
        </is>
      </c>
      <c r="D3043" s="20" t="inlineStr">
        <is>
          <t>TN22BE2334</t>
        </is>
      </c>
      <c r="E3043" s="20" t="inlineStr">
        <is>
          <t>HYUNDAI</t>
        </is>
      </c>
      <c r="F3043" s="20" t="inlineStr">
        <is>
          <t>Santro</t>
        </is>
      </c>
      <c r="G3043" s="21" t="n">
        <v>2009</v>
      </c>
      <c r="H3043" s="22" t="n">
        <v>74825</v>
      </c>
      <c r="I3043" s="23" t="n">
        <v>99000</v>
      </c>
      <c r="J3043" s="20" t="inlineStr">
        <is>
          <t>VISHNU CARS PRIVATE LIMITED</t>
        </is>
      </c>
      <c r="K3043" s="20" t="inlineStr">
        <is>
          <t>Non-Captive</t>
        </is>
      </c>
      <c r="L3043" s="20" t="inlineStr">
        <is>
          <t>LIAKATHCARS</t>
        </is>
      </c>
      <c r="M3043" s="23" t="n">
        <v>4237.29</v>
      </c>
      <c r="N3043" s="23" t="n">
        <v>5000</v>
      </c>
      <c r="O3043" s="24">
        <f>IF(AND(ISNUMBER(M3043), ISNUMBER(I3043), I3043&gt;0), M3043/I3043, "")</f>
        <v/>
      </c>
    </row>
    <row r="3044">
      <c r="A3044" s="19" t="inlineStr">
        <is>
          <t>FY27</t>
        </is>
      </c>
      <c r="B3044" s="19" t="inlineStr">
        <is>
          <t>Jul</t>
        </is>
      </c>
      <c r="C3044" s="19" t="inlineStr">
        <is>
          <t>TN</t>
        </is>
      </c>
      <c r="D3044" s="20" t="inlineStr">
        <is>
          <t>TN07AP5429</t>
        </is>
      </c>
      <c r="E3044" s="20" t="inlineStr">
        <is>
          <t>HYUNDAI</t>
        </is>
      </c>
      <c r="F3044" s="20" t="inlineStr">
        <is>
          <t>Santro</t>
        </is>
      </c>
      <c r="G3044" s="21" t="n">
        <v>2007</v>
      </c>
      <c r="H3044" s="22" t="n">
        <v>108269</v>
      </c>
      <c r="I3044" s="23" t="n">
        <v>98000</v>
      </c>
      <c r="J3044" s="20" t="inlineStr">
        <is>
          <t>VISHNU CARS PRIVATE LIMITED</t>
        </is>
      </c>
      <c r="K3044" s="20" t="inlineStr">
        <is>
          <t>Non-Captive</t>
        </is>
      </c>
      <c r="L3044" s="20" t="inlineStr">
        <is>
          <t>LIAKATHCARS</t>
        </is>
      </c>
      <c r="M3044" s="23" t="n">
        <v>4237.29</v>
      </c>
      <c r="N3044" s="23" t="n">
        <v>5000</v>
      </c>
      <c r="O3044" s="24">
        <f>IF(AND(ISNUMBER(M3044), ISNUMBER(I3044), I3044&gt;0), M3044/I3044, "")</f>
        <v/>
      </c>
    </row>
    <row r="3045">
      <c r="A3045" s="19" t="inlineStr">
        <is>
          <t>FY27</t>
        </is>
      </c>
      <c r="B3045" s="19" t="inlineStr">
        <is>
          <t>Jul</t>
        </is>
      </c>
      <c r="C3045" s="19" t="inlineStr">
        <is>
          <t>TN</t>
        </is>
      </c>
      <c r="D3045" s="20" t="inlineStr">
        <is>
          <t>TN05AK8822</t>
        </is>
      </c>
      <c r="E3045" s="20" t="inlineStr">
        <is>
          <t>HYUNDAI</t>
        </is>
      </c>
      <c r="F3045" s="20" t="inlineStr">
        <is>
          <t>I10</t>
        </is>
      </c>
      <c r="G3045" s="21" t="n">
        <v>2011</v>
      </c>
      <c r="H3045" s="22" t="n">
        <v>92735</v>
      </c>
      <c r="I3045" s="23" t="n">
        <v>91000</v>
      </c>
      <c r="J3045" s="20" t="inlineStr">
        <is>
          <t>AIE CARS PRIVATE LIMITED</t>
        </is>
      </c>
      <c r="K3045" s="20" t="inlineStr">
        <is>
          <t>Non-Captive</t>
        </is>
      </c>
      <c r="L3045" s="20" t="inlineStr">
        <is>
          <t>S2 MOTORZ</t>
        </is>
      </c>
      <c r="M3045" s="23" t="n">
        <v>4237.29</v>
      </c>
      <c r="N3045" s="23" t="n">
        <v>5000</v>
      </c>
      <c r="O3045" s="24">
        <f>IF(AND(ISNUMBER(M3045), ISNUMBER(I3045), I3045&gt;0), M3045/I3045, "")</f>
        <v/>
      </c>
    </row>
    <row r="3046">
      <c r="A3046" s="19" t="inlineStr">
        <is>
          <t>FY27</t>
        </is>
      </c>
      <c r="B3046" s="19" t="inlineStr">
        <is>
          <t>Jul</t>
        </is>
      </c>
      <c r="C3046" s="19" t="inlineStr">
        <is>
          <t>TN</t>
        </is>
      </c>
      <c r="D3046" s="20" t="inlineStr">
        <is>
          <t>TN01AD0712</t>
        </is>
      </c>
      <c r="E3046" s="20" t="inlineStr">
        <is>
          <t>FORD</t>
        </is>
      </c>
      <c r="F3046" s="20" t="inlineStr">
        <is>
          <t>Ikon</t>
        </is>
      </c>
      <c r="G3046" s="21" t="n">
        <v>2007</v>
      </c>
      <c r="H3046" s="22" t="n">
        <v>87847</v>
      </c>
      <c r="I3046" s="23" t="n">
        <v>86000</v>
      </c>
      <c r="J3046" s="20" t="inlineStr">
        <is>
          <t>AIE CARS PRIVATE LIMITED</t>
        </is>
      </c>
      <c r="K3046" s="20" t="inlineStr">
        <is>
          <t>Non-Captive</t>
        </is>
      </c>
      <c r="L3046" s="20" t="inlineStr">
        <is>
          <t>S2 MOTORZ</t>
        </is>
      </c>
      <c r="M3046" s="23" t="n">
        <v>4237.29</v>
      </c>
      <c r="N3046" s="23" t="n">
        <v>5000</v>
      </c>
      <c r="O3046" s="24">
        <f>IF(AND(ISNUMBER(M3046), ISNUMBER(I3046), I3046&gt;0), M3046/I3046, "")</f>
        <v/>
      </c>
    </row>
    <row r="3047">
      <c r="A3047" s="19" t="inlineStr">
        <is>
          <t>FY27</t>
        </is>
      </c>
      <c r="B3047" s="19" t="inlineStr">
        <is>
          <t>Jul</t>
        </is>
      </c>
      <c r="C3047" s="19" t="inlineStr">
        <is>
          <t>TN</t>
        </is>
      </c>
      <c r="D3047" s="20" t="inlineStr">
        <is>
          <t>TN31AH4189</t>
        </is>
      </c>
      <c r="E3047" s="20" t="inlineStr">
        <is>
          <t>TATA</t>
        </is>
      </c>
      <c r="F3047" s="20" t="inlineStr">
        <is>
          <t>Nano</t>
        </is>
      </c>
      <c r="G3047" s="21" t="n">
        <v>2012</v>
      </c>
      <c r="H3047" s="22" t="n">
        <v>28603</v>
      </c>
      <c r="I3047" s="23" t="n">
        <v>89000</v>
      </c>
      <c r="J3047" s="20" t="inlineStr">
        <is>
          <t>AIE CARS PRIVATE LIMITED</t>
        </is>
      </c>
      <c r="K3047" s="20" t="inlineStr">
        <is>
          <t>Non-Captive</t>
        </is>
      </c>
      <c r="L3047" s="20" t="inlineStr">
        <is>
          <t>S2 MOTORZ</t>
        </is>
      </c>
      <c r="M3047" s="23" t="n">
        <v>4237.29</v>
      </c>
      <c r="N3047" s="23" t="n">
        <v>5000</v>
      </c>
      <c r="O3047" s="24">
        <f>IF(AND(ISNUMBER(M3047), ISNUMBER(I3047), I3047&gt;0), M3047/I3047, "")</f>
        <v/>
      </c>
    </row>
    <row r="3048">
      <c r="A3048" s="19" t="inlineStr">
        <is>
          <t>FY27</t>
        </is>
      </c>
      <c r="B3048" s="19" t="inlineStr">
        <is>
          <t>Jul</t>
        </is>
      </c>
      <c r="C3048" s="19" t="inlineStr">
        <is>
          <t>TN</t>
        </is>
      </c>
      <c r="D3048" s="20" t="inlineStr">
        <is>
          <t>TN01R0594</t>
        </is>
      </c>
      <c r="E3048" s="20" t="inlineStr">
        <is>
          <t>HONDA</t>
        </is>
      </c>
      <c r="F3048" s="20" t="inlineStr">
        <is>
          <t>City</t>
        </is>
      </c>
      <c r="G3048" s="21" t="n">
        <v>2000</v>
      </c>
      <c r="H3048" s="22" t="n">
        <v>129411</v>
      </c>
      <c r="I3048" s="23" t="n">
        <v>92000</v>
      </c>
      <c r="J3048" s="20" t="inlineStr">
        <is>
          <t>AIE CARS PRIVATE LIMITED</t>
        </is>
      </c>
      <c r="K3048" s="20" t="inlineStr">
        <is>
          <t>Non-Captive</t>
        </is>
      </c>
      <c r="L3048" s="20" t="inlineStr">
        <is>
          <t>S2 MOTORZ</t>
        </is>
      </c>
      <c r="M3048" s="23" t="n">
        <v>4237.29</v>
      </c>
      <c r="N3048" s="23" t="n">
        <v>5000</v>
      </c>
      <c r="O3048" s="24">
        <f>IF(AND(ISNUMBER(M3048), ISNUMBER(I3048), I3048&gt;0), M3048/I3048, "")</f>
        <v/>
      </c>
    </row>
    <row r="3049">
      <c r="A3049" s="19" t="inlineStr">
        <is>
          <t>FY27</t>
        </is>
      </c>
      <c r="B3049" s="19" t="inlineStr">
        <is>
          <t>Jul</t>
        </is>
      </c>
      <c r="C3049" s="19" t="inlineStr">
        <is>
          <t>TN</t>
        </is>
      </c>
      <c r="D3049" s="20" t="inlineStr">
        <is>
          <t>TN19K4551</t>
        </is>
      </c>
      <c r="E3049" s="20" t="inlineStr">
        <is>
          <t>MARUTI</t>
        </is>
      </c>
      <c r="F3049" s="20" t="inlineStr">
        <is>
          <t>Wagonr</t>
        </is>
      </c>
      <c r="G3049" s="21" t="n">
        <v>2013</v>
      </c>
      <c r="H3049" s="22" t="n">
        <v>58269</v>
      </c>
      <c r="I3049" s="23" t="n">
        <v>186000</v>
      </c>
      <c r="J3049" s="20" t="inlineStr">
        <is>
          <t>Rajalakshmi Cars</t>
        </is>
      </c>
      <c r="K3049" s="20" t="inlineStr">
        <is>
          <t>Non-Captive</t>
        </is>
      </c>
      <c r="L3049" s="20" t="inlineStr">
        <is>
          <t>PINE AUTOS</t>
        </is>
      </c>
      <c r="M3049" s="23" t="n">
        <v>5084.75</v>
      </c>
      <c r="N3049" s="23" t="n">
        <v>6000</v>
      </c>
      <c r="O3049" s="24">
        <f>IF(AND(ISNUMBER(M3049), ISNUMBER(I3049), I3049&gt;0), M3049/I3049, "")</f>
        <v/>
      </c>
    </row>
    <row r="3050">
      <c r="A3050" s="19" t="inlineStr">
        <is>
          <t>FY27</t>
        </is>
      </c>
      <c r="B3050" s="19" t="inlineStr">
        <is>
          <t>Jul</t>
        </is>
      </c>
      <c r="C3050" s="19" t="inlineStr">
        <is>
          <t>TN</t>
        </is>
      </c>
      <c r="D3050" s="20" t="inlineStr">
        <is>
          <t>TN18AM5223</t>
        </is>
      </c>
      <c r="E3050" s="20" t="inlineStr">
        <is>
          <t>MARUTI</t>
        </is>
      </c>
      <c r="F3050" s="20" t="inlineStr">
        <is>
          <t>Swiftdzire</t>
        </is>
      </c>
      <c r="G3050" s="21" t="n">
        <v>2017</v>
      </c>
      <c r="H3050" s="22" t="n">
        <v>179935</v>
      </c>
      <c r="I3050" s="23" t="n">
        <v>390000</v>
      </c>
      <c r="J3050" s="20" t="inlineStr">
        <is>
          <t>Rajalakshmi Cars</t>
        </is>
      </c>
      <c r="K3050" s="20" t="inlineStr">
        <is>
          <t>Non-Captive</t>
        </is>
      </c>
      <c r="L3050" s="20" t="inlineStr">
        <is>
          <t>S2 MOTORZ</t>
        </is>
      </c>
      <c r="M3050" s="23" t="n">
        <v>6779.66</v>
      </c>
      <c r="N3050" s="23" t="n">
        <v>8000</v>
      </c>
      <c r="O3050" s="24">
        <f>IF(AND(ISNUMBER(M3050), ISNUMBER(I3050), I3050&gt;0), M3050/I3050, "")</f>
        <v/>
      </c>
    </row>
    <row r="3051">
      <c r="A3051" s="19" t="inlineStr">
        <is>
          <t>FY27</t>
        </is>
      </c>
      <c r="B3051" s="19" t="inlineStr">
        <is>
          <t>Jul</t>
        </is>
      </c>
      <c r="C3051" s="19" t="inlineStr">
        <is>
          <t>TN</t>
        </is>
      </c>
      <c r="D3051" s="20" t="inlineStr">
        <is>
          <t>TN05AH9401</t>
        </is>
      </c>
      <c r="E3051" s="20" t="inlineStr">
        <is>
          <t>MARUTI</t>
        </is>
      </c>
      <c r="F3051" s="20" t="inlineStr">
        <is>
          <t>Alto K10</t>
        </is>
      </c>
      <c r="G3051" s="21" t="n">
        <v>2011</v>
      </c>
      <c r="H3051" s="22" t="n">
        <v>42559</v>
      </c>
      <c r="I3051" s="23" t="n">
        <v>194000</v>
      </c>
      <c r="J3051" s="20" t="inlineStr">
        <is>
          <t>Rajalakshmi Cars</t>
        </is>
      </c>
      <c r="K3051" s="20" t="inlineStr">
        <is>
          <t>Non-Captive</t>
        </is>
      </c>
      <c r="L3051" s="20" t="inlineStr">
        <is>
          <t>PINE AUTOS</t>
        </is>
      </c>
      <c r="M3051" s="23" t="n">
        <v>5084.75</v>
      </c>
      <c r="N3051" s="23" t="n">
        <v>6000</v>
      </c>
      <c r="O3051" s="24">
        <f>IF(AND(ISNUMBER(M3051), ISNUMBER(I3051), I3051&gt;0), M3051/I3051, "")</f>
        <v/>
      </c>
    </row>
    <row r="3052">
      <c r="A3052" s="19" t="inlineStr">
        <is>
          <t>FY27</t>
        </is>
      </c>
      <c r="B3052" s="19" t="inlineStr">
        <is>
          <t>Jul</t>
        </is>
      </c>
      <c r="C3052" s="19" t="inlineStr">
        <is>
          <t>TN</t>
        </is>
      </c>
      <c r="D3052" s="20" t="inlineStr">
        <is>
          <t>TN29AE9545</t>
        </is>
      </c>
      <c r="E3052" s="20" t="inlineStr">
        <is>
          <t>TATA</t>
        </is>
      </c>
      <c r="F3052" s="20" t="inlineStr">
        <is>
          <t>Indica</t>
        </is>
      </c>
      <c r="G3052" s="21" t="n">
        <v>2010</v>
      </c>
      <c r="H3052" s="22" t="n">
        <v>125760</v>
      </c>
      <c r="I3052" s="23" t="n">
        <v>93000</v>
      </c>
      <c r="J3052" s="20" t="inlineStr">
        <is>
          <t>Rajalakshmi Cars</t>
        </is>
      </c>
      <c r="K3052" s="20" t="inlineStr">
        <is>
          <t>Non-Captive</t>
        </is>
      </c>
      <c r="L3052" s="20" t="inlineStr">
        <is>
          <t>SK Cars Prasana</t>
        </is>
      </c>
      <c r="M3052" s="23" t="n">
        <v>4237.29</v>
      </c>
      <c r="N3052" s="23" t="n">
        <v>5000</v>
      </c>
      <c r="O3052" s="24">
        <f>IF(AND(ISNUMBER(M3052), ISNUMBER(I3052), I3052&gt;0), M3052/I3052, "")</f>
        <v/>
      </c>
    </row>
    <row r="3053">
      <c r="A3053" s="19" t="inlineStr">
        <is>
          <t>FY27</t>
        </is>
      </c>
      <c r="B3053" s="19" t="inlineStr">
        <is>
          <t>Jul</t>
        </is>
      </c>
      <c r="C3053" s="19" t="inlineStr">
        <is>
          <t>TN</t>
        </is>
      </c>
      <c r="D3053" s="20" t="inlineStr">
        <is>
          <t>TN10AA5442</t>
        </is>
      </c>
      <c r="E3053" s="20" t="inlineStr">
        <is>
          <t>HYUNDAI</t>
        </is>
      </c>
      <c r="F3053" s="20" t="inlineStr">
        <is>
          <t>I10</t>
        </is>
      </c>
      <c r="G3053" s="21" t="n">
        <v>2010</v>
      </c>
      <c r="H3053" s="22" t="n">
        <v>57427</v>
      </c>
      <c r="I3053" s="23" t="n">
        <v>193500</v>
      </c>
      <c r="J3053" s="20" t="inlineStr">
        <is>
          <t>Rajalakshmi Cars</t>
        </is>
      </c>
      <c r="K3053" s="20" t="inlineStr">
        <is>
          <t>Non-Captive</t>
        </is>
      </c>
      <c r="L3053" s="20" t="inlineStr">
        <is>
          <t>SK Cars Prasana</t>
        </is>
      </c>
      <c r="M3053" s="23" t="n">
        <v>5084.75</v>
      </c>
      <c r="N3053" s="23" t="n">
        <v>6000</v>
      </c>
      <c r="O3053" s="24">
        <f>IF(AND(ISNUMBER(M3053), ISNUMBER(I3053), I3053&gt;0), M3053/I3053, "")</f>
        <v/>
      </c>
    </row>
    <row r="3054">
      <c r="A3054" s="19" t="inlineStr">
        <is>
          <t>FY27</t>
        </is>
      </c>
      <c r="B3054" s="19" t="inlineStr">
        <is>
          <t>Jul</t>
        </is>
      </c>
      <c r="C3054" s="19" t="inlineStr">
        <is>
          <t>TN</t>
        </is>
      </c>
      <c r="D3054" s="20" t="inlineStr">
        <is>
          <t>TN09BY9021</t>
        </is>
      </c>
      <c r="E3054" s="20" t="inlineStr">
        <is>
          <t>TATA</t>
        </is>
      </c>
      <c r="F3054" s="20" t="inlineStr">
        <is>
          <t>Zest</t>
        </is>
      </c>
      <c r="G3054" s="21" t="n">
        <v>2015</v>
      </c>
      <c r="H3054" s="22" t="n">
        <v>105891</v>
      </c>
      <c r="I3054" s="23" t="n">
        <v>99000</v>
      </c>
      <c r="J3054" s="20" t="inlineStr">
        <is>
          <t>VISHNU CARS PRIVATE LIMITED</t>
        </is>
      </c>
      <c r="K3054" s="20" t="inlineStr">
        <is>
          <t>Non-Captive</t>
        </is>
      </c>
      <c r="L3054" s="20" t="inlineStr">
        <is>
          <t>S2 MOTORZ</t>
        </is>
      </c>
      <c r="M3054" s="23" t="n">
        <v>4237.29</v>
      </c>
      <c r="N3054" s="23" t="n">
        <v>5000</v>
      </c>
      <c r="O3054" s="24">
        <f>IF(AND(ISNUMBER(M3054), ISNUMBER(I3054), I3054&gt;0), M3054/I3054, "")</f>
        <v/>
      </c>
    </row>
    <row r="3055">
      <c r="A3055" s="19" t="inlineStr">
        <is>
          <t>FY27</t>
        </is>
      </c>
      <c r="B3055" s="19" t="inlineStr">
        <is>
          <t>Jul</t>
        </is>
      </c>
      <c r="C3055" s="19" t="inlineStr">
        <is>
          <t>TN</t>
        </is>
      </c>
      <c r="D3055" s="20" t="inlineStr">
        <is>
          <t>TN13M8404</t>
        </is>
      </c>
      <c r="E3055" s="20" t="inlineStr">
        <is>
          <t>HYUNDAI</t>
        </is>
      </c>
      <c r="F3055" s="20" t="inlineStr">
        <is>
          <t>Eon</t>
        </is>
      </c>
      <c r="G3055" s="21" t="n">
        <v>2018</v>
      </c>
      <c r="H3055" s="22" t="n">
        <v>15738</v>
      </c>
      <c r="I3055" s="23" t="n">
        <v>100000</v>
      </c>
      <c r="J3055" s="20" t="inlineStr">
        <is>
          <t>VISHNU CARS PRIVATE LIMITED</t>
        </is>
      </c>
      <c r="K3055" s="20" t="inlineStr">
        <is>
          <t>Non-Captive</t>
        </is>
      </c>
      <c r="L3055" s="20" t="inlineStr">
        <is>
          <t>S2 MOTORZ</t>
        </is>
      </c>
      <c r="M3055" s="23" t="n">
        <v>4237.29</v>
      </c>
      <c r="N3055" s="23" t="n">
        <v>5000</v>
      </c>
      <c r="O3055" s="24">
        <f>IF(AND(ISNUMBER(M3055), ISNUMBER(I3055), I3055&gt;0), M3055/I3055, "")</f>
        <v/>
      </c>
    </row>
    <row r="3056">
      <c r="A3056" s="19" t="inlineStr">
        <is>
          <t>FY27</t>
        </is>
      </c>
      <c r="B3056" s="19" t="inlineStr">
        <is>
          <t>Jul</t>
        </is>
      </c>
      <c r="C3056" s="19" t="inlineStr">
        <is>
          <t>TN</t>
        </is>
      </c>
      <c r="D3056" s="20" t="inlineStr">
        <is>
          <t>TN01BF3558</t>
        </is>
      </c>
      <c r="E3056" s="20" t="inlineStr">
        <is>
          <t>HYUNDAI</t>
        </is>
      </c>
      <c r="F3056" s="20" t="inlineStr">
        <is>
          <t>I20</t>
        </is>
      </c>
      <c r="G3056" s="21" t="n">
        <v>2018</v>
      </c>
      <c r="H3056" s="22" t="n">
        <v>40840</v>
      </c>
      <c r="I3056" s="23" t="n">
        <v>98000</v>
      </c>
      <c r="J3056" s="20" t="inlineStr">
        <is>
          <t>VISHNU CARS PRIVATE LIMITED</t>
        </is>
      </c>
      <c r="K3056" s="20" t="inlineStr">
        <is>
          <t>Non-Captive</t>
        </is>
      </c>
      <c r="L3056" s="20" t="inlineStr">
        <is>
          <t>Senthil Cars</t>
        </is>
      </c>
      <c r="M3056" s="23" t="n">
        <v>4237.29</v>
      </c>
      <c r="N3056" s="23" t="n">
        <v>5000</v>
      </c>
      <c r="O3056" s="24">
        <f>IF(AND(ISNUMBER(M3056), ISNUMBER(I3056), I3056&gt;0), M3056/I3056, "")</f>
        <v/>
      </c>
    </row>
    <row r="3057">
      <c r="A3057" s="19" t="inlineStr">
        <is>
          <t>FY27</t>
        </is>
      </c>
      <c r="B3057" s="19" t="inlineStr">
        <is>
          <t>Jul</t>
        </is>
      </c>
      <c r="C3057" s="19" t="inlineStr">
        <is>
          <t>TN</t>
        </is>
      </c>
      <c r="D3057" s="20" t="inlineStr">
        <is>
          <t>TN01BF3964</t>
        </is>
      </c>
      <c r="E3057" s="20" t="inlineStr">
        <is>
          <t>MARUTI</t>
        </is>
      </c>
      <c r="F3057" s="20" t="inlineStr">
        <is>
          <t>Baleno</t>
        </is>
      </c>
      <c r="G3057" s="21" t="n">
        <v>2018</v>
      </c>
      <c r="H3057" s="22" t="n">
        <v>60155</v>
      </c>
      <c r="I3057" s="23" t="n">
        <v>89700</v>
      </c>
      <c r="J3057" s="20" t="inlineStr">
        <is>
          <t>VISHNU CARS PRIVATE LIMITED</t>
        </is>
      </c>
      <c r="K3057" s="20" t="inlineStr">
        <is>
          <t>Non-Captive</t>
        </is>
      </c>
      <c r="L3057" s="20" t="inlineStr">
        <is>
          <t>Senthil Cars</t>
        </is>
      </c>
      <c r="M3057" s="23" t="n">
        <v>4237.29</v>
      </c>
      <c r="N3057" s="23" t="n">
        <v>5000</v>
      </c>
      <c r="O3057" s="24">
        <f>IF(AND(ISNUMBER(M3057), ISNUMBER(I3057), I3057&gt;0), M3057/I3057, "")</f>
        <v/>
      </c>
    </row>
    <row r="3058">
      <c r="A3058" s="19" t="inlineStr">
        <is>
          <t>FY27</t>
        </is>
      </c>
      <c r="B3058" s="19" t="inlineStr">
        <is>
          <t>Jul</t>
        </is>
      </c>
      <c r="C3058" s="19" t="inlineStr">
        <is>
          <t>TN</t>
        </is>
      </c>
      <c r="D3058" s="20" t="inlineStr">
        <is>
          <t>TN22CC7943</t>
        </is>
      </c>
      <c r="E3058" s="20" t="inlineStr">
        <is>
          <t>MARUTI</t>
        </is>
      </c>
      <c r="F3058" s="20" t="inlineStr">
        <is>
          <t>Astar</t>
        </is>
      </c>
      <c r="G3058" s="21" t="n">
        <v>2012</v>
      </c>
      <c r="H3058" s="22" t="n">
        <v>57517</v>
      </c>
      <c r="I3058" s="23" t="n">
        <v>197000</v>
      </c>
      <c r="J3058" s="20" t="inlineStr">
        <is>
          <t>Rajalakshmi Cars</t>
        </is>
      </c>
      <c r="K3058" s="20" t="inlineStr">
        <is>
          <t>Non-Captive</t>
        </is>
      </c>
      <c r="L3058" s="20" t="inlineStr">
        <is>
          <t>PINE AUTOS</t>
        </is>
      </c>
      <c r="M3058" s="23" t="n">
        <v>5084.75</v>
      </c>
      <c r="N3058" s="23" t="n">
        <v>6000</v>
      </c>
      <c r="O3058" s="24">
        <f>IF(AND(ISNUMBER(M3058), ISNUMBER(I3058), I3058&gt;0), M3058/I3058, "")</f>
        <v/>
      </c>
    </row>
    <row r="3059">
      <c r="A3059" s="19" t="inlineStr">
        <is>
          <t>FY27</t>
        </is>
      </c>
      <c r="B3059" s="19" t="inlineStr">
        <is>
          <t>Jul</t>
        </is>
      </c>
      <c r="C3059" s="19" t="inlineStr">
        <is>
          <t>TN</t>
        </is>
      </c>
      <c r="D3059" s="20" t="inlineStr">
        <is>
          <t>TN59AQ9100</t>
        </is>
      </c>
      <c r="E3059" s="20" t="inlineStr">
        <is>
          <t>FIAT</t>
        </is>
      </c>
      <c r="F3059" s="20" t="inlineStr">
        <is>
          <t>Linea</t>
        </is>
      </c>
      <c r="G3059" s="21" t="n">
        <v>2010</v>
      </c>
      <c r="H3059" s="22" t="n">
        <v>116423</v>
      </c>
      <c r="I3059" s="23" t="n">
        <v>98000</v>
      </c>
      <c r="J3059" s="20" t="inlineStr">
        <is>
          <t>Cresco cars</t>
        </is>
      </c>
      <c r="K3059" s="20" t="inlineStr">
        <is>
          <t>Non-Captive</t>
        </is>
      </c>
      <c r="L3059" s="20" t="inlineStr">
        <is>
          <t>SK Cars Prasana</t>
        </is>
      </c>
      <c r="M3059" s="23" t="n">
        <v>4237.29</v>
      </c>
      <c r="N3059" s="23" t="n">
        <v>5000</v>
      </c>
      <c r="O3059" s="24">
        <f>IF(AND(ISNUMBER(M3059), ISNUMBER(I3059), I3059&gt;0), M3059/I3059, "")</f>
        <v/>
      </c>
    </row>
    <row r="3060">
      <c r="A3060" s="19" t="inlineStr">
        <is>
          <t>FY27</t>
        </is>
      </c>
      <c r="B3060" s="19" t="inlineStr">
        <is>
          <t>Jul</t>
        </is>
      </c>
      <c r="C3060" s="19" t="inlineStr">
        <is>
          <t>TN</t>
        </is>
      </c>
      <c r="D3060" s="20" t="inlineStr">
        <is>
          <t>TN07BE7508</t>
        </is>
      </c>
      <c r="E3060" s="20" t="inlineStr">
        <is>
          <t>MARUTI</t>
        </is>
      </c>
      <c r="F3060" s="20" t="inlineStr">
        <is>
          <t>Sx4</t>
        </is>
      </c>
      <c r="G3060" s="21" t="n">
        <v>2009</v>
      </c>
      <c r="H3060" s="22" t="n">
        <v>216223</v>
      </c>
      <c r="I3060" s="23" t="n">
        <v>95000</v>
      </c>
      <c r="J3060" s="20" t="inlineStr">
        <is>
          <t>Cresco cars</t>
        </is>
      </c>
      <c r="K3060" s="20" t="inlineStr">
        <is>
          <t>Non-Captive</t>
        </is>
      </c>
      <c r="L3060" s="20" t="inlineStr">
        <is>
          <t>PINE AUTOS</t>
        </is>
      </c>
      <c r="M3060" s="23" t="n">
        <v>4237.29</v>
      </c>
      <c r="N3060" s="23" t="n">
        <v>5000</v>
      </c>
      <c r="O3060" s="24">
        <f>IF(AND(ISNUMBER(M3060), ISNUMBER(I3060), I3060&gt;0), M3060/I3060, "")</f>
        <v/>
      </c>
    </row>
    <row r="3061">
      <c r="A3061" s="19" t="inlineStr">
        <is>
          <t>FY27</t>
        </is>
      </c>
      <c r="B3061" s="19" t="inlineStr">
        <is>
          <t>Jul</t>
        </is>
      </c>
      <c r="C3061" s="19" t="inlineStr">
        <is>
          <t>TN</t>
        </is>
      </c>
      <c r="D3061" s="20" t="inlineStr">
        <is>
          <t>TN06H2020</t>
        </is>
      </c>
      <c r="E3061" s="20" t="inlineStr">
        <is>
          <t>HONDA</t>
        </is>
      </c>
      <c r="F3061" s="20" t="inlineStr">
        <is>
          <t>Brio</t>
        </is>
      </c>
      <c r="G3061" s="21" t="n">
        <v>2012</v>
      </c>
      <c r="H3061" s="22" t="n">
        <v>66249</v>
      </c>
      <c r="I3061" s="23" t="n">
        <v>199000</v>
      </c>
      <c r="J3061" s="20" t="inlineStr">
        <is>
          <t>Cresco cars</t>
        </is>
      </c>
      <c r="K3061" s="20" t="inlineStr">
        <is>
          <t>Non-Captive</t>
        </is>
      </c>
      <c r="L3061" s="20" t="inlineStr">
        <is>
          <t>PINE AUTOS</t>
        </is>
      </c>
      <c r="M3061" s="23" t="n">
        <v>5084.75</v>
      </c>
      <c r="N3061" s="23" t="n">
        <v>6000</v>
      </c>
      <c r="O3061" s="24">
        <f>IF(AND(ISNUMBER(M3061), ISNUMBER(I3061), I3061&gt;0), M3061/I3061, "")</f>
        <v/>
      </c>
    </row>
    <row r="3062">
      <c r="A3062" s="19" t="inlineStr">
        <is>
          <t>FY27</t>
        </is>
      </c>
      <c r="B3062" s="19" t="inlineStr">
        <is>
          <t>Jul</t>
        </is>
      </c>
      <c r="C3062" s="19" t="inlineStr">
        <is>
          <t>TN</t>
        </is>
      </c>
      <c r="D3062" s="20" t="inlineStr">
        <is>
          <t>TN10AQ4590</t>
        </is>
      </c>
      <c r="E3062" s="20" t="inlineStr">
        <is>
          <t>MARUTI</t>
        </is>
      </c>
      <c r="F3062" s="20" t="inlineStr">
        <is>
          <t>Alto K10</t>
        </is>
      </c>
      <c r="G3062" s="21" t="n">
        <v>2014</v>
      </c>
      <c r="H3062" s="22" t="n">
        <v>21667</v>
      </c>
      <c r="I3062" s="23" t="n">
        <v>190000</v>
      </c>
      <c r="J3062" s="20" t="inlineStr">
        <is>
          <t>Cresco cars</t>
        </is>
      </c>
      <c r="K3062" s="20" t="inlineStr">
        <is>
          <t>Non-Captive</t>
        </is>
      </c>
      <c r="L3062" s="20" t="inlineStr">
        <is>
          <t>SK Cars Prasana</t>
        </is>
      </c>
      <c r="M3062" s="23" t="n">
        <v>5084.75</v>
      </c>
      <c r="N3062" s="23" t="n">
        <v>6000</v>
      </c>
      <c r="O3062" s="24">
        <f>IF(AND(ISNUMBER(M3062), ISNUMBER(I3062), I3062&gt;0), M3062/I3062, "")</f>
        <v/>
      </c>
    </row>
    <row r="3063">
      <c r="A3063" s="19" t="inlineStr">
        <is>
          <t>FY27</t>
        </is>
      </c>
      <c r="B3063" s="19" t="inlineStr">
        <is>
          <t>Jul</t>
        </is>
      </c>
      <c r="C3063" s="19" t="inlineStr">
        <is>
          <t>TN</t>
        </is>
      </c>
      <c r="D3063" s="20" t="inlineStr">
        <is>
          <t>TN22DD2970</t>
        </is>
      </c>
      <c r="E3063" s="20" t="inlineStr">
        <is>
          <t>TATA</t>
        </is>
      </c>
      <c r="F3063" s="20" t="inlineStr">
        <is>
          <t>Indica</t>
        </is>
      </c>
      <c r="G3063" s="21" t="n">
        <v>2016</v>
      </c>
      <c r="H3063" s="22" t="n">
        <v>82391</v>
      </c>
      <c r="I3063" s="23" t="n">
        <v>199000</v>
      </c>
      <c r="J3063" s="20" t="inlineStr">
        <is>
          <t>Cresco cars</t>
        </is>
      </c>
      <c r="K3063" s="20" t="inlineStr">
        <is>
          <t>Non-Captive</t>
        </is>
      </c>
      <c r="L3063" s="20" t="inlineStr">
        <is>
          <t>SK Cars Prasana</t>
        </is>
      </c>
      <c r="M3063" s="23" t="n">
        <v>5084.75</v>
      </c>
      <c r="N3063" s="23" t="n">
        <v>6000</v>
      </c>
      <c r="O3063" s="24">
        <f>IF(AND(ISNUMBER(M3063), ISNUMBER(I3063), I3063&gt;0), M3063/I3063, "")</f>
        <v/>
      </c>
    </row>
    <row r="3064">
      <c r="A3064" s="19" t="inlineStr">
        <is>
          <t>FY27</t>
        </is>
      </c>
      <c r="B3064" s="19" t="inlineStr">
        <is>
          <t>Jul</t>
        </is>
      </c>
      <c r="C3064" s="19" t="inlineStr">
        <is>
          <t>TN</t>
        </is>
      </c>
      <c r="D3064" s="20" t="inlineStr">
        <is>
          <t>TN22CV4035</t>
        </is>
      </c>
      <c r="E3064" s="20" t="inlineStr">
        <is>
          <t>FORD</t>
        </is>
      </c>
      <c r="F3064" s="20" t="inlineStr">
        <is>
          <t>Fiestaclassic</t>
        </is>
      </c>
      <c r="G3064" s="21" t="n">
        <v>2012</v>
      </c>
      <c r="H3064" s="22" t="n">
        <v>128736</v>
      </c>
      <c r="I3064" s="23" t="n">
        <v>89000</v>
      </c>
      <c r="J3064" s="20" t="inlineStr">
        <is>
          <t>Cresco cars</t>
        </is>
      </c>
      <c r="K3064" s="20" t="inlineStr">
        <is>
          <t>Non-Captive</t>
        </is>
      </c>
      <c r="L3064" s="20" t="inlineStr">
        <is>
          <t>AAA CARS</t>
        </is>
      </c>
      <c r="M3064" s="23" t="n">
        <v>4237.29</v>
      </c>
      <c r="N3064" s="23" t="n">
        <v>5000</v>
      </c>
      <c r="O3064" s="24">
        <f>IF(AND(ISNUMBER(M3064), ISNUMBER(I3064), I3064&gt;0), M3064/I3064, "")</f>
        <v/>
      </c>
    </row>
    <row r="3065">
      <c r="A3065" s="19" t="inlineStr">
        <is>
          <t>FY27</t>
        </is>
      </c>
      <c r="B3065" s="19" t="inlineStr">
        <is>
          <t>Jul</t>
        </is>
      </c>
      <c r="C3065" s="19" t="inlineStr">
        <is>
          <t>TN</t>
        </is>
      </c>
      <c r="D3065" s="20" t="inlineStr">
        <is>
          <t>TN28AP6496</t>
        </is>
      </c>
      <c r="E3065" s="20" t="inlineStr">
        <is>
          <t>CHEVROLET</t>
        </is>
      </c>
      <c r="F3065" s="20" t="inlineStr">
        <is>
          <t>Spark</t>
        </is>
      </c>
      <c r="G3065" s="21" t="n">
        <v>2013</v>
      </c>
      <c r="H3065" s="22" t="n">
        <v>69451</v>
      </c>
      <c r="I3065" s="23" t="n">
        <v>194000</v>
      </c>
      <c r="J3065" s="20" t="inlineStr">
        <is>
          <t>Cresco cars</t>
        </is>
      </c>
      <c r="K3065" s="20" t="inlineStr">
        <is>
          <t>Non-Captive</t>
        </is>
      </c>
      <c r="L3065" s="20" t="inlineStr">
        <is>
          <t>PINE AUTOS</t>
        </is>
      </c>
      <c r="M3065" s="23" t="n">
        <v>5508.47</v>
      </c>
      <c r="N3065" s="23" t="n">
        <v>6500</v>
      </c>
      <c r="O3065" s="24">
        <f>IF(AND(ISNUMBER(M3065), ISNUMBER(I3065), I3065&gt;0), M3065/I3065, "")</f>
        <v/>
      </c>
    </row>
    <row r="3066">
      <c r="A3066" s="19" t="inlineStr">
        <is>
          <t>FY27</t>
        </is>
      </c>
      <c r="B3066" s="19" t="inlineStr">
        <is>
          <t>Jul</t>
        </is>
      </c>
      <c r="C3066" s="19" t="inlineStr">
        <is>
          <t>TN</t>
        </is>
      </c>
      <c r="D3066" s="20" t="inlineStr">
        <is>
          <t>TN05AP4405</t>
        </is>
      </c>
      <c r="E3066" s="20" t="inlineStr">
        <is>
          <t>CHEVROLET</t>
        </is>
      </c>
      <c r="F3066" s="20" t="inlineStr">
        <is>
          <t>Beat</t>
        </is>
      </c>
      <c r="G3066" s="21" t="n">
        <v>2012</v>
      </c>
      <c r="H3066" s="22" t="n">
        <v>33666</v>
      </c>
      <c r="I3066" s="23" t="n">
        <v>193000</v>
      </c>
      <c r="J3066" s="20" t="inlineStr">
        <is>
          <t>Cresco cars</t>
        </is>
      </c>
      <c r="K3066" s="20" t="inlineStr">
        <is>
          <t>Non-Captive</t>
        </is>
      </c>
      <c r="L3066" s="20" t="inlineStr">
        <is>
          <t>PINE AUTOS</t>
        </is>
      </c>
      <c r="M3066" s="23" t="n">
        <v>5508.47</v>
      </c>
      <c r="N3066" s="23" t="n">
        <v>6500</v>
      </c>
      <c r="O3066" s="24">
        <f>IF(AND(ISNUMBER(M3066), ISNUMBER(I3066), I3066&gt;0), M3066/I3066, "")</f>
        <v/>
      </c>
    </row>
    <row r="3067">
      <c r="A3067" s="19" t="inlineStr">
        <is>
          <t>FY27</t>
        </is>
      </c>
      <c r="B3067" s="19" t="inlineStr">
        <is>
          <t>Jul</t>
        </is>
      </c>
      <c r="C3067" s="19" t="inlineStr">
        <is>
          <t>TN</t>
        </is>
      </c>
      <c r="D3067" s="20" t="inlineStr">
        <is>
          <t>TN38CH7602</t>
        </is>
      </c>
      <c r="E3067" s="20" t="inlineStr">
        <is>
          <t>VOLKSWAGEN</t>
        </is>
      </c>
      <c r="F3067" s="20" t="inlineStr">
        <is>
          <t>Ameo</t>
        </is>
      </c>
      <c r="G3067" s="21" t="n">
        <v>2016</v>
      </c>
      <c r="H3067" s="22" t="n">
        <v>129590</v>
      </c>
      <c r="I3067" s="23" t="n">
        <v>92000</v>
      </c>
      <c r="J3067" s="20" t="inlineStr">
        <is>
          <t>GURUDEV MOTORS LLP</t>
        </is>
      </c>
      <c r="K3067" s="20" t="inlineStr">
        <is>
          <t>Non-Captive</t>
        </is>
      </c>
      <c r="L3067" s="20" t="inlineStr">
        <is>
          <t>PINE AUTOS</t>
        </is>
      </c>
      <c r="M3067" s="23" t="n">
        <v>4237.29</v>
      </c>
      <c r="N3067" s="23" t="n">
        <v>5000</v>
      </c>
      <c r="O3067" s="24">
        <f>IF(AND(ISNUMBER(M3067), ISNUMBER(I3067), I3067&gt;0), M3067/I3067, "")</f>
        <v/>
      </c>
    </row>
    <row r="3068">
      <c r="A3068" s="19" t="inlineStr">
        <is>
          <t>FY27</t>
        </is>
      </c>
      <c r="B3068" s="19" t="inlineStr">
        <is>
          <t>Jul</t>
        </is>
      </c>
      <c r="C3068" s="19" t="inlineStr">
        <is>
          <t>TN</t>
        </is>
      </c>
      <c r="D3068" s="20" t="inlineStr">
        <is>
          <t>TN18AE1071</t>
        </is>
      </c>
      <c r="E3068" s="20" t="inlineStr">
        <is>
          <t>HYUNDAI</t>
        </is>
      </c>
      <c r="F3068" s="20" t="inlineStr">
        <is>
          <t>Eon</t>
        </is>
      </c>
      <c r="G3068" s="21" t="n">
        <v>2015</v>
      </c>
      <c r="H3068" s="22" t="n">
        <v>27574</v>
      </c>
      <c r="I3068" s="23" t="n">
        <v>99000</v>
      </c>
      <c r="J3068" s="20" t="inlineStr">
        <is>
          <t>Cresco cars</t>
        </is>
      </c>
      <c r="K3068" s="20" t="inlineStr">
        <is>
          <t>Non-Captive</t>
        </is>
      </c>
      <c r="L3068" s="20" t="inlineStr">
        <is>
          <t>AAA CARS</t>
        </is>
      </c>
      <c r="M3068" s="23" t="n">
        <v>4237.29</v>
      </c>
      <c r="N3068" s="23" t="n">
        <v>5000</v>
      </c>
      <c r="O3068" s="24">
        <f>IF(AND(ISNUMBER(M3068), ISNUMBER(I3068), I3068&gt;0), M3068/I3068, "")</f>
        <v/>
      </c>
    </row>
    <row r="3069">
      <c r="A3069" s="19" t="inlineStr">
        <is>
          <t>FY27</t>
        </is>
      </c>
      <c r="B3069" s="19" t="inlineStr">
        <is>
          <t>Jul</t>
        </is>
      </c>
      <c r="C3069" s="19" t="inlineStr">
        <is>
          <t>TN</t>
        </is>
      </c>
      <c r="D3069" s="20" t="inlineStr">
        <is>
          <t>TN05AH1462</t>
        </is>
      </c>
      <c r="E3069" s="20" t="inlineStr">
        <is>
          <t>MARUTI</t>
        </is>
      </c>
      <c r="F3069" s="20" t="inlineStr">
        <is>
          <t>Wagonr</t>
        </is>
      </c>
      <c r="G3069" s="21" t="n">
        <v>2010</v>
      </c>
      <c r="H3069" s="22" t="n">
        <v>77483</v>
      </c>
      <c r="I3069" s="23" t="n">
        <v>97000</v>
      </c>
      <c r="J3069" s="20" t="inlineStr">
        <is>
          <t>Cresco cars</t>
        </is>
      </c>
      <c r="K3069" s="20" t="inlineStr">
        <is>
          <t>Non-Captive</t>
        </is>
      </c>
      <c r="L3069" s="20" t="inlineStr">
        <is>
          <t>AAA CARS</t>
        </is>
      </c>
      <c r="M3069" s="23" t="n">
        <v>4237.29</v>
      </c>
      <c r="N3069" s="23" t="n">
        <v>5000</v>
      </c>
      <c r="O3069" s="24">
        <f>IF(AND(ISNUMBER(M3069), ISNUMBER(I3069), I3069&gt;0), M3069/I3069, "")</f>
        <v/>
      </c>
    </row>
    <row r="3070">
      <c r="A3070" s="19" t="inlineStr">
        <is>
          <t>FY27</t>
        </is>
      </c>
      <c r="B3070" s="19" t="inlineStr">
        <is>
          <t>Jul</t>
        </is>
      </c>
      <c r="C3070" s="19" t="inlineStr">
        <is>
          <t>TN</t>
        </is>
      </c>
      <c r="D3070" s="20" t="inlineStr">
        <is>
          <t>TN10AH5996</t>
        </is>
      </c>
      <c r="E3070" s="20" t="inlineStr">
        <is>
          <t>TATA</t>
        </is>
      </c>
      <c r="F3070" s="20" t="inlineStr">
        <is>
          <t>Nano</t>
        </is>
      </c>
      <c r="G3070" s="21" t="n">
        <v>2012</v>
      </c>
      <c r="H3070" s="22" t="n">
        <v>88325</v>
      </c>
      <c r="I3070" s="23" t="n">
        <v>94000</v>
      </c>
      <c r="J3070" s="20" t="inlineStr">
        <is>
          <t>Cresco cars</t>
        </is>
      </c>
      <c r="K3070" s="20" t="inlineStr">
        <is>
          <t>Non-Captive</t>
        </is>
      </c>
      <c r="L3070" s="20" t="inlineStr">
        <is>
          <t>AAA CARS</t>
        </is>
      </c>
      <c r="M3070" s="23" t="n">
        <v>4237.29</v>
      </c>
      <c r="N3070" s="23" t="n">
        <v>5000</v>
      </c>
      <c r="O3070" s="24">
        <f>IF(AND(ISNUMBER(M3070), ISNUMBER(I3070), I3070&gt;0), M3070/I3070, "")</f>
        <v/>
      </c>
    </row>
    <row r="3071">
      <c r="A3071" s="19" t="inlineStr">
        <is>
          <t>FY27</t>
        </is>
      </c>
      <c r="B3071" s="19" t="inlineStr">
        <is>
          <t>Jul</t>
        </is>
      </c>
      <c r="C3071" s="19" t="inlineStr">
        <is>
          <t>TN</t>
        </is>
      </c>
      <c r="D3071" s="20" t="inlineStr">
        <is>
          <t>TN05AT3192</t>
        </is>
      </c>
      <c r="E3071" s="20" t="inlineStr">
        <is>
          <t>HYUNDAI</t>
        </is>
      </c>
      <c r="F3071" s="20" t="inlineStr">
        <is>
          <t>I10</t>
        </is>
      </c>
      <c r="G3071" s="21" t="n">
        <v>2013</v>
      </c>
      <c r="H3071" s="22" t="n">
        <v>79912</v>
      </c>
      <c r="I3071" s="23" t="n">
        <v>98000</v>
      </c>
      <c r="J3071" s="20" t="inlineStr">
        <is>
          <t>Cresco cars</t>
        </is>
      </c>
      <c r="K3071" s="20" t="inlineStr">
        <is>
          <t>Non-Captive</t>
        </is>
      </c>
      <c r="L3071" s="20" t="inlineStr">
        <is>
          <t>GRID 33</t>
        </is>
      </c>
      <c r="M3071" s="23" t="n">
        <v>4237.29</v>
      </c>
      <c r="N3071" s="23" t="n">
        <v>5000</v>
      </c>
      <c r="O3071" s="24">
        <f>IF(AND(ISNUMBER(M3071), ISNUMBER(I3071), I3071&gt;0), M3071/I3071, "")</f>
        <v/>
      </c>
    </row>
    <row r="3072">
      <c r="A3072" s="19" t="inlineStr">
        <is>
          <t>FY27</t>
        </is>
      </c>
      <c r="B3072" s="19" t="inlineStr">
        <is>
          <t>Jul</t>
        </is>
      </c>
      <c r="C3072" s="19" t="inlineStr">
        <is>
          <t>TN</t>
        </is>
      </c>
      <c r="D3072" s="20" t="inlineStr">
        <is>
          <t>TN22CX0711</t>
        </is>
      </c>
      <c r="E3072" s="20" t="inlineStr">
        <is>
          <t>TOYOTA</t>
        </is>
      </c>
      <c r="F3072" s="20" t="inlineStr">
        <is>
          <t>Etios</t>
        </is>
      </c>
      <c r="G3072" s="21" t="n">
        <v>2011</v>
      </c>
      <c r="H3072" s="22" t="n">
        <v>129690</v>
      </c>
      <c r="I3072" s="23" t="n">
        <v>89000</v>
      </c>
      <c r="J3072" s="20" t="inlineStr">
        <is>
          <t>PRODUCTIVITY ELEMENTS PRIVATE LIMITED</t>
        </is>
      </c>
      <c r="K3072" s="20" t="inlineStr">
        <is>
          <t>Non-Captive</t>
        </is>
      </c>
      <c r="L3072" s="20" t="inlineStr">
        <is>
          <t>Senthil Cars</t>
        </is>
      </c>
      <c r="M3072" s="23" t="n">
        <v>4237.29</v>
      </c>
      <c r="N3072" s="23" t="n">
        <v>5000</v>
      </c>
      <c r="O3072" s="24">
        <f>IF(AND(ISNUMBER(M3072), ISNUMBER(I3072), I3072&gt;0), M3072/I3072, "")</f>
        <v/>
      </c>
    </row>
    <row r="3073">
      <c r="A3073" s="19" t="inlineStr">
        <is>
          <t>FY27</t>
        </is>
      </c>
      <c r="B3073" s="19" t="inlineStr">
        <is>
          <t>Jul</t>
        </is>
      </c>
      <c r="C3073" s="19" t="inlineStr">
        <is>
          <t>TN</t>
        </is>
      </c>
      <c r="D3073" s="20" t="inlineStr">
        <is>
          <t>TN09BC3315</t>
        </is>
      </c>
      <c r="E3073" s="20" t="inlineStr">
        <is>
          <t>TATA</t>
        </is>
      </c>
      <c r="F3073" s="20" t="inlineStr">
        <is>
          <t>Nano</t>
        </is>
      </c>
      <c r="G3073" s="21" t="n">
        <v>2009</v>
      </c>
      <c r="H3073" s="22" t="n">
        <v>65623</v>
      </c>
      <c r="I3073" s="23" t="n">
        <v>97000</v>
      </c>
      <c r="J3073" s="20" t="inlineStr">
        <is>
          <t>PRODUCTIVITY ELEMENTS PRIVATE LIMITED</t>
        </is>
      </c>
      <c r="K3073" s="20" t="inlineStr">
        <is>
          <t>Non-Captive</t>
        </is>
      </c>
      <c r="L3073" s="20" t="inlineStr">
        <is>
          <t>Senthil Cars</t>
        </is>
      </c>
      <c r="M3073" s="23" t="n">
        <v>4237.29</v>
      </c>
      <c r="N3073" s="23" t="n">
        <v>5000</v>
      </c>
      <c r="O3073" s="24">
        <f>IF(AND(ISNUMBER(M3073), ISNUMBER(I3073), I3073&gt;0), M3073/I3073, "")</f>
        <v/>
      </c>
    </row>
    <row r="3074">
      <c r="A3074" s="19" t="inlineStr">
        <is>
          <t>FY27</t>
        </is>
      </c>
      <c r="B3074" s="19" t="inlineStr">
        <is>
          <t>Jul</t>
        </is>
      </c>
      <c r="C3074" s="19" t="inlineStr">
        <is>
          <t>TN</t>
        </is>
      </c>
      <c r="D3074" s="20" t="inlineStr">
        <is>
          <t>TN11AF8524</t>
        </is>
      </c>
      <c r="E3074" s="20" t="inlineStr">
        <is>
          <t>RENAULT</t>
        </is>
      </c>
      <c r="F3074" s="20" t="inlineStr">
        <is>
          <t>Kwid</t>
        </is>
      </c>
      <c r="G3074" s="21" t="n">
        <v>2018</v>
      </c>
      <c r="H3074" s="22" t="n">
        <v>60250</v>
      </c>
      <c r="I3074" s="23" t="n">
        <v>92000</v>
      </c>
      <c r="J3074" s="20" t="inlineStr">
        <is>
          <t>PRODUCTIVITY ELEMENTS PRIVATE LIMITED</t>
        </is>
      </c>
      <c r="K3074" s="20" t="inlineStr">
        <is>
          <t>Non-Captive</t>
        </is>
      </c>
      <c r="L3074" s="20" t="inlineStr">
        <is>
          <t>Senthil Cars</t>
        </is>
      </c>
      <c r="M3074" s="23" t="n">
        <v>4237.29</v>
      </c>
      <c r="N3074" s="23" t="n">
        <v>5000</v>
      </c>
      <c r="O3074" s="24">
        <f>IF(AND(ISNUMBER(M3074), ISNUMBER(I3074), I3074&gt;0), M3074/I3074, "")</f>
        <v/>
      </c>
    </row>
    <row r="3075">
      <c r="A3075" s="19" t="inlineStr">
        <is>
          <t>FY27</t>
        </is>
      </c>
      <c r="B3075" s="19" t="inlineStr">
        <is>
          <t>Jul</t>
        </is>
      </c>
      <c r="C3075" s="19" t="inlineStr">
        <is>
          <t>TN</t>
        </is>
      </c>
      <c r="D3075" s="20" t="inlineStr">
        <is>
          <t>TN05AW6478</t>
        </is>
      </c>
      <c r="E3075" s="20" t="inlineStr">
        <is>
          <t>HONDA</t>
        </is>
      </c>
      <c r="F3075" s="20" t="inlineStr">
        <is>
          <t>Brio</t>
        </is>
      </c>
      <c r="G3075" s="21" t="n">
        <v>2014</v>
      </c>
      <c r="H3075" s="22" t="n">
        <v>89521</v>
      </c>
      <c r="I3075" s="23" t="n">
        <v>100000</v>
      </c>
      <c r="J3075" s="20" t="inlineStr">
        <is>
          <t>PRODUCTIVITY ELEMENTS PRIVATE LIMITED</t>
        </is>
      </c>
      <c r="K3075" s="20" t="inlineStr">
        <is>
          <t>Non-Captive</t>
        </is>
      </c>
      <c r="L3075" s="20" t="inlineStr">
        <is>
          <t>Senthil Cars</t>
        </is>
      </c>
      <c r="M3075" s="23" t="n">
        <v>4237.29</v>
      </c>
      <c r="N3075" s="23" t="n">
        <v>5000</v>
      </c>
      <c r="O3075" s="24">
        <f>IF(AND(ISNUMBER(M3075), ISNUMBER(I3075), I3075&gt;0), M3075/I3075, "")</f>
        <v/>
      </c>
    </row>
    <row r="3076">
      <c r="A3076" s="19" t="inlineStr">
        <is>
          <t>FY27</t>
        </is>
      </c>
      <c r="B3076" s="19" t="inlineStr">
        <is>
          <t>Jul</t>
        </is>
      </c>
      <c r="C3076" s="19" t="inlineStr">
        <is>
          <t>TN</t>
        </is>
      </c>
      <c r="D3076" s="20" t="inlineStr">
        <is>
          <t>TN22BQ8626</t>
        </is>
      </c>
      <c r="E3076" s="20" t="inlineStr">
        <is>
          <t>MARUTI</t>
        </is>
      </c>
      <c r="F3076" s="20" t="inlineStr">
        <is>
          <t>Alto</t>
        </is>
      </c>
      <c r="G3076" s="21" t="n">
        <v>2011</v>
      </c>
      <c r="H3076" s="22" t="n">
        <v>29253</v>
      </c>
      <c r="I3076" s="23" t="n">
        <v>99500</v>
      </c>
      <c r="J3076" s="20" t="inlineStr">
        <is>
          <t>PRODUCTIVITY ELEMENTS PRIVATE LIMITED</t>
        </is>
      </c>
      <c r="K3076" s="20" t="inlineStr">
        <is>
          <t>Non-Captive</t>
        </is>
      </c>
      <c r="L3076" s="20" t="inlineStr">
        <is>
          <t>Senthil Cars</t>
        </is>
      </c>
      <c r="M3076" s="23" t="n">
        <v>4237.29</v>
      </c>
      <c r="N3076" s="23" t="n">
        <v>5000</v>
      </c>
      <c r="O3076" s="24">
        <f>IF(AND(ISNUMBER(M3076), ISNUMBER(I3076), I3076&gt;0), M3076/I3076, "")</f>
        <v/>
      </c>
    </row>
    <row r="3077">
      <c r="A3077" s="19" t="inlineStr">
        <is>
          <t>FY27</t>
        </is>
      </c>
      <c r="B3077" s="19" t="inlineStr">
        <is>
          <t>Jul</t>
        </is>
      </c>
      <c r="C3077" s="19" t="inlineStr">
        <is>
          <t>TN</t>
        </is>
      </c>
      <c r="D3077" s="20" t="inlineStr">
        <is>
          <t>TN10X8334</t>
        </is>
      </c>
      <c r="E3077" s="20" t="inlineStr">
        <is>
          <t>MARUTI</t>
        </is>
      </c>
      <c r="F3077" s="20" t="inlineStr">
        <is>
          <t>Zen</t>
        </is>
      </c>
      <c r="G3077" s="21" t="n">
        <v>2009</v>
      </c>
      <c r="H3077" s="22" t="n">
        <v>79002</v>
      </c>
      <c r="I3077" s="23" t="n">
        <v>89000</v>
      </c>
      <c r="J3077" s="20" t="inlineStr">
        <is>
          <t>PRODUCTIVITY ELEMENTS PRIVATE LIMITED</t>
        </is>
      </c>
      <c r="K3077" s="20" t="inlineStr">
        <is>
          <t>Non-Captive</t>
        </is>
      </c>
      <c r="L3077" s="20" t="inlineStr">
        <is>
          <t>Senthil Cars</t>
        </is>
      </c>
      <c r="M3077" s="23" t="n">
        <v>4237.29</v>
      </c>
      <c r="N3077" s="23" t="n">
        <v>5000</v>
      </c>
      <c r="O3077" s="24">
        <f>IF(AND(ISNUMBER(M3077), ISNUMBER(I3077), I3077&gt;0), M3077/I3077, "")</f>
        <v/>
      </c>
    </row>
    <row r="3078">
      <c r="A3078" s="19" t="inlineStr">
        <is>
          <t>FY27</t>
        </is>
      </c>
      <c r="B3078" s="19" t="inlineStr">
        <is>
          <t>Jul</t>
        </is>
      </c>
      <c r="C3078" s="19" t="inlineStr">
        <is>
          <t>TN</t>
        </is>
      </c>
      <c r="D3078" s="20" t="inlineStr">
        <is>
          <t>TN04AP5589</t>
        </is>
      </c>
      <c r="E3078" s="20" t="inlineStr">
        <is>
          <t>HONDA</t>
        </is>
      </c>
      <c r="F3078" s="20" t="inlineStr">
        <is>
          <t>City</t>
        </is>
      </c>
      <c r="G3078" s="21" t="n">
        <v>2015</v>
      </c>
      <c r="H3078" s="22" t="n">
        <v>96671</v>
      </c>
      <c r="I3078" s="23" t="n">
        <v>359000</v>
      </c>
      <c r="J3078" s="20" t="inlineStr">
        <is>
          <t>CASTLE TRADERS Maruti</t>
        </is>
      </c>
      <c r="K3078" s="20" t="inlineStr">
        <is>
          <t>Non-Captive</t>
        </is>
      </c>
      <c r="L3078" s="20" t="inlineStr">
        <is>
          <t>Cars 24</t>
        </is>
      </c>
      <c r="M3078" s="23" t="n">
        <v>4237.29</v>
      </c>
      <c r="N3078" s="23" t="n">
        <v>5000</v>
      </c>
      <c r="O3078" s="24">
        <f>IF(AND(ISNUMBER(M3078), ISNUMBER(I3078), I3078&gt;0), M3078/I3078, "")</f>
        <v/>
      </c>
    </row>
    <row r="3079">
      <c r="A3079" s="19" t="inlineStr">
        <is>
          <t>FY27</t>
        </is>
      </c>
      <c r="B3079" s="19" t="inlineStr">
        <is>
          <t>Jul</t>
        </is>
      </c>
      <c r="C3079" s="19" t="inlineStr">
        <is>
          <t>TN</t>
        </is>
      </c>
      <c r="D3079" s="20" t="inlineStr">
        <is>
          <t>TN22DD9118</t>
        </is>
      </c>
      <c r="E3079" s="20" t="inlineStr">
        <is>
          <t>TATA</t>
        </is>
      </c>
      <c r="F3079" s="20" t="inlineStr">
        <is>
          <t>Indica</t>
        </is>
      </c>
      <c r="G3079" s="21" t="n">
        <v>2016</v>
      </c>
      <c r="H3079" s="22" t="n">
        <v>156721</v>
      </c>
      <c r="I3079" s="23" t="n">
        <v>95000</v>
      </c>
      <c r="J3079" s="20" t="inlineStr">
        <is>
          <t>PRODUCTIVITY ELEMENTS PRIVATE LIMITED</t>
        </is>
      </c>
      <c r="K3079" s="20" t="inlineStr">
        <is>
          <t>Non-Captive</t>
        </is>
      </c>
      <c r="L3079" s="20" t="inlineStr">
        <is>
          <t>Senthil Cars</t>
        </is>
      </c>
      <c r="M3079" s="23" t="n">
        <v>4237.29</v>
      </c>
      <c r="N3079" s="23" t="n">
        <v>5000</v>
      </c>
      <c r="O3079" s="24">
        <f>IF(AND(ISNUMBER(M3079), ISNUMBER(I3079), I3079&gt;0), M3079/I3079, "")</f>
        <v/>
      </c>
    </row>
    <row r="3080">
      <c r="A3080" s="19" t="inlineStr">
        <is>
          <t>FY27</t>
        </is>
      </c>
      <c r="B3080" s="19" t="inlineStr">
        <is>
          <t>Jul</t>
        </is>
      </c>
      <c r="C3080" s="19" t="inlineStr">
        <is>
          <t>TN</t>
        </is>
      </c>
      <c r="D3080" s="20" t="inlineStr">
        <is>
          <t>TN07BS1972</t>
        </is>
      </c>
      <c r="E3080" s="20" t="inlineStr">
        <is>
          <t>HYUNDAI</t>
        </is>
      </c>
      <c r="F3080" s="20" t="inlineStr">
        <is>
          <t>I20</t>
        </is>
      </c>
      <c r="G3080" s="21" t="n">
        <v>2012</v>
      </c>
      <c r="H3080" s="22" t="n">
        <v>131874</v>
      </c>
      <c r="I3080" s="23" t="n">
        <v>93000</v>
      </c>
      <c r="J3080" s="20" t="inlineStr">
        <is>
          <t>PRODUCTIVITY ELEMENTS PRIVATE LIMITED</t>
        </is>
      </c>
      <c r="K3080" s="20" t="inlineStr">
        <is>
          <t>Non-Captive</t>
        </is>
      </c>
      <c r="L3080" s="20" t="inlineStr">
        <is>
          <t>Senthil Cars</t>
        </is>
      </c>
      <c r="M3080" s="23" t="n">
        <v>4237.29</v>
      </c>
      <c r="N3080" s="23" t="n">
        <v>5000</v>
      </c>
      <c r="O3080" s="24">
        <f>IF(AND(ISNUMBER(M3080), ISNUMBER(I3080), I3080&gt;0), M3080/I3080, "")</f>
        <v/>
      </c>
    </row>
    <row r="3081">
      <c r="A3081" s="19" t="inlineStr">
        <is>
          <t>FY27</t>
        </is>
      </c>
      <c r="B3081" s="19" t="inlineStr">
        <is>
          <t>Jul</t>
        </is>
      </c>
      <c r="C3081" s="19" t="inlineStr">
        <is>
          <t>TN</t>
        </is>
      </c>
      <c r="D3081" s="20" t="inlineStr">
        <is>
          <t>TN03P3821</t>
        </is>
      </c>
      <c r="E3081" s="20" t="inlineStr">
        <is>
          <t>VOLKSWAGEN</t>
        </is>
      </c>
      <c r="F3081" s="20" t="inlineStr">
        <is>
          <t>Vento</t>
        </is>
      </c>
      <c r="G3081" s="21" t="n">
        <v>2014</v>
      </c>
      <c r="H3081" s="22" t="n">
        <v>104089</v>
      </c>
      <c r="I3081" s="23" t="n">
        <v>97000</v>
      </c>
      <c r="J3081" s="20" t="inlineStr">
        <is>
          <t>AUTOMOTIVE MANUFACTURES PRIVATE LIMITED</t>
        </is>
      </c>
      <c r="K3081" s="20" t="inlineStr">
        <is>
          <t>Non-Captive</t>
        </is>
      </c>
      <c r="L3081" s="20" t="inlineStr">
        <is>
          <t>Vellore Vathiyar</t>
        </is>
      </c>
      <c r="M3081" s="23" t="n">
        <v>4237.29</v>
      </c>
      <c r="N3081" s="23" t="n">
        <v>5000</v>
      </c>
      <c r="O3081" s="24">
        <f>IF(AND(ISNUMBER(M3081), ISNUMBER(I3081), I3081&gt;0), M3081/I3081, "")</f>
        <v/>
      </c>
    </row>
    <row r="3082">
      <c r="A3082" s="19" t="inlineStr">
        <is>
          <t>FY27</t>
        </is>
      </c>
      <c r="B3082" s="19" t="inlineStr">
        <is>
          <t>Jul</t>
        </is>
      </c>
      <c r="C3082" s="19" t="inlineStr">
        <is>
          <t>TN</t>
        </is>
      </c>
      <c r="D3082" s="20" t="inlineStr">
        <is>
          <t>TN38CD4686</t>
        </is>
      </c>
      <c r="E3082" s="20" t="inlineStr">
        <is>
          <t>HONDA</t>
        </is>
      </c>
      <c r="F3082" s="20" t="inlineStr">
        <is>
          <t>Brio</t>
        </is>
      </c>
      <c r="G3082" s="21" t="n">
        <v>2015</v>
      </c>
      <c r="H3082" s="22" t="n">
        <v>23467</v>
      </c>
      <c r="I3082" s="23" t="n">
        <v>400000</v>
      </c>
      <c r="J3082" s="20" t="inlineStr">
        <is>
          <t>EXCHANGE ROTN</t>
        </is>
      </c>
      <c r="K3082" s="20" t="inlineStr">
        <is>
          <t>Captive</t>
        </is>
      </c>
      <c r="L3082" s="20" t="inlineStr">
        <is>
          <t>YUGA DHEERAN CARS</t>
        </is>
      </c>
      <c r="M3082" s="23" t="n">
        <v>8474.58</v>
      </c>
      <c r="N3082" s="23" t="n">
        <v>10000</v>
      </c>
      <c r="O3082" s="24">
        <f>IF(AND(ISNUMBER(M3082), ISNUMBER(I3082), I3082&gt;0), M3082/I3082, "")</f>
        <v/>
      </c>
    </row>
    <row r="3083">
      <c r="A3083" s="19" t="inlineStr">
        <is>
          <t>FY27</t>
        </is>
      </c>
      <c r="B3083" s="19" t="inlineStr">
        <is>
          <t>Jul</t>
        </is>
      </c>
      <c r="C3083" s="19" t="inlineStr">
        <is>
          <t>TN</t>
        </is>
      </c>
      <c r="D3083" s="20" t="inlineStr">
        <is>
          <t>TN11AM3939</t>
        </is>
      </c>
      <c r="E3083" s="20" t="inlineStr">
        <is>
          <t>HYUNDAI</t>
        </is>
      </c>
      <c r="F3083" s="20" t="inlineStr">
        <is>
          <t>Creta</t>
        </is>
      </c>
      <c r="G3083" s="21" t="n">
        <v>2019</v>
      </c>
      <c r="H3083" s="22" t="n">
        <v>136829</v>
      </c>
      <c r="I3083" s="23" t="n">
        <v>93000</v>
      </c>
      <c r="J3083" s="20" t="inlineStr">
        <is>
          <t>AUTOMOTIVE MANUFACTURES PRIVATE LIMITED</t>
        </is>
      </c>
      <c r="K3083" s="20" t="inlineStr">
        <is>
          <t>Non-Captive</t>
        </is>
      </c>
      <c r="L3083" s="20" t="inlineStr">
        <is>
          <t>Vellore Vathiyar</t>
        </is>
      </c>
      <c r="M3083" s="23" t="n">
        <v>4237.29</v>
      </c>
      <c r="N3083" s="23" t="n">
        <v>5000</v>
      </c>
      <c r="O3083" s="24">
        <f>IF(AND(ISNUMBER(M3083), ISNUMBER(I3083), I3083&gt;0), M3083/I3083, "")</f>
        <v/>
      </c>
    </row>
    <row r="3084">
      <c r="A3084" s="19" t="inlineStr">
        <is>
          <t>FY27</t>
        </is>
      </c>
      <c r="B3084" s="19" t="inlineStr">
        <is>
          <t>Jul</t>
        </is>
      </c>
      <c r="C3084" s="19" t="inlineStr">
        <is>
          <t>TN</t>
        </is>
      </c>
      <c r="D3084" s="20" t="inlineStr">
        <is>
          <t>TN66Y2263</t>
        </is>
      </c>
      <c r="E3084" s="20" t="inlineStr">
        <is>
          <t>RENAULT</t>
        </is>
      </c>
      <c r="F3084" s="20" t="inlineStr">
        <is>
          <t>Kwid</t>
        </is>
      </c>
      <c r="G3084" s="21" t="n">
        <v>2018</v>
      </c>
      <c r="H3084" s="22" t="n">
        <v>99999</v>
      </c>
      <c r="I3084" s="23" t="n">
        <v>97000</v>
      </c>
      <c r="J3084" s="20" t="inlineStr">
        <is>
          <t>Cresco cars</t>
        </is>
      </c>
      <c r="K3084" s="20" t="inlineStr">
        <is>
          <t>Non-Captive</t>
        </is>
      </c>
      <c r="L3084" s="20" t="inlineStr">
        <is>
          <t>PINE AUTOS</t>
        </is>
      </c>
      <c r="M3084" s="23" t="n">
        <v>4237.29</v>
      </c>
      <c r="N3084" s="23" t="n">
        <v>5000</v>
      </c>
      <c r="O3084" s="24">
        <f>IF(AND(ISNUMBER(M3084), ISNUMBER(I3084), I3084&gt;0), M3084/I3084, "")</f>
        <v/>
      </c>
    </row>
    <row r="3085">
      <c r="A3085" s="19" t="inlineStr">
        <is>
          <t>FY27</t>
        </is>
      </c>
      <c r="B3085" s="19" t="inlineStr">
        <is>
          <t>Jul</t>
        </is>
      </c>
      <c r="C3085" s="19" t="inlineStr">
        <is>
          <t>TN</t>
        </is>
      </c>
      <c r="D3085" s="20" t="inlineStr">
        <is>
          <t>TN13C2846</t>
        </is>
      </c>
      <c r="E3085" s="20" t="inlineStr">
        <is>
          <t>MARUTI</t>
        </is>
      </c>
      <c r="F3085" s="20" t="inlineStr">
        <is>
          <t>Alto 800</t>
        </is>
      </c>
      <c r="G3085" s="21" t="n">
        <v>2015</v>
      </c>
      <c r="H3085" s="22" t="n">
        <v>110620</v>
      </c>
      <c r="I3085" s="23" t="n">
        <v>97000</v>
      </c>
      <c r="J3085" s="20" t="inlineStr">
        <is>
          <t>Cresco cars</t>
        </is>
      </c>
      <c r="K3085" s="20" t="inlineStr">
        <is>
          <t>Non-Captive</t>
        </is>
      </c>
      <c r="L3085" s="20" t="inlineStr">
        <is>
          <t>NIRMAL CARS</t>
        </is>
      </c>
      <c r="M3085" s="23" t="n">
        <v>4237.29</v>
      </c>
      <c r="N3085" s="23" t="n">
        <v>5000</v>
      </c>
      <c r="O3085" s="24">
        <f>IF(AND(ISNUMBER(M3085), ISNUMBER(I3085), I3085&gt;0), M3085/I3085, "")</f>
        <v/>
      </c>
    </row>
    <row r="3086">
      <c r="A3086" s="19" t="inlineStr">
        <is>
          <t>FY27</t>
        </is>
      </c>
      <c r="B3086" s="19" t="inlineStr">
        <is>
          <t>Jul</t>
        </is>
      </c>
      <c r="C3086" s="19" t="inlineStr">
        <is>
          <t>TN</t>
        </is>
      </c>
      <c r="D3086" s="20" t="inlineStr">
        <is>
          <t>TN11AW9496</t>
        </is>
      </c>
      <c r="E3086" s="20" t="inlineStr">
        <is>
          <t>TATA</t>
        </is>
      </c>
      <c r="F3086" s="20" t="inlineStr">
        <is>
          <t>Altroz</t>
        </is>
      </c>
      <c r="G3086" s="21" t="n">
        <v>2021</v>
      </c>
      <c r="H3086" s="22" t="n">
        <v>82393</v>
      </c>
      <c r="I3086" s="23" t="n">
        <v>98000</v>
      </c>
      <c r="J3086" s="20" t="inlineStr">
        <is>
          <t>Cresco cars</t>
        </is>
      </c>
      <c r="K3086" s="20" t="inlineStr">
        <is>
          <t>Non-Captive</t>
        </is>
      </c>
      <c r="L3086" s="20" t="inlineStr">
        <is>
          <t>Vellore Vathiyar</t>
        </is>
      </c>
      <c r="M3086" s="23" t="n">
        <v>4237.29</v>
      </c>
      <c r="N3086" s="23" t="n">
        <v>5000</v>
      </c>
      <c r="O3086" s="24">
        <f>IF(AND(ISNUMBER(M3086), ISNUMBER(I3086), I3086&gt;0), M3086/I3086, "")</f>
        <v/>
      </c>
    </row>
    <row r="3087">
      <c r="A3087" s="19" t="inlineStr">
        <is>
          <t>FY27</t>
        </is>
      </c>
      <c r="B3087" s="19" t="inlineStr">
        <is>
          <t>Jul</t>
        </is>
      </c>
      <c r="C3087" s="19" t="inlineStr">
        <is>
          <t>TN</t>
        </is>
      </c>
      <c r="D3087" s="20" t="inlineStr">
        <is>
          <t>TN07CE9963</t>
        </is>
      </c>
      <c r="E3087" s="20" t="inlineStr">
        <is>
          <t>MARUTI</t>
        </is>
      </c>
      <c r="F3087" s="20" t="inlineStr">
        <is>
          <t>Scross</t>
        </is>
      </c>
      <c r="G3087" s="21" t="n">
        <v>2016</v>
      </c>
      <c r="H3087" s="22" t="n">
        <v>129865</v>
      </c>
      <c r="I3087" s="23" t="n">
        <v>590000</v>
      </c>
      <c r="J3087" s="20" t="inlineStr">
        <is>
          <t>Cresco cars</t>
        </is>
      </c>
      <c r="K3087" s="20" t="inlineStr">
        <is>
          <t>Non-Captive</t>
        </is>
      </c>
      <c r="L3087" s="20" t="inlineStr">
        <is>
          <t>NIRMAL CARS</t>
        </is>
      </c>
      <c r="M3087" s="23" t="n">
        <v>8474.58</v>
      </c>
      <c r="N3087" s="23" t="n">
        <v>10000</v>
      </c>
      <c r="O3087" s="24">
        <f>IF(AND(ISNUMBER(M3087), ISNUMBER(I3087), I3087&gt;0), M3087/I3087, "")</f>
        <v/>
      </c>
    </row>
    <row r="3088">
      <c r="A3088" s="19" t="inlineStr">
        <is>
          <t>FY27</t>
        </is>
      </c>
      <c r="B3088" s="19" t="inlineStr">
        <is>
          <t>Jul</t>
        </is>
      </c>
      <c r="C3088" s="19" t="inlineStr">
        <is>
          <t>TN</t>
        </is>
      </c>
      <c r="D3088" s="20" t="inlineStr">
        <is>
          <t>TN02BW5708</t>
        </is>
      </c>
      <c r="E3088" s="20" t="inlineStr">
        <is>
          <t>MARUTI</t>
        </is>
      </c>
      <c r="F3088" s="20" t="inlineStr">
        <is>
          <t>Brezza</t>
        </is>
      </c>
      <c r="G3088" s="21" t="n">
        <v>2022</v>
      </c>
      <c r="H3088" s="22" t="n">
        <v>70760</v>
      </c>
      <c r="I3088" s="23" t="n">
        <v>93000</v>
      </c>
      <c r="J3088" s="20" t="inlineStr">
        <is>
          <t>Cresco cars</t>
        </is>
      </c>
      <c r="K3088" s="20" t="inlineStr">
        <is>
          <t>Non-Captive</t>
        </is>
      </c>
      <c r="L3088" s="20" t="inlineStr">
        <is>
          <t>Maruthi Industries</t>
        </is>
      </c>
      <c r="M3088" s="23" t="n">
        <v>4237.29</v>
      </c>
      <c r="N3088" s="23" t="n">
        <v>5000</v>
      </c>
      <c r="O3088" s="24">
        <f>IF(AND(ISNUMBER(M3088), ISNUMBER(I3088), I3088&gt;0), M3088/I3088, "")</f>
        <v/>
      </c>
    </row>
    <row r="3089">
      <c r="A3089" s="19" t="inlineStr">
        <is>
          <t>FY27</t>
        </is>
      </c>
      <c r="B3089" s="19" t="inlineStr">
        <is>
          <t>Jul</t>
        </is>
      </c>
      <c r="C3089" s="19" t="inlineStr">
        <is>
          <t>TN</t>
        </is>
      </c>
      <c r="D3089" s="20" t="inlineStr">
        <is>
          <t>TN12P5269</t>
        </is>
      </c>
      <c r="E3089" s="20" t="inlineStr">
        <is>
          <t>MARUTI</t>
        </is>
      </c>
      <c r="F3089" s="20" t="inlineStr">
        <is>
          <t>Celerio</t>
        </is>
      </c>
      <c r="G3089" s="21" t="n">
        <v>2016</v>
      </c>
      <c r="H3089" s="22" t="n">
        <v>31483</v>
      </c>
      <c r="I3089" s="23" t="n">
        <v>292000</v>
      </c>
      <c r="J3089" s="20" t="inlineStr">
        <is>
          <t>CASTLE TRADERS Maruti</t>
        </is>
      </c>
      <c r="K3089" s="20" t="inlineStr">
        <is>
          <t>Non-Captive</t>
        </is>
      </c>
      <c r="L3089" s="20" t="inlineStr">
        <is>
          <t>AAA CARS</t>
        </is>
      </c>
      <c r="M3089" s="23" t="n">
        <v>6779.66</v>
      </c>
      <c r="N3089" s="23" t="n">
        <v>8000</v>
      </c>
      <c r="O3089" s="24">
        <f>IF(AND(ISNUMBER(M3089), ISNUMBER(I3089), I3089&gt;0), M3089/I3089, "")</f>
        <v/>
      </c>
    </row>
    <row r="3090">
      <c r="A3090" s="19" t="inlineStr">
        <is>
          <t>FY27</t>
        </is>
      </c>
      <c r="B3090" s="19" t="inlineStr">
        <is>
          <t>Jul</t>
        </is>
      </c>
      <c r="C3090" s="19" t="inlineStr">
        <is>
          <t>TN</t>
        </is>
      </c>
      <c r="D3090" s="20" t="inlineStr">
        <is>
          <t>TN59CH9228</t>
        </is>
      </c>
      <c r="E3090" s="20" t="inlineStr">
        <is>
          <t>MARUTI</t>
        </is>
      </c>
      <c r="F3090" s="20" t="inlineStr">
        <is>
          <t>Baleno</t>
        </is>
      </c>
      <c r="G3090" s="21" t="n">
        <v>2020</v>
      </c>
      <c r="H3090" s="22" t="n">
        <v>47180</v>
      </c>
      <c r="I3090" s="23" t="n">
        <v>480000</v>
      </c>
      <c r="J3090" s="20" t="inlineStr">
        <is>
          <t>CASTLE TRADERS Maruti</t>
        </is>
      </c>
      <c r="K3090" s="20" t="inlineStr">
        <is>
          <t>Non-Captive</t>
        </is>
      </c>
      <c r="L3090" s="20" t="inlineStr">
        <is>
          <t>PINE AUTOS</t>
        </is>
      </c>
      <c r="M3090" s="23" t="n">
        <v>6355.93</v>
      </c>
      <c r="N3090" s="23" t="n">
        <v>7500</v>
      </c>
      <c r="O3090" s="24">
        <f>IF(AND(ISNUMBER(M3090), ISNUMBER(I3090), I3090&gt;0), M3090/I3090, "")</f>
        <v/>
      </c>
    </row>
    <row r="3091">
      <c r="A3091" s="19" t="inlineStr">
        <is>
          <t>FY27</t>
        </is>
      </c>
      <c r="B3091" s="19" t="inlineStr">
        <is>
          <t>Jul</t>
        </is>
      </c>
      <c r="C3091" s="19" t="inlineStr">
        <is>
          <t>TN</t>
        </is>
      </c>
      <c r="D3091" s="20" t="inlineStr">
        <is>
          <t>TN10BS0724</t>
        </is>
      </c>
      <c r="E3091" s="20" t="inlineStr">
        <is>
          <t>MARUTI</t>
        </is>
      </c>
      <c r="F3091" s="20" t="inlineStr">
        <is>
          <t>Baleno</t>
        </is>
      </c>
      <c r="G3091" s="21" t="n">
        <v>2022</v>
      </c>
      <c r="H3091" s="22" t="n">
        <v>33893</v>
      </c>
      <c r="I3091" s="23" t="n">
        <v>500000</v>
      </c>
      <c r="J3091" s="20" t="inlineStr">
        <is>
          <t>CASTLE TRADERS Maruti</t>
        </is>
      </c>
      <c r="K3091" s="20" t="inlineStr">
        <is>
          <t>Non-Captive</t>
        </is>
      </c>
      <c r="L3091" s="20" t="inlineStr">
        <is>
          <t>GRID 33</t>
        </is>
      </c>
      <c r="M3091" s="23" t="n">
        <v>8474.58</v>
      </c>
      <c r="N3091" s="23" t="n">
        <v>10000</v>
      </c>
      <c r="O3091" s="24">
        <f>IF(AND(ISNUMBER(M3091), ISNUMBER(I3091), I3091&gt;0), M3091/I3091, "")</f>
        <v/>
      </c>
    </row>
    <row r="3092">
      <c r="A3092" s="19" t="inlineStr">
        <is>
          <t>FY27</t>
        </is>
      </c>
      <c r="B3092" s="19" t="inlineStr">
        <is>
          <t>Jul</t>
        </is>
      </c>
      <c r="C3092" s="19" t="inlineStr">
        <is>
          <t>TN</t>
        </is>
      </c>
      <c r="D3092" s="20" t="inlineStr">
        <is>
          <t>TN07BE2864</t>
        </is>
      </c>
      <c r="E3092" s="20" t="inlineStr">
        <is>
          <t>HYUNDAI</t>
        </is>
      </c>
      <c r="F3092" s="20" t="inlineStr">
        <is>
          <t>I10</t>
        </is>
      </c>
      <c r="G3092" s="21" t="n">
        <v>2009</v>
      </c>
      <c r="H3092" s="22" t="n">
        <v>277268</v>
      </c>
      <c r="I3092" s="23" t="n">
        <v>90000</v>
      </c>
      <c r="J3092" s="20" t="inlineStr">
        <is>
          <t>CASTLE TRADERS Maruti</t>
        </is>
      </c>
      <c r="K3092" s="20" t="inlineStr">
        <is>
          <t>Non-Captive</t>
        </is>
      </c>
      <c r="L3092" s="20" t="inlineStr">
        <is>
          <t>AAA CARS</t>
        </is>
      </c>
      <c r="M3092" s="23" t="n">
        <v>4237.29</v>
      </c>
      <c r="N3092" s="23" t="n">
        <v>5000</v>
      </c>
      <c r="O3092" s="24">
        <f>IF(AND(ISNUMBER(M3092), ISNUMBER(I3092), I3092&gt;0), M3092/I3092, "")</f>
        <v/>
      </c>
    </row>
    <row r="3093">
      <c r="A3093" s="19" t="inlineStr">
        <is>
          <t>FY27</t>
        </is>
      </c>
      <c r="B3093" s="19" t="inlineStr">
        <is>
          <t>Jul</t>
        </is>
      </c>
      <c r="C3093" s="19" t="inlineStr">
        <is>
          <t>TN</t>
        </is>
      </c>
      <c r="D3093" s="20" t="inlineStr">
        <is>
          <t>TN18X5152</t>
        </is>
      </c>
      <c r="E3093" s="20" t="inlineStr">
        <is>
          <t>NISSAN</t>
        </is>
      </c>
      <c r="F3093" s="20" t="inlineStr">
        <is>
          <t>Micra</t>
        </is>
      </c>
      <c r="G3093" s="21" t="n">
        <v>2012</v>
      </c>
      <c r="H3093" s="22" t="n">
        <v>106434</v>
      </c>
      <c r="I3093" s="23" t="n">
        <v>130000</v>
      </c>
      <c r="J3093" s="20" t="inlineStr">
        <is>
          <t>EXCHANGE CHENNAI</t>
        </is>
      </c>
      <c r="K3093" s="20" t="inlineStr">
        <is>
          <t>Captive</t>
        </is>
      </c>
      <c r="L3093" s="20" t="inlineStr">
        <is>
          <t>AAA CARS</t>
        </is>
      </c>
      <c r="M3093" s="23" t="n">
        <v>8474.58</v>
      </c>
      <c r="N3093" s="23" t="n">
        <v>10000</v>
      </c>
      <c r="O3093" s="24">
        <f>IF(AND(ISNUMBER(M3093), ISNUMBER(I3093), I3093&gt;0), M3093/I3093, "")</f>
        <v/>
      </c>
    </row>
    <row r="3094">
      <c r="A3094" s="19" t="inlineStr">
        <is>
          <t>FY27</t>
        </is>
      </c>
      <c r="B3094" s="19" t="inlineStr">
        <is>
          <t>Jul</t>
        </is>
      </c>
      <c r="C3094" s="19" t="inlineStr">
        <is>
          <t>TN</t>
        </is>
      </c>
      <c r="D3094" s="20" t="inlineStr">
        <is>
          <t>TN14J0043</t>
        </is>
      </c>
      <c r="E3094" s="20" t="inlineStr">
        <is>
          <t>NISSAN</t>
        </is>
      </c>
      <c r="F3094" s="20" t="inlineStr">
        <is>
          <t>Micra</t>
        </is>
      </c>
      <c r="G3094" s="21" t="n">
        <v>2016</v>
      </c>
      <c r="H3094" s="22" t="n">
        <v>67924</v>
      </c>
      <c r="I3094" s="23" t="n">
        <v>190000</v>
      </c>
      <c r="J3094" s="20" t="inlineStr">
        <is>
          <t>EXCHANGE CHENNAI</t>
        </is>
      </c>
      <c r="K3094" s="20" t="inlineStr">
        <is>
          <t>Captive</t>
        </is>
      </c>
      <c r="L3094" s="20" t="inlineStr">
        <is>
          <t>SANTHOSH CARS</t>
        </is>
      </c>
      <c r="M3094" s="23" t="n">
        <v>8474.58</v>
      </c>
      <c r="N3094" s="23" t="n">
        <v>10000</v>
      </c>
      <c r="O3094" s="24">
        <f>IF(AND(ISNUMBER(M3094), ISNUMBER(I3094), I3094&gt;0), M3094/I3094, "")</f>
        <v/>
      </c>
    </row>
    <row r="3095">
      <c r="A3095" s="19" t="inlineStr">
        <is>
          <t>FY27</t>
        </is>
      </c>
      <c r="B3095" s="19" t="inlineStr">
        <is>
          <t>Jul</t>
        </is>
      </c>
      <c r="C3095" s="19" t="inlineStr">
        <is>
          <t>TN</t>
        </is>
      </c>
      <c r="D3095" s="20" t="inlineStr">
        <is>
          <t>TN07CE0958</t>
        </is>
      </c>
      <c r="E3095" s="20" t="inlineStr">
        <is>
          <t>HONDA</t>
        </is>
      </c>
      <c r="F3095" s="20" t="inlineStr">
        <is>
          <t>Amaze</t>
        </is>
      </c>
      <c r="G3095" s="21" t="n">
        <v>2015</v>
      </c>
      <c r="H3095" s="22" t="n">
        <v>70540</v>
      </c>
      <c r="I3095" s="23" t="n">
        <v>300000</v>
      </c>
      <c r="J3095" s="20" t="inlineStr">
        <is>
          <t>EXCHANGE CHENNAI</t>
        </is>
      </c>
      <c r="K3095" s="20" t="inlineStr">
        <is>
          <t>Captive</t>
        </is>
      </c>
      <c r="L3095" s="20" t="inlineStr">
        <is>
          <t>SANTHOSH CARS</t>
        </is>
      </c>
      <c r="M3095" s="23" t="n">
        <v>8474.58</v>
      </c>
      <c r="N3095" s="23" t="n">
        <v>10000</v>
      </c>
      <c r="O3095" s="24">
        <f>IF(AND(ISNUMBER(M3095), ISNUMBER(I3095), I3095&gt;0), M3095/I3095, "")</f>
        <v/>
      </c>
    </row>
    <row r="3096">
      <c r="A3096" s="19" t="inlineStr">
        <is>
          <t>FY27</t>
        </is>
      </c>
      <c r="B3096" s="19" t="inlineStr">
        <is>
          <t>Jul</t>
        </is>
      </c>
      <c r="C3096" s="19" t="inlineStr">
        <is>
          <t>TN</t>
        </is>
      </c>
      <c r="D3096" s="20" t="inlineStr">
        <is>
          <t>TN10BQ3828</t>
        </is>
      </c>
      <c r="E3096" s="20" t="inlineStr">
        <is>
          <t>HYUNDAI</t>
        </is>
      </c>
      <c r="F3096" s="20" t="inlineStr">
        <is>
          <t>Grand I10</t>
        </is>
      </c>
      <c r="G3096" s="21" t="n">
        <v>2022</v>
      </c>
      <c r="H3096" s="22" t="n">
        <v>99703</v>
      </c>
      <c r="I3096" s="23" t="n">
        <v>430000</v>
      </c>
      <c r="J3096" s="20" t="inlineStr">
        <is>
          <t>EXCHANGE CHENNAI</t>
        </is>
      </c>
      <c r="K3096" s="20" t="inlineStr">
        <is>
          <t>Captive</t>
        </is>
      </c>
      <c r="L3096" s="20" t="inlineStr">
        <is>
          <t>Thiya Cars</t>
        </is>
      </c>
      <c r="M3096" s="23" t="n">
        <v>8474.58</v>
      </c>
      <c r="N3096" s="23" t="n">
        <v>10000</v>
      </c>
      <c r="O3096" s="24">
        <f>IF(AND(ISNUMBER(M3096), ISNUMBER(I3096), I3096&gt;0), M3096/I3096, "")</f>
        <v/>
      </c>
    </row>
    <row r="3097">
      <c r="A3097" s="19" t="inlineStr">
        <is>
          <t>FY27</t>
        </is>
      </c>
      <c r="B3097" s="19" t="inlineStr">
        <is>
          <t>Jul</t>
        </is>
      </c>
      <c r="C3097" s="19" t="inlineStr">
        <is>
          <t>TN</t>
        </is>
      </c>
      <c r="D3097" s="20" t="inlineStr">
        <is>
          <t>TN10AT9471</t>
        </is>
      </c>
      <c r="E3097" s="20" t="inlineStr">
        <is>
          <t>HONDA</t>
        </is>
      </c>
      <c r="F3097" s="20" t="inlineStr">
        <is>
          <t>City</t>
        </is>
      </c>
      <c r="G3097" s="21" t="n">
        <v>2015</v>
      </c>
      <c r="H3097" s="22" t="n">
        <v>110651</v>
      </c>
      <c r="I3097" s="23" t="n">
        <v>310000</v>
      </c>
      <c r="J3097" s="20" t="inlineStr">
        <is>
          <t>EXCHANGE CHENNAI</t>
        </is>
      </c>
      <c r="K3097" s="20" t="inlineStr">
        <is>
          <t>Captive</t>
        </is>
      </c>
      <c r="L3097" s="20" t="inlineStr">
        <is>
          <t>SANTHOSH CARS</t>
        </is>
      </c>
      <c r="M3097" s="23" t="n">
        <v>8474.58</v>
      </c>
      <c r="N3097" s="23" t="n">
        <v>10000</v>
      </c>
      <c r="O3097" s="24">
        <f>IF(AND(ISNUMBER(M3097), ISNUMBER(I3097), I3097&gt;0), M3097/I3097, "")</f>
        <v/>
      </c>
    </row>
    <row r="3098">
      <c r="A3098" s="19" t="inlineStr">
        <is>
          <t>FY27</t>
        </is>
      </c>
      <c r="B3098" s="19" t="inlineStr">
        <is>
          <t>Jul</t>
        </is>
      </c>
      <c r="C3098" s="19" t="inlineStr">
        <is>
          <t>TN</t>
        </is>
      </c>
      <c r="D3098" s="20" t="inlineStr">
        <is>
          <t>TN56H0700</t>
        </is>
      </c>
      <c r="E3098" s="20" t="inlineStr">
        <is>
          <t>SKODA</t>
        </is>
      </c>
      <c r="F3098" s="20" t="inlineStr">
        <is>
          <t>Rapid</t>
        </is>
      </c>
      <c r="G3098" s="21" t="n">
        <v>2015</v>
      </c>
      <c r="H3098" s="22" t="n">
        <v>204666</v>
      </c>
      <c r="I3098" s="23" t="n">
        <v>285000</v>
      </c>
      <c r="J3098" s="20" t="inlineStr">
        <is>
          <t>EXCHANGE ROTN</t>
        </is>
      </c>
      <c r="K3098" s="20" t="inlineStr">
        <is>
          <t>Captive</t>
        </is>
      </c>
      <c r="L3098" s="20" t="inlineStr">
        <is>
          <t>VIJAY CARS ERODE</t>
        </is>
      </c>
      <c r="M3098" s="23" t="n">
        <v>10169.49</v>
      </c>
      <c r="N3098" s="23" t="n">
        <v>12000</v>
      </c>
      <c r="O3098" s="24">
        <f>IF(AND(ISNUMBER(M3098), ISNUMBER(I3098), I3098&gt;0), M3098/I3098, "")</f>
        <v/>
      </c>
    </row>
    <row r="3099">
      <c r="A3099" s="19" t="inlineStr">
        <is>
          <t>FY27</t>
        </is>
      </c>
      <c r="B3099" s="19" t="inlineStr">
        <is>
          <t>Jul</t>
        </is>
      </c>
      <c r="C3099" s="19" t="inlineStr">
        <is>
          <t>TN</t>
        </is>
      </c>
      <c r="D3099" s="20" t="inlineStr">
        <is>
          <t>KL63G3184</t>
        </is>
      </c>
      <c r="E3099" s="20" t="inlineStr">
        <is>
          <t>HYUNDAI</t>
        </is>
      </c>
      <c r="F3099" s="20" t="inlineStr">
        <is>
          <t>Grand I10</t>
        </is>
      </c>
      <c r="G3099" s="21" t="n">
        <v>2019</v>
      </c>
      <c r="H3099" s="22" t="n">
        <v>52766</v>
      </c>
      <c r="I3099" s="23" t="n">
        <v>200000</v>
      </c>
      <c r="J3099" s="20" t="inlineStr">
        <is>
          <t>EXCHANGE ROTN</t>
        </is>
      </c>
      <c r="K3099" s="20" t="inlineStr">
        <is>
          <t>Captive</t>
        </is>
      </c>
      <c r="L3099" s="20" t="inlineStr">
        <is>
          <t>LIAKATHCARS</t>
        </is>
      </c>
      <c r="M3099" s="23" t="n">
        <v>12711.86</v>
      </c>
      <c r="N3099" s="23" t="n">
        <v>15000</v>
      </c>
      <c r="O3099" s="24">
        <f>IF(AND(ISNUMBER(M3099), ISNUMBER(I3099), I3099&gt;0), M3099/I3099, "")</f>
        <v/>
      </c>
    </row>
    <row r="3100">
      <c r="A3100" s="19" t="inlineStr">
        <is>
          <t>FY27</t>
        </is>
      </c>
      <c r="B3100" s="19" t="inlineStr">
        <is>
          <t>Jul</t>
        </is>
      </c>
      <c r="C3100" s="19" t="inlineStr">
        <is>
          <t>TN</t>
        </is>
      </c>
      <c r="D3100" s="20" t="inlineStr">
        <is>
          <t>TN30BR7678</t>
        </is>
      </c>
      <c r="E3100" s="20" t="inlineStr">
        <is>
          <t>MARUTI</t>
        </is>
      </c>
      <c r="F3100" s="20" t="inlineStr">
        <is>
          <t>Swift</t>
        </is>
      </c>
      <c r="G3100" s="21" t="n">
        <v>2021</v>
      </c>
      <c r="H3100" s="22" t="n">
        <v>81302</v>
      </c>
      <c r="I3100" s="23" t="n">
        <v>475000</v>
      </c>
      <c r="J3100" s="20" t="inlineStr">
        <is>
          <t>EXCHANGE ROTN</t>
        </is>
      </c>
      <c r="K3100" s="20" t="inlineStr">
        <is>
          <t>Captive</t>
        </is>
      </c>
      <c r="L3100" s="20" t="inlineStr">
        <is>
          <t>STALIN CARS</t>
        </is>
      </c>
      <c r="M3100" s="23" t="n">
        <v>12711.86</v>
      </c>
      <c r="N3100" s="23" t="n">
        <v>15000</v>
      </c>
      <c r="O3100" s="24">
        <f>IF(AND(ISNUMBER(M3100), ISNUMBER(I3100), I3100&gt;0), M3100/I3100, "")</f>
        <v/>
      </c>
    </row>
    <row r="3101">
      <c r="A3101" s="19" t="inlineStr">
        <is>
          <t>FY27</t>
        </is>
      </c>
      <c r="B3101" s="19" t="inlineStr">
        <is>
          <t>Jul</t>
        </is>
      </c>
      <c r="C3101" s="19" t="inlineStr">
        <is>
          <t>TN</t>
        </is>
      </c>
      <c r="D3101" s="20" t="inlineStr">
        <is>
          <t>TN59AW8885</t>
        </is>
      </c>
      <c r="E3101" s="20" t="inlineStr">
        <is>
          <t>HONDA</t>
        </is>
      </c>
      <c r="F3101" s="20" t="inlineStr">
        <is>
          <t>Brio</t>
        </is>
      </c>
      <c r="G3101" s="21" t="n">
        <v>2013</v>
      </c>
      <c r="H3101" s="22" t="n">
        <v>89837</v>
      </c>
      <c r="I3101" s="23" t="n">
        <v>194000</v>
      </c>
      <c r="J3101" s="20" t="inlineStr">
        <is>
          <t>EXCHANGE ROTN</t>
        </is>
      </c>
      <c r="K3101" s="20" t="inlineStr">
        <is>
          <t>Captive</t>
        </is>
      </c>
      <c r="L3101" s="20" t="inlineStr">
        <is>
          <t>PAUL CARS</t>
        </is>
      </c>
      <c r="M3101" s="23" t="n">
        <v>13559.32</v>
      </c>
      <c r="N3101" s="23" t="n">
        <v>16000</v>
      </c>
      <c r="O3101" s="24">
        <f>IF(AND(ISNUMBER(M3101), ISNUMBER(I3101), I3101&gt;0), M3101/I3101, "")</f>
        <v/>
      </c>
    </row>
    <row r="3102">
      <c r="A3102" s="19" t="inlineStr">
        <is>
          <t>FY27</t>
        </is>
      </c>
      <c r="B3102" s="19" t="inlineStr">
        <is>
          <t>Jul</t>
        </is>
      </c>
      <c r="C3102" s="19" t="inlineStr">
        <is>
          <t>TN</t>
        </is>
      </c>
      <c r="D3102" s="20" t="inlineStr">
        <is>
          <t>TN38BK8655</t>
        </is>
      </c>
      <c r="E3102" s="20" t="inlineStr">
        <is>
          <t>VOLKSWAGEN</t>
        </is>
      </c>
      <c r="F3102" s="20" t="inlineStr">
        <is>
          <t>Vento</t>
        </is>
      </c>
      <c r="G3102" s="21" t="n">
        <v>2011</v>
      </c>
      <c r="H3102" s="22" t="n">
        <v>114386</v>
      </c>
      <c r="I3102" s="23" t="n">
        <v>192000</v>
      </c>
      <c r="J3102" s="20" t="inlineStr">
        <is>
          <t>EXCHANGE ROTN</t>
        </is>
      </c>
      <c r="K3102" s="20" t="inlineStr">
        <is>
          <t>Captive</t>
        </is>
      </c>
      <c r="L3102" s="20" t="inlineStr">
        <is>
          <t>SRI VIGNESH PRE OWNED CARS</t>
        </is>
      </c>
      <c r="M3102" s="23" t="n">
        <v>6779.66</v>
      </c>
      <c r="N3102" s="23" t="n">
        <v>8000</v>
      </c>
      <c r="O3102" s="24">
        <f>IF(AND(ISNUMBER(M3102), ISNUMBER(I3102), I3102&gt;0), M3102/I3102, "")</f>
        <v/>
      </c>
    </row>
    <row r="3103">
      <c r="A3103" s="19" t="inlineStr">
        <is>
          <t>FY27</t>
        </is>
      </c>
      <c r="B3103" s="19" t="inlineStr">
        <is>
          <t>Jul</t>
        </is>
      </c>
      <c r="C3103" s="19" t="inlineStr">
        <is>
          <t>TN</t>
        </is>
      </c>
      <c r="D3103" s="20" t="inlineStr">
        <is>
          <t>TN37CQ0679</t>
        </is>
      </c>
      <c r="E3103" s="20" t="inlineStr">
        <is>
          <t>HYUNDAI</t>
        </is>
      </c>
      <c r="F3103" s="20" t="inlineStr">
        <is>
          <t>Eon</t>
        </is>
      </c>
      <c r="G3103" s="21" t="n">
        <v>2016</v>
      </c>
      <c r="H3103" s="22" t="n">
        <v>73283</v>
      </c>
      <c r="I3103" s="23" t="n">
        <v>125000</v>
      </c>
      <c r="J3103" s="20" t="inlineStr">
        <is>
          <t>EXCHANGE ROTN</t>
        </is>
      </c>
      <c r="K3103" s="20" t="inlineStr">
        <is>
          <t>Captive</t>
        </is>
      </c>
      <c r="L3103" s="20" t="inlineStr">
        <is>
          <t>SRI VIGNESH PRE OWNED CARS</t>
        </is>
      </c>
      <c r="M3103" s="23" t="n">
        <v>8474.58</v>
      </c>
      <c r="N3103" s="23" t="n">
        <v>10000</v>
      </c>
      <c r="O3103" s="24">
        <f>IF(AND(ISNUMBER(M3103), ISNUMBER(I3103), I3103&gt;0), M3103/I3103, "")</f>
        <v/>
      </c>
    </row>
    <row r="3104">
      <c r="A3104" s="19" t="inlineStr">
        <is>
          <t>FY27</t>
        </is>
      </c>
      <c r="B3104" s="19" t="inlineStr">
        <is>
          <t>Jul</t>
        </is>
      </c>
      <c r="C3104" s="19" t="inlineStr">
        <is>
          <t>TN</t>
        </is>
      </c>
      <c r="D3104" s="20" t="inlineStr">
        <is>
          <t>TN59AA9624</t>
        </is>
      </c>
      <c r="E3104" s="20" t="inlineStr">
        <is>
          <t>TATA</t>
        </is>
      </c>
      <c r="F3104" s="20" t="inlineStr">
        <is>
          <t>Indica</t>
        </is>
      </c>
      <c r="G3104" s="21" t="n">
        <v>2005</v>
      </c>
      <c r="H3104" s="22" t="n">
        <v>87100</v>
      </c>
      <c r="I3104" s="23" t="n">
        <v>45000</v>
      </c>
      <c r="J3104" s="20" t="inlineStr">
        <is>
          <t>EXCHANGE ROTN</t>
        </is>
      </c>
      <c r="K3104" s="20" t="inlineStr">
        <is>
          <t>Captive</t>
        </is>
      </c>
      <c r="L3104" s="20" t="inlineStr">
        <is>
          <t>SAI CARS</t>
        </is>
      </c>
      <c r="M3104" s="23" t="n">
        <v>4237.29</v>
      </c>
      <c r="N3104" s="23" t="n">
        <v>5000</v>
      </c>
      <c r="O3104" s="24">
        <f>IF(AND(ISNUMBER(M3104), ISNUMBER(I3104), I3104&gt;0), M3104/I3104, "")</f>
        <v/>
      </c>
    </row>
    <row r="3105">
      <c r="A3105" s="19" t="inlineStr">
        <is>
          <t>FY27</t>
        </is>
      </c>
      <c r="B3105" s="19" t="inlineStr">
        <is>
          <t>Jul</t>
        </is>
      </c>
      <c r="C3105" s="19" t="inlineStr">
        <is>
          <t>TN</t>
        </is>
      </c>
      <c r="D3105" s="20" t="inlineStr">
        <is>
          <t>TN58L4493</t>
        </is>
      </c>
      <c r="E3105" s="20" t="inlineStr">
        <is>
          <t>HYUNDAI</t>
        </is>
      </c>
      <c r="F3105" s="20" t="inlineStr">
        <is>
          <t>Santro</t>
        </is>
      </c>
      <c r="G3105" s="21" t="n">
        <v>2005</v>
      </c>
      <c r="H3105" s="22" t="n">
        <v>194200</v>
      </c>
      <c r="I3105" s="23" t="n">
        <v>55000</v>
      </c>
      <c r="J3105" s="20" t="inlineStr">
        <is>
          <t>EXCHANGE ROTN</t>
        </is>
      </c>
      <c r="K3105" s="20" t="inlineStr">
        <is>
          <t>Captive</t>
        </is>
      </c>
      <c r="L3105" s="20" t="inlineStr">
        <is>
          <t>SAI CARS</t>
        </is>
      </c>
      <c r="M3105" s="23" t="n">
        <v>4237.29</v>
      </c>
      <c r="N3105" s="23" t="n">
        <v>5000</v>
      </c>
      <c r="O3105" s="24">
        <f>IF(AND(ISNUMBER(M3105), ISNUMBER(I3105), I3105&gt;0), M3105/I3105, "")</f>
        <v/>
      </c>
    </row>
    <row r="3106">
      <c r="A3106" s="19" t="inlineStr">
        <is>
          <t>FY27</t>
        </is>
      </c>
      <c r="B3106" s="19" t="inlineStr">
        <is>
          <t>Jul</t>
        </is>
      </c>
      <c r="C3106" s="19" t="inlineStr">
        <is>
          <t>TN</t>
        </is>
      </c>
      <c r="D3106" s="20" t="inlineStr">
        <is>
          <t>TN83X8543</t>
        </is>
      </c>
      <c r="E3106" s="20" t="inlineStr">
        <is>
          <t>MARUTI</t>
        </is>
      </c>
      <c r="F3106" s="20" t="inlineStr">
        <is>
          <t>Alto 800</t>
        </is>
      </c>
      <c r="G3106" s="21" t="n">
        <v>2015</v>
      </c>
      <c r="H3106" s="22" t="n">
        <v>77156</v>
      </c>
      <c r="I3106" s="23" t="n">
        <v>88000</v>
      </c>
      <c r="J3106" s="20" t="inlineStr">
        <is>
          <t>EXCHANGE ROTN</t>
        </is>
      </c>
      <c r="K3106" s="20" t="inlineStr">
        <is>
          <t>Captive</t>
        </is>
      </c>
      <c r="L3106" s="20" t="inlineStr">
        <is>
          <t>READY TO RIDE CARS</t>
        </is>
      </c>
      <c r="M3106" s="23" t="n">
        <v>4237.29</v>
      </c>
      <c r="N3106" s="23" t="n">
        <v>5000</v>
      </c>
      <c r="O3106" s="24">
        <f>IF(AND(ISNUMBER(M3106), ISNUMBER(I3106), I3106&gt;0), M3106/I3106, "")</f>
        <v/>
      </c>
    </row>
    <row r="3107">
      <c r="A3107" s="19" t="inlineStr">
        <is>
          <t>FY27</t>
        </is>
      </c>
      <c r="B3107" s="19" t="inlineStr">
        <is>
          <t>Jul</t>
        </is>
      </c>
      <c r="C3107" s="19" t="inlineStr">
        <is>
          <t>TN</t>
        </is>
      </c>
      <c r="D3107" s="20" t="inlineStr">
        <is>
          <t>TN57AH5152</t>
        </is>
      </c>
      <c r="E3107" s="20" t="inlineStr">
        <is>
          <t>MARUTI</t>
        </is>
      </c>
      <c r="F3107" s="20" t="inlineStr">
        <is>
          <t>Alto 800</t>
        </is>
      </c>
      <c r="G3107" s="21" t="n">
        <v>2012</v>
      </c>
      <c r="H3107" s="22" t="n">
        <v>80178</v>
      </c>
      <c r="I3107" s="23" t="n">
        <v>91000</v>
      </c>
      <c r="J3107" s="20" t="inlineStr">
        <is>
          <t>EXCHANGE ROTN</t>
        </is>
      </c>
      <c r="K3107" s="20" t="inlineStr">
        <is>
          <t>Captive</t>
        </is>
      </c>
      <c r="L3107" s="20" t="inlineStr">
        <is>
          <t>READY TO RIDE CARS</t>
        </is>
      </c>
      <c r="M3107" s="23" t="n">
        <v>4237.29</v>
      </c>
      <c r="N3107" s="23" t="n">
        <v>5000</v>
      </c>
      <c r="O3107" s="24">
        <f>IF(AND(ISNUMBER(M3107), ISNUMBER(I3107), I3107&gt;0), M3107/I3107, "")</f>
        <v/>
      </c>
    </row>
    <row r="3108">
      <c r="A3108" s="19" t="inlineStr">
        <is>
          <t>FY27</t>
        </is>
      </c>
      <c r="B3108" s="19" t="inlineStr">
        <is>
          <t>Jul</t>
        </is>
      </c>
      <c r="C3108" s="19" t="inlineStr">
        <is>
          <t>TN</t>
        </is>
      </c>
      <c r="D3108" s="20" t="inlineStr">
        <is>
          <t>TN02AF1414</t>
        </is>
      </c>
      <c r="E3108" s="20" t="inlineStr">
        <is>
          <t>MARUTI</t>
        </is>
      </c>
      <c r="F3108" s="20" t="inlineStr">
        <is>
          <t>Swift</t>
        </is>
      </c>
      <c r="G3108" s="21" t="n">
        <v>2008</v>
      </c>
      <c r="H3108" s="22" t="n">
        <v>148232</v>
      </c>
      <c r="I3108" s="23" t="n">
        <v>98000</v>
      </c>
      <c r="J3108" s="20" t="inlineStr">
        <is>
          <t>EXCHANGE ROTN</t>
        </is>
      </c>
      <c r="K3108" s="20" t="inlineStr">
        <is>
          <t>Captive</t>
        </is>
      </c>
      <c r="L3108" s="20" t="inlineStr">
        <is>
          <t>READY TO RIDE CARS</t>
        </is>
      </c>
      <c r="M3108" s="23" t="n">
        <v>4237.29</v>
      </c>
      <c r="N3108" s="23" t="n">
        <v>5000</v>
      </c>
      <c r="O3108" s="24">
        <f>IF(AND(ISNUMBER(M3108), ISNUMBER(I3108), I3108&gt;0), M3108/I3108, "")</f>
        <v/>
      </c>
    </row>
    <row r="3109">
      <c r="A3109" s="19" t="inlineStr">
        <is>
          <t>FY27</t>
        </is>
      </c>
      <c r="B3109" s="19" t="inlineStr">
        <is>
          <t>Jul</t>
        </is>
      </c>
      <c r="C3109" s="19" t="inlineStr">
        <is>
          <t>TN</t>
        </is>
      </c>
      <c r="D3109" s="20" t="inlineStr">
        <is>
          <t>TN57AF1123</t>
        </is>
      </c>
      <c r="E3109" s="20" t="inlineStr">
        <is>
          <t>MARUTI</t>
        </is>
      </c>
      <c r="F3109" s="20" t="inlineStr">
        <is>
          <t>Swiftdzire</t>
        </is>
      </c>
      <c r="G3109" s="21" t="n">
        <v>2012</v>
      </c>
      <c r="H3109" s="22" t="n">
        <v>174132</v>
      </c>
      <c r="I3109" s="23" t="n">
        <v>89000</v>
      </c>
      <c r="J3109" s="20" t="inlineStr">
        <is>
          <t>EXCHANGE ROTN</t>
        </is>
      </c>
      <c r="K3109" s="20" t="inlineStr">
        <is>
          <t>Captive</t>
        </is>
      </c>
      <c r="L3109" s="20" t="inlineStr">
        <is>
          <t>READY TO RIDE CARS</t>
        </is>
      </c>
      <c r="M3109" s="23" t="n">
        <v>4237.29</v>
      </c>
      <c r="N3109" s="23" t="n">
        <v>5000</v>
      </c>
      <c r="O3109" s="24">
        <f>IF(AND(ISNUMBER(M3109), ISNUMBER(I3109), I3109&gt;0), M3109/I3109, "")</f>
        <v/>
      </c>
    </row>
    <row r="3110">
      <c r="A3110" s="19" t="inlineStr">
        <is>
          <t>FY27</t>
        </is>
      </c>
      <c r="B3110" s="19" t="inlineStr">
        <is>
          <t>Jul</t>
        </is>
      </c>
      <c r="C3110" s="19" t="inlineStr">
        <is>
          <t>TN</t>
        </is>
      </c>
      <c r="D3110" s="20" t="inlineStr">
        <is>
          <t>TN45BP8724</t>
        </is>
      </c>
      <c r="E3110" s="20" t="inlineStr">
        <is>
          <t>MARUTI</t>
        </is>
      </c>
      <c r="F3110" s="20" t="inlineStr">
        <is>
          <t>Alto 800</t>
        </is>
      </c>
      <c r="G3110" s="21" t="n">
        <v>2018</v>
      </c>
      <c r="H3110" s="22" t="n">
        <v>65398</v>
      </c>
      <c r="I3110" s="23" t="n">
        <v>73000</v>
      </c>
      <c r="J3110" s="20" t="inlineStr">
        <is>
          <t>EXCHANGE ROTN</t>
        </is>
      </c>
      <c r="K3110" s="20" t="inlineStr">
        <is>
          <t>Captive</t>
        </is>
      </c>
      <c r="L3110" s="20" t="inlineStr">
        <is>
          <t>READY TO RIDE CARS</t>
        </is>
      </c>
      <c r="M3110" s="23" t="n">
        <v>4237.29</v>
      </c>
      <c r="N3110" s="23" t="n">
        <v>5000</v>
      </c>
      <c r="O3110" s="24">
        <f>IF(AND(ISNUMBER(M3110), ISNUMBER(I3110), I3110&gt;0), M3110/I3110, "")</f>
        <v/>
      </c>
    </row>
    <row r="3111">
      <c r="A3111" s="19" t="inlineStr">
        <is>
          <t>FY27</t>
        </is>
      </c>
      <c r="B3111" s="19" t="inlineStr">
        <is>
          <t>Jul</t>
        </is>
      </c>
      <c r="C3111" s="19" t="inlineStr">
        <is>
          <t>TN</t>
        </is>
      </c>
      <c r="D3111" s="20" t="inlineStr">
        <is>
          <t>TN63AR5954</t>
        </is>
      </c>
      <c r="E3111" s="20" t="inlineStr">
        <is>
          <t>HYUNDAI</t>
        </is>
      </c>
      <c r="F3111" s="20" t="inlineStr">
        <is>
          <t>Xcent</t>
        </is>
      </c>
      <c r="G3111" s="21" t="n">
        <v>2017</v>
      </c>
      <c r="H3111" s="22" t="n">
        <v>137771</v>
      </c>
      <c r="I3111" s="23" t="n">
        <v>65000</v>
      </c>
      <c r="J3111" s="20" t="inlineStr">
        <is>
          <t>EXCHANGE ROTN</t>
        </is>
      </c>
      <c r="K3111" s="20" t="inlineStr">
        <is>
          <t>Captive</t>
        </is>
      </c>
      <c r="L3111" s="20" t="inlineStr">
        <is>
          <t>READY TO RIDE CARS</t>
        </is>
      </c>
      <c r="M3111" s="23" t="n">
        <v>4237.29</v>
      </c>
      <c r="N3111" s="23" t="n">
        <v>5000</v>
      </c>
      <c r="O3111" s="24">
        <f>IF(AND(ISNUMBER(M3111), ISNUMBER(I3111), I3111&gt;0), M3111/I3111, "")</f>
        <v/>
      </c>
    </row>
    <row r="3112">
      <c r="A3112" s="19" t="inlineStr">
        <is>
          <t>FY27</t>
        </is>
      </c>
      <c r="B3112" s="19" t="inlineStr">
        <is>
          <t>Jul</t>
        </is>
      </c>
      <c r="C3112" s="19" t="inlineStr">
        <is>
          <t>TN</t>
        </is>
      </c>
      <c r="D3112" s="20" t="inlineStr">
        <is>
          <t>TN37Y3838</t>
        </is>
      </c>
      <c r="E3112" s="20" t="inlineStr">
        <is>
          <t>TOYOTA</t>
        </is>
      </c>
      <c r="F3112" s="20" t="inlineStr">
        <is>
          <t>Qualis</t>
        </is>
      </c>
      <c r="G3112" s="21" t="n">
        <v>2001</v>
      </c>
      <c r="H3112" s="22" t="n">
        <v>220198</v>
      </c>
      <c r="I3112" s="23" t="n">
        <v>90000</v>
      </c>
      <c r="J3112" s="20" t="inlineStr">
        <is>
          <t>EXCHANGE ROTN</t>
        </is>
      </c>
      <c r="K3112" s="20" t="inlineStr">
        <is>
          <t>Captive</t>
        </is>
      </c>
      <c r="L3112" s="20" t="inlineStr">
        <is>
          <t>READY TO RIDE CARS</t>
        </is>
      </c>
      <c r="M3112" s="23" t="n">
        <v>4237.29</v>
      </c>
      <c r="N3112" s="23" t="n">
        <v>5000</v>
      </c>
      <c r="O3112" s="24">
        <f>IF(AND(ISNUMBER(M3112), ISNUMBER(I3112), I3112&gt;0), M3112/I3112, "")</f>
        <v/>
      </c>
    </row>
    <row r="3113">
      <c r="A3113" s="19" t="inlineStr">
        <is>
          <t>FY27</t>
        </is>
      </c>
      <c r="B3113" s="19" t="inlineStr">
        <is>
          <t>Jul</t>
        </is>
      </c>
      <c r="C3113" s="19" t="inlineStr">
        <is>
          <t>TN</t>
        </is>
      </c>
      <c r="D3113" s="20" t="inlineStr">
        <is>
          <t>TN22AZ1654</t>
        </is>
      </c>
      <c r="E3113" s="20" t="inlineStr">
        <is>
          <t>MARUTI</t>
        </is>
      </c>
      <c r="F3113" s="20" t="inlineStr">
        <is>
          <t>Swift</t>
        </is>
      </c>
      <c r="G3113" s="21" t="n">
        <v>2007</v>
      </c>
      <c r="H3113" s="22" t="n">
        <v>71064</v>
      </c>
      <c r="I3113" s="23" t="n">
        <v>85000</v>
      </c>
      <c r="J3113" s="20" t="inlineStr">
        <is>
          <t>EXCHANGE ROTN</t>
        </is>
      </c>
      <c r="K3113" s="20" t="inlineStr">
        <is>
          <t>Captive</t>
        </is>
      </c>
      <c r="L3113" s="20" t="inlineStr">
        <is>
          <t>9miles</t>
        </is>
      </c>
      <c r="M3113" s="23" t="n">
        <v>7627.12</v>
      </c>
      <c r="N3113" s="23" t="n">
        <v>9000</v>
      </c>
      <c r="O3113" s="24">
        <f>IF(AND(ISNUMBER(M3113), ISNUMBER(I3113), I3113&gt;0), M3113/I3113, "")</f>
        <v/>
      </c>
    </row>
    <row r="3114">
      <c r="A3114" s="19" t="inlineStr">
        <is>
          <t>FY27</t>
        </is>
      </c>
      <c r="B3114" s="19" t="inlineStr">
        <is>
          <t>Jul</t>
        </is>
      </c>
      <c r="C3114" s="19" t="inlineStr">
        <is>
          <t>TN</t>
        </is>
      </c>
      <c r="D3114" s="20" t="inlineStr">
        <is>
          <t>TN36U9375</t>
        </is>
      </c>
      <c r="E3114" s="20" t="inlineStr">
        <is>
          <t>HYUNDAI</t>
        </is>
      </c>
      <c r="F3114" s="20" t="inlineStr">
        <is>
          <t>Santro</t>
        </is>
      </c>
      <c r="G3114" s="21" t="n">
        <v>2010</v>
      </c>
      <c r="H3114" s="22" t="n">
        <v>70627</v>
      </c>
      <c r="I3114" s="23" t="n">
        <v>98000</v>
      </c>
      <c r="J3114" s="20" t="inlineStr">
        <is>
          <t>EXCHANGE ROTN</t>
        </is>
      </c>
      <c r="K3114" s="20" t="inlineStr">
        <is>
          <t>Captive</t>
        </is>
      </c>
      <c r="L3114" s="20" t="inlineStr">
        <is>
          <t>9miles</t>
        </is>
      </c>
      <c r="M3114" s="23" t="n">
        <v>4237.29</v>
      </c>
      <c r="N3114" s="23" t="n">
        <v>5000</v>
      </c>
      <c r="O3114" s="24">
        <f>IF(AND(ISNUMBER(M3114), ISNUMBER(I3114), I3114&gt;0), M3114/I3114, "")</f>
        <v/>
      </c>
    </row>
    <row r="3115">
      <c r="A3115" s="19" t="inlineStr">
        <is>
          <t>FY27</t>
        </is>
      </c>
      <c r="B3115" s="19" t="inlineStr">
        <is>
          <t>Jul</t>
        </is>
      </c>
      <c r="C3115" s="19" t="inlineStr">
        <is>
          <t>TN</t>
        </is>
      </c>
      <c r="D3115" s="20" t="inlineStr">
        <is>
          <t>TN33AM9798</t>
        </is>
      </c>
      <c r="E3115" s="20" t="inlineStr">
        <is>
          <t>TATA</t>
        </is>
      </c>
      <c r="F3115" s="20" t="inlineStr">
        <is>
          <t>Indica</t>
        </is>
      </c>
      <c r="G3115" s="21" t="n">
        <v>2009</v>
      </c>
      <c r="H3115" s="22" t="n">
        <v>59441</v>
      </c>
      <c r="I3115" s="23" t="n">
        <v>55000</v>
      </c>
      <c r="J3115" s="20" t="inlineStr">
        <is>
          <t>EXCHANGE ROTN</t>
        </is>
      </c>
      <c r="K3115" s="20" t="inlineStr">
        <is>
          <t>Captive</t>
        </is>
      </c>
      <c r="L3115" s="20" t="inlineStr">
        <is>
          <t>9miles</t>
        </is>
      </c>
      <c r="M3115" s="23" t="n">
        <v>4237.29</v>
      </c>
      <c r="N3115" s="23" t="n">
        <v>5000</v>
      </c>
      <c r="O3115" s="24">
        <f>IF(AND(ISNUMBER(M3115), ISNUMBER(I3115), I3115&gt;0), M3115/I3115, "")</f>
        <v/>
      </c>
    </row>
    <row r="3116">
      <c r="A3116" s="19" t="inlineStr">
        <is>
          <t>FY27</t>
        </is>
      </c>
      <c r="B3116" s="19" t="inlineStr">
        <is>
          <t>Jul</t>
        </is>
      </c>
      <c r="C3116" s="19" t="inlineStr">
        <is>
          <t>TN</t>
        </is>
      </c>
      <c r="D3116" s="20" t="inlineStr">
        <is>
          <t>TN22F6955</t>
        </is>
      </c>
      <c r="E3116" s="20" t="inlineStr">
        <is>
          <t>MARUTI</t>
        </is>
      </c>
      <c r="F3116" s="20" t="inlineStr">
        <is>
          <t>Alto 800</t>
        </is>
      </c>
      <c r="G3116" s="21" t="n">
        <v>1998</v>
      </c>
      <c r="H3116" s="22" t="n">
        <v>51645</v>
      </c>
      <c r="I3116" s="23" t="n">
        <v>38000</v>
      </c>
      <c r="J3116" s="20" t="inlineStr">
        <is>
          <t>EXCHANGE ROTN</t>
        </is>
      </c>
      <c r="K3116" s="20" t="inlineStr">
        <is>
          <t>Captive</t>
        </is>
      </c>
      <c r="L3116" s="20" t="inlineStr">
        <is>
          <t>9miles</t>
        </is>
      </c>
      <c r="M3116" s="23" t="n">
        <v>4237.29</v>
      </c>
      <c r="N3116" s="23" t="n">
        <v>5000</v>
      </c>
      <c r="O3116" s="24">
        <f>IF(AND(ISNUMBER(M3116), ISNUMBER(I3116), I3116&gt;0), M3116/I3116, "")</f>
        <v/>
      </c>
    </row>
    <row r="3117">
      <c r="A3117" s="19" t="inlineStr">
        <is>
          <t>FY27</t>
        </is>
      </c>
      <c r="B3117" s="19" t="inlineStr">
        <is>
          <t>Jul</t>
        </is>
      </c>
      <c r="C3117" s="19" t="inlineStr">
        <is>
          <t>TN</t>
        </is>
      </c>
      <c r="D3117" s="20" t="inlineStr">
        <is>
          <t>TN38AX1656</t>
        </is>
      </c>
      <c r="E3117" s="20" t="inlineStr">
        <is>
          <t>MARUTI</t>
        </is>
      </c>
      <c r="F3117" s="20" t="inlineStr">
        <is>
          <t>Alto</t>
        </is>
      </c>
      <c r="G3117" s="21" t="n">
        <v>2009</v>
      </c>
      <c r="H3117" s="22" t="n">
        <v>131643</v>
      </c>
      <c r="I3117" s="23" t="n">
        <v>85000</v>
      </c>
      <c r="J3117" s="20" t="inlineStr">
        <is>
          <t>EXCHANGE ROTN</t>
        </is>
      </c>
      <c r="K3117" s="20" t="inlineStr">
        <is>
          <t>Captive</t>
        </is>
      </c>
      <c r="L3117" s="20" t="inlineStr">
        <is>
          <t>9miles</t>
        </is>
      </c>
      <c r="M3117" s="23" t="n">
        <v>4237.29</v>
      </c>
      <c r="N3117" s="23" t="n">
        <v>5000</v>
      </c>
      <c r="O3117" s="24">
        <f>IF(AND(ISNUMBER(M3117), ISNUMBER(I3117), I3117&gt;0), M3117/I3117, "")</f>
        <v/>
      </c>
    </row>
    <row r="3118">
      <c r="A3118" s="19" t="inlineStr">
        <is>
          <t>FY27</t>
        </is>
      </c>
      <c r="B3118" s="19" t="inlineStr">
        <is>
          <t>Jul</t>
        </is>
      </c>
      <c r="C3118" s="19" t="inlineStr">
        <is>
          <t>TN</t>
        </is>
      </c>
      <c r="D3118" s="20" t="inlineStr">
        <is>
          <t>TN58R4641</t>
        </is>
      </c>
      <c r="E3118" s="20" t="inlineStr">
        <is>
          <t>MARUTI</t>
        </is>
      </c>
      <c r="F3118" s="20" t="inlineStr">
        <is>
          <t>Omni</t>
        </is>
      </c>
      <c r="G3118" s="21" t="n">
        <v>2007</v>
      </c>
      <c r="H3118" s="22" t="n">
        <v>127130</v>
      </c>
      <c r="I3118" s="23" t="n">
        <v>80000</v>
      </c>
      <c r="J3118" s="20" t="inlineStr">
        <is>
          <t>EXCHANGE ROTN</t>
        </is>
      </c>
      <c r="K3118" s="20" t="inlineStr">
        <is>
          <t>Captive</t>
        </is>
      </c>
      <c r="L3118" s="20" t="inlineStr">
        <is>
          <t>PAUL CARS</t>
        </is>
      </c>
      <c r="M3118" s="23" t="n">
        <v>4237.29</v>
      </c>
      <c r="N3118" s="23" t="n">
        <v>5000</v>
      </c>
      <c r="O3118" s="24">
        <f>IF(AND(ISNUMBER(M3118), ISNUMBER(I3118), I3118&gt;0), M3118/I3118, "")</f>
        <v/>
      </c>
    </row>
    <row r="3119">
      <c r="A3119" s="19" t="inlineStr">
        <is>
          <t>FY27</t>
        </is>
      </c>
      <c r="B3119" s="19" t="inlineStr">
        <is>
          <t>Jul</t>
        </is>
      </c>
      <c r="C3119" s="19" t="inlineStr">
        <is>
          <t>TN</t>
        </is>
      </c>
      <c r="D3119" s="20" t="inlineStr">
        <is>
          <t>TN59AK8617</t>
        </is>
      </c>
      <c r="E3119" s="20" t="inlineStr">
        <is>
          <t>HYUNDAI</t>
        </is>
      </c>
      <c r="F3119" s="20" t="inlineStr">
        <is>
          <t>Santro</t>
        </is>
      </c>
      <c r="G3119" s="21" t="n">
        <v>2009</v>
      </c>
      <c r="H3119" s="22" t="n">
        <v>69999</v>
      </c>
      <c r="I3119" s="23" t="n">
        <v>95000</v>
      </c>
      <c r="J3119" s="20" t="inlineStr">
        <is>
          <t>EXCHANGE ROTN</t>
        </is>
      </c>
      <c r="K3119" s="20" t="inlineStr">
        <is>
          <t>Captive</t>
        </is>
      </c>
      <c r="L3119" s="20" t="inlineStr">
        <is>
          <t>PAUL CARS</t>
        </is>
      </c>
      <c r="M3119" s="23" t="n">
        <v>4237.29</v>
      </c>
      <c r="N3119" s="23" t="n">
        <v>5000</v>
      </c>
      <c r="O3119" s="24">
        <f>IF(AND(ISNUMBER(M3119), ISNUMBER(I3119), I3119&gt;0), M3119/I3119, "")</f>
        <v/>
      </c>
    </row>
    <row r="3120">
      <c r="A3120" s="19" t="inlineStr">
        <is>
          <t>FY27</t>
        </is>
      </c>
      <c r="B3120" s="19" t="inlineStr">
        <is>
          <t>Jul</t>
        </is>
      </c>
      <c r="C3120" s="19" t="inlineStr">
        <is>
          <t>TN</t>
        </is>
      </c>
      <c r="D3120" s="20" t="inlineStr">
        <is>
          <t>TN40T1113</t>
        </is>
      </c>
      <c r="E3120" s="20" t="inlineStr">
        <is>
          <t>FORD</t>
        </is>
      </c>
      <c r="F3120" s="20" t="inlineStr">
        <is>
          <t>Freestyle</t>
        </is>
      </c>
      <c r="G3120" s="21" t="n">
        <v>2019</v>
      </c>
      <c r="H3120" s="22" t="n">
        <v>126806</v>
      </c>
      <c r="I3120" s="23" t="n">
        <v>325000</v>
      </c>
      <c r="J3120" s="20" t="inlineStr">
        <is>
          <t>EXCHANGE ROTN</t>
        </is>
      </c>
      <c r="K3120" s="20" t="inlineStr">
        <is>
          <t>Captive</t>
        </is>
      </c>
      <c r="L3120" s="20" t="inlineStr">
        <is>
          <t>Ulavan Enterprises</t>
        </is>
      </c>
      <c r="M3120" s="23" t="n">
        <v>12711.86</v>
      </c>
      <c r="N3120" s="23" t="n">
        <v>15000</v>
      </c>
      <c r="O3120" s="24">
        <f>IF(AND(ISNUMBER(M3120), ISNUMBER(I3120), I3120&gt;0), M3120/I3120, "")</f>
        <v/>
      </c>
    </row>
    <row r="3121">
      <c r="A3121" s="19" t="inlineStr">
        <is>
          <t>FY27</t>
        </is>
      </c>
      <c r="B3121" s="19" t="inlineStr">
        <is>
          <t>Jul</t>
        </is>
      </c>
      <c r="C3121" s="19" t="inlineStr">
        <is>
          <t>TN</t>
        </is>
      </c>
      <c r="D3121" s="20" t="inlineStr">
        <is>
          <t>TN38CZ4891</t>
        </is>
      </c>
      <c r="E3121" s="20" t="inlineStr">
        <is>
          <t>NISSAN</t>
        </is>
      </c>
      <c r="F3121" s="20" t="inlineStr">
        <is>
          <t>Magnite</t>
        </is>
      </c>
      <c r="G3121" s="21" t="n">
        <v>2021</v>
      </c>
      <c r="H3121" s="22" t="n">
        <v>57874</v>
      </c>
      <c r="I3121" s="23" t="n">
        <v>450000</v>
      </c>
      <c r="J3121" s="20" t="inlineStr">
        <is>
          <t>EXCHANGE ROTN</t>
        </is>
      </c>
      <c r="K3121" s="20" t="inlineStr">
        <is>
          <t>Captive</t>
        </is>
      </c>
      <c r="L3121" s="20" t="inlineStr">
        <is>
          <t>GUGHAA CARS</t>
        </is>
      </c>
      <c r="M3121" s="23" t="n">
        <v>8474.58</v>
      </c>
      <c r="N3121" s="23" t="n">
        <v>10000</v>
      </c>
      <c r="O3121" s="24">
        <f>IF(AND(ISNUMBER(M3121), ISNUMBER(I3121), I3121&gt;0), M3121/I3121, "")</f>
        <v/>
      </c>
    </row>
    <row r="3122">
      <c r="A3122" s="19" t="inlineStr">
        <is>
          <t>FY27</t>
        </is>
      </c>
      <c r="B3122" s="19" t="inlineStr">
        <is>
          <t>Jul</t>
        </is>
      </c>
      <c r="C3122" s="19" t="inlineStr">
        <is>
          <t>TN</t>
        </is>
      </c>
      <c r="D3122" s="20" t="inlineStr">
        <is>
          <t>TN01BK3004</t>
        </is>
      </c>
      <c r="E3122" s="20" t="inlineStr">
        <is>
          <t>MARUTI</t>
        </is>
      </c>
      <c r="F3122" s="20" t="inlineStr">
        <is>
          <t>Swift</t>
        </is>
      </c>
      <c r="G3122" s="21" t="n">
        <v>2020</v>
      </c>
      <c r="H3122" s="22" t="n">
        <v>174231</v>
      </c>
      <c r="I3122" s="23" t="n">
        <v>315000</v>
      </c>
      <c r="J3122" s="20" t="inlineStr">
        <is>
          <t>EXCHANGE ROTN</t>
        </is>
      </c>
      <c r="K3122" s="20" t="inlineStr">
        <is>
          <t>Captive</t>
        </is>
      </c>
      <c r="L3122" s="20" t="inlineStr">
        <is>
          <t>SRI RAJA KANAPATHY CARS</t>
        </is>
      </c>
      <c r="M3122" s="23" t="n">
        <v>12711.86</v>
      </c>
      <c r="N3122" s="23" t="n">
        <v>15000</v>
      </c>
      <c r="O3122" s="24">
        <f>IF(AND(ISNUMBER(M3122), ISNUMBER(I3122), I3122&gt;0), M3122/I3122, "")</f>
        <v/>
      </c>
    </row>
    <row r="3123">
      <c r="A3123" s="19" t="inlineStr">
        <is>
          <t>FY27</t>
        </is>
      </c>
      <c r="B3123" s="19" t="inlineStr">
        <is>
          <t>Jul</t>
        </is>
      </c>
      <c r="C3123" s="19" t="inlineStr">
        <is>
          <t>TN</t>
        </is>
      </c>
      <c r="D3123" s="20" t="inlineStr">
        <is>
          <t>TN11W6932</t>
        </is>
      </c>
      <c r="E3123" s="20" t="inlineStr">
        <is>
          <t>TATA</t>
        </is>
      </c>
      <c r="F3123" s="20" t="inlineStr">
        <is>
          <t>Indica</t>
        </is>
      </c>
      <c r="G3123" s="21" t="n">
        <v>2017</v>
      </c>
      <c r="H3123" s="22" t="n">
        <v>103881</v>
      </c>
      <c r="I3123" s="23" t="n">
        <v>63000</v>
      </c>
      <c r="J3123" s="20" t="inlineStr">
        <is>
          <t>EXCHANGE ROTN</t>
        </is>
      </c>
      <c r="K3123" s="20" t="inlineStr">
        <is>
          <t>Captive</t>
        </is>
      </c>
      <c r="L3123" s="20" t="inlineStr">
        <is>
          <t>PAUL CARS</t>
        </is>
      </c>
      <c r="M3123" s="23" t="n">
        <v>4237.29</v>
      </c>
      <c r="N3123" s="23" t="n">
        <v>5000</v>
      </c>
      <c r="O3123" s="24">
        <f>IF(AND(ISNUMBER(M3123), ISNUMBER(I3123), I3123&gt;0), M3123/I3123, "")</f>
        <v/>
      </c>
    </row>
    <row r="3124">
      <c r="A3124" s="19" t="inlineStr">
        <is>
          <t>FY27</t>
        </is>
      </c>
      <c r="B3124" s="19" t="inlineStr">
        <is>
          <t>Jul</t>
        </is>
      </c>
      <c r="C3124" s="19" t="inlineStr">
        <is>
          <t>TN</t>
        </is>
      </c>
      <c r="D3124" s="20" t="inlineStr">
        <is>
          <t>TN28AH0123</t>
        </is>
      </c>
      <c r="E3124" s="20" t="inlineStr">
        <is>
          <t>HYUNDAI</t>
        </is>
      </c>
      <c r="F3124" s="20" t="inlineStr">
        <is>
          <t>Santro</t>
        </is>
      </c>
      <c r="G3124" s="21" t="n">
        <v>2010</v>
      </c>
      <c r="H3124" s="22" t="n">
        <v>124695</v>
      </c>
      <c r="I3124" s="23" t="n">
        <v>95000</v>
      </c>
      <c r="J3124" s="20" t="inlineStr">
        <is>
          <t>EXCHANGE ROTN</t>
        </is>
      </c>
      <c r="K3124" s="20" t="inlineStr">
        <is>
          <t>Captive</t>
        </is>
      </c>
      <c r="L3124" s="20" t="inlineStr">
        <is>
          <t>PAUL CARS</t>
        </is>
      </c>
      <c r="M3124" s="23" t="n">
        <v>4237.29</v>
      </c>
      <c r="N3124" s="23" t="n">
        <v>5000</v>
      </c>
      <c r="O3124" s="24">
        <f>IF(AND(ISNUMBER(M3124), ISNUMBER(I3124), I3124&gt;0), M3124/I3124, "")</f>
        <v/>
      </c>
    </row>
    <row r="3125">
      <c r="A3125" s="19" t="inlineStr">
        <is>
          <t>FY27</t>
        </is>
      </c>
      <c r="B3125" s="19" t="inlineStr">
        <is>
          <t>Jul</t>
        </is>
      </c>
      <c r="C3125" s="19" t="inlineStr">
        <is>
          <t>TN</t>
        </is>
      </c>
      <c r="D3125" s="20" t="inlineStr">
        <is>
          <t>TN05AP1696</t>
        </is>
      </c>
      <c r="E3125" s="20" t="inlineStr">
        <is>
          <t>FORD</t>
        </is>
      </c>
      <c r="F3125" s="20" t="inlineStr">
        <is>
          <t>Fiestaclassic</t>
        </is>
      </c>
      <c r="G3125" s="21" t="n">
        <v>2012</v>
      </c>
      <c r="H3125" s="22" t="n">
        <v>33867</v>
      </c>
      <c r="I3125" s="23" t="n">
        <v>98000</v>
      </c>
      <c r="J3125" s="20" t="inlineStr">
        <is>
          <t>PRODUCTIVITY ELEMENTS PRIVATE LIMITED</t>
        </is>
      </c>
      <c r="K3125" s="20" t="inlineStr">
        <is>
          <t>Non-Captive</t>
        </is>
      </c>
      <c r="L3125" s="20" t="inlineStr">
        <is>
          <t>PINE AUTOS</t>
        </is>
      </c>
      <c r="M3125" s="23" t="n">
        <v>4237.29</v>
      </c>
      <c r="N3125" s="23" t="n">
        <v>5000</v>
      </c>
      <c r="O3125" s="24">
        <f>IF(AND(ISNUMBER(M3125), ISNUMBER(I3125), I3125&gt;0), M3125/I3125, "")</f>
        <v/>
      </c>
    </row>
    <row r="3126">
      <c r="A3126" s="19" t="inlineStr">
        <is>
          <t>FY27</t>
        </is>
      </c>
      <c r="B3126" s="19" t="inlineStr">
        <is>
          <t>Jul</t>
        </is>
      </c>
      <c r="C3126" s="19" t="inlineStr">
        <is>
          <t>TN</t>
        </is>
      </c>
      <c r="D3126" s="20" t="inlineStr">
        <is>
          <t>TN02BY9015</t>
        </is>
      </c>
      <c r="E3126" s="20" t="inlineStr">
        <is>
          <t>MAHINDRA</t>
        </is>
      </c>
      <c r="F3126" s="20" t="inlineStr">
        <is>
          <t>Thar</t>
        </is>
      </c>
      <c r="G3126" s="21" t="n">
        <v>2020</v>
      </c>
      <c r="H3126" s="22" t="n">
        <v>36893</v>
      </c>
      <c r="I3126" s="23" t="n">
        <v>98000</v>
      </c>
      <c r="J3126" s="20" t="inlineStr">
        <is>
          <t>AUTOMOTIVE MANUFACTURES PRIVATE LIMITED</t>
        </is>
      </c>
      <c r="K3126" s="20" t="inlineStr">
        <is>
          <t>Non-Captive</t>
        </is>
      </c>
      <c r="L3126" s="20" t="inlineStr">
        <is>
          <t>Maruthi Industries</t>
        </is>
      </c>
      <c r="M3126" s="23" t="n">
        <v>4237.29</v>
      </c>
      <c r="N3126" s="23" t="n">
        <v>5000</v>
      </c>
      <c r="O3126" s="24">
        <f>IF(AND(ISNUMBER(M3126), ISNUMBER(I3126), I3126&gt;0), M3126/I3126, "")</f>
        <v/>
      </c>
    </row>
    <row r="3127">
      <c r="A3127" s="19" t="inlineStr">
        <is>
          <t>FY27</t>
        </is>
      </c>
      <c r="B3127" s="19" t="inlineStr">
        <is>
          <t>Jul</t>
        </is>
      </c>
      <c r="C3127" s="19" t="inlineStr">
        <is>
          <t>TN</t>
        </is>
      </c>
      <c r="D3127" s="20" t="inlineStr">
        <is>
          <t>TN20DC0772</t>
        </is>
      </c>
      <c r="E3127" s="20" t="inlineStr">
        <is>
          <t>MARUTI</t>
        </is>
      </c>
      <c r="F3127" s="20" t="inlineStr">
        <is>
          <t>Espresso</t>
        </is>
      </c>
      <c r="G3127" s="21" t="n">
        <v>2020</v>
      </c>
      <c r="H3127" s="22" t="n">
        <v>27187</v>
      </c>
      <c r="I3127" s="23" t="n">
        <v>320000</v>
      </c>
      <c r="J3127" s="20" t="inlineStr">
        <is>
          <t>CASTLE TRADERS Maruti</t>
        </is>
      </c>
      <c r="K3127" s="20" t="inlineStr">
        <is>
          <t>Non-Captive</t>
        </is>
      </c>
      <c r="L3127" s="20" t="inlineStr">
        <is>
          <t>AAA CARS</t>
        </is>
      </c>
      <c r="M3127" s="23" t="n">
        <v>6355.93</v>
      </c>
      <c r="N3127" s="23" t="n">
        <v>7500</v>
      </c>
      <c r="O3127" s="24">
        <f>IF(AND(ISNUMBER(M3127), ISNUMBER(I3127), I3127&gt;0), M3127/I3127, "")</f>
        <v/>
      </c>
    </row>
    <row r="3128">
      <c r="A3128" s="19" t="inlineStr">
        <is>
          <t>FY27</t>
        </is>
      </c>
      <c r="B3128" s="19" t="inlineStr">
        <is>
          <t>Jul</t>
        </is>
      </c>
      <c r="C3128" s="19" t="inlineStr">
        <is>
          <t>TN</t>
        </is>
      </c>
      <c r="D3128" s="20" t="inlineStr">
        <is>
          <t>TN14W4656</t>
        </is>
      </c>
      <c r="E3128" s="20" t="inlineStr">
        <is>
          <t>VOLKSWAGEN</t>
        </is>
      </c>
      <c r="F3128" s="20" t="inlineStr">
        <is>
          <t>Polo</t>
        </is>
      </c>
      <c r="G3128" s="21" t="n">
        <v>2020</v>
      </c>
      <c r="H3128" s="22" t="n">
        <v>47010</v>
      </c>
      <c r="I3128" s="23" t="n">
        <v>390000</v>
      </c>
      <c r="J3128" s="20" t="inlineStr">
        <is>
          <t>CASTLE TRADERS Maruti</t>
        </is>
      </c>
      <c r="K3128" s="20" t="inlineStr">
        <is>
          <t>Non-Captive</t>
        </is>
      </c>
      <c r="L3128" s="20" t="inlineStr">
        <is>
          <t>GRID 33</t>
        </is>
      </c>
      <c r="M3128" s="23" t="n">
        <v>6355.93</v>
      </c>
      <c r="N3128" s="23" t="n">
        <v>7500</v>
      </c>
      <c r="O3128" s="24">
        <f>IF(AND(ISNUMBER(M3128), ISNUMBER(I3128), I3128&gt;0), M3128/I3128, "")</f>
        <v/>
      </c>
    </row>
    <row r="3129">
      <c r="A3129" s="19" t="inlineStr">
        <is>
          <t>FY27</t>
        </is>
      </c>
      <c r="B3129" s="19" t="inlineStr">
        <is>
          <t>Jul</t>
        </is>
      </c>
      <c r="C3129" s="19" t="inlineStr">
        <is>
          <t>TN</t>
        </is>
      </c>
      <c r="D3129" s="20" t="inlineStr">
        <is>
          <t>TN10BK8979</t>
        </is>
      </c>
      <c r="E3129" s="20" t="inlineStr">
        <is>
          <t>MARUTI</t>
        </is>
      </c>
      <c r="F3129" s="20" t="inlineStr">
        <is>
          <t>Baleno</t>
        </is>
      </c>
      <c r="G3129" s="21" t="n">
        <v>2020</v>
      </c>
      <c r="H3129" s="22" t="n">
        <v>120496</v>
      </c>
      <c r="I3129" s="23" t="n">
        <v>93000</v>
      </c>
      <c r="J3129" s="20" t="inlineStr">
        <is>
          <t>VISHNU CARS PRIVATE LIMITED</t>
        </is>
      </c>
      <c r="K3129" s="20" t="inlineStr">
        <is>
          <t>Non-Captive</t>
        </is>
      </c>
      <c r="L3129" s="20" t="inlineStr">
        <is>
          <t>Senthil Cars</t>
        </is>
      </c>
      <c r="M3129" s="23" t="n">
        <v>4237.29</v>
      </c>
      <c r="N3129" s="23" t="n">
        <v>5000</v>
      </c>
      <c r="O3129" s="24">
        <f>IF(AND(ISNUMBER(M3129), ISNUMBER(I3129), I3129&gt;0), M3129/I3129, "")</f>
        <v/>
      </c>
    </row>
    <row r="3130">
      <c r="A3130" s="19" t="inlineStr">
        <is>
          <t>FY27</t>
        </is>
      </c>
      <c r="B3130" s="19" t="inlineStr">
        <is>
          <t>Jul</t>
        </is>
      </c>
      <c r="C3130" s="19" t="inlineStr">
        <is>
          <t>TN</t>
        </is>
      </c>
      <c r="D3130" s="20" t="inlineStr">
        <is>
          <t>TN07BF1839</t>
        </is>
      </c>
      <c r="E3130" s="20" t="inlineStr">
        <is>
          <t>FIAT</t>
        </is>
      </c>
      <c r="F3130" s="20" t="inlineStr">
        <is>
          <t>Punto</t>
        </is>
      </c>
      <c r="G3130" s="21" t="n">
        <v>2010</v>
      </c>
      <c r="H3130" s="22" t="n">
        <v>154000</v>
      </c>
      <c r="I3130" s="23" t="n">
        <v>95000</v>
      </c>
      <c r="J3130" s="20" t="inlineStr">
        <is>
          <t>VISHNU CARS PRIVATE LIMITED</t>
        </is>
      </c>
      <c r="K3130" s="20" t="inlineStr">
        <is>
          <t>Non-Captive</t>
        </is>
      </c>
      <c r="L3130" s="20" t="inlineStr">
        <is>
          <t>LIAKATHCARS</t>
        </is>
      </c>
      <c r="M3130" s="23" t="n">
        <v>4237.29</v>
      </c>
      <c r="N3130" s="23" t="n">
        <v>5000</v>
      </c>
      <c r="O3130" s="24">
        <f>IF(AND(ISNUMBER(M3130), ISNUMBER(I3130), I3130&gt;0), M3130/I3130, "")</f>
        <v/>
      </c>
    </row>
    <row r="3131">
      <c r="A3131" s="19" t="inlineStr">
        <is>
          <t>FY27</t>
        </is>
      </c>
      <c r="B3131" s="19" t="inlineStr">
        <is>
          <t>Jul</t>
        </is>
      </c>
      <c r="C3131" s="19" t="inlineStr">
        <is>
          <t>TN</t>
        </is>
      </c>
      <c r="D3131" s="20" t="inlineStr">
        <is>
          <t>TN07BV4882</t>
        </is>
      </c>
      <c r="E3131" s="20" t="inlineStr">
        <is>
          <t>MARUTI</t>
        </is>
      </c>
      <c r="F3131" s="20" t="inlineStr">
        <is>
          <t>Zen Estilo</t>
        </is>
      </c>
      <c r="G3131" s="21" t="n">
        <v>2013</v>
      </c>
      <c r="H3131" s="22" t="n">
        <v>57973</v>
      </c>
      <c r="I3131" s="23" t="n">
        <v>97000</v>
      </c>
      <c r="J3131" s="20" t="inlineStr">
        <is>
          <t>VISHNU CARS PRIVATE LIMITED</t>
        </is>
      </c>
      <c r="K3131" s="20" t="inlineStr">
        <is>
          <t>Non-Captive</t>
        </is>
      </c>
      <c r="L3131" s="20" t="inlineStr">
        <is>
          <t>LIAKATHCARS</t>
        </is>
      </c>
      <c r="M3131" s="23" t="n">
        <v>4237.29</v>
      </c>
      <c r="N3131" s="23" t="n">
        <v>5000</v>
      </c>
      <c r="O3131" s="24">
        <f>IF(AND(ISNUMBER(M3131), ISNUMBER(I3131), I3131&gt;0), M3131/I3131, "")</f>
        <v/>
      </c>
    </row>
    <row r="3132">
      <c r="A3132" s="19" t="inlineStr">
        <is>
          <t>FY27</t>
        </is>
      </c>
      <c r="B3132" s="19" t="inlineStr">
        <is>
          <t>Jul</t>
        </is>
      </c>
      <c r="C3132" s="19" t="inlineStr">
        <is>
          <t>TN</t>
        </is>
      </c>
      <c r="D3132" s="20" t="inlineStr">
        <is>
          <t>TN22CV3529</t>
        </is>
      </c>
      <c r="E3132" s="20" t="inlineStr">
        <is>
          <t>FORD</t>
        </is>
      </c>
      <c r="F3132" s="20" t="inlineStr">
        <is>
          <t>Figo</t>
        </is>
      </c>
      <c r="G3132" s="21" t="n">
        <v>2011</v>
      </c>
      <c r="H3132" s="22" t="n">
        <v>56006</v>
      </c>
      <c r="I3132" s="23" t="n">
        <v>89000</v>
      </c>
      <c r="J3132" s="20" t="inlineStr">
        <is>
          <t>VISHNU CARS PRIVATE LIMITED</t>
        </is>
      </c>
      <c r="K3132" s="20" t="inlineStr">
        <is>
          <t>Non-Captive</t>
        </is>
      </c>
      <c r="L3132" s="20" t="inlineStr">
        <is>
          <t>LIAKATHCARS</t>
        </is>
      </c>
      <c r="M3132" s="23" t="n">
        <v>4237.29</v>
      </c>
      <c r="N3132" s="23" t="n">
        <v>5000</v>
      </c>
      <c r="O3132" s="24">
        <f>IF(AND(ISNUMBER(M3132), ISNUMBER(I3132), I3132&gt;0), M3132/I3132, "")</f>
        <v/>
      </c>
    </row>
    <row r="3133">
      <c r="A3133" s="19" t="inlineStr">
        <is>
          <t>FY27</t>
        </is>
      </c>
      <c r="B3133" s="19" t="inlineStr">
        <is>
          <t>Jul</t>
        </is>
      </c>
      <c r="C3133" s="19" t="inlineStr">
        <is>
          <t>TN</t>
        </is>
      </c>
      <c r="D3133" s="20" t="inlineStr">
        <is>
          <t>TN03D3295</t>
        </is>
      </c>
      <c r="E3133" s="20" t="inlineStr">
        <is>
          <t>FIAT</t>
        </is>
      </c>
      <c r="F3133" s="20" t="inlineStr">
        <is>
          <t>Linea</t>
        </is>
      </c>
      <c r="G3133" s="21" t="n">
        <v>2010</v>
      </c>
      <c r="H3133" s="22" t="n">
        <v>135697</v>
      </c>
      <c r="I3133" s="23" t="n">
        <v>96000</v>
      </c>
      <c r="J3133" s="20" t="inlineStr">
        <is>
          <t>VISHNU CARS PRIVATE LIMITED</t>
        </is>
      </c>
      <c r="K3133" s="20" t="inlineStr">
        <is>
          <t>Non-Captive</t>
        </is>
      </c>
      <c r="L3133" s="20" t="inlineStr">
        <is>
          <t>LIAKATHCARS</t>
        </is>
      </c>
      <c r="M3133" s="23" t="n">
        <v>4237.29</v>
      </c>
      <c r="N3133" s="23" t="n">
        <v>5000</v>
      </c>
      <c r="O3133" s="24">
        <f>IF(AND(ISNUMBER(M3133), ISNUMBER(I3133), I3133&gt;0), M3133/I3133, "")</f>
        <v/>
      </c>
    </row>
    <row r="3134">
      <c r="A3134" s="19" t="inlineStr">
        <is>
          <t>FY27</t>
        </is>
      </c>
      <c r="B3134" s="19" t="inlineStr">
        <is>
          <t>Jul</t>
        </is>
      </c>
      <c r="C3134" s="19" t="inlineStr">
        <is>
          <t>TN</t>
        </is>
      </c>
      <c r="D3134" s="20" t="inlineStr">
        <is>
          <t>TN10W4297</t>
        </is>
      </c>
      <c r="E3134" s="20" t="inlineStr">
        <is>
          <t>MARUTI</t>
        </is>
      </c>
      <c r="F3134" s="20" t="inlineStr">
        <is>
          <t>Wagonr</t>
        </is>
      </c>
      <c r="G3134" s="21" t="n">
        <v>2009</v>
      </c>
      <c r="H3134" s="22" t="n">
        <v>133132</v>
      </c>
      <c r="I3134" s="23" t="n">
        <v>98000</v>
      </c>
      <c r="J3134" s="20" t="inlineStr">
        <is>
          <t>AIE CARS PRIVATE LIMITED</t>
        </is>
      </c>
      <c r="K3134" s="20" t="inlineStr">
        <is>
          <t>Non-Captive</t>
        </is>
      </c>
      <c r="L3134" s="20" t="inlineStr">
        <is>
          <t>LIAKATHCARS</t>
        </is>
      </c>
      <c r="M3134" s="23" t="n">
        <v>4237.29</v>
      </c>
      <c r="N3134" s="23" t="n">
        <v>5000</v>
      </c>
      <c r="O3134" s="24">
        <f>IF(AND(ISNUMBER(M3134), ISNUMBER(I3134), I3134&gt;0), M3134/I3134, "")</f>
        <v/>
      </c>
    </row>
    <row r="3135">
      <c r="A3135" s="19" t="inlineStr">
        <is>
          <t>FY27</t>
        </is>
      </c>
      <c r="B3135" s="19" t="inlineStr">
        <is>
          <t>Jul</t>
        </is>
      </c>
      <c r="C3135" s="19" t="inlineStr">
        <is>
          <t>TN</t>
        </is>
      </c>
      <c r="D3135" s="20" t="inlineStr">
        <is>
          <t>TN01AP8649</t>
        </is>
      </c>
      <c r="E3135" s="20" t="inlineStr">
        <is>
          <t>MARUTI</t>
        </is>
      </c>
      <c r="F3135" s="20" t="inlineStr">
        <is>
          <t>Astar</t>
        </is>
      </c>
      <c r="G3135" s="21" t="n">
        <v>2010</v>
      </c>
      <c r="H3135" s="22" t="n">
        <v>25234</v>
      </c>
      <c r="I3135" s="23" t="n">
        <v>99000</v>
      </c>
      <c r="J3135" s="20" t="inlineStr">
        <is>
          <t>AIE CARS PRIVATE LIMITED</t>
        </is>
      </c>
      <c r="K3135" s="20" t="inlineStr">
        <is>
          <t>Non-Captive</t>
        </is>
      </c>
      <c r="L3135" s="20" t="inlineStr">
        <is>
          <t>LIAKATHCARS</t>
        </is>
      </c>
      <c r="M3135" s="23" t="n">
        <v>4237.29</v>
      </c>
      <c r="N3135" s="23" t="n">
        <v>5000</v>
      </c>
      <c r="O3135" s="24">
        <f>IF(AND(ISNUMBER(M3135), ISNUMBER(I3135), I3135&gt;0), M3135/I3135, "")</f>
        <v/>
      </c>
    </row>
    <row r="3136">
      <c r="A3136" s="19" t="inlineStr">
        <is>
          <t>FY27</t>
        </is>
      </c>
      <c r="B3136" s="19" t="inlineStr">
        <is>
          <t>Jul</t>
        </is>
      </c>
      <c r="C3136" s="19" t="inlineStr">
        <is>
          <t>TN</t>
        </is>
      </c>
      <c r="D3136" s="20" t="inlineStr">
        <is>
          <t>TN07BM7330</t>
        </is>
      </c>
      <c r="E3136" s="20" t="inlineStr">
        <is>
          <t>HYUNDAI</t>
        </is>
      </c>
      <c r="F3136" s="20" t="inlineStr">
        <is>
          <t>I10</t>
        </is>
      </c>
      <c r="G3136" s="21" t="n">
        <v>2011</v>
      </c>
      <c r="H3136" s="22" t="n">
        <v>26674</v>
      </c>
      <c r="I3136" s="23" t="n">
        <v>87000</v>
      </c>
      <c r="J3136" s="20" t="inlineStr">
        <is>
          <t>AIE CARS PRIVATE LIMITED</t>
        </is>
      </c>
      <c r="K3136" s="20" t="inlineStr">
        <is>
          <t>Non-Captive</t>
        </is>
      </c>
      <c r="L3136" s="20" t="inlineStr">
        <is>
          <t>LIAKATHCARS</t>
        </is>
      </c>
      <c r="M3136" s="23" t="n">
        <v>4237.29</v>
      </c>
      <c r="N3136" s="23" t="n">
        <v>5000</v>
      </c>
      <c r="O3136" s="24">
        <f>IF(AND(ISNUMBER(M3136), ISNUMBER(I3136), I3136&gt;0), M3136/I3136, "")</f>
        <v/>
      </c>
    </row>
    <row r="3137">
      <c r="A3137" s="19" t="inlineStr">
        <is>
          <t>FY27</t>
        </is>
      </c>
      <c r="B3137" s="19" t="inlineStr">
        <is>
          <t>Jul</t>
        </is>
      </c>
      <c r="C3137" s="19" t="inlineStr">
        <is>
          <t>TN</t>
        </is>
      </c>
      <c r="D3137" s="20" t="inlineStr">
        <is>
          <t>TN22BM1948</t>
        </is>
      </c>
      <c r="E3137" s="20" t="inlineStr">
        <is>
          <t>CHEVROLET</t>
        </is>
      </c>
      <c r="F3137" s="20" t="inlineStr">
        <is>
          <t>Beat</t>
        </is>
      </c>
      <c r="G3137" s="21" t="n">
        <v>2010</v>
      </c>
      <c r="H3137" s="22" t="n">
        <v>91825</v>
      </c>
      <c r="I3137" s="23" t="n">
        <v>97000</v>
      </c>
      <c r="J3137" s="20" t="inlineStr">
        <is>
          <t>PRODUCTIVITY ELEMENTS PRIVATE LIMITED</t>
        </is>
      </c>
      <c r="K3137" s="20" t="inlineStr">
        <is>
          <t>Non-Captive</t>
        </is>
      </c>
      <c r="L3137" s="20" t="inlineStr">
        <is>
          <t>GRID 33</t>
        </is>
      </c>
      <c r="M3137" s="23" t="n">
        <v>4237.29</v>
      </c>
      <c r="N3137" s="23" t="n">
        <v>5000</v>
      </c>
      <c r="O3137" s="24">
        <f>IF(AND(ISNUMBER(M3137), ISNUMBER(I3137), I3137&gt;0), M3137/I3137, "")</f>
        <v/>
      </c>
    </row>
    <row r="3138">
      <c r="A3138" s="19" t="inlineStr">
        <is>
          <t>FY27</t>
        </is>
      </c>
      <c r="B3138" s="19" t="inlineStr">
        <is>
          <t>Jul</t>
        </is>
      </c>
      <c r="C3138" s="19" t="inlineStr">
        <is>
          <t>TN</t>
        </is>
      </c>
      <c r="D3138" s="20" t="inlineStr">
        <is>
          <t>TN07BV5775</t>
        </is>
      </c>
      <c r="E3138" s="20" t="inlineStr">
        <is>
          <t>RENAULT</t>
        </is>
      </c>
      <c r="F3138" s="20" t="inlineStr">
        <is>
          <t>Scala</t>
        </is>
      </c>
      <c r="G3138" s="21" t="n">
        <v>2013</v>
      </c>
      <c r="H3138" s="22" t="n">
        <v>89846</v>
      </c>
      <c r="I3138" s="23" t="n">
        <v>93000</v>
      </c>
      <c r="J3138" s="20" t="inlineStr">
        <is>
          <t>PRODUCTIVITY ELEMENTS PRIVATE LIMITED</t>
        </is>
      </c>
      <c r="K3138" s="20" t="inlineStr">
        <is>
          <t>Non-Captive</t>
        </is>
      </c>
      <c r="L3138" s="20" t="inlineStr">
        <is>
          <t>GRID 33</t>
        </is>
      </c>
      <c r="M3138" s="23" t="n">
        <v>4237.29</v>
      </c>
      <c r="N3138" s="23" t="n">
        <v>5000</v>
      </c>
      <c r="O3138" s="24">
        <f>IF(AND(ISNUMBER(M3138), ISNUMBER(I3138), I3138&gt;0), M3138/I3138, "")</f>
        <v/>
      </c>
    </row>
    <row r="3139">
      <c r="A3139" s="19" t="inlineStr">
        <is>
          <t>FY27</t>
        </is>
      </c>
      <c r="B3139" s="19" t="inlineStr">
        <is>
          <t>Jul</t>
        </is>
      </c>
      <c r="C3139" s="19" t="inlineStr">
        <is>
          <t>TN</t>
        </is>
      </c>
      <c r="D3139" s="20" t="inlineStr">
        <is>
          <t>TN42P1775</t>
        </is>
      </c>
      <c r="E3139" s="20" t="inlineStr">
        <is>
          <t>MARUTI</t>
        </is>
      </c>
      <c r="F3139" s="20" t="inlineStr">
        <is>
          <t>Alto K10</t>
        </is>
      </c>
      <c r="G3139" s="21" t="n">
        <v>2015</v>
      </c>
      <c r="H3139" s="22" t="n">
        <v>161025</v>
      </c>
      <c r="I3139" s="23" t="n">
        <v>195000</v>
      </c>
      <c r="J3139" s="20" t="inlineStr">
        <is>
          <t>EXCHANGE ROTN</t>
        </is>
      </c>
      <c r="K3139" s="20" t="inlineStr">
        <is>
          <t>Captive</t>
        </is>
      </c>
      <c r="L3139" s="20" t="inlineStr">
        <is>
          <t>MR Cars</t>
        </is>
      </c>
      <c r="M3139" s="23" t="n">
        <v>8474.58</v>
      </c>
      <c r="N3139" s="23" t="n">
        <v>10000</v>
      </c>
      <c r="O3139" s="24">
        <f>IF(AND(ISNUMBER(M3139), ISNUMBER(I3139), I3139&gt;0), M3139/I3139, "")</f>
        <v/>
      </c>
    </row>
    <row r="3140">
      <c r="A3140" s="19" t="inlineStr">
        <is>
          <t>FY27</t>
        </is>
      </c>
      <c r="B3140" s="19" t="inlineStr">
        <is>
          <t>Jul</t>
        </is>
      </c>
      <c r="C3140" s="19" t="inlineStr">
        <is>
          <t>TN</t>
        </is>
      </c>
      <c r="D3140" s="20" t="inlineStr">
        <is>
          <t>TN42E3072</t>
        </is>
      </c>
      <c r="E3140" s="20" t="inlineStr">
        <is>
          <t>TATA</t>
        </is>
      </c>
      <c r="F3140" s="20" t="inlineStr">
        <is>
          <t>Indica</t>
        </is>
      </c>
      <c r="G3140" s="21" t="n">
        <v>2011</v>
      </c>
      <c r="H3140" s="22" t="n">
        <v>137665</v>
      </c>
      <c r="I3140" s="23" t="n">
        <v>155000</v>
      </c>
      <c r="J3140" s="20" t="inlineStr">
        <is>
          <t>EXCHANGE ROTN</t>
        </is>
      </c>
      <c r="K3140" s="20" t="inlineStr">
        <is>
          <t>Captive</t>
        </is>
      </c>
      <c r="L3140" s="20" t="inlineStr">
        <is>
          <t>MR Cars</t>
        </is>
      </c>
      <c r="M3140" s="23" t="n">
        <v>8474.58</v>
      </c>
      <c r="N3140" s="23" t="n">
        <v>10000</v>
      </c>
      <c r="O3140" s="24">
        <f>IF(AND(ISNUMBER(M3140), ISNUMBER(I3140), I3140&gt;0), M3140/I3140, "")</f>
        <v/>
      </c>
    </row>
    <row r="3141">
      <c r="A3141" s="19" t="inlineStr">
        <is>
          <t>FY27</t>
        </is>
      </c>
      <c r="B3141" s="19" t="inlineStr">
        <is>
          <t>Jul</t>
        </is>
      </c>
      <c r="C3141" s="19" t="inlineStr">
        <is>
          <t>TN</t>
        </is>
      </c>
      <c r="D3141" s="20" t="inlineStr">
        <is>
          <t>TN11F0925</t>
        </is>
      </c>
      <c r="E3141" s="20" t="inlineStr">
        <is>
          <t>FORD</t>
        </is>
      </c>
      <c r="F3141" s="20" t="inlineStr">
        <is>
          <t>Figo</t>
        </is>
      </c>
      <c r="G3141" s="21" t="n">
        <v>2013</v>
      </c>
      <c r="H3141" s="22" t="n">
        <v>233564</v>
      </c>
      <c r="I3141" s="23" t="n">
        <v>95000</v>
      </c>
      <c r="J3141" s="20" t="inlineStr">
        <is>
          <t>EXCHANGE ROTN</t>
        </is>
      </c>
      <c r="K3141" s="20" t="inlineStr">
        <is>
          <t>Captive</t>
        </is>
      </c>
      <c r="L3141" s="20" t="inlineStr">
        <is>
          <t>VIJAY CARS ERODE</t>
        </is>
      </c>
      <c r="M3141" s="23" t="n">
        <v>4237.29</v>
      </c>
      <c r="N3141" s="23" t="n">
        <v>5000</v>
      </c>
      <c r="O3141" s="24">
        <f>IF(AND(ISNUMBER(M3141), ISNUMBER(I3141), I3141&gt;0), M3141/I3141, "")</f>
        <v/>
      </c>
    </row>
    <row r="3142">
      <c r="A3142" s="19" t="inlineStr">
        <is>
          <t>FY27</t>
        </is>
      </c>
      <c r="B3142" s="19" t="inlineStr">
        <is>
          <t>Jul</t>
        </is>
      </c>
      <c r="C3142" s="19" t="inlineStr">
        <is>
          <t>TN</t>
        </is>
      </c>
      <c r="D3142" s="20" t="inlineStr">
        <is>
          <t>TN63AV8175</t>
        </is>
      </c>
      <c r="E3142" s="20" t="inlineStr">
        <is>
          <t>HYUNDAI</t>
        </is>
      </c>
      <c r="F3142" s="20" t="inlineStr">
        <is>
          <t>Eon</t>
        </is>
      </c>
      <c r="G3142" s="21" t="n">
        <v>2014</v>
      </c>
      <c r="H3142" s="22" t="n">
        <v>143173</v>
      </c>
      <c r="I3142" s="23" t="n">
        <v>87000</v>
      </c>
      <c r="J3142" s="20" t="inlineStr">
        <is>
          <t>ABT ROTN</t>
        </is>
      </c>
      <c r="K3142" s="20" t="inlineStr">
        <is>
          <t>Non-Captive</t>
        </is>
      </c>
      <c r="L3142" s="20" t="inlineStr">
        <is>
          <t>SRI VIGNESH PRE OWNED CARS</t>
        </is>
      </c>
      <c r="M3142" s="23" t="n">
        <v>4237.29</v>
      </c>
      <c r="N3142" s="23" t="n">
        <v>5000</v>
      </c>
      <c r="O3142" s="24">
        <f>IF(AND(ISNUMBER(M3142), ISNUMBER(I3142), I3142&gt;0), M3142/I3142, "")</f>
        <v/>
      </c>
    </row>
    <row r="3143">
      <c r="A3143" s="19" t="inlineStr">
        <is>
          <t>FY27</t>
        </is>
      </c>
      <c r="B3143" s="19" t="inlineStr">
        <is>
          <t>Jul</t>
        </is>
      </c>
      <c r="C3143" s="19" t="inlineStr">
        <is>
          <t>TN</t>
        </is>
      </c>
      <c r="D3143" s="20" t="inlineStr">
        <is>
          <t>TN18W7291</t>
        </is>
      </c>
      <c r="E3143" s="20" t="inlineStr">
        <is>
          <t>FORD</t>
        </is>
      </c>
      <c r="F3143" s="20" t="inlineStr">
        <is>
          <t>Figo</t>
        </is>
      </c>
      <c r="G3143" s="21" t="n">
        <v>2012</v>
      </c>
      <c r="H3143" s="22" t="n">
        <v>150596</v>
      </c>
      <c r="I3143" s="23" t="n">
        <v>90000</v>
      </c>
      <c r="J3143" s="20" t="inlineStr">
        <is>
          <t>ABT ROTN</t>
        </is>
      </c>
      <c r="K3143" s="20" t="inlineStr">
        <is>
          <t>Non-Captive</t>
        </is>
      </c>
      <c r="L3143" s="20" t="inlineStr">
        <is>
          <t>SRI VIGNESH PRE OWNED CARS</t>
        </is>
      </c>
      <c r="M3143" s="23" t="n">
        <v>4237.29</v>
      </c>
      <c r="N3143" s="23" t="n">
        <v>5000</v>
      </c>
      <c r="O3143" s="24">
        <f>IF(AND(ISNUMBER(M3143), ISNUMBER(I3143), I3143&gt;0), M3143/I3143, "")</f>
        <v/>
      </c>
    </row>
    <row r="3144">
      <c r="A3144" s="19" t="inlineStr">
        <is>
          <t>FY27</t>
        </is>
      </c>
      <c r="B3144" s="19" t="inlineStr">
        <is>
          <t>Jul</t>
        </is>
      </c>
      <c r="C3144" s="19" t="inlineStr">
        <is>
          <t>TN</t>
        </is>
      </c>
      <c r="D3144" s="20" t="inlineStr">
        <is>
          <t>TN41AE6068</t>
        </is>
      </c>
      <c r="E3144" s="20" t="inlineStr">
        <is>
          <t>MARUTI</t>
        </is>
      </c>
      <c r="F3144" s="20" t="inlineStr">
        <is>
          <t>Alto</t>
        </is>
      </c>
      <c r="G3144" s="21" t="n">
        <v>2012</v>
      </c>
      <c r="H3144" s="22" t="n">
        <v>127612</v>
      </c>
      <c r="I3144" s="23" t="n">
        <v>76000</v>
      </c>
      <c r="J3144" s="20" t="inlineStr">
        <is>
          <t>ABT ROTN</t>
        </is>
      </c>
      <c r="K3144" s="20" t="inlineStr">
        <is>
          <t>Non-Captive</t>
        </is>
      </c>
      <c r="L3144" s="20" t="inlineStr">
        <is>
          <t>SRI VIGNESH PRE OWNED CARS</t>
        </is>
      </c>
      <c r="M3144" s="23" t="n">
        <v>4237.29</v>
      </c>
      <c r="N3144" s="23" t="n">
        <v>5000</v>
      </c>
      <c r="O3144" s="24">
        <f>IF(AND(ISNUMBER(M3144), ISNUMBER(I3144), I3144&gt;0), M3144/I3144, "")</f>
        <v/>
      </c>
    </row>
    <row r="3145">
      <c r="A3145" s="19" t="inlineStr">
        <is>
          <t>FY27</t>
        </is>
      </c>
      <c r="B3145" s="19" t="inlineStr">
        <is>
          <t>Jul</t>
        </is>
      </c>
      <c r="C3145" s="19" t="inlineStr">
        <is>
          <t>TN</t>
        </is>
      </c>
      <c r="D3145" s="20" t="inlineStr">
        <is>
          <t>TN64L7644</t>
        </is>
      </c>
      <c r="E3145" s="20" t="inlineStr">
        <is>
          <t>HONDA</t>
        </is>
      </c>
      <c r="F3145" s="20" t="inlineStr">
        <is>
          <t>Brio</t>
        </is>
      </c>
      <c r="G3145" s="21" t="n">
        <v>2015</v>
      </c>
      <c r="H3145" s="22" t="n">
        <v>17919</v>
      </c>
      <c r="I3145" s="23" t="n">
        <v>270000</v>
      </c>
      <c r="J3145" s="20" t="inlineStr">
        <is>
          <t>EXCHANGE ROTN</t>
        </is>
      </c>
      <c r="K3145" s="20" t="inlineStr">
        <is>
          <t>Captive</t>
        </is>
      </c>
      <c r="L3145" s="20" t="inlineStr">
        <is>
          <t>PURUSOTHAMAN J CARS</t>
        </is>
      </c>
      <c r="M3145" s="23" t="n">
        <v>8474.58</v>
      </c>
      <c r="N3145" s="23" t="n">
        <v>10000</v>
      </c>
      <c r="O3145" s="24">
        <f>IF(AND(ISNUMBER(M3145), ISNUMBER(I3145), I3145&gt;0), M3145/I3145, "")</f>
        <v/>
      </c>
    </row>
    <row r="3146">
      <c r="A3146" s="19" t="inlineStr">
        <is>
          <t>FY27</t>
        </is>
      </c>
      <c r="B3146" s="19" t="inlineStr">
        <is>
          <t>Jul</t>
        </is>
      </c>
      <c r="C3146" s="19" t="inlineStr">
        <is>
          <t>TN</t>
        </is>
      </c>
      <c r="D3146" s="20" t="inlineStr">
        <is>
          <t>TN60AB6859</t>
        </is>
      </c>
      <c r="E3146" s="20" t="inlineStr">
        <is>
          <t>HONDA</t>
        </is>
      </c>
      <c r="F3146" s="20" t="inlineStr">
        <is>
          <t>City</t>
        </is>
      </c>
      <c r="G3146" s="21" t="n">
        <v>2017</v>
      </c>
      <c r="H3146" s="22" t="n">
        <v>110791</v>
      </c>
      <c r="I3146" s="23" t="n">
        <v>515000</v>
      </c>
      <c r="J3146" s="20" t="inlineStr">
        <is>
          <t>EXCHANGE ROTN</t>
        </is>
      </c>
      <c r="K3146" s="20" t="inlineStr">
        <is>
          <t>Captive</t>
        </is>
      </c>
      <c r="L3146" s="20" t="inlineStr">
        <is>
          <t>READY TO RIDE CARS</t>
        </is>
      </c>
      <c r="M3146" s="23" t="n">
        <v>16949.15</v>
      </c>
      <c r="N3146" s="23" t="n">
        <v>20000</v>
      </c>
      <c r="O3146" s="24">
        <f>IF(AND(ISNUMBER(M3146), ISNUMBER(I3146), I3146&gt;0), M3146/I3146, "")</f>
        <v/>
      </c>
    </row>
    <row r="3147">
      <c r="A3147" s="19" t="inlineStr">
        <is>
          <t>FY27</t>
        </is>
      </c>
      <c r="B3147" s="19" t="inlineStr">
        <is>
          <t>Jul</t>
        </is>
      </c>
      <c r="C3147" s="19" t="inlineStr">
        <is>
          <t>TN</t>
        </is>
      </c>
      <c r="D3147" s="20" t="inlineStr">
        <is>
          <t>TN02AQ7889</t>
        </is>
      </c>
      <c r="E3147" s="20" t="inlineStr">
        <is>
          <t>SKODA</t>
        </is>
      </c>
      <c r="F3147" s="20" t="inlineStr">
        <is>
          <t>Fabia</t>
        </is>
      </c>
      <c r="G3147" s="21" t="n">
        <v>2011</v>
      </c>
      <c r="H3147" s="22" t="n">
        <v>115995</v>
      </c>
      <c r="I3147" s="23" t="n">
        <v>60000</v>
      </c>
      <c r="J3147" s="20" t="inlineStr">
        <is>
          <t>EXCHANGE ROTN</t>
        </is>
      </c>
      <c r="K3147" s="20" t="inlineStr">
        <is>
          <t>Captive</t>
        </is>
      </c>
      <c r="L3147" s="20" t="inlineStr">
        <is>
          <t>AYYAPPA CARS</t>
        </is>
      </c>
      <c r="M3147" s="23" t="n">
        <v>4237.29</v>
      </c>
      <c r="N3147" s="23" t="n">
        <v>5000</v>
      </c>
      <c r="O3147" s="24">
        <f>IF(AND(ISNUMBER(M3147), ISNUMBER(I3147), I3147&gt;0), M3147/I3147, "")</f>
        <v/>
      </c>
    </row>
    <row r="3148">
      <c r="A3148" s="19" t="inlineStr">
        <is>
          <t>FY27</t>
        </is>
      </c>
      <c r="B3148" s="19" t="inlineStr">
        <is>
          <t>Jul</t>
        </is>
      </c>
      <c r="C3148" s="19" t="inlineStr">
        <is>
          <t>TN</t>
        </is>
      </c>
      <c r="D3148" s="20" t="inlineStr">
        <is>
          <t>TN69T0123</t>
        </is>
      </c>
      <c r="E3148" s="20" t="inlineStr">
        <is>
          <t>MARUTI</t>
        </is>
      </c>
      <c r="F3148" s="20" t="inlineStr">
        <is>
          <t>Alto</t>
        </is>
      </c>
      <c r="G3148" s="21" t="n">
        <v>2008</v>
      </c>
      <c r="H3148" s="22" t="n">
        <v>141215</v>
      </c>
      <c r="I3148" s="23" t="n">
        <v>60000</v>
      </c>
      <c r="J3148" s="20" t="inlineStr">
        <is>
          <t>PURUSOTHAMAN J CARS</t>
        </is>
      </c>
      <c r="K3148" s="20" t="inlineStr">
        <is>
          <t>Non-Captive</t>
        </is>
      </c>
      <c r="L3148" s="20" t="inlineStr">
        <is>
          <t>DINDIGUL VALUE CAR</t>
        </is>
      </c>
      <c r="M3148" s="23" t="n">
        <v>4237.29</v>
      </c>
      <c r="N3148" s="23" t="n">
        <v>5000</v>
      </c>
      <c r="O3148" s="24">
        <f>IF(AND(ISNUMBER(M3148), ISNUMBER(I3148), I3148&gt;0), M3148/I3148, "")</f>
        <v/>
      </c>
    </row>
    <row r="3149">
      <c r="A3149" s="19" t="inlineStr">
        <is>
          <t>FY27</t>
        </is>
      </c>
      <c r="B3149" s="19" t="inlineStr">
        <is>
          <t>Jul</t>
        </is>
      </c>
      <c r="C3149" s="19" t="inlineStr">
        <is>
          <t>TN</t>
        </is>
      </c>
      <c r="D3149" s="20" t="inlineStr">
        <is>
          <t>TN63L7047</t>
        </is>
      </c>
      <c r="E3149" s="20" t="inlineStr">
        <is>
          <t>MARUTI</t>
        </is>
      </c>
      <c r="F3149" s="20" t="inlineStr">
        <is>
          <t>Omni</t>
        </is>
      </c>
      <c r="G3149" s="21" t="n">
        <v>2010</v>
      </c>
      <c r="H3149" s="22" t="n">
        <v>127130</v>
      </c>
      <c r="I3149" s="23" t="n">
        <v>85000</v>
      </c>
      <c r="J3149" s="20" t="inlineStr">
        <is>
          <t>SIVA AUTOMOTIVE</t>
        </is>
      </c>
      <c r="K3149" s="20" t="inlineStr">
        <is>
          <t>Non-Captive</t>
        </is>
      </c>
      <c r="L3149" s="20" t="inlineStr">
        <is>
          <t>DINDIGUL VALUE CAR</t>
        </is>
      </c>
      <c r="M3149" s="23" t="n">
        <v>4237.29</v>
      </c>
      <c r="N3149" s="23" t="n">
        <v>5000</v>
      </c>
      <c r="O3149" s="24">
        <f>IF(AND(ISNUMBER(M3149), ISNUMBER(I3149), I3149&gt;0), M3149/I3149, "")</f>
        <v/>
      </c>
    </row>
    <row r="3150">
      <c r="A3150" s="19" t="inlineStr">
        <is>
          <t>FY27</t>
        </is>
      </c>
      <c r="B3150" s="19" t="inlineStr">
        <is>
          <t>Jul</t>
        </is>
      </c>
      <c r="C3150" s="19" t="inlineStr">
        <is>
          <t>TN</t>
        </is>
      </c>
      <c r="D3150" s="20" t="inlineStr">
        <is>
          <t>TN07BY6049</t>
        </is>
      </c>
      <c r="E3150" s="20" t="inlineStr">
        <is>
          <t>HONDA</t>
        </is>
      </c>
      <c r="F3150" s="20" t="inlineStr">
        <is>
          <t>City</t>
        </is>
      </c>
      <c r="G3150" s="21" t="n">
        <v>2014</v>
      </c>
      <c r="H3150" s="22" t="n">
        <v>171290</v>
      </c>
      <c r="I3150" s="23" t="n">
        <v>140000</v>
      </c>
      <c r="J3150" s="20" t="inlineStr">
        <is>
          <t>EXCHANGE ROTN</t>
        </is>
      </c>
      <c r="K3150" s="20" t="inlineStr">
        <is>
          <t>Captive</t>
        </is>
      </c>
      <c r="L3150" s="20" t="inlineStr">
        <is>
          <t>VIJAY CARS ERODE</t>
        </is>
      </c>
      <c r="M3150" s="23" t="n">
        <v>5932.2</v>
      </c>
      <c r="N3150" s="23" t="n">
        <v>7000</v>
      </c>
      <c r="O3150" s="24">
        <f>IF(AND(ISNUMBER(M3150), ISNUMBER(I3150), I3150&gt;0), M3150/I3150, "")</f>
        <v/>
      </c>
    </row>
    <row r="3151">
      <c r="A3151" s="19" t="inlineStr">
        <is>
          <t>FY27</t>
        </is>
      </c>
      <c r="B3151" s="19" t="inlineStr">
        <is>
          <t>Jul</t>
        </is>
      </c>
      <c r="C3151" s="19" t="inlineStr">
        <is>
          <t>TN</t>
        </is>
      </c>
      <c r="D3151" s="20" t="inlineStr">
        <is>
          <t>TN37BB6976</t>
        </is>
      </c>
      <c r="E3151" s="20" t="inlineStr">
        <is>
          <t>TATA</t>
        </is>
      </c>
      <c r="F3151" s="20" t="inlineStr">
        <is>
          <t>Indica</t>
        </is>
      </c>
      <c r="G3151" s="21" t="n">
        <v>2009</v>
      </c>
      <c r="H3151" s="22" t="n">
        <v>80005</v>
      </c>
      <c r="I3151" s="23" t="n">
        <v>50000</v>
      </c>
      <c r="J3151" s="20" t="inlineStr">
        <is>
          <t>EXCHANGE ROTN</t>
        </is>
      </c>
      <c r="K3151" s="20" t="inlineStr">
        <is>
          <t>Captive</t>
        </is>
      </c>
      <c r="L3151" s="20" t="inlineStr">
        <is>
          <t>SENTHUR FINANCE</t>
        </is>
      </c>
      <c r="M3151" s="23" t="n">
        <v>4237.29</v>
      </c>
      <c r="N3151" s="23" t="n">
        <v>5000</v>
      </c>
      <c r="O3151" s="24">
        <f>IF(AND(ISNUMBER(M3151), ISNUMBER(I3151), I3151&gt;0), M3151/I3151, "")</f>
        <v/>
      </c>
    </row>
    <row r="3152">
      <c r="A3152" s="19" t="inlineStr">
        <is>
          <t>FY27</t>
        </is>
      </c>
      <c r="B3152" s="19" t="inlineStr">
        <is>
          <t>Jul</t>
        </is>
      </c>
      <c r="C3152" s="19" t="inlineStr">
        <is>
          <t>TN</t>
        </is>
      </c>
      <c r="D3152" s="20" t="inlineStr">
        <is>
          <t>TN09CH8943</t>
        </is>
      </c>
      <c r="E3152" s="20" t="inlineStr">
        <is>
          <t>HONDA</t>
        </is>
      </c>
      <c r="F3152" s="20" t="inlineStr">
        <is>
          <t>Wr-V</t>
        </is>
      </c>
      <c r="G3152" s="21" t="n">
        <v>2017</v>
      </c>
      <c r="H3152" s="22" t="n">
        <v>120435</v>
      </c>
      <c r="I3152" s="23" t="n">
        <v>330000</v>
      </c>
      <c r="J3152" s="20" t="inlineStr">
        <is>
          <t>EXCHANGE ROTN</t>
        </is>
      </c>
      <c r="K3152" s="20" t="inlineStr">
        <is>
          <t>Captive</t>
        </is>
      </c>
      <c r="L3152" s="20" t="inlineStr">
        <is>
          <t>GUGHAA CARS</t>
        </is>
      </c>
      <c r="M3152" s="23" t="n">
        <v>12711.86</v>
      </c>
      <c r="N3152" s="23" t="n">
        <v>15000</v>
      </c>
      <c r="O3152" s="24">
        <f>IF(AND(ISNUMBER(M3152), ISNUMBER(I3152), I3152&gt;0), M3152/I3152, "")</f>
        <v/>
      </c>
    </row>
    <row r="3153">
      <c r="A3153" s="19" t="inlineStr">
        <is>
          <t>FY27</t>
        </is>
      </c>
      <c r="B3153" s="19" t="inlineStr">
        <is>
          <t>Jul</t>
        </is>
      </c>
      <c r="C3153" s="19" t="inlineStr">
        <is>
          <t>TN</t>
        </is>
      </c>
      <c r="D3153" s="20" t="inlineStr">
        <is>
          <t>TN23BQ4712</t>
        </is>
      </c>
      <c r="E3153" s="20" t="inlineStr">
        <is>
          <t>HYUNDAI</t>
        </is>
      </c>
      <c r="F3153" s="20" t="inlineStr">
        <is>
          <t>I10</t>
        </is>
      </c>
      <c r="G3153" s="21" t="n">
        <v>2013</v>
      </c>
      <c r="H3153" s="22" t="n">
        <v>73072</v>
      </c>
      <c r="I3153" s="23" t="n">
        <v>96000</v>
      </c>
      <c r="J3153" s="20" t="inlineStr">
        <is>
          <t>AUTO DRIVE</t>
        </is>
      </c>
      <c r="K3153" s="20" t="inlineStr">
        <is>
          <t>Non-Captive</t>
        </is>
      </c>
      <c r="L3153" s="20" t="inlineStr">
        <is>
          <t>SRI VIGNESH PRE OWNED CARS</t>
        </is>
      </c>
      <c r="M3153" s="23" t="n">
        <v>4237.29</v>
      </c>
      <c r="N3153" s="23" t="n">
        <v>5000</v>
      </c>
      <c r="O3153" s="24">
        <f>IF(AND(ISNUMBER(M3153), ISNUMBER(I3153), I3153&gt;0), M3153/I3153, "")</f>
        <v/>
      </c>
    </row>
    <row r="3154">
      <c r="A3154" s="19" t="inlineStr">
        <is>
          <t>FY27</t>
        </is>
      </c>
      <c r="B3154" s="19" t="inlineStr">
        <is>
          <t>Jul</t>
        </is>
      </c>
      <c r="C3154" s="19" t="inlineStr">
        <is>
          <t>TN</t>
        </is>
      </c>
      <c r="D3154" s="20" t="inlineStr">
        <is>
          <t>TN37BK1039</t>
        </is>
      </c>
      <c r="E3154" s="20" t="inlineStr">
        <is>
          <t>FORD</t>
        </is>
      </c>
      <c r="F3154" s="20" t="inlineStr">
        <is>
          <t>Figo</t>
        </is>
      </c>
      <c r="G3154" s="21" t="n">
        <v>2010</v>
      </c>
      <c r="H3154" s="22" t="n">
        <v>105617</v>
      </c>
      <c r="I3154" s="23" t="n">
        <v>86000</v>
      </c>
      <c r="J3154" s="20" t="inlineStr">
        <is>
          <t>AADHI CARS PRIVATE LIMITED</t>
        </is>
      </c>
      <c r="K3154" s="20" t="inlineStr">
        <is>
          <t>Non-Captive</t>
        </is>
      </c>
      <c r="L3154" s="20" t="inlineStr">
        <is>
          <t>SRI VIGNESH PRE OWNED CARS</t>
        </is>
      </c>
      <c r="M3154" s="23" t="n">
        <v>4237.29</v>
      </c>
      <c r="N3154" s="23" t="n">
        <v>5000</v>
      </c>
      <c r="O3154" s="24">
        <f>IF(AND(ISNUMBER(M3154), ISNUMBER(I3154), I3154&gt;0), M3154/I3154, "")</f>
        <v/>
      </c>
    </row>
    <row r="3155">
      <c r="A3155" s="19" t="inlineStr">
        <is>
          <t>FY27</t>
        </is>
      </c>
      <c r="B3155" s="19" t="inlineStr">
        <is>
          <t>Jul</t>
        </is>
      </c>
      <c r="C3155" s="19" t="inlineStr">
        <is>
          <t>TN</t>
        </is>
      </c>
      <c r="D3155" s="20" t="inlineStr">
        <is>
          <t>TN38BZ6507</t>
        </is>
      </c>
      <c r="E3155" s="20" t="inlineStr">
        <is>
          <t>CHEVROLET</t>
        </is>
      </c>
      <c r="F3155" s="20" t="inlineStr">
        <is>
          <t>Beat</t>
        </is>
      </c>
      <c r="G3155" s="21" t="n">
        <v>2015</v>
      </c>
      <c r="H3155" s="22" t="n">
        <v>56328</v>
      </c>
      <c r="I3155" s="23" t="n">
        <v>92000</v>
      </c>
      <c r="J3155" s="20" t="inlineStr">
        <is>
          <t>FUTURE AUTOMOTIVE</t>
        </is>
      </c>
      <c r="K3155" s="20" t="inlineStr">
        <is>
          <t>Non-Captive</t>
        </is>
      </c>
      <c r="L3155" s="20" t="inlineStr">
        <is>
          <t>SRI VIGNESH PRE OWNED CARS</t>
        </is>
      </c>
      <c r="M3155" s="23" t="n">
        <v>4237.29</v>
      </c>
      <c r="N3155" s="23" t="n">
        <v>5000</v>
      </c>
      <c r="O3155" s="24">
        <f>IF(AND(ISNUMBER(M3155), ISNUMBER(I3155), I3155&gt;0), M3155/I3155, "")</f>
        <v/>
      </c>
    </row>
    <row r="3156">
      <c r="A3156" s="19" t="inlineStr">
        <is>
          <t>FY27</t>
        </is>
      </c>
      <c r="B3156" s="19" t="inlineStr">
        <is>
          <t>Jul</t>
        </is>
      </c>
      <c r="C3156" s="19" t="inlineStr">
        <is>
          <t>TN</t>
        </is>
      </c>
      <c r="D3156" s="20" t="inlineStr">
        <is>
          <t>KL21Y5043</t>
        </is>
      </c>
      <c r="E3156" s="20" t="inlineStr">
        <is>
          <t>RENAULT</t>
        </is>
      </c>
      <c r="F3156" s="20" t="inlineStr">
        <is>
          <t>Triber</t>
        </is>
      </c>
      <c r="G3156" s="21" t="n">
        <v>2023</v>
      </c>
      <c r="H3156" s="22" t="n">
        <v>36125</v>
      </c>
      <c r="I3156" s="23" t="n">
        <v>190000</v>
      </c>
      <c r="J3156" s="20" t="inlineStr">
        <is>
          <t>KAIRALI TOYOTA</t>
        </is>
      </c>
      <c r="K3156" s="20" t="inlineStr">
        <is>
          <t>Non-Captive</t>
        </is>
      </c>
      <c r="L3156" s="20" t="inlineStr">
        <is>
          <t>POPULAR ALLEPPY</t>
        </is>
      </c>
      <c r="M3156" s="23" t="n">
        <v>5000</v>
      </c>
      <c r="N3156" s="23" t="n">
        <v>5900</v>
      </c>
      <c r="O3156" s="24">
        <f>IF(AND(ISNUMBER(M3156), ISNUMBER(I3156), I3156&gt;0), M3156/I3156, "")</f>
        <v/>
      </c>
    </row>
    <row r="3157">
      <c r="A3157" s="19" t="inlineStr">
        <is>
          <t>FY27</t>
        </is>
      </c>
      <c r="B3157" s="19" t="inlineStr">
        <is>
          <t>Jul</t>
        </is>
      </c>
      <c r="C3157" s="19" t="inlineStr">
        <is>
          <t>TN</t>
        </is>
      </c>
      <c r="D3157" s="20" t="inlineStr">
        <is>
          <t>KL16Q7456</t>
        </is>
      </c>
      <c r="E3157" s="20" t="inlineStr">
        <is>
          <t>HYUNDAI</t>
        </is>
      </c>
      <c r="F3157" s="20" t="inlineStr">
        <is>
          <t>Grand I10</t>
        </is>
      </c>
      <c r="G3157" s="21" t="n">
        <v>2016</v>
      </c>
      <c r="H3157" s="22" t="n">
        <v>47586</v>
      </c>
      <c r="I3157" s="23" t="n">
        <v>155000</v>
      </c>
      <c r="J3157" s="20" t="inlineStr">
        <is>
          <t>POPULAR MOTOR WORLD</t>
        </is>
      </c>
      <c r="K3157" s="20" t="inlineStr">
        <is>
          <t>Non-Captive</t>
        </is>
      </c>
      <c r="L3157" s="20" t="inlineStr">
        <is>
          <t>POPULAR ALLEPPY</t>
        </is>
      </c>
      <c r="M3157" s="23" t="n">
        <v>5000</v>
      </c>
      <c r="N3157" s="23" t="n">
        <v>5900</v>
      </c>
      <c r="O3157" s="24">
        <f>IF(AND(ISNUMBER(M3157), ISNUMBER(I3157), I3157&gt;0), M3157/I3157, "")</f>
        <v/>
      </c>
    </row>
    <row r="3158">
      <c r="A3158" s="19" t="inlineStr">
        <is>
          <t>FY27</t>
        </is>
      </c>
      <c r="B3158" s="19" t="inlineStr">
        <is>
          <t>Jul</t>
        </is>
      </c>
      <c r="C3158" s="19" t="inlineStr">
        <is>
          <t>TN</t>
        </is>
      </c>
      <c r="D3158" s="20" t="inlineStr">
        <is>
          <t>KL05AT8889</t>
        </is>
      </c>
      <c r="E3158" s="20" t="inlineStr">
        <is>
          <t>HYUNDAI</t>
        </is>
      </c>
      <c r="F3158" s="20" t="inlineStr">
        <is>
          <t>I20</t>
        </is>
      </c>
      <c r="G3158" s="21" t="n">
        <v>2018</v>
      </c>
      <c r="H3158" s="22" t="n">
        <v>67421</v>
      </c>
      <c r="I3158" s="23" t="n">
        <v>190000</v>
      </c>
      <c r="J3158" s="20" t="inlineStr">
        <is>
          <t>TANIYA BASTIN</t>
        </is>
      </c>
      <c r="K3158" s="20" t="inlineStr">
        <is>
          <t>Non-Captive</t>
        </is>
      </c>
      <c r="L3158" s="20" t="inlineStr">
        <is>
          <t>SHAMNAD AH</t>
        </is>
      </c>
      <c r="M3158" s="23" t="n">
        <v>6779.66</v>
      </c>
      <c r="N3158" s="23" t="n">
        <v>8000</v>
      </c>
      <c r="O3158" s="24">
        <f>IF(AND(ISNUMBER(M3158), ISNUMBER(I3158), I3158&gt;0), M3158/I3158, "")</f>
        <v/>
      </c>
    </row>
    <row r="3159">
      <c r="A3159" s="19" t="inlineStr">
        <is>
          <t>FY27</t>
        </is>
      </c>
      <c r="B3159" s="19" t="inlineStr">
        <is>
          <t>Jul</t>
        </is>
      </c>
      <c r="C3159" s="19" t="inlineStr">
        <is>
          <t>TN</t>
        </is>
      </c>
      <c r="D3159" s="20" t="inlineStr">
        <is>
          <t>KL14V0039</t>
        </is>
      </c>
      <c r="E3159" s="20" t="inlineStr">
        <is>
          <t>MARUTI</t>
        </is>
      </c>
      <c r="F3159" s="20" t="inlineStr">
        <is>
          <t>Brezza</t>
        </is>
      </c>
      <c r="G3159" s="21" t="n">
        <v>2017</v>
      </c>
      <c r="H3159" s="22" t="n">
        <v>156826</v>
      </c>
      <c r="I3159" s="23" t="n">
        <v>155000</v>
      </c>
      <c r="J3159" s="20" t="inlineStr">
        <is>
          <t>NIPPON TOYOTA</t>
        </is>
      </c>
      <c r="K3159" s="20" t="inlineStr">
        <is>
          <t>Non-Captive</t>
        </is>
      </c>
      <c r="L3159" s="20" t="inlineStr">
        <is>
          <t>SHAMNAD AH</t>
        </is>
      </c>
      <c r="M3159" s="23" t="n">
        <v>6779.66</v>
      </c>
      <c r="N3159" s="23" t="n">
        <v>8000</v>
      </c>
      <c r="O3159" s="24">
        <f>IF(AND(ISNUMBER(M3159), ISNUMBER(I3159), I3159&gt;0), M3159/I3159, "")</f>
        <v/>
      </c>
    </row>
    <row r="3160">
      <c r="A3160" s="19" t="inlineStr">
        <is>
          <t>FY27</t>
        </is>
      </c>
      <c r="B3160" s="19" t="inlineStr">
        <is>
          <t>Jul</t>
        </is>
      </c>
      <c r="C3160" s="19" t="inlineStr">
        <is>
          <t>TN</t>
        </is>
      </c>
      <c r="D3160" s="20" t="inlineStr">
        <is>
          <t>KL01CH2061</t>
        </is>
      </c>
      <c r="E3160" s="20" t="inlineStr">
        <is>
          <t>HONDA</t>
        </is>
      </c>
      <c r="F3160" s="20" t="inlineStr">
        <is>
          <t>Amaze</t>
        </is>
      </c>
      <c r="G3160" s="21" t="n">
        <v>2018</v>
      </c>
      <c r="H3160" s="22" t="n">
        <v>120986</v>
      </c>
      <c r="I3160" s="23" t="n">
        <v>180000</v>
      </c>
      <c r="J3160" s="20" t="inlineStr">
        <is>
          <t>NIPPON TOYOTA</t>
        </is>
      </c>
      <c r="K3160" s="20" t="inlineStr">
        <is>
          <t>Non-Captive</t>
        </is>
      </c>
      <c r="L3160" s="20" t="inlineStr">
        <is>
          <t>SHAMNAD AH</t>
        </is>
      </c>
      <c r="M3160" s="23" t="n">
        <v>6779.66</v>
      </c>
      <c r="N3160" s="23" t="n">
        <v>8000</v>
      </c>
      <c r="O3160" s="24">
        <f>IF(AND(ISNUMBER(M3160), ISNUMBER(I3160), I3160&gt;0), M3160/I3160, "")</f>
        <v/>
      </c>
    </row>
    <row r="3161">
      <c r="A3161" s="19" t="inlineStr">
        <is>
          <t>FY27</t>
        </is>
      </c>
      <c r="B3161" s="19" t="inlineStr">
        <is>
          <t>Jul</t>
        </is>
      </c>
      <c r="C3161" s="19" t="inlineStr">
        <is>
          <t>TN</t>
        </is>
      </c>
      <c r="D3161" s="20" t="inlineStr">
        <is>
          <t>KL22J5661</t>
        </is>
      </c>
      <c r="E3161" s="20" t="inlineStr">
        <is>
          <t>MARUTI</t>
        </is>
      </c>
      <c r="F3161" s="20" t="inlineStr">
        <is>
          <t>Eon</t>
        </is>
      </c>
      <c r="G3161" s="21" t="n">
        <v>2016</v>
      </c>
      <c r="H3161" s="22" t="n">
        <v>36851</v>
      </c>
      <c r="I3161" s="23" t="n">
        <v>190000</v>
      </c>
      <c r="J3161" s="20" t="inlineStr">
        <is>
          <t>NIPPON TOYOTA</t>
        </is>
      </c>
      <c r="K3161" s="20" t="inlineStr">
        <is>
          <t>Non-Captive</t>
        </is>
      </c>
      <c r="L3161" s="20" t="inlineStr">
        <is>
          <t>POPULAR THRISSUR</t>
        </is>
      </c>
      <c r="M3161" s="23" t="n">
        <v>5000</v>
      </c>
      <c r="N3161" s="23" t="n">
        <v>5900</v>
      </c>
      <c r="O3161" s="24">
        <f>IF(AND(ISNUMBER(M3161), ISNUMBER(I3161), I3161&gt;0), M3161/I3161, "")</f>
        <v/>
      </c>
    </row>
    <row r="3162">
      <c r="A3162" s="19" t="inlineStr">
        <is>
          <t>FY27</t>
        </is>
      </c>
      <c r="B3162" s="19" t="inlineStr">
        <is>
          <t>Jul</t>
        </is>
      </c>
      <c r="C3162" s="19" t="inlineStr">
        <is>
          <t>TN</t>
        </is>
      </c>
      <c r="D3162" s="20" t="inlineStr">
        <is>
          <t>KL13R0347</t>
        </is>
      </c>
      <c r="E3162" s="20" t="inlineStr">
        <is>
          <t>MARUTI</t>
        </is>
      </c>
      <c r="F3162" s="20" t="inlineStr">
        <is>
          <t>Innova</t>
        </is>
      </c>
      <c r="G3162" s="21" t="n">
        <v>2006</v>
      </c>
      <c r="H3162" s="22" t="n">
        <v>300000</v>
      </c>
      <c r="I3162" s="23" t="n">
        <v>190000</v>
      </c>
      <c r="J3162" s="20" t="inlineStr">
        <is>
          <t>POPULAR ALLEPPY</t>
        </is>
      </c>
      <c r="K3162" s="20" t="inlineStr">
        <is>
          <t>Non-Captive</t>
        </is>
      </c>
      <c r="L3162" s="20" t="inlineStr">
        <is>
          <t>SHAMNAD AH</t>
        </is>
      </c>
      <c r="M3162" s="23" t="n">
        <v>6779.66</v>
      </c>
      <c r="N3162" s="23" t="n">
        <v>8000</v>
      </c>
      <c r="O3162" s="24">
        <f>IF(AND(ISNUMBER(M3162), ISNUMBER(I3162), I3162&gt;0), M3162/I3162, "")</f>
        <v/>
      </c>
    </row>
    <row r="3163">
      <c r="A3163" s="19" t="inlineStr">
        <is>
          <t>FY27</t>
        </is>
      </c>
      <c r="B3163" s="19" t="inlineStr">
        <is>
          <t>Jul</t>
        </is>
      </c>
      <c r="C3163" s="19" t="inlineStr">
        <is>
          <t>TN</t>
        </is>
      </c>
      <c r="D3163" s="20" t="inlineStr">
        <is>
          <t>KL24G7573</t>
        </is>
      </c>
      <c r="E3163" s="20" t="inlineStr">
        <is>
          <t>MARUTI</t>
        </is>
      </c>
      <c r="F3163" s="20" t="inlineStr">
        <is>
          <t>Dzire</t>
        </is>
      </c>
      <c r="G3163" s="21" t="n">
        <v>2013</v>
      </c>
      <c r="H3163" s="22" t="n">
        <v>170565</v>
      </c>
      <c r="I3163" s="23" t="n">
        <v>155000</v>
      </c>
      <c r="J3163" s="20" t="inlineStr">
        <is>
          <t>NIPPON TOYOTA</t>
        </is>
      </c>
      <c r="K3163" s="20" t="inlineStr">
        <is>
          <t>Non-Captive</t>
        </is>
      </c>
      <c r="L3163" s="20" t="inlineStr">
        <is>
          <t>SHAMNAD AH</t>
        </is>
      </c>
      <c r="M3163" s="23" t="n">
        <v>6016.95</v>
      </c>
      <c r="N3163" s="23" t="n">
        <v>7100</v>
      </c>
      <c r="O3163" s="24">
        <f>IF(AND(ISNUMBER(M3163), ISNUMBER(I3163), I3163&gt;0), M3163/I3163, "")</f>
        <v/>
      </c>
    </row>
    <row r="3164">
      <c r="A3164" s="19" t="inlineStr">
        <is>
          <t>FY27</t>
        </is>
      </c>
      <c r="B3164" s="19" t="inlineStr">
        <is>
          <t>Jul</t>
        </is>
      </c>
      <c r="C3164" s="19" t="inlineStr">
        <is>
          <t>TN</t>
        </is>
      </c>
      <c r="D3164" s="20" t="inlineStr">
        <is>
          <t>KL61E3780</t>
        </is>
      </c>
      <c r="E3164" s="20" t="inlineStr">
        <is>
          <t>MARUTI</t>
        </is>
      </c>
      <c r="F3164" s="20" t="inlineStr">
        <is>
          <t>Spresso</t>
        </is>
      </c>
      <c r="G3164" s="21" t="n">
        <v>2019</v>
      </c>
      <c r="H3164" s="22" t="n">
        <v>40990</v>
      </c>
      <c r="I3164" s="23" t="n">
        <v>180000</v>
      </c>
      <c r="J3164" s="20" t="inlineStr">
        <is>
          <t>NIPPON TOYOTA</t>
        </is>
      </c>
      <c r="K3164" s="20" t="inlineStr">
        <is>
          <t>Non-Captive</t>
        </is>
      </c>
      <c r="L3164" s="20" t="inlineStr">
        <is>
          <t>GENUINE CARS</t>
        </is>
      </c>
      <c r="M3164" s="23" t="n">
        <v>8474.58</v>
      </c>
      <c r="N3164" s="23" t="n">
        <v>10000</v>
      </c>
      <c r="O3164" s="24">
        <f>IF(AND(ISNUMBER(M3164), ISNUMBER(I3164), I3164&gt;0), M3164/I3164, "")</f>
        <v/>
      </c>
    </row>
    <row r="3165">
      <c r="A3165" s="19" t="inlineStr">
        <is>
          <t>FY27</t>
        </is>
      </c>
      <c r="B3165" s="19" t="inlineStr">
        <is>
          <t>Jul</t>
        </is>
      </c>
      <c r="C3165" s="19" t="inlineStr">
        <is>
          <t>TN</t>
        </is>
      </c>
      <c r="D3165" s="20" t="inlineStr">
        <is>
          <t>KL21X7063</t>
        </is>
      </c>
      <c r="E3165" s="20" t="inlineStr">
        <is>
          <t>MARUTI</t>
        </is>
      </c>
      <c r="F3165" s="20" t="inlineStr">
        <is>
          <t>Wagonr</t>
        </is>
      </c>
      <c r="G3165" s="21" t="n">
        <v>2022</v>
      </c>
      <c r="H3165" s="22" t="n">
        <v>30701</v>
      </c>
      <c r="I3165" s="23" t="n">
        <v>190000</v>
      </c>
      <c r="J3165" s="20" t="inlineStr">
        <is>
          <t>KAIRALI TOYOTA</t>
        </is>
      </c>
      <c r="K3165" s="20" t="inlineStr">
        <is>
          <t>Non-Captive</t>
        </is>
      </c>
      <c r="L3165" s="20" t="inlineStr">
        <is>
          <t>SHAMNAD AH</t>
        </is>
      </c>
      <c r="M3165" s="23" t="n">
        <v>8474.58</v>
      </c>
      <c r="N3165" s="23" t="n">
        <v>10000</v>
      </c>
      <c r="O3165" s="24">
        <f>IF(AND(ISNUMBER(M3165), ISNUMBER(I3165), I3165&gt;0), M3165/I3165, "")</f>
        <v/>
      </c>
    </row>
    <row r="3166">
      <c r="A3166" s="19" t="inlineStr">
        <is>
          <t>FY27</t>
        </is>
      </c>
      <c r="B3166" s="19" t="inlineStr">
        <is>
          <t>Jul</t>
        </is>
      </c>
      <c r="C3166" s="19" t="inlineStr">
        <is>
          <t>TN</t>
        </is>
      </c>
      <c r="D3166" s="20" t="inlineStr">
        <is>
          <t>KL01CM6699</t>
        </is>
      </c>
      <c r="E3166" s="20" t="inlineStr">
        <is>
          <t>MARUTI</t>
        </is>
      </c>
      <c r="F3166" s="20" t="inlineStr">
        <is>
          <t>Dzire</t>
        </is>
      </c>
      <c r="G3166" s="21" t="n">
        <v>2019</v>
      </c>
      <c r="H3166" s="22" t="n">
        <v>68430</v>
      </c>
      <c r="I3166" s="23" t="n">
        <v>190000</v>
      </c>
      <c r="J3166" s="20" t="inlineStr">
        <is>
          <t>NIPPON TOYOTA</t>
        </is>
      </c>
      <c r="K3166" s="20" t="inlineStr">
        <is>
          <t>Non-Captive</t>
        </is>
      </c>
      <c r="L3166" s="20" t="inlineStr">
        <is>
          <t>GENUINE CARS</t>
        </is>
      </c>
      <c r="M3166" s="23" t="n">
        <v>8474.58</v>
      </c>
      <c r="N3166" s="23" t="n">
        <v>10000</v>
      </c>
      <c r="O3166" s="24">
        <f>IF(AND(ISNUMBER(M3166), ISNUMBER(I3166), I3166&gt;0), M3166/I3166, "")</f>
        <v/>
      </c>
    </row>
    <row r="3167">
      <c r="A3167" s="19" t="inlineStr">
        <is>
          <t>FY27</t>
        </is>
      </c>
      <c r="B3167" s="19" t="inlineStr">
        <is>
          <t>Jul</t>
        </is>
      </c>
      <c r="C3167" s="19" t="inlineStr">
        <is>
          <t>TN</t>
        </is>
      </c>
      <c r="D3167" s="20" t="inlineStr">
        <is>
          <t>KL01CF5171</t>
        </is>
      </c>
      <c r="E3167" s="20" t="inlineStr">
        <is>
          <t>MARUTI</t>
        </is>
      </c>
      <c r="F3167" s="20" t="inlineStr">
        <is>
          <t>Ertiga</t>
        </is>
      </c>
      <c r="G3167" s="21" t="n">
        <v>2018</v>
      </c>
      <c r="H3167" s="22" t="n">
        <v>198564</v>
      </c>
      <c r="I3167" s="23" t="n">
        <v>180000</v>
      </c>
      <c r="J3167" s="20" t="inlineStr">
        <is>
          <t>NIPPON TOYOTA</t>
        </is>
      </c>
      <c r="K3167" s="20" t="inlineStr">
        <is>
          <t>Non-Captive</t>
        </is>
      </c>
      <c r="L3167" s="20" t="inlineStr">
        <is>
          <t>SHAMNAD AH</t>
        </is>
      </c>
      <c r="M3167" s="23" t="n">
        <v>6016.95</v>
      </c>
      <c r="N3167" s="23" t="n">
        <v>7100</v>
      </c>
      <c r="O3167" s="24">
        <f>IF(AND(ISNUMBER(M3167), ISNUMBER(I3167), I3167&gt;0), M3167/I3167, "")</f>
        <v/>
      </c>
    </row>
    <row r="3168">
      <c r="A3168" s="19" t="inlineStr">
        <is>
          <t>FY27</t>
        </is>
      </c>
      <c r="B3168" s="19" t="inlineStr">
        <is>
          <t>Jul</t>
        </is>
      </c>
      <c r="C3168" s="19" t="inlineStr">
        <is>
          <t>TN</t>
        </is>
      </c>
      <c r="D3168" s="20" t="inlineStr">
        <is>
          <t>KL01CW5415</t>
        </is>
      </c>
      <c r="E3168" s="20" t="inlineStr">
        <is>
          <t>MARUTI</t>
        </is>
      </c>
      <c r="F3168" s="20" t="inlineStr">
        <is>
          <t>Baleno</t>
        </is>
      </c>
      <c r="G3168" s="21" t="n">
        <v>2022</v>
      </c>
      <c r="H3168" s="22" t="n">
        <v>46858</v>
      </c>
      <c r="I3168" s="23" t="n">
        <v>190000</v>
      </c>
      <c r="J3168" s="20" t="inlineStr">
        <is>
          <t>NIPPON TOYOTA</t>
        </is>
      </c>
      <c r="K3168" s="20" t="inlineStr">
        <is>
          <t>Non-Captive</t>
        </is>
      </c>
      <c r="L3168" s="20" t="inlineStr">
        <is>
          <t>POPULAR KOTTAYAM</t>
        </is>
      </c>
      <c r="M3168" s="23" t="n">
        <v>5000</v>
      </c>
      <c r="N3168" s="23" t="n">
        <v>5900</v>
      </c>
      <c r="O3168" s="24">
        <f>IF(AND(ISNUMBER(M3168), ISNUMBER(I3168), I3168&gt;0), M3168/I3168, "")</f>
        <v/>
      </c>
    </row>
    <row r="3169">
      <c r="A3169" s="19" t="inlineStr">
        <is>
          <t>FY27</t>
        </is>
      </c>
      <c r="B3169" s="19" t="inlineStr">
        <is>
          <t>Jul</t>
        </is>
      </c>
      <c r="C3169" s="19" t="inlineStr">
        <is>
          <t>TN</t>
        </is>
      </c>
      <c r="D3169" s="20" t="inlineStr">
        <is>
          <t>KL23H0045</t>
        </is>
      </c>
      <c r="E3169" s="20" t="inlineStr">
        <is>
          <t>MARUTI</t>
        </is>
      </c>
      <c r="F3169" s="20" t="inlineStr">
        <is>
          <t>Ertiga</t>
        </is>
      </c>
      <c r="G3169" s="21" t="n">
        <v>2016</v>
      </c>
      <c r="H3169" s="22" t="n">
        <v>67432</v>
      </c>
      <c r="I3169" s="23" t="n">
        <v>190000</v>
      </c>
      <c r="J3169" s="20" t="inlineStr">
        <is>
          <t>LATHA CARS</t>
        </is>
      </c>
      <c r="K3169" s="20" t="inlineStr">
        <is>
          <t>Non-Captive</t>
        </is>
      </c>
      <c r="L3169" s="20" t="inlineStr">
        <is>
          <t>GENUINE CARS</t>
        </is>
      </c>
      <c r="M3169" s="23" t="n">
        <v>8474.58</v>
      </c>
      <c r="N3169" s="23" t="n">
        <v>10000</v>
      </c>
      <c r="O3169" s="24">
        <f>IF(AND(ISNUMBER(M3169), ISNUMBER(I3169), I3169&gt;0), M3169/I3169, "")</f>
        <v/>
      </c>
    </row>
    <row r="3170">
      <c r="A3170" s="19" t="inlineStr">
        <is>
          <t>FY27</t>
        </is>
      </c>
      <c r="B3170" s="19" t="inlineStr">
        <is>
          <t>Jul</t>
        </is>
      </c>
      <c r="C3170" s="19" t="inlineStr">
        <is>
          <t>TN</t>
        </is>
      </c>
      <c r="D3170" s="20" t="inlineStr">
        <is>
          <t>KL21N2222</t>
        </is>
      </c>
      <c r="E3170" s="20" t="inlineStr">
        <is>
          <t>MARUTI</t>
        </is>
      </c>
      <c r="F3170" s="20" t="inlineStr">
        <is>
          <t>Ciaz</t>
        </is>
      </c>
      <c r="G3170" s="21" t="n">
        <v>2017</v>
      </c>
      <c r="H3170" s="22" t="n">
        <v>57014</v>
      </c>
      <c r="I3170" s="23" t="n">
        <v>155000</v>
      </c>
      <c r="J3170" s="20" t="inlineStr">
        <is>
          <t>NIPPON TOYOTA</t>
        </is>
      </c>
      <c r="K3170" s="20" t="inlineStr">
        <is>
          <t>Non-Captive</t>
        </is>
      </c>
      <c r="L3170" s="20" t="inlineStr">
        <is>
          <t>SHAMNAD AH</t>
        </is>
      </c>
      <c r="M3170" s="23" t="n">
        <v>6016.95</v>
      </c>
      <c r="N3170" s="23" t="n">
        <v>7100</v>
      </c>
      <c r="O3170" s="24">
        <f>IF(AND(ISNUMBER(M3170), ISNUMBER(I3170), I3170&gt;0), M3170/I3170, "")</f>
        <v/>
      </c>
    </row>
    <row r="3171">
      <c r="A3171" s="19" t="inlineStr">
        <is>
          <t>FY27</t>
        </is>
      </c>
      <c r="B3171" s="19" t="inlineStr">
        <is>
          <t>Jul</t>
        </is>
      </c>
      <c r="C3171" s="19" t="inlineStr">
        <is>
          <t>TN</t>
        </is>
      </c>
      <c r="D3171" s="20" t="inlineStr">
        <is>
          <t>TN01AR4519</t>
        </is>
      </c>
      <c r="E3171" s="20" t="inlineStr">
        <is>
          <t>HONDA</t>
        </is>
      </c>
      <c r="F3171" s="20" t="inlineStr">
        <is>
          <t>City</t>
        </is>
      </c>
      <c r="G3171" s="21" t="n">
        <v>2012</v>
      </c>
      <c r="H3171" s="22" t="n">
        <v>65176</v>
      </c>
      <c r="I3171" s="23" t="n">
        <v>245000</v>
      </c>
      <c r="J3171" s="20" t="inlineStr">
        <is>
          <t>CASTLE TRADERS Maruti</t>
        </is>
      </c>
      <c r="K3171" s="20" t="inlineStr">
        <is>
          <t>Non-Captive</t>
        </is>
      </c>
      <c r="L3171" s="20" t="inlineStr">
        <is>
          <t>Suganya Cars</t>
        </is>
      </c>
      <c r="M3171" s="23" t="n">
        <v>6355.93</v>
      </c>
      <c r="N3171" s="23" t="n">
        <v>7500</v>
      </c>
      <c r="O3171" s="24">
        <f>IF(AND(ISNUMBER(M3171), ISNUMBER(I3171), I3171&gt;0), M3171/I3171, "")</f>
        <v/>
      </c>
    </row>
    <row r="3172">
      <c r="A3172" s="19" t="inlineStr">
        <is>
          <t>FY27</t>
        </is>
      </c>
      <c r="B3172" s="19" t="inlineStr">
        <is>
          <t>Jul</t>
        </is>
      </c>
      <c r="C3172" s="19" t="inlineStr">
        <is>
          <t>TN</t>
        </is>
      </c>
      <c r="D3172" s="20" t="inlineStr">
        <is>
          <t>TN20DD9173</t>
        </is>
      </c>
      <c r="E3172" s="20" t="inlineStr">
        <is>
          <t>MARUTI</t>
        </is>
      </c>
      <c r="F3172" s="20" t="inlineStr">
        <is>
          <t>Dzire</t>
        </is>
      </c>
      <c r="G3172" s="21" t="n">
        <v>2022</v>
      </c>
      <c r="H3172" s="22" t="n">
        <v>44539</v>
      </c>
      <c r="I3172" s="23" t="n">
        <v>605000</v>
      </c>
      <c r="J3172" s="20" t="inlineStr">
        <is>
          <t>CASTLE TRADERS Maruti</t>
        </is>
      </c>
      <c r="K3172" s="20" t="inlineStr">
        <is>
          <t>Non-Captive</t>
        </is>
      </c>
      <c r="L3172" s="20" t="inlineStr">
        <is>
          <t>T S Mahalingam and Sons</t>
        </is>
      </c>
      <c r="M3172" s="23" t="n">
        <v>6355.93</v>
      </c>
      <c r="N3172" s="23" t="n">
        <v>7500</v>
      </c>
      <c r="O3172" s="24">
        <f>IF(AND(ISNUMBER(M3172), ISNUMBER(I3172), I3172&gt;0), M3172/I3172, "")</f>
        <v/>
      </c>
    </row>
    <row r="3173">
      <c r="A3173" s="19" t="inlineStr">
        <is>
          <t>FY27</t>
        </is>
      </c>
      <c r="B3173" s="19" t="inlineStr">
        <is>
          <t>Jul</t>
        </is>
      </c>
      <c r="C3173" s="19" t="inlineStr">
        <is>
          <t>TN</t>
        </is>
      </c>
      <c r="D3173" s="20" t="inlineStr">
        <is>
          <t>TN09CW2036</t>
        </is>
      </c>
      <c r="E3173" s="20" t="inlineStr">
        <is>
          <t>HONDA</t>
        </is>
      </c>
      <c r="F3173" s="20" t="inlineStr">
        <is>
          <t>City</t>
        </is>
      </c>
      <c r="G3173" s="21" t="n">
        <v>2020</v>
      </c>
      <c r="H3173" s="22" t="n">
        <v>100900</v>
      </c>
      <c r="I3173" s="23" t="n">
        <v>734380</v>
      </c>
      <c r="J3173" s="20" t="inlineStr">
        <is>
          <t>SMAS</t>
        </is>
      </c>
      <c r="K3173" s="20" t="inlineStr">
        <is>
          <t>Non-Captive</t>
        </is>
      </c>
      <c r="L3173" s="20" t="inlineStr">
        <is>
          <t>AAA CARS</t>
        </is>
      </c>
      <c r="M3173" s="23" t="n">
        <v>7627.12</v>
      </c>
      <c r="N3173" s="23" t="n">
        <v>9000</v>
      </c>
      <c r="O3173" s="24">
        <f>IF(AND(ISNUMBER(M3173), ISNUMBER(I3173), I3173&gt;0), M3173/I3173, "")</f>
        <v/>
      </c>
    </row>
    <row r="3174">
      <c r="A3174" s="19" t="inlineStr">
        <is>
          <t>FY27</t>
        </is>
      </c>
      <c r="B3174" s="19" t="inlineStr">
        <is>
          <t>Jul</t>
        </is>
      </c>
      <c r="C3174" s="19" t="inlineStr">
        <is>
          <t>TN</t>
        </is>
      </c>
      <c r="D3174" s="20" t="inlineStr">
        <is>
          <t>TN18J4848</t>
        </is>
      </c>
      <c r="E3174" s="20" t="inlineStr">
        <is>
          <t>MARUTI</t>
        </is>
      </c>
      <c r="F3174" s="20" t="inlineStr">
        <is>
          <t>Swiftdzire</t>
        </is>
      </c>
      <c r="G3174" s="21" t="n">
        <v>2011</v>
      </c>
      <c r="H3174" s="22" t="n">
        <v>112245</v>
      </c>
      <c r="I3174" s="23" t="n">
        <v>240000</v>
      </c>
      <c r="J3174" s="20" t="inlineStr">
        <is>
          <t>EXCHANGE CHENNAI</t>
        </is>
      </c>
      <c r="K3174" s="20" t="inlineStr">
        <is>
          <t>Captive</t>
        </is>
      </c>
      <c r="L3174" s="20" t="inlineStr">
        <is>
          <t>Thiya Cars</t>
        </is>
      </c>
      <c r="M3174" s="23" t="n">
        <v>5084.75</v>
      </c>
      <c r="N3174" s="23" t="n">
        <v>6000</v>
      </c>
      <c r="O3174" s="24">
        <f>IF(AND(ISNUMBER(M3174), ISNUMBER(I3174), I3174&gt;0), M3174/I3174, "")</f>
        <v/>
      </c>
    </row>
    <row r="3175">
      <c r="A3175" s="19" t="inlineStr">
        <is>
          <t>FY27</t>
        </is>
      </c>
      <c r="B3175" s="19" t="inlineStr">
        <is>
          <t>Jul</t>
        </is>
      </c>
      <c r="C3175" s="19" t="inlineStr">
        <is>
          <t>TN</t>
        </is>
      </c>
      <c r="D3175" s="20" t="inlineStr">
        <is>
          <t>TN07CT9828</t>
        </is>
      </c>
      <c r="E3175" s="20" t="inlineStr">
        <is>
          <t>MARUTI</t>
        </is>
      </c>
      <c r="F3175" s="20" t="inlineStr">
        <is>
          <t>Xl6</t>
        </is>
      </c>
      <c r="G3175" s="21" t="n">
        <v>2019</v>
      </c>
      <c r="H3175" s="22" t="n">
        <v>86043</v>
      </c>
      <c r="I3175" s="23" t="n">
        <v>680000</v>
      </c>
      <c r="J3175" s="20" t="inlineStr">
        <is>
          <t>EXCHANGE CHENNAI</t>
        </is>
      </c>
      <c r="K3175" s="20" t="inlineStr">
        <is>
          <t>Captive</t>
        </is>
      </c>
      <c r="L3175" s="20" t="inlineStr">
        <is>
          <t>Maruthi Industries</t>
        </is>
      </c>
      <c r="M3175" s="23" t="n">
        <v>12711.86</v>
      </c>
      <c r="N3175" s="23" t="n">
        <v>15000</v>
      </c>
      <c r="O3175" s="24">
        <f>IF(AND(ISNUMBER(M3175), ISNUMBER(I3175), I3175&gt;0), M3175/I3175, "")</f>
        <v/>
      </c>
    </row>
    <row r="3176">
      <c r="A3176" s="19" t="inlineStr">
        <is>
          <t>FY27</t>
        </is>
      </c>
      <c r="B3176" s="19" t="inlineStr">
        <is>
          <t>Jul</t>
        </is>
      </c>
      <c r="C3176" s="19" t="inlineStr">
        <is>
          <t>TN</t>
        </is>
      </c>
      <c r="D3176" s="20" t="inlineStr">
        <is>
          <t>TN11E8120</t>
        </is>
      </c>
      <c r="E3176" s="20" t="inlineStr">
        <is>
          <t>HONDA</t>
        </is>
      </c>
      <c r="F3176" s="20" t="inlineStr">
        <is>
          <t>City</t>
        </is>
      </c>
      <c r="G3176" s="21" t="n">
        <v>2013</v>
      </c>
      <c r="H3176" s="22" t="n">
        <v>194902</v>
      </c>
      <c r="I3176" s="23" t="n">
        <v>225000</v>
      </c>
      <c r="J3176" s="20" t="inlineStr">
        <is>
          <t>EXCHANGE CHENNAI</t>
        </is>
      </c>
      <c r="K3176" s="20" t="inlineStr">
        <is>
          <t>Captive</t>
        </is>
      </c>
      <c r="L3176" s="20" t="inlineStr">
        <is>
          <t>NIRMAL CARS</t>
        </is>
      </c>
      <c r="M3176" s="23" t="n">
        <v>8474.58</v>
      </c>
      <c r="N3176" s="23" t="n">
        <v>10000</v>
      </c>
      <c r="O3176" s="24">
        <f>IF(AND(ISNUMBER(M3176), ISNUMBER(I3176), I3176&gt;0), M3176/I3176, "")</f>
        <v/>
      </c>
    </row>
    <row r="3177">
      <c r="A3177" s="19" t="inlineStr">
        <is>
          <t>FY27</t>
        </is>
      </c>
      <c r="B3177" s="19" t="inlineStr">
        <is>
          <t>Jul</t>
        </is>
      </c>
      <c r="C3177" s="19" t="inlineStr">
        <is>
          <t>TN</t>
        </is>
      </c>
      <c r="D3177" s="20" t="inlineStr">
        <is>
          <t>TN07CH1598</t>
        </is>
      </c>
      <c r="E3177" s="20" t="inlineStr">
        <is>
          <t>HONDA</t>
        </is>
      </c>
      <c r="F3177" s="20" t="inlineStr">
        <is>
          <t>Amaze</t>
        </is>
      </c>
      <c r="G3177" s="21" t="n">
        <v>2016</v>
      </c>
      <c r="H3177" s="22" t="n">
        <v>143095</v>
      </c>
      <c r="I3177" s="23" t="n">
        <v>210000</v>
      </c>
      <c r="J3177" s="20" t="inlineStr">
        <is>
          <t>EXCHANGE CHENNAI</t>
        </is>
      </c>
      <c r="K3177" s="20" t="inlineStr">
        <is>
          <t>Captive</t>
        </is>
      </c>
      <c r="L3177" s="20" t="inlineStr">
        <is>
          <t>SANTHOSH CARS</t>
        </is>
      </c>
      <c r="M3177" s="23" t="n">
        <v>4237.29</v>
      </c>
      <c r="N3177" s="23" t="n">
        <v>5000</v>
      </c>
      <c r="O3177" s="24">
        <f>IF(AND(ISNUMBER(M3177), ISNUMBER(I3177), I3177&gt;0), M3177/I3177, "")</f>
        <v/>
      </c>
    </row>
    <row r="3178">
      <c r="A3178" s="19" t="inlineStr">
        <is>
          <t>FY27</t>
        </is>
      </c>
      <c r="B3178" s="19" t="inlineStr">
        <is>
          <t>Jul</t>
        </is>
      </c>
      <c r="C3178" s="19" t="inlineStr">
        <is>
          <t>TN</t>
        </is>
      </c>
      <c r="D3178" s="20" t="inlineStr">
        <is>
          <t>TN13AD2581</t>
        </is>
      </c>
      <c r="E3178" s="20" t="inlineStr">
        <is>
          <t>TATA</t>
        </is>
      </c>
      <c r="F3178" s="20" t="inlineStr">
        <is>
          <t>Punch</t>
        </is>
      </c>
      <c r="G3178" s="21" t="n">
        <v>2024</v>
      </c>
      <c r="H3178" s="22" t="n">
        <v>12931</v>
      </c>
      <c r="I3178" s="23" t="n">
        <v>670000</v>
      </c>
      <c r="J3178" s="20" t="inlineStr">
        <is>
          <t>EXCHANGE CHENNAI</t>
        </is>
      </c>
      <c r="K3178" s="20" t="inlineStr">
        <is>
          <t>Captive</t>
        </is>
      </c>
      <c r="L3178" s="20" t="inlineStr">
        <is>
          <t>Value Drive Tech</t>
        </is>
      </c>
      <c r="M3178" s="23" t="n">
        <v>8474.58</v>
      </c>
      <c r="N3178" s="23" t="n">
        <v>10000</v>
      </c>
      <c r="O3178" s="24">
        <f>IF(AND(ISNUMBER(M3178), ISNUMBER(I3178), I3178&gt;0), M3178/I3178, "")</f>
        <v/>
      </c>
    </row>
    <row r="3179">
      <c r="A3179" s="19" t="inlineStr">
        <is>
          <t>FY27</t>
        </is>
      </c>
      <c r="B3179" s="19" t="inlineStr">
        <is>
          <t>Jul</t>
        </is>
      </c>
      <c r="C3179" s="19" t="inlineStr">
        <is>
          <t>TN</t>
        </is>
      </c>
      <c r="D3179" s="20" t="inlineStr">
        <is>
          <t>KA16M6012</t>
        </is>
      </c>
      <c r="E3179" s="20" t="inlineStr">
        <is>
          <t>TATA</t>
        </is>
      </c>
      <c r="F3179" s="20" t="inlineStr">
        <is>
          <t>Nano</t>
        </is>
      </c>
      <c r="G3179" s="21" t="n">
        <v>2010</v>
      </c>
      <c r="H3179" s="22" t="n">
        <v>32784</v>
      </c>
      <c r="I3179" s="23" t="n">
        <v>20000</v>
      </c>
      <c r="J3179" s="20" t="inlineStr">
        <is>
          <t>EXCHANGE CHENNAI</t>
        </is>
      </c>
      <c r="K3179" s="20" t="inlineStr">
        <is>
          <t>Captive</t>
        </is>
      </c>
      <c r="L3179" s="20" t="inlineStr">
        <is>
          <t>SANTHOSH CARS</t>
        </is>
      </c>
      <c r="M3179" s="23" t="n">
        <v>4237.29</v>
      </c>
      <c r="N3179" s="23" t="n">
        <v>5000</v>
      </c>
      <c r="O3179" s="24">
        <f>IF(AND(ISNUMBER(M3179), ISNUMBER(I3179), I3179&gt;0), M3179/I3179, "")</f>
        <v/>
      </c>
    </row>
    <row r="3180">
      <c r="A3180" s="19" t="inlineStr">
        <is>
          <t>FY27</t>
        </is>
      </c>
      <c r="B3180" s="19" t="inlineStr">
        <is>
          <t>Jul</t>
        </is>
      </c>
      <c r="C3180" s="19" t="inlineStr">
        <is>
          <t>TN</t>
        </is>
      </c>
      <c r="D3180" s="20" t="inlineStr">
        <is>
          <t>TN07BY6997</t>
        </is>
      </c>
      <c r="E3180" s="20" t="inlineStr">
        <is>
          <t>HONDA</t>
        </is>
      </c>
      <c r="F3180" s="20" t="inlineStr">
        <is>
          <t>Amaze</t>
        </is>
      </c>
      <c r="G3180" s="21" t="n">
        <v>2014</v>
      </c>
      <c r="H3180" s="22" t="n">
        <v>56060</v>
      </c>
      <c r="I3180" s="23" t="n">
        <v>265000</v>
      </c>
      <c r="J3180" s="20" t="inlineStr">
        <is>
          <t>EXCHANGE CHENNAI</t>
        </is>
      </c>
      <c r="K3180" s="20" t="inlineStr">
        <is>
          <t>Captive</t>
        </is>
      </c>
      <c r="L3180" s="20" t="inlineStr">
        <is>
          <t>PINE AUTOS</t>
        </is>
      </c>
      <c r="M3180" s="23" t="n">
        <v>8474.58</v>
      </c>
      <c r="N3180" s="23" t="n">
        <v>10000</v>
      </c>
      <c r="O3180" s="24">
        <f>IF(AND(ISNUMBER(M3180), ISNUMBER(I3180), I3180&gt;0), M3180/I3180, "")</f>
        <v/>
      </c>
    </row>
    <row r="3181">
      <c r="A3181" s="19" t="inlineStr">
        <is>
          <t>FY27</t>
        </is>
      </c>
      <c r="B3181" s="19" t="inlineStr">
        <is>
          <t>Jul</t>
        </is>
      </c>
      <c r="C3181" s="19" t="inlineStr">
        <is>
          <t>TN</t>
        </is>
      </c>
      <c r="D3181" s="20" t="inlineStr">
        <is>
          <t>TN09DE7335</t>
        </is>
      </c>
      <c r="E3181" s="20" t="inlineStr">
        <is>
          <t>SKODA</t>
        </is>
      </c>
      <c r="F3181" s="20" t="inlineStr">
        <is>
          <t>Kushaq</t>
        </is>
      </c>
      <c r="G3181" s="21" t="n">
        <v>2023</v>
      </c>
      <c r="H3181" s="22" t="n">
        <v>26958</v>
      </c>
      <c r="I3181" s="23" t="n">
        <v>595000</v>
      </c>
      <c r="J3181" s="20" t="inlineStr">
        <is>
          <t>Harsha Toyota</t>
        </is>
      </c>
      <c r="K3181" s="20" t="inlineStr">
        <is>
          <t>Non-Captive</t>
        </is>
      </c>
      <c r="L3181" s="20" t="inlineStr">
        <is>
          <t>Thiyagarajan Raja Cars</t>
        </is>
      </c>
      <c r="M3181" s="23" t="n">
        <v>7627.12</v>
      </c>
      <c r="N3181" s="23" t="n">
        <v>9000</v>
      </c>
      <c r="O3181" s="24">
        <f>IF(AND(ISNUMBER(M3181), ISNUMBER(I3181), I3181&gt;0), M3181/I3181, "")</f>
        <v/>
      </c>
    </row>
    <row r="3182">
      <c r="A3182" s="19" t="inlineStr">
        <is>
          <t>FY27</t>
        </is>
      </c>
      <c r="B3182" s="19" t="inlineStr">
        <is>
          <t>Jul</t>
        </is>
      </c>
      <c r="C3182" s="19" t="inlineStr">
        <is>
          <t>TN</t>
        </is>
      </c>
      <c r="D3182" s="20" t="inlineStr">
        <is>
          <t>TN10BL6212</t>
        </is>
      </c>
      <c r="E3182" s="20" t="inlineStr">
        <is>
          <t>MARUTI</t>
        </is>
      </c>
      <c r="F3182" s="20" t="inlineStr">
        <is>
          <t>Dzire</t>
        </is>
      </c>
      <c r="G3182" s="21" t="n">
        <v>2020</v>
      </c>
      <c r="H3182" s="22" t="n">
        <v>58739</v>
      </c>
      <c r="I3182" s="23" t="n">
        <v>96000</v>
      </c>
      <c r="J3182" s="20" t="inlineStr">
        <is>
          <t>AUTOMOTIVE MANUFACTURES PRIVATE LIMITED</t>
        </is>
      </c>
      <c r="K3182" s="20" t="inlineStr">
        <is>
          <t>Non-Captive</t>
        </is>
      </c>
      <c r="L3182" s="20" t="inlineStr">
        <is>
          <t>Senthil Cars</t>
        </is>
      </c>
      <c r="M3182" s="23" t="n">
        <v>4237.29</v>
      </c>
      <c r="N3182" s="23" t="n">
        <v>5000</v>
      </c>
      <c r="O3182" s="24">
        <f>IF(AND(ISNUMBER(M3182), ISNUMBER(I3182), I3182&gt;0), M3182/I3182, "")</f>
        <v/>
      </c>
    </row>
    <row r="3183">
      <c r="A3183" s="19" t="inlineStr">
        <is>
          <t>FY27</t>
        </is>
      </c>
      <c r="B3183" s="19" t="inlineStr">
        <is>
          <t>Jul</t>
        </is>
      </c>
      <c r="C3183" s="19" t="inlineStr">
        <is>
          <t>TN</t>
        </is>
      </c>
      <c r="D3183" s="20" t="inlineStr">
        <is>
          <t>TN12J6886</t>
        </is>
      </c>
      <c r="E3183" s="20" t="inlineStr">
        <is>
          <t>MARUTI</t>
        </is>
      </c>
      <c r="F3183" s="20" t="inlineStr">
        <is>
          <t>Swift</t>
        </is>
      </c>
      <c r="G3183" s="21" t="n">
        <v>2015</v>
      </c>
      <c r="H3183" s="22" t="n">
        <v>105673</v>
      </c>
      <c r="I3183" s="23" t="n">
        <v>365000</v>
      </c>
      <c r="J3183" s="20" t="inlineStr">
        <is>
          <t>CASTLE TRADERS Maruti</t>
        </is>
      </c>
      <c r="K3183" s="20" t="inlineStr">
        <is>
          <t>Non-Captive</t>
        </is>
      </c>
      <c r="L3183" s="20" t="inlineStr">
        <is>
          <t>33cars</t>
        </is>
      </c>
      <c r="M3183" s="23" t="n">
        <v>8474.58</v>
      </c>
      <c r="N3183" s="23" t="n">
        <v>10000</v>
      </c>
      <c r="O3183" s="24">
        <f>IF(AND(ISNUMBER(M3183), ISNUMBER(I3183), I3183&gt;0), M3183/I3183, "")</f>
        <v/>
      </c>
    </row>
    <row r="3184">
      <c r="A3184" s="19" t="inlineStr">
        <is>
          <t>FY27</t>
        </is>
      </c>
      <c r="B3184" s="19" t="inlineStr">
        <is>
          <t>Jul</t>
        </is>
      </c>
      <c r="C3184" s="19" t="inlineStr">
        <is>
          <t>TN</t>
        </is>
      </c>
      <c r="D3184" s="20" t="inlineStr">
        <is>
          <t>TN01AW2671</t>
        </is>
      </c>
      <c r="E3184" s="20" t="inlineStr">
        <is>
          <t>HONDA</t>
        </is>
      </c>
      <c r="F3184" s="20" t="inlineStr">
        <is>
          <t>City</t>
        </is>
      </c>
      <c r="G3184" s="21" t="n">
        <v>2014</v>
      </c>
      <c r="H3184" s="22" t="n">
        <v>93755</v>
      </c>
      <c r="I3184" s="23" t="n">
        <v>360000</v>
      </c>
      <c r="J3184" s="20" t="inlineStr">
        <is>
          <t>EXCHANGE CHENNAI</t>
        </is>
      </c>
      <c r="K3184" s="20" t="inlineStr">
        <is>
          <t>Captive</t>
        </is>
      </c>
      <c r="L3184" s="20" t="inlineStr">
        <is>
          <t>Maruthi Industries</t>
        </is>
      </c>
      <c r="M3184" s="23" t="n">
        <v>6779.66</v>
      </c>
      <c r="N3184" s="23" t="n">
        <v>8000</v>
      </c>
      <c r="O3184" s="24">
        <f>IF(AND(ISNUMBER(M3184), ISNUMBER(I3184), I3184&gt;0), M3184/I3184, "")</f>
        <v/>
      </c>
    </row>
    <row r="3185">
      <c r="A3185" s="19" t="inlineStr">
        <is>
          <t>FY27</t>
        </is>
      </c>
      <c r="B3185" s="19" t="inlineStr">
        <is>
          <t>Jul</t>
        </is>
      </c>
      <c r="C3185" s="19" t="inlineStr">
        <is>
          <t>TN</t>
        </is>
      </c>
      <c r="D3185" s="20" t="inlineStr">
        <is>
          <t>TN06AE6322</t>
        </is>
      </c>
      <c r="E3185" s="20" t="inlineStr">
        <is>
          <t>TATA</t>
        </is>
      </c>
      <c r="F3185" s="20" t="inlineStr">
        <is>
          <t>Nexon</t>
        </is>
      </c>
      <c r="G3185" s="21" t="n">
        <v>2023</v>
      </c>
      <c r="H3185" s="22" t="n">
        <v>31154</v>
      </c>
      <c r="I3185" s="23" t="n">
        <v>630000</v>
      </c>
      <c r="J3185" s="20" t="inlineStr">
        <is>
          <t>EXCHANGE CHENNAI</t>
        </is>
      </c>
      <c r="K3185" s="20" t="inlineStr">
        <is>
          <t>Captive</t>
        </is>
      </c>
      <c r="L3185" s="20" t="inlineStr">
        <is>
          <t>SANTHOSH CARS</t>
        </is>
      </c>
      <c r="M3185" s="23" t="n">
        <v>7627.12</v>
      </c>
      <c r="N3185" s="23" t="n">
        <v>9000</v>
      </c>
      <c r="O3185" s="24">
        <f>IF(AND(ISNUMBER(M3185), ISNUMBER(I3185), I3185&gt;0), M3185/I3185, "")</f>
        <v/>
      </c>
    </row>
    <row r="3186">
      <c r="A3186" s="19" t="inlineStr">
        <is>
          <t>FY27</t>
        </is>
      </c>
      <c r="B3186" s="19" t="inlineStr">
        <is>
          <t>Jul</t>
        </is>
      </c>
      <c r="C3186" s="19" t="inlineStr">
        <is>
          <t>TN</t>
        </is>
      </c>
      <c r="D3186" s="20" t="inlineStr">
        <is>
          <t>TN10K9686</t>
        </is>
      </c>
      <c r="E3186" s="20" t="inlineStr">
        <is>
          <t>MARUTI</t>
        </is>
      </c>
      <c r="F3186" s="20" t="inlineStr">
        <is>
          <t>Alto</t>
        </is>
      </c>
      <c r="G3186" s="21" t="n">
        <v>2007</v>
      </c>
      <c r="H3186" s="22" t="n">
        <v>124965</v>
      </c>
      <c r="I3186" s="23" t="n">
        <v>50000</v>
      </c>
      <c r="J3186" s="20" t="inlineStr">
        <is>
          <t>EXCHANGE CHENNAI</t>
        </is>
      </c>
      <c r="K3186" s="20" t="inlineStr">
        <is>
          <t>Captive</t>
        </is>
      </c>
      <c r="L3186" s="20" t="inlineStr">
        <is>
          <t>SANTHOSH CARS</t>
        </is>
      </c>
      <c r="M3186" s="23" t="n">
        <v>4237.29</v>
      </c>
      <c r="N3186" s="23" t="n">
        <v>5000</v>
      </c>
      <c r="O3186" s="24">
        <f>IF(AND(ISNUMBER(M3186), ISNUMBER(I3186), I3186&gt;0), M3186/I3186, "")</f>
        <v/>
      </c>
    </row>
    <row r="3187">
      <c r="A3187" s="19" t="inlineStr">
        <is>
          <t>FY27</t>
        </is>
      </c>
      <c r="B3187" s="19" t="inlineStr">
        <is>
          <t>Jul</t>
        </is>
      </c>
      <c r="C3187" s="19" t="inlineStr">
        <is>
          <t>TN</t>
        </is>
      </c>
      <c r="D3187" s="20" t="inlineStr">
        <is>
          <t>TN02BK3573</t>
        </is>
      </c>
      <c r="E3187" s="20" t="inlineStr">
        <is>
          <t>HYUNDAI</t>
        </is>
      </c>
      <c r="F3187" s="20" t="inlineStr">
        <is>
          <t>I20</t>
        </is>
      </c>
      <c r="G3187" s="21" t="n">
        <v>2017</v>
      </c>
      <c r="H3187" s="22" t="n">
        <v>98244</v>
      </c>
      <c r="I3187" s="23" t="n">
        <v>450000</v>
      </c>
      <c r="J3187" s="20" t="inlineStr">
        <is>
          <t>EXCHANGE CHENNAI</t>
        </is>
      </c>
      <c r="K3187" s="20" t="inlineStr">
        <is>
          <t>Captive</t>
        </is>
      </c>
      <c r="L3187" s="20" t="inlineStr">
        <is>
          <t>NIRMAL CARS</t>
        </is>
      </c>
      <c r="M3187" s="23" t="n">
        <v>8474.58</v>
      </c>
      <c r="N3187" s="23" t="n">
        <v>10000</v>
      </c>
      <c r="O3187" s="24">
        <f>IF(AND(ISNUMBER(M3187), ISNUMBER(I3187), I3187&gt;0), M3187/I3187, "")</f>
        <v/>
      </c>
    </row>
    <row r="3188">
      <c r="A3188" s="19" t="inlineStr">
        <is>
          <t>FY27</t>
        </is>
      </c>
      <c r="B3188" s="19" t="inlineStr">
        <is>
          <t>Jul</t>
        </is>
      </c>
      <c r="C3188" s="19" t="inlineStr">
        <is>
          <t>TN</t>
        </is>
      </c>
      <c r="D3188" s="20" t="inlineStr">
        <is>
          <t>TN10AQ5845</t>
        </is>
      </c>
      <c r="E3188" s="20" t="inlineStr">
        <is>
          <t>HONDA</t>
        </is>
      </c>
      <c r="F3188" s="20" t="inlineStr">
        <is>
          <t>City</t>
        </is>
      </c>
      <c r="G3188" s="21" t="n">
        <v>2014</v>
      </c>
      <c r="H3188" s="22" t="n">
        <v>102084</v>
      </c>
      <c r="I3188" s="23" t="n">
        <v>400000</v>
      </c>
      <c r="J3188" s="20" t="inlineStr">
        <is>
          <t>EXCHANGE CHENNAI</t>
        </is>
      </c>
      <c r="K3188" s="20" t="inlineStr">
        <is>
          <t>Captive</t>
        </is>
      </c>
      <c r="L3188" s="20" t="inlineStr">
        <is>
          <t>Maruthi Industries</t>
        </is>
      </c>
      <c r="M3188" s="23" t="n">
        <v>8474.58</v>
      </c>
      <c r="N3188" s="23" t="n">
        <v>10000</v>
      </c>
      <c r="O3188" s="24">
        <f>IF(AND(ISNUMBER(M3188), ISNUMBER(I3188), I3188&gt;0), M3188/I3188, "")</f>
        <v/>
      </c>
    </row>
    <row r="3189">
      <c r="A3189" s="19" t="inlineStr">
        <is>
          <t>FY27</t>
        </is>
      </c>
      <c r="B3189" s="19" t="inlineStr">
        <is>
          <t>Jul</t>
        </is>
      </c>
      <c r="C3189" s="19" t="inlineStr">
        <is>
          <t>TN</t>
        </is>
      </c>
      <c r="D3189" s="20" t="inlineStr">
        <is>
          <t>TN14AD5187</t>
        </is>
      </c>
      <c r="E3189" s="20" t="inlineStr">
        <is>
          <t>MARUTI</t>
        </is>
      </c>
      <c r="F3189" s="20" t="inlineStr">
        <is>
          <t>Baleno</t>
        </is>
      </c>
      <c r="G3189" s="21" t="n">
        <v>2023</v>
      </c>
      <c r="H3189" s="22" t="n">
        <v>38403</v>
      </c>
      <c r="I3189" s="23" t="n">
        <v>92000</v>
      </c>
      <c r="J3189" s="20" t="inlineStr">
        <is>
          <t>GURUDEV MOTORS LLP</t>
        </is>
      </c>
      <c r="K3189" s="20" t="inlineStr">
        <is>
          <t>Non-Captive</t>
        </is>
      </c>
      <c r="L3189" s="20" t="inlineStr">
        <is>
          <t>GRID 33</t>
        </is>
      </c>
      <c r="M3189" s="23" t="n">
        <v>4237.29</v>
      </c>
      <c r="N3189" s="23" t="n">
        <v>5000</v>
      </c>
      <c r="O3189" s="24">
        <f>IF(AND(ISNUMBER(M3189), ISNUMBER(I3189), I3189&gt;0), M3189/I3189, "")</f>
        <v/>
      </c>
    </row>
    <row r="3190">
      <c r="A3190" s="19" t="inlineStr">
        <is>
          <t>FY27</t>
        </is>
      </c>
      <c r="B3190" s="19" t="inlineStr">
        <is>
          <t>Jul</t>
        </is>
      </c>
      <c r="C3190" s="19" t="inlineStr">
        <is>
          <t>TN</t>
        </is>
      </c>
      <c r="D3190" s="20" t="inlineStr">
        <is>
          <t>TN05BC2814</t>
        </is>
      </c>
      <c r="E3190" s="20" t="inlineStr">
        <is>
          <t>MARUTI</t>
        </is>
      </c>
      <c r="F3190" s="20" t="inlineStr">
        <is>
          <t>Eeco</t>
        </is>
      </c>
      <c r="G3190" s="21" t="n">
        <v>2015</v>
      </c>
      <c r="H3190" s="22" t="n">
        <v>114219</v>
      </c>
      <c r="I3190" s="23" t="n">
        <v>97000</v>
      </c>
      <c r="J3190" s="20" t="inlineStr">
        <is>
          <t>STEER AUTO TECHNOLOGIES PRIVATE LIMITED</t>
        </is>
      </c>
      <c r="K3190" s="20" t="inlineStr">
        <is>
          <t>Non-Captive</t>
        </is>
      </c>
      <c r="L3190" s="20" t="inlineStr">
        <is>
          <t>Senthil Cars</t>
        </is>
      </c>
      <c r="M3190" s="23" t="n">
        <v>4237.29</v>
      </c>
      <c r="N3190" s="23" t="n">
        <v>5000</v>
      </c>
      <c r="O3190" s="24">
        <f>IF(AND(ISNUMBER(M3190), ISNUMBER(I3190), I3190&gt;0), M3190/I3190, "")</f>
        <v/>
      </c>
    </row>
    <row r="3191">
      <c r="A3191" s="19" t="inlineStr">
        <is>
          <t>FY27</t>
        </is>
      </c>
      <c r="B3191" s="19" t="inlineStr">
        <is>
          <t>Jul</t>
        </is>
      </c>
      <c r="C3191" s="19" t="inlineStr">
        <is>
          <t>TN</t>
        </is>
      </c>
      <c r="D3191" s="20" t="inlineStr">
        <is>
          <t>TN02BA4987</t>
        </is>
      </c>
      <c r="E3191" s="20" t="inlineStr">
        <is>
          <t>HONDA</t>
        </is>
      </c>
      <c r="F3191" s="20" t="inlineStr">
        <is>
          <t>Amaze</t>
        </is>
      </c>
      <c r="G3191" s="21" t="n">
        <v>2014</v>
      </c>
      <c r="H3191" s="22" t="n">
        <v>23490</v>
      </c>
      <c r="I3191" s="23" t="n">
        <v>98000</v>
      </c>
      <c r="J3191" s="20" t="inlineStr">
        <is>
          <t>CAR HUB</t>
        </is>
      </c>
      <c r="K3191" s="20" t="inlineStr">
        <is>
          <t>Non-Captive</t>
        </is>
      </c>
      <c r="L3191" s="20" t="inlineStr">
        <is>
          <t>NIRMAL CARS</t>
        </is>
      </c>
      <c r="M3191" s="23" t="n">
        <v>4237.29</v>
      </c>
      <c r="N3191" s="23" t="n">
        <v>5000</v>
      </c>
      <c r="O3191" s="24">
        <f>IF(AND(ISNUMBER(M3191), ISNUMBER(I3191), I3191&gt;0), M3191/I3191, "")</f>
        <v/>
      </c>
    </row>
    <row r="3192">
      <c r="A3192" s="19" t="inlineStr">
        <is>
          <t>FY27</t>
        </is>
      </c>
      <c r="B3192" s="19" t="inlineStr">
        <is>
          <t>Jul</t>
        </is>
      </c>
      <c r="C3192" s="19" t="inlineStr">
        <is>
          <t>TN</t>
        </is>
      </c>
      <c r="D3192" s="20" t="inlineStr">
        <is>
          <t>TN20DD5494</t>
        </is>
      </c>
      <c r="E3192" s="20" t="inlineStr">
        <is>
          <t>MARUTI</t>
        </is>
      </c>
      <c r="F3192" s="20" t="inlineStr">
        <is>
          <t>Xl6</t>
        </is>
      </c>
      <c r="G3192" s="21" t="n">
        <v>2022</v>
      </c>
      <c r="H3192" s="22" t="n">
        <v>38895</v>
      </c>
      <c r="I3192" s="23" t="n">
        <v>95000</v>
      </c>
      <c r="J3192" s="20" t="inlineStr">
        <is>
          <t>KALYANIMOTORS MARUTHI</t>
        </is>
      </c>
      <c r="K3192" s="20" t="inlineStr">
        <is>
          <t>Non-Captive</t>
        </is>
      </c>
      <c r="L3192" s="20" t="inlineStr">
        <is>
          <t>GRID 33</t>
        </is>
      </c>
      <c r="M3192" s="23" t="n">
        <v>4237.29</v>
      </c>
      <c r="N3192" s="23" t="n">
        <v>5000</v>
      </c>
      <c r="O3192" s="24">
        <f>IF(AND(ISNUMBER(M3192), ISNUMBER(I3192), I3192&gt;0), M3192/I3192, "")</f>
        <v/>
      </c>
    </row>
    <row r="3193">
      <c r="A3193" s="19" t="inlineStr">
        <is>
          <t>FY27</t>
        </is>
      </c>
      <c r="B3193" s="19" t="inlineStr">
        <is>
          <t>Jul</t>
        </is>
      </c>
      <c r="C3193" s="19" t="inlineStr">
        <is>
          <t>TN</t>
        </is>
      </c>
      <c r="D3193" s="20" t="inlineStr">
        <is>
          <t>TN20DC1676</t>
        </is>
      </c>
      <c r="E3193" s="20" t="inlineStr">
        <is>
          <t>MARUTI</t>
        </is>
      </c>
      <c r="F3193" s="20" t="inlineStr">
        <is>
          <t>Spresso</t>
        </is>
      </c>
      <c r="G3193" s="21" t="n">
        <v>2021</v>
      </c>
      <c r="H3193" s="22" t="n">
        <v>129559</v>
      </c>
      <c r="I3193" s="23" t="n">
        <v>99000</v>
      </c>
      <c r="J3193" s="20" t="inlineStr">
        <is>
          <t>Rajalakshmi Cars</t>
        </is>
      </c>
      <c r="K3193" s="20" t="inlineStr">
        <is>
          <t>Non-Captive</t>
        </is>
      </c>
      <c r="L3193" s="20" t="inlineStr">
        <is>
          <t>Senthil Cars</t>
        </is>
      </c>
      <c r="M3193" s="23" t="n">
        <v>4237.29</v>
      </c>
      <c r="N3193" s="23" t="n">
        <v>5000</v>
      </c>
      <c r="O3193" s="24">
        <f>IF(AND(ISNUMBER(M3193), ISNUMBER(I3193), I3193&gt;0), M3193/I3193, "")</f>
        <v/>
      </c>
    </row>
    <row r="3194">
      <c r="A3194" s="19" t="inlineStr">
        <is>
          <t>FY27</t>
        </is>
      </c>
      <c r="B3194" s="19" t="inlineStr">
        <is>
          <t>Jul</t>
        </is>
      </c>
      <c r="C3194" s="19" t="inlineStr">
        <is>
          <t>TN</t>
        </is>
      </c>
      <c r="D3194" s="20" t="inlineStr">
        <is>
          <t>TN18AL3693</t>
        </is>
      </c>
      <c r="E3194" s="20" t="inlineStr">
        <is>
          <t>MARUTI</t>
        </is>
      </c>
      <c r="F3194" s="20" t="inlineStr">
        <is>
          <t>Celerio</t>
        </is>
      </c>
      <c r="G3194" s="21" t="n">
        <v>2017</v>
      </c>
      <c r="H3194" s="22" t="n">
        <v>88502</v>
      </c>
      <c r="I3194" s="23" t="n">
        <v>97000</v>
      </c>
      <c r="J3194" s="20" t="inlineStr">
        <is>
          <t>Cresco cars</t>
        </is>
      </c>
      <c r="K3194" s="20" t="inlineStr">
        <is>
          <t>Non-Captive</t>
        </is>
      </c>
      <c r="L3194" s="20" t="inlineStr">
        <is>
          <t>Senthil Cars</t>
        </is>
      </c>
      <c r="M3194" s="23" t="n">
        <v>4237.29</v>
      </c>
      <c r="N3194" s="23" t="n">
        <v>5000</v>
      </c>
      <c r="O3194" s="24">
        <f>IF(AND(ISNUMBER(M3194), ISNUMBER(I3194), I3194&gt;0), M3194/I3194, "")</f>
        <v/>
      </c>
    </row>
    <row r="3195">
      <c r="A3195" s="19" t="inlineStr">
        <is>
          <t>FY27</t>
        </is>
      </c>
      <c r="B3195" s="19" t="inlineStr">
        <is>
          <t>Jul</t>
        </is>
      </c>
      <c r="C3195" s="19" t="inlineStr">
        <is>
          <t>TN</t>
        </is>
      </c>
      <c r="D3195" s="20" t="inlineStr">
        <is>
          <t>TN04AL5721</t>
        </is>
      </c>
      <c r="E3195" s="20" t="inlineStr">
        <is>
          <t>FIAT</t>
        </is>
      </c>
      <c r="F3195" s="20" t="inlineStr">
        <is>
          <t>Punto</t>
        </is>
      </c>
      <c r="G3195" s="21" t="n">
        <v>2013</v>
      </c>
      <c r="H3195" s="22" t="n">
        <v>108706</v>
      </c>
      <c r="I3195" s="23" t="n">
        <v>93000</v>
      </c>
      <c r="J3195" s="20" t="inlineStr">
        <is>
          <t>NIRMAL CARS</t>
        </is>
      </c>
      <c r="K3195" s="20" t="inlineStr">
        <is>
          <t>Non-Captive</t>
        </is>
      </c>
      <c r="L3195" s="20" t="inlineStr">
        <is>
          <t>Senthil Cars</t>
        </is>
      </c>
      <c r="M3195" s="23" t="n">
        <v>4237.29</v>
      </c>
      <c r="N3195" s="23" t="n">
        <v>5000</v>
      </c>
      <c r="O3195" s="24">
        <f>IF(AND(ISNUMBER(M3195), ISNUMBER(I3195), I3195&gt;0), M3195/I3195, "")</f>
        <v/>
      </c>
    </row>
    <row r="3196">
      <c r="A3196" s="19" t="inlineStr">
        <is>
          <t>FY27</t>
        </is>
      </c>
      <c r="B3196" s="19" t="inlineStr">
        <is>
          <t>Jul</t>
        </is>
      </c>
      <c r="C3196" s="19" t="inlineStr">
        <is>
          <t>TN</t>
        </is>
      </c>
      <c r="D3196" s="20" t="inlineStr">
        <is>
          <t>TN10U0936</t>
        </is>
      </c>
      <c r="E3196" s="20" t="inlineStr">
        <is>
          <t>HYUNDAI</t>
        </is>
      </c>
      <c r="F3196" s="20" t="inlineStr">
        <is>
          <t>I10</t>
        </is>
      </c>
      <c r="G3196" s="21" t="n">
        <v>2008</v>
      </c>
      <c r="H3196" s="22" t="n">
        <v>110063</v>
      </c>
      <c r="I3196" s="23" t="n">
        <v>97000</v>
      </c>
      <c r="J3196" s="20" t="inlineStr">
        <is>
          <t>CAR HUB</t>
        </is>
      </c>
      <c r="K3196" s="20" t="inlineStr">
        <is>
          <t>Non-Captive</t>
        </is>
      </c>
      <c r="L3196" s="20" t="inlineStr">
        <is>
          <t>NIRMAL CARS</t>
        </is>
      </c>
      <c r="M3196" s="23" t="n">
        <v>4237.29</v>
      </c>
      <c r="N3196" s="23" t="n">
        <v>5000</v>
      </c>
      <c r="O3196" s="24">
        <f>IF(AND(ISNUMBER(M3196), ISNUMBER(I3196), I3196&gt;0), M3196/I3196, "")</f>
        <v/>
      </c>
    </row>
    <row r="3197">
      <c r="A3197" s="19" t="inlineStr">
        <is>
          <t>FY27</t>
        </is>
      </c>
      <c r="B3197" s="19" t="inlineStr">
        <is>
          <t>Jul</t>
        </is>
      </c>
      <c r="C3197" s="19" t="inlineStr">
        <is>
          <t>TN</t>
        </is>
      </c>
      <c r="D3197" s="20" t="inlineStr">
        <is>
          <t>TN36S8898</t>
        </is>
      </c>
      <c r="E3197" s="20" t="inlineStr">
        <is>
          <t>CHEVROLET</t>
        </is>
      </c>
      <c r="F3197" s="20" t="inlineStr">
        <is>
          <t>Spark</t>
        </is>
      </c>
      <c r="G3197" s="21" t="n">
        <v>2011</v>
      </c>
      <c r="H3197" s="22" t="n">
        <v>69451</v>
      </c>
      <c r="I3197" s="23" t="n">
        <v>96000</v>
      </c>
      <c r="J3197" s="20" t="inlineStr">
        <is>
          <t>CAR HUB</t>
        </is>
      </c>
      <c r="K3197" s="20" t="inlineStr">
        <is>
          <t>Non-Captive</t>
        </is>
      </c>
      <c r="L3197" s="20" t="inlineStr">
        <is>
          <t>Trust On Wheels</t>
        </is>
      </c>
      <c r="M3197" s="23" t="n">
        <v>4237.29</v>
      </c>
      <c r="N3197" s="23" t="n">
        <v>5000</v>
      </c>
      <c r="O3197" s="24">
        <f>IF(AND(ISNUMBER(M3197), ISNUMBER(I3197), I3197&gt;0), M3197/I3197, "")</f>
        <v/>
      </c>
    </row>
    <row r="3198">
      <c r="A3198" s="19" t="inlineStr">
        <is>
          <t>FY27</t>
        </is>
      </c>
      <c r="B3198" s="19" t="inlineStr">
        <is>
          <t>Jul</t>
        </is>
      </c>
      <c r="C3198" s="19" t="inlineStr">
        <is>
          <t>TN</t>
        </is>
      </c>
      <c r="D3198" s="20" t="inlineStr">
        <is>
          <t>TN02W7938</t>
        </is>
      </c>
      <c r="E3198" s="20" t="inlineStr">
        <is>
          <t>MARUTI</t>
        </is>
      </c>
      <c r="F3198" s="20" t="inlineStr">
        <is>
          <t>Zen</t>
        </is>
      </c>
      <c r="G3198" s="21" t="n">
        <v>2006</v>
      </c>
      <c r="H3198" s="22" t="n">
        <v>52033</v>
      </c>
      <c r="I3198" s="23" t="n">
        <v>94000</v>
      </c>
      <c r="J3198" s="20" t="inlineStr">
        <is>
          <t>Rajalakshmi Cars</t>
        </is>
      </c>
      <c r="K3198" s="20" t="inlineStr">
        <is>
          <t>Non-Captive</t>
        </is>
      </c>
      <c r="L3198" s="20" t="inlineStr">
        <is>
          <t>Senthil Cars</t>
        </is>
      </c>
      <c r="M3198" s="23" t="n">
        <v>4237.29</v>
      </c>
      <c r="N3198" s="23" t="n">
        <v>5000</v>
      </c>
      <c r="O3198" s="24">
        <f>IF(AND(ISNUMBER(M3198), ISNUMBER(I3198), I3198&gt;0), M3198/I3198, "")</f>
        <v/>
      </c>
    </row>
    <row r="3199">
      <c r="A3199" s="19" t="inlineStr">
        <is>
          <t>FY27</t>
        </is>
      </c>
      <c r="B3199" s="19" t="inlineStr">
        <is>
          <t>Jul</t>
        </is>
      </c>
      <c r="C3199" s="19" t="inlineStr">
        <is>
          <t>TN</t>
        </is>
      </c>
      <c r="D3199" s="20" t="inlineStr">
        <is>
          <t>TN18H9096</t>
        </is>
      </c>
      <c r="E3199" s="20" t="inlineStr">
        <is>
          <t>TATA</t>
        </is>
      </c>
      <c r="F3199" s="20" t="inlineStr">
        <is>
          <t>Indica</t>
        </is>
      </c>
      <c r="G3199" s="21" t="n">
        <v>2011</v>
      </c>
      <c r="H3199" s="22" t="n">
        <v>121852</v>
      </c>
      <c r="I3199" s="23" t="n">
        <v>98000</v>
      </c>
      <c r="J3199" s="20" t="inlineStr">
        <is>
          <t>Rajalakshmi Cars</t>
        </is>
      </c>
      <c r="K3199" s="20" t="inlineStr">
        <is>
          <t>Non-Captive</t>
        </is>
      </c>
      <c r="L3199" s="20" t="inlineStr">
        <is>
          <t>Senthil Cars</t>
        </is>
      </c>
      <c r="M3199" s="23" t="n">
        <v>4237.29</v>
      </c>
      <c r="N3199" s="23" t="n">
        <v>5000</v>
      </c>
      <c r="O3199" s="24">
        <f>IF(AND(ISNUMBER(M3199), ISNUMBER(I3199), I3199&gt;0), M3199/I3199, "")</f>
        <v/>
      </c>
    </row>
    <row r="3200">
      <c r="A3200" s="19" t="inlineStr">
        <is>
          <t>FY27</t>
        </is>
      </c>
      <c r="B3200" s="19" t="inlineStr">
        <is>
          <t>Jul</t>
        </is>
      </c>
      <c r="C3200" s="19" t="inlineStr">
        <is>
          <t>TN</t>
        </is>
      </c>
      <c r="D3200" s="20" t="inlineStr">
        <is>
          <t>TN02AP4052</t>
        </is>
      </c>
      <c r="E3200" s="20" t="inlineStr">
        <is>
          <t>MARUTI</t>
        </is>
      </c>
      <c r="F3200" s="20" t="inlineStr">
        <is>
          <t>Alto</t>
        </is>
      </c>
      <c r="G3200" s="21" t="n">
        <v>2010</v>
      </c>
      <c r="H3200" s="22" t="n">
        <v>91311</v>
      </c>
      <c r="I3200" s="23" t="n">
        <v>99000</v>
      </c>
      <c r="J3200" s="20" t="inlineStr">
        <is>
          <t>CARS INDIA</t>
        </is>
      </c>
      <c r="K3200" s="20" t="inlineStr">
        <is>
          <t>Non-Captive</t>
        </is>
      </c>
      <c r="L3200" s="20" t="inlineStr">
        <is>
          <t>AAA CARS</t>
        </is>
      </c>
      <c r="M3200" s="23" t="n">
        <v>4237.29</v>
      </c>
      <c r="N3200" s="23" t="n">
        <v>5000</v>
      </c>
      <c r="O3200" s="24">
        <f>IF(AND(ISNUMBER(M3200), ISNUMBER(I3200), I3200&gt;0), M3200/I3200, "")</f>
        <v/>
      </c>
    </row>
    <row r="3201">
      <c r="A3201" s="19" t="inlineStr">
        <is>
          <t>FY27</t>
        </is>
      </c>
      <c r="B3201" s="19" t="inlineStr">
        <is>
          <t>Jul</t>
        </is>
      </c>
      <c r="C3201" s="19" t="inlineStr">
        <is>
          <t>TN</t>
        </is>
      </c>
      <c r="D3201" s="20" t="inlineStr">
        <is>
          <t>TN20BT3060</t>
        </is>
      </c>
      <c r="E3201" s="20" t="inlineStr">
        <is>
          <t>CHEVROLET</t>
        </is>
      </c>
      <c r="F3201" s="20" t="inlineStr">
        <is>
          <t>Beat</t>
        </is>
      </c>
      <c r="G3201" s="21" t="n">
        <v>2010</v>
      </c>
      <c r="H3201" s="22" t="n">
        <v>93860</v>
      </c>
      <c r="I3201" s="23" t="n">
        <v>93500</v>
      </c>
      <c r="J3201" s="20" t="inlineStr">
        <is>
          <t>CARS INDIA</t>
        </is>
      </c>
      <c r="K3201" s="20" t="inlineStr">
        <is>
          <t>Non-Captive</t>
        </is>
      </c>
      <c r="L3201" s="20" t="inlineStr">
        <is>
          <t>AAA CARS</t>
        </is>
      </c>
      <c r="M3201" s="23" t="n">
        <v>4237.29</v>
      </c>
      <c r="N3201" s="23" t="n">
        <v>5000</v>
      </c>
      <c r="O3201" s="24">
        <f>IF(AND(ISNUMBER(M3201), ISNUMBER(I3201), I3201&gt;0), M3201/I3201, "")</f>
        <v/>
      </c>
    </row>
    <row r="3202">
      <c r="A3202" s="19" t="inlineStr">
        <is>
          <t>FY27</t>
        </is>
      </c>
      <c r="B3202" s="19" t="inlineStr">
        <is>
          <t>Jul</t>
        </is>
      </c>
      <c r="C3202" s="19" t="inlineStr">
        <is>
          <t>TN</t>
        </is>
      </c>
      <c r="D3202" s="20" t="inlineStr">
        <is>
          <t>TN31BZ6363</t>
        </is>
      </c>
      <c r="E3202" s="20" t="inlineStr">
        <is>
          <t>CHEVROLET</t>
        </is>
      </c>
      <c r="F3202" s="20" t="inlineStr">
        <is>
          <t>Spark</t>
        </is>
      </c>
      <c r="G3202" s="21" t="n">
        <v>2009</v>
      </c>
      <c r="H3202" s="22" t="n">
        <v>69451</v>
      </c>
      <c r="I3202" s="23" t="n">
        <v>92000</v>
      </c>
      <c r="J3202" s="20" t="inlineStr">
        <is>
          <t>STEER AUTO TECHNOLOGIES PRIVATE LIMITED</t>
        </is>
      </c>
      <c r="K3202" s="20" t="inlineStr">
        <is>
          <t>Non-Captive</t>
        </is>
      </c>
      <c r="L3202" s="20" t="inlineStr">
        <is>
          <t>AAA CARS</t>
        </is>
      </c>
      <c r="M3202" s="23" t="n">
        <v>4237.29</v>
      </c>
      <c r="N3202" s="23" t="n">
        <v>5000</v>
      </c>
      <c r="O3202" s="24">
        <f>IF(AND(ISNUMBER(M3202), ISNUMBER(I3202), I3202&gt;0), M3202/I3202, "")</f>
        <v/>
      </c>
    </row>
    <row r="3203">
      <c r="A3203" s="19" t="inlineStr">
        <is>
          <t>FY27</t>
        </is>
      </c>
      <c r="B3203" s="19" t="inlineStr">
        <is>
          <t>Jul</t>
        </is>
      </c>
      <c r="C3203" s="19" t="inlineStr">
        <is>
          <t>TN</t>
        </is>
      </c>
      <c r="D3203" s="20" t="inlineStr">
        <is>
          <t>TN04AH9538</t>
        </is>
      </c>
      <c r="E3203" s="20" t="inlineStr">
        <is>
          <t>MARUTI</t>
        </is>
      </c>
      <c r="F3203" s="20" t="inlineStr">
        <is>
          <t>Eeco</t>
        </is>
      </c>
      <c r="G3203" s="21" t="n">
        <v>2011</v>
      </c>
      <c r="H3203" s="22" t="n">
        <v>20314</v>
      </c>
      <c r="I3203" s="23" t="n">
        <v>398000</v>
      </c>
      <c r="J3203" s="20" t="inlineStr">
        <is>
          <t>STEER AUTO TECHNOLOGIES PRIVATE LIMITED</t>
        </is>
      </c>
      <c r="K3203" s="20" t="inlineStr">
        <is>
          <t>Non-Captive</t>
        </is>
      </c>
      <c r="L3203" s="20" t="inlineStr">
        <is>
          <t>NIRMAL CARS</t>
        </is>
      </c>
      <c r="M3203" s="23" t="n">
        <v>6779.66</v>
      </c>
      <c r="N3203" s="23" t="n">
        <v>8000</v>
      </c>
      <c r="O3203" s="24">
        <f>IF(AND(ISNUMBER(M3203), ISNUMBER(I3203), I3203&gt;0), M3203/I3203, "")</f>
        <v/>
      </c>
    </row>
    <row r="3204">
      <c r="A3204" s="19" t="inlineStr">
        <is>
          <t>FY27</t>
        </is>
      </c>
      <c r="B3204" s="19" t="inlineStr">
        <is>
          <t>Jul</t>
        </is>
      </c>
      <c r="C3204" s="19" t="inlineStr">
        <is>
          <t>TN</t>
        </is>
      </c>
      <c r="D3204" s="20" t="inlineStr">
        <is>
          <t>TN01AE7062</t>
        </is>
      </c>
      <c r="E3204" s="20" t="inlineStr">
        <is>
          <t>MARUTI</t>
        </is>
      </c>
      <c r="F3204" s="20" t="inlineStr">
        <is>
          <t>Alto</t>
        </is>
      </c>
      <c r="G3204" s="21" t="n">
        <v>2007</v>
      </c>
      <c r="H3204" s="22" t="n">
        <v>126715</v>
      </c>
      <c r="I3204" s="23" t="n">
        <v>92000</v>
      </c>
      <c r="J3204" s="20" t="inlineStr">
        <is>
          <t>KALYANIMOTORS MARUTHI</t>
        </is>
      </c>
      <c r="K3204" s="20" t="inlineStr">
        <is>
          <t>Non-Captive</t>
        </is>
      </c>
      <c r="L3204" s="20" t="inlineStr">
        <is>
          <t>Senthil Cars</t>
        </is>
      </c>
      <c r="M3204" s="23" t="n">
        <v>4237.29</v>
      </c>
      <c r="N3204" s="23" t="n">
        <v>5000</v>
      </c>
      <c r="O3204" s="24">
        <f>IF(AND(ISNUMBER(M3204), ISNUMBER(I3204), I3204&gt;0), M3204/I3204, "")</f>
        <v/>
      </c>
    </row>
    <row r="3205">
      <c r="A3205" s="19" t="inlineStr">
        <is>
          <t>FY27</t>
        </is>
      </c>
      <c r="B3205" s="19" t="inlineStr">
        <is>
          <t>Jul</t>
        </is>
      </c>
      <c r="C3205" s="19" t="inlineStr">
        <is>
          <t>TN</t>
        </is>
      </c>
      <c r="D3205" s="20" t="inlineStr">
        <is>
          <t>TN06C0912</t>
        </is>
      </c>
      <c r="E3205" s="20" t="inlineStr">
        <is>
          <t>MARUTI</t>
        </is>
      </c>
      <c r="F3205" s="20" t="inlineStr">
        <is>
          <t>Swift</t>
        </is>
      </c>
      <c r="G3205" s="21" t="n">
        <v>2010</v>
      </c>
      <c r="H3205" s="22" t="n">
        <v>137153</v>
      </c>
      <c r="I3205" s="23" t="n">
        <v>95000</v>
      </c>
      <c r="J3205" s="20" t="inlineStr">
        <is>
          <t>Cresco cars</t>
        </is>
      </c>
      <c r="K3205" s="20" t="inlineStr">
        <is>
          <t>Non-Captive</t>
        </is>
      </c>
      <c r="L3205" s="20" t="inlineStr">
        <is>
          <t>Senthil Cars</t>
        </is>
      </c>
      <c r="M3205" s="23" t="n">
        <v>4237.29</v>
      </c>
      <c r="N3205" s="23" t="n">
        <v>5000</v>
      </c>
      <c r="O3205" s="24">
        <f>IF(AND(ISNUMBER(M3205), ISNUMBER(I3205), I3205&gt;0), M3205/I3205, "")</f>
        <v/>
      </c>
    </row>
    <row r="3206">
      <c r="A3206" s="19" t="inlineStr">
        <is>
          <t>FY27</t>
        </is>
      </c>
      <c r="B3206" s="19" t="inlineStr">
        <is>
          <t>Jul</t>
        </is>
      </c>
      <c r="C3206" s="19" t="inlineStr">
        <is>
          <t>TN</t>
        </is>
      </c>
      <c r="D3206" s="20" t="inlineStr">
        <is>
          <t>TN09BD6867</t>
        </is>
      </c>
      <c r="E3206" s="20" t="inlineStr">
        <is>
          <t>HYUNDAI</t>
        </is>
      </c>
      <c r="F3206" s="20" t="inlineStr">
        <is>
          <t>I10</t>
        </is>
      </c>
      <c r="G3206" s="21" t="n">
        <v>2010</v>
      </c>
      <c r="H3206" s="22" t="n">
        <v>49413</v>
      </c>
      <c r="I3206" s="23" t="n">
        <v>98000</v>
      </c>
      <c r="J3206" s="20" t="inlineStr">
        <is>
          <t>VISHNU CARS PRIVATE LIMITED</t>
        </is>
      </c>
      <c r="K3206" s="20" t="inlineStr">
        <is>
          <t>Non-Captive</t>
        </is>
      </c>
      <c r="L3206" s="20" t="inlineStr">
        <is>
          <t>AAA CARS</t>
        </is>
      </c>
      <c r="M3206" s="23" t="n">
        <v>4237.29</v>
      </c>
      <c r="N3206" s="23" t="n">
        <v>5000</v>
      </c>
      <c r="O3206" s="24">
        <f>IF(AND(ISNUMBER(M3206), ISNUMBER(I3206), I3206&gt;0), M3206/I3206, "")</f>
        <v/>
      </c>
    </row>
    <row r="3207">
      <c r="A3207" s="19" t="inlineStr">
        <is>
          <t>FY27</t>
        </is>
      </c>
      <c r="B3207" s="19" t="inlineStr">
        <is>
          <t>Jul</t>
        </is>
      </c>
      <c r="C3207" s="19" t="inlineStr">
        <is>
          <t>TN</t>
        </is>
      </c>
      <c r="D3207" s="20" t="inlineStr">
        <is>
          <t>TN09AF9977</t>
        </is>
      </c>
      <c r="E3207" s="20" t="inlineStr">
        <is>
          <t>HONDA</t>
        </is>
      </c>
      <c r="F3207" s="20" t="inlineStr">
        <is>
          <t>City</t>
        </is>
      </c>
      <c r="G3207" s="21" t="n">
        <v>2004</v>
      </c>
      <c r="H3207" s="22" t="n">
        <v>31768</v>
      </c>
      <c r="I3207" s="23" t="n">
        <v>97000</v>
      </c>
      <c r="J3207" s="20" t="inlineStr">
        <is>
          <t>VISHNU CARS PRIVATE LIMITED</t>
        </is>
      </c>
      <c r="K3207" s="20" t="inlineStr">
        <is>
          <t>Non-Captive</t>
        </is>
      </c>
      <c r="L3207" s="20" t="inlineStr">
        <is>
          <t>AAA CARS</t>
        </is>
      </c>
      <c r="M3207" s="23" t="n">
        <v>4237.29</v>
      </c>
      <c r="N3207" s="23" t="n">
        <v>5000</v>
      </c>
      <c r="O3207" s="24">
        <f>IF(AND(ISNUMBER(M3207), ISNUMBER(I3207), I3207&gt;0), M3207/I3207, "")</f>
        <v/>
      </c>
    </row>
    <row r="3208">
      <c r="A3208" s="19" t="inlineStr">
        <is>
          <t>FY27</t>
        </is>
      </c>
      <c r="B3208" s="19" t="inlineStr">
        <is>
          <t>Jul</t>
        </is>
      </c>
      <c r="C3208" s="19" t="inlineStr">
        <is>
          <t>TN</t>
        </is>
      </c>
      <c r="D3208" s="20" t="inlineStr">
        <is>
          <t>TN07AR7655</t>
        </is>
      </c>
      <c r="E3208" s="20" t="inlineStr">
        <is>
          <t>HYUNDAI</t>
        </is>
      </c>
      <c r="F3208" s="20" t="inlineStr">
        <is>
          <t>Santro</t>
        </is>
      </c>
      <c r="G3208" s="21" t="n">
        <v>2008</v>
      </c>
      <c r="H3208" s="22" t="n">
        <v>63299</v>
      </c>
      <c r="I3208" s="23" t="n">
        <v>99000</v>
      </c>
      <c r="J3208" s="20" t="inlineStr">
        <is>
          <t>AIE CARS PRIVATE LIMITED</t>
        </is>
      </c>
      <c r="K3208" s="20" t="inlineStr">
        <is>
          <t>Non-Captive</t>
        </is>
      </c>
      <c r="L3208" s="20" t="inlineStr">
        <is>
          <t>AAA CARS</t>
        </is>
      </c>
      <c r="M3208" s="23" t="n">
        <v>4237.29</v>
      </c>
      <c r="N3208" s="23" t="n">
        <v>5000</v>
      </c>
      <c r="O3208" s="24">
        <f>IF(AND(ISNUMBER(M3208), ISNUMBER(I3208), I3208&gt;0), M3208/I3208, "")</f>
        <v/>
      </c>
    </row>
    <row r="3209">
      <c r="A3209" s="19" t="inlineStr">
        <is>
          <t>FY27</t>
        </is>
      </c>
      <c r="B3209" s="19" t="inlineStr">
        <is>
          <t>Jul</t>
        </is>
      </c>
      <c r="C3209" s="19" t="inlineStr">
        <is>
          <t>TN</t>
        </is>
      </c>
      <c r="D3209" s="20" t="inlineStr">
        <is>
          <t>TN03E9482</t>
        </is>
      </c>
      <c r="E3209" s="20" t="inlineStr">
        <is>
          <t>MARUTI</t>
        </is>
      </c>
      <c r="F3209" s="20" t="inlineStr">
        <is>
          <t>Swiftdzire</t>
        </is>
      </c>
      <c r="G3209" s="21" t="n">
        <v>2011</v>
      </c>
      <c r="H3209" s="22" t="n">
        <v>100283</v>
      </c>
      <c r="I3209" s="23" t="n">
        <v>93500</v>
      </c>
      <c r="J3209" s="20" t="inlineStr">
        <is>
          <t>AIE CARS PRIVATE LIMITED</t>
        </is>
      </c>
      <c r="K3209" s="20" t="inlineStr">
        <is>
          <t>Non-Captive</t>
        </is>
      </c>
      <c r="L3209" s="20" t="inlineStr">
        <is>
          <t>AAA CARS</t>
        </is>
      </c>
      <c r="M3209" s="23" t="n">
        <v>4237.29</v>
      </c>
      <c r="N3209" s="23" t="n">
        <v>5000</v>
      </c>
      <c r="O3209" s="24">
        <f>IF(AND(ISNUMBER(M3209), ISNUMBER(I3209), I3209&gt;0), M3209/I3209, "")</f>
        <v/>
      </c>
    </row>
    <row r="3210">
      <c r="A3210" s="19" t="inlineStr">
        <is>
          <t>FY27</t>
        </is>
      </c>
      <c r="B3210" s="19" t="inlineStr">
        <is>
          <t>Jul</t>
        </is>
      </c>
      <c r="C3210" s="19" t="inlineStr">
        <is>
          <t>TN</t>
        </is>
      </c>
      <c r="D3210" s="20" t="inlineStr">
        <is>
          <t>KL69B4013</t>
        </is>
      </c>
      <c r="E3210" s="20" t="inlineStr">
        <is>
          <t>MARUTI</t>
        </is>
      </c>
      <c r="F3210" s="20" t="inlineStr">
        <is>
          <t>Ertiga</t>
        </is>
      </c>
      <c r="G3210" s="21" t="n">
        <v>2019</v>
      </c>
      <c r="H3210" s="22" t="n">
        <v>44337</v>
      </c>
      <c r="I3210" s="23" t="n">
        <v>180000</v>
      </c>
      <c r="J3210" s="20" t="inlineStr">
        <is>
          <t>TRUST N DRIVE</t>
        </is>
      </c>
      <c r="K3210" s="20" t="inlineStr">
        <is>
          <t>Non-Captive</t>
        </is>
      </c>
      <c r="L3210" s="20" t="inlineStr">
        <is>
          <t>POPULAR ALLEPPY</t>
        </is>
      </c>
      <c r="M3210" s="23" t="n">
        <v>5000</v>
      </c>
      <c r="N3210" s="23" t="n">
        <v>5900</v>
      </c>
      <c r="O3210" s="24">
        <f>IF(AND(ISNUMBER(M3210), ISNUMBER(I3210), I3210&gt;0), M3210/I3210, "")</f>
        <v/>
      </c>
    </row>
    <row r="3211">
      <c r="A3211" s="19" t="inlineStr">
        <is>
          <t>FY27</t>
        </is>
      </c>
      <c r="B3211" s="19" t="inlineStr">
        <is>
          <t>Jul</t>
        </is>
      </c>
      <c r="C3211" s="19" t="inlineStr">
        <is>
          <t>TN</t>
        </is>
      </c>
      <c r="D3211" s="20" t="inlineStr">
        <is>
          <t>KL74D3700</t>
        </is>
      </c>
      <c r="E3211" s="20" t="inlineStr">
        <is>
          <t>HYUNDAI</t>
        </is>
      </c>
      <c r="F3211" s="20" t="inlineStr">
        <is>
          <t>Grand I10</t>
        </is>
      </c>
      <c r="G3211" s="21" t="n">
        <v>2023</v>
      </c>
      <c r="H3211" s="22" t="n">
        <v>16747</v>
      </c>
      <c r="I3211" s="23" t="n">
        <v>180000</v>
      </c>
      <c r="J3211" s="20" t="inlineStr">
        <is>
          <t>TRUST N DRIVE</t>
        </is>
      </c>
      <c r="K3211" s="20" t="inlineStr">
        <is>
          <t>Non-Captive</t>
        </is>
      </c>
      <c r="L3211" s="20" t="inlineStr">
        <is>
          <t>SHAMNAD AH</t>
        </is>
      </c>
      <c r="M3211" s="23" t="n">
        <v>8474.58</v>
      </c>
      <c r="N3211" s="23" t="n">
        <v>10000</v>
      </c>
      <c r="O3211" s="24">
        <f>IF(AND(ISNUMBER(M3211), ISNUMBER(I3211), I3211&gt;0), M3211/I3211, "")</f>
        <v/>
      </c>
    </row>
    <row r="3212">
      <c r="A3212" s="19" t="inlineStr">
        <is>
          <t>FY27</t>
        </is>
      </c>
      <c r="B3212" s="19" t="inlineStr">
        <is>
          <t>Jul</t>
        </is>
      </c>
      <c r="C3212" s="19" t="inlineStr">
        <is>
          <t>TN</t>
        </is>
      </c>
      <c r="D3212" s="20" t="inlineStr">
        <is>
          <t>KL01CW9690</t>
        </is>
      </c>
      <c r="E3212" s="20" t="inlineStr">
        <is>
          <t>TATA</t>
        </is>
      </c>
      <c r="F3212" s="20" t="inlineStr">
        <is>
          <t>Punch</t>
        </is>
      </c>
      <c r="G3212" s="21" t="n">
        <v>2022</v>
      </c>
      <c r="H3212" s="22" t="n">
        <v>18221</v>
      </c>
      <c r="I3212" s="23" t="n">
        <v>155000</v>
      </c>
      <c r="J3212" s="20" t="inlineStr">
        <is>
          <t>NIPPON TOYOTA</t>
        </is>
      </c>
      <c r="K3212" s="20" t="inlineStr">
        <is>
          <t>Non-Captive</t>
        </is>
      </c>
      <c r="L3212" s="20" t="inlineStr">
        <is>
          <t>POPULAR THRISSUR</t>
        </is>
      </c>
      <c r="M3212" s="23" t="n">
        <v>5000</v>
      </c>
      <c r="N3212" s="23" t="n">
        <v>5900</v>
      </c>
      <c r="O3212" s="24">
        <f>IF(AND(ISNUMBER(M3212), ISNUMBER(I3212), I3212&gt;0), M3212/I3212, "")</f>
        <v/>
      </c>
    </row>
    <row r="3213">
      <c r="A3213" s="19" t="inlineStr">
        <is>
          <t>FY27</t>
        </is>
      </c>
      <c r="B3213" s="19" t="inlineStr">
        <is>
          <t>Jul</t>
        </is>
      </c>
      <c r="C3213" s="19" t="inlineStr">
        <is>
          <t>TN</t>
        </is>
      </c>
      <c r="D3213" s="20" t="inlineStr">
        <is>
          <t>TN01AM0546</t>
        </is>
      </c>
      <c r="E3213" s="20" t="inlineStr">
        <is>
          <t>NISSAN</t>
        </is>
      </c>
      <c r="F3213" s="20" t="inlineStr">
        <is>
          <t>Micra</t>
        </is>
      </c>
      <c r="G3213" s="21" t="n">
        <v>2010</v>
      </c>
      <c r="H3213" s="22" t="n">
        <v>83214</v>
      </c>
      <c r="I3213" s="23" t="n">
        <v>98000</v>
      </c>
      <c r="J3213" s="20" t="inlineStr">
        <is>
          <t>VISHNU CARS PRIVATE LIMITED</t>
        </is>
      </c>
      <c r="K3213" s="20" t="inlineStr">
        <is>
          <t>Non-Captive</t>
        </is>
      </c>
      <c r="L3213" s="20" t="inlineStr">
        <is>
          <t>PINE AUTOS</t>
        </is>
      </c>
      <c r="M3213" s="23" t="n">
        <v>4237.29</v>
      </c>
      <c r="N3213" s="23" t="n">
        <v>5000</v>
      </c>
      <c r="O3213" s="24">
        <f>IF(AND(ISNUMBER(M3213), ISNUMBER(I3213), I3213&gt;0), M3213/I3213, "")</f>
        <v/>
      </c>
    </row>
    <row r="3214">
      <c r="A3214" s="19" t="inlineStr">
        <is>
          <t>FY27</t>
        </is>
      </c>
      <c r="B3214" s="19" t="inlineStr">
        <is>
          <t>Jul</t>
        </is>
      </c>
      <c r="C3214" s="19" t="inlineStr">
        <is>
          <t>TN</t>
        </is>
      </c>
      <c r="D3214" s="20" t="inlineStr">
        <is>
          <t>TN21K2625</t>
        </is>
      </c>
      <c r="E3214" s="20" t="inlineStr">
        <is>
          <t>MARUTI</t>
        </is>
      </c>
      <c r="F3214" s="20" t="inlineStr">
        <is>
          <t>Wagonr</t>
        </is>
      </c>
      <c r="G3214" s="21" t="n">
        <v>2006</v>
      </c>
      <c r="H3214" s="22" t="n">
        <v>121648</v>
      </c>
      <c r="I3214" s="23" t="n">
        <v>97000</v>
      </c>
      <c r="J3214" s="20" t="inlineStr">
        <is>
          <t>VISHNU CARS PRIVATE LIMITED</t>
        </is>
      </c>
      <c r="K3214" s="20" t="inlineStr">
        <is>
          <t>Non-Captive</t>
        </is>
      </c>
      <c r="L3214" s="20" t="inlineStr">
        <is>
          <t>PINE AUTOS</t>
        </is>
      </c>
      <c r="M3214" s="23" t="n">
        <v>4237.29</v>
      </c>
      <c r="N3214" s="23" t="n">
        <v>5000</v>
      </c>
      <c r="O3214" s="24">
        <f>IF(AND(ISNUMBER(M3214), ISNUMBER(I3214), I3214&gt;0), M3214/I3214, "")</f>
        <v/>
      </c>
    </row>
    <row r="3215">
      <c r="A3215" s="19" t="inlineStr">
        <is>
          <t>FY27</t>
        </is>
      </c>
      <c r="B3215" s="19" t="inlineStr">
        <is>
          <t>Jul</t>
        </is>
      </c>
      <c r="C3215" s="19" t="inlineStr">
        <is>
          <t>TN</t>
        </is>
      </c>
      <c r="D3215" s="20" t="inlineStr">
        <is>
          <t>TN02AV7974</t>
        </is>
      </c>
      <c r="E3215" s="20" t="inlineStr">
        <is>
          <t>MARUTI</t>
        </is>
      </c>
      <c r="F3215" s="20" t="inlineStr">
        <is>
          <t>Ritz</t>
        </is>
      </c>
      <c r="G3215" s="21" t="n">
        <v>2012</v>
      </c>
      <c r="H3215" s="22" t="n">
        <v>229984</v>
      </c>
      <c r="I3215" s="23" t="n">
        <v>93000</v>
      </c>
      <c r="J3215" s="20" t="inlineStr">
        <is>
          <t>VISHNU CARS PRIVATE LIMITED</t>
        </is>
      </c>
      <c r="K3215" s="20" t="inlineStr">
        <is>
          <t>Non-Captive</t>
        </is>
      </c>
      <c r="L3215" s="20" t="inlineStr">
        <is>
          <t>PINE AUTOS</t>
        </is>
      </c>
      <c r="M3215" s="23" t="n">
        <v>4237.29</v>
      </c>
      <c r="N3215" s="23" t="n">
        <v>5000</v>
      </c>
      <c r="O3215" s="24">
        <f>IF(AND(ISNUMBER(M3215), ISNUMBER(I3215), I3215&gt;0), M3215/I3215, "")</f>
        <v/>
      </c>
    </row>
    <row r="3216">
      <c r="A3216" s="19" t="inlineStr">
        <is>
          <t>FY27</t>
        </is>
      </c>
      <c r="B3216" s="19" t="inlineStr">
        <is>
          <t>Jul</t>
        </is>
      </c>
      <c r="C3216" s="19" t="inlineStr">
        <is>
          <t>TN</t>
        </is>
      </c>
      <c r="D3216" s="20" t="inlineStr">
        <is>
          <t>TN851650</t>
        </is>
      </c>
      <c r="E3216" s="20" t="inlineStr">
        <is>
          <t>MARUTI</t>
        </is>
      </c>
      <c r="F3216" s="20" t="inlineStr">
        <is>
          <t>Alto 800</t>
        </is>
      </c>
      <c r="G3216" s="21" t="n">
        <v>2014</v>
      </c>
      <c r="H3216" s="22" t="n">
        <v>85164</v>
      </c>
      <c r="I3216" s="23" t="n">
        <v>99000</v>
      </c>
      <c r="J3216" s="20" t="inlineStr">
        <is>
          <t>VISHNU CARS PRIVATE LIMITED</t>
        </is>
      </c>
      <c r="K3216" s="20" t="inlineStr">
        <is>
          <t>Non-Captive</t>
        </is>
      </c>
      <c r="L3216" s="20" t="inlineStr">
        <is>
          <t>PINE AUTOS</t>
        </is>
      </c>
      <c r="M3216" s="23" t="n">
        <v>4237.29</v>
      </c>
      <c r="N3216" s="23" t="n">
        <v>5000</v>
      </c>
      <c r="O3216" s="24">
        <f>IF(AND(ISNUMBER(M3216), ISNUMBER(I3216), I3216&gt;0), M3216/I3216, "")</f>
        <v/>
      </c>
    </row>
    <row r="3217">
      <c r="A3217" s="19" t="inlineStr">
        <is>
          <t>FY27</t>
        </is>
      </c>
      <c r="B3217" s="19" t="inlineStr">
        <is>
          <t>Jul</t>
        </is>
      </c>
      <c r="C3217" s="19" t="inlineStr">
        <is>
          <t>TN</t>
        </is>
      </c>
      <c r="D3217" s="20" t="inlineStr">
        <is>
          <t>TN07CL0402</t>
        </is>
      </c>
      <c r="E3217" s="20" t="inlineStr">
        <is>
          <t>HYUNDAI</t>
        </is>
      </c>
      <c r="F3217" s="20" t="inlineStr">
        <is>
          <t>I20</t>
        </is>
      </c>
      <c r="G3217" s="21" t="n">
        <v>2017</v>
      </c>
      <c r="H3217" s="22" t="n">
        <v>116474</v>
      </c>
      <c r="I3217" s="23" t="n">
        <v>92000</v>
      </c>
      <c r="J3217" s="20" t="inlineStr">
        <is>
          <t>VISHNU CARS PRIVATE LIMITED</t>
        </is>
      </c>
      <c r="K3217" s="20" t="inlineStr">
        <is>
          <t>Non-Captive</t>
        </is>
      </c>
      <c r="L3217" s="20" t="inlineStr">
        <is>
          <t>PINE AUTOS</t>
        </is>
      </c>
      <c r="M3217" s="23" t="n">
        <v>4237.29</v>
      </c>
      <c r="N3217" s="23" t="n">
        <v>5000</v>
      </c>
      <c r="O3217" s="24">
        <f>IF(AND(ISNUMBER(M3217), ISNUMBER(I3217), I3217&gt;0), M3217/I3217, "")</f>
        <v/>
      </c>
    </row>
    <row r="3218">
      <c r="A3218" s="19" t="inlineStr">
        <is>
          <t>FY27</t>
        </is>
      </c>
      <c r="B3218" s="19" t="inlineStr">
        <is>
          <t>Jul</t>
        </is>
      </c>
      <c r="C3218" s="19" t="inlineStr">
        <is>
          <t>TN</t>
        </is>
      </c>
      <c r="D3218" s="20" t="inlineStr">
        <is>
          <t>TN04AS5186</t>
        </is>
      </c>
      <c r="E3218" s="20" t="inlineStr">
        <is>
          <t>HYUNDAI</t>
        </is>
      </c>
      <c r="F3218" s="20" t="inlineStr">
        <is>
          <t>Creta</t>
        </is>
      </c>
      <c r="G3218" s="21" t="n">
        <v>2017</v>
      </c>
      <c r="H3218" s="22" t="n">
        <v>41407</v>
      </c>
      <c r="I3218" s="23" t="n">
        <v>98000</v>
      </c>
      <c r="J3218" s="20" t="inlineStr">
        <is>
          <t>VISHNU CARS PRIVATE LIMITED</t>
        </is>
      </c>
      <c r="K3218" s="20" t="inlineStr">
        <is>
          <t>Non-Captive</t>
        </is>
      </c>
      <c r="L3218" s="20" t="inlineStr">
        <is>
          <t>PINE AUTOS</t>
        </is>
      </c>
      <c r="M3218" s="23" t="n">
        <v>4237.29</v>
      </c>
      <c r="N3218" s="23" t="n">
        <v>5000</v>
      </c>
      <c r="O3218" s="24">
        <f>IF(AND(ISNUMBER(M3218), ISNUMBER(I3218), I3218&gt;0), M3218/I3218, "")</f>
        <v/>
      </c>
    </row>
    <row r="3219">
      <c r="A3219" s="19" t="inlineStr">
        <is>
          <t>FY27</t>
        </is>
      </c>
      <c r="B3219" s="19" t="inlineStr">
        <is>
          <t>Jul</t>
        </is>
      </c>
      <c r="C3219" s="19" t="inlineStr">
        <is>
          <t>TN</t>
        </is>
      </c>
      <c r="D3219" s="20" t="inlineStr">
        <is>
          <t>TN14J4449</t>
        </is>
      </c>
      <c r="E3219" s="20" t="inlineStr">
        <is>
          <t>RENAULT</t>
        </is>
      </c>
      <c r="F3219" s="20" t="inlineStr">
        <is>
          <t>Kwid</t>
        </is>
      </c>
      <c r="G3219" s="21" t="n">
        <v>2016</v>
      </c>
      <c r="H3219" s="22" t="n">
        <v>43680</v>
      </c>
      <c r="I3219" s="23" t="n">
        <v>96000</v>
      </c>
      <c r="J3219" s="20" t="inlineStr">
        <is>
          <t>VISHNU CARS PRIVATE LIMITED</t>
        </is>
      </c>
      <c r="K3219" s="20" t="inlineStr">
        <is>
          <t>Non-Captive</t>
        </is>
      </c>
      <c r="L3219" s="20" t="inlineStr">
        <is>
          <t>PINE AUTOS</t>
        </is>
      </c>
      <c r="M3219" s="23" t="n">
        <v>4237.29</v>
      </c>
      <c r="N3219" s="23" t="n">
        <v>5000</v>
      </c>
      <c r="O3219" s="24">
        <f>IF(AND(ISNUMBER(M3219), ISNUMBER(I3219), I3219&gt;0), M3219/I3219, "")</f>
        <v/>
      </c>
    </row>
    <row r="3220">
      <c r="A3220" s="19" t="inlineStr">
        <is>
          <t>FY27</t>
        </is>
      </c>
      <c r="B3220" s="19" t="inlineStr">
        <is>
          <t>Jul</t>
        </is>
      </c>
      <c r="C3220" s="19" t="inlineStr">
        <is>
          <t>TN</t>
        </is>
      </c>
      <c r="D3220" s="20" t="inlineStr">
        <is>
          <t>TN06A6800</t>
        </is>
      </c>
      <c r="E3220" s="20" t="inlineStr">
        <is>
          <t>TOYOTA</t>
        </is>
      </c>
      <c r="F3220" s="20" t="inlineStr">
        <is>
          <t>Innova</t>
        </is>
      </c>
      <c r="G3220" s="21" t="n">
        <v>2010</v>
      </c>
      <c r="H3220" s="22" t="n">
        <v>205203</v>
      </c>
      <c r="I3220" s="23" t="n">
        <v>97000</v>
      </c>
      <c r="J3220" s="20" t="inlineStr">
        <is>
          <t>VISHNU CARS PRIVATE LIMITED</t>
        </is>
      </c>
      <c r="K3220" s="20" t="inlineStr">
        <is>
          <t>Non-Captive</t>
        </is>
      </c>
      <c r="L3220" s="20" t="inlineStr">
        <is>
          <t>PINE AUTOS</t>
        </is>
      </c>
      <c r="M3220" s="23" t="n">
        <v>4237.29</v>
      </c>
      <c r="N3220" s="23" t="n">
        <v>5000</v>
      </c>
      <c r="O3220" s="24">
        <f>IF(AND(ISNUMBER(M3220), ISNUMBER(I3220), I3220&gt;0), M3220/I3220, "")</f>
        <v/>
      </c>
    </row>
    <row r="3221">
      <c r="A3221" s="19" t="inlineStr">
        <is>
          <t>FY27</t>
        </is>
      </c>
      <c r="B3221" s="19" t="inlineStr">
        <is>
          <t>Jul</t>
        </is>
      </c>
      <c r="C3221" s="19" t="inlineStr">
        <is>
          <t>TN</t>
        </is>
      </c>
      <c r="D3221" s="20" t="inlineStr">
        <is>
          <t>TN05AV8838</t>
        </is>
      </c>
      <c r="E3221" s="20" t="inlineStr">
        <is>
          <t>MARUTI</t>
        </is>
      </c>
      <c r="F3221" s="20" t="inlineStr">
        <is>
          <t>Alto 800</t>
        </is>
      </c>
      <c r="G3221" s="21" t="n">
        <v>2013</v>
      </c>
      <c r="H3221" s="22" t="n">
        <v>36729</v>
      </c>
      <c r="I3221" s="23" t="n">
        <v>105000</v>
      </c>
      <c r="J3221" s="20" t="inlineStr">
        <is>
          <t>CASTLE TRADERS Maruti</t>
        </is>
      </c>
      <c r="K3221" s="20" t="inlineStr">
        <is>
          <t>Non-Captive</t>
        </is>
      </c>
      <c r="L3221" s="20" t="inlineStr">
        <is>
          <t>Aasim Motors</t>
        </is>
      </c>
      <c r="M3221" s="23" t="n">
        <v>4237.29</v>
      </c>
      <c r="N3221" s="23" t="n">
        <v>5000</v>
      </c>
      <c r="O3221" s="24">
        <f>IF(AND(ISNUMBER(M3221), ISNUMBER(I3221), I3221&gt;0), M3221/I3221, "")</f>
        <v/>
      </c>
    </row>
    <row r="3222">
      <c r="A3222" s="19" t="inlineStr">
        <is>
          <t>FY27</t>
        </is>
      </c>
      <c r="B3222" s="19" t="inlineStr">
        <is>
          <t>Jul</t>
        </is>
      </c>
      <c r="C3222" s="19" t="inlineStr">
        <is>
          <t>TN</t>
        </is>
      </c>
      <c r="D3222" s="20" t="inlineStr">
        <is>
          <t>TN12AH3947</t>
        </is>
      </c>
      <c r="E3222" s="20" t="inlineStr">
        <is>
          <t>HYUNDAI</t>
        </is>
      </c>
      <c r="F3222" s="20" t="inlineStr">
        <is>
          <t>Grand I10 Nios</t>
        </is>
      </c>
      <c r="G3222" s="21" t="n">
        <v>2019</v>
      </c>
      <c r="H3222" s="22" t="n">
        <v>64041</v>
      </c>
      <c r="I3222" s="23" t="n">
        <v>395000</v>
      </c>
      <c r="J3222" s="20" t="inlineStr">
        <is>
          <t>CASTLE TRADERS Maruti</t>
        </is>
      </c>
      <c r="K3222" s="20" t="inlineStr">
        <is>
          <t>Non-Captive</t>
        </is>
      </c>
      <c r="L3222" s="20" t="inlineStr">
        <is>
          <t>Senthil Cars</t>
        </is>
      </c>
      <c r="M3222" s="23" t="n">
        <v>7627.12</v>
      </c>
      <c r="N3222" s="23" t="n">
        <v>9000</v>
      </c>
      <c r="O3222" s="24">
        <f>IF(AND(ISNUMBER(M3222), ISNUMBER(I3222), I3222&gt;0), M3222/I3222, "")</f>
        <v/>
      </c>
    </row>
    <row r="3223">
      <c r="A3223" s="19" t="inlineStr">
        <is>
          <t>FY27</t>
        </is>
      </c>
      <c r="B3223" s="19" t="inlineStr">
        <is>
          <t>Jul</t>
        </is>
      </c>
      <c r="C3223" s="19" t="inlineStr">
        <is>
          <t>TN</t>
        </is>
      </c>
      <c r="D3223" s="20" t="inlineStr">
        <is>
          <t>TN02BR0756</t>
        </is>
      </c>
      <c r="E3223" s="20" t="inlineStr">
        <is>
          <t>HYUNDAI</t>
        </is>
      </c>
      <c r="F3223" s="20" t="inlineStr">
        <is>
          <t>Creta</t>
        </is>
      </c>
      <c r="G3223" s="21" t="n">
        <v>2019</v>
      </c>
      <c r="H3223" s="22" t="n">
        <v>71588</v>
      </c>
      <c r="I3223" s="23" t="n">
        <v>710000</v>
      </c>
      <c r="J3223" s="20" t="inlineStr">
        <is>
          <t>CASTLE TRADERS Maruti</t>
        </is>
      </c>
      <c r="K3223" s="20" t="inlineStr">
        <is>
          <t>Non-Captive</t>
        </is>
      </c>
      <c r="L3223" s="20" t="inlineStr">
        <is>
          <t>Value Drive Tech</t>
        </is>
      </c>
      <c r="M3223" s="23" t="n">
        <v>10169.49</v>
      </c>
      <c r="N3223" s="23" t="n">
        <v>12000</v>
      </c>
      <c r="O3223" s="24">
        <f>IF(AND(ISNUMBER(M3223), ISNUMBER(I3223), I3223&gt;0), M3223/I3223, "")</f>
        <v/>
      </c>
    </row>
    <row r="3224">
      <c r="A3224" s="19" t="inlineStr">
        <is>
          <t>FY27</t>
        </is>
      </c>
      <c r="B3224" s="19" t="inlineStr">
        <is>
          <t>Jul</t>
        </is>
      </c>
      <c r="C3224" s="19" t="inlineStr">
        <is>
          <t>TN</t>
        </is>
      </c>
      <c r="D3224" s="20" t="inlineStr">
        <is>
          <t>TN37BT5360</t>
        </is>
      </c>
      <c r="E3224" s="20" t="inlineStr">
        <is>
          <t>MARUTI</t>
        </is>
      </c>
      <c r="F3224" s="20" t="inlineStr">
        <is>
          <t>Swift</t>
        </is>
      </c>
      <c r="G3224" s="21" t="n">
        <v>2011</v>
      </c>
      <c r="H3224" s="22" t="n">
        <v>92386</v>
      </c>
      <c r="I3224" s="23" t="n">
        <v>290000</v>
      </c>
      <c r="J3224" s="20" t="inlineStr">
        <is>
          <t>EXCHANGE ROTN</t>
        </is>
      </c>
      <c r="K3224" s="20" t="inlineStr">
        <is>
          <t>Captive</t>
        </is>
      </c>
      <c r="L3224" s="20" t="inlineStr">
        <is>
          <t>SENTHUR FINANCE</t>
        </is>
      </c>
      <c r="M3224" s="23" t="n">
        <v>8474.58</v>
      </c>
      <c r="N3224" s="23" t="n">
        <v>10000</v>
      </c>
      <c r="O3224" s="24">
        <f>IF(AND(ISNUMBER(M3224), ISNUMBER(I3224), I3224&gt;0), M3224/I3224, "")</f>
        <v/>
      </c>
    </row>
    <row r="3225">
      <c r="A3225" s="19" t="inlineStr">
        <is>
          <t>FY27</t>
        </is>
      </c>
      <c r="B3225" s="19" t="inlineStr">
        <is>
          <t>Jul</t>
        </is>
      </c>
      <c r="C3225" s="19" t="inlineStr">
        <is>
          <t>TN</t>
        </is>
      </c>
      <c r="D3225" s="20" t="inlineStr">
        <is>
          <t>TN33AA6143</t>
        </is>
      </c>
      <c r="E3225" s="20" t="inlineStr">
        <is>
          <t>HYUNDAI</t>
        </is>
      </c>
      <c r="F3225" s="20" t="inlineStr">
        <is>
          <t>Santro</t>
        </is>
      </c>
      <c r="G3225" s="21" t="n">
        <v>2003</v>
      </c>
      <c r="H3225" s="22" t="n">
        <v>210815</v>
      </c>
      <c r="I3225" s="23" t="n">
        <v>50000</v>
      </c>
      <c r="J3225" s="20" t="inlineStr">
        <is>
          <t>EXCHANGE ROTN</t>
        </is>
      </c>
      <c r="K3225" s="20" t="inlineStr">
        <is>
          <t>Captive</t>
        </is>
      </c>
      <c r="L3225" s="20" t="inlineStr">
        <is>
          <t>VIJAY CARS ERODE</t>
        </is>
      </c>
      <c r="M3225" s="23" t="n">
        <v>4237.29</v>
      </c>
      <c r="N3225" s="23" t="n">
        <v>5000</v>
      </c>
      <c r="O3225" s="24">
        <f>IF(AND(ISNUMBER(M3225), ISNUMBER(I3225), I3225&gt;0), M3225/I3225, "")</f>
        <v/>
      </c>
    </row>
    <row r="3226">
      <c r="A3226" s="19" t="inlineStr">
        <is>
          <t>FY27</t>
        </is>
      </c>
      <c r="B3226" s="19" t="inlineStr">
        <is>
          <t>Jul</t>
        </is>
      </c>
      <c r="C3226" s="19" t="inlineStr">
        <is>
          <t>TN</t>
        </is>
      </c>
      <c r="D3226" s="20" t="inlineStr">
        <is>
          <t>TN09AH1782</t>
        </is>
      </c>
      <c r="E3226" s="20" t="inlineStr">
        <is>
          <t>FORD</t>
        </is>
      </c>
      <c r="F3226" s="20" t="inlineStr">
        <is>
          <t>Ikon</t>
        </is>
      </c>
      <c r="G3226" s="21" t="n">
        <v>2004</v>
      </c>
      <c r="H3226" s="22" t="n">
        <v>47805</v>
      </c>
      <c r="I3226" s="23" t="n">
        <v>30000</v>
      </c>
      <c r="J3226" s="20" t="inlineStr">
        <is>
          <t>EXCHANGE ROTN</t>
        </is>
      </c>
      <c r="K3226" s="20" t="inlineStr">
        <is>
          <t>Captive</t>
        </is>
      </c>
      <c r="L3226" s="20" t="inlineStr">
        <is>
          <t>VIJAY CARS ERODE</t>
        </is>
      </c>
      <c r="M3226" s="23" t="n">
        <v>4237.29</v>
      </c>
      <c r="N3226" s="23" t="n">
        <v>5000</v>
      </c>
      <c r="O3226" s="24">
        <f>IF(AND(ISNUMBER(M3226), ISNUMBER(I3226), I3226&gt;0), M3226/I3226, "")</f>
        <v/>
      </c>
    </row>
    <row r="3227">
      <c r="A3227" s="19" t="inlineStr">
        <is>
          <t>FY27</t>
        </is>
      </c>
      <c r="B3227" s="19" t="inlineStr">
        <is>
          <t>Jul</t>
        </is>
      </c>
      <c r="C3227" s="19" t="inlineStr">
        <is>
          <t>TN</t>
        </is>
      </c>
      <c r="D3227" s="20" t="inlineStr">
        <is>
          <t>TN27H6337</t>
        </is>
      </c>
      <c r="E3227" s="20" t="inlineStr">
        <is>
          <t>MARUTI</t>
        </is>
      </c>
      <c r="F3227" s="20" t="inlineStr">
        <is>
          <t>800</t>
        </is>
      </c>
      <c r="G3227" s="21" t="n">
        <v>1997</v>
      </c>
      <c r="H3227" s="22" t="n">
        <v>96041</v>
      </c>
      <c r="I3227" s="23" t="n">
        <v>25000</v>
      </c>
      <c r="J3227" s="20" t="inlineStr">
        <is>
          <t>EXCHANGE ROTN</t>
        </is>
      </c>
      <c r="K3227" s="20" t="inlineStr">
        <is>
          <t>Captive</t>
        </is>
      </c>
      <c r="L3227" s="20" t="inlineStr">
        <is>
          <t>VIJAY CARS ERODE</t>
        </is>
      </c>
      <c r="M3227" s="23" t="n">
        <v>4237.29</v>
      </c>
      <c r="N3227" s="23" t="n">
        <v>5000</v>
      </c>
      <c r="O3227" s="24">
        <f>IF(AND(ISNUMBER(M3227), ISNUMBER(I3227), I3227&gt;0), M3227/I3227, "")</f>
        <v/>
      </c>
    </row>
    <row r="3228">
      <c r="A3228" s="19" t="inlineStr">
        <is>
          <t>FY27</t>
        </is>
      </c>
      <c r="B3228" s="19" t="inlineStr">
        <is>
          <t>Jul</t>
        </is>
      </c>
      <c r="C3228" s="19" t="inlineStr">
        <is>
          <t>TN</t>
        </is>
      </c>
      <c r="D3228" s="20" t="inlineStr">
        <is>
          <t>TN66D6914</t>
        </is>
      </c>
      <c r="E3228" s="20" t="inlineStr">
        <is>
          <t>HONDA</t>
        </is>
      </c>
      <c r="F3228" s="20" t="inlineStr">
        <is>
          <t>City</t>
        </is>
      </c>
      <c r="G3228" s="21" t="n">
        <v>2011</v>
      </c>
      <c r="H3228" s="22" t="n">
        <v>138803</v>
      </c>
      <c r="I3228" s="23" t="n">
        <v>260000</v>
      </c>
      <c r="J3228" s="20" t="inlineStr">
        <is>
          <t>EXCHANGE ROTN</t>
        </is>
      </c>
      <c r="K3228" s="20" t="inlineStr">
        <is>
          <t>Captive</t>
        </is>
      </c>
      <c r="L3228" s="20" t="inlineStr">
        <is>
          <t>DEERAA CARS</t>
        </is>
      </c>
      <c r="M3228" s="23" t="n">
        <v>8474.58</v>
      </c>
      <c r="N3228" s="23" t="n">
        <v>10000</v>
      </c>
      <c r="O3228" s="24">
        <f>IF(AND(ISNUMBER(M3228), ISNUMBER(I3228), I3228&gt;0), M3228/I3228, "")</f>
        <v/>
      </c>
    </row>
    <row r="3229">
      <c r="A3229" s="19" t="inlineStr">
        <is>
          <t>FY27</t>
        </is>
      </c>
      <c r="B3229" s="19" t="inlineStr">
        <is>
          <t>Jul</t>
        </is>
      </c>
      <c r="C3229" s="19" t="inlineStr">
        <is>
          <t>TN</t>
        </is>
      </c>
      <c r="D3229" s="20" t="inlineStr">
        <is>
          <t>TN38CP3462</t>
        </is>
      </c>
      <c r="E3229" s="20" t="inlineStr">
        <is>
          <t>RENAULT</t>
        </is>
      </c>
      <c r="F3229" s="20" t="inlineStr">
        <is>
          <t>Kwid</t>
        </is>
      </c>
      <c r="G3229" s="21" t="n">
        <v>2018</v>
      </c>
      <c r="H3229" s="22" t="n">
        <v>88884</v>
      </c>
      <c r="I3229" s="23" t="n">
        <v>270000</v>
      </c>
      <c r="J3229" s="20" t="inlineStr">
        <is>
          <t>EXCHANGE ROTN</t>
        </is>
      </c>
      <c r="K3229" s="20" t="inlineStr">
        <is>
          <t>Captive</t>
        </is>
      </c>
      <c r="L3229" s="20" t="inlineStr">
        <is>
          <t>GUGHAA CARS</t>
        </is>
      </c>
      <c r="M3229" s="23" t="n">
        <v>8474.58</v>
      </c>
      <c r="N3229" s="23" t="n">
        <v>10000</v>
      </c>
      <c r="O3229" s="24">
        <f>IF(AND(ISNUMBER(M3229), ISNUMBER(I3229), I3229&gt;0), M3229/I3229, "")</f>
        <v/>
      </c>
    </row>
    <row r="3230">
      <c r="A3230" s="19" t="inlineStr">
        <is>
          <t>FY27</t>
        </is>
      </c>
      <c r="B3230" s="19" t="inlineStr">
        <is>
          <t>Jul</t>
        </is>
      </c>
      <c r="C3230" s="19" t="inlineStr">
        <is>
          <t>TN</t>
        </is>
      </c>
      <c r="D3230" s="20" t="inlineStr">
        <is>
          <t>TN37BJ5089</t>
        </is>
      </c>
      <c r="E3230" s="20" t="inlineStr">
        <is>
          <t>MARUTI</t>
        </is>
      </c>
      <c r="F3230" s="20" t="inlineStr">
        <is>
          <t>Zen Estilo</t>
        </is>
      </c>
      <c r="G3230" s="21" t="n">
        <v>2010</v>
      </c>
      <c r="H3230" s="22" t="n">
        <v>133063</v>
      </c>
      <c r="I3230" s="23" t="n">
        <v>130000</v>
      </c>
      <c r="J3230" s="20" t="inlineStr">
        <is>
          <t>EXCHANGE ROTN</t>
        </is>
      </c>
      <c r="K3230" s="20" t="inlineStr">
        <is>
          <t>Captive</t>
        </is>
      </c>
      <c r="L3230" s="20" t="inlineStr">
        <is>
          <t>SARVESH CAARS</t>
        </is>
      </c>
      <c r="M3230" s="23" t="n">
        <v>8474.58</v>
      </c>
      <c r="N3230" s="23" t="n">
        <v>10000</v>
      </c>
      <c r="O3230" s="24">
        <f>IF(AND(ISNUMBER(M3230), ISNUMBER(I3230), I3230&gt;0), M3230/I3230, "")</f>
        <v/>
      </c>
    </row>
    <row r="3231">
      <c r="A3231" s="19" t="inlineStr">
        <is>
          <t>FY27</t>
        </is>
      </c>
      <c r="B3231" s="19" t="inlineStr">
        <is>
          <t>Jul</t>
        </is>
      </c>
      <c r="C3231" s="19" t="inlineStr">
        <is>
          <t>TN</t>
        </is>
      </c>
      <c r="D3231" s="20" t="inlineStr">
        <is>
          <t>TN66M3150</t>
        </is>
      </c>
      <c r="E3231" s="20" t="inlineStr">
        <is>
          <t>TOYOTA</t>
        </is>
      </c>
      <c r="F3231" s="20" t="inlineStr">
        <is>
          <t>Etios</t>
        </is>
      </c>
      <c r="G3231" s="21" t="n">
        <v>2014</v>
      </c>
      <c r="H3231" s="22" t="n">
        <v>185890</v>
      </c>
      <c r="I3231" s="23" t="n">
        <v>335000</v>
      </c>
      <c r="J3231" s="20" t="inlineStr">
        <is>
          <t>EXCHANGE ROTN</t>
        </is>
      </c>
      <c r="K3231" s="20" t="inlineStr">
        <is>
          <t>Captive</t>
        </is>
      </c>
      <c r="L3231" s="20" t="inlineStr">
        <is>
          <t>MADHURA CARS</t>
        </is>
      </c>
      <c r="M3231" s="23" t="n">
        <v>8474.58</v>
      </c>
      <c r="N3231" s="23" t="n">
        <v>10000</v>
      </c>
      <c r="O3231" s="24">
        <f>IF(AND(ISNUMBER(M3231), ISNUMBER(I3231), I3231&gt;0), M3231/I3231, "")</f>
        <v/>
      </c>
    </row>
    <row r="3232">
      <c r="A3232" s="19" t="inlineStr">
        <is>
          <t>FY27</t>
        </is>
      </c>
      <c r="B3232" s="19" t="inlineStr">
        <is>
          <t>Jul</t>
        </is>
      </c>
      <c r="C3232" s="19" t="inlineStr">
        <is>
          <t>TN</t>
        </is>
      </c>
      <c r="D3232" s="20" t="inlineStr">
        <is>
          <t>TN02R2536</t>
        </is>
      </c>
      <c r="E3232" s="20" t="inlineStr">
        <is>
          <t>MARUTI</t>
        </is>
      </c>
      <c r="F3232" s="20" t="inlineStr">
        <is>
          <t>Wagonr</t>
        </is>
      </c>
      <c r="G3232" s="21" t="n">
        <v>2004</v>
      </c>
      <c r="H3232" s="22" t="n">
        <v>147960</v>
      </c>
      <c r="I3232" s="23" t="n">
        <v>50000</v>
      </c>
      <c r="J3232" s="20" t="inlineStr">
        <is>
          <t>EXCHANGE ROTN</t>
        </is>
      </c>
      <c r="K3232" s="20" t="inlineStr">
        <is>
          <t>Captive</t>
        </is>
      </c>
      <c r="L3232" s="20" t="inlineStr">
        <is>
          <t>SRI RAJA KANAPATHY CARS</t>
        </is>
      </c>
      <c r="M3232" s="23" t="n">
        <v>4237.29</v>
      </c>
      <c r="N3232" s="23" t="n">
        <v>5000</v>
      </c>
      <c r="O3232" s="24">
        <f>IF(AND(ISNUMBER(M3232), ISNUMBER(I3232), I3232&gt;0), M3232/I3232, "")</f>
        <v/>
      </c>
    </row>
    <row r="3233">
      <c r="A3233" s="19" t="inlineStr">
        <is>
          <t>FY27</t>
        </is>
      </c>
      <c r="B3233" s="19" t="inlineStr">
        <is>
          <t>Jul</t>
        </is>
      </c>
      <c r="C3233" s="19" t="inlineStr">
        <is>
          <t>TN</t>
        </is>
      </c>
      <c r="D3233" s="20" t="inlineStr">
        <is>
          <t>TN28D6060</t>
        </is>
      </c>
      <c r="E3233" s="20" t="inlineStr">
        <is>
          <t>MARUTI</t>
        </is>
      </c>
      <c r="F3233" s="20" t="inlineStr">
        <is>
          <t>800</t>
        </is>
      </c>
      <c r="G3233" s="21" t="n">
        <v>1998</v>
      </c>
      <c r="H3233" s="22" t="n">
        <v>89578</v>
      </c>
      <c r="I3233" s="23" t="n">
        <v>30000</v>
      </c>
      <c r="J3233" s="20" t="inlineStr">
        <is>
          <t>EXCHANGE ROTN</t>
        </is>
      </c>
      <c r="K3233" s="20" t="inlineStr">
        <is>
          <t>Captive</t>
        </is>
      </c>
      <c r="L3233" s="20" t="inlineStr">
        <is>
          <t>SRI RAJA KANAPATHY CARS</t>
        </is>
      </c>
      <c r="M3233" s="23" t="n">
        <v>4237.29</v>
      </c>
      <c r="N3233" s="23" t="n">
        <v>5000</v>
      </c>
      <c r="O3233" s="24">
        <f>IF(AND(ISNUMBER(M3233), ISNUMBER(I3233), I3233&gt;0), M3233/I3233, "")</f>
        <v/>
      </c>
    </row>
    <row r="3234">
      <c r="A3234" s="19" t="inlineStr">
        <is>
          <t>FY27</t>
        </is>
      </c>
      <c r="B3234" s="19" t="inlineStr">
        <is>
          <t>Jul</t>
        </is>
      </c>
      <c r="C3234" s="19" t="inlineStr">
        <is>
          <t>TN</t>
        </is>
      </c>
      <c r="D3234" s="20" t="inlineStr">
        <is>
          <t>TN20AS5802</t>
        </is>
      </c>
      <c r="E3234" s="20" t="inlineStr">
        <is>
          <t>MARUTI</t>
        </is>
      </c>
      <c r="F3234" s="20" t="inlineStr">
        <is>
          <t>Alto</t>
        </is>
      </c>
      <c r="G3234" s="21" t="n">
        <v>2007</v>
      </c>
      <c r="H3234" s="22" t="n">
        <v>147960</v>
      </c>
      <c r="I3234" s="23" t="n">
        <v>60000</v>
      </c>
      <c r="J3234" s="20" t="inlineStr">
        <is>
          <t>EXCHANGE ROTN</t>
        </is>
      </c>
      <c r="K3234" s="20" t="inlineStr">
        <is>
          <t>Captive</t>
        </is>
      </c>
      <c r="L3234" s="20" t="inlineStr">
        <is>
          <t>STALIN CARS</t>
        </is>
      </c>
      <c r="M3234" s="23" t="n">
        <v>4237.29</v>
      </c>
      <c r="N3234" s="23" t="n">
        <v>5000</v>
      </c>
      <c r="O3234" s="24">
        <f>IF(AND(ISNUMBER(M3234), ISNUMBER(I3234), I3234&gt;0), M3234/I3234, "")</f>
        <v/>
      </c>
    </row>
    <row r="3235">
      <c r="A3235" s="19" t="inlineStr">
        <is>
          <t>FY27</t>
        </is>
      </c>
      <c r="B3235" s="19" t="inlineStr">
        <is>
          <t>Jul</t>
        </is>
      </c>
      <c r="C3235" s="19" t="inlineStr">
        <is>
          <t>TN</t>
        </is>
      </c>
      <c r="D3235" s="20" t="inlineStr">
        <is>
          <t>TN54A2597</t>
        </is>
      </c>
      <c r="E3235" s="20" t="inlineStr">
        <is>
          <t>MARUTI</t>
        </is>
      </c>
      <c r="F3235" s="20" t="inlineStr">
        <is>
          <t>800</t>
        </is>
      </c>
      <c r="G3235" s="21" t="n">
        <v>2009</v>
      </c>
      <c r="H3235" s="22" t="n">
        <v>77294</v>
      </c>
      <c r="I3235" s="23" t="n">
        <v>40000</v>
      </c>
      <c r="J3235" s="20" t="inlineStr">
        <is>
          <t>EXCHANGE ROTN</t>
        </is>
      </c>
      <c r="K3235" s="20" t="inlineStr">
        <is>
          <t>Captive</t>
        </is>
      </c>
      <c r="L3235" s="20" t="inlineStr">
        <is>
          <t>STALIN CARS</t>
        </is>
      </c>
      <c r="M3235" s="23" t="n">
        <v>4237.29</v>
      </c>
      <c r="N3235" s="23" t="n">
        <v>5000</v>
      </c>
      <c r="O3235" s="24">
        <f>IF(AND(ISNUMBER(M3235), ISNUMBER(I3235), I3235&gt;0), M3235/I3235, "")</f>
        <v/>
      </c>
    </row>
    <row r="3236">
      <c r="A3236" s="19" t="inlineStr">
        <is>
          <t>FY27</t>
        </is>
      </c>
      <c r="B3236" s="19" t="inlineStr">
        <is>
          <t>Jul</t>
        </is>
      </c>
      <c r="C3236" s="19" t="inlineStr">
        <is>
          <t>TN</t>
        </is>
      </c>
      <c r="D3236" s="20" t="inlineStr">
        <is>
          <t>TN23BJ6864</t>
        </is>
      </c>
      <c r="E3236" s="20" t="inlineStr">
        <is>
          <t>MARUTI</t>
        </is>
      </c>
      <c r="F3236" s="20" t="inlineStr">
        <is>
          <t>Omni</t>
        </is>
      </c>
      <c r="G3236" s="21" t="n">
        <v>2014</v>
      </c>
      <c r="H3236" s="22" t="n">
        <v>120871</v>
      </c>
      <c r="I3236" s="23" t="n">
        <v>60000</v>
      </c>
      <c r="J3236" s="20" t="inlineStr">
        <is>
          <t>EXCHANGE ROTN</t>
        </is>
      </c>
      <c r="K3236" s="20" t="inlineStr">
        <is>
          <t>Captive</t>
        </is>
      </c>
      <c r="L3236" s="20" t="inlineStr">
        <is>
          <t>STALIN CARS</t>
        </is>
      </c>
      <c r="M3236" s="23" t="n">
        <v>4237.29</v>
      </c>
      <c r="N3236" s="23" t="n">
        <v>5000</v>
      </c>
      <c r="O3236" s="24">
        <f>IF(AND(ISNUMBER(M3236), ISNUMBER(I3236), I3236&gt;0), M3236/I3236, "")</f>
        <v/>
      </c>
    </row>
    <row r="3237">
      <c r="A3237" s="19" t="inlineStr">
        <is>
          <t>FY27</t>
        </is>
      </c>
      <c r="B3237" s="19" t="inlineStr">
        <is>
          <t>Jul</t>
        </is>
      </c>
      <c r="C3237" s="19" t="inlineStr">
        <is>
          <t>TN</t>
        </is>
      </c>
      <c r="D3237" s="20" t="inlineStr">
        <is>
          <t>TN54B8624</t>
        </is>
      </c>
      <c r="E3237" s="20" t="inlineStr">
        <is>
          <t>TATA</t>
        </is>
      </c>
      <c r="F3237" s="20" t="inlineStr">
        <is>
          <t>Indica</t>
        </is>
      </c>
      <c r="G3237" s="21" t="n">
        <v>2010</v>
      </c>
      <c r="H3237" s="22" t="n">
        <v>149097</v>
      </c>
      <c r="I3237" s="23" t="n">
        <v>40000</v>
      </c>
      <c r="J3237" s="20" t="inlineStr">
        <is>
          <t>EXCHANGE ROTN</t>
        </is>
      </c>
      <c r="K3237" s="20" t="inlineStr">
        <is>
          <t>Captive</t>
        </is>
      </c>
      <c r="L3237" s="20" t="inlineStr">
        <is>
          <t>STALIN CARS</t>
        </is>
      </c>
      <c r="M3237" s="23" t="n">
        <v>4237.29</v>
      </c>
      <c r="N3237" s="23" t="n">
        <v>5000</v>
      </c>
      <c r="O3237" s="24">
        <f>IF(AND(ISNUMBER(M3237), ISNUMBER(I3237), I3237&gt;0), M3237/I3237, "")</f>
        <v/>
      </c>
    </row>
    <row r="3238">
      <c r="A3238" s="19" t="inlineStr">
        <is>
          <t>FY27</t>
        </is>
      </c>
      <c r="B3238" s="19" t="inlineStr">
        <is>
          <t>Jul</t>
        </is>
      </c>
      <c r="C3238" s="19" t="inlineStr">
        <is>
          <t>TN</t>
        </is>
      </c>
      <c r="D3238" s="20" t="inlineStr">
        <is>
          <t>TN58BJ5818</t>
        </is>
      </c>
      <c r="E3238" s="20" t="inlineStr">
        <is>
          <t>HONDA</t>
        </is>
      </c>
      <c r="F3238" s="20" t="inlineStr">
        <is>
          <t>Amaze</t>
        </is>
      </c>
      <c r="G3238" s="21" t="n">
        <v>2023</v>
      </c>
      <c r="H3238" s="22" t="n">
        <v>64012</v>
      </c>
      <c r="I3238" s="23" t="n">
        <v>636000</v>
      </c>
      <c r="J3238" s="20" t="inlineStr">
        <is>
          <t>EXCHANGE ROTN</t>
        </is>
      </c>
      <c r="K3238" s="20" t="inlineStr">
        <is>
          <t>Captive</t>
        </is>
      </c>
      <c r="L3238" s="20" t="inlineStr">
        <is>
          <t>FRIENDS CARS</t>
        </is>
      </c>
      <c r="M3238" s="23" t="n">
        <v>16949.15</v>
      </c>
      <c r="N3238" s="23" t="n">
        <v>20000</v>
      </c>
      <c r="O3238" s="24">
        <f>IF(AND(ISNUMBER(M3238), ISNUMBER(I3238), I3238&gt;0), M3238/I3238, "")</f>
        <v/>
      </c>
    </row>
    <row r="3239">
      <c r="A3239" s="19" t="inlineStr">
        <is>
          <t>FY27</t>
        </is>
      </c>
      <c r="B3239" s="19" t="inlineStr">
        <is>
          <t>Jul</t>
        </is>
      </c>
      <c r="C3239" s="19" t="inlineStr">
        <is>
          <t>TN</t>
        </is>
      </c>
      <c r="D3239" s="20" t="inlineStr">
        <is>
          <t>TN64R9055</t>
        </is>
      </c>
      <c r="E3239" s="20" t="inlineStr">
        <is>
          <t>HONDA</t>
        </is>
      </c>
      <c r="F3239" s="20" t="inlineStr">
        <is>
          <t>Wr-V</t>
        </is>
      </c>
      <c r="G3239" s="21" t="n">
        <v>2018</v>
      </c>
      <c r="H3239" s="22" t="n">
        <v>156752</v>
      </c>
      <c r="I3239" s="23" t="n">
        <v>400000</v>
      </c>
      <c r="J3239" s="20" t="inlineStr">
        <is>
          <t>EXCHANGE ROTN</t>
        </is>
      </c>
      <c r="K3239" s="20" t="inlineStr">
        <is>
          <t>Captive</t>
        </is>
      </c>
      <c r="L3239" s="20" t="inlineStr">
        <is>
          <t>DINDIGUL VALUE CAR</t>
        </is>
      </c>
      <c r="M3239" s="23" t="n">
        <v>12711.86</v>
      </c>
      <c r="N3239" s="23" t="n">
        <v>15000</v>
      </c>
      <c r="O3239" s="24">
        <f>IF(AND(ISNUMBER(M3239), ISNUMBER(I3239), I3239&gt;0), M3239/I3239, "")</f>
        <v/>
      </c>
    </row>
    <row r="3240">
      <c r="A3240" s="19" t="inlineStr">
        <is>
          <t>FY27</t>
        </is>
      </c>
      <c r="B3240" s="19" t="inlineStr">
        <is>
          <t>Jul</t>
        </is>
      </c>
      <c r="C3240" s="19" t="inlineStr">
        <is>
          <t>TN</t>
        </is>
      </c>
      <c r="D3240" s="20" t="inlineStr">
        <is>
          <t>TN58AL7558</t>
        </is>
      </c>
      <c r="E3240" s="20" t="inlineStr">
        <is>
          <t>HONDA</t>
        </is>
      </c>
      <c r="F3240" s="20" t="inlineStr">
        <is>
          <t>Amaze</t>
        </is>
      </c>
      <c r="G3240" s="21" t="n">
        <v>2016</v>
      </c>
      <c r="H3240" s="22" t="n">
        <v>80896</v>
      </c>
      <c r="I3240" s="23" t="n">
        <v>320000</v>
      </c>
      <c r="J3240" s="20" t="inlineStr">
        <is>
          <t>EXCHANGE ROTN</t>
        </is>
      </c>
      <c r="K3240" s="20" t="inlineStr">
        <is>
          <t>Captive</t>
        </is>
      </c>
      <c r="L3240" s="20" t="inlineStr">
        <is>
          <t>BALAJI CARS (THENI)</t>
        </is>
      </c>
      <c r="M3240" s="23" t="n">
        <v>16949.15</v>
      </c>
      <c r="N3240" s="23" t="n">
        <v>20000</v>
      </c>
      <c r="O3240" s="24">
        <f>IF(AND(ISNUMBER(M3240), ISNUMBER(I3240), I3240&gt;0), M3240/I3240, "")</f>
        <v/>
      </c>
    </row>
    <row r="3241">
      <c r="A3241" s="19" t="inlineStr">
        <is>
          <t>FY27</t>
        </is>
      </c>
      <c r="B3241" s="19" t="inlineStr">
        <is>
          <t>Jul</t>
        </is>
      </c>
      <c r="C3241" s="19" t="inlineStr">
        <is>
          <t>TN</t>
        </is>
      </c>
      <c r="D3241" s="20" t="inlineStr">
        <is>
          <t>TN63AY1807</t>
        </is>
      </c>
      <c r="E3241" s="20" t="inlineStr">
        <is>
          <t>MARUTI</t>
        </is>
      </c>
      <c r="F3241" s="20" t="inlineStr">
        <is>
          <t>Alto K10</t>
        </is>
      </c>
      <c r="G3241" s="21" t="n">
        <v>2011</v>
      </c>
      <c r="H3241" s="22" t="n">
        <v>80714</v>
      </c>
      <c r="I3241" s="23" t="n">
        <v>140000</v>
      </c>
      <c r="J3241" s="20" t="inlineStr">
        <is>
          <t>EXCHANGE ROTN</t>
        </is>
      </c>
      <c r="K3241" s="20" t="inlineStr">
        <is>
          <t>Captive</t>
        </is>
      </c>
      <c r="L3241" s="20" t="inlineStr">
        <is>
          <t>GGEE Cars</t>
        </is>
      </c>
      <c r="M3241" s="23" t="n">
        <v>8474.58</v>
      </c>
      <c r="N3241" s="23" t="n">
        <v>10000</v>
      </c>
      <c r="O3241" s="24">
        <f>IF(AND(ISNUMBER(M3241), ISNUMBER(I3241), I3241&gt;0), M3241/I3241, "")</f>
        <v/>
      </c>
    </row>
    <row r="3242">
      <c r="A3242" s="19" t="inlineStr">
        <is>
          <t>FY27</t>
        </is>
      </c>
      <c r="B3242" s="19" t="inlineStr">
        <is>
          <t>Jul</t>
        </is>
      </c>
      <c r="C3242" s="19" t="inlineStr">
        <is>
          <t>TN</t>
        </is>
      </c>
      <c r="D3242" s="20" t="inlineStr">
        <is>
          <t>TN02AU9104</t>
        </is>
      </c>
      <c r="E3242" s="20" t="inlineStr">
        <is>
          <t>HYUNDAI</t>
        </is>
      </c>
      <c r="F3242" s="20" t="inlineStr">
        <is>
          <t>Eon</t>
        </is>
      </c>
      <c r="G3242" s="21" t="n">
        <v>2012</v>
      </c>
      <c r="H3242" s="22" t="n">
        <v>181117</v>
      </c>
      <c r="I3242" s="23" t="n">
        <v>100000</v>
      </c>
      <c r="J3242" s="20" t="inlineStr">
        <is>
          <t>EXCHANGE ROTN</t>
        </is>
      </c>
      <c r="K3242" s="20" t="inlineStr">
        <is>
          <t>Captive</t>
        </is>
      </c>
      <c r="L3242" s="20" t="inlineStr">
        <is>
          <t>READY TO RIDE CARS</t>
        </is>
      </c>
      <c r="M3242" s="23" t="n">
        <v>12711.86</v>
      </c>
      <c r="N3242" s="23" t="n">
        <v>15000</v>
      </c>
      <c r="O3242" s="24">
        <f>IF(AND(ISNUMBER(M3242), ISNUMBER(I3242), I3242&gt;0), M3242/I3242, "")</f>
        <v/>
      </c>
    </row>
    <row r="3243">
      <c r="A3243" s="19" t="inlineStr">
        <is>
          <t>FY27</t>
        </is>
      </c>
      <c r="B3243" s="19" t="inlineStr">
        <is>
          <t>Jul</t>
        </is>
      </c>
      <c r="C3243" s="19" t="inlineStr">
        <is>
          <t>TN</t>
        </is>
      </c>
      <c r="D3243" s="20" t="inlineStr">
        <is>
          <t>TN38CW3903</t>
        </is>
      </c>
      <c r="E3243" s="20" t="inlineStr">
        <is>
          <t>HONDA</t>
        </is>
      </c>
      <c r="F3243" s="20" t="inlineStr">
        <is>
          <t>Amaze</t>
        </is>
      </c>
      <c r="G3243" s="21" t="n">
        <v>2020</v>
      </c>
      <c r="H3243" s="22" t="n">
        <v>58246</v>
      </c>
      <c r="I3243" s="23" t="n">
        <v>560000</v>
      </c>
      <c r="J3243" s="20" t="inlineStr">
        <is>
          <t>EXCHANGE ROTN</t>
        </is>
      </c>
      <c r="K3243" s="20" t="inlineStr">
        <is>
          <t>Captive</t>
        </is>
      </c>
      <c r="L3243" s="20" t="inlineStr">
        <is>
          <t>YUGA DHEERAN CARS</t>
        </is>
      </c>
      <c r="M3243" s="23" t="n">
        <v>15254.24</v>
      </c>
      <c r="N3243" s="23" t="n">
        <v>18000</v>
      </c>
      <c r="O3243" s="24">
        <f>IF(AND(ISNUMBER(M3243), ISNUMBER(I3243), I3243&gt;0), M3243/I3243, "")</f>
        <v/>
      </c>
    </row>
    <row r="3244">
      <c r="A3244" s="19" t="inlineStr">
        <is>
          <t>FY27</t>
        </is>
      </c>
      <c r="B3244" s="19" t="inlineStr">
        <is>
          <t>Jul</t>
        </is>
      </c>
      <c r="C3244" s="19" t="inlineStr">
        <is>
          <t>TN</t>
        </is>
      </c>
      <c r="D3244" s="20" t="inlineStr">
        <is>
          <t>TN38X9777</t>
        </is>
      </c>
      <c r="E3244" s="20" t="inlineStr">
        <is>
          <t>MARUTI</t>
        </is>
      </c>
      <c r="F3244" s="20" t="inlineStr">
        <is>
          <t>Wagonr</t>
        </is>
      </c>
      <c r="G3244" s="21" t="n">
        <v>2004</v>
      </c>
      <c r="H3244" s="22" t="n">
        <v>80729</v>
      </c>
      <c r="I3244" s="23" t="n">
        <v>50000</v>
      </c>
      <c r="J3244" s="20" t="inlineStr">
        <is>
          <t>EXCHANGE ROTN</t>
        </is>
      </c>
      <c r="K3244" s="20" t="inlineStr">
        <is>
          <t>Captive</t>
        </is>
      </c>
      <c r="L3244" s="20" t="inlineStr">
        <is>
          <t>SENTHUR FINANCE</t>
        </is>
      </c>
      <c r="M3244" s="23" t="n">
        <v>4237.29</v>
      </c>
      <c r="N3244" s="23" t="n">
        <v>5000</v>
      </c>
      <c r="O3244" s="24">
        <f>IF(AND(ISNUMBER(M3244), ISNUMBER(I3244), I3244&gt;0), M3244/I3244, "")</f>
        <v/>
      </c>
    </row>
    <row r="3245">
      <c r="A3245" s="19" t="inlineStr">
        <is>
          <t>FY27</t>
        </is>
      </c>
      <c r="B3245" s="19" t="inlineStr">
        <is>
          <t>Jul</t>
        </is>
      </c>
      <c r="C3245" s="19" t="inlineStr">
        <is>
          <t>TN</t>
        </is>
      </c>
      <c r="D3245" s="20" t="inlineStr">
        <is>
          <t>TN66AL9232</t>
        </is>
      </c>
      <c r="E3245" s="20" t="inlineStr">
        <is>
          <t>VOLKSWAGEN</t>
        </is>
      </c>
      <c r="F3245" s="20" t="inlineStr">
        <is>
          <t>Taigun</t>
        </is>
      </c>
      <c r="G3245" s="21" t="n">
        <v>2022</v>
      </c>
      <c r="H3245" s="22" t="n">
        <v>26230</v>
      </c>
      <c r="I3245" s="23" t="n">
        <v>970000</v>
      </c>
      <c r="J3245" s="20" t="inlineStr">
        <is>
          <t>EXCHANGE ROTN</t>
        </is>
      </c>
      <c r="K3245" s="20" t="inlineStr">
        <is>
          <t>Captive</t>
        </is>
      </c>
      <c r="L3245" s="20" t="inlineStr">
        <is>
          <t>SAI CARS</t>
        </is>
      </c>
      <c r="M3245" s="23" t="n">
        <v>16949.15</v>
      </c>
      <c r="N3245" s="23" t="n">
        <v>20000</v>
      </c>
      <c r="O3245" s="24">
        <f>IF(AND(ISNUMBER(M3245), ISNUMBER(I3245), I3245&gt;0), M3245/I3245, "")</f>
        <v/>
      </c>
    </row>
    <row r="3246">
      <c r="A3246" s="19" t="inlineStr">
        <is>
          <t>FY27</t>
        </is>
      </c>
      <c r="B3246" s="19" t="inlineStr">
        <is>
          <t>Jul</t>
        </is>
      </c>
      <c r="C3246" s="19" t="inlineStr">
        <is>
          <t>TN</t>
        </is>
      </c>
      <c r="D3246" s="20" t="inlineStr">
        <is>
          <t>TN38CQ9634</t>
        </is>
      </c>
      <c r="E3246" s="20" t="inlineStr">
        <is>
          <t>FORD</t>
        </is>
      </c>
      <c r="F3246" s="20" t="inlineStr">
        <is>
          <t>Figo</t>
        </is>
      </c>
      <c r="G3246" s="21" t="n">
        <v>2018</v>
      </c>
      <c r="H3246" s="22" t="n">
        <v>54454</v>
      </c>
      <c r="I3246" s="23" t="n">
        <v>290000</v>
      </c>
      <c r="J3246" s="20" t="inlineStr">
        <is>
          <t>EXCHANGE ROTN</t>
        </is>
      </c>
      <c r="K3246" s="20" t="inlineStr">
        <is>
          <t>Captive</t>
        </is>
      </c>
      <c r="L3246" s="20" t="inlineStr">
        <is>
          <t>GUGHAA CARS</t>
        </is>
      </c>
      <c r="M3246" s="23" t="n">
        <v>12711.86</v>
      </c>
      <c r="N3246" s="23" t="n">
        <v>15000</v>
      </c>
      <c r="O3246" s="24">
        <f>IF(AND(ISNUMBER(M3246), ISNUMBER(I3246), I3246&gt;0), M3246/I3246, "")</f>
        <v/>
      </c>
    </row>
    <row r="3247">
      <c r="A3247" s="19" t="inlineStr">
        <is>
          <t>FY27</t>
        </is>
      </c>
      <c r="B3247" s="19" t="inlineStr">
        <is>
          <t>Jul</t>
        </is>
      </c>
      <c r="C3247" s="19" t="inlineStr">
        <is>
          <t>TN</t>
        </is>
      </c>
      <c r="D3247" s="20" t="inlineStr">
        <is>
          <t>TN41AF5403</t>
        </is>
      </c>
      <c r="E3247" s="20" t="inlineStr">
        <is>
          <t>HYUNDAI</t>
        </is>
      </c>
      <c r="F3247" s="20" t="inlineStr">
        <is>
          <t>Eon</t>
        </is>
      </c>
      <c r="G3247" s="21" t="n">
        <v>2012</v>
      </c>
      <c r="H3247" s="22" t="n">
        <v>169846</v>
      </c>
      <c r="I3247" s="23" t="n">
        <v>125000</v>
      </c>
      <c r="J3247" s="20" t="inlineStr">
        <is>
          <t>EXCHANGE ROTN</t>
        </is>
      </c>
      <c r="K3247" s="20" t="inlineStr">
        <is>
          <t>Captive</t>
        </is>
      </c>
      <c r="L3247" s="20" t="inlineStr">
        <is>
          <t>SIVASHANKAR CARS</t>
        </is>
      </c>
      <c r="M3247" s="23" t="n">
        <v>5084.75</v>
      </c>
      <c r="N3247" s="23" t="n">
        <v>6000</v>
      </c>
      <c r="O3247" s="24">
        <f>IF(AND(ISNUMBER(M3247), ISNUMBER(I3247), I3247&gt;0), M3247/I3247, "")</f>
        <v/>
      </c>
    </row>
    <row r="3248">
      <c r="A3248" s="19" t="inlineStr">
        <is>
          <t>FY27</t>
        </is>
      </c>
      <c r="B3248" s="19" t="inlineStr">
        <is>
          <t>Jul</t>
        </is>
      </c>
      <c r="C3248" s="19" t="inlineStr">
        <is>
          <t>TN</t>
        </is>
      </c>
      <c r="D3248" s="20" t="inlineStr">
        <is>
          <t>TN43M5630</t>
        </is>
      </c>
      <c r="E3248" s="20" t="inlineStr">
        <is>
          <t>TATA</t>
        </is>
      </c>
      <c r="F3248" s="20" t="inlineStr">
        <is>
          <t>Tiago</t>
        </is>
      </c>
      <c r="G3248" s="21" t="n">
        <v>2022</v>
      </c>
      <c r="H3248" s="22" t="n">
        <v>37702</v>
      </c>
      <c r="I3248" s="23" t="n">
        <v>440000</v>
      </c>
      <c r="J3248" s="20" t="inlineStr">
        <is>
          <t>EXCHANGE ROTN</t>
        </is>
      </c>
      <c r="K3248" s="20" t="inlineStr">
        <is>
          <t>Captive</t>
        </is>
      </c>
      <c r="L3248" s="20" t="inlineStr">
        <is>
          <t>DEERAA CARS</t>
        </is>
      </c>
      <c r="M3248" s="23" t="n">
        <v>8474.58</v>
      </c>
      <c r="N3248" s="23" t="n">
        <v>10000</v>
      </c>
      <c r="O3248" s="24">
        <f>IF(AND(ISNUMBER(M3248), ISNUMBER(I3248), I3248&gt;0), M3248/I3248, "")</f>
        <v/>
      </c>
    </row>
    <row r="3249">
      <c r="A3249" s="19" t="inlineStr">
        <is>
          <t>FY27</t>
        </is>
      </c>
      <c r="B3249" s="19" t="inlineStr">
        <is>
          <t>Jul</t>
        </is>
      </c>
      <c r="C3249" s="19" t="inlineStr">
        <is>
          <t>TN</t>
        </is>
      </c>
      <c r="D3249" s="20" t="inlineStr">
        <is>
          <t>TN21BM7387</t>
        </is>
      </c>
      <c r="E3249" s="20" t="inlineStr">
        <is>
          <t>RENAULT</t>
        </is>
      </c>
      <c r="F3249" s="20" t="inlineStr">
        <is>
          <t>Kwid</t>
        </is>
      </c>
      <c r="G3249" s="21" t="n">
        <v>2021</v>
      </c>
      <c r="H3249" s="22" t="n">
        <v>52381</v>
      </c>
      <c r="I3249" s="23" t="n">
        <v>98000</v>
      </c>
      <c r="J3249" s="20" t="inlineStr">
        <is>
          <t>CAR HUB</t>
        </is>
      </c>
      <c r="K3249" s="20" t="inlineStr">
        <is>
          <t>Non-Captive</t>
        </is>
      </c>
      <c r="L3249" s="20" t="inlineStr">
        <is>
          <t>AAA CARS</t>
        </is>
      </c>
      <c r="M3249" s="23" t="n">
        <v>4237.29</v>
      </c>
      <c r="N3249" s="23" t="n">
        <v>5000</v>
      </c>
      <c r="O3249" s="24">
        <f>IF(AND(ISNUMBER(M3249), ISNUMBER(I3249), I3249&gt;0), M3249/I3249, "")</f>
        <v/>
      </c>
    </row>
    <row r="3250">
      <c r="A3250" s="19" t="inlineStr">
        <is>
          <t>FY27</t>
        </is>
      </c>
      <c r="B3250" s="19" t="inlineStr">
        <is>
          <t>Jul</t>
        </is>
      </c>
      <c r="C3250" s="19" t="inlineStr">
        <is>
          <t>TN</t>
        </is>
      </c>
      <c r="D3250" s="20" t="inlineStr">
        <is>
          <t>TN04AD7511</t>
        </is>
      </c>
      <c r="E3250" s="20" t="inlineStr">
        <is>
          <t>HYUNDAI</t>
        </is>
      </c>
      <c r="F3250" s="20" t="inlineStr">
        <is>
          <t>I20</t>
        </is>
      </c>
      <c r="G3250" s="21" t="n">
        <v>2009</v>
      </c>
      <c r="H3250" s="22" t="n">
        <v>43501</v>
      </c>
      <c r="I3250" s="23" t="n">
        <v>92000</v>
      </c>
      <c r="J3250" s="20" t="inlineStr">
        <is>
          <t>VISHNU CARS PRIVATE LIMITED</t>
        </is>
      </c>
      <c r="K3250" s="20" t="inlineStr">
        <is>
          <t>Non-Captive</t>
        </is>
      </c>
      <c r="L3250" s="20" t="inlineStr">
        <is>
          <t>SAI CARS</t>
        </is>
      </c>
      <c r="M3250" s="23" t="n">
        <v>4237.29</v>
      </c>
      <c r="N3250" s="23" t="n">
        <v>5000</v>
      </c>
      <c r="O3250" s="24">
        <f>IF(AND(ISNUMBER(M3250), ISNUMBER(I3250), I3250&gt;0), M3250/I3250, "")</f>
        <v/>
      </c>
    </row>
    <row r="3251">
      <c r="A3251" s="19" t="inlineStr">
        <is>
          <t>FY27</t>
        </is>
      </c>
      <c r="B3251" s="19" t="inlineStr">
        <is>
          <t>Jul</t>
        </is>
      </c>
      <c r="C3251" s="19" t="inlineStr">
        <is>
          <t>TN</t>
        </is>
      </c>
      <c r="D3251" s="20" t="inlineStr">
        <is>
          <t>TN07BK3225</t>
        </is>
      </c>
      <c r="E3251" s="20" t="inlineStr">
        <is>
          <t>MARUTI</t>
        </is>
      </c>
      <c r="F3251" s="20" t="inlineStr">
        <is>
          <t>Eeco</t>
        </is>
      </c>
      <c r="G3251" s="21" t="n">
        <v>2010</v>
      </c>
      <c r="H3251" s="22" t="n">
        <v>46231</v>
      </c>
      <c r="I3251" s="23" t="n">
        <v>77000</v>
      </c>
      <c r="J3251" s="20" t="inlineStr">
        <is>
          <t>PRODUCTIVITY ELEMENTS PRIVATE LIMITED</t>
        </is>
      </c>
      <c r="K3251" s="20" t="inlineStr">
        <is>
          <t>Non-Captive</t>
        </is>
      </c>
      <c r="L3251" s="20" t="inlineStr">
        <is>
          <t>READY TO RIDE CARS</t>
        </is>
      </c>
      <c r="M3251" s="23" t="n">
        <v>4237.29</v>
      </c>
      <c r="N3251" s="23" t="n">
        <v>5000</v>
      </c>
      <c r="O3251" s="24">
        <f>IF(AND(ISNUMBER(M3251), ISNUMBER(I3251), I3251&gt;0), M3251/I3251, "")</f>
        <v/>
      </c>
    </row>
    <row r="3252">
      <c r="A3252" s="19" t="inlineStr">
        <is>
          <t>FY27</t>
        </is>
      </c>
      <c r="B3252" s="19" t="inlineStr">
        <is>
          <t>Jul</t>
        </is>
      </c>
      <c r="C3252" s="19" t="inlineStr">
        <is>
          <t>TN</t>
        </is>
      </c>
      <c r="D3252" s="20" t="inlineStr">
        <is>
          <t>TN01BL9165</t>
        </is>
      </c>
      <c r="E3252" s="20" t="inlineStr">
        <is>
          <t>HONDA</t>
        </is>
      </c>
      <c r="F3252" s="20" t="inlineStr">
        <is>
          <t>City</t>
        </is>
      </c>
      <c r="G3252" s="21" t="n">
        <v>2021</v>
      </c>
      <c r="H3252" s="22" t="n">
        <v>78882</v>
      </c>
      <c r="I3252" s="23" t="n">
        <v>775000</v>
      </c>
      <c r="J3252" s="20" t="inlineStr">
        <is>
          <t>EXCHANGE CHENNAI</t>
        </is>
      </c>
      <c r="K3252" s="20" t="inlineStr">
        <is>
          <t>Captive</t>
        </is>
      </c>
      <c r="L3252" s="20" t="inlineStr"/>
      <c r="M3252" s="23" t="n">
        <v>8474.58</v>
      </c>
      <c r="N3252" s="23" t="n">
        <v>10000</v>
      </c>
      <c r="O3252" s="24">
        <f>IF(AND(ISNUMBER(M3252), ISNUMBER(I3252), I3252&gt;0), M3252/I3252, "")</f>
        <v/>
      </c>
    </row>
    <row r="3253">
      <c r="A3253" s="19" t="inlineStr">
        <is>
          <t>FY27</t>
        </is>
      </c>
      <c r="B3253" s="19" t="inlineStr">
        <is>
          <t>Jul</t>
        </is>
      </c>
      <c r="C3253" s="19" t="inlineStr">
        <is>
          <t>TN</t>
        </is>
      </c>
      <c r="D3253" s="20" t="inlineStr">
        <is>
          <t>TN01AV6868</t>
        </is>
      </c>
      <c r="E3253" s="20" t="inlineStr">
        <is>
          <t>HONDA</t>
        </is>
      </c>
      <c r="F3253" s="20" t="inlineStr">
        <is>
          <t>City</t>
        </is>
      </c>
      <c r="G3253" s="21" t="n">
        <v>2014</v>
      </c>
      <c r="H3253" s="22" t="n">
        <v>124417</v>
      </c>
      <c r="I3253" s="23" t="n">
        <v>450000</v>
      </c>
      <c r="J3253" s="20" t="inlineStr">
        <is>
          <t>EXCHANGE CHENNAI</t>
        </is>
      </c>
      <c r="K3253" s="20" t="inlineStr">
        <is>
          <t>Captive</t>
        </is>
      </c>
      <c r="L3253" s="20" t="inlineStr"/>
      <c r="M3253" s="23" t="n">
        <v>8474.58</v>
      </c>
      <c r="N3253" s="23" t="n">
        <v>10000</v>
      </c>
      <c r="O3253" s="24">
        <f>IF(AND(ISNUMBER(M3253), ISNUMBER(I3253), I3253&gt;0), M3253/I3253, "")</f>
        <v/>
      </c>
    </row>
    <row r="3254">
      <c r="A3254" s="19" t="inlineStr">
        <is>
          <t>FY27</t>
        </is>
      </c>
      <c r="B3254" s="19" t="inlineStr">
        <is>
          <t>Jul</t>
        </is>
      </c>
      <c r="C3254" s="19" t="inlineStr">
        <is>
          <t>TN</t>
        </is>
      </c>
      <c r="D3254" s="20" t="inlineStr">
        <is>
          <t>TN36S8898</t>
        </is>
      </c>
      <c r="E3254" s="20" t="inlineStr">
        <is>
          <t>CHEVROLET</t>
        </is>
      </c>
      <c r="F3254" s="20" t="inlineStr">
        <is>
          <t>Spark</t>
        </is>
      </c>
      <c r="G3254" s="21" t="n">
        <v>2011</v>
      </c>
      <c r="H3254" s="22" t="n">
        <v>102247</v>
      </c>
      <c r="I3254" s="23" t="n">
        <v>65000</v>
      </c>
      <c r="J3254" s="20" t="inlineStr">
        <is>
          <t>EXCHANGE ROTN</t>
        </is>
      </c>
      <c r="K3254" s="20" t="inlineStr">
        <is>
          <t>Captive</t>
        </is>
      </c>
      <c r="L3254" s="20" t="inlineStr"/>
      <c r="M3254" s="23" t="n">
        <v>4237.29</v>
      </c>
      <c r="N3254" s="23" t="n">
        <v>5000</v>
      </c>
      <c r="O3254" s="24">
        <f>IF(AND(ISNUMBER(M3254), ISNUMBER(I3254), I3254&gt;0), M3254/I3254, "")</f>
        <v/>
      </c>
    </row>
    <row r="3255">
      <c r="A3255" s="19" t="inlineStr">
        <is>
          <t>FY27</t>
        </is>
      </c>
      <c r="B3255" s="19" t="inlineStr">
        <is>
          <t>Jul</t>
        </is>
      </c>
      <c r="C3255" s="19" t="inlineStr">
        <is>
          <t>TN</t>
        </is>
      </c>
      <c r="D3255" s="20" t="inlineStr">
        <is>
          <t>TN06R4104</t>
        </is>
      </c>
      <c r="E3255" s="20" t="inlineStr">
        <is>
          <t>HONDA</t>
        </is>
      </c>
      <c r="F3255" s="20" t="inlineStr">
        <is>
          <t>City</t>
        </is>
      </c>
      <c r="G3255" s="21" t="n">
        <v>2016</v>
      </c>
      <c r="H3255" s="22" t="n">
        <v>55244</v>
      </c>
      <c r="I3255" s="23" t="n">
        <v>460000</v>
      </c>
      <c r="J3255" s="20" t="inlineStr">
        <is>
          <t>EXCHANGE CHENNAI</t>
        </is>
      </c>
      <c r="K3255" s="20" t="inlineStr">
        <is>
          <t>Captive</t>
        </is>
      </c>
      <c r="L3255" s="20" t="inlineStr"/>
      <c r="M3255" s="23" t="n">
        <v>8474.58</v>
      </c>
      <c r="N3255" s="23" t="n">
        <v>10000</v>
      </c>
      <c r="O3255" s="24">
        <f>IF(AND(ISNUMBER(M3255), ISNUMBER(I3255), I3255&gt;0), M3255/I3255, "")</f>
        <v/>
      </c>
    </row>
    <row r="3256">
      <c r="A3256" s="19" t="inlineStr">
        <is>
          <t>FY27</t>
        </is>
      </c>
      <c r="B3256" s="19" t="inlineStr">
        <is>
          <t>Jul</t>
        </is>
      </c>
      <c r="C3256" s="19" t="inlineStr">
        <is>
          <t>TN</t>
        </is>
      </c>
      <c r="D3256" s="20" t="inlineStr">
        <is>
          <t>TN01AU4088</t>
        </is>
      </c>
      <c r="E3256" s="20" t="inlineStr">
        <is>
          <t>NISSAN</t>
        </is>
      </c>
      <c r="F3256" s="20" t="inlineStr">
        <is>
          <t>Sunny</t>
        </is>
      </c>
      <c r="G3256" s="21" t="n">
        <v>2013</v>
      </c>
      <c r="H3256" s="22" t="n">
        <v>21264</v>
      </c>
      <c r="I3256" s="23" t="n">
        <v>240000</v>
      </c>
      <c r="J3256" s="20" t="inlineStr">
        <is>
          <t>EXCHANGE CHENNAI</t>
        </is>
      </c>
      <c r="K3256" s="20" t="inlineStr">
        <is>
          <t>Captive</t>
        </is>
      </c>
      <c r="L3256" s="20" t="inlineStr"/>
      <c r="M3256" s="23" t="n">
        <v>8474.58</v>
      </c>
      <c r="N3256" s="23" t="n">
        <v>10000</v>
      </c>
      <c r="O3256" s="24">
        <f>IF(AND(ISNUMBER(M3256), ISNUMBER(I3256), I3256&gt;0), M3256/I3256, "")</f>
        <v/>
      </c>
    </row>
    <row r="3257">
      <c r="A3257" s="19" t="inlineStr">
        <is>
          <t>FY27</t>
        </is>
      </c>
      <c r="B3257" s="19" t="inlineStr">
        <is>
          <t>Jul</t>
        </is>
      </c>
      <c r="C3257" s="19" t="inlineStr">
        <is>
          <t>TN</t>
        </is>
      </c>
      <c r="D3257" s="20" t="inlineStr">
        <is>
          <t>TN14P0508</t>
        </is>
      </c>
      <c r="E3257" s="20" t="inlineStr">
        <is>
          <t>HONDA</t>
        </is>
      </c>
      <c r="F3257" s="20" t="inlineStr">
        <is>
          <t>City</t>
        </is>
      </c>
      <c r="G3257" s="21" t="n">
        <v>2018</v>
      </c>
      <c r="H3257" s="22" t="n">
        <v>88537</v>
      </c>
      <c r="I3257" s="23" t="n">
        <v>575000</v>
      </c>
      <c r="J3257" s="20" t="inlineStr">
        <is>
          <t>EXCHANGE CHENNAI</t>
        </is>
      </c>
      <c r="K3257" s="20" t="inlineStr">
        <is>
          <t>Captive</t>
        </is>
      </c>
      <c r="L3257" s="20" t="inlineStr"/>
      <c r="M3257" s="23" t="n">
        <v>8474.58</v>
      </c>
      <c r="N3257" s="23" t="n">
        <v>10000</v>
      </c>
      <c r="O3257" s="24">
        <f>IF(AND(ISNUMBER(M3257), ISNUMBER(I3257), I3257&gt;0), M3257/I3257, "")</f>
        <v/>
      </c>
    </row>
    <row r="3258">
      <c r="A3258" s="19" t="inlineStr">
        <is>
          <t>FY27</t>
        </is>
      </c>
      <c r="B3258" s="19" t="inlineStr">
        <is>
          <t>Jul</t>
        </is>
      </c>
      <c r="C3258" s="19" t="inlineStr">
        <is>
          <t>TN</t>
        </is>
      </c>
      <c r="D3258" s="20" t="inlineStr">
        <is>
          <t>TN10AX3000</t>
        </is>
      </c>
      <c r="E3258" s="20" t="inlineStr">
        <is>
          <t>HONDA</t>
        </is>
      </c>
      <c r="F3258" s="20" t="inlineStr">
        <is>
          <t>City</t>
        </is>
      </c>
      <c r="G3258" s="21" t="n">
        <v>2016</v>
      </c>
      <c r="H3258" s="22" t="n">
        <v>87753</v>
      </c>
      <c r="I3258" s="23" t="n">
        <v>550000</v>
      </c>
      <c r="J3258" s="20" t="inlineStr">
        <is>
          <t>EXCHANGE CHENNAI</t>
        </is>
      </c>
      <c r="K3258" s="20" t="inlineStr">
        <is>
          <t>Captive</t>
        </is>
      </c>
      <c r="L3258" s="20" t="inlineStr"/>
      <c r="M3258" s="23" t="n">
        <v>8474.58</v>
      </c>
      <c r="N3258" s="23" t="n">
        <v>10000</v>
      </c>
      <c r="O3258" s="24">
        <f>IF(AND(ISNUMBER(M3258), ISNUMBER(I3258), I3258&gt;0), M3258/I3258, "")</f>
        <v/>
      </c>
    </row>
    <row r="3259">
      <c r="A3259" s="19" t="inlineStr">
        <is>
          <t>FY27</t>
        </is>
      </c>
      <c r="B3259" s="19" t="inlineStr">
        <is>
          <t>Jul</t>
        </is>
      </c>
      <c r="C3259" s="19" t="inlineStr">
        <is>
          <t>TN</t>
        </is>
      </c>
      <c r="D3259" s="20" t="inlineStr">
        <is>
          <t>TN07CB5995</t>
        </is>
      </c>
      <c r="E3259" s="20" t="inlineStr">
        <is>
          <t>HONDA</t>
        </is>
      </c>
      <c r="F3259" s="20" t="inlineStr">
        <is>
          <t>City</t>
        </is>
      </c>
      <c r="G3259" s="21" t="n">
        <v>2015</v>
      </c>
      <c r="H3259" s="22" t="n">
        <v>86356</v>
      </c>
      <c r="I3259" s="23" t="n">
        <v>310000</v>
      </c>
      <c r="J3259" s="20" t="inlineStr">
        <is>
          <t>EXCHANGE CHENNAI</t>
        </is>
      </c>
      <c r="K3259" s="20" t="inlineStr">
        <is>
          <t>Captive</t>
        </is>
      </c>
      <c r="L3259" s="20" t="inlineStr"/>
      <c r="M3259" s="23" t="n">
        <v>8474.58</v>
      </c>
      <c r="N3259" s="23" t="n">
        <v>10000</v>
      </c>
      <c r="O3259" s="24">
        <f>IF(AND(ISNUMBER(M3259), ISNUMBER(I3259), I3259&gt;0), M3259/I3259, "")</f>
        <v/>
      </c>
    </row>
    <row r="3260">
      <c r="A3260" s="19" t="inlineStr">
        <is>
          <t>FY27</t>
        </is>
      </c>
      <c r="B3260" s="19" t="inlineStr">
        <is>
          <t>Jul</t>
        </is>
      </c>
      <c r="C3260" s="19" t="inlineStr">
        <is>
          <t>TN</t>
        </is>
      </c>
      <c r="D3260" s="20" t="inlineStr">
        <is>
          <t>TN30BE6349</t>
        </is>
      </c>
      <c r="E3260" s="20" t="inlineStr">
        <is>
          <t>TATA</t>
        </is>
      </c>
      <c r="F3260" s="20" t="inlineStr">
        <is>
          <t>Indica</t>
        </is>
      </c>
      <c r="G3260" s="21" t="n">
        <v>2016</v>
      </c>
      <c r="H3260" s="22" t="n">
        <v>289815</v>
      </c>
      <c r="I3260" s="23" t="n">
        <v>115000</v>
      </c>
      <c r="J3260" s="20" t="inlineStr">
        <is>
          <t>EXCHANGE ROTN</t>
        </is>
      </c>
      <c r="K3260" s="20" t="inlineStr">
        <is>
          <t>Captive</t>
        </is>
      </c>
      <c r="L3260" s="20" t="inlineStr"/>
      <c r="M3260" s="23" t="n">
        <v>4237.29</v>
      </c>
      <c r="N3260" s="23" t="n">
        <v>5000</v>
      </c>
      <c r="O3260" s="24">
        <f>IF(AND(ISNUMBER(M3260), ISNUMBER(I3260), I3260&gt;0), M3260/I3260, "")</f>
        <v/>
      </c>
    </row>
    <row r="3261">
      <c r="A3261" s="19" t="inlineStr">
        <is>
          <t>FY27</t>
        </is>
      </c>
      <c r="B3261" s="19" t="inlineStr">
        <is>
          <t>Jul</t>
        </is>
      </c>
      <c r="C3261" s="19" t="inlineStr">
        <is>
          <t>TN</t>
        </is>
      </c>
      <c r="D3261" s="20" t="inlineStr">
        <is>
          <t>TN42S9121</t>
        </is>
      </c>
      <c r="E3261" s="20" t="inlineStr">
        <is>
          <t>NISSAN</t>
        </is>
      </c>
      <c r="F3261" s="20" t="inlineStr">
        <is>
          <t>Terrano</t>
        </is>
      </c>
      <c r="G3261" s="21" t="n">
        <v>2017</v>
      </c>
      <c r="H3261" s="22" t="n">
        <v>323938</v>
      </c>
      <c r="I3261" s="23" t="n">
        <v>300000</v>
      </c>
      <c r="J3261" s="20" t="inlineStr">
        <is>
          <t>EXCHANGE ROTN</t>
        </is>
      </c>
      <c r="K3261" s="20" t="inlineStr">
        <is>
          <t>Captive</t>
        </is>
      </c>
      <c r="L3261" s="20" t="inlineStr"/>
      <c r="M3261" s="23" t="n">
        <v>8474.58</v>
      </c>
      <c r="N3261" s="23" t="n">
        <v>10000</v>
      </c>
      <c r="O3261" s="24">
        <f>IF(AND(ISNUMBER(M3261), ISNUMBER(I3261), I3261&gt;0), M3261/I3261, "")</f>
        <v/>
      </c>
    </row>
    <row r="3262">
      <c r="A3262" s="19" t="inlineStr">
        <is>
          <t>FY27</t>
        </is>
      </c>
      <c r="B3262" s="19" t="inlineStr">
        <is>
          <t>Jul</t>
        </is>
      </c>
      <c r="C3262" s="19" t="inlineStr">
        <is>
          <t>TN</t>
        </is>
      </c>
      <c r="D3262" s="20" t="inlineStr">
        <is>
          <t>KA51MG1502</t>
        </is>
      </c>
      <c r="E3262" s="20" t="inlineStr">
        <is>
          <t>HONDA</t>
        </is>
      </c>
      <c r="F3262" s="20" t="inlineStr">
        <is>
          <t>City</t>
        </is>
      </c>
      <c r="G3262" s="21" t="n">
        <v>2014</v>
      </c>
      <c r="H3262" s="22" t="n">
        <v>127346</v>
      </c>
      <c r="I3262" s="23" t="n">
        <v>325000</v>
      </c>
      <c r="J3262" s="20" t="inlineStr">
        <is>
          <t>EXCHANGE ROTN</t>
        </is>
      </c>
      <c r="K3262" s="20" t="inlineStr">
        <is>
          <t>Captive</t>
        </is>
      </c>
      <c r="L3262" s="20" t="inlineStr"/>
      <c r="M3262" s="23" t="n">
        <v>8474.58</v>
      </c>
      <c r="N3262" s="23" t="n">
        <v>10000</v>
      </c>
      <c r="O3262" s="24">
        <f>IF(AND(ISNUMBER(M3262), ISNUMBER(I3262), I3262&gt;0), M3262/I3262, "")</f>
        <v/>
      </c>
    </row>
    <row r="3263">
      <c r="A3263" s="19" t="inlineStr">
        <is>
          <t>FY27</t>
        </is>
      </c>
      <c r="B3263" s="19" t="inlineStr">
        <is>
          <t>Jul</t>
        </is>
      </c>
      <c r="C3263" s="19" t="inlineStr">
        <is>
          <t>TN</t>
        </is>
      </c>
      <c r="D3263" s="20" t="inlineStr">
        <is>
          <t>TN27M7077</t>
        </is>
      </c>
      <c r="E3263" s="20" t="inlineStr">
        <is>
          <t>HYUNDAI</t>
        </is>
      </c>
      <c r="F3263" s="20" t="inlineStr">
        <is>
          <t>Santro</t>
        </is>
      </c>
      <c r="G3263" s="21" t="n">
        <v>1999</v>
      </c>
      <c r="H3263" s="22" t="n">
        <v>161271</v>
      </c>
      <c r="I3263" s="23" t="n">
        <v>30000</v>
      </c>
      <c r="J3263" s="20" t="inlineStr">
        <is>
          <t>EXCHANGE ROTN</t>
        </is>
      </c>
      <c r="K3263" s="20" t="inlineStr">
        <is>
          <t>Captive</t>
        </is>
      </c>
      <c r="L3263" s="20" t="inlineStr"/>
      <c r="M3263" s="23" t="n">
        <v>4237.29</v>
      </c>
      <c r="N3263" s="23" t="n">
        <v>5000</v>
      </c>
      <c r="O3263" s="24">
        <f>IF(AND(ISNUMBER(M3263), ISNUMBER(I3263), I3263&gt;0), M3263/I3263, "")</f>
        <v/>
      </c>
    </row>
    <row r="3264">
      <c r="A3264" s="19" t="inlineStr">
        <is>
          <t>FY27</t>
        </is>
      </c>
      <c r="B3264" s="19" t="inlineStr">
        <is>
          <t>Jul</t>
        </is>
      </c>
      <c r="C3264" s="19" t="inlineStr">
        <is>
          <t>TN</t>
        </is>
      </c>
      <c r="D3264" s="20" t="inlineStr">
        <is>
          <t>TN47U3098</t>
        </is>
      </c>
      <c r="E3264" s="20" t="inlineStr">
        <is>
          <t>MARUTI</t>
        </is>
      </c>
      <c r="F3264" s="20" t="inlineStr">
        <is>
          <t>Alto</t>
        </is>
      </c>
      <c r="G3264" s="21" t="n">
        <v>2009</v>
      </c>
      <c r="H3264" s="22" t="n">
        <v>56415</v>
      </c>
      <c r="I3264" s="23" t="n">
        <v>70000</v>
      </c>
      <c r="J3264" s="20" t="inlineStr">
        <is>
          <t>EXCHANGE ROTN</t>
        </is>
      </c>
      <c r="K3264" s="20" t="inlineStr">
        <is>
          <t>Captive</t>
        </is>
      </c>
      <c r="L3264" s="20" t="inlineStr"/>
      <c r="M3264" s="23" t="n">
        <v>4237.29</v>
      </c>
      <c r="N3264" s="23" t="n">
        <v>5000</v>
      </c>
      <c r="O3264" s="24">
        <f>IF(AND(ISNUMBER(M3264), ISNUMBER(I3264), I3264&gt;0), M3264/I3264, "")</f>
        <v/>
      </c>
    </row>
    <row r="3265">
      <c r="A3265" s="19" t="inlineStr">
        <is>
          <t>FY27</t>
        </is>
      </c>
      <c r="B3265" s="19" t="inlineStr">
        <is>
          <t>Jul</t>
        </is>
      </c>
      <c r="C3265" s="19" t="inlineStr">
        <is>
          <t>TN</t>
        </is>
      </c>
      <c r="D3265" s="20" t="inlineStr">
        <is>
          <t>TN07AR0138</t>
        </is>
      </c>
      <c r="E3265" s="20" t="inlineStr">
        <is>
          <t>MARUTI</t>
        </is>
      </c>
      <c r="F3265" s="20" t="inlineStr">
        <is>
          <t>Alto</t>
        </is>
      </c>
      <c r="G3265" s="21" t="n">
        <v>2007</v>
      </c>
      <c r="H3265" s="22" t="n">
        <v>136385</v>
      </c>
      <c r="I3265" s="23" t="n">
        <v>60000</v>
      </c>
      <c r="J3265" s="20" t="inlineStr">
        <is>
          <t>EXCHANGE ROTN</t>
        </is>
      </c>
      <c r="K3265" s="20" t="inlineStr">
        <is>
          <t>Captive</t>
        </is>
      </c>
      <c r="L3265" s="20" t="inlineStr"/>
      <c r="M3265" s="23" t="n">
        <v>4237.29</v>
      </c>
      <c r="N3265" s="23" t="n">
        <v>5000</v>
      </c>
      <c r="O3265" s="24">
        <f>IF(AND(ISNUMBER(M3265), ISNUMBER(I3265), I3265&gt;0), M3265/I3265, "")</f>
        <v/>
      </c>
    </row>
    <row r="3266">
      <c r="A3266" s="19" t="inlineStr">
        <is>
          <t>FY27</t>
        </is>
      </c>
      <c r="B3266" s="19" t="inlineStr">
        <is>
          <t>Jul</t>
        </is>
      </c>
      <c r="C3266" s="19" t="inlineStr">
        <is>
          <t>TN</t>
        </is>
      </c>
      <c r="D3266" s="20" t="inlineStr">
        <is>
          <t>TN22CH3558</t>
        </is>
      </c>
      <c r="E3266" s="20" t="inlineStr">
        <is>
          <t>MARUTI</t>
        </is>
      </c>
      <c r="F3266" s="20" t="inlineStr">
        <is>
          <t>Alto 800</t>
        </is>
      </c>
      <c r="G3266" s="21" t="n">
        <v>2012</v>
      </c>
      <c r="H3266" s="22" t="n">
        <v>96173</v>
      </c>
      <c r="I3266" s="23" t="n">
        <v>122000</v>
      </c>
      <c r="J3266" s="20" t="inlineStr">
        <is>
          <t>EXCHANGE ROTN</t>
        </is>
      </c>
      <c r="K3266" s="20" t="inlineStr">
        <is>
          <t>Captive</t>
        </is>
      </c>
      <c r="L3266" s="20" t="inlineStr"/>
      <c r="M3266" s="23" t="n">
        <v>4237.29</v>
      </c>
      <c r="N3266" s="23" t="n">
        <v>5000</v>
      </c>
      <c r="O3266" s="24">
        <f>IF(AND(ISNUMBER(M3266), ISNUMBER(I3266), I3266&gt;0), M3266/I3266, "")</f>
        <v/>
      </c>
    </row>
    <row r="3267">
      <c r="A3267" s="19" t="inlineStr">
        <is>
          <t>FY27</t>
        </is>
      </c>
      <c r="B3267" s="19" t="inlineStr">
        <is>
          <t>Jul</t>
        </is>
      </c>
      <c r="C3267" s="19" t="inlineStr">
        <is>
          <t>TN</t>
        </is>
      </c>
      <c r="D3267" s="20" t="inlineStr">
        <is>
          <t>TN30AK5445</t>
        </is>
      </c>
      <c r="E3267" s="20" t="inlineStr">
        <is>
          <t>FORD</t>
        </is>
      </c>
      <c r="F3267" s="20" t="inlineStr">
        <is>
          <t>Fiesta</t>
        </is>
      </c>
      <c r="G3267" s="21" t="n">
        <v>2011</v>
      </c>
      <c r="H3267" s="22" t="n">
        <v>110559</v>
      </c>
      <c r="I3267" s="23" t="n">
        <v>50000</v>
      </c>
      <c r="J3267" s="20" t="inlineStr">
        <is>
          <t>EXCHANGE ROTN</t>
        </is>
      </c>
      <c r="K3267" s="20" t="inlineStr">
        <is>
          <t>Captive</t>
        </is>
      </c>
      <c r="L3267" s="20" t="inlineStr"/>
      <c r="M3267" s="23" t="n">
        <v>4237.29</v>
      </c>
      <c r="N3267" s="23" t="n">
        <v>5000</v>
      </c>
      <c r="O3267" s="24">
        <f>IF(AND(ISNUMBER(M3267), ISNUMBER(I3267), I3267&gt;0), M3267/I3267, "")</f>
        <v/>
      </c>
    </row>
    <row r="3268">
      <c r="A3268" s="19" t="inlineStr">
        <is>
          <t>FY27</t>
        </is>
      </c>
      <c r="B3268" s="19" t="inlineStr">
        <is>
          <t>Jul</t>
        </is>
      </c>
      <c r="C3268" s="19" t="inlineStr">
        <is>
          <t>TN</t>
        </is>
      </c>
      <c r="D3268" s="20" t="inlineStr">
        <is>
          <t>TN02BP1991</t>
        </is>
      </c>
      <c r="E3268" s="20" t="inlineStr">
        <is>
          <t>HONDA</t>
        </is>
      </c>
      <c r="F3268" s="20" t="inlineStr">
        <is>
          <t>City</t>
        </is>
      </c>
      <c r="G3268" s="21" t="n">
        <v>2018</v>
      </c>
      <c r="H3268" s="22" t="n">
        <v>48752</v>
      </c>
      <c r="I3268" s="23" t="n">
        <v>565000</v>
      </c>
      <c r="J3268" s="20" t="inlineStr">
        <is>
          <t>EXCHANGE CHENNAI</t>
        </is>
      </c>
      <c r="K3268" s="20" t="inlineStr">
        <is>
          <t>Captive</t>
        </is>
      </c>
      <c r="L3268" s="20" t="inlineStr"/>
      <c r="M3268" s="23" t="n">
        <v>8474.58</v>
      </c>
      <c r="N3268" s="23" t="n">
        <v>10000</v>
      </c>
      <c r="O3268" s="24">
        <f>IF(AND(ISNUMBER(M3268), ISNUMBER(I3268), I3268&gt;0), M3268/I3268, "")</f>
        <v/>
      </c>
    </row>
    <row r="3269">
      <c r="A3269" s="19" t="inlineStr">
        <is>
          <t>FY27</t>
        </is>
      </c>
      <c r="B3269" s="19" t="inlineStr">
        <is>
          <t>Jul</t>
        </is>
      </c>
      <c r="C3269" s="19" t="inlineStr">
        <is>
          <t>TN</t>
        </is>
      </c>
      <c r="D3269" s="20" t="inlineStr">
        <is>
          <t>TN25BW7866</t>
        </is>
      </c>
      <c r="E3269" s="20" t="inlineStr">
        <is>
          <t>HONDA</t>
        </is>
      </c>
      <c r="F3269" s="20" t="inlineStr">
        <is>
          <t>Jazz</t>
        </is>
      </c>
      <c r="G3269" s="21" t="n">
        <v>2018</v>
      </c>
      <c r="H3269" s="22" t="n">
        <v>65989</v>
      </c>
      <c r="I3269" s="23" t="n">
        <v>150000</v>
      </c>
      <c r="J3269" s="20" t="inlineStr">
        <is>
          <t>EXCHANGE CHENNAI</t>
        </is>
      </c>
      <c r="K3269" s="20" t="inlineStr">
        <is>
          <t>Captive</t>
        </is>
      </c>
      <c r="L3269" s="20" t="inlineStr"/>
      <c r="M3269" s="23" t="n">
        <v>4237.29</v>
      </c>
      <c r="N3269" s="23" t="n">
        <v>5000</v>
      </c>
      <c r="O3269" s="24">
        <f>IF(AND(ISNUMBER(M3269), ISNUMBER(I3269), I3269&gt;0), M3269/I3269, "")</f>
        <v/>
      </c>
    </row>
    <row r="3270">
      <c r="A3270" s="19" t="inlineStr">
        <is>
          <t>FY27</t>
        </is>
      </c>
      <c r="B3270" s="19" t="inlineStr">
        <is>
          <t>Jul</t>
        </is>
      </c>
      <c r="C3270" s="19" t="inlineStr">
        <is>
          <t>TN</t>
        </is>
      </c>
      <c r="D3270" s="20" t="inlineStr">
        <is>
          <t>TN11C0679</t>
        </is>
      </c>
      <c r="E3270" s="20" t="inlineStr">
        <is>
          <t>MARUTI</t>
        </is>
      </c>
      <c r="F3270" s="20" t="inlineStr">
        <is>
          <t>Alto 800</t>
        </is>
      </c>
      <c r="G3270" s="21" t="n">
        <v>2013</v>
      </c>
      <c r="H3270" s="22" t="n">
        <v>64249</v>
      </c>
      <c r="I3270" s="23" t="n">
        <v>150000</v>
      </c>
      <c r="J3270" s="20" t="inlineStr">
        <is>
          <t>EXCHANGE CHENNAI</t>
        </is>
      </c>
      <c r="K3270" s="20" t="inlineStr">
        <is>
          <t>Captive</t>
        </is>
      </c>
      <c r="L3270" s="20" t="inlineStr"/>
      <c r="M3270" s="23" t="n">
        <v>8474.58</v>
      </c>
      <c r="N3270" s="23" t="n">
        <v>10000</v>
      </c>
      <c r="O3270" s="24">
        <f>IF(AND(ISNUMBER(M3270), ISNUMBER(I3270), I3270&gt;0), M3270/I3270, "")</f>
        <v/>
      </c>
    </row>
    <row r="3271">
      <c r="A3271" s="19" t="inlineStr">
        <is>
          <t>FY27</t>
        </is>
      </c>
      <c r="B3271" s="19" t="inlineStr">
        <is>
          <t>Jul</t>
        </is>
      </c>
      <c r="C3271" s="19" t="inlineStr">
        <is>
          <t>TN</t>
        </is>
      </c>
      <c r="D3271" s="20" t="inlineStr">
        <is>
          <t>TN02BJ0795</t>
        </is>
      </c>
      <c r="E3271" s="20" t="inlineStr">
        <is>
          <t>HONDA</t>
        </is>
      </c>
      <c r="F3271" s="20" t="inlineStr">
        <is>
          <t>Brio</t>
        </is>
      </c>
      <c r="G3271" s="21" t="n">
        <v>2017</v>
      </c>
      <c r="H3271" s="22" t="n">
        <v>100594</v>
      </c>
      <c r="I3271" s="23" t="n">
        <v>310000</v>
      </c>
      <c r="J3271" s="20" t="inlineStr">
        <is>
          <t>EXCHANGE CHENNAI</t>
        </is>
      </c>
      <c r="K3271" s="20" t="inlineStr">
        <is>
          <t>Captive</t>
        </is>
      </c>
      <c r="L3271" s="20" t="inlineStr"/>
      <c r="M3271" s="23" t="n">
        <v>8474.58</v>
      </c>
      <c r="N3271" s="23" t="n">
        <v>10000</v>
      </c>
      <c r="O3271" s="24">
        <f>IF(AND(ISNUMBER(M3271), ISNUMBER(I3271), I3271&gt;0), M3271/I3271, "")</f>
        <v/>
      </c>
    </row>
    <row r="3272">
      <c r="A3272" s="19" t="inlineStr">
        <is>
          <t>FY27</t>
        </is>
      </c>
      <c r="B3272" s="19" t="inlineStr">
        <is>
          <t>Jul</t>
        </is>
      </c>
      <c r="C3272" s="19" t="inlineStr">
        <is>
          <t>TN</t>
        </is>
      </c>
      <c r="D3272" s="20" t="inlineStr">
        <is>
          <t>TN02BC7945</t>
        </is>
      </c>
      <c r="E3272" s="20" t="inlineStr">
        <is>
          <t>HONDA</t>
        </is>
      </c>
      <c r="F3272" s="20" t="inlineStr">
        <is>
          <t>Jazz</t>
        </is>
      </c>
      <c r="G3272" s="21" t="n">
        <v>2015</v>
      </c>
      <c r="H3272" s="22" t="n">
        <v>49492</v>
      </c>
      <c r="I3272" s="23" t="n">
        <v>325000</v>
      </c>
      <c r="J3272" s="20" t="inlineStr">
        <is>
          <t>EXCHANGE CHENNAI</t>
        </is>
      </c>
      <c r="K3272" s="20" t="inlineStr">
        <is>
          <t>Captive</t>
        </is>
      </c>
      <c r="L3272" s="20" t="inlineStr"/>
      <c r="M3272" s="23" t="n">
        <v>8474.58</v>
      </c>
      <c r="N3272" s="23" t="n">
        <v>10000</v>
      </c>
      <c r="O3272" s="24">
        <f>IF(AND(ISNUMBER(M3272), ISNUMBER(I3272), I3272&gt;0), M3272/I3272, "")</f>
        <v/>
      </c>
    </row>
    <row r="3273">
      <c r="A3273" s="19" t="inlineStr">
        <is>
          <t>FY27</t>
        </is>
      </c>
      <c r="B3273" s="19" t="inlineStr">
        <is>
          <t>Jul</t>
        </is>
      </c>
      <c r="C3273" s="19" t="inlineStr">
        <is>
          <t>TN</t>
        </is>
      </c>
      <c r="D3273" s="20" t="inlineStr">
        <is>
          <t>WB06J1563</t>
        </is>
      </c>
      <c r="E3273" s="20" t="inlineStr">
        <is>
          <t>MARUTI</t>
        </is>
      </c>
      <c r="F3273" s="20" t="inlineStr">
        <is>
          <t>Swift</t>
        </is>
      </c>
      <c r="G3273" s="21" t="n">
        <v>2011</v>
      </c>
      <c r="H3273" s="22" t="n">
        <v>104621</v>
      </c>
      <c r="I3273" s="23" t="n">
        <v>120000</v>
      </c>
      <c r="J3273" s="20" t="inlineStr">
        <is>
          <t>EXCHANGE CHENNAI</t>
        </is>
      </c>
      <c r="K3273" s="20" t="inlineStr">
        <is>
          <t>Captive</t>
        </is>
      </c>
      <c r="L3273" s="20" t="inlineStr"/>
      <c r="M3273" s="23" t="n">
        <v>4237.29</v>
      </c>
      <c r="N3273" s="23" t="n">
        <v>5000</v>
      </c>
      <c r="O3273" s="24">
        <f>IF(AND(ISNUMBER(M3273), ISNUMBER(I3273), I3273&gt;0), M3273/I3273, "")</f>
        <v/>
      </c>
    </row>
    <row r="3274">
      <c r="A3274" s="19" t="inlineStr">
        <is>
          <t>FY27</t>
        </is>
      </c>
      <c r="B3274" s="19" t="inlineStr">
        <is>
          <t>Jul</t>
        </is>
      </c>
      <c r="C3274" s="19" t="inlineStr">
        <is>
          <t>TN</t>
        </is>
      </c>
      <c r="D3274" s="20" t="inlineStr">
        <is>
          <t>WB26BX6669</t>
        </is>
      </c>
      <c r="E3274" s="20" t="inlineStr">
        <is>
          <t>MARUTI</t>
        </is>
      </c>
      <c r="F3274" s="20" t="inlineStr">
        <is>
          <t>Alto K10</t>
        </is>
      </c>
      <c r="G3274" s="21" t="n">
        <v>2023</v>
      </c>
      <c r="H3274" s="22" t="n">
        <v>122765</v>
      </c>
      <c r="I3274" s="23" t="n">
        <v>320000</v>
      </c>
      <c r="J3274" s="20" t="inlineStr">
        <is>
          <t>EXCHANGE CHENNAI</t>
        </is>
      </c>
      <c r="K3274" s="20" t="inlineStr">
        <is>
          <t>Captive</t>
        </is>
      </c>
      <c r="L3274" s="20" t="inlineStr"/>
      <c r="M3274" s="23" t="n">
        <v>8474.58</v>
      </c>
      <c r="N3274" s="23" t="n">
        <v>10000</v>
      </c>
      <c r="O3274" s="24">
        <f>IF(AND(ISNUMBER(M3274), ISNUMBER(I3274), I3274&gt;0), M3274/I3274, "")</f>
        <v/>
      </c>
    </row>
    <row r="3275">
      <c r="A3275" s="19" t="inlineStr">
        <is>
          <t>FY27</t>
        </is>
      </c>
      <c r="B3275" s="19" t="inlineStr">
        <is>
          <t>Jul</t>
        </is>
      </c>
      <c r="C3275" s="19" t="inlineStr">
        <is>
          <t>TN</t>
        </is>
      </c>
      <c r="D3275" s="20" t="inlineStr">
        <is>
          <t>TN38AY8287</t>
        </is>
      </c>
      <c r="E3275" s="20" t="inlineStr">
        <is>
          <t>TATA</t>
        </is>
      </c>
      <c r="F3275" s="20" t="inlineStr">
        <is>
          <t>Indica</t>
        </is>
      </c>
      <c r="G3275" s="21" t="n">
        <v>2009</v>
      </c>
      <c r="H3275" s="22" t="n">
        <v>149642</v>
      </c>
      <c r="I3275" s="23" t="n">
        <v>80000</v>
      </c>
      <c r="J3275" s="20" t="inlineStr">
        <is>
          <t>EXCHANGE ROTN</t>
        </is>
      </c>
      <c r="K3275" s="20" t="inlineStr">
        <is>
          <t>Captive</t>
        </is>
      </c>
      <c r="L3275" s="20" t="inlineStr"/>
      <c r="M3275" s="23" t="n">
        <v>4237.29</v>
      </c>
      <c r="N3275" s="23" t="n">
        <v>5000</v>
      </c>
      <c r="O3275" s="24">
        <f>IF(AND(ISNUMBER(M3275), ISNUMBER(I3275), I3275&gt;0), M3275/I3275, "")</f>
        <v/>
      </c>
    </row>
    <row r="3276">
      <c r="A3276" s="19" t="inlineStr">
        <is>
          <t>FY27</t>
        </is>
      </c>
      <c r="B3276" s="19" t="inlineStr">
        <is>
          <t>Aug</t>
        </is>
      </c>
      <c r="C3276" s="19" t="inlineStr">
        <is>
          <t>AP/TS</t>
        </is>
      </c>
      <c r="D3276" s="20" t="inlineStr">
        <is>
          <t>AP07BC3336</t>
        </is>
      </c>
      <c r="E3276" s="20" t="inlineStr">
        <is>
          <t>MARUTI SUZUKI</t>
        </is>
      </c>
      <c r="F3276" s="20" t="inlineStr">
        <is>
          <t>Swift</t>
        </is>
      </c>
      <c r="G3276" s="21" t="n">
        <v>2011</v>
      </c>
      <c r="H3276" s="22" t="n">
        <v>167028</v>
      </c>
      <c r="I3276" s="23" t="n">
        <v>157500</v>
      </c>
      <c r="J3276" s="20" t="inlineStr">
        <is>
          <t>Tenali Srinivas</t>
        </is>
      </c>
      <c r="K3276" s="20" t="inlineStr">
        <is>
          <t>Non-Captive</t>
        </is>
      </c>
      <c r="L3276" s="20" t="inlineStr">
        <is>
          <t>Vinod Kumar Murari</t>
        </is>
      </c>
      <c r="M3276" s="23" t="n">
        <v>6356</v>
      </c>
      <c r="N3276" s="23" t="n">
        <v>7500</v>
      </c>
      <c r="O3276" s="24">
        <f>IF(AND(ISNUMBER(M3276), ISNUMBER(I3276), I3276&gt;0), M3276/I3276, "")</f>
        <v/>
      </c>
    </row>
    <row r="3277">
      <c r="A3277" s="19" t="inlineStr">
        <is>
          <t>FY27</t>
        </is>
      </c>
      <c r="B3277" s="19" t="inlineStr">
        <is>
          <t>Aug</t>
        </is>
      </c>
      <c r="C3277" s="19" t="inlineStr">
        <is>
          <t>AP/TS</t>
        </is>
      </c>
      <c r="D3277" s="20" t="inlineStr">
        <is>
          <t>AP31TV6377</t>
        </is>
      </c>
      <c r="E3277" s="20" t="inlineStr">
        <is>
          <t>TOYOTA</t>
        </is>
      </c>
      <c r="F3277" s="20" t="inlineStr">
        <is>
          <t>Etios</t>
        </is>
      </c>
      <c r="G3277" s="21" t="n">
        <v>2014</v>
      </c>
      <c r="H3277" s="22" t="n">
        <v>163411</v>
      </c>
      <c r="I3277" s="23" t="n">
        <v>232500</v>
      </c>
      <c r="J3277" s="20" t="inlineStr">
        <is>
          <t>Tenali Srinivas</t>
        </is>
      </c>
      <c r="K3277" s="20" t="inlineStr">
        <is>
          <t>Non-Captive</t>
        </is>
      </c>
      <c r="L3277" s="20" t="inlineStr">
        <is>
          <t>Exchange</t>
        </is>
      </c>
      <c r="M3277" s="23" t="n">
        <v>6356</v>
      </c>
      <c r="N3277" s="23" t="n">
        <v>7500</v>
      </c>
      <c r="O3277" s="24">
        <f>IF(AND(ISNUMBER(M3277), ISNUMBER(I3277), I3277&gt;0), M3277/I3277, "")</f>
        <v/>
      </c>
    </row>
    <row r="3278">
      <c r="A3278" s="19" t="inlineStr">
        <is>
          <t>FY27</t>
        </is>
      </c>
      <c r="B3278" s="19" t="inlineStr">
        <is>
          <t>Aug</t>
        </is>
      </c>
      <c r="C3278" s="19" t="inlineStr">
        <is>
          <t>AP/TS</t>
        </is>
      </c>
      <c r="D3278" s="20" t="inlineStr">
        <is>
          <t>AP39KG4959</t>
        </is>
      </c>
      <c r="E3278" s="20" t="inlineStr">
        <is>
          <t>HONDA</t>
        </is>
      </c>
      <c r="F3278" s="20" t="inlineStr">
        <is>
          <t>City</t>
        </is>
      </c>
      <c r="G3278" s="21" t="n">
        <v>2021</v>
      </c>
      <c r="H3278" s="22" t="n">
        <v>65383</v>
      </c>
      <c r="I3278" s="23" t="n">
        <v>540000</v>
      </c>
      <c r="J3278" s="20" t="inlineStr">
        <is>
          <t>Yekkalurugooty Mustak</t>
        </is>
      </c>
      <c r="K3278" s="20" t="inlineStr">
        <is>
          <t>Non-Captive</t>
        </is>
      </c>
      <c r="L3278" s="20" t="inlineStr">
        <is>
          <t>Exchange</t>
        </is>
      </c>
      <c r="M3278" s="23" t="n">
        <v>8475</v>
      </c>
      <c r="N3278" s="23" t="n">
        <v>10000</v>
      </c>
      <c r="O3278" s="24">
        <f>IF(AND(ISNUMBER(M3278), ISNUMBER(I3278), I3278&gt;0), M3278/I3278, "")</f>
        <v/>
      </c>
    </row>
    <row r="3279">
      <c r="A3279" s="19" t="inlineStr">
        <is>
          <t>FY27</t>
        </is>
      </c>
      <c r="B3279" s="19" t="inlineStr">
        <is>
          <t>Aug</t>
        </is>
      </c>
      <c r="C3279" s="19" t="inlineStr">
        <is>
          <t>AP/TS</t>
        </is>
      </c>
      <c r="D3279" s="20" t="inlineStr">
        <is>
          <t>AP16FF0345</t>
        </is>
      </c>
      <c r="E3279" s="20" t="inlineStr">
        <is>
          <t>HONDA</t>
        </is>
      </c>
      <c r="F3279" s="20" t="inlineStr">
        <is>
          <t>Amaze</t>
        </is>
      </c>
      <c r="G3279" s="21" t="n">
        <v>2018</v>
      </c>
      <c r="H3279" s="22" t="n">
        <v>117594</v>
      </c>
      <c r="I3279" s="23" t="n">
        <v>515000</v>
      </c>
      <c r="J3279" s="20" t="inlineStr">
        <is>
          <t>Vedicherla Sudheer Reddy</t>
        </is>
      </c>
      <c r="K3279" s="20" t="inlineStr">
        <is>
          <t>Non-Captive</t>
        </is>
      </c>
      <c r="L3279" s="20" t="inlineStr">
        <is>
          <t>Exchange</t>
        </is>
      </c>
      <c r="M3279" s="23" t="n">
        <v>12712</v>
      </c>
      <c r="N3279" s="23" t="n">
        <v>15000</v>
      </c>
      <c r="O3279" s="24">
        <f>IF(AND(ISNUMBER(M3279), ISNUMBER(I3279), I3279&gt;0), M3279/I3279, "")</f>
        <v/>
      </c>
    </row>
    <row r="3280">
      <c r="A3280" s="19" t="inlineStr">
        <is>
          <t>FY27</t>
        </is>
      </c>
      <c r="B3280" s="19" t="inlineStr">
        <is>
          <t>Aug</t>
        </is>
      </c>
      <c r="C3280" s="19" t="inlineStr">
        <is>
          <t>AP/TS</t>
        </is>
      </c>
      <c r="D3280" s="20" t="inlineStr">
        <is>
          <t>AP16FE6457</t>
        </is>
      </c>
      <c r="E3280" s="20" t="inlineStr">
        <is>
          <t>HONDA</t>
        </is>
      </c>
      <c r="F3280" s="20" t="inlineStr">
        <is>
          <t>Amaze</t>
        </is>
      </c>
      <c r="G3280" s="21" t="n">
        <v>2018</v>
      </c>
      <c r="H3280" s="22" t="n">
        <v>144414</v>
      </c>
      <c r="I3280" s="23" t="n">
        <v>277500</v>
      </c>
      <c r="J3280" s="20" t="inlineStr">
        <is>
          <t>Polukonda Naga Suresh</t>
        </is>
      </c>
      <c r="K3280" s="20" t="inlineStr">
        <is>
          <t>Non-Captive</t>
        </is>
      </c>
      <c r="L3280" s="20" t="inlineStr">
        <is>
          <t>Tenali Srinivas</t>
        </is>
      </c>
      <c r="M3280" s="23" t="n">
        <v>6356</v>
      </c>
      <c r="N3280" s="23" t="n">
        <v>7500</v>
      </c>
      <c r="O3280" s="24">
        <f>IF(AND(ISNUMBER(M3280), ISNUMBER(I3280), I3280&gt;0), M3280/I3280, "")</f>
        <v/>
      </c>
    </row>
    <row r="3281">
      <c r="A3281" s="19" t="inlineStr">
        <is>
          <t>FY27</t>
        </is>
      </c>
      <c r="B3281" s="19" t="inlineStr">
        <is>
          <t>Aug</t>
        </is>
      </c>
      <c r="C3281" s="19" t="inlineStr">
        <is>
          <t>AP/TS</t>
        </is>
      </c>
      <c r="D3281" s="20" t="inlineStr">
        <is>
          <t>AP40H3536</t>
        </is>
      </c>
      <c r="E3281" s="20" t="inlineStr">
        <is>
          <t>HONDA</t>
        </is>
      </c>
      <c r="F3281" s="20" t="inlineStr">
        <is>
          <t>Amaze</t>
        </is>
      </c>
      <c r="G3281" s="21" t="n">
        <v>2023</v>
      </c>
      <c r="H3281" s="22" t="n">
        <v>22969</v>
      </c>
      <c r="I3281" s="23" t="n">
        <v>510000</v>
      </c>
      <c r="J3281" s="20" t="inlineStr">
        <is>
          <t>Gandrapu Raja Ratnam</t>
        </is>
      </c>
      <c r="K3281" s="20" t="inlineStr">
        <is>
          <t>Non-Captive</t>
        </is>
      </c>
      <c r="L3281" s="20" t="inlineStr">
        <is>
          <t>Exchange</t>
        </is>
      </c>
      <c r="M3281" s="23" t="n">
        <v>8475</v>
      </c>
      <c r="N3281" s="23" t="n">
        <v>10000</v>
      </c>
      <c r="O3281" s="24">
        <f>IF(AND(ISNUMBER(M3281), ISNUMBER(I3281), I3281&gt;0), M3281/I3281, "")</f>
        <v/>
      </c>
    </row>
    <row r="3282">
      <c r="A3282" s="19" t="inlineStr">
        <is>
          <t>FY27</t>
        </is>
      </c>
      <c r="B3282" s="19" t="inlineStr">
        <is>
          <t>Aug</t>
        </is>
      </c>
      <c r="C3282" s="19" t="inlineStr">
        <is>
          <t>AP/TS</t>
        </is>
      </c>
      <c r="D3282" s="20" t="inlineStr">
        <is>
          <t>TS10EF1279</t>
        </is>
      </c>
      <c r="E3282" s="20" t="inlineStr">
        <is>
          <t>MARUTI SUZUKI</t>
        </is>
      </c>
      <c r="F3282" s="20" t="inlineStr">
        <is>
          <t>Ciaz</t>
        </is>
      </c>
      <c r="G3282" s="21" t="n">
        <v>2015</v>
      </c>
      <c r="H3282" s="22" t="n">
        <v>115823</v>
      </c>
      <c r="I3282" s="23" t="n">
        <v>355000</v>
      </c>
      <c r="J3282" s="20" t="inlineStr">
        <is>
          <t>Gorenka Bhavani Prasad</t>
        </is>
      </c>
      <c r="K3282" s="20" t="inlineStr">
        <is>
          <t>Non-Captive</t>
        </is>
      </c>
      <c r="L3282" s="20" t="inlineStr">
        <is>
          <t>Exchange</t>
        </is>
      </c>
      <c r="M3282" s="23" t="n">
        <v>12712</v>
      </c>
      <c r="N3282" s="23" t="n">
        <v>15000</v>
      </c>
      <c r="O3282" s="24">
        <f>IF(AND(ISNUMBER(M3282), ISNUMBER(I3282), I3282&gt;0), M3282/I3282, "")</f>
        <v/>
      </c>
    </row>
    <row r="3283">
      <c r="A3283" s="19" t="inlineStr">
        <is>
          <t>FY27</t>
        </is>
      </c>
      <c r="B3283" s="19" t="inlineStr">
        <is>
          <t>Aug</t>
        </is>
      </c>
      <c r="C3283" s="19" t="inlineStr">
        <is>
          <t>AP/TS</t>
        </is>
      </c>
      <c r="D3283" s="20" t="inlineStr">
        <is>
          <t>TS09EH7429</t>
        </is>
      </c>
      <c r="E3283" s="20" t="inlineStr">
        <is>
          <t>HONDA</t>
        </is>
      </c>
      <c r="F3283" s="20" t="inlineStr">
        <is>
          <t>Mobilio</t>
        </is>
      </c>
      <c r="G3283" s="21" t="n">
        <v>2015</v>
      </c>
      <c r="H3283" s="22" t="n">
        <v>182125</v>
      </c>
      <c r="I3283" s="23" t="n">
        <v>283000</v>
      </c>
      <c r="J3283" s="20" t="inlineStr">
        <is>
          <t>Gorenka Bhavani Prasad</t>
        </is>
      </c>
      <c r="K3283" s="20" t="inlineStr">
        <is>
          <t>Non-Captive</t>
        </is>
      </c>
      <c r="L3283" s="20" t="inlineStr">
        <is>
          <t>Puneet Gupta</t>
        </is>
      </c>
      <c r="M3283" s="23" t="n">
        <v>6780</v>
      </c>
      <c r="N3283" s="23" t="n">
        <v>8000</v>
      </c>
      <c r="O3283" s="24">
        <f>IF(AND(ISNUMBER(M3283), ISNUMBER(I3283), I3283&gt;0), M3283/I3283, "")</f>
        <v/>
      </c>
    </row>
    <row r="3284">
      <c r="A3284" s="19" t="inlineStr">
        <is>
          <t>FY27</t>
        </is>
      </c>
      <c r="B3284" s="19" t="inlineStr">
        <is>
          <t>Aug</t>
        </is>
      </c>
      <c r="C3284" s="19" t="inlineStr">
        <is>
          <t>AP/TS</t>
        </is>
      </c>
      <c r="D3284" s="20" t="inlineStr">
        <is>
          <t>TS09EB2605</t>
        </is>
      </c>
      <c r="E3284" s="20" t="inlineStr">
        <is>
          <t>HONDA</t>
        </is>
      </c>
      <c r="F3284" s="20" t="inlineStr">
        <is>
          <t>City</t>
        </is>
      </c>
      <c r="G3284" s="21" t="n">
        <v>2014</v>
      </c>
      <c r="H3284" s="22" t="n">
        <v>93520</v>
      </c>
      <c r="I3284" s="23" t="n">
        <v>330000</v>
      </c>
      <c r="J3284" s="20" t="inlineStr">
        <is>
          <t>Uppari Sandeep Kumar</t>
        </is>
      </c>
      <c r="K3284" s="20" t="inlineStr">
        <is>
          <t>Non-Captive</t>
        </is>
      </c>
      <c r="L3284" s="20" t="inlineStr">
        <is>
          <t>Exchange</t>
        </is>
      </c>
      <c r="M3284" s="23" t="n">
        <v>8475</v>
      </c>
      <c r="N3284" s="23" t="n">
        <v>10000</v>
      </c>
      <c r="O3284" s="24">
        <f>IF(AND(ISNUMBER(M3284), ISNUMBER(I3284), I3284&gt;0), M3284/I3284, "")</f>
        <v/>
      </c>
    </row>
    <row r="3285">
      <c r="A3285" s="19" t="inlineStr">
        <is>
          <t>FY27</t>
        </is>
      </c>
      <c r="B3285" s="19" t="inlineStr">
        <is>
          <t>Aug</t>
        </is>
      </c>
      <c r="C3285" s="19" t="inlineStr">
        <is>
          <t>AP/TS</t>
        </is>
      </c>
      <c r="D3285" s="20" t="inlineStr">
        <is>
          <t>AP31CQ2772</t>
        </is>
      </c>
      <c r="E3285" s="20" t="inlineStr">
        <is>
          <t>HYUNDAI</t>
        </is>
      </c>
      <c r="F3285" s="20" t="inlineStr">
        <is>
          <t>Verna</t>
        </is>
      </c>
      <c r="G3285" s="21" t="n">
        <v>2014</v>
      </c>
      <c r="H3285" s="22" t="n">
        <v>234567</v>
      </c>
      <c r="I3285" s="23" t="n">
        <v>270000</v>
      </c>
      <c r="J3285" s="20" t="inlineStr">
        <is>
          <t>Sunil Kumar Botta</t>
        </is>
      </c>
      <c r="K3285" s="20" t="inlineStr">
        <is>
          <t>Non-Captive</t>
        </is>
      </c>
      <c r="L3285" s="20" t="inlineStr">
        <is>
          <t>Exchange</t>
        </is>
      </c>
      <c r="M3285" s="23" t="n">
        <v>12712</v>
      </c>
      <c r="N3285" s="23" t="n">
        <v>15000</v>
      </c>
      <c r="O3285" s="24">
        <f>IF(AND(ISNUMBER(M3285), ISNUMBER(I3285), I3285&gt;0), M3285/I3285, "")</f>
        <v/>
      </c>
    </row>
    <row r="3286">
      <c r="A3286" s="19" t="inlineStr">
        <is>
          <t>FY27</t>
        </is>
      </c>
      <c r="B3286" s="19" t="inlineStr">
        <is>
          <t>Aug</t>
        </is>
      </c>
      <c r="C3286" s="19" t="inlineStr">
        <is>
          <t>AP/TS</t>
        </is>
      </c>
      <c r="D3286" s="20" t="inlineStr">
        <is>
          <t>AP31CH2439</t>
        </is>
      </c>
      <c r="E3286" s="20" t="inlineStr">
        <is>
          <t>HONDA</t>
        </is>
      </c>
      <c r="F3286" s="20" t="inlineStr">
        <is>
          <t>Amaze</t>
        </is>
      </c>
      <c r="G3286" s="21" t="n">
        <v>2013</v>
      </c>
      <c r="H3286" s="22" t="n">
        <v>30254</v>
      </c>
      <c r="I3286" s="23" t="n">
        <v>267000</v>
      </c>
      <c r="J3286" s="20" t="inlineStr">
        <is>
          <t>Kesireddi Saikiran</t>
        </is>
      </c>
      <c r="K3286" s="20" t="inlineStr">
        <is>
          <t>Non-Captive</t>
        </is>
      </c>
      <c r="L3286" s="20" t="inlineStr">
        <is>
          <t>Exchange</t>
        </is>
      </c>
      <c r="M3286" s="23" t="n">
        <v>14407</v>
      </c>
      <c r="N3286" s="23" t="n">
        <v>17000</v>
      </c>
      <c r="O3286" s="24">
        <f>IF(AND(ISNUMBER(M3286), ISNUMBER(I3286), I3286&gt;0), M3286/I3286, "")</f>
        <v/>
      </c>
    </row>
    <row r="3287">
      <c r="A3287" s="19" t="inlineStr">
        <is>
          <t>FY27</t>
        </is>
      </c>
      <c r="B3287" s="19" t="inlineStr">
        <is>
          <t>Aug</t>
        </is>
      </c>
      <c r="C3287" s="19" t="inlineStr">
        <is>
          <t>AP/TS</t>
        </is>
      </c>
      <c r="D3287" s="20" t="inlineStr">
        <is>
          <t>AP37DE4995</t>
        </is>
      </c>
      <c r="E3287" s="20" t="inlineStr">
        <is>
          <t>HYUNDAI</t>
        </is>
      </c>
      <c r="F3287" s="20" t="inlineStr">
        <is>
          <t>Vento</t>
        </is>
      </c>
      <c r="G3287" s="21" t="n">
        <v>2016</v>
      </c>
      <c r="H3287" s="22" t="n">
        <v>124396</v>
      </c>
      <c r="I3287" s="23" t="n">
        <v>357500</v>
      </c>
      <c r="J3287" s="20" t="inlineStr">
        <is>
          <t>Tenali Srinivas</t>
        </is>
      </c>
      <c r="K3287" s="20" t="inlineStr">
        <is>
          <t>Non-Captive</t>
        </is>
      </c>
      <c r="L3287" s="20" t="inlineStr">
        <is>
          <t>Vinod Kumar Murari</t>
        </is>
      </c>
      <c r="M3287" s="23" t="n">
        <v>6356</v>
      </c>
      <c r="N3287" s="23" t="n">
        <v>7500</v>
      </c>
      <c r="O3287" s="24">
        <f>IF(AND(ISNUMBER(M3287), ISNUMBER(I3287), I3287&gt;0), M3287/I3287, "")</f>
        <v/>
      </c>
    </row>
    <row r="3288">
      <c r="A3288" s="19" t="inlineStr">
        <is>
          <t>FY27</t>
        </is>
      </c>
      <c r="B3288" s="19" t="inlineStr">
        <is>
          <t>Aug</t>
        </is>
      </c>
      <c r="C3288" s="19" t="inlineStr">
        <is>
          <t>AP/TS</t>
        </is>
      </c>
      <c r="D3288" s="20" t="inlineStr">
        <is>
          <t>AP39AZ1589</t>
        </is>
      </c>
      <c r="E3288" s="20" t="inlineStr">
        <is>
          <t>HONDA</t>
        </is>
      </c>
      <c r="F3288" s="20" t="inlineStr">
        <is>
          <t>Jazz</t>
        </is>
      </c>
      <c r="G3288" s="21" t="n">
        <v>2019</v>
      </c>
      <c r="H3288" s="22" t="n">
        <v>105435</v>
      </c>
      <c r="I3288" s="23" t="n">
        <v>387500</v>
      </c>
      <c r="J3288" s="20" t="inlineStr">
        <is>
          <t>Tenali Srinivas</t>
        </is>
      </c>
      <c r="K3288" s="20" t="inlineStr">
        <is>
          <t>Non-Captive</t>
        </is>
      </c>
      <c r="L3288" s="20" t="inlineStr">
        <is>
          <t>Vinod Kumar Murari</t>
        </is>
      </c>
      <c r="M3288" s="23" t="n">
        <v>6356</v>
      </c>
      <c r="N3288" s="23" t="n">
        <v>7500</v>
      </c>
      <c r="O3288" s="24">
        <f>IF(AND(ISNUMBER(M3288), ISNUMBER(I3288), I3288&gt;0), M3288/I3288, "")</f>
        <v/>
      </c>
    </row>
    <row r="3289">
      <c r="A3289" s="19" t="inlineStr">
        <is>
          <t>FY27</t>
        </is>
      </c>
      <c r="B3289" s="19" t="inlineStr">
        <is>
          <t>Aug</t>
        </is>
      </c>
      <c r="C3289" s="19" t="inlineStr">
        <is>
          <t>AP/TS</t>
        </is>
      </c>
      <c r="D3289" s="20" t="inlineStr">
        <is>
          <t>AP16EW1122</t>
        </is>
      </c>
      <c r="E3289" s="20" t="inlineStr">
        <is>
          <t>MARUTI SUZUKI</t>
        </is>
      </c>
      <c r="F3289" s="20" t="inlineStr">
        <is>
          <t>Vitara Brezza</t>
        </is>
      </c>
      <c r="G3289" s="21" t="n">
        <v>2018</v>
      </c>
      <c r="H3289" s="22" t="n">
        <v>249427</v>
      </c>
      <c r="I3289" s="23" t="n">
        <v>443000</v>
      </c>
      <c r="J3289" s="20" t="inlineStr">
        <is>
          <t>Mohammed Gouse Basha</t>
        </is>
      </c>
      <c r="K3289" s="20" t="inlineStr">
        <is>
          <t>Non-Captive</t>
        </is>
      </c>
      <c r="L3289" s="20" t="inlineStr">
        <is>
          <t>Exchange</t>
        </is>
      </c>
      <c r="M3289" s="23" t="n">
        <v>11017</v>
      </c>
      <c r="N3289" s="23" t="n">
        <v>13000</v>
      </c>
      <c r="O3289" s="24">
        <f>IF(AND(ISNUMBER(M3289), ISNUMBER(I3289), I3289&gt;0), M3289/I3289, "")</f>
        <v/>
      </c>
    </row>
    <row r="3290">
      <c r="A3290" s="19" t="inlineStr">
        <is>
          <t>FY27</t>
        </is>
      </c>
      <c r="B3290" s="19" t="inlineStr">
        <is>
          <t>Aug</t>
        </is>
      </c>
      <c r="C3290" s="19" t="inlineStr">
        <is>
          <t>AP/TS</t>
        </is>
      </c>
      <c r="D3290" s="20" t="inlineStr">
        <is>
          <t>AP39HV0505</t>
        </is>
      </c>
      <c r="E3290" s="20" t="inlineStr">
        <is>
          <t>HYUNDAI</t>
        </is>
      </c>
      <c r="F3290" s="20" t="inlineStr">
        <is>
          <t>Creta</t>
        </is>
      </c>
      <c r="G3290" s="21" t="n">
        <v>2021</v>
      </c>
      <c r="H3290" s="22" t="n">
        <v>173575</v>
      </c>
      <c r="I3290" s="23" t="n">
        <v>795000</v>
      </c>
      <c r="J3290" s="20" t="inlineStr">
        <is>
          <t>Suresh Ginjupalli</t>
        </is>
      </c>
      <c r="K3290" s="20" t="inlineStr">
        <is>
          <t>Non-Captive</t>
        </is>
      </c>
      <c r="L3290" s="20" t="inlineStr">
        <is>
          <t>Exchange</t>
        </is>
      </c>
      <c r="M3290" s="23" t="n">
        <v>12712</v>
      </c>
      <c r="N3290" s="23" t="n">
        <v>15000</v>
      </c>
      <c r="O3290" s="24">
        <f>IF(AND(ISNUMBER(M3290), ISNUMBER(I3290), I3290&gt;0), M3290/I3290, "")</f>
        <v/>
      </c>
    </row>
    <row r="3291">
      <c r="A3291" s="19" t="inlineStr">
        <is>
          <t>FY27</t>
        </is>
      </c>
      <c r="B3291" s="19" t="inlineStr">
        <is>
          <t>Aug</t>
        </is>
      </c>
      <c r="C3291" s="19" t="inlineStr">
        <is>
          <t>AP/TS</t>
        </is>
      </c>
      <c r="D3291" s="20" t="inlineStr">
        <is>
          <t>TG08G7002</t>
        </is>
      </c>
      <c r="E3291" s="20" t="inlineStr">
        <is>
          <t>MARUTI SUZUKI</t>
        </is>
      </c>
      <c r="F3291" s="20" t="inlineStr">
        <is>
          <t>Wagon-R</t>
        </is>
      </c>
      <c r="G3291" s="21" t="n">
        <v>2024</v>
      </c>
      <c r="H3291" s="22" t="n">
        <v>24094</v>
      </c>
      <c r="I3291" s="23" t="n">
        <v>440000</v>
      </c>
      <c r="J3291" s="20" t="inlineStr">
        <is>
          <t>Vishnukant Heda (Sub5 Cars)</t>
        </is>
      </c>
      <c r="K3291" s="20" t="inlineStr">
        <is>
          <t>Non-Captive</t>
        </is>
      </c>
      <c r="L3291" s="20" t="inlineStr">
        <is>
          <t>Exchange</t>
        </is>
      </c>
      <c r="M3291" s="23" t="n">
        <v>8475</v>
      </c>
      <c r="N3291" s="23" t="n">
        <v>10000</v>
      </c>
      <c r="O3291" s="24">
        <f>IF(AND(ISNUMBER(M3291), ISNUMBER(I3291), I3291&gt;0), M3291/I3291, "")</f>
        <v/>
      </c>
    </row>
    <row r="3292">
      <c r="A3292" s="19" t="inlineStr">
        <is>
          <t>FY27</t>
        </is>
      </c>
      <c r="B3292" s="19" t="inlineStr">
        <is>
          <t>Aug</t>
        </is>
      </c>
      <c r="C3292" s="19" t="inlineStr">
        <is>
          <t>AP/TS</t>
        </is>
      </c>
      <c r="D3292" s="20" t="inlineStr">
        <is>
          <t>TS08FV4500</t>
        </is>
      </c>
      <c r="E3292" s="20" t="inlineStr">
        <is>
          <t>HYUNDAI</t>
        </is>
      </c>
      <c r="F3292" s="20" t="inlineStr">
        <is>
          <t>Creta</t>
        </is>
      </c>
      <c r="G3292" s="21" t="n">
        <v>2018</v>
      </c>
      <c r="H3292" s="22" t="n">
        <v>94283</v>
      </c>
      <c r="I3292" s="23" t="n">
        <v>207500</v>
      </c>
      <c r="J3292" s="20" t="inlineStr">
        <is>
          <t>Vishnukant Heda (Sub5 Cars)</t>
        </is>
      </c>
      <c r="K3292" s="20" t="inlineStr">
        <is>
          <t>Non-Captive</t>
        </is>
      </c>
      <c r="L3292" s="20" t="inlineStr">
        <is>
          <t>Puneet Gupta</t>
        </is>
      </c>
      <c r="M3292" s="23" t="n">
        <v>6356</v>
      </c>
      <c r="N3292" s="23" t="n">
        <v>7500</v>
      </c>
      <c r="O3292" s="24">
        <f>IF(AND(ISNUMBER(M3292), ISNUMBER(I3292), I3292&gt;0), M3292/I3292, "")</f>
        <v/>
      </c>
    </row>
    <row r="3293">
      <c r="A3293" s="19" t="inlineStr">
        <is>
          <t>FY27</t>
        </is>
      </c>
      <c r="B3293" s="19" t="inlineStr">
        <is>
          <t>Aug</t>
        </is>
      </c>
      <c r="C3293" s="19" t="inlineStr">
        <is>
          <t>AP/TS</t>
        </is>
      </c>
      <c r="D3293" s="20" t="inlineStr">
        <is>
          <t>TS07GL5859</t>
        </is>
      </c>
      <c r="E3293" s="20" t="inlineStr">
        <is>
          <t>MARUTI SUZUKI</t>
        </is>
      </c>
      <c r="F3293" s="20" t="inlineStr">
        <is>
          <t>Swift</t>
        </is>
      </c>
      <c r="G3293" s="21" t="n">
        <v>2018</v>
      </c>
      <c r="H3293" s="22" t="n">
        <v>142264</v>
      </c>
      <c r="I3293" s="23" t="n">
        <v>207500</v>
      </c>
      <c r="J3293" s="20" t="inlineStr">
        <is>
          <t>Vishnukant Heda (Sub5 Cars)</t>
        </is>
      </c>
      <c r="K3293" s="20" t="inlineStr">
        <is>
          <t>Non-Captive</t>
        </is>
      </c>
      <c r="L3293" s="20" t="inlineStr">
        <is>
          <t>Puneet Gupta</t>
        </is>
      </c>
      <c r="M3293" s="23" t="n">
        <v>6356</v>
      </c>
      <c r="N3293" s="23" t="n">
        <v>7500</v>
      </c>
      <c r="O3293" s="24">
        <f>IF(AND(ISNUMBER(M3293), ISNUMBER(I3293), I3293&gt;0), M3293/I3293, "")</f>
        <v/>
      </c>
    </row>
    <row r="3294">
      <c r="A3294" s="19" t="inlineStr">
        <is>
          <t>FY27</t>
        </is>
      </c>
      <c r="B3294" s="19" t="inlineStr">
        <is>
          <t>Aug</t>
        </is>
      </c>
      <c r="C3294" s="19" t="inlineStr">
        <is>
          <t>AP/TS</t>
        </is>
      </c>
      <c r="D3294" s="20" t="inlineStr">
        <is>
          <t>AP16DE2226</t>
        </is>
      </c>
      <c r="E3294" s="20" t="inlineStr">
        <is>
          <t>VOLKSWAGEN</t>
        </is>
      </c>
      <c r="F3294" s="20" t="inlineStr">
        <is>
          <t>Vento</t>
        </is>
      </c>
      <c r="G3294" s="21" t="n">
        <v>2015</v>
      </c>
      <c r="H3294" s="22" t="n">
        <v>190453</v>
      </c>
      <c r="I3294" s="23" t="n">
        <v>365000</v>
      </c>
      <c r="J3294" s="20" t="inlineStr">
        <is>
          <t>Meerza Gaffor Baig</t>
        </is>
      </c>
      <c r="K3294" s="20" t="inlineStr">
        <is>
          <t>Non-Captive</t>
        </is>
      </c>
      <c r="L3294" s="20" t="inlineStr">
        <is>
          <t>Exchange</t>
        </is>
      </c>
      <c r="M3294" s="23" t="n">
        <v>12712</v>
      </c>
      <c r="N3294" s="23" t="n">
        <v>15000</v>
      </c>
      <c r="O3294" s="24">
        <f>IF(AND(ISNUMBER(M3294), ISNUMBER(I3294), I3294&gt;0), M3294/I3294, "")</f>
        <v/>
      </c>
    </row>
    <row r="3295">
      <c r="A3295" s="19" t="inlineStr">
        <is>
          <t>FY27</t>
        </is>
      </c>
      <c r="B3295" s="19" t="inlineStr">
        <is>
          <t>Aug</t>
        </is>
      </c>
      <c r="C3295" s="19" t="inlineStr">
        <is>
          <t>AP/TS</t>
        </is>
      </c>
      <c r="D3295" s="20" t="inlineStr">
        <is>
          <t>AP16DN3457</t>
        </is>
      </c>
      <c r="E3295" s="20" t="inlineStr">
        <is>
          <t>MARUTI SUZUKI</t>
        </is>
      </c>
      <c r="F3295" s="20" t="inlineStr">
        <is>
          <t>Wagon-R</t>
        </is>
      </c>
      <c r="G3295" s="21" t="n">
        <v>2017</v>
      </c>
      <c r="H3295" s="22" t="n">
        <v>91820</v>
      </c>
      <c r="I3295" s="23" t="n">
        <v>242500</v>
      </c>
      <c r="J3295" s="20" t="inlineStr">
        <is>
          <t>Mohammed Gouse Basha</t>
        </is>
      </c>
      <c r="K3295" s="20" t="inlineStr">
        <is>
          <t>Non-Captive</t>
        </is>
      </c>
      <c r="L3295" s="20" t="inlineStr">
        <is>
          <t>Vinod Kumar Murari</t>
        </is>
      </c>
      <c r="M3295" s="23" t="n">
        <v>6356</v>
      </c>
      <c r="N3295" s="23" t="n">
        <v>7500</v>
      </c>
      <c r="O3295" s="24">
        <f>IF(AND(ISNUMBER(M3295), ISNUMBER(I3295), I3295&gt;0), M3295/I3295, "")</f>
        <v/>
      </c>
    </row>
    <row r="3296">
      <c r="A3296" s="19" t="inlineStr">
        <is>
          <t>FY27</t>
        </is>
      </c>
      <c r="B3296" s="19" t="inlineStr">
        <is>
          <t>Aug</t>
        </is>
      </c>
      <c r="C3296" s="19" t="inlineStr">
        <is>
          <t>AP/TS</t>
        </is>
      </c>
      <c r="D3296" s="20" t="inlineStr">
        <is>
          <t>AP40CR3633</t>
        </is>
      </c>
      <c r="E3296" s="20" t="inlineStr">
        <is>
          <t>HYUNDAI</t>
        </is>
      </c>
      <c r="F3296" s="20" t="inlineStr">
        <is>
          <t>Aura</t>
        </is>
      </c>
      <c r="G3296" s="21" t="n">
        <v>2024</v>
      </c>
      <c r="H3296" s="22" t="n">
        <v>23265</v>
      </c>
      <c r="I3296" s="23" t="n">
        <v>287500</v>
      </c>
      <c r="J3296" s="20" t="inlineStr">
        <is>
          <t>Mohammed Gouse Basha</t>
        </is>
      </c>
      <c r="K3296" s="20" t="inlineStr">
        <is>
          <t>Non-Captive</t>
        </is>
      </c>
      <c r="L3296" s="20" t="inlineStr">
        <is>
          <t>Vinod Kumar Murari</t>
        </is>
      </c>
      <c r="M3296" s="23" t="n">
        <v>6356</v>
      </c>
      <c r="N3296" s="23" t="n">
        <v>7500</v>
      </c>
      <c r="O3296" s="24">
        <f>IF(AND(ISNUMBER(M3296), ISNUMBER(I3296), I3296&gt;0), M3296/I3296, "")</f>
        <v/>
      </c>
    </row>
    <row r="3297">
      <c r="A3297" s="19" t="inlineStr">
        <is>
          <t>FY27</t>
        </is>
      </c>
      <c r="B3297" s="19" t="inlineStr">
        <is>
          <t>Aug</t>
        </is>
      </c>
      <c r="C3297" s="19" t="inlineStr">
        <is>
          <t>AP/TS</t>
        </is>
      </c>
      <c r="D3297" s="20" t="inlineStr">
        <is>
          <t>AP16CZ0116</t>
        </is>
      </c>
      <c r="E3297" s="20" t="inlineStr">
        <is>
          <t>NISSAN</t>
        </is>
      </c>
      <c r="F3297" s="20" t="inlineStr">
        <is>
          <t>Terrano</t>
        </is>
      </c>
      <c r="G3297" s="21" t="n">
        <v>2014</v>
      </c>
      <c r="H3297" s="22" t="n">
        <v>145011</v>
      </c>
      <c r="I3297" s="23" t="n">
        <v>265000</v>
      </c>
      <c r="J3297" s="20" t="inlineStr">
        <is>
          <t>Sivaprasad Relangi</t>
        </is>
      </c>
      <c r="K3297" s="20" t="inlineStr">
        <is>
          <t>Non-Captive</t>
        </is>
      </c>
      <c r="L3297" s="20" t="inlineStr">
        <is>
          <t>Exchange</t>
        </is>
      </c>
      <c r="M3297" s="23" t="n">
        <v>12712</v>
      </c>
      <c r="N3297" s="23" t="n">
        <v>15000</v>
      </c>
      <c r="O3297" s="24">
        <f>IF(AND(ISNUMBER(M3297), ISNUMBER(I3297), I3297&gt;0), M3297/I3297, "")</f>
        <v/>
      </c>
    </row>
    <row r="3298">
      <c r="A3298" s="19" t="inlineStr">
        <is>
          <t>FY27</t>
        </is>
      </c>
      <c r="B3298" s="19" t="inlineStr">
        <is>
          <t>Aug</t>
        </is>
      </c>
      <c r="C3298" s="19" t="inlineStr">
        <is>
          <t>AP/TS</t>
        </is>
      </c>
      <c r="D3298" s="20" t="inlineStr">
        <is>
          <t>AP10AW7929</t>
        </is>
      </c>
      <c r="E3298" s="20" t="inlineStr">
        <is>
          <t>HONDA</t>
        </is>
      </c>
      <c r="F3298" s="20" t="inlineStr">
        <is>
          <t>City</t>
        </is>
      </c>
      <c r="G3298" s="21" t="n">
        <v>2011</v>
      </c>
      <c r="H3298" s="22" t="n">
        <v>71707</v>
      </c>
      <c r="I3298" s="23" t="n">
        <v>137000</v>
      </c>
      <c r="J3298" s="20" t="inlineStr">
        <is>
          <t>Gorenka Bhavani Prasad</t>
        </is>
      </c>
      <c r="K3298" s="20" t="inlineStr">
        <is>
          <t>Non-Captive</t>
        </is>
      </c>
      <c r="L3298" s="20" t="inlineStr">
        <is>
          <t>Puneet Gupta</t>
        </is>
      </c>
      <c r="M3298" s="23" t="n">
        <v>5932</v>
      </c>
      <c r="N3298" s="23" t="n">
        <v>7000</v>
      </c>
      <c r="O3298" s="24">
        <f>IF(AND(ISNUMBER(M3298), ISNUMBER(I3298), I3298&gt;0), M3298/I3298, "")</f>
        <v/>
      </c>
    </row>
    <row r="3299">
      <c r="A3299" s="19" t="inlineStr">
        <is>
          <t>FY27</t>
        </is>
      </c>
      <c r="B3299" s="19" t="inlineStr">
        <is>
          <t>Aug</t>
        </is>
      </c>
      <c r="C3299" s="19" t="inlineStr">
        <is>
          <t>AP/TS</t>
        </is>
      </c>
      <c r="D3299" s="20" t="inlineStr">
        <is>
          <t>AP28DC0785</t>
        </is>
      </c>
      <c r="E3299" s="20" t="inlineStr">
        <is>
          <t>HYUNDAI</t>
        </is>
      </c>
      <c r="F3299" s="20" t="inlineStr">
        <is>
          <t>Santro</t>
        </is>
      </c>
      <c r="G3299" s="21" t="n">
        <v>2009</v>
      </c>
      <c r="H3299" s="22" t="n">
        <v>110428</v>
      </c>
      <c r="I3299" s="23" t="n">
        <v>70000</v>
      </c>
      <c r="J3299" s="20" t="inlineStr">
        <is>
          <t>Uppari Sandeep Kumar</t>
        </is>
      </c>
      <c r="K3299" s="20" t="inlineStr">
        <is>
          <t>Non-Captive</t>
        </is>
      </c>
      <c r="L3299" s="20" t="inlineStr">
        <is>
          <t>Puneet Gupta</t>
        </is>
      </c>
      <c r="M3299" s="23" t="n">
        <v>4237</v>
      </c>
      <c r="N3299" s="23" t="n">
        <v>5000</v>
      </c>
      <c r="O3299" s="24">
        <f>IF(AND(ISNUMBER(M3299), ISNUMBER(I3299), I3299&gt;0), M3299/I3299, "")</f>
        <v/>
      </c>
    </row>
    <row r="3300">
      <c r="A3300" s="19" t="inlineStr">
        <is>
          <t>FY27</t>
        </is>
      </c>
      <c r="B3300" s="19" t="inlineStr">
        <is>
          <t>Aug</t>
        </is>
      </c>
      <c r="C3300" s="19" t="inlineStr">
        <is>
          <t>AP/TS</t>
        </is>
      </c>
      <c r="D3300" s="20" t="inlineStr">
        <is>
          <t>AP09CC8134</t>
        </is>
      </c>
      <c r="E3300" s="20" t="inlineStr">
        <is>
          <t>MARUTI SUZUKI</t>
        </is>
      </c>
      <c r="F3300" s="20" t="inlineStr">
        <is>
          <t>Swift</t>
        </is>
      </c>
      <c r="G3300" s="21" t="n">
        <v>2011</v>
      </c>
      <c r="H3300" s="22" t="n">
        <v>122111</v>
      </c>
      <c r="I3300" s="23" t="n">
        <v>167000</v>
      </c>
      <c r="J3300" s="20" t="inlineStr">
        <is>
          <t>Mohd Riyazuddin Ansari</t>
        </is>
      </c>
      <c r="K3300" s="20" t="inlineStr">
        <is>
          <t>Non-Captive</t>
        </is>
      </c>
      <c r="L3300" s="20" t="inlineStr">
        <is>
          <t>Puneet Gupta</t>
        </is>
      </c>
      <c r="M3300" s="23" t="n">
        <v>5932</v>
      </c>
      <c r="N3300" s="23" t="n">
        <v>7000</v>
      </c>
      <c r="O3300" s="24">
        <f>IF(AND(ISNUMBER(M3300), ISNUMBER(I3300), I3300&gt;0), M3300/I3300, "")</f>
        <v/>
      </c>
    </row>
    <row r="3301">
      <c r="A3301" s="19" t="inlineStr">
        <is>
          <t>FY27</t>
        </is>
      </c>
      <c r="B3301" s="19" t="inlineStr">
        <is>
          <t>Aug</t>
        </is>
      </c>
      <c r="C3301" s="19" t="inlineStr">
        <is>
          <t>AP/TS</t>
        </is>
      </c>
      <c r="D3301" s="20" t="inlineStr">
        <is>
          <t>AP09CF2867</t>
        </is>
      </c>
      <c r="E3301" s="20" t="inlineStr">
        <is>
          <t>HONDA</t>
        </is>
      </c>
      <c r="F3301" s="20" t="inlineStr">
        <is>
          <t>City</t>
        </is>
      </c>
      <c r="G3301" s="21" t="n">
        <v>2011</v>
      </c>
      <c r="H3301" s="22" t="n">
        <v>114359</v>
      </c>
      <c r="I3301" s="23" t="n">
        <v>178000</v>
      </c>
      <c r="J3301" s="20" t="inlineStr">
        <is>
          <t>Mohd Riyazuddin Ansari</t>
        </is>
      </c>
      <c r="K3301" s="20" t="inlineStr">
        <is>
          <t>Non-Captive</t>
        </is>
      </c>
      <c r="L3301" s="20" t="inlineStr">
        <is>
          <t>Puneet Gupta</t>
        </is>
      </c>
      <c r="M3301" s="23" t="n">
        <v>6780</v>
      </c>
      <c r="N3301" s="23" t="n">
        <v>8000</v>
      </c>
      <c r="O3301" s="24">
        <f>IF(AND(ISNUMBER(M3301), ISNUMBER(I3301), I3301&gt;0), M3301/I3301, "")</f>
        <v/>
      </c>
    </row>
    <row r="3302">
      <c r="A3302" s="19" t="inlineStr">
        <is>
          <t>FY27</t>
        </is>
      </c>
      <c r="B3302" s="19" t="inlineStr">
        <is>
          <t>Aug</t>
        </is>
      </c>
      <c r="C3302" s="19" t="inlineStr">
        <is>
          <t>AP/TS</t>
        </is>
      </c>
      <c r="D3302" s="20" t="inlineStr">
        <is>
          <t>AP10BG3941</t>
        </is>
      </c>
      <c r="E3302" s="20" t="inlineStr">
        <is>
          <t>MARUTI SUZUKI</t>
        </is>
      </c>
      <c r="F3302" s="20" t="inlineStr">
        <is>
          <t>Swift</t>
        </is>
      </c>
      <c r="G3302" s="21" t="n">
        <v>2014</v>
      </c>
      <c r="H3302" s="22" t="n">
        <v>18501</v>
      </c>
      <c r="I3302" s="23" t="n">
        <v>260000</v>
      </c>
      <c r="J3302" s="20" t="inlineStr">
        <is>
          <t>Mohd Riyazuddin Ansari</t>
        </is>
      </c>
      <c r="K3302" s="20" t="inlineStr">
        <is>
          <t>Non-Captive</t>
        </is>
      </c>
      <c r="L3302" s="20" t="inlineStr">
        <is>
          <t>Puneet Gupta</t>
        </is>
      </c>
      <c r="M3302" s="23" t="n">
        <v>8475</v>
      </c>
      <c r="N3302" s="23" t="n">
        <v>10000</v>
      </c>
      <c r="O3302" s="24">
        <f>IF(AND(ISNUMBER(M3302), ISNUMBER(I3302), I3302&gt;0), M3302/I3302, "")</f>
        <v/>
      </c>
    </row>
    <row r="3303">
      <c r="A3303" s="19" t="inlineStr">
        <is>
          <t>FY27</t>
        </is>
      </c>
      <c r="B3303" s="19" t="inlineStr">
        <is>
          <t>Aug</t>
        </is>
      </c>
      <c r="C3303" s="19" t="inlineStr">
        <is>
          <t>AP/TS</t>
        </is>
      </c>
      <c r="D3303" s="20" t="inlineStr">
        <is>
          <t>AP16AS7898</t>
        </is>
      </c>
      <c r="E3303" s="20" t="inlineStr">
        <is>
          <t>MARUTI SUZUKI</t>
        </is>
      </c>
      <c r="F3303" s="20" t="inlineStr">
        <is>
          <t>Wagon-R</t>
        </is>
      </c>
      <c r="G3303" s="21" t="n">
        <v>2008</v>
      </c>
      <c r="H3303" s="22" t="n">
        <v>98565</v>
      </c>
      <c r="I3303" s="23" t="n">
        <v>75000</v>
      </c>
      <c r="J3303" s="20" t="inlineStr">
        <is>
          <t>Guthi Ravi Krishna</t>
        </is>
      </c>
      <c r="K3303" s="20" t="inlineStr">
        <is>
          <t>Non-Captive</t>
        </is>
      </c>
      <c r="L3303" s="20" t="inlineStr">
        <is>
          <t>Gopi Nagaraju</t>
        </is>
      </c>
      <c r="M3303" s="23" t="n">
        <v>4237</v>
      </c>
      <c r="N3303" s="23" t="n">
        <v>5000</v>
      </c>
      <c r="O3303" s="24">
        <f>IF(AND(ISNUMBER(M3303), ISNUMBER(I3303), I3303&gt;0), M3303/I3303, "")</f>
        <v/>
      </c>
    </row>
    <row r="3304">
      <c r="A3304" s="19" t="inlineStr">
        <is>
          <t>FY27</t>
        </is>
      </c>
      <c r="B3304" s="19" t="inlineStr">
        <is>
          <t>Aug</t>
        </is>
      </c>
      <c r="C3304" s="19" t="inlineStr">
        <is>
          <t>AP/TS</t>
        </is>
      </c>
      <c r="D3304" s="20" t="inlineStr">
        <is>
          <t>AP16BG2369</t>
        </is>
      </c>
      <c r="E3304" s="20" t="inlineStr">
        <is>
          <t>HYUNDAI</t>
        </is>
      </c>
      <c r="F3304" s="20" t="inlineStr">
        <is>
          <t>Santro</t>
        </is>
      </c>
      <c r="G3304" s="21" t="n">
        <v>2007</v>
      </c>
      <c r="H3304" s="22" t="n">
        <v>99419</v>
      </c>
      <c r="I3304" s="23" t="n">
        <v>65000</v>
      </c>
      <c r="J3304" s="20" t="inlineStr">
        <is>
          <t>Chandu Ram Sai</t>
        </is>
      </c>
      <c r="K3304" s="20" t="inlineStr">
        <is>
          <t>Non-Captive</t>
        </is>
      </c>
      <c r="L3304" s="20" t="inlineStr">
        <is>
          <t>Gopi Nagaraju</t>
        </is>
      </c>
      <c r="M3304" s="23" t="n">
        <v>4237</v>
      </c>
      <c r="N3304" s="23" t="n">
        <v>5000</v>
      </c>
      <c r="O3304" s="24">
        <f>IF(AND(ISNUMBER(M3304), ISNUMBER(I3304), I3304&gt;0), M3304/I3304, "")</f>
        <v/>
      </c>
    </row>
    <row r="3305">
      <c r="A3305" s="19" t="inlineStr">
        <is>
          <t>FY27</t>
        </is>
      </c>
      <c r="B3305" s="19" t="inlineStr">
        <is>
          <t>Aug</t>
        </is>
      </c>
      <c r="C3305" s="19" t="inlineStr">
        <is>
          <t>AP/TS</t>
        </is>
      </c>
      <c r="D3305" s="20" t="inlineStr">
        <is>
          <t>AP07BL4725</t>
        </is>
      </c>
      <c r="E3305" s="20" t="inlineStr">
        <is>
          <t>MARUTI SUZUKI</t>
        </is>
      </c>
      <c r="F3305" s="20" t="inlineStr">
        <is>
          <t>Wagon-R</t>
        </is>
      </c>
      <c r="G3305" s="21" t="n">
        <v>2012</v>
      </c>
      <c r="H3305" s="22" t="n">
        <v>96453</v>
      </c>
      <c r="I3305" s="23" t="n">
        <v>176000</v>
      </c>
      <c r="J3305" s="20" t="inlineStr">
        <is>
          <t>Mohammed Gouse Basha</t>
        </is>
      </c>
      <c r="K3305" s="20" t="inlineStr">
        <is>
          <t>Non-Captive</t>
        </is>
      </c>
      <c r="L3305" s="20" t="inlineStr">
        <is>
          <t>Gopi Nagaraju</t>
        </is>
      </c>
      <c r="M3305" s="23" t="n">
        <v>5085</v>
      </c>
      <c r="N3305" s="23" t="n">
        <v>6000</v>
      </c>
      <c r="O3305" s="24">
        <f>IF(AND(ISNUMBER(M3305), ISNUMBER(I3305), I3305&gt;0), M3305/I3305, "")</f>
        <v/>
      </c>
    </row>
    <row r="3306">
      <c r="A3306" s="19" t="inlineStr">
        <is>
          <t>FY27</t>
        </is>
      </c>
      <c r="B3306" s="19" t="inlineStr">
        <is>
          <t>Aug</t>
        </is>
      </c>
      <c r="C3306" s="19" t="inlineStr">
        <is>
          <t>AP/TS</t>
        </is>
      </c>
      <c r="D3306" s="20" t="inlineStr">
        <is>
          <t>AP16FC0666</t>
        </is>
      </c>
      <c r="E3306" s="20" t="inlineStr">
        <is>
          <t>HONDA</t>
        </is>
      </c>
      <c r="F3306" s="20" t="inlineStr">
        <is>
          <t>City</t>
        </is>
      </c>
      <c r="G3306" s="21" t="n">
        <v>2018</v>
      </c>
      <c r="H3306" s="22" t="n">
        <v>106099</v>
      </c>
      <c r="I3306" s="23" t="n">
        <v>540000</v>
      </c>
      <c r="J3306" s="20" t="inlineStr">
        <is>
          <t>P Kiran Babu</t>
        </is>
      </c>
      <c r="K3306" s="20" t="inlineStr">
        <is>
          <t>Non-Captive</t>
        </is>
      </c>
      <c r="L3306" s="20" t="inlineStr">
        <is>
          <t>Exchange</t>
        </is>
      </c>
      <c r="M3306" s="23" t="n">
        <v>8475</v>
      </c>
      <c r="N3306" s="23" t="n">
        <v>10000</v>
      </c>
      <c r="O3306" s="24">
        <f>IF(AND(ISNUMBER(M3306), ISNUMBER(I3306), I3306&gt;0), M3306/I3306, "")</f>
        <v/>
      </c>
    </row>
    <row r="3307">
      <c r="A3307" s="19" t="inlineStr">
        <is>
          <t>FY27</t>
        </is>
      </c>
      <c r="B3307" s="19" t="inlineStr">
        <is>
          <t>Aug</t>
        </is>
      </c>
      <c r="C3307" s="19" t="inlineStr">
        <is>
          <t>AP/TS</t>
        </is>
      </c>
      <c r="D3307" s="20" t="inlineStr">
        <is>
          <t>AP10AW4070</t>
        </is>
      </c>
      <c r="E3307" s="20" t="inlineStr">
        <is>
          <t>HONDA</t>
        </is>
      </c>
      <c r="F3307" s="20" t="inlineStr">
        <is>
          <t>Civic</t>
        </is>
      </c>
      <c r="G3307" s="21" t="n">
        <v>2011</v>
      </c>
      <c r="H3307" s="22" t="n">
        <v>77909</v>
      </c>
      <c r="I3307" s="23" t="n">
        <v>108000</v>
      </c>
      <c r="J3307" s="20" t="inlineStr">
        <is>
          <t>Palamarasetti Ram Kumar</t>
        </is>
      </c>
      <c r="K3307" s="20" t="inlineStr">
        <is>
          <t>Non-Captive</t>
        </is>
      </c>
      <c r="L3307" s="20" t="inlineStr">
        <is>
          <t>Ramesh Palley</t>
        </is>
      </c>
      <c r="M3307" s="23" t="n">
        <v>6780</v>
      </c>
      <c r="N3307" s="23" t="n">
        <v>8000</v>
      </c>
      <c r="O3307" s="24">
        <f>IF(AND(ISNUMBER(M3307), ISNUMBER(I3307), I3307&gt;0), M3307/I3307, "")</f>
        <v/>
      </c>
    </row>
    <row r="3308">
      <c r="A3308" s="19" t="inlineStr">
        <is>
          <t>FY27</t>
        </is>
      </c>
      <c r="B3308" s="19" t="inlineStr">
        <is>
          <t>Aug</t>
        </is>
      </c>
      <c r="C3308" s="19" t="inlineStr">
        <is>
          <t>AP/TS</t>
        </is>
      </c>
      <c r="D3308" s="20" t="inlineStr">
        <is>
          <t>AP36AR9779</t>
        </is>
      </c>
      <c r="E3308" s="20" t="inlineStr">
        <is>
          <t>HONDA</t>
        </is>
      </c>
      <c r="F3308" s="20" t="inlineStr">
        <is>
          <t>Brio</t>
        </is>
      </c>
      <c r="G3308" s="21" t="n">
        <v>2012</v>
      </c>
      <c r="H3308" s="22" t="n">
        <v>120583</v>
      </c>
      <c r="I3308" s="23" t="n">
        <v>101000</v>
      </c>
      <c r="J3308" s="20" t="inlineStr">
        <is>
          <t>Palamarasetti Ram Kumar</t>
        </is>
      </c>
      <c r="K3308" s="20" t="inlineStr">
        <is>
          <t>Non-Captive</t>
        </is>
      </c>
      <c r="L3308" s="20" t="inlineStr">
        <is>
          <t>Ramesh Palley</t>
        </is>
      </c>
      <c r="M3308" s="23" t="n">
        <v>5085</v>
      </c>
      <c r="N3308" s="23" t="n">
        <v>6000</v>
      </c>
      <c r="O3308" s="24">
        <f>IF(AND(ISNUMBER(M3308), ISNUMBER(I3308), I3308&gt;0), M3308/I3308, "")</f>
        <v/>
      </c>
    </row>
    <row r="3309">
      <c r="A3309" s="19" t="inlineStr">
        <is>
          <t>FY27</t>
        </is>
      </c>
      <c r="B3309" s="19" t="inlineStr">
        <is>
          <t>Aug</t>
        </is>
      </c>
      <c r="C3309" s="19" t="inlineStr">
        <is>
          <t>AP/TS</t>
        </is>
      </c>
      <c r="D3309" s="20" t="inlineStr">
        <is>
          <t>AP09BX6816</t>
        </is>
      </c>
      <c r="E3309" s="20" t="inlineStr">
        <is>
          <t>MARUTI SUZUKI</t>
        </is>
      </c>
      <c r="F3309" s="20" t="inlineStr">
        <is>
          <t>Sx4</t>
        </is>
      </c>
      <c r="G3309" s="21" t="n">
        <v>2010</v>
      </c>
      <c r="H3309" s="22" t="n">
        <v>120568</v>
      </c>
      <c r="I3309" s="23" t="n">
        <v>90000</v>
      </c>
      <c r="J3309" s="20" t="inlineStr">
        <is>
          <t>Palamarasetti Ram Kumar</t>
        </is>
      </c>
      <c r="K3309" s="20" t="inlineStr">
        <is>
          <t>Non-Captive</t>
        </is>
      </c>
      <c r="L3309" s="20" t="inlineStr">
        <is>
          <t>Ramesh Palley</t>
        </is>
      </c>
      <c r="M3309" s="23" t="n">
        <v>4237</v>
      </c>
      <c r="N3309" s="23" t="n">
        <v>5000</v>
      </c>
      <c r="O3309" s="24">
        <f>IF(AND(ISNUMBER(M3309), ISNUMBER(I3309), I3309&gt;0), M3309/I3309, "")</f>
        <v/>
      </c>
    </row>
    <row r="3310">
      <c r="A3310" s="19" t="inlineStr">
        <is>
          <t>FY27</t>
        </is>
      </c>
      <c r="B3310" s="19" t="inlineStr">
        <is>
          <t>Aug</t>
        </is>
      </c>
      <c r="C3310" s="19" t="inlineStr">
        <is>
          <t>AP/TS</t>
        </is>
      </c>
      <c r="D3310" s="20" t="inlineStr">
        <is>
          <t>TS09FK2761</t>
        </is>
      </c>
      <c r="E3310" s="20" t="inlineStr">
        <is>
          <t>HONDA</t>
        </is>
      </c>
      <c r="F3310" s="20" t="inlineStr">
        <is>
          <t>City</t>
        </is>
      </c>
      <c r="G3310" s="21" t="n">
        <v>2004</v>
      </c>
      <c r="H3310" s="22" t="n">
        <v>145263</v>
      </c>
      <c r="I3310" s="23" t="n">
        <v>71000</v>
      </c>
      <c r="J3310" s="20" t="inlineStr">
        <is>
          <t>Palamarasetti Ram Kumar</t>
        </is>
      </c>
      <c r="K3310" s="20" t="inlineStr">
        <is>
          <t>Non-Captive</t>
        </is>
      </c>
      <c r="L3310" s="20" t="inlineStr">
        <is>
          <t>Ramesh Palley</t>
        </is>
      </c>
      <c r="M3310" s="23" t="n">
        <v>5085</v>
      </c>
      <c r="N3310" s="23" t="n">
        <v>6000</v>
      </c>
      <c r="O3310" s="24">
        <f>IF(AND(ISNUMBER(M3310), ISNUMBER(I3310), I3310&gt;0), M3310/I3310, "")</f>
        <v/>
      </c>
    </row>
    <row r="3311">
      <c r="A3311" s="19" t="inlineStr">
        <is>
          <t>FY27</t>
        </is>
      </c>
      <c r="B3311" s="19" t="inlineStr">
        <is>
          <t>Aug</t>
        </is>
      </c>
      <c r="C3311" s="19" t="inlineStr">
        <is>
          <t>AP/TS</t>
        </is>
      </c>
      <c r="D3311" s="20" t="inlineStr">
        <is>
          <t>AP09BK8794</t>
        </is>
      </c>
      <c r="E3311" s="20" t="inlineStr">
        <is>
          <t>HYUNDAI</t>
        </is>
      </c>
      <c r="F3311" s="20" t="inlineStr">
        <is>
          <t>Santro</t>
        </is>
      </c>
      <c r="G3311" s="21" t="n">
        <v>2007</v>
      </c>
      <c r="H3311" s="22" t="n">
        <v>115943</v>
      </c>
      <c r="I3311" s="23" t="n">
        <v>55000</v>
      </c>
      <c r="J3311" s="20" t="inlineStr">
        <is>
          <t>Prabjyoth Singh Wasu</t>
        </is>
      </c>
      <c r="K3311" s="20" t="inlineStr">
        <is>
          <t>Non-Captive</t>
        </is>
      </c>
      <c r="L3311" s="20" t="inlineStr">
        <is>
          <t>Exchange</t>
        </is>
      </c>
      <c r="M3311" s="23" t="n">
        <v>4237</v>
      </c>
      <c r="N3311" s="23" t="n">
        <v>5000</v>
      </c>
      <c r="O3311" s="24">
        <f>IF(AND(ISNUMBER(M3311), ISNUMBER(I3311), I3311&gt;0), M3311/I3311, "")</f>
        <v/>
      </c>
    </row>
    <row r="3312">
      <c r="A3312" s="19" t="inlineStr">
        <is>
          <t>FY27</t>
        </is>
      </c>
      <c r="B3312" s="19" t="inlineStr">
        <is>
          <t>Aug</t>
        </is>
      </c>
      <c r="C3312" s="19" t="inlineStr">
        <is>
          <t>AP/TS</t>
        </is>
      </c>
      <c r="D3312" s="20" t="inlineStr">
        <is>
          <t>AP09BC7859</t>
        </is>
      </c>
      <c r="E3312" s="20" t="inlineStr">
        <is>
          <t>MARUTI SUZUKI</t>
        </is>
      </c>
      <c r="F3312" s="20" t="inlineStr">
        <is>
          <t>Wagon-R</t>
        </is>
      </c>
      <c r="G3312" s="21" t="n">
        <v>2006</v>
      </c>
      <c r="H3312" s="22" t="n">
        <v>132542</v>
      </c>
      <c r="I3312" s="23" t="n">
        <v>50000</v>
      </c>
      <c r="J3312" s="20" t="inlineStr">
        <is>
          <t>Prabjyoth Singh Wasu</t>
        </is>
      </c>
      <c r="K3312" s="20" t="inlineStr">
        <is>
          <t>Non-Captive</t>
        </is>
      </c>
      <c r="L3312" s="20" t="inlineStr">
        <is>
          <t>Ramesh Palley</t>
        </is>
      </c>
      <c r="M3312" s="23" t="n">
        <v>4237</v>
      </c>
      <c r="N3312" s="23" t="n">
        <v>5000</v>
      </c>
      <c r="O3312" s="24">
        <f>IF(AND(ISNUMBER(M3312), ISNUMBER(I3312), I3312&gt;0), M3312/I3312, "")</f>
        <v/>
      </c>
    </row>
    <row r="3313">
      <c r="A3313" s="19" t="inlineStr">
        <is>
          <t>FY27</t>
        </is>
      </c>
      <c r="B3313" s="19" t="inlineStr">
        <is>
          <t>Aug</t>
        </is>
      </c>
      <c r="C3313" s="19" t="inlineStr">
        <is>
          <t>AP/TS</t>
        </is>
      </c>
      <c r="D3313" s="20" t="inlineStr">
        <is>
          <t>AP16DF9449</t>
        </is>
      </c>
      <c r="E3313" s="20" t="inlineStr">
        <is>
          <t>MARUTI SUZUKI</t>
        </is>
      </c>
      <c r="F3313" s="20" t="inlineStr">
        <is>
          <t>Alto</t>
        </is>
      </c>
      <c r="G3313" s="21" t="n">
        <v>2015</v>
      </c>
      <c r="H3313" s="22" t="n">
        <v>86945</v>
      </c>
      <c r="I3313" s="23" t="n">
        <v>90000</v>
      </c>
      <c r="J3313" s="20" t="inlineStr">
        <is>
          <t>Tenali Srinivas</t>
        </is>
      </c>
      <c r="K3313" s="20" t="inlineStr">
        <is>
          <t>Non-Captive</t>
        </is>
      </c>
      <c r="L3313" s="20" t="inlineStr">
        <is>
          <t>Chittibomma Srinivasa Rao</t>
        </is>
      </c>
      <c r="M3313" s="23" t="n">
        <v>4237</v>
      </c>
      <c r="N3313" s="23" t="n">
        <v>5000</v>
      </c>
      <c r="O3313" s="24">
        <f>IF(AND(ISNUMBER(M3313), ISNUMBER(I3313), I3313&gt;0), M3313/I3313, "")</f>
        <v/>
      </c>
    </row>
    <row r="3314">
      <c r="A3314" s="19" t="inlineStr">
        <is>
          <t>FY27</t>
        </is>
      </c>
      <c r="B3314" s="19" t="inlineStr">
        <is>
          <t>Aug</t>
        </is>
      </c>
      <c r="C3314" s="19" t="inlineStr">
        <is>
          <t>AP/TS</t>
        </is>
      </c>
      <c r="D3314" s="20" t="inlineStr">
        <is>
          <t>AP16DP5967</t>
        </is>
      </c>
      <c r="E3314" s="20" t="inlineStr">
        <is>
          <t>MARUTI SUZUKI</t>
        </is>
      </c>
      <c r="F3314" s="20" t="inlineStr">
        <is>
          <t>Swift Dzire</t>
        </is>
      </c>
      <c r="G3314" s="21" t="n">
        <v>2016</v>
      </c>
      <c r="H3314" s="22" t="n">
        <v>98590</v>
      </c>
      <c r="I3314" s="23" t="n">
        <v>95000</v>
      </c>
      <c r="J3314" s="20" t="inlineStr">
        <is>
          <t>Mohammed Gouse Basha</t>
        </is>
      </c>
      <c r="K3314" s="20" t="inlineStr">
        <is>
          <t>Non-Captive</t>
        </is>
      </c>
      <c r="L3314" s="20" t="inlineStr">
        <is>
          <t>Chittibomma Srinivasa Rao</t>
        </is>
      </c>
      <c r="M3314" s="23" t="n">
        <v>4237</v>
      </c>
      <c r="N3314" s="23" t="n">
        <v>5000</v>
      </c>
      <c r="O3314" s="24">
        <f>IF(AND(ISNUMBER(M3314), ISNUMBER(I3314), I3314&gt;0), M3314/I3314, "")</f>
        <v/>
      </c>
    </row>
    <row r="3315">
      <c r="A3315" s="19" t="inlineStr">
        <is>
          <t>FY27</t>
        </is>
      </c>
      <c r="B3315" s="19" t="inlineStr">
        <is>
          <t>Aug</t>
        </is>
      </c>
      <c r="C3315" s="19" t="inlineStr">
        <is>
          <t>AP/TS</t>
        </is>
      </c>
      <c r="D3315" s="20" t="inlineStr">
        <is>
          <t>TS08GQ4270</t>
        </is>
      </c>
      <c r="E3315" s="20" t="inlineStr">
        <is>
          <t>HONDA</t>
        </is>
      </c>
      <c r="F3315" s="20" t="inlineStr">
        <is>
          <t>Amaze</t>
        </is>
      </c>
      <c r="G3315" s="21" t="n">
        <v>2019</v>
      </c>
      <c r="H3315" s="22" t="n">
        <v>41083</v>
      </c>
      <c r="I3315" s="23" t="n">
        <v>455000</v>
      </c>
      <c r="J3315" s="20" t="inlineStr">
        <is>
          <t>Odapally Sandeep</t>
        </is>
      </c>
      <c r="K3315" s="20" t="inlineStr">
        <is>
          <t>Non-Captive</t>
        </is>
      </c>
      <c r="L3315" s="20" t="inlineStr">
        <is>
          <t>Exchange</t>
        </is>
      </c>
      <c r="M3315" s="23" t="n">
        <v>8475</v>
      </c>
      <c r="N3315" s="23" t="n">
        <v>10000</v>
      </c>
      <c r="O3315" s="24">
        <f>IF(AND(ISNUMBER(M3315), ISNUMBER(I3315), I3315&gt;0), M3315/I3315, "")</f>
        <v/>
      </c>
    </row>
    <row r="3316">
      <c r="A3316" s="19" t="inlineStr">
        <is>
          <t>FY27</t>
        </is>
      </c>
      <c r="B3316" s="19" t="inlineStr">
        <is>
          <t>Aug</t>
        </is>
      </c>
      <c r="C3316" s="19" t="inlineStr">
        <is>
          <t>AP/TS</t>
        </is>
      </c>
      <c r="D3316" s="20" t="inlineStr">
        <is>
          <t>TS07EM2910</t>
        </is>
      </c>
      <c r="E3316" s="20" t="inlineStr">
        <is>
          <t>HYUNDAI</t>
        </is>
      </c>
      <c r="F3316" s="20" t="inlineStr">
        <is>
          <t>Eon</t>
        </is>
      </c>
      <c r="G3316" s="21" t="n">
        <v>2015</v>
      </c>
      <c r="H3316" s="22" t="n">
        <v>69287</v>
      </c>
      <c r="I3316" s="23" t="n">
        <v>95000</v>
      </c>
      <c r="J3316" s="20" t="inlineStr">
        <is>
          <t>Odapally Sandeep</t>
        </is>
      </c>
      <c r="K3316" s="20" t="inlineStr">
        <is>
          <t>Non-Captive</t>
        </is>
      </c>
      <c r="L3316" s="20" t="inlineStr">
        <is>
          <t>Puneet Gupta</t>
        </is>
      </c>
      <c r="M3316" s="23" t="n">
        <v>4237</v>
      </c>
      <c r="N3316" s="23" t="n">
        <v>5000</v>
      </c>
      <c r="O3316" s="24">
        <f>IF(AND(ISNUMBER(M3316), ISNUMBER(I3316), I3316&gt;0), M3316/I3316, "")</f>
        <v/>
      </c>
    </row>
    <row r="3317">
      <c r="A3317" s="19" t="inlineStr">
        <is>
          <t>FY27</t>
        </is>
      </c>
      <c r="B3317" s="19" t="inlineStr">
        <is>
          <t>Aug</t>
        </is>
      </c>
      <c r="C3317" s="19" t="inlineStr">
        <is>
          <t>AP/TS</t>
        </is>
      </c>
      <c r="D3317" s="20" t="inlineStr">
        <is>
          <t>AP07DJ3225</t>
        </is>
      </c>
      <c r="E3317" s="20" t="inlineStr">
        <is>
          <t>MARUTI SUZUKI</t>
        </is>
      </c>
      <c r="F3317" s="20" t="inlineStr">
        <is>
          <t>S-Cross</t>
        </is>
      </c>
      <c r="G3317" s="21" t="n">
        <v>2017</v>
      </c>
      <c r="H3317" s="22" t="n">
        <v>82566</v>
      </c>
      <c r="I3317" s="23" t="n">
        <v>257500</v>
      </c>
      <c r="J3317" s="20" t="inlineStr">
        <is>
          <t>Suresh Ginjupalli</t>
        </is>
      </c>
      <c r="K3317" s="20" t="inlineStr">
        <is>
          <t>Non-Captive</t>
        </is>
      </c>
      <c r="L3317" s="20" t="inlineStr">
        <is>
          <t>Devarapalli Avinash</t>
        </is>
      </c>
      <c r="M3317" s="23" t="n">
        <v>6356</v>
      </c>
      <c r="N3317" s="23" t="n">
        <v>7500</v>
      </c>
      <c r="O3317" s="24">
        <f>IF(AND(ISNUMBER(M3317), ISNUMBER(I3317), I3317&gt;0), M3317/I3317, "")</f>
        <v/>
      </c>
    </row>
    <row r="3318">
      <c r="A3318" s="19" t="inlineStr">
        <is>
          <t>FY27</t>
        </is>
      </c>
      <c r="B3318" s="19" t="inlineStr">
        <is>
          <t>Aug</t>
        </is>
      </c>
      <c r="C3318" s="19" t="inlineStr">
        <is>
          <t>AP/TS</t>
        </is>
      </c>
      <c r="D3318" s="20" t="inlineStr">
        <is>
          <t>TS09FG8731</t>
        </is>
      </c>
      <c r="E3318" s="20" t="inlineStr">
        <is>
          <t>HYUNDAI</t>
        </is>
      </c>
      <c r="F3318" s="20" t="inlineStr">
        <is>
          <t>Grand I10</t>
        </is>
      </c>
      <c r="G3318" s="21" t="n">
        <v>2019</v>
      </c>
      <c r="H3318" s="22" t="n">
        <v>49380</v>
      </c>
      <c r="I3318" s="23" t="n">
        <v>350000</v>
      </c>
      <c r="J3318" s="20" t="inlineStr">
        <is>
          <t>Vishnukant Heda (Sub5 Cars)</t>
        </is>
      </c>
      <c r="K3318" s="20" t="inlineStr">
        <is>
          <t>Non-Captive</t>
        </is>
      </c>
      <c r="L3318" s="20" t="inlineStr">
        <is>
          <t>Exchange</t>
        </is>
      </c>
      <c r="M3318" s="23" t="n">
        <v>8475</v>
      </c>
      <c r="N3318" s="23" t="n">
        <v>10000</v>
      </c>
      <c r="O3318" s="24">
        <f>IF(AND(ISNUMBER(M3318), ISNUMBER(I3318), I3318&gt;0), M3318/I3318, "")</f>
        <v/>
      </c>
    </row>
    <row r="3319">
      <c r="A3319" s="19" t="inlineStr">
        <is>
          <t>FY27</t>
        </is>
      </c>
      <c r="B3319" s="19" t="inlineStr">
        <is>
          <t>Aug</t>
        </is>
      </c>
      <c r="C3319" s="19" t="inlineStr">
        <is>
          <t>AP/TS</t>
        </is>
      </c>
      <c r="D3319" s="20" t="inlineStr">
        <is>
          <t>AP28DN9807</t>
        </is>
      </c>
      <c r="E3319" s="20" t="inlineStr">
        <is>
          <t>MARUTI SUZUKI</t>
        </is>
      </c>
      <c r="F3319" s="20" t="inlineStr">
        <is>
          <t>Alto K10</t>
        </is>
      </c>
      <c r="G3319" s="21" t="n">
        <v>2012</v>
      </c>
      <c r="H3319" s="22" t="n">
        <v>57098</v>
      </c>
      <c r="I3319" s="23" t="n">
        <v>65000</v>
      </c>
      <c r="J3319" s="20" t="inlineStr">
        <is>
          <t>Vishnukant Heda (Sub5 Cars)</t>
        </is>
      </c>
      <c r="K3319" s="20" t="inlineStr">
        <is>
          <t>Non-Captive</t>
        </is>
      </c>
      <c r="L3319" s="20" t="inlineStr">
        <is>
          <t>Pudari Babu</t>
        </is>
      </c>
      <c r="M3319" s="23" t="n">
        <v>4237</v>
      </c>
      <c r="N3319" s="23" t="n">
        <v>5000</v>
      </c>
      <c r="O3319" s="24">
        <f>IF(AND(ISNUMBER(M3319), ISNUMBER(I3319), I3319&gt;0), M3319/I3319, "")</f>
        <v/>
      </c>
    </row>
    <row r="3320">
      <c r="A3320" s="19" t="inlineStr">
        <is>
          <t>FY27</t>
        </is>
      </c>
      <c r="B3320" s="19" t="inlineStr">
        <is>
          <t>Aug</t>
        </is>
      </c>
      <c r="C3320" s="19" t="inlineStr">
        <is>
          <t>AP/TS</t>
        </is>
      </c>
      <c r="D3320" s="20" t="inlineStr">
        <is>
          <t>TS07ES0250</t>
        </is>
      </c>
      <c r="E3320" s="20" t="inlineStr">
        <is>
          <t>MARUTI SUZUKI</t>
        </is>
      </c>
      <c r="F3320" s="20" t="inlineStr">
        <is>
          <t>Alto K10</t>
        </is>
      </c>
      <c r="G3320" s="21" t="n">
        <v>2015</v>
      </c>
      <c r="H3320" s="22" t="n">
        <v>80608</v>
      </c>
      <c r="I3320" s="23" t="n">
        <v>90000</v>
      </c>
      <c r="J3320" s="20" t="inlineStr">
        <is>
          <t>Vishnukant Heda (Sub5 Cars)</t>
        </is>
      </c>
      <c r="K3320" s="20" t="inlineStr">
        <is>
          <t>Non-Captive</t>
        </is>
      </c>
      <c r="L3320" s="20" t="inlineStr">
        <is>
          <t>Pudari Babu</t>
        </is>
      </c>
      <c r="M3320" s="23" t="n">
        <v>4237</v>
      </c>
      <c r="N3320" s="23" t="n">
        <v>5000</v>
      </c>
      <c r="O3320" s="24">
        <f>IF(AND(ISNUMBER(M3320), ISNUMBER(I3320), I3320&gt;0), M3320/I3320, "")</f>
        <v/>
      </c>
    </row>
    <row r="3321">
      <c r="A3321" s="19" t="inlineStr">
        <is>
          <t>FY27</t>
        </is>
      </c>
      <c r="B3321" s="19" t="inlineStr">
        <is>
          <t>Aug</t>
        </is>
      </c>
      <c r="C3321" s="19" t="inlineStr">
        <is>
          <t>AP/TS</t>
        </is>
      </c>
      <c r="D3321" s="20" t="inlineStr">
        <is>
          <t>AP10BA2844</t>
        </is>
      </c>
      <c r="E3321" s="20" t="inlineStr">
        <is>
          <t>HYUNDAI</t>
        </is>
      </c>
      <c r="F3321" s="20" t="inlineStr">
        <is>
          <t>I20</t>
        </is>
      </c>
      <c r="G3321" s="21" t="n">
        <v>2012</v>
      </c>
      <c r="H3321" s="22" t="n">
        <v>160170</v>
      </c>
      <c r="I3321" s="23" t="n">
        <v>146000</v>
      </c>
      <c r="J3321" s="20" t="inlineStr">
        <is>
          <t>Vishnukant Heda (Sub5 Cars)</t>
        </is>
      </c>
      <c r="K3321" s="20" t="inlineStr">
        <is>
          <t>Non-Captive</t>
        </is>
      </c>
      <c r="L3321" s="20" t="inlineStr">
        <is>
          <t>Exchange</t>
        </is>
      </c>
      <c r="M3321" s="23" t="n">
        <v>5085</v>
      </c>
      <c r="N3321" s="23" t="n">
        <v>6000</v>
      </c>
      <c r="O3321" s="24">
        <f>IF(AND(ISNUMBER(M3321), ISNUMBER(I3321), I3321&gt;0), M3321/I3321, "")</f>
        <v/>
      </c>
    </row>
    <row r="3322">
      <c r="A3322" s="19" t="inlineStr">
        <is>
          <t>FY27</t>
        </is>
      </c>
      <c r="B3322" s="19" t="inlineStr">
        <is>
          <t>Aug</t>
        </is>
      </c>
      <c r="C3322" s="19" t="inlineStr">
        <is>
          <t>AP/TS</t>
        </is>
      </c>
      <c r="D3322" s="20" t="inlineStr">
        <is>
          <t>AP10AY9763</t>
        </is>
      </c>
      <c r="E3322" s="20" t="inlineStr">
        <is>
          <t>HYUNDAI</t>
        </is>
      </c>
      <c r="F3322" s="20" t="inlineStr">
        <is>
          <t>I20</t>
        </is>
      </c>
      <c r="G3322" s="21" t="n">
        <v>2011</v>
      </c>
      <c r="H3322" s="22" t="n">
        <v>91845</v>
      </c>
      <c r="I3322" s="23" t="n">
        <v>100000</v>
      </c>
      <c r="J3322" s="20" t="inlineStr">
        <is>
          <t>Vishnukant Heda (Sub5 Cars)</t>
        </is>
      </c>
      <c r="K3322" s="20" t="inlineStr">
        <is>
          <t>Non-Captive</t>
        </is>
      </c>
      <c r="L3322" s="20" t="inlineStr">
        <is>
          <t>Pudari Babu</t>
        </is>
      </c>
      <c r="M3322" s="23" t="n">
        <v>4237</v>
      </c>
      <c r="N3322" s="23" t="n">
        <v>5000</v>
      </c>
      <c r="O3322" s="24">
        <f>IF(AND(ISNUMBER(M3322), ISNUMBER(I3322), I3322&gt;0), M3322/I3322, "")</f>
        <v/>
      </c>
    </row>
    <row r="3323">
      <c r="A3323" s="19" t="inlineStr">
        <is>
          <t>FY27</t>
        </is>
      </c>
      <c r="B3323" s="19" t="inlineStr">
        <is>
          <t>Aug</t>
        </is>
      </c>
      <c r="C3323" s="19" t="inlineStr">
        <is>
          <t>AP/TS</t>
        </is>
      </c>
      <c r="D3323" s="20" t="inlineStr">
        <is>
          <t>TS09FA5947</t>
        </is>
      </c>
      <c r="E3323" s="20" t="inlineStr">
        <is>
          <t>HONDA</t>
        </is>
      </c>
      <c r="F3323" s="20" t="inlineStr">
        <is>
          <t>Wr-V</t>
        </is>
      </c>
      <c r="G3323" s="21" t="n">
        <v>2022</v>
      </c>
      <c r="H3323" s="22" t="n">
        <v>75473</v>
      </c>
      <c r="I3323" s="23" t="n">
        <v>555000</v>
      </c>
      <c r="J3323" s="20" t="inlineStr">
        <is>
          <t>Odapally Sandeep</t>
        </is>
      </c>
      <c r="K3323" s="20" t="inlineStr">
        <is>
          <t>Non-Captive</t>
        </is>
      </c>
      <c r="L3323" s="20" t="inlineStr">
        <is>
          <t>Exchange</t>
        </is>
      </c>
      <c r="M3323" s="23" t="n">
        <v>12712</v>
      </c>
      <c r="N3323" s="23" t="n">
        <v>15000</v>
      </c>
      <c r="O3323" s="24">
        <f>IF(AND(ISNUMBER(M3323), ISNUMBER(I3323), I3323&gt;0), M3323/I3323, "")</f>
        <v/>
      </c>
    </row>
    <row r="3324">
      <c r="A3324" s="19" t="inlineStr">
        <is>
          <t>FY27</t>
        </is>
      </c>
      <c r="B3324" s="19" t="inlineStr">
        <is>
          <t>Aug</t>
        </is>
      </c>
      <c r="C3324" s="19" t="inlineStr">
        <is>
          <t>AP/TS</t>
        </is>
      </c>
      <c r="D3324" s="20" t="inlineStr">
        <is>
          <t>TS11ES7178</t>
        </is>
      </c>
      <c r="E3324" s="20" t="inlineStr">
        <is>
          <t>RENAULT</t>
        </is>
      </c>
      <c r="F3324" s="20" t="inlineStr">
        <is>
          <t>Kwid</t>
        </is>
      </c>
      <c r="G3324" s="21" t="n">
        <v>2019</v>
      </c>
      <c r="H3324" s="22" t="n">
        <v>38701</v>
      </c>
      <c r="I3324" s="23" t="n">
        <v>186000</v>
      </c>
      <c r="J3324" s="20" t="inlineStr">
        <is>
          <t>Odapally Sandeep</t>
        </is>
      </c>
      <c r="K3324" s="20" t="inlineStr">
        <is>
          <t>Non-Captive</t>
        </is>
      </c>
      <c r="L3324" s="20" t="inlineStr">
        <is>
          <t>Pudari Babu</t>
        </is>
      </c>
      <c r="M3324" s="23" t="n">
        <v>5085</v>
      </c>
      <c r="N3324" s="23" t="n">
        <v>6000</v>
      </c>
      <c r="O3324" s="24">
        <f>IF(AND(ISNUMBER(M3324), ISNUMBER(I3324), I3324&gt;0), M3324/I3324, "")</f>
        <v/>
      </c>
    </row>
    <row r="3325">
      <c r="A3325" s="19" t="inlineStr">
        <is>
          <t>FY27</t>
        </is>
      </c>
      <c r="B3325" s="19" t="inlineStr">
        <is>
          <t>Aug</t>
        </is>
      </c>
      <c r="C3325" s="19" t="inlineStr">
        <is>
          <t>AP/TS</t>
        </is>
      </c>
      <c r="D3325" s="20" t="inlineStr">
        <is>
          <t>AP09CH5624</t>
        </is>
      </c>
      <c r="E3325" s="20" t="inlineStr">
        <is>
          <t>SKODA</t>
        </is>
      </c>
      <c r="F3325" s="20" t="inlineStr">
        <is>
          <t>Fabia</t>
        </is>
      </c>
      <c r="G3325" s="21" t="n">
        <v>2011</v>
      </c>
      <c r="H3325" s="22" t="n">
        <v>102589</v>
      </c>
      <c r="I3325" s="23" t="n">
        <v>85000</v>
      </c>
      <c r="J3325" s="20" t="inlineStr">
        <is>
          <t>Odapally Sandeep</t>
        </is>
      </c>
      <c r="K3325" s="20" t="inlineStr">
        <is>
          <t>Non-Captive</t>
        </is>
      </c>
      <c r="L3325" s="20" t="inlineStr">
        <is>
          <t>Pudari Babu</t>
        </is>
      </c>
      <c r="M3325" s="23" t="n">
        <v>4237</v>
      </c>
      <c r="N3325" s="23" t="n">
        <v>5000</v>
      </c>
      <c r="O3325" s="24">
        <f>IF(AND(ISNUMBER(M3325), ISNUMBER(I3325), I3325&gt;0), M3325/I3325, "")</f>
        <v/>
      </c>
    </row>
    <row r="3326">
      <c r="A3326" s="19" t="inlineStr">
        <is>
          <t>FY27</t>
        </is>
      </c>
      <c r="B3326" s="19" t="inlineStr">
        <is>
          <t>Aug</t>
        </is>
      </c>
      <c r="C3326" s="19" t="inlineStr">
        <is>
          <t>AP/TS</t>
        </is>
      </c>
      <c r="D3326" s="20" t="inlineStr">
        <is>
          <t>TS06EL1111</t>
        </is>
      </c>
      <c r="E3326" s="20" t="inlineStr">
        <is>
          <t>VOLKSWAGEN</t>
        </is>
      </c>
      <c r="F3326" s="20" t="inlineStr">
        <is>
          <t>Vento</t>
        </is>
      </c>
      <c r="G3326" s="21" t="n">
        <v>2015</v>
      </c>
      <c r="H3326" s="22" t="n">
        <v>146715</v>
      </c>
      <c r="I3326" s="23" t="n">
        <v>156000</v>
      </c>
      <c r="J3326" s="20" t="inlineStr">
        <is>
          <t>Odapally Sandeep</t>
        </is>
      </c>
      <c r="K3326" s="20" t="inlineStr">
        <is>
          <t>Non-Captive</t>
        </is>
      </c>
      <c r="L3326" s="20" t="inlineStr">
        <is>
          <t>Pudari Babu</t>
        </is>
      </c>
      <c r="M3326" s="23" t="n">
        <v>5085</v>
      </c>
      <c r="N3326" s="23" t="n">
        <v>6000</v>
      </c>
      <c r="O3326" s="24">
        <f>IF(AND(ISNUMBER(M3326), ISNUMBER(I3326), I3326&gt;0), M3326/I3326, "")</f>
        <v/>
      </c>
    </row>
    <row r="3327">
      <c r="A3327" s="19" t="inlineStr">
        <is>
          <t>FY27</t>
        </is>
      </c>
      <c r="B3327" s="19" t="inlineStr">
        <is>
          <t>Aug</t>
        </is>
      </c>
      <c r="C3327" s="19" t="inlineStr">
        <is>
          <t>AP/TS</t>
        </is>
      </c>
      <c r="D3327" s="20" t="inlineStr">
        <is>
          <t>TS07FY9449</t>
        </is>
      </c>
      <c r="E3327" s="20" t="inlineStr">
        <is>
          <t>MARUTI SUZUKI</t>
        </is>
      </c>
      <c r="F3327" s="20" t="inlineStr">
        <is>
          <t>Vitara Brezza</t>
        </is>
      </c>
      <c r="G3327" s="21" t="n">
        <v>2017</v>
      </c>
      <c r="H3327" s="22" t="n">
        <v>38700</v>
      </c>
      <c r="I3327" s="23" t="n">
        <v>198000</v>
      </c>
      <c r="J3327" s="20" t="inlineStr">
        <is>
          <t>Odapally Sandeep</t>
        </is>
      </c>
      <c r="K3327" s="20" t="inlineStr">
        <is>
          <t>Non-Captive</t>
        </is>
      </c>
      <c r="L3327" s="20" t="inlineStr">
        <is>
          <t>Pudari Babu</t>
        </is>
      </c>
      <c r="M3327" s="23" t="n">
        <v>6780</v>
      </c>
      <c r="N3327" s="23" t="n">
        <v>8000</v>
      </c>
      <c r="O3327" s="24">
        <f>IF(AND(ISNUMBER(M3327), ISNUMBER(I3327), I3327&gt;0), M3327/I3327, "")</f>
        <v/>
      </c>
    </row>
    <row r="3328">
      <c r="A3328" s="19" t="inlineStr">
        <is>
          <t>FY27</t>
        </is>
      </c>
      <c r="B3328" s="19" t="inlineStr">
        <is>
          <t>Aug</t>
        </is>
      </c>
      <c r="C3328" s="19" t="inlineStr">
        <is>
          <t>AP/TS</t>
        </is>
      </c>
      <c r="D3328" s="20" t="inlineStr">
        <is>
          <t>AP05DS8264</t>
        </is>
      </c>
      <c r="E3328" s="20" t="inlineStr">
        <is>
          <t>MARUTI SUZUKI</t>
        </is>
      </c>
      <c r="F3328" s="20" t="inlineStr">
        <is>
          <t>Alto 800</t>
        </is>
      </c>
      <c r="G3328" s="21" t="n">
        <v>2017</v>
      </c>
      <c r="H3328" s="22" t="n">
        <v>63484</v>
      </c>
      <c r="I3328" s="23" t="n">
        <v>100000</v>
      </c>
      <c r="J3328" s="20" t="inlineStr">
        <is>
          <t>Tenali Srinivas</t>
        </is>
      </c>
      <c r="K3328" s="20" t="inlineStr">
        <is>
          <t>Non-Captive</t>
        </is>
      </c>
      <c r="L3328" s="20" t="inlineStr">
        <is>
          <t>Guthi Ravi Krishna</t>
        </is>
      </c>
      <c r="M3328" s="23" t="n">
        <v>4237</v>
      </c>
      <c r="N3328" s="23" t="n">
        <v>5000</v>
      </c>
      <c r="O3328" s="24">
        <f>IF(AND(ISNUMBER(M3328), ISNUMBER(I3328), I3328&gt;0), M3328/I3328, "")</f>
        <v/>
      </c>
    </row>
    <row r="3329">
      <c r="A3329" s="19" t="inlineStr">
        <is>
          <t>FY27</t>
        </is>
      </c>
      <c r="B3329" s="19" t="inlineStr">
        <is>
          <t>Aug</t>
        </is>
      </c>
      <c r="C3329" s="19" t="inlineStr">
        <is>
          <t>AP/TS</t>
        </is>
      </c>
      <c r="D3329" s="20" t="inlineStr">
        <is>
          <t>AP28CB7767</t>
        </is>
      </c>
      <c r="E3329" s="20" t="inlineStr">
        <is>
          <t>FORD</t>
        </is>
      </c>
      <c r="F3329" s="20" t="inlineStr">
        <is>
          <t>Ikon</t>
        </is>
      </c>
      <c r="G3329" s="21" t="n">
        <v>2009</v>
      </c>
      <c r="H3329" s="22" t="n">
        <v>210105</v>
      </c>
      <c r="I3329" s="23" t="n">
        <v>40000</v>
      </c>
      <c r="J3329" s="20" t="inlineStr">
        <is>
          <t>Koppuravuri Srinivasa Rao</t>
        </is>
      </c>
      <c r="K3329" s="20" t="inlineStr">
        <is>
          <t>Non-Captive</t>
        </is>
      </c>
      <c r="L3329" s="20" t="inlineStr">
        <is>
          <t>Exchange</t>
        </is>
      </c>
      <c r="M3329" s="23" t="n">
        <v>4237</v>
      </c>
      <c r="N3329" s="23" t="n">
        <v>5000</v>
      </c>
      <c r="O3329" s="24">
        <f>IF(AND(ISNUMBER(M3329), ISNUMBER(I3329), I3329&gt;0), M3329/I3329, "")</f>
        <v/>
      </c>
    </row>
    <row r="3330">
      <c r="A3330" s="19" t="inlineStr">
        <is>
          <t>FY27</t>
        </is>
      </c>
      <c r="B3330" s="19" t="inlineStr">
        <is>
          <t>Aug</t>
        </is>
      </c>
      <c r="C3330" s="19" t="inlineStr">
        <is>
          <t>AP/TS</t>
        </is>
      </c>
      <c r="D3330" s="20" t="inlineStr">
        <is>
          <t>AP09BH9495</t>
        </is>
      </c>
      <c r="E3330" s="20" t="inlineStr">
        <is>
          <t>HONDA</t>
        </is>
      </c>
      <c r="F3330" s="20" t="inlineStr">
        <is>
          <t>Cr-V</t>
        </is>
      </c>
      <c r="G3330" s="21" t="n">
        <v>2007</v>
      </c>
      <c r="H3330" s="22" t="n">
        <v>162336</v>
      </c>
      <c r="I3330" s="23" t="n">
        <v>85000</v>
      </c>
      <c r="J3330" s="20" t="inlineStr">
        <is>
          <t>Mohammed Gouse Basha</t>
        </is>
      </c>
      <c r="K3330" s="20" t="inlineStr">
        <is>
          <t>Non-Captive</t>
        </is>
      </c>
      <c r="L3330" s="20" t="inlineStr">
        <is>
          <t>Guthi Ravi Krishna</t>
        </is>
      </c>
      <c r="M3330" s="23" t="n">
        <v>4237</v>
      </c>
      <c r="N3330" s="23" t="n">
        <v>5000</v>
      </c>
      <c r="O3330" s="24">
        <f>IF(AND(ISNUMBER(M3330), ISNUMBER(I3330), I3330&gt;0), M3330/I3330, "")</f>
        <v/>
      </c>
    </row>
    <row r="3331">
      <c r="A3331" s="19" t="inlineStr">
        <is>
          <t>FY27</t>
        </is>
      </c>
      <c r="B3331" s="19" t="inlineStr">
        <is>
          <t>Aug</t>
        </is>
      </c>
      <c r="C3331" s="19" t="inlineStr">
        <is>
          <t>AP/TS</t>
        </is>
      </c>
      <c r="D3331" s="20" t="inlineStr">
        <is>
          <t>AP16DY1314</t>
        </is>
      </c>
      <c r="E3331" s="20" t="inlineStr">
        <is>
          <t>MARUTI SUZUKI</t>
        </is>
      </c>
      <c r="F3331" s="20" t="inlineStr">
        <is>
          <t>Baleno</t>
        </is>
      </c>
      <c r="G3331" s="21" t="n">
        <v>2017</v>
      </c>
      <c r="H3331" s="22" t="n">
        <v>43104</v>
      </c>
      <c r="I3331" s="23" t="n">
        <v>100000</v>
      </c>
      <c r="J3331" s="20" t="inlineStr">
        <is>
          <t>Mohammed Gouse Basha</t>
        </is>
      </c>
      <c r="K3331" s="20" t="inlineStr">
        <is>
          <t>Non-Captive</t>
        </is>
      </c>
      <c r="L3331" s="20" t="inlineStr">
        <is>
          <t>Guthi Ravi Krishna</t>
        </is>
      </c>
      <c r="M3331" s="23" t="n">
        <v>4237</v>
      </c>
      <c r="N3331" s="23" t="n">
        <v>5000</v>
      </c>
      <c r="O3331" s="24">
        <f>IF(AND(ISNUMBER(M3331), ISNUMBER(I3331), I3331&gt;0), M3331/I3331, "")</f>
        <v/>
      </c>
    </row>
    <row r="3332">
      <c r="A3332" s="19" t="inlineStr">
        <is>
          <t>FY27</t>
        </is>
      </c>
      <c r="B3332" s="19" t="inlineStr">
        <is>
          <t>Aug</t>
        </is>
      </c>
      <c r="C3332" s="19" t="inlineStr">
        <is>
          <t>AP/TS</t>
        </is>
      </c>
      <c r="D3332" s="20" t="inlineStr">
        <is>
          <t>AP39CK5137</t>
        </is>
      </c>
      <c r="E3332" s="20" t="inlineStr">
        <is>
          <t>HONDA</t>
        </is>
      </c>
      <c r="F3332" s="20" t="inlineStr">
        <is>
          <t>Amaze</t>
        </is>
      </c>
      <c r="G3332" s="21" t="n">
        <v>2019</v>
      </c>
      <c r="H3332" s="22" t="n">
        <v>59084</v>
      </c>
      <c r="I3332" s="23" t="n">
        <v>427000</v>
      </c>
      <c r="J3332" s="20" t="inlineStr">
        <is>
          <t>Kaki Dinesh Kumar</t>
        </is>
      </c>
      <c r="K3332" s="20" t="inlineStr">
        <is>
          <t>Non-Captive</t>
        </is>
      </c>
      <c r="L3332" s="20" t="inlineStr">
        <is>
          <t>Exchange</t>
        </is>
      </c>
      <c r="M3332" s="23" t="n">
        <v>10169</v>
      </c>
      <c r="N3332" s="23" t="n">
        <v>11999</v>
      </c>
      <c r="O3332" s="24">
        <f>IF(AND(ISNUMBER(M3332), ISNUMBER(I3332), I3332&gt;0), M3332/I3332, "")</f>
        <v/>
      </c>
    </row>
    <row r="3333">
      <c r="A3333" s="19" t="inlineStr">
        <is>
          <t>FY27</t>
        </is>
      </c>
      <c r="B3333" s="19" t="inlineStr">
        <is>
          <t>Aug</t>
        </is>
      </c>
      <c r="C3333" s="19" t="inlineStr">
        <is>
          <t>AP/TS</t>
        </is>
      </c>
      <c r="D3333" s="20" t="inlineStr">
        <is>
          <t>AP31AY0599</t>
        </is>
      </c>
      <c r="E3333" s="20" t="inlineStr">
        <is>
          <t>HONDA</t>
        </is>
      </c>
      <c r="F3333" s="20" t="inlineStr">
        <is>
          <t>City</t>
        </is>
      </c>
      <c r="G3333" s="21" t="n">
        <v>2008</v>
      </c>
      <c r="H3333" s="22" t="n">
        <v>184751</v>
      </c>
      <c r="I3333" s="23" t="n">
        <v>96000</v>
      </c>
      <c r="J3333" s="20" t="inlineStr">
        <is>
          <t>Gadi Sri Bharathi</t>
        </is>
      </c>
      <c r="K3333" s="20" t="inlineStr">
        <is>
          <t>Non-Captive</t>
        </is>
      </c>
      <c r="L3333" s="20" t="inlineStr">
        <is>
          <t>Mohammed Adil</t>
        </is>
      </c>
      <c r="M3333" s="23" t="n">
        <v>5085</v>
      </c>
      <c r="N3333" s="23" t="n">
        <v>6000</v>
      </c>
      <c r="O3333" s="24">
        <f>IF(AND(ISNUMBER(M3333), ISNUMBER(I3333), I3333&gt;0), M3333/I3333, "")</f>
        <v/>
      </c>
    </row>
    <row r="3334">
      <c r="A3334" s="19" t="inlineStr">
        <is>
          <t>FY27</t>
        </is>
      </c>
      <c r="B3334" s="19" t="inlineStr">
        <is>
          <t>Aug</t>
        </is>
      </c>
      <c r="C3334" s="19" t="inlineStr">
        <is>
          <t>AP/TS</t>
        </is>
      </c>
      <c r="D3334" s="20" t="inlineStr">
        <is>
          <t>AP31CP0356</t>
        </is>
      </c>
      <c r="E3334" s="20" t="inlineStr">
        <is>
          <t>HONDA</t>
        </is>
      </c>
      <c r="F3334" s="20" t="inlineStr">
        <is>
          <t>Amaze</t>
        </is>
      </c>
      <c r="G3334" s="21" t="n">
        <v>2014</v>
      </c>
      <c r="H3334" s="22" t="n">
        <v>90154</v>
      </c>
      <c r="I3334" s="23" t="n">
        <v>210000</v>
      </c>
      <c r="J3334" s="20" t="inlineStr">
        <is>
          <t>Gadi Sri Bharathi</t>
        </is>
      </c>
      <c r="K3334" s="20" t="inlineStr">
        <is>
          <t>Non-Captive</t>
        </is>
      </c>
      <c r="L3334" s="20" t="inlineStr">
        <is>
          <t>Exchange</t>
        </is>
      </c>
      <c r="M3334" s="23" t="n">
        <v>8475</v>
      </c>
      <c r="N3334" s="23" t="n">
        <v>10000</v>
      </c>
      <c r="O3334" s="24">
        <f>IF(AND(ISNUMBER(M3334), ISNUMBER(I3334), I3334&gt;0), M3334/I3334, "")</f>
        <v/>
      </c>
    </row>
    <row r="3335">
      <c r="A3335" s="19" t="inlineStr">
        <is>
          <t>FY27</t>
        </is>
      </c>
      <c r="B3335" s="19" t="inlineStr">
        <is>
          <t>Aug</t>
        </is>
      </c>
      <c r="C3335" s="19" t="inlineStr">
        <is>
          <t>AP/TS</t>
        </is>
      </c>
      <c r="D3335" s="20" t="inlineStr">
        <is>
          <t>AP16FL1769</t>
        </is>
      </c>
      <c r="E3335" s="20" t="inlineStr">
        <is>
          <t>MARUTI SUZUKI</t>
        </is>
      </c>
      <c r="F3335" s="20" t="inlineStr">
        <is>
          <t>Alto 800</t>
        </is>
      </c>
      <c r="G3335" s="21" t="n">
        <v>2018</v>
      </c>
      <c r="H3335" s="22" t="n">
        <v>200012</v>
      </c>
      <c r="I3335" s="23" t="n">
        <v>95000</v>
      </c>
      <c r="J3335" s="20" t="inlineStr">
        <is>
          <t>Mohammed Gouse Basha</t>
        </is>
      </c>
      <c r="K3335" s="20" t="inlineStr">
        <is>
          <t>Non-Captive</t>
        </is>
      </c>
      <c r="L3335" s="20" t="inlineStr">
        <is>
          <t>Guthi Ravi Krishna</t>
        </is>
      </c>
      <c r="M3335" s="23" t="n">
        <v>4237</v>
      </c>
      <c r="N3335" s="23" t="n">
        <v>5000</v>
      </c>
      <c r="O3335" s="24">
        <f>IF(AND(ISNUMBER(M3335), ISNUMBER(I3335), I3335&gt;0), M3335/I3335, "")</f>
        <v/>
      </c>
    </row>
    <row r="3336">
      <c r="A3336" s="19" t="inlineStr">
        <is>
          <t>FY26</t>
        </is>
      </c>
      <c r="B3336" s="19" t="inlineStr">
        <is>
          <t>Aug</t>
        </is>
      </c>
      <c r="C3336" s="19" t="inlineStr">
        <is>
          <t>Kerala</t>
        </is>
      </c>
      <c r="D3336" s="20" t="inlineStr">
        <is>
          <t>KL59K6635</t>
        </is>
      </c>
      <c r="E3336" s="20" t="inlineStr">
        <is>
          <t>MARUTI SUZUKI</t>
        </is>
      </c>
      <c r="F3336" s="20" t="inlineStr">
        <is>
          <t>Celerio</t>
        </is>
      </c>
      <c r="G3336" s="21" t="n">
        <v>2014</v>
      </c>
      <c r="H3336" s="22" t="n">
        <v>88000</v>
      </c>
      <c r="I3336" s="23" t="n">
        <v>240000</v>
      </c>
      <c r="J3336" s="20" t="inlineStr">
        <is>
          <t>POPULAR MARUTI</t>
        </is>
      </c>
      <c r="K3336" s="20" t="inlineStr">
        <is>
          <t>Non-Captive</t>
        </is>
      </c>
      <c r="L3336" s="20" t="inlineStr">
        <is>
          <t>MUHAMMED ANEES T C</t>
        </is>
      </c>
      <c r="M3336" s="23" t="n">
        <v>8475</v>
      </c>
      <c r="N3336" s="23" t="n">
        <v>10000</v>
      </c>
      <c r="O3336" s="24">
        <f>IF(AND(ISNUMBER(M3336), ISNUMBER(I3336), I3336&gt;0), M3336/I3336, "")</f>
        <v/>
      </c>
    </row>
    <row r="3337">
      <c r="A3337" s="19" t="inlineStr">
        <is>
          <t>FY26</t>
        </is>
      </c>
      <c r="B3337" s="19" t="inlineStr">
        <is>
          <t>Aug</t>
        </is>
      </c>
      <c r="C3337" s="19" t="inlineStr">
        <is>
          <t>Kerala</t>
        </is>
      </c>
      <c r="D3337" s="20" t="inlineStr">
        <is>
          <t>KL56Q5411</t>
        </is>
      </c>
      <c r="E3337" s="20" t="inlineStr">
        <is>
          <t>MARUTI SUZUKI</t>
        </is>
      </c>
      <c r="F3337" s="20" t="inlineStr">
        <is>
          <t>Celerio</t>
        </is>
      </c>
      <c r="G3337" s="21" t="n">
        <v>2017</v>
      </c>
      <c r="H3337" s="22" t="n">
        <v>56000</v>
      </c>
      <c r="I3337" s="23" t="n">
        <v>315000</v>
      </c>
      <c r="J3337" s="20" t="inlineStr">
        <is>
          <t>VW</t>
        </is>
      </c>
      <c r="K3337" s="20" t="inlineStr">
        <is>
          <t>Non-Captive</t>
        </is>
      </c>
      <c r="L3337" s="20" t="inlineStr">
        <is>
          <t>DELUXE MOTORS</t>
        </is>
      </c>
      <c r="M3337" s="23" t="n">
        <v>12712</v>
      </c>
      <c r="N3337" s="23" t="n">
        <v>15000</v>
      </c>
      <c r="O3337" s="24">
        <f>IF(AND(ISNUMBER(M3337), ISNUMBER(I3337), I3337&gt;0), M3337/I3337, "")</f>
        <v/>
      </c>
    </row>
    <row r="3338">
      <c r="A3338" s="19" t="inlineStr">
        <is>
          <t>FY26</t>
        </is>
      </c>
      <c r="B3338" s="19" t="inlineStr">
        <is>
          <t>Aug</t>
        </is>
      </c>
      <c r="C3338" s="19" t="inlineStr">
        <is>
          <t>Kerala</t>
        </is>
      </c>
      <c r="D3338" s="20" t="inlineStr">
        <is>
          <t>KL07CB3897</t>
        </is>
      </c>
      <c r="E3338" s="20" t="inlineStr">
        <is>
          <t>MARUTI SUZUKI</t>
        </is>
      </c>
      <c r="F3338" s="20" t="inlineStr">
        <is>
          <t>Celerio</t>
        </is>
      </c>
      <c r="G3338" s="21" t="n">
        <v>2014</v>
      </c>
      <c r="H3338" s="22" t="n">
        <v>150000</v>
      </c>
      <c r="I3338" s="23" t="n">
        <v>180000</v>
      </c>
      <c r="J3338" s="20" t="inlineStr">
        <is>
          <t>POPULAR MARUTI</t>
        </is>
      </c>
      <c r="K3338" s="20" t="inlineStr">
        <is>
          <t>Non-Captive</t>
        </is>
      </c>
      <c r="L3338" s="20" t="inlineStr">
        <is>
          <t>DELUXE MOTORS</t>
        </is>
      </c>
      <c r="M3338" s="23" t="n">
        <v>8475</v>
      </c>
      <c r="N3338" s="23" t="n">
        <v>10000</v>
      </c>
      <c r="O3338" s="24">
        <f>IF(AND(ISNUMBER(M3338), ISNUMBER(I3338), I3338&gt;0), M3338/I3338, "")</f>
        <v/>
      </c>
    </row>
    <row r="3339">
      <c r="A3339" s="19" t="inlineStr">
        <is>
          <t>FY26</t>
        </is>
      </c>
      <c r="B3339" s="19" t="inlineStr">
        <is>
          <t>Aug</t>
        </is>
      </c>
      <c r="C3339" s="19" t="inlineStr">
        <is>
          <t>Kerala</t>
        </is>
      </c>
      <c r="D3339" s="20" t="inlineStr">
        <is>
          <t>KL13N2101</t>
        </is>
      </c>
      <c r="E3339" s="20" t="inlineStr">
        <is>
          <t>MARUTI SUZUKI</t>
        </is>
      </c>
      <c r="F3339" s="20" t="inlineStr">
        <is>
          <t>Alto</t>
        </is>
      </c>
      <c r="G3339" s="21" t="n">
        <v>2005</v>
      </c>
      <c r="H3339" s="22" t="n">
        <v>134000</v>
      </c>
      <c r="I3339" s="23" t="n">
        <v>45000</v>
      </c>
      <c r="J3339" s="20" t="inlineStr">
        <is>
          <t>POPULAR MARUTI</t>
        </is>
      </c>
      <c r="K3339" s="20" t="inlineStr">
        <is>
          <t>Non-Captive</t>
        </is>
      </c>
      <c r="L3339" s="20" t="inlineStr">
        <is>
          <t>ABDUL BASHEER</t>
        </is>
      </c>
      <c r="M3339" s="23" t="n">
        <v>8475</v>
      </c>
      <c r="N3339" s="23" t="n">
        <v>10000</v>
      </c>
      <c r="O3339" s="24">
        <f>IF(AND(ISNUMBER(M3339), ISNUMBER(I3339), I3339&gt;0), M3339/I3339, "")</f>
        <v/>
      </c>
    </row>
    <row r="3340">
      <c r="A3340" s="19" t="inlineStr">
        <is>
          <t>FY26</t>
        </is>
      </c>
      <c r="B3340" s="19" t="inlineStr">
        <is>
          <t>Aug</t>
        </is>
      </c>
      <c r="C3340" s="19" t="inlineStr">
        <is>
          <t>Kerala</t>
        </is>
      </c>
      <c r="D3340" s="20" t="inlineStr">
        <is>
          <t>KL08CA8182</t>
        </is>
      </c>
      <c r="E3340" s="20" t="inlineStr">
        <is>
          <t>MAHINDRA</t>
        </is>
      </c>
      <c r="F3340" s="20" t="inlineStr">
        <is>
          <t>Scorpio</t>
        </is>
      </c>
      <c r="G3340" s="21" t="n">
        <v>2023</v>
      </c>
      <c r="H3340" s="22" t="n">
        <v>38000</v>
      </c>
      <c r="I3340" s="23" t="n">
        <v>1407500</v>
      </c>
      <c r="J3340" s="20" t="inlineStr">
        <is>
          <t>ERAM MOTORS</t>
        </is>
      </c>
      <c r="K3340" s="20" t="inlineStr">
        <is>
          <t>Non-Captive</t>
        </is>
      </c>
      <c r="L3340" s="20" t="inlineStr">
        <is>
          <t>T G 7 CARS 4 U</t>
        </is>
      </c>
      <c r="M3340" s="23" t="n">
        <v>10593</v>
      </c>
      <c r="N3340" s="23" t="n">
        <v>12500</v>
      </c>
      <c r="O3340" s="24">
        <f>IF(AND(ISNUMBER(M3340), ISNUMBER(I3340), I3340&gt;0), M3340/I3340, "")</f>
        <v/>
      </c>
    </row>
    <row r="3341">
      <c r="A3341" s="19" t="inlineStr">
        <is>
          <t>FY26</t>
        </is>
      </c>
      <c r="B3341" s="19" t="inlineStr">
        <is>
          <t>Aug</t>
        </is>
      </c>
      <c r="C3341" s="19" t="inlineStr">
        <is>
          <t>Kerala</t>
        </is>
      </c>
      <c r="D3341" s="20" t="inlineStr">
        <is>
          <t>KL41C7206</t>
        </is>
      </c>
      <c r="E3341" s="20" t="inlineStr">
        <is>
          <t>MARUTI SUZUKI</t>
        </is>
      </c>
      <c r="F3341" s="20" t="inlineStr">
        <is>
          <t>Swift</t>
        </is>
      </c>
      <c r="G3341" s="21" t="n">
        <v>2010</v>
      </c>
      <c r="H3341" s="22" t="n">
        <v>123951</v>
      </c>
      <c r="I3341" s="23" t="n">
        <v>147000</v>
      </c>
      <c r="J3341" s="20" t="inlineStr">
        <is>
          <t>POPULAR MARUTI</t>
        </is>
      </c>
      <c r="K3341" s="20" t="inlineStr">
        <is>
          <t>Non-Captive</t>
        </is>
      </c>
      <c r="L3341" s="20" t="inlineStr">
        <is>
          <t>HUSSAIN O E</t>
        </is>
      </c>
      <c r="M3341" s="23" t="n">
        <v>10169</v>
      </c>
      <c r="N3341" s="23" t="n">
        <v>11999</v>
      </c>
      <c r="O3341" s="24">
        <f>IF(AND(ISNUMBER(M3341), ISNUMBER(I3341), I3341&gt;0), M3341/I3341, "")</f>
        <v/>
      </c>
    </row>
    <row r="3342">
      <c r="A3342" s="19" t="inlineStr">
        <is>
          <t>FY26</t>
        </is>
      </c>
      <c r="B3342" s="19" t="inlineStr">
        <is>
          <t>Aug</t>
        </is>
      </c>
      <c r="C3342" s="19" t="inlineStr">
        <is>
          <t>Kerala</t>
        </is>
      </c>
      <c r="D3342" s="20" t="inlineStr">
        <is>
          <t>KL45P4136</t>
        </is>
      </c>
      <c r="E3342" s="20" t="inlineStr">
        <is>
          <t>HYUNDAI</t>
        </is>
      </c>
      <c r="F3342" s="20" t="inlineStr">
        <is>
          <t>Eon</t>
        </is>
      </c>
      <c r="G3342" s="21" t="n">
        <v>2017</v>
      </c>
      <c r="H3342" s="22" t="n">
        <v>29050</v>
      </c>
      <c r="I3342" s="23" t="n">
        <v>212500</v>
      </c>
      <c r="J3342" s="20" t="inlineStr">
        <is>
          <t>POPULAR HYUNDAI</t>
        </is>
      </c>
      <c r="K3342" s="20" t="inlineStr">
        <is>
          <t>Non-Captive</t>
        </is>
      </c>
      <c r="L3342" s="20" t="inlineStr">
        <is>
          <t>UMESH KUMAR TU</t>
        </is>
      </c>
      <c r="M3342" s="23" t="n">
        <v>10593</v>
      </c>
      <c r="N3342" s="23" t="n">
        <v>12500</v>
      </c>
      <c r="O3342" s="24">
        <f>IF(AND(ISNUMBER(M3342), ISNUMBER(I3342), I3342&gt;0), M3342/I3342, "")</f>
        <v/>
      </c>
    </row>
    <row r="3343">
      <c r="A3343" s="19" t="inlineStr">
        <is>
          <t>FY26</t>
        </is>
      </c>
      <c r="B3343" s="19" t="inlineStr">
        <is>
          <t>Aug</t>
        </is>
      </c>
      <c r="C3343" s="19" t="inlineStr">
        <is>
          <t>Kerala</t>
        </is>
      </c>
      <c r="D3343" s="20" t="inlineStr">
        <is>
          <t>KL08AB4811</t>
        </is>
      </c>
      <c r="E3343" s="20" t="inlineStr">
        <is>
          <t>MARUTI SUZUKI</t>
        </is>
      </c>
      <c r="F3343" s="20" t="inlineStr">
        <is>
          <t>Zen</t>
        </is>
      </c>
      <c r="G3343" s="21" t="n">
        <v>2004</v>
      </c>
      <c r="H3343" s="22" t="n">
        <v>52517</v>
      </c>
      <c r="I3343" s="23" t="n">
        <v>60000</v>
      </c>
      <c r="J3343" s="20" t="inlineStr">
        <is>
          <t>POPULAR MARUTI</t>
        </is>
      </c>
      <c r="K3343" s="20" t="inlineStr">
        <is>
          <t>Non-Captive</t>
        </is>
      </c>
      <c r="L3343" s="20" t="inlineStr">
        <is>
          <t>AFSAL</t>
        </is>
      </c>
      <c r="M3343" s="23" t="n">
        <v>8475</v>
      </c>
      <c r="N3343" s="23" t="n">
        <v>10000</v>
      </c>
      <c r="O3343" s="24">
        <f>IF(AND(ISNUMBER(M3343), ISNUMBER(I3343), I3343&gt;0), M3343/I3343, "")</f>
        <v/>
      </c>
    </row>
    <row r="3344">
      <c r="A3344" s="19" t="inlineStr">
        <is>
          <t>FY26</t>
        </is>
      </c>
      <c r="B3344" s="19" t="inlineStr">
        <is>
          <t>Aug</t>
        </is>
      </c>
      <c r="C3344" s="19" t="inlineStr">
        <is>
          <t>Kerala</t>
        </is>
      </c>
      <c r="D3344" s="20" t="inlineStr">
        <is>
          <t>KL05AD3666</t>
        </is>
      </c>
      <c r="E3344" s="20" t="inlineStr">
        <is>
          <t>MARUTI SUZUKI</t>
        </is>
      </c>
      <c r="F3344" s="20" t="inlineStr">
        <is>
          <t>Alto</t>
        </is>
      </c>
      <c r="G3344" s="21" t="n">
        <v>2011</v>
      </c>
      <c r="H3344" s="22" t="n">
        <v>65632</v>
      </c>
      <c r="I3344" s="23" t="n">
        <v>65000</v>
      </c>
      <c r="J3344" s="20" t="inlineStr">
        <is>
          <t>POPULAR MARUTI</t>
        </is>
      </c>
      <c r="K3344" s="20" t="inlineStr">
        <is>
          <t>Non-Captive</t>
        </is>
      </c>
      <c r="L3344" s="20" t="inlineStr">
        <is>
          <t>AKHIL K T</t>
        </is>
      </c>
      <c r="M3344" s="23" t="n">
        <v>12712</v>
      </c>
      <c r="N3344" s="23" t="n">
        <v>15000</v>
      </c>
      <c r="O3344" s="24">
        <f>IF(AND(ISNUMBER(M3344), ISNUMBER(I3344), I3344&gt;0), M3344/I3344, "")</f>
        <v/>
      </c>
    </row>
    <row r="3345">
      <c r="A3345" s="19" t="inlineStr">
        <is>
          <t>FY26</t>
        </is>
      </c>
      <c r="B3345" s="19" t="inlineStr">
        <is>
          <t>Aug</t>
        </is>
      </c>
      <c r="C3345" s="19" t="inlineStr">
        <is>
          <t>Kerala</t>
        </is>
      </c>
      <c r="D3345" s="20" t="inlineStr">
        <is>
          <t>KL01CH1323</t>
        </is>
      </c>
      <c r="E3345" s="20" t="inlineStr">
        <is>
          <t>MARUTI SUZUKI</t>
        </is>
      </c>
      <c r="F3345" s="20" t="inlineStr">
        <is>
          <t>Swift</t>
        </is>
      </c>
      <c r="G3345" s="21" t="n">
        <v>2018</v>
      </c>
      <c r="H3345" s="22" t="n">
        <v>118800</v>
      </c>
      <c r="I3345" s="23" t="n">
        <v>410000</v>
      </c>
      <c r="J3345" s="20" t="inlineStr">
        <is>
          <t>POPULAR MARUTI</t>
        </is>
      </c>
      <c r="K3345" s="20" t="inlineStr">
        <is>
          <t>Non-Captive</t>
        </is>
      </c>
      <c r="L3345" s="20" t="inlineStr">
        <is>
          <t>BINU VARGHESE</t>
        </is>
      </c>
      <c r="M3345" s="23" t="n">
        <v>8475</v>
      </c>
      <c r="N3345" s="23" t="n">
        <v>10000</v>
      </c>
      <c r="O3345" s="24">
        <f>IF(AND(ISNUMBER(M3345), ISNUMBER(I3345), I3345&gt;0), M3345/I3345, "")</f>
        <v/>
      </c>
    </row>
    <row r="3346">
      <c r="A3346" s="19" t="inlineStr">
        <is>
          <t>FY26</t>
        </is>
      </c>
      <c r="B3346" s="19" t="inlineStr">
        <is>
          <t>Aug</t>
        </is>
      </c>
      <c r="C3346" s="19" t="inlineStr">
        <is>
          <t>Kerala</t>
        </is>
      </c>
      <c r="D3346" s="20" t="inlineStr">
        <is>
          <t>KL61B0231</t>
        </is>
      </c>
      <c r="E3346" s="20" t="inlineStr">
        <is>
          <t>MARUTI SUZUKI</t>
        </is>
      </c>
      <c r="F3346" s="20" t="inlineStr">
        <is>
          <t>Alto</t>
        </is>
      </c>
      <c r="G3346" s="21" t="n">
        <v>2014</v>
      </c>
      <c r="H3346" s="22" t="n">
        <v>104526</v>
      </c>
      <c r="I3346" s="23" t="n">
        <v>150000</v>
      </c>
      <c r="J3346" s="20" t="inlineStr">
        <is>
          <t>POPULAR MARUTI</t>
        </is>
      </c>
      <c r="K3346" s="20" t="inlineStr">
        <is>
          <t>Non-Captive</t>
        </is>
      </c>
      <c r="L3346" s="20" t="inlineStr">
        <is>
          <t>MARVEL MOTORS</t>
        </is>
      </c>
      <c r="M3346" s="23" t="n">
        <v>8475</v>
      </c>
      <c r="N3346" s="23" t="n">
        <v>10000</v>
      </c>
      <c r="O3346" s="24">
        <f>IF(AND(ISNUMBER(M3346), ISNUMBER(I3346), I3346&gt;0), M3346/I3346, "")</f>
        <v/>
      </c>
    </row>
    <row r="3347">
      <c r="A3347" s="19" t="inlineStr">
        <is>
          <t>FY26</t>
        </is>
      </c>
      <c r="B3347" s="19" t="inlineStr">
        <is>
          <t>Aug</t>
        </is>
      </c>
      <c r="C3347" s="19" t="inlineStr">
        <is>
          <t>Kerala</t>
        </is>
      </c>
      <c r="D3347" s="20" t="inlineStr">
        <is>
          <t>KL23A4333</t>
        </is>
      </c>
      <c r="E3347" s="20" t="inlineStr">
        <is>
          <t>MARUTI SUZUKI</t>
        </is>
      </c>
      <c r="F3347" s="20" t="inlineStr">
        <is>
          <t>Wagon R</t>
        </is>
      </c>
      <c r="G3347" s="21" t="n">
        <v>2008</v>
      </c>
      <c r="H3347" s="22" t="n">
        <v>65000</v>
      </c>
      <c r="I3347" s="23" t="n">
        <v>90000</v>
      </c>
      <c r="J3347" s="20" t="inlineStr">
        <is>
          <t>POPULAR MAHINDRA</t>
        </is>
      </c>
      <c r="K3347" s="20" t="inlineStr">
        <is>
          <t>Non-Captive</t>
        </is>
      </c>
      <c r="L3347" s="20" t="inlineStr">
        <is>
          <t>HONEY RAJ</t>
        </is>
      </c>
      <c r="M3347" s="23" t="n">
        <v>5932</v>
      </c>
      <c r="N3347" s="23" t="n">
        <v>7000</v>
      </c>
      <c r="O3347" s="24">
        <f>IF(AND(ISNUMBER(M3347), ISNUMBER(I3347), I3347&gt;0), M3347/I3347, "")</f>
        <v/>
      </c>
    </row>
    <row r="3348">
      <c r="A3348" s="19" t="inlineStr">
        <is>
          <t>FY27</t>
        </is>
      </c>
      <c r="B3348" s="19" t="inlineStr">
        <is>
          <t>Aug</t>
        </is>
      </c>
      <c r="C3348" s="19" t="inlineStr">
        <is>
          <t>Kerala</t>
        </is>
      </c>
      <c r="D3348" s="20" t="inlineStr">
        <is>
          <t>KL08AP4539</t>
        </is>
      </c>
      <c r="E3348" s="20" t="inlineStr">
        <is>
          <t>TATA</t>
        </is>
      </c>
      <c r="F3348" s="20" t="inlineStr">
        <is>
          <t>Indica</t>
        </is>
      </c>
      <c r="G3348" s="21" t="n">
        <v>2008</v>
      </c>
      <c r="H3348" s="22" t="n">
        <v>83282</v>
      </c>
      <c r="I3348" s="23" t="n">
        <v>40000</v>
      </c>
      <c r="J3348" s="20" t="inlineStr">
        <is>
          <t>POPULAR MARUTI</t>
        </is>
      </c>
      <c r="K3348" s="20" t="inlineStr">
        <is>
          <t>Non-Captive</t>
        </is>
      </c>
      <c r="L3348" s="20" t="inlineStr">
        <is>
          <t>AFSAL</t>
        </is>
      </c>
      <c r="M3348" s="23" t="n">
        <v>8475</v>
      </c>
      <c r="N3348" s="23" t="n">
        <v>10000</v>
      </c>
      <c r="O3348" s="24">
        <f>IF(AND(ISNUMBER(M3348), ISNUMBER(I3348), I3348&gt;0), M3348/I3348, "")</f>
        <v/>
      </c>
    </row>
    <row r="3349">
      <c r="A3349" s="19" t="inlineStr">
        <is>
          <t>FY27</t>
        </is>
      </c>
      <c r="B3349" s="19" t="inlineStr">
        <is>
          <t>Aug</t>
        </is>
      </c>
      <c r="C3349" s="19" t="inlineStr">
        <is>
          <t>Kerala</t>
        </is>
      </c>
      <c r="D3349" s="20" t="inlineStr">
        <is>
          <t>KL07BT9617</t>
        </is>
      </c>
      <c r="E3349" s="20" t="inlineStr">
        <is>
          <t>HYUNDAI</t>
        </is>
      </c>
      <c r="F3349" s="20" t="inlineStr">
        <is>
          <t>I10</t>
        </is>
      </c>
      <c r="G3349" s="21" t="n">
        <v>2012</v>
      </c>
      <c r="H3349" s="22" t="n">
        <v>93215</v>
      </c>
      <c r="I3349" s="23" t="n">
        <v>125000</v>
      </c>
      <c r="J3349" s="20" t="inlineStr">
        <is>
          <t>POPULAR MARUTI</t>
        </is>
      </c>
      <c r="K3349" s="20" t="inlineStr">
        <is>
          <t>Non-Captive</t>
        </is>
      </c>
      <c r="L3349" s="20" t="inlineStr">
        <is>
          <t>ASALAM</t>
        </is>
      </c>
      <c r="M3349" s="23" t="n">
        <v>12712</v>
      </c>
      <c r="N3349" s="23" t="n">
        <v>15000</v>
      </c>
      <c r="O3349" s="24">
        <f>IF(AND(ISNUMBER(M3349), ISNUMBER(I3349), I3349&gt;0), M3349/I3349, "")</f>
        <v/>
      </c>
    </row>
    <row r="3350">
      <c r="A3350" s="19" t="inlineStr">
        <is>
          <t>FY27</t>
        </is>
      </c>
      <c r="B3350" s="19" t="inlineStr">
        <is>
          <t>Aug</t>
        </is>
      </c>
      <c r="C3350" s="19" t="inlineStr">
        <is>
          <t>Kerala</t>
        </is>
      </c>
      <c r="D3350" s="20" t="inlineStr">
        <is>
          <t>KL26C1109</t>
        </is>
      </c>
      <c r="E3350" s="20" t="inlineStr">
        <is>
          <t>MARUTI SUZUKI</t>
        </is>
      </c>
      <c r="F3350" s="20" t="inlineStr">
        <is>
          <t>Eeco</t>
        </is>
      </c>
      <c r="G3350" s="21" t="n">
        <v>2011</v>
      </c>
      <c r="H3350" s="22" t="n">
        <v>128794</v>
      </c>
      <c r="I3350" s="23" t="n">
        <v>115000</v>
      </c>
      <c r="J3350" s="20" t="inlineStr">
        <is>
          <t>POPULAR MARUTI</t>
        </is>
      </c>
      <c r="K3350" s="20" t="inlineStr">
        <is>
          <t>Non-Captive</t>
        </is>
      </c>
      <c r="L3350" s="20" t="inlineStr">
        <is>
          <t>ARUN K NARAYANAN</t>
        </is>
      </c>
      <c r="M3350" s="23" t="n">
        <v>12712</v>
      </c>
      <c r="N3350" s="23" t="n">
        <v>15000</v>
      </c>
      <c r="O3350" s="24">
        <f>IF(AND(ISNUMBER(M3350), ISNUMBER(I3350), I3350&gt;0), M3350/I3350, "")</f>
        <v/>
      </c>
    </row>
    <row r="3351">
      <c r="A3351" s="19" t="inlineStr">
        <is>
          <t>FY27</t>
        </is>
      </c>
      <c r="B3351" s="19" t="inlineStr">
        <is>
          <t>Aug</t>
        </is>
      </c>
      <c r="C3351" s="19" t="inlineStr">
        <is>
          <t>Kerala</t>
        </is>
      </c>
      <c r="D3351" s="20" t="inlineStr">
        <is>
          <t>KL05AJ1672</t>
        </is>
      </c>
      <c r="E3351" s="20" t="inlineStr">
        <is>
          <t>MARUTI SUZUKI</t>
        </is>
      </c>
      <c r="F3351" s="20" t="inlineStr">
        <is>
          <t>Eeco</t>
        </is>
      </c>
      <c r="G3351" s="21" t="n">
        <v>2013</v>
      </c>
      <c r="H3351" s="22" t="n">
        <v>344786</v>
      </c>
      <c r="I3351" s="23" t="n">
        <v>100000</v>
      </c>
      <c r="J3351" s="20" t="inlineStr">
        <is>
          <t>POPULAR MARUTI</t>
        </is>
      </c>
      <c r="K3351" s="20" t="inlineStr">
        <is>
          <t>Non-Captive</t>
        </is>
      </c>
      <c r="L3351" s="20" t="inlineStr">
        <is>
          <t>SAIF RASHEED</t>
        </is>
      </c>
      <c r="M3351" s="23" t="n">
        <v>12712</v>
      </c>
      <c r="N3351" s="23" t="n">
        <v>15000</v>
      </c>
      <c r="O3351" s="24">
        <f>IF(AND(ISNUMBER(M3351), ISNUMBER(I3351), I3351&gt;0), M3351/I3351, "")</f>
        <v/>
      </c>
    </row>
    <row r="3352">
      <c r="A3352" s="19" t="inlineStr">
        <is>
          <t>FY27</t>
        </is>
      </c>
      <c r="B3352" s="19" t="inlineStr">
        <is>
          <t>Aug</t>
        </is>
      </c>
      <c r="C3352" s="19" t="inlineStr">
        <is>
          <t>Kerala</t>
        </is>
      </c>
      <c r="D3352" s="20" t="inlineStr">
        <is>
          <t>KL13W9221</t>
        </is>
      </c>
      <c r="E3352" s="20" t="inlineStr">
        <is>
          <t>MARUTI SUZUKI</t>
        </is>
      </c>
      <c r="F3352" s="20" t="inlineStr">
        <is>
          <t>Alto</t>
        </is>
      </c>
      <c r="G3352" s="21" t="n">
        <v>2011</v>
      </c>
      <c r="H3352" s="22" t="n">
        <v>123000</v>
      </c>
      <c r="I3352" s="23" t="n">
        <v>75000</v>
      </c>
      <c r="J3352" s="20" t="inlineStr">
        <is>
          <t>POPULAR MARUTI</t>
        </is>
      </c>
      <c r="K3352" s="20" t="inlineStr">
        <is>
          <t>Non-Captive</t>
        </is>
      </c>
      <c r="L3352" s="20" t="inlineStr">
        <is>
          <t>FAREEDA BHANU</t>
        </is>
      </c>
      <c r="M3352" s="23" t="n">
        <v>5932</v>
      </c>
      <c r="N3352" s="23" t="n">
        <v>7000</v>
      </c>
      <c r="O3352" s="24">
        <f>IF(AND(ISNUMBER(M3352), ISNUMBER(I3352), I3352&gt;0), M3352/I3352, "")</f>
        <v/>
      </c>
    </row>
    <row r="3353">
      <c r="A3353" s="19" t="inlineStr">
        <is>
          <t>FY27</t>
        </is>
      </c>
      <c r="B3353" s="19" t="inlineStr">
        <is>
          <t>Aug</t>
        </is>
      </c>
      <c r="C3353" s="19" t="inlineStr">
        <is>
          <t>Kerala</t>
        </is>
      </c>
      <c r="D3353" s="20" t="inlineStr">
        <is>
          <t>KL18L2625</t>
        </is>
      </c>
      <c r="E3353" s="20" t="inlineStr">
        <is>
          <t>MARUTI SUZUKI</t>
        </is>
      </c>
      <c r="F3353" s="20" t="inlineStr">
        <is>
          <t>Wagonr</t>
        </is>
      </c>
      <c r="G3353" s="21" t="n"/>
      <c r="H3353" s="22" t="n">
        <v>90000</v>
      </c>
      <c r="I3353" s="23" t="n">
        <v>185000</v>
      </c>
      <c r="J3353" s="20" t="inlineStr">
        <is>
          <t>APCO HYUNDAI</t>
        </is>
      </c>
      <c r="K3353" s="20" t="inlineStr">
        <is>
          <t>Non-Captive</t>
        </is>
      </c>
      <c r="L3353" s="20" t="inlineStr">
        <is>
          <t>KC SHUKUR</t>
        </is>
      </c>
      <c r="M3353" s="23" t="n">
        <v>4237</v>
      </c>
      <c r="N3353" s="23" t="n">
        <v>5000</v>
      </c>
      <c r="O3353" s="24">
        <f>IF(AND(ISNUMBER(M3353), ISNUMBER(I3353), I3353&gt;0), M3353/I3353, "")</f>
        <v/>
      </c>
    </row>
    <row r="3354">
      <c r="A3354" s="19" t="inlineStr">
        <is>
          <t>FY27</t>
        </is>
      </c>
      <c r="B3354" s="19" t="inlineStr">
        <is>
          <t>Aug</t>
        </is>
      </c>
      <c r="C3354" s="19" t="inlineStr">
        <is>
          <t>Kerala</t>
        </is>
      </c>
      <c r="D3354" s="20" t="inlineStr">
        <is>
          <t>KL60G5547</t>
        </is>
      </c>
      <c r="E3354" s="20" t="inlineStr">
        <is>
          <t>MARUTI SUZUKI</t>
        </is>
      </c>
      <c r="F3354" s="20" t="inlineStr">
        <is>
          <t>Ritz</t>
        </is>
      </c>
      <c r="G3354" s="21" t="n">
        <v>2014</v>
      </c>
      <c r="H3354" s="22" t="n">
        <v>115000</v>
      </c>
      <c r="I3354" s="23" t="n">
        <v>240000</v>
      </c>
      <c r="J3354" s="20" t="inlineStr">
        <is>
          <t>POPULAR MARUTI</t>
        </is>
      </c>
      <c r="K3354" s="20" t="inlineStr">
        <is>
          <t>Non-Captive</t>
        </is>
      </c>
      <c r="L3354" s="20" t="inlineStr">
        <is>
          <t>SHANMUKHADAS C</t>
        </is>
      </c>
      <c r="M3354" s="23" t="n">
        <v>8475</v>
      </c>
      <c r="N3354" s="23" t="n">
        <v>10000</v>
      </c>
      <c r="O3354" s="24">
        <f>IF(AND(ISNUMBER(M3354), ISNUMBER(I3354), I3354&gt;0), M3354/I3354, "")</f>
        <v/>
      </c>
    </row>
    <row r="3355">
      <c r="A3355" s="19" t="inlineStr">
        <is>
          <t>FY27</t>
        </is>
      </c>
      <c r="B3355" s="19" t="inlineStr">
        <is>
          <t>Aug</t>
        </is>
      </c>
      <c r="C3355" s="19" t="inlineStr">
        <is>
          <t>Kerala</t>
        </is>
      </c>
      <c r="D3355" s="20" t="inlineStr">
        <is>
          <t>KL11AT4400</t>
        </is>
      </c>
      <c r="E3355" s="20" t="inlineStr">
        <is>
          <t>MARUTI SUZUKI</t>
        </is>
      </c>
      <c r="F3355" s="20" t="inlineStr">
        <is>
          <t>Alto800</t>
        </is>
      </c>
      <c r="G3355" s="21" t="n">
        <v>2013</v>
      </c>
      <c r="H3355" s="22" t="n">
        <v>110005</v>
      </c>
      <c r="I3355" s="23" t="n">
        <v>120000</v>
      </c>
      <c r="J3355" s="20" t="inlineStr">
        <is>
          <t>POPULAR MARUTI</t>
        </is>
      </c>
      <c r="K3355" s="20" t="inlineStr">
        <is>
          <t>Non-Captive</t>
        </is>
      </c>
      <c r="L3355" s="20" t="inlineStr">
        <is>
          <t>MUNEER</t>
        </is>
      </c>
      <c r="M3355" s="23" t="n">
        <v>8475</v>
      </c>
      <c r="N3355" s="23" t="n">
        <v>10000</v>
      </c>
      <c r="O3355" s="24">
        <f>IF(AND(ISNUMBER(M3355), ISNUMBER(I3355), I3355&gt;0), M3355/I3355, "")</f>
        <v/>
      </c>
    </row>
    <row r="3356">
      <c r="A3356" s="19" t="inlineStr">
        <is>
          <t>FY27</t>
        </is>
      </c>
      <c r="B3356" s="19" t="inlineStr">
        <is>
          <t>Aug</t>
        </is>
      </c>
      <c r="C3356" s="19" t="inlineStr">
        <is>
          <t>Kerala</t>
        </is>
      </c>
      <c r="D3356" s="20" t="inlineStr">
        <is>
          <t>KL10AN6663</t>
        </is>
      </c>
      <c r="E3356" s="20" t="inlineStr">
        <is>
          <t>HYUNDAI</t>
        </is>
      </c>
      <c r="F3356" s="20" t="inlineStr">
        <is>
          <t>Eon</t>
        </is>
      </c>
      <c r="G3356" s="21" t="n">
        <v>2013</v>
      </c>
      <c r="H3356" s="22" t="n">
        <v>120000</v>
      </c>
      <c r="I3356" s="23" t="n">
        <v>105000</v>
      </c>
      <c r="J3356" s="20" t="inlineStr">
        <is>
          <t>POPULAR MARUTI</t>
        </is>
      </c>
      <c r="K3356" s="20" t="inlineStr">
        <is>
          <t>Non-Captive</t>
        </is>
      </c>
      <c r="L3356" s="20" t="inlineStr">
        <is>
          <t>UNAIS</t>
        </is>
      </c>
      <c r="M3356" s="23" t="n">
        <v>8475</v>
      </c>
      <c r="N3356" s="23" t="n">
        <v>10000</v>
      </c>
      <c r="O3356" s="24">
        <f>IF(AND(ISNUMBER(M3356), ISNUMBER(I3356), I3356&gt;0), M3356/I3356, "")</f>
        <v/>
      </c>
    </row>
    <row r="3357">
      <c r="A3357" s="19" t="inlineStr">
        <is>
          <t>FY27</t>
        </is>
      </c>
      <c r="B3357" s="19" t="inlineStr">
        <is>
          <t>Aug</t>
        </is>
      </c>
      <c r="C3357" s="19" t="inlineStr">
        <is>
          <t>Kerala</t>
        </is>
      </c>
      <c r="D3357" s="20" t="inlineStr">
        <is>
          <t>KL56D8358</t>
        </is>
      </c>
      <c r="E3357" s="20" t="inlineStr">
        <is>
          <t>MARUTI SUZUKI</t>
        </is>
      </c>
      <c r="F3357" s="20" t="inlineStr">
        <is>
          <t>Alto</t>
        </is>
      </c>
      <c r="G3357" s="21" t="n">
        <v>2011</v>
      </c>
      <c r="H3357" s="22" t="n">
        <v>147000</v>
      </c>
      <c r="I3357" s="23" t="n">
        <v>80000</v>
      </c>
      <c r="J3357" s="20" t="inlineStr">
        <is>
          <t>POIPULAR MARUTI</t>
        </is>
      </c>
      <c r="K3357" s="20" t="inlineStr">
        <is>
          <t>Non-Captive</t>
        </is>
      </c>
      <c r="L3357" s="20" t="inlineStr">
        <is>
          <t>UNAIS</t>
        </is>
      </c>
      <c r="M3357" s="23" t="n">
        <v>8475</v>
      </c>
      <c r="N3357" s="23" t="n">
        <v>10000</v>
      </c>
      <c r="O3357" s="24">
        <f>IF(AND(ISNUMBER(M3357), ISNUMBER(I3357), I3357&gt;0), M3357/I3357, "")</f>
        <v/>
      </c>
    </row>
    <row r="3358">
      <c r="A3358" s="19" t="inlineStr">
        <is>
          <t>FY27</t>
        </is>
      </c>
      <c r="B3358" s="19" t="inlineStr">
        <is>
          <t>Aug</t>
        </is>
      </c>
      <c r="C3358" s="19" t="inlineStr">
        <is>
          <t>Kerala</t>
        </is>
      </c>
      <c r="D3358" s="20" t="inlineStr">
        <is>
          <t>KL59J7247</t>
        </is>
      </c>
      <c r="E3358" s="20" t="inlineStr">
        <is>
          <t>MARUTI SUZUKI</t>
        </is>
      </c>
      <c r="F3358" s="20" t="inlineStr">
        <is>
          <t>Alto800</t>
        </is>
      </c>
      <c r="G3358" s="21" t="n">
        <v>2014</v>
      </c>
      <c r="H3358" s="22" t="n">
        <v>178000</v>
      </c>
      <c r="I3358" s="23" t="n">
        <v>95000</v>
      </c>
      <c r="J3358" s="20" t="inlineStr">
        <is>
          <t>KVR TATA</t>
        </is>
      </c>
      <c r="K3358" s="20" t="inlineStr">
        <is>
          <t>Non-Captive</t>
        </is>
      </c>
      <c r="L3358" s="20" t="inlineStr">
        <is>
          <t>SABITH</t>
        </is>
      </c>
      <c r="M3358" s="23" t="n">
        <v>4237</v>
      </c>
      <c r="N3358" s="23" t="n">
        <v>5000</v>
      </c>
      <c r="O3358" s="24">
        <f>IF(AND(ISNUMBER(M3358), ISNUMBER(I3358), I3358&gt;0), M3358/I3358, "")</f>
        <v/>
      </c>
    </row>
    <row r="3359">
      <c r="A3359" s="19" t="inlineStr">
        <is>
          <t>FY27</t>
        </is>
      </c>
      <c r="B3359" s="19" t="inlineStr">
        <is>
          <t>Aug</t>
        </is>
      </c>
      <c r="C3359" s="19" t="inlineStr">
        <is>
          <t>Kerala</t>
        </is>
      </c>
      <c r="D3359" s="20" t="inlineStr">
        <is>
          <t>KL05AP2393</t>
        </is>
      </c>
      <c r="E3359" s="20" t="inlineStr">
        <is>
          <t>MARUTI SUZUKI</t>
        </is>
      </c>
      <c r="F3359" s="20" t="inlineStr">
        <is>
          <t>Alto800</t>
        </is>
      </c>
      <c r="G3359" s="21" t="n">
        <v>2016</v>
      </c>
      <c r="H3359" s="22" t="n">
        <v>65365</v>
      </c>
      <c r="I3359" s="23" t="n">
        <v>195000</v>
      </c>
      <c r="J3359" s="20" t="inlineStr">
        <is>
          <t>AMRUTH V CHANDY</t>
        </is>
      </c>
      <c r="K3359" s="20" t="inlineStr">
        <is>
          <t>Non-Captive</t>
        </is>
      </c>
      <c r="L3359" s="20" t="inlineStr">
        <is>
          <t>SIJO</t>
        </is>
      </c>
      <c r="M3359" s="23" t="n">
        <v>8475</v>
      </c>
      <c r="N3359" s="23" t="n">
        <v>10000</v>
      </c>
      <c r="O3359" s="24">
        <f>IF(AND(ISNUMBER(M3359), ISNUMBER(I3359), I3359&gt;0), M3359/I3359, "")</f>
        <v/>
      </c>
    </row>
    <row r="3360">
      <c r="A3360" s="19" t="inlineStr">
        <is>
          <t>FY27</t>
        </is>
      </c>
      <c r="B3360" s="19" t="inlineStr">
        <is>
          <t>Aug</t>
        </is>
      </c>
      <c r="C3360" s="19" t="inlineStr">
        <is>
          <t>Kerala</t>
        </is>
      </c>
      <c r="D3360" s="20" t="inlineStr">
        <is>
          <t>KL02AT5079</t>
        </is>
      </c>
      <c r="E3360" s="20" t="inlineStr">
        <is>
          <t>RENAULT</t>
        </is>
      </c>
      <c r="F3360" s="20" t="inlineStr">
        <is>
          <t>Duster</t>
        </is>
      </c>
      <c r="G3360" s="21" t="n">
        <v>2014</v>
      </c>
      <c r="H3360" s="22" t="n">
        <v>66411</v>
      </c>
      <c r="I3360" s="23" t="n">
        <v>260000</v>
      </c>
      <c r="J3360" s="20" t="inlineStr">
        <is>
          <t>SAI NEXA</t>
        </is>
      </c>
      <c r="K3360" s="20" t="inlineStr">
        <is>
          <t>Non-Captive</t>
        </is>
      </c>
      <c r="L3360" s="20" t="inlineStr">
        <is>
          <t>DINESH P S</t>
        </is>
      </c>
      <c r="M3360" s="23" t="n">
        <v>8475</v>
      </c>
      <c r="N3360" s="23" t="n">
        <v>10000</v>
      </c>
      <c r="O3360" s="24">
        <f>IF(AND(ISNUMBER(M3360), ISNUMBER(I3360), I3360&gt;0), M3360/I3360, "")</f>
        <v/>
      </c>
    </row>
    <row r="3361">
      <c r="A3361" s="19" t="inlineStr">
        <is>
          <t>FY27</t>
        </is>
      </c>
      <c r="B3361" s="19" t="inlineStr">
        <is>
          <t>Aug</t>
        </is>
      </c>
      <c r="C3361" s="19" t="inlineStr">
        <is>
          <t>Kerala</t>
        </is>
      </c>
      <c r="D3361" s="20" t="inlineStr">
        <is>
          <t>KL42T7195</t>
        </is>
      </c>
      <c r="E3361" s="20" t="inlineStr">
        <is>
          <t>FORD</t>
        </is>
      </c>
      <c r="F3361" s="20" t="inlineStr">
        <is>
          <t>Ecosport</t>
        </is>
      </c>
      <c r="G3361" s="21" t="n">
        <v>2021</v>
      </c>
      <c r="H3361" s="22" t="n">
        <v>68280</v>
      </c>
      <c r="I3361" s="23" t="n">
        <v>640000</v>
      </c>
      <c r="J3361" s="20" t="inlineStr">
        <is>
          <t>KESHVIN HYUNDAI</t>
        </is>
      </c>
      <c r="K3361" s="20" t="inlineStr">
        <is>
          <t>Non-Captive</t>
        </is>
      </c>
      <c r="L3361" s="20" t="inlineStr">
        <is>
          <t>ABDUL SALAM K K</t>
        </is>
      </c>
      <c r="M3361" s="23" t="n">
        <v>8475</v>
      </c>
      <c r="N3361" s="23" t="n">
        <v>10000</v>
      </c>
      <c r="O3361" s="24">
        <f>IF(AND(ISNUMBER(M3361), ISNUMBER(I3361), I3361&gt;0), M3361/I3361, "")</f>
        <v/>
      </c>
    </row>
    <row r="3362">
      <c r="A3362" s="19" t="inlineStr">
        <is>
          <t>FY27</t>
        </is>
      </c>
      <c r="B3362" s="19" t="inlineStr">
        <is>
          <t>Aug</t>
        </is>
      </c>
      <c r="C3362" s="19" t="inlineStr">
        <is>
          <t>Kerala</t>
        </is>
      </c>
      <c r="D3362" s="20" t="inlineStr">
        <is>
          <t>KL40R7232</t>
        </is>
      </c>
      <c r="E3362" s="20" t="inlineStr">
        <is>
          <t>HYUNDAI</t>
        </is>
      </c>
      <c r="F3362" s="20" t="inlineStr">
        <is>
          <t>Grand I10</t>
        </is>
      </c>
      <c r="G3362" s="21" t="n">
        <v>2019</v>
      </c>
      <c r="H3362" s="22" t="n">
        <v>53561</v>
      </c>
      <c r="I3362" s="23" t="n">
        <v>375000</v>
      </c>
      <c r="J3362" s="20" t="inlineStr">
        <is>
          <t>EVM SKODA</t>
        </is>
      </c>
      <c r="K3362" s="20" t="inlineStr">
        <is>
          <t>Non-Captive</t>
        </is>
      </c>
      <c r="L3362" s="20" t="inlineStr">
        <is>
          <t>AITOS CARS</t>
        </is>
      </c>
      <c r="M3362" s="23" t="n">
        <v>8475</v>
      </c>
      <c r="N3362" s="23" t="n">
        <v>10000</v>
      </c>
      <c r="O3362" s="24">
        <f>IF(AND(ISNUMBER(M3362), ISNUMBER(I3362), I3362&gt;0), M3362/I3362, "")</f>
        <v/>
      </c>
    </row>
    <row r="3363">
      <c r="A3363" s="19" t="inlineStr">
        <is>
          <t>FY27</t>
        </is>
      </c>
      <c r="B3363" s="19" t="inlineStr">
        <is>
          <t>Aug</t>
        </is>
      </c>
      <c r="C3363" s="19" t="inlineStr">
        <is>
          <t>Kerala</t>
        </is>
      </c>
      <c r="D3363" s="20" t="inlineStr">
        <is>
          <t>KL07CK8084</t>
        </is>
      </c>
      <c r="E3363" s="20" t="inlineStr">
        <is>
          <t>MARUTI SUZUKI</t>
        </is>
      </c>
      <c r="F3363" s="20" t="inlineStr">
        <is>
          <t>Dzire</t>
        </is>
      </c>
      <c r="G3363" s="21" t="n">
        <v>2017</v>
      </c>
      <c r="H3363" s="22" t="n">
        <v>204900</v>
      </c>
      <c r="I3363" s="23" t="n">
        <v>210000</v>
      </c>
      <c r="J3363" s="20" t="inlineStr">
        <is>
          <t>INCHEION KIA</t>
        </is>
      </c>
      <c r="K3363" s="20" t="inlineStr">
        <is>
          <t>Non-Captive</t>
        </is>
      </c>
      <c r="L3363" s="20" t="inlineStr">
        <is>
          <t>PRAJOD</t>
        </is>
      </c>
      <c r="M3363" s="23" t="n">
        <v>8475</v>
      </c>
      <c r="N3363" s="23" t="n">
        <v>10000</v>
      </c>
      <c r="O3363" s="24">
        <f>IF(AND(ISNUMBER(M3363), ISNUMBER(I3363), I3363&gt;0), M3363/I3363, "")</f>
        <v/>
      </c>
    </row>
    <row r="3364">
      <c r="A3364" s="19" t="inlineStr">
        <is>
          <t>FY27</t>
        </is>
      </c>
      <c r="B3364" s="19" t="inlineStr">
        <is>
          <t>Aug</t>
        </is>
      </c>
      <c r="C3364" s="19" t="inlineStr">
        <is>
          <t>Kerala</t>
        </is>
      </c>
      <c r="D3364" s="20" t="inlineStr">
        <is>
          <t>KL38C4437</t>
        </is>
      </c>
      <c r="E3364" s="20" t="inlineStr">
        <is>
          <t>MARUTI SUZUKI</t>
        </is>
      </c>
      <c r="F3364" s="20" t="inlineStr">
        <is>
          <t>Alto K10</t>
        </is>
      </c>
      <c r="G3364" s="21" t="n">
        <v>2012</v>
      </c>
      <c r="H3364" s="22" t="n">
        <v>224902</v>
      </c>
      <c r="I3364" s="23" t="n">
        <v>110000</v>
      </c>
      <c r="J3364" s="20" t="inlineStr">
        <is>
          <t>POPULAR MARUTI</t>
        </is>
      </c>
      <c r="K3364" s="20" t="inlineStr">
        <is>
          <t>Non-Captive</t>
        </is>
      </c>
      <c r="L3364" s="20" t="inlineStr">
        <is>
          <t>HUSSIAN O E</t>
        </is>
      </c>
      <c r="M3364" s="23" t="n">
        <v>10169</v>
      </c>
      <c r="N3364" s="23" t="n">
        <v>11999</v>
      </c>
      <c r="O3364" s="24">
        <f>IF(AND(ISNUMBER(M3364), ISNUMBER(I3364), I3364&gt;0), M3364/I3364, "")</f>
        <v/>
      </c>
    </row>
    <row r="3365">
      <c r="A3365" s="19" t="inlineStr">
        <is>
          <t>FY27</t>
        </is>
      </c>
      <c r="B3365" s="19" t="inlineStr">
        <is>
          <t>Aug</t>
        </is>
      </c>
      <c r="C3365" s="19" t="inlineStr">
        <is>
          <t>Kerala</t>
        </is>
      </c>
      <c r="D3365" s="20" t="inlineStr">
        <is>
          <t>KL07BK3248</t>
        </is>
      </c>
      <c r="E3365" s="20" t="inlineStr">
        <is>
          <t>HYUNDAI</t>
        </is>
      </c>
      <c r="F3365" s="20" t="inlineStr">
        <is>
          <t>I10</t>
        </is>
      </c>
      <c r="G3365" s="21" t="n">
        <v>2008</v>
      </c>
      <c r="H3365" s="22" t="n">
        <v>69949</v>
      </c>
      <c r="I3365" s="23" t="n">
        <v>90000</v>
      </c>
      <c r="J3365" s="20" t="inlineStr">
        <is>
          <t>POPULAR MARUTI</t>
        </is>
      </c>
      <c r="K3365" s="20" t="inlineStr">
        <is>
          <t>Non-Captive</t>
        </is>
      </c>
      <c r="L3365" s="20" t="inlineStr">
        <is>
          <t>RAFEEK T A</t>
        </is>
      </c>
      <c r="M3365" s="23" t="n">
        <v>11017</v>
      </c>
      <c r="N3365" s="23" t="n">
        <v>13000</v>
      </c>
      <c r="O3365" s="24">
        <f>IF(AND(ISNUMBER(M3365), ISNUMBER(I3365), I3365&gt;0), M3365/I3365, "")</f>
        <v/>
      </c>
    </row>
    <row r="3366">
      <c r="A3366" s="19" t="inlineStr">
        <is>
          <t>FY27</t>
        </is>
      </c>
      <c r="B3366" s="19" t="inlineStr">
        <is>
          <t>Aug</t>
        </is>
      </c>
      <c r="C3366" s="19" t="inlineStr">
        <is>
          <t>Kerala</t>
        </is>
      </c>
      <c r="D3366" s="20" t="inlineStr">
        <is>
          <t>KL341618</t>
        </is>
      </c>
      <c r="E3366" s="20" t="inlineStr">
        <is>
          <t>MARUTI SUZUKI</t>
        </is>
      </c>
      <c r="F3366" s="20" t="inlineStr">
        <is>
          <t>Wagon R</t>
        </is>
      </c>
      <c r="G3366" s="21" t="n">
        <v>2006</v>
      </c>
      <c r="H3366" s="22" t="n">
        <v>175232</v>
      </c>
      <c r="I3366" s="23" t="n">
        <v>40000</v>
      </c>
      <c r="J3366" s="20" t="inlineStr">
        <is>
          <t>POPULAR MARUTI</t>
        </is>
      </c>
      <c r="K3366" s="20" t="inlineStr">
        <is>
          <t>Non-Captive</t>
        </is>
      </c>
      <c r="L3366" s="20" t="inlineStr">
        <is>
          <t>RAFEEK T A</t>
        </is>
      </c>
      <c r="M3366" s="23" t="n">
        <v>8475</v>
      </c>
      <c r="N3366" s="23" t="n">
        <v>10000</v>
      </c>
      <c r="O3366" s="24">
        <f>IF(AND(ISNUMBER(M3366), ISNUMBER(I3366), I3366&gt;0), M3366/I3366, "")</f>
        <v/>
      </c>
    </row>
    <row r="3367">
      <c r="A3367" s="19" t="inlineStr">
        <is>
          <t>FY27</t>
        </is>
      </c>
      <c r="B3367" s="19" t="inlineStr">
        <is>
          <t>Aug</t>
        </is>
      </c>
      <c r="C3367" s="19" t="inlineStr">
        <is>
          <t>Kerala</t>
        </is>
      </c>
      <c r="D3367" s="20" t="inlineStr">
        <is>
          <t>KL35D6598</t>
        </is>
      </c>
      <c r="E3367" s="20" t="inlineStr">
        <is>
          <t>HYUNDAI</t>
        </is>
      </c>
      <c r="F3367" s="20" t="inlineStr">
        <is>
          <t>Eon</t>
        </is>
      </c>
      <c r="G3367" s="21" t="n">
        <v>2012</v>
      </c>
      <c r="H3367" s="22" t="n">
        <v>91579</v>
      </c>
      <c r="I3367" s="23" t="n">
        <v>90000</v>
      </c>
      <c r="J3367" s="20" t="inlineStr">
        <is>
          <t>POPULAR MARUTI</t>
        </is>
      </c>
      <c r="K3367" s="20" t="inlineStr">
        <is>
          <t>Non-Captive</t>
        </is>
      </c>
      <c r="L3367" s="20" t="inlineStr">
        <is>
          <t>SAMEER V H</t>
        </is>
      </c>
      <c r="M3367" s="23" t="n">
        <v>16949</v>
      </c>
      <c r="N3367" s="23" t="n">
        <v>20000</v>
      </c>
      <c r="O3367" s="24">
        <f>IF(AND(ISNUMBER(M3367), ISNUMBER(I3367), I3367&gt;0), M3367/I3367, "")</f>
        <v/>
      </c>
    </row>
    <row r="3368">
      <c r="A3368" s="19" t="inlineStr">
        <is>
          <t>FY27</t>
        </is>
      </c>
      <c r="B3368" s="19" t="inlineStr">
        <is>
          <t>Aug</t>
        </is>
      </c>
      <c r="C3368" s="19" t="inlineStr">
        <is>
          <t>Kerala</t>
        </is>
      </c>
      <c r="D3368" s="20" t="inlineStr">
        <is>
          <t>KL35F4755</t>
        </is>
      </c>
      <c r="E3368" s="20" t="inlineStr">
        <is>
          <t>MARUTI SUZUKI</t>
        </is>
      </c>
      <c r="F3368" s="20" t="inlineStr">
        <is>
          <t>K10</t>
        </is>
      </c>
      <c r="G3368" s="21" t="n">
        <v>2014</v>
      </c>
      <c r="H3368" s="22" t="n">
        <v>106867</v>
      </c>
      <c r="I3368" s="23" t="n">
        <v>160000</v>
      </c>
      <c r="J3368" s="20" t="inlineStr">
        <is>
          <t>POPULAR MARUTI</t>
        </is>
      </c>
      <c r="K3368" s="20" t="inlineStr">
        <is>
          <t>Non-Captive</t>
        </is>
      </c>
      <c r="L3368" s="20" t="inlineStr">
        <is>
          <t>DREAM DRIVE</t>
        </is>
      </c>
      <c r="M3368" s="23" t="n">
        <v>12712</v>
      </c>
      <c r="N3368" s="23" t="n">
        <v>15000</v>
      </c>
      <c r="O3368" s="24">
        <f>IF(AND(ISNUMBER(M3368), ISNUMBER(I3368), I3368&gt;0), M3368/I3368, "")</f>
        <v/>
      </c>
    </row>
    <row r="3369">
      <c r="A3369" s="19" t="inlineStr">
        <is>
          <t>FY27</t>
        </is>
      </c>
      <c r="B3369" s="19" t="inlineStr">
        <is>
          <t>Aug</t>
        </is>
      </c>
      <c r="C3369" s="19" t="inlineStr">
        <is>
          <t>Kerala</t>
        </is>
      </c>
      <c r="D3369" s="20" t="inlineStr">
        <is>
          <t>KL39N7595</t>
        </is>
      </c>
      <c r="E3369" s="20" t="inlineStr">
        <is>
          <t>MARUTI SUZUKI</t>
        </is>
      </c>
      <c r="F3369" s="20" t="inlineStr">
        <is>
          <t>Alto K10</t>
        </is>
      </c>
      <c r="G3369" s="21" t="n">
        <v>2012</v>
      </c>
      <c r="H3369" s="22" t="n">
        <v>22844</v>
      </c>
      <c r="I3369" s="23" t="n">
        <v>100000</v>
      </c>
      <c r="J3369" s="20" t="inlineStr">
        <is>
          <t>CARS24</t>
        </is>
      </c>
      <c r="K3369" s="20" t="inlineStr">
        <is>
          <t>Non-Captive</t>
        </is>
      </c>
      <c r="L3369" s="20" t="inlineStr">
        <is>
          <t>VISHNU M S</t>
        </is>
      </c>
      <c r="M3369" s="23" t="n">
        <v>8475</v>
      </c>
      <c r="N3369" s="23" t="n">
        <v>10000</v>
      </c>
      <c r="O3369" s="24">
        <f>IF(AND(ISNUMBER(M3369), ISNUMBER(I3369), I3369&gt;0), M3369/I3369, "")</f>
        <v/>
      </c>
    </row>
    <row r="3370">
      <c r="A3370" s="19" t="inlineStr">
        <is>
          <t>FY27</t>
        </is>
      </c>
      <c r="B3370" s="19" t="inlineStr">
        <is>
          <t>Aug</t>
        </is>
      </c>
      <c r="C3370" s="19" t="inlineStr">
        <is>
          <t>Kerala</t>
        </is>
      </c>
      <c r="D3370" s="20" t="inlineStr">
        <is>
          <t>KL38K3636</t>
        </is>
      </c>
      <c r="E3370" s="20" t="inlineStr">
        <is>
          <t>TATA</t>
        </is>
      </c>
      <c r="F3370" s="20" t="inlineStr">
        <is>
          <t>Nexon</t>
        </is>
      </c>
      <c r="G3370" s="21" t="n">
        <v>2022</v>
      </c>
      <c r="H3370" s="22" t="n">
        <v>56000</v>
      </c>
      <c r="I3370" s="23" t="n">
        <v>740000</v>
      </c>
      <c r="J3370" s="20" t="inlineStr">
        <is>
          <t>GOKULAM TATA</t>
        </is>
      </c>
      <c r="K3370" s="20" t="inlineStr">
        <is>
          <t>Non-Captive</t>
        </is>
      </c>
      <c r="L3370" s="20" t="inlineStr">
        <is>
          <t>AITOS CARS</t>
        </is>
      </c>
      <c r="M3370" s="23" t="n">
        <v>8475</v>
      </c>
      <c r="N3370" s="23" t="n">
        <v>10000</v>
      </c>
      <c r="O3370" s="24">
        <f>IF(AND(ISNUMBER(M3370), ISNUMBER(I3370), I3370&gt;0), M3370/I3370, "")</f>
        <v/>
      </c>
    </row>
    <row r="3371">
      <c r="A3371" s="19" t="inlineStr">
        <is>
          <t>FY27</t>
        </is>
      </c>
      <c r="B3371" s="19" t="inlineStr">
        <is>
          <t>Aug</t>
        </is>
      </c>
      <c r="C3371" s="19" t="inlineStr">
        <is>
          <t>Kerala</t>
        </is>
      </c>
      <c r="D3371" s="20" t="inlineStr">
        <is>
          <t>KL28B0379</t>
        </is>
      </c>
      <c r="E3371" s="20" t="inlineStr">
        <is>
          <t>MARUTI SUZUKI</t>
        </is>
      </c>
      <c r="F3371" s="20" t="inlineStr">
        <is>
          <t>Wagon R</t>
        </is>
      </c>
      <c r="G3371" s="21" t="n">
        <v>2013</v>
      </c>
      <c r="H3371" s="22" t="n">
        <v>98970</v>
      </c>
      <c r="I3371" s="23" t="n">
        <v>140000</v>
      </c>
      <c r="J3371" s="20" t="inlineStr">
        <is>
          <t>ANAS VH</t>
        </is>
      </c>
      <c r="K3371" s="20" t="inlineStr">
        <is>
          <t>Non-Captive</t>
        </is>
      </c>
      <c r="L3371" s="20" t="inlineStr">
        <is>
          <t>AKHIL KT</t>
        </is>
      </c>
      <c r="M3371" s="23" t="n">
        <v>8475</v>
      </c>
      <c r="N3371" s="23" t="n">
        <v>10000</v>
      </c>
      <c r="O3371" s="24">
        <f>IF(AND(ISNUMBER(M3371), ISNUMBER(I3371), I3371&gt;0), M3371/I3371, "")</f>
        <v/>
      </c>
    </row>
    <row r="3372">
      <c r="A3372" s="19" t="inlineStr">
        <is>
          <t>FY27</t>
        </is>
      </c>
      <c r="B3372" s="19" t="inlineStr">
        <is>
          <t>Aug</t>
        </is>
      </c>
      <c r="C3372" s="19" t="inlineStr">
        <is>
          <t>Kerala</t>
        </is>
      </c>
      <c r="D3372" s="20" t="inlineStr">
        <is>
          <t>KL44H3366</t>
        </is>
      </c>
      <c r="E3372" s="20" t="inlineStr">
        <is>
          <t>TOYOTA</t>
        </is>
      </c>
      <c r="F3372" s="20" t="inlineStr">
        <is>
          <t>Glanza</t>
        </is>
      </c>
      <c r="G3372" s="21" t="n">
        <v>2022</v>
      </c>
      <c r="H3372" s="22" t="n">
        <v>22000</v>
      </c>
      <c r="I3372" s="23" t="n">
        <v>745000</v>
      </c>
      <c r="J3372" s="20" t="inlineStr">
        <is>
          <t>AUTOMOTIVE</t>
        </is>
      </c>
      <c r="K3372" s="20" t="inlineStr">
        <is>
          <t>Non-Captive</t>
        </is>
      </c>
      <c r="L3372" s="20" t="inlineStr">
        <is>
          <t>AUTOBOT</t>
        </is>
      </c>
      <c r="M3372" s="23" t="n">
        <v>8475</v>
      </c>
      <c r="N3372" s="23" t="n">
        <v>10000</v>
      </c>
      <c r="O3372" s="24">
        <f>IF(AND(ISNUMBER(M3372), ISNUMBER(I3372), I3372&gt;0), M3372/I3372, "")</f>
        <v/>
      </c>
    </row>
    <row r="3373">
      <c r="A3373" s="19" t="inlineStr">
        <is>
          <t>FY27</t>
        </is>
      </c>
      <c r="B3373" s="19" t="inlineStr">
        <is>
          <t>Aug</t>
        </is>
      </c>
      <c r="C3373" s="19" t="inlineStr">
        <is>
          <t>Kerala</t>
        </is>
      </c>
      <c r="D3373" s="20" t="inlineStr">
        <is>
          <t>KL39H1301</t>
        </is>
      </c>
      <c r="E3373" s="20" t="inlineStr">
        <is>
          <t>HYUNDAI</t>
        </is>
      </c>
      <c r="F3373" s="20" t="inlineStr">
        <is>
          <t>I20</t>
        </is>
      </c>
      <c r="G3373" s="21" t="n">
        <v>2015</v>
      </c>
      <c r="H3373" s="22" t="n">
        <v>78647</v>
      </c>
      <c r="I3373" s="23" t="n">
        <v>335000</v>
      </c>
      <c r="J3373" s="20" t="inlineStr">
        <is>
          <t>DREAM DRIVE</t>
        </is>
      </c>
      <c r="K3373" s="20" t="inlineStr">
        <is>
          <t>Non-Captive</t>
        </is>
      </c>
      <c r="L3373" s="20" t="inlineStr">
        <is>
          <t>ALBIN</t>
        </is>
      </c>
      <c r="M3373" s="23" t="n">
        <v>8475</v>
      </c>
      <c r="N3373" s="23" t="n">
        <v>10000</v>
      </c>
      <c r="O3373" s="24">
        <f>IF(AND(ISNUMBER(M3373), ISNUMBER(I3373), I3373&gt;0), M3373/I3373, "")</f>
        <v/>
      </c>
    </row>
    <row r="3374">
      <c r="A3374" s="19" t="inlineStr">
        <is>
          <t>FY27</t>
        </is>
      </c>
      <c r="B3374" s="19" t="inlineStr">
        <is>
          <t>Aug</t>
        </is>
      </c>
      <c r="C3374" s="19" t="inlineStr">
        <is>
          <t>Kerala</t>
        </is>
      </c>
      <c r="D3374" s="20" t="inlineStr">
        <is>
          <t>KL01CV3406</t>
        </is>
      </c>
      <c r="E3374" s="20" t="inlineStr">
        <is>
          <t>TATA</t>
        </is>
      </c>
      <c r="F3374" s="20" t="inlineStr">
        <is>
          <t>Punch</t>
        </is>
      </c>
      <c r="G3374" s="21" t="n">
        <v>2022</v>
      </c>
      <c r="H3374" s="22" t="n">
        <v>18000</v>
      </c>
      <c r="I3374" s="23" t="n">
        <v>578000</v>
      </c>
      <c r="J3374" s="20" t="inlineStr">
        <is>
          <t>MARIKAR NISSAN</t>
        </is>
      </c>
      <c r="K3374" s="20" t="inlineStr">
        <is>
          <t>Non-Captive</t>
        </is>
      </c>
      <c r="L3374" s="20" t="inlineStr">
        <is>
          <t>AUTOBOOT</t>
        </is>
      </c>
      <c r="M3374" s="23" t="n">
        <v>6780</v>
      </c>
      <c r="N3374" s="23" t="n">
        <v>8000</v>
      </c>
      <c r="O3374" s="24">
        <f>IF(AND(ISNUMBER(M3374), ISNUMBER(I3374), I3374&gt;0), M3374/I3374, "")</f>
        <v/>
      </c>
    </row>
    <row r="3375">
      <c r="A3375" s="19" t="inlineStr">
        <is>
          <t>FY27</t>
        </is>
      </c>
      <c r="B3375" s="19" t="inlineStr">
        <is>
          <t>Aug</t>
        </is>
      </c>
      <c r="C3375" s="19" t="inlineStr">
        <is>
          <t>Kerala</t>
        </is>
      </c>
      <c r="D3375" s="20" t="inlineStr">
        <is>
          <t>KL01AU1985</t>
        </is>
      </c>
      <c r="E3375" s="20" t="inlineStr">
        <is>
          <t>MARUTI SUZUKI</t>
        </is>
      </c>
      <c r="F3375" s="20" t="inlineStr">
        <is>
          <t>Wagon R</t>
        </is>
      </c>
      <c r="G3375" s="21" t="n">
        <v>2008</v>
      </c>
      <c r="H3375" s="22" t="n">
        <v>107500</v>
      </c>
      <c r="I3375" s="23" t="n">
        <v>90000</v>
      </c>
      <c r="J3375" s="20" t="inlineStr">
        <is>
          <t>POPULAR MARUTI</t>
        </is>
      </c>
      <c r="K3375" s="20" t="inlineStr">
        <is>
          <t>Non-Captive</t>
        </is>
      </c>
      <c r="L3375" s="20" t="inlineStr">
        <is>
          <t>Muhammed Rasin R</t>
        </is>
      </c>
      <c r="M3375" s="23" t="n">
        <v>8475</v>
      </c>
      <c r="N3375" s="23" t="n">
        <v>10000</v>
      </c>
      <c r="O3375" s="24">
        <f>IF(AND(ISNUMBER(M3375), ISNUMBER(I3375), I3375&gt;0), M3375/I3375, "")</f>
        <v/>
      </c>
    </row>
    <row r="3376">
      <c r="A3376" s="19" t="inlineStr">
        <is>
          <t>FY27</t>
        </is>
      </c>
      <c r="B3376" s="19" t="inlineStr">
        <is>
          <t>Aug</t>
        </is>
      </c>
      <c r="C3376" s="19" t="inlineStr">
        <is>
          <t>Kerala</t>
        </is>
      </c>
      <c r="D3376" s="20" t="inlineStr">
        <is>
          <t>KL02AK1400</t>
        </is>
      </c>
      <c r="E3376" s="20" t="inlineStr">
        <is>
          <t>MARUTI SUZUKI</t>
        </is>
      </c>
      <c r="F3376" s="20" t="inlineStr">
        <is>
          <t>Dzire</t>
        </is>
      </c>
      <c r="G3376" s="21" t="n">
        <v>2012</v>
      </c>
      <c r="H3376" s="22" t="n">
        <v>240000</v>
      </c>
      <c r="I3376" s="23" t="n">
        <v>182000</v>
      </c>
      <c r="J3376" s="20" t="inlineStr">
        <is>
          <t>MUTHOOT TATA</t>
        </is>
      </c>
      <c r="K3376" s="20" t="inlineStr">
        <is>
          <t>Non-Captive</t>
        </is>
      </c>
      <c r="L3376" s="20" t="inlineStr">
        <is>
          <t>Muhammed Nasim PM</t>
        </is>
      </c>
      <c r="M3376" s="23" t="n">
        <v>5932</v>
      </c>
      <c r="N3376" s="23" t="n">
        <v>7000</v>
      </c>
      <c r="O3376" s="24">
        <f>IF(AND(ISNUMBER(M3376), ISNUMBER(I3376), I3376&gt;0), M3376/I3376, "")</f>
        <v/>
      </c>
    </row>
    <row r="3377">
      <c r="A3377" s="19" t="inlineStr">
        <is>
          <t>FY27</t>
        </is>
      </c>
      <c r="B3377" s="19" t="inlineStr">
        <is>
          <t>Aug</t>
        </is>
      </c>
      <c r="C3377" s="19" t="inlineStr">
        <is>
          <t>Kerala</t>
        </is>
      </c>
      <c r="D3377" s="20" t="inlineStr">
        <is>
          <t>KL24L9639</t>
        </is>
      </c>
      <c r="E3377" s="20" t="inlineStr">
        <is>
          <t>MARUTI SUZUKI</t>
        </is>
      </c>
      <c r="F3377" s="20" t="inlineStr">
        <is>
          <t>Wagonr</t>
        </is>
      </c>
      <c r="G3377" s="21" t="n">
        <v>2016</v>
      </c>
      <c r="H3377" s="22" t="n">
        <v>86000</v>
      </c>
      <c r="I3377" s="23" t="n">
        <v>228000</v>
      </c>
      <c r="J3377" s="20" t="inlineStr">
        <is>
          <t>SPRICE HYUNDAI</t>
        </is>
      </c>
      <c r="K3377" s="20" t="inlineStr">
        <is>
          <t>Non-Captive</t>
        </is>
      </c>
      <c r="L3377" s="20" t="inlineStr">
        <is>
          <t>MUJEEB RAHUMAN</t>
        </is>
      </c>
      <c r="M3377" s="23" t="n">
        <v>6780</v>
      </c>
      <c r="N3377" s="23" t="n">
        <v>8000</v>
      </c>
      <c r="O3377" s="24">
        <f>IF(AND(ISNUMBER(M3377), ISNUMBER(I3377), I3377&gt;0), M3377/I3377, "")</f>
        <v/>
      </c>
    </row>
    <row r="3378">
      <c r="A3378" s="19" t="inlineStr">
        <is>
          <t>FY27</t>
        </is>
      </c>
      <c r="B3378" s="19" t="inlineStr">
        <is>
          <t>Aug</t>
        </is>
      </c>
      <c r="C3378" s="19" t="inlineStr">
        <is>
          <t>Kerala</t>
        </is>
      </c>
      <c r="D3378" s="20" t="inlineStr">
        <is>
          <t>KL08BT5759</t>
        </is>
      </c>
      <c r="E3378" s="20" t="inlineStr">
        <is>
          <t>ASHOK LEYLAND</t>
        </is>
      </c>
      <c r="F3378" s="20" t="inlineStr">
        <is>
          <t>Dosth</t>
        </is>
      </c>
      <c r="G3378" s="21" t="n"/>
      <c r="H3378" s="22" t="n">
        <v>175000</v>
      </c>
      <c r="I3378" s="23" t="n">
        <v>356000</v>
      </c>
      <c r="J3378" s="20" t="inlineStr">
        <is>
          <t>VINESH</t>
        </is>
      </c>
      <c r="K3378" s="20" t="inlineStr">
        <is>
          <t>Non-Captive</t>
        </is>
      </c>
      <c r="L3378" s="20" t="inlineStr">
        <is>
          <t>SAJITH LEAPS TRUCKS</t>
        </is>
      </c>
      <c r="M3378" s="23" t="n">
        <v>5085</v>
      </c>
      <c r="N3378" s="23" t="n">
        <v>6000</v>
      </c>
      <c r="O3378" s="24">
        <f>IF(AND(ISNUMBER(M3378), ISNUMBER(I3378), I3378&gt;0), M3378/I3378, "")</f>
        <v/>
      </c>
    </row>
    <row r="3379">
      <c r="A3379" s="19" t="inlineStr">
        <is>
          <t>FY27</t>
        </is>
      </c>
      <c r="B3379" s="19" t="inlineStr">
        <is>
          <t>Aug</t>
        </is>
      </c>
      <c r="C3379" s="19" t="inlineStr">
        <is>
          <t>Kerala</t>
        </is>
      </c>
      <c r="D3379" s="20" t="inlineStr">
        <is>
          <t>KL07BR7600</t>
        </is>
      </c>
      <c r="E3379" s="20" t="inlineStr">
        <is>
          <t>MAHINDRA</t>
        </is>
      </c>
      <c r="F3379" s="20" t="inlineStr">
        <is>
          <t>Verito</t>
        </is>
      </c>
      <c r="G3379" s="21" t="n">
        <v>2011</v>
      </c>
      <c r="H3379" s="22" t="n">
        <v>65000</v>
      </c>
      <c r="I3379" s="23" t="n">
        <v>110000</v>
      </c>
      <c r="J3379" s="20" t="inlineStr">
        <is>
          <t>POPULAR MARUTI</t>
        </is>
      </c>
      <c r="K3379" s="20" t="inlineStr">
        <is>
          <t>Non-Captive</t>
        </is>
      </c>
      <c r="L3379" s="20" t="inlineStr">
        <is>
          <t>UMESH KUMAR TU</t>
        </is>
      </c>
      <c r="M3379" s="23" t="n">
        <v>8475</v>
      </c>
      <c r="N3379" s="23" t="n">
        <v>10000</v>
      </c>
      <c r="O3379" s="24">
        <f>IF(AND(ISNUMBER(M3379), ISNUMBER(I3379), I3379&gt;0), M3379/I3379, "")</f>
        <v/>
      </c>
    </row>
    <row r="3380">
      <c r="A3380" s="19" t="inlineStr">
        <is>
          <t>FY27</t>
        </is>
      </c>
      <c r="B3380" s="19" t="inlineStr">
        <is>
          <t>Aug</t>
        </is>
      </c>
      <c r="C3380" s="19" t="inlineStr">
        <is>
          <t>Kerala</t>
        </is>
      </c>
      <c r="D3380" s="20" t="inlineStr">
        <is>
          <t>KL58B3563</t>
        </is>
      </c>
      <c r="E3380" s="20" t="inlineStr">
        <is>
          <t>MARUTI SUZUKI</t>
        </is>
      </c>
      <c r="F3380" s="20" t="inlineStr">
        <is>
          <t>Alto</t>
        </is>
      </c>
      <c r="G3380" s="21" t="n">
        <v>2008</v>
      </c>
      <c r="H3380" s="22" t="n">
        <v>80000</v>
      </c>
      <c r="I3380" s="23" t="n">
        <v>88000</v>
      </c>
      <c r="J3380" s="20" t="inlineStr">
        <is>
          <t>POPULAR MARUTI</t>
        </is>
      </c>
      <c r="K3380" s="20" t="inlineStr">
        <is>
          <t>Non-Captive</t>
        </is>
      </c>
      <c r="L3380" s="20" t="inlineStr">
        <is>
          <t>SHANMUKHADAS C</t>
        </is>
      </c>
      <c r="M3380" s="23" t="n">
        <v>6780</v>
      </c>
      <c r="N3380" s="23" t="n">
        <v>8000</v>
      </c>
      <c r="O3380" s="24">
        <f>IF(AND(ISNUMBER(M3380), ISNUMBER(I3380), I3380&gt;0), M3380/I3380, "")</f>
        <v/>
      </c>
    </row>
    <row r="3381">
      <c r="A3381" s="19" t="inlineStr">
        <is>
          <t>FY27</t>
        </is>
      </c>
      <c r="B3381" s="19" t="inlineStr">
        <is>
          <t>Aug</t>
        </is>
      </c>
      <c r="C3381" s="19" t="inlineStr">
        <is>
          <t>Kerala</t>
        </is>
      </c>
      <c r="D3381" s="20" t="inlineStr">
        <is>
          <t>KL13U1735</t>
        </is>
      </c>
      <c r="E3381" s="20" t="inlineStr">
        <is>
          <t>HYUNDAI</t>
        </is>
      </c>
      <c r="F3381" s="20" t="inlineStr">
        <is>
          <t>I10</t>
        </is>
      </c>
      <c r="G3381" s="21" t="n">
        <v>2009</v>
      </c>
      <c r="H3381" s="22" t="n">
        <v>71000</v>
      </c>
      <c r="I3381" s="23" t="n">
        <v>77000</v>
      </c>
      <c r="J3381" s="20" t="inlineStr">
        <is>
          <t>POPULAR MARUTI</t>
        </is>
      </c>
      <c r="K3381" s="20" t="inlineStr">
        <is>
          <t>Non-Captive</t>
        </is>
      </c>
      <c r="L3381" s="20" t="inlineStr">
        <is>
          <t>NIZAMUDEEN P K</t>
        </is>
      </c>
      <c r="M3381" s="23" t="n">
        <v>5932</v>
      </c>
      <c r="N3381" s="23" t="n">
        <v>7000</v>
      </c>
      <c r="O3381" s="24">
        <f>IF(AND(ISNUMBER(M3381), ISNUMBER(I3381), I3381&gt;0), M3381/I3381, "")</f>
        <v/>
      </c>
    </row>
    <row r="3382">
      <c r="A3382" s="19" t="inlineStr">
        <is>
          <t>FY27</t>
        </is>
      </c>
      <c r="B3382" s="19" t="inlineStr">
        <is>
          <t>Aug</t>
        </is>
      </c>
      <c r="C3382" s="19" t="inlineStr">
        <is>
          <t>Kerala</t>
        </is>
      </c>
      <c r="D3382" s="20" t="inlineStr">
        <is>
          <t>KL11AK3022</t>
        </is>
      </c>
      <c r="E3382" s="20" t="inlineStr">
        <is>
          <t>MARUTI SUZUKI</t>
        </is>
      </c>
      <c r="F3382" s="20" t="inlineStr">
        <is>
          <t>Swiftlxi</t>
        </is>
      </c>
      <c r="G3382" s="21" t="n">
        <v>2011</v>
      </c>
      <c r="H3382" s="22" t="n">
        <v>42000</v>
      </c>
      <c r="I3382" s="23" t="n">
        <v>145000</v>
      </c>
      <c r="J3382" s="20" t="inlineStr">
        <is>
          <t>POPULAR MARUTI</t>
        </is>
      </c>
      <c r="K3382" s="20" t="inlineStr">
        <is>
          <t>Non-Captive</t>
        </is>
      </c>
      <c r="L3382" s="20" t="inlineStr">
        <is>
          <t>MOHAMMED ASLAM K</t>
        </is>
      </c>
      <c r="M3382" s="23" t="n">
        <v>8475</v>
      </c>
      <c r="N3382" s="23" t="n">
        <v>10000</v>
      </c>
      <c r="O3382" s="24">
        <f>IF(AND(ISNUMBER(M3382), ISNUMBER(I3382), I3382&gt;0), M3382/I3382, "")</f>
        <v/>
      </c>
    </row>
    <row r="3383">
      <c r="A3383" s="19" t="inlineStr">
        <is>
          <t>FY27</t>
        </is>
      </c>
      <c r="B3383" s="19" t="inlineStr">
        <is>
          <t>Aug</t>
        </is>
      </c>
      <c r="C3383" s="19" t="inlineStr">
        <is>
          <t>Kerala</t>
        </is>
      </c>
      <c r="D3383" s="20" t="inlineStr">
        <is>
          <t>KL58M2069</t>
        </is>
      </c>
      <c r="E3383" s="20" t="inlineStr">
        <is>
          <t>MARUTI SUZUKI</t>
        </is>
      </c>
      <c r="F3383" s="20" t="inlineStr">
        <is>
          <t>Alto800</t>
        </is>
      </c>
      <c r="G3383" s="21" t="n">
        <v>2013</v>
      </c>
      <c r="H3383" s="22" t="n">
        <v>150000</v>
      </c>
      <c r="I3383" s="23" t="n">
        <v>125000</v>
      </c>
      <c r="J3383" s="20" t="inlineStr">
        <is>
          <t>POPULAR MARUTI</t>
        </is>
      </c>
      <c r="K3383" s="20" t="inlineStr">
        <is>
          <t>Non-Captive</t>
        </is>
      </c>
      <c r="L3383" s="20" t="inlineStr">
        <is>
          <t>MAHESH CARBAZAR</t>
        </is>
      </c>
      <c r="M3383" s="23" t="n">
        <v>8475</v>
      </c>
      <c r="N3383" s="23" t="n">
        <v>10000</v>
      </c>
      <c r="O3383" s="24">
        <f>IF(AND(ISNUMBER(M3383), ISNUMBER(I3383), I3383&gt;0), M3383/I3383, "")</f>
        <v/>
      </c>
    </row>
    <row r="3384">
      <c r="A3384" s="19" t="inlineStr">
        <is>
          <t>FY27</t>
        </is>
      </c>
      <c r="B3384" s="19" t="inlineStr">
        <is>
          <t>Aug</t>
        </is>
      </c>
      <c r="C3384" s="19" t="inlineStr">
        <is>
          <t>Kerala</t>
        </is>
      </c>
      <c r="D3384" s="20" t="inlineStr">
        <is>
          <t>KL60E9392</t>
        </is>
      </c>
      <c r="E3384" s="20" t="inlineStr">
        <is>
          <t>MARUTI SUZUKI</t>
        </is>
      </c>
      <c r="F3384" s="20" t="inlineStr">
        <is>
          <t>Alto800</t>
        </is>
      </c>
      <c r="G3384" s="21" t="n">
        <v>2012</v>
      </c>
      <c r="H3384" s="22" t="n">
        <v>123000</v>
      </c>
      <c r="I3384" s="23" t="n">
        <v>115000</v>
      </c>
      <c r="J3384" s="20" t="inlineStr">
        <is>
          <t>POPULAR MARUTI</t>
        </is>
      </c>
      <c r="K3384" s="20" t="inlineStr">
        <is>
          <t>Non-Captive</t>
        </is>
      </c>
      <c r="L3384" s="20" t="inlineStr">
        <is>
          <t>FAREEDA CARS</t>
        </is>
      </c>
      <c r="M3384" s="23" t="n">
        <v>8475</v>
      </c>
      <c r="N3384" s="23" t="n">
        <v>10000</v>
      </c>
      <c r="O3384" s="24">
        <f>IF(AND(ISNUMBER(M3384), ISNUMBER(I3384), I3384&gt;0), M3384/I3384, "")</f>
        <v/>
      </c>
    </row>
    <row r="3385">
      <c r="A3385" s="19" t="inlineStr">
        <is>
          <t>FY27</t>
        </is>
      </c>
      <c r="B3385" s="19" t="inlineStr">
        <is>
          <t>Aug</t>
        </is>
      </c>
      <c r="C3385" s="19" t="inlineStr">
        <is>
          <t>Kerala</t>
        </is>
      </c>
      <c r="D3385" s="20" t="inlineStr">
        <is>
          <t>KL60B2199</t>
        </is>
      </c>
      <c r="E3385" s="20" t="inlineStr">
        <is>
          <t>MARUTI SUZUKI</t>
        </is>
      </c>
      <c r="F3385" s="20" t="inlineStr">
        <is>
          <t>Alto</t>
        </is>
      </c>
      <c r="G3385" s="21" t="n">
        <v>2009</v>
      </c>
      <c r="H3385" s="22" t="n">
        <v>104000</v>
      </c>
      <c r="I3385" s="23" t="n">
        <v>78000</v>
      </c>
      <c r="J3385" s="20" t="inlineStr">
        <is>
          <t>POPULAR MARUTI</t>
        </is>
      </c>
      <c r="K3385" s="20" t="inlineStr">
        <is>
          <t>Non-Captive</t>
        </is>
      </c>
      <c r="L3385" s="20" t="inlineStr">
        <is>
          <t>HIBA NAZRIN</t>
        </is>
      </c>
      <c r="M3385" s="23" t="n">
        <v>6780</v>
      </c>
      <c r="N3385" s="23" t="n">
        <v>8000</v>
      </c>
      <c r="O3385" s="24">
        <f>IF(AND(ISNUMBER(M3385), ISNUMBER(I3385), I3385&gt;0), M3385/I3385, "")</f>
        <v/>
      </c>
    </row>
    <row r="3386">
      <c r="A3386" s="19" t="inlineStr">
        <is>
          <t>FY27</t>
        </is>
      </c>
      <c r="B3386" s="19" t="inlineStr">
        <is>
          <t>Aug</t>
        </is>
      </c>
      <c r="C3386" s="19" t="inlineStr">
        <is>
          <t>Kerala</t>
        </is>
      </c>
      <c r="D3386" s="20" t="inlineStr">
        <is>
          <t>KL60C4953</t>
        </is>
      </c>
      <c r="E3386" s="20" t="inlineStr">
        <is>
          <t>MARUTI SUZUKI</t>
        </is>
      </c>
      <c r="F3386" s="20" t="inlineStr">
        <is>
          <t>Alto</t>
        </is>
      </c>
      <c r="G3386" s="21" t="n">
        <v>2011</v>
      </c>
      <c r="H3386" s="22" t="n">
        <v>90000</v>
      </c>
      <c r="I3386" s="23" t="n">
        <v>85000</v>
      </c>
      <c r="J3386" s="20" t="inlineStr">
        <is>
          <t>POPULAR MARUTI</t>
        </is>
      </c>
      <c r="K3386" s="20" t="inlineStr">
        <is>
          <t>Non-Captive</t>
        </is>
      </c>
      <c r="L3386" s="20" t="inlineStr">
        <is>
          <t>BASHEER</t>
        </is>
      </c>
      <c r="M3386" s="23" t="n">
        <v>8475</v>
      </c>
      <c r="N3386" s="23" t="n">
        <v>10000</v>
      </c>
      <c r="O3386" s="24">
        <f>IF(AND(ISNUMBER(M3386), ISNUMBER(I3386), I3386&gt;0), M3386/I3386, "")</f>
        <v/>
      </c>
    </row>
    <row r="3387">
      <c r="A3387" s="19" t="inlineStr">
        <is>
          <t>FY27</t>
        </is>
      </c>
      <c r="B3387" s="19" t="inlineStr">
        <is>
          <t>Aug</t>
        </is>
      </c>
      <c r="C3387" s="19" t="inlineStr">
        <is>
          <t>Kerala</t>
        </is>
      </c>
      <c r="D3387" s="20" t="inlineStr">
        <is>
          <t>KL13AS4720</t>
        </is>
      </c>
      <c r="E3387" s="20" t="inlineStr">
        <is>
          <t>TOYOTA</t>
        </is>
      </c>
      <c r="F3387" s="20" t="inlineStr">
        <is>
          <t>Glanza</t>
        </is>
      </c>
      <c r="G3387" s="21" t="n">
        <v>2020</v>
      </c>
      <c r="H3387" s="22" t="n">
        <v>56000</v>
      </c>
      <c r="I3387" s="23" t="n">
        <v>517000</v>
      </c>
      <c r="J3387" s="20" t="inlineStr">
        <is>
          <t>APCO HYUNDAI</t>
        </is>
      </c>
      <c r="K3387" s="20" t="inlineStr">
        <is>
          <t>Non-Captive</t>
        </is>
      </c>
      <c r="L3387" s="20" t="inlineStr">
        <is>
          <t>VASIL AUTOBOT</t>
        </is>
      </c>
      <c r="M3387" s="23" t="n">
        <v>5932</v>
      </c>
      <c r="N3387" s="23" t="n">
        <v>7000</v>
      </c>
      <c r="O3387" s="24">
        <f>IF(AND(ISNUMBER(M3387), ISNUMBER(I3387), I3387&gt;0), M3387/I3387, "")</f>
        <v/>
      </c>
    </row>
    <row r="3388">
      <c r="A3388" s="19" t="inlineStr">
        <is>
          <t>FY27</t>
        </is>
      </c>
      <c r="B3388" s="19" t="inlineStr">
        <is>
          <t>Aug</t>
        </is>
      </c>
      <c r="C3388" s="19" t="inlineStr">
        <is>
          <t>Kerala</t>
        </is>
      </c>
      <c r="D3388" s="20" t="inlineStr">
        <is>
          <t>KL13X9301</t>
        </is>
      </c>
      <c r="E3388" s="20" t="inlineStr">
        <is>
          <t>MARUTI SUZUKI</t>
        </is>
      </c>
      <c r="F3388" s="20" t="inlineStr">
        <is>
          <t>Alto</t>
        </is>
      </c>
      <c r="G3388" s="21" t="n">
        <v>2012</v>
      </c>
      <c r="H3388" s="22" t="n">
        <v>71000</v>
      </c>
      <c r="I3388" s="23" t="n">
        <v>100000</v>
      </c>
      <c r="J3388" s="20" t="inlineStr">
        <is>
          <t>POPULAR MARUTI</t>
        </is>
      </c>
      <c r="K3388" s="20" t="inlineStr">
        <is>
          <t>Non-Captive</t>
        </is>
      </c>
      <c r="L3388" s="20" t="inlineStr">
        <is>
          <t>Non Stop Motors-MUJEEB KOMBAN</t>
        </is>
      </c>
      <c r="M3388" s="23" t="n">
        <v>8475</v>
      </c>
      <c r="N3388" s="23" t="n">
        <v>10000</v>
      </c>
      <c r="O3388" s="24">
        <f>IF(AND(ISNUMBER(M3388), ISNUMBER(I3388), I3388&gt;0), M3388/I3388, "")</f>
        <v/>
      </c>
    </row>
    <row r="3389">
      <c r="A3389" s="19" t="inlineStr">
        <is>
          <t>FY27</t>
        </is>
      </c>
      <c r="B3389" s="19" t="inlineStr">
        <is>
          <t>Aug</t>
        </is>
      </c>
      <c r="C3389" s="19" t="inlineStr">
        <is>
          <t>Kerala</t>
        </is>
      </c>
      <c r="D3389" s="20" t="inlineStr">
        <is>
          <t>KL13X4943</t>
        </is>
      </c>
      <c r="E3389" s="20" t="inlineStr">
        <is>
          <t>HYUNDAI</t>
        </is>
      </c>
      <c r="F3389" s="20" t="inlineStr">
        <is>
          <t>Eon</t>
        </is>
      </c>
      <c r="G3389" s="21" t="n">
        <v>2011</v>
      </c>
      <c r="H3389" s="22" t="n">
        <v>99000</v>
      </c>
      <c r="I3389" s="23" t="n">
        <v>57000</v>
      </c>
      <c r="J3389" s="20" t="inlineStr">
        <is>
          <t>POPULAR MARUTI</t>
        </is>
      </c>
      <c r="K3389" s="20" t="inlineStr">
        <is>
          <t>Non-Captive</t>
        </is>
      </c>
      <c r="L3389" s="20" t="inlineStr">
        <is>
          <t>NIZAMUDEEN P K</t>
        </is>
      </c>
      <c r="M3389" s="23" t="n">
        <v>5932</v>
      </c>
      <c r="N3389" s="23" t="n">
        <v>7000</v>
      </c>
      <c r="O3389" s="24">
        <f>IF(AND(ISNUMBER(M3389), ISNUMBER(I3389), I3389&gt;0), M3389/I3389, "")</f>
        <v/>
      </c>
    </row>
    <row r="3390">
      <c r="A3390" s="19" t="inlineStr">
        <is>
          <t>FY27</t>
        </is>
      </c>
      <c r="B3390" s="19" t="inlineStr">
        <is>
          <t>Aug</t>
        </is>
      </c>
      <c r="C3390" s="19" t="inlineStr">
        <is>
          <t>Kerala</t>
        </is>
      </c>
      <c r="D3390" s="20" t="inlineStr">
        <is>
          <t>KL45H5656</t>
        </is>
      </c>
      <c r="E3390" s="20" t="inlineStr">
        <is>
          <t>MARUTI SUZUKI</t>
        </is>
      </c>
      <c r="F3390" s="20" t="inlineStr">
        <is>
          <t>Swift</t>
        </is>
      </c>
      <c r="G3390" s="21" t="n">
        <v>2012</v>
      </c>
      <c r="H3390" s="22" t="n">
        <v>143000</v>
      </c>
      <c r="I3390" s="23" t="n">
        <v>210000</v>
      </c>
      <c r="J3390" s="20" t="inlineStr">
        <is>
          <t>POPULAR MARUTI</t>
        </is>
      </c>
      <c r="K3390" s="20" t="inlineStr">
        <is>
          <t>Non-Captive</t>
        </is>
      </c>
      <c r="L3390" s="20" t="inlineStr">
        <is>
          <t>FABITH</t>
        </is>
      </c>
      <c r="M3390" s="23" t="n">
        <v>8475</v>
      </c>
      <c r="N3390" s="23" t="n">
        <v>10000</v>
      </c>
      <c r="O3390" s="24">
        <f>IF(AND(ISNUMBER(M3390), ISNUMBER(I3390), I3390&gt;0), M3390/I3390, "")</f>
        <v/>
      </c>
    </row>
    <row r="3391">
      <c r="A3391" s="19" t="inlineStr">
        <is>
          <t>FY27</t>
        </is>
      </c>
      <c r="B3391" s="19" t="inlineStr">
        <is>
          <t>Aug</t>
        </is>
      </c>
      <c r="C3391" s="19" t="inlineStr">
        <is>
          <t>Kerala</t>
        </is>
      </c>
      <c r="D3391" s="20" t="inlineStr">
        <is>
          <t>KL41S4128</t>
        </is>
      </c>
      <c r="E3391" s="20" t="inlineStr">
        <is>
          <t>VOLKSWAGEN</t>
        </is>
      </c>
      <c r="F3391" s="20" t="inlineStr">
        <is>
          <t>Taigun</t>
        </is>
      </c>
      <c r="G3391" s="21" t="n">
        <v>2021</v>
      </c>
      <c r="H3391" s="22" t="n">
        <v>42221</v>
      </c>
      <c r="I3391" s="23" t="n">
        <v>780000</v>
      </c>
      <c r="J3391" s="20" t="inlineStr">
        <is>
          <t>AUTOMOTIVE</t>
        </is>
      </c>
      <c r="K3391" s="20" t="inlineStr">
        <is>
          <t>Non-Captive</t>
        </is>
      </c>
      <c r="L3391" s="20" t="inlineStr">
        <is>
          <t>YAHIYA</t>
        </is>
      </c>
      <c r="M3391" s="23" t="n">
        <v>8475</v>
      </c>
      <c r="N3391" s="23" t="n">
        <v>10000</v>
      </c>
      <c r="O3391" s="24">
        <f>IF(AND(ISNUMBER(M3391), ISNUMBER(I3391), I3391&gt;0), M3391/I3391, "")</f>
        <v/>
      </c>
    </row>
    <row r="3392">
      <c r="A3392" s="19" t="inlineStr">
        <is>
          <t>FY27</t>
        </is>
      </c>
      <c r="B3392" s="19" t="inlineStr">
        <is>
          <t>Aug</t>
        </is>
      </c>
      <c r="C3392" s="19" t="inlineStr">
        <is>
          <t>Kerala</t>
        </is>
      </c>
      <c r="D3392" s="20" t="inlineStr">
        <is>
          <t>KL38F5590</t>
        </is>
      </c>
      <c r="E3392" s="20" t="inlineStr">
        <is>
          <t>RENAULT</t>
        </is>
      </c>
      <c r="F3392" s="20" t="inlineStr">
        <is>
          <t>Kwid</t>
        </is>
      </c>
      <c r="G3392" s="21" t="n">
        <v>2017</v>
      </c>
      <c r="H3392" s="22" t="n">
        <v>128310</v>
      </c>
      <c r="I3392" s="23" t="n">
        <v>110000</v>
      </c>
      <c r="J3392" s="20" t="inlineStr">
        <is>
          <t>INDUS MARUTI</t>
        </is>
      </c>
      <c r="K3392" s="20" t="inlineStr">
        <is>
          <t>Non-Captive</t>
        </is>
      </c>
      <c r="L3392" s="20" t="inlineStr">
        <is>
          <t>SAIF RASHEED</t>
        </is>
      </c>
      <c r="M3392" s="23" t="n">
        <v>8475</v>
      </c>
      <c r="N3392" s="23" t="n">
        <v>10000</v>
      </c>
      <c r="O3392" s="24">
        <f>IF(AND(ISNUMBER(M3392), ISNUMBER(I3392), I3392&gt;0), M3392/I3392, "")</f>
        <v/>
      </c>
    </row>
    <row r="3393">
      <c r="A3393" s="19" t="inlineStr">
        <is>
          <t>FY27</t>
        </is>
      </c>
      <c r="B3393" s="19" t="inlineStr">
        <is>
          <t>Aug</t>
        </is>
      </c>
      <c r="C3393" s="19" t="inlineStr">
        <is>
          <t>Kerala</t>
        </is>
      </c>
      <c r="D3393" s="20" t="inlineStr">
        <is>
          <t>KL01BG5671</t>
        </is>
      </c>
      <c r="E3393" s="20" t="inlineStr">
        <is>
          <t>HYUNDAI</t>
        </is>
      </c>
      <c r="F3393" s="20" t="inlineStr">
        <is>
          <t>I10</t>
        </is>
      </c>
      <c r="G3393" s="21" t="n">
        <v>2012</v>
      </c>
      <c r="H3393" s="22" t="n">
        <v>37340</v>
      </c>
      <c r="I3393" s="23" t="n">
        <v>160000</v>
      </c>
      <c r="J3393" s="20" t="inlineStr">
        <is>
          <t>POPULAR HYUNDAI</t>
        </is>
      </c>
      <c r="K3393" s="20" t="inlineStr">
        <is>
          <t>Non-Captive</t>
        </is>
      </c>
      <c r="L3393" s="20" t="inlineStr">
        <is>
          <t>ABDUL SALAM P U</t>
        </is>
      </c>
      <c r="M3393" s="23" t="n">
        <v>8475</v>
      </c>
      <c r="N3393" s="23" t="n">
        <v>10000</v>
      </c>
      <c r="O3393" s="24">
        <f>IF(AND(ISNUMBER(M3393), ISNUMBER(I3393), I3393&gt;0), M3393/I3393, "")</f>
        <v/>
      </c>
    </row>
    <row r="3394">
      <c r="A3394" s="19" t="inlineStr">
        <is>
          <t>FY27</t>
        </is>
      </c>
      <c r="B3394" s="19" t="inlineStr">
        <is>
          <t>Aug</t>
        </is>
      </c>
      <c r="C3394" s="19" t="inlineStr">
        <is>
          <t>Kerala</t>
        </is>
      </c>
      <c r="D3394" s="20" t="inlineStr">
        <is>
          <t>KL08AT0347</t>
        </is>
      </c>
      <c r="E3394" s="20" t="inlineStr">
        <is>
          <t>CHEVROLET</t>
        </is>
      </c>
      <c r="F3394" s="20" t="inlineStr">
        <is>
          <t>Beat</t>
        </is>
      </c>
      <c r="G3394" s="21" t="n">
        <v>2010</v>
      </c>
      <c r="H3394" s="22" t="n">
        <v>110000</v>
      </c>
      <c r="I3394" s="23" t="n">
        <v>60000</v>
      </c>
      <c r="J3394" s="20" t="inlineStr">
        <is>
          <t>POPULAR MARUTI</t>
        </is>
      </c>
      <c r="K3394" s="20" t="inlineStr">
        <is>
          <t>Non-Captive</t>
        </is>
      </c>
      <c r="L3394" s="20" t="inlineStr">
        <is>
          <t>RajendranS</t>
        </is>
      </c>
      <c r="M3394" s="23" t="n">
        <v>8475</v>
      </c>
      <c r="N3394" s="23" t="n">
        <v>10000</v>
      </c>
      <c r="O3394" s="24">
        <f>IF(AND(ISNUMBER(M3394), ISNUMBER(I3394), I3394&gt;0), M3394/I3394, "")</f>
        <v/>
      </c>
    </row>
    <row r="3395">
      <c r="A3395" s="19" t="inlineStr">
        <is>
          <t>FY27</t>
        </is>
      </c>
      <c r="B3395" s="19" t="inlineStr">
        <is>
          <t>Aug</t>
        </is>
      </c>
      <c r="C3395" s="19" t="inlineStr">
        <is>
          <t>Kerala</t>
        </is>
      </c>
      <c r="D3395" s="20" t="inlineStr">
        <is>
          <t>KL01AR4509</t>
        </is>
      </c>
      <c r="E3395" s="20" t="inlineStr">
        <is>
          <t>MARUTI SUZUKI</t>
        </is>
      </c>
      <c r="F3395" s="20" t="inlineStr">
        <is>
          <t>Alto</t>
        </is>
      </c>
      <c r="G3395" s="21" t="n">
        <v>2007</v>
      </c>
      <c r="H3395" s="22" t="n">
        <v>112000</v>
      </c>
      <c r="I3395" s="23" t="n">
        <v>37000</v>
      </c>
      <c r="J3395" s="20" t="inlineStr">
        <is>
          <t>POPULAR MARUTI</t>
        </is>
      </c>
      <c r="K3395" s="20" t="inlineStr">
        <is>
          <t>Non-Captive</t>
        </is>
      </c>
      <c r="L3395" s="20" t="inlineStr">
        <is>
          <t>MAHESH KUMAR</t>
        </is>
      </c>
      <c r="M3395" s="23" t="n">
        <v>5932</v>
      </c>
      <c r="N3395" s="23" t="n">
        <v>7000</v>
      </c>
      <c r="O3395" s="24">
        <f>IF(AND(ISNUMBER(M3395), ISNUMBER(I3395), I3395&gt;0), M3395/I3395, "")</f>
        <v/>
      </c>
    </row>
    <row r="3396">
      <c r="A3396" s="19" t="inlineStr">
        <is>
          <t>FY27</t>
        </is>
      </c>
      <c r="B3396" s="19" t="inlineStr">
        <is>
          <t>Aug</t>
        </is>
      </c>
      <c r="C3396" s="19" t="inlineStr">
        <is>
          <t>Kerala</t>
        </is>
      </c>
      <c r="D3396" s="20" t="inlineStr">
        <is>
          <t>KL01BL3539</t>
        </is>
      </c>
      <c r="E3396" s="20" t="inlineStr">
        <is>
          <t>TATA</t>
        </is>
      </c>
      <c r="F3396" s="20" t="inlineStr">
        <is>
          <t>Nano</t>
        </is>
      </c>
      <c r="G3396" s="21" t="n">
        <v>2012</v>
      </c>
      <c r="H3396" s="22" t="n">
        <v>50887</v>
      </c>
      <c r="I3396" s="23" t="n">
        <v>27000</v>
      </c>
      <c r="J3396" s="20" t="inlineStr">
        <is>
          <t>POPULAR MARUTI</t>
        </is>
      </c>
      <c r="K3396" s="20" t="inlineStr">
        <is>
          <t>Non-Captive</t>
        </is>
      </c>
      <c r="L3396" s="20" t="inlineStr">
        <is>
          <t>SAJIN</t>
        </is>
      </c>
      <c r="M3396" s="23" t="n">
        <v>8051</v>
      </c>
      <c r="N3396" s="23" t="n">
        <v>9500</v>
      </c>
      <c r="O3396" s="24">
        <f>IF(AND(ISNUMBER(M3396), ISNUMBER(I3396), I3396&gt;0), M3396/I3396, "")</f>
        <v/>
      </c>
    </row>
    <row r="3397">
      <c r="A3397" s="19" t="inlineStr">
        <is>
          <t>FY27</t>
        </is>
      </c>
      <c r="B3397" s="19" t="inlineStr">
        <is>
          <t>Aug</t>
        </is>
      </c>
      <c r="C3397" s="19" t="inlineStr">
        <is>
          <t>Kerala</t>
        </is>
      </c>
      <c r="D3397" s="20" t="inlineStr">
        <is>
          <t>KL02BU8931</t>
        </is>
      </c>
      <c r="E3397" s="20" t="inlineStr">
        <is>
          <t>MARUTI SUZUKI</t>
        </is>
      </c>
      <c r="F3397" s="20" t="inlineStr">
        <is>
          <t>Breeza</t>
        </is>
      </c>
      <c r="G3397" s="21" t="n">
        <v>2023</v>
      </c>
      <c r="H3397" s="22" t="n">
        <v>28132</v>
      </c>
      <c r="I3397" s="23" t="n">
        <v>990000</v>
      </c>
      <c r="J3397" s="20" t="inlineStr">
        <is>
          <t>INCHEON KIA</t>
        </is>
      </c>
      <c r="K3397" s="20" t="inlineStr">
        <is>
          <t>Non-Captive</t>
        </is>
      </c>
      <c r="L3397" s="20" t="inlineStr">
        <is>
          <t>Rohan Joseph Vijuline</t>
        </is>
      </c>
      <c r="M3397" s="23" t="n">
        <v>8475</v>
      </c>
      <c r="N3397" s="23" t="n">
        <v>10000</v>
      </c>
      <c r="O3397" s="24">
        <f>IF(AND(ISNUMBER(M3397), ISNUMBER(I3397), I3397&gt;0), M3397/I3397, "")</f>
        <v/>
      </c>
    </row>
    <row r="3398">
      <c r="A3398" s="19" t="inlineStr">
        <is>
          <t>FY27</t>
        </is>
      </c>
      <c r="B3398" s="19" t="inlineStr">
        <is>
          <t>Aug</t>
        </is>
      </c>
      <c r="C3398" s="19" t="inlineStr">
        <is>
          <t>Kerala</t>
        </is>
      </c>
      <c r="D3398" s="20" t="inlineStr">
        <is>
          <t>KL02AB3864</t>
        </is>
      </c>
      <c r="E3398" s="20" t="inlineStr">
        <is>
          <t>MARUTI SUZUKI</t>
        </is>
      </c>
      <c r="F3398" s="20" t="inlineStr">
        <is>
          <t>M 800</t>
        </is>
      </c>
      <c r="G3398" s="21" t="n">
        <v>2007</v>
      </c>
      <c r="H3398" s="22" t="n">
        <v>65000</v>
      </c>
      <c r="I3398" s="23" t="n">
        <v>37000</v>
      </c>
      <c r="J3398" s="20" t="inlineStr">
        <is>
          <t>LUXON TATA</t>
        </is>
      </c>
      <c r="K3398" s="20" t="inlineStr">
        <is>
          <t>Non-Captive</t>
        </is>
      </c>
      <c r="L3398" s="20" t="inlineStr">
        <is>
          <t>ATHULRAJ</t>
        </is>
      </c>
      <c r="M3398" s="23" t="n">
        <v>5932</v>
      </c>
      <c r="N3398" s="23" t="n">
        <v>7000</v>
      </c>
      <c r="O3398" s="24">
        <f>IF(AND(ISNUMBER(M3398), ISNUMBER(I3398), I3398&gt;0), M3398/I3398, "")</f>
        <v/>
      </c>
    </row>
    <row r="3399">
      <c r="A3399" s="19" t="inlineStr">
        <is>
          <t>FY27</t>
        </is>
      </c>
      <c r="B3399" s="19" t="inlineStr">
        <is>
          <t>Aug</t>
        </is>
      </c>
      <c r="C3399" s="19" t="inlineStr">
        <is>
          <t>Kerala</t>
        </is>
      </c>
      <c r="D3399" s="20" t="inlineStr">
        <is>
          <t>KL02AF4005</t>
        </is>
      </c>
      <c r="E3399" s="20" t="inlineStr">
        <is>
          <t>MARUTI SUZUKI</t>
        </is>
      </c>
      <c r="F3399" s="20" t="inlineStr">
        <is>
          <t>Swift</t>
        </is>
      </c>
      <c r="G3399" s="21" t="n">
        <v>2010</v>
      </c>
      <c r="H3399" s="22" t="n">
        <v>102554</v>
      </c>
      <c r="I3399" s="23" t="n">
        <v>87000</v>
      </c>
      <c r="J3399" s="20" t="inlineStr">
        <is>
          <t>INDUS MARUTI</t>
        </is>
      </c>
      <c r="K3399" s="20" t="inlineStr">
        <is>
          <t>Non-Captive</t>
        </is>
      </c>
      <c r="L3399" s="20" t="inlineStr">
        <is>
          <t>RENJITH</t>
        </is>
      </c>
      <c r="M3399" s="23" t="n">
        <v>5932</v>
      </c>
      <c r="N3399" s="23" t="n">
        <v>7000</v>
      </c>
      <c r="O3399" s="24">
        <f>IF(AND(ISNUMBER(M3399), ISNUMBER(I3399), I3399&gt;0), M3399/I3399, "")</f>
        <v/>
      </c>
    </row>
    <row r="3400">
      <c r="A3400" s="19" t="inlineStr">
        <is>
          <t>FY27</t>
        </is>
      </c>
      <c r="B3400" s="19" t="inlineStr">
        <is>
          <t>Aug</t>
        </is>
      </c>
      <c r="C3400" s="19" t="inlineStr">
        <is>
          <t>Kerala</t>
        </is>
      </c>
      <c r="D3400" s="20" t="inlineStr">
        <is>
          <t>KL61D4843</t>
        </is>
      </c>
      <c r="E3400" s="20" t="inlineStr">
        <is>
          <t>HYUNDAI</t>
        </is>
      </c>
      <c r="F3400" s="20" t="inlineStr">
        <is>
          <t>Eon</t>
        </is>
      </c>
      <c r="G3400" s="21" t="n">
        <v>2018</v>
      </c>
      <c r="H3400" s="22" t="n">
        <v>54777</v>
      </c>
      <c r="I3400" s="23" t="n">
        <v>187500</v>
      </c>
      <c r="J3400" s="20" t="inlineStr">
        <is>
          <t>MG FORTUNE</t>
        </is>
      </c>
      <c r="K3400" s="20" t="inlineStr">
        <is>
          <t>Non-Captive</t>
        </is>
      </c>
      <c r="L3400" s="20" t="inlineStr">
        <is>
          <t>AKHILNATH</t>
        </is>
      </c>
      <c r="M3400" s="23" t="n">
        <v>6356</v>
      </c>
      <c r="N3400" s="23" t="n">
        <v>7500</v>
      </c>
      <c r="O3400" s="24">
        <f>IF(AND(ISNUMBER(M3400), ISNUMBER(I3400), I3400&gt;0), M3400/I3400, "")</f>
        <v/>
      </c>
    </row>
    <row r="3401">
      <c r="A3401" s="19" t="inlineStr">
        <is>
          <t>FY27</t>
        </is>
      </c>
      <c r="B3401" s="19" t="inlineStr">
        <is>
          <t>Aug</t>
        </is>
      </c>
      <c r="C3401" s="19" t="inlineStr">
        <is>
          <t>Kerala</t>
        </is>
      </c>
      <c r="D3401" s="20" t="inlineStr">
        <is>
          <t>KL01BY1666</t>
        </is>
      </c>
      <c r="E3401" s="20" t="inlineStr">
        <is>
          <t>HYUNDAI</t>
        </is>
      </c>
      <c r="F3401" s="20" t="inlineStr">
        <is>
          <t>I 20</t>
        </is>
      </c>
      <c r="G3401" s="21" t="n">
        <v>2016</v>
      </c>
      <c r="H3401" s="22" t="n">
        <v>71582</v>
      </c>
      <c r="I3401" s="23" t="n">
        <v>340000</v>
      </c>
      <c r="J3401" s="20" t="inlineStr">
        <is>
          <t>INDUS MARUTI</t>
        </is>
      </c>
      <c r="K3401" s="20" t="inlineStr">
        <is>
          <t>Non-Captive</t>
        </is>
      </c>
      <c r="L3401" s="20" t="inlineStr">
        <is>
          <t>Muhammed  Hassan S</t>
        </is>
      </c>
      <c r="M3401" s="23" t="n">
        <v>8475</v>
      </c>
      <c r="N3401" s="23" t="n">
        <v>10000</v>
      </c>
      <c r="O3401" s="24">
        <f>IF(AND(ISNUMBER(M3401), ISNUMBER(I3401), I3401&gt;0), M3401/I3401, "")</f>
        <v/>
      </c>
    </row>
    <row r="3402">
      <c r="A3402" s="19" t="inlineStr">
        <is>
          <t>FY27</t>
        </is>
      </c>
      <c r="B3402" s="19" t="inlineStr">
        <is>
          <t>Aug</t>
        </is>
      </c>
      <c r="C3402" s="19" t="inlineStr">
        <is>
          <t>Kerala</t>
        </is>
      </c>
      <c r="D3402" s="20" t="inlineStr">
        <is>
          <t>KL16E3792</t>
        </is>
      </c>
      <c r="E3402" s="20" t="inlineStr">
        <is>
          <t>MARUTI SUZUKI</t>
        </is>
      </c>
      <c r="F3402" s="20" t="inlineStr">
        <is>
          <t>Wagon R</t>
        </is>
      </c>
      <c r="G3402" s="21" t="n">
        <v>2008</v>
      </c>
      <c r="H3402" s="22" t="n">
        <v>173000</v>
      </c>
      <c r="I3402" s="23" t="n">
        <v>46000</v>
      </c>
      <c r="J3402" s="20" t="inlineStr">
        <is>
          <t>INDUS MARUTI</t>
        </is>
      </c>
      <c r="K3402" s="20" t="inlineStr">
        <is>
          <t>Non-Captive</t>
        </is>
      </c>
      <c r="L3402" s="20" t="inlineStr">
        <is>
          <t>SHAHAR</t>
        </is>
      </c>
      <c r="M3402" s="23" t="n">
        <v>5085</v>
      </c>
      <c r="N3402" s="23" t="n">
        <v>6000</v>
      </c>
      <c r="O3402" s="24">
        <f>IF(AND(ISNUMBER(M3402), ISNUMBER(I3402), I3402&gt;0), M3402/I3402, "")</f>
        <v/>
      </c>
    </row>
    <row r="3403">
      <c r="A3403" s="19" t="inlineStr">
        <is>
          <t>FY27</t>
        </is>
      </c>
      <c r="B3403" s="19" t="inlineStr">
        <is>
          <t>Aug</t>
        </is>
      </c>
      <c r="C3403" s="19" t="inlineStr">
        <is>
          <t>Kerala</t>
        </is>
      </c>
      <c r="D3403" s="20" t="inlineStr">
        <is>
          <t>KL02AS1141</t>
        </is>
      </c>
      <c r="E3403" s="20" t="inlineStr">
        <is>
          <t>HYUNDAI</t>
        </is>
      </c>
      <c r="F3403" s="20" t="inlineStr">
        <is>
          <t>Eon</t>
        </is>
      </c>
      <c r="G3403" s="21" t="n">
        <v>2014</v>
      </c>
      <c r="H3403" s="22" t="n">
        <v>57228</v>
      </c>
      <c r="I3403" s="23" t="n">
        <v>132000</v>
      </c>
      <c r="J3403" s="20" t="inlineStr">
        <is>
          <t>POPULAR HYUNDAI</t>
        </is>
      </c>
      <c r="K3403" s="20" t="inlineStr">
        <is>
          <t>Non-Captive</t>
        </is>
      </c>
      <c r="L3403" s="20" t="inlineStr">
        <is>
          <t>MAXX MOTORS</t>
        </is>
      </c>
      <c r="M3403" s="23" t="n">
        <v>6780</v>
      </c>
      <c r="N3403" s="23" t="n">
        <v>8000</v>
      </c>
      <c r="O3403" s="24">
        <f>IF(AND(ISNUMBER(M3403), ISNUMBER(I3403), I3403&gt;0), M3403/I3403, "")</f>
        <v/>
      </c>
    </row>
    <row r="3404">
      <c r="A3404" s="19" t="inlineStr">
        <is>
          <t>FY27</t>
        </is>
      </c>
      <c r="B3404" s="19" t="inlineStr">
        <is>
          <t>Aug</t>
        </is>
      </c>
      <c r="C3404" s="19" t="inlineStr">
        <is>
          <t>Kerala</t>
        </is>
      </c>
      <c r="D3404" s="20" t="inlineStr">
        <is>
          <t>KL06F3470</t>
        </is>
      </c>
      <c r="E3404" s="20" t="inlineStr">
        <is>
          <t>MARUTI SUZUKI</t>
        </is>
      </c>
      <c r="F3404" s="20" t="inlineStr">
        <is>
          <t>Swift</t>
        </is>
      </c>
      <c r="G3404" s="21" t="n">
        <v>2012</v>
      </c>
      <c r="H3404" s="22" t="n">
        <v>299000</v>
      </c>
      <c r="I3404" s="23" t="n">
        <v>130000</v>
      </c>
      <c r="J3404" s="20" t="inlineStr">
        <is>
          <t>CARS24</t>
        </is>
      </c>
      <c r="K3404" s="20" t="inlineStr">
        <is>
          <t>Non-Captive</t>
        </is>
      </c>
      <c r="L3404" s="20" t="inlineStr">
        <is>
          <t>VTJ</t>
        </is>
      </c>
      <c r="M3404" s="23" t="n">
        <v>8475</v>
      </c>
      <c r="N3404" s="23" t="n">
        <v>10000</v>
      </c>
      <c r="O3404" s="24">
        <f>IF(AND(ISNUMBER(M3404), ISNUMBER(I3404), I3404&gt;0), M3404/I3404, "")</f>
        <v/>
      </c>
    </row>
    <row r="3405">
      <c r="A3405" s="19" t="inlineStr">
        <is>
          <t>FY27</t>
        </is>
      </c>
      <c r="B3405" s="19" t="inlineStr">
        <is>
          <t>Aug</t>
        </is>
      </c>
      <c r="C3405" s="19" t="inlineStr">
        <is>
          <t>Kerala</t>
        </is>
      </c>
      <c r="D3405" s="20" t="inlineStr">
        <is>
          <t>KL46X3888</t>
        </is>
      </c>
      <c r="E3405" s="20" t="inlineStr">
        <is>
          <t>TATA</t>
        </is>
      </c>
      <c r="F3405" s="20" t="inlineStr">
        <is>
          <t>Punch</t>
        </is>
      </c>
      <c r="G3405" s="21" t="n">
        <v>2022</v>
      </c>
      <c r="H3405" s="22" t="n">
        <v>27342</v>
      </c>
      <c r="I3405" s="23" t="n">
        <v>535000</v>
      </c>
      <c r="J3405" s="20" t="inlineStr">
        <is>
          <t>AUTOMOTIVE</t>
        </is>
      </c>
      <c r="K3405" s="20" t="inlineStr">
        <is>
          <t>Non-Captive</t>
        </is>
      </c>
      <c r="L3405" s="20" t="inlineStr">
        <is>
          <t>AITOS CARS</t>
        </is>
      </c>
      <c r="M3405" s="23" t="n">
        <v>8475</v>
      </c>
      <c r="N3405" s="23" t="n">
        <v>10000</v>
      </c>
      <c r="O3405" s="24">
        <f>IF(AND(ISNUMBER(M3405), ISNUMBER(I3405), I3405&gt;0), M3405/I3405, "")</f>
        <v/>
      </c>
    </row>
    <row r="3406">
      <c r="A3406" s="19" t="inlineStr">
        <is>
          <t>FY27</t>
        </is>
      </c>
      <c r="B3406" s="19" t="inlineStr">
        <is>
          <t>Aug</t>
        </is>
      </c>
      <c r="C3406" s="19" t="inlineStr">
        <is>
          <t>Kerala</t>
        </is>
      </c>
      <c r="D3406" s="20" t="inlineStr">
        <is>
          <t>KL08CB0140</t>
        </is>
      </c>
      <c r="E3406" s="20" t="inlineStr">
        <is>
          <t>MARUTI SUZUKI</t>
        </is>
      </c>
      <c r="F3406" s="20" t="inlineStr">
        <is>
          <t>Wagon R</t>
        </is>
      </c>
      <c r="G3406" s="21" t="n">
        <v>2023</v>
      </c>
      <c r="H3406" s="22" t="n">
        <v>16911</v>
      </c>
      <c r="I3406" s="23" t="n">
        <v>582500</v>
      </c>
      <c r="J3406" s="20" t="inlineStr">
        <is>
          <t>AMANA TOYOTA</t>
        </is>
      </c>
      <c r="K3406" s="20" t="inlineStr">
        <is>
          <t>Non-Captive</t>
        </is>
      </c>
      <c r="L3406" s="20" t="inlineStr">
        <is>
          <t>AITOS CARS</t>
        </is>
      </c>
      <c r="M3406" s="23" t="n">
        <v>10593</v>
      </c>
      <c r="N3406" s="23" t="n">
        <v>12500</v>
      </c>
      <c r="O3406" s="24">
        <f>IF(AND(ISNUMBER(M3406), ISNUMBER(I3406), I3406&gt;0), M3406/I3406, "")</f>
        <v/>
      </c>
    </row>
    <row r="3407">
      <c r="A3407" s="19" t="inlineStr">
        <is>
          <t>FY27</t>
        </is>
      </c>
      <c r="B3407" s="19" t="inlineStr">
        <is>
          <t>Aug</t>
        </is>
      </c>
      <c r="C3407" s="19" t="inlineStr">
        <is>
          <t>Kerala</t>
        </is>
      </c>
      <c r="D3407" s="20" t="inlineStr">
        <is>
          <t>KL07DE6364</t>
        </is>
      </c>
      <c r="E3407" s="20" t="inlineStr">
        <is>
          <t>TOYOTA</t>
        </is>
      </c>
      <c r="F3407" s="20" t="inlineStr">
        <is>
          <t>Hyryder</t>
        </is>
      </c>
      <c r="G3407" s="21" t="n">
        <v>2024</v>
      </c>
      <c r="H3407" s="22" t="n">
        <v>17189</v>
      </c>
      <c r="I3407" s="23" t="n">
        <v>1790000</v>
      </c>
      <c r="J3407" s="20" t="inlineStr">
        <is>
          <t>KESHVIN HYUNDAI</t>
        </is>
      </c>
      <c r="K3407" s="20" t="inlineStr">
        <is>
          <t>Non-Captive</t>
        </is>
      </c>
      <c r="L3407" s="20" t="inlineStr">
        <is>
          <t>ABDUL SALAM P U</t>
        </is>
      </c>
      <c r="M3407" s="23" t="n">
        <v>16949</v>
      </c>
      <c r="N3407" s="23" t="n">
        <v>20000</v>
      </c>
      <c r="O3407" s="24">
        <f>IF(AND(ISNUMBER(M3407), ISNUMBER(I3407), I3407&gt;0), M3407/I3407, "")</f>
        <v/>
      </c>
    </row>
    <row r="3408">
      <c r="A3408" s="19" t="inlineStr">
        <is>
          <t>FY27</t>
        </is>
      </c>
      <c r="B3408" s="19" t="inlineStr">
        <is>
          <t>Aug</t>
        </is>
      </c>
      <c r="C3408" s="19" t="inlineStr">
        <is>
          <t>Kerala</t>
        </is>
      </c>
      <c r="D3408" s="20" t="inlineStr">
        <is>
          <t>KL06J8686</t>
        </is>
      </c>
      <c r="E3408" s="20" t="inlineStr">
        <is>
          <t>RENAULT</t>
        </is>
      </c>
      <c r="F3408" s="20" t="inlineStr">
        <is>
          <t>Kwid</t>
        </is>
      </c>
      <c r="G3408" s="21" t="n">
        <v>2018</v>
      </c>
      <c r="H3408" s="22" t="n">
        <v>43158</v>
      </c>
      <c r="I3408" s="23" t="n">
        <v>285000</v>
      </c>
      <c r="J3408" s="20" t="inlineStr">
        <is>
          <t>POPULAR HYUNDAI</t>
        </is>
      </c>
      <c r="K3408" s="20" t="inlineStr">
        <is>
          <t>Non-Captive</t>
        </is>
      </c>
      <c r="L3408" s="20" t="inlineStr">
        <is>
          <t>GREEN LIGHT PRE OWNED CARS-MANOJ K</t>
        </is>
      </c>
      <c r="M3408" s="23" t="n">
        <v>8475</v>
      </c>
      <c r="N3408" s="23" t="n">
        <v>10000</v>
      </c>
      <c r="O3408" s="24">
        <f>IF(AND(ISNUMBER(M3408), ISNUMBER(I3408), I3408&gt;0), M3408/I3408, "")</f>
        <v/>
      </c>
    </row>
    <row r="3409">
      <c r="A3409" s="19" t="inlineStr">
        <is>
          <t>FY27</t>
        </is>
      </c>
      <c r="B3409" s="19" t="inlineStr">
        <is>
          <t>Aug</t>
        </is>
      </c>
      <c r="C3409" s="19" t="inlineStr">
        <is>
          <t>Kerala</t>
        </is>
      </c>
      <c r="D3409" s="20" t="inlineStr">
        <is>
          <t>KL05AZ6325</t>
        </is>
      </c>
      <c r="E3409" s="20" t="inlineStr">
        <is>
          <t>HYUNDAI</t>
        </is>
      </c>
      <c r="F3409" s="20" t="inlineStr">
        <is>
          <t>Neos</t>
        </is>
      </c>
      <c r="G3409" s="21" t="n">
        <v>2022</v>
      </c>
      <c r="H3409" s="22" t="n">
        <v>66545</v>
      </c>
      <c r="I3409" s="23" t="n">
        <v>455800</v>
      </c>
      <c r="J3409" s="20" t="inlineStr">
        <is>
          <t>ANAS VH</t>
        </is>
      </c>
      <c r="K3409" s="20" t="inlineStr">
        <is>
          <t>Non-Captive</t>
        </is>
      </c>
      <c r="L3409" s="20" t="inlineStr">
        <is>
          <t>POPULAR MARUTI KTM</t>
        </is>
      </c>
      <c r="M3409" s="23" t="n">
        <v>5000</v>
      </c>
      <c r="N3409" s="23" t="n">
        <v>5900</v>
      </c>
      <c r="O3409" s="24">
        <f>IF(AND(ISNUMBER(M3409), ISNUMBER(I3409), I3409&gt;0), M3409/I3409, "")</f>
        <v/>
      </c>
    </row>
    <row r="3410">
      <c r="A3410" s="19" t="inlineStr">
        <is>
          <t>FY27</t>
        </is>
      </c>
      <c r="B3410" s="19" t="inlineStr">
        <is>
          <t>Aug</t>
        </is>
      </c>
      <c r="C3410" s="19" t="inlineStr">
        <is>
          <t>Kerala</t>
        </is>
      </c>
      <c r="D3410" s="20" t="inlineStr">
        <is>
          <t>KL16F6979</t>
        </is>
      </c>
      <c r="E3410" s="20" t="inlineStr">
        <is>
          <t>HONDA</t>
        </is>
      </c>
      <c r="F3410" s="20" t="inlineStr">
        <is>
          <t>City</t>
        </is>
      </c>
      <c r="G3410" s="21" t="n">
        <v>2010</v>
      </c>
      <c r="H3410" s="22" t="n">
        <v>1654435</v>
      </c>
      <c r="I3410" s="23" t="n">
        <v>90000</v>
      </c>
      <c r="J3410" s="20" t="inlineStr">
        <is>
          <t>POPULAR MARUTI</t>
        </is>
      </c>
      <c r="K3410" s="20" t="inlineStr">
        <is>
          <t>Non-Captive</t>
        </is>
      </c>
      <c r="L3410" s="20" t="inlineStr">
        <is>
          <t>SAIF RASHEED</t>
        </is>
      </c>
      <c r="M3410" s="23" t="n">
        <v>12712</v>
      </c>
      <c r="N3410" s="23" t="n">
        <v>15000</v>
      </c>
      <c r="O3410" s="24">
        <f>IF(AND(ISNUMBER(M3410), ISNUMBER(I3410), I3410&gt;0), M3410/I3410, "")</f>
        <v/>
      </c>
    </row>
    <row r="3411">
      <c r="A3411" s="19" t="inlineStr">
        <is>
          <t>FY27</t>
        </is>
      </c>
      <c r="B3411" s="19" t="inlineStr">
        <is>
          <t>Aug</t>
        </is>
      </c>
      <c r="C3411" s="19" t="inlineStr">
        <is>
          <t>Kerala</t>
        </is>
      </c>
      <c r="D3411" s="20" t="inlineStr">
        <is>
          <t>KL11AB8791</t>
        </is>
      </c>
      <c r="E3411" s="20" t="inlineStr">
        <is>
          <t>HYUNDAI</t>
        </is>
      </c>
      <c r="F3411" s="20" t="inlineStr">
        <is>
          <t>Santro</t>
        </is>
      </c>
      <c r="G3411" s="21" t="n"/>
      <c r="H3411" s="22" t="n">
        <v>122000</v>
      </c>
      <c r="I3411" s="23" t="n">
        <v>55000</v>
      </c>
      <c r="J3411" s="20" t="inlineStr">
        <is>
          <t>BIMAL</t>
        </is>
      </c>
      <c r="K3411" s="20" t="inlineStr">
        <is>
          <t>Non-Captive</t>
        </is>
      </c>
      <c r="L3411" s="20" t="inlineStr">
        <is>
          <t>Binillal M P</t>
        </is>
      </c>
      <c r="M3411" s="23" t="n">
        <v>4237</v>
      </c>
      <c r="N3411" s="23" t="n">
        <v>5000</v>
      </c>
      <c r="O3411" s="24">
        <f>IF(AND(ISNUMBER(M3411), ISNUMBER(I3411), I3411&gt;0), M3411/I3411, "")</f>
        <v/>
      </c>
    </row>
    <row r="3412">
      <c r="A3412" s="19" t="inlineStr">
        <is>
          <t>FY27</t>
        </is>
      </c>
      <c r="B3412" s="19" t="inlineStr">
        <is>
          <t>Aug</t>
        </is>
      </c>
      <c r="C3412" s="19" t="inlineStr">
        <is>
          <t>Kerala</t>
        </is>
      </c>
      <c r="D3412" s="20" t="inlineStr">
        <is>
          <t>KL57L8628</t>
        </is>
      </c>
      <c r="E3412" s="20" t="inlineStr">
        <is>
          <t>MARUTI SUZUKI</t>
        </is>
      </c>
      <c r="F3412" s="20" t="inlineStr">
        <is>
          <t>Wagonr</t>
        </is>
      </c>
      <c r="G3412" s="21" t="n"/>
      <c r="H3412" s="22" t="n">
        <v>71900</v>
      </c>
      <c r="I3412" s="23" t="n">
        <v>285000</v>
      </c>
      <c r="J3412" s="20" t="inlineStr">
        <is>
          <t>BIMAL</t>
        </is>
      </c>
      <c r="K3412" s="20" t="inlineStr">
        <is>
          <t>Non-Captive</t>
        </is>
      </c>
      <c r="L3412" s="20" t="inlineStr">
        <is>
          <t>Muhammed Nisab</t>
        </is>
      </c>
      <c r="M3412" s="23" t="n">
        <v>8475</v>
      </c>
      <c r="N3412" s="23" t="n">
        <v>10000</v>
      </c>
      <c r="O3412" s="24">
        <f>IF(AND(ISNUMBER(M3412), ISNUMBER(I3412), I3412&gt;0), M3412/I3412, "")</f>
        <v/>
      </c>
    </row>
    <row r="3413">
      <c r="A3413" s="19" t="inlineStr">
        <is>
          <t>FY27</t>
        </is>
      </c>
      <c r="B3413" s="19" t="inlineStr">
        <is>
          <t>Aug</t>
        </is>
      </c>
      <c r="C3413" s="19" t="inlineStr">
        <is>
          <t>Kerala</t>
        </is>
      </c>
      <c r="D3413" s="20" t="inlineStr">
        <is>
          <t>KL11AB3312</t>
        </is>
      </c>
      <c r="E3413" s="20" t="inlineStr">
        <is>
          <t>CHEVROLET</t>
        </is>
      </c>
      <c r="F3413" s="20" t="inlineStr">
        <is>
          <t>Spark</t>
        </is>
      </c>
      <c r="G3413" s="21" t="n"/>
      <c r="H3413" s="22" t="n">
        <v>130000</v>
      </c>
      <c r="I3413" s="23" t="n">
        <v>13000</v>
      </c>
      <c r="J3413" s="20" t="inlineStr">
        <is>
          <t>POPULAR</t>
        </is>
      </c>
      <c r="K3413" s="20" t="inlineStr">
        <is>
          <t>Non-Captive</t>
        </is>
      </c>
      <c r="L3413" s="20" t="inlineStr">
        <is>
          <t>AUTOTRUST</t>
        </is>
      </c>
      <c r="M3413" s="23" t="n">
        <v>5085</v>
      </c>
      <c r="N3413" s="23" t="n">
        <v>6000</v>
      </c>
      <c r="O3413" s="24">
        <f>IF(AND(ISNUMBER(M3413), ISNUMBER(I3413), I3413&gt;0), M3413/I3413, "")</f>
        <v/>
      </c>
    </row>
    <row r="3414">
      <c r="A3414" s="19" t="inlineStr">
        <is>
          <t>FY27</t>
        </is>
      </c>
      <c r="B3414" s="19" t="inlineStr">
        <is>
          <t>Aug</t>
        </is>
      </c>
      <c r="C3414" s="19" t="inlineStr">
        <is>
          <t>Kerala</t>
        </is>
      </c>
      <c r="D3414" s="20" t="inlineStr">
        <is>
          <t>KL11H8408</t>
        </is>
      </c>
      <c r="E3414" s="20" t="inlineStr">
        <is>
          <t>MARUTI SUZUKI</t>
        </is>
      </c>
      <c r="F3414" s="20" t="inlineStr">
        <is>
          <t>M800</t>
        </is>
      </c>
      <c r="G3414" s="21" t="n"/>
      <c r="H3414" s="22" t="n">
        <v>150000</v>
      </c>
      <c r="I3414" s="23" t="n">
        <v>13000</v>
      </c>
      <c r="J3414" s="20" t="inlineStr">
        <is>
          <t>POPULAR</t>
        </is>
      </c>
      <c r="K3414" s="20" t="inlineStr">
        <is>
          <t>Non-Captive</t>
        </is>
      </c>
      <c r="L3414" s="20" t="inlineStr">
        <is>
          <t>AUTOTRUST</t>
        </is>
      </c>
      <c r="M3414" s="23" t="n">
        <v>5085</v>
      </c>
      <c r="N3414" s="23" t="n">
        <v>6000</v>
      </c>
      <c r="O3414" s="24">
        <f>IF(AND(ISNUMBER(M3414), ISNUMBER(I3414), I3414&gt;0), M3414/I3414, "")</f>
        <v/>
      </c>
    </row>
    <row r="3415">
      <c r="A3415" s="19" t="inlineStr">
        <is>
          <t>FY27</t>
        </is>
      </c>
      <c r="B3415" s="19" t="inlineStr">
        <is>
          <t>Aug</t>
        </is>
      </c>
      <c r="C3415" s="19" t="inlineStr">
        <is>
          <t>Kerala</t>
        </is>
      </c>
      <c r="D3415" s="20" t="inlineStr">
        <is>
          <t>KL56E2645</t>
        </is>
      </c>
      <c r="E3415" s="20" t="inlineStr">
        <is>
          <t>HYUNDAI</t>
        </is>
      </c>
      <c r="F3415" s="20" t="inlineStr">
        <is>
          <t>Eon</t>
        </is>
      </c>
      <c r="G3415" s="21" t="n">
        <v>2012</v>
      </c>
      <c r="H3415" s="22" t="n">
        <v>65000</v>
      </c>
      <c r="I3415" s="23" t="n">
        <v>75000</v>
      </c>
      <c r="J3415" s="20" t="inlineStr">
        <is>
          <t>POPULAR MARUTI</t>
        </is>
      </c>
      <c r="K3415" s="20" t="inlineStr">
        <is>
          <t>Non-Captive</t>
        </is>
      </c>
      <c r="L3415" s="20" t="inlineStr">
        <is>
          <t>SANOOP K M</t>
        </is>
      </c>
      <c r="M3415" s="23" t="n">
        <v>8475</v>
      </c>
      <c r="N3415" s="23" t="n">
        <v>10000</v>
      </c>
      <c r="O3415" s="24">
        <f>IF(AND(ISNUMBER(M3415), ISNUMBER(I3415), I3415&gt;0), M3415/I3415, "")</f>
        <v/>
      </c>
    </row>
    <row r="3416">
      <c r="A3416" s="19" t="inlineStr">
        <is>
          <t>FY27</t>
        </is>
      </c>
      <c r="B3416" s="19" t="inlineStr">
        <is>
          <t>Aug</t>
        </is>
      </c>
      <c r="C3416" s="19" t="inlineStr">
        <is>
          <t>Kerala</t>
        </is>
      </c>
      <c r="D3416" s="20" t="inlineStr">
        <is>
          <t>KL11BK1144</t>
        </is>
      </c>
      <c r="E3416" s="20" t="inlineStr">
        <is>
          <t>RENAULT</t>
        </is>
      </c>
      <c r="F3416" s="20" t="inlineStr">
        <is>
          <t>Duster</t>
        </is>
      </c>
      <c r="G3416" s="21" t="n">
        <v>2017</v>
      </c>
      <c r="H3416" s="22" t="n">
        <v>64000</v>
      </c>
      <c r="I3416" s="23" t="n">
        <v>553000</v>
      </c>
      <c r="J3416" s="20" t="inlineStr">
        <is>
          <t>ERAM MAHINDRA</t>
        </is>
      </c>
      <c r="K3416" s="20" t="inlineStr">
        <is>
          <t>Non-Captive</t>
        </is>
      </c>
      <c r="L3416" s="20" t="inlineStr">
        <is>
          <t>SANOOP K M</t>
        </is>
      </c>
      <c r="M3416" s="23" t="n">
        <v>6780</v>
      </c>
      <c r="N3416" s="23" t="n">
        <v>8000</v>
      </c>
      <c r="O3416" s="24">
        <f>IF(AND(ISNUMBER(M3416), ISNUMBER(I3416), I3416&gt;0), M3416/I3416, "")</f>
        <v/>
      </c>
    </row>
    <row r="3417">
      <c r="A3417" s="19" t="inlineStr">
        <is>
          <t>FY27</t>
        </is>
      </c>
      <c r="B3417" s="19" t="inlineStr">
        <is>
          <t>Aug</t>
        </is>
      </c>
      <c r="C3417" s="19" t="inlineStr">
        <is>
          <t>Kerala</t>
        </is>
      </c>
      <c r="D3417" s="20" t="inlineStr">
        <is>
          <t>KL11AN5206</t>
        </is>
      </c>
      <c r="E3417" s="20" t="inlineStr">
        <is>
          <t>MARUTI SUZUKI</t>
        </is>
      </c>
      <c r="F3417" s="20" t="inlineStr">
        <is>
          <t>Alto</t>
        </is>
      </c>
      <c r="G3417" s="21" t="n">
        <v>2012</v>
      </c>
      <c r="H3417" s="22" t="n">
        <v>92000</v>
      </c>
      <c r="I3417" s="23" t="n">
        <v>101000</v>
      </c>
      <c r="J3417" s="20" t="inlineStr">
        <is>
          <t>POPULAR MARUTI</t>
        </is>
      </c>
      <c r="K3417" s="20" t="inlineStr">
        <is>
          <t>Non-Captive</t>
        </is>
      </c>
      <c r="L3417" s="20" t="inlineStr">
        <is>
          <t>Mohammed Asalam K</t>
        </is>
      </c>
      <c r="M3417" s="23" t="n">
        <v>9322</v>
      </c>
      <c r="N3417" s="23" t="n">
        <v>11000</v>
      </c>
      <c r="O3417" s="24">
        <f>IF(AND(ISNUMBER(M3417), ISNUMBER(I3417), I3417&gt;0), M3417/I3417, "")</f>
        <v/>
      </c>
    </row>
    <row r="3418">
      <c r="A3418" s="19" t="inlineStr">
        <is>
          <t>FY27</t>
        </is>
      </c>
      <c r="B3418" s="19" t="inlineStr">
        <is>
          <t>Aug</t>
        </is>
      </c>
      <c r="C3418" s="19" t="inlineStr">
        <is>
          <t>Kerala</t>
        </is>
      </c>
      <c r="D3418" s="20" t="inlineStr">
        <is>
          <t>KL11AU1320</t>
        </is>
      </c>
      <c r="E3418" s="20" t="inlineStr">
        <is>
          <t>MARUTI SUZUKI</t>
        </is>
      </c>
      <c r="F3418" s="20" t="inlineStr">
        <is>
          <t>Alto800</t>
        </is>
      </c>
      <c r="G3418" s="21" t="n">
        <v>2013</v>
      </c>
      <c r="H3418" s="22" t="n">
        <v>67000</v>
      </c>
      <c r="I3418" s="23" t="n">
        <v>144400</v>
      </c>
      <c r="J3418" s="20" t="inlineStr">
        <is>
          <t>POPULAR MARUTI</t>
        </is>
      </c>
      <c r="K3418" s="20" t="inlineStr">
        <is>
          <t>Non-Captive</t>
        </is>
      </c>
      <c r="L3418" s="20" t="inlineStr">
        <is>
          <t>CAR ONE USED CARS-LATHEEF</t>
        </is>
      </c>
      <c r="M3418" s="23" t="n">
        <v>7966</v>
      </c>
      <c r="N3418" s="23" t="n">
        <v>9400</v>
      </c>
      <c r="O3418" s="24">
        <f>IF(AND(ISNUMBER(M3418), ISNUMBER(I3418), I3418&gt;0), M3418/I3418, "")</f>
        <v/>
      </c>
    </row>
    <row r="3419">
      <c r="A3419" s="19" t="inlineStr">
        <is>
          <t>FY27</t>
        </is>
      </c>
      <c r="B3419" s="19" t="inlineStr">
        <is>
          <t>Aug</t>
        </is>
      </c>
      <c r="C3419" s="19" t="inlineStr">
        <is>
          <t>Kerala</t>
        </is>
      </c>
      <c r="D3419" s="20" t="inlineStr">
        <is>
          <t>KL59Q8815</t>
        </is>
      </c>
      <c r="E3419" s="20" t="inlineStr">
        <is>
          <t>MARUTI SUZUKI</t>
        </is>
      </c>
      <c r="F3419" s="20" t="inlineStr">
        <is>
          <t>Swiftlxi</t>
        </is>
      </c>
      <c r="G3419" s="21" t="n">
        <v>2017</v>
      </c>
      <c r="H3419" s="22" t="n">
        <v>99000</v>
      </c>
      <c r="I3419" s="23" t="n">
        <v>385000</v>
      </c>
      <c r="J3419" s="20" t="inlineStr">
        <is>
          <t>DKH KIA</t>
        </is>
      </c>
      <c r="K3419" s="20" t="inlineStr">
        <is>
          <t>Non-Captive</t>
        </is>
      </c>
      <c r="L3419" s="20" t="inlineStr">
        <is>
          <t>AKHIL K</t>
        </is>
      </c>
      <c r="M3419" s="23" t="n">
        <v>4237</v>
      </c>
      <c r="N3419" s="23" t="n">
        <v>5000</v>
      </c>
      <c r="O3419" s="24">
        <f>IF(AND(ISNUMBER(M3419), ISNUMBER(I3419), I3419&gt;0), M3419/I3419, "")</f>
        <v/>
      </c>
    </row>
    <row r="3420">
      <c r="A3420" s="19" t="inlineStr">
        <is>
          <t>FY27</t>
        </is>
      </c>
      <c r="B3420" s="19" t="inlineStr">
        <is>
          <t>Aug</t>
        </is>
      </c>
      <c r="C3420" s="19" t="inlineStr">
        <is>
          <t>Kerala</t>
        </is>
      </c>
      <c r="D3420" s="20" t="inlineStr">
        <is>
          <t>KL13AE7594</t>
        </is>
      </c>
      <c r="E3420" s="20" t="inlineStr">
        <is>
          <t>MARUTI SUZUKI</t>
        </is>
      </c>
      <c r="F3420" s="20" t="inlineStr">
        <is>
          <t>Wagonr</t>
        </is>
      </c>
      <c r="G3420" s="21" t="n">
        <v>2015</v>
      </c>
      <c r="H3420" s="22" t="n">
        <v>102000</v>
      </c>
      <c r="I3420" s="23" t="n">
        <v>240000</v>
      </c>
      <c r="J3420" s="20" t="inlineStr">
        <is>
          <t>KVR TATA</t>
        </is>
      </c>
      <c r="K3420" s="20" t="inlineStr">
        <is>
          <t>Non-Captive</t>
        </is>
      </c>
      <c r="L3420" s="20" t="inlineStr">
        <is>
          <t>ABIJITH V K</t>
        </is>
      </c>
      <c r="M3420" s="23" t="n">
        <v>4237</v>
      </c>
      <c r="N3420" s="23" t="n">
        <v>5000</v>
      </c>
      <c r="O3420" s="24">
        <f>IF(AND(ISNUMBER(M3420), ISNUMBER(I3420), I3420&gt;0), M3420/I3420, "")</f>
        <v/>
      </c>
    </row>
    <row r="3421">
      <c r="A3421" s="19" t="inlineStr">
        <is>
          <t>FY27</t>
        </is>
      </c>
      <c r="B3421" s="19" t="inlineStr">
        <is>
          <t>Aug</t>
        </is>
      </c>
      <c r="C3421" s="19" t="inlineStr">
        <is>
          <t>Kerala</t>
        </is>
      </c>
      <c r="D3421" s="20" t="inlineStr">
        <is>
          <t>KL11AE5833</t>
        </is>
      </c>
      <c r="E3421" s="20" t="inlineStr">
        <is>
          <t>MARUTI SUZUKI</t>
        </is>
      </c>
      <c r="F3421" s="20" t="inlineStr">
        <is>
          <t>Alto</t>
        </is>
      </c>
      <c r="G3421" s="21" t="n">
        <v>2010</v>
      </c>
      <c r="H3421" s="22" t="n">
        <v>80000</v>
      </c>
      <c r="I3421" s="23" t="n">
        <v>88000</v>
      </c>
      <c r="J3421" s="20" t="inlineStr">
        <is>
          <t>POPULAR MARUTI</t>
        </is>
      </c>
      <c r="K3421" s="20" t="inlineStr">
        <is>
          <t>Non-Captive</t>
        </is>
      </c>
      <c r="L3421" s="20" t="inlineStr">
        <is>
          <t>NIZAMUDEEN P K</t>
        </is>
      </c>
      <c r="M3421" s="23" t="n">
        <v>6780</v>
      </c>
      <c r="N3421" s="23" t="n">
        <v>8000</v>
      </c>
      <c r="O3421" s="24">
        <f>IF(AND(ISNUMBER(M3421), ISNUMBER(I3421), I3421&gt;0), M3421/I3421, "")</f>
        <v/>
      </c>
    </row>
    <row r="3422">
      <c r="A3422" s="19" t="inlineStr">
        <is>
          <t>FY27</t>
        </is>
      </c>
      <c r="B3422" s="19" t="inlineStr">
        <is>
          <t>Aug</t>
        </is>
      </c>
      <c r="C3422" s="19" t="inlineStr">
        <is>
          <t>Kerala</t>
        </is>
      </c>
      <c r="D3422" s="20" t="inlineStr">
        <is>
          <t>KL70E8465</t>
        </is>
      </c>
      <c r="E3422" s="20" t="inlineStr">
        <is>
          <t>HYUNDAI</t>
        </is>
      </c>
      <c r="F3422" s="20" t="inlineStr">
        <is>
          <t>Venue</t>
        </is>
      </c>
      <c r="G3422" s="21" t="n">
        <v>2019</v>
      </c>
      <c r="H3422" s="22" t="n">
        <v>109000</v>
      </c>
      <c r="I3422" s="23" t="n">
        <v>460000</v>
      </c>
      <c r="J3422" s="20" t="inlineStr">
        <is>
          <t>PINNACLE MOTORS</t>
        </is>
      </c>
      <c r="K3422" s="20" t="inlineStr">
        <is>
          <t>Non-Captive</t>
        </is>
      </c>
      <c r="L3422" s="20" t="inlineStr">
        <is>
          <t>JAMSHEER</t>
        </is>
      </c>
      <c r="M3422" s="23" t="n">
        <v>8475</v>
      </c>
      <c r="N3422" s="23" t="n">
        <v>10000</v>
      </c>
      <c r="O3422" s="24">
        <f>IF(AND(ISNUMBER(M3422), ISNUMBER(I3422), I3422&gt;0), M3422/I3422, "")</f>
        <v/>
      </c>
    </row>
    <row r="3423">
      <c r="A3423" s="19" t="inlineStr">
        <is>
          <t>FY27</t>
        </is>
      </c>
      <c r="B3423" s="19" t="inlineStr">
        <is>
          <t>Aug</t>
        </is>
      </c>
      <c r="C3423" s="19" t="inlineStr">
        <is>
          <t>Kerala</t>
        </is>
      </c>
      <c r="D3423" s="20" t="inlineStr">
        <is>
          <t>KL632343</t>
        </is>
      </c>
      <c r="E3423" s="20" t="inlineStr">
        <is>
          <t>FORD</t>
        </is>
      </c>
      <c r="F3423" s="20" t="inlineStr">
        <is>
          <t>Figo</t>
        </is>
      </c>
      <c r="G3423" s="21" t="n">
        <v>2011</v>
      </c>
      <c r="H3423" s="22" t="n">
        <v>167910</v>
      </c>
      <c r="I3423" s="23" t="n">
        <v>100000</v>
      </c>
      <c r="J3423" s="20" t="inlineStr">
        <is>
          <t>CARS24</t>
        </is>
      </c>
      <c r="K3423" s="20" t="inlineStr">
        <is>
          <t>Non-Captive</t>
        </is>
      </c>
      <c r="L3423" s="20" t="inlineStr">
        <is>
          <t>VTJ</t>
        </is>
      </c>
      <c r="M3423" s="23" t="n">
        <v>8475</v>
      </c>
      <c r="N3423" s="23" t="n">
        <v>10000</v>
      </c>
      <c r="O3423" s="24">
        <f>IF(AND(ISNUMBER(M3423), ISNUMBER(I3423), I3423&gt;0), M3423/I3423, "")</f>
        <v/>
      </c>
    </row>
    <row r="3424">
      <c r="A3424" s="19" t="inlineStr">
        <is>
          <t>FY27</t>
        </is>
      </c>
      <c r="B3424" s="19" t="inlineStr">
        <is>
          <t>Aug</t>
        </is>
      </c>
      <c r="C3424" s="19" t="inlineStr">
        <is>
          <t>Kerala</t>
        </is>
      </c>
      <c r="D3424" s="20" t="inlineStr">
        <is>
          <t>KL40Q0815</t>
        </is>
      </c>
      <c r="E3424" s="20" t="inlineStr">
        <is>
          <t>RENAULT</t>
        </is>
      </c>
      <c r="F3424" s="20" t="inlineStr">
        <is>
          <t>Kwid</t>
        </is>
      </c>
      <c r="G3424" s="21" t="n">
        <v>2018</v>
      </c>
      <c r="H3424" s="22" t="n">
        <v>69543</v>
      </c>
      <c r="I3424" s="23" t="n">
        <v>190000</v>
      </c>
      <c r="J3424" s="20" t="inlineStr">
        <is>
          <t>EVM SKODA</t>
        </is>
      </c>
      <c r="K3424" s="20" t="inlineStr">
        <is>
          <t>Non-Captive</t>
        </is>
      </c>
      <c r="L3424" s="20" t="inlineStr">
        <is>
          <t>RAFEEK T A</t>
        </is>
      </c>
      <c r="M3424" s="23" t="n">
        <v>8475</v>
      </c>
      <c r="N3424" s="23" t="n">
        <v>10000</v>
      </c>
      <c r="O3424" s="24">
        <f>IF(AND(ISNUMBER(M3424), ISNUMBER(I3424), I3424&gt;0), M3424/I3424, "")</f>
        <v/>
      </c>
    </row>
    <row r="3425">
      <c r="A3425" s="19" t="inlineStr">
        <is>
          <t>FY27</t>
        </is>
      </c>
      <c r="B3425" s="19" t="inlineStr">
        <is>
          <t>Aug</t>
        </is>
      </c>
      <c r="C3425" s="19" t="inlineStr">
        <is>
          <t>Kerala</t>
        </is>
      </c>
      <c r="D3425" s="20" t="inlineStr">
        <is>
          <t>KL34C7579</t>
        </is>
      </c>
      <c r="E3425" s="20" t="inlineStr">
        <is>
          <t>MARUTI SUZUKI</t>
        </is>
      </c>
      <c r="F3425" s="20" t="inlineStr">
        <is>
          <t>Alto K10</t>
        </is>
      </c>
      <c r="G3425" s="21" t="n">
        <v>2014</v>
      </c>
      <c r="H3425" s="22" t="n">
        <v>45317</v>
      </c>
      <c r="I3425" s="23" t="n">
        <v>165000</v>
      </c>
      <c r="J3425" s="20" t="inlineStr">
        <is>
          <t>ALBIN</t>
        </is>
      </c>
      <c r="K3425" s="20" t="inlineStr">
        <is>
          <t>Non-Captive</t>
        </is>
      </c>
      <c r="L3425" s="20" t="inlineStr">
        <is>
          <t>DREAM DRIVE</t>
        </is>
      </c>
      <c r="M3425" s="23" t="n">
        <v>8475</v>
      </c>
      <c r="N3425" s="23" t="n">
        <v>10000</v>
      </c>
      <c r="O3425" s="24">
        <f>IF(AND(ISNUMBER(M3425), ISNUMBER(I3425), I3425&gt;0), M3425/I3425, "")</f>
        <v/>
      </c>
    </row>
    <row r="3426">
      <c r="A3426" s="19" t="inlineStr">
        <is>
          <t>FY27</t>
        </is>
      </c>
      <c r="B3426" s="19" t="inlineStr">
        <is>
          <t>Aug</t>
        </is>
      </c>
      <c r="C3426" s="19" t="inlineStr">
        <is>
          <t>Kerala</t>
        </is>
      </c>
      <c r="D3426" s="20" t="inlineStr">
        <is>
          <t>KL60B9539</t>
        </is>
      </c>
      <c r="E3426" s="20" t="inlineStr">
        <is>
          <t>MARUTI SUZUKI</t>
        </is>
      </c>
      <c r="F3426" s="20" t="inlineStr">
        <is>
          <t>Alto</t>
        </is>
      </c>
      <c r="G3426" s="21" t="n">
        <v>2010</v>
      </c>
      <c r="H3426" s="22" t="n">
        <v>99000</v>
      </c>
      <c r="I3426" s="23" t="n">
        <v>70000</v>
      </c>
      <c r="J3426" s="20" t="inlineStr">
        <is>
          <t>POPULAR MARUTI</t>
        </is>
      </c>
      <c r="K3426" s="20" t="inlineStr">
        <is>
          <t>Non-Captive</t>
        </is>
      </c>
      <c r="L3426" s="20" t="inlineStr">
        <is>
          <t>JIMMY THOMAS</t>
        </is>
      </c>
      <c r="M3426" s="23" t="n">
        <v>8475</v>
      </c>
      <c r="N3426" s="23" t="n">
        <v>10000</v>
      </c>
      <c r="O3426" s="24">
        <f>IF(AND(ISNUMBER(M3426), ISNUMBER(I3426), I3426&gt;0), M3426/I3426, "")</f>
        <v/>
      </c>
    </row>
    <row r="3427">
      <c r="A3427" s="19" t="inlineStr">
        <is>
          <t>FY27</t>
        </is>
      </c>
      <c r="B3427" s="19" t="inlineStr">
        <is>
          <t>Aug</t>
        </is>
      </c>
      <c r="C3427" s="19" t="inlineStr">
        <is>
          <t>Kerala</t>
        </is>
      </c>
      <c r="D3427" s="20" t="inlineStr">
        <is>
          <t>KL592444</t>
        </is>
      </c>
      <c r="E3427" s="20" t="inlineStr">
        <is>
          <t>MARUTI SUZUKI</t>
        </is>
      </c>
      <c r="F3427" s="20" t="inlineStr">
        <is>
          <t>Alto</t>
        </is>
      </c>
      <c r="G3427" s="21" t="n">
        <v>2006</v>
      </c>
      <c r="H3427" s="22" t="n">
        <v>139000</v>
      </c>
      <c r="I3427" s="23" t="n">
        <v>28500</v>
      </c>
      <c r="J3427" s="20" t="inlineStr">
        <is>
          <t>POPULAR MARUTI</t>
        </is>
      </c>
      <c r="K3427" s="20" t="inlineStr">
        <is>
          <t>Non-Captive</t>
        </is>
      </c>
      <c r="L3427" s="20" t="inlineStr">
        <is>
          <t>MUSTAFA POOKOYA</t>
        </is>
      </c>
      <c r="M3427" s="23" t="n">
        <v>7203</v>
      </c>
      <c r="N3427" s="23" t="n">
        <v>8500</v>
      </c>
      <c r="O3427" s="24">
        <f>IF(AND(ISNUMBER(M3427), ISNUMBER(I3427), I3427&gt;0), M3427/I3427, "")</f>
        <v/>
      </c>
    </row>
    <row r="3428">
      <c r="A3428" s="19" t="inlineStr">
        <is>
          <t>FY26</t>
        </is>
      </c>
      <c r="B3428" s="19" t="inlineStr">
        <is>
          <t>Aug</t>
        </is>
      </c>
      <c r="C3428" s="19" t="inlineStr">
        <is>
          <t>Kerala</t>
        </is>
      </c>
      <c r="D3428" s="20" t="inlineStr">
        <is>
          <t>KL07CY5229</t>
        </is>
      </c>
      <c r="E3428" s="20" t="inlineStr">
        <is>
          <t>HYUNDAI</t>
        </is>
      </c>
      <c r="F3428" s="20" t="inlineStr">
        <is>
          <t>Creta</t>
        </is>
      </c>
      <c r="G3428" s="21" t="n">
        <v>2022</v>
      </c>
      <c r="H3428" s="22" t="n">
        <v>18867</v>
      </c>
      <c r="I3428" s="23" t="n">
        <v>690000</v>
      </c>
      <c r="J3428" s="20" t="inlineStr">
        <is>
          <t>KESHVIN HYUNDAI</t>
        </is>
      </c>
      <c r="K3428" s="20" t="inlineStr">
        <is>
          <t>Non-Captive</t>
        </is>
      </c>
      <c r="L3428" s="20" t="inlineStr">
        <is>
          <t>SANOOB V A</t>
        </is>
      </c>
      <c r="M3428" s="23" t="n">
        <v>8475</v>
      </c>
      <c r="N3428" s="23" t="n">
        <v>10000</v>
      </c>
      <c r="O3428" s="24">
        <f>IF(AND(ISNUMBER(M3428), ISNUMBER(I3428), I3428&gt;0), M3428/I3428, "")</f>
        <v/>
      </c>
    </row>
    <row r="3429">
      <c r="A3429" s="19" t="inlineStr">
        <is>
          <t>FY26</t>
        </is>
      </c>
      <c r="B3429" s="19" t="inlineStr">
        <is>
          <t>Aug</t>
        </is>
      </c>
      <c r="C3429" s="19" t="inlineStr">
        <is>
          <t>Kerala</t>
        </is>
      </c>
      <c r="D3429" s="20" t="inlineStr">
        <is>
          <t>KL05AG2652</t>
        </is>
      </c>
      <c r="E3429" s="20" t="inlineStr">
        <is>
          <t>RENAULT</t>
        </is>
      </c>
      <c r="F3429" s="20" t="inlineStr">
        <is>
          <t>Duster</t>
        </is>
      </c>
      <c r="G3429" s="21" t="n">
        <v>2013</v>
      </c>
      <c r="H3429" s="22" t="n">
        <v>122011</v>
      </c>
      <c r="I3429" s="23" t="n">
        <v>190000</v>
      </c>
      <c r="J3429" s="20" t="inlineStr">
        <is>
          <t>POPULAR HYUNDAI</t>
        </is>
      </c>
      <c r="K3429" s="20" t="inlineStr">
        <is>
          <t>Non-Captive</t>
        </is>
      </c>
      <c r="L3429" s="20" t="inlineStr">
        <is>
          <t>RAJEEV A C</t>
        </is>
      </c>
      <c r="M3429" s="23" t="n">
        <v>8475</v>
      </c>
      <c r="N3429" s="23" t="n">
        <v>10000</v>
      </c>
      <c r="O3429" s="24">
        <f>IF(AND(ISNUMBER(M3429), ISNUMBER(I3429), I3429&gt;0), M3429/I3429, "")</f>
        <v/>
      </c>
    </row>
    <row r="3430">
      <c r="A3430" s="19" t="inlineStr">
        <is>
          <t>FY26</t>
        </is>
      </c>
      <c r="B3430" s="19" t="inlineStr">
        <is>
          <t>Aug</t>
        </is>
      </c>
      <c r="C3430" s="19" t="inlineStr">
        <is>
          <t>Kerala</t>
        </is>
      </c>
      <c r="D3430" s="20" t="inlineStr">
        <is>
          <t>KL39F5047</t>
        </is>
      </c>
      <c r="E3430" s="20" t="inlineStr">
        <is>
          <t>HONDA</t>
        </is>
      </c>
      <c r="F3430" s="20" t="inlineStr">
        <is>
          <t>Amaze</t>
        </is>
      </c>
      <c r="G3430" s="21" t="n">
        <v>2013</v>
      </c>
      <c r="H3430" s="22" t="n">
        <v>198865</v>
      </c>
      <c r="I3430" s="23" t="n">
        <v>150000</v>
      </c>
      <c r="J3430" s="20" t="inlineStr">
        <is>
          <t>MAIJO MARUTI</t>
        </is>
      </c>
      <c r="K3430" s="20" t="inlineStr">
        <is>
          <t>Non-Captive</t>
        </is>
      </c>
      <c r="L3430" s="20" t="inlineStr">
        <is>
          <t>HUSSAIN O E</t>
        </is>
      </c>
      <c r="M3430" s="23" t="n">
        <v>8475</v>
      </c>
      <c r="N3430" s="23" t="n">
        <v>10000</v>
      </c>
      <c r="O3430" s="24">
        <f>IF(AND(ISNUMBER(M3430), ISNUMBER(I3430), I3430&gt;0), M3430/I3430, "")</f>
        <v/>
      </c>
    </row>
    <row r="3431">
      <c r="A3431" s="19" t="inlineStr">
        <is>
          <t>FY26</t>
        </is>
      </c>
      <c r="B3431" s="19" t="inlineStr">
        <is>
          <t>Aug</t>
        </is>
      </c>
      <c r="C3431" s="19" t="inlineStr">
        <is>
          <t>Kerala</t>
        </is>
      </c>
      <c r="D3431" s="20" t="inlineStr">
        <is>
          <t>KL35A6390</t>
        </is>
      </c>
      <c r="E3431" s="20" t="inlineStr">
        <is>
          <t>MARUTI SUZUKI</t>
        </is>
      </c>
      <c r="F3431" s="20" t="inlineStr">
        <is>
          <t>Alto</t>
        </is>
      </c>
      <c r="G3431" s="21" t="n">
        <v>2009</v>
      </c>
      <c r="H3431" s="22" t="n">
        <v>101348</v>
      </c>
      <c r="I3431" s="23" t="n">
        <v>65000</v>
      </c>
      <c r="J3431" s="20" t="inlineStr">
        <is>
          <t>POPULAR MARUTI</t>
        </is>
      </c>
      <c r="K3431" s="20" t="inlineStr">
        <is>
          <t>Non-Captive</t>
        </is>
      </c>
      <c r="L3431" s="20" t="inlineStr">
        <is>
          <t>DREAM DRIVE</t>
        </is>
      </c>
      <c r="M3431" s="23" t="n">
        <v>8475</v>
      </c>
      <c r="N3431" s="23" t="n">
        <v>10000</v>
      </c>
      <c r="O3431" s="24">
        <f>IF(AND(ISNUMBER(M3431), ISNUMBER(I3431), I3431&gt;0), M3431/I3431, "")</f>
        <v/>
      </c>
    </row>
    <row r="3432">
      <c r="A3432" s="19" t="inlineStr">
        <is>
          <t>FY26</t>
        </is>
      </c>
      <c r="B3432" s="19" t="inlineStr">
        <is>
          <t>Aug</t>
        </is>
      </c>
      <c r="C3432" s="19" t="inlineStr">
        <is>
          <t>Kerala</t>
        </is>
      </c>
      <c r="D3432" s="20" t="inlineStr">
        <is>
          <t>KL07BY2002</t>
        </is>
      </c>
      <c r="E3432" s="20" t="inlineStr">
        <is>
          <t>MARUTI SUZUKI</t>
        </is>
      </c>
      <c r="F3432" s="20" t="inlineStr">
        <is>
          <t>Wagon R</t>
        </is>
      </c>
      <c r="G3432" s="21" t="n">
        <v>2013</v>
      </c>
      <c r="H3432" s="22" t="n">
        <v>114962</v>
      </c>
      <c r="I3432" s="23" t="n">
        <v>195000</v>
      </c>
      <c r="J3432" s="20" t="inlineStr">
        <is>
          <t>POPULAR MARUTI</t>
        </is>
      </c>
      <c r="K3432" s="20" t="inlineStr">
        <is>
          <t>Non-Captive</t>
        </is>
      </c>
      <c r="L3432" s="20" t="inlineStr">
        <is>
          <t>VARUN P M</t>
        </is>
      </c>
      <c r="M3432" s="23" t="n">
        <v>8475</v>
      </c>
      <c r="N3432" s="23" t="n">
        <v>10000</v>
      </c>
      <c r="O3432" s="24">
        <f>IF(AND(ISNUMBER(M3432), ISNUMBER(I3432), I3432&gt;0), M3432/I3432, "")</f>
        <v/>
      </c>
    </row>
    <row r="3433">
      <c r="A3433" s="19" t="inlineStr">
        <is>
          <t>FY26</t>
        </is>
      </c>
      <c r="B3433" s="19" t="inlineStr">
        <is>
          <t>Aug</t>
        </is>
      </c>
      <c r="C3433" s="19" t="inlineStr">
        <is>
          <t>Kerala</t>
        </is>
      </c>
      <c r="D3433" s="20" t="inlineStr">
        <is>
          <t>KL434031</t>
        </is>
      </c>
      <c r="E3433" s="20" t="inlineStr">
        <is>
          <t>MARUTI SUZUKI</t>
        </is>
      </c>
      <c r="F3433" s="20" t="inlineStr">
        <is>
          <t>Wagon R</t>
        </is>
      </c>
      <c r="G3433" s="21" t="n">
        <v>2006</v>
      </c>
      <c r="H3433" s="22" t="n">
        <v>86229</v>
      </c>
      <c r="I3433" s="23" t="n">
        <v>40000</v>
      </c>
      <c r="J3433" s="20" t="inlineStr">
        <is>
          <t>POPULAR MARUTI</t>
        </is>
      </c>
      <c r="K3433" s="20" t="inlineStr">
        <is>
          <t>Non-Captive</t>
        </is>
      </c>
      <c r="L3433" s="20" t="inlineStr">
        <is>
          <t>RAFEEK</t>
        </is>
      </c>
      <c r="M3433" s="23" t="n">
        <v>8475</v>
      </c>
      <c r="N3433" s="23" t="n">
        <v>10000</v>
      </c>
      <c r="O3433" s="24">
        <f>IF(AND(ISNUMBER(M3433), ISNUMBER(I3433), I3433&gt;0), M3433/I3433, "")</f>
        <v/>
      </c>
    </row>
    <row r="3434">
      <c r="A3434" s="19" t="inlineStr">
        <is>
          <t>FY26</t>
        </is>
      </c>
      <c r="B3434" s="19" t="inlineStr">
        <is>
          <t>Aug</t>
        </is>
      </c>
      <c r="C3434" s="19" t="inlineStr">
        <is>
          <t>Kerala</t>
        </is>
      </c>
      <c r="D3434" s="20" t="inlineStr">
        <is>
          <t>KL13H1913</t>
        </is>
      </c>
      <c r="E3434" s="20" t="inlineStr">
        <is>
          <t>MARUTI SUZUKI</t>
        </is>
      </c>
      <c r="F3434" s="20" t="inlineStr">
        <is>
          <t>Alto</t>
        </is>
      </c>
      <c r="G3434" s="21" t="n">
        <v>2001</v>
      </c>
      <c r="H3434" s="22" t="n">
        <v>234531</v>
      </c>
      <c r="I3434" s="23" t="n">
        <v>11000</v>
      </c>
      <c r="J3434" s="20" t="inlineStr">
        <is>
          <t>POPULAR MARUTI</t>
        </is>
      </c>
      <c r="K3434" s="20" t="inlineStr">
        <is>
          <t>Non-Captive</t>
        </is>
      </c>
      <c r="L3434" s="20" t="inlineStr">
        <is>
          <t>ASHAMS</t>
        </is>
      </c>
      <c r="M3434" s="23" t="n">
        <v>4237</v>
      </c>
      <c r="N3434" s="23" t="n">
        <v>5000</v>
      </c>
      <c r="O3434" s="24">
        <f>IF(AND(ISNUMBER(M3434), ISNUMBER(I3434), I3434&gt;0), M3434/I3434, "")</f>
        <v/>
      </c>
    </row>
    <row r="3435">
      <c r="A3435" s="19" t="inlineStr">
        <is>
          <t>FY26</t>
        </is>
      </c>
      <c r="B3435" s="19" t="inlineStr">
        <is>
          <t>Aug</t>
        </is>
      </c>
      <c r="C3435" s="19" t="inlineStr">
        <is>
          <t>Kerala</t>
        </is>
      </c>
      <c r="D3435" s="20" t="inlineStr">
        <is>
          <t>KL13N4071</t>
        </is>
      </c>
      <c r="E3435" s="20" t="inlineStr">
        <is>
          <t>MARUTI SUZUKI</t>
        </is>
      </c>
      <c r="F3435" s="20" t="inlineStr">
        <is>
          <t>M800</t>
        </is>
      </c>
      <c r="G3435" s="21" t="n">
        <v>2005</v>
      </c>
      <c r="H3435" s="22" t="n">
        <v>134555</v>
      </c>
      <c r="I3435" s="23" t="n">
        <v>11000</v>
      </c>
      <c r="J3435" s="20" t="inlineStr">
        <is>
          <t>POPULAR MARUTI</t>
        </is>
      </c>
      <c r="K3435" s="20" t="inlineStr">
        <is>
          <t>Non-Captive</t>
        </is>
      </c>
      <c r="L3435" s="20" t="inlineStr">
        <is>
          <t>ASHAMS</t>
        </is>
      </c>
      <c r="M3435" s="23" t="n">
        <v>4237</v>
      </c>
      <c r="N3435" s="23" t="n">
        <v>5000</v>
      </c>
      <c r="O3435" s="24">
        <f>IF(AND(ISNUMBER(M3435), ISNUMBER(I3435), I3435&gt;0), M3435/I3435, "")</f>
        <v/>
      </c>
    </row>
    <row r="3436">
      <c r="A3436" s="19" t="inlineStr">
        <is>
          <t>FY26</t>
        </is>
      </c>
      <c r="B3436" s="19" t="inlineStr">
        <is>
          <t>Aug</t>
        </is>
      </c>
      <c r="C3436" s="19" t="inlineStr">
        <is>
          <t>Kerala</t>
        </is>
      </c>
      <c r="D3436" s="20" t="inlineStr">
        <is>
          <t>KL41K1953</t>
        </is>
      </c>
      <c r="E3436" s="20" t="inlineStr">
        <is>
          <t>FORD</t>
        </is>
      </c>
      <c r="F3436" s="20" t="inlineStr">
        <is>
          <t>Aspire</t>
        </is>
      </c>
      <c r="G3436" s="21" t="n">
        <v>2015</v>
      </c>
      <c r="H3436" s="22" t="n">
        <v>95000</v>
      </c>
      <c r="I3436" s="23" t="n">
        <v>235000</v>
      </c>
      <c r="J3436" s="20" t="inlineStr">
        <is>
          <t>AUTOMOTIVE</t>
        </is>
      </c>
      <c r="K3436" s="20" t="inlineStr">
        <is>
          <t>Non-Captive</t>
        </is>
      </c>
      <c r="L3436" s="20" t="inlineStr">
        <is>
          <t>AITOS CARS</t>
        </is>
      </c>
      <c r="M3436" s="23" t="n">
        <v>8475</v>
      </c>
      <c r="N3436" s="23" t="n">
        <v>10000</v>
      </c>
      <c r="O3436" s="24">
        <f>IF(AND(ISNUMBER(M3436), ISNUMBER(I3436), I3436&gt;0), M3436/I3436, "")</f>
        <v/>
      </c>
    </row>
    <row r="3437">
      <c r="A3437" s="19" t="inlineStr">
        <is>
          <t>FY26</t>
        </is>
      </c>
      <c r="B3437" s="19" t="inlineStr">
        <is>
          <t>Aug</t>
        </is>
      </c>
      <c r="C3437" s="19" t="inlineStr">
        <is>
          <t>Kerala</t>
        </is>
      </c>
      <c r="D3437" s="20" t="inlineStr">
        <is>
          <t>KL67A8647</t>
        </is>
      </c>
      <c r="E3437" s="20" t="inlineStr">
        <is>
          <t>HYUNDAI</t>
        </is>
      </c>
      <c r="F3437" s="20" t="inlineStr">
        <is>
          <t>Eon</t>
        </is>
      </c>
      <c r="G3437" s="21" t="n">
        <v>2017</v>
      </c>
      <c r="H3437" s="22" t="n">
        <v>135454</v>
      </c>
      <c r="I3437" s="23" t="n">
        <v>185000</v>
      </c>
      <c r="J3437" s="20" t="inlineStr">
        <is>
          <t>SAIF RASHEED</t>
        </is>
      </c>
      <c r="K3437" s="20" t="inlineStr">
        <is>
          <t>Non-Captive</t>
        </is>
      </c>
      <c r="L3437" s="20" t="inlineStr">
        <is>
          <t>ANAS VH</t>
        </is>
      </c>
      <c r="M3437" s="23" t="n">
        <v>8475</v>
      </c>
      <c r="N3437" s="23" t="n">
        <v>10000</v>
      </c>
      <c r="O3437" s="24">
        <f>IF(AND(ISNUMBER(M3437), ISNUMBER(I3437), I3437&gt;0), M3437/I3437, "")</f>
        <v/>
      </c>
    </row>
    <row r="3438">
      <c r="A3438" s="19" t="inlineStr">
        <is>
          <t>FY26</t>
        </is>
      </c>
      <c r="B3438" s="19" t="inlineStr">
        <is>
          <t>Aug</t>
        </is>
      </c>
      <c r="C3438" s="19" t="inlineStr">
        <is>
          <t>Kerala</t>
        </is>
      </c>
      <c r="D3438" s="20" t="inlineStr">
        <is>
          <t>KL541964</t>
        </is>
      </c>
      <c r="E3438" s="20" t="inlineStr">
        <is>
          <t>MARUTI SUZUKI</t>
        </is>
      </c>
      <c r="F3438" s="20" t="inlineStr">
        <is>
          <t>Alto</t>
        </is>
      </c>
      <c r="G3438" s="21" t="n"/>
      <c r="H3438" s="22" t="n">
        <v>132453</v>
      </c>
      <c r="I3438" s="23" t="n">
        <v>6000</v>
      </c>
      <c r="J3438" s="20" t="inlineStr">
        <is>
          <t>POPULAR MARUTI</t>
        </is>
      </c>
      <c r="K3438" s="20" t="inlineStr">
        <is>
          <t>Non-Captive</t>
        </is>
      </c>
      <c r="L3438" s="20" t="inlineStr">
        <is>
          <t>AUTOTRUST</t>
        </is>
      </c>
      <c r="M3438" s="23" t="n">
        <v>5085</v>
      </c>
      <c r="N3438" s="23" t="n">
        <v>6000</v>
      </c>
      <c r="O3438" s="24">
        <f>IF(AND(ISNUMBER(M3438), ISNUMBER(I3438), I3438&gt;0), M3438/I3438, "")</f>
        <v/>
      </c>
    </row>
    <row r="3439">
      <c r="A3439" s="19" t="inlineStr">
        <is>
          <t>FY26</t>
        </is>
      </c>
      <c r="B3439" s="19" t="inlineStr">
        <is>
          <t>Aug</t>
        </is>
      </c>
      <c r="C3439" s="19" t="inlineStr">
        <is>
          <t>Kerala</t>
        </is>
      </c>
      <c r="D3439" s="20" t="inlineStr">
        <is>
          <t>KL01CT0223</t>
        </is>
      </c>
      <c r="E3439" s="20" t="inlineStr">
        <is>
          <t>MARUTI SUZUKI</t>
        </is>
      </c>
      <c r="F3439" s="20" t="inlineStr">
        <is>
          <t>Spresso</t>
        </is>
      </c>
      <c r="G3439" s="21" t="n">
        <v>2021</v>
      </c>
      <c r="H3439" s="22" t="n">
        <v>37200</v>
      </c>
      <c r="I3439" s="23" t="n">
        <v>337000</v>
      </c>
      <c r="J3439" s="20" t="inlineStr">
        <is>
          <t>MG FORTUNE</t>
        </is>
      </c>
      <c r="K3439" s="20" t="inlineStr">
        <is>
          <t>Non-Captive</t>
        </is>
      </c>
      <c r="L3439" s="20" t="inlineStr">
        <is>
          <t>MARVEL MOTORS</t>
        </is>
      </c>
      <c r="M3439" s="23" t="n">
        <v>7627</v>
      </c>
      <c r="N3439" s="23" t="n">
        <v>9000</v>
      </c>
      <c r="O3439" s="24">
        <f>IF(AND(ISNUMBER(M3439), ISNUMBER(I3439), I3439&gt;0), M3439/I3439, "")</f>
        <v/>
      </c>
    </row>
    <row r="3440">
      <c r="A3440" s="19" t="inlineStr">
        <is>
          <t>FY26</t>
        </is>
      </c>
      <c r="B3440" s="19" t="inlineStr">
        <is>
          <t>Aug</t>
        </is>
      </c>
      <c r="C3440" s="19" t="inlineStr">
        <is>
          <t>Kerala</t>
        </is>
      </c>
      <c r="D3440" s="20" t="inlineStr">
        <is>
          <t>KL22D8585</t>
        </is>
      </c>
      <c r="E3440" s="20" t="inlineStr">
        <is>
          <t>MARUTI SUZUKI</t>
        </is>
      </c>
      <c r="F3440" s="20" t="inlineStr">
        <is>
          <t>K 10</t>
        </is>
      </c>
      <c r="G3440" s="21" t="n">
        <v>2012</v>
      </c>
      <c r="H3440" s="22" t="n">
        <v>12800</v>
      </c>
      <c r="I3440" s="23" t="n">
        <v>95000</v>
      </c>
      <c r="J3440" s="20" t="inlineStr">
        <is>
          <t>POPULAR MARUTI</t>
        </is>
      </c>
      <c r="K3440" s="20" t="inlineStr">
        <is>
          <t>Non-Captive</t>
        </is>
      </c>
      <c r="L3440" s="20" t="inlineStr">
        <is>
          <t>Abraham John</t>
        </is>
      </c>
      <c r="M3440" s="23" t="n">
        <v>8475</v>
      </c>
      <c r="N3440" s="23" t="n">
        <v>10000</v>
      </c>
      <c r="O3440" s="24">
        <f>IF(AND(ISNUMBER(M3440), ISNUMBER(I3440), I3440&gt;0), M3440/I3440, "")</f>
        <v/>
      </c>
    </row>
    <row r="3441">
      <c r="A3441" s="19" t="inlineStr">
        <is>
          <t>FY26</t>
        </is>
      </c>
      <c r="B3441" s="19" t="inlineStr">
        <is>
          <t>Aug</t>
        </is>
      </c>
      <c r="C3441" s="19" t="inlineStr">
        <is>
          <t>Kerala</t>
        </is>
      </c>
      <c r="D3441" s="20" t="inlineStr">
        <is>
          <t>KL13AG6360</t>
        </is>
      </c>
      <c r="E3441" s="20" t="inlineStr">
        <is>
          <t>HONDA</t>
        </is>
      </c>
      <c r="F3441" s="20" t="inlineStr">
        <is>
          <t>Ameze</t>
        </is>
      </c>
      <c r="G3441" s="21" t="n">
        <v>2016</v>
      </c>
      <c r="H3441" s="22" t="n">
        <v>110000</v>
      </c>
      <c r="I3441" s="23" t="n">
        <v>325000</v>
      </c>
      <c r="J3441" s="20" t="inlineStr">
        <is>
          <t>KVR MARUTI</t>
        </is>
      </c>
      <c r="K3441" s="20" t="inlineStr">
        <is>
          <t>Non-Captive</t>
        </is>
      </c>
      <c r="L3441" s="20" t="inlineStr">
        <is>
          <t>SILSHA AJAYGHOSH</t>
        </is>
      </c>
      <c r="M3441" s="23" t="n">
        <v>8475</v>
      </c>
      <c r="N3441" s="23" t="n">
        <v>10000</v>
      </c>
      <c r="O3441" s="24">
        <f>IF(AND(ISNUMBER(M3441), ISNUMBER(I3441), I3441&gt;0), M3441/I3441, "")</f>
        <v/>
      </c>
    </row>
    <row r="3442">
      <c r="A3442" s="19" t="inlineStr">
        <is>
          <t>FY26</t>
        </is>
      </c>
      <c r="B3442" s="19" t="inlineStr">
        <is>
          <t>Aug</t>
        </is>
      </c>
      <c r="C3442" s="19" t="inlineStr">
        <is>
          <t>Kerala</t>
        </is>
      </c>
      <c r="D3442" s="20" t="inlineStr">
        <is>
          <t>KL55S3876</t>
        </is>
      </c>
      <c r="E3442" s="20" t="inlineStr">
        <is>
          <t>MARUTI SUZUKI</t>
        </is>
      </c>
      <c r="F3442" s="20" t="inlineStr">
        <is>
          <t>Wagon R</t>
        </is>
      </c>
      <c r="G3442" s="21" t="n">
        <v>2015</v>
      </c>
      <c r="H3442" s="22" t="n">
        <v>82000</v>
      </c>
      <c r="I3442" s="23" t="n">
        <v>250000</v>
      </c>
      <c r="J3442" s="20" t="inlineStr">
        <is>
          <t>BIMAL MARUTI</t>
        </is>
      </c>
      <c r="K3442" s="20" t="inlineStr">
        <is>
          <t>Non-Captive</t>
        </is>
      </c>
      <c r="L3442" s="20" t="inlineStr">
        <is>
          <t>Mohammed Asalam K</t>
        </is>
      </c>
      <c r="M3442" s="23" t="n">
        <v>8475</v>
      </c>
      <c r="N3442" s="23" t="n">
        <v>10000</v>
      </c>
      <c r="O3442" s="24">
        <f>IF(AND(ISNUMBER(M3442), ISNUMBER(I3442), I3442&gt;0), M3442/I3442, "")</f>
        <v/>
      </c>
    </row>
    <row r="3443">
      <c r="A3443" s="19" t="inlineStr">
        <is>
          <t>FY26</t>
        </is>
      </c>
      <c r="B3443" s="19" t="inlineStr">
        <is>
          <t>Aug</t>
        </is>
      </c>
      <c r="C3443" s="19" t="inlineStr">
        <is>
          <t>Kerala</t>
        </is>
      </c>
      <c r="D3443" s="20" t="inlineStr">
        <is>
          <t>KL01AW0216</t>
        </is>
      </c>
      <c r="E3443" s="20" t="inlineStr">
        <is>
          <t>MAHINDRA</t>
        </is>
      </c>
      <c r="F3443" s="20" t="inlineStr">
        <is>
          <t>Bolero</t>
        </is>
      </c>
      <c r="G3443" s="21" t="n">
        <v>2009</v>
      </c>
      <c r="H3443" s="22" t="n">
        <v>117000</v>
      </c>
      <c r="I3443" s="23" t="n">
        <v>210000</v>
      </c>
      <c r="J3443" s="20" t="inlineStr">
        <is>
          <t>VINOD KUMAR</t>
        </is>
      </c>
      <c r="K3443" s="20" t="inlineStr">
        <is>
          <t>Non-Captive</t>
        </is>
      </c>
      <c r="L3443" s="20" t="inlineStr">
        <is>
          <t>AUTOBOOT</t>
        </is>
      </c>
      <c r="M3443" s="23" t="n">
        <v>8475</v>
      </c>
      <c r="N3443" s="23" t="n">
        <v>10000</v>
      </c>
      <c r="O3443" s="24">
        <f>IF(AND(ISNUMBER(M3443), ISNUMBER(I3443), I3443&gt;0), M3443/I3443, "")</f>
        <v/>
      </c>
    </row>
    <row r="3444">
      <c r="A3444" s="19" t="inlineStr">
        <is>
          <t>FY26</t>
        </is>
      </c>
      <c r="B3444" s="19" t="inlineStr">
        <is>
          <t>Aug</t>
        </is>
      </c>
      <c r="C3444" s="19" t="inlineStr">
        <is>
          <t>Kerala</t>
        </is>
      </c>
      <c r="D3444" s="20" t="inlineStr">
        <is>
          <t>KL02AF8117</t>
        </is>
      </c>
      <c r="E3444" s="20" t="inlineStr">
        <is>
          <t>MARUTI SUZUKI</t>
        </is>
      </c>
      <c r="F3444" s="20" t="inlineStr">
        <is>
          <t>Alto</t>
        </is>
      </c>
      <c r="G3444" s="21" t="n">
        <v>2010</v>
      </c>
      <c r="H3444" s="22" t="n">
        <v>54000</v>
      </c>
      <c r="I3444" s="23" t="n">
        <v>128500</v>
      </c>
      <c r="J3444" s="20" t="inlineStr">
        <is>
          <t>LUXON TATA</t>
        </is>
      </c>
      <c r="K3444" s="20" t="inlineStr">
        <is>
          <t>Non-Captive</t>
        </is>
      </c>
      <c r="L3444" s="20" t="inlineStr">
        <is>
          <t>ATHUL RAJ</t>
        </is>
      </c>
      <c r="M3444" s="23" t="n">
        <v>7203</v>
      </c>
      <c r="N3444" s="23" t="n">
        <v>8500</v>
      </c>
      <c r="O3444" s="24">
        <f>IF(AND(ISNUMBER(M3444), ISNUMBER(I3444), I3444&gt;0), M3444/I3444, "")</f>
        <v/>
      </c>
    </row>
    <row r="3445">
      <c r="A3445" s="19" t="inlineStr">
        <is>
          <t>FY26</t>
        </is>
      </c>
      <c r="B3445" s="19" t="inlineStr">
        <is>
          <t>Aug</t>
        </is>
      </c>
      <c r="C3445" s="19" t="inlineStr">
        <is>
          <t>Kerala</t>
        </is>
      </c>
      <c r="D3445" s="20" t="inlineStr">
        <is>
          <t>KL54M0411</t>
        </is>
      </c>
      <c r="E3445" s="20" t="inlineStr">
        <is>
          <t>RENAULT</t>
        </is>
      </c>
      <c r="F3445" s="20" t="inlineStr">
        <is>
          <t>Kwid</t>
        </is>
      </c>
      <c r="G3445" s="21" t="n">
        <v>2019</v>
      </c>
      <c r="H3445" s="22" t="n">
        <v>72000</v>
      </c>
      <c r="I3445" s="23" t="n">
        <v>220000</v>
      </c>
      <c r="J3445" s="20" t="inlineStr">
        <is>
          <t>ERAM MAHINDRA</t>
        </is>
      </c>
      <c r="K3445" s="20" t="inlineStr">
        <is>
          <t>Non-Captive</t>
        </is>
      </c>
      <c r="L3445" s="20" t="inlineStr">
        <is>
          <t>BASHEER</t>
        </is>
      </c>
      <c r="M3445" s="23" t="n">
        <v>8475</v>
      </c>
      <c r="N3445" s="23" t="n">
        <v>10000</v>
      </c>
      <c r="O3445" s="24">
        <f>IF(AND(ISNUMBER(M3445), ISNUMBER(I3445), I3445&gt;0), M3445/I3445, "")</f>
        <v/>
      </c>
    </row>
    <row r="3446">
      <c r="A3446" s="19" t="inlineStr">
        <is>
          <t>FY26</t>
        </is>
      </c>
      <c r="B3446" s="19" t="inlineStr">
        <is>
          <t>Aug</t>
        </is>
      </c>
      <c r="C3446" s="19" t="inlineStr">
        <is>
          <t>Kerala</t>
        </is>
      </c>
      <c r="D3446" s="20" t="inlineStr">
        <is>
          <t>KL24J3606</t>
        </is>
      </c>
      <c r="E3446" s="20" t="inlineStr">
        <is>
          <t>MAHINDRA</t>
        </is>
      </c>
      <c r="F3446" s="20" t="inlineStr">
        <is>
          <t>Xuv 500</t>
        </is>
      </c>
      <c r="G3446" s="21" t="n">
        <v>2014</v>
      </c>
      <c r="H3446" s="22" t="n">
        <v>120059</v>
      </c>
      <c r="I3446" s="23" t="n">
        <v>435000</v>
      </c>
      <c r="J3446" s="20" t="inlineStr">
        <is>
          <t>LUXON TATA</t>
        </is>
      </c>
      <c r="K3446" s="20" t="inlineStr">
        <is>
          <t>Non-Captive</t>
        </is>
      </c>
      <c r="L3446" s="20" t="inlineStr">
        <is>
          <t>HAVEN MOTORS</t>
        </is>
      </c>
      <c r="M3446" s="23" t="n">
        <v>8475</v>
      </c>
      <c r="N3446" s="23" t="n">
        <v>10000</v>
      </c>
      <c r="O3446" s="24">
        <f>IF(AND(ISNUMBER(M3446), ISNUMBER(I3446), I3446&gt;0), M3446/I3446, "")</f>
        <v/>
      </c>
    </row>
    <row r="3447">
      <c r="A3447" s="19" t="inlineStr">
        <is>
          <t>FY26</t>
        </is>
      </c>
      <c r="B3447" s="19" t="inlineStr">
        <is>
          <t>Aug</t>
        </is>
      </c>
      <c r="C3447" s="19" t="inlineStr">
        <is>
          <t>Kerala</t>
        </is>
      </c>
      <c r="D3447" s="20" t="inlineStr">
        <is>
          <t>KL25H5030</t>
        </is>
      </c>
      <c r="E3447" s="20" t="inlineStr">
        <is>
          <t>VOLKSWAGEN</t>
        </is>
      </c>
      <c r="F3447" s="20" t="inlineStr">
        <is>
          <t>Polo</t>
        </is>
      </c>
      <c r="G3447" s="21" t="n">
        <v>2015</v>
      </c>
      <c r="H3447" s="22" t="n">
        <v>98603</v>
      </c>
      <c r="I3447" s="23" t="n">
        <v>525000</v>
      </c>
      <c r="J3447" s="20" t="inlineStr">
        <is>
          <t>PPS SKODA</t>
        </is>
      </c>
      <c r="K3447" s="20" t="inlineStr">
        <is>
          <t>Non-Captive</t>
        </is>
      </c>
      <c r="L3447" s="20" t="inlineStr">
        <is>
          <t>SHAMSUDEEN</t>
        </is>
      </c>
      <c r="M3447" s="23" t="n">
        <v>8475</v>
      </c>
      <c r="N3447" s="23" t="n">
        <v>10000</v>
      </c>
      <c r="O3447" s="24">
        <f>IF(AND(ISNUMBER(M3447), ISNUMBER(I3447), I3447&gt;0), M3447/I3447, "")</f>
        <v/>
      </c>
    </row>
    <row r="3448">
      <c r="A3448" s="19" t="inlineStr">
        <is>
          <t>FY26</t>
        </is>
      </c>
      <c r="B3448" s="19" t="inlineStr">
        <is>
          <t>Aug</t>
        </is>
      </c>
      <c r="C3448" s="19" t="inlineStr">
        <is>
          <t>Kerala</t>
        </is>
      </c>
      <c r="D3448" s="20" t="inlineStr">
        <is>
          <t>KL25P6282</t>
        </is>
      </c>
      <c r="E3448" s="20" t="inlineStr">
        <is>
          <t>TATA</t>
        </is>
      </c>
      <c r="F3448" s="20" t="inlineStr">
        <is>
          <t>Tiago</t>
        </is>
      </c>
      <c r="G3448" s="21" t="n">
        <v>2021</v>
      </c>
      <c r="H3448" s="22" t="n">
        <v>94000</v>
      </c>
      <c r="I3448" s="23" t="n">
        <v>432500</v>
      </c>
      <c r="J3448" s="20" t="inlineStr">
        <is>
          <t>INCHEON KIA</t>
        </is>
      </c>
      <c r="K3448" s="20" t="inlineStr">
        <is>
          <t>Non-Captive</t>
        </is>
      </c>
      <c r="L3448" s="20" t="inlineStr">
        <is>
          <t>RENJITH</t>
        </is>
      </c>
      <c r="M3448" s="23" t="n">
        <v>10593</v>
      </c>
      <c r="N3448" s="23" t="n">
        <v>12500</v>
      </c>
      <c r="O3448" s="24">
        <f>IF(AND(ISNUMBER(M3448), ISNUMBER(I3448), I3448&gt;0), M3448/I3448, "")</f>
        <v/>
      </c>
    </row>
    <row r="3449">
      <c r="A3449" s="19" t="inlineStr">
        <is>
          <t>FY26</t>
        </is>
      </c>
      <c r="B3449" s="19" t="inlineStr">
        <is>
          <t>Aug</t>
        </is>
      </c>
      <c r="C3449" s="19" t="inlineStr">
        <is>
          <t>Kerala</t>
        </is>
      </c>
      <c r="D3449" s="20" t="inlineStr">
        <is>
          <t>KL07BX7854</t>
        </is>
      </c>
      <c r="E3449" s="20" t="inlineStr">
        <is>
          <t>HYUNDAI</t>
        </is>
      </c>
      <c r="F3449" s="20" t="inlineStr">
        <is>
          <t>I 10</t>
        </is>
      </c>
      <c r="G3449" s="21" t="n">
        <v>2013</v>
      </c>
      <c r="H3449" s="22" t="n">
        <v>80997</v>
      </c>
      <c r="I3449" s="23" t="n">
        <v>137500</v>
      </c>
      <c r="J3449" s="20" t="inlineStr">
        <is>
          <t>MG FORTUNE</t>
        </is>
      </c>
      <c r="K3449" s="20" t="inlineStr">
        <is>
          <t>Non-Captive</t>
        </is>
      </c>
      <c r="L3449" s="20" t="inlineStr">
        <is>
          <t>RENJITH</t>
        </is>
      </c>
      <c r="M3449" s="23" t="n">
        <v>10593</v>
      </c>
      <c r="N3449" s="23" t="n">
        <v>12500</v>
      </c>
      <c r="O3449" s="24">
        <f>IF(AND(ISNUMBER(M3449), ISNUMBER(I3449), I3449&gt;0), M3449/I3449, "")</f>
        <v/>
      </c>
    </row>
    <row r="3450">
      <c r="A3450" s="19" t="inlineStr">
        <is>
          <t>FY26</t>
        </is>
      </c>
      <c r="B3450" s="19" t="inlineStr">
        <is>
          <t>Aug</t>
        </is>
      </c>
      <c r="C3450" s="19" t="inlineStr">
        <is>
          <t>Kerala</t>
        </is>
      </c>
      <c r="D3450" s="20" t="inlineStr">
        <is>
          <t>KL43H6054</t>
        </is>
      </c>
      <c r="E3450" s="20" t="inlineStr">
        <is>
          <t>MARUTI SUZUKI</t>
        </is>
      </c>
      <c r="F3450" s="20" t="inlineStr">
        <is>
          <t>Swift Dzire</t>
        </is>
      </c>
      <c r="G3450" s="21" t="n">
        <v>2016</v>
      </c>
      <c r="H3450" s="22" t="n">
        <v>180905</v>
      </c>
      <c r="I3450" s="23" t="n">
        <v>160000</v>
      </c>
      <c r="J3450" s="20" t="inlineStr">
        <is>
          <t>POPULAR HYUNDAI</t>
        </is>
      </c>
      <c r="K3450" s="20" t="inlineStr">
        <is>
          <t>Non-Captive</t>
        </is>
      </c>
      <c r="L3450" s="20" t="inlineStr">
        <is>
          <t>ABDUL SALAM P U</t>
        </is>
      </c>
      <c r="M3450" s="23" t="n">
        <v>8475</v>
      </c>
      <c r="N3450" s="23" t="n">
        <v>10000</v>
      </c>
      <c r="O3450" s="24">
        <f>IF(AND(ISNUMBER(M3450), ISNUMBER(I3450), I3450&gt;0), M3450/I3450, "")</f>
        <v/>
      </c>
    </row>
    <row r="3451">
      <c r="A3451" s="19" t="inlineStr">
        <is>
          <t>FY26</t>
        </is>
      </c>
      <c r="B3451" s="19" t="inlineStr">
        <is>
          <t>Aug</t>
        </is>
      </c>
      <c r="C3451" s="19" t="inlineStr">
        <is>
          <t>Kerala</t>
        </is>
      </c>
      <c r="D3451" s="20" t="inlineStr">
        <is>
          <t>KL48G7160</t>
        </is>
      </c>
      <c r="E3451" s="20" t="inlineStr">
        <is>
          <t>MAHINDRA</t>
        </is>
      </c>
      <c r="F3451" s="20" t="inlineStr">
        <is>
          <t>Loadking</t>
        </is>
      </c>
      <c r="G3451" s="21" t="n"/>
      <c r="H3451" s="22" t="n">
        <v>160000</v>
      </c>
      <c r="I3451" s="23" t="n">
        <v>506000</v>
      </c>
      <c r="J3451" s="20" t="inlineStr">
        <is>
          <t>ALI HAPPY DRIVE</t>
        </is>
      </c>
      <c r="K3451" s="20" t="inlineStr">
        <is>
          <t>Non-Captive</t>
        </is>
      </c>
      <c r="L3451" s="20" t="inlineStr">
        <is>
          <t>Kunjumon</t>
        </is>
      </c>
      <c r="M3451" s="23" t="n">
        <v>5085</v>
      </c>
      <c r="N3451" s="23" t="n">
        <v>6000</v>
      </c>
      <c r="O3451" s="24">
        <f>IF(AND(ISNUMBER(M3451), ISNUMBER(I3451), I3451&gt;0), M3451/I3451, "")</f>
        <v/>
      </c>
    </row>
    <row r="3452">
      <c r="A3452" s="19" t="inlineStr">
        <is>
          <t>FY26</t>
        </is>
      </c>
      <c r="B3452" s="19" t="inlineStr">
        <is>
          <t>Aug</t>
        </is>
      </c>
      <c r="C3452" s="19" t="inlineStr">
        <is>
          <t>Kerala</t>
        </is>
      </c>
      <c r="D3452" s="20" t="inlineStr">
        <is>
          <t>KL59H5931</t>
        </is>
      </c>
      <c r="E3452" s="20" t="inlineStr">
        <is>
          <t>MARUTI SUZUKI</t>
        </is>
      </c>
      <c r="F3452" s="20" t="inlineStr">
        <is>
          <t>Alto800</t>
        </is>
      </c>
      <c r="G3452" s="21" t="n">
        <v>2013</v>
      </c>
      <c r="H3452" s="22" t="n">
        <v>77000</v>
      </c>
      <c r="I3452" s="23" t="n">
        <v>140000</v>
      </c>
      <c r="J3452" s="20" t="inlineStr">
        <is>
          <t>POPULAR MARUTI</t>
        </is>
      </c>
      <c r="K3452" s="20" t="inlineStr">
        <is>
          <t>Non-Captive</t>
        </is>
      </c>
      <c r="L3452" s="20" t="inlineStr">
        <is>
          <t>KANNUR PLATINUM  DRIVE</t>
        </is>
      </c>
      <c r="M3452" s="23" t="n">
        <v>8475</v>
      </c>
      <c r="N3452" s="23" t="n">
        <v>10000</v>
      </c>
      <c r="O3452" s="24">
        <f>IF(AND(ISNUMBER(M3452), ISNUMBER(I3452), I3452&gt;0), M3452/I3452, "")</f>
        <v/>
      </c>
    </row>
    <row r="3453">
      <c r="A3453" s="19" t="inlineStr">
        <is>
          <t>FY26</t>
        </is>
      </c>
      <c r="B3453" s="19" t="inlineStr">
        <is>
          <t>Aug</t>
        </is>
      </c>
      <c r="C3453" s="19" t="inlineStr">
        <is>
          <t>Kerala</t>
        </is>
      </c>
      <c r="D3453" s="20" t="inlineStr">
        <is>
          <t>KL13Y9322</t>
        </is>
      </c>
      <c r="E3453" s="20" t="inlineStr">
        <is>
          <t>HONDA</t>
        </is>
      </c>
      <c r="F3453" s="20" t="inlineStr">
        <is>
          <t>Brio</t>
        </is>
      </c>
      <c r="G3453" s="21" t="n">
        <v>2012</v>
      </c>
      <c r="H3453" s="22" t="n">
        <v>130000</v>
      </c>
      <c r="I3453" s="23" t="n">
        <v>150000</v>
      </c>
      <c r="J3453" s="20" t="inlineStr">
        <is>
          <t>POPULAR MARUTI</t>
        </is>
      </c>
      <c r="K3453" s="20" t="inlineStr">
        <is>
          <t>Non-Captive</t>
        </is>
      </c>
      <c r="L3453" s="20" t="inlineStr">
        <is>
          <t>Basheer P K</t>
        </is>
      </c>
      <c r="M3453" s="23" t="n">
        <v>8475</v>
      </c>
      <c r="N3453" s="23" t="n">
        <v>10000</v>
      </c>
      <c r="O3453" s="24">
        <f>IF(AND(ISNUMBER(M3453), ISNUMBER(I3453), I3453&gt;0), M3453/I3453, "")</f>
        <v/>
      </c>
    </row>
    <row r="3454">
      <c r="A3454" s="19" t="inlineStr">
        <is>
          <t>FY26</t>
        </is>
      </c>
      <c r="B3454" s="19" t="inlineStr">
        <is>
          <t>Aug</t>
        </is>
      </c>
      <c r="C3454" s="19" t="inlineStr">
        <is>
          <t>Kerala</t>
        </is>
      </c>
      <c r="D3454" s="20" t="inlineStr">
        <is>
          <t>KL03V2573</t>
        </is>
      </c>
      <c r="E3454" s="20" t="inlineStr">
        <is>
          <t>TATA</t>
        </is>
      </c>
      <c r="F3454" s="20" t="inlineStr">
        <is>
          <t>Indica</t>
        </is>
      </c>
      <c r="G3454" s="21" t="n"/>
      <c r="H3454" s="22" t="n">
        <v>120000</v>
      </c>
      <c r="I3454" s="23" t="n">
        <v>47000</v>
      </c>
      <c r="J3454" s="20" t="inlineStr">
        <is>
          <t>EVM MG</t>
        </is>
      </c>
      <c r="K3454" s="20" t="inlineStr">
        <is>
          <t>Non-Captive</t>
        </is>
      </c>
      <c r="L3454" s="20" t="inlineStr">
        <is>
          <t>Sanoop KM</t>
        </is>
      </c>
      <c r="M3454" s="23" t="n">
        <v>5932</v>
      </c>
      <c r="N3454" s="23" t="n">
        <v>7000</v>
      </c>
      <c r="O3454" s="24">
        <f>IF(AND(ISNUMBER(M3454), ISNUMBER(I3454), I3454&gt;0), M3454/I3454, "")</f>
        <v/>
      </c>
    </row>
    <row r="3455">
      <c r="A3455" s="19" t="inlineStr">
        <is>
          <t>FY26</t>
        </is>
      </c>
      <c r="B3455" s="19" t="inlineStr">
        <is>
          <t>Aug</t>
        </is>
      </c>
      <c r="C3455" s="19" t="inlineStr">
        <is>
          <t>Kerala</t>
        </is>
      </c>
      <c r="D3455" s="20" t="inlineStr">
        <is>
          <t>KL25A9192</t>
        </is>
      </c>
      <c r="E3455" s="20" t="inlineStr">
        <is>
          <t>HYUNDAI</t>
        </is>
      </c>
      <c r="F3455" s="20" t="inlineStr">
        <is>
          <t>Santro</t>
        </is>
      </c>
      <c r="G3455" s="21" t="n">
        <v>2010</v>
      </c>
      <c r="H3455" s="22" t="n">
        <v>85000</v>
      </c>
      <c r="I3455" s="23" t="n">
        <v>75000</v>
      </c>
      <c r="J3455" s="20" t="inlineStr">
        <is>
          <t>POPULAR MARUTI</t>
        </is>
      </c>
      <c r="K3455" s="20" t="inlineStr">
        <is>
          <t>Non-Captive</t>
        </is>
      </c>
      <c r="L3455" s="20" t="inlineStr">
        <is>
          <t>RAFEEK</t>
        </is>
      </c>
      <c r="M3455" s="23" t="n">
        <v>8475</v>
      </c>
      <c r="N3455" s="23" t="n">
        <v>10000</v>
      </c>
      <c r="O3455" s="24">
        <f>IF(AND(ISNUMBER(M3455), ISNUMBER(I3455), I3455&gt;0), M3455/I3455, "")</f>
        <v/>
      </c>
    </row>
    <row r="3456">
      <c r="A3456" s="19" t="inlineStr">
        <is>
          <t>FY26</t>
        </is>
      </c>
      <c r="B3456" s="19" t="inlineStr">
        <is>
          <t>Aug</t>
        </is>
      </c>
      <c r="C3456" s="19" t="inlineStr">
        <is>
          <t>Kerala</t>
        </is>
      </c>
      <c r="D3456" s="20" t="inlineStr">
        <is>
          <t>KL02AL2917</t>
        </is>
      </c>
      <c r="E3456" s="20" t="inlineStr">
        <is>
          <t>MARUTI SUZUKI</t>
        </is>
      </c>
      <c r="F3456" s="20" t="inlineStr">
        <is>
          <t>Alto</t>
        </is>
      </c>
      <c r="G3456" s="21" t="n">
        <v>2012</v>
      </c>
      <c r="H3456" s="22" t="n">
        <v>84000</v>
      </c>
      <c r="I3456" s="23" t="n">
        <v>85000</v>
      </c>
      <c r="J3456" s="20" t="inlineStr">
        <is>
          <t>POPULAR MARUTI</t>
        </is>
      </c>
      <c r="K3456" s="20" t="inlineStr">
        <is>
          <t>Non-Captive</t>
        </is>
      </c>
      <c r="L3456" s="20" t="inlineStr">
        <is>
          <t>MAXXMOTORS</t>
        </is>
      </c>
      <c r="M3456" s="23" t="n">
        <v>8475</v>
      </c>
      <c r="N3456" s="23" t="n">
        <v>10000</v>
      </c>
      <c r="O3456" s="24">
        <f>IF(AND(ISNUMBER(M3456), ISNUMBER(I3456), I3456&gt;0), M3456/I3456, "")</f>
        <v/>
      </c>
    </row>
    <row r="3457">
      <c r="A3457" s="19" t="inlineStr">
        <is>
          <t>FY26</t>
        </is>
      </c>
      <c r="B3457" s="19" t="inlineStr">
        <is>
          <t>Aug</t>
        </is>
      </c>
      <c r="C3457" s="19" t="inlineStr">
        <is>
          <t>Kerala</t>
        </is>
      </c>
      <c r="D3457" s="20" t="inlineStr">
        <is>
          <t>KL03X486</t>
        </is>
      </c>
      <c r="E3457" s="20" t="inlineStr">
        <is>
          <t>MARUTI SUZUKI</t>
        </is>
      </c>
      <c r="F3457" s="20" t="inlineStr">
        <is>
          <t>Alto</t>
        </is>
      </c>
      <c r="G3457" s="21" t="n"/>
      <c r="H3457" s="22" t="n">
        <v>91280</v>
      </c>
      <c r="I3457" s="23" t="n">
        <v>130000</v>
      </c>
      <c r="J3457" s="20" t="inlineStr">
        <is>
          <t>POPULAR MARUTI</t>
        </is>
      </c>
      <c r="K3457" s="20" t="inlineStr">
        <is>
          <t>Non-Captive</t>
        </is>
      </c>
      <c r="L3457" s="20" t="inlineStr">
        <is>
          <t>MAXXMOTORS</t>
        </is>
      </c>
      <c r="M3457" s="23" t="n">
        <v>8475</v>
      </c>
      <c r="N3457" s="23" t="n">
        <v>10000</v>
      </c>
      <c r="O3457" s="24">
        <f>IF(AND(ISNUMBER(M3457), ISNUMBER(I3457), I3457&gt;0), M3457/I3457, "")</f>
        <v/>
      </c>
    </row>
    <row r="3458">
      <c r="A3458" s="19" t="inlineStr">
        <is>
          <t>FY26</t>
        </is>
      </c>
      <c r="B3458" s="19" t="inlineStr">
        <is>
          <t>Aug</t>
        </is>
      </c>
      <c r="C3458" s="19" t="inlineStr">
        <is>
          <t>Kerala</t>
        </is>
      </c>
      <c r="D3458" s="20" t="inlineStr">
        <is>
          <t>KL24K7093</t>
        </is>
      </c>
      <c r="E3458" s="20" t="inlineStr">
        <is>
          <t>MARUTI SUZUKI</t>
        </is>
      </c>
      <c r="F3458" s="20" t="inlineStr">
        <is>
          <t>Alto</t>
        </is>
      </c>
      <c r="G3458" s="21" t="n">
        <v>2015</v>
      </c>
      <c r="H3458" s="22" t="n">
        <v>59400</v>
      </c>
      <c r="I3458" s="23" t="n">
        <v>160000</v>
      </c>
      <c r="J3458" s="20" t="inlineStr">
        <is>
          <t>ANJEL MOTORS</t>
        </is>
      </c>
      <c r="K3458" s="20" t="inlineStr">
        <is>
          <t>Non-Captive</t>
        </is>
      </c>
      <c r="L3458" s="20" t="inlineStr">
        <is>
          <t>ABHISHEK</t>
        </is>
      </c>
      <c r="M3458" s="23" t="n">
        <v>8475</v>
      </c>
      <c r="N3458" s="23" t="n">
        <v>10000</v>
      </c>
      <c r="O3458" s="24">
        <f>IF(AND(ISNUMBER(M3458), ISNUMBER(I3458), I3458&gt;0), M3458/I3458, "")</f>
        <v/>
      </c>
    </row>
    <row r="3459">
      <c r="A3459" s="19" t="inlineStr">
        <is>
          <t>FY26</t>
        </is>
      </c>
      <c r="B3459" s="19" t="inlineStr">
        <is>
          <t>Aug</t>
        </is>
      </c>
      <c r="C3459" s="19" t="inlineStr">
        <is>
          <t>Kerala</t>
        </is>
      </c>
      <c r="D3459" s="20" t="inlineStr">
        <is>
          <t>KL02AG4106</t>
        </is>
      </c>
      <c r="E3459" s="20" t="inlineStr">
        <is>
          <t>TATA</t>
        </is>
      </c>
      <c r="F3459" s="20" t="inlineStr">
        <is>
          <t>Ingigo</t>
        </is>
      </c>
      <c r="G3459" s="21" t="n">
        <v>2011</v>
      </c>
      <c r="H3459" s="22" t="n">
        <v>240000</v>
      </c>
      <c r="I3459" s="23" t="n">
        <v>55000</v>
      </c>
      <c r="J3459" s="20" t="inlineStr">
        <is>
          <t>PPS SKODA</t>
        </is>
      </c>
      <c r="K3459" s="20" t="inlineStr">
        <is>
          <t>Non-Captive</t>
        </is>
      </c>
      <c r="L3459" s="20" t="inlineStr">
        <is>
          <t>Shahar T</t>
        </is>
      </c>
      <c r="M3459" s="23" t="n">
        <v>4237</v>
      </c>
      <c r="N3459" s="23" t="n">
        <v>5000</v>
      </c>
      <c r="O3459" s="24">
        <f>IF(AND(ISNUMBER(M3459), ISNUMBER(I3459), I3459&gt;0), M3459/I3459, "")</f>
        <v/>
      </c>
    </row>
    <row r="3460">
      <c r="A3460" s="19" t="inlineStr">
        <is>
          <t>FY26</t>
        </is>
      </c>
      <c r="B3460" s="19" t="inlineStr">
        <is>
          <t>Aug</t>
        </is>
      </c>
      <c r="C3460" s="19" t="inlineStr">
        <is>
          <t>Kerala</t>
        </is>
      </c>
      <c r="D3460" s="20" t="inlineStr">
        <is>
          <t>KL02BS0310</t>
        </is>
      </c>
      <c r="E3460" s="20" t="inlineStr">
        <is>
          <t>RENAULT</t>
        </is>
      </c>
      <c r="F3460" s="20" t="inlineStr">
        <is>
          <t>Kiger</t>
        </is>
      </c>
      <c r="G3460" s="21" t="n">
        <v>2022</v>
      </c>
      <c r="H3460" s="22" t="n">
        <v>36182</v>
      </c>
      <c r="I3460" s="23" t="n">
        <v>410000</v>
      </c>
      <c r="J3460" s="20" t="inlineStr">
        <is>
          <t>KESHVIN HYUNDAI</t>
        </is>
      </c>
      <c r="K3460" s="20" t="inlineStr">
        <is>
          <t>Non-Captive</t>
        </is>
      </c>
      <c r="L3460" s="20" t="inlineStr">
        <is>
          <t>ABDUL KAHAR</t>
        </is>
      </c>
      <c r="M3460" s="23" t="n">
        <v>8475</v>
      </c>
      <c r="N3460" s="23" t="n">
        <v>10000</v>
      </c>
      <c r="O3460" s="24">
        <f>IF(AND(ISNUMBER(M3460), ISNUMBER(I3460), I3460&gt;0), M3460/I3460, "")</f>
        <v/>
      </c>
    </row>
    <row r="3461">
      <c r="A3461" s="19" t="inlineStr">
        <is>
          <t>FY26</t>
        </is>
      </c>
      <c r="B3461" s="19" t="inlineStr">
        <is>
          <t>Aug</t>
        </is>
      </c>
      <c r="C3461" s="19" t="inlineStr">
        <is>
          <t>Kerala</t>
        </is>
      </c>
      <c r="D3461" s="20" t="inlineStr">
        <is>
          <t>KL07CT8772</t>
        </is>
      </c>
      <c r="E3461" s="20" t="inlineStr">
        <is>
          <t>HYUNDAI</t>
        </is>
      </c>
      <c r="F3461" s="20" t="inlineStr">
        <is>
          <t>Venue</t>
        </is>
      </c>
      <c r="G3461" s="21" t="n">
        <v>2020</v>
      </c>
      <c r="H3461" s="22" t="n">
        <v>51216</v>
      </c>
      <c r="I3461" s="23" t="n">
        <v>405000</v>
      </c>
      <c r="J3461" s="20" t="inlineStr">
        <is>
          <t>EVM NISSAN</t>
        </is>
      </c>
      <c r="K3461" s="20" t="inlineStr">
        <is>
          <t>Non-Captive</t>
        </is>
      </c>
      <c r="L3461" s="20" t="inlineStr">
        <is>
          <t>ABDUL KAHAR</t>
        </is>
      </c>
      <c r="M3461" s="23" t="n">
        <v>12712</v>
      </c>
      <c r="N3461" s="23" t="n">
        <v>15000</v>
      </c>
      <c r="O3461" s="24">
        <f>IF(AND(ISNUMBER(M3461), ISNUMBER(I3461), I3461&gt;0), M3461/I3461, "")</f>
        <v/>
      </c>
    </row>
    <row r="3462">
      <c r="A3462" s="19" t="inlineStr">
        <is>
          <t>FY26</t>
        </is>
      </c>
      <c r="B3462" s="19" t="inlineStr">
        <is>
          <t>Aug</t>
        </is>
      </c>
      <c r="C3462" s="19" t="inlineStr">
        <is>
          <t>Kerala</t>
        </is>
      </c>
      <c r="D3462" s="20" t="inlineStr">
        <is>
          <t>KL14AA2527</t>
        </is>
      </c>
      <c r="E3462" s="20" t="inlineStr">
        <is>
          <t>TOYOTA</t>
        </is>
      </c>
      <c r="F3462" s="20" t="inlineStr">
        <is>
          <t>Etios</t>
        </is>
      </c>
      <c r="G3462" s="21" t="n">
        <v>2011</v>
      </c>
      <c r="H3462" s="22" t="n">
        <v>74000</v>
      </c>
      <c r="I3462" s="23" t="n">
        <v>185000</v>
      </c>
      <c r="J3462" s="20" t="inlineStr">
        <is>
          <t>KVR TATA</t>
        </is>
      </c>
      <c r="K3462" s="20" t="inlineStr">
        <is>
          <t>Non-Captive</t>
        </is>
      </c>
      <c r="L3462" s="20" t="inlineStr">
        <is>
          <t>KANNUR PLATINUM DRIVE</t>
        </is>
      </c>
      <c r="M3462" s="23" t="n">
        <v>4237</v>
      </c>
      <c r="N3462" s="23" t="n">
        <v>5000</v>
      </c>
      <c r="O3462" s="24">
        <f>IF(AND(ISNUMBER(M3462), ISNUMBER(I3462), I3462&gt;0), M3462/I3462, "")</f>
        <v/>
      </c>
    </row>
    <row r="3463">
      <c r="A3463" s="19" t="inlineStr">
        <is>
          <t>FY26</t>
        </is>
      </c>
      <c r="B3463" s="19" t="inlineStr">
        <is>
          <t>Aug</t>
        </is>
      </c>
      <c r="C3463" s="19" t="inlineStr">
        <is>
          <t>Kerala</t>
        </is>
      </c>
      <c r="D3463" s="20" t="inlineStr">
        <is>
          <t>KL13AR9509</t>
        </is>
      </c>
      <c r="E3463" s="20" t="inlineStr">
        <is>
          <t>TATA</t>
        </is>
      </c>
      <c r="F3463" s="20" t="inlineStr">
        <is>
          <t>Nexon</t>
        </is>
      </c>
      <c r="G3463" s="21" t="n">
        <v>2020</v>
      </c>
      <c r="H3463" s="22" t="n">
        <v>69000</v>
      </c>
      <c r="I3463" s="23" t="n">
        <v>587000</v>
      </c>
      <c r="J3463" s="20" t="inlineStr">
        <is>
          <t>KVR TATA</t>
        </is>
      </c>
      <c r="K3463" s="20" t="inlineStr">
        <is>
          <t>Non-Captive</t>
        </is>
      </c>
      <c r="L3463" s="20" t="inlineStr">
        <is>
          <t>KANNUR PLATINUM DRIVE</t>
        </is>
      </c>
      <c r="M3463" s="23" t="n">
        <v>5932</v>
      </c>
      <c r="N3463" s="23" t="n">
        <v>7000</v>
      </c>
      <c r="O3463" s="24">
        <f>IF(AND(ISNUMBER(M3463), ISNUMBER(I3463), I3463&gt;0), M3463/I3463, "")</f>
        <v/>
      </c>
    </row>
    <row r="3464">
      <c r="A3464" s="19" t="inlineStr">
        <is>
          <t>FY26</t>
        </is>
      </c>
      <c r="B3464" s="19" t="inlineStr">
        <is>
          <t>Aug</t>
        </is>
      </c>
      <c r="C3464" s="19" t="inlineStr">
        <is>
          <t>Kerala</t>
        </is>
      </c>
      <c r="D3464" s="20" t="inlineStr">
        <is>
          <t>KL40Q0223</t>
        </is>
      </c>
      <c r="E3464" s="20" t="inlineStr">
        <is>
          <t>MARUTI SUZUKI</t>
        </is>
      </c>
      <c r="F3464" s="20" t="inlineStr">
        <is>
          <t>S-Cross</t>
        </is>
      </c>
      <c r="G3464" s="21" t="n">
        <v>2018</v>
      </c>
      <c r="H3464" s="22" t="n">
        <v>148866</v>
      </c>
      <c r="I3464" s="23" t="n">
        <v>385000</v>
      </c>
      <c r="J3464" s="20" t="inlineStr">
        <is>
          <t>ABDUL SALAM P U</t>
        </is>
      </c>
      <c r="K3464" s="20" t="inlineStr">
        <is>
          <t>Non-Captive</t>
        </is>
      </c>
      <c r="L3464" s="20" t="inlineStr">
        <is>
          <t>HUSSAIN O E</t>
        </is>
      </c>
      <c r="M3464" s="23" t="n">
        <v>8475</v>
      </c>
      <c r="N3464" s="23" t="n">
        <v>10000</v>
      </c>
      <c r="O3464" s="24">
        <f>IF(AND(ISNUMBER(M3464), ISNUMBER(I3464), I3464&gt;0), M3464/I3464, "")</f>
        <v/>
      </c>
    </row>
    <row r="3465">
      <c r="A3465" s="19" t="inlineStr">
        <is>
          <t>FY27</t>
        </is>
      </c>
      <c r="B3465" s="19" t="inlineStr">
        <is>
          <t>Aug</t>
        </is>
      </c>
      <c r="C3465" s="19" t="inlineStr">
        <is>
          <t>TN</t>
        </is>
      </c>
      <c r="D3465" s="20" t="inlineStr">
        <is>
          <t>TN07BV5080</t>
        </is>
      </c>
      <c r="E3465" s="20" t="inlineStr">
        <is>
          <t>TOYOTA</t>
        </is>
      </c>
      <c r="F3465" s="20" t="inlineStr">
        <is>
          <t>Etios</t>
        </is>
      </c>
      <c r="G3465" s="21" t="n">
        <v>2013</v>
      </c>
      <c r="H3465" s="22" t="n">
        <v>163667</v>
      </c>
      <c r="I3465" s="23" t="n">
        <v>330000</v>
      </c>
      <c r="J3465" s="20" t="inlineStr">
        <is>
          <t>EXCHANGE CHENNAI</t>
        </is>
      </c>
      <c r="K3465" s="20" t="inlineStr">
        <is>
          <t>Captive</t>
        </is>
      </c>
      <c r="L3465" s="20" t="inlineStr"/>
      <c r="M3465" s="23" t="n">
        <v>8474.58</v>
      </c>
      <c r="N3465" s="23" t="n">
        <v>10000</v>
      </c>
      <c r="O3465" s="24">
        <f>IF(AND(ISNUMBER(M3465), ISNUMBER(I3465), I3465&gt;0), M3465/I3465, "")</f>
        <v/>
      </c>
    </row>
    <row r="3466">
      <c r="A3466" s="19" t="inlineStr">
        <is>
          <t>FY27</t>
        </is>
      </c>
      <c r="B3466" s="19" t="inlineStr">
        <is>
          <t>Aug</t>
        </is>
      </c>
      <c r="C3466" s="19" t="inlineStr">
        <is>
          <t>TN</t>
        </is>
      </c>
      <c r="D3466" s="20" t="inlineStr">
        <is>
          <t>TN03CZ6435</t>
        </is>
      </c>
      <c r="E3466" s="20" t="inlineStr">
        <is>
          <t>HONDA</t>
        </is>
      </c>
      <c r="F3466" s="20" t="inlineStr">
        <is>
          <t>City</t>
        </is>
      </c>
      <c r="G3466" s="21" t="n">
        <v>2019</v>
      </c>
      <c r="H3466" s="22" t="n">
        <v>109620</v>
      </c>
      <c r="I3466" s="23" t="n">
        <v>450000</v>
      </c>
      <c r="J3466" s="20" t="inlineStr"/>
      <c r="K3466" s="20" t="inlineStr">
        <is>
          <t>Non-Captive</t>
        </is>
      </c>
      <c r="L3466" s="20" t="inlineStr"/>
      <c r="M3466" s="23" t="n">
        <v>8474.58</v>
      </c>
      <c r="N3466" s="23" t="n">
        <v>10000</v>
      </c>
      <c r="O3466" s="24">
        <f>IF(AND(ISNUMBER(M3466), ISNUMBER(I3466), I3466&gt;0), M3466/I3466, "")</f>
        <v/>
      </c>
    </row>
    <row r="3467">
      <c r="A3467" s="19" t="inlineStr">
        <is>
          <t>FY27</t>
        </is>
      </c>
      <c r="B3467" s="19" t="inlineStr">
        <is>
          <t>Aug</t>
        </is>
      </c>
      <c r="C3467" s="19" t="inlineStr">
        <is>
          <t>TN</t>
        </is>
      </c>
      <c r="D3467" s="20" t="inlineStr">
        <is>
          <t>TN07F2304</t>
        </is>
      </c>
      <c r="E3467" s="20" t="inlineStr">
        <is>
          <t>MARUTI SUZUKI</t>
        </is>
      </c>
      <c r="F3467" s="20" t="inlineStr">
        <is>
          <t>Esteem</t>
        </is>
      </c>
      <c r="G3467" s="21" t="n">
        <v>1996</v>
      </c>
      <c r="H3467" s="22" t="n"/>
      <c r="I3467" s="23" t="n">
        <v>10000</v>
      </c>
      <c r="J3467" s="20" t="inlineStr"/>
      <c r="K3467" s="20" t="inlineStr">
        <is>
          <t>Non-Captive</t>
        </is>
      </c>
      <c r="L3467" s="20" t="inlineStr"/>
      <c r="M3467" s="23" t="n">
        <v>4237.29</v>
      </c>
      <c r="N3467" s="23" t="n">
        <v>5000</v>
      </c>
      <c r="O3467" s="24">
        <f>IF(AND(ISNUMBER(M3467), ISNUMBER(I3467), I3467&gt;0), M3467/I3467, "")</f>
        <v/>
      </c>
    </row>
    <row r="3468">
      <c r="A3468" s="19" t="inlineStr">
        <is>
          <t>FY27</t>
        </is>
      </c>
      <c r="B3468" s="19" t="inlineStr">
        <is>
          <t>Aug</t>
        </is>
      </c>
      <c r="C3468" s="19" t="inlineStr">
        <is>
          <t>TN</t>
        </is>
      </c>
      <c r="D3468" s="20" t="inlineStr">
        <is>
          <t>TN09CB1171</t>
        </is>
      </c>
      <c r="E3468" s="20" t="inlineStr">
        <is>
          <t>HONDA</t>
        </is>
      </c>
      <c r="F3468" s="20" t="inlineStr">
        <is>
          <t>Amaze</t>
        </is>
      </c>
      <c r="G3468" s="21" t="n">
        <v>2015</v>
      </c>
      <c r="H3468" s="22" t="n">
        <v>46271</v>
      </c>
      <c r="I3468" s="23" t="n">
        <v>300000</v>
      </c>
      <c r="J3468" s="20" t="inlineStr">
        <is>
          <t>EXCHANGE CHENNAI</t>
        </is>
      </c>
      <c r="K3468" s="20" t="inlineStr">
        <is>
          <t>Captive</t>
        </is>
      </c>
      <c r="L3468" s="20" t="inlineStr">
        <is>
          <t>Superior Cars</t>
        </is>
      </c>
      <c r="M3468" s="23" t="n">
        <v>8474.58</v>
      </c>
      <c r="N3468" s="23" t="n">
        <v>10000</v>
      </c>
      <c r="O3468" s="24">
        <f>IF(AND(ISNUMBER(M3468), ISNUMBER(I3468), I3468&gt;0), M3468/I3468, "")</f>
        <v/>
      </c>
    </row>
    <row r="3469">
      <c r="A3469" s="19" t="inlineStr">
        <is>
          <t>FY27</t>
        </is>
      </c>
      <c r="B3469" s="19" t="inlineStr">
        <is>
          <t>Aug</t>
        </is>
      </c>
      <c r="C3469" s="19" t="inlineStr">
        <is>
          <t>TN</t>
        </is>
      </c>
      <c r="D3469" s="20" t="inlineStr">
        <is>
          <t>TN09CQ7333</t>
        </is>
      </c>
      <c r="E3469" s="20" t="inlineStr">
        <is>
          <t>MARUTI SUZUKI</t>
        </is>
      </c>
      <c r="F3469" s="20" t="inlineStr">
        <is>
          <t>Baleno</t>
        </is>
      </c>
      <c r="G3469" s="21" t="n">
        <v>2018</v>
      </c>
      <c r="H3469" s="22" t="n">
        <v>52659</v>
      </c>
      <c r="I3469" s="23" t="n">
        <v>485000</v>
      </c>
      <c r="J3469" s="20" t="inlineStr">
        <is>
          <t>EXCHANGE CHENNAI</t>
        </is>
      </c>
      <c r="K3469" s="20" t="inlineStr">
        <is>
          <t>Captive</t>
        </is>
      </c>
      <c r="L3469" s="20" t="inlineStr">
        <is>
          <t>SAFIYA TRADERS</t>
        </is>
      </c>
      <c r="M3469" s="23" t="n">
        <v>8474.58</v>
      </c>
      <c r="N3469" s="23" t="n">
        <v>10000</v>
      </c>
      <c r="O3469" s="24">
        <f>IF(AND(ISNUMBER(M3469), ISNUMBER(I3469), I3469&gt;0), M3469/I3469, "")</f>
        <v/>
      </c>
    </row>
    <row r="3470">
      <c r="A3470" s="19" t="inlineStr">
        <is>
          <t>FY27</t>
        </is>
      </c>
      <c r="B3470" s="19" t="inlineStr">
        <is>
          <t>Aug</t>
        </is>
      </c>
      <c r="C3470" s="19" t="inlineStr">
        <is>
          <t>TN</t>
        </is>
      </c>
      <c r="D3470" s="20" t="inlineStr">
        <is>
          <t>TN06T9864</t>
        </is>
      </c>
      <c r="E3470" s="20" t="inlineStr">
        <is>
          <t>HYUNDAI</t>
        </is>
      </c>
      <c r="F3470" s="20" t="inlineStr">
        <is>
          <t>Xcent</t>
        </is>
      </c>
      <c r="G3470" s="21" t="n">
        <v>2017</v>
      </c>
      <c r="H3470" s="22" t="n">
        <v>53209</v>
      </c>
      <c r="I3470" s="23" t="n">
        <v>325000</v>
      </c>
      <c r="J3470" s="20" t="inlineStr">
        <is>
          <t>EXCHANGE CHENNAI</t>
        </is>
      </c>
      <c r="K3470" s="20" t="inlineStr">
        <is>
          <t>Captive</t>
        </is>
      </c>
      <c r="L3470" s="20" t="inlineStr"/>
      <c r="M3470" s="23" t="n">
        <v>8474.58</v>
      </c>
      <c r="N3470" s="23" t="n">
        <v>10000</v>
      </c>
      <c r="O3470" s="24">
        <f>IF(AND(ISNUMBER(M3470), ISNUMBER(I3470), I3470&gt;0), M3470/I3470, "")</f>
        <v/>
      </c>
    </row>
    <row r="3471">
      <c r="A3471" s="19" t="inlineStr">
        <is>
          <t>FY27</t>
        </is>
      </c>
      <c r="B3471" s="19" t="inlineStr">
        <is>
          <t>Aug</t>
        </is>
      </c>
      <c r="C3471" s="19" t="inlineStr">
        <is>
          <t>TN</t>
        </is>
      </c>
      <c r="D3471" s="20" t="inlineStr">
        <is>
          <t>TN09CD2182</t>
        </is>
      </c>
      <c r="E3471" s="20" t="inlineStr">
        <is>
          <t>HONDA</t>
        </is>
      </c>
      <c r="F3471" s="20" t="inlineStr">
        <is>
          <t>Amaze</t>
        </is>
      </c>
      <c r="G3471" s="21" t="n">
        <v>2016</v>
      </c>
      <c r="H3471" s="22" t="n">
        <v>51416</v>
      </c>
      <c r="I3471" s="23" t="n">
        <v>380000</v>
      </c>
      <c r="J3471" s="20" t="inlineStr">
        <is>
          <t>EXCHANGE CHENNAI</t>
        </is>
      </c>
      <c r="K3471" s="20" t="inlineStr">
        <is>
          <t>Captive</t>
        </is>
      </c>
      <c r="L3471" s="20" t="inlineStr"/>
      <c r="M3471" s="23" t="n">
        <v>8474.58</v>
      </c>
      <c r="N3471" s="23" t="n">
        <v>10000</v>
      </c>
      <c r="O3471" s="24">
        <f>IF(AND(ISNUMBER(M3471), ISNUMBER(I3471), I3471&gt;0), M3471/I3471, "")</f>
        <v/>
      </c>
    </row>
    <row r="3472">
      <c r="A3472" s="19" t="inlineStr">
        <is>
          <t>FY27</t>
        </is>
      </c>
      <c r="B3472" s="19" t="inlineStr">
        <is>
          <t>Aug</t>
        </is>
      </c>
      <c r="C3472" s="19" t="inlineStr">
        <is>
          <t>TN</t>
        </is>
      </c>
      <c r="D3472" s="20" t="inlineStr">
        <is>
          <t>TN09CT0866</t>
        </is>
      </c>
      <c r="E3472" s="20" t="inlineStr">
        <is>
          <t>HONDA</t>
        </is>
      </c>
      <c r="F3472" s="20" t="inlineStr">
        <is>
          <t>City</t>
        </is>
      </c>
      <c r="G3472" s="21" t="n">
        <v>2019</v>
      </c>
      <c r="H3472" s="22" t="n">
        <v>81436</v>
      </c>
      <c r="I3472" s="23" t="n">
        <v>580000</v>
      </c>
      <c r="J3472" s="20" t="inlineStr">
        <is>
          <t>EXCHANGE CHENNAI</t>
        </is>
      </c>
      <c r="K3472" s="20" t="inlineStr">
        <is>
          <t>Captive</t>
        </is>
      </c>
      <c r="L3472" s="20" t="inlineStr">
        <is>
          <t>VARSHA CARS</t>
        </is>
      </c>
      <c r="M3472" s="23" t="n">
        <v>8474.58</v>
      </c>
      <c r="N3472" s="23" t="n">
        <v>10000</v>
      </c>
      <c r="O3472" s="24">
        <f>IF(AND(ISNUMBER(M3472), ISNUMBER(I3472), I3472&gt;0), M3472/I3472, "")</f>
        <v/>
      </c>
    </row>
    <row r="3473">
      <c r="A3473" s="19" t="inlineStr">
        <is>
          <t>FY27</t>
        </is>
      </c>
      <c r="B3473" s="19" t="inlineStr">
        <is>
          <t>Aug</t>
        </is>
      </c>
      <c r="C3473" s="19" t="inlineStr">
        <is>
          <t>TN</t>
        </is>
      </c>
      <c r="D3473" s="20" t="inlineStr">
        <is>
          <t>TN09CP9851</t>
        </is>
      </c>
      <c r="E3473" s="20" t="inlineStr">
        <is>
          <t>HYUNDAI</t>
        </is>
      </c>
      <c r="F3473" s="20" t="inlineStr">
        <is>
          <t>Verna</t>
        </is>
      </c>
      <c r="G3473" s="21" t="n">
        <v>2018</v>
      </c>
      <c r="H3473" s="22" t="n">
        <v>52042</v>
      </c>
      <c r="I3473" s="23" t="n">
        <v>510000</v>
      </c>
      <c r="J3473" s="20" t="inlineStr">
        <is>
          <t>EXCHANGE CHENNAI</t>
        </is>
      </c>
      <c r="K3473" s="20" t="inlineStr">
        <is>
          <t>Captive</t>
        </is>
      </c>
      <c r="L3473" s="20" t="inlineStr">
        <is>
          <t>DEEPIKA TRADERS</t>
        </is>
      </c>
      <c r="M3473" s="23" t="n">
        <v>8474.58</v>
      </c>
      <c r="N3473" s="23" t="n">
        <v>10000</v>
      </c>
      <c r="O3473" s="24">
        <f>IF(AND(ISNUMBER(M3473), ISNUMBER(I3473), I3473&gt;0), M3473/I3473, "")</f>
        <v/>
      </c>
    </row>
    <row r="3474">
      <c r="A3474" s="19" t="inlineStr">
        <is>
          <t>FY27</t>
        </is>
      </c>
      <c r="B3474" s="19" t="inlineStr">
        <is>
          <t>Aug</t>
        </is>
      </c>
      <c r="C3474" s="19" t="inlineStr">
        <is>
          <t>TN</t>
        </is>
      </c>
      <c r="D3474" s="20" t="inlineStr">
        <is>
          <t>TN07CQ2597</t>
        </is>
      </c>
      <c r="E3474" s="20" t="inlineStr">
        <is>
          <t>MARUTI SUZUKI</t>
        </is>
      </c>
      <c r="F3474" s="20" t="inlineStr">
        <is>
          <t>Swift</t>
        </is>
      </c>
      <c r="G3474" s="21" t="n">
        <v>2018</v>
      </c>
      <c r="H3474" s="22" t="n">
        <v>86647</v>
      </c>
      <c r="I3474" s="23" t="n">
        <v>450000</v>
      </c>
      <c r="J3474" s="20" t="inlineStr">
        <is>
          <t>EXCHANGE CHENNAI</t>
        </is>
      </c>
      <c r="K3474" s="20" t="inlineStr">
        <is>
          <t>Captive</t>
        </is>
      </c>
      <c r="L3474" s="20" t="inlineStr">
        <is>
          <t>Murali Cars</t>
        </is>
      </c>
      <c r="M3474" s="23" t="n">
        <v>8474.58</v>
      </c>
      <c r="N3474" s="23" t="n">
        <v>10000</v>
      </c>
      <c r="O3474" s="24">
        <f>IF(AND(ISNUMBER(M3474), ISNUMBER(I3474), I3474&gt;0), M3474/I3474, "")</f>
        <v/>
      </c>
    </row>
    <row r="3475">
      <c r="A3475" s="19" t="inlineStr">
        <is>
          <t>FY27</t>
        </is>
      </c>
      <c r="B3475" s="19" t="inlineStr">
        <is>
          <t>Aug</t>
        </is>
      </c>
      <c r="C3475" s="19" t="inlineStr">
        <is>
          <t>TN</t>
        </is>
      </c>
      <c r="D3475" s="20" t="inlineStr">
        <is>
          <t>TN09CA1793</t>
        </is>
      </c>
      <c r="E3475" s="20" t="inlineStr">
        <is>
          <t>HONDA</t>
        </is>
      </c>
      <c r="F3475" s="20" t="inlineStr">
        <is>
          <t>Amaze</t>
        </is>
      </c>
      <c r="G3475" s="21" t="n">
        <v>2015</v>
      </c>
      <c r="H3475" s="22" t="n">
        <v>26203</v>
      </c>
      <c r="I3475" s="23" t="n">
        <v>300000</v>
      </c>
      <c r="J3475" s="20" t="inlineStr">
        <is>
          <t>EXCHANGE CHENNAI</t>
        </is>
      </c>
      <c r="K3475" s="20" t="inlineStr">
        <is>
          <t>Captive</t>
        </is>
      </c>
      <c r="L3475" s="20" t="inlineStr">
        <is>
          <t>SHENBAGAMOORTHI CARS</t>
        </is>
      </c>
      <c r="M3475" s="23" t="n">
        <v>8474.58</v>
      </c>
      <c r="N3475" s="23" t="n">
        <v>10000</v>
      </c>
      <c r="O3475" s="24">
        <f>IF(AND(ISNUMBER(M3475), ISNUMBER(I3475), I3475&gt;0), M3475/I3475, "")</f>
        <v/>
      </c>
    </row>
    <row r="3476">
      <c r="A3476" s="19" t="inlineStr">
        <is>
          <t>FY27</t>
        </is>
      </c>
      <c r="B3476" s="19" t="inlineStr">
        <is>
          <t>Aug</t>
        </is>
      </c>
      <c r="C3476" s="19" t="inlineStr">
        <is>
          <t>TN</t>
        </is>
      </c>
      <c r="D3476" s="20" t="inlineStr">
        <is>
          <t>TN13D7355</t>
        </is>
      </c>
      <c r="E3476" s="20" t="inlineStr">
        <is>
          <t>HONDA</t>
        </is>
      </c>
      <c r="F3476" s="20" t="inlineStr">
        <is>
          <t>Jazz</t>
        </is>
      </c>
      <c r="G3476" s="21" t="n">
        <v>2015</v>
      </c>
      <c r="H3476" s="22" t="n">
        <v>112419</v>
      </c>
      <c r="I3476" s="23" t="n">
        <v>290000</v>
      </c>
      <c r="J3476" s="20" t="inlineStr">
        <is>
          <t>EXCHANGE CHENNAI</t>
        </is>
      </c>
      <c r="K3476" s="20" t="inlineStr">
        <is>
          <t>Captive</t>
        </is>
      </c>
      <c r="L3476" s="20" t="inlineStr"/>
      <c r="M3476" s="23" t="n">
        <v>8474.58</v>
      </c>
      <c r="N3476" s="23" t="n">
        <v>10000</v>
      </c>
      <c r="O3476" s="24">
        <f>IF(AND(ISNUMBER(M3476), ISNUMBER(I3476), I3476&gt;0), M3476/I3476, "")</f>
        <v/>
      </c>
    </row>
    <row r="3477">
      <c r="A3477" s="19" t="inlineStr">
        <is>
          <t>FY27</t>
        </is>
      </c>
      <c r="B3477" s="19" t="inlineStr">
        <is>
          <t>Aug</t>
        </is>
      </c>
      <c r="C3477" s="19" t="inlineStr">
        <is>
          <t>TN</t>
        </is>
      </c>
      <c r="D3477" s="20" t="inlineStr">
        <is>
          <t>TN10AV8930</t>
        </is>
      </c>
      <c r="E3477" s="20" t="inlineStr">
        <is>
          <t>HONDA</t>
        </is>
      </c>
      <c r="F3477" s="20" t="inlineStr">
        <is>
          <t>City</t>
        </is>
      </c>
      <c r="G3477" s="21" t="n">
        <v>2016</v>
      </c>
      <c r="H3477" s="22" t="n">
        <v>91513</v>
      </c>
      <c r="I3477" s="23" t="n">
        <v>498000</v>
      </c>
      <c r="J3477" s="20" t="inlineStr"/>
      <c r="K3477" s="20" t="inlineStr">
        <is>
          <t>Non-Captive</t>
        </is>
      </c>
      <c r="L3477" s="20" t="inlineStr"/>
      <c r="M3477" s="23" t="n">
        <v>10169.49</v>
      </c>
      <c r="N3477" s="23" t="n">
        <v>12000</v>
      </c>
      <c r="O3477" s="24">
        <f>IF(AND(ISNUMBER(M3477), ISNUMBER(I3477), I3477&gt;0), M3477/I3477, "")</f>
        <v/>
      </c>
    </row>
    <row r="3478">
      <c r="A3478" s="19" t="inlineStr">
        <is>
          <t>FY27</t>
        </is>
      </c>
      <c r="B3478" s="19" t="inlineStr">
        <is>
          <t>Aug</t>
        </is>
      </c>
      <c r="C3478" s="19" t="inlineStr">
        <is>
          <t>TN</t>
        </is>
      </c>
      <c r="D3478" s="20" t="inlineStr">
        <is>
          <t>TN04AS8181</t>
        </is>
      </c>
      <c r="E3478" s="20" t="inlineStr">
        <is>
          <t>HONDA</t>
        </is>
      </c>
      <c r="F3478" s="20" t="inlineStr">
        <is>
          <t>City</t>
        </is>
      </c>
      <c r="G3478" s="21" t="n">
        <v>2017</v>
      </c>
      <c r="H3478" s="22" t="n">
        <v>74247</v>
      </c>
      <c r="I3478" s="23" t="n">
        <v>525000</v>
      </c>
      <c r="J3478" s="20" t="inlineStr"/>
      <c r="K3478" s="20" t="inlineStr">
        <is>
          <t>Non-Captive</t>
        </is>
      </c>
      <c r="L3478" s="20" t="inlineStr"/>
      <c r="M3478" s="23" t="n">
        <v>8474.58</v>
      </c>
      <c r="N3478" s="23" t="n">
        <v>10000</v>
      </c>
      <c r="O3478" s="24">
        <f>IF(AND(ISNUMBER(M3478), ISNUMBER(I3478), I3478&gt;0), M3478/I3478, "")</f>
        <v/>
      </c>
    </row>
    <row r="3479">
      <c r="A3479" s="19" t="inlineStr">
        <is>
          <t>FY27</t>
        </is>
      </c>
      <c r="B3479" s="19" t="inlineStr">
        <is>
          <t>Aug</t>
        </is>
      </c>
      <c r="C3479" s="19" t="inlineStr">
        <is>
          <t>TN</t>
        </is>
      </c>
      <c r="D3479" s="20" t="inlineStr">
        <is>
          <t>TN09BE0056</t>
        </is>
      </c>
      <c r="E3479" s="20" t="inlineStr">
        <is>
          <t>TOYOTA</t>
        </is>
      </c>
      <c r="F3479" s="20" t="inlineStr">
        <is>
          <t>Corolla</t>
        </is>
      </c>
      <c r="G3479" s="21" t="n">
        <v>2010</v>
      </c>
      <c r="H3479" s="22" t="n">
        <v>138308</v>
      </c>
      <c r="I3479" s="23" t="n">
        <v>170000</v>
      </c>
      <c r="J3479" s="20" t="inlineStr">
        <is>
          <t>EXCHANGE CHENNAI</t>
        </is>
      </c>
      <c r="K3479" s="20" t="inlineStr">
        <is>
          <t>Captive</t>
        </is>
      </c>
      <c r="L3479" s="20" t="inlineStr">
        <is>
          <t>Murali Cars</t>
        </is>
      </c>
      <c r="M3479" s="23" t="n">
        <v>8474.58</v>
      </c>
      <c r="N3479" s="23" t="n">
        <v>10000</v>
      </c>
      <c r="O3479" s="24">
        <f>IF(AND(ISNUMBER(M3479), ISNUMBER(I3479), I3479&gt;0), M3479/I3479, "")</f>
        <v/>
      </c>
    </row>
    <row r="3480">
      <c r="A3480" s="19" t="inlineStr">
        <is>
          <t>FY27</t>
        </is>
      </c>
      <c r="B3480" s="19" t="inlineStr">
        <is>
          <t>Aug</t>
        </is>
      </c>
      <c r="C3480" s="19" t="inlineStr">
        <is>
          <t>TN</t>
        </is>
      </c>
      <c r="D3480" s="20" t="inlineStr">
        <is>
          <t>TN09CX7233</t>
        </is>
      </c>
      <c r="E3480" s="20" t="inlineStr">
        <is>
          <t>MARUTI SUZUKI</t>
        </is>
      </c>
      <c r="F3480" s="20" t="inlineStr">
        <is>
          <t>Breeza</t>
        </is>
      </c>
      <c r="G3480" s="21" t="n">
        <v>2021</v>
      </c>
      <c r="H3480" s="22" t="n">
        <v>81456</v>
      </c>
      <c r="I3480" s="23" t="n">
        <v>560000</v>
      </c>
      <c r="J3480" s="20" t="inlineStr">
        <is>
          <t>EXCHANGE CHENNAI</t>
        </is>
      </c>
      <c r="K3480" s="20" t="inlineStr">
        <is>
          <t>Captive</t>
        </is>
      </c>
      <c r="L3480" s="20" t="inlineStr">
        <is>
          <t>DEEPIKA TRADERS</t>
        </is>
      </c>
      <c r="M3480" s="23" t="n">
        <v>8474.58</v>
      </c>
      <c r="N3480" s="23" t="n">
        <v>10000</v>
      </c>
      <c r="O3480" s="24">
        <f>IF(AND(ISNUMBER(M3480), ISNUMBER(I3480), I3480&gt;0), M3480/I3480, "")</f>
        <v/>
      </c>
    </row>
    <row r="3481">
      <c r="A3481" s="19" t="inlineStr">
        <is>
          <t>FY27</t>
        </is>
      </c>
      <c r="B3481" s="19" t="inlineStr">
        <is>
          <t>Aug</t>
        </is>
      </c>
      <c r="C3481" s="19" t="inlineStr">
        <is>
          <t>TN</t>
        </is>
      </c>
      <c r="D3481" s="20" t="inlineStr">
        <is>
          <t>TN59AH7445</t>
        </is>
      </c>
      <c r="E3481" s="20" t="inlineStr">
        <is>
          <t>HYUNDAI</t>
        </is>
      </c>
      <c r="F3481" s="20" t="inlineStr">
        <is>
          <t>Santro</t>
        </is>
      </c>
      <c r="G3481" s="21" t="n">
        <v>2008</v>
      </c>
      <c r="H3481" s="22" t="n">
        <v>156458</v>
      </c>
      <c r="I3481" s="23" t="n">
        <v>85000</v>
      </c>
      <c r="J3481" s="20" t="inlineStr">
        <is>
          <t>EXCHANGE ROTN</t>
        </is>
      </c>
      <c r="K3481" s="20" t="inlineStr">
        <is>
          <t>Captive</t>
        </is>
      </c>
      <c r="L3481" s="20" t="inlineStr">
        <is>
          <t>MAK CARS</t>
        </is>
      </c>
      <c r="M3481" s="23" t="n">
        <v>4237.29</v>
      </c>
      <c r="N3481" s="23" t="n">
        <v>5000</v>
      </c>
      <c r="O3481" s="24">
        <f>IF(AND(ISNUMBER(M3481), ISNUMBER(I3481), I3481&gt;0), M3481/I3481, "")</f>
        <v/>
      </c>
    </row>
    <row r="3482">
      <c r="A3482" s="19" t="inlineStr">
        <is>
          <t>FY27</t>
        </is>
      </c>
      <c r="B3482" s="19" t="inlineStr">
        <is>
          <t>Aug</t>
        </is>
      </c>
      <c r="C3482" s="19" t="inlineStr">
        <is>
          <t>TN</t>
        </is>
      </c>
      <c r="D3482" s="20" t="inlineStr">
        <is>
          <t>TN77E1399</t>
        </is>
      </c>
      <c r="E3482" s="20" t="inlineStr">
        <is>
          <t>HONDA</t>
        </is>
      </c>
      <c r="F3482" s="20" t="inlineStr">
        <is>
          <t>Amaze</t>
        </is>
      </c>
      <c r="G3482" s="21" t="n">
        <v>2014</v>
      </c>
      <c r="H3482" s="22" t="n">
        <v>297067</v>
      </c>
      <c r="I3482" s="23" t="n">
        <v>230000</v>
      </c>
      <c r="J3482" s="20" t="inlineStr">
        <is>
          <t>EXCHANGE ROTN</t>
        </is>
      </c>
      <c r="K3482" s="20" t="inlineStr">
        <is>
          <t>Captive</t>
        </is>
      </c>
      <c r="L3482" s="20" t="inlineStr">
        <is>
          <t>Hasini Cars</t>
        </is>
      </c>
      <c r="M3482" s="23" t="n">
        <v>4237.29</v>
      </c>
      <c r="N3482" s="23" t="n">
        <v>5000</v>
      </c>
      <c r="O3482" s="24">
        <f>IF(AND(ISNUMBER(M3482), ISNUMBER(I3482), I3482&gt;0), M3482/I3482, "")</f>
        <v/>
      </c>
    </row>
    <row r="3483">
      <c r="A3483" s="19" t="inlineStr">
        <is>
          <t>FY27</t>
        </is>
      </c>
      <c r="B3483" s="19" t="inlineStr">
        <is>
          <t>Aug</t>
        </is>
      </c>
      <c r="C3483" s="19" t="inlineStr">
        <is>
          <t>TN</t>
        </is>
      </c>
      <c r="D3483" s="20" t="inlineStr">
        <is>
          <t>TN39CF6999</t>
        </is>
      </c>
      <c r="E3483" s="20" t="inlineStr">
        <is>
          <t>HONDA</t>
        </is>
      </c>
      <c r="F3483" s="20" t="inlineStr">
        <is>
          <t>Amaze</t>
        </is>
      </c>
      <c r="G3483" s="21" t="n">
        <v>2018</v>
      </c>
      <c r="H3483" s="22" t="n">
        <v>96565</v>
      </c>
      <c r="I3483" s="23" t="n">
        <v>275000</v>
      </c>
      <c r="J3483" s="20" t="inlineStr">
        <is>
          <t>EXCHANGE ROTN</t>
        </is>
      </c>
      <c r="K3483" s="20" t="inlineStr">
        <is>
          <t>Captive</t>
        </is>
      </c>
      <c r="L3483" s="20" t="inlineStr">
        <is>
          <t>Chanakya Cars</t>
        </is>
      </c>
      <c r="M3483" s="23" t="n">
        <v>8474.58</v>
      </c>
      <c r="N3483" s="23" t="n">
        <v>10000</v>
      </c>
      <c r="O3483" s="24">
        <f>IF(AND(ISNUMBER(M3483), ISNUMBER(I3483), I3483&gt;0), M3483/I3483, "")</f>
        <v/>
      </c>
    </row>
    <row r="3484">
      <c r="A3484" s="19" t="inlineStr">
        <is>
          <t>FY27</t>
        </is>
      </c>
      <c r="B3484" s="19" t="inlineStr">
        <is>
          <t>Aug</t>
        </is>
      </c>
      <c r="C3484" s="19" t="inlineStr">
        <is>
          <t>TN</t>
        </is>
      </c>
      <c r="D3484" s="20" t="inlineStr">
        <is>
          <t>TN42AJ6241</t>
        </is>
      </c>
      <c r="E3484" s="20" t="inlineStr">
        <is>
          <t>HONDA</t>
        </is>
      </c>
      <c r="F3484" s="20" t="inlineStr">
        <is>
          <t>Amaze</t>
        </is>
      </c>
      <c r="G3484" s="21" t="n">
        <v>2022</v>
      </c>
      <c r="H3484" s="22" t="n">
        <v>54422</v>
      </c>
      <c r="I3484" s="23" t="n">
        <v>475000</v>
      </c>
      <c r="J3484" s="20" t="inlineStr">
        <is>
          <t>EXCHANGE ROTN</t>
        </is>
      </c>
      <c r="K3484" s="20" t="inlineStr">
        <is>
          <t>Captive</t>
        </is>
      </c>
      <c r="L3484" s="20" t="inlineStr">
        <is>
          <t>Chanakya Cars</t>
        </is>
      </c>
      <c r="M3484" s="23" t="n">
        <v>8474.58</v>
      </c>
      <c r="N3484" s="23" t="n">
        <v>10000</v>
      </c>
      <c r="O3484" s="24">
        <f>IF(AND(ISNUMBER(M3484), ISNUMBER(I3484), I3484&gt;0), M3484/I3484, "")</f>
        <v/>
      </c>
    </row>
    <row r="3485">
      <c r="A3485" s="19" t="inlineStr">
        <is>
          <t>FY27</t>
        </is>
      </c>
      <c r="B3485" s="19" t="inlineStr">
        <is>
          <t>Aug</t>
        </is>
      </c>
      <c r="C3485" s="19" t="inlineStr">
        <is>
          <t>TN</t>
        </is>
      </c>
      <c r="D3485" s="20" t="inlineStr">
        <is>
          <t>TN66A1051</t>
        </is>
      </c>
      <c r="E3485" s="20" t="inlineStr">
        <is>
          <t>MARUTI SUZUKI</t>
        </is>
      </c>
      <c r="F3485" s="20" t="inlineStr">
        <is>
          <t>Ritz</t>
        </is>
      </c>
      <c r="G3485" s="21" t="n">
        <v>2009</v>
      </c>
      <c r="H3485" s="22" t="n">
        <v>135197</v>
      </c>
      <c r="I3485" s="23" t="n">
        <v>175000</v>
      </c>
      <c r="J3485" s="20" t="inlineStr">
        <is>
          <t>EXCHANGE ROTN</t>
        </is>
      </c>
      <c r="K3485" s="20" t="inlineStr">
        <is>
          <t>Captive</t>
        </is>
      </c>
      <c r="L3485" s="20" t="inlineStr"/>
      <c r="M3485" s="23" t="n">
        <v>4237.29</v>
      </c>
      <c r="N3485" s="23" t="n">
        <v>5000</v>
      </c>
      <c r="O3485" s="24">
        <f>IF(AND(ISNUMBER(M3485), ISNUMBER(I3485), I3485&gt;0), M3485/I3485, "")</f>
        <v/>
      </c>
    </row>
    <row r="3486">
      <c r="A3486" s="19" t="inlineStr">
        <is>
          <t>FY27</t>
        </is>
      </c>
      <c r="B3486" s="19" t="inlineStr">
        <is>
          <t>Aug</t>
        </is>
      </c>
      <c r="C3486" s="19" t="inlineStr">
        <is>
          <t>TN</t>
        </is>
      </c>
      <c r="D3486" s="20" t="inlineStr">
        <is>
          <t>TN03K2179</t>
        </is>
      </c>
      <c r="E3486" s="20" t="inlineStr">
        <is>
          <t>MARUTI SUZUKI</t>
        </is>
      </c>
      <c r="F3486" s="20" t="inlineStr">
        <is>
          <t>Alto</t>
        </is>
      </c>
      <c r="G3486" s="21" t="n">
        <v>2012</v>
      </c>
      <c r="H3486" s="22" t="n">
        <v>55255</v>
      </c>
      <c r="I3486" s="23" t="n">
        <v>180000</v>
      </c>
      <c r="J3486" s="20" t="inlineStr"/>
      <c r="K3486" s="20" t="inlineStr">
        <is>
          <t>Non-Captive</t>
        </is>
      </c>
      <c r="L3486" s="20" t="inlineStr">
        <is>
          <t>DEERAA CARS</t>
        </is>
      </c>
      <c r="M3486" s="23" t="n">
        <v>4237.29</v>
      </c>
      <c r="N3486" s="23" t="n">
        <v>5000</v>
      </c>
      <c r="O3486" s="24">
        <f>IF(AND(ISNUMBER(M3486), ISNUMBER(I3486), I3486&gt;0), M3486/I3486, "")</f>
        <v/>
      </c>
    </row>
    <row r="3487">
      <c r="A3487" s="19" t="inlineStr">
        <is>
          <t>FY27</t>
        </is>
      </c>
      <c r="B3487" s="19" t="inlineStr">
        <is>
          <t>Aug</t>
        </is>
      </c>
      <c r="C3487" s="19" t="inlineStr">
        <is>
          <t>TN</t>
        </is>
      </c>
      <c r="D3487" s="20" t="inlineStr">
        <is>
          <t>TN39AX5166</t>
        </is>
      </c>
      <c r="E3487" s="20" t="inlineStr">
        <is>
          <t>TATA</t>
        </is>
      </c>
      <c r="F3487" s="20" t="inlineStr">
        <is>
          <t>Manza</t>
        </is>
      </c>
      <c r="G3487" s="21" t="n">
        <v>2010</v>
      </c>
      <c r="H3487" s="22" t="n">
        <v>223246</v>
      </c>
      <c r="I3487" s="23" t="n">
        <v>90000</v>
      </c>
      <c r="J3487" s="20" t="inlineStr">
        <is>
          <t>S M CAR PRIVATE LIMITED</t>
        </is>
      </c>
      <c r="K3487" s="20" t="inlineStr">
        <is>
          <t>Non-Captive</t>
        </is>
      </c>
      <c r="L3487" s="20" t="inlineStr">
        <is>
          <t>Chanakya Cars</t>
        </is>
      </c>
      <c r="M3487" s="23" t="n">
        <v>4237.29</v>
      </c>
      <c r="N3487" s="23" t="n">
        <v>5000</v>
      </c>
      <c r="O3487" s="24">
        <f>IF(AND(ISNUMBER(M3487), ISNUMBER(I3487), I3487&gt;0), M3487/I3487, "")</f>
        <v/>
      </c>
    </row>
    <row r="3488">
      <c r="A3488" s="19" t="inlineStr">
        <is>
          <t>FY27</t>
        </is>
      </c>
      <c r="B3488" s="19" t="inlineStr">
        <is>
          <t>Aug</t>
        </is>
      </c>
      <c r="C3488" s="19" t="inlineStr">
        <is>
          <t>TN</t>
        </is>
      </c>
      <c r="D3488" s="20" t="inlineStr">
        <is>
          <t>TN23BH9586</t>
        </is>
      </c>
      <c r="E3488" s="20" t="inlineStr">
        <is>
          <t>FORD</t>
        </is>
      </c>
      <c r="F3488" s="20" t="inlineStr">
        <is>
          <t>Figo</t>
        </is>
      </c>
      <c r="G3488" s="21" t="n">
        <v>2014</v>
      </c>
      <c r="H3488" s="22" t="n">
        <v>140090</v>
      </c>
      <c r="I3488" s="23" t="n">
        <v>110000</v>
      </c>
      <c r="J3488" s="20" t="inlineStr">
        <is>
          <t>S M CAR PRIVATE LIMITED</t>
        </is>
      </c>
      <c r="K3488" s="20" t="inlineStr">
        <is>
          <t>Non-Captive</t>
        </is>
      </c>
      <c r="L3488" s="20" t="inlineStr">
        <is>
          <t>Murali Cars</t>
        </is>
      </c>
      <c r="M3488" s="23" t="n">
        <v>4237.29</v>
      </c>
      <c r="N3488" s="23" t="n">
        <v>5000</v>
      </c>
      <c r="O3488" s="24">
        <f>IF(AND(ISNUMBER(M3488), ISNUMBER(I3488), I3488&gt;0), M3488/I3488, "")</f>
        <v/>
      </c>
    </row>
    <row r="3489">
      <c r="A3489" s="19" t="inlineStr">
        <is>
          <t>FY27</t>
        </is>
      </c>
      <c r="B3489" s="19" t="inlineStr">
        <is>
          <t>Aug</t>
        </is>
      </c>
      <c r="C3489" s="19" t="inlineStr">
        <is>
          <t>TN</t>
        </is>
      </c>
      <c r="D3489" s="20" t="inlineStr">
        <is>
          <t>TN30AH6633</t>
        </is>
      </c>
      <c r="E3489" s="20" t="inlineStr">
        <is>
          <t>FIAT</t>
        </is>
      </c>
      <c r="F3489" s="20" t="inlineStr">
        <is>
          <t>Linea</t>
        </is>
      </c>
      <c r="G3489" s="21" t="n">
        <v>2010</v>
      </c>
      <c r="H3489" s="22" t="n">
        <v>144905</v>
      </c>
      <c r="I3489" s="23" t="n">
        <v>90000</v>
      </c>
      <c r="J3489" s="20" t="inlineStr">
        <is>
          <t>S M CAR PRIVATE LIMITED</t>
        </is>
      </c>
      <c r="K3489" s="20" t="inlineStr">
        <is>
          <t>Non-Captive</t>
        </is>
      </c>
      <c r="L3489" s="20" t="inlineStr">
        <is>
          <t>CAR VAULT</t>
        </is>
      </c>
      <c r="M3489" s="23" t="n">
        <v>4237.29</v>
      </c>
      <c r="N3489" s="23" t="n">
        <v>5000</v>
      </c>
      <c r="O3489" s="24">
        <f>IF(AND(ISNUMBER(M3489), ISNUMBER(I3489), I3489&gt;0), M3489/I3489, "")</f>
        <v/>
      </c>
    </row>
    <row r="3490">
      <c r="A3490" s="19" t="inlineStr">
        <is>
          <t>FY27</t>
        </is>
      </c>
      <c r="B3490" s="19" t="inlineStr">
        <is>
          <t>Aug</t>
        </is>
      </c>
      <c r="C3490" s="19" t="inlineStr">
        <is>
          <t>TN</t>
        </is>
      </c>
      <c r="D3490" s="20" t="inlineStr">
        <is>
          <t>TN55U8822</t>
        </is>
      </c>
      <c r="E3490" s="20" t="inlineStr">
        <is>
          <t>TATA</t>
        </is>
      </c>
      <c r="F3490" s="20" t="inlineStr">
        <is>
          <t>Vista</t>
        </is>
      </c>
      <c r="G3490" s="21" t="n">
        <v>2010</v>
      </c>
      <c r="H3490" s="22" t="n">
        <v>150297</v>
      </c>
      <c r="I3490" s="23" t="n">
        <v>80000</v>
      </c>
      <c r="J3490" s="20" t="inlineStr">
        <is>
          <t>SGA MOTORS INDIA PRIVATE LIMITED</t>
        </is>
      </c>
      <c r="K3490" s="20" t="inlineStr">
        <is>
          <t>Non-Captive</t>
        </is>
      </c>
      <c r="L3490" s="20" t="inlineStr">
        <is>
          <t>AAA CARS</t>
        </is>
      </c>
      <c r="M3490" s="23" t="n">
        <v>4237.29</v>
      </c>
      <c r="N3490" s="23" t="n">
        <v>5000</v>
      </c>
      <c r="O3490" s="24">
        <f>IF(AND(ISNUMBER(M3490), ISNUMBER(I3490), I3490&gt;0), M3490/I3490, "")</f>
        <v/>
      </c>
    </row>
    <row r="3491">
      <c r="A3491" s="19" t="inlineStr">
        <is>
          <t>FY27</t>
        </is>
      </c>
      <c r="B3491" s="19" t="inlineStr">
        <is>
          <t>Aug</t>
        </is>
      </c>
      <c r="C3491" s="19" t="inlineStr">
        <is>
          <t>TN</t>
        </is>
      </c>
      <c r="D3491" s="20" t="inlineStr">
        <is>
          <t>TN02BK8408</t>
        </is>
      </c>
      <c r="E3491" s="20" t="inlineStr">
        <is>
          <t>HONDA</t>
        </is>
      </c>
      <c r="F3491" s="20" t="inlineStr">
        <is>
          <t>City</t>
        </is>
      </c>
      <c r="G3491" s="21" t="n">
        <v>2017</v>
      </c>
      <c r="H3491" s="22" t="n">
        <v>131510</v>
      </c>
      <c r="I3491" s="23" t="n">
        <v>490000</v>
      </c>
      <c r="J3491" s="20" t="inlineStr">
        <is>
          <t>EXCHANGE ROTN</t>
        </is>
      </c>
      <c r="K3491" s="20" t="inlineStr">
        <is>
          <t>Captive</t>
        </is>
      </c>
      <c r="L3491" s="20" t="inlineStr"/>
      <c r="M3491" s="23" t="n">
        <v>8474.58</v>
      </c>
      <c r="N3491" s="23" t="n">
        <v>10000</v>
      </c>
      <c r="O3491" s="24">
        <f>IF(AND(ISNUMBER(M3491), ISNUMBER(I3491), I3491&gt;0), M3491/I3491, "")</f>
        <v/>
      </c>
    </row>
    <row r="3492">
      <c r="A3492" s="19" t="inlineStr">
        <is>
          <t>FY27</t>
        </is>
      </c>
      <c r="B3492" s="19" t="inlineStr">
        <is>
          <t>Aug</t>
        </is>
      </c>
      <c r="C3492" s="19" t="inlineStr">
        <is>
          <t>TN</t>
        </is>
      </c>
      <c r="D3492" s="20" t="inlineStr">
        <is>
          <t>TN30F6465</t>
        </is>
      </c>
      <c r="E3492" s="20" t="inlineStr">
        <is>
          <t>MARUTI SUZUKI</t>
        </is>
      </c>
      <c r="F3492" s="20" t="inlineStr">
        <is>
          <t>Alto</t>
        </is>
      </c>
      <c r="G3492" s="21" t="n">
        <v>2004</v>
      </c>
      <c r="H3492" s="22" t="n">
        <v>69209</v>
      </c>
      <c r="I3492" s="23" t="n">
        <v>60000</v>
      </c>
      <c r="J3492" s="20" t="inlineStr">
        <is>
          <t>S M CAR PRIVATE LIMITED</t>
        </is>
      </c>
      <c r="K3492" s="20" t="inlineStr">
        <is>
          <t>Non-Captive</t>
        </is>
      </c>
      <c r="L3492" s="20" t="inlineStr"/>
      <c r="M3492" s="23" t="n">
        <v>4237.29</v>
      </c>
      <c r="N3492" s="23" t="n">
        <v>5000</v>
      </c>
      <c r="O3492" s="24">
        <f>IF(AND(ISNUMBER(M3492), ISNUMBER(I3492), I3492&gt;0), M3492/I3492, "")</f>
        <v/>
      </c>
    </row>
    <row r="3493">
      <c r="A3493" s="19" t="inlineStr">
        <is>
          <t>FY27</t>
        </is>
      </c>
      <c r="B3493" s="19" t="inlineStr">
        <is>
          <t>Aug</t>
        </is>
      </c>
      <c r="C3493" s="19" t="inlineStr">
        <is>
          <t>TN</t>
        </is>
      </c>
      <c r="D3493" s="20" t="inlineStr">
        <is>
          <t>TN28AM3832</t>
        </is>
      </c>
      <c r="E3493" s="20" t="inlineStr">
        <is>
          <t>TATA</t>
        </is>
      </c>
      <c r="F3493" s="20" t="inlineStr">
        <is>
          <t>Indica</t>
        </is>
      </c>
      <c r="G3493" s="21" t="n">
        <v>2012</v>
      </c>
      <c r="H3493" s="22" t="n">
        <v>318011</v>
      </c>
      <c r="I3493" s="23" t="n">
        <v>75000</v>
      </c>
      <c r="J3493" s="20" t="inlineStr">
        <is>
          <t>S M CAR PRIVATE LIMITED</t>
        </is>
      </c>
      <c r="K3493" s="20" t="inlineStr">
        <is>
          <t>Non-Captive</t>
        </is>
      </c>
      <c r="L3493" s="20" t="inlineStr">
        <is>
          <t>AAA CARS</t>
        </is>
      </c>
      <c r="M3493" s="23" t="n">
        <v>4237.29</v>
      </c>
      <c r="N3493" s="23" t="n">
        <v>5000</v>
      </c>
      <c r="O3493" s="24">
        <f>IF(AND(ISNUMBER(M3493), ISNUMBER(I3493), I3493&gt;0), M3493/I3493, "")</f>
        <v/>
      </c>
    </row>
    <row r="3494">
      <c r="A3494" s="19" t="inlineStr">
        <is>
          <t>FY27</t>
        </is>
      </c>
      <c r="B3494" s="19" t="inlineStr">
        <is>
          <t>Aug</t>
        </is>
      </c>
      <c r="C3494" s="19" t="inlineStr">
        <is>
          <t>TN</t>
        </is>
      </c>
      <c r="D3494" s="20" t="inlineStr">
        <is>
          <t>TN10AD7381</t>
        </is>
      </c>
      <c r="E3494" s="20" t="inlineStr">
        <is>
          <t>HYUNDAI</t>
        </is>
      </c>
      <c r="F3494" s="20" t="inlineStr">
        <is>
          <t>I 20</t>
        </is>
      </c>
      <c r="G3494" s="21" t="n">
        <v>2011</v>
      </c>
      <c r="H3494" s="22" t="n">
        <v>170142</v>
      </c>
      <c r="I3494" s="23" t="n">
        <v>95000</v>
      </c>
      <c r="J3494" s="20" t="inlineStr">
        <is>
          <t>SGA MOTORS INDIA PRIVATE LIMITED</t>
        </is>
      </c>
      <c r="K3494" s="20" t="inlineStr">
        <is>
          <t>Non-Captive</t>
        </is>
      </c>
      <c r="L3494" s="20" t="inlineStr">
        <is>
          <t>A A CARS</t>
        </is>
      </c>
      <c r="M3494" s="23" t="n">
        <v>4237.29</v>
      </c>
      <c r="N3494" s="23" t="n">
        <v>5000</v>
      </c>
      <c r="O3494" s="24">
        <f>IF(AND(ISNUMBER(M3494), ISNUMBER(I3494), I3494&gt;0), M3494/I3494, "")</f>
        <v/>
      </c>
    </row>
    <row r="3495">
      <c r="A3495" s="19" t="inlineStr">
        <is>
          <t>FY27</t>
        </is>
      </c>
      <c r="B3495" s="19" t="inlineStr">
        <is>
          <t>Aug</t>
        </is>
      </c>
      <c r="C3495" s="19" t="inlineStr">
        <is>
          <t>TN</t>
        </is>
      </c>
      <c r="D3495" s="20" t="inlineStr">
        <is>
          <t>TN13T5653</t>
        </is>
      </c>
      <c r="E3495" s="20" t="inlineStr">
        <is>
          <t>MARUTI SUZUKI</t>
        </is>
      </c>
      <c r="F3495" s="20" t="inlineStr">
        <is>
          <t>Xl6</t>
        </is>
      </c>
      <c r="G3495" s="21" t="n">
        <v>2019</v>
      </c>
      <c r="H3495" s="22" t="n">
        <v>171595</v>
      </c>
      <c r="I3495" s="23" t="n">
        <v>530000</v>
      </c>
      <c r="J3495" s="20" t="inlineStr">
        <is>
          <t>CASTLE TRADERS Maruti</t>
        </is>
      </c>
      <c r="K3495" s="20" t="inlineStr">
        <is>
          <t>Non-Captive</t>
        </is>
      </c>
      <c r="L3495" s="20" t="inlineStr">
        <is>
          <t>AS CARS</t>
        </is>
      </c>
      <c r="M3495" s="23" t="n">
        <v>8474.58</v>
      </c>
      <c r="N3495" s="23" t="n">
        <v>10000</v>
      </c>
      <c r="O3495" s="24">
        <f>IF(AND(ISNUMBER(M3495), ISNUMBER(I3495), I3495&gt;0), M3495/I3495, "")</f>
        <v/>
      </c>
    </row>
    <row r="3496">
      <c r="A3496" s="19" t="inlineStr">
        <is>
          <t>FY27</t>
        </is>
      </c>
      <c r="B3496" s="19" t="inlineStr">
        <is>
          <t>Aug</t>
        </is>
      </c>
      <c r="C3496" s="19" t="inlineStr">
        <is>
          <t>TN</t>
        </is>
      </c>
      <c r="D3496" s="20" t="inlineStr">
        <is>
          <t>TN13T0193</t>
        </is>
      </c>
      <c r="E3496" s="20" t="inlineStr">
        <is>
          <t>MARUTI SUZUKI</t>
        </is>
      </c>
      <c r="F3496" s="20" t="inlineStr">
        <is>
          <t>Spresso</t>
        </is>
      </c>
      <c r="G3496" s="21" t="n">
        <v>2019</v>
      </c>
      <c r="H3496" s="22" t="n">
        <v>113132</v>
      </c>
      <c r="I3496" s="23" t="n">
        <v>250000</v>
      </c>
      <c r="J3496" s="20" t="inlineStr">
        <is>
          <t>CASTLE TRADERS Maruti</t>
        </is>
      </c>
      <c r="K3496" s="20" t="inlineStr">
        <is>
          <t>Non-Captive</t>
        </is>
      </c>
      <c r="L3496" s="20" t="inlineStr">
        <is>
          <t>AAA CARS</t>
        </is>
      </c>
      <c r="M3496" s="23" t="n">
        <v>6355.93</v>
      </c>
      <c r="N3496" s="23" t="n">
        <v>7500</v>
      </c>
      <c r="O3496" s="24">
        <f>IF(AND(ISNUMBER(M3496), ISNUMBER(I3496), I3496&gt;0), M3496/I3496, "")</f>
        <v/>
      </c>
    </row>
    <row r="3497">
      <c r="A3497" s="19" t="inlineStr">
        <is>
          <t>FY27</t>
        </is>
      </c>
      <c r="B3497" s="19" t="inlineStr">
        <is>
          <t>Aug</t>
        </is>
      </c>
      <c r="C3497" s="19" t="inlineStr">
        <is>
          <t>TN</t>
        </is>
      </c>
      <c r="D3497" s="20" t="inlineStr">
        <is>
          <t>TN09BL0645</t>
        </is>
      </c>
      <c r="E3497" s="20" t="inlineStr">
        <is>
          <t>HYUNDAI</t>
        </is>
      </c>
      <c r="F3497" s="20" t="inlineStr">
        <is>
          <t>I10</t>
        </is>
      </c>
      <c r="G3497" s="21" t="n">
        <v>2011</v>
      </c>
      <c r="H3497" s="22" t="n">
        <v>78082</v>
      </c>
      <c r="I3497" s="23" t="n">
        <v>96000</v>
      </c>
      <c r="J3497" s="20" t="inlineStr">
        <is>
          <t>PRODUCTIVITY ELEMENTS PRIVATE LIMITED</t>
        </is>
      </c>
      <c r="K3497" s="20" t="inlineStr">
        <is>
          <t>Non-Captive</t>
        </is>
      </c>
      <c r="L3497" s="20" t="inlineStr">
        <is>
          <t>NIRMAL CARS</t>
        </is>
      </c>
      <c r="M3497" s="23" t="n">
        <v>4237.29</v>
      </c>
      <c r="N3497" s="23" t="n">
        <v>5000</v>
      </c>
      <c r="O3497" s="24">
        <f>IF(AND(ISNUMBER(M3497), ISNUMBER(I3497), I3497&gt;0), M3497/I3497, "")</f>
        <v/>
      </c>
    </row>
    <row r="3498">
      <c r="A3498" s="19" t="inlineStr">
        <is>
          <t>FY27</t>
        </is>
      </c>
      <c r="B3498" s="19" t="inlineStr">
        <is>
          <t>Aug</t>
        </is>
      </c>
      <c r="C3498" s="19" t="inlineStr">
        <is>
          <t>TN</t>
        </is>
      </c>
      <c r="D3498" s="20" t="inlineStr">
        <is>
          <t>TN09BD0256</t>
        </is>
      </c>
      <c r="E3498" s="20" t="inlineStr">
        <is>
          <t>TOYOTA</t>
        </is>
      </c>
      <c r="F3498" s="20" t="inlineStr">
        <is>
          <t>Corolla</t>
        </is>
      </c>
      <c r="G3498" s="21" t="n">
        <v>2010</v>
      </c>
      <c r="H3498" s="22" t="n">
        <v>193995</v>
      </c>
      <c r="I3498" s="23" t="n">
        <v>88000</v>
      </c>
      <c r="J3498" s="20" t="inlineStr">
        <is>
          <t>VISHNU CARS PRIVATE LIMITED</t>
        </is>
      </c>
      <c r="K3498" s="20" t="inlineStr">
        <is>
          <t>Non-Captive</t>
        </is>
      </c>
      <c r="L3498" s="20" t="inlineStr">
        <is>
          <t>GRID 33</t>
        </is>
      </c>
      <c r="M3498" s="23" t="n">
        <v>4237.29</v>
      </c>
      <c r="N3498" s="23" t="n">
        <v>5000</v>
      </c>
      <c r="O3498" s="24">
        <f>IF(AND(ISNUMBER(M3498), ISNUMBER(I3498), I3498&gt;0), M3498/I3498, "")</f>
        <v/>
      </c>
    </row>
    <row r="3499">
      <c r="A3499" s="19" t="inlineStr">
        <is>
          <t>FY27</t>
        </is>
      </c>
      <c r="B3499" s="19" t="inlineStr">
        <is>
          <t>Aug</t>
        </is>
      </c>
      <c r="C3499" s="19" t="inlineStr">
        <is>
          <t>TN</t>
        </is>
      </c>
      <c r="D3499" s="20" t="inlineStr">
        <is>
          <t>TN07DE1765</t>
        </is>
      </c>
      <c r="E3499" s="20" t="inlineStr">
        <is>
          <t>HYUNDAI</t>
        </is>
      </c>
      <c r="F3499" s="20" t="inlineStr">
        <is>
          <t>I10</t>
        </is>
      </c>
      <c r="G3499" s="21" t="n">
        <v>2009</v>
      </c>
      <c r="H3499" s="22" t="n">
        <v>95762</v>
      </c>
      <c r="I3499" s="23" t="n">
        <v>198000</v>
      </c>
      <c r="J3499" s="20" t="inlineStr">
        <is>
          <t>PRODUCTIVITY ELEMENTS PRIVATE LIMITED</t>
        </is>
      </c>
      <c r="K3499" s="20" t="inlineStr">
        <is>
          <t>Non-Captive</t>
        </is>
      </c>
      <c r="L3499" s="20" t="inlineStr">
        <is>
          <t>Ram Manohar</t>
        </is>
      </c>
      <c r="M3499" s="23" t="n">
        <v>5932.2</v>
      </c>
      <c r="N3499" s="23" t="n">
        <v>7000</v>
      </c>
      <c r="O3499" s="24">
        <f>IF(AND(ISNUMBER(M3499), ISNUMBER(I3499), I3499&gt;0), M3499/I3499, "")</f>
        <v/>
      </c>
    </row>
    <row r="3500">
      <c r="A3500" s="19" t="inlineStr">
        <is>
          <t>FY27</t>
        </is>
      </c>
      <c r="B3500" s="19" t="inlineStr">
        <is>
          <t>Aug</t>
        </is>
      </c>
      <c r="C3500" s="19" t="inlineStr">
        <is>
          <t>TN</t>
        </is>
      </c>
      <c r="D3500" s="20" t="inlineStr">
        <is>
          <t>TN02AJ5990</t>
        </is>
      </c>
      <c r="E3500" s="20" t="inlineStr">
        <is>
          <t>HONDA</t>
        </is>
      </c>
      <c r="F3500" s="20" t="inlineStr">
        <is>
          <t>City</t>
        </is>
      </c>
      <c r="G3500" s="21" t="n">
        <v>2009</v>
      </c>
      <c r="H3500" s="22" t="n">
        <v>90110</v>
      </c>
      <c r="I3500" s="23" t="n">
        <v>97000</v>
      </c>
      <c r="J3500" s="20" t="inlineStr">
        <is>
          <t>CAR HUB</t>
        </is>
      </c>
      <c r="K3500" s="20" t="inlineStr">
        <is>
          <t>Non-Captive</t>
        </is>
      </c>
      <c r="L3500" s="20" t="inlineStr">
        <is>
          <t>Thiya Cars</t>
        </is>
      </c>
      <c r="M3500" s="23" t="n">
        <v>4237.29</v>
      </c>
      <c r="N3500" s="23" t="n">
        <v>5000</v>
      </c>
      <c r="O3500" s="24">
        <f>IF(AND(ISNUMBER(M3500), ISNUMBER(I3500), I3500&gt;0), M3500/I3500, "")</f>
        <v/>
      </c>
    </row>
    <row r="3501">
      <c r="A3501" s="19" t="inlineStr">
        <is>
          <t>FY27</t>
        </is>
      </c>
      <c r="B3501" s="19" t="inlineStr">
        <is>
          <t>Aug</t>
        </is>
      </c>
      <c r="C3501" s="19" t="inlineStr">
        <is>
          <t>TN</t>
        </is>
      </c>
      <c r="D3501" s="20" t="inlineStr">
        <is>
          <t>TN20AL2791</t>
        </is>
      </c>
      <c r="E3501" s="20" t="inlineStr">
        <is>
          <t>MARUTI SUZUKI</t>
        </is>
      </c>
      <c r="F3501" s="20" t="inlineStr">
        <is>
          <t>Alto</t>
        </is>
      </c>
      <c r="G3501" s="21" t="n">
        <v>2008</v>
      </c>
      <c r="H3501" s="22" t="n">
        <v>18292</v>
      </c>
      <c r="I3501" s="23" t="n">
        <v>96000</v>
      </c>
      <c r="J3501" s="20" t="inlineStr">
        <is>
          <t>PRODUCTIVITY ELEMENTS PRIVATE LIMITED</t>
        </is>
      </c>
      <c r="K3501" s="20" t="inlineStr">
        <is>
          <t>Non-Captive</t>
        </is>
      </c>
      <c r="L3501" s="20" t="inlineStr">
        <is>
          <t>Harsha Cars Porur</t>
        </is>
      </c>
      <c r="M3501" s="23" t="n">
        <v>4237.29</v>
      </c>
      <c r="N3501" s="23" t="n">
        <v>5000</v>
      </c>
      <c r="O3501" s="24">
        <f>IF(AND(ISNUMBER(M3501), ISNUMBER(I3501), I3501&gt;0), M3501/I3501, "")</f>
        <v/>
      </c>
    </row>
    <row r="3502">
      <c r="A3502" s="19" t="inlineStr">
        <is>
          <t>FY27</t>
        </is>
      </c>
      <c r="B3502" s="19" t="inlineStr">
        <is>
          <t>Aug</t>
        </is>
      </c>
      <c r="C3502" s="19" t="inlineStr">
        <is>
          <t>TN</t>
        </is>
      </c>
      <c r="D3502" s="20" t="inlineStr">
        <is>
          <t>TN22AS7896</t>
        </is>
      </c>
      <c r="E3502" s="20" t="inlineStr">
        <is>
          <t>MARUTI SUZUKI</t>
        </is>
      </c>
      <c r="F3502" s="20" t="inlineStr">
        <is>
          <t>Wagonr</t>
        </is>
      </c>
      <c r="G3502" s="21" t="n">
        <v>2006</v>
      </c>
      <c r="H3502" s="22" t="n">
        <v>123337</v>
      </c>
      <c r="I3502" s="23" t="n">
        <v>188000</v>
      </c>
      <c r="J3502" s="20" t="inlineStr">
        <is>
          <t>Shree Thiya cars</t>
        </is>
      </c>
      <c r="K3502" s="20" t="inlineStr">
        <is>
          <t>Non-Captive</t>
        </is>
      </c>
      <c r="L3502" s="20" t="inlineStr">
        <is>
          <t>SRI KARUPPAIYA CARS</t>
        </is>
      </c>
      <c r="M3502" s="23" t="n">
        <v>5084.75</v>
      </c>
      <c r="N3502" s="23" t="n">
        <v>6000</v>
      </c>
      <c r="O3502" s="24">
        <f>IF(AND(ISNUMBER(M3502), ISNUMBER(I3502), I3502&gt;0), M3502/I3502, "")</f>
        <v/>
      </c>
    </row>
    <row r="3503">
      <c r="A3503" s="19" t="inlineStr">
        <is>
          <t>FY27</t>
        </is>
      </c>
      <c r="B3503" s="19" t="inlineStr">
        <is>
          <t>Aug</t>
        </is>
      </c>
      <c r="C3503" s="19" t="inlineStr">
        <is>
          <t>TN</t>
        </is>
      </c>
      <c r="D3503" s="20" t="inlineStr">
        <is>
          <t>TN143594</t>
        </is>
      </c>
      <c r="E3503" s="20" t="inlineStr">
        <is>
          <t>CHEVROLET</t>
        </is>
      </c>
      <c r="F3503" s="20" t="inlineStr">
        <is>
          <t>Beat</t>
        </is>
      </c>
      <c r="G3503" s="21" t="n">
        <v>2014</v>
      </c>
      <c r="H3503" s="22" t="n">
        <v>93860</v>
      </c>
      <c r="I3503" s="23" t="n">
        <v>96000</v>
      </c>
      <c r="J3503" s="20" t="inlineStr">
        <is>
          <t>CASTLE TRADERS Maruti</t>
        </is>
      </c>
      <c r="K3503" s="20" t="inlineStr">
        <is>
          <t>Non-Captive</t>
        </is>
      </c>
      <c r="L3503" s="20" t="inlineStr">
        <is>
          <t>Harsha Cars Porur</t>
        </is>
      </c>
      <c r="M3503" s="23" t="n">
        <v>4237.29</v>
      </c>
      <c r="N3503" s="23" t="n">
        <v>5000</v>
      </c>
      <c r="O3503" s="24">
        <f>IF(AND(ISNUMBER(M3503), ISNUMBER(I3503), I3503&gt;0), M3503/I3503, "")</f>
        <v/>
      </c>
    </row>
    <row r="3504">
      <c r="A3504" s="19" t="inlineStr">
        <is>
          <t>FY27</t>
        </is>
      </c>
      <c r="B3504" s="19" t="inlineStr">
        <is>
          <t>Aug</t>
        </is>
      </c>
      <c r="C3504" s="19" t="inlineStr">
        <is>
          <t>TN</t>
        </is>
      </c>
      <c r="D3504" s="20" t="inlineStr">
        <is>
          <t>TN02AJ8859</t>
        </is>
      </c>
      <c r="E3504" s="20" t="inlineStr">
        <is>
          <t>HYUNDAI</t>
        </is>
      </c>
      <c r="F3504" s="20" t="inlineStr">
        <is>
          <t>I10</t>
        </is>
      </c>
      <c r="G3504" s="21" t="n">
        <v>2009</v>
      </c>
      <c r="H3504" s="22" t="n">
        <v>85869</v>
      </c>
      <c r="I3504" s="23" t="n">
        <v>98000</v>
      </c>
      <c r="J3504" s="20" t="inlineStr">
        <is>
          <t>PEEYESYEM HK MOTORS LLP</t>
        </is>
      </c>
      <c r="K3504" s="20" t="inlineStr">
        <is>
          <t>Non-Captive</t>
        </is>
      </c>
      <c r="L3504" s="20" t="inlineStr">
        <is>
          <t>Value Drive Tech</t>
        </is>
      </c>
      <c r="M3504" s="23" t="n">
        <v>4237.29</v>
      </c>
      <c r="N3504" s="23" t="n">
        <v>5000</v>
      </c>
      <c r="O3504" s="24">
        <f>IF(AND(ISNUMBER(M3504), ISNUMBER(I3504), I3504&gt;0), M3504/I3504, "")</f>
        <v/>
      </c>
    </row>
    <row r="3505">
      <c r="A3505" s="19" t="inlineStr">
        <is>
          <t>FY27</t>
        </is>
      </c>
      <c r="B3505" s="19" t="inlineStr">
        <is>
          <t>Aug</t>
        </is>
      </c>
      <c r="C3505" s="19" t="inlineStr">
        <is>
          <t>TN</t>
        </is>
      </c>
      <c r="D3505" s="20" t="inlineStr">
        <is>
          <t>TN13L2010</t>
        </is>
      </c>
      <c r="E3505" s="20" t="inlineStr">
        <is>
          <t>MARUTI SUZUKI</t>
        </is>
      </c>
      <c r="F3505" s="20" t="inlineStr">
        <is>
          <t>Cargo</t>
        </is>
      </c>
      <c r="G3505" s="21" t="n">
        <v>2017</v>
      </c>
      <c r="H3505" s="22" t="n">
        <v>99999</v>
      </c>
      <c r="I3505" s="23" t="n">
        <v>122000</v>
      </c>
      <c r="J3505" s="20" t="inlineStr">
        <is>
          <t>CASTLE TRADERS Maruti</t>
        </is>
      </c>
      <c r="K3505" s="20" t="inlineStr">
        <is>
          <t>Non-Captive</t>
        </is>
      </c>
      <c r="L3505" s="20" t="inlineStr">
        <is>
          <t>Hasini Cars</t>
        </is>
      </c>
      <c r="M3505" s="23" t="n">
        <v>5084.75</v>
      </c>
      <c r="N3505" s="23" t="n">
        <v>6000</v>
      </c>
      <c r="O3505" s="24">
        <f>IF(AND(ISNUMBER(M3505), ISNUMBER(I3505), I3505&gt;0), M3505/I3505, "")</f>
        <v/>
      </c>
    </row>
    <row r="3506">
      <c r="A3506" s="19" t="inlineStr">
        <is>
          <t>FY27</t>
        </is>
      </c>
      <c r="B3506" s="19" t="inlineStr">
        <is>
          <t>Aug</t>
        </is>
      </c>
      <c r="C3506" s="19" t="inlineStr">
        <is>
          <t>TN</t>
        </is>
      </c>
      <c r="D3506" s="20" t="inlineStr">
        <is>
          <t>TN10BR5317</t>
        </is>
      </c>
      <c r="E3506" s="20" t="inlineStr">
        <is>
          <t>MARUTI SUZUKI</t>
        </is>
      </c>
      <c r="F3506" s="20" t="inlineStr">
        <is>
          <t>Celerio</t>
        </is>
      </c>
      <c r="G3506" s="21" t="n">
        <v>2022</v>
      </c>
      <c r="H3506" s="22" t="n">
        <v>112342</v>
      </c>
      <c r="I3506" s="23" t="n">
        <v>386500</v>
      </c>
      <c r="J3506" s="20" t="inlineStr">
        <is>
          <t>NIRMAL</t>
        </is>
      </c>
      <c r="K3506" s="20" t="inlineStr">
        <is>
          <t>Non-Captive</t>
        </is>
      </c>
      <c r="L3506" s="20" t="inlineStr">
        <is>
          <t>Value Drive Tech</t>
        </is>
      </c>
      <c r="M3506" s="23" t="n">
        <v>6355.93</v>
      </c>
      <c r="N3506" s="23" t="n">
        <v>7500</v>
      </c>
      <c r="O3506" s="24">
        <f>IF(AND(ISNUMBER(M3506), ISNUMBER(I3506), I3506&gt;0), M3506/I3506, "")</f>
        <v/>
      </c>
    </row>
    <row r="3507">
      <c r="A3507" s="19" t="inlineStr">
        <is>
          <t>FY27</t>
        </is>
      </c>
      <c r="B3507" s="19" t="inlineStr">
        <is>
          <t>Aug</t>
        </is>
      </c>
      <c r="C3507" s="19" t="inlineStr">
        <is>
          <t>TN</t>
        </is>
      </c>
      <c r="D3507" s="20" t="inlineStr">
        <is>
          <t>TN37CJ9726</t>
        </is>
      </c>
      <c r="E3507" s="20" t="inlineStr">
        <is>
          <t>HONDA</t>
        </is>
      </c>
      <c r="F3507" s="20" t="inlineStr">
        <is>
          <t>Brio</t>
        </is>
      </c>
      <c r="G3507" s="21" t="n">
        <v>2014</v>
      </c>
      <c r="H3507" s="22" t="n">
        <v>141857</v>
      </c>
      <c r="I3507" s="23" t="n">
        <v>220000</v>
      </c>
      <c r="J3507" s="20" t="inlineStr">
        <is>
          <t>SREE SARADHAMBAL AUTOMOBILES PRIVATE LIMITED</t>
        </is>
      </c>
      <c r="K3507" s="20" t="inlineStr">
        <is>
          <t>Non-Captive</t>
        </is>
      </c>
      <c r="L3507" s="20" t="inlineStr">
        <is>
          <t>Ulavan Enterprises</t>
        </is>
      </c>
      <c r="M3507" s="23" t="n">
        <v>8474.58</v>
      </c>
      <c r="N3507" s="23" t="n">
        <v>10000</v>
      </c>
      <c r="O3507" s="24">
        <f>IF(AND(ISNUMBER(M3507), ISNUMBER(I3507), I3507&gt;0), M3507/I3507, "")</f>
        <v/>
      </c>
    </row>
    <row r="3508">
      <c r="A3508" s="19" t="inlineStr">
        <is>
          <t>FY27</t>
        </is>
      </c>
      <c r="B3508" s="19" t="inlineStr">
        <is>
          <t>Aug</t>
        </is>
      </c>
      <c r="C3508" s="19" t="inlineStr">
        <is>
          <t>TN</t>
        </is>
      </c>
      <c r="D3508" s="20" t="inlineStr">
        <is>
          <t>TN38BY3964</t>
        </is>
      </c>
      <c r="E3508" s="20" t="inlineStr">
        <is>
          <t>MARUTI SUZUKI</t>
        </is>
      </c>
      <c r="F3508" s="20" t="inlineStr">
        <is>
          <t>Alto 800</t>
        </is>
      </c>
      <c r="G3508" s="21" t="n">
        <v>2014</v>
      </c>
      <c r="H3508" s="22" t="n">
        <v>83437</v>
      </c>
      <c r="I3508" s="23" t="n">
        <v>200000</v>
      </c>
      <c r="J3508" s="20" t="inlineStr">
        <is>
          <t>SREE SARADHAMBAL AUTOMOBILES PRIVATE LIMITED</t>
        </is>
      </c>
      <c r="K3508" s="20" t="inlineStr">
        <is>
          <t>Non-Captive</t>
        </is>
      </c>
      <c r="L3508" s="20" t="inlineStr">
        <is>
          <t>Ulavan Enterprises</t>
        </is>
      </c>
      <c r="M3508" s="23" t="n">
        <v>5932.2</v>
      </c>
      <c r="N3508" s="23" t="n">
        <v>7000</v>
      </c>
      <c r="O3508" s="24">
        <f>IF(AND(ISNUMBER(M3508), ISNUMBER(I3508), I3508&gt;0), M3508/I3508, "")</f>
        <v/>
      </c>
    </row>
    <row r="3509">
      <c r="A3509" s="19" t="inlineStr">
        <is>
          <t>FY27</t>
        </is>
      </c>
      <c r="B3509" s="19" t="inlineStr">
        <is>
          <t>Aug</t>
        </is>
      </c>
      <c r="C3509" s="19" t="inlineStr">
        <is>
          <t>TN</t>
        </is>
      </c>
      <c r="D3509" s="20" t="inlineStr">
        <is>
          <t>TN20BT0714</t>
        </is>
      </c>
      <c r="E3509" s="20" t="inlineStr">
        <is>
          <t>MARUTI SUZUKI</t>
        </is>
      </c>
      <c r="F3509" s="20" t="inlineStr">
        <is>
          <t>Astar</t>
        </is>
      </c>
      <c r="G3509" s="21" t="n">
        <v>2010</v>
      </c>
      <c r="H3509" s="22" t="n">
        <v>109362</v>
      </c>
      <c r="I3509" s="23" t="n">
        <v>112000</v>
      </c>
      <c r="J3509" s="20" t="inlineStr">
        <is>
          <t>CASTLE TRADERS Maruti</t>
        </is>
      </c>
      <c r="K3509" s="20" t="inlineStr">
        <is>
          <t>Non-Captive</t>
        </is>
      </c>
      <c r="L3509" s="20" t="inlineStr">
        <is>
          <t>AS CARS</t>
        </is>
      </c>
      <c r="M3509" s="23" t="n">
        <v>5084.75</v>
      </c>
      <c r="N3509" s="23" t="n">
        <v>6000</v>
      </c>
      <c r="O3509" s="24">
        <f>IF(AND(ISNUMBER(M3509), ISNUMBER(I3509), I3509&gt;0), M3509/I3509, "")</f>
        <v/>
      </c>
    </row>
    <row r="3510">
      <c r="A3510" s="19" t="inlineStr">
        <is>
          <t>FY27</t>
        </is>
      </c>
      <c r="B3510" s="19" t="inlineStr">
        <is>
          <t>Aug</t>
        </is>
      </c>
      <c r="C3510" s="19" t="inlineStr">
        <is>
          <t>TN</t>
        </is>
      </c>
      <c r="D3510" s="20" t="inlineStr">
        <is>
          <t>TN04AS0940</t>
        </is>
      </c>
      <c r="E3510" s="20" t="inlineStr">
        <is>
          <t>MARUTI SUZUKI</t>
        </is>
      </c>
      <c r="F3510" s="20" t="inlineStr">
        <is>
          <t>Wagonr</t>
        </is>
      </c>
      <c r="G3510" s="21" t="n">
        <v>2016</v>
      </c>
      <c r="H3510" s="22" t="n">
        <v>147784</v>
      </c>
      <c r="I3510" s="23" t="n">
        <v>254000</v>
      </c>
      <c r="J3510" s="20" t="inlineStr">
        <is>
          <t>CASTLE TRADERS Maruti</t>
        </is>
      </c>
      <c r="K3510" s="20" t="inlineStr">
        <is>
          <t>Non-Captive</t>
        </is>
      </c>
      <c r="L3510" s="20" t="inlineStr">
        <is>
          <t>AS CARS</t>
        </is>
      </c>
      <c r="M3510" s="23" t="n">
        <v>5084.75</v>
      </c>
      <c r="N3510" s="23" t="n">
        <v>6000</v>
      </c>
      <c r="O3510" s="24">
        <f>IF(AND(ISNUMBER(M3510), ISNUMBER(I3510), I3510&gt;0), M3510/I3510, "")</f>
        <v/>
      </c>
    </row>
    <row r="3511">
      <c r="A3511" s="19" t="inlineStr">
        <is>
          <t>FY27</t>
        </is>
      </c>
      <c r="B3511" s="19" t="inlineStr">
        <is>
          <t>Aug</t>
        </is>
      </c>
      <c r="C3511" s="19" t="inlineStr">
        <is>
          <t>TN</t>
        </is>
      </c>
      <c r="D3511" s="20" t="inlineStr">
        <is>
          <t>TN730095</t>
        </is>
      </c>
      <c r="E3511" s="20" t="inlineStr">
        <is>
          <t>MARUTI SUZUKI</t>
        </is>
      </c>
      <c r="F3511" s="20" t="inlineStr">
        <is>
          <t>Swift</t>
        </is>
      </c>
      <c r="G3511" s="21" t="n"/>
      <c r="H3511" s="22" t="n">
        <v>226936</v>
      </c>
      <c r="I3511" s="23" t="n">
        <v>234000</v>
      </c>
      <c r="J3511" s="20" t="inlineStr"/>
      <c r="K3511" s="20" t="inlineStr">
        <is>
          <t>Non-Captive</t>
        </is>
      </c>
      <c r="L3511" s="20" t="inlineStr">
        <is>
          <t>AS CARS</t>
        </is>
      </c>
      <c r="M3511" s="23" t="n">
        <v>5084.75</v>
      </c>
      <c r="N3511" s="23" t="n">
        <v>6000</v>
      </c>
      <c r="O3511" s="24">
        <f>IF(AND(ISNUMBER(M3511), ISNUMBER(I3511), I3511&gt;0), M3511/I3511, "")</f>
        <v/>
      </c>
    </row>
    <row r="3512">
      <c r="A3512" s="19" t="inlineStr">
        <is>
          <t>FY27</t>
        </is>
      </c>
      <c r="B3512" s="19" t="inlineStr">
        <is>
          <t>Aug</t>
        </is>
      </c>
      <c r="C3512" s="19" t="inlineStr">
        <is>
          <t>TN</t>
        </is>
      </c>
      <c r="D3512" s="20" t="inlineStr">
        <is>
          <t>TN18AJ6041</t>
        </is>
      </c>
      <c r="E3512" s="20" t="inlineStr">
        <is>
          <t>MARUTI SUZUKI</t>
        </is>
      </c>
      <c r="F3512" s="20" t="inlineStr">
        <is>
          <t>Baleno</t>
        </is>
      </c>
      <c r="G3512" s="21" t="n">
        <v>2016</v>
      </c>
      <c r="H3512" s="22" t="n">
        <v>186101</v>
      </c>
      <c r="I3512" s="23" t="n">
        <v>304500</v>
      </c>
      <c r="J3512" s="20" t="inlineStr">
        <is>
          <t>CASTLE TRADERS Maruti</t>
        </is>
      </c>
      <c r="K3512" s="20" t="inlineStr">
        <is>
          <t>Non-Captive</t>
        </is>
      </c>
      <c r="L3512" s="20" t="inlineStr">
        <is>
          <t>CARS24</t>
        </is>
      </c>
      <c r="M3512" s="23" t="n">
        <v>6355.93</v>
      </c>
      <c r="N3512" s="23" t="n">
        <v>7500</v>
      </c>
      <c r="O3512" s="24">
        <f>IF(AND(ISNUMBER(M3512), ISNUMBER(I3512), I3512&gt;0), M3512/I3512, "")</f>
        <v/>
      </c>
    </row>
    <row r="3513">
      <c r="A3513" s="19" t="inlineStr">
        <is>
          <t>FY27</t>
        </is>
      </c>
      <c r="B3513" s="19" t="inlineStr">
        <is>
          <t>Aug</t>
        </is>
      </c>
      <c r="C3513" s="19" t="inlineStr">
        <is>
          <t>TN</t>
        </is>
      </c>
      <c r="D3513" s="20" t="inlineStr">
        <is>
          <t>TN10AL2127</t>
        </is>
      </c>
      <c r="E3513" s="20" t="inlineStr">
        <is>
          <t>HYUNDAI</t>
        </is>
      </c>
      <c r="F3513" s="20" t="inlineStr">
        <is>
          <t>Eon</t>
        </is>
      </c>
      <c r="G3513" s="21" t="n">
        <v>2013</v>
      </c>
      <c r="H3513" s="22" t="n">
        <v>58694</v>
      </c>
      <c r="I3513" s="23" t="n">
        <v>175000</v>
      </c>
      <c r="J3513" s="20" t="inlineStr">
        <is>
          <t>CASTLE TRADERS Maruti</t>
        </is>
      </c>
      <c r="K3513" s="20" t="inlineStr">
        <is>
          <t>Non-Captive</t>
        </is>
      </c>
      <c r="L3513" s="20" t="inlineStr">
        <is>
          <t>CAR HUB</t>
        </is>
      </c>
      <c r="M3513" s="23" t="n">
        <v>5084.75</v>
      </c>
      <c r="N3513" s="23" t="n">
        <v>6000</v>
      </c>
      <c r="O3513" s="24">
        <f>IF(AND(ISNUMBER(M3513), ISNUMBER(I3513), I3513&gt;0), M3513/I3513, "")</f>
        <v/>
      </c>
    </row>
    <row r="3514">
      <c r="A3514" s="19" t="inlineStr">
        <is>
          <t>FY27</t>
        </is>
      </c>
      <c r="B3514" s="19" t="inlineStr">
        <is>
          <t>Aug</t>
        </is>
      </c>
      <c r="C3514" s="19" t="inlineStr">
        <is>
          <t>TN</t>
        </is>
      </c>
      <c r="D3514" s="20" t="inlineStr">
        <is>
          <t>TN18BU4605</t>
        </is>
      </c>
      <c r="E3514" s="20" t="inlineStr">
        <is>
          <t>RENAULT</t>
        </is>
      </c>
      <c r="F3514" s="20" t="inlineStr">
        <is>
          <t>Kiger</t>
        </is>
      </c>
      <c r="G3514" s="21" t="n">
        <v>2024</v>
      </c>
      <c r="H3514" s="22" t="n">
        <v>21230</v>
      </c>
      <c r="I3514" s="23" t="n">
        <v>535000</v>
      </c>
      <c r="J3514" s="20" t="inlineStr">
        <is>
          <t>CASTLE TRADERS Maruti</t>
        </is>
      </c>
      <c r="K3514" s="20" t="inlineStr">
        <is>
          <t>Non-Captive</t>
        </is>
      </c>
      <c r="L3514" s="20" t="inlineStr">
        <is>
          <t>CAR HUB</t>
        </is>
      </c>
      <c r="M3514" s="23" t="n">
        <v>7627.12</v>
      </c>
      <c r="N3514" s="23" t="n">
        <v>9000</v>
      </c>
      <c r="O3514" s="24">
        <f>IF(AND(ISNUMBER(M3514), ISNUMBER(I3514), I3514&gt;0), M3514/I3514, "")</f>
        <v/>
      </c>
    </row>
    <row r="3515">
      <c r="A3515" s="19" t="inlineStr">
        <is>
          <t>FY27</t>
        </is>
      </c>
      <c r="B3515" s="19" t="inlineStr">
        <is>
          <t>Aug</t>
        </is>
      </c>
      <c r="C3515" s="19" t="inlineStr">
        <is>
          <t>TN</t>
        </is>
      </c>
      <c r="D3515" s="20" t="inlineStr">
        <is>
          <t>TN37DR9464</t>
        </is>
      </c>
      <c r="E3515" s="20" t="inlineStr">
        <is>
          <t>NISSAN</t>
        </is>
      </c>
      <c r="F3515" s="20" t="inlineStr">
        <is>
          <t>Magnite</t>
        </is>
      </c>
      <c r="G3515" s="21" t="n">
        <v>2023</v>
      </c>
      <c r="H3515" s="22" t="n">
        <v>47397</v>
      </c>
      <c r="I3515" s="23" t="n">
        <v>525000</v>
      </c>
      <c r="J3515" s="20" t="inlineStr">
        <is>
          <t>SREE SARADHAMBAL AUTOMOBILES PRIVATE LIMITED</t>
        </is>
      </c>
      <c r="K3515" s="20" t="inlineStr">
        <is>
          <t>Non-Captive</t>
        </is>
      </c>
      <c r="L3515" s="20" t="inlineStr">
        <is>
          <t>Ulavan Enterprises</t>
        </is>
      </c>
      <c r="M3515" s="23" t="n">
        <v>8474.58</v>
      </c>
      <c r="N3515" s="23" t="n">
        <v>10000</v>
      </c>
      <c r="O3515" s="24">
        <f>IF(AND(ISNUMBER(M3515), ISNUMBER(I3515), I3515&gt;0), M3515/I3515, "")</f>
        <v/>
      </c>
    </row>
    <row r="3516">
      <c r="A3516" s="19" t="inlineStr">
        <is>
          <t>FY27</t>
        </is>
      </c>
      <c r="B3516" s="19" t="inlineStr">
        <is>
          <t>Aug</t>
        </is>
      </c>
      <c r="C3516" s="19" t="inlineStr">
        <is>
          <t>TN</t>
        </is>
      </c>
      <c r="D3516" s="20" t="inlineStr">
        <is>
          <t>TN42S4118</t>
        </is>
      </c>
      <c r="E3516" s="20" t="inlineStr">
        <is>
          <t>TATA</t>
        </is>
      </c>
      <c r="F3516" s="20" t="inlineStr">
        <is>
          <t>Bolt</t>
        </is>
      </c>
      <c r="G3516" s="21" t="n">
        <v>2017</v>
      </c>
      <c r="H3516" s="22" t="n">
        <v>88829</v>
      </c>
      <c r="I3516" s="23" t="n">
        <v>200000</v>
      </c>
      <c r="J3516" s="20" t="inlineStr">
        <is>
          <t>EXCHANGE ROTN</t>
        </is>
      </c>
      <c r="K3516" s="20" t="inlineStr">
        <is>
          <t>Captive</t>
        </is>
      </c>
      <c r="L3516" s="20" t="inlineStr">
        <is>
          <t>Suganya Cars</t>
        </is>
      </c>
      <c r="M3516" s="23" t="n">
        <v>12711.86</v>
      </c>
      <c r="N3516" s="23" t="n">
        <v>15000</v>
      </c>
      <c r="O3516" s="24">
        <f>IF(AND(ISNUMBER(M3516), ISNUMBER(I3516), I3516&gt;0), M3516/I3516, "")</f>
        <v/>
      </c>
    </row>
    <row r="3517">
      <c r="A3517" s="19" t="inlineStr">
        <is>
          <t>FY27</t>
        </is>
      </c>
      <c r="B3517" s="19" t="inlineStr">
        <is>
          <t>Aug</t>
        </is>
      </c>
      <c r="C3517" s="19" t="inlineStr">
        <is>
          <t>TN</t>
        </is>
      </c>
      <c r="D3517" s="20" t="inlineStr">
        <is>
          <t>TN55AQ5509</t>
        </is>
      </c>
      <c r="E3517" s="20" t="inlineStr">
        <is>
          <t>HONDA</t>
        </is>
      </c>
      <c r="F3517" s="20" t="inlineStr">
        <is>
          <t>Jazz</t>
        </is>
      </c>
      <c r="G3517" s="21" t="n">
        <v>2016</v>
      </c>
      <c r="H3517" s="22" t="n">
        <v>194548</v>
      </c>
      <c r="I3517" s="23" t="n">
        <v>320000</v>
      </c>
      <c r="J3517" s="20" t="inlineStr">
        <is>
          <t>EXCHANGE ROTN</t>
        </is>
      </c>
      <c r="K3517" s="20" t="inlineStr">
        <is>
          <t>Captive</t>
        </is>
      </c>
      <c r="L3517" s="20" t="inlineStr">
        <is>
          <t>SRI RAJA KANAPATHY CARS</t>
        </is>
      </c>
      <c r="M3517" s="23" t="n">
        <v>10169.49</v>
      </c>
      <c r="N3517" s="23" t="n">
        <v>12000</v>
      </c>
      <c r="O3517" s="24">
        <f>IF(AND(ISNUMBER(M3517), ISNUMBER(I3517), I3517&gt;0), M3517/I3517, "")</f>
        <v/>
      </c>
    </row>
    <row r="3518">
      <c r="A3518" s="19" t="inlineStr">
        <is>
          <t>FY27</t>
        </is>
      </c>
      <c r="B3518" s="19" t="inlineStr">
        <is>
          <t>Aug</t>
        </is>
      </c>
      <c r="C3518" s="19" t="inlineStr">
        <is>
          <t>TN</t>
        </is>
      </c>
      <c r="D3518" s="20" t="inlineStr">
        <is>
          <t>TN68F0900</t>
        </is>
      </c>
      <c r="E3518" s="20" t="inlineStr">
        <is>
          <t>MARUTI SUZUKI</t>
        </is>
      </c>
      <c r="F3518" s="20" t="inlineStr">
        <is>
          <t>Sx4</t>
        </is>
      </c>
      <c r="G3518" s="21" t="n">
        <v>2012</v>
      </c>
      <c r="H3518" s="22" t="n">
        <v>220215</v>
      </c>
      <c r="I3518" s="23" t="n">
        <v>95000</v>
      </c>
      <c r="J3518" s="20" t="inlineStr">
        <is>
          <t>SIVASHANKAR CARS</t>
        </is>
      </c>
      <c r="K3518" s="20" t="inlineStr">
        <is>
          <t>Non-Captive</t>
        </is>
      </c>
      <c r="L3518" s="20" t="inlineStr">
        <is>
          <t>Suganya Cars</t>
        </is>
      </c>
      <c r="M3518" s="23" t="n">
        <v>4237.29</v>
      </c>
      <c r="N3518" s="23" t="n">
        <v>5000</v>
      </c>
      <c r="O3518" s="24">
        <f>IF(AND(ISNUMBER(M3518), ISNUMBER(I3518), I3518&gt;0), M3518/I3518, "")</f>
        <v/>
      </c>
    </row>
    <row r="3519">
      <c r="A3519" s="19" t="inlineStr">
        <is>
          <t>FY27</t>
        </is>
      </c>
      <c r="B3519" s="19" t="inlineStr">
        <is>
          <t>Aug</t>
        </is>
      </c>
      <c r="C3519" s="19" t="inlineStr">
        <is>
          <t>TN</t>
        </is>
      </c>
      <c r="D3519" s="20" t="inlineStr">
        <is>
          <t>TN66X3474</t>
        </is>
      </c>
      <c r="E3519" s="20" t="inlineStr">
        <is>
          <t>HONDA</t>
        </is>
      </c>
      <c r="F3519" s="20" t="inlineStr">
        <is>
          <t>Jazz</t>
        </is>
      </c>
      <c r="G3519" s="21" t="n">
        <v>2017</v>
      </c>
      <c r="H3519" s="22" t="n">
        <v>134535</v>
      </c>
      <c r="I3519" s="23" t="n">
        <v>460000</v>
      </c>
      <c r="J3519" s="20" t="inlineStr">
        <is>
          <t>EXCHANGE ROTN</t>
        </is>
      </c>
      <c r="K3519" s="20" t="inlineStr">
        <is>
          <t>Captive</t>
        </is>
      </c>
      <c r="L3519" s="20" t="inlineStr">
        <is>
          <t>VASUNDHARA CARS</t>
        </is>
      </c>
      <c r="M3519" s="23" t="n">
        <v>12711.86</v>
      </c>
      <c r="N3519" s="23" t="n">
        <v>15000</v>
      </c>
      <c r="O3519" s="24">
        <f>IF(AND(ISNUMBER(M3519), ISNUMBER(I3519), I3519&gt;0), M3519/I3519, "")</f>
        <v/>
      </c>
    </row>
    <row r="3520">
      <c r="A3520" s="19" t="inlineStr">
        <is>
          <t>FY27</t>
        </is>
      </c>
      <c r="B3520" s="19" t="inlineStr">
        <is>
          <t>Aug</t>
        </is>
      </c>
      <c r="C3520" s="19" t="inlineStr">
        <is>
          <t>TN</t>
        </is>
      </c>
      <c r="D3520" s="20" t="inlineStr">
        <is>
          <t>TN66Q5121</t>
        </is>
      </c>
      <c r="E3520" s="20" t="inlineStr">
        <is>
          <t>HONDA</t>
        </is>
      </c>
      <c r="F3520" s="20" t="inlineStr">
        <is>
          <t>City</t>
        </is>
      </c>
      <c r="G3520" s="21" t="n">
        <v>2015</v>
      </c>
      <c r="H3520" s="22" t="n">
        <v>124017</v>
      </c>
      <c r="I3520" s="23" t="n">
        <v>460000</v>
      </c>
      <c r="J3520" s="20" t="inlineStr">
        <is>
          <t>EXCHANGE ROTN</t>
        </is>
      </c>
      <c r="K3520" s="20" t="inlineStr">
        <is>
          <t>Captive</t>
        </is>
      </c>
      <c r="L3520" s="20" t="inlineStr">
        <is>
          <t>SENTHUR FINANCE</t>
        </is>
      </c>
      <c r="M3520" s="23" t="n">
        <v>8474.58</v>
      </c>
      <c r="N3520" s="23" t="n">
        <v>10000</v>
      </c>
      <c r="O3520" s="24">
        <f>IF(AND(ISNUMBER(M3520), ISNUMBER(I3520), I3520&gt;0), M3520/I3520, "")</f>
        <v/>
      </c>
    </row>
    <row r="3521">
      <c r="A3521" s="19" t="inlineStr">
        <is>
          <t>FY27</t>
        </is>
      </c>
      <c r="B3521" s="19" t="inlineStr">
        <is>
          <t>Aug</t>
        </is>
      </c>
      <c r="C3521" s="19" t="inlineStr">
        <is>
          <t>TN</t>
        </is>
      </c>
      <c r="D3521" s="20" t="inlineStr">
        <is>
          <t>TN59BM3433</t>
        </is>
      </c>
      <c r="E3521" s="20" t="inlineStr">
        <is>
          <t>HONDA</t>
        </is>
      </c>
      <c r="F3521" s="20" t="inlineStr">
        <is>
          <t>Jazz</t>
        </is>
      </c>
      <c r="G3521" s="21" t="n">
        <v>2017</v>
      </c>
      <c r="H3521" s="22" t="n">
        <v>123902</v>
      </c>
      <c r="I3521" s="23" t="n">
        <v>330000</v>
      </c>
      <c r="J3521" s="20" t="inlineStr">
        <is>
          <t>EXCHANGE ROTN</t>
        </is>
      </c>
      <c r="K3521" s="20" t="inlineStr">
        <is>
          <t>Captive</t>
        </is>
      </c>
      <c r="L3521" s="20" t="inlineStr">
        <is>
          <t>SRI RAJA KANAPATHY CARS</t>
        </is>
      </c>
      <c r="M3521" s="23" t="n">
        <v>8474.58</v>
      </c>
      <c r="N3521" s="23" t="n">
        <v>10000</v>
      </c>
      <c r="O3521" s="24">
        <f>IF(AND(ISNUMBER(M3521), ISNUMBER(I3521), I3521&gt;0), M3521/I3521, "")</f>
        <v/>
      </c>
    </row>
    <row r="3522">
      <c r="A3522" s="19" t="inlineStr">
        <is>
          <t>FY27</t>
        </is>
      </c>
      <c r="B3522" s="19" t="inlineStr">
        <is>
          <t>Aug</t>
        </is>
      </c>
      <c r="C3522" s="19" t="inlineStr">
        <is>
          <t>TN</t>
        </is>
      </c>
      <c r="D3522" s="20" t="inlineStr">
        <is>
          <t>TN59CD2255</t>
        </is>
      </c>
      <c r="E3522" s="20" t="inlineStr">
        <is>
          <t>SKODA</t>
        </is>
      </c>
      <c r="F3522" s="20" t="inlineStr">
        <is>
          <t>Rapid</t>
        </is>
      </c>
      <c r="G3522" s="21" t="n">
        <v>2018</v>
      </c>
      <c r="H3522" s="22" t="n">
        <v>172995</v>
      </c>
      <c r="I3522" s="23" t="n">
        <v>480000</v>
      </c>
      <c r="J3522" s="20" t="inlineStr">
        <is>
          <t>EXCHANGE ROTN</t>
        </is>
      </c>
      <c r="K3522" s="20" t="inlineStr">
        <is>
          <t>Captive</t>
        </is>
      </c>
      <c r="L3522" s="20" t="inlineStr">
        <is>
          <t>READY TO RIDE CARS</t>
        </is>
      </c>
      <c r="M3522" s="23" t="n">
        <v>16949.15</v>
      </c>
      <c r="N3522" s="23" t="n">
        <v>20000</v>
      </c>
      <c r="O3522" s="24">
        <f>IF(AND(ISNUMBER(M3522), ISNUMBER(I3522), I3522&gt;0), M3522/I3522, "")</f>
        <v/>
      </c>
    </row>
    <row r="3523">
      <c r="A3523" s="19" t="inlineStr">
        <is>
          <t>FY27</t>
        </is>
      </c>
      <c r="B3523" s="19" t="inlineStr">
        <is>
          <t>Aug</t>
        </is>
      </c>
      <c r="C3523" s="19" t="inlineStr">
        <is>
          <t>TN</t>
        </is>
      </c>
      <c r="D3523" s="20" t="inlineStr">
        <is>
          <t>TN30BB9230</t>
        </is>
      </c>
      <c r="E3523" s="20" t="inlineStr">
        <is>
          <t>FIAT</t>
        </is>
      </c>
      <c r="F3523" s="20" t="inlineStr">
        <is>
          <t>Linea</t>
        </is>
      </c>
      <c r="G3523" s="21" t="n">
        <v>2014</v>
      </c>
      <c r="H3523" s="22" t="n">
        <v>104447</v>
      </c>
      <c r="I3523" s="23" t="n">
        <v>210000</v>
      </c>
      <c r="J3523" s="20" t="inlineStr">
        <is>
          <t>EXCHANGE ROTN</t>
        </is>
      </c>
      <c r="K3523" s="20" t="inlineStr">
        <is>
          <t>Captive</t>
        </is>
      </c>
      <c r="L3523" s="20" t="inlineStr">
        <is>
          <t>Sterlin Cars</t>
        </is>
      </c>
      <c r="M3523" s="23" t="n">
        <v>8474.58</v>
      </c>
      <c r="N3523" s="23" t="n">
        <v>10000</v>
      </c>
      <c r="O3523" s="24">
        <f>IF(AND(ISNUMBER(M3523), ISNUMBER(I3523), I3523&gt;0), M3523/I3523, "")</f>
        <v/>
      </c>
    </row>
    <row r="3524">
      <c r="A3524" s="19" t="inlineStr">
        <is>
          <t>FY27</t>
        </is>
      </c>
      <c r="B3524" s="19" t="inlineStr">
        <is>
          <t>Aug</t>
        </is>
      </c>
      <c r="C3524" s="19" t="inlineStr">
        <is>
          <t>TN</t>
        </is>
      </c>
      <c r="D3524" s="20" t="inlineStr">
        <is>
          <t>TN22BT0564</t>
        </is>
      </c>
      <c r="E3524" s="20" t="inlineStr">
        <is>
          <t>TATA</t>
        </is>
      </c>
      <c r="F3524" s="20" t="inlineStr">
        <is>
          <t>Indica</t>
        </is>
      </c>
      <c r="G3524" s="21" t="n">
        <v>2010</v>
      </c>
      <c r="H3524" s="22" t="n">
        <v>149097</v>
      </c>
      <c r="I3524" s="23" t="n">
        <v>60000</v>
      </c>
      <c r="J3524" s="20" t="inlineStr">
        <is>
          <t>S M CAR PRIVATE LIMITED</t>
        </is>
      </c>
      <c r="K3524" s="20" t="inlineStr">
        <is>
          <t>Non-Captive</t>
        </is>
      </c>
      <c r="L3524" s="20" t="inlineStr">
        <is>
          <t>APM cars</t>
        </is>
      </c>
      <c r="M3524" s="23" t="n">
        <v>4237.29</v>
      </c>
      <c r="N3524" s="23" t="n">
        <v>5000</v>
      </c>
      <c r="O3524" s="24">
        <f>IF(AND(ISNUMBER(M3524), ISNUMBER(I3524), I3524&gt;0), M3524/I3524, "")</f>
        <v/>
      </c>
    </row>
    <row r="3525">
      <c r="A3525" s="19" t="inlineStr">
        <is>
          <t>FY27</t>
        </is>
      </c>
      <c r="B3525" s="19" t="inlineStr">
        <is>
          <t>Aug</t>
        </is>
      </c>
      <c r="C3525" s="19" t="inlineStr">
        <is>
          <t>TN</t>
        </is>
      </c>
      <c r="D3525" s="20" t="inlineStr">
        <is>
          <t>TN58AQ7836</t>
        </is>
      </c>
      <c r="E3525" s="20" t="inlineStr">
        <is>
          <t>MARUTI SUZUKI</t>
        </is>
      </c>
      <c r="F3525" s="20" t="inlineStr">
        <is>
          <t>Baleno</t>
        </is>
      </c>
      <c r="G3525" s="21" t="n">
        <v>2018</v>
      </c>
      <c r="H3525" s="22" t="n">
        <v>65999</v>
      </c>
      <c r="I3525" s="23" t="n">
        <v>440000</v>
      </c>
      <c r="J3525" s="20" t="inlineStr">
        <is>
          <t>EXCHANGE ROTN</t>
        </is>
      </c>
      <c r="K3525" s="20" t="inlineStr">
        <is>
          <t>Captive</t>
        </is>
      </c>
      <c r="L3525" s="20" t="inlineStr">
        <is>
          <t>PAUL CARS</t>
        </is>
      </c>
      <c r="M3525" s="23" t="n">
        <v>16950</v>
      </c>
      <c r="N3525" s="23" t="n">
        <v>20001</v>
      </c>
      <c r="O3525" s="24">
        <f>IF(AND(ISNUMBER(M3525), ISNUMBER(I3525), I3525&gt;0), M3525/I3525, "")</f>
        <v/>
      </c>
    </row>
    <row r="3526">
      <c r="A3526" s="19" t="inlineStr">
        <is>
          <t>FY27</t>
        </is>
      </c>
      <c r="B3526" s="19" t="inlineStr">
        <is>
          <t>Aug</t>
        </is>
      </c>
      <c r="C3526" s="19" t="inlineStr">
        <is>
          <t>TN</t>
        </is>
      </c>
      <c r="D3526" s="20" t="inlineStr">
        <is>
          <t>AP28BV8283</t>
        </is>
      </c>
      <c r="E3526" s="20" t="inlineStr">
        <is>
          <t>HONDA</t>
        </is>
      </c>
      <c r="F3526" s="20" t="inlineStr">
        <is>
          <t>Amaze</t>
        </is>
      </c>
      <c r="G3526" s="21" t="n">
        <v>2013</v>
      </c>
      <c r="H3526" s="22" t="n">
        <v>120764</v>
      </c>
      <c r="I3526" s="23" t="n">
        <v>138830</v>
      </c>
      <c r="J3526" s="20" t="inlineStr">
        <is>
          <t>EXCHANGE ROTN</t>
        </is>
      </c>
      <c r="K3526" s="20" t="inlineStr">
        <is>
          <t>Captive</t>
        </is>
      </c>
      <c r="L3526" s="20" t="inlineStr">
        <is>
          <t>KSM AUTO CONSULTING</t>
        </is>
      </c>
      <c r="M3526" s="23" t="n">
        <v>16949.15</v>
      </c>
      <c r="N3526" s="23" t="n">
        <v>20000</v>
      </c>
      <c r="O3526" s="24">
        <f>IF(AND(ISNUMBER(M3526), ISNUMBER(I3526), I3526&gt;0), M3526/I3526, "")</f>
        <v/>
      </c>
    </row>
    <row r="3527">
      <c r="A3527" s="19" t="inlineStr">
        <is>
          <t>FY27</t>
        </is>
      </c>
      <c r="B3527" s="19" t="inlineStr">
        <is>
          <t>Aug</t>
        </is>
      </c>
      <c r="C3527" s="19" t="inlineStr">
        <is>
          <t>TN</t>
        </is>
      </c>
      <c r="D3527" s="20" t="inlineStr">
        <is>
          <t>TN59BC0648</t>
        </is>
      </c>
      <c r="E3527" s="20" t="inlineStr">
        <is>
          <t>HONDA</t>
        </is>
      </c>
      <c r="F3527" s="20" t="inlineStr">
        <is>
          <t>City</t>
        </is>
      </c>
      <c r="G3527" s="21" t="n">
        <v>2013</v>
      </c>
      <c r="H3527" s="22" t="n">
        <v>162295</v>
      </c>
      <c r="I3527" s="23" t="n">
        <v>260000</v>
      </c>
      <c r="J3527" s="20" t="inlineStr">
        <is>
          <t>EXCHANGE ROTN</t>
        </is>
      </c>
      <c r="K3527" s="20" t="inlineStr">
        <is>
          <t>Captive</t>
        </is>
      </c>
      <c r="L3527" s="20" t="inlineStr">
        <is>
          <t>THIRUMALAI CARS (MADURAI)</t>
        </is>
      </c>
      <c r="M3527" s="23" t="n">
        <v>8474.58</v>
      </c>
      <c r="N3527" s="23" t="n">
        <v>10000</v>
      </c>
      <c r="O3527" s="24">
        <f>IF(AND(ISNUMBER(M3527), ISNUMBER(I3527), I3527&gt;0), M3527/I3527, "")</f>
        <v/>
      </c>
    </row>
    <row r="3528">
      <c r="A3528" s="19" t="inlineStr">
        <is>
          <t>FY27</t>
        </is>
      </c>
      <c r="B3528" s="19" t="inlineStr">
        <is>
          <t>Aug</t>
        </is>
      </c>
      <c r="C3528" s="19" t="inlineStr">
        <is>
          <t>TN</t>
        </is>
      </c>
      <c r="D3528" s="20" t="inlineStr">
        <is>
          <t>TN60L8312</t>
        </is>
      </c>
      <c r="E3528" s="20" t="inlineStr">
        <is>
          <t>MARUTI SUZUKI</t>
        </is>
      </c>
      <c r="F3528" s="20" t="inlineStr">
        <is>
          <t>Swiftdzire</t>
        </is>
      </c>
      <c r="G3528" s="21" t="n">
        <v>2013</v>
      </c>
      <c r="H3528" s="22" t="n">
        <v>115749</v>
      </c>
      <c r="I3528" s="23" t="n">
        <v>200000</v>
      </c>
      <c r="J3528" s="20" t="inlineStr">
        <is>
          <t>EXCHANGE ROTN</t>
        </is>
      </c>
      <c r="K3528" s="20" t="inlineStr">
        <is>
          <t>Captive</t>
        </is>
      </c>
      <c r="L3528" s="20" t="inlineStr">
        <is>
          <t>BALAJI CARS (THENI)</t>
        </is>
      </c>
      <c r="M3528" s="23" t="n">
        <v>12711.86</v>
      </c>
      <c r="N3528" s="23" t="n">
        <v>15000</v>
      </c>
      <c r="O3528" s="24">
        <f>IF(AND(ISNUMBER(M3528), ISNUMBER(I3528), I3528&gt;0), M3528/I3528, "")</f>
        <v/>
      </c>
    </row>
    <row r="3529">
      <c r="A3529" s="19" t="inlineStr">
        <is>
          <t>FY27</t>
        </is>
      </c>
      <c r="B3529" s="19" t="inlineStr">
        <is>
          <t>Aug</t>
        </is>
      </c>
      <c r="C3529" s="19" t="inlineStr">
        <is>
          <t>TN</t>
        </is>
      </c>
      <c r="D3529" s="20" t="inlineStr">
        <is>
          <t>TN38AZ2805</t>
        </is>
      </c>
      <c r="E3529" s="20" t="inlineStr">
        <is>
          <t>HYUNDAI</t>
        </is>
      </c>
      <c r="F3529" s="20" t="inlineStr">
        <is>
          <t>I10</t>
        </is>
      </c>
      <c r="G3529" s="21" t="n">
        <v>2009</v>
      </c>
      <c r="H3529" s="22" t="n">
        <v>62407</v>
      </c>
      <c r="I3529" s="23" t="n">
        <v>95000</v>
      </c>
      <c r="J3529" s="20" t="inlineStr">
        <is>
          <t>SREE SARADHAMBAL AUTOMOBILES PRIVATE LIMITED</t>
        </is>
      </c>
      <c r="K3529" s="20" t="inlineStr">
        <is>
          <t>Non-Captive</t>
        </is>
      </c>
      <c r="L3529" s="20" t="inlineStr">
        <is>
          <t>SARVESH CAARS</t>
        </is>
      </c>
      <c r="M3529" s="23" t="n">
        <v>4237.29</v>
      </c>
      <c r="N3529" s="23" t="n">
        <v>5000</v>
      </c>
      <c r="O3529" s="24">
        <f>IF(AND(ISNUMBER(M3529), ISNUMBER(I3529), I3529&gt;0), M3529/I3529, "")</f>
        <v/>
      </c>
    </row>
    <row r="3530">
      <c r="A3530" s="19" t="inlineStr">
        <is>
          <t>FY27</t>
        </is>
      </c>
      <c r="B3530" s="19" t="inlineStr">
        <is>
          <t>Aug</t>
        </is>
      </c>
      <c r="C3530" s="19" t="inlineStr">
        <is>
          <t>TN</t>
        </is>
      </c>
      <c r="D3530" s="20" t="inlineStr">
        <is>
          <t>TN37BX9138</t>
        </is>
      </c>
      <c r="E3530" s="20" t="inlineStr">
        <is>
          <t>MARUTI SUZUKI</t>
        </is>
      </c>
      <c r="F3530" s="20" t="inlineStr">
        <is>
          <t>Alto</t>
        </is>
      </c>
      <c r="G3530" s="21" t="n">
        <v>2012</v>
      </c>
      <c r="H3530" s="22" t="n">
        <v>111098</v>
      </c>
      <c r="I3530" s="23" t="n">
        <v>97000</v>
      </c>
      <c r="J3530" s="20" t="inlineStr">
        <is>
          <t>SREE SARADHAMBAL AUTOMOBILES PRIVATE LIMITED</t>
        </is>
      </c>
      <c r="K3530" s="20" t="inlineStr">
        <is>
          <t>Non-Captive</t>
        </is>
      </c>
      <c r="L3530" s="20" t="inlineStr">
        <is>
          <t>SARVESH CAARS</t>
        </is>
      </c>
      <c r="M3530" s="23" t="n">
        <v>4237.29</v>
      </c>
      <c r="N3530" s="23" t="n">
        <v>5000</v>
      </c>
      <c r="O3530" s="24">
        <f>IF(AND(ISNUMBER(M3530), ISNUMBER(I3530), I3530&gt;0), M3530/I3530, "")</f>
        <v/>
      </c>
    </row>
    <row r="3531">
      <c r="A3531" s="19" t="inlineStr">
        <is>
          <t>FY27</t>
        </is>
      </c>
      <c r="B3531" s="19" t="inlineStr">
        <is>
          <t>Aug</t>
        </is>
      </c>
      <c r="C3531" s="19" t="inlineStr">
        <is>
          <t>TN</t>
        </is>
      </c>
      <c r="D3531" s="20" t="inlineStr">
        <is>
          <t>TN37EX0925</t>
        </is>
      </c>
      <c r="E3531" s="20" t="inlineStr">
        <is>
          <t>HONDA</t>
        </is>
      </c>
      <c r="F3531" s="20" t="inlineStr">
        <is>
          <t>City</t>
        </is>
      </c>
      <c r="G3531" s="21" t="n">
        <v>2022</v>
      </c>
      <c r="H3531" s="22" t="n">
        <v>158720</v>
      </c>
      <c r="I3531" s="23" t="n">
        <v>700000</v>
      </c>
      <c r="J3531" s="20" t="inlineStr">
        <is>
          <t>KRISH TOYOTA - COIMBATORE</t>
        </is>
      </c>
      <c r="K3531" s="20" t="inlineStr">
        <is>
          <t>Non-Captive</t>
        </is>
      </c>
      <c r="L3531" s="20" t="inlineStr">
        <is>
          <t>SRI VIGNESH PRE OWNED CARS</t>
        </is>
      </c>
      <c r="M3531" s="23" t="n">
        <v>8474.58</v>
      </c>
      <c r="N3531" s="23" t="n">
        <v>10000</v>
      </c>
      <c r="O3531" s="24">
        <f>IF(AND(ISNUMBER(M3531), ISNUMBER(I3531), I3531&gt;0), M3531/I3531, "")</f>
        <v/>
      </c>
    </row>
    <row r="3532">
      <c r="A3532" s="19" t="inlineStr">
        <is>
          <t>FY27</t>
        </is>
      </c>
      <c r="B3532" s="19" t="inlineStr">
        <is>
          <t>Aug</t>
        </is>
      </c>
      <c r="C3532" s="19" t="inlineStr">
        <is>
          <t>TN</t>
        </is>
      </c>
      <c r="D3532" s="20" t="inlineStr">
        <is>
          <t>TN07AU9369</t>
        </is>
      </c>
      <c r="E3532" s="20" t="inlineStr">
        <is>
          <t>HONDA</t>
        </is>
      </c>
      <c r="F3532" s="20" t="inlineStr">
        <is>
          <t>City</t>
        </is>
      </c>
      <c r="G3532" s="21" t="n"/>
      <c r="H3532" s="22" t="n">
        <v>92645</v>
      </c>
      <c r="I3532" s="23" t="n">
        <v>50000</v>
      </c>
      <c r="J3532" s="20" t="inlineStr"/>
      <c r="K3532" s="20" t="inlineStr">
        <is>
          <t>Non-Captive</t>
        </is>
      </c>
      <c r="L3532" s="20" t="inlineStr">
        <is>
          <t>SANTHOSH CARS</t>
        </is>
      </c>
      <c r="M3532" s="23" t="n">
        <v>4237.29</v>
      </c>
      <c r="N3532" s="23" t="n">
        <v>5000</v>
      </c>
      <c r="O3532" s="24">
        <f>IF(AND(ISNUMBER(M3532), ISNUMBER(I3532), I3532&gt;0), M3532/I3532, "")</f>
        <v/>
      </c>
    </row>
    <row r="3533">
      <c r="A3533" s="19" t="inlineStr">
        <is>
          <t>FY27</t>
        </is>
      </c>
      <c r="B3533" s="19" t="inlineStr">
        <is>
          <t>Aug</t>
        </is>
      </c>
      <c r="C3533" s="19" t="inlineStr">
        <is>
          <t>TN</t>
        </is>
      </c>
      <c r="D3533" s="20" t="inlineStr">
        <is>
          <t>TN07BE6172</t>
        </is>
      </c>
      <c r="E3533" s="20" t="inlineStr">
        <is>
          <t>HONDA</t>
        </is>
      </c>
      <c r="F3533" s="20" t="inlineStr">
        <is>
          <t>City</t>
        </is>
      </c>
      <c r="G3533" s="21" t="n">
        <v>2009</v>
      </c>
      <c r="H3533" s="22" t="n">
        <v>46780</v>
      </c>
      <c r="I3533" s="23" t="n">
        <v>200000</v>
      </c>
      <c r="J3533" s="20" t="inlineStr">
        <is>
          <t>EXCHANGE CHENNAI</t>
        </is>
      </c>
      <c r="K3533" s="20" t="inlineStr">
        <is>
          <t>Captive</t>
        </is>
      </c>
      <c r="L3533" s="20" t="inlineStr">
        <is>
          <t>SANTHOSH CARS</t>
        </is>
      </c>
      <c r="M3533" s="23" t="n">
        <v>8474.58</v>
      </c>
      <c r="N3533" s="23" t="n">
        <v>10000</v>
      </c>
      <c r="O3533" s="24">
        <f>IF(AND(ISNUMBER(M3533), ISNUMBER(I3533), I3533&gt;0), M3533/I3533, "")</f>
        <v/>
      </c>
    </row>
    <row r="3534">
      <c r="A3534" s="19" t="inlineStr">
        <is>
          <t>FY27</t>
        </is>
      </c>
      <c r="B3534" s="19" t="inlineStr">
        <is>
          <t>Aug</t>
        </is>
      </c>
      <c r="C3534" s="19" t="inlineStr">
        <is>
          <t>TN</t>
        </is>
      </c>
      <c r="D3534" s="20" t="inlineStr">
        <is>
          <t>TN01AL0211</t>
        </is>
      </c>
      <c r="E3534" s="20" t="inlineStr">
        <is>
          <t>MARUTI SUZUKI</t>
        </is>
      </c>
      <c r="F3534" s="20" t="inlineStr">
        <is>
          <t>Swift</t>
        </is>
      </c>
      <c r="G3534" s="21" t="n">
        <v>2010</v>
      </c>
      <c r="H3534" s="22" t="n">
        <v>81265</v>
      </c>
      <c r="I3534" s="23" t="n">
        <v>99000</v>
      </c>
      <c r="J3534" s="20" t="inlineStr">
        <is>
          <t>VISHNU CARS PRIVATE LIMITED</t>
        </is>
      </c>
      <c r="K3534" s="20" t="inlineStr">
        <is>
          <t>Non-Captive</t>
        </is>
      </c>
      <c r="L3534" s="20" t="inlineStr">
        <is>
          <t>Value Drive Tech</t>
        </is>
      </c>
      <c r="M3534" s="23" t="n">
        <v>5084.75</v>
      </c>
      <c r="N3534" s="23" t="n">
        <v>6000</v>
      </c>
      <c r="O3534" s="24">
        <f>IF(AND(ISNUMBER(M3534), ISNUMBER(I3534), I3534&gt;0), M3534/I3534, "")</f>
        <v/>
      </c>
    </row>
    <row r="3535">
      <c r="A3535" s="19" t="inlineStr">
        <is>
          <t>FY27</t>
        </is>
      </c>
      <c r="B3535" s="19" t="inlineStr">
        <is>
          <t>Aug</t>
        </is>
      </c>
      <c r="C3535" s="19" t="inlineStr">
        <is>
          <t>TN</t>
        </is>
      </c>
      <c r="D3535" s="20" t="inlineStr">
        <is>
          <t>TN01AY9952</t>
        </is>
      </c>
      <c r="E3535" s="20" t="inlineStr">
        <is>
          <t>HYUNDAI</t>
        </is>
      </c>
      <c r="F3535" s="20" t="inlineStr">
        <is>
          <t>Grand I10</t>
        </is>
      </c>
      <c r="G3535" s="21" t="n">
        <v>2015</v>
      </c>
      <c r="H3535" s="22" t="n">
        <v>90280</v>
      </c>
      <c r="I3535" s="23" t="n">
        <v>93000</v>
      </c>
      <c r="J3535" s="20" t="inlineStr">
        <is>
          <t>VISHNU CARS PRIVATE LIMITED</t>
        </is>
      </c>
      <c r="K3535" s="20" t="inlineStr">
        <is>
          <t>Non-Captive</t>
        </is>
      </c>
      <c r="L3535" s="20" t="inlineStr">
        <is>
          <t>Value Drive Tech</t>
        </is>
      </c>
      <c r="M3535" s="23" t="n">
        <v>4237.29</v>
      </c>
      <c r="N3535" s="23" t="n">
        <v>5000</v>
      </c>
      <c r="O3535" s="24">
        <f>IF(AND(ISNUMBER(M3535), ISNUMBER(I3535), I3535&gt;0), M3535/I3535, "")</f>
        <v/>
      </c>
    </row>
    <row r="3536">
      <c r="A3536" s="19" t="inlineStr">
        <is>
          <t>FY27</t>
        </is>
      </c>
      <c r="B3536" s="19" t="inlineStr">
        <is>
          <t>Aug</t>
        </is>
      </c>
      <c r="C3536" s="19" t="inlineStr">
        <is>
          <t>TN</t>
        </is>
      </c>
      <c r="D3536" s="20" t="inlineStr">
        <is>
          <t>TN12AC6588</t>
        </is>
      </c>
      <c r="E3536" s="20" t="inlineStr">
        <is>
          <t>FORD</t>
        </is>
      </c>
      <c r="F3536" s="20" t="inlineStr">
        <is>
          <t>Freestyle</t>
        </is>
      </c>
      <c r="G3536" s="21" t="n"/>
      <c r="H3536" s="22" t="n">
        <v>65429</v>
      </c>
      <c r="I3536" s="23" t="n">
        <v>430000</v>
      </c>
      <c r="J3536" s="20" t="inlineStr"/>
      <c r="K3536" s="20" t="inlineStr">
        <is>
          <t>Non-Captive</t>
        </is>
      </c>
      <c r="L3536" s="20" t="inlineStr">
        <is>
          <t>CARS24</t>
        </is>
      </c>
      <c r="M3536" s="23" t="n">
        <v>8474.58</v>
      </c>
      <c r="N3536" s="23" t="n">
        <v>10000</v>
      </c>
      <c r="O3536" s="24">
        <f>IF(AND(ISNUMBER(M3536), ISNUMBER(I3536), I3536&gt;0), M3536/I3536, "")</f>
        <v/>
      </c>
    </row>
    <row r="3537">
      <c r="A3537" s="19" t="inlineStr">
        <is>
          <t>FY27</t>
        </is>
      </c>
      <c r="B3537" s="19" t="inlineStr">
        <is>
          <t>Aug</t>
        </is>
      </c>
      <c r="C3537" s="19" t="inlineStr">
        <is>
          <t>TN</t>
        </is>
      </c>
      <c r="D3537" s="20" t="inlineStr">
        <is>
          <t>TN05BE3334</t>
        </is>
      </c>
      <c r="E3537" s="20" t="inlineStr">
        <is>
          <t>HONDA</t>
        </is>
      </c>
      <c r="F3537" s="20" t="inlineStr">
        <is>
          <t>City</t>
        </is>
      </c>
      <c r="G3537" s="21" t="n">
        <v>2016</v>
      </c>
      <c r="H3537" s="22" t="n">
        <v>184470</v>
      </c>
      <c r="I3537" s="23" t="n">
        <v>98000</v>
      </c>
      <c r="J3537" s="20" t="inlineStr">
        <is>
          <t>Castel Traders HONADA</t>
        </is>
      </c>
      <c r="K3537" s="20" t="inlineStr">
        <is>
          <t>Non-Captive</t>
        </is>
      </c>
      <c r="L3537" s="20" t="inlineStr">
        <is>
          <t>Thiya Cars</t>
        </is>
      </c>
      <c r="M3537" s="23" t="n">
        <v>4237.29</v>
      </c>
      <c r="N3537" s="23" t="n">
        <v>5000</v>
      </c>
      <c r="O3537" s="24">
        <f>IF(AND(ISNUMBER(M3537), ISNUMBER(I3537), I3537&gt;0), M3537/I3537, "")</f>
        <v/>
      </c>
    </row>
    <row r="3538">
      <c r="A3538" s="19" t="inlineStr">
        <is>
          <t>FY27</t>
        </is>
      </c>
      <c r="B3538" s="19" t="inlineStr">
        <is>
          <t>Aug</t>
        </is>
      </c>
      <c r="C3538" s="19" t="inlineStr">
        <is>
          <t>TN</t>
        </is>
      </c>
      <c r="D3538" s="20" t="inlineStr">
        <is>
          <t>TN11X3002</t>
        </is>
      </c>
      <c r="E3538" s="20" t="inlineStr">
        <is>
          <t>FORD</t>
        </is>
      </c>
      <c r="F3538" s="20" t="inlineStr">
        <is>
          <t>Fiestaclassic</t>
        </is>
      </c>
      <c r="G3538" s="21" t="n">
        <v>2013</v>
      </c>
      <c r="H3538" s="22" t="n">
        <v>140428</v>
      </c>
      <c r="I3538" s="23" t="n">
        <v>100000</v>
      </c>
      <c r="J3538" s="20" t="inlineStr">
        <is>
          <t>LANSON QCARS PRIVATE LIMITED</t>
        </is>
      </c>
      <c r="K3538" s="20" t="inlineStr">
        <is>
          <t>Non-Captive</t>
        </is>
      </c>
      <c r="L3538" s="20" t="inlineStr">
        <is>
          <t>Thiyagarajan Raja Cars</t>
        </is>
      </c>
      <c r="M3538" s="23" t="n">
        <v>4237.29</v>
      </c>
      <c r="N3538" s="23" t="n">
        <v>5000</v>
      </c>
      <c r="O3538" s="24">
        <f>IF(AND(ISNUMBER(M3538), ISNUMBER(I3538), I3538&gt;0), M3538/I3538, "")</f>
        <v/>
      </c>
    </row>
    <row r="3539">
      <c r="A3539" s="19" t="inlineStr">
        <is>
          <t>FY27</t>
        </is>
      </c>
      <c r="B3539" s="19" t="inlineStr">
        <is>
          <t>Aug</t>
        </is>
      </c>
      <c r="C3539" s="19" t="inlineStr">
        <is>
          <t>TN</t>
        </is>
      </c>
      <c r="D3539" s="20" t="inlineStr">
        <is>
          <t>TN02AY5888</t>
        </is>
      </c>
      <c r="E3539" s="20" t="inlineStr">
        <is>
          <t>FORD</t>
        </is>
      </c>
      <c r="F3539" s="20" t="inlineStr">
        <is>
          <t>Fiesta</t>
        </is>
      </c>
      <c r="G3539" s="21" t="n">
        <v>2013</v>
      </c>
      <c r="H3539" s="22" t="n">
        <v>99673</v>
      </c>
      <c r="I3539" s="23" t="n">
        <v>97000</v>
      </c>
      <c r="J3539" s="20" t="inlineStr">
        <is>
          <t>LANSON QCARS PRIVATE LIMITED</t>
        </is>
      </c>
      <c r="K3539" s="20" t="inlineStr">
        <is>
          <t>Non-Captive</t>
        </is>
      </c>
      <c r="L3539" s="20" t="inlineStr">
        <is>
          <t>Thiyagarajan Raja Cars</t>
        </is>
      </c>
      <c r="M3539" s="23" t="n">
        <v>4237.29</v>
      </c>
      <c r="N3539" s="23" t="n">
        <v>5000</v>
      </c>
      <c r="O3539" s="24">
        <f>IF(AND(ISNUMBER(M3539), ISNUMBER(I3539), I3539&gt;0), M3539/I3539, "")</f>
        <v/>
      </c>
    </row>
    <row r="3540">
      <c r="A3540" s="19" t="inlineStr">
        <is>
          <t>FY27</t>
        </is>
      </c>
      <c r="B3540" s="19" t="inlineStr">
        <is>
          <t>Aug</t>
        </is>
      </c>
      <c r="C3540" s="19" t="inlineStr">
        <is>
          <t>TN</t>
        </is>
      </c>
      <c r="D3540" s="20" t="inlineStr">
        <is>
          <t>TN07DD4666</t>
        </is>
      </c>
      <c r="E3540" s="20" t="inlineStr">
        <is>
          <t>MG</t>
        </is>
      </c>
      <c r="F3540" s="20" t="inlineStr">
        <is>
          <t>Hector</t>
        </is>
      </c>
      <c r="G3540" s="21" t="n">
        <v>2022</v>
      </c>
      <c r="H3540" s="22" t="n">
        <v>65400</v>
      </c>
      <c r="I3540" s="23" t="n">
        <v>98000</v>
      </c>
      <c r="J3540" s="20" t="inlineStr">
        <is>
          <t>LANSON QCARS PRIVATE LIMITED</t>
        </is>
      </c>
      <c r="K3540" s="20" t="inlineStr">
        <is>
          <t>Non-Captive</t>
        </is>
      </c>
      <c r="L3540" s="20" t="inlineStr">
        <is>
          <t>S2 MOTORZ</t>
        </is>
      </c>
      <c r="M3540" s="23" t="n">
        <v>4237.29</v>
      </c>
      <c r="N3540" s="23" t="n">
        <v>5000</v>
      </c>
      <c r="O3540" s="24">
        <f>IF(AND(ISNUMBER(M3540), ISNUMBER(I3540), I3540&gt;0), M3540/I3540, "")</f>
        <v/>
      </c>
    </row>
    <row r="3541">
      <c r="A3541" s="19" t="inlineStr">
        <is>
          <t>FY27</t>
        </is>
      </c>
      <c r="B3541" s="19" t="inlineStr">
        <is>
          <t>Aug</t>
        </is>
      </c>
      <c r="C3541" s="19" t="inlineStr">
        <is>
          <t>TN</t>
        </is>
      </c>
      <c r="D3541" s="20" t="inlineStr">
        <is>
          <t>KL16Z9193</t>
        </is>
      </c>
      <c r="E3541" s="20" t="inlineStr">
        <is>
          <t>MARUTI SUZUKI</t>
        </is>
      </c>
      <c r="F3541" s="20" t="inlineStr">
        <is>
          <t>Spresso</t>
        </is>
      </c>
      <c r="G3541" s="21" t="n">
        <v>2022</v>
      </c>
      <c r="H3541" s="22" t="n">
        <v>28490</v>
      </c>
      <c r="I3541" s="23" t="n">
        <v>180000</v>
      </c>
      <c r="J3541" s="20" t="inlineStr">
        <is>
          <t>TRUST N DRIVE</t>
        </is>
      </c>
      <c r="K3541" s="20" t="inlineStr">
        <is>
          <t>Non-Captive</t>
        </is>
      </c>
      <c r="L3541" s="20" t="inlineStr">
        <is>
          <t>POPULAR THRISSUR</t>
        </is>
      </c>
      <c r="M3541" s="23" t="n">
        <v>5000</v>
      </c>
      <c r="N3541" s="23" t="n">
        <v>5900</v>
      </c>
      <c r="O3541" s="24">
        <f>IF(AND(ISNUMBER(M3541), ISNUMBER(I3541), I3541&gt;0), M3541/I3541, "")</f>
        <v/>
      </c>
    </row>
    <row r="3542">
      <c r="A3542" s="19" t="inlineStr">
        <is>
          <t>FY27</t>
        </is>
      </c>
      <c r="B3542" s="19" t="inlineStr">
        <is>
          <t>Aug</t>
        </is>
      </c>
      <c r="C3542" s="19" t="inlineStr">
        <is>
          <t>TN</t>
        </is>
      </c>
      <c r="D3542" s="20" t="inlineStr">
        <is>
          <t>KL01CZ7262</t>
        </is>
      </c>
      <c r="E3542" s="20" t="inlineStr">
        <is>
          <t>MARUTI SUZUKI</t>
        </is>
      </c>
      <c r="F3542" s="20" t="inlineStr">
        <is>
          <t>Spresso</t>
        </is>
      </c>
      <c r="G3542" s="21" t="n"/>
      <c r="H3542" s="22" t="n">
        <v>37651</v>
      </c>
      <c r="I3542" s="23" t="n">
        <v>165000</v>
      </c>
      <c r="J3542" s="20" t="inlineStr"/>
      <c r="K3542" s="20" t="inlineStr">
        <is>
          <t>Non-Captive</t>
        </is>
      </c>
      <c r="L3542" s="20" t="inlineStr">
        <is>
          <t>POPULAR THRISSUR</t>
        </is>
      </c>
      <c r="M3542" s="23" t="n">
        <v>5000</v>
      </c>
      <c r="N3542" s="23" t="n">
        <v>5900</v>
      </c>
      <c r="O3542" s="24">
        <f>IF(AND(ISNUMBER(M3542), ISNUMBER(I3542), I3542&gt;0), M3542/I3542, "")</f>
        <v/>
      </c>
    </row>
    <row r="3543">
      <c r="A3543" s="19" t="inlineStr">
        <is>
          <t>FY27</t>
        </is>
      </c>
      <c r="B3543" s="19" t="inlineStr">
        <is>
          <t>Aug</t>
        </is>
      </c>
      <c r="C3543" s="19" t="inlineStr">
        <is>
          <t>TN</t>
        </is>
      </c>
      <c r="D3543" s="20" t="inlineStr">
        <is>
          <t>KL01BZ8100</t>
        </is>
      </c>
      <c r="E3543" s="20" t="inlineStr">
        <is>
          <t>HYUNDAI</t>
        </is>
      </c>
      <c r="F3543" s="20" t="inlineStr">
        <is>
          <t>Grand I10</t>
        </is>
      </c>
      <c r="G3543" s="21" t="n">
        <v>2016</v>
      </c>
      <c r="H3543" s="22" t="n">
        <v>99518</v>
      </c>
      <c r="I3543" s="23" t="n">
        <v>155000</v>
      </c>
      <c r="J3543" s="20" t="inlineStr">
        <is>
          <t>SABU MATHEW</t>
        </is>
      </c>
      <c r="K3543" s="20" t="inlineStr">
        <is>
          <t>Non-Captive</t>
        </is>
      </c>
      <c r="L3543" s="20" t="inlineStr">
        <is>
          <t>POPULAR THRISSUR</t>
        </is>
      </c>
      <c r="M3543" s="23" t="n">
        <v>5000</v>
      </c>
      <c r="N3543" s="23" t="n">
        <v>5900</v>
      </c>
      <c r="O3543" s="24">
        <f>IF(AND(ISNUMBER(M3543), ISNUMBER(I3543), I3543&gt;0), M3543/I3543, "")</f>
        <v/>
      </c>
    </row>
    <row r="3544">
      <c r="A3544" s="19" t="inlineStr">
        <is>
          <t>FY27</t>
        </is>
      </c>
      <c r="B3544" s="19" t="inlineStr">
        <is>
          <t>Aug</t>
        </is>
      </c>
      <c r="C3544" s="19" t="inlineStr">
        <is>
          <t>TN</t>
        </is>
      </c>
      <c r="D3544" s="20" t="inlineStr">
        <is>
          <t>KL20P8565</t>
        </is>
      </c>
      <c r="E3544" s="20" t="inlineStr">
        <is>
          <t>MARUTI SUZUKI</t>
        </is>
      </c>
      <c r="F3544" s="20" t="inlineStr">
        <is>
          <t>Baleno</t>
        </is>
      </c>
      <c r="G3544" s="21" t="n">
        <v>2019</v>
      </c>
      <c r="H3544" s="22" t="n">
        <v>11938</v>
      </c>
      <c r="I3544" s="23" t="n">
        <v>170000</v>
      </c>
      <c r="J3544" s="20" t="inlineStr">
        <is>
          <t>Nippon Motor Corporation Pvt Ltd</t>
        </is>
      </c>
      <c r="K3544" s="20" t="inlineStr">
        <is>
          <t>Non-Captive</t>
        </is>
      </c>
      <c r="L3544" s="20" t="inlineStr">
        <is>
          <t>POPULAR THRISSUR</t>
        </is>
      </c>
      <c r="M3544" s="23" t="n">
        <v>5000</v>
      </c>
      <c r="N3544" s="23" t="n">
        <v>5900</v>
      </c>
      <c r="O3544" s="24">
        <f>IF(AND(ISNUMBER(M3544), ISNUMBER(I3544), I3544&gt;0), M3544/I3544, "")</f>
        <v/>
      </c>
    </row>
    <row r="3545">
      <c r="A3545" s="19" t="inlineStr">
        <is>
          <t>FY27</t>
        </is>
      </c>
      <c r="B3545" s="19" t="inlineStr">
        <is>
          <t>Aug</t>
        </is>
      </c>
      <c r="C3545" s="19" t="inlineStr">
        <is>
          <t>TN</t>
        </is>
      </c>
      <c r="D3545" s="20" t="inlineStr">
        <is>
          <t>TN87B5558</t>
        </is>
      </c>
      <c r="E3545" s="20" t="inlineStr">
        <is>
          <t>NISSAN</t>
        </is>
      </c>
      <c r="F3545" s="20" t="inlineStr">
        <is>
          <t>Kicks</t>
        </is>
      </c>
      <c r="G3545" s="21" t="n">
        <v>2019</v>
      </c>
      <c r="H3545" s="22" t="n">
        <v>99999</v>
      </c>
      <c r="I3545" s="23" t="n">
        <v>275000</v>
      </c>
      <c r="J3545" s="20" t="inlineStr"/>
      <c r="K3545" s="20" t="inlineStr">
        <is>
          <t>Non-Captive</t>
        </is>
      </c>
      <c r="L3545" s="20" t="inlineStr">
        <is>
          <t>SRI KARUPPAIYA CARS</t>
        </is>
      </c>
      <c r="M3545" s="23" t="n">
        <v>7627.12</v>
      </c>
      <c r="N3545" s="23" t="n">
        <v>9000</v>
      </c>
      <c r="O3545" s="24">
        <f>IF(AND(ISNUMBER(M3545), ISNUMBER(I3545), I3545&gt;0), M3545/I3545, "")</f>
        <v/>
      </c>
    </row>
    <row r="3546">
      <c r="A3546" s="19" t="inlineStr">
        <is>
          <t>FY27</t>
        </is>
      </c>
      <c r="B3546" s="19" t="inlineStr">
        <is>
          <t>Aug</t>
        </is>
      </c>
      <c r="C3546" s="19" t="inlineStr">
        <is>
          <t>TN</t>
        </is>
      </c>
      <c r="D3546" s="20" t="inlineStr">
        <is>
          <t>TN87A7056</t>
        </is>
      </c>
      <c r="E3546" s="20" t="inlineStr">
        <is>
          <t>NISSAN</t>
        </is>
      </c>
      <c r="F3546" s="20" t="inlineStr">
        <is>
          <t>Kicks</t>
        </is>
      </c>
      <c r="G3546" s="21" t="n">
        <v>2018</v>
      </c>
      <c r="H3546" s="22" t="n">
        <v>99999</v>
      </c>
      <c r="I3546" s="23" t="n">
        <v>330000</v>
      </c>
      <c r="J3546" s="20" t="inlineStr"/>
      <c r="K3546" s="20" t="inlineStr">
        <is>
          <t>Non-Captive</t>
        </is>
      </c>
      <c r="L3546" s="20" t="inlineStr">
        <is>
          <t>SRI KARUPPAIYA CARS</t>
        </is>
      </c>
      <c r="M3546" s="23" t="n">
        <v>7627.12</v>
      </c>
      <c r="N3546" s="23" t="n">
        <v>9000</v>
      </c>
      <c r="O3546" s="24">
        <f>IF(AND(ISNUMBER(M3546), ISNUMBER(I3546), I3546&gt;0), M3546/I3546, "")</f>
        <v/>
      </c>
    </row>
    <row r="3547">
      <c r="A3547" s="19" t="inlineStr">
        <is>
          <t>FY27</t>
        </is>
      </c>
      <c r="B3547" s="19" t="inlineStr">
        <is>
          <t>Aug</t>
        </is>
      </c>
      <c r="C3547" s="19" t="inlineStr">
        <is>
          <t>TN</t>
        </is>
      </c>
      <c r="D3547" s="20" t="inlineStr">
        <is>
          <t>TN87B2176</t>
        </is>
      </c>
      <c r="E3547" s="20" t="inlineStr">
        <is>
          <t>NISSAN</t>
        </is>
      </c>
      <c r="F3547" s="20" t="inlineStr">
        <is>
          <t>Kicks</t>
        </is>
      </c>
      <c r="G3547" s="21" t="n">
        <v>2018</v>
      </c>
      <c r="H3547" s="22" t="n">
        <v>110723</v>
      </c>
      <c r="I3547" s="23" t="n">
        <v>330000</v>
      </c>
      <c r="J3547" s="20" t="inlineStr"/>
      <c r="K3547" s="20" t="inlineStr">
        <is>
          <t>Non-Captive</t>
        </is>
      </c>
      <c r="L3547" s="20" t="inlineStr">
        <is>
          <t>SRI KARUPPAIYA CARS</t>
        </is>
      </c>
      <c r="M3547" s="23" t="n">
        <v>7627.12</v>
      </c>
      <c r="N3547" s="23" t="n">
        <v>9000</v>
      </c>
      <c r="O3547" s="24">
        <f>IF(AND(ISNUMBER(M3547), ISNUMBER(I3547), I3547&gt;0), M3547/I3547, "")</f>
        <v/>
      </c>
    </row>
    <row r="3548">
      <c r="A3548" s="19" t="inlineStr">
        <is>
          <t>FY27</t>
        </is>
      </c>
      <c r="B3548" s="19" t="inlineStr">
        <is>
          <t>Aug</t>
        </is>
      </c>
      <c r="C3548" s="19" t="inlineStr">
        <is>
          <t>TN</t>
        </is>
      </c>
      <c r="D3548" s="20" t="inlineStr">
        <is>
          <t>TN01BC1650</t>
        </is>
      </c>
      <c r="E3548" s="20" t="inlineStr">
        <is>
          <t>HYUNDAI</t>
        </is>
      </c>
      <c r="F3548" s="20" t="inlineStr">
        <is>
          <t>Creta</t>
        </is>
      </c>
      <c r="G3548" s="21" t="n">
        <v>2017</v>
      </c>
      <c r="H3548" s="22" t="n">
        <v>100822</v>
      </c>
      <c r="I3548" s="23" t="n">
        <v>515000</v>
      </c>
      <c r="J3548" s="20" t="inlineStr">
        <is>
          <t>EXCHANGE CHENNAI</t>
        </is>
      </c>
      <c r="K3548" s="20" t="inlineStr">
        <is>
          <t>Captive</t>
        </is>
      </c>
      <c r="L3548" s="20" t="inlineStr">
        <is>
          <t>SANTHOSH CARS</t>
        </is>
      </c>
      <c r="M3548" s="23" t="n">
        <v>8474.58</v>
      </c>
      <c r="N3548" s="23" t="n">
        <v>10000</v>
      </c>
      <c r="O3548" s="24">
        <f>IF(AND(ISNUMBER(M3548), ISNUMBER(I3548), I3548&gt;0), M3548/I3548, "")</f>
        <v/>
      </c>
    </row>
    <row r="3549">
      <c r="A3549" s="19" t="inlineStr">
        <is>
          <t>FY27</t>
        </is>
      </c>
      <c r="B3549" s="19" t="inlineStr">
        <is>
          <t>Aug</t>
        </is>
      </c>
      <c r="C3549" s="19" t="inlineStr">
        <is>
          <t>TN</t>
        </is>
      </c>
      <c r="D3549" s="20" t="inlineStr">
        <is>
          <t>TN22DK0137</t>
        </is>
      </c>
      <c r="E3549" s="20" t="inlineStr">
        <is>
          <t>FORD</t>
        </is>
      </c>
      <c r="F3549" s="20" t="inlineStr">
        <is>
          <t>Aspire</t>
        </is>
      </c>
      <c r="G3549" s="21" t="n">
        <v>2017</v>
      </c>
      <c r="H3549" s="22" t="n">
        <v>56418</v>
      </c>
      <c r="I3549" s="23" t="n">
        <v>360000</v>
      </c>
      <c r="J3549" s="20" t="inlineStr">
        <is>
          <t>EXCHANGE CHENNAI</t>
        </is>
      </c>
      <c r="K3549" s="20" t="inlineStr">
        <is>
          <t>Captive</t>
        </is>
      </c>
      <c r="L3549" s="20" t="inlineStr">
        <is>
          <t>NIRMAL CARS</t>
        </is>
      </c>
      <c r="M3549" s="23" t="n">
        <v>8474.58</v>
      </c>
      <c r="N3549" s="23" t="n">
        <v>10000</v>
      </c>
      <c r="O3549" s="24">
        <f>IF(AND(ISNUMBER(M3549), ISNUMBER(I3549), I3549&gt;0), M3549/I3549, "")</f>
        <v/>
      </c>
    </row>
    <row r="3550">
      <c r="A3550" s="19" t="inlineStr">
        <is>
          <t>FY27</t>
        </is>
      </c>
      <c r="B3550" s="19" t="inlineStr">
        <is>
          <t>Aug</t>
        </is>
      </c>
      <c r="C3550" s="19" t="inlineStr">
        <is>
          <t>TN</t>
        </is>
      </c>
      <c r="D3550" s="20" t="inlineStr">
        <is>
          <t>TN02BR5284</t>
        </is>
      </c>
      <c r="E3550" s="20" t="inlineStr">
        <is>
          <t>HONDA</t>
        </is>
      </c>
      <c r="F3550" s="20" t="inlineStr">
        <is>
          <t>City</t>
        </is>
      </c>
      <c r="G3550" s="21" t="n">
        <v>2019</v>
      </c>
      <c r="H3550" s="22" t="n">
        <v>24668</v>
      </c>
      <c r="I3550" s="23" t="n">
        <v>570000</v>
      </c>
      <c r="J3550" s="20" t="inlineStr">
        <is>
          <t>EXCHANGE CHENNAI</t>
        </is>
      </c>
      <c r="K3550" s="20" t="inlineStr">
        <is>
          <t>Captive</t>
        </is>
      </c>
      <c r="L3550" s="20" t="inlineStr">
        <is>
          <t>SANTHOSH CARS</t>
        </is>
      </c>
      <c r="M3550" s="23" t="n">
        <v>8474.58</v>
      </c>
      <c r="N3550" s="23" t="n">
        <v>10000</v>
      </c>
      <c r="O3550" s="24">
        <f>IF(AND(ISNUMBER(M3550), ISNUMBER(I3550), I3550&gt;0), M3550/I3550, "")</f>
        <v/>
      </c>
    </row>
    <row r="3551">
      <c r="A3551" s="19" t="inlineStr">
        <is>
          <t>FY27</t>
        </is>
      </c>
      <c r="B3551" s="19" t="inlineStr">
        <is>
          <t>Aug</t>
        </is>
      </c>
      <c r="C3551" s="19" t="inlineStr">
        <is>
          <t>TN</t>
        </is>
      </c>
      <c r="D3551" s="20" t="inlineStr">
        <is>
          <t>TN10AX8767</t>
        </is>
      </c>
      <c r="E3551" s="20" t="inlineStr">
        <is>
          <t>HONDA</t>
        </is>
      </c>
      <c r="F3551" s="20" t="inlineStr">
        <is>
          <t>City</t>
        </is>
      </c>
      <c r="G3551" s="21" t="n">
        <v>2016</v>
      </c>
      <c r="H3551" s="22" t="n">
        <v>82144</v>
      </c>
      <c r="I3551" s="23" t="n">
        <v>425000</v>
      </c>
      <c r="J3551" s="20" t="inlineStr">
        <is>
          <t>EXCHANGE CHENNAI</t>
        </is>
      </c>
      <c r="K3551" s="20" t="inlineStr">
        <is>
          <t>Captive</t>
        </is>
      </c>
      <c r="L3551" s="20" t="inlineStr">
        <is>
          <t>Maruthi Industries</t>
        </is>
      </c>
      <c r="M3551" s="23" t="n">
        <v>8474.58</v>
      </c>
      <c r="N3551" s="23" t="n">
        <v>10000</v>
      </c>
      <c r="O3551" s="24">
        <f>IF(AND(ISNUMBER(M3551), ISNUMBER(I3551), I3551&gt;0), M3551/I3551, "")</f>
        <v/>
      </c>
    </row>
    <row r="3552">
      <c r="A3552" s="19" t="inlineStr">
        <is>
          <t>FY27</t>
        </is>
      </c>
      <c r="B3552" s="19" t="inlineStr">
        <is>
          <t>Aug</t>
        </is>
      </c>
      <c r="C3552" s="19" t="inlineStr">
        <is>
          <t>TN</t>
        </is>
      </c>
      <c r="D3552" s="20" t="inlineStr">
        <is>
          <t>TN18AV6039</t>
        </is>
      </c>
      <c r="E3552" s="20" t="inlineStr">
        <is>
          <t>TATA</t>
        </is>
      </c>
      <c r="F3552" s="20" t="inlineStr">
        <is>
          <t>Tigor</t>
        </is>
      </c>
      <c r="G3552" s="21" t="n">
        <v>2019</v>
      </c>
      <c r="H3552" s="22" t="n">
        <v>95898</v>
      </c>
      <c r="I3552" s="23" t="n">
        <v>340000</v>
      </c>
      <c r="J3552" s="20" t="inlineStr">
        <is>
          <t>EXCHANGE CHENNAI</t>
        </is>
      </c>
      <c r="K3552" s="20" t="inlineStr">
        <is>
          <t>Captive</t>
        </is>
      </c>
      <c r="L3552" s="20" t="inlineStr">
        <is>
          <t>NIRMAL CARS</t>
        </is>
      </c>
      <c r="M3552" s="23" t="n">
        <v>8474.58</v>
      </c>
      <c r="N3552" s="23" t="n">
        <v>10000</v>
      </c>
      <c r="O3552" s="24">
        <f>IF(AND(ISNUMBER(M3552), ISNUMBER(I3552), I3552&gt;0), M3552/I3552, "")</f>
        <v/>
      </c>
    </row>
    <row r="3553">
      <c r="A3553" s="19" t="inlineStr">
        <is>
          <t>FY27</t>
        </is>
      </c>
      <c r="B3553" s="19" t="inlineStr">
        <is>
          <t>Aug</t>
        </is>
      </c>
      <c r="C3553" s="19" t="inlineStr">
        <is>
          <t>TN</t>
        </is>
      </c>
      <c r="D3553" s="20" t="inlineStr">
        <is>
          <t>TN39AY2080</t>
        </is>
      </c>
      <c r="E3553" s="20" t="inlineStr">
        <is>
          <t>MARUTI SUZUKI</t>
        </is>
      </c>
      <c r="F3553" s="20" t="inlineStr">
        <is>
          <t>Omni</t>
        </is>
      </c>
      <c r="G3553" s="21" t="n">
        <v>2010</v>
      </c>
      <c r="H3553" s="22" t="n">
        <v>110359</v>
      </c>
      <c r="I3553" s="23" t="n">
        <v>115000</v>
      </c>
      <c r="J3553" s="20" t="inlineStr">
        <is>
          <t>EXCHANGE ROTN</t>
        </is>
      </c>
      <c r="K3553" s="20" t="inlineStr">
        <is>
          <t>Captive</t>
        </is>
      </c>
      <c r="L3553" s="20" t="inlineStr">
        <is>
          <t>Chakrabani Auto Consulting</t>
        </is>
      </c>
      <c r="M3553" s="23" t="n">
        <v>16949.15</v>
      </c>
      <c r="N3553" s="23" t="n">
        <v>20000</v>
      </c>
      <c r="O3553" s="24">
        <f>IF(AND(ISNUMBER(M3553), ISNUMBER(I3553), I3553&gt;0), M3553/I3553, "")</f>
        <v/>
      </c>
    </row>
    <row r="3554">
      <c r="A3554" s="19" t="inlineStr">
        <is>
          <t>FY27</t>
        </is>
      </c>
      <c r="B3554" s="19" t="inlineStr">
        <is>
          <t>Aug</t>
        </is>
      </c>
      <c r="C3554" s="19" t="inlineStr">
        <is>
          <t>TN</t>
        </is>
      </c>
      <c r="D3554" s="20" t="inlineStr">
        <is>
          <t>TN34AX0810</t>
        </is>
      </c>
      <c r="E3554" s="20" t="inlineStr">
        <is>
          <t>KIA</t>
        </is>
      </c>
      <c r="F3554" s="20" t="inlineStr">
        <is>
          <t>Seltos</t>
        </is>
      </c>
      <c r="G3554" s="21" t="n">
        <v>2020</v>
      </c>
      <c r="H3554" s="22" t="n">
        <v>82264</v>
      </c>
      <c r="I3554" s="23" t="n">
        <v>975000</v>
      </c>
      <c r="J3554" s="20" t="inlineStr">
        <is>
          <t>EXCHANGE ROTN</t>
        </is>
      </c>
      <c r="K3554" s="20" t="inlineStr">
        <is>
          <t>Captive</t>
        </is>
      </c>
      <c r="L3554" s="20" t="inlineStr">
        <is>
          <t>SIVASHANKAR CARS</t>
        </is>
      </c>
      <c r="M3554" s="23" t="n">
        <v>21186.44</v>
      </c>
      <c r="N3554" s="23" t="n">
        <v>25000</v>
      </c>
      <c r="O3554" s="24">
        <f>IF(AND(ISNUMBER(M3554), ISNUMBER(I3554), I3554&gt;0), M3554/I3554, "")</f>
        <v/>
      </c>
    </row>
    <row r="3555">
      <c r="A3555" s="19" t="inlineStr">
        <is>
          <t>FY27</t>
        </is>
      </c>
      <c r="B3555" s="19" t="inlineStr">
        <is>
          <t>Aug</t>
        </is>
      </c>
      <c r="C3555" s="19" t="inlineStr">
        <is>
          <t>TN</t>
        </is>
      </c>
      <c r="D3555" s="20" t="inlineStr">
        <is>
          <t>TN39BH0254</t>
        </is>
      </c>
      <c r="E3555" s="20" t="inlineStr">
        <is>
          <t>RENAULT</t>
        </is>
      </c>
      <c r="F3555" s="20" t="inlineStr">
        <is>
          <t>Pulse</t>
        </is>
      </c>
      <c r="G3555" s="21" t="n">
        <v>2012</v>
      </c>
      <c r="H3555" s="22" t="n">
        <v>87095</v>
      </c>
      <c r="I3555" s="23" t="n">
        <v>180000</v>
      </c>
      <c r="J3555" s="20" t="inlineStr">
        <is>
          <t>EXCHANGE ROTN</t>
        </is>
      </c>
      <c r="K3555" s="20" t="inlineStr">
        <is>
          <t>Captive</t>
        </is>
      </c>
      <c r="L3555" s="20" t="inlineStr">
        <is>
          <t>Chakrabani Auto Consulting</t>
        </is>
      </c>
      <c r="M3555" s="23" t="n">
        <v>16949.15</v>
      </c>
      <c r="N3555" s="23" t="n">
        <v>20000</v>
      </c>
      <c r="O3555" s="24">
        <f>IF(AND(ISNUMBER(M3555), ISNUMBER(I3555), I3555&gt;0), M3555/I3555, "")</f>
        <v/>
      </c>
    </row>
    <row r="3556">
      <c r="A3556" s="19" t="inlineStr">
        <is>
          <t>FY27</t>
        </is>
      </c>
      <c r="B3556" s="19" t="inlineStr">
        <is>
          <t>Aug</t>
        </is>
      </c>
      <c r="C3556" s="19" t="inlineStr">
        <is>
          <t>TN</t>
        </is>
      </c>
      <c r="D3556" s="20" t="inlineStr">
        <is>
          <t>TN52Z6754</t>
        </is>
      </c>
      <c r="E3556" s="20" t="inlineStr">
        <is>
          <t>MARUTI SUZUKI</t>
        </is>
      </c>
      <c r="F3556" s="20" t="inlineStr">
        <is>
          <t>Astar</t>
        </is>
      </c>
      <c r="G3556" s="21" t="n">
        <v>2009</v>
      </c>
      <c r="H3556" s="22" t="n">
        <v>146413</v>
      </c>
      <c r="I3556" s="23" t="n">
        <v>95000</v>
      </c>
      <c r="J3556" s="20" t="inlineStr">
        <is>
          <t>SREE SARADHAMBAL AUTOMOBILES PRIVATE LIMITED</t>
        </is>
      </c>
      <c r="K3556" s="20" t="inlineStr">
        <is>
          <t>Non-Captive</t>
        </is>
      </c>
      <c r="L3556" s="20" t="inlineStr">
        <is>
          <t>MADHURA CARS</t>
        </is>
      </c>
      <c r="M3556" s="23" t="n">
        <v>4237.29</v>
      </c>
      <c r="N3556" s="23" t="n">
        <v>5000</v>
      </c>
      <c r="O3556" s="24">
        <f>IF(AND(ISNUMBER(M3556), ISNUMBER(I3556), I3556&gt;0), M3556/I3556, "")</f>
        <v/>
      </c>
    </row>
    <row r="3557">
      <c r="A3557" s="19" t="inlineStr">
        <is>
          <t>FY27</t>
        </is>
      </c>
      <c r="B3557" s="19" t="inlineStr">
        <is>
          <t>Aug</t>
        </is>
      </c>
      <c r="C3557" s="19" t="inlineStr">
        <is>
          <t>TN</t>
        </is>
      </c>
      <c r="D3557" s="20" t="inlineStr">
        <is>
          <t>TN48AB8209</t>
        </is>
      </c>
      <c r="E3557" s="20" t="inlineStr">
        <is>
          <t>DATSUN</t>
        </is>
      </c>
      <c r="F3557" s="20" t="inlineStr">
        <is>
          <t>Redi-Go</t>
        </is>
      </c>
      <c r="G3557" s="21" t="n">
        <v>2014</v>
      </c>
      <c r="H3557" s="22" t="n">
        <v>85109</v>
      </c>
      <c r="I3557" s="23" t="n">
        <v>80000</v>
      </c>
      <c r="J3557" s="20" t="inlineStr">
        <is>
          <t>SREE SARADHAMBAL AUTOMOBILES PRIVATE LIMITED</t>
        </is>
      </c>
      <c r="K3557" s="20" t="inlineStr">
        <is>
          <t>Non-Captive</t>
        </is>
      </c>
      <c r="L3557" s="20" t="inlineStr">
        <is>
          <t>MADHURA CARS</t>
        </is>
      </c>
      <c r="M3557" s="23" t="n">
        <v>4237.29</v>
      </c>
      <c r="N3557" s="23" t="n">
        <v>5000</v>
      </c>
      <c r="O3557" s="24">
        <f>IF(AND(ISNUMBER(M3557), ISNUMBER(I3557), I3557&gt;0), M3557/I3557, "")</f>
        <v/>
      </c>
    </row>
    <row r="3558">
      <c r="A3558" s="19" t="inlineStr">
        <is>
          <t>FY27</t>
        </is>
      </c>
      <c r="B3558" s="19" t="inlineStr">
        <is>
          <t>Aug</t>
        </is>
      </c>
      <c r="C3558" s="19" t="inlineStr">
        <is>
          <t>TN</t>
        </is>
      </c>
      <c r="D3558" s="20" t="inlineStr">
        <is>
          <t>TN04AK3052</t>
        </is>
      </c>
      <c r="E3558" s="20" t="inlineStr">
        <is>
          <t>NISSAN</t>
        </is>
      </c>
      <c r="F3558" s="20" t="inlineStr">
        <is>
          <t>Micra</t>
        </is>
      </c>
      <c r="G3558" s="21" t="n">
        <v>2012</v>
      </c>
      <c r="H3558" s="22" t="n">
        <v>59084</v>
      </c>
      <c r="I3558" s="23" t="n">
        <v>95000</v>
      </c>
      <c r="J3558" s="20" t="inlineStr">
        <is>
          <t>SREE SARADHAMBAL AUTOMOBILES PRIVATE LIMITED</t>
        </is>
      </c>
      <c r="K3558" s="20" t="inlineStr">
        <is>
          <t>Non-Captive</t>
        </is>
      </c>
      <c r="L3558" s="20" t="inlineStr">
        <is>
          <t>MADHURA CARS</t>
        </is>
      </c>
      <c r="M3558" s="23" t="n">
        <v>4237.29</v>
      </c>
      <c r="N3558" s="23" t="n">
        <v>5000</v>
      </c>
      <c r="O3558" s="24">
        <f>IF(AND(ISNUMBER(M3558), ISNUMBER(I3558), I3558&gt;0), M3558/I3558, "")</f>
        <v/>
      </c>
    </row>
    <row r="3559">
      <c r="A3559" s="19" t="inlineStr">
        <is>
          <t>FY27</t>
        </is>
      </c>
      <c r="B3559" s="19" t="inlineStr">
        <is>
          <t>Aug</t>
        </is>
      </c>
      <c r="C3559" s="19" t="inlineStr">
        <is>
          <t>TN</t>
        </is>
      </c>
      <c r="D3559" s="20" t="inlineStr">
        <is>
          <t>TN66C7202</t>
        </is>
      </c>
      <c r="E3559" s="20" t="inlineStr">
        <is>
          <t>MARUTI SUZUKI</t>
        </is>
      </c>
      <c r="F3559" s="20" t="inlineStr">
        <is>
          <t>Wagonr</t>
        </is>
      </c>
      <c r="G3559" s="21" t="n">
        <v>2011</v>
      </c>
      <c r="H3559" s="22" t="n">
        <v>99651</v>
      </c>
      <c r="I3559" s="23" t="n">
        <v>93000</v>
      </c>
      <c r="J3559" s="20" t="inlineStr">
        <is>
          <t>ABT LIMITED</t>
        </is>
      </c>
      <c r="K3559" s="20" t="inlineStr">
        <is>
          <t>Non-Captive</t>
        </is>
      </c>
      <c r="L3559" s="20" t="inlineStr">
        <is>
          <t>MADHURA CARS</t>
        </is>
      </c>
      <c r="M3559" s="23" t="n">
        <v>4237.29</v>
      </c>
      <c r="N3559" s="23" t="n">
        <v>5000</v>
      </c>
      <c r="O3559" s="24">
        <f>IF(AND(ISNUMBER(M3559), ISNUMBER(I3559), I3559&gt;0), M3559/I3559, "")</f>
        <v/>
      </c>
    </row>
    <row r="3560">
      <c r="A3560" s="19" t="inlineStr">
        <is>
          <t>FY27</t>
        </is>
      </c>
      <c r="B3560" s="19" t="inlineStr">
        <is>
          <t>Aug</t>
        </is>
      </c>
      <c r="C3560" s="19" t="inlineStr">
        <is>
          <t>TN</t>
        </is>
      </c>
      <c r="D3560" s="20" t="inlineStr">
        <is>
          <t>TN66M9841</t>
        </is>
      </c>
      <c r="E3560" s="20" t="inlineStr">
        <is>
          <t>HONDA</t>
        </is>
      </c>
      <c r="F3560" s="20" t="inlineStr">
        <is>
          <t>City</t>
        </is>
      </c>
      <c r="G3560" s="21" t="n">
        <v>2015</v>
      </c>
      <c r="H3560" s="22" t="n">
        <v>210081</v>
      </c>
      <c r="I3560" s="23" t="n">
        <v>315100</v>
      </c>
      <c r="J3560" s="20" t="inlineStr">
        <is>
          <t>EXCHANGE ROTN</t>
        </is>
      </c>
      <c r="K3560" s="20" t="inlineStr">
        <is>
          <t>Captive</t>
        </is>
      </c>
      <c r="L3560" s="20" t="inlineStr">
        <is>
          <t>SRI VIGNESH PRE OWNED CARS</t>
        </is>
      </c>
      <c r="M3560" s="23" t="n">
        <v>33898.31</v>
      </c>
      <c r="N3560" s="23" t="n">
        <v>40000</v>
      </c>
      <c r="O3560" s="24">
        <f>IF(AND(ISNUMBER(M3560), ISNUMBER(I3560), I3560&gt;0), M3560/I3560, "")</f>
        <v/>
      </c>
    </row>
    <row r="3561">
      <c r="A3561" s="19" t="inlineStr">
        <is>
          <t>FY27</t>
        </is>
      </c>
      <c r="B3561" s="19" t="inlineStr">
        <is>
          <t>Aug</t>
        </is>
      </c>
      <c r="C3561" s="19" t="inlineStr">
        <is>
          <t>TN</t>
        </is>
      </c>
      <c r="D3561" s="20" t="inlineStr">
        <is>
          <t>TN67F7979</t>
        </is>
      </c>
      <c r="E3561" s="20" t="inlineStr">
        <is>
          <t>HONDA</t>
        </is>
      </c>
      <c r="F3561" s="20" t="inlineStr">
        <is>
          <t>Civic</t>
        </is>
      </c>
      <c r="G3561" s="21" t="n">
        <v>2006</v>
      </c>
      <c r="H3561" s="22" t="n">
        <v>108668</v>
      </c>
      <c r="I3561" s="23" t="n">
        <v>180000</v>
      </c>
      <c r="J3561" s="20" t="inlineStr">
        <is>
          <t>EXCHANGE ROTN</t>
        </is>
      </c>
      <c r="K3561" s="20" t="inlineStr">
        <is>
          <t>Captive</t>
        </is>
      </c>
      <c r="L3561" s="20" t="inlineStr">
        <is>
          <t>KSM AUTO CONSULTING</t>
        </is>
      </c>
      <c r="M3561" s="23" t="n">
        <v>12711.86</v>
      </c>
      <c r="N3561" s="23" t="n">
        <v>15000</v>
      </c>
      <c r="O3561" s="24">
        <f>IF(AND(ISNUMBER(M3561), ISNUMBER(I3561), I3561&gt;0), M3561/I3561, "")</f>
        <v/>
      </c>
    </row>
    <row r="3562">
      <c r="A3562" s="19" t="inlineStr">
        <is>
          <t>FY27</t>
        </is>
      </c>
      <c r="B3562" s="19" t="inlineStr">
        <is>
          <t>Aug</t>
        </is>
      </c>
      <c r="C3562" s="19" t="inlineStr">
        <is>
          <t>TN</t>
        </is>
      </c>
      <c r="D3562" s="20" t="inlineStr">
        <is>
          <t>TN30B5292</t>
        </is>
      </c>
      <c r="E3562" s="20" t="inlineStr">
        <is>
          <t>TATA</t>
        </is>
      </c>
      <c r="F3562" s="20" t="inlineStr">
        <is>
          <t>Indica</t>
        </is>
      </c>
      <c r="G3562" s="21" t="n">
        <v>2002</v>
      </c>
      <c r="H3562" s="22" t="n">
        <v>170451</v>
      </c>
      <c r="I3562" s="23" t="n">
        <v>25000</v>
      </c>
      <c r="J3562" s="20" t="inlineStr">
        <is>
          <t>S M CAR PRIVATE LIMITED</t>
        </is>
      </c>
      <c r="K3562" s="20" t="inlineStr">
        <is>
          <t>Non-Captive</t>
        </is>
      </c>
      <c r="L3562" s="20" t="inlineStr">
        <is>
          <t>APM cars</t>
        </is>
      </c>
      <c r="M3562" s="23" t="n">
        <v>4237.29</v>
      </c>
      <c r="N3562" s="23" t="n">
        <v>5000</v>
      </c>
      <c r="O3562" s="24">
        <f>IF(AND(ISNUMBER(M3562), ISNUMBER(I3562), I3562&gt;0), M3562/I3562, "")</f>
        <v/>
      </c>
    </row>
    <row r="3563">
      <c r="A3563" s="19" t="inlineStr">
        <is>
          <t>FY27</t>
        </is>
      </c>
      <c r="B3563" s="19" t="inlineStr">
        <is>
          <t>Aug</t>
        </is>
      </c>
      <c r="C3563" s="19" t="inlineStr">
        <is>
          <t>TN</t>
        </is>
      </c>
      <c r="D3563" s="20" t="inlineStr">
        <is>
          <t>MH14EU4059</t>
        </is>
      </c>
      <c r="E3563" s="20" t="inlineStr">
        <is>
          <t>HYUNDAI</t>
        </is>
      </c>
      <c r="F3563" s="20" t="inlineStr">
        <is>
          <t>I10</t>
        </is>
      </c>
      <c r="G3563" s="21" t="n">
        <v>2014</v>
      </c>
      <c r="H3563" s="22" t="n">
        <v>49995</v>
      </c>
      <c r="I3563" s="23" t="n">
        <v>75000</v>
      </c>
      <c r="J3563" s="20" t="inlineStr">
        <is>
          <t>S M CAR PRIVATE LIMITED</t>
        </is>
      </c>
      <c r="K3563" s="20" t="inlineStr">
        <is>
          <t>Non-Captive</t>
        </is>
      </c>
      <c r="L3563" s="20" t="inlineStr">
        <is>
          <t>APM cars</t>
        </is>
      </c>
      <c r="M3563" s="23" t="n">
        <v>4237.29</v>
      </c>
      <c r="N3563" s="23" t="n">
        <v>5000</v>
      </c>
      <c r="O3563" s="24">
        <f>IF(AND(ISNUMBER(M3563), ISNUMBER(I3563), I3563&gt;0), M3563/I3563, "")</f>
        <v/>
      </c>
    </row>
    <row r="3564">
      <c r="A3564" s="19" t="inlineStr">
        <is>
          <t>FY27</t>
        </is>
      </c>
      <c r="B3564" s="19" t="inlineStr">
        <is>
          <t>Aug</t>
        </is>
      </c>
      <c r="C3564" s="19" t="inlineStr">
        <is>
          <t>TN</t>
        </is>
      </c>
      <c r="D3564" s="20" t="inlineStr">
        <is>
          <t>TN30AH1603</t>
        </is>
      </c>
      <c r="E3564" s="20" t="inlineStr">
        <is>
          <t>HYUNDAI</t>
        </is>
      </c>
      <c r="F3564" s="20" t="inlineStr">
        <is>
          <t>Santro</t>
        </is>
      </c>
      <c r="G3564" s="21" t="n">
        <v>2010</v>
      </c>
      <c r="H3564" s="22" t="n">
        <v>101933</v>
      </c>
      <c r="I3564" s="23" t="n">
        <v>80000</v>
      </c>
      <c r="J3564" s="20" t="inlineStr">
        <is>
          <t>S M CAR PRIVATE LIMITED</t>
        </is>
      </c>
      <c r="K3564" s="20" t="inlineStr">
        <is>
          <t>Non-Captive</t>
        </is>
      </c>
      <c r="L3564" s="20" t="inlineStr">
        <is>
          <t>APM cars</t>
        </is>
      </c>
      <c r="M3564" s="23" t="n">
        <v>4237.29</v>
      </c>
      <c r="N3564" s="23" t="n">
        <v>5000</v>
      </c>
      <c r="O3564" s="24">
        <f>IF(AND(ISNUMBER(M3564), ISNUMBER(I3564), I3564&gt;0), M3564/I3564, "")</f>
        <v/>
      </c>
    </row>
    <row r="3565">
      <c r="A3565" s="19" t="inlineStr">
        <is>
          <t>FY27</t>
        </is>
      </c>
      <c r="B3565" s="19" t="inlineStr">
        <is>
          <t>Aug</t>
        </is>
      </c>
      <c r="C3565" s="19" t="inlineStr">
        <is>
          <t>TN</t>
        </is>
      </c>
      <c r="D3565" s="20" t="inlineStr">
        <is>
          <t>TN58BE1656</t>
        </is>
      </c>
      <c r="E3565" s="20" t="inlineStr">
        <is>
          <t>HONDA</t>
        </is>
      </c>
      <c r="F3565" s="20" t="inlineStr">
        <is>
          <t>Amaze</t>
        </is>
      </c>
      <c r="G3565" s="21" t="n">
        <v>2021</v>
      </c>
      <c r="H3565" s="22" t="n">
        <v>87084</v>
      </c>
      <c r="I3565" s="23" t="n">
        <v>450000</v>
      </c>
      <c r="J3565" s="20" t="inlineStr">
        <is>
          <t>EXCHANGE ROTN</t>
        </is>
      </c>
      <c r="K3565" s="20" t="inlineStr">
        <is>
          <t>Captive</t>
        </is>
      </c>
      <c r="L3565" s="20" t="inlineStr">
        <is>
          <t>GGEE Cars</t>
        </is>
      </c>
      <c r="M3565" s="23" t="n">
        <v>25423.73</v>
      </c>
      <c r="N3565" s="23" t="n">
        <v>30000</v>
      </c>
      <c r="O3565" s="24">
        <f>IF(AND(ISNUMBER(M3565), ISNUMBER(I3565), I3565&gt;0), M3565/I3565, "")</f>
        <v/>
      </c>
    </row>
    <row r="3566">
      <c r="A3566" s="19" t="inlineStr">
        <is>
          <t>FY27</t>
        </is>
      </c>
      <c r="B3566" s="19" t="inlineStr">
        <is>
          <t>Aug</t>
        </is>
      </c>
      <c r="C3566" s="19" t="inlineStr">
        <is>
          <t>TN</t>
        </is>
      </c>
      <c r="D3566" s="20" t="inlineStr">
        <is>
          <t>TN59CL4794</t>
        </is>
      </c>
      <c r="E3566" s="20" t="inlineStr">
        <is>
          <t>JEEP</t>
        </is>
      </c>
      <c r="F3566" s="20" t="inlineStr">
        <is>
          <t>Compass</t>
        </is>
      </c>
      <c r="G3566" s="21" t="n">
        <v>2021</v>
      </c>
      <c r="H3566" s="22" t="n">
        <v>59495</v>
      </c>
      <c r="I3566" s="23" t="n">
        <v>810000</v>
      </c>
      <c r="J3566" s="20" t="inlineStr">
        <is>
          <t>EXCHANGE ROTN</t>
        </is>
      </c>
      <c r="K3566" s="20" t="inlineStr">
        <is>
          <t>Captive</t>
        </is>
      </c>
      <c r="L3566" s="20" t="inlineStr">
        <is>
          <t>READY TO RIDE CARS</t>
        </is>
      </c>
      <c r="M3566" s="23" t="n">
        <v>25423.73</v>
      </c>
      <c r="N3566" s="23" t="n">
        <v>30000</v>
      </c>
      <c r="O3566" s="24">
        <f>IF(AND(ISNUMBER(M3566), ISNUMBER(I3566), I3566&gt;0), M3566/I3566, "")</f>
        <v/>
      </c>
    </row>
    <row r="3567">
      <c r="A3567" s="19" t="inlineStr">
        <is>
          <t>FY27</t>
        </is>
      </c>
      <c r="B3567" s="19" t="inlineStr">
        <is>
          <t>Aug</t>
        </is>
      </c>
      <c r="C3567" s="19" t="inlineStr">
        <is>
          <t>TN</t>
        </is>
      </c>
      <c r="D3567" s="20" t="inlineStr">
        <is>
          <t>TN69AJ5824</t>
        </is>
      </c>
      <c r="E3567" s="20" t="inlineStr">
        <is>
          <t>HONDA</t>
        </is>
      </c>
      <c r="F3567" s="20" t="inlineStr">
        <is>
          <t>Amaze</t>
        </is>
      </c>
      <c r="G3567" s="21" t="n">
        <v>2013</v>
      </c>
      <c r="H3567" s="22" t="n">
        <v>138940</v>
      </c>
      <c r="I3567" s="23" t="n">
        <v>220000</v>
      </c>
      <c r="J3567" s="20" t="inlineStr">
        <is>
          <t>EXCHANGE ROTN</t>
        </is>
      </c>
      <c r="K3567" s="20" t="inlineStr">
        <is>
          <t>Captive</t>
        </is>
      </c>
      <c r="L3567" s="20" t="inlineStr">
        <is>
          <t>SIVASHANKAR CARS</t>
        </is>
      </c>
      <c r="M3567" s="23" t="n">
        <v>12711.86</v>
      </c>
      <c r="N3567" s="23" t="n">
        <v>15000</v>
      </c>
      <c r="O3567" s="24">
        <f>IF(AND(ISNUMBER(M3567), ISNUMBER(I3567), I3567&gt;0), M3567/I3567, "")</f>
        <v/>
      </c>
    </row>
    <row r="3568">
      <c r="A3568" s="19" t="inlineStr">
        <is>
          <t>FY27</t>
        </is>
      </c>
      <c r="B3568" s="19" t="inlineStr">
        <is>
          <t>Aug</t>
        </is>
      </c>
      <c r="C3568" s="19" t="inlineStr">
        <is>
          <t>TN</t>
        </is>
      </c>
      <c r="D3568" s="20" t="inlineStr">
        <is>
          <t>TN38CJ8437</t>
        </is>
      </c>
      <c r="E3568" s="20" t="inlineStr">
        <is>
          <t>MARUTI SUZUKI</t>
        </is>
      </c>
      <c r="F3568" s="20" t="inlineStr">
        <is>
          <t>Ciaz</t>
        </is>
      </c>
      <c r="G3568" s="21" t="n">
        <v>2017</v>
      </c>
      <c r="H3568" s="22" t="n">
        <v>80768</v>
      </c>
      <c r="I3568" s="23" t="n">
        <v>620000</v>
      </c>
      <c r="J3568" s="20" t="inlineStr">
        <is>
          <t>EXCHANGE ROTN</t>
        </is>
      </c>
      <c r="K3568" s="20" t="inlineStr">
        <is>
          <t>Captive</t>
        </is>
      </c>
      <c r="L3568" s="20" t="inlineStr">
        <is>
          <t>YUGA DHEERAN CARS</t>
        </is>
      </c>
      <c r="M3568" s="23" t="n">
        <v>12711.86</v>
      </c>
      <c r="N3568" s="23" t="n">
        <v>15000</v>
      </c>
      <c r="O3568" s="24">
        <f>IF(AND(ISNUMBER(M3568), ISNUMBER(I3568), I3568&gt;0), M3568/I3568, "")</f>
        <v/>
      </c>
    </row>
    <row r="3569">
      <c r="A3569" s="19" t="inlineStr">
        <is>
          <t>FY27</t>
        </is>
      </c>
      <c r="B3569" s="19" t="inlineStr">
        <is>
          <t>Aug</t>
        </is>
      </c>
      <c r="C3569" s="19" t="inlineStr">
        <is>
          <t>TN</t>
        </is>
      </c>
      <c r="D3569" s="20" t="inlineStr">
        <is>
          <t>TN66P1899</t>
        </is>
      </c>
      <c r="E3569" s="20" t="inlineStr">
        <is>
          <t>HONDA</t>
        </is>
      </c>
      <c r="F3569" s="20" t="inlineStr">
        <is>
          <t>Amaze</t>
        </is>
      </c>
      <c r="G3569" s="21" t="n">
        <v>2015</v>
      </c>
      <c r="H3569" s="22" t="n">
        <v>92713</v>
      </c>
      <c r="I3569" s="23" t="n">
        <v>275000</v>
      </c>
      <c r="J3569" s="20" t="inlineStr">
        <is>
          <t>EXCHANGE ROTN</t>
        </is>
      </c>
      <c r="K3569" s="20" t="inlineStr">
        <is>
          <t>Captive</t>
        </is>
      </c>
      <c r="L3569" s="20" t="inlineStr">
        <is>
          <t>SR AUTO CONSULTING</t>
        </is>
      </c>
      <c r="M3569" s="23" t="n">
        <v>12711.86</v>
      </c>
      <c r="N3569" s="23" t="n">
        <v>15000</v>
      </c>
      <c r="O3569" s="24">
        <f>IF(AND(ISNUMBER(M3569), ISNUMBER(I3569), I3569&gt;0), M3569/I3569, "")</f>
        <v/>
      </c>
    </row>
    <row r="3570">
      <c r="A3570" s="19" t="inlineStr">
        <is>
          <t>FY27</t>
        </is>
      </c>
      <c r="B3570" s="19" t="inlineStr">
        <is>
          <t>Aug</t>
        </is>
      </c>
      <c r="C3570" s="19" t="inlineStr">
        <is>
          <t>TN</t>
        </is>
      </c>
      <c r="D3570" s="20" t="inlineStr">
        <is>
          <t>TN30AB2273</t>
        </is>
      </c>
      <c r="E3570" s="20" t="inlineStr">
        <is>
          <t>MARUTI SUZUKI</t>
        </is>
      </c>
      <c r="F3570" s="20" t="inlineStr">
        <is>
          <t>Alto</t>
        </is>
      </c>
      <c r="G3570" s="21" t="n">
        <v>2007</v>
      </c>
      <c r="H3570" s="22" t="n">
        <v>299273</v>
      </c>
      <c r="I3570" s="23" t="n">
        <v>55000</v>
      </c>
      <c r="J3570" s="20" t="inlineStr">
        <is>
          <t>SREE SARADHAMBAL AUTOMOBILES PRIVATE LIMITED</t>
        </is>
      </c>
      <c r="K3570" s="20" t="inlineStr">
        <is>
          <t>Non-Captive</t>
        </is>
      </c>
      <c r="L3570" s="20" t="inlineStr">
        <is>
          <t>SARVESH CAARS</t>
        </is>
      </c>
      <c r="M3570" s="23" t="n">
        <v>4237.29</v>
      </c>
      <c r="N3570" s="23" t="n">
        <v>5000</v>
      </c>
      <c r="O3570" s="24">
        <f>IF(AND(ISNUMBER(M3570), ISNUMBER(I3570), I3570&gt;0), M3570/I3570, "")</f>
        <v/>
      </c>
    </row>
    <row r="3571">
      <c r="A3571" s="19" t="inlineStr">
        <is>
          <t>FY27</t>
        </is>
      </c>
      <c r="B3571" s="19" t="inlineStr">
        <is>
          <t>Aug</t>
        </is>
      </c>
      <c r="C3571" s="19" t="inlineStr">
        <is>
          <t>TN</t>
        </is>
      </c>
      <c r="D3571" s="20" t="inlineStr">
        <is>
          <t>TN30BH3402</t>
        </is>
      </c>
      <c r="E3571" s="20" t="inlineStr">
        <is>
          <t>TATA</t>
        </is>
      </c>
      <c r="F3571" s="20" t="inlineStr">
        <is>
          <t>Nano</t>
        </is>
      </c>
      <c r="G3571" s="21" t="n">
        <v>2016</v>
      </c>
      <c r="H3571" s="22" t="n">
        <v>60659</v>
      </c>
      <c r="I3571" s="23" t="n">
        <v>78000</v>
      </c>
      <c r="J3571" s="20" t="inlineStr"/>
      <c r="K3571" s="20" t="inlineStr">
        <is>
          <t>Non-Captive</t>
        </is>
      </c>
      <c r="L3571" s="20" t="inlineStr">
        <is>
          <t>SARVESH CAARS</t>
        </is>
      </c>
      <c r="M3571" s="23" t="n">
        <v>4237.29</v>
      </c>
      <c r="N3571" s="23" t="n">
        <v>5000</v>
      </c>
      <c r="O3571" s="24">
        <f>IF(AND(ISNUMBER(M3571), ISNUMBER(I3571), I3571&gt;0), M3571/I3571, "")</f>
        <v/>
      </c>
    </row>
    <row r="3572">
      <c r="A3572" s="19" t="inlineStr">
        <is>
          <t>FY27</t>
        </is>
      </c>
      <c r="B3572" s="19" t="inlineStr">
        <is>
          <t>Aug</t>
        </is>
      </c>
      <c r="C3572" s="19" t="inlineStr">
        <is>
          <t>TN</t>
        </is>
      </c>
      <c r="D3572" s="20" t="inlineStr">
        <is>
          <t>TN09AV6950</t>
        </is>
      </c>
      <c r="E3572" s="20" t="inlineStr">
        <is>
          <t>TATA</t>
        </is>
      </c>
      <c r="F3572" s="20" t="inlineStr">
        <is>
          <t>Indigo</t>
        </is>
      </c>
      <c r="G3572" s="21" t="n">
        <v>2007</v>
      </c>
      <c r="H3572" s="22" t="n">
        <v>139359</v>
      </c>
      <c r="I3572" s="23" t="n">
        <v>80000</v>
      </c>
      <c r="J3572" s="20" t="inlineStr">
        <is>
          <t>SREE SARADHAMBAL AUTOMOBILES PRIVATE LIMITED</t>
        </is>
      </c>
      <c r="K3572" s="20" t="inlineStr">
        <is>
          <t>Non-Captive</t>
        </is>
      </c>
      <c r="L3572" s="20" t="inlineStr">
        <is>
          <t>SARVESH CAARS</t>
        </is>
      </c>
      <c r="M3572" s="23" t="n">
        <v>4237.29</v>
      </c>
      <c r="N3572" s="23" t="n">
        <v>5000</v>
      </c>
      <c r="O3572" s="24">
        <f>IF(AND(ISNUMBER(M3572), ISNUMBER(I3572), I3572&gt;0), M3572/I3572, "")</f>
        <v/>
      </c>
    </row>
    <row r="3573">
      <c r="A3573" s="19" t="inlineStr">
        <is>
          <t>FY27</t>
        </is>
      </c>
      <c r="B3573" s="19" t="inlineStr">
        <is>
          <t>Aug</t>
        </is>
      </c>
      <c r="C3573" s="19" t="inlineStr">
        <is>
          <t>TN</t>
        </is>
      </c>
      <c r="D3573" s="20" t="inlineStr">
        <is>
          <t>TN18U1859</t>
        </is>
      </c>
      <c r="E3573" s="20" t="inlineStr">
        <is>
          <t>HONDA</t>
        </is>
      </c>
      <c r="F3573" s="20" t="inlineStr">
        <is>
          <t>Amaze</t>
        </is>
      </c>
      <c r="G3573" s="21" t="n">
        <v>2013</v>
      </c>
      <c r="H3573" s="22" t="n">
        <v>99999</v>
      </c>
      <c r="I3573" s="23" t="n">
        <v>125000</v>
      </c>
      <c r="J3573" s="20" t="inlineStr">
        <is>
          <t>Castel Traders HONADA</t>
        </is>
      </c>
      <c r="K3573" s="20" t="inlineStr">
        <is>
          <t>Non-Captive</t>
        </is>
      </c>
      <c r="L3573" s="20" t="inlineStr">
        <is>
          <t>Aasim Motors</t>
        </is>
      </c>
      <c r="M3573" s="23" t="n">
        <v>4237.29</v>
      </c>
      <c r="N3573" s="23" t="n">
        <v>5000</v>
      </c>
      <c r="O3573" s="24">
        <f>IF(AND(ISNUMBER(M3573), ISNUMBER(I3573), I3573&gt;0), M3573/I3573, "")</f>
        <v/>
      </c>
    </row>
    <row r="3574">
      <c r="A3574" s="19" t="inlineStr">
        <is>
          <t>FY27</t>
        </is>
      </c>
      <c r="B3574" s="19" t="inlineStr">
        <is>
          <t>Aug</t>
        </is>
      </c>
      <c r="C3574" s="19" t="inlineStr">
        <is>
          <t>TN</t>
        </is>
      </c>
      <c r="D3574" s="20" t="inlineStr">
        <is>
          <t>TN05AU0708</t>
        </is>
      </c>
      <c r="E3574" s="20" t="inlineStr">
        <is>
          <t>MARUTI SUZUKI</t>
        </is>
      </c>
      <c r="F3574" s="20" t="inlineStr">
        <is>
          <t>Alto K10</t>
        </is>
      </c>
      <c r="G3574" s="21" t="n">
        <v>2013</v>
      </c>
      <c r="H3574" s="22" t="n">
        <v>85563</v>
      </c>
      <c r="I3574" s="23" t="n">
        <v>170000</v>
      </c>
      <c r="J3574" s="20" t="inlineStr">
        <is>
          <t>CASTLE TRADERS Maruti</t>
        </is>
      </c>
      <c r="K3574" s="20" t="inlineStr">
        <is>
          <t>Non-Captive</t>
        </is>
      </c>
      <c r="L3574" s="20" t="inlineStr">
        <is>
          <t>AS CARS</t>
        </is>
      </c>
      <c r="M3574" s="23" t="n">
        <v>5932.2</v>
      </c>
      <c r="N3574" s="23" t="n">
        <v>7000</v>
      </c>
      <c r="O3574" s="24">
        <f>IF(AND(ISNUMBER(M3574), ISNUMBER(I3574), I3574&gt;0), M3574/I3574, "")</f>
        <v/>
      </c>
    </row>
    <row r="3575">
      <c r="A3575" s="19" t="inlineStr">
        <is>
          <t>FY27</t>
        </is>
      </c>
      <c r="B3575" s="19" t="inlineStr">
        <is>
          <t>Aug</t>
        </is>
      </c>
      <c r="C3575" s="19" t="inlineStr">
        <is>
          <t>TN</t>
        </is>
      </c>
      <c r="D3575" s="20" t="inlineStr">
        <is>
          <t>TN01BC7971</t>
        </is>
      </c>
      <c r="E3575" s="20" t="inlineStr">
        <is>
          <t>MARUTI SUZUKI</t>
        </is>
      </c>
      <c r="F3575" s="20" t="inlineStr">
        <is>
          <t>Baleno</t>
        </is>
      </c>
      <c r="G3575" s="21" t="n">
        <v>2017</v>
      </c>
      <c r="H3575" s="22" t="n">
        <v>51305</v>
      </c>
      <c r="I3575" s="23" t="n">
        <v>99000</v>
      </c>
      <c r="J3575" s="20" t="inlineStr">
        <is>
          <t>Indus</t>
        </is>
      </c>
      <c r="K3575" s="20" t="inlineStr">
        <is>
          <t>Non-Captive</t>
        </is>
      </c>
      <c r="L3575" s="20" t="inlineStr">
        <is>
          <t>CARS24</t>
        </is>
      </c>
      <c r="M3575" s="23" t="n">
        <v>3389.83</v>
      </c>
      <c r="N3575" s="23" t="n">
        <v>4000</v>
      </c>
      <c r="O3575" s="24">
        <f>IF(AND(ISNUMBER(M3575), ISNUMBER(I3575), I3575&gt;0), M3575/I3575, "")</f>
        <v/>
      </c>
    </row>
    <row r="3576">
      <c r="A3576" s="19" t="inlineStr">
        <is>
          <t>FY27</t>
        </is>
      </c>
      <c r="B3576" s="19" t="inlineStr">
        <is>
          <t>Aug</t>
        </is>
      </c>
      <c r="C3576" s="19" t="inlineStr">
        <is>
          <t>TN</t>
        </is>
      </c>
      <c r="D3576" s="20" t="inlineStr">
        <is>
          <t>TN19AD2800</t>
        </is>
      </c>
      <c r="E3576" s="20" t="inlineStr">
        <is>
          <t>HONDA</t>
        </is>
      </c>
      <c r="F3576" s="20" t="inlineStr">
        <is>
          <t>City</t>
        </is>
      </c>
      <c r="G3576" s="21" t="n">
        <v>2017</v>
      </c>
      <c r="H3576" s="22" t="n">
        <v>99354</v>
      </c>
      <c r="I3576" s="23" t="n">
        <v>98000</v>
      </c>
      <c r="J3576" s="20" t="inlineStr">
        <is>
          <t>Indus</t>
        </is>
      </c>
      <c r="K3576" s="20" t="inlineStr">
        <is>
          <t>Non-Captive</t>
        </is>
      </c>
      <c r="L3576" s="20" t="inlineStr">
        <is>
          <t>CARS24</t>
        </is>
      </c>
      <c r="M3576" s="23" t="n">
        <v>4237.29</v>
      </c>
      <c r="N3576" s="23" t="n">
        <v>5000</v>
      </c>
      <c r="O3576" s="24">
        <f>IF(AND(ISNUMBER(M3576), ISNUMBER(I3576), I3576&gt;0), M3576/I3576, "")</f>
        <v/>
      </c>
    </row>
    <row r="3577">
      <c r="A3577" s="19" t="inlineStr">
        <is>
          <t>FY27</t>
        </is>
      </c>
      <c r="B3577" s="19" t="inlineStr">
        <is>
          <t>Aug</t>
        </is>
      </c>
      <c r="C3577" s="19" t="inlineStr">
        <is>
          <t>TN</t>
        </is>
      </c>
      <c r="D3577" s="20" t="inlineStr">
        <is>
          <t>TN22EF1986</t>
        </is>
      </c>
      <c r="E3577" s="20" t="inlineStr">
        <is>
          <t>MARUTI SUZUKI</t>
        </is>
      </c>
      <c r="F3577" s="20" t="inlineStr">
        <is>
          <t>Swift</t>
        </is>
      </c>
      <c r="G3577" s="21" t="n">
        <v>2025</v>
      </c>
      <c r="H3577" s="22" t="n">
        <v>71028</v>
      </c>
      <c r="I3577" s="23" t="n">
        <v>99000</v>
      </c>
      <c r="J3577" s="20" t="inlineStr">
        <is>
          <t>Indus</t>
        </is>
      </c>
      <c r="K3577" s="20" t="inlineStr">
        <is>
          <t>Non-Captive</t>
        </is>
      </c>
      <c r="L3577" s="20" t="inlineStr">
        <is>
          <t>CARS24</t>
        </is>
      </c>
      <c r="M3577" s="23" t="n">
        <v>4237.29</v>
      </c>
      <c r="N3577" s="23" t="n">
        <v>5000</v>
      </c>
      <c r="O3577" s="24">
        <f>IF(AND(ISNUMBER(M3577), ISNUMBER(I3577), I3577&gt;0), M3577/I3577, "")</f>
        <v/>
      </c>
    </row>
    <row r="3578">
      <c r="A3578" s="19" t="inlineStr">
        <is>
          <t>FY27</t>
        </is>
      </c>
      <c r="B3578" s="19" t="inlineStr">
        <is>
          <t>Aug</t>
        </is>
      </c>
      <c r="C3578" s="19" t="inlineStr">
        <is>
          <t>TN</t>
        </is>
      </c>
      <c r="D3578" s="20" t="inlineStr">
        <is>
          <t>TN03E8105</t>
        </is>
      </c>
      <c r="E3578" s="20" t="inlineStr">
        <is>
          <t>MARUTI SUZUKI</t>
        </is>
      </c>
      <c r="F3578" s="20" t="inlineStr">
        <is>
          <t>Swift</t>
        </is>
      </c>
      <c r="G3578" s="21" t="n">
        <v>2011</v>
      </c>
      <c r="H3578" s="22" t="n">
        <v>60101</v>
      </c>
      <c r="I3578" s="23" t="n">
        <v>78000</v>
      </c>
      <c r="J3578" s="20" t="inlineStr">
        <is>
          <t>AIE CARS PRIVATE LIMITED</t>
        </is>
      </c>
      <c r="K3578" s="20" t="inlineStr">
        <is>
          <t>Non-Captive</t>
        </is>
      </c>
      <c r="L3578" s="20" t="inlineStr">
        <is>
          <t>GRID 33</t>
        </is>
      </c>
      <c r="M3578" s="23" t="n">
        <v>4237.29</v>
      </c>
      <c r="N3578" s="23" t="n">
        <v>5000</v>
      </c>
      <c r="O3578" s="24">
        <f>IF(AND(ISNUMBER(M3578), ISNUMBER(I3578), I3578&gt;0), M3578/I3578, "")</f>
        <v/>
      </c>
    </row>
    <row r="3579">
      <c r="A3579" s="19" t="inlineStr">
        <is>
          <t>FY27</t>
        </is>
      </c>
      <c r="B3579" s="19" t="inlineStr">
        <is>
          <t>Aug</t>
        </is>
      </c>
      <c r="C3579" s="19" t="inlineStr">
        <is>
          <t>TN</t>
        </is>
      </c>
      <c r="D3579" s="20" t="inlineStr">
        <is>
          <t>TN38CU1153</t>
        </is>
      </c>
      <c r="E3579" s="20" t="inlineStr">
        <is>
          <t>RENAULT</t>
        </is>
      </c>
      <c r="F3579" s="20" t="inlineStr">
        <is>
          <t>Kwid</t>
        </is>
      </c>
      <c r="G3579" s="21" t="n">
        <v>2019</v>
      </c>
      <c r="H3579" s="22" t="n">
        <v>37223</v>
      </c>
      <c r="I3579" s="23" t="n">
        <v>89000</v>
      </c>
      <c r="J3579" s="20" t="inlineStr">
        <is>
          <t>PRODUCTIVITY ELEMENTS PRIVATE LIMITED</t>
        </is>
      </c>
      <c r="K3579" s="20" t="inlineStr">
        <is>
          <t>Non-Captive</t>
        </is>
      </c>
      <c r="L3579" s="20" t="inlineStr">
        <is>
          <t>GRID 33</t>
        </is>
      </c>
      <c r="M3579" s="23" t="n">
        <v>4237.29</v>
      </c>
      <c r="N3579" s="23" t="n">
        <v>5000</v>
      </c>
      <c r="O3579" s="24">
        <f>IF(AND(ISNUMBER(M3579), ISNUMBER(I3579), I3579&gt;0), M3579/I3579, "")</f>
        <v/>
      </c>
    </row>
    <row r="3580">
      <c r="A3580" s="19" t="inlineStr">
        <is>
          <t>FY27</t>
        </is>
      </c>
      <c r="B3580" s="19" t="inlineStr">
        <is>
          <t>Aug</t>
        </is>
      </c>
      <c r="C3580" s="19" t="inlineStr">
        <is>
          <t>TN</t>
        </is>
      </c>
      <c r="D3580" s="20" t="inlineStr">
        <is>
          <t>TN30AM0702</t>
        </is>
      </c>
      <c r="E3580" s="20" t="inlineStr">
        <is>
          <t>TATA</t>
        </is>
      </c>
      <c r="F3580" s="20" t="inlineStr">
        <is>
          <t>Indica</t>
        </is>
      </c>
      <c r="G3580" s="21" t="n">
        <v>2011</v>
      </c>
      <c r="H3580" s="22" t="n">
        <v>99999</v>
      </c>
      <c r="I3580" s="23" t="n">
        <v>195000</v>
      </c>
      <c r="J3580" s="20" t="inlineStr">
        <is>
          <t>NIRMAL</t>
        </is>
      </c>
      <c r="K3580" s="20" t="inlineStr">
        <is>
          <t>Non-Captive</t>
        </is>
      </c>
      <c r="L3580" s="20" t="inlineStr">
        <is>
          <t>SRI KARUPPAIYA CARS</t>
        </is>
      </c>
      <c r="M3580" s="23" t="n">
        <v>5084.75</v>
      </c>
      <c r="N3580" s="23" t="n">
        <v>6000</v>
      </c>
      <c r="O3580" s="24">
        <f>IF(AND(ISNUMBER(M3580), ISNUMBER(I3580), I3580&gt;0), M3580/I3580, "")</f>
        <v/>
      </c>
    </row>
    <row r="3581">
      <c r="A3581" s="19" t="inlineStr">
        <is>
          <t>FY27</t>
        </is>
      </c>
      <c r="B3581" s="19" t="inlineStr">
        <is>
          <t>Aug</t>
        </is>
      </c>
      <c r="C3581" s="19" t="inlineStr">
        <is>
          <t>TN</t>
        </is>
      </c>
      <c r="D3581" s="20" t="inlineStr">
        <is>
          <t>TN22AW4559</t>
        </is>
      </c>
      <c r="E3581" s="20" t="inlineStr">
        <is>
          <t>TATA</t>
        </is>
      </c>
      <c r="F3581" s="20" t="inlineStr">
        <is>
          <t>Indica</t>
        </is>
      </c>
      <c r="G3581" s="21" t="n">
        <v>2007</v>
      </c>
      <c r="H3581" s="22" t="n">
        <v>74878</v>
      </c>
      <c r="I3581" s="23" t="n">
        <v>194000</v>
      </c>
      <c r="J3581" s="20" t="inlineStr">
        <is>
          <t>Shree Thiya cars</t>
        </is>
      </c>
      <c r="K3581" s="20" t="inlineStr">
        <is>
          <t>Non-Captive</t>
        </is>
      </c>
      <c r="L3581" s="20" t="inlineStr">
        <is>
          <t>SRI KARUPPAIYA CARS</t>
        </is>
      </c>
      <c r="M3581" s="23" t="n">
        <v>5084.75</v>
      </c>
      <c r="N3581" s="23" t="n">
        <v>6000</v>
      </c>
      <c r="O3581" s="24">
        <f>IF(AND(ISNUMBER(M3581), ISNUMBER(I3581), I3581&gt;0), M3581/I3581, "")</f>
        <v/>
      </c>
    </row>
    <row r="3582">
      <c r="A3582" s="19" t="inlineStr">
        <is>
          <t>FY27</t>
        </is>
      </c>
      <c r="B3582" s="19" t="inlineStr">
        <is>
          <t>Aug</t>
        </is>
      </c>
      <c r="C3582" s="19" t="inlineStr">
        <is>
          <t>TN</t>
        </is>
      </c>
      <c r="D3582" s="20" t="inlineStr">
        <is>
          <t>TN43C5960</t>
        </is>
      </c>
      <c r="E3582" s="20" t="inlineStr">
        <is>
          <t>MARUTI SUZUKI</t>
        </is>
      </c>
      <c r="F3582" s="20" t="inlineStr">
        <is>
          <t>Swift</t>
        </is>
      </c>
      <c r="G3582" s="21" t="n">
        <v>2009</v>
      </c>
      <c r="H3582" s="22" t="n">
        <v>93423</v>
      </c>
      <c r="I3582" s="23" t="n">
        <v>98000</v>
      </c>
      <c r="J3582" s="20" t="inlineStr">
        <is>
          <t>Lakshmi Tata</t>
        </is>
      </c>
      <c r="K3582" s="20" t="inlineStr">
        <is>
          <t>Non-Captive</t>
        </is>
      </c>
      <c r="L3582" s="20" t="inlineStr">
        <is>
          <t>SRI KARUPPAIYA CARS</t>
        </is>
      </c>
      <c r="M3582" s="23" t="n">
        <v>4237.29</v>
      </c>
      <c r="N3582" s="23" t="n">
        <v>5000</v>
      </c>
      <c r="O3582" s="24">
        <f>IF(AND(ISNUMBER(M3582), ISNUMBER(I3582), I3582&gt;0), M3582/I3582, "")</f>
        <v/>
      </c>
    </row>
    <row r="3583">
      <c r="A3583" s="19" t="inlineStr">
        <is>
          <t>FY27</t>
        </is>
      </c>
      <c r="B3583" s="19" t="inlineStr">
        <is>
          <t>Aug</t>
        </is>
      </c>
      <c r="C3583" s="19" t="inlineStr">
        <is>
          <t>TN</t>
        </is>
      </c>
      <c r="D3583" s="20" t="inlineStr">
        <is>
          <t>TN43F7472</t>
        </is>
      </c>
      <c r="E3583" s="20" t="inlineStr">
        <is>
          <t>MARUTI SUZUKI</t>
        </is>
      </c>
      <c r="F3583" s="20" t="inlineStr">
        <is>
          <t>Celerio</t>
        </is>
      </c>
      <c r="G3583" s="21" t="n">
        <v>2015</v>
      </c>
      <c r="H3583" s="22" t="n">
        <v>135665</v>
      </c>
      <c r="I3583" s="23" t="n">
        <v>398000</v>
      </c>
      <c r="J3583" s="20" t="inlineStr">
        <is>
          <t>STEER AUTO TECHNOLOGIES PRIVATE LIMITED</t>
        </is>
      </c>
      <c r="K3583" s="20" t="inlineStr">
        <is>
          <t>Non-Captive</t>
        </is>
      </c>
      <c r="L3583" s="20" t="inlineStr">
        <is>
          <t>SRI KARUPPAIYA CARS</t>
        </is>
      </c>
      <c r="M3583" s="23" t="n">
        <v>6779.66</v>
      </c>
      <c r="N3583" s="23" t="n">
        <v>8000</v>
      </c>
      <c r="O3583" s="24">
        <f>IF(AND(ISNUMBER(M3583), ISNUMBER(I3583), I3583&gt;0), M3583/I3583, "")</f>
        <v/>
      </c>
    </row>
    <row r="3584">
      <c r="A3584" s="19" t="inlineStr">
        <is>
          <t>FY27</t>
        </is>
      </c>
      <c r="B3584" s="19" t="inlineStr">
        <is>
          <t>Aug</t>
        </is>
      </c>
      <c r="C3584" s="19" t="inlineStr">
        <is>
          <t>TN</t>
        </is>
      </c>
      <c r="D3584" s="20" t="inlineStr">
        <is>
          <t>TN01AB6376</t>
        </is>
      </c>
      <c r="E3584" s="20" t="inlineStr">
        <is>
          <t>MARUTI SUZUKI</t>
        </is>
      </c>
      <c r="F3584" s="20" t="inlineStr">
        <is>
          <t>Wagonr</t>
        </is>
      </c>
      <c r="G3584" s="21" t="n">
        <v>2006</v>
      </c>
      <c r="H3584" s="22" t="n">
        <v>25781</v>
      </c>
      <c r="I3584" s="23" t="n">
        <v>97000</v>
      </c>
      <c r="J3584" s="20" t="inlineStr">
        <is>
          <t>POPULAR VEHICLES AND SERVICES LIMITED</t>
        </is>
      </c>
      <c r="K3584" s="20" t="inlineStr">
        <is>
          <t>Non-Captive</t>
        </is>
      </c>
      <c r="L3584" s="20" t="inlineStr">
        <is>
          <t>Value Drive Tech</t>
        </is>
      </c>
      <c r="M3584" s="23" t="n">
        <v>4237.29</v>
      </c>
      <c r="N3584" s="23" t="n">
        <v>5000</v>
      </c>
      <c r="O3584" s="24">
        <f>IF(AND(ISNUMBER(M3584), ISNUMBER(I3584), I3584&gt;0), M3584/I3584, "")</f>
        <v/>
      </c>
    </row>
    <row r="3585">
      <c r="A3585" s="19" t="inlineStr">
        <is>
          <t>FY27</t>
        </is>
      </c>
      <c r="B3585" s="19" t="inlineStr">
        <is>
          <t>Aug</t>
        </is>
      </c>
      <c r="C3585" s="19" t="inlineStr">
        <is>
          <t>TN</t>
        </is>
      </c>
      <c r="D3585" s="20" t="inlineStr">
        <is>
          <t>TN68AE2940</t>
        </is>
      </c>
      <c r="E3585" s="20" t="inlineStr">
        <is>
          <t>DATSUN</t>
        </is>
      </c>
      <c r="F3585" s="20" t="inlineStr">
        <is>
          <t>Redi-Go</t>
        </is>
      </c>
      <c r="G3585" s="21" t="n">
        <v>2021</v>
      </c>
      <c r="H3585" s="22" t="n">
        <v>58372</v>
      </c>
      <c r="I3585" s="23" t="n">
        <v>95000</v>
      </c>
      <c r="J3585" s="20" t="inlineStr">
        <is>
          <t>NIRMAL</t>
        </is>
      </c>
      <c r="K3585" s="20" t="inlineStr">
        <is>
          <t>Non-Captive</t>
        </is>
      </c>
      <c r="L3585" s="20" t="inlineStr">
        <is>
          <t>SRI KARUPPAIYA CARS</t>
        </is>
      </c>
      <c r="M3585" s="23" t="n">
        <v>4237.29</v>
      </c>
      <c r="N3585" s="23" t="n">
        <v>5000</v>
      </c>
      <c r="O3585" s="24">
        <f>IF(AND(ISNUMBER(M3585), ISNUMBER(I3585), I3585&gt;0), M3585/I3585, "")</f>
        <v/>
      </c>
    </row>
    <row r="3586">
      <c r="A3586" s="19" t="inlineStr">
        <is>
          <t>FY27</t>
        </is>
      </c>
      <c r="B3586" s="19" t="inlineStr">
        <is>
          <t>Aug</t>
        </is>
      </c>
      <c r="C3586" s="19" t="inlineStr">
        <is>
          <t>TN</t>
        </is>
      </c>
      <c r="D3586" s="20" t="inlineStr">
        <is>
          <t>TN12AH8700</t>
        </is>
      </c>
      <c r="E3586" s="20" t="inlineStr">
        <is>
          <t>DATSUN</t>
        </is>
      </c>
      <c r="F3586" s="20" t="inlineStr">
        <is>
          <t>Redi-Go</t>
        </is>
      </c>
      <c r="G3586" s="21" t="n">
        <v>2019</v>
      </c>
      <c r="H3586" s="22" t="n">
        <v>37364</v>
      </c>
      <c r="I3586" s="23" t="n">
        <v>97000</v>
      </c>
      <c r="J3586" s="20" t="inlineStr">
        <is>
          <t>Lakshmi Tata</t>
        </is>
      </c>
      <c r="K3586" s="20" t="inlineStr">
        <is>
          <t>Non-Captive</t>
        </is>
      </c>
      <c r="L3586" s="20" t="inlineStr">
        <is>
          <t>SRI KARUPPAIYA CARS</t>
        </is>
      </c>
      <c r="M3586" s="23" t="n">
        <v>4237.29</v>
      </c>
      <c r="N3586" s="23" t="n">
        <v>5000</v>
      </c>
      <c r="O3586" s="24">
        <f>IF(AND(ISNUMBER(M3586), ISNUMBER(I3586), I3586&gt;0), M3586/I3586, "")</f>
        <v/>
      </c>
    </row>
    <row r="3587">
      <c r="A3587" s="19" t="inlineStr">
        <is>
          <t>FY27</t>
        </is>
      </c>
      <c r="B3587" s="19" t="inlineStr">
        <is>
          <t>Aug</t>
        </is>
      </c>
      <c r="C3587" s="19" t="inlineStr">
        <is>
          <t>TN</t>
        </is>
      </c>
      <c r="D3587" s="20" t="inlineStr">
        <is>
          <t>TN20BH2005</t>
        </is>
      </c>
      <c r="E3587" s="20" t="inlineStr">
        <is>
          <t>HYUNDAI</t>
        </is>
      </c>
      <c r="F3587" s="20" t="inlineStr">
        <is>
          <t>I10</t>
        </is>
      </c>
      <c r="G3587" s="21" t="n">
        <v>2011</v>
      </c>
      <c r="H3587" s="22" t="n">
        <v>55132</v>
      </c>
      <c r="I3587" s="23" t="n">
        <v>93000</v>
      </c>
      <c r="J3587" s="20" t="inlineStr">
        <is>
          <t>Shree Thiya cars</t>
        </is>
      </c>
      <c r="K3587" s="20" t="inlineStr">
        <is>
          <t>Non-Captive</t>
        </is>
      </c>
      <c r="L3587" s="20" t="inlineStr">
        <is>
          <t>SRI KARUPPAIYA CARS</t>
        </is>
      </c>
      <c r="M3587" s="23" t="n">
        <v>4237.29</v>
      </c>
      <c r="N3587" s="23" t="n">
        <v>5000</v>
      </c>
      <c r="O3587" s="24">
        <f>IF(AND(ISNUMBER(M3587), ISNUMBER(I3587), I3587&gt;0), M3587/I3587, "")</f>
        <v/>
      </c>
    </row>
    <row r="3588">
      <c r="A3588" s="19" t="inlineStr">
        <is>
          <t>FY27</t>
        </is>
      </c>
      <c r="B3588" s="19" t="inlineStr">
        <is>
          <t>Aug</t>
        </is>
      </c>
      <c r="C3588" s="19" t="inlineStr">
        <is>
          <t>TN</t>
        </is>
      </c>
      <c r="D3588" s="20" t="inlineStr">
        <is>
          <t>TN02BA7588</t>
        </is>
      </c>
      <c r="E3588" s="20" t="inlineStr">
        <is>
          <t>MARUTI SUZUKI</t>
        </is>
      </c>
      <c r="F3588" s="20" t="inlineStr">
        <is>
          <t>Alto K10</t>
        </is>
      </c>
      <c r="G3588" s="21" t="n">
        <v>2014</v>
      </c>
      <c r="H3588" s="22" t="n">
        <v>70427</v>
      </c>
      <c r="I3588" s="23" t="n">
        <v>94000</v>
      </c>
      <c r="J3588" s="20" t="inlineStr">
        <is>
          <t>CASTLE TRADERS Maruti</t>
        </is>
      </c>
      <c r="K3588" s="20" t="inlineStr">
        <is>
          <t>Non-Captive</t>
        </is>
      </c>
      <c r="L3588" s="20" t="inlineStr">
        <is>
          <t>Value Drive Tech</t>
        </is>
      </c>
      <c r="M3588" s="23" t="n">
        <v>4237.29</v>
      </c>
      <c r="N3588" s="23" t="n">
        <v>5000</v>
      </c>
      <c r="O3588" s="24">
        <f>IF(AND(ISNUMBER(M3588), ISNUMBER(I3588), I3588&gt;0), M3588/I3588, "")</f>
        <v/>
      </c>
    </row>
    <row r="3589">
      <c r="A3589" s="19" t="inlineStr">
        <is>
          <t>FY27</t>
        </is>
      </c>
      <c r="B3589" s="19" t="inlineStr">
        <is>
          <t>Aug</t>
        </is>
      </c>
      <c r="C3589" s="19" t="inlineStr">
        <is>
          <t>TN</t>
        </is>
      </c>
      <c r="D3589" s="20" t="inlineStr">
        <is>
          <t>TN09CE4747</t>
        </is>
      </c>
      <c r="E3589" s="20" t="inlineStr">
        <is>
          <t>HYUNDAI</t>
        </is>
      </c>
      <c r="F3589" s="20" t="inlineStr">
        <is>
          <t>Grand I10</t>
        </is>
      </c>
      <c r="G3589" s="21" t="n">
        <v>2016</v>
      </c>
      <c r="H3589" s="22" t="n">
        <v>73873</v>
      </c>
      <c r="I3589" s="23" t="n">
        <v>97000</v>
      </c>
      <c r="J3589" s="20" t="inlineStr">
        <is>
          <t>NIRMAL</t>
        </is>
      </c>
      <c r="K3589" s="20" t="inlineStr">
        <is>
          <t>Non-Captive</t>
        </is>
      </c>
      <c r="L3589" s="20" t="inlineStr">
        <is>
          <t>Manoj B Cars</t>
        </is>
      </c>
      <c r="M3589" s="23" t="n">
        <v>4237.29</v>
      </c>
      <c r="N3589" s="23" t="n">
        <v>5000</v>
      </c>
      <c r="O3589" s="24">
        <f>IF(AND(ISNUMBER(M3589), ISNUMBER(I3589), I3589&gt;0), M3589/I3589, "")</f>
        <v/>
      </c>
    </row>
    <row r="3590">
      <c r="A3590" s="19" t="inlineStr">
        <is>
          <t>FY27</t>
        </is>
      </c>
      <c r="B3590" s="19" t="inlineStr">
        <is>
          <t>Aug</t>
        </is>
      </c>
      <c r="C3590" s="19" t="inlineStr">
        <is>
          <t>TN</t>
        </is>
      </c>
      <c r="D3590" s="20" t="inlineStr">
        <is>
          <t>TN09DB0041</t>
        </is>
      </c>
      <c r="E3590" s="20" t="inlineStr">
        <is>
          <t>MARUTI SUZUKI</t>
        </is>
      </c>
      <c r="F3590" s="20" t="inlineStr">
        <is>
          <t>Alto K10</t>
        </is>
      </c>
      <c r="G3590" s="21" t="n">
        <v>2022</v>
      </c>
      <c r="H3590" s="22" t="n">
        <v>52391</v>
      </c>
      <c r="I3590" s="23" t="n">
        <v>99000</v>
      </c>
      <c r="J3590" s="20" t="inlineStr">
        <is>
          <t>Shree Thiya cars</t>
        </is>
      </c>
      <c r="K3590" s="20" t="inlineStr">
        <is>
          <t>Non-Captive</t>
        </is>
      </c>
      <c r="L3590" s="20" t="inlineStr">
        <is>
          <t>Manoj B Cars</t>
        </is>
      </c>
      <c r="M3590" s="23" t="n">
        <v>4237.29</v>
      </c>
      <c r="N3590" s="23" t="n">
        <v>5000</v>
      </c>
      <c r="O3590" s="24">
        <f>IF(AND(ISNUMBER(M3590), ISNUMBER(I3590), I3590&gt;0), M3590/I3590, "")</f>
        <v/>
      </c>
    </row>
    <row r="3591">
      <c r="A3591" s="19" t="inlineStr">
        <is>
          <t>FY27</t>
        </is>
      </c>
      <c r="B3591" s="19" t="inlineStr">
        <is>
          <t>Aug</t>
        </is>
      </c>
      <c r="C3591" s="19" t="inlineStr">
        <is>
          <t>TN</t>
        </is>
      </c>
      <c r="D3591" s="20" t="inlineStr">
        <is>
          <t>TN19H8850</t>
        </is>
      </c>
      <c r="E3591" s="20" t="inlineStr">
        <is>
          <t>FORD</t>
        </is>
      </c>
      <c r="F3591" s="20" t="inlineStr">
        <is>
          <t>Ecosport</t>
        </is>
      </c>
      <c r="G3591" s="21" t="n">
        <v>2012</v>
      </c>
      <c r="H3591" s="22" t="n">
        <v>123674</v>
      </c>
      <c r="I3591" s="23" t="n">
        <v>98000</v>
      </c>
      <c r="J3591" s="20" t="inlineStr">
        <is>
          <t>Rajalakshmi Cars</t>
        </is>
      </c>
      <c r="K3591" s="20" t="inlineStr">
        <is>
          <t>Non-Captive</t>
        </is>
      </c>
      <c r="L3591" s="20" t="inlineStr">
        <is>
          <t>Value Drive Tech</t>
        </is>
      </c>
      <c r="M3591" s="23" t="n">
        <v>4237.29</v>
      </c>
      <c r="N3591" s="23" t="n">
        <v>5000</v>
      </c>
      <c r="O3591" s="24">
        <f>IF(AND(ISNUMBER(M3591), ISNUMBER(I3591), I3591&gt;0), M3591/I3591, "")</f>
        <v/>
      </c>
    </row>
    <row r="3592">
      <c r="A3592" s="19" t="inlineStr">
        <is>
          <t>FY27</t>
        </is>
      </c>
      <c r="B3592" s="19" t="inlineStr">
        <is>
          <t>Aug</t>
        </is>
      </c>
      <c r="C3592" s="19" t="inlineStr">
        <is>
          <t>TN</t>
        </is>
      </c>
      <c r="D3592" s="20" t="inlineStr">
        <is>
          <t>TN11AV7507</t>
        </is>
      </c>
      <c r="E3592" s="20" t="inlineStr">
        <is>
          <t>MARUTI SUZUKI</t>
        </is>
      </c>
      <c r="F3592" s="20" t="inlineStr">
        <is>
          <t>Ritz</t>
        </is>
      </c>
      <c r="G3592" s="21" t="n">
        <v>2010</v>
      </c>
      <c r="H3592" s="22" t="n">
        <v>145668</v>
      </c>
      <c r="I3592" s="23" t="n">
        <v>96000</v>
      </c>
      <c r="J3592" s="20" t="inlineStr">
        <is>
          <t>Lakshmi Tata</t>
        </is>
      </c>
      <c r="K3592" s="20" t="inlineStr">
        <is>
          <t>Non-Captive</t>
        </is>
      </c>
      <c r="L3592" s="20" t="inlineStr">
        <is>
          <t>Aasim Motors</t>
        </is>
      </c>
      <c r="M3592" s="23" t="n">
        <v>4237.29</v>
      </c>
      <c r="N3592" s="23" t="n">
        <v>5000</v>
      </c>
      <c r="O3592" s="24">
        <f>IF(AND(ISNUMBER(M3592), ISNUMBER(I3592), I3592&gt;0), M3592/I3592, "")</f>
        <v/>
      </c>
    </row>
    <row r="3593">
      <c r="A3593" s="19" t="inlineStr">
        <is>
          <t>FY27</t>
        </is>
      </c>
      <c r="B3593" s="19" t="inlineStr">
        <is>
          <t>Aug</t>
        </is>
      </c>
      <c r="C3593" s="19" t="inlineStr">
        <is>
          <t>TN</t>
        </is>
      </c>
      <c r="D3593" s="20" t="inlineStr">
        <is>
          <t>TN12AY7853</t>
        </is>
      </c>
      <c r="E3593" s="20" t="inlineStr">
        <is>
          <t>MARUTI SUZUKI</t>
        </is>
      </c>
      <c r="F3593" s="20" t="inlineStr">
        <is>
          <t>Celerio</t>
        </is>
      </c>
      <c r="G3593" s="21" t="n">
        <v>2023</v>
      </c>
      <c r="H3593" s="22" t="n">
        <v>26770</v>
      </c>
      <c r="I3593" s="23" t="n">
        <v>198000</v>
      </c>
      <c r="J3593" s="20" t="inlineStr">
        <is>
          <t>Cresco cars</t>
        </is>
      </c>
      <c r="K3593" s="20" t="inlineStr">
        <is>
          <t>Non-Captive</t>
        </is>
      </c>
      <c r="L3593" s="20" t="inlineStr">
        <is>
          <t>Senthil Cars</t>
        </is>
      </c>
      <c r="M3593" s="23" t="n">
        <v>5084.75</v>
      </c>
      <c r="N3593" s="23" t="n">
        <v>6000</v>
      </c>
      <c r="O3593" s="24">
        <f>IF(AND(ISNUMBER(M3593), ISNUMBER(I3593), I3593&gt;0), M3593/I3593, "")</f>
        <v/>
      </c>
    </row>
    <row r="3594">
      <c r="A3594" s="19" t="inlineStr">
        <is>
          <t>FY27</t>
        </is>
      </c>
      <c r="B3594" s="19" t="inlineStr">
        <is>
          <t>Aug</t>
        </is>
      </c>
      <c r="C3594" s="19" t="inlineStr">
        <is>
          <t>TN</t>
        </is>
      </c>
      <c r="D3594" s="20" t="inlineStr">
        <is>
          <t>TN09BR5897</t>
        </is>
      </c>
      <c r="E3594" s="20" t="inlineStr">
        <is>
          <t>MARUTI SUZUKI</t>
        </is>
      </c>
      <c r="F3594" s="20" t="inlineStr">
        <is>
          <t>800</t>
        </is>
      </c>
      <c r="G3594" s="21" t="n">
        <v>2012</v>
      </c>
      <c r="H3594" s="22" t="n">
        <v>87485</v>
      </c>
      <c r="I3594" s="23" t="n">
        <v>92000</v>
      </c>
      <c r="J3594" s="20" t="inlineStr">
        <is>
          <t>Cresco cars</t>
        </is>
      </c>
      <c r="K3594" s="20" t="inlineStr">
        <is>
          <t>Non-Captive</t>
        </is>
      </c>
      <c r="L3594" s="20" t="inlineStr">
        <is>
          <t>Aasim Motors</t>
        </is>
      </c>
      <c r="M3594" s="23" t="n">
        <v>4237.29</v>
      </c>
      <c r="N3594" s="23" t="n">
        <v>5000</v>
      </c>
      <c r="O3594" s="24">
        <f>IF(AND(ISNUMBER(M3594), ISNUMBER(I3594), I3594&gt;0), M3594/I3594, "")</f>
        <v/>
      </c>
    </row>
    <row r="3595">
      <c r="A3595" s="19" t="inlineStr">
        <is>
          <t>FY27</t>
        </is>
      </c>
      <c r="B3595" s="19" t="inlineStr">
        <is>
          <t>Aug</t>
        </is>
      </c>
      <c r="C3595" s="19" t="inlineStr">
        <is>
          <t>TN</t>
        </is>
      </c>
      <c r="D3595" s="20" t="inlineStr">
        <is>
          <t>TN09BH5465</t>
        </is>
      </c>
      <c r="E3595" s="20" t="inlineStr">
        <is>
          <t>HYUNDAI</t>
        </is>
      </c>
      <c r="F3595" s="20" t="inlineStr">
        <is>
          <t>I10</t>
        </is>
      </c>
      <c r="G3595" s="21" t="n">
        <v>2011</v>
      </c>
      <c r="H3595" s="22" t="n">
        <v>135575</v>
      </c>
      <c r="I3595" s="23" t="n">
        <v>93000</v>
      </c>
      <c r="J3595" s="20" t="inlineStr">
        <is>
          <t>Cresco cars</t>
        </is>
      </c>
      <c r="K3595" s="20" t="inlineStr">
        <is>
          <t>Non-Captive</t>
        </is>
      </c>
      <c r="L3595" s="20" t="inlineStr">
        <is>
          <t>Aasim Motors</t>
        </is>
      </c>
      <c r="M3595" s="23" t="n">
        <v>4237.29</v>
      </c>
      <c r="N3595" s="23" t="n">
        <v>5000</v>
      </c>
      <c r="O3595" s="24">
        <f>IF(AND(ISNUMBER(M3595), ISNUMBER(I3595), I3595&gt;0), M3595/I3595, "")</f>
        <v/>
      </c>
    </row>
    <row r="3596">
      <c r="A3596" s="19" t="inlineStr">
        <is>
          <t>FY27</t>
        </is>
      </c>
      <c r="B3596" s="19" t="inlineStr">
        <is>
          <t>Aug</t>
        </is>
      </c>
      <c r="C3596" s="19" t="inlineStr">
        <is>
          <t>TN</t>
        </is>
      </c>
      <c r="D3596" s="20" t="inlineStr">
        <is>
          <t>TN59BX9967</t>
        </is>
      </c>
      <c r="E3596" s="20" t="inlineStr">
        <is>
          <t>FORD</t>
        </is>
      </c>
      <c r="F3596" s="20" t="inlineStr">
        <is>
          <t>Figo</t>
        </is>
      </c>
      <c r="G3596" s="21" t="n">
        <v>2013</v>
      </c>
      <c r="H3596" s="22" t="n">
        <v>66239</v>
      </c>
      <c r="I3596" s="23" t="n">
        <v>99000</v>
      </c>
      <c r="J3596" s="20" t="inlineStr">
        <is>
          <t>CASTLE TRADERS Maruti</t>
        </is>
      </c>
      <c r="K3596" s="20" t="inlineStr">
        <is>
          <t>Non-Captive</t>
        </is>
      </c>
      <c r="L3596" s="20" t="inlineStr">
        <is>
          <t>Value Drive Tech</t>
        </is>
      </c>
      <c r="M3596" s="23" t="n">
        <v>4237.29</v>
      </c>
      <c r="N3596" s="23" t="n">
        <v>5000</v>
      </c>
      <c r="O3596" s="24">
        <f>IF(AND(ISNUMBER(M3596), ISNUMBER(I3596), I3596&gt;0), M3596/I3596, "")</f>
        <v/>
      </c>
    </row>
    <row r="3597">
      <c r="A3597" s="19" t="inlineStr">
        <is>
          <t>FY27</t>
        </is>
      </c>
      <c r="B3597" s="19" t="inlineStr">
        <is>
          <t>Aug</t>
        </is>
      </c>
      <c r="C3597" s="19" t="inlineStr">
        <is>
          <t>TN</t>
        </is>
      </c>
      <c r="D3597" s="20" t="inlineStr">
        <is>
          <t>TN22CZ2850</t>
        </is>
      </c>
      <c r="E3597" s="20" t="inlineStr">
        <is>
          <t>MARUTI SUZUKI</t>
        </is>
      </c>
      <c r="F3597" s="20" t="inlineStr">
        <is>
          <t>Alto</t>
        </is>
      </c>
      <c r="G3597" s="21" t="n">
        <v>2011</v>
      </c>
      <c r="H3597" s="22" t="n">
        <v>43545</v>
      </c>
      <c r="I3597" s="23" t="n">
        <v>98000</v>
      </c>
      <c r="J3597" s="20" t="inlineStr">
        <is>
          <t>Cresco cars</t>
        </is>
      </c>
      <c r="K3597" s="20" t="inlineStr">
        <is>
          <t>Non-Captive</t>
        </is>
      </c>
      <c r="L3597" s="20" t="inlineStr">
        <is>
          <t>Aasim Motors</t>
        </is>
      </c>
      <c r="M3597" s="23" t="n">
        <v>4237.29</v>
      </c>
      <c r="N3597" s="23" t="n">
        <v>5000</v>
      </c>
      <c r="O3597" s="24">
        <f>IF(AND(ISNUMBER(M3597), ISNUMBER(I3597), I3597&gt;0), M3597/I3597, "")</f>
        <v/>
      </c>
    </row>
    <row r="3598">
      <c r="A3598" s="19" t="inlineStr">
        <is>
          <t>FY27</t>
        </is>
      </c>
      <c r="B3598" s="19" t="inlineStr">
        <is>
          <t>Aug</t>
        </is>
      </c>
      <c r="C3598" s="19" t="inlineStr">
        <is>
          <t>TN</t>
        </is>
      </c>
      <c r="D3598" s="20" t="inlineStr">
        <is>
          <t>TN02BM4407</t>
        </is>
      </c>
      <c r="E3598" s="20" t="inlineStr">
        <is>
          <t>HYUNDAI</t>
        </is>
      </c>
      <c r="F3598" s="20" t="inlineStr">
        <is>
          <t>Xcent</t>
        </is>
      </c>
      <c r="G3598" s="21" t="n"/>
      <c r="H3598" s="22" t="n">
        <v>78923</v>
      </c>
      <c r="I3598" s="23" t="n">
        <v>300000</v>
      </c>
      <c r="J3598" s="20" t="inlineStr"/>
      <c r="K3598" s="20" t="inlineStr">
        <is>
          <t>Non-Captive</t>
        </is>
      </c>
      <c r="L3598" s="20" t="inlineStr">
        <is>
          <t>Thiya Cars</t>
        </is>
      </c>
      <c r="M3598" s="23" t="n">
        <v>7627.12</v>
      </c>
      <c r="N3598" s="23" t="n">
        <v>9000</v>
      </c>
      <c r="O3598" s="24">
        <f>IF(AND(ISNUMBER(M3598), ISNUMBER(I3598), I3598&gt;0), M3598/I3598, "")</f>
        <v/>
      </c>
    </row>
    <row r="3599">
      <c r="A3599" s="19" t="inlineStr">
        <is>
          <t>FY27</t>
        </is>
      </c>
      <c r="B3599" s="19" t="inlineStr">
        <is>
          <t>Aug</t>
        </is>
      </c>
      <c r="C3599" s="19" t="inlineStr">
        <is>
          <t>TN</t>
        </is>
      </c>
      <c r="D3599" s="20" t="inlineStr">
        <is>
          <t>TN07AV8505</t>
        </is>
      </c>
      <c r="E3599" s="20" t="inlineStr">
        <is>
          <t>HYUNDAI</t>
        </is>
      </c>
      <c r="F3599" s="20" t="inlineStr">
        <is>
          <t>Santro</t>
        </is>
      </c>
      <c r="G3599" s="21" t="n">
        <v>2006</v>
      </c>
      <c r="H3599" s="22" t="n">
        <v>126715</v>
      </c>
      <c r="I3599" s="23" t="n">
        <v>98000</v>
      </c>
      <c r="J3599" s="20" t="inlineStr">
        <is>
          <t>POPULAR VEHICLES AND SERVICES LIMITED</t>
        </is>
      </c>
      <c r="K3599" s="20" t="inlineStr">
        <is>
          <t>Non-Captive</t>
        </is>
      </c>
      <c r="L3599" s="20" t="inlineStr">
        <is>
          <t>Senthil Cars</t>
        </is>
      </c>
      <c r="M3599" s="23" t="n">
        <v>4661.02</v>
      </c>
      <c r="N3599" s="23" t="n">
        <v>5500</v>
      </c>
      <c r="O3599" s="24">
        <f>IF(AND(ISNUMBER(M3599), ISNUMBER(I3599), I3599&gt;0), M3599/I3599, "")</f>
        <v/>
      </c>
    </row>
    <row r="3600">
      <c r="A3600" s="19" t="inlineStr">
        <is>
          <t>FY27</t>
        </is>
      </c>
      <c r="B3600" s="19" t="inlineStr">
        <is>
          <t>Aug</t>
        </is>
      </c>
      <c r="C3600" s="19" t="inlineStr">
        <is>
          <t>TN</t>
        </is>
      </c>
      <c r="D3600" s="20" t="inlineStr">
        <is>
          <t>TN05AU6098</t>
        </is>
      </c>
      <c r="E3600" s="20" t="inlineStr">
        <is>
          <t>NISSAN</t>
        </is>
      </c>
      <c r="F3600" s="20" t="inlineStr">
        <is>
          <t>Micra</t>
        </is>
      </c>
      <c r="G3600" s="21" t="n">
        <v>2013</v>
      </c>
      <c r="H3600" s="22" t="n">
        <v>87378</v>
      </c>
      <c r="I3600" s="23" t="n">
        <v>94000</v>
      </c>
      <c r="J3600" s="20" t="inlineStr">
        <is>
          <t>VISHNU CARS PRIVATE LIMITED</t>
        </is>
      </c>
      <c r="K3600" s="20" t="inlineStr">
        <is>
          <t>Non-Captive</t>
        </is>
      </c>
      <c r="L3600" s="20" t="inlineStr">
        <is>
          <t>9miles</t>
        </is>
      </c>
      <c r="M3600" s="23" t="n">
        <v>4237.29</v>
      </c>
      <c r="N3600" s="23" t="n">
        <v>5000</v>
      </c>
      <c r="O3600" s="24">
        <f>IF(AND(ISNUMBER(M3600), ISNUMBER(I3600), I3600&gt;0), M3600/I3600, "")</f>
        <v/>
      </c>
    </row>
    <row r="3601">
      <c r="A3601" s="19" t="inlineStr">
        <is>
          <t>FY27</t>
        </is>
      </c>
      <c r="B3601" s="19" t="inlineStr">
        <is>
          <t>Aug</t>
        </is>
      </c>
      <c r="C3601" s="19" t="inlineStr">
        <is>
          <t>TN</t>
        </is>
      </c>
      <c r="D3601" s="20" t="inlineStr">
        <is>
          <t>TN13Y3576</t>
        </is>
      </c>
      <c r="E3601" s="20" t="inlineStr">
        <is>
          <t>MARUTI SUZUKI</t>
        </is>
      </c>
      <c r="F3601" s="20" t="inlineStr">
        <is>
          <t>Alto</t>
        </is>
      </c>
      <c r="G3601" s="21" t="n">
        <v>2022</v>
      </c>
      <c r="H3601" s="22" t="n">
        <v>25765</v>
      </c>
      <c r="I3601" s="23" t="n">
        <v>98000</v>
      </c>
      <c r="J3601" s="20" t="inlineStr">
        <is>
          <t>VISHNU CARS PRIVATE LIMITED</t>
        </is>
      </c>
      <c r="K3601" s="20" t="inlineStr">
        <is>
          <t>Non-Captive</t>
        </is>
      </c>
      <c r="L3601" s="20" t="inlineStr">
        <is>
          <t>Maruthi Industries</t>
        </is>
      </c>
      <c r="M3601" s="23" t="n">
        <v>3389.83</v>
      </c>
      <c r="N3601" s="23" t="n">
        <v>4000</v>
      </c>
      <c r="O3601" s="24">
        <f>IF(AND(ISNUMBER(M3601), ISNUMBER(I3601), I3601&gt;0), M3601/I3601, "")</f>
        <v/>
      </c>
    </row>
    <row r="3602">
      <c r="A3602" s="19" t="inlineStr">
        <is>
          <t>FY27</t>
        </is>
      </c>
      <c r="B3602" s="19" t="inlineStr">
        <is>
          <t>Aug</t>
        </is>
      </c>
      <c r="C3602" s="19" t="inlineStr">
        <is>
          <t>TN</t>
        </is>
      </c>
      <c r="D3602" s="20" t="inlineStr">
        <is>
          <t>TN01BE5125</t>
        </is>
      </c>
      <c r="E3602" s="20" t="inlineStr">
        <is>
          <t>HYUNDAI</t>
        </is>
      </c>
      <c r="F3602" s="20" t="inlineStr">
        <is>
          <t>Grand I10</t>
        </is>
      </c>
      <c r="G3602" s="21" t="n">
        <v>2018</v>
      </c>
      <c r="H3602" s="22" t="n">
        <v>19837</v>
      </c>
      <c r="I3602" s="23" t="n">
        <v>99000</v>
      </c>
      <c r="J3602" s="20" t="inlineStr">
        <is>
          <t>VISHNU CARS PRIVATE LIMITED</t>
        </is>
      </c>
      <c r="K3602" s="20" t="inlineStr">
        <is>
          <t>Non-Captive</t>
        </is>
      </c>
      <c r="L3602" s="20" t="inlineStr">
        <is>
          <t>GRID 33</t>
        </is>
      </c>
      <c r="M3602" s="23" t="n">
        <v>2542.37</v>
      </c>
      <c r="N3602" s="23" t="n">
        <v>3000</v>
      </c>
      <c r="O3602" s="24">
        <f>IF(AND(ISNUMBER(M3602), ISNUMBER(I3602), I3602&gt;0), M3602/I3602, "")</f>
        <v/>
      </c>
    </row>
    <row r="3603">
      <c r="A3603" s="19" t="inlineStr">
        <is>
          <t>FY27</t>
        </is>
      </c>
      <c r="B3603" s="19" t="inlineStr">
        <is>
          <t>Aug</t>
        </is>
      </c>
      <c r="C3603" s="19" t="inlineStr">
        <is>
          <t>TN</t>
        </is>
      </c>
      <c r="D3603" s="20" t="inlineStr">
        <is>
          <t>TN10BV3216</t>
        </is>
      </c>
      <c r="E3603" s="20" t="inlineStr">
        <is>
          <t>NISSAN</t>
        </is>
      </c>
      <c r="F3603" s="20" t="inlineStr">
        <is>
          <t>Magnite</t>
        </is>
      </c>
      <c r="G3603" s="21" t="n">
        <v>2023</v>
      </c>
      <c r="H3603" s="22" t="n">
        <v>109258</v>
      </c>
      <c r="I3603" s="23" t="n">
        <v>89000</v>
      </c>
      <c r="J3603" s="20" t="inlineStr">
        <is>
          <t>VISHNU CARS PRIVATE LIMITED</t>
        </is>
      </c>
      <c r="K3603" s="20" t="inlineStr">
        <is>
          <t>Non-Captive</t>
        </is>
      </c>
      <c r="L3603" s="20" t="inlineStr">
        <is>
          <t>GRID 33</t>
        </is>
      </c>
      <c r="M3603" s="23" t="n">
        <v>2542.37</v>
      </c>
      <c r="N3603" s="23" t="n">
        <v>3000</v>
      </c>
      <c r="O3603" s="24">
        <f>IF(AND(ISNUMBER(M3603), ISNUMBER(I3603), I3603&gt;0), M3603/I3603, "")</f>
        <v/>
      </c>
    </row>
    <row r="3604">
      <c r="A3604" s="19" t="inlineStr">
        <is>
          <t>FY27</t>
        </is>
      </c>
      <c r="B3604" s="19" t="inlineStr">
        <is>
          <t>Aug</t>
        </is>
      </c>
      <c r="C3604" s="19" t="inlineStr">
        <is>
          <t>TN</t>
        </is>
      </c>
      <c r="D3604" s="20" t="inlineStr">
        <is>
          <t>TN25AX1581</t>
        </is>
      </c>
      <c r="E3604" s="20" t="inlineStr">
        <is>
          <t>MARUTI SUZUKI</t>
        </is>
      </c>
      <c r="F3604" s="20" t="inlineStr">
        <is>
          <t>Swiftdzire</t>
        </is>
      </c>
      <c r="G3604" s="21" t="n">
        <v>2012</v>
      </c>
      <c r="H3604" s="22" t="n">
        <v>174639</v>
      </c>
      <c r="I3604" s="23" t="n">
        <v>91000</v>
      </c>
      <c r="J3604" s="20" t="inlineStr">
        <is>
          <t>VISHNU CARS PRIVATE LIMITED</t>
        </is>
      </c>
      <c r="K3604" s="20" t="inlineStr">
        <is>
          <t>Non-Captive</t>
        </is>
      </c>
      <c r="L3604" s="20" t="inlineStr">
        <is>
          <t>GRID 33</t>
        </is>
      </c>
      <c r="M3604" s="23" t="n">
        <v>2542.37</v>
      </c>
      <c r="N3604" s="23" t="n">
        <v>3000</v>
      </c>
      <c r="O3604" s="24">
        <f>IF(AND(ISNUMBER(M3604), ISNUMBER(I3604), I3604&gt;0), M3604/I3604, "")</f>
        <v/>
      </c>
    </row>
    <row r="3605">
      <c r="A3605" s="19" t="inlineStr">
        <is>
          <t>FY27</t>
        </is>
      </c>
      <c r="B3605" s="19" t="inlineStr">
        <is>
          <t>Aug</t>
        </is>
      </c>
      <c r="C3605" s="19" t="inlineStr">
        <is>
          <t>TN</t>
        </is>
      </c>
      <c r="D3605" s="20" t="inlineStr">
        <is>
          <t>TN12R2787</t>
        </is>
      </c>
      <c r="E3605" s="20" t="inlineStr">
        <is>
          <t>DATSUN</t>
        </is>
      </c>
      <c r="F3605" s="20" t="inlineStr">
        <is>
          <t>Redi-Go</t>
        </is>
      </c>
      <c r="G3605" s="21" t="n">
        <v>2016</v>
      </c>
      <c r="H3605" s="22" t="n">
        <v>32027</v>
      </c>
      <c r="I3605" s="23" t="n">
        <v>92000</v>
      </c>
      <c r="J3605" s="20" t="inlineStr">
        <is>
          <t>VISHNU CARS PRIVATE LIMITED</t>
        </is>
      </c>
      <c r="K3605" s="20" t="inlineStr">
        <is>
          <t>Non-Captive</t>
        </is>
      </c>
      <c r="L3605" s="20" t="inlineStr">
        <is>
          <t>GRID 33</t>
        </is>
      </c>
      <c r="M3605" s="23" t="n">
        <v>2542.37</v>
      </c>
      <c r="N3605" s="23" t="n">
        <v>3000</v>
      </c>
      <c r="O3605" s="24">
        <f>IF(AND(ISNUMBER(M3605), ISNUMBER(I3605), I3605&gt;0), M3605/I3605, "")</f>
        <v/>
      </c>
    </row>
    <row r="3606">
      <c r="A3606" s="19" t="inlineStr">
        <is>
          <t>FY27</t>
        </is>
      </c>
      <c r="B3606" s="19" t="inlineStr">
        <is>
          <t>Aug</t>
        </is>
      </c>
      <c r="C3606" s="19" t="inlineStr">
        <is>
          <t>TN</t>
        </is>
      </c>
      <c r="D3606" s="20" t="inlineStr">
        <is>
          <t>TN05CJ4716</t>
        </is>
      </c>
      <c r="E3606" s="20" t="inlineStr">
        <is>
          <t>MARUTI SUZUKI</t>
        </is>
      </c>
      <c r="F3606" s="20" t="inlineStr">
        <is>
          <t>Celerio</t>
        </is>
      </c>
      <c r="G3606" s="21" t="n">
        <v>2022</v>
      </c>
      <c r="H3606" s="22" t="n">
        <v>32457</v>
      </c>
      <c r="I3606" s="23" t="n">
        <v>96000</v>
      </c>
      <c r="J3606" s="20" t="inlineStr">
        <is>
          <t>VISHNU CARS PRIVATE LIMITED</t>
        </is>
      </c>
      <c r="K3606" s="20" t="inlineStr">
        <is>
          <t>Non-Captive</t>
        </is>
      </c>
      <c r="L3606" s="20" t="inlineStr">
        <is>
          <t>GRID 33</t>
        </is>
      </c>
      <c r="M3606" s="23" t="n">
        <v>2542.37</v>
      </c>
      <c r="N3606" s="23" t="n">
        <v>3000</v>
      </c>
      <c r="O3606" s="24">
        <f>IF(AND(ISNUMBER(M3606), ISNUMBER(I3606), I3606&gt;0), M3606/I3606, "")</f>
        <v/>
      </c>
    </row>
    <row r="3607">
      <c r="A3607" s="19" t="inlineStr">
        <is>
          <t>FY27</t>
        </is>
      </c>
      <c r="B3607" s="19" t="inlineStr">
        <is>
          <t>Aug</t>
        </is>
      </c>
      <c r="C3607" s="19" t="inlineStr">
        <is>
          <t>TN</t>
        </is>
      </c>
      <c r="D3607" s="20" t="inlineStr">
        <is>
          <t>KL22P1511</t>
        </is>
      </c>
      <c r="E3607" s="20" t="inlineStr">
        <is>
          <t>HYUNDAI</t>
        </is>
      </c>
      <c r="F3607" s="20" t="inlineStr">
        <is>
          <t>Venue</t>
        </is>
      </c>
      <c r="G3607" s="21" t="n">
        <v>2020</v>
      </c>
      <c r="H3607" s="22" t="n">
        <v>38702</v>
      </c>
      <c r="I3607" s="23" t="n">
        <v>155000</v>
      </c>
      <c r="J3607" s="20" t="inlineStr">
        <is>
          <t>POPULAR MOTORWORLD PVT LTD</t>
        </is>
      </c>
      <c r="K3607" s="20" t="inlineStr">
        <is>
          <t>Non-Captive</t>
        </is>
      </c>
      <c r="L3607" s="20" t="inlineStr">
        <is>
          <t>SHAMNAD AH</t>
        </is>
      </c>
      <c r="M3607" s="23" t="n">
        <v>8474.58</v>
      </c>
      <c r="N3607" s="23" t="n">
        <v>10000</v>
      </c>
      <c r="O3607" s="24">
        <f>IF(AND(ISNUMBER(M3607), ISNUMBER(I3607), I3607&gt;0), M3607/I3607, "")</f>
        <v/>
      </c>
    </row>
    <row r="3608">
      <c r="A3608" s="19" t="inlineStr">
        <is>
          <t>FY27</t>
        </is>
      </c>
      <c r="B3608" s="19" t="inlineStr">
        <is>
          <t>Aug</t>
        </is>
      </c>
      <c r="C3608" s="19" t="inlineStr">
        <is>
          <t>TN</t>
        </is>
      </c>
      <c r="D3608" s="20" t="inlineStr">
        <is>
          <t>KL40T2987</t>
        </is>
      </c>
      <c r="E3608" s="20" t="inlineStr">
        <is>
          <t>TATA</t>
        </is>
      </c>
      <c r="F3608" s="20" t="inlineStr">
        <is>
          <t>Nexon</t>
        </is>
      </c>
      <c r="G3608" s="21" t="n">
        <v>2021</v>
      </c>
      <c r="H3608" s="22" t="n">
        <v>34585</v>
      </c>
      <c r="I3608" s="23" t="n">
        <v>170000</v>
      </c>
      <c r="J3608" s="20" t="inlineStr">
        <is>
          <t>POPULAR MOTORWORLD PVT LTD</t>
        </is>
      </c>
      <c r="K3608" s="20" t="inlineStr">
        <is>
          <t>Non-Captive</t>
        </is>
      </c>
      <c r="L3608" s="20" t="inlineStr">
        <is>
          <t>SHAMNAD AH</t>
        </is>
      </c>
      <c r="M3608" s="23" t="n">
        <v>8474.58</v>
      </c>
      <c r="N3608" s="23" t="n">
        <v>10000</v>
      </c>
      <c r="O3608" s="24">
        <f>IF(AND(ISNUMBER(M3608), ISNUMBER(I3608), I3608&gt;0), M3608/I3608, "")</f>
        <v/>
      </c>
    </row>
    <row r="3609">
      <c r="A3609" s="19" t="inlineStr">
        <is>
          <t>FY27</t>
        </is>
      </c>
      <c r="B3609" s="19" t="inlineStr">
        <is>
          <t>Aug</t>
        </is>
      </c>
      <c r="C3609" s="19" t="inlineStr">
        <is>
          <t>TN</t>
        </is>
      </c>
      <c r="D3609" s="20" t="inlineStr">
        <is>
          <t>KL01CA593</t>
        </is>
      </c>
      <c r="E3609" s="20" t="inlineStr">
        <is>
          <t>MARUTI SUZUKI</t>
        </is>
      </c>
      <c r="F3609" s="20" t="inlineStr">
        <is>
          <t>Wagonr</t>
        </is>
      </c>
      <c r="G3609" s="21" t="n"/>
      <c r="H3609" s="22" t="n">
        <v>30875</v>
      </c>
      <c r="I3609" s="23" t="n">
        <v>150000</v>
      </c>
      <c r="J3609" s="20" t="inlineStr"/>
      <c r="K3609" s="20" t="inlineStr">
        <is>
          <t>Non-Captive</t>
        </is>
      </c>
      <c r="L3609" s="20" t="inlineStr">
        <is>
          <t>SHAMNAD AH</t>
        </is>
      </c>
      <c r="M3609" s="23" t="n">
        <v>8474.58</v>
      </c>
      <c r="N3609" s="23" t="n">
        <v>10000</v>
      </c>
      <c r="O3609" s="24">
        <f>IF(AND(ISNUMBER(M3609), ISNUMBER(I3609), I3609&gt;0), M3609/I3609, "")</f>
        <v/>
      </c>
    </row>
    <row r="3610">
      <c r="A3610" s="19" t="inlineStr">
        <is>
          <t>FY27</t>
        </is>
      </c>
      <c r="B3610" s="19" t="inlineStr">
        <is>
          <t>Aug</t>
        </is>
      </c>
      <c r="C3610" s="19" t="inlineStr">
        <is>
          <t>TN</t>
        </is>
      </c>
      <c r="D3610" s="20" t="inlineStr">
        <is>
          <t>KL25F1188</t>
        </is>
      </c>
      <c r="E3610" s="20" t="inlineStr">
        <is>
          <t>MARUTI SUZUKI</t>
        </is>
      </c>
      <c r="F3610" s="20" t="inlineStr">
        <is>
          <t>Ritz</t>
        </is>
      </c>
      <c r="G3610" s="21" t="n"/>
      <c r="H3610" s="22" t="n">
        <v>75231</v>
      </c>
      <c r="I3610" s="23" t="n">
        <v>188000</v>
      </c>
      <c r="J3610" s="20" t="inlineStr"/>
      <c r="K3610" s="20" t="inlineStr">
        <is>
          <t>Non-Captive</t>
        </is>
      </c>
      <c r="L3610" s="20" t="inlineStr">
        <is>
          <t>GENUINE CARS</t>
        </is>
      </c>
      <c r="M3610" s="23" t="n">
        <v>8474.58</v>
      </c>
      <c r="N3610" s="23" t="n">
        <v>10000</v>
      </c>
      <c r="O3610" s="24">
        <f>IF(AND(ISNUMBER(M3610), ISNUMBER(I3610), I3610&gt;0), M3610/I3610, "")</f>
        <v/>
      </c>
    </row>
    <row r="3611">
      <c r="A3611" s="19" t="inlineStr">
        <is>
          <t>FY27</t>
        </is>
      </c>
      <c r="B3611" s="19" t="inlineStr">
        <is>
          <t>Aug</t>
        </is>
      </c>
      <c r="C3611" s="19" t="inlineStr">
        <is>
          <t>TN</t>
        </is>
      </c>
      <c r="D3611" s="20" t="inlineStr">
        <is>
          <t>KL16AC0900</t>
        </is>
      </c>
      <c r="E3611" s="20" t="inlineStr">
        <is>
          <t>TOYOTA</t>
        </is>
      </c>
      <c r="F3611" s="20" t="inlineStr">
        <is>
          <t>Taisor</t>
        </is>
      </c>
      <c r="G3611" s="21" t="n">
        <v>2024</v>
      </c>
      <c r="H3611" s="22" t="n">
        <v>94102</v>
      </c>
      <c r="I3611" s="23" t="n">
        <v>160000</v>
      </c>
      <c r="J3611" s="20" t="inlineStr">
        <is>
          <t>Nippon Motor Corporation Pvt Ltd</t>
        </is>
      </c>
      <c r="K3611" s="20" t="inlineStr">
        <is>
          <t>Non-Captive</t>
        </is>
      </c>
      <c r="L3611" s="20" t="inlineStr">
        <is>
          <t>SHAMNAD AH</t>
        </is>
      </c>
      <c r="M3611" s="23" t="n">
        <v>6016.95</v>
      </c>
      <c r="N3611" s="23" t="n">
        <v>7100</v>
      </c>
      <c r="O3611" s="24">
        <f>IF(AND(ISNUMBER(M3611), ISNUMBER(I3611), I3611&gt;0), M3611/I3611, "")</f>
        <v/>
      </c>
    </row>
    <row r="3612">
      <c r="A3612" s="19" t="inlineStr">
        <is>
          <t>FY27</t>
        </is>
      </c>
      <c r="B3612" s="19" t="inlineStr">
        <is>
          <t>Aug</t>
        </is>
      </c>
      <c r="C3612" s="19" t="inlineStr">
        <is>
          <t>TN</t>
        </is>
      </c>
      <c r="D3612" s="20" t="inlineStr">
        <is>
          <t>KL01BR9042</t>
        </is>
      </c>
      <c r="E3612" s="20" t="inlineStr">
        <is>
          <t>MARUTI SUZUKI</t>
        </is>
      </c>
      <c r="F3612" s="20" t="inlineStr">
        <is>
          <t>Dzire</t>
        </is>
      </c>
      <c r="G3612" s="21" t="n">
        <v>2014</v>
      </c>
      <c r="H3612" s="22" t="n">
        <v>175084</v>
      </c>
      <c r="I3612" s="23" t="n">
        <v>155000</v>
      </c>
      <c r="J3612" s="20" t="inlineStr">
        <is>
          <t>Nippon Motor Corporation Pvt Ltd</t>
        </is>
      </c>
      <c r="K3612" s="20" t="inlineStr">
        <is>
          <t>Non-Captive</t>
        </is>
      </c>
      <c r="L3612" s="20" t="inlineStr">
        <is>
          <t>SHAMNAD AH</t>
        </is>
      </c>
      <c r="M3612" s="23" t="n">
        <v>6016.95</v>
      </c>
      <c r="N3612" s="23" t="n">
        <v>7100</v>
      </c>
      <c r="O3612" s="24">
        <f>IF(AND(ISNUMBER(M3612), ISNUMBER(I3612), I3612&gt;0), M3612/I3612, "")</f>
        <v/>
      </c>
    </row>
    <row r="3613">
      <c r="A3613" s="19" t="inlineStr">
        <is>
          <t>FY27</t>
        </is>
      </c>
      <c r="B3613" s="19" t="inlineStr">
        <is>
          <t>Aug</t>
        </is>
      </c>
      <c r="C3613" s="19" t="inlineStr">
        <is>
          <t>TN</t>
        </is>
      </c>
      <c r="D3613" s="20" t="inlineStr">
        <is>
          <t>KL61F7087</t>
        </is>
      </c>
      <c r="E3613" s="20" t="inlineStr">
        <is>
          <t>MAHINDRA</t>
        </is>
      </c>
      <c r="F3613" s="20" t="inlineStr">
        <is>
          <t>Xuv300</t>
        </is>
      </c>
      <c r="G3613" s="21" t="n">
        <v>2022</v>
      </c>
      <c r="H3613" s="22" t="n">
        <v>78000</v>
      </c>
      <c r="I3613" s="23" t="n">
        <v>180000</v>
      </c>
      <c r="J3613" s="20" t="inlineStr">
        <is>
          <t>Nippon Motor Corporation Pvt Ltd</t>
        </is>
      </c>
      <c r="K3613" s="20" t="inlineStr">
        <is>
          <t>Non-Captive</t>
        </is>
      </c>
      <c r="L3613" s="20" t="inlineStr">
        <is>
          <t>SHAMNAD AH</t>
        </is>
      </c>
      <c r="M3613" s="23" t="n">
        <v>6016.95</v>
      </c>
      <c r="N3613" s="23" t="n">
        <v>7100</v>
      </c>
      <c r="O3613" s="24">
        <f>IF(AND(ISNUMBER(M3613), ISNUMBER(I3613), I3613&gt;0), M3613/I3613, "")</f>
        <v/>
      </c>
    </row>
    <row r="3614">
      <c r="A3614" s="19" t="inlineStr">
        <is>
          <t>FY27</t>
        </is>
      </c>
      <c r="B3614" s="19" t="inlineStr">
        <is>
          <t>Aug</t>
        </is>
      </c>
      <c r="C3614" s="19" t="inlineStr">
        <is>
          <t>TN</t>
        </is>
      </c>
      <c r="D3614" s="20" t="inlineStr">
        <is>
          <t>KL02BN8429</t>
        </is>
      </c>
      <c r="E3614" s="20" t="inlineStr">
        <is>
          <t>MARUTI SUZUKI</t>
        </is>
      </c>
      <c r="F3614" s="20" t="inlineStr">
        <is>
          <t>Spresso</t>
        </is>
      </c>
      <c r="G3614" s="21" t="n"/>
      <c r="H3614" s="22" t="n">
        <v>67192</v>
      </c>
      <c r="I3614" s="23" t="n">
        <v>180000</v>
      </c>
      <c r="J3614" s="20" t="inlineStr"/>
      <c r="K3614" s="20" t="inlineStr">
        <is>
          <t>Non-Captive</t>
        </is>
      </c>
      <c r="L3614" s="20" t="inlineStr">
        <is>
          <t>GENUINE CARS</t>
        </is>
      </c>
      <c r="M3614" s="23" t="n">
        <v>8474.58</v>
      </c>
      <c r="N3614" s="23" t="n">
        <v>10000</v>
      </c>
      <c r="O3614" s="24">
        <f>IF(AND(ISNUMBER(M3614), ISNUMBER(I3614), I3614&gt;0), M3614/I3614, "")</f>
        <v/>
      </c>
    </row>
    <row r="3615">
      <c r="A3615" s="19" t="inlineStr">
        <is>
          <t>FY27</t>
        </is>
      </c>
      <c r="B3615" s="19" t="inlineStr">
        <is>
          <t>Aug</t>
        </is>
      </c>
      <c r="C3615" s="19" t="inlineStr">
        <is>
          <t>TN</t>
        </is>
      </c>
      <c r="D3615" s="20" t="inlineStr">
        <is>
          <t>TN09CJ0497</t>
        </is>
      </c>
      <c r="E3615" s="20" t="inlineStr">
        <is>
          <t>HYUNDAI</t>
        </is>
      </c>
      <c r="F3615" s="20" t="inlineStr">
        <is>
          <t>Creta</t>
        </is>
      </c>
      <c r="G3615" s="21" t="n">
        <v>2017</v>
      </c>
      <c r="H3615" s="22" t="n">
        <v>104819</v>
      </c>
      <c r="I3615" s="23" t="n">
        <v>578000</v>
      </c>
      <c r="J3615" s="20" t="inlineStr">
        <is>
          <t>CASTLE TRADERS Maruti</t>
        </is>
      </c>
      <c r="K3615" s="20" t="inlineStr">
        <is>
          <t>Non-Captive</t>
        </is>
      </c>
      <c r="L3615" s="20" t="inlineStr">
        <is>
          <t>S2 MOTORZ</t>
        </is>
      </c>
      <c r="M3615" s="23" t="n">
        <v>5932.2</v>
      </c>
      <c r="N3615" s="23" t="n">
        <v>7000</v>
      </c>
      <c r="O3615" s="24">
        <f>IF(AND(ISNUMBER(M3615), ISNUMBER(I3615), I3615&gt;0), M3615/I3615, "")</f>
        <v/>
      </c>
    </row>
    <row r="3616">
      <c r="A3616" s="19" t="inlineStr">
        <is>
          <t>FY27</t>
        </is>
      </c>
      <c r="B3616" s="19" t="inlineStr">
        <is>
          <t>Aug</t>
        </is>
      </c>
      <c r="C3616" s="19" t="inlineStr">
        <is>
          <t>TN</t>
        </is>
      </c>
      <c r="D3616" s="20" t="inlineStr">
        <is>
          <t>TN01AT9811</t>
        </is>
      </c>
      <c r="E3616" s="20" t="inlineStr">
        <is>
          <t>MARUTI SUZUKI</t>
        </is>
      </c>
      <c r="F3616" s="20" t="inlineStr">
        <is>
          <t>Swift</t>
        </is>
      </c>
      <c r="G3616" s="21" t="n">
        <v>2013</v>
      </c>
      <c r="H3616" s="22" t="n">
        <v>94262</v>
      </c>
      <c r="I3616" s="23" t="n">
        <v>308000</v>
      </c>
      <c r="J3616" s="20" t="inlineStr">
        <is>
          <t>CASTLE TRADERS Maruti</t>
        </is>
      </c>
      <c r="K3616" s="20" t="inlineStr">
        <is>
          <t>Non-Captive</t>
        </is>
      </c>
      <c r="L3616" s="20" t="inlineStr">
        <is>
          <t>AAA CARS</t>
        </is>
      </c>
      <c r="M3616" s="23" t="n">
        <v>5932.2</v>
      </c>
      <c r="N3616" s="23" t="n">
        <v>7000</v>
      </c>
      <c r="O3616" s="24">
        <f>IF(AND(ISNUMBER(M3616), ISNUMBER(I3616), I3616&gt;0), M3616/I3616, "")</f>
        <v/>
      </c>
    </row>
    <row r="3617">
      <c r="A3617" s="19" t="inlineStr">
        <is>
          <t>FY27</t>
        </is>
      </c>
      <c r="B3617" s="19" t="inlineStr">
        <is>
          <t>Aug</t>
        </is>
      </c>
      <c r="C3617" s="19" t="inlineStr">
        <is>
          <t>TN</t>
        </is>
      </c>
      <c r="D3617" s="20" t="inlineStr">
        <is>
          <t>TN06P5270</t>
        </is>
      </c>
      <c r="E3617" s="20" t="inlineStr">
        <is>
          <t>MITSUBISHI</t>
        </is>
      </c>
      <c r="F3617" s="20" t="inlineStr">
        <is>
          <t>Pajeero</t>
        </is>
      </c>
      <c r="G3617" s="21" t="n">
        <v>2015</v>
      </c>
      <c r="H3617" s="22" t="n">
        <v>76097</v>
      </c>
      <c r="I3617" s="23" t="n">
        <v>695000</v>
      </c>
      <c r="J3617" s="20" t="inlineStr">
        <is>
          <t>EXCHANGE CHENNAI</t>
        </is>
      </c>
      <c r="K3617" s="20" t="inlineStr">
        <is>
          <t>Captive</t>
        </is>
      </c>
      <c r="L3617" s="20" t="inlineStr">
        <is>
          <t>GRID 33</t>
        </is>
      </c>
      <c r="M3617" s="23" t="n">
        <v>8474.58</v>
      </c>
      <c r="N3617" s="23" t="n">
        <v>10000</v>
      </c>
      <c r="O3617" s="24">
        <f>IF(AND(ISNUMBER(M3617), ISNUMBER(I3617), I3617&gt;0), M3617/I3617, "")</f>
        <v/>
      </c>
    </row>
    <row r="3618">
      <c r="A3618" s="19" t="inlineStr">
        <is>
          <t>FY27</t>
        </is>
      </c>
      <c r="B3618" s="19" t="inlineStr">
        <is>
          <t>Aug</t>
        </is>
      </c>
      <c r="C3618" s="19" t="inlineStr">
        <is>
          <t>TN</t>
        </is>
      </c>
      <c r="D3618" s="20" t="inlineStr">
        <is>
          <t>MH46X4671</t>
        </is>
      </c>
      <c r="E3618" s="20" t="inlineStr">
        <is>
          <t>TOYOTA</t>
        </is>
      </c>
      <c r="F3618" s="20" t="inlineStr">
        <is>
          <t>Etios</t>
        </is>
      </c>
      <c r="G3618" s="21" t="n">
        <v>2013</v>
      </c>
      <c r="H3618" s="22" t="n">
        <v>111523</v>
      </c>
      <c r="I3618" s="23" t="n">
        <v>157000</v>
      </c>
      <c r="J3618" s="20" t="inlineStr">
        <is>
          <t>CASTLE TRADERS Maruti</t>
        </is>
      </c>
      <c r="K3618" s="20" t="inlineStr">
        <is>
          <t>Non-Captive</t>
        </is>
      </c>
      <c r="L3618" s="20" t="inlineStr">
        <is>
          <t>9miles</t>
        </is>
      </c>
      <c r="M3618" s="23" t="n">
        <v>4237.29</v>
      </c>
      <c r="N3618" s="23" t="n">
        <v>5000</v>
      </c>
      <c r="O3618" s="24">
        <f>IF(AND(ISNUMBER(M3618), ISNUMBER(I3618), I3618&gt;0), M3618/I3618, "")</f>
        <v/>
      </c>
    </row>
    <row r="3619">
      <c r="A3619" s="19" t="inlineStr">
        <is>
          <t>FY27</t>
        </is>
      </c>
      <c r="B3619" s="19" t="inlineStr">
        <is>
          <t>Aug</t>
        </is>
      </c>
      <c r="C3619" s="19" t="inlineStr">
        <is>
          <t>TN</t>
        </is>
      </c>
      <c r="D3619" s="20" t="inlineStr">
        <is>
          <t>TN09CW8572</t>
        </is>
      </c>
      <c r="E3619" s="20" t="inlineStr">
        <is>
          <t>TATA</t>
        </is>
      </c>
      <c r="F3619" s="20" t="inlineStr">
        <is>
          <t>Altroz</t>
        </is>
      </c>
      <c r="G3619" s="21" t="n">
        <v>2021</v>
      </c>
      <c r="H3619" s="22" t="n">
        <v>58176</v>
      </c>
      <c r="I3619" s="23" t="n">
        <v>430000</v>
      </c>
      <c r="J3619" s="20" t="inlineStr">
        <is>
          <t>CASTLE TRADERS Maruti</t>
        </is>
      </c>
      <c r="K3619" s="20" t="inlineStr">
        <is>
          <t>Non-Captive</t>
        </is>
      </c>
      <c r="L3619" s="20" t="inlineStr">
        <is>
          <t>GRID 33</t>
        </is>
      </c>
      <c r="M3619" s="23" t="n">
        <v>8474.58</v>
      </c>
      <c r="N3619" s="23" t="n">
        <v>10000</v>
      </c>
      <c r="O3619" s="24">
        <f>IF(AND(ISNUMBER(M3619), ISNUMBER(I3619), I3619&gt;0), M3619/I3619, "")</f>
        <v/>
      </c>
    </row>
    <row r="3620">
      <c r="A3620" s="19" t="inlineStr">
        <is>
          <t>FY27</t>
        </is>
      </c>
      <c r="B3620" s="19" t="inlineStr">
        <is>
          <t>Aug</t>
        </is>
      </c>
      <c r="C3620" s="19" t="inlineStr">
        <is>
          <t>TN</t>
        </is>
      </c>
      <c r="D3620" s="20" t="inlineStr">
        <is>
          <t>TN07CU7279</t>
        </is>
      </c>
      <c r="E3620" s="20" t="inlineStr">
        <is>
          <t>MARUTI SUZUKI</t>
        </is>
      </c>
      <c r="F3620" s="20" t="inlineStr">
        <is>
          <t>Alto 800</t>
        </is>
      </c>
      <c r="G3620" s="21" t="n">
        <v>2019</v>
      </c>
      <c r="H3620" s="22" t="n">
        <v>57891</v>
      </c>
      <c r="I3620" s="23" t="n">
        <v>240000</v>
      </c>
      <c r="J3620" s="20" t="inlineStr">
        <is>
          <t>EXCHANGE CHENNAI</t>
        </is>
      </c>
      <c r="K3620" s="20" t="inlineStr">
        <is>
          <t>Captive</t>
        </is>
      </c>
      <c r="L3620" s="20" t="inlineStr">
        <is>
          <t>Senthil Cars</t>
        </is>
      </c>
      <c r="M3620" s="23" t="n">
        <v>6355.93</v>
      </c>
      <c r="N3620" s="23" t="n">
        <v>7500</v>
      </c>
      <c r="O3620" s="24">
        <f>IF(AND(ISNUMBER(M3620), ISNUMBER(I3620), I3620&gt;0), M3620/I3620, "")</f>
        <v/>
      </c>
    </row>
    <row r="3621">
      <c r="A3621" s="19" t="inlineStr">
        <is>
          <t>FY27</t>
        </is>
      </c>
      <c r="B3621" s="19" t="inlineStr">
        <is>
          <t>Aug</t>
        </is>
      </c>
      <c r="C3621" s="19" t="inlineStr">
        <is>
          <t>TN</t>
        </is>
      </c>
      <c r="D3621" s="20" t="inlineStr">
        <is>
          <t>TN11AC2997</t>
        </is>
      </c>
      <c r="E3621" s="20" t="inlineStr">
        <is>
          <t>MARUTI SUZUKI</t>
        </is>
      </c>
      <c r="F3621" s="20" t="inlineStr">
        <is>
          <t>Alto 800</t>
        </is>
      </c>
      <c r="G3621" s="21" t="n">
        <v>2017</v>
      </c>
      <c r="H3621" s="22" t="n">
        <v>64587</v>
      </c>
      <c r="I3621" s="23" t="n">
        <v>165000</v>
      </c>
      <c r="J3621" s="20" t="inlineStr">
        <is>
          <t>CASTLE TRADERS Maruti</t>
        </is>
      </c>
      <c r="K3621" s="20" t="inlineStr">
        <is>
          <t>Non-Captive</t>
        </is>
      </c>
      <c r="L3621" s="20" t="inlineStr">
        <is>
          <t>Senthil Cars</t>
        </is>
      </c>
      <c r="M3621" s="23" t="n">
        <v>5084.75</v>
      </c>
      <c r="N3621" s="23" t="n">
        <v>6000</v>
      </c>
      <c r="O3621" s="24">
        <f>IF(AND(ISNUMBER(M3621), ISNUMBER(I3621), I3621&gt;0), M3621/I3621, "")</f>
        <v/>
      </c>
    </row>
    <row r="3622">
      <c r="A3622" s="19" t="inlineStr">
        <is>
          <t>FY27</t>
        </is>
      </c>
      <c r="B3622" s="19" t="inlineStr">
        <is>
          <t>Aug</t>
        </is>
      </c>
      <c r="C3622" s="19" t="inlineStr">
        <is>
          <t>TN</t>
        </is>
      </c>
      <c r="D3622" s="20" t="inlineStr">
        <is>
          <t>TN18AW3240</t>
        </is>
      </c>
      <c r="E3622" s="20" t="inlineStr">
        <is>
          <t>HONDA</t>
        </is>
      </c>
      <c r="F3622" s="20" t="inlineStr">
        <is>
          <t>Brv</t>
        </is>
      </c>
      <c r="G3622" s="21" t="n">
        <v>2019</v>
      </c>
      <c r="H3622" s="22" t="n">
        <v>54571</v>
      </c>
      <c r="I3622" s="23" t="n">
        <v>620000</v>
      </c>
      <c r="J3622" s="20" t="inlineStr">
        <is>
          <t>CASTLE TRADERS Maruti</t>
        </is>
      </c>
      <c r="K3622" s="20" t="inlineStr">
        <is>
          <t>Non-Captive</t>
        </is>
      </c>
      <c r="L3622" s="20" t="inlineStr">
        <is>
          <t>PINE AUTOS</t>
        </is>
      </c>
      <c r="M3622" s="23" t="n">
        <v>8474.58</v>
      </c>
      <c r="N3622" s="23" t="n">
        <v>10000</v>
      </c>
      <c r="O3622" s="24">
        <f>IF(AND(ISNUMBER(M3622), ISNUMBER(I3622), I3622&gt;0), M3622/I3622, "")</f>
        <v/>
      </c>
    </row>
    <row r="3623">
      <c r="A3623" s="19" t="inlineStr">
        <is>
          <t>FY27</t>
        </is>
      </c>
      <c r="B3623" s="19" t="inlineStr">
        <is>
          <t>Aug</t>
        </is>
      </c>
      <c r="C3623" s="19" t="inlineStr">
        <is>
          <t>TN</t>
        </is>
      </c>
      <c r="D3623" s="20" t="inlineStr">
        <is>
          <t>TN09DC9343</t>
        </is>
      </c>
      <c r="E3623" s="20" t="inlineStr">
        <is>
          <t>HONDA</t>
        </is>
      </c>
      <c r="F3623" s="20" t="inlineStr">
        <is>
          <t>Amaze</t>
        </is>
      </c>
      <c r="G3623" s="21" t="n">
        <v>2023</v>
      </c>
      <c r="H3623" s="22" t="n">
        <v>29114</v>
      </c>
      <c r="I3623" s="23" t="n">
        <v>1300000</v>
      </c>
      <c r="J3623" s="20" t="inlineStr">
        <is>
          <t>NIRMAL</t>
        </is>
      </c>
      <c r="K3623" s="20" t="inlineStr">
        <is>
          <t>Non-Captive</t>
        </is>
      </c>
      <c r="L3623" s="20" t="inlineStr">
        <is>
          <t>LANSON QCARS PRIVATE LIMITED</t>
        </is>
      </c>
      <c r="M3623" s="23" t="n">
        <v>8474.58</v>
      </c>
      <c r="N3623" s="23" t="n">
        <v>10000</v>
      </c>
      <c r="O3623" s="24">
        <f>IF(AND(ISNUMBER(M3623), ISNUMBER(I3623), I3623&gt;0), M3623/I3623, "")</f>
        <v/>
      </c>
    </row>
    <row r="3624">
      <c r="A3624" s="19" t="inlineStr">
        <is>
          <t>FY27</t>
        </is>
      </c>
      <c r="B3624" s="19" t="inlineStr">
        <is>
          <t>Aug</t>
        </is>
      </c>
      <c r="C3624" s="19" t="inlineStr">
        <is>
          <t>TN</t>
        </is>
      </c>
      <c r="D3624" s="20" t="inlineStr">
        <is>
          <t>TN70K7943</t>
        </is>
      </c>
      <c r="E3624" s="20" t="inlineStr">
        <is>
          <t>MARUTI SUZUKI</t>
        </is>
      </c>
      <c r="F3624" s="20" t="inlineStr">
        <is>
          <t>Swift</t>
        </is>
      </c>
      <c r="G3624" s="21" t="n">
        <v>2013</v>
      </c>
      <c r="H3624" s="22" t="n">
        <v>130813</v>
      </c>
      <c r="I3624" s="23" t="n">
        <v>180000</v>
      </c>
      <c r="J3624" s="20" t="inlineStr">
        <is>
          <t>NIRMAL</t>
        </is>
      </c>
      <c r="K3624" s="20" t="inlineStr">
        <is>
          <t>Non-Captive</t>
        </is>
      </c>
      <c r="L3624" s="20" t="inlineStr">
        <is>
          <t>Maruthi Industries</t>
        </is>
      </c>
      <c r="M3624" s="23" t="n">
        <v>5084.75</v>
      </c>
      <c r="N3624" s="23" t="n">
        <v>6000</v>
      </c>
      <c r="O3624" s="24">
        <f>IF(AND(ISNUMBER(M3624), ISNUMBER(I3624), I3624&gt;0), M3624/I3624, "")</f>
        <v/>
      </c>
    </row>
    <row r="3625">
      <c r="A3625" s="19" t="inlineStr">
        <is>
          <t>FY27</t>
        </is>
      </c>
      <c r="B3625" s="19" t="inlineStr">
        <is>
          <t>Aug</t>
        </is>
      </c>
      <c r="C3625" s="19" t="inlineStr">
        <is>
          <t>TN</t>
        </is>
      </c>
      <c r="D3625" s="20" t="inlineStr">
        <is>
          <t>TN70F9594</t>
        </is>
      </c>
      <c r="E3625" s="20" t="inlineStr">
        <is>
          <t>HYUNDAI</t>
        </is>
      </c>
      <c r="F3625" s="20" t="inlineStr">
        <is>
          <t>Eon</t>
        </is>
      </c>
      <c r="G3625" s="21" t="n">
        <v>2012</v>
      </c>
      <c r="H3625" s="22" t="n">
        <v>104464</v>
      </c>
      <c r="I3625" s="23" t="n">
        <v>95000</v>
      </c>
      <c r="J3625" s="20" t="inlineStr">
        <is>
          <t>PRODUCTIVITY ELEMENTS PRIVATE LIMITED</t>
        </is>
      </c>
      <c r="K3625" s="20" t="inlineStr">
        <is>
          <t>Non-Captive</t>
        </is>
      </c>
      <c r="L3625" s="20" t="inlineStr">
        <is>
          <t>Thiyagarajan Raja Cars</t>
        </is>
      </c>
      <c r="M3625" s="23" t="n">
        <v>2542.37</v>
      </c>
      <c r="N3625" s="23" t="n">
        <v>3000</v>
      </c>
      <c r="O3625" s="24">
        <f>IF(AND(ISNUMBER(M3625), ISNUMBER(I3625), I3625&gt;0), M3625/I3625, "")</f>
        <v/>
      </c>
    </row>
    <row r="3626">
      <c r="A3626" s="19" t="inlineStr">
        <is>
          <t>FY27</t>
        </is>
      </c>
      <c r="B3626" s="19" t="inlineStr">
        <is>
          <t>Aug</t>
        </is>
      </c>
      <c r="C3626" s="19" t="inlineStr">
        <is>
          <t>TN</t>
        </is>
      </c>
      <c r="D3626" s="20" t="inlineStr">
        <is>
          <t>TN14C5436</t>
        </is>
      </c>
      <c r="E3626" s="20" t="inlineStr">
        <is>
          <t>TATA</t>
        </is>
      </c>
      <c r="F3626" s="20" t="inlineStr">
        <is>
          <t>Indica</t>
        </is>
      </c>
      <c r="G3626" s="21" t="n">
        <v>2015</v>
      </c>
      <c r="H3626" s="22" t="n">
        <v>74878</v>
      </c>
      <c r="I3626" s="23" t="n">
        <v>99000</v>
      </c>
      <c r="J3626" s="20" t="inlineStr">
        <is>
          <t>Lakshmi Tata</t>
        </is>
      </c>
      <c r="K3626" s="20" t="inlineStr">
        <is>
          <t>Non-Captive</t>
        </is>
      </c>
      <c r="L3626" s="20" t="inlineStr">
        <is>
          <t>Thiyagarajan Raja Cars</t>
        </is>
      </c>
      <c r="M3626" s="23" t="n">
        <v>2542.37</v>
      </c>
      <c r="N3626" s="23" t="n">
        <v>3000</v>
      </c>
      <c r="O3626" s="24">
        <f>IF(AND(ISNUMBER(M3626), ISNUMBER(I3626), I3626&gt;0), M3626/I3626, "")</f>
        <v/>
      </c>
    </row>
    <row r="3627">
      <c r="A3627" s="19" t="inlineStr">
        <is>
          <t>FY27</t>
        </is>
      </c>
      <c r="B3627" s="19" t="inlineStr">
        <is>
          <t>Aug</t>
        </is>
      </c>
      <c r="C3627" s="19" t="inlineStr">
        <is>
          <t>TN</t>
        </is>
      </c>
      <c r="D3627" s="20" t="inlineStr">
        <is>
          <t>TN09CA7536</t>
        </is>
      </c>
      <c r="E3627" s="20" t="inlineStr">
        <is>
          <t>MARUTI SUZUKI</t>
        </is>
      </c>
      <c r="F3627" s="20" t="inlineStr">
        <is>
          <t>Swift</t>
        </is>
      </c>
      <c r="G3627" s="21" t="n">
        <v>2015</v>
      </c>
      <c r="H3627" s="22" t="n">
        <v>108898</v>
      </c>
      <c r="I3627" s="23" t="n">
        <v>99000</v>
      </c>
      <c r="J3627" s="20" t="inlineStr">
        <is>
          <t>CARS INDIA</t>
        </is>
      </c>
      <c r="K3627" s="20" t="inlineStr">
        <is>
          <t>Non-Captive</t>
        </is>
      </c>
      <c r="L3627" s="20" t="inlineStr">
        <is>
          <t>GRID 33</t>
        </is>
      </c>
      <c r="M3627" s="23" t="n">
        <v>4237.29</v>
      </c>
      <c r="N3627" s="23" t="n">
        <v>5000</v>
      </c>
      <c r="O3627" s="24">
        <f>IF(AND(ISNUMBER(M3627), ISNUMBER(I3627), I3627&gt;0), M3627/I3627, "")</f>
        <v/>
      </c>
    </row>
    <row r="3628">
      <c r="A3628" s="19" t="inlineStr">
        <is>
          <t>FY27</t>
        </is>
      </c>
      <c r="B3628" s="19" t="inlineStr">
        <is>
          <t>Aug</t>
        </is>
      </c>
      <c r="C3628" s="19" t="inlineStr">
        <is>
          <t>TN</t>
        </is>
      </c>
      <c r="D3628" s="20" t="inlineStr">
        <is>
          <t>TN11B8326</t>
        </is>
      </c>
      <c r="E3628" s="20" t="inlineStr">
        <is>
          <t>HYUNDAI</t>
        </is>
      </c>
      <c r="F3628" s="20" t="inlineStr">
        <is>
          <t>Eon</t>
        </is>
      </c>
      <c r="G3628" s="21" t="n">
        <v>2013</v>
      </c>
      <c r="H3628" s="22" t="n">
        <v>104464</v>
      </c>
      <c r="I3628" s="23" t="n">
        <v>95000</v>
      </c>
      <c r="J3628" s="20" t="inlineStr">
        <is>
          <t>FPL AUTOMOBILES PRIVATE LIMITED</t>
        </is>
      </c>
      <c r="K3628" s="20" t="inlineStr">
        <is>
          <t>Non-Captive</t>
        </is>
      </c>
      <c r="L3628" s="20" t="inlineStr">
        <is>
          <t>NIRMAL CARS</t>
        </is>
      </c>
      <c r="M3628" s="23" t="n">
        <v>2542.37</v>
      </c>
      <c r="N3628" s="23" t="n">
        <v>3000</v>
      </c>
      <c r="O3628" s="24">
        <f>IF(AND(ISNUMBER(M3628), ISNUMBER(I3628), I3628&gt;0), M3628/I3628, "")</f>
        <v/>
      </c>
    </row>
    <row r="3629">
      <c r="A3629" s="19" t="inlineStr">
        <is>
          <t>FY27</t>
        </is>
      </c>
      <c r="B3629" s="19" t="inlineStr">
        <is>
          <t>Aug</t>
        </is>
      </c>
      <c r="C3629" s="19" t="inlineStr">
        <is>
          <t>TN</t>
        </is>
      </c>
      <c r="D3629" s="20" t="inlineStr">
        <is>
          <t>TN02BD0560</t>
        </is>
      </c>
      <c r="E3629" s="20" t="inlineStr">
        <is>
          <t>MARUTI SUZUKI</t>
        </is>
      </c>
      <c r="F3629" s="20" t="inlineStr">
        <is>
          <t>Celerio</t>
        </is>
      </c>
      <c r="G3629" s="21" t="n">
        <v>2015</v>
      </c>
      <c r="H3629" s="22" t="n">
        <v>42199</v>
      </c>
      <c r="I3629" s="23" t="n">
        <v>97000</v>
      </c>
      <c r="J3629" s="20" t="inlineStr">
        <is>
          <t>CARS INDIA</t>
        </is>
      </c>
      <c r="K3629" s="20" t="inlineStr">
        <is>
          <t>Non-Captive</t>
        </is>
      </c>
      <c r="L3629" s="20" t="inlineStr">
        <is>
          <t>GRID 33</t>
        </is>
      </c>
      <c r="M3629" s="23" t="n">
        <v>4237.29</v>
      </c>
      <c r="N3629" s="23" t="n">
        <v>5000</v>
      </c>
      <c r="O3629" s="24">
        <f>IF(AND(ISNUMBER(M3629), ISNUMBER(I3629), I3629&gt;0), M3629/I3629, "")</f>
        <v/>
      </c>
    </row>
    <row r="3630">
      <c r="A3630" s="19" t="inlineStr">
        <is>
          <t>FY27</t>
        </is>
      </c>
      <c r="B3630" s="19" t="inlineStr">
        <is>
          <t>Aug</t>
        </is>
      </c>
      <c r="C3630" s="19" t="inlineStr">
        <is>
          <t>TN</t>
        </is>
      </c>
      <c r="D3630" s="20" t="inlineStr">
        <is>
          <t>TN02AY7459</t>
        </is>
      </c>
      <c r="E3630" s="20" t="inlineStr">
        <is>
          <t>HYUNDAI</t>
        </is>
      </c>
      <c r="F3630" s="20" t="inlineStr">
        <is>
          <t>Grand I10</t>
        </is>
      </c>
      <c r="G3630" s="21" t="n">
        <v>2013</v>
      </c>
      <c r="H3630" s="22" t="n">
        <v>113041</v>
      </c>
      <c r="I3630" s="23" t="n">
        <v>174500</v>
      </c>
      <c r="J3630" s="20" t="inlineStr">
        <is>
          <t>CAR HUB</t>
        </is>
      </c>
      <c r="K3630" s="20" t="inlineStr">
        <is>
          <t>Non-Captive</t>
        </is>
      </c>
      <c r="L3630" s="20" t="inlineStr">
        <is>
          <t>CARS24</t>
        </is>
      </c>
      <c r="M3630" s="23" t="n">
        <v>5084.75</v>
      </c>
      <c r="N3630" s="23" t="n">
        <v>6000</v>
      </c>
      <c r="O3630" s="24">
        <f>IF(AND(ISNUMBER(M3630), ISNUMBER(I3630), I3630&gt;0), M3630/I3630, "")</f>
        <v/>
      </c>
    </row>
    <row r="3631">
      <c r="A3631" s="19" t="inlineStr">
        <is>
          <t>FY27</t>
        </is>
      </c>
      <c r="B3631" s="19" t="inlineStr">
        <is>
          <t>Aug</t>
        </is>
      </c>
      <c r="C3631" s="19" t="inlineStr">
        <is>
          <t>TN</t>
        </is>
      </c>
      <c r="D3631" s="20" t="inlineStr">
        <is>
          <t>TN47AF5665</t>
        </is>
      </c>
      <c r="E3631" s="20" t="inlineStr">
        <is>
          <t>HONDA</t>
        </is>
      </c>
      <c r="F3631" s="20" t="inlineStr">
        <is>
          <t>Mobilio</t>
        </is>
      </c>
      <c r="G3631" s="21" t="n">
        <v>2014</v>
      </c>
      <c r="H3631" s="22" t="n">
        <v>121198</v>
      </c>
      <c r="I3631" s="23" t="n">
        <v>310000</v>
      </c>
      <c r="J3631" s="20" t="inlineStr">
        <is>
          <t>EXCHANGE ROTN</t>
        </is>
      </c>
      <c r="K3631" s="20" t="inlineStr">
        <is>
          <t>Captive</t>
        </is>
      </c>
      <c r="L3631" s="20" t="inlineStr">
        <is>
          <t>SIVASHANKAR CARS</t>
        </is>
      </c>
      <c r="M3631" s="23" t="n">
        <v>8474.58</v>
      </c>
      <c r="N3631" s="23" t="n">
        <v>10000</v>
      </c>
      <c r="O3631" s="24">
        <f>IF(AND(ISNUMBER(M3631), ISNUMBER(I3631), I3631&gt;0), M3631/I3631, "")</f>
        <v/>
      </c>
    </row>
    <row r="3632">
      <c r="A3632" s="19" t="inlineStr">
        <is>
          <t>FY27</t>
        </is>
      </c>
      <c r="B3632" s="19" t="inlineStr">
        <is>
          <t>Aug</t>
        </is>
      </c>
      <c r="C3632" s="19" t="inlineStr">
        <is>
          <t>TN</t>
        </is>
      </c>
      <c r="D3632" s="20" t="inlineStr">
        <is>
          <t>TN48Q5657</t>
        </is>
      </c>
      <c r="E3632" s="20" t="inlineStr">
        <is>
          <t>FORD</t>
        </is>
      </c>
      <c r="F3632" s="20" t="inlineStr">
        <is>
          <t>Figo</t>
        </is>
      </c>
      <c r="G3632" s="21" t="n">
        <v>2010</v>
      </c>
      <c r="H3632" s="22" t="n">
        <v>113098</v>
      </c>
      <c r="I3632" s="23" t="n">
        <v>125000</v>
      </c>
      <c r="J3632" s="20" t="inlineStr">
        <is>
          <t>EXCHANGE ROTN</t>
        </is>
      </c>
      <c r="K3632" s="20" t="inlineStr">
        <is>
          <t>Captive</t>
        </is>
      </c>
      <c r="L3632" s="20" t="inlineStr">
        <is>
          <t>SIVASHANKAR CARS</t>
        </is>
      </c>
      <c r="M3632" s="23" t="n">
        <v>8474.58</v>
      </c>
      <c r="N3632" s="23" t="n">
        <v>10000</v>
      </c>
      <c r="O3632" s="24">
        <f>IF(AND(ISNUMBER(M3632), ISNUMBER(I3632), I3632&gt;0), M3632/I3632, "")</f>
        <v/>
      </c>
    </row>
    <row r="3633">
      <c r="A3633" s="19" t="inlineStr">
        <is>
          <t>FY27</t>
        </is>
      </c>
      <c r="B3633" s="19" t="inlineStr">
        <is>
          <t>Aug</t>
        </is>
      </c>
      <c r="C3633" s="19" t="inlineStr">
        <is>
          <t>TN</t>
        </is>
      </c>
      <c r="D3633" s="20" t="inlineStr">
        <is>
          <t>TN47AD5799</t>
        </is>
      </c>
      <c r="E3633" s="20" t="inlineStr">
        <is>
          <t>TATA</t>
        </is>
      </c>
      <c r="F3633" s="20" t="inlineStr">
        <is>
          <t>Manza</t>
        </is>
      </c>
      <c r="G3633" s="21" t="n">
        <v>2013</v>
      </c>
      <c r="H3633" s="22" t="n">
        <v>94577</v>
      </c>
      <c r="I3633" s="23" t="n">
        <v>175000</v>
      </c>
      <c r="J3633" s="20" t="inlineStr">
        <is>
          <t>EXCHANGE ROTN</t>
        </is>
      </c>
      <c r="K3633" s="20" t="inlineStr">
        <is>
          <t>Captive</t>
        </is>
      </c>
      <c r="L3633" s="20" t="inlineStr">
        <is>
          <t>SIVASHANKAR CARS</t>
        </is>
      </c>
      <c r="M3633" s="23" t="n">
        <v>8474.58</v>
      </c>
      <c r="N3633" s="23" t="n">
        <v>10000</v>
      </c>
      <c r="O3633" s="24">
        <f>IF(AND(ISNUMBER(M3633), ISNUMBER(I3633), I3633&gt;0), M3633/I3633, "")</f>
        <v/>
      </c>
    </row>
    <row r="3634">
      <c r="A3634" s="19" t="inlineStr">
        <is>
          <t>FY27</t>
        </is>
      </c>
      <c r="B3634" s="19" t="inlineStr">
        <is>
          <t>Aug</t>
        </is>
      </c>
      <c r="C3634" s="19" t="inlineStr">
        <is>
          <t>TN</t>
        </is>
      </c>
      <c r="D3634" s="20" t="inlineStr">
        <is>
          <t>TN66R7117</t>
        </is>
      </c>
      <c r="E3634" s="20" t="inlineStr">
        <is>
          <t>HONDA</t>
        </is>
      </c>
      <c r="F3634" s="20" t="inlineStr">
        <is>
          <t>City</t>
        </is>
      </c>
      <c r="G3634" s="21" t="n">
        <v>2016</v>
      </c>
      <c r="H3634" s="22" t="n">
        <v>86891</v>
      </c>
      <c r="I3634" s="23" t="n">
        <v>535000</v>
      </c>
      <c r="J3634" s="20" t="inlineStr">
        <is>
          <t>EXCHANGE ROTN</t>
        </is>
      </c>
      <c r="K3634" s="20" t="inlineStr">
        <is>
          <t>Captive</t>
        </is>
      </c>
      <c r="L3634" s="20" t="inlineStr">
        <is>
          <t>DEERAA CARS</t>
        </is>
      </c>
      <c r="M3634" s="23" t="n">
        <v>21186.44</v>
      </c>
      <c r="N3634" s="23" t="n">
        <v>25000</v>
      </c>
      <c r="O3634" s="24">
        <f>IF(AND(ISNUMBER(M3634), ISNUMBER(I3634), I3634&gt;0), M3634/I3634, "")</f>
        <v/>
      </c>
    </row>
    <row r="3635">
      <c r="A3635" s="19" t="inlineStr">
        <is>
          <t>FY27</t>
        </is>
      </c>
      <c r="B3635" s="19" t="inlineStr">
        <is>
          <t>Aug</t>
        </is>
      </c>
      <c r="C3635" s="19" t="inlineStr">
        <is>
          <t>TN</t>
        </is>
      </c>
      <c r="D3635" s="20" t="inlineStr">
        <is>
          <t>TN66S6219</t>
        </is>
      </c>
      <c r="E3635" s="20" t="inlineStr">
        <is>
          <t>HONDA</t>
        </is>
      </c>
      <c r="F3635" s="20" t="inlineStr">
        <is>
          <t>Jazz</t>
        </is>
      </c>
      <c r="G3635" s="21" t="n">
        <v>2016</v>
      </c>
      <c r="H3635" s="22" t="n">
        <v>96666</v>
      </c>
      <c r="I3635" s="23" t="n">
        <v>370000</v>
      </c>
      <c r="J3635" s="20" t="inlineStr">
        <is>
          <t>EXCHANGE ROTN</t>
        </is>
      </c>
      <c r="K3635" s="20" t="inlineStr">
        <is>
          <t>Captive</t>
        </is>
      </c>
      <c r="L3635" s="20" t="inlineStr">
        <is>
          <t>SRI VIGNESH PRE OWNED CARS</t>
        </is>
      </c>
      <c r="M3635" s="23" t="n">
        <v>8474.58</v>
      </c>
      <c r="N3635" s="23" t="n">
        <v>10000</v>
      </c>
      <c r="O3635" s="24">
        <f>IF(AND(ISNUMBER(M3635), ISNUMBER(I3635), I3635&gt;0), M3635/I3635, "")</f>
        <v/>
      </c>
    </row>
    <row r="3636">
      <c r="A3636" s="19" t="inlineStr">
        <is>
          <t>FY27</t>
        </is>
      </c>
      <c r="B3636" s="19" t="inlineStr">
        <is>
          <t>Aug</t>
        </is>
      </c>
      <c r="C3636" s="19" t="inlineStr">
        <is>
          <t>TN</t>
        </is>
      </c>
      <c r="D3636" s="20" t="inlineStr">
        <is>
          <t>TN59AP9964</t>
        </is>
      </c>
      <c r="E3636" s="20" t="inlineStr">
        <is>
          <t>MARUTI SUZUKI</t>
        </is>
      </c>
      <c r="F3636" s="20" t="inlineStr">
        <is>
          <t>Swift</t>
        </is>
      </c>
      <c r="G3636" s="21" t="n">
        <v>2010</v>
      </c>
      <c r="H3636" s="22" t="n">
        <v>114146</v>
      </c>
      <c r="I3636" s="23" t="n">
        <v>180000</v>
      </c>
      <c r="J3636" s="20" t="inlineStr">
        <is>
          <t>EXCHANGE ROTN</t>
        </is>
      </c>
      <c r="K3636" s="20" t="inlineStr">
        <is>
          <t>Captive</t>
        </is>
      </c>
      <c r="L3636" s="20" t="inlineStr">
        <is>
          <t>AUTOMOTIVATORS</t>
        </is>
      </c>
      <c r="M3636" s="23" t="n">
        <v>8474.58</v>
      </c>
      <c r="N3636" s="23" t="n">
        <v>10000</v>
      </c>
      <c r="O3636" s="24">
        <f>IF(AND(ISNUMBER(M3636), ISNUMBER(I3636), I3636&gt;0), M3636/I3636, "")</f>
        <v/>
      </c>
    </row>
    <row r="3637">
      <c r="A3637" s="19" t="inlineStr">
        <is>
          <t>FY27</t>
        </is>
      </c>
      <c r="B3637" s="19" t="inlineStr">
        <is>
          <t>Aug</t>
        </is>
      </c>
      <c r="C3637" s="19" t="inlineStr">
        <is>
          <t>TN</t>
        </is>
      </c>
      <c r="D3637" s="20" t="inlineStr">
        <is>
          <t>TN03J1666</t>
        </is>
      </c>
      <c r="E3637" s="20" t="inlineStr">
        <is>
          <t>CHEVROLET</t>
        </is>
      </c>
      <c r="F3637" s="20" t="inlineStr">
        <is>
          <t>Beat</t>
        </is>
      </c>
      <c r="G3637" s="21" t="n">
        <v>2012</v>
      </c>
      <c r="H3637" s="22" t="n">
        <v>150000</v>
      </c>
      <c r="I3637" s="23" t="n">
        <v>50000</v>
      </c>
      <c r="J3637" s="20" t="inlineStr">
        <is>
          <t>PLA MOTORS</t>
        </is>
      </c>
      <c r="K3637" s="20" t="inlineStr">
        <is>
          <t>Non-Captive</t>
        </is>
      </c>
      <c r="L3637" s="20" t="inlineStr">
        <is>
          <t>GGEE Cars</t>
        </is>
      </c>
      <c r="M3637" s="23" t="n">
        <v>4237.29</v>
      </c>
      <c r="N3637" s="23" t="n">
        <v>5000</v>
      </c>
      <c r="O3637" s="24">
        <f>IF(AND(ISNUMBER(M3637), ISNUMBER(I3637), I3637&gt;0), M3637/I3637, "")</f>
        <v/>
      </c>
    </row>
    <row r="3638">
      <c r="A3638" s="19" t="inlineStr">
        <is>
          <t>FY27</t>
        </is>
      </c>
      <c r="B3638" s="19" t="inlineStr">
        <is>
          <t>Aug</t>
        </is>
      </c>
      <c r="C3638" s="19" t="inlineStr">
        <is>
          <t>TN</t>
        </is>
      </c>
      <c r="D3638" s="20" t="inlineStr">
        <is>
          <t>TN58AB9736</t>
        </is>
      </c>
      <c r="E3638" s="20" t="inlineStr">
        <is>
          <t>HYUNDAI</t>
        </is>
      </c>
      <c r="F3638" s="20" t="inlineStr">
        <is>
          <t>I10</t>
        </is>
      </c>
      <c r="G3638" s="21" t="n">
        <v>2012</v>
      </c>
      <c r="H3638" s="22" t="n">
        <v>229103</v>
      </c>
      <c r="I3638" s="23" t="n">
        <v>80000</v>
      </c>
      <c r="J3638" s="20" t="inlineStr">
        <is>
          <t>PLA MOTORS</t>
        </is>
      </c>
      <c r="K3638" s="20" t="inlineStr">
        <is>
          <t>Non-Captive</t>
        </is>
      </c>
      <c r="L3638" s="20" t="inlineStr">
        <is>
          <t>GGEE Cars</t>
        </is>
      </c>
      <c r="M3638" s="23" t="n">
        <v>4237.29</v>
      </c>
      <c r="N3638" s="23" t="n">
        <v>5000</v>
      </c>
      <c r="O3638" s="24">
        <f>IF(AND(ISNUMBER(M3638), ISNUMBER(I3638), I3638&gt;0), M3638/I3638, "")</f>
        <v/>
      </c>
    </row>
    <row r="3639">
      <c r="A3639" s="19" t="inlineStr">
        <is>
          <t>FY27</t>
        </is>
      </c>
      <c r="B3639" s="19" t="inlineStr">
        <is>
          <t>Aug</t>
        </is>
      </c>
      <c r="C3639" s="19" t="inlineStr">
        <is>
          <t>TN</t>
        </is>
      </c>
      <c r="D3639" s="20" t="inlineStr">
        <is>
          <t>TN34Z3785</t>
        </is>
      </c>
      <c r="E3639" s="20" t="inlineStr">
        <is>
          <t>MARUTI SUZUKI</t>
        </is>
      </c>
      <c r="F3639" s="20" t="inlineStr">
        <is>
          <t>Swift</t>
        </is>
      </c>
      <c r="G3639" s="21" t="n">
        <v>2017</v>
      </c>
      <c r="H3639" s="22" t="n">
        <v>100403</v>
      </c>
      <c r="I3639" s="23" t="n">
        <v>385000</v>
      </c>
      <c r="J3639" s="20" t="inlineStr">
        <is>
          <t>EXCHANGE ROTN</t>
        </is>
      </c>
      <c r="K3639" s="20" t="inlineStr">
        <is>
          <t>Captive</t>
        </is>
      </c>
      <c r="L3639" s="20" t="inlineStr">
        <is>
          <t>STALIN CARS</t>
        </is>
      </c>
      <c r="M3639" s="23" t="n">
        <v>12711.86</v>
      </c>
      <c r="N3639" s="23" t="n">
        <v>15000</v>
      </c>
      <c r="O3639" s="24">
        <f>IF(AND(ISNUMBER(M3639), ISNUMBER(I3639), I3639&gt;0), M3639/I3639, "")</f>
        <v/>
      </c>
    </row>
    <row r="3640">
      <c r="A3640" s="19" t="inlineStr">
        <is>
          <t>FY27</t>
        </is>
      </c>
      <c r="B3640" s="19" t="inlineStr">
        <is>
          <t>Aug</t>
        </is>
      </c>
      <c r="C3640" s="19" t="inlineStr">
        <is>
          <t>TN</t>
        </is>
      </c>
      <c r="D3640" s="20" t="inlineStr">
        <is>
          <t>TN22CU6177</t>
        </is>
      </c>
      <c r="E3640" s="20" t="inlineStr">
        <is>
          <t>TOYOTA</t>
        </is>
      </c>
      <c r="F3640" s="20" t="inlineStr">
        <is>
          <t>Etios</t>
        </is>
      </c>
      <c r="G3640" s="21" t="n">
        <v>2011</v>
      </c>
      <c r="H3640" s="22" t="n">
        <v>84713</v>
      </c>
      <c r="I3640" s="23" t="n">
        <v>200000</v>
      </c>
      <c r="J3640" s="20" t="inlineStr">
        <is>
          <t>EXCHANGE ROTN</t>
        </is>
      </c>
      <c r="K3640" s="20" t="inlineStr">
        <is>
          <t>Captive</t>
        </is>
      </c>
      <c r="L3640" s="20" t="inlineStr">
        <is>
          <t>PURUSOTHAMAN J CARS</t>
        </is>
      </c>
      <c r="M3640" s="23" t="n">
        <v>14406.78</v>
      </c>
      <c r="N3640" s="23" t="n">
        <v>17000</v>
      </c>
      <c r="O3640" s="24">
        <f>IF(AND(ISNUMBER(M3640), ISNUMBER(I3640), I3640&gt;0), M3640/I3640, "")</f>
        <v/>
      </c>
    </row>
    <row r="3641">
      <c r="A3641" s="19" t="inlineStr">
        <is>
          <t>FY27</t>
        </is>
      </c>
      <c r="B3641" s="19" t="inlineStr">
        <is>
          <t>Aug</t>
        </is>
      </c>
      <c r="C3641" s="19" t="inlineStr">
        <is>
          <t>TN</t>
        </is>
      </c>
      <c r="D3641" s="20" t="inlineStr">
        <is>
          <t>TN65H6916</t>
        </is>
      </c>
      <c r="E3641" s="20" t="inlineStr">
        <is>
          <t>MARUTI SUZUKI</t>
        </is>
      </c>
      <c r="F3641" s="20" t="inlineStr">
        <is>
          <t>Alto</t>
        </is>
      </c>
      <c r="G3641" s="21" t="n">
        <v>2007</v>
      </c>
      <c r="H3641" s="22" t="n">
        <v>118622</v>
      </c>
      <c r="I3641" s="23" t="n">
        <v>65000</v>
      </c>
      <c r="J3641" s="20" t="inlineStr">
        <is>
          <t>EXCHANGE ROTN</t>
        </is>
      </c>
      <c r="K3641" s="20" t="inlineStr">
        <is>
          <t>Captive</t>
        </is>
      </c>
      <c r="L3641" s="20" t="inlineStr">
        <is>
          <t>AUTOMOTIVATORS</t>
        </is>
      </c>
      <c r="M3641" s="23" t="n">
        <v>12711.86</v>
      </c>
      <c r="N3641" s="23" t="n">
        <v>15000</v>
      </c>
      <c r="O3641" s="24">
        <f>IF(AND(ISNUMBER(M3641), ISNUMBER(I3641), I3641&gt;0), M3641/I3641, "")</f>
        <v/>
      </c>
    </row>
    <row r="3642">
      <c r="A3642" s="19" t="inlineStr">
        <is>
          <t>FY27</t>
        </is>
      </c>
      <c r="B3642" s="19" t="inlineStr">
        <is>
          <t>Aug</t>
        </is>
      </c>
      <c r="C3642" s="19" t="inlineStr">
        <is>
          <t>TN</t>
        </is>
      </c>
      <c r="D3642" s="20" t="inlineStr">
        <is>
          <t>TN81D4167</t>
        </is>
      </c>
      <c r="E3642" s="20" t="inlineStr">
        <is>
          <t>MARUTI SUZUKI</t>
        </is>
      </c>
      <c r="F3642" s="20" t="inlineStr">
        <is>
          <t>Wagonr</t>
        </is>
      </c>
      <c r="G3642" s="21" t="n">
        <v>2018</v>
      </c>
      <c r="H3642" s="22" t="n">
        <v>40653</v>
      </c>
      <c r="I3642" s="23" t="n">
        <v>363000</v>
      </c>
      <c r="J3642" s="20" t="inlineStr">
        <is>
          <t>PLA MOTORS</t>
        </is>
      </c>
      <c r="K3642" s="20" t="inlineStr">
        <is>
          <t>Non-Captive</t>
        </is>
      </c>
      <c r="L3642" s="20" t="inlineStr">
        <is>
          <t>ASWIN CARS</t>
        </is>
      </c>
      <c r="M3642" s="23" t="n">
        <v>10169.49</v>
      </c>
      <c r="N3642" s="23" t="n">
        <v>12000</v>
      </c>
      <c r="O3642" s="24">
        <f>IF(AND(ISNUMBER(M3642), ISNUMBER(I3642), I3642&gt;0), M3642/I3642, "")</f>
        <v/>
      </c>
    </row>
    <row r="3643">
      <c r="A3643" s="19" t="inlineStr">
        <is>
          <t>FY27</t>
        </is>
      </c>
      <c r="B3643" s="19" t="inlineStr">
        <is>
          <t>Aug</t>
        </is>
      </c>
      <c r="C3643" s="19" t="inlineStr">
        <is>
          <t>TN</t>
        </is>
      </c>
      <c r="D3643" s="20" t="inlineStr">
        <is>
          <t>TN58AQ2835</t>
        </is>
      </c>
      <c r="E3643" s="20" t="inlineStr">
        <is>
          <t>VOLKSWAGEN</t>
        </is>
      </c>
      <c r="F3643" s="20" t="inlineStr">
        <is>
          <t>Polo</t>
        </is>
      </c>
      <c r="G3643" s="21" t="n">
        <v>2017</v>
      </c>
      <c r="H3643" s="22" t="n">
        <v>91353</v>
      </c>
      <c r="I3643" s="23" t="n">
        <v>355000</v>
      </c>
      <c r="J3643" s="20" t="inlineStr">
        <is>
          <t>EXCHANGE ROTN</t>
        </is>
      </c>
      <c r="K3643" s="20" t="inlineStr">
        <is>
          <t>Captive</t>
        </is>
      </c>
      <c r="L3643" s="20" t="inlineStr">
        <is>
          <t>Gokul Cars</t>
        </is>
      </c>
      <c r="M3643" s="23" t="n">
        <v>16949.15</v>
      </c>
      <c r="N3643" s="23" t="n">
        <v>20000</v>
      </c>
      <c r="O3643" s="24">
        <f>IF(AND(ISNUMBER(M3643), ISNUMBER(I3643), I3643&gt;0), M3643/I3643, "")</f>
        <v/>
      </c>
    </row>
    <row r="3644">
      <c r="A3644" s="19" t="inlineStr">
        <is>
          <t>FY27</t>
        </is>
      </c>
      <c r="B3644" s="19" t="inlineStr">
        <is>
          <t>Aug</t>
        </is>
      </c>
      <c r="C3644" s="19" t="inlineStr">
        <is>
          <t>TN</t>
        </is>
      </c>
      <c r="D3644" s="20" t="inlineStr">
        <is>
          <t>TN02AF7407</t>
        </is>
      </c>
      <c r="E3644" s="20" t="inlineStr">
        <is>
          <t>MARUTI SUZUKI</t>
        </is>
      </c>
      <c r="F3644" s="20" t="inlineStr">
        <is>
          <t>Alto</t>
        </is>
      </c>
      <c r="G3644" s="21" t="n">
        <v>2008</v>
      </c>
      <c r="H3644" s="22" t="n">
        <v>118920</v>
      </c>
      <c r="I3644" s="23" t="n">
        <v>70000</v>
      </c>
      <c r="J3644" s="20" t="inlineStr">
        <is>
          <t>SIVA AUTOMOTIVE TRADING PRIVATE LIMITED</t>
        </is>
      </c>
      <c r="K3644" s="20" t="inlineStr">
        <is>
          <t>Non-Captive</t>
        </is>
      </c>
      <c r="L3644" s="20" t="inlineStr">
        <is>
          <t>Gokul Cars</t>
        </is>
      </c>
      <c r="M3644" s="23" t="n">
        <v>4237.29</v>
      </c>
      <c r="N3644" s="23" t="n">
        <v>5000</v>
      </c>
      <c r="O3644" s="24">
        <f>IF(AND(ISNUMBER(M3644), ISNUMBER(I3644), I3644&gt;0), M3644/I3644, "")</f>
        <v/>
      </c>
    </row>
    <row r="3645">
      <c r="A3645" s="19" t="inlineStr">
        <is>
          <t>FY27</t>
        </is>
      </c>
      <c r="B3645" s="19" t="inlineStr">
        <is>
          <t>Aug</t>
        </is>
      </c>
      <c r="C3645" s="19" t="inlineStr">
        <is>
          <t>TN</t>
        </is>
      </c>
      <c r="D3645" s="20" t="inlineStr">
        <is>
          <t>TN33AY5758</t>
        </is>
      </c>
      <c r="E3645" s="20" t="inlineStr">
        <is>
          <t>MARUTI SUZUKI</t>
        </is>
      </c>
      <c r="F3645" s="20" t="inlineStr">
        <is>
          <t>Zen</t>
        </is>
      </c>
      <c r="G3645" s="21" t="n">
        <v>2005</v>
      </c>
      <c r="H3645" s="22" t="n">
        <v>229525</v>
      </c>
      <c r="I3645" s="23" t="n">
        <v>55000</v>
      </c>
      <c r="J3645" s="20" t="inlineStr">
        <is>
          <t>EXCHANGE ROTN</t>
        </is>
      </c>
      <c r="K3645" s="20" t="inlineStr">
        <is>
          <t>Captive</t>
        </is>
      </c>
      <c r="L3645" s="20" t="inlineStr">
        <is>
          <t>SIVASHANKAR CARS</t>
        </is>
      </c>
      <c r="M3645" s="23" t="n">
        <v>4237.29</v>
      </c>
      <c r="N3645" s="23" t="n">
        <v>5000</v>
      </c>
      <c r="O3645" s="24">
        <f>IF(AND(ISNUMBER(M3645), ISNUMBER(I3645), I3645&gt;0), M3645/I3645, "")</f>
        <v/>
      </c>
    </row>
    <row r="3646">
      <c r="A3646" s="19" t="inlineStr">
        <is>
          <t>FY27</t>
        </is>
      </c>
      <c r="B3646" s="19" t="inlineStr">
        <is>
          <t>Aug</t>
        </is>
      </c>
      <c r="C3646" s="19" t="inlineStr">
        <is>
          <t>TN</t>
        </is>
      </c>
      <c r="D3646" s="20" t="inlineStr">
        <is>
          <t>TN37DM5449</t>
        </is>
      </c>
      <c r="E3646" s="20" t="inlineStr">
        <is>
          <t>HYUNDAI</t>
        </is>
      </c>
      <c r="F3646" s="20" t="inlineStr">
        <is>
          <t>I20</t>
        </is>
      </c>
      <c r="G3646" s="21" t="n">
        <v>2022</v>
      </c>
      <c r="H3646" s="22" t="n">
        <v>40307</v>
      </c>
      <c r="I3646" s="23" t="n">
        <v>710000</v>
      </c>
      <c r="J3646" s="20" t="inlineStr">
        <is>
          <t>EXCHANGE ROTN</t>
        </is>
      </c>
      <c r="K3646" s="20" t="inlineStr">
        <is>
          <t>Captive</t>
        </is>
      </c>
      <c r="L3646" s="20" t="inlineStr">
        <is>
          <t>AUTO SOLUTION</t>
        </is>
      </c>
      <c r="M3646" s="23" t="n">
        <v>12711.86</v>
      </c>
      <c r="N3646" s="23" t="n">
        <v>15000</v>
      </c>
      <c r="O3646" s="24">
        <f>IF(AND(ISNUMBER(M3646), ISNUMBER(I3646), I3646&gt;0), M3646/I3646, "")</f>
        <v/>
      </c>
    </row>
    <row r="3647">
      <c r="A3647" s="19" t="inlineStr">
        <is>
          <t>FY27</t>
        </is>
      </c>
      <c r="B3647" s="19" t="inlineStr">
        <is>
          <t>Aug</t>
        </is>
      </c>
      <c r="C3647" s="19" t="inlineStr">
        <is>
          <t>TN</t>
        </is>
      </c>
      <c r="D3647" s="20" t="inlineStr">
        <is>
          <t>TN66AA5223</t>
        </is>
      </c>
      <c r="E3647" s="20" t="inlineStr">
        <is>
          <t>MARUTI SUZUKI</t>
        </is>
      </c>
      <c r="F3647" s="20" t="inlineStr">
        <is>
          <t>Alto K10</t>
        </is>
      </c>
      <c r="G3647" s="21" t="n">
        <v>2018</v>
      </c>
      <c r="H3647" s="22" t="n">
        <v>7581</v>
      </c>
      <c r="I3647" s="23" t="n">
        <v>295000</v>
      </c>
      <c r="J3647" s="20" t="inlineStr">
        <is>
          <t>EXCHANGE ROTN</t>
        </is>
      </c>
      <c r="K3647" s="20" t="inlineStr">
        <is>
          <t>Captive</t>
        </is>
      </c>
      <c r="L3647" s="20" t="inlineStr">
        <is>
          <t>YUGA DHEERAN CARS</t>
        </is>
      </c>
      <c r="M3647" s="23" t="n">
        <v>12711.86</v>
      </c>
      <c r="N3647" s="23" t="n">
        <v>15000</v>
      </c>
      <c r="O3647" s="24">
        <f>IF(AND(ISNUMBER(M3647), ISNUMBER(I3647), I3647&gt;0), M3647/I3647, "")</f>
        <v/>
      </c>
    </row>
    <row r="3648">
      <c r="A3648" s="19" t="inlineStr">
        <is>
          <t>FY27</t>
        </is>
      </c>
      <c r="B3648" s="19" t="inlineStr">
        <is>
          <t>Aug</t>
        </is>
      </c>
      <c r="C3648" s="19" t="inlineStr">
        <is>
          <t>TN</t>
        </is>
      </c>
      <c r="D3648" s="20" t="inlineStr">
        <is>
          <t>TN10AZ1852</t>
        </is>
      </c>
      <c r="E3648" s="20" t="inlineStr">
        <is>
          <t>MARUTI SUZUKI</t>
        </is>
      </c>
      <c r="F3648" s="20" t="inlineStr">
        <is>
          <t>Swiftdzire</t>
        </is>
      </c>
      <c r="G3648" s="21" t="n">
        <v>2017</v>
      </c>
      <c r="H3648" s="22" t="n">
        <v>87321</v>
      </c>
      <c r="I3648" s="23" t="n">
        <v>400000</v>
      </c>
      <c r="J3648" s="20" t="inlineStr">
        <is>
          <t>EXCHANGE CHENNAI</t>
        </is>
      </c>
      <c r="K3648" s="20" t="inlineStr">
        <is>
          <t>Captive</t>
        </is>
      </c>
      <c r="L3648" s="20" t="inlineStr">
        <is>
          <t>SANTHOSH CARS</t>
        </is>
      </c>
      <c r="M3648" s="23" t="n">
        <v>8474.58</v>
      </c>
      <c r="N3648" s="23" t="n">
        <v>10000</v>
      </c>
      <c r="O3648" s="24">
        <f>IF(AND(ISNUMBER(M3648), ISNUMBER(I3648), I3648&gt;0), M3648/I3648, "")</f>
        <v/>
      </c>
    </row>
    <row r="3649">
      <c r="A3649" s="19" t="inlineStr">
        <is>
          <t>FY27</t>
        </is>
      </c>
      <c r="B3649" s="19" t="inlineStr">
        <is>
          <t>Aug</t>
        </is>
      </c>
      <c r="C3649" s="19" t="inlineStr">
        <is>
          <t>TN</t>
        </is>
      </c>
      <c r="D3649" s="20" t="inlineStr">
        <is>
          <t>TN06M7432</t>
        </is>
      </c>
      <c r="E3649" s="20" t="inlineStr">
        <is>
          <t>HONDA</t>
        </is>
      </c>
      <c r="F3649" s="20" t="inlineStr">
        <is>
          <t>Brio</t>
        </is>
      </c>
      <c r="G3649" s="21" t="n">
        <v>2014</v>
      </c>
      <c r="H3649" s="22" t="n">
        <v>60913</v>
      </c>
      <c r="I3649" s="23" t="n">
        <v>260000</v>
      </c>
      <c r="J3649" s="20" t="inlineStr">
        <is>
          <t>EXCHANGE CHENNAI</t>
        </is>
      </c>
      <c r="K3649" s="20" t="inlineStr">
        <is>
          <t>Captive</t>
        </is>
      </c>
      <c r="L3649" s="20" t="inlineStr">
        <is>
          <t>NIRMAL CARS</t>
        </is>
      </c>
      <c r="M3649" s="23" t="n">
        <v>8474.58</v>
      </c>
      <c r="N3649" s="23" t="n">
        <v>10000</v>
      </c>
      <c r="O3649" s="24">
        <f>IF(AND(ISNUMBER(M3649), ISNUMBER(I3649), I3649&gt;0), M3649/I3649, "")</f>
        <v/>
      </c>
    </row>
    <row r="3650">
      <c r="A3650" s="19" t="inlineStr">
        <is>
          <t>FY27</t>
        </is>
      </c>
      <c r="B3650" s="19" t="inlineStr">
        <is>
          <t>Aug</t>
        </is>
      </c>
      <c r="C3650" s="19" t="inlineStr">
        <is>
          <t>TN</t>
        </is>
      </c>
      <c r="D3650" s="20" t="inlineStr">
        <is>
          <t>TN245859</t>
        </is>
      </c>
      <c r="E3650" s="20" t="inlineStr">
        <is>
          <t>HONDA</t>
        </is>
      </c>
      <c r="F3650" s="20" t="inlineStr">
        <is>
          <t>City</t>
        </is>
      </c>
      <c r="G3650" s="21" t="n">
        <v>2004</v>
      </c>
      <c r="H3650" s="22" t="n">
        <v>175296</v>
      </c>
      <c r="I3650" s="23" t="n">
        <v>50000</v>
      </c>
      <c r="J3650" s="20" t="inlineStr">
        <is>
          <t>EXCHANGE CHENNAI</t>
        </is>
      </c>
      <c r="K3650" s="20" t="inlineStr">
        <is>
          <t>Captive</t>
        </is>
      </c>
      <c r="L3650" s="20" t="inlineStr">
        <is>
          <t>SANTHOSH CARS</t>
        </is>
      </c>
      <c r="M3650" s="23" t="n">
        <v>8474.58</v>
      </c>
      <c r="N3650" s="23" t="n">
        <v>10000</v>
      </c>
      <c r="O3650" s="24">
        <f>IF(AND(ISNUMBER(M3650), ISNUMBER(I3650), I3650&gt;0), M3650/I3650, "")</f>
        <v/>
      </c>
    </row>
    <row r="3651">
      <c r="A3651" s="19" t="inlineStr">
        <is>
          <t>FY27</t>
        </is>
      </c>
      <c r="B3651" s="19" t="inlineStr">
        <is>
          <t>Aug</t>
        </is>
      </c>
      <c r="C3651" s="19" t="inlineStr">
        <is>
          <t>TN</t>
        </is>
      </c>
      <c r="D3651" s="20" t="inlineStr">
        <is>
          <t>TN02BW7340</t>
        </is>
      </c>
      <c r="E3651" s="20" t="inlineStr">
        <is>
          <t>MG</t>
        </is>
      </c>
      <c r="F3651" s="20" t="inlineStr">
        <is>
          <t>Astor</t>
        </is>
      </c>
      <c r="G3651" s="21" t="n">
        <v>2022</v>
      </c>
      <c r="H3651" s="22" t="n">
        <v>45290</v>
      </c>
      <c r="I3651" s="23" t="n">
        <v>625000</v>
      </c>
      <c r="J3651" s="20" t="inlineStr">
        <is>
          <t>EXCHANGE CHENNAI</t>
        </is>
      </c>
      <c r="K3651" s="20" t="inlineStr">
        <is>
          <t>Captive</t>
        </is>
      </c>
      <c r="L3651" s="20" t="inlineStr">
        <is>
          <t>NIRMAL CARS</t>
        </is>
      </c>
      <c r="M3651" s="23" t="n">
        <v>8474.58</v>
      </c>
      <c r="N3651" s="23" t="n">
        <v>10000</v>
      </c>
      <c r="O3651" s="24">
        <f>IF(AND(ISNUMBER(M3651), ISNUMBER(I3651), I3651&gt;0), M3651/I3651, "")</f>
        <v/>
      </c>
    </row>
    <row r="3652">
      <c r="A3652" s="19" t="inlineStr">
        <is>
          <t>FY27</t>
        </is>
      </c>
      <c r="B3652" s="19" t="inlineStr">
        <is>
          <t>Aug</t>
        </is>
      </c>
      <c r="C3652" s="19" t="inlineStr">
        <is>
          <t>TN</t>
        </is>
      </c>
      <c r="D3652" s="20" t="inlineStr">
        <is>
          <t>TN22DB1240</t>
        </is>
      </c>
      <c r="E3652" s="20" t="inlineStr">
        <is>
          <t>MAHINDRA</t>
        </is>
      </c>
      <c r="F3652" s="20" t="inlineStr">
        <is>
          <t>Bolero</t>
        </is>
      </c>
      <c r="G3652" s="21" t="n">
        <v>2015</v>
      </c>
      <c r="H3652" s="22" t="n">
        <v>146078</v>
      </c>
      <c r="I3652" s="23" t="n">
        <v>460000</v>
      </c>
      <c r="J3652" s="20" t="inlineStr">
        <is>
          <t>CASTLE TRADERS Mahindra)</t>
        </is>
      </c>
      <c r="K3652" s="20" t="inlineStr">
        <is>
          <t>Non-Captive</t>
        </is>
      </c>
      <c r="L3652" s="20" t="inlineStr">
        <is>
          <t>Senthur Cars</t>
        </is>
      </c>
      <c r="M3652" s="23" t="n">
        <v>7627.12</v>
      </c>
      <c r="N3652" s="23" t="n">
        <v>9000</v>
      </c>
      <c r="O3652" s="24">
        <f>IF(AND(ISNUMBER(M3652), ISNUMBER(I3652), I3652&gt;0), M3652/I3652, "")</f>
        <v/>
      </c>
    </row>
    <row r="3653">
      <c r="A3653" s="19" t="inlineStr">
        <is>
          <t>FY27</t>
        </is>
      </c>
      <c r="B3653" s="19" t="inlineStr">
        <is>
          <t>Aug</t>
        </is>
      </c>
      <c r="C3653" s="19" t="inlineStr">
        <is>
          <t>TN</t>
        </is>
      </c>
      <c r="D3653" s="20" t="inlineStr">
        <is>
          <t>TN01AP0756</t>
        </is>
      </c>
      <c r="E3653" s="20" t="inlineStr">
        <is>
          <t>VOLKSWAGEN</t>
        </is>
      </c>
      <c r="F3653" s="20" t="inlineStr">
        <is>
          <t>Vento</t>
        </is>
      </c>
      <c r="G3653" s="21" t="n">
        <v>2011</v>
      </c>
      <c r="H3653" s="22" t="n">
        <v>207976</v>
      </c>
      <c r="I3653" s="23" t="n">
        <v>136000</v>
      </c>
      <c r="J3653" s="20" t="inlineStr">
        <is>
          <t>BRAKES INDIA PRIVATE LIMITED</t>
        </is>
      </c>
      <c r="K3653" s="20" t="inlineStr">
        <is>
          <t>Non-Captive</t>
        </is>
      </c>
      <c r="L3653" s="20" t="inlineStr">
        <is>
          <t>SRI KARUPPAIYA CARS</t>
        </is>
      </c>
      <c r="M3653" s="23" t="n">
        <v>5084.75</v>
      </c>
      <c r="N3653" s="23" t="n">
        <v>6000</v>
      </c>
      <c r="O3653" s="24">
        <f>IF(AND(ISNUMBER(M3653), ISNUMBER(I3653), I3653&gt;0), M3653/I3653, "")</f>
        <v/>
      </c>
    </row>
    <row r="3654">
      <c r="A3654" s="19" t="inlineStr">
        <is>
          <t>FY27</t>
        </is>
      </c>
      <c r="B3654" s="19" t="inlineStr">
        <is>
          <t>Aug</t>
        </is>
      </c>
      <c r="C3654" s="19" t="inlineStr">
        <is>
          <t>TN</t>
        </is>
      </c>
      <c r="D3654" s="20" t="inlineStr">
        <is>
          <t>TN18D5536</t>
        </is>
      </c>
      <c r="E3654" s="20" t="inlineStr">
        <is>
          <t>HONDA</t>
        </is>
      </c>
      <c r="F3654" s="20" t="inlineStr">
        <is>
          <t>Civic</t>
        </is>
      </c>
      <c r="G3654" s="21" t="n">
        <v>2010</v>
      </c>
      <c r="H3654" s="22" t="n">
        <v>86800</v>
      </c>
      <c r="I3654" s="23" t="n">
        <v>98000</v>
      </c>
      <c r="J3654" s="20" t="inlineStr">
        <is>
          <t>Shree Thiya cars</t>
        </is>
      </c>
      <c r="K3654" s="20" t="inlineStr">
        <is>
          <t>Non-Captive</t>
        </is>
      </c>
      <c r="L3654" s="20" t="inlineStr">
        <is>
          <t>CARS24</t>
        </is>
      </c>
      <c r="M3654" s="23" t="n">
        <v>4237.29</v>
      </c>
      <c r="N3654" s="23" t="n">
        <v>5000</v>
      </c>
      <c r="O3654" s="24">
        <f>IF(AND(ISNUMBER(M3654), ISNUMBER(I3654), I3654&gt;0), M3654/I3654, "")</f>
        <v/>
      </c>
    </row>
    <row r="3655">
      <c r="A3655" s="19" t="inlineStr">
        <is>
          <t>FY27</t>
        </is>
      </c>
      <c r="B3655" s="19" t="inlineStr">
        <is>
          <t>Aug</t>
        </is>
      </c>
      <c r="C3655" s="19" t="inlineStr">
        <is>
          <t>TN</t>
        </is>
      </c>
      <c r="D3655" s="20" t="inlineStr">
        <is>
          <t>TN04AT9349</t>
        </is>
      </c>
      <c r="E3655" s="20" t="inlineStr">
        <is>
          <t>MAHINDRA</t>
        </is>
      </c>
      <c r="F3655" s="20" t="inlineStr">
        <is>
          <t>Kuv 100</t>
        </is>
      </c>
      <c r="G3655" s="21" t="n">
        <v>2018</v>
      </c>
      <c r="H3655" s="22" t="n">
        <v>125827</v>
      </c>
      <c r="I3655" s="23" t="n">
        <v>96000</v>
      </c>
      <c r="J3655" s="20" t="inlineStr">
        <is>
          <t>CARS INDIA</t>
        </is>
      </c>
      <c r="K3655" s="20" t="inlineStr">
        <is>
          <t>Non-Captive</t>
        </is>
      </c>
      <c r="L3655" s="20" t="inlineStr">
        <is>
          <t>GRID 33</t>
        </is>
      </c>
      <c r="M3655" s="23" t="n">
        <v>4237.29</v>
      </c>
      <c r="N3655" s="23" t="n">
        <v>5000</v>
      </c>
      <c r="O3655" s="24">
        <f>IF(AND(ISNUMBER(M3655), ISNUMBER(I3655), I3655&gt;0), M3655/I3655, "")</f>
        <v/>
      </c>
    </row>
    <row r="3656">
      <c r="A3656" s="19" t="inlineStr">
        <is>
          <t>FY27</t>
        </is>
      </c>
      <c r="B3656" s="19" t="inlineStr">
        <is>
          <t>Aug</t>
        </is>
      </c>
      <c r="C3656" s="19" t="inlineStr">
        <is>
          <t>TN</t>
        </is>
      </c>
      <c r="D3656" s="20" t="inlineStr">
        <is>
          <t>TN38BV1777</t>
        </is>
      </c>
      <c r="E3656" s="20" t="inlineStr">
        <is>
          <t>HYUNDAI</t>
        </is>
      </c>
      <c r="F3656" s="20" t="inlineStr">
        <is>
          <t>I10</t>
        </is>
      </c>
      <c r="G3656" s="21" t="n">
        <v>2013</v>
      </c>
      <c r="H3656" s="22" t="n">
        <v>75277</v>
      </c>
      <c r="I3656" s="23" t="n">
        <v>91000</v>
      </c>
      <c r="J3656" s="20" t="inlineStr">
        <is>
          <t>STEER AUTO TECHNOLOGIES PRIVATE LIMITED</t>
        </is>
      </c>
      <c r="K3656" s="20" t="inlineStr">
        <is>
          <t>Non-Captive</t>
        </is>
      </c>
      <c r="L3656" s="20" t="inlineStr">
        <is>
          <t>NIRMAL CARS</t>
        </is>
      </c>
      <c r="M3656" s="23" t="n">
        <v>2542.37</v>
      </c>
      <c r="N3656" s="23" t="n">
        <v>3000</v>
      </c>
      <c r="O3656" s="24">
        <f>IF(AND(ISNUMBER(M3656), ISNUMBER(I3656), I3656&gt;0), M3656/I3656, "")</f>
        <v/>
      </c>
    </row>
    <row r="3657">
      <c r="A3657" s="19" t="inlineStr">
        <is>
          <t>FY27</t>
        </is>
      </c>
      <c r="B3657" s="19" t="inlineStr">
        <is>
          <t>Aug</t>
        </is>
      </c>
      <c r="C3657" s="19" t="inlineStr">
        <is>
          <t>TN</t>
        </is>
      </c>
      <c r="D3657" s="20" t="inlineStr">
        <is>
          <t>TN19R0217</t>
        </is>
      </c>
      <c r="E3657" s="20" t="inlineStr">
        <is>
          <t>HYUNDAI</t>
        </is>
      </c>
      <c r="F3657" s="20" t="inlineStr">
        <is>
          <t>Eon</t>
        </is>
      </c>
      <c r="G3657" s="21" t="n">
        <v>2015</v>
      </c>
      <c r="H3657" s="22" t="n">
        <v>98476</v>
      </c>
      <c r="I3657" s="23" t="n">
        <v>98000</v>
      </c>
      <c r="J3657" s="20" t="inlineStr">
        <is>
          <t>CARS INDIA</t>
        </is>
      </c>
      <c r="K3657" s="20" t="inlineStr">
        <is>
          <t>Non-Captive</t>
        </is>
      </c>
      <c r="L3657" s="20" t="inlineStr">
        <is>
          <t>GRID 33</t>
        </is>
      </c>
      <c r="M3657" s="23" t="n">
        <v>4237.29</v>
      </c>
      <c r="N3657" s="23" t="n">
        <v>5000</v>
      </c>
      <c r="O3657" s="24">
        <f>IF(AND(ISNUMBER(M3657), ISNUMBER(I3657), I3657&gt;0), M3657/I3657, "")</f>
        <v/>
      </c>
    </row>
    <row r="3658">
      <c r="A3658" s="19" t="inlineStr">
        <is>
          <t>FY27</t>
        </is>
      </c>
      <c r="B3658" s="19" t="inlineStr">
        <is>
          <t>Aug</t>
        </is>
      </c>
      <c r="C3658" s="19" t="inlineStr">
        <is>
          <t>TN</t>
        </is>
      </c>
      <c r="D3658" s="20" t="inlineStr">
        <is>
          <t>TN37AL8966</t>
        </is>
      </c>
      <c r="E3658" s="20" t="inlineStr">
        <is>
          <t>HYUNDAI</t>
        </is>
      </c>
      <c r="F3658" s="20" t="inlineStr">
        <is>
          <t>Getz</t>
        </is>
      </c>
      <c r="G3658" s="21" t="n">
        <v>2005</v>
      </c>
      <c r="H3658" s="22" t="n">
        <v>48958</v>
      </c>
      <c r="I3658" s="23" t="n">
        <v>99000</v>
      </c>
      <c r="J3658" s="20" t="inlineStr">
        <is>
          <t>VISHNU CARS PRIVATE LIMITED</t>
        </is>
      </c>
      <c r="K3658" s="20" t="inlineStr">
        <is>
          <t>Non-Captive</t>
        </is>
      </c>
      <c r="L3658" s="20" t="inlineStr">
        <is>
          <t>CARS24</t>
        </is>
      </c>
      <c r="M3658" s="23" t="n">
        <v>4237.29</v>
      </c>
      <c r="N3658" s="23" t="n">
        <v>5000</v>
      </c>
      <c r="O3658" s="24">
        <f>IF(AND(ISNUMBER(M3658), ISNUMBER(I3658), I3658&gt;0), M3658/I3658, "")</f>
        <v/>
      </c>
    </row>
    <row r="3659">
      <c r="A3659" s="19" t="inlineStr">
        <is>
          <t>FY27</t>
        </is>
      </c>
      <c r="B3659" s="19" t="inlineStr">
        <is>
          <t>Aug</t>
        </is>
      </c>
      <c r="C3659" s="19" t="inlineStr">
        <is>
          <t>TN</t>
        </is>
      </c>
      <c r="D3659" s="20" t="inlineStr">
        <is>
          <t>TN07CX7211</t>
        </is>
      </c>
      <c r="E3659" s="20" t="inlineStr">
        <is>
          <t>MARUTI SUZUKI</t>
        </is>
      </c>
      <c r="F3659" s="20" t="inlineStr">
        <is>
          <t>Swift</t>
        </is>
      </c>
      <c r="G3659" s="21" t="n">
        <v>2021</v>
      </c>
      <c r="H3659" s="22" t="n">
        <v>60122</v>
      </c>
      <c r="I3659" s="23" t="n">
        <v>97000</v>
      </c>
      <c r="J3659" s="20" t="inlineStr">
        <is>
          <t>CARS INDIA</t>
        </is>
      </c>
      <c r="K3659" s="20" t="inlineStr">
        <is>
          <t>Non-Captive</t>
        </is>
      </c>
      <c r="L3659" s="20" t="inlineStr">
        <is>
          <t>GRID 33</t>
        </is>
      </c>
      <c r="M3659" s="23" t="n">
        <v>4237.29</v>
      </c>
      <c r="N3659" s="23" t="n">
        <v>5000</v>
      </c>
      <c r="O3659" s="24">
        <f>IF(AND(ISNUMBER(M3659), ISNUMBER(I3659), I3659&gt;0), M3659/I3659, "")</f>
        <v/>
      </c>
    </row>
    <row r="3660">
      <c r="A3660" s="19" t="inlineStr">
        <is>
          <t>FY27</t>
        </is>
      </c>
      <c r="B3660" s="19" t="inlineStr">
        <is>
          <t>Aug</t>
        </is>
      </c>
      <c r="C3660" s="19" t="inlineStr">
        <is>
          <t>TN</t>
        </is>
      </c>
      <c r="D3660" s="20" t="inlineStr">
        <is>
          <t>TN38BV4360</t>
        </is>
      </c>
      <c r="E3660" s="20" t="inlineStr">
        <is>
          <t>TATA</t>
        </is>
      </c>
      <c r="F3660" s="20" t="inlineStr">
        <is>
          <t>Nano</t>
        </is>
      </c>
      <c r="G3660" s="21" t="n">
        <v>2012</v>
      </c>
      <c r="H3660" s="22" t="n">
        <v>45895</v>
      </c>
      <c r="I3660" s="23" t="n">
        <v>89000</v>
      </c>
      <c r="J3660" s="20" t="inlineStr">
        <is>
          <t>POPULAR VEHICLES AND SERVICES LIMITED</t>
        </is>
      </c>
      <c r="K3660" s="20" t="inlineStr">
        <is>
          <t>Non-Captive</t>
        </is>
      </c>
      <c r="L3660" s="20" t="inlineStr">
        <is>
          <t>Senthur Cars</t>
        </is>
      </c>
      <c r="M3660" s="23" t="n">
        <v>4237.29</v>
      </c>
      <c r="N3660" s="23" t="n">
        <v>5000</v>
      </c>
      <c r="O3660" s="24">
        <f>IF(AND(ISNUMBER(M3660), ISNUMBER(I3660), I3660&gt;0), M3660/I3660, "")</f>
        <v/>
      </c>
    </row>
    <row r="3661">
      <c r="A3661" s="19" t="inlineStr">
        <is>
          <t>FY27</t>
        </is>
      </c>
      <c r="B3661" s="19" t="inlineStr">
        <is>
          <t>Aug</t>
        </is>
      </c>
      <c r="C3661" s="19" t="inlineStr">
        <is>
          <t>TN</t>
        </is>
      </c>
      <c r="D3661" s="20" t="inlineStr">
        <is>
          <t>TN10BP7435</t>
        </is>
      </c>
      <c r="E3661" s="20" t="inlineStr">
        <is>
          <t>RENAULT</t>
        </is>
      </c>
      <c r="F3661" s="20" t="inlineStr">
        <is>
          <t>Triber</t>
        </is>
      </c>
      <c r="G3661" s="21" t="n">
        <v>2021</v>
      </c>
      <c r="H3661" s="22" t="n">
        <v>18246</v>
      </c>
      <c r="I3661" s="23" t="n">
        <v>92000</v>
      </c>
      <c r="J3661" s="20" t="inlineStr">
        <is>
          <t>CARS INDIA</t>
        </is>
      </c>
      <c r="K3661" s="20" t="inlineStr">
        <is>
          <t>Non-Captive</t>
        </is>
      </c>
      <c r="L3661" s="20" t="inlineStr">
        <is>
          <t>GRID 33</t>
        </is>
      </c>
      <c r="M3661" s="23" t="n">
        <v>4237.29</v>
      </c>
      <c r="N3661" s="23" t="n">
        <v>5000</v>
      </c>
      <c r="O3661" s="24">
        <f>IF(AND(ISNUMBER(M3661), ISNUMBER(I3661), I3661&gt;0), M3661/I3661, "")</f>
        <v/>
      </c>
    </row>
    <row r="3662">
      <c r="A3662" s="19" t="inlineStr">
        <is>
          <t>FY27</t>
        </is>
      </c>
      <c r="B3662" s="19" t="inlineStr">
        <is>
          <t>Aug</t>
        </is>
      </c>
      <c r="C3662" s="19" t="inlineStr">
        <is>
          <t>TN</t>
        </is>
      </c>
      <c r="D3662" s="20" t="inlineStr">
        <is>
          <t>TN97W4974</t>
        </is>
      </c>
      <c r="E3662" s="20" t="inlineStr">
        <is>
          <t>MARUTI SUZUKI</t>
        </is>
      </c>
      <c r="F3662" s="20" t="inlineStr">
        <is>
          <t>Celerio</t>
        </is>
      </c>
      <c r="G3662" s="21" t="n">
        <v>2022</v>
      </c>
      <c r="H3662" s="22" t="n">
        <v>32236</v>
      </c>
      <c r="I3662" s="23" t="n">
        <v>940000</v>
      </c>
      <c r="J3662" s="20" t="inlineStr">
        <is>
          <t>CARS INDIA</t>
        </is>
      </c>
      <c r="K3662" s="20" t="inlineStr">
        <is>
          <t>Non-Captive</t>
        </is>
      </c>
      <c r="L3662" s="20" t="inlineStr">
        <is>
          <t>GRID 33</t>
        </is>
      </c>
      <c r="M3662" s="23" t="n">
        <v>4237.29</v>
      </c>
      <c r="N3662" s="23" t="n">
        <v>5000</v>
      </c>
      <c r="O3662" s="24">
        <f>IF(AND(ISNUMBER(M3662), ISNUMBER(I3662), I3662&gt;0), M3662/I3662, "")</f>
        <v/>
      </c>
    </row>
    <row r="3663">
      <c r="A3663" s="19" t="inlineStr">
        <is>
          <t>FY27</t>
        </is>
      </c>
      <c r="B3663" s="19" t="inlineStr">
        <is>
          <t>Aug</t>
        </is>
      </c>
      <c r="C3663" s="19" t="inlineStr">
        <is>
          <t>TN</t>
        </is>
      </c>
      <c r="D3663" s="20" t="inlineStr">
        <is>
          <t>TN82X9077</t>
        </is>
      </c>
      <c r="E3663" s="20" t="inlineStr">
        <is>
          <t>MARUTI SUZUKI</t>
        </is>
      </c>
      <c r="F3663" s="20" t="inlineStr">
        <is>
          <t>Alto 800</t>
        </is>
      </c>
      <c r="G3663" s="21" t="n">
        <v>2018</v>
      </c>
      <c r="H3663" s="22" t="n">
        <v>69936</v>
      </c>
      <c r="I3663" s="23" t="n">
        <v>96000</v>
      </c>
      <c r="J3663" s="20" t="inlineStr">
        <is>
          <t>Cresco cars</t>
        </is>
      </c>
      <c r="K3663" s="20" t="inlineStr">
        <is>
          <t>Non-Captive</t>
        </is>
      </c>
      <c r="L3663" s="20" t="inlineStr">
        <is>
          <t>Senthur Cars</t>
        </is>
      </c>
      <c r="M3663" s="23" t="n">
        <v>4237.29</v>
      </c>
      <c r="N3663" s="23" t="n">
        <v>5000</v>
      </c>
      <c r="O3663" s="24">
        <f>IF(AND(ISNUMBER(M3663), ISNUMBER(I3663), I3663&gt;0), M3663/I3663, "")</f>
        <v/>
      </c>
    </row>
    <row r="3664">
      <c r="A3664" s="19" t="inlineStr">
        <is>
          <t>FY27</t>
        </is>
      </c>
      <c r="B3664" s="19" t="inlineStr">
        <is>
          <t>Aug</t>
        </is>
      </c>
      <c r="C3664" s="19" t="inlineStr">
        <is>
          <t>TN</t>
        </is>
      </c>
      <c r="D3664" s="20" t="inlineStr">
        <is>
          <t>TN99E1109</t>
        </is>
      </c>
      <c r="E3664" s="20" t="inlineStr">
        <is>
          <t>CHEVROLET</t>
        </is>
      </c>
      <c r="F3664" s="20" t="inlineStr">
        <is>
          <t>Beat</t>
        </is>
      </c>
      <c r="G3664" s="21" t="n">
        <v>2015</v>
      </c>
      <c r="H3664" s="22" t="n">
        <v>93860</v>
      </c>
      <c r="I3664" s="23" t="n">
        <v>89000</v>
      </c>
      <c r="J3664" s="20" t="inlineStr">
        <is>
          <t>LANSON QCARS PRIVATE LIMITED</t>
        </is>
      </c>
      <c r="K3664" s="20" t="inlineStr">
        <is>
          <t>Non-Captive</t>
        </is>
      </c>
      <c r="L3664" s="20" t="inlineStr">
        <is>
          <t>NIRMAL CARS</t>
        </is>
      </c>
      <c r="M3664" s="23" t="n">
        <v>2542.37</v>
      </c>
      <c r="N3664" s="23" t="n">
        <v>3000</v>
      </c>
      <c r="O3664" s="24">
        <f>IF(AND(ISNUMBER(M3664), ISNUMBER(I3664), I3664&gt;0), M3664/I3664, "")</f>
        <v/>
      </c>
    </row>
    <row r="3665">
      <c r="A3665" s="19" t="inlineStr">
        <is>
          <t>FY27</t>
        </is>
      </c>
      <c r="B3665" s="19" t="inlineStr">
        <is>
          <t>Aug</t>
        </is>
      </c>
      <c r="C3665" s="19" t="inlineStr">
        <is>
          <t>TN</t>
        </is>
      </c>
      <c r="D3665" s="20" t="inlineStr">
        <is>
          <t>TN123319</t>
        </is>
      </c>
      <c r="E3665" s="20" t="inlineStr">
        <is>
          <t>HYUNDAI</t>
        </is>
      </c>
      <c r="F3665" s="20" t="inlineStr">
        <is>
          <t>I20</t>
        </is>
      </c>
      <c r="G3665" s="21" t="n">
        <v>2013</v>
      </c>
      <c r="H3665" s="22" t="n">
        <v>79800</v>
      </c>
      <c r="I3665" s="23" t="n">
        <v>94500</v>
      </c>
      <c r="J3665" s="20" t="inlineStr">
        <is>
          <t>SVM CARS PRIVATE LIMITED</t>
        </is>
      </c>
      <c r="K3665" s="20" t="inlineStr">
        <is>
          <t>Non-Captive</t>
        </is>
      </c>
      <c r="L3665" s="20" t="inlineStr">
        <is>
          <t>GRID 33</t>
        </is>
      </c>
      <c r="M3665" s="23" t="n">
        <v>4237.29</v>
      </c>
      <c r="N3665" s="23" t="n">
        <v>5000</v>
      </c>
      <c r="O3665" s="24">
        <f>IF(AND(ISNUMBER(M3665), ISNUMBER(I3665), I3665&gt;0), M3665/I3665, "")</f>
        <v/>
      </c>
    </row>
    <row r="3666">
      <c r="A3666" s="19" t="inlineStr">
        <is>
          <t>FY27</t>
        </is>
      </c>
      <c r="B3666" s="19" t="inlineStr">
        <is>
          <t>Aug</t>
        </is>
      </c>
      <c r="C3666" s="19" t="inlineStr">
        <is>
          <t>TN</t>
        </is>
      </c>
      <c r="D3666" s="20" t="inlineStr">
        <is>
          <t>TN05BC1872</t>
        </is>
      </c>
      <c r="E3666" s="20" t="inlineStr">
        <is>
          <t>HONDA</t>
        </is>
      </c>
      <c r="F3666" s="20" t="inlineStr">
        <is>
          <t>Jazz</t>
        </is>
      </c>
      <c r="G3666" s="21" t="n">
        <v>2015</v>
      </c>
      <c r="H3666" s="22" t="n">
        <v>117847</v>
      </c>
      <c r="I3666" s="23" t="n">
        <v>98000</v>
      </c>
      <c r="J3666" s="20" t="inlineStr">
        <is>
          <t>SVM CARS PRIVATE LIMITED</t>
        </is>
      </c>
      <c r="K3666" s="20" t="inlineStr">
        <is>
          <t>Non-Captive</t>
        </is>
      </c>
      <c r="L3666" s="20" t="inlineStr">
        <is>
          <t>Rithika cars</t>
        </is>
      </c>
      <c r="M3666" s="23" t="n">
        <v>2542.37</v>
      </c>
      <c r="N3666" s="23" t="n">
        <v>3000</v>
      </c>
      <c r="O3666" s="24">
        <f>IF(AND(ISNUMBER(M3666), ISNUMBER(I3666), I3666&gt;0), M3666/I3666, "")</f>
        <v/>
      </c>
    </row>
    <row r="3667">
      <c r="A3667" s="19" t="inlineStr">
        <is>
          <t>FY27</t>
        </is>
      </c>
      <c r="B3667" s="19" t="inlineStr">
        <is>
          <t>Aug</t>
        </is>
      </c>
      <c r="C3667" s="19" t="inlineStr">
        <is>
          <t>TN</t>
        </is>
      </c>
      <c r="D3667" s="20" t="inlineStr">
        <is>
          <t>TN22DM2345</t>
        </is>
      </c>
      <c r="E3667" s="20" t="inlineStr">
        <is>
          <t>MARUTI SUZUKI</t>
        </is>
      </c>
      <c r="F3667" s="20" t="inlineStr">
        <is>
          <t>Swift</t>
        </is>
      </c>
      <c r="G3667" s="21" t="n">
        <v>2018</v>
      </c>
      <c r="H3667" s="22" t="n">
        <v>133576</v>
      </c>
      <c r="I3667" s="23" t="n">
        <v>96000</v>
      </c>
      <c r="J3667" s="20" t="inlineStr">
        <is>
          <t>SVM CARS PRIVATE LIMITED</t>
        </is>
      </c>
      <c r="K3667" s="20" t="inlineStr">
        <is>
          <t>Non-Captive</t>
        </is>
      </c>
      <c r="L3667" s="20" t="inlineStr">
        <is>
          <t>Rithika cars</t>
        </is>
      </c>
      <c r="M3667" s="23" t="n">
        <v>2542.37</v>
      </c>
      <c r="N3667" s="23" t="n">
        <v>3000</v>
      </c>
      <c r="O3667" s="24">
        <f>IF(AND(ISNUMBER(M3667), ISNUMBER(I3667), I3667&gt;0), M3667/I3667, "")</f>
        <v/>
      </c>
    </row>
    <row r="3668">
      <c r="A3668" s="19" t="inlineStr">
        <is>
          <t>FY27</t>
        </is>
      </c>
      <c r="B3668" s="19" t="inlineStr">
        <is>
          <t>Aug</t>
        </is>
      </c>
      <c r="C3668" s="19" t="inlineStr">
        <is>
          <t>TN</t>
        </is>
      </c>
      <c r="D3668" s="20" t="inlineStr">
        <is>
          <t>TN84Z5580</t>
        </is>
      </c>
      <c r="E3668" s="20" t="inlineStr">
        <is>
          <t>MARUTI SUZUKI</t>
        </is>
      </c>
      <c r="F3668" s="20" t="inlineStr">
        <is>
          <t>Ritz</t>
        </is>
      </c>
      <c r="G3668" s="21" t="n">
        <v>2013</v>
      </c>
      <c r="H3668" s="22" t="n">
        <v>102430</v>
      </c>
      <c r="I3668" s="23" t="n">
        <v>100000</v>
      </c>
      <c r="J3668" s="20" t="inlineStr">
        <is>
          <t>Rajalakshmi Cars</t>
        </is>
      </c>
      <c r="K3668" s="20" t="inlineStr">
        <is>
          <t>Non-Captive</t>
        </is>
      </c>
      <c r="L3668" s="20" t="inlineStr">
        <is>
          <t>Senthil Cars</t>
        </is>
      </c>
      <c r="M3668" s="23" t="n">
        <v>4237.29</v>
      </c>
      <c r="N3668" s="23" t="n">
        <v>5000</v>
      </c>
      <c r="O3668" s="24">
        <f>IF(AND(ISNUMBER(M3668), ISNUMBER(I3668), I3668&gt;0), M3668/I3668, "")</f>
        <v/>
      </c>
    </row>
    <row r="3669">
      <c r="A3669" s="19" t="inlineStr">
        <is>
          <t>FY27</t>
        </is>
      </c>
      <c r="B3669" s="19" t="inlineStr">
        <is>
          <t>Aug</t>
        </is>
      </c>
      <c r="C3669" s="19" t="inlineStr">
        <is>
          <t>TN</t>
        </is>
      </c>
      <c r="D3669" s="20" t="inlineStr">
        <is>
          <t>TN07CM9006</t>
        </is>
      </c>
      <c r="E3669" s="20" t="inlineStr">
        <is>
          <t>MARUTI SUZUKI</t>
        </is>
      </c>
      <c r="F3669" s="20" t="inlineStr">
        <is>
          <t>Swift</t>
        </is>
      </c>
      <c r="G3669" s="21" t="n">
        <v>2018</v>
      </c>
      <c r="H3669" s="22" t="n">
        <v>38443</v>
      </c>
      <c r="I3669" s="23" t="n">
        <v>97000</v>
      </c>
      <c r="J3669" s="20" t="inlineStr">
        <is>
          <t>Rajalakshmi Cars</t>
        </is>
      </c>
      <c r="K3669" s="20" t="inlineStr">
        <is>
          <t>Non-Captive</t>
        </is>
      </c>
      <c r="L3669" s="20" t="inlineStr">
        <is>
          <t>PINE AUTOS</t>
        </is>
      </c>
      <c r="M3669" s="23" t="n">
        <v>4237.29</v>
      </c>
      <c r="N3669" s="23" t="n">
        <v>5000</v>
      </c>
      <c r="O3669" s="24">
        <f>IF(AND(ISNUMBER(M3669), ISNUMBER(I3669), I3669&gt;0), M3669/I3669, "")</f>
        <v/>
      </c>
    </row>
    <row r="3670">
      <c r="A3670" s="19" t="inlineStr">
        <is>
          <t>FY27</t>
        </is>
      </c>
      <c r="B3670" s="19" t="inlineStr">
        <is>
          <t>Aug</t>
        </is>
      </c>
      <c r="C3670" s="19" t="inlineStr">
        <is>
          <t>TN</t>
        </is>
      </c>
      <c r="D3670" s="20" t="inlineStr">
        <is>
          <t>TN18AC1174</t>
        </is>
      </c>
      <c r="E3670" s="20" t="inlineStr">
        <is>
          <t>FORD</t>
        </is>
      </c>
      <c r="F3670" s="20" t="inlineStr">
        <is>
          <t>Figo</t>
        </is>
      </c>
      <c r="G3670" s="21" t="n">
        <v>2014</v>
      </c>
      <c r="H3670" s="22" t="n">
        <v>43996</v>
      </c>
      <c r="I3670" s="23" t="n">
        <v>94000</v>
      </c>
      <c r="J3670" s="20" t="inlineStr">
        <is>
          <t>Rajalakshmi Cars</t>
        </is>
      </c>
      <c r="K3670" s="20" t="inlineStr">
        <is>
          <t>Non-Captive</t>
        </is>
      </c>
      <c r="L3670" s="20" t="inlineStr">
        <is>
          <t>PINE AUTOS</t>
        </is>
      </c>
      <c r="M3670" s="23" t="n">
        <v>4237.29</v>
      </c>
      <c r="N3670" s="23" t="n">
        <v>5000</v>
      </c>
      <c r="O3670" s="24">
        <f>IF(AND(ISNUMBER(M3670), ISNUMBER(I3670), I3670&gt;0), M3670/I3670, "")</f>
        <v/>
      </c>
    </row>
    <row r="3671">
      <c r="A3671" s="19" t="inlineStr">
        <is>
          <t>FY27</t>
        </is>
      </c>
      <c r="B3671" s="19" t="inlineStr">
        <is>
          <t>Aug</t>
        </is>
      </c>
      <c r="C3671" s="19" t="inlineStr">
        <is>
          <t>TN</t>
        </is>
      </c>
      <c r="D3671" s="20" t="inlineStr">
        <is>
          <t>TN01AH9234</t>
        </is>
      </c>
      <c r="E3671" s="20" t="inlineStr">
        <is>
          <t>MARUTI SUZUKI</t>
        </is>
      </c>
      <c r="F3671" s="20" t="inlineStr">
        <is>
          <t>Omni</t>
        </is>
      </c>
      <c r="G3671" s="21" t="n">
        <v>2009</v>
      </c>
      <c r="H3671" s="22" t="n">
        <v>31879</v>
      </c>
      <c r="I3671" s="23" t="n">
        <v>96000</v>
      </c>
      <c r="J3671" s="20" t="inlineStr">
        <is>
          <t>Cresco cars</t>
        </is>
      </c>
      <c r="K3671" s="20" t="inlineStr">
        <is>
          <t>Non-Captive</t>
        </is>
      </c>
      <c r="L3671" s="20" t="inlineStr">
        <is>
          <t>PINE AUTOS</t>
        </is>
      </c>
      <c r="M3671" s="23" t="n">
        <v>4237.29</v>
      </c>
      <c r="N3671" s="23" t="n">
        <v>5000</v>
      </c>
      <c r="O3671" s="24">
        <f>IF(AND(ISNUMBER(M3671), ISNUMBER(I3671), I3671&gt;0), M3671/I3671, "")</f>
        <v/>
      </c>
    </row>
    <row r="3672">
      <c r="A3672" s="19" t="inlineStr">
        <is>
          <t>FY27</t>
        </is>
      </c>
      <c r="B3672" s="19" t="inlineStr">
        <is>
          <t>Aug</t>
        </is>
      </c>
      <c r="C3672" s="19" t="inlineStr">
        <is>
          <t>TN</t>
        </is>
      </c>
      <c r="D3672" s="20" t="inlineStr">
        <is>
          <t>TN57BZ0981</t>
        </is>
      </c>
      <c r="E3672" s="20" t="inlineStr">
        <is>
          <t>MARUTI SUZUKI</t>
        </is>
      </c>
      <c r="F3672" s="20" t="inlineStr">
        <is>
          <t>Omni</t>
        </is>
      </c>
      <c r="G3672" s="21" t="n">
        <v>2016</v>
      </c>
      <c r="H3672" s="22" t="n">
        <v>44206</v>
      </c>
      <c r="I3672" s="23" t="n">
        <v>99000</v>
      </c>
      <c r="J3672" s="20" t="inlineStr">
        <is>
          <t>Cresco cars</t>
        </is>
      </c>
      <c r="K3672" s="20" t="inlineStr">
        <is>
          <t>Non-Captive</t>
        </is>
      </c>
      <c r="L3672" s="20" t="inlineStr">
        <is>
          <t>PINE AUTOS</t>
        </is>
      </c>
      <c r="M3672" s="23" t="n">
        <v>4237.29</v>
      </c>
      <c r="N3672" s="23" t="n">
        <v>5000</v>
      </c>
      <c r="O3672" s="24">
        <f>IF(AND(ISNUMBER(M3672), ISNUMBER(I3672), I3672&gt;0), M3672/I3672, "")</f>
        <v/>
      </c>
    </row>
    <row r="3673">
      <c r="A3673" s="19" t="inlineStr">
        <is>
          <t>FY27</t>
        </is>
      </c>
      <c r="B3673" s="19" t="inlineStr">
        <is>
          <t>Aug</t>
        </is>
      </c>
      <c r="C3673" s="19" t="inlineStr">
        <is>
          <t>TN</t>
        </is>
      </c>
      <c r="D3673" s="20" t="inlineStr">
        <is>
          <t>TN02BW9048</t>
        </is>
      </c>
      <c r="E3673" s="20" t="inlineStr">
        <is>
          <t>MARUTI SUZUKI</t>
        </is>
      </c>
      <c r="F3673" s="20" t="inlineStr">
        <is>
          <t>Celerio</t>
        </is>
      </c>
      <c r="G3673" s="21" t="n">
        <v>2022</v>
      </c>
      <c r="H3673" s="22" t="n">
        <v>39719</v>
      </c>
      <c r="I3673" s="23" t="n">
        <v>97000</v>
      </c>
      <c r="J3673" s="20" t="inlineStr">
        <is>
          <t>ABT LIMITED</t>
        </is>
      </c>
      <c r="K3673" s="20" t="inlineStr">
        <is>
          <t>Non-Captive</t>
        </is>
      </c>
      <c r="L3673" s="20" t="inlineStr">
        <is>
          <t>PINE AUTOS</t>
        </is>
      </c>
      <c r="M3673" s="23" t="n">
        <v>4237.29</v>
      </c>
      <c r="N3673" s="23" t="n">
        <v>5000</v>
      </c>
      <c r="O3673" s="24">
        <f>IF(AND(ISNUMBER(M3673), ISNUMBER(I3673), I3673&gt;0), M3673/I3673, "")</f>
        <v/>
      </c>
    </row>
    <row r="3674">
      <c r="A3674" s="19" t="inlineStr">
        <is>
          <t>FY27</t>
        </is>
      </c>
      <c r="B3674" s="19" t="inlineStr">
        <is>
          <t>Aug</t>
        </is>
      </c>
      <c r="C3674" s="19" t="inlineStr">
        <is>
          <t>TN</t>
        </is>
      </c>
      <c r="D3674" s="20" t="inlineStr">
        <is>
          <t>TN18BJ5140</t>
        </is>
      </c>
      <c r="E3674" s="20" t="inlineStr">
        <is>
          <t>MARUTI SUZUKI</t>
        </is>
      </c>
      <c r="F3674" s="20" t="inlineStr">
        <is>
          <t>Spresso</t>
        </is>
      </c>
      <c r="G3674" s="21" t="n">
        <v>2022</v>
      </c>
      <c r="H3674" s="22" t="n">
        <v>14866</v>
      </c>
      <c r="I3674" s="23" t="n">
        <v>95000</v>
      </c>
      <c r="J3674" s="20" t="inlineStr">
        <is>
          <t>ABT LIMITED</t>
        </is>
      </c>
      <c r="K3674" s="20" t="inlineStr">
        <is>
          <t>Non-Captive</t>
        </is>
      </c>
      <c r="L3674" s="20" t="inlineStr">
        <is>
          <t>PINE AUTOS</t>
        </is>
      </c>
      <c r="M3674" s="23" t="n">
        <v>4237.29</v>
      </c>
      <c r="N3674" s="23" t="n">
        <v>5000</v>
      </c>
      <c r="O3674" s="24">
        <f>IF(AND(ISNUMBER(M3674), ISNUMBER(I3674), I3674&gt;0), M3674/I3674, "")</f>
        <v/>
      </c>
    </row>
    <row r="3675">
      <c r="A3675" s="19" t="inlineStr">
        <is>
          <t>FY27</t>
        </is>
      </c>
      <c r="B3675" s="19" t="inlineStr">
        <is>
          <t>Aug</t>
        </is>
      </c>
      <c r="C3675" s="19" t="inlineStr">
        <is>
          <t>TN</t>
        </is>
      </c>
      <c r="D3675" s="20" t="inlineStr">
        <is>
          <t>TN04AR0047</t>
        </is>
      </c>
      <c r="E3675" s="20" t="inlineStr">
        <is>
          <t>HYUNDAI</t>
        </is>
      </c>
      <c r="F3675" s="20" t="inlineStr">
        <is>
          <t>I20</t>
        </is>
      </c>
      <c r="G3675" s="21" t="n">
        <v>2016</v>
      </c>
      <c r="H3675" s="22" t="n">
        <v>36181</v>
      </c>
      <c r="I3675" s="23" t="n">
        <v>87000</v>
      </c>
      <c r="J3675" s="20" t="inlineStr">
        <is>
          <t>POPULAR VEHICLES AND SERVICES LIMITED</t>
        </is>
      </c>
      <c r="K3675" s="20" t="inlineStr">
        <is>
          <t>Non-Captive</t>
        </is>
      </c>
      <c r="L3675" s="20" t="inlineStr">
        <is>
          <t>Thiyagarajan Raja Cars</t>
        </is>
      </c>
      <c r="M3675" s="23" t="n">
        <v>4237.29</v>
      </c>
      <c r="N3675" s="23" t="n">
        <v>5000</v>
      </c>
      <c r="O3675" s="24">
        <f>IF(AND(ISNUMBER(M3675), ISNUMBER(I3675), I3675&gt;0), M3675/I3675, "")</f>
        <v/>
      </c>
    </row>
    <row r="3676">
      <c r="A3676" s="19" t="inlineStr">
        <is>
          <t>FY27</t>
        </is>
      </c>
      <c r="B3676" s="19" t="inlineStr">
        <is>
          <t>Aug</t>
        </is>
      </c>
      <c r="C3676" s="19" t="inlineStr">
        <is>
          <t>TN</t>
        </is>
      </c>
      <c r="D3676" s="20" t="inlineStr">
        <is>
          <t>TN09DL4308</t>
        </is>
      </c>
      <c r="E3676" s="20" t="inlineStr">
        <is>
          <t>MARUTI SUZUKI</t>
        </is>
      </c>
      <c r="F3676" s="20" t="inlineStr">
        <is>
          <t>Swift</t>
        </is>
      </c>
      <c r="G3676" s="21" t="n">
        <v>2010</v>
      </c>
      <c r="H3676" s="22" t="n">
        <v>70349</v>
      </c>
      <c r="I3676" s="23" t="n">
        <v>89000</v>
      </c>
      <c r="J3676" s="20" t="inlineStr">
        <is>
          <t>POPULAR VEHICLES AND SERVICES LIMITED</t>
        </is>
      </c>
      <c r="K3676" s="20" t="inlineStr">
        <is>
          <t>Non-Captive</t>
        </is>
      </c>
      <c r="L3676" s="20" t="inlineStr">
        <is>
          <t>Thiyagarajan Raja Cars</t>
        </is>
      </c>
      <c r="M3676" s="23" t="n">
        <v>4237.29</v>
      </c>
      <c r="N3676" s="23" t="n">
        <v>5000</v>
      </c>
      <c r="O3676" s="24">
        <f>IF(AND(ISNUMBER(M3676), ISNUMBER(I3676), I3676&gt;0), M3676/I3676, "")</f>
        <v/>
      </c>
    </row>
    <row r="3677">
      <c r="A3677" s="19" t="inlineStr">
        <is>
          <t>FY27</t>
        </is>
      </c>
      <c r="B3677" s="19" t="inlineStr">
        <is>
          <t>Aug</t>
        </is>
      </c>
      <c r="C3677" s="19" t="inlineStr">
        <is>
          <t>TN</t>
        </is>
      </c>
      <c r="D3677" s="20" t="inlineStr">
        <is>
          <t>TN01AD5511</t>
        </is>
      </c>
      <c r="E3677" s="20" t="inlineStr">
        <is>
          <t>HONDA</t>
        </is>
      </c>
      <c r="F3677" s="20" t="inlineStr">
        <is>
          <t>City</t>
        </is>
      </c>
      <c r="G3677" s="21" t="n">
        <v>2007</v>
      </c>
      <c r="H3677" s="22" t="n">
        <v>114216</v>
      </c>
      <c r="I3677" s="23" t="n">
        <v>95000</v>
      </c>
      <c r="J3677" s="20" t="inlineStr">
        <is>
          <t>VISHNU CARS PRIVATE LIMITED</t>
        </is>
      </c>
      <c r="K3677" s="20" t="inlineStr">
        <is>
          <t>Non-Captive</t>
        </is>
      </c>
      <c r="L3677" s="20" t="inlineStr">
        <is>
          <t>GRID 33</t>
        </is>
      </c>
      <c r="M3677" s="23" t="n">
        <v>4237.29</v>
      </c>
      <c r="N3677" s="23" t="n">
        <v>5000</v>
      </c>
      <c r="O3677" s="24">
        <f>IF(AND(ISNUMBER(M3677), ISNUMBER(I3677), I3677&gt;0), M3677/I3677, "")</f>
        <v/>
      </c>
    </row>
    <row r="3678">
      <c r="A3678" s="19" t="inlineStr">
        <is>
          <t>FY27</t>
        </is>
      </c>
      <c r="B3678" s="19" t="inlineStr">
        <is>
          <t>Aug</t>
        </is>
      </c>
      <c r="C3678" s="19" t="inlineStr">
        <is>
          <t>TN</t>
        </is>
      </c>
      <c r="D3678" s="20" t="inlineStr">
        <is>
          <t>TN11Z3016</t>
        </is>
      </c>
      <c r="E3678" s="20" t="inlineStr">
        <is>
          <t>NISSAN</t>
        </is>
      </c>
      <c r="F3678" s="20" t="inlineStr">
        <is>
          <t>Sunny</t>
        </is>
      </c>
      <c r="G3678" s="21" t="n"/>
      <c r="H3678" s="22" t="n">
        <v>110000</v>
      </c>
      <c r="I3678" s="23" t="n">
        <v>130000</v>
      </c>
      <c r="J3678" s="20" t="inlineStr"/>
      <c r="K3678" s="20" t="inlineStr">
        <is>
          <t>Non-Captive</t>
        </is>
      </c>
      <c r="L3678" s="20" t="inlineStr">
        <is>
          <t>Thiya Cars</t>
        </is>
      </c>
      <c r="M3678" s="23" t="n">
        <v>5084.75</v>
      </c>
      <c r="N3678" s="23" t="n">
        <v>6000</v>
      </c>
      <c r="O3678" s="24">
        <f>IF(AND(ISNUMBER(M3678), ISNUMBER(I3678), I3678&gt;0), M3678/I3678, "")</f>
        <v/>
      </c>
    </row>
    <row r="3679">
      <c r="A3679" s="19" t="inlineStr">
        <is>
          <t>FY27</t>
        </is>
      </c>
      <c r="B3679" s="19" t="inlineStr">
        <is>
          <t>Aug</t>
        </is>
      </c>
      <c r="C3679" s="19" t="inlineStr">
        <is>
          <t>TN</t>
        </is>
      </c>
      <c r="D3679" s="20" t="inlineStr">
        <is>
          <t>TN18T3406</t>
        </is>
      </c>
      <c r="E3679" s="20" t="inlineStr">
        <is>
          <t>NISSAN</t>
        </is>
      </c>
      <c r="F3679" s="20" t="inlineStr">
        <is>
          <t>Micra</t>
        </is>
      </c>
      <c r="G3679" s="21" t="n">
        <v>2013</v>
      </c>
      <c r="H3679" s="22" t="n">
        <v>187737</v>
      </c>
      <c r="I3679" s="23" t="n">
        <v>120000</v>
      </c>
      <c r="J3679" s="20" t="inlineStr">
        <is>
          <t>CASTLE TRADERS Maruti</t>
        </is>
      </c>
      <c r="K3679" s="20" t="inlineStr">
        <is>
          <t>Non-Captive</t>
        </is>
      </c>
      <c r="L3679" s="20" t="inlineStr">
        <is>
          <t>S2 MOTORZ</t>
        </is>
      </c>
      <c r="M3679" s="23" t="n">
        <v>5084.75</v>
      </c>
      <c r="N3679" s="23" t="n">
        <v>6000</v>
      </c>
      <c r="O3679" s="24">
        <f>IF(AND(ISNUMBER(M3679), ISNUMBER(I3679), I3679&gt;0), M3679/I3679, "")</f>
        <v/>
      </c>
    </row>
    <row r="3680">
      <c r="A3680" s="19" t="inlineStr">
        <is>
          <t>FY27</t>
        </is>
      </c>
      <c r="B3680" s="19" t="inlineStr">
        <is>
          <t>Aug</t>
        </is>
      </c>
      <c r="C3680" s="19" t="inlineStr">
        <is>
          <t>TN</t>
        </is>
      </c>
      <c r="D3680" s="20" t="inlineStr">
        <is>
          <t>TN18BC5434</t>
        </is>
      </c>
      <c r="E3680" s="20" t="inlineStr">
        <is>
          <t>MARUTI SUZUKI</t>
        </is>
      </c>
      <c r="F3680" s="20" t="inlineStr">
        <is>
          <t>Eeco</t>
        </is>
      </c>
      <c r="G3680" s="21" t="n">
        <v>2020</v>
      </c>
      <c r="H3680" s="22" t="n">
        <v>28395</v>
      </c>
      <c r="I3680" s="23" t="n">
        <v>360000</v>
      </c>
      <c r="J3680" s="20" t="inlineStr">
        <is>
          <t>CASTLE TRADERS Maruti</t>
        </is>
      </c>
      <c r="K3680" s="20" t="inlineStr">
        <is>
          <t>Non-Captive</t>
        </is>
      </c>
      <c r="L3680" s="20" t="inlineStr">
        <is>
          <t>AAA CARS</t>
        </is>
      </c>
      <c r="M3680" s="23" t="n">
        <v>6355.93</v>
      </c>
      <c r="N3680" s="23" t="n">
        <v>7500</v>
      </c>
      <c r="O3680" s="24">
        <f>IF(AND(ISNUMBER(M3680), ISNUMBER(I3680), I3680&gt;0), M3680/I3680, "")</f>
        <v/>
      </c>
    </row>
    <row r="3681">
      <c r="A3681" s="19" t="inlineStr">
        <is>
          <t>FY27</t>
        </is>
      </c>
      <c r="B3681" s="19" t="inlineStr">
        <is>
          <t>Aug</t>
        </is>
      </c>
      <c r="C3681" s="19" t="inlineStr">
        <is>
          <t>TN</t>
        </is>
      </c>
      <c r="D3681" s="20" t="inlineStr">
        <is>
          <t>TN09CK5286</t>
        </is>
      </c>
      <c r="E3681" s="20" t="inlineStr">
        <is>
          <t>MARUTI SUZUKI</t>
        </is>
      </c>
      <c r="F3681" s="20" t="inlineStr">
        <is>
          <t>Baleno</t>
        </is>
      </c>
      <c r="G3681" s="21" t="n">
        <v>2017</v>
      </c>
      <c r="H3681" s="22" t="n">
        <v>59848</v>
      </c>
      <c r="I3681" s="23" t="n">
        <v>443000</v>
      </c>
      <c r="J3681" s="20" t="inlineStr">
        <is>
          <t>CASTLE TRADERS Maruti</t>
        </is>
      </c>
      <c r="K3681" s="20" t="inlineStr">
        <is>
          <t>Non-Captive</t>
        </is>
      </c>
      <c r="L3681" s="20" t="inlineStr">
        <is>
          <t>Value Drive Tech</t>
        </is>
      </c>
      <c r="M3681" s="23" t="n">
        <v>7627.12</v>
      </c>
      <c r="N3681" s="23" t="n">
        <v>9000</v>
      </c>
      <c r="O3681" s="24">
        <f>IF(AND(ISNUMBER(M3681), ISNUMBER(I3681), I3681&gt;0), M3681/I3681, "")</f>
        <v/>
      </c>
    </row>
    <row r="3682">
      <c r="A3682" s="19" t="inlineStr">
        <is>
          <t>FY27</t>
        </is>
      </c>
      <c r="B3682" s="19" t="inlineStr">
        <is>
          <t>Aug</t>
        </is>
      </c>
      <c r="C3682" s="19" t="inlineStr">
        <is>
          <t>TN</t>
        </is>
      </c>
      <c r="D3682" s="20" t="inlineStr">
        <is>
          <t>TN07AE5890</t>
        </is>
      </c>
      <c r="E3682" s="20" t="inlineStr">
        <is>
          <t>TOYOTA</t>
        </is>
      </c>
      <c r="F3682" s="20" t="inlineStr">
        <is>
          <t>Corolla</t>
        </is>
      </c>
      <c r="G3682" s="21" t="n">
        <v>2005</v>
      </c>
      <c r="H3682" s="22" t="n">
        <v>123823</v>
      </c>
      <c r="I3682" s="23" t="n">
        <v>98000</v>
      </c>
      <c r="J3682" s="20" t="inlineStr">
        <is>
          <t>VISHNU CARS PRIVATE LIMITED</t>
        </is>
      </c>
      <c r="K3682" s="20" t="inlineStr">
        <is>
          <t>Non-Captive</t>
        </is>
      </c>
      <c r="L3682" s="20" t="inlineStr">
        <is>
          <t>SANTHOSH CARS</t>
        </is>
      </c>
      <c r="M3682" s="23" t="n">
        <v>2542.37</v>
      </c>
      <c r="N3682" s="23" t="n">
        <v>3000</v>
      </c>
      <c r="O3682" s="24">
        <f>IF(AND(ISNUMBER(M3682), ISNUMBER(I3682), I3682&gt;0), M3682/I3682, "")</f>
        <v/>
      </c>
    </row>
    <row r="3683">
      <c r="A3683" s="19" t="inlineStr">
        <is>
          <t>FY27</t>
        </is>
      </c>
      <c r="B3683" s="19" t="inlineStr">
        <is>
          <t>Aug</t>
        </is>
      </c>
      <c r="C3683" s="19" t="inlineStr">
        <is>
          <t>TN</t>
        </is>
      </c>
      <c r="D3683" s="20" t="inlineStr">
        <is>
          <t>TN01AB9696</t>
        </is>
      </c>
      <c r="E3683" s="20" t="inlineStr">
        <is>
          <t>HONDA</t>
        </is>
      </c>
      <c r="F3683" s="20" t="inlineStr">
        <is>
          <t>City</t>
        </is>
      </c>
      <c r="G3683" s="21" t="n">
        <v>2006</v>
      </c>
      <c r="H3683" s="22" t="n">
        <v>52358</v>
      </c>
      <c r="I3683" s="23" t="n">
        <v>93000</v>
      </c>
      <c r="J3683" s="20" t="inlineStr">
        <is>
          <t>VISHNU CARS PRIVATE LIMITED</t>
        </is>
      </c>
      <c r="K3683" s="20" t="inlineStr">
        <is>
          <t>Non-Captive</t>
        </is>
      </c>
      <c r="L3683" s="20" t="inlineStr">
        <is>
          <t>SANTHOSH CARS</t>
        </is>
      </c>
      <c r="M3683" s="23" t="n">
        <v>2542.37</v>
      </c>
      <c r="N3683" s="23" t="n">
        <v>3000</v>
      </c>
      <c r="O3683" s="24">
        <f>IF(AND(ISNUMBER(M3683), ISNUMBER(I3683), I3683&gt;0), M3683/I3683, "")</f>
        <v/>
      </c>
    </row>
    <row r="3684">
      <c r="A3684" s="19" t="inlineStr">
        <is>
          <t>FY27</t>
        </is>
      </c>
      <c r="B3684" s="19" t="inlineStr">
        <is>
          <t>Aug</t>
        </is>
      </c>
      <c r="C3684" s="19" t="inlineStr">
        <is>
          <t>TN</t>
        </is>
      </c>
      <c r="D3684" s="20" t="inlineStr">
        <is>
          <t>TN07BA4182</t>
        </is>
      </c>
      <c r="E3684" s="20" t="inlineStr">
        <is>
          <t>MARUTI SUZUKI</t>
        </is>
      </c>
      <c r="F3684" s="20" t="inlineStr">
        <is>
          <t>Wagonr</t>
        </is>
      </c>
      <c r="G3684" s="21" t="n">
        <v>2008</v>
      </c>
      <c r="H3684" s="22" t="n">
        <v>37098</v>
      </c>
      <c r="I3684" s="23" t="n">
        <v>92000</v>
      </c>
      <c r="J3684" s="20" t="inlineStr">
        <is>
          <t>VISHNU CARS PRIVATE LIMITED</t>
        </is>
      </c>
      <c r="K3684" s="20" t="inlineStr">
        <is>
          <t>Non-Captive</t>
        </is>
      </c>
      <c r="L3684" s="20" t="inlineStr">
        <is>
          <t>SANTHOSH CARS</t>
        </is>
      </c>
      <c r="M3684" s="23" t="n">
        <v>2542.37</v>
      </c>
      <c r="N3684" s="23" t="n">
        <v>3000</v>
      </c>
      <c r="O3684" s="24">
        <f>IF(AND(ISNUMBER(M3684), ISNUMBER(I3684), I3684&gt;0), M3684/I3684, "")</f>
        <v/>
      </c>
    </row>
    <row r="3685">
      <c r="A3685" s="19" t="inlineStr">
        <is>
          <t>FY27</t>
        </is>
      </c>
      <c r="B3685" s="19" t="inlineStr">
        <is>
          <t>Aug</t>
        </is>
      </c>
      <c r="C3685" s="19" t="inlineStr">
        <is>
          <t>TN</t>
        </is>
      </c>
      <c r="D3685" s="20" t="inlineStr">
        <is>
          <t>TN01AF7686</t>
        </is>
      </c>
      <c r="E3685" s="20" t="inlineStr">
        <is>
          <t>HONDA</t>
        </is>
      </c>
      <c r="F3685" s="20" t="inlineStr">
        <is>
          <t>City</t>
        </is>
      </c>
      <c r="G3685" s="21" t="n">
        <v>2008</v>
      </c>
      <c r="H3685" s="22" t="n">
        <v>143818</v>
      </c>
      <c r="I3685" s="23" t="n">
        <v>97000</v>
      </c>
      <c r="J3685" s="20" t="inlineStr">
        <is>
          <t>VISHNU CARS PRIVATE LIMITED</t>
        </is>
      </c>
      <c r="K3685" s="20" t="inlineStr">
        <is>
          <t>Non-Captive</t>
        </is>
      </c>
      <c r="L3685" s="20" t="inlineStr">
        <is>
          <t>SANTHOSH CARS</t>
        </is>
      </c>
      <c r="M3685" s="23" t="n">
        <v>2542.37</v>
      </c>
      <c r="N3685" s="23" t="n">
        <v>3000</v>
      </c>
      <c r="O3685" s="24">
        <f>IF(AND(ISNUMBER(M3685), ISNUMBER(I3685), I3685&gt;0), M3685/I3685, "")</f>
        <v/>
      </c>
    </row>
    <row r="3686">
      <c r="A3686" s="19" t="inlineStr">
        <is>
          <t>FY27</t>
        </is>
      </c>
      <c r="B3686" s="19" t="inlineStr">
        <is>
          <t>Aug</t>
        </is>
      </c>
      <c r="C3686" s="19" t="inlineStr">
        <is>
          <t>TN</t>
        </is>
      </c>
      <c r="D3686" s="20" t="inlineStr">
        <is>
          <t>TN01AR8439</t>
        </is>
      </c>
      <c r="E3686" s="20" t="inlineStr">
        <is>
          <t>FORD</t>
        </is>
      </c>
      <c r="F3686" s="20" t="inlineStr">
        <is>
          <t>Fiestaclassic</t>
        </is>
      </c>
      <c r="G3686" s="21" t="n">
        <v>2012</v>
      </c>
      <c r="H3686" s="22" t="n">
        <v>106972</v>
      </c>
      <c r="I3686" s="23" t="n">
        <v>95000</v>
      </c>
      <c r="J3686" s="20" t="inlineStr">
        <is>
          <t>AIE CARS PRIVATE LIMITED</t>
        </is>
      </c>
      <c r="K3686" s="20" t="inlineStr">
        <is>
          <t>Non-Captive</t>
        </is>
      </c>
      <c r="L3686" s="20" t="inlineStr">
        <is>
          <t>SANTHOSH CARS</t>
        </is>
      </c>
      <c r="M3686" s="23" t="n">
        <v>2542.37</v>
      </c>
      <c r="N3686" s="23" t="n">
        <v>3000</v>
      </c>
      <c r="O3686" s="24">
        <f>IF(AND(ISNUMBER(M3686), ISNUMBER(I3686), I3686&gt;0), M3686/I3686, "")</f>
        <v/>
      </c>
    </row>
    <row r="3687">
      <c r="A3687" s="19" t="inlineStr">
        <is>
          <t>FY27</t>
        </is>
      </c>
      <c r="B3687" s="19" t="inlineStr">
        <is>
          <t>Aug</t>
        </is>
      </c>
      <c r="C3687" s="19" t="inlineStr">
        <is>
          <t>TN</t>
        </is>
      </c>
      <c r="D3687" s="20" t="inlineStr">
        <is>
          <t>TN22BZ2748</t>
        </is>
      </c>
      <c r="E3687" s="20" t="inlineStr">
        <is>
          <t>MARUTI SUZUKI</t>
        </is>
      </c>
      <c r="F3687" s="20" t="inlineStr">
        <is>
          <t>Alto</t>
        </is>
      </c>
      <c r="G3687" s="21" t="n">
        <v>2007</v>
      </c>
      <c r="H3687" s="22" t="n">
        <v>64120</v>
      </c>
      <c r="I3687" s="23" t="n">
        <v>94000</v>
      </c>
      <c r="J3687" s="20" t="inlineStr">
        <is>
          <t>AIE CARS PRIVATE LIMITED</t>
        </is>
      </c>
      <c r="K3687" s="20" t="inlineStr">
        <is>
          <t>Non-Captive</t>
        </is>
      </c>
      <c r="L3687" s="20" t="inlineStr">
        <is>
          <t>SANTHOSH CARS</t>
        </is>
      </c>
      <c r="M3687" s="23" t="n">
        <v>2542.37</v>
      </c>
      <c r="N3687" s="23" t="n">
        <v>3000</v>
      </c>
      <c r="O3687" s="24">
        <f>IF(AND(ISNUMBER(M3687), ISNUMBER(I3687), I3687&gt;0), M3687/I3687, "")</f>
        <v/>
      </c>
    </row>
    <row r="3688">
      <c r="A3688" s="19" t="inlineStr">
        <is>
          <t>FY27</t>
        </is>
      </c>
      <c r="B3688" s="19" t="inlineStr">
        <is>
          <t>Aug</t>
        </is>
      </c>
      <c r="C3688" s="19" t="inlineStr">
        <is>
          <t>TN</t>
        </is>
      </c>
      <c r="D3688" s="20" t="inlineStr">
        <is>
          <t>TN09BQ3244</t>
        </is>
      </c>
      <c r="E3688" s="20" t="inlineStr">
        <is>
          <t>TATA</t>
        </is>
      </c>
      <c r="F3688" s="20" t="inlineStr">
        <is>
          <t>Indigo</t>
        </is>
      </c>
      <c r="G3688" s="21" t="n">
        <v>2012</v>
      </c>
      <c r="H3688" s="22" t="n">
        <v>97175</v>
      </c>
      <c r="I3688" s="23" t="n">
        <v>98000</v>
      </c>
      <c r="J3688" s="20" t="inlineStr">
        <is>
          <t>AIE CARS PRIVATE LIMITED</t>
        </is>
      </c>
      <c r="K3688" s="20" t="inlineStr">
        <is>
          <t>Non-Captive</t>
        </is>
      </c>
      <c r="L3688" s="20" t="inlineStr">
        <is>
          <t>SANTHOSH CARS</t>
        </is>
      </c>
      <c r="M3688" s="23" t="n">
        <v>2542.37</v>
      </c>
      <c r="N3688" s="23" t="n">
        <v>3000</v>
      </c>
      <c r="O3688" s="24">
        <f>IF(AND(ISNUMBER(M3688), ISNUMBER(I3688), I3688&gt;0), M3688/I3688, "")</f>
        <v/>
      </c>
    </row>
    <row r="3689">
      <c r="A3689" s="19" t="inlineStr">
        <is>
          <t>FY27</t>
        </is>
      </c>
      <c r="B3689" s="19" t="inlineStr">
        <is>
          <t>Aug</t>
        </is>
      </c>
      <c r="C3689" s="19" t="inlineStr">
        <is>
          <t>TN</t>
        </is>
      </c>
      <c r="D3689" s="20" t="inlineStr">
        <is>
          <t>TN02Y5434</t>
        </is>
      </c>
      <c r="E3689" s="20" t="inlineStr">
        <is>
          <t>HONDA</t>
        </is>
      </c>
      <c r="F3689" s="20" t="inlineStr">
        <is>
          <t>City</t>
        </is>
      </c>
      <c r="G3689" s="21" t="n">
        <v>2006</v>
      </c>
      <c r="H3689" s="22" t="n">
        <v>64261</v>
      </c>
      <c r="I3689" s="23" t="n">
        <v>99000</v>
      </c>
      <c r="J3689" s="20" t="inlineStr">
        <is>
          <t>AIE CARS PRIVATE LIMITED</t>
        </is>
      </c>
      <c r="K3689" s="20" t="inlineStr">
        <is>
          <t>Non-Captive</t>
        </is>
      </c>
      <c r="L3689" s="20" t="inlineStr">
        <is>
          <t>SANTHOSH CARS</t>
        </is>
      </c>
      <c r="M3689" s="23" t="n">
        <v>2542.37</v>
      </c>
      <c r="N3689" s="23" t="n">
        <v>3000</v>
      </c>
      <c r="O3689" s="24">
        <f>IF(AND(ISNUMBER(M3689), ISNUMBER(I3689), I3689&gt;0), M3689/I3689, "")</f>
        <v/>
      </c>
    </row>
    <row r="3690">
      <c r="A3690" s="19" t="inlineStr">
        <is>
          <t>FY27</t>
        </is>
      </c>
      <c r="B3690" s="19" t="inlineStr">
        <is>
          <t>Aug</t>
        </is>
      </c>
      <c r="C3690" s="19" t="inlineStr">
        <is>
          <t>TN</t>
        </is>
      </c>
      <c r="D3690" s="20" t="inlineStr">
        <is>
          <t>TN73V0970</t>
        </is>
      </c>
      <c r="E3690" s="20" t="inlineStr">
        <is>
          <t>MARUTI SUZUKI</t>
        </is>
      </c>
      <c r="F3690" s="20" t="inlineStr">
        <is>
          <t>Zen</t>
        </is>
      </c>
      <c r="G3690" s="21" t="n">
        <v>2013</v>
      </c>
      <c r="H3690" s="22" t="n">
        <v>138806</v>
      </c>
      <c r="I3690" s="23" t="n">
        <v>99000</v>
      </c>
      <c r="J3690" s="20" t="inlineStr">
        <is>
          <t>CARS INDIA</t>
        </is>
      </c>
      <c r="K3690" s="20" t="inlineStr">
        <is>
          <t>Non-Captive</t>
        </is>
      </c>
      <c r="L3690" s="20" t="inlineStr">
        <is>
          <t>S2 MOTORZ</t>
        </is>
      </c>
      <c r="M3690" s="23" t="n">
        <v>4237.29</v>
      </c>
      <c r="N3690" s="23" t="n">
        <v>5000</v>
      </c>
      <c r="O3690" s="24">
        <f>IF(AND(ISNUMBER(M3690), ISNUMBER(I3690), I3690&gt;0), M3690/I3690, "")</f>
        <v/>
      </c>
    </row>
    <row r="3691">
      <c r="A3691" s="19" t="inlineStr">
        <is>
          <t>FY27</t>
        </is>
      </c>
      <c r="B3691" s="19" t="inlineStr">
        <is>
          <t>Aug</t>
        </is>
      </c>
      <c r="C3691" s="19" t="inlineStr">
        <is>
          <t>TN</t>
        </is>
      </c>
      <c r="D3691" s="20" t="inlineStr">
        <is>
          <t>TN12A7521</t>
        </is>
      </c>
      <c r="E3691" s="20" t="inlineStr">
        <is>
          <t>MARUTI SUZUKI</t>
        </is>
      </c>
      <c r="F3691" s="20" t="inlineStr">
        <is>
          <t>Swiftdzire</t>
        </is>
      </c>
      <c r="G3691" s="21" t="n">
        <v>2013</v>
      </c>
      <c r="H3691" s="22" t="n">
        <v>55640</v>
      </c>
      <c r="I3691" s="23" t="n">
        <v>89000</v>
      </c>
      <c r="J3691" s="20" t="inlineStr">
        <is>
          <t>CARS INDIA</t>
        </is>
      </c>
      <c r="K3691" s="20" t="inlineStr">
        <is>
          <t>Non-Captive</t>
        </is>
      </c>
      <c r="L3691" s="20" t="inlineStr">
        <is>
          <t>AB CAR ZONE</t>
        </is>
      </c>
      <c r="M3691" s="23" t="n">
        <v>3389.83</v>
      </c>
      <c r="N3691" s="23" t="n">
        <v>4000</v>
      </c>
      <c r="O3691" s="24">
        <f>IF(AND(ISNUMBER(M3691), ISNUMBER(I3691), I3691&gt;0), M3691/I3691, "")</f>
        <v/>
      </c>
    </row>
    <row r="3692">
      <c r="A3692" s="19" t="inlineStr">
        <is>
          <t>FY27</t>
        </is>
      </c>
      <c r="B3692" s="19" t="inlineStr">
        <is>
          <t>Aug</t>
        </is>
      </c>
      <c r="C3692" s="19" t="inlineStr">
        <is>
          <t>TN</t>
        </is>
      </c>
      <c r="D3692" s="20" t="inlineStr">
        <is>
          <t>TN05BF2145</t>
        </is>
      </c>
      <c r="E3692" s="20" t="inlineStr">
        <is>
          <t>HONDA</t>
        </is>
      </c>
      <c r="F3692" s="20" t="inlineStr">
        <is>
          <t>City</t>
        </is>
      </c>
      <c r="G3692" s="21" t="n">
        <v>2016</v>
      </c>
      <c r="H3692" s="22" t="n">
        <v>91568</v>
      </c>
      <c r="I3692" s="23" t="n">
        <v>93000</v>
      </c>
      <c r="J3692" s="20" t="inlineStr">
        <is>
          <t>MM Motor</t>
        </is>
      </c>
      <c r="K3692" s="20" t="inlineStr">
        <is>
          <t>Non-Captive</t>
        </is>
      </c>
      <c r="L3692" s="20" t="inlineStr">
        <is>
          <t>AB CAR ZONE</t>
        </is>
      </c>
      <c r="M3692" s="23" t="n">
        <v>2542.37</v>
      </c>
      <c r="N3692" s="23" t="n">
        <v>3000</v>
      </c>
      <c r="O3692" s="24">
        <f>IF(AND(ISNUMBER(M3692), ISNUMBER(I3692), I3692&gt;0), M3692/I3692, "")</f>
        <v/>
      </c>
    </row>
    <row r="3693">
      <c r="A3693" s="19" t="inlineStr">
        <is>
          <t>FY27</t>
        </is>
      </c>
      <c r="B3693" s="19" t="inlineStr">
        <is>
          <t>Aug</t>
        </is>
      </c>
      <c r="C3693" s="19" t="inlineStr">
        <is>
          <t>TN</t>
        </is>
      </c>
      <c r="D3693" s="20" t="inlineStr">
        <is>
          <t>TN01BM3940</t>
        </is>
      </c>
      <c r="E3693" s="20" t="inlineStr">
        <is>
          <t>MARUTI SUZUKI</t>
        </is>
      </c>
      <c r="F3693" s="20" t="inlineStr">
        <is>
          <t>Swift</t>
        </is>
      </c>
      <c r="G3693" s="21" t="n">
        <v>2021</v>
      </c>
      <c r="H3693" s="22" t="n">
        <v>38088</v>
      </c>
      <c r="I3693" s="23" t="n">
        <v>98000</v>
      </c>
      <c r="J3693" s="20" t="inlineStr">
        <is>
          <t>MM Motor</t>
        </is>
      </c>
      <c r="K3693" s="20" t="inlineStr">
        <is>
          <t>Non-Captive</t>
        </is>
      </c>
      <c r="L3693" s="20" t="inlineStr">
        <is>
          <t>AB CAR ZONE</t>
        </is>
      </c>
      <c r="M3693" s="23" t="n">
        <v>2542.37</v>
      </c>
      <c r="N3693" s="23" t="n">
        <v>3000</v>
      </c>
      <c r="O3693" s="24">
        <f>IF(AND(ISNUMBER(M3693), ISNUMBER(I3693), I3693&gt;0), M3693/I3693, "")</f>
        <v/>
      </c>
    </row>
    <row r="3694">
      <c r="A3694" s="19" t="inlineStr">
        <is>
          <t>FY27</t>
        </is>
      </c>
      <c r="B3694" s="19" t="inlineStr">
        <is>
          <t>Aug</t>
        </is>
      </c>
      <c r="C3694" s="19" t="inlineStr">
        <is>
          <t>TN</t>
        </is>
      </c>
      <c r="D3694" s="20" t="inlineStr">
        <is>
          <t>TN04AV4282</t>
        </is>
      </c>
      <c r="E3694" s="20" t="inlineStr">
        <is>
          <t>HONDA</t>
        </is>
      </c>
      <c r="F3694" s="20" t="inlineStr">
        <is>
          <t>City</t>
        </is>
      </c>
      <c r="G3694" s="21" t="n">
        <v>2018</v>
      </c>
      <c r="H3694" s="22" t="n">
        <v>103910</v>
      </c>
      <c r="I3694" s="23" t="n">
        <v>180000</v>
      </c>
      <c r="J3694" s="20" t="inlineStr">
        <is>
          <t>MM Motor</t>
        </is>
      </c>
      <c r="K3694" s="20" t="inlineStr">
        <is>
          <t>Non-Captive</t>
        </is>
      </c>
      <c r="L3694" s="20" t="inlineStr">
        <is>
          <t>AAA CARS</t>
        </is>
      </c>
      <c r="M3694" s="23" t="n">
        <v>5084.75</v>
      </c>
      <c r="N3694" s="23" t="n">
        <v>6000</v>
      </c>
      <c r="O3694" s="24">
        <f>IF(AND(ISNUMBER(M3694), ISNUMBER(I3694), I3694&gt;0), M3694/I3694, "")</f>
        <v/>
      </c>
    </row>
    <row r="3695">
      <c r="A3695" s="19" t="inlineStr">
        <is>
          <t>FY27</t>
        </is>
      </c>
      <c r="B3695" s="19" t="inlineStr">
        <is>
          <t>Aug</t>
        </is>
      </c>
      <c r="C3695" s="19" t="inlineStr">
        <is>
          <t>TN</t>
        </is>
      </c>
      <c r="D3695" s="20" t="inlineStr">
        <is>
          <t>TN01AR7783</t>
        </is>
      </c>
      <c r="E3695" s="20" t="inlineStr">
        <is>
          <t>HONDA</t>
        </is>
      </c>
      <c r="F3695" s="20" t="inlineStr">
        <is>
          <t>Brio</t>
        </is>
      </c>
      <c r="G3695" s="21" t="n">
        <v>2012</v>
      </c>
      <c r="H3695" s="22" t="n">
        <v>48794</v>
      </c>
      <c r="I3695" s="23" t="n">
        <v>155000</v>
      </c>
      <c r="J3695" s="20" t="inlineStr">
        <is>
          <t>SIVASHANKAR CARS</t>
        </is>
      </c>
      <c r="K3695" s="20" t="inlineStr">
        <is>
          <t>Non-Captive</t>
        </is>
      </c>
      <c r="L3695" s="20" t="inlineStr">
        <is>
          <t>VIJAY CARS ERODE</t>
        </is>
      </c>
      <c r="M3695" s="23" t="n">
        <v>847.46</v>
      </c>
      <c r="N3695" s="23" t="n">
        <v>1000</v>
      </c>
      <c r="O3695" s="24">
        <f>IF(AND(ISNUMBER(M3695), ISNUMBER(I3695), I3695&gt;0), M3695/I3695, "")</f>
        <v/>
      </c>
    </row>
    <row r="3696">
      <c r="A3696" s="19" t="inlineStr">
        <is>
          <t>FY27</t>
        </is>
      </c>
      <c r="B3696" s="19" t="inlineStr">
        <is>
          <t>Aug</t>
        </is>
      </c>
      <c r="C3696" s="19" t="inlineStr">
        <is>
          <t>TN</t>
        </is>
      </c>
      <c r="D3696" s="20" t="inlineStr">
        <is>
          <t>TN78MA7826</t>
        </is>
      </c>
      <c r="E3696" s="20" t="inlineStr">
        <is>
          <t>KIA</t>
        </is>
      </c>
      <c r="F3696" s="20" t="inlineStr">
        <is>
          <t>Sonet</t>
        </is>
      </c>
      <c r="G3696" s="21" t="n">
        <v>2022</v>
      </c>
      <c r="H3696" s="22" t="n">
        <v>52474</v>
      </c>
      <c r="I3696" s="23" t="n">
        <v>660000</v>
      </c>
      <c r="J3696" s="20" t="inlineStr">
        <is>
          <t>EXCHANGE ROTN</t>
        </is>
      </c>
      <c r="K3696" s="20" t="inlineStr">
        <is>
          <t>Captive</t>
        </is>
      </c>
      <c r="L3696" s="20" t="inlineStr">
        <is>
          <t>SAI CARS</t>
        </is>
      </c>
      <c r="M3696" s="23" t="n">
        <v>12711.86</v>
      </c>
      <c r="N3696" s="23" t="n">
        <v>15000</v>
      </c>
      <c r="O3696" s="24">
        <f>IF(AND(ISNUMBER(M3696), ISNUMBER(I3696), I3696&gt;0), M3696/I3696, "")</f>
        <v/>
      </c>
    </row>
    <row r="3697">
      <c r="A3697" s="19" t="inlineStr">
        <is>
          <t>FY27</t>
        </is>
      </c>
      <c r="B3697" s="19" t="inlineStr">
        <is>
          <t>Aug</t>
        </is>
      </c>
      <c r="C3697" s="19" t="inlineStr">
        <is>
          <t>TN</t>
        </is>
      </c>
      <c r="D3697" s="20" t="inlineStr">
        <is>
          <t>TN68AF1717</t>
        </is>
      </c>
      <c r="E3697" s="20" t="inlineStr">
        <is>
          <t>HONDA</t>
        </is>
      </c>
      <c r="F3697" s="20" t="inlineStr">
        <is>
          <t>City</t>
        </is>
      </c>
      <c r="G3697" s="21" t="n">
        <v>2021</v>
      </c>
      <c r="H3697" s="22" t="n">
        <v>54205</v>
      </c>
      <c r="I3697" s="23" t="n">
        <v>510000</v>
      </c>
      <c r="J3697" s="20" t="inlineStr">
        <is>
          <t>TAFE ACCESS LIMITED</t>
        </is>
      </c>
      <c r="K3697" s="20" t="inlineStr">
        <is>
          <t>Non-Captive</t>
        </is>
      </c>
      <c r="L3697" s="20" t="inlineStr">
        <is>
          <t>SIVASHANKAR CARS</t>
        </is>
      </c>
      <c r="M3697" s="23" t="n">
        <v>8474.58</v>
      </c>
      <c r="N3697" s="23" t="n">
        <v>10000</v>
      </c>
      <c r="O3697" s="24">
        <f>IF(AND(ISNUMBER(M3697), ISNUMBER(I3697), I3697&gt;0), M3697/I3697, "")</f>
        <v/>
      </c>
    </row>
    <row r="3698">
      <c r="A3698" s="19" t="inlineStr">
        <is>
          <t>FY27</t>
        </is>
      </c>
      <c r="B3698" s="19" t="inlineStr">
        <is>
          <t>Aug</t>
        </is>
      </c>
      <c r="C3698" s="19" t="inlineStr">
        <is>
          <t>TN</t>
        </is>
      </c>
      <c r="D3698" s="20" t="inlineStr">
        <is>
          <t>TN38BV6364</t>
        </is>
      </c>
      <c r="E3698" s="20" t="inlineStr">
        <is>
          <t>TOYOTA</t>
        </is>
      </c>
      <c r="F3698" s="20" t="inlineStr">
        <is>
          <t>Etios</t>
        </is>
      </c>
      <c r="G3698" s="21" t="n">
        <v>2013</v>
      </c>
      <c r="H3698" s="22" t="n">
        <v>215971</v>
      </c>
      <c r="I3698" s="23" t="n">
        <v>265000</v>
      </c>
      <c r="J3698" s="20" t="inlineStr">
        <is>
          <t>EXCHANGE ROTN</t>
        </is>
      </c>
      <c r="K3698" s="20" t="inlineStr">
        <is>
          <t>Captive</t>
        </is>
      </c>
      <c r="L3698" s="20" t="inlineStr">
        <is>
          <t>SRI MURUGAN CARS</t>
        </is>
      </c>
      <c r="M3698" s="23" t="n">
        <v>8474.58</v>
      </c>
      <c r="N3698" s="23" t="n">
        <v>10000</v>
      </c>
      <c r="O3698" s="24">
        <f>IF(AND(ISNUMBER(M3698), ISNUMBER(I3698), I3698&gt;0), M3698/I3698, "")</f>
        <v/>
      </c>
    </row>
    <row r="3699">
      <c r="A3699" s="19" t="inlineStr">
        <is>
          <t>FY27</t>
        </is>
      </c>
      <c r="B3699" s="19" t="inlineStr">
        <is>
          <t>Aug</t>
        </is>
      </c>
      <c r="C3699" s="19" t="inlineStr">
        <is>
          <t>TN</t>
        </is>
      </c>
      <c r="D3699" s="20" t="inlineStr">
        <is>
          <t>TN38CX2840</t>
        </is>
      </c>
      <c r="E3699" s="20" t="inlineStr">
        <is>
          <t>FORD</t>
        </is>
      </c>
      <c r="F3699" s="20" t="inlineStr">
        <is>
          <t>Ecosport</t>
        </is>
      </c>
      <c r="G3699" s="21" t="n">
        <v>2021</v>
      </c>
      <c r="H3699" s="22" t="n">
        <v>30315</v>
      </c>
      <c r="I3699" s="23" t="n">
        <v>710000</v>
      </c>
      <c r="J3699" s="20" t="inlineStr">
        <is>
          <t>MG MOTOR (RAMANI AUTO PRIVATE LIMITED)</t>
        </is>
      </c>
      <c r="K3699" s="20" t="inlineStr">
        <is>
          <t>Non-Captive</t>
        </is>
      </c>
      <c r="L3699" s="20" t="inlineStr">
        <is>
          <t>SAI CARS</t>
        </is>
      </c>
      <c r="M3699" s="23" t="n">
        <v>12711.86</v>
      </c>
      <c r="N3699" s="23" t="n">
        <v>15000</v>
      </c>
      <c r="O3699" s="24">
        <f>IF(AND(ISNUMBER(M3699), ISNUMBER(I3699), I3699&gt;0), M3699/I3699, "")</f>
        <v/>
      </c>
    </row>
    <row r="3700">
      <c r="A3700" s="19" t="inlineStr">
        <is>
          <t>FY27</t>
        </is>
      </c>
      <c r="B3700" s="19" t="inlineStr">
        <is>
          <t>Aug</t>
        </is>
      </c>
      <c r="C3700" s="19" t="inlineStr">
        <is>
          <t>TN</t>
        </is>
      </c>
      <c r="D3700" s="20" t="inlineStr">
        <is>
          <t>TN10AW8065</t>
        </is>
      </c>
      <c r="E3700" s="20" t="inlineStr">
        <is>
          <t>HONDA</t>
        </is>
      </c>
      <c r="F3700" s="20" t="inlineStr">
        <is>
          <t>City</t>
        </is>
      </c>
      <c r="G3700" s="21" t="n">
        <v>2016</v>
      </c>
      <c r="H3700" s="22" t="n">
        <v>78198</v>
      </c>
      <c r="I3700" s="23" t="n">
        <v>500000</v>
      </c>
      <c r="J3700" s="20" t="inlineStr">
        <is>
          <t>EXCHANGE ROTN</t>
        </is>
      </c>
      <c r="K3700" s="20" t="inlineStr">
        <is>
          <t>Captive</t>
        </is>
      </c>
      <c r="L3700" s="20" t="inlineStr">
        <is>
          <t>GUGHAA CARS</t>
        </is>
      </c>
      <c r="M3700" s="23" t="n">
        <v>12711.86</v>
      </c>
      <c r="N3700" s="23" t="n">
        <v>15000</v>
      </c>
      <c r="O3700" s="24">
        <f>IF(AND(ISNUMBER(M3700), ISNUMBER(I3700), I3700&gt;0), M3700/I3700, "")</f>
        <v/>
      </c>
    </row>
    <row r="3701">
      <c r="A3701" s="19" t="inlineStr">
        <is>
          <t>FY27</t>
        </is>
      </c>
      <c r="B3701" s="19" t="inlineStr">
        <is>
          <t>Aug</t>
        </is>
      </c>
      <c r="C3701" s="19" t="inlineStr">
        <is>
          <t>TN</t>
        </is>
      </c>
      <c r="D3701" s="20" t="inlineStr">
        <is>
          <t>TN58BP7428</t>
        </is>
      </c>
      <c r="E3701" s="20" t="inlineStr">
        <is>
          <t>MARUTI SUZUKI</t>
        </is>
      </c>
      <c r="F3701" s="20" t="inlineStr">
        <is>
          <t>Wagonr</t>
        </is>
      </c>
      <c r="G3701" s="21" t="n">
        <v>2025</v>
      </c>
      <c r="H3701" s="22" t="n">
        <v>19611</v>
      </c>
      <c r="I3701" s="23" t="n">
        <v>547500</v>
      </c>
      <c r="J3701" s="20" t="inlineStr">
        <is>
          <t>EXCHANGE ROTN</t>
        </is>
      </c>
      <c r="K3701" s="20" t="inlineStr">
        <is>
          <t>Captive</t>
        </is>
      </c>
      <c r="L3701" s="20" t="inlineStr">
        <is>
          <t>KSM AUTO CONSULTING</t>
        </is>
      </c>
      <c r="M3701" s="23" t="n">
        <v>12711.86</v>
      </c>
      <c r="N3701" s="23" t="n">
        <v>15000</v>
      </c>
      <c r="O3701" s="24">
        <f>IF(AND(ISNUMBER(M3701), ISNUMBER(I3701), I3701&gt;0), M3701/I3701, "")</f>
        <v/>
      </c>
    </row>
    <row r="3702">
      <c r="A3702" s="19" t="inlineStr">
        <is>
          <t>FY27</t>
        </is>
      </c>
      <c r="B3702" s="19" t="inlineStr">
        <is>
          <t>Aug</t>
        </is>
      </c>
      <c r="C3702" s="19" t="inlineStr">
        <is>
          <t>TN</t>
        </is>
      </c>
      <c r="D3702" s="20" t="inlineStr">
        <is>
          <t>TN59DC7787</t>
        </is>
      </c>
      <c r="E3702" s="20" t="inlineStr">
        <is>
          <t>TOYOTA</t>
        </is>
      </c>
      <c r="F3702" s="20" t="inlineStr">
        <is>
          <t>Glanza</t>
        </is>
      </c>
      <c r="G3702" s="21" t="n">
        <v>2024</v>
      </c>
      <c r="H3702" s="22" t="n">
        <v>18312</v>
      </c>
      <c r="I3702" s="23" t="n">
        <v>740000</v>
      </c>
      <c r="J3702" s="20" t="inlineStr">
        <is>
          <t>EXCHANGE ROTN</t>
        </is>
      </c>
      <c r="K3702" s="20" t="inlineStr">
        <is>
          <t>Captive</t>
        </is>
      </c>
      <c r="L3702" s="20" t="inlineStr">
        <is>
          <t>SUN Cars</t>
        </is>
      </c>
      <c r="M3702" s="23" t="n">
        <v>8474.58</v>
      </c>
      <c r="N3702" s="23" t="n">
        <v>10000</v>
      </c>
      <c r="O3702" s="24">
        <f>IF(AND(ISNUMBER(M3702), ISNUMBER(I3702), I3702&gt;0), M3702/I3702, "")</f>
        <v/>
      </c>
    </row>
    <row r="3703">
      <c r="A3703" s="19" t="inlineStr">
        <is>
          <t>FY27</t>
        </is>
      </c>
      <c r="B3703" s="19" t="inlineStr">
        <is>
          <t>Aug</t>
        </is>
      </c>
      <c r="C3703" s="19" t="inlineStr">
        <is>
          <t>TN</t>
        </is>
      </c>
      <c r="D3703" s="20" t="inlineStr">
        <is>
          <t>TN55AJ0869</t>
        </is>
      </c>
      <c r="E3703" s="20" t="inlineStr">
        <is>
          <t>MARUTI SUZUKI</t>
        </is>
      </c>
      <c r="F3703" s="20" t="inlineStr">
        <is>
          <t>Omni</t>
        </is>
      </c>
      <c r="G3703" s="21" t="n">
        <v>2013</v>
      </c>
      <c r="H3703" s="22" t="n">
        <v>63282</v>
      </c>
      <c r="I3703" s="23" t="n">
        <v>80000</v>
      </c>
      <c r="J3703" s="20" t="inlineStr">
        <is>
          <t>PLA MOTORS</t>
        </is>
      </c>
      <c r="K3703" s="20" t="inlineStr">
        <is>
          <t>Non-Captive</t>
        </is>
      </c>
      <c r="L3703" s="20" t="inlineStr">
        <is>
          <t>READY TO RIDE CARS</t>
        </is>
      </c>
      <c r="M3703" s="23" t="n">
        <v>4237.29</v>
      </c>
      <c r="N3703" s="23" t="n">
        <v>5000</v>
      </c>
      <c r="O3703" s="24">
        <f>IF(AND(ISNUMBER(M3703), ISNUMBER(I3703), I3703&gt;0), M3703/I3703, "")</f>
        <v/>
      </c>
    </row>
    <row r="3704">
      <c r="A3704" s="19" t="inlineStr">
        <is>
          <t>FY27</t>
        </is>
      </c>
      <c r="B3704" s="19" t="inlineStr">
        <is>
          <t>Aug</t>
        </is>
      </c>
      <c r="C3704" s="19" t="inlineStr">
        <is>
          <t>TN</t>
        </is>
      </c>
      <c r="D3704" s="20" t="inlineStr">
        <is>
          <t>TN38BF3606</t>
        </is>
      </c>
      <c r="E3704" s="20" t="inlineStr">
        <is>
          <t>MARUTI SUZUKI</t>
        </is>
      </c>
      <c r="F3704" s="20" t="inlineStr">
        <is>
          <t>Swift</t>
        </is>
      </c>
      <c r="G3704" s="21" t="n">
        <v>2011</v>
      </c>
      <c r="H3704" s="22" t="n">
        <v>153758</v>
      </c>
      <c r="I3704" s="23" t="n">
        <v>90000</v>
      </c>
      <c r="J3704" s="20" t="inlineStr"/>
      <c r="K3704" s="20" t="inlineStr">
        <is>
          <t>Non-Captive</t>
        </is>
      </c>
      <c r="L3704" s="20" t="inlineStr">
        <is>
          <t>READY TO RIDE CARS</t>
        </is>
      </c>
      <c r="M3704" s="23" t="n">
        <v>4237.29</v>
      </c>
      <c r="N3704" s="23" t="n">
        <v>5000</v>
      </c>
      <c r="O3704" s="24">
        <f>IF(AND(ISNUMBER(M3704), ISNUMBER(I3704), I3704&gt;0), M3704/I3704, "")</f>
        <v/>
      </c>
    </row>
    <row r="3705">
      <c r="A3705" s="19" t="inlineStr">
        <is>
          <t>FY27</t>
        </is>
      </c>
      <c r="B3705" s="19" t="inlineStr">
        <is>
          <t>Aug</t>
        </is>
      </c>
      <c r="C3705" s="19" t="inlineStr">
        <is>
          <t>TN</t>
        </is>
      </c>
      <c r="D3705" s="20" t="inlineStr">
        <is>
          <t>TN69M8488</t>
        </is>
      </c>
      <c r="E3705" s="20" t="inlineStr">
        <is>
          <t>FORD</t>
        </is>
      </c>
      <c r="F3705" s="20" t="inlineStr">
        <is>
          <t>Fiesta</t>
        </is>
      </c>
      <c r="G3705" s="21" t="n">
        <v>2008</v>
      </c>
      <c r="H3705" s="22" t="n">
        <v>177000</v>
      </c>
      <c r="I3705" s="23" t="n">
        <v>70000</v>
      </c>
      <c r="J3705" s="20" t="inlineStr">
        <is>
          <t>SIVA AUTOMOTIVE TRADING PRIVATE LIMITED</t>
        </is>
      </c>
      <c r="K3705" s="20" t="inlineStr">
        <is>
          <t>Non-Captive</t>
        </is>
      </c>
      <c r="L3705" s="20" t="inlineStr">
        <is>
          <t>THIRUMALAI CARS (MADURAI)</t>
        </is>
      </c>
      <c r="M3705" s="23" t="n">
        <v>4237.29</v>
      </c>
      <c r="N3705" s="23" t="n">
        <v>5000</v>
      </c>
      <c r="O3705" s="24">
        <f>IF(AND(ISNUMBER(M3705), ISNUMBER(I3705), I3705&gt;0), M3705/I3705, "")</f>
        <v/>
      </c>
    </row>
    <row r="3706">
      <c r="A3706" s="19" t="inlineStr">
        <is>
          <t>FY27</t>
        </is>
      </c>
      <c r="B3706" s="19" t="inlineStr">
        <is>
          <t>Aug</t>
        </is>
      </c>
      <c r="C3706" s="19" t="inlineStr">
        <is>
          <t>TN</t>
        </is>
      </c>
      <c r="D3706" s="20" t="inlineStr">
        <is>
          <t>TN22BL9270</t>
        </is>
      </c>
      <c r="E3706" s="20" t="inlineStr">
        <is>
          <t>MARUTI SUZUKI</t>
        </is>
      </c>
      <c r="F3706" s="20" t="inlineStr">
        <is>
          <t>Wagonr</t>
        </is>
      </c>
      <c r="G3706" s="21" t="n">
        <v>2010</v>
      </c>
      <c r="H3706" s="22" t="n">
        <v>108548</v>
      </c>
      <c r="I3706" s="23" t="n">
        <v>90000</v>
      </c>
      <c r="J3706" s="20" t="inlineStr">
        <is>
          <t>KSM AUTO CONSULTING</t>
        </is>
      </c>
      <c r="K3706" s="20" t="inlineStr">
        <is>
          <t>Non-Captive</t>
        </is>
      </c>
      <c r="L3706" s="20" t="inlineStr">
        <is>
          <t>BALAJI CARS (THENI)</t>
        </is>
      </c>
      <c r="M3706" s="23" t="n">
        <v>4237.29</v>
      </c>
      <c r="N3706" s="23" t="n">
        <v>5000</v>
      </c>
      <c r="O3706" s="24">
        <f>IF(AND(ISNUMBER(M3706), ISNUMBER(I3706), I3706&gt;0), M3706/I3706, "")</f>
        <v/>
      </c>
    </row>
    <row r="3707">
      <c r="A3707" s="19" t="inlineStr">
        <is>
          <t>FY27</t>
        </is>
      </c>
      <c r="B3707" s="19" t="inlineStr">
        <is>
          <t>Aug</t>
        </is>
      </c>
      <c r="C3707" s="19" t="inlineStr">
        <is>
          <t>TN</t>
        </is>
      </c>
      <c r="D3707" s="20" t="inlineStr">
        <is>
          <t>TN59BP1621</t>
        </is>
      </c>
      <c r="E3707" s="20" t="inlineStr">
        <is>
          <t>MARUTI SUZUKI</t>
        </is>
      </c>
      <c r="F3707" s="20" t="inlineStr">
        <is>
          <t>Celerio</t>
        </is>
      </c>
      <c r="G3707" s="21" t="n">
        <v>2017</v>
      </c>
      <c r="H3707" s="22" t="n">
        <v>79498</v>
      </c>
      <c r="I3707" s="23" t="n">
        <v>310000</v>
      </c>
      <c r="J3707" s="20" t="inlineStr">
        <is>
          <t>THIRUMALAI CARS (MADURAI)</t>
        </is>
      </c>
      <c r="K3707" s="20" t="inlineStr">
        <is>
          <t>Non-Captive</t>
        </is>
      </c>
      <c r="L3707" s="20" t="inlineStr">
        <is>
          <t>KSM AUTO CONSULTING</t>
        </is>
      </c>
      <c r="M3707" s="23" t="n">
        <v>8474.58</v>
      </c>
      <c r="N3707" s="23" t="n">
        <v>10000</v>
      </c>
      <c r="O3707" s="24">
        <f>IF(AND(ISNUMBER(M3707), ISNUMBER(I3707), I3707&gt;0), M3707/I3707, "")</f>
        <v/>
      </c>
    </row>
    <row r="3708">
      <c r="A3708" s="19" t="inlineStr">
        <is>
          <t>FY27</t>
        </is>
      </c>
      <c r="B3708" s="19" t="inlineStr">
        <is>
          <t>Aug</t>
        </is>
      </c>
      <c r="C3708" s="19" t="inlineStr">
        <is>
          <t>TN</t>
        </is>
      </c>
      <c r="D3708" s="20" t="inlineStr">
        <is>
          <t>TN07CF0585</t>
        </is>
      </c>
      <c r="E3708" s="20" t="inlineStr">
        <is>
          <t>CHEVROLET</t>
        </is>
      </c>
      <c r="F3708" s="20" t="inlineStr">
        <is>
          <t>Beat</t>
        </is>
      </c>
      <c r="G3708" s="21" t="n">
        <v>2016</v>
      </c>
      <c r="H3708" s="22" t="n">
        <v>71130</v>
      </c>
      <c r="I3708" s="23" t="n">
        <v>60000</v>
      </c>
      <c r="J3708" s="20" t="inlineStr">
        <is>
          <t>PLA MOTORS</t>
        </is>
      </c>
      <c r="K3708" s="20" t="inlineStr">
        <is>
          <t>Non-Captive</t>
        </is>
      </c>
      <c r="L3708" s="20" t="inlineStr">
        <is>
          <t>ASHOKAUTOMAX</t>
        </is>
      </c>
      <c r="M3708" s="23" t="n">
        <v>4237.29</v>
      </c>
      <c r="N3708" s="23" t="n">
        <v>5000</v>
      </c>
      <c r="O3708" s="24">
        <f>IF(AND(ISNUMBER(M3708), ISNUMBER(I3708), I3708&gt;0), M3708/I3708, "")</f>
        <v/>
      </c>
    </row>
    <row r="3709">
      <c r="A3709" s="19" t="inlineStr">
        <is>
          <t>FY27</t>
        </is>
      </c>
      <c r="B3709" s="19" t="inlineStr">
        <is>
          <t>Aug</t>
        </is>
      </c>
      <c r="C3709" s="19" t="inlineStr">
        <is>
          <t>TN</t>
        </is>
      </c>
      <c r="D3709" s="20" t="inlineStr">
        <is>
          <t>TN45BB9617</t>
        </is>
      </c>
      <c r="E3709" s="20" t="inlineStr">
        <is>
          <t>HYUNDAI</t>
        </is>
      </c>
      <c r="F3709" s="20" t="inlineStr">
        <is>
          <t>Eon</t>
        </is>
      </c>
      <c r="G3709" s="21" t="n">
        <v>2012</v>
      </c>
      <c r="H3709" s="22" t="n">
        <v>53009</v>
      </c>
      <c r="I3709" s="23" t="n">
        <v>90000</v>
      </c>
      <c r="J3709" s="20" t="inlineStr">
        <is>
          <t>PLA MOTORS</t>
        </is>
      </c>
      <c r="K3709" s="20" t="inlineStr">
        <is>
          <t>Non-Captive</t>
        </is>
      </c>
      <c r="L3709" s="20" t="inlineStr">
        <is>
          <t>ASHOKAUTOMAX</t>
        </is>
      </c>
      <c r="M3709" s="23" t="n">
        <v>4237.29</v>
      </c>
      <c r="N3709" s="23" t="n">
        <v>5000</v>
      </c>
      <c r="O3709" s="24">
        <f>IF(AND(ISNUMBER(M3709), ISNUMBER(I3709), I3709&gt;0), M3709/I3709, "")</f>
        <v/>
      </c>
    </row>
    <row r="3710">
      <c r="A3710" s="19" t="inlineStr">
        <is>
          <t>FY27</t>
        </is>
      </c>
      <c r="B3710" s="19" t="inlineStr">
        <is>
          <t>Aug</t>
        </is>
      </c>
      <c r="C3710" s="19" t="inlineStr">
        <is>
          <t>TN</t>
        </is>
      </c>
      <c r="D3710" s="20" t="inlineStr">
        <is>
          <t>TN59AU6694</t>
        </is>
      </c>
      <c r="E3710" s="20" t="inlineStr">
        <is>
          <t>CHEVROLET</t>
        </is>
      </c>
      <c r="F3710" s="20" t="inlineStr">
        <is>
          <t>Spark</t>
        </is>
      </c>
      <c r="G3710" s="21" t="n">
        <v>2012</v>
      </c>
      <c r="H3710" s="22" t="n">
        <v>54650</v>
      </c>
      <c r="I3710" s="23" t="n">
        <v>80000</v>
      </c>
      <c r="J3710" s="20" t="inlineStr">
        <is>
          <t>SIVA AUTOMOTIVE TRADING PRIVATE LIMITED</t>
        </is>
      </c>
      <c r="K3710" s="20" t="inlineStr">
        <is>
          <t>Non-Captive</t>
        </is>
      </c>
      <c r="L3710" s="20" t="inlineStr">
        <is>
          <t>READY TO RIDE CARS</t>
        </is>
      </c>
      <c r="M3710" s="23" t="n">
        <v>4237.29</v>
      </c>
      <c r="N3710" s="23" t="n">
        <v>5000</v>
      </c>
      <c r="O3710" s="24">
        <f>IF(AND(ISNUMBER(M3710), ISNUMBER(I3710), I3710&gt;0), M3710/I3710, "")</f>
        <v/>
      </c>
    </row>
    <row r="3711">
      <c r="A3711" s="19" t="inlineStr">
        <is>
          <t>FY27</t>
        </is>
      </c>
      <c r="B3711" s="19" t="inlineStr">
        <is>
          <t>Aug</t>
        </is>
      </c>
      <c r="C3711" s="19" t="inlineStr">
        <is>
          <t>TN</t>
        </is>
      </c>
      <c r="D3711" s="20" t="inlineStr">
        <is>
          <t>TN55AP7081</t>
        </is>
      </c>
      <c r="E3711" s="20" t="inlineStr">
        <is>
          <t>RENAULT</t>
        </is>
      </c>
      <c r="F3711" s="20" t="inlineStr">
        <is>
          <t>Kwid</t>
        </is>
      </c>
      <c r="G3711" s="21" t="n">
        <v>2016</v>
      </c>
      <c r="H3711" s="22" t="n">
        <v>117040</v>
      </c>
      <c r="I3711" s="23" t="n">
        <v>96000</v>
      </c>
      <c r="J3711" s="20" t="inlineStr">
        <is>
          <t>PLA MOTORS</t>
        </is>
      </c>
      <c r="K3711" s="20" t="inlineStr">
        <is>
          <t>Non-Captive</t>
        </is>
      </c>
      <c r="L3711" s="20" t="inlineStr">
        <is>
          <t>READY TO RIDE CARS</t>
        </is>
      </c>
      <c r="M3711" s="23" t="n">
        <v>4237.29</v>
      </c>
      <c r="N3711" s="23" t="n">
        <v>5000</v>
      </c>
      <c r="O3711" s="24">
        <f>IF(AND(ISNUMBER(M3711), ISNUMBER(I3711), I3711&gt;0), M3711/I3711, "")</f>
        <v/>
      </c>
    </row>
    <row r="3712">
      <c r="A3712" s="19" t="inlineStr">
        <is>
          <t>FY27</t>
        </is>
      </c>
      <c r="B3712" s="19" t="inlineStr">
        <is>
          <t>Aug</t>
        </is>
      </c>
      <c r="C3712" s="19" t="inlineStr">
        <is>
          <t>TN</t>
        </is>
      </c>
      <c r="D3712" s="20" t="inlineStr">
        <is>
          <t>TN63AU4260</t>
        </is>
      </c>
      <c r="E3712" s="20" t="inlineStr">
        <is>
          <t>MARUTI SUZUKI</t>
        </is>
      </c>
      <c r="F3712" s="20" t="inlineStr">
        <is>
          <t>Celerio</t>
        </is>
      </c>
      <c r="G3712" s="21" t="n">
        <v>2014</v>
      </c>
      <c r="H3712" s="22" t="n">
        <v>7944</v>
      </c>
      <c r="I3712" s="23" t="n">
        <v>262000</v>
      </c>
      <c r="J3712" s="20" t="inlineStr">
        <is>
          <t>MEENAKSHI AUTO ZONE PRIVATE LIMITED (MARUTI)</t>
        </is>
      </c>
      <c r="K3712" s="20" t="inlineStr">
        <is>
          <t>Non-Captive</t>
        </is>
      </c>
      <c r="L3712" s="20" t="inlineStr">
        <is>
          <t>GGEE Cars</t>
        </is>
      </c>
      <c r="M3712" s="23" t="n">
        <v>8474.58</v>
      </c>
      <c r="N3712" s="23" t="n">
        <v>10000</v>
      </c>
      <c r="O3712" s="24">
        <f>IF(AND(ISNUMBER(M3712), ISNUMBER(I3712), I3712&gt;0), M3712/I3712, "")</f>
        <v/>
      </c>
    </row>
    <row r="3713">
      <c r="A3713" s="19" t="inlineStr">
        <is>
          <t>FY27</t>
        </is>
      </c>
      <c r="B3713" s="19" t="inlineStr">
        <is>
          <t>Aug</t>
        </is>
      </c>
      <c r="C3713" s="19" t="inlineStr">
        <is>
          <t>TN</t>
        </is>
      </c>
      <c r="D3713" s="20" t="inlineStr">
        <is>
          <t>TN55AA2968</t>
        </is>
      </c>
      <c r="E3713" s="20" t="inlineStr">
        <is>
          <t>CHEVROLET</t>
        </is>
      </c>
      <c r="F3713" s="20" t="inlineStr">
        <is>
          <t>Spark</t>
        </is>
      </c>
      <c r="G3713" s="21" t="n">
        <v>2011</v>
      </c>
      <c r="H3713" s="22" t="n">
        <v>132588</v>
      </c>
      <c r="I3713" s="23" t="n">
        <v>35000</v>
      </c>
      <c r="J3713" s="20" t="inlineStr">
        <is>
          <t>GOKUL CARS</t>
        </is>
      </c>
      <c r="K3713" s="20" t="inlineStr">
        <is>
          <t>Non-Captive</t>
        </is>
      </c>
      <c r="L3713" s="20" t="inlineStr">
        <is>
          <t>PURUSOTHAMAN J CARS</t>
        </is>
      </c>
      <c r="M3713" s="23" t="n">
        <v>4237.29</v>
      </c>
      <c r="N3713" s="23" t="n">
        <v>5000</v>
      </c>
      <c r="O3713" s="24">
        <f>IF(AND(ISNUMBER(M3713), ISNUMBER(I3713), I3713&gt;0), M3713/I3713, "")</f>
        <v/>
      </c>
    </row>
    <row r="3714">
      <c r="A3714" s="19" t="inlineStr">
        <is>
          <t>FY27</t>
        </is>
      </c>
      <c r="B3714" s="19" t="inlineStr">
        <is>
          <t>Aug</t>
        </is>
      </c>
      <c r="C3714" s="19" t="inlineStr">
        <is>
          <t>TN</t>
        </is>
      </c>
      <c r="D3714" s="20" t="inlineStr">
        <is>
          <t>TN01AA8487</t>
        </is>
      </c>
      <c r="E3714" s="20" t="inlineStr">
        <is>
          <t>MARUTI SUZUKI</t>
        </is>
      </c>
      <c r="F3714" s="20" t="inlineStr">
        <is>
          <t>Alto</t>
        </is>
      </c>
      <c r="G3714" s="21" t="n">
        <v>2006</v>
      </c>
      <c r="H3714" s="22" t="n">
        <v>117898</v>
      </c>
      <c r="I3714" s="23" t="n">
        <v>55000</v>
      </c>
      <c r="J3714" s="20" t="inlineStr">
        <is>
          <t>GOKUL CARS</t>
        </is>
      </c>
      <c r="K3714" s="20" t="inlineStr">
        <is>
          <t>Non-Captive</t>
        </is>
      </c>
      <c r="L3714" s="20" t="inlineStr">
        <is>
          <t>PURUSOTHAMAN J CARS</t>
        </is>
      </c>
      <c r="M3714" s="23" t="n">
        <v>4237.29</v>
      </c>
      <c r="N3714" s="23" t="n">
        <v>5000</v>
      </c>
      <c r="O3714" s="24">
        <f>IF(AND(ISNUMBER(M3714), ISNUMBER(I3714), I3714&gt;0), M3714/I3714, "")</f>
        <v/>
      </c>
    </row>
    <row r="3715">
      <c r="A3715" s="19" t="inlineStr">
        <is>
          <t>FY27</t>
        </is>
      </c>
      <c r="B3715" s="19" t="inlineStr">
        <is>
          <t>Aug</t>
        </is>
      </c>
      <c r="C3715" s="19" t="inlineStr">
        <is>
          <t>TN</t>
        </is>
      </c>
      <c r="D3715" s="20" t="inlineStr">
        <is>
          <t>TN33AZ5100</t>
        </is>
      </c>
      <c r="E3715" s="20" t="inlineStr">
        <is>
          <t>HYUNDAI</t>
        </is>
      </c>
      <c r="F3715" s="20" t="inlineStr">
        <is>
          <t>Santro</t>
        </is>
      </c>
      <c r="G3715" s="21" t="n">
        <v>2005</v>
      </c>
      <c r="H3715" s="22" t="n">
        <v>153523</v>
      </c>
      <c r="I3715" s="23" t="n">
        <v>103000</v>
      </c>
      <c r="J3715" s="20" t="inlineStr">
        <is>
          <t>EXCHANGE ROTN</t>
        </is>
      </c>
      <c r="K3715" s="20" t="inlineStr">
        <is>
          <t>Captive</t>
        </is>
      </c>
      <c r="L3715" s="20" t="inlineStr">
        <is>
          <t>SAKARAPANI AUTO CONSULTING</t>
        </is>
      </c>
      <c r="M3715" s="23" t="n">
        <v>5084.75</v>
      </c>
      <c r="N3715" s="23" t="n">
        <v>6000</v>
      </c>
      <c r="O3715" s="24">
        <f>IF(AND(ISNUMBER(M3715), ISNUMBER(I3715), I3715&gt;0), M3715/I3715, "")</f>
        <v/>
      </c>
    </row>
    <row r="3716">
      <c r="A3716" s="19" t="inlineStr">
        <is>
          <t>FY27</t>
        </is>
      </c>
      <c r="B3716" s="19" t="inlineStr">
        <is>
          <t>Aug</t>
        </is>
      </c>
      <c r="C3716" s="19" t="inlineStr">
        <is>
          <t>TN</t>
        </is>
      </c>
      <c r="D3716" s="20" t="inlineStr">
        <is>
          <t>TN33AP0070</t>
        </is>
      </c>
      <c r="E3716" s="20" t="inlineStr">
        <is>
          <t>MARUTI SUZUKI</t>
        </is>
      </c>
      <c r="F3716" s="20" t="inlineStr">
        <is>
          <t>Swift</t>
        </is>
      </c>
      <c r="G3716" s="21" t="n">
        <v>2009</v>
      </c>
      <c r="H3716" s="22" t="n">
        <v>225671</v>
      </c>
      <c r="I3716" s="23" t="n">
        <v>95000</v>
      </c>
      <c r="J3716" s="20" t="inlineStr">
        <is>
          <t>SREE SARADHAMBAL AUTOMOBILES PRIVATE LIMITED</t>
        </is>
      </c>
      <c r="K3716" s="20" t="inlineStr">
        <is>
          <t>Non-Captive</t>
        </is>
      </c>
      <c r="L3716" s="20" t="inlineStr">
        <is>
          <t>SIVASHANKAR CARS</t>
        </is>
      </c>
      <c r="M3716" s="23" t="n">
        <v>4237.29</v>
      </c>
      <c r="N3716" s="23" t="n">
        <v>5000</v>
      </c>
      <c r="O3716" s="24">
        <f>IF(AND(ISNUMBER(M3716), ISNUMBER(I3716), I3716&gt;0), M3716/I3716, "")</f>
        <v/>
      </c>
    </row>
    <row r="3717">
      <c r="A3717" s="19" t="inlineStr">
        <is>
          <t>FY27</t>
        </is>
      </c>
      <c r="B3717" s="19" t="inlineStr">
        <is>
          <t>Aug</t>
        </is>
      </c>
      <c r="C3717" s="19" t="inlineStr">
        <is>
          <t>TN</t>
        </is>
      </c>
      <c r="D3717" s="20" t="inlineStr">
        <is>
          <t>TN07AD9540</t>
        </is>
      </c>
      <c r="E3717" s="20" t="inlineStr">
        <is>
          <t>MARUTI SUZUKI</t>
        </is>
      </c>
      <c r="F3717" s="20" t="inlineStr">
        <is>
          <t>800</t>
        </is>
      </c>
      <c r="G3717" s="21" t="n">
        <v>2005</v>
      </c>
      <c r="H3717" s="22" t="n">
        <v>52614</v>
      </c>
      <c r="I3717" s="23" t="n">
        <v>65000</v>
      </c>
      <c r="J3717" s="20" t="inlineStr">
        <is>
          <t>SREE SARADHAMBAL AUTOMOBILES PRIVATE LIMITED</t>
        </is>
      </c>
      <c r="K3717" s="20" t="inlineStr">
        <is>
          <t>Non-Captive</t>
        </is>
      </c>
      <c r="L3717" s="20" t="inlineStr">
        <is>
          <t>SIVASHANKAR CARS</t>
        </is>
      </c>
      <c r="M3717" s="23" t="n">
        <v>4237.29</v>
      </c>
      <c r="N3717" s="23" t="n">
        <v>5000</v>
      </c>
      <c r="O3717" s="24">
        <f>IF(AND(ISNUMBER(M3717), ISNUMBER(I3717), I3717&gt;0), M3717/I3717, "")</f>
        <v/>
      </c>
    </row>
    <row r="3718">
      <c r="A3718" s="19" t="inlineStr">
        <is>
          <t>FY27</t>
        </is>
      </c>
      <c r="B3718" s="19" t="inlineStr">
        <is>
          <t>Aug</t>
        </is>
      </c>
      <c r="C3718" s="19" t="inlineStr">
        <is>
          <t>TN</t>
        </is>
      </c>
      <c r="D3718" s="20" t="inlineStr">
        <is>
          <t>TN07AD3616</t>
        </is>
      </c>
      <c r="E3718" s="20" t="inlineStr">
        <is>
          <t>MARUTI SUZUKI</t>
        </is>
      </c>
      <c r="F3718" s="20" t="inlineStr">
        <is>
          <t>Esteem</t>
        </is>
      </c>
      <c r="G3718" s="21" t="n">
        <v>2004</v>
      </c>
      <c r="H3718" s="22" t="n">
        <v>26481</v>
      </c>
      <c r="I3718" s="23" t="n">
        <v>70000</v>
      </c>
      <c r="J3718" s="20" t="inlineStr">
        <is>
          <t>SREE SARADHAMBAL AUTOMOBILES PRIVATE LIMITED</t>
        </is>
      </c>
      <c r="K3718" s="20" t="inlineStr">
        <is>
          <t>Non-Captive</t>
        </is>
      </c>
      <c r="L3718" s="20" t="inlineStr">
        <is>
          <t>SIVASHANKAR CARS</t>
        </is>
      </c>
      <c r="M3718" s="23" t="n">
        <v>4237.29</v>
      </c>
      <c r="N3718" s="23" t="n">
        <v>5000</v>
      </c>
      <c r="O3718" s="24">
        <f>IF(AND(ISNUMBER(M3718), ISNUMBER(I3718), I3718&gt;0), M3718/I3718, "")</f>
        <v/>
      </c>
    </row>
    <row r="3719">
      <c r="A3719" s="19" t="inlineStr">
        <is>
          <t>FY27</t>
        </is>
      </c>
      <c r="B3719" s="19" t="inlineStr">
        <is>
          <t>Aug</t>
        </is>
      </c>
      <c r="C3719" s="19" t="inlineStr">
        <is>
          <t>TN</t>
        </is>
      </c>
      <c r="D3719" s="20" t="inlineStr">
        <is>
          <t>TN66AP5319</t>
        </is>
      </c>
      <c r="E3719" s="20" t="inlineStr">
        <is>
          <t>NISSAN</t>
        </is>
      </c>
      <c r="F3719" s="20" t="inlineStr">
        <is>
          <t>Magnite</t>
        </is>
      </c>
      <c r="G3719" s="21" t="n">
        <v>2023</v>
      </c>
      <c r="H3719" s="22" t="n">
        <v>12382</v>
      </c>
      <c r="I3719" s="23" t="n">
        <v>430000</v>
      </c>
      <c r="J3719" s="20" t="inlineStr">
        <is>
          <t>EXCHANGE ROTN</t>
        </is>
      </c>
      <c r="K3719" s="20" t="inlineStr">
        <is>
          <t>Captive</t>
        </is>
      </c>
      <c r="L3719" s="20" t="inlineStr">
        <is>
          <t>GUGHAA CARS</t>
        </is>
      </c>
      <c r="M3719" s="23" t="n">
        <v>12711.86</v>
      </c>
      <c r="N3719" s="23" t="n">
        <v>15000</v>
      </c>
      <c r="O3719" s="24">
        <f>IF(AND(ISNUMBER(M3719), ISNUMBER(I3719), I3719&gt;0), M3719/I3719, "")</f>
        <v/>
      </c>
    </row>
    <row r="3720">
      <c r="A3720" s="19" t="inlineStr">
        <is>
          <t>FY27</t>
        </is>
      </c>
      <c r="B3720" s="19" t="inlineStr">
        <is>
          <t>Aug</t>
        </is>
      </c>
      <c r="C3720" s="19" t="inlineStr">
        <is>
          <t>TN</t>
        </is>
      </c>
      <c r="D3720" s="20" t="inlineStr">
        <is>
          <t>TN43D4582</t>
        </is>
      </c>
      <c r="E3720" s="20" t="inlineStr">
        <is>
          <t>MARUTI SUZUKI</t>
        </is>
      </c>
      <c r="F3720" s="20" t="inlineStr">
        <is>
          <t>Alto</t>
        </is>
      </c>
      <c r="G3720" s="21" t="n">
        <v>2011</v>
      </c>
      <c r="H3720" s="22" t="n">
        <v>51693</v>
      </c>
      <c r="I3720" s="23" t="n">
        <v>95000</v>
      </c>
      <c r="J3720" s="20" t="inlineStr">
        <is>
          <t>ABT LIMITED - COIMBATORE</t>
        </is>
      </c>
      <c r="K3720" s="20" t="inlineStr">
        <is>
          <t>Non-Captive</t>
        </is>
      </c>
      <c r="L3720" s="20" t="inlineStr">
        <is>
          <t>SRI VIGNESH PRE OWNED CARS</t>
        </is>
      </c>
      <c r="M3720" s="23" t="n">
        <v>4237.29</v>
      </c>
      <c r="N3720" s="23" t="n">
        <v>5000</v>
      </c>
      <c r="O3720" s="24">
        <f>IF(AND(ISNUMBER(M3720), ISNUMBER(I3720), I3720&gt;0), M3720/I3720, "")</f>
        <v/>
      </c>
    </row>
    <row r="3721">
      <c r="A3721" s="19" t="inlineStr">
        <is>
          <t>FY27</t>
        </is>
      </c>
      <c r="B3721" s="19" t="inlineStr">
        <is>
          <t>Aug</t>
        </is>
      </c>
      <c r="C3721" s="19" t="inlineStr">
        <is>
          <t>TN</t>
        </is>
      </c>
      <c r="D3721" s="20" t="inlineStr">
        <is>
          <t>TN38J0123</t>
        </is>
      </c>
      <c r="E3721" s="20" t="inlineStr">
        <is>
          <t>MARUTI SUZUKI</t>
        </is>
      </c>
      <c r="F3721" s="20" t="inlineStr">
        <is>
          <t>Zen</t>
        </is>
      </c>
      <c r="G3721" s="21" t="n">
        <v>2000</v>
      </c>
      <c r="H3721" s="22" t="n">
        <v>83981</v>
      </c>
      <c r="I3721" s="23" t="n">
        <v>72000</v>
      </c>
      <c r="J3721" s="20" t="inlineStr">
        <is>
          <t>ABT LIMITED - COIMBATORE</t>
        </is>
      </c>
      <c r="K3721" s="20" t="inlineStr">
        <is>
          <t>Non-Captive</t>
        </is>
      </c>
      <c r="L3721" s="20" t="inlineStr">
        <is>
          <t>SRI VIGNESH PRE OWNED CARS</t>
        </is>
      </c>
      <c r="M3721" s="23" t="n">
        <v>4237.29</v>
      </c>
      <c r="N3721" s="23" t="n">
        <v>5000</v>
      </c>
      <c r="O3721" s="24">
        <f>IF(AND(ISNUMBER(M3721), ISNUMBER(I3721), I3721&gt;0), M3721/I3721, "")</f>
        <v/>
      </c>
    </row>
    <row r="3722">
      <c r="A3722" s="19" t="inlineStr">
        <is>
          <t>FY27</t>
        </is>
      </c>
      <c r="B3722" s="19" t="inlineStr">
        <is>
          <t>Aug</t>
        </is>
      </c>
      <c r="C3722" s="19" t="inlineStr">
        <is>
          <t>TN</t>
        </is>
      </c>
      <c r="D3722" s="20" t="inlineStr">
        <is>
          <t>TN38AM3090</t>
        </is>
      </c>
      <c r="E3722" s="20" t="inlineStr">
        <is>
          <t>MARUTI SUZUKI</t>
        </is>
      </c>
      <c r="F3722" s="20" t="inlineStr">
        <is>
          <t>Swift</t>
        </is>
      </c>
      <c r="G3722" s="21" t="n">
        <v>2007</v>
      </c>
      <c r="H3722" s="22" t="n">
        <v>59560</v>
      </c>
      <c r="I3722" s="23" t="n">
        <v>96000</v>
      </c>
      <c r="J3722" s="20" t="inlineStr"/>
      <c r="K3722" s="20" t="inlineStr">
        <is>
          <t>Non-Captive</t>
        </is>
      </c>
      <c r="L3722" s="20" t="inlineStr">
        <is>
          <t>SRI VIGNESH PRE OWNED CARS</t>
        </is>
      </c>
      <c r="M3722" s="23" t="n">
        <v>4237.29</v>
      </c>
      <c r="N3722" s="23" t="n">
        <v>5000</v>
      </c>
      <c r="O3722" s="24">
        <f>IF(AND(ISNUMBER(M3722), ISNUMBER(I3722), I3722&gt;0), M3722/I3722, "")</f>
        <v/>
      </c>
    </row>
    <row r="3723">
      <c r="A3723" s="19" t="inlineStr">
        <is>
          <t>FY27</t>
        </is>
      </c>
      <c r="B3723" s="19" t="inlineStr">
        <is>
          <t>Aug</t>
        </is>
      </c>
      <c r="C3723" s="19" t="inlineStr">
        <is>
          <t>TN</t>
        </is>
      </c>
      <c r="D3723" s="20" t="inlineStr">
        <is>
          <t>TN07BL2170</t>
        </is>
      </c>
      <c r="E3723" s="20" t="inlineStr">
        <is>
          <t>HONDA</t>
        </is>
      </c>
      <c r="F3723" s="20" t="inlineStr">
        <is>
          <t>City</t>
        </is>
      </c>
      <c r="G3723" s="21" t="n">
        <v>2011</v>
      </c>
      <c r="H3723" s="22" t="n">
        <v>41827</v>
      </c>
      <c r="I3723" s="23" t="n">
        <v>240000</v>
      </c>
      <c r="J3723" s="20" t="inlineStr">
        <is>
          <t>EXCHANGE CHENNAI</t>
        </is>
      </c>
      <c r="K3723" s="20" t="inlineStr">
        <is>
          <t>Captive</t>
        </is>
      </c>
      <c r="L3723" s="20" t="inlineStr">
        <is>
          <t>SANTHOSH CARS</t>
        </is>
      </c>
      <c r="M3723" s="23" t="n">
        <v>5932.2</v>
      </c>
      <c r="N3723" s="23" t="n">
        <v>7000</v>
      </c>
      <c r="O3723" s="24">
        <f>IF(AND(ISNUMBER(M3723), ISNUMBER(I3723), I3723&gt;0), M3723/I3723, "")</f>
        <v/>
      </c>
    </row>
    <row r="3724">
      <c r="A3724" s="19" t="inlineStr">
        <is>
          <t>FY27</t>
        </is>
      </c>
      <c r="B3724" s="19" t="inlineStr">
        <is>
          <t>Aug</t>
        </is>
      </c>
      <c r="C3724" s="19" t="inlineStr">
        <is>
          <t>TN</t>
        </is>
      </c>
      <c r="D3724" s="20" t="inlineStr">
        <is>
          <t>TN22BJ8100</t>
        </is>
      </c>
      <c r="E3724" s="20" t="inlineStr">
        <is>
          <t>HONDA</t>
        </is>
      </c>
      <c r="F3724" s="20" t="inlineStr">
        <is>
          <t>Na</t>
        </is>
      </c>
      <c r="G3724" s="21" t="n">
        <v>2010</v>
      </c>
      <c r="H3724" s="22" t="n"/>
      <c r="I3724" s="23" t="n">
        <v>80000</v>
      </c>
      <c r="J3724" s="20" t="inlineStr">
        <is>
          <t>EXCHANGE CHENNAI</t>
        </is>
      </c>
      <c r="K3724" s="20" t="inlineStr">
        <is>
          <t>Captive</t>
        </is>
      </c>
      <c r="L3724" s="20" t="inlineStr">
        <is>
          <t>SANTHOSH CARS</t>
        </is>
      </c>
      <c r="M3724" s="23" t="n">
        <v>4237.29</v>
      </c>
      <c r="N3724" s="23" t="n">
        <v>5000</v>
      </c>
      <c r="O3724" s="24">
        <f>IF(AND(ISNUMBER(M3724), ISNUMBER(I3724), I3724&gt;0), M3724/I3724, "")</f>
        <v/>
      </c>
    </row>
    <row r="3725">
      <c r="A3725" s="19" t="inlineStr">
        <is>
          <t>FY27</t>
        </is>
      </c>
      <c r="B3725" s="19" t="inlineStr">
        <is>
          <t>Aug</t>
        </is>
      </c>
      <c r="C3725" s="19" t="inlineStr">
        <is>
          <t>TN</t>
        </is>
      </c>
      <c r="D3725" s="20" t="inlineStr">
        <is>
          <t>TN02AS2436</t>
        </is>
      </c>
      <c r="E3725" s="20" t="inlineStr">
        <is>
          <t>HYUNDAI</t>
        </is>
      </c>
      <c r="F3725" s="20" t="inlineStr">
        <is>
          <t>I10</t>
        </is>
      </c>
      <c r="G3725" s="21" t="n">
        <v>2011</v>
      </c>
      <c r="H3725" s="22" t="n">
        <v>87924</v>
      </c>
      <c r="I3725" s="23" t="n">
        <v>150000</v>
      </c>
      <c r="J3725" s="20" t="inlineStr">
        <is>
          <t>EXCHANGE CHENNAI</t>
        </is>
      </c>
      <c r="K3725" s="20" t="inlineStr">
        <is>
          <t>Captive</t>
        </is>
      </c>
      <c r="L3725" s="20" t="inlineStr">
        <is>
          <t>SANTHOSH CARS</t>
        </is>
      </c>
      <c r="M3725" s="23" t="n">
        <v>8474.58</v>
      </c>
      <c r="N3725" s="23" t="n">
        <v>10000</v>
      </c>
      <c r="O3725" s="24">
        <f>IF(AND(ISNUMBER(M3725), ISNUMBER(I3725), I3725&gt;0), M3725/I3725, "")</f>
        <v/>
      </c>
    </row>
    <row r="3726">
      <c r="A3726" s="19" t="inlineStr">
        <is>
          <t>FY27</t>
        </is>
      </c>
      <c r="B3726" s="19" t="inlineStr">
        <is>
          <t>Aug</t>
        </is>
      </c>
      <c r="C3726" s="19" t="inlineStr">
        <is>
          <t>TN</t>
        </is>
      </c>
      <c r="D3726" s="20" t="inlineStr">
        <is>
          <t>TN04AT9290</t>
        </is>
      </c>
      <c r="E3726" s="20" t="inlineStr">
        <is>
          <t>HYUNDAI</t>
        </is>
      </c>
      <c r="F3726" s="20" t="inlineStr">
        <is>
          <t>Grand I10</t>
        </is>
      </c>
      <c r="G3726" s="21" t="n">
        <v>2017</v>
      </c>
      <c r="H3726" s="22" t="n">
        <v>57642</v>
      </c>
      <c r="I3726" s="23" t="n">
        <v>260000</v>
      </c>
      <c r="J3726" s="20" t="inlineStr">
        <is>
          <t>EXCHANGE CHENNAI</t>
        </is>
      </c>
      <c r="K3726" s="20" t="inlineStr">
        <is>
          <t>Captive</t>
        </is>
      </c>
      <c r="L3726" s="20" t="inlineStr">
        <is>
          <t>NIRMAL CARS</t>
        </is>
      </c>
      <c r="M3726" s="23" t="n">
        <v>8474.58</v>
      </c>
      <c r="N3726" s="23" t="n">
        <v>10000</v>
      </c>
      <c r="O3726" s="24">
        <f>IF(AND(ISNUMBER(M3726), ISNUMBER(I3726), I3726&gt;0), M3726/I3726, "")</f>
        <v/>
      </c>
    </row>
    <row r="3727">
      <c r="A3727" s="19" t="inlineStr">
        <is>
          <t>FY27</t>
        </is>
      </c>
      <c r="B3727" s="19" t="inlineStr">
        <is>
          <t>Aug</t>
        </is>
      </c>
      <c r="C3727" s="19" t="inlineStr">
        <is>
          <t>TN</t>
        </is>
      </c>
      <c r="D3727" s="20" t="inlineStr">
        <is>
          <t>TN02BD1657</t>
        </is>
      </c>
      <c r="E3727" s="20" t="inlineStr">
        <is>
          <t>MARUTI SUZUKI</t>
        </is>
      </c>
      <c r="F3727" s="20" t="inlineStr">
        <is>
          <t>Dzire</t>
        </is>
      </c>
      <c r="G3727" s="21" t="n">
        <v>2015</v>
      </c>
      <c r="H3727" s="22" t="n">
        <v>83720</v>
      </c>
      <c r="I3727" s="23" t="n">
        <v>310000</v>
      </c>
      <c r="J3727" s="20" t="inlineStr">
        <is>
          <t>EXCHANGE CHENNAI</t>
        </is>
      </c>
      <c r="K3727" s="20" t="inlineStr">
        <is>
          <t>Captive</t>
        </is>
      </c>
      <c r="L3727" s="20" t="inlineStr">
        <is>
          <t>SANTHOSH CARS</t>
        </is>
      </c>
      <c r="M3727" s="23" t="n">
        <v>8474.58</v>
      </c>
      <c r="N3727" s="23" t="n">
        <v>10000</v>
      </c>
      <c r="O3727" s="24">
        <f>IF(AND(ISNUMBER(M3727), ISNUMBER(I3727), I3727&gt;0), M3727/I3727, "")</f>
        <v/>
      </c>
    </row>
    <row r="3728">
      <c r="A3728" s="19" t="inlineStr">
        <is>
          <t>FY27</t>
        </is>
      </c>
      <c r="B3728" s="19" t="inlineStr">
        <is>
          <t>Aug</t>
        </is>
      </c>
      <c r="C3728" s="19" t="inlineStr">
        <is>
          <t>TN</t>
        </is>
      </c>
      <c r="D3728" s="20" t="inlineStr">
        <is>
          <t>TN91A2693</t>
        </is>
      </c>
      <c r="E3728" s="20" t="inlineStr">
        <is>
          <t>HONDA</t>
        </is>
      </c>
      <c r="F3728" s="20" t="inlineStr">
        <is>
          <t>Amaze</t>
        </is>
      </c>
      <c r="G3728" s="21" t="n">
        <v>2015</v>
      </c>
      <c r="H3728" s="22" t="n">
        <v>160036</v>
      </c>
      <c r="I3728" s="23" t="n">
        <v>170000</v>
      </c>
      <c r="J3728" s="20" t="inlineStr">
        <is>
          <t>EXCHANGE CHENNAI</t>
        </is>
      </c>
      <c r="K3728" s="20" t="inlineStr">
        <is>
          <t>Captive</t>
        </is>
      </c>
      <c r="L3728" s="20" t="inlineStr">
        <is>
          <t>SANTHOSH CARS</t>
        </is>
      </c>
      <c r="M3728" s="23" t="n">
        <v>8474.58</v>
      </c>
      <c r="N3728" s="23" t="n">
        <v>10000</v>
      </c>
      <c r="O3728" s="24">
        <f>IF(AND(ISNUMBER(M3728), ISNUMBER(I3728), I3728&gt;0), M3728/I3728, "")</f>
        <v/>
      </c>
    </row>
    <row r="3729">
      <c r="A3729" s="19" t="inlineStr">
        <is>
          <t>FY27</t>
        </is>
      </c>
      <c r="B3729" s="19" t="inlineStr">
        <is>
          <t>Aug</t>
        </is>
      </c>
      <c r="C3729" s="19" t="inlineStr">
        <is>
          <t>TN</t>
        </is>
      </c>
      <c r="D3729" s="20" t="inlineStr">
        <is>
          <t>TN01AJ6798</t>
        </is>
      </c>
      <c r="E3729" s="20" t="inlineStr">
        <is>
          <t>MARUTI SUZUKI</t>
        </is>
      </c>
      <c r="F3729" s="20" t="inlineStr">
        <is>
          <t>Wagonr</t>
        </is>
      </c>
      <c r="G3729" s="21" t="n">
        <v>2009</v>
      </c>
      <c r="H3729" s="22" t="n">
        <v>78373</v>
      </c>
      <c r="I3729" s="23" t="n">
        <v>90000</v>
      </c>
      <c r="J3729" s="20" t="inlineStr">
        <is>
          <t>CASTLE TRADERS Maruti</t>
        </is>
      </c>
      <c r="K3729" s="20" t="inlineStr">
        <is>
          <t>Non-Captive</t>
        </is>
      </c>
      <c r="L3729" s="20" t="inlineStr">
        <is>
          <t>S2 MOTORZ</t>
        </is>
      </c>
      <c r="M3729" s="23" t="n">
        <v>4237.29</v>
      </c>
      <c r="N3729" s="23" t="n">
        <v>5000</v>
      </c>
      <c r="O3729" s="24">
        <f>IF(AND(ISNUMBER(M3729), ISNUMBER(I3729), I3729&gt;0), M3729/I3729, "")</f>
        <v/>
      </c>
    </row>
    <row r="3730">
      <c r="A3730" s="19" t="inlineStr">
        <is>
          <t>FY27</t>
        </is>
      </c>
      <c r="B3730" s="19" t="inlineStr">
        <is>
          <t>Aug</t>
        </is>
      </c>
      <c r="C3730" s="19" t="inlineStr">
        <is>
          <t>TN</t>
        </is>
      </c>
      <c r="D3730" s="20" t="inlineStr">
        <is>
          <t>TN87F0705</t>
        </is>
      </c>
      <c r="E3730" s="20" t="inlineStr">
        <is>
          <t>MARUTI SUZUKI</t>
        </is>
      </c>
      <c r="F3730" s="20" t="inlineStr">
        <is>
          <t>Ignis</t>
        </is>
      </c>
      <c r="G3730" s="21" t="n">
        <v>2023</v>
      </c>
      <c r="H3730" s="22" t="n">
        <v>57804</v>
      </c>
      <c r="I3730" s="23" t="n">
        <v>493000</v>
      </c>
      <c r="J3730" s="20" t="inlineStr">
        <is>
          <t>CASTLE TRADERS Maruti</t>
        </is>
      </c>
      <c r="K3730" s="20" t="inlineStr">
        <is>
          <t>Non-Captive</t>
        </is>
      </c>
      <c r="L3730" s="20" t="inlineStr">
        <is>
          <t>Value Drive Tech</t>
        </is>
      </c>
      <c r="M3730" s="23" t="n">
        <v>5084.75</v>
      </c>
      <c r="N3730" s="23" t="n">
        <v>6000</v>
      </c>
      <c r="O3730" s="24">
        <f>IF(AND(ISNUMBER(M3730), ISNUMBER(I3730), I3730&gt;0), M3730/I3730, "")</f>
        <v/>
      </c>
    </row>
    <row r="3731">
      <c r="A3731" s="19" t="inlineStr">
        <is>
          <t>FY27</t>
        </is>
      </c>
      <c r="B3731" s="19" t="inlineStr">
        <is>
          <t>Aug</t>
        </is>
      </c>
      <c r="C3731" s="19" t="inlineStr">
        <is>
          <t>TN</t>
        </is>
      </c>
      <c r="D3731" s="20" t="inlineStr">
        <is>
          <t>TN04AK6648</t>
        </is>
      </c>
      <c r="E3731" s="20" t="inlineStr">
        <is>
          <t>HYUNDAI</t>
        </is>
      </c>
      <c r="F3731" s="20" t="inlineStr">
        <is>
          <t>I10</t>
        </is>
      </c>
      <c r="G3731" s="21" t="n">
        <v>2012</v>
      </c>
      <c r="H3731" s="22" t="n">
        <v>96742</v>
      </c>
      <c r="I3731" s="23" t="n">
        <v>152000</v>
      </c>
      <c r="J3731" s="20" t="inlineStr">
        <is>
          <t>CASTLE TRADERS Maruti</t>
        </is>
      </c>
      <c r="K3731" s="20" t="inlineStr">
        <is>
          <t>Non-Captive</t>
        </is>
      </c>
      <c r="L3731" s="20" t="inlineStr">
        <is>
          <t>AAA CARS</t>
        </is>
      </c>
      <c r="M3731" s="23" t="n">
        <v>5084.75</v>
      </c>
      <c r="N3731" s="23" t="n">
        <v>6000</v>
      </c>
      <c r="O3731" s="24">
        <f>IF(AND(ISNUMBER(M3731), ISNUMBER(I3731), I3731&gt;0), M3731/I3731, "")</f>
        <v/>
      </c>
    </row>
    <row r="3732">
      <c r="A3732" s="19" t="inlineStr">
        <is>
          <t>FY27</t>
        </is>
      </c>
      <c r="B3732" s="19" t="inlineStr">
        <is>
          <t>Aug</t>
        </is>
      </c>
      <c r="C3732" s="19" t="inlineStr">
        <is>
          <t>TN</t>
        </is>
      </c>
      <c r="D3732" s="20" t="inlineStr">
        <is>
          <t>TN09CB6168</t>
        </is>
      </c>
      <c r="E3732" s="20" t="inlineStr">
        <is>
          <t>MARUTI SUZUKI</t>
        </is>
      </c>
      <c r="F3732" s="20" t="inlineStr">
        <is>
          <t>Ertiga</t>
        </is>
      </c>
      <c r="G3732" s="21" t="n">
        <v>2015</v>
      </c>
      <c r="H3732" s="22" t="n">
        <v>92213</v>
      </c>
      <c r="I3732" s="23" t="n">
        <v>480000</v>
      </c>
      <c r="J3732" s="20" t="inlineStr">
        <is>
          <t>CASTLE TRADERS Maruti</t>
        </is>
      </c>
      <c r="K3732" s="20" t="inlineStr">
        <is>
          <t>Non-Captive</t>
        </is>
      </c>
      <c r="L3732" s="20" t="inlineStr">
        <is>
          <t>PINE AUTOS</t>
        </is>
      </c>
      <c r="M3732" s="23" t="n">
        <v>5084.75</v>
      </c>
      <c r="N3732" s="23" t="n">
        <v>6000</v>
      </c>
      <c r="O3732" s="24">
        <f>IF(AND(ISNUMBER(M3732), ISNUMBER(I3732), I3732&gt;0), M3732/I3732, "")</f>
        <v/>
      </c>
    </row>
    <row r="3733">
      <c r="A3733" s="19" t="inlineStr">
        <is>
          <t>FY27</t>
        </is>
      </c>
      <c r="B3733" s="19" t="inlineStr">
        <is>
          <t>Aug</t>
        </is>
      </c>
      <c r="C3733" s="19" t="inlineStr">
        <is>
          <t>TN</t>
        </is>
      </c>
      <c r="D3733" s="20" t="inlineStr">
        <is>
          <t>TN14AD9088</t>
        </is>
      </c>
      <c r="E3733" s="20" t="inlineStr">
        <is>
          <t>MARUTI SUZUKI</t>
        </is>
      </c>
      <c r="F3733" s="20" t="inlineStr">
        <is>
          <t>Baleno</t>
        </is>
      </c>
      <c r="G3733" s="21" t="n">
        <v>2023</v>
      </c>
      <c r="H3733" s="22" t="n">
        <v>99999</v>
      </c>
      <c r="I3733" s="23" t="n">
        <v>480000</v>
      </c>
      <c r="J3733" s="20" t="inlineStr">
        <is>
          <t>CASTLE TRADERS Maruti</t>
        </is>
      </c>
      <c r="K3733" s="20" t="inlineStr">
        <is>
          <t>Non-Captive</t>
        </is>
      </c>
      <c r="L3733" s="20" t="inlineStr">
        <is>
          <t>Rithika cars</t>
        </is>
      </c>
      <c r="M3733" s="23" t="n">
        <v>5084.75</v>
      </c>
      <c r="N3733" s="23" t="n">
        <v>6000</v>
      </c>
      <c r="O3733" s="24">
        <f>IF(AND(ISNUMBER(M3733), ISNUMBER(I3733), I3733&gt;0), M3733/I3733, "")</f>
        <v/>
      </c>
    </row>
    <row r="3734">
      <c r="A3734" s="19" t="inlineStr">
        <is>
          <t>FY27</t>
        </is>
      </c>
      <c r="B3734" s="19" t="inlineStr">
        <is>
          <t>Aug</t>
        </is>
      </c>
      <c r="C3734" s="19" t="inlineStr">
        <is>
          <t>TN</t>
        </is>
      </c>
      <c r="D3734" s="20" t="inlineStr">
        <is>
          <t>TN22BR3616</t>
        </is>
      </c>
      <c r="E3734" s="20" t="inlineStr">
        <is>
          <t>FORD</t>
        </is>
      </c>
      <c r="F3734" s="20" t="inlineStr">
        <is>
          <t>Figo</t>
        </is>
      </c>
      <c r="G3734" s="21" t="n">
        <v>2010</v>
      </c>
      <c r="H3734" s="22" t="n">
        <v>56334</v>
      </c>
      <c r="I3734" s="23" t="n">
        <v>95000</v>
      </c>
      <c r="J3734" s="20" t="inlineStr">
        <is>
          <t>CASTLE TRADERS Maruti</t>
        </is>
      </c>
      <c r="K3734" s="20" t="inlineStr">
        <is>
          <t>Non-Captive</t>
        </is>
      </c>
      <c r="L3734" s="20" t="inlineStr">
        <is>
          <t>PINE AUTOS</t>
        </is>
      </c>
      <c r="M3734" s="23" t="n">
        <v>4237.29</v>
      </c>
      <c r="N3734" s="23" t="n">
        <v>5000</v>
      </c>
      <c r="O3734" s="24">
        <f>IF(AND(ISNUMBER(M3734), ISNUMBER(I3734), I3734&gt;0), M3734/I3734, "")</f>
        <v/>
      </c>
    </row>
    <row r="3735">
      <c r="A3735" s="19" t="inlineStr">
        <is>
          <t>FY27</t>
        </is>
      </c>
      <c r="B3735" s="19" t="inlineStr">
        <is>
          <t>Aug</t>
        </is>
      </c>
      <c r="C3735" s="19" t="inlineStr">
        <is>
          <t>TN</t>
        </is>
      </c>
      <c r="D3735" s="20" t="inlineStr">
        <is>
          <t>TN73AW2102</t>
        </is>
      </c>
      <c r="E3735" s="20" t="inlineStr">
        <is>
          <t>MARUTI SUZUKI</t>
        </is>
      </c>
      <c r="F3735" s="20" t="inlineStr">
        <is>
          <t>Wagonr</t>
        </is>
      </c>
      <c r="G3735" s="21" t="n">
        <v>2021</v>
      </c>
      <c r="H3735" s="22" t="n">
        <v>98665</v>
      </c>
      <c r="I3735" s="23" t="n">
        <v>370000</v>
      </c>
      <c r="J3735" s="20" t="inlineStr">
        <is>
          <t>CASTLE TRADERS Maruti</t>
        </is>
      </c>
      <c r="K3735" s="20" t="inlineStr">
        <is>
          <t>Non-Captive</t>
        </is>
      </c>
      <c r="L3735" s="20" t="inlineStr">
        <is>
          <t>LANSON QCARS PRIVATE LIMITED</t>
        </is>
      </c>
      <c r="M3735" s="23" t="n">
        <v>4237.29</v>
      </c>
      <c r="N3735" s="23" t="n">
        <v>5000</v>
      </c>
      <c r="O3735" s="24">
        <f>IF(AND(ISNUMBER(M3735), ISNUMBER(I3735), I3735&gt;0), M3735/I3735, "")</f>
        <v/>
      </c>
    </row>
    <row r="3736">
      <c r="A3736" s="19" t="inlineStr">
        <is>
          <t>FY27</t>
        </is>
      </c>
      <c r="B3736" s="19" t="inlineStr">
        <is>
          <t>Aug</t>
        </is>
      </c>
      <c r="C3736" s="19" t="inlineStr">
        <is>
          <t>TN</t>
        </is>
      </c>
      <c r="D3736" s="20" t="inlineStr">
        <is>
          <t>TN37AQ8008</t>
        </is>
      </c>
      <c r="E3736" s="20" t="inlineStr">
        <is>
          <t>HONDA</t>
        </is>
      </c>
      <c r="F3736" s="20" t="inlineStr">
        <is>
          <t>City</t>
        </is>
      </c>
      <c r="G3736" s="21" t="n">
        <v>2006</v>
      </c>
      <c r="H3736" s="22" t="n">
        <v>115060</v>
      </c>
      <c r="I3736" s="23" t="n">
        <v>97000</v>
      </c>
      <c r="J3736" s="20" t="inlineStr">
        <is>
          <t>STEER AUTO TECHNOLOGIES PRIVATE LIMITED</t>
        </is>
      </c>
      <c r="K3736" s="20" t="inlineStr">
        <is>
          <t>Non-Captive</t>
        </is>
      </c>
      <c r="L3736" s="20" t="inlineStr">
        <is>
          <t>NIRMAL CARS</t>
        </is>
      </c>
      <c r="M3736" s="23" t="n">
        <v>2542.37</v>
      </c>
      <c r="N3736" s="23" t="n">
        <v>3000</v>
      </c>
      <c r="O3736" s="24">
        <f>IF(AND(ISNUMBER(M3736), ISNUMBER(I3736), I3736&gt;0), M3736/I3736, "")</f>
        <v/>
      </c>
    </row>
    <row r="3737">
      <c r="A3737" s="19" t="inlineStr">
        <is>
          <t>FY27</t>
        </is>
      </c>
      <c r="B3737" s="19" t="inlineStr">
        <is>
          <t>Aug</t>
        </is>
      </c>
      <c r="C3737" s="19" t="inlineStr">
        <is>
          <t>TN</t>
        </is>
      </c>
      <c r="D3737" s="20" t="inlineStr">
        <is>
          <t>TN22DH6888</t>
        </is>
      </c>
      <c r="E3737" s="20" t="inlineStr">
        <is>
          <t>TATA</t>
        </is>
      </c>
      <c r="F3737" s="20" t="inlineStr">
        <is>
          <t>Safari</t>
        </is>
      </c>
      <c r="G3737" s="21" t="n">
        <v>2017</v>
      </c>
      <c r="H3737" s="22" t="n">
        <v>153238</v>
      </c>
      <c r="I3737" s="23" t="n">
        <v>95000</v>
      </c>
      <c r="J3737" s="20" t="inlineStr">
        <is>
          <t>NIRMAL</t>
        </is>
      </c>
      <c r="K3737" s="20" t="inlineStr">
        <is>
          <t>Non-Captive</t>
        </is>
      </c>
      <c r="L3737" s="20" t="inlineStr">
        <is>
          <t>ESSARPREOWNEDCARS</t>
        </is>
      </c>
      <c r="M3737" s="23" t="n">
        <v>4237.29</v>
      </c>
      <c r="N3737" s="23" t="n">
        <v>5000</v>
      </c>
      <c r="O3737" s="24">
        <f>IF(AND(ISNUMBER(M3737), ISNUMBER(I3737), I3737&gt;0), M3737/I3737, "")</f>
        <v/>
      </c>
    </row>
    <row r="3738">
      <c r="A3738" s="19" t="inlineStr">
        <is>
          <t>FY27</t>
        </is>
      </c>
      <c r="B3738" s="19" t="inlineStr">
        <is>
          <t>Aug</t>
        </is>
      </c>
      <c r="C3738" s="19" t="inlineStr">
        <is>
          <t>TN</t>
        </is>
      </c>
      <c r="D3738" s="20" t="inlineStr">
        <is>
          <t>TN143388</t>
        </is>
      </c>
      <c r="E3738" s="20" t="inlineStr">
        <is>
          <t>HONDA</t>
        </is>
      </c>
      <c r="F3738" s="20" t="inlineStr">
        <is>
          <t>Brio</t>
        </is>
      </c>
      <c r="G3738" s="21" t="n">
        <v>2014</v>
      </c>
      <c r="H3738" s="22" t="n">
        <v>103256</v>
      </c>
      <c r="I3738" s="23" t="n">
        <v>87000</v>
      </c>
      <c r="J3738" s="20" t="inlineStr">
        <is>
          <t>Shree Thiya cars</t>
        </is>
      </c>
      <c r="K3738" s="20" t="inlineStr">
        <is>
          <t>Non-Captive</t>
        </is>
      </c>
      <c r="L3738" s="20" t="inlineStr">
        <is>
          <t>GRID 33</t>
        </is>
      </c>
      <c r="M3738" s="23" t="n">
        <v>2542.37</v>
      </c>
      <c r="N3738" s="23" t="n">
        <v>3000</v>
      </c>
      <c r="O3738" s="24">
        <f>IF(AND(ISNUMBER(M3738), ISNUMBER(I3738), I3738&gt;0), M3738/I3738, "")</f>
        <v/>
      </c>
    </row>
    <row r="3739">
      <c r="A3739" s="19" t="inlineStr">
        <is>
          <t>FY27</t>
        </is>
      </c>
      <c r="B3739" s="19" t="inlineStr">
        <is>
          <t>Aug</t>
        </is>
      </c>
      <c r="C3739" s="19" t="inlineStr">
        <is>
          <t>TN</t>
        </is>
      </c>
      <c r="D3739" s="20" t="inlineStr">
        <is>
          <t>TN10X6536</t>
        </is>
      </c>
      <c r="E3739" s="20" t="inlineStr">
        <is>
          <t>HYUNDAI</t>
        </is>
      </c>
      <c r="F3739" s="20" t="inlineStr">
        <is>
          <t>Santro</t>
        </is>
      </c>
      <c r="G3739" s="21" t="n">
        <v>2009</v>
      </c>
      <c r="H3739" s="22" t="n">
        <v>62092</v>
      </c>
      <c r="I3739" s="23" t="n">
        <v>90000</v>
      </c>
      <c r="J3739" s="20" t="inlineStr">
        <is>
          <t>VISHNU CARS PRIVATE LIMITED</t>
        </is>
      </c>
      <c r="K3739" s="20" t="inlineStr">
        <is>
          <t>Non-Captive</t>
        </is>
      </c>
      <c r="L3739" s="20" t="inlineStr">
        <is>
          <t>GRID 33</t>
        </is>
      </c>
      <c r="M3739" s="23" t="n">
        <v>3389.83</v>
      </c>
      <c r="N3739" s="23" t="n">
        <v>4000</v>
      </c>
      <c r="O3739" s="24">
        <f>IF(AND(ISNUMBER(M3739), ISNUMBER(I3739), I3739&gt;0), M3739/I3739, "")</f>
        <v/>
      </c>
    </row>
    <row r="3740">
      <c r="A3740" s="19" t="inlineStr">
        <is>
          <t>FY27</t>
        </is>
      </c>
      <c r="B3740" s="19" t="inlineStr">
        <is>
          <t>Aug</t>
        </is>
      </c>
      <c r="C3740" s="19" t="inlineStr">
        <is>
          <t>TN</t>
        </is>
      </c>
      <c r="D3740" s="20" t="inlineStr">
        <is>
          <t>TN40X2488</t>
        </is>
      </c>
      <c r="E3740" s="20" t="inlineStr">
        <is>
          <t>HYUNDAI</t>
        </is>
      </c>
      <c r="F3740" s="20" t="inlineStr">
        <is>
          <t>Santro</t>
        </is>
      </c>
      <c r="G3740" s="21" t="n">
        <v>2005</v>
      </c>
      <c r="H3740" s="22" t="n">
        <v>61987</v>
      </c>
      <c r="I3740" s="23" t="n">
        <v>92000</v>
      </c>
      <c r="J3740" s="20" t="inlineStr">
        <is>
          <t>POPULAR VEHICLES AND SERVICES LIMITED</t>
        </is>
      </c>
      <c r="K3740" s="20" t="inlineStr">
        <is>
          <t>Non-Captive</t>
        </is>
      </c>
      <c r="L3740" s="20" t="inlineStr">
        <is>
          <t>GRID 33</t>
        </is>
      </c>
      <c r="M3740" s="23" t="n">
        <v>2542.37</v>
      </c>
      <c r="N3740" s="23" t="n">
        <v>3000</v>
      </c>
      <c r="O3740" s="24">
        <f>IF(AND(ISNUMBER(M3740), ISNUMBER(I3740), I3740&gt;0), M3740/I3740, "")</f>
        <v/>
      </c>
    </row>
    <row r="3741">
      <c r="A3741" s="19" t="inlineStr">
        <is>
          <t>FY27</t>
        </is>
      </c>
      <c r="B3741" s="19" t="inlineStr">
        <is>
          <t>Aug</t>
        </is>
      </c>
      <c r="C3741" s="19" t="inlineStr">
        <is>
          <t>TN</t>
        </is>
      </c>
      <c r="D3741" s="20" t="inlineStr">
        <is>
          <t>TN22CK5189</t>
        </is>
      </c>
      <c r="E3741" s="20" t="inlineStr">
        <is>
          <t>HONDA</t>
        </is>
      </c>
      <c r="F3741" s="20" t="inlineStr">
        <is>
          <t>Amaze</t>
        </is>
      </c>
      <c r="G3741" s="21" t="n">
        <v>2013</v>
      </c>
      <c r="H3741" s="22" t="n">
        <v>107570</v>
      </c>
      <c r="I3741" s="23" t="n">
        <v>96000</v>
      </c>
      <c r="J3741" s="20" t="inlineStr">
        <is>
          <t>FPL AUTOMOBILES PRIVATE LIMITED</t>
        </is>
      </c>
      <c r="K3741" s="20" t="inlineStr">
        <is>
          <t>Non-Captive</t>
        </is>
      </c>
      <c r="L3741" s="20" t="inlineStr">
        <is>
          <t>NIRMAL CARS</t>
        </is>
      </c>
      <c r="M3741" s="23" t="n">
        <v>4237.29</v>
      </c>
      <c r="N3741" s="23" t="n">
        <v>5000</v>
      </c>
      <c r="O3741" s="24">
        <f>IF(AND(ISNUMBER(M3741), ISNUMBER(I3741), I3741&gt;0), M3741/I3741, "")</f>
        <v/>
      </c>
    </row>
    <row r="3742">
      <c r="A3742" s="19" t="inlineStr">
        <is>
          <t>FY27</t>
        </is>
      </c>
      <c r="B3742" s="19" t="inlineStr">
        <is>
          <t>Aug</t>
        </is>
      </c>
      <c r="C3742" s="19" t="inlineStr">
        <is>
          <t>TN</t>
        </is>
      </c>
      <c r="D3742" s="20" t="inlineStr">
        <is>
          <t>TN07BE4077</t>
        </is>
      </c>
      <c r="E3742" s="20" t="inlineStr">
        <is>
          <t>TATA</t>
        </is>
      </c>
      <c r="F3742" s="20" t="inlineStr">
        <is>
          <t>Indica</t>
        </is>
      </c>
      <c r="G3742" s="21" t="n">
        <v>2009</v>
      </c>
      <c r="H3742" s="22" t="n">
        <v>43683</v>
      </c>
      <c r="I3742" s="23" t="n">
        <v>87000</v>
      </c>
      <c r="J3742" s="20" t="inlineStr">
        <is>
          <t>VISHNU CARS PRIVATE LIMITED</t>
        </is>
      </c>
      <c r="K3742" s="20" t="inlineStr">
        <is>
          <t>Non-Captive</t>
        </is>
      </c>
      <c r="L3742" s="20" t="inlineStr">
        <is>
          <t>SANTHOSH CARS</t>
        </is>
      </c>
      <c r="M3742" s="23" t="n">
        <v>2542.37</v>
      </c>
      <c r="N3742" s="23" t="n">
        <v>3000</v>
      </c>
      <c r="O3742" s="24">
        <f>IF(AND(ISNUMBER(M3742), ISNUMBER(I3742), I3742&gt;0), M3742/I3742, "")</f>
        <v/>
      </c>
    </row>
    <row r="3743">
      <c r="A3743" s="19" t="inlineStr">
        <is>
          <t>FY27</t>
        </is>
      </c>
      <c r="B3743" s="19" t="inlineStr">
        <is>
          <t>Aug</t>
        </is>
      </c>
      <c r="C3743" s="19" t="inlineStr">
        <is>
          <t>TN</t>
        </is>
      </c>
      <c r="D3743" s="20" t="inlineStr">
        <is>
          <t>TN10AZ7114</t>
        </is>
      </c>
      <c r="E3743" s="20" t="inlineStr">
        <is>
          <t>HYUNDAI</t>
        </is>
      </c>
      <c r="F3743" s="20" t="inlineStr">
        <is>
          <t>I20</t>
        </is>
      </c>
      <c r="G3743" s="21" t="n">
        <v>2017</v>
      </c>
      <c r="H3743" s="22" t="n">
        <v>74247</v>
      </c>
      <c r="I3743" s="23" t="n">
        <v>97000</v>
      </c>
      <c r="J3743" s="20" t="inlineStr">
        <is>
          <t>CARS INDIA</t>
        </is>
      </c>
      <c r="K3743" s="20" t="inlineStr">
        <is>
          <t>Non-Captive</t>
        </is>
      </c>
      <c r="L3743" s="20" t="inlineStr">
        <is>
          <t>Rithika cars</t>
        </is>
      </c>
      <c r="M3743" s="23" t="n">
        <v>2542.37</v>
      </c>
      <c r="N3743" s="23" t="n">
        <v>3000</v>
      </c>
      <c r="O3743" s="24">
        <f>IF(AND(ISNUMBER(M3743), ISNUMBER(I3743), I3743&gt;0), M3743/I3743, "")</f>
        <v/>
      </c>
    </row>
    <row r="3744">
      <c r="A3744" s="19" t="inlineStr">
        <is>
          <t>FY27</t>
        </is>
      </c>
      <c r="B3744" s="19" t="inlineStr">
        <is>
          <t>Aug</t>
        </is>
      </c>
      <c r="C3744" s="19" t="inlineStr">
        <is>
          <t>TN</t>
        </is>
      </c>
      <c r="D3744" s="20" t="inlineStr">
        <is>
          <t>TN07AT5788</t>
        </is>
      </c>
      <c r="E3744" s="20" t="inlineStr">
        <is>
          <t>MARUTI SUZUKI</t>
        </is>
      </c>
      <c r="F3744" s="20" t="inlineStr">
        <is>
          <t>Alto</t>
        </is>
      </c>
      <c r="G3744" s="21" t="n">
        <v>2007</v>
      </c>
      <c r="H3744" s="22" t="n">
        <v>61450</v>
      </c>
      <c r="I3744" s="23" t="n">
        <v>89000</v>
      </c>
      <c r="J3744" s="20" t="inlineStr">
        <is>
          <t>VISHNU CARS PRIVATE LIMITED</t>
        </is>
      </c>
      <c r="K3744" s="20" t="inlineStr">
        <is>
          <t>Non-Captive</t>
        </is>
      </c>
      <c r="L3744" s="20" t="inlineStr">
        <is>
          <t>SANTHOSH CARS</t>
        </is>
      </c>
      <c r="M3744" s="23" t="n">
        <v>2542.37</v>
      </c>
      <c r="N3744" s="23" t="n">
        <v>3000</v>
      </c>
      <c r="O3744" s="24">
        <f>IF(AND(ISNUMBER(M3744), ISNUMBER(I3744), I3744&gt;0), M3744/I3744, "")</f>
        <v/>
      </c>
    </row>
    <row r="3745">
      <c r="A3745" s="19" t="inlineStr">
        <is>
          <t>FY27</t>
        </is>
      </c>
      <c r="B3745" s="19" t="inlineStr">
        <is>
          <t>Aug</t>
        </is>
      </c>
      <c r="C3745" s="19" t="inlineStr">
        <is>
          <t>TN</t>
        </is>
      </c>
      <c r="D3745" s="20" t="inlineStr">
        <is>
          <t>TN05U4786</t>
        </is>
      </c>
      <c r="E3745" s="20" t="inlineStr">
        <is>
          <t>HYUNDAI</t>
        </is>
      </c>
      <c r="F3745" s="20" t="inlineStr">
        <is>
          <t>Santro</t>
        </is>
      </c>
      <c r="G3745" s="21" t="n">
        <v>2007</v>
      </c>
      <c r="H3745" s="22" t="n">
        <v>156018</v>
      </c>
      <c r="I3745" s="23" t="n">
        <v>92000</v>
      </c>
      <c r="J3745" s="20" t="inlineStr">
        <is>
          <t>VISHNU CARS PRIVATE LIMITED</t>
        </is>
      </c>
      <c r="K3745" s="20" t="inlineStr">
        <is>
          <t>Non-Captive</t>
        </is>
      </c>
      <c r="L3745" s="20" t="inlineStr">
        <is>
          <t>SANTHOSH CARS</t>
        </is>
      </c>
      <c r="M3745" s="23" t="n">
        <v>2542.37</v>
      </c>
      <c r="N3745" s="23" t="n">
        <v>3000</v>
      </c>
      <c r="O3745" s="24">
        <f>IF(AND(ISNUMBER(M3745), ISNUMBER(I3745), I3745&gt;0), M3745/I3745, "")</f>
        <v/>
      </c>
    </row>
    <row r="3746">
      <c r="A3746" s="19" t="inlineStr">
        <is>
          <t>FY27</t>
        </is>
      </c>
      <c r="B3746" s="19" t="inlineStr">
        <is>
          <t>Aug</t>
        </is>
      </c>
      <c r="C3746" s="19" t="inlineStr">
        <is>
          <t>TN</t>
        </is>
      </c>
      <c r="D3746" s="20" t="inlineStr">
        <is>
          <t>TN06K4339</t>
        </is>
      </c>
      <c r="E3746" s="20" t="inlineStr">
        <is>
          <t>HYUNDAI</t>
        </is>
      </c>
      <c r="F3746" s="20" t="inlineStr">
        <is>
          <t>I10</t>
        </is>
      </c>
      <c r="G3746" s="21" t="n">
        <v>2013</v>
      </c>
      <c r="H3746" s="22" t="n">
        <v>21014</v>
      </c>
      <c r="I3746" s="23" t="n">
        <v>96000</v>
      </c>
      <c r="J3746" s="20" t="inlineStr">
        <is>
          <t>VISHNU CARS PRIVATE LIMITED</t>
        </is>
      </c>
      <c r="K3746" s="20" t="inlineStr">
        <is>
          <t>Non-Captive</t>
        </is>
      </c>
      <c r="L3746" s="20" t="inlineStr">
        <is>
          <t>SANTHOSH CARS</t>
        </is>
      </c>
      <c r="M3746" s="23" t="n">
        <v>2542.37</v>
      </c>
      <c r="N3746" s="23" t="n">
        <v>3000</v>
      </c>
      <c r="O3746" s="24">
        <f>IF(AND(ISNUMBER(M3746), ISNUMBER(I3746), I3746&gt;0), M3746/I3746, "")</f>
        <v/>
      </c>
    </row>
    <row r="3747">
      <c r="A3747" s="19" t="inlineStr">
        <is>
          <t>FY27</t>
        </is>
      </c>
      <c r="B3747" s="19" t="inlineStr">
        <is>
          <t>Aug</t>
        </is>
      </c>
      <c r="C3747" s="19" t="inlineStr">
        <is>
          <t>TN</t>
        </is>
      </c>
      <c r="D3747" s="20" t="inlineStr">
        <is>
          <t>TN06S6546</t>
        </is>
      </c>
      <c r="E3747" s="20" t="inlineStr">
        <is>
          <t>MARUTI SUZUKI</t>
        </is>
      </c>
      <c r="F3747" s="20" t="inlineStr">
        <is>
          <t>Swift</t>
        </is>
      </c>
      <c r="G3747" s="21" t="n">
        <v>2016</v>
      </c>
      <c r="H3747" s="22" t="n">
        <v>16662</v>
      </c>
      <c r="I3747" s="23" t="n">
        <v>94000</v>
      </c>
      <c r="J3747" s="20" t="inlineStr">
        <is>
          <t>CARS INDIA</t>
        </is>
      </c>
      <c r="K3747" s="20" t="inlineStr">
        <is>
          <t>Non-Captive</t>
        </is>
      </c>
      <c r="L3747" s="20" t="inlineStr">
        <is>
          <t>PINE AUTOS</t>
        </is>
      </c>
      <c r="M3747" s="23" t="n">
        <v>2542.37</v>
      </c>
      <c r="N3747" s="23" t="n">
        <v>3000</v>
      </c>
      <c r="O3747" s="24">
        <f>IF(AND(ISNUMBER(M3747), ISNUMBER(I3747), I3747&gt;0), M3747/I3747, "")</f>
        <v/>
      </c>
    </row>
    <row r="3748">
      <c r="A3748" s="19" t="inlineStr">
        <is>
          <t>FY27</t>
        </is>
      </c>
      <c r="B3748" s="19" t="inlineStr">
        <is>
          <t>Aug</t>
        </is>
      </c>
      <c r="C3748" s="19" t="inlineStr">
        <is>
          <t>TN</t>
        </is>
      </c>
      <c r="D3748" s="20" t="inlineStr">
        <is>
          <t>PY05P1951</t>
        </is>
      </c>
      <c r="E3748" s="20" t="inlineStr">
        <is>
          <t>HONDA</t>
        </is>
      </c>
      <c r="F3748" s="20" t="inlineStr">
        <is>
          <t>City</t>
        </is>
      </c>
      <c r="G3748" s="21" t="n">
        <v>2008</v>
      </c>
      <c r="H3748" s="22" t="n">
        <v>114431</v>
      </c>
      <c r="I3748" s="23" t="n">
        <v>94000</v>
      </c>
      <c r="J3748" s="20" t="inlineStr">
        <is>
          <t>VISHNU CARS PRIVATE LIMITED</t>
        </is>
      </c>
      <c r="K3748" s="20" t="inlineStr">
        <is>
          <t>Non-Captive</t>
        </is>
      </c>
      <c r="L3748" s="20" t="inlineStr">
        <is>
          <t>SANTHOSH CARS</t>
        </is>
      </c>
      <c r="M3748" s="23" t="n">
        <v>2542.37</v>
      </c>
      <c r="N3748" s="23" t="n">
        <v>3000</v>
      </c>
      <c r="O3748" s="24">
        <f>IF(AND(ISNUMBER(M3748), ISNUMBER(I3748), I3748&gt;0), M3748/I3748, "")</f>
        <v/>
      </c>
    </row>
    <row r="3749">
      <c r="A3749" s="19" t="inlineStr">
        <is>
          <t>FY27</t>
        </is>
      </c>
      <c r="B3749" s="19" t="inlineStr">
        <is>
          <t>Aug</t>
        </is>
      </c>
      <c r="C3749" s="19" t="inlineStr">
        <is>
          <t>TN</t>
        </is>
      </c>
      <c r="D3749" s="20" t="inlineStr">
        <is>
          <t>TN46V7104</t>
        </is>
      </c>
      <c r="E3749" s="20" t="inlineStr">
        <is>
          <t>MARUTI SUZUKI</t>
        </is>
      </c>
      <c r="F3749" s="20" t="inlineStr">
        <is>
          <t>Alto 800</t>
        </is>
      </c>
      <c r="G3749" s="21" t="n">
        <v>2017</v>
      </c>
      <c r="H3749" s="22" t="n">
        <v>149941</v>
      </c>
      <c r="I3749" s="23" t="n">
        <v>92000</v>
      </c>
      <c r="J3749" s="20" t="inlineStr">
        <is>
          <t>PRODUCTIVITY ELEMENTS PRIVATE LIMITED</t>
        </is>
      </c>
      <c r="K3749" s="20" t="inlineStr">
        <is>
          <t>Non-Captive</t>
        </is>
      </c>
      <c r="L3749" s="20" t="inlineStr">
        <is>
          <t>Rithika cars</t>
        </is>
      </c>
      <c r="M3749" s="23" t="n">
        <v>2542.37</v>
      </c>
      <c r="N3749" s="23" t="n">
        <v>3000</v>
      </c>
      <c r="O3749" s="24">
        <f>IF(AND(ISNUMBER(M3749), ISNUMBER(I3749), I3749&gt;0), M3749/I3749, "")</f>
        <v/>
      </c>
    </row>
    <row r="3750">
      <c r="A3750" s="19" t="inlineStr">
        <is>
          <t>FY27</t>
        </is>
      </c>
      <c r="B3750" s="19" t="inlineStr">
        <is>
          <t>Aug</t>
        </is>
      </c>
      <c r="C3750" s="19" t="inlineStr">
        <is>
          <t>TN</t>
        </is>
      </c>
      <c r="D3750" s="20" t="inlineStr">
        <is>
          <t>TN07CT0203</t>
        </is>
      </c>
      <c r="E3750" s="20" t="inlineStr">
        <is>
          <t>HYUNDAI</t>
        </is>
      </c>
      <c r="F3750" s="20" t="inlineStr">
        <is>
          <t>Grand I10</t>
        </is>
      </c>
      <c r="G3750" s="21" t="n">
        <v>2019</v>
      </c>
      <c r="H3750" s="22" t="n">
        <v>65755</v>
      </c>
      <c r="I3750" s="23" t="n">
        <v>99000</v>
      </c>
      <c r="J3750" s="20" t="inlineStr">
        <is>
          <t>PRODUCTIVITY ELEMENTS PRIVATE LIMITED</t>
        </is>
      </c>
      <c r="K3750" s="20" t="inlineStr">
        <is>
          <t>Non-Captive</t>
        </is>
      </c>
      <c r="L3750" s="20" t="inlineStr">
        <is>
          <t>PINE AUTOS</t>
        </is>
      </c>
      <c r="M3750" s="23" t="n">
        <v>2542.37</v>
      </c>
      <c r="N3750" s="23" t="n">
        <v>3000</v>
      </c>
      <c r="O3750" s="24">
        <f>IF(AND(ISNUMBER(M3750), ISNUMBER(I3750), I3750&gt;0), M3750/I3750, "")</f>
        <v/>
      </c>
    </row>
    <row r="3751">
      <c r="A3751" s="19" t="inlineStr">
        <is>
          <t>FY27</t>
        </is>
      </c>
      <c r="B3751" s="19" t="inlineStr">
        <is>
          <t>Aug</t>
        </is>
      </c>
      <c r="C3751" s="19" t="inlineStr">
        <is>
          <t>TN</t>
        </is>
      </c>
      <c r="D3751" s="20" t="inlineStr">
        <is>
          <t>TN18BX1668</t>
        </is>
      </c>
      <c r="E3751" s="20" t="inlineStr">
        <is>
          <t>HYUNDAI</t>
        </is>
      </c>
      <c r="F3751" s="20" t="inlineStr">
        <is>
          <t>Verna</t>
        </is>
      </c>
      <c r="G3751" s="21" t="n">
        <v>2025</v>
      </c>
      <c r="H3751" s="22" t="n">
        <v>29074</v>
      </c>
      <c r="I3751" s="23" t="n">
        <v>89000</v>
      </c>
      <c r="J3751" s="20" t="inlineStr">
        <is>
          <t>PRODUCTIVITY ELEMENTS PRIVATE LIMITED</t>
        </is>
      </c>
      <c r="K3751" s="20" t="inlineStr">
        <is>
          <t>Non-Captive</t>
        </is>
      </c>
      <c r="L3751" s="20" t="inlineStr">
        <is>
          <t>PINE AUTOS</t>
        </is>
      </c>
      <c r="M3751" s="23" t="n">
        <v>2542.37</v>
      </c>
      <c r="N3751" s="23" t="n">
        <v>3000</v>
      </c>
      <c r="O3751" s="24">
        <f>IF(AND(ISNUMBER(M3751), ISNUMBER(I3751), I3751&gt;0), M3751/I3751, "")</f>
        <v/>
      </c>
    </row>
    <row r="3752">
      <c r="A3752" s="19" t="inlineStr">
        <is>
          <t>FY27</t>
        </is>
      </c>
      <c r="B3752" s="19" t="inlineStr">
        <is>
          <t>Aug</t>
        </is>
      </c>
      <c r="C3752" s="19" t="inlineStr">
        <is>
          <t>TN</t>
        </is>
      </c>
      <c r="D3752" s="20" t="inlineStr">
        <is>
          <t>TN05CD4398</t>
        </is>
      </c>
      <c r="E3752" s="20" t="inlineStr">
        <is>
          <t>HYUNDAI</t>
        </is>
      </c>
      <c r="F3752" s="20" t="inlineStr">
        <is>
          <t>Grand I10 Nios</t>
        </is>
      </c>
      <c r="G3752" s="21" t="n">
        <v>2021</v>
      </c>
      <c r="H3752" s="22" t="n">
        <v>50063</v>
      </c>
      <c r="I3752" s="23" t="n">
        <v>79000</v>
      </c>
      <c r="J3752" s="20" t="inlineStr">
        <is>
          <t>SVM CARS PRIVATE LIMITED</t>
        </is>
      </c>
      <c r="K3752" s="20" t="inlineStr">
        <is>
          <t>Non-Captive</t>
        </is>
      </c>
      <c r="L3752" s="20" t="inlineStr">
        <is>
          <t>PINE AUTOS</t>
        </is>
      </c>
      <c r="M3752" s="23" t="n">
        <v>2542.37</v>
      </c>
      <c r="N3752" s="23" t="n">
        <v>3000</v>
      </c>
      <c r="O3752" s="24">
        <f>IF(AND(ISNUMBER(M3752), ISNUMBER(I3752), I3752&gt;0), M3752/I3752, "")</f>
        <v/>
      </c>
    </row>
    <row r="3753">
      <c r="A3753" s="19" t="inlineStr">
        <is>
          <t>FY27</t>
        </is>
      </c>
      <c r="B3753" s="19" t="inlineStr">
        <is>
          <t>Aug</t>
        </is>
      </c>
      <c r="C3753" s="19" t="inlineStr">
        <is>
          <t>TN</t>
        </is>
      </c>
      <c r="D3753" s="20" t="inlineStr">
        <is>
          <t>TN10AV7134</t>
        </is>
      </c>
      <c r="E3753" s="20" t="inlineStr">
        <is>
          <t>HYUNDAI</t>
        </is>
      </c>
      <c r="F3753" s="20" t="inlineStr">
        <is>
          <t>I20</t>
        </is>
      </c>
      <c r="G3753" s="21" t="n">
        <v>2016</v>
      </c>
      <c r="H3753" s="22" t="n">
        <v>103091</v>
      </c>
      <c r="I3753" s="23" t="n">
        <v>92000</v>
      </c>
      <c r="J3753" s="20" t="inlineStr">
        <is>
          <t>Rajalakshmi Cars</t>
        </is>
      </c>
      <c r="K3753" s="20" t="inlineStr">
        <is>
          <t>Non-Captive</t>
        </is>
      </c>
      <c r="L3753" s="20" t="inlineStr">
        <is>
          <t>PINE AUTOS</t>
        </is>
      </c>
      <c r="M3753" s="23" t="n">
        <v>2542.37</v>
      </c>
      <c r="N3753" s="23" t="n">
        <v>3000</v>
      </c>
      <c r="O3753" s="24">
        <f>IF(AND(ISNUMBER(M3753), ISNUMBER(I3753), I3753&gt;0), M3753/I3753, "")</f>
        <v/>
      </c>
    </row>
    <row r="3754">
      <c r="A3754" s="19" t="inlineStr">
        <is>
          <t>FY27</t>
        </is>
      </c>
      <c r="B3754" s="19" t="inlineStr">
        <is>
          <t>Aug</t>
        </is>
      </c>
      <c r="C3754" s="19" t="inlineStr">
        <is>
          <t>TN</t>
        </is>
      </c>
      <c r="D3754" s="20" t="inlineStr">
        <is>
          <t>TN01BD0515</t>
        </is>
      </c>
      <c r="E3754" s="20" t="inlineStr">
        <is>
          <t>RENAULT</t>
        </is>
      </c>
      <c r="F3754" s="20" t="inlineStr">
        <is>
          <t>Kwid</t>
        </is>
      </c>
      <c r="G3754" s="21" t="n">
        <v>2017</v>
      </c>
      <c r="H3754" s="22" t="n">
        <v>31961</v>
      </c>
      <c r="I3754" s="23" t="n">
        <v>99000</v>
      </c>
      <c r="J3754" s="20" t="inlineStr">
        <is>
          <t>Rajalakshmi Cars</t>
        </is>
      </c>
      <c r="K3754" s="20" t="inlineStr">
        <is>
          <t>Non-Captive</t>
        </is>
      </c>
      <c r="L3754" s="20" t="inlineStr">
        <is>
          <t>PINE AUTOS</t>
        </is>
      </c>
      <c r="M3754" s="23" t="n">
        <v>2542.37</v>
      </c>
      <c r="N3754" s="23" t="n">
        <v>3000</v>
      </c>
      <c r="O3754" s="24">
        <f>IF(AND(ISNUMBER(M3754), ISNUMBER(I3754), I3754&gt;0), M3754/I3754, "")</f>
        <v/>
      </c>
    </row>
    <row r="3755">
      <c r="A3755" s="19" t="inlineStr">
        <is>
          <t>FY27</t>
        </is>
      </c>
      <c r="B3755" s="19" t="inlineStr">
        <is>
          <t>Aug</t>
        </is>
      </c>
      <c r="C3755" s="19" t="inlineStr">
        <is>
          <t>TN</t>
        </is>
      </c>
      <c r="D3755" s="20" t="inlineStr">
        <is>
          <t>TN39AD7080</t>
        </is>
      </c>
      <c r="E3755" s="20" t="inlineStr">
        <is>
          <t>HYUNDAI</t>
        </is>
      </c>
      <c r="F3755" s="20" t="inlineStr">
        <is>
          <t>Santro</t>
        </is>
      </c>
      <c r="G3755" s="21" t="n">
        <v>2005</v>
      </c>
      <c r="H3755" s="22" t="n">
        <v>71534</v>
      </c>
      <c r="I3755" s="23" t="n">
        <v>87000</v>
      </c>
      <c r="J3755" s="20" t="inlineStr">
        <is>
          <t>PRODUCTIVITY ELEMENTS PRIVATE LIMITED</t>
        </is>
      </c>
      <c r="K3755" s="20" t="inlineStr">
        <is>
          <t>Non-Captive</t>
        </is>
      </c>
      <c r="L3755" s="20" t="inlineStr">
        <is>
          <t>PINE AUTOS</t>
        </is>
      </c>
      <c r="M3755" s="23" t="n">
        <v>2542.37</v>
      </c>
      <c r="N3755" s="23" t="n">
        <v>3000</v>
      </c>
      <c r="O3755" s="24">
        <f>IF(AND(ISNUMBER(M3755), ISNUMBER(I3755), I3755&gt;0), M3755/I3755, "")</f>
        <v/>
      </c>
    </row>
    <row r="3756">
      <c r="A3756" s="19" t="inlineStr">
        <is>
          <t>FY27</t>
        </is>
      </c>
      <c r="B3756" s="19" t="inlineStr">
        <is>
          <t>Aug</t>
        </is>
      </c>
      <c r="C3756" s="19" t="inlineStr">
        <is>
          <t>TN</t>
        </is>
      </c>
      <c r="D3756" s="20" t="inlineStr">
        <is>
          <t>TN12AF4001</t>
        </is>
      </c>
      <c r="E3756" s="20" t="inlineStr">
        <is>
          <t>MARUTI SUZUKI</t>
        </is>
      </c>
      <c r="F3756" s="20" t="inlineStr">
        <is>
          <t>Celerio</t>
        </is>
      </c>
      <c r="G3756" s="21" t="n">
        <v>2019</v>
      </c>
      <c r="H3756" s="22" t="n">
        <v>38226</v>
      </c>
      <c r="I3756" s="23" t="n">
        <v>85000</v>
      </c>
      <c r="J3756" s="20" t="inlineStr">
        <is>
          <t>Rajalakshmi Cars</t>
        </is>
      </c>
      <c r="K3756" s="20" t="inlineStr">
        <is>
          <t>Non-Captive</t>
        </is>
      </c>
      <c r="L3756" s="20" t="inlineStr">
        <is>
          <t>PINE AUTOS</t>
        </is>
      </c>
      <c r="M3756" s="23" t="n">
        <v>2542.37</v>
      </c>
      <c r="N3756" s="23" t="n">
        <v>3000</v>
      </c>
      <c r="O3756" s="24">
        <f>IF(AND(ISNUMBER(M3756), ISNUMBER(I3756), I3756&gt;0), M3756/I3756, "")</f>
        <v/>
      </c>
    </row>
    <row r="3757">
      <c r="A3757" s="19" t="inlineStr">
        <is>
          <t>FY27</t>
        </is>
      </c>
      <c r="B3757" s="19" t="inlineStr">
        <is>
          <t>Aug</t>
        </is>
      </c>
      <c r="C3757" s="19" t="inlineStr">
        <is>
          <t>TN</t>
        </is>
      </c>
      <c r="D3757" s="20" t="inlineStr">
        <is>
          <t>TN20CT4506</t>
        </is>
      </c>
      <c r="E3757" s="20" t="inlineStr">
        <is>
          <t>MARUTI SUZUKI</t>
        </is>
      </c>
      <c r="F3757" s="20" t="inlineStr">
        <is>
          <t>Eeco</t>
        </is>
      </c>
      <c r="G3757" s="21" t="n">
        <v>2017</v>
      </c>
      <c r="H3757" s="22" t="n">
        <v>168219</v>
      </c>
      <c r="I3757" s="23" t="n">
        <v>99000</v>
      </c>
      <c r="J3757" s="20" t="inlineStr">
        <is>
          <t>CARS INDIA</t>
        </is>
      </c>
      <c r="K3757" s="20" t="inlineStr">
        <is>
          <t>Non-Captive</t>
        </is>
      </c>
      <c r="L3757" s="20" t="inlineStr">
        <is>
          <t>PINE AUTOS</t>
        </is>
      </c>
      <c r="M3757" s="23" t="n">
        <v>2542.37</v>
      </c>
      <c r="N3757" s="23" t="n">
        <v>3000</v>
      </c>
      <c r="O3757" s="24">
        <f>IF(AND(ISNUMBER(M3757), ISNUMBER(I3757), I3757&gt;0), M3757/I3757, "")</f>
        <v/>
      </c>
    </row>
    <row r="3758">
      <c r="A3758" s="19" t="inlineStr">
        <is>
          <t>FY27</t>
        </is>
      </c>
      <c r="B3758" s="19" t="inlineStr">
        <is>
          <t>Aug</t>
        </is>
      </c>
      <c r="C3758" s="19" t="inlineStr">
        <is>
          <t>TN</t>
        </is>
      </c>
      <c r="D3758" s="20" t="inlineStr">
        <is>
          <t>TN09AX7389</t>
        </is>
      </c>
      <c r="E3758" s="20" t="inlineStr">
        <is>
          <t>HYUNDAI</t>
        </is>
      </c>
      <c r="F3758" s="20" t="inlineStr">
        <is>
          <t>I10</t>
        </is>
      </c>
      <c r="G3758" s="21" t="n">
        <v>2008</v>
      </c>
      <c r="H3758" s="22" t="n">
        <v>86506</v>
      </c>
      <c r="I3758" s="23" t="n">
        <v>88000</v>
      </c>
      <c r="J3758" s="20" t="inlineStr">
        <is>
          <t>STEER AUTO TECHNOLOGIES PRIVATE LIMITED</t>
        </is>
      </c>
      <c r="K3758" s="20" t="inlineStr">
        <is>
          <t>Non-Captive</t>
        </is>
      </c>
      <c r="L3758" s="20" t="inlineStr">
        <is>
          <t>PINE AUTOS</t>
        </is>
      </c>
      <c r="M3758" s="23" t="n">
        <v>2542.37</v>
      </c>
      <c r="N3758" s="23" t="n">
        <v>3000</v>
      </c>
      <c r="O3758" s="24">
        <f>IF(AND(ISNUMBER(M3758), ISNUMBER(I3758), I3758&gt;0), M3758/I3758, "")</f>
        <v/>
      </c>
    </row>
    <row r="3759">
      <c r="A3759" s="19" t="inlineStr">
        <is>
          <t>FY27</t>
        </is>
      </c>
      <c r="B3759" s="19" t="inlineStr">
        <is>
          <t>Aug</t>
        </is>
      </c>
      <c r="C3759" s="19" t="inlineStr">
        <is>
          <t>TN</t>
        </is>
      </c>
      <c r="D3759" s="20" t="inlineStr">
        <is>
          <t>TN14C2640</t>
        </is>
      </c>
      <c r="E3759" s="20" t="inlineStr">
        <is>
          <t>FIAT</t>
        </is>
      </c>
      <c r="F3759" s="20" t="inlineStr">
        <is>
          <t>Grand Punto</t>
        </is>
      </c>
      <c r="G3759" s="21" t="n">
        <v>2015</v>
      </c>
      <c r="H3759" s="22" t="n">
        <v>122798</v>
      </c>
      <c r="I3759" s="23" t="n">
        <v>97000</v>
      </c>
      <c r="J3759" s="20" t="inlineStr">
        <is>
          <t>CASTLE TRADERS Maruti</t>
        </is>
      </c>
      <c r="K3759" s="20" t="inlineStr">
        <is>
          <t>Non-Captive</t>
        </is>
      </c>
      <c r="L3759" s="20" t="inlineStr">
        <is>
          <t>PINE AUTOS</t>
        </is>
      </c>
      <c r="M3759" s="23" t="n">
        <v>2542.37</v>
      </c>
      <c r="N3759" s="23" t="n">
        <v>3000</v>
      </c>
      <c r="O3759" s="24">
        <f>IF(AND(ISNUMBER(M3759), ISNUMBER(I3759), I3759&gt;0), M3759/I3759, "")</f>
        <v/>
      </c>
    </row>
    <row r="3760">
      <c r="A3760" s="19" t="inlineStr">
        <is>
          <t>FY27</t>
        </is>
      </c>
      <c r="B3760" s="19" t="inlineStr">
        <is>
          <t>Aug</t>
        </is>
      </c>
      <c r="C3760" s="19" t="inlineStr">
        <is>
          <t>TN</t>
        </is>
      </c>
      <c r="D3760" s="20" t="inlineStr">
        <is>
          <t>TN04AM6900</t>
        </is>
      </c>
      <c r="E3760" s="20" t="inlineStr">
        <is>
          <t>HYUNDAI</t>
        </is>
      </c>
      <c r="F3760" s="20" t="inlineStr">
        <is>
          <t>Grand I10</t>
        </is>
      </c>
      <c r="G3760" s="21" t="n">
        <v>2014</v>
      </c>
      <c r="H3760" s="22" t="n">
        <v>40954</v>
      </c>
      <c r="I3760" s="23" t="n">
        <v>91000</v>
      </c>
      <c r="J3760" s="20" t="inlineStr">
        <is>
          <t>Cresco cars</t>
        </is>
      </c>
      <c r="K3760" s="20" t="inlineStr">
        <is>
          <t>Non-Captive</t>
        </is>
      </c>
      <c r="L3760" s="20" t="inlineStr">
        <is>
          <t>PINE AUTOS</t>
        </is>
      </c>
      <c r="M3760" s="23" t="n">
        <v>3389.83</v>
      </c>
      <c r="N3760" s="23" t="n">
        <v>4000</v>
      </c>
      <c r="O3760" s="24">
        <f>IF(AND(ISNUMBER(M3760), ISNUMBER(I3760), I3760&gt;0), M3760/I3760, "")</f>
        <v/>
      </c>
    </row>
    <row r="3761">
      <c r="A3761" s="19" t="inlineStr">
        <is>
          <t>FY27</t>
        </is>
      </c>
      <c r="B3761" s="19" t="inlineStr">
        <is>
          <t>Aug</t>
        </is>
      </c>
      <c r="C3761" s="19" t="inlineStr">
        <is>
          <t>TN</t>
        </is>
      </c>
      <c r="D3761" s="20" t="inlineStr">
        <is>
          <t>TN09AS4984</t>
        </is>
      </c>
      <c r="E3761" s="20" t="inlineStr">
        <is>
          <t>HONDA</t>
        </is>
      </c>
      <c r="F3761" s="20" t="inlineStr">
        <is>
          <t>City</t>
        </is>
      </c>
      <c r="G3761" s="21" t="n">
        <v>2007</v>
      </c>
      <c r="H3761" s="22" t="n">
        <v>93634</v>
      </c>
      <c r="I3761" s="23" t="n">
        <v>96000</v>
      </c>
      <c r="J3761" s="20" t="inlineStr">
        <is>
          <t>VISHNU CARS PRIVATE LIMITED</t>
        </is>
      </c>
      <c r="K3761" s="20" t="inlineStr">
        <is>
          <t>Non-Captive</t>
        </is>
      </c>
      <c r="L3761" s="20" t="inlineStr">
        <is>
          <t>NIRMAL CARS</t>
        </is>
      </c>
      <c r="M3761" s="23" t="n">
        <v>2542.37</v>
      </c>
      <c r="N3761" s="23" t="n">
        <v>3000</v>
      </c>
      <c r="O3761" s="24">
        <f>IF(AND(ISNUMBER(M3761), ISNUMBER(I3761), I3761&gt;0), M3761/I3761, "")</f>
        <v/>
      </c>
    </row>
    <row r="3762">
      <c r="A3762" s="19" t="inlineStr">
        <is>
          <t>FY27</t>
        </is>
      </c>
      <c r="B3762" s="19" t="inlineStr">
        <is>
          <t>Aug</t>
        </is>
      </c>
      <c r="C3762" s="19" t="inlineStr">
        <is>
          <t>TN</t>
        </is>
      </c>
      <c r="D3762" s="20" t="inlineStr">
        <is>
          <t>TN10BB5820</t>
        </is>
      </c>
      <c r="E3762" s="20" t="inlineStr">
        <is>
          <t>MARUTI SUZUKI</t>
        </is>
      </c>
      <c r="F3762" s="20" t="inlineStr">
        <is>
          <t>Dzire</t>
        </is>
      </c>
      <c r="G3762" s="21" t="n">
        <v>2017</v>
      </c>
      <c r="H3762" s="22" t="n">
        <v>55442</v>
      </c>
      <c r="I3762" s="23" t="n">
        <v>93000</v>
      </c>
      <c r="J3762" s="20" t="inlineStr">
        <is>
          <t>SVM CARS PRIVATE LIMITED</t>
        </is>
      </c>
      <c r="K3762" s="20" t="inlineStr">
        <is>
          <t>Non-Captive</t>
        </is>
      </c>
      <c r="L3762" s="20" t="inlineStr">
        <is>
          <t>PINE AUTOS</t>
        </is>
      </c>
      <c r="M3762" s="23" t="n">
        <v>2542.37</v>
      </c>
      <c r="N3762" s="23" t="n">
        <v>3000</v>
      </c>
      <c r="O3762" s="24">
        <f>IF(AND(ISNUMBER(M3762), ISNUMBER(I3762), I3762&gt;0), M3762/I3762, "")</f>
        <v/>
      </c>
    </row>
    <row r="3763">
      <c r="A3763" s="19" t="inlineStr">
        <is>
          <t>FY27</t>
        </is>
      </c>
      <c r="B3763" s="19" t="inlineStr">
        <is>
          <t>Aug</t>
        </is>
      </c>
      <c r="C3763" s="19" t="inlineStr">
        <is>
          <t>TN</t>
        </is>
      </c>
      <c r="D3763" s="20" t="inlineStr">
        <is>
          <t>TN85Z3724</t>
        </is>
      </c>
      <c r="E3763" s="20" t="inlineStr">
        <is>
          <t>HYUNDAI</t>
        </is>
      </c>
      <c r="F3763" s="20" t="inlineStr">
        <is>
          <t>I10</t>
        </is>
      </c>
      <c r="G3763" s="21" t="n">
        <v>2026</v>
      </c>
      <c r="H3763" s="22" t="n">
        <v>8524</v>
      </c>
      <c r="I3763" s="23" t="n">
        <v>95000</v>
      </c>
      <c r="J3763" s="20" t="inlineStr">
        <is>
          <t>CASTLE TRADERS Maruti</t>
        </is>
      </c>
      <c r="K3763" s="20" t="inlineStr">
        <is>
          <t>Non-Captive</t>
        </is>
      </c>
      <c r="L3763" s="20" t="inlineStr">
        <is>
          <t>PINE AUTOS</t>
        </is>
      </c>
      <c r="M3763" s="23" t="n">
        <v>2542.37</v>
      </c>
      <c r="N3763" s="23" t="n">
        <v>3000</v>
      </c>
      <c r="O3763" s="24">
        <f>IF(AND(ISNUMBER(M3763), ISNUMBER(I3763), I3763&gt;0), M3763/I3763, "")</f>
        <v/>
      </c>
    </row>
    <row r="3764">
      <c r="A3764" s="19" t="inlineStr">
        <is>
          <t>FY27</t>
        </is>
      </c>
      <c r="B3764" s="19" t="inlineStr">
        <is>
          <t>Aug</t>
        </is>
      </c>
      <c r="C3764" s="19" t="inlineStr">
        <is>
          <t>TN</t>
        </is>
      </c>
      <c r="D3764" s="20" t="inlineStr">
        <is>
          <t>TN01W4601</t>
        </is>
      </c>
      <c r="E3764" s="20" t="inlineStr">
        <is>
          <t>HYUNDAI</t>
        </is>
      </c>
      <c r="F3764" s="20" t="inlineStr">
        <is>
          <t>Santro</t>
        </is>
      </c>
      <c r="G3764" s="21" t="n">
        <v>2003</v>
      </c>
      <c r="H3764" s="22" t="n">
        <v>31742</v>
      </c>
      <c r="I3764" s="23" t="n">
        <v>94000</v>
      </c>
      <c r="J3764" s="20" t="inlineStr">
        <is>
          <t>VISHNU CARS PRIVATE LIMITED</t>
        </is>
      </c>
      <c r="K3764" s="20" t="inlineStr">
        <is>
          <t>Non-Captive</t>
        </is>
      </c>
      <c r="L3764" s="20" t="inlineStr">
        <is>
          <t>SANTHOSH CARS</t>
        </is>
      </c>
      <c r="M3764" s="23" t="n">
        <v>4237.29</v>
      </c>
      <c r="N3764" s="23" t="n">
        <v>5000</v>
      </c>
      <c r="O3764" s="24">
        <f>IF(AND(ISNUMBER(M3764), ISNUMBER(I3764), I3764&gt;0), M3764/I3764, "")</f>
        <v/>
      </c>
    </row>
    <row r="3765">
      <c r="A3765" s="19" t="inlineStr">
        <is>
          <t>FY27</t>
        </is>
      </c>
      <c r="B3765" s="19" t="inlineStr">
        <is>
          <t>Aug</t>
        </is>
      </c>
      <c r="C3765" s="19" t="inlineStr">
        <is>
          <t>TN</t>
        </is>
      </c>
      <c r="D3765" s="20" t="inlineStr">
        <is>
          <t>TN02BS5601</t>
        </is>
      </c>
      <c r="E3765" s="20" t="inlineStr">
        <is>
          <t>KIA</t>
        </is>
      </c>
      <c r="F3765" s="20" t="inlineStr">
        <is>
          <t>Seltos</t>
        </is>
      </c>
      <c r="G3765" s="21" t="n">
        <v>2020</v>
      </c>
      <c r="H3765" s="22" t="n">
        <v>70798</v>
      </c>
      <c r="I3765" s="23" t="n">
        <v>98000</v>
      </c>
      <c r="J3765" s="20" t="inlineStr">
        <is>
          <t>CARS INDIA</t>
        </is>
      </c>
      <c r="K3765" s="20" t="inlineStr">
        <is>
          <t>Non-Captive</t>
        </is>
      </c>
      <c r="L3765" s="20" t="inlineStr">
        <is>
          <t>Value Drive Tech</t>
        </is>
      </c>
      <c r="M3765" s="23" t="n">
        <v>4237.29</v>
      </c>
      <c r="N3765" s="23" t="n">
        <v>5000</v>
      </c>
      <c r="O3765" s="24">
        <f>IF(AND(ISNUMBER(M3765), ISNUMBER(I3765), I3765&gt;0), M3765/I3765, "")</f>
        <v/>
      </c>
    </row>
    <row r="3766">
      <c r="A3766" s="19" t="inlineStr">
        <is>
          <t>FY27</t>
        </is>
      </c>
      <c r="B3766" s="19" t="inlineStr">
        <is>
          <t>Aug</t>
        </is>
      </c>
      <c r="C3766" s="19" t="inlineStr">
        <is>
          <t>TN</t>
        </is>
      </c>
      <c r="D3766" s="20" t="inlineStr">
        <is>
          <t>TN13AA9285</t>
        </is>
      </c>
      <c r="E3766" s="20" t="inlineStr">
        <is>
          <t>MARUTI SUZUKI</t>
        </is>
      </c>
      <c r="F3766" s="20" t="inlineStr">
        <is>
          <t>Swift</t>
        </is>
      </c>
      <c r="G3766" s="21" t="n">
        <v>2023</v>
      </c>
      <c r="H3766" s="22" t="n">
        <v>11687</v>
      </c>
      <c r="I3766" s="23" t="n">
        <v>95000</v>
      </c>
      <c r="J3766" s="20" t="inlineStr">
        <is>
          <t>AIE CARS PRIVATE LIMITED</t>
        </is>
      </c>
      <c r="K3766" s="20" t="inlineStr">
        <is>
          <t>Non-Captive</t>
        </is>
      </c>
      <c r="L3766" s="20" t="inlineStr">
        <is>
          <t>NIRMAL CARS</t>
        </is>
      </c>
      <c r="M3766" s="23" t="n">
        <v>2542.37</v>
      </c>
      <c r="N3766" s="23" t="n">
        <v>3000</v>
      </c>
      <c r="O3766" s="24">
        <f>IF(AND(ISNUMBER(M3766), ISNUMBER(I3766), I3766&gt;0), M3766/I3766, "")</f>
        <v/>
      </c>
    </row>
    <row r="3767">
      <c r="A3767" s="19" t="inlineStr">
        <is>
          <t>FY27</t>
        </is>
      </c>
      <c r="B3767" s="19" t="inlineStr">
        <is>
          <t>Aug</t>
        </is>
      </c>
      <c r="C3767" s="19" t="inlineStr">
        <is>
          <t>TN</t>
        </is>
      </c>
      <c r="D3767" s="20" t="inlineStr">
        <is>
          <t>TN05CF6338</t>
        </is>
      </c>
      <c r="E3767" s="20" t="inlineStr">
        <is>
          <t>HYUNDAI</t>
        </is>
      </c>
      <c r="F3767" s="20" t="inlineStr">
        <is>
          <t>Grand I10 Nios</t>
        </is>
      </c>
      <c r="G3767" s="21" t="n">
        <v>2022</v>
      </c>
      <c r="H3767" s="22" t="n">
        <v>37017</v>
      </c>
      <c r="I3767" s="23" t="n">
        <v>89000</v>
      </c>
      <c r="J3767" s="20" t="inlineStr">
        <is>
          <t>Cresco cars</t>
        </is>
      </c>
      <c r="K3767" s="20" t="inlineStr">
        <is>
          <t>Non-Captive</t>
        </is>
      </c>
      <c r="L3767" s="20" t="inlineStr">
        <is>
          <t>Value Drive Tech</t>
        </is>
      </c>
      <c r="M3767" s="23" t="n">
        <v>2542.37</v>
      </c>
      <c r="N3767" s="23" t="n">
        <v>3000</v>
      </c>
      <c r="O3767" s="24">
        <f>IF(AND(ISNUMBER(M3767), ISNUMBER(I3767), I3767&gt;0), M3767/I3767, "")</f>
        <v/>
      </c>
    </row>
    <row r="3768">
      <c r="A3768" s="19" t="inlineStr">
        <is>
          <t>FY27</t>
        </is>
      </c>
      <c r="B3768" s="19" t="inlineStr">
        <is>
          <t>Aug</t>
        </is>
      </c>
      <c r="C3768" s="19" t="inlineStr">
        <is>
          <t>TN</t>
        </is>
      </c>
      <c r="D3768" s="20" t="inlineStr">
        <is>
          <t>TN02AT6766</t>
        </is>
      </c>
      <c r="E3768" s="20" t="inlineStr">
        <is>
          <t>MAHINDRA</t>
        </is>
      </c>
      <c r="F3768" s="20" t="inlineStr">
        <is>
          <t>Scorpio</t>
        </is>
      </c>
      <c r="G3768" s="21" t="n">
        <v>2012</v>
      </c>
      <c r="H3768" s="22" t="n">
        <v>164757</v>
      </c>
      <c r="I3768" s="23" t="n">
        <v>96000</v>
      </c>
      <c r="J3768" s="20" t="inlineStr">
        <is>
          <t>AIE CARS PRIVATE LIMITED</t>
        </is>
      </c>
      <c r="K3768" s="20" t="inlineStr">
        <is>
          <t>Non-Captive</t>
        </is>
      </c>
      <c r="L3768" s="20" t="inlineStr">
        <is>
          <t>NIRMAL CARS</t>
        </is>
      </c>
      <c r="M3768" s="23" t="n">
        <v>2542.37</v>
      </c>
      <c r="N3768" s="23" t="n">
        <v>3000</v>
      </c>
      <c r="O3768" s="24">
        <f>IF(AND(ISNUMBER(M3768), ISNUMBER(I3768), I3768&gt;0), M3768/I3768, "")</f>
        <v/>
      </c>
    </row>
    <row r="3769">
      <c r="A3769" s="19" t="inlineStr">
        <is>
          <t>FY27</t>
        </is>
      </c>
      <c r="B3769" s="19" t="inlineStr">
        <is>
          <t>Aug</t>
        </is>
      </c>
      <c r="C3769" s="19" t="inlineStr">
        <is>
          <t>TN</t>
        </is>
      </c>
      <c r="D3769" s="20" t="inlineStr">
        <is>
          <t>TN125649</t>
        </is>
      </c>
      <c r="E3769" s="20" t="inlineStr">
        <is>
          <t>NISSAN</t>
        </is>
      </c>
      <c r="F3769" s="20" t="inlineStr">
        <is>
          <t>Micra</t>
        </is>
      </c>
      <c r="G3769" s="21" t="n">
        <v>2013</v>
      </c>
      <c r="H3769" s="22" t="n">
        <v>77195</v>
      </c>
      <c r="I3769" s="23" t="n">
        <v>99000</v>
      </c>
      <c r="J3769" s="20" t="inlineStr">
        <is>
          <t>AIE CARS PRIVATE LIMITED</t>
        </is>
      </c>
      <c r="K3769" s="20" t="inlineStr">
        <is>
          <t>Non-Captive</t>
        </is>
      </c>
      <c r="L3769" s="20" t="inlineStr">
        <is>
          <t>NIRMAL CARS</t>
        </is>
      </c>
      <c r="M3769" s="23" t="n">
        <v>2542.37</v>
      </c>
      <c r="N3769" s="23" t="n">
        <v>3000</v>
      </c>
      <c r="O3769" s="24">
        <f>IF(AND(ISNUMBER(M3769), ISNUMBER(I3769), I3769&gt;0), M3769/I3769, "")</f>
        <v/>
      </c>
    </row>
    <row r="3770">
      <c r="A3770" s="19" t="inlineStr">
        <is>
          <t>FY27</t>
        </is>
      </c>
      <c r="B3770" s="19" t="inlineStr">
        <is>
          <t>Aug</t>
        </is>
      </c>
      <c r="C3770" s="19" t="inlineStr">
        <is>
          <t>TN</t>
        </is>
      </c>
      <c r="D3770" s="20" t="inlineStr">
        <is>
          <t>TN01BM4119</t>
        </is>
      </c>
      <c r="E3770" s="20" t="inlineStr">
        <is>
          <t>TATA</t>
        </is>
      </c>
      <c r="F3770" s="20" t="inlineStr">
        <is>
          <t>Nexon</t>
        </is>
      </c>
      <c r="G3770" s="21" t="n">
        <v>2021</v>
      </c>
      <c r="H3770" s="22" t="n">
        <v>32324</v>
      </c>
      <c r="I3770" s="23" t="n">
        <v>97000</v>
      </c>
      <c r="J3770" s="20" t="inlineStr">
        <is>
          <t>AIE CARS PRIVATE LIMITED</t>
        </is>
      </c>
      <c r="K3770" s="20" t="inlineStr">
        <is>
          <t>Non-Captive</t>
        </is>
      </c>
      <c r="L3770" s="20" t="inlineStr">
        <is>
          <t>NIRMAL CARS</t>
        </is>
      </c>
      <c r="M3770" s="23" t="n">
        <v>2542.37</v>
      </c>
      <c r="N3770" s="23" t="n">
        <v>3000</v>
      </c>
      <c r="O3770" s="24">
        <f>IF(AND(ISNUMBER(M3770), ISNUMBER(I3770), I3770&gt;0), M3770/I3770, "")</f>
        <v/>
      </c>
    </row>
    <row r="3771">
      <c r="A3771" s="19" t="inlineStr">
        <is>
          <t>FY27</t>
        </is>
      </c>
      <c r="B3771" s="19" t="inlineStr">
        <is>
          <t>Aug</t>
        </is>
      </c>
      <c r="C3771" s="19" t="inlineStr">
        <is>
          <t>TN</t>
        </is>
      </c>
      <c r="D3771" s="20" t="inlineStr">
        <is>
          <t>TN07AQ3241</t>
        </is>
      </c>
      <c r="E3771" s="20" t="inlineStr">
        <is>
          <t>FORD</t>
        </is>
      </c>
      <c r="F3771" s="20" t="inlineStr">
        <is>
          <t>Fiesta</t>
        </is>
      </c>
      <c r="G3771" s="21" t="n">
        <v>2007</v>
      </c>
      <c r="H3771" s="22" t="n">
        <v>106942</v>
      </c>
      <c r="I3771" s="23" t="n">
        <v>92000</v>
      </c>
      <c r="J3771" s="20" t="inlineStr">
        <is>
          <t>AIE CARS PRIVATE LIMITED</t>
        </is>
      </c>
      <c r="K3771" s="20" t="inlineStr">
        <is>
          <t>Non-Captive</t>
        </is>
      </c>
      <c r="L3771" s="20" t="inlineStr">
        <is>
          <t>NIRMAL CARS</t>
        </is>
      </c>
      <c r="M3771" s="23" t="n">
        <v>2542.37</v>
      </c>
      <c r="N3771" s="23" t="n">
        <v>3000</v>
      </c>
      <c r="O3771" s="24">
        <f>IF(AND(ISNUMBER(M3771), ISNUMBER(I3771), I3771&gt;0), M3771/I3771, "")</f>
        <v/>
      </c>
    </row>
    <row r="3772">
      <c r="A3772" s="19" t="inlineStr">
        <is>
          <t>FY27</t>
        </is>
      </c>
      <c r="B3772" s="19" t="inlineStr">
        <is>
          <t>Aug</t>
        </is>
      </c>
      <c r="C3772" s="19" t="inlineStr">
        <is>
          <t>TN</t>
        </is>
      </c>
      <c r="D3772" s="20" t="inlineStr">
        <is>
          <t>TN02BP4330</t>
        </is>
      </c>
      <c r="E3772" s="20" t="inlineStr">
        <is>
          <t>MARUTI SUZUKI</t>
        </is>
      </c>
      <c r="F3772" s="20" t="inlineStr">
        <is>
          <t>Swift</t>
        </is>
      </c>
      <c r="G3772" s="21" t="n">
        <v>2018</v>
      </c>
      <c r="H3772" s="22" t="n">
        <v>64564</v>
      </c>
      <c r="I3772" s="23" t="n">
        <v>89000</v>
      </c>
      <c r="J3772" s="20" t="inlineStr">
        <is>
          <t>AIE CARS PRIVATE LIMITED</t>
        </is>
      </c>
      <c r="K3772" s="20" t="inlineStr">
        <is>
          <t>Non-Captive</t>
        </is>
      </c>
      <c r="L3772" s="20" t="inlineStr">
        <is>
          <t>NIRMAL CARS</t>
        </is>
      </c>
      <c r="M3772" s="23" t="n">
        <v>2542.37</v>
      </c>
      <c r="N3772" s="23" t="n">
        <v>3000</v>
      </c>
      <c r="O3772" s="24">
        <f>IF(AND(ISNUMBER(M3772), ISNUMBER(I3772), I3772&gt;0), M3772/I3772, "")</f>
        <v/>
      </c>
    </row>
    <row r="3773">
      <c r="A3773" s="19" t="inlineStr">
        <is>
          <t>FY27</t>
        </is>
      </c>
      <c r="B3773" s="19" t="inlineStr">
        <is>
          <t>Aug</t>
        </is>
      </c>
      <c r="C3773" s="19" t="inlineStr">
        <is>
          <t>TN</t>
        </is>
      </c>
      <c r="D3773" s="20" t="inlineStr">
        <is>
          <t>TN18Y3206</t>
        </is>
      </c>
      <c r="E3773" s="20" t="inlineStr">
        <is>
          <t>MARUTI SUZUKI</t>
        </is>
      </c>
      <c r="F3773" s="20" t="inlineStr">
        <is>
          <t>Swift</t>
        </is>
      </c>
      <c r="G3773" s="21" t="n">
        <v>2011</v>
      </c>
      <c r="H3773" s="22" t="n">
        <v>98564</v>
      </c>
      <c r="I3773" s="23" t="n">
        <v>87000</v>
      </c>
      <c r="J3773" s="20" t="inlineStr">
        <is>
          <t>AIE CARS PRIVATE LIMITED</t>
        </is>
      </c>
      <c r="K3773" s="20" t="inlineStr">
        <is>
          <t>Non-Captive</t>
        </is>
      </c>
      <c r="L3773" s="20" t="inlineStr">
        <is>
          <t>NIRMAL CARS</t>
        </is>
      </c>
      <c r="M3773" s="23" t="n">
        <v>2542.37</v>
      </c>
      <c r="N3773" s="23" t="n">
        <v>3000</v>
      </c>
      <c r="O3773" s="24">
        <f>IF(AND(ISNUMBER(M3773), ISNUMBER(I3773), I3773&gt;0), M3773/I3773, "")</f>
        <v/>
      </c>
    </row>
    <row r="3774">
      <c r="A3774" s="19" t="inlineStr">
        <is>
          <t>FY27</t>
        </is>
      </c>
      <c r="B3774" s="19" t="inlineStr">
        <is>
          <t>Aug</t>
        </is>
      </c>
      <c r="C3774" s="19" t="inlineStr">
        <is>
          <t>TN</t>
        </is>
      </c>
      <c r="D3774" s="20" t="inlineStr">
        <is>
          <t>TN12AK3471</t>
        </is>
      </c>
      <c r="E3774" s="20" t="inlineStr">
        <is>
          <t>HYUNDAI</t>
        </is>
      </c>
      <c r="F3774" s="20" t="inlineStr">
        <is>
          <t>Venue</t>
        </is>
      </c>
      <c r="G3774" s="21" t="n">
        <v>2020</v>
      </c>
      <c r="H3774" s="22" t="n">
        <v>52041</v>
      </c>
      <c r="I3774" s="23" t="n">
        <v>99000</v>
      </c>
      <c r="J3774" s="20" t="inlineStr">
        <is>
          <t>AIE CARS PRIVATE LIMITED</t>
        </is>
      </c>
      <c r="K3774" s="20" t="inlineStr">
        <is>
          <t>Non-Captive</t>
        </is>
      </c>
      <c r="L3774" s="20" t="inlineStr">
        <is>
          <t>NIRMAL CARS</t>
        </is>
      </c>
      <c r="M3774" s="23" t="n">
        <v>2542.37</v>
      </c>
      <c r="N3774" s="23" t="n">
        <v>3000</v>
      </c>
      <c r="O3774" s="24">
        <f>IF(AND(ISNUMBER(M3774), ISNUMBER(I3774), I3774&gt;0), M3774/I3774, "")</f>
        <v/>
      </c>
    </row>
    <row r="3775">
      <c r="A3775" s="19" t="inlineStr">
        <is>
          <t>FY27</t>
        </is>
      </c>
      <c r="B3775" s="19" t="inlineStr">
        <is>
          <t>Aug</t>
        </is>
      </c>
      <c r="C3775" s="19" t="inlineStr">
        <is>
          <t>TN</t>
        </is>
      </c>
      <c r="D3775" s="20" t="inlineStr">
        <is>
          <t>TN02CB3942</t>
        </is>
      </c>
      <c r="E3775" s="20" t="inlineStr">
        <is>
          <t>NISSAN</t>
        </is>
      </c>
      <c r="F3775" s="20" t="inlineStr">
        <is>
          <t>Magnite</t>
        </is>
      </c>
      <c r="G3775" s="21" t="n">
        <v>2024</v>
      </c>
      <c r="H3775" s="22" t="n">
        <v>27071</v>
      </c>
      <c r="I3775" s="23" t="n">
        <v>96000</v>
      </c>
      <c r="J3775" s="20" t="inlineStr">
        <is>
          <t>AIE CARS PRIVATE LIMITED</t>
        </is>
      </c>
      <c r="K3775" s="20" t="inlineStr">
        <is>
          <t>Non-Captive</t>
        </is>
      </c>
      <c r="L3775" s="20" t="inlineStr">
        <is>
          <t>NIRMAL CARS</t>
        </is>
      </c>
      <c r="M3775" s="23" t="n">
        <v>2542.37</v>
      </c>
      <c r="N3775" s="23" t="n">
        <v>3000</v>
      </c>
      <c r="O3775" s="24">
        <f>IF(AND(ISNUMBER(M3775), ISNUMBER(I3775), I3775&gt;0), M3775/I3775, "")</f>
        <v/>
      </c>
    </row>
    <row r="3776">
      <c r="A3776" s="19" t="inlineStr">
        <is>
          <t>FY27</t>
        </is>
      </c>
      <c r="B3776" s="19" t="inlineStr">
        <is>
          <t>Aug</t>
        </is>
      </c>
      <c r="C3776" s="19" t="inlineStr">
        <is>
          <t>TN</t>
        </is>
      </c>
      <c r="D3776" s="20" t="inlineStr">
        <is>
          <t>KL02CA8787</t>
        </is>
      </c>
      <c r="E3776" s="20" t="inlineStr">
        <is>
          <t>MARUTI SUZUKI</t>
        </is>
      </c>
      <c r="F3776" s="20" t="inlineStr">
        <is>
          <t>Swift</t>
        </is>
      </c>
      <c r="G3776" s="21" t="n"/>
      <c r="H3776" s="22" t="n"/>
      <c r="I3776" s="23" t="n">
        <v>170000</v>
      </c>
      <c r="J3776" s="20" t="inlineStr"/>
      <c r="K3776" s="20" t="inlineStr">
        <is>
          <t>Non-Captive</t>
        </is>
      </c>
      <c r="L3776" s="20" t="inlineStr">
        <is>
          <t>SHAMNAD AH</t>
        </is>
      </c>
      <c r="M3776" s="23" t="n">
        <v>8474.58</v>
      </c>
      <c r="N3776" s="23" t="n">
        <v>10000</v>
      </c>
      <c r="O3776" s="24">
        <f>IF(AND(ISNUMBER(M3776), ISNUMBER(I3776), I3776&gt;0), M3776/I3776, "")</f>
        <v/>
      </c>
    </row>
    <row r="3777">
      <c r="A3777" s="19" t="inlineStr">
        <is>
          <t>FY27</t>
        </is>
      </c>
      <c r="B3777" s="19" t="inlineStr">
        <is>
          <t>Aug</t>
        </is>
      </c>
      <c r="C3777" s="19" t="inlineStr">
        <is>
          <t>TN</t>
        </is>
      </c>
      <c r="D3777" s="20" t="inlineStr">
        <is>
          <t>KL22S4556</t>
        </is>
      </c>
      <c r="E3777" s="20" t="inlineStr">
        <is>
          <t>MARUTI SUZUKI</t>
        </is>
      </c>
      <c r="F3777" s="20" t="inlineStr">
        <is>
          <t>Swift</t>
        </is>
      </c>
      <c r="G3777" s="21" t="n"/>
      <c r="H3777" s="22" t="n"/>
      <c r="I3777" s="23" t="n">
        <v>170000</v>
      </c>
      <c r="J3777" s="20" t="inlineStr"/>
      <c r="K3777" s="20" t="inlineStr">
        <is>
          <t>Non-Captive</t>
        </is>
      </c>
      <c r="L3777" s="20" t="inlineStr">
        <is>
          <t>POPULAR KOTTAYAM</t>
        </is>
      </c>
      <c r="M3777" s="23" t="n">
        <v>5000</v>
      </c>
      <c r="N3777" s="23" t="n">
        <v>5900</v>
      </c>
      <c r="O3777" s="24">
        <f>IF(AND(ISNUMBER(M3777), ISNUMBER(I3777), I3777&gt;0), M3777/I3777, "")</f>
        <v/>
      </c>
    </row>
    <row r="3778">
      <c r="A3778" s="19" t="inlineStr">
        <is>
          <t>FY27</t>
        </is>
      </c>
      <c r="B3778" s="19" t="inlineStr">
        <is>
          <t>Aug</t>
        </is>
      </c>
      <c r="C3778" s="19" t="inlineStr">
        <is>
          <t>TN</t>
        </is>
      </c>
      <c r="D3778" s="20" t="inlineStr">
        <is>
          <t>KL20L3040</t>
        </is>
      </c>
      <c r="E3778" s="20" t="inlineStr">
        <is>
          <t>MARUTI SUZUKI</t>
        </is>
      </c>
      <c r="F3778" s="20" t="inlineStr">
        <is>
          <t>Baleno</t>
        </is>
      </c>
      <c r="G3778" s="21" t="n"/>
      <c r="H3778" s="22" t="n"/>
      <c r="I3778" s="23" t="n">
        <v>180000</v>
      </c>
      <c r="J3778" s="20" t="inlineStr"/>
      <c r="K3778" s="20" t="inlineStr">
        <is>
          <t>Non-Captive</t>
        </is>
      </c>
      <c r="L3778" s="20" t="inlineStr">
        <is>
          <t>POPULAR KOTTAYAM</t>
        </is>
      </c>
      <c r="M3778" s="23" t="n">
        <v>5000</v>
      </c>
      <c r="N3778" s="23" t="n">
        <v>5900</v>
      </c>
      <c r="O3778" s="24">
        <f>IF(AND(ISNUMBER(M3778), ISNUMBER(I3778), I3778&gt;0), M3778/I3778, "")</f>
        <v/>
      </c>
    </row>
    <row r="3779">
      <c r="A3779" s="19" t="inlineStr">
        <is>
          <t>FY27</t>
        </is>
      </c>
      <c r="B3779" s="19" t="inlineStr">
        <is>
          <t>Aug</t>
        </is>
      </c>
      <c r="C3779" s="19" t="inlineStr">
        <is>
          <t>TN</t>
        </is>
      </c>
      <c r="D3779" s="20" t="inlineStr">
        <is>
          <t>KL21P9573</t>
        </is>
      </c>
      <c r="E3779" s="20" t="inlineStr">
        <is>
          <t>MARUTI SUZUKI</t>
        </is>
      </c>
      <c r="F3779" s="20" t="inlineStr">
        <is>
          <t>Swift</t>
        </is>
      </c>
      <c r="G3779" s="21" t="n"/>
      <c r="H3779" s="22" t="n"/>
      <c r="I3779" s="23" t="n">
        <v>180000</v>
      </c>
      <c r="J3779" s="20" t="inlineStr"/>
      <c r="K3779" s="20" t="inlineStr">
        <is>
          <t>Non-Captive</t>
        </is>
      </c>
      <c r="L3779" s="20" t="inlineStr">
        <is>
          <t>POPULAR ALLEPPY</t>
        </is>
      </c>
      <c r="M3779" s="23" t="n">
        <v>5000</v>
      </c>
      <c r="N3779" s="23" t="n">
        <v>5900</v>
      </c>
      <c r="O3779" s="24">
        <f>IF(AND(ISNUMBER(M3779), ISNUMBER(I3779), I3779&gt;0), M3779/I3779, "")</f>
        <v/>
      </c>
    </row>
    <row r="3780">
      <c r="A3780" s="19" t="inlineStr">
        <is>
          <t>FY27</t>
        </is>
      </c>
      <c r="B3780" s="19" t="inlineStr">
        <is>
          <t>Aug</t>
        </is>
      </c>
      <c r="C3780" s="19" t="inlineStr">
        <is>
          <t>TN</t>
        </is>
      </c>
      <c r="D3780" s="20" t="inlineStr">
        <is>
          <t>KL02AU7723</t>
        </is>
      </c>
      <c r="E3780" s="20" t="inlineStr">
        <is>
          <t>MARUTI SUZUKI</t>
        </is>
      </c>
      <c r="F3780" s="20" t="inlineStr">
        <is>
          <t>Wagonr</t>
        </is>
      </c>
      <c r="G3780" s="21" t="n"/>
      <c r="H3780" s="22" t="n"/>
      <c r="I3780" s="23" t="n">
        <v>135000</v>
      </c>
      <c r="J3780" s="20" t="inlineStr"/>
      <c r="K3780" s="20" t="inlineStr">
        <is>
          <t>Non-Captive</t>
        </is>
      </c>
      <c r="L3780" s="20" t="inlineStr">
        <is>
          <t>POPULAR THRISSUR</t>
        </is>
      </c>
      <c r="M3780" s="23" t="n">
        <v>5000</v>
      </c>
      <c r="N3780" s="23" t="n">
        <v>5900</v>
      </c>
      <c r="O3780" s="24">
        <f>IF(AND(ISNUMBER(M3780), ISNUMBER(I3780), I3780&gt;0), M3780/I3780, "")</f>
        <v/>
      </c>
    </row>
    <row r="3781">
      <c r="A3781" s="19" t="inlineStr">
        <is>
          <t>FY27</t>
        </is>
      </c>
      <c r="B3781" s="19" t="inlineStr">
        <is>
          <t>Aug</t>
        </is>
      </c>
      <c r="C3781" s="19" t="inlineStr">
        <is>
          <t>TN</t>
        </is>
      </c>
      <c r="D3781" s="20" t="inlineStr">
        <is>
          <t>KL81A9496</t>
        </is>
      </c>
      <c r="E3781" s="20" t="inlineStr">
        <is>
          <t>MARUTI SUZUKI</t>
        </is>
      </c>
      <c r="F3781" s="20" t="inlineStr">
        <is>
          <t>Celerio</t>
        </is>
      </c>
      <c r="G3781" s="21" t="n"/>
      <c r="H3781" s="22" t="n"/>
      <c r="I3781" s="23" t="n">
        <v>140000</v>
      </c>
      <c r="J3781" s="20" t="inlineStr"/>
      <c r="K3781" s="20" t="inlineStr">
        <is>
          <t>Non-Captive</t>
        </is>
      </c>
      <c r="L3781" s="20" t="inlineStr">
        <is>
          <t>POPULAR THRISSUR</t>
        </is>
      </c>
      <c r="M3781" s="23" t="n">
        <v>5000</v>
      </c>
      <c r="N3781" s="23" t="n">
        <v>5900</v>
      </c>
      <c r="O3781" s="24">
        <f>IF(AND(ISNUMBER(M3781), ISNUMBER(I3781), I3781&gt;0), M3781/I3781, "")</f>
        <v/>
      </c>
    </row>
    <row r="3782">
      <c r="A3782" s="19" t="inlineStr">
        <is>
          <t>FY27</t>
        </is>
      </c>
      <c r="B3782" s="19" t="inlineStr">
        <is>
          <t>Aug</t>
        </is>
      </c>
      <c r="C3782" s="19" t="inlineStr">
        <is>
          <t>TN</t>
        </is>
      </c>
      <c r="D3782" s="20" t="inlineStr">
        <is>
          <t>TN38BQ6154</t>
        </is>
      </c>
      <c r="E3782" s="20" t="inlineStr">
        <is>
          <t>TATA</t>
        </is>
      </c>
      <c r="F3782" s="20" t="inlineStr">
        <is>
          <t>Indica</t>
        </is>
      </c>
      <c r="G3782" s="21" t="n">
        <v>2012</v>
      </c>
      <c r="H3782" s="22" t="n">
        <v>176566</v>
      </c>
      <c r="I3782" s="23" t="n">
        <v>115000</v>
      </c>
      <c r="J3782" s="20" t="inlineStr">
        <is>
          <t>AADHI CARS PRIVATE LIMITED</t>
        </is>
      </c>
      <c r="K3782" s="20" t="inlineStr">
        <is>
          <t>Non-Captive</t>
        </is>
      </c>
      <c r="L3782" s="20" t="inlineStr">
        <is>
          <t>SRI RAJA KANAPATHY CARS</t>
        </is>
      </c>
      <c r="M3782" s="23" t="n">
        <v>4237.29</v>
      </c>
      <c r="N3782" s="23" t="n">
        <v>5000</v>
      </c>
      <c r="O3782" s="24">
        <f>IF(AND(ISNUMBER(M3782), ISNUMBER(I3782), I3782&gt;0), M3782/I3782, "")</f>
        <v/>
      </c>
    </row>
    <row r="3783">
      <c r="A3783" s="19" t="inlineStr">
        <is>
          <t>FY27</t>
        </is>
      </c>
      <c r="B3783" s="19" t="inlineStr">
        <is>
          <t>Aug</t>
        </is>
      </c>
      <c r="C3783" s="19" t="inlineStr">
        <is>
          <t>TN</t>
        </is>
      </c>
      <c r="D3783" s="20" t="inlineStr">
        <is>
          <t>TN60AF1568</t>
        </is>
      </c>
      <c r="E3783" s="20" t="inlineStr">
        <is>
          <t>DATSUN</t>
        </is>
      </c>
      <c r="F3783" s="20" t="inlineStr">
        <is>
          <t>Redi-Go</t>
        </is>
      </c>
      <c r="G3783" s="21" t="n">
        <v>2019</v>
      </c>
      <c r="H3783" s="22" t="n">
        <v>34801</v>
      </c>
      <c r="I3783" s="23" t="n">
        <v>168000</v>
      </c>
      <c r="J3783" s="20" t="inlineStr">
        <is>
          <t>EXCHANGE ROTN</t>
        </is>
      </c>
      <c r="K3783" s="20" t="inlineStr">
        <is>
          <t>Captive</t>
        </is>
      </c>
      <c r="L3783" s="20" t="inlineStr">
        <is>
          <t>BALAJI CARS (THENI)</t>
        </is>
      </c>
      <c r="M3783" s="23" t="n">
        <v>10169.49</v>
      </c>
      <c r="N3783" s="23" t="n">
        <v>12000</v>
      </c>
      <c r="O3783" s="24">
        <f>IF(AND(ISNUMBER(M3783), ISNUMBER(I3783), I3783&gt;0), M3783/I3783, "")</f>
        <v/>
      </c>
    </row>
    <row r="3784">
      <c r="A3784" s="19" t="inlineStr">
        <is>
          <t>FY27</t>
        </is>
      </c>
      <c r="B3784" s="19" t="inlineStr">
        <is>
          <t>Aug</t>
        </is>
      </c>
      <c r="C3784" s="19" t="inlineStr">
        <is>
          <t>TN</t>
        </is>
      </c>
      <c r="D3784" s="20" t="inlineStr">
        <is>
          <t>KL01R8228</t>
        </is>
      </c>
      <c r="E3784" s="20" t="inlineStr">
        <is>
          <t>nan</t>
        </is>
      </c>
      <c r="F3784" s="20" t="inlineStr">
        <is>
          <t>nan</t>
        </is>
      </c>
      <c r="G3784" s="21" t="n"/>
      <c r="H3784" s="22" t="n"/>
      <c r="I3784" s="23" t="n">
        <v>15000</v>
      </c>
      <c r="J3784" s="20" t="inlineStr"/>
      <c r="K3784" s="20" t="inlineStr">
        <is>
          <t>Non-Captive</t>
        </is>
      </c>
      <c r="L3784" s="20" t="inlineStr">
        <is>
          <t>SIVASHANKAR CARS</t>
        </is>
      </c>
      <c r="M3784" s="23" t="n">
        <v>4237.29</v>
      </c>
      <c r="N3784" s="23" t="n">
        <v>5000</v>
      </c>
      <c r="O3784" s="24">
        <f>IF(AND(ISNUMBER(M3784), ISNUMBER(I3784), I3784&gt;0), M3784/I3784, "")</f>
        <v/>
      </c>
    </row>
    <row r="3785">
      <c r="A3785" s="19" t="inlineStr">
        <is>
          <t>FY27</t>
        </is>
      </c>
      <c r="B3785" s="19" t="inlineStr">
        <is>
          <t>Aug</t>
        </is>
      </c>
      <c r="C3785" s="19" t="inlineStr">
        <is>
          <t>TN</t>
        </is>
      </c>
      <c r="D3785" s="20" t="inlineStr">
        <is>
          <t>TN38AQ2592</t>
        </is>
      </c>
      <c r="E3785" s="20" t="inlineStr">
        <is>
          <t>MARUTI SUZUKI</t>
        </is>
      </c>
      <c r="F3785" s="20" t="inlineStr">
        <is>
          <t>800</t>
        </is>
      </c>
      <c r="G3785" s="21" t="n">
        <v>2007</v>
      </c>
      <c r="H3785" s="22" t="n">
        <v>87349</v>
      </c>
      <c r="I3785" s="23" t="n">
        <v>70000</v>
      </c>
      <c r="J3785" s="20" t="inlineStr">
        <is>
          <t>EXCHANGE ROTN</t>
        </is>
      </c>
      <c r="K3785" s="20" t="inlineStr">
        <is>
          <t>Captive</t>
        </is>
      </c>
      <c r="L3785" s="20" t="inlineStr">
        <is>
          <t>SAKARAPANI AUTO CONSULTING</t>
        </is>
      </c>
      <c r="M3785" s="23" t="n">
        <v>4237.29</v>
      </c>
      <c r="N3785" s="23" t="n">
        <v>5000</v>
      </c>
      <c r="O3785" s="24">
        <f>IF(AND(ISNUMBER(M3785), ISNUMBER(I3785), I3785&gt;0), M3785/I3785, "")</f>
        <v/>
      </c>
    </row>
    <row r="3786">
      <c r="A3786" s="19" t="inlineStr">
        <is>
          <t>FY27</t>
        </is>
      </c>
      <c r="B3786" s="19" t="inlineStr">
        <is>
          <t>Aug</t>
        </is>
      </c>
      <c r="C3786" s="19" t="inlineStr">
        <is>
          <t>TN</t>
        </is>
      </c>
      <c r="D3786" s="20" t="inlineStr">
        <is>
          <t>TN36U2410</t>
        </is>
      </c>
      <c r="E3786" s="20" t="inlineStr">
        <is>
          <t>MARUTI SUZUKI</t>
        </is>
      </c>
      <c r="F3786" s="20" t="inlineStr">
        <is>
          <t>Alto</t>
        </is>
      </c>
      <c r="G3786" s="21" t="n">
        <v>2009</v>
      </c>
      <c r="H3786" s="22" t="n">
        <v>281351</v>
      </c>
      <c r="I3786" s="23" t="n">
        <v>160000</v>
      </c>
      <c r="J3786" s="20" t="inlineStr">
        <is>
          <t>EXCHANGE ROTN</t>
        </is>
      </c>
      <c r="K3786" s="20" t="inlineStr">
        <is>
          <t>Captive</t>
        </is>
      </c>
      <c r="L3786" s="20" t="inlineStr">
        <is>
          <t>SRI MURUGAN CARS</t>
        </is>
      </c>
      <c r="M3786" s="23" t="n">
        <v>5084.75</v>
      </c>
      <c r="N3786" s="23" t="n">
        <v>6000</v>
      </c>
      <c r="O3786" s="24">
        <f>IF(AND(ISNUMBER(M3786), ISNUMBER(I3786), I3786&gt;0), M3786/I3786, "")</f>
        <v/>
      </c>
    </row>
    <row r="3787">
      <c r="A3787" s="19" t="inlineStr">
        <is>
          <t>FY27</t>
        </is>
      </c>
      <c r="B3787" s="19" t="inlineStr">
        <is>
          <t>Aug</t>
        </is>
      </c>
      <c r="C3787" s="19" t="inlineStr">
        <is>
          <t>TN</t>
        </is>
      </c>
      <c r="D3787" s="20" t="inlineStr">
        <is>
          <t>TN30BW6621</t>
        </is>
      </c>
      <c r="E3787" s="20" t="inlineStr">
        <is>
          <t>TOYOTA</t>
        </is>
      </c>
      <c r="F3787" s="20" t="inlineStr">
        <is>
          <t>Etios</t>
        </is>
      </c>
      <c r="G3787" s="21" t="n">
        <v>2016</v>
      </c>
      <c r="H3787" s="22" t="n">
        <v>140304</v>
      </c>
      <c r="I3787" s="23" t="n">
        <v>495000</v>
      </c>
      <c r="J3787" s="20" t="inlineStr">
        <is>
          <t>EXCHANGE ROTN</t>
        </is>
      </c>
      <c r="K3787" s="20" t="inlineStr">
        <is>
          <t>Captive</t>
        </is>
      </c>
      <c r="L3787" s="20" t="inlineStr">
        <is>
          <t>STALIN CARS</t>
        </is>
      </c>
      <c r="M3787" s="23" t="n">
        <v>12711.86</v>
      </c>
      <c r="N3787" s="23" t="n">
        <v>15000</v>
      </c>
      <c r="O3787" s="24">
        <f>IF(AND(ISNUMBER(M3787), ISNUMBER(I3787), I3787&gt;0), M3787/I3787, "")</f>
        <v/>
      </c>
    </row>
    <row r="3788">
      <c r="A3788" s="19" t="inlineStr">
        <is>
          <t>FY27</t>
        </is>
      </c>
      <c r="B3788" s="19" t="inlineStr">
        <is>
          <t>Aug</t>
        </is>
      </c>
      <c r="C3788" s="19" t="inlineStr">
        <is>
          <t>TN</t>
        </is>
      </c>
      <c r="D3788" s="20" t="inlineStr">
        <is>
          <t>TN67BM3460</t>
        </is>
      </c>
      <c r="E3788" s="20" t="inlineStr">
        <is>
          <t>TATA</t>
        </is>
      </c>
      <c r="F3788" s="20" t="inlineStr">
        <is>
          <t>Tiago</t>
        </is>
      </c>
      <c r="G3788" s="21" t="n">
        <v>2021</v>
      </c>
      <c r="H3788" s="22" t="n">
        <v>50144</v>
      </c>
      <c r="I3788" s="23" t="n">
        <v>375000</v>
      </c>
      <c r="J3788" s="20" t="inlineStr">
        <is>
          <t>EXCHANGE ROTN</t>
        </is>
      </c>
      <c r="K3788" s="20" t="inlineStr">
        <is>
          <t>Captive</t>
        </is>
      </c>
      <c r="L3788" s="20" t="inlineStr">
        <is>
          <t>ASHOKAUTOMAX</t>
        </is>
      </c>
      <c r="M3788" s="23" t="n">
        <v>8474.58</v>
      </c>
      <c r="N3788" s="23" t="n">
        <v>10000</v>
      </c>
      <c r="O3788" s="24">
        <f>IF(AND(ISNUMBER(M3788), ISNUMBER(I3788), I3788&gt;0), M3788/I3788, "")</f>
        <v/>
      </c>
    </row>
    <row r="3789">
      <c r="A3789" s="19" t="inlineStr">
        <is>
          <t>FY27</t>
        </is>
      </c>
      <c r="B3789" s="19" t="inlineStr">
        <is>
          <t>Aug</t>
        </is>
      </c>
      <c r="C3789" s="19" t="inlineStr">
        <is>
          <t>TN</t>
        </is>
      </c>
      <c r="D3789" s="20" t="inlineStr">
        <is>
          <t>TN37DZ4833</t>
        </is>
      </c>
      <c r="E3789" s="20" t="inlineStr">
        <is>
          <t>SKODA</t>
        </is>
      </c>
      <c r="F3789" s="20" t="inlineStr">
        <is>
          <t>Rapid</t>
        </is>
      </c>
      <c r="G3789" s="21" t="n">
        <v>2017</v>
      </c>
      <c r="H3789" s="22" t="n">
        <v>110924</v>
      </c>
      <c r="I3789" s="23" t="n">
        <v>370000</v>
      </c>
      <c r="J3789" s="20" t="inlineStr">
        <is>
          <t>EXCHANGE ROTN</t>
        </is>
      </c>
      <c r="K3789" s="20" t="inlineStr">
        <is>
          <t>Captive</t>
        </is>
      </c>
      <c r="L3789" s="20" t="inlineStr">
        <is>
          <t>READY TO RIDE CARS</t>
        </is>
      </c>
      <c r="M3789" s="23" t="n">
        <v>8474.58</v>
      </c>
      <c r="N3789" s="23" t="n">
        <v>10000</v>
      </c>
      <c r="O3789" s="24">
        <f>IF(AND(ISNUMBER(M3789), ISNUMBER(I3789), I3789&gt;0), M3789/I3789, "")</f>
        <v/>
      </c>
    </row>
    <row r="3790">
      <c r="A3790" s="19" t="inlineStr">
        <is>
          <t>FY27</t>
        </is>
      </c>
      <c r="B3790" s="19" t="inlineStr">
        <is>
          <t>Aug</t>
        </is>
      </c>
      <c r="C3790" s="19" t="inlineStr">
        <is>
          <t>TN</t>
        </is>
      </c>
      <c r="D3790" s="20" t="inlineStr">
        <is>
          <t>TN05AA6276</t>
        </is>
      </c>
      <c r="E3790" s="20" t="inlineStr">
        <is>
          <t>HYUNDAI</t>
        </is>
      </c>
      <c r="F3790" s="20" t="inlineStr">
        <is>
          <t>I20</t>
        </is>
      </c>
      <c r="G3790" s="21" t="n">
        <v>2009</v>
      </c>
      <c r="H3790" s="22" t="n">
        <v>120304</v>
      </c>
      <c r="I3790" s="23" t="n">
        <v>80000</v>
      </c>
      <c r="J3790" s="20" t="inlineStr">
        <is>
          <t>PLA MOTORS</t>
        </is>
      </c>
      <c r="K3790" s="20" t="inlineStr">
        <is>
          <t>Non-Captive</t>
        </is>
      </c>
      <c r="L3790" s="20" t="inlineStr">
        <is>
          <t>ASHOKAUTOMAX</t>
        </is>
      </c>
      <c r="M3790" s="23" t="n">
        <v>4237.29</v>
      </c>
      <c r="N3790" s="23" t="n">
        <v>5000</v>
      </c>
      <c r="O3790" s="24">
        <f>IF(AND(ISNUMBER(M3790), ISNUMBER(I3790), I3790&gt;0), M3790/I3790, "")</f>
        <v/>
      </c>
    </row>
    <row r="3791">
      <c r="A3791" s="19" t="inlineStr">
        <is>
          <t>FY27</t>
        </is>
      </c>
      <c r="B3791" s="19" t="inlineStr">
        <is>
          <t>Aug</t>
        </is>
      </c>
      <c r="C3791" s="19" t="inlineStr">
        <is>
          <t>TN</t>
        </is>
      </c>
      <c r="D3791" s="20" t="inlineStr">
        <is>
          <t>TN38CJ4438</t>
        </is>
      </c>
      <c r="E3791" s="20" t="inlineStr">
        <is>
          <t>MARUTI SUZUKI</t>
        </is>
      </c>
      <c r="F3791" s="20" t="inlineStr">
        <is>
          <t>Celerio</t>
        </is>
      </c>
      <c r="G3791" s="21" t="n">
        <v>2017</v>
      </c>
      <c r="H3791" s="22" t="n">
        <v>87399</v>
      </c>
      <c r="I3791" s="23" t="n">
        <v>362500</v>
      </c>
      <c r="J3791" s="20" t="inlineStr">
        <is>
          <t>AADHI CARS PRIVATE LIMITED</t>
        </is>
      </c>
      <c r="K3791" s="20" t="inlineStr">
        <is>
          <t>Non-Captive</t>
        </is>
      </c>
      <c r="L3791" s="20" t="inlineStr">
        <is>
          <t>AUTO SOLUTION</t>
        </is>
      </c>
      <c r="M3791" s="23" t="n">
        <v>6355.93</v>
      </c>
      <c r="N3791" s="23" t="n">
        <v>7500</v>
      </c>
      <c r="O3791" s="24">
        <f>IF(AND(ISNUMBER(M3791), ISNUMBER(I3791), I3791&gt;0), M3791/I3791, "")</f>
        <v/>
      </c>
    </row>
    <row r="3792">
      <c r="A3792" s="19" t="inlineStr">
        <is>
          <t>FY27</t>
        </is>
      </c>
      <c r="B3792" s="19" t="inlineStr">
        <is>
          <t>Aug</t>
        </is>
      </c>
      <c r="C3792" s="19" t="inlineStr">
        <is>
          <t>TN</t>
        </is>
      </c>
      <c r="D3792" s="20" t="inlineStr">
        <is>
          <t>TN66D5494</t>
        </is>
      </c>
      <c r="E3792" s="20" t="inlineStr">
        <is>
          <t>VOLKSWAGEN</t>
        </is>
      </c>
      <c r="F3792" s="20" t="inlineStr">
        <is>
          <t>Polo</t>
        </is>
      </c>
      <c r="G3792" s="21" t="n">
        <v>2011</v>
      </c>
      <c r="H3792" s="22" t="n">
        <v>82682</v>
      </c>
      <c r="I3792" s="23" t="n">
        <v>255000</v>
      </c>
      <c r="J3792" s="20" t="inlineStr">
        <is>
          <t>EXCHANGE ROTN</t>
        </is>
      </c>
      <c r="K3792" s="20" t="inlineStr">
        <is>
          <t>Captive</t>
        </is>
      </c>
      <c r="L3792" s="20" t="inlineStr">
        <is>
          <t>AUTO SOLUTION</t>
        </is>
      </c>
      <c r="M3792" s="23" t="n">
        <v>8474.58</v>
      </c>
      <c r="N3792" s="23" t="n">
        <v>10000</v>
      </c>
      <c r="O3792" s="24">
        <f>IF(AND(ISNUMBER(M3792), ISNUMBER(I3792), I3792&gt;0), M3792/I3792, "")</f>
        <v/>
      </c>
    </row>
    <row r="3793">
      <c r="A3793" s="19" t="inlineStr">
        <is>
          <t>FY27</t>
        </is>
      </c>
      <c r="B3793" s="19" t="inlineStr">
        <is>
          <t>Aug</t>
        </is>
      </c>
      <c r="C3793" s="19" t="inlineStr">
        <is>
          <t>TN</t>
        </is>
      </c>
      <c r="D3793" s="20" t="inlineStr">
        <is>
          <t>TN38S7799</t>
        </is>
      </c>
      <c r="E3793" s="20" t="inlineStr">
        <is>
          <t>HONDA</t>
        </is>
      </c>
      <c r="F3793" s="20" t="inlineStr">
        <is>
          <t>City</t>
        </is>
      </c>
      <c r="G3793" s="21" t="n">
        <v>2001</v>
      </c>
      <c r="H3793" s="22" t="n">
        <v>152145</v>
      </c>
      <c r="I3793" s="23" t="n">
        <v>80000</v>
      </c>
      <c r="J3793" s="20" t="inlineStr">
        <is>
          <t>EXCHANGE ROTN</t>
        </is>
      </c>
      <c r="K3793" s="20" t="inlineStr">
        <is>
          <t>Captive</t>
        </is>
      </c>
      <c r="L3793" s="20" t="inlineStr">
        <is>
          <t>Ulavan Enterprises</t>
        </is>
      </c>
      <c r="M3793" s="23" t="n">
        <v>4237.29</v>
      </c>
      <c r="N3793" s="23" t="n">
        <v>5000</v>
      </c>
      <c r="O3793" s="24">
        <f>IF(AND(ISNUMBER(M3793), ISNUMBER(I3793), I3793&gt;0), M3793/I3793, "")</f>
        <v/>
      </c>
    </row>
    <row r="3794">
      <c r="A3794" s="19" t="inlineStr">
        <is>
          <t>FY27</t>
        </is>
      </c>
      <c r="B3794" s="19" t="inlineStr">
        <is>
          <t>Aug</t>
        </is>
      </c>
      <c r="C3794" s="19" t="inlineStr">
        <is>
          <t>TN</t>
        </is>
      </c>
      <c r="D3794" s="20" t="inlineStr">
        <is>
          <t>TN49BE9009</t>
        </is>
      </c>
      <c r="E3794" s="20" t="inlineStr">
        <is>
          <t>MARUTI SUZUKI</t>
        </is>
      </c>
      <c r="F3794" s="20" t="inlineStr">
        <is>
          <t>Scross</t>
        </is>
      </c>
      <c r="G3794" s="21" t="n">
        <v>2015</v>
      </c>
      <c r="H3794" s="22" t="n">
        <v>224565</v>
      </c>
      <c r="I3794" s="23" t="n">
        <v>320000</v>
      </c>
      <c r="J3794" s="20" t="inlineStr">
        <is>
          <t>EXCHANGE ROTN</t>
        </is>
      </c>
      <c r="K3794" s="20" t="inlineStr">
        <is>
          <t>Captive</t>
        </is>
      </c>
      <c r="L3794" s="20" t="inlineStr">
        <is>
          <t>SRI VIGNESH PRE OWNED CARS</t>
        </is>
      </c>
      <c r="M3794" s="23" t="n">
        <v>8474.58</v>
      </c>
      <c r="N3794" s="23" t="n">
        <v>10000</v>
      </c>
      <c r="O3794" s="24">
        <f>IF(AND(ISNUMBER(M3794), ISNUMBER(I3794), I3794&gt;0), M3794/I3794, "")</f>
        <v/>
      </c>
    </row>
    <row r="3795">
      <c r="A3795" s="19" t="inlineStr">
        <is>
          <t>FY27</t>
        </is>
      </c>
      <c r="B3795" s="19" t="inlineStr">
        <is>
          <t>Sep</t>
        </is>
      </c>
      <c r="C3795" s="19" t="inlineStr">
        <is>
          <t>AP/TS</t>
        </is>
      </c>
      <c r="D3795" s="20" t="inlineStr">
        <is>
          <t>AP05CP1677</t>
        </is>
      </c>
      <c r="E3795" s="20" t="inlineStr">
        <is>
          <t>TATA</t>
        </is>
      </c>
      <c r="F3795" s="20" t="inlineStr">
        <is>
          <t>Nano</t>
        </is>
      </c>
      <c r="G3795" s="21" t="n">
        <v>2012</v>
      </c>
      <c r="H3795" s="22" t="n">
        <v>50280</v>
      </c>
      <c r="I3795" s="23" t="n">
        <v>46000</v>
      </c>
      <c r="J3795" s="20" t="inlineStr">
        <is>
          <t>KESIREDDY SAIKIRAN</t>
        </is>
      </c>
      <c r="K3795" s="20" t="inlineStr">
        <is>
          <t>Non-Captive</t>
        </is>
      </c>
      <c r="L3795" s="20" t="inlineStr">
        <is>
          <t>B Venkata Rao</t>
        </is>
      </c>
      <c r="M3795" s="23" t="n">
        <v>4920</v>
      </c>
      <c r="N3795" s="23" t="n">
        <v>5805.6</v>
      </c>
      <c r="O3795" s="24">
        <f>IF(AND(ISNUMBER(M3795), ISNUMBER(I3795), I3795&gt;0), M3795/I3795, "")</f>
        <v/>
      </c>
    </row>
    <row r="3796">
      <c r="A3796" s="19" t="inlineStr">
        <is>
          <t>FY27</t>
        </is>
      </c>
      <c r="B3796" s="19" t="inlineStr">
        <is>
          <t>Sep</t>
        </is>
      </c>
      <c r="C3796" s="19" t="inlineStr">
        <is>
          <t>AP/TS</t>
        </is>
      </c>
      <c r="D3796" s="20" t="inlineStr">
        <is>
          <t>AP05CR6969</t>
        </is>
      </c>
      <c r="E3796" s="20" t="inlineStr">
        <is>
          <t>NISSAN</t>
        </is>
      </c>
      <c r="F3796" s="20" t="inlineStr">
        <is>
          <t>Terrano</t>
        </is>
      </c>
      <c r="G3796" s="21" t="n">
        <v>2014</v>
      </c>
      <c r="H3796" s="22" t="n">
        <v>275290</v>
      </c>
      <c r="I3796" s="23" t="n">
        <v>95000</v>
      </c>
      <c r="J3796" s="20" t="inlineStr">
        <is>
          <t>MOHAMMED GOUSE BASHA</t>
        </is>
      </c>
      <c r="K3796" s="20" t="inlineStr">
        <is>
          <t>Non-Captive</t>
        </is>
      </c>
      <c r="L3796" s="20" t="inlineStr">
        <is>
          <t>Chandu Ram Sai</t>
        </is>
      </c>
      <c r="M3796" s="23" t="n">
        <v>4100</v>
      </c>
      <c r="N3796" s="23" t="n">
        <v>4838</v>
      </c>
      <c r="O3796" s="24">
        <f>IF(AND(ISNUMBER(M3796), ISNUMBER(I3796), I3796&gt;0), M3796/I3796, "")</f>
        <v/>
      </c>
    </row>
    <row r="3797">
      <c r="A3797" s="19" t="inlineStr">
        <is>
          <t>FY27</t>
        </is>
      </c>
      <c r="B3797" s="19" t="inlineStr">
        <is>
          <t>Sep</t>
        </is>
      </c>
      <c r="C3797" s="19" t="inlineStr">
        <is>
          <t>AP/TS</t>
        </is>
      </c>
      <c r="D3797" s="20" t="inlineStr">
        <is>
          <t>AP09BS5058</t>
        </is>
      </c>
      <c r="E3797" s="20" t="inlineStr">
        <is>
          <t>HONDA</t>
        </is>
      </c>
      <c r="F3797" s="20" t="inlineStr">
        <is>
          <t>City</t>
        </is>
      </c>
      <c r="G3797" s="21" t="n">
        <v>2008</v>
      </c>
      <c r="H3797" s="22" t="n">
        <v>107989</v>
      </c>
      <c r="I3797" s="23" t="n">
        <v>116000</v>
      </c>
      <c r="J3797" s="20" t="inlineStr">
        <is>
          <t>PUNEET GUPTA</t>
        </is>
      </c>
      <c r="K3797" s="20" t="inlineStr">
        <is>
          <t>Non-Captive</t>
        </is>
      </c>
      <c r="L3797" s="20" t="inlineStr">
        <is>
          <t>Zaki Ahmed Khan</t>
        </is>
      </c>
      <c r="M3797" s="23" t="n">
        <v>4920</v>
      </c>
      <c r="N3797" s="23" t="n">
        <v>5805.6</v>
      </c>
      <c r="O3797" s="24">
        <f>IF(AND(ISNUMBER(M3797), ISNUMBER(I3797), I3797&gt;0), M3797/I3797, "")</f>
        <v/>
      </c>
    </row>
    <row r="3798">
      <c r="A3798" s="19" t="inlineStr">
        <is>
          <t>FY27</t>
        </is>
      </c>
      <c r="B3798" s="19" t="inlineStr">
        <is>
          <t>Sep</t>
        </is>
      </c>
      <c r="C3798" s="19" t="inlineStr">
        <is>
          <t>AP/TS</t>
        </is>
      </c>
      <c r="D3798" s="20" t="inlineStr">
        <is>
          <t>AP09BW0636</t>
        </is>
      </c>
      <c r="E3798" s="20" t="inlineStr">
        <is>
          <t>HYUNDAI</t>
        </is>
      </c>
      <c r="F3798" s="20" t="inlineStr">
        <is>
          <t>i10</t>
        </is>
      </c>
      <c r="G3798" s="21" t="n">
        <v>2009</v>
      </c>
      <c r="H3798" s="22" t="n">
        <v>62759</v>
      </c>
      <c r="I3798" s="23" t="n">
        <v>65000</v>
      </c>
      <c r="J3798" s="20" t="inlineStr">
        <is>
          <t>BUKYA SANTHOSH NAIK</t>
        </is>
      </c>
      <c r="K3798" s="20" t="inlineStr">
        <is>
          <t>Non-Captive</t>
        </is>
      </c>
      <c r="L3798" s="20" t="inlineStr">
        <is>
          <t>Vara Rajendra Varma</t>
        </is>
      </c>
      <c r="M3798" s="23" t="n">
        <v>4100</v>
      </c>
      <c r="N3798" s="23" t="n">
        <v>4838</v>
      </c>
      <c r="O3798" s="24">
        <f>IF(AND(ISNUMBER(M3798), ISNUMBER(I3798), I3798&gt;0), M3798/I3798, "")</f>
        <v/>
      </c>
    </row>
    <row r="3799">
      <c r="A3799" s="19" t="inlineStr">
        <is>
          <t>FY27</t>
        </is>
      </c>
      <c r="B3799" s="19" t="inlineStr">
        <is>
          <t>Sep</t>
        </is>
      </c>
      <c r="C3799" s="19" t="inlineStr">
        <is>
          <t>AP/TS</t>
        </is>
      </c>
      <c r="D3799" s="20" t="inlineStr">
        <is>
          <t>AP09BZ6453</t>
        </is>
      </c>
      <c r="E3799" s="20" t="inlineStr">
        <is>
          <t>CHEVROLET</t>
        </is>
      </c>
      <c r="F3799" s="20" t="inlineStr">
        <is>
          <t>Spark</t>
        </is>
      </c>
      <c r="G3799" s="21" t="n">
        <v>2010</v>
      </c>
      <c r="H3799" s="22" t="n">
        <v>24511</v>
      </c>
      <c r="I3799" s="23" t="n">
        <v>86000</v>
      </c>
      <c r="J3799" s="20" t="inlineStr">
        <is>
          <t>EXCHANGE</t>
        </is>
      </c>
      <c r="K3799" s="20" t="inlineStr">
        <is>
          <t>Captive</t>
        </is>
      </c>
      <c r="L3799" s="20" t="inlineStr">
        <is>
          <t>Janagama Srinivas</t>
        </is>
      </c>
      <c r="M3799" s="23" t="n">
        <v>4920</v>
      </c>
      <c r="N3799" s="23" t="n">
        <v>5805.6</v>
      </c>
      <c r="O3799" s="24">
        <f>IF(AND(ISNUMBER(M3799), ISNUMBER(I3799), I3799&gt;0), M3799/I3799, "")</f>
        <v/>
      </c>
    </row>
    <row r="3800">
      <c r="A3800" s="19" t="inlineStr">
        <is>
          <t>FY27</t>
        </is>
      </c>
      <c r="B3800" s="19" t="inlineStr">
        <is>
          <t>Sep</t>
        </is>
      </c>
      <c r="C3800" s="19" t="inlineStr">
        <is>
          <t>AP/TS</t>
        </is>
      </c>
      <c r="D3800" s="20" t="inlineStr">
        <is>
          <t>AP09CH0648</t>
        </is>
      </c>
      <c r="E3800" s="20" t="inlineStr">
        <is>
          <t>HONDA</t>
        </is>
      </c>
      <c r="F3800" s="20" t="inlineStr">
        <is>
          <t>City</t>
        </is>
      </c>
      <c r="G3800" s="21" t="n">
        <v>2011</v>
      </c>
      <c r="H3800" s="22" t="n">
        <v>56602</v>
      </c>
      <c r="I3800" s="23" t="n">
        <v>149000</v>
      </c>
      <c r="J3800" s="20" t="inlineStr">
        <is>
          <t>EXCHANGE</t>
        </is>
      </c>
      <c r="K3800" s="20" t="inlineStr">
        <is>
          <t>Captive</t>
        </is>
      </c>
      <c r="L3800" s="20" t="inlineStr">
        <is>
          <t>Abdul Razzaq</t>
        </is>
      </c>
      <c r="M3800" s="23" t="n">
        <v>7380</v>
      </c>
      <c r="N3800" s="23" t="n">
        <v>8708.4</v>
      </c>
      <c r="O3800" s="24">
        <f>IF(AND(ISNUMBER(M3800), ISNUMBER(I3800), I3800&gt;0), M3800/I3800, "")</f>
        <v/>
      </c>
    </row>
    <row r="3801">
      <c r="A3801" s="19" t="inlineStr">
        <is>
          <t>FY27</t>
        </is>
      </c>
      <c r="B3801" s="19" t="inlineStr">
        <is>
          <t>Sep</t>
        </is>
      </c>
      <c r="C3801" s="19" t="inlineStr">
        <is>
          <t>AP/TS</t>
        </is>
      </c>
      <c r="D3801" s="20" t="inlineStr">
        <is>
          <t>AP10AZ2662</t>
        </is>
      </c>
      <c r="E3801" s="20" t="inlineStr">
        <is>
          <t>MARUTI SUZUKI</t>
        </is>
      </c>
      <c r="F3801" s="20" t="inlineStr">
        <is>
          <t>Alto K10</t>
        </is>
      </c>
      <c r="G3801" s="21" t="n">
        <v>2011</v>
      </c>
      <c r="H3801" s="22" t="n">
        <v>134690</v>
      </c>
      <c r="I3801" s="23" t="n">
        <v>85000</v>
      </c>
      <c r="J3801" s="20" t="inlineStr">
        <is>
          <t>MOHAMMED GOUSE BASHA</t>
        </is>
      </c>
      <c r="K3801" s="20" t="inlineStr">
        <is>
          <t>Non-Captive</t>
        </is>
      </c>
      <c r="L3801" s="20" t="inlineStr">
        <is>
          <t>Chandu Ram Sai</t>
        </is>
      </c>
      <c r="M3801" s="23" t="n">
        <v>4100</v>
      </c>
      <c r="N3801" s="23" t="n">
        <v>4838</v>
      </c>
      <c r="O3801" s="24">
        <f>IF(AND(ISNUMBER(M3801), ISNUMBER(I3801), I3801&gt;0), M3801/I3801, "")</f>
        <v/>
      </c>
    </row>
    <row r="3802">
      <c r="A3802" s="19" t="inlineStr">
        <is>
          <t>FY27</t>
        </is>
      </c>
      <c r="B3802" s="19" t="inlineStr">
        <is>
          <t>Sep</t>
        </is>
      </c>
      <c r="C3802" s="19" t="inlineStr">
        <is>
          <t>AP/TS</t>
        </is>
      </c>
      <c r="D3802" s="20" t="inlineStr">
        <is>
          <t>AP10BB9536</t>
        </is>
      </c>
      <c r="E3802" s="20" t="inlineStr">
        <is>
          <t>MARUTI SUZUKI</t>
        </is>
      </c>
      <c r="F3802" s="20" t="inlineStr">
        <is>
          <t>Swift</t>
        </is>
      </c>
      <c r="G3802" s="21" t="n">
        <v>2012</v>
      </c>
      <c r="H3802" s="22" t="n">
        <v>197850</v>
      </c>
      <c r="I3802" s="23" t="n">
        <v>106000</v>
      </c>
      <c r="J3802" s="20" t="inlineStr">
        <is>
          <t>MOHAMMED GOUSE BASHA</t>
        </is>
      </c>
      <c r="K3802" s="20" t="inlineStr">
        <is>
          <t>Non-Captive</t>
        </is>
      </c>
      <c r="L3802" s="20" t="inlineStr">
        <is>
          <t>Tenali Srinivas</t>
        </is>
      </c>
      <c r="M3802" s="23" t="n">
        <v>4920</v>
      </c>
      <c r="N3802" s="23" t="n">
        <v>5805.6</v>
      </c>
      <c r="O3802" s="24">
        <f>IF(AND(ISNUMBER(M3802), ISNUMBER(I3802), I3802&gt;0), M3802/I3802, "")</f>
        <v/>
      </c>
    </row>
    <row r="3803">
      <c r="A3803" s="19" t="inlineStr">
        <is>
          <t>FY27</t>
        </is>
      </c>
      <c r="B3803" s="19" t="inlineStr">
        <is>
          <t>Sep</t>
        </is>
      </c>
      <c r="C3803" s="19" t="inlineStr">
        <is>
          <t>AP/TS</t>
        </is>
      </c>
      <c r="D3803" s="20" t="inlineStr">
        <is>
          <t>AP10BG1515</t>
        </is>
      </c>
      <c r="E3803" s="20" t="inlineStr">
        <is>
          <t>HONDA</t>
        </is>
      </c>
      <c r="F3803" s="20" t="inlineStr">
        <is>
          <t>Amaze</t>
        </is>
      </c>
      <c r="G3803" s="21" t="n">
        <v>2013</v>
      </c>
      <c r="H3803" s="22" t="n">
        <v>75852</v>
      </c>
      <c r="I3803" s="23" t="n">
        <v>197000</v>
      </c>
      <c r="J3803" s="20" t="inlineStr">
        <is>
          <t>EXCHANGE</t>
        </is>
      </c>
      <c r="K3803" s="20" t="inlineStr">
        <is>
          <t>Captive</t>
        </is>
      </c>
      <c r="L3803" s="20" t="inlineStr">
        <is>
          <t>Abdul Razzaq</t>
        </is>
      </c>
      <c r="M3803" s="23" t="n">
        <v>5740</v>
      </c>
      <c r="N3803" s="23" t="n">
        <v>6773.2</v>
      </c>
      <c r="O3803" s="24">
        <f>IF(AND(ISNUMBER(M3803), ISNUMBER(I3803), I3803&gt;0), M3803/I3803, "")</f>
        <v/>
      </c>
    </row>
    <row r="3804">
      <c r="A3804" s="19" t="inlineStr">
        <is>
          <t>FY27</t>
        </is>
      </c>
      <c r="B3804" s="19" t="inlineStr">
        <is>
          <t>Sep</t>
        </is>
      </c>
      <c r="C3804" s="19" t="inlineStr">
        <is>
          <t>AP/TS</t>
        </is>
      </c>
      <c r="D3804" s="20" t="inlineStr">
        <is>
          <t>AP16BJ2229</t>
        </is>
      </c>
      <c r="E3804" s="20" t="inlineStr">
        <is>
          <t>MARUTI SUZUKI</t>
        </is>
      </c>
      <c r="F3804" s="20" t="inlineStr">
        <is>
          <t>Swift</t>
        </is>
      </c>
      <c r="G3804" s="21" t="n">
        <v>2008</v>
      </c>
      <c r="H3804" s="22" t="n">
        <v>99013</v>
      </c>
      <c r="I3804" s="23" t="n">
        <v>105000</v>
      </c>
      <c r="J3804" s="20" t="inlineStr">
        <is>
          <t>EXCHANGE</t>
        </is>
      </c>
      <c r="K3804" s="20" t="inlineStr">
        <is>
          <t>Captive</t>
        </is>
      </c>
      <c r="L3804" s="20" t="inlineStr">
        <is>
          <t>Suresh Ginjupalli</t>
        </is>
      </c>
      <c r="M3804" s="23" t="n">
        <v>12300</v>
      </c>
      <c r="N3804" s="23" t="n">
        <v>14514</v>
      </c>
      <c r="O3804" s="24">
        <f>IF(AND(ISNUMBER(M3804), ISNUMBER(I3804), I3804&gt;0), M3804/I3804, "")</f>
        <v/>
      </c>
    </row>
    <row r="3805">
      <c r="A3805" s="19" t="inlineStr">
        <is>
          <t>FY27</t>
        </is>
      </c>
      <c r="B3805" s="19" t="inlineStr">
        <is>
          <t>Sep</t>
        </is>
      </c>
      <c r="C3805" s="19" t="inlineStr">
        <is>
          <t>AP/TS</t>
        </is>
      </c>
      <c r="D3805" s="20" t="inlineStr">
        <is>
          <t>AP16CJ2616</t>
        </is>
      </c>
      <c r="E3805" s="20" t="inlineStr">
        <is>
          <t>MARUTI SUZUKI</t>
        </is>
      </c>
      <c r="F3805" s="20" t="inlineStr">
        <is>
          <t>Dzire</t>
        </is>
      </c>
      <c r="G3805" s="21" t="n">
        <v>2013</v>
      </c>
      <c r="H3805" s="22" t="n">
        <v>95208</v>
      </c>
      <c r="I3805" s="23" t="n">
        <v>100000</v>
      </c>
      <c r="J3805" s="20" t="inlineStr">
        <is>
          <t>MOHAMMED GOUSE BASHA</t>
        </is>
      </c>
      <c r="K3805" s="20" t="inlineStr">
        <is>
          <t>Non-Captive</t>
        </is>
      </c>
      <c r="L3805" s="20" t="inlineStr">
        <is>
          <t>Gopi Nagaraju</t>
        </is>
      </c>
      <c r="M3805" s="23" t="n">
        <v>4100</v>
      </c>
      <c r="N3805" s="23" t="n">
        <v>4838</v>
      </c>
      <c r="O3805" s="24">
        <f>IF(AND(ISNUMBER(M3805), ISNUMBER(I3805), I3805&gt;0), M3805/I3805, "")</f>
        <v/>
      </c>
    </row>
    <row r="3806">
      <c r="A3806" s="19" t="inlineStr">
        <is>
          <t>FY27</t>
        </is>
      </c>
      <c r="B3806" s="19" t="inlineStr">
        <is>
          <t>Sep</t>
        </is>
      </c>
      <c r="C3806" s="19" t="inlineStr">
        <is>
          <t>AP/TS</t>
        </is>
      </c>
      <c r="D3806" s="20" t="inlineStr">
        <is>
          <t>AP16CW9366</t>
        </is>
      </c>
      <c r="E3806" s="20" t="inlineStr">
        <is>
          <t>MARUTI SUZUKI</t>
        </is>
      </c>
      <c r="F3806" s="20" t="inlineStr">
        <is>
          <t>Celerio</t>
        </is>
      </c>
      <c r="G3806" s="21" t="n">
        <v>2014</v>
      </c>
      <c r="H3806" s="22" t="n">
        <v>82998</v>
      </c>
      <c r="I3806" s="23" t="n">
        <v>100000</v>
      </c>
      <c r="J3806" s="20" t="inlineStr">
        <is>
          <t>MOHAMMED GOUSE BASHA</t>
        </is>
      </c>
      <c r="K3806" s="20" t="inlineStr">
        <is>
          <t>Non-Captive</t>
        </is>
      </c>
      <c r="L3806" s="20" t="inlineStr">
        <is>
          <t>Naga Suresh Polukonda</t>
        </is>
      </c>
      <c r="M3806" s="23" t="n">
        <v>4100</v>
      </c>
      <c r="N3806" s="23" t="n">
        <v>4838</v>
      </c>
      <c r="O3806" s="24">
        <f>IF(AND(ISNUMBER(M3806), ISNUMBER(I3806), I3806&gt;0), M3806/I3806, "")</f>
        <v/>
      </c>
    </row>
    <row r="3807">
      <c r="A3807" s="19" t="inlineStr">
        <is>
          <t>FY27</t>
        </is>
      </c>
      <c r="B3807" s="19" t="inlineStr">
        <is>
          <t>Sep</t>
        </is>
      </c>
      <c r="C3807" s="19" t="inlineStr">
        <is>
          <t>AP/TS</t>
        </is>
      </c>
      <c r="D3807" s="20" t="inlineStr">
        <is>
          <t>AP16CY5787</t>
        </is>
      </c>
      <c r="E3807" s="20" t="inlineStr">
        <is>
          <t>MARUTI SUZUKI</t>
        </is>
      </c>
      <c r="F3807" s="20" t="inlineStr">
        <is>
          <t>Wagon R</t>
        </is>
      </c>
      <c r="G3807" s="21" t="n">
        <v>2015</v>
      </c>
      <c r="H3807" s="22" t="n">
        <v>148960</v>
      </c>
      <c r="I3807" s="23" t="n">
        <v>90000</v>
      </c>
      <c r="J3807" s="20" t="inlineStr">
        <is>
          <t>MOHAMMED GOUSE BASHA</t>
        </is>
      </c>
      <c r="K3807" s="20" t="inlineStr">
        <is>
          <t>Non-Captive</t>
        </is>
      </c>
      <c r="L3807" s="20" t="inlineStr">
        <is>
          <t>Guthi Ravi Krishna</t>
        </is>
      </c>
      <c r="M3807" s="23" t="n">
        <v>4100</v>
      </c>
      <c r="N3807" s="23" t="n">
        <v>4838</v>
      </c>
      <c r="O3807" s="24">
        <f>IF(AND(ISNUMBER(M3807), ISNUMBER(I3807), I3807&gt;0), M3807/I3807, "")</f>
        <v/>
      </c>
    </row>
    <row r="3808">
      <c r="A3808" s="19" t="inlineStr">
        <is>
          <t>FY27</t>
        </is>
      </c>
      <c r="B3808" s="19" t="inlineStr">
        <is>
          <t>Sep</t>
        </is>
      </c>
      <c r="C3808" s="19" t="inlineStr">
        <is>
          <t>AP/TS</t>
        </is>
      </c>
      <c r="D3808" s="20" t="inlineStr">
        <is>
          <t>AP16DM7059</t>
        </is>
      </c>
      <c r="E3808" s="20" t="inlineStr">
        <is>
          <t>HYUNDAI</t>
        </is>
      </c>
      <c r="F3808" s="20" t="inlineStr">
        <is>
          <t>Grand i10</t>
        </is>
      </c>
      <c r="G3808" s="21" t="n">
        <v>2016</v>
      </c>
      <c r="H3808" s="22" t="n">
        <v>58286</v>
      </c>
      <c r="I3808" s="23" t="n">
        <v>280500</v>
      </c>
      <c r="J3808" s="20" t="inlineStr">
        <is>
          <t>EXCHANGE</t>
        </is>
      </c>
      <c r="K3808" s="20" t="inlineStr">
        <is>
          <t>Captive</t>
        </is>
      </c>
      <c r="L3808" s="20" t="inlineStr">
        <is>
          <t>Mohammed Gouse Basha</t>
        </is>
      </c>
      <c r="M3808" s="23" t="n">
        <v>6560</v>
      </c>
      <c r="N3808" s="23" t="n">
        <v>7740.8</v>
      </c>
      <c r="O3808" s="24">
        <f>IF(AND(ISNUMBER(M3808), ISNUMBER(I3808), I3808&gt;0), M3808/I3808, "")</f>
        <v/>
      </c>
    </row>
    <row r="3809">
      <c r="A3809" s="19" t="inlineStr">
        <is>
          <t>FY27</t>
        </is>
      </c>
      <c r="B3809" s="19" t="inlineStr">
        <is>
          <t>Sep</t>
        </is>
      </c>
      <c r="C3809" s="19" t="inlineStr">
        <is>
          <t>AP/TS</t>
        </is>
      </c>
      <c r="D3809" s="20" t="inlineStr">
        <is>
          <t>AP21CJ7576</t>
        </is>
      </c>
      <c r="E3809" s="20" t="inlineStr">
        <is>
          <t>RENAULT</t>
        </is>
      </c>
      <c r="F3809" s="20" t="inlineStr">
        <is>
          <t>Kwid</t>
        </is>
      </c>
      <c r="G3809" s="21" t="n">
        <v>2018</v>
      </c>
      <c r="H3809" s="22" t="n">
        <v>69820</v>
      </c>
      <c r="I3809" s="23" t="n">
        <v>196000</v>
      </c>
      <c r="J3809" s="20" t="inlineStr">
        <is>
          <t>MOHAMMED GOUSE BASHA</t>
        </is>
      </c>
      <c r="K3809" s="20" t="inlineStr">
        <is>
          <t>Non-Captive</t>
        </is>
      </c>
      <c r="L3809" s="20" t="inlineStr">
        <is>
          <t>Tenali Srinivas</t>
        </is>
      </c>
      <c r="M3809" s="23" t="n">
        <v>4920</v>
      </c>
      <c r="N3809" s="23" t="n">
        <v>5805.6</v>
      </c>
      <c r="O3809" s="24">
        <f>IF(AND(ISNUMBER(M3809), ISNUMBER(I3809), I3809&gt;0), M3809/I3809, "")</f>
        <v/>
      </c>
    </row>
    <row r="3810">
      <c r="A3810" s="19" t="inlineStr">
        <is>
          <t>FY27</t>
        </is>
      </c>
      <c r="B3810" s="19" t="inlineStr">
        <is>
          <t>Sep</t>
        </is>
      </c>
      <c r="C3810" s="19" t="inlineStr">
        <is>
          <t>AP/TS</t>
        </is>
      </c>
      <c r="D3810" s="20" t="inlineStr">
        <is>
          <t>AP24AV3278</t>
        </is>
      </c>
      <c r="E3810" s="20" t="inlineStr">
        <is>
          <t>HYUNDAI</t>
        </is>
      </c>
      <c r="F3810" s="20" t="inlineStr">
        <is>
          <t>i10</t>
        </is>
      </c>
      <c r="G3810" s="21" t="n">
        <v>2013</v>
      </c>
      <c r="H3810" s="22" t="n">
        <v>90082</v>
      </c>
      <c r="I3810" s="23" t="n">
        <v>161000</v>
      </c>
      <c r="J3810" s="20" t="inlineStr">
        <is>
          <t>EXCHANGE</t>
        </is>
      </c>
      <c r="K3810" s="20" t="inlineStr">
        <is>
          <t>Captive</t>
        </is>
      </c>
      <c r="L3810" s="20" t="inlineStr">
        <is>
          <t>Odapally Sandeep</t>
        </is>
      </c>
      <c r="M3810" s="23" t="n">
        <v>4920</v>
      </c>
      <c r="N3810" s="23" t="n">
        <v>5805.6</v>
      </c>
      <c r="O3810" s="24">
        <f>IF(AND(ISNUMBER(M3810), ISNUMBER(I3810), I3810&gt;0), M3810/I3810, "")</f>
        <v/>
      </c>
    </row>
    <row r="3811">
      <c r="A3811" s="19" t="inlineStr">
        <is>
          <t>FY27</t>
        </is>
      </c>
      <c r="B3811" s="19" t="inlineStr">
        <is>
          <t>Sep</t>
        </is>
      </c>
      <c r="C3811" s="19" t="inlineStr">
        <is>
          <t>AP/TS</t>
        </is>
      </c>
      <c r="D3811" s="20" t="inlineStr">
        <is>
          <t>AP25AD6252</t>
        </is>
      </c>
      <c r="E3811" s="20" t="inlineStr">
        <is>
          <t>MARUTI SUZUKI</t>
        </is>
      </c>
      <c r="F3811" s="20" t="inlineStr">
        <is>
          <t>Alto K10</t>
        </is>
      </c>
      <c r="G3811" s="21" t="n">
        <v>2010</v>
      </c>
      <c r="H3811" s="22" t="n">
        <v>155405</v>
      </c>
      <c r="I3811" s="23" t="n">
        <v>72000</v>
      </c>
      <c r="J3811" s="20" t="inlineStr">
        <is>
          <t>BUKYA SANTHOSH NAIK</t>
        </is>
      </c>
      <c r="K3811" s="20" t="inlineStr">
        <is>
          <t>Non-Captive</t>
        </is>
      </c>
      <c r="L3811" s="20" t="inlineStr">
        <is>
          <t>Janagama Srinivas</t>
        </is>
      </c>
      <c r="M3811" s="23" t="n">
        <v>5740</v>
      </c>
      <c r="N3811" s="23" t="n">
        <v>6773.2</v>
      </c>
      <c r="O3811" s="24">
        <f>IF(AND(ISNUMBER(M3811), ISNUMBER(I3811), I3811&gt;0), M3811/I3811, "")</f>
        <v/>
      </c>
    </row>
    <row r="3812">
      <c r="A3812" s="19" t="inlineStr">
        <is>
          <t>FY27</t>
        </is>
      </c>
      <c r="B3812" s="19" t="inlineStr">
        <is>
          <t>Sep</t>
        </is>
      </c>
      <c r="C3812" s="19" t="inlineStr">
        <is>
          <t>AP/TS</t>
        </is>
      </c>
      <c r="D3812" s="20" t="inlineStr">
        <is>
          <t>AP28BC0959</t>
        </is>
      </c>
      <c r="E3812" s="20" t="inlineStr">
        <is>
          <t>HONDA</t>
        </is>
      </c>
      <c r="F3812" s="20" t="inlineStr">
        <is>
          <t>Accord</t>
        </is>
      </c>
      <c r="G3812" s="21" t="n">
        <v>2005</v>
      </c>
      <c r="H3812" s="22" t="n">
        <v>131525</v>
      </c>
      <c r="I3812" s="23" t="n">
        <v>81000</v>
      </c>
      <c r="J3812" s="20" t="inlineStr">
        <is>
          <t>EXCHANGE</t>
        </is>
      </c>
      <c r="K3812" s="20" t="inlineStr">
        <is>
          <t>Captive</t>
        </is>
      </c>
      <c r="L3812" s="20" t="inlineStr">
        <is>
          <t>Abdul Razzaq</t>
        </is>
      </c>
      <c r="M3812" s="23" t="n">
        <v>4920</v>
      </c>
      <c r="N3812" s="23" t="n">
        <v>5805.6</v>
      </c>
      <c r="O3812" s="24">
        <f>IF(AND(ISNUMBER(M3812), ISNUMBER(I3812), I3812&gt;0), M3812/I3812, "")</f>
        <v/>
      </c>
    </row>
    <row r="3813">
      <c r="A3813" s="19" t="inlineStr">
        <is>
          <t>FY27</t>
        </is>
      </c>
      <c r="B3813" s="19" t="inlineStr">
        <is>
          <t>Sep</t>
        </is>
      </c>
      <c r="C3813" s="19" t="inlineStr">
        <is>
          <t>AP/TS</t>
        </is>
      </c>
      <c r="D3813" s="20" t="inlineStr">
        <is>
          <t>AP28CB5045</t>
        </is>
      </c>
      <c r="E3813" s="20" t="inlineStr">
        <is>
          <t>HYUNDAI</t>
        </is>
      </c>
      <c r="F3813" s="20" t="inlineStr">
        <is>
          <t>i10</t>
        </is>
      </c>
      <c r="G3813" s="21" t="n">
        <v>2008</v>
      </c>
      <c r="H3813" s="22" t="n">
        <v>153280</v>
      </c>
      <c r="I3813" s="23" t="n">
        <v>77000</v>
      </c>
      <c r="J3813" s="20" t="inlineStr">
        <is>
          <t>BUKYA SANTHOSH NAIK</t>
        </is>
      </c>
      <c r="K3813" s="20" t="inlineStr">
        <is>
          <t>Non-Captive</t>
        </is>
      </c>
      <c r="L3813" s="20" t="inlineStr">
        <is>
          <t>Janagama Srinivas</t>
        </is>
      </c>
      <c r="M3813" s="23" t="n">
        <v>5740</v>
      </c>
      <c r="N3813" s="23" t="n">
        <v>6773.2</v>
      </c>
      <c r="O3813" s="24">
        <f>IF(AND(ISNUMBER(M3813), ISNUMBER(I3813), I3813&gt;0), M3813/I3813, "")</f>
        <v/>
      </c>
    </row>
    <row r="3814">
      <c r="A3814" s="19" t="inlineStr">
        <is>
          <t>FY27</t>
        </is>
      </c>
      <c r="B3814" s="19" t="inlineStr">
        <is>
          <t>Sep</t>
        </is>
      </c>
      <c r="C3814" s="19" t="inlineStr">
        <is>
          <t>AP/TS</t>
        </is>
      </c>
      <c r="D3814" s="20" t="inlineStr">
        <is>
          <t>AP28CG3180</t>
        </is>
      </c>
      <c r="E3814" s="20" t="inlineStr">
        <is>
          <t>MARUTI SUZUKI</t>
        </is>
      </c>
      <c r="F3814" s="20" t="inlineStr">
        <is>
          <t>Ritz</t>
        </is>
      </c>
      <c r="G3814" s="21" t="n">
        <v>2011</v>
      </c>
      <c r="H3814" s="22" t="n">
        <v>85691</v>
      </c>
      <c r="I3814" s="23" t="n">
        <v>96000</v>
      </c>
      <c r="J3814" s="20" t="inlineStr">
        <is>
          <t>EXCHANGE</t>
        </is>
      </c>
      <c r="K3814" s="20" t="inlineStr">
        <is>
          <t>Captive</t>
        </is>
      </c>
      <c r="L3814" s="20" t="inlineStr">
        <is>
          <t>B Venkata Rao</t>
        </is>
      </c>
      <c r="M3814" s="23" t="n">
        <v>4920</v>
      </c>
      <c r="N3814" s="23" t="n">
        <v>5805.6</v>
      </c>
      <c r="O3814" s="24">
        <f>IF(AND(ISNUMBER(M3814), ISNUMBER(I3814), I3814&gt;0), M3814/I3814, "")</f>
        <v/>
      </c>
    </row>
    <row r="3815">
      <c r="A3815" s="19" t="inlineStr">
        <is>
          <t>FY27</t>
        </is>
      </c>
      <c r="B3815" s="19" t="inlineStr">
        <is>
          <t>Sep</t>
        </is>
      </c>
      <c r="C3815" s="19" t="inlineStr">
        <is>
          <t>AP/TS</t>
        </is>
      </c>
      <c r="D3815" s="20" t="inlineStr">
        <is>
          <t>AP28DJ2172</t>
        </is>
      </c>
      <c r="E3815" s="20" t="inlineStr">
        <is>
          <t>HYUNDAI</t>
        </is>
      </c>
      <c r="F3815" s="20" t="inlineStr">
        <is>
          <t>i10</t>
        </is>
      </c>
      <c r="G3815" s="21" t="n">
        <v>2011</v>
      </c>
      <c r="H3815" s="22" t="n">
        <v>98253</v>
      </c>
      <c r="I3815" s="23" t="n">
        <v>93000</v>
      </c>
      <c r="J3815" s="20" t="inlineStr">
        <is>
          <t>PRABJYOTH SINGH WASU</t>
        </is>
      </c>
      <c r="K3815" s="20" t="inlineStr">
        <is>
          <t>Non-Captive</t>
        </is>
      </c>
      <c r="L3815" s="20" t="inlineStr">
        <is>
          <t>Abdul Razzaq</t>
        </is>
      </c>
      <c r="M3815" s="23" t="n">
        <v>6560</v>
      </c>
      <c r="N3815" s="23" t="n">
        <v>7740.8</v>
      </c>
      <c r="O3815" s="24">
        <f>IF(AND(ISNUMBER(M3815), ISNUMBER(I3815), I3815&gt;0), M3815/I3815, "")</f>
        <v/>
      </c>
    </row>
    <row r="3816">
      <c r="A3816" s="19" t="inlineStr">
        <is>
          <t>FY27</t>
        </is>
      </c>
      <c r="B3816" s="19" t="inlineStr">
        <is>
          <t>Sep</t>
        </is>
      </c>
      <c r="C3816" s="19" t="inlineStr">
        <is>
          <t>AP/TS</t>
        </is>
      </c>
      <c r="D3816" s="20" t="inlineStr">
        <is>
          <t>AP28DS9236</t>
        </is>
      </c>
      <c r="E3816" s="20" t="inlineStr">
        <is>
          <t>HYUNDAI</t>
        </is>
      </c>
      <c r="F3816" s="20" t="inlineStr">
        <is>
          <t>Eon</t>
        </is>
      </c>
      <c r="G3816" s="21" t="n">
        <v>2013</v>
      </c>
      <c r="H3816" s="22" t="n">
        <v>48523</v>
      </c>
      <c r="I3816" s="23" t="n">
        <v>106000</v>
      </c>
      <c r="J3816" s="20" t="inlineStr">
        <is>
          <t>PUNEET GUPTA</t>
        </is>
      </c>
      <c r="K3816" s="20" t="inlineStr">
        <is>
          <t>Non-Captive</t>
        </is>
      </c>
      <c r="L3816" s="20" t="inlineStr">
        <is>
          <t>Zaki Ahmed Khan</t>
        </is>
      </c>
      <c r="M3816" s="23" t="n">
        <v>4920</v>
      </c>
      <c r="N3816" s="23" t="n">
        <v>5805.6</v>
      </c>
      <c r="O3816" s="24">
        <f>IF(AND(ISNUMBER(M3816), ISNUMBER(I3816), I3816&gt;0), M3816/I3816, "")</f>
        <v/>
      </c>
    </row>
    <row r="3817">
      <c r="A3817" s="19" t="inlineStr">
        <is>
          <t>FY27</t>
        </is>
      </c>
      <c r="B3817" s="19" t="inlineStr">
        <is>
          <t>Sep</t>
        </is>
      </c>
      <c r="C3817" s="19" t="inlineStr">
        <is>
          <t>AP/TS</t>
        </is>
      </c>
      <c r="D3817" s="20" t="inlineStr">
        <is>
          <t>AP29AZ7297</t>
        </is>
      </c>
      <c r="E3817" s="20" t="inlineStr">
        <is>
          <t>HONDA</t>
        </is>
      </c>
      <c r="F3817" s="20" t="inlineStr">
        <is>
          <t>Amaze</t>
        </is>
      </c>
      <c r="G3817" s="21" t="n">
        <v>2013</v>
      </c>
      <c r="H3817" s="22" t="n">
        <v>55086</v>
      </c>
      <c r="I3817" s="23" t="n">
        <v>188000</v>
      </c>
      <c r="J3817" s="20" t="inlineStr">
        <is>
          <t>PUNEET GUPTA</t>
        </is>
      </c>
      <c r="K3817" s="20" t="inlineStr">
        <is>
          <t>Non-Captive</t>
        </is>
      </c>
      <c r="L3817" s="20" t="inlineStr">
        <is>
          <t>Zaki Ahmed Khan</t>
        </is>
      </c>
      <c r="M3817" s="23" t="n">
        <v>6560</v>
      </c>
      <c r="N3817" s="23" t="n">
        <v>7740.8</v>
      </c>
      <c r="O3817" s="24">
        <f>IF(AND(ISNUMBER(M3817), ISNUMBER(I3817), I3817&gt;0), M3817/I3817, "")</f>
        <v/>
      </c>
    </row>
    <row r="3818">
      <c r="A3818" s="19" t="inlineStr">
        <is>
          <t>FY27</t>
        </is>
      </c>
      <c r="B3818" s="19" t="inlineStr">
        <is>
          <t>Sep</t>
        </is>
      </c>
      <c r="C3818" s="19" t="inlineStr">
        <is>
          <t>AP/TS</t>
        </is>
      </c>
      <c r="D3818" s="20" t="inlineStr">
        <is>
          <t>AP29BE7339</t>
        </is>
      </c>
      <c r="E3818" s="20" t="inlineStr">
        <is>
          <t>HYUNDAI</t>
        </is>
      </c>
      <c r="F3818" s="20" t="inlineStr">
        <is>
          <t>i10</t>
        </is>
      </c>
      <c r="G3818" s="21" t="n">
        <v>2008</v>
      </c>
      <c r="H3818" s="22" t="n">
        <v>95811</v>
      </c>
      <c r="I3818" s="23" t="n">
        <v>55000</v>
      </c>
      <c r="J3818" s="20" t="inlineStr">
        <is>
          <t>EXCHANGE</t>
        </is>
      </c>
      <c r="K3818" s="20" t="inlineStr">
        <is>
          <t>Captive</t>
        </is>
      </c>
      <c r="L3818" s="20" t="inlineStr">
        <is>
          <t>Vara Rajendra Varma</t>
        </is>
      </c>
      <c r="M3818" s="23" t="n">
        <v>4100</v>
      </c>
      <c r="N3818" s="23" t="n">
        <v>4838</v>
      </c>
      <c r="O3818" s="24">
        <f>IF(AND(ISNUMBER(M3818), ISNUMBER(I3818), I3818&gt;0), M3818/I3818, "")</f>
        <v/>
      </c>
    </row>
    <row r="3819">
      <c r="A3819" s="19" t="inlineStr">
        <is>
          <t>FY27</t>
        </is>
      </c>
      <c r="B3819" s="19" t="inlineStr">
        <is>
          <t>Sep</t>
        </is>
      </c>
      <c r="C3819" s="19" t="inlineStr">
        <is>
          <t>AP/TS</t>
        </is>
      </c>
      <c r="D3819" s="20" t="inlineStr">
        <is>
          <t>AP31BK6226</t>
        </is>
      </c>
      <c r="E3819" s="20" t="inlineStr">
        <is>
          <t>MARUTI SUZUKI</t>
        </is>
      </c>
      <c r="F3819" s="20" t="inlineStr">
        <is>
          <t>Swift</t>
        </is>
      </c>
      <c r="G3819" s="21" t="n">
        <v>2010</v>
      </c>
      <c r="H3819" s="22" t="n">
        <v>101248</v>
      </c>
      <c r="I3819" s="23" t="n">
        <v>96050</v>
      </c>
      <c r="J3819" s="20" t="inlineStr">
        <is>
          <t>KESIREDDY SAIKIRAN</t>
        </is>
      </c>
      <c r="K3819" s="20" t="inlineStr">
        <is>
          <t>Non-Captive</t>
        </is>
      </c>
      <c r="L3819" s="20" t="inlineStr">
        <is>
          <t>Kasarapu Bhagyasri</t>
        </is>
      </c>
      <c r="M3819" s="23" t="n">
        <v>4961</v>
      </c>
      <c r="N3819" s="23" t="n">
        <v>5853.98</v>
      </c>
      <c r="O3819" s="24">
        <f>IF(AND(ISNUMBER(M3819), ISNUMBER(I3819), I3819&gt;0), M3819/I3819, "")</f>
        <v/>
      </c>
    </row>
    <row r="3820">
      <c r="A3820" s="19" t="inlineStr">
        <is>
          <t>FY27</t>
        </is>
      </c>
      <c r="B3820" s="19" t="inlineStr">
        <is>
          <t>Sep</t>
        </is>
      </c>
      <c r="C3820" s="19" t="inlineStr">
        <is>
          <t>AP/TS</t>
        </is>
      </c>
      <c r="D3820" s="20" t="inlineStr">
        <is>
          <t>AP31CC0369</t>
        </is>
      </c>
      <c r="E3820" s="20" t="inlineStr">
        <is>
          <t>VOLKSWAGEN</t>
        </is>
      </c>
      <c r="F3820" s="20" t="inlineStr">
        <is>
          <t>Vento</t>
        </is>
      </c>
      <c r="G3820" s="21" t="n">
        <v>2012</v>
      </c>
      <c r="H3820" s="22" t="n">
        <v>160521</v>
      </c>
      <c r="I3820" s="23" t="n">
        <v>166000</v>
      </c>
      <c r="J3820" s="20" t="inlineStr">
        <is>
          <t>EXCHANGE</t>
        </is>
      </c>
      <c r="K3820" s="20" t="inlineStr">
        <is>
          <t>Captive</t>
        </is>
      </c>
      <c r="L3820" s="20" t="inlineStr">
        <is>
          <t>B Venkata Rao</t>
        </is>
      </c>
      <c r="M3820" s="23" t="n">
        <v>4920</v>
      </c>
      <c r="N3820" s="23" t="n">
        <v>5805.6</v>
      </c>
      <c r="O3820" s="24">
        <f>IF(AND(ISNUMBER(M3820), ISNUMBER(I3820), I3820&gt;0), M3820/I3820, "")</f>
        <v/>
      </c>
    </row>
    <row r="3821">
      <c r="A3821" s="19" t="inlineStr">
        <is>
          <t>FY27</t>
        </is>
      </c>
      <c r="B3821" s="19" t="inlineStr">
        <is>
          <t>Sep</t>
        </is>
      </c>
      <c r="C3821" s="19" t="inlineStr">
        <is>
          <t>AP/TS</t>
        </is>
      </c>
      <c r="D3821" s="20" t="inlineStr">
        <is>
          <t>AP31CC7092</t>
        </is>
      </c>
      <c r="E3821" s="20" t="inlineStr">
        <is>
          <t>CHEVROLET</t>
        </is>
      </c>
      <c r="F3821" s="20" t="inlineStr">
        <is>
          <t>Beat</t>
        </is>
      </c>
      <c r="G3821" s="21" t="n">
        <v>2012</v>
      </c>
      <c r="H3821" s="22" t="n">
        <v>97915</v>
      </c>
      <c r="I3821" s="23" t="n">
        <v>51000</v>
      </c>
      <c r="J3821" s="20" t="inlineStr">
        <is>
          <t>MOHAMMED ADIL</t>
        </is>
      </c>
      <c r="K3821" s="20" t="inlineStr">
        <is>
          <t>Non-Captive</t>
        </is>
      </c>
      <c r="L3821" s="20" t="inlineStr">
        <is>
          <t>Gadi Sri Bharathi</t>
        </is>
      </c>
      <c r="M3821" s="23" t="n">
        <v>4920</v>
      </c>
      <c r="N3821" s="23" t="n">
        <v>5805.6</v>
      </c>
      <c r="O3821" s="24">
        <f>IF(AND(ISNUMBER(M3821), ISNUMBER(I3821), I3821&gt;0), M3821/I3821, "")</f>
        <v/>
      </c>
    </row>
    <row r="3822">
      <c r="A3822" s="19" t="inlineStr">
        <is>
          <t>FY27</t>
        </is>
      </c>
      <c r="B3822" s="19" t="inlineStr">
        <is>
          <t>Sep</t>
        </is>
      </c>
      <c r="C3822" s="19" t="inlineStr">
        <is>
          <t>AP/TS</t>
        </is>
      </c>
      <c r="D3822" s="20" t="inlineStr">
        <is>
          <t>AP37AQ1188</t>
        </is>
      </c>
      <c r="E3822" s="20" t="inlineStr">
        <is>
          <t>HYUNDAI</t>
        </is>
      </c>
      <c r="F3822" s="20" t="inlineStr">
        <is>
          <t>Santro</t>
        </is>
      </c>
      <c r="G3822" s="21" t="n">
        <v>2007</v>
      </c>
      <c r="H3822" s="22" t="n">
        <v>125425</v>
      </c>
      <c r="I3822" s="23" t="n">
        <v>81000</v>
      </c>
      <c r="J3822" s="20" t="inlineStr">
        <is>
          <t>MOHAMMED GOUSE BASHA</t>
        </is>
      </c>
      <c r="K3822" s="20" t="inlineStr">
        <is>
          <t>Non-Captive</t>
        </is>
      </c>
      <c r="L3822" s="20" t="inlineStr">
        <is>
          <t>Tenali Srinivas</t>
        </is>
      </c>
      <c r="M3822" s="23" t="n">
        <v>4920</v>
      </c>
      <c r="N3822" s="23" t="n">
        <v>5805.6</v>
      </c>
      <c r="O3822" s="24">
        <f>IF(AND(ISNUMBER(M3822), ISNUMBER(I3822), I3822&gt;0), M3822/I3822, "")</f>
        <v/>
      </c>
    </row>
    <row r="3823">
      <c r="A3823" s="19" t="inlineStr">
        <is>
          <t>FY27</t>
        </is>
      </c>
      <c r="B3823" s="19" t="inlineStr">
        <is>
          <t>Sep</t>
        </is>
      </c>
      <c r="C3823" s="19" t="inlineStr">
        <is>
          <t>AP/TS</t>
        </is>
      </c>
      <c r="D3823" s="20" t="inlineStr">
        <is>
          <t>AP39AQ6999</t>
        </is>
      </c>
      <c r="E3823" s="20" t="inlineStr">
        <is>
          <t>HONDA</t>
        </is>
      </c>
      <c r="F3823" s="20" t="inlineStr">
        <is>
          <t>WR-V</t>
        </is>
      </c>
      <c r="G3823" s="21" t="n">
        <v>2019</v>
      </c>
      <c r="H3823" s="22" t="n">
        <v>64463</v>
      </c>
      <c r="I3823" s="23" t="n">
        <v>200000</v>
      </c>
      <c r="J3823" s="20" t="inlineStr">
        <is>
          <t>TENALI SRINIVAS</t>
        </is>
      </c>
      <c r="K3823" s="20" t="inlineStr">
        <is>
          <t>Non-Captive</t>
        </is>
      </c>
      <c r="L3823" s="20" t="inlineStr">
        <is>
          <t>Mohammed Gouse Basha</t>
        </is>
      </c>
      <c r="M3823" s="23" t="n">
        <v>5740</v>
      </c>
      <c r="N3823" s="23" t="n">
        <v>6773.2</v>
      </c>
      <c r="O3823" s="24">
        <f>IF(AND(ISNUMBER(M3823), ISNUMBER(I3823), I3823&gt;0), M3823/I3823, "")</f>
        <v/>
      </c>
    </row>
    <row r="3824">
      <c r="A3824" s="19" t="inlineStr">
        <is>
          <t>FY27</t>
        </is>
      </c>
      <c r="B3824" s="19" t="inlineStr">
        <is>
          <t>Sep</t>
        </is>
      </c>
      <c r="C3824" s="19" t="inlineStr">
        <is>
          <t>AP/TS</t>
        </is>
      </c>
      <c r="D3824" s="20" t="inlineStr">
        <is>
          <t>AP39AW2689</t>
        </is>
      </c>
      <c r="E3824" s="20" t="inlineStr">
        <is>
          <t>HYUNDAI</t>
        </is>
      </c>
      <c r="F3824" s="20" t="inlineStr">
        <is>
          <t>i20</t>
        </is>
      </c>
      <c r="G3824" s="21" t="n">
        <v>2019</v>
      </c>
      <c r="H3824" s="22" t="n">
        <v>77846</v>
      </c>
      <c r="I3824" s="23" t="n">
        <v>430000</v>
      </c>
      <c r="J3824" s="20" t="inlineStr">
        <is>
          <t>EXCHANGE</t>
        </is>
      </c>
      <c r="K3824" s="20" t="inlineStr">
        <is>
          <t>Captive</t>
        </is>
      </c>
      <c r="L3824" s="20" t="inlineStr">
        <is>
          <t>B Venkata Rao</t>
        </is>
      </c>
      <c r="M3824" s="23" t="n">
        <v>8200</v>
      </c>
      <c r="N3824" s="23" t="n">
        <v>9676</v>
      </c>
      <c r="O3824" s="24">
        <f>IF(AND(ISNUMBER(M3824), ISNUMBER(I3824), I3824&gt;0), M3824/I3824, "")</f>
        <v/>
      </c>
    </row>
    <row r="3825">
      <c r="A3825" s="19" t="inlineStr">
        <is>
          <t>FY27</t>
        </is>
      </c>
      <c r="B3825" s="19" t="inlineStr">
        <is>
          <t>Sep</t>
        </is>
      </c>
      <c r="C3825" s="19" t="inlineStr">
        <is>
          <t>AP/TS</t>
        </is>
      </c>
      <c r="D3825" s="20" t="inlineStr">
        <is>
          <t>AP39LU4009</t>
        </is>
      </c>
      <c r="E3825" s="20" t="inlineStr">
        <is>
          <t>MARUTI SUZUKI</t>
        </is>
      </c>
      <c r="F3825" s="20" t="inlineStr">
        <is>
          <t>XL6</t>
        </is>
      </c>
      <c r="G3825" s="21" t="n">
        <v>2021</v>
      </c>
      <c r="H3825" s="22" t="n">
        <v>68301</v>
      </c>
      <c r="I3825" s="23" t="n">
        <v>515000</v>
      </c>
      <c r="J3825" s="20" t="inlineStr">
        <is>
          <t>EXCHANGE</t>
        </is>
      </c>
      <c r="K3825" s="20" t="inlineStr">
        <is>
          <t>Captive</t>
        </is>
      </c>
      <c r="L3825" s="20" t="inlineStr">
        <is>
          <t>Manku Tharaka Rama Rao</t>
        </is>
      </c>
      <c r="M3825" s="23" t="n">
        <v>12300</v>
      </c>
      <c r="N3825" s="23" t="n">
        <v>14514</v>
      </c>
      <c r="O3825" s="24">
        <f>IF(AND(ISNUMBER(M3825), ISNUMBER(I3825), I3825&gt;0), M3825/I3825, "")</f>
        <v/>
      </c>
    </row>
    <row r="3826">
      <c r="A3826" s="19" t="inlineStr">
        <is>
          <t>FY27</t>
        </is>
      </c>
      <c r="B3826" s="19" t="inlineStr">
        <is>
          <t>Sep</t>
        </is>
      </c>
      <c r="C3826" s="19" t="inlineStr">
        <is>
          <t>AP/TS</t>
        </is>
      </c>
      <c r="D3826" s="20" t="inlineStr">
        <is>
          <t>AP39NQ8364</t>
        </is>
      </c>
      <c r="E3826" s="20" t="inlineStr">
        <is>
          <t>MARUTI SUZUKI</t>
        </is>
      </c>
      <c r="F3826" s="20" t="inlineStr">
        <is>
          <t>Eeco</t>
        </is>
      </c>
      <c r="G3826" s="21" t="n">
        <v>2021</v>
      </c>
      <c r="H3826" s="22" t="n">
        <v>41970</v>
      </c>
      <c r="I3826" s="23" t="n">
        <v>196000</v>
      </c>
      <c r="J3826" s="20" t="inlineStr">
        <is>
          <t>KESIREDDY SAIKIRAN</t>
        </is>
      </c>
      <c r="K3826" s="20" t="inlineStr">
        <is>
          <t>Non-Captive</t>
        </is>
      </c>
      <c r="L3826" s="20" t="inlineStr">
        <is>
          <t>B Venkata Rao</t>
        </is>
      </c>
      <c r="M3826" s="23" t="n">
        <v>4920</v>
      </c>
      <c r="N3826" s="23" t="n">
        <v>5805.6</v>
      </c>
      <c r="O3826" s="24">
        <f>IF(AND(ISNUMBER(M3826), ISNUMBER(I3826), I3826&gt;0), M3826/I3826, "")</f>
        <v/>
      </c>
    </row>
    <row r="3827">
      <c r="A3827" s="19" t="inlineStr">
        <is>
          <t>FY27</t>
        </is>
      </c>
      <c r="B3827" s="19" t="inlineStr">
        <is>
          <t>Sep</t>
        </is>
      </c>
      <c r="C3827" s="19" t="inlineStr">
        <is>
          <t>AP/TS</t>
        </is>
      </c>
      <c r="D3827" s="20" t="inlineStr">
        <is>
          <t>TS07GV2665</t>
        </is>
      </c>
      <c r="E3827" s="20" t="inlineStr">
        <is>
          <t>MARUTI SUZUKI</t>
        </is>
      </c>
      <c r="F3827" s="20" t="inlineStr">
        <is>
          <t>Baleno</t>
        </is>
      </c>
      <c r="G3827" s="21" t="n">
        <v>2019</v>
      </c>
      <c r="H3827" s="22" t="n">
        <v>97986</v>
      </c>
      <c r="I3827" s="23" t="n">
        <v>355000</v>
      </c>
      <c r="J3827" s="20" t="inlineStr">
        <is>
          <t>DODDI VIDYA SRI</t>
        </is>
      </c>
      <c r="K3827" s="20" t="inlineStr">
        <is>
          <t>Non-Captive</t>
        </is>
      </c>
      <c r="L3827" s="20" t="inlineStr">
        <is>
          <t>Zaheed Mohiuddin</t>
        </is>
      </c>
      <c r="M3827" s="23" t="n">
        <v>4100</v>
      </c>
      <c r="N3827" s="23" t="n">
        <v>4838</v>
      </c>
      <c r="O3827" s="24">
        <f>IF(AND(ISNUMBER(M3827), ISNUMBER(I3827), I3827&gt;0), M3827/I3827, "")</f>
        <v/>
      </c>
    </row>
    <row r="3828">
      <c r="A3828" s="19" t="inlineStr">
        <is>
          <t>FY27</t>
        </is>
      </c>
      <c r="B3828" s="19" t="inlineStr">
        <is>
          <t>Sep</t>
        </is>
      </c>
      <c r="C3828" s="19" t="inlineStr">
        <is>
          <t>AP/TS</t>
        </is>
      </c>
      <c r="D3828" s="20" t="inlineStr">
        <is>
          <t>TS08EN9738</t>
        </is>
      </c>
      <c r="E3828" s="20" t="inlineStr">
        <is>
          <t>NISSAN</t>
        </is>
      </c>
      <c r="F3828" s="20" t="inlineStr">
        <is>
          <t>Go</t>
        </is>
      </c>
      <c r="G3828" s="21" t="n">
        <v>2015</v>
      </c>
      <c r="H3828" s="22" t="n">
        <v>53375</v>
      </c>
      <c r="I3828" s="23" t="n">
        <v>90000</v>
      </c>
      <c r="J3828" s="20" t="inlineStr">
        <is>
          <t>PUDARI BABU</t>
        </is>
      </c>
      <c r="K3828" s="20" t="inlineStr">
        <is>
          <t>Non-Captive</t>
        </is>
      </c>
      <c r="L3828" s="20" t="inlineStr">
        <is>
          <t>Odapally Sandeep</t>
        </is>
      </c>
      <c r="M3828" s="23" t="n">
        <v>4100</v>
      </c>
      <c r="N3828" s="23" t="n">
        <v>4838</v>
      </c>
      <c r="O3828" s="24">
        <f>IF(AND(ISNUMBER(M3828), ISNUMBER(I3828), I3828&gt;0), M3828/I3828, "")</f>
        <v/>
      </c>
    </row>
    <row r="3829">
      <c r="A3829" s="19" t="inlineStr">
        <is>
          <t>FY27</t>
        </is>
      </c>
      <c r="B3829" s="19" t="inlineStr">
        <is>
          <t>Sep</t>
        </is>
      </c>
      <c r="C3829" s="19" t="inlineStr">
        <is>
          <t>AP/TS</t>
        </is>
      </c>
      <c r="D3829" s="20" t="inlineStr">
        <is>
          <t>TS08HP3069</t>
        </is>
      </c>
      <c r="E3829" s="20" t="inlineStr">
        <is>
          <t>JEEP</t>
        </is>
      </c>
      <c r="F3829" s="20" t="inlineStr">
        <is>
          <t>Compass</t>
        </is>
      </c>
      <c r="G3829" s="21" t="n">
        <v>2021</v>
      </c>
      <c r="H3829" s="22" t="n">
        <v>91000</v>
      </c>
      <c r="I3829" s="23" t="n">
        <v>860000</v>
      </c>
      <c r="J3829" s="20" t="inlineStr">
        <is>
          <t>GUDAPATI SURESH KUMAR</t>
        </is>
      </c>
      <c r="K3829" s="20" t="inlineStr">
        <is>
          <t>Non-Captive</t>
        </is>
      </c>
      <c r="L3829" s="20" t="inlineStr">
        <is>
          <t>Prestige Carz</t>
        </is>
      </c>
      <c r="M3829" s="23" t="n">
        <v>8200</v>
      </c>
      <c r="N3829" s="23" t="n">
        <v>9676</v>
      </c>
      <c r="O3829" s="24">
        <f>IF(AND(ISNUMBER(M3829), ISNUMBER(I3829), I3829&gt;0), M3829/I3829, "")</f>
        <v/>
      </c>
    </row>
    <row r="3830">
      <c r="A3830" s="19" t="inlineStr">
        <is>
          <t>FY27</t>
        </is>
      </c>
      <c r="B3830" s="19" t="inlineStr">
        <is>
          <t>Sep</t>
        </is>
      </c>
      <c r="C3830" s="19" t="inlineStr">
        <is>
          <t>AP/TS</t>
        </is>
      </c>
      <c r="D3830" s="20" t="inlineStr">
        <is>
          <t>TS08JR0236</t>
        </is>
      </c>
      <c r="E3830" s="20" t="inlineStr">
        <is>
          <t>MAHINDRA</t>
        </is>
      </c>
      <c r="F3830" s="20" t="inlineStr">
        <is>
          <t>XUV700</t>
        </is>
      </c>
      <c r="G3830" s="21" t="n">
        <v>2023</v>
      </c>
      <c r="H3830" s="22" t="n">
        <v>46789</v>
      </c>
      <c r="I3830" s="23" t="n">
        <v>1700000</v>
      </c>
      <c r="J3830" s="20" t="inlineStr">
        <is>
          <t>SAI ROSHAN</t>
        </is>
      </c>
      <c r="K3830" s="20" t="inlineStr">
        <is>
          <t>Non-Captive</t>
        </is>
      </c>
      <c r="L3830" s="20" t="inlineStr">
        <is>
          <t>Umahesh</t>
        </is>
      </c>
      <c r="M3830" s="23" t="n">
        <v>8200</v>
      </c>
      <c r="N3830" s="23" t="n">
        <v>9676</v>
      </c>
      <c r="O3830" s="24">
        <f>IF(AND(ISNUMBER(M3830), ISNUMBER(I3830), I3830&gt;0), M3830/I3830, "")</f>
        <v/>
      </c>
    </row>
    <row r="3831">
      <c r="A3831" s="19" t="inlineStr">
        <is>
          <t>FY27</t>
        </is>
      </c>
      <c r="B3831" s="19" t="inlineStr">
        <is>
          <t>Sep</t>
        </is>
      </c>
      <c r="C3831" s="19" t="inlineStr">
        <is>
          <t>AP/TS</t>
        </is>
      </c>
      <c r="D3831" s="20" t="inlineStr">
        <is>
          <t>TS09EE3617</t>
        </is>
      </c>
      <c r="E3831" s="20" t="inlineStr">
        <is>
          <t>HYUNDAI</t>
        </is>
      </c>
      <c r="F3831" s="20" t="inlineStr">
        <is>
          <t>i20</t>
        </is>
      </c>
      <c r="G3831" s="21" t="n">
        <v>2015</v>
      </c>
      <c r="H3831" s="22" t="n">
        <v>37053</v>
      </c>
      <c r="I3831" s="23" t="n">
        <v>325000</v>
      </c>
      <c r="J3831" s="20" t="inlineStr">
        <is>
          <t>EXCHANGE</t>
        </is>
      </c>
      <c r="K3831" s="20" t="inlineStr">
        <is>
          <t>Captive</t>
        </is>
      </c>
      <c r="L3831" s="20" t="inlineStr">
        <is>
          <t>Prabjyoth Singh Wasu</t>
        </is>
      </c>
      <c r="M3831" s="23" t="n">
        <v>8200</v>
      </c>
      <c r="N3831" s="23" t="n">
        <v>9676</v>
      </c>
      <c r="O3831" s="24">
        <f>IF(AND(ISNUMBER(M3831), ISNUMBER(I3831), I3831&gt;0), M3831/I3831, "")</f>
        <v/>
      </c>
    </row>
    <row r="3832">
      <c r="A3832" s="19" t="inlineStr">
        <is>
          <t>FY27</t>
        </is>
      </c>
      <c r="B3832" s="19" t="inlineStr">
        <is>
          <t>Sep</t>
        </is>
      </c>
      <c r="C3832" s="19" t="inlineStr">
        <is>
          <t>AP/TS</t>
        </is>
      </c>
      <c r="D3832" s="20" t="inlineStr">
        <is>
          <t>TS09EM1006</t>
        </is>
      </c>
      <c r="E3832" s="20" t="inlineStr">
        <is>
          <t>MARUTI SUZUKI</t>
        </is>
      </c>
      <c r="F3832" s="20" t="inlineStr">
        <is>
          <t>Dzire</t>
        </is>
      </c>
      <c r="G3832" s="21" t="n">
        <v>2016</v>
      </c>
      <c r="H3832" s="22" t="n">
        <v>104567</v>
      </c>
      <c r="I3832" s="23" t="n">
        <v>310000</v>
      </c>
      <c r="J3832" s="20" t="inlineStr">
        <is>
          <t>EXCHANGE</t>
        </is>
      </c>
      <c r="K3832" s="20" t="inlineStr">
        <is>
          <t>Captive</t>
        </is>
      </c>
      <c r="L3832" s="20" t="inlineStr">
        <is>
          <t>Janagama Srinivas</t>
        </is>
      </c>
      <c r="M3832" s="23" t="n">
        <v>8200</v>
      </c>
      <c r="N3832" s="23" t="n">
        <v>9676</v>
      </c>
      <c r="O3832" s="24">
        <f>IF(AND(ISNUMBER(M3832), ISNUMBER(I3832), I3832&gt;0), M3832/I3832, "")</f>
        <v/>
      </c>
    </row>
    <row r="3833">
      <c r="A3833" s="19" t="inlineStr">
        <is>
          <t>FY27</t>
        </is>
      </c>
      <c r="B3833" s="19" t="inlineStr">
        <is>
          <t>Sep</t>
        </is>
      </c>
      <c r="C3833" s="19" t="inlineStr">
        <is>
          <t>AP/TS</t>
        </is>
      </c>
      <c r="D3833" s="20" t="inlineStr">
        <is>
          <t>TS10ED1263</t>
        </is>
      </c>
      <c r="E3833" s="20" t="inlineStr">
        <is>
          <t>RENAULT</t>
        </is>
      </c>
      <c r="F3833" s="20" t="inlineStr">
        <is>
          <t>Pulse</t>
        </is>
      </c>
      <c r="G3833" s="21" t="n">
        <v>2015</v>
      </c>
      <c r="H3833" s="22" t="n">
        <v>76815</v>
      </c>
      <c r="I3833" s="23" t="n">
        <v>85000</v>
      </c>
      <c r="J3833" s="20" t="inlineStr">
        <is>
          <t>PUDARI BABU</t>
        </is>
      </c>
      <c r="K3833" s="20" t="inlineStr">
        <is>
          <t>Non-Captive</t>
        </is>
      </c>
      <c r="L3833" s="20" t="inlineStr">
        <is>
          <t>Odapally Sandeep</t>
        </is>
      </c>
      <c r="M3833" s="23" t="n">
        <v>4100</v>
      </c>
      <c r="N3833" s="23" t="n">
        <v>4838</v>
      </c>
      <c r="O3833" s="24">
        <f>IF(AND(ISNUMBER(M3833), ISNUMBER(I3833), I3833&gt;0), M3833/I3833, "")</f>
        <v/>
      </c>
    </row>
    <row r="3834">
      <c r="A3834" s="19" t="inlineStr">
        <is>
          <t>FY27</t>
        </is>
      </c>
      <c r="B3834" s="19" t="inlineStr">
        <is>
          <t>Sep</t>
        </is>
      </c>
      <c r="C3834" s="19" t="inlineStr">
        <is>
          <t>AP/TS</t>
        </is>
      </c>
      <c r="D3834" s="20" t="inlineStr">
        <is>
          <t>TS11EQ1468</t>
        </is>
      </c>
      <c r="E3834" s="20" t="inlineStr">
        <is>
          <t>MAHINDRA</t>
        </is>
      </c>
      <c r="F3834" s="20" t="inlineStr">
        <is>
          <t>XUV500</t>
        </is>
      </c>
      <c r="G3834" s="21" t="n">
        <v>2018</v>
      </c>
      <c r="H3834" s="22" t="n">
        <v>167890</v>
      </c>
      <c r="I3834" s="23" t="n">
        <v>540000</v>
      </c>
      <c r="J3834" s="20" t="inlineStr">
        <is>
          <t>ZAHEED MOHIUDDIN</t>
        </is>
      </c>
      <c r="K3834" s="20" t="inlineStr">
        <is>
          <t>Non-Captive</t>
        </is>
      </c>
      <c r="L3834" s="20" t="inlineStr">
        <is>
          <t>A Surya Vidya Devi</t>
        </is>
      </c>
      <c r="M3834" s="23" t="n">
        <v>8200</v>
      </c>
      <c r="N3834" s="23" t="n">
        <v>9676</v>
      </c>
      <c r="O3834" s="24">
        <f>IF(AND(ISNUMBER(M3834), ISNUMBER(I3834), I3834&gt;0), M3834/I3834, "")</f>
        <v/>
      </c>
    </row>
    <row r="3835">
      <c r="A3835" s="19" t="inlineStr">
        <is>
          <t>FY27</t>
        </is>
      </c>
      <c r="B3835" s="19" t="inlineStr">
        <is>
          <t>Sep</t>
        </is>
      </c>
      <c r="C3835" s="19" t="inlineStr">
        <is>
          <t>Kerala</t>
        </is>
      </c>
      <c r="D3835" s="20" t="inlineStr">
        <is>
          <t>KL01AU2590</t>
        </is>
      </c>
      <c r="E3835" s="20" t="inlineStr">
        <is>
          <t>CHEVROLET</t>
        </is>
      </c>
      <c r="F3835" s="20" t="inlineStr">
        <is>
          <t>Spark</t>
        </is>
      </c>
      <c r="G3835" s="21" t="n"/>
      <c r="H3835" s="22" t="n">
        <v>66728</v>
      </c>
      <c r="I3835" s="23" t="n">
        <v>30000</v>
      </c>
      <c r="J3835" s="20" t="inlineStr">
        <is>
          <t>POPULAR MARUTI</t>
        </is>
      </c>
      <c r="K3835" s="20" t="inlineStr">
        <is>
          <t>Non-Captive</t>
        </is>
      </c>
      <c r="L3835" s="20" t="inlineStr">
        <is>
          <t>Abhilash</t>
        </is>
      </c>
      <c r="M3835" s="23" t="n">
        <v>8474.58</v>
      </c>
      <c r="N3835" s="23" t="n">
        <v>10000</v>
      </c>
      <c r="O3835" s="24">
        <f>IF(AND(ISNUMBER(M3835), ISNUMBER(I3835), I3835&gt;0), M3835/I3835, "")</f>
        <v/>
      </c>
    </row>
    <row r="3836">
      <c r="A3836" s="19" t="inlineStr">
        <is>
          <t>FY27</t>
        </is>
      </c>
      <c r="B3836" s="19" t="inlineStr">
        <is>
          <t>Sep</t>
        </is>
      </c>
      <c r="C3836" s="19" t="inlineStr">
        <is>
          <t>Kerala</t>
        </is>
      </c>
      <c r="D3836" s="20" t="inlineStr">
        <is>
          <t>KL01AY4410</t>
        </is>
      </c>
      <c r="E3836" s="20" t="inlineStr">
        <is>
          <t>MARUTI SUZUKI</t>
        </is>
      </c>
      <c r="F3836" s="20" t="inlineStr">
        <is>
          <t>Dzire</t>
        </is>
      </c>
      <c r="G3836" s="21" t="n"/>
      <c r="H3836" s="22" t="n">
        <v>170000</v>
      </c>
      <c r="I3836" s="23" t="n">
        <v>115000</v>
      </c>
      <c r="J3836" s="20" t="inlineStr">
        <is>
          <t>POPULAR MARUTI</t>
        </is>
      </c>
      <c r="K3836" s="20" t="inlineStr">
        <is>
          <t>Non-Captive</t>
        </is>
      </c>
      <c r="L3836" s="20" t="inlineStr">
        <is>
          <t>Prajod</t>
        </is>
      </c>
      <c r="M3836" s="23" t="n">
        <v>8474.58</v>
      </c>
      <c r="N3836" s="23" t="n">
        <v>10000</v>
      </c>
      <c r="O3836" s="24">
        <f>IF(AND(ISNUMBER(M3836), ISNUMBER(I3836), I3836&gt;0), M3836/I3836, "")</f>
        <v/>
      </c>
    </row>
    <row r="3837">
      <c r="A3837" s="19" t="inlineStr">
        <is>
          <t>FY27</t>
        </is>
      </c>
      <c r="B3837" s="19" t="inlineStr">
        <is>
          <t>Sep</t>
        </is>
      </c>
      <c r="C3837" s="19" t="inlineStr">
        <is>
          <t>Kerala</t>
        </is>
      </c>
      <c r="D3837" s="20" t="inlineStr">
        <is>
          <t>KL01BM7073</t>
        </is>
      </c>
      <c r="E3837" s="20" t="inlineStr">
        <is>
          <t>MARUTI SUZUKI</t>
        </is>
      </c>
      <c r="F3837" s="20" t="inlineStr">
        <is>
          <t>Wagon R</t>
        </is>
      </c>
      <c r="G3837" s="21" t="n"/>
      <c r="H3837" s="22" t="n">
        <v>81200</v>
      </c>
      <c r="I3837" s="23" t="n">
        <v>190000</v>
      </c>
      <c r="J3837" s="20" t="inlineStr">
        <is>
          <t>LUXON TATA</t>
        </is>
      </c>
      <c r="K3837" s="20" t="inlineStr">
        <is>
          <t>Non-Captive</t>
        </is>
      </c>
      <c r="L3837" s="20" t="inlineStr">
        <is>
          <t>Kishore</t>
        </is>
      </c>
      <c r="M3837" s="23" t="n">
        <v>8474.58</v>
      </c>
      <c r="N3837" s="23" t="n">
        <v>10000</v>
      </c>
      <c r="O3837" s="24">
        <f>IF(AND(ISNUMBER(M3837), ISNUMBER(I3837), I3837&gt;0), M3837/I3837, "")</f>
        <v/>
      </c>
    </row>
    <row r="3838">
      <c r="A3838" s="19" t="inlineStr">
        <is>
          <t>FY27</t>
        </is>
      </c>
      <c r="B3838" s="19" t="inlineStr">
        <is>
          <t>Sep</t>
        </is>
      </c>
      <c r="C3838" s="19" t="inlineStr">
        <is>
          <t>Kerala</t>
        </is>
      </c>
      <c r="D3838" s="20" t="inlineStr">
        <is>
          <t>KL01BM7329</t>
        </is>
      </c>
      <c r="E3838" s="20" t="inlineStr">
        <is>
          <t>MARUTI SUZUKI</t>
        </is>
      </c>
      <c r="F3838" s="20" t="inlineStr">
        <is>
          <t>Wagon R</t>
        </is>
      </c>
      <c r="G3838" s="21" t="n"/>
      <c r="H3838" s="22" t="n">
        <v>110000</v>
      </c>
      <c r="I3838" s="23" t="n">
        <v>192000</v>
      </c>
      <c r="J3838" s="20" t="inlineStr">
        <is>
          <t>POPULAR MARUTI</t>
        </is>
      </c>
      <c r="K3838" s="20" t="inlineStr">
        <is>
          <t>Non-Captive</t>
        </is>
      </c>
      <c r="L3838" s="20" t="inlineStr">
        <is>
          <t>Muhammed Nasim</t>
        </is>
      </c>
      <c r="M3838" s="23" t="n">
        <v>5932.2</v>
      </c>
      <c r="N3838" s="23" t="n">
        <v>7000</v>
      </c>
      <c r="O3838" s="24">
        <f>IF(AND(ISNUMBER(M3838), ISNUMBER(I3838), I3838&gt;0), M3838/I3838, "")</f>
        <v/>
      </c>
    </row>
    <row r="3839">
      <c r="A3839" s="19" t="inlineStr">
        <is>
          <t>FY27</t>
        </is>
      </c>
      <c r="B3839" s="19" t="inlineStr">
        <is>
          <t>Sep</t>
        </is>
      </c>
      <c r="C3839" s="19" t="inlineStr">
        <is>
          <t>Kerala</t>
        </is>
      </c>
      <c r="D3839" s="20" t="inlineStr">
        <is>
          <t>KL01BN5277</t>
        </is>
      </c>
      <c r="E3839" s="20" t="inlineStr">
        <is>
          <t>HYUNDAI</t>
        </is>
      </c>
      <c r="F3839" s="20" t="inlineStr">
        <is>
          <t>Grand i10</t>
        </is>
      </c>
      <c r="G3839" s="21" t="n"/>
      <c r="H3839" s="22" t="n">
        <v>59333</v>
      </c>
      <c r="I3839" s="23" t="n">
        <v>235000</v>
      </c>
      <c r="J3839" s="20" t="inlineStr">
        <is>
          <t>POPULAR HYUNDAI</t>
        </is>
      </c>
      <c r="K3839" s="20" t="inlineStr">
        <is>
          <t>Non-Captive</t>
        </is>
      </c>
      <c r="L3839" s="20" t="inlineStr">
        <is>
          <t>Manoj-Green Light Pre Owned Cars</t>
        </is>
      </c>
      <c r="M3839" s="23" t="n">
        <v>8474.58</v>
      </c>
      <c r="N3839" s="23" t="n">
        <v>10000</v>
      </c>
      <c r="O3839" s="24">
        <f>IF(AND(ISNUMBER(M3839), ISNUMBER(I3839), I3839&gt;0), M3839/I3839, "")</f>
        <v/>
      </c>
    </row>
    <row r="3840">
      <c r="A3840" s="19" t="inlineStr">
        <is>
          <t>FY27</t>
        </is>
      </c>
      <c r="B3840" s="19" t="inlineStr">
        <is>
          <t>Sep</t>
        </is>
      </c>
      <c r="C3840" s="19" t="inlineStr">
        <is>
          <t>Kerala</t>
        </is>
      </c>
      <c r="D3840" s="20" t="inlineStr">
        <is>
          <t>KL01BU3593</t>
        </is>
      </c>
      <c r="E3840" s="20" t="inlineStr">
        <is>
          <t>MARUTI SUZUKI</t>
        </is>
      </c>
      <c r="F3840" s="20" t="inlineStr">
        <is>
          <t>Alto K10</t>
        </is>
      </c>
      <c r="G3840" s="21" t="n"/>
      <c r="H3840" s="22" t="n">
        <v>102000</v>
      </c>
      <c r="I3840" s="23" t="n">
        <v>150000</v>
      </c>
      <c r="J3840" s="20" t="inlineStr">
        <is>
          <t>LUXON TATA</t>
        </is>
      </c>
      <c r="K3840" s="20" t="inlineStr">
        <is>
          <t>Non-Captive</t>
        </is>
      </c>
      <c r="L3840" s="20" t="inlineStr">
        <is>
          <t>Prajod</t>
        </is>
      </c>
      <c r="M3840" s="23" t="n">
        <v>8474.58</v>
      </c>
      <c r="N3840" s="23" t="n">
        <v>10000</v>
      </c>
      <c r="O3840" s="24">
        <f>IF(AND(ISNUMBER(M3840), ISNUMBER(I3840), I3840&gt;0), M3840/I3840, "")</f>
        <v/>
      </c>
    </row>
    <row r="3841">
      <c r="A3841" s="19" t="inlineStr">
        <is>
          <t>FY27</t>
        </is>
      </c>
      <c r="B3841" s="19" t="inlineStr">
        <is>
          <t>Sep</t>
        </is>
      </c>
      <c r="C3841" s="19" t="inlineStr">
        <is>
          <t>Kerala</t>
        </is>
      </c>
      <c r="D3841" s="20" t="inlineStr">
        <is>
          <t>KL01CV5037</t>
        </is>
      </c>
      <c r="E3841" s="20" t="inlineStr">
        <is>
          <t>RENAULT</t>
        </is>
      </c>
      <c r="F3841" s="20" t="inlineStr">
        <is>
          <t>Kiger</t>
        </is>
      </c>
      <c r="G3841" s="21" t="n"/>
      <c r="H3841" s="22" t="n">
        <v>35000</v>
      </c>
      <c r="I3841" s="23" t="n">
        <v>610000</v>
      </c>
      <c r="J3841" s="20" t="inlineStr">
        <is>
          <t>UCD VARUN</t>
        </is>
      </c>
      <c r="K3841" s="20" t="inlineStr">
        <is>
          <t>Non-Captive</t>
        </is>
      </c>
      <c r="L3841" s="20" t="inlineStr">
        <is>
          <t>Ligesh P M</t>
        </is>
      </c>
      <c r="M3841" s="23" t="n">
        <v>8474.58</v>
      </c>
      <c r="N3841" s="23" t="n">
        <v>10000</v>
      </c>
      <c r="O3841" s="24">
        <f>IF(AND(ISNUMBER(M3841), ISNUMBER(I3841), I3841&gt;0), M3841/I3841, "")</f>
        <v/>
      </c>
    </row>
    <row r="3842">
      <c r="A3842" s="19" t="inlineStr">
        <is>
          <t>FY27</t>
        </is>
      </c>
      <c r="B3842" s="19" t="inlineStr">
        <is>
          <t>Sep</t>
        </is>
      </c>
      <c r="C3842" s="19" t="inlineStr">
        <is>
          <t>Kerala</t>
        </is>
      </c>
      <c r="D3842" s="20" t="inlineStr">
        <is>
          <t>KL01DA0184</t>
        </is>
      </c>
      <c r="E3842" s="20" t="inlineStr">
        <is>
          <t>MARUTI SUZUKI</t>
        </is>
      </c>
      <c r="F3842" s="20" t="inlineStr">
        <is>
          <t>Vitara Brezza</t>
        </is>
      </c>
      <c r="G3842" s="21" t="n"/>
      <c r="H3842" s="22" t="n">
        <v>23300</v>
      </c>
      <c r="I3842" s="23" t="n">
        <v>710000</v>
      </c>
      <c r="J3842" s="20" t="inlineStr">
        <is>
          <t>ABHISHEK</t>
        </is>
      </c>
      <c r="K3842" s="20" t="inlineStr">
        <is>
          <t>Non-Captive</t>
        </is>
      </c>
      <c r="L3842" s="20" t="inlineStr">
        <is>
          <t>Sunil A</t>
        </is>
      </c>
      <c r="M3842" s="23" t="n">
        <v>8474.58</v>
      </c>
      <c r="N3842" s="23" t="n">
        <v>10000</v>
      </c>
      <c r="O3842" s="24">
        <f>IF(AND(ISNUMBER(M3842), ISNUMBER(I3842), I3842&gt;0), M3842/I3842, "")</f>
        <v/>
      </c>
    </row>
    <row r="3843">
      <c r="A3843" s="19" t="inlineStr">
        <is>
          <t>FY27</t>
        </is>
      </c>
      <c r="B3843" s="19" t="inlineStr">
        <is>
          <t>Sep</t>
        </is>
      </c>
      <c r="C3843" s="19" t="inlineStr">
        <is>
          <t>Kerala</t>
        </is>
      </c>
      <c r="D3843" s="20" t="inlineStr">
        <is>
          <t>KL01W0019</t>
        </is>
      </c>
      <c r="E3843" s="20" t="inlineStr">
        <is>
          <t>MARUTI SUZUKI</t>
        </is>
      </c>
      <c r="F3843" s="20" t="inlineStr">
        <is>
          <t>800</t>
        </is>
      </c>
      <c r="G3843" s="21" t="n"/>
      <c r="H3843" s="22" t="n">
        <v>120000</v>
      </c>
      <c r="I3843" s="23" t="n">
        <v>25000</v>
      </c>
      <c r="J3843" s="20" t="inlineStr">
        <is>
          <t>POPULAR MARUTI</t>
        </is>
      </c>
      <c r="K3843" s="20" t="inlineStr">
        <is>
          <t>Non-Captive</t>
        </is>
      </c>
      <c r="L3843" s="20" t="inlineStr">
        <is>
          <t>Abhilash G</t>
        </is>
      </c>
      <c r="M3843" s="23" t="n">
        <v>8474.58</v>
      </c>
      <c r="N3843" s="23" t="n">
        <v>10000</v>
      </c>
      <c r="O3843" s="24">
        <f>IF(AND(ISNUMBER(M3843), ISNUMBER(I3843), I3843&gt;0), M3843/I3843, "")</f>
        <v/>
      </c>
    </row>
    <row r="3844">
      <c r="A3844" s="19" t="inlineStr">
        <is>
          <t>FY27</t>
        </is>
      </c>
      <c r="B3844" s="19" t="inlineStr">
        <is>
          <t>Sep</t>
        </is>
      </c>
      <c r="C3844" s="19" t="inlineStr">
        <is>
          <t>Kerala</t>
        </is>
      </c>
      <c r="D3844" s="20" t="inlineStr">
        <is>
          <t>KL02AD2571</t>
        </is>
      </c>
      <c r="E3844" s="20" t="inlineStr">
        <is>
          <t>HYUNDAI</t>
        </is>
      </c>
      <c r="F3844" s="20" t="inlineStr">
        <is>
          <t>Santro</t>
        </is>
      </c>
      <c r="G3844" s="21" t="n"/>
      <c r="H3844" s="22" t="n">
        <v>83000</v>
      </c>
      <c r="I3844" s="23" t="n">
        <v>60000</v>
      </c>
      <c r="J3844" s="20" t="inlineStr">
        <is>
          <t>LUXON TATA</t>
        </is>
      </c>
      <c r="K3844" s="20" t="inlineStr">
        <is>
          <t>Non-Captive</t>
        </is>
      </c>
      <c r="L3844" s="20" t="inlineStr">
        <is>
          <t>Shahar</t>
        </is>
      </c>
      <c r="M3844" s="23" t="n">
        <v>6779.66</v>
      </c>
      <c r="N3844" s="23" t="n">
        <v>8000</v>
      </c>
      <c r="O3844" s="24">
        <f>IF(AND(ISNUMBER(M3844), ISNUMBER(I3844), I3844&gt;0), M3844/I3844, "")</f>
        <v/>
      </c>
    </row>
    <row r="3845">
      <c r="A3845" s="19" t="inlineStr">
        <is>
          <t>FY27</t>
        </is>
      </c>
      <c r="B3845" s="19" t="inlineStr">
        <is>
          <t>Sep</t>
        </is>
      </c>
      <c r="C3845" s="19" t="inlineStr">
        <is>
          <t>Kerala</t>
        </is>
      </c>
      <c r="D3845" s="20" t="inlineStr">
        <is>
          <t>KL02BD5182</t>
        </is>
      </c>
      <c r="E3845" s="20" t="inlineStr">
        <is>
          <t>RENAULT</t>
        </is>
      </c>
      <c r="F3845" s="20" t="inlineStr">
        <is>
          <t>Duster</t>
        </is>
      </c>
      <c r="G3845" s="21" t="n"/>
      <c r="H3845" s="22" t="n">
        <v>133000</v>
      </c>
      <c r="I3845" s="23" t="n">
        <v>380000</v>
      </c>
      <c r="J3845" s="20" t="inlineStr">
        <is>
          <t>MOTOXCHANGE</t>
        </is>
      </c>
      <c r="K3845" s="20" t="inlineStr">
        <is>
          <t>Non-Captive</t>
        </is>
      </c>
      <c r="L3845" s="20" t="inlineStr">
        <is>
          <t>Hussain O E</t>
        </is>
      </c>
      <c r="M3845" s="23" t="n">
        <v>8474.58</v>
      </c>
      <c r="N3845" s="23" t="n">
        <v>10000</v>
      </c>
      <c r="O3845" s="24">
        <f>IF(AND(ISNUMBER(M3845), ISNUMBER(I3845), I3845&gt;0), M3845/I3845, "")</f>
        <v/>
      </c>
    </row>
    <row r="3846">
      <c r="A3846" s="19" t="inlineStr">
        <is>
          <t>FY27</t>
        </is>
      </c>
      <c r="B3846" s="19" t="inlineStr">
        <is>
          <t>Sep</t>
        </is>
      </c>
      <c r="C3846" s="19" t="inlineStr">
        <is>
          <t>Kerala</t>
        </is>
      </c>
      <c r="D3846" s="20" t="inlineStr">
        <is>
          <t>KL02BQ8457</t>
        </is>
      </c>
      <c r="E3846" s="20" t="inlineStr">
        <is>
          <t>TATA</t>
        </is>
      </c>
      <c r="F3846" s="20" t="inlineStr">
        <is>
          <t>Punch</t>
        </is>
      </c>
      <c r="G3846" s="21" t="n"/>
      <c r="H3846" s="22" t="n">
        <v>80000</v>
      </c>
      <c r="I3846" s="23" t="n">
        <v>428000</v>
      </c>
      <c r="J3846" s="20" t="inlineStr">
        <is>
          <t>PINNACLE NISSAN</t>
        </is>
      </c>
      <c r="K3846" s="20" t="inlineStr">
        <is>
          <t>Non-Captive</t>
        </is>
      </c>
      <c r="L3846" s="20" t="inlineStr">
        <is>
          <t>Arnold</t>
        </is>
      </c>
      <c r="M3846" s="23" t="n">
        <v>6779.66</v>
      </c>
      <c r="N3846" s="23" t="n">
        <v>8000</v>
      </c>
      <c r="O3846" s="24">
        <f>IF(AND(ISNUMBER(M3846), ISNUMBER(I3846), I3846&gt;0), M3846/I3846, "")</f>
        <v/>
      </c>
    </row>
    <row r="3847">
      <c r="A3847" s="19" t="inlineStr">
        <is>
          <t>FY27</t>
        </is>
      </c>
      <c r="B3847" s="19" t="inlineStr">
        <is>
          <t>Sep</t>
        </is>
      </c>
      <c r="C3847" s="19" t="inlineStr">
        <is>
          <t>Kerala</t>
        </is>
      </c>
      <c r="D3847" s="20" t="inlineStr">
        <is>
          <t>KL03U8683</t>
        </is>
      </c>
      <c r="E3847" s="20" t="inlineStr">
        <is>
          <t>VOLKSWAGEN</t>
        </is>
      </c>
      <c r="F3847" s="20" t="inlineStr">
        <is>
          <t>Polo</t>
        </is>
      </c>
      <c r="G3847" s="21" t="n"/>
      <c r="H3847" s="22" t="n">
        <v>140000</v>
      </c>
      <c r="I3847" s="23" t="n">
        <v>82000</v>
      </c>
      <c r="J3847" s="20" t="inlineStr">
        <is>
          <t>LUXON TATA</t>
        </is>
      </c>
      <c r="K3847" s="20" t="inlineStr">
        <is>
          <t>Non-Captive</t>
        </is>
      </c>
      <c r="L3847" s="20" t="inlineStr">
        <is>
          <t>Athulraj</t>
        </is>
      </c>
      <c r="M3847" s="23" t="n">
        <v>5932.2</v>
      </c>
      <c r="N3847" s="23" t="n">
        <v>7000</v>
      </c>
      <c r="O3847" s="24">
        <f>IF(AND(ISNUMBER(M3847), ISNUMBER(I3847), I3847&gt;0), M3847/I3847, "")</f>
        <v/>
      </c>
    </row>
    <row r="3848">
      <c r="A3848" s="19" t="inlineStr">
        <is>
          <t>FY27</t>
        </is>
      </c>
      <c r="B3848" s="19" t="inlineStr">
        <is>
          <t>Sep</t>
        </is>
      </c>
      <c r="C3848" s="19" t="inlineStr">
        <is>
          <t>Kerala</t>
        </is>
      </c>
      <c r="D3848" s="20" t="inlineStr">
        <is>
          <t>KL04AB3683</t>
        </is>
      </c>
      <c r="E3848" s="20" t="inlineStr">
        <is>
          <t>MARUTI SUZUKI</t>
        </is>
      </c>
      <c r="F3848" s="20" t="inlineStr">
        <is>
          <t>Dzire</t>
        </is>
      </c>
      <c r="G3848" s="21" t="n"/>
      <c r="H3848" s="22" t="n">
        <v>55443</v>
      </c>
      <c r="I3848" s="23" t="n">
        <v>110000</v>
      </c>
      <c r="J3848" s="20" t="inlineStr">
        <is>
          <t>POPULAR MARUTI</t>
        </is>
      </c>
      <c r="K3848" s="20" t="inlineStr">
        <is>
          <t>Non-Captive</t>
        </is>
      </c>
      <c r="L3848" s="20" t="inlineStr">
        <is>
          <t>Dream Drive</t>
        </is>
      </c>
      <c r="M3848" s="23" t="n">
        <v>8474.58</v>
      </c>
      <c r="N3848" s="23" t="n">
        <v>10000</v>
      </c>
      <c r="O3848" s="24">
        <f>IF(AND(ISNUMBER(M3848), ISNUMBER(I3848), I3848&gt;0), M3848/I3848, "")</f>
        <v/>
      </c>
    </row>
    <row r="3849">
      <c r="A3849" s="19" t="inlineStr">
        <is>
          <t>FY27</t>
        </is>
      </c>
      <c r="B3849" s="19" t="inlineStr">
        <is>
          <t>Sep</t>
        </is>
      </c>
      <c r="C3849" s="19" t="inlineStr">
        <is>
          <t>Kerala</t>
        </is>
      </c>
      <c r="D3849" s="20" t="inlineStr">
        <is>
          <t>KL04AG2280</t>
        </is>
      </c>
      <c r="E3849" s="20" t="inlineStr">
        <is>
          <t>MARUTI SUZUKI</t>
        </is>
      </c>
      <c r="F3849" s="20" t="inlineStr">
        <is>
          <t>Swift</t>
        </is>
      </c>
      <c r="G3849" s="21" t="n"/>
      <c r="H3849" s="22" t="n">
        <v>115000</v>
      </c>
      <c r="I3849" s="23" t="n">
        <v>285000</v>
      </c>
      <c r="J3849" s="20" t="inlineStr">
        <is>
          <t>POPULAR MARUTI</t>
        </is>
      </c>
      <c r="K3849" s="20" t="inlineStr">
        <is>
          <t>Non-Captive</t>
        </is>
      </c>
      <c r="L3849" s="20" t="inlineStr">
        <is>
          <t>Rafeek T A</t>
        </is>
      </c>
      <c r="M3849" s="23" t="n">
        <v>12711.86</v>
      </c>
      <c r="N3849" s="23" t="n">
        <v>15000</v>
      </c>
      <c r="O3849" s="24">
        <f>IF(AND(ISNUMBER(M3849), ISNUMBER(I3849), I3849&gt;0), M3849/I3849, "")</f>
        <v/>
      </c>
    </row>
    <row r="3850">
      <c r="A3850" s="19" t="inlineStr">
        <is>
          <t>FY27</t>
        </is>
      </c>
      <c r="B3850" s="19" t="inlineStr">
        <is>
          <t>Sep</t>
        </is>
      </c>
      <c r="C3850" s="19" t="inlineStr">
        <is>
          <t>Kerala</t>
        </is>
      </c>
      <c r="D3850" s="20" t="inlineStr">
        <is>
          <t>KL04L6652</t>
        </is>
      </c>
      <c r="E3850" s="20" t="inlineStr">
        <is>
          <t>MARUTI SUZUKI</t>
        </is>
      </c>
      <c r="F3850" s="20" t="inlineStr">
        <is>
          <t>800</t>
        </is>
      </c>
      <c r="G3850" s="21" t="n"/>
      <c r="H3850" s="22" t="n">
        <v>156057</v>
      </c>
      <c r="I3850" s="23" t="n">
        <v>22500</v>
      </c>
      <c r="J3850" s="20" t="inlineStr">
        <is>
          <t>POPULAR MARUTI</t>
        </is>
      </c>
      <c r="K3850" s="20" t="inlineStr">
        <is>
          <t>Non-Captive</t>
        </is>
      </c>
      <c r="L3850" s="20" t="inlineStr">
        <is>
          <t>Afsal</t>
        </is>
      </c>
      <c r="M3850" s="23" t="n">
        <v>6355.93</v>
      </c>
      <c r="N3850" s="23" t="n">
        <v>7500</v>
      </c>
      <c r="O3850" s="24">
        <f>IF(AND(ISNUMBER(M3850), ISNUMBER(I3850), I3850&gt;0), M3850/I3850, "")</f>
        <v/>
      </c>
    </row>
    <row r="3851">
      <c r="A3851" s="19" t="inlineStr">
        <is>
          <t>FY27</t>
        </is>
      </c>
      <c r="B3851" s="19" t="inlineStr">
        <is>
          <t>Sep</t>
        </is>
      </c>
      <c r="C3851" s="19" t="inlineStr">
        <is>
          <t>Kerala</t>
        </is>
      </c>
      <c r="D3851" s="20" t="inlineStr">
        <is>
          <t>KL04M3633</t>
        </is>
      </c>
      <c r="E3851" s="20" t="inlineStr">
        <is>
          <t>MARUTI SUZUKI</t>
        </is>
      </c>
      <c r="F3851" s="20" t="inlineStr">
        <is>
          <t>800</t>
        </is>
      </c>
      <c r="G3851" s="21" t="n"/>
      <c r="H3851" s="22" t="n">
        <v>84425</v>
      </c>
      <c r="I3851" s="23" t="n">
        <v>26000</v>
      </c>
      <c r="J3851" s="20" t="inlineStr">
        <is>
          <t>FORTUNE MG</t>
        </is>
      </c>
      <c r="K3851" s="20" t="inlineStr">
        <is>
          <t>Non-Captive</t>
        </is>
      </c>
      <c r="L3851" s="20" t="inlineStr">
        <is>
          <t>Bijeshlal</t>
        </is>
      </c>
      <c r="M3851" s="23" t="n">
        <v>5084.75</v>
      </c>
      <c r="N3851" s="23" t="n">
        <v>6000</v>
      </c>
      <c r="O3851" s="24">
        <f>IF(AND(ISNUMBER(M3851), ISNUMBER(I3851), I3851&gt;0), M3851/I3851, "")</f>
        <v/>
      </c>
    </row>
    <row r="3852">
      <c r="A3852" s="19" t="inlineStr">
        <is>
          <t>FY27</t>
        </is>
      </c>
      <c r="B3852" s="19" t="inlineStr">
        <is>
          <t>Sep</t>
        </is>
      </c>
      <c r="C3852" s="19" t="inlineStr">
        <is>
          <t>Kerala</t>
        </is>
      </c>
      <c r="D3852" s="20" t="inlineStr">
        <is>
          <t>KL05AG0977</t>
        </is>
      </c>
      <c r="E3852" s="20" t="inlineStr">
        <is>
          <t>HYUNDAI</t>
        </is>
      </c>
      <c r="F3852" s="20" t="inlineStr">
        <is>
          <t>Eon</t>
        </is>
      </c>
      <c r="G3852" s="21" t="n"/>
      <c r="H3852" s="22" t="n">
        <v>55464</v>
      </c>
      <c r="I3852" s="23" t="n">
        <v>135000</v>
      </c>
      <c r="J3852" s="20" t="inlineStr">
        <is>
          <t>AMRITH V CHANDY</t>
        </is>
      </c>
      <c r="K3852" s="20" t="inlineStr">
        <is>
          <t>Non-Captive</t>
        </is>
      </c>
      <c r="L3852" s="20" t="inlineStr">
        <is>
          <t>Albin Jose</t>
        </is>
      </c>
      <c r="M3852" s="23" t="n">
        <v>8474.58</v>
      </c>
      <c r="N3852" s="23" t="n">
        <v>10000</v>
      </c>
      <c r="O3852" s="24">
        <f>IF(AND(ISNUMBER(M3852), ISNUMBER(I3852), I3852&gt;0), M3852/I3852, "")</f>
        <v/>
      </c>
    </row>
    <row r="3853">
      <c r="A3853" s="19" t="inlineStr">
        <is>
          <t>FY27</t>
        </is>
      </c>
      <c r="B3853" s="19" t="inlineStr">
        <is>
          <t>Sep</t>
        </is>
      </c>
      <c r="C3853" s="19" t="inlineStr">
        <is>
          <t>Kerala</t>
        </is>
      </c>
      <c r="D3853" s="20" t="inlineStr">
        <is>
          <t>KL05AL8497</t>
        </is>
      </c>
      <c r="E3853" s="20" t="inlineStr">
        <is>
          <t>RENAULT</t>
        </is>
      </c>
      <c r="F3853" s="20" t="inlineStr">
        <is>
          <t>Duster</t>
        </is>
      </c>
      <c r="G3853" s="21" t="n"/>
      <c r="H3853" s="22" t="n">
        <v>141894</v>
      </c>
      <c r="I3853" s="23" t="n">
        <v>275000</v>
      </c>
      <c r="J3853" s="20" t="inlineStr">
        <is>
          <t>POPULAR MARUTI</t>
        </is>
      </c>
      <c r="K3853" s="20" t="inlineStr">
        <is>
          <t>Non-Captive</t>
        </is>
      </c>
      <c r="L3853" s="20" t="inlineStr">
        <is>
          <t>Hussain O E</t>
        </is>
      </c>
      <c r="M3853" s="23" t="n">
        <v>8474.58</v>
      </c>
      <c r="N3853" s="23" t="n">
        <v>10000</v>
      </c>
      <c r="O3853" s="24">
        <f>IF(AND(ISNUMBER(M3853), ISNUMBER(I3853), I3853&gt;0), M3853/I3853, "")</f>
        <v/>
      </c>
    </row>
    <row r="3854">
      <c r="A3854" s="19" t="inlineStr">
        <is>
          <t>FY27</t>
        </is>
      </c>
      <c r="B3854" s="19" t="inlineStr">
        <is>
          <t>Sep</t>
        </is>
      </c>
      <c r="C3854" s="19" t="inlineStr">
        <is>
          <t>Kerala</t>
        </is>
      </c>
      <c r="D3854" s="20" t="inlineStr">
        <is>
          <t>KL05AR4381</t>
        </is>
      </c>
      <c r="E3854" s="20" t="inlineStr">
        <is>
          <t>MARUTI SUZUKI</t>
        </is>
      </c>
      <c r="F3854" s="20" t="inlineStr">
        <is>
          <t>Zen Estilo</t>
        </is>
      </c>
      <c r="G3854" s="21" t="n"/>
      <c r="H3854" s="22" t="n">
        <v>94546</v>
      </c>
      <c r="I3854" s="23" t="n">
        <v>55000</v>
      </c>
      <c r="J3854" s="20" t="inlineStr">
        <is>
          <t>POPULAR VEHICLES</t>
        </is>
      </c>
      <c r="K3854" s="20" t="inlineStr">
        <is>
          <t>Non-Captive</t>
        </is>
      </c>
      <c r="L3854" s="20" t="inlineStr">
        <is>
          <t>Anas Hameed</t>
        </is>
      </c>
      <c r="M3854" s="23" t="n">
        <v>8474.58</v>
      </c>
      <c r="N3854" s="23" t="n">
        <v>10000</v>
      </c>
      <c r="O3854" s="24">
        <f>IF(AND(ISNUMBER(M3854), ISNUMBER(I3854), I3854&gt;0), M3854/I3854, "")</f>
        <v/>
      </c>
    </row>
    <row r="3855">
      <c r="A3855" s="19" t="inlineStr">
        <is>
          <t>FY27</t>
        </is>
      </c>
      <c r="B3855" s="19" t="inlineStr">
        <is>
          <t>Sep</t>
        </is>
      </c>
      <c r="C3855" s="19" t="inlineStr">
        <is>
          <t>Kerala</t>
        </is>
      </c>
      <c r="D3855" s="20" t="inlineStr">
        <is>
          <t>KL05AS0907</t>
        </is>
      </c>
      <c r="E3855" s="20" t="inlineStr">
        <is>
          <t>MARUTI SUZUKI</t>
        </is>
      </c>
      <c r="F3855" s="20" t="inlineStr">
        <is>
          <t>Ignis</t>
        </is>
      </c>
      <c r="G3855" s="21" t="n"/>
      <c r="H3855" s="22" t="n">
        <v>61867</v>
      </c>
      <c r="I3855" s="23" t="n">
        <v>365000</v>
      </c>
      <c r="J3855" s="20" t="inlineStr">
        <is>
          <t>KIA</t>
        </is>
      </c>
      <c r="K3855" s="20" t="inlineStr">
        <is>
          <t>Non-Captive</t>
        </is>
      </c>
      <c r="L3855" s="20" t="inlineStr">
        <is>
          <t>4 Wheel Drive-Rafeek T A</t>
        </is>
      </c>
      <c r="M3855" s="23" t="n">
        <v>8474.58</v>
      </c>
      <c r="N3855" s="23" t="n">
        <v>10000</v>
      </c>
      <c r="O3855" s="24">
        <f>IF(AND(ISNUMBER(M3855), ISNUMBER(I3855), I3855&gt;0), M3855/I3855, "")</f>
        <v/>
      </c>
    </row>
    <row r="3856">
      <c r="A3856" s="19" t="inlineStr">
        <is>
          <t>FY27</t>
        </is>
      </c>
      <c r="B3856" s="19" t="inlineStr">
        <is>
          <t>Sep</t>
        </is>
      </c>
      <c r="C3856" s="19" t="inlineStr">
        <is>
          <t>Kerala</t>
        </is>
      </c>
      <c r="D3856" s="20" t="inlineStr">
        <is>
          <t>KL05AT0310</t>
        </is>
      </c>
      <c r="E3856" s="20" t="inlineStr">
        <is>
          <t>MAHINDRA</t>
        </is>
      </c>
      <c r="F3856" s="20" t="inlineStr">
        <is>
          <t>Bolero</t>
        </is>
      </c>
      <c r="G3856" s="21" t="n"/>
      <c r="H3856" s="22" t="n">
        <v>169093</v>
      </c>
      <c r="I3856" s="23" t="n">
        <v>445000</v>
      </c>
      <c r="J3856" s="20" t="inlineStr">
        <is>
          <t>AUTOMOTIVE</t>
        </is>
      </c>
      <c r="K3856" s="20" t="inlineStr">
        <is>
          <t>Non-Captive</t>
        </is>
      </c>
      <c r="L3856" s="20" t="inlineStr">
        <is>
          <t>Williams Varghese-(Horizon Cars)</t>
        </is>
      </c>
      <c r="M3856" s="23" t="n">
        <v>8474.58</v>
      </c>
      <c r="N3856" s="23" t="n">
        <v>10000</v>
      </c>
      <c r="O3856" s="24">
        <f>IF(AND(ISNUMBER(M3856), ISNUMBER(I3856), I3856&gt;0), M3856/I3856, "")</f>
        <v/>
      </c>
    </row>
    <row r="3857">
      <c r="A3857" s="19" t="inlineStr">
        <is>
          <t>FY27</t>
        </is>
      </c>
      <c r="B3857" s="19" t="inlineStr">
        <is>
          <t>Sep</t>
        </is>
      </c>
      <c r="C3857" s="19" t="inlineStr">
        <is>
          <t>Kerala</t>
        </is>
      </c>
      <c r="D3857" s="20" t="inlineStr">
        <is>
          <t>KL05BA6656</t>
        </is>
      </c>
      <c r="E3857" s="20" t="inlineStr">
        <is>
          <t>HYUNDAI</t>
        </is>
      </c>
      <c r="F3857" s="20" t="inlineStr">
        <is>
          <t>Venue</t>
        </is>
      </c>
      <c r="G3857" s="21" t="n"/>
      <c r="H3857" s="22" t="n">
        <v>35529</v>
      </c>
      <c r="I3857" s="23" t="n">
        <v>810000</v>
      </c>
      <c r="J3857" s="20" t="inlineStr">
        <is>
          <t>INCHEON KIA</t>
        </is>
      </c>
      <c r="K3857" s="20" t="inlineStr">
        <is>
          <t>Non-Captive</t>
        </is>
      </c>
      <c r="L3857" s="20" t="inlineStr">
        <is>
          <t>Vtj</t>
        </is>
      </c>
      <c r="M3857" s="23" t="n">
        <v>8474.58</v>
      </c>
      <c r="N3857" s="23" t="n">
        <v>10000</v>
      </c>
      <c r="O3857" s="24">
        <f>IF(AND(ISNUMBER(M3857), ISNUMBER(I3857), I3857&gt;0), M3857/I3857, "")</f>
        <v/>
      </c>
    </row>
    <row r="3858">
      <c r="A3858" s="19" t="inlineStr">
        <is>
          <t>FY27</t>
        </is>
      </c>
      <c r="B3858" s="19" t="inlineStr">
        <is>
          <t>Sep</t>
        </is>
      </c>
      <c r="C3858" s="19" t="inlineStr">
        <is>
          <t>Kerala</t>
        </is>
      </c>
      <c r="D3858" s="20" t="inlineStr">
        <is>
          <t>KL05P1004</t>
        </is>
      </c>
      <c r="E3858" s="20" t="inlineStr">
        <is>
          <t>MARUTI SUZUKI</t>
        </is>
      </c>
      <c r="F3858" s="20" t="inlineStr">
        <is>
          <t>800</t>
        </is>
      </c>
      <c r="G3858" s="21" t="n"/>
      <c r="H3858" s="22" t="n">
        <v>192838</v>
      </c>
      <c r="I3858" s="23" t="n">
        <v>34000</v>
      </c>
      <c r="J3858" s="20" t="inlineStr">
        <is>
          <t>ALBIN JOSE</t>
        </is>
      </c>
      <c r="K3858" s="20" t="inlineStr">
        <is>
          <t>Non-Captive</t>
        </is>
      </c>
      <c r="L3858" s="20" t="inlineStr">
        <is>
          <t>Anas Hameed</t>
        </is>
      </c>
      <c r="M3858" s="23" t="n">
        <v>8474.58</v>
      </c>
      <c r="N3858" s="23" t="n">
        <v>10000</v>
      </c>
      <c r="O3858" s="24">
        <f>IF(AND(ISNUMBER(M3858), ISNUMBER(I3858), I3858&gt;0), M3858/I3858, "")</f>
        <v/>
      </c>
    </row>
    <row r="3859">
      <c r="A3859" s="19" t="inlineStr">
        <is>
          <t>FY27</t>
        </is>
      </c>
      <c r="B3859" s="19" t="inlineStr">
        <is>
          <t>Sep</t>
        </is>
      </c>
      <c r="C3859" s="19" t="inlineStr">
        <is>
          <t>Kerala</t>
        </is>
      </c>
      <c r="D3859" s="20" t="inlineStr">
        <is>
          <t>KL07BG1636</t>
        </is>
      </c>
      <c r="E3859" s="20" t="inlineStr">
        <is>
          <t>MARUTI SUZUKI</t>
        </is>
      </c>
      <c r="F3859" s="20" t="inlineStr">
        <is>
          <t>Wagon R</t>
        </is>
      </c>
      <c r="G3859" s="21" t="n"/>
      <c r="H3859" s="22" t="n">
        <v>145000</v>
      </c>
      <c r="I3859" s="23" t="n">
        <v>55000</v>
      </c>
      <c r="J3859" s="20" t="inlineStr">
        <is>
          <t>INCHEON KIA</t>
        </is>
      </c>
      <c r="K3859" s="20" t="inlineStr">
        <is>
          <t>Non-Captive</t>
        </is>
      </c>
      <c r="L3859" s="20" t="inlineStr">
        <is>
          <t>Desanth</t>
        </is>
      </c>
      <c r="M3859" s="23" t="n">
        <v>6779.66</v>
      </c>
      <c r="N3859" s="23" t="n">
        <v>8000</v>
      </c>
      <c r="O3859" s="24">
        <f>IF(AND(ISNUMBER(M3859), ISNUMBER(I3859), I3859&gt;0), M3859/I3859, "")</f>
        <v/>
      </c>
    </row>
    <row r="3860">
      <c r="A3860" s="19" t="inlineStr">
        <is>
          <t>FY27</t>
        </is>
      </c>
      <c r="B3860" s="19" t="inlineStr">
        <is>
          <t>Sep</t>
        </is>
      </c>
      <c r="C3860" s="19" t="inlineStr">
        <is>
          <t>Kerala</t>
        </is>
      </c>
      <c r="D3860" s="20" t="inlineStr">
        <is>
          <t>KL07BS4748</t>
        </is>
      </c>
      <c r="E3860" s="20" t="inlineStr">
        <is>
          <t>HYUNDAI</t>
        </is>
      </c>
      <c r="F3860" s="20" t="inlineStr">
        <is>
          <t>i10</t>
        </is>
      </c>
      <c r="G3860" s="21" t="n"/>
      <c r="H3860" s="22" t="n">
        <v>52891</v>
      </c>
      <c r="I3860" s="23" t="n">
        <v>75000</v>
      </c>
      <c r="J3860" s="20" t="inlineStr">
        <is>
          <t>MOTOXCHANGE</t>
        </is>
      </c>
      <c r="K3860" s="20" t="inlineStr">
        <is>
          <t>Non-Captive</t>
        </is>
      </c>
      <c r="L3860" s="20" t="inlineStr">
        <is>
          <t>Anson</t>
        </is>
      </c>
      <c r="M3860" s="23" t="n">
        <v>8474.58</v>
      </c>
      <c r="N3860" s="23" t="n">
        <v>10000</v>
      </c>
      <c r="O3860" s="24">
        <f>IF(AND(ISNUMBER(M3860), ISNUMBER(I3860), I3860&gt;0), M3860/I3860, "")</f>
        <v/>
      </c>
    </row>
    <row r="3861">
      <c r="A3861" s="19" t="inlineStr">
        <is>
          <t>FY27</t>
        </is>
      </c>
      <c r="B3861" s="19" t="inlineStr">
        <is>
          <t>Sep</t>
        </is>
      </c>
      <c r="C3861" s="19" t="inlineStr">
        <is>
          <t>Kerala</t>
        </is>
      </c>
      <c r="D3861" s="20" t="inlineStr">
        <is>
          <t>KL07BS5865</t>
        </is>
      </c>
      <c r="E3861" s="20" t="inlineStr">
        <is>
          <t>MARUTI SUZUKI</t>
        </is>
      </c>
      <c r="F3861" s="20" t="inlineStr">
        <is>
          <t>Alto</t>
        </is>
      </c>
      <c r="G3861" s="21" t="n"/>
      <c r="H3861" s="22" t="n">
        <v>54760</v>
      </c>
      <c r="I3861" s="23" t="n">
        <v>95000</v>
      </c>
      <c r="J3861" s="20" t="inlineStr">
        <is>
          <t>POPULAR MARUTI</t>
        </is>
      </c>
      <c r="K3861" s="20" t="inlineStr">
        <is>
          <t>Non-Captive</t>
        </is>
      </c>
      <c r="L3861" s="20" t="inlineStr">
        <is>
          <t>Hussain O E</t>
        </is>
      </c>
      <c r="M3861" s="23" t="n">
        <v>8474.58</v>
      </c>
      <c r="N3861" s="23" t="n">
        <v>10000</v>
      </c>
      <c r="O3861" s="24">
        <f>IF(AND(ISNUMBER(M3861), ISNUMBER(I3861), I3861&gt;0), M3861/I3861, "")</f>
        <v/>
      </c>
    </row>
    <row r="3862">
      <c r="A3862" s="19" t="inlineStr">
        <is>
          <t>FY27</t>
        </is>
      </c>
      <c r="B3862" s="19" t="inlineStr">
        <is>
          <t>Sep</t>
        </is>
      </c>
      <c r="C3862" s="19" t="inlineStr">
        <is>
          <t>Kerala</t>
        </is>
      </c>
      <c r="D3862" s="20" t="inlineStr">
        <is>
          <t>KL07BX3316</t>
        </is>
      </c>
      <c r="E3862" s="20" t="inlineStr">
        <is>
          <t>FORD</t>
        </is>
      </c>
      <c r="F3862" s="20" t="inlineStr">
        <is>
          <t>Figo</t>
        </is>
      </c>
      <c r="G3862" s="21" t="n"/>
      <c r="H3862" s="22" t="n">
        <v>96500</v>
      </c>
      <c r="I3862" s="23" t="n">
        <v>120000</v>
      </c>
      <c r="J3862" s="20" t="inlineStr">
        <is>
          <t>POPULAR MARUTI</t>
        </is>
      </c>
      <c r="K3862" s="20" t="inlineStr">
        <is>
          <t>Non-Captive</t>
        </is>
      </c>
      <c r="L3862" s="20" t="inlineStr">
        <is>
          <t>Hussain O E</t>
        </is>
      </c>
      <c r="M3862" s="23" t="n">
        <v>8474.58</v>
      </c>
      <c r="N3862" s="23" t="n">
        <v>10000</v>
      </c>
      <c r="O3862" s="24">
        <f>IF(AND(ISNUMBER(M3862), ISNUMBER(I3862), I3862&gt;0), M3862/I3862, "")</f>
        <v/>
      </c>
    </row>
    <row r="3863">
      <c r="A3863" s="19" t="inlineStr">
        <is>
          <t>FY27</t>
        </is>
      </c>
      <c r="B3863" s="19" t="inlineStr">
        <is>
          <t>Sep</t>
        </is>
      </c>
      <c r="C3863" s="19" t="inlineStr">
        <is>
          <t>Kerala</t>
        </is>
      </c>
      <c r="D3863" s="20" t="inlineStr">
        <is>
          <t>KL07CD8865</t>
        </is>
      </c>
      <c r="E3863" s="20" t="inlineStr">
        <is>
          <t>HYUNDAI</t>
        </is>
      </c>
      <c r="F3863" s="20" t="inlineStr">
        <is>
          <t>i20 Active</t>
        </is>
      </c>
      <c r="G3863" s="21" t="n"/>
      <c r="H3863" s="22" t="n">
        <v>52882</v>
      </c>
      <c r="I3863" s="23" t="n">
        <v>330000</v>
      </c>
      <c r="J3863" s="20" t="inlineStr">
        <is>
          <t>INCHEON KIA</t>
        </is>
      </c>
      <c r="K3863" s="20" t="inlineStr">
        <is>
          <t>Non-Captive</t>
        </is>
      </c>
      <c r="L3863" s="20" t="inlineStr">
        <is>
          <t>Abdul Salam K K</t>
        </is>
      </c>
      <c r="M3863" s="23" t="n">
        <v>8474.58</v>
      </c>
      <c r="N3863" s="23" t="n">
        <v>10000</v>
      </c>
      <c r="O3863" s="24">
        <f>IF(AND(ISNUMBER(M3863), ISNUMBER(I3863), I3863&gt;0), M3863/I3863, "")</f>
        <v/>
      </c>
    </row>
    <row r="3864">
      <c r="A3864" s="19" t="inlineStr">
        <is>
          <t>FY27</t>
        </is>
      </c>
      <c r="B3864" s="19" t="inlineStr">
        <is>
          <t>Sep</t>
        </is>
      </c>
      <c r="C3864" s="19" t="inlineStr">
        <is>
          <t>Kerala</t>
        </is>
      </c>
      <c r="D3864" s="20" t="inlineStr">
        <is>
          <t>KL07CF0359</t>
        </is>
      </c>
      <c r="E3864" s="20" t="inlineStr">
        <is>
          <t>TATA</t>
        </is>
      </c>
      <c r="F3864" s="20" t="inlineStr">
        <is>
          <t>Nano</t>
        </is>
      </c>
      <c r="G3864" s="21" t="n"/>
      <c r="H3864" s="22" t="n">
        <v>31453</v>
      </c>
      <c r="I3864" s="23" t="n">
        <v>145000</v>
      </c>
      <c r="J3864" s="20" t="inlineStr">
        <is>
          <t>ANAS HAMEED</t>
        </is>
      </c>
      <c r="K3864" s="20" t="inlineStr">
        <is>
          <t>Non-Captive</t>
        </is>
      </c>
      <c r="L3864" s="20" t="inlineStr">
        <is>
          <t>Albin Jose</t>
        </is>
      </c>
      <c r="M3864" s="23" t="n">
        <v>8474.58</v>
      </c>
      <c r="N3864" s="23" t="n">
        <v>10000</v>
      </c>
      <c r="O3864" s="24">
        <f>IF(AND(ISNUMBER(M3864), ISNUMBER(I3864), I3864&gt;0), M3864/I3864, "")</f>
        <v/>
      </c>
    </row>
    <row r="3865">
      <c r="A3865" s="19" t="inlineStr">
        <is>
          <t>FY27</t>
        </is>
      </c>
      <c r="B3865" s="19" t="inlineStr">
        <is>
          <t>Sep</t>
        </is>
      </c>
      <c r="C3865" s="19" t="inlineStr">
        <is>
          <t>Kerala</t>
        </is>
      </c>
      <c r="D3865" s="20" t="inlineStr">
        <is>
          <t>KL07CM4892</t>
        </is>
      </c>
      <c r="E3865" s="20" t="inlineStr">
        <is>
          <t>FORD</t>
        </is>
      </c>
      <c r="F3865" s="20" t="inlineStr">
        <is>
          <t>EcoSport</t>
        </is>
      </c>
      <c r="G3865" s="21" t="n"/>
      <c r="H3865" s="22" t="n">
        <v>72363</v>
      </c>
      <c r="I3865" s="23" t="n">
        <v>420000</v>
      </c>
      <c r="J3865" s="20" t="inlineStr">
        <is>
          <t>AUTOMOTIVE</t>
        </is>
      </c>
      <c r="K3865" s="20" t="inlineStr">
        <is>
          <t>Non-Captive</t>
        </is>
      </c>
      <c r="L3865" s="20" t="inlineStr">
        <is>
          <t>Sabir</t>
        </is>
      </c>
      <c r="M3865" s="23" t="n">
        <v>8474.58</v>
      </c>
      <c r="N3865" s="23" t="n">
        <v>10000</v>
      </c>
      <c r="O3865" s="24">
        <f>IF(AND(ISNUMBER(M3865), ISNUMBER(I3865), I3865&gt;0), M3865/I3865, "")</f>
        <v/>
      </c>
    </row>
    <row r="3866">
      <c r="A3866" s="19" t="inlineStr">
        <is>
          <t>FY27</t>
        </is>
      </c>
      <c r="B3866" s="19" t="inlineStr">
        <is>
          <t>Sep</t>
        </is>
      </c>
      <c r="C3866" s="19" t="inlineStr">
        <is>
          <t>Kerala</t>
        </is>
      </c>
      <c r="D3866" s="20" t="inlineStr">
        <is>
          <t>KL07CQ6333</t>
        </is>
      </c>
      <c r="E3866" s="20" t="inlineStr">
        <is>
          <t>TATA</t>
        </is>
      </c>
      <c r="F3866" s="20" t="inlineStr">
        <is>
          <t>Nexon</t>
        </is>
      </c>
      <c r="G3866" s="21" t="n"/>
      <c r="H3866" s="22" t="n">
        <v>31447</v>
      </c>
      <c r="I3866" s="23" t="n">
        <v>465000</v>
      </c>
      <c r="J3866" s="20" t="inlineStr">
        <is>
          <t>GOKULAM TATA</t>
        </is>
      </c>
      <c r="K3866" s="20" t="inlineStr">
        <is>
          <t>Non-Captive</t>
        </is>
      </c>
      <c r="L3866" s="20" t="inlineStr">
        <is>
          <t>Dream Cars</t>
        </is>
      </c>
      <c r="M3866" s="23" t="n">
        <v>8474.58</v>
      </c>
      <c r="N3866" s="23" t="n">
        <v>10000</v>
      </c>
      <c r="O3866" s="24">
        <f>IF(AND(ISNUMBER(M3866), ISNUMBER(I3866), I3866&gt;0), M3866/I3866, "")</f>
        <v/>
      </c>
    </row>
    <row r="3867">
      <c r="A3867" s="19" t="inlineStr">
        <is>
          <t>FY27</t>
        </is>
      </c>
      <c r="B3867" s="19" t="inlineStr">
        <is>
          <t>Sep</t>
        </is>
      </c>
      <c r="C3867" s="19" t="inlineStr">
        <is>
          <t>Kerala</t>
        </is>
      </c>
      <c r="D3867" s="20" t="inlineStr">
        <is>
          <t>KL07DA6858</t>
        </is>
      </c>
      <c r="E3867" s="20" t="inlineStr">
        <is>
          <t>TOYOTA</t>
        </is>
      </c>
      <c r="F3867" s="20" t="inlineStr">
        <is>
          <t>Hyryder</t>
        </is>
      </c>
      <c r="G3867" s="21" t="n"/>
      <c r="H3867" s="22" t="n">
        <v>35000</v>
      </c>
      <c r="I3867" s="23" t="n">
        <v>1615000</v>
      </c>
      <c r="J3867" s="20" t="inlineStr">
        <is>
          <t>INDUS MARUTI</t>
        </is>
      </c>
      <c r="K3867" s="20" t="inlineStr">
        <is>
          <t>Non-Captive</t>
        </is>
      </c>
      <c r="L3867" s="20" t="inlineStr">
        <is>
          <t>Abdul Salam P U</t>
        </is>
      </c>
      <c r="M3867" s="23" t="n">
        <v>8474.58</v>
      </c>
      <c r="N3867" s="23" t="n">
        <v>10000</v>
      </c>
      <c r="O3867" s="24">
        <f>IF(AND(ISNUMBER(M3867), ISNUMBER(I3867), I3867&gt;0), M3867/I3867, "")</f>
        <v/>
      </c>
    </row>
    <row r="3868">
      <c r="A3868" s="19" t="inlineStr">
        <is>
          <t>FY27</t>
        </is>
      </c>
      <c r="B3868" s="19" t="inlineStr">
        <is>
          <t>Sep</t>
        </is>
      </c>
      <c r="C3868" s="19" t="inlineStr">
        <is>
          <t>Kerala</t>
        </is>
      </c>
      <c r="D3868" s="20" t="inlineStr">
        <is>
          <t>KL08BY5440</t>
        </is>
      </c>
      <c r="E3868" s="20" t="inlineStr">
        <is>
          <t>SKODA</t>
        </is>
      </c>
      <c r="F3868" s="20" t="inlineStr">
        <is>
          <t>Slavia</t>
        </is>
      </c>
      <c r="G3868" s="21" t="n"/>
      <c r="H3868" s="22" t="n">
        <v>34255</v>
      </c>
      <c r="I3868" s="23" t="n">
        <v>760000</v>
      </c>
      <c r="J3868" s="20" t="inlineStr">
        <is>
          <t>PHOENIX VOLKSWAGEN</t>
        </is>
      </c>
      <c r="K3868" s="20" t="inlineStr">
        <is>
          <t>Non-Captive</t>
        </is>
      </c>
      <c r="L3868" s="20" t="inlineStr">
        <is>
          <t>Tg7(Reswin)</t>
        </is>
      </c>
      <c r="M3868" s="23" t="n">
        <v>8474.58</v>
      </c>
      <c r="N3868" s="23" t="n">
        <v>10000</v>
      </c>
      <c r="O3868" s="24">
        <f>IF(AND(ISNUMBER(M3868), ISNUMBER(I3868), I3868&gt;0), M3868/I3868, "")</f>
        <v/>
      </c>
    </row>
    <row r="3869">
      <c r="A3869" s="19" t="inlineStr">
        <is>
          <t>FY27</t>
        </is>
      </c>
      <c r="B3869" s="19" t="inlineStr">
        <is>
          <t>Sep</t>
        </is>
      </c>
      <c r="C3869" s="19" t="inlineStr">
        <is>
          <t>Kerala</t>
        </is>
      </c>
      <c r="D3869" s="20" t="inlineStr">
        <is>
          <t>KL11AC2647</t>
        </is>
      </c>
      <c r="E3869" s="20" t="inlineStr">
        <is>
          <t>HYUNDAI</t>
        </is>
      </c>
      <c r="F3869" s="20" t="inlineStr">
        <is>
          <t>i10</t>
        </is>
      </c>
      <c r="G3869" s="21" t="n"/>
      <c r="H3869" s="22" t="n">
        <v>66000</v>
      </c>
      <c r="I3869" s="23" t="n">
        <v>55000</v>
      </c>
      <c r="J3869" s="20" t="inlineStr">
        <is>
          <t>EVM CITROEN</t>
        </is>
      </c>
      <c r="K3869" s="20" t="inlineStr">
        <is>
          <t>Non-Captive</t>
        </is>
      </c>
      <c r="L3869" s="20" t="inlineStr">
        <is>
          <t>Dinesh V</t>
        </is>
      </c>
      <c r="M3869" s="23" t="n">
        <v>4237.29</v>
      </c>
      <c r="N3869" s="23" t="n">
        <v>5000</v>
      </c>
      <c r="O3869" s="24">
        <f>IF(AND(ISNUMBER(M3869), ISNUMBER(I3869), I3869&gt;0), M3869/I3869, "")</f>
        <v/>
      </c>
    </row>
    <row r="3870">
      <c r="A3870" s="19" t="inlineStr">
        <is>
          <t>FY27</t>
        </is>
      </c>
      <c r="B3870" s="19" t="inlineStr">
        <is>
          <t>Sep</t>
        </is>
      </c>
      <c r="C3870" s="19" t="inlineStr">
        <is>
          <t>Kerala</t>
        </is>
      </c>
      <c r="D3870" s="20" t="inlineStr">
        <is>
          <t>KL11BC0769</t>
        </is>
      </c>
      <c r="E3870" s="20" t="inlineStr">
        <is>
          <t>MARUTI SUZUKI</t>
        </is>
      </c>
      <c r="F3870" s="20" t="inlineStr">
        <is>
          <t>Swift</t>
        </is>
      </c>
      <c r="G3870" s="21" t="n"/>
      <c r="H3870" s="22" t="n">
        <v>69000</v>
      </c>
      <c r="I3870" s="23" t="n">
        <v>356000</v>
      </c>
      <c r="J3870" s="20" t="inlineStr">
        <is>
          <t>KVR TATA</t>
        </is>
      </c>
      <c r="K3870" s="20" t="inlineStr">
        <is>
          <t>Non-Captive</t>
        </is>
      </c>
      <c r="L3870" s="20" t="inlineStr">
        <is>
          <t>Suraj P K</t>
        </is>
      </c>
      <c r="M3870" s="23" t="n">
        <v>5084.75</v>
      </c>
      <c r="N3870" s="23" t="n">
        <v>6000</v>
      </c>
      <c r="O3870" s="24">
        <f>IF(AND(ISNUMBER(M3870), ISNUMBER(I3870), I3870&gt;0), M3870/I3870, "")</f>
        <v/>
      </c>
    </row>
    <row r="3871">
      <c r="A3871" s="19" t="inlineStr">
        <is>
          <t>FY27</t>
        </is>
      </c>
      <c r="B3871" s="19" t="inlineStr">
        <is>
          <t>Sep</t>
        </is>
      </c>
      <c r="C3871" s="19" t="inlineStr">
        <is>
          <t>Kerala</t>
        </is>
      </c>
      <c r="D3871" s="20" t="inlineStr">
        <is>
          <t>KL11BL7968</t>
        </is>
      </c>
      <c r="E3871" s="20" t="inlineStr">
        <is>
          <t>HYUNDAI</t>
        </is>
      </c>
      <c r="F3871" s="20" t="inlineStr">
        <is>
          <t>Grand i10</t>
        </is>
      </c>
      <c r="G3871" s="21" t="n"/>
      <c r="H3871" s="22" t="n">
        <v>54000</v>
      </c>
      <c r="I3871" s="23" t="n">
        <v>310000</v>
      </c>
      <c r="J3871" s="20" t="inlineStr">
        <is>
          <t>EVM SKODA</t>
        </is>
      </c>
      <c r="K3871" s="20" t="inlineStr">
        <is>
          <t>Non-Captive</t>
        </is>
      </c>
      <c r="L3871" s="20" t="inlineStr">
        <is>
          <t>Nisha Mary Mathew</t>
        </is>
      </c>
      <c r="M3871" s="23" t="n">
        <v>8474.58</v>
      </c>
      <c r="N3871" s="23" t="n">
        <v>10000</v>
      </c>
      <c r="O3871" s="24">
        <f>IF(AND(ISNUMBER(M3871), ISNUMBER(I3871), I3871&gt;0), M3871/I3871, "")</f>
        <v/>
      </c>
    </row>
    <row r="3872">
      <c r="A3872" s="19" t="inlineStr">
        <is>
          <t>FY27</t>
        </is>
      </c>
      <c r="B3872" s="19" t="inlineStr">
        <is>
          <t>Sep</t>
        </is>
      </c>
      <c r="C3872" s="19" t="inlineStr">
        <is>
          <t>Kerala</t>
        </is>
      </c>
      <c r="D3872" s="20" t="inlineStr">
        <is>
          <t>KL12F7794</t>
        </is>
      </c>
      <c r="E3872" s="20" t="inlineStr">
        <is>
          <t>MARUTI SUZUKI</t>
        </is>
      </c>
      <c r="F3872" s="20" t="inlineStr">
        <is>
          <t>Eeco</t>
        </is>
      </c>
      <c r="G3872" s="21" t="n"/>
      <c r="H3872" s="22" t="n">
        <v>178000</v>
      </c>
      <c r="I3872" s="23" t="n">
        <v>115000</v>
      </c>
      <c r="J3872" s="20" t="inlineStr">
        <is>
          <t>AM MOTORS</t>
        </is>
      </c>
      <c r="K3872" s="20" t="inlineStr">
        <is>
          <t>Non-Captive</t>
        </is>
      </c>
      <c r="L3872" s="20" t="inlineStr">
        <is>
          <t>Vidin Raj K</t>
        </is>
      </c>
      <c r="M3872" s="23" t="n">
        <v>4237.29</v>
      </c>
      <c r="N3872" s="23" t="n">
        <v>5000</v>
      </c>
      <c r="O3872" s="24">
        <f>IF(AND(ISNUMBER(M3872), ISNUMBER(I3872), I3872&gt;0), M3872/I3872, "")</f>
        <v/>
      </c>
    </row>
    <row r="3873">
      <c r="A3873" s="19" t="inlineStr">
        <is>
          <t>FY27</t>
        </is>
      </c>
      <c r="B3873" s="19" t="inlineStr">
        <is>
          <t>Sep</t>
        </is>
      </c>
      <c r="C3873" s="19" t="inlineStr">
        <is>
          <t>Kerala</t>
        </is>
      </c>
      <c r="D3873" s="20" t="inlineStr">
        <is>
          <t>KL13AR1279</t>
        </is>
      </c>
      <c r="E3873" s="20" t="inlineStr">
        <is>
          <t>RENAULT</t>
        </is>
      </c>
      <c r="F3873" s="20" t="inlineStr">
        <is>
          <t>Triber</t>
        </is>
      </c>
      <c r="G3873" s="21" t="n"/>
      <c r="H3873" s="22" t="n">
        <v>65111</v>
      </c>
      <c r="I3873" s="23" t="n">
        <v>285000</v>
      </c>
      <c r="J3873" s="20" t="inlineStr">
        <is>
          <t>OLX</t>
        </is>
      </c>
      <c r="K3873" s="20" t="inlineStr">
        <is>
          <t>Non-Captive</t>
        </is>
      </c>
      <c r="L3873" s="20" t="inlineStr">
        <is>
          <t>Abdul Salam P U</t>
        </is>
      </c>
      <c r="M3873" s="23" t="n">
        <v>8474.58</v>
      </c>
      <c r="N3873" s="23" t="n">
        <v>10000</v>
      </c>
      <c r="O3873" s="24">
        <f>IF(AND(ISNUMBER(M3873), ISNUMBER(I3873), I3873&gt;0), M3873/I3873, "")</f>
        <v/>
      </c>
    </row>
    <row r="3874">
      <c r="A3874" s="19" t="inlineStr">
        <is>
          <t>FY27</t>
        </is>
      </c>
      <c r="B3874" s="19" t="inlineStr">
        <is>
          <t>Sep</t>
        </is>
      </c>
      <c r="C3874" s="19" t="inlineStr">
        <is>
          <t>Kerala</t>
        </is>
      </c>
      <c r="D3874" s="20" t="inlineStr">
        <is>
          <t>KL13AR5609</t>
        </is>
      </c>
      <c r="E3874" s="20" t="inlineStr">
        <is>
          <t>TATA</t>
        </is>
      </c>
      <c r="F3874" s="20" t="inlineStr">
        <is>
          <t>Tiago</t>
        </is>
      </c>
      <c r="G3874" s="21" t="n"/>
      <c r="H3874" s="22" t="n">
        <v>9200</v>
      </c>
      <c r="I3874" s="23" t="n">
        <v>445000</v>
      </c>
      <c r="J3874" s="20" t="inlineStr">
        <is>
          <t>KVR TATA</t>
        </is>
      </c>
      <c r="K3874" s="20" t="inlineStr">
        <is>
          <t>Non-Captive</t>
        </is>
      </c>
      <c r="L3874" s="20" t="inlineStr">
        <is>
          <t>Muhammed Vasil Mk</t>
        </is>
      </c>
      <c r="M3874" s="23" t="n">
        <v>4237.29</v>
      </c>
      <c r="N3874" s="23" t="n">
        <v>5000</v>
      </c>
      <c r="O3874" s="24">
        <f>IF(AND(ISNUMBER(M3874), ISNUMBER(I3874), I3874&gt;0), M3874/I3874, "")</f>
        <v/>
      </c>
    </row>
    <row r="3875">
      <c r="A3875" s="19" t="inlineStr">
        <is>
          <t>FY27</t>
        </is>
      </c>
      <c r="B3875" s="19" t="inlineStr">
        <is>
          <t>Sep</t>
        </is>
      </c>
      <c r="C3875" s="19" t="inlineStr">
        <is>
          <t>Kerala</t>
        </is>
      </c>
      <c r="D3875" s="20" t="inlineStr">
        <is>
          <t>KL13AX0627</t>
        </is>
      </c>
      <c r="E3875" s="20" t="inlineStr">
        <is>
          <t>MARUTI SUZUKI</t>
        </is>
      </c>
      <c r="F3875" s="20" t="inlineStr">
        <is>
          <t>Wagon R</t>
        </is>
      </c>
      <c r="G3875" s="21" t="n"/>
      <c r="H3875" s="22" t="n">
        <v>34000</v>
      </c>
      <c r="I3875" s="23" t="n">
        <v>551000</v>
      </c>
      <c r="J3875" s="20" t="inlineStr">
        <is>
          <t>APCO HYUNDAI</t>
        </is>
      </c>
      <c r="K3875" s="20" t="inlineStr">
        <is>
          <t>Non-Captive</t>
        </is>
      </c>
      <c r="L3875" s="20" t="inlineStr">
        <is>
          <t>Shinoj Kk</t>
        </is>
      </c>
      <c r="M3875" s="23" t="n">
        <v>5084.75</v>
      </c>
      <c r="N3875" s="23" t="n">
        <v>6000</v>
      </c>
      <c r="O3875" s="24">
        <f>IF(AND(ISNUMBER(M3875), ISNUMBER(I3875), I3875&gt;0), M3875/I3875, "")</f>
        <v/>
      </c>
    </row>
    <row r="3876">
      <c r="A3876" s="19" t="inlineStr">
        <is>
          <t>FY27</t>
        </is>
      </c>
      <c r="B3876" s="19" t="inlineStr">
        <is>
          <t>Sep</t>
        </is>
      </c>
      <c r="C3876" s="19" t="inlineStr">
        <is>
          <t>Kerala</t>
        </is>
      </c>
      <c r="D3876" s="20" t="inlineStr">
        <is>
          <t>KL13R9787</t>
        </is>
      </c>
      <c r="E3876" s="20" t="inlineStr">
        <is>
          <t>MARUTI SUZUKI</t>
        </is>
      </c>
      <c r="F3876" s="20" t="inlineStr">
        <is>
          <t>Wagon R</t>
        </is>
      </c>
      <c r="G3876" s="21" t="n"/>
      <c r="H3876" s="22" t="n">
        <v>200000</v>
      </c>
      <c r="I3876" s="23" t="n">
        <v>6000</v>
      </c>
      <c r="J3876" s="20" t="inlineStr">
        <is>
          <t>POPULAR MARUTI</t>
        </is>
      </c>
      <c r="K3876" s="20" t="inlineStr">
        <is>
          <t>Non-Captive</t>
        </is>
      </c>
      <c r="L3876" s="20" t="inlineStr">
        <is>
          <t>Autotrust</t>
        </is>
      </c>
      <c r="M3876" s="23" t="n">
        <v>5084.75</v>
      </c>
      <c r="N3876" s="23" t="n">
        <v>6000</v>
      </c>
      <c r="O3876" s="24">
        <f>IF(AND(ISNUMBER(M3876), ISNUMBER(I3876), I3876&gt;0), M3876/I3876, "")</f>
        <v/>
      </c>
    </row>
    <row r="3877">
      <c r="A3877" s="19" t="inlineStr">
        <is>
          <t>FY27</t>
        </is>
      </c>
      <c r="B3877" s="19" t="inlineStr">
        <is>
          <t>Sep</t>
        </is>
      </c>
      <c r="C3877" s="19" t="inlineStr">
        <is>
          <t>Kerala</t>
        </is>
      </c>
      <c r="D3877" s="20" t="inlineStr">
        <is>
          <t>KL13Z2325</t>
        </is>
      </c>
      <c r="E3877" s="20" t="inlineStr">
        <is>
          <t>MARUTI SUZUKI</t>
        </is>
      </c>
      <c r="F3877" s="20" t="inlineStr">
        <is>
          <t>Alto</t>
        </is>
      </c>
      <c r="G3877" s="21" t="n"/>
      <c r="H3877" s="22" t="n">
        <v>52000</v>
      </c>
      <c r="I3877" s="23" t="n">
        <v>120000</v>
      </c>
      <c r="J3877" s="20" t="inlineStr">
        <is>
          <t>POPULAR MARUTI</t>
        </is>
      </c>
      <c r="K3877" s="20" t="inlineStr">
        <is>
          <t>Non-Captive</t>
        </is>
      </c>
      <c r="L3877" s="20" t="inlineStr">
        <is>
          <t>Fareeda Bhanu</t>
        </is>
      </c>
      <c r="M3877" s="23" t="n">
        <v>8474.58</v>
      </c>
      <c r="N3877" s="23" t="n">
        <v>10000</v>
      </c>
      <c r="O3877" s="24">
        <f>IF(AND(ISNUMBER(M3877), ISNUMBER(I3877), I3877&gt;0), M3877/I3877, "")</f>
        <v/>
      </c>
    </row>
    <row r="3878">
      <c r="A3878" s="19" t="inlineStr">
        <is>
          <t>FY27</t>
        </is>
      </c>
      <c r="B3878" s="19" t="inlineStr">
        <is>
          <t>Sep</t>
        </is>
      </c>
      <c r="C3878" s="19" t="inlineStr">
        <is>
          <t>Kerala</t>
        </is>
      </c>
      <c r="D3878" s="20" t="inlineStr">
        <is>
          <t>KL14P6710</t>
        </is>
      </c>
      <c r="E3878" s="20" t="inlineStr">
        <is>
          <t>HYUNDAI</t>
        </is>
      </c>
      <c r="F3878" s="20" t="inlineStr">
        <is>
          <t>Grand i10</t>
        </is>
      </c>
      <c r="G3878" s="21" t="n"/>
      <c r="H3878" s="22" t="n">
        <v>79000</v>
      </c>
      <c r="I3878" s="23" t="n">
        <v>215000</v>
      </c>
      <c r="J3878" s="20" t="inlineStr">
        <is>
          <t>APCO HYUNDAI</t>
        </is>
      </c>
      <c r="K3878" s="20" t="inlineStr">
        <is>
          <t>Non-Captive</t>
        </is>
      </c>
      <c r="L3878" s="20" t="inlineStr">
        <is>
          <t>Kannur Platinum Drive</t>
        </is>
      </c>
      <c r="M3878" s="23" t="n">
        <v>4237.29</v>
      </c>
      <c r="N3878" s="23" t="n">
        <v>5000</v>
      </c>
      <c r="O3878" s="24">
        <f>IF(AND(ISNUMBER(M3878), ISNUMBER(I3878), I3878&gt;0), M3878/I3878, "")</f>
        <v/>
      </c>
    </row>
    <row r="3879">
      <c r="A3879" s="19" t="inlineStr">
        <is>
          <t>FY27</t>
        </is>
      </c>
      <c r="B3879" s="19" t="inlineStr">
        <is>
          <t>Sep</t>
        </is>
      </c>
      <c r="C3879" s="19" t="inlineStr">
        <is>
          <t>Kerala</t>
        </is>
      </c>
      <c r="D3879" s="20" t="inlineStr">
        <is>
          <t>KL14V9215</t>
        </is>
      </c>
      <c r="E3879" s="20" t="inlineStr">
        <is>
          <t>MAHINDRA</t>
        </is>
      </c>
      <c r="F3879" s="20" t="inlineStr">
        <is>
          <t>KUV100</t>
        </is>
      </c>
      <c r="G3879" s="21" t="n"/>
      <c r="H3879" s="22" t="n">
        <v>58000</v>
      </c>
      <c r="I3879" s="23" t="n">
        <v>205000</v>
      </c>
      <c r="J3879" s="20" t="inlineStr">
        <is>
          <t>SARITH UCD</t>
        </is>
      </c>
      <c r="K3879" s="20" t="inlineStr">
        <is>
          <t>Non-Captive</t>
        </is>
      </c>
      <c r="L3879" s="20" t="inlineStr">
        <is>
          <t>Vidin Raj K</t>
        </is>
      </c>
      <c r="M3879" s="23" t="n">
        <v>4237.29</v>
      </c>
      <c r="N3879" s="23" t="n">
        <v>5000</v>
      </c>
      <c r="O3879" s="24">
        <f>IF(AND(ISNUMBER(M3879), ISNUMBER(I3879), I3879&gt;0), M3879/I3879, "")</f>
        <v/>
      </c>
    </row>
    <row r="3880">
      <c r="A3880" s="19" t="inlineStr">
        <is>
          <t>FY27</t>
        </is>
      </c>
      <c r="B3880" s="19" t="inlineStr">
        <is>
          <t>Sep</t>
        </is>
      </c>
      <c r="C3880" s="19" t="inlineStr">
        <is>
          <t>Kerala</t>
        </is>
      </c>
      <c r="D3880" s="20" t="inlineStr">
        <is>
          <t>KL16E3668</t>
        </is>
      </c>
      <c r="E3880" s="20" t="inlineStr">
        <is>
          <t>CHEVROLET</t>
        </is>
      </c>
      <c r="F3880" s="20" t="inlineStr">
        <is>
          <t>Spark</t>
        </is>
      </c>
      <c r="G3880" s="21" t="n"/>
      <c r="H3880" s="22" t="n">
        <v>56500</v>
      </c>
      <c r="I3880" s="23" t="n">
        <v>25000</v>
      </c>
      <c r="J3880" s="20" t="inlineStr">
        <is>
          <t>LUXON TATA</t>
        </is>
      </c>
      <c r="K3880" s="20" t="inlineStr">
        <is>
          <t>Non-Captive</t>
        </is>
      </c>
      <c r="L3880" s="20" t="inlineStr">
        <is>
          <t>Abhishek M</t>
        </is>
      </c>
      <c r="M3880" s="23" t="n">
        <v>4237.29</v>
      </c>
      <c r="N3880" s="23" t="n">
        <v>5000</v>
      </c>
      <c r="O3880" s="24">
        <f>IF(AND(ISNUMBER(M3880), ISNUMBER(I3880), I3880&gt;0), M3880/I3880, "")</f>
        <v/>
      </c>
    </row>
    <row r="3881">
      <c r="A3881" s="19" t="inlineStr">
        <is>
          <t>FY27</t>
        </is>
      </c>
      <c r="B3881" s="19" t="inlineStr">
        <is>
          <t>Sep</t>
        </is>
      </c>
      <c r="C3881" s="19" t="inlineStr">
        <is>
          <t>Kerala</t>
        </is>
      </c>
      <c r="D3881" s="20" t="inlineStr">
        <is>
          <t>KL16R7655</t>
        </is>
      </c>
      <c r="E3881" s="20" t="inlineStr">
        <is>
          <t>RENAULT</t>
        </is>
      </c>
      <c r="F3881" s="20" t="inlineStr">
        <is>
          <t>Kwid</t>
        </is>
      </c>
      <c r="G3881" s="21" t="n"/>
      <c r="H3881" s="22" t="n">
        <v>53000</v>
      </c>
      <c r="I3881" s="23" t="n">
        <v>208000</v>
      </c>
      <c r="J3881" s="20" t="inlineStr">
        <is>
          <t>SARATHY NEXA</t>
        </is>
      </c>
      <c r="K3881" s="20" t="inlineStr">
        <is>
          <t>Non-Captive</t>
        </is>
      </c>
      <c r="L3881" s="20" t="inlineStr">
        <is>
          <t>Sajin Satheesan</t>
        </is>
      </c>
      <c r="M3881" s="23" t="n">
        <v>6779.66</v>
      </c>
      <c r="N3881" s="23" t="n">
        <v>8000</v>
      </c>
      <c r="O3881" s="24">
        <f>IF(AND(ISNUMBER(M3881), ISNUMBER(I3881), I3881&gt;0), M3881/I3881, "")</f>
        <v/>
      </c>
    </row>
    <row r="3882">
      <c r="A3882" s="19" t="inlineStr">
        <is>
          <t>FY27</t>
        </is>
      </c>
      <c r="B3882" s="19" t="inlineStr">
        <is>
          <t>Sep</t>
        </is>
      </c>
      <c r="C3882" s="19" t="inlineStr">
        <is>
          <t>Kerala</t>
        </is>
      </c>
      <c r="D3882" s="20" t="inlineStr">
        <is>
          <t>KL17F2083</t>
        </is>
      </c>
      <c r="E3882" s="20" t="inlineStr">
        <is>
          <t>TATA</t>
        </is>
      </c>
      <c r="F3882" s="20" t="inlineStr">
        <is>
          <t>Indigo</t>
        </is>
      </c>
      <c r="G3882" s="21" t="n"/>
      <c r="H3882" s="22" t="n">
        <v>79918</v>
      </c>
      <c r="I3882" s="23" t="n">
        <v>32000</v>
      </c>
      <c r="J3882" s="20" t="inlineStr">
        <is>
          <t>POPULAR MARUTI</t>
        </is>
      </c>
      <c r="K3882" s="20" t="inlineStr">
        <is>
          <t>Non-Captive</t>
        </is>
      </c>
      <c r="L3882" s="20" t="inlineStr">
        <is>
          <t>Abdul Salam P U</t>
        </is>
      </c>
      <c r="M3882" s="23" t="n">
        <v>5932.2</v>
      </c>
      <c r="N3882" s="23" t="n">
        <v>7000</v>
      </c>
      <c r="O3882" s="24">
        <f>IF(AND(ISNUMBER(M3882), ISNUMBER(I3882), I3882&gt;0), M3882/I3882, "")</f>
        <v/>
      </c>
    </row>
    <row r="3883">
      <c r="A3883" s="19" t="inlineStr">
        <is>
          <t>FY27</t>
        </is>
      </c>
      <c r="B3883" s="19" t="inlineStr">
        <is>
          <t>Sep</t>
        </is>
      </c>
      <c r="C3883" s="19" t="inlineStr">
        <is>
          <t>Kerala</t>
        </is>
      </c>
      <c r="D3883" s="20" t="inlineStr">
        <is>
          <t>KL17P0641</t>
        </is>
      </c>
      <c r="E3883" s="20" t="inlineStr">
        <is>
          <t>RENAULT</t>
        </is>
      </c>
      <c r="F3883" s="20" t="inlineStr">
        <is>
          <t>Duster</t>
        </is>
      </c>
      <c r="G3883" s="21" t="n"/>
      <c r="H3883" s="22" t="n">
        <v>80000</v>
      </c>
      <c r="I3883" s="23" t="n">
        <v>385000</v>
      </c>
      <c r="J3883" s="20" t="inlineStr">
        <is>
          <t>ALBIN JOSE</t>
        </is>
      </c>
      <c r="K3883" s="20" t="inlineStr">
        <is>
          <t>Non-Captive</t>
        </is>
      </c>
      <c r="L3883" s="20" t="inlineStr">
        <is>
          <t>Abdul Salam P U</t>
        </is>
      </c>
      <c r="M3883" s="23" t="n">
        <v>8474.58</v>
      </c>
      <c r="N3883" s="23" t="n">
        <v>10000</v>
      </c>
      <c r="O3883" s="24">
        <f>IF(AND(ISNUMBER(M3883), ISNUMBER(I3883), I3883&gt;0), M3883/I3883, "")</f>
        <v/>
      </c>
    </row>
    <row r="3884">
      <c r="A3884" s="19" t="inlineStr">
        <is>
          <t>FY27</t>
        </is>
      </c>
      <c r="B3884" s="19" t="inlineStr">
        <is>
          <t>Sep</t>
        </is>
      </c>
      <c r="C3884" s="19" t="inlineStr">
        <is>
          <t>Kerala</t>
        </is>
      </c>
      <c r="D3884" s="20" t="inlineStr">
        <is>
          <t>KL18AD8907</t>
        </is>
      </c>
      <c r="E3884" s="20" t="inlineStr">
        <is>
          <t>RENAULT</t>
        </is>
      </c>
      <c r="F3884" s="20" t="inlineStr">
        <is>
          <t>Kwid</t>
        </is>
      </c>
      <c r="G3884" s="21" t="n"/>
      <c r="H3884" s="22" t="n">
        <v>133000</v>
      </c>
      <c r="I3884" s="23" t="n">
        <v>260000</v>
      </c>
      <c r="J3884" s="20" t="inlineStr">
        <is>
          <t>AMANA TOYOTA</t>
        </is>
      </c>
      <c r="K3884" s="20" t="inlineStr">
        <is>
          <t>Non-Captive</t>
        </is>
      </c>
      <c r="L3884" s="20" t="inlineStr">
        <is>
          <t>Nisha Mary Mathew</t>
        </is>
      </c>
      <c r="M3884" s="23" t="n">
        <v>8474.58</v>
      </c>
      <c r="N3884" s="23" t="n">
        <v>10000</v>
      </c>
      <c r="O3884" s="24">
        <f>IF(AND(ISNUMBER(M3884), ISNUMBER(I3884), I3884&gt;0), M3884/I3884, "")</f>
        <v/>
      </c>
    </row>
    <row r="3885">
      <c r="A3885" s="19" t="inlineStr">
        <is>
          <t>FY27</t>
        </is>
      </c>
      <c r="B3885" s="19" t="inlineStr">
        <is>
          <t>Sep</t>
        </is>
      </c>
      <c r="C3885" s="19" t="inlineStr">
        <is>
          <t>Kerala</t>
        </is>
      </c>
      <c r="D3885" s="20" t="inlineStr">
        <is>
          <t>KL18K3918</t>
        </is>
      </c>
      <c r="E3885" s="20" t="inlineStr">
        <is>
          <t>MARUTI SUZUKI</t>
        </is>
      </c>
      <c r="F3885" s="20" t="inlineStr">
        <is>
          <t>Alto</t>
        </is>
      </c>
      <c r="G3885" s="21" t="n"/>
      <c r="H3885" s="22" t="n">
        <v>77000</v>
      </c>
      <c r="I3885" s="23" t="n">
        <v>135000</v>
      </c>
      <c r="J3885" s="20" t="inlineStr">
        <is>
          <t>KVR TATA</t>
        </is>
      </c>
      <c r="K3885" s="20" t="inlineStr">
        <is>
          <t>Non-Captive</t>
        </is>
      </c>
      <c r="L3885" s="20" t="inlineStr">
        <is>
          <t>Kannur Platinum Drive</t>
        </is>
      </c>
      <c r="M3885" s="23" t="n">
        <v>5932.2</v>
      </c>
      <c r="N3885" s="23" t="n">
        <v>7000</v>
      </c>
      <c r="O3885" s="24">
        <f>IF(AND(ISNUMBER(M3885), ISNUMBER(I3885), I3885&gt;0), M3885/I3885, "")</f>
        <v/>
      </c>
    </row>
    <row r="3886">
      <c r="A3886" s="19" t="inlineStr">
        <is>
          <t>FY27</t>
        </is>
      </c>
      <c r="B3886" s="19" t="inlineStr">
        <is>
          <t>Sep</t>
        </is>
      </c>
      <c r="C3886" s="19" t="inlineStr">
        <is>
          <t>Kerala</t>
        </is>
      </c>
      <c r="D3886" s="20" t="inlineStr">
        <is>
          <t>KL206195</t>
        </is>
      </c>
      <c r="E3886" s="20" t="inlineStr">
        <is>
          <t>MARUTI SUZUKI</t>
        </is>
      </c>
      <c r="F3886" s="20" t="inlineStr">
        <is>
          <t>Wagon R</t>
        </is>
      </c>
      <c r="G3886" s="21" t="n"/>
      <c r="H3886" s="22" t="n">
        <v>183000</v>
      </c>
      <c r="I3886" s="23" t="n">
        <v>65000</v>
      </c>
      <c r="J3886" s="20" t="inlineStr">
        <is>
          <t>ABHISHEK</t>
        </is>
      </c>
      <c r="K3886" s="20" t="inlineStr">
        <is>
          <t>Non-Captive</t>
        </is>
      </c>
      <c r="L3886" s="20" t="inlineStr">
        <is>
          <t>Prajod</t>
        </is>
      </c>
      <c r="M3886" s="23" t="n">
        <v>4237.29</v>
      </c>
      <c r="N3886" s="23" t="n">
        <v>5000</v>
      </c>
      <c r="O3886" s="24">
        <f>IF(AND(ISNUMBER(M3886), ISNUMBER(I3886), I3886&gt;0), M3886/I3886, "")</f>
        <v/>
      </c>
    </row>
    <row r="3887">
      <c r="A3887" s="19" t="inlineStr">
        <is>
          <t>FY27</t>
        </is>
      </c>
      <c r="B3887" s="19" t="inlineStr">
        <is>
          <t>Sep</t>
        </is>
      </c>
      <c r="C3887" s="19" t="inlineStr">
        <is>
          <t>Kerala</t>
        </is>
      </c>
      <c r="D3887" s="20" t="inlineStr">
        <is>
          <t>KL21J8951</t>
        </is>
      </c>
      <c r="E3887" s="20" t="inlineStr">
        <is>
          <t>MARUTI SUZUKI</t>
        </is>
      </c>
      <c r="F3887" s="20" t="inlineStr">
        <is>
          <t>Alto</t>
        </is>
      </c>
      <c r="G3887" s="21" t="n"/>
      <c r="H3887" s="22" t="n">
        <v>74000</v>
      </c>
      <c r="I3887" s="23" t="n">
        <v>137000</v>
      </c>
      <c r="J3887" s="20" t="inlineStr">
        <is>
          <t>INCHEON KIA</t>
        </is>
      </c>
      <c r="K3887" s="20" t="inlineStr">
        <is>
          <t>Non-Captive</t>
        </is>
      </c>
      <c r="L3887" s="20" t="inlineStr">
        <is>
          <t>Clind</t>
        </is>
      </c>
      <c r="M3887" s="23" t="n">
        <v>5932.2</v>
      </c>
      <c r="N3887" s="23" t="n">
        <v>7000</v>
      </c>
      <c r="O3887" s="24">
        <f>IF(AND(ISNUMBER(M3887), ISNUMBER(I3887), I3887&gt;0), M3887/I3887, "")</f>
        <v/>
      </c>
    </row>
    <row r="3888">
      <c r="A3888" s="19" t="inlineStr">
        <is>
          <t>FY27</t>
        </is>
      </c>
      <c r="B3888" s="19" t="inlineStr">
        <is>
          <t>Sep</t>
        </is>
      </c>
      <c r="C3888" s="19" t="inlineStr">
        <is>
          <t>Kerala</t>
        </is>
      </c>
      <c r="D3888" s="20" t="inlineStr">
        <is>
          <t>KL21P2214</t>
        </is>
      </c>
      <c r="E3888" s="20" t="inlineStr">
        <is>
          <t>MARUTI SUZUKI</t>
        </is>
      </c>
      <c r="F3888" s="20" t="inlineStr">
        <is>
          <t>Wagon R</t>
        </is>
      </c>
      <c r="G3888" s="21" t="n"/>
      <c r="H3888" s="22" t="n">
        <v>125000</v>
      </c>
      <c r="I3888" s="23" t="n">
        <v>225000</v>
      </c>
      <c r="J3888" s="20" t="inlineStr">
        <is>
          <t>POPULAR MARUTI</t>
        </is>
      </c>
      <c r="K3888" s="20" t="inlineStr">
        <is>
          <t>Non-Captive</t>
        </is>
      </c>
      <c r="L3888" s="20" t="inlineStr">
        <is>
          <t>Jobin S George</t>
        </is>
      </c>
      <c r="M3888" s="23" t="n">
        <v>8474.58</v>
      </c>
      <c r="N3888" s="23" t="n">
        <v>10000</v>
      </c>
      <c r="O3888" s="24">
        <f>IF(AND(ISNUMBER(M3888), ISNUMBER(I3888), I3888&gt;0), M3888/I3888, "")</f>
        <v/>
      </c>
    </row>
    <row r="3889">
      <c r="A3889" s="19" t="inlineStr">
        <is>
          <t>FY27</t>
        </is>
      </c>
      <c r="B3889" s="19" t="inlineStr">
        <is>
          <t>Sep</t>
        </is>
      </c>
      <c r="C3889" s="19" t="inlineStr">
        <is>
          <t>Kerala</t>
        </is>
      </c>
      <c r="D3889" s="20" t="inlineStr">
        <is>
          <t>KL21W5365</t>
        </is>
      </c>
      <c r="E3889" s="20" t="inlineStr">
        <is>
          <t>TATA</t>
        </is>
      </c>
      <c r="F3889" s="20" t="inlineStr">
        <is>
          <t>Ultra</t>
        </is>
      </c>
      <c r="G3889" s="21" t="n"/>
      <c r="H3889" s="22" t="n">
        <v>205000</v>
      </c>
      <c r="I3889" s="23" t="n">
        <v>1170000</v>
      </c>
      <c r="J3889" s="20" t="inlineStr">
        <is>
          <t>DILEEP KUMAR(AJ ENTERPRISES)</t>
        </is>
      </c>
      <c r="K3889" s="20" t="inlineStr">
        <is>
          <t>Non-Captive</t>
        </is>
      </c>
      <c r="L3889" s="20" t="inlineStr">
        <is>
          <t>Mohith,Garuda Trucks</t>
        </is>
      </c>
      <c r="M3889" s="23" t="n">
        <v>16949.15</v>
      </c>
      <c r="N3889" s="23" t="n">
        <v>20000</v>
      </c>
      <c r="O3889" s="24">
        <f>IF(AND(ISNUMBER(M3889), ISNUMBER(I3889), I3889&gt;0), M3889/I3889, "")</f>
        <v/>
      </c>
    </row>
    <row r="3890">
      <c r="A3890" s="19" t="inlineStr">
        <is>
          <t>FY27</t>
        </is>
      </c>
      <c r="B3890" s="19" t="inlineStr">
        <is>
          <t>Sep</t>
        </is>
      </c>
      <c r="C3890" s="19" t="inlineStr">
        <is>
          <t>Kerala</t>
        </is>
      </c>
      <c r="D3890" s="20" t="inlineStr">
        <is>
          <t>KL229714</t>
        </is>
      </c>
      <c r="E3890" s="20" t="inlineStr">
        <is>
          <t>HYUNDAI</t>
        </is>
      </c>
      <c r="F3890" s="20" t="inlineStr">
        <is>
          <t>Santro</t>
        </is>
      </c>
      <c r="G3890" s="21" t="n"/>
      <c r="H3890" s="22" t="n">
        <v>60000</v>
      </c>
      <c r="I3890" s="23" t="n">
        <v>50000</v>
      </c>
      <c r="J3890" s="20" t="inlineStr">
        <is>
          <t>POPULAR MARUTI</t>
        </is>
      </c>
      <c r="K3890" s="20" t="inlineStr">
        <is>
          <t>Non-Captive</t>
        </is>
      </c>
      <c r="L3890" s="20" t="inlineStr">
        <is>
          <t>Gireesh Kumar V</t>
        </is>
      </c>
      <c r="M3890" s="23" t="n">
        <v>8474.58</v>
      </c>
      <c r="N3890" s="23" t="n">
        <v>10000</v>
      </c>
      <c r="O3890" s="24">
        <f>IF(AND(ISNUMBER(M3890), ISNUMBER(I3890), I3890&gt;0), M3890/I3890, "")</f>
        <v/>
      </c>
    </row>
    <row r="3891">
      <c r="A3891" s="19" t="inlineStr">
        <is>
          <t>FY27</t>
        </is>
      </c>
      <c r="B3891" s="19" t="inlineStr">
        <is>
          <t>Sep</t>
        </is>
      </c>
      <c r="C3891" s="19" t="inlineStr">
        <is>
          <t>Kerala</t>
        </is>
      </c>
      <c r="D3891" s="20" t="inlineStr">
        <is>
          <t>KL22A9324</t>
        </is>
      </c>
      <c r="E3891" s="20" t="inlineStr">
        <is>
          <t>MARUTI SUZUKI</t>
        </is>
      </c>
      <c r="F3891" s="20" t="inlineStr">
        <is>
          <t>Wagon R</t>
        </is>
      </c>
      <c r="G3891" s="21" t="n"/>
      <c r="H3891" s="22" t="n">
        <v>110000</v>
      </c>
      <c r="I3891" s="23" t="n">
        <v>81000</v>
      </c>
      <c r="J3891" s="20" t="inlineStr">
        <is>
          <t>POPULAR MARUTI</t>
        </is>
      </c>
      <c r="K3891" s="20" t="inlineStr">
        <is>
          <t>Non-Captive</t>
        </is>
      </c>
      <c r="L3891" s="20" t="inlineStr">
        <is>
          <t>Sherin P S</t>
        </is>
      </c>
      <c r="M3891" s="23" t="n">
        <v>7203.39</v>
      </c>
      <c r="N3891" s="23" t="n">
        <v>8500</v>
      </c>
      <c r="O3891" s="24">
        <f>IF(AND(ISNUMBER(M3891), ISNUMBER(I3891), I3891&gt;0), M3891/I3891, "")</f>
        <v/>
      </c>
    </row>
    <row r="3892">
      <c r="A3892" s="19" t="inlineStr">
        <is>
          <t>FY27</t>
        </is>
      </c>
      <c r="B3892" s="19" t="inlineStr">
        <is>
          <t>Sep</t>
        </is>
      </c>
      <c r="C3892" s="19" t="inlineStr">
        <is>
          <t>Kerala</t>
        </is>
      </c>
      <c r="D3892" s="20" t="inlineStr">
        <is>
          <t>KL22E1931</t>
        </is>
      </c>
      <c r="E3892" s="20" t="inlineStr">
        <is>
          <t>MARUTI SUZUKI</t>
        </is>
      </c>
      <c r="F3892" s="20" t="inlineStr">
        <is>
          <t>Alto K10</t>
        </is>
      </c>
      <c r="G3892" s="21" t="n"/>
      <c r="H3892" s="22" t="n">
        <v>61600</v>
      </c>
      <c r="I3892" s="23" t="n">
        <v>80000</v>
      </c>
      <c r="J3892" s="20" t="inlineStr">
        <is>
          <t>INDUS MARUTI</t>
        </is>
      </c>
      <c r="K3892" s="20" t="inlineStr">
        <is>
          <t>Non-Captive</t>
        </is>
      </c>
      <c r="L3892" s="20" t="inlineStr">
        <is>
          <t>Abhishek</t>
        </is>
      </c>
      <c r="M3892" s="23" t="n">
        <v>8474.58</v>
      </c>
      <c r="N3892" s="23" t="n">
        <v>10000</v>
      </c>
      <c r="O3892" s="24">
        <f>IF(AND(ISNUMBER(M3892), ISNUMBER(I3892), I3892&gt;0), M3892/I3892, "")</f>
        <v/>
      </c>
    </row>
    <row r="3893">
      <c r="A3893" s="19" t="inlineStr">
        <is>
          <t>FY27</t>
        </is>
      </c>
      <c r="B3893" s="19" t="inlineStr">
        <is>
          <t>Sep</t>
        </is>
      </c>
      <c r="C3893" s="19" t="inlineStr">
        <is>
          <t>Kerala</t>
        </is>
      </c>
      <c r="D3893" s="20" t="inlineStr">
        <is>
          <t>KL22E5218</t>
        </is>
      </c>
      <c r="E3893" s="20" t="inlineStr">
        <is>
          <t>HYUNDAI</t>
        </is>
      </c>
      <c r="F3893" s="20" t="inlineStr">
        <is>
          <t>Eon</t>
        </is>
      </c>
      <c r="G3893" s="21" t="n"/>
      <c r="H3893" s="22" t="n">
        <v>80220</v>
      </c>
      <c r="I3893" s="23" t="n">
        <v>95000</v>
      </c>
      <c r="J3893" s="20" t="inlineStr">
        <is>
          <t>SS MAHINDRA</t>
        </is>
      </c>
      <c r="K3893" s="20" t="inlineStr">
        <is>
          <t>Non-Captive</t>
        </is>
      </c>
      <c r="L3893" s="20" t="inlineStr">
        <is>
          <t>Maxxmotors</t>
        </is>
      </c>
      <c r="M3893" s="23" t="n">
        <v>4237.29</v>
      </c>
      <c r="N3893" s="23" t="n">
        <v>5000</v>
      </c>
      <c r="O3893" s="24">
        <f>IF(AND(ISNUMBER(M3893), ISNUMBER(I3893), I3893&gt;0), M3893/I3893, "")</f>
        <v/>
      </c>
    </row>
    <row r="3894">
      <c r="A3894" s="19" t="inlineStr">
        <is>
          <t>FY27</t>
        </is>
      </c>
      <c r="B3894" s="19" t="inlineStr">
        <is>
          <t>Sep</t>
        </is>
      </c>
      <c r="C3894" s="19" t="inlineStr">
        <is>
          <t>Kerala</t>
        </is>
      </c>
      <c r="D3894" s="20" t="inlineStr">
        <is>
          <t>KL22G5661</t>
        </is>
      </c>
      <c r="E3894" s="20" t="inlineStr">
        <is>
          <t>CHEVROLET</t>
        </is>
      </c>
      <c r="F3894" s="20" t="inlineStr">
        <is>
          <t>Beat</t>
        </is>
      </c>
      <c r="G3894" s="21" t="n"/>
      <c r="H3894" s="22" t="n">
        <v>67662</v>
      </c>
      <c r="I3894" s="23" t="n">
        <v>110000</v>
      </c>
      <c r="J3894" s="20" t="inlineStr">
        <is>
          <t>EVM CITROEN</t>
        </is>
      </c>
      <c r="K3894" s="20" t="inlineStr">
        <is>
          <t>Non-Captive</t>
        </is>
      </c>
      <c r="L3894" s="20" t="inlineStr">
        <is>
          <t>Maxx Motors</t>
        </is>
      </c>
      <c r="M3894" s="23" t="n">
        <v>8474.58</v>
      </c>
      <c r="N3894" s="23" t="n">
        <v>10000</v>
      </c>
      <c r="O3894" s="24">
        <f>IF(AND(ISNUMBER(M3894), ISNUMBER(I3894), I3894&gt;0), M3894/I3894, "")</f>
        <v/>
      </c>
    </row>
    <row r="3895">
      <c r="A3895" s="19" t="inlineStr">
        <is>
          <t>FY27</t>
        </is>
      </c>
      <c r="B3895" s="19" t="inlineStr">
        <is>
          <t>Sep</t>
        </is>
      </c>
      <c r="C3895" s="19" t="inlineStr">
        <is>
          <t>Kerala</t>
        </is>
      </c>
      <c r="D3895" s="20" t="inlineStr">
        <is>
          <t>KL22H4814</t>
        </is>
      </c>
      <c r="E3895" s="20" t="inlineStr">
        <is>
          <t>MARUTI SUZUKI</t>
        </is>
      </c>
      <c r="F3895" s="20" t="inlineStr">
        <is>
          <t>Wagon R</t>
        </is>
      </c>
      <c r="G3895" s="21" t="n"/>
      <c r="H3895" s="22" t="n">
        <v>70300</v>
      </c>
      <c r="I3895" s="23" t="n">
        <v>250000</v>
      </c>
      <c r="J3895" s="20" t="inlineStr">
        <is>
          <t>ABHILASH</t>
        </is>
      </c>
      <c r="K3895" s="20" t="inlineStr">
        <is>
          <t>Non-Captive</t>
        </is>
      </c>
      <c r="L3895" s="20" t="inlineStr">
        <is>
          <t>Kishore</t>
        </is>
      </c>
      <c r="M3895" s="23" t="n">
        <v>8474.58</v>
      </c>
      <c r="N3895" s="23" t="n">
        <v>10000</v>
      </c>
      <c r="O3895" s="24">
        <f>IF(AND(ISNUMBER(M3895), ISNUMBER(I3895), I3895&gt;0), M3895/I3895, "")</f>
        <v/>
      </c>
    </row>
    <row r="3896">
      <c r="A3896" s="19" t="inlineStr">
        <is>
          <t>FY27</t>
        </is>
      </c>
      <c r="B3896" s="19" t="inlineStr">
        <is>
          <t>Sep</t>
        </is>
      </c>
      <c r="C3896" s="19" t="inlineStr">
        <is>
          <t>Kerala</t>
        </is>
      </c>
      <c r="D3896" s="20" t="inlineStr">
        <is>
          <t>KL23A9008</t>
        </is>
      </c>
      <c r="E3896" s="20" t="inlineStr">
        <is>
          <t>HYUNDAI</t>
        </is>
      </c>
      <c r="F3896" s="20" t="inlineStr">
        <is>
          <t>Santro</t>
        </is>
      </c>
      <c r="G3896" s="21" t="n"/>
      <c r="H3896" s="22" t="n">
        <v>77867</v>
      </c>
      <c r="I3896" s="23" t="n">
        <v>53000</v>
      </c>
      <c r="J3896" s="20" t="inlineStr">
        <is>
          <t>POPULAR MARUTI</t>
        </is>
      </c>
      <c r="K3896" s="20" t="inlineStr">
        <is>
          <t>Non-Captive</t>
        </is>
      </c>
      <c r="L3896" s="20" t="inlineStr">
        <is>
          <t>Arun Prasad</t>
        </is>
      </c>
      <c r="M3896" s="23" t="n">
        <v>6779.66</v>
      </c>
      <c r="N3896" s="23" t="n">
        <v>8000</v>
      </c>
      <c r="O3896" s="24">
        <f>IF(AND(ISNUMBER(M3896), ISNUMBER(I3896), I3896&gt;0), M3896/I3896, "")</f>
        <v/>
      </c>
    </row>
    <row r="3897">
      <c r="A3897" s="19" t="inlineStr">
        <is>
          <t>FY27</t>
        </is>
      </c>
      <c r="B3897" s="19" t="inlineStr">
        <is>
          <t>Sep</t>
        </is>
      </c>
      <c r="C3897" s="19" t="inlineStr">
        <is>
          <t>Kerala</t>
        </is>
      </c>
      <c r="D3897" s="20" t="inlineStr">
        <is>
          <t>KL24A4445</t>
        </is>
      </c>
      <c r="E3897" s="20" t="inlineStr">
        <is>
          <t>MARUTI SUZUKI</t>
        </is>
      </c>
      <c r="F3897" s="20" t="inlineStr">
        <is>
          <t>Alto</t>
        </is>
      </c>
      <c r="G3897" s="21" t="n"/>
      <c r="H3897" s="22" t="n">
        <v>119887</v>
      </c>
      <c r="I3897" s="23" t="n">
        <v>70000</v>
      </c>
      <c r="J3897" s="20" t="inlineStr">
        <is>
          <t>LUXON TATA</t>
        </is>
      </c>
      <c r="K3897" s="20" t="inlineStr">
        <is>
          <t>Non-Captive</t>
        </is>
      </c>
      <c r="L3897" s="20" t="inlineStr">
        <is>
          <t>Shahar T</t>
        </is>
      </c>
      <c r="M3897" s="23" t="n">
        <v>4237.29</v>
      </c>
      <c r="N3897" s="23" t="n">
        <v>5000</v>
      </c>
      <c r="O3897" s="24">
        <f>IF(AND(ISNUMBER(M3897), ISNUMBER(I3897), I3897&gt;0), M3897/I3897, "")</f>
        <v/>
      </c>
    </row>
    <row r="3898">
      <c r="A3898" s="19" t="inlineStr">
        <is>
          <t>FY27</t>
        </is>
      </c>
      <c r="B3898" s="19" t="inlineStr">
        <is>
          <t>Sep</t>
        </is>
      </c>
      <c r="C3898" s="19" t="inlineStr">
        <is>
          <t>Kerala</t>
        </is>
      </c>
      <c r="D3898" s="20" t="inlineStr">
        <is>
          <t>KL24G9165</t>
        </is>
      </c>
      <c r="E3898" s="20" t="inlineStr">
        <is>
          <t>MARUTI SUZUKI</t>
        </is>
      </c>
      <c r="F3898" s="20" t="inlineStr">
        <is>
          <t>Wagon R</t>
        </is>
      </c>
      <c r="G3898" s="21" t="n"/>
      <c r="H3898" s="22" t="n">
        <v>97900</v>
      </c>
      <c r="I3898" s="23" t="n">
        <v>190000</v>
      </c>
      <c r="J3898" s="20" t="inlineStr">
        <is>
          <t>POPULAR MARUTI</t>
        </is>
      </c>
      <c r="K3898" s="20" t="inlineStr">
        <is>
          <t>Non-Captive</t>
        </is>
      </c>
      <c r="L3898" s="20" t="inlineStr">
        <is>
          <t>Bijeshlal</t>
        </is>
      </c>
      <c r="M3898" s="23" t="n">
        <v>8474.58</v>
      </c>
      <c r="N3898" s="23" t="n">
        <v>10000</v>
      </c>
      <c r="O3898" s="24">
        <f>IF(AND(ISNUMBER(M3898), ISNUMBER(I3898), I3898&gt;0), M3898/I3898, "")</f>
        <v/>
      </c>
    </row>
    <row r="3899">
      <c r="A3899" s="19" t="inlineStr">
        <is>
          <t>FY27</t>
        </is>
      </c>
      <c r="B3899" s="19" t="inlineStr">
        <is>
          <t>Sep</t>
        </is>
      </c>
      <c r="C3899" s="19" t="inlineStr">
        <is>
          <t>Kerala</t>
        </is>
      </c>
      <c r="D3899" s="20" t="inlineStr">
        <is>
          <t>KL24J1616</t>
        </is>
      </c>
      <c r="E3899" s="20" t="inlineStr">
        <is>
          <t>HONDA</t>
        </is>
      </c>
      <c r="F3899" s="20" t="inlineStr">
        <is>
          <t>Amaze</t>
        </is>
      </c>
      <c r="G3899" s="21" t="n"/>
      <c r="H3899" s="22" t="n">
        <v>123422</v>
      </c>
      <c r="I3899" s="23" t="n">
        <v>175000</v>
      </c>
      <c r="J3899" s="20" t="inlineStr">
        <is>
          <t>ALBIN JOSE</t>
        </is>
      </c>
      <c r="K3899" s="20" t="inlineStr">
        <is>
          <t>Non-Captive</t>
        </is>
      </c>
      <c r="L3899" s="20" t="inlineStr">
        <is>
          <t>Ashraf T A</t>
        </is>
      </c>
      <c r="M3899" s="23" t="n">
        <v>8474.58</v>
      </c>
      <c r="N3899" s="23" t="n">
        <v>10000</v>
      </c>
      <c r="O3899" s="24">
        <f>IF(AND(ISNUMBER(M3899), ISNUMBER(I3899), I3899&gt;0), M3899/I3899, "")</f>
        <v/>
      </c>
    </row>
    <row r="3900">
      <c r="A3900" s="19" t="inlineStr">
        <is>
          <t>FY27</t>
        </is>
      </c>
      <c r="B3900" s="19" t="inlineStr">
        <is>
          <t>Sep</t>
        </is>
      </c>
      <c r="C3900" s="19" t="inlineStr">
        <is>
          <t>Kerala</t>
        </is>
      </c>
      <c r="D3900" s="20" t="inlineStr">
        <is>
          <t>KL24N7552</t>
        </is>
      </c>
      <c r="E3900" s="20" t="inlineStr">
        <is>
          <t>HYUNDAI</t>
        </is>
      </c>
      <c r="F3900" s="20" t="inlineStr">
        <is>
          <t>Eon</t>
        </is>
      </c>
      <c r="G3900" s="21" t="n"/>
      <c r="H3900" s="22" t="n">
        <v>141000</v>
      </c>
      <c r="I3900" s="23" t="n">
        <v>135000</v>
      </c>
      <c r="J3900" s="20" t="inlineStr">
        <is>
          <t>POPULAR MARUTI</t>
        </is>
      </c>
      <c r="K3900" s="20" t="inlineStr">
        <is>
          <t>Non-Captive</t>
        </is>
      </c>
      <c r="L3900" s="20" t="inlineStr">
        <is>
          <t>Sherin P S</t>
        </is>
      </c>
      <c r="M3900" s="23" t="n">
        <v>8474.58</v>
      </c>
      <c r="N3900" s="23" t="n">
        <v>10000</v>
      </c>
      <c r="O3900" s="24">
        <f>IF(AND(ISNUMBER(M3900), ISNUMBER(I3900), I3900&gt;0), M3900/I3900, "")</f>
        <v/>
      </c>
    </row>
    <row r="3901">
      <c r="A3901" s="19" t="inlineStr">
        <is>
          <t>FY27</t>
        </is>
      </c>
      <c r="B3901" s="19" t="inlineStr">
        <is>
          <t>Sep</t>
        </is>
      </c>
      <c r="C3901" s="19" t="inlineStr">
        <is>
          <t>Kerala</t>
        </is>
      </c>
      <c r="D3901" s="20" t="inlineStr">
        <is>
          <t>KL25B9300</t>
        </is>
      </c>
      <c r="E3901" s="20" t="inlineStr">
        <is>
          <t>NISSAN</t>
        </is>
      </c>
      <c r="F3901" s="20" t="inlineStr">
        <is>
          <t>Micra</t>
        </is>
      </c>
      <c r="G3901" s="21" t="n"/>
      <c r="H3901" s="22" t="n">
        <v>184300</v>
      </c>
      <c r="I3901" s="23" t="n">
        <v>107000</v>
      </c>
      <c r="J3901" s="20" t="inlineStr">
        <is>
          <t>MARIKAR NISSAN</t>
        </is>
      </c>
      <c r="K3901" s="20" t="inlineStr">
        <is>
          <t>Non-Captive</t>
        </is>
      </c>
      <c r="L3901" s="20" t="inlineStr">
        <is>
          <t>Clind</t>
        </is>
      </c>
      <c r="M3901" s="23" t="n">
        <v>5932.2</v>
      </c>
      <c r="N3901" s="23" t="n">
        <v>7000</v>
      </c>
      <c r="O3901" s="24">
        <f>IF(AND(ISNUMBER(M3901), ISNUMBER(I3901), I3901&gt;0), M3901/I3901, "")</f>
        <v/>
      </c>
    </row>
    <row r="3902">
      <c r="A3902" s="19" t="inlineStr">
        <is>
          <t>FY27</t>
        </is>
      </c>
      <c r="B3902" s="19" t="inlineStr">
        <is>
          <t>Sep</t>
        </is>
      </c>
      <c r="C3902" s="19" t="inlineStr">
        <is>
          <t>Kerala</t>
        </is>
      </c>
      <c r="D3902" s="20" t="inlineStr">
        <is>
          <t>KL26E3983</t>
        </is>
      </c>
      <c r="E3902" s="20" t="inlineStr">
        <is>
          <t>TATA</t>
        </is>
      </c>
      <c r="F3902" s="20" t="inlineStr">
        <is>
          <t>Nano</t>
        </is>
      </c>
      <c r="G3902" s="21" t="n"/>
      <c r="H3902" s="22" t="n">
        <v>72610</v>
      </c>
      <c r="I3902" s="23" t="n">
        <v>22000</v>
      </c>
      <c r="J3902" s="20" t="inlineStr">
        <is>
          <t>POPULAR MARUTI</t>
        </is>
      </c>
      <c r="K3902" s="20" t="inlineStr">
        <is>
          <t>Non-Captive</t>
        </is>
      </c>
      <c r="L3902" s="20" t="inlineStr">
        <is>
          <t>Rajeev A C</t>
        </is>
      </c>
      <c r="M3902" s="23" t="n">
        <v>5932.2</v>
      </c>
      <c r="N3902" s="23" t="n">
        <v>7000</v>
      </c>
      <c r="O3902" s="24">
        <f>IF(AND(ISNUMBER(M3902), ISNUMBER(I3902), I3902&gt;0), M3902/I3902, "")</f>
        <v/>
      </c>
    </row>
    <row r="3903">
      <c r="A3903" s="19" t="inlineStr">
        <is>
          <t>FY27</t>
        </is>
      </c>
      <c r="B3903" s="19" t="inlineStr">
        <is>
          <t>Sep</t>
        </is>
      </c>
      <c r="C3903" s="19" t="inlineStr">
        <is>
          <t>Kerala</t>
        </is>
      </c>
      <c r="D3903" s="20" t="inlineStr">
        <is>
          <t>KL26H6349</t>
        </is>
      </c>
      <c r="E3903" s="20" t="inlineStr">
        <is>
          <t>HYUNDAI</t>
        </is>
      </c>
      <c r="F3903" s="20" t="inlineStr">
        <is>
          <t>i20</t>
        </is>
      </c>
      <c r="G3903" s="21" t="n"/>
      <c r="H3903" s="22" t="n">
        <v>59000</v>
      </c>
      <c r="I3903" s="23" t="n">
        <v>300000</v>
      </c>
      <c r="J3903" s="20" t="inlineStr">
        <is>
          <t>INDUS MARUTI</t>
        </is>
      </c>
      <c r="K3903" s="20" t="inlineStr">
        <is>
          <t>Non-Captive</t>
        </is>
      </c>
      <c r="L3903" s="20" t="inlineStr">
        <is>
          <t>Arnold</t>
        </is>
      </c>
      <c r="M3903" s="23" t="n">
        <v>8474.58</v>
      </c>
      <c r="N3903" s="23" t="n">
        <v>10000</v>
      </c>
      <c r="O3903" s="24">
        <f>IF(AND(ISNUMBER(M3903), ISNUMBER(I3903), I3903&gt;0), M3903/I3903, "")</f>
        <v/>
      </c>
    </row>
    <row r="3904">
      <c r="A3904" s="19" t="inlineStr">
        <is>
          <t>FY27</t>
        </is>
      </c>
      <c r="B3904" s="19" t="inlineStr">
        <is>
          <t>Sep</t>
        </is>
      </c>
      <c r="C3904" s="19" t="inlineStr">
        <is>
          <t>Kerala</t>
        </is>
      </c>
      <c r="D3904" s="20" t="inlineStr">
        <is>
          <t>KL26J7566</t>
        </is>
      </c>
      <c r="E3904" s="20" t="inlineStr">
        <is>
          <t>HYUNDAI</t>
        </is>
      </c>
      <c r="F3904" s="20" t="inlineStr">
        <is>
          <t>Eon</t>
        </is>
      </c>
      <c r="G3904" s="21" t="n"/>
      <c r="H3904" s="22" t="n">
        <v>78700</v>
      </c>
      <c r="I3904" s="23" t="n">
        <v>153000</v>
      </c>
      <c r="J3904" s="20" t="inlineStr">
        <is>
          <t>POPULAR MARUTI</t>
        </is>
      </c>
      <c r="K3904" s="20" t="inlineStr">
        <is>
          <t>Non-Captive</t>
        </is>
      </c>
      <c r="L3904" s="20" t="inlineStr">
        <is>
          <t>Sabu</t>
        </is>
      </c>
      <c r="M3904" s="23" t="n">
        <v>8474.58</v>
      </c>
      <c r="N3904" s="23" t="n">
        <v>10000</v>
      </c>
      <c r="O3904" s="24">
        <f>IF(AND(ISNUMBER(M3904), ISNUMBER(I3904), I3904&gt;0), M3904/I3904, "")</f>
        <v/>
      </c>
    </row>
    <row r="3905">
      <c r="A3905" s="19" t="inlineStr">
        <is>
          <t>FY27</t>
        </is>
      </c>
      <c r="B3905" s="19" t="inlineStr">
        <is>
          <t>Sep</t>
        </is>
      </c>
      <c r="C3905" s="19" t="inlineStr">
        <is>
          <t>Kerala</t>
        </is>
      </c>
      <c r="D3905" s="20" t="inlineStr">
        <is>
          <t>KL27D5464</t>
        </is>
      </c>
      <c r="E3905" s="20" t="inlineStr">
        <is>
          <t>MARUTI SUZUKI</t>
        </is>
      </c>
      <c r="F3905" s="20" t="inlineStr">
        <is>
          <t>Wagon R</t>
        </is>
      </c>
      <c r="G3905" s="21" t="n"/>
      <c r="H3905" s="22" t="n">
        <v>133000</v>
      </c>
      <c r="I3905" s="23" t="n">
        <v>185000</v>
      </c>
      <c r="J3905" s="20" t="inlineStr">
        <is>
          <t>KVR TATA</t>
        </is>
      </c>
      <c r="K3905" s="20" t="inlineStr">
        <is>
          <t>Non-Captive</t>
        </is>
      </c>
      <c r="L3905" s="20" t="inlineStr">
        <is>
          <t>N H Sameer</t>
        </is>
      </c>
      <c r="M3905" s="23" t="n">
        <v>8474.58</v>
      </c>
      <c r="N3905" s="23" t="n">
        <v>10000</v>
      </c>
      <c r="O3905" s="24">
        <f>IF(AND(ISNUMBER(M3905), ISNUMBER(I3905), I3905&gt;0), M3905/I3905, "")</f>
        <v/>
      </c>
    </row>
    <row r="3906">
      <c r="A3906" s="19" t="inlineStr">
        <is>
          <t>FY27</t>
        </is>
      </c>
      <c r="B3906" s="19" t="inlineStr">
        <is>
          <t>Sep</t>
        </is>
      </c>
      <c r="C3906" s="19" t="inlineStr">
        <is>
          <t>Kerala</t>
        </is>
      </c>
      <c r="D3906" s="20" t="inlineStr">
        <is>
          <t>KL29L3924</t>
        </is>
      </c>
      <c r="E3906" s="20" t="inlineStr">
        <is>
          <t>VOLKSWAGEN</t>
        </is>
      </c>
      <c r="F3906" s="20" t="inlineStr">
        <is>
          <t>Ameo</t>
        </is>
      </c>
      <c r="G3906" s="21" t="n"/>
      <c r="H3906" s="22" t="n">
        <v>123874</v>
      </c>
      <c r="I3906" s="23" t="n">
        <v>210000</v>
      </c>
      <c r="J3906" s="20" t="inlineStr">
        <is>
          <t>POPULAR MARUTI</t>
        </is>
      </c>
      <c r="K3906" s="20" t="inlineStr">
        <is>
          <t>Non-Captive</t>
        </is>
      </c>
      <c r="L3906" s="20" t="inlineStr">
        <is>
          <t>Muhammed Rafi</t>
        </is>
      </c>
      <c r="M3906" s="23" t="n">
        <v>8474.58</v>
      </c>
      <c r="N3906" s="23" t="n">
        <v>10000</v>
      </c>
      <c r="O3906" s="24">
        <f>IF(AND(ISNUMBER(M3906), ISNUMBER(I3906), I3906&gt;0), M3906/I3906, "")</f>
        <v/>
      </c>
    </row>
    <row r="3907">
      <c r="A3907" s="19" t="inlineStr">
        <is>
          <t>FY27</t>
        </is>
      </c>
      <c r="B3907" s="19" t="inlineStr">
        <is>
          <t>Sep</t>
        </is>
      </c>
      <c r="C3907" s="19" t="inlineStr">
        <is>
          <t>Kerala</t>
        </is>
      </c>
      <c r="D3907" s="20" t="inlineStr">
        <is>
          <t>KL30A2630</t>
        </is>
      </c>
      <c r="E3907" s="20" t="inlineStr">
        <is>
          <t>MARUTI SUZUKI</t>
        </is>
      </c>
      <c r="F3907" s="20" t="inlineStr">
        <is>
          <t>Wagon R</t>
        </is>
      </c>
      <c r="G3907" s="21" t="n"/>
      <c r="H3907" s="22" t="n">
        <v>191000</v>
      </c>
      <c r="I3907" s="23" t="n">
        <v>110000</v>
      </c>
      <c r="J3907" s="20" t="inlineStr">
        <is>
          <t>ALBIN JOSE</t>
        </is>
      </c>
      <c r="K3907" s="20" t="inlineStr">
        <is>
          <t>Non-Captive</t>
        </is>
      </c>
      <c r="L3907" s="20" t="inlineStr">
        <is>
          <t>Pramod C G</t>
        </is>
      </c>
      <c r="M3907" s="23" t="n">
        <v>8474.58</v>
      </c>
      <c r="N3907" s="23" t="n">
        <v>10000</v>
      </c>
      <c r="O3907" s="24">
        <f>IF(AND(ISNUMBER(M3907), ISNUMBER(I3907), I3907&gt;0), M3907/I3907, "")</f>
        <v/>
      </c>
    </row>
    <row r="3908">
      <c r="A3908" s="19" t="inlineStr">
        <is>
          <t>FY27</t>
        </is>
      </c>
      <c r="B3908" s="19" t="inlineStr">
        <is>
          <t>Sep</t>
        </is>
      </c>
      <c r="C3908" s="19" t="inlineStr">
        <is>
          <t>Kerala</t>
        </is>
      </c>
      <c r="D3908" s="20" t="inlineStr">
        <is>
          <t>KL30D5536</t>
        </is>
      </c>
      <c r="E3908" s="20" t="inlineStr">
        <is>
          <t>MARUTI SUZUKI</t>
        </is>
      </c>
      <c r="F3908" s="20" t="inlineStr">
        <is>
          <t>Wagon R</t>
        </is>
      </c>
      <c r="G3908" s="21" t="n"/>
      <c r="H3908" s="22" t="n">
        <v>43624</v>
      </c>
      <c r="I3908" s="23" t="n">
        <v>235000</v>
      </c>
      <c r="J3908" s="20" t="inlineStr">
        <is>
          <t>POPULAR VEHICLES</t>
        </is>
      </c>
      <c r="K3908" s="20" t="inlineStr">
        <is>
          <t>Non-Captive</t>
        </is>
      </c>
      <c r="L3908" s="20" t="inlineStr">
        <is>
          <t>Good Choice</t>
        </is>
      </c>
      <c r="M3908" s="23" t="n">
        <v>8474.58</v>
      </c>
      <c r="N3908" s="23" t="n">
        <v>10000</v>
      </c>
      <c r="O3908" s="24">
        <f>IF(AND(ISNUMBER(M3908), ISNUMBER(I3908), I3908&gt;0), M3908/I3908, "")</f>
        <v/>
      </c>
    </row>
    <row r="3909">
      <c r="A3909" s="19" t="inlineStr">
        <is>
          <t>FY27</t>
        </is>
      </c>
      <c r="B3909" s="19" t="inlineStr">
        <is>
          <t>Sep</t>
        </is>
      </c>
      <c r="C3909" s="19" t="inlineStr">
        <is>
          <t>Kerala</t>
        </is>
      </c>
      <c r="D3909" s="20" t="inlineStr">
        <is>
          <t>KL32F7160</t>
        </is>
      </c>
      <c r="E3909" s="20" t="inlineStr">
        <is>
          <t>HONDA</t>
        </is>
      </c>
      <c r="F3909" s="20" t="inlineStr">
        <is>
          <t>City</t>
        </is>
      </c>
      <c r="G3909" s="21" t="n"/>
      <c r="H3909" s="22" t="n">
        <v>171871</v>
      </c>
      <c r="I3909" s="23" t="n">
        <v>63000</v>
      </c>
      <c r="J3909" s="20" t="inlineStr">
        <is>
          <t>GOKULAM TATA</t>
        </is>
      </c>
      <c r="K3909" s="20" t="inlineStr">
        <is>
          <t>Non-Captive</t>
        </is>
      </c>
      <c r="L3909" s="20" t="inlineStr">
        <is>
          <t>Asharaf T A</t>
        </is>
      </c>
      <c r="M3909" s="23" t="n">
        <v>6779.66</v>
      </c>
      <c r="N3909" s="23" t="n">
        <v>8000</v>
      </c>
      <c r="O3909" s="24">
        <f>IF(AND(ISNUMBER(M3909), ISNUMBER(I3909), I3909&gt;0), M3909/I3909, "")</f>
        <v/>
      </c>
    </row>
    <row r="3910">
      <c r="A3910" s="19" t="inlineStr">
        <is>
          <t>FY27</t>
        </is>
      </c>
      <c r="B3910" s="19" t="inlineStr">
        <is>
          <t>Sep</t>
        </is>
      </c>
      <c r="C3910" s="19" t="inlineStr">
        <is>
          <t>Kerala</t>
        </is>
      </c>
      <c r="D3910" s="20" t="inlineStr">
        <is>
          <t>KL32J2653</t>
        </is>
      </c>
      <c r="E3910" s="20" t="inlineStr">
        <is>
          <t>HYUNDAI</t>
        </is>
      </c>
      <c r="F3910" s="20" t="inlineStr">
        <is>
          <t>Eon</t>
        </is>
      </c>
      <c r="G3910" s="21" t="n"/>
      <c r="H3910" s="22" t="n">
        <v>73566</v>
      </c>
      <c r="I3910" s="23" t="n">
        <v>145000</v>
      </c>
      <c r="J3910" s="20" t="inlineStr">
        <is>
          <t>INDUS MARUTI</t>
        </is>
      </c>
      <c r="K3910" s="20" t="inlineStr">
        <is>
          <t>Non-Captive</t>
        </is>
      </c>
      <c r="L3910" s="20" t="inlineStr">
        <is>
          <t>Abdul Salam K K</t>
        </is>
      </c>
      <c r="M3910" s="23" t="n">
        <v>8474.58</v>
      </c>
      <c r="N3910" s="23" t="n">
        <v>10000</v>
      </c>
      <c r="O3910" s="24">
        <f>IF(AND(ISNUMBER(M3910), ISNUMBER(I3910), I3910&gt;0), M3910/I3910, "")</f>
        <v/>
      </c>
    </row>
    <row r="3911">
      <c r="A3911" s="19" t="inlineStr">
        <is>
          <t>FY27</t>
        </is>
      </c>
      <c r="B3911" s="19" t="inlineStr">
        <is>
          <t>Sep</t>
        </is>
      </c>
      <c r="C3911" s="19" t="inlineStr">
        <is>
          <t>Kerala</t>
        </is>
      </c>
      <c r="D3911" s="20" t="inlineStr">
        <is>
          <t>KL32K6732</t>
        </is>
      </c>
      <c r="E3911" s="20" t="inlineStr">
        <is>
          <t>MARUTI SUZUKI</t>
        </is>
      </c>
      <c r="F3911" s="20" t="inlineStr">
        <is>
          <t>Alto 800</t>
        </is>
      </c>
      <c r="G3911" s="21" t="n"/>
      <c r="H3911" s="22" t="n">
        <v>83845</v>
      </c>
      <c r="I3911" s="23" t="n">
        <v>200000</v>
      </c>
      <c r="J3911" s="20" t="inlineStr">
        <is>
          <t>AUTOMOTIVE</t>
        </is>
      </c>
      <c r="K3911" s="20" t="inlineStr">
        <is>
          <t>Non-Captive</t>
        </is>
      </c>
      <c r="L3911" s="20" t="inlineStr">
        <is>
          <t>Umeshkumar T U</t>
        </is>
      </c>
      <c r="M3911" s="23" t="n">
        <v>8474.58</v>
      </c>
      <c r="N3911" s="23" t="n">
        <v>10000</v>
      </c>
      <c r="O3911" s="24">
        <f>IF(AND(ISNUMBER(M3911), ISNUMBER(I3911), I3911&gt;0), M3911/I3911, "")</f>
        <v/>
      </c>
    </row>
    <row r="3912">
      <c r="A3912" s="19" t="inlineStr">
        <is>
          <t>FY27</t>
        </is>
      </c>
      <c r="B3912" s="19" t="inlineStr">
        <is>
          <t>Sep</t>
        </is>
      </c>
      <c r="C3912" s="19" t="inlineStr">
        <is>
          <t>Kerala</t>
        </is>
      </c>
      <c r="D3912" s="20" t="inlineStr">
        <is>
          <t>KL32N0147</t>
        </is>
      </c>
      <c r="E3912" s="20" t="inlineStr">
        <is>
          <t>MARUTI SUZUKI</t>
        </is>
      </c>
      <c r="F3912" s="20" t="inlineStr">
        <is>
          <t>Alto 800</t>
        </is>
      </c>
      <c r="G3912" s="21" t="n"/>
      <c r="H3912" s="22" t="n">
        <v>46297</v>
      </c>
      <c r="I3912" s="23" t="n">
        <v>215000</v>
      </c>
      <c r="J3912" s="20" t="inlineStr">
        <is>
          <t>LUXON TATA</t>
        </is>
      </c>
      <c r="K3912" s="20" t="inlineStr">
        <is>
          <t>Non-Captive</t>
        </is>
      </c>
      <c r="L3912" s="20" t="inlineStr">
        <is>
          <t>Asharaf T A</t>
        </is>
      </c>
      <c r="M3912" s="23" t="n">
        <v>8474.58</v>
      </c>
      <c r="N3912" s="23" t="n">
        <v>10000</v>
      </c>
      <c r="O3912" s="24">
        <f>IF(AND(ISNUMBER(M3912), ISNUMBER(I3912), I3912&gt;0), M3912/I3912, "")</f>
        <v/>
      </c>
    </row>
    <row r="3913">
      <c r="A3913" s="19" t="inlineStr">
        <is>
          <t>FY27</t>
        </is>
      </c>
      <c r="B3913" s="19" t="inlineStr">
        <is>
          <t>Sep</t>
        </is>
      </c>
      <c r="C3913" s="19" t="inlineStr">
        <is>
          <t>Kerala</t>
        </is>
      </c>
      <c r="D3913" s="20" t="inlineStr">
        <is>
          <t>KL32P7009</t>
        </is>
      </c>
      <c r="E3913" s="20" t="inlineStr">
        <is>
          <t>MARUTI SUZUKI</t>
        </is>
      </c>
      <c r="F3913" s="20" t="inlineStr">
        <is>
          <t>Ertiga</t>
        </is>
      </c>
      <c r="G3913" s="21" t="n"/>
      <c r="H3913" s="22" t="n">
        <v>81406</v>
      </c>
      <c r="I3913" s="23" t="n">
        <v>720000</v>
      </c>
      <c r="J3913" s="20" t="inlineStr">
        <is>
          <t>INDUS MARUTI</t>
        </is>
      </c>
      <c r="K3913" s="20" t="inlineStr">
        <is>
          <t>Non-Captive</t>
        </is>
      </c>
      <c r="L3913" s="20" t="inlineStr">
        <is>
          <t>Haven Motors</t>
        </is>
      </c>
      <c r="M3913" s="23" t="n">
        <v>8474.58</v>
      </c>
      <c r="N3913" s="23" t="n">
        <v>10000</v>
      </c>
      <c r="O3913" s="24">
        <f>IF(AND(ISNUMBER(M3913), ISNUMBER(I3913), I3913&gt;0), M3913/I3913, "")</f>
        <v/>
      </c>
    </row>
    <row r="3914">
      <c r="A3914" s="19" t="inlineStr">
        <is>
          <t>FY27</t>
        </is>
      </c>
      <c r="B3914" s="19" t="inlineStr">
        <is>
          <t>Sep</t>
        </is>
      </c>
      <c r="C3914" s="19" t="inlineStr">
        <is>
          <t>Kerala</t>
        </is>
      </c>
      <c r="D3914" s="20" t="inlineStr">
        <is>
          <t>KL32T1314</t>
        </is>
      </c>
      <c r="E3914" s="20" t="inlineStr">
        <is>
          <t>NISSAN</t>
        </is>
      </c>
      <c r="F3914" s="20" t="inlineStr">
        <is>
          <t>Magnite</t>
        </is>
      </c>
      <c r="G3914" s="21" t="n"/>
      <c r="H3914" s="22" t="n">
        <v>99451</v>
      </c>
      <c r="I3914" s="23" t="n">
        <v>300000</v>
      </c>
      <c r="J3914" s="20" t="inlineStr">
        <is>
          <t>INCHEON KIA</t>
        </is>
      </c>
      <c r="K3914" s="20" t="inlineStr">
        <is>
          <t>Non-Captive</t>
        </is>
      </c>
      <c r="L3914" s="20" t="inlineStr">
        <is>
          <t>Abdul Salam P U</t>
        </is>
      </c>
      <c r="M3914" s="23" t="n">
        <v>8474.58</v>
      </c>
      <c r="N3914" s="23" t="n">
        <v>10000</v>
      </c>
      <c r="O3914" s="24">
        <f>IF(AND(ISNUMBER(M3914), ISNUMBER(I3914), I3914&gt;0), M3914/I3914, "")</f>
        <v/>
      </c>
    </row>
    <row r="3915">
      <c r="A3915" s="19" t="inlineStr">
        <is>
          <t>FY27</t>
        </is>
      </c>
      <c r="B3915" s="19" t="inlineStr">
        <is>
          <t>Sep</t>
        </is>
      </c>
      <c r="C3915" s="19" t="inlineStr">
        <is>
          <t>Kerala</t>
        </is>
      </c>
      <c r="D3915" s="20" t="inlineStr">
        <is>
          <t>KL38A2538</t>
        </is>
      </c>
      <c r="E3915" s="20" t="inlineStr">
        <is>
          <t>MARUTI SUZUKI</t>
        </is>
      </c>
      <c r="F3915" s="20" t="inlineStr">
        <is>
          <t>Omni</t>
        </is>
      </c>
      <c r="G3915" s="21" t="n"/>
      <c r="H3915" s="22" t="n">
        <v>72000</v>
      </c>
      <c r="I3915" s="23" t="n">
        <v>100000</v>
      </c>
      <c r="J3915" s="20" t="inlineStr">
        <is>
          <t>POPULAR VEHICLES</t>
        </is>
      </c>
      <c r="K3915" s="20" t="inlineStr">
        <is>
          <t>Non-Captive</t>
        </is>
      </c>
      <c r="L3915" s="20" t="inlineStr">
        <is>
          <t>Umeshkumar T U</t>
        </is>
      </c>
      <c r="M3915" s="23" t="n">
        <v>8474.58</v>
      </c>
      <c r="N3915" s="23" t="n">
        <v>10000</v>
      </c>
      <c r="O3915" s="24">
        <f>IF(AND(ISNUMBER(M3915), ISNUMBER(I3915), I3915&gt;0), M3915/I3915, "")</f>
        <v/>
      </c>
    </row>
    <row r="3916">
      <c r="A3916" s="19" t="inlineStr">
        <is>
          <t>FY27</t>
        </is>
      </c>
      <c r="B3916" s="19" t="inlineStr">
        <is>
          <t>Sep</t>
        </is>
      </c>
      <c r="C3916" s="19" t="inlineStr">
        <is>
          <t>Kerala</t>
        </is>
      </c>
      <c r="D3916" s="20" t="inlineStr">
        <is>
          <t>KL38K1540</t>
        </is>
      </c>
      <c r="E3916" s="20" t="inlineStr">
        <is>
          <t>TATA</t>
        </is>
      </c>
      <c r="F3916" s="20" t="inlineStr">
        <is>
          <t>Punch</t>
        </is>
      </c>
      <c r="G3916" s="21" t="n"/>
      <c r="H3916" s="22" t="n">
        <v>64000</v>
      </c>
      <c r="I3916" s="23" t="n">
        <v>510000</v>
      </c>
      <c r="J3916" s="20" t="inlineStr">
        <is>
          <t>GOKULAM TATA</t>
        </is>
      </c>
      <c r="K3916" s="20" t="inlineStr">
        <is>
          <t>Non-Captive</t>
        </is>
      </c>
      <c r="L3916" s="20" t="inlineStr">
        <is>
          <t>Aitos Cars</t>
        </is>
      </c>
      <c r="M3916" s="23" t="n">
        <v>8474.58</v>
      </c>
      <c r="N3916" s="23" t="n">
        <v>10000</v>
      </c>
      <c r="O3916" s="24">
        <f>IF(AND(ISNUMBER(M3916), ISNUMBER(I3916), I3916&gt;0), M3916/I3916, "")</f>
        <v/>
      </c>
    </row>
    <row r="3917">
      <c r="A3917" s="19" t="inlineStr">
        <is>
          <t>FY27</t>
        </is>
      </c>
      <c r="B3917" s="19" t="inlineStr">
        <is>
          <t>Sep</t>
        </is>
      </c>
      <c r="C3917" s="19" t="inlineStr">
        <is>
          <t>Kerala</t>
        </is>
      </c>
      <c r="D3917" s="20" t="inlineStr">
        <is>
          <t>KL39B0806</t>
        </is>
      </c>
      <c r="E3917" s="20" t="inlineStr">
        <is>
          <t>HYUNDAI</t>
        </is>
      </c>
      <c r="F3917" s="20" t="inlineStr">
        <is>
          <t>i10</t>
        </is>
      </c>
      <c r="G3917" s="21" t="n"/>
      <c r="H3917" s="22" t="n">
        <v>76692</v>
      </c>
      <c r="I3917" s="23" t="n">
        <v>120000</v>
      </c>
      <c r="J3917" s="20" t="inlineStr">
        <is>
          <t>LUXON TATA</t>
        </is>
      </c>
      <c r="K3917" s="20" t="inlineStr">
        <is>
          <t>Non-Captive</t>
        </is>
      </c>
      <c r="L3917" s="20" t="inlineStr">
        <is>
          <t>Dream Cars</t>
        </is>
      </c>
      <c r="M3917" s="23" t="n">
        <v>8474.58</v>
      </c>
      <c r="N3917" s="23" t="n">
        <v>10000</v>
      </c>
      <c r="O3917" s="24">
        <f>IF(AND(ISNUMBER(M3917), ISNUMBER(I3917), I3917&gt;0), M3917/I3917, "")</f>
        <v/>
      </c>
    </row>
    <row r="3918">
      <c r="A3918" s="19" t="inlineStr">
        <is>
          <t>FY27</t>
        </is>
      </c>
      <c r="B3918" s="19" t="inlineStr">
        <is>
          <t>Sep</t>
        </is>
      </c>
      <c r="C3918" s="19" t="inlineStr">
        <is>
          <t>Kerala</t>
        </is>
      </c>
      <c r="D3918" s="20" t="inlineStr">
        <is>
          <t>KL39L6939</t>
        </is>
      </c>
      <c r="E3918" s="20" t="inlineStr">
        <is>
          <t>RENAULT</t>
        </is>
      </c>
      <c r="F3918" s="20" t="inlineStr">
        <is>
          <t>Duster</t>
        </is>
      </c>
      <c r="G3918" s="21" t="n"/>
      <c r="H3918" s="22" t="n">
        <v>155619</v>
      </c>
      <c r="I3918" s="23" t="n">
        <v>310000</v>
      </c>
      <c r="J3918" s="20" t="inlineStr">
        <is>
          <t>LUXON TATA</t>
        </is>
      </c>
      <c r="K3918" s="20" t="inlineStr">
        <is>
          <t>Non-Captive</t>
        </is>
      </c>
      <c r="L3918" s="20" t="inlineStr">
        <is>
          <t>Abdul Salam K K</t>
        </is>
      </c>
      <c r="M3918" s="23" t="n">
        <v>8474.58</v>
      </c>
      <c r="N3918" s="23" t="n">
        <v>10000</v>
      </c>
      <c r="O3918" s="24">
        <f>IF(AND(ISNUMBER(M3918), ISNUMBER(I3918), I3918&gt;0), M3918/I3918, "")</f>
        <v/>
      </c>
    </row>
    <row r="3919">
      <c r="A3919" s="19" t="inlineStr">
        <is>
          <t>FY27</t>
        </is>
      </c>
      <c r="B3919" s="19" t="inlineStr">
        <is>
          <t>Sep</t>
        </is>
      </c>
      <c r="C3919" s="19" t="inlineStr">
        <is>
          <t>Kerala</t>
        </is>
      </c>
      <c r="D3919" s="20" t="inlineStr">
        <is>
          <t>KL39S2208</t>
        </is>
      </c>
      <c r="E3919" s="20" t="inlineStr">
        <is>
          <t>RENAULT</t>
        </is>
      </c>
      <c r="F3919" s="20" t="inlineStr">
        <is>
          <t>Kwid</t>
        </is>
      </c>
      <c r="G3919" s="21" t="n"/>
      <c r="H3919" s="22" t="n">
        <v>25960</v>
      </c>
      <c r="I3919" s="23" t="n">
        <v>315000</v>
      </c>
      <c r="J3919" s="20" t="inlineStr">
        <is>
          <t>OLX</t>
        </is>
      </c>
      <c r="K3919" s="20" t="inlineStr">
        <is>
          <t>Non-Captive</t>
        </is>
      </c>
      <c r="L3919" s="20" t="inlineStr">
        <is>
          <t>Haven Motors</t>
        </is>
      </c>
      <c r="M3919" s="23" t="n">
        <v>12711.86</v>
      </c>
      <c r="N3919" s="23" t="n">
        <v>15000</v>
      </c>
      <c r="O3919" s="24">
        <f>IF(AND(ISNUMBER(M3919), ISNUMBER(I3919), I3919&gt;0), M3919/I3919, "")</f>
        <v/>
      </c>
    </row>
    <row r="3920">
      <c r="A3920" s="19" t="inlineStr">
        <is>
          <t>FY27</t>
        </is>
      </c>
      <c r="B3920" s="19" t="inlineStr">
        <is>
          <t>Sep</t>
        </is>
      </c>
      <c r="C3920" s="19" t="inlineStr">
        <is>
          <t>Kerala</t>
        </is>
      </c>
      <c r="D3920" s="20" t="inlineStr">
        <is>
          <t>KL400426</t>
        </is>
      </c>
      <c r="E3920" s="20" t="inlineStr">
        <is>
          <t>MARUTI SUZUKI</t>
        </is>
      </c>
      <c r="F3920" s="20" t="inlineStr">
        <is>
          <t>Omni</t>
        </is>
      </c>
      <c r="G3920" s="21" t="n"/>
      <c r="H3920" s="22" t="n">
        <v>155057</v>
      </c>
      <c r="I3920" s="23" t="n">
        <v>30000</v>
      </c>
      <c r="J3920" s="20" t="inlineStr">
        <is>
          <t>POPULAR MARUTI</t>
        </is>
      </c>
      <c r="K3920" s="20" t="inlineStr">
        <is>
          <t>Non-Captive</t>
        </is>
      </c>
      <c r="L3920" s="20" t="inlineStr">
        <is>
          <t>Afsal</t>
        </is>
      </c>
      <c r="M3920" s="23" t="n">
        <v>4237.29</v>
      </c>
      <c r="N3920" s="23" t="n">
        <v>5000</v>
      </c>
      <c r="O3920" s="24">
        <f>IF(AND(ISNUMBER(M3920), ISNUMBER(I3920), I3920&gt;0), M3920/I3920, "")</f>
        <v/>
      </c>
    </row>
    <row r="3921">
      <c r="A3921" s="19" t="inlineStr">
        <is>
          <t>FY27</t>
        </is>
      </c>
      <c r="B3921" s="19" t="inlineStr">
        <is>
          <t>Sep</t>
        </is>
      </c>
      <c r="C3921" s="19" t="inlineStr">
        <is>
          <t>Kerala</t>
        </is>
      </c>
      <c r="D3921" s="20" t="inlineStr">
        <is>
          <t>KL40E9122</t>
        </is>
      </c>
      <c r="E3921" s="20" t="inlineStr">
        <is>
          <t>MARUTI SUZUKI</t>
        </is>
      </c>
      <c r="F3921" s="20" t="inlineStr">
        <is>
          <t>A-Star</t>
        </is>
      </c>
      <c r="G3921" s="21" t="n"/>
      <c r="H3921" s="22" t="n">
        <v>58881</v>
      </c>
      <c r="I3921" s="23" t="n">
        <v>80000</v>
      </c>
      <c r="J3921" s="20" t="inlineStr">
        <is>
          <t>INDUS MARUTI</t>
        </is>
      </c>
      <c r="K3921" s="20" t="inlineStr">
        <is>
          <t>Non-Captive</t>
        </is>
      </c>
      <c r="L3921" s="20" t="inlineStr">
        <is>
          <t>Hussain O E</t>
        </is>
      </c>
      <c r="M3921" s="23" t="n">
        <v>8474.58</v>
      </c>
      <c r="N3921" s="23" t="n">
        <v>10000</v>
      </c>
      <c r="O3921" s="24">
        <f>IF(AND(ISNUMBER(M3921), ISNUMBER(I3921), I3921&gt;0), M3921/I3921, "")</f>
        <v/>
      </c>
    </row>
    <row r="3922">
      <c r="A3922" s="19" t="inlineStr">
        <is>
          <t>FY27</t>
        </is>
      </c>
      <c r="B3922" s="19" t="inlineStr">
        <is>
          <t>Sep</t>
        </is>
      </c>
      <c r="C3922" s="19" t="inlineStr">
        <is>
          <t>Kerala</t>
        </is>
      </c>
      <c r="D3922" s="20" t="inlineStr">
        <is>
          <t>KL40H1667</t>
        </is>
      </c>
      <c r="E3922" s="20" t="inlineStr">
        <is>
          <t>MARUTI SUZUKI</t>
        </is>
      </c>
      <c r="F3922" s="20" t="inlineStr">
        <is>
          <t>Dzire</t>
        </is>
      </c>
      <c r="G3922" s="21" t="n"/>
      <c r="H3922" s="22" t="n">
        <v>87835</v>
      </c>
      <c r="I3922" s="23" t="n">
        <v>265000</v>
      </c>
      <c r="J3922" s="20" t="inlineStr">
        <is>
          <t>ERAM MOTORS</t>
        </is>
      </c>
      <c r="K3922" s="20" t="inlineStr">
        <is>
          <t>Non-Captive</t>
        </is>
      </c>
      <c r="L3922" s="20" t="inlineStr">
        <is>
          <t>Aitos Cars</t>
        </is>
      </c>
      <c r="M3922" s="23" t="n">
        <v>8474.58</v>
      </c>
      <c r="N3922" s="23" t="n">
        <v>10000</v>
      </c>
      <c r="O3922" s="24">
        <f>IF(AND(ISNUMBER(M3922), ISNUMBER(I3922), I3922&gt;0), M3922/I3922, "")</f>
        <v/>
      </c>
    </row>
    <row r="3923">
      <c r="A3923" s="19" t="inlineStr">
        <is>
          <t>FY27</t>
        </is>
      </c>
      <c r="B3923" s="19" t="inlineStr">
        <is>
          <t>Sep</t>
        </is>
      </c>
      <c r="C3923" s="19" t="inlineStr">
        <is>
          <t>Kerala</t>
        </is>
      </c>
      <c r="D3923" s="20" t="inlineStr">
        <is>
          <t>KL41R2564</t>
        </is>
      </c>
      <c r="E3923" s="20" t="inlineStr">
        <is>
          <t>MARUTI SUZUKI</t>
        </is>
      </c>
      <c r="F3923" s="20" t="inlineStr">
        <is>
          <t>Alto 800</t>
        </is>
      </c>
      <c r="G3923" s="21" t="n"/>
      <c r="H3923" s="22" t="n">
        <v>145000</v>
      </c>
      <c r="I3923" s="23" t="n">
        <v>220000</v>
      </c>
      <c r="J3923" s="20" t="inlineStr">
        <is>
          <t>POPULAR MARUTI</t>
        </is>
      </c>
      <c r="K3923" s="20" t="inlineStr">
        <is>
          <t>Non-Captive</t>
        </is>
      </c>
      <c r="L3923" s="20" t="inlineStr">
        <is>
          <t>Mark4</t>
        </is>
      </c>
      <c r="M3923" s="23" t="n">
        <v>8474.58</v>
      </c>
      <c r="N3923" s="23" t="n">
        <v>10000</v>
      </c>
      <c r="O3923" s="24">
        <f>IF(AND(ISNUMBER(M3923), ISNUMBER(I3923), I3923&gt;0), M3923/I3923, "")</f>
        <v/>
      </c>
    </row>
    <row r="3924">
      <c r="A3924" s="19" t="inlineStr">
        <is>
          <t>FY27</t>
        </is>
      </c>
      <c r="B3924" s="19" t="inlineStr">
        <is>
          <t>Sep</t>
        </is>
      </c>
      <c r="C3924" s="19" t="inlineStr">
        <is>
          <t>Kerala</t>
        </is>
      </c>
      <c r="D3924" s="20" t="inlineStr">
        <is>
          <t>KL43D8176</t>
        </is>
      </c>
      <c r="E3924" s="20" t="inlineStr">
        <is>
          <t>MARUTI SUZUKI</t>
        </is>
      </c>
      <c r="F3924" s="20" t="inlineStr">
        <is>
          <t>Ertiga</t>
        </is>
      </c>
      <c r="G3924" s="21" t="n"/>
      <c r="H3924" s="22" t="n">
        <v>108357</v>
      </c>
      <c r="I3924" s="23" t="n">
        <v>180000</v>
      </c>
      <c r="J3924" s="20" t="inlineStr">
        <is>
          <t>POPULAR HYUNDAI</t>
        </is>
      </c>
      <c r="K3924" s="20" t="inlineStr">
        <is>
          <t>Non-Captive</t>
        </is>
      </c>
      <c r="L3924" s="20" t="inlineStr">
        <is>
          <t>Rafeek T A</t>
        </is>
      </c>
      <c r="M3924" s="23" t="n">
        <v>8474.58</v>
      </c>
      <c r="N3924" s="23" t="n">
        <v>10000</v>
      </c>
      <c r="O3924" s="24">
        <f>IF(AND(ISNUMBER(M3924), ISNUMBER(I3924), I3924&gt;0), M3924/I3924, "")</f>
        <v/>
      </c>
    </row>
    <row r="3925">
      <c r="A3925" s="19" t="inlineStr">
        <is>
          <t>FY27</t>
        </is>
      </c>
      <c r="B3925" s="19" t="inlineStr">
        <is>
          <t>Sep</t>
        </is>
      </c>
      <c r="C3925" s="19" t="inlineStr">
        <is>
          <t>Kerala</t>
        </is>
      </c>
      <c r="D3925" s="20" t="inlineStr">
        <is>
          <t>KL43G4092</t>
        </is>
      </c>
      <c r="E3925" s="20" t="inlineStr">
        <is>
          <t>NISSAN</t>
        </is>
      </c>
      <c r="F3925" s="20" t="inlineStr">
        <is>
          <t>Micra</t>
        </is>
      </c>
      <c r="G3925" s="21" t="n"/>
      <c r="H3925" s="22" t="n">
        <v>139612</v>
      </c>
      <c r="I3925" s="23" t="n">
        <v>140000</v>
      </c>
      <c r="J3925" s="20" t="inlineStr">
        <is>
          <t>POPULAR MARUTI</t>
        </is>
      </c>
      <c r="K3925" s="20" t="inlineStr">
        <is>
          <t>Non-Captive</t>
        </is>
      </c>
      <c r="L3925" s="20" t="inlineStr">
        <is>
          <t>Noushad K K</t>
        </is>
      </c>
      <c r="M3925" s="23" t="n">
        <v>8474.58</v>
      </c>
      <c r="N3925" s="23" t="n">
        <v>10000</v>
      </c>
      <c r="O3925" s="24">
        <f>IF(AND(ISNUMBER(M3925), ISNUMBER(I3925), I3925&gt;0), M3925/I3925, "")</f>
        <v/>
      </c>
    </row>
    <row r="3926">
      <c r="A3926" s="19" t="inlineStr">
        <is>
          <t>FY27</t>
        </is>
      </c>
      <c r="B3926" s="19" t="inlineStr">
        <is>
          <t>Sep</t>
        </is>
      </c>
      <c r="C3926" s="19" t="inlineStr">
        <is>
          <t>Kerala</t>
        </is>
      </c>
      <c r="D3926" s="20" t="inlineStr">
        <is>
          <t>KL44G1050</t>
        </is>
      </c>
      <c r="E3926" s="20" t="inlineStr">
        <is>
          <t>RENAULT</t>
        </is>
      </c>
      <c r="F3926" s="20" t="inlineStr">
        <is>
          <t>Kwid</t>
        </is>
      </c>
      <c r="G3926" s="21" t="n"/>
      <c r="H3926" s="22" t="n">
        <v>40142</v>
      </c>
      <c r="I3926" s="23" t="n">
        <v>220000</v>
      </c>
      <c r="J3926" s="20" t="inlineStr">
        <is>
          <t>OLX</t>
        </is>
      </c>
      <c r="K3926" s="20" t="inlineStr">
        <is>
          <t>Non-Captive</t>
        </is>
      </c>
      <c r="L3926" s="20" t="inlineStr">
        <is>
          <t>Hussain O E</t>
        </is>
      </c>
      <c r="M3926" s="23" t="n">
        <v>8474.58</v>
      </c>
      <c r="N3926" s="23" t="n">
        <v>10000</v>
      </c>
      <c r="O3926" s="24">
        <f>IF(AND(ISNUMBER(M3926), ISNUMBER(I3926), I3926&gt;0), M3926/I3926, "")</f>
        <v/>
      </c>
    </row>
    <row r="3927">
      <c r="A3927" s="19" t="inlineStr">
        <is>
          <t>FY27</t>
        </is>
      </c>
      <c r="B3927" s="19" t="inlineStr">
        <is>
          <t>Sep</t>
        </is>
      </c>
      <c r="C3927" s="19" t="inlineStr">
        <is>
          <t>Kerala</t>
        </is>
      </c>
      <c r="D3927" s="20" t="inlineStr">
        <is>
          <t>KL45L2364</t>
        </is>
      </c>
      <c r="E3927" s="20" t="inlineStr">
        <is>
          <t>SKODA</t>
        </is>
      </c>
      <c r="F3927" s="20" t="inlineStr">
        <is>
          <t>Rapid</t>
        </is>
      </c>
      <c r="G3927" s="21" t="n"/>
      <c r="H3927" s="22" t="n">
        <v>102736</v>
      </c>
      <c r="I3927" s="23" t="n">
        <v>2900000</v>
      </c>
      <c r="J3927" s="20" t="inlineStr">
        <is>
          <t>MUHAMMED SHAJI</t>
        </is>
      </c>
      <c r="K3927" s="20" t="inlineStr">
        <is>
          <t>Non-Captive</t>
        </is>
      </c>
      <c r="L3927" s="20" t="inlineStr">
        <is>
          <t>Anas Hameed</t>
        </is>
      </c>
      <c r="M3927" s="23" t="n">
        <v>8474.58</v>
      </c>
      <c r="N3927" s="23" t="n">
        <v>10000</v>
      </c>
      <c r="O3927" s="24">
        <f>IF(AND(ISNUMBER(M3927), ISNUMBER(I3927), I3927&gt;0), M3927/I3927, "")</f>
        <v/>
      </c>
    </row>
    <row r="3928">
      <c r="A3928" s="19" t="inlineStr">
        <is>
          <t>FY27</t>
        </is>
      </c>
      <c r="B3928" s="19" t="inlineStr">
        <is>
          <t>Sep</t>
        </is>
      </c>
      <c r="C3928" s="19" t="inlineStr">
        <is>
          <t>Kerala</t>
        </is>
      </c>
      <c r="D3928" s="20" t="inlineStr">
        <is>
          <t>KL45U2958</t>
        </is>
      </c>
      <c r="E3928" s="20" t="inlineStr">
        <is>
          <t>HONDA</t>
        </is>
      </c>
      <c r="F3928" s="20" t="inlineStr">
        <is>
          <t>Amaze</t>
        </is>
      </c>
      <c r="G3928" s="21" t="n"/>
      <c r="H3928" s="22" t="n">
        <v>94000</v>
      </c>
      <c r="I3928" s="23" t="n">
        <v>450000</v>
      </c>
      <c r="J3928" s="20" t="inlineStr">
        <is>
          <t>INCHEON KIA</t>
        </is>
      </c>
      <c r="K3928" s="20" t="inlineStr">
        <is>
          <t>Non-Captive</t>
        </is>
      </c>
      <c r="L3928" s="20" t="inlineStr">
        <is>
          <t>Haven Motors</t>
        </is>
      </c>
      <c r="M3928" s="23" t="n">
        <v>8474.58</v>
      </c>
      <c r="N3928" s="23" t="n">
        <v>10000</v>
      </c>
      <c r="O3928" s="24">
        <f>IF(AND(ISNUMBER(M3928), ISNUMBER(I3928), I3928&gt;0), M3928/I3928, "")</f>
        <v/>
      </c>
    </row>
    <row r="3929">
      <c r="A3929" s="19" t="inlineStr">
        <is>
          <t>FY27</t>
        </is>
      </c>
      <c r="B3929" s="19" t="inlineStr">
        <is>
          <t>Sep</t>
        </is>
      </c>
      <c r="C3929" s="19" t="inlineStr">
        <is>
          <t>Kerala</t>
        </is>
      </c>
      <c r="D3929" s="20" t="inlineStr">
        <is>
          <t>KL46W3022</t>
        </is>
      </c>
      <c r="E3929" s="20" t="inlineStr">
        <is>
          <t>MG MOTORS</t>
        </is>
      </c>
      <c r="F3929" s="20" t="inlineStr">
        <is>
          <t>ZS EV</t>
        </is>
      </c>
      <c r="G3929" s="21" t="n"/>
      <c r="H3929" s="22" t="n">
        <v>83000</v>
      </c>
      <c r="I3929" s="23" t="n">
        <v>656000</v>
      </c>
      <c r="J3929" s="20" t="inlineStr">
        <is>
          <t>KANNUR PLATINUM</t>
        </is>
      </c>
      <c r="K3929" s="20" t="inlineStr">
        <is>
          <t>Non-Captive</t>
        </is>
      </c>
      <c r="L3929" s="20" t="inlineStr">
        <is>
          <t>Sarith R</t>
        </is>
      </c>
      <c r="M3929" s="23" t="n">
        <v>5084.75</v>
      </c>
      <c r="N3929" s="23" t="n">
        <v>6000</v>
      </c>
      <c r="O3929" s="24">
        <f>IF(AND(ISNUMBER(M3929), ISNUMBER(I3929), I3929&gt;0), M3929/I3929, "")</f>
        <v/>
      </c>
    </row>
    <row r="3930">
      <c r="A3930" s="19" t="inlineStr">
        <is>
          <t>FY27</t>
        </is>
      </c>
      <c r="B3930" s="19" t="inlineStr">
        <is>
          <t>Sep</t>
        </is>
      </c>
      <c r="C3930" s="19" t="inlineStr">
        <is>
          <t>Kerala</t>
        </is>
      </c>
      <c r="D3930" s="20" t="inlineStr">
        <is>
          <t>KL47K5634</t>
        </is>
      </c>
      <c r="E3930" s="20" t="inlineStr">
        <is>
          <t>DATSUN</t>
        </is>
      </c>
      <c r="F3930" s="20" t="inlineStr">
        <is>
          <t>Redi-GO</t>
        </is>
      </c>
      <c r="G3930" s="21" t="n"/>
      <c r="H3930" s="22" t="n">
        <v>47592</v>
      </c>
      <c r="I3930" s="23" t="n">
        <v>210000</v>
      </c>
      <c r="J3930" s="20" t="inlineStr">
        <is>
          <t>PINNACLE NISSAN</t>
        </is>
      </c>
      <c r="K3930" s="20" t="inlineStr">
        <is>
          <t>Non-Captive</t>
        </is>
      </c>
      <c r="L3930" s="20" t="inlineStr">
        <is>
          <t>Autobot</t>
        </is>
      </c>
      <c r="M3930" s="23" t="n">
        <v>8474.58</v>
      </c>
      <c r="N3930" s="23" t="n">
        <v>10000</v>
      </c>
      <c r="O3930" s="24">
        <f>IF(AND(ISNUMBER(M3930), ISNUMBER(I3930), I3930&gt;0), M3930/I3930, "")</f>
        <v/>
      </c>
    </row>
    <row r="3931">
      <c r="A3931" s="19" t="inlineStr">
        <is>
          <t>FY27</t>
        </is>
      </c>
      <c r="B3931" s="19" t="inlineStr">
        <is>
          <t>Sep</t>
        </is>
      </c>
      <c r="C3931" s="19" t="inlineStr">
        <is>
          <t>Kerala</t>
        </is>
      </c>
      <c r="D3931" s="20" t="inlineStr">
        <is>
          <t>KL48P8213</t>
        </is>
      </c>
      <c r="E3931" s="20" t="inlineStr">
        <is>
          <t>MAHINDRA</t>
        </is>
      </c>
      <c r="F3931" s="20" t="inlineStr">
        <is>
          <t>Bolero</t>
        </is>
      </c>
      <c r="G3931" s="21" t="n"/>
      <c r="H3931" s="22" t="n">
        <v>210000</v>
      </c>
      <c r="I3931" s="23" t="n">
        <v>286000</v>
      </c>
      <c r="J3931" s="20" t="inlineStr">
        <is>
          <t>RADHAKRISHNAN</t>
        </is>
      </c>
      <c r="K3931" s="20" t="inlineStr">
        <is>
          <t>Non-Captive</t>
        </is>
      </c>
      <c r="L3931" s="20" t="inlineStr">
        <is>
          <t>Sajith,Leaps Trucks</t>
        </is>
      </c>
      <c r="M3931" s="23" t="n">
        <v>5084.75</v>
      </c>
      <c r="N3931" s="23" t="n">
        <v>6000</v>
      </c>
      <c r="O3931" s="24">
        <f>IF(AND(ISNUMBER(M3931), ISNUMBER(I3931), I3931&gt;0), M3931/I3931, "")</f>
        <v/>
      </c>
    </row>
    <row r="3932">
      <c r="A3932" s="19" t="inlineStr">
        <is>
          <t>FY27</t>
        </is>
      </c>
      <c r="B3932" s="19" t="inlineStr">
        <is>
          <t>Sep</t>
        </is>
      </c>
      <c r="C3932" s="19" t="inlineStr">
        <is>
          <t>Kerala</t>
        </is>
      </c>
      <c r="D3932" s="20" t="inlineStr">
        <is>
          <t>KL52N6554</t>
        </is>
      </c>
      <c r="E3932" s="20" t="inlineStr">
        <is>
          <t>MARUTI SUZUKI</t>
        </is>
      </c>
      <c r="F3932" s="20" t="inlineStr">
        <is>
          <t>Dzire</t>
        </is>
      </c>
      <c r="G3932" s="21" t="n"/>
      <c r="H3932" s="22" t="n">
        <v>70341</v>
      </c>
      <c r="I3932" s="23" t="n">
        <v>490000</v>
      </c>
      <c r="J3932" s="20" t="inlineStr">
        <is>
          <t>POPULAR HYUNDAI</t>
        </is>
      </c>
      <c r="K3932" s="20" t="inlineStr">
        <is>
          <t>Non-Captive</t>
        </is>
      </c>
      <c r="L3932" s="20" t="inlineStr">
        <is>
          <t>Asharaf T A</t>
        </is>
      </c>
      <c r="M3932" s="23" t="n">
        <v>8474.58</v>
      </c>
      <c r="N3932" s="23" t="n">
        <v>10000</v>
      </c>
      <c r="O3932" s="24">
        <f>IF(AND(ISNUMBER(M3932), ISNUMBER(I3932), I3932&gt;0), M3932/I3932, "")</f>
        <v/>
      </c>
    </row>
    <row r="3933">
      <c r="A3933" s="19" t="inlineStr">
        <is>
          <t>FY27</t>
        </is>
      </c>
      <c r="B3933" s="19" t="inlineStr">
        <is>
          <t>Sep</t>
        </is>
      </c>
      <c r="C3933" s="19" t="inlineStr">
        <is>
          <t>Kerala</t>
        </is>
      </c>
      <c r="D3933" s="20" t="inlineStr">
        <is>
          <t>KL55M5013</t>
        </is>
      </c>
      <c r="E3933" s="20" t="inlineStr">
        <is>
          <t>FORD</t>
        </is>
      </c>
      <c r="F3933" s="20" t="inlineStr">
        <is>
          <t>Figo</t>
        </is>
      </c>
      <c r="G3933" s="21" t="n"/>
      <c r="H3933" s="22" t="n">
        <v>132000</v>
      </c>
      <c r="I3933" s="23" t="n">
        <v>55000</v>
      </c>
      <c r="J3933" s="20" t="inlineStr">
        <is>
          <t>KVR TATA</t>
        </is>
      </c>
      <c r="K3933" s="20" t="inlineStr">
        <is>
          <t>Non-Captive</t>
        </is>
      </c>
      <c r="L3933" s="20" t="inlineStr">
        <is>
          <t>Hiba Nasrin</t>
        </is>
      </c>
      <c r="M3933" s="23" t="n">
        <v>4237.29</v>
      </c>
      <c r="N3933" s="23" t="n">
        <v>5000</v>
      </c>
      <c r="O3933" s="24">
        <f>IF(AND(ISNUMBER(M3933), ISNUMBER(I3933), I3933&gt;0), M3933/I3933, "")</f>
        <v/>
      </c>
    </row>
    <row r="3934">
      <c r="A3934" s="19" t="inlineStr">
        <is>
          <t>FY27</t>
        </is>
      </c>
      <c r="B3934" s="19" t="inlineStr">
        <is>
          <t>Sep</t>
        </is>
      </c>
      <c r="C3934" s="19" t="inlineStr">
        <is>
          <t>Kerala</t>
        </is>
      </c>
      <c r="D3934" s="20" t="inlineStr">
        <is>
          <t>KL56Q7346</t>
        </is>
      </c>
      <c r="E3934" s="20" t="inlineStr">
        <is>
          <t>HYUNDAI</t>
        </is>
      </c>
      <c r="F3934" s="20" t="inlineStr">
        <is>
          <t>Grand i10</t>
        </is>
      </c>
      <c r="G3934" s="21" t="n"/>
      <c r="H3934" s="22" t="n">
        <v>57000</v>
      </c>
      <c r="I3934" s="23" t="n">
        <v>260000</v>
      </c>
      <c r="J3934" s="20" t="inlineStr">
        <is>
          <t>EVM SKODA</t>
        </is>
      </c>
      <c r="K3934" s="20" t="inlineStr">
        <is>
          <t>Non-Captive</t>
        </is>
      </c>
      <c r="L3934" s="20" t="inlineStr">
        <is>
          <t>Nisha Mary Mathew</t>
        </is>
      </c>
      <c r="M3934" s="23" t="n">
        <v>8474.58</v>
      </c>
      <c r="N3934" s="23" t="n">
        <v>10000</v>
      </c>
      <c r="O3934" s="24">
        <f>IF(AND(ISNUMBER(M3934), ISNUMBER(I3934), I3934&gt;0), M3934/I3934, "")</f>
        <v/>
      </c>
    </row>
    <row r="3935">
      <c r="A3935" s="19" t="inlineStr">
        <is>
          <t>FY27</t>
        </is>
      </c>
      <c r="B3935" s="19" t="inlineStr">
        <is>
          <t>Sep</t>
        </is>
      </c>
      <c r="C3935" s="19" t="inlineStr">
        <is>
          <t>Kerala</t>
        </is>
      </c>
      <c r="D3935" s="20" t="inlineStr">
        <is>
          <t>KL57C4041</t>
        </is>
      </c>
      <c r="E3935" s="20" t="inlineStr">
        <is>
          <t>MARUTI SUZUKI</t>
        </is>
      </c>
      <c r="F3935" s="20" t="inlineStr">
        <is>
          <t>Wagon R</t>
        </is>
      </c>
      <c r="G3935" s="21" t="n"/>
      <c r="H3935" s="22" t="n">
        <v>77000</v>
      </c>
      <c r="I3935" s="23" t="n">
        <v>110000</v>
      </c>
      <c r="J3935" s="20" t="inlineStr">
        <is>
          <t>AM MOTORS</t>
        </is>
      </c>
      <c r="K3935" s="20" t="inlineStr">
        <is>
          <t>Non-Captive</t>
        </is>
      </c>
      <c r="L3935" s="20" t="inlineStr">
        <is>
          <t>Dinesh V</t>
        </is>
      </c>
      <c r="M3935" s="23" t="n">
        <v>4237.29</v>
      </c>
      <c r="N3935" s="23" t="n">
        <v>5000</v>
      </c>
      <c r="O3935" s="24">
        <f>IF(AND(ISNUMBER(M3935), ISNUMBER(I3935), I3935&gt;0), M3935/I3935, "")</f>
        <v/>
      </c>
    </row>
    <row r="3936">
      <c r="A3936" s="19" t="inlineStr">
        <is>
          <t>FY27</t>
        </is>
      </c>
      <c r="B3936" s="19" t="inlineStr">
        <is>
          <t>Sep</t>
        </is>
      </c>
      <c r="C3936" s="19" t="inlineStr">
        <is>
          <t>Kerala</t>
        </is>
      </c>
      <c r="D3936" s="20" t="inlineStr">
        <is>
          <t>KL57L8089</t>
        </is>
      </c>
      <c r="E3936" s="20" t="inlineStr">
        <is>
          <t>HYUNDAI</t>
        </is>
      </c>
      <c r="F3936" s="20" t="inlineStr">
        <is>
          <t>Eon</t>
        </is>
      </c>
      <c r="G3936" s="21" t="n"/>
      <c r="H3936" s="22" t="n">
        <v>88000</v>
      </c>
      <c r="I3936" s="23" t="n">
        <v>76000</v>
      </c>
      <c r="J3936" s="20" t="inlineStr">
        <is>
          <t>POPULAR MARUTI</t>
        </is>
      </c>
      <c r="K3936" s="20" t="inlineStr">
        <is>
          <t>Non-Captive</t>
        </is>
      </c>
      <c r="L3936" s="20" t="inlineStr">
        <is>
          <t>Muhammed Anees Tc</t>
        </is>
      </c>
      <c r="M3936" s="23" t="n">
        <v>5084.75</v>
      </c>
      <c r="N3936" s="23" t="n">
        <v>6000</v>
      </c>
      <c r="O3936" s="24">
        <f>IF(AND(ISNUMBER(M3936), ISNUMBER(I3936), I3936&gt;0), M3936/I3936, "")</f>
        <v/>
      </c>
    </row>
    <row r="3937">
      <c r="A3937" s="19" t="inlineStr">
        <is>
          <t>FY27</t>
        </is>
      </c>
      <c r="B3937" s="19" t="inlineStr">
        <is>
          <t>Sep</t>
        </is>
      </c>
      <c r="C3937" s="19" t="inlineStr">
        <is>
          <t>Kerala</t>
        </is>
      </c>
      <c r="D3937" s="20" t="inlineStr">
        <is>
          <t>KL57X4096</t>
        </is>
      </c>
      <c r="E3937" s="20" t="inlineStr">
        <is>
          <t>DATSUN</t>
        </is>
      </c>
      <c r="F3937" s="20" t="inlineStr">
        <is>
          <t>Redi-GO</t>
        </is>
      </c>
      <c r="G3937" s="21" t="n"/>
      <c r="H3937" s="22" t="n">
        <v>75000</v>
      </c>
      <c r="I3937" s="23" t="n">
        <v>185000</v>
      </c>
      <c r="J3937" s="20" t="inlineStr">
        <is>
          <t>EVM NISSAN</t>
        </is>
      </c>
      <c r="K3937" s="20" t="inlineStr">
        <is>
          <t>Non-Captive</t>
        </is>
      </c>
      <c r="L3937" s="20" t="inlineStr">
        <is>
          <t>Sanoop K M</t>
        </is>
      </c>
      <c r="M3937" s="23" t="n">
        <v>4237.29</v>
      </c>
      <c r="N3937" s="23" t="n">
        <v>5000</v>
      </c>
      <c r="O3937" s="24">
        <f>IF(AND(ISNUMBER(M3937), ISNUMBER(I3937), I3937&gt;0), M3937/I3937, "")</f>
        <v/>
      </c>
    </row>
    <row r="3938">
      <c r="A3938" s="19" t="inlineStr">
        <is>
          <t>FY27</t>
        </is>
      </c>
      <c r="B3938" s="19" t="inlineStr">
        <is>
          <t>Sep</t>
        </is>
      </c>
      <c r="C3938" s="19" t="inlineStr">
        <is>
          <t>Kerala</t>
        </is>
      </c>
      <c r="D3938" s="20" t="inlineStr">
        <is>
          <t>KL58AC2063</t>
        </is>
      </c>
      <c r="E3938" s="20" t="inlineStr">
        <is>
          <t>RENAULT</t>
        </is>
      </c>
      <c r="F3938" s="20" t="inlineStr">
        <is>
          <t>Triber</t>
        </is>
      </c>
      <c r="G3938" s="21" t="n"/>
      <c r="H3938" s="22" t="n">
        <v>64000</v>
      </c>
      <c r="I3938" s="23" t="n">
        <v>306000</v>
      </c>
      <c r="J3938" s="20" t="inlineStr">
        <is>
          <t>KVR TATA</t>
        </is>
      </c>
      <c r="K3938" s="20" t="inlineStr">
        <is>
          <t>Non-Captive</t>
        </is>
      </c>
      <c r="L3938" s="20" t="inlineStr">
        <is>
          <t>Prajosh A M</t>
        </is>
      </c>
      <c r="M3938" s="23" t="n">
        <v>5084.75</v>
      </c>
      <c r="N3938" s="23" t="n">
        <v>6000</v>
      </c>
      <c r="O3938" s="24">
        <f>IF(AND(ISNUMBER(M3938), ISNUMBER(I3938), I3938&gt;0), M3938/I3938, "")</f>
        <v/>
      </c>
    </row>
    <row r="3939">
      <c r="A3939" s="19" t="inlineStr">
        <is>
          <t>FY27</t>
        </is>
      </c>
      <c r="B3939" s="19" t="inlineStr">
        <is>
          <t>Sep</t>
        </is>
      </c>
      <c r="C3939" s="19" t="inlineStr">
        <is>
          <t>Kerala</t>
        </is>
      </c>
      <c r="D3939" s="20" t="inlineStr">
        <is>
          <t>KL58AD0952</t>
        </is>
      </c>
      <c r="E3939" s="20" t="inlineStr">
        <is>
          <t>TATA</t>
        </is>
      </c>
      <c r="F3939" s="20" t="inlineStr">
        <is>
          <t>Tigor</t>
        </is>
      </c>
      <c r="G3939" s="21" t="n"/>
      <c r="H3939" s="22" t="n">
        <v>64000</v>
      </c>
      <c r="I3939" s="23" t="n">
        <v>427000</v>
      </c>
      <c r="J3939" s="20" t="inlineStr">
        <is>
          <t>KVR TATA</t>
        </is>
      </c>
      <c r="K3939" s="20" t="inlineStr">
        <is>
          <t>Non-Captive</t>
        </is>
      </c>
      <c r="L3939" s="20" t="inlineStr">
        <is>
          <t>Prajosh A M</t>
        </is>
      </c>
      <c r="M3939" s="23" t="n">
        <v>5932.2</v>
      </c>
      <c r="N3939" s="23" t="n">
        <v>7000</v>
      </c>
      <c r="O3939" s="24">
        <f>IF(AND(ISNUMBER(M3939), ISNUMBER(I3939), I3939&gt;0), M3939/I3939, "")</f>
        <v/>
      </c>
    </row>
    <row r="3940">
      <c r="A3940" s="19" t="inlineStr">
        <is>
          <t>FY27</t>
        </is>
      </c>
      <c r="B3940" s="19" t="inlineStr">
        <is>
          <t>Sep</t>
        </is>
      </c>
      <c r="C3940" s="19" t="inlineStr">
        <is>
          <t>Kerala</t>
        </is>
      </c>
      <c r="D3940" s="20" t="inlineStr">
        <is>
          <t>KL58AJ7878</t>
        </is>
      </c>
      <c r="E3940" s="20" t="inlineStr">
        <is>
          <t>CITROEN</t>
        </is>
      </c>
      <c r="F3940" s="20" t="inlineStr">
        <is>
          <t>C3</t>
        </is>
      </c>
      <c r="G3940" s="21" t="n"/>
      <c r="H3940" s="22" t="n">
        <v>17000</v>
      </c>
      <c r="I3940" s="23" t="n">
        <v>405000</v>
      </c>
      <c r="J3940" s="20" t="inlineStr">
        <is>
          <t>EVM NISSAN</t>
        </is>
      </c>
      <c r="K3940" s="20" t="inlineStr">
        <is>
          <t>Non-Captive</t>
        </is>
      </c>
      <c r="L3940" s="20" t="inlineStr">
        <is>
          <t>Varun Prakash</t>
        </is>
      </c>
      <c r="M3940" s="23" t="n">
        <v>8474.58</v>
      </c>
      <c r="N3940" s="23" t="n">
        <v>10000</v>
      </c>
      <c r="O3940" s="24">
        <f>IF(AND(ISNUMBER(M3940), ISNUMBER(I3940), I3940&gt;0), M3940/I3940, "")</f>
        <v/>
      </c>
    </row>
    <row r="3941">
      <c r="A3941" s="19" t="inlineStr">
        <is>
          <t>FY27</t>
        </is>
      </c>
      <c r="B3941" s="19" t="inlineStr">
        <is>
          <t>Sep</t>
        </is>
      </c>
      <c r="C3941" s="19" t="inlineStr">
        <is>
          <t>Kerala</t>
        </is>
      </c>
      <c r="D3941" s="20" t="inlineStr">
        <is>
          <t>KL58G3740</t>
        </is>
      </c>
      <c r="E3941" s="20" t="inlineStr">
        <is>
          <t>MARUTI SUZUKI</t>
        </is>
      </c>
      <c r="F3941" s="20" t="inlineStr">
        <is>
          <t>Swift</t>
        </is>
      </c>
      <c r="G3941" s="21" t="n"/>
      <c r="H3941" s="22" t="n">
        <v>156000</v>
      </c>
      <c r="I3941" s="23" t="n">
        <v>116000</v>
      </c>
      <c r="J3941" s="20" t="inlineStr">
        <is>
          <t>INDUS MARUTI</t>
        </is>
      </c>
      <c r="K3941" s="20" t="inlineStr">
        <is>
          <t>Non-Captive</t>
        </is>
      </c>
      <c r="L3941" s="20" t="inlineStr">
        <is>
          <t>Varun Prakash</t>
        </is>
      </c>
      <c r="M3941" s="23" t="n">
        <v>5084.75</v>
      </c>
      <c r="N3941" s="23" t="n">
        <v>6000</v>
      </c>
      <c r="O3941" s="24">
        <f>IF(AND(ISNUMBER(M3941), ISNUMBER(I3941), I3941&gt;0), M3941/I3941, "")</f>
        <v/>
      </c>
    </row>
    <row r="3942">
      <c r="A3942" s="19" t="inlineStr">
        <is>
          <t>FY27</t>
        </is>
      </c>
      <c r="B3942" s="19" t="inlineStr">
        <is>
          <t>Sep</t>
        </is>
      </c>
      <c r="C3942" s="19" t="inlineStr">
        <is>
          <t>Kerala</t>
        </is>
      </c>
      <c r="D3942" s="20" t="inlineStr">
        <is>
          <t>KL58G8210</t>
        </is>
      </c>
      <c r="E3942" s="20" t="inlineStr">
        <is>
          <t>MARUTI SUZUKI</t>
        </is>
      </c>
      <c r="F3942" s="20" t="inlineStr">
        <is>
          <t>Wagon R</t>
        </is>
      </c>
      <c r="G3942" s="21" t="n"/>
      <c r="H3942" s="22" t="n">
        <v>115000</v>
      </c>
      <c r="I3942" s="23" t="n">
        <v>97000</v>
      </c>
      <c r="J3942" s="20" t="inlineStr">
        <is>
          <t>POPULAR MARUTI</t>
        </is>
      </c>
      <c r="K3942" s="20" t="inlineStr">
        <is>
          <t>Non-Captive</t>
        </is>
      </c>
      <c r="L3942" s="20" t="inlineStr">
        <is>
          <t>Varun Prakash</t>
        </is>
      </c>
      <c r="M3942" s="23" t="n">
        <v>5932.2</v>
      </c>
      <c r="N3942" s="23" t="n">
        <v>7000</v>
      </c>
      <c r="O3942" s="24">
        <f>IF(AND(ISNUMBER(M3942), ISNUMBER(I3942), I3942&gt;0), M3942/I3942, "")</f>
        <v/>
      </c>
    </row>
    <row r="3943">
      <c r="A3943" s="19" t="inlineStr">
        <is>
          <t>FY27</t>
        </is>
      </c>
      <c r="B3943" s="19" t="inlineStr">
        <is>
          <t>Sep</t>
        </is>
      </c>
      <c r="C3943" s="19" t="inlineStr">
        <is>
          <t>Kerala</t>
        </is>
      </c>
      <c r="D3943" s="20" t="inlineStr">
        <is>
          <t>KL58T9526</t>
        </is>
      </c>
      <c r="E3943" s="20" t="inlineStr">
        <is>
          <t>MARUTI SUZUKI</t>
        </is>
      </c>
      <c r="F3943" s="20" t="inlineStr">
        <is>
          <t>Swift</t>
        </is>
      </c>
      <c r="G3943" s="21" t="n"/>
      <c r="H3943" s="22" t="n">
        <v>86000</v>
      </c>
      <c r="I3943" s="23" t="n">
        <v>310000</v>
      </c>
      <c r="J3943" s="20" t="inlineStr">
        <is>
          <t>BIMAL MARUTI</t>
        </is>
      </c>
      <c r="K3943" s="20" t="inlineStr">
        <is>
          <t>Non-Captive</t>
        </is>
      </c>
      <c r="L3943" s="20" t="inlineStr">
        <is>
          <t>Nisha Mary Mathew</t>
        </is>
      </c>
      <c r="M3943" s="23" t="n">
        <v>8474.58</v>
      </c>
      <c r="N3943" s="23" t="n">
        <v>10000</v>
      </c>
      <c r="O3943" s="24">
        <f>IF(AND(ISNUMBER(M3943), ISNUMBER(I3943), I3943&gt;0), M3943/I3943, "")</f>
        <v/>
      </c>
    </row>
    <row r="3944">
      <c r="A3944" s="19" t="inlineStr">
        <is>
          <t>FY27</t>
        </is>
      </c>
      <c r="B3944" s="19" t="inlineStr">
        <is>
          <t>Sep</t>
        </is>
      </c>
      <c r="C3944" s="19" t="inlineStr">
        <is>
          <t>Kerala</t>
        </is>
      </c>
      <c r="D3944" s="20" t="inlineStr">
        <is>
          <t>KL59E6540</t>
        </is>
      </c>
      <c r="E3944" s="20" t="inlineStr">
        <is>
          <t>MARUTI SUZUKI</t>
        </is>
      </c>
      <c r="F3944" s="20" t="inlineStr">
        <is>
          <t>Swift</t>
        </is>
      </c>
      <c r="G3944" s="21" t="n"/>
      <c r="H3944" s="22" t="n">
        <v>67000</v>
      </c>
      <c r="I3944" s="23" t="n">
        <v>220000</v>
      </c>
      <c r="J3944" s="20" t="inlineStr">
        <is>
          <t>KVR TATA</t>
        </is>
      </c>
      <c r="K3944" s="20" t="inlineStr">
        <is>
          <t>Non-Captive</t>
        </is>
      </c>
      <c r="L3944" s="20" t="inlineStr">
        <is>
          <t>Akhil K</t>
        </is>
      </c>
      <c r="M3944" s="23" t="n">
        <v>8474.58</v>
      </c>
      <c r="N3944" s="23" t="n">
        <v>10000</v>
      </c>
      <c r="O3944" s="24">
        <f>IF(AND(ISNUMBER(M3944), ISNUMBER(I3944), I3944&gt;0), M3944/I3944, "")</f>
        <v/>
      </c>
    </row>
    <row r="3945">
      <c r="A3945" s="19" t="inlineStr">
        <is>
          <t>FY27</t>
        </is>
      </c>
      <c r="B3945" s="19" t="inlineStr">
        <is>
          <t>Sep</t>
        </is>
      </c>
      <c r="C3945" s="19" t="inlineStr">
        <is>
          <t>Kerala</t>
        </is>
      </c>
      <c r="D3945" s="20" t="inlineStr">
        <is>
          <t>KL59R1348</t>
        </is>
      </c>
      <c r="E3945" s="20" t="inlineStr">
        <is>
          <t>MARUTI SUZUKI</t>
        </is>
      </c>
      <c r="F3945" s="20" t="inlineStr">
        <is>
          <t>Swift</t>
        </is>
      </c>
      <c r="G3945" s="21" t="n"/>
      <c r="H3945" s="22" t="n">
        <v>53000</v>
      </c>
      <c r="I3945" s="23" t="n">
        <v>355000</v>
      </c>
      <c r="J3945" s="20" t="inlineStr">
        <is>
          <t>MARVEL MOTORS</t>
        </is>
      </c>
      <c r="K3945" s="20" t="inlineStr">
        <is>
          <t>Non-Captive</t>
        </is>
      </c>
      <c r="L3945" s="20" t="inlineStr">
        <is>
          <t>Muhammed Ashique K</t>
        </is>
      </c>
      <c r="M3945" s="23" t="n">
        <v>4237.29</v>
      </c>
      <c r="N3945" s="23" t="n">
        <v>5000</v>
      </c>
      <c r="O3945" s="24">
        <f>IF(AND(ISNUMBER(M3945), ISNUMBER(I3945), I3945&gt;0), M3945/I3945, "")</f>
        <v/>
      </c>
    </row>
    <row r="3946">
      <c r="A3946" s="19" t="inlineStr">
        <is>
          <t>FY27</t>
        </is>
      </c>
      <c r="B3946" s="19" t="inlineStr">
        <is>
          <t>Sep</t>
        </is>
      </c>
      <c r="C3946" s="19" t="inlineStr">
        <is>
          <t>Kerala</t>
        </is>
      </c>
      <c r="D3946" s="20" t="inlineStr">
        <is>
          <t>KL59X1084</t>
        </is>
      </c>
      <c r="E3946" s="20" t="inlineStr">
        <is>
          <t>TATA</t>
        </is>
      </c>
      <c r="F3946" s="20" t="inlineStr">
        <is>
          <t>Altroz</t>
        </is>
      </c>
      <c r="G3946" s="21" t="n"/>
      <c r="H3946" s="22" t="n">
        <v>153000</v>
      </c>
      <c r="I3946" s="23" t="n">
        <v>340000</v>
      </c>
      <c r="J3946" s="20" t="inlineStr">
        <is>
          <t>KVR TATA</t>
        </is>
      </c>
      <c r="K3946" s="20" t="inlineStr">
        <is>
          <t>Non-Captive</t>
        </is>
      </c>
      <c r="L3946" s="20" t="inlineStr">
        <is>
          <t>Sabith</t>
        </is>
      </c>
      <c r="M3946" s="23" t="n">
        <v>4237.29</v>
      </c>
      <c r="N3946" s="23" t="n">
        <v>5000</v>
      </c>
      <c r="O3946" s="24">
        <f>IF(AND(ISNUMBER(M3946), ISNUMBER(I3946), I3946&gt;0), M3946/I3946, "")</f>
        <v/>
      </c>
    </row>
    <row r="3947">
      <c r="A3947" s="19" t="inlineStr">
        <is>
          <t>FY27</t>
        </is>
      </c>
      <c r="B3947" s="19" t="inlineStr">
        <is>
          <t>Sep</t>
        </is>
      </c>
      <c r="C3947" s="19" t="inlineStr">
        <is>
          <t>Kerala</t>
        </is>
      </c>
      <c r="D3947" s="20" t="inlineStr">
        <is>
          <t>KL59X1991</t>
        </is>
      </c>
      <c r="E3947" s="20" t="inlineStr">
        <is>
          <t>MARUTI SUZUKI</t>
        </is>
      </c>
      <c r="F3947" s="20" t="inlineStr">
        <is>
          <t>Baleno</t>
        </is>
      </c>
      <c r="G3947" s="21" t="n"/>
      <c r="H3947" s="22" t="n">
        <v>110000</v>
      </c>
      <c r="I3947" s="23" t="n">
        <v>497000</v>
      </c>
      <c r="J3947" s="20" t="inlineStr">
        <is>
          <t>AMANA TOYOTA</t>
        </is>
      </c>
      <c r="K3947" s="20" t="inlineStr">
        <is>
          <t>Non-Captive</t>
        </is>
      </c>
      <c r="L3947" s="20" t="inlineStr">
        <is>
          <t>Kannur Platinum Drive</t>
        </is>
      </c>
      <c r="M3947" s="23" t="n">
        <v>5932.2</v>
      </c>
      <c r="N3947" s="23" t="n">
        <v>7000</v>
      </c>
      <c r="O3947" s="24">
        <f>IF(AND(ISNUMBER(M3947), ISNUMBER(I3947), I3947&gt;0), M3947/I3947, "")</f>
        <v/>
      </c>
    </row>
    <row r="3948">
      <c r="A3948" s="19" t="inlineStr">
        <is>
          <t>FY27</t>
        </is>
      </c>
      <c r="B3948" s="19" t="inlineStr">
        <is>
          <t>Sep</t>
        </is>
      </c>
      <c r="C3948" s="19" t="inlineStr">
        <is>
          <t>Kerala</t>
        </is>
      </c>
      <c r="D3948" s="20" t="inlineStr">
        <is>
          <t>KL60A9029</t>
        </is>
      </c>
      <c r="E3948" s="20" t="inlineStr">
        <is>
          <t>MARUTI SUZUKI</t>
        </is>
      </c>
      <c r="F3948" s="20" t="inlineStr">
        <is>
          <t>Alto</t>
        </is>
      </c>
      <c r="G3948" s="21" t="n"/>
      <c r="H3948" s="22" t="n">
        <v>123000</v>
      </c>
      <c r="I3948" s="23" t="n">
        <v>63000</v>
      </c>
      <c r="J3948" s="20" t="inlineStr">
        <is>
          <t>POPULAR MARUTI</t>
        </is>
      </c>
      <c r="K3948" s="20" t="inlineStr">
        <is>
          <t>Non-Captive</t>
        </is>
      </c>
      <c r="L3948" s="20" t="inlineStr">
        <is>
          <t>Basheer</t>
        </is>
      </c>
      <c r="M3948" s="23" t="n">
        <v>6779.66</v>
      </c>
      <c r="N3948" s="23" t="n">
        <v>8000</v>
      </c>
      <c r="O3948" s="24">
        <f>IF(AND(ISNUMBER(M3948), ISNUMBER(I3948), I3948&gt;0), M3948/I3948, "")</f>
        <v/>
      </c>
    </row>
    <row r="3949">
      <c r="A3949" s="19" t="inlineStr">
        <is>
          <t>FY27</t>
        </is>
      </c>
      <c r="B3949" s="19" t="inlineStr">
        <is>
          <t>Sep</t>
        </is>
      </c>
      <c r="C3949" s="19" t="inlineStr">
        <is>
          <t>Kerala</t>
        </is>
      </c>
      <c r="D3949" s="20" t="inlineStr">
        <is>
          <t>KL60B7660</t>
        </is>
      </c>
      <c r="E3949" s="20" t="inlineStr">
        <is>
          <t>MARUTI SUZUKI</t>
        </is>
      </c>
      <c r="F3949" s="20" t="inlineStr">
        <is>
          <t>Alto</t>
        </is>
      </c>
      <c r="G3949" s="21" t="n"/>
      <c r="H3949" s="22" t="n">
        <v>225000</v>
      </c>
      <c r="I3949" s="23" t="n">
        <v>45000</v>
      </c>
      <c r="J3949" s="20" t="inlineStr">
        <is>
          <t>POPULAR MARUTI</t>
        </is>
      </c>
      <c r="K3949" s="20" t="inlineStr">
        <is>
          <t>Non-Captive</t>
        </is>
      </c>
      <c r="L3949" s="20" t="inlineStr">
        <is>
          <t>Hiba Nasarin</t>
        </is>
      </c>
      <c r="M3949" s="23" t="n">
        <v>8474.58</v>
      </c>
      <c r="N3949" s="23" t="n">
        <v>10000</v>
      </c>
      <c r="O3949" s="24">
        <f>IF(AND(ISNUMBER(M3949), ISNUMBER(I3949), I3949&gt;0), M3949/I3949, "")</f>
        <v/>
      </c>
    </row>
    <row r="3950">
      <c r="A3950" s="19" t="inlineStr">
        <is>
          <t>FY27</t>
        </is>
      </c>
      <c r="B3950" s="19" t="inlineStr">
        <is>
          <t>Sep</t>
        </is>
      </c>
      <c r="C3950" s="19" t="inlineStr">
        <is>
          <t>Kerala</t>
        </is>
      </c>
      <c r="D3950" s="20" t="inlineStr">
        <is>
          <t>KL60E2969</t>
        </is>
      </c>
      <c r="E3950" s="20" t="inlineStr">
        <is>
          <t>HYUNDAI</t>
        </is>
      </c>
      <c r="F3950" s="20" t="inlineStr">
        <is>
          <t>Eon</t>
        </is>
      </c>
      <c r="G3950" s="21" t="n"/>
      <c r="H3950" s="22" t="n">
        <v>135000</v>
      </c>
      <c r="I3950" s="23" t="n">
        <v>71000</v>
      </c>
      <c r="J3950" s="20" t="inlineStr">
        <is>
          <t>UCD FARIS</t>
        </is>
      </c>
      <c r="K3950" s="20" t="inlineStr">
        <is>
          <t>Non-Captive</t>
        </is>
      </c>
      <c r="L3950" s="20" t="inlineStr">
        <is>
          <t>Varun Prakash</t>
        </is>
      </c>
      <c r="M3950" s="23" t="n">
        <v>5084.75</v>
      </c>
      <c r="N3950" s="23" t="n">
        <v>6000</v>
      </c>
      <c r="O3950" s="24">
        <f>IF(AND(ISNUMBER(M3950), ISNUMBER(I3950), I3950&gt;0), M3950/I3950, "")</f>
        <v/>
      </c>
    </row>
    <row r="3951">
      <c r="A3951" s="19" t="inlineStr">
        <is>
          <t>FY27</t>
        </is>
      </c>
      <c r="B3951" s="19" t="inlineStr">
        <is>
          <t>Sep</t>
        </is>
      </c>
      <c r="C3951" s="19" t="inlineStr">
        <is>
          <t>Kerala</t>
        </is>
      </c>
      <c r="D3951" s="20" t="inlineStr">
        <is>
          <t>KL60H4040</t>
        </is>
      </c>
      <c r="E3951" s="20" t="inlineStr">
        <is>
          <t>HYUNDAI</t>
        </is>
      </c>
      <c r="F3951" s="20" t="inlineStr">
        <is>
          <t>i20</t>
        </is>
      </c>
      <c r="G3951" s="21" t="n"/>
      <c r="H3951" s="22" t="n">
        <v>120000</v>
      </c>
      <c r="I3951" s="23" t="n">
        <v>296000</v>
      </c>
      <c r="J3951" s="20" t="inlineStr">
        <is>
          <t>INDUS MARUTI</t>
        </is>
      </c>
      <c r="K3951" s="20" t="inlineStr">
        <is>
          <t>Non-Captive</t>
        </is>
      </c>
      <c r="L3951" s="20" t="inlineStr">
        <is>
          <t>Mohammed Danish K</t>
        </is>
      </c>
      <c r="M3951" s="23" t="n">
        <v>5084.75</v>
      </c>
      <c r="N3951" s="23" t="n">
        <v>6000</v>
      </c>
      <c r="O3951" s="24">
        <f>IF(AND(ISNUMBER(M3951), ISNUMBER(I3951), I3951&gt;0), M3951/I3951, "")</f>
        <v/>
      </c>
    </row>
    <row r="3952">
      <c r="A3952" s="19" t="inlineStr">
        <is>
          <t>FY27</t>
        </is>
      </c>
      <c r="B3952" s="19" t="inlineStr">
        <is>
          <t>Sep</t>
        </is>
      </c>
      <c r="C3952" s="19" t="inlineStr">
        <is>
          <t>Kerala</t>
        </is>
      </c>
      <c r="D3952" s="20" t="inlineStr">
        <is>
          <t>KL60R1485</t>
        </is>
      </c>
      <c r="E3952" s="20" t="inlineStr">
        <is>
          <t>HYUNDAI</t>
        </is>
      </c>
      <c r="F3952" s="20" t="inlineStr">
        <is>
          <t>Santro</t>
        </is>
      </c>
      <c r="G3952" s="21" t="n"/>
      <c r="H3952" s="22" t="n">
        <v>54000</v>
      </c>
      <c r="I3952" s="23" t="n">
        <v>277000</v>
      </c>
      <c r="J3952" s="20" t="inlineStr">
        <is>
          <t>APCO HYUNDAI</t>
        </is>
      </c>
      <c r="K3952" s="20" t="inlineStr">
        <is>
          <t>Non-Captive</t>
        </is>
      </c>
      <c r="L3952" s="20" t="inlineStr">
        <is>
          <t>Suraj Pk</t>
        </is>
      </c>
      <c r="M3952" s="23" t="n">
        <v>4237.29</v>
      </c>
      <c r="N3952" s="23" t="n">
        <v>5000</v>
      </c>
      <c r="O3952" s="24">
        <f>IF(AND(ISNUMBER(M3952), ISNUMBER(I3952), I3952&gt;0), M3952/I3952, "")</f>
        <v/>
      </c>
    </row>
    <row r="3953">
      <c r="A3953" s="19" t="inlineStr">
        <is>
          <t>FY27</t>
        </is>
      </c>
      <c r="B3953" s="19" t="inlineStr">
        <is>
          <t>Sep</t>
        </is>
      </c>
      <c r="C3953" s="19" t="inlineStr">
        <is>
          <t>Kerala</t>
        </is>
      </c>
      <c r="D3953" s="20" t="inlineStr">
        <is>
          <t>KL60R4829</t>
        </is>
      </c>
      <c r="E3953" s="20" t="inlineStr">
        <is>
          <t>FORD</t>
        </is>
      </c>
      <c r="F3953" s="20" t="inlineStr">
        <is>
          <t>EcoSport</t>
        </is>
      </c>
      <c r="G3953" s="21" t="n"/>
      <c r="H3953" s="22" t="n">
        <v>103000</v>
      </c>
      <c r="I3953" s="23" t="n">
        <v>460000</v>
      </c>
      <c r="J3953" s="20" t="inlineStr">
        <is>
          <t>UCD FARIS</t>
        </is>
      </c>
      <c r="K3953" s="20" t="inlineStr">
        <is>
          <t>Non-Captive</t>
        </is>
      </c>
      <c r="L3953" s="20" t="inlineStr">
        <is>
          <t>Muhammed Vasil Mk</t>
        </is>
      </c>
      <c r="M3953" s="23" t="n">
        <v>8474.58</v>
      </c>
      <c r="N3953" s="23" t="n">
        <v>10000</v>
      </c>
      <c r="O3953" s="24">
        <f>IF(AND(ISNUMBER(M3953), ISNUMBER(I3953), I3953&gt;0), M3953/I3953, "")</f>
        <v/>
      </c>
    </row>
    <row r="3954">
      <c r="A3954" s="19" t="inlineStr">
        <is>
          <t>FY27</t>
        </is>
      </c>
      <c r="B3954" s="19" t="inlineStr">
        <is>
          <t>Sep</t>
        </is>
      </c>
      <c r="C3954" s="19" t="inlineStr">
        <is>
          <t>Kerala</t>
        </is>
      </c>
      <c r="D3954" s="20" t="inlineStr">
        <is>
          <t>KL63J5713</t>
        </is>
      </c>
      <c r="E3954" s="20" t="inlineStr">
        <is>
          <t>MARUTI SUZUKI</t>
        </is>
      </c>
      <c r="F3954" s="20" t="inlineStr">
        <is>
          <t>Fronx</t>
        </is>
      </c>
      <c r="G3954" s="21" t="n"/>
      <c r="H3954" s="22" t="n">
        <v>24874</v>
      </c>
      <c r="I3954" s="23" t="n">
        <v>575000</v>
      </c>
      <c r="J3954" s="20" t="inlineStr">
        <is>
          <t>POPULAR MARUTI</t>
        </is>
      </c>
      <c r="K3954" s="20" t="inlineStr">
        <is>
          <t>Non-Captive</t>
        </is>
      </c>
      <c r="L3954" s="20" t="inlineStr">
        <is>
          <t>Abin Jose</t>
        </is>
      </c>
      <c r="M3954" s="23" t="n">
        <v>12711.86</v>
      </c>
      <c r="N3954" s="23" t="n">
        <v>15000</v>
      </c>
      <c r="O3954" s="24">
        <f>IF(AND(ISNUMBER(M3954), ISNUMBER(I3954), I3954&gt;0), M3954/I3954, "")</f>
        <v/>
      </c>
    </row>
    <row r="3955">
      <c r="A3955" s="19" t="inlineStr">
        <is>
          <t>FY27</t>
        </is>
      </c>
      <c r="B3955" s="19" t="inlineStr">
        <is>
          <t>Sep</t>
        </is>
      </c>
      <c r="C3955" s="19" t="inlineStr">
        <is>
          <t>Kerala</t>
        </is>
      </c>
      <c r="D3955" s="20" t="inlineStr">
        <is>
          <t>KL64J3017</t>
        </is>
      </c>
      <c r="E3955" s="20" t="inlineStr">
        <is>
          <t>DATSUN</t>
        </is>
      </c>
      <c r="F3955" s="20" t="inlineStr">
        <is>
          <t>Redi-GO</t>
        </is>
      </c>
      <c r="G3955" s="21" t="n"/>
      <c r="H3955" s="22" t="n">
        <v>20022</v>
      </c>
      <c r="I3955" s="23" t="n">
        <v>210000</v>
      </c>
      <c r="J3955" s="20" t="inlineStr">
        <is>
          <t>PINNACLE NISSAN</t>
        </is>
      </c>
      <c r="K3955" s="20" t="inlineStr">
        <is>
          <t>Non-Captive</t>
        </is>
      </c>
      <c r="L3955" s="20" t="inlineStr">
        <is>
          <t>Aitos Cars</t>
        </is>
      </c>
      <c r="M3955" s="23" t="n">
        <v>8474.58</v>
      </c>
      <c r="N3955" s="23" t="n">
        <v>10000</v>
      </c>
      <c r="O3955" s="24">
        <f>IF(AND(ISNUMBER(M3955), ISNUMBER(I3955), I3955&gt;0), M3955/I3955, "")</f>
        <v/>
      </c>
    </row>
    <row r="3956">
      <c r="A3956" s="19" t="inlineStr">
        <is>
          <t>FY27</t>
        </is>
      </c>
      <c r="B3956" s="19" t="inlineStr">
        <is>
          <t>Sep</t>
        </is>
      </c>
      <c r="C3956" s="19" t="inlineStr">
        <is>
          <t>Kerala</t>
        </is>
      </c>
      <c r="D3956" s="20" t="inlineStr">
        <is>
          <t>KL65H1444</t>
        </is>
      </c>
      <c r="E3956" s="20" t="inlineStr">
        <is>
          <t>MARUTI SUZUKI</t>
        </is>
      </c>
      <c r="F3956" s="20" t="inlineStr">
        <is>
          <t>Swift</t>
        </is>
      </c>
      <c r="G3956" s="21" t="n"/>
      <c r="H3956" s="22" t="n">
        <v>89000</v>
      </c>
      <c r="I3956" s="23" t="n">
        <v>460000</v>
      </c>
      <c r="J3956" s="20" t="inlineStr">
        <is>
          <t>BIMAL MARUTI</t>
        </is>
      </c>
      <c r="K3956" s="20" t="inlineStr">
        <is>
          <t>Non-Captive</t>
        </is>
      </c>
      <c r="L3956" s="20" t="inlineStr">
        <is>
          <t>Fasalurahman A C</t>
        </is>
      </c>
      <c r="M3956" s="23" t="n">
        <v>8474.58</v>
      </c>
      <c r="N3956" s="23" t="n">
        <v>10000</v>
      </c>
      <c r="O3956" s="24">
        <f>IF(AND(ISNUMBER(M3956), ISNUMBER(I3956), I3956&gt;0), M3956/I3956, "")</f>
        <v/>
      </c>
    </row>
    <row r="3957">
      <c r="A3957" s="19" t="inlineStr">
        <is>
          <t>FY27</t>
        </is>
      </c>
      <c r="B3957" s="19" t="inlineStr">
        <is>
          <t>Sep</t>
        </is>
      </c>
      <c r="C3957" s="19" t="inlineStr">
        <is>
          <t>Kerala</t>
        </is>
      </c>
      <c r="D3957" s="20" t="inlineStr">
        <is>
          <t>KL65L7004</t>
        </is>
      </c>
      <c r="E3957" s="20" t="inlineStr">
        <is>
          <t>HYUNDAI</t>
        </is>
      </c>
      <c r="F3957" s="20" t="inlineStr">
        <is>
          <t>i20</t>
        </is>
      </c>
      <c r="G3957" s="21" t="n"/>
      <c r="H3957" s="22" t="n">
        <v>35000</v>
      </c>
      <c r="I3957" s="23" t="n">
        <v>410000</v>
      </c>
      <c r="J3957" s="20" t="inlineStr">
        <is>
          <t>KVR TATA</t>
        </is>
      </c>
      <c r="K3957" s="20" t="inlineStr">
        <is>
          <t>Non-Captive</t>
        </is>
      </c>
      <c r="L3957" s="20" t="inlineStr">
        <is>
          <t>Sanoop K M</t>
        </is>
      </c>
      <c r="M3957" s="23" t="n">
        <v>8474.58</v>
      </c>
      <c r="N3957" s="23" t="n">
        <v>10000</v>
      </c>
      <c r="O3957" s="24">
        <f>IF(AND(ISNUMBER(M3957), ISNUMBER(I3957), I3957&gt;0), M3957/I3957, "")</f>
        <v/>
      </c>
    </row>
    <row r="3958">
      <c r="A3958" s="19" t="inlineStr">
        <is>
          <t>FY27</t>
        </is>
      </c>
      <c r="B3958" s="19" t="inlineStr">
        <is>
          <t>Sep</t>
        </is>
      </c>
      <c r="C3958" s="19" t="inlineStr">
        <is>
          <t>Kerala</t>
        </is>
      </c>
      <c r="D3958" s="20" t="inlineStr">
        <is>
          <t>KL753962</t>
        </is>
      </c>
      <c r="E3958" s="20" t="inlineStr">
        <is>
          <t>HYUNDAI</t>
        </is>
      </c>
      <c r="F3958" s="20" t="inlineStr">
        <is>
          <t>Creta</t>
        </is>
      </c>
      <c r="G3958" s="21" t="n"/>
      <c r="H3958" s="22" t="n">
        <v>51494</v>
      </c>
      <c r="I3958" s="23" t="n">
        <v>835000</v>
      </c>
      <c r="J3958" s="20" t="inlineStr">
        <is>
          <t>EVM CITROEN</t>
        </is>
      </c>
      <c r="K3958" s="20" t="inlineStr">
        <is>
          <t>Non-Captive</t>
        </is>
      </c>
      <c r="L3958" s="20" t="inlineStr">
        <is>
          <t>Tg7(Reswin)</t>
        </is>
      </c>
      <c r="M3958" s="23" t="n">
        <v>8474.58</v>
      </c>
      <c r="N3958" s="23" t="n">
        <v>10000</v>
      </c>
      <c r="O3958" s="24">
        <f>IF(AND(ISNUMBER(M3958), ISNUMBER(I3958), I3958&gt;0), M3958/I3958, "")</f>
        <v/>
      </c>
    </row>
    <row r="3959">
      <c r="A3959" s="19" t="inlineStr">
        <is>
          <t>FY27</t>
        </is>
      </c>
      <c r="B3959" s="19" t="inlineStr">
        <is>
          <t>Sep</t>
        </is>
      </c>
      <c r="C3959" s="19" t="inlineStr">
        <is>
          <t>Kerala</t>
        </is>
      </c>
      <c r="D3959" s="20" t="inlineStr">
        <is>
          <t>KL781864</t>
        </is>
      </c>
      <c r="E3959" s="20" t="inlineStr">
        <is>
          <t>MAHINDRA</t>
        </is>
      </c>
      <c r="F3959" s="20" t="inlineStr">
        <is>
          <t>Marazzo</t>
        </is>
      </c>
      <c r="G3959" s="21" t="n"/>
      <c r="H3959" s="22" t="n">
        <v>61000</v>
      </c>
      <c r="I3959" s="23" t="n">
        <v>500000</v>
      </c>
      <c r="J3959" s="20" t="inlineStr">
        <is>
          <t>SAP MAHINDRA</t>
        </is>
      </c>
      <c r="K3959" s="20" t="inlineStr">
        <is>
          <t>Non-Captive</t>
        </is>
      </c>
      <c r="L3959" s="20" t="inlineStr">
        <is>
          <t>Autobot</t>
        </is>
      </c>
      <c r="M3959" s="23" t="n">
        <v>8474.58</v>
      </c>
      <c r="N3959" s="23" t="n">
        <v>10000</v>
      </c>
      <c r="O3959" s="24">
        <f>IF(AND(ISNUMBER(M3959), ISNUMBER(I3959), I3959&gt;0), M3959/I3959, "")</f>
        <v/>
      </c>
    </row>
    <row r="3960">
      <c r="A3960" s="19" t="inlineStr">
        <is>
          <t>FY27</t>
        </is>
      </c>
      <c r="B3960" s="19" t="inlineStr">
        <is>
          <t>Sep</t>
        </is>
      </c>
      <c r="C3960" s="19" t="inlineStr">
        <is>
          <t>Kerala</t>
        </is>
      </c>
      <c r="D3960" s="20" t="inlineStr">
        <is>
          <t>KL78A7234</t>
        </is>
      </c>
      <c r="E3960" s="20" t="inlineStr">
        <is>
          <t>TATA</t>
        </is>
      </c>
      <c r="F3960" s="20" t="inlineStr">
        <is>
          <t>Altroz</t>
        </is>
      </c>
      <c r="G3960" s="21" t="n"/>
      <c r="H3960" s="22" t="n">
        <v>68000</v>
      </c>
      <c r="I3960" s="23" t="n">
        <v>290000</v>
      </c>
      <c r="J3960" s="20" t="inlineStr">
        <is>
          <t>POPULAR MARUTI</t>
        </is>
      </c>
      <c r="K3960" s="20" t="inlineStr">
        <is>
          <t>Non-Captive</t>
        </is>
      </c>
      <c r="L3960" s="20" t="inlineStr">
        <is>
          <t>P Muhammed Fayis</t>
        </is>
      </c>
      <c r="M3960" s="23" t="n">
        <v>8474.58</v>
      </c>
      <c r="N3960" s="23" t="n">
        <v>10000</v>
      </c>
      <c r="O3960" s="24">
        <f>IF(AND(ISNUMBER(M3960), ISNUMBER(I3960), I3960&gt;0), M3960/I3960, "")</f>
        <v/>
      </c>
    </row>
    <row r="3961">
      <c r="A3961" s="19" t="inlineStr">
        <is>
          <t>FY27</t>
        </is>
      </c>
      <c r="B3961" s="19" t="inlineStr">
        <is>
          <t>Sep</t>
        </is>
      </c>
      <c r="C3961" s="19" t="inlineStr">
        <is>
          <t>Kerala</t>
        </is>
      </c>
      <c r="D3961" s="20" t="inlineStr">
        <is>
          <t>KL78B8091</t>
        </is>
      </c>
      <c r="E3961" s="20" t="inlineStr">
        <is>
          <t>HYUNDAI</t>
        </is>
      </c>
      <c r="F3961" s="20" t="inlineStr">
        <is>
          <t>Venue</t>
        </is>
      </c>
      <c r="G3961" s="21" t="n"/>
      <c r="H3961" s="22" t="n">
        <v>57000</v>
      </c>
      <c r="I3961" s="23" t="n">
        <v>656000</v>
      </c>
      <c r="J3961" s="20" t="inlineStr">
        <is>
          <t>AMANA TOYOTA</t>
        </is>
      </c>
      <c r="K3961" s="20" t="inlineStr">
        <is>
          <t>Non-Captive</t>
        </is>
      </c>
      <c r="L3961" s="20" t="inlineStr">
        <is>
          <t>Prajosh A M</t>
        </is>
      </c>
      <c r="M3961" s="23" t="n">
        <v>5084.75</v>
      </c>
      <c r="N3961" s="23" t="n">
        <v>6000</v>
      </c>
      <c r="O3961" s="24">
        <f>IF(AND(ISNUMBER(M3961), ISNUMBER(I3961), I3961&gt;0), M3961/I3961, "")</f>
        <v/>
      </c>
    </row>
    <row r="3962">
      <c r="A3962" s="19" t="inlineStr">
        <is>
          <t>FY27</t>
        </is>
      </c>
      <c r="B3962" s="19" t="inlineStr">
        <is>
          <t>Sep</t>
        </is>
      </c>
      <c r="C3962" s="19" t="inlineStr">
        <is>
          <t>Kerala</t>
        </is>
      </c>
      <c r="D3962" s="20" t="inlineStr">
        <is>
          <t>KL794554</t>
        </is>
      </c>
      <c r="E3962" s="20" t="inlineStr">
        <is>
          <t>MARUTI SUZUKI</t>
        </is>
      </c>
      <c r="F3962" s="20" t="inlineStr">
        <is>
          <t>S-Cross</t>
        </is>
      </c>
      <c r="G3962" s="21" t="n"/>
      <c r="H3962" s="22" t="n">
        <v>123400</v>
      </c>
      <c r="I3962" s="23" t="n">
        <v>640000</v>
      </c>
      <c r="J3962" s="20" t="inlineStr">
        <is>
          <t>KVR TATA</t>
        </is>
      </c>
      <c r="K3962" s="20" t="inlineStr">
        <is>
          <t>Non-Captive</t>
        </is>
      </c>
      <c r="L3962" s="20" t="inlineStr">
        <is>
          <t>Shafras K</t>
        </is>
      </c>
      <c r="M3962" s="23" t="n">
        <v>4237.29</v>
      </c>
      <c r="N3962" s="23" t="n">
        <v>5000</v>
      </c>
      <c r="O3962" s="24">
        <f>IF(AND(ISNUMBER(M3962), ISNUMBER(I3962), I3962&gt;0), M3962/I3962, "")</f>
        <v/>
      </c>
    </row>
    <row r="3963">
      <c r="A3963" s="19" t="inlineStr">
        <is>
          <t>FY27</t>
        </is>
      </c>
      <c r="B3963" s="19" t="inlineStr">
        <is>
          <t>Sep</t>
        </is>
      </c>
      <c r="C3963" s="19" t="inlineStr">
        <is>
          <t>Kerala</t>
        </is>
      </c>
      <c r="D3963" s="20" t="inlineStr">
        <is>
          <t>KL797247</t>
        </is>
      </c>
      <c r="E3963" s="20" t="inlineStr">
        <is>
          <t>MARUTI SUZUKI</t>
        </is>
      </c>
      <c r="F3963" s="20" t="inlineStr">
        <is>
          <t>Alto</t>
        </is>
      </c>
      <c r="G3963" s="21" t="n"/>
      <c r="H3963" s="22" t="n">
        <v>54000</v>
      </c>
      <c r="I3963" s="23" t="n">
        <v>265000</v>
      </c>
      <c r="J3963" s="20" t="inlineStr">
        <is>
          <t>MAHINDRA FINANCE</t>
        </is>
      </c>
      <c r="K3963" s="20" t="inlineStr">
        <is>
          <t>Non-Captive</t>
        </is>
      </c>
      <c r="L3963" s="20" t="inlineStr">
        <is>
          <t>Varun Prakash</t>
        </is>
      </c>
      <c r="M3963" s="23" t="n">
        <v>4237.29</v>
      </c>
      <c r="N3963" s="23" t="n">
        <v>5000</v>
      </c>
      <c r="O3963" s="24">
        <f>IF(AND(ISNUMBER(M3963), ISNUMBER(I3963), I3963&gt;0), M3963/I3963, "")</f>
        <v/>
      </c>
    </row>
    <row r="3964">
      <c r="A3964" s="19" t="inlineStr">
        <is>
          <t>FY27</t>
        </is>
      </c>
      <c r="B3964" s="19" t="inlineStr">
        <is>
          <t>Sep</t>
        </is>
      </c>
      <c r="C3964" s="19" t="inlineStr">
        <is>
          <t>TN</t>
        </is>
      </c>
      <c r="D3964" s="20" t="inlineStr">
        <is>
          <t>KL01BM6644</t>
        </is>
      </c>
      <c r="E3964" s="20" t="inlineStr">
        <is>
          <t>HYUNDAI</t>
        </is>
      </c>
      <c r="F3964" s="20" t="inlineStr">
        <is>
          <t>Santro</t>
        </is>
      </c>
      <c r="G3964" s="21" t="n">
        <v>2013</v>
      </c>
      <c r="H3964" s="22" t="n">
        <v>82694</v>
      </c>
      <c r="I3964" s="23" t="n">
        <v>70000</v>
      </c>
      <c r="J3964" s="20" t="inlineStr">
        <is>
          <t>POPULAR MOTORWORLD PVT LTD</t>
        </is>
      </c>
      <c r="K3964" s="20" t="inlineStr">
        <is>
          <t>Non-Captive</t>
        </is>
      </c>
      <c r="L3964" s="20" t="inlineStr">
        <is>
          <t>Shamnad Ah</t>
        </is>
      </c>
      <c r="M3964" s="23" t="n">
        <v>8474.58</v>
      </c>
      <c r="N3964" s="23" t="n">
        <v>10000</v>
      </c>
      <c r="O3964" s="24">
        <f>IF(AND(ISNUMBER(M3964), ISNUMBER(I3964), I3964&gt;0), M3964/I3964, "")</f>
        <v/>
      </c>
    </row>
    <row r="3965">
      <c r="A3965" s="19" t="inlineStr">
        <is>
          <t>FY27</t>
        </is>
      </c>
      <c r="B3965" s="19" t="inlineStr">
        <is>
          <t>Sep</t>
        </is>
      </c>
      <c r="C3965" s="19" t="inlineStr">
        <is>
          <t>TN</t>
        </is>
      </c>
      <c r="D3965" s="20" t="inlineStr">
        <is>
          <t>KL01BT4955</t>
        </is>
      </c>
      <c r="E3965" s="20" t="inlineStr">
        <is>
          <t>HONDA</t>
        </is>
      </c>
      <c r="F3965" s="20" t="inlineStr">
        <is>
          <t>City</t>
        </is>
      </c>
      <c r="G3965" s="21" t="n">
        <v>2015</v>
      </c>
      <c r="H3965" s="22" t="n">
        <v>105723</v>
      </c>
      <c r="I3965" s="23" t="n">
        <v>380000</v>
      </c>
      <c r="J3965" s="20" t="inlineStr">
        <is>
          <t>DERIK MOTORS PRIVATE LIMITED</t>
        </is>
      </c>
      <c r="K3965" s="20" t="inlineStr">
        <is>
          <t>Non-Captive</t>
        </is>
      </c>
      <c r="L3965" s="20" t="inlineStr">
        <is>
          <t>True Choise</t>
        </is>
      </c>
      <c r="M3965" s="23" t="n">
        <v>6016.95</v>
      </c>
      <c r="N3965" s="23" t="n">
        <v>7100</v>
      </c>
      <c r="O3965" s="24">
        <f>IF(AND(ISNUMBER(M3965), ISNUMBER(I3965), I3965&gt;0), M3965/I3965, "")</f>
        <v/>
      </c>
    </row>
    <row r="3966">
      <c r="A3966" s="19" t="inlineStr">
        <is>
          <t>FY27</t>
        </is>
      </c>
      <c r="B3966" s="19" t="inlineStr">
        <is>
          <t>Sep</t>
        </is>
      </c>
      <c r="C3966" s="19" t="inlineStr">
        <is>
          <t>TN</t>
        </is>
      </c>
      <c r="D3966" s="20" t="inlineStr">
        <is>
          <t>KL01BU9640</t>
        </is>
      </c>
      <c r="E3966" s="20" t="inlineStr">
        <is>
          <t>MARUTI SUZUKI</t>
        </is>
      </c>
      <c r="F3966" s="20" t="inlineStr">
        <is>
          <t>Ciaz</t>
        </is>
      </c>
      <c r="G3966" s="21" t="n">
        <v>2015</v>
      </c>
      <c r="H3966" s="22" t="n"/>
      <c r="I3966" s="23" t="n">
        <v>360000</v>
      </c>
      <c r="J3966" s="20" t="inlineStr">
        <is>
          <t>DERIK MOTORS PRIVATE LIMITED</t>
        </is>
      </c>
      <c r="K3966" s="20" t="inlineStr">
        <is>
          <t>Non-Captive</t>
        </is>
      </c>
      <c r="L3966" s="20" t="inlineStr">
        <is>
          <t>True Choise</t>
        </is>
      </c>
      <c r="M3966" s="23" t="n">
        <v>6016.95</v>
      </c>
      <c r="N3966" s="23" t="n">
        <v>7100</v>
      </c>
      <c r="O3966" s="24">
        <f>IF(AND(ISNUMBER(M3966), ISNUMBER(I3966), I3966&gt;0), M3966/I3966, "")</f>
        <v/>
      </c>
    </row>
    <row r="3967">
      <c r="A3967" s="19" t="inlineStr">
        <is>
          <t>FY27</t>
        </is>
      </c>
      <c r="B3967" s="19" t="inlineStr">
        <is>
          <t>Sep</t>
        </is>
      </c>
      <c r="C3967" s="19" t="inlineStr">
        <is>
          <t>TN</t>
        </is>
      </c>
      <c r="D3967" s="20" t="inlineStr">
        <is>
          <t>KL01CJ2721</t>
        </is>
      </c>
      <c r="E3967" s="20" t="inlineStr">
        <is>
          <t>TATA</t>
        </is>
      </c>
      <c r="F3967" s="20" t="inlineStr">
        <is>
          <t>Tiago</t>
        </is>
      </c>
      <c r="G3967" s="21" t="n">
        <v>2018</v>
      </c>
      <c r="H3967" s="22" t="n">
        <v>8000</v>
      </c>
      <c r="I3967" s="23" t="n">
        <v>369000</v>
      </c>
      <c r="J3967" s="20" t="inlineStr">
        <is>
          <t>POPULAR MOTORWORLD PVT LTD</t>
        </is>
      </c>
      <c r="K3967" s="20" t="inlineStr">
        <is>
          <t>Non-Captive</t>
        </is>
      </c>
      <c r="L3967" s="20" t="inlineStr">
        <is>
          <t>Popular Vehicles And Services Limited</t>
        </is>
      </c>
      <c r="M3967" s="23" t="n">
        <v>10084.75</v>
      </c>
      <c r="N3967" s="23" t="n">
        <v>11900</v>
      </c>
      <c r="O3967" s="24">
        <f>IF(AND(ISNUMBER(M3967), ISNUMBER(I3967), I3967&gt;0), M3967/I3967, "")</f>
        <v/>
      </c>
    </row>
    <row r="3968">
      <c r="A3968" s="19" t="inlineStr">
        <is>
          <t>FY27</t>
        </is>
      </c>
      <c r="B3968" s="19" t="inlineStr">
        <is>
          <t>Sep</t>
        </is>
      </c>
      <c r="C3968" s="19" t="inlineStr">
        <is>
          <t>TN</t>
        </is>
      </c>
      <c r="D3968" s="20" t="inlineStr">
        <is>
          <t>KL21L4141</t>
        </is>
      </c>
      <c r="E3968" s="20" t="inlineStr">
        <is>
          <t>MARUTI SUZUKI</t>
        </is>
      </c>
      <c r="F3968" s="20" t="inlineStr">
        <is>
          <t>Ciaz</t>
        </is>
      </c>
      <c r="G3968" s="21" t="n">
        <v>2015</v>
      </c>
      <c r="H3968" s="22" t="n">
        <v>107137</v>
      </c>
      <c r="I3968" s="23" t="n">
        <v>180000</v>
      </c>
      <c r="J3968" s="20" t="inlineStr">
        <is>
          <t>NIPPON TOYOTA</t>
        </is>
      </c>
      <c r="K3968" s="20" t="inlineStr">
        <is>
          <t>Non-Captive</t>
        </is>
      </c>
      <c r="L3968" s="20" t="inlineStr">
        <is>
          <t>Shamnad Ah</t>
        </is>
      </c>
      <c r="M3968" s="23" t="n">
        <v>6016.95</v>
      </c>
      <c r="N3968" s="23" t="n">
        <v>7100</v>
      </c>
      <c r="O3968" s="24">
        <f>IF(AND(ISNUMBER(M3968), ISNUMBER(I3968), I3968&gt;0), M3968/I3968, "")</f>
        <v/>
      </c>
    </row>
    <row r="3969">
      <c r="A3969" s="19" t="inlineStr">
        <is>
          <t>FY27</t>
        </is>
      </c>
      <c r="B3969" s="19" t="inlineStr">
        <is>
          <t>Sep</t>
        </is>
      </c>
      <c r="C3969" s="19" t="inlineStr">
        <is>
          <t>TN</t>
        </is>
      </c>
      <c r="D3969" s="20" t="inlineStr">
        <is>
          <t>KL21S3470</t>
        </is>
      </c>
      <c r="E3969" s="20" t="inlineStr">
        <is>
          <t>HYUNDAI</t>
        </is>
      </c>
      <c r="F3969" s="20" t="inlineStr">
        <is>
          <t>Eon</t>
        </is>
      </c>
      <c r="G3969" s="21" t="n">
        <v>2018</v>
      </c>
      <c r="H3969" s="22" t="n">
        <v>35706</v>
      </c>
      <c r="I3969" s="23" t="n">
        <v>175000</v>
      </c>
      <c r="J3969" s="20" t="inlineStr">
        <is>
          <t>KAIRALI TOYOTA</t>
        </is>
      </c>
      <c r="K3969" s="20" t="inlineStr">
        <is>
          <t>Non-Captive</t>
        </is>
      </c>
      <c r="L3969" s="20" t="inlineStr">
        <is>
          <t>Popular Thrissur</t>
        </is>
      </c>
      <c r="M3969" s="23" t="n">
        <v>5000</v>
      </c>
      <c r="N3969" s="23" t="n">
        <v>5900</v>
      </c>
      <c r="O3969" s="24">
        <f>IF(AND(ISNUMBER(M3969), ISNUMBER(I3969), I3969&gt;0), M3969/I3969, "")</f>
        <v/>
      </c>
    </row>
    <row r="3970">
      <c r="A3970" s="19" t="inlineStr">
        <is>
          <t>FY27</t>
        </is>
      </c>
      <c r="B3970" s="19" t="inlineStr">
        <is>
          <t>Sep</t>
        </is>
      </c>
      <c r="C3970" s="19" t="inlineStr">
        <is>
          <t>TN</t>
        </is>
      </c>
      <c r="D3970" s="20" t="inlineStr">
        <is>
          <t>KL21S5933</t>
        </is>
      </c>
      <c r="E3970" s="20" t="inlineStr">
        <is>
          <t>HYUNDAI</t>
        </is>
      </c>
      <c r="F3970" s="20" t="inlineStr">
        <is>
          <t>i20</t>
        </is>
      </c>
      <c r="G3970" s="21" t="n">
        <v>2019</v>
      </c>
      <c r="H3970" s="22" t="n">
        <v>66215</v>
      </c>
      <c r="I3970" s="23" t="n">
        <v>175000</v>
      </c>
      <c r="J3970" s="20" t="inlineStr">
        <is>
          <t>POPULAR MOTORWORLD PVT LTD</t>
        </is>
      </c>
      <c r="K3970" s="20" t="inlineStr">
        <is>
          <t>Non-Captive</t>
        </is>
      </c>
      <c r="L3970" s="20" t="inlineStr">
        <is>
          <t>Popular Alleppy</t>
        </is>
      </c>
      <c r="M3970" s="23" t="n">
        <v>5000</v>
      </c>
      <c r="N3970" s="23" t="n">
        <v>5900</v>
      </c>
      <c r="O3970" s="24">
        <f>IF(AND(ISNUMBER(M3970), ISNUMBER(I3970), I3970&gt;0), M3970/I3970, "")</f>
        <v/>
      </c>
    </row>
    <row r="3971">
      <c r="A3971" s="19" t="inlineStr">
        <is>
          <t>FY27</t>
        </is>
      </c>
      <c r="B3971" s="19" t="inlineStr">
        <is>
          <t>Sep</t>
        </is>
      </c>
      <c r="C3971" s="19" t="inlineStr">
        <is>
          <t>TN</t>
        </is>
      </c>
      <c r="D3971" s="20" t="inlineStr">
        <is>
          <t>KL21U6393</t>
        </is>
      </c>
      <c r="E3971" s="20" t="inlineStr">
        <is>
          <t>MARUTI SUZUKI</t>
        </is>
      </c>
      <c r="F3971" s="20" t="inlineStr">
        <is>
          <t>Celerio</t>
        </is>
      </c>
      <c r="G3971" s="21" t="n">
        <v>2019</v>
      </c>
      <c r="H3971" s="22" t="n">
        <v>8000</v>
      </c>
      <c r="I3971" s="23" t="n">
        <v>369000</v>
      </c>
      <c r="J3971" s="20" t="inlineStr">
        <is>
          <t>POPULAR MOTORWORLD PVT LTD</t>
        </is>
      </c>
      <c r="K3971" s="20" t="inlineStr">
        <is>
          <t>Non-Captive</t>
        </is>
      </c>
      <c r="L3971" s="20" t="inlineStr">
        <is>
          <t>Popular Vehicles And Services Limited</t>
        </is>
      </c>
      <c r="M3971" s="23" t="n">
        <v>10084.75</v>
      </c>
      <c r="N3971" s="23" t="n">
        <v>11900</v>
      </c>
      <c r="O3971" s="24">
        <f>IF(AND(ISNUMBER(M3971), ISNUMBER(I3971), I3971&gt;0), M3971/I3971, "")</f>
        <v/>
      </c>
    </row>
    <row r="3972">
      <c r="A3972" s="19" t="inlineStr">
        <is>
          <t>FY27</t>
        </is>
      </c>
      <c r="B3972" s="19" t="inlineStr">
        <is>
          <t>Sep</t>
        </is>
      </c>
      <c r="C3972" s="19" t="inlineStr">
        <is>
          <t>TN</t>
        </is>
      </c>
      <c r="D3972" s="20" t="inlineStr">
        <is>
          <t>KL22N1267</t>
        </is>
      </c>
      <c r="E3972" s="20" t="inlineStr">
        <is>
          <t>MARUTI SUZUKI</t>
        </is>
      </c>
      <c r="F3972" s="20" t="inlineStr">
        <is>
          <t>Wagon R</t>
        </is>
      </c>
      <c r="G3972" s="21" t="n">
        <v>2019</v>
      </c>
      <c r="H3972" s="22" t="n">
        <v>30867</v>
      </c>
      <c r="I3972" s="23" t="n">
        <v>175000</v>
      </c>
      <c r="J3972" s="20" t="inlineStr">
        <is>
          <t>NIPPON TOYOTA</t>
        </is>
      </c>
      <c r="K3972" s="20" t="inlineStr">
        <is>
          <t>Non-Captive</t>
        </is>
      </c>
      <c r="L3972" s="20" t="inlineStr">
        <is>
          <t>Popular Kottayam</t>
        </is>
      </c>
      <c r="M3972" s="23" t="n">
        <v>5000</v>
      </c>
      <c r="N3972" s="23" t="n">
        <v>5900</v>
      </c>
      <c r="O3972" s="24">
        <f>IF(AND(ISNUMBER(M3972), ISNUMBER(I3972), I3972&gt;0), M3972/I3972, "")</f>
        <v/>
      </c>
    </row>
    <row r="3973">
      <c r="A3973" s="19" t="inlineStr">
        <is>
          <t>FY27</t>
        </is>
      </c>
      <c r="B3973" s="19" t="inlineStr">
        <is>
          <t>Sep</t>
        </is>
      </c>
      <c r="C3973" s="19" t="inlineStr">
        <is>
          <t>TN</t>
        </is>
      </c>
      <c r="D3973" s="20" t="inlineStr">
        <is>
          <t>KL22P1290</t>
        </is>
      </c>
      <c r="E3973" s="20" t="inlineStr">
        <is>
          <t>MARUTI SUZUKI</t>
        </is>
      </c>
      <c r="F3973" s="20" t="inlineStr">
        <is>
          <t>Vitara Brezza</t>
        </is>
      </c>
      <c r="G3973" s="21" t="n">
        <v>2020</v>
      </c>
      <c r="H3973" s="22" t="n">
        <v>84872</v>
      </c>
      <c r="I3973" s="23" t="n">
        <v>180000</v>
      </c>
      <c r="J3973" s="20" t="inlineStr">
        <is>
          <t>NIPPON TOYOTA</t>
        </is>
      </c>
      <c r="K3973" s="20" t="inlineStr">
        <is>
          <t>Non-Captive</t>
        </is>
      </c>
      <c r="L3973" s="20" t="inlineStr">
        <is>
          <t>Genuine Cars</t>
        </is>
      </c>
      <c r="M3973" s="23" t="n">
        <v>8474.58</v>
      </c>
      <c r="N3973" s="23" t="n">
        <v>10000</v>
      </c>
      <c r="O3973" s="24">
        <f>IF(AND(ISNUMBER(M3973), ISNUMBER(I3973), I3973&gt;0), M3973/I3973, "")</f>
        <v/>
      </c>
    </row>
    <row r="3974">
      <c r="A3974" s="19" t="inlineStr">
        <is>
          <t>FY27</t>
        </is>
      </c>
      <c r="B3974" s="19" t="inlineStr">
        <is>
          <t>Sep</t>
        </is>
      </c>
      <c r="C3974" s="19" t="inlineStr">
        <is>
          <t>TN</t>
        </is>
      </c>
      <c r="D3974" s="20" t="inlineStr">
        <is>
          <t>KL22Q2843</t>
        </is>
      </c>
      <c r="E3974" s="20" t="inlineStr">
        <is>
          <t>MARUTI SUZUKI</t>
        </is>
      </c>
      <c r="F3974" s="20" t="inlineStr">
        <is>
          <t>Wagon R</t>
        </is>
      </c>
      <c r="G3974" s="21" t="n">
        <v>2021</v>
      </c>
      <c r="H3974" s="22" t="n">
        <v>53444</v>
      </c>
      <c r="I3974" s="23" t="n">
        <v>180000</v>
      </c>
      <c r="J3974" s="20" t="inlineStr">
        <is>
          <t>TRUST N DRIVE</t>
        </is>
      </c>
      <c r="K3974" s="20" t="inlineStr">
        <is>
          <t>Non-Captive</t>
        </is>
      </c>
      <c r="L3974" s="20" t="inlineStr">
        <is>
          <t>Popular Alleppy</t>
        </is>
      </c>
      <c r="M3974" s="23" t="n">
        <v>5000</v>
      </c>
      <c r="N3974" s="23" t="n">
        <v>5900</v>
      </c>
      <c r="O3974" s="24">
        <f>IF(AND(ISNUMBER(M3974), ISNUMBER(I3974), I3974&gt;0), M3974/I3974, "")</f>
        <v/>
      </c>
    </row>
    <row r="3975">
      <c r="A3975" s="19" t="inlineStr">
        <is>
          <t>FY27</t>
        </is>
      </c>
      <c r="B3975" s="19" t="inlineStr">
        <is>
          <t>Sep</t>
        </is>
      </c>
      <c r="C3975" s="19" t="inlineStr">
        <is>
          <t>TN</t>
        </is>
      </c>
      <c r="D3975" s="20" t="inlineStr">
        <is>
          <t>KL23W3850</t>
        </is>
      </c>
      <c r="E3975" s="20" t="inlineStr">
        <is>
          <t>NISSAN</t>
        </is>
      </c>
      <c r="F3975" s="20" t="inlineStr">
        <is>
          <t>Magnite</t>
        </is>
      </c>
      <c r="G3975" s="21" t="n">
        <v>2023</v>
      </c>
      <c r="H3975" s="22" t="n">
        <v>41562</v>
      </c>
      <c r="I3975" s="23" t="n">
        <v>180000</v>
      </c>
      <c r="J3975" s="20" t="inlineStr">
        <is>
          <t>EVM NISSAN (EVM AUTOMOBILES PRIVATE LIMITED)</t>
        </is>
      </c>
      <c r="K3975" s="20" t="inlineStr">
        <is>
          <t>Non-Captive</t>
        </is>
      </c>
      <c r="L3975" s="20" t="inlineStr">
        <is>
          <t>Popular Alleppy</t>
        </is>
      </c>
      <c r="M3975" s="23" t="n">
        <v>5000</v>
      </c>
      <c r="N3975" s="23" t="n">
        <v>5900</v>
      </c>
      <c r="O3975" s="24">
        <f>IF(AND(ISNUMBER(M3975), ISNUMBER(I3975), I3975&gt;0), M3975/I3975, "")</f>
        <v/>
      </c>
    </row>
    <row r="3976">
      <c r="A3976" s="19" t="inlineStr">
        <is>
          <t>FY27</t>
        </is>
      </c>
      <c r="B3976" s="19" t="inlineStr">
        <is>
          <t>Sep</t>
        </is>
      </c>
      <c r="C3976" s="19" t="inlineStr">
        <is>
          <t>TN</t>
        </is>
      </c>
      <c r="D3976" s="20" t="inlineStr">
        <is>
          <t>KL26K5191</t>
        </is>
      </c>
      <c r="E3976" s="20" t="inlineStr">
        <is>
          <t>MARUTI SUZUKI</t>
        </is>
      </c>
      <c r="F3976" s="20" t="inlineStr">
        <is>
          <t>Wagon R</t>
        </is>
      </c>
      <c r="G3976" s="21" t="n">
        <v>2019</v>
      </c>
      <c r="H3976" s="22" t="n">
        <v>71639</v>
      </c>
      <c r="I3976" s="23" t="n">
        <v>180000</v>
      </c>
      <c r="J3976" s="20" t="inlineStr">
        <is>
          <t>POPULAR MOTORWORLD PVT LTD</t>
        </is>
      </c>
      <c r="K3976" s="20" t="inlineStr">
        <is>
          <t>Non-Captive</t>
        </is>
      </c>
      <c r="L3976" s="20" t="inlineStr">
        <is>
          <t>Popular Kottayam</t>
        </is>
      </c>
      <c r="M3976" s="23" t="n">
        <v>5000</v>
      </c>
      <c r="N3976" s="23" t="n">
        <v>5900</v>
      </c>
      <c r="O3976" s="24">
        <f>IF(AND(ISNUMBER(M3976), ISNUMBER(I3976), I3976&gt;0), M3976/I3976, "")</f>
        <v/>
      </c>
    </row>
    <row r="3977">
      <c r="A3977" s="19" t="inlineStr">
        <is>
          <t>FY27</t>
        </is>
      </c>
      <c r="B3977" s="19" t="inlineStr">
        <is>
          <t>Sep</t>
        </is>
      </c>
      <c r="C3977" s="19" t="inlineStr">
        <is>
          <t>TN</t>
        </is>
      </c>
      <c r="D3977" s="20" t="inlineStr">
        <is>
          <t>KL41N8552</t>
        </is>
      </c>
      <c r="E3977" s="20" t="inlineStr">
        <is>
          <t>HONDA</t>
        </is>
      </c>
      <c r="F3977" s="20" t="inlineStr">
        <is>
          <t>Amaze</t>
        </is>
      </c>
      <c r="G3977" s="21" t="n">
        <v>2018</v>
      </c>
      <c r="H3977" s="22" t="n">
        <v>39877</v>
      </c>
      <c r="I3977" s="23" t="n">
        <v>475000</v>
      </c>
      <c r="J3977" s="20" t="inlineStr">
        <is>
          <t>EXCHANGE ROTN</t>
        </is>
      </c>
      <c r="K3977" s="20" t="inlineStr">
        <is>
          <t>Captive</t>
        </is>
      </c>
      <c r="L3977" s="20" t="inlineStr"/>
      <c r="M3977" s="23" t="n">
        <v>8474.58</v>
      </c>
      <c r="N3977" s="23" t="n">
        <v>10000</v>
      </c>
      <c r="O3977" s="24">
        <f>IF(AND(ISNUMBER(M3977), ISNUMBER(I3977), I3977&gt;0), M3977/I3977, "")</f>
        <v/>
      </c>
    </row>
    <row r="3978">
      <c r="A3978" s="19" t="inlineStr">
        <is>
          <t>FY27</t>
        </is>
      </c>
      <c r="B3978" s="19" t="inlineStr">
        <is>
          <t>Sep</t>
        </is>
      </c>
      <c r="C3978" s="19" t="inlineStr">
        <is>
          <t>TN</t>
        </is>
      </c>
      <c r="D3978" s="20" t="inlineStr">
        <is>
          <t>KL74C0543</t>
        </is>
      </c>
      <c r="E3978" s="20" t="inlineStr">
        <is>
          <t>HYUNDAI</t>
        </is>
      </c>
      <c r="F3978" s="20" t="inlineStr">
        <is>
          <t>Grand i10 Nios</t>
        </is>
      </c>
      <c r="G3978" s="21" t="n">
        <v>2022</v>
      </c>
      <c r="H3978" s="22" t="n">
        <v>28319</v>
      </c>
      <c r="I3978" s="23" t="n">
        <v>410000</v>
      </c>
      <c r="J3978" s="20" t="inlineStr">
        <is>
          <t>DERIK MOTORS PRIVATE LIMITED</t>
        </is>
      </c>
      <c r="K3978" s="20" t="inlineStr">
        <is>
          <t>Non-Captive</t>
        </is>
      </c>
      <c r="L3978" s="20" t="inlineStr">
        <is>
          <t>Popular Vehicles And Services Limited</t>
        </is>
      </c>
      <c r="M3978" s="23" t="n">
        <v>13474.58</v>
      </c>
      <c r="N3978" s="23" t="n">
        <v>15900</v>
      </c>
      <c r="O3978" s="24">
        <f>IF(AND(ISNUMBER(M3978), ISNUMBER(I3978), I3978&gt;0), M3978/I3978, "")</f>
        <v/>
      </c>
    </row>
    <row r="3979">
      <c r="A3979" s="19" t="inlineStr">
        <is>
          <t>FY27</t>
        </is>
      </c>
      <c r="B3979" s="19" t="inlineStr">
        <is>
          <t>Sep</t>
        </is>
      </c>
      <c r="C3979" s="19" t="inlineStr">
        <is>
          <t>TN</t>
        </is>
      </c>
      <c r="D3979" s="20" t="inlineStr">
        <is>
          <t>KL818959</t>
        </is>
      </c>
      <c r="E3979" s="20" t="inlineStr">
        <is>
          <t>TATA</t>
        </is>
      </c>
      <c r="F3979" s="20" t="inlineStr">
        <is>
          <t>Punch</t>
        </is>
      </c>
      <c r="G3979" s="21" t="n">
        <v>2021</v>
      </c>
      <c r="H3979" s="22" t="n">
        <v>20122</v>
      </c>
      <c r="I3979" s="23" t="n">
        <v>480000</v>
      </c>
      <c r="J3979" s="20" t="inlineStr">
        <is>
          <t>DERIK MOTORS PRIVATE LIMITED</t>
        </is>
      </c>
      <c r="K3979" s="20" t="inlineStr">
        <is>
          <t>Non-Captive</t>
        </is>
      </c>
      <c r="L3979" s="20" t="inlineStr">
        <is>
          <t>Popular Vehicles And Services Limited</t>
        </is>
      </c>
      <c r="M3979" s="23" t="n">
        <v>13474.58</v>
      </c>
      <c r="N3979" s="23" t="n">
        <v>15900</v>
      </c>
      <c r="O3979" s="24">
        <f>IF(AND(ISNUMBER(M3979), ISNUMBER(I3979), I3979&gt;0), M3979/I3979, "")</f>
        <v/>
      </c>
    </row>
    <row r="3980">
      <c r="A3980" s="19" t="inlineStr">
        <is>
          <t>FY27</t>
        </is>
      </c>
      <c r="B3980" s="19" t="inlineStr">
        <is>
          <t>Sep</t>
        </is>
      </c>
      <c r="C3980" s="19" t="inlineStr">
        <is>
          <t>TN</t>
        </is>
      </c>
      <c r="D3980" s="20" t="inlineStr">
        <is>
          <t>PY01BR2288</t>
        </is>
      </c>
      <c r="E3980" s="20" t="inlineStr">
        <is>
          <t>FIAT</t>
        </is>
      </c>
      <c r="F3980" s="20" t="inlineStr">
        <is>
          <t>Punto</t>
        </is>
      </c>
      <c r="G3980" s="21" t="n">
        <v>2012</v>
      </c>
      <c r="H3980" s="22" t="n">
        <v>90000</v>
      </c>
      <c r="I3980" s="23" t="n">
        <v>100000</v>
      </c>
      <c r="J3980" s="20" t="inlineStr">
        <is>
          <t>EXCHANGE CHENNAI</t>
        </is>
      </c>
      <c r="K3980" s="20" t="inlineStr">
        <is>
          <t>Captive</t>
        </is>
      </c>
      <c r="L3980" s="20" t="inlineStr">
        <is>
          <t>Santhosh Cars</t>
        </is>
      </c>
      <c r="M3980" s="23" t="n">
        <v>4237.29</v>
      </c>
      <c r="N3980" s="23" t="n">
        <v>5000</v>
      </c>
      <c r="O3980" s="24">
        <f>IF(AND(ISNUMBER(M3980), ISNUMBER(I3980), I3980&gt;0), M3980/I3980, "")</f>
        <v/>
      </c>
    </row>
    <row r="3981">
      <c r="A3981" s="19" t="inlineStr">
        <is>
          <t>FY27</t>
        </is>
      </c>
      <c r="B3981" s="19" t="inlineStr">
        <is>
          <t>Sep</t>
        </is>
      </c>
      <c r="C3981" s="19" t="inlineStr">
        <is>
          <t>TN</t>
        </is>
      </c>
      <c r="D3981" s="20" t="inlineStr">
        <is>
          <t>PY01BY8770</t>
        </is>
      </c>
      <c r="E3981" s="20" t="inlineStr">
        <is>
          <t>RENAULT</t>
        </is>
      </c>
      <c r="F3981" s="20" t="inlineStr">
        <is>
          <t>Scala</t>
        </is>
      </c>
      <c r="G3981" s="21" t="n">
        <v>2013</v>
      </c>
      <c r="H3981" s="22" t="n">
        <v>101177</v>
      </c>
      <c r="I3981" s="23" t="n">
        <v>94000</v>
      </c>
      <c r="J3981" s="20" t="inlineStr">
        <is>
          <t>CASTLE TRADERS MARUTI</t>
        </is>
      </c>
      <c r="K3981" s="20" t="inlineStr">
        <is>
          <t>Non-Captive</t>
        </is>
      </c>
      <c r="L3981" s="20" t="inlineStr">
        <is>
          <t>Senthil Cars</t>
        </is>
      </c>
      <c r="M3981" s="23" t="n">
        <v>3389.83</v>
      </c>
      <c r="N3981" s="23" t="n">
        <v>4000</v>
      </c>
      <c r="O3981" s="24">
        <f>IF(AND(ISNUMBER(M3981), ISNUMBER(I3981), I3981&gt;0), M3981/I3981, "")</f>
        <v/>
      </c>
    </row>
    <row r="3982">
      <c r="A3982" s="19" t="inlineStr">
        <is>
          <t>FY27</t>
        </is>
      </c>
      <c r="B3982" s="19" t="inlineStr">
        <is>
          <t>Sep</t>
        </is>
      </c>
      <c r="C3982" s="19" t="inlineStr">
        <is>
          <t>TN</t>
        </is>
      </c>
      <c r="D3982" s="20" t="inlineStr">
        <is>
          <t>PY01DD3612</t>
        </is>
      </c>
      <c r="E3982" s="20" t="inlineStr">
        <is>
          <t>HONDA</t>
        </is>
      </c>
      <c r="F3982" s="20" t="inlineStr">
        <is>
          <t>Amaze</t>
        </is>
      </c>
      <c r="G3982" s="21" t="n"/>
      <c r="H3982" s="22" t="n"/>
      <c r="I3982" s="23" t="n">
        <v>710000</v>
      </c>
      <c r="J3982" s="20" t="inlineStr">
        <is>
          <t>EXCHANGE CHENNAI</t>
        </is>
      </c>
      <c r="K3982" s="20" t="inlineStr">
        <is>
          <t>Captive</t>
        </is>
      </c>
      <c r="L3982" s="20" t="inlineStr"/>
      <c r="M3982" s="23" t="n">
        <v>8474.58</v>
      </c>
      <c r="N3982" s="23" t="n">
        <v>10000</v>
      </c>
      <c r="O3982" s="24">
        <f>IF(AND(ISNUMBER(M3982), ISNUMBER(I3982), I3982&gt;0), M3982/I3982, "")</f>
        <v/>
      </c>
    </row>
    <row r="3983">
      <c r="A3983" s="19" t="inlineStr">
        <is>
          <t>FY27</t>
        </is>
      </c>
      <c r="B3983" s="19" t="inlineStr">
        <is>
          <t>Sep</t>
        </is>
      </c>
      <c r="C3983" s="19" t="inlineStr">
        <is>
          <t>TN</t>
        </is>
      </c>
      <c r="D3983" s="20" t="inlineStr">
        <is>
          <t>TN01AC3596</t>
        </is>
      </c>
      <c r="E3983" s="20" t="inlineStr">
        <is>
          <t>HONDA</t>
        </is>
      </c>
      <c r="F3983" s="20" t="inlineStr">
        <is>
          <t>City</t>
        </is>
      </c>
      <c r="G3983" s="21" t="n">
        <v>2006</v>
      </c>
      <c r="H3983" s="22" t="n">
        <v>68357</v>
      </c>
      <c r="I3983" s="23" t="n">
        <v>98000</v>
      </c>
      <c r="J3983" s="20" t="inlineStr">
        <is>
          <t>VISHNU CARS PRIVATE LIMITED</t>
        </is>
      </c>
      <c r="K3983" s="20" t="inlineStr">
        <is>
          <t>Non-Captive</t>
        </is>
      </c>
      <c r="L3983" s="20" t="inlineStr">
        <is>
          <t>Santhosh Cars</t>
        </is>
      </c>
      <c r="M3983" s="23" t="n">
        <v>4237.29</v>
      </c>
      <c r="N3983" s="23" t="n">
        <v>5000</v>
      </c>
      <c r="O3983" s="24">
        <f>IF(AND(ISNUMBER(M3983), ISNUMBER(I3983), I3983&gt;0), M3983/I3983, "")</f>
        <v/>
      </c>
    </row>
    <row r="3984">
      <c r="A3984" s="19" t="inlineStr">
        <is>
          <t>FY27</t>
        </is>
      </c>
      <c r="B3984" s="19" t="inlineStr">
        <is>
          <t>Sep</t>
        </is>
      </c>
      <c r="C3984" s="19" t="inlineStr">
        <is>
          <t>TN</t>
        </is>
      </c>
      <c r="D3984" s="20" t="inlineStr">
        <is>
          <t>TN01AH6305</t>
        </is>
      </c>
      <c r="E3984" s="20" t="inlineStr">
        <is>
          <t>HYUNDAI</t>
        </is>
      </c>
      <c r="F3984" s="20" t="inlineStr">
        <is>
          <t>i20</t>
        </is>
      </c>
      <c r="G3984" s="21" t="n">
        <v>2009</v>
      </c>
      <c r="H3984" s="22" t="n">
        <v>87107</v>
      </c>
      <c r="I3984" s="23" t="n">
        <v>152500</v>
      </c>
      <c r="J3984" s="20" t="inlineStr">
        <is>
          <t>CASTLE TRADERS MARUTI</t>
        </is>
      </c>
      <c r="K3984" s="20" t="inlineStr">
        <is>
          <t>Non-Captive</t>
        </is>
      </c>
      <c r="L3984" s="20" t="inlineStr">
        <is>
          <t>Aaa Cars</t>
        </is>
      </c>
      <c r="M3984" s="23" t="n">
        <v>6355.93</v>
      </c>
      <c r="N3984" s="23" t="n">
        <v>7500</v>
      </c>
      <c r="O3984" s="24">
        <f>IF(AND(ISNUMBER(M3984), ISNUMBER(I3984), I3984&gt;0), M3984/I3984, "")</f>
        <v/>
      </c>
    </row>
    <row r="3985">
      <c r="A3985" s="19" t="inlineStr">
        <is>
          <t>FY27</t>
        </is>
      </c>
      <c r="B3985" s="19" t="inlineStr">
        <is>
          <t>Sep</t>
        </is>
      </c>
      <c r="C3985" s="19" t="inlineStr">
        <is>
          <t>TN</t>
        </is>
      </c>
      <c r="D3985" s="20" t="inlineStr">
        <is>
          <t>TN01AP5707</t>
        </is>
      </c>
      <c r="E3985" s="20" t="inlineStr">
        <is>
          <t>MARUTI SUZUKI</t>
        </is>
      </c>
      <c r="F3985" s="20" t="inlineStr">
        <is>
          <t>Dzire</t>
        </is>
      </c>
      <c r="G3985" s="21" t="n">
        <v>2011</v>
      </c>
      <c r="H3985" s="22" t="n">
        <v>73945</v>
      </c>
      <c r="I3985" s="23" t="n">
        <v>89000</v>
      </c>
      <c r="J3985" s="20" t="inlineStr">
        <is>
          <t>NIRMAL CARS</t>
        </is>
      </c>
      <c r="K3985" s="20" t="inlineStr">
        <is>
          <t>Non-Captive</t>
        </is>
      </c>
      <c r="L3985" s="20" t="inlineStr">
        <is>
          <t>Srijja Travels</t>
        </is>
      </c>
      <c r="M3985" s="23" t="n">
        <v>4237.29</v>
      </c>
      <c r="N3985" s="23" t="n">
        <v>5000</v>
      </c>
      <c r="O3985" s="24">
        <f>IF(AND(ISNUMBER(M3985), ISNUMBER(I3985), I3985&gt;0), M3985/I3985, "")</f>
        <v/>
      </c>
    </row>
    <row r="3986">
      <c r="A3986" s="19" t="inlineStr">
        <is>
          <t>FY27</t>
        </is>
      </c>
      <c r="B3986" s="19" t="inlineStr">
        <is>
          <t>Sep</t>
        </is>
      </c>
      <c r="C3986" s="19" t="inlineStr">
        <is>
          <t>TN</t>
        </is>
      </c>
      <c r="D3986" s="20" t="inlineStr">
        <is>
          <t>TN01AS8877</t>
        </is>
      </c>
      <c r="E3986" s="20" t="inlineStr">
        <is>
          <t>NISSAN</t>
        </is>
      </c>
      <c r="F3986" s="20" t="inlineStr">
        <is>
          <t>Sunny</t>
        </is>
      </c>
      <c r="G3986" s="21" t="n">
        <v>2012</v>
      </c>
      <c r="H3986" s="22" t="n">
        <v>138371</v>
      </c>
      <c r="I3986" s="23" t="n">
        <v>93000</v>
      </c>
      <c r="J3986" s="20" t="inlineStr">
        <is>
          <t>CARS INDIA</t>
        </is>
      </c>
      <c r="K3986" s="20" t="inlineStr">
        <is>
          <t>Non-Captive</t>
        </is>
      </c>
      <c r="L3986" s="20" t="inlineStr">
        <is>
          <t>Grid 33</t>
        </is>
      </c>
      <c r="M3986" s="23" t="n">
        <v>4237.29</v>
      </c>
      <c r="N3986" s="23" t="n">
        <v>5000</v>
      </c>
      <c r="O3986" s="24">
        <f>IF(AND(ISNUMBER(M3986), ISNUMBER(I3986), I3986&gt;0), M3986/I3986, "")</f>
        <v/>
      </c>
    </row>
    <row r="3987">
      <c r="A3987" s="19" t="inlineStr">
        <is>
          <t>FY27</t>
        </is>
      </c>
      <c r="B3987" s="19" t="inlineStr">
        <is>
          <t>Sep</t>
        </is>
      </c>
      <c r="C3987" s="19" t="inlineStr">
        <is>
          <t>TN</t>
        </is>
      </c>
      <c r="D3987" s="20" t="inlineStr">
        <is>
          <t>TN01AU2172</t>
        </is>
      </c>
      <c r="E3987" s="20" t="inlineStr">
        <is>
          <t>HONDA</t>
        </is>
      </c>
      <c r="F3987" s="20" t="inlineStr">
        <is>
          <t>Amaze</t>
        </is>
      </c>
      <c r="G3987" s="21" t="n">
        <v>2013</v>
      </c>
      <c r="H3987" s="22" t="n">
        <v>196109</v>
      </c>
      <c r="I3987" s="23" t="n">
        <v>99000</v>
      </c>
      <c r="J3987" s="20" t="inlineStr">
        <is>
          <t>AIE CARS PRIVATE LIMITED</t>
        </is>
      </c>
      <c r="K3987" s="20" t="inlineStr">
        <is>
          <t>Non-Captive</t>
        </is>
      </c>
      <c r="L3987" s="20" t="inlineStr">
        <is>
          <t>Aaa Cars</t>
        </is>
      </c>
      <c r="M3987" s="23" t="n">
        <v>4237.29</v>
      </c>
      <c r="N3987" s="23" t="n">
        <v>5000</v>
      </c>
      <c r="O3987" s="24">
        <f>IF(AND(ISNUMBER(M3987), ISNUMBER(I3987), I3987&gt;0), M3987/I3987, "")</f>
        <v/>
      </c>
    </row>
    <row r="3988">
      <c r="A3988" s="19" t="inlineStr">
        <is>
          <t>FY27</t>
        </is>
      </c>
      <c r="B3988" s="19" t="inlineStr">
        <is>
          <t>Sep</t>
        </is>
      </c>
      <c r="C3988" s="19" t="inlineStr">
        <is>
          <t>TN</t>
        </is>
      </c>
      <c r="D3988" s="20" t="inlineStr">
        <is>
          <t>TN01AU2422</t>
        </is>
      </c>
      <c r="E3988" s="20" t="inlineStr">
        <is>
          <t>HONDA</t>
        </is>
      </c>
      <c r="F3988" s="20" t="inlineStr">
        <is>
          <t>Amaze</t>
        </is>
      </c>
      <c r="G3988" s="21" t="n">
        <v>2013</v>
      </c>
      <c r="H3988" s="22" t="n">
        <v>95582</v>
      </c>
      <c r="I3988" s="23" t="n">
        <v>97000</v>
      </c>
      <c r="J3988" s="20" t="inlineStr">
        <is>
          <t>AIE CARS PRIVATE LIMITED</t>
        </is>
      </c>
      <c r="K3988" s="20" t="inlineStr">
        <is>
          <t>Non-Captive</t>
        </is>
      </c>
      <c r="L3988" s="20" t="inlineStr">
        <is>
          <t>Pine Autos</t>
        </is>
      </c>
      <c r="M3988" s="23" t="n">
        <v>4237.29</v>
      </c>
      <c r="N3988" s="23" t="n">
        <v>5000</v>
      </c>
      <c r="O3988" s="24">
        <f>IF(AND(ISNUMBER(M3988), ISNUMBER(I3988), I3988&gt;0), M3988/I3988, "")</f>
        <v/>
      </c>
    </row>
    <row r="3989">
      <c r="A3989" s="19" t="inlineStr">
        <is>
          <t>FY27</t>
        </is>
      </c>
      <c r="B3989" s="19" t="inlineStr">
        <is>
          <t>Sep</t>
        </is>
      </c>
      <c r="C3989" s="19" t="inlineStr">
        <is>
          <t>TN</t>
        </is>
      </c>
      <c r="D3989" s="20" t="inlineStr">
        <is>
          <t>TN01AU7755</t>
        </is>
      </c>
      <c r="E3989" s="20" t="inlineStr">
        <is>
          <t>HONDA</t>
        </is>
      </c>
      <c r="F3989" s="20" t="inlineStr">
        <is>
          <t>Amaze</t>
        </is>
      </c>
      <c r="G3989" s="21" t="n"/>
      <c r="H3989" s="22" t="n"/>
      <c r="I3989" s="23" t="n">
        <v>300000</v>
      </c>
      <c r="J3989" s="20" t="inlineStr">
        <is>
          <t>EXCHANGE CHENNAI</t>
        </is>
      </c>
      <c r="K3989" s="20" t="inlineStr">
        <is>
          <t>Captive</t>
        </is>
      </c>
      <c r="L3989" s="20" t="inlineStr">
        <is>
          <t>Santhosh Cars</t>
        </is>
      </c>
      <c r="M3989" s="23" t="n">
        <v>8474.58</v>
      </c>
      <c r="N3989" s="23" t="n">
        <v>10000</v>
      </c>
      <c r="O3989" s="24">
        <f>IF(AND(ISNUMBER(M3989), ISNUMBER(I3989), I3989&gt;0), M3989/I3989, "")</f>
        <v/>
      </c>
    </row>
    <row r="3990">
      <c r="A3990" s="19" t="inlineStr">
        <is>
          <t>FY27</t>
        </is>
      </c>
      <c r="B3990" s="19" t="inlineStr">
        <is>
          <t>Sep</t>
        </is>
      </c>
      <c r="C3990" s="19" t="inlineStr">
        <is>
          <t>TN</t>
        </is>
      </c>
      <c r="D3990" s="20" t="inlineStr">
        <is>
          <t>TN01AV7410</t>
        </is>
      </c>
      <c r="E3990" s="20" t="inlineStr">
        <is>
          <t>HONDA</t>
        </is>
      </c>
      <c r="F3990" s="20" t="inlineStr">
        <is>
          <t>Amaze</t>
        </is>
      </c>
      <c r="G3990" s="21" t="n"/>
      <c r="H3990" s="22" t="n"/>
      <c r="I3990" s="23" t="n">
        <v>230000</v>
      </c>
      <c r="J3990" s="20" t="inlineStr">
        <is>
          <t>EXCHANGE CHENNAI</t>
        </is>
      </c>
      <c r="K3990" s="20" t="inlineStr">
        <is>
          <t>Captive</t>
        </is>
      </c>
      <c r="L3990" s="20" t="inlineStr">
        <is>
          <t>Santhosh Cars</t>
        </is>
      </c>
      <c r="M3990" s="23" t="n">
        <v>8474.58</v>
      </c>
      <c r="N3990" s="23" t="n">
        <v>10000</v>
      </c>
      <c r="O3990" s="24">
        <f>IF(AND(ISNUMBER(M3990), ISNUMBER(I3990), I3990&gt;0), M3990/I3990, "")</f>
        <v/>
      </c>
    </row>
    <row r="3991">
      <c r="A3991" s="19" t="inlineStr">
        <is>
          <t>FY27</t>
        </is>
      </c>
      <c r="B3991" s="19" t="inlineStr">
        <is>
          <t>Sep</t>
        </is>
      </c>
      <c r="C3991" s="19" t="inlineStr">
        <is>
          <t>TN</t>
        </is>
      </c>
      <c r="D3991" s="20" t="inlineStr">
        <is>
          <t>TN01BC5369</t>
        </is>
      </c>
      <c r="E3991" s="20" t="inlineStr">
        <is>
          <t>TATA</t>
        </is>
      </c>
      <c r="F3991" s="20" t="inlineStr">
        <is>
          <t>Tiago</t>
        </is>
      </c>
      <c r="G3991" s="21" t="n">
        <v>2017</v>
      </c>
      <c r="H3991" s="22" t="n">
        <v>80258</v>
      </c>
      <c r="I3991" s="23" t="n">
        <v>250000</v>
      </c>
      <c r="J3991" s="20" t="inlineStr">
        <is>
          <t>EXCHANGE ROTN</t>
        </is>
      </c>
      <c r="K3991" s="20" t="inlineStr">
        <is>
          <t>Captive</t>
        </is>
      </c>
      <c r="L3991" s="20" t="inlineStr"/>
      <c r="M3991" s="23" t="n">
        <v>8474.58</v>
      </c>
      <c r="N3991" s="23" t="n">
        <v>10000</v>
      </c>
      <c r="O3991" s="24">
        <f>IF(AND(ISNUMBER(M3991), ISNUMBER(I3991), I3991&gt;0), M3991/I3991, "")</f>
        <v/>
      </c>
    </row>
    <row r="3992">
      <c r="A3992" s="19" t="inlineStr">
        <is>
          <t>FY27</t>
        </is>
      </c>
      <c r="B3992" s="19" t="inlineStr">
        <is>
          <t>Sep</t>
        </is>
      </c>
      <c r="C3992" s="19" t="inlineStr">
        <is>
          <t>TN</t>
        </is>
      </c>
      <c r="D3992" s="20" t="inlineStr">
        <is>
          <t>TN01BD0515</t>
        </is>
      </c>
      <c r="E3992" s="20" t="inlineStr">
        <is>
          <t>RENAULT</t>
        </is>
      </c>
      <c r="F3992" s="20" t="inlineStr">
        <is>
          <t>Kwid</t>
        </is>
      </c>
      <c r="G3992" s="21" t="n">
        <v>2017</v>
      </c>
      <c r="H3992" s="22" t="n">
        <v>31961</v>
      </c>
      <c r="I3992" s="23" t="n">
        <v>140000</v>
      </c>
      <c r="J3992" s="20" t="inlineStr">
        <is>
          <t>CASTLE TRADERS MARUTI</t>
        </is>
      </c>
      <c r="K3992" s="20" t="inlineStr">
        <is>
          <t>Non-Captive</t>
        </is>
      </c>
      <c r="L3992" s="20" t="inlineStr">
        <is>
          <t>Senthil Cars</t>
        </is>
      </c>
      <c r="M3992" s="23" t="n">
        <v>5084.75</v>
      </c>
      <c r="N3992" s="23" t="n">
        <v>6000</v>
      </c>
      <c r="O3992" s="24">
        <f>IF(AND(ISNUMBER(M3992), ISNUMBER(I3992), I3992&gt;0), M3992/I3992, "")</f>
        <v/>
      </c>
    </row>
    <row r="3993">
      <c r="A3993" s="19" t="inlineStr">
        <is>
          <t>FY27</t>
        </is>
      </c>
      <c r="B3993" s="19" t="inlineStr">
        <is>
          <t>Sep</t>
        </is>
      </c>
      <c r="C3993" s="19" t="inlineStr">
        <is>
          <t>TN</t>
        </is>
      </c>
      <c r="D3993" s="20" t="inlineStr">
        <is>
          <t>TN01BD4449</t>
        </is>
      </c>
      <c r="E3993" s="20" t="inlineStr">
        <is>
          <t>MAHINDRA</t>
        </is>
      </c>
      <c r="F3993" s="20" t="inlineStr">
        <is>
          <t>Bolero</t>
        </is>
      </c>
      <c r="G3993" s="21" t="n">
        <v>2017</v>
      </c>
      <c r="H3993" s="22" t="n">
        <v>160135</v>
      </c>
      <c r="I3993" s="23" t="n">
        <v>410000</v>
      </c>
      <c r="J3993" s="20" t="inlineStr">
        <is>
          <t>TVS MOTOR LIMITED</t>
        </is>
      </c>
      <c r="K3993" s="20" t="inlineStr">
        <is>
          <t>Captive</t>
        </is>
      </c>
      <c r="L3993" s="20" t="inlineStr">
        <is>
          <t>Bhagavan Cars</t>
        </is>
      </c>
      <c r="M3993" s="23" t="n">
        <v>8474.58</v>
      </c>
      <c r="N3993" s="23" t="n">
        <v>10000</v>
      </c>
      <c r="O3993" s="24">
        <f>IF(AND(ISNUMBER(M3993), ISNUMBER(I3993), I3993&gt;0), M3993/I3993, "")</f>
        <v/>
      </c>
    </row>
    <row r="3994">
      <c r="A3994" s="19" t="inlineStr">
        <is>
          <t>FY27</t>
        </is>
      </c>
      <c r="B3994" s="19" t="inlineStr">
        <is>
          <t>Sep</t>
        </is>
      </c>
      <c r="C3994" s="19" t="inlineStr">
        <is>
          <t>TN</t>
        </is>
      </c>
      <c r="D3994" s="20" t="inlineStr">
        <is>
          <t>TN01BF1113</t>
        </is>
      </c>
      <c r="E3994" s="20" t="inlineStr">
        <is>
          <t>HONDA</t>
        </is>
      </c>
      <c r="F3994" s="20" t="inlineStr">
        <is>
          <t>Amaze</t>
        </is>
      </c>
      <c r="G3994" s="21" t="n">
        <v>2018</v>
      </c>
      <c r="H3994" s="22" t="n">
        <v>78534</v>
      </c>
      <c r="I3994" s="23" t="n">
        <v>392454</v>
      </c>
      <c r="J3994" s="20" t="inlineStr">
        <is>
          <t>CASTLE TRADERS HONDA</t>
        </is>
      </c>
      <c r="K3994" s="20" t="inlineStr">
        <is>
          <t>Non-Captive</t>
        </is>
      </c>
      <c r="L3994" s="20" t="inlineStr">
        <is>
          <t>Cars24</t>
        </is>
      </c>
      <c r="M3994" s="23" t="n">
        <v>6355.93</v>
      </c>
      <c r="N3994" s="23" t="n">
        <v>7500</v>
      </c>
      <c r="O3994" s="24">
        <f>IF(AND(ISNUMBER(M3994), ISNUMBER(I3994), I3994&gt;0), M3994/I3994, "")</f>
        <v/>
      </c>
    </row>
    <row r="3995">
      <c r="A3995" s="19" t="inlineStr">
        <is>
          <t>FY27</t>
        </is>
      </c>
      <c r="B3995" s="19" t="inlineStr">
        <is>
          <t>Sep</t>
        </is>
      </c>
      <c r="C3995" s="19" t="inlineStr">
        <is>
          <t>TN</t>
        </is>
      </c>
      <c r="D3995" s="20" t="inlineStr">
        <is>
          <t>TN01BM3269</t>
        </is>
      </c>
      <c r="E3995" s="20" t="inlineStr">
        <is>
          <t>HONDA</t>
        </is>
      </c>
      <c r="F3995" s="20" t="inlineStr">
        <is>
          <t>City</t>
        </is>
      </c>
      <c r="G3995" s="21" t="n">
        <v>2021</v>
      </c>
      <c r="H3995" s="22" t="n">
        <v>53899</v>
      </c>
      <c r="I3995" s="23" t="n">
        <v>850000</v>
      </c>
      <c r="J3995" s="20" t="inlineStr">
        <is>
          <t>EXCHANGE CHENNAI</t>
        </is>
      </c>
      <c r="K3995" s="20" t="inlineStr">
        <is>
          <t>Captive</t>
        </is>
      </c>
      <c r="L3995" s="20" t="inlineStr">
        <is>
          <t>Santhosh Cars</t>
        </is>
      </c>
      <c r="M3995" s="23" t="n">
        <v>8474.58</v>
      </c>
      <c r="N3995" s="23" t="n">
        <v>10000</v>
      </c>
      <c r="O3995" s="24">
        <f>IF(AND(ISNUMBER(M3995), ISNUMBER(I3995), I3995&gt;0), M3995/I3995, "")</f>
        <v/>
      </c>
    </row>
    <row r="3996">
      <c r="A3996" s="19" t="inlineStr">
        <is>
          <t>FY27</t>
        </is>
      </c>
      <c r="B3996" s="19" t="inlineStr">
        <is>
          <t>Sep</t>
        </is>
      </c>
      <c r="C3996" s="19" t="inlineStr">
        <is>
          <t>TN</t>
        </is>
      </c>
      <c r="D3996" s="20" t="inlineStr">
        <is>
          <t>TN01W7331</t>
        </is>
      </c>
      <c r="E3996" s="20" t="inlineStr">
        <is>
          <t>HONDA</t>
        </is>
      </c>
      <c r="F3996" s="20" t="inlineStr">
        <is>
          <t>Accord</t>
        </is>
      </c>
      <c r="G3996" s="21" t="n">
        <v>2003</v>
      </c>
      <c r="H3996" s="22" t="n">
        <v>48932</v>
      </c>
      <c r="I3996" s="23" t="n">
        <v>87000</v>
      </c>
      <c r="J3996" s="20" t="inlineStr">
        <is>
          <t>AIE CARS PRIVATE LIMITED</t>
        </is>
      </c>
      <c r="K3996" s="20" t="inlineStr">
        <is>
          <t>Non-Captive</t>
        </is>
      </c>
      <c r="L3996" s="20" t="inlineStr">
        <is>
          <t>VS Enterprises</t>
        </is>
      </c>
      <c r="M3996" s="23" t="n">
        <v>4237.29</v>
      </c>
      <c r="N3996" s="23" t="n">
        <v>5000</v>
      </c>
      <c r="O3996" s="24">
        <f>IF(AND(ISNUMBER(M3996), ISNUMBER(I3996), I3996&gt;0), M3996/I3996, "")</f>
        <v/>
      </c>
    </row>
    <row r="3997">
      <c r="A3997" s="19" t="inlineStr">
        <is>
          <t>FY27</t>
        </is>
      </c>
      <c r="B3997" s="19" t="inlineStr">
        <is>
          <t>Sep</t>
        </is>
      </c>
      <c r="C3997" s="19" t="inlineStr">
        <is>
          <t>TN</t>
        </is>
      </c>
      <c r="D3997" s="20" t="inlineStr">
        <is>
          <t>TN01Z4579</t>
        </is>
      </c>
      <c r="E3997" s="20" t="inlineStr">
        <is>
          <t>MARUTI SUZUKI</t>
        </is>
      </c>
      <c r="F3997" s="20" t="inlineStr">
        <is>
          <t>Wagon R</t>
        </is>
      </c>
      <c r="G3997" s="21" t="n">
        <v>2005</v>
      </c>
      <c r="H3997" s="22" t="n">
        <v>13393</v>
      </c>
      <c r="I3997" s="23" t="n">
        <v>10000</v>
      </c>
      <c r="J3997" s="20" t="inlineStr">
        <is>
          <t>CASTLE TRADERS MARUTI</t>
        </is>
      </c>
      <c r="K3997" s="20" t="inlineStr">
        <is>
          <t>Non-Captive</t>
        </is>
      </c>
      <c r="L3997" s="20" t="inlineStr">
        <is>
          <t>Grid 33</t>
        </is>
      </c>
      <c r="M3997" s="23" t="n">
        <v>4237.4</v>
      </c>
      <c r="N3997" s="23" t="n">
        <v>5000.13</v>
      </c>
      <c r="O3997" s="24">
        <f>IF(AND(ISNUMBER(M3997), ISNUMBER(I3997), I3997&gt;0), M3997/I3997, "")</f>
        <v/>
      </c>
    </row>
    <row r="3998">
      <c r="A3998" s="19" t="inlineStr">
        <is>
          <t>FY27</t>
        </is>
      </c>
      <c r="B3998" s="19" t="inlineStr">
        <is>
          <t>Sep</t>
        </is>
      </c>
      <c r="C3998" s="19" t="inlineStr">
        <is>
          <t>TN</t>
        </is>
      </c>
      <c r="D3998" s="20" t="inlineStr">
        <is>
          <t>TN02AA3767</t>
        </is>
      </c>
      <c r="E3998" s="20" t="inlineStr">
        <is>
          <t>HONDA</t>
        </is>
      </c>
      <c r="F3998" s="20" t="inlineStr">
        <is>
          <t>Civic</t>
        </is>
      </c>
      <c r="G3998" s="21" t="n">
        <v>2007</v>
      </c>
      <c r="H3998" s="22" t="n">
        <v>149917</v>
      </c>
      <c r="I3998" s="23" t="n">
        <v>96000</v>
      </c>
      <c r="J3998" s="20" t="inlineStr">
        <is>
          <t>CRESCO CARS</t>
        </is>
      </c>
      <c r="K3998" s="20" t="inlineStr">
        <is>
          <t>Non-Captive</t>
        </is>
      </c>
      <c r="L3998" s="20" t="inlineStr">
        <is>
          <t>S2 Motorz</t>
        </is>
      </c>
      <c r="M3998" s="23" t="n">
        <v>4237.29</v>
      </c>
      <c r="N3998" s="23" t="n">
        <v>5000</v>
      </c>
      <c r="O3998" s="24">
        <f>IF(AND(ISNUMBER(M3998), ISNUMBER(I3998), I3998&gt;0), M3998/I3998, "")</f>
        <v/>
      </c>
    </row>
    <row r="3999">
      <c r="A3999" s="19" t="inlineStr">
        <is>
          <t>FY27</t>
        </is>
      </c>
      <c r="B3999" s="19" t="inlineStr">
        <is>
          <t>Sep</t>
        </is>
      </c>
      <c r="C3999" s="19" t="inlineStr">
        <is>
          <t>TN</t>
        </is>
      </c>
      <c r="D3999" s="20" t="inlineStr">
        <is>
          <t>TN02AC7401</t>
        </is>
      </c>
      <c r="E3999" s="20" t="inlineStr">
        <is>
          <t>MARUTI SUZUKI</t>
        </is>
      </c>
      <c r="F3999" s="20" t="inlineStr">
        <is>
          <t>SX4</t>
        </is>
      </c>
      <c r="G3999" s="21" t="n">
        <v>2007</v>
      </c>
      <c r="H3999" s="22" t="n">
        <v>100776</v>
      </c>
      <c r="I3999" s="23" t="n">
        <v>99000</v>
      </c>
      <c r="J3999" s="20" t="inlineStr">
        <is>
          <t>FPL AUTOMOBILES PRIVATE LIMITED</t>
        </is>
      </c>
      <c r="K3999" s="20" t="inlineStr">
        <is>
          <t>Non-Captive</t>
        </is>
      </c>
      <c r="L3999" s="20" t="inlineStr">
        <is>
          <t>Emarald Cars</t>
        </is>
      </c>
      <c r="M3999" s="23" t="n">
        <v>4237.29</v>
      </c>
      <c r="N3999" s="23" t="n">
        <v>5000</v>
      </c>
      <c r="O3999" s="24">
        <f>IF(AND(ISNUMBER(M3999), ISNUMBER(I3999), I3999&gt;0), M3999/I3999, "")</f>
        <v/>
      </c>
    </row>
    <row r="4000">
      <c r="A4000" s="19" t="inlineStr">
        <is>
          <t>FY27</t>
        </is>
      </c>
      <c r="B4000" s="19" t="inlineStr">
        <is>
          <t>Sep</t>
        </is>
      </c>
      <c r="C4000" s="19" t="inlineStr">
        <is>
          <t>TN</t>
        </is>
      </c>
      <c r="D4000" s="20" t="inlineStr">
        <is>
          <t>TN02AH2050</t>
        </is>
      </c>
      <c r="E4000" s="20" t="inlineStr">
        <is>
          <t>MAHINDRA</t>
        </is>
      </c>
      <c r="F4000" s="20" t="inlineStr">
        <is>
          <t>Scorpio</t>
        </is>
      </c>
      <c r="G4000" s="21" t="n">
        <v>2009</v>
      </c>
      <c r="H4000" s="22" t="n">
        <v>150143</v>
      </c>
      <c r="I4000" s="23" t="n">
        <v>175000</v>
      </c>
      <c r="J4000" s="20" t="inlineStr">
        <is>
          <t>ABT LIMITED</t>
        </is>
      </c>
      <c r="K4000" s="20" t="inlineStr">
        <is>
          <t>Non-Captive</t>
        </is>
      </c>
      <c r="L4000" s="20" t="inlineStr">
        <is>
          <t>Ram Manohar</t>
        </is>
      </c>
      <c r="M4000" s="23" t="n">
        <v>2542.37</v>
      </c>
      <c r="N4000" s="23" t="n">
        <v>3000</v>
      </c>
      <c r="O4000" s="24">
        <f>IF(AND(ISNUMBER(M4000), ISNUMBER(I4000), I4000&gt;0), M4000/I4000, "")</f>
        <v/>
      </c>
    </row>
    <row r="4001">
      <c r="A4001" s="19" t="inlineStr">
        <is>
          <t>FY27</t>
        </is>
      </c>
      <c r="B4001" s="19" t="inlineStr">
        <is>
          <t>Sep</t>
        </is>
      </c>
      <c r="C4001" s="19" t="inlineStr">
        <is>
          <t>TN</t>
        </is>
      </c>
      <c r="D4001" s="20" t="inlineStr">
        <is>
          <t>TN02AK5555</t>
        </is>
      </c>
      <c r="E4001" s="20" t="inlineStr">
        <is>
          <t>MARUTI SUZUKI</t>
        </is>
      </c>
      <c r="F4001" s="20" t="inlineStr">
        <is>
          <t>Zen</t>
        </is>
      </c>
      <c r="G4001" s="21" t="n">
        <v>2007</v>
      </c>
      <c r="H4001" s="22" t="n">
        <v>242477</v>
      </c>
      <c r="I4001" s="23" t="n">
        <v>96000</v>
      </c>
      <c r="J4001" s="20" t="inlineStr">
        <is>
          <t>AIE CARS PRIVATE LIMITED</t>
        </is>
      </c>
      <c r="K4001" s="20" t="inlineStr">
        <is>
          <t>Non-Captive</t>
        </is>
      </c>
      <c r="L4001" s="20" t="inlineStr">
        <is>
          <t>VS Enterprises</t>
        </is>
      </c>
      <c r="M4001" s="23" t="n">
        <v>4237.29</v>
      </c>
      <c r="N4001" s="23" t="n">
        <v>5000</v>
      </c>
      <c r="O4001" s="24">
        <f>IF(AND(ISNUMBER(M4001), ISNUMBER(I4001), I4001&gt;0), M4001/I4001, "")</f>
        <v/>
      </c>
    </row>
    <row r="4002">
      <c r="A4002" s="19" t="inlineStr">
        <is>
          <t>FY27</t>
        </is>
      </c>
      <c r="B4002" s="19" t="inlineStr">
        <is>
          <t>Sep</t>
        </is>
      </c>
      <c r="C4002" s="19" t="inlineStr">
        <is>
          <t>TN</t>
        </is>
      </c>
      <c r="D4002" s="20" t="inlineStr">
        <is>
          <t>TN02AT0621</t>
        </is>
      </c>
      <c r="E4002" s="20" t="inlineStr">
        <is>
          <t>FORD</t>
        </is>
      </c>
      <c r="F4002" s="20" t="inlineStr">
        <is>
          <t>Figo</t>
        </is>
      </c>
      <c r="G4002" s="21" t="n">
        <v>2011</v>
      </c>
      <c r="H4002" s="22" t="n">
        <v>42892</v>
      </c>
      <c r="I4002" s="23" t="n">
        <v>87000</v>
      </c>
      <c r="J4002" s="20" t="inlineStr">
        <is>
          <t>VISHNU CARS PRIVATE LIMITED</t>
        </is>
      </c>
      <c r="K4002" s="20" t="inlineStr">
        <is>
          <t>Non-Captive</t>
        </is>
      </c>
      <c r="L4002" s="20" t="inlineStr">
        <is>
          <t>Santhosh Cars</t>
        </is>
      </c>
      <c r="M4002" s="23" t="n">
        <v>4237.29</v>
      </c>
      <c r="N4002" s="23" t="n">
        <v>5000</v>
      </c>
      <c r="O4002" s="24">
        <f>IF(AND(ISNUMBER(M4002), ISNUMBER(I4002), I4002&gt;0), M4002/I4002, "")</f>
        <v/>
      </c>
    </row>
    <row r="4003">
      <c r="A4003" s="19" t="inlineStr">
        <is>
          <t>FY27</t>
        </is>
      </c>
      <c r="B4003" s="19" t="inlineStr">
        <is>
          <t>Sep</t>
        </is>
      </c>
      <c r="C4003" s="19" t="inlineStr">
        <is>
          <t>TN</t>
        </is>
      </c>
      <c r="D4003" s="20" t="inlineStr">
        <is>
          <t>TN02AT9357</t>
        </is>
      </c>
      <c r="E4003" s="20" t="inlineStr">
        <is>
          <t>HONDA</t>
        </is>
      </c>
      <c r="F4003" s="20" t="inlineStr">
        <is>
          <t>City</t>
        </is>
      </c>
      <c r="G4003" s="21" t="n">
        <v>2012</v>
      </c>
      <c r="H4003" s="22" t="n"/>
      <c r="I4003" s="23" t="n">
        <v>94000</v>
      </c>
      <c r="J4003" s="20" t="inlineStr">
        <is>
          <t>AIE CARS PRIVATE LIMITED</t>
        </is>
      </c>
      <c r="K4003" s="20" t="inlineStr">
        <is>
          <t>Non-Captive</t>
        </is>
      </c>
      <c r="L4003" s="20" t="inlineStr">
        <is>
          <t>Aaa Cars</t>
        </is>
      </c>
      <c r="M4003" s="23" t="n">
        <v>4237.29</v>
      </c>
      <c r="N4003" s="23" t="n">
        <v>5000</v>
      </c>
      <c r="O4003" s="24">
        <f>IF(AND(ISNUMBER(M4003), ISNUMBER(I4003), I4003&gt;0), M4003/I4003, "")</f>
        <v/>
      </c>
    </row>
    <row r="4004">
      <c r="A4004" s="19" t="inlineStr">
        <is>
          <t>FY27</t>
        </is>
      </c>
      <c r="B4004" s="19" t="inlineStr">
        <is>
          <t>Sep</t>
        </is>
      </c>
      <c r="C4004" s="19" t="inlineStr">
        <is>
          <t>TN</t>
        </is>
      </c>
      <c r="D4004" s="20" t="inlineStr">
        <is>
          <t>TN02AW8995</t>
        </is>
      </c>
      <c r="E4004" s="20" t="inlineStr">
        <is>
          <t>NISSAN</t>
        </is>
      </c>
      <c r="F4004" s="20" t="inlineStr">
        <is>
          <t>Micra</t>
        </is>
      </c>
      <c r="G4004" s="21" t="n">
        <v>2013</v>
      </c>
      <c r="H4004" s="22" t="n">
        <v>46988</v>
      </c>
      <c r="I4004" s="23" t="n">
        <v>99000</v>
      </c>
      <c r="J4004" s="20" t="inlineStr">
        <is>
          <t>STEER AUTO TECHNOLOGIES PRIVATE LIMITED</t>
        </is>
      </c>
      <c r="K4004" s="20" t="inlineStr">
        <is>
          <t>Non-Captive</t>
        </is>
      </c>
      <c r="L4004" s="20" t="inlineStr">
        <is>
          <t>Maruthi Industries</t>
        </is>
      </c>
      <c r="M4004" s="23" t="n">
        <v>4237.29</v>
      </c>
      <c r="N4004" s="23" t="n">
        <v>5000</v>
      </c>
      <c r="O4004" s="24">
        <f>IF(AND(ISNUMBER(M4004), ISNUMBER(I4004), I4004&gt;0), M4004/I4004, "")</f>
        <v/>
      </c>
    </row>
    <row r="4005">
      <c r="A4005" s="19" t="inlineStr">
        <is>
          <t>FY27</t>
        </is>
      </c>
      <c r="B4005" s="19" t="inlineStr">
        <is>
          <t>Sep</t>
        </is>
      </c>
      <c r="C4005" s="19" t="inlineStr">
        <is>
          <t>TN</t>
        </is>
      </c>
      <c r="D4005" s="20" t="inlineStr">
        <is>
          <t>TN02AX9115</t>
        </is>
      </c>
      <c r="E4005" s="20" t="inlineStr">
        <is>
          <t>MARUTI SUZUKI</t>
        </is>
      </c>
      <c r="F4005" s="20" t="inlineStr">
        <is>
          <t>Eeco</t>
        </is>
      </c>
      <c r="G4005" s="21" t="n">
        <v>2013</v>
      </c>
      <c r="H4005" s="22" t="n">
        <v>83424</v>
      </c>
      <c r="I4005" s="23" t="n">
        <v>200000</v>
      </c>
      <c r="J4005" s="20" t="inlineStr">
        <is>
          <t>CASTLE TRADERS MARUTI</t>
        </is>
      </c>
      <c r="K4005" s="20" t="inlineStr">
        <is>
          <t>Non-Captive</t>
        </is>
      </c>
      <c r="L4005" s="20" t="inlineStr">
        <is>
          <t>Aaa Cars</t>
        </is>
      </c>
      <c r="M4005" s="23" t="n">
        <v>5084.8</v>
      </c>
      <c r="N4005" s="23" t="n">
        <v>6000.06</v>
      </c>
      <c r="O4005" s="24">
        <f>IF(AND(ISNUMBER(M4005), ISNUMBER(I4005), I4005&gt;0), M4005/I4005, "")</f>
        <v/>
      </c>
    </row>
    <row r="4006">
      <c r="A4006" s="19" t="inlineStr">
        <is>
          <t>FY27</t>
        </is>
      </c>
      <c r="B4006" s="19" t="inlineStr">
        <is>
          <t>Sep</t>
        </is>
      </c>
      <c r="C4006" s="19" t="inlineStr">
        <is>
          <t>TN</t>
        </is>
      </c>
      <c r="D4006" s="20" t="inlineStr">
        <is>
          <t>TN02AX9378</t>
        </is>
      </c>
      <c r="E4006" s="20" t="inlineStr">
        <is>
          <t>MARUTI SUZUKI</t>
        </is>
      </c>
      <c r="F4006" s="20" t="inlineStr">
        <is>
          <t>Ertiga</t>
        </is>
      </c>
      <c r="G4006" s="21" t="n">
        <v>2013</v>
      </c>
      <c r="H4006" s="22" t="n">
        <v>106247</v>
      </c>
      <c r="I4006" s="23" t="n">
        <v>454000</v>
      </c>
      <c r="J4006" s="20" t="inlineStr">
        <is>
          <t>CASTLE TRADERS MARUTI</t>
        </is>
      </c>
      <c r="K4006" s="20" t="inlineStr">
        <is>
          <t>Non-Captive</t>
        </is>
      </c>
      <c r="L4006" s="20" t="inlineStr">
        <is>
          <t>Kamal Cars</t>
        </is>
      </c>
      <c r="M4006" s="23" t="n">
        <v>7627.2</v>
      </c>
      <c r="N4006" s="23" t="n">
        <v>9000.1</v>
      </c>
      <c r="O4006" s="24">
        <f>IF(AND(ISNUMBER(M4006), ISNUMBER(I4006), I4006&gt;0), M4006/I4006, "")</f>
        <v/>
      </c>
    </row>
    <row r="4007">
      <c r="A4007" s="19" t="inlineStr">
        <is>
          <t>FY27</t>
        </is>
      </c>
      <c r="B4007" s="19" t="inlineStr">
        <is>
          <t>Sep</t>
        </is>
      </c>
      <c r="C4007" s="19" t="inlineStr">
        <is>
          <t>TN</t>
        </is>
      </c>
      <c r="D4007" s="20" t="inlineStr">
        <is>
          <t>TN02AY8692</t>
        </is>
      </c>
      <c r="E4007" s="20" t="inlineStr">
        <is>
          <t>TOYOTA</t>
        </is>
      </c>
      <c r="F4007" s="20" t="inlineStr">
        <is>
          <t>Etios</t>
        </is>
      </c>
      <c r="G4007" s="21" t="n">
        <v>2014</v>
      </c>
      <c r="H4007" s="22" t="n">
        <v>144664</v>
      </c>
      <c r="I4007" s="23" t="n">
        <v>98000</v>
      </c>
      <c r="J4007" s="20" t="inlineStr">
        <is>
          <t>VISHNU CARS PRIVATE LIMITED</t>
        </is>
      </c>
      <c r="K4007" s="20" t="inlineStr">
        <is>
          <t>Non-Captive</t>
        </is>
      </c>
      <c r="L4007" s="20" t="inlineStr">
        <is>
          <t>Santhosh Cars</t>
        </is>
      </c>
      <c r="M4007" s="23" t="n">
        <v>4237.29</v>
      </c>
      <c r="N4007" s="23" t="n">
        <v>5000</v>
      </c>
      <c r="O4007" s="24">
        <f>IF(AND(ISNUMBER(M4007), ISNUMBER(I4007), I4007&gt;0), M4007/I4007, "")</f>
        <v/>
      </c>
    </row>
    <row r="4008">
      <c r="A4008" s="19" t="inlineStr">
        <is>
          <t>FY27</t>
        </is>
      </c>
      <c r="B4008" s="19" t="inlineStr">
        <is>
          <t>Sep</t>
        </is>
      </c>
      <c r="C4008" s="19" t="inlineStr">
        <is>
          <t>TN</t>
        </is>
      </c>
      <c r="D4008" s="20" t="inlineStr">
        <is>
          <t>TN02BA2180</t>
        </is>
      </c>
      <c r="E4008" s="20" t="inlineStr">
        <is>
          <t>MARUTI SUZUKI</t>
        </is>
      </c>
      <c r="F4008" s="20" t="inlineStr">
        <is>
          <t>Swift</t>
        </is>
      </c>
      <c r="G4008" s="21" t="n">
        <v>2014</v>
      </c>
      <c r="H4008" s="22" t="n">
        <v>70842</v>
      </c>
      <c r="I4008" s="23" t="n">
        <v>290000</v>
      </c>
      <c r="J4008" s="20" t="inlineStr">
        <is>
          <t>EXCHANGE CHENNAI</t>
        </is>
      </c>
      <c r="K4008" s="20" t="inlineStr">
        <is>
          <t>Captive</t>
        </is>
      </c>
      <c r="L4008" s="20" t="inlineStr">
        <is>
          <t>Santhosh Cars</t>
        </is>
      </c>
      <c r="M4008" s="23" t="n">
        <v>8474.58</v>
      </c>
      <c r="N4008" s="23" t="n">
        <v>10000</v>
      </c>
      <c r="O4008" s="24">
        <f>IF(AND(ISNUMBER(M4008), ISNUMBER(I4008), I4008&gt;0), M4008/I4008, "")</f>
        <v/>
      </c>
    </row>
    <row r="4009">
      <c r="A4009" s="19" t="inlineStr">
        <is>
          <t>FY27</t>
        </is>
      </c>
      <c r="B4009" s="19" t="inlineStr">
        <is>
          <t>Sep</t>
        </is>
      </c>
      <c r="C4009" s="19" t="inlineStr">
        <is>
          <t>TN</t>
        </is>
      </c>
      <c r="D4009" s="20" t="inlineStr">
        <is>
          <t>TN02BE3090</t>
        </is>
      </c>
      <c r="E4009" s="20" t="inlineStr">
        <is>
          <t>HYUNDAI</t>
        </is>
      </c>
      <c r="F4009" s="20" t="inlineStr">
        <is>
          <t>Grand i10</t>
        </is>
      </c>
      <c r="G4009" s="21" t="n">
        <v>2016</v>
      </c>
      <c r="H4009" s="22" t="n">
        <v>32600</v>
      </c>
      <c r="I4009" s="23" t="n">
        <v>96000</v>
      </c>
      <c r="J4009" s="20" t="inlineStr">
        <is>
          <t>RAJALAKSHMI CARS</t>
        </is>
      </c>
      <c r="K4009" s="20" t="inlineStr">
        <is>
          <t>Non-Captive</t>
        </is>
      </c>
      <c r="L4009" s="20" t="inlineStr">
        <is>
          <t>Santhosh Cars</t>
        </is>
      </c>
      <c r="M4009" s="23" t="n">
        <v>3813.56</v>
      </c>
      <c r="N4009" s="23" t="n">
        <v>4500</v>
      </c>
      <c r="O4009" s="24">
        <f>IF(AND(ISNUMBER(M4009), ISNUMBER(I4009), I4009&gt;0), M4009/I4009, "")</f>
        <v/>
      </c>
    </row>
    <row r="4010">
      <c r="A4010" s="19" t="inlineStr">
        <is>
          <t>FY27</t>
        </is>
      </c>
      <c r="B4010" s="19" t="inlineStr">
        <is>
          <t>Sep</t>
        </is>
      </c>
      <c r="C4010" s="19" t="inlineStr">
        <is>
          <t>TN</t>
        </is>
      </c>
      <c r="D4010" s="20" t="inlineStr">
        <is>
          <t>TN02W4711</t>
        </is>
      </c>
      <c r="E4010" s="20" t="inlineStr">
        <is>
          <t>HONDA</t>
        </is>
      </c>
      <c r="F4010" s="20" t="inlineStr">
        <is>
          <t>City</t>
        </is>
      </c>
      <c r="G4010" s="21" t="n">
        <v>2006</v>
      </c>
      <c r="H4010" s="22" t="n">
        <v>59938</v>
      </c>
      <c r="I4010" s="23" t="n">
        <v>94000</v>
      </c>
      <c r="J4010" s="20" t="inlineStr">
        <is>
          <t>VISHNU CARS PRIVATE LIMITED</t>
        </is>
      </c>
      <c r="K4010" s="20" t="inlineStr">
        <is>
          <t>Non-Captive</t>
        </is>
      </c>
      <c r="L4010" s="20" t="inlineStr">
        <is>
          <t>Santhosh Cars</t>
        </is>
      </c>
      <c r="M4010" s="23" t="n">
        <v>4237.29</v>
      </c>
      <c r="N4010" s="23" t="n">
        <v>5000</v>
      </c>
      <c r="O4010" s="24">
        <f>IF(AND(ISNUMBER(M4010), ISNUMBER(I4010), I4010&gt;0), M4010/I4010, "")</f>
        <v/>
      </c>
    </row>
    <row r="4011">
      <c r="A4011" s="19" t="inlineStr">
        <is>
          <t>FY27</t>
        </is>
      </c>
      <c r="B4011" s="19" t="inlineStr">
        <is>
          <t>Sep</t>
        </is>
      </c>
      <c r="C4011" s="19" t="inlineStr">
        <is>
          <t>TN</t>
        </is>
      </c>
      <c r="D4011" s="20" t="inlineStr">
        <is>
          <t>TN02Y8737</t>
        </is>
      </c>
      <c r="E4011" s="20" t="inlineStr">
        <is>
          <t>FORD</t>
        </is>
      </c>
      <c r="F4011" s="20" t="inlineStr">
        <is>
          <t>Fiesta</t>
        </is>
      </c>
      <c r="G4011" s="21" t="n">
        <v>2006</v>
      </c>
      <c r="H4011" s="22" t="n">
        <v>146028</v>
      </c>
      <c r="I4011" s="23" t="n">
        <v>50000</v>
      </c>
      <c r="J4011" s="20" t="inlineStr">
        <is>
          <t>EXCHANGE ROTN</t>
        </is>
      </c>
      <c r="K4011" s="20" t="inlineStr">
        <is>
          <t>Captive</t>
        </is>
      </c>
      <c r="L4011" s="20" t="inlineStr"/>
      <c r="M4011" s="23" t="n">
        <v>4237.29</v>
      </c>
      <c r="N4011" s="23" t="n">
        <v>5000</v>
      </c>
      <c r="O4011" s="24">
        <f>IF(AND(ISNUMBER(M4011), ISNUMBER(I4011), I4011&gt;0), M4011/I4011, "")</f>
        <v/>
      </c>
    </row>
    <row r="4012">
      <c r="A4012" s="19" t="inlineStr">
        <is>
          <t>FY27</t>
        </is>
      </c>
      <c r="B4012" s="19" t="inlineStr">
        <is>
          <t>Sep</t>
        </is>
      </c>
      <c r="C4012" s="19" t="inlineStr">
        <is>
          <t>TN</t>
        </is>
      </c>
      <c r="D4012" s="20" t="inlineStr">
        <is>
          <t>TN03J2781</t>
        </is>
      </c>
      <c r="E4012" s="20" t="inlineStr">
        <is>
          <t>HYUNDAI</t>
        </is>
      </c>
      <c r="F4012" s="20" t="inlineStr">
        <is>
          <t>i10</t>
        </is>
      </c>
      <c r="G4012" s="21" t="n">
        <v>2012</v>
      </c>
      <c r="H4012" s="22" t="n">
        <v>83335</v>
      </c>
      <c r="I4012" s="23" t="n">
        <v>98000</v>
      </c>
      <c r="J4012" s="20" t="inlineStr">
        <is>
          <t>THIYA CARS</t>
        </is>
      </c>
      <c r="K4012" s="20" t="inlineStr">
        <is>
          <t>Non-Captive</t>
        </is>
      </c>
      <c r="L4012" s="20" t="inlineStr">
        <is>
          <t>Srijja Travels</t>
        </is>
      </c>
      <c r="M4012" s="23" t="n">
        <v>4237.29</v>
      </c>
      <c r="N4012" s="23" t="n">
        <v>5000</v>
      </c>
      <c r="O4012" s="24">
        <f>IF(AND(ISNUMBER(M4012), ISNUMBER(I4012), I4012&gt;0), M4012/I4012, "")</f>
        <v/>
      </c>
    </row>
    <row r="4013">
      <c r="A4013" s="19" t="inlineStr">
        <is>
          <t>FY27</t>
        </is>
      </c>
      <c r="B4013" s="19" t="inlineStr">
        <is>
          <t>Sep</t>
        </is>
      </c>
      <c r="C4013" s="19" t="inlineStr">
        <is>
          <t>TN</t>
        </is>
      </c>
      <c r="D4013" s="20" t="inlineStr">
        <is>
          <t>TN03P9326</t>
        </is>
      </c>
      <c r="E4013" s="20" t="inlineStr">
        <is>
          <t>MARUTI SUZUKI</t>
        </is>
      </c>
      <c r="F4013" s="20" t="inlineStr">
        <is>
          <t>Ritz</t>
        </is>
      </c>
      <c r="G4013" s="21" t="n">
        <v>2014</v>
      </c>
      <c r="H4013" s="22" t="n">
        <v>145668</v>
      </c>
      <c r="I4013" s="23" t="n">
        <v>93000</v>
      </c>
      <c r="J4013" s="20" t="inlineStr">
        <is>
          <t>LAKSHMI NISSAN</t>
        </is>
      </c>
      <c r="K4013" s="20" t="inlineStr">
        <is>
          <t>Non-Captive</t>
        </is>
      </c>
      <c r="L4013" s="20" t="inlineStr">
        <is>
          <t>Srijja Travels</t>
        </is>
      </c>
      <c r="M4013" s="23" t="n">
        <v>4237.29</v>
      </c>
      <c r="N4013" s="23" t="n">
        <v>5000</v>
      </c>
      <c r="O4013" s="24">
        <f>IF(AND(ISNUMBER(M4013), ISNUMBER(I4013), I4013&gt;0), M4013/I4013, "")</f>
        <v/>
      </c>
    </row>
    <row r="4014">
      <c r="A4014" s="19" t="inlineStr">
        <is>
          <t>FY27</t>
        </is>
      </c>
      <c r="B4014" s="19" t="inlineStr">
        <is>
          <t>Sep</t>
        </is>
      </c>
      <c r="C4014" s="19" t="inlineStr">
        <is>
          <t>TN</t>
        </is>
      </c>
      <c r="D4014" s="20" t="inlineStr">
        <is>
          <t>TN04AA9453</t>
        </is>
      </c>
      <c r="E4014" s="20" t="inlineStr">
        <is>
          <t>TATA</t>
        </is>
      </c>
      <c r="F4014" s="20" t="inlineStr">
        <is>
          <t>Indica</t>
        </is>
      </c>
      <c r="G4014" s="21" t="n">
        <v>2007</v>
      </c>
      <c r="H4014" s="22" t="n">
        <v>983000</v>
      </c>
      <c r="I4014" s="23" t="n">
        <v>98000</v>
      </c>
      <c r="J4014" s="20" t="inlineStr">
        <is>
          <t>CASTLE TRADERS MARUTI</t>
        </is>
      </c>
      <c r="K4014" s="20" t="inlineStr">
        <is>
          <t>Non-Captive</t>
        </is>
      </c>
      <c r="L4014" s="20" t="inlineStr">
        <is>
          <t>Car Hub</t>
        </is>
      </c>
      <c r="M4014" s="23" t="n">
        <v>4237.29</v>
      </c>
      <c r="N4014" s="23" t="n">
        <v>5000</v>
      </c>
      <c r="O4014" s="24">
        <f>IF(AND(ISNUMBER(M4014), ISNUMBER(I4014), I4014&gt;0), M4014/I4014, "")</f>
        <v/>
      </c>
    </row>
    <row r="4015">
      <c r="A4015" s="19" t="inlineStr">
        <is>
          <t>FY27</t>
        </is>
      </c>
      <c r="B4015" s="19" t="inlineStr">
        <is>
          <t>Sep</t>
        </is>
      </c>
      <c r="C4015" s="19" t="inlineStr">
        <is>
          <t>TN</t>
        </is>
      </c>
      <c r="D4015" s="20" t="inlineStr">
        <is>
          <t>TN04AE4003</t>
        </is>
      </c>
      <c r="E4015" s="20" t="inlineStr">
        <is>
          <t>TOYOTA</t>
        </is>
      </c>
      <c r="F4015" s="20" t="inlineStr">
        <is>
          <t>Corolla Altis</t>
        </is>
      </c>
      <c r="G4015" s="21" t="n">
        <v>2010</v>
      </c>
      <c r="H4015" s="22" t="n">
        <v>248653</v>
      </c>
      <c r="I4015" s="23" t="n">
        <v>94000</v>
      </c>
      <c r="J4015" s="20" t="inlineStr">
        <is>
          <t>CARS INDIA</t>
        </is>
      </c>
      <c r="K4015" s="20" t="inlineStr">
        <is>
          <t>Non-Captive</t>
        </is>
      </c>
      <c r="L4015" s="20" t="inlineStr">
        <is>
          <t>Pine Autos</t>
        </is>
      </c>
      <c r="M4015" s="23" t="n">
        <v>4237.29</v>
      </c>
      <c r="N4015" s="23" t="n">
        <v>5000</v>
      </c>
      <c r="O4015" s="24">
        <f>IF(AND(ISNUMBER(M4015), ISNUMBER(I4015), I4015&gt;0), M4015/I4015, "")</f>
        <v/>
      </c>
    </row>
    <row r="4016">
      <c r="A4016" s="19" t="inlineStr">
        <is>
          <t>FY27</t>
        </is>
      </c>
      <c r="B4016" s="19" t="inlineStr">
        <is>
          <t>Sep</t>
        </is>
      </c>
      <c r="C4016" s="19" t="inlineStr">
        <is>
          <t>TN</t>
        </is>
      </c>
      <c r="D4016" s="20" t="inlineStr">
        <is>
          <t>TN04AE9007</t>
        </is>
      </c>
      <c r="E4016" s="20" t="inlineStr">
        <is>
          <t>HYUNDAI</t>
        </is>
      </c>
      <c r="F4016" s="20" t="inlineStr">
        <is>
          <t>Santro</t>
        </is>
      </c>
      <c r="G4016" s="21" t="n">
        <v>2010</v>
      </c>
      <c r="H4016" s="22" t="n">
        <v>89599</v>
      </c>
      <c r="I4016" s="23" t="n">
        <v>97000</v>
      </c>
      <c r="J4016" s="20" t="inlineStr">
        <is>
          <t>AIE CARS PRIVATE LIMITED</t>
        </is>
      </c>
      <c r="K4016" s="20" t="inlineStr">
        <is>
          <t>Non-Captive</t>
        </is>
      </c>
      <c r="L4016" s="20" t="inlineStr">
        <is>
          <t>Aaa Cars</t>
        </is>
      </c>
      <c r="M4016" s="23" t="n">
        <v>4237.29</v>
      </c>
      <c r="N4016" s="23" t="n">
        <v>5000</v>
      </c>
      <c r="O4016" s="24">
        <f>IF(AND(ISNUMBER(M4016), ISNUMBER(I4016), I4016&gt;0), M4016/I4016, "")</f>
        <v/>
      </c>
    </row>
    <row r="4017">
      <c r="A4017" s="19" t="inlineStr">
        <is>
          <t>FY27</t>
        </is>
      </c>
      <c r="B4017" s="19" t="inlineStr">
        <is>
          <t>Sep</t>
        </is>
      </c>
      <c r="C4017" s="19" t="inlineStr">
        <is>
          <t>TN</t>
        </is>
      </c>
      <c r="D4017" s="20" t="inlineStr">
        <is>
          <t>TN04AH1593</t>
        </is>
      </c>
      <c r="E4017" s="20" t="inlineStr">
        <is>
          <t>MARUTI SUZUKI</t>
        </is>
      </c>
      <c r="F4017" s="20" t="inlineStr">
        <is>
          <t>Wagon R</t>
        </is>
      </c>
      <c r="G4017" s="21" t="n">
        <v>2011</v>
      </c>
      <c r="H4017" s="22" t="n">
        <v>61065</v>
      </c>
      <c r="I4017" s="23" t="n">
        <v>117000</v>
      </c>
      <c r="J4017" s="20" t="inlineStr">
        <is>
          <t>CASTLE TRADERS MARUTI</t>
        </is>
      </c>
      <c r="K4017" s="20" t="inlineStr">
        <is>
          <t>Non-Captive</t>
        </is>
      </c>
      <c r="L4017" s="20" t="inlineStr">
        <is>
          <t>As Cars</t>
        </is>
      </c>
      <c r="M4017" s="23" t="n">
        <v>5084.75</v>
      </c>
      <c r="N4017" s="23" t="n">
        <v>6000</v>
      </c>
      <c r="O4017" s="24">
        <f>IF(AND(ISNUMBER(M4017), ISNUMBER(I4017), I4017&gt;0), M4017/I4017, "")</f>
        <v/>
      </c>
    </row>
    <row r="4018">
      <c r="A4018" s="19" t="inlineStr">
        <is>
          <t>FY27</t>
        </is>
      </c>
      <c r="B4018" s="19" t="inlineStr">
        <is>
          <t>Sep</t>
        </is>
      </c>
      <c r="C4018" s="19" t="inlineStr">
        <is>
          <t>TN</t>
        </is>
      </c>
      <c r="D4018" s="20" t="inlineStr">
        <is>
          <t>TN04AL9064</t>
        </is>
      </c>
      <c r="E4018" s="20" t="inlineStr">
        <is>
          <t>HONDA</t>
        </is>
      </c>
      <c r="F4018" s="20" t="inlineStr">
        <is>
          <t>Brio</t>
        </is>
      </c>
      <c r="G4018" s="21" t="n">
        <v>2013</v>
      </c>
      <c r="H4018" s="22" t="n">
        <v>84659</v>
      </c>
      <c r="I4018" s="23" t="n">
        <v>94000</v>
      </c>
      <c r="J4018" s="20" t="inlineStr">
        <is>
          <t>AIE CARS PRIVATE LIMITED</t>
        </is>
      </c>
      <c r="K4018" s="20" t="inlineStr">
        <is>
          <t>Non-Captive</t>
        </is>
      </c>
      <c r="L4018" s="20" t="inlineStr">
        <is>
          <t>Pine Autos</t>
        </is>
      </c>
      <c r="M4018" s="23" t="n">
        <v>4237.29</v>
      </c>
      <c r="N4018" s="23" t="n">
        <v>5000</v>
      </c>
      <c r="O4018" s="24">
        <f>IF(AND(ISNUMBER(M4018), ISNUMBER(I4018), I4018&gt;0), M4018/I4018, "")</f>
        <v/>
      </c>
    </row>
    <row r="4019">
      <c r="A4019" s="19" t="inlineStr">
        <is>
          <t>FY27</t>
        </is>
      </c>
      <c r="B4019" s="19" t="inlineStr">
        <is>
          <t>Sep</t>
        </is>
      </c>
      <c r="C4019" s="19" t="inlineStr">
        <is>
          <t>TN</t>
        </is>
      </c>
      <c r="D4019" s="20" t="inlineStr">
        <is>
          <t>TN04AP4305</t>
        </is>
      </c>
      <c r="E4019" s="20" t="inlineStr">
        <is>
          <t>MARUTI SUZUKI</t>
        </is>
      </c>
      <c r="F4019" s="20" t="inlineStr">
        <is>
          <t>Ertiga</t>
        </is>
      </c>
      <c r="G4019" s="21" t="n">
        <v>2014</v>
      </c>
      <c r="H4019" s="22" t="n">
        <v>182422</v>
      </c>
      <c r="I4019" s="23" t="n">
        <v>430000</v>
      </c>
      <c r="J4019" s="20" t="inlineStr">
        <is>
          <t>EXCHANGE CHENNAI</t>
        </is>
      </c>
      <c r="K4019" s="20" t="inlineStr">
        <is>
          <t>Captive</t>
        </is>
      </c>
      <c r="L4019" s="20" t="inlineStr">
        <is>
          <t>Santhosh Cars</t>
        </is>
      </c>
      <c r="M4019" s="23" t="n">
        <v>8474.58</v>
      </c>
      <c r="N4019" s="23" t="n">
        <v>10000</v>
      </c>
      <c r="O4019" s="24">
        <f>IF(AND(ISNUMBER(M4019), ISNUMBER(I4019), I4019&gt;0), M4019/I4019, "")</f>
        <v/>
      </c>
    </row>
    <row r="4020">
      <c r="A4020" s="19" t="inlineStr">
        <is>
          <t>FY27</t>
        </is>
      </c>
      <c r="B4020" s="19" t="inlineStr">
        <is>
          <t>Sep</t>
        </is>
      </c>
      <c r="C4020" s="19" t="inlineStr">
        <is>
          <t>TN</t>
        </is>
      </c>
      <c r="D4020" s="20" t="inlineStr">
        <is>
          <t>TN04AS7020</t>
        </is>
      </c>
      <c r="E4020" s="20" t="inlineStr">
        <is>
          <t>SKODA</t>
        </is>
      </c>
      <c r="F4020" s="20" t="inlineStr">
        <is>
          <t>Octavia</t>
        </is>
      </c>
      <c r="G4020" s="21" t="n">
        <v>2016</v>
      </c>
      <c r="H4020" s="22" t="n">
        <v>101280</v>
      </c>
      <c r="I4020" s="23" t="n">
        <v>483000</v>
      </c>
      <c r="J4020" s="20" t="inlineStr">
        <is>
          <t>EXCHANGE ROTN</t>
        </is>
      </c>
      <c r="K4020" s="20" t="inlineStr">
        <is>
          <t>Captive</t>
        </is>
      </c>
      <c r="L4020" s="20" t="inlineStr">
        <is>
          <t>Ready To Ride Cars</t>
        </is>
      </c>
      <c r="M4020" s="23" t="n">
        <v>10169.49</v>
      </c>
      <c r="N4020" s="23" t="n">
        <v>12000</v>
      </c>
      <c r="O4020" s="24">
        <f>IF(AND(ISNUMBER(M4020), ISNUMBER(I4020), I4020&gt;0), M4020/I4020, "")</f>
        <v/>
      </c>
    </row>
    <row r="4021">
      <c r="A4021" s="19" t="inlineStr">
        <is>
          <t>FY27</t>
        </is>
      </c>
      <c r="B4021" s="19" t="inlineStr">
        <is>
          <t>Sep</t>
        </is>
      </c>
      <c r="C4021" s="19" t="inlineStr">
        <is>
          <t>TN</t>
        </is>
      </c>
      <c r="D4021" s="20" t="inlineStr">
        <is>
          <t>TN05AC1429</t>
        </is>
      </c>
      <c r="E4021" s="20" t="inlineStr">
        <is>
          <t>MARUTI SUZUKI</t>
        </is>
      </c>
      <c r="F4021" s="20" t="inlineStr">
        <is>
          <t>Wagon R</t>
        </is>
      </c>
      <c r="G4021" s="21" t="n">
        <v>2009</v>
      </c>
      <c r="H4021" s="22" t="n">
        <v>83354</v>
      </c>
      <c r="I4021" s="23" t="n">
        <v>88000</v>
      </c>
      <c r="J4021" s="20" t="inlineStr">
        <is>
          <t>EXCHANGE ROTN</t>
        </is>
      </c>
      <c r="K4021" s="20" t="inlineStr">
        <is>
          <t>Captive</t>
        </is>
      </c>
      <c r="L4021" s="20" t="inlineStr">
        <is>
          <t>Sree Murugan Cars</t>
        </is>
      </c>
      <c r="M4021" s="23" t="n">
        <v>4237.29</v>
      </c>
      <c r="N4021" s="23" t="n">
        <v>5000</v>
      </c>
      <c r="O4021" s="24">
        <f>IF(AND(ISNUMBER(M4021), ISNUMBER(I4021), I4021&gt;0), M4021/I4021, "")</f>
        <v/>
      </c>
    </row>
    <row r="4022">
      <c r="A4022" s="19" t="inlineStr">
        <is>
          <t>FY27</t>
        </is>
      </c>
      <c r="B4022" s="19" t="inlineStr">
        <is>
          <t>Sep</t>
        </is>
      </c>
      <c r="C4022" s="19" t="inlineStr">
        <is>
          <t>TN</t>
        </is>
      </c>
      <c r="D4022" s="20" t="inlineStr">
        <is>
          <t>TN05AK9969</t>
        </is>
      </c>
      <c r="E4022" s="20" t="inlineStr">
        <is>
          <t>MARUTI SUZUKI</t>
        </is>
      </c>
      <c r="F4022" s="20" t="inlineStr">
        <is>
          <t>Swift</t>
        </is>
      </c>
      <c r="G4022" s="21" t="n">
        <v>2011</v>
      </c>
      <c r="H4022" s="22" t="n">
        <v>114174</v>
      </c>
      <c r="I4022" s="23" t="n">
        <v>98000</v>
      </c>
      <c r="J4022" s="20" t="inlineStr">
        <is>
          <t>STEER AUTO TECHNOLOGIES PRIVATE LIMITED</t>
        </is>
      </c>
      <c r="K4022" s="20" t="inlineStr">
        <is>
          <t>Non-Captive</t>
        </is>
      </c>
      <c r="L4022" s="20" t="inlineStr">
        <is>
          <t>Castel Traders Honada</t>
        </is>
      </c>
      <c r="M4022" s="23" t="n">
        <v>4237.29</v>
      </c>
      <c r="N4022" s="23" t="n">
        <v>5000</v>
      </c>
      <c r="O4022" s="24">
        <f>IF(AND(ISNUMBER(M4022), ISNUMBER(I4022), I4022&gt;0), M4022/I4022, "")</f>
        <v/>
      </c>
    </row>
    <row r="4023">
      <c r="A4023" s="19" t="inlineStr">
        <is>
          <t>FY27</t>
        </is>
      </c>
      <c r="B4023" s="19" t="inlineStr">
        <is>
          <t>Sep</t>
        </is>
      </c>
      <c r="C4023" s="19" t="inlineStr">
        <is>
          <t>TN</t>
        </is>
      </c>
      <c r="D4023" s="20" t="inlineStr">
        <is>
          <t>TN05BC4885</t>
        </is>
      </c>
      <c r="E4023" s="20" t="inlineStr">
        <is>
          <t>MARUTI SUZUKI</t>
        </is>
      </c>
      <c r="F4023" s="20" t="inlineStr">
        <is>
          <t>Alto K10</t>
        </is>
      </c>
      <c r="G4023" s="21" t="n">
        <v>2015</v>
      </c>
      <c r="H4023" s="22" t="n">
        <v>57919</v>
      </c>
      <c r="I4023" s="23" t="n">
        <v>233000</v>
      </c>
      <c r="J4023" s="20" t="inlineStr">
        <is>
          <t>CASTLE TRADERS MARUTI</t>
        </is>
      </c>
      <c r="K4023" s="20" t="inlineStr">
        <is>
          <t>Non-Captive</t>
        </is>
      </c>
      <c r="L4023" s="20" t="inlineStr">
        <is>
          <t>Kamal Cars</t>
        </is>
      </c>
      <c r="M4023" s="23" t="n">
        <v>6356.24</v>
      </c>
      <c r="N4023" s="23" t="n">
        <v>7500.36</v>
      </c>
      <c r="O4023" s="24">
        <f>IF(AND(ISNUMBER(M4023), ISNUMBER(I4023), I4023&gt;0), M4023/I4023, "")</f>
        <v/>
      </c>
    </row>
    <row r="4024">
      <c r="A4024" s="19" t="inlineStr">
        <is>
          <t>FY27</t>
        </is>
      </c>
      <c r="B4024" s="19" t="inlineStr">
        <is>
          <t>Sep</t>
        </is>
      </c>
      <c r="C4024" s="19" t="inlineStr">
        <is>
          <t>TN</t>
        </is>
      </c>
      <c r="D4024" s="20" t="inlineStr">
        <is>
          <t>TN05BC9699</t>
        </is>
      </c>
      <c r="E4024" s="20" t="inlineStr">
        <is>
          <t>MARUTI SUZUKI</t>
        </is>
      </c>
      <c r="F4024" s="20" t="inlineStr">
        <is>
          <t>Alto 800</t>
        </is>
      </c>
      <c r="G4024" s="21" t="n">
        <v>2015</v>
      </c>
      <c r="H4024" s="22" t="n">
        <v>45061</v>
      </c>
      <c r="I4024" s="23" t="n">
        <v>89000</v>
      </c>
      <c r="J4024" s="20" t="inlineStr">
        <is>
          <t>PRODUCTIVITY ELEMENTS PRIVATE LIMITED</t>
        </is>
      </c>
      <c r="K4024" s="20" t="inlineStr">
        <is>
          <t>Non-Captive</t>
        </is>
      </c>
      <c r="L4024" s="20" t="inlineStr">
        <is>
          <t>Castel Traders Honada</t>
        </is>
      </c>
      <c r="M4024" s="23" t="n">
        <v>4237.29</v>
      </c>
      <c r="N4024" s="23" t="n">
        <v>5000</v>
      </c>
      <c r="O4024" s="24">
        <f>IF(AND(ISNUMBER(M4024), ISNUMBER(I4024), I4024&gt;0), M4024/I4024, "")</f>
        <v/>
      </c>
    </row>
    <row r="4025">
      <c r="A4025" s="19" t="inlineStr">
        <is>
          <t>FY27</t>
        </is>
      </c>
      <c r="B4025" s="19" t="inlineStr">
        <is>
          <t>Sep</t>
        </is>
      </c>
      <c r="C4025" s="19" t="inlineStr">
        <is>
          <t>TN</t>
        </is>
      </c>
      <c r="D4025" s="20" t="inlineStr">
        <is>
          <t>TN05BE6135</t>
        </is>
      </c>
      <c r="E4025" s="20" t="inlineStr">
        <is>
          <t>MARUTI SUZUKI</t>
        </is>
      </c>
      <c r="F4025" s="20" t="inlineStr">
        <is>
          <t>Ritz</t>
        </is>
      </c>
      <c r="G4025" s="21" t="n">
        <v>2016</v>
      </c>
      <c r="H4025" s="22" t="n">
        <v>130173</v>
      </c>
      <c r="I4025" s="23" t="n">
        <v>80000</v>
      </c>
      <c r="J4025" s="20" t="inlineStr">
        <is>
          <t>EXCHANGE ROTN</t>
        </is>
      </c>
      <c r="K4025" s="20" t="inlineStr">
        <is>
          <t>Captive</t>
        </is>
      </c>
      <c r="L4025" s="20" t="inlineStr">
        <is>
          <t>Sai Cars</t>
        </is>
      </c>
      <c r="M4025" s="23" t="n">
        <v>4237.29</v>
      </c>
      <c r="N4025" s="23" t="n">
        <v>5000</v>
      </c>
      <c r="O4025" s="24">
        <f>IF(AND(ISNUMBER(M4025), ISNUMBER(I4025), I4025&gt;0), M4025/I4025, "")</f>
        <v/>
      </c>
    </row>
    <row r="4026">
      <c r="A4026" s="19" t="inlineStr">
        <is>
          <t>FY27</t>
        </is>
      </c>
      <c r="B4026" s="19" t="inlineStr">
        <is>
          <t>Sep</t>
        </is>
      </c>
      <c r="C4026" s="19" t="inlineStr">
        <is>
          <t>TN</t>
        </is>
      </c>
      <c r="D4026" s="20" t="inlineStr">
        <is>
          <t>TN05BU4577</t>
        </is>
      </c>
      <c r="E4026" s="20" t="inlineStr">
        <is>
          <t>HONDA</t>
        </is>
      </c>
      <c r="F4026" s="20" t="inlineStr">
        <is>
          <t>Amaze</t>
        </is>
      </c>
      <c r="G4026" s="21" t="n">
        <v>2018</v>
      </c>
      <c r="H4026" s="22" t="n">
        <v>54201</v>
      </c>
      <c r="I4026" s="23" t="n">
        <v>197000</v>
      </c>
      <c r="J4026" s="20" t="inlineStr">
        <is>
          <t>CASTLE TRADERS HONDA</t>
        </is>
      </c>
      <c r="K4026" s="20" t="inlineStr">
        <is>
          <t>Non-Captive</t>
        </is>
      </c>
      <c r="L4026" s="20" t="inlineStr">
        <is>
          <t>Maruthi Industries</t>
        </is>
      </c>
      <c r="M4026" s="23" t="n">
        <v>5084.75</v>
      </c>
      <c r="N4026" s="23" t="n">
        <v>6000</v>
      </c>
      <c r="O4026" s="24">
        <f>IF(AND(ISNUMBER(M4026), ISNUMBER(I4026), I4026&gt;0), M4026/I4026, "")</f>
        <v/>
      </c>
    </row>
    <row r="4027">
      <c r="A4027" s="19" t="inlineStr">
        <is>
          <t>FY27</t>
        </is>
      </c>
      <c r="B4027" s="19" t="inlineStr">
        <is>
          <t>Sep</t>
        </is>
      </c>
      <c r="C4027" s="19" t="inlineStr">
        <is>
          <t>TN</t>
        </is>
      </c>
      <c r="D4027" s="20" t="inlineStr">
        <is>
          <t>TN05CB8118</t>
        </is>
      </c>
      <c r="E4027" s="20" t="inlineStr">
        <is>
          <t>HYUNDAI</t>
        </is>
      </c>
      <c r="F4027" s="20" t="inlineStr">
        <is>
          <t>Grand i10</t>
        </is>
      </c>
      <c r="G4027" s="21" t="n">
        <v>2016</v>
      </c>
      <c r="H4027" s="22" t="n">
        <v>98431</v>
      </c>
      <c r="I4027" s="23" t="n">
        <v>97000</v>
      </c>
      <c r="J4027" s="20" t="inlineStr">
        <is>
          <t>PEEYESYEM HK MOTORS LLP</t>
        </is>
      </c>
      <c r="K4027" s="20" t="inlineStr">
        <is>
          <t>Non-Captive</t>
        </is>
      </c>
      <c r="L4027" s="20" t="inlineStr">
        <is>
          <t>Anishcars</t>
        </is>
      </c>
      <c r="M4027" s="23" t="n">
        <v>4237.29</v>
      </c>
      <c r="N4027" s="23" t="n">
        <v>5000</v>
      </c>
      <c r="O4027" s="24">
        <f>IF(AND(ISNUMBER(M4027), ISNUMBER(I4027), I4027&gt;0), M4027/I4027, "")</f>
        <v/>
      </c>
    </row>
    <row r="4028">
      <c r="A4028" s="19" t="inlineStr">
        <is>
          <t>FY27</t>
        </is>
      </c>
      <c r="B4028" s="19" t="inlineStr">
        <is>
          <t>Sep</t>
        </is>
      </c>
      <c r="C4028" s="19" t="inlineStr">
        <is>
          <t>TN</t>
        </is>
      </c>
      <c r="D4028" s="20" t="inlineStr">
        <is>
          <t>TN05CE2961</t>
        </is>
      </c>
      <c r="E4028" s="20" t="inlineStr">
        <is>
          <t>MARUTI SUZUKI</t>
        </is>
      </c>
      <c r="F4028" s="20" t="inlineStr">
        <is>
          <t>Eeco</t>
        </is>
      </c>
      <c r="G4028" s="21" t="n">
        <v>2021</v>
      </c>
      <c r="H4028" s="22" t="n">
        <v>62025</v>
      </c>
      <c r="I4028" s="23" t="n">
        <v>364500</v>
      </c>
      <c r="J4028" s="20" t="inlineStr">
        <is>
          <t>CASTLE TRADERS MARUTI</t>
        </is>
      </c>
      <c r="K4028" s="20" t="inlineStr">
        <is>
          <t>Non-Captive</t>
        </is>
      </c>
      <c r="L4028" s="20" t="inlineStr">
        <is>
          <t>Emerald Cars</t>
        </is>
      </c>
      <c r="M4028" s="23" t="n">
        <v>6355.93</v>
      </c>
      <c r="N4028" s="23" t="n">
        <v>7500</v>
      </c>
      <c r="O4028" s="24">
        <f>IF(AND(ISNUMBER(M4028), ISNUMBER(I4028), I4028&gt;0), M4028/I4028, "")</f>
        <v/>
      </c>
    </row>
    <row r="4029">
      <c r="A4029" s="19" t="inlineStr">
        <is>
          <t>FY27</t>
        </is>
      </c>
      <c r="B4029" s="19" t="inlineStr">
        <is>
          <t>Sep</t>
        </is>
      </c>
      <c r="C4029" s="19" t="inlineStr">
        <is>
          <t>TN</t>
        </is>
      </c>
      <c r="D4029" s="20" t="inlineStr">
        <is>
          <t>TN05F3945</t>
        </is>
      </c>
      <c r="E4029" s="20" t="inlineStr">
        <is>
          <t>MARUTI SUZUKI</t>
        </is>
      </c>
      <c r="F4029" s="20" t="inlineStr">
        <is>
          <t>800</t>
        </is>
      </c>
      <c r="G4029" s="21" t="n">
        <v>2002</v>
      </c>
      <c r="H4029" s="22" t="n">
        <v>7554</v>
      </c>
      <c r="I4029" s="23" t="n">
        <v>41000</v>
      </c>
      <c r="J4029" s="20" t="inlineStr">
        <is>
          <t>EXCHANGE ROTN</t>
        </is>
      </c>
      <c r="K4029" s="20" t="inlineStr">
        <is>
          <t>Captive</t>
        </is>
      </c>
      <c r="L4029" s="20" t="inlineStr">
        <is>
          <t>Deeraa Cars</t>
        </is>
      </c>
      <c r="M4029" s="23" t="n">
        <v>4237.29</v>
      </c>
      <c r="N4029" s="23" t="n">
        <v>5000</v>
      </c>
      <c r="O4029" s="24">
        <f>IF(AND(ISNUMBER(M4029), ISNUMBER(I4029), I4029&gt;0), M4029/I4029, "")</f>
        <v/>
      </c>
    </row>
    <row r="4030">
      <c r="A4030" s="19" t="inlineStr">
        <is>
          <t>FY27</t>
        </is>
      </c>
      <c r="B4030" s="19" t="inlineStr">
        <is>
          <t>Sep</t>
        </is>
      </c>
      <c r="C4030" s="19" t="inlineStr">
        <is>
          <t>TN</t>
        </is>
      </c>
      <c r="D4030" s="20" t="inlineStr">
        <is>
          <t>TN05M4734</t>
        </is>
      </c>
      <c r="E4030" s="20" t="inlineStr">
        <is>
          <t>MARUTI SUZUKI</t>
        </is>
      </c>
      <c r="F4030" s="20" t="inlineStr">
        <is>
          <t>Zen</t>
        </is>
      </c>
      <c r="G4030" s="21" t="n">
        <v>2004</v>
      </c>
      <c r="H4030" s="22" t="n">
        <v>155869</v>
      </c>
      <c r="I4030" s="23" t="n">
        <v>99000</v>
      </c>
      <c r="J4030" s="20" t="inlineStr">
        <is>
          <t>CRESCO CARS</t>
        </is>
      </c>
      <c r="K4030" s="20" t="inlineStr">
        <is>
          <t>Non-Captive</t>
        </is>
      </c>
      <c r="L4030" s="20" t="inlineStr">
        <is>
          <t>Value Drive Tech</t>
        </is>
      </c>
      <c r="M4030" s="23" t="n">
        <v>4237.29</v>
      </c>
      <c r="N4030" s="23" t="n">
        <v>5000</v>
      </c>
      <c r="O4030" s="24">
        <f>IF(AND(ISNUMBER(M4030), ISNUMBER(I4030), I4030&gt;0), M4030/I4030, "")</f>
        <v/>
      </c>
    </row>
    <row r="4031">
      <c r="A4031" s="19" t="inlineStr">
        <is>
          <t>FY27</t>
        </is>
      </c>
      <c r="B4031" s="19" t="inlineStr">
        <is>
          <t>Sep</t>
        </is>
      </c>
      <c r="C4031" s="19" t="inlineStr">
        <is>
          <t>TN</t>
        </is>
      </c>
      <c r="D4031" s="20" t="inlineStr">
        <is>
          <t>TN05P5657</t>
        </is>
      </c>
      <c r="E4031" s="20" t="inlineStr">
        <is>
          <t>HONDA</t>
        </is>
      </c>
      <c r="F4031" s="20" t="inlineStr">
        <is>
          <t>City</t>
        </is>
      </c>
      <c r="G4031" s="21" t="n">
        <v>2005</v>
      </c>
      <c r="H4031" s="22" t="n">
        <v>147545</v>
      </c>
      <c r="I4031" s="23" t="n">
        <v>98000</v>
      </c>
      <c r="J4031" s="20" t="inlineStr">
        <is>
          <t>AIE CARS PRIVATE LIMITED</t>
        </is>
      </c>
      <c r="K4031" s="20" t="inlineStr">
        <is>
          <t>Non-Captive</t>
        </is>
      </c>
      <c r="L4031" s="20" t="inlineStr">
        <is>
          <t>Santhosh Cars</t>
        </is>
      </c>
      <c r="M4031" s="23" t="n">
        <v>4237.29</v>
      </c>
      <c r="N4031" s="23" t="n">
        <v>5000</v>
      </c>
      <c r="O4031" s="24">
        <f>IF(AND(ISNUMBER(M4031), ISNUMBER(I4031), I4031&gt;0), M4031/I4031, "")</f>
        <v/>
      </c>
    </row>
    <row r="4032">
      <c r="A4032" s="19" t="inlineStr">
        <is>
          <t>FY27</t>
        </is>
      </c>
      <c r="B4032" s="19" t="inlineStr">
        <is>
          <t>Sep</t>
        </is>
      </c>
      <c r="C4032" s="19" t="inlineStr">
        <is>
          <t>TN</t>
        </is>
      </c>
      <c r="D4032" s="20" t="inlineStr">
        <is>
          <t>TN05Z1661</t>
        </is>
      </c>
      <c r="E4032" s="20" t="inlineStr">
        <is>
          <t>HONDA</t>
        </is>
      </c>
      <c r="F4032" s="20" t="inlineStr">
        <is>
          <t>City</t>
        </is>
      </c>
      <c r="G4032" s="21" t="n">
        <v>2008</v>
      </c>
      <c r="H4032" s="22" t="n">
        <v>98749</v>
      </c>
      <c r="I4032" s="23" t="n">
        <v>90000</v>
      </c>
      <c r="J4032" s="20" t="inlineStr">
        <is>
          <t>EXCHANGE ROTN</t>
        </is>
      </c>
      <c r="K4032" s="20" t="inlineStr">
        <is>
          <t>Captive</t>
        </is>
      </c>
      <c r="L4032" s="20" t="inlineStr">
        <is>
          <t>Gokul Cars</t>
        </is>
      </c>
      <c r="M4032" s="23" t="n">
        <v>4237.29</v>
      </c>
      <c r="N4032" s="23" t="n">
        <v>5000</v>
      </c>
      <c r="O4032" s="24">
        <f>IF(AND(ISNUMBER(M4032), ISNUMBER(I4032), I4032&gt;0), M4032/I4032, "")</f>
        <v/>
      </c>
    </row>
    <row r="4033">
      <c r="A4033" s="19" t="inlineStr">
        <is>
          <t>FY27</t>
        </is>
      </c>
      <c r="B4033" s="19" t="inlineStr">
        <is>
          <t>Sep</t>
        </is>
      </c>
      <c r="C4033" s="19" t="inlineStr">
        <is>
          <t>TN</t>
        </is>
      </c>
      <c r="D4033" s="20" t="inlineStr">
        <is>
          <t>TN06B7152</t>
        </is>
      </c>
      <c r="E4033" s="20" t="inlineStr">
        <is>
          <t>VOLKSWAGEN</t>
        </is>
      </c>
      <c r="F4033" s="20" t="inlineStr">
        <is>
          <t>Polo</t>
        </is>
      </c>
      <c r="G4033" s="21" t="n">
        <v>2010</v>
      </c>
      <c r="H4033" s="22" t="n">
        <v>87977</v>
      </c>
      <c r="I4033" s="23" t="n">
        <v>50000</v>
      </c>
      <c r="J4033" s="20" t="inlineStr">
        <is>
          <t>EXCHANGE ROTN</t>
        </is>
      </c>
      <c r="K4033" s="20" t="inlineStr">
        <is>
          <t>Captive</t>
        </is>
      </c>
      <c r="L4033" s="20" t="inlineStr">
        <is>
          <t>Sri Raja Kanapathy Cars</t>
        </is>
      </c>
      <c r="M4033" s="23" t="n">
        <v>4237.29</v>
      </c>
      <c r="N4033" s="23" t="n">
        <v>5000</v>
      </c>
      <c r="O4033" s="24">
        <f>IF(AND(ISNUMBER(M4033), ISNUMBER(I4033), I4033&gt;0), M4033/I4033, "")</f>
        <v/>
      </c>
    </row>
    <row r="4034">
      <c r="A4034" s="19" t="inlineStr">
        <is>
          <t>FY27</t>
        </is>
      </c>
      <c r="B4034" s="19" t="inlineStr">
        <is>
          <t>Sep</t>
        </is>
      </c>
      <c r="C4034" s="19" t="inlineStr">
        <is>
          <t>TN</t>
        </is>
      </c>
      <c r="D4034" s="20" t="inlineStr">
        <is>
          <t>TN06D9887</t>
        </is>
      </c>
      <c r="E4034" s="20" t="inlineStr">
        <is>
          <t>CHEVROLET</t>
        </is>
      </c>
      <c r="F4034" s="20" t="inlineStr">
        <is>
          <t>Spark</t>
        </is>
      </c>
      <c r="G4034" s="21" t="n">
        <v>2011</v>
      </c>
      <c r="H4034" s="22" t="n">
        <v>69451</v>
      </c>
      <c r="I4034" s="23" t="n">
        <v>87000</v>
      </c>
      <c r="J4034" s="20" t="inlineStr">
        <is>
          <t>STEER AUTO TECHNOLOGIES PRIVATE LIMITED</t>
        </is>
      </c>
      <c r="K4034" s="20" t="inlineStr">
        <is>
          <t>Non-Captive</t>
        </is>
      </c>
      <c r="L4034" s="20" t="inlineStr">
        <is>
          <t>Srijja Travels</t>
        </is>
      </c>
      <c r="M4034" s="23" t="n">
        <v>4237.29</v>
      </c>
      <c r="N4034" s="23" t="n">
        <v>5000</v>
      </c>
      <c r="O4034" s="24">
        <f>IF(AND(ISNUMBER(M4034), ISNUMBER(I4034), I4034&gt;0), M4034/I4034, "")</f>
        <v/>
      </c>
    </row>
    <row r="4035">
      <c r="A4035" s="19" t="inlineStr">
        <is>
          <t>FY27</t>
        </is>
      </c>
      <c r="B4035" s="19" t="inlineStr">
        <is>
          <t>Sep</t>
        </is>
      </c>
      <c r="C4035" s="19" t="inlineStr">
        <is>
          <t>TN</t>
        </is>
      </c>
      <c r="D4035" s="20" t="inlineStr">
        <is>
          <t>TN06E6715</t>
        </is>
      </c>
      <c r="E4035" s="20" t="inlineStr">
        <is>
          <t>HYUNDAI</t>
        </is>
      </c>
      <c r="F4035" s="20" t="inlineStr">
        <is>
          <t>i10</t>
        </is>
      </c>
      <c r="G4035" s="21" t="n">
        <v>2011</v>
      </c>
      <c r="H4035" s="22" t="n">
        <v>65747</v>
      </c>
      <c r="I4035" s="23" t="n">
        <v>95000</v>
      </c>
      <c r="J4035" s="20" t="inlineStr">
        <is>
          <t>PEEYESYEM HK MOTORS LLP</t>
        </is>
      </c>
      <c r="K4035" s="20" t="inlineStr">
        <is>
          <t>Non-Captive</t>
        </is>
      </c>
      <c r="L4035" s="20" t="inlineStr">
        <is>
          <t>Cars24</t>
        </is>
      </c>
      <c r="M4035" s="23" t="n">
        <v>4237.29</v>
      </c>
      <c r="N4035" s="23" t="n">
        <v>5000</v>
      </c>
      <c r="O4035" s="24">
        <f>IF(AND(ISNUMBER(M4035), ISNUMBER(I4035), I4035&gt;0), M4035/I4035, "")</f>
        <v/>
      </c>
    </row>
    <row r="4036">
      <c r="A4036" s="19" t="inlineStr">
        <is>
          <t>FY27</t>
        </is>
      </c>
      <c r="B4036" s="19" t="inlineStr">
        <is>
          <t>Sep</t>
        </is>
      </c>
      <c r="C4036" s="19" t="inlineStr">
        <is>
          <t>TN</t>
        </is>
      </c>
      <c r="D4036" s="20" t="inlineStr">
        <is>
          <t>TN06F2400</t>
        </is>
      </c>
      <c r="E4036" s="20" t="inlineStr">
        <is>
          <t>CHEVROLET</t>
        </is>
      </c>
      <c r="F4036" s="20" t="inlineStr">
        <is>
          <t>Beat</t>
        </is>
      </c>
      <c r="G4036" s="21" t="n">
        <v>2012</v>
      </c>
      <c r="H4036" s="22" t="n">
        <v>77169</v>
      </c>
      <c r="I4036" s="23" t="n">
        <v>89000</v>
      </c>
      <c r="J4036" s="20" t="inlineStr">
        <is>
          <t>PRODUCTIVITY ELEMENTS PRIVATE LIMITED</t>
        </is>
      </c>
      <c r="K4036" s="20" t="inlineStr">
        <is>
          <t>Non-Captive</t>
        </is>
      </c>
      <c r="L4036" s="20" t="inlineStr">
        <is>
          <t>Cars24</t>
        </is>
      </c>
      <c r="M4036" s="23" t="n">
        <v>4237.29</v>
      </c>
      <c r="N4036" s="23" t="n">
        <v>5000</v>
      </c>
      <c r="O4036" s="24">
        <f>IF(AND(ISNUMBER(M4036), ISNUMBER(I4036), I4036&gt;0), M4036/I4036, "")</f>
        <v/>
      </c>
    </row>
    <row r="4037">
      <c r="A4037" s="19" t="inlineStr">
        <is>
          <t>FY27</t>
        </is>
      </c>
      <c r="B4037" s="19" t="inlineStr">
        <is>
          <t>Sep</t>
        </is>
      </c>
      <c r="C4037" s="19" t="inlineStr">
        <is>
          <t>TN</t>
        </is>
      </c>
      <c r="D4037" s="20" t="inlineStr">
        <is>
          <t>TN06J0438</t>
        </is>
      </c>
      <c r="E4037" s="20" t="inlineStr">
        <is>
          <t>MARUTI SUZUKI</t>
        </is>
      </c>
      <c r="F4037" s="20" t="inlineStr">
        <is>
          <t>Eeco</t>
        </is>
      </c>
      <c r="G4037" s="21" t="n">
        <v>2012</v>
      </c>
      <c r="H4037" s="22" t="n">
        <v>202876</v>
      </c>
      <c r="I4037" s="23" t="n">
        <v>89000</v>
      </c>
      <c r="J4037" s="20" t="inlineStr">
        <is>
          <t>LANSON QCARS PRIVATE LIMITED</t>
        </is>
      </c>
      <c r="K4037" s="20" t="inlineStr">
        <is>
          <t>Non-Captive</t>
        </is>
      </c>
      <c r="L4037" s="20" t="inlineStr">
        <is>
          <t>Balaji Cars</t>
        </is>
      </c>
      <c r="M4037" s="23" t="n">
        <v>4237.29</v>
      </c>
      <c r="N4037" s="23" t="n">
        <v>5000</v>
      </c>
      <c r="O4037" s="24">
        <f>IF(AND(ISNUMBER(M4037), ISNUMBER(I4037), I4037&gt;0), M4037/I4037, "")</f>
        <v/>
      </c>
    </row>
    <row r="4038">
      <c r="A4038" s="19" t="inlineStr">
        <is>
          <t>FY27</t>
        </is>
      </c>
      <c r="B4038" s="19" t="inlineStr">
        <is>
          <t>Sep</t>
        </is>
      </c>
      <c r="C4038" s="19" t="inlineStr">
        <is>
          <t>TN</t>
        </is>
      </c>
      <c r="D4038" s="20" t="inlineStr">
        <is>
          <t>TN06J4883</t>
        </is>
      </c>
      <c r="E4038" s="20" t="inlineStr">
        <is>
          <t>TOYOTA</t>
        </is>
      </c>
      <c r="F4038" s="20" t="inlineStr">
        <is>
          <t>Etios Liva</t>
        </is>
      </c>
      <c r="G4038" s="21" t="n">
        <v>2013</v>
      </c>
      <c r="H4038" s="22" t="n">
        <v>50661</v>
      </c>
      <c r="I4038" s="23" t="n">
        <v>282500</v>
      </c>
      <c r="J4038" s="20" t="inlineStr">
        <is>
          <t>CASTLE TRADERS MARUTI</t>
        </is>
      </c>
      <c r="K4038" s="20" t="inlineStr">
        <is>
          <t>Non-Captive</t>
        </is>
      </c>
      <c r="L4038" s="20" t="inlineStr">
        <is>
          <t>Aaa Cars</t>
        </is>
      </c>
      <c r="M4038" s="23" t="n">
        <v>6355.93</v>
      </c>
      <c r="N4038" s="23" t="n">
        <v>7500</v>
      </c>
      <c r="O4038" s="24">
        <f>IF(AND(ISNUMBER(M4038), ISNUMBER(I4038), I4038&gt;0), M4038/I4038, "")</f>
        <v/>
      </c>
    </row>
    <row r="4039">
      <c r="A4039" s="19" t="inlineStr">
        <is>
          <t>FY27</t>
        </is>
      </c>
      <c r="B4039" s="19" t="inlineStr">
        <is>
          <t>Sep</t>
        </is>
      </c>
      <c r="C4039" s="19" t="inlineStr">
        <is>
          <t>TN</t>
        </is>
      </c>
      <c r="D4039" s="20" t="inlineStr">
        <is>
          <t>TN06L0261</t>
        </is>
      </c>
      <c r="E4039" s="20" t="inlineStr">
        <is>
          <t>HONDA</t>
        </is>
      </c>
      <c r="F4039" s="20" t="inlineStr">
        <is>
          <t>Amaze</t>
        </is>
      </c>
      <c r="G4039" s="21" t="n">
        <v>2014</v>
      </c>
      <c r="H4039" s="22" t="n">
        <v>71770</v>
      </c>
      <c r="I4039" s="23" t="n">
        <v>100000</v>
      </c>
      <c r="J4039" s="20" t="inlineStr">
        <is>
          <t>VISHNU CARS PRIVATE LIMITED</t>
        </is>
      </c>
      <c r="K4039" s="20" t="inlineStr">
        <is>
          <t>Non-Captive</t>
        </is>
      </c>
      <c r="L4039" s="20" t="inlineStr">
        <is>
          <t>Emarald Cars</t>
        </is>
      </c>
      <c r="M4039" s="23" t="n">
        <v>2542.37</v>
      </c>
      <c r="N4039" s="23" t="n">
        <v>3000</v>
      </c>
      <c r="O4039" s="24">
        <f>IF(AND(ISNUMBER(M4039), ISNUMBER(I4039), I4039&gt;0), M4039/I4039, "")</f>
        <v/>
      </c>
    </row>
    <row r="4040">
      <c r="A4040" s="19" t="inlineStr">
        <is>
          <t>FY27</t>
        </is>
      </c>
      <c r="B4040" s="19" t="inlineStr">
        <is>
          <t>Sep</t>
        </is>
      </c>
      <c r="C4040" s="19" t="inlineStr">
        <is>
          <t>TN</t>
        </is>
      </c>
      <c r="D4040" s="20" t="inlineStr">
        <is>
          <t>TN06L4188</t>
        </is>
      </c>
      <c r="E4040" s="20" t="inlineStr">
        <is>
          <t>HONDA</t>
        </is>
      </c>
      <c r="F4040" s="20" t="inlineStr">
        <is>
          <t>Amaze</t>
        </is>
      </c>
      <c r="G4040" s="21" t="n">
        <v>2014</v>
      </c>
      <c r="H4040" s="22" t="n">
        <v>103950</v>
      </c>
      <c r="I4040" s="23" t="n">
        <v>93000</v>
      </c>
      <c r="J4040" s="20" t="inlineStr">
        <is>
          <t>AIE CARS PRIVATE LIMITED</t>
        </is>
      </c>
      <c r="K4040" s="20" t="inlineStr">
        <is>
          <t>Non-Captive</t>
        </is>
      </c>
      <c r="L4040" s="20" t="inlineStr">
        <is>
          <t>Pine Autos</t>
        </is>
      </c>
      <c r="M4040" s="23" t="n">
        <v>4237.29</v>
      </c>
      <c r="N4040" s="23" t="n">
        <v>5000</v>
      </c>
      <c r="O4040" s="24">
        <f>IF(AND(ISNUMBER(M4040), ISNUMBER(I4040), I4040&gt;0), M4040/I4040, "")</f>
        <v/>
      </c>
    </row>
    <row r="4041">
      <c r="A4041" s="19" t="inlineStr">
        <is>
          <t>FY27</t>
        </is>
      </c>
      <c r="B4041" s="19" t="inlineStr">
        <is>
          <t>Sep</t>
        </is>
      </c>
      <c r="C4041" s="19" t="inlineStr">
        <is>
          <t>TN</t>
        </is>
      </c>
      <c r="D4041" s="20" t="inlineStr">
        <is>
          <t>TN06R7641</t>
        </is>
      </c>
      <c r="E4041" s="20" t="inlineStr">
        <is>
          <t>MARUTI SUZUKI</t>
        </is>
      </c>
      <c r="F4041" s="20" t="inlineStr">
        <is>
          <t>Alto</t>
        </is>
      </c>
      <c r="G4041" s="21" t="n"/>
      <c r="H4041" s="22" t="n"/>
      <c r="I4041" s="23" t="n">
        <v>165000</v>
      </c>
      <c r="J4041" s="20" t="inlineStr">
        <is>
          <t>EXCHANGE CHENNAI</t>
        </is>
      </c>
      <c r="K4041" s="20" t="inlineStr">
        <is>
          <t>Captive</t>
        </is>
      </c>
      <c r="L4041" s="20" t="inlineStr">
        <is>
          <t>Santhosh Cars</t>
        </is>
      </c>
      <c r="M4041" s="23" t="n">
        <v>4237.29</v>
      </c>
      <c r="N4041" s="23" t="n">
        <v>5000</v>
      </c>
      <c r="O4041" s="24">
        <f>IF(AND(ISNUMBER(M4041), ISNUMBER(I4041), I4041&gt;0), M4041/I4041, "")</f>
        <v/>
      </c>
    </row>
    <row r="4042">
      <c r="A4042" s="19" t="inlineStr">
        <is>
          <t>FY27</t>
        </is>
      </c>
      <c r="B4042" s="19" t="inlineStr">
        <is>
          <t>Sep</t>
        </is>
      </c>
      <c r="C4042" s="19" t="inlineStr">
        <is>
          <t>TN</t>
        </is>
      </c>
      <c r="D4042" s="20" t="inlineStr">
        <is>
          <t>TN06S5376</t>
        </is>
      </c>
      <c r="E4042" s="20" t="inlineStr">
        <is>
          <t>HYUNDAI</t>
        </is>
      </c>
      <c r="F4042" s="20" t="inlineStr">
        <is>
          <t>i10</t>
        </is>
      </c>
      <c r="G4042" s="21" t="n">
        <v>2016</v>
      </c>
      <c r="H4042" s="22" t="n">
        <v>54063</v>
      </c>
      <c r="I4042" s="23" t="n">
        <v>93000</v>
      </c>
      <c r="J4042" s="20" t="inlineStr">
        <is>
          <t>EXCHANGE ROTN</t>
        </is>
      </c>
      <c r="K4042" s="20" t="inlineStr">
        <is>
          <t>Captive</t>
        </is>
      </c>
      <c r="L4042" s="20" t="inlineStr">
        <is>
          <t>Ready To Ride Cars</t>
        </is>
      </c>
      <c r="M4042" s="23" t="n">
        <v>4237.29</v>
      </c>
      <c r="N4042" s="23" t="n">
        <v>5000</v>
      </c>
      <c r="O4042" s="24">
        <f>IF(AND(ISNUMBER(M4042), ISNUMBER(I4042), I4042&gt;0), M4042/I4042, "")</f>
        <v/>
      </c>
    </row>
    <row r="4043">
      <c r="A4043" s="19" t="inlineStr">
        <is>
          <t>FY27</t>
        </is>
      </c>
      <c r="B4043" s="19" t="inlineStr">
        <is>
          <t>Sep</t>
        </is>
      </c>
      <c r="C4043" s="19" t="inlineStr">
        <is>
          <t>TN</t>
        </is>
      </c>
      <c r="D4043" s="20" t="inlineStr">
        <is>
          <t>TN06T8011</t>
        </is>
      </c>
      <c r="E4043" s="20" t="inlineStr">
        <is>
          <t>HONDA</t>
        </is>
      </c>
      <c r="F4043" s="20" t="inlineStr">
        <is>
          <t>WR-V</t>
        </is>
      </c>
      <c r="G4043" s="21" t="n"/>
      <c r="H4043" s="22" t="n"/>
      <c r="I4043" s="23" t="n">
        <v>405000</v>
      </c>
      <c r="J4043" s="20" t="inlineStr">
        <is>
          <t>EXCHANGE CHENNAI</t>
        </is>
      </c>
      <c r="K4043" s="20" t="inlineStr">
        <is>
          <t>Captive</t>
        </is>
      </c>
      <c r="L4043" s="20" t="inlineStr">
        <is>
          <t>Santhosh Cars</t>
        </is>
      </c>
      <c r="M4043" s="23" t="n">
        <v>8474.58</v>
      </c>
      <c r="N4043" s="23" t="n">
        <v>10000</v>
      </c>
      <c r="O4043" s="24">
        <f>IF(AND(ISNUMBER(M4043), ISNUMBER(I4043), I4043&gt;0), M4043/I4043, "")</f>
        <v/>
      </c>
    </row>
    <row r="4044">
      <c r="A4044" s="19" t="inlineStr">
        <is>
          <t>FY27</t>
        </is>
      </c>
      <c r="B4044" s="19" t="inlineStr">
        <is>
          <t>Sep</t>
        </is>
      </c>
      <c r="C4044" s="19" t="inlineStr">
        <is>
          <t>TN</t>
        </is>
      </c>
      <c r="D4044" s="20" t="inlineStr">
        <is>
          <t>TN06U5595</t>
        </is>
      </c>
      <c r="E4044" s="20" t="inlineStr">
        <is>
          <t>HYUNDAI</t>
        </is>
      </c>
      <c r="F4044" s="20" t="inlineStr">
        <is>
          <t>Eon</t>
        </is>
      </c>
      <c r="G4044" s="21" t="n">
        <v>2017</v>
      </c>
      <c r="H4044" s="22" t="n">
        <v>38883</v>
      </c>
      <c r="I4044" s="23" t="n">
        <v>99000</v>
      </c>
      <c r="J4044" s="20" t="inlineStr">
        <is>
          <t>LANSON QCARS PRIVATE LIMITED</t>
        </is>
      </c>
      <c r="K4044" s="20" t="inlineStr">
        <is>
          <t>Non-Captive</t>
        </is>
      </c>
      <c r="L4044" s="20" t="inlineStr">
        <is>
          <t>Value Drive Tech</t>
        </is>
      </c>
      <c r="M4044" s="23" t="n">
        <v>4237.29</v>
      </c>
      <c r="N4044" s="23" t="n">
        <v>5000</v>
      </c>
      <c r="O4044" s="24">
        <f>IF(AND(ISNUMBER(M4044), ISNUMBER(I4044), I4044&gt;0), M4044/I4044, "")</f>
        <v/>
      </c>
    </row>
    <row r="4045">
      <c r="A4045" s="19" t="inlineStr">
        <is>
          <t>FY27</t>
        </is>
      </c>
      <c r="B4045" s="19" t="inlineStr">
        <is>
          <t>Sep</t>
        </is>
      </c>
      <c r="C4045" s="19" t="inlineStr">
        <is>
          <t>TN</t>
        </is>
      </c>
      <c r="D4045" s="20" t="inlineStr">
        <is>
          <t>TN06V6409</t>
        </is>
      </c>
      <c r="E4045" s="20" t="inlineStr">
        <is>
          <t>MARUTI SUZUKI</t>
        </is>
      </c>
      <c r="F4045" s="20" t="inlineStr">
        <is>
          <t>Baleno</t>
        </is>
      </c>
      <c r="G4045" s="21" t="n">
        <v>2018</v>
      </c>
      <c r="H4045" s="22" t="n">
        <v>63164</v>
      </c>
      <c r="I4045" s="23" t="n">
        <v>415000</v>
      </c>
      <c r="J4045" s="20" t="inlineStr">
        <is>
          <t>CASTLE TRADERS MARUTI</t>
        </is>
      </c>
      <c r="K4045" s="20" t="inlineStr">
        <is>
          <t>Non-Captive</t>
        </is>
      </c>
      <c r="L4045" s="20" t="inlineStr">
        <is>
          <t>Aaa Cars</t>
        </is>
      </c>
      <c r="M4045" s="23" t="n">
        <v>7627.12</v>
      </c>
      <c r="N4045" s="23" t="n">
        <v>9000</v>
      </c>
      <c r="O4045" s="24">
        <f>IF(AND(ISNUMBER(M4045), ISNUMBER(I4045), I4045&gt;0), M4045/I4045, "")</f>
        <v/>
      </c>
    </row>
    <row r="4046">
      <c r="A4046" s="19" t="inlineStr">
        <is>
          <t>FY27</t>
        </is>
      </c>
      <c r="B4046" s="19" t="inlineStr">
        <is>
          <t>Sep</t>
        </is>
      </c>
      <c r="C4046" s="19" t="inlineStr">
        <is>
          <t>TN</t>
        </is>
      </c>
      <c r="D4046" s="20" t="inlineStr">
        <is>
          <t>TN06X7762</t>
        </is>
      </c>
      <c r="E4046" s="20" t="inlineStr">
        <is>
          <t>HONDA</t>
        </is>
      </c>
      <c r="F4046" s="20" t="inlineStr">
        <is>
          <t>Civic</t>
        </is>
      </c>
      <c r="G4046" s="21" t="n">
        <v>2019</v>
      </c>
      <c r="H4046" s="22" t="n">
        <v>86543</v>
      </c>
      <c r="I4046" s="23" t="n">
        <v>700000</v>
      </c>
      <c r="J4046" s="20" t="inlineStr">
        <is>
          <t>EXCHANGE CHENNAI</t>
        </is>
      </c>
      <c r="K4046" s="20" t="inlineStr">
        <is>
          <t>Captive</t>
        </is>
      </c>
      <c r="L4046" s="20" t="inlineStr"/>
      <c r="M4046" s="23" t="n">
        <v>8474.58</v>
      </c>
      <c r="N4046" s="23" t="n">
        <v>10000</v>
      </c>
      <c r="O4046" s="24">
        <f>IF(AND(ISNUMBER(M4046), ISNUMBER(I4046), I4046&gt;0), M4046/I4046, "")</f>
        <v/>
      </c>
    </row>
    <row r="4047">
      <c r="A4047" s="19" t="inlineStr">
        <is>
          <t>FY27</t>
        </is>
      </c>
      <c r="B4047" s="19" t="inlineStr">
        <is>
          <t>Sep</t>
        </is>
      </c>
      <c r="C4047" s="19" t="inlineStr">
        <is>
          <t>TN</t>
        </is>
      </c>
      <c r="D4047" s="20" t="inlineStr">
        <is>
          <t>TN07AM9961</t>
        </is>
      </c>
      <c r="E4047" s="20" t="inlineStr">
        <is>
          <t>HONDA</t>
        </is>
      </c>
      <c r="F4047" s="20" t="inlineStr">
        <is>
          <t>City</t>
        </is>
      </c>
      <c r="G4047" s="21" t="n">
        <v>2007</v>
      </c>
      <c r="H4047" s="22" t="n">
        <v>127173</v>
      </c>
      <c r="I4047" s="23" t="n">
        <v>60000</v>
      </c>
      <c r="J4047" s="20" t="inlineStr">
        <is>
          <t>EXCHANGE ROTN</t>
        </is>
      </c>
      <c r="K4047" s="20" t="inlineStr">
        <is>
          <t>Captive</t>
        </is>
      </c>
      <c r="L4047" s="20" t="inlineStr">
        <is>
          <t>Sivashankar Cars</t>
        </is>
      </c>
      <c r="M4047" s="23" t="n">
        <v>4237.29</v>
      </c>
      <c r="N4047" s="23" t="n">
        <v>5000</v>
      </c>
      <c r="O4047" s="24">
        <f>IF(AND(ISNUMBER(M4047), ISNUMBER(I4047), I4047&gt;0), M4047/I4047, "")</f>
        <v/>
      </c>
    </row>
    <row r="4048">
      <c r="A4048" s="19" t="inlineStr">
        <is>
          <t>FY27</t>
        </is>
      </c>
      <c r="B4048" s="19" t="inlineStr">
        <is>
          <t>Sep</t>
        </is>
      </c>
      <c r="C4048" s="19" t="inlineStr">
        <is>
          <t>TN</t>
        </is>
      </c>
      <c r="D4048" s="20" t="inlineStr">
        <is>
          <t>TN07AQ2973</t>
        </is>
      </c>
      <c r="E4048" s="20" t="inlineStr">
        <is>
          <t>FIAT</t>
        </is>
      </c>
      <c r="F4048" s="20" t="inlineStr">
        <is>
          <t>Palio Stile</t>
        </is>
      </c>
      <c r="G4048" s="21" t="n">
        <v>2007</v>
      </c>
      <c r="H4048" s="22" t="n">
        <v>72793</v>
      </c>
      <c r="I4048" s="23" t="n">
        <v>30000</v>
      </c>
      <c r="J4048" s="20" t="inlineStr">
        <is>
          <t>EXCHANGE ROTN</t>
        </is>
      </c>
      <c r="K4048" s="20" t="inlineStr">
        <is>
          <t>Captive</t>
        </is>
      </c>
      <c r="L4048" s="20" t="inlineStr">
        <is>
          <t>Mr.Cars</t>
        </is>
      </c>
      <c r="M4048" s="23" t="n">
        <v>4237.29</v>
      </c>
      <c r="N4048" s="23" t="n">
        <v>5000</v>
      </c>
      <c r="O4048" s="24">
        <f>IF(AND(ISNUMBER(M4048), ISNUMBER(I4048), I4048&gt;0), M4048/I4048, "")</f>
        <v/>
      </c>
    </row>
    <row r="4049">
      <c r="A4049" s="19" t="inlineStr">
        <is>
          <t>FY27</t>
        </is>
      </c>
      <c r="B4049" s="19" t="inlineStr">
        <is>
          <t>Sep</t>
        </is>
      </c>
      <c r="C4049" s="19" t="inlineStr">
        <is>
          <t>TN</t>
        </is>
      </c>
      <c r="D4049" s="20" t="inlineStr">
        <is>
          <t>TN07BB3720</t>
        </is>
      </c>
      <c r="E4049" s="20" t="inlineStr">
        <is>
          <t>FORD</t>
        </is>
      </c>
      <c r="F4049" s="20" t="inlineStr">
        <is>
          <t>Fiesta</t>
        </is>
      </c>
      <c r="G4049" s="21" t="n">
        <v>2008</v>
      </c>
      <c r="H4049" s="22" t="n">
        <v>82509</v>
      </c>
      <c r="I4049" s="23" t="n">
        <v>98000</v>
      </c>
      <c r="J4049" s="20" t="inlineStr">
        <is>
          <t>AIE CARS PRIVATE LIMITED</t>
        </is>
      </c>
      <c r="K4049" s="20" t="inlineStr">
        <is>
          <t>Non-Captive</t>
        </is>
      </c>
      <c r="L4049" s="20" t="inlineStr">
        <is>
          <t>Pine Autos</t>
        </is>
      </c>
      <c r="M4049" s="23" t="n">
        <v>4237.29</v>
      </c>
      <c r="N4049" s="23" t="n">
        <v>5000</v>
      </c>
      <c r="O4049" s="24">
        <f>IF(AND(ISNUMBER(M4049), ISNUMBER(I4049), I4049&gt;0), M4049/I4049, "")</f>
        <v/>
      </c>
    </row>
    <row r="4050">
      <c r="A4050" s="19" t="inlineStr">
        <is>
          <t>FY27</t>
        </is>
      </c>
      <c r="B4050" s="19" t="inlineStr">
        <is>
          <t>Sep</t>
        </is>
      </c>
      <c r="C4050" s="19" t="inlineStr">
        <is>
          <t>TN</t>
        </is>
      </c>
      <c r="D4050" s="20" t="inlineStr">
        <is>
          <t>TN07BB8262</t>
        </is>
      </c>
      <c r="E4050" s="20" t="inlineStr">
        <is>
          <t>HONDA</t>
        </is>
      </c>
      <c r="F4050" s="20" t="inlineStr">
        <is>
          <t>City</t>
        </is>
      </c>
      <c r="G4050" s="21" t="n">
        <v>2008</v>
      </c>
      <c r="H4050" s="22" t="n">
        <v>54319</v>
      </c>
      <c r="I4050" s="23" t="n">
        <v>89000</v>
      </c>
      <c r="J4050" s="20" t="inlineStr">
        <is>
          <t>AIE CARS PRIVATE LIMITED</t>
        </is>
      </c>
      <c r="K4050" s="20" t="inlineStr">
        <is>
          <t>Non-Captive</t>
        </is>
      </c>
      <c r="L4050" s="20" t="inlineStr">
        <is>
          <t>Santhosh Cars</t>
        </is>
      </c>
      <c r="M4050" s="23" t="n">
        <v>4237.29</v>
      </c>
      <c r="N4050" s="23" t="n">
        <v>5000</v>
      </c>
      <c r="O4050" s="24">
        <f>IF(AND(ISNUMBER(M4050), ISNUMBER(I4050), I4050&gt;0), M4050/I4050, "")</f>
        <v/>
      </c>
    </row>
    <row r="4051">
      <c r="A4051" s="19" t="inlineStr">
        <is>
          <t>FY27</t>
        </is>
      </c>
      <c r="B4051" s="19" t="inlineStr">
        <is>
          <t>Sep</t>
        </is>
      </c>
      <c r="C4051" s="19" t="inlineStr">
        <is>
          <t>TN</t>
        </is>
      </c>
      <c r="D4051" s="20" t="inlineStr">
        <is>
          <t>TN07BC5094</t>
        </is>
      </c>
      <c r="E4051" s="20" t="inlineStr">
        <is>
          <t>TATA</t>
        </is>
      </c>
      <c r="F4051" s="20" t="inlineStr">
        <is>
          <t>Indica</t>
        </is>
      </c>
      <c r="G4051" s="21" t="n">
        <v>2009</v>
      </c>
      <c r="H4051" s="22" t="n">
        <v>72096</v>
      </c>
      <c r="I4051" s="23" t="n">
        <v>65000</v>
      </c>
      <c r="J4051" s="20" t="inlineStr">
        <is>
          <t>EXCHANGE ROTN</t>
        </is>
      </c>
      <c r="K4051" s="20" t="inlineStr">
        <is>
          <t>Captive</t>
        </is>
      </c>
      <c r="L4051" s="20" t="inlineStr">
        <is>
          <t>Sree Murugan Cars</t>
        </is>
      </c>
      <c r="M4051" s="23" t="n">
        <v>4237.29</v>
      </c>
      <c r="N4051" s="23" t="n">
        <v>5000</v>
      </c>
      <c r="O4051" s="24">
        <f>IF(AND(ISNUMBER(M4051), ISNUMBER(I4051), I4051&gt;0), M4051/I4051, "")</f>
        <v/>
      </c>
    </row>
    <row r="4052">
      <c r="A4052" s="19" t="inlineStr">
        <is>
          <t>FY27</t>
        </is>
      </c>
      <c r="B4052" s="19" t="inlineStr">
        <is>
          <t>Sep</t>
        </is>
      </c>
      <c r="C4052" s="19" t="inlineStr">
        <is>
          <t>TN</t>
        </is>
      </c>
      <c r="D4052" s="20" t="inlineStr">
        <is>
          <t>TN07BC6283</t>
        </is>
      </c>
      <c r="E4052" s="20" t="inlineStr">
        <is>
          <t>MARUTI SUZUKI</t>
        </is>
      </c>
      <c r="F4052" s="20" t="inlineStr">
        <is>
          <t>Swift</t>
        </is>
      </c>
      <c r="G4052" s="21" t="n">
        <v>2009</v>
      </c>
      <c r="H4052" s="22" t="n">
        <v>42437</v>
      </c>
      <c r="I4052" s="23" t="n">
        <v>198000</v>
      </c>
      <c r="J4052" s="20" t="inlineStr">
        <is>
          <t>LAKSHMI TATA</t>
        </is>
      </c>
      <c r="K4052" s="20" t="inlineStr">
        <is>
          <t>Non-Captive</t>
        </is>
      </c>
      <c r="L4052" s="20" t="inlineStr">
        <is>
          <t>Maruthi Industries</t>
        </is>
      </c>
      <c r="M4052" s="23" t="n">
        <v>5084.75</v>
      </c>
      <c r="N4052" s="23" t="n">
        <v>6000</v>
      </c>
      <c r="O4052" s="24">
        <f>IF(AND(ISNUMBER(M4052), ISNUMBER(I4052), I4052&gt;0), M4052/I4052, "")</f>
        <v/>
      </c>
    </row>
    <row r="4053">
      <c r="A4053" s="19" t="inlineStr">
        <is>
          <t>FY27</t>
        </is>
      </c>
      <c r="B4053" s="19" t="inlineStr">
        <is>
          <t>Sep</t>
        </is>
      </c>
      <c r="C4053" s="19" t="inlineStr">
        <is>
          <t>TN</t>
        </is>
      </c>
      <c r="D4053" s="20" t="inlineStr">
        <is>
          <t>TN07BE7693</t>
        </is>
      </c>
      <c r="E4053" s="20" t="inlineStr">
        <is>
          <t>SKODA</t>
        </is>
      </c>
      <c r="F4053" s="20" t="inlineStr">
        <is>
          <t>Fabia</t>
        </is>
      </c>
      <c r="G4053" s="21" t="n">
        <v>2009</v>
      </c>
      <c r="H4053" s="22" t="n">
        <v>7318</v>
      </c>
      <c r="I4053" s="23" t="n">
        <v>150000</v>
      </c>
      <c r="J4053" s="20" t="inlineStr">
        <is>
          <t>EXCHANGE CHENNAI</t>
        </is>
      </c>
      <c r="K4053" s="20" t="inlineStr">
        <is>
          <t>Captive</t>
        </is>
      </c>
      <c r="L4053" s="20" t="inlineStr">
        <is>
          <t>Santhosh Cars</t>
        </is>
      </c>
      <c r="M4053" s="23" t="n">
        <v>4237.29</v>
      </c>
      <c r="N4053" s="23" t="n">
        <v>5000</v>
      </c>
      <c r="O4053" s="24">
        <f>IF(AND(ISNUMBER(M4053), ISNUMBER(I4053), I4053&gt;0), M4053/I4053, "")</f>
        <v/>
      </c>
    </row>
    <row r="4054">
      <c r="A4054" s="19" t="inlineStr">
        <is>
          <t>FY27</t>
        </is>
      </c>
      <c r="B4054" s="19" t="inlineStr">
        <is>
          <t>Sep</t>
        </is>
      </c>
      <c r="C4054" s="19" t="inlineStr">
        <is>
          <t>TN</t>
        </is>
      </c>
      <c r="D4054" s="20" t="inlineStr">
        <is>
          <t>TN07BF2414</t>
        </is>
      </c>
      <c r="E4054" s="20" t="inlineStr">
        <is>
          <t>HONDA</t>
        </is>
      </c>
      <c r="F4054" s="20" t="inlineStr">
        <is>
          <t>City</t>
        </is>
      </c>
      <c r="G4054" s="21" t="n">
        <v>2010</v>
      </c>
      <c r="H4054" s="22" t="n">
        <v>117730</v>
      </c>
      <c r="I4054" s="23" t="n">
        <v>95000</v>
      </c>
      <c r="J4054" s="20" t="inlineStr">
        <is>
          <t>AIE CARS PRIVATE LIMITED</t>
        </is>
      </c>
      <c r="K4054" s="20" t="inlineStr">
        <is>
          <t>Non-Captive</t>
        </is>
      </c>
      <c r="L4054" s="20" t="inlineStr">
        <is>
          <t>Pine Autos</t>
        </is>
      </c>
      <c r="M4054" s="23" t="n">
        <v>4237.29</v>
      </c>
      <c r="N4054" s="23" t="n">
        <v>5000</v>
      </c>
      <c r="O4054" s="24">
        <f>IF(AND(ISNUMBER(M4054), ISNUMBER(I4054), I4054&gt;0), M4054/I4054, "")</f>
        <v/>
      </c>
    </row>
    <row r="4055">
      <c r="A4055" s="19" t="inlineStr">
        <is>
          <t>FY27</t>
        </is>
      </c>
      <c r="B4055" s="19" t="inlineStr">
        <is>
          <t>Sep</t>
        </is>
      </c>
      <c r="C4055" s="19" t="inlineStr">
        <is>
          <t>TN</t>
        </is>
      </c>
      <c r="D4055" s="20" t="inlineStr">
        <is>
          <t>TN07BF4064</t>
        </is>
      </c>
      <c r="E4055" s="20" t="inlineStr">
        <is>
          <t>MARUTI SUZUKI</t>
        </is>
      </c>
      <c r="F4055" s="20" t="inlineStr">
        <is>
          <t>Ritz</t>
        </is>
      </c>
      <c r="G4055" s="21" t="n">
        <v>2010</v>
      </c>
      <c r="H4055" s="22" t="n">
        <v>8152</v>
      </c>
      <c r="I4055" s="23" t="n">
        <v>97000</v>
      </c>
      <c r="J4055" s="20" t="inlineStr">
        <is>
          <t>AIE CARS PRIVATE LIMITED</t>
        </is>
      </c>
      <c r="K4055" s="20" t="inlineStr">
        <is>
          <t>Non-Captive</t>
        </is>
      </c>
      <c r="L4055" s="20" t="inlineStr">
        <is>
          <t>VS Enterprises</t>
        </is>
      </c>
      <c r="M4055" s="23" t="n">
        <v>4237.29</v>
      </c>
      <c r="N4055" s="23" t="n">
        <v>5000</v>
      </c>
      <c r="O4055" s="24">
        <f>IF(AND(ISNUMBER(M4055), ISNUMBER(I4055), I4055&gt;0), M4055/I4055, "")</f>
        <v/>
      </c>
    </row>
    <row r="4056">
      <c r="A4056" s="19" t="inlineStr">
        <is>
          <t>FY27</t>
        </is>
      </c>
      <c r="B4056" s="19" t="inlineStr">
        <is>
          <t>Sep</t>
        </is>
      </c>
      <c r="C4056" s="19" t="inlineStr">
        <is>
          <t>TN</t>
        </is>
      </c>
      <c r="D4056" s="20" t="inlineStr">
        <is>
          <t>TN07BV8741</t>
        </is>
      </c>
      <c r="E4056" s="20" t="inlineStr">
        <is>
          <t>MARUTI SUZUKI</t>
        </is>
      </c>
      <c r="F4056" s="20" t="inlineStr">
        <is>
          <t>Alto 800</t>
        </is>
      </c>
      <c r="G4056" s="21" t="n">
        <v>2013</v>
      </c>
      <c r="H4056" s="22" t="n">
        <v>149941</v>
      </c>
      <c r="I4056" s="23" t="n">
        <v>145000</v>
      </c>
      <c r="J4056" s="20" t="inlineStr">
        <is>
          <t>CASTLE TRADERS MARUTI</t>
        </is>
      </c>
      <c r="K4056" s="20" t="inlineStr">
        <is>
          <t>Non-Captive</t>
        </is>
      </c>
      <c r="L4056" s="20" t="inlineStr">
        <is>
          <t>Hasini Cars</t>
        </is>
      </c>
      <c r="M4056" s="23" t="n">
        <v>5084.75</v>
      </c>
      <c r="N4056" s="23" t="n">
        <v>6000</v>
      </c>
      <c r="O4056" s="24">
        <f>IF(AND(ISNUMBER(M4056), ISNUMBER(I4056), I4056&gt;0), M4056/I4056, "")</f>
        <v/>
      </c>
    </row>
    <row r="4057">
      <c r="A4057" s="19" t="inlineStr">
        <is>
          <t>FY27</t>
        </is>
      </c>
      <c r="B4057" s="19" t="inlineStr">
        <is>
          <t>Sep</t>
        </is>
      </c>
      <c r="C4057" s="19" t="inlineStr">
        <is>
          <t>TN</t>
        </is>
      </c>
      <c r="D4057" s="20" t="inlineStr">
        <is>
          <t>TN07BX4001</t>
        </is>
      </c>
      <c r="E4057" s="20" t="inlineStr">
        <is>
          <t>FORD</t>
        </is>
      </c>
      <c r="F4057" s="20" t="inlineStr">
        <is>
          <t>EcoSport</t>
        </is>
      </c>
      <c r="G4057" s="21" t="n">
        <v>2014</v>
      </c>
      <c r="H4057" s="22" t="n">
        <v>43582</v>
      </c>
      <c r="I4057" s="23" t="n">
        <v>400000</v>
      </c>
      <c r="J4057" s="20" t="inlineStr">
        <is>
          <t>EXCHANGE CHENNAI</t>
        </is>
      </c>
      <c r="K4057" s="20" t="inlineStr">
        <is>
          <t>Captive</t>
        </is>
      </c>
      <c r="L4057" s="20" t="inlineStr"/>
      <c r="M4057" s="23" t="n">
        <v>8474.58</v>
      </c>
      <c r="N4057" s="23" t="n">
        <v>10000</v>
      </c>
      <c r="O4057" s="24">
        <f>IF(AND(ISNUMBER(M4057), ISNUMBER(I4057), I4057&gt;0), M4057/I4057, "")</f>
        <v/>
      </c>
    </row>
    <row r="4058">
      <c r="A4058" s="19" t="inlineStr">
        <is>
          <t>FY27</t>
        </is>
      </c>
      <c r="B4058" s="19" t="inlineStr">
        <is>
          <t>Sep</t>
        </is>
      </c>
      <c r="C4058" s="19" t="inlineStr">
        <is>
          <t>TN</t>
        </is>
      </c>
      <c r="D4058" s="20" t="inlineStr">
        <is>
          <t>TN07CA6516</t>
        </is>
      </c>
      <c r="E4058" s="20" t="inlineStr">
        <is>
          <t>HONDA</t>
        </is>
      </c>
      <c r="F4058" s="20" t="inlineStr">
        <is>
          <t>Amaze</t>
        </is>
      </c>
      <c r="G4058" s="21" t="n">
        <v>2014</v>
      </c>
      <c r="H4058" s="22" t="n">
        <v>217622</v>
      </c>
      <c r="I4058" s="23" t="n">
        <v>98000</v>
      </c>
      <c r="J4058" s="20" t="inlineStr">
        <is>
          <t>VISHNU CARS PRIVATE LIMITED</t>
        </is>
      </c>
      <c r="K4058" s="20" t="inlineStr">
        <is>
          <t>Non-Captive</t>
        </is>
      </c>
      <c r="L4058" s="20" t="inlineStr">
        <is>
          <t>Thiya Cars</t>
        </is>
      </c>
      <c r="M4058" s="23" t="n">
        <v>4237.29</v>
      </c>
      <c r="N4058" s="23" t="n">
        <v>5000</v>
      </c>
      <c r="O4058" s="24">
        <f>IF(AND(ISNUMBER(M4058), ISNUMBER(I4058), I4058&gt;0), M4058/I4058, "")</f>
        <v/>
      </c>
    </row>
    <row r="4059">
      <c r="A4059" s="19" t="inlineStr">
        <is>
          <t>FY27</t>
        </is>
      </c>
      <c r="B4059" s="19" t="inlineStr">
        <is>
          <t>Sep</t>
        </is>
      </c>
      <c r="C4059" s="19" t="inlineStr">
        <is>
          <t>TN</t>
        </is>
      </c>
      <c r="D4059" s="20" t="inlineStr">
        <is>
          <t>TN07CA9453</t>
        </is>
      </c>
      <c r="E4059" s="20" t="inlineStr">
        <is>
          <t>HYUNDAI</t>
        </is>
      </c>
      <c r="F4059" s="20" t="inlineStr">
        <is>
          <t>i10</t>
        </is>
      </c>
      <c r="G4059" s="21" t="n">
        <v>2014</v>
      </c>
      <c r="H4059" s="22" t="n">
        <v>61212</v>
      </c>
      <c r="I4059" s="23" t="n">
        <v>150000</v>
      </c>
      <c r="J4059" s="20" t="inlineStr">
        <is>
          <t>EXCHANGE ROTN</t>
        </is>
      </c>
      <c r="K4059" s="20" t="inlineStr">
        <is>
          <t>Captive</t>
        </is>
      </c>
      <c r="L4059" s="20" t="inlineStr">
        <is>
          <t>Selva Motors</t>
        </is>
      </c>
      <c r="M4059" s="23" t="n">
        <v>8474.58</v>
      </c>
      <c r="N4059" s="23" t="n">
        <v>10000</v>
      </c>
      <c r="O4059" s="24">
        <f>IF(AND(ISNUMBER(M4059), ISNUMBER(I4059), I4059&gt;0), M4059/I4059, "")</f>
        <v/>
      </c>
    </row>
    <row r="4060">
      <c r="A4060" s="19" t="inlineStr">
        <is>
          <t>FY27</t>
        </is>
      </c>
      <c r="B4060" s="19" t="inlineStr">
        <is>
          <t>Sep</t>
        </is>
      </c>
      <c r="C4060" s="19" t="inlineStr">
        <is>
          <t>TN</t>
        </is>
      </c>
      <c r="D4060" s="20" t="inlineStr">
        <is>
          <t>TN07CC2648</t>
        </is>
      </c>
      <c r="E4060" s="20" t="inlineStr">
        <is>
          <t>HYUNDAI</t>
        </is>
      </c>
      <c r="F4060" s="20" t="inlineStr">
        <is>
          <t>Grand i10</t>
        </is>
      </c>
      <c r="G4060" s="21" t="n">
        <v>2015</v>
      </c>
      <c r="H4060" s="22" t="n">
        <v>64890</v>
      </c>
      <c r="I4060" s="23" t="n">
        <v>92000</v>
      </c>
      <c r="J4060" s="20" t="inlineStr">
        <is>
          <t>KUN CAR ENTERPRISES</t>
        </is>
      </c>
      <c r="K4060" s="20" t="inlineStr">
        <is>
          <t>Non-Captive</t>
        </is>
      </c>
      <c r="L4060" s="20" t="inlineStr">
        <is>
          <t>Cars24</t>
        </is>
      </c>
      <c r="M4060" s="23" t="n">
        <v>4237.29</v>
      </c>
      <c r="N4060" s="23" t="n">
        <v>5000</v>
      </c>
      <c r="O4060" s="24">
        <f>IF(AND(ISNUMBER(M4060), ISNUMBER(I4060), I4060&gt;0), M4060/I4060, "")</f>
        <v/>
      </c>
    </row>
    <row r="4061">
      <c r="A4061" s="19" t="inlineStr">
        <is>
          <t>FY27</t>
        </is>
      </c>
      <c r="B4061" s="19" t="inlineStr">
        <is>
          <t>Sep</t>
        </is>
      </c>
      <c r="C4061" s="19" t="inlineStr">
        <is>
          <t>TN</t>
        </is>
      </c>
      <c r="D4061" s="20" t="inlineStr">
        <is>
          <t>TN07CC9777</t>
        </is>
      </c>
      <c r="E4061" s="20" t="inlineStr">
        <is>
          <t>CHEVROLET</t>
        </is>
      </c>
      <c r="F4061" s="20" t="inlineStr">
        <is>
          <t>Cruze</t>
        </is>
      </c>
      <c r="G4061" s="21" t="n">
        <v>2015</v>
      </c>
      <c r="H4061" s="22" t="n">
        <v>113891</v>
      </c>
      <c r="I4061" s="23" t="n">
        <v>92000</v>
      </c>
      <c r="J4061" s="20" t="inlineStr">
        <is>
          <t>AIE CARS PRIVATE LIMITED</t>
        </is>
      </c>
      <c r="K4061" s="20" t="inlineStr">
        <is>
          <t>Non-Captive</t>
        </is>
      </c>
      <c r="L4061" s="20" t="inlineStr">
        <is>
          <t>Pine Autos</t>
        </is>
      </c>
      <c r="M4061" s="23" t="n">
        <v>4237.29</v>
      </c>
      <c r="N4061" s="23" t="n">
        <v>5000</v>
      </c>
      <c r="O4061" s="24">
        <f>IF(AND(ISNUMBER(M4061), ISNUMBER(I4061), I4061&gt;0), M4061/I4061, "")</f>
        <v/>
      </c>
    </row>
    <row r="4062">
      <c r="A4062" s="19" t="inlineStr">
        <is>
          <t>FY27</t>
        </is>
      </c>
      <c r="B4062" s="19" t="inlineStr">
        <is>
          <t>Sep</t>
        </is>
      </c>
      <c r="C4062" s="19" t="inlineStr">
        <is>
          <t>TN</t>
        </is>
      </c>
      <c r="D4062" s="20" t="inlineStr">
        <is>
          <t>TN07CD3459</t>
        </is>
      </c>
      <c r="E4062" s="20" t="inlineStr">
        <is>
          <t>HONDA</t>
        </is>
      </c>
      <c r="F4062" s="20" t="inlineStr">
        <is>
          <t>Amaze</t>
        </is>
      </c>
      <c r="G4062" s="21" t="n">
        <v>2015</v>
      </c>
      <c r="H4062" s="22" t="n">
        <v>75986</v>
      </c>
      <c r="I4062" s="23" t="n">
        <v>96000</v>
      </c>
      <c r="J4062" s="20" t="inlineStr">
        <is>
          <t>VISHNU CARS PRIVATE LIMITED</t>
        </is>
      </c>
      <c r="K4062" s="20" t="inlineStr">
        <is>
          <t>Non-Captive</t>
        </is>
      </c>
      <c r="L4062" s="20" t="inlineStr">
        <is>
          <t>Santhosh Cars</t>
        </is>
      </c>
      <c r="M4062" s="23" t="n">
        <v>3389.83</v>
      </c>
      <c r="N4062" s="23" t="n">
        <v>4000</v>
      </c>
      <c r="O4062" s="24">
        <f>IF(AND(ISNUMBER(M4062), ISNUMBER(I4062), I4062&gt;0), M4062/I4062, "")</f>
        <v/>
      </c>
    </row>
    <row r="4063">
      <c r="A4063" s="19" t="inlineStr">
        <is>
          <t>FY27</t>
        </is>
      </c>
      <c r="B4063" s="19" t="inlineStr">
        <is>
          <t>Sep</t>
        </is>
      </c>
      <c r="C4063" s="19" t="inlineStr">
        <is>
          <t>TN</t>
        </is>
      </c>
      <c r="D4063" s="20" t="inlineStr">
        <is>
          <t>TN07CJ6730</t>
        </is>
      </c>
      <c r="E4063" s="20" t="inlineStr">
        <is>
          <t>HONDA</t>
        </is>
      </c>
      <c r="F4063" s="20" t="inlineStr">
        <is>
          <t>City</t>
        </is>
      </c>
      <c r="G4063" s="21" t="n">
        <v>2017</v>
      </c>
      <c r="H4063" s="22" t="n">
        <v>35784</v>
      </c>
      <c r="I4063" s="23" t="n">
        <v>625000</v>
      </c>
      <c r="J4063" s="20" t="inlineStr">
        <is>
          <t>EXCHANGE CHENNAI</t>
        </is>
      </c>
      <c r="K4063" s="20" t="inlineStr">
        <is>
          <t>Captive</t>
        </is>
      </c>
      <c r="L4063" s="20" t="inlineStr"/>
      <c r="M4063" s="23" t="n">
        <v>8474.58</v>
      </c>
      <c r="N4063" s="23" t="n">
        <v>10000</v>
      </c>
      <c r="O4063" s="24">
        <f>IF(AND(ISNUMBER(M4063), ISNUMBER(I4063), I4063&gt;0), M4063/I4063, "")</f>
        <v/>
      </c>
    </row>
    <row r="4064">
      <c r="A4064" s="19" t="inlineStr">
        <is>
          <t>FY27</t>
        </is>
      </c>
      <c r="B4064" s="19" t="inlineStr">
        <is>
          <t>Sep</t>
        </is>
      </c>
      <c r="C4064" s="19" t="inlineStr">
        <is>
          <t>TN</t>
        </is>
      </c>
      <c r="D4064" s="20" t="inlineStr">
        <is>
          <t>TN07CS4855</t>
        </is>
      </c>
      <c r="E4064" s="20" t="inlineStr">
        <is>
          <t>HYUNDAI</t>
        </is>
      </c>
      <c r="F4064" s="20" t="inlineStr">
        <is>
          <t>Santro</t>
        </is>
      </c>
      <c r="G4064" s="21" t="n">
        <v>2019</v>
      </c>
      <c r="H4064" s="22" t="n">
        <v>50327</v>
      </c>
      <c r="I4064" s="23" t="n">
        <v>322500</v>
      </c>
      <c r="J4064" s="20" t="inlineStr">
        <is>
          <t>CASTLE TRADERS MARUTI</t>
        </is>
      </c>
      <c r="K4064" s="20" t="inlineStr">
        <is>
          <t>Non-Captive</t>
        </is>
      </c>
      <c r="L4064" s="20" t="inlineStr">
        <is>
          <t>Value Drive Tech</t>
        </is>
      </c>
      <c r="M4064" s="23" t="n">
        <v>6355.93</v>
      </c>
      <c r="N4064" s="23" t="n">
        <v>7500</v>
      </c>
      <c r="O4064" s="24">
        <f>IF(AND(ISNUMBER(M4064), ISNUMBER(I4064), I4064&gt;0), M4064/I4064, "")</f>
        <v/>
      </c>
    </row>
    <row r="4065">
      <c r="A4065" s="19" t="inlineStr">
        <is>
          <t>FY27</t>
        </is>
      </c>
      <c r="B4065" s="19" t="inlineStr">
        <is>
          <t>Sep</t>
        </is>
      </c>
      <c r="C4065" s="19" t="inlineStr">
        <is>
          <t>TN</t>
        </is>
      </c>
      <c r="D4065" s="20" t="inlineStr">
        <is>
          <t>TN07CY8670</t>
        </is>
      </c>
      <c r="E4065" s="20" t="inlineStr">
        <is>
          <t>CHEVROLET</t>
        </is>
      </c>
      <c r="F4065" s="20" t="inlineStr">
        <is>
          <t>Aveo</t>
        </is>
      </c>
      <c r="G4065" s="21" t="n">
        <v>2006</v>
      </c>
      <c r="H4065" s="22" t="n">
        <v>62998</v>
      </c>
      <c r="I4065" s="23" t="n">
        <v>89000</v>
      </c>
      <c r="J4065" s="20" t="inlineStr">
        <is>
          <t>VISHNU CARS PRIVATE LIMITED</t>
        </is>
      </c>
      <c r="K4065" s="20" t="inlineStr">
        <is>
          <t>Non-Captive</t>
        </is>
      </c>
      <c r="L4065" s="20" t="inlineStr">
        <is>
          <t>Santhosh Cars</t>
        </is>
      </c>
      <c r="M4065" s="23" t="n">
        <v>4237.29</v>
      </c>
      <c r="N4065" s="23" t="n">
        <v>5000</v>
      </c>
      <c r="O4065" s="24">
        <f>IF(AND(ISNUMBER(M4065), ISNUMBER(I4065), I4065&gt;0), M4065/I4065, "")</f>
        <v/>
      </c>
    </row>
    <row r="4066">
      <c r="A4066" s="19" t="inlineStr">
        <is>
          <t>FY27</t>
        </is>
      </c>
      <c r="B4066" s="19" t="inlineStr">
        <is>
          <t>Sep</t>
        </is>
      </c>
      <c r="C4066" s="19" t="inlineStr">
        <is>
          <t>TN</t>
        </is>
      </c>
      <c r="D4066" s="20" t="inlineStr">
        <is>
          <t>TN07U2650</t>
        </is>
      </c>
      <c r="E4066" s="20" t="inlineStr">
        <is>
          <t>MARUTI SUZUKI</t>
        </is>
      </c>
      <c r="F4066" s="20" t="inlineStr">
        <is>
          <t>800</t>
        </is>
      </c>
      <c r="G4066" s="21" t="n">
        <v>2001</v>
      </c>
      <c r="H4066" s="22" t="n">
        <v>68838</v>
      </c>
      <c r="I4066" s="23" t="n">
        <v>40000</v>
      </c>
      <c r="J4066" s="20" t="inlineStr">
        <is>
          <t>EXCHANGE ROTN</t>
        </is>
      </c>
      <c r="K4066" s="20" t="inlineStr">
        <is>
          <t>Captive</t>
        </is>
      </c>
      <c r="L4066" s="20" t="inlineStr">
        <is>
          <t>Sivashankar Cars</t>
        </is>
      </c>
      <c r="M4066" s="23" t="n">
        <v>4237.29</v>
      </c>
      <c r="N4066" s="23" t="n">
        <v>5000</v>
      </c>
      <c r="O4066" s="24">
        <f>IF(AND(ISNUMBER(M4066), ISNUMBER(I4066), I4066&gt;0), M4066/I4066, "")</f>
        <v/>
      </c>
    </row>
    <row r="4067">
      <c r="A4067" s="19" t="inlineStr">
        <is>
          <t>FY27</t>
        </is>
      </c>
      <c r="B4067" s="19" t="inlineStr">
        <is>
          <t>Sep</t>
        </is>
      </c>
      <c r="C4067" s="19" t="inlineStr">
        <is>
          <t>TN</t>
        </is>
      </c>
      <c r="D4067" s="20" t="inlineStr">
        <is>
          <t>TN09AE7000</t>
        </is>
      </c>
      <c r="E4067" s="20" t="inlineStr">
        <is>
          <t>HONDA</t>
        </is>
      </c>
      <c r="F4067" s="20" t="inlineStr">
        <is>
          <t>City</t>
        </is>
      </c>
      <c r="G4067" s="21" t="n">
        <v>2003</v>
      </c>
      <c r="H4067" s="22" t="n">
        <v>29904</v>
      </c>
      <c r="I4067" s="23" t="n">
        <v>96000</v>
      </c>
      <c r="J4067" s="20" t="inlineStr">
        <is>
          <t>AIE CARS PRIVATE LIMITED</t>
        </is>
      </c>
      <c r="K4067" s="20" t="inlineStr">
        <is>
          <t>Non-Captive</t>
        </is>
      </c>
      <c r="L4067" s="20" t="inlineStr">
        <is>
          <t>Santhosh Cars</t>
        </is>
      </c>
      <c r="M4067" s="23" t="n">
        <v>4237.29</v>
      </c>
      <c r="N4067" s="23" t="n">
        <v>5000</v>
      </c>
      <c r="O4067" s="24">
        <f>IF(AND(ISNUMBER(M4067), ISNUMBER(I4067), I4067&gt;0), M4067/I4067, "")</f>
        <v/>
      </c>
    </row>
    <row r="4068">
      <c r="A4068" s="19" t="inlineStr">
        <is>
          <t>FY27</t>
        </is>
      </c>
      <c r="B4068" s="19" t="inlineStr">
        <is>
          <t>Sep</t>
        </is>
      </c>
      <c r="C4068" s="19" t="inlineStr">
        <is>
          <t>TN</t>
        </is>
      </c>
      <c r="D4068" s="20" t="inlineStr">
        <is>
          <t>TN09AF1306</t>
        </is>
      </c>
      <c r="E4068" s="20" t="inlineStr">
        <is>
          <t>MARUTI SUZUKI</t>
        </is>
      </c>
      <c r="F4068" s="20" t="inlineStr">
        <is>
          <t>Alto</t>
        </is>
      </c>
      <c r="G4068" s="21" t="n">
        <v>2004</v>
      </c>
      <c r="H4068" s="22" t="n">
        <v>111092</v>
      </c>
      <c r="I4068" s="23" t="n">
        <v>52000</v>
      </c>
      <c r="J4068" s="20" t="inlineStr">
        <is>
          <t>EXCHANGE ROTN</t>
        </is>
      </c>
      <c r="K4068" s="20" t="inlineStr">
        <is>
          <t>Captive</t>
        </is>
      </c>
      <c r="L4068" s="20" t="inlineStr">
        <is>
          <t>Sree Murugan Cars</t>
        </is>
      </c>
      <c r="M4068" s="23" t="n">
        <v>4237.29</v>
      </c>
      <c r="N4068" s="23" t="n">
        <v>5000</v>
      </c>
      <c r="O4068" s="24">
        <f>IF(AND(ISNUMBER(M4068), ISNUMBER(I4068), I4068&gt;0), M4068/I4068, "")</f>
        <v/>
      </c>
    </row>
    <row r="4069">
      <c r="A4069" s="19" t="inlineStr">
        <is>
          <t>FY27</t>
        </is>
      </c>
      <c r="B4069" s="19" t="inlineStr">
        <is>
          <t>Sep</t>
        </is>
      </c>
      <c r="C4069" s="19" t="inlineStr">
        <is>
          <t>TN</t>
        </is>
      </c>
      <c r="D4069" s="20" t="inlineStr">
        <is>
          <t>TN09AF8371</t>
        </is>
      </c>
      <c r="E4069" s="20" t="inlineStr">
        <is>
          <t>MARUTI SUZUKI</t>
        </is>
      </c>
      <c r="F4069" s="20" t="inlineStr">
        <is>
          <t>800</t>
        </is>
      </c>
      <c r="G4069" s="21" t="n">
        <v>2004</v>
      </c>
      <c r="H4069" s="22" t="n">
        <v>123654</v>
      </c>
      <c r="I4069" s="23" t="n">
        <v>35000</v>
      </c>
      <c r="J4069" s="20" t="inlineStr">
        <is>
          <t>EXCHANGE ROTN</t>
        </is>
      </c>
      <c r="K4069" s="20" t="inlineStr">
        <is>
          <t>Captive</t>
        </is>
      </c>
      <c r="L4069" s="20" t="inlineStr">
        <is>
          <t>Sivashankar Cars</t>
        </is>
      </c>
      <c r="M4069" s="23" t="n">
        <v>4237.29</v>
      </c>
      <c r="N4069" s="23" t="n">
        <v>5000</v>
      </c>
      <c r="O4069" s="24">
        <f>IF(AND(ISNUMBER(M4069), ISNUMBER(I4069), I4069&gt;0), M4069/I4069, "")</f>
        <v/>
      </c>
    </row>
    <row r="4070">
      <c r="A4070" s="19" t="inlineStr">
        <is>
          <t>FY27</t>
        </is>
      </c>
      <c r="B4070" s="19" t="inlineStr">
        <is>
          <t>Sep</t>
        </is>
      </c>
      <c r="C4070" s="19" t="inlineStr">
        <is>
          <t>TN</t>
        </is>
      </c>
      <c r="D4070" s="20" t="inlineStr">
        <is>
          <t>TN09AU1776</t>
        </is>
      </c>
      <c r="E4070" s="20" t="inlineStr">
        <is>
          <t>MARUTI SUZUKI</t>
        </is>
      </c>
      <c r="F4070" s="20" t="inlineStr">
        <is>
          <t>Zen Estilo</t>
        </is>
      </c>
      <c r="G4070" s="21" t="n">
        <v>2007</v>
      </c>
      <c r="H4070" s="22" t="n">
        <v>124374</v>
      </c>
      <c r="I4070" s="23" t="n">
        <v>70000</v>
      </c>
      <c r="J4070" s="20" t="inlineStr">
        <is>
          <t>EXCHANGE ROTN</t>
        </is>
      </c>
      <c r="K4070" s="20" t="inlineStr">
        <is>
          <t>Captive</t>
        </is>
      </c>
      <c r="L4070" s="20" t="inlineStr">
        <is>
          <t>Sai Cars</t>
        </is>
      </c>
      <c r="M4070" s="23" t="n">
        <v>4237.29</v>
      </c>
      <c r="N4070" s="23" t="n">
        <v>5000</v>
      </c>
      <c r="O4070" s="24">
        <f>IF(AND(ISNUMBER(M4070), ISNUMBER(I4070), I4070&gt;0), M4070/I4070, "")</f>
        <v/>
      </c>
    </row>
    <row r="4071">
      <c r="A4071" s="19" t="inlineStr">
        <is>
          <t>FY27</t>
        </is>
      </c>
      <c r="B4071" s="19" t="inlineStr">
        <is>
          <t>Sep</t>
        </is>
      </c>
      <c r="C4071" s="19" t="inlineStr">
        <is>
          <t>TN</t>
        </is>
      </c>
      <c r="D4071" s="20" t="inlineStr">
        <is>
          <t>TN09AZ8901</t>
        </is>
      </c>
      <c r="E4071" s="20" t="inlineStr">
        <is>
          <t>HONDA</t>
        </is>
      </c>
      <c r="F4071" s="20" t="inlineStr">
        <is>
          <t>City</t>
        </is>
      </c>
      <c r="G4071" s="21" t="n">
        <v>2009</v>
      </c>
      <c r="H4071" s="22" t="n">
        <v>122069</v>
      </c>
      <c r="I4071" s="23" t="n">
        <v>97000</v>
      </c>
      <c r="J4071" s="20" t="inlineStr">
        <is>
          <t>AIE CARS PRIVATE LIMITED</t>
        </is>
      </c>
      <c r="K4071" s="20" t="inlineStr">
        <is>
          <t>Non-Captive</t>
        </is>
      </c>
      <c r="L4071" s="20" t="inlineStr">
        <is>
          <t>Santhosh Cars</t>
        </is>
      </c>
      <c r="M4071" s="23" t="n">
        <v>4237.29</v>
      </c>
      <c r="N4071" s="23" t="n">
        <v>5000</v>
      </c>
      <c r="O4071" s="24">
        <f>IF(AND(ISNUMBER(M4071), ISNUMBER(I4071), I4071&gt;0), M4071/I4071, "")</f>
        <v/>
      </c>
    </row>
    <row r="4072">
      <c r="A4072" s="19" t="inlineStr">
        <is>
          <t>FY27</t>
        </is>
      </c>
      <c r="B4072" s="19" t="inlineStr">
        <is>
          <t>Sep</t>
        </is>
      </c>
      <c r="C4072" s="19" t="inlineStr">
        <is>
          <t>TN</t>
        </is>
      </c>
      <c r="D4072" s="20" t="inlineStr">
        <is>
          <t>TN09AZ9826</t>
        </is>
      </c>
      <c r="E4072" s="20" t="inlineStr">
        <is>
          <t>HONDA</t>
        </is>
      </c>
      <c r="F4072" s="20" t="inlineStr">
        <is>
          <t>City</t>
        </is>
      </c>
      <c r="G4072" s="21" t="n">
        <v>2009</v>
      </c>
      <c r="H4072" s="22" t="n">
        <v>67552</v>
      </c>
      <c r="I4072" s="23" t="n">
        <v>97000</v>
      </c>
      <c r="J4072" s="20" t="inlineStr">
        <is>
          <t>VISHNU CARS PRIVATE LIMITED</t>
        </is>
      </c>
      <c r="K4072" s="20" t="inlineStr">
        <is>
          <t>Non-Captive</t>
        </is>
      </c>
      <c r="L4072" s="20" t="inlineStr">
        <is>
          <t>Aaa Cars</t>
        </is>
      </c>
      <c r="M4072" s="23" t="n">
        <v>4237.29</v>
      </c>
      <c r="N4072" s="23" t="n">
        <v>5000</v>
      </c>
      <c r="O4072" s="24">
        <f>IF(AND(ISNUMBER(M4072), ISNUMBER(I4072), I4072&gt;0), M4072/I4072, "")</f>
        <v/>
      </c>
    </row>
    <row r="4073">
      <c r="A4073" s="19" t="inlineStr">
        <is>
          <t>FY27</t>
        </is>
      </c>
      <c r="B4073" s="19" t="inlineStr">
        <is>
          <t>Sep</t>
        </is>
      </c>
      <c r="C4073" s="19" t="inlineStr">
        <is>
          <t>TN</t>
        </is>
      </c>
      <c r="D4073" s="20" t="inlineStr">
        <is>
          <t>TN09BD1807</t>
        </is>
      </c>
      <c r="E4073" s="20" t="inlineStr">
        <is>
          <t>HONDA</t>
        </is>
      </c>
      <c r="F4073" s="20" t="inlineStr">
        <is>
          <t>City</t>
        </is>
      </c>
      <c r="G4073" s="21" t="n">
        <v>2010</v>
      </c>
      <c r="H4073" s="22" t="n">
        <v>105601</v>
      </c>
      <c r="I4073" s="23" t="n">
        <v>98000</v>
      </c>
      <c r="J4073" s="20" t="inlineStr">
        <is>
          <t>AIE CARS PRIVATE LIMITED</t>
        </is>
      </c>
      <c r="K4073" s="20" t="inlineStr">
        <is>
          <t>Non-Captive</t>
        </is>
      </c>
      <c r="L4073" s="20" t="inlineStr">
        <is>
          <t>Pine Autos</t>
        </is>
      </c>
      <c r="M4073" s="23" t="n">
        <v>4237.29</v>
      </c>
      <c r="N4073" s="23" t="n">
        <v>5000</v>
      </c>
      <c r="O4073" s="24">
        <f>IF(AND(ISNUMBER(M4073), ISNUMBER(I4073), I4073&gt;0), M4073/I4073, "")</f>
        <v/>
      </c>
    </row>
    <row r="4074">
      <c r="A4074" s="19" t="inlineStr">
        <is>
          <t>FY27</t>
        </is>
      </c>
      <c r="B4074" s="19" t="inlineStr">
        <is>
          <t>Sep</t>
        </is>
      </c>
      <c r="C4074" s="19" t="inlineStr">
        <is>
          <t>TN</t>
        </is>
      </c>
      <c r="D4074" s="20" t="inlineStr">
        <is>
          <t>TN09BF7322</t>
        </is>
      </c>
      <c r="E4074" s="20" t="inlineStr">
        <is>
          <t>HONDA</t>
        </is>
      </c>
      <c r="F4074" s="20" t="inlineStr">
        <is>
          <t>City</t>
        </is>
      </c>
      <c r="G4074" s="21" t="n">
        <v>2010</v>
      </c>
      <c r="H4074" s="22" t="n">
        <v>135101</v>
      </c>
      <c r="I4074" s="23" t="n">
        <v>94000</v>
      </c>
      <c r="J4074" s="20" t="inlineStr">
        <is>
          <t>VISHNU CARS PRIVATE LIMITED</t>
        </is>
      </c>
      <c r="K4074" s="20" t="inlineStr">
        <is>
          <t>Non-Captive</t>
        </is>
      </c>
      <c r="L4074" s="20" t="inlineStr">
        <is>
          <t>Pine Autos</t>
        </is>
      </c>
      <c r="M4074" s="23" t="n">
        <v>4237.29</v>
      </c>
      <c r="N4074" s="23" t="n">
        <v>5000</v>
      </c>
      <c r="O4074" s="24">
        <f>IF(AND(ISNUMBER(M4074), ISNUMBER(I4074), I4074&gt;0), M4074/I4074, "")</f>
        <v/>
      </c>
    </row>
    <row r="4075">
      <c r="A4075" s="19" t="inlineStr">
        <is>
          <t>FY27</t>
        </is>
      </c>
      <c r="B4075" s="19" t="inlineStr">
        <is>
          <t>Sep</t>
        </is>
      </c>
      <c r="C4075" s="19" t="inlineStr">
        <is>
          <t>TN</t>
        </is>
      </c>
      <c r="D4075" s="20" t="inlineStr">
        <is>
          <t>TN09BJ4417</t>
        </is>
      </c>
      <c r="E4075" s="20" t="inlineStr">
        <is>
          <t>MARUTI SUZUKI</t>
        </is>
      </c>
      <c r="F4075" s="20" t="inlineStr">
        <is>
          <t>Dzire</t>
        </is>
      </c>
      <c r="G4075" s="21" t="n">
        <v>2011</v>
      </c>
      <c r="H4075" s="22" t="n">
        <v>93080</v>
      </c>
      <c r="I4075" s="23" t="n">
        <v>86000</v>
      </c>
      <c r="J4075" s="20" t="inlineStr">
        <is>
          <t>VISHNU CARS PRIVATE LIMITED</t>
        </is>
      </c>
      <c r="K4075" s="20" t="inlineStr">
        <is>
          <t>Non-Captive</t>
        </is>
      </c>
      <c r="L4075" s="20" t="inlineStr">
        <is>
          <t>Aaa Cars</t>
        </is>
      </c>
      <c r="M4075" s="23" t="n">
        <v>4237.29</v>
      </c>
      <c r="N4075" s="23" t="n">
        <v>5000</v>
      </c>
      <c r="O4075" s="24">
        <f>IF(AND(ISNUMBER(M4075), ISNUMBER(I4075), I4075&gt;0), M4075/I4075, "")</f>
        <v/>
      </c>
    </row>
    <row r="4076">
      <c r="A4076" s="19" t="inlineStr">
        <is>
          <t>FY27</t>
        </is>
      </c>
      <c r="B4076" s="19" t="inlineStr">
        <is>
          <t>Sep</t>
        </is>
      </c>
      <c r="C4076" s="19" t="inlineStr">
        <is>
          <t>TN</t>
        </is>
      </c>
      <c r="D4076" s="20" t="inlineStr">
        <is>
          <t>TN09BL6283</t>
        </is>
      </c>
      <c r="E4076" s="20" t="inlineStr">
        <is>
          <t>HYUNDAI</t>
        </is>
      </c>
      <c r="F4076" s="20" t="inlineStr">
        <is>
          <t>Verna</t>
        </is>
      </c>
      <c r="G4076" s="21" t="n">
        <v>2011</v>
      </c>
      <c r="H4076" s="22" t="n">
        <v>39550</v>
      </c>
      <c r="I4076" s="23" t="n">
        <v>89000</v>
      </c>
      <c r="J4076" s="20" t="inlineStr">
        <is>
          <t>KRISH TOYOTA</t>
        </is>
      </c>
      <c r="K4076" s="20" t="inlineStr">
        <is>
          <t>Non-Captive</t>
        </is>
      </c>
      <c r="L4076" s="20" t="inlineStr">
        <is>
          <t>Value Drive Tech</t>
        </is>
      </c>
      <c r="M4076" s="23" t="n">
        <v>4237.29</v>
      </c>
      <c r="N4076" s="23" t="n">
        <v>5000</v>
      </c>
      <c r="O4076" s="24">
        <f>IF(AND(ISNUMBER(M4076), ISNUMBER(I4076), I4076&gt;0), M4076/I4076, "")</f>
        <v/>
      </c>
    </row>
    <row r="4077">
      <c r="A4077" s="19" t="inlineStr">
        <is>
          <t>FY27</t>
        </is>
      </c>
      <c r="B4077" s="19" t="inlineStr">
        <is>
          <t>Sep</t>
        </is>
      </c>
      <c r="C4077" s="19" t="inlineStr">
        <is>
          <t>TN</t>
        </is>
      </c>
      <c r="D4077" s="20" t="inlineStr">
        <is>
          <t>TN09BM7422</t>
        </is>
      </c>
      <c r="E4077" s="20" t="inlineStr">
        <is>
          <t>FORD</t>
        </is>
      </c>
      <c r="F4077" s="20" t="inlineStr">
        <is>
          <t>Fiesta Classic</t>
        </is>
      </c>
      <c r="G4077" s="21" t="n">
        <v>2012</v>
      </c>
      <c r="H4077" s="22" t="n">
        <v>121973</v>
      </c>
      <c r="I4077" s="23" t="n">
        <v>200000</v>
      </c>
      <c r="J4077" s="20" t="inlineStr">
        <is>
          <t>AIE CARS PRIVATE LIMITED</t>
        </is>
      </c>
      <c r="K4077" s="20" t="inlineStr">
        <is>
          <t>Non-Captive</t>
        </is>
      </c>
      <c r="L4077" s="20" t="inlineStr">
        <is>
          <t>Thiyagarajan Raja Cars</t>
        </is>
      </c>
      <c r="M4077" s="23" t="n">
        <v>7288.14</v>
      </c>
      <c r="N4077" s="23" t="n">
        <v>8600</v>
      </c>
      <c r="O4077" s="24">
        <f>IF(AND(ISNUMBER(M4077), ISNUMBER(I4077), I4077&gt;0), M4077/I4077, "")</f>
        <v/>
      </c>
    </row>
    <row r="4078">
      <c r="A4078" s="19" t="inlineStr">
        <is>
          <t>FY27</t>
        </is>
      </c>
      <c r="B4078" s="19" t="inlineStr">
        <is>
          <t>Sep</t>
        </is>
      </c>
      <c r="C4078" s="19" t="inlineStr">
        <is>
          <t>TN</t>
        </is>
      </c>
      <c r="D4078" s="20" t="inlineStr">
        <is>
          <t>TN09BW5029</t>
        </is>
      </c>
      <c r="E4078" s="20" t="inlineStr">
        <is>
          <t>HYUNDAI</t>
        </is>
      </c>
      <c r="F4078" s="20" t="inlineStr">
        <is>
          <t>Grand i10</t>
        </is>
      </c>
      <c r="G4078" s="21" t="n">
        <v>2014</v>
      </c>
      <c r="H4078" s="22" t="n">
        <v>44921</v>
      </c>
      <c r="I4078" s="23" t="n">
        <v>96000</v>
      </c>
      <c r="J4078" s="20" t="inlineStr">
        <is>
          <t>PEEYESYEM HK MOTORS LLP</t>
        </is>
      </c>
      <c r="K4078" s="20" t="inlineStr">
        <is>
          <t>Non-Captive</t>
        </is>
      </c>
      <c r="L4078" s="20" t="inlineStr">
        <is>
          <t>Aneesa Pravin Cars</t>
        </is>
      </c>
      <c r="M4078" s="23" t="n">
        <v>4237.29</v>
      </c>
      <c r="N4078" s="23" t="n">
        <v>5000</v>
      </c>
      <c r="O4078" s="24">
        <f>IF(AND(ISNUMBER(M4078), ISNUMBER(I4078), I4078&gt;0), M4078/I4078, "")</f>
        <v/>
      </c>
    </row>
    <row r="4079">
      <c r="A4079" s="19" t="inlineStr">
        <is>
          <t>FY27</t>
        </is>
      </c>
      <c r="B4079" s="19" t="inlineStr">
        <is>
          <t>Sep</t>
        </is>
      </c>
      <c r="C4079" s="19" t="inlineStr">
        <is>
          <t>TN</t>
        </is>
      </c>
      <c r="D4079" s="20" t="inlineStr">
        <is>
          <t>TN09BX1660</t>
        </is>
      </c>
      <c r="E4079" s="20" t="inlineStr">
        <is>
          <t>HONDA</t>
        </is>
      </c>
      <c r="F4079" s="20" t="inlineStr">
        <is>
          <t>Amaze</t>
        </is>
      </c>
      <c r="G4079" s="21" t="n">
        <v>2014</v>
      </c>
      <c r="H4079" s="22" t="n">
        <v>94448</v>
      </c>
      <c r="I4079" s="23" t="n">
        <v>256000</v>
      </c>
      <c r="J4079" s="20" t="inlineStr">
        <is>
          <t>CASTLE TRADERS MARUTI</t>
        </is>
      </c>
      <c r="K4079" s="20" t="inlineStr">
        <is>
          <t>Non-Captive</t>
        </is>
      </c>
      <c r="L4079" s="20" t="inlineStr">
        <is>
          <t>Grid 33</t>
        </is>
      </c>
      <c r="M4079" s="23" t="n">
        <v>5932.29</v>
      </c>
      <c r="N4079" s="23" t="n">
        <v>7000.1</v>
      </c>
      <c r="O4079" s="24">
        <f>IF(AND(ISNUMBER(M4079), ISNUMBER(I4079), I4079&gt;0), M4079/I4079, "")</f>
        <v/>
      </c>
    </row>
    <row r="4080">
      <c r="A4080" s="19" t="inlineStr">
        <is>
          <t>FY27</t>
        </is>
      </c>
      <c r="B4080" s="19" t="inlineStr">
        <is>
          <t>Sep</t>
        </is>
      </c>
      <c r="C4080" s="19" t="inlineStr">
        <is>
          <t>TN</t>
        </is>
      </c>
      <c r="D4080" s="20" t="inlineStr">
        <is>
          <t>TN09CA3150</t>
        </is>
      </c>
      <c r="E4080" s="20" t="inlineStr">
        <is>
          <t>MARUTI SUZUKI</t>
        </is>
      </c>
      <c r="F4080" s="20" t="inlineStr">
        <is>
          <t>Ciaz</t>
        </is>
      </c>
      <c r="G4080" s="21" t="n">
        <v>2015</v>
      </c>
      <c r="H4080" s="22" t="n">
        <v>183756</v>
      </c>
      <c r="I4080" s="23" t="n">
        <v>380000</v>
      </c>
      <c r="J4080" s="20" t="inlineStr">
        <is>
          <t>CASTLE TRADERS MARUTI</t>
        </is>
      </c>
      <c r="K4080" s="20" t="inlineStr">
        <is>
          <t>Non-Captive</t>
        </is>
      </c>
      <c r="L4080" s="20" t="inlineStr">
        <is>
          <t>Rithika Cars</t>
        </is>
      </c>
      <c r="M4080" s="23" t="n">
        <v>6355.93</v>
      </c>
      <c r="N4080" s="23" t="n">
        <v>7500</v>
      </c>
      <c r="O4080" s="24">
        <f>IF(AND(ISNUMBER(M4080), ISNUMBER(I4080), I4080&gt;0), M4080/I4080, "")</f>
        <v/>
      </c>
    </row>
    <row r="4081">
      <c r="A4081" s="19" t="inlineStr">
        <is>
          <t>FY27</t>
        </is>
      </c>
      <c r="B4081" s="19" t="inlineStr">
        <is>
          <t>Sep</t>
        </is>
      </c>
      <c r="C4081" s="19" t="inlineStr">
        <is>
          <t>TN</t>
        </is>
      </c>
      <c r="D4081" s="20" t="inlineStr">
        <is>
          <t>TN09CB9633</t>
        </is>
      </c>
      <c r="E4081" s="20" t="inlineStr">
        <is>
          <t>HYUNDAI</t>
        </is>
      </c>
      <c r="F4081" s="20" t="inlineStr">
        <is>
          <t>Grand i10</t>
        </is>
      </c>
      <c r="G4081" s="21" t="n"/>
      <c r="H4081" s="22" t="n"/>
      <c r="I4081" s="23" t="n">
        <v>210000</v>
      </c>
      <c r="J4081" s="20" t="inlineStr">
        <is>
          <t>CASTLE TRADERS MARUTI</t>
        </is>
      </c>
      <c r="K4081" s="20" t="inlineStr">
        <is>
          <t>Non-Captive</t>
        </is>
      </c>
      <c r="L4081" s="20" t="inlineStr">
        <is>
          <t>As Cars</t>
        </is>
      </c>
      <c r="M4081" s="23" t="n">
        <v>5084.75</v>
      </c>
      <c r="N4081" s="23" t="n">
        <v>6000</v>
      </c>
      <c r="O4081" s="24">
        <f>IF(AND(ISNUMBER(M4081), ISNUMBER(I4081), I4081&gt;0), M4081/I4081, "")</f>
        <v/>
      </c>
    </row>
    <row r="4082">
      <c r="A4082" s="19" t="inlineStr">
        <is>
          <t>FY27</t>
        </is>
      </c>
      <c r="B4082" s="19" t="inlineStr">
        <is>
          <t>Sep</t>
        </is>
      </c>
      <c r="C4082" s="19" t="inlineStr">
        <is>
          <t>TN</t>
        </is>
      </c>
      <c r="D4082" s="20" t="inlineStr">
        <is>
          <t>TN09CJ0778</t>
        </is>
      </c>
      <c r="E4082" s="20" t="inlineStr">
        <is>
          <t>HONDA</t>
        </is>
      </c>
      <c r="F4082" s="20" t="inlineStr">
        <is>
          <t>City</t>
        </is>
      </c>
      <c r="G4082" s="21" t="n">
        <v>2017</v>
      </c>
      <c r="H4082" s="22" t="n">
        <v>22727</v>
      </c>
      <c r="I4082" s="23" t="n">
        <v>580000</v>
      </c>
      <c r="J4082" s="20" t="inlineStr">
        <is>
          <t>EXCHANGE CHENNAI</t>
        </is>
      </c>
      <c r="K4082" s="20" t="inlineStr">
        <is>
          <t>Captive</t>
        </is>
      </c>
      <c r="L4082" s="20" t="inlineStr">
        <is>
          <t>VS Enterprises</t>
        </is>
      </c>
      <c r="M4082" s="23" t="n">
        <v>8474.58</v>
      </c>
      <c r="N4082" s="23" t="n">
        <v>10000</v>
      </c>
      <c r="O4082" s="24">
        <f>IF(AND(ISNUMBER(M4082), ISNUMBER(I4082), I4082&gt;0), M4082/I4082, "")</f>
        <v/>
      </c>
    </row>
    <row r="4083">
      <c r="A4083" s="19" t="inlineStr">
        <is>
          <t>FY27</t>
        </is>
      </c>
      <c r="B4083" s="19" t="inlineStr">
        <is>
          <t>Sep</t>
        </is>
      </c>
      <c r="C4083" s="19" t="inlineStr">
        <is>
          <t>TN</t>
        </is>
      </c>
      <c r="D4083" s="20" t="inlineStr">
        <is>
          <t>TN09CV6693</t>
        </is>
      </c>
      <c r="E4083" s="20" t="inlineStr">
        <is>
          <t>MAHINDRA</t>
        </is>
      </c>
      <c r="F4083" s="20" t="inlineStr">
        <is>
          <t>XUV300</t>
        </is>
      </c>
      <c r="G4083" s="21" t="n">
        <v>2020</v>
      </c>
      <c r="H4083" s="22" t="n">
        <v>60656</v>
      </c>
      <c r="I4083" s="23" t="n">
        <v>530000</v>
      </c>
      <c r="J4083" s="20" t="inlineStr">
        <is>
          <t>EXCHANGE CHENNAI</t>
        </is>
      </c>
      <c r="K4083" s="20" t="inlineStr">
        <is>
          <t>Captive</t>
        </is>
      </c>
      <c r="L4083" s="20" t="inlineStr">
        <is>
          <t>Pine Autos</t>
        </is>
      </c>
      <c r="M4083" s="23" t="n">
        <v>8474.58</v>
      </c>
      <c r="N4083" s="23" t="n">
        <v>10000</v>
      </c>
      <c r="O4083" s="24">
        <f>IF(AND(ISNUMBER(M4083), ISNUMBER(I4083), I4083&gt;0), M4083/I4083, "")</f>
        <v/>
      </c>
    </row>
    <row r="4084">
      <c r="A4084" s="19" t="inlineStr">
        <is>
          <t>FY27</t>
        </is>
      </c>
      <c r="B4084" s="19" t="inlineStr">
        <is>
          <t>Sep</t>
        </is>
      </c>
      <c r="C4084" s="19" t="inlineStr">
        <is>
          <t>TN</t>
        </is>
      </c>
      <c r="D4084" s="20" t="inlineStr">
        <is>
          <t>TN09CW8236</t>
        </is>
      </c>
      <c r="E4084" s="20" t="inlineStr">
        <is>
          <t>HYUNDAI</t>
        </is>
      </c>
      <c r="F4084" s="20" t="inlineStr">
        <is>
          <t>Venue</t>
        </is>
      </c>
      <c r="G4084" s="21" t="n">
        <v>2021</v>
      </c>
      <c r="H4084" s="22" t="n">
        <v>35113</v>
      </c>
      <c r="I4084" s="23" t="n">
        <v>589000</v>
      </c>
      <c r="J4084" s="20" t="inlineStr">
        <is>
          <t>CASTLE TRADERS HONDA</t>
        </is>
      </c>
      <c r="K4084" s="20" t="inlineStr">
        <is>
          <t>Non-Captive</t>
        </is>
      </c>
      <c r="L4084" s="20" t="inlineStr">
        <is>
          <t>Cars24</t>
        </is>
      </c>
      <c r="M4084" s="23" t="n">
        <v>7627.12</v>
      </c>
      <c r="N4084" s="23" t="n">
        <v>9000</v>
      </c>
      <c r="O4084" s="24">
        <f>IF(AND(ISNUMBER(M4084), ISNUMBER(I4084), I4084&gt;0), M4084/I4084, "")</f>
        <v/>
      </c>
    </row>
    <row r="4085">
      <c r="A4085" s="19" t="inlineStr">
        <is>
          <t>FY27</t>
        </is>
      </c>
      <c r="B4085" s="19" t="inlineStr">
        <is>
          <t>Sep</t>
        </is>
      </c>
      <c r="C4085" s="19" t="inlineStr">
        <is>
          <t>TN</t>
        </is>
      </c>
      <c r="D4085" s="20" t="inlineStr">
        <is>
          <t>TN09DF8292</t>
        </is>
      </c>
      <c r="E4085" s="20" t="inlineStr">
        <is>
          <t>TATA</t>
        </is>
      </c>
      <c r="F4085" s="20" t="inlineStr">
        <is>
          <t>Safari</t>
        </is>
      </c>
      <c r="G4085" s="21" t="n">
        <v>2024</v>
      </c>
      <c r="H4085" s="22" t="n">
        <v>36200</v>
      </c>
      <c r="I4085" s="23" t="n">
        <v>198000</v>
      </c>
      <c r="J4085" s="20" t="inlineStr">
        <is>
          <t>CARS INDIA</t>
        </is>
      </c>
      <c r="K4085" s="20" t="inlineStr">
        <is>
          <t>Non-Captive</t>
        </is>
      </c>
      <c r="L4085" s="20" t="inlineStr">
        <is>
          <t>Aneesa Pravin Cars</t>
        </is>
      </c>
      <c r="M4085" s="23" t="n">
        <v>5423.73</v>
      </c>
      <c r="N4085" s="23" t="n">
        <v>6400</v>
      </c>
      <c r="O4085" s="24">
        <f>IF(AND(ISNUMBER(M4085), ISNUMBER(I4085), I4085&gt;0), M4085/I4085, "")</f>
        <v/>
      </c>
    </row>
    <row r="4086">
      <c r="A4086" s="19" t="inlineStr">
        <is>
          <t>FY27</t>
        </is>
      </c>
      <c r="B4086" s="19" t="inlineStr">
        <is>
          <t>Sep</t>
        </is>
      </c>
      <c r="C4086" s="19" t="inlineStr">
        <is>
          <t>TN</t>
        </is>
      </c>
      <c r="D4086" s="20" t="inlineStr">
        <is>
          <t>TN10AH3235</t>
        </is>
      </c>
      <c r="E4086" s="20" t="inlineStr">
        <is>
          <t>HYUNDAI</t>
        </is>
      </c>
      <c r="F4086" s="20" t="inlineStr">
        <is>
          <t>i10</t>
        </is>
      </c>
      <c r="G4086" s="21" t="n">
        <v>2012</v>
      </c>
      <c r="H4086" s="22" t="n">
        <v>93772</v>
      </c>
      <c r="I4086" s="23" t="n">
        <v>98000</v>
      </c>
      <c r="J4086" s="20" t="inlineStr">
        <is>
          <t>PEEYESYEM HK MOTORS LLP</t>
        </is>
      </c>
      <c r="K4086" s="20" t="inlineStr">
        <is>
          <t>Non-Captive</t>
        </is>
      </c>
      <c r="L4086" s="20" t="inlineStr">
        <is>
          <t>Cars24</t>
        </is>
      </c>
      <c r="M4086" s="23" t="n">
        <v>4237.29</v>
      </c>
      <c r="N4086" s="23" t="n">
        <v>5000</v>
      </c>
      <c r="O4086" s="24">
        <f>IF(AND(ISNUMBER(M4086), ISNUMBER(I4086), I4086&gt;0), M4086/I4086, "")</f>
        <v/>
      </c>
    </row>
    <row r="4087">
      <c r="A4087" s="19" t="inlineStr">
        <is>
          <t>FY27</t>
        </is>
      </c>
      <c r="B4087" s="19" t="inlineStr">
        <is>
          <t>Sep</t>
        </is>
      </c>
      <c r="C4087" s="19" t="inlineStr">
        <is>
          <t>TN</t>
        </is>
      </c>
      <c r="D4087" s="20" t="inlineStr">
        <is>
          <t>TN10AJ9390</t>
        </is>
      </c>
      <c r="E4087" s="20" t="inlineStr">
        <is>
          <t>CHEVROLET</t>
        </is>
      </c>
      <c r="F4087" s="20" t="inlineStr">
        <is>
          <t>Beat</t>
        </is>
      </c>
      <c r="G4087" s="21" t="n">
        <v>2012</v>
      </c>
      <c r="H4087" s="22" t="n">
        <v>99862</v>
      </c>
      <c r="I4087" s="23" t="n">
        <v>96000</v>
      </c>
      <c r="J4087" s="20" t="inlineStr">
        <is>
          <t>CARS INDIA</t>
        </is>
      </c>
      <c r="K4087" s="20" t="inlineStr">
        <is>
          <t>Non-Captive</t>
        </is>
      </c>
      <c r="L4087" s="20" t="inlineStr">
        <is>
          <t>Senthil Cars</t>
        </is>
      </c>
      <c r="M4087" s="23" t="n">
        <v>4237.29</v>
      </c>
      <c r="N4087" s="23" t="n">
        <v>5000</v>
      </c>
      <c r="O4087" s="24">
        <f>IF(AND(ISNUMBER(M4087), ISNUMBER(I4087), I4087&gt;0), M4087/I4087, "")</f>
        <v/>
      </c>
    </row>
    <row r="4088">
      <c r="A4088" s="19" t="inlineStr">
        <is>
          <t>FY27</t>
        </is>
      </c>
      <c r="B4088" s="19" t="inlineStr">
        <is>
          <t>Sep</t>
        </is>
      </c>
      <c r="C4088" s="19" t="inlineStr">
        <is>
          <t>TN</t>
        </is>
      </c>
      <c r="D4088" s="20" t="inlineStr">
        <is>
          <t>TN10AK9619</t>
        </is>
      </c>
      <c r="E4088" s="20" t="inlineStr">
        <is>
          <t>MARUTI SUZUKI</t>
        </is>
      </c>
      <c r="F4088" s="20" t="inlineStr">
        <is>
          <t>Eeco</t>
        </is>
      </c>
      <c r="G4088" s="21" t="n">
        <v>2013</v>
      </c>
      <c r="H4088" s="22" t="n">
        <v>202876</v>
      </c>
      <c r="I4088" s="23" t="n">
        <v>99000</v>
      </c>
      <c r="J4088" s="20" t="inlineStr">
        <is>
          <t>LANSON QCARS PRIVATE LIMITED</t>
        </is>
      </c>
      <c r="K4088" s="20" t="inlineStr">
        <is>
          <t>Non-Captive</t>
        </is>
      </c>
      <c r="L4088" s="20" t="inlineStr">
        <is>
          <t>Value Drive Tech</t>
        </is>
      </c>
      <c r="M4088" s="23" t="n">
        <v>4237.29</v>
      </c>
      <c r="N4088" s="23" t="n">
        <v>5000</v>
      </c>
      <c r="O4088" s="24">
        <f>IF(AND(ISNUMBER(M4088), ISNUMBER(I4088), I4088&gt;0), M4088/I4088, "")</f>
        <v/>
      </c>
    </row>
    <row r="4089">
      <c r="A4089" s="19" t="inlineStr">
        <is>
          <t>FY27</t>
        </is>
      </c>
      <c r="B4089" s="19" t="inlineStr">
        <is>
          <t>Sep</t>
        </is>
      </c>
      <c r="C4089" s="19" t="inlineStr">
        <is>
          <t>TN</t>
        </is>
      </c>
      <c r="D4089" s="20" t="inlineStr">
        <is>
          <t>TN10AL4258</t>
        </is>
      </c>
      <c r="E4089" s="20" t="inlineStr">
        <is>
          <t>MARUTI SUZUKI</t>
        </is>
      </c>
      <c r="F4089" s="20" t="inlineStr">
        <is>
          <t>Swift</t>
        </is>
      </c>
      <c r="G4089" s="21" t="n">
        <v>2013</v>
      </c>
      <c r="H4089" s="22" t="n">
        <v>61978</v>
      </c>
      <c r="I4089" s="23" t="n">
        <v>280000</v>
      </c>
      <c r="J4089" s="20" t="inlineStr">
        <is>
          <t>EXCHANGE CHENNAI</t>
        </is>
      </c>
      <c r="K4089" s="20" t="inlineStr">
        <is>
          <t>Captive</t>
        </is>
      </c>
      <c r="L4089" s="20" t="inlineStr"/>
      <c r="M4089" s="23" t="n">
        <v>8474.58</v>
      </c>
      <c r="N4089" s="23" t="n">
        <v>10000</v>
      </c>
      <c r="O4089" s="24">
        <f>IF(AND(ISNUMBER(M4089), ISNUMBER(I4089), I4089&gt;0), M4089/I4089, "")</f>
        <v/>
      </c>
    </row>
    <row r="4090">
      <c r="A4090" s="19" t="inlineStr">
        <is>
          <t>FY27</t>
        </is>
      </c>
      <c r="B4090" s="19" t="inlineStr">
        <is>
          <t>Sep</t>
        </is>
      </c>
      <c r="C4090" s="19" t="inlineStr">
        <is>
          <t>TN</t>
        </is>
      </c>
      <c r="D4090" s="20" t="inlineStr">
        <is>
          <t>TN10AM6809</t>
        </is>
      </c>
      <c r="E4090" s="20" t="inlineStr">
        <is>
          <t>HYUNDAI</t>
        </is>
      </c>
      <c r="F4090" s="20" t="inlineStr">
        <is>
          <t>i10</t>
        </is>
      </c>
      <c r="G4090" s="21" t="n">
        <v>2013</v>
      </c>
      <c r="H4090" s="22" t="n">
        <v>56101</v>
      </c>
      <c r="I4090" s="23" t="n">
        <v>195000</v>
      </c>
      <c r="J4090" s="20" t="inlineStr">
        <is>
          <t>EXCHANGE ROTN</t>
        </is>
      </c>
      <c r="K4090" s="20" t="inlineStr">
        <is>
          <t>Captive</t>
        </is>
      </c>
      <c r="L4090" s="20" t="inlineStr">
        <is>
          <t>Vasundhara Cars</t>
        </is>
      </c>
      <c r="M4090" s="23" t="n">
        <v>8474.58</v>
      </c>
      <c r="N4090" s="23" t="n">
        <v>10000</v>
      </c>
      <c r="O4090" s="24">
        <f>IF(AND(ISNUMBER(M4090), ISNUMBER(I4090), I4090&gt;0), M4090/I4090, "")</f>
        <v/>
      </c>
    </row>
    <row r="4091">
      <c r="A4091" s="19" t="inlineStr">
        <is>
          <t>FY27</t>
        </is>
      </c>
      <c r="B4091" s="19" t="inlineStr">
        <is>
          <t>Sep</t>
        </is>
      </c>
      <c r="C4091" s="19" t="inlineStr">
        <is>
          <t>TN</t>
        </is>
      </c>
      <c r="D4091" s="20" t="inlineStr">
        <is>
          <t>TN10AW6042</t>
        </is>
      </c>
      <c r="E4091" s="20" t="inlineStr">
        <is>
          <t>CHEVROLET</t>
        </is>
      </c>
      <c r="F4091" s="20" t="inlineStr">
        <is>
          <t>Beat</t>
        </is>
      </c>
      <c r="G4091" s="21" t="n">
        <v>2016</v>
      </c>
      <c r="H4091" s="22" t="n">
        <v>76256</v>
      </c>
      <c r="I4091" s="23" t="n">
        <v>94000</v>
      </c>
      <c r="J4091" s="20" t="inlineStr">
        <is>
          <t>POPULAR VEHICLES</t>
        </is>
      </c>
      <c r="K4091" s="20" t="inlineStr">
        <is>
          <t>Non-Captive</t>
        </is>
      </c>
      <c r="L4091" s="20" t="inlineStr">
        <is>
          <t>Srijja Travels</t>
        </is>
      </c>
      <c r="M4091" s="23" t="n">
        <v>4237.29</v>
      </c>
      <c r="N4091" s="23" t="n">
        <v>5000</v>
      </c>
      <c r="O4091" s="24">
        <f>IF(AND(ISNUMBER(M4091), ISNUMBER(I4091), I4091&gt;0), M4091/I4091, "")</f>
        <v/>
      </c>
    </row>
    <row r="4092">
      <c r="A4092" s="19" t="inlineStr">
        <is>
          <t>FY27</t>
        </is>
      </c>
      <c r="B4092" s="19" t="inlineStr">
        <is>
          <t>Sep</t>
        </is>
      </c>
      <c r="C4092" s="19" t="inlineStr">
        <is>
          <t>TN</t>
        </is>
      </c>
      <c r="D4092" s="20" t="inlineStr">
        <is>
          <t>TN10AX7084</t>
        </is>
      </c>
      <c r="E4092" s="20" t="inlineStr">
        <is>
          <t>MARUTI SUZUKI</t>
        </is>
      </c>
      <c r="F4092" s="20" t="inlineStr">
        <is>
          <t>Baleno</t>
        </is>
      </c>
      <c r="G4092" s="21" t="n">
        <v>2016</v>
      </c>
      <c r="H4092" s="22" t="n">
        <v>56941</v>
      </c>
      <c r="I4092" s="23" t="n">
        <v>300000</v>
      </c>
      <c r="J4092" s="20" t="inlineStr">
        <is>
          <t>EXCHANGE CHENNAI</t>
        </is>
      </c>
      <c r="K4092" s="20" t="inlineStr">
        <is>
          <t>Captive</t>
        </is>
      </c>
      <c r="L4092" s="20" t="inlineStr"/>
      <c r="M4092" s="23" t="n">
        <v>8474.58</v>
      </c>
      <c r="N4092" s="23" t="n">
        <v>10000</v>
      </c>
      <c r="O4092" s="24">
        <f>IF(AND(ISNUMBER(M4092), ISNUMBER(I4092), I4092&gt;0), M4092/I4092, "")</f>
        <v/>
      </c>
    </row>
    <row r="4093">
      <c r="A4093" s="19" t="inlineStr">
        <is>
          <t>FY27</t>
        </is>
      </c>
      <c r="B4093" s="19" t="inlineStr">
        <is>
          <t>Sep</t>
        </is>
      </c>
      <c r="C4093" s="19" t="inlineStr">
        <is>
          <t>TN</t>
        </is>
      </c>
      <c r="D4093" s="20" t="inlineStr">
        <is>
          <t>TN10AZ0912</t>
        </is>
      </c>
      <c r="E4093" s="20" t="inlineStr">
        <is>
          <t>RENAULT</t>
        </is>
      </c>
      <c r="F4093" s="20" t="inlineStr">
        <is>
          <t>Kwid</t>
        </is>
      </c>
      <c r="G4093" s="21" t="n">
        <v>2017</v>
      </c>
      <c r="H4093" s="22" t="n">
        <v>59293</v>
      </c>
      <c r="I4093" s="23" t="n">
        <v>86000</v>
      </c>
      <c r="J4093" s="20" t="inlineStr">
        <is>
          <t>POPULAR VEHICLES</t>
        </is>
      </c>
      <c r="K4093" s="20" t="inlineStr">
        <is>
          <t>Non-Captive</t>
        </is>
      </c>
      <c r="L4093" s="20" t="inlineStr">
        <is>
          <t>Value Drive Tech</t>
        </is>
      </c>
      <c r="M4093" s="23" t="n">
        <v>4237.29</v>
      </c>
      <c r="N4093" s="23" t="n">
        <v>5000</v>
      </c>
      <c r="O4093" s="24">
        <f>IF(AND(ISNUMBER(M4093), ISNUMBER(I4093), I4093&gt;0), M4093/I4093, "")</f>
        <v/>
      </c>
    </row>
    <row r="4094">
      <c r="A4094" s="19" t="inlineStr">
        <is>
          <t>FY27</t>
        </is>
      </c>
      <c r="B4094" s="19" t="inlineStr">
        <is>
          <t>Sep</t>
        </is>
      </c>
      <c r="C4094" s="19" t="inlineStr">
        <is>
          <t>TN</t>
        </is>
      </c>
      <c r="D4094" s="20" t="inlineStr">
        <is>
          <t>TN10BA7749</t>
        </is>
      </c>
      <c r="E4094" s="20" t="inlineStr">
        <is>
          <t>MARUTI SUZUKI</t>
        </is>
      </c>
      <c r="F4094" s="20" t="inlineStr">
        <is>
          <t>Ignis</t>
        </is>
      </c>
      <c r="G4094" s="21" t="n">
        <v>2017</v>
      </c>
      <c r="H4094" s="22" t="n">
        <v>99999</v>
      </c>
      <c r="I4094" s="23" t="n">
        <v>368000</v>
      </c>
      <c r="J4094" s="20" t="inlineStr">
        <is>
          <t>POPULAR VEHICLES</t>
        </is>
      </c>
      <c r="K4094" s="20" t="inlineStr">
        <is>
          <t>Non-Captive</t>
        </is>
      </c>
      <c r="L4094" s="20" t="inlineStr">
        <is>
          <t>Tsm</t>
        </is>
      </c>
      <c r="M4094" s="23" t="n">
        <v>7627.17</v>
      </c>
      <c r="N4094" s="23" t="n">
        <v>9000.059999999999</v>
      </c>
      <c r="O4094" s="24">
        <f>IF(AND(ISNUMBER(M4094), ISNUMBER(I4094), I4094&gt;0), M4094/I4094, "")</f>
        <v/>
      </c>
    </row>
    <row r="4095">
      <c r="A4095" s="19" t="inlineStr">
        <is>
          <t>FY27</t>
        </is>
      </c>
      <c r="B4095" s="19" t="inlineStr">
        <is>
          <t>Sep</t>
        </is>
      </c>
      <c r="C4095" s="19" t="inlineStr">
        <is>
          <t>TN</t>
        </is>
      </c>
      <c r="D4095" s="20" t="inlineStr">
        <is>
          <t>TN10BB0343</t>
        </is>
      </c>
      <c r="E4095" s="20" t="inlineStr">
        <is>
          <t>MARUTI SUZUKI</t>
        </is>
      </c>
      <c r="F4095" s="20" t="inlineStr">
        <is>
          <t>Celerio</t>
        </is>
      </c>
      <c r="G4095" s="21" t="n"/>
      <c r="H4095" s="22" t="n"/>
      <c r="I4095" s="23" t="n">
        <v>275000</v>
      </c>
      <c r="J4095" s="20" t="inlineStr">
        <is>
          <t>CASTLE TRADERS MARUTI</t>
        </is>
      </c>
      <c r="K4095" s="20" t="inlineStr">
        <is>
          <t>Non-Captive</t>
        </is>
      </c>
      <c r="L4095" s="20" t="inlineStr">
        <is>
          <t>Cars24</t>
        </is>
      </c>
      <c r="M4095" s="23" t="n">
        <v>5084.75</v>
      </c>
      <c r="N4095" s="23" t="n">
        <v>6000</v>
      </c>
      <c r="O4095" s="24">
        <f>IF(AND(ISNUMBER(M4095), ISNUMBER(I4095), I4095&gt;0), M4095/I4095, "")</f>
        <v/>
      </c>
    </row>
    <row r="4096">
      <c r="A4096" s="19" t="inlineStr">
        <is>
          <t>FY27</t>
        </is>
      </c>
      <c r="B4096" s="19" t="inlineStr">
        <is>
          <t>Sep</t>
        </is>
      </c>
      <c r="C4096" s="19" t="inlineStr">
        <is>
          <t>TN</t>
        </is>
      </c>
      <c r="D4096" s="20" t="inlineStr">
        <is>
          <t>TN10BB9110</t>
        </is>
      </c>
      <c r="E4096" s="20" t="inlineStr">
        <is>
          <t>MARUTI SUZUKI</t>
        </is>
      </c>
      <c r="F4096" s="20" t="inlineStr">
        <is>
          <t>Alto K10</t>
        </is>
      </c>
      <c r="G4096" s="21" t="n">
        <v>2018</v>
      </c>
      <c r="H4096" s="22" t="n">
        <v>67485</v>
      </c>
      <c r="I4096" s="23" t="n">
        <v>250000</v>
      </c>
      <c r="J4096" s="20" t="inlineStr">
        <is>
          <t>EXCHANGE CHENNAI</t>
        </is>
      </c>
      <c r="K4096" s="20" t="inlineStr">
        <is>
          <t>Captive</t>
        </is>
      </c>
      <c r="L4096" s="20" t="inlineStr"/>
      <c r="M4096" s="23" t="n">
        <v>8474.58</v>
      </c>
      <c r="N4096" s="23" t="n">
        <v>10000</v>
      </c>
      <c r="O4096" s="24">
        <f>IF(AND(ISNUMBER(M4096), ISNUMBER(I4096), I4096&gt;0), M4096/I4096, "")</f>
        <v/>
      </c>
    </row>
    <row r="4097">
      <c r="A4097" s="19" t="inlineStr">
        <is>
          <t>FY27</t>
        </is>
      </c>
      <c r="B4097" s="19" t="inlineStr">
        <is>
          <t>Sep</t>
        </is>
      </c>
      <c r="C4097" s="19" t="inlineStr">
        <is>
          <t>TN</t>
        </is>
      </c>
      <c r="D4097" s="20" t="inlineStr">
        <is>
          <t>TN10BE6310</t>
        </is>
      </c>
      <c r="E4097" s="20" t="inlineStr">
        <is>
          <t>RENAULT</t>
        </is>
      </c>
      <c r="F4097" s="20" t="inlineStr">
        <is>
          <t>Kwid</t>
        </is>
      </c>
      <c r="G4097" s="21" t="n">
        <v>2018</v>
      </c>
      <c r="H4097" s="22" t="n">
        <v>15993</v>
      </c>
      <c r="I4097" s="23" t="n">
        <v>300000</v>
      </c>
      <c r="J4097" s="20" t="inlineStr">
        <is>
          <t>EXCHANGE CHENNAI</t>
        </is>
      </c>
      <c r="K4097" s="20" t="inlineStr">
        <is>
          <t>Captive</t>
        </is>
      </c>
      <c r="L4097" s="20" t="inlineStr">
        <is>
          <t>Santhosh Cars</t>
        </is>
      </c>
      <c r="M4097" s="23" t="n">
        <v>8474.58</v>
      </c>
      <c r="N4097" s="23" t="n">
        <v>10000</v>
      </c>
      <c r="O4097" s="24">
        <f>IF(AND(ISNUMBER(M4097), ISNUMBER(I4097), I4097&gt;0), M4097/I4097, "")</f>
        <v/>
      </c>
    </row>
    <row r="4098">
      <c r="A4098" s="19" t="inlineStr">
        <is>
          <t>FY27</t>
        </is>
      </c>
      <c r="B4098" s="19" t="inlineStr">
        <is>
          <t>Sep</t>
        </is>
      </c>
      <c r="C4098" s="19" t="inlineStr">
        <is>
          <t>TN</t>
        </is>
      </c>
      <c r="D4098" s="20" t="inlineStr">
        <is>
          <t>TN10T4505</t>
        </is>
      </c>
      <c r="E4098" s="20" t="inlineStr">
        <is>
          <t>FORD</t>
        </is>
      </c>
      <c r="F4098" s="20" t="inlineStr">
        <is>
          <t>Fiesta</t>
        </is>
      </c>
      <c r="G4098" s="21" t="n">
        <v>2007</v>
      </c>
      <c r="H4098" s="22" t="n">
        <v>150000</v>
      </c>
      <c r="I4098" s="23" t="n">
        <v>97000</v>
      </c>
      <c r="J4098" s="20" t="inlineStr">
        <is>
          <t>VISHNU CARS PRIVATE LIMITED</t>
        </is>
      </c>
      <c r="K4098" s="20" t="inlineStr">
        <is>
          <t>Non-Captive</t>
        </is>
      </c>
      <c r="L4098" s="20" t="inlineStr">
        <is>
          <t>Santhosh Cars</t>
        </is>
      </c>
      <c r="M4098" s="23" t="n">
        <v>4237.29</v>
      </c>
      <c r="N4098" s="23" t="n">
        <v>5000</v>
      </c>
      <c r="O4098" s="24">
        <f>IF(AND(ISNUMBER(M4098), ISNUMBER(I4098), I4098&gt;0), M4098/I4098, "")</f>
        <v/>
      </c>
    </row>
    <row r="4099">
      <c r="A4099" s="19" t="inlineStr">
        <is>
          <t>FY27</t>
        </is>
      </c>
      <c r="B4099" s="19" t="inlineStr">
        <is>
          <t>Sep</t>
        </is>
      </c>
      <c r="C4099" s="19" t="inlineStr">
        <is>
          <t>TN</t>
        </is>
      </c>
      <c r="D4099" s="20" t="inlineStr">
        <is>
          <t>TN10Z2221</t>
        </is>
      </c>
      <c r="E4099" s="20" t="inlineStr">
        <is>
          <t>MARUTI SUZUKI</t>
        </is>
      </c>
      <c r="F4099" s="20" t="inlineStr">
        <is>
          <t>Swift</t>
        </is>
      </c>
      <c r="G4099" s="21" t="n">
        <v>2010</v>
      </c>
      <c r="H4099" s="22" t="n">
        <v>143870</v>
      </c>
      <c r="I4099" s="23" t="n">
        <v>88000</v>
      </c>
      <c r="J4099" s="20" t="inlineStr">
        <is>
          <t>EXCHANGE ROTN</t>
        </is>
      </c>
      <c r="K4099" s="20" t="inlineStr">
        <is>
          <t>Captive</t>
        </is>
      </c>
      <c r="L4099" s="20" t="inlineStr">
        <is>
          <t>Sai Cars</t>
        </is>
      </c>
      <c r="M4099" s="23" t="n">
        <v>4237.29</v>
      </c>
      <c r="N4099" s="23" t="n">
        <v>5000</v>
      </c>
      <c r="O4099" s="24">
        <f>IF(AND(ISNUMBER(M4099), ISNUMBER(I4099), I4099&gt;0), M4099/I4099, "")</f>
        <v/>
      </c>
    </row>
    <row r="4100">
      <c r="A4100" s="19" t="inlineStr">
        <is>
          <t>FY27</t>
        </is>
      </c>
      <c r="B4100" s="19" t="inlineStr">
        <is>
          <t>Sep</t>
        </is>
      </c>
      <c r="C4100" s="19" t="inlineStr">
        <is>
          <t>TN</t>
        </is>
      </c>
      <c r="D4100" s="20" t="inlineStr">
        <is>
          <t>TN10Z9995</t>
        </is>
      </c>
      <c r="E4100" s="20" t="inlineStr">
        <is>
          <t>HYUNDAI</t>
        </is>
      </c>
      <c r="F4100" s="20" t="inlineStr">
        <is>
          <t>i20</t>
        </is>
      </c>
      <c r="G4100" s="21" t="n">
        <v>2010</v>
      </c>
      <c r="H4100" s="22" t="n">
        <v>93840</v>
      </c>
      <c r="I4100" s="23" t="n">
        <v>94000</v>
      </c>
      <c r="J4100" s="20" t="inlineStr">
        <is>
          <t>PRODUCTIVITY ELEMENTS PRIVATE LIMITED</t>
        </is>
      </c>
      <c r="K4100" s="20" t="inlineStr">
        <is>
          <t>Non-Captive</t>
        </is>
      </c>
      <c r="L4100" s="20" t="inlineStr">
        <is>
          <t>Pine Autos</t>
        </is>
      </c>
      <c r="M4100" s="23" t="n">
        <v>4237.29</v>
      </c>
      <c r="N4100" s="23" t="n">
        <v>5000</v>
      </c>
      <c r="O4100" s="24">
        <f>IF(AND(ISNUMBER(M4100), ISNUMBER(I4100), I4100&gt;0), M4100/I4100, "")</f>
        <v/>
      </c>
    </row>
    <row r="4101">
      <c r="A4101" s="19" t="inlineStr">
        <is>
          <t>FY27</t>
        </is>
      </c>
      <c r="B4101" s="19" t="inlineStr">
        <is>
          <t>Sep</t>
        </is>
      </c>
      <c r="C4101" s="19" t="inlineStr">
        <is>
          <t>TN</t>
        </is>
      </c>
      <c r="D4101" s="20" t="inlineStr">
        <is>
          <t>TN112014</t>
        </is>
      </c>
      <c r="E4101" s="20" t="inlineStr">
        <is>
          <t>MAHINDRA</t>
        </is>
      </c>
      <c r="F4101" s="20" t="inlineStr">
        <is>
          <t>Verito</t>
        </is>
      </c>
      <c r="G4101" s="21" t="n">
        <v>2012</v>
      </c>
      <c r="H4101" s="22" t="n">
        <v>76149</v>
      </c>
      <c r="I4101" s="23" t="n">
        <v>89000</v>
      </c>
      <c r="J4101" s="20" t="inlineStr">
        <is>
          <t>AIE CARS PRIVATE LIMITED</t>
        </is>
      </c>
      <c r="K4101" s="20" t="inlineStr">
        <is>
          <t>Non-Captive</t>
        </is>
      </c>
      <c r="L4101" s="20" t="inlineStr">
        <is>
          <t>VS Enterprises</t>
        </is>
      </c>
      <c r="M4101" s="23" t="n">
        <v>4237.29</v>
      </c>
      <c r="N4101" s="23" t="n">
        <v>5000</v>
      </c>
      <c r="O4101" s="24">
        <f>IF(AND(ISNUMBER(M4101), ISNUMBER(I4101), I4101&gt;0), M4101/I4101, "")</f>
        <v/>
      </c>
    </row>
    <row r="4102">
      <c r="A4102" s="19" t="inlineStr">
        <is>
          <t>FY27</t>
        </is>
      </c>
      <c r="B4102" s="19" t="inlineStr">
        <is>
          <t>Sep</t>
        </is>
      </c>
      <c r="C4102" s="19" t="inlineStr">
        <is>
          <t>TN</t>
        </is>
      </c>
      <c r="D4102" s="20" t="inlineStr">
        <is>
          <t>TN11AH2644</t>
        </is>
      </c>
      <c r="E4102" s="20" t="inlineStr">
        <is>
          <t>TATA</t>
        </is>
      </c>
      <c r="F4102" s="20" t="inlineStr">
        <is>
          <t>Zest</t>
        </is>
      </c>
      <c r="G4102" s="21" t="n">
        <v>2018</v>
      </c>
      <c r="H4102" s="22" t="n">
        <v>148876</v>
      </c>
      <c r="I4102" s="23" t="n">
        <v>95000</v>
      </c>
      <c r="J4102" s="20" t="inlineStr">
        <is>
          <t>EXCHANGE ROTN</t>
        </is>
      </c>
      <c r="K4102" s="20" t="inlineStr">
        <is>
          <t>Captive</t>
        </is>
      </c>
      <c r="L4102" s="20" t="inlineStr">
        <is>
          <t>Sai Cars</t>
        </is>
      </c>
      <c r="M4102" s="23" t="n">
        <v>4237.29</v>
      </c>
      <c r="N4102" s="23" t="n">
        <v>5000</v>
      </c>
      <c r="O4102" s="24">
        <f>IF(AND(ISNUMBER(M4102), ISNUMBER(I4102), I4102&gt;0), M4102/I4102, "")</f>
        <v/>
      </c>
    </row>
    <row r="4103">
      <c r="A4103" s="19" t="inlineStr">
        <is>
          <t>FY27</t>
        </is>
      </c>
      <c r="B4103" s="19" t="inlineStr">
        <is>
          <t>Sep</t>
        </is>
      </c>
      <c r="C4103" s="19" t="inlineStr">
        <is>
          <t>TN</t>
        </is>
      </c>
      <c r="D4103" s="20" t="inlineStr">
        <is>
          <t>TN11AL1255</t>
        </is>
      </c>
      <c r="E4103" s="20" t="inlineStr">
        <is>
          <t>MARUTI SUZUKI</t>
        </is>
      </c>
      <c r="F4103" s="20" t="inlineStr">
        <is>
          <t>Swift</t>
        </is>
      </c>
      <c r="G4103" s="21" t="n">
        <v>2019</v>
      </c>
      <c r="H4103" s="22" t="n">
        <v>146750</v>
      </c>
      <c r="I4103" s="23" t="n">
        <v>97000</v>
      </c>
      <c r="J4103" s="20" t="inlineStr">
        <is>
          <t>VISHNU CARS PRIVATE LIMITED</t>
        </is>
      </c>
      <c r="K4103" s="20" t="inlineStr">
        <is>
          <t>Non-Captive</t>
        </is>
      </c>
      <c r="L4103" s="20" t="inlineStr">
        <is>
          <t>Pine Autos</t>
        </is>
      </c>
      <c r="M4103" s="23" t="n">
        <v>4237.29</v>
      </c>
      <c r="N4103" s="23" t="n">
        <v>5000</v>
      </c>
      <c r="O4103" s="24">
        <f>IF(AND(ISNUMBER(M4103), ISNUMBER(I4103), I4103&gt;0), M4103/I4103, "")</f>
        <v/>
      </c>
    </row>
    <row r="4104">
      <c r="A4104" s="19" t="inlineStr">
        <is>
          <t>FY27</t>
        </is>
      </c>
      <c r="B4104" s="19" t="inlineStr">
        <is>
          <t>Sep</t>
        </is>
      </c>
      <c r="C4104" s="19" t="inlineStr">
        <is>
          <t>TN</t>
        </is>
      </c>
      <c r="D4104" s="20" t="inlineStr">
        <is>
          <t>TN11AV8028</t>
        </is>
      </c>
      <c r="E4104" s="20" t="inlineStr">
        <is>
          <t>HYUNDAI</t>
        </is>
      </c>
      <c r="F4104" s="20" t="inlineStr">
        <is>
          <t>Venue</t>
        </is>
      </c>
      <c r="G4104" s="21" t="n">
        <v>2021</v>
      </c>
      <c r="H4104" s="22" t="n">
        <v>86675</v>
      </c>
      <c r="I4104" s="23" t="n">
        <v>600000</v>
      </c>
      <c r="J4104" s="20" t="inlineStr">
        <is>
          <t>EXCHANGE CHENNAI</t>
        </is>
      </c>
      <c r="K4104" s="20" t="inlineStr">
        <is>
          <t>Captive</t>
        </is>
      </c>
      <c r="L4104" s="20" t="inlineStr"/>
      <c r="M4104" s="23" t="n">
        <v>8474.58</v>
      </c>
      <c r="N4104" s="23" t="n">
        <v>10000</v>
      </c>
      <c r="O4104" s="24">
        <f>IF(AND(ISNUMBER(M4104), ISNUMBER(I4104), I4104&gt;0), M4104/I4104, "")</f>
        <v/>
      </c>
    </row>
    <row r="4105">
      <c r="A4105" s="19" t="inlineStr">
        <is>
          <t>FY27</t>
        </is>
      </c>
      <c r="B4105" s="19" t="inlineStr">
        <is>
          <t>Sep</t>
        </is>
      </c>
      <c r="C4105" s="19" t="inlineStr">
        <is>
          <t>TN</t>
        </is>
      </c>
      <c r="D4105" s="20" t="inlineStr">
        <is>
          <t>TN11J2794</t>
        </is>
      </c>
      <c r="E4105" s="20" t="inlineStr">
        <is>
          <t>MARUTI SUZUKI</t>
        </is>
      </c>
      <c r="F4105" s="20" t="inlineStr">
        <is>
          <t>Dzire</t>
        </is>
      </c>
      <c r="G4105" s="21" t="n">
        <v>2014</v>
      </c>
      <c r="H4105" s="22" t="n"/>
      <c r="I4105" s="23" t="n">
        <v>186000</v>
      </c>
      <c r="J4105" s="20" t="inlineStr">
        <is>
          <t>RAJALAKSHMI CARS</t>
        </is>
      </c>
      <c r="K4105" s="20" t="inlineStr">
        <is>
          <t>Non-Captive</t>
        </is>
      </c>
      <c r="L4105" s="20" t="inlineStr">
        <is>
          <t>Ram Manohar</t>
        </is>
      </c>
      <c r="M4105" s="23" t="n">
        <v>2542.37</v>
      </c>
      <c r="N4105" s="23" t="n">
        <v>3000</v>
      </c>
      <c r="O4105" s="24">
        <f>IF(AND(ISNUMBER(M4105), ISNUMBER(I4105), I4105&gt;0), M4105/I4105, "")</f>
        <v/>
      </c>
    </row>
    <row r="4106">
      <c r="A4106" s="19" t="inlineStr">
        <is>
          <t>FY27</t>
        </is>
      </c>
      <c r="B4106" s="19" t="inlineStr">
        <is>
          <t>Sep</t>
        </is>
      </c>
      <c r="C4106" s="19" t="inlineStr">
        <is>
          <t>TN</t>
        </is>
      </c>
      <c r="D4106" s="20" t="inlineStr">
        <is>
          <t>TN11X7918</t>
        </is>
      </c>
      <c r="E4106" s="20" t="inlineStr">
        <is>
          <t>MARUTI SUZUKI</t>
        </is>
      </c>
      <c r="F4106" s="20" t="inlineStr">
        <is>
          <t>Alto 800</t>
        </is>
      </c>
      <c r="G4106" s="21" t="n">
        <v>2013</v>
      </c>
      <c r="H4106" s="22" t="n">
        <v>71492</v>
      </c>
      <c r="I4106" s="23" t="n">
        <v>150000</v>
      </c>
      <c r="J4106" s="20" t="inlineStr">
        <is>
          <t>CASTLE TRADERS MARUTI</t>
        </is>
      </c>
      <c r="K4106" s="20" t="inlineStr">
        <is>
          <t>Non-Captive</t>
        </is>
      </c>
      <c r="L4106" s="20" t="inlineStr">
        <is>
          <t>Trust On Wheels</t>
        </is>
      </c>
      <c r="M4106" s="23" t="n">
        <v>5084.75</v>
      </c>
      <c r="N4106" s="23" t="n">
        <v>6000</v>
      </c>
      <c r="O4106" s="24">
        <f>IF(AND(ISNUMBER(M4106), ISNUMBER(I4106), I4106&gt;0), M4106/I4106, "")</f>
        <v/>
      </c>
    </row>
    <row r="4107">
      <c r="A4107" s="19" t="inlineStr">
        <is>
          <t>FY27</t>
        </is>
      </c>
      <c r="B4107" s="19" t="inlineStr">
        <is>
          <t>Sep</t>
        </is>
      </c>
      <c r="C4107" s="19" t="inlineStr">
        <is>
          <t>TN</t>
        </is>
      </c>
      <c r="D4107" s="20" t="inlineStr">
        <is>
          <t>TN12AF4001</t>
        </is>
      </c>
      <c r="E4107" s="20" t="inlineStr">
        <is>
          <t>MARUTI SUZUKI</t>
        </is>
      </c>
      <c r="F4107" s="20" t="inlineStr">
        <is>
          <t>Celerio</t>
        </is>
      </c>
      <c r="G4107" s="21" t="n">
        <v>2019</v>
      </c>
      <c r="H4107" s="22" t="n">
        <v>38226</v>
      </c>
      <c r="I4107" s="23" t="n">
        <v>304500</v>
      </c>
      <c r="J4107" s="20" t="inlineStr">
        <is>
          <t>CASTLE TRADERS MARUTI</t>
        </is>
      </c>
      <c r="K4107" s="20" t="inlineStr">
        <is>
          <t>Non-Captive</t>
        </is>
      </c>
      <c r="L4107" s="20" t="inlineStr">
        <is>
          <t>Cars24</t>
        </is>
      </c>
      <c r="M4107" s="23" t="n">
        <v>6355.93</v>
      </c>
      <c r="N4107" s="23" t="n">
        <v>7500</v>
      </c>
      <c r="O4107" s="24">
        <f>IF(AND(ISNUMBER(M4107), ISNUMBER(I4107), I4107&gt;0), M4107/I4107, "")</f>
        <v/>
      </c>
    </row>
    <row r="4108">
      <c r="A4108" s="19" t="inlineStr">
        <is>
          <t>FY27</t>
        </is>
      </c>
      <c r="B4108" s="19" t="inlineStr">
        <is>
          <t>Sep</t>
        </is>
      </c>
      <c r="C4108" s="19" t="inlineStr">
        <is>
          <t>TN</t>
        </is>
      </c>
      <c r="D4108" s="20" t="inlineStr">
        <is>
          <t>TN12AQ2584</t>
        </is>
      </c>
      <c r="E4108" s="20" t="inlineStr">
        <is>
          <t>MARUTI SUZUKI</t>
        </is>
      </c>
      <c r="F4108" s="20" t="inlineStr">
        <is>
          <t>Wagon R</t>
        </is>
      </c>
      <c r="G4108" s="21" t="n">
        <v>2021</v>
      </c>
      <c r="H4108" s="22" t="n">
        <v>73905</v>
      </c>
      <c r="I4108" s="23" t="n">
        <v>406000</v>
      </c>
      <c r="J4108" s="20" t="inlineStr">
        <is>
          <t>CASTLE TRADERS MARUTI</t>
        </is>
      </c>
      <c r="K4108" s="20" t="inlineStr">
        <is>
          <t>Non-Captive</t>
        </is>
      </c>
      <c r="L4108" s="20" t="inlineStr">
        <is>
          <t>Lanson Qcars Private Limited</t>
        </is>
      </c>
      <c r="M4108" s="23" t="n">
        <v>7627.12</v>
      </c>
      <c r="N4108" s="23" t="n">
        <v>9000</v>
      </c>
      <c r="O4108" s="24">
        <f>IF(AND(ISNUMBER(M4108), ISNUMBER(I4108), I4108&gt;0), M4108/I4108, "")</f>
        <v/>
      </c>
    </row>
    <row r="4109">
      <c r="A4109" s="19" t="inlineStr">
        <is>
          <t>FY27</t>
        </is>
      </c>
      <c r="B4109" s="19" t="inlineStr">
        <is>
          <t>Sep</t>
        </is>
      </c>
      <c r="C4109" s="19" t="inlineStr">
        <is>
          <t>TN</t>
        </is>
      </c>
      <c r="D4109" s="20" t="inlineStr">
        <is>
          <t>TN12BC7311</t>
        </is>
      </c>
      <c r="E4109" s="20" t="inlineStr">
        <is>
          <t>MARUTI SUZUKI</t>
        </is>
      </c>
      <c r="F4109" s="20" t="inlineStr">
        <is>
          <t>Grand Vitara</t>
        </is>
      </c>
      <c r="G4109" s="21" t="n"/>
      <c r="H4109" s="22" t="n"/>
      <c r="I4109" s="23" t="n">
        <v>870000</v>
      </c>
      <c r="J4109" s="20" t="inlineStr">
        <is>
          <t>CASTLE TRADERS MARUTI</t>
        </is>
      </c>
      <c r="K4109" s="20" t="inlineStr">
        <is>
          <t>Non-Captive</t>
        </is>
      </c>
      <c r="L4109" s="20" t="inlineStr">
        <is>
          <t>Best Cars</t>
        </is>
      </c>
      <c r="M4109" s="23" t="n">
        <v>8474.58</v>
      </c>
      <c r="N4109" s="23" t="n">
        <v>10000</v>
      </c>
      <c r="O4109" s="24">
        <f>IF(AND(ISNUMBER(M4109), ISNUMBER(I4109), I4109&gt;0), M4109/I4109, "")</f>
        <v/>
      </c>
    </row>
    <row r="4110">
      <c r="A4110" s="19" t="inlineStr">
        <is>
          <t>FY27</t>
        </is>
      </c>
      <c r="B4110" s="19" t="inlineStr">
        <is>
          <t>Sep</t>
        </is>
      </c>
      <c r="C4110" s="19" t="inlineStr">
        <is>
          <t>TN</t>
        </is>
      </c>
      <c r="D4110" s="20" t="inlineStr">
        <is>
          <t>TN12BH8022</t>
        </is>
      </c>
      <c r="E4110" s="20" t="inlineStr">
        <is>
          <t>MARUTI SUZUKI</t>
        </is>
      </c>
      <c r="F4110" s="20" t="inlineStr">
        <is>
          <t>Eeco</t>
        </is>
      </c>
      <c r="G4110" s="21" t="n">
        <v>2024</v>
      </c>
      <c r="H4110" s="22" t="n">
        <v>9475</v>
      </c>
      <c r="I4110" s="23" t="n">
        <v>476000</v>
      </c>
      <c r="J4110" s="20" t="inlineStr">
        <is>
          <t>CASTLE TRADERS MARUTI</t>
        </is>
      </c>
      <c r="K4110" s="20" t="inlineStr">
        <is>
          <t>Non-Captive</t>
        </is>
      </c>
      <c r="L4110" s="20" t="inlineStr">
        <is>
          <t>Kamal Cars</t>
        </is>
      </c>
      <c r="M4110" s="23" t="n">
        <v>7627.42</v>
      </c>
      <c r="N4110" s="23" t="n">
        <v>9000.360000000001</v>
      </c>
      <c r="O4110" s="24">
        <f>IF(AND(ISNUMBER(M4110), ISNUMBER(I4110), I4110&gt;0), M4110/I4110, "")</f>
        <v/>
      </c>
    </row>
    <row r="4111">
      <c r="A4111" s="19" t="inlineStr">
        <is>
          <t>FY27</t>
        </is>
      </c>
      <c r="B4111" s="19" t="inlineStr">
        <is>
          <t>Sep</t>
        </is>
      </c>
      <c r="C4111" s="19" t="inlineStr">
        <is>
          <t>TN</t>
        </is>
      </c>
      <c r="D4111" s="20" t="inlineStr">
        <is>
          <t>TN12D3215</t>
        </is>
      </c>
      <c r="E4111" s="20" t="inlineStr">
        <is>
          <t>MARUTI SUZUKI</t>
        </is>
      </c>
      <c r="F4111" s="20" t="inlineStr">
        <is>
          <t>Wagon R</t>
        </is>
      </c>
      <c r="G4111" s="21" t="n">
        <v>2014</v>
      </c>
      <c r="H4111" s="22" t="n">
        <v>125324</v>
      </c>
      <c r="I4111" s="23" t="n">
        <v>169000</v>
      </c>
      <c r="J4111" s="20" t="inlineStr">
        <is>
          <t>CASTLE TRADERS MARUTI</t>
        </is>
      </c>
      <c r="K4111" s="20" t="inlineStr">
        <is>
          <t>Non-Captive</t>
        </is>
      </c>
      <c r="L4111" s="20" t="inlineStr">
        <is>
          <t>Aasim Motors</t>
        </is>
      </c>
      <c r="M4111" s="23" t="n">
        <v>5084.75</v>
      </c>
      <c r="N4111" s="23" t="n">
        <v>6000</v>
      </c>
      <c r="O4111" s="24">
        <f>IF(AND(ISNUMBER(M4111), ISNUMBER(I4111), I4111&gt;0), M4111/I4111, "")</f>
        <v/>
      </c>
    </row>
    <row r="4112">
      <c r="A4112" s="19" t="inlineStr">
        <is>
          <t>FY27</t>
        </is>
      </c>
      <c r="B4112" s="19" t="inlineStr">
        <is>
          <t>Sep</t>
        </is>
      </c>
      <c r="C4112" s="19" t="inlineStr">
        <is>
          <t>TN</t>
        </is>
      </c>
      <c r="D4112" s="20" t="inlineStr">
        <is>
          <t>TN12H1875</t>
        </is>
      </c>
      <c r="E4112" s="20" t="inlineStr">
        <is>
          <t>MARUTI SUZUKI</t>
        </is>
      </c>
      <c r="F4112" s="20" t="inlineStr">
        <is>
          <t>Alto 800</t>
        </is>
      </c>
      <c r="G4112" s="21" t="n">
        <v>2014</v>
      </c>
      <c r="H4112" s="22" t="n">
        <v>48684</v>
      </c>
      <c r="I4112" s="23" t="n">
        <v>95000</v>
      </c>
      <c r="J4112" s="20" t="inlineStr">
        <is>
          <t>RAJALAKSHMI CARS</t>
        </is>
      </c>
      <c r="K4112" s="20" t="inlineStr">
        <is>
          <t>Non-Captive</t>
        </is>
      </c>
      <c r="L4112" s="20" t="inlineStr">
        <is>
          <t>Pine Autos</t>
        </is>
      </c>
      <c r="M4112" s="23" t="n">
        <v>4237.29</v>
      </c>
      <c r="N4112" s="23" t="n">
        <v>5000</v>
      </c>
      <c r="O4112" s="24">
        <f>IF(AND(ISNUMBER(M4112), ISNUMBER(I4112), I4112&gt;0), M4112/I4112, "")</f>
        <v/>
      </c>
    </row>
    <row r="4113">
      <c r="A4113" s="19" t="inlineStr">
        <is>
          <t>FY27</t>
        </is>
      </c>
      <c r="B4113" s="19" t="inlineStr">
        <is>
          <t>Sep</t>
        </is>
      </c>
      <c r="C4113" s="19" t="inlineStr">
        <is>
          <t>TN</t>
        </is>
      </c>
      <c r="D4113" s="20" t="inlineStr">
        <is>
          <t>TN12U3291</t>
        </is>
      </c>
      <c r="E4113" s="20" t="inlineStr">
        <is>
          <t>MARUTI SUZUKI</t>
        </is>
      </c>
      <c r="F4113" s="20" t="inlineStr">
        <is>
          <t>Baleno</t>
        </is>
      </c>
      <c r="G4113" s="21" t="n">
        <v>2017</v>
      </c>
      <c r="H4113" s="22" t="n">
        <v>38784</v>
      </c>
      <c r="I4113" s="23" t="n">
        <v>451000</v>
      </c>
      <c r="J4113" s="20" t="inlineStr">
        <is>
          <t>CASTLE TRADERS MARUTI</t>
        </is>
      </c>
      <c r="K4113" s="20" t="inlineStr">
        <is>
          <t>Non-Captive</t>
        </is>
      </c>
      <c r="L4113" s="20" t="inlineStr">
        <is>
          <t>Cars24</t>
        </is>
      </c>
      <c r="M4113" s="23" t="n">
        <v>7627.12</v>
      </c>
      <c r="N4113" s="23" t="n">
        <v>9000</v>
      </c>
      <c r="O4113" s="24">
        <f>IF(AND(ISNUMBER(M4113), ISNUMBER(I4113), I4113&gt;0), M4113/I4113, "")</f>
        <v/>
      </c>
    </row>
    <row r="4114">
      <c r="A4114" s="19" t="inlineStr">
        <is>
          <t>FY27</t>
        </is>
      </c>
      <c r="B4114" s="19" t="inlineStr">
        <is>
          <t>Sep</t>
        </is>
      </c>
      <c r="C4114" s="19" t="inlineStr">
        <is>
          <t>TN</t>
        </is>
      </c>
      <c r="D4114" s="20" t="inlineStr">
        <is>
          <t>TN131125</t>
        </is>
      </c>
      <c r="E4114" s="20" t="inlineStr">
        <is>
          <t>MARUTI SUZUKI</t>
        </is>
      </c>
      <c r="F4114" s="20" t="inlineStr">
        <is>
          <t>Alto 800</t>
        </is>
      </c>
      <c r="G4114" s="21" t="n">
        <v>2014</v>
      </c>
      <c r="H4114" s="22" t="n">
        <v>39290</v>
      </c>
      <c r="I4114" s="23" t="n">
        <v>167000</v>
      </c>
      <c r="J4114" s="20" t="inlineStr">
        <is>
          <t>CASTLE TRADERS MARUTI</t>
        </is>
      </c>
      <c r="K4114" s="20" t="inlineStr">
        <is>
          <t>Non-Captive</t>
        </is>
      </c>
      <c r="L4114" s="20" t="inlineStr">
        <is>
          <t>As Cars</t>
        </is>
      </c>
      <c r="M4114" s="23" t="n">
        <v>5084.75</v>
      </c>
      <c r="N4114" s="23" t="n">
        <v>6000</v>
      </c>
      <c r="O4114" s="24">
        <f>IF(AND(ISNUMBER(M4114), ISNUMBER(I4114), I4114&gt;0), M4114/I4114, "")</f>
        <v/>
      </c>
    </row>
    <row r="4115">
      <c r="A4115" s="19" t="inlineStr">
        <is>
          <t>FY27</t>
        </is>
      </c>
      <c r="B4115" s="19" t="inlineStr">
        <is>
          <t>Sep</t>
        </is>
      </c>
      <c r="C4115" s="19" t="inlineStr">
        <is>
          <t>TN</t>
        </is>
      </c>
      <c r="D4115" s="20" t="inlineStr">
        <is>
          <t>TN132101</t>
        </is>
      </c>
      <c r="E4115" s="20" t="inlineStr">
        <is>
          <t>FORD</t>
        </is>
      </c>
      <c r="F4115" s="20" t="inlineStr">
        <is>
          <t>Figo</t>
        </is>
      </c>
      <c r="G4115" s="21" t="n">
        <v>2013</v>
      </c>
      <c r="H4115" s="22" t="n">
        <v>90490</v>
      </c>
      <c r="I4115" s="23" t="n">
        <v>97000</v>
      </c>
      <c r="J4115" s="20" t="inlineStr">
        <is>
          <t>CASTLE TRADERS MARUTI</t>
        </is>
      </c>
      <c r="K4115" s="20" t="inlineStr">
        <is>
          <t>Non-Captive</t>
        </is>
      </c>
      <c r="L4115" s="20" t="inlineStr">
        <is>
          <t>Maruthi Industries</t>
        </is>
      </c>
      <c r="M4115" s="23" t="n">
        <v>4237.29</v>
      </c>
      <c r="N4115" s="23" t="n">
        <v>5000</v>
      </c>
      <c r="O4115" s="24">
        <f>IF(AND(ISNUMBER(M4115), ISNUMBER(I4115), I4115&gt;0), M4115/I4115, "")</f>
        <v/>
      </c>
    </row>
    <row r="4116">
      <c r="A4116" s="19" t="inlineStr">
        <is>
          <t>FY27</t>
        </is>
      </c>
      <c r="B4116" s="19" t="inlineStr">
        <is>
          <t>Sep</t>
        </is>
      </c>
      <c r="C4116" s="19" t="inlineStr">
        <is>
          <t>TN</t>
        </is>
      </c>
      <c r="D4116" s="20" t="inlineStr">
        <is>
          <t>TN13B5171</t>
        </is>
      </c>
      <c r="E4116" s="20" t="inlineStr">
        <is>
          <t>HONDA</t>
        </is>
      </c>
      <c r="F4116" s="20" t="inlineStr">
        <is>
          <t>Amaze</t>
        </is>
      </c>
      <c r="G4116" s="21" t="n">
        <v>2015</v>
      </c>
      <c r="H4116" s="22" t="n">
        <v>76934</v>
      </c>
      <c r="I4116" s="23" t="n">
        <v>92000</v>
      </c>
      <c r="J4116" s="20" t="inlineStr">
        <is>
          <t>CRESCO CARS</t>
        </is>
      </c>
      <c r="K4116" s="20" t="inlineStr">
        <is>
          <t>Non-Captive</t>
        </is>
      </c>
      <c r="L4116" s="20" t="inlineStr">
        <is>
          <t>Car Hub</t>
        </is>
      </c>
      <c r="M4116" s="23" t="n">
        <v>4237.29</v>
      </c>
      <c r="N4116" s="23" t="n">
        <v>5000</v>
      </c>
      <c r="O4116" s="24">
        <f>IF(AND(ISNUMBER(M4116), ISNUMBER(I4116), I4116&gt;0), M4116/I4116, "")</f>
        <v/>
      </c>
    </row>
    <row r="4117">
      <c r="A4117" s="19" t="inlineStr">
        <is>
          <t>FY27</t>
        </is>
      </c>
      <c r="B4117" s="19" t="inlineStr">
        <is>
          <t>Sep</t>
        </is>
      </c>
      <c r="C4117" s="19" t="inlineStr">
        <is>
          <t>TN</t>
        </is>
      </c>
      <c r="D4117" s="20" t="inlineStr">
        <is>
          <t>TN13P7926</t>
        </is>
      </c>
      <c r="E4117" s="20" t="inlineStr">
        <is>
          <t>MARUTI SUZUKI</t>
        </is>
      </c>
      <c r="F4117" s="20" t="inlineStr">
        <is>
          <t>Dzire</t>
        </is>
      </c>
      <c r="G4117" s="21" t="n">
        <v>2018</v>
      </c>
      <c r="H4117" s="22" t="n">
        <v>118052</v>
      </c>
      <c r="I4117" s="23" t="n">
        <v>322500</v>
      </c>
      <c r="J4117" s="20" t="inlineStr">
        <is>
          <t>CASTLE TRADERS MARUTI</t>
        </is>
      </c>
      <c r="K4117" s="20" t="inlineStr">
        <is>
          <t>Non-Captive</t>
        </is>
      </c>
      <c r="L4117" s="20" t="inlineStr">
        <is>
          <t>Aasim Motors</t>
        </is>
      </c>
      <c r="M4117" s="23" t="n">
        <v>6355.93</v>
      </c>
      <c r="N4117" s="23" t="n">
        <v>7500</v>
      </c>
      <c r="O4117" s="24">
        <f>IF(AND(ISNUMBER(M4117), ISNUMBER(I4117), I4117&gt;0), M4117/I4117, "")</f>
        <v/>
      </c>
    </row>
    <row r="4118">
      <c r="A4118" s="19" t="inlineStr">
        <is>
          <t>FY27</t>
        </is>
      </c>
      <c r="B4118" s="19" t="inlineStr">
        <is>
          <t>Sep</t>
        </is>
      </c>
      <c r="C4118" s="19" t="inlineStr">
        <is>
          <t>TN</t>
        </is>
      </c>
      <c r="D4118" s="20" t="inlineStr">
        <is>
          <t>TN141055</t>
        </is>
      </c>
      <c r="E4118" s="20" t="inlineStr">
        <is>
          <t>MARUTI SUZUKI</t>
        </is>
      </c>
      <c r="F4118" s="20" t="inlineStr">
        <is>
          <t>Celerio</t>
        </is>
      </c>
      <c r="G4118" s="21" t="n">
        <v>2014</v>
      </c>
      <c r="H4118" s="22" t="n">
        <v>59207</v>
      </c>
      <c r="I4118" s="23" t="n">
        <v>99000</v>
      </c>
      <c r="J4118" s="20" t="inlineStr">
        <is>
          <t>KRISH TOYOTA</t>
        </is>
      </c>
      <c r="K4118" s="20" t="inlineStr">
        <is>
          <t>Non-Captive</t>
        </is>
      </c>
      <c r="L4118" s="20" t="inlineStr">
        <is>
          <t>Value Drive Tech</t>
        </is>
      </c>
      <c r="M4118" s="23" t="n">
        <v>4237.29</v>
      </c>
      <c r="N4118" s="23" t="n">
        <v>5000</v>
      </c>
      <c r="O4118" s="24">
        <f>IF(AND(ISNUMBER(M4118), ISNUMBER(I4118), I4118&gt;0), M4118/I4118, "")</f>
        <v/>
      </c>
    </row>
    <row r="4119">
      <c r="A4119" s="19" t="inlineStr">
        <is>
          <t>FY27</t>
        </is>
      </c>
      <c r="B4119" s="19" t="inlineStr">
        <is>
          <t>Sep</t>
        </is>
      </c>
      <c r="C4119" s="19" t="inlineStr">
        <is>
          <t>TN</t>
        </is>
      </c>
      <c r="D4119" s="20" t="inlineStr">
        <is>
          <t>TN14C2640</t>
        </is>
      </c>
      <c r="E4119" s="20" t="inlineStr">
        <is>
          <t>FIAT</t>
        </is>
      </c>
      <c r="F4119" s="20" t="inlineStr">
        <is>
          <t>Grand Punto</t>
        </is>
      </c>
      <c r="G4119" s="21" t="n">
        <v>2015</v>
      </c>
      <c r="H4119" s="22" t="n">
        <v>122798</v>
      </c>
      <c r="I4119" s="23" t="n">
        <v>195000</v>
      </c>
      <c r="J4119" s="20" t="inlineStr">
        <is>
          <t>CASTLE TRADERS MARUTI</t>
        </is>
      </c>
      <c r="K4119" s="20" t="inlineStr">
        <is>
          <t>Non-Captive</t>
        </is>
      </c>
      <c r="L4119" s="20" t="inlineStr">
        <is>
          <t>Trust On Wheels</t>
        </is>
      </c>
      <c r="M4119" s="23" t="n">
        <v>5084.75</v>
      </c>
      <c r="N4119" s="23" t="n">
        <v>6000</v>
      </c>
      <c r="O4119" s="24">
        <f>IF(AND(ISNUMBER(M4119), ISNUMBER(I4119), I4119&gt;0), M4119/I4119, "")</f>
        <v/>
      </c>
    </row>
    <row r="4120">
      <c r="A4120" s="19" t="inlineStr">
        <is>
          <t>FY27</t>
        </is>
      </c>
      <c r="B4120" s="19" t="inlineStr">
        <is>
          <t>Sep</t>
        </is>
      </c>
      <c r="C4120" s="19" t="inlineStr">
        <is>
          <t>TN</t>
        </is>
      </c>
      <c r="D4120" s="20" t="inlineStr">
        <is>
          <t>TN14C5229</t>
        </is>
      </c>
      <c r="E4120" s="20" t="inlineStr">
        <is>
          <t>HYUNDAI</t>
        </is>
      </c>
      <c r="F4120" s="20" t="inlineStr">
        <is>
          <t>Eon</t>
        </is>
      </c>
      <c r="G4120" s="21" t="n">
        <v>2015</v>
      </c>
      <c r="H4120" s="22" t="n">
        <v>36224</v>
      </c>
      <c r="I4120" s="23" t="n">
        <v>94000</v>
      </c>
      <c r="J4120" s="20" t="inlineStr">
        <is>
          <t>VISHNU CARS PRIVATE LIMITED</t>
        </is>
      </c>
      <c r="K4120" s="20" t="inlineStr">
        <is>
          <t>Non-Captive</t>
        </is>
      </c>
      <c r="L4120" s="20" t="inlineStr">
        <is>
          <t>Aaa Cars</t>
        </is>
      </c>
      <c r="M4120" s="23" t="n">
        <v>4237.29</v>
      </c>
      <c r="N4120" s="23" t="n">
        <v>5000</v>
      </c>
      <c r="O4120" s="24">
        <f>IF(AND(ISNUMBER(M4120), ISNUMBER(I4120), I4120&gt;0), M4120/I4120, "")</f>
        <v/>
      </c>
    </row>
    <row r="4121">
      <c r="A4121" s="19" t="inlineStr">
        <is>
          <t>FY27</t>
        </is>
      </c>
      <c r="B4121" s="19" t="inlineStr">
        <is>
          <t>Sep</t>
        </is>
      </c>
      <c r="C4121" s="19" t="inlineStr">
        <is>
          <t>TN</t>
        </is>
      </c>
      <c r="D4121" s="20" t="inlineStr">
        <is>
          <t>TN14F9932</t>
        </is>
      </c>
      <c r="E4121" s="20" t="inlineStr">
        <is>
          <t>MARUTI SUZUKI</t>
        </is>
      </c>
      <c r="F4121" s="20" t="inlineStr">
        <is>
          <t>Ciaz</t>
        </is>
      </c>
      <c r="G4121" s="21" t="n">
        <v>2016</v>
      </c>
      <c r="H4121" s="22" t="n">
        <v>69095</v>
      </c>
      <c r="I4121" s="23" t="n">
        <v>416000</v>
      </c>
      <c r="J4121" s="20" t="inlineStr">
        <is>
          <t>CASTLE TRADERS MARUTI</t>
        </is>
      </c>
      <c r="K4121" s="20" t="inlineStr">
        <is>
          <t>Non-Captive</t>
        </is>
      </c>
      <c r="L4121" s="20" t="inlineStr">
        <is>
          <t>Value Drive Tech</t>
        </is>
      </c>
      <c r="M4121" s="23" t="n">
        <v>7627.36</v>
      </c>
      <c r="N4121" s="23" t="n">
        <v>9000.280000000001</v>
      </c>
      <c r="O4121" s="24">
        <f>IF(AND(ISNUMBER(M4121), ISNUMBER(I4121), I4121&gt;0), M4121/I4121, "")</f>
        <v/>
      </c>
    </row>
    <row r="4122">
      <c r="A4122" s="19" t="inlineStr">
        <is>
          <t>FY27</t>
        </is>
      </c>
      <c r="B4122" s="19" t="inlineStr">
        <is>
          <t>Sep</t>
        </is>
      </c>
      <c r="C4122" s="19" t="inlineStr">
        <is>
          <t>TN</t>
        </is>
      </c>
      <c r="D4122" s="20" t="inlineStr">
        <is>
          <t>TN14J3738</t>
        </is>
      </c>
      <c r="E4122" s="20" t="inlineStr">
        <is>
          <t>MARUTI SUZUKI</t>
        </is>
      </c>
      <c r="F4122" s="20" t="inlineStr">
        <is>
          <t>Alto</t>
        </is>
      </c>
      <c r="G4122" s="21" t="n">
        <v>2012</v>
      </c>
      <c r="H4122" s="22" t="n">
        <v>73339</v>
      </c>
      <c r="I4122" s="23" t="n">
        <v>585000</v>
      </c>
      <c r="J4122" s="20" t="inlineStr">
        <is>
          <t>CASTLE TRADERS MARUTI</t>
        </is>
      </c>
      <c r="K4122" s="20" t="inlineStr">
        <is>
          <t>Non-Captive</t>
        </is>
      </c>
      <c r="L4122" s="20" t="inlineStr">
        <is>
          <t>Cars24</t>
        </is>
      </c>
      <c r="M4122" s="23" t="n">
        <v>7627.12</v>
      </c>
      <c r="N4122" s="23" t="n">
        <v>9000</v>
      </c>
      <c r="O4122" s="24">
        <f>IF(AND(ISNUMBER(M4122), ISNUMBER(I4122), I4122&gt;0), M4122/I4122, "")</f>
        <v/>
      </c>
    </row>
    <row r="4123">
      <c r="A4123" s="19" t="inlineStr">
        <is>
          <t>FY27</t>
        </is>
      </c>
      <c r="B4123" s="19" t="inlineStr">
        <is>
          <t>Sep</t>
        </is>
      </c>
      <c r="C4123" s="19" t="inlineStr">
        <is>
          <t>TN</t>
        </is>
      </c>
      <c r="D4123" s="20" t="inlineStr">
        <is>
          <t>TN14U3264</t>
        </is>
      </c>
      <c r="E4123" s="20" t="inlineStr">
        <is>
          <t>HONDA</t>
        </is>
      </c>
      <c r="F4123" s="20" t="inlineStr">
        <is>
          <t>Jazz</t>
        </is>
      </c>
      <c r="G4123" s="21" t="n">
        <v>2012</v>
      </c>
      <c r="H4123" s="22" t="n">
        <v>69235</v>
      </c>
      <c r="I4123" s="23" t="n">
        <v>99000</v>
      </c>
      <c r="J4123" s="20" t="inlineStr">
        <is>
          <t>VISHNU CARS PRIVATE LIMITED</t>
        </is>
      </c>
      <c r="K4123" s="20" t="inlineStr">
        <is>
          <t>Non-Captive</t>
        </is>
      </c>
      <c r="L4123" s="20" t="inlineStr">
        <is>
          <t>Pine Autos</t>
        </is>
      </c>
      <c r="M4123" s="23" t="n">
        <v>4237.29</v>
      </c>
      <c r="N4123" s="23" t="n">
        <v>5000</v>
      </c>
      <c r="O4123" s="24">
        <f>IF(AND(ISNUMBER(M4123), ISNUMBER(I4123), I4123&gt;0), M4123/I4123, "")</f>
        <v/>
      </c>
    </row>
    <row r="4124">
      <c r="A4124" s="19" t="inlineStr">
        <is>
          <t>FY27</t>
        </is>
      </c>
      <c r="B4124" s="19" t="inlineStr">
        <is>
          <t>Sep</t>
        </is>
      </c>
      <c r="C4124" s="19" t="inlineStr">
        <is>
          <t>TN</t>
        </is>
      </c>
      <c r="D4124" s="20" t="inlineStr">
        <is>
          <t>TN18AD3895</t>
        </is>
      </c>
      <c r="E4124" s="20" t="inlineStr">
        <is>
          <t>TATA</t>
        </is>
      </c>
      <c r="F4124" s="20" t="inlineStr">
        <is>
          <t>Indica</t>
        </is>
      </c>
      <c r="G4124" s="21" t="n">
        <v>2015</v>
      </c>
      <c r="H4124" s="22" t="n">
        <v>178982</v>
      </c>
      <c r="I4124" s="23" t="n">
        <v>200000</v>
      </c>
      <c r="J4124" s="20" t="inlineStr">
        <is>
          <t>CRESCO CARS</t>
        </is>
      </c>
      <c r="K4124" s="20" t="inlineStr">
        <is>
          <t>Non-Captive</t>
        </is>
      </c>
      <c r="L4124" s="20" t="inlineStr">
        <is>
          <t>Anishcars</t>
        </is>
      </c>
      <c r="M4124" s="23" t="n">
        <v>5932.2</v>
      </c>
      <c r="N4124" s="23" t="n">
        <v>7000</v>
      </c>
      <c r="O4124" s="24">
        <f>IF(AND(ISNUMBER(M4124), ISNUMBER(I4124), I4124&gt;0), M4124/I4124, "")</f>
        <v/>
      </c>
    </row>
    <row r="4125">
      <c r="A4125" s="19" t="inlineStr">
        <is>
          <t>FY27</t>
        </is>
      </c>
      <c r="B4125" s="19" t="inlineStr">
        <is>
          <t>Sep</t>
        </is>
      </c>
      <c r="C4125" s="19" t="inlineStr">
        <is>
          <t>TN</t>
        </is>
      </c>
      <c r="D4125" s="20" t="inlineStr">
        <is>
          <t>TN18AF1353</t>
        </is>
      </c>
      <c r="E4125" s="20" t="inlineStr">
        <is>
          <t>MARUTI SUZUKI</t>
        </is>
      </c>
      <c r="F4125" s="20" t="inlineStr">
        <is>
          <t>Alto 800</t>
        </is>
      </c>
      <c r="G4125" s="21" t="n">
        <v>2015</v>
      </c>
      <c r="H4125" s="22" t="n">
        <v>12381</v>
      </c>
      <c r="I4125" s="23" t="n">
        <v>93000</v>
      </c>
      <c r="J4125" s="20" t="inlineStr">
        <is>
          <t>CRESCO CARS</t>
        </is>
      </c>
      <c r="K4125" s="20" t="inlineStr">
        <is>
          <t>Non-Captive</t>
        </is>
      </c>
      <c r="L4125" s="20" t="inlineStr">
        <is>
          <t>Santhosh Cars</t>
        </is>
      </c>
      <c r="M4125" s="23" t="n">
        <v>3389.83</v>
      </c>
      <c r="N4125" s="23" t="n">
        <v>4000</v>
      </c>
      <c r="O4125" s="24">
        <f>IF(AND(ISNUMBER(M4125), ISNUMBER(I4125), I4125&gt;0), M4125/I4125, "")</f>
        <v/>
      </c>
    </row>
    <row r="4126">
      <c r="A4126" s="19" t="inlineStr">
        <is>
          <t>FY27</t>
        </is>
      </c>
      <c r="B4126" s="19" t="inlineStr">
        <is>
          <t>Sep</t>
        </is>
      </c>
      <c r="C4126" s="19" t="inlineStr">
        <is>
          <t>TN</t>
        </is>
      </c>
      <c r="D4126" s="20" t="inlineStr">
        <is>
          <t>TN18AH8950</t>
        </is>
      </c>
      <c r="E4126" s="20" t="inlineStr">
        <is>
          <t>MARUTI SUZUKI</t>
        </is>
      </c>
      <c r="F4126" s="20" t="inlineStr">
        <is>
          <t>Alto 800</t>
        </is>
      </c>
      <c r="G4126" s="21" t="n">
        <v>2016</v>
      </c>
      <c r="H4126" s="22" t="n">
        <v>105762</v>
      </c>
      <c r="I4126" s="23" t="n">
        <v>95000</v>
      </c>
      <c r="J4126" s="20" t="inlineStr">
        <is>
          <t>EXCHANGE ROTN</t>
        </is>
      </c>
      <c r="K4126" s="20" t="inlineStr">
        <is>
          <t>Captive</t>
        </is>
      </c>
      <c r="L4126" s="20" t="inlineStr">
        <is>
          <t>Sai Cars</t>
        </is>
      </c>
      <c r="M4126" s="23" t="n">
        <v>4237.29</v>
      </c>
      <c r="N4126" s="23" t="n">
        <v>5000</v>
      </c>
      <c r="O4126" s="24">
        <f>IF(AND(ISNUMBER(M4126), ISNUMBER(I4126), I4126&gt;0), M4126/I4126, "")</f>
        <v/>
      </c>
    </row>
    <row r="4127">
      <c r="A4127" s="19" t="inlineStr">
        <is>
          <t>FY27</t>
        </is>
      </c>
      <c r="B4127" s="19" t="inlineStr">
        <is>
          <t>Sep</t>
        </is>
      </c>
      <c r="C4127" s="19" t="inlineStr">
        <is>
          <t>TN</t>
        </is>
      </c>
      <c r="D4127" s="20" t="inlineStr">
        <is>
          <t>TN18AM7641</t>
        </is>
      </c>
      <c r="E4127" s="20" t="inlineStr">
        <is>
          <t>MARUTI SUZUKI</t>
        </is>
      </c>
      <c r="F4127" s="20" t="inlineStr">
        <is>
          <t>Baleno</t>
        </is>
      </c>
      <c r="G4127" s="21" t="n">
        <v>2017</v>
      </c>
      <c r="H4127" s="22" t="n">
        <v>86644</v>
      </c>
      <c r="I4127" s="23" t="n">
        <v>189000</v>
      </c>
      <c r="J4127" s="20" t="inlineStr">
        <is>
          <t>AUTOMOTIVE MANUFACTURES PRIVATE LIMITED</t>
        </is>
      </c>
      <c r="K4127" s="20" t="inlineStr">
        <is>
          <t>Non-Captive</t>
        </is>
      </c>
      <c r="L4127" s="20" t="inlineStr">
        <is>
          <t>Nirmal Cars</t>
        </is>
      </c>
      <c r="M4127" s="23" t="n">
        <v>5084.75</v>
      </c>
      <c r="N4127" s="23" t="n">
        <v>6000</v>
      </c>
      <c r="O4127" s="24">
        <f>IF(AND(ISNUMBER(M4127), ISNUMBER(I4127), I4127&gt;0), M4127/I4127, "")</f>
        <v/>
      </c>
    </row>
    <row r="4128">
      <c r="A4128" s="19" t="inlineStr">
        <is>
          <t>FY27</t>
        </is>
      </c>
      <c r="B4128" s="19" t="inlineStr">
        <is>
          <t>Sep</t>
        </is>
      </c>
      <c r="C4128" s="19" t="inlineStr">
        <is>
          <t>TN</t>
        </is>
      </c>
      <c r="D4128" s="20" t="inlineStr">
        <is>
          <t>TN18AR2210</t>
        </is>
      </c>
      <c r="E4128" s="20" t="inlineStr">
        <is>
          <t>MARUTI SUZUKI</t>
        </is>
      </c>
      <c r="F4128" s="20" t="inlineStr">
        <is>
          <t>Omni</t>
        </is>
      </c>
      <c r="G4128" s="21" t="n">
        <v>2018</v>
      </c>
      <c r="H4128" s="22" t="n">
        <v>65474</v>
      </c>
      <c r="I4128" s="23" t="n">
        <v>98000</v>
      </c>
      <c r="J4128" s="20" t="inlineStr">
        <is>
          <t>RAJALAKSHMI CARS</t>
        </is>
      </c>
      <c r="K4128" s="20" t="inlineStr">
        <is>
          <t>Non-Captive</t>
        </is>
      </c>
      <c r="L4128" s="20" t="inlineStr">
        <is>
          <t>Aaa Cars</t>
        </is>
      </c>
      <c r="M4128" s="23" t="n">
        <v>4237.29</v>
      </c>
      <c r="N4128" s="23" t="n">
        <v>5000</v>
      </c>
      <c r="O4128" s="24">
        <f>IF(AND(ISNUMBER(M4128), ISNUMBER(I4128), I4128&gt;0), M4128/I4128, "")</f>
        <v/>
      </c>
    </row>
    <row r="4129">
      <c r="A4129" s="19" t="inlineStr">
        <is>
          <t>FY27</t>
        </is>
      </c>
      <c r="B4129" s="19" t="inlineStr">
        <is>
          <t>Sep</t>
        </is>
      </c>
      <c r="C4129" s="19" t="inlineStr">
        <is>
          <t>TN</t>
        </is>
      </c>
      <c r="D4129" s="20" t="inlineStr">
        <is>
          <t>TN18BW1333</t>
        </is>
      </c>
      <c r="E4129" s="20" t="inlineStr">
        <is>
          <t>KIA</t>
        </is>
      </c>
      <c r="F4129" s="20" t="inlineStr">
        <is>
          <t>Sonet</t>
        </is>
      </c>
      <c r="G4129" s="21" t="n">
        <v>2025</v>
      </c>
      <c r="H4129" s="22" t="n">
        <v>9339</v>
      </c>
      <c r="I4129" s="23" t="n">
        <v>785000</v>
      </c>
      <c r="J4129" s="20" t="inlineStr">
        <is>
          <t>CASTLE TRADERS MARUTI</t>
        </is>
      </c>
      <c r="K4129" s="20" t="inlineStr">
        <is>
          <t>Non-Captive</t>
        </is>
      </c>
      <c r="L4129" s="20" t="inlineStr">
        <is>
          <t>Pine Autos</t>
        </is>
      </c>
      <c r="M4129" s="23" t="n">
        <v>8474.58</v>
      </c>
      <c r="N4129" s="23" t="n">
        <v>10000</v>
      </c>
      <c r="O4129" s="24">
        <f>IF(AND(ISNUMBER(M4129), ISNUMBER(I4129), I4129&gt;0), M4129/I4129, "")</f>
        <v/>
      </c>
    </row>
    <row r="4130">
      <c r="A4130" s="19" t="inlineStr">
        <is>
          <t>FY27</t>
        </is>
      </c>
      <c r="B4130" s="19" t="inlineStr">
        <is>
          <t>Sep</t>
        </is>
      </c>
      <c r="C4130" s="19" t="inlineStr">
        <is>
          <t>TN</t>
        </is>
      </c>
      <c r="D4130" s="20" t="inlineStr">
        <is>
          <t>TN18D3208</t>
        </is>
      </c>
      <c r="E4130" s="20" t="inlineStr">
        <is>
          <t>MARUTI SUZUKI</t>
        </is>
      </c>
      <c r="F4130" s="20" t="inlineStr">
        <is>
          <t>Alto</t>
        </is>
      </c>
      <c r="G4130" s="21" t="n">
        <v>2010</v>
      </c>
      <c r="H4130" s="22" t="n">
        <v>103019</v>
      </c>
      <c r="I4130" s="23" t="n">
        <v>70000</v>
      </c>
      <c r="J4130" s="20" t="inlineStr">
        <is>
          <t>EXCHANGE ROTN</t>
        </is>
      </c>
      <c r="K4130" s="20" t="inlineStr">
        <is>
          <t>Captive</t>
        </is>
      </c>
      <c r="L4130" s="20" t="inlineStr">
        <is>
          <t>Stalin Cars</t>
        </is>
      </c>
      <c r="M4130" s="23" t="n">
        <v>4237.29</v>
      </c>
      <c r="N4130" s="23" t="n">
        <v>5000</v>
      </c>
      <c r="O4130" s="24">
        <f>IF(AND(ISNUMBER(M4130), ISNUMBER(I4130), I4130&gt;0), M4130/I4130, "")</f>
        <v/>
      </c>
    </row>
    <row r="4131">
      <c r="A4131" s="19" t="inlineStr">
        <is>
          <t>FY27</t>
        </is>
      </c>
      <c r="B4131" s="19" t="inlineStr">
        <is>
          <t>Sep</t>
        </is>
      </c>
      <c r="C4131" s="19" t="inlineStr">
        <is>
          <t>TN</t>
        </is>
      </c>
      <c r="D4131" s="20" t="inlineStr">
        <is>
          <t>TN18J1361</t>
        </is>
      </c>
      <c r="E4131" s="20" t="inlineStr">
        <is>
          <t>MARUTI SUZUKI</t>
        </is>
      </c>
      <c r="F4131" s="20" t="inlineStr">
        <is>
          <t>Alto</t>
        </is>
      </c>
      <c r="G4131" s="21" t="n">
        <v>2011</v>
      </c>
      <c r="H4131" s="22" t="n">
        <v>131727</v>
      </c>
      <c r="I4131" s="23" t="n">
        <v>93000</v>
      </c>
      <c r="J4131" s="20" t="inlineStr">
        <is>
          <t>PRODUCTIVITY ELEMENTS PRIVATE LIMITED</t>
        </is>
      </c>
      <c r="K4131" s="20" t="inlineStr">
        <is>
          <t>Non-Captive</t>
        </is>
      </c>
      <c r="L4131" s="20" t="inlineStr">
        <is>
          <t>Srijja Travels</t>
        </is>
      </c>
      <c r="M4131" s="23" t="n">
        <v>4237.29</v>
      </c>
      <c r="N4131" s="23" t="n">
        <v>5000</v>
      </c>
      <c r="O4131" s="24">
        <f>IF(AND(ISNUMBER(M4131), ISNUMBER(I4131), I4131&gt;0), M4131/I4131, "")</f>
        <v/>
      </c>
    </row>
    <row r="4132">
      <c r="A4132" s="19" t="inlineStr">
        <is>
          <t>FY27</t>
        </is>
      </c>
      <c r="B4132" s="19" t="inlineStr">
        <is>
          <t>Sep</t>
        </is>
      </c>
      <c r="C4132" s="19" t="inlineStr">
        <is>
          <t>TN</t>
        </is>
      </c>
      <c r="D4132" s="20" t="inlineStr">
        <is>
          <t>TN18T4153</t>
        </is>
      </c>
      <c r="E4132" s="20" t="inlineStr">
        <is>
          <t>MARUTI SUZUKI</t>
        </is>
      </c>
      <c r="F4132" s="20" t="inlineStr">
        <is>
          <t>Wagon R</t>
        </is>
      </c>
      <c r="G4132" s="21" t="n">
        <v>2013</v>
      </c>
      <c r="H4132" s="22" t="n">
        <v>50062</v>
      </c>
      <c r="I4132" s="23" t="n">
        <v>95000</v>
      </c>
      <c r="J4132" s="20" t="inlineStr">
        <is>
          <t>PEEYESYEM HK MOTORS LLP</t>
        </is>
      </c>
      <c r="K4132" s="20" t="inlineStr">
        <is>
          <t>Non-Captive</t>
        </is>
      </c>
      <c r="L4132" s="20" t="inlineStr">
        <is>
          <t>Aneesa Pravin Cars</t>
        </is>
      </c>
      <c r="M4132" s="23" t="n">
        <v>4237.29</v>
      </c>
      <c r="N4132" s="23" t="n">
        <v>5000</v>
      </c>
      <c r="O4132" s="24">
        <f>IF(AND(ISNUMBER(M4132), ISNUMBER(I4132), I4132&gt;0), M4132/I4132, "")</f>
        <v/>
      </c>
    </row>
    <row r="4133">
      <c r="A4133" s="19" t="inlineStr">
        <is>
          <t>FY27</t>
        </is>
      </c>
      <c r="B4133" s="19" t="inlineStr">
        <is>
          <t>Sep</t>
        </is>
      </c>
      <c r="C4133" s="19" t="inlineStr">
        <is>
          <t>TN</t>
        </is>
      </c>
      <c r="D4133" s="20" t="inlineStr">
        <is>
          <t>TN18V7809</t>
        </is>
      </c>
      <c r="E4133" s="20" t="inlineStr">
        <is>
          <t>MARUTI SUZUKI</t>
        </is>
      </c>
      <c r="F4133" s="20" t="inlineStr">
        <is>
          <t>Ritz</t>
        </is>
      </c>
      <c r="G4133" s="21" t="n">
        <v>2012</v>
      </c>
      <c r="H4133" s="22" t="n">
        <v>79137</v>
      </c>
      <c r="I4133" s="23" t="n">
        <v>98000</v>
      </c>
      <c r="J4133" s="20" t="inlineStr">
        <is>
          <t>CRESCO CARS</t>
        </is>
      </c>
      <c r="K4133" s="20" t="inlineStr">
        <is>
          <t>Non-Captive</t>
        </is>
      </c>
      <c r="L4133" s="20" t="inlineStr">
        <is>
          <t>Srijja Travels</t>
        </is>
      </c>
      <c r="M4133" s="23" t="n">
        <v>4237.29</v>
      </c>
      <c r="N4133" s="23" t="n">
        <v>5000</v>
      </c>
      <c r="O4133" s="24">
        <f>IF(AND(ISNUMBER(M4133), ISNUMBER(I4133), I4133&gt;0), M4133/I4133, "")</f>
        <v/>
      </c>
    </row>
    <row r="4134">
      <c r="A4134" s="19" t="inlineStr">
        <is>
          <t>FY27</t>
        </is>
      </c>
      <c r="B4134" s="19" t="inlineStr">
        <is>
          <t>Sep</t>
        </is>
      </c>
      <c r="C4134" s="19" t="inlineStr">
        <is>
          <t>TN</t>
        </is>
      </c>
      <c r="D4134" s="20" t="inlineStr">
        <is>
          <t>TN18Z5275</t>
        </is>
      </c>
      <c r="E4134" s="20" t="inlineStr">
        <is>
          <t>MARUTI SUZUKI</t>
        </is>
      </c>
      <c r="F4134" s="20" t="inlineStr">
        <is>
          <t>Alto K10</t>
        </is>
      </c>
      <c r="G4134" s="21" t="n">
        <v>2011</v>
      </c>
      <c r="H4134" s="22" t="n">
        <v>90909</v>
      </c>
      <c r="I4134" s="23" t="n">
        <v>85000</v>
      </c>
      <c r="J4134" s="20" t="inlineStr">
        <is>
          <t>EXCHANGE ROTN</t>
        </is>
      </c>
      <c r="K4134" s="20" t="inlineStr">
        <is>
          <t>Captive</t>
        </is>
      </c>
      <c r="L4134" s="20" t="inlineStr">
        <is>
          <t>Niranchana Cars</t>
        </is>
      </c>
      <c r="M4134" s="23" t="n">
        <v>4237.29</v>
      </c>
      <c r="N4134" s="23" t="n">
        <v>5000</v>
      </c>
      <c r="O4134" s="24">
        <f>IF(AND(ISNUMBER(M4134), ISNUMBER(I4134), I4134&gt;0), M4134/I4134, "")</f>
        <v/>
      </c>
    </row>
    <row r="4135">
      <c r="A4135" s="19" t="inlineStr">
        <is>
          <t>FY27</t>
        </is>
      </c>
      <c r="B4135" s="19" t="inlineStr">
        <is>
          <t>Sep</t>
        </is>
      </c>
      <c r="C4135" s="19" t="inlineStr">
        <is>
          <t>TN</t>
        </is>
      </c>
      <c r="D4135" s="20" t="inlineStr">
        <is>
          <t>TN19AA8865</t>
        </is>
      </c>
      <c r="E4135" s="20" t="inlineStr">
        <is>
          <t>FIAT</t>
        </is>
      </c>
      <c r="F4135" s="20" t="inlineStr">
        <is>
          <t>Grand Punto</t>
        </is>
      </c>
      <c r="G4135" s="21" t="n">
        <v>2016</v>
      </c>
      <c r="H4135" s="22" t="n">
        <v>101610</v>
      </c>
      <c r="I4135" s="23" t="n">
        <v>96000</v>
      </c>
      <c r="J4135" s="20" t="inlineStr">
        <is>
          <t>AIE CARS PRIVATE LIMITED</t>
        </is>
      </c>
      <c r="K4135" s="20" t="inlineStr">
        <is>
          <t>Non-Captive</t>
        </is>
      </c>
      <c r="L4135" s="20" t="inlineStr">
        <is>
          <t>Aaa Cars</t>
        </is>
      </c>
      <c r="M4135" s="23" t="n">
        <v>4237.29</v>
      </c>
      <c r="N4135" s="23" t="n">
        <v>5000</v>
      </c>
      <c r="O4135" s="24">
        <f>IF(AND(ISNUMBER(M4135), ISNUMBER(I4135), I4135&gt;0), M4135/I4135, "")</f>
        <v/>
      </c>
    </row>
    <row r="4136">
      <c r="A4136" s="19" t="inlineStr">
        <is>
          <t>FY27</t>
        </is>
      </c>
      <c r="B4136" s="19" t="inlineStr">
        <is>
          <t>Sep</t>
        </is>
      </c>
      <c r="C4136" s="19" t="inlineStr">
        <is>
          <t>TN</t>
        </is>
      </c>
      <c r="D4136" s="20" t="inlineStr">
        <is>
          <t>TN19AS2919</t>
        </is>
      </c>
      <c r="E4136" s="20" t="inlineStr">
        <is>
          <t>MARUTI SUZUKI</t>
        </is>
      </c>
      <c r="F4136" s="20" t="inlineStr">
        <is>
          <t>Dzire</t>
        </is>
      </c>
      <c r="G4136" s="21" t="n">
        <v>2022</v>
      </c>
      <c r="H4136" s="22" t="n">
        <v>38765</v>
      </c>
      <c r="I4136" s="23" t="n">
        <v>593600</v>
      </c>
      <c r="J4136" s="20" t="inlineStr">
        <is>
          <t>VISHNU CARS PRIVATE LIMITED</t>
        </is>
      </c>
      <c r="K4136" s="20" t="inlineStr">
        <is>
          <t>Non-Captive</t>
        </is>
      </c>
      <c r="L4136" s="20" t="inlineStr">
        <is>
          <t>Thiyagarajan Raja Cars</t>
        </is>
      </c>
      <c r="M4136" s="23" t="n">
        <v>7627.12</v>
      </c>
      <c r="N4136" s="23" t="n">
        <v>9000</v>
      </c>
      <c r="O4136" s="24">
        <f>IF(AND(ISNUMBER(M4136), ISNUMBER(I4136), I4136&gt;0), M4136/I4136, "")</f>
        <v/>
      </c>
    </row>
    <row r="4137">
      <c r="A4137" s="19" t="inlineStr">
        <is>
          <t>FY27</t>
        </is>
      </c>
      <c r="B4137" s="19" t="inlineStr">
        <is>
          <t>Sep</t>
        </is>
      </c>
      <c r="C4137" s="19" t="inlineStr">
        <is>
          <t>TN</t>
        </is>
      </c>
      <c r="D4137" s="20" t="inlineStr">
        <is>
          <t>TN19K4298</t>
        </is>
      </c>
      <c r="E4137" s="20" t="inlineStr">
        <is>
          <t>HONDA</t>
        </is>
      </c>
      <c r="F4137" s="20" t="inlineStr">
        <is>
          <t>City</t>
        </is>
      </c>
      <c r="G4137" s="21" t="n">
        <v>2013</v>
      </c>
      <c r="H4137" s="22" t="n">
        <v>131307</v>
      </c>
      <c r="I4137" s="23" t="n">
        <v>93000</v>
      </c>
      <c r="J4137" s="20" t="inlineStr">
        <is>
          <t>LAKSHMI NISSAN</t>
        </is>
      </c>
      <c r="K4137" s="20" t="inlineStr">
        <is>
          <t>Non-Captive</t>
        </is>
      </c>
      <c r="L4137" s="20" t="inlineStr">
        <is>
          <t>Car Hub</t>
        </is>
      </c>
      <c r="M4137" s="23" t="n">
        <v>4237.29</v>
      </c>
      <c r="N4137" s="23" t="n">
        <v>5000</v>
      </c>
      <c r="O4137" s="24">
        <f>IF(AND(ISNUMBER(M4137), ISNUMBER(I4137), I4137&gt;0), M4137/I4137, "")</f>
        <v/>
      </c>
    </row>
    <row r="4138">
      <c r="A4138" s="19" t="inlineStr">
        <is>
          <t>FY27</t>
        </is>
      </c>
      <c r="B4138" s="19" t="inlineStr">
        <is>
          <t>Sep</t>
        </is>
      </c>
      <c r="C4138" s="19" t="inlineStr">
        <is>
          <t>TN</t>
        </is>
      </c>
      <c r="D4138" s="20" t="inlineStr">
        <is>
          <t>TN19P9990</t>
        </is>
      </c>
      <c r="E4138" s="20" t="inlineStr">
        <is>
          <t>FORD</t>
        </is>
      </c>
      <c r="F4138" s="20" t="inlineStr">
        <is>
          <t>EcoSport</t>
        </is>
      </c>
      <c r="G4138" s="21" t="n">
        <v>2014</v>
      </c>
      <c r="H4138" s="22" t="n">
        <v>147221</v>
      </c>
      <c r="I4138" s="23" t="n">
        <v>275000</v>
      </c>
      <c r="J4138" s="20" t="inlineStr">
        <is>
          <t>EXCHANGE ROTN</t>
        </is>
      </c>
      <c r="K4138" s="20" t="inlineStr">
        <is>
          <t>Captive</t>
        </is>
      </c>
      <c r="L4138" s="20" t="inlineStr"/>
      <c r="M4138" s="23" t="n">
        <v>8474.58</v>
      </c>
      <c r="N4138" s="23" t="n">
        <v>10000</v>
      </c>
      <c r="O4138" s="24">
        <f>IF(AND(ISNUMBER(M4138), ISNUMBER(I4138), I4138&gt;0), M4138/I4138, "")</f>
        <v/>
      </c>
    </row>
    <row r="4139">
      <c r="A4139" s="19" t="inlineStr">
        <is>
          <t>FY27</t>
        </is>
      </c>
      <c r="B4139" s="19" t="inlineStr">
        <is>
          <t>Sep</t>
        </is>
      </c>
      <c r="C4139" s="19" t="inlineStr">
        <is>
          <t>TN</t>
        </is>
      </c>
      <c r="D4139" s="20" t="inlineStr">
        <is>
          <t>TN20AB6066</t>
        </is>
      </c>
      <c r="E4139" s="20" t="inlineStr">
        <is>
          <t>HONDA</t>
        </is>
      </c>
      <c r="F4139" s="20" t="inlineStr">
        <is>
          <t>City</t>
        </is>
      </c>
      <c r="G4139" s="21" t="n">
        <v>2005</v>
      </c>
      <c r="H4139" s="22" t="n">
        <v>106570</v>
      </c>
      <c r="I4139" s="23" t="n">
        <v>98000</v>
      </c>
      <c r="J4139" s="20" t="inlineStr">
        <is>
          <t>AIE CARS PRIVATE LIMITED</t>
        </is>
      </c>
      <c r="K4139" s="20" t="inlineStr">
        <is>
          <t>Non-Captive</t>
        </is>
      </c>
      <c r="L4139" s="20" t="inlineStr">
        <is>
          <t>VS Enterprises</t>
        </is>
      </c>
      <c r="M4139" s="23" t="n">
        <v>4237.29</v>
      </c>
      <c r="N4139" s="23" t="n">
        <v>5000</v>
      </c>
      <c r="O4139" s="24">
        <f>IF(AND(ISNUMBER(M4139), ISNUMBER(I4139), I4139&gt;0), M4139/I4139, "")</f>
        <v/>
      </c>
    </row>
    <row r="4140">
      <c r="A4140" s="19" t="inlineStr">
        <is>
          <t>FY27</t>
        </is>
      </c>
      <c r="B4140" s="19" t="inlineStr">
        <is>
          <t>Sep</t>
        </is>
      </c>
      <c r="C4140" s="19" t="inlineStr">
        <is>
          <t>TN</t>
        </is>
      </c>
      <c r="D4140" s="20" t="inlineStr">
        <is>
          <t>TN20CY0777</t>
        </is>
      </c>
      <c r="E4140" s="20" t="inlineStr">
        <is>
          <t>MAHINDRA</t>
        </is>
      </c>
      <c r="F4140" s="20" t="inlineStr">
        <is>
          <t>XUV500</t>
        </is>
      </c>
      <c r="G4140" s="21" t="n">
        <v>2012</v>
      </c>
      <c r="H4140" s="22" t="n">
        <v>120315</v>
      </c>
      <c r="I4140" s="23" t="n">
        <v>98000</v>
      </c>
      <c r="J4140" s="20" t="inlineStr">
        <is>
          <t>LAKSHMI NISSAN</t>
        </is>
      </c>
      <c r="K4140" s="20" t="inlineStr">
        <is>
          <t>Non-Captive</t>
        </is>
      </c>
      <c r="L4140" s="20" t="inlineStr">
        <is>
          <t>As Cars</t>
        </is>
      </c>
      <c r="M4140" s="23" t="n">
        <v>4237.29</v>
      </c>
      <c r="N4140" s="23" t="n">
        <v>5000</v>
      </c>
      <c r="O4140" s="24">
        <f>IF(AND(ISNUMBER(M4140), ISNUMBER(I4140), I4140&gt;0), M4140/I4140, "")</f>
        <v/>
      </c>
    </row>
    <row r="4141">
      <c r="A4141" s="19" t="inlineStr">
        <is>
          <t>FY27</t>
        </is>
      </c>
      <c r="B4141" s="19" t="inlineStr">
        <is>
          <t>Sep</t>
        </is>
      </c>
      <c r="C4141" s="19" t="inlineStr">
        <is>
          <t>TN</t>
        </is>
      </c>
      <c r="D4141" s="20" t="inlineStr">
        <is>
          <t>TN20S7166</t>
        </is>
      </c>
      <c r="E4141" s="20" t="inlineStr">
        <is>
          <t>MARUTI SUZUKI</t>
        </is>
      </c>
      <c r="F4141" s="20" t="inlineStr">
        <is>
          <t>800</t>
        </is>
      </c>
      <c r="G4141" s="21" t="n">
        <v>2003</v>
      </c>
      <c r="H4141" s="22" t="n">
        <v>97781</v>
      </c>
      <c r="I4141" s="23" t="n">
        <v>89000</v>
      </c>
      <c r="J4141" s="20" t="inlineStr">
        <is>
          <t>RAJALAKSHMI CARS</t>
        </is>
      </c>
      <c r="K4141" s="20" t="inlineStr">
        <is>
          <t>Non-Captive</t>
        </is>
      </c>
      <c r="L4141" s="20" t="inlineStr">
        <is>
          <t>Aneesa Pravin Cars</t>
        </is>
      </c>
      <c r="M4141" s="23" t="n">
        <v>4237.29</v>
      </c>
      <c r="N4141" s="23" t="n">
        <v>5000</v>
      </c>
      <c r="O4141" s="24">
        <f>IF(AND(ISNUMBER(M4141), ISNUMBER(I4141), I4141&gt;0), M4141/I4141, "")</f>
        <v/>
      </c>
    </row>
    <row r="4142">
      <c r="A4142" s="19" t="inlineStr">
        <is>
          <t>FY27</t>
        </is>
      </c>
      <c r="B4142" s="19" t="inlineStr">
        <is>
          <t>Sep</t>
        </is>
      </c>
      <c r="C4142" s="19" t="inlineStr">
        <is>
          <t>TN</t>
        </is>
      </c>
      <c r="D4142" s="20" t="inlineStr">
        <is>
          <t>TN21AX8998</t>
        </is>
      </c>
      <c r="E4142" s="20" t="inlineStr">
        <is>
          <t>HONDA</t>
        </is>
      </c>
      <c r="F4142" s="20" t="inlineStr">
        <is>
          <t>City</t>
        </is>
      </c>
      <c r="G4142" s="21" t="n">
        <v>2008</v>
      </c>
      <c r="H4142" s="22" t="n">
        <v>27279</v>
      </c>
      <c r="I4142" s="23" t="n">
        <v>97000</v>
      </c>
      <c r="J4142" s="20" t="inlineStr">
        <is>
          <t>VISHNU CARS PRIVATE LIMITED</t>
        </is>
      </c>
      <c r="K4142" s="20" t="inlineStr">
        <is>
          <t>Non-Captive</t>
        </is>
      </c>
      <c r="L4142" s="20" t="inlineStr">
        <is>
          <t>Santhosh Cars</t>
        </is>
      </c>
      <c r="M4142" s="23" t="n">
        <v>4237.29</v>
      </c>
      <c r="N4142" s="23" t="n">
        <v>5000</v>
      </c>
      <c r="O4142" s="24">
        <f>IF(AND(ISNUMBER(M4142), ISNUMBER(I4142), I4142&gt;0), M4142/I4142, "")</f>
        <v/>
      </c>
    </row>
    <row r="4143">
      <c r="A4143" s="19" t="inlineStr">
        <is>
          <t>FY27</t>
        </is>
      </c>
      <c r="B4143" s="19" t="inlineStr">
        <is>
          <t>Sep</t>
        </is>
      </c>
      <c r="C4143" s="19" t="inlineStr">
        <is>
          <t>TN</t>
        </is>
      </c>
      <c r="D4143" s="20" t="inlineStr">
        <is>
          <t>TN21BY2201</t>
        </is>
      </c>
      <c r="E4143" s="20" t="inlineStr">
        <is>
          <t>HYUNDAI</t>
        </is>
      </c>
      <c r="F4143" s="20" t="inlineStr">
        <is>
          <t>Tucson</t>
        </is>
      </c>
      <c r="G4143" s="21" t="n">
        <v>2016</v>
      </c>
      <c r="H4143" s="22" t="n">
        <v>24048</v>
      </c>
      <c r="I4143" s="23" t="n">
        <v>98000</v>
      </c>
      <c r="J4143" s="20" t="inlineStr">
        <is>
          <t>PEEYESYEM HK MOTORS LLP</t>
        </is>
      </c>
      <c r="K4143" s="20" t="inlineStr">
        <is>
          <t>Non-Captive</t>
        </is>
      </c>
      <c r="L4143" s="20" t="inlineStr">
        <is>
          <t>Aneesa Pravin Cars</t>
        </is>
      </c>
      <c r="M4143" s="23" t="n">
        <v>4237.29</v>
      </c>
      <c r="N4143" s="23" t="n">
        <v>5000</v>
      </c>
      <c r="O4143" s="24">
        <f>IF(AND(ISNUMBER(M4143), ISNUMBER(I4143), I4143&gt;0), M4143/I4143, "")</f>
        <v/>
      </c>
    </row>
    <row r="4144">
      <c r="A4144" s="19" t="inlineStr">
        <is>
          <t>FY27</t>
        </is>
      </c>
      <c r="B4144" s="19" t="inlineStr">
        <is>
          <t>Sep</t>
        </is>
      </c>
      <c r="C4144" s="19" t="inlineStr">
        <is>
          <t>TN</t>
        </is>
      </c>
      <c r="D4144" s="20" t="inlineStr">
        <is>
          <t>TN21K3804</t>
        </is>
      </c>
      <c r="E4144" s="20" t="inlineStr">
        <is>
          <t>MARUTI SUZUKI</t>
        </is>
      </c>
      <c r="F4144" s="20" t="inlineStr">
        <is>
          <t>Swift</t>
        </is>
      </c>
      <c r="G4144" s="21" t="n">
        <v>2006</v>
      </c>
      <c r="H4144" s="22" t="n">
        <v>137153</v>
      </c>
      <c r="I4144" s="23" t="n">
        <v>93000</v>
      </c>
      <c r="J4144" s="20" t="inlineStr">
        <is>
          <t>FPL AUTOMOBILES PRIVATE LIMITED</t>
        </is>
      </c>
      <c r="K4144" s="20" t="inlineStr">
        <is>
          <t>Non-Captive</t>
        </is>
      </c>
      <c r="L4144" s="20" t="inlineStr">
        <is>
          <t>Value Drive Tech</t>
        </is>
      </c>
      <c r="M4144" s="23" t="n">
        <v>4237.29</v>
      </c>
      <c r="N4144" s="23" t="n">
        <v>5000</v>
      </c>
      <c r="O4144" s="24">
        <f>IF(AND(ISNUMBER(M4144), ISNUMBER(I4144), I4144&gt;0), M4144/I4144, "")</f>
        <v/>
      </c>
    </row>
    <row r="4145">
      <c r="A4145" s="19" t="inlineStr">
        <is>
          <t>FY27</t>
        </is>
      </c>
      <c r="B4145" s="19" t="inlineStr">
        <is>
          <t>Sep</t>
        </is>
      </c>
      <c r="C4145" s="19" t="inlineStr">
        <is>
          <t>TN</t>
        </is>
      </c>
      <c r="D4145" s="20" t="inlineStr">
        <is>
          <t>TN22AD7818</t>
        </is>
      </c>
      <c r="E4145" s="20" t="inlineStr">
        <is>
          <t>MAHINDRA</t>
        </is>
      </c>
      <c r="F4145" s="20" t="inlineStr">
        <is>
          <t>Scorpio</t>
        </is>
      </c>
      <c r="G4145" s="21" t="n">
        <v>2004</v>
      </c>
      <c r="H4145" s="22" t="n">
        <v>279772</v>
      </c>
      <c r="I4145" s="23" t="n">
        <v>130000</v>
      </c>
      <c r="J4145" s="20" t="inlineStr">
        <is>
          <t>EXCHANGE CHENNAI</t>
        </is>
      </c>
      <c r="K4145" s="20" t="inlineStr">
        <is>
          <t>Captive</t>
        </is>
      </c>
      <c r="L4145" s="20" t="inlineStr">
        <is>
          <t>Santhosh Cars</t>
        </is>
      </c>
      <c r="M4145" s="23" t="n">
        <v>8474.58</v>
      </c>
      <c r="N4145" s="23" t="n">
        <v>10000</v>
      </c>
      <c r="O4145" s="24">
        <f>IF(AND(ISNUMBER(M4145), ISNUMBER(I4145), I4145&gt;0), M4145/I4145, "")</f>
        <v/>
      </c>
    </row>
    <row r="4146">
      <c r="A4146" s="19" t="inlineStr">
        <is>
          <t>FY27</t>
        </is>
      </c>
      <c r="B4146" s="19" t="inlineStr">
        <is>
          <t>Sep</t>
        </is>
      </c>
      <c r="C4146" s="19" t="inlineStr">
        <is>
          <t>TN</t>
        </is>
      </c>
      <c r="D4146" s="20" t="inlineStr">
        <is>
          <t>TN22AE7228</t>
        </is>
      </c>
      <c r="E4146" s="20" t="inlineStr">
        <is>
          <t>HYUNDAI</t>
        </is>
      </c>
      <c r="F4146" s="20" t="inlineStr">
        <is>
          <t>Santro</t>
        </is>
      </c>
      <c r="G4146" s="21" t="n">
        <v>2004</v>
      </c>
      <c r="H4146" s="22" t="n">
        <v>62092</v>
      </c>
      <c r="I4146" s="23" t="n">
        <v>98000</v>
      </c>
      <c r="J4146" s="20" t="inlineStr">
        <is>
          <t>CASTLE TRADERS MARUTI</t>
        </is>
      </c>
      <c r="K4146" s="20" t="inlineStr">
        <is>
          <t>Non-Captive</t>
        </is>
      </c>
      <c r="L4146" s="20" t="inlineStr">
        <is>
          <t>Aneesa Pravin Cars</t>
        </is>
      </c>
      <c r="M4146" s="23" t="n">
        <v>4237.29</v>
      </c>
      <c r="N4146" s="23" t="n">
        <v>5000</v>
      </c>
      <c r="O4146" s="24">
        <f>IF(AND(ISNUMBER(M4146), ISNUMBER(I4146), I4146&gt;0), M4146/I4146, "")</f>
        <v/>
      </c>
    </row>
    <row r="4147">
      <c r="A4147" s="19" t="inlineStr">
        <is>
          <t>FY27</t>
        </is>
      </c>
      <c r="B4147" s="19" t="inlineStr">
        <is>
          <t>Sep</t>
        </is>
      </c>
      <c r="C4147" s="19" t="inlineStr">
        <is>
          <t>TN</t>
        </is>
      </c>
      <c r="D4147" s="20" t="inlineStr">
        <is>
          <t>TN22AL0271</t>
        </is>
      </c>
      <c r="E4147" s="20" t="inlineStr">
        <is>
          <t>HYUNDAI</t>
        </is>
      </c>
      <c r="F4147" s="20" t="inlineStr">
        <is>
          <t>Santro</t>
        </is>
      </c>
      <c r="G4147" s="21" t="n">
        <v>2005</v>
      </c>
      <c r="H4147" s="22" t="n">
        <v>85466</v>
      </c>
      <c r="I4147" s="23" t="n">
        <v>45000</v>
      </c>
      <c r="J4147" s="20" t="inlineStr">
        <is>
          <t>EXCHANGE CHENNAI</t>
        </is>
      </c>
      <c r="K4147" s="20" t="inlineStr">
        <is>
          <t>Captive</t>
        </is>
      </c>
      <c r="L4147" s="20" t="inlineStr">
        <is>
          <t>Amarnath</t>
        </is>
      </c>
      <c r="M4147" s="23" t="n">
        <v>4237.29</v>
      </c>
      <c r="N4147" s="23" t="n">
        <v>5000</v>
      </c>
      <c r="O4147" s="24">
        <f>IF(AND(ISNUMBER(M4147), ISNUMBER(I4147), I4147&gt;0), M4147/I4147, "")</f>
        <v/>
      </c>
    </row>
    <row r="4148">
      <c r="A4148" s="19" t="inlineStr">
        <is>
          <t>FY27</t>
        </is>
      </c>
      <c r="B4148" s="19" t="inlineStr">
        <is>
          <t>Sep</t>
        </is>
      </c>
      <c r="C4148" s="19" t="inlineStr">
        <is>
          <t>TN</t>
        </is>
      </c>
      <c r="D4148" s="20" t="inlineStr">
        <is>
          <t>TN22AV4304</t>
        </is>
      </c>
      <c r="E4148" s="20" t="inlineStr">
        <is>
          <t>HINDUSTAN MOTORS</t>
        </is>
      </c>
      <c r="F4148" s="20" t="inlineStr">
        <is>
          <t>Ambassador</t>
        </is>
      </c>
      <c r="G4148" s="21" t="n">
        <v>2007</v>
      </c>
      <c r="H4148" s="22" t="n">
        <v>78016</v>
      </c>
      <c r="I4148" s="23" t="n">
        <v>89000</v>
      </c>
      <c r="J4148" s="20" t="inlineStr">
        <is>
          <t>RAJALAKSHMI CARS</t>
        </is>
      </c>
      <c r="K4148" s="20" t="inlineStr">
        <is>
          <t>Non-Captive</t>
        </is>
      </c>
      <c r="L4148" s="20" t="inlineStr">
        <is>
          <t>Srijja Travels</t>
        </is>
      </c>
      <c r="M4148" s="23" t="n">
        <v>4237.29</v>
      </c>
      <c r="N4148" s="23" t="n">
        <v>5000</v>
      </c>
      <c r="O4148" s="24">
        <f>IF(AND(ISNUMBER(M4148), ISNUMBER(I4148), I4148&gt;0), M4148/I4148, "")</f>
        <v/>
      </c>
    </row>
    <row r="4149">
      <c r="A4149" s="19" t="inlineStr">
        <is>
          <t>FY27</t>
        </is>
      </c>
      <c r="B4149" s="19" t="inlineStr">
        <is>
          <t>Sep</t>
        </is>
      </c>
      <c r="C4149" s="19" t="inlineStr">
        <is>
          <t>TN</t>
        </is>
      </c>
      <c r="D4149" s="20" t="inlineStr">
        <is>
          <t>TN22BB0616</t>
        </is>
      </c>
      <c r="E4149" s="20" t="inlineStr">
        <is>
          <t>MARUTI SUZUKI</t>
        </is>
      </c>
      <c r="F4149" s="20" t="inlineStr">
        <is>
          <t>Wagon R</t>
        </is>
      </c>
      <c r="G4149" s="21" t="n">
        <v>2008</v>
      </c>
      <c r="H4149" s="22" t="n">
        <v>97423</v>
      </c>
      <c r="I4149" s="23" t="n">
        <v>92000</v>
      </c>
      <c r="J4149" s="20" t="inlineStr">
        <is>
          <t>STEER AUTO TECHNOLOGIES PRIVATE LIMITED</t>
        </is>
      </c>
      <c r="K4149" s="20" t="inlineStr">
        <is>
          <t>Non-Captive</t>
        </is>
      </c>
      <c r="L4149" s="20" t="inlineStr">
        <is>
          <t>Srijja Travels</t>
        </is>
      </c>
      <c r="M4149" s="23" t="n">
        <v>4237.29</v>
      </c>
      <c r="N4149" s="23" t="n">
        <v>5000</v>
      </c>
      <c r="O4149" s="24">
        <f>IF(AND(ISNUMBER(M4149), ISNUMBER(I4149), I4149&gt;0), M4149/I4149, "")</f>
        <v/>
      </c>
    </row>
    <row r="4150">
      <c r="A4150" s="19" t="inlineStr">
        <is>
          <t>FY27</t>
        </is>
      </c>
      <c r="B4150" s="19" t="inlineStr">
        <is>
          <t>Sep</t>
        </is>
      </c>
      <c r="C4150" s="19" t="inlineStr">
        <is>
          <t>TN</t>
        </is>
      </c>
      <c r="D4150" s="20" t="inlineStr">
        <is>
          <t>TN22BB4074</t>
        </is>
      </c>
      <c r="E4150" s="20" t="inlineStr">
        <is>
          <t>MARUTI SUZUKI</t>
        </is>
      </c>
      <c r="F4150" s="20" t="inlineStr">
        <is>
          <t>Wagon R</t>
        </is>
      </c>
      <c r="G4150" s="21" t="n">
        <v>2008</v>
      </c>
      <c r="H4150" s="22" t="n">
        <v>42884</v>
      </c>
      <c r="I4150" s="23" t="n">
        <v>96000</v>
      </c>
      <c r="J4150" s="20" t="inlineStr">
        <is>
          <t>VISHNU CARS PRIVATE LIMITED</t>
        </is>
      </c>
      <c r="K4150" s="20" t="inlineStr">
        <is>
          <t>Non-Captive</t>
        </is>
      </c>
      <c r="L4150" s="20" t="inlineStr">
        <is>
          <t>Santhosh Cars</t>
        </is>
      </c>
      <c r="M4150" s="23" t="n">
        <v>4237.29</v>
      </c>
      <c r="N4150" s="23" t="n">
        <v>5000</v>
      </c>
      <c r="O4150" s="24">
        <f>IF(AND(ISNUMBER(M4150), ISNUMBER(I4150), I4150&gt;0), M4150/I4150, "")</f>
        <v/>
      </c>
    </row>
    <row r="4151">
      <c r="A4151" s="19" t="inlineStr">
        <is>
          <t>FY27</t>
        </is>
      </c>
      <c r="B4151" s="19" t="inlineStr">
        <is>
          <t>Sep</t>
        </is>
      </c>
      <c r="C4151" s="19" t="inlineStr">
        <is>
          <t>TN</t>
        </is>
      </c>
      <c r="D4151" s="20" t="inlineStr">
        <is>
          <t>TN22BP6360</t>
        </is>
      </c>
      <c r="E4151" s="20" t="inlineStr">
        <is>
          <t>MARUTI SUZUKI</t>
        </is>
      </c>
      <c r="F4151" s="20" t="inlineStr">
        <is>
          <t>Ritz</t>
        </is>
      </c>
      <c r="G4151" s="21" t="n">
        <v>2011</v>
      </c>
      <c r="H4151" s="22" t="n">
        <v>38984</v>
      </c>
      <c r="I4151" s="23" t="n">
        <v>92000</v>
      </c>
      <c r="J4151" s="20" t="inlineStr">
        <is>
          <t>HARSHA TOYOTA</t>
        </is>
      </c>
      <c r="K4151" s="20" t="inlineStr">
        <is>
          <t>Non-Captive</t>
        </is>
      </c>
      <c r="L4151" s="20" t="inlineStr">
        <is>
          <t>Grid 33</t>
        </is>
      </c>
      <c r="M4151" s="23" t="n">
        <v>4661.02</v>
      </c>
      <c r="N4151" s="23" t="n">
        <v>5500</v>
      </c>
      <c r="O4151" s="24">
        <f>IF(AND(ISNUMBER(M4151), ISNUMBER(I4151), I4151&gt;0), M4151/I4151, "")</f>
        <v/>
      </c>
    </row>
    <row r="4152">
      <c r="A4152" s="19" t="inlineStr">
        <is>
          <t>FY27</t>
        </is>
      </c>
      <c r="B4152" s="19" t="inlineStr">
        <is>
          <t>Sep</t>
        </is>
      </c>
      <c r="C4152" s="19" t="inlineStr">
        <is>
          <t>TN</t>
        </is>
      </c>
      <c r="D4152" s="20" t="inlineStr">
        <is>
          <t>TN22BP8318</t>
        </is>
      </c>
      <c r="E4152" s="20" t="inlineStr">
        <is>
          <t>FORD</t>
        </is>
      </c>
      <c r="F4152" s="20" t="inlineStr">
        <is>
          <t>Figo</t>
        </is>
      </c>
      <c r="G4152" s="21" t="n">
        <v>2011</v>
      </c>
      <c r="H4152" s="22" t="n">
        <v>104012</v>
      </c>
      <c r="I4152" s="23" t="n">
        <v>97000</v>
      </c>
      <c r="J4152" s="20" t="inlineStr">
        <is>
          <t>VISHNU CARS PRIVATE LIMITED</t>
        </is>
      </c>
      <c r="K4152" s="20" t="inlineStr">
        <is>
          <t>Non-Captive</t>
        </is>
      </c>
      <c r="L4152" s="20" t="inlineStr">
        <is>
          <t>Santhosh Cars</t>
        </is>
      </c>
      <c r="M4152" s="23" t="n">
        <v>4237.29</v>
      </c>
      <c r="N4152" s="23" t="n">
        <v>5000</v>
      </c>
      <c r="O4152" s="24">
        <f>IF(AND(ISNUMBER(M4152), ISNUMBER(I4152), I4152&gt;0), M4152/I4152, "")</f>
        <v/>
      </c>
    </row>
    <row r="4153">
      <c r="A4153" s="19" t="inlineStr">
        <is>
          <t>FY27</t>
        </is>
      </c>
      <c r="B4153" s="19" t="inlineStr">
        <is>
          <t>Sep</t>
        </is>
      </c>
      <c r="C4153" s="19" t="inlineStr">
        <is>
          <t>TN</t>
        </is>
      </c>
      <c r="D4153" s="20" t="inlineStr">
        <is>
          <t>TN22BQ7456</t>
        </is>
      </c>
      <c r="E4153" s="20" t="inlineStr">
        <is>
          <t>MARUTI SUZUKI</t>
        </is>
      </c>
      <c r="F4153" s="20" t="inlineStr">
        <is>
          <t>Wagon R</t>
        </is>
      </c>
      <c r="G4153" s="21" t="n">
        <v>2011</v>
      </c>
      <c r="H4153" s="22" t="n">
        <v>99999</v>
      </c>
      <c r="I4153" s="23" t="n">
        <v>94000</v>
      </c>
      <c r="J4153" s="20" t="inlineStr">
        <is>
          <t>FPL AUTOMOBILES PRIVATE LIMITED</t>
        </is>
      </c>
      <c r="K4153" s="20" t="inlineStr">
        <is>
          <t>Non-Captive</t>
        </is>
      </c>
      <c r="L4153" s="20" t="inlineStr">
        <is>
          <t>Pine Autos</t>
        </is>
      </c>
      <c r="M4153" s="23" t="n">
        <v>4237.29</v>
      </c>
      <c r="N4153" s="23" t="n">
        <v>5000</v>
      </c>
      <c r="O4153" s="24">
        <f>IF(AND(ISNUMBER(M4153), ISNUMBER(I4153), I4153&gt;0), M4153/I4153, "")</f>
        <v/>
      </c>
    </row>
    <row r="4154">
      <c r="A4154" s="19" t="inlineStr">
        <is>
          <t>FY27</t>
        </is>
      </c>
      <c r="B4154" s="19" t="inlineStr">
        <is>
          <t>Sep</t>
        </is>
      </c>
      <c r="C4154" s="19" t="inlineStr">
        <is>
          <t>TN</t>
        </is>
      </c>
      <c r="D4154" s="20" t="inlineStr">
        <is>
          <t>TN22BQ7551</t>
        </is>
      </c>
      <c r="E4154" s="20" t="inlineStr">
        <is>
          <t>MARUTI SUZUKI</t>
        </is>
      </c>
      <c r="F4154" s="20" t="inlineStr">
        <is>
          <t>Wagon R</t>
        </is>
      </c>
      <c r="G4154" s="21" t="n">
        <v>2011</v>
      </c>
      <c r="H4154" s="22" t="n">
        <v>60062</v>
      </c>
      <c r="I4154" s="23" t="n">
        <v>92000</v>
      </c>
      <c r="J4154" s="20" t="inlineStr">
        <is>
          <t>STEER AUTO TECHNOLOGIES PRIVATE LIMITED</t>
        </is>
      </c>
      <c r="K4154" s="20" t="inlineStr">
        <is>
          <t>Non-Captive</t>
        </is>
      </c>
      <c r="L4154" s="20" t="inlineStr">
        <is>
          <t>Cars24</t>
        </is>
      </c>
      <c r="M4154" s="23" t="n">
        <v>4237.29</v>
      </c>
      <c r="N4154" s="23" t="n">
        <v>5000</v>
      </c>
      <c r="O4154" s="24">
        <f>IF(AND(ISNUMBER(M4154), ISNUMBER(I4154), I4154&gt;0), M4154/I4154, "")</f>
        <v/>
      </c>
    </row>
    <row r="4155">
      <c r="A4155" s="19" t="inlineStr">
        <is>
          <t>FY27</t>
        </is>
      </c>
      <c r="B4155" s="19" t="inlineStr">
        <is>
          <t>Sep</t>
        </is>
      </c>
      <c r="C4155" s="19" t="inlineStr">
        <is>
          <t>TN</t>
        </is>
      </c>
      <c r="D4155" s="20" t="inlineStr">
        <is>
          <t>TN22BR4653</t>
        </is>
      </c>
      <c r="E4155" s="20" t="inlineStr">
        <is>
          <t>MARUTI SUZUKI</t>
        </is>
      </c>
      <c r="F4155" s="20" t="inlineStr">
        <is>
          <t>Alto</t>
        </is>
      </c>
      <c r="G4155" s="21" t="n">
        <v>2011</v>
      </c>
      <c r="H4155" s="22" t="n">
        <v>32584</v>
      </c>
      <c r="I4155" s="23" t="n">
        <v>25000</v>
      </c>
      <c r="J4155" s="20" t="inlineStr">
        <is>
          <t>EXCHANGE CHENNAI</t>
        </is>
      </c>
      <c r="K4155" s="20" t="inlineStr">
        <is>
          <t>Captive</t>
        </is>
      </c>
      <c r="L4155" s="20" t="inlineStr">
        <is>
          <t>Santhosh Cars</t>
        </is>
      </c>
      <c r="M4155" s="23" t="n">
        <v>4237.29</v>
      </c>
      <c r="N4155" s="23" t="n">
        <v>5000</v>
      </c>
      <c r="O4155" s="24">
        <f>IF(AND(ISNUMBER(M4155), ISNUMBER(I4155), I4155&gt;0), M4155/I4155, "")</f>
        <v/>
      </c>
    </row>
    <row r="4156">
      <c r="A4156" s="19" t="inlineStr">
        <is>
          <t>FY27</t>
        </is>
      </c>
      <c r="B4156" s="19" t="inlineStr">
        <is>
          <t>Sep</t>
        </is>
      </c>
      <c r="C4156" s="19" t="inlineStr">
        <is>
          <t>TN</t>
        </is>
      </c>
      <c r="D4156" s="20" t="inlineStr">
        <is>
          <t>TN22BS0217</t>
        </is>
      </c>
      <c r="E4156" s="20" t="inlineStr">
        <is>
          <t>HYUNDAI</t>
        </is>
      </c>
      <c r="F4156" s="20" t="inlineStr">
        <is>
          <t>i10</t>
        </is>
      </c>
      <c r="G4156" s="21" t="n">
        <v>2010</v>
      </c>
      <c r="H4156" s="22" t="n">
        <v>87451</v>
      </c>
      <c r="I4156" s="23" t="n">
        <v>90000</v>
      </c>
      <c r="J4156" s="20" t="inlineStr">
        <is>
          <t>EXCHANGE ROTN</t>
        </is>
      </c>
      <c r="K4156" s="20" t="inlineStr">
        <is>
          <t>Captive</t>
        </is>
      </c>
      <c r="L4156" s="20" t="inlineStr">
        <is>
          <t>Sai Cars</t>
        </is>
      </c>
      <c r="M4156" s="23" t="n">
        <v>4237.29</v>
      </c>
      <c r="N4156" s="23" t="n">
        <v>5000</v>
      </c>
      <c r="O4156" s="24">
        <f>IF(AND(ISNUMBER(M4156), ISNUMBER(I4156), I4156&gt;0), M4156/I4156, "")</f>
        <v/>
      </c>
    </row>
    <row r="4157">
      <c r="A4157" s="19" t="inlineStr">
        <is>
          <t>FY27</t>
        </is>
      </c>
      <c r="B4157" s="19" t="inlineStr">
        <is>
          <t>Sep</t>
        </is>
      </c>
      <c r="C4157" s="19" t="inlineStr">
        <is>
          <t>TN</t>
        </is>
      </c>
      <c r="D4157" s="20" t="inlineStr">
        <is>
          <t>TN22BW2417</t>
        </is>
      </c>
      <c r="E4157" s="20" t="inlineStr">
        <is>
          <t>MARUTI SUZUKI</t>
        </is>
      </c>
      <c r="F4157" s="20" t="inlineStr">
        <is>
          <t>Zen Estilo</t>
        </is>
      </c>
      <c r="G4157" s="21" t="n">
        <v>2009</v>
      </c>
      <c r="H4157" s="22" t="n">
        <v>61768</v>
      </c>
      <c r="I4157" s="23" t="n">
        <v>97000</v>
      </c>
      <c r="J4157" s="20" t="inlineStr">
        <is>
          <t>PRODUCTIVITY ELEMENTS PRIVATE LIMITED</t>
        </is>
      </c>
      <c r="K4157" s="20" t="inlineStr">
        <is>
          <t>Non-Captive</t>
        </is>
      </c>
      <c r="L4157" s="20" t="inlineStr">
        <is>
          <t>Grid 33</t>
        </is>
      </c>
      <c r="M4157" s="23" t="n">
        <v>4237.29</v>
      </c>
      <c r="N4157" s="23" t="n">
        <v>5000</v>
      </c>
      <c r="O4157" s="24">
        <f>IF(AND(ISNUMBER(M4157), ISNUMBER(I4157), I4157&gt;0), M4157/I4157, "")</f>
        <v/>
      </c>
    </row>
    <row r="4158">
      <c r="A4158" s="19" t="inlineStr">
        <is>
          <t>FY27</t>
        </is>
      </c>
      <c r="B4158" s="19" t="inlineStr">
        <is>
          <t>Sep</t>
        </is>
      </c>
      <c r="C4158" s="19" t="inlineStr">
        <is>
          <t>TN</t>
        </is>
      </c>
      <c r="D4158" s="20" t="inlineStr">
        <is>
          <t>TN22BZ6528</t>
        </is>
      </c>
      <c r="E4158" s="20" t="inlineStr">
        <is>
          <t>MARUTI SUZUKI</t>
        </is>
      </c>
      <c r="F4158" s="20" t="inlineStr">
        <is>
          <t>Zen Estilo</t>
        </is>
      </c>
      <c r="G4158" s="21" t="n">
        <v>2008</v>
      </c>
      <c r="H4158" s="22" t="n">
        <v>10672</v>
      </c>
      <c r="I4158" s="23" t="n">
        <v>96000</v>
      </c>
      <c r="J4158" s="20" t="inlineStr">
        <is>
          <t>POPULAR VEHICLES</t>
        </is>
      </c>
      <c r="K4158" s="20" t="inlineStr">
        <is>
          <t>Non-Captive</t>
        </is>
      </c>
      <c r="L4158" s="20" t="inlineStr">
        <is>
          <t>Value Drive Tech</t>
        </is>
      </c>
      <c r="M4158" s="23" t="n">
        <v>4237.29</v>
      </c>
      <c r="N4158" s="23" t="n">
        <v>5000</v>
      </c>
      <c r="O4158" s="24">
        <f>IF(AND(ISNUMBER(M4158), ISNUMBER(I4158), I4158&gt;0), M4158/I4158, "")</f>
        <v/>
      </c>
    </row>
    <row r="4159">
      <c r="A4159" s="19" t="inlineStr">
        <is>
          <t>FY27</t>
        </is>
      </c>
      <c r="B4159" s="19" t="inlineStr">
        <is>
          <t>Sep</t>
        </is>
      </c>
      <c r="C4159" s="19" t="inlineStr">
        <is>
          <t>TN</t>
        </is>
      </c>
      <c r="D4159" s="20" t="inlineStr">
        <is>
          <t>TN22CC0742</t>
        </is>
      </c>
      <c r="E4159" s="20" t="inlineStr">
        <is>
          <t>MARUTI SUZUKI</t>
        </is>
      </c>
      <c r="F4159" s="20" t="inlineStr">
        <is>
          <t>Alto K10</t>
        </is>
      </c>
      <c r="G4159" s="21" t="n">
        <v>2011</v>
      </c>
      <c r="H4159" s="22" t="n">
        <v>42559</v>
      </c>
      <c r="I4159" s="23" t="n">
        <v>192000</v>
      </c>
      <c r="J4159" s="20" t="inlineStr">
        <is>
          <t>ABT LIMITED</t>
        </is>
      </c>
      <c r="K4159" s="20" t="inlineStr">
        <is>
          <t>Non-Captive</t>
        </is>
      </c>
      <c r="L4159" s="20" t="inlineStr">
        <is>
          <t>Ram Manohar</t>
        </is>
      </c>
      <c r="M4159" s="23" t="n">
        <v>3389.83</v>
      </c>
      <c r="N4159" s="23" t="n">
        <v>4000</v>
      </c>
      <c r="O4159" s="24">
        <f>IF(AND(ISNUMBER(M4159), ISNUMBER(I4159), I4159&gt;0), M4159/I4159, "")</f>
        <v/>
      </c>
    </row>
    <row r="4160">
      <c r="A4160" s="19" t="inlineStr">
        <is>
          <t>FY27</t>
        </is>
      </c>
      <c r="B4160" s="19" t="inlineStr">
        <is>
          <t>Sep</t>
        </is>
      </c>
      <c r="C4160" s="19" t="inlineStr">
        <is>
          <t>TN</t>
        </is>
      </c>
      <c r="D4160" s="20" t="inlineStr">
        <is>
          <t>TN22CD4714</t>
        </is>
      </c>
      <c r="E4160" s="20" t="inlineStr">
        <is>
          <t>MARUTI SUZUKI</t>
        </is>
      </c>
      <c r="F4160" s="20" t="inlineStr">
        <is>
          <t>A-Star</t>
        </is>
      </c>
      <c r="G4160" s="21" t="n">
        <v>2012</v>
      </c>
      <c r="H4160" s="22" t="n">
        <v>55692</v>
      </c>
      <c r="I4160" s="23" t="n">
        <v>92000</v>
      </c>
      <c r="J4160" s="20" t="inlineStr">
        <is>
          <t>LANSON QCARS PRIVATE LIMITED</t>
        </is>
      </c>
      <c r="K4160" s="20" t="inlineStr">
        <is>
          <t>Non-Captive</t>
        </is>
      </c>
      <c r="L4160" s="20" t="inlineStr">
        <is>
          <t>Srijja Travels</t>
        </is>
      </c>
      <c r="M4160" s="23" t="n">
        <v>4237.29</v>
      </c>
      <c r="N4160" s="23" t="n">
        <v>5000</v>
      </c>
      <c r="O4160" s="24">
        <f>IF(AND(ISNUMBER(M4160), ISNUMBER(I4160), I4160&gt;0), M4160/I4160, "")</f>
        <v/>
      </c>
    </row>
    <row r="4161">
      <c r="A4161" s="19" t="inlineStr">
        <is>
          <t>FY27</t>
        </is>
      </c>
      <c r="B4161" s="19" t="inlineStr">
        <is>
          <t>Sep</t>
        </is>
      </c>
      <c r="C4161" s="19" t="inlineStr">
        <is>
          <t>TN</t>
        </is>
      </c>
      <c r="D4161" s="20" t="inlineStr">
        <is>
          <t>TN22CF2554</t>
        </is>
      </c>
      <c r="E4161" s="20" t="inlineStr">
        <is>
          <t>MARUTI SUZUKI</t>
        </is>
      </c>
      <c r="F4161" s="20" t="inlineStr">
        <is>
          <t>Alto K10</t>
        </is>
      </c>
      <c r="G4161" s="21" t="n">
        <v>2012</v>
      </c>
      <c r="H4161" s="22" t="n">
        <v>93308</v>
      </c>
      <c r="I4161" s="23" t="n">
        <v>97000</v>
      </c>
      <c r="J4161" s="20" t="inlineStr">
        <is>
          <t>EXCHANGE ROTN</t>
        </is>
      </c>
      <c r="K4161" s="20" t="inlineStr">
        <is>
          <t>Captive</t>
        </is>
      </c>
      <c r="L4161" s="20" t="inlineStr">
        <is>
          <t>Mr.Cars</t>
        </is>
      </c>
      <c r="M4161" s="23" t="n">
        <v>4237.29</v>
      </c>
      <c r="N4161" s="23" t="n">
        <v>5000</v>
      </c>
      <c r="O4161" s="24">
        <f>IF(AND(ISNUMBER(M4161), ISNUMBER(I4161), I4161&gt;0), M4161/I4161, "")</f>
        <v/>
      </c>
    </row>
    <row r="4162">
      <c r="A4162" s="19" t="inlineStr">
        <is>
          <t>FY27</t>
        </is>
      </c>
      <c r="B4162" s="19" t="inlineStr">
        <is>
          <t>Sep</t>
        </is>
      </c>
      <c r="C4162" s="19" t="inlineStr">
        <is>
          <t>TN</t>
        </is>
      </c>
      <c r="D4162" s="20" t="inlineStr">
        <is>
          <t>TN22CJ3173</t>
        </is>
      </c>
      <c r="E4162" s="20" t="inlineStr">
        <is>
          <t>MARUTI SUZUKI</t>
        </is>
      </c>
      <c r="F4162" s="20" t="inlineStr">
        <is>
          <t>Dzire</t>
        </is>
      </c>
      <c r="G4162" s="21" t="n">
        <v>2012</v>
      </c>
      <c r="H4162" s="22" t="n">
        <v>69018</v>
      </c>
      <c r="I4162" s="23" t="n">
        <v>93000</v>
      </c>
      <c r="J4162" s="20" t="inlineStr">
        <is>
          <t>THIYA CARS</t>
        </is>
      </c>
      <c r="K4162" s="20" t="inlineStr">
        <is>
          <t>Non-Captive</t>
        </is>
      </c>
      <c r="L4162" s="20" t="inlineStr">
        <is>
          <t>Srijja Travels</t>
        </is>
      </c>
      <c r="M4162" s="23" t="n">
        <v>4237.29</v>
      </c>
      <c r="N4162" s="23" t="n">
        <v>5000</v>
      </c>
      <c r="O4162" s="24">
        <f>IF(AND(ISNUMBER(M4162), ISNUMBER(I4162), I4162&gt;0), M4162/I4162, "")</f>
        <v/>
      </c>
    </row>
    <row r="4163">
      <c r="A4163" s="19" t="inlineStr">
        <is>
          <t>FY27</t>
        </is>
      </c>
      <c r="B4163" s="19" t="inlineStr">
        <is>
          <t>Sep</t>
        </is>
      </c>
      <c r="C4163" s="19" t="inlineStr">
        <is>
          <t>TN</t>
        </is>
      </c>
      <c r="D4163" s="20" t="inlineStr">
        <is>
          <t>TN22CP1801</t>
        </is>
      </c>
      <c r="E4163" s="20" t="inlineStr">
        <is>
          <t>HONDA</t>
        </is>
      </c>
      <c r="F4163" s="20" t="inlineStr">
        <is>
          <t>Brio</t>
        </is>
      </c>
      <c r="G4163" s="21" t="n">
        <v>2013</v>
      </c>
      <c r="H4163" s="22" t="n">
        <v>108402</v>
      </c>
      <c r="I4163" s="23" t="n">
        <v>86000</v>
      </c>
      <c r="J4163" s="20" t="inlineStr">
        <is>
          <t>VISHNU CARS PRIVATE LIMITED</t>
        </is>
      </c>
      <c r="K4163" s="20" t="inlineStr">
        <is>
          <t>Non-Captive</t>
        </is>
      </c>
      <c r="L4163" s="20" t="inlineStr">
        <is>
          <t>Santhosh Cars</t>
        </is>
      </c>
      <c r="M4163" s="23" t="n">
        <v>3389.83</v>
      </c>
      <c r="N4163" s="23" t="n">
        <v>4000</v>
      </c>
      <c r="O4163" s="24">
        <f>IF(AND(ISNUMBER(M4163), ISNUMBER(I4163), I4163&gt;0), M4163/I4163, "")</f>
        <v/>
      </c>
    </row>
    <row r="4164">
      <c r="A4164" s="19" t="inlineStr">
        <is>
          <t>FY27</t>
        </is>
      </c>
      <c r="B4164" s="19" t="inlineStr">
        <is>
          <t>Sep</t>
        </is>
      </c>
      <c r="C4164" s="19" t="inlineStr">
        <is>
          <t>TN</t>
        </is>
      </c>
      <c r="D4164" s="20" t="inlineStr">
        <is>
          <t>TN22CQ4705</t>
        </is>
      </c>
      <c r="E4164" s="20" t="inlineStr">
        <is>
          <t>TATA</t>
        </is>
      </c>
      <c r="F4164" s="20" t="inlineStr">
        <is>
          <t>Indica</t>
        </is>
      </c>
      <c r="G4164" s="21" t="n">
        <v>2014</v>
      </c>
      <c r="H4164" s="22" t="n">
        <v>102742</v>
      </c>
      <c r="I4164" s="23" t="n">
        <v>94000</v>
      </c>
      <c r="J4164" s="20" t="inlineStr">
        <is>
          <t>AIE CARS PRIVATE LIMITED</t>
        </is>
      </c>
      <c r="K4164" s="20" t="inlineStr">
        <is>
          <t>Non-Captive</t>
        </is>
      </c>
      <c r="L4164" s="20" t="inlineStr">
        <is>
          <t>VS Enterprises</t>
        </is>
      </c>
      <c r="M4164" s="23" t="n">
        <v>4237.29</v>
      </c>
      <c r="N4164" s="23" t="n">
        <v>5000</v>
      </c>
      <c r="O4164" s="24">
        <f>IF(AND(ISNUMBER(M4164), ISNUMBER(I4164), I4164&gt;0), M4164/I4164, "")</f>
        <v/>
      </c>
    </row>
    <row r="4165">
      <c r="A4165" s="19" t="inlineStr">
        <is>
          <t>FY27</t>
        </is>
      </c>
      <c r="B4165" s="19" t="inlineStr">
        <is>
          <t>Sep</t>
        </is>
      </c>
      <c r="C4165" s="19" t="inlineStr">
        <is>
          <t>TN</t>
        </is>
      </c>
      <c r="D4165" s="20" t="inlineStr">
        <is>
          <t>TN22CR1382</t>
        </is>
      </c>
      <c r="E4165" s="20" t="inlineStr">
        <is>
          <t>VOLKSWAGEN</t>
        </is>
      </c>
      <c r="F4165" s="20" t="inlineStr">
        <is>
          <t>Polo</t>
        </is>
      </c>
      <c r="G4165" s="21" t="n">
        <v>2013</v>
      </c>
      <c r="H4165" s="22" t="n">
        <v>253805</v>
      </c>
      <c r="I4165" s="23" t="n">
        <v>89000</v>
      </c>
      <c r="J4165" s="20" t="inlineStr">
        <is>
          <t>THIYA CARS</t>
        </is>
      </c>
      <c r="K4165" s="20" t="inlineStr">
        <is>
          <t>Non-Captive</t>
        </is>
      </c>
      <c r="L4165" s="20" t="inlineStr">
        <is>
          <t>Value Drive Tech</t>
        </is>
      </c>
      <c r="M4165" s="23" t="n">
        <v>4237.29</v>
      </c>
      <c r="N4165" s="23" t="n">
        <v>5000</v>
      </c>
      <c r="O4165" s="24">
        <f>IF(AND(ISNUMBER(M4165), ISNUMBER(I4165), I4165&gt;0), M4165/I4165, "")</f>
        <v/>
      </c>
    </row>
    <row r="4166">
      <c r="A4166" s="19" t="inlineStr">
        <is>
          <t>FY27</t>
        </is>
      </c>
      <c r="B4166" s="19" t="inlineStr">
        <is>
          <t>Sep</t>
        </is>
      </c>
      <c r="C4166" s="19" t="inlineStr">
        <is>
          <t>TN</t>
        </is>
      </c>
      <c r="D4166" s="20" t="inlineStr">
        <is>
          <t>TN22DM7436</t>
        </is>
      </c>
      <c r="E4166" s="20" t="inlineStr">
        <is>
          <t>HYUNDAI</t>
        </is>
      </c>
      <c r="F4166" s="20" t="inlineStr">
        <is>
          <t>i20</t>
        </is>
      </c>
      <c r="G4166" s="21" t="n"/>
      <c r="H4166" s="22" t="n"/>
      <c r="I4166" s="23" t="n">
        <v>405000</v>
      </c>
      <c r="J4166" s="20" t="inlineStr">
        <is>
          <t>EXCHANGE CHENNAI</t>
        </is>
      </c>
      <c r="K4166" s="20" t="inlineStr">
        <is>
          <t>Captive</t>
        </is>
      </c>
      <c r="L4166" s="20" t="inlineStr">
        <is>
          <t>Santhosh Cars</t>
        </is>
      </c>
      <c r="M4166" s="23" t="n">
        <v>8474.58</v>
      </c>
      <c r="N4166" s="23" t="n">
        <v>10000</v>
      </c>
      <c r="O4166" s="24">
        <f>IF(AND(ISNUMBER(M4166), ISNUMBER(I4166), I4166&gt;0), M4166/I4166, "")</f>
        <v/>
      </c>
    </row>
    <row r="4167">
      <c r="A4167" s="19" t="inlineStr">
        <is>
          <t>FY27</t>
        </is>
      </c>
      <c r="B4167" s="19" t="inlineStr">
        <is>
          <t>Sep</t>
        </is>
      </c>
      <c r="C4167" s="19" t="inlineStr">
        <is>
          <t>TN</t>
        </is>
      </c>
      <c r="D4167" s="20" t="inlineStr">
        <is>
          <t>TN22DQ5262</t>
        </is>
      </c>
      <c r="E4167" s="20" t="inlineStr">
        <is>
          <t>HYUNDAI</t>
        </is>
      </c>
      <c r="F4167" s="20" t="inlineStr">
        <is>
          <t>Xcent</t>
        </is>
      </c>
      <c r="G4167" s="21" t="n">
        <v>2019</v>
      </c>
      <c r="H4167" s="22" t="n">
        <v>45027</v>
      </c>
      <c r="I4167" s="23" t="n">
        <v>385000</v>
      </c>
      <c r="J4167" s="20" t="inlineStr">
        <is>
          <t>EXCHANGE CHENNAI</t>
        </is>
      </c>
      <c r="K4167" s="20" t="inlineStr">
        <is>
          <t>Captive</t>
        </is>
      </c>
      <c r="L4167" s="20" t="inlineStr"/>
      <c r="M4167" s="23" t="n">
        <v>8474.58</v>
      </c>
      <c r="N4167" s="23" t="n">
        <v>10000</v>
      </c>
      <c r="O4167" s="24">
        <f>IF(AND(ISNUMBER(M4167), ISNUMBER(I4167), I4167&gt;0), M4167/I4167, "")</f>
        <v/>
      </c>
    </row>
    <row r="4168">
      <c r="A4168" s="19" t="inlineStr">
        <is>
          <t>FY27</t>
        </is>
      </c>
      <c r="B4168" s="19" t="inlineStr">
        <is>
          <t>Sep</t>
        </is>
      </c>
      <c r="C4168" s="19" t="inlineStr">
        <is>
          <t>TN</t>
        </is>
      </c>
      <c r="D4168" s="20" t="inlineStr">
        <is>
          <t>TN22DT3817</t>
        </is>
      </c>
      <c r="E4168" s="20" t="inlineStr">
        <is>
          <t>TATA</t>
        </is>
      </c>
      <c r="F4168" s="20" t="inlineStr">
        <is>
          <t>Nexon</t>
        </is>
      </c>
      <c r="G4168" s="21" t="n">
        <v>2020</v>
      </c>
      <c r="H4168" s="22" t="n">
        <v>103868</v>
      </c>
      <c r="I4168" s="23" t="n">
        <v>96000</v>
      </c>
      <c r="J4168" s="20" t="inlineStr">
        <is>
          <t>PRODUCTIVITY ELEMENTS PRIVATE LIMITED</t>
        </is>
      </c>
      <c r="K4168" s="20" t="inlineStr">
        <is>
          <t>Non-Captive</t>
        </is>
      </c>
      <c r="L4168" s="20" t="inlineStr">
        <is>
          <t>Castel Traders Honada</t>
        </is>
      </c>
      <c r="M4168" s="23" t="n">
        <v>4237.29</v>
      </c>
      <c r="N4168" s="23" t="n">
        <v>5000</v>
      </c>
      <c r="O4168" s="24">
        <f>IF(AND(ISNUMBER(M4168), ISNUMBER(I4168), I4168&gt;0), M4168/I4168, "")</f>
        <v/>
      </c>
    </row>
    <row r="4169">
      <c r="A4169" s="19" t="inlineStr">
        <is>
          <t>FY27</t>
        </is>
      </c>
      <c r="B4169" s="19" t="inlineStr">
        <is>
          <t>Sep</t>
        </is>
      </c>
      <c r="C4169" s="19" t="inlineStr">
        <is>
          <t>TN</t>
        </is>
      </c>
      <c r="D4169" s="20" t="inlineStr">
        <is>
          <t>TN25AJ0522</t>
        </is>
      </c>
      <c r="E4169" s="20" t="inlineStr">
        <is>
          <t>TATA</t>
        </is>
      </c>
      <c r="F4169" s="20" t="inlineStr">
        <is>
          <t>Indigo</t>
        </is>
      </c>
      <c r="G4169" s="21" t="n">
        <v>2013</v>
      </c>
      <c r="H4169" s="22" t="n">
        <v>115988</v>
      </c>
      <c r="I4169" s="23" t="n">
        <v>169000</v>
      </c>
      <c r="J4169" s="20" t="inlineStr">
        <is>
          <t>KKR ENTERPRISES</t>
        </is>
      </c>
      <c r="K4169" s="20" t="inlineStr">
        <is>
          <t>Non-Captive</t>
        </is>
      </c>
      <c r="L4169" s="20" t="inlineStr">
        <is>
          <t>Srijja Travels</t>
        </is>
      </c>
      <c r="M4169" s="23" t="n">
        <v>5084.79</v>
      </c>
      <c r="N4169" s="23" t="n">
        <v>6000.05</v>
      </c>
      <c r="O4169" s="24">
        <f>IF(AND(ISNUMBER(M4169), ISNUMBER(I4169), I4169&gt;0), M4169/I4169, "")</f>
        <v/>
      </c>
    </row>
    <row r="4170">
      <c r="A4170" s="19" t="inlineStr">
        <is>
          <t>FY27</t>
        </is>
      </c>
      <c r="B4170" s="19" t="inlineStr">
        <is>
          <t>Sep</t>
        </is>
      </c>
      <c r="C4170" s="19" t="inlineStr">
        <is>
          <t>TN</t>
        </is>
      </c>
      <c r="D4170" s="20" t="inlineStr">
        <is>
          <t>TN25BC9339</t>
        </is>
      </c>
      <c r="E4170" s="20" t="inlineStr">
        <is>
          <t>HONDA</t>
        </is>
      </c>
      <c r="F4170" s="20" t="inlineStr">
        <is>
          <t>City</t>
        </is>
      </c>
      <c r="G4170" s="21" t="n">
        <v>2017</v>
      </c>
      <c r="H4170" s="22" t="n">
        <v>180224</v>
      </c>
      <c r="I4170" s="23" t="n">
        <v>535000</v>
      </c>
      <c r="J4170" s="20" t="inlineStr">
        <is>
          <t>EXCHANGE ROTN</t>
        </is>
      </c>
      <c r="K4170" s="20" t="inlineStr">
        <is>
          <t>Captive</t>
        </is>
      </c>
      <c r="L4170" s="20" t="inlineStr">
        <is>
          <t>Ss Cars (Erode)</t>
        </is>
      </c>
      <c r="M4170" s="23" t="n">
        <v>12711.86</v>
      </c>
      <c r="N4170" s="23" t="n">
        <v>15000</v>
      </c>
      <c r="O4170" s="24">
        <f>IF(AND(ISNUMBER(M4170), ISNUMBER(I4170), I4170&gt;0), M4170/I4170, "")</f>
        <v/>
      </c>
    </row>
    <row r="4171">
      <c r="A4171" s="19" t="inlineStr">
        <is>
          <t>FY27</t>
        </is>
      </c>
      <c r="B4171" s="19" t="inlineStr">
        <is>
          <t>Sep</t>
        </is>
      </c>
      <c r="C4171" s="19" t="inlineStr">
        <is>
          <t>TN</t>
        </is>
      </c>
      <c r="D4171" s="20" t="inlineStr">
        <is>
          <t>TN25BK2450</t>
        </is>
      </c>
      <c r="E4171" s="20" t="inlineStr">
        <is>
          <t>TATA</t>
        </is>
      </c>
      <c r="F4171" s="20" t="inlineStr">
        <is>
          <t>Tigor</t>
        </is>
      </c>
      <c r="G4171" s="21" t="n">
        <v>2018</v>
      </c>
      <c r="H4171" s="22" t="n">
        <v>92222</v>
      </c>
      <c r="I4171" s="23" t="n">
        <v>310000</v>
      </c>
      <c r="J4171" s="20" t="inlineStr">
        <is>
          <t>EXCHANGE CHENNAI</t>
        </is>
      </c>
      <c r="K4171" s="20" t="inlineStr">
        <is>
          <t>Captive</t>
        </is>
      </c>
      <c r="L4171" s="20" t="inlineStr">
        <is>
          <t>Santhosh Cars</t>
        </is>
      </c>
      <c r="M4171" s="23" t="n">
        <v>8474.58</v>
      </c>
      <c r="N4171" s="23" t="n">
        <v>10000</v>
      </c>
      <c r="O4171" s="24">
        <f>IF(AND(ISNUMBER(M4171), ISNUMBER(I4171), I4171&gt;0), M4171/I4171, "")</f>
        <v/>
      </c>
    </row>
    <row r="4172">
      <c r="A4172" s="19" t="inlineStr">
        <is>
          <t>FY27</t>
        </is>
      </c>
      <c r="B4172" s="19" t="inlineStr">
        <is>
          <t>Sep</t>
        </is>
      </c>
      <c r="C4172" s="19" t="inlineStr">
        <is>
          <t>TN</t>
        </is>
      </c>
      <c r="D4172" s="20" t="inlineStr">
        <is>
          <t>TN28AZ1424</t>
        </is>
      </c>
      <c r="E4172" s="20" t="inlineStr">
        <is>
          <t>MARUTI SUZUKI</t>
        </is>
      </c>
      <c r="F4172" s="20" t="inlineStr">
        <is>
          <t>Omni</t>
        </is>
      </c>
      <c r="G4172" s="21" t="n">
        <v>2007</v>
      </c>
      <c r="H4172" s="22" t="n">
        <v>268808</v>
      </c>
      <c r="I4172" s="23" t="n">
        <v>55000</v>
      </c>
      <c r="J4172" s="20" t="inlineStr">
        <is>
          <t>EXCHANGE ROTN</t>
        </is>
      </c>
      <c r="K4172" s="20" t="inlineStr">
        <is>
          <t>Captive</t>
        </is>
      </c>
      <c r="L4172" s="20" t="inlineStr">
        <is>
          <t>Sivashankar Cars</t>
        </is>
      </c>
      <c r="M4172" s="23" t="n">
        <v>4237.29</v>
      </c>
      <c r="N4172" s="23" t="n">
        <v>5000</v>
      </c>
      <c r="O4172" s="24">
        <f>IF(AND(ISNUMBER(M4172), ISNUMBER(I4172), I4172&gt;0), M4172/I4172, "")</f>
        <v/>
      </c>
    </row>
    <row r="4173">
      <c r="A4173" s="19" t="inlineStr">
        <is>
          <t>FY27</t>
        </is>
      </c>
      <c r="B4173" s="19" t="inlineStr">
        <is>
          <t>Sep</t>
        </is>
      </c>
      <c r="C4173" s="19" t="inlineStr">
        <is>
          <t>TN</t>
        </is>
      </c>
      <c r="D4173" s="20" t="inlineStr">
        <is>
          <t>TN28BD3458</t>
        </is>
      </c>
      <c r="E4173" s="20" t="inlineStr">
        <is>
          <t>RENAULT</t>
        </is>
      </c>
      <c r="F4173" s="20" t="inlineStr">
        <is>
          <t>Kwid</t>
        </is>
      </c>
      <c r="G4173" s="21" t="n">
        <v>2018</v>
      </c>
      <c r="H4173" s="22" t="n">
        <v>108046</v>
      </c>
      <c r="I4173" s="23" t="n">
        <v>180000</v>
      </c>
      <c r="J4173" s="20" t="inlineStr">
        <is>
          <t>EXCHANGE ROTN</t>
        </is>
      </c>
      <c r="K4173" s="20" t="inlineStr">
        <is>
          <t>Captive</t>
        </is>
      </c>
      <c r="L4173" s="20" t="inlineStr">
        <is>
          <t>Sivashankar Cars</t>
        </is>
      </c>
      <c r="M4173" s="23" t="n">
        <v>8474.58</v>
      </c>
      <c r="N4173" s="23" t="n">
        <v>10000</v>
      </c>
      <c r="O4173" s="24">
        <f>IF(AND(ISNUMBER(M4173), ISNUMBER(I4173), I4173&gt;0), M4173/I4173, "")</f>
        <v/>
      </c>
    </row>
    <row r="4174">
      <c r="A4174" s="19" t="inlineStr">
        <is>
          <t>FY27</t>
        </is>
      </c>
      <c r="B4174" s="19" t="inlineStr">
        <is>
          <t>Sep</t>
        </is>
      </c>
      <c r="C4174" s="19" t="inlineStr">
        <is>
          <t>TN</t>
        </is>
      </c>
      <c r="D4174" s="20" t="inlineStr">
        <is>
          <t>TN29AT9670</t>
        </is>
      </c>
      <c r="E4174" s="20" t="inlineStr">
        <is>
          <t>HONDA</t>
        </is>
      </c>
      <c r="F4174" s="20" t="inlineStr">
        <is>
          <t>Amaze</t>
        </is>
      </c>
      <c r="G4174" s="21" t="n">
        <v>2014</v>
      </c>
      <c r="H4174" s="22" t="n">
        <v>198725</v>
      </c>
      <c r="I4174" s="23" t="n">
        <v>150000</v>
      </c>
      <c r="J4174" s="20" t="inlineStr">
        <is>
          <t>EXCHANGE ROTN</t>
        </is>
      </c>
      <c r="K4174" s="20" t="inlineStr">
        <is>
          <t>Captive</t>
        </is>
      </c>
      <c r="L4174" s="20" t="inlineStr"/>
      <c r="M4174" s="23" t="n">
        <v>4237.29</v>
      </c>
      <c r="N4174" s="23" t="n">
        <v>5000</v>
      </c>
      <c r="O4174" s="24">
        <f>IF(AND(ISNUMBER(M4174), ISNUMBER(I4174), I4174&gt;0), M4174/I4174, "")</f>
        <v/>
      </c>
    </row>
    <row r="4175">
      <c r="A4175" s="19" t="inlineStr">
        <is>
          <t>FY27</t>
        </is>
      </c>
      <c r="B4175" s="19" t="inlineStr">
        <is>
          <t>Sep</t>
        </is>
      </c>
      <c r="C4175" s="19" t="inlineStr">
        <is>
          <t>TN</t>
        </is>
      </c>
      <c r="D4175" s="20" t="inlineStr">
        <is>
          <t>TN29BF5469</t>
        </is>
      </c>
      <c r="E4175" s="20" t="inlineStr">
        <is>
          <t>HONDA</t>
        </is>
      </c>
      <c r="F4175" s="20" t="inlineStr">
        <is>
          <t>Amaze</t>
        </is>
      </c>
      <c r="G4175" s="21" t="n">
        <v>2017</v>
      </c>
      <c r="H4175" s="22" t="n">
        <v>162039</v>
      </c>
      <c r="I4175" s="23" t="n">
        <v>350000</v>
      </c>
      <c r="J4175" s="20" t="inlineStr">
        <is>
          <t>EXCHANGE ROTN</t>
        </is>
      </c>
      <c r="K4175" s="20" t="inlineStr">
        <is>
          <t>Captive</t>
        </is>
      </c>
      <c r="L4175" s="20" t="inlineStr">
        <is>
          <t>Sri Raja Kanapathy Cars</t>
        </is>
      </c>
      <c r="M4175" s="23" t="n">
        <v>10169.49</v>
      </c>
      <c r="N4175" s="23" t="n">
        <v>12000</v>
      </c>
      <c r="O4175" s="24">
        <f>IF(AND(ISNUMBER(M4175), ISNUMBER(I4175), I4175&gt;0), M4175/I4175, "")</f>
        <v/>
      </c>
    </row>
    <row r="4176">
      <c r="A4176" s="19" t="inlineStr">
        <is>
          <t>FY27</t>
        </is>
      </c>
      <c r="B4176" s="19" t="inlineStr">
        <is>
          <t>Sep</t>
        </is>
      </c>
      <c r="C4176" s="19" t="inlineStr">
        <is>
          <t>TN</t>
        </is>
      </c>
      <c r="D4176" s="20" t="inlineStr">
        <is>
          <t>TN29BJ5650</t>
        </is>
      </c>
      <c r="E4176" s="20" t="inlineStr">
        <is>
          <t>HYUNDAI</t>
        </is>
      </c>
      <c r="F4176" s="20" t="inlineStr">
        <is>
          <t>i10</t>
        </is>
      </c>
      <c r="G4176" s="21" t="n">
        <v>2018</v>
      </c>
      <c r="H4176" s="22" t="n">
        <v>65755</v>
      </c>
      <c r="I4176" s="23" t="n">
        <v>99000</v>
      </c>
      <c r="J4176" s="20" t="inlineStr">
        <is>
          <t>STEER AUTO TECHNOLOGIES PRIVATE LIMITED</t>
        </is>
      </c>
      <c r="K4176" s="20" t="inlineStr">
        <is>
          <t>Non-Captive</t>
        </is>
      </c>
      <c r="L4176" s="20" t="inlineStr">
        <is>
          <t>Santhosh Cars</t>
        </is>
      </c>
      <c r="M4176" s="23" t="n">
        <v>3389.83</v>
      </c>
      <c r="N4176" s="23" t="n">
        <v>4000</v>
      </c>
      <c r="O4176" s="24">
        <f>IF(AND(ISNUMBER(M4176), ISNUMBER(I4176), I4176&gt;0), M4176/I4176, "")</f>
        <v/>
      </c>
    </row>
    <row r="4177">
      <c r="A4177" s="19" t="inlineStr">
        <is>
          <t>FY27</t>
        </is>
      </c>
      <c r="B4177" s="19" t="inlineStr">
        <is>
          <t>Sep</t>
        </is>
      </c>
      <c r="C4177" s="19" t="inlineStr">
        <is>
          <t>TN</t>
        </is>
      </c>
      <c r="D4177" s="20" t="inlineStr">
        <is>
          <t>TN29L7356</t>
        </is>
      </c>
      <c r="E4177" s="20" t="inlineStr">
        <is>
          <t>MARUTI SUZUKI</t>
        </is>
      </c>
      <c r="F4177" s="20" t="inlineStr">
        <is>
          <t>Alto</t>
        </is>
      </c>
      <c r="G4177" s="21" t="n">
        <v>2003</v>
      </c>
      <c r="H4177" s="22" t="n">
        <v>90244</v>
      </c>
      <c r="I4177" s="23" t="n">
        <v>55000</v>
      </c>
      <c r="J4177" s="20" t="inlineStr">
        <is>
          <t>EXCHANGE ROTN</t>
        </is>
      </c>
      <c r="K4177" s="20" t="inlineStr">
        <is>
          <t>Captive</t>
        </is>
      </c>
      <c r="L4177" s="20" t="inlineStr"/>
      <c r="M4177" s="23" t="n">
        <v>4237.29</v>
      </c>
      <c r="N4177" s="23" t="n">
        <v>5000</v>
      </c>
      <c r="O4177" s="24">
        <f>IF(AND(ISNUMBER(M4177), ISNUMBER(I4177), I4177&gt;0), M4177/I4177, "")</f>
        <v/>
      </c>
    </row>
    <row r="4178">
      <c r="A4178" s="19" t="inlineStr">
        <is>
          <t>FY27</t>
        </is>
      </c>
      <c r="B4178" s="19" t="inlineStr">
        <is>
          <t>Sep</t>
        </is>
      </c>
      <c r="C4178" s="19" t="inlineStr">
        <is>
          <t>TN</t>
        </is>
      </c>
      <c r="D4178" s="20" t="inlineStr">
        <is>
          <t>TN30AT8731</t>
        </is>
      </c>
      <c r="E4178" s="20" t="inlineStr">
        <is>
          <t>TATA</t>
        </is>
      </c>
      <c r="F4178" s="20" t="inlineStr">
        <is>
          <t>Indica</t>
        </is>
      </c>
      <c r="G4178" s="21" t="n">
        <v>2013</v>
      </c>
      <c r="H4178" s="22" t="n">
        <v>144175</v>
      </c>
      <c r="I4178" s="23" t="n">
        <v>75000</v>
      </c>
      <c r="J4178" s="20" t="inlineStr">
        <is>
          <t>EXCHANGE ROTN</t>
        </is>
      </c>
      <c r="K4178" s="20" t="inlineStr">
        <is>
          <t>Captive</t>
        </is>
      </c>
      <c r="L4178" s="20" t="inlineStr">
        <is>
          <t>Niranchana Cars</t>
        </is>
      </c>
      <c r="M4178" s="23" t="n">
        <v>4237.29</v>
      </c>
      <c r="N4178" s="23" t="n">
        <v>5000</v>
      </c>
      <c r="O4178" s="24">
        <f>IF(AND(ISNUMBER(M4178), ISNUMBER(I4178), I4178&gt;0), M4178/I4178, "")</f>
        <v/>
      </c>
    </row>
    <row r="4179">
      <c r="A4179" s="19" t="inlineStr">
        <is>
          <t>FY27</t>
        </is>
      </c>
      <c r="B4179" s="19" t="inlineStr">
        <is>
          <t>Sep</t>
        </is>
      </c>
      <c r="C4179" s="19" t="inlineStr">
        <is>
          <t>TN</t>
        </is>
      </c>
      <c r="D4179" s="20" t="inlineStr">
        <is>
          <t>TN30BA3060</t>
        </is>
      </c>
      <c r="E4179" s="20" t="inlineStr">
        <is>
          <t>HONDA</t>
        </is>
      </c>
      <c r="F4179" s="20" t="inlineStr">
        <is>
          <t>Brio</t>
        </is>
      </c>
      <c r="G4179" s="21" t="n">
        <v>2013</v>
      </c>
      <c r="H4179" s="22" t="n">
        <v>61995</v>
      </c>
      <c r="I4179" s="23" t="n">
        <v>99000</v>
      </c>
      <c r="J4179" s="20" t="inlineStr">
        <is>
          <t>THIYA CARS</t>
        </is>
      </c>
      <c r="K4179" s="20" t="inlineStr">
        <is>
          <t>Non-Captive</t>
        </is>
      </c>
      <c r="L4179" s="20" t="inlineStr">
        <is>
          <t>Value Drive Tech</t>
        </is>
      </c>
      <c r="M4179" s="23" t="n">
        <v>4237.29</v>
      </c>
      <c r="N4179" s="23" t="n">
        <v>5000</v>
      </c>
      <c r="O4179" s="24">
        <f>IF(AND(ISNUMBER(M4179), ISNUMBER(I4179), I4179&gt;0), M4179/I4179, "")</f>
        <v/>
      </c>
    </row>
    <row r="4180">
      <c r="A4180" s="19" t="inlineStr">
        <is>
          <t>FY27</t>
        </is>
      </c>
      <c r="B4180" s="19" t="inlineStr">
        <is>
          <t>Sep</t>
        </is>
      </c>
      <c r="C4180" s="19" t="inlineStr">
        <is>
          <t>TN</t>
        </is>
      </c>
      <c r="D4180" s="20" t="inlineStr">
        <is>
          <t>TN30BA6755</t>
        </is>
      </c>
      <c r="E4180" s="20" t="inlineStr">
        <is>
          <t>TATA</t>
        </is>
      </c>
      <c r="F4180" s="20" t="inlineStr">
        <is>
          <t>Indica</t>
        </is>
      </c>
      <c r="G4180" s="21" t="n">
        <v>2014</v>
      </c>
      <c r="H4180" s="22" t="n">
        <v>357611</v>
      </c>
      <c r="I4180" s="23" t="n">
        <v>75000</v>
      </c>
      <c r="J4180" s="20" t="inlineStr">
        <is>
          <t>EXCHANGE ROTN</t>
        </is>
      </c>
      <c r="K4180" s="20" t="inlineStr">
        <is>
          <t>Captive</t>
        </is>
      </c>
      <c r="L4180" s="20" t="inlineStr">
        <is>
          <t>Stalin Cars</t>
        </is>
      </c>
      <c r="M4180" s="23" t="n">
        <v>4237.29</v>
      </c>
      <c r="N4180" s="23" t="n">
        <v>5000</v>
      </c>
      <c r="O4180" s="24">
        <f>IF(AND(ISNUMBER(M4180), ISNUMBER(I4180), I4180&gt;0), M4180/I4180, "")</f>
        <v/>
      </c>
    </row>
    <row r="4181">
      <c r="A4181" s="19" t="inlineStr">
        <is>
          <t>FY27</t>
        </is>
      </c>
      <c r="B4181" s="19" t="inlineStr">
        <is>
          <t>Sep</t>
        </is>
      </c>
      <c r="C4181" s="19" t="inlineStr">
        <is>
          <t>TN</t>
        </is>
      </c>
      <c r="D4181" s="20" t="inlineStr">
        <is>
          <t>TN30BP6612</t>
        </is>
      </c>
      <c r="E4181" s="20" t="inlineStr">
        <is>
          <t>MARUTI SUZUKI</t>
        </is>
      </c>
      <c r="F4181" s="20" t="inlineStr">
        <is>
          <t>Baleno</t>
        </is>
      </c>
      <c r="G4181" s="21" t="n">
        <v>2019</v>
      </c>
      <c r="H4181" s="22" t="n">
        <v>82248</v>
      </c>
      <c r="I4181" s="23" t="n">
        <v>96000</v>
      </c>
      <c r="J4181" s="20" t="inlineStr">
        <is>
          <t>PRODUCTIVITY ELEMENTS PRIVATE LIMITED</t>
        </is>
      </c>
      <c r="K4181" s="20" t="inlineStr">
        <is>
          <t>Non-Captive</t>
        </is>
      </c>
      <c r="L4181" s="20" t="inlineStr">
        <is>
          <t>Srijja Travels</t>
        </is>
      </c>
      <c r="M4181" s="23" t="n">
        <v>4237.29</v>
      </c>
      <c r="N4181" s="23" t="n">
        <v>5000</v>
      </c>
      <c r="O4181" s="24">
        <f>IF(AND(ISNUMBER(M4181), ISNUMBER(I4181), I4181&gt;0), M4181/I4181, "")</f>
        <v/>
      </c>
    </row>
    <row r="4182">
      <c r="A4182" s="19" t="inlineStr">
        <is>
          <t>FY27</t>
        </is>
      </c>
      <c r="B4182" s="19" t="inlineStr">
        <is>
          <t>Sep</t>
        </is>
      </c>
      <c r="C4182" s="19" t="inlineStr">
        <is>
          <t>TN</t>
        </is>
      </c>
      <c r="D4182" s="20" t="inlineStr">
        <is>
          <t>TN30K4848</t>
        </is>
      </c>
      <c r="E4182" s="20" t="inlineStr">
        <is>
          <t>TATA</t>
        </is>
      </c>
      <c r="F4182" s="20" t="inlineStr">
        <is>
          <t>Indica</t>
        </is>
      </c>
      <c r="G4182" s="21" t="n">
        <v>2005</v>
      </c>
      <c r="H4182" s="22" t="n">
        <v>98300</v>
      </c>
      <c r="I4182" s="23" t="n">
        <v>97000</v>
      </c>
      <c r="J4182" s="20" t="inlineStr">
        <is>
          <t>STEER AUTO TECHNOLOGIES PRIVATE LIMITED</t>
        </is>
      </c>
      <c r="K4182" s="20" t="inlineStr">
        <is>
          <t>Non-Captive</t>
        </is>
      </c>
      <c r="L4182" s="20" t="inlineStr">
        <is>
          <t>Pine Autos</t>
        </is>
      </c>
      <c r="M4182" s="23" t="n">
        <v>5084.75</v>
      </c>
      <c r="N4182" s="23" t="n">
        <v>6000</v>
      </c>
      <c r="O4182" s="24">
        <f>IF(AND(ISNUMBER(M4182), ISNUMBER(I4182), I4182&gt;0), M4182/I4182, "")</f>
        <v/>
      </c>
    </row>
    <row r="4183">
      <c r="A4183" s="19" t="inlineStr">
        <is>
          <t>FY27</t>
        </is>
      </c>
      <c r="B4183" s="19" t="inlineStr">
        <is>
          <t>Sep</t>
        </is>
      </c>
      <c r="C4183" s="19" t="inlineStr">
        <is>
          <t>TN</t>
        </is>
      </c>
      <c r="D4183" s="20" t="inlineStr">
        <is>
          <t>TN30K7664</t>
        </is>
      </c>
      <c r="E4183" s="20" t="inlineStr">
        <is>
          <t>TATA</t>
        </is>
      </c>
      <c r="F4183" s="20" t="inlineStr">
        <is>
          <t>Indigo</t>
        </is>
      </c>
      <c r="G4183" s="21" t="n">
        <v>2006</v>
      </c>
      <c r="H4183" s="22" t="n">
        <v>165400</v>
      </c>
      <c r="I4183" s="23" t="n">
        <v>40000</v>
      </c>
      <c r="J4183" s="20" t="inlineStr">
        <is>
          <t>EXCHANGE ROTN</t>
        </is>
      </c>
      <c r="K4183" s="20" t="inlineStr">
        <is>
          <t>Captive</t>
        </is>
      </c>
      <c r="L4183" s="20" t="inlineStr"/>
      <c r="M4183" s="23" t="n">
        <v>4237.29</v>
      </c>
      <c r="N4183" s="23" t="n">
        <v>5000</v>
      </c>
      <c r="O4183" s="24">
        <f>IF(AND(ISNUMBER(M4183), ISNUMBER(I4183), I4183&gt;0), M4183/I4183, "")</f>
        <v/>
      </c>
    </row>
    <row r="4184">
      <c r="A4184" s="19" t="inlineStr">
        <is>
          <t>FY27</t>
        </is>
      </c>
      <c r="B4184" s="19" t="inlineStr">
        <is>
          <t>Sep</t>
        </is>
      </c>
      <c r="C4184" s="19" t="inlineStr">
        <is>
          <t>TN</t>
        </is>
      </c>
      <c r="D4184" s="20" t="inlineStr">
        <is>
          <t>TN31AM3578</t>
        </is>
      </c>
      <c r="E4184" s="20" t="inlineStr">
        <is>
          <t>TATA</t>
        </is>
      </c>
      <c r="F4184" s="20" t="inlineStr">
        <is>
          <t>Nano</t>
        </is>
      </c>
      <c r="G4184" s="21" t="n">
        <v>2012</v>
      </c>
      <c r="H4184" s="22" t="n">
        <v>45895</v>
      </c>
      <c r="I4184" s="23" t="n">
        <v>97000</v>
      </c>
      <c r="J4184" s="20" t="inlineStr">
        <is>
          <t>CASTLE TRADERS MARUTI</t>
        </is>
      </c>
      <c r="K4184" s="20" t="inlineStr">
        <is>
          <t>Non-Captive</t>
        </is>
      </c>
      <c r="L4184" s="20" t="inlineStr">
        <is>
          <t>Aneesa Pravin Cars</t>
        </is>
      </c>
      <c r="M4184" s="23" t="n">
        <v>4237.29</v>
      </c>
      <c r="N4184" s="23" t="n">
        <v>5000</v>
      </c>
      <c r="O4184" s="24">
        <f>IF(AND(ISNUMBER(M4184), ISNUMBER(I4184), I4184&gt;0), M4184/I4184, "")</f>
        <v/>
      </c>
    </row>
    <row r="4185">
      <c r="A4185" s="19" t="inlineStr">
        <is>
          <t>FY27</t>
        </is>
      </c>
      <c r="B4185" s="19" t="inlineStr">
        <is>
          <t>Sep</t>
        </is>
      </c>
      <c r="C4185" s="19" t="inlineStr">
        <is>
          <t>TN</t>
        </is>
      </c>
      <c r="D4185" s="20" t="inlineStr">
        <is>
          <t>TN33AC0153</t>
        </is>
      </c>
      <c r="E4185" s="20" t="inlineStr">
        <is>
          <t>MARUTI SUZUKI</t>
        </is>
      </c>
      <c r="F4185" s="20" t="inlineStr">
        <is>
          <t>Wagon R</t>
        </is>
      </c>
      <c r="G4185" s="21" t="n">
        <v>2004</v>
      </c>
      <c r="H4185" s="22" t="n">
        <v>145624</v>
      </c>
      <c r="I4185" s="23" t="n">
        <v>60000</v>
      </c>
      <c r="J4185" s="20" t="inlineStr">
        <is>
          <t>EXCHANGE ROTN</t>
        </is>
      </c>
      <c r="K4185" s="20" t="inlineStr">
        <is>
          <t>Captive</t>
        </is>
      </c>
      <c r="L4185" s="20" t="inlineStr">
        <is>
          <t>Ayyappa Cars</t>
        </is>
      </c>
      <c r="M4185" s="23" t="n">
        <v>4237.29</v>
      </c>
      <c r="N4185" s="23" t="n">
        <v>5000</v>
      </c>
      <c r="O4185" s="24">
        <f>IF(AND(ISNUMBER(M4185), ISNUMBER(I4185), I4185&gt;0), M4185/I4185, "")</f>
        <v/>
      </c>
    </row>
    <row r="4186">
      <c r="A4186" s="19" t="inlineStr">
        <is>
          <t>FY27</t>
        </is>
      </c>
      <c r="B4186" s="19" t="inlineStr">
        <is>
          <t>Sep</t>
        </is>
      </c>
      <c r="C4186" s="19" t="inlineStr">
        <is>
          <t>TN</t>
        </is>
      </c>
      <c r="D4186" s="20" t="inlineStr">
        <is>
          <t>TN33AF2939</t>
        </is>
      </c>
      <c r="E4186" s="20" t="inlineStr">
        <is>
          <t>HYUNDAI</t>
        </is>
      </c>
      <c r="F4186" s="20" t="inlineStr">
        <is>
          <t>Santro</t>
        </is>
      </c>
      <c r="G4186" s="21" t="n">
        <v>2006</v>
      </c>
      <c r="H4186" s="22" t="n">
        <v>176025</v>
      </c>
      <c r="I4186" s="23" t="n">
        <v>55000</v>
      </c>
      <c r="J4186" s="20" t="inlineStr">
        <is>
          <t>EXCHANGE ROTN</t>
        </is>
      </c>
      <c r="K4186" s="20" t="inlineStr">
        <is>
          <t>Captive</t>
        </is>
      </c>
      <c r="L4186" s="20" t="inlineStr">
        <is>
          <t>Mr.Cars</t>
        </is>
      </c>
      <c r="M4186" s="23" t="n">
        <v>4237.29</v>
      </c>
      <c r="N4186" s="23" t="n">
        <v>5000</v>
      </c>
      <c r="O4186" s="24">
        <f>IF(AND(ISNUMBER(M4186), ISNUMBER(I4186), I4186&gt;0), M4186/I4186, "")</f>
        <v/>
      </c>
    </row>
    <row r="4187">
      <c r="A4187" s="19" t="inlineStr">
        <is>
          <t>FY27</t>
        </is>
      </c>
      <c r="B4187" s="19" t="inlineStr">
        <is>
          <t>Sep</t>
        </is>
      </c>
      <c r="C4187" s="19" t="inlineStr">
        <is>
          <t>TN</t>
        </is>
      </c>
      <c r="D4187" s="20" t="inlineStr">
        <is>
          <t>TN33AM9798</t>
        </is>
      </c>
      <c r="E4187" s="20" t="inlineStr">
        <is>
          <t>TATA</t>
        </is>
      </c>
      <c r="F4187" s="20" t="inlineStr">
        <is>
          <t>Indica</t>
        </is>
      </c>
      <c r="G4187" s="21" t="n">
        <v>2009</v>
      </c>
      <c r="H4187" s="22" t="n">
        <v>60213</v>
      </c>
      <c r="I4187" s="23" t="n">
        <v>50000</v>
      </c>
      <c r="J4187" s="20" t="inlineStr">
        <is>
          <t>EXCHANGE ROTN</t>
        </is>
      </c>
      <c r="K4187" s="20" t="inlineStr">
        <is>
          <t>Captive</t>
        </is>
      </c>
      <c r="L4187" s="20" t="inlineStr">
        <is>
          <t>Sivashankar Cars</t>
        </is>
      </c>
      <c r="M4187" s="23" t="n">
        <v>5084.75</v>
      </c>
      <c r="N4187" s="23" t="n">
        <v>6000</v>
      </c>
      <c r="O4187" s="24">
        <f>IF(AND(ISNUMBER(M4187), ISNUMBER(I4187), I4187&gt;0), M4187/I4187, "")</f>
        <v/>
      </c>
    </row>
    <row r="4188">
      <c r="A4188" s="19" t="inlineStr">
        <is>
          <t>FY27</t>
        </is>
      </c>
      <c r="B4188" s="19" t="inlineStr">
        <is>
          <t>Sep</t>
        </is>
      </c>
      <c r="C4188" s="19" t="inlineStr">
        <is>
          <t>TN</t>
        </is>
      </c>
      <c r="D4188" s="20" t="inlineStr">
        <is>
          <t>TN33AS1188</t>
        </is>
      </c>
      <c r="E4188" s="20" t="inlineStr">
        <is>
          <t>HYUNDAI</t>
        </is>
      </c>
      <c r="F4188" s="20" t="inlineStr">
        <is>
          <t>Santro</t>
        </is>
      </c>
      <c r="G4188" s="21" t="n">
        <v>2010</v>
      </c>
      <c r="H4188" s="22" t="n">
        <v>136477</v>
      </c>
      <c r="I4188" s="23" t="n">
        <v>98000</v>
      </c>
      <c r="J4188" s="20" t="inlineStr">
        <is>
          <t>EXCHANGE ROTN</t>
        </is>
      </c>
      <c r="K4188" s="20" t="inlineStr">
        <is>
          <t>Captive</t>
        </is>
      </c>
      <c r="L4188" s="20" t="inlineStr">
        <is>
          <t>Mr.Cars</t>
        </is>
      </c>
      <c r="M4188" s="23" t="n">
        <v>4237.29</v>
      </c>
      <c r="N4188" s="23" t="n">
        <v>5000</v>
      </c>
      <c r="O4188" s="24">
        <f>IF(AND(ISNUMBER(M4188), ISNUMBER(I4188), I4188&gt;0), M4188/I4188, "")</f>
        <v/>
      </c>
    </row>
    <row r="4189">
      <c r="A4189" s="19" t="inlineStr">
        <is>
          <t>FY27</t>
        </is>
      </c>
      <c r="B4189" s="19" t="inlineStr">
        <is>
          <t>Sep</t>
        </is>
      </c>
      <c r="C4189" s="19" t="inlineStr">
        <is>
          <t>TN</t>
        </is>
      </c>
      <c r="D4189" s="20" t="inlineStr">
        <is>
          <t>TN33AT7053</t>
        </is>
      </c>
      <c r="E4189" s="20" t="inlineStr">
        <is>
          <t>HYUNDAI</t>
        </is>
      </c>
      <c r="F4189" s="20" t="inlineStr">
        <is>
          <t>Santro</t>
        </is>
      </c>
      <c r="G4189" s="21" t="n">
        <v>2011</v>
      </c>
      <c r="H4189" s="22" t="n">
        <v>115494</v>
      </c>
      <c r="I4189" s="23" t="n">
        <v>75000</v>
      </c>
      <c r="J4189" s="20" t="inlineStr">
        <is>
          <t>EXCHANGE ROTN</t>
        </is>
      </c>
      <c r="K4189" s="20" t="inlineStr">
        <is>
          <t>Captive</t>
        </is>
      </c>
      <c r="L4189" s="20" t="inlineStr">
        <is>
          <t>Thirumalai Cars (Madurai)</t>
        </is>
      </c>
      <c r="M4189" s="23" t="n">
        <v>4237.29</v>
      </c>
      <c r="N4189" s="23" t="n">
        <v>5000</v>
      </c>
      <c r="O4189" s="24">
        <f>IF(AND(ISNUMBER(M4189), ISNUMBER(I4189), I4189&gt;0), M4189/I4189, "")</f>
        <v/>
      </c>
    </row>
    <row r="4190">
      <c r="A4190" s="19" t="inlineStr">
        <is>
          <t>FY27</t>
        </is>
      </c>
      <c r="B4190" s="19" t="inlineStr">
        <is>
          <t>Sep</t>
        </is>
      </c>
      <c r="C4190" s="19" t="inlineStr">
        <is>
          <t>TN</t>
        </is>
      </c>
      <c r="D4190" s="20" t="inlineStr">
        <is>
          <t>TN33BJ6030</t>
        </is>
      </c>
      <c r="E4190" s="20" t="inlineStr">
        <is>
          <t>HONDA</t>
        </is>
      </c>
      <c r="F4190" s="20" t="inlineStr">
        <is>
          <t>Amaze</t>
        </is>
      </c>
      <c r="G4190" s="21" t="n">
        <v>2015</v>
      </c>
      <c r="H4190" s="22" t="n">
        <v>60383</v>
      </c>
      <c r="I4190" s="23" t="n">
        <v>295000</v>
      </c>
      <c r="J4190" s="20" t="inlineStr">
        <is>
          <t>EXCHANGE ROTN</t>
        </is>
      </c>
      <c r="K4190" s="20" t="inlineStr">
        <is>
          <t>Captive</t>
        </is>
      </c>
      <c r="L4190" s="20" t="inlineStr">
        <is>
          <t>Sivashankar Cars</t>
        </is>
      </c>
      <c r="M4190" s="23" t="n">
        <v>8474.58</v>
      </c>
      <c r="N4190" s="23" t="n">
        <v>10000</v>
      </c>
      <c r="O4190" s="24">
        <f>IF(AND(ISNUMBER(M4190), ISNUMBER(I4190), I4190&gt;0), M4190/I4190, "")</f>
        <v/>
      </c>
    </row>
    <row r="4191">
      <c r="A4191" s="19" t="inlineStr">
        <is>
          <t>FY27</t>
        </is>
      </c>
      <c r="B4191" s="19" t="inlineStr">
        <is>
          <t>Sep</t>
        </is>
      </c>
      <c r="C4191" s="19" t="inlineStr">
        <is>
          <t>TN</t>
        </is>
      </c>
      <c r="D4191" s="20" t="inlineStr">
        <is>
          <t>TN33BS7452</t>
        </is>
      </c>
      <c r="E4191" s="20" t="inlineStr">
        <is>
          <t>RENAULT</t>
        </is>
      </c>
      <c r="F4191" s="20" t="inlineStr">
        <is>
          <t>Kwid</t>
        </is>
      </c>
      <c r="G4191" s="21" t="n">
        <v>2019</v>
      </c>
      <c r="H4191" s="22" t="n">
        <v>88514</v>
      </c>
      <c r="I4191" s="23" t="n">
        <v>99000</v>
      </c>
      <c r="J4191" s="20" t="inlineStr">
        <is>
          <t>STEER AUTO TECHNOLOGIES PRIVATE LIMITED</t>
        </is>
      </c>
      <c r="K4191" s="20" t="inlineStr">
        <is>
          <t>Non-Captive</t>
        </is>
      </c>
      <c r="L4191" s="20" t="inlineStr">
        <is>
          <t>Castel Traders Honada</t>
        </is>
      </c>
      <c r="M4191" s="23" t="n">
        <v>4237.29</v>
      </c>
      <c r="N4191" s="23" t="n">
        <v>5000</v>
      </c>
      <c r="O4191" s="24">
        <f>IF(AND(ISNUMBER(M4191), ISNUMBER(I4191), I4191&gt;0), M4191/I4191, "")</f>
        <v/>
      </c>
    </row>
    <row r="4192">
      <c r="A4192" s="19" t="inlineStr">
        <is>
          <t>FY27</t>
        </is>
      </c>
      <c r="B4192" s="19" t="inlineStr">
        <is>
          <t>Sep</t>
        </is>
      </c>
      <c r="C4192" s="19" t="inlineStr">
        <is>
          <t>TN</t>
        </is>
      </c>
      <c r="D4192" s="20" t="inlineStr">
        <is>
          <t>TN34MA1739</t>
        </is>
      </c>
      <c r="E4192" s="20" t="inlineStr">
        <is>
          <t>HONDA</t>
        </is>
      </c>
      <c r="F4192" s="20" t="inlineStr">
        <is>
          <t>Amaze</t>
        </is>
      </c>
      <c r="G4192" s="21" t="n">
        <v>2022</v>
      </c>
      <c r="H4192" s="22" t="n">
        <v>21885</v>
      </c>
      <c r="I4192" s="23" t="n">
        <v>580000</v>
      </c>
      <c r="J4192" s="20" t="inlineStr">
        <is>
          <t>EXCHANGE ROTN</t>
        </is>
      </c>
      <c r="K4192" s="20" t="inlineStr">
        <is>
          <t>Captive</t>
        </is>
      </c>
      <c r="L4192" s="20" t="inlineStr">
        <is>
          <t>Sri Raja Kanapathy Cars</t>
        </is>
      </c>
      <c r="M4192" s="23" t="n">
        <v>12711.86</v>
      </c>
      <c r="N4192" s="23" t="n">
        <v>15000</v>
      </c>
      <c r="O4192" s="24">
        <f>IF(AND(ISNUMBER(M4192), ISNUMBER(I4192), I4192&gt;0), M4192/I4192, "")</f>
        <v/>
      </c>
    </row>
    <row r="4193">
      <c r="A4193" s="19" t="inlineStr">
        <is>
          <t>FY27</t>
        </is>
      </c>
      <c r="B4193" s="19" t="inlineStr">
        <is>
          <t>Sep</t>
        </is>
      </c>
      <c r="C4193" s="19" t="inlineStr">
        <is>
          <t>TN</t>
        </is>
      </c>
      <c r="D4193" s="20" t="inlineStr">
        <is>
          <t>TN34MC0951</t>
        </is>
      </c>
      <c r="E4193" s="20" t="inlineStr">
        <is>
          <t>SKODA</t>
        </is>
      </c>
      <c r="F4193" s="20" t="inlineStr">
        <is>
          <t>Kushaq</t>
        </is>
      </c>
      <c r="G4193" s="21" t="n">
        <v>2024</v>
      </c>
      <c r="H4193" s="22" t="n">
        <v>10269</v>
      </c>
      <c r="I4193" s="23" t="n">
        <v>900000</v>
      </c>
      <c r="J4193" s="20" t="inlineStr">
        <is>
          <t>EXCHANGE ROTN</t>
        </is>
      </c>
      <c r="K4193" s="20" t="inlineStr">
        <is>
          <t>Captive</t>
        </is>
      </c>
      <c r="L4193" s="20" t="inlineStr">
        <is>
          <t>Sai Cars</t>
        </is>
      </c>
      <c r="M4193" s="23" t="n">
        <v>12711.86</v>
      </c>
      <c r="N4193" s="23" t="n">
        <v>15000</v>
      </c>
      <c r="O4193" s="24">
        <f>IF(AND(ISNUMBER(M4193), ISNUMBER(I4193), I4193&gt;0), M4193/I4193, "")</f>
        <v/>
      </c>
    </row>
    <row r="4194">
      <c r="A4194" s="19" t="inlineStr">
        <is>
          <t>FY27</t>
        </is>
      </c>
      <c r="B4194" s="19" t="inlineStr">
        <is>
          <t>Sep</t>
        </is>
      </c>
      <c r="C4194" s="19" t="inlineStr">
        <is>
          <t>TN</t>
        </is>
      </c>
      <c r="D4194" s="20" t="inlineStr">
        <is>
          <t>TN34Y6423</t>
        </is>
      </c>
      <c r="E4194" s="20" t="inlineStr">
        <is>
          <t>MARUTI SUZUKI</t>
        </is>
      </c>
      <c r="F4194" s="20" t="inlineStr">
        <is>
          <t>Eeco</t>
        </is>
      </c>
      <c r="G4194" s="21" t="n">
        <v>2016</v>
      </c>
      <c r="H4194" s="22" t="n">
        <v>86813</v>
      </c>
      <c r="I4194" s="23" t="n">
        <v>265000</v>
      </c>
      <c r="J4194" s="20" t="inlineStr">
        <is>
          <t>EXCHANGE ROTN</t>
        </is>
      </c>
      <c r="K4194" s="20" t="inlineStr">
        <is>
          <t>Captive</t>
        </is>
      </c>
      <c r="L4194" s="20" t="inlineStr">
        <is>
          <t>Geethanjali Cars Chennimalai</t>
        </is>
      </c>
      <c r="M4194" s="23" t="n">
        <v>10169.49</v>
      </c>
      <c r="N4194" s="23" t="n">
        <v>12000</v>
      </c>
      <c r="O4194" s="24">
        <f>IF(AND(ISNUMBER(M4194), ISNUMBER(I4194), I4194&gt;0), M4194/I4194, "")</f>
        <v/>
      </c>
    </row>
    <row r="4195">
      <c r="A4195" s="19" t="inlineStr">
        <is>
          <t>FY27</t>
        </is>
      </c>
      <c r="B4195" s="19" t="inlineStr">
        <is>
          <t>Sep</t>
        </is>
      </c>
      <c r="C4195" s="19" t="inlineStr">
        <is>
          <t>TN</t>
        </is>
      </c>
      <c r="D4195" s="20" t="inlineStr">
        <is>
          <t>TN36AD3609</t>
        </is>
      </c>
      <c r="E4195" s="20" t="inlineStr">
        <is>
          <t>NISSAN</t>
        </is>
      </c>
      <c r="F4195" s="20" t="inlineStr">
        <is>
          <t>Micra</t>
        </is>
      </c>
      <c r="G4195" s="21" t="n">
        <v>2016</v>
      </c>
      <c r="H4195" s="22" t="n">
        <v>155476</v>
      </c>
      <c r="I4195" s="23" t="n">
        <v>70000</v>
      </c>
      <c r="J4195" s="20" t="inlineStr">
        <is>
          <t>EXCHANGE ROTN</t>
        </is>
      </c>
      <c r="K4195" s="20" t="inlineStr">
        <is>
          <t>Captive</t>
        </is>
      </c>
      <c r="L4195" s="20" t="inlineStr">
        <is>
          <t>Aswin Cars</t>
        </is>
      </c>
      <c r="M4195" s="23" t="n">
        <v>4237.29</v>
      </c>
      <c r="N4195" s="23" t="n">
        <v>5000</v>
      </c>
      <c r="O4195" s="24">
        <f>IF(AND(ISNUMBER(M4195), ISNUMBER(I4195), I4195&gt;0), M4195/I4195, "")</f>
        <v/>
      </c>
    </row>
    <row r="4196">
      <c r="A4196" s="19" t="inlineStr">
        <is>
          <t>FY27</t>
        </is>
      </c>
      <c r="B4196" s="19" t="inlineStr">
        <is>
          <t>Sep</t>
        </is>
      </c>
      <c r="C4196" s="19" t="inlineStr">
        <is>
          <t>TN</t>
        </is>
      </c>
      <c r="D4196" s="20" t="inlineStr">
        <is>
          <t>TN36AX9603</t>
        </is>
      </c>
      <c r="E4196" s="20" t="inlineStr">
        <is>
          <t>HYUNDAI</t>
        </is>
      </c>
      <c r="F4196" s="20" t="inlineStr">
        <is>
          <t>Eon</t>
        </is>
      </c>
      <c r="G4196" s="21" t="n">
        <v>2014</v>
      </c>
      <c r="H4196" s="22" t="n">
        <v>38883</v>
      </c>
      <c r="I4196" s="23" t="n">
        <v>98000</v>
      </c>
      <c r="J4196" s="20" t="inlineStr">
        <is>
          <t>THIYA CARS</t>
        </is>
      </c>
      <c r="K4196" s="20" t="inlineStr">
        <is>
          <t>Non-Captive</t>
        </is>
      </c>
      <c r="L4196" s="20" t="inlineStr">
        <is>
          <t>Cars24</t>
        </is>
      </c>
      <c r="M4196" s="23" t="n">
        <v>4237.29</v>
      </c>
      <c r="N4196" s="23" t="n">
        <v>5000</v>
      </c>
      <c r="O4196" s="24">
        <f>IF(AND(ISNUMBER(M4196), ISNUMBER(I4196), I4196&gt;0), M4196/I4196, "")</f>
        <v/>
      </c>
    </row>
    <row r="4197">
      <c r="A4197" s="19" t="inlineStr">
        <is>
          <t>FY27</t>
        </is>
      </c>
      <c r="B4197" s="19" t="inlineStr">
        <is>
          <t>Sep</t>
        </is>
      </c>
      <c r="C4197" s="19" t="inlineStr">
        <is>
          <t>TN</t>
        </is>
      </c>
      <c r="D4197" s="20" t="inlineStr">
        <is>
          <t>TN36T2260</t>
        </is>
      </c>
      <c r="E4197" s="20" t="inlineStr">
        <is>
          <t>MARUTI SUZUKI</t>
        </is>
      </c>
      <c r="F4197" s="20" t="inlineStr">
        <is>
          <t>Alto</t>
        </is>
      </c>
      <c r="G4197" s="21" t="n">
        <v>2011</v>
      </c>
      <c r="H4197" s="22" t="n">
        <v>125875</v>
      </c>
      <c r="I4197" s="23" t="n">
        <v>89000</v>
      </c>
      <c r="J4197" s="20" t="inlineStr">
        <is>
          <t>LAKSHMI MOTORS</t>
        </is>
      </c>
      <c r="K4197" s="20" t="inlineStr">
        <is>
          <t>Non-Captive</t>
        </is>
      </c>
      <c r="L4197" s="20" t="inlineStr">
        <is>
          <t>Value Drive Tech</t>
        </is>
      </c>
      <c r="M4197" s="23" t="n">
        <v>4237.29</v>
      </c>
      <c r="N4197" s="23" t="n">
        <v>5000</v>
      </c>
      <c r="O4197" s="24">
        <f>IF(AND(ISNUMBER(M4197), ISNUMBER(I4197), I4197&gt;0), M4197/I4197, "")</f>
        <v/>
      </c>
    </row>
    <row r="4198">
      <c r="A4198" s="19" t="inlineStr">
        <is>
          <t>FY27</t>
        </is>
      </c>
      <c r="B4198" s="19" t="inlineStr">
        <is>
          <t>Sep</t>
        </is>
      </c>
      <c r="C4198" s="19" t="inlineStr">
        <is>
          <t>TN</t>
        </is>
      </c>
      <c r="D4198" s="20" t="inlineStr">
        <is>
          <t>TN37AF3299</t>
        </is>
      </c>
      <c r="E4198" s="20" t="inlineStr">
        <is>
          <t>TOYOTA</t>
        </is>
      </c>
      <c r="F4198" s="20" t="inlineStr">
        <is>
          <t>Corolla Altis</t>
        </is>
      </c>
      <c r="G4198" s="21" t="n">
        <v>2004</v>
      </c>
      <c r="H4198" s="22" t="n">
        <v>678110</v>
      </c>
      <c r="I4198" s="23" t="n">
        <v>87000</v>
      </c>
      <c r="J4198" s="20" t="inlineStr">
        <is>
          <t>STEER AUTO TECHNOLOGIES PRIVATE LIMITED</t>
        </is>
      </c>
      <c r="K4198" s="20" t="inlineStr">
        <is>
          <t>Non-Captive</t>
        </is>
      </c>
      <c r="L4198" s="20" t="inlineStr">
        <is>
          <t>Pine Autos</t>
        </is>
      </c>
      <c r="M4198" s="23" t="n">
        <v>4237.29</v>
      </c>
      <c r="N4198" s="23" t="n">
        <v>5000</v>
      </c>
      <c r="O4198" s="24">
        <f>IF(AND(ISNUMBER(M4198), ISNUMBER(I4198), I4198&gt;0), M4198/I4198, "")</f>
        <v/>
      </c>
    </row>
    <row r="4199">
      <c r="A4199" s="19" t="inlineStr">
        <is>
          <t>FY27</t>
        </is>
      </c>
      <c r="B4199" s="19" t="inlineStr">
        <is>
          <t>Sep</t>
        </is>
      </c>
      <c r="C4199" s="19" t="inlineStr">
        <is>
          <t>TN</t>
        </is>
      </c>
      <c r="D4199" s="20" t="inlineStr">
        <is>
          <t>TN37AV8658</t>
        </is>
      </c>
      <c r="E4199" s="20" t="inlineStr">
        <is>
          <t>MARUTI SUZUKI</t>
        </is>
      </c>
      <c r="F4199" s="20" t="inlineStr">
        <is>
          <t>Alto</t>
        </is>
      </c>
      <c r="G4199" s="21" t="n">
        <v>2007</v>
      </c>
      <c r="H4199" s="22" t="n">
        <v>130747</v>
      </c>
      <c r="I4199" s="23" t="n">
        <v>85000</v>
      </c>
      <c r="J4199" s="20" t="inlineStr">
        <is>
          <t>EXCHANGE ROTN</t>
        </is>
      </c>
      <c r="K4199" s="20" t="inlineStr">
        <is>
          <t>Captive</t>
        </is>
      </c>
      <c r="L4199" s="20" t="inlineStr">
        <is>
          <t>Sai Cars</t>
        </is>
      </c>
      <c r="M4199" s="23" t="n">
        <v>4237.29</v>
      </c>
      <c r="N4199" s="23" t="n">
        <v>5000</v>
      </c>
      <c r="O4199" s="24">
        <f>IF(AND(ISNUMBER(M4199), ISNUMBER(I4199), I4199&gt;0), M4199/I4199, "")</f>
        <v/>
      </c>
    </row>
    <row r="4200">
      <c r="A4200" s="19" t="inlineStr">
        <is>
          <t>FY27</t>
        </is>
      </c>
      <c r="B4200" s="19" t="inlineStr">
        <is>
          <t>Sep</t>
        </is>
      </c>
      <c r="C4200" s="19" t="inlineStr">
        <is>
          <t>TN</t>
        </is>
      </c>
      <c r="D4200" s="20" t="inlineStr">
        <is>
          <t>TN37BA0032</t>
        </is>
      </c>
      <c r="E4200" s="20" t="inlineStr">
        <is>
          <t>FORD</t>
        </is>
      </c>
      <c r="F4200" s="20" t="inlineStr">
        <is>
          <t>Fiesta</t>
        </is>
      </c>
      <c r="G4200" s="21" t="n">
        <v>2008</v>
      </c>
      <c r="H4200" s="22" t="n">
        <v>102695</v>
      </c>
      <c r="I4200" s="23" t="n">
        <v>94000</v>
      </c>
      <c r="J4200" s="20" t="inlineStr">
        <is>
          <t>ABT LIMITED</t>
        </is>
      </c>
      <c r="K4200" s="20" t="inlineStr">
        <is>
          <t>Non-Captive</t>
        </is>
      </c>
      <c r="L4200" s="20" t="inlineStr">
        <is>
          <t>Srijja Travels</t>
        </is>
      </c>
      <c r="M4200" s="23" t="n">
        <v>4237.29</v>
      </c>
      <c r="N4200" s="23" t="n">
        <v>5000</v>
      </c>
      <c r="O4200" s="24">
        <f>IF(AND(ISNUMBER(M4200), ISNUMBER(I4200), I4200&gt;0), M4200/I4200, "")</f>
        <v/>
      </c>
    </row>
    <row r="4201">
      <c r="A4201" s="19" t="inlineStr">
        <is>
          <t>FY27</t>
        </is>
      </c>
      <c r="B4201" s="19" t="inlineStr">
        <is>
          <t>Sep</t>
        </is>
      </c>
      <c r="C4201" s="19" t="inlineStr">
        <is>
          <t>TN</t>
        </is>
      </c>
      <c r="D4201" s="20" t="inlineStr">
        <is>
          <t>TN37BH4288</t>
        </is>
      </c>
      <c r="E4201" s="20" t="inlineStr">
        <is>
          <t>MARUTI SUZUKI</t>
        </is>
      </c>
      <c r="F4201" s="20" t="inlineStr">
        <is>
          <t>Swift</t>
        </is>
      </c>
      <c r="G4201" s="21" t="n">
        <v>2010</v>
      </c>
      <c r="H4201" s="22" t="n">
        <v>60503</v>
      </c>
      <c r="I4201" s="23" t="n">
        <v>94000</v>
      </c>
      <c r="J4201" s="20" t="inlineStr">
        <is>
          <t>THIYA CARS</t>
        </is>
      </c>
      <c r="K4201" s="20" t="inlineStr">
        <is>
          <t>Non-Captive</t>
        </is>
      </c>
      <c r="L4201" s="20" t="inlineStr">
        <is>
          <t>Cars24</t>
        </is>
      </c>
      <c r="M4201" s="23" t="n">
        <v>4237.29</v>
      </c>
      <c r="N4201" s="23" t="n">
        <v>5000</v>
      </c>
      <c r="O4201" s="24">
        <f>IF(AND(ISNUMBER(M4201), ISNUMBER(I4201), I4201&gt;0), M4201/I4201, "")</f>
        <v/>
      </c>
    </row>
    <row r="4202">
      <c r="A4202" s="19" t="inlineStr">
        <is>
          <t>FY27</t>
        </is>
      </c>
      <c r="B4202" s="19" t="inlineStr">
        <is>
          <t>Sep</t>
        </is>
      </c>
      <c r="C4202" s="19" t="inlineStr">
        <is>
          <t>TN</t>
        </is>
      </c>
      <c r="D4202" s="20" t="inlineStr">
        <is>
          <t>TN37BS3443</t>
        </is>
      </c>
      <c r="E4202" s="20" t="inlineStr">
        <is>
          <t>FORD</t>
        </is>
      </c>
      <c r="F4202" s="20" t="inlineStr">
        <is>
          <t>Fiesta</t>
        </is>
      </c>
      <c r="G4202" s="21" t="n">
        <v>2011</v>
      </c>
      <c r="H4202" s="22" t="n">
        <v>135083</v>
      </c>
      <c r="I4202" s="23" t="n">
        <v>96000</v>
      </c>
      <c r="J4202" s="20" t="inlineStr">
        <is>
          <t>THIYA CARS</t>
        </is>
      </c>
      <c r="K4202" s="20" t="inlineStr">
        <is>
          <t>Non-Captive</t>
        </is>
      </c>
      <c r="L4202" s="20" t="inlineStr">
        <is>
          <t>Srijja Travels</t>
        </is>
      </c>
      <c r="M4202" s="23" t="n">
        <v>4237.29</v>
      </c>
      <c r="N4202" s="23" t="n">
        <v>5000</v>
      </c>
      <c r="O4202" s="24">
        <f>IF(AND(ISNUMBER(M4202), ISNUMBER(I4202), I4202&gt;0), M4202/I4202, "")</f>
        <v/>
      </c>
    </row>
    <row r="4203">
      <c r="A4203" s="19" t="inlineStr">
        <is>
          <t>FY27</t>
        </is>
      </c>
      <c r="B4203" s="19" t="inlineStr">
        <is>
          <t>Sep</t>
        </is>
      </c>
      <c r="C4203" s="19" t="inlineStr">
        <is>
          <t>TN</t>
        </is>
      </c>
      <c r="D4203" s="20" t="inlineStr">
        <is>
          <t>TN37BT6315</t>
        </is>
      </c>
      <c r="E4203" s="20" t="inlineStr">
        <is>
          <t>TATA</t>
        </is>
      </c>
      <c r="F4203" s="20" t="inlineStr">
        <is>
          <t>Nano</t>
        </is>
      </c>
      <c r="G4203" s="21" t="n">
        <v>2011</v>
      </c>
      <c r="H4203" s="22" t="n">
        <v>65113</v>
      </c>
      <c r="I4203" s="23" t="n">
        <v>45000</v>
      </c>
      <c r="J4203" s="20" t="inlineStr">
        <is>
          <t>EXCHANGE ROTN</t>
        </is>
      </c>
      <c r="K4203" s="20" t="inlineStr">
        <is>
          <t>Captive</t>
        </is>
      </c>
      <c r="L4203" s="20" t="inlineStr">
        <is>
          <t>Shree Cars (Coimbatore)</t>
        </is>
      </c>
      <c r="M4203" s="23" t="n">
        <v>4237.29</v>
      </c>
      <c r="N4203" s="23" t="n">
        <v>5000</v>
      </c>
      <c r="O4203" s="24">
        <f>IF(AND(ISNUMBER(M4203), ISNUMBER(I4203), I4203&gt;0), M4203/I4203, "")</f>
        <v/>
      </c>
    </row>
    <row r="4204">
      <c r="A4204" s="19" t="inlineStr">
        <is>
          <t>FY27</t>
        </is>
      </c>
      <c r="B4204" s="19" t="inlineStr">
        <is>
          <t>Sep</t>
        </is>
      </c>
      <c r="C4204" s="19" t="inlineStr">
        <is>
          <t>TN</t>
        </is>
      </c>
      <c r="D4204" s="20" t="inlineStr">
        <is>
          <t>TN37BW6000</t>
        </is>
      </c>
      <c r="E4204" s="20" t="inlineStr">
        <is>
          <t>HONDA</t>
        </is>
      </c>
      <c r="F4204" s="20" t="inlineStr">
        <is>
          <t>Brio</t>
        </is>
      </c>
      <c r="G4204" s="21" t="n">
        <v>2012</v>
      </c>
      <c r="H4204" s="22" t="n">
        <v>82202</v>
      </c>
      <c r="I4204" s="23" t="n">
        <v>260000</v>
      </c>
      <c r="J4204" s="20" t="inlineStr">
        <is>
          <t>EXCHANGE ROTN</t>
        </is>
      </c>
      <c r="K4204" s="20" t="inlineStr">
        <is>
          <t>Captive</t>
        </is>
      </c>
      <c r="L4204" s="20" t="inlineStr">
        <is>
          <t>Gughaa Cars</t>
        </is>
      </c>
      <c r="M4204" s="23" t="n">
        <v>8474.58</v>
      </c>
      <c r="N4204" s="23" t="n">
        <v>10000</v>
      </c>
      <c r="O4204" s="24">
        <f>IF(AND(ISNUMBER(M4204), ISNUMBER(I4204), I4204&gt;0), M4204/I4204, "")</f>
        <v/>
      </c>
    </row>
    <row r="4205">
      <c r="A4205" s="19" t="inlineStr">
        <is>
          <t>FY27</t>
        </is>
      </c>
      <c r="B4205" s="19" t="inlineStr">
        <is>
          <t>Sep</t>
        </is>
      </c>
      <c r="C4205" s="19" t="inlineStr">
        <is>
          <t>TN</t>
        </is>
      </c>
      <c r="D4205" s="20" t="inlineStr">
        <is>
          <t>TN37BY9153</t>
        </is>
      </c>
      <c r="E4205" s="20" t="inlineStr">
        <is>
          <t>HONDA</t>
        </is>
      </c>
      <c r="F4205" s="20" t="inlineStr">
        <is>
          <t>City</t>
        </is>
      </c>
      <c r="G4205" s="21" t="n">
        <v>2012</v>
      </c>
      <c r="H4205" s="22" t="n">
        <v>153420</v>
      </c>
      <c r="I4205" s="23" t="n">
        <v>285000</v>
      </c>
      <c r="J4205" s="20" t="inlineStr">
        <is>
          <t>EXCHANGE ROTN</t>
        </is>
      </c>
      <c r="K4205" s="20" t="inlineStr">
        <is>
          <t>Captive</t>
        </is>
      </c>
      <c r="L4205" s="20" t="inlineStr"/>
      <c r="M4205" s="23" t="n">
        <v>4237.29</v>
      </c>
      <c r="N4205" s="23" t="n">
        <v>5000</v>
      </c>
      <c r="O4205" s="24">
        <f>IF(AND(ISNUMBER(M4205), ISNUMBER(I4205), I4205&gt;0), M4205/I4205, "")</f>
        <v/>
      </c>
    </row>
    <row r="4206">
      <c r="A4206" s="19" t="inlineStr">
        <is>
          <t>FY27</t>
        </is>
      </c>
      <c r="B4206" s="19" t="inlineStr">
        <is>
          <t>Sep</t>
        </is>
      </c>
      <c r="C4206" s="19" t="inlineStr">
        <is>
          <t>TN</t>
        </is>
      </c>
      <c r="D4206" s="20" t="inlineStr">
        <is>
          <t>TN37CV8868</t>
        </is>
      </c>
      <c r="E4206" s="20" t="inlineStr">
        <is>
          <t>VOLKSWAGEN</t>
        </is>
      </c>
      <c r="F4206" s="20" t="inlineStr">
        <is>
          <t>Ameo</t>
        </is>
      </c>
      <c r="G4206" s="21" t="n">
        <v>2016</v>
      </c>
      <c r="H4206" s="22" t="n">
        <v>122216</v>
      </c>
      <c r="I4206" s="23" t="n">
        <v>360000</v>
      </c>
      <c r="J4206" s="20" t="inlineStr">
        <is>
          <t>EXCHANGE ROTN</t>
        </is>
      </c>
      <c r="K4206" s="20" t="inlineStr">
        <is>
          <t>Captive</t>
        </is>
      </c>
      <c r="L4206" s="20" t="inlineStr"/>
      <c r="M4206" s="23" t="n">
        <v>8474.58</v>
      </c>
      <c r="N4206" s="23" t="n">
        <v>10000</v>
      </c>
      <c r="O4206" s="24">
        <f>IF(AND(ISNUMBER(M4206), ISNUMBER(I4206), I4206&gt;0), M4206/I4206, "")</f>
        <v/>
      </c>
    </row>
    <row r="4207">
      <c r="A4207" s="19" t="inlineStr">
        <is>
          <t>FY27</t>
        </is>
      </c>
      <c r="B4207" s="19" t="inlineStr">
        <is>
          <t>Sep</t>
        </is>
      </c>
      <c r="C4207" s="19" t="inlineStr">
        <is>
          <t>TN</t>
        </is>
      </c>
      <c r="D4207" s="20" t="inlineStr">
        <is>
          <t>TN37CZ2549</t>
        </is>
      </c>
      <c r="E4207" s="20" t="inlineStr">
        <is>
          <t>MARUTI SUZUKI</t>
        </is>
      </c>
      <c r="F4207" s="20" t="inlineStr">
        <is>
          <t>Alto K10</t>
        </is>
      </c>
      <c r="G4207" s="21" t="n">
        <v>2013</v>
      </c>
      <c r="H4207" s="22" t="n">
        <v>37111</v>
      </c>
      <c r="I4207" s="23" t="n">
        <v>97000</v>
      </c>
      <c r="J4207" s="20" t="inlineStr">
        <is>
          <t>NIRMAL CARS</t>
        </is>
      </c>
      <c r="K4207" s="20" t="inlineStr">
        <is>
          <t>Non-Captive</t>
        </is>
      </c>
      <c r="L4207" s="20" t="inlineStr">
        <is>
          <t>Cars24</t>
        </is>
      </c>
      <c r="M4207" s="23" t="n">
        <v>4237.29</v>
      </c>
      <c r="N4207" s="23" t="n">
        <v>5000</v>
      </c>
      <c r="O4207" s="24">
        <f>IF(AND(ISNUMBER(M4207), ISNUMBER(I4207), I4207&gt;0), M4207/I4207, "")</f>
        <v/>
      </c>
    </row>
    <row r="4208">
      <c r="A4208" s="19" t="inlineStr">
        <is>
          <t>FY27</t>
        </is>
      </c>
      <c r="B4208" s="19" t="inlineStr">
        <is>
          <t>Sep</t>
        </is>
      </c>
      <c r="C4208" s="19" t="inlineStr">
        <is>
          <t>TN</t>
        </is>
      </c>
      <c r="D4208" s="20" t="inlineStr">
        <is>
          <t>TN37DM8488</t>
        </is>
      </c>
      <c r="E4208" s="20" t="inlineStr">
        <is>
          <t>HONDA</t>
        </is>
      </c>
      <c r="F4208" s="20" t="inlineStr">
        <is>
          <t>City</t>
        </is>
      </c>
      <c r="G4208" s="21" t="n">
        <v>2020</v>
      </c>
      <c r="H4208" s="22" t="n">
        <v>84290</v>
      </c>
      <c r="I4208" s="23" t="n">
        <v>840000</v>
      </c>
      <c r="J4208" s="20" t="inlineStr">
        <is>
          <t>EXCHANGE ROTN</t>
        </is>
      </c>
      <c r="K4208" s="20" t="inlineStr">
        <is>
          <t>Captive</t>
        </is>
      </c>
      <c r="L4208" s="20" t="inlineStr">
        <is>
          <t>Sai Cars</t>
        </is>
      </c>
      <c r="M4208" s="23" t="n">
        <v>16949.15</v>
      </c>
      <c r="N4208" s="23" t="n">
        <v>20000</v>
      </c>
      <c r="O4208" s="24">
        <f>IF(AND(ISNUMBER(M4208), ISNUMBER(I4208), I4208&gt;0), M4208/I4208, "")</f>
        <v/>
      </c>
    </row>
    <row r="4209">
      <c r="A4209" s="19" t="inlineStr">
        <is>
          <t>FY27</t>
        </is>
      </c>
      <c r="B4209" s="19" t="inlineStr">
        <is>
          <t>Sep</t>
        </is>
      </c>
      <c r="C4209" s="19" t="inlineStr">
        <is>
          <t>TN</t>
        </is>
      </c>
      <c r="D4209" s="20" t="inlineStr">
        <is>
          <t>TN38BA6968</t>
        </is>
      </c>
      <c r="E4209" s="20" t="inlineStr">
        <is>
          <t>MARUTI SUZUKI</t>
        </is>
      </c>
      <c r="F4209" s="20" t="inlineStr">
        <is>
          <t>Alto</t>
        </is>
      </c>
      <c r="G4209" s="21" t="n">
        <v>2010</v>
      </c>
      <c r="H4209" s="22" t="n">
        <v>70145</v>
      </c>
      <c r="I4209" s="23" t="n">
        <v>70000</v>
      </c>
      <c r="J4209" s="20" t="inlineStr">
        <is>
          <t>EXCHANGE ROTN</t>
        </is>
      </c>
      <c r="K4209" s="20" t="inlineStr">
        <is>
          <t>Captive</t>
        </is>
      </c>
      <c r="L4209" s="20" t="inlineStr">
        <is>
          <t>Sree Murugan Cars</t>
        </is>
      </c>
      <c r="M4209" s="23" t="n">
        <v>4237.29</v>
      </c>
      <c r="N4209" s="23" t="n">
        <v>5000</v>
      </c>
      <c r="O4209" s="24">
        <f>IF(AND(ISNUMBER(M4209), ISNUMBER(I4209), I4209&gt;0), M4209/I4209, "")</f>
        <v/>
      </c>
    </row>
    <row r="4210">
      <c r="A4210" s="19" t="inlineStr">
        <is>
          <t>FY27</t>
        </is>
      </c>
      <c r="B4210" s="19" t="inlineStr">
        <is>
          <t>Sep</t>
        </is>
      </c>
      <c r="C4210" s="19" t="inlineStr">
        <is>
          <t>TN</t>
        </is>
      </c>
      <c r="D4210" s="20" t="inlineStr">
        <is>
          <t>TN38BM2462</t>
        </is>
      </c>
      <c r="E4210" s="20" t="inlineStr">
        <is>
          <t>MARUTI SUZUKI</t>
        </is>
      </c>
      <c r="F4210" s="20" t="inlineStr">
        <is>
          <t>Eeco</t>
        </is>
      </c>
      <c r="G4210" s="21" t="n">
        <v>2012</v>
      </c>
      <c r="H4210" s="22" t="n">
        <v>102152</v>
      </c>
      <c r="I4210" s="23" t="n">
        <v>93000</v>
      </c>
      <c r="J4210" s="20" t="inlineStr">
        <is>
          <t>PRODUCTIVITY ELEMENTS PRIVATE LIMITED</t>
        </is>
      </c>
      <c r="K4210" s="20" t="inlineStr">
        <is>
          <t>Non-Captive</t>
        </is>
      </c>
      <c r="L4210" s="20" t="inlineStr">
        <is>
          <t>Grid 33</t>
        </is>
      </c>
      <c r="M4210" s="23" t="n">
        <v>4237.29</v>
      </c>
      <c r="N4210" s="23" t="n">
        <v>5000</v>
      </c>
      <c r="O4210" s="24">
        <f>IF(AND(ISNUMBER(M4210), ISNUMBER(I4210), I4210&gt;0), M4210/I4210, "")</f>
        <v/>
      </c>
    </row>
    <row r="4211">
      <c r="A4211" s="19" t="inlineStr">
        <is>
          <t>FY27</t>
        </is>
      </c>
      <c r="B4211" s="19" t="inlineStr">
        <is>
          <t>Sep</t>
        </is>
      </c>
      <c r="C4211" s="19" t="inlineStr">
        <is>
          <t>TN</t>
        </is>
      </c>
      <c r="D4211" s="20" t="inlineStr">
        <is>
          <t>TN38BQ0402</t>
        </is>
      </c>
      <c r="E4211" s="20" t="inlineStr">
        <is>
          <t>FORD</t>
        </is>
      </c>
      <c r="F4211" s="20" t="inlineStr">
        <is>
          <t>Figo</t>
        </is>
      </c>
      <c r="G4211" s="21" t="n">
        <v>2012</v>
      </c>
      <c r="H4211" s="22" t="n">
        <v>69965</v>
      </c>
      <c r="I4211" s="23" t="n">
        <v>150000</v>
      </c>
      <c r="J4211" s="20" t="inlineStr">
        <is>
          <t>EXCHANGE ROTN</t>
        </is>
      </c>
      <c r="K4211" s="20" t="inlineStr">
        <is>
          <t>Captive</t>
        </is>
      </c>
      <c r="L4211" s="20" t="inlineStr">
        <is>
          <t>Sr Auto Consulting</t>
        </is>
      </c>
      <c r="M4211" s="23" t="n">
        <v>5932.2</v>
      </c>
      <c r="N4211" s="23" t="n">
        <v>7000</v>
      </c>
      <c r="O4211" s="24">
        <f>IF(AND(ISNUMBER(M4211), ISNUMBER(I4211), I4211&gt;0), M4211/I4211, "")</f>
        <v/>
      </c>
    </row>
    <row r="4212">
      <c r="A4212" s="19" t="inlineStr">
        <is>
          <t>FY27</t>
        </is>
      </c>
      <c r="B4212" s="19" t="inlineStr">
        <is>
          <t>Sep</t>
        </is>
      </c>
      <c r="C4212" s="19" t="inlineStr">
        <is>
          <t>TN</t>
        </is>
      </c>
      <c r="D4212" s="20" t="inlineStr">
        <is>
          <t>TN38BS0537</t>
        </is>
      </c>
      <c r="E4212" s="20" t="inlineStr">
        <is>
          <t>FORD</t>
        </is>
      </c>
      <c r="F4212" s="20" t="inlineStr">
        <is>
          <t>Figo</t>
        </is>
      </c>
      <c r="G4212" s="21" t="n">
        <v>2012</v>
      </c>
      <c r="H4212" s="22" t="n">
        <v>136352</v>
      </c>
      <c r="I4212" s="23" t="n">
        <v>97000</v>
      </c>
      <c r="J4212" s="20" t="inlineStr">
        <is>
          <t>CRESCO CARS</t>
        </is>
      </c>
      <c r="K4212" s="20" t="inlineStr">
        <is>
          <t>Non-Captive</t>
        </is>
      </c>
      <c r="L4212" s="20" t="inlineStr">
        <is>
          <t>Srijja Travels</t>
        </is>
      </c>
      <c r="M4212" s="23" t="n">
        <v>4237.29</v>
      </c>
      <c r="N4212" s="23" t="n">
        <v>5000</v>
      </c>
      <c r="O4212" s="24">
        <f>IF(AND(ISNUMBER(M4212), ISNUMBER(I4212), I4212&gt;0), M4212/I4212, "")</f>
        <v/>
      </c>
    </row>
    <row r="4213">
      <c r="A4213" s="19" t="inlineStr">
        <is>
          <t>FY27</t>
        </is>
      </c>
      <c r="B4213" s="19" t="inlineStr">
        <is>
          <t>Sep</t>
        </is>
      </c>
      <c r="C4213" s="19" t="inlineStr">
        <is>
          <t>TN</t>
        </is>
      </c>
      <c r="D4213" s="20" t="inlineStr">
        <is>
          <t>TN38BT9810</t>
        </is>
      </c>
      <c r="E4213" s="20" t="inlineStr">
        <is>
          <t>TOYOTA</t>
        </is>
      </c>
      <c r="F4213" s="20" t="inlineStr">
        <is>
          <t>Etios</t>
        </is>
      </c>
      <c r="G4213" s="21" t="n">
        <v>2013</v>
      </c>
      <c r="H4213" s="22" t="n">
        <v>188994</v>
      </c>
      <c r="I4213" s="23" t="n">
        <v>375000</v>
      </c>
      <c r="J4213" s="20" t="inlineStr">
        <is>
          <t>EXCHANGE ROTN</t>
        </is>
      </c>
      <c r="K4213" s="20" t="inlineStr">
        <is>
          <t>Captive</t>
        </is>
      </c>
      <c r="L4213" s="20" t="inlineStr">
        <is>
          <t>Sr Auto Consulting</t>
        </is>
      </c>
      <c r="M4213" s="23" t="n">
        <v>8474.58</v>
      </c>
      <c r="N4213" s="23" t="n">
        <v>10000</v>
      </c>
      <c r="O4213" s="24">
        <f>IF(AND(ISNUMBER(M4213), ISNUMBER(I4213), I4213&gt;0), M4213/I4213, "")</f>
        <v/>
      </c>
    </row>
    <row r="4214">
      <c r="A4214" s="19" t="inlineStr">
        <is>
          <t>FY27</t>
        </is>
      </c>
      <c r="B4214" s="19" t="inlineStr">
        <is>
          <t>Sep</t>
        </is>
      </c>
      <c r="C4214" s="19" t="inlineStr">
        <is>
          <t>TN</t>
        </is>
      </c>
      <c r="D4214" s="20" t="inlineStr">
        <is>
          <t>TN38BU7851</t>
        </is>
      </c>
      <c r="E4214" s="20" t="inlineStr">
        <is>
          <t>MARUTI SUZUKI</t>
        </is>
      </c>
      <c r="F4214" s="20" t="inlineStr">
        <is>
          <t>Alto 800</t>
        </is>
      </c>
      <c r="G4214" s="21" t="n">
        <v>2013</v>
      </c>
      <c r="H4214" s="22" t="n">
        <v>103804</v>
      </c>
      <c r="I4214" s="23" t="n">
        <v>206000</v>
      </c>
      <c r="J4214" s="20" t="inlineStr">
        <is>
          <t>V.S.T. MOTORS PRIVATE LIMITED</t>
        </is>
      </c>
      <c r="K4214" s="20" t="inlineStr">
        <is>
          <t>Non-Captive</t>
        </is>
      </c>
      <c r="L4214" s="20" t="inlineStr">
        <is>
          <t>Santhosh Cars</t>
        </is>
      </c>
      <c r="M4214" s="23" t="n">
        <v>4237.29</v>
      </c>
      <c r="N4214" s="23" t="n">
        <v>5000</v>
      </c>
      <c r="O4214" s="24">
        <f>IF(AND(ISNUMBER(M4214), ISNUMBER(I4214), I4214&gt;0), M4214/I4214, "")</f>
        <v/>
      </c>
    </row>
    <row r="4215">
      <c r="A4215" s="19" t="inlineStr">
        <is>
          <t>FY27</t>
        </is>
      </c>
      <c r="B4215" s="19" t="inlineStr">
        <is>
          <t>Sep</t>
        </is>
      </c>
      <c r="C4215" s="19" t="inlineStr">
        <is>
          <t>TN</t>
        </is>
      </c>
      <c r="D4215" s="20" t="inlineStr">
        <is>
          <t>TN38BU9264</t>
        </is>
      </c>
      <c r="E4215" s="20" t="inlineStr">
        <is>
          <t>MARUTI SUZUKI</t>
        </is>
      </c>
      <c r="F4215" s="20" t="inlineStr">
        <is>
          <t>Dzire</t>
        </is>
      </c>
      <c r="G4215" s="21" t="n">
        <v>2013</v>
      </c>
      <c r="H4215" s="22" t="n">
        <v>34283</v>
      </c>
      <c r="I4215" s="23" t="n">
        <v>370000</v>
      </c>
      <c r="J4215" s="20" t="inlineStr">
        <is>
          <t>EXCHANGE ROTN</t>
        </is>
      </c>
      <c r="K4215" s="20" t="inlineStr">
        <is>
          <t>Captive</t>
        </is>
      </c>
      <c r="L4215" s="20" t="inlineStr">
        <is>
          <t>Senthur Finance</t>
        </is>
      </c>
      <c r="M4215" s="23" t="n">
        <v>12711.86</v>
      </c>
      <c r="N4215" s="23" t="n">
        <v>15000</v>
      </c>
      <c r="O4215" s="24">
        <f>IF(AND(ISNUMBER(M4215), ISNUMBER(I4215), I4215&gt;0), M4215/I4215, "")</f>
        <v/>
      </c>
    </row>
    <row r="4216">
      <c r="A4216" s="19" t="inlineStr">
        <is>
          <t>FY27</t>
        </is>
      </c>
      <c r="B4216" s="19" t="inlineStr">
        <is>
          <t>Sep</t>
        </is>
      </c>
      <c r="C4216" s="19" t="inlineStr">
        <is>
          <t>TN</t>
        </is>
      </c>
      <c r="D4216" s="20" t="inlineStr">
        <is>
          <t>TN38BW9837</t>
        </is>
      </c>
      <c r="E4216" s="20" t="inlineStr">
        <is>
          <t>HONDA</t>
        </is>
      </c>
      <c r="F4216" s="20" t="inlineStr">
        <is>
          <t>City</t>
        </is>
      </c>
      <c r="G4216" s="21" t="n">
        <v>2014</v>
      </c>
      <c r="H4216" s="22" t="n">
        <v>135901</v>
      </c>
      <c r="I4216" s="23" t="n">
        <v>320000</v>
      </c>
      <c r="J4216" s="20" t="inlineStr">
        <is>
          <t>EXCHANGE ROTN</t>
        </is>
      </c>
      <c r="K4216" s="20" t="inlineStr">
        <is>
          <t>Captive</t>
        </is>
      </c>
      <c r="L4216" s="20" t="inlineStr">
        <is>
          <t>Gughaa Cars</t>
        </is>
      </c>
      <c r="M4216" s="23" t="n">
        <v>12711.86</v>
      </c>
      <c r="N4216" s="23" t="n">
        <v>15000</v>
      </c>
      <c r="O4216" s="24">
        <f>IF(AND(ISNUMBER(M4216), ISNUMBER(I4216), I4216&gt;0), M4216/I4216, "")</f>
        <v/>
      </c>
    </row>
    <row r="4217">
      <c r="A4217" s="19" t="inlineStr">
        <is>
          <t>FY27</t>
        </is>
      </c>
      <c r="B4217" s="19" t="inlineStr">
        <is>
          <t>Sep</t>
        </is>
      </c>
      <c r="C4217" s="19" t="inlineStr">
        <is>
          <t>TN</t>
        </is>
      </c>
      <c r="D4217" s="20" t="inlineStr">
        <is>
          <t>TN38CD0025</t>
        </is>
      </c>
      <c r="E4217" s="20" t="inlineStr">
        <is>
          <t>RENAULT</t>
        </is>
      </c>
      <c r="F4217" s="20" t="inlineStr">
        <is>
          <t>Kwid</t>
        </is>
      </c>
      <c r="G4217" s="21" t="n">
        <v>2016</v>
      </c>
      <c r="H4217" s="22" t="n">
        <v>37401</v>
      </c>
      <c r="I4217" s="23" t="n">
        <v>99000</v>
      </c>
      <c r="J4217" s="20" t="inlineStr">
        <is>
          <t>CRESCO CARS</t>
        </is>
      </c>
      <c r="K4217" s="20" t="inlineStr">
        <is>
          <t>Non-Captive</t>
        </is>
      </c>
      <c r="L4217" s="20" t="inlineStr">
        <is>
          <t>Cars24</t>
        </is>
      </c>
      <c r="M4217" s="23" t="n">
        <v>4237.29</v>
      </c>
      <c r="N4217" s="23" t="n">
        <v>5000</v>
      </c>
      <c r="O4217" s="24">
        <f>IF(AND(ISNUMBER(M4217), ISNUMBER(I4217), I4217&gt;0), M4217/I4217, "")</f>
        <v/>
      </c>
    </row>
    <row r="4218">
      <c r="A4218" s="19" t="inlineStr">
        <is>
          <t>FY27</t>
        </is>
      </c>
      <c r="B4218" s="19" t="inlineStr">
        <is>
          <t>Sep</t>
        </is>
      </c>
      <c r="C4218" s="19" t="inlineStr">
        <is>
          <t>TN</t>
        </is>
      </c>
      <c r="D4218" s="20" t="inlineStr">
        <is>
          <t>TN38CD4243</t>
        </is>
      </c>
      <c r="E4218" s="20" t="inlineStr">
        <is>
          <t>HONDA</t>
        </is>
      </c>
      <c r="F4218" s="20" t="inlineStr">
        <is>
          <t>Jazz</t>
        </is>
      </c>
      <c r="G4218" s="21" t="n">
        <v>2016</v>
      </c>
      <c r="H4218" s="22" t="n">
        <v>77276</v>
      </c>
      <c r="I4218" s="23" t="n">
        <v>400000</v>
      </c>
      <c r="J4218" s="20" t="inlineStr">
        <is>
          <t>EXCHANGE ROTN</t>
        </is>
      </c>
      <c r="K4218" s="20" t="inlineStr">
        <is>
          <t>Captive</t>
        </is>
      </c>
      <c r="L4218" s="20" t="inlineStr">
        <is>
          <t>Auto Solution</t>
        </is>
      </c>
      <c r="M4218" s="23" t="n">
        <v>12711.86</v>
      </c>
      <c r="N4218" s="23" t="n">
        <v>15000</v>
      </c>
      <c r="O4218" s="24">
        <f>IF(AND(ISNUMBER(M4218), ISNUMBER(I4218), I4218&gt;0), M4218/I4218, "")</f>
        <v/>
      </c>
    </row>
    <row r="4219">
      <c r="A4219" s="19" t="inlineStr">
        <is>
          <t>FY27</t>
        </is>
      </c>
      <c r="B4219" s="19" t="inlineStr">
        <is>
          <t>Sep</t>
        </is>
      </c>
      <c r="C4219" s="19" t="inlineStr">
        <is>
          <t>TN</t>
        </is>
      </c>
      <c r="D4219" s="20" t="inlineStr">
        <is>
          <t>TN38CH1105</t>
        </is>
      </c>
      <c r="E4219" s="20" t="inlineStr">
        <is>
          <t>MARUTI SUZUKI</t>
        </is>
      </c>
      <c r="F4219" s="20" t="inlineStr">
        <is>
          <t>Ciaz</t>
        </is>
      </c>
      <c r="G4219" s="21" t="n">
        <v>2016</v>
      </c>
      <c r="H4219" s="22" t="n">
        <v>46132</v>
      </c>
      <c r="I4219" s="23" t="n">
        <v>510000</v>
      </c>
      <c r="J4219" s="20" t="inlineStr">
        <is>
          <t>EXCHANGE ROTN</t>
        </is>
      </c>
      <c r="K4219" s="20" t="inlineStr">
        <is>
          <t>Captive</t>
        </is>
      </c>
      <c r="L4219" s="20" t="inlineStr">
        <is>
          <t>Auto Solution</t>
        </is>
      </c>
      <c r="M4219" s="23" t="n">
        <v>12711.86</v>
      </c>
      <c r="N4219" s="23" t="n">
        <v>15000</v>
      </c>
      <c r="O4219" s="24">
        <f>IF(AND(ISNUMBER(M4219), ISNUMBER(I4219), I4219&gt;0), M4219/I4219, "")</f>
        <v/>
      </c>
    </row>
    <row r="4220">
      <c r="A4220" s="19" t="inlineStr">
        <is>
          <t>FY27</t>
        </is>
      </c>
      <c r="B4220" s="19" t="inlineStr">
        <is>
          <t>Sep</t>
        </is>
      </c>
      <c r="C4220" s="19" t="inlineStr">
        <is>
          <t>TN</t>
        </is>
      </c>
      <c r="D4220" s="20" t="inlineStr">
        <is>
          <t>TN38CJ2709</t>
        </is>
      </c>
      <c r="E4220" s="20" t="inlineStr">
        <is>
          <t>VOLKSWAGEN</t>
        </is>
      </c>
      <c r="F4220" s="20" t="inlineStr">
        <is>
          <t>Ameo</t>
        </is>
      </c>
      <c r="G4220" s="21" t="n">
        <v>2016</v>
      </c>
      <c r="H4220" s="22" t="n">
        <v>260320</v>
      </c>
      <c r="I4220" s="23" t="n">
        <v>97000</v>
      </c>
      <c r="J4220" s="20" t="inlineStr">
        <is>
          <t>PRODUCTIVITY ELEMENTS PRIVATE LIMITED</t>
        </is>
      </c>
      <c r="K4220" s="20" t="inlineStr">
        <is>
          <t>Non-Captive</t>
        </is>
      </c>
      <c r="L4220" s="20" t="inlineStr">
        <is>
          <t>Cars24</t>
        </is>
      </c>
      <c r="M4220" s="23" t="n">
        <v>4237.29</v>
      </c>
      <c r="N4220" s="23" t="n">
        <v>5000</v>
      </c>
      <c r="O4220" s="24">
        <f>IF(AND(ISNUMBER(M4220), ISNUMBER(I4220), I4220&gt;0), M4220/I4220, "")</f>
        <v/>
      </c>
    </row>
    <row r="4221">
      <c r="A4221" s="19" t="inlineStr">
        <is>
          <t>FY27</t>
        </is>
      </c>
      <c r="B4221" s="19" t="inlineStr">
        <is>
          <t>Sep</t>
        </is>
      </c>
      <c r="C4221" s="19" t="inlineStr">
        <is>
          <t>TN</t>
        </is>
      </c>
      <c r="D4221" s="20" t="inlineStr">
        <is>
          <t>TN38CJ5580</t>
        </is>
      </c>
      <c r="E4221" s="20" t="inlineStr">
        <is>
          <t>MARUTI SUZUKI</t>
        </is>
      </c>
      <c r="F4221" s="20" t="inlineStr">
        <is>
          <t>Baleno</t>
        </is>
      </c>
      <c r="G4221" s="21" t="n">
        <v>2017</v>
      </c>
      <c r="H4221" s="22" t="n">
        <v>82248</v>
      </c>
      <c r="I4221" s="23" t="n">
        <v>94000</v>
      </c>
      <c r="J4221" s="20" t="inlineStr">
        <is>
          <t>PRODUCTIVITY ELEMENTS PRIVATE LIMITED</t>
        </is>
      </c>
      <c r="K4221" s="20" t="inlineStr">
        <is>
          <t>Non-Captive</t>
        </is>
      </c>
      <c r="L4221" s="20" t="inlineStr">
        <is>
          <t>Cars24</t>
        </is>
      </c>
      <c r="M4221" s="23" t="n">
        <v>4237.29</v>
      </c>
      <c r="N4221" s="23" t="n">
        <v>5000</v>
      </c>
      <c r="O4221" s="24">
        <f>IF(AND(ISNUMBER(M4221), ISNUMBER(I4221), I4221&gt;0), M4221/I4221, "")</f>
        <v/>
      </c>
    </row>
    <row r="4222">
      <c r="A4222" s="19" t="inlineStr">
        <is>
          <t>FY27</t>
        </is>
      </c>
      <c r="B4222" s="19" t="inlineStr">
        <is>
          <t>Sep</t>
        </is>
      </c>
      <c r="C4222" s="19" t="inlineStr">
        <is>
          <t>TN</t>
        </is>
      </c>
      <c r="D4222" s="20" t="inlineStr">
        <is>
          <t>TN38CK9722</t>
        </is>
      </c>
      <c r="E4222" s="20" t="inlineStr">
        <is>
          <t>HYUNDAI</t>
        </is>
      </c>
      <c r="F4222" s="20" t="inlineStr">
        <is>
          <t>Grand i10</t>
        </is>
      </c>
      <c r="G4222" s="21" t="n">
        <v>2017</v>
      </c>
      <c r="H4222" s="22" t="n">
        <v>80928</v>
      </c>
      <c r="I4222" s="23" t="n">
        <v>96000</v>
      </c>
      <c r="J4222" s="20" t="inlineStr">
        <is>
          <t>EXCHANGE ROTN</t>
        </is>
      </c>
      <c r="K4222" s="20" t="inlineStr">
        <is>
          <t>Captive</t>
        </is>
      </c>
      <c r="L4222" s="20" t="inlineStr">
        <is>
          <t>Sai Cars</t>
        </is>
      </c>
      <c r="M4222" s="23" t="n">
        <v>4237.29</v>
      </c>
      <c r="N4222" s="23" t="n">
        <v>5000</v>
      </c>
      <c r="O4222" s="24">
        <f>IF(AND(ISNUMBER(M4222), ISNUMBER(I4222), I4222&gt;0), M4222/I4222, "")</f>
        <v/>
      </c>
    </row>
    <row r="4223">
      <c r="A4223" s="19" t="inlineStr">
        <is>
          <t>FY27</t>
        </is>
      </c>
      <c r="B4223" s="19" t="inlineStr">
        <is>
          <t>Sep</t>
        </is>
      </c>
      <c r="C4223" s="19" t="inlineStr">
        <is>
          <t>TN</t>
        </is>
      </c>
      <c r="D4223" s="20" t="inlineStr">
        <is>
          <t>TN38CT1750</t>
        </is>
      </c>
      <c r="E4223" s="20" t="inlineStr">
        <is>
          <t>TATA</t>
        </is>
      </c>
      <c r="F4223" s="20" t="inlineStr">
        <is>
          <t>Bolt</t>
        </is>
      </c>
      <c r="G4223" s="21" t="n">
        <v>2018</v>
      </c>
      <c r="H4223" s="22" t="n">
        <v>76004</v>
      </c>
      <c r="I4223" s="23" t="n">
        <v>98000</v>
      </c>
      <c r="J4223" s="20" t="inlineStr">
        <is>
          <t>PRODUCTIVITY ELEMENTS PRIVATE LIMITED</t>
        </is>
      </c>
      <c r="K4223" s="20" t="inlineStr">
        <is>
          <t>Non-Captive</t>
        </is>
      </c>
      <c r="L4223" s="20" t="inlineStr">
        <is>
          <t>Emarald Cars</t>
        </is>
      </c>
      <c r="M4223" s="23" t="n">
        <v>4237.29</v>
      </c>
      <c r="N4223" s="23" t="n">
        <v>5000</v>
      </c>
      <c r="O4223" s="24">
        <f>IF(AND(ISNUMBER(M4223), ISNUMBER(I4223), I4223&gt;0), M4223/I4223, "")</f>
        <v/>
      </c>
    </row>
    <row r="4224">
      <c r="A4224" s="19" t="inlineStr">
        <is>
          <t>FY27</t>
        </is>
      </c>
      <c r="B4224" s="19" t="inlineStr">
        <is>
          <t>Sep</t>
        </is>
      </c>
      <c r="C4224" s="19" t="inlineStr">
        <is>
          <t>TN</t>
        </is>
      </c>
      <c r="D4224" s="20" t="inlineStr">
        <is>
          <t>TN38CW3996</t>
        </is>
      </c>
      <c r="E4224" s="20" t="inlineStr">
        <is>
          <t>HONDA</t>
        </is>
      </c>
      <c r="F4224" s="20" t="inlineStr">
        <is>
          <t>Amaze</t>
        </is>
      </c>
      <c r="G4224" s="21" t="n">
        <v>2020</v>
      </c>
      <c r="H4224" s="22" t="n">
        <v>87838</v>
      </c>
      <c r="I4224" s="23" t="n">
        <v>480000</v>
      </c>
      <c r="J4224" s="20" t="inlineStr">
        <is>
          <t>EXCHANGE ROTN</t>
        </is>
      </c>
      <c r="K4224" s="20" t="inlineStr">
        <is>
          <t>Captive</t>
        </is>
      </c>
      <c r="L4224" s="20" t="inlineStr">
        <is>
          <t>Sai Cars</t>
        </is>
      </c>
      <c r="M4224" s="23" t="n">
        <v>8474.58</v>
      </c>
      <c r="N4224" s="23" t="n">
        <v>10000</v>
      </c>
      <c r="O4224" s="24">
        <f>IF(AND(ISNUMBER(M4224), ISNUMBER(I4224), I4224&gt;0), M4224/I4224, "")</f>
        <v/>
      </c>
    </row>
    <row r="4225">
      <c r="A4225" s="19" t="inlineStr">
        <is>
          <t>FY27</t>
        </is>
      </c>
      <c r="B4225" s="19" t="inlineStr">
        <is>
          <t>Sep</t>
        </is>
      </c>
      <c r="C4225" s="19" t="inlineStr">
        <is>
          <t>TN</t>
        </is>
      </c>
      <c r="D4225" s="20" t="inlineStr">
        <is>
          <t>TN38CW5658</t>
        </is>
      </c>
      <c r="E4225" s="20" t="inlineStr">
        <is>
          <t>MARUTI SUZUKI</t>
        </is>
      </c>
      <c r="F4225" s="20" t="inlineStr">
        <is>
          <t>Dzire</t>
        </is>
      </c>
      <c r="G4225" s="21" t="n">
        <v>2020</v>
      </c>
      <c r="H4225" s="22" t="n">
        <v>82550</v>
      </c>
      <c r="I4225" s="23" t="n">
        <v>510000</v>
      </c>
      <c r="J4225" s="20" t="inlineStr">
        <is>
          <t>EXCHANGE ROTN</t>
        </is>
      </c>
      <c r="K4225" s="20" t="inlineStr">
        <is>
          <t>Captive</t>
        </is>
      </c>
      <c r="L4225" s="20" t="inlineStr">
        <is>
          <t>Yuga Dheeran Cars</t>
        </is>
      </c>
      <c r="M4225" s="23" t="n">
        <v>12711.86</v>
      </c>
      <c r="N4225" s="23" t="n">
        <v>15000</v>
      </c>
      <c r="O4225" s="24">
        <f>IF(AND(ISNUMBER(M4225), ISNUMBER(I4225), I4225&gt;0), M4225/I4225, "")</f>
        <v/>
      </c>
    </row>
    <row r="4226">
      <c r="A4226" s="19" t="inlineStr">
        <is>
          <t>FY27</t>
        </is>
      </c>
      <c r="B4226" s="19" t="inlineStr">
        <is>
          <t>Sep</t>
        </is>
      </c>
      <c r="C4226" s="19" t="inlineStr">
        <is>
          <t>TN</t>
        </is>
      </c>
      <c r="D4226" s="20" t="inlineStr">
        <is>
          <t>TN38F7416</t>
        </is>
      </c>
      <c r="E4226" s="20" t="inlineStr">
        <is>
          <t>MARUTI SUZUKI</t>
        </is>
      </c>
      <c r="F4226" s="20" t="inlineStr">
        <is>
          <t>Esteem</t>
        </is>
      </c>
      <c r="G4226" s="21" t="n">
        <v>2003</v>
      </c>
      <c r="H4226" s="22" t="n">
        <v>29310</v>
      </c>
      <c r="I4226" s="23" t="n">
        <v>30000</v>
      </c>
      <c r="J4226" s="20" t="inlineStr">
        <is>
          <t>EXCHANGE ROTN</t>
        </is>
      </c>
      <c r="K4226" s="20" t="inlineStr">
        <is>
          <t>Captive</t>
        </is>
      </c>
      <c r="L4226" s="20" t="inlineStr">
        <is>
          <t>Sivashankar Cars</t>
        </is>
      </c>
      <c r="M4226" s="23" t="n">
        <v>4237.29</v>
      </c>
      <c r="N4226" s="23" t="n">
        <v>5000</v>
      </c>
      <c r="O4226" s="24">
        <f>IF(AND(ISNUMBER(M4226), ISNUMBER(I4226), I4226&gt;0), M4226/I4226, "")</f>
        <v/>
      </c>
    </row>
    <row r="4227">
      <c r="A4227" s="19" t="inlineStr">
        <is>
          <t>FY27</t>
        </is>
      </c>
      <c r="B4227" s="19" t="inlineStr">
        <is>
          <t>Sep</t>
        </is>
      </c>
      <c r="C4227" s="19" t="inlineStr">
        <is>
          <t>TN</t>
        </is>
      </c>
      <c r="D4227" s="20" t="inlineStr">
        <is>
          <t>TN38Y5290</t>
        </is>
      </c>
      <c r="E4227" s="20" t="inlineStr">
        <is>
          <t>MARUTI SUZUKI</t>
        </is>
      </c>
      <c r="F4227" s="20" t="inlineStr">
        <is>
          <t>Alto</t>
        </is>
      </c>
      <c r="G4227" s="21" t="n">
        <v>2004</v>
      </c>
      <c r="H4227" s="22" t="n">
        <v>154487</v>
      </c>
      <c r="I4227" s="23" t="n">
        <v>60000</v>
      </c>
      <c r="J4227" s="20" t="inlineStr">
        <is>
          <t>EXCHANGE ROTN</t>
        </is>
      </c>
      <c r="K4227" s="20" t="inlineStr">
        <is>
          <t>Captive</t>
        </is>
      </c>
      <c r="L4227" s="20" t="inlineStr">
        <is>
          <t>Ready To Ride Cars</t>
        </is>
      </c>
      <c r="M4227" s="23" t="n">
        <v>4237.29</v>
      </c>
      <c r="N4227" s="23" t="n">
        <v>5000</v>
      </c>
      <c r="O4227" s="24">
        <f>IF(AND(ISNUMBER(M4227), ISNUMBER(I4227), I4227&gt;0), M4227/I4227, "")</f>
        <v/>
      </c>
    </row>
    <row r="4228">
      <c r="A4228" s="19" t="inlineStr">
        <is>
          <t>FY27</t>
        </is>
      </c>
      <c r="B4228" s="19" t="inlineStr">
        <is>
          <t>Sep</t>
        </is>
      </c>
      <c r="C4228" s="19" t="inlineStr">
        <is>
          <t>TN</t>
        </is>
      </c>
      <c r="D4228" s="20" t="inlineStr">
        <is>
          <t>TN39AM4664</t>
        </is>
      </c>
      <c r="E4228" s="20" t="inlineStr">
        <is>
          <t>HONDA</t>
        </is>
      </c>
      <c r="F4228" s="20" t="inlineStr">
        <is>
          <t>City</t>
        </is>
      </c>
      <c r="G4228" s="21" t="n">
        <v>2007</v>
      </c>
      <c r="H4228" s="22" t="n">
        <v>127173</v>
      </c>
      <c r="I4228" s="23" t="n">
        <v>140000</v>
      </c>
      <c r="J4228" s="20" t="inlineStr">
        <is>
          <t>EXCHANGE ROTN</t>
        </is>
      </c>
      <c r="K4228" s="20" t="inlineStr">
        <is>
          <t>Captive</t>
        </is>
      </c>
      <c r="L4228" s="20" t="inlineStr">
        <is>
          <t>Ulavan Cars (Pollachi)</t>
        </is>
      </c>
      <c r="M4228" s="23" t="n">
        <v>8474.58</v>
      </c>
      <c r="N4228" s="23" t="n">
        <v>10000</v>
      </c>
      <c r="O4228" s="24">
        <f>IF(AND(ISNUMBER(M4228), ISNUMBER(I4228), I4228&gt;0), M4228/I4228, "")</f>
        <v/>
      </c>
    </row>
    <row r="4229">
      <c r="A4229" s="19" t="inlineStr">
        <is>
          <t>FY27</t>
        </is>
      </c>
      <c r="B4229" s="19" t="inlineStr">
        <is>
          <t>Sep</t>
        </is>
      </c>
      <c r="C4229" s="19" t="inlineStr">
        <is>
          <t>TN</t>
        </is>
      </c>
      <c r="D4229" s="20" t="inlineStr">
        <is>
          <t>TN39AR3739</t>
        </is>
      </c>
      <c r="E4229" s="20" t="inlineStr">
        <is>
          <t>SKODA</t>
        </is>
      </c>
      <c r="F4229" s="20" t="inlineStr">
        <is>
          <t>Laura</t>
        </is>
      </c>
      <c r="G4229" s="21" t="n">
        <v>2008</v>
      </c>
      <c r="H4229" s="22" t="n">
        <v>88879</v>
      </c>
      <c r="I4229" s="23" t="n">
        <v>70000</v>
      </c>
      <c r="J4229" s="20" t="inlineStr">
        <is>
          <t>EXCHANGE ROTN</t>
        </is>
      </c>
      <c r="K4229" s="20" t="inlineStr">
        <is>
          <t>Captive</t>
        </is>
      </c>
      <c r="L4229" s="20" t="inlineStr">
        <is>
          <t>Ulavan Cars (Pollachi)</t>
        </is>
      </c>
      <c r="M4229" s="23" t="n">
        <v>4237.29</v>
      </c>
      <c r="N4229" s="23" t="n">
        <v>5000</v>
      </c>
      <c r="O4229" s="24">
        <f>IF(AND(ISNUMBER(M4229), ISNUMBER(I4229), I4229&gt;0), M4229/I4229, "")</f>
        <v/>
      </c>
    </row>
    <row r="4230">
      <c r="A4230" s="19" t="inlineStr">
        <is>
          <t>FY27</t>
        </is>
      </c>
      <c r="B4230" s="19" t="inlineStr">
        <is>
          <t>Sep</t>
        </is>
      </c>
      <c r="C4230" s="19" t="inlineStr">
        <is>
          <t>TN</t>
        </is>
      </c>
      <c r="D4230" s="20" t="inlineStr">
        <is>
          <t>TN41AK6657</t>
        </is>
      </c>
      <c r="E4230" s="20" t="inlineStr">
        <is>
          <t>MARUTI SUZUKI</t>
        </is>
      </c>
      <c r="F4230" s="20" t="inlineStr">
        <is>
          <t>Alto K10</t>
        </is>
      </c>
      <c r="G4230" s="21" t="n">
        <v>2014</v>
      </c>
      <c r="H4230" s="22" t="n">
        <v>128945</v>
      </c>
      <c r="I4230" s="23" t="n">
        <v>93000</v>
      </c>
      <c r="J4230" s="20" t="inlineStr">
        <is>
          <t>EXCHANGE ROTN</t>
        </is>
      </c>
      <c r="K4230" s="20" t="inlineStr">
        <is>
          <t>Captive</t>
        </is>
      </c>
      <c r="L4230" s="20" t="inlineStr">
        <is>
          <t>Sai Cars</t>
        </is>
      </c>
      <c r="M4230" s="23" t="n">
        <v>4237.29</v>
      </c>
      <c r="N4230" s="23" t="n">
        <v>5000</v>
      </c>
      <c r="O4230" s="24">
        <f>IF(AND(ISNUMBER(M4230), ISNUMBER(I4230), I4230&gt;0), M4230/I4230, "")</f>
        <v/>
      </c>
    </row>
    <row r="4231">
      <c r="A4231" s="19" t="inlineStr">
        <is>
          <t>FY27</t>
        </is>
      </c>
      <c r="B4231" s="19" t="inlineStr">
        <is>
          <t>Sep</t>
        </is>
      </c>
      <c r="C4231" s="19" t="inlineStr">
        <is>
          <t>TN</t>
        </is>
      </c>
      <c r="D4231" s="20" t="inlineStr">
        <is>
          <t>TN42AA7329</t>
        </is>
      </c>
      <c r="E4231" s="20" t="inlineStr">
        <is>
          <t>RENAULT</t>
        </is>
      </c>
      <c r="F4231" s="20" t="inlineStr">
        <is>
          <t>Kwid</t>
        </is>
      </c>
      <c r="G4231" s="21" t="n">
        <v>2018</v>
      </c>
      <c r="H4231" s="22" t="n">
        <v>85644</v>
      </c>
      <c r="I4231" s="23" t="n">
        <v>98000</v>
      </c>
      <c r="J4231" s="20" t="inlineStr">
        <is>
          <t>EXCHANGE ROTN</t>
        </is>
      </c>
      <c r="K4231" s="20" t="inlineStr">
        <is>
          <t>Captive</t>
        </is>
      </c>
      <c r="L4231" s="20" t="inlineStr">
        <is>
          <t>Sivashankar Cars</t>
        </is>
      </c>
      <c r="M4231" s="23" t="n">
        <v>4237.29</v>
      </c>
      <c r="N4231" s="23" t="n">
        <v>5000</v>
      </c>
      <c r="O4231" s="24">
        <f>IF(AND(ISNUMBER(M4231), ISNUMBER(I4231), I4231&gt;0), M4231/I4231, "")</f>
        <v/>
      </c>
    </row>
    <row r="4232">
      <c r="A4232" s="19" t="inlineStr">
        <is>
          <t>FY27</t>
        </is>
      </c>
      <c r="B4232" s="19" t="inlineStr">
        <is>
          <t>Sep</t>
        </is>
      </c>
      <c r="C4232" s="19" t="inlineStr">
        <is>
          <t>TN</t>
        </is>
      </c>
      <c r="D4232" s="20" t="inlineStr">
        <is>
          <t>TN42M7715</t>
        </is>
      </c>
      <c r="E4232" s="20" t="inlineStr">
        <is>
          <t>DATSUN</t>
        </is>
      </c>
      <c r="F4232" s="20" t="inlineStr">
        <is>
          <t>Go</t>
        </is>
      </c>
      <c r="G4232" s="21" t="n">
        <v>2015</v>
      </c>
      <c r="H4232" s="22" t="n">
        <v>35679</v>
      </c>
      <c r="I4232" s="23" t="n">
        <v>86000</v>
      </c>
      <c r="J4232" s="20" t="inlineStr">
        <is>
          <t>NIRMAL CARS</t>
        </is>
      </c>
      <c r="K4232" s="20" t="inlineStr">
        <is>
          <t>Non-Captive</t>
        </is>
      </c>
      <c r="L4232" s="20" t="inlineStr">
        <is>
          <t>Value Drive Tech</t>
        </is>
      </c>
      <c r="M4232" s="23" t="n">
        <v>4237.29</v>
      </c>
      <c r="N4232" s="23" t="n">
        <v>5000</v>
      </c>
      <c r="O4232" s="24">
        <f>IF(AND(ISNUMBER(M4232), ISNUMBER(I4232), I4232&gt;0), M4232/I4232, "")</f>
        <v/>
      </c>
    </row>
    <row r="4233">
      <c r="A4233" s="19" t="inlineStr">
        <is>
          <t>FY27</t>
        </is>
      </c>
      <c r="B4233" s="19" t="inlineStr">
        <is>
          <t>Sep</t>
        </is>
      </c>
      <c r="C4233" s="19" t="inlineStr">
        <is>
          <t>TN</t>
        </is>
      </c>
      <c r="D4233" s="20" t="inlineStr">
        <is>
          <t>TN45AC8271</t>
        </is>
      </c>
      <c r="E4233" s="20" t="inlineStr">
        <is>
          <t>MARUTI SUZUKI</t>
        </is>
      </c>
      <c r="F4233" s="20" t="inlineStr">
        <is>
          <t>Alto</t>
        </is>
      </c>
      <c r="G4233" s="21" t="n">
        <v>2005</v>
      </c>
      <c r="H4233" s="22" t="n">
        <v>70533</v>
      </c>
      <c r="I4233" s="23" t="n">
        <v>65000</v>
      </c>
      <c r="J4233" s="20" t="inlineStr">
        <is>
          <t>EXCHANGE ROTN</t>
        </is>
      </c>
      <c r="K4233" s="20" t="inlineStr">
        <is>
          <t>Captive</t>
        </is>
      </c>
      <c r="L4233" s="20" t="inlineStr">
        <is>
          <t>Mr.Cars</t>
        </is>
      </c>
      <c r="M4233" s="23" t="n">
        <v>4237.29</v>
      </c>
      <c r="N4233" s="23" t="n">
        <v>5000</v>
      </c>
      <c r="O4233" s="24">
        <f>IF(AND(ISNUMBER(M4233), ISNUMBER(I4233), I4233&gt;0), M4233/I4233, "")</f>
        <v/>
      </c>
    </row>
    <row r="4234">
      <c r="A4234" s="19" t="inlineStr">
        <is>
          <t>FY27</t>
        </is>
      </c>
      <c r="B4234" s="19" t="inlineStr">
        <is>
          <t>Sep</t>
        </is>
      </c>
      <c r="C4234" s="19" t="inlineStr">
        <is>
          <t>TN</t>
        </is>
      </c>
      <c r="D4234" s="20" t="inlineStr">
        <is>
          <t>TN45AM4161</t>
        </is>
      </c>
      <c r="E4234" s="20" t="inlineStr">
        <is>
          <t>HYUNDAI</t>
        </is>
      </c>
      <c r="F4234" s="20" t="inlineStr">
        <is>
          <t>Accent</t>
        </is>
      </c>
      <c r="G4234" s="21" t="n">
        <v>2009</v>
      </c>
      <c r="H4234" s="22" t="n">
        <v>46038</v>
      </c>
      <c r="I4234" s="23" t="n">
        <v>94000</v>
      </c>
      <c r="J4234" s="20" t="inlineStr">
        <is>
          <t>RAJALAKSHMI CARS</t>
        </is>
      </c>
      <c r="K4234" s="20" t="inlineStr">
        <is>
          <t>Non-Captive</t>
        </is>
      </c>
      <c r="L4234" s="20" t="inlineStr">
        <is>
          <t>Santhosh Cars</t>
        </is>
      </c>
      <c r="M4234" s="23" t="n">
        <v>3389.83</v>
      </c>
      <c r="N4234" s="23" t="n">
        <v>4000</v>
      </c>
      <c r="O4234" s="24">
        <f>IF(AND(ISNUMBER(M4234), ISNUMBER(I4234), I4234&gt;0), M4234/I4234, "")</f>
        <v/>
      </c>
    </row>
    <row r="4235">
      <c r="A4235" s="19" t="inlineStr">
        <is>
          <t>FY27</t>
        </is>
      </c>
      <c r="B4235" s="19" t="inlineStr">
        <is>
          <t>Sep</t>
        </is>
      </c>
      <c r="C4235" s="19" t="inlineStr">
        <is>
          <t>TN</t>
        </is>
      </c>
      <c r="D4235" s="20" t="inlineStr">
        <is>
          <t>TN45AS9884</t>
        </is>
      </c>
      <c r="E4235" s="20" t="inlineStr">
        <is>
          <t>SKODA</t>
        </is>
      </c>
      <c r="F4235" s="20" t="inlineStr">
        <is>
          <t>Fabia</t>
        </is>
      </c>
      <c r="G4235" s="21" t="n">
        <v>2011</v>
      </c>
      <c r="H4235" s="22" t="n">
        <v>159670</v>
      </c>
      <c r="I4235" s="23" t="n">
        <v>70000</v>
      </c>
      <c r="J4235" s="20" t="inlineStr">
        <is>
          <t>EXCHANGE ROTN</t>
        </is>
      </c>
      <c r="K4235" s="20" t="inlineStr">
        <is>
          <t>Captive</t>
        </is>
      </c>
      <c r="L4235" s="20" t="inlineStr">
        <is>
          <t>Shree Cars (Coimbatore)</t>
        </is>
      </c>
      <c r="M4235" s="23" t="n">
        <v>4237.29</v>
      </c>
      <c r="N4235" s="23" t="n">
        <v>5000</v>
      </c>
      <c r="O4235" s="24">
        <f>IF(AND(ISNUMBER(M4235), ISNUMBER(I4235), I4235&gt;0), M4235/I4235, "")</f>
        <v/>
      </c>
    </row>
    <row r="4236">
      <c r="A4236" s="19" t="inlineStr">
        <is>
          <t>FY27</t>
        </is>
      </c>
      <c r="B4236" s="19" t="inlineStr">
        <is>
          <t>Sep</t>
        </is>
      </c>
      <c r="C4236" s="19" t="inlineStr">
        <is>
          <t>TN</t>
        </is>
      </c>
      <c r="D4236" s="20" t="inlineStr">
        <is>
          <t>TN45BY4138</t>
        </is>
      </c>
      <c r="E4236" s="20" t="inlineStr">
        <is>
          <t>HYUNDAI</t>
        </is>
      </c>
      <c r="F4236" s="20" t="inlineStr">
        <is>
          <t>Eon</t>
        </is>
      </c>
      <c r="G4236" s="21" t="n">
        <v>2012</v>
      </c>
      <c r="H4236" s="22" t="n">
        <v>94273</v>
      </c>
      <c r="I4236" s="23" t="n">
        <v>165000</v>
      </c>
      <c r="J4236" s="20" t="inlineStr">
        <is>
          <t>EXCHANGE ROTN</t>
        </is>
      </c>
      <c r="K4236" s="20" t="inlineStr">
        <is>
          <t>Captive</t>
        </is>
      </c>
      <c r="L4236" s="20" t="inlineStr"/>
      <c r="M4236" s="23" t="n">
        <v>4237.29</v>
      </c>
      <c r="N4236" s="23" t="n">
        <v>5000</v>
      </c>
      <c r="O4236" s="24">
        <f>IF(AND(ISNUMBER(M4236), ISNUMBER(I4236), I4236&gt;0), M4236/I4236, "")</f>
        <v/>
      </c>
    </row>
    <row r="4237">
      <c r="A4237" s="19" t="inlineStr">
        <is>
          <t>FY27</t>
        </is>
      </c>
      <c r="B4237" s="19" t="inlineStr">
        <is>
          <t>Sep</t>
        </is>
      </c>
      <c r="C4237" s="19" t="inlineStr">
        <is>
          <t>TN</t>
        </is>
      </c>
      <c r="D4237" s="20" t="inlineStr">
        <is>
          <t>TN45Q6705</t>
        </is>
      </c>
      <c r="E4237" s="20" t="inlineStr">
        <is>
          <t>MARUTI SUZUKI</t>
        </is>
      </c>
      <c r="F4237" s="20" t="inlineStr">
        <is>
          <t>Zen</t>
        </is>
      </c>
      <c r="G4237" s="21" t="n">
        <v>2001</v>
      </c>
      <c r="H4237" s="22" t="n">
        <v>99999</v>
      </c>
      <c r="I4237" s="23" t="n">
        <v>87000</v>
      </c>
      <c r="J4237" s="20" t="inlineStr">
        <is>
          <t>NIRMAL CARS</t>
        </is>
      </c>
      <c r="K4237" s="20" t="inlineStr">
        <is>
          <t>Non-Captive</t>
        </is>
      </c>
      <c r="L4237" s="20" t="inlineStr">
        <is>
          <t>Senthil Cars</t>
        </is>
      </c>
      <c r="M4237" s="23" t="n">
        <v>4237.29</v>
      </c>
      <c r="N4237" s="23" t="n">
        <v>5000</v>
      </c>
      <c r="O4237" s="24">
        <f>IF(AND(ISNUMBER(M4237), ISNUMBER(I4237), I4237&gt;0), M4237/I4237, "")</f>
        <v/>
      </c>
    </row>
    <row r="4238">
      <c r="A4238" s="19" t="inlineStr">
        <is>
          <t>FY27</t>
        </is>
      </c>
      <c r="B4238" s="19" t="inlineStr">
        <is>
          <t>Sep</t>
        </is>
      </c>
      <c r="C4238" s="19" t="inlineStr">
        <is>
          <t>TN</t>
        </is>
      </c>
      <c r="D4238" s="20" t="inlineStr">
        <is>
          <t>TN48AT9452</t>
        </is>
      </c>
      <c r="E4238" s="20" t="inlineStr">
        <is>
          <t>RENAULT</t>
        </is>
      </c>
      <c r="F4238" s="20" t="inlineStr">
        <is>
          <t>Kwid</t>
        </is>
      </c>
      <c r="G4238" s="21" t="n">
        <v>2018</v>
      </c>
      <c r="H4238" s="22" t="n">
        <v>87117</v>
      </c>
      <c r="I4238" s="23" t="n">
        <v>98000</v>
      </c>
      <c r="J4238" s="20" t="inlineStr">
        <is>
          <t>EXCHANGE ROTN</t>
        </is>
      </c>
      <c r="K4238" s="20" t="inlineStr">
        <is>
          <t>Captive</t>
        </is>
      </c>
      <c r="L4238" s="20" t="inlineStr">
        <is>
          <t>Sivashankar Cars</t>
        </is>
      </c>
      <c r="M4238" s="23" t="n">
        <v>4237.29</v>
      </c>
      <c r="N4238" s="23" t="n">
        <v>5000</v>
      </c>
      <c r="O4238" s="24">
        <f>IF(AND(ISNUMBER(M4238), ISNUMBER(I4238), I4238&gt;0), M4238/I4238, "")</f>
        <v/>
      </c>
    </row>
    <row r="4239">
      <c r="A4239" s="19" t="inlineStr">
        <is>
          <t>FY27</t>
        </is>
      </c>
      <c r="B4239" s="19" t="inlineStr">
        <is>
          <t>Sep</t>
        </is>
      </c>
      <c r="C4239" s="19" t="inlineStr">
        <is>
          <t>TN</t>
        </is>
      </c>
      <c r="D4239" s="20" t="inlineStr">
        <is>
          <t>TN51H9361</t>
        </is>
      </c>
      <c r="E4239" s="20" t="inlineStr">
        <is>
          <t>MARUTI SUZUKI</t>
        </is>
      </c>
      <c r="F4239" s="20" t="inlineStr">
        <is>
          <t>Alto</t>
        </is>
      </c>
      <c r="G4239" s="21" t="n">
        <v>2012</v>
      </c>
      <c r="H4239" s="22" t="n">
        <v>144582</v>
      </c>
      <c r="I4239" s="23" t="n">
        <v>95000</v>
      </c>
      <c r="J4239" s="20" t="inlineStr">
        <is>
          <t>CASTLE TRADERS MARUTI</t>
        </is>
      </c>
      <c r="K4239" s="20" t="inlineStr">
        <is>
          <t>Non-Captive</t>
        </is>
      </c>
      <c r="L4239" s="20" t="inlineStr">
        <is>
          <t>Aasim Motors</t>
        </is>
      </c>
      <c r="M4239" s="23" t="n">
        <v>4237.29</v>
      </c>
      <c r="N4239" s="23" t="n">
        <v>5000</v>
      </c>
      <c r="O4239" s="24">
        <f>IF(AND(ISNUMBER(M4239), ISNUMBER(I4239), I4239&gt;0), M4239/I4239, "")</f>
        <v/>
      </c>
    </row>
    <row r="4240">
      <c r="A4240" s="19" t="inlineStr">
        <is>
          <t>FY27</t>
        </is>
      </c>
      <c r="B4240" s="19" t="inlineStr">
        <is>
          <t>Sep</t>
        </is>
      </c>
      <c r="C4240" s="19" t="inlineStr">
        <is>
          <t>TN</t>
        </is>
      </c>
      <c r="D4240" s="20" t="inlineStr">
        <is>
          <t>TN52C3788</t>
        </is>
      </c>
      <c r="E4240" s="20" t="inlineStr">
        <is>
          <t>CHEVROLET</t>
        </is>
      </c>
      <c r="F4240" s="20" t="inlineStr">
        <is>
          <t>Beat</t>
        </is>
      </c>
      <c r="G4240" s="21" t="n">
        <v>2011</v>
      </c>
      <c r="H4240" s="22" t="n">
        <v>85614</v>
      </c>
      <c r="I4240" s="23" t="n">
        <v>50000</v>
      </c>
      <c r="J4240" s="20" t="inlineStr">
        <is>
          <t>EXCHANGE ROTN</t>
        </is>
      </c>
      <c r="K4240" s="20" t="inlineStr">
        <is>
          <t>Captive</t>
        </is>
      </c>
      <c r="L4240" s="20" t="inlineStr">
        <is>
          <t>Ayyappa Cars</t>
        </is>
      </c>
      <c r="M4240" s="23" t="n">
        <v>4237.29</v>
      </c>
      <c r="N4240" s="23" t="n">
        <v>5000</v>
      </c>
      <c r="O4240" s="24">
        <f>IF(AND(ISNUMBER(M4240), ISNUMBER(I4240), I4240&gt;0), M4240/I4240, "")</f>
        <v/>
      </c>
    </row>
    <row r="4241">
      <c r="A4241" s="19" t="inlineStr">
        <is>
          <t>FY27</t>
        </is>
      </c>
      <c r="B4241" s="19" t="inlineStr">
        <is>
          <t>Sep</t>
        </is>
      </c>
      <c r="C4241" s="19" t="inlineStr">
        <is>
          <t>TN</t>
        </is>
      </c>
      <c r="D4241" s="20" t="inlineStr">
        <is>
          <t>TN52Y7322</t>
        </is>
      </c>
      <c r="E4241" s="20" t="inlineStr">
        <is>
          <t>CHEVROLET</t>
        </is>
      </c>
      <c r="F4241" s="20" t="inlineStr">
        <is>
          <t>Spark</t>
        </is>
      </c>
      <c r="G4241" s="21" t="n">
        <v>2010</v>
      </c>
      <c r="H4241" s="22" t="n">
        <v>69451</v>
      </c>
      <c r="I4241" s="23" t="n">
        <v>93000</v>
      </c>
      <c r="J4241" s="20" t="inlineStr">
        <is>
          <t>LANSON QCARS PRIVATE LIMITED</t>
        </is>
      </c>
      <c r="K4241" s="20" t="inlineStr">
        <is>
          <t>Non-Captive</t>
        </is>
      </c>
      <c r="L4241" s="20" t="inlineStr">
        <is>
          <t>Mahathi Cars</t>
        </is>
      </c>
      <c r="M4241" s="23" t="n">
        <v>4237.29</v>
      </c>
      <c r="N4241" s="23" t="n">
        <v>5000</v>
      </c>
      <c r="O4241" s="24">
        <f>IF(AND(ISNUMBER(M4241), ISNUMBER(I4241), I4241&gt;0), M4241/I4241, "")</f>
        <v/>
      </c>
    </row>
    <row r="4242">
      <c r="A4242" s="19" t="inlineStr">
        <is>
          <t>FY27</t>
        </is>
      </c>
      <c r="B4242" s="19" t="inlineStr">
        <is>
          <t>Sep</t>
        </is>
      </c>
      <c r="C4242" s="19" t="inlineStr">
        <is>
          <t>TN</t>
        </is>
      </c>
      <c r="D4242" s="20" t="inlineStr">
        <is>
          <t>TN55AE5089</t>
        </is>
      </c>
      <c r="E4242" s="20" t="inlineStr">
        <is>
          <t>MARUTI SUZUKI</t>
        </is>
      </c>
      <c r="F4242" s="20" t="inlineStr">
        <is>
          <t>Swift</t>
        </is>
      </c>
      <c r="G4242" s="21" t="n">
        <v>2013</v>
      </c>
      <c r="H4242" s="22" t="n">
        <v>127904</v>
      </c>
      <c r="I4242" s="23" t="n">
        <v>86000</v>
      </c>
      <c r="J4242" s="20" t="inlineStr">
        <is>
          <t>STEER AUTO TECHNOLOGIES PRIVATE LIMITED</t>
        </is>
      </c>
      <c r="K4242" s="20" t="inlineStr">
        <is>
          <t>Non-Captive</t>
        </is>
      </c>
      <c r="L4242" s="20" t="inlineStr">
        <is>
          <t>Castel Traders Honada</t>
        </is>
      </c>
      <c r="M4242" s="23" t="n">
        <v>4237.29</v>
      </c>
      <c r="N4242" s="23" t="n">
        <v>5000</v>
      </c>
      <c r="O4242" s="24">
        <f>IF(AND(ISNUMBER(M4242), ISNUMBER(I4242), I4242&gt;0), M4242/I4242, "")</f>
        <v/>
      </c>
    </row>
    <row r="4243">
      <c r="A4243" s="19" t="inlineStr">
        <is>
          <t>FY27</t>
        </is>
      </c>
      <c r="B4243" s="19" t="inlineStr">
        <is>
          <t>Sep</t>
        </is>
      </c>
      <c r="C4243" s="19" t="inlineStr">
        <is>
          <t>TN</t>
        </is>
      </c>
      <c r="D4243" s="20" t="inlineStr">
        <is>
          <t>TN55AF3600</t>
        </is>
      </c>
      <c r="E4243" s="20" t="inlineStr">
        <is>
          <t>HYUNDAI</t>
        </is>
      </c>
      <c r="F4243" s="20" t="inlineStr">
        <is>
          <t>i20</t>
        </is>
      </c>
      <c r="G4243" s="21" t="n">
        <v>2013</v>
      </c>
      <c r="H4243" s="22" t="n">
        <v>79800</v>
      </c>
      <c r="I4243" s="23" t="n">
        <v>94000</v>
      </c>
      <c r="J4243" s="20" t="inlineStr">
        <is>
          <t>CARS INDIA</t>
        </is>
      </c>
      <c r="K4243" s="20" t="inlineStr">
        <is>
          <t>Non-Captive</t>
        </is>
      </c>
      <c r="L4243" s="20" t="inlineStr">
        <is>
          <t>Santhosh Cars</t>
        </is>
      </c>
      <c r="M4243" s="23" t="n">
        <v>4237.29</v>
      </c>
      <c r="N4243" s="23" t="n">
        <v>5000</v>
      </c>
      <c r="O4243" s="24">
        <f>IF(AND(ISNUMBER(M4243), ISNUMBER(I4243), I4243&gt;0), M4243/I4243, "")</f>
        <v/>
      </c>
    </row>
    <row r="4244">
      <c r="A4244" s="19" t="inlineStr">
        <is>
          <t>FY27</t>
        </is>
      </c>
      <c r="B4244" s="19" t="inlineStr">
        <is>
          <t>Sep</t>
        </is>
      </c>
      <c r="C4244" s="19" t="inlineStr">
        <is>
          <t>TN</t>
        </is>
      </c>
      <c r="D4244" s="20" t="inlineStr">
        <is>
          <t>TN55R9693</t>
        </is>
      </c>
      <c r="E4244" s="20" t="inlineStr">
        <is>
          <t>HYUNDAI</t>
        </is>
      </c>
      <c r="F4244" s="20" t="inlineStr">
        <is>
          <t>Santro</t>
        </is>
      </c>
      <c r="G4244" s="21" t="n">
        <v>2008</v>
      </c>
      <c r="H4244" s="22" t="n">
        <v>140765</v>
      </c>
      <c r="I4244" s="23" t="n">
        <v>86000</v>
      </c>
      <c r="J4244" s="20" t="inlineStr">
        <is>
          <t>EXCHANGE ROTN</t>
        </is>
      </c>
      <c r="K4244" s="20" t="inlineStr">
        <is>
          <t>Captive</t>
        </is>
      </c>
      <c r="L4244" s="20" t="inlineStr">
        <is>
          <t>Sree Murugan Cars</t>
        </is>
      </c>
      <c r="M4244" s="23" t="n">
        <v>4237.29</v>
      </c>
      <c r="N4244" s="23" t="n">
        <v>5000</v>
      </c>
      <c r="O4244" s="24">
        <f>IF(AND(ISNUMBER(M4244), ISNUMBER(I4244), I4244&gt;0), M4244/I4244, "")</f>
        <v/>
      </c>
    </row>
    <row r="4245">
      <c r="A4245" s="19" t="inlineStr">
        <is>
          <t>FY27</t>
        </is>
      </c>
      <c r="B4245" s="19" t="inlineStr">
        <is>
          <t>Sep</t>
        </is>
      </c>
      <c r="C4245" s="19" t="inlineStr">
        <is>
          <t>TN</t>
        </is>
      </c>
      <c r="D4245" s="20" t="inlineStr">
        <is>
          <t>TN56A7498</t>
        </is>
      </c>
      <c r="E4245" s="20" t="inlineStr">
        <is>
          <t>MARUTI SUZUKI</t>
        </is>
      </c>
      <c r="F4245" s="20" t="inlineStr">
        <is>
          <t>Wagon R</t>
        </is>
      </c>
      <c r="G4245" s="21" t="n">
        <v>2010</v>
      </c>
      <c r="H4245" s="22" t="n">
        <v>166256</v>
      </c>
      <c r="I4245" s="23" t="n">
        <v>95000</v>
      </c>
      <c r="J4245" s="20" t="inlineStr">
        <is>
          <t>EXCHANGE ROTN</t>
        </is>
      </c>
      <c r="K4245" s="20" t="inlineStr">
        <is>
          <t>Captive</t>
        </is>
      </c>
      <c r="L4245" s="20" t="inlineStr">
        <is>
          <t>Sivashankar Cars</t>
        </is>
      </c>
      <c r="M4245" s="23" t="n">
        <v>4237.29</v>
      </c>
      <c r="N4245" s="23" t="n">
        <v>5000</v>
      </c>
      <c r="O4245" s="24">
        <f>IF(AND(ISNUMBER(M4245), ISNUMBER(I4245), I4245&gt;0), M4245/I4245, "")</f>
        <v/>
      </c>
    </row>
    <row r="4246">
      <c r="A4246" s="19" t="inlineStr">
        <is>
          <t>FY27</t>
        </is>
      </c>
      <c r="B4246" s="19" t="inlineStr">
        <is>
          <t>Sep</t>
        </is>
      </c>
      <c r="C4246" s="19" t="inlineStr">
        <is>
          <t>TN</t>
        </is>
      </c>
      <c r="D4246" s="20" t="inlineStr">
        <is>
          <t>TN56E5236</t>
        </is>
      </c>
      <c r="E4246" s="20" t="inlineStr">
        <is>
          <t>HONDA</t>
        </is>
      </c>
      <c r="F4246" s="20" t="inlineStr">
        <is>
          <t>Amaze</t>
        </is>
      </c>
      <c r="G4246" s="21" t="n">
        <v>2013</v>
      </c>
      <c r="H4246" s="22" t="n">
        <v>127810</v>
      </c>
      <c r="I4246" s="23" t="n">
        <v>270000</v>
      </c>
      <c r="J4246" s="20" t="inlineStr">
        <is>
          <t>EXCHANGE ROTN</t>
        </is>
      </c>
      <c r="K4246" s="20" t="inlineStr">
        <is>
          <t>Captive</t>
        </is>
      </c>
      <c r="L4246" s="20" t="inlineStr">
        <is>
          <t>Sai Cars</t>
        </is>
      </c>
      <c r="M4246" s="23" t="n">
        <v>8474.58</v>
      </c>
      <c r="N4246" s="23" t="n">
        <v>10000</v>
      </c>
      <c r="O4246" s="24">
        <f>IF(AND(ISNUMBER(M4246), ISNUMBER(I4246), I4246&gt;0), M4246/I4246, "")</f>
        <v/>
      </c>
    </row>
    <row r="4247">
      <c r="A4247" s="19" t="inlineStr">
        <is>
          <t>FY27</t>
        </is>
      </c>
      <c r="B4247" s="19" t="inlineStr">
        <is>
          <t>Sep</t>
        </is>
      </c>
      <c r="C4247" s="19" t="inlineStr">
        <is>
          <t>TN</t>
        </is>
      </c>
      <c r="D4247" s="20" t="inlineStr">
        <is>
          <t>TN56M5557</t>
        </is>
      </c>
      <c r="E4247" s="20" t="inlineStr">
        <is>
          <t>TATA</t>
        </is>
      </c>
      <c r="F4247" s="20" t="inlineStr">
        <is>
          <t>Nexon</t>
        </is>
      </c>
      <c r="G4247" s="21" t="n">
        <v>2019</v>
      </c>
      <c r="H4247" s="22" t="n">
        <v>183274</v>
      </c>
      <c r="I4247" s="23" t="n">
        <v>390000</v>
      </c>
      <c r="J4247" s="20" t="inlineStr">
        <is>
          <t>EXCHANGE ROTN</t>
        </is>
      </c>
      <c r="K4247" s="20" t="inlineStr">
        <is>
          <t>Captive</t>
        </is>
      </c>
      <c r="L4247" s="20" t="inlineStr">
        <is>
          <t>Sivashankar Cars</t>
        </is>
      </c>
      <c r="M4247" s="23" t="n">
        <v>6355.93</v>
      </c>
      <c r="N4247" s="23" t="n">
        <v>7500</v>
      </c>
      <c r="O4247" s="24">
        <f>IF(AND(ISNUMBER(M4247), ISNUMBER(I4247), I4247&gt;0), M4247/I4247, "")</f>
        <v/>
      </c>
    </row>
    <row r="4248">
      <c r="A4248" s="19" t="inlineStr">
        <is>
          <t>FY27</t>
        </is>
      </c>
      <c r="B4248" s="19" t="inlineStr">
        <is>
          <t>Sep</t>
        </is>
      </c>
      <c r="C4248" s="19" t="inlineStr">
        <is>
          <t>TN</t>
        </is>
      </c>
      <c r="D4248" s="20" t="inlineStr">
        <is>
          <t>TN58AB5319</t>
        </is>
      </c>
      <c r="E4248" s="20" t="inlineStr">
        <is>
          <t>MARUTI SUZUKI</t>
        </is>
      </c>
      <c r="F4248" s="20" t="inlineStr">
        <is>
          <t>Alto</t>
        </is>
      </c>
      <c r="G4248" s="21" t="n">
        <v>2012</v>
      </c>
      <c r="H4248" s="22" t="n">
        <v>120133</v>
      </c>
      <c r="I4248" s="23" t="n">
        <v>85000</v>
      </c>
      <c r="J4248" s="20" t="inlineStr">
        <is>
          <t>EXCHANGE ROTN</t>
        </is>
      </c>
      <c r="K4248" s="20" t="inlineStr">
        <is>
          <t>Captive</t>
        </is>
      </c>
      <c r="L4248" s="20" t="inlineStr">
        <is>
          <t>Automotivators</t>
        </is>
      </c>
      <c r="M4248" s="23" t="n">
        <v>4237.29</v>
      </c>
      <c r="N4248" s="23" t="n">
        <v>5000</v>
      </c>
      <c r="O4248" s="24">
        <f>IF(AND(ISNUMBER(M4248), ISNUMBER(I4248), I4248&gt;0), M4248/I4248, "")</f>
        <v/>
      </c>
    </row>
    <row r="4249">
      <c r="A4249" s="19" t="inlineStr">
        <is>
          <t>FY27</t>
        </is>
      </c>
      <c r="B4249" s="19" t="inlineStr">
        <is>
          <t>Sep</t>
        </is>
      </c>
      <c r="C4249" s="19" t="inlineStr">
        <is>
          <t>TN</t>
        </is>
      </c>
      <c r="D4249" s="20" t="inlineStr">
        <is>
          <t>TN58AC4694</t>
        </is>
      </c>
      <c r="E4249" s="20" t="inlineStr">
        <is>
          <t>HYUNDAI</t>
        </is>
      </c>
      <c r="F4249" s="20" t="inlineStr">
        <is>
          <t>i20</t>
        </is>
      </c>
      <c r="G4249" s="21" t="n">
        <v>2012</v>
      </c>
      <c r="H4249" s="22" t="n">
        <v>204522</v>
      </c>
      <c r="I4249" s="23" t="n">
        <v>140000</v>
      </c>
      <c r="J4249" s="20" t="inlineStr">
        <is>
          <t>EXCHANGE ROTN</t>
        </is>
      </c>
      <c r="K4249" s="20" t="inlineStr">
        <is>
          <t>Captive</t>
        </is>
      </c>
      <c r="L4249" s="20" t="inlineStr">
        <is>
          <t>Ksm Auto Consultant</t>
        </is>
      </c>
      <c r="M4249" s="23" t="n">
        <v>8474.58</v>
      </c>
      <c r="N4249" s="23" t="n">
        <v>10000</v>
      </c>
      <c r="O4249" s="24">
        <f>IF(AND(ISNUMBER(M4249), ISNUMBER(I4249), I4249&gt;0), M4249/I4249, "")</f>
        <v/>
      </c>
    </row>
    <row r="4250">
      <c r="A4250" s="19" t="inlineStr">
        <is>
          <t>FY27</t>
        </is>
      </c>
      <c r="B4250" s="19" t="inlineStr">
        <is>
          <t>Sep</t>
        </is>
      </c>
      <c r="C4250" s="19" t="inlineStr">
        <is>
          <t>TN</t>
        </is>
      </c>
      <c r="D4250" s="20" t="inlineStr">
        <is>
          <t>TN58BB4307</t>
        </is>
      </c>
      <c r="E4250" s="20" t="inlineStr">
        <is>
          <t>HYUNDAI</t>
        </is>
      </c>
      <c r="F4250" s="20" t="inlineStr">
        <is>
          <t>Santro</t>
        </is>
      </c>
      <c r="G4250" s="21" t="n">
        <v>2019</v>
      </c>
      <c r="H4250" s="22" t="n">
        <v>143925</v>
      </c>
      <c r="I4250" s="23" t="n">
        <v>245000</v>
      </c>
      <c r="J4250" s="20" t="inlineStr">
        <is>
          <t>EXCHANGE ROTN</t>
        </is>
      </c>
      <c r="K4250" s="20" t="inlineStr">
        <is>
          <t>Captive</t>
        </is>
      </c>
      <c r="L4250" s="20" t="inlineStr">
        <is>
          <t>Thirumalai Cars (Madurai)</t>
        </is>
      </c>
      <c r="M4250" s="23" t="n">
        <v>8474.58</v>
      </c>
      <c r="N4250" s="23" t="n">
        <v>10000</v>
      </c>
      <c r="O4250" s="24">
        <f>IF(AND(ISNUMBER(M4250), ISNUMBER(I4250), I4250&gt;0), M4250/I4250, "")</f>
        <v/>
      </c>
    </row>
    <row r="4251">
      <c r="A4251" s="19" t="inlineStr">
        <is>
          <t>FY27</t>
        </is>
      </c>
      <c r="B4251" s="19" t="inlineStr">
        <is>
          <t>Sep</t>
        </is>
      </c>
      <c r="C4251" s="19" t="inlineStr">
        <is>
          <t>TN</t>
        </is>
      </c>
      <c r="D4251" s="20" t="inlineStr">
        <is>
          <t>TN58BD7243</t>
        </is>
      </c>
      <c r="E4251" s="20" t="inlineStr">
        <is>
          <t>KIA</t>
        </is>
      </c>
      <c r="F4251" s="20" t="inlineStr">
        <is>
          <t>Seltos</t>
        </is>
      </c>
      <c r="G4251" s="21" t="n">
        <v>2020</v>
      </c>
      <c r="H4251" s="22" t="n">
        <v>60385</v>
      </c>
      <c r="I4251" s="23" t="n">
        <v>690000</v>
      </c>
      <c r="J4251" s="20" t="inlineStr">
        <is>
          <t>EXCHANGE ROTN</t>
        </is>
      </c>
      <c r="K4251" s="20" t="inlineStr">
        <is>
          <t>Captive</t>
        </is>
      </c>
      <c r="L4251" s="20" t="inlineStr">
        <is>
          <t>Gokul Cars</t>
        </is>
      </c>
      <c r="M4251" s="23" t="n">
        <v>16949.15</v>
      </c>
      <c r="N4251" s="23" t="n">
        <v>20000</v>
      </c>
      <c r="O4251" s="24">
        <f>IF(AND(ISNUMBER(M4251), ISNUMBER(I4251), I4251&gt;0), M4251/I4251, "")</f>
        <v/>
      </c>
    </row>
    <row r="4252">
      <c r="A4252" s="19" t="inlineStr">
        <is>
          <t>FY27</t>
        </is>
      </c>
      <c r="B4252" s="19" t="inlineStr">
        <is>
          <t>Sep</t>
        </is>
      </c>
      <c r="C4252" s="19" t="inlineStr">
        <is>
          <t>TN</t>
        </is>
      </c>
      <c r="D4252" s="20" t="inlineStr">
        <is>
          <t>TN58BF4068</t>
        </is>
      </c>
      <c r="E4252" s="20" t="inlineStr">
        <is>
          <t>TATA</t>
        </is>
      </c>
      <c r="F4252" s="20" t="inlineStr">
        <is>
          <t>Altroz</t>
        </is>
      </c>
      <c r="G4252" s="21" t="n">
        <v>2021</v>
      </c>
      <c r="H4252" s="22" t="n">
        <v>67904</v>
      </c>
      <c r="I4252" s="23" t="n">
        <v>460000</v>
      </c>
      <c r="J4252" s="20" t="inlineStr">
        <is>
          <t>EXCHANGE ROTN</t>
        </is>
      </c>
      <c r="K4252" s="20" t="inlineStr">
        <is>
          <t>Captive</t>
        </is>
      </c>
      <c r="L4252" s="20" t="inlineStr">
        <is>
          <t>Shree Cars (Coimbatore)</t>
        </is>
      </c>
      <c r="M4252" s="23" t="n">
        <v>8474.58</v>
      </c>
      <c r="N4252" s="23" t="n">
        <v>10000</v>
      </c>
      <c r="O4252" s="24">
        <f>IF(AND(ISNUMBER(M4252), ISNUMBER(I4252), I4252&gt;0), M4252/I4252, "")</f>
        <v/>
      </c>
    </row>
    <row r="4253">
      <c r="A4253" s="19" t="inlineStr">
        <is>
          <t>FY27</t>
        </is>
      </c>
      <c r="B4253" s="19" t="inlineStr">
        <is>
          <t>Sep</t>
        </is>
      </c>
      <c r="C4253" s="19" t="inlineStr">
        <is>
          <t>TN</t>
        </is>
      </c>
      <c r="D4253" s="20" t="inlineStr">
        <is>
          <t>TN58Q9515</t>
        </is>
      </c>
      <c r="E4253" s="20" t="inlineStr">
        <is>
          <t>MARUTI SUZUKI</t>
        </is>
      </c>
      <c r="F4253" s="20" t="inlineStr">
        <is>
          <t>800</t>
        </is>
      </c>
      <c r="G4253" s="21" t="n">
        <v>2007</v>
      </c>
      <c r="H4253" s="22" t="n">
        <v>59530</v>
      </c>
      <c r="I4253" s="23" t="n">
        <v>45000</v>
      </c>
      <c r="J4253" s="20" t="inlineStr">
        <is>
          <t>EXCHANGE ROTN</t>
        </is>
      </c>
      <c r="K4253" s="20" t="inlineStr">
        <is>
          <t>Captive</t>
        </is>
      </c>
      <c r="L4253" s="20" t="inlineStr">
        <is>
          <t>Sai Cars</t>
        </is>
      </c>
      <c r="M4253" s="23" t="n">
        <v>4237.29</v>
      </c>
      <c r="N4253" s="23" t="n">
        <v>5000</v>
      </c>
      <c r="O4253" s="24">
        <f>IF(AND(ISNUMBER(M4253), ISNUMBER(I4253), I4253&gt;0), M4253/I4253, "")</f>
        <v/>
      </c>
    </row>
    <row r="4254">
      <c r="A4254" s="19" t="inlineStr">
        <is>
          <t>FY27</t>
        </is>
      </c>
      <c r="B4254" s="19" t="inlineStr">
        <is>
          <t>Sep</t>
        </is>
      </c>
      <c r="C4254" s="19" t="inlineStr">
        <is>
          <t>TN</t>
        </is>
      </c>
      <c r="D4254" s="20" t="inlineStr">
        <is>
          <t>TN58W1159</t>
        </is>
      </c>
      <c r="E4254" s="20" t="inlineStr">
        <is>
          <t>MARUTI SUZUKI</t>
        </is>
      </c>
      <c r="F4254" s="20" t="inlineStr">
        <is>
          <t>Zen Estilo</t>
        </is>
      </c>
      <c r="G4254" s="21" t="n">
        <v>2010</v>
      </c>
      <c r="H4254" s="22" t="n">
        <v>61768</v>
      </c>
      <c r="I4254" s="23" t="n">
        <v>92000</v>
      </c>
      <c r="J4254" s="20" t="inlineStr">
        <is>
          <t>STEER AUTO TECHNOLOGIES PRIVATE LIMITED</t>
        </is>
      </c>
      <c r="K4254" s="20" t="inlineStr">
        <is>
          <t>Non-Captive</t>
        </is>
      </c>
      <c r="L4254" s="20" t="inlineStr">
        <is>
          <t>Castel Traders Honada</t>
        </is>
      </c>
      <c r="M4254" s="23" t="n">
        <v>4237.29</v>
      </c>
      <c r="N4254" s="23" t="n">
        <v>5000</v>
      </c>
      <c r="O4254" s="24">
        <f>IF(AND(ISNUMBER(M4254), ISNUMBER(I4254), I4254&gt;0), M4254/I4254, "")</f>
        <v/>
      </c>
    </row>
    <row r="4255">
      <c r="A4255" s="19" t="inlineStr">
        <is>
          <t>FY27</t>
        </is>
      </c>
      <c r="B4255" s="19" t="inlineStr">
        <is>
          <t>Sep</t>
        </is>
      </c>
      <c r="C4255" s="19" t="inlineStr">
        <is>
          <t>TN</t>
        </is>
      </c>
      <c r="D4255" s="20" t="inlineStr">
        <is>
          <t>TN59AT6297</t>
        </is>
      </c>
      <c r="E4255" s="20" t="inlineStr">
        <is>
          <t>FORD</t>
        </is>
      </c>
      <c r="F4255" s="20" t="inlineStr">
        <is>
          <t>Fiesta Classic</t>
        </is>
      </c>
      <c r="G4255" s="21" t="n">
        <v>2011</v>
      </c>
      <c r="H4255" s="22" t="n">
        <v>97240</v>
      </c>
      <c r="I4255" s="23" t="n">
        <v>65000</v>
      </c>
      <c r="J4255" s="20" t="inlineStr">
        <is>
          <t>EXCHANGE ROTN</t>
        </is>
      </c>
      <c r="K4255" s="20" t="inlineStr">
        <is>
          <t>Captive</t>
        </is>
      </c>
      <c r="L4255" s="20" t="inlineStr">
        <is>
          <t>KSM Auto Consulting</t>
        </is>
      </c>
      <c r="M4255" s="23" t="n">
        <v>4237.29</v>
      </c>
      <c r="N4255" s="23" t="n">
        <v>5000</v>
      </c>
      <c r="O4255" s="24">
        <f>IF(AND(ISNUMBER(M4255), ISNUMBER(I4255), I4255&gt;0), M4255/I4255, "")</f>
        <v/>
      </c>
    </row>
    <row r="4256">
      <c r="A4256" s="19" t="inlineStr">
        <is>
          <t>FY27</t>
        </is>
      </c>
      <c r="B4256" s="19" t="inlineStr">
        <is>
          <t>Sep</t>
        </is>
      </c>
      <c r="C4256" s="19" t="inlineStr">
        <is>
          <t>TN</t>
        </is>
      </c>
      <c r="D4256" s="20" t="inlineStr">
        <is>
          <t>TN59AV7247</t>
        </is>
      </c>
      <c r="E4256" s="20" t="inlineStr">
        <is>
          <t>TATA</t>
        </is>
      </c>
      <c r="F4256" s="20" t="inlineStr">
        <is>
          <t>Nano</t>
        </is>
      </c>
      <c r="G4256" s="21" t="n">
        <v>2012</v>
      </c>
      <c r="H4256" s="22" t="n">
        <v>57330</v>
      </c>
      <c r="I4256" s="23" t="n">
        <v>45000</v>
      </c>
      <c r="J4256" s="20" t="inlineStr">
        <is>
          <t>EXCHANGE ROTN</t>
        </is>
      </c>
      <c r="K4256" s="20" t="inlineStr">
        <is>
          <t>Captive</t>
        </is>
      </c>
      <c r="L4256" s="20" t="inlineStr">
        <is>
          <t>Aswin Cars</t>
        </is>
      </c>
      <c r="M4256" s="23" t="n">
        <v>4237.29</v>
      </c>
      <c r="N4256" s="23" t="n">
        <v>5000</v>
      </c>
      <c r="O4256" s="24">
        <f>IF(AND(ISNUMBER(M4256), ISNUMBER(I4256), I4256&gt;0), M4256/I4256, "")</f>
        <v/>
      </c>
    </row>
    <row r="4257">
      <c r="A4257" s="19" t="inlineStr">
        <is>
          <t>FY27</t>
        </is>
      </c>
      <c r="B4257" s="19" t="inlineStr">
        <is>
          <t>Sep</t>
        </is>
      </c>
      <c r="C4257" s="19" t="inlineStr">
        <is>
          <t>TN</t>
        </is>
      </c>
      <c r="D4257" s="20" t="inlineStr">
        <is>
          <t>TN59AW3704</t>
        </is>
      </c>
      <c r="E4257" s="20" t="inlineStr">
        <is>
          <t>CHEVROLET</t>
        </is>
      </c>
      <c r="F4257" s="20" t="inlineStr">
        <is>
          <t>Beat</t>
        </is>
      </c>
      <c r="G4257" s="21" t="n">
        <v>2012</v>
      </c>
      <c r="H4257" s="22" t="n">
        <v>57557</v>
      </c>
      <c r="I4257" s="23" t="n">
        <v>80000</v>
      </c>
      <c r="J4257" s="20" t="inlineStr">
        <is>
          <t>EXCHANGE ROTN</t>
        </is>
      </c>
      <c r="K4257" s="20" t="inlineStr">
        <is>
          <t>Captive</t>
        </is>
      </c>
      <c r="L4257" s="20" t="inlineStr">
        <is>
          <t>Gokul Cars</t>
        </is>
      </c>
      <c r="M4257" s="23" t="n">
        <v>4237.29</v>
      </c>
      <c r="N4257" s="23" t="n">
        <v>5000</v>
      </c>
      <c r="O4257" s="24">
        <f>IF(AND(ISNUMBER(M4257), ISNUMBER(I4257), I4257&gt;0), M4257/I4257, "")</f>
        <v/>
      </c>
    </row>
    <row r="4258">
      <c r="A4258" s="19" t="inlineStr">
        <is>
          <t>FY27</t>
        </is>
      </c>
      <c r="B4258" s="19" t="inlineStr">
        <is>
          <t>Sep</t>
        </is>
      </c>
      <c r="C4258" s="19" t="inlineStr">
        <is>
          <t>TN</t>
        </is>
      </c>
      <c r="D4258" s="20" t="inlineStr">
        <is>
          <t>TN59BD8824</t>
        </is>
      </c>
      <c r="E4258" s="20" t="inlineStr">
        <is>
          <t>HYUNDAI</t>
        </is>
      </c>
      <c r="F4258" s="20" t="inlineStr">
        <is>
          <t>Eon</t>
        </is>
      </c>
      <c r="G4258" s="21" t="n">
        <v>2014</v>
      </c>
      <c r="H4258" s="22" t="n">
        <v>34198</v>
      </c>
      <c r="I4258" s="23" t="n">
        <v>87000</v>
      </c>
      <c r="J4258" s="20" t="inlineStr">
        <is>
          <t>AIE CARS PRIVATE LIMITED</t>
        </is>
      </c>
      <c r="K4258" s="20" t="inlineStr">
        <is>
          <t>Non-Captive</t>
        </is>
      </c>
      <c r="L4258" s="20" t="inlineStr">
        <is>
          <t>Value Drive Tech</t>
        </is>
      </c>
      <c r="M4258" s="23" t="n">
        <v>4576.27</v>
      </c>
      <c r="N4258" s="23" t="n">
        <v>5400</v>
      </c>
      <c r="O4258" s="24">
        <f>IF(AND(ISNUMBER(M4258), ISNUMBER(I4258), I4258&gt;0), M4258/I4258, "")</f>
        <v/>
      </c>
    </row>
    <row r="4259">
      <c r="A4259" s="19" t="inlineStr">
        <is>
          <t>FY27</t>
        </is>
      </c>
      <c r="B4259" s="19" t="inlineStr">
        <is>
          <t>Sep</t>
        </is>
      </c>
      <c r="C4259" s="19" t="inlineStr">
        <is>
          <t>TN</t>
        </is>
      </c>
      <c r="D4259" s="20" t="inlineStr">
        <is>
          <t>TN59BE4200</t>
        </is>
      </c>
      <c r="E4259" s="20" t="inlineStr">
        <is>
          <t>HONDA</t>
        </is>
      </c>
      <c r="F4259" s="20" t="inlineStr">
        <is>
          <t>Amaze</t>
        </is>
      </c>
      <c r="G4259" s="21" t="n">
        <v>2014</v>
      </c>
      <c r="H4259" s="22" t="n">
        <v>165372</v>
      </c>
      <c r="I4259" s="23" t="n">
        <v>90000</v>
      </c>
      <c r="J4259" s="20" t="inlineStr">
        <is>
          <t>EXCHANGE ROTN</t>
        </is>
      </c>
      <c r="K4259" s="20" t="inlineStr">
        <is>
          <t>Captive</t>
        </is>
      </c>
      <c r="L4259" s="20" t="inlineStr">
        <is>
          <t>Shree Cars (Coimbatore)</t>
        </is>
      </c>
      <c r="M4259" s="23" t="n">
        <v>4237.29</v>
      </c>
      <c r="N4259" s="23" t="n">
        <v>5000</v>
      </c>
      <c r="O4259" s="24">
        <f>IF(AND(ISNUMBER(M4259), ISNUMBER(I4259), I4259&gt;0), M4259/I4259, "")</f>
        <v/>
      </c>
    </row>
    <row r="4260">
      <c r="A4260" s="19" t="inlineStr">
        <is>
          <t>FY27</t>
        </is>
      </c>
      <c r="B4260" s="19" t="inlineStr">
        <is>
          <t>Sep</t>
        </is>
      </c>
      <c r="C4260" s="19" t="inlineStr">
        <is>
          <t>TN</t>
        </is>
      </c>
      <c r="D4260" s="20" t="inlineStr">
        <is>
          <t>TN59BL0175</t>
        </is>
      </c>
      <c r="E4260" s="20" t="inlineStr">
        <is>
          <t>DATSUN</t>
        </is>
      </c>
      <c r="F4260" s="20" t="inlineStr">
        <is>
          <t>Redi-GO</t>
        </is>
      </c>
      <c r="G4260" s="21" t="n">
        <v>2016</v>
      </c>
      <c r="H4260" s="22" t="n">
        <v>64039</v>
      </c>
      <c r="I4260" s="23" t="n">
        <v>80000</v>
      </c>
      <c r="J4260" s="20" t="inlineStr">
        <is>
          <t>EXCHANGE ROTN</t>
        </is>
      </c>
      <c r="K4260" s="20" t="inlineStr">
        <is>
          <t>Captive</t>
        </is>
      </c>
      <c r="L4260" s="20" t="inlineStr">
        <is>
          <t>Ready To Ride Cars</t>
        </is>
      </c>
      <c r="M4260" s="23" t="n">
        <v>4237.29</v>
      </c>
      <c r="N4260" s="23" t="n">
        <v>5000</v>
      </c>
      <c r="O4260" s="24">
        <f>IF(AND(ISNUMBER(M4260), ISNUMBER(I4260), I4260&gt;0), M4260/I4260, "")</f>
        <v/>
      </c>
    </row>
    <row r="4261">
      <c r="A4261" s="19" t="inlineStr">
        <is>
          <t>FY27</t>
        </is>
      </c>
      <c r="B4261" s="19" t="inlineStr">
        <is>
          <t>Sep</t>
        </is>
      </c>
      <c r="C4261" s="19" t="inlineStr">
        <is>
          <t>TN</t>
        </is>
      </c>
      <c r="D4261" s="20" t="inlineStr">
        <is>
          <t>TN59BR0580</t>
        </is>
      </c>
      <c r="E4261" s="20" t="inlineStr">
        <is>
          <t>HYUNDAI</t>
        </is>
      </c>
      <c r="F4261" s="20" t="inlineStr">
        <is>
          <t>Grand i10</t>
        </is>
      </c>
      <c r="G4261" s="21" t="n">
        <v>2018</v>
      </c>
      <c r="H4261" s="22" t="n">
        <v>45107</v>
      </c>
      <c r="I4261" s="23" t="n">
        <v>370000</v>
      </c>
      <c r="J4261" s="20" t="inlineStr">
        <is>
          <t>EXCHANGE ROTN</t>
        </is>
      </c>
      <c r="K4261" s="20" t="inlineStr">
        <is>
          <t>Captive</t>
        </is>
      </c>
      <c r="L4261" s="20" t="inlineStr">
        <is>
          <t>Aswin Cars</t>
        </is>
      </c>
      <c r="M4261" s="23" t="n">
        <v>16949.15</v>
      </c>
      <c r="N4261" s="23" t="n">
        <v>20000</v>
      </c>
      <c r="O4261" s="24">
        <f>IF(AND(ISNUMBER(M4261), ISNUMBER(I4261), I4261&gt;0), M4261/I4261, "")</f>
        <v/>
      </c>
    </row>
    <row r="4262">
      <c r="A4262" s="19" t="inlineStr">
        <is>
          <t>FY27</t>
        </is>
      </c>
      <c r="B4262" s="19" t="inlineStr">
        <is>
          <t>Sep</t>
        </is>
      </c>
      <c r="C4262" s="19" t="inlineStr">
        <is>
          <t>TN</t>
        </is>
      </c>
      <c r="D4262" s="20" t="inlineStr">
        <is>
          <t>TN59CA0439</t>
        </is>
      </c>
      <c r="E4262" s="20" t="inlineStr">
        <is>
          <t>MARUTI SUZUKI</t>
        </is>
      </c>
      <c r="F4262" s="20" t="inlineStr">
        <is>
          <t>Dzire</t>
        </is>
      </c>
      <c r="G4262" s="21" t="n">
        <v>2018</v>
      </c>
      <c r="H4262" s="22" t="n">
        <v>55442</v>
      </c>
      <c r="I4262" s="23" t="n">
        <v>97000</v>
      </c>
      <c r="J4262" s="20" t="inlineStr">
        <is>
          <t>CARS INDIA</t>
        </is>
      </c>
      <c r="K4262" s="20" t="inlineStr">
        <is>
          <t>Non-Captive</t>
        </is>
      </c>
      <c r="L4262" s="20" t="inlineStr">
        <is>
          <t>Santhosh Cars</t>
        </is>
      </c>
      <c r="M4262" s="23" t="n">
        <v>4237.29</v>
      </c>
      <c r="N4262" s="23" t="n">
        <v>5000</v>
      </c>
      <c r="O4262" s="24">
        <f>IF(AND(ISNUMBER(M4262), ISNUMBER(I4262), I4262&gt;0), M4262/I4262, "")</f>
        <v/>
      </c>
    </row>
    <row r="4263">
      <c r="A4263" s="19" t="inlineStr">
        <is>
          <t>FY27</t>
        </is>
      </c>
      <c r="B4263" s="19" t="inlineStr">
        <is>
          <t>Sep</t>
        </is>
      </c>
      <c r="C4263" s="19" t="inlineStr">
        <is>
          <t>TN</t>
        </is>
      </c>
      <c r="D4263" s="20" t="inlineStr">
        <is>
          <t>TN59CE3415</t>
        </is>
      </c>
      <c r="E4263" s="20" t="inlineStr">
        <is>
          <t>FORD</t>
        </is>
      </c>
      <c r="F4263" s="20" t="inlineStr">
        <is>
          <t>Figo</t>
        </is>
      </c>
      <c r="G4263" s="21" t="n">
        <v>2019</v>
      </c>
      <c r="H4263" s="22" t="n">
        <v>57237</v>
      </c>
      <c r="I4263" s="23" t="n">
        <v>300000</v>
      </c>
      <c r="J4263" s="20" t="inlineStr">
        <is>
          <t>EXCHANGE ROTN</t>
        </is>
      </c>
      <c r="K4263" s="20" t="inlineStr">
        <is>
          <t>Captive</t>
        </is>
      </c>
      <c r="L4263" s="20" t="inlineStr">
        <is>
          <t>Ready To Ride Cars</t>
        </is>
      </c>
      <c r="M4263" s="23" t="n">
        <v>12711.86</v>
      </c>
      <c r="N4263" s="23" t="n">
        <v>15000</v>
      </c>
      <c r="O4263" s="24">
        <f>IF(AND(ISNUMBER(M4263), ISNUMBER(I4263), I4263&gt;0), M4263/I4263, "")</f>
        <v/>
      </c>
    </row>
    <row r="4264">
      <c r="A4264" s="19" t="inlineStr">
        <is>
          <t>FY27</t>
        </is>
      </c>
      <c r="B4264" s="19" t="inlineStr">
        <is>
          <t>Sep</t>
        </is>
      </c>
      <c r="C4264" s="19" t="inlineStr">
        <is>
          <t>TN</t>
        </is>
      </c>
      <c r="D4264" s="20" t="inlineStr">
        <is>
          <t>TN59CH7688</t>
        </is>
      </c>
      <c r="E4264" s="20" t="inlineStr">
        <is>
          <t>HONDA</t>
        </is>
      </c>
      <c r="F4264" s="20" t="inlineStr">
        <is>
          <t>Amaze</t>
        </is>
      </c>
      <c r="G4264" s="21" t="n">
        <v>2020</v>
      </c>
      <c r="H4264" s="22" t="n">
        <v>103336</v>
      </c>
      <c r="I4264" s="23" t="n">
        <v>440000</v>
      </c>
      <c r="J4264" s="20" t="inlineStr">
        <is>
          <t>EXCHANGE ROTN</t>
        </is>
      </c>
      <c r="K4264" s="20" t="inlineStr">
        <is>
          <t>Captive</t>
        </is>
      </c>
      <c r="L4264" s="20" t="inlineStr">
        <is>
          <t>Thirumalai Cars (Madurai)</t>
        </is>
      </c>
      <c r="M4264" s="23" t="n">
        <v>16949.15</v>
      </c>
      <c r="N4264" s="23" t="n">
        <v>20000</v>
      </c>
      <c r="O4264" s="24">
        <f>IF(AND(ISNUMBER(M4264), ISNUMBER(I4264), I4264&gt;0), M4264/I4264, "")</f>
        <v/>
      </c>
    </row>
    <row r="4265">
      <c r="A4265" s="19" t="inlineStr">
        <is>
          <t>FY27</t>
        </is>
      </c>
      <c r="B4265" s="19" t="inlineStr">
        <is>
          <t>Sep</t>
        </is>
      </c>
      <c r="C4265" s="19" t="inlineStr">
        <is>
          <t>TN</t>
        </is>
      </c>
      <c r="D4265" s="20" t="inlineStr">
        <is>
          <t>TN59CQ0477</t>
        </is>
      </c>
      <c r="E4265" s="20" t="inlineStr">
        <is>
          <t>TOYOTA</t>
        </is>
      </c>
      <c r="F4265" s="20" t="inlineStr">
        <is>
          <t>Glanza</t>
        </is>
      </c>
      <c r="G4265" s="21" t="n">
        <v>2022</v>
      </c>
      <c r="H4265" s="22" t="n">
        <v>76859</v>
      </c>
      <c r="I4265" s="23" t="n">
        <v>500000</v>
      </c>
      <c r="J4265" s="20" t="inlineStr">
        <is>
          <t>EXCHANGE ROTN</t>
        </is>
      </c>
      <c r="K4265" s="20" t="inlineStr">
        <is>
          <t>Captive</t>
        </is>
      </c>
      <c r="L4265" s="20" t="inlineStr">
        <is>
          <t>Paul Cars</t>
        </is>
      </c>
      <c r="M4265" s="23" t="n">
        <v>12711.86</v>
      </c>
      <c r="N4265" s="23" t="n">
        <v>15000</v>
      </c>
      <c r="O4265" s="24">
        <f>IF(AND(ISNUMBER(M4265), ISNUMBER(I4265), I4265&gt;0), M4265/I4265, "")</f>
        <v/>
      </c>
    </row>
    <row r="4266">
      <c r="A4266" s="19" t="inlineStr">
        <is>
          <t>FY27</t>
        </is>
      </c>
      <c r="B4266" s="19" t="inlineStr">
        <is>
          <t>Sep</t>
        </is>
      </c>
      <c r="C4266" s="19" t="inlineStr">
        <is>
          <t>TN</t>
        </is>
      </c>
      <c r="D4266" s="20" t="inlineStr">
        <is>
          <t>TN60J1516</t>
        </is>
      </c>
      <c r="E4266" s="20" t="inlineStr">
        <is>
          <t>FORD</t>
        </is>
      </c>
      <c r="F4266" s="20" t="inlineStr">
        <is>
          <t>Fiesta</t>
        </is>
      </c>
      <c r="G4266" s="21" t="n">
        <v>2011</v>
      </c>
      <c r="H4266" s="22" t="n">
        <v>182852</v>
      </c>
      <c r="I4266" s="23" t="n">
        <v>70000</v>
      </c>
      <c r="J4266" s="20" t="inlineStr">
        <is>
          <t>EXCHANGE ROTN</t>
        </is>
      </c>
      <c r="K4266" s="20" t="inlineStr">
        <is>
          <t>Captive</t>
        </is>
      </c>
      <c r="L4266" s="20" t="inlineStr">
        <is>
          <t>Uzhavan Enterprise</t>
        </is>
      </c>
      <c r="M4266" s="23" t="n">
        <v>5932.2</v>
      </c>
      <c r="N4266" s="23" t="n">
        <v>7000</v>
      </c>
      <c r="O4266" s="24">
        <f>IF(AND(ISNUMBER(M4266), ISNUMBER(I4266), I4266&gt;0), M4266/I4266, "")</f>
        <v/>
      </c>
    </row>
    <row r="4267">
      <c r="A4267" s="19" t="inlineStr">
        <is>
          <t>FY27</t>
        </is>
      </c>
      <c r="B4267" s="19" t="inlineStr">
        <is>
          <t>Sep</t>
        </is>
      </c>
      <c r="C4267" s="19" t="inlineStr">
        <is>
          <t>TN</t>
        </is>
      </c>
      <c r="D4267" s="20" t="inlineStr">
        <is>
          <t>TN63AV1212</t>
        </is>
      </c>
      <c r="E4267" s="20" t="inlineStr">
        <is>
          <t>FORD</t>
        </is>
      </c>
      <c r="F4267" s="20" t="inlineStr">
        <is>
          <t>Figo</t>
        </is>
      </c>
      <c r="G4267" s="21" t="n">
        <v>2014</v>
      </c>
      <c r="H4267" s="22" t="n">
        <v>125773</v>
      </c>
      <c r="I4267" s="23" t="n">
        <v>80000</v>
      </c>
      <c r="J4267" s="20" t="inlineStr">
        <is>
          <t>EXCHANGE ROTN</t>
        </is>
      </c>
      <c r="K4267" s="20" t="inlineStr">
        <is>
          <t>Captive</t>
        </is>
      </c>
      <c r="L4267" s="20" t="inlineStr">
        <is>
          <t>Aswin Cars</t>
        </is>
      </c>
      <c r="M4267" s="23" t="n">
        <v>4237.29</v>
      </c>
      <c r="N4267" s="23" t="n">
        <v>5000</v>
      </c>
      <c r="O4267" s="24">
        <f>IF(AND(ISNUMBER(M4267), ISNUMBER(I4267), I4267&gt;0), M4267/I4267, "")</f>
        <v/>
      </c>
    </row>
    <row r="4268">
      <c r="A4268" s="19" t="inlineStr">
        <is>
          <t>FY27</t>
        </is>
      </c>
      <c r="B4268" s="19" t="inlineStr">
        <is>
          <t>Sep</t>
        </is>
      </c>
      <c r="C4268" s="19" t="inlineStr">
        <is>
          <t>TN</t>
        </is>
      </c>
      <c r="D4268" s="20" t="inlineStr">
        <is>
          <t>TN63BV3476</t>
        </is>
      </c>
      <c r="E4268" s="20" t="inlineStr">
        <is>
          <t>MARUTI SUZUKI</t>
        </is>
      </c>
      <c r="F4268" s="20" t="inlineStr">
        <is>
          <t>Swift</t>
        </is>
      </c>
      <c r="G4268" s="21" t="n">
        <v>2020</v>
      </c>
      <c r="H4268" s="22" t="n">
        <v>69618</v>
      </c>
      <c r="I4268" s="23" t="n">
        <v>483000</v>
      </c>
      <c r="J4268" s="20" t="inlineStr">
        <is>
          <t>EXCHANGE ROTN</t>
        </is>
      </c>
      <c r="K4268" s="20" t="inlineStr">
        <is>
          <t>Captive</t>
        </is>
      </c>
      <c r="L4268" s="20" t="inlineStr">
        <is>
          <t>Aswin Cars</t>
        </is>
      </c>
      <c r="M4268" s="23" t="n">
        <v>10169.49</v>
      </c>
      <c r="N4268" s="23" t="n">
        <v>12000</v>
      </c>
      <c r="O4268" s="24">
        <f>IF(AND(ISNUMBER(M4268), ISNUMBER(I4268), I4268&gt;0), M4268/I4268, "")</f>
        <v/>
      </c>
    </row>
    <row r="4269">
      <c r="A4269" s="19" t="inlineStr">
        <is>
          <t>FY27</t>
        </is>
      </c>
      <c r="B4269" s="19" t="inlineStr">
        <is>
          <t>Sep</t>
        </is>
      </c>
      <c r="C4269" s="19" t="inlineStr">
        <is>
          <t>TN</t>
        </is>
      </c>
      <c r="D4269" s="20" t="inlineStr">
        <is>
          <t>TN63M7273</t>
        </is>
      </c>
      <c r="E4269" s="20" t="inlineStr">
        <is>
          <t>FIAT</t>
        </is>
      </c>
      <c r="F4269" s="20" t="inlineStr">
        <is>
          <t>Grand Punto</t>
        </is>
      </c>
      <c r="G4269" s="21" t="n">
        <v>2010</v>
      </c>
      <c r="H4269" s="22" t="n">
        <v>210520</v>
      </c>
      <c r="I4269" s="23" t="n">
        <v>75000</v>
      </c>
      <c r="J4269" s="20" t="inlineStr">
        <is>
          <t>EXCHANGE ROTN</t>
        </is>
      </c>
      <c r="K4269" s="20" t="inlineStr">
        <is>
          <t>Captive</t>
        </is>
      </c>
      <c r="L4269" s="20" t="inlineStr"/>
      <c r="M4269" s="23" t="n">
        <v>4237.29</v>
      </c>
      <c r="N4269" s="23" t="n">
        <v>5000</v>
      </c>
      <c r="O4269" s="24">
        <f>IF(AND(ISNUMBER(M4269), ISNUMBER(I4269), I4269&gt;0), M4269/I4269, "")</f>
        <v/>
      </c>
    </row>
    <row r="4270">
      <c r="A4270" s="19" t="inlineStr">
        <is>
          <t>FY27</t>
        </is>
      </c>
      <c r="B4270" s="19" t="inlineStr">
        <is>
          <t>Sep</t>
        </is>
      </c>
      <c r="C4270" s="19" t="inlineStr">
        <is>
          <t>TN</t>
        </is>
      </c>
      <c r="D4270" s="20" t="inlineStr">
        <is>
          <t>TN63S6465</t>
        </is>
      </c>
      <c r="E4270" s="20" t="inlineStr">
        <is>
          <t>HYUNDAI</t>
        </is>
      </c>
      <c r="F4270" s="20" t="inlineStr">
        <is>
          <t>i10</t>
        </is>
      </c>
      <c r="G4270" s="21" t="n">
        <v>2009</v>
      </c>
      <c r="H4270" s="22" t="n">
        <v>142874</v>
      </c>
      <c r="I4270" s="23" t="n">
        <v>110000</v>
      </c>
      <c r="J4270" s="20" t="inlineStr">
        <is>
          <t>EXCHANGE ROTN</t>
        </is>
      </c>
      <c r="K4270" s="20" t="inlineStr">
        <is>
          <t>Captive</t>
        </is>
      </c>
      <c r="L4270" s="20" t="inlineStr"/>
      <c r="M4270" s="23" t="n">
        <v>4237.29</v>
      </c>
      <c r="N4270" s="23" t="n">
        <v>5000</v>
      </c>
      <c r="O4270" s="24">
        <f>IF(AND(ISNUMBER(M4270), ISNUMBER(I4270), I4270&gt;0), M4270/I4270, "")</f>
        <v/>
      </c>
    </row>
    <row r="4271">
      <c r="A4271" s="19" t="inlineStr">
        <is>
          <t>FY27</t>
        </is>
      </c>
      <c r="B4271" s="19" t="inlineStr">
        <is>
          <t>Sep</t>
        </is>
      </c>
      <c r="C4271" s="19" t="inlineStr">
        <is>
          <t>TN</t>
        </is>
      </c>
      <c r="D4271" s="20" t="inlineStr">
        <is>
          <t>TN63T9679</t>
        </is>
      </c>
      <c r="E4271" s="20" t="inlineStr">
        <is>
          <t>TATA</t>
        </is>
      </c>
      <c r="F4271" s="20" t="inlineStr">
        <is>
          <t>Indigo</t>
        </is>
      </c>
      <c r="G4271" s="21" t="n">
        <v>2008</v>
      </c>
      <c r="H4271" s="22" t="n">
        <v>145484</v>
      </c>
      <c r="I4271" s="23" t="n">
        <v>50000</v>
      </c>
      <c r="J4271" s="20" t="inlineStr">
        <is>
          <t>EXCHANGE ROTN</t>
        </is>
      </c>
      <c r="K4271" s="20" t="inlineStr">
        <is>
          <t>Captive</t>
        </is>
      </c>
      <c r="L4271" s="20" t="inlineStr">
        <is>
          <t>Ready To Ride Cars</t>
        </is>
      </c>
      <c r="M4271" s="23" t="n">
        <v>4237.29</v>
      </c>
      <c r="N4271" s="23" t="n">
        <v>5000</v>
      </c>
      <c r="O4271" s="24">
        <f>IF(AND(ISNUMBER(M4271), ISNUMBER(I4271), I4271&gt;0), M4271/I4271, "")</f>
        <v/>
      </c>
    </row>
    <row r="4272">
      <c r="A4272" s="19" t="inlineStr">
        <is>
          <t>FY27</t>
        </is>
      </c>
      <c r="B4272" s="19" t="inlineStr">
        <is>
          <t>Sep</t>
        </is>
      </c>
      <c r="C4272" s="19" t="inlineStr">
        <is>
          <t>TN</t>
        </is>
      </c>
      <c r="D4272" s="20" t="inlineStr">
        <is>
          <t>TN64F5359</t>
        </is>
      </c>
      <c r="E4272" s="20" t="inlineStr">
        <is>
          <t>HYUNDAI</t>
        </is>
      </c>
      <c r="F4272" s="20" t="inlineStr">
        <is>
          <t>Eon</t>
        </is>
      </c>
      <c r="G4272" s="21" t="n">
        <v>2013</v>
      </c>
      <c r="H4272" s="22" t="n">
        <v>80649</v>
      </c>
      <c r="I4272" s="23" t="n">
        <v>92000</v>
      </c>
      <c r="J4272" s="20" t="inlineStr">
        <is>
          <t>EXCHANGE ROTN</t>
        </is>
      </c>
      <c r="K4272" s="20" t="inlineStr">
        <is>
          <t>Captive</t>
        </is>
      </c>
      <c r="L4272" s="20" t="inlineStr">
        <is>
          <t>Aswin Cars</t>
        </is>
      </c>
      <c r="M4272" s="23" t="n">
        <v>4237.29</v>
      </c>
      <c r="N4272" s="23" t="n">
        <v>5000</v>
      </c>
      <c r="O4272" s="24">
        <f>IF(AND(ISNUMBER(M4272), ISNUMBER(I4272), I4272&gt;0), M4272/I4272, "")</f>
        <v/>
      </c>
    </row>
    <row r="4273">
      <c r="A4273" s="19" t="inlineStr">
        <is>
          <t>FY27</t>
        </is>
      </c>
      <c r="B4273" s="19" t="inlineStr">
        <is>
          <t>Sep</t>
        </is>
      </c>
      <c r="C4273" s="19" t="inlineStr">
        <is>
          <t>TN</t>
        </is>
      </c>
      <c r="D4273" s="20" t="inlineStr">
        <is>
          <t>TN64Q7762</t>
        </is>
      </c>
      <c r="E4273" s="20" t="inlineStr">
        <is>
          <t>MARUTI SUZUKI</t>
        </is>
      </c>
      <c r="F4273" s="20" t="inlineStr">
        <is>
          <t>Baleno</t>
        </is>
      </c>
      <c r="G4273" s="21" t="n">
        <v>2017</v>
      </c>
      <c r="H4273" s="22" t="n">
        <v>56644</v>
      </c>
      <c r="I4273" s="23" t="n">
        <v>430000</v>
      </c>
      <c r="J4273" s="20" t="inlineStr">
        <is>
          <t>EXCHANGE ROTN</t>
        </is>
      </c>
      <c r="K4273" s="20" t="inlineStr">
        <is>
          <t>Captive</t>
        </is>
      </c>
      <c r="L4273" s="20" t="inlineStr">
        <is>
          <t>Shree Cars (Coimbatore)</t>
        </is>
      </c>
      <c r="M4273" s="23" t="n">
        <v>12711.86</v>
      </c>
      <c r="N4273" s="23" t="n">
        <v>15000</v>
      </c>
      <c r="O4273" s="24">
        <f>IF(AND(ISNUMBER(M4273), ISNUMBER(I4273), I4273&gt;0), M4273/I4273, "")</f>
        <v/>
      </c>
    </row>
    <row r="4274">
      <c r="A4274" s="19" t="inlineStr">
        <is>
          <t>FY27</t>
        </is>
      </c>
      <c r="B4274" s="19" t="inlineStr">
        <is>
          <t>Sep</t>
        </is>
      </c>
      <c r="C4274" s="19" t="inlineStr">
        <is>
          <t>TN</t>
        </is>
      </c>
      <c r="D4274" s="20" t="inlineStr">
        <is>
          <t>TN65AK1423</t>
        </is>
      </c>
      <c r="E4274" s="20" t="inlineStr">
        <is>
          <t>MARUTI SUZUKI</t>
        </is>
      </c>
      <c r="F4274" s="20" t="inlineStr">
        <is>
          <t>Swift</t>
        </is>
      </c>
      <c r="G4274" s="21" t="n">
        <v>2018</v>
      </c>
      <c r="H4274" s="22" t="n">
        <v>298777</v>
      </c>
      <c r="I4274" s="23" t="n">
        <v>302000</v>
      </c>
      <c r="J4274" s="20" t="inlineStr">
        <is>
          <t>EXCHANGE ROTN</t>
        </is>
      </c>
      <c r="K4274" s="20" t="inlineStr">
        <is>
          <t>Captive</t>
        </is>
      </c>
      <c r="L4274" s="20" t="inlineStr">
        <is>
          <t>Dindigul Value Car</t>
        </is>
      </c>
      <c r="M4274" s="23" t="n">
        <v>11016.95</v>
      </c>
      <c r="N4274" s="23" t="n">
        <v>13000</v>
      </c>
      <c r="O4274" s="24">
        <f>IF(AND(ISNUMBER(M4274), ISNUMBER(I4274), I4274&gt;0), M4274/I4274, "")</f>
        <v/>
      </c>
    </row>
    <row r="4275">
      <c r="A4275" s="19" t="inlineStr">
        <is>
          <t>FY27</t>
        </is>
      </c>
      <c r="B4275" s="19" t="inlineStr">
        <is>
          <t>Sep</t>
        </is>
      </c>
      <c r="C4275" s="19" t="inlineStr">
        <is>
          <t>TN</t>
        </is>
      </c>
      <c r="D4275" s="20" t="inlineStr">
        <is>
          <t>TN65P9690</t>
        </is>
      </c>
      <c r="E4275" s="20" t="inlineStr">
        <is>
          <t>FORD</t>
        </is>
      </c>
      <c r="F4275" s="20" t="inlineStr">
        <is>
          <t>Fiesta</t>
        </is>
      </c>
      <c r="G4275" s="21" t="n">
        <v>2012</v>
      </c>
      <c r="H4275" s="22" t="n">
        <v>155476</v>
      </c>
      <c r="I4275" s="23" t="n">
        <v>65000</v>
      </c>
      <c r="J4275" s="20" t="inlineStr">
        <is>
          <t>EXCHANGE ROTN</t>
        </is>
      </c>
      <c r="K4275" s="20" t="inlineStr">
        <is>
          <t>Captive</t>
        </is>
      </c>
      <c r="L4275" s="20" t="inlineStr">
        <is>
          <t>Aswin Cars</t>
        </is>
      </c>
      <c r="M4275" s="23" t="n">
        <v>4237.29</v>
      </c>
      <c r="N4275" s="23" t="n">
        <v>5000</v>
      </c>
      <c r="O4275" s="24">
        <f>IF(AND(ISNUMBER(M4275), ISNUMBER(I4275), I4275&gt;0), M4275/I4275, "")</f>
        <v/>
      </c>
    </row>
    <row r="4276">
      <c r="A4276" s="19" t="inlineStr">
        <is>
          <t>FY27</t>
        </is>
      </c>
      <c r="B4276" s="19" t="inlineStr">
        <is>
          <t>Sep</t>
        </is>
      </c>
      <c r="C4276" s="19" t="inlineStr">
        <is>
          <t>TN</t>
        </is>
      </c>
      <c r="D4276" s="20" t="inlineStr">
        <is>
          <t>TN65X4003</t>
        </is>
      </c>
      <c r="E4276" s="20" t="inlineStr">
        <is>
          <t>HYUNDAI</t>
        </is>
      </c>
      <c r="F4276" s="20" t="inlineStr">
        <is>
          <t>Santro</t>
        </is>
      </c>
      <c r="G4276" s="21" t="n">
        <v>2011</v>
      </c>
      <c r="H4276" s="22" t="n">
        <v>86921</v>
      </c>
      <c r="I4276" s="23" t="n">
        <v>93000</v>
      </c>
      <c r="J4276" s="20" t="inlineStr">
        <is>
          <t>LAKSHMI TATA</t>
        </is>
      </c>
      <c r="K4276" s="20" t="inlineStr">
        <is>
          <t>Non-Captive</t>
        </is>
      </c>
      <c r="L4276" s="20" t="inlineStr">
        <is>
          <t>Balaji Cars</t>
        </is>
      </c>
      <c r="M4276" s="23" t="n">
        <v>4237.29</v>
      </c>
      <c r="N4276" s="23" t="n">
        <v>5000</v>
      </c>
      <c r="O4276" s="24">
        <f>IF(AND(ISNUMBER(M4276), ISNUMBER(I4276), I4276&gt;0), M4276/I4276, "")</f>
        <v/>
      </c>
    </row>
    <row r="4277">
      <c r="A4277" s="19" t="inlineStr">
        <is>
          <t>FY27</t>
        </is>
      </c>
      <c r="B4277" s="19" t="inlineStr">
        <is>
          <t>Sep</t>
        </is>
      </c>
      <c r="C4277" s="19" t="inlineStr">
        <is>
          <t>TN</t>
        </is>
      </c>
      <c r="D4277" s="20" t="inlineStr">
        <is>
          <t>TN66C8455</t>
        </is>
      </c>
      <c r="E4277" s="20" t="inlineStr">
        <is>
          <t>HONDA</t>
        </is>
      </c>
      <c r="F4277" s="20" t="inlineStr">
        <is>
          <t>City</t>
        </is>
      </c>
      <c r="G4277" s="21" t="n">
        <v>2011</v>
      </c>
      <c r="H4277" s="22" t="n">
        <v>243751</v>
      </c>
      <c r="I4277" s="23" t="n">
        <v>190000</v>
      </c>
      <c r="J4277" s="20" t="inlineStr">
        <is>
          <t>EXCHANGE ROTN</t>
        </is>
      </c>
      <c r="K4277" s="20" t="inlineStr">
        <is>
          <t>Captive</t>
        </is>
      </c>
      <c r="L4277" s="20" t="inlineStr">
        <is>
          <t>Uzhavan Enterprise</t>
        </is>
      </c>
      <c r="M4277" s="23" t="n">
        <v>6355.93</v>
      </c>
      <c r="N4277" s="23" t="n">
        <v>7500</v>
      </c>
      <c r="O4277" s="24">
        <f>IF(AND(ISNUMBER(M4277), ISNUMBER(I4277), I4277&gt;0), M4277/I4277, "")</f>
        <v/>
      </c>
    </row>
    <row r="4278">
      <c r="A4278" s="19" t="inlineStr">
        <is>
          <t>FY27</t>
        </is>
      </c>
      <c r="B4278" s="19" t="inlineStr">
        <is>
          <t>Sep</t>
        </is>
      </c>
      <c r="C4278" s="19" t="inlineStr">
        <is>
          <t>TN</t>
        </is>
      </c>
      <c r="D4278" s="20" t="inlineStr">
        <is>
          <t>TN66D5798</t>
        </is>
      </c>
      <c r="E4278" s="20" t="inlineStr">
        <is>
          <t>HYUNDAI</t>
        </is>
      </c>
      <c r="F4278" s="20" t="inlineStr">
        <is>
          <t>Santro</t>
        </is>
      </c>
      <c r="G4278" s="21" t="n">
        <v>2011</v>
      </c>
      <c r="H4278" s="22" t="n">
        <v>74913</v>
      </c>
      <c r="I4278" s="23" t="n">
        <v>135000</v>
      </c>
      <c r="J4278" s="20" t="inlineStr">
        <is>
          <t>EXCHANGE ROTN</t>
        </is>
      </c>
      <c r="K4278" s="20" t="inlineStr">
        <is>
          <t>Captive</t>
        </is>
      </c>
      <c r="L4278" s="20" t="inlineStr">
        <is>
          <t>Sivashankar Cars</t>
        </is>
      </c>
      <c r="M4278" s="23" t="n">
        <v>5084.75</v>
      </c>
      <c r="N4278" s="23" t="n">
        <v>6000</v>
      </c>
      <c r="O4278" s="24">
        <f>IF(AND(ISNUMBER(M4278), ISNUMBER(I4278), I4278&gt;0), M4278/I4278, "")</f>
        <v/>
      </c>
    </row>
    <row r="4279">
      <c r="A4279" s="19" t="inlineStr">
        <is>
          <t>FY27</t>
        </is>
      </c>
      <c r="B4279" s="19" t="inlineStr">
        <is>
          <t>Sep</t>
        </is>
      </c>
      <c r="C4279" s="19" t="inlineStr">
        <is>
          <t>TN</t>
        </is>
      </c>
      <c r="D4279" s="20" t="inlineStr">
        <is>
          <t>TN66E1181</t>
        </is>
      </c>
      <c r="E4279" s="20" t="inlineStr">
        <is>
          <t>MARUTI SUZUKI</t>
        </is>
      </c>
      <c r="F4279" s="20" t="inlineStr">
        <is>
          <t>A-Star</t>
        </is>
      </c>
      <c r="G4279" s="21" t="n">
        <v>2011</v>
      </c>
      <c r="H4279" s="22" t="n">
        <v>52509</v>
      </c>
      <c r="I4279" s="23" t="n">
        <v>96000</v>
      </c>
      <c r="J4279" s="20" t="inlineStr">
        <is>
          <t>ABT LIMITED</t>
        </is>
      </c>
      <c r="K4279" s="20" t="inlineStr">
        <is>
          <t>Non-Captive</t>
        </is>
      </c>
      <c r="L4279" s="20" t="inlineStr">
        <is>
          <t>Pine Autos</t>
        </is>
      </c>
      <c r="M4279" s="23" t="n">
        <v>4237.29</v>
      </c>
      <c r="N4279" s="23" t="n">
        <v>5000</v>
      </c>
      <c r="O4279" s="24">
        <f>IF(AND(ISNUMBER(M4279), ISNUMBER(I4279), I4279&gt;0), M4279/I4279, "")</f>
        <v/>
      </c>
    </row>
    <row r="4280">
      <c r="A4280" s="19" t="inlineStr">
        <is>
          <t>FY27</t>
        </is>
      </c>
      <c r="B4280" s="19" t="inlineStr">
        <is>
          <t>Sep</t>
        </is>
      </c>
      <c r="C4280" s="19" t="inlineStr">
        <is>
          <t>TN</t>
        </is>
      </c>
      <c r="D4280" s="20" t="inlineStr">
        <is>
          <t>TN66E1887</t>
        </is>
      </c>
      <c r="E4280" s="20" t="inlineStr">
        <is>
          <t>CHEVROLET</t>
        </is>
      </c>
      <c r="F4280" s="20" t="inlineStr">
        <is>
          <t>Beat</t>
        </is>
      </c>
      <c r="G4280" s="21" t="n">
        <v>2011</v>
      </c>
      <c r="H4280" s="22" t="n">
        <v>99862</v>
      </c>
      <c r="I4280" s="23" t="n">
        <v>97000</v>
      </c>
      <c r="J4280" s="20" t="inlineStr">
        <is>
          <t>HARSHA TOYOTA</t>
        </is>
      </c>
      <c r="K4280" s="20" t="inlineStr">
        <is>
          <t>Non-Captive</t>
        </is>
      </c>
      <c r="L4280" s="20" t="inlineStr">
        <is>
          <t>Srijja Travels</t>
        </is>
      </c>
      <c r="M4280" s="23" t="n">
        <v>4533.9</v>
      </c>
      <c r="N4280" s="23" t="n">
        <v>5350</v>
      </c>
      <c r="O4280" s="24">
        <f>IF(AND(ISNUMBER(M4280), ISNUMBER(I4280), I4280&gt;0), M4280/I4280, "")</f>
        <v/>
      </c>
    </row>
    <row r="4281">
      <c r="A4281" s="19" t="inlineStr">
        <is>
          <t>FY27</t>
        </is>
      </c>
      <c r="B4281" s="19" t="inlineStr">
        <is>
          <t>Sep</t>
        </is>
      </c>
      <c r="C4281" s="19" t="inlineStr">
        <is>
          <t>TN</t>
        </is>
      </c>
      <c r="D4281" s="20" t="inlineStr">
        <is>
          <t>TN66F3342</t>
        </is>
      </c>
      <c r="E4281" s="20" t="inlineStr">
        <is>
          <t>FIAT</t>
        </is>
      </c>
      <c r="F4281" s="20" t="inlineStr">
        <is>
          <t>Punto</t>
        </is>
      </c>
      <c r="G4281" s="21" t="n">
        <v>2012</v>
      </c>
      <c r="H4281" s="22" t="n">
        <v>99999</v>
      </c>
      <c r="I4281" s="23" t="n">
        <v>98000</v>
      </c>
      <c r="J4281" s="20" t="inlineStr">
        <is>
          <t>VISHNU CARS PRIVATE LIMITED</t>
        </is>
      </c>
      <c r="K4281" s="20" t="inlineStr">
        <is>
          <t>Non-Captive</t>
        </is>
      </c>
      <c r="L4281" s="20" t="inlineStr">
        <is>
          <t>Grid 33</t>
        </is>
      </c>
      <c r="M4281" s="23" t="n">
        <v>4237.29</v>
      </c>
      <c r="N4281" s="23" t="n">
        <v>5000</v>
      </c>
      <c r="O4281" s="24">
        <f>IF(AND(ISNUMBER(M4281), ISNUMBER(I4281), I4281&gt;0), M4281/I4281, "")</f>
        <v/>
      </c>
    </row>
    <row r="4282">
      <c r="A4282" s="19" t="inlineStr">
        <is>
          <t>FY27</t>
        </is>
      </c>
      <c r="B4282" s="19" t="inlineStr">
        <is>
          <t>Sep</t>
        </is>
      </c>
      <c r="C4282" s="19" t="inlineStr">
        <is>
          <t>TN</t>
        </is>
      </c>
      <c r="D4282" s="20" t="inlineStr">
        <is>
          <t>TN66S4143</t>
        </is>
      </c>
      <c r="E4282" s="20" t="inlineStr">
        <is>
          <t>MARUTI SUZUKI</t>
        </is>
      </c>
      <c r="F4282" s="20" t="inlineStr">
        <is>
          <t>Alto K10</t>
        </is>
      </c>
      <c r="G4282" s="21" t="n">
        <v>2016</v>
      </c>
      <c r="H4282" s="22" t="n">
        <v>93390</v>
      </c>
      <c r="I4282" s="23" t="n">
        <v>86000</v>
      </c>
      <c r="J4282" s="20" t="inlineStr">
        <is>
          <t>EXCHANGE ROTN</t>
        </is>
      </c>
      <c r="K4282" s="20" t="inlineStr">
        <is>
          <t>Captive</t>
        </is>
      </c>
      <c r="L4282" s="20" t="inlineStr">
        <is>
          <t>Sai Cars</t>
        </is>
      </c>
      <c r="M4282" s="23" t="n">
        <v>4237.29</v>
      </c>
      <c r="N4282" s="23" t="n">
        <v>5000</v>
      </c>
      <c r="O4282" s="24">
        <f>IF(AND(ISNUMBER(M4282), ISNUMBER(I4282), I4282&gt;0), M4282/I4282, "")</f>
        <v/>
      </c>
    </row>
    <row r="4283">
      <c r="A4283" s="19" t="inlineStr">
        <is>
          <t>FY27</t>
        </is>
      </c>
      <c r="B4283" s="19" t="inlineStr">
        <is>
          <t>Sep</t>
        </is>
      </c>
      <c r="C4283" s="19" t="inlineStr">
        <is>
          <t>TN</t>
        </is>
      </c>
      <c r="D4283" s="20" t="inlineStr">
        <is>
          <t>TN66S7629</t>
        </is>
      </c>
      <c r="E4283" s="20" t="inlineStr">
        <is>
          <t>DATSUN</t>
        </is>
      </c>
      <c r="F4283" s="20" t="inlineStr">
        <is>
          <t>Redi-GO</t>
        </is>
      </c>
      <c r="G4283" s="21" t="n">
        <v>2016</v>
      </c>
      <c r="H4283" s="22" t="n">
        <v>42267</v>
      </c>
      <c r="I4283" s="23" t="n">
        <v>180000</v>
      </c>
      <c r="J4283" s="20" t="inlineStr">
        <is>
          <t>EXCHANGE ROTN</t>
        </is>
      </c>
      <c r="K4283" s="20" t="inlineStr">
        <is>
          <t>Captive</t>
        </is>
      </c>
      <c r="L4283" s="20" t="inlineStr">
        <is>
          <t>Gughaa Cars</t>
        </is>
      </c>
      <c r="M4283" s="23" t="n">
        <v>5084.75</v>
      </c>
      <c r="N4283" s="23" t="n">
        <v>6000</v>
      </c>
      <c r="O4283" s="24">
        <f>IF(AND(ISNUMBER(M4283), ISNUMBER(I4283), I4283&gt;0), M4283/I4283, "")</f>
        <v/>
      </c>
    </row>
    <row r="4284">
      <c r="A4284" s="19" t="inlineStr">
        <is>
          <t>FY27</t>
        </is>
      </c>
      <c r="B4284" s="19" t="inlineStr">
        <is>
          <t>Sep</t>
        </is>
      </c>
      <c r="C4284" s="19" t="inlineStr">
        <is>
          <t>TN</t>
        </is>
      </c>
      <c r="D4284" s="20" t="inlineStr">
        <is>
          <t>TN67AT1392</t>
        </is>
      </c>
      <c r="E4284" s="20" t="inlineStr">
        <is>
          <t>MARUTI SUZUKI</t>
        </is>
      </c>
      <c r="F4284" s="20" t="inlineStr">
        <is>
          <t>Alto</t>
        </is>
      </c>
      <c r="G4284" s="21" t="n">
        <v>2011</v>
      </c>
      <c r="H4284" s="22" t="n">
        <v>51151</v>
      </c>
      <c r="I4284" s="23" t="n">
        <v>87000</v>
      </c>
      <c r="J4284" s="20" t="inlineStr">
        <is>
          <t>KALYANI MOTORS MARUTI</t>
        </is>
      </c>
      <c r="K4284" s="20" t="inlineStr">
        <is>
          <t>Non-Captive</t>
        </is>
      </c>
      <c r="L4284" s="20" t="inlineStr">
        <is>
          <t>Cars24</t>
        </is>
      </c>
      <c r="M4284" s="23" t="n">
        <v>4237.29</v>
      </c>
      <c r="N4284" s="23" t="n">
        <v>5000</v>
      </c>
      <c r="O4284" s="24">
        <f>IF(AND(ISNUMBER(M4284), ISNUMBER(I4284), I4284&gt;0), M4284/I4284, "")</f>
        <v/>
      </c>
    </row>
    <row r="4285">
      <c r="A4285" s="19" t="inlineStr">
        <is>
          <t>FY27</t>
        </is>
      </c>
      <c r="B4285" s="19" t="inlineStr">
        <is>
          <t>Sep</t>
        </is>
      </c>
      <c r="C4285" s="19" t="inlineStr">
        <is>
          <t>TN</t>
        </is>
      </c>
      <c r="D4285" s="20" t="inlineStr">
        <is>
          <t>TN67E7494</t>
        </is>
      </c>
      <c r="E4285" s="20" t="inlineStr">
        <is>
          <t>MARUTI SUZUKI</t>
        </is>
      </c>
      <c r="F4285" s="20" t="inlineStr">
        <is>
          <t>Alto</t>
        </is>
      </c>
      <c r="G4285" s="21" t="n">
        <v>2005</v>
      </c>
      <c r="H4285" s="22" t="n">
        <v>92781</v>
      </c>
      <c r="I4285" s="23" t="n">
        <v>50000</v>
      </c>
      <c r="J4285" s="20" t="inlineStr">
        <is>
          <t>EXCHANGE ROTN</t>
        </is>
      </c>
      <c r="K4285" s="20" t="inlineStr">
        <is>
          <t>Captive</t>
        </is>
      </c>
      <c r="L4285" s="20" t="inlineStr">
        <is>
          <t>Aswin Cars</t>
        </is>
      </c>
      <c r="M4285" s="23" t="n">
        <v>4237.29</v>
      </c>
      <c r="N4285" s="23" t="n">
        <v>5000</v>
      </c>
      <c r="O4285" s="24">
        <f>IF(AND(ISNUMBER(M4285), ISNUMBER(I4285), I4285&gt;0), M4285/I4285, "")</f>
        <v/>
      </c>
    </row>
    <row r="4286">
      <c r="A4286" s="19" t="inlineStr">
        <is>
          <t>FY27</t>
        </is>
      </c>
      <c r="B4286" s="19" t="inlineStr">
        <is>
          <t>Sep</t>
        </is>
      </c>
      <c r="C4286" s="19" t="inlineStr">
        <is>
          <t>TN</t>
        </is>
      </c>
      <c r="D4286" s="20" t="inlineStr">
        <is>
          <t>TN68J1269</t>
        </is>
      </c>
      <c r="E4286" s="20" t="inlineStr">
        <is>
          <t>HYUNDAI</t>
        </is>
      </c>
      <c r="F4286" s="20" t="inlineStr">
        <is>
          <t>Santa Fe</t>
        </is>
      </c>
      <c r="G4286" s="21" t="n">
        <v>2012</v>
      </c>
      <c r="H4286" s="22" t="n">
        <v>185419</v>
      </c>
      <c r="I4286" s="23" t="n">
        <v>179000</v>
      </c>
      <c r="J4286" s="20" t="inlineStr">
        <is>
          <t>CASTLE TRADERS MARUTI</t>
        </is>
      </c>
      <c r="K4286" s="20" t="inlineStr">
        <is>
          <t>Non-Captive</t>
        </is>
      </c>
      <c r="L4286" s="20" t="inlineStr">
        <is>
          <t>Jamuna Global</t>
        </is>
      </c>
      <c r="M4286" s="23" t="n">
        <v>5084.75</v>
      </c>
      <c r="N4286" s="23" t="n">
        <v>6000</v>
      </c>
      <c r="O4286" s="24">
        <f>IF(AND(ISNUMBER(M4286), ISNUMBER(I4286), I4286&gt;0), M4286/I4286, "")</f>
        <v/>
      </c>
    </row>
    <row r="4287">
      <c r="A4287" s="19" t="inlineStr">
        <is>
          <t>FY27</t>
        </is>
      </c>
      <c r="B4287" s="19" t="inlineStr">
        <is>
          <t>Sep</t>
        </is>
      </c>
      <c r="C4287" s="19" t="inlineStr">
        <is>
          <t>TN</t>
        </is>
      </c>
      <c r="D4287" s="20" t="inlineStr">
        <is>
          <t>TN69AB0150</t>
        </is>
      </c>
      <c r="E4287" s="20" t="inlineStr">
        <is>
          <t>MARUTI SUZUKI</t>
        </is>
      </c>
      <c r="F4287" s="20" t="inlineStr">
        <is>
          <t>Alto</t>
        </is>
      </c>
      <c r="G4287" s="21" t="n">
        <v>2010</v>
      </c>
      <c r="H4287" s="22" t="n">
        <v>108569</v>
      </c>
      <c r="I4287" s="23" t="n">
        <v>70000</v>
      </c>
      <c r="J4287" s="20" t="inlineStr">
        <is>
          <t>EXCHANGE ROTN</t>
        </is>
      </c>
      <c r="K4287" s="20" t="inlineStr">
        <is>
          <t>Captive</t>
        </is>
      </c>
      <c r="L4287" s="20" t="inlineStr">
        <is>
          <t>Shree Cars (Coimbatore)</t>
        </is>
      </c>
      <c r="M4287" s="23" t="n">
        <v>4237.29</v>
      </c>
      <c r="N4287" s="23" t="n">
        <v>5000</v>
      </c>
      <c r="O4287" s="24">
        <f>IF(AND(ISNUMBER(M4287), ISNUMBER(I4287), I4287&gt;0), M4287/I4287, "")</f>
        <v/>
      </c>
    </row>
    <row r="4288">
      <c r="A4288" s="19" t="inlineStr">
        <is>
          <t>FY27</t>
        </is>
      </c>
      <c r="B4288" s="19" t="inlineStr">
        <is>
          <t>Sep</t>
        </is>
      </c>
      <c r="C4288" s="19" t="inlineStr">
        <is>
          <t>TN</t>
        </is>
      </c>
      <c r="D4288" s="20" t="inlineStr">
        <is>
          <t>TN69AB8645</t>
        </is>
      </c>
      <c r="E4288" s="20" t="inlineStr">
        <is>
          <t>MARUTI SUZUKI</t>
        </is>
      </c>
      <c r="F4288" s="20" t="inlineStr">
        <is>
          <t>Ritz</t>
        </is>
      </c>
      <c r="G4288" s="21" t="n">
        <v>2010</v>
      </c>
      <c r="H4288" s="22" t="n">
        <v>184323</v>
      </c>
      <c r="I4288" s="23" t="n">
        <v>92000</v>
      </c>
      <c r="J4288" s="20" t="inlineStr">
        <is>
          <t>EXCHANGE ROTN</t>
        </is>
      </c>
      <c r="K4288" s="20" t="inlineStr">
        <is>
          <t>Captive</t>
        </is>
      </c>
      <c r="L4288" s="20" t="inlineStr">
        <is>
          <t>Aswin Cars</t>
        </is>
      </c>
      <c r="M4288" s="23" t="n">
        <v>4237.29</v>
      </c>
      <c r="N4288" s="23" t="n">
        <v>5000</v>
      </c>
      <c r="O4288" s="24">
        <f>IF(AND(ISNUMBER(M4288), ISNUMBER(I4288), I4288&gt;0), M4288/I4288, "")</f>
        <v/>
      </c>
    </row>
    <row r="4289">
      <c r="A4289" s="19" t="inlineStr">
        <is>
          <t>FY27</t>
        </is>
      </c>
      <c r="B4289" s="19" t="inlineStr">
        <is>
          <t>Sep</t>
        </is>
      </c>
      <c r="C4289" s="19" t="inlineStr">
        <is>
          <t>TN</t>
        </is>
      </c>
      <c r="D4289" s="20" t="inlineStr">
        <is>
          <t>TN69AF5959</t>
        </is>
      </c>
      <c r="E4289" s="20" t="inlineStr">
        <is>
          <t>FORD</t>
        </is>
      </c>
      <c r="F4289" s="20" t="inlineStr">
        <is>
          <t>Figo</t>
        </is>
      </c>
      <c r="G4289" s="21" t="n">
        <v>2010</v>
      </c>
      <c r="H4289" s="22" t="n">
        <v>111936</v>
      </c>
      <c r="I4289" s="23" t="n">
        <v>80000</v>
      </c>
      <c r="J4289" s="20" t="inlineStr">
        <is>
          <t>EXCHANGE ROTN</t>
        </is>
      </c>
      <c r="K4289" s="20" t="inlineStr">
        <is>
          <t>Captive</t>
        </is>
      </c>
      <c r="L4289" s="20" t="inlineStr">
        <is>
          <t>Sivashankar Cars</t>
        </is>
      </c>
      <c r="M4289" s="23" t="n">
        <v>4237.29</v>
      </c>
      <c r="N4289" s="23" t="n">
        <v>5000</v>
      </c>
      <c r="O4289" s="24">
        <f>IF(AND(ISNUMBER(M4289), ISNUMBER(I4289), I4289&gt;0), M4289/I4289, "")</f>
        <v/>
      </c>
    </row>
    <row r="4290">
      <c r="A4290" s="19" t="inlineStr">
        <is>
          <t>FY27</t>
        </is>
      </c>
      <c r="B4290" s="19" t="inlineStr">
        <is>
          <t>Sep</t>
        </is>
      </c>
      <c r="C4290" s="19" t="inlineStr">
        <is>
          <t>TN</t>
        </is>
      </c>
      <c r="D4290" s="20" t="inlineStr">
        <is>
          <t>TN69AM3344</t>
        </is>
      </c>
      <c r="E4290" s="20" t="inlineStr">
        <is>
          <t>HYUNDAI</t>
        </is>
      </c>
      <c r="F4290" s="20" t="inlineStr">
        <is>
          <t>Xcent</t>
        </is>
      </c>
      <c r="G4290" s="21" t="n">
        <v>2014</v>
      </c>
      <c r="H4290" s="22" t="n">
        <v>84462</v>
      </c>
      <c r="I4290" s="23" t="n">
        <v>99000</v>
      </c>
      <c r="J4290" s="20" t="inlineStr">
        <is>
          <t>PEEYESYEM HK MOTORS LLP</t>
        </is>
      </c>
      <c r="K4290" s="20" t="inlineStr">
        <is>
          <t>Non-Captive</t>
        </is>
      </c>
      <c r="L4290" s="20" t="inlineStr">
        <is>
          <t>Aneesa Pravin Cars</t>
        </is>
      </c>
      <c r="M4290" s="23" t="n">
        <v>4237.29</v>
      </c>
      <c r="N4290" s="23" t="n">
        <v>5000</v>
      </c>
      <c r="O4290" s="24">
        <f>IF(AND(ISNUMBER(M4290), ISNUMBER(I4290), I4290&gt;0), M4290/I4290, "")</f>
        <v/>
      </c>
    </row>
    <row r="4291">
      <c r="A4291" s="19" t="inlineStr">
        <is>
          <t>FY27</t>
        </is>
      </c>
      <c r="B4291" s="19" t="inlineStr">
        <is>
          <t>Sep</t>
        </is>
      </c>
      <c r="C4291" s="19" t="inlineStr">
        <is>
          <t>TN</t>
        </is>
      </c>
      <c r="D4291" s="20" t="inlineStr">
        <is>
          <t>TN69AP1893</t>
        </is>
      </c>
      <c r="E4291" s="20" t="inlineStr">
        <is>
          <t>MARUTI SUZUKI</t>
        </is>
      </c>
      <c r="F4291" s="20" t="inlineStr">
        <is>
          <t>Alto 800</t>
        </is>
      </c>
      <c r="G4291" s="21" t="n">
        <v>2014</v>
      </c>
      <c r="H4291" s="22" t="n">
        <v>92972</v>
      </c>
      <c r="I4291" s="23" t="n">
        <v>98000</v>
      </c>
      <c r="J4291" s="20" t="inlineStr">
        <is>
          <t>ABT LIMITED</t>
        </is>
      </c>
      <c r="K4291" s="20" t="inlineStr">
        <is>
          <t>Non-Captive</t>
        </is>
      </c>
      <c r="L4291" s="20" t="inlineStr">
        <is>
          <t>Mahathi Cars</t>
        </is>
      </c>
      <c r="M4291" s="23" t="n">
        <v>4237.29</v>
      </c>
      <c r="N4291" s="23" t="n">
        <v>5000</v>
      </c>
      <c r="O4291" s="24">
        <f>IF(AND(ISNUMBER(M4291), ISNUMBER(I4291), I4291&gt;0), M4291/I4291, "")</f>
        <v/>
      </c>
    </row>
    <row r="4292">
      <c r="A4292" s="19" t="inlineStr">
        <is>
          <t>FY27</t>
        </is>
      </c>
      <c r="B4292" s="19" t="inlineStr">
        <is>
          <t>Sep</t>
        </is>
      </c>
      <c r="C4292" s="19" t="inlineStr">
        <is>
          <t>TN</t>
        </is>
      </c>
      <c r="D4292" s="20" t="inlineStr">
        <is>
          <t>TN70B6348</t>
        </is>
      </c>
      <c r="E4292" s="20" t="inlineStr">
        <is>
          <t>MARUTI SUZUKI</t>
        </is>
      </c>
      <c r="F4292" s="20" t="inlineStr">
        <is>
          <t>Eeco</t>
        </is>
      </c>
      <c r="G4292" s="21" t="n">
        <v>2010</v>
      </c>
      <c r="H4292" s="22" t="n">
        <v>82644</v>
      </c>
      <c r="I4292" s="23" t="n">
        <v>96000</v>
      </c>
      <c r="J4292" s="20" t="inlineStr">
        <is>
          <t>PRODUCTIVITY ELEMENTS PRIVATE LIMITED</t>
        </is>
      </c>
      <c r="K4292" s="20" t="inlineStr">
        <is>
          <t>Non-Captive</t>
        </is>
      </c>
      <c r="L4292" s="20" t="inlineStr">
        <is>
          <t>Cars24</t>
        </is>
      </c>
      <c r="M4292" s="23" t="n">
        <v>4237.29</v>
      </c>
      <c r="N4292" s="23" t="n">
        <v>5000</v>
      </c>
      <c r="O4292" s="24">
        <f>IF(AND(ISNUMBER(M4292), ISNUMBER(I4292), I4292&gt;0), M4292/I4292, "")</f>
        <v/>
      </c>
    </row>
    <row r="4293">
      <c r="A4293" s="19" t="inlineStr">
        <is>
          <t>FY27</t>
        </is>
      </c>
      <c r="B4293" s="19" t="inlineStr">
        <is>
          <t>Sep</t>
        </is>
      </c>
      <c r="C4293" s="19" t="inlineStr">
        <is>
          <t>TN</t>
        </is>
      </c>
      <c r="D4293" s="20" t="inlineStr">
        <is>
          <t>TN72AD5393</t>
        </is>
      </c>
      <c r="E4293" s="20" t="inlineStr">
        <is>
          <t>MARUTI SUZUKI</t>
        </is>
      </c>
      <c r="F4293" s="20" t="inlineStr">
        <is>
          <t>Alto</t>
        </is>
      </c>
      <c r="G4293" s="21" t="n">
        <v>2009</v>
      </c>
      <c r="H4293" s="22" t="n">
        <v>81503</v>
      </c>
      <c r="I4293" s="23" t="n">
        <v>85000</v>
      </c>
      <c r="J4293" s="20" t="inlineStr">
        <is>
          <t>EXCHANGE ROTN</t>
        </is>
      </c>
      <c r="K4293" s="20" t="inlineStr">
        <is>
          <t>Captive</t>
        </is>
      </c>
      <c r="L4293" s="20" t="inlineStr">
        <is>
          <t>Automotivators</t>
        </is>
      </c>
      <c r="M4293" s="23" t="n">
        <v>4237.29</v>
      </c>
      <c r="N4293" s="23" t="n">
        <v>5000</v>
      </c>
      <c r="O4293" s="24">
        <f>IF(AND(ISNUMBER(M4293), ISNUMBER(I4293), I4293&gt;0), M4293/I4293, "")</f>
        <v/>
      </c>
    </row>
    <row r="4294">
      <c r="A4294" s="19" t="inlineStr">
        <is>
          <t>FY27</t>
        </is>
      </c>
      <c r="B4294" s="19" t="inlineStr">
        <is>
          <t>Sep</t>
        </is>
      </c>
      <c r="C4294" s="19" t="inlineStr">
        <is>
          <t>TN</t>
        </is>
      </c>
      <c r="D4294" s="20" t="inlineStr">
        <is>
          <t>TN72AE5790</t>
        </is>
      </c>
      <c r="E4294" s="20" t="inlineStr">
        <is>
          <t>MARUTI SUZUKI</t>
        </is>
      </c>
      <c r="F4294" s="20" t="inlineStr">
        <is>
          <t>Dzire</t>
        </is>
      </c>
      <c r="G4294" s="21" t="n">
        <v>2010</v>
      </c>
      <c r="H4294" s="22" t="n">
        <v>110177</v>
      </c>
      <c r="I4294" s="23" t="n">
        <v>87000</v>
      </c>
      <c r="J4294" s="20" t="inlineStr">
        <is>
          <t>RAJALAKSHMI CARS</t>
        </is>
      </c>
      <c r="K4294" s="20" t="inlineStr">
        <is>
          <t>Non-Captive</t>
        </is>
      </c>
      <c r="L4294" s="20" t="inlineStr">
        <is>
          <t>Srijja Travels</t>
        </is>
      </c>
      <c r="M4294" s="23" t="n">
        <v>4237.29</v>
      </c>
      <c r="N4294" s="23" t="n">
        <v>5000</v>
      </c>
      <c r="O4294" s="24">
        <f>IF(AND(ISNUMBER(M4294), ISNUMBER(I4294), I4294&gt;0), M4294/I4294, "")</f>
        <v/>
      </c>
    </row>
    <row r="4295">
      <c r="A4295" s="19" t="inlineStr">
        <is>
          <t>FY27</t>
        </is>
      </c>
      <c r="B4295" s="19" t="inlineStr">
        <is>
          <t>Sep</t>
        </is>
      </c>
      <c r="C4295" s="19" t="inlineStr">
        <is>
          <t>TN</t>
        </is>
      </c>
      <c r="D4295" s="20" t="inlineStr">
        <is>
          <t>TN72AS5256</t>
        </is>
      </c>
      <c r="E4295" s="20" t="inlineStr">
        <is>
          <t>HONDA</t>
        </is>
      </c>
      <c r="F4295" s="20" t="inlineStr">
        <is>
          <t>City</t>
        </is>
      </c>
      <c r="G4295" s="21" t="n">
        <v>2014</v>
      </c>
      <c r="H4295" s="22" t="n">
        <v>120186</v>
      </c>
      <c r="I4295" s="23" t="n">
        <v>195000</v>
      </c>
      <c r="J4295" s="20" t="inlineStr">
        <is>
          <t>EXCHANGE ROTN</t>
        </is>
      </c>
      <c r="K4295" s="20" t="inlineStr">
        <is>
          <t>Captive</t>
        </is>
      </c>
      <c r="L4295" s="20" t="inlineStr">
        <is>
          <t>Sivashankar Cars</t>
        </is>
      </c>
      <c r="M4295" s="23" t="n">
        <v>5084.75</v>
      </c>
      <c r="N4295" s="23" t="n">
        <v>6000</v>
      </c>
      <c r="O4295" s="24">
        <f>IF(AND(ISNUMBER(M4295), ISNUMBER(I4295), I4295&gt;0), M4295/I4295, "")</f>
        <v/>
      </c>
    </row>
    <row r="4296">
      <c r="A4296" s="19" t="inlineStr">
        <is>
          <t>FY27</t>
        </is>
      </c>
      <c r="B4296" s="19" t="inlineStr">
        <is>
          <t>Sep</t>
        </is>
      </c>
      <c r="C4296" s="19" t="inlineStr">
        <is>
          <t>TN</t>
        </is>
      </c>
      <c r="D4296" s="20" t="inlineStr">
        <is>
          <t>TN72BK0033</t>
        </is>
      </c>
      <c r="E4296" s="20" t="inlineStr">
        <is>
          <t>HONDA</t>
        </is>
      </c>
      <c r="F4296" s="20" t="inlineStr">
        <is>
          <t>Amaze</t>
        </is>
      </c>
      <c r="G4296" s="21" t="n">
        <v>2018</v>
      </c>
      <c r="H4296" s="22" t="n">
        <v>76610</v>
      </c>
      <c r="I4296" s="23" t="n">
        <v>400000</v>
      </c>
      <c r="J4296" s="20" t="inlineStr">
        <is>
          <t>EXCHANGE ROTN</t>
        </is>
      </c>
      <c r="K4296" s="20" t="inlineStr">
        <is>
          <t>Captive</t>
        </is>
      </c>
      <c r="L4296" s="20" t="inlineStr">
        <is>
          <t>Paul Cars</t>
        </is>
      </c>
      <c r="M4296" s="23" t="n">
        <v>16949.15</v>
      </c>
      <c r="N4296" s="23" t="n">
        <v>20000</v>
      </c>
      <c r="O4296" s="24">
        <f>IF(AND(ISNUMBER(M4296), ISNUMBER(I4296), I4296&gt;0), M4296/I4296, "")</f>
        <v/>
      </c>
    </row>
    <row r="4297">
      <c r="A4297" s="19" t="inlineStr">
        <is>
          <t>FY27</t>
        </is>
      </c>
      <c r="B4297" s="19" t="inlineStr">
        <is>
          <t>Sep</t>
        </is>
      </c>
      <c r="C4297" s="19" t="inlineStr">
        <is>
          <t>TN</t>
        </is>
      </c>
      <c r="D4297" s="20" t="inlineStr">
        <is>
          <t>TN72J9066</t>
        </is>
      </c>
      <c r="E4297" s="20" t="inlineStr">
        <is>
          <t>MARUTI SUZUKI</t>
        </is>
      </c>
      <c r="F4297" s="20" t="inlineStr">
        <is>
          <t>800</t>
        </is>
      </c>
      <c r="G4297" s="21" t="n">
        <v>2003</v>
      </c>
      <c r="H4297" s="22" t="n">
        <v>80894</v>
      </c>
      <c r="I4297" s="23" t="n">
        <v>15000</v>
      </c>
      <c r="J4297" s="20" t="inlineStr">
        <is>
          <t>EXCHANGE ROTN</t>
        </is>
      </c>
      <c r="K4297" s="20" t="inlineStr">
        <is>
          <t>Captive</t>
        </is>
      </c>
      <c r="L4297" s="20" t="inlineStr">
        <is>
          <t>Automotivators</t>
        </is>
      </c>
      <c r="M4297" s="23" t="n">
        <v>4237.29</v>
      </c>
      <c r="N4297" s="23" t="n">
        <v>5000</v>
      </c>
      <c r="O4297" s="24">
        <f>IF(AND(ISNUMBER(M4297), ISNUMBER(I4297), I4297&gt;0), M4297/I4297, "")</f>
        <v/>
      </c>
    </row>
    <row r="4298">
      <c r="A4298" s="19" t="inlineStr">
        <is>
          <t>FY27</t>
        </is>
      </c>
      <c r="B4298" s="19" t="inlineStr">
        <is>
          <t>Sep</t>
        </is>
      </c>
      <c r="C4298" s="19" t="inlineStr">
        <is>
          <t>TN</t>
        </is>
      </c>
      <c r="D4298" s="20" t="inlineStr">
        <is>
          <t>TN73E3679</t>
        </is>
      </c>
      <c r="E4298" s="20" t="inlineStr">
        <is>
          <t>RENAULT</t>
        </is>
      </c>
      <c r="F4298" s="20" t="inlineStr">
        <is>
          <t>Pulse</t>
        </is>
      </c>
      <c r="G4298" s="21" t="n">
        <v>2012</v>
      </c>
      <c r="H4298" s="22" t="n">
        <v>128162</v>
      </c>
      <c r="I4298" s="23" t="n">
        <v>91000</v>
      </c>
      <c r="J4298" s="20" t="inlineStr">
        <is>
          <t>EXCHANGE ROTN</t>
        </is>
      </c>
      <c r="K4298" s="20" t="inlineStr">
        <is>
          <t>Captive</t>
        </is>
      </c>
      <c r="L4298" s="20" t="inlineStr">
        <is>
          <t>Sai Cars</t>
        </is>
      </c>
      <c r="M4298" s="23" t="n">
        <v>4237.29</v>
      </c>
      <c r="N4298" s="23" t="n">
        <v>5000</v>
      </c>
      <c r="O4298" s="24">
        <f>IF(AND(ISNUMBER(M4298), ISNUMBER(I4298), I4298&gt;0), M4298/I4298, "")</f>
        <v/>
      </c>
    </row>
    <row r="4299">
      <c r="A4299" s="19" t="inlineStr">
        <is>
          <t>FY27</t>
        </is>
      </c>
      <c r="B4299" s="19" t="inlineStr">
        <is>
          <t>Sep</t>
        </is>
      </c>
      <c r="C4299" s="19" t="inlineStr">
        <is>
          <t>TN</t>
        </is>
      </c>
      <c r="D4299" s="20" t="inlineStr">
        <is>
          <t>TN74H4268</t>
        </is>
      </c>
      <c r="E4299" s="20" t="inlineStr">
        <is>
          <t>HYUNDAI</t>
        </is>
      </c>
      <c r="F4299" s="20" t="inlineStr">
        <is>
          <t>Santro</t>
        </is>
      </c>
      <c r="G4299" s="21" t="n">
        <v>2003</v>
      </c>
      <c r="H4299" s="22" t="n">
        <v>112334</v>
      </c>
      <c r="I4299" s="23" t="n">
        <v>40000</v>
      </c>
      <c r="J4299" s="20" t="inlineStr">
        <is>
          <t>EXCHANGE ROTN</t>
        </is>
      </c>
      <c r="K4299" s="20" t="inlineStr">
        <is>
          <t>Captive</t>
        </is>
      </c>
      <c r="L4299" s="20" t="inlineStr">
        <is>
          <t>Ready To Ride Cars</t>
        </is>
      </c>
      <c r="M4299" s="23" t="n">
        <v>4237.29</v>
      </c>
      <c r="N4299" s="23" t="n">
        <v>5000</v>
      </c>
      <c r="O4299" s="24">
        <f>IF(AND(ISNUMBER(M4299), ISNUMBER(I4299), I4299&gt;0), M4299/I4299, "")</f>
        <v/>
      </c>
    </row>
    <row r="4300">
      <c r="A4300" s="19" t="inlineStr">
        <is>
          <t>FY27</t>
        </is>
      </c>
      <c r="B4300" s="19" t="inlineStr">
        <is>
          <t>Sep</t>
        </is>
      </c>
      <c r="C4300" s="19" t="inlineStr">
        <is>
          <t>TN</t>
        </is>
      </c>
      <c r="D4300" s="20" t="inlineStr">
        <is>
          <t>TN78T9984</t>
        </is>
      </c>
      <c r="E4300" s="20" t="inlineStr">
        <is>
          <t>MARUTI SUZUKI</t>
        </is>
      </c>
      <c r="F4300" s="20" t="inlineStr">
        <is>
          <t>Alto 800</t>
        </is>
      </c>
      <c r="G4300" s="21" t="n">
        <v>2017</v>
      </c>
      <c r="H4300" s="22" t="n">
        <v>14848</v>
      </c>
      <c r="I4300" s="23" t="n">
        <v>92000</v>
      </c>
      <c r="J4300" s="20" t="inlineStr">
        <is>
          <t>CARS INDIA</t>
        </is>
      </c>
      <c r="K4300" s="20" t="inlineStr">
        <is>
          <t>Non-Captive</t>
        </is>
      </c>
      <c r="L4300" s="20" t="inlineStr">
        <is>
          <t>Cars24</t>
        </is>
      </c>
      <c r="M4300" s="23" t="n">
        <v>3898.31</v>
      </c>
      <c r="N4300" s="23" t="n">
        <v>4600</v>
      </c>
      <c r="O4300" s="24">
        <f>IF(AND(ISNUMBER(M4300), ISNUMBER(I4300), I4300&gt;0), M4300/I4300, "")</f>
        <v/>
      </c>
    </row>
    <row r="4301">
      <c r="A4301" s="19" t="inlineStr">
        <is>
          <t>FY27</t>
        </is>
      </c>
      <c r="B4301" s="19" t="inlineStr">
        <is>
          <t>Sep</t>
        </is>
      </c>
      <c r="C4301" s="19" t="inlineStr">
        <is>
          <t>TN</t>
        </is>
      </c>
      <c r="D4301" s="20" t="inlineStr">
        <is>
          <t>TN81Z1815</t>
        </is>
      </c>
      <c r="E4301" s="20" t="inlineStr">
        <is>
          <t>FORD</t>
        </is>
      </c>
      <c r="F4301" s="20" t="inlineStr">
        <is>
          <t>Figo</t>
        </is>
      </c>
      <c r="G4301" s="21" t="n">
        <v>2013</v>
      </c>
      <c r="H4301" s="22" t="n">
        <v>21928</v>
      </c>
      <c r="I4301" s="23" t="n">
        <v>97000</v>
      </c>
      <c r="J4301" s="20" t="inlineStr">
        <is>
          <t>VISHNU CARS PRIVATE LIMITED</t>
        </is>
      </c>
      <c r="K4301" s="20" t="inlineStr">
        <is>
          <t>Non-Captive</t>
        </is>
      </c>
      <c r="L4301" s="20" t="inlineStr">
        <is>
          <t>Emarald Cars</t>
        </is>
      </c>
      <c r="M4301" s="23" t="n">
        <v>4237.29</v>
      </c>
      <c r="N4301" s="23" t="n">
        <v>5000</v>
      </c>
      <c r="O4301" s="24">
        <f>IF(AND(ISNUMBER(M4301), ISNUMBER(I4301), I4301&gt;0), M4301/I4301, "")</f>
        <v/>
      </c>
    </row>
    <row r="4302">
      <c r="A4302" s="19" t="inlineStr">
        <is>
          <t>FY27</t>
        </is>
      </c>
      <c r="B4302" s="19" t="inlineStr">
        <is>
          <t>Sep</t>
        </is>
      </c>
      <c r="C4302" s="19" t="inlineStr">
        <is>
          <t>TN</t>
        </is>
      </c>
      <c r="D4302" s="20" t="inlineStr">
        <is>
          <t>TN85A6100</t>
        </is>
      </c>
      <c r="E4302" s="20" t="inlineStr">
        <is>
          <t>HYUNDAI</t>
        </is>
      </c>
      <c r="F4302" s="20" t="inlineStr">
        <is>
          <t>Verna</t>
        </is>
      </c>
      <c r="G4302" s="21" t="n">
        <v>2015</v>
      </c>
      <c r="H4302" s="22" t="n">
        <v>103218</v>
      </c>
      <c r="I4302" s="23" t="n">
        <v>325000</v>
      </c>
      <c r="J4302" s="20" t="inlineStr">
        <is>
          <t>EXCHANGE CHENNAI</t>
        </is>
      </c>
      <c r="K4302" s="20" t="inlineStr">
        <is>
          <t>Captive</t>
        </is>
      </c>
      <c r="L4302" s="20" t="inlineStr">
        <is>
          <t>Santhosh Cars</t>
        </is>
      </c>
      <c r="M4302" s="23" t="n">
        <v>8474.58</v>
      </c>
      <c r="N4302" s="23" t="n">
        <v>10000</v>
      </c>
      <c r="O4302" s="24">
        <f>IF(AND(ISNUMBER(M4302), ISNUMBER(I4302), I4302&gt;0), M4302/I4302, "")</f>
        <v/>
      </c>
    </row>
    <row r="4303">
      <c r="A4303" s="19" t="inlineStr">
        <is>
          <t>FY27</t>
        </is>
      </c>
      <c r="B4303" s="19" t="inlineStr">
        <is>
          <t>Sep</t>
        </is>
      </c>
      <c r="C4303" s="19" t="inlineStr">
        <is>
          <t>TN</t>
        </is>
      </c>
      <c r="D4303" s="20" t="inlineStr">
        <is>
          <t>TN86C2876</t>
        </is>
      </c>
      <c r="E4303" s="20" t="inlineStr">
        <is>
          <t>TOYOTA</t>
        </is>
      </c>
      <c r="F4303" s="20" t="inlineStr">
        <is>
          <t>Etios</t>
        </is>
      </c>
      <c r="G4303" s="21" t="n">
        <v>2013</v>
      </c>
      <c r="H4303" s="22" t="n">
        <v>188994</v>
      </c>
      <c r="I4303" s="23" t="n">
        <v>250000</v>
      </c>
      <c r="J4303" s="20" t="inlineStr">
        <is>
          <t>EXCHANGE ROTN</t>
        </is>
      </c>
      <c r="K4303" s="20" t="inlineStr">
        <is>
          <t>Captive</t>
        </is>
      </c>
      <c r="L4303" s="20" t="inlineStr"/>
      <c r="M4303" s="23" t="n">
        <v>8474.58</v>
      </c>
      <c r="N4303" s="23" t="n">
        <v>10000</v>
      </c>
      <c r="O4303" s="24">
        <f>IF(AND(ISNUMBER(M4303), ISNUMBER(I4303), I4303&gt;0), M4303/I4303, "")</f>
        <v/>
      </c>
    </row>
    <row r="4304">
      <c r="A4304" s="19" t="inlineStr">
        <is>
          <t>FY27</t>
        </is>
      </c>
      <c r="B4304" s="19" t="inlineStr">
        <is>
          <t>Sep</t>
        </is>
      </c>
      <c r="C4304" s="19" t="inlineStr">
        <is>
          <t>TN</t>
        </is>
      </c>
      <c r="D4304" s="20" t="inlineStr">
        <is>
          <t>TN86J3412</t>
        </is>
      </c>
      <c r="E4304" s="20" t="inlineStr">
        <is>
          <t>HYUNDAI</t>
        </is>
      </c>
      <c r="F4304" s="20" t="inlineStr">
        <is>
          <t>i20</t>
        </is>
      </c>
      <c r="G4304" s="21" t="n">
        <v>2024</v>
      </c>
      <c r="H4304" s="22" t="n">
        <v>53136</v>
      </c>
      <c r="I4304" s="23" t="n">
        <v>585000</v>
      </c>
      <c r="J4304" s="20" t="inlineStr">
        <is>
          <t>EXCHANGE ROTN</t>
        </is>
      </c>
      <c r="K4304" s="20" t="inlineStr">
        <is>
          <t>Captive</t>
        </is>
      </c>
      <c r="L4304" s="20" t="inlineStr">
        <is>
          <t>Sivashankar Cars</t>
        </is>
      </c>
      <c r="M4304" s="23" t="n">
        <v>12711.86</v>
      </c>
      <c r="N4304" s="23" t="n">
        <v>15000</v>
      </c>
      <c r="O4304" s="24">
        <f>IF(AND(ISNUMBER(M4304), ISNUMBER(I4304), I4304&gt;0), M4304/I4304, "")</f>
        <v/>
      </c>
    </row>
    <row r="4305">
      <c r="A4305" s="19" t="inlineStr">
        <is>
          <t>FY27</t>
        </is>
      </c>
      <c r="B4305" s="19" t="inlineStr">
        <is>
          <t>Sep</t>
        </is>
      </c>
      <c r="C4305" s="19" t="inlineStr">
        <is>
          <t>TN</t>
        </is>
      </c>
      <c r="D4305" s="20" t="inlineStr">
        <is>
          <t>TN87D9402</t>
        </is>
      </c>
      <c r="E4305" s="20" t="inlineStr">
        <is>
          <t>BHARATBENZ</t>
        </is>
      </c>
      <c r="F4305" s="20" t="inlineStr">
        <is>
          <t>1017</t>
        </is>
      </c>
      <c r="G4305" s="21" t="n">
        <v>2022</v>
      </c>
      <c r="H4305" s="22" t="n">
        <v>101301</v>
      </c>
      <c r="I4305" s="23" t="n">
        <v>1479650</v>
      </c>
      <c r="J4305" s="20" t="inlineStr">
        <is>
          <t>DAIMLER INDIA COMMERCIAL</t>
        </is>
      </c>
      <c r="K4305" s="20" t="inlineStr">
        <is>
          <t>Non-Captive</t>
        </is>
      </c>
      <c r="L4305" s="20" t="inlineStr">
        <is>
          <t>Aneesa Pravin Cars</t>
        </is>
      </c>
      <c r="M4305" s="23" t="n">
        <v>8474.58</v>
      </c>
      <c r="N4305" s="23" t="n">
        <v>10000.01</v>
      </c>
      <c r="O4305" s="24">
        <f>IF(AND(ISNUMBER(M4305), ISNUMBER(I4305), I4305&gt;0), M4305/I4305, "")</f>
        <v/>
      </c>
    </row>
    <row r="4306">
      <c r="A4306" s="19" t="inlineStr">
        <is>
          <t>FY27</t>
        </is>
      </c>
      <c r="B4306" s="19" t="inlineStr">
        <is>
          <t>Sep</t>
        </is>
      </c>
      <c r="C4306" s="19" t="inlineStr">
        <is>
          <t>TN</t>
        </is>
      </c>
      <c r="D4306" s="20" t="inlineStr">
        <is>
          <t>TN87D9403</t>
        </is>
      </c>
      <c r="E4306" s="20" t="inlineStr">
        <is>
          <t>BHARATBENZ</t>
        </is>
      </c>
      <c r="F4306" s="20" t="inlineStr">
        <is>
          <t>1017</t>
        </is>
      </c>
      <c r="G4306" s="21" t="n">
        <v>2022</v>
      </c>
      <c r="H4306" s="22" t="n">
        <v>101909</v>
      </c>
      <c r="I4306" s="23" t="n">
        <v>1479650</v>
      </c>
      <c r="J4306" s="20" t="inlineStr">
        <is>
          <t>DAIMLER INDIA COMMERCIAL</t>
        </is>
      </c>
      <c r="K4306" s="20" t="inlineStr">
        <is>
          <t>Non-Captive</t>
        </is>
      </c>
      <c r="L4306" s="20" t="inlineStr">
        <is>
          <t>Thirumurugan Cars</t>
        </is>
      </c>
      <c r="M4306" s="23" t="n">
        <v>8474.58</v>
      </c>
      <c r="N4306" s="23" t="n">
        <v>10000.01</v>
      </c>
      <c r="O4306" s="24">
        <f>IF(AND(ISNUMBER(M4306), ISNUMBER(I4306), I4306&gt;0), M4306/I4306, "")</f>
        <v/>
      </c>
    </row>
    <row r="4307">
      <c r="A4307" s="19" t="inlineStr">
        <is>
          <t>FY27</t>
        </is>
      </c>
      <c r="B4307" s="19" t="inlineStr">
        <is>
          <t>Sep</t>
        </is>
      </c>
      <c r="C4307" s="19" t="inlineStr">
        <is>
          <t>TN</t>
        </is>
      </c>
      <c r="D4307" s="20" t="inlineStr">
        <is>
          <t>TN87D9416</t>
        </is>
      </c>
      <c r="E4307" s="20" t="inlineStr">
        <is>
          <t>BHARATBENZ</t>
        </is>
      </c>
      <c r="F4307" s="20" t="inlineStr">
        <is>
          <t>1017</t>
        </is>
      </c>
      <c r="G4307" s="21" t="n">
        <v>2022</v>
      </c>
      <c r="H4307" s="22" t="n">
        <v>107528</v>
      </c>
      <c r="I4307" s="23" t="n">
        <v>1479650</v>
      </c>
      <c r="J4307" s="20" t="inlineStr">
        <is>
          <t>DAIMLER INDIA COMMERCIAL</t>
        </is>
      </c>
      <c r="K4307" s="20" t="inlineStr">
        <is>
          <t>Non-Captive</t>
        </is>
      </c>
      <c r="L4307" s="20" t="inlineStr">
        <is>
          <t>Srijja Travels</t>
        </is>
      </c>
      <c r="M4307" s="23" t="n">
        <v>8474.58</v>
      </c>
      <c r="N4307" s="23" t="n">
        <v>10000.01</v>
      </c>
      <c r="O4307" s="24">
        <f>IF(AND(ISNUMBER(M4307), ISNUMBER(I4307), I4307&gt;0), M4307/I4307, "")</f>
        <v/>
      </c>
    </row>
    <row r="4308">
      <c r="A4308" s="19" t="inlineStr">
        <is>
          <t>FY27</t>
        </is>
      </c>
      <c r="B4308" s="19" t="inlineStr">
        <is>
          <t>Sep</t>
        </is>
      </c>
      <c r="C4308" s="19" t="inlineStr">
        <is>
          <t>TN</t>
        </is>
      </c>
      <c r="D4308" s="20" t="inlineStr">
        <is>
          <t>TN87D9426</t>
        </is>
      </c>
      <c r="E4308" s="20" t="inlineStr">
        <is>
          <t>BHARATBENZ</t>
        </is>
      </c>
      <c r="F4308" s="20" t="inlineStr">
        <is>
          <t>1017</t>
        </is>
      </c>
      <c r="G4308" s="21" t="n">
        <v>2022</v>
      </c>
      <c r="H4308" s="22" t="n">
        <v>105945</v>
      </c>
      <c r="I4308" s="23" t="n">
        <v>1479650</v>
      </c>
      <c r="J4308" s="20" t="inlineStr">
        <is>
          <t>DAIMLER INDIA COMMERCIAL</t>
        </is>
      </c>
      <c r="K4308" s="20" t="inlineStr">
        <is>
          <t>Non-Captive</t>
        </is>
      </c>
      <c r="L4308" s="20" t="inlineStr">
        <is>
          <t>Sunilkumar Car</t>
        </is>
      </c>
      <c r="M4308" s="23" t="n">
        <v>8474.58</v>
      </c>
      <c r="N4308" s="23" t="n">
        <v>10000.01</v>
      </c>
      <c r="O4308" s="24">
        <f>IF(AND(ISNUMBER(M4308), ISNUMBER(I4308), I4308&gt;0), M4308/I4308, "")</f>
        <v/>
      </c>
    </row>
    <row r="4309">
      <c r="A4309" s="19" t="inlineStr">
        <is>
          <t>FY27</t>
        </is>
      </c>
      <c r="B4309" s="19" t="inlineStr">
        <is>
          <t>Sep</t>
        </is>
      </c>
      <c r="C4309" s="19" t="inlineStr">
        <is>
          <t>TN</t>
        </is>
      </c>
      <c r="D4309" s="20" t="inlineStr">
        <is>
          <t>TN87D9574</t>
        </is>
      </c>
      <c r="E4309" s="20" t="inlineStr">
        <is>
          <t>BHARATBENZ</t>
        </is>
      </c>
      <c r="F4309" s="20" t="inlineStr">
        <is>
          <t>1017</t>
        </is>
      </c>
      <c r="G4309" s="21" t="n">
        <v>2022</v>
      </c>
      <c r="H4309" s="22" t="n">
        <v>105173</v>
      </c>
      <c r="I4309" s="23" t="n">
        <v>1479650</v>
      </c>
      <c r="J4309" s="20" t="inlineStr">
        <is>
          <t>DAIMLER INDIA COMMERCIAL</t>
        </is>
      </c>
      <c r="K4309" s="20" t="inlineStr">
        <is>
          <t>Non-Captive</t>
        </is>
      </c>
      <c r="L4309" s="20" t="inlineStr">
        <is>
          <t>Balakrishnan.T Cars</t>
        </is>
      </c>
      <c r="M4309" s="23" t="n">
        <v>8474.58</v>
      </c>
      <c r="N4309" s="23" t="n">
        <v>10000.01</v>
      </c>
      <c r="O4309" s="24">
        <f>IF(AND(ISNUMBER(M4309), ISNUMBER(I4309), I4309&gt;0), M4309/I4309, "")</f>
        <v/>
      </c>
    </row>
    <row r="4310">
      <c r="A4310" s="19" t="inlineStr">
        <is>
          <t>FY27</t>
        </is>
      </c>
      <c r="B4310" s="19" t="inlineStr">
        <is>
          <t>Sep</t>
        </is>
      </c>
      <c r="C4310" s="19" t="inlineStr">
        <is>
          <t>TN</t>
        </is>
      </c>
      <c r="D4310" s="20" t="inlineStr">
        <is>
          <t>TN884939</t>
        </is>
      </c>
      <c r="E4310" s="20" t="inlineStr">
        <is>
          <t>MARUTI SUZUKI</t>
        </is>
      </c>
      <c r="F4310" s="20" t="inlineStr">
        <is>
          <t>Zen Estilo</t>
        </is>
      </c>
      <c r="G4310" s="21" t="n">
        <v>2013</v>
      </c>
      <c r="H4310" s="22" t="n">
        <v>96681</v>
      </c>
      <c r="I4310" s="23" t="n">
        <v>92000</v>
      </c>
      <c r="J4310" s="20" t="inlineStr">
        <is>
          <t>STEER AUTO TECHNOLOGIES PRIVATE LIMITED</t>
        </is>
      </c>
      <c r="K4310" s="20" t="inlineStr">
        <is>
          <t>Non-Captive</t>
        </is>
      </c>
      <c r="L4310" s="20" t="inlineStr">
        <is>
          <t>Cars24</t>
        </is>
      </c>
      <c r="M4310" s="23" t="n">
        <v>4237.29</v>
      </c>
      <c r="N4310" s="23" t="n">
        <v>5000</v>
      </c>
      <c r="O4310" s="24">
        <f>IF(AND(ISNUMBER(M4310), ISNUMBER(I4310), I4310&gt;0), M4310/I4310, "")</f>
        <v/>
      </c>
    </row>
    <row r="4311">
      <c r="A4311" s="19" t="inlineStr">
        <is>
          <t>FY27</t>
        </is>
      </c>
      <c r="B4311" s="19" t="inlineStr">
        <is>
          <t>Sep</t>
        </is>
      </c>
      <c r="C4311" s="19" t="inlineStr">
        <is>
          <t>TN</t>
        </is>
      </c>
      <c r="D4311" s="20" t="inlineStr">
        <is>
          <t>TN90D1049</t>
        </is>
      </c>
      <c r="E4311" s="20" t="inlineStr">
        <is>
          <t>MARUTI SUZUKI</t>
        </is>
      </c>
      <c r="F4311" s="20" t="inlineStr">
        <is>
          <t>Baleno</t>
        </is>
      </c>
      <c r="G4311" s="21" t="n">
        <v>2018</v>
      </c>
      <c r="H4311" s="22" t="n">
        <v>66293</v>
      </c>
      <c r="I4311" s="23" t="n">
        <v>380000</v>
      </c>
      <c r="J4311" s="20" t="inlineStr">
        <is>
          <t>EXCHANGE ROTN</t>
        </is>
      </c>
      <c r="K4311" s="20" t="inlineStr">
        <is>
          <t>Captive</t>
        </is>
      </c>
      <c r="L4311" s="20" t="inlineStr"/>
      <c r="M4311" s="23" t="n">
        <v>8474.58</v>
      </c>
      <c r="N4311" s="23" t="n">
        <v>10000</v>
      </c>
      <c r="O4311" s="24">
        <f>IF(AND(ISNUMBER(M4311), ISNUMBER(I4311), I4311&gt;0), M4311/I4311, "")</f>
        <v/>
      </c>
    </row>
    <row r="4312">
      <c r="A4312" s="19" t="inlineStr">
        <is>
          <t>FY27</t>
        </is>
      </c>
      <c r="B4312" s="19" t="inlineStr">
        <is>
          <t>Sep</t>
        </is>
      </c>
      <c r="C4312" s="19" t="inlineStr">
        <is>
          <t>TN</t>
        </is>
      </c>
      <c r="D4312" s="20" t="inlineStr">
        <is>
          <t>TN91A1208</t>
        </is>
      </c>
      <c r="E4312" s="20" t="inlineStr">
        <is>
          <t>HYUNDAI</t>
        </is>
      </c>
      <c r="F4312" s="20" t="inlineStr">
        <is>
          <t>Xcent</t>
        </is>
      </c>
      <c r="G4312" s="21" t="n">
        <v>2016</v>
      </c>
      <c r="H4312" s="22" t="n">
        <v>199071</v>
      </c>
      <c r="I4312" s="23" t="n">
        <v>98000</v>
      </c>
      <c r="J4312" s="20" t="inlineStr">
        <is>
          <t>PRODUCTIVITY ELEMENTS PRIVATE LIMITED</t>
        </is>
      </c>
      <c r="K4312" s="20" t="inlineStr">
        <is>
          <t>Non-Captive</t>
        </is>
      </c>
      <c r="L4312" s="20" t="inlineStr">
        <is>
          <t>Pine Autos</t>
        </is>
      </c>
      <c r="M4312" s="23" t="n">
        <v>4237.29</v>
      </c>
      <c r="N4312" s="23" t="n">
        <v>5000</v>
      </c>
      <c r="O4312" s="24">
        <f>IF(AND(ISNUMBER(M4312), ISNUMBER(I4312), I4312&gt;0), M4312/I4312, "")</f>
        <v/>
      </c>
    </row>
    <row r="4313">
      <c r="A4313" s="19" t="inlineStr">
        <is>
          <t>FY27</t>
        </is>
      </c>
      <c r="B4313" s="19" t="inlineStr">
        <is>
          <t>Sep</t>
        </is>
      </c>
      <c r="C4313" s="19" t="inlineStr">
        <is>
          <t>TN</t>
        </is>
      </c>
      <c r="D4313" s="20" t="inlineStr">
        <is>
          <t>TN91B6339</t>
        </is>
      </c>
      <c r="E4313" s="20" t="inlineStr">
        <is>
          <t>HYUNDAI</t>
        </is>
      </c>
      <c r="F4313" s="20" t="inlineStr">
        <is>
          <t>i10</t>
        </is>
      </c>
      <c r="G4313" s="21" t="n">
        <v>2016</v>
      </c>
      <c r="H4313" s="22" t="n">
        <v>88980</v>
      </c>
      <c r="I4313" s="23" t="n">
        <v>92000</v>
      </c>
      <c r="J4313" s="20" t="inlineStr">
        <is>
          <t>AIE CARS PRIVATE LIMITED</t>
        </is>
      </c>
      <c r="K4313" s="20" t="inlineStr">
        <is>
          <t>Non-Captive</t>
        </is>
      </c>
      <c r="L4313" s="20" t="inlineStr">
        <is>
          <t>Santhosh Cars</t>
        </is>
      </c>
      <c r="M4313" s="23" t="n">
        <v>4237.29</v>
      </c>
      <c r="N4313" s="23" t="n">
        <v>5000</v>
      </c>
      <c r="O4313" s="24">
        <f>IF(AND(ISNUMBER(M4313), ISNUMBER(I4313), I4313&gt;0), M4313/I4313, "")</f>
        <v/>
      </c>
    </row>
    <row r="4314">
      <c r="A4314" s="19" t="inlineStr">
        <is>
          <t>FY27</t>
        </is>
      </c>
      <c r="B4314" s="19" t="inlineStr">
        <is>
          <t>Sep</t>
        </is>
      </c>
      <c r="C4314" s="19" t="inlineStr">
        <is>
          <t>TN</t>
        </is>
      </c>
      <c r="D4314" s="20" t="inlineStr">
        <is>
          <t>TN99C7670</t>
        </is>
      </c>
      <c r="E4314" s="20" t="inlineStr">
        <is>
          <t>MARUTI SUZUKI</t>
        </is>
      </c>
      <c r="F4314" s="20" t="inlineStr">
        <is>
          <t>Celerio</t>
        </is>
      </c>
      <c r="G4314" s="21" t="n">
        <v>2015</v>
      </c>
      <c r="H4314" s="22" t="n">
        <v>42199</v>
      </c>
      <c r="I4314" s="23" t="n">
        <v>86000</v>
      </c>
      <c r="J4314" s="20" t="inlineStr">
        <is>
          <t>STEER AUTO TECHNOLOGIES PRIVATE LIMITED</t>
        </is>
      </c>
      <c r="K4314" s="20" t="inlineStr">
        <is>
          <t>Non-Captive</t>
        </is>
      </c>
      <c r="L4314" s="20" t="inlineStr">
        <is>
          <t>Cars24</t>
        </is>
      </c>
      <c r="M4314" s="23" t="n">
        <v>4237.29</v>
      </c>
      <c r="N4314" s="23" t="n">
        <v>5000</v>
      </c>
      <c r="O4314" s="24">
        <f>IF(AND(ISNUMBER(M4314), ISNUMBER(I4314), I4314&gt;0), M4314/I4314, "")</f>
        <v/>
      </c>
    </row>
    <row r="4315">
      <c r="A4315" s="19" t="inlineStr">
        <is>
          <t>FY27</t>
        </is>
      </c>
      <c r="B4315" s="19" t="inlineStr">
        <is>
          <t>Sep</t>
        </is>
      </c>
      <c r="C4315" s="19" t="inlineStr">
        <is>
          <t>TN</t>
        </is>
      </c>
      <c r="D4315" s="20" t="inlineStr">
        <is>
          <t>TN99V1078</t>
        </is>
      </c>
      <c r="E4315" s="20" t="inlineStr">
        <is>
          <t>TOYOTA</t>
        </is>
      </c>
      <c r="F4315" s="20" t="inlineStr">
        <is>
          <t>Corolla Altis</t>
        </is>
      </c>
      <c r="G4315" s="21" t="n">
        <v>2018</v>
      </c>
      <c r="H4315" s="22" t="n">
        <v>80732</v>
      </c>
      <c r="I4315" s="23" t="n">
        <v>750000</v>
      </c>
      <c r="J4315" s="20" t="inlineStr">
        <is>
          <t>EXCHANGE ROTN</t>
        </is>
      </c>
      <c r="K4315" s="20" t="inlineStr">
        <is>
          <t>Captive</t>
        </is>
      </c>
      <c r="L4315" s="20" t="inlineStr">
        <is>
          <t>Sai Cars</t>
        </is>
      </c>
      <c r="M4315" s="23" t="n">
        <v>12711.86</v>
      </c>
      <c r="N4315" s="23" t="n">
        <v>15000</v>
      </c>
      <c r="O4315" s="24">
        <f>IF(AND(ISNUMBER(M4315), ISNUMBER(I4315), I4315&gt;0), M4315/I4315, "")</f>
        <v/>
      </c>
    </row>
    <row r="4316">
      <c r="A4316" s="19" t="inlineStr">
        <is>
          <t>FY27</t>
        </is>
      </c>
      <c r="B4316" s="19" t="inlineStr">
        <is>
          <t>Sep</t>
        </is>
      </c>
      <c r="C4316" s="19" t="inlineStr">
        <is>
          <t>TN</t>
        </is>
      </c>
      <c r="D4316" s="20" t="inlineStr">
        <is>
          <t>TN99Z0968</t>
        </is>
      </c>
      <c r="E4316" s="20" t="inlineStr">
        <is>
          <t>HONDA</t>
        </is>
      </c>
      <c r="F4316" s="20" t="inlineStr">
        <is>
          <t>Amaze</t>
        </is>
      </c>
      <c r="G4316" s="21" t="n">
        <v>2023</v>
      </c>
      <c r="H4316" s="22" t="n">
        <v>33283</v>
      </c>
      <c r="I4316" s="23" t="n">
        <v>675000</v>
      </c>
      <c r="J4316" s="20" t="inlineStr">
        <is>
          <t>EXCHANGE ROTN</t>
        </is>
      </c>
      <c r="K4316" s="20" t="inlineStr">
        <is>
          <t>Captive</t>
        </is>
      </c>
      <c r="L4316" s="20" t="inlineStr">
        <is>
          <t>Spinny / Sai Cars</t>
        </is>
      </c>
      <c r="M4316" s="23" t="n">
        <v>16949.15</v>
      </c>
      <c r="N4316" s="23" t="n">
        <v>20000</v>
      </c>
      <c r="O4316" s="24">
        <f>IF(AND(ISNUMBER(M4316), ISNUMBER(I4316), I4316&gt;0), M4316/I4316, "")</f>
        <v/>
      </c>
    </row>
    <row r="4317">
      <c r="A4317" s="19" t="inlineStr">
        <is>
          <t>FY27</t>
        </is>
      </c>
      <c r="B4317" s="19" t="inlineStr">
        <is>
          <t>Sep</t>
        </is>
      </c>
      <c r="C4317" s="19" t="inlineStr">
        <is>
          <t>TN</t>
        </is>
      </c>
      <c r="D4317" s="20" t="inlineStr">
        <is>
          <t>WB74V3884</t>
        </is>
      </c>
      <c r="E4317" s="20" t="inlineStr">
        <is>
          <t>MARUTI SUZUKI</t>
        </is>
      </c>
      <c r="F4317" s="20" t="inlineStr">
        <is>
          <t>Alto</t>
        </is>
      </c>
      <c r="G4317" s="21" t="n">
        <v>2011</v>
      </c>
      <c r="H4317" s="22" t="n">
        <v>89650</v>
      </c>
      <c r="I4317" s="23" t="n">
        <v>99000</v>
      </c>
      <c r="J4317" s="20" t="inlineStr">
        <is>
          <t>AIE CARS PRIVATE LIMITED</t>
        </is>
      </c>
      <c r="K4317" s="20" t="inlineStr">
        <is>
          <t>Non-Captive</t>
        </is>
      </c>
      <c r="L4317" s="20" t="inlineStr">
        <is>
          <t>Pine Autos</t>
        </is>
      </c>
      <c r="M4317" s="23" t="n">
        <v>4237.29</v>
      </c>
      <c r="N4317" s="23" t="n">
        <v>5000</v>
      </c>
      <c r="O4317" s="24">
        <f>IF(AND(ISNUMBER(M4317), ISNUMBER(I4317), I4317&gt;0), M4317/I4317, "")</f>
        <v/>
      </c>
    </row>
  </sheetData>
  <mergeCells count="2">
    <mergeCell ref="A1:O1"/>
    <mergeCell ref="A2:O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317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8" customWidth="1" min="4" max="4"/>
    <col width="20" customWidth="1" min="5" max="5"/>
    <col width="20" customWidth="1" min="6" max="6"/>
    <col width="10" customWidth="1" min="7" max="7"/>
    <col width="15" customWidth="1" min="8" max="8"/>
    <col width="18" customWidth="1" min="9" max="9"/>
    <col width="36" customWidth="1" min="10" max="10"/>
    <col width="16" customWidth="1" min="11" max="11"/>
    <col width="34" customWidth="1" min="12" max="12"/>
    <col width="20" customWidth="1" min="13" max="13"/>
  </cols>
  <sheetData>
    <row r="1">
      <c r="A1" s="25" t="inlineStr">
        <is>
          <t>TVS Certified - Monthly Conversion Report (Standard)</t>
        </is>
      </c>
    </row>
    <row r="2">
      <c r="A2" s="26" t="inlineStr">
        <is>
          <t>January to September 2026 - Standard 13-Column Manager Reporting Template</t>
        </is>
      </c>
    </row>
    <row r="3">
      <c r="A3" s="27" t="inlineStr">
        <is>
          <t>FY</t>
        </is>
      </c>
      <c r="B3" s="27" t="inlineStr">
        <is>
          <t>Month</t>
        </is>
      </c>
      <c r="C3" s="27" t="inlineStr">
        <is>
          <t>State</t>
        </is>
      </c>
      <c r="D3" s="27" t="inlineStr">
        <is>
          <t>Vehicle Number</t>
        </is>
      </c>
      <c r="E3" s="27" t="inlineStr">
        <is>
          <t>Make</t>
        </is>
      </c>
      <c r="F3" s="27" t="inlineStr">
        <is>
          <t>Model</t>
        </is>
      </c>
      <c r="G3" s="27" t="inlineStr">
        <is>
          <t>Year</t>
        </is>
      </c>
      <c r="H3" s="27" t="inlineStr">
        <is>
          <t>Odometer</t>
        </is>
      </c>
      <c r="I3" s="27" t="inlineStr">
        <is>
          <t>Final Bid Value</t>
        </is>
      </c>
      <c r="J3" s="27" t="inlineStr">
        <is>
          <t>Seller Name</t>
        </is>
      </c>
      <c r="K3" s="27" t="inlineStr">
        <is>
          <t>Seller Segment</t>
        </is>
      </c>
      <c r="L3" s="27" t="inlineStr">
        <is>
          <t>Buyer Name</t>
        </is>
      </c>
      <c r="M3" s="27" t="inlineStr">
        <is>
          <t>Total Income</t>
        </is>
      </c>
    </row>
    <row r="4">
      <c r="A4" s="19" t="inlineStr">
        <is>
          <t>FY26</t>
        </is>
      </c>
      <c r="B4" s="19" t="inlineStr">
        <is>
          <t>Jan</t>
        </is>
      </c>
      <c r="C4" s="19" t="inlineStr">
        <is>
          <t>AP/TS</t>
        </is>
      </c>
      <c r="D4" s="20" t="inlineStr">
        <is>
          <t>AP31AS1112</t>
        </is>
      </c>
      <c r="E4" s="20" t="inlineStr">
        <is>
          <t>HYUNDAI</t>
        </is>
      </c>
      <c r="F4" s="20" t="inlineStr">
        <is>
          <t>Getz</t>
        </is>
      </c>
      <c r="G4" s="21" t="n">
        <v>2007</v>
      </c>
      <c r="H4" s="22" t="n">
        <v>77543</v>
      </c>
      <c r="I4" s="22" t="n">
        <v>55000</v>
      </c>
      <c r="J4" s="20" t="inlineStr">
        <is>
          <t>Exchange VIZAG</t>
        </is>
      </c>
      <c r="K4" s="20" t="inlineStr">
        <is>
          <t>Captive</t>
        </is>
      </c>
      <c r="L4" s="20" t="inlineStr">
        <is>
          <t>Gadi Sri Bharathi</t>
        </is>
      </c>
      <c r="M4" s="23" t="n">
        <v>4237.29</v>
      </c>
    </row>
    <row r="5">
      <c r="A5" s="19" t="inlineStr">
        <is>
          <t>FY26</t>
        </is>
      </c>
      <c r="B5" s="19" t="inlineStr">
        <is>
          <t>Jan</t>
        </is>
      </c>
      <c r="C5" s="19" t="inlineStr">
        <is>
          <t>AP/TS</t>
        </is>
      </c>
      <c r="D5" s="20" t="inlineStr">
        <is>
          <t>AP31CS7594</t>
        </is>
      </c>
      <c r="E5" s="20" t="inlineStr">
        <is>
          <t>HONDA</t>
        </is>
      </c>
      <c r="F5" s="20" t="inlineStr">
        <is>
          <t>Mobilio</t>
        </is>
      </c>
      <c r="G5" s="21" t="n">
        <v>2014</v>
      </c>
      <c r="H5" s="22" t="n">
        <v>98056</v>
      </c>
      <c r="I5" s="22" t="n">
        <v>265000</v>
      </c>
      <c r="J5" s="20" t="inlineStr">
        <is>
          <t>Exchange VIZAG</t>
        </is>
      </c>
      <c r="K5" s="20" t="inlineStr">
        <is>
          <t>Captive</t>
        </is>
      </c>
      <c r="L5" s="20" t="inlineStr">
        <is>
          <t>Siva Reddy Gudla</t>
        </is>
      </c>
      <c r="M5" s="23" t="n">
        <v>12711.86</v>
      </c>
    </row>
    <row r="6">
      <c r="A6" s="19" t="inlineStr">
        <is>
          <t>FY26</t>
        </is>
      </c>
      <c r="B6" s="19" t="inlineStr">
        <is>
          <t>Jan</t>
        </is>
      </c>
      <c r="C6" s="19" t="inlineStr">
        <is>
          <t>AP/TS</t>
        </is>
      </c>
      <c r="D6" s="20" t="inlineStr">
        <is>
          <t>TS09EY7211</t>
        </is>
      </c>
      <c r="E6" s="20" t="inlineStr">
        <is>
          <t>NISSAN</t>
        </is>
      </c>
      <c r="F6" s="20" t="inlineStr">
        <is>
          <t>Micra</t>
        </is>
      </c>
      <c r="G6" s="21" t="n">
        <v>2017</v>
      </c>
      <c r="H6" s="22" t="n">
        <v>113473</v>
      </c>
      <c r="I6" s="22" t="n">
        <v>190000</v>
      </c>
      <c r="J6" s="20" t="inlineStr">
        <is>
          <t>Exchange HYDERABAD</t>
        </is>
      </c>
      <c r="K6" s="20" t="inlineStr">
        <is>
          <t>Captive</t>
        </is>
      </c>
      <c r="L6" s="20" t="inlineStr">
        <is>
          <t>Viswanadhapalli Aravind</t>
        </is>
      </c>
      <c r="M6" s="23" t="n">
        <v>8474.58</v>
      </c>
    </row>
    <row r="7">
      <c r="A7" s="19" t="inlineStr">
        <is>
          <t>FY26</t>
        </is>
      </c>
      <c r="B7" s="19" t="inlineStr">
        <is>
          <t>Jan</t>
        </is>
      </c>
      <c r="C7" s="19" t="inlineStr">
        <is>
          <t>AP/TS</t>
        </is>
      </c>
      <c r="D7" s="20" t="inlineStr">
        <is>
          <t>AP31CE7777</t>
        </is>
      </c>
      <c r="E7" s="20" t="inlineStr">
        <is>
          <t>RENAULT</t>
        </is>
      </c>
      <c r="F7" s="20" t="inlineStr">
        <is>
          <t>Scala</t>
        </is>
      </c>
      <c r="G7" s="21" t="n">
        <v>2012</v>
      </c>
      <c r="H7" s="22" t="n">
        <v>255641</v>
      </c>
      <c r="I7" s="22" t="n">
        <v>97000</v>
      </c>
      <c r="J7" s="20" t="inlineStr">
        <is>
          <t>Exchange VIZAG</t>
        </is>
      </c>
      <c r="K7" s="20" t="inlineStr">
        <is>
          <t>Captive</t>
        </is>
      </c>
      <c r="L7" s="20" t="inlineStr">
        <is>
          <t>Kaki Dinesh Kumar</t>
        </is>
      </c>
      <c r="M7" s="23" t="n">
        <v>5932.2</v>
      </c>
    </row>
    <row r="8">
      <c r="A8" s="19" t="inlineStr">
        <is>
          <t>FY26</t>
        </is>
      </c>
      <c r="B8" s="19" t="inlineStr">
        <is>
          <t>Jan</t>
        </is>
      </c>
      <c r="C8" s="19" t="inlineStr">
        <is>
          <t>AP/TS</t>
        </is>
      </c>
      <c r="D8" s="20" t="inlineStr">
        <is>
          <t>AP31DF2198</t>
        </is>
      </c>
      <c r="E8" s="20" t="inlineStr">
        <is>
          <t>HONDA</t>
        </is>
      </c>
      <c r="F8" s="20" t="inlineStr">
        <is>
          <t>Jazz</t>
        </is>
      </c>
      <c r="G8" s="21" t="n">
        <v>2016</v>
      </c>
      <c r="H8" s="22" t="n">
        <v>41567</v>
      </c>
      <c r="I8" s="22" t="n">
        <v>327500</v>
      </c>
      <c r="J8" s="20" t="inlineStr">
        <is>
          <t>Exchange VIZAG</t>
        </is>
      </c>
      <c r="K8" s="20" t="inlineStr">
        <is>
          <t>Captive</t>
        </is>
      </c>
      <c r="L8" s="20" t="inlineStr">
        <is>
          <t>Chukka Satish</t>
        </is>
      </c>
      <c r="M8" s="23" t="n">
        <v>10593.22</v>
      </c>
    </row>
    <row r="9">
      <c r="A9" s="19" t="inlineStr">
        <is>
          <t>FY26</t>
        </is>
      </c>
      <c r="B9" s="19" t="inlineStr">
        <is>
          <t>Jan</t>
        </is>
      </c>
      <c r="C9" s="19" t="inlineStr">
        <is>
          <t>AP/TS</t>
        </is>
      </c>
      <c r="D9" s="20" t="inlineStr">
        <is>
          <t>AP31BM4257</t>
        </is>
      </c>
      <c r="E9" s="20" t="inlineStr">
        <is>
          <t>CHEVROLET</t>
        </is>
      </c>
      <c r="F9" s="20" t="inlineStr">
        <is>
          <t>Spark</t>
        </is>
      </c>
      <c r="G9" s="21" t="n">
        <v>2015</v>
      </c>
      <c r="H9" s="22" t="n">
        <v>141008</v>
      </c>
      <c r="I9" s="22" t="n">
        <v>50000</v>
      </c>
      <c r="J9" s="20" t="inlineStr">
        <is>
          <t>Kesireddi Saikiran</t>
        </is>
      </c>
      <c r="K9" s="20" t="inlineStr">
        <is>
          <t>Non-Captive</t>
        </is>
      </c>
      <c r="L9" s="20" t="inlineStr">
        <is>
          <t>Siva Reddy Gudla</t>
        </is>
      </c>
      <c r="M9" s="23" t="n">
        <v>4237.29</v>
      </c>
    </row>
    <row r="10">
      <c r="A10" s="19" t="inlineStr">
        <is>
          <t>FY26</t>
        </is>
      </c>
      <c r="B10" s="19" t="inlineStr">
        <is>
          <t>Jan</t>
        </is>
      </c>
      <c r="C10" s="19" t="inlineStr">
        <is>
          <t>AP/TS</t>
        </is>
      </c>
      <c r="D10" s="20" t="inlineStr">
        <is>
          <t>TS08GV4028</t>
        </is>
      </c>
      <c r="E10" s="20" t="inlineStr">
        <is>
          <t>HONDA</t>
        </is>
      </c>
      <c r="F10" s="20" t="inlineStr">
        <is>
          <t>Amaze</t>
        </is>
      </c>
      <c r="G10" s="21" t="n">
        <v>2019</v>
      </c>
      <c r="H10" s="22" t="n">
        <v>74555</v>
      </c>
      <c r="I10" s="22" t="n">
        <v>380000</v>
      </c>
      <c r="J10" s="20" t="inlineStr">
        <is>
          <t>Exchange HYDERABAD</t>
        </is>
      </c>
      <c r="K10" s="20" t="inlineStr">
        <is>
          <t>Captive</t>
        </is>
      </c>
      <c r="L10" s="20" t="inlineStr">
        <is>
          <t>Ganothula Brahma Reddy</t>
        </is>
      </c>
      <c r="M10" s="23" t="n">
        <v>8474.58</v>
      </c>
    </row>
    <row r="11">
      <c r="A11" s="19" t="inlineStr">
        <is>
          <t>FY26</t>
        </is>
      </c>
      <c r="B11" s="19" t="inlineStr">
        <is>
          <t>Jan</t>
        </is>
      </c>
      <c r="C11" s="19" t="inlineStr">
        <is>
          <t>AP/TS</t>
        </is>
      </c>
      <c r="D11" s="20" t="inlineStr">
        <is>
          <t>TS09EB2697</t>
        </is>
      </c>
      <c r="E11" s="20" t="inlineStr">
        <is>
          <t>HONDA</t>
        </is>
      </c>
      <c r="F11" s="20" t="inlineStr">
        <is>
          <t>City</t>
        </is>
      </c>
      <c r="G11" s="21" t="n">
        <v>2014</v>
      </c>
      <c r="H11" s="22" t="n">
        <v>158986</v>
      </c>
      <c r="I11" s="22" t="n">
        <v>265000</v>
      </c>
      <c r="J11" s="20" t="inlineStr">
        <is>
          <t>Exchange HYDERABAD</t>
        </is>
      </c>
      <c r="K11" s="20" t="inlineStr">
        <is>
          <t>Captive</t>
        </is>
      </c>
      <c r="L11" s="20" t="inlineStr">
        <is>
          <t>Uppari Sandeep Kumar</t>
        </is>
      </c>
      <c r="M11" s="23" t="n">
        <v>8474.58</v>
      </c>
    </row>
    <row r="12">
      <c r="A12" s="19" t="inlineStr">
        <is>
          <t>FY26</t>
        </is>
      </c>
      <c r="B12" s="19" t="inlineStr">
        <is>
          <t>Jan</t>
        </is>
      </c>
      <c r="C12" s="19" t="inlineStr">
        <is>
          <t>AP/TS</t>
        </is>
      </c>
      <c r="D12" s="20" t="inlineStr">
        <is>
          <t>TS11EC4656</t>
        </is>
      </c>
      <c r="E12" s="20" t="inlineStr">
        <is>
          <t>HONDA</t>
        </is>
      </c>
      <c r="F12" s="20" t="inlineStr">
        <is>
          <t>Amaze</t>
        </is>
      </c>
      <c r="G12" s="21" t="n">
        <v>2015</v>
      </c>
      <c r="H12" s="22" t="n">
        <v>178445</v>
      </c>
      <c r="I12" s="22" t="n">
        <v>215000</v>
      </c>
      <c r="J12" s="20" t="inlineStr">
        <is>
          <t>Exchange HYDERABAD</t>
        </is>
      </c>
      <c r="K12" s="20" t="inlineStr">
        <is>
          <t>Captive</t>
        </is>
      </c>
      <c r="L12" s="20" t="inlineStr">
        <is>
          <t>Puneet Gupta</t>
        </is>
      </c>
      <c r="M12" s="23" t="n">
        <v>8474.58</v>
      </c>
    </row>
    <row r="13">
      <c r="A13" s="19" t="inlineStr">
        <is>
          <t>FY26</t>
        </is>
      </c>
      <c r="B13" s="19" t="inlineStr">
        <is>
          <t>Jan</t>
        </is>
      </c>
      <c r="C13" s="19" t="inlineStr">
        <is>
          <t>AP/TS</t>
        </is>
      </c>
      <c r="D13" s="20" t="inlineStr">
        <is>
          <t>AP39JV0286</t>
        </is>
      </c>
      <c r="E13" s="20" t="inlineStr">
        <is>
          <t>TATA</t>
        </is>
      </c>
      <c r="F13" s="20" t="inlineStr">
        <is>
          <t>Tiago</t>
        </is>
      </c>
      <c r="G13" s="21" t="n">
        <v>2021</v>
      </c>
      <c r="H13" s="22" t="n">
        <v>58833</v>
      </c>
      <c r="I13" s="22" t="n">
        <v>335000</v>
      </c>
      <c r="J13" s="20" t="inlineStr">
        <is>
          <t>Exchange VIJAYAWADA</t>
        </is>
      </c>
      <c r="K13" s="20" t="inlineStr">
        <is>
          <t>Captive</t>
        </is>
      </c>
      <c r="L13" s="20" t="inlineStr">
        <is>
          <t>Naga Suresh Polukonda</t>
        </is>
      </c>
      <c r="M13" s="23" t="n">
        <v>8474.58</v>
      </c>
    </row>
    <row r="14">
      <c r="A14" s="19" t="inlineStr">
        <is>
          <t>FY26</t>
        </is>
      </c>
      <c r="B14" s="19" t="inlineStr">
        <is>
          <t>Jan</t>
        </is>
      </c>
      <c r="C14" s="19" t="inlineStr">
        <is>
          <t>AP/TS</t>
        </is>
      </c>
      <c r="D14" s="20" t="inlineStr">
        <is>
          <t>AP31DD1661</t>
        </is>
      </c>
      <c r="E14" s="20" t="inlineStr">
        <is>
          <t>HONDA</t>
        </is>
      </c>
      <c r="F14" s="20" t="inlineStr">
        <is>
          <t>Jazz</t>
        </is>
      </c>
      <c r="G14" s="21" t="n">
        <v>2015</v>
      </c>
      <c r="H14" s="22" t="n">
        <v>132923</v>
      </c>
      <c r="I14" s="22" t="n">
        <v>240000</v>
      </c>
      <c r="J14" s="20" t="inlineStr">
        <is>
          <t>Exchange VIZAG</t>
        </is>
      </c>
      <c r="K14" s="20" t="inlineStr">
        <is>
          <t>Captive</t>
        </is>
      </c>
      <c r="L14" s="20" t="inlineStr">
        <is>
          <t>Raju Avaala</t>
        </is>
      </c>
      <c r="M14" s="23" t="n">
        <v>8474.58</v>
      </c>
    </row>
    <row r="15">
      <c r="A15" s="19" t="inlineStr">
        <is>
          <t>FY26</t>
        </is>
      </c>
      <c r="B15" s="19" t="inlineStr">
        <is>
          <t>Jan</t>
        </is>
      </c>
      <c r="C15" s="19" t="inlineStr">
        <is>
          <t>AP/TS</t>
        </is>
      </c>
      <c r="D15" s="20" t="inlineStr">
        <is>
          <t>AP31EP0888</t>
        </is>
      </c>
      <c r="E15" s="20" t="inlineStr">
        <is>
          <t>HONDA</t>
        </is>
      </c>
      <c r="F15" s="20" t="inlineStr">
        <is>
          <t>Amaze</t>
        </is>
      </c>
      <c r="G15" s="21" t="n">
        <v>2018</v>
      </c>
      <c r="H15" s="22" t="n">
        <v>85923</v>
      </c>
      <c r="I15" s="22" t="n">
        <v>400000</v>
      </c>
      <c r="J15" s="20" t="inlineStr">
        <is>
          <t>Exchange VIZAG</t>
        </is>
      </c>
      <c r="K15" s="20" t="inlineStr">
        <is>
          <t>Captive</t>
        </is>
      </c>
      <c r="L15" s="20" t="inlineStr">
        <is>
          <t>Kaki Dinesh Kumar</t>
        </is>
      </c>
      <c r="M15" s="23" t="n">
        <v>12711.86</v>
      </c>
    </row>
    <row r="16">
      <c r="A16" s="19" t="inlineStr">
        <is>
          <t>FY26</t>
        </is>
      </c>
      <c r="B16" s="19" t="inlineStr">
        <is>
          <t>Jan</t>
        </is>
      </c>
      <c r="C16" s="19" t="inlineStr">
        <is>
          <t>AP/TS</t>
        </is>
      </c>
      <c r="D16" s="20" t="inlineStr">
        <is>
          <t>AP39HD1137</t>
        </is>
      </c>
      <c r="E16" s="20" t="inlineStr">
        <is>
          <t>MARUTI SUZUKI</t>
        </is>
      </c>
      <c r="F16" s="20" t="inlineStr">
        <is>
          <t>Swift</t>
        </is>
      </c>
      <c r="G16" s="21" t="n">
        <v>2020</v>
      </c>
      <c r="H16" s="22" t="n">
        <v>74111</v>
      </c>
      <c r="I16" s="22" t="n">
        <v>470000</v>
      </c>
      <c r="J16" s="20" t="inlineStr">
        <is>
          <t>Exchange VIJAYAWADA</t>
        </is>
      </c>
      <c r="K16" s="20" t="inlineStr">
        <is>
          <t>Captive</t>
        </is>
      </c>
      <c r="L16" s="20" t="inlineStr">
        <is>
          <t>Chegudi Manoj Kumar</t>
        </is>
      </c>
      <c r="M16" s="23" t="n">
        <v>8474.58</v>
      </c>
    </row>
    <row r="17">
      <c r="A17" s="19" t="inlineStr">
        <is>
          <t>FY26</t>
        </is>
      </c>
      <c r="B17" s="19" t="inlineStr">
        <is>
          <t>Jan</t>
        </is>
      </c>
      <c r="C17" s="19" t="inlineStr">
        <is>
          <t>AP/TS</t>
        </is>
      </c>
      <c r="D17" s="20" t="inlineStr">
        <is>
          <t>AP16BV0162</t>
        </is>
      </c>
      <c r="E17" s="20" t="inlineStr">
        <is>
          <t>MARUTI SUZUKI</t>
        </is>
      </c>
      <c r="F17" s="20" t="inlineStr">
        <is>
          <t>Alto</t>
        </is>
      </c>
      <c r="G17" s="21" t="n">
        <v>2011</v>
      </c>
      <c r="H17" s="22" t="n">
        <v>165112</v>
      </c>
      <c r="I17" s="22" t="n">
        <v>30000</v>
      </c>
      <c r="J17" s="20" t="inlineStr">
        <is>
          <t>Guthi Ravi Krishna</t>
        </is>
      </c>
      <c r="K17" s="20" t="inlineStr">
        <is>
          <t>Non-Captive</t>
        </is>
      </c>
      <c r="L17" s="20" t="inlineStr">
        <is>
          <t>Chegudi Manoj Kumar</t>
        </is>
      </c>
      <c r="M17" s="23" t="n">
        <v>4237.29</v>
      </c>
    </row>
    <row r="18">
      <c r="A18" s="19" t="inlineStr">
        <is>
          <t>FY26</t>
        </is>
      </c>
      <c r="B18" s="19" t="inlineStr">
        <is>
          <t>Jan</t>
        </is>
      </c>
      <c r="C18" s="19" t="inlineStr">
        <is>
          <t>AP/TS</t>
        </is>
      </c>
      <c r="D18" s="20" t="inlineStr">
        <is>
          <t>AP10AL9385</t>
        </is>
      </c>
      <c r="E18" s="20" t="inlineStr">
        <is>
          <t>HONDA</t>
        </is>
      </c>
      <c r="F18" s="20" t="inlineStr">
        <is>
          <t>City</t>
        </is>
      </c>
      <c r="G18" s="21" t="n">
        <v>2007</v>
      </c>
      <c r="H18" s="22" t="n">
        <v>88432</v>
      </c>
      <c r="I18" s="22" t="n">
        <v>85000</v>
      </c>
      <c r="J18" s="20" t="inlineStr">
        <is>
          <t>Exchange HYDERABAD</t>
        </is>
      </c>
      <c r="K18" s="20" t="inlineStr">
        <is>
          <t>Captive</t>
        </is>
      </c>
      <c r="L18" s="20" t="inlineStr">
        <is>
          <t>Bukya Santhosh Naik</t>
        </is>
      </c>
      <c r="M18" s="23" t="n">
        <v>4237.29</v>
      </c>
    </row>
    <row r="19">
      <c r="A19" s="19" t="inlineStr">
        <is>
          <t>FY26</t>
        </is>
      </c>
      <c r="B19" s="19" t="inlineStr">
        <is>
          <t>Jan</t>
        </is>
      </c>
      <c r="C19" s="19" t="inlineStr">
        <is>
          <t>AP/TS</t>
        </is>
      </c>
      <c r="D19" s="20" t="inlineStr">
        <is>
          <t>AP29AE8713</t>
        </is>
      </c>
      <c r="E19" s="20" t="inlineStr">
        <is>
          <t>CHEVROLET</t>
        </is>
      </c>
      <c r="F19" s="20" t="inlineStr">
        <is>
          <t>Aveo</t>
        </is>
      </c>
      <c r="G19" s="21" t="n">
        <v>2008</v>
      </c>
      <c r="H19" s="22" t="n">
        <v>186084</v>
      </c>
      <c r="I19" s="22" t="n">
        <v>25000</v>
      </c>
      <c r="J19" s="20" t="inlineStr">
        <is>
          <t>Puneet Gupta</t>
        </is>
      </c>
      <c r="K19" s="20" t="inlineStr">
        <is>
          <t>Non-Captive</t>
        </is>
      </c>
      <c r="L19" s="20" t="inlineStr">
        <is>
          <t>Bukya Santhosh Naik</t>
        </is>
      </c>
      <c r="M19" s="23" t="n">
        <v>4237.29</v>
      </c>
    </row>
    <row r="20">
      <c r="A20" s="19" t="inlineStr">
        <is>
          <t>FY26</t>
        </is>
      </c>
      <c r="B20" s="19" t="inlineStr">
        <is>
          <t>Jan</t>
        </is>
      </c>
      <c r="C20" s="19" t="inlineStr">
        <is>
          <t>AP/TS</t>
        </is>
      </c>
      <c r="D20" s="20" t="inlineStr">
        <is>
          <t>AP07DD7494</t>
        </is>
      </c>
      <c r="E20" s="20" t="inlineStr">
        <is>
          <t>HONDA</t>
        </is>
      </c>
      <c r="F20" s="20" t="inlineStr">
        <is>
          <t>Mobilio</t>
        </is>
      </c>
      <c r="G20" s="21" t="n">
        <v>2016</v>
      </c>
      <c r="H20" s="22" t="n">
        <v>199205</v>
      </c>
      <c r="I20" s="22" t="n">
        <v>245000</v>
      </c>
      <c r="J20" s="20" t="inlineStr">
        <is>
          <t>Exchange VIJAYAWADA</t>
        </is>
      </c>
      <c r="K20" s="20" t="inlineStr">
        <is>
          <t>Captive</t>
        </is>
      </c>
      <c r="L20" s="20" t="inlineStr">
        <is>
          <t>Mohammed Gouse Basha</t>
        </is>
      </c>
      <c r="M20" s="23" t="n">
        <v>12711.86</v>
      </c>
    </row>
    <row r="21">
      <c r="A21" s="19" t="inlineStr">
        <is>
          <t>FY26</t>
        </is>
      </c>
      <c r="B21" s="19" t="inlineStr">
        <is>
          <t>Jan</t>
        </is>
      </c>
      <c r="C21" s="19" t="inlineStr">
        <is>
          <t>AP/TS</t>
        </is>
      </c>
      <c r="D21" s="20" t="inlineStr">
        <is>
          <t>AP31CW6624</t>
        </is>
      </c>
      <c r="E21" s="20" t="inlineStr">
        <is>
          <t>MARUTI SUZUKI</t>
        </is>
      </c>
      <c r="F21" s="20" t="inlineStr">
        <is>
          <t>Swift</t>
        </is>
      </c>
      <c r="G21" s="21" t="n">
        <v>2015</v>
      </c>
      <c r="H21" s="22" t="n">
        <v>87102</v>
      </c>
      <c r="I21" s="22" t="n">
        <v>245000</v>
      </c>
      <c r="J21" s="20" t="inlineStr">
        <is>
          <t>Exchange VIZAG</t>
        </is>
      </c>
      <c r="K21" s="20" t="inlineStr">
        <is>
          <t>Captive</t>
        </is>
      </c>
      <c r="L21" s="20" t="inlineStr">
        <is>
          <t>Arnipalli Dhananjay Naidu</t>
        </is>
      </c>
      <c r="M21" s="23" t="n">
        <v>4237.29</v>
      </c>
    </row>
    <row r="22">
      <c r="A22" s="19" t="inlineStr">
        <is>
          <t>FY26</t>
        </is>
      </c>
      <c r="B22" s="19" t="inlineStr">
        <is>
          <t>Jan</t>
        </is>
      </c>
      <c r="C22" s="19" t="inlineStr">
        <is>
          <t>AP/TS</t>
        </is>
      </c>
      <c r="D22" s="20" t="inlineStr">
        <is>
          <t>AP28AX1997</t>
        </is>
      </c>
      <c r="E22" s="20" t="inlineStr">
        <is>
          <t>HONDA</t>
        </is>
      </c>
      <c r="F22" s="20" t="inlineStr">
        <is>
          <t>City</t>
        </is>
      </c>
      <c r="G22" s="21" t="n">
        <v>2007</v>
      </c>
      <c r="H22" s="22" t="n">
        <v>77768</v>
      </c>
      <c r="I22" s="22" t="n">
        <v>100000</v>
      </c>
      <c r="J22" s="20" t="inlineStr">
        <is>
          <t>Exchange HYDERABAD</t>
        </is>
      </c>
      <c r="K22" s="20" t="inlineStr">
        <is>
          <t>Captive</t>
        </is>
      </c>
      <c r="L22" s="20" t="inlineStr">
        <is>
          <t>MD Shakeeluddin</t>
        </is>
      </c>
      <c r="M22" s="23" t="n">
        <v>8474.58</v>
      </c>
    </row>
    <row r="23">
      <c r="A23" s="19" t="inlineStr">
        <is>
          <t>FY26</t>
        </is>
      </c>
      <c r="B23" s="19" t="inlineStr">
        <is>
          <t>Jan</t>
        </is>
      </c>
      <c r="C23" s="19" t="inlineStr">
        <is>
          <t>AP/TS</t>
        </is>
      </c>
      <c r="D23" s="20" t="inlineStr">
        <is>
          <t>AP31CW1910</t>
        </is>
      </c>
      <c r="E23" s="20" t="inlineStr">
        <is>
          <t>HYUNDAI</t>
        </is>
      </c>
      <c r="F23" s="20" t="inlineStr">
        <is>
          <t>I10</t>
        </is>
      </c>
      <c r="G23" s="21" t="n">
        <v>2015</v>
      </c>
      <c r="H23" s="22" t="n">
        <v>34140</v>
      </c>
      <c r="I23" s="22" t="n">
        <v>225000</v>
      </c>
      <c r="J23" s="20" t="inlineStr">
        <is>
          <t>Exchange VIZAG</t>
        </is>
      </c>
      <c r="K23" s="20" t="inlineStr">
        <is>
          <t>Captive</t>
        </is>
      </c>
      <c r="L23" s="20" t="inlineStr">
        <is>
          <t>Avaala Raju</t>
        </is>
      </c>
      <c r="M23" s="23" t="n">
        <v>4237.29</v>
      </c>
    </row>
    <row r="24">
      <c r="A24" s="19" t="inlineStr">
        <is>
          <t>FY26</t>
        </is>
      </c>
      <c r="B24" s="19" t="inlineStr">
        <is>
          <t>Jan</t>
        </is>
      </c>
      <c r="C24" s="19" t="inlineStr">
        <is>
          <t>AP/TS</t>
        </is>
      </c>
      <c r="D24" s="20" t="inlineStr">
        <is>
          <t>AP39MQ7824</t>
        </is>
      </c>
      <c r="E24" s="20" t="inlineStr">
        <is>
          <t>TATA</t>
        </is>
      </c>
      <c r="F24" s="20" t="inlineStr">
        <is>
          <t>Tiago</t>
        </is>
      </c>
      <c r="G24" s="21" t="n">
        <v>2022</v>
      </c>
      <c r="H24" s="22" t="n">
        <v>34768</v>
      </c>
      <c r="I24" s="22" t="n">
        <v>365000</v>
      </c>
      <c r="J24" s="20" t="inlineStr">
        <is>
          <t>Exchange VIJAYAWADA</t>
        </is>
      </c>
      <c r="K24" s="20" t="inlineStr">
        <is>
          <t>Captive</t>
        </is>
      </c>
      <c r="L24" s="20" t="inlineStr">
        <is>
          <t>Suresh Ginjupalli</t>
        </is>
      </c>
      <c r="M24" s="23" t="n">
        <v>8474.58</v>
      </c>
    </row>
    <row r="25">
      <c r="A25" s="19" t="inlineStr">
        <is>
          <t>FY26</t>
        </is>
      </c>
      <c r="B25" s="19" t="inlineStr">
        <is>
          <t>Jan</t>
        </is>
      </c>
      <c r="C25" s="19" t="inlineStr">
        <is>
          <t>AP/TS</t>
        </is>
      </c>
      <c r="D25" s="20" t="inlineStr">
        <is>
          <t>TS07FP7214</t>
        </is>
      </c>
      <c r="E25" s="20" t="inlineStr">
        <is>
          <t>RENAULT</t>
        </is>
      </c>
      <c r="F25" s="20" t="inlineStr">
        <is>
          <t>Kwid</t>
        </is>
      </c>
      <c r="G25" s="21" t="n">
        <v>2017</v>
      </c>
      <c r="H25" s="22" t="n">
        <v>58144</v>
      </c>
      <c r="I25" s="22" t="n">
        <v>182500</v>
      </c>
      <c r="J25" s="20" t="inlineStr">
        <is>
          <t>Exchange HYDERABAD</t>
        </is>
      </c>
      <c r="K25" s="20" t="inlineStr">
        <is>
          <t>Captive</t>
        </is>
      </c>
      <c r="L25" s="20" t="inlineStr">
        <is>
          <t>Abdul Mugees</t>
        </is>
      </c>
      <c r="M25" s="23" t="n">
        <v>4237.29</v>
      </c>
    </row>
    <row r="26">
      <c r="A26" s="19" t="inlineStr">
        <is>
          <t>FY26</t>
        </is>
      </c>
      <c r="B26" s="19" t="inlineStr">
        <is>
          <t>Jan</t>
        </is>
      </c>
      <c r="C26" s="19" t="inlineStr">
        <is>
          <t>AP/TS</t>
        </is>
      </c>
      <c r="D26" s="20" t="inlineStr">
        <is>
          <t>AP09CE0212</t>
        </is>
      </c>
      <c r="E26" s="20" t="inlineStr">
        <is>
          <t>HONDA</t>
        </is>
      </c>
      <c r="F26" s="20" t="inlineStr">
        <is>
          <t>Cr-V</t>
        </is>
      </c>
      <c r="G26" s="21" t="n">
        <v>2011</v>
      </c>
      <c r="H26" s="22" t="n">
        <v>130600</v>
      </c>
      <c r="I26" s="22" t="n">
        <v>140000</v>
      </c>
      <c r="J26" s="20" t="inlineStr">
        <is>
          <t>Exchange VIJAYAWADA</t>
        </is>
      </c>
      <c r="K26" s="20" t="inlineStr">
        <is>
          <t>Captive</t>
        </is>
      </c>
      <c r="L26" s="20" t="inlineStr">
        <is>
          <t>Guthi Ravi Krishna</t>
        </is>
      </c>
      <c r="M26" s="23" t="n">
        <v>8474.58</v>
      </c>
    </row>
    <row r="27">
      <c r="A27" s="19" t="inlineStr">
        <is>
          <t>FY26</t>
        </is>
      </c>
      <c r="B27" s="19" t="inlineStr">
        <is>
          <t>Jan</t>
        </is>
      </c>
      <c r="C27" s="19" t="inlineStr">
        <is>
          <t>AP/TS</t>
        </is>
      </c>
      <c r="D27" s="20" t="inlineStr">
        <is>
          <t>AP16CP8889</t>
        </is>
      </c>
      <c r="E27" s="20" t="inlineStr">
        <is>
          <t>CHEVROLET</t>
        </is>
      </c>
      <c r="F27" s="20" t="inlineStr">
        <is>
          <t>Beat</t>
        </is>
      </c>
      <c r="G27" s="21" t="n">
        <v>2014</v>
      </c>
      <c r="H27" s="22" t="n">
        <v>135304</v>
      </c>
      <c r="I27" s="22" t="n">
        <v>80000</v>
      </c>
      <c r="J27" s="20" t="inlineStr">
        <is>
          <t>T Srinivas</t>
        </is>
      </c>
      <c r="K27" s="20" t="inlineStr">
        <is>
          <t>Non-Captive</t>
        </is>
      </c>
      <c r="L27" s="20" t="inlineStr">
        <is>
          <t>Guthi Ravi Krishna</t>
        </is>
      </c>
      <c r="M27" s="23" t="n">
        <v>4237.29</v>
      </c>
    </row>
    <row r="28">
      <c r="A28" s="19" t="inlineStr">
        <is>
          <t>FY26</t>
        </is>
      </c>
      <c r="B28" s="19" t="inlineStr">
        <is>
          <t>Jan</t>
        </is>
      </c>
      <c r="C28" s="19" t="inlineStr">
        <is>
          <t>AP/TS</t>
        </is>
      </c>
      <c r="D28" s="20" t="inlineStr">
        <is>
          <t>AP09BT2344</t>
        </is>
      </c>
      <c r="E28" s="20" t="inlineStr">
        <is>
          <t>SKODA</t>
        </is>
      </c>
      <c r="F28" s="20" t="inlineStr">
        <is>
          <t>Octovia</t>
        </is>
      </c>
      <c r="G28" s="21" t="n">
        <v>2008</v>
      </c>
      <c r="H28" s="22" t="n">
        <v>194525</v>
      </c>
      <c r="I28" s="22" t="n">
        <v>35000</v>
      </c>
      <c r="J28" s="20" t="inlineStr">
        <is>
          <t>T Srinivas</t>
        </is>
      </c>
      <c r="K28" s="20" t="inlineStr">
        <is>
          <t>Non-Captive</t>
        </is>
      </c>
      <c r="L28" s="20" t="inlineStr">
        <is>
          <t>B Tirumala Rao</t>
        </is>
      </c>
      <c r="M28" s="23" t="n">
        <v>4237.29</v>
      </c>
    </row>
    <row r="29">
      <c r="A29" s="19" t="inlineStr">
        <is>
          <t>FY26</t>
        </is>
      </c>
      <c r="B29" s="19" t="inlineStr">
        <is>
          <t>Jan</t>
        </is>
      </c>
      <c r="C29" s="19" t="inlineStr">
        <is>
          <t>AP/TS</t>
        </is>
      </c>
      <c r="D29" s="20" t="inlineStr">
        <is>
          <t>AP37AQ9009</t>
        </is>
      </c>
      <c r="E29" s="20" t="inlineStr">
        <is>
          <t>SKODA</t>
        </is>
      </c>
      <c r="F29" s="20" t="inlineStr">
        <is>
          <t>Laura</t>
        </is>
      </c>
      <c r="G29" s="21" t="n">
        <v>2007</v>
      </c>
      <c r="H29" s="22" t="n">
        <v>195828</v>
      </c>
      <c r="I29" s="22" t="n">
        <v>35000</v>
      </c>
      <c r="J29" s="20" t="inlineStr">
        <is>
          <t>T Srinivas</t>
        </is>
      </c>
      <c r="K29" s="20" t="inlineStr">
        <is>
          <t>Non-Captive</t>
        </is>
      </c>
      <c r="L29" s="20" t="inlineStr">
        <is>
          <t>Bhanu Chandar Singaraju</t>
        </is>
      </c>
      <c r="M29" s="23" t="n">
        <v>4237.29</v>
      </c>
    </row>
    <row r="30">
      <c r="A30" s="19" t="inlineStr">
        <is>
          <t>FY26</t>
        </is>
      </c>
      <c r="B30" s="19" t="inlineStr">
        <is>
          <t>Jan</t>
        </is>
      </c>
      <c r="C30" s="19" t="inlineStr">
        <is>
          <t>AP/TS</t>
        </is>
      </c>
      <c r="D30" s="20" t="inlineStr">
        <is>
          <t>AP07BR3348</t>
        </is>
      </c>
      <c r="E30" s="20" t="inlineStr">
        <is>
          <t>CHEVROLET</t>
        </is>
      </c>
      <c r="F30" s="20" t="inlineStr">
        <is>
          <t>Sail</t>
        </is>
      </c>
      <c r="G30" s="21" t="n">
        <v>2013</v>
      </c>
      <c r="H30" s="22" t="n">
        <v>126802</v>
      </c>
      <c r="I30" s="22" t="n">
        <v>50000</v>
      </c>
      <c r="J30" s="20" t="inlineStr">
        <is>
          <t>T Srinivas</t>
        </is>
      </c>
      <c r="K30" s="20" t="inlineStr">
        <is>
          <t>Non-Captive</t>
        </is>
      </c>
      <c r="L30" s="20" t="inlineStr">
        <is>
          <t>Gopi Naga Raju</t>
        </is>
      </c>
      <c r="M30" s="23" t="n">
        <v>4237.29</v>
      </c>
    </row>
    <row r="31">
      <c r="A31" s="19" t="inlineStr">
        <is>
          <t>FY26</t>
        </is>
      </c>
      <c r="B31" s="19" t="inlineStr">
        <is>
          <t>Jan</t>
        </is>
      </c>
      <c r="C31" s="19" t="inlineStr">
        <is>
          <t>AP/TS</t>
        </is>
      </c>
      <c r="D31" s="20" t="inlineStr">
        <is>
          <t>AP28AW2416</t>
        </is>
      </c>
      <c r="E31" s="20" t="inlineStr">
        <is>
          <t>HONDA</t>
        </is>
      </c>
      <c r="F31" s="20" t="inlineStr">
        <is>
          <t>City</t>
        </is>
      </c>
      <c r="G31" s="21" t="n">
        <v>2007</v>
      </c>
      <c r="H31" s="22" t="n">
        <v>183256</v>
      </c>
      <c r="I31" s="22" t="n">
        <v>55000</v>
      </c>
      <c r="J31" s="20" t="inlineStr">
        <is>
          <t>T Srinivas</t>
        </is>
      </c>
      <c r="K31" s="20" t="inlineStr">
        <is>
          <t>Non-Captive</t>
        </is>
      </c>
      <c r="L31" s="20" t="inlineStr">
        <is>
          <t>Polukonda Naga Suresh</t>
        </is>
      </c>
      <c r="M31" s="23" t="n">
        <v>4237.29</v>
      </c>
    </row>
    <row r="32">
      <c r="A32" s="19" t="inlineStr">
        <is>
          <t>FY26</t>
        </is>
      </c>
      <c r="B32" s="19" t="inlineStr">
        <is>
          <t>Jan</t>
        </is>
      </c>
      <c r="C32" s="19" t="inlineStr">
        <is>
          <t>AP/TS</t>
        </is>
      </c>
      <c r="D32" s="20" t="inlineStr">
        <is>
          <t>AP27AS0036</t>
        </is>
      </c>
      <c r="E32" s="20" t="inlineStr">
        <is>
          <t>FORD</t>
        </is>
      </c>
      <c r="F32" s="20" t="inlineStr">
        <is>
          <t>Figo</t>
        </is>
      </c>
      <c r="G32" s="21" t="n">
        <v>2013</v>
      </c>
      <c r="H32" s="22" t="n">
        <v>137253</v>
      </c>
      <c r="I32" s="22" t="n">
        <v>45000</v>
      </c>
      <c r="J32" s="20" t="inlineStr">
        <is>
          <t>Exchange VIJAYAWADA</t>
        </is>
      </c>
      <c r="K32" s="20" t="inlineStr">
        <is>
          <t>Captive</t>
        </is>
      </c>
      <c r="L32" s="20" t="inlineStr">
        <is>
          <t>Shakeela Shaik</t>
        </is>
      </c>
      <c r="M32" s="23" t="n">
        <v>4237.29</v>
      </c>
    </row>
    <row r="33">
      <c r="A33" s="19" t="inlineStr">
        <is>
          <t>FY26</t>
        </is>
      </c>
      <c r="B33" s="19" t="inlineStr">
        <is>
          <t>Jan</t>
        </is>
      </c>
      <c r="C33" s="19" t="inlineStr">
        <is>
          <t>AP/TS</t>
        </is>
      </c>
      <c r="D33" s="20" t="inlineStr">
        <is>
          <t>AP16BM6678</t>
        </is>
      </c>
      <c r="E33" s="20" t="inlineStr">
        <is>
          <t>HONDA</t>
        </is>
      </c>
      <c r="F33" s="20" t="inlineStr">
        <is>
          <t>Jazz</t>
        </is>
      </c>
      <c r="G33" s="21" t="n">
        <v>2009</v>
      </c>
      <c r="H33" s="22" t="n">
        <v>197521</v>
      </c>
      <c r="I33" s="22" t="n">
        <v>85000</v>
      </c>
      <c r="J33" s="20" t="inlineStr">
        <is>
          <t>Chegudi Manoj Kumar</t>
        </is>
      </c>
      <c r="K33" s="20" t="inlineStr">
        <is>
          <t>Non-Captive</t>
        </is>
      </c>
      <c r="L33" s="20" t="inlineStr">
        <is>
          <t>Shakeela Shaik</t>
        </is>
      </c>
      <c r="M33" s="23" t="n">
        <v>4237.29</v>
      </c>
    </row>
    <row r="34">
      <c r="A34" s="19" t="inlineStr">
        <is>
          <t>FY26</t>
        </is>
      </c>
      <c r="B34" s="19" t="inlineStr">
        <is>
          <t>Jan</t>
        </is>
      </c>
      <c r="C34" s="19" t="inlineStr">
        <is>
          <t>AP/TS</t>
        </is>
      </c>
      <c r="D34" s="20" t="inlineStr">
        <is>
          <t>AP31AZ0333</t>
        </is>
      </c>
      <c r="E34" s="20" t="inlineStr">
        <is>
          <t>HYUNDAI</t>
        </is>
      </c>
      <c r="F34" s="20" t="inlineStr">
        <is>
          <t>Verna</t>
        </is>
      </c>
      <c r="G34" s="21" t="n">
        <v>2010</v>
      </c>
      <c r="H34" s="22" t="n">
        <v>178976</v>
      </c>
      <c r="I34" s="22" t="n">
        <v>75000</v>
      </c>
      <c r="J34" s="20" t="inlineStr">
        <is>
          <t>Exchange VIZAG</t>
        </is>
      </c>
      <c r="K34" s="20" t="inlineStr">
        <is>
          <t>Captive</t>
        </is>
      </c>
      <c r="L34" s="20" t="inlineStr">
        <is>
          <t>Ravikanth Pentakota</t>
        </is>
      </c>
      <c r="M34" s="23" t="n">
        <v>4237.29</v>
      </c>
    </row>
    <row r="35">
      <c r="A35" s="19" t="inlineStr">
        <is>
          <t>FY26</t>
        </is>
      </c>
      <c r="B35" s="19" t="inlineStr">
        <is>
          <t>Jan</t>
        </is>
      </c>
      <c r="C35" s="19" t="inlineStr">
        <is>
          <t>AP/TS</t>
        </is>
      </c>
      <c r="D35" s="20" t="inlineStr">
        <is>
          <t>AP10AX2989</t>
        </is>
      </c>
      <c r="E35" s="20" t="inlineStr">
        <is>
          <t>HONDA</t>
        </is>
      </c>
      <c r="F35" s="20" t="inlineStr">
        <is>
          <t>City</t>
        </is>
      </c>
      <c r="G35" s="21" t="n">
        <v>2011</v>
      </c>
      <c r="H35" s="22" t="n">
        <v>180034</v>
      </c>
      <c r="I35" s="22" t="n">
        <v>160000</v>
      </c>
      <c r="J35" s="20" t="inlineStr">
        <is>
          <t>Exchange HYDERABAD</t>
        </is>
      </c>
      <c r="K35" s="20" t="inlineStr">
        <is>
          <t>Captive</t>
        </is>
      </c>
      <c r="L35" s="20" t="inlineStr">
        <is>
          <t>Uppari Sandeep Kumar</t>
        </is>
      </c>
      <c r="M35" s="23" t="n">
        <v>8474.58</v>
      </c>
    </row>
    <row r="36">
      <c r="A36" s="19" t="inlineStr">
        <is>
          <t>FY26</t>
        </is>
      </c>
      <c r="B36" s="19" t="inlineStr">
        <is>
          <t>Jan</t>
        </is>
      </c>
      <c r="C36" s="19" t="inlineStr">
        <is>
          <t>AP/TS</t>
        </is>
      </c>
      <c r="D36" s="20" t="inlineStr">
        <is>
          <t>AP29AB6696</t>
        </is>
      </c>
      <c r="E36" s="20" t="inlineStr">
        <is>
          <t>HONDA</t>
        </is>
      </c>
      <c r="F36" s="20" t="inlineStr">
        <is>
          <t>City</t>
        </is>
      </c>
      <c r="G36" s="21" t="n">
        <v>2007</v>
      </c>
      <c r="H36" s="22" t="n">
        <v>168257</v>
      </c>
      <c r="I36" s="22" t="n">
        <v>55000</v>
      </c>
      <c r="J36" s="20" t="inlineStr">
        <is>
          <t>Puneet Gupta</t>
        </is>
      </c>
      <c r="K36" s="20" t="inlineStr">
        <is>
          <t>Non-Captive</t>
        </is>
      </c>
      <c r="L36" s="20" t="inlineStr">
        <is>
          <t>Uppari Sandeep Kumar</t>
        </is>
      </c>
      <c r="M36" s="23" t="n">
        <v>4237.29</v>
      </c>
    </row>
    <row r="37">
      <c r="A37" s="19" t="inlineStr">
        <is>
          <t>FY26</t>
        </is>
      </c>
      <c r="B37" s="19" t="inlineStr">
        <is>
          <t>Jan</t>
        </is>
      </c>
      <c r="C37" s="19" t="inlineStr">
        <is>
          <t>AP/TS</t>
        </is>
      </c>
      <c r="D37" s="20" t="inlineStr">
        <is>
          <t>AP09BZ0630</t>
        </is>
      </c>
      <c r="E37" s="20" t="inlineStr">
        <is>
          <t>MARUTI SUZUKI</t>
        </is>
      </c>
      <c r="F37" s="20" t="inlineStr">
        <is>
          <t>Alto</t>
        </is>
      </c>
      <c r="G37" s="21" t="n">
        <v>2010</v>
      </c>
      <c r="H37" s="22" t="n">
        <v>159810</v>
      </c>
      <c r="I37" s="22" t="n">
        <v>50000</v>
      </c>
      <c r="J37" s="20" t="inlineStr">
        <is>
          <t>Puneet Gupta</t>
        </is>
      </c>
      <c r="K37" s="20" t="inlineStr">
        <is>
          <t>Non-Captive</t>
        </is>
      </c>
      <c r="L37" s="20" t="inlineStr">
        <is>
          <t>Uppari Sandeep Kumar</t>
        </is>
      </c>
      <c r="M37" s="23" t="n">
        <v>4237.29</v>
      </c>
    </row>
    <row r="38">
      <c r="A38" s="19" t="inlineStr">
        <is>
          <t>FY26</t>
        </is>
      </c>
      <c r="B38" s="19" t="inlineStr">
        <is>
          <t>Jan</t>
        </is>
      </c>
      <c r="C38" s="19" t="inlineStr">
        <is>
          <t>AP/TS</t>
        </is>
      </c>
      <c r="D38" s="20" t="inlineStr">
        <is>
          <t>AP29AK2760</t>
        </is>
      </c>
      <c r="E38" s="20" t="inlineStr">
        <is>
          <t>MARUTI SUZUKI</t>
        </is>
      </c>
      <c r="F38" s="20" t="inlineStr">
        <is>
          <t>Wagon R</t>
        </is>
      </c>
      <c r="G38" s="21" t="n">
        <v>2009</v>
      </c>
      <c r="H38" s="22" t="n">
        <v>126463</v>
      </c>
      <c r="I38" s="22" t="n">
        <v>65000</v>
      </c>
      <c r="J38" s="20" t="inlineStr">
        <is>
          <t>Puneet Gupta</t>
        </is>
      </c>
      <c r="K38" s="20" t="inlineStr">
        <is>
          <t>Non-Captive</t>
        </is>
      </c>
      <c r="L38" s="20" t="inlineStr">
        <is>
          <t>Uppari Sandeep Kumar</t>
        </is>
      </c>
      <c r="M38" s="23" t="n">
        <v>4237.29</v>
      </c>
    </row>
    <row r="39">
      <c r="A39" s="19" t="inlineStr">
        <is>
          <t>FY26</t>
        </is>
      </c>
      <c r="B39" s="19" t="inlineStr">
        <is>
          <t>Jan</t>
        </is>
      </c>
      <c r="C39" s="19" t="inlineStr">
        <is>
          <t>AP/TS</t>
        </is>
      </c>
      <c r="D39" s="20" t="inlineStr">
        <is>
          <t>TS11EW5291</t>
        </is>
      </c>
      <c r="E39" s="20" t="inlineStr">
        <is>
          <t>RENAULT</t>
        </is>
      </c>
      <c r="F39" s="20" t="inlineStr">
        <is>
          <t>Kiger</t>
        </is>
      </c>
      <c r="G39" s="21" t="n">
        <v>2021</v>
      </c>
      <c r="H39" s="22" t="n">
        <v>40558</v>
      </c>
      <c r="I39" s="22" t="n">
        <v>425000</v>
      </c>
      <c r="J39" s="20" t="inlineStr">
        <is>
          <t>Exchange HYDERABAD</t>
        </is>
      </c>
      <c r="K39" s="20" t="inlineStr">
        <is>
          <t>Captive</t>
        </is>
      </c>
      <c r="L39" s="20" t="inlineStr">
        <is>
          <t>Odapally Sandeep</t>
        </is>
      </c>
      <c r="M39" s="23" t="n">
        <v>4237.29</v>
      </c>
    </row>
    <row r="40">
      <c r="A40" s="19" t="inlineStr">
        <is>
          <t>FY26</t>
        </is>
      </c>
      <c r="B40" s="19" t="inlineStr">
        <is>
          <t>Jan</t>
        </is>
      </c>
      <c r="C40" s="19" t="inlineStr">
        <is>
          <t>AP/TS</t>
        </is>
      </c>
      <c r="D40" s="20" t="inlineStr">
        <is>
          <t>AP10BD2268</t>
        </is>
      </c>
      <c r="E40" s="20" t="inlineStr">
        <is>
          <t>NISSAN</t>
        </is>
      </c>
      <c r="F40" s="20" t="inlineStr">
        <is>
          <t>Sunny</t>
        </is>
      </c>
      <c r="G40" s="21" t="n">
        <v>2013</v>
      </c>
      <c r="H40" s="22" t="n">
        <v>117555</v>
      </c>
      <c r="I40" s="22" t="n">
        <v>155000</v>
      </c>
      <c r="J40" s="20" t="inlineStr">
        <is>
          <t>Exchange HYDERABAD</t>
        </is>
      </c>
      <c r="K40" s="20" t="inlineStr">
        <is>
          <t>Captive</t>
        </is>
      </c>
      <c r="L40" s="20" t="inlineStr">
        <is>
          <t>Odapally Sandeep</t>
        </is>
      </c>
      <c r="M40" s="23" t="n">
        <v>4237.29</v>
      </c>
    </row>
    <row r="41">
      <c r="A41" s="19" t="inlineStr">
        <is>
          <t>FY26</t>
        </is>
      </c>
      <c r="B41" s="19" t="inlineStr">
        <is>
          <t>Jan</t>
        </is>
      </c>
      <c r="C41" s="19" t="inlineStr">
        <is>
          <t>AP/TS</t>
        </is>
      </c>
      <c r="D41" s="20" t="inlineStr">
        <is>
          <t>AP29AA8034</t>
        </is>
      </c>
      <c r="E41" s="20" t="inlineStr">
        <is>
          <t>HYUNDAI</t>
        </is>
      </c>
      <c r="F41" s="20" t="inlineStr">
        <is>
          <t>Santro</t>
        </is>
      </c>
      <c r="G41" s="21" t="n">
        <v>2007</v>
      </c>
      <c r="H41" s="22" t="n">
        <v>89932</v>
      </c>
      <c r="I41" s="22" t="n">
        <v>85000</v>
      </c>
      <c r="J41" s="20" t="inlineStr">
        <is>
          <t>Exchange HYDERABAD</t>
        </is>
      </c>
      <c r="K41" s="20" t="inlineStr">
        <is>
          <t>Captive</t>
        </is>
      </c>
      <c r="L41" s="20" t="inlineStr">
        <is>
          <t>Odapally Sandeep</t>
        </is>
      </c>
      <c r="M41" s="23" t="n">
        <v>4237.29</v>
      </c>
    </row>
    <row r="42">
      <c r="A42" s="19" t="inlineStr">
        <is>
          <t>FY26</t>
        </is>
      </c>
      <c r="B42" s="19" t="inlineStr">
        <is>
          <t>Jan</t>
        </is>
      </c>
      <c r="C42" s="19" t="inlineStr">
        <is>
          <t>AP/TS</t>
        </is>
      </c>
      <c r="D42" s="20" t="inlineStr">
        <is>
          <t>AP39QR1645</t>
        </is>
      </c>
      <c r="E42" s="20" t="inlineStr">
        <is>
          <t>HONDA</t>
        </is>
      </c>
      <c r="F42" s="20" t="inlineStr">
        <is>
          <t>Wr-V</t>
        </is>
      </c>
      <c r="G42" s="21" t="n">
        <v>2022</v>
      </c>
      <c r="H42" s="22" t="n">
        <v>32037</v>
      </c>
      <c r="I42" s="22" t="n">
        <v>510000</v>
      </c>
      <c r="J42" s="20" t="inlineStr">
        <is>
          <t>Exchange VIJAYAWADA</t>
        </is>
      </c>
      <c r="K42" s="20" t="inlineStr">
        <is>
          <t>Captive</t>
        </is>
      </c>
      <c r="L42" s="20" t="inlineStr">
        <is>
          <t>D Avinash</t>
        </is>
      </c>
      <c r="M42" s="23" t="n">
        <v>8474.58</v>
      </c>
    </row>
    <row r="43">
      <c r="A43" s="19" t="inlineStr">
        <is>
          <t>FY26</t>
        </is>
      </c>
      <c r="B43" s="19" t="inlineStr">
        <is>
          <t>Jan</t>
        </is>
      </c>
      <c r="C43" s="19" t="inlineStr">
        <is>
          <t>AP/TS</t>
        </is>
      </c>
      <c r="D43" s="20" t="inlineStr">
        <is>
          <t>AP31GG1370</t>
        </is>
      </c>
      <c r="E43" s="20" t="inlineStr">
        <is>
          <t>MARUTI SUZUKI</t>
        </is>
      </c>
      <c r="F43" s="20" t="inlineStr">
        <is>
          <t>Alto</t>
        </is>
      </c>
      <c r="G43" s="21" t="n">
        <v>2013</v>
      </c>
      <c r="H43" s="22" t="n">
        <v>121072</v>
      </c>
      <c r="I43" s="22" t="n">
        <v>77000</v>
      </c>
      <c r="J43" s="20" t="inlineStr">
        <is>
          <t>Exchange VIZAG</t>
        </is>
      </c>
      <c r="K43" s="20" t="inlineStr">
        <is>
          <t>Captive</t>
        </is>
      </c>
      <c r="L43" s="20" t="inlineStr">
        <is>
          <t>K Sankar Rao</t>
        </is>
      </c>
      <c r="M43" s="23" t="n">
        <v>5932.2</v>
      </c>
    </row>
    <row r="44">
      <c r="A44" s="19" t="inlineStr">
        <is>
          <t>FY26</t>
        </is>
      </c>
      <c r="B44" s="19" t="inlineStr">
        <is>
          <t>Feb</t>
        </is>
      </c>
      <c r="C44" s="19" t="inlineStr">
        <is>
          <t>AP/TS</t>
        </is>
      </c>
      <c r="D44" s="20" t="inlineStr">
        <is>
          <t>AP31BP3355</t>
        </is>
      </c>
      <c r="E44" s="20" t="inlineStr">
        <is>
          <t>FIAT</t>
        </is>
      </c>
      <c r="F44" s="20" t="inlineStr">
        <is>
          <t>Linea</t>
        </is>
      </c>
      <c r="G44" s="21" t="n">
        <v>2011</v>
      </c>
      <c r="H44" s="22" t="n">
        <v>157689</v>
      </c>
      <c r="I44" s="22" t="n">
        <v>35000</v>
      </c>
      <c r="J44" s="20" t="inlineStr">
        <is>
          <t>Exchange VIZAG</t>
        </is>
      </c>
      <c r="K44" s="20" t="inlineStr">
        <is>
          <t>Captive</t>
        </is>
      </c>
      <c r="L44" s="20" t="inlineStr">
        <is>
          <t>Kaki Dinesh Kumar</t>
        </is>
      </c>
      <c r="M44" s="23" t="n">
        <v>4237.29</v>
      </c>
    </row>
    <row r="45">
      <c r="A45" s="19" t="inlineStr">
        <is>
          <t>FY26</t>
        </is>
      </c>
      <c r="B45" s="19" t="inlineStr">
        <is>
          <t>Feb</t>
        </is>
      </c>
      <c r="C45" s="19" t="inlineStr">
        <is>
          <t>AP/TS</t>
        </is>
      </c>
      <c r="D45" s="20" t="inlineStr">
        <is>
          <t>AP35J4689</t>
        </is>
      </c>
      <c r="E45" s="20" t="inlineStr">
        <is>
          <t>MARUTI SUZUKI</t>
        </is>
      </c>
      <c r="F45" s="20" t="inlineStr">
        <is>
          <t>A-Star</t>
        </is>
      </c>
      <c r="G45" s="21" t="n">
        <v>2009</v>
      </c>
      <c r="H45" s="22" t="n">
        <v>187320</v>
      </c>
      <c r="I45" s="22" t="n">
        <v>35000</v>
      </c>
      <c r="J45" s="20" t="inlineStr">
        <is>
          <t>Santhosh Kumar</t>
        </is>
      </c>
      <c r="K45" s="20" t="inlineStr">
        <is>
          <t>Non-Captive</t>
        </is>
      </c>
      <c r="L45" s="20" t="inlineStr">
        <is>
          <t>Kaki Dinesh Kumar</t>
        </is>
      </c>
      <c r="M45" s="23" t="n">
        <v>4237.29</v>
      </c>
    </row>
    <row r="46">
      <c r="A46" s="19" t="inlineStr">
        <is>
          <t>FY26</t>
        </is>
      </c>
      <c r="B46" s="19" t="inlineStr">
        <is>
          <t>Feb</t>
        </is>
      </c>
      <c r="C46" s="19" t="inlineStr">
        <is>
          <t>AP/TS</t>
        </is>
      </c>
      <c r="D46" s="20" t="inlineStr">
        <is>
          <t>AP39HY2022</t>
        </is>
      </c>
      <c r="E46" s="20" t="inlineStr">
        <is>
          <t>HONDA</t>
        </is>
      </c>
      <c r="F46" s="20" t="inlineStr">
        <is>
          <t>City</t>
        </is>
      </c>
      <c r="G46" s="21" t="n">
        <v>2021</v>
      </c>
      <c r="H46" s="22" t="n">
        <v>58022</v>
      </c>
      <c r="I46" s="22" t="n">
        <v>640000</v>
      </c>
      <c r="J46" s="20" t="inlineStr">
        <is>
          <t>Exchange VIZAG</t>
        </is>
      </c>
      <c r="K46" s="20" t="inlineStr">
        <is>
          <t>Captive</t>
        </is>
      </c>
      <c r="L46" s="20" t="inlineStr">
        <is>
          <t>Kaki Dinesh Kumar</t>
        </is>
      </c>
      <c r="M46" s="23" t="n">
        <v>16949.15</v>
      </c>
    </row>
    <row r="47">
      <c r="A47" s="19" t="inlineStr">
        <is>
          <t>FY26</t>
        </is>
      </c>
      <c r="B47" s="19" t="inlineStr">
        <is>
          <t>Feb</t>
        </is>
      </c>
      <c r="C47" s="19" t="inlineStr">
        <is>
          <t>AP/TS</t>
        </is>
      </c>
      <c r="D47" s="20" t="inlineStr">
        <is>
          <t>AP16BW5032</t>
        </is>
      </c>
      <c r="E47" s="20" t="inlineStr">
        <is>
          <t>CHEVROLET</t>
        </is>
      </c>
      <c r="F47" s="20" t="inlineStr">
        <is>
          <t>Spark</t>
        </is>
      </c>
      <c r="G47" s="21" t="n">
        <v>2011</v>
      </c>
      <c r="H47" s="22" t="n">
        <v>69787</v>
      </c>
      <c r="I47" s="22" t="n">
        <v>50000</v>
      </c>
      <c r="J47" s="20" t="inlineStr">
        <is>
          <t>Exchange VIJAYAWADA</t>
        </is>
      </c>
      <c r="K47" s="20" t="inlineStr">
        <is>
          <t>Captive</t>
        </is>
      </c>
      <c r="L47" s="20" t="inlineStr">
        <is>
          <t>Sesetti Manoj Kumar</t>
        </is>
      </c>
      <c r="M47" s="23" t="n">
        <v>4237.29</v>
      </c>
    </row>
    <row r="48">
      <c r="A48" s="19" t="inlineStr">
        <is>
          <t>FY26</t>
        </is>
      </c>
      <c r="B48" s="19" t="inlineStr">
        <is>
          <t>Feb</t>
        </is>
      </c>
      <c r="C48" s="19" t="inlineStr">
        <is>
          <t>AP/TS</t>
        </is>
      </c>
      <c r="D48" s="20" t="inlineStr">
        <is>
          <t>AP16CF3934</t>
        </is>
      </c>
      <c r="E48" s="20" t="inlineStr">
        <is>
          <t>MARUTI SUZUKI</t>
        </is>
      </c>
      <c r="F48" s="20" t="inlineStr">
        <is>
          <t>Swift Dzire</t>
        </is>
      </c>
      <c r="G48" s="21" t="n">
        <v>2010</v>
      </c>
      <c r="H48" s="22" t="n">
        <v>202514</v>
      </c>
      <c r="I48" s="22" t="n">
        <v>85000</v>
      </c>
      <c r="J48" s="20" t="inlineStr">
        <is>
          <t>T Srinivas</t>
        </is>
      </c>
      <c r="K48" s="20" t="inlineStr">
        <is>
          <t>Non-Captive</t>
        </is>
      </c>
      <c r="L48" s="20" t="inlineStr">
        <is>
          <t>Sesetti Manoj Kumar</t>
        </is>
      </c>
      <c r="M48" s="23" t="n">
        <v>4237.29</v>
      </c>
    </row>
    <row r="49">
      <c r="A49" s="19" t="inlineStr">
        <is>
          <t>FY26</t>
        </is>
      </c>
      <c r="B49" s="19" t="inlineStr">
        <is>
          <t>Feb</t>
        </is>
      </c>
      <c r="C49" s="19" t="inlineStr">
        <is>
          <t>AP/TS</t>
        </is>
      </c>
      <c r="D49" s="20" t="inlineStr">
        <is>
          <t>AP09CS4718</t>
        </is>
      </c>
      <c r="E49" s="20" t="inlineStr">
        <is>
          <t>HONDA</t>
        </is>
      </c>
      <c r="F49" s="20" t="inlineStr">
        <is>
          <t>Amaze</t>
        </is>
      </c>
      <c r="G49" s="21" t="n">
        <v>2013</v>
      </c>
      <c r="H49" s="22" t="n">
        <v>138764</v>
      </c>
      <c r="I49" s="22" t="n">
        <v>190000</v>
      </c>
      <c r="J49" s="20" t="inlineStr">
        <is>
          <t>Exchange HYDERABAD</t>
        </is>
      </c>
      <c r="K49" s="20" t="inlineStr">
        <is>
          <t>Captive</t>
        </is>
      </c>
      <c r="L49" s="20" t="inlineStr">
        <is>
          <t>Gorenka Vinay Shravan</t>
        </is>
      </c>
      <c r="M49" s="23" t="n">
        <v>8474.58</v>
      </c>
    </row>
    <row r="50">
      <c r="A50" s="19" t="inlineStr">
        <is>
          <t>FY26</t>
        </is>
      </c>
      <c r="B50" s="19" t="inlineStr">
        <is>
          <t>Feb</t>
        </is>
      </c>
      <c r="C50" s="19" t="inlineStr">
        <is>
          <t>AP/TS</t>
        </is>
      </c>
      <c r="D50" s="20" t="inlineStr">
        <is>
          <t>TS01EH6073</t>
        </is>
      </c>
      <c r="E50" s="20" t="inlineStr">
        <is>
          <t>HONDA</t>
        </is>
      </c>
      <c r="F50" s="20" t="inlineStr">
        <is>
          <t>Jazz</t>
        </is>
      </c>
      <c r="G50" s="21" t="n">
        <v>2016</v>
      </c>
      <c r="H50" s="22" t="n">
        <v>111819</v>
      </c>
      <c r="I50" s="22" t="n">
        <v>205000</v>
      </c>
      <c r="J50" s="20" t="inlineStr">
        <is>
          <t>Exchange HYDERABAD</t>
        </is>
      </c>
      <c r="K50" s="20" t="inlineStr">
        <is>
          <t>Captive</t>
        </is>
      </c>
      <c r="L50" s="20" t="inlineStr">
        <is>
          <t>Gorenka Vinay Shravan</t>
        </is>
      </c>
      <c r="M50" s="23" t="n">
        <v>8474.58</v>
      </c>
    </row>
    <row r="51">
      <c r="A51" s="19" t="inlineStr">
        <is>
          <t>FY26</t>
        </is>
      </c>
      <c r="B51" s="19" t="inlineStr">
        <is>
          <t>Feb</t>
        </is>
      </c>
      <c r="C51" s="19" t="inlineStr">
        <is>
          <t>AP/TS</t>
        </is>
      </c>
      <c r="D51" s="20" t="inlineStr">
        <is>
          <t>AP27AW6103</t>
        </is>
      </c>
      <c r="E51" s="20" t="inlineStr">
        <is>
          <t>MARUTI SUZUKI</t>
        </is>
      </c>
      <c r="F51" s="20" t="inlineStr">
        <is>
          <t>Alto</t>
        </is>
      </c>
      <c r="G51" s="21" t="n">
        <v>2013</v>
      </c>
      <c r="H51" s="22" t="n">
        <v>74021</v>
      </c>
      <c r="I51" s="22" t="n">
        <v>132000</v>
      </c>
      <c r="J51" s="20" t="inlineStr">
        <is>
          <t>Exchange VIJAYAWADA</t>
        </is>
      </c>
      <c r="K51" s="20" t="inlineStr">
        <is>
          <t>Captive</t>
        </is>
      </c>
      <c r="L51" s="20" t="inlineStr">
        <is>
          <t>Mohammed Gouse Basha</t>
        </is>
      </c>
      <c r="M51" s="23" t="n">
        <v>5932.2</v>
      </c>
    </row>
    <row r="52">
      <c r="A52" s="19" t="inlineStr">
        <is>
          <t>FY26</t>
        </is>
      </c>
      <c r="B52" s="19" t="inlineStr">
        <is>
          <t>Feb</t>
        </is>
      </c>
      <c r="C52" s="19" t="inlineStr">
        <is>
          <t>AP/TS</t>
        </is>
      </c>
      <c r="D52" s="20" t="inlineStr">
        <is>
          <t>AP07BT4777</t>
        </is>
      </c>
      <c r="E52" s="20" t="inlineStr">
        <is>
          <t>HYUNDAI</t>
        </is>
      </c>
      <c r="F52" s="20" t="inlineStr">
        <is>
          <t>Verna</t>
        </is>
      </c>
      <c r="G52" s="21" t="n">
        <v>2013</v>
      </c>
      <c r="H52" s="22" t="n">
        <v>105563</v>
      </c>
      <c r="I52" s="22" t="n">
        <v>280000</v>
      </c>
      <c r="J52" s="20" t="inlineStr">
        <is>
          <t>Exchange VIJAYAWADA</t>
        </is>
      </c>
      <c r="K52" s="20" t="inlineStr">
        <is>
          <t>Captive</t>
        </is>
      </c>
      <c r="L52" s="20" t="inlineStr">
        <is>
          <t>Mohammed Gouse Basha</t>
        </is>
      </c>
      <c r="M52" s="23" t="n">
        <v>8474.58</v>
      </c>
    </row>
    <row r="53">
      <c r="A53" s="19" t="inlineStr">
        <is>
          <t>FY26</t>
        </is>
      </c>
      <c r="B53" s="19" t="inlineStr">
        <is>
          <t>Feb</t>
        </is>
      </c>
      <c r="C53" s="19" t="inlineStr">
        <is>
          <t>AP/TS</t>
        </is>
      </c>
      <c r="D53" s="20" t="inlineStr">
        <is>
          <t>AP16BQ7777</t>
        </is>
      </c>
      <c r="E53" s="20" t="inlineStr">
        <is>
          <t>MARUTI SUZUKI</t>
        </is>
      </c>
      <c r="F53" s="20" t="inlineStr">
        <is>
          <t>I10</t>
        </is>
      </c>
      <c r="G53" s="21" t="n">
        <v>2009</v>
      </c>
      <c r="H53" s="22" t="n">
        <v>160213</v>
      </c>
      <c r="I53" s="22" t="n">
        <v>60000</v>
      </c>
      <c r="J53" s="20" t="inlineStr">
        <is>
          <t>T Srinivas</t>
        </is>
      </c>
      <c r="K53" s="20" t="inlineStr">
        <is>
          <t>Non-Captive</t>
        </is>
      </c>
      <c r="L53" s="20" t="inlineStr">
        <is>
          <t>Mohammed Gouse Basha</t>
        </is>
      </c>
      <c r="M53" s="23" t="n">
        <v>4237.29</v>
      </c>
    </row>
    <row r="54">
      <c r="A54" s="19" t="inlineStr">
        <is>
          <t>FY26</t>
        </is>
      </c>
      <c r="B54" s="19" t="inlineStr">
        <is>
          <t>Feb</t>
        </is>
      </c>
      <c r="C54" s="19" t="inlineStr">
        <is>
          <t>AP/TS</t>
        </is>
      </c>
      <c r="D54" s="20" t="inlineStr">
        <is>
          <t>AP31BW7937</t>
        </is>
      </c>
      <c r="E54" s="20" t="inlineStr">
        <is>
          <t>MARUTI SUZUKI</t>
        </is>
      </c>
      <c r="F54" s="20" t="inlineStr">
        <is>
          <t>Wagon R</t>
        </is>
      </c>
      <c r="G54" s="21" t="n">
        <v>2012</v>
      </c>
      <c r="H54" s="22" t="n">
        <v>126346</v>
      </c>
      <c r="I54" s="22" t="n">
        <v>152000</v>
      </c>
      <c r="J54" s="20" t="inlineStr">
        <is>
          <t>Exchange VIZAG</t>
        </is>
      </c>
      <c r="K54" s="20" t="inlineStr">
        <is>
          <t>Captive</t>
        </is>
      </c>
      <c r="L54" s="20" t="inlineStr">
        <is>
          <t>Garaga Venkat Nagababu</t>
        </is>
      </c>
      <c r="M54" s="23" t="n">
        <v>5932.2</v>
      </c>
    </row>
    <row r="55">
      <c r="A55" s="19" t="inlineStr">
        <is>
          <t>FY26</t>
        </is>
      </c>
      <c r="B55" s="19" t="inlineStr">
        <is>
          <t>Feb</t>
        </is>
      </c>
      <c r="C55" s="19" t="inlineStr">
        <is>
          <t>AP/TS</t>
        </is>
      </c>
      <c r="D55" s="20" t="inlineStr">
        <is>
          <t>AP13AB4730</t>
        </is>
      </c>
      <c r="E55" s="20" t="inlineStr">
        <is>
          <t>HONDA</t>
        </is>
      </c>
      <c r="F55" s="20" t="inlineStr">
        <is>
          <t>City</t>
        </is>
      </c>
      <c r="G55" s="21" t="n">
        <v>2011</v>
      </c>
      <c r="H55" s="22" t="n">
        <v>233250</v>
      </c>
      <c r="I55" s="22" t="n">
        <v>107000</v>
      </c>
      <c r="J55" s="20" t="inlineStr">
        <is>
          <t>Exchange HYDERABAD</t>
        </is>
      </c>
      <c r="K55" s="20" t="inlineStr">
        <is>
          <t>Captive</t>
        </is>
      </c>
      <c r="L55" s="20" t="inlineStr">
        <is>
          <t>Uppari Sandeep Kumar</t>
        </is>
      </c>
      <c r="M55" s="23" t="n">
        <v>5932.2</v>
      </c>
    </row>
    <row r="56">
      <c r="A56" s="19" t="inlineStr">
        <is>
          <t>FY26</t>
        </is>
      </c>
      <c r="B56" s="19" t="inlineStr">
        <is>
          <t>Feb</t>
        </is>
      </c>
      <c r="C56" s="19" t="inlineStr">
        <is>
          <t>AP/TS</t>
        </is>
      </c>
      <c r="D56" s="20" t="inlineStr">
        <is>
          <t>AP28BL5612</t>
        </is>
      </c>
      <c r="E56" s="20" t="inlineStr">
        <is>
          <t>HYUNDAI</t>
        </is>
      </c>
      <c r="F56" s="20" t="inlineStr">
        <is>
          <t>Santro</t>
        </is>
      </c>
      <c r="G56" s="21" t="n">
        <v>2009</v>
      </c>
      <c r="H56" s="22" t="n">
        <v>151089</v>
      </c>
      <c r="I56" s="22" t="n">
        <v>77000</v>
      </c>
      <c r="J56" s="20" t="inlineStr">
        <is>
          <t>Abdul Mugees</t>
        </is>
      </c>
      <c r="K56" s="20" t="inlineStr">
        <is>
          <t>Non-Captive</t>
        </is>
      </c>
      <c r="L56" s="20" t="inlineStr">
        <is>
          <t>Uppari Sandeep Kumar</t>
        </is>
      </c>
      <c r="M56" s="23" t="n">
        <v>5932.2</v>
      </c>
    </row>
    <row r="57">
      <c r="A57" s="19" t="inlineStr">
        <is>
          <t>FY26</t>
        </is>
      </c>
      <c r="B57" s="19" t="inlineStr">
        <is>
          <t>Feb</t>
        </is>
      </c>
      <c r="C57" s="19" t="inlineStr">
        <is>
          <t>AP/TS</t>
        </is>
      </c>
      <c r="D57" s="20" t="inlineStr">
        <is>
          <t>AP09CB4116</t>
        </is>
      </c>
      <c r="E57" s="20" t="inlineStr">
        <is>
          <t>VOLKSWAGEN</t>
        </is>
      </c>
      <c r="F57" s="20" t="inlineStr">
        <is>
          <t>Polo</t>
        </is>
      </c>
      <c r="G57" s="21" t="n">
        <v>2010</v>
      </c>
      <c r="H57" s="22" t="n">
        <v>175525</v>
      </c>
      <c r="I57" s="22" t="n">
        <v>86000</v>
      </c>
      <c r="J57" s="20" t="inlineStr">
        <is>
          <t>Abdul Mugees</t>
        </is>
      </c>
      <c r="K57" s="20" t="inlineStr">
        <is>
          <t>Non-Captive</t>
        </is>
      </c>
      <c r="L57" s="20" t="inlineStr">
        <is>
          <t>Uppari Sandeep Kumar</t>
        </is>
      </c>
      <c r="M57" s="23" t="n">
        <v>5084.75</v>
      </c>
    </row>
    <row r="58">
      <c r="A58" s="19" t="inlineStr">
        <is>
          <t>FY26</t>
        </is>
      </c>
      <c r="B58" s="19" t="inlineStr">
        <is>
          <t>Feb</t>
        </is>
      </c>
      <c r="C58" s="19" t="inlineStr">
        <is>
          <t>AP/TS</t>
        </is>
      </c>
      <c r="D58" s="20" t="inlineStr">
        <is>
          <t>AP07BV8570</t>
        </is>
      </c>
      <c r="E58" s="20" t="inlineStr">
        <is>
          <t>NISSAN</t>
        </is>
      </c>
      <c r="F58" s="20" t="inlineStr">
        <is>
          <t>Micra</t>
        </is>
      </c>
      <c r="G58" s="21" t="n">
        <v>2013</v>
      </c>
      <c r="H58" s="22" t="n">
        <v>165111</v>
      </c>
      <c r="I58" s="22" t="n">
        <v>97500</v>
      </c>
      <c r="J58" s="20" t="inlineStr">
        <is>
          <t>Sesetti Manoj Kumar</t>
        </is>
      </c>
      <c r="K58" s="20" t="inlineStr">
        <is>
          <t>Non-Captive</t>
        </is>
      </c>
      <c r="L58" s="20" t="inlineStr">
        <is>
          <t>Suresh Ginjupalli</t>
        </is>
      </c>
      <c r="M58" s="23" t="n">
        <v>6355.93</v>
      </c>
    </row>
    <row r="59">
      <c r="A59" s="19" t="inlineStr">
        <is>
          <t>FY26</t>
        </is>
      </c>
      <c r="B59" s="19" t="inlineStr">
        <is>
          <t>Feb</t>
        </is>
      </c>
      <c r="C59" s="19" t="inlineStr">
        <is>
          <t>AP/TS</t>
        </is>
      </c>
      <c r="D59" s="20" t="inlineStr">
        <is>
          <t>AP16CE5576</t>
        </is>
      </c>
      <c r="E59" s="20" t="inlineStr">
        <is>
          <t>MARUTI SUZUKI</t>
        </is>
      </c>
      <c r="F59" s="20" t="inlineStr">
        <is>
          <t>Wagon R</t>
        </is>
      </c>
      <c r="G59" s="21" t="n">
        <v>2012</v>
      </c>
      <c r="H59" s="22" t="n">
        <v>136412</v>
      </c>
      <c r="I59" s="22" t="n">
        <v>97500</v>
      </c>
      <c r="J59" s="20" t="inlineStr">
        <is>
          <t>Sesetti Manoj Kumar</t>
        </is>
      </c>
      <c r="K59" s="20" t="inlineStr">
        <is>
          <t>Non-Captive</t>
        </is>
      </c>
      <c r="L59" s="20" t="inlineStr">
        <is>
          <t>Lakshmi Tirupatamma Kokkilagadda</t>
        </is>
      </c>
      <c r="M59" s="23" t="n">
        <v>6355.93</v>
      </c>
    </row>
    <row r="60">
      <c r="A60" s="19" t="inlineStr">
        <is>
          <t>FY26</t>
        </is>
      </c>
      <c r="B60" s="19" t="inlineStr">
        <is>
          <t>Feb</t>
        </is>
      </c>
      <c r="C60" s="19" t="inlineStr">
        <is>
          <t>AP/TS</t>
        </is>
      </c>
      <c r="D60" s="20" t="inlineStr">
        <is>
          <t>AP39MY8487</t>
        </is>
      </c>
      <c r="E60" s="20" t="inlineStr">
        <is>
          <t>MARUTI SUZUKI</t>
        </is>
      </c>
      <c r="F60" s="20" t="inlineStr">
        <is>
          <t>Brezza</t>
        </is>
      </c>
      <c r="G60" s="21" t="n">
        <v>2022</v>
      </c>
      <c r="H60" s="22" t="n">
        <v>55726</v>
      </c>
      <c r="I60" s="22" t="n">
        <v>660000</v>
      </c>
      <c r="J60" s="20" t="inlineStr">
        <is>
          <t>Sesetti Manoj Kumar</t>
        </is>
      </c>
      <c r="K60" s="20" t="inlineStr">
        <is>
          <t>Non-Captive</t>
        </is>
      </c>
      <c r="L60" s="20" t="inlineStr">
        <is>
          <t>Suresh Ginjupalli</t>
        </is>
      </c>
      <c r="M60" s="23" t="n">
        <v>8474.58</v>
      </c>
    </row>
    <row r="61">
      <c r="A61" s="19" t="inlineStr">
        <is>
          <t>FY26</t>
        </is>
      </c>
      <c r="B61" s="19" t="inlineStr">
        <is>
          <t>Feb</t>
        </is>
      </c>
      <c r="C61" s="19" t="inlineStr">
        <is>
          <t>AP/TS</t>
        </is>
      </c>
      <c r="D61" s="20" t="inlineStr">
        <is>
          <t>TS07EC3601</t>
        </is>
      </c>
      <c r="E61" s="20" t="inlineStr">
        <is>
          <t>HONDA</t>
        </is>
      </c>
      <c r="F61" s="20" t="inlineStr">
        <is>
          <t>City</t>
        </is>
      </c>
      <c r="G61" s="21" t="n">
        <v>2014</v>
      </c>
      <c r="H61" s="22" t="n">
        <v>190267</v>
      </c>
      <c r="I61" s="22" t="n">
        <v>155000</v>
      </c>
      <c r="J61" s="20" t="inlineStr">
        <is>
          <t>Abdul Mugees</t>
        </is>
      </c>
      <c r="K61" s="20" t="inlineStr">
        <is>
          <t>Non-Captive</t>
        </is>
      </c>
      <c r="L61" s="20" t="inlineStr">
        <is>
          <t>Uppari Sandeep Kumar</t>
        </is>
      </c>
      <c r="M61" s="23" t="n">
        <v>4237.29</v>
      </c>
    </row>
    <row r="62">
      <c r="A62" s="19" t="inlineStr">
        <is>
          <t>FY26</t>
        </is>
      </c>
      <c r="B62" s="19" t="inlineStr">
        <is>
          <t>Feb</t>
        </is>
      </c>
      <c r="C62" s="19" t="inlineStr">
        <is>
          <t>AP/TS</t>
        </is>
      </c>
      <c r="D62" s="20" t="inlineStr">
        <is>
          <t>AP15AG7332</t>
        </is>
      </c>
      <c r="E62" s="20" t="inlineStr">
        <is>
          <t>MARUTI SUZUKI</t>
        </is>
      </c>
      <c r="F62" s="20" t="inlineStr">
        <is>
          <t>Zen Estilo</t>
        </is>
      </c>
      <c r="G62" s="21" t="n">
        <v>2007</v>
      </c>
      <c r="H62" s="22" t="n">
        <v>149898</v>
      </c>
      <c r="I62" s="22" t="n">
        <v>35000</v>
      </c>
      <c r="J62" s="20" t="inlineStr">
        <is>
          <t>Abdul Mugees</t>
        </is>
      </c>
      <c r="K62" s="20" t="inlineStr">
        <is>
          <t>Non-Captive</t>
        </is>
      </c>
      <c r="L62" s="20" t="inlineStr">
        <is>
          <t>Uppari Sandeep Kumar</t>
        </is>
      </c>
      <c r="M62" s="23" t="n">
        <v>4237.29</v>
      </c>
    </row>
    <row r="63">
      <c r="A63" s="19" t="inlineStr">
        <is>
          <t>FY26</t>
        </is>
      </c>
      <c r="B63" s="19" t="inlineStr">
        <is>
          <t>Feb</t>
        </is>
      </c>
      <c r="C63" s="19" t="inlineStr">
        <is>
          <t>AP/TS</t>
        </is>
      </c>
      <c r="D63" s="20" t="inlineStr">
        <is>
          <t>AP07AL0144</t>
        </is>
      </c>
      <c r="E63" s="20" t="inlineStr">
        <is>
          <t>MARUTI SUZUKI</t>
        </is>
      </c>
      <c r="F63" s="20" t="inlineStr">
        <is>
          <t>Swift</t>
        </is>
      </c>
      <c r="G63" s="21" t="n">
        <v>2008</v>
      </c>
      <c r="H63" s="22" t="n">
        <v>196085</v>
      </c>
      <c r="I63" s="22" t="n">
        <v>75000</v>
      </c>
      <c r="J63" s="20" t="inlineStr">
        <is>
          <t>Guthi Ravi Krishna</t>
        </is>
      </c>
      <c r="K63" s="20" t="inlineStr">
        <is>
          <t>Non-Captive</t>
        </is>
      </c>
      <c r="L63" s="20" t="inlineStr">
        <is>
          <t>Vinod Kumar Murari</t>
        </is>
      </c>
      <c r="M63" s="23" t="n">
        <v>4237.29</v>
      </c>
    </row>
    <row r="64">
      <c r="A64" s="19" t="inlineStr">
        <is>
          <t>FY26</t>
        </is>
      </c>
      <c r="B64" s="19" t="inlineStr">
        <is>
          <t>Feb</t>
        </is>
      </c>
      <c r="C64" s="19" t="inlineStr">
        <is>
          <t>AP/TS</t>
        </is>
      </c>
      <c r="D64" s="20" t="inlineStr">
        <is>
          <t>AP16DY5844</t>
        </is>
      </c>
      <c r="E64" s="20" t="inlineStr">
        <is>
          <t>TATA</t>
        </is>
      </c>
      <c r="F64" s="20" t="inlineStr">
        <is>
          <t>Tiago</t>
        </is>
      </c>
      <c r="G64" s="21" t="n">
        <v>2016</v>
      </c>
      <c r="H64" s="22" t="n">
        <v>136011</v>
      </c>
      <c r="I64" s="22" t="n">
        <v>95000</v>
      </c>
      <c r="J64" s="20" t="inlineStr">
        <is>
          <t>Guthi Ravi Krishna</t>
        </is>
      </c>
      <c r="K64" s="20" t="inlineStr">
        <is>
          <t>Non-Captive</t>
        </is>
      </c>
      <c r="L64" s="20" t="inlineStr">
        <is>
          <t>Yarlagadda Sai Phanindra</t>
        </is>
      </c>
      <c r="M64" s="23" t="n">
        <v>4237.29</v>
      </c>
    </row>
    <row r="65">
      <c r="A65" s="19" t="inlineStr">
        <is>
          <t>FY26</t>
        </is>
      </c>
      <c r="B65" s="19" t="inlineStr">
        <is>
          <t>Feb</t>
        </is>
      </c>
      <c r="C65" s="19" t="inlineStr">
        <is>
          <t>AP/TS</t>
        </is>
      </c>
      <c r="D65" s="20" t="inlineStr">
        <is>
          <t>AP16BT5517</t>
        </is>
      </c>
      <c r="E65" s="20" t="inlineStr">
        <is>
          <t>MARUTI SUZUKI</t>
        </is>
      </c>
      <c r="F65" s="20" t="inlineStr">
        <is>
          <t>Wagon R</t>
        </is>
      </c>
      <c r="G65" s="21" t="n">
        <v>2011</v>
      </c>
      <c r="H65" s="22" t="n">
        <v>182121</v>
      </c>
      <c r="I65" s="22" t="n">
        <v>115000</v>
      </c>
      <c r="J65" s="20" t="inlineStr">
        <is>
          <t>T Srinivas</t>
        </is>
      </c>
      <c r="K65" s="20" t="inlineStr">
        <is>
          <t>Non-Captive</t>
        </is>
      </c>
      <c r="L65" s="20" t="inlineStr">
        <is>
          <t>Guthi Ravi Krishna</t>
        </is>
      </c>
      <c r="M65" s="23" t="n">
        <v>4237.29</v>
      </c>
    </row>
    <row r="66">
      <c r="A66" s="19" t="inlineStr">
        <is>
          <t>FY26</t>
        </is>
      </c>
      <c r="B66" s="19" t="inlineStr">
        <is>
          <t>Feb</t>
        </is>
      </c>
      <c r="C66" s="19" t="inlineStr">
        <is>
          <t>AP/TS</t>
        </is>
      </c>
      <c r="D66" s="20" t="inlineStr">
        <is>
          <t>AP16BQ9979</t>
        </is>
      </c>
      <c r="E66" s="20" t="inlineStr">
        <is>
          <t>MARUTI SUZUKI</t>
        </is>
      </c>
      <c r="F66" s="20" t="inlineStr">
        <is>
          <t>Swift</t>
        </is>
      </c>
      <c r="G66" s="21" t="n">
        <v>2010</v>
      </c>
      <c r="H66" s="22" t="n">
        <v>195215</v>
      </c>
      <c r="I66" s="22" t="n">
        <v>110000</v>
      </c>
      <c r="J66" s="20" t="inlineStr">
        <is>
          <t>T Srinivas</t>
        </is>
      </c>
      <c r="K66" s="20" t="inlineStr">
        <is>
          <t>Non-Captive</t>
        </is>
      </c>
      <c r="L66" s="20" t="inlineStr">
        <is>
          <t>Guthi Ravi Krishna</t>
        </is>
      </c>
      <c r="M66" s="23" t="n">
        <v>4237.29</v>
      </c>
    </row>
    <row r="67">
      <c r="A67" s="19" t="inlineStr">
        <is>
          <t>FY26</t>
        </is>
      </c>
      <c r="B67" s="19" t="inlineStr">
        <is>
          <t>Feb</t>
        </is>
      </c>
      <c r="C67" s="19" t="inlineStr">
        <is>
          <t>AP/TS</t>
        </is>
      </c>
      <c r="D67" s="20" t="inlineStr">
        <is>
          <t>AP16BZ2425</t>
        </is>
      </c>
      <c r="E67" s="20" t="inlineStr">
        <is>
          <t>MARUTI SUZUKI</t>
        </is>
      </c>
      <c r="F67" s="20" t="inlineStr">
        <is>
          <t>Ritz</t>
        </is>
      </c>
      <c r="G67" s="21" t="n">
        <v>2011</v>
      </c>
      <c r="H67" s="22" t="n">
        <v>168554</v>
      </c>
      <c r="I67" s="22" t="n">
        <v>125000</v>
      </c>
      <c r="J67" s="20" t="inlineStr">
        <is>
          <t>T Srinivas</t>
        </is>
      </c>
      <c r="K67" s="20" t="inlineStr">
        <is>
          <t>Non-Captive</t>
        </is>
      </c>
      <c r="L67" s="20" t="inlineStr">
        <is>
          <t>Mohammed Gouse Basha</t>
        </is>
      </c>
      <c r="M67" s="23" t="n">
        <v>4237.29</v>
      </c>
    </row>
    <row r="68">
      <c r="A68" s="19" t="inlineStr">
        <is>
          <t>FY26</t>
        </is>
      </c>
      <c r="B68" s="19" t="inlineStr">
        <is>
          <t>Feb</t>
        </is>
      </c>
      <c r="C68" s="19" t="inlineStr">
        <is>
          <t>AP/TS</t>
        </is>
      </c>
      <c r="D68" s="20" t="inlineStr">
        <is>
          <t>AP16BR4142</t>
        </is>
      </c>
      <c r="E68" s="20" t="inlineStr">
        <is>
          <t>MARUTI SUZUKI</t>
        </is>
      </c>
      <c r="F68" s="20" t="inlineStr">
        <is>
          <t>Swift</t>
        </is>
      </c>
      <c r="G68" s="21" t="n">
        <v>2010</v>
      </c>
      <c r="H68" s="22" t="n">
        <v>198585</v>
      </c>
      <c r="I68" s="22" t="n">
        <v>100000</v>
      </c>
      <c r="J68" s="20" t="inlineStr">
        <is>
          <t>T Srinivas</t>
        </is>
      </c>
      <c r="K68" s="20" t="inlineStr">
        <is>
          <t>Non-Captive</t>
        </is>
      </c>
      <c r="L68" s="20" t="inlineStr">
        <is>
          <t>Mohammed Gouse Basha</t>
        </is>
      </c>
      <c r="M68" s="23" t="n">
        <v>4237.29</v>
      </c>
    </row>
    <row r="69">
      <c r="A69" s="19" t="inlineStr">
        <is>
          <t>FY26</t>
        </is>
      </c>
      <c r="B69" s="19" t="inlineStr">
        <is>
          <t>Feb</t>
        </is>
      </c>
      <c r="C69" s="19" t="inlineStr">
        <is>
          <t>AP/TS</t>
        </is>
      </c>
      <c r="D69" s="20" t="inlineStr">
        <is>
          <t>AP09CB9991</t>
        </is>
      </c>
      <c r="E69" s="20" t="inlineStr">
        <is>
          <t>HONDA</t>
        </is>
      </c>
      <c r="F69" s="20" t="inlineStr">
        <is>
          <t>City</t>
        </is>
      </c>
      <c r="G69" s="21" t="n">
        <v>2010</v>
      </c>
      <c r="H69" s="22" t="n">
        <v>111996</v>
      </c>
      <c r="I69" s="22" t="n">
        <v>142000</v>
      </c>
      <c r="J69" s="20" t="inlineStr">
        <is>
          <t>Exchange HYDERABAD</t>
        </is>
      </c>
      <c r="K69" s="20" t="inlineStr">
        <is>
          <t>Captive</t>
        </is>
      </c>
      <c r="L69" s="20" t="inlineStr">
        <is>
          <t>Akash Akuthota</t>
        </is>
      </c>
      <c r="M69" s="23" t="n">
        <v>5932.2</v>
      </c>
    </row>
    <row r="70">
      <c r="A70" s="19" t="inlineStr">
        <is>
          <t>FY26</t>
        </is>
      </c>
      <c r="B70" s="19" t="inlineStr">
        <is>
          <t>Feb</t>
        </is>
      </c>
      <c r="C70" s="19" t="inlineStr">
        <is>
          <t>AP/TS</t>
        </is>
      </c>
      <c r="D70" s="20" t="inlineStr">
        <is>
          <t>AP26AW0070</t>
        </is>
      </c>
      <c r="E70" s="20" t="inlineStr">
        <is>
          <t>RENAULT</t>
        </is>
      </c>
      <c r="F70" s="20" t="inlineStr">
        <is>
          <t>Scala</t>
        </is>
      </c>
      <c r="G70" s="21" t="n">
        <v>2013</v>
      </c>
      <c r="H70" s="22" t="n">
        <v>249087</v>
      </c>
      <c r="I70" s="22" t="n">
        <v>105000</v>
      </c>
      <c r="J70" s="20" t="inlineStr">
        <is>
          <t>Puneet Gupta</t>
        </is>
      </c>
      <c r="K70" s="20" t="inlineStr">
        <is>
          <t>Non-Captive</t>
        </is>
      </c>
      <c r="L70" s="20" t="inlineStr">
        <is>
          <t>Akash Akuthota</t>
        </is>
      </c>
      <c r="M70" s="23" t="n">
        <v>4237.29</v>
      </c>
    </row>
    <row r="71">
      <c r="A71" s="19" t="inlineStr">
        <is>
          <t>FY26</t>
        </is>
      </c>
      <c r="B71" s="19" t="inlineStr">
        <is>
          <t>Feb</t>
        </is>
      </c>
      <c r="C71" s="19" t="inlineStr">
        <is>
          <t>AP/TS</t>
        </is>
      </c>
      <c r="D71" s="20" t="inlineStr">
        <is>
          <t>AP09CR9349</t>
        </is>
      </c>
      <c r="E71" s="20" t="inlineStr">
        <is>
          <t>FORD</t>
        </is>
      </c>
      <c r="F71" s="20" t="inlineStr">
        <is>
          <t>Figo</t>
        </is>
      </c>
      <c r="G71" s="21" t="n">
        <v>2013</v>
      </c>
      <c r="H71" s="22" t="n">
        <v>164588</v>
      </c>
      <c r="I71" s="22" t="n">
        <v>130000</v>
      </c>
      <c r="J71" s="20" t="inlineStr">
        <is>
          <t>Puneet Gupta</t>
        </is>
      </c>
      <c r="K71" s="20" t="inlineStr">
        <is>
          <t>Non-Captive</t>
        </is>
      </c>
      <c r="L71" s="20" t="inlineStr">
        <is>
          <t>Akash Akuthota</t>
        </is>
      </c>
      <c r="M71" s="23" t="n">
        <v>4237.29</v>
      </c>
    </row>
    <row r="72">
      <c r="A72" s="19" t="inlineStr">
        <is>
          <t>FY26</t>
        </is>
      </c>
      <c r="B72" s="19" t="inlineStr">
        <is>
          <t>Feb</t>
        </is>
      </c>
      <c r="C72" s="19" t="inlineStr">
        <is>
          <t>AP/TS</t>
        </is>
      </c>
      <c r="D72" s="20" t="inlineStr">
        <is>
          <t>AP39JR0459</t>
        </is>
      </c>
      <c r="E72" s="20" t="inlineStr">
        <is>
          <t>HYUNDAI</t>
        </is>
      </c>
      <c r="F72" s="20" t="inlineStr">
        <is>
          <t>I20</t>
        </is>
      </c>
      <c r="G72" s="21" t="n">
        <v>2021</v>
      </c>
      <c r="H72" s="22" t="n">
        <v>51140</v>
      </c>
      <c r="I72" s="22" t="n">
        <v>535000</v>
      </c>
      <c r="J72" s="20" t="inlineStr">
        <is>
          <t>Exchange VIJAYAWADA</t>
        </is>
      </c>
      <c r="K72" s="20" t="inlineStr">
        <is>
          <t>Captive</t>
        </is>
      </c>
      <c r="L72" s="20" t="inlineStr">
        <is>
          <t>Suresh Ginjupalli</t>
        </is>
      </c>
      <c r="M72" s="23" t="n">
        <v>12711.86</v>
      </c>
    </row>
    <row r="73">
      <c r="A73" s="19" t="inlineStr">
        <is>
          <t>FY26</t>
        </is>
      </c>
      <c r="B73" s="19" t="inlineStr">
        <is>
          <t>Feb</t>
        </is>
      </c>
      <c r="C73" s="19" t="inlineStr">
        <is>
          <t>AP/TS</t>
        </is>
      </c>
      <c r="D73" s="20" t="inlineStr">
        <is>
          <t>AP16DM1140</t>
        </is>
      </c>
      <c r="E73" s="20" t="inlineStr">
        <is>
          <t>TATA</t>
        </is>
      </c>
      <c r="F73" s="20" t="inlineStr">
        <is>
          <t>Zest</t>
        </is>
      </c>
      <c r="G73" s="21" t="n">
        <v>2016</v>
      </c>
      <c r="H73" s="22" t="n">
        <v>90332</v>
      </c>
      <c r="I73" s="22" t="n">
        <v>260000</v>
      </c>
      <c r="J73" s="20" t="inlineStr">
        <is>
          <t>Exchange VIJAYAWADA</t>
        </is>
      </c>
      <c r="K73" s="20" t="inlineStr">
        <is>
          <t>Captive</t>
        </is>
      </c>
      <c r="L73" s="20" t="inlineStr">
        <is>
          <t>Naga Suresh Polukonda</t>
        </is>
      </c>
      <c r="M73" s="23" t="n">
        <v>8474.58</v>
      </c>
    </row>
    <row r="74">
      <c r="A74" s="19" t="inlineStr">
        <is>
          <t>FY26</t>
        </is>
      </c>
      <c r="B74" s="19" t="inlineStr">
        <is>
          <t>Feb</t>
        </is>
      </c>
      <c r="C74" s="19" t="inlineStr">
        <is>
          <t>AP/TS</t>
        </is>
      </c>
      <c r="D74" s="20" t="inlineStr">
        <is>
          <t>AP16BG9288</t>
        </is>
      </c>
      <c r="E74" s="20" t="inlineStr">
        <is>
          <t>HONDA</t>
        </is>
      </c>
      <c r="F74" s="20" t="inlineStr">
        <is>
          <t>City</t>
        </is>
      </c>
      <c r="G74" s="21" t="n">
        <v>2008</v>
      </c>
      <c r="H74" s="22" t="n">
        <v>195862</v>
      </c>
      <c r="I74" s="22" t="n">
        <v>60000</v>
      </c>
      <c r="J74" s="20" t="inlineStr">
        <is>
          <t>Gopi Nagaraju</t>
        </is>
      </c>
      <c r="K74" s="20" t="inlineStr">
        <is>
          <t>Non-Captive</t>
        </is>
      </c>
      <c r="L74" s="20" t="inlineStr">
        <is>
          <t>D Avinash</t>
        </is>
      </c>
      <c r="M74" s="23" t="n">
        <v>4237.29</v>
      </c>
    </row>
    <row r="75">
      <c r="A75" s="19" t="inlineStr">
        <is>
          <t>FY26</t>
        </is>
      </c>
      <c r="B75" s="19" t="inlineStr">
        <is>
          <t>Feb</t>
        </is>
      </c>
      <c r="C75" s="19" t="inlineStr">
        <is>
          <t>AP/TS</t>
        </is>
      </c>
      <c r="D75" s="20" t="inlineStr">
        <is>
          <t>AP09BU6464</t>
        </is>
      </c>
      <c r="E75" s="20" t="inlineStr">
        <is>
          <t>HYUNDAI</t>
        </is>
      </c>
      <c r="F75" s="20" t="inlineStr">
        <is>
          <t>I10</t>
        </is>
      </c>
      <c r="G75" s="21" t="n">
        <v>2009</v>
      </c>
      <c r="H75" s="22" t="n">
        <v>90908</v>
      </c>
      <c r="I75" s="22" t="n">
        <v>100000</v>
      </c>
      <c r="J75" s="20" t="inlineStr">
        <is>
          <t>Exchange HYDERABAD</t>
        </is>
      </c>
      <c r="K75" s="20" t="inlineStr">
        <is>
          <t>Captive</t>
        </is>
      </c>
      <c r="L75" s="20" t="inlineStr">
        <is>
          <t>Katikala Jathin Sai</t>
        </is>
      </c>
      <c r="M75" s="23" t="n">
        <v>4237.29</v>
      </c>
    </row>
    <row r="76">
      <c r="A76" s="19" t="inlineStr">
        <is>
          <t>FY26</t>
        </is>
      </c>
      <c r="B76" s="19" t="inlineStr">
        <is>
          <t>Feb</t>
        </is>
      </c>
      <c r="C76" s="19" t="inlineStr">
        <is>
          <t>AP/TS</t>
        </is>
      </c>
      <c r="D76" s="20" t="inlineStr">
        <is>
          <t>TS09ES6218</t>
        </is>
      </c>
      <c r="E76" s="20" t="inlineStr">
        <is>
          <t>HONDA</t>
        </is>
      </c>
      <c r="F76" s="20" t="inlineStr">
        <is>
          <t>Amaze</t>
        </is>
      </c>
      <c r="G76" s="21" t="n">
        <v>2017</v>
      </c>
      <c r="H76" s="22" t="n">
        <v>148646</v>
      </c>
      <c r="I76" s="22" t="n">
        <v>295000</v>
      </c>
      <c r="J76" s="20" t="inlineStr">
        <is>
          <t>Exchange HYDERABAD</t>
        </is>
      </c>
      <c r="K76" s="20" t="inlineStr">
        <is>
          <t>Captive</t>
        </is>
      </c>
      <c r="L76" s="20" t="inlineStr">
        <is>
          <t>Abdul Razzaq</t>
        </is>
      </c>
      <c r="M76" s="23" t="n">
        <v>8474.58</v>
      </c>
    </row>
    <row r="77">
      <c r="A77" s="19" t="inlineStr">
        <is>
          <t>FY26</t>
        </is>
      </c>
      <c r="B77" s="19" t="inlineStr">
        <is>
          <t>Feb</t>
        </is>
      </c>
      <c r="C77" s="19" t="inlineStr">
        <is>
          <t>AP/TS</t>
        </is>
      </c>
      <c r="D77" s="20" t="inlineStr">
        <is>
          <t>AP29AL5220</t>
        </is>
      </c>
      <c r="E77" s="20" t="inlineStr">
        <is>
          <t>MARUTI SUZUKI</t>
        </is>
      </c>
      <c r="F77" s="20" t="inlineStr">
        <is>
          <t>Wagon R</t>
        </is>
      </c>
      <c r="G77" s="21" t="n">
        <v>2010</v>
      </c>
      <c r="H77" s="22" t="n">
        <v>186538</v>
      </c>
      <c r="I77" s="22" t="n">
        <v>95000</v>
      </c>
      <c r="J77" s="20" t="inlineStr">
        <is>
          <t>Puneet Gupta</t>
        </is>
      </c>
      <c r="K77" s="20" t="inlineStr">
        <is>
          <t>Non-Captive</t>
        </is>
      </c>
      <c r="L77" s="20" t="inlineStr">
        <is>
          <t>Abdul Razzaq</t>
        </is>
      </c>
      <c r="M77" s="23" t="n">
        <v>4237.29</v>
      </c>
    </row>
    <row r="78">
      <c r="A78" s="19" t="inlineStr">
        <is>
          <t>FY26</t>
        </is>
      </c>
      <c r="B78" s="19" t="inlineStr">
        <is>
          <t>Feb</t>
        </is>
      </c>
      <c r="C78" s="19" t="inlineStr">
        <is>
          <t>AP/TS</t>
        </is>
      </c>
      <c r="D78" s="20" t="inlineStr">
        <is>
          <t>AP29BE3232</t>
        </is>
      </c>
      <c r="E78" s="20" t="inlineStr">
        <is>
          <t>HONDA</t>
        </is>
      </c>
      <c r="F78" s="20" t="inlineStr">
        <is>
          <t>City</t>
        </is>
      </c>
      <c r="G78" s="21" t="n">
        <v>2008</v>
      </c>
      <c r="H78" s="22" t="n">
        <v>180112</v>
      </c>
      <c r="I78" s="22" t="n">
        <v>65000</v>
      </c>
      <c r="J78" s="20" t="inlineStr">
        <is>
          <t>Puneet Gupta</t>
        </is>
      </c>
      <c r="K78" s="20" t="inlineStr">
        <is>
          <t>Non-Captive</t>
        </is>
      </c>
      <c r="L78" s="20" t="inlineStr">
        <is>
          <t>Katikala Jathin Sai</t>
        </is>
      </c>
      <c r="M78" s="23" t="n">
        <v>4237.29</v>
      </c>
    </row>
    <row r="79">
      <c r="A79" s="19" t="inlineStr">
        <is>
          <t>FY26</t>
        </is>
      </c>
      <c r="B79" s="19" t="inlineStr">
        <is>
          <t>Feb</t>
        </is>
      </c>
      <c r="C79" s="19" t="inlineStr">
        <is>
          <t>AP/TS</t>
        </is>
      </c>
      <c r="D79" s="20" t="inlineStr">
        <is>
          <t>AP28K5858</t>
        </is>
      </c>
      <c r="E79" s="20" t="inlineStr">
        <is>
          <t>HONDA</t>
        </is>
      </c>
      <c r="F79" s="20" t="inlineStr">
        <is>
          <t>City</t>
        </is>
      </c>
      <c r="G79" s="21" t="n">
        <v>1998</v>
      </c>
      <c r="H79" s="22" t="n">
        <v>195856</v>
      </c>
      <c r="I79" s="22" t="n">
        <v>45000</v>
      </c>
      <c r="J79" s="20" t="inlineStr">
        <is>
          <t>Puneet Gupta</t>
        </is>
      </c>
      <c r="K79" s="20" t="inlineStr">
        <is>
          <t>Non-Captive</t>
        </is>
      </c>
      <c r="L79" s="20" t="inlineStr">
        <is>
          <t>Uppari Sandeep Kumar</t>
        </is>
      </c>
      <c r="M79" s="23" t="n">
        <v>4237.29</v>
      </c>
    </row>
    <row r="80">
      <c r="A80" s="19" t="inlineStr">
        <is>
          <t>FY26</t>
        </is>
      </c>
      <c r="B80" s="19" t="inlineStr">
        <is>
          <t>Feb</t>
        </is>
      </c>
      <c r="C80" s="19" t="inlineStr">
        <is>
          <t>AP/TS</t>
        </is>
      </c>
      <c r="D80" s="20" t="inlineStr">
        <is>
          <t>AP28DT4590</t>
        </is>
      </c>
      <c r="E80" s="20" t="inlineStr">
        <is>
          <t>MAHINDRA</t>
        </is>
      </c>
      <c r="F80" s="20" t="inlineStr">
        <is>
          <t>Xuv500</t>
        </is>
      </c>
      <c r="G80" s="21" t="n">
        <v>2013</v>
      </c>
      <c r="H80" s="22" t="n">
        <v>169887</v>
      </c>
      <c r="I80" s="22" t="n">
        <v>310000</v>
      </c>
      <c r="J80" s="20" t="inlineStr">
        <is>
          <t>Exchange HYDERABAD</t>
        </is>
      </c>
      <c r="K80" s="20" t="inlineStr">
        <is>
          <t>Captive</t>
        </is>
      </c>
      <c r="L80" s="20" t="inlineStr">
        <is>
          <t>Prabjyoth Singh Wasu</t>
        </is>
      </c>
      <c r="M80" s="23" t="n">
        <v>8474.58</v>
      </c>
    </row>
    <row r="81">
      <c r="A81" s="19" t="inlineStr">
        <is>
          <t>FY26</t>
        </is>
      </c>
      <c r="B81" s="19" t="inlineStr">
        <is>
          <t>Feb</t>
        </is>
      </c>
      <c r="C81" s="19" t="inlineStr">
        <is>
          <t>AP/TS</t>
        </is>
      </c>
      <c r="D81" s="20" t="inlineStr">
        <is>
          <t>TS09EU9099</t>
        </is>
      </c>
      <c r="E81" s="20" t="inlineStr">
        <is>
          <t>VOLKSWAGEN</t>
        </is>
      </c>
      <c r="F81" s="20" t="inlineStr">
        <is>
          <t>Vento</t>
        </is>
      </c>
      <c r="G81" s="21" t="n">
        <v>2016</v>
      </c>
      <c r="H81" s="22" t="n">
        <v>86648</v>
      </c>
      <c r="I81" s="22" t="n">
        <v>390000</v>
      </c>
      <c r="J81" s="20" t="inlineStr">
        <is>
          <t>Exchange HYDERABAD</t>
        </is>
      </c>
      <c r="K81" s="20" t="inlineStr">
        <is>
          <t>Captive</t>
        </is>
      </c>
      <c r="L81" s="20" t="inlineStr">
        <is>
          <t>Prabjyoth Singh Wasu</t>
        </is>
      </c>
      <c r="M81" s="23" t="n">
        <v>8474.58</v>
      </c>
    </row>
    <row r="82">
      <c r="A82" s="19" t="inlineStr">
        <is>
          <t>FY26</t>
        </is>
      </c>
      <c r="B82" s="19" t="inlineStr">
        <is>
          <t>Feb</t>
        </is>
      </c>
      <c r="C82" s="19" t="inlineStr">
        <is>
          <t>AP/TS</t>
        </is>
      </c>
      <c r="D82" s="20" t="inlineStr">
        <is>
          <t>TS03EH4112</t>
        </is>
      </c>
      <c r="E82" s="20" t="inlineStr">
        <is>
          <t>RENAULT</t>
        </is>
      </c>
      <c r="F82" s="20" t="inlineStr">
        <is>
          <t>Kwid</t>
        </is>
      </c>
      <c r="G82" s="21" t="n">
        <v>2016</v>
      </c>
      <c r="H82" s="22" t="n">
        <v>145852</v>
      </c>
      <c r="I82" s="22" t="n">
        <v>130000</v>
      </c>
      <c r="J82" s="20" t="inlineStr">
        <is>
          <t>Bukya Santhosh Naik</t>
        </is>
      </c>
      <c r="K82" s="20" t="inlineStr">
        <is>
          <t>Non-Captive</t>
        </is>
      </c>
      <c r="L82" s="20" t="inlineStr">
        <is>
          <t>Prabjyoth Singh Wasu</t>
        </is>
      </c>
      <c r="M82" s="23" t="n">
        <v>4237.29</v>
      </c>
    </row>
    <row r="83">
      <c r="A83" s="19" t="inlineStr">
        <is>
          <t>FY26</t>
        </is>
      </c>
      <c r="B83" s="19" t="inlineStr">
        <is>
          <t>Feb</t>
        </is>
      </c>
      <c r="C83" s="19" t="inlineStr">
        <is>
          <t>AP/TS</t>
        </is>
      </c>
      <c r="D83" s="20" t="inlineStr">
        <is>
          <t>TS07EV6918</t>
        </is>
      </c>
      <c r="E83" s="20" t="inlineStr">
        <is>
          <t>RENAULT</t>
        </is>
      </c>
      <c r="F83" s="20" t="inlineStr">
        <is>
          <t>Kwid</t>
        </is>
      </c>
      <c r="G83" s="21" t="n">
        <v>2015</v>
      </c>
      <c r="H83" s="22" t="n">
        <v>189650</v>
      </c>
      <c r="I83" s="22" t="n">
        <v>110000</v>
      </c>
      <c r="J83" s="20" t="inlineStr">
        <is>
          <t>Bukya Santhosh Naik</t>
        </is>
      </c>
      <c r="K83" s="20" t="inlineStr">
        <is>
          <t>Non-Captive</t>
        </is>
      </c>
      <c r="L83" s="20" t="inlineStr">
        <is>
          <t>Prabjyoth Singh Wasu</t>
        </is>
      </c>
      <c r="M83" s="23" t="n">
        <v>4237.29</v>
      </c>
    </row>
    <row r="84">
      <c r="A84" s="19" t="inlineStr">
        <is>
          <t>FY26</t>
        </is>
      </c>
      <c r="B84" s="19" t="inlineStr">
        <is>
          <t>Feb</t>
        </is>
      </c>
      <c r="C84" s="19" t="inlineStr">
        <is>
          <t>AP/TS</t>
        </is>
      </c>
      <c r="D84" s="20" t="inlineStr">
        <is>
          <t>TS36E5258</t>
        </is>
      </c>
      <c r="E84" s="20" t="inlineStr">
        <is>
          <t>RENAULT</t>
        </is>
      </c>
      <c r="F84" s="20" t="inlineStr">
        <is>
          <t>Kwid</t>
        </is>
      </c>
      <c r="G84" s="21" t="n">
        <v>2019</v>
      </c>
      <c r="H84" s="22" t="n">
        <v>161247</v>
      </c>
      <c r="I84" s="22" t="n">
        <v>170000</v>
      </c>
      <c r="J84" s="20" t="inlineStr">
        <is>
          <t>Bukya Santhosh Naik</t>
        </is>
      </c>
      <c r="K84" s="20" t="inlineStr">
        <is>
          <t>Non-Captive</t>
        </is>
      </c>
      <c r="L84" s="20" t="inlineStr">
        <is>
          <t>Prabjyoth Singh Wasu</t>
        </is>
      </c>
      <c r="M84" s="23" t="n">
        <v>4237.29</v>
      </c>
    </row>
    <row r="85">
      <c r="A85" s="19" t="inlineStr">
        <is>
          <t>FY26</t>
        </is>
      </c>
      <c r="B85" s="19" t="inlineStr">
        <is>
          <t>Feb</t>
        </is>
      </c>
      <c r="C85" s="19" t="inlineStr">
        <is>
          <t>AP/TS</t>
        </is>
      </c>
      <c r="D85" s="20" t="inlineStr">
        <is>
          <t>AP39BR4057</t>
        </is>
      </c>
      <c r="E85" s="20" t="inlineStr">
        <is>
          <t>HYUNDAI</t>
        </is>
      </c>
      <c r="F85" s="20" t="inlineStr">
        <is>
          <t>Eon</t>
        </is>
      </c>
      <c r="G85" s="21" t="n">
        <v>2018</v>
      </c>
      <c r="H85" s="22" t="n">
        <v>128001</v>
      </c>
      <c r="I85" s="22" t="n">
        <v>150000</v>
      </c>
      <c r="J85" s="20" t="inlineStr">
        <is>
          <t>Guthi Ravi Krishna</t>
        </is>
      </c>
      <c r="K85" s="20" t="inlineStr">
        <is>
          <t>Non-Captive</t>
        </is>
      </c>
      <c r="L85" s="20" t="inlineStr">
        <is>
          <t>Vinod Kumar Murari</t>
        </is>
      </c>
      <c r="M85" s="23" t="n">
        <v>4237.29</v>
      </c>
    </row>
    <row r="86">
      <c r="A86" s="19" t="inlineStr">
        <is>
          <t>FY26</t>
        </is>
      </c>
      <c r="B86" s="19" t="inlineStr">
        <is>
          <t>Feb</t>
        </is>
      </c>
      <c r="C86" s="19" t="inlineStr">
        <is>
          <t>AP/TS</t>
        </is>
      </c>
      <c r="D86" s="20" t="inlineStr">
        <is>
          <t>AP26BE4126</t>
        </is>
      </c>
      <c r="E86" s="20" t="inlineStr">
        <is>
          <t>HYUNDAI</t>
        </is>
      </c>
      <c r="F86" s="20" t="inlineStr">
        <is>
          <t>I10</t>
        </is>
      </c>
      <c r="G86" s="21" t="n">
        <v>2015</v>
      </c>
      <c r="H86" s="22" t="n">
        <v>251225</v>
      </c>
      <c r="I86" s="22" t="n">
        <v>150000</v>
      </c>
      <c r="J86" s="20" t="inlineStr">
        <is>
          <t>Guthi Ravi Krishna</t>
        </is>
      </c>
      <c r="K86" s="20" t="inlineStr">
        <is>
          <t>Non-Captive</t>
        </is>
      </c>
      <c r="L86" s="20" t="inlineStr">
        <is>
          <t>Gopi Naga Raju</t>
        </is>
      </c>
      <c r="M86" s="23" t="n">
        <v>4237.29</v>
      </c>
    </row>
    <row r="87">
      <c r="A87" s="19" t="inlineStr">
        <is>
          <t>FY26</t>
        </is>
      </c>
      <c r="B87" s="19" t="inlineStr">
        <is>
          <t>Feb</t>
        </is>
      </c>
      <c r="C87" s="19" t="inlineStr">
        <is>
          <t>AP/TS</t>
        </is>
      </c>
      <c r="D87" s="20" t="inlineStr">
        <is>
          <t>AP31CM0270</t>
        </is>
      </c>
      <c r="E87" s="20" t="inlineStr">
        <is>
          <t>HONDA</t>
        </is>
      </c>
      <c r="F87" s="20" t="inlineStr">
        <is>
          <t>Amaze</t>
        </is>
      </c>
      <c r="G87" s="21" t="n">
        <v>2013</v>
      </c>
      <c r="H87" s="22" t="n">
        <v>61072</v>
      </c>
      <c r="I87" s="22" t="n">
        <v>160000</v>
      </c>
      <c r="J87" s="20" t="inlineStr">
        <is>
          <t>Exchange VIZAG</t>
        </is>
      </c>
      <c r="K87" s="20" t="inlineStr">
        <is>
          <t>Captive</t>
        </is>
      </c>
      <c r="L87" s="20" t="inlineStr">
        <is>
          <t>Gadi Sri Bharathi</t>
        </is>
      </c>
      <c r="M87" s="23" t="n">
        <v>6779.66</v>
      </c>
    </row>
    <row r="88">
      <c r="A88" s="19" t="inlineStr">
        <is>
          <t>FY26</t>
        </is>
      </c>
      <c r="B88" s="19" t="inlineStr">
        <is>
          <t>Feb</t>
        </is>
      </c>
      <c r="C88" s="19" t="inlineStr">
        <is>
          <t>AP/TS</t>
        </is>
      </c>
      <c r="D88" s="20" t="inlineStr">
        <is>
          <t>AP31BY6080</t>
        </is>
      </c>
      <c r="E88" s="20" t="inlineStr">
        <is>
          <t>TATA</t>
        </is>
      </c>
      <c r="F88" s="20" t="inlineStr">
        <is>
          <t>Nano</t>
        </is>
      </c>
      <c r="G88" s="21" t="n">
        <v>2011</v>
      </c>
      <c r="H88" s="22" t="n">
        <v>153152</v>
      </c>
      <c r="I88" s="22" t="n">
        <v>35000</v>
      </c>
      <c r="J88" s="20" t="inlineStr">
        <is>
          <t>Tiyyagura Venkata Reddy</t>
        </is>
      </c>
      <c r="K88" s="20" t="inlineStr">
        <is>
          <t>Non-Captive</t>
        </is>
      </c>
      <c r="L88" s="20" t="inlineStr">
        <is>
          <t>Gadi Sri Bharathi</t>
        </is>
      </c>
      <c r="M88" s="23" t="n">
        <v>4237.29</v>
      </c>
    </row>
    <row r="89">
      <c r="A89" s="19" t="inlineStr">
        <is>
          <t>FY26</t>
        </is>
      </c>
      <c r="B89" s="19" t="inlineStr">
        <is>
          <t>Feb</t>
        </is>
      </c>
      <c r="C89" s="19" t="inlineStr">
        <is>
          <t>AP/TS</t>
        </is>
      </c>
      <c r="D89" s="20" t="inlineStr">
        <is>
          <t>TS10EG5429</t>
        </is>
      </c>
      <c r="E89" s="20" t="inlineStr">
        <is>
          <t>HONDA</t>
        </is>
      </c>
      <c r="F89" s="20" t="inlineStr">
        <is>
          <t>Amaze</t>
        </is>
      </c>
      <c r="G89" s="21" t="n">
        <v>2016</v>
      </c>
      <c r="H89" s="22" t="n">
        <v>115617</v>
      </c>
      <c r="I89" s="22" t="n">
        <v>255000</v>
      </c>
      <c r="J89" s="20" t="inlineStr">
        <is>
          <t>Exchange HYDERABAD</t>
        </is>
      </c>
      <c r="K89" s="20" t="inlineStr">
        <is>
          <t>Captive</t>
        </is>
      </c>
      <c r="L89" s="20" t="inlineStr">
        <is>
          <t>Gorenka Vinay Shravan</t>
        </is>
      </c>
      <c r="M89" s="23" t="n">
        <v>8474.58</v>
      </c>
    </row>
    <row r="90">
      <c r="A90" s="19" t="inlineStr">
        <is>
          <t>FY26</t>
        </is>
      </c>
      <c r="B90" s="19" t="inlineStr">
        <is>
          <t>Feb</t>
        </is>
      </c>
      <c r="C90" s="19" t="inlineStr">
        <is>
          <t>AP/TS</t>
        </is>
      </c>
      <c r="D90" s="20" t="inlineStr">
        <is>
          <t>AP10AU4393</t>
        </is>
      </c>
      <c r="E90" s="20" t="inlineStr">
        <is>
          <t>MARUTI SUZUKI</t>
        </is>
      </c>
      <c r="F90" s="20" t="inlineStr">
        <is>
          <t>Wagon R</t>
        </is>
      </c>
      <c r="G90" s="21" t="n">
        <v>2010</v>
      </c>
      <c r="H90" s="22" t="n">
        <v>115580</v>
      </c>
      <c r="I90" s="22" t="n">
        <v>120000</v>
      </c>
      <c r="J90" s="20" t="inlineStr">
        <is>
          <t>Bukya Santhosh Naik</t>
        </is>
      </c>
      <c r="K90" s="20" t="inlineStr">
        <is>
          <t>Non-Captive</t>
        </is>
      </c>
      <c r="L90" s="20" t="inlineStr">
        <is>
          <t>Gorenka Vinay Shravan</t>
        </is>
      </c>
      <c r="M90" s="23" t="n">
        <v>4237.29</v>
      </c>
    </row>
    <row r="91">
      <c r="A91" s="19" t="inlineStr">
        <is>
          <t>FY26</t>
        </is>
      </c>
      <c r="B91" s="19" t="inlineStr">
        <is>
          <t>Feb</t>
        </is>
      </c>
      <c r="C91" s="19" t="inlineStr">
        <is>
          <t>AP/TS</t>
        </is>
      </c>
      <c r="D91" s="20" t="inlineStr">
        <is>
          <t>AP11AP4627</t>
        </is>
      </c>
      <c r="E91" s="20" t="inlineStr">
        <is>
          <t>HONDA</t>
        </is>
      </c>
      <c r="F91" s="20" t="inlineStr">
        <is>
          <t>City</t>
        </is>
      </c>
      <c r="G91" s="21" t="n">
        <v>2012</v>
      </c>
      <c r="H91" s="22" t="n">
        <v>110251</v>
      </c>
      <c r="I91" s="22" t="n">
        <v>200000</v>
      </c>
      <c r="J91" s="20" t="inlineStr">
        <is>
          <t>Exchange HYDERABAD</t>
        </is>
      </c>
      <c r="K91" s="20" t="inlineStr">
        <is>
          <t>Captive</t>
        </is>
      </c>
      <c r="L91" s="20" t="inlineStr">
        <is>
          <t>Puneet Gupta</t>
        </is>
      </c>
      <c r="M91" s="23" t="n">
        <v>8474.58</v>
      </c>
    </row>
    <row r="92">
      <c r="A92" s="19" t="inlineStr">
        <is>
          <t>FY26</t>
        </is>
      </c>
      <c r="B92" s="19" t="inlineStr">
        <is>
          <t>Feb</t>
        </is>
      </c>
      <c r="C92" s="19" t="inlineStr">
        <is>
          <t>AP/TS</t>
        </is>
      </c>
      <c r="D92" s="20" t="inlineStr">
        <is>
          <t>TS07EU3566</t>
        </is>
      </c>
      <c r="E92" s="20" t="inlineStr">
        <is>
          <t>MARUTI SUZUKI</t>
        </is>
      </c>
      <c r="F92" s="20" t="inlineStr">
        <is>
          <t>Alto</t>
        </is>
      </c>
      <c r="G92" s="21" t="n">
        <v>2015</v>
      </c>
      <c r="H92" s="22" t="n">
        <v>162521</v>
      </c>
      <c r="I92" s="22" t="n">
        <v>125000</v>
      </c>
      <c r="J92" s="20" t="inlineStr">
        <is>
          <t>Pudari Babu</t>
        </is>
      </c>
      <c r="K92" s="20" t="inlineStr">
        <is>
          <t>Non-Captive</t>
        </is>
      </c>
      <c r="L92" s="20" t="inlineStr">
        <is>
          <t>Puneet Gupta</t>
        </is>
      </c>
      <c r="M92" s="23" t="n">
        <v>4237.29</v>
      </c>
    </row>
    <row r="93">
      <c r="A93" s="19" t="inlineStr">
        <is>
          <t>FY26</t>
        </is>
      </c>
      <c r="B93" s="19" t="inlineStr">
        <is>
          <t>Feb</t>
        </is>
      </c>
      <c r="C93" s="19" t="inlineStr">
        <is>
          <t>AP/TS</t>
        </is>
      </c>
      <c r="D93" s="20" t="inlineStr">
        <is>
          <t>TS08EL1213</t>
        </is>
      </c>
      <c r="E93" s="20" t="inlineStr">
        <is>
          <t>MARUTI SUZUKI</t>
        </is>
      </c>
      <c r="F93" s="20" t="inlineStr">
        <is>
          <t>Alto</t>
        </is>
      </c>
      <c r="G93" s="21" t="n">
        <v>2015</v>
      </c>
      <c r="H93" s="22" t="n">
        <v>175212</v>
      </c>
      <c r="I93" s="22" t="n">
        <v>110000</v>
      </c>
      <c r="J93" s="20" t="inlineStr">
        <is>
          <t>Pudari Babu</t>
        </is>
      </c>
      <c r="K93" s="20" t="inlineStr">
        <is>
          <t>Non-Captive</t>
        </is>
      </c>
      <c r="L93" s="20" t="inlineStr">
        <is>
          <t>Puneet Gupta</t>
        </is>
      </c>
      <c r="M93" s="23" t="n">
        <v>4237.29</v>
      </c>
    </row>
    <row r="94">
      <c r="A94" s="19" t="inlineStr">
        <is>
          <t>FY26</t>
        </is>
      </c>
      <c r="B94" s="19" t="inlineStr">
        <is>
          <t>Feb</t>
        </is>
      </c>
      <c r="C94" s="19" t="inlineStr">
        <is>
          <t>AP/TS</t>
        </is>
      </c>
      <c r="D94" s="20" t="inlineStr">
        <is>
          <t>AP26BZ2007</t>
        </is>
      </c>
      <c r="E94" s="20" t="inlineStr">
        <is>
          <t>HONDA</t>
        </is>
      </c>
      <c r="F94" s="20" t="inlineStr">
        <is>
          <t>City</t>
        </is>
      </c>
      <c r="G94" s="21" t="n">
        <v>2017</v>
      </c>
      <c r="H94" s="22" t="n">
        <v>88012</v>
      </c>
      <c r="I94" s="22" t="n">
        <v>426500</v>
      </c>
      <c r="J94" s="20" t="inlineStr">
        <is>
          <t>Exchange VIJAYAWADA</t>
        </is>
      </c>
      <c r="K94" s="20" t="inlineStr">
        <is>
          <t>Captive</t>
        </is>
      </c>
      <c r="L94" s="20" t="inlineStr">
        <is>
          <t>Mohammed Gouse Basha</t>
        </is>
      </c>
      <c r="M94" s="23" t="n">
        <v>5508.47</v>
      </c>
    </row>
    <row r="95">
      <c r="A95" s="19" t="inlineStr">
        <is>
          <t>FY26</t>
        </is>
      </c>
      <c r="B95" s="19" t="inlineStr">
        <is>
          <t>Feb</t>
        </is>
      </c>
      <c r="C95" s="19" t="inlineStr">
        <is>
          <t>AP/TS</t>
        </is>
      </c>
      <c r="D95" s="20" t="inlineStr">
        <is>
          <t>AP16CE9118</t>
        </is>
      </c>
      <c r="E95" s="20" t="inlineStr">
        <is>
          <t>MARUTI SUZUKI</t>
        </is>
      </c>
      <c r="F95" s="20" t="inlineStr">
        <is>
          <t>Swift Dzire</t>
        </is>
      </c>
      <c r="G95" s="21" t="n">
        <v>2012</v>
      </c>
      <c r="H95" s="22" t="n">
        <v>172552</v>
      </c>
      <c r="I95" s="22" t="n">
        <v>193000</v>
      </c>
      <c r="J95" s="20" t="inlineStr">
        <is>
          <t>Exchange VIZAG</t>
        </is>
      </c>
      <c r="K95" s="20" t="inlineStr">
        <is>
          <t>Captive</t>
        </is>
      </c>
      <c r="L95" s="20" t="inlineStr">
        <is>
          <t>Gadi Sri Bharathi</t>
        </is>
      </c>
      <c r="M95" s="23" t="n">
        <v>6779.66</v>
      </c>
    </row>
    <row r="96">
      <c r="A96" s="19" t="inlineStr">
        <is>
          <t>FY26</t>
        </is>
      </c>
      <c r="B96" s="19" t="inlineStr">
        <is>
          <t>Feb</t>
        </is>
      </c>
      <c r="C96" s="19" t="inlineStr">
        <is>
          <t>AP/TS</t>
        </is>
      </c>
      <c r="D96" s="20" t="inlineStr">
        <is>
          <t>AP28CA6336</t>
        </is>
      </c>
      <c r="E96" s="20" t="inlineStr">
        <is>
          <t>HYUNDAI</t>
        </is>
      </c>
      <c r="F96" s="20" t="inlineStr">
        <is>
          <t>Getz Prime</t>
        </is>
      </c>
      <c r="G96" s="21" t="n">
        <v>2008</v>
      </c>
      <c r="H96" s="22" t="n">
        <v>185899</v>
      </c>
      <c r="I96" s="22" t="n">
        <v>35000</v>
      </c>
      <c r="J96" s="20" t="inlineStr">
        <is>
          <t>Tiyyagura Venkata Reddy</t>
        </is>
      </c>
      <c r="K96" s="20" t="inlineStr">
        <is>
          <t>Non-Captive</t>
        </is>
      </c>
      <c r="L96" s="20" t="inlineStr">
        <is>
          <t>Gadi Sri Bharathi</t>
        </is>
      </c>
      <c r="M96" s="23" t="n">
        <v>4237.29</v>
      </c>
    </row>
    <row r="97">
      <c r="A97" s="19" t="inlineStr">
        <is>
          <t>FY26</t>
        </is>
      </c>
      <c r="B97" s="19" t="inlineStr">
        <is>
          <t>Mar</t>
        </is>
      </c>
      <c r="C97" s="19" t="inlineStr">
        <is>
          <t>AP/TS</t>
        </is>
      </c>
      <c r="D97" s="20" t="inlineStr">
        <is>
          <t>AP16FC7259</t>
        </is>
      </c>
      <c r="E97" s="20" t="inlineStr">
        <is>
          <t>HONDA</t>
        </is>
      </c>
      <c r="F97" s="20" t="inlineStr">
        <is>
          <t>Wr-V</t>
        </is>
      </c>
      <c r="G97" s="21" t="n">
        <v>2018</v>
      </c>
      <c r="H97" s="22" t="n">
        <v>89824</v>
      </c>
      <c r="I97" s="22" t="n">
        <v>495900</v>
      </c>
      <c r="J97" s="20" t="inlineStr">
        <is>
          <t>Exchange VIJAYAWADA</t>
        </is>
      </c>
      <c r="K97" s="20" t="inlineStr">
        <is>
          <t>Captive</t>
        </is>
      </c>
      <c r="L97" s="20" t="inlineStr">
        <is>
          <t>Mohammed Gouse Basha</t>
        </is>
      </c>
      <c r="M97" s="23" t="n">
        <v>5000</v>
      </c>
    </row>
    <row r="98">
      <c r="A98" s="19" t="inlineStr">
        <is>
          <t>FY26</t>
        </is>
      </c>
      <c r="B98" s="19" t="inlineStr">
        <is>
          <t>Mar</t>
        </is>
      </c>
      <c r="C98" s="19" t="inlineStr">
        <is>
          <t>AP/TS</t>
        </is>
      </c>
      <c r="D98" s="20" t="inlineStr">
        <is>
          <t>AP05BN2223</t>
        </is>
      </c>
      <c r="E98" s="20" t="inlineStr">
        <is>
          <t>HYUNDAI</t>
        </is>
      </c>
      <c r="F98" s="20" t="inlineStr">
        <is>
          <t>I20</t>
        </is>
      </c>
      <c r="G98" s="21" t="n">
        <v>2009</v>
      </c>
      <c r="H98" s="22" t="n">
        <v>231658</v>
      </c>
      <c r="I98" s="22" t="n">
        <v>96000</v>
      </c>
      <c r="J98" s="20" t="inlineStr">
        <is>
          <t>T Srinivas</t>
        </is>
      </c>
      <c r="K98" s="20" t="inlineStr">
        <is>
          <t>Non-Captive</t>
        </is>
      </c>
      <c r="L98" s="20" t="inlineStr">
        <is>
          <t>Mohammed Gouse Basha</t>
        </is>
      </c>
      <c r="M98" s="23" t="n">
        <v>5084.75</v>
      </c>
    </row>
    <row r="99">
      <c r="A99" s="19" t="inlineStr">
        <is>
          <t>FY26</t>
        </is>
      </c>
      <c r="B99" s="19" t="inlineStr">
        <is>
          <t>Mar</t>
        </is>
      </c>
      <c r="C99" s="19" t="inlineStr">
        <is>
          <t>AP/TS</t>
        </is>
      </c>
      <c r="D99" s="20" t="inlineStr">
        <is>
          <t>AP37AY5679</t>
        </is>
      </c>
      <c r="E99" s="20" t="inlineStr">
        <is>
          <t>HYUNDAI</t>
        </is>
      </c>
      <c r="F99" s="20" t="inlineStr">
        <is>
          <t>I10</t>
        </is>
      </c>
      <c r="G99" s="21" t="n">
        <v>2010</v>
      </c>
      <c r="H99" s="22" t="n">
        <v>156679</v>
      </c>
      <c r="I99" s="22" t="n">
        <v>96000</v>
      </c>
      <c r="J99" s="20" t="inlineStr">
        <is>
          <t>T Srinivas</t>
        </is>
      </c>
      <c r="K99" s="20" t="inlineStr">
        <is>
          <t>Non-Captive</t>
        </is>
      </c>
      <c r="L99" s="20" t="inlineStr">
        <is>
          <t>Mohammed Gouse Basha</t>
        </is>
      </c>
      <c r="M99" s="23" t="n">
        <v>5084.75</v>
      </c>
    </row>
    <row r="100">
      <c r="A100" s="19" t="inlineStr">
        <is>
          <t>FY26</t>
        </is>
      </c>
      <c r="B100" s="19" t="inlineStr">
        <is>
          <t>Mar</t>
        </is>
      </c>
      <c r="C100" s="19" t="inlineStr">
        <is>
          <t>AP/TS</t>
        </is>
      </c>
      <c r="D100" s="20" t="inlineStr">
        <is>
          <t>AP36AW4479</t>
        </is>
      </c>
      <c r="E100" s="20" t="inlineStr">
        <is>
          <t>HONDA</t>
        </is>
      </c>
      <c r="F100" s="20" t="inlineStr">
        <is>
          <t>Amaze</t>
        </is>
      </c>
      <c r="G100" s="21" t="n">
        <v>2013</v>
      </c>
      <c r="H100" s="22" t="n">
        <v>254376</v>
      </c>
      <c r="I100" s="22" t="n">
        <v>106000</v>
      </c>
      <c r="J100" s="20" t="inlineStr">
        <is>
          <t>T Srinivas</t>
        </is>
      </c>
      <c r="K100" s="20" t="inlineStr">
        <is>
          <t>Non-Captive</t>
        </is>
      </c>
      <c r="L100" s="20" t="inlineStr">
        <is>
          <t>Mohammed Gouse Basha</t>
        </is>
      </c>
      <c r="M100" s="23" t="n">
        <v>5084.75</v>
      </c>
    </row>
    <row r="101">
      <c r="A101" s="19" t="inlineStr">
        <is>
          <t>FY26</t>
        </is>
      </c>
      <c r="B101" s="19" t="inlineStr">
        <is>
          <t>Mar</t>
        </is>
      </c>
      <c r="C101" s="19" t="inlineStr">
        <is>
          <t>AP/TS</t>
        </is>
      </c>
      <c r="D101" s="20" t="inlineStr">
        <is>
          <t>AP16EF3766</t>
        </is>
      </c>
      <c r="E101" s="20" t="inlineStr">
        <is>
          <t>HONDA</t>
        </is>
      </c>
      <c r="F101" s="20" t="inlineStr">
        <is>
          <t>Brio</t>
        </is>
      </c>
      <c r="G101" s="21" t="n">
        <v>2017</v>
      </c>
      <c r="H101" s="22" t="n">
        <v>166661</v>
      </c>
      <c r="I101" s="22" t="n">
        <v>126000</v>
      </c>
      <c r="J101" s="20" t="inlineStr">
        <is>
          <t>T Srinivas</t>
        </is>
      </c>
      <c r="K101" s="20" t="inlineStr">
        <is>
          <t>Non-Captive</t>
        </is>
      </c>
      <c r="L101" s="20" t="inlineStr">
        <is>
          <t>Mohammed Gouse Basha</t>
        </is>
      </c>
      <c r="M101" s="23" t="n">
        <v>5084.75</v>
      </c>
    </row>
    <row r="102">
      <c r="A102" s="19" t="inlineStr">
        <is>
          <t>FY26</t>
        </is>
      </c>
      <c r="B102" s="19" t="inlineStr">
        <is>
          <t>Mar</t>
        </is>
      </c>
      <c r="C102" s="19" t="inlineStr">
        <is>
          <t>AP/TS</t>
        </is>
      </c>
      <c r="D102" s="20" t="inlineStr">
        <is>
          <t>AP07AD5005</t>
        </is>
      </c>
      <c r="E102" s="20" t="inlineStr">
        <is>
          <t>HONDA</t>
        </is>
      </c>
      <c r="F102" s="20" t="inlineStr">
        <is>
          <t>City</t>
        </is>
      </c>
      <c r="G102" s="21" t="n">
        <v>2006</v>
      </c>
      <c r="H102" s="22" t="n">
        <v>196908</v>
      </c>
      <c r="I102" s="22" t="n">
        <v>110000</v>
      </c>
      <c r="J102" s="20" t="inlineStr">
        <is>
          <t>Exchange VIJAYAWADA</t>
        </is>
      </c>
      <c r="K102" s="20" t="inlineStr">
        <is>
          <t>Captive</t>
        </is>
      </c>
      <c r="L102" s="20" t="inlineStr">
        <is>
          <t>Suresh Ginjupalli</t>
        </is>
      </c>
      <c r="M102" s="23" t="n">
        <v>8474.58</v>
      </c>
    </row>
    <row r="103">
      <c r="A103" s="19" t="inlineStr">
        <is>
          <t>FY26</t>
        </is>
      </c>
      <c r="B103" s="19" t="inlineStr">
        <is>
          <t>Mar</t>
        </is>
      </c>
      <c r="C103" s="19" t="inlineStr">
        <is>
          <t>AP/TS</t>
        </is>
      </c>
      <c r="D103" s="20" t="inlineStr">
        <is>
          <t>AP16CF1270</t>
        </is>
      </c>
      <c r="E103" s="20" t="inlineStr">
        <is>
          <t>SKODA</t>
        </is>
      </c>
      <c r="F103" s="20" t="inlineStr">
        <is>
          <t>Fiesta</t>
        </is>
      </c>
      <c r="G103" s="21" t="n">
        <v>2012</v>
      </c>
      <c r="H103" s="22" t="n">
        <v>188710</v>
      </c>
      <c r="I103" s="22" t="n">
        <v>90000</v>
      </c>
      <c r="J103" s="20" t="inlineStr">
        <is>
          <t>Gopi Nagaraju</t>
        </is>
      </c>
      <c r="K103" s="20" t="inlineStr">
        <is>
          <t>Non-Captive</t>
        </is>
      </c>
      <c r="L103" s="20" t="inlineStr">
        <is>
          <t>Devarapalli Avinash</t>
        </is>
      </c>
      <c r="M103" s="23" t="n">
        <v>5932.2</v>
      </c>
    </row>
    <row r="104">
      <c r="A104" s="19" t="inlineStr">
        <is>
          <t>FY26</t>
        </is>
      </c>
      <c r="B104" s="19" t="inlineStr">
        <is>
          <t>Mar</t>
        </is>
      </c>
      <c r="C104" s="19" t="inlineStr">
        <is>
          <t>AP/TS</t>
        </is>
      </c>
      <c r="D104" s="20" t="inlineStr">
        <is>
          <t>AP37BJ0289</t>
        </is>
      </c>
      <c r="E104" s="20" t="inlineStr">
        <is>
          <t>TOYOTA</t>
        </is>
      </c>
      <c r="F104" s="20" t="inlineStr">
        <is>
          <t>Etios</t>
        </is>
      </c>
      <c r="G104" s="21" t="n">
        <v>2011</v>
      </c>
      <c r="H104" s="22" t="n">
        <v>172519</v>
      </c>
      <c r="I104" s="22" t="n">
        <v>80000</v>
      </c>
      <c r="J104" s="20" t="inlineStr">
        <is>
          <t>Gopi Nagaraju</t>
        </is>
      </c>
      <c r="K104" s="20" t="inlineStr">
        <is>
          <t>Non-Captive</t>
        </is>
      </c>
      <c r="L104" s="20" t="inlineStr">
        <is>
          <t>Naga Suresh Polukonda</t>
        </is>
      </c>
      <c r="M104" s="23" t="n">
        <v>5084.75</v>
      </c>
    </row>
    <row r="105">
      <c r="A105" s="19" t="inlineStr">
        <is>
          <t>FY26</t>
        </is>
      </c>
      <c r="B105" s="19" t="inlineStr">
        <is>
          <t>Mar</t>
        </is>
      </c>
      <c r="C105" s="19" t="inlineStr">
        <is>
          <t>AP/TS</t>
        </is>
      </c>
      <c r="D105" s="20" t="inlineStr">
        <is>
          <t>AP16BS8730</t>
        </is>
      </c>
      <c r="E105" s="20" t="inlineStr">
        <is>
          <t>HYUNDAI</t>
        </is>
      </c>
      <c r="F105" s="20" t="inlineStr">
        <is>
          <t>I20</t>
        </is>
      </c>
      <c r="G105" s="21" t="n">
        <v>2010</v>
      </c>
      <c r="H105" s="22" t="n">
        <v>128322</v>
      </c>
      <c r="I105" s="22" t="n">
        <v>95000</v>
      </c>
      <c r="J105" s="20" t="inlineStr">
        <is>
          <t>Naga Suresh Polukonda</t>
        </is>
      </c>
      <c r="K105" s="20" t="inlineStr">
        <is>
          <t>Non-Captive</t>
        </is>
      </c>
      <c r="L105" s="20" t="inlineStr">
        <is>
          <t>Gopi Naga Raju</t>
        </is>
      </c>
      <c r="M105" s="23" t="n">
        <v>4237.29</v>
      </c>
    </row>
    <row r="106">
      <c r="A106" s="19" t="inlineStr">
        <is>
          <t>FY26</t>
        </is>
      </c>
      <c r="B106" s="19" t="inlineStr">
        <is>
          <t>Mar</t>
        </is>
      </c>
      <c r="C106" s="19" t="inlineStr">
        <is>
          <t>AP/TS</t>
        </is>
      </c>
      <c r="D106" s="20" t="inlineStr">
        <is>
          <t>AP16DA5959</t>
        </is>
      </c>
      <c r="E106" s="20" t="inlineStr">
        <is>
          <t>HONDA</t>
        </is>
      </c>
      <c r="F106" s="20" t="inlineStr">
        <is>
          <t>City</t>
        </is>
      </c>
      <c r="G106" s="21" t="n">
        <v>2015</v>
      </c>
      <c r="H106" s="22" t="n">
        <v>107260</v>
      </c>
      <c r="I106" s="22" t="n">
        <v>480000</v>
      </c>
      <c r="J106" s="20" t="inlineStr">
        <is>
          <t>Exchange VIJAYAWADA</t>
        </is>
      </c>
      <c r="K106" s="20" t="inlineStr">
        <is>
          <t>Captive</t>
        </is>
      </c>
      <c r="L106" s="20" t="inlineStr">
        <is>
          <t>Bhanu Chandar Singaraju</t>
        </is>
      </c>
      <c r="M106" s="23" t="n">
        <v>8474.58</v>
      </c>
    </row>
    <row r="107">
      <c r="A107" s="19" t="inlineStr">
        <is>
          <t>FY26</t>
        </is>
      </c>
      <c r="B107" s="19" t="inlineStr">
        <is>
          <t>Mar</t>
        </is>
      </c>
      <c r="C107" s="19" t="inlineStr">
        <is>
          <t>AP/TS</t>
        </is>
      </c>
      <c r="D107" s="20" t="inlineStr">
        <is>
          <t>AP16EF8699</t>
        </is>
      </c>
      <c r="E107" s="20" t="inlineStr">
        <is>
          <t>HONDA</t>
        </is>
      </c>
      <c r="F107" s="20" t="inlineStr">
        <is>
          <t>City</t>
        </is>
      </c>
      <c r="G107" s="21" t="n">
        <v>2017</v>
      </c>
      <c r="H107" s="22" t="n">
        <v>95211</v>
      </c>
      <c r="I107" s="22" t="n">
        <v>450000</v>
      </c>
      <c r="J107" s="20" t="inlineStr">
        <is>
          <t>Exchange VIJAYAWADA</t>
        </is>
      </c>
      <c r="K107" s="20" t="inlineStr">
        <is>
          <t>Captive</t>
        </is>
      </c>
      <c r="L107" s="20" t="inlineStr">
        <is>
          <t>Koppuravuri Srinivasa Rao</t>
        </is>
      </c>
      <c r="M107" s="23" t="n">
        <v>12711.86</v>
      </c>
    </row>
    <row r="108">
      <c r="A108" s="19" t="inlineStr">
        <is>
          <t>FY26</t>
        </is>
      </c>
      <c r="B108" s="19" t="inlineStr">
        <is>
          <t>Mar</t>
        </is>
      </c>
      <c r="C108" s="19" t="inlineStr">
        <is>
          <t>AP/TS</t>
        </is>
      </c>
      <c r="D108" s="20" t="inlineStr">
        <is>
          <t>AP16CZ6606</t>
        </is>
      </c>
      <c r="E108" s="20" t="inlineStr">
        <is>
          <t>HONDA</t>
        </is>
      </c>
      <c r="F108" s="20" t="inlineStr">
        <is>
          <t>Brio</t>
        </is>
      </c>
      <c r="G108" s="21" t="n">
        <v>2015</v>
      </c>
      <c r="H108" s="22" t="n">
        <v>171756</v>
      </c>
      <c r="I108" s="22" t="n">
        <v>95000</v>
      </c>
      <c r="J108" s="20" t="inlineStr">
        <is>
          <t>T Srinivas</t>
        </is>
      </c>
      <c r="K108" s="20" t="inlineStr">
        <is>
          <t>Non-Captive</t>
        </is>
      </c>
      <c r="L108" s="20" t="inlineStr">
        <is>
          <t>Koppuravuri Srinivasa Rao</t>
        </is>
      </c>
      <c r="M108" s="23" t="n">
        <v>4237.29</v>
      </c>
    </row>
    <row r="109">
      <c r="A109" s="19" t="inlineStr">
        <is>
          <t>FY26</t>
        </is>
      </c>
      <c r="B109" s="19" t="inlineStr">
        <is>
          <t>Mar</t>
        </is>
      </c>
      <c r="C109" s="19" t="inlineStr">
        <is>
          <t>AP/TS</t>
        </is>
      </c>
      <c r="D109" s="20" t="inlineStr">
        <is>
          <t>AP28DX7899</t>
        </is>
      </c>
      <c r="E109" s="20" t="inlineStr">
        <is>
          <t>HONDA</t>
        </is>
      </c>
      <c r="F109" s="20" t="inlineStr">
        <is>
          <t>City</t>
        </is>
      </c>
      <c r="G109" s="21" t="n">
        <v>2014</v>
      </c>
      <c r="H109" s="22" t="n">
        <v>289225</v>
      </c>
      <c r="I109" s="22" t="n">
        <v>95000</v>
      </c>
      <c r="J109" s="20" t="inlineStr">
        <is>
          <t>T Srinivas</t>
        </is>
      </c>
      <c r="K109" s="20" t="inlineStr">
        <is>
          <t>Non-Captive</t>
        </is>
      </c>
      <c r="L109" s="20" t="inlineStr">
        <is>
          <t>Koppuravuri Srinivasa Rao</t>
        </is>
      </c>
      <c r="M109" s="23" t="n">
        <v>4237.29</v>
      </c>
    </row>
    <row r="110">
      <c r="A110" s="19" t="inlineStr">
        <is>
          <t>FY26</t>
        </is>
      </c>
      <c r="B110" s="19" t="inlineStr">
        <is>
          <t>Mar</t>
        </is>
      </c>
      <c r="C110" s="19" t="inlineStr">
        <is>
          <t>AP/TS</t>
        </is>
      </c>
      <c r="D110" s="20" t="inlineStr">
        <is>
          <t>TS09FC6907</t>
        </is>
      </c>
      <c r="E110" s="20" t="inlineStr">
        <is>
          <t>HONDA</t>
        </is>
      </c>
      <c r="F110" s="20" t="inlineStr">
        <is>
          <t>Amaze</t>
        </is>
      </c>
      <c r="G110" s="21" t="n">
        <v>2018</v>
      </c>
      <c r="H110" s="22" t="n">
        <v>79767</v>
      </c>
      <c r="I110" s="22" t="n">
        <v>340000</v>
      </c>
      <c r="J110" s="20" t="inlineStr">
        <is>
          <t>Exchange HYDERABAD</t>
        </is>
      </c>
      <c r="K110" s="20" t="inlineStr">
        <is>
          <t>Captive</t>
        </is>
      </c>
      <c r="L110" s="20" t="inlineStr">
        <is>
          <t>Abdul Mugees</t>
        </is>
      </c>
      <c r="M110" s="23" t="n">
        <v>8474.58</v>
      </c>
    </row>
    <row r="111">
      <c r="A111" s="19" t="inlineStr">
        <is>
          <t>FY26</t>
        </is>
      </c>
      <c r="B111" s="19" t="inlineStr">
        <is>
          <t>Mar</t>
        </is>
      </c>
      <c r="C111" s="19" t="inlineStr">
        <is>
          <t>AP/TS</t>
        </is>
      </c>
      <c r="D111" s="20" t="inlineStr">
        <is>
          <t>AP28DS6201</t>
        </is>
      </c>
      <c r="E111" s="20" t="inlineStr">
        <is>
          <t>HYUNDAI</t>
        </is>
      </c>
      <c r="F111" s="20" t="inlineStr">
        <is>
          <t>I10</t>
        </is>
      </c>
      <c r="G111" s="21" t="n">
        <v>2012</v>
      </c>
      <c r="H111" s="22" t="n">
        <v>170400</v>
      </c>
      <c r="I111" s="22" t="n">
        <v>85000</v>
      </c>
      <c r="J111" s="20" t="inlineStr">
        <is>
          <t>Puneet Gupta</t>
        </is>
      </c>
      <c r="K111" s="20" t="inlineStr">
        <is>
          <t>Non-Captive</t>
        </is>
      </c>
      <c r="L111" s="20" t="inlineStr">
        <is>
          <t>Katikala Jathin Sai</t>
        </is>
      </c>
      <c r="M111" s="23" t="n">
        <v>4237.29</v>
      </c>
    </row>
    <row r="112">
      <c r="A112" s="19" t="inlineStr">
        <is>
          <t>FY26</t>
        </is>
      </c>
      <c r="B112" s="19" t="inlineStr">
        <is>
          <t>Mar</t>
        </is>
      </c>
      <c r="C112" s="19" t="inlineStr">
        <is>
          <t>AP/TS</t>
        </is>
      </c>
      <c r="D112" s="20" t="inlineStr">
        <is>
          <t>AP09CC9118</t>
        </is>
      </c>
      <c r="E112" s="20" t="inlineStr">
        <is>
          <t>HYUNDAI</t>
        </is>
      </c>
      <c r="F112" s="20" t="inlineStr">
        <is>
          <t>I10</t>
        </is>
      </c>
      <c r="G112" s="21" t="n">
        <v>2011</v>
      </c>
      <c r="H112" s="22" t="n">
        <v>175143</v>
      </c>
      <c r="I112" s="22" t="n">
        <v>80000</v>
      </c>
      <c r="J112" s="20" t="inlineStr">
        <is>
          <t>Puneet Gupta</t>
        </is>
      </c>
      <c r="K112" s="20" t="inlineStr">
        <is>
          <t>Non-Captive</t>
        </is>
      </c>
      <c r="L112" s="20" t="inlineStr">
        <is>
          <t>Katikala Jathin Sai</t>
        </is>
      </c>
      <c r="M112" s="23" t="n">
        <v>4237.29</v>
      </c>
    </row>
    <row r="113">
      <c r="A113" s="19" t="inlineStr">
        <is>
          <t>FY26</t>
        </is>
      </c>
      <c r="B113" s="19" t="inlineStr">
        <is>
          <t>Mar</t>
        </is>
      </c>
      <c r="C113" s="19" t="inlineStr">
        <is>
          <t>AP/TS</t>
        </is>
      </c>
      <c r="D113" s="20" t="inlineStr">
        <is>
          <t>AP10AU4488</t>
        </is>
      </c>
      <c r="E113" s="20" t="inlineStr">
        <is>
          <t>HYUNDAI</t>
        </is>
      </c>
      <c r="F113" s="20" t="inlineStr">
        <is>
          <t>Verna</t>
        </is>
      </c>
      <c r="G113" s="21" t="n">
        <v>2010</v>
      </c>
      <c r="H113" s="22" t="n">
        <v>205254</v>
      </c>
      <c r="I113" s="22" t="n">
        <v>95000</v>
      </c>
      <c r="J113" s="20" t="inlineStr">
        <is>
          <t>Puneet Gupta</t>
        </is>
      </c>
      <c r="K113" s="20" t="inlineStr">
        <is>
          <t>Non-Captive</t>
        </is>
      </c>
      <c r="L113" s="20" t="inlineStr">
        <is>
          <t>Katikala Jathin Sai</t>
        </is>
      </c>
      <c r="M113" s="23" t="n">
        <v>4237.29</v>
      </c>
    </row>
    <row r="114">
      <c r="A114" s="19" t="inlineStr">
        <is>
          <t>FY26</t>
        </is>
      </c>
      <c r="B114" s="19" t="inlineStr">
        <is>
          <t>Mar</t>
        </is>
      </c>
      <c r="C114" s="19" t="inlineStr">
        <is>
          <t>AP/TS</t>
        </is>
      </c>
      <c r="D114" s="20" t="inlineStr">
        <is>
          <t>AP07BH5380</t>
        </is>
      </c>
      <c r="E114" s="20" t="inlineStr">
        <is>
          <t>MARUTI SUZUKI</t>
        </is>
      </c>
      <c r="F114" s="20" t="inlineStr">
        <is>
          <t>Wagon R</t>
        </is>
      </c>
      <c r="G114" s="21" t="n">
        <v>2011</v>
      </c>
      <c r="H114" s="22" t="n">
        <v>173262</v>
      </c>
      <c r="I114" s="22" t="n">
        <v>90000</v>
      </c>
      <c r="J114" s="20" t="inlineStr">
        <is>
          <t>Vinod Kumar Murari</t>
        </is>
      </c>
      <c r="K114" s="20" t="inlineStr">
        <is>
          <t>Non-Captive</t>
        </is>
      </c>
      <c r="L114" s="20" t="inlineStr">
        <is>
          <t>Mohammed Gouse Basha</t>
        </is>
      </c>
      <c r="M114" s="23" t="n">
        <v>5084.75</v>
      </c>
    </row>
    <row r="115">
      <c r="A115" s="19" t="inlineStr">
        <is>
          <t>FY26</t>
        </is>
      </c>
      <c r="B115" s="19" t="inlineStr">
        <is>
          <t>Mar</t>
        </is>
      </c>
      <c r="C115" s="19" t="inlineStr">
        <is>
          <t>AP/TS</t>
        </is>
      </c>
      <c r="D115" s="20" t="inlineStr">
        <is>
          <t>AP16BQ0720</t>
        </is>
      </c>
      <c r="E115" s="20" t="inlineStr">
        <is>
          <t>MARUTI SUZUKI</t>
        </is>
      </c>
      <c r="F115" s="20" t="inlineStr">
        <is>
          <t>Swift Dzire</t>
        </is>
      </c>
      <c r="G115" s="21" t="n">
        <v>2009</v>
      </c>
      <c r="H115" s="22" t="n">
        <v>165063</v>
      </c>
      <c r="I115" s="22" t="n">
        <v>90000</v>
      </c>
      <c r="J115" s="20" t="inlineStr">
        <is>
          <t>Vinod Kumar Murari</t>
        </is>
      </c>
      <c r="K115" s="20" t="inlineStr">
        <is>
          <t>Non-Captive</t>
        </is>
      </c>
      <c r="L115" s="20" t="inlineStr">
        <is>
          <t>Mohammed Gouse Basha</t>
        </is>
      </c>
      <c r="M115" s="23" t="n">
        <v>5084.75</v>
      </c>
    </row>
    <row r="116">
      <c r="A116" s="19" t="inlineStr">
        <is>
          <t>FY26</t>
        </is>
      </c>
      <c r="B116" s="19" t="inlineStr">
        <is>
          <t>Mar</t>
        </is>
      </c>
      <c r="C116" s="19" t="inlineStr">
        <is>
          <t>AP/TS</t>
        </is>
      </c>
      <c r="D116" s="20" t="inlineStr">
        <is>
          <t>AP16FB8659</t>
        </is>
      </c>
      <c r="E116" s="20" t="inlineStr">
        <is>
          <t>HONDA</t>
        </is>
      </c>
      <c r="F116" s="20" t="inlineStr">
        <is>
          <t>City</t>
        </is>
      </c>
      <c r="G116" s="21" t="n">
        <v>2018</v>
      </c>
      <c r="H116" s="22" t="n">
        <v>68012</v>
      </c>
      <c r="I116" s="22" t="n">
        <v>456500</v>
      </c>
      <c r="J116" s="20" t="inlineStr">
        <is>
          <t>Exchange VIJAYAWADA</t>
        </is>
      </c>
      <c r="K116" s="20" t="inlineStr">
        <is>
          <t>Captive</t>
        </is>
      </c>
      <c r="L116" s="20" t="inlineStr">
        <is>
          <t>Basavaraju Ratna Suresh</t>
        </is>
      </c>
      <c r="M116" s="23" t="n">
        <v>5508.47</v>
      </c>
    </row>
    <row r="117">
      <c r="A117" s="19" t="inlineStr">
        <is>
          <t>FY26</t>
        </is>
      </c>
      <c r="B117" s="19" t="inlineStr">
        <is>
          <t>Mar</t>
        </is>
      </c>
      <c r="C117" s="19" t="inlineStr">
        <is>
          <t>AP/TS</t>
        </is>
      </c>
      <c r="D117" s="20" t="inlineStr">
        <is>
          <t>AP16CG0018</t>
        </is>
      </c>
      <c r="E117" s="20" t="inlineStr">
        <is>
          <t>MARUTI SUZUKI</t>
        </is>
      </c>
      <c r="F117" s="20" t="inlineStr">
        <is>
          <t>Ritz</t>
        </is>
      </c>
      <c r="G117" s="21" t="n">
        <v>2013</v>
      </c>
      <c r="H117" s="22" t="n">
        <v>196300</v>
      </c>
      <c r="I117" s="22" t="n">
        <v>90000</v>
      </c>
      <c r="J117" s="20" t="inlineStr">
        <is>
          <t>T Srinivas</t>
        </is>
      </c>
      <c r="K117" s="20" t="inlineStr">
        <is>
          <t>Non-Captive</t>
        </is>
      </c>
      <c r="L117" s="20" t="inlineStr">
        <is>
          <t>Basavaraju Ratna Suresh</t>
        </is>
      </c>
      <c r="M117" s="23" t="n">
        <v>5932.2</v>
      </c>
    </row>
    <row r="118">
      <c r="A118" s="19" t="inlineStr">
        <is>
          <t>FY26</t>
        </is>
      </c>
      <c r="B118" s="19" t="inlineStr">
        <is>
          <t>Mar</t>
        </is>
      </c>
      <c r="C118" s="19" t="inlineStr">
        <is>
          <t>AP/TS</t>
        </is>
      </c>
      <c r="D118" s="20" t="inlineStr">
        <is>
          <t>AP09CP5999</t>
        </is>
      </c>
      <c r="E118" s="20" t="inlineStr">
        <is>
          <t>SKODA</t>
        </is>
      </c>
      <c r="F118" s="20" t="inlineStr">
        <is>
          <t>Rapid</t>
        </is>
      </c>
      <c r="G118" s="21" t="n">
        <v>2013</v>
      </c>
      <c r="H118" s="22" t="n">
        <v>140846</v>
      </c>
      <c r="I118" s="22" t="n">
        <v>185000</v>
      </c>
      <c r="J118" s="20" t="inlineStr">
        <is>
          <t>Exchange HYDERABAD</t>
        </is>
      </c>
      <c r="K118" s="20" t="inlineStr">
        <is>
          <t>Captive</t>
        </is>
      </c>
      <c r="L118" s="20" t="inlineStr">
        <is>
          <t>Nakka Shiva Shanker</t>
        </is>
      </c>
      <c r="M118" s="23" t="n">
        <v>8474.58</v>
      </c>
    </row>
    <row r="119">
      <c r="A119" s="19" t="inlineStr">
        <is>
          <t>FY26</t>
        </is>
      </c>
      <c r="B119" s="19" t="inlineStr">
        <is>
          <t>Mar</t>
        </is>
      </c>
      <c r="C119" s="19" t="inlineStr">
        <is>
          <t>AP/TS</t>
        </is>
      </c>
      <c r="D119" s="20" t="inlineStr">
        <is>
          <t>TS10ES7943</t>
        </is>
      </c>
      <c r="E119" s="20" t="inlineStr">
        <is>
          <t>MARUTI SUZUKI</t>
        </is>
      </c>
      <c r="F119" s="20" t="inlineStr">
        <is>
          <t>Baleno</t>
        </is>
      </c>
      <c r="G119" s="21" t="n">
        <v>2018</v>
      </c>
      <c r="H119" s="22" t="n">
        <v>49846</v>
      </c>
      <c r="I119" s="22" t="n">
        <v>270000</v>
      </c>
      <c r="J119" s="20" t="inlineStr">
        <is>
          <t>Exchange HYDERABAD</t>
        </is>
      </c>
      <c r="K119" s="20" t="inlineStr">
        <is>
          <t>Captive</t>
        </is>
      </c>
      <c r="L119" s="20" t="inlineStr">
        <is>
          <t>Nakka Shiva Shanker</t>
        </is>
      </c>
      <c r="M119" s="23" t="n">
        <v>8474.58</v>
      </c>
    </row>
    <row r="120">
      <c r="A120" s="19" t="inlineStr">
        <is>
          <t>FY26</t>
        </is>
      </c>
      <c r="B120" s="19" t="inlineStr">
        <is>
          <t>Mar</t>
        </is>
      </c>
      <c r="C120" s="19" t="inlineStr">
        <is>
          <t>AP/TS</t>
        </is>
      </c>
      <c r="D120" s="20" t="inlineStr">
        <is>
          <t>AP10BF6315</t>
        </is>
      </c>
      <c r="E120" s="20" t="inlineStr">
        <is>
          <t>HONDA</t>
        </is>
      </c>
      <c r="F120" s="20" t="inlineStr">
        <is>
          <t>Amaze</t>
        </is>
      </c>
      <c r="G120" s="21" t="n">
        <v>2013</v>
      </c>
      <c r="H120" s="22" t="n">
        <v>148960</v>
      </c>
      <c r="I120" s="22" t="n">
        <v>95000</v>
      </c>
      <c r="J120" s="20" t="inlineStr">
        <is>
          <t>Odapally Sandeep</t>
        </is>
      </c>
      <c r="K120" s="20" t="inlineStr">
        <is>
          <t>Non-Captive</t>
        </is>
      </c>
      <c r="L120" s="20" t="inlineStr">
        <is>
          <t>Nakka Shiva Shanker</t>
        </is>
      </c>
      <c r="M120" s="23" t="n">
        <v>4237.29</v>
      </c>
    </row>
    <row r="121">
      <c r="A121" s="19" t="inlineStr">
        <is>
          <t>FY26</t>
        </is>
      </c>
      <c r="B121" s="19" t="inlineStr">
        <is>
          <t>Mar</t>
        </is>
      </c>
      <c r="C121" s="19" t="inlineStr">
        <is>
          <t>AP/TS</t>
        </is>
      </c>
      <c r="D121" s="20" t="inlineStr">
        <is>
          <t>AP29CA0567</t>
        </is>
      </c>
      <c r="E121" s="20" t="inlineStr">
        <is>
          <t>HONDA</t>
        </is>
      </c>
      <c r="F121" s="20" t="inlineStr">
        <is>
          <t>Amaze</t>
        </is>
      </c>
      <c r="G121" s="21" t="n">
        <v>2013</v>
      </c>
      <c r="H121" s="22" t="n">
        <v>189152</v>
      </c>
      <c r="I121" s="22" t="n">
        <v>95000</v>
      </c>
      <c r="J121" s="20" t="inlineStr">
        <is>
          <t>Odapally Sandeep</t>
        </is>
      </c>
      <c r="K121" s="20" t="inlineStr">
        <is>
          <t>Non-Captive</t>
        </is>
      </c>
      <c r="L121" s="20" t="inlineStr">
        <is>
          <t>Nakka Shiva Shanker</t>
        </is>
      </c>
      <c r="M121" s="23" t="n">
        <v>4237.29</v>
      </c>
    </row>
    <row r="122">
      <c r="A122" s="19" t="inlineStr">
        <is>
          <t>FY26</t>
        </is>
      </c>
      <c r="B122" s="19" t="inlineStr">
        <is>
          <t>Mar</t>
        </is>
      </c>
      <c r="C122" s="19" t="inlineStr">
        <is>
          <t>AP/TS</t>
        </is>
      </c>
      <c r="D122" s="20" t="inlineStr">
        <is>
          <t>AP10AK7771</t>
        </is>
      </c>
      <c r="E122" s="20" t="inlineStr">
        <is>
          <t>HONDA</t>
        </is>
      </c>
      <c r="F122" s="20" t="inlineStr">
        <is>
          <t>City</t>
        </is>
      </c>
      <c r="G122" s="21" t="n">
        <v>2007</v>
      </c>
      <c r="H122" s="22" t="n">
        <v>186423</v>
      </c>
      <c r="I122" s="22" t="n">
        <v>75000</v>
      </c>
      <c r="J122" s="20" t="inlineStr">
        <is>
          <t>Nakka Shiva Shanker</t>
        </is>
      </c>
      <c r="K122" s="20" t="inlineStr">
        <is>
          <t>Non-Captive</t>
        </is>
      </c>
      <c r="L122" s="20" t="inlineStr">
        <is>
          <t>Odapally Sandeep</t>
        </is>
      </c>
      <c r="M122" s="23" t="n">
        <v>2118.64</v>
      </c>
    </row>
    <row r="123">
      <c r="A123" s="19" t="inlineStr">
        <is>
          <t>FY26</t>
        </is>
      </c>
      <c r="B123" s="19" t="inlineStr">
        <is>
          <t>Mar</t>
        </is>
      </c>
      <c r="C123" s="19" t="inlineStr">
        <is>
          <t>AP/TS</t>
        </is>
      </c>
      <c r="D123" s="20" t="inlineStr">
        <is>
          <t>AP09BJ0297</t>
        </is>
      </c>
      <c r="E123" s="20" t="inlineStr">
        <is>
          <t>HONDA</t>
        </is>
      </c>
      <c r="F123" s="20" t="inlineStr">
        <is>
          <t>City</t>
        </is>
      </c>
      <c r="G123" s="21" t="n">
        <v>2007</v>
      </c>
      <c r="H123" s="22" t="n">
        <v>198825</v>
      </c>
      <c r="I123" s="22" t="n">
        <v>75000</v>
      </c>
      <c r="J123" s="20" t="inlineStr">
        <is>
          <t>Nakka Shiva Shanker</t>
        </is>
      </c>
      <c r="K123" s="20" t="inlineStr">
        <is>
          <t>Non-Captive</t>
        </is>
      </c>
      <c r="L123" s="20" t="inlineStr">
        <is>
          <t>Odapally Sandeep</t>
        </is>
      </c>
      <c r="M123" s="23" t="n">
        <v>2118.64</v>
      </c>
    </row>
    <row r="124">
      <c r="A124" s="19" t="inlineStr">
        <is>
          <t>FY26</t>
        </is>
      </c>
      <c r="B124" s="19" t="inlineStr">
        <is>
          <t>Mar</t>
        </is>
      </c>
      <c r="C124" s="19" t="inlineStr">
        <is>
          <t>AP/TS</t>
        </is>
      </c>
      <c r="D124" s="20" t="inlineStr">
        <is>
          <t>AP09BL8271</t>
        </is>
      </c>
      <c r="E124" s="20" t="inlineStr">
        <is>
          <t>HONDA</t>
        </is>
      </c>
      <c r="F124" s="20" t="inlineStr">
        <is>
          <t>City</t>
        </is>
      </c>
      <c r="G124" s="21" t="n">
        <v>2007</v>
      </c>
      <c r="H124" s="22" t="n">
        <v>184667</v>
      </c>
      <c r="I124" s="22" t="n">
        <v>75000</v>
      </c>
      <c r="J124" s="20" t="inlineStr">
        <is>
          <t>Nakka Shiva Shanker</t>
        </is>
      </c>
      <c r="K124" s="20" t="inlineStr">
        <is>
          <t>Non-Captive</t>
        </is>
      </c>
      <c r="L124" s="20" t="inlineStr">
        <is>
          <t>Odapally Sandeep</t>
        </is>
      </c>
      <c r="M124" s="23" t="n">
        <v>2118.64</v>
      </c>
    </row>
    <row r="125">
      <c r="A125" s="19" t="inlineStr">
        <is>
          <t>FY26</t>
        </is>
      </c>
      <c r="B125" s="19" t="inlineStr">
        <is>
          <t>Mar</t>
        </is>
      </c>
      <c r="C125" s="19" t="inlineStr">
        <is>
          <t>AP/TS</t>
        </is>
      </c>
      <c r="D125" s="20" t="inlineStr">
        <is>
          <t>AP09BD0374</t>
        </is>
      </c>
      <c r="E125" s="20" t="inlineStr">
        <is>
          <t>HONDA</t>
        </is>
      </c>
      <c r="F125" s="20" t="inlineStr">
        <is>
          <t>City</t>
        </is>
      </c>
      <c r="G125" s="21" t="n">
        <v>2006</v>
      </c>
      <c r="H125" s="22" t="n">
        <v>285682</v>
      </c>
      <c r="I125" s="22" t="n">
        <v>75000</v>
      </c>
      <c r="J125" s="20" t="inlineStr">
        <is>
          <t>Nakka Shiva Shanker</t>
        </is>
      </c>
      <c r="K125" s="20" t="inlineStr">
        <is>
          <t>Non-Captive</t>
        </is>
      </c>
      <c r="L125" s="20" t="inlineStr">
        <is>
          <t>Odapally Sandeep</t>
        </is>
      </c>
      <c r="M125" s="23" t="n">
        <v>2118.64</v>
      </c>
    </row>
    <row r="126">
      <c r="A126" s="19" t="inlineStr">
        <is>
          <t>FY26</t>
        </is>
      </c>
      <c r="B126" s="19" t="inlineStr">
        <is>
          <t>Mar</t>
        </is>
      </c>
      <c r="C126" s="19" t="inlineStr">
        <is>
          <t>AP/TS</t>
        </is>
      </c>
      <c r="D126" s="20" t="inlineStr">
        <is>
          <t>AP13J8680</t>
        </is>
      </c>
      <c r="E126" s="20" t="inlineStr">
        <is>
          <t>HYUNDAI</t>
        </is>
      </c>
      <c r="F126" s="20" t="inlineStr">
        <is>
          <t>Santro</t>
        </is>
      </c>
      <c r="G126" s="21" t="n">
        <v>2006</v>
      </c>
      <c r="H126" s="22" t="n">
        <v>114501</v>
      </c>
      <c r="I126" s="22" t="n">
        <v>50000</v>
      </c>
      <c r="J126" s="20" t="inlineStr">
        <is>
          <t>Exchange HYDERABAD</t>
        </is>
      </c>
      <c r="K126" s="20" t="inlineStr">
        <is>
          <t>Captive</t>
        </is>
      </c>
      <c r="L126" s="20" t="inlineStr">
        <is>
          <t>Abdul Mugees</t>
        </is>
      </c>
      <c r="M126" s="23" t="n">
        <v>4237.29</v>
      </c>
    </row>
    <row r="127">
      <c r="A127" s="19" t="inlineStr">
        <is>
          <t>FY26</t>
        </is>
      </c>
      <c r="B127" s="19" t="inlineStr">
        <is>
          <t>Mar</t>
        </is>
      </c>
      <c r="C127" s="19" t="inlineStr">
        <is>
          <t>AP/TS</t>
        </is>
      </c>
      <c r="D127" s="20" t="inlineStr">
        <is>
          <t>AP16FJ9599</t>
        </is>
      </c>
      <c r="E127" s="20" t="inlineStr">
        <is>
          <t>HONDA</t>
        </is>
      </c>
      <c r="F127" s="20" t="inlineStr">
        <is>
          <t>City</t>
        </is>
      </c>
      <c r="G127" s="21" t="n">
        <v>2018</v>
      </c>
      <c r="H127" s="22" t="n">
        <v>190815</v>
      </c>
      <c r="I127" s="22" t="n">
        <v>340000</v>
      </c>
      <c r="J127" s="20" t="inlineStr">
        <is>
          <t>Exchange VIJAYAWADA</t>
        </is>
      </c>
      <c r="K127" s="20" t="inlineStr">
        <is>
          <t>Captive</t>
        </is>
      </c>
      <c r="L127" s="20" t="inlineStr">
        <is>
          <t>Kallepalli Vimala</t>
        </is>
      </c>
      <c r="M127" s="23" t="n">
        <v>8474.58</v>
      </c>
    </row>
    <row r="128">
      <c r="A128" s="19" t="inlineStr">
        <is>
          <t>FY26</t>
        </is>
      </c>
      <c r="B128" s="19" t="inlineStr">
        <is>
          <t>Mar</t>
        </is>
      </c>
      <c r="C128" s="19" t="inlineStr">
        <is>
          <t>AP/TS</t>
        </is>
      </c>
      <c r="D128" s="20" t="inlineStr">
        <is>
          <t>AP21AQ0055</t>
        </is>
      </c>
      <c r="E128" s="20" t="inlineStr">
        <is>
          <t>HYUNDAI</t>
        </is>
      </c>
      <c r="F128" s="20" t="inlineStr">
        <is>
          <t>I10</t>
        </is>
      </c>
      <c r="G128" s="21" t="n">
        <v>2012</v>
      </c>
      <c r="H128" s="22" t="n">
        <v>166051</v>
      </c>
      <c r="I128" s="22" t="n">
        <v>85000</v>
      </c>
      <c r="J128" s="20" t="inlineStr">
        <is>
          <t>T Srinivas</t>
        </is>
      </c>
      <c r="K128" s="20" t="inlineStr">
        <is>
          <t>Non-Captive</t>
        </is>
      </c>
      <c r="L128" s="20" t="inlineStr">
        <is>
          <t>Kallepalli Vimala</t>
        </is>
      </c>
      <c r="M128" s="23" t="n">
        <v>4237.29</v>
      </c>
    </row>
    <row r="129">
      <c r="A129" s="19" t="inlineStr">
        <is>
          <t>FY26</t>
        </is>
      </c>
      <c r="B129" s="19" t="inlineStr">
        <is>
          <t>Mar</t>
        </is>
      </c>
      <c r="C129" s="19" t="inlineStr">
        <is>
          <t>AP/TS</t>
        </is>
      </c>
      <c r="D129" s="20" t="inlineStr">
        <is>
          <t>AP16CH7477</t>
        </is>
      </c>
      <c r="E129" s="20" t="inlineStr">
        <is>
          <t>RENAULT</t>
        </is>
      </c>
      <c r="F129" s="20" t="inlineStr">
        <is>
          <t>Scala</t>
        </is>
      </c>
      <c r="G129" s="21" t="n">
        <v>2012</v>
      </c>
      <c r="H129" s="22" t="n">
        <v>187357</v>
      </c>
      <c r="I129" s="22" t="n">
        <v>90000</v>
      </c>
      <c r="J129" s="20" t="inlineStr">
        <is>
          <t>T Srinivas</t>
        </is>
      </c>
      <c r="K129" s="20" t="inlineStr">
        <is>
          <t>Non-Captive</t>
        </is>
      </c>
      <c r="L129" s="20" t="inlineStr">
        <is>
          <t>Kallepalli Vimala</t>
        </is>
      </c>
      <c r="M129" s="23" t="n">
        <v>4237.29</v>
      </c>
    </row>
    <row r="130">
      <c r="A130" s="19" t="inlineStr">
        <is>
          <t>FY26</t>
        </is>
      </c>
      <c r="B130" s="19" t="inlineStr">
        <is>
          <t>Mar</t>
        </is>
      </c>
      <c r="C130" s="19" t="inlineStr">
        <is>
          <t>AP/TS</t>
        </is>
      </c>
      <c r="D130" s="20" t="inlineStr">
        <is>
          <t>TS09ES4663</t>
        </is>
      </c>
      <c r="E130" s="20" t="inlineStr">
        <is>
          <t>HYUNDAI</t>
        </is>
      </c>
      <c r="F130" s="20" t="inlineStr">
        <is>
          <t>Eon</t>
        </is>
      </c>
      <c r="G130" s="21" t="n">
        <v>2016</v>
      </c>
      <c r="H130" s="22" t="n">
        <v>184585</v>
      </c>
      <c r="I130" s="22" t="n">
        <v>95000</v>
      </c>
      <c r="J130" s="20" t="inlineStr">
        <is>
          <t>Abdul Mugees</t>
        </is>
      </c>
      <c r="K130" s="20" t="inlineStr">
        <is>
          <t>Non-Captive</t>
        </is>
      </c>
      <c r="L130" s="20" t="inlineStr">
        <is>
          <t>Mohammed Abdul Razzaq</t>
        </is>
      </c>
      <c r="M130" s="23" t="n">
        <v>4237.29</v>
      </c>
    </row>
    <row r="131">
      <c r="A131" s="19" t="inlineStr">
        <is>
          <t>FY26</t>
        </is>
      </c>
      <c r="B131" s="19" t="inlineStr">
        <is>
          <t>Mar</t>
        </is>
      </c>
      <c r="C131" s="19" t="inlineStr">
        <is>
          <t>AP/TS</t>
        </is>
      </c>
      <c r="D131" s="20" t="inlineStr">
        <is>
          <t>TS10EQ2394</t>
        </is>
      </c>
      <c r="E131" s="20" t="inlineStr">
        <is>
          <t>HONDA</t>
        </is>
      </c>
      <c r="F131" s="20" t="inlineStr">
        <is>
          <t>Jazz</t>
        </is>
      </c>
      <c r="G131" s="21" t="n">
        <v>2018</v>
      </c>
      <c r="H131" s="22" t="n">
        <v>83632</v>
      </c>
      <c r="I131" s="22" t="n">
        <v>290000</v>
      </c>
      <c r="J131" s="20" t="inlineStr">
        <is>
          <t>Exchange HYDERABAD</t>
        </is>
      </c>
      <c r="K131" s="20" t="inlineStr">
        <is>
          <t>Captive</t>
        </is>
      </c>
      <c r="L131" s="20" t="inlineStr">
        <is>
          <t>Mohammed Abdul Razzaq</t>
        </is>
      </c>
      <c r="M131" s="23" t="n">
        <v>8474.58</v>
      </c>
    </row>
    <row r="132">
      <c r="A132" s="19" t="inlineStr">
        <is>
          <t>FY26</t>
        </is>
      </c>
      <c r="B132" s="19" t="inlineStr">
        <is>
          <t>Mar</t>
        </is>
      </c>
      <c r="C132" s="19" t="inlineStr">
        <is>
          <t>AP/TS</t>
        </is>
      </c>
      <c r="D132" s="20" t="inlineStr">
        <is>
          <t>AP05EK2686</t>
        </is>
      </c>
      <c r="E132" s="20" t="inlineStr">
        <is>
          <t>MARUTI SUZUKI</t>
        </is>
      </c>
      <c r="F132" s="20" t="inlineStr">
        <is>
          <t>Baleno</t>
        </is>
      </c>
      <c r="G132" s="21" t="n">
        <v>2018</v>
      </c>
      <c r="H132" s="22" t="n">
        <v>57116</v>
      </c>
      <c r="I132" s="22" t="n">
        <v>405000</v>
      </c>
      <c r="J132" s="20" t="inlineStr">
        <is>
          <t>Exchange VIZAG</t>
        </is>
      </c>
      <c r="K132" s="20" t="inlineStr">
        <is>
          <t>Captive</t>
        </is>
      </c>
      <c r="L132" s="20" t="inlineStr">
        <is>
          <t>Kaki Dinesh Kumar</t>
        </is>
      </c>
      <c r="M132" s="23" t="n">
        <v>8474.58</v>
      </c>
    </row>
    <row r="133">
      <c r="A133" s="19" t="inlineStr">
        <is>
          <t>FY26</t>
        </is>
      </c>
      <c r="B133" s="19" t="inlineStr">
        <is>
          <t>Mar</t>
        </is>
      </c>
      <c r="C133" s="19" t="inlineStr">
        <is>
          <t>AP/TS</t>
        </is>
      </c>
      <c r="D133" s="20" t="inlineStr">
        <is>
          <t>AP31BE5857</t>
        </is>
      </c>
      <c r="E133" s="20" t="inlineStr">
        <is>
          <t>CHEVROLET</t>
        </is>
      </c>
      <c r="F133" s="20" t="inlineStr">
        <is>
          <t>Spark</t>
        </is>
      </c>
      <c r="G133" s="21" t="n">
        <v>2009</v>
      </c>
      <c r="H133" s="22" t="n">
        <v>193572</v>
      </c>
      <c r="I133" s="22" t="n">
        <v>30000</v>
      </c>
      <c r="J133" s="20" t="inlineStr">
        <is>
          <t>Avaala Raju</t>
        </is>
      </c>
      <c r="K133" s="20" t="inlineStr">
        <is>
          <t>Non-Captive</t>
        </is>
      </c>
      <c r="L133" s="20" t="inlineStr">
        <is>
          <t>Kaki Dinesh Kumar</t>
        </is>
      </c>
      <c r="M133" s="23" t="n">
        <v>2118.64</v>
      </c>
    </row>
    <row r="134">
      <c r="A134" s="19" t="inlineStr">
        <is>
          <t>FY26</t>
        </is>
      </c>
      <c r="B134" s="19" t="inlineStr">
        <is>
          <t>Mar</t>
        </is>
      </c>
      <c r="C134" s="19" t="inlineStr">
        <is>
          <t>AP/TS</t>
        </is>
      </c>
      <c r="D134" s="20" t="inlineStr">
        <is>
          <t>AP31AJ0003</t>
        </is>
      </c>
      <c r="E134" s="20" t="inlineStr">
        <is>
          <t>HONDA</t>
        </is>
      </c>
      <c r="F134" s="20" t="inlineStr">
        <is>
          <t>City</t>
        </is>
      </c>
      <c r="G134" s="21" t="n">
        <v>2005</v>
      </c>
      <c r="H134" s="22" t="n">
        <v>235147</v>
      </c>
      <c r="I134" s="22" t="n">
        <v>30000</v>
      </c>
      <c r="J134" s="20" t="inlineStr">
        <is>
          <t>Avaala Raju</t>
        </is>
      </c>
      <c r="K134" s="20" t="inlineStr">
        <is>
          <t>Non-Captive</t>
        </is>
      </c>
      <c r="L134" s="20" t="inlineStr">
        <is>
          <t>Kaki Dinesh Kumar</t>
        </is>
      </c>
      <c r="M134" s="23" t="n">
        <v>2118.64</v>
      </c>
    </row>
    <row r="135">
      <c r="A135" s="19" t="inlineStr">
        <is>
          <t>FY26</t>
        </is>
      </c>
      <c r="B135" s="19" t="inlineStr">
        <is>
          <t>Mar</t>
        </is>
      </c>
      <c r="C135" s="19" t="inlineStr">
        <is>
          <t>AP/TS</t>
        </is>
      </c>
      <c r="D135" s="20" t="inlineStr">
        <is>
          <t>AP09CN3614</t>
        </is>
      </c>
      <c r="E135" s="20" t="inlineStr">
        <is>
          <t>HYUNDAI</t>
        </is>
      </c>
      <c r="F135" s="20" t="inlineStr">
        <is>
          <t>I20</t>
        </is>
      </c>
      <c r="G135" s="21" t="n">
        <v>2012</v>
      </c>
      <c r="H135" s="22" t="n">
        <v>152114</v>
      </c>
      <c r="I135" s="22" t="n">
        <v>150000</v>
      </c>
      <c r="J135" s="20" t="inlineStr">
        <is>
          <t>Devarapalli Avinash</t>
        </is>
      </c>
      <c r="K135" s="20" t="inlineStr">
        <is>
          <t>Non-Captive</t>
        </is>
      </c>
      <c r="L135" s="20" t="inlineStr">
        <is>
          <t>Chittibomma Srinivasa Rao</t>
        </is>
      </c>
      <c r="M135" s="23" t="n">
        <v>2542.37</v>
      </c>
    </row>
    <row r="136">
      <c r="A136" s="19" t="inlineStr">
        <is>
          <t>FY26</t>
        </is>
      </c>
      <c r="B136" s="19" t="inlineStr">
        <is>
          <t>Mar</t>
        </is>
      </c>
      <c r="C136" s="19" t="inlineStr">
        <is>
          <t>AP/TS</t>
        </is>
      </c>
      <c r="D136" s="20" t="inlineStr">
        <is>
          <t>AP16CW0111</t>
        </is>
      </c>
      <c r="E136" s="20" t="inlineStr">
        <is>
          <t>HYUNDAI</t>
        </is>
      </c>
      <c r="F136" s="20" t="inlineStr">
        <is>
          <t>Verna</t>
        </is>
      </c>
      <c r="G136" s="21" t="n">
        <v>2014</v>
      </c>
      <c r="H136" s="22" t="n">
        <v>245621</v>
      </c>
      <c r="I136" s="22" t="n">
        <v>150000</v>
      </c>
      <c r="J136" s="20" t="inlineStr">
        <is>
          <t>Devarapalli Avinash</t>
        </is>
      </c>
      <c r="K136" s="20" t="inlineStr">
        <is>
          <t>Non-Captive</t>
        </is>
      </c>
      <c r="L136" s="20" t="inlineStr">
        <is>
          <t>Chittibomma Srinivasa Rao</t>
        </is>
      </c>
      <c r="M136" s="23" t="n">
        <v>2542.37</v>
      </c>
    </row>
    <row r="137">
      <c r="A137" s="19" t="inlineStr">
        <is>
          <t>FY26</t>
        </is>
      </c>
      <c r="B137" s="19" t="inlineStr">
        <is>
          <t>Mar</t>
        </is>
      </c>
      <c r="C137" s="19" t="inlineStr">
        <is>
          <t>AP/TS</t>
        </is>
      </c>
      <c r="D137" s="20" t="inlineStr">
        <is>
          <t>AP16EX2796</t>
        </is>
      </c>
      <c r="E137" s="20" t="inlineStr">
        <is>
          <t>MARUTI SUZUKI</t>
        </is>
      </c>
      <c r="F137" s="20" t="inlineStr">
        <is>
          <t>Alto</t>
        </is>
      </c>
      <c r="G137" s="21" t="n">
        <v>2018</v>
      </c>
      <c r="H137" s="22" t="n">
        <v>144146</v>
      </c>
      <c r="I137" s="22" t="n">
        <v>150000</v>
      </c>
      <c r="J137" s="20" t="inlineStr">
        <is>
          <t>Devarapalli Avinash</t>
        </is>
      </c>
      <c r="K137" s="20" t="inlineStr">
        <is>
          <t>Non-Captive</t>
        </is>
      </c>
      <c r="L137" s="20" t="inlineStr">
        <is>
          <t>Naga Suresh Polukonda</t>
        </is>
      </c>
      <c r="M137" s="23" t="n">
        <v>2542.37</v>
      </c>
    </row>
    <row r="138">
      <c r="A138" s="19" t="inlineStr">
        <is>
          <t>FY26</t>
        </is>
      </c>
      <c r="B138" s="19" t="inlineStr">
        <is>
          <t>Mar</t>
        </is>
      </c>
      <c r="C138" s="19" t="inlineStr">
        <is>
          <t>AP/TS</t>
        </is>
      </c>
      <c r="D138" s="20" t="inlineStr">
        <is>
          <t>AP05DJ8424</t>
        </is>
      </c>
      <c r="E138" s="20" t="inlineStr">
        <is>
          <t>MARUTI SUZUKI</t>
        </is>
      </c>
      <c r="F138" s="20" t="inlineStr">
        <is>
          <t>Celerio</t>
        </is>
      </c>
      <c r="G138" s="21" t="n">
        <v>2015</v>
      </c>
      <c r="H138" s="22" t="n">
        <v>145135</v>
      </c>
      <c r="I138" s="22" t="n">
        <v>150000</v>
      </c>
      <c r="J138" s="20" t="inlineStr">
        <is>
          <t>Devarapalli Avinash</t>
        </is>
      </c>
      <c r="K138" s="20" t="inlineStr">
        <is>
          <t>Non-Captive</t>
        </is>
      </c>
      <c r="L138" s="20" t="inlineStr">
        <is>
          <t>Naga Suresh Polukonda</t>
        </is>
      </c>
      <c r="M138" s="23" t="n">
        <v>2542.37</v>
      </c>
    </row>
    <row r="139">
      <c r="A139" s="19" t="inlineStr">
        <is>
          <t>FY26</t>
        </is>
      </c>
      <c r="B139" s="19" t="inlineStr">
        <is>
          <t>Mar</t>
        </is>
      </c>
      <c r="C139" s="19" t="inlineStr">
        <is>
          <t>AP/TS</t>
        </is>
      </c>
      <c r="D139" s="20" t="inlineStr">
        <is>
          <t>AP07DG1214</t>
        </is>
      </c>
      <c r="E139" s="20" t="inlineStr">
        <is>
          <t>RENAULT</t>
        </is>
      </c>
      <c r="F139" s="20" t="inlineStr">
        <is>
          <t>Kwid</t>
        </is>
      </c>
      <c r="G139" s="21" t="n">
        <v>2017</v>
      </c>
      <c r="H139" s="22" t="n">
        <v>123776</v>
      </c>
      <c r="I139" s="22" t="n">
        <v>150000</v>
      </c>
      <c r="J139" s="20" t="inlineStr">
        <is>
          <t>Devarapalli Avinash</t>
        </is>
      </c>
      <c r="K139" s="20" t="inlineStr">
        <is>
          <t>Non-Captive</t>
        </is>
      </c>
      <c r="L139" s="20" t="inlineStr">
        <is>
          <t>Gopi Naga Raju</t>
        </is>
      </c>
      <c r="M139" s="23" t="n">
        <v>2542.37</v>
      </c>
    </row>
    <row r="140">
      <c r="A140" s="19" t="inlineStr">
        <is>
          <t>FY26</t>
        </is>
      </c>
      <c r="B140" s="19" t="inlineStr">
        <is>
          <t>Mar</t>
        </is>
      </c>
      <c r="C140" s="19" t="inlineStr">
        <is>
          <t>AP/TS</t>
        </is>
      </c>
      <c r="D140" s="20" t="inlineStr">
        <is>
          <t>AP20AM4567</t>
        </is>
      </c>
      <c r="E140" s="20" t="inlineStr">
        <is>
          <t>SKODA</t>
        </is>
      </c>
      <c r="F140" s="20" t="inlineStr">
        <is>
          <t>Rapid</t>
        </is>
      </c>
      <c r="G140" s="21" t="n">
        <v>2012</v>
      </c>
      <c r="H140" s="22" t="n">
        <v>212411</v>
      </c>
      <c r="I140" s="22" t="n">
        <v>150000</v>
      </c>
      <c r="J140" s="20" t="inlineStr">
        <is>
          <t>Devarapalli Avinash</t>
        </is>
      </c>
      <c r="K140" s="20" t="inlineStr">
        <is>
          <t>Non-Captive</t>
        </is>
      </c>
      <c r="L140" s="20" t="inlineStr">
        <is>
          <t>Gopi Naga Raju</t>
        </is>
      </c>
      <c r="M140" s="23" t="n">
        <v>2542.37</v>
      </c>
    </row>
    <row r="141">
      <c r="A141" s="19" t="inlineStr">
        <is>
          <t>FY26</t>
        </is>
      </c>
      <c r="B141" s="19" t="inlineStr">
        <is>
          <t>Mar</t>
        </is>
      </c>
      <c r="C141" s="19" t="inlineStr">
        <is>
          <t>AP/TS</t>
        </is>
      </c>
      <c r="D141" s="20" t="inlineStr">
        <is>
          <t>TS10EA9276</t>
        </is>
      </c>
      <c r="E141" s="20" t="inlineStr">
        <is>
          <t>HONDA</t>
        </is>
      </c>
      <c r="F141" s="20" t="inlineStr">
        <is>
          <t>Amaze</t>
        </is>
      </c>
      <c r="G141" s="21" t="n">
        <v>2014</v>
      </c>
      <c r="H141" s="22" t="n">
        <v>73502</v>
      </c>
      <c r="I141" s="22" t="n">
        <v>200000</v>
      </c>
      <c r="J141" s="20" t="inlineStr">
        <is>
          <t>Exchange HYDERABAD</t>
        </is>
      </c>
      <c r="K141" s="20" t="inlineStr">
        <is>
          <t>Captive</t>
        </is>
      </c>
      <c r="L141" s="20" t="inlineStr">
        <is>
          <t>Gorenka Vinay Shravan</t>
        </is>
      </c>
      <c r="M141" s="23" t="n">
        <v>8474.58</v>
      </c>
    </row>
    <row r="142">
      <c r="A142" s="19" t="inlineStr">
        <is>
          <t>FY26</t>
        </is>
      </c>
      <c r="B142" s="19" t="inlineStr">
        <is>
          <t>Mar</t>
        </is>
      </c>
      <c r="C142" s="19" t="inlineStr">
        <is>
          <t>AP/TS</t>
        </is>
      </c>
      <c r="D142" s="20" t="inlineStr">
        <is>
          <t>TS08EG1112</t>
        </is>
      </c>
      <c r="E142" s="20" t="inlineStr">
        <is>
          <t>HYUNDAI</t>
        </is>
      </c>
      <c r="F142" s="20" t="inlineStr">
        <is>
          <t>I20</t>
        </is>
      </c>
      <c r="G142" s="21" t="n">
        <v>2014</v>
      </c>
      <c r="H142" s="22" t="n">
        <v>175456</v>
      </c>
      <c r="I142" s="22" t="n">
        <v>200000</v>
      </c>
      <c r="J142" s="20" t="inlineStr">
        <is>
          <t>Puneet Gupta</t>
        </is>
      </c>
      <c r="K142" s="20" t="inlineStr">
        <is>
          <t>Non-Captive</t>
        </is>
      </c>
      <c r="L142" s="20" t="inlineStr">
        <is>
          <t>Gorenka Vinay Shravan</t>
        </is>
      </c>
      <c r="M142" s="23" t="n">
        <v>2118.64</v>
      </c>
    </row>
    <row r="143">
      <c r="A143" s="19" t="inlineStr">
        <is>
          <t>FY26</t>
        </is>
      </c>
      <c r="B143" s="19" t="inlineStr">
        <is>
          <t>Mar</t>
        </is>
      </c>
      <c r="C143" s="19" t="inlineStr">
        <is>
          <t>AP/TS</t>
        </is>
      </c>
      <c r="D143" s="20" t="inlineStr">
        <is>
          <t>AP28BW7475</t>
        </is>
      </c>
      <c r="E143" s="20" t="inlineStr">
        <is>
          <t>HYUNDAI</t>
        </is>
      </c>
      <c r="F143" s="20" t="inlineStr">
        <is>
          <t>I20</t>
        </is>
      </c>
      <c r="G143" s="21" t="n">
        <v>2013</v>
      </c>
      <c r="H143" s="22" t="n">
        <v>177805</v>
      </c>
      <c r="I143" s="22" t="n">
        <v>200000</v>
      </c>
      <c r="J143" s="20" t="inlineStr">
        <is>
          <t>Puneet Gupta</t>
        </is>
      </c>
      <c r="K143" s="20" t="inlineStr">
        <is>
          <t>Non-Captive</t>
        </is>
      </c>
      <c r="L143" s="20" t="inlineStr">
        <is>
          <t>Gorenka Vinay Shravan</t>
        </is>
      </c>
      <c r="M143" s="23" t="n">
        <v>2118.64</v>
      </c>
    </row>
    <row r="144">
      <c r="A144" s="19" t="inlineStr">
        <is>
          <t>FY26</t>
        </is>
      </c>
      <c r="B144" s="19" t="inlineStr">
        <is>
          <t>Mar</t>
        </is>
      </c>
      <c r="C144" s="19" t="inlineStr">
        <is>
          <t>AP/TS</t>
        </is>
      </c>
      <c r="D144" s="20" t="inlineStr">
        <is>
          <t>AP09CR5557</t>
        </is>
      </c>
      <c r="E144" s="20" t="inlineStr">
        <is>
          <t>HYUNDAI</t>
        </is>
      </c>
      <c r="F144" s="20" t="inlineStr">
        <is>
          <t>I20</t>
        </is>
      </c>
      <c r="G144" s="21" t="n">
        <v>2013</v>
      </c>
      <c r="H144" s="22" t="n">
        <v>185350</v>
      </c>
      <c r="I144" s="22" t="n">
        <v>200000</v>
      </c>
      <c r="J144" s="20" t="inlineStr">
        <is>
          <t>Puneet Gupta</t>
        </is>
      </c>
      <c r="K144" s="20" t="inlineStr">
        <is>
          <t>Non-Captive</t>
        </is>
      </c>
      <c r="L144" s="20" t="inlineStr">
        <is>
          <t>Gorenka Vinay Shravan</t>
        </is>
      </c>
      <c r="M144" s="23" t="n">
        <v>2118.64</v>
      </c>
    </row>
    <row r="145">
      <c r="A145" s="19" t="inlineStr">
        <is>
          <t>FY26</t>
        </is>
      </c>
      <c r="B145" s="19" t="inlineStr">
        <is>
          <t>Mar</t>
        </is>
      </c>
      <c r="C145" s="19" t="inlineStr">
        <is>
          <t>AP/TS</t>
        </is>
      </c>
      <c r="D145" s="20" t="inlineStr">
        <is>
          <t>AP11AS2556</t>
        </is>
      </c>
      <c r="E145" s="20" t="inlineStr">
        <is>
          <t>HYUNDAI</t>
        </is>
      </c>
      <c r="F145" s="20" t="inlineStr">
        <is>
          <t>I20</t>
        </is>
      </c>
      <c r="G145" s="21" t="n">
        <v>2013</v>
      </c>
      <c r="H145" s="22" t="n">
        <v>168480</v>
      </c>
      <c r="I145" s="22" t="n">
        <v>200000</v>
      </c>
      <c r="J145" s="20" t="inlineStr">
        <is>
          <t>Puneet Gupta</t>
        </is>
      </c>
      <c r="K145" s="20" t="inlineStr">
        <is>
          <t>Non-Captive</t>
        </is>
      </c>
      <c r="L145" s="20" t="inlineStr">
        <is>
          <t>Gorenka Vinay Shravan</t>
        </is>
      </c>
      <c r="M145" s="23" t="n">
        <v>2118.64</v>
      </c>
    </row>
    <row r="146">
      <c r="A146" s="19" t="inlineStr">
        <is>
          <t>FY26</t>
        </is>
      </c>
      <c r="B146" s="19" t="inlineStr">
        <is>
          <t>Mar</t>
        </is>
      </c>
      <c r="C146" s="19" t="inlineStr">
        <is>
          <t>AP/TS</t>
        </is>
      </c>
      <c r="D146" s="20" t="inlineStr">
        <is>
          <t>AP39HL0002</t>
        </is>
      </c>
      <c r="E146" s="20" t="inlineStr">
        <is>
          <t>HONDA</t>
        </is>
      </c>
      <c r="F146" s="20" t="inlineStr">
        <is>
          <t>Amaze</t>
        </is>
      </c>
      <c r="G146" s="21" t="n">
        <v>2020</v>
      </c>
      <c r="H146" s="22" t="n">
        <v>113245</v>
      </c>
      <c r="I146" s="22" t="n">
        <v>470000</v>
      </c>
      <c r="J146" s="20" t="inlineStr">
        <is>
          <t>Exchange VIJAYAWADA</t>
        </is>
      </c>
      <c r="K146" s="20" t="inlineStr">
        <is>
          <t>Captive</t>
        </is>
      </c>
      <c r="L146" s="20" t="inlineStr">
        <is>
          <t>Guthi Ravi Krishna</t>
        </is>
      </c>
      <c r="M146" s="23" t="n">
        <v>8474.58</v>
      </c>
    </row>
    <row r="147">
      <c r="A147" s="19" t="inlineStr">
        <is>
          <t>FY26</t>
        </is>
      </c>
      <c r="B147" s="19" t="inlineStr">
        <is>
          <t>Mar</t>
        </is>
      </c>
      <c r="C147" s="19" t="inlineStr">
        <is>
          <t>AP/TS</t>
        </is>
      </c>
      <c r="D147" s="20" t="inlineStr">
        <is>
          <t>AP31BH0415</t>
        </is>
      </c>
      <c r="E147" s="20" t="inlineStr">
        <is>
          <t>HONDA</t>
        </is>
      </c>
      <c r="F147" s="20" t="inlineStr">
        <is>
          <t>City</t>
        </is>
      </c>
      <c r="G147" s="21" t="n">
        <v>2010</v>
      </c>
      <c r="H147" s="22" t="n">
        <v>177121</v>
      </c>
      <c r="I147" s="22" t="n">
        <v>150000</v>
      </c>
      <c r="J147" s="20" t="inlineStr">
        <is>
          <t>T Srinivas</t>
        </is>
      </c>
      <c r="K147" s="20" t="inlineStr">
        <is>
          <t>Non-Captive</t>
        </is>
      </c>
      <c r="L147" s="20" t="inlineStr">
        <is>
          <t>Guthi Ravi Krishna</t>
        </is>
      </c>
      <c r="M147" s="23" t="n">
        <v>5084.75</v>
      </c>
    </row>
    <row r="148">
      <c r="A148" s="19" t="inlineStr">
        <is>
          <t>FY26</t>
        </is>
      </c>
      <c r="B148" s="19" t="inlineStr">
        <is>
          <t>Mar</t>
        </is>
      </c>
      <c r="C148" s="19" t="inlineStr">
        <is>
          <t>AP/TS</t>
        </is>
      </c>
      <c r="D148" s="20" t="inlineStr">
        <is>
          <t>AP16AS0888</t>
        </is>
      </c>
      <c r="E148" s="20" t="inlineStr">
        <is>
          <t>HONDA</t>
        </is>
      </c>
      <c r="F148" s="20" t="inlineStr">
        <is>
          <t>Amaze</t>
        </is>
      </c>
      <c r="G148" s="21" t="n">
        <v>2016</v>
      </c>
      <c r="H148" s="22" t="n">
        <v>57272</v>
      </c>
      <c r="I148" s="22" t="n">
        <v>275000</v>
      </c>
      <c r="J148" s="20" t="inlineStr">
        <is>
          <t>Exchange VIJAYAWADA</t>
        </is>
      </c>
      <c r="K148" s="20" t="inlineStr">
        <is>
          <t>Captive</t>
        </is>
      </c>
      <c r="L148" s="20" t="inlineStr">
        <is>
          <t>Subbayya Tanaki</t>
        </is>
      </c>
      <c r="M148" s="23" t="n">
        <v>16949.15</v>
      </c>
    </row>
    <row r="149">
      <c r="A149" s="19" t="inlineStr">
        <is>
          <t>FY26</t>
        </is>
      </c>
      <c r="B149" s="19" t="inlineStr">
        <is>
          <t>Mar</t>
        </is>
      </c>
      <c r="C149" s="19" t="inlineStr">
        <is>
          <t>AP/TS</t>
        </is>
      </c>
      <c r="D149" s="20" t="inlineStr">
        <is>
          <t>AP09CU5985</t>
        </is>
      </c>
      <c r="E149" s="20" t="inlineStr">
        <is>
          <t>HONDA</t>
        </is>
      </c>
      <c r="F149" s="20" t="inlineStr">
        <is>
          <t>Amaze</t>
        </is>
      </c>
      <c r="G149" s="21" t="n">
        <v>2013</v>
      </c>
      <c r="H149" s="22" t="n">
        <v>80697</v>
      </c>
      <c r="I149" s="22" t="n">
        <v>195000</v>
      </c>
      <c r="J149" s="20" t="inlineStr">
        <is>
          <t>Exchange VIJAYAWADA</t>
        </is>
      </c>
      <c r="K149" s="20" t="inlineStr">
        <is>
          <t>Captive</t>
        </is>
      </c>
      <c r="L149" s="20" t="inlineStr">
        <is>
          <t>Chittibomma Srinivasa Rao</t>
        </is>
      </c>
      <c r="M149" s="23" t="n">
        <v>12711.86</v>
      </c>
    </row>
    <row r="150">
      <c r="A150" s="19" t="inlineStr">
        <is>
          <t>FY26</t>
        </is>
      </c>
      <c r="B150" s="19" t="inlineStr">
        <is>
          <t>Mar</t>
        </is>
      </c>
      <c r="C150" s="19" t="inlineStr">
        <is>
          <t>AP/TS</t>
        </is>
      </c>
      <c r="D150" s="20" t="inlineStr">
        <is>
          <t>AP31CW7558</t>
        </is>
      </c>
      <c r="E150" s="20" t="inlineStr">
        <is>
          <t>HYUNDAI</t>
        </is>
      </c>
      <c r="F150" s="20" t="inlineStr">
        <is>
          <t>Xcent</t>
        </is>
      </c>
      <c r="G150" s="21" t="n">
        <v>2015</v>
      </c>
      <c r="H150" s="22" t="n">
        <v>135504</v>
      </c>
      <c r="I150" s="22" t="n">
        <v>250000</v>
      </c>
      <c r="J150" s="20" t="inlineStr">
        <is>
          <t>Exchange VIJAYAWADA</t>
        </is>
      </c>
      <c r="K150" s="20" t="inlineStr">
        <is>
          <t>Captive</t>
        </is>
      </c>
      <c r="L150" s="20" t="inlineStr">
        <is>
          <t>Tenali Srinivas</t>
        </is>
      </c>
      <c r="M150" s="23" t="n">
        <v>12711.86</v>
      </c>
    </row>
    <row r="151">
      <c r="A151" s="19" t="inlineStr">
        <is>
          <t>FY26</t>
        </is>
      </c>
      <c r="B151" s="19" t="inlineStr">
        <is>
          <t>Mar</t>
        </is>
      </c>
      <c r="C151" s="19" t="inlineStr">
        <is>
          <t>AP/TS</t>
        </is>
      </c>
      <c r="D151" s="20" t="inlineStr">
        <is>
          <t>AP31CC9919</t>
        </is>
      </c>
      <c r="E151" s="20" t="inlineStr">
        <is>
          <t>NISSAN</t>
        </is>
      </c>
      <c r="F151" s="20" t="inlineStr">
        <is>
          <t>Sunny</t>
        </is>
      </c>
      <c r="G151" s="21" t="n">
        <v>2012</v>
      </c>
      <c r="H151" s="22" t="n">
        <v>136729</v>
      </c>
      <c r="I151" s="22" t="n">
        <v>125000</v>
      </c>
      <c r="J151" s="20" t="inlineStr">
        <is>
          <t>Exchange VIZAG</t>
        </is>
      </c>
      <c r="K151" s="20" t="inlineStr">
        <is>
          <t>Captive</t>
        </is>
      </c>
      <c r="L151" s="20" t="inlineStr">
        <is>
          <t>Kesireddy Saikiran</t>
        </is>
      </c>
      <c r="M151" s="23" t="n">
        <v>12711.86</v>
      </c>
    </row>
    <row r="152">
      <c r="A152" s="19" t="inlineStr">
        <is>
          <t>FY26</t>
        </is>
      </c>
      <c r="B152" s="19" t="inlineStr">
        <is>
          <t>Mar</t>
        </is>
      </c>
      <c r="C152" s="19" t="inlineStr">
        <is>
          <t>AP/TS</t>
        </is>
      </c>
      <c r="D152" s="20" t="inlineStr">
        <is>
          <t>AP31AC9019</t>
        </is>
      </c>
      <c r="E152" s="20" t="inlineStr">
        <is>
          <t>TATA</t>
        </is>
      </c>
      <c r="F152" s="20" t="inlineStr">
        <is>
          <t>Indigo</t>
        </is>
      </c>
      <c r="G152" s="21" t="n">
        <v>2003</v>
      </c>
      <c r="H152" s="22" t="n">
        <v>145549</v>
      </c>
      <c r="I152" s="22" t="n">
        <v>35000</v>
      </c>
      <c r="J152" s="20" t="inlineStr">
        <is>
          <t>B Venkata Rao</t>
        </is>
      </c>
      <c r="K152" s="20" t="inlineStr">
        <is>
          <t>Non-Captive</t>
        </is>
      </c>
      <c r="L152" s="20" t="inlineStr">
        <is>
          <t>Kesireddy Saikiran</t>
        </is>
      </c>
      <c r="M152" s="23" t="n">
        <v>4237.29</v>
      </c>
    </row>
    <row r="153">
      <c r="A153" s="19" t="inlineStr">
        <is>
          <t>FY26</t>
        </is>
      </c>
      <c r="B153" s="19" t="inlineStr">
        <is>
          <t>Mar</t>
        </is>
      </c>
      <c r="C153" s="19" t="inlineStr">
        <is>
          <t>AP/TS</t>
        </is>
      </c>
      <c r="D153" s="20" t="inlineStr">
        <is>
          <t>AP31CP6091</t>
        </is>
      </c>
      <c r="E153" s="20" t="inlineStr">
        <is>
          <t>HONDA</t>
        </is>
      </c>
      <c r="F153" s="20" t="inlineStr">
        <is>
          <t>Brio</t>
        </is>
      </c>
      <c r="G153" s="21" t="n">
        <v>2014</v>
      </c>
      <c r="H153" s="22" t="n">
        <v>53215</v>
      </c>
      <c r="I153" s="22" t="n">
        <v>212000</v>
      </c>
      <c r="J153" s="20" t="inlineStr">
        <is>
          <t>Exchange VIZAG</t>
        </is>
      </c>
      <c r="K153" s="20" t="inlineStr">
        <is>
          <t>Captive</t>
        </is>
      </c>
      <c r="L153" s="20" t="inlineStr">
        <is>
          <t>Gadi Sri Bharathi</t>
        </is>
      </c>
      <c r="M153" s="23" t="n">
        <v>10169.49</v>
      </c>
    </row>
    <row r="154">
      <c r="A154" s="19" t="inlineStr">
        <is>
          <t>FY26</t>
        </is>
      </c>
      <c r="B154" s="19" t="inlineStr">
        <is>
          <t>Mar</t>
        </is>
      </c>
      <c r="C154" s="19" t="inlineStr">
        <is>
          <t>AP/TS</t>
        </is>
      </c>
      <c r="D154" s="20" t="inlineStr">
        <is>
          <t>AP28BL5824</t>
        </is>
      </c>
      <c r="E154" s="20" t="inlineStr">
        <is>
          <t>CHEVROLET</t>
        </is>
      </c>
      <c r="F154" s="20" t="inlineStr">
        <is>
          <t>Spark</t>
        </is>
      </c>
      <c r="G154" s="21" t="n">
        <v>2009</v>
      </c>
      <c r="H154" s="22" t="n">
        <v>79895</v>
      </c>
      <c r="I154" s="22" t="n">
        <v>40000</v>
      </c>
      <c r="J154" s="20" t="inlineStr">
        <is>
          <t>Exchange HYDERABAD</t>
        </is>
      </c>
      <c r="K154" s="20" t="inlineStr">
        <is>
          <t>Captive</t>
        </is>
      </c>
      <c r="L154" s="20" t="inlineStr">
        <is>
          <t>Prabjyoth Singh Wasu</t>
        </is>
      </c>
      <c r="M154" s="23" t="n">
        <v>12711.86</v>
      </c>
    </row>
    <row r="155">
      <c r="A155" s="19" t="inlineStr">
        <is>
          <t>FY26</t>
        </is>
      </c>
      <c r="B155" s="19" t="inlineStr">
        <is>
          <t>Mar</t>
        </is>
      </c>
      <c r="C155" s="19" t="inlineStr">
        <is>
          <t>AP/TS</t>
        </is>
      </c>
      <c r="D155" s="20" t="inlineStr">
        <is>
          <t>TS08JL8020</t>
        </is>
      </c>
      <c r="E155" s="20" t="inlineStr">
        <is>
          <t>MARUTI SUZUKI</t>
        </is>
      </c>
      <c r="F155" s="20" t="inlineStr">
        <is>
          <t>Alto K10</t>
        </is>
      </c>
      <c r="G155" s="21" t="n">
        <v>2022</v>
      </c>
      <c r="H155" s="22" t="n">
        <v>24512</v>
      </c>
      <c r="I155" s="22" t="n">
        <v>205000</v>
      </c>
      <c r="J155" s="20" t="inlineStr">
        <is>
          <t>Exchange HYDERABAD</t>
        </is>
      </c>
      <c r="K155" s="20" t="inlineStr">
        <is>
          <t>Captive</t>
        </is>
      </c>
      <c r="L155" s="20" t="inlineStr">
        <is>
          <t>Prasanna Kulkarni</t>
        </is>
      </c>
      <c r="M155" s="23" t="n">
        <v>4237.29</v>
      </c>
    </row>
    <row r="156">
      <c r="A156" s="19" t="inlineStr">
        <is>
          <t>FY26</t>
        </is>
      </c>
      <c r="B156" s="19" t="inlineStr">
        <is>
          <t>Mar</t>
        </is>
      </c>
      <c r="C156" s="19" t="inlineStr">
        <is>
          <t>AP/TS</t>
        </is>
      </c>
      <c r="D156" s="20" t="inlineStr">
        <is>
          <t>AP09CR6576</t>
        </is>
      </c>
      <c r="E156" s="20" t="inlineStr">
        <is>
          <t>SKODA</t>
        </is>
      </c>
      <c r="F156" s="20" t="inlineStr">
        <is>
          <t>Rapid</t>
        </is>
      </c>
      <c r="G156" s="21" t="n">
        <v>2013</v>
      </c>
      <c r="H156" s="22" t="n">
        <v>88830</v>
      </c>
      <c r="I156" s="22" t="n">
        <v>195000</v>
      </c>
      <c r="J156" s="20" t="inlineStr">
        <is>
          <t>Exchange VIZAG</t>
        </is>
      </c>
      <c r="K156" s="20" t="inlineStr">
        <is>
          <t>Captive</t>
        </is>
      </c>
      <c r="L156" s="20" t="inlineStr">
        <is>
          <t>Kodukula Kausalya Devi</t>
        </is>
      </c>
      <c r="M156" s="23" t="n">
        <v>21186.44</v>
      </c>
    </row>
    <row r="157">
      <c r="A157" s="19" t="inlineStr">
        <is>
          <t>FY27</t>
        </is>
      </c>
      <c r="B157" s="19" t="inlineStr">
        <is>
          <t>Apr</t>
        </is>
      </c>
      <c r="C157" s="19" t="inlineStr">
        <is>
          <t>AP/TS</t>
        </is>
      </c>
      <c r="D157" s="20" t="inlineStr">
        <is>
          <t>TG097748</t>
        </is>
      </c>
      <c r="E157" s="20" t="inlineStr">
        <is>
          <t>RENAULT</t>
        </is>
      </c>
      <c r="F157" s="20" t="inlineStr">
        <is>
          <t>Kwid</t>
        </is>
      </c>
      <c r="G157" s="21" t="n">
        <v>2024</v>
      </c>
      <c r="H157" s="22" t="n">
        <v>23433</v>
      </c>
      <c r="I157" s="22" t="n">
        <v>355000</v>
      </c>
      <c r="J157" s="20" t="inlineStr">
        <is>
          <t>Exchange HYDERABAD</t>
        </is>
      </c>
      <c r="K157" s="20" t="inlineStr">
        <is>
          <t>Captive</t>
        </is>
      </c>
      <c r="L157" s="20" t="inlineStr">
        <is>
          <t>Prabjyoth Singh Wasu</t>
        </is>
      </c>
      <c r="M157" s="23" t="n">
        <v>8474.58</v>
      </c>
    </row>
    <row r="158">
      <c r="A158" s="19" t="inlineStr">
        <is>
          <t>FY27</t>
        </is>
      </c>
      <c r="B158" s="19" t="inlineStr">
        <is>
          <t>Apr</t>
        </is>
      </c>
      <c r="C158" s="19" t="inlineStr">
        <is>
          <t>AP/TS</t>
        </is>
      </c>
      <c r="D158" s="20" t="inlineStr">
        <is>
          <t>TS04EK3140</t>
        </is>
      </c>
      <c r="E158" s="20" t="inlineStr">
        <is>
          <t>MARUTI SUZUKI</t>
        </is>
      </c>
      <c r="F158" s="20" t="inlineStr">
        <is>
          <t>Alto K10</t>
        </is>
      </c>
      <c r="G158" s="21" t="n">
        <v>2015</v>
      </c>
      <c r="H158" s="22" t="n">
        <v>142128</v>
      </c>
      <c r="I158" s="22" t="n">
        <v>150000</v>
      </c>
      <c r="J158" s="20" t="inlineStr">
        <is>
          <t>Odapally Sandeep</t>
        </is>
      </c>
      <c r="K158" s="20" t="inlineStr">
        <is>
          <t>Non-Captive</t>
        </is>
      </c>
      <c r="L158" s="20" t="inlineStr">
        <is>
          <t>Prabjyoth Singh Wasu</t>
        </is>
      </c>
      <c r="M158" s="23" t="n">
        <v>4237.29</v>
      </c>
    </row>
    <row r="159">
      <c r="A159" s="19" t="inlineStr">
        <is>
          <t>FY27</t>
        </is>
      </c>
      <c r="B159" s="19" t="inlineStr">
        <is>
          <t>Apr</t>
        </is>
      </c>
      <c r="C159" s="19" t="inlineStr">
        <is>
          <t>AP/TS</t>
        </is>
      </c>
      <c r="D159" s="20" t="inlineStr">
        <is>
          <t>TS04EF4777</t>
        </is>
      </c>
      <c r="E159" s="20" t="inlineStr">
        <is>
          <t>FORD</t>
        </is>
      </c>
      <c r="F159" s="20" t="inlineStr">
        <is>
          <t>Figo Aspire</t>
        </is>
      </c>
      <c r="G159" s="21" t="n">
        <v>2015</v>
      </c>
      <c r="H159" s="22" t="n">
        <v>175418</v>
      </c>
      <c r="I159" s="22" t="n">
        <v>150000</v>
      </c>
      <c r="J159" s="20" t="inlineStr">
        <is>
          <t>Odapally Sandeep</t>
        </is>
      </c>
      <c r="K159" s="20" t="inlineStr">
        <is>
          <t>Non-Captive</t>
        </is>
      </c>
      <c r="L159" s="20" t="inlineStr">
        <is>
          <t>Prabjyoth Singh Wasu</t>
        </is>
      </c>
      <c r="M159" s="23" t="n">
        <v>4237.29</v>
      </c>
    </row>
    <row r="160">
      <c r="A160" s="19" t="inlineStr">
        <is>
          <t>FY27</t>
        </is>
      </c>
      <c r="B160" s="19" t="inlineStr">
        <is>
          <t>Apr</t>
        </is>
      </c>
      <c r="C160" s="19" t="inlineStr">
        <is>
          <t>AP/TS</t>
        </is>
      </c>
      <c r="D160" s="20" t="inlineStr">
        <is>
          <t>AP37AY5931</t>
        </is>
      </c>
      <c r="E160" s="20" t="inlineStr">
        <is>
          <t>MARUTI SUZUKI</t>
        </is>
      </c>
      <c r="F160" s="20" t="inlineStr">
        <is>
          <t>Alto</t>
        </is>
      </c>
      <c r="G160" s="21" t="n">
        <v>2010</v>
      </c>
      <c r="H160" s="22" t="n">
        <v>124708</v>
      </c>
      <c r="I160" s="22" t="n">
        <v>90000</v>
      </c>
      <c r="J160" s="20" t="inlineStr">
        <is>
          <t>Exchange VIJAYAWADA</t>
        </is>
      </c>
      <c r="K160" s="20" t="inlineStr">
        <is>
          <t>Captive</t>
        </is>
      </c>
      <c r="L160" s="20" t="inlineStr">
        <is>
          <t>Akiri Akash</t>
        </is>
      </c>
      <c r="M160" s="23" t="n">
        <v>8474.58</v>
      </c>
    </row>
    <row r="161">
      <c r="A161" s="19" t="inlineStr">
        <is>
          <t>FY27</t>
        </is>
      </c>
      <c r="B161" s="19" t="inlineStr">
        <is>
          <t>Apr</t>
        </is>
      </c>
      <c r="C161" s="19" t="inlineStr">
        <is>
          <t>AP/TS</t>
        </is>
      </c>
      <c r="D161" s="20" t="inlineStr">
        <is>
          <t>AP16CH2476</t>
        </is>
      </c>
      <c r="E161" s="20" t="inlineStr">
        <is>
          <t>HYUNDAI</t>
        </is>
      </c>
      <c r="F161" s="20" t="inlineStr">
        <is>
          <t>I10</t>
        </is>
      </c>
      <c r="G161" s="21" t="n">
        <v>2013</v>
      </c>
      <c r="H161" s="22" t="n">
        <v>187125</v>
      </c>
      <c r="I161" s="22" t="n">
        <v>180000</v>
      </c>
      <c r="J161" s="20" t="inlineStr">
        <is>
          <t>Mohammed Gouse Basha</t>
        </is>
      </c>
      <c r="K161" s="20" t="inlineStr">
        <is>
          <t>Non-Captive</t>
        </is>
      </c>
      <c r="L161" s="20" t="inlineStr">
        <is>
          <t>Tenali Srinivas</t>
        </is>
      </c>
      <c r="M161" s="23" t="n">
        <v>5084.75</v>
      </c>
    </row>
    <row r="162">
      <c r="A162" s="19" t="inlineStr">
        <is>
          <t>FY27</t>
        </is>
      </c>
      <c r="B162" s="19" t="inlineStr">
        <is>
          <t>Apr</t>
        </is>
      </c>
      <c r="C162" s="19" t="inlineStr">
        <is>
          <t>AP/TS</t>
        </is>
      </c>
      <c r="D162" s="20" t="inlineStr">
        <is>
          <t>AP09CB2766</t>
        </is>
      </c>
      <c r="E162" s="20" t="inlineStr">
        <is>
          <t>HONDA</t>
        </is>
      </c>
      <c r="F162" s="20" t="inlineStr">
        <is>
          <t>City</t>
        </is>
      </c>
      <c r="G162" s="21" t="n">
        <v>2010</v>
      </c>
      <c r="H162" s="22" t="n">
        <v>139741</v>
      </c>
      <c r="I162" s="22" t="n">
        <v>180000</v>
      </c>
      <c r="J162" s="20" t="inlineStr">
        <is>
          <t>Mohammed Gouse Basha</t>
        </is>
      </c>
      <c r="K162" s="20" t="inlineStr">
        <is>
          <t>Non-Captive</t>
        </is>
      </c>
      <c r="L162" s="20" t="inlineStr">
        <is>
          <t>Tenali Srinivas</t>
        </is>
      </c>
      <c r="M162" s="23" t="n">
        <v>5084.75</v>
      </c>
    </row>
    <row r="163">
      <c r="A163" s="19" t="inlineStr">
        <is>
          <t>FY27</t>
        </is>
      </c>
      <c r="B163" s="19" t="inlineStr">
        <is>
          <t>Apr</t>
        </is>
      </c>
      <c r="C163" s="19" t="inlineStr">
        <is>
          <t>AP/TS</t>
        </is>
      </c>
      <c r="D163" s="20" t="inlineStr">
        <is>
          <t>AP05CW6858</t>
        </is>
      </c>
      <c r="E163" s="20" t="inlineStr">
        <is>
          <t>HONDA</t>
        </is>
      </c>
      <c r="F163" s="20" t="inlineStr">
        <is>
          <t>Br-V</t>
        </is>
      </c>
      <c r="G163" s="21" t="n">
        <v>2016</v>
      </c>
      <c r="H163" s="22" t="n">
        <v>140987</v>
      </c>
      <c r="I163" s="22" t="n">
        <v>465000</v>
      </c>
      <c r="J163" s="20" t="inlineStr">
        <is>
          <t>Exchange VIJAYAWADA</t>
        </is>
      </c>
      <c r="K163" s="20" t="inlineStr">
        <is>
          <t>Captive</t>
        </is>
      </c>
      <c r="L163" s="20" t="inlineStr">
        <is>
          <t>Mohammed Shafivulla</t>
        </is>
      </c>
      <c r="M163" s="23" t="n">
        <v>12711.86</v>
      </c>
    </row>
    <row r="164">
      <c r="A164" s="19" t="inlineStr">
        <is>
          <t>FY27</t>
        </is>
      </c>
      <c r="B164" s="19" t="inlineStr">
        <is>
          <t>Apr</t>
        </is>
      </c>
      <c r="C164" s="19" t="inlineStr">
        <is>
          <t>AP/TS</t>
        </is>
      </c>
      <c r="D164" s="20" t="inlineStr">
        <is>
          <t>AP33C8676</t>
        </is>
      </c>
      <c r="E164" s="20" t="inlineStr">
        <is>
          <t>TATA</t>
        </is>
      </c>
      <c r="F164" s="20" t="inlineStr">
        <is>
          <t>Indigo Cs</t>
        </is>
      </c>
      <c r="G164" s="21" t="n">
        <v>2009</v>
      </c>
      <c r="H164" s="22" t="n">
        <v>163545</v>
      </c>
      <c r="I164" s="22" t="n">
        <v>44000</v>
      </c>
      <c r="J164" s="20" t="inlineStr">
        <is>
          <t>Exchange VIZAG</t>
        </is>
      </c>
      <c r="K164" s="20" t="inlineStr">
        <is>
          <t>Captive</t>
        </is>
      </c>
      <c r="L164" s="20" t="inlineStr">
        <is>
          <t>Kaki Dinesh Kumar</t>
        </is>
      </c>
      <c r="M164" s="23" t="n">
        <v>5084.75</v>
      </c>
    </row>
    <row r="165">
      <c r="A165" s="19" t="inlineStr">
        <is>
          <t>FY27</t>
        </is>
      </c>
      <c r="B165" s="19" t="inlineStr">
        <is>
          <t>Apr</t>
        </is>
      </c>
      <c r="C165" s="19" t="inlineStr">
        <is>
          <t>AP/TS</t>
        </is>
      </c>
      <c r="D165" s="20" t="inlineStr">
        <is>
          <t>AP07CJ4027</t>
        </is>
      </c>
      <c r="E165" s="20" t="inlineStr">
        <is>
          <t>RENAULT</t>
        </is>
      </c>
      <c r="F165" s="20" t="inlineStr">
        <is>
          <t>Scala</t>
        </is>
      </c>
      <c r="G165" s="21" t="n">
        <v>2014</v>
      </c>
      <c r="H165" s="22" t="n">
        <v>189054</v>
      </c>
      <c r="I165" s="22" t="n">
        <v>210000</v>
      </c>
      <c r="J165" s="20" t="inlineStr">
        <is>
          <t>Exchange VIJAYAWADA</t>
        </is>
      </c>
      <c r="K165" s="20" t="inlineStr">
        <is>
          <t>Captive</t>
        </is>
      </c>
      <c r="L165" s="20" t="inlineStr">
        <is>
          <t>Guthi Ravi Krishna</t>
        </is>
      </c>
      <c r="M165" s="23" t="n">
        <v>8474.58</v>
      </c>
    </row>
    <row r="166">
      <c r="A166" s="19" t="inlineStr">
        <is>
          <t>FY27</t>
        </is>
      </c>
      <c r="B166" s="19" t="inlineStr">
        <is>
          <t>Apr</t>
        </is>
      </c>
      <c r="C166" s="19" t="inlineStr">
        <is>
          <t>AP/TS</t>
        </is>
      </c>
      <c r="D166" s="20" t="inlineStr">
        <is>
          <t>AP31DC0800</t>
        </is>
      </c>
      <c r="E166" s="20" t="inlineStr">
        <is>
          <t>RENAULT</t>
        </is>
      </c>
      <c r="F166" s="20" t="inlineStr">
        <is>
          <t>Scala</t>
        </is>
      </c>
      <c r="G166" s="21" t="n">
        <v>2015</v>
      </c>
      <c r="H166" s="22" t="n">
        <v>175212</v>
      </c>
      <c r="I166" s="22" t="n">
        <v>205000</v>
      </c>
      <c r="J166" s="20" t="inlineStr">
        <is>
          <t>T Srinivas</t>
        </is>
      </c>
      <c r="K166" s="20" t="inlineStr">
        <is>
          <t>Non-Captive</t>
        </is>
      </c>
      <c r="L166" s="20" t="inlineStr">
        <is>
          <t>Guthi Ravi Krishna</t>
        </is>
      </c>
      <c r="M166" s="23" t="n">
        <v>4237.29</v>
      </c>
    </row>
    <row r="167">
      <c r="A167" s="19" t="inlineStr">
        <is>
          <t>FY27</t>
        </is>
      </c>
      <c r="B167" s="19" t="inlineStr">
        <is>
          <t>Apr</t>
        </is>
      </c>
      <c r="C167" s="19" t="inlineStr">
        <is>
          <t>AP/TS</t>
        </is>
      </c>
      <c r="D167" s="20" t="inlineStr">
        <is>
          <t>AP39KF7366</t>
        </is>
      </c>
      <c r="E167" s="20" t="inlineStr">
        <is>
          <t>MARUTI SUZUKI</t>
        </is>
      </c>
      <c r="F167" s="20" t="inlineStr">
        <is>
          <t>S-Presso</t>
        </is>
      </c>
      <c r="G167" s="21" t="n">
        <v>2021</v>
      </c>
      <c r="H167" s="22" t="n">
        <v>32361</v>
      </c>
      <c r="I167" s="22" t="n">
        <v>332000</v>
      </c>
      <c r="J167" s="20" t="inlineStr">
        <is>
          <t>Exchange VIZAG</t>
        </is>
      </c>
      <c r="K167" s="20" t="inlineStr">
        <is>
          <t>Captive</t>
        </is>
      </c>
      <c r="L167" s="20" t="inlineStr">
        <is>
          <t>P S Aamir Ovez</t>
        </is>
      </c>
      <c r="M167" s="23" t="n">
        <v>10169.49</v>
      </c>
    </row>
    <row r="168">
      <c r="A168" s="19" t="inlineStr">
        <is>
          <t>FY27</t>
        </is>
      </c>
      <c r="B168" s="19" t="inlineStr">
        <is>
          <t>Apr</t>
        </is>
      </c>
      <c r="C168" s="19" t="inlineStr">
        <is>
          <t>AP/TS</t>
        </is>
      </c>
      <c r="D168" s="20" t="inlineStr">
        <is>
          <t>AP09CL6210</t>
        </is>
      </c>
      <c r="E168" s="20" t="inlineStr">
        <is>
          <t>HONDA</t>
        </is>
      </c>
      <c r="F168" s="20" t="inlineStr">
        <is>
          <t>Brio</t>
        </is>
      </c>
      <c r="G168" s="21" t="n">
        <v>2012</v>
      </c>
      <c r="H168" s="22" t="n">
        <v>83823</v>
      </c>
      <c r="I168" s="22" t="n">
        <v>130000</v>
      </c>
      <c r="J168" s="20" t="inlineStr">
        <is>
          <t>Exchange HYDERABAD</t>
        </is>
      </c>
      <c r="K168" s="20" t="inlineStr">
        <is>
          <t>Captive</t>
        </is>
      </c>
      <c r="L168" s="20" t="inlineStr">
        <is>
          <t>Naini Ramesh</t>
        </is>
      </c>
      <c r="M168" s="23" t="n">
        <v>4237.29</v>
      </c>
    </row>
    <row r="169">
      <c r="A169" s="19" t="inlineStr">
        <is>
          <t>FY27</t>
        </is>
      </c>
      <c r="B169" s="19" t="inlineStr">
        <is>
          <t>Apr</t>
        </is>
      </c>
      <c r="C169" s="19" t="inlineStr">
        <is>
          <t>AP/TS</t>
        </is>
      </c>
      <c r="D169" s="20" t="inlineStr">
        <is>
          <t>AP16CF4698</t>
        </is>
      </c>
      <c r="E169" s="20" t="inlineStr">
        <is>
          <t>HONDA</t>
        </is>
      </c>
      <c r="F169" s="20" t="inlineStr">
        <is>
          <t>City</t>
        </is>
      </c>
      <c r="G169" s="21" t="n">
        <v>2013</v>
      </c>
      <c r="H169" s="22" t="n">
        <v>188029</v>
      </c>
      <c r="I169" s="22" t="n">
        <v>180000</v>
      </c>
      <c r="J169" s="20" t="inlineStr">
        <is>
          <t>T Srinivas</t>
        </is>
      </c>
      <c r="K169" s="20" t="inlineStr">
        <is>
          <t>Non-Captive</t>
        </is>
      </c>
      <c r="L169" s="20" t="inlineStr">
        <is>
          <t>Mohammed Gouse Basha</t>
        </is>
      </c>
      <c r="M169" s="23" t="n">
        <v>5084.75</v>
      </c>
    </row>
    <row r="170">
      <c r="A170" s="19" t="inlineStr">
        <is>
          <t>FY27</t>
        </is>
      </c>
      <c r="B170" s="19" t="inlineStr">
        <is>
          <t>Apr</t>
        </is>
      </c>
      <c r="C170" s="19" t="inlineStr">
        <is>
          <t>AP/TS</t>
        </is>
      </c>
      <c r="D170" s="20" t="inlineStr">
        <is>
          <t>AP16CH5879</t>
        </is>
      </c>
      <c r="E170" s="20" t="inlineStr">
        <is>
          <t>TOYOTA</t>
        </is>
      </c>
      <c r="F170" s="20" t="inlineStr">
        <is>
          <t>Etios</t>
        </is>
      </c>
      <c r="G170" s="21" t="n">
        <v>2013</v>
      </c>
      <c r="H170" s="22" t="n">
        <v>59802</v>
      </c>
      <c r="I170" s="22" t="n">
        <v>257500</v>
      </c>
      <c r="J170" s="20" t="inlineStr">
        <is>
          <t>Exchange VIJAYAWADA</t>
        </is>
      </c>
      <c r="K170" s="20" t="inlineStr">
        <is>
          <t>Captive</t>
        </is>
      </c>
      <c r="L170" s="20" t="inlineStr">
        <is>
          <t>Suresh Ginjupalli</t>
        </is>
      </c>
      <c r="M170" s="23" t="n">
        <v>6355.93</v>
      </c>
    </row>
    <row r="171">
      <c r="A171" s="19" t="inlineStr">
        <is>
          <t>FY27</t>
        </is>
      </c>
      <c r="B171" s="19" t="inlineStr">
        <is>
          <t>Apr</t>
        </is>
      </c>
      <c r="C171" s="19" t="inlineStr">
        <is>
          <t>AP/TS</t>
        </is>
      </c>
      <c r="D171" s="20" t="inlineStr">
        <is>
          <t>AP16FD7112</t>
        </is>
      </c>
      <c r="E171" s="20" t="inlineStr">
        <is>
          <t>HYUNDAI</t>
        </is>
      </c>
      <c r="F171" s="20" t="inlineStr">
        <is>
          <t>Eon</t>
        </is>
      </c>
      <c r="G171" s="21" t="n">
        <v>2018</v>
      </c>
      <c r="H171" s="22" t="n">
        <v>136252</v>
      </c>
      <c r="I171" s="22" t="n">
        <v>217500</v>
      </c>
      <c r="J171" s="20" t="inlineStr">
        <is>
          <t>T Srinivas</t>
        </is>
      </c>
      <c r="K171" s="20" t="inlineStr">
        <is>
          <t>Non-Captive</t>
        </is>
      </c>
      <c r="L171" s="20" t="inlineStr">
        <is>
          <t>Suresh Ginjupalli</t>
        </is>
      </c>
      <c r="M171" s="23" t="n">
        <v>6355.93</v>
      </c>
    </row>
    <row r="172">
      <c r="A172" s="19" t="inlineStr">
        <is>
          <t>FY27</t>
        </is>
      </c>
      <c r="B172" s="19" t="inlineStr">
        <is>
          <t>Apr</t>
        </is>
      </c>
      <c r="C172" s="19" t="inlineStr">
        <is>
          <t>AP/TS</t>
        </is>
      </c>
      <c r="D172" s="20" t="inlineStr">
        <is>
          <t>AP39DE2959</t>
        </is>
      </c>
      <c r="E172" s="20" t="inlineStr">
        <is>
          <t>HYUNDAI</t>
        </is>
      </c>
      <c r="F172" s="20" t="inlineStr">
        <is>
          <t>Verna</t>
        </is>
      </c>
      <c r="G172" s="21" t="n">
        <v>2019</v>
      </c>
      <c r="H172" s="22" t="n">
        <v>73454</v>
      </c>
      <c r="I172" s="22" t="n">
        <v>662000</v>
      </c>
      <c r="J172" s="20" t="inlineStr">
        <is>
          <t>Exchange VIJAYAWADA</t>
        </is>
      </c>
      <c r="K172" s="20" t="inlineStr">
        <is>
          <t>Captive</t>
        </is>
      </c>
      <c r="L172" s="20" t="inlineStr">
        <is>
          <t>Guthi Ravi Krishna</t>
        </is>
      </c>
      <c r="M172" s="23" t="n">
        <v>10169.49</v>
      </c>
    </row>
    <row r="173">
      <c r="A173" s="19" t="inlineStr">
        <is>
          <t>FY27</t>
        </is>
      </c>
      <c r="B173" s="19" t="inlineStr">
        <is>
          <t>Apr</t>
        </is>
      </c>
      <c r="C173" s="19" t="inlineStr">
        <is>
          <t>AP/TS</t>
        </is>
      </c>
      <c r="D173" s="20" t="inlineStr">
        <is>
          <t>AP16CH0014</t>
        </is>
      </c>
      <c r="E173" s="20" t="inlineStr">
        <is>
          <t>HYUNDAI</t>
        </is>
      </c>
      <c r="F173" s="20" t="inlineStr">
        <is>
          <t>I10</t>
        </is>
      </c>
      <c r="G173" s="21" t="n">
        <v>2013</v>
      </c>
      <c r="H173" s="22" t="n">
        <v>140151</v>
      </c>
      <c r="I173" s="22" t="n">
        <v>200000</v>
      </c>
      <c r="J173" s="20" t="inlineStr">
        <is>
          <t>Vinod Kumar Murari</t>
        </is>
      </c>
      <c r="K173" s="20" t="inlineStr">
        <is>
          <t>Non-Captive</t>
        </is>
      </c>
      <c r="L173" s="20" t="inlineStr">
        <is>
          <t>Guthi Ravi Krishna</t>
        </is>
      </c>
      <c r="M173" s="23" t="n">
        <v>5084.75</v>
      </c>
    </row>
    <row r="174">
      <c r="A174" s="19" t="inlineStr">
        <is>
          <t>FY27</t>
        </is>
      </c>
      <c r="B174" s="19" t="inlineStr">
        <is>
          <t>Apr</t>
        </is>
      </c>
      <c r="C174" s="19" t="inlineStr">
        <is>
          <t>AP/TS</t>
        </is>
      </c>
      <c r="D174" s="20" t="inlineStr">
        <is>
          <t>AP16DP2237</t>
        </is>
      </c>
      <c r="E174" s="20" t="inlineStr">
        <is>
          <t>MARUTI SUZUKI</t>
        </is>
      </c>
      <c r="F174" s="20" t="inlineStr">
        <is>
          <t>Ritz</t>
        </is>
      </c>
      <c r="G174" s="21" t="n">
        <v>2016</v>
      </c>
      <c r="H174" s="22" t="n">
        <v>169063</v>
      </c>
      <c r="I174" s="22" t="n">
        <v>190000</v>
      </c>
      <c r="J174" s="20" t="inlineStr">
        <is>
          <t>Vinod Kumar Murari</t>
        </is>
      </c>
      <c r="K174" s="20" t="inlineStr">
        <is>
          <t>Non-Captive</t>
        </is>
      </c>
      <c r="L174" s="20" t="inlineStr">
        <is>
          <t>Guthi Ravi Krishna</t>
        </is>
      </c>
      <c r="M174" s="23" t="n">
        <v>5932.2</v>
      </c>
    </row>
    <row r="175">
      <c r="A175" s="19" t="inlineStr">
        <is>
          <t>FY27</t>
        </is>
      </c>
      <c r="B175" s="19" t="inlineStr">
        <is>
          <t>Apr</t>
        </is>
      </c>
      <c r="C175" s="19" t="inlineStr">
        <is>
          <t>AP/TS</t>
        </is>
      </c>
      <c r="D175" s="20" t="inlineStr">
        <is>
          <t>AP16EN6993</t>
        </is>
      </c>
      <c r="E175" s="20" t="inlineStr">
        <is>
          <t>MARUTI SUZUKI</t>
        </is>
      </c>
      <c r="F175" s="20" t="inlineStr">
        <is>
          <t>Celerio</t>
        </is>
      </c>
      <c r="G175" s="21" t="n">
        <v>2017</v>
      </c>
      <c r="H175" s="22" t="n">
        <v>135212</v>
      </c>
      <c r="I175" s="22" t="n">
        <v>190000</v>
      </c>
      <c r="J175" s="20" t="inlineStr">
        <is>
          <t>Vinod Kumar Murari</t>
        </is>
      </c>
      <c r="K175" s="20" t="inlineStr">
        <is>
          <t>Non-Captive</t>
        </is>
      </c>
      <c r="L175" s="20" t="inlineStr">
        <is>
          <t>Devarapalli Avinash</t>
        </is>
      </c>
      <c r="M175" s="23" t="n">
        <v>5084.75</v>
      </c>
    </row>
    <row r="176">
      <c r="A176" s="19" t="inlineStr">
        <is>
          <t>FY27</t>
        </is>
      </c>
      <c r="B176" s="19" t="inlineStr">
        <is>
          <t>Apr</t>
        </is>
      </c>
      <c r="C176" s="19" t="inlineStr">
        <is>
          <t>AP/TS</t>
        </is>
      </c>
      <c r="D176" s="20" t="inlineStr">
        <is>
          <t>AP16DC2996</t>
        </is>
      </c>
      <c r="E176" s="20" t="inlineStr">
        <is>
          <t>HYUNDAI</t>
        </is>
      </c>
      <c r="F176" s="20" t="inlineStr">
        <is>
          <t>Grand I10</t>
        </is>
      </c>
      <c r="G176" s="21" t="n">
        <v>2015</v>
      </c>
      <c r="H176" s="22" t="n">
        <v>191643</v>
      </c>
      <c r="I176" s="22" t="n">
        <v>170000</v>
      </c>
      <c r="J176" s="20" t="inlineStr">
        <is>
          <t>Vinod Kumar Murari</t>
        </is>
      </c>
      <c r="K176" s="20" t="inlineStr">
        <is>
          <t>Non-Captive</t>
        </is>
      </c>
      <c r="L176" s="20" t="inlineStr">
        <is>
          <t>Naga Suresh Polukonda</t>
        </is>
      </c>
      <c r="M176" s="23" t="n">
        <v>5084.75</v>
      </c>
    </row>
    <row r="177">
      <c r="A177" s="19" t="inlineStr">
        <is>
          <t>FY27</t>
        </is>
      </c>
      <c r="B177" s="19" t="inlineStr">
        <is>
          <t>Apr</t>
        </is>
      </c>
      <c r="C177" s="19" t="inlineStr">
        <is>
          <t>AP/TS</t>
        </is>
      </c>
      <c r="D177" s="20" t="inlineStr">
        <is>
          <t>AP16ER1002</t>
        </is>
      </c>
      <c r="E177" s="20" t="inlineStr">
        <is>
          <t>HONDA</t>
        </is>
      </c>
      <c r="F177" s="20" t="inlineStr">
        <is>
          <t>Jazz</t>
        </is>
      </c>
      <c r="G177" s="21" t="n">
        <v>2017</v>
      </c>
      <c r="H177" s="22" t="n">
        <v>185856</v>
      </c>
      <c r="I177" s="22" t="n">
        <v>180000</v>
      </c>
      <c r="J177" s="20" t="inlineStr">
        <is>
          <t>Vinod Kumar Murari</t>
        </is>
      </c>
      <c r="K177" s="20" t="inlineStr">
        <is>
          <t>Non-Captive</t>
        </is>
      </c>
      <c r="L177" s="20" t="inlineStr">
        <is>
          <t>Turaka Sarat</t>
        </is>
      </c>
      <c r="M177" s="23" t="n">
        <v>5084.75</v>
      </c>
    </row>
    <row r="178">
      <c r="A178" s="19" t="inlineStr">
        <is>
          <t>FY27</t>
        </is>
      </c>
      <c r="B178" s="19" t="inlineStr">
        <is>
          <t>Apr</t>
        </is>
      </c>
      <c r="C178" s="19" t="inlineStr">
        <is>
          <t>AP/TS</t>
        </is>
      </c>
      <c r="D178" s="20" t="inlineStr">
        <is>
          <t>AP09BX5540</t>
        </is>
      </c>
      <c r="E178" s="20" t="inlineStr">
        <is>
          <t>HONDA</t>
        </is>
      </c>
      <c r="F178" s="20" t="inlineStr">
        <is>
          <t>City</t>
        </is>
      </c>
      <c r="G178" s="21" t="n">
        <v>2010</v>
      </c>
      <c r="H178" s="22" t="n">
        <v>58533</v>
      </c>
      <c r="I178" s="22" t="n">
        <v>180000</v>
      </c>
      <c r="J178" s="20" t="inlineStr">
        <is>
          <t>Exchange HYDERABAD</t>
        </is>
      </c>
      <c r="K178" s="20" t="inlineStr">
        <is>
          <t>Captive</t>
        </is>
      </c>
      <c r="L178" s="20" t="inlineStr">
        <is>
          <t>Nandharam Swapna</t>
        </is>
      </c>
      <c r="M178" s="23" t="n">
        <v>8474.58</v>
      </c>
    </row>
    <row r="179">
      <c r="A179" s="19" t="inlineStr">
        <is>
          <t>FY27</t>
        </is>
      </c>
      <c r="B179" s="19" t="inlineStr">
        <is>
          <t>Apr</t>
        </is>
      </c>
      <c r="C179" s="19" t="inlineStr">
        <is>
          <t>AP/TS</t>
        </is>
      </c>
      <c r="D179" s="20" t="inlineStr">
        <is>
          <t>AP11S7780</t>
        </is>
      </c>
      <c r="E179" s="20" t="inlineStr">
        <is>
          <t>HONDA</t>
        </is>
      </c>
      <c r="F179" s="20" t="inlineStr">
        <is>
          <t>City</t>
        </is>
      </c>
      <c r="G179" s="21" t="n">
        <v>2006</v>
      </c>
      <c r="H179" s="22" t="n">
        <v>59735</v>
      </c>
      <c r="I179" s="22" t="n">
        <v>90000</v>
      </c>
      <c r="J179" s="20" t="inlineStr">
        <is>
          <t>Exchange HYDERABAD</t>
        </is>
      </c>
      <c r="K179" s="20" t="inlineStr">
        <is>
          <t>Captive</t>
        </is>
      </c>
      <c r="L179" s="20" t="inlineStr">
        <is>
          <t>Nandharam Swapna</t>
        </is>
      </c>
      <c r="M179" s="23" t="n">
        <v>4237.29</v>
      </c>
    </row>
    <row r="180">
      <c r="A180" s="19" t="inlineStr">
        <is>
          <t>FY27</t>
        </is>
      </c>
      <c r="B180" s="19" t="inlineStr">
        <is>
          <t>Apr</t>
        </is>
      </c>
      <c r="C180" s="19" t="inlineStr">
        <is>
          <t>AP/TS</t>
        </is>
      </c>
      <c r="D180" s="20" t="inlineStr">
        <is>
          <t>TS07HU9989</t>
        </is>
      </c>
      <c r="E180" s="20" t="inlineStr">
        <is>
          <t>MARUTI SUZUKI</t>
        </is>
      </c>
      <c r="F180" s="20" t="inlineStr">
        <is>
          <t>V Brezza</t>
        </is>
      </c>
      <c r="G180" s="21" t="n">
        <v>2021</v>
      </c>
      <c r="H180" s="22" t="n">
        <v>81343</v>
      </c>
      <c r="I180" s="22" t="n">
        <v>570000</v>
      </c>
      <c r="J180" s="20" t="inlineStr">
        <is>
          <t>Exchange HYDERABAD</t>
        </is>
      </c>
      <c r="K180" s="20" t="inlineStr">
        <is>
          <t>Captive</t>
        </is>
      </c>
      <c r="L180" s="20" t="inlineStr">
        <is>
          <t>Nandharam Swapna</t>
        </is>
      </c>
      <c r="M180" s="23" t="n">
        <v>8474.58</v>
      </c>
    </row>
    <row r="181">
      <c r="A181" s="19" t="inlineStr">
        <is>
          <t>FY27</t>
        </is>
      </c>
      <c r="B181" s="19" t="inlineStr">
        <is>
          <t>Apr</t>
        </is>
      </c>
      <c r="C181" s="19" t="inlineStr">
        <is>
          <t>AP/TS</t>
        </is>
      </c>
      <c r="D181" s="20" t="inlineStr">
        <is>
          <t>AP29AA0450</t>
        </is>
      </c>
      <c r="E181" s="20" t="inlineStr">
        <is>
          <t>HONDA</t>
        </is>
      </c>
      <c r="F181" s="20" t="inlineStr">
        <is>
          <t>City</t>
        </is>
      </c>
      <c r="G181" s="21" t="n">
        <v>2007</v>
      </c>
      <c r="H181" s="22" t="n">
        <v>223189</v>
      </c>
      <c r="I181" s="22" t="n">
        <v>50000</v>
      </c>
      <c r="J181" s="20" t="inlineStr">
        <is>
          <t>Puneet Gupta</t>
        </is>
      </c>
      <c r="K181" s="20" t="inlineStr">
        <is>
          <t>Non-Captive</t>
        </is>
      </c>
      <c r="L181" s="20" t="inlineStr">
        <is>
          <t>Nandharam Swapna</t>
        </is>
      </c>
      <c r="M181" s="23" t="n">
        <v>4237.29</v>
      </c>
    </row>
    <row r="182">
      <c r="A182" s="19" t="inlineStr">
        <is>
          <t>FY27</t>
        </is>
      </c>
      <c r="B182" s="19" t="inlineStr">
        <is>
          <t>Apr</t>
        </is>
      </c>
      <c r="C182" s="19" t="inlineStr">
        <is>
          <t>AP/TS</t>
        </is>
      </c>
      <c r="D182" s="20" t="inlineStr">
        <is>
          <t>AP16CC8338</t>
        </is>
      </c>
      <c r="E182" s="20" t="inlineStr">
        <is>
          <t>HONDA</t>
        </is>
      </c>
      <c r="F182" s="20" t="inlineStr">
        <is>
          <t>City</t>
        </is>
      </c>
      <c r="G182" s="21" t="n">
        <v>2012</v>
      </c>
      <c r="H182" s="22" t="n">
        <v>214521</v>
      </c>
      <c r="I182" s="22" t="n">
        <v>190000</v>
      </c>
      <c r="J182" s="20" t="inlineStr">
        <is>
          <t>Mohammed Gouse Basha</t>
        </is>
      </c>
      <c r="K182" s="20" t="inlineStr">
        <is>
          <t>Non-Captive</t>
        </is>
      </c>
      <c r="L182" s="20" t="inlineStr">
        <is>
          <t>Koppuravuri Srinivasa Rao</t>
        </is>
      </c>
      <c r="M182" s="23" t="n">
        <v>5084.75</v>
      </c>
    </row>
    <row r="183">
      <c r="A183" s="19" t="inlineStr">
        <is>
          <t>FY27</t>
        </is>
      </c>
      <c r="B183" s="19" t="inlineStr">
        <is>
          <t>Apr</t>
        </is>
      </c>
      <c r="C183" s="19" t="inlineStr">
        <is>
          <t>AP/TS</t>
        </is>
      </c>
      <c r="D183" s="20" t="inlineStr">
        <is>
          <t>AP13AD9789</t>
        </is>
      </c>
      <c r="E183" s="20" t="inlineStr">
        <is>
          <t>HONDA</t>
        </is>
      </c>
      <c r="F183" s="20" t="inlineStr">
        <is>
          <t>City</t>
        </is>
      </c>
      <c r="G183" s="21" t="n">
        <v>2013</v>
      </c>
      <c r="H183" s="22" t="n">
        <v>256586</v>
      </c>
      <c r="I183" s="22" t="n">
        <v>190000</v>
      </c>
      <c r="J183" s="20" t="inlineStr">
        <is>
          <t>Mohammed Gouse Basha</t>
        </is>
      </c>
      <c r="K183" s="20" t="inlineStr">
        <is>
          <t>Non-Captive</t>
        </is>
      </c>
      <c r="L183" s="20" t="inlineStr">
        <is>
          <t>Koppuravuri Srinivasa Rao</t>
        </is>
      </c>
      <c r="M183" s="23" t="n">
        <v>5084.75</v>
      </c>
    </row>
    <row r="184">
      <c r="A184" s="19" t="inlineStr">
        <is>
          <t>FY27</t>
        </is>
      </c>
      <c r="B184" s="19" t="inlineStr">
        <is>
          <t>Apr</t>
        </is>
      </c>
      <c r="C184" s="19" t="inlineStr">
        <is>
          <t>AP/TS</t>
        </is>
      </c>
      <c r="D184" s="20" t="inlineStr">
        <is>
          <t>TS10EF3454</t>
        </is>
      </c>
      <c r="E184" s="20" t="inlineStr">
        <is>
          <t>TATA</t>
        </is>
      </c>
      <c r="F184" s="20" t="inlineStr">
        <is>
          <t>Zest</t>
        </is>
      </c>
      <c r="G184" s="21" t="n">
        <v>2015</v>
      </c>
      <c r="H184" s="22" t="n">
        <v>220151</v>
      </c>
      <c r="I184" s="22" t="n">
        <v>112500</v>
      </c>
      <c r="J184" s="20" t="inlineStr">
        <is>
          <t>Pudari Babu</t>
        </is>
      </c>
      <c r="K184" s="20" t="inlineStr">
        <is>
          <t>Non-Captive</t>
        </is>
      </c>
      <c r="L184" s="20" t="inlineStr">
        <is>
          <t>Odapally Sandeep</t>
        </is>
      </c>
      <c r="M184" s="23" t="n">
        <v>2118.64</v>
      </c>
    </row>
    <row r="185">
      <c r="A185" s="19" t="inlineStr">
        <is>
          <t>FY27</t>
        </is>
      </c>
      <c r="B185" s="19" t="inlineStr">
        <is>
          <t>Apr</t>
        </is>
      </c>
      <c r="C185" s="19" t="inlineStr">
        <is>
          <t>AP/TS</t>
        </is>
      </c>
      <c r="D185" s="20" t="inlineStr">
        <is>
          <t>AP25AQ8979</t>
        </is>
      </c>
      <c r="E185" s="20" t="inlineStr">
        <is>
          <t>HYUNDAI</t>
        </is>
      </c>
      <c r="F185" s="20" t="inlineStr">
        <is>
          <t>Grand I10</t>
        </is>
      </c>
      <c r="G185" s="21" t="n">
        <v>2013</v>
      </c>
      <c r="H185" s="22" t="n">
        <v>130943</v>
      </c>
      <c r="I185" s="22" t="n">
        <v>152500</v>
      </c>
      <c r="J185" s="20" t="inlineStr">
        <is>
          <t>Pudari Babu</t>
        </is>
      </c>
      <c r="K185" s="20" t="inlineStr">
        <is>
          <t>Non-Captive</t>
        </is>
      </c>
      <c r="L185" s="20" t="inlineStr">
        <is>
          <t>Odapally Sandeep</t>
        </is>
      </c>
      <c r="M185" s="23" t="n">
        <v>2118.64</v>
      </c>
    </row>
    <row r="186">
      <c r="A186" s="19" t="inlineStr">
        <is>
          <t>FY27</t>
        </is>
      </c>
      <c r="B186" s="19" t="inlineStr">
        <is>
          <t>Apr</t>
        </is>
      </c>
      <c r="C186" s="19" t="inlineStr">
        <is>
          <t>AP/TS</t>
        </is>
      </c>
      <c r="D186" s="20" t="inlineStr">
        <is>
          <t>AP29AP4779</t>
        </is>
      </c>
      <c r="E186" s="20" t="inlineStr">
        <is>
          <t>HYUNDAI</t>
        </is>
      </c>
      <c r="F186" s="20" t="inlineStr">
        <is>
          <t>Verna</t>
        </is>
      </c>
      <c r="G186" s="21" t="n">
        <v>2010</v>
      </c>
      <c r="H186" s="22" t="n">
        <v>161066</v>
      </c>
      <c r="I186" s="22" t="n">
        <v>102500</v>
      </c>
      <c r="J186" s="20" t="inlineStr">
        <is>
          <t>Pudari Babu</t>
        </is>
      </c>
      <c r="K186" s="20" t="inlineStr">
        <is>
          <t>Non-Captive</t>
        </is>
      </c>
      <c r="L186" s="20" t="inlineStr">
        <is>
          <t>Odapally Sandeep</t>
        </is>
      </c>
      <c r="M186" s="23" t="n">
        <v>2118.64</v>
      </c>
    </row>
    <row r="187">
      <c r="A187" s="19" t="inlineStr">
        <is>
          <t>FY27</t>
        </is>
      </c>
      <c r="B187" s="19" t="inlineStr">
        <is>
          <t>Apr</t>
        </is>
      </c>
      <c r="C187" s="19" t="inlineStr">
        <is>
          <t>AP/TS</t>
        </is>
      </c>
      <c r="D187" s="20" t="inlineStr">
        <is>
          <t>AP10AT6000</t>
        </is>
      </c>
      <c r="E187" s="20" t="inlineStr">
        <is>
          <t>HONDA</t>
        </is>
      </c>
      <c r="F187" s="20" t="inlineStr">
        <is>
          <t>City</t>
        </is>
      </c>
      <c r="G187" s="21" t="n">
        <v>2010</v>
      </c>
      <c r="H187" s="22" t="n">
        <v>150918</v>
      </c>
      <c r="I187" s="22" t="n">
        <v>112500</v>
      </c>
      <c r="J187" s="20" t="inlineStr">
        <is>
          <t>Pudari Babu</t>
        </is>
      </c>
      <c r="K187" s="20" t="inlineStr">
        <is>
          <t>Non-Captive</t>
        </is>
      </c>
      <c r="L187" s="20" t="inlineStr">
        <is>
          <t>Odapally Sandeep</t>
        </is>
      </c>
      <c r="M187" s="23" t="n">
        <v>2118.64</v>
      </c>
    </row>
    <row r="188">
      <c r="A188" s="19" t="inlineStr">
        <is>
          <t>FY27</t>
        </is>
      </c>
      <c r="B188" s="19" t="inlineStr">
        <is>
          <t>Apr</t>
        </is>
      </c>
      <c r="C188" s="19" t="inlineStr">
        <is>
          <t>AP/TS</t>
        </is>
      </c>
      <c r="D188" s="20" t="inlineStr">
        <is>
          <t>AP09CG8055</t>
        </is>
      </c>
      <c r="E188" s="20" t="inlineStr">
        <is>
          <t>VOLVO</t>
        </is>
      </c>
      <c r="F188" s="20" t="inlineStr">
        <is>
          <t>S60</t>
        </is>
      </c>
      <c r="G188" s="21" t="n">
        <v>2011</v>
      </c>
      <c r="H188" s="22" t="n">
        <v>148996</v>
      </c>
      <c r="I188" s="22" t="n">
        <v>225500</v>
      </c>
      <c r="J188" s="20" t="inlineStr">
        <is>
          <t>Exchange HYDERABAD</t>
        </is>
      </c>
      <c r="K188" s="20" t="inlineStr">
        <is>
          <t>Captive</t>
        </is>
      </c>
      <c r="L188" s="20" t="inlineStr">
        <is>
          <t>Odapally Sandeep</t>
        </is>
      </c>
      <c r="M188" s="23" t="n">
        <v>4661.02</v>
      </c>
    </row>
    <row r="189">
      <c r="A189" s="19" t="inlineStr">
        <is>
          <t>FY27</t>
        </is>
      </c>
      <c r="B189" s="19" t="inlineStr">
        <is>
          <t>Apr</t>
        </is>
      </c>
      <c r="C189" s="19" t="inlineStr">
        <is>
          <t>AP/TS</t>
        </is>
      </c>
      <c r="D189" s="20" t="inlineStr">
        <is>
          <t>AP39AT6336</t>
        </is>
      </c>
      <c r="E189" s="20" t="inlineStr">
        <is>
          <t>HONDA</t>
        </is>
      </c>
      <c r="F189" s="20" t="inlineStr">
        <is>
          <t>Amaze</t>
        </is>
      </c>
      <c r="G189" s="21" t="n">
        <v>2019</v>
      </c>
      <c r="H189" s="22" t="n">
        <v>140336</v>
      </c>
      <c r="I189" s="22" t="n">
        <v>440000</v>
      </c>
      <c r="J189" s="20" t="inlineStr">
        <is>
          <t>Exchange VIJAYAWADA</t>
        </is>
      </c>
      <c r="K189" s="20" t="inlineStr">
        <is>
          <t>Captive</t>
        </is>
      </c>
      <c r="L189" s="20" t="inlineStr">
        <is>
          <t>Tenali Srinivas</t>
        </is>
      </c>
      <c r="M189" s="23" t="n">
        <v>8474.58</v>
      </c>
    </row>
    <row r="190">
      <c r="A190" s="19" t="inlineStr">
        <is>
          <t>FY27</t>
        </is>
      </c>
      <c r="B190" s="19" t="inlineStr">
        <is>
          <t>Apr</t>
        </is>
      </c>
      <c r="C190" s="19" t="inlineStr">
        <is>
          <t>AP/TS</t>
        </is>
      </c>
      <c r="D190" s="20" t="inlineStr">
        <is>
          <t>AP37CJ3123</t>
        </is>
      </c>
      <c r="E190" s="20" t="inlineStr">
        <is>
          <t>VOLKSWAGEN</t>
        </is>
      </c>
      <c r="F190" s="20" t="inlineStr">
        <is>
          <t>Polo</t>
        </is>
      </c>
      <c r="G190" s="21" t="n">
        <v>2015</v>
      </c>
      <c r="H190" s="22" t="n">
        <v>175411</v>
      </c>
      <c r="I190" s="22" t="n">
        <v>190000</v>
      </c>
      <c r="J190" s="20" t="inlineStr">
        <is>
          <t>Guthi Ravi Krishna</t>
        </is>
      </c>
      <c r="K190" s="20" t="inlineStr">
        <is>
          <t>Non-Captive</t>
        </is>
      </c>
      <c r="L190" s="20" t="inlineStr">
        <is>
          <t>Adapa Aravind Sai Kumar</t>
        </is>
      </c>
      <c r="M190" s="23" t="n">
        <v>5084.75</v>
      </c>
    </row>
    <row r="191">
      <c r="A191" s="19" t="inlineStr">
        <is>
          <t>FY27</t>
        </is>
      </c>
      <c r="B191" s="19" t="inlineStr">
        <is>
          <t>Apr</t>
        </is>
      </c>
      <c r="C191" s="19" t="inlineStr">
        <is>
          <t>AP/TS</t>
        </is>
      </c>
      <c r="D191" s="20" t="inlineStr">
        <is>
          <t>AP28CJ8988</t>
        </is>
      </c>
      <c r="E191" s="20" t="inlineStr">
        <is>
          <t>VOLKSWAGEN</t>
        </is>
      </c>
      <c r="F191" s="20" t="inlineStr">
        <is>
          <t>Polo</t>
        </is>
      </c>
      <c r="G191" s="21" t="n">
        <v>2013</v>
      </c>
      <c r="H191" s="22" t="n">
        <v>169015</v>
      </c>
      <c r="I191" s="22" t="n">
        <v>190000</v>
      </c>
      <c r="J191" s="20" t="inlineStr">
        <is>
          <t>Guthi Ravi Krishna</t>
        </is>
      </c>
      <c r="K191" s="20" t="inlineStr">
        <is>
          <t>Non-Captive</t>
        </is>
      </c>
      <c r="L191" s="20" t="inlineStr">
        <is>
          <t>Adapa Aravind Sai Kumar</t>
        </is>
      </c>
      <c r="M191" s="23" t="n">
        <v>5084.75</v>
      </c>
    </row>
    <row r="192">
      <c r="A192" s="19" t="inlineStr">
        <is>
          <t>FY27</t>
        </is>
      </c>
      <c r="B192" s="19" t="inlineStr">
        <is>
          <t>Apr</t>
        </is>
      </c>
      <c r="C192" s="19" t="inlineStr">
        <is>
          <t>AP/TS</t>
        </is>
      </c>
      <c r="D192" s="20" t="inlineStr">
        <is>
          <t>AP31DD4428</t>
        </is>
      </c>
      <c r="E192" s="20" t="inlineStr">
        <is>
          <t>RENAULT</t>
        </is>
      </c>
      <c r="F192" s="20" t="inlineStr">
        <is>
          <t>Kwid</t>
        </is>
      </c>
      <c r="G192" s="21" t="n">
        <v>2015</v>
      </c>
      <c r="H192" s="22" t="n">
        <v>42523</v>
      </c>
      <c r="I192" s="22" t="n">
        <v>165000</v>
      </c>
      <c r="J192" s="20" t="inlineStr">
        <is>
          <t>Exchange VIZAG</t>
        </is>
      </c>
      <c r="K192" s="20" t="inlineStr">
        <is>
          <t>Captive</t>
        </is>
      </c>
      <c r="L192" s="20" t="inlineStr">
        <is>
          <t>Kaki Dinesh Kumar</t>
        </is>
      </c>
      <c r="M192" s="23" t="n">
        <v>8474.58</v>
      </c>
    </row>
    <row r="193">
      <c r="A193" s="19" t="inlineStr">
        <is>
          <t>FY27</t>
        </is>
      </c>
      <c r="B193" s="19" t="inlineStr">
        <is>
          <t>Apr</t>
        </is>
      </c>
      <c r="C193" s="19" t="inlineStr">
        <is>
          <t>AP/TS</t>
        </is>
      </c>
      <c r="D193" s="20" t="inlineStr">
        <is>
          <t>AP31DD5343</t>
        </is>
      </c>
      <c r="E193" s="20" t="inlineStr">
        <is>
          <t>HYUNDAI</t>
        </is>
      </c>
      <c r="F193" s="20" t="inlineStr">
        <is>
          <t>Santro</t>
        </is>
      </c>
      <c r="G193" s="21" t="n">
        <v>2002</v>
      </c>
      <c r="H193" s="22" t="n">
        <v>125239</v>
      </c>
      <c r="I193" s="22" t="n">
        <v>30000</v>
      </c>
      <c r="J193" s="20" t="inlineStr">
        <is>
          <t>Avaala Raju</t>
        </is>
      </c>
      <c r="K193" s="20" t="inlineStr">
        <is>
          <t>Non-Captive</t>
        </is>
      </c>
      <c r="L193" s="20" t="inlineStr">
        <is>
          <t>Kaki Dinesh Kumar</t>
        </is>
      </c>
      <c r="M193" s="23" t="n">
        <v>4237.29</v>
      </c>
    </row>
    <row r="194">
      <c r="A194" s="19" t="inlineStr">
        <is>
          <t>FY27</t>
        </is>
      </c>
      <c r="B194" s="19" t="inlineStr">
        <is>
          <t>Apr</t>
        </is>
      </c>
      <c r="C194" s="19" t="inlineStr">
        <is>
          <t>AP/TS</t>
        </is>
      </c>
      <c r="D194" s="20" t="inlineStr">
        <is>
          <t>AP31DT8105</t>
        </is>
      </c>
      <c r="E194" s="20" t="inlineStr">
        <is>
          <t>MARUTI SUZUKI</t>
        </is>
      </c>
      <c r="F194" s="20" t="inlineStr">
        <is>
          <t>Zen</t>
        </is>
      </c>
      <c r="G194" s="21" t="n">
        <v>2003</v>
      </c>
      <c r="H194" s="22" t="n">
        <v>180114</v>
      </c>
      <c r="I194" s="22" t="n">
        <v>30000</v>
      </c>
      <c r="J194" s="20" t="inlineStr">
        <is>
          <t>Avaala Raju</t>
        </is>
      </c>
      <c r="K194" s="20" t="inlineStr">
        <is>
          <t>Non-Captive</t>
        </is>
      </c>
      <c r="L194" s="20" t="inlineStr">
        <is>
          <t>Kaki Dinesh Kumar</t>
        </is>
      </c>
      <c r="M194" s="23" t="n">
        <v>4237.29</v>
      </c>
    </row>
    <row r="195">
      <c r="A195" s="19" t="inlineStr">
        <is>
          <t>FY27</t>
        </is>
      </c>
      <c r="B195" s="19" t="inlineStr">
        <is>
          <t>Apr</t>
        </is>
      </c>
      <c r="C195" s="19" t="inlineStr">
        <is>
          <t>AP/TS</t>
        </is>
      </c>
      <c r="D195" s="20" t="inlineStr">
        <is>
          <t>AP39FJ2329</t>
        </is>
      </c>
      <c r="E195" s="20" t="inlineStr">
        <is>
          <t>HONDA</t>
        </is>
      </c>
      <c r="F195" s="20" t="inlineStr">
        <is>
          <t>Wr-V</t>
        </is>
      </c>
      <c r="G195" s="21" t="n">
        <v>2020</v>
      </c>
      <c r="H195" s="22" t="n">
        <v>104105</v>
      </c>
      <c r="I195" s="22" t="n">
        <v>490000</v>
      </c>
      <c r="J195" s="20" t="inlineStr">
        <is>
          <t>Exchange VIJAYAWADA</t>
        </is>
      </c>
      <c r="K195" s="20" t="inlineStr">
        <is>
          <t>Captive</t>
        </is>
      </c>
      <c r="L195" s="20" t="inlineStr">
        <is>
          <t>Vinod Kumar Murari</t>
        </is>
      </c>
      <c r="M195" s="23" t="n">
        <v>8474.58</v>
      </c>
    </row>
    <row r="196">
      <c r="A196" s="19" t="inlineStr">
        <is>
          <t>FY27</t>
        </is>
      </c>
      <c r="B196" s="19" t="inlineStr">
        <is>
          <t>Apr</t>
        </is>
      </c>
      <c r="C196" s="19" t="inlineStr">
        <is>
          <t>AP/TS</t>
        </is>
      </c>
      <c r="D196" s="20" t="inlineStr">
        <is>
          <t>AP37CC5005</t>
        </is>
      </c>
      <c r="E196" s="20" t="inlineStr">
        <is>
          <t>HYUNDAI</t>
        </is>
      </c>
      <c r="F196" s="20" t="inlineStr">
        <is>
          <t>I20</t>
        </is>
      </c>
      <c r="G196" s="21" t="n">
        <v>2014</v>
      </c>
      <c r="H196" s="22" t="n">
        <v>194991</v>
      </c>
      <c r="I196" s="22" t="n">
        <v>100000</v>
      </c>
      <c r="J196" s="20" t="inlineStr">
        <is>
          <t>T Srinivas</t>
        </is>
      </c>
      <c r="K196" s="20" t="inlineStr">
        <is>
          <t>Non-Captive</t>
        </is>
      </c>
      <c r="L196" s="20" t="inlineStr">
        <is>
          <t>Vinod Kumar Murari</t>
        </is>
      </c>
      <c r="M196" s="23" t="n">
        <v>4237.29</v>
      </c>
    </row>
    <row r="197">
      <c r="A197" s="19" t="inlineStr">
        <is>
          <t>FY27</t>
        </is>
      </c>
      <c r="B197" s="19" t="inlineStr">
        <is>
          <t>Apr</t>
        </is>
      </c>
      <c r="C197" s="19" t="inlineStr">
        <is>
          <t>AP/TS</t>
        </is>
      </c>
      <c r="D197" s="20" t="inlineStr">
        <is>
          <t>AP16CQ0959</t>
        </is>
      </c>
      <c r="E197" s="20" t="inlineStr">
        <is>
          <t>HYUNDAI</t>
        </is>
      </c>
      <c r="F197" s="20" t="inlineStr">
        <is>
          <t>Grand I10</t>
        </is>
      </c>
      <c r="G197" s="21" t="n">
        <v>2014</v>
      </c>
      <c r="H197" s="22" t="n">
        <v>199108</v>
      </c>
      <c r="I197" s="22" t="n">
        <v>100000</v>
      </c>
      <c r="J197" s="20" t="inlineStr">
        <is>
          <t>T Srinivas</t>
        </is>
      </c>
      <c r="K197" s="20" t="inlineStr">
        <is>
          <t>Non-Captive</t>
        </is>
      </c>
      <c r="L197" s="20" t="inlineStr">
        <is>
          <t>Naga Suresh Polukonda</t>
        </is>
      </c>
      <c r="M197" s="23" t="n">
        <v>4237.29</v>
      </c>
    </row>
    <row r="198">
      <c r="A198" s="19" t="inlineStr">
        <is>
          <t>FY27</t>
        </is>
      </c>
      <c r="B198" s="19" t="inlineStr">
        <is>
          <t>Apr</t>
        </is>
      </c>
      <c r="C198" s="19" t="inlineStr">
        <is>
          <t>AP/TS</t>
        </is>
      </c>
      <c r="D198" s="20" t="inlineStr">
        <is>
          <t>AP28CH4442</t>
        </is>
      </c>
      <c r="E198" s="20" t="inlineStr">
        <is>
          <t>HYUNDAI</t>
        </is>
      </c>
      <c r="F198" s="20" t="inlineStr">
        <is>
          <t>Verna</t>
        </is>
      </c>
      <c r="G198" s="21" t="n">
        <v>2012</v>
      </c>
      <c r="H198" s="22" t="n">
        <v>162600</v>
      </c>
      <c r="I198" s="22" t="n">
        <v>182500</v>
      </c>
      <c r="J198" s="20" t="inlineStr">
        <is>
          <t>Puneet Gupta</t>
        </is>
      </c>
      <c r="K198" s="20" t="inlineStr">
        <is>
          <t>Non-Captive</t>
        </is>
      </c>
      <c r="L198" s="20" t="inlineStr">
        <is>
          <t>Prabjyoth Singh Wasu</t>
        </is>
      </c>
      <c r="M198" s="23" t="n">
        <v>2118.64</v>
      </c>
    </row>
    <row r="199">
      <c r="A199" s="19" t="inlineStr">
        <is>
          <t>FY27</t>
        </is>
      </c>
      <c r="B199" s="19" t="inlineStr">
        <is>
          <t>Apr</t>
        </is>
      </c>
      <c r="C199" s="19" t="inlineStr">
        <is>
          <t>AP/TS</t>
        </is>
      </c>
      <c r="D199" s="20" t="inlineStr">
        <is>
          <t>AP28DM5482</t>
        </is>
      </c>
      <c r="E199" s="20" t="inlineStr">
        <is>
          <t>MARUTI SUZUKI</t>
        </is>
      </c>
      <c r="F199" s="20" t="inlineStr">
        <is>
          <t>Swift</t>
        </is>
      </c>
      <c r="G199" s="21" t="n">
        <v>2012</v>
      </c>
      <c r="H199" s="22" t="n">
        <v>182287</v>
      </c>
      <c r="I199" s="22" t="n">
        <v>172500</v>
      </c>
      <c r="J199" s="20" t="inlineStr">
        <is>
          <t>Puneet Gupta</t>
        </is>
      </c>
      <c r="K199" s="20" t="inlineStr">
        <is>
          <t>Non-Captive</t>
        </is>
      </c>
      <c r="L199" s="20" t="inlineStr">
        <is>
          <t>Prabjyoth Singh Wasu</t>
        </is>
      </c>
      <c r="M199" s="23" t="n">
        <v>2118.64</v>
      </c>
    </row>
    <row r="200">
      <c r="A200" s="19" t="inlineStr">
        <is>
          <t>FY27</t>
        </is>
      </c>
      <c r="B200" s="19" t="inlineStr">
        <is>
          <t>Apr</t>
        </is>
      </c>
      <c r="C200" s="19" t="inlineStr">
        <is>
          <t>AP/TS</t>
        </is>
      </c>
      <c r="D200" s="20" t="inlineStr">
        <is>
          <t>AP28DU2410</t>
        </is>
      </c>
      <c r="E200" s="20" t="inlineStr">
        <is>
          <t>HONDA</t>
        </is>
      </c>
      <c r="F200" s="20" t="inlineStr">
        <is>
          <t>Brio</t>
        </is>
      </c>
      <c r="G200" s="21" t="n">
        <v>2013</v>
      </c>
      <c r="H200" s="22" t="n">
        <v>149707</v>
      </c>
      <c r="I200" s="22" t="n">
        <v>197500</v>
      </c>
      <c r="J200" s="20" t="inlineStr">
        <is>
          <t>Puneet Gupta</t>
        </is>
      </c>
      <c r="K200" s="20" t="inlineStr">
        <is>
          <t>Non-Captive</t>
        </is>
      </c>
      <c r="L200" s="20" t="inlineStr">
        <is>
          <t>Prabjyoth Singh Wasu</t>
        </is>
      </c>
      <c r="M200" s="23" t="n">
        <v>2118.64</v>
      </c>
    </row>
    <row r="201">
      <c r="A201" s="19" t="inlineStr">
        <is>
          <t>FY27</t>
        </is>
      </c>
      <c r="B201" s="19" t="inlineStr">
        <is>
          <t>Apr</t>
        </is>
      </c>
      <c r="C201" s="19" t="inlineStr">
        <is>
          <t>AP/TS</t>
        </is>
      </c>
      <c r="D201" s="20" t="inlineStr">
        <is>
          <t>TS08EB7332</t>
        </is>
      </c>
      <c r="E201" s="20" t="inlineStr">
        <is>
          <t>MARUTI SUZUKI</t>
        </is>
      </c>
      <c r="F201" s="20" t="inlineStr">
        <is>
          <t>Ritz</t>
        </is>
      </c>
      <c r="G201" s="21" t="n">
        <v>2014</v>
      </c>
      <c r="H201" s="22" t="n">
        <v>132250</v>
      </c>
      <c r="I201" s="22" t="n">
        <v>197500</v>
      </c>
      <c r="J201" s="20" t="inlineStr">
        <is>
          <t>Puneet Gupta</t>
        </is>
      </c>
      <c r="K201" s="20" t="inlineStr">
        <is>
          <t>Non-Captive</t>
        </is>
      </c>
      <c r="L201" s="20" t="inlineStr">
        <is>
          <t>Prabjyoth Singh Wasu</t>
        </is>
      </c>
      <c r="M201" s="23" t="n">
        <v>2118.64</v>
      </c>
    </row>
    <row r="202">
      <c r="A202" s="19" t="inlineStr">
        <is>
          <t>FY27</t>
        </is>
      </c>
      <c r="B202" s="19" t="inlineStr">
        <is>
          <t>Apr</t>
        </is>
      </c>
      <c r="C202" s="19" t="inlineStr">
        <is>
          <t>AP/TS</t>
        </is>
      </c>
      <c r="D202" s="20" t="inlineStr">
        <is>
          <t>AP28DX8862</t>
        </is>
      </c>
      <c r="E202" s="20" t="inlineStr">
        <is>
          <t>VOLKSWAGEN</t>
        </is>
      </c>
      <c r="F202" s="20" t="inlineStr">
        <is>
          <t>Polo</t>
        </is>
      </c>
      <c r="G202" s="21" t="n">
        <v>2014</v>
      </c>
      <c r="H202" s="22" t="n">
        <v>152756</v>
      </c>
      <c r="I202" s="22" t="n">
        <v>222500</v>
      </c>
      <c r="J202" s="20" t="inlineStr">
        <is>
          <t>Puneet Gupta</t>
        </is>
      </c>
      <c r="K202" s="20" t="inlineStr">
        <is>
          <t>Non-Captive</t>
        </is>
      </c>
      <c r="L202" s="20" t="inlineStr">
        <is>
          <t>Prabjyoth Singh Wasu</t>
        </is>
      </c>
      <c r="M202" s="23" t="n">
        <v>2118.64</v>
      </c>
    </row>
    <row r="203">
      <c r="A203" s="19" t="inlineStr">
        <is>
          <t>FY27</t>
        </is>
      </c>
      <c r="B203" s="19" t="inlineStr">
        <is>
          <t>Apr</t>
        </is>
      </c>
      <c r="C203" s="19" t="inlineStr">
        <is>
          <t>AP/TS</t>
        </is>
      </c>
      <c r="D203" s="20" t="inlineStr">
        <is>
          <t>AP28DM1181</t>
        </is>
      </c>
      <c r="E203" s="20" t="inlineStr">
        <is>
          <t>MARUTI SUZUKI</t>
        </is>
      </c>
      <c r="F203" s="20" t="inlineStr">
        <is>
          <t>Alto</t>
        </is>
      </c>
      <c r="G203" s="21" t="n">
        <v>2011</v>
      </c>
      <c r="H203" s="22" t="n">
        <v>185212</v>
      </c>
      <c r="I203" s="22" t="n">
        <v>92500</v>
      </c>
      <c r="J203" s="20" t="inlineStr">
        <is>
          <t>Puneet Gupta</t>
        </is>
      </c>
      <c r="K203" s="20" t="inlineStr">
        <is>
          <t>Non-Captive</t>
        </is>
      </c>
      <c r="L203" s="20" t="inlineStr">
        <is>
          <t>Prabjyoth Singh Wasu</t>
        </is>
      </c>
      <c r="M203" s="23" t="n">
        <v>2118.64</v>
      </c>
    </row>
    <row r="204">
      <c r="A204" s="19" t="inlineStr">
        <is>
          <t>FY27</t>
        </is>
      </c>
      <c r="B204" s="19" t="inlineStr">
        <is>
          <t>Apr</t>
        </is>
      </c>
      <c r="C204" s="19" t="inlineStr">
        <is>
          <t>AP/TS</t>
        </is>
      </c>
      <c r="D204" s="20" t="inlineStr">
        <is>
          <t>TS09EJ6888</t>
        </is>
      </c>
      <c r="E204" s="20" t="inlineStr">
        <is>
          <t>NISSAN</t>
        </is>
      </c>
      <c r="F204" s="20" t="inlineStr">
        <is>
          <t>Sunny</t>
        </is>
      </c>
      <c r="G204" s="21" t="n">
        <v>2015</v>
      </c>
      <c r="H204" s="22" t="n">
        <v>160877</v>
      </c>
      <c r="I204" s="22" t="n">
        <v>232500</v>
      </c>
      <c r="J204" s="20" t="inlineStr">
        <is>
          <t>Puneet Gupta</t>
        </is>
      </c>
      <c r="K204" s="20" t="inlineStr">
        <is>
          <t>Non-Captive</t>
        </is>
      </c>
      <c r="L204" s="20" t="inlineStr">
        <is>
          <t>Prabjyoth Singh Wasu</t>
        </is>
      </c>
      <c r="M204" s="23" t="n">
        <v>2118.64</v>
      </c>
    </row>
    <row r="205">
      <c r="A205" s="19" t="inlineStr">
        <is>
          <t>FY27</t>
        </is>
      </c>
      <c r="B205" s="19" t="inlineStr">
        <is>
          <t>Apr</t>
        </is>
      </c>
      <c r="C205" s="19" t="inlineStr">
        <is>
          <t>AP/TS</t>
        </is>
      </c>
      <c r="D205" s="20" t="inlineStr">
        <is>
          <t>AP29BT3708</t>
        </is>
      </c>
      <c r="E205" s="20" t="inlineStr">
        <is>
          <t>MARUTI SUZUKI</t>
        </is>
      </c>
      <c r="F205" s="20" t="inlineStr">
        <is>
          <t>Swift</t>
        </is>
      </c>
      <c r="G205" s="21" t="n">
        <v>2013</v>
      </c>
      <c r="H205" s="22" t="n">
        <v>182114</v>
      </c>
      <c r="I205" s="22" t="n">
        <v>207500</v>
      </c>
      <c r="J205" s="20" t="inlineStr">
        <is>
          <t>Puneet Gupta</t>
        </is>
      </c>
      <c r="K205" s="20" t="inlineStr">
        <is>
          <t>Non-Captive</t>
        </is>
      </c>
      <c r="L205" s="20" t="inlineStr">
        <is>
          <t>Prabjyoth Singh Wasu</t>
        </is>
      </c>
      <c r="M205" s="23" t="n">
        <v>2118.64</v>
      </c>
    </row>
    <row r="206">
      <c r="A206" s="19" t="inlineStr">
        <is>
          <t>FY27</t>
        </is>
      </c>
      <c r="B206" s="19" t="inlineStr">
        <is>
          <t>Apr</t>
        </is>
      </c>
      <c r="C206" s="19" t="inlineStr">
        <is>
          <t>AP/TS</t>
        </is>
      </c>
      <c r="D206" s="20" t="inlineStr">
        <is>
          <t>AP09CF0923</t>
        </is>
      </c>
      <c r="E206" s="20" t="inlineStr">
        <is>
          <t>HONDA</t>
        </is>
      </c>
      <c r="F206" s="20" t="inlineStr">
        <is>
          <t>City</t>
        </is>
      </c>
      <c r="G206" s="21" t="n">
        <v>2011</v>
      </c>
      <c r="H206" s="22" t="n">
        <v>173383</v>
      </c>
      <c r="I206" s="22" t="n">
        <v>132500</v>
      </c>
      <c r="J206" s="20" t="inlineStr">
        <is>
          <t>Pudari Babu</t>
        </is>
      </c>
      <c r="K206" s="20" t="inlineStr">
        <is>
          <t>Non-Captive</t>
        </is>
      </c>
      <c r="L206" s="20" t="inlineStr">
        <is>
          <t>Bukya Santhosh Naik</t>
        </is>
      </c>
      <c r="M206" s="23" t="n">
        <v>2118.64</v>
      </c>
    </row>
    <row r="207">
      <c r="A207" s="19" t="inlineStr">
        <is>
          <t>FY27</t>
        </is>
      </c>
      <c r="B207" s="19" t="inlineStr">
        <is>
          <t>Apr</t>
        </is>
      </c>
      <c r="C207" s="19" t="inlineStr">
        <is>
          <t>AP/TS</t>
        </is>
      </c>
      <c r="D207" s="20" t="inlineStr">
        <is>
          <t>AP24AV4747</t>
        </is>
      </c>
      <c r="E207" s="20" t="inlineStr">
        <is>
          <t>HYUNDAI</t>
        </is>
      </c>
      <c r="F207" s="20" t="inlineStr">
        <is>
          <t>Verna</t>
        </is>
      </c>
      <c r="G207" s="21" t="n">
        <v>2013</v>
      </c>
      <c r="H207" s="22" t="n">
        <v>115125</v>
      </c>
      <c r="I207" s="22" t="n">
        <v>182500</v>
      </c>
      <c r="J207" s="20" t="inlineStr">
        <is>
          <t>Pudari Babu</t>
        </is>
      </c>
      <c r="K207" s="20" t="inlineStr">
        <is>
          <t>Non-Captive</t>
        </is>
      </c>
      <c r="L207" s="20" t="inlineStr">
        <is>
          <t>Bukya Santhosh Naik</t>
        </is>
      </c>
      <c r="M207" s="23" t="n">
        <v>2118.64</v>
      </c>
    </row>
    <row r="208">
      <c r="A208" s="19" t="inlineStr">
        <is>
          <t>FY27</t>
        </is>
      </c>
      <c r="B208" s="19" t="inlineStr">
        <is>
          <t>Apr</t>
        </is>
      </c>
      <c r="C208" s="19" t="inlineStr">
        <is>
          <t>AP/TS</t>
        </is>
      </c>
      <c r="D208" s="20" t="inlineStr">
        <is>
          <t>TS05EL2788</t>
        </is>
      </c>
      <c r="E208" s="20" t="inlineStr">
        <is>
          <t>HYUNDAI</t>
        </is>
      </c>
      <c r="F208" s="20" t="inlineStr">
        <is>
          <t>Grand I10</t>
        </is>
      </c>
      <c r="G208" s="21" t="n">
        <v>2015</v>
      </c>
      <c r="H208" s="22" t="n">
        <v>140236</v>
      </c>
      <c r="I208" s="22" t="n">
        <v>187500</v>
      </c>
      <c r="J208" s="20" t="inlineStr">
        <is>
          <t>Pudari Babu</t>
        </is>
      </c>
      <c r="K208" s="20" t="inlineStr">
        <is>
          <t>Non-Captive</t>
        </is>
      </c>
      <c r="L208" s="20" t="inlineStr">
        <is>
          <t>Bukya Santhosh Naik</t>
        </is>
      </c>
      <c r="M208" s="23" t="n">
        <v>2118.64</v>
      </c>
    </row>
    <row r="209">
      <c r="A209" s="19" t="inlineStr">
        <is>
          <t>FY27</t>
        </is>
      </c>
      <c r="B209" s="19" t="inlineStr">
        <is>
          <t>Apr</t>
        </is>
      </c>
      <c r="C209" s="19" t="inlineStr">
        <is>
          <t>AP/TS</t>
        </is>
      </c>
      <c r="D209" s="20" t="inlineStr">
        <is>
          <t>TS11EF7454</t>
        </is>
      </c>
      <c r="E209" s="20" t="inlineStr">
        <is>
          <t>MARUTI SUZUKI</t>
        </is>
      </c>
      <c r="F209" s="20" t="inlineStr">
        <is>
          <t>Celerio</t>
        </is>
      </c>
      <c r="G209" s="21" t="n">
        <v>2015</v>
      </c>
      <c r="H209" s="22" t="n">
        <v>148763</v>
      </c>
      <c r="I209" s="22" t="n">
        <v>192500</v>
      </c>
      <c r="J209" s="20" t="inlineStr">
        <is>
          <t>Pudari Babu</t>
        </is>
      </c>
      <c r="K209" s="20" t="inlineStr">
        <is>
          <t>Non-Captive</t>
        </is>
      </c>
      <c r="L209" s="20" t="inlineStr">
        <is>
          <t>Bukya Santhosh Naik</t>
        </is>
      </c>
      <c r="M209" s="23" t="n">
        <v>2118.64</v>
      </c>
    </row>
    <row r="210">
      <c r="A210" s="19" t="inlineStr">
        <is>
          <t>FY27</t>
        </is>
      </c>
      <c r="B210" s="19" t="inlineStr">
        <is>
          <t>Apr</t>
        </is>
      </c>
      <c r="C210" s="19" t="inlineStr">
        <is>
          <t>AP/TS</t>
        </is>
      </c>
      <c r="D210" s="20" t="inlineStr">
        <is>
          <t>TS08EA8364</t>
        </is>
      </c>
      <c r="E210" s="20" t="inlineStr">
        <is>
          <t>MARUTI SUZUKI</t>
        </is>
      </c>
      <c r="F210" s="20" t="inlineStr">
        <is>
          <t>Swift</t>
        </is>
      </c>
      <c r="G210" s="21" t="n">
        <v>2014</v>
      </c>
      <c r="H210" s="22" t="n">
        <v>155145</v>
      </c>
      <c r="I210" s="22" t="n">
        <v>212500</v>
      </c>
      <c r="J210" s="20" t="inlineStr">
        <is>
          <t>Pudari Babu</t>
        </is>
      </c>
      <c r="K210" s="20" t="inlineStr">
        <is>
          <t>Non-Captive</t>
        </is>
      </c>
      <c r="L210" s="20" t="inlineStr">
        <is>
          <t>Bukya Santhosh Naik</t>
        </is>
      </c>
      <c r="M210" s="23" t="n">
        <v>2118.64</v>
      </c>
    </row>
    <row r="211">
      <c r="A211" s="19" t="inlineStr">
        <is>
          <t>FY27</t>
        </is>
      </c>
      <c r="B211" s="19" t="inlineStr">
        <is>
          <t>Apr</t>
        </is>
      </c>
      <c r="C211" s="19" t="inlineStr">
        <is>
          <t>AP/TS</t>
        </is>
      </c>
      <c r="D211" s="20" t="inlineStr">
        <is>
          <t>AP28DV2888</t>
        </is>
      </c>
      <c r="E211" s="20" t="inlineStr">
        <is>
          <t>MARUTI SUZUKI</t>
        </is>
      </c>
      <c r="F211" s="20" t="inlineStr">
        <is>
          <t>Swift</t>
        </is>
      </c>
      <c r="G211" s="21" t="n">
        <v>2013</v>
      </c>
      <c r="H211" s="22" t="n">
        <v>142056</v>
      </c>
      <c r="I211" s="22" t="n">
        <v>207500</v>
      </c>
      <c r="J211" s="20" t="inlineStr">
        <is>
          <t>Pudari Babu</t>
        </is>
      </c>
      <c r="K211" s="20" t="inlineStr">
        <is>
          <t>Non-Captive</t>
        </is>
      </c>
      <c r="L211" s="20" t="inlineStr">
        <is>
          <t>Bukya Santhosh Naik</t>
        </is>
      </c>
      <c r="M211" s="23" t="n">
        <v>2118.64</v>
      </c>
    </row>
    <row r="212">
      <c r="A212" s="19" t="inlineStr">
        <is>
          <t>FY27</t>
        </is>
      </c>
      <c r="B212" s="19" t="inlineStr">
        <is>
          <t>Apr</t>
        </is>
      </c>
      <c r="C212" s="19" t="inlineStr">
        <is>
          <t>AP/TS</t>
        </is>
      </c>
      <c r="D212" s="20" t="inlineStr">
        <is>
          <t>TS07EE4260</t>
        </is>
      </c>
      <c r="E212" s="20" t="inlineStr">
        <is>
          <t>MARUTI SUZUKI</t>
        </is>
      </c>
      <c r="F212" s="20" t="inlineStr">
        <is>
          <t>Celerio</t>
        </is>
      </c>
      <c r="G212" s="21" t="n">
        <v>2014</v>
      </c>
      <c r="H212" s="22" t="n">
        <v>128105</v>
      </c>
      <c r="I212" s="22" t="n">
        <v>182500</v>
      </c>
      <c r="J212" s="20" t="inlineStr">
        <is>
          <t>Pudari Babu</t>
        </is>
      </c>
      <c r="K212" s="20" t="inlineStr">
        <is>
          <t>Non-Captive</t>
        </is>
      </c>
      <c r="L212" s="20" t="inlineStr">
        <is>
          <t>Bukya Santhosh Naik</t>
        </is>
      </c>
      <c r="M212" s="23" t="n">
        <v>2118.64</v>
      </c>
    </row>
    <row r="213">
      <c r="A213" s="19" t="inlineStr">
        <is>
          <t>FY27</t>
        </is>
      </c>
      <c r="B213" s="19" t="inlineStr">
        <is>
          <t>Apr</t>
        </is>
      </c>
      <c r="C213" s="19" t="inlineStr">
        <is>
          <t>AP/TS</t>
        </is>
      </c>
      <c r="D213" s="20" t="inlineStr">
        <is>
          <t>AP28CL3732</t>
        </is>
      </c>
      <c r="E213" s="20" t="inlineStr">
        <is>
          <t>MARUTI SUZUKI</t>
        </is>
      </c>
      <c r="F213" s="20" t="inlineStr">
        <is>
          <t>Swift</t>
        </is>
      </c>
      <c r="G213" s="21" t="n">
        <v>2013</v>
      </c>
      <c r="H213" s="22" t="n">
        <v>155592</v>
      </c>
      <c r="I213" s="22" t="n">
        <v>207500</v>
      </c>
      <c r="J213" s="20" t="inlineStr">
        <is>
          <t>Pudari Babu</t>
        </is>
      </c>
      <c r="K213" s="20" t="inlineStr">
        <is>
          <t>Non-Captive</t>
        </is>
      </c>
      <c r="L213" s="20" t="inlineStr">
        <is>
          <t>Bukya Santhosh Naik</t>
        </is>
      </c>
      <c r="M213" s="23" t="n">
        <v>2118.64</v>
      </c>
    </row>
    <row r="214">
      <c r="A214" s="19" t="inlineStr">
        <is>
          <t>FY27</t>
        </is>
      </c>
      <c r="B214" s="19" t="inlineStr">
        <is>
          <t>Apr</t>
        </is>
      </c>
      <c r="C214" s="19" t="inlineStr">
        <is>
          <t>AP/TS</t>
        </is>
      </c>
      <c r="D214" s="20" t="inlineStr">
        <is>
          <t>AP16CS0477</t>
        </is>
      </c>
      <c r="E214" s="20" t="inlineStr">
        <is>
          <t>HYUNDAI</t>
        </is>
      </c>
      <c r="F214" s="20" t="inlineStr">
        <is>
          <t>Grand I10</t>
        </is>
      </c>
      <c r="G214" s="21" t="n">
        <v>2014</v>
      </c>
      <c r="H214" s="22" t="n">
        <v>147108</v>
      </c>
      <c r="I214" s="22" t="n">
        <v>202500</v>
      </c>
      <c r="J214" s="20" t="inlineStr">
        <is>
          <t>Chittibomma Srinivasa Rao</t>
        </is>
      </c>
      <c r="K214" s="20" t="inlineStr">
        <is>
          <t>Non-Captive</t>
        </is>
      </c>
      <c r="L214" s="20" t="inlineStr">
        <is>
          <t>Gopi Naga Raju</t>
        </is>
      </c>
      <c r="M214" s="23" t="n">
        <v>2118.64</v>
      </c>
    </row>
    <row r="215">
      <c r="A215" s="19" t="inlineStr">
        <is>
          <t>FY27</t>
        </is>
      </c>
      <c r="B215" s="19" t="inlineStr">
        <is>
          <t>Apr</t>
        </is>
      </c>
      <c r="C215" s="19" t="inlineStr">
        <is>
          <t>AP/TS</t>
        </is>
      </c>
      <c r="D215" s="20" t="inlineStr">
        <is>
          <t>AP16CJ6026</t>
        </is>
      </c>
      <c r="E215" s="20" t="inlineStr">
        <is>
          <t>MARUTI SUZUKI</t>
        </is>
      </c>
      <c r="F215" s="20" t="inlineStr">
        <is>
          <t>Swift</t>
        </is>
      </c>
      <c r="G215" s="21" t="n">
        <v>2013</v>
      </c>
      <c r="H215" s="22" t="n">
        <v>123050</v>
      </c>
      <c r="I215" s="22" t="n">
        <v>182500</v>
      </c>
      <c r="J215" s="20" t="inlineStr">
        <is>
          <t>Chittibomma Srinivasa Rao</t>
        </is>
      </c>
      <c r="K215" s="20" t="inlineStr">
        <is>
          <t>Non-Captive</t>
        </is>
      </c>
      <c r="L215" s="20" t="inlineStr">
        <is>
          <t>Gopi Naga Raju</t>
        </is>
      </c>
      <c r="M215" s="23" t="n">
        <v>2118.64</v>
      </c>
    </row>
    <row r="216">
      <c r="A216" s="19" t="inlineStr">
        <is>
          <t>FY27</t>
        </is>
      </c>
      <c r="B216" s="19" t="inlineStr">
        <is>
          <t>Apr</t>
        </is>
      </c>
      <c r="C216" s="19" t="inlineStr">
        <is>
          <t>AP/TS</t>
        </is>
      </c>
      <c r="D216" s="20" t="inlineStr">
        <is>
          <t>AP16CL0181</t>
        </is>
      </c>
      <c r="E216" s="20" t="inlineStr">
        <is>
          <t>HONDA</t>
        </is>
      </c>
      <c r="F216" s="20" t="inlineStr">
        <is>
          <t>Brio</t>
        </is>
      </c>
      <c r="G216" s="21" t="n">
        <v>2013</v>
      </c>
      <c r="H216" s="22" t="n">
        <v>124251</v>
      </c>
      <c r="I216" s="22" t="n">
        <v>162500</v>
      </c>
      <c r="J216" s="20" t="inlineStr">
        <is>
          <t>Chittibomma Srinivasa Rao</t>
        </is>
      </c>
      <c r="K216" s="20" t="inlineStr">
        <is>
          <t>Non-Captive</t>
        </is>
      </c>
      <c r="L216" s="20" t="inlineStr">
        <is>
          <t>Gopi Naga Raju</t>
        </is>
      </c>
      <c r="M216" s="23" t="n">
        <v>2118.64</v>
      </c>
    </row>
    <row r="217">
      <c r="A217" s="19" t="inlineStr">
        <is>
          <t>FY27</t>
        </is>
      </c>
      <c r="B217" s="19" t="inlineStr">
        <is>
          <t>Apr</t>
        </is>
      </c>
      <c r="C217" s="19" t="inlineStr">
        <is>
          <t>AP/TS</t>
        </is>
      </c>
      <c r="D217" s="20" t="inlineStr">
        <is>
          <t>AP16CH1525</t>
        </is>
      </c>
      <c r="E217" s="20" t="inlineStr">
        <is>
          <t>MARUTI SUZUKI</t>
        </is>
      </c>
      <c r="F217" s="20" t="inlineStr">
        <is>
          <t>Swift Dzire</t>
        </is>
      </c>
      <c r="G217" s="21" t="n">
        <v>2013</v>
      </c>
      <c r="H217" s="22" t="n">
        <v>138222</v>
      </c>
      <c r="I217" s="22" t="n">
        <v>187500</v>
      </c>
      <c r="J217" s="20" t="inlineStr">
        <is>
          <t>Chittibomma Srinivasa Rao</t>
        </is>
      </c>
      <c r="K217" s="20" t="inlineStr">
        <is>
          <t>Non-Captive</t>
        </is>
      </c>
      <c r="L217" s="20" t="inlineStr">
        <is>
          <t>Gopi Naga Raju</t>
        </is>
      </c>
      <c r="M217" s="23" t="n">
        <v>2118.64</v>
      </c>
    </row>
    <row r="218">
      <c r="A218" s="19" t="inlineStr">
        <is>
          <t>FY27</t>
        </is>
      </c>
      <c r="B218" s="19" t="inlineStr">
        <is>
          <t>May</t>
        </is>
      </c>
      <c r="C218" s="19" t="inlineStr">
        <is>
          <t>AP/TS</t>
        </is>
      </c>
      <c r="D218" s="20" t="inlineStr">
        <is>
          <t>AP39HD9009</t>
        </is>
      </c>
      <c r="E218" s="20" t="inlineStr">
        <is>
          <t>HONDA</t>
        </is>
      </c>
      <c r="F218" s="20" t="inlineStr">
        <is>
          <t>City</t>
        </is>
      </c>
      <c r="G218" s="21" t="n">
        <v>2020</v>
      </c>
      <c r="H218" s="22" t="n">
        <v>57885</v>
      </c>
      <c r="I218" s="22" t="n">
        <v>590000</v>
      </c>
      <c r="J218" s="20" t="inlineStr">
        <is>
          <t>Exchange VIJAYAWADA</t>
        </is>
      </c>
      <c r="K218" s="20" t="inlineStr">
        <is>
          <t>Captive</t>
        </is>
      </c>
      <c r="L218" s="20" t="inlineStr">
        <is>
          <t>Gandrapu Raja Ratnam</t>
        </is>
      </c>
      <c r="M218" s="23" t="n">
        <v>12711.86</v>
      </c>
    </row>
    <row r="219">
      <c r="A219" s="19" t="inlineStr">
        <is>
          <t>FY27</t>
        </is>
      </c>
      <c r="B219" s="19" t="inlineStr">
        <is>
          <t>May</t>
        </is>
      </c>
      <c r="C219" s="19" t="inlineStr">
        <is>
          <t>AP/TS</t>
        </is>
      </c>
      <c r="D219" s="20" t="inlineStr">
        <is>
          <t>AP31CP1258</t>
        </is>
      </c>
      <c r="E219" s="20" t="inlineStr">
        <is>
          <t>HONDA</t>
        </is>
      </c>
      <c r="F219" s="20" t="inlineStr">
        <is>
          <t>Amaze</t>
        </is>
      </c>
      <c r="G219" s="21" t="n">
        <v>2014</v>
      </c>
      <c r="H219" s="22" t="n">
        <v>83041</v>
      </c>
      <c r="I219" s="22" t="n">
        <v>172000</v>
      </c>
      <c r="J219" s="20" t="inlineStr">
        <is>
          <t>Exchange VIZAG</t>
        </is>
      </c>
      <c r="K219" s="20" t="inlineStr">
        <is>
          <t>Captive</t>
        </is>
      </c>
      <c r="L219" s="20" t="inlineStr">
        <is>
          <t>Kaki Dinesh Kumar</t>
        </is>
      </c>
      <c r="M219" s="23" t="n">
        <v>5932.2</v>
      </c>
    </row>
    <row r="220">
      <c r="A220" s="19" t="inlineStr">
        <is>
          <t>FY27</t>
        </is>
      </c>
      <c r="B220" s="19" t="inlineStr">
        <is>
          <t>May</t>
        </is>
      </c>
      <c r="C220" s="19" t="inlineStr">
        <is>
          <t>AP/TS</t>
        </is>
      </c>
      <c r="D220" s="20" t="inlineStr">
        <is>
          <t>AP31DM5189</t>
        </is>
      </c>
      <c r="E220" s="20" t="inlineStr">
        <is>
          <t>TATA</t>
        </is>
      </c>
      <c r="F220" s="20" t="inlineStr">
        <is>
          <t>Zest</t>
        </is>
      </c>
      <c r="G220" s="21" t="n">
        <v>2016</v>
      </c>
      <c r="H220" s="22" t="n">
        <v>130176</v>
      </c>
      <c r="I220" s="22" t="n">
        <v>228000</v>
      </c>
      <c r="J220" s="20" t="inlineStr">
        <is>
          <t>Gadi Sri Bharathi</t>
        </is>
      </c>
      <c r="K220" s="20" t="inlineStr">
        <is>
          <t>Non-Captive</t>
        </is>
      </c>
      <c r="L220" s="20" t="inlineStr">
        <is>
          <t>Kaki Dinesh Kumar</t>
        </is>
      </c>
      <c r="M220" s="23" t="n">
        <v>6779.66</v>
      </c>
    </row>
    <row r="221">
      <c r="A221" s="19" t="inlineStr">
        <is>
          <t>FY27</t>
        </is>
      </c>
      <c r="B221" s="19" t="inlineStr">
        <is>
          <t>May</t>
        </is>
      </c>
      <c r="C221" s="19" t="inlineStr">
        <is>
          <t>AP/TS</t>
        </is>
      </c>
      <c r="D221" s="20" t="inlineStr">
        <is>
          <t>AP31EA0359</t>
        </is>
      </c>
      <c r="E221" s="20" t="inlineStr">
        <is>
          <t>MARUTI SUZUKI</t>
        </is>
      </c>
      <c r="F221" s="20" t="inlineStr">
        <is>
          <t>Swift</t>
        </is>
      </c>
      <c r="G221" s="21" t="n">
        <v>2017</v>
      </c>
      <c r="H221" s="22" t="n">
        <v>83041</v>
      </c>
      <c r="I221" s="22" t="n">
        <v>250000</v>
      </c>
      <c r="J221" s="20" t="inlineStr">
        <is>
          <t>Exchange VIZAG</t>
        </is>
      </c>
      <c r="K221" s="20" t="inlineStr">
        <is>
          <t>Captive</t>
        </is>
      </c>
      <c r="L221" s="20" t="inlineStr">
        <is>
          <t>Kaki Dinesh Kumar</t>
        </is>
      </c>
      <c r="M221" s="23" t="n">
        <v>6779.66</v>
      </c>
    </row>
    <row r="222">
      <c r="A222" s="19" t="inlineStr">
        <is>
          <t>FY27</t>
        </is>
      </c>
      <c r="B222" s="19" t="inlineStr">
        <is>
          <t>May</t>
        </is>
      </c>
      <c r="C222" s="19" t="inlineStr">
        <is>
          <t>AP/TS</t>
        </is>
      </c>
      <c r="D222" s="20" t="inlineStr">
        <is>
          <t>AP31BY3599</t>
        </is>
      </c>
      <c r="E222" s="20" t="inlineStr">
        <is>
          <t>MARUTI SUZUKI</t>
        </is>
      </c>
      <c r="F222" s="20" t="inlineStr">
        <is>
          <t>Swift Dzire</t>
        </is>
      </c>
      <c r="G222" s="21" t="n">
        <v>2012</v>
      </c>
      <c r="H222" s="22" t="n">
        <v>170484</v>
      </c>
      <c r="I222" s="22" t="n">
        <v>200000</v>
      </c>
      <c r="J222" s="20" t="inlineStr">
        <is>
          <t>Gadi Sri Bharathi</t>
        </is>
      </c>
      <c r="K222" s="20" t="inlineStr">
        <is>
          <t>Non-Captive</t>
        </is>
      </c>
      <c r="L222" s="20" t="inlineStr">
        <is>
          <t>Kaki Dinesh Kumar</t>
        </is>
      </c>
      <c r="M222" s="23" t="n">
        <v>5932.2</v>
      </c>
    </row>
    <row r="223">
      <c r="A223" s="19" t="inlineStr">
        <is>
          <t>FY27</t>
        </is>
      </c>
      <c r="B223" s="19" t="inlineStr">
        <is>
          <t>May</t>
        </is>
      </c>
      <c r="C223" s="19" t="inlineStr">
        <is>
          <t>AP/TS</t>
        </is>
      </c>
      <c r="D223" s="20" t="inlineStr">
        <is>
          <t>AP07CX3418</t>
        </is>
      </c>
      <c r="E223" s="20" t="inlineStr">
        <is>
          <t>HONDA</t>
        </is>
      </c>
      <c r="F223" s="20" t="inlineStr">
        <is>
          <t>City</t>
        </is>
      </c>
      <c r="G223" s="21" t="n">
        <v>2017</v>
      </c>
      <c r="H223" s="22" t="n">
        <v>57042</v>
      </c>
      <c r="I223" s="22" t="n">
        <v>397500</v>
      </c>
      <c r="J223" s="20" t="inlineStr">
        <is>
          <t>Exchange VIJAYAWADA</t>
        </is>
      </c>
      <c r="K223" s="20" t="inlineStr">
        <is>
          <t>Captive</t>
        </is>
      </c>
      <c r="L223" s="20" t="inlineStr">
        <is>
          <t>Shaik Shakeela</t>
        </is>
      </c>
      <c r="M223" s="23" t="n">
        <v>6355.93</v>
      </c>
    </row>
    <row r="224">
      <c r="A224" s="19" t="inlineStr">
        <is>
          <t>FY27</t>
        </is>
      </c>
      <c r="B224" s="19" t="inlineStr">
        <is>
          <t>May</t>
        </is>
      </c>
      <c r="C224" s="19" t="inlineStr">
        <is>
          <t>AP/TS</t>
        </is>
      </c>
      <c r="D224" s="20" t="inlineStr">
        <is>
          <t>AP07CQ0279</t>
        </is>
      </c>
      <c r="E224" s="20" t="inlineStr">
        <is>
          <t>HYUNDAI</t>
        </is>
      </c>
      <c r="F224" s="20" t="inlineStr">
        <is>
          <t>I10</t>
        </is>
      </c>
      <c r="G224" s="21" t="n">
        <v>2015</v>
      </c>
      <c r="H224" s="22" t="n">
        <v>140111</v>
      </c>
      <c r="I224" s="22" t="n">
        <v>159000</v>
      </c>
      <c r="J224" s="20" t="inlineStr">
        <is>
          <t>Exchange VIJAYAWADA</t>
        </is>
      </c>
      <c r="K224" s="20" t="inlineStr">
        <is>
          <t>Captive</t>
        </is>
      </c>
      <c r="L224" s="20" t="inlineStr">
        <is>
          <t>Tenali Srinivas</t>
        </is>
      </c>
      <c r="M224" s="23" t="n">
        <v>7627.12</v>
      </c>
    </row>
    <row r="225">
      <c r="A225" s="19" t="inlineStr">
        <is>
          <t>FY27</t>
        </is>
      </c>
      <c r="B225" s="19" t="inlineStr">
        <is>
          <t>May</t>
        </is>
      </c>
      <c r="C225" s="19" t="inlineStr">
        <is>
          <t>AP/TS</t>
        </is>
      </c>
      <c r="D225" s="20" t="inlineStr">
        <is>
          <t>AP16CP6408</t>
        </is>
      </c>
      <c r="E225" s="20" t="inlineStr">
        <is>
          <t>NISSAN</t>
        </is>
      </c>
      <c r="F225" s="20" t="inlineStr">
        <is>
          <t>Sunny</t>
        </is>
      </c>
      <c r="G225" s="21" t="n">
        <v>2013</v>
      </c>
      <c r="H225" s="22" t="n">
        <v>145263</v>
      </c>
      <c r="I225" s="22" t="n">
        <v>220000</v>
      </c>
      <c r="J225" s="20" t="inlineStr">
        <is>
          <t>Gopi Nagaraju</t>
        </is>
      </c>
      <c r="K225" s="20" t="inlineStr">
        <is>
          <t>Non-Captive</t>
        </is>
      </c>
      <c r="L225" s="20" t="inlineStr">
        <is>
          <t>Ruthwik Prathi</t>
        </is>
      </c>
      <c r="M225" s="23" t="n">
        <v>6779.66</v>
      </c>
    </row>
    <row r="226">
      <c r="A226" s="19" t="inlineStr">
        <is>
          <t>FY27</t>
        </is>
      </c>
      <c r="B226" s="19" t="inlineStr">
        <is>
          <t>May</t>
        </is>
      </c>
      <c r="C226" s="19" t="inlineStr">
        <is>
          <t>AP/TS</t>
        </is>
      </c>
      <c r="D226" s="20" t="inlineStr">
        <is>
          <t>AP31AW4444</t>
        </is>
      </c>
      <c r="E226" s="20" t="inlineStr">
        <is>
          <t>TOYOTA</t>
        </is>
      </c>
      <c r="F226" s="20" t="inlineStr">
        <is>
          <t>Innova</t>
        </is>
      </c>
      <c r="G226" s="21" t="n">
        <v>2008</v>
      </c>
      <c r="H226" s="22" t="n">
        <v>395014</v>
      </c>
      <c r="I226" s="22" t="n">
        <v>190000</v>
      </c>
      <c r="J226" s="20" t="inlineStr">
        <is>
          <t>Gopi Nagaraju</t>
        </is>
      </c>
      <c r="K226" s="20" t="inlineStr">
        <is>
          <t>Non-Captive</t>
        </is>
      </c>
      <c r="L226" s="20" t="inlineStr">
        <is>
          <t>Tenali Srinivas</t>
        </is>
      </c>
      <c r="M226" s="23" t="n">
        <v>5084.75</v>
      </c>
    </row>
    <row r="227">
      <c r="A227" s="19" t="inlineStr">
        <is>
          <t>FY27</t>
        </is>
      </c>
      <c r="B227" s="19" t="inlineStr">
        <is>
          <t>May</t>
        </is>
      </c>
      <c r="C227" s="19" t="inlineStr">
        <is>
          <t>AP/TS</t>
        </is>
      </c>
      <c r="D227" s="20" t="inlineStr">
        <is>
          <t>AP31DQ3763</t>
        </is>
      </c>
      <c r="E227" s="20" t="inlineStr">
        <is>
          <t>MARUTI SUZUKI</t>
        </is>
      </c>
      <c r="F227" s="20" t="inlineStr">
        <is>
          <t>Swift</t>
        </is>
      </c>
      <c r="G227" s="21" t="n">
        <v>2016</v>
      </c>
      <c r="H227" s="22" t="n">
        <v>26589</v>
      </c>
      <c r="I227" s="22" t="n">
        <v>305000</v>
      </c>
      <c r="J227" s="20" t="inlineStr">
        <is>
          <t>Exchange VIZAG</t>
        </is>
      </c>
      <c r="K227" s="20" t="inlineStr">
        <is>
          <t>Captive</t>
        </is>
      </c>
      <c r="L227" s="20" t="inlineStr">
        <is>
          <t>Kesireddy Saikiran</t>
        </is>
      </c>
      <c r="M227" s="23" t="n">
        <v>12711.86</v>
      </c>
    </row>
    <row r="228">
      <c r="A228" s="19" t="inlineStr">
        <is>
          <t>FY27</t>
        </is>
      </c>
      <c r="B228" s="19" t="inlineStr">
        <is>
          <t>May</t>
        </is>
      </c>
      <c r="C228" s="19" t="inlineStr">
        <is>
          <t>AP/TS</t>
        </is>
      </c>
      <c r="D228" s="20" t="inlineStr">
        <is>
          <t>TS08GK7273</t>
        </is>
      </c>
      <c r="E228" s="20" t="inlineStr">
        <is>
          <t>HONDA</t>
        </is>
      </c>
      <c r="F228" s="20" t="inlineStr">
        <is>
          <t>Amaze</t>
        </is>
      </c>
      <c r="G228" s="21" t="n">
        <v>2019</v>
      </c>
      <c r="H228" s="22" t="n">
        <v>77301</v>
      </c>
      <c r="I228" s="22" t="n">
        <v>415000</v>
      </c>
      <c r="J228" s="20" t="inlineStr">
        <is>
          <t>Exchange HYDERABAD</t>
        </is>
      </c>
      <c r="K228" s="20" t="inlineStr">
        <is>
          <t>Captive</t>
        </is>
      </c>
      <c r="L228" s="20" t="inlineStr">
        <is>
          <t>Gorenka Vinay Shravan</t>
        </is>
      </c>
      <c r="M228" s="23" t="n">
        <v>12711.86</v>
      </c>
    </row>
    <row r="229">
      <c r="A229" s="19" t="inlineStr">
        <is>
          <t>FY27</t>
        </is>
      </c>
      <c r="B229" s="19" t="inlineStr">
        <is>
          <t>May</t>
        </is>
      </c>
      <c r="C229" s="19" t="inlineStr">
        <is>
          <t>AP/TS</t>
        </is>
      </c>
      <c r="D229" s="20" t="inlineStr">
        <is>
          <t>AP31CY0624</t>
        </is>
      </c>
      <c r="E229" s="20" t="inlineStr">
        <is>
          <t>MARUTI SUZUKI</t>
        </is>
      </c>
      <c r="F229" s="20" t="inlineStr">
        <is>
          <t>Swift Dzire</t>
        </is>
      </c>
      <c r="G229" s="21" t="n">
        <v>2015</v>
      </c>
      <c r="H229" s="22" t="n">
        <v>386721</v>
      </c>
      <c r="I229" s="22" t="n">
        <v>128000</v>
      </c>
      <c r="J229" s="20" t="inlineStr">
        <is>
          <t>Exchange VIZAG</t>
        </is>
      </c>
      <c r="K229" s="20" t="inlineStr">
        <is>
          <t>Captive</t>
        </is>
      </c>
      <c r="L229" s="20" t="inlineStr">
        <is>
          <t>Karukonda Someswara Rao</t>
        </is>
      </c>
      <c r="M229" s="23" t="n">
        <v>6779.66</v>
      </c>
    </row>
    <row r="230">
      <c r="A230" s="19" t="inlineStr">
        <is>
          <t>FY27</t>
        </is>
      </c>
      <c r="B230" s="19" t="inlineStr">
        <is>
          <t>May</t>
        </is>
      </c>
      <c r="C230" s="19" t="inlineStr">
        <is>
          <t>AP/TS</t>
        </is>
      </c>
      <c r="D230" s="20" t="inlineStr">
        <is>
          <t>TS09EA0336</t>
        </is>
      </c>
      <c r="E230" s="20" t="inlineStr">
        <is>
          <t>HONDA</t>
        </is>
      </c>
      <c r="F230" s="20" t="inlineStr">
        <is>
          <t>Amaze</t>
        </is>
      </c>
      <c r="G230" s="21" t="n">
        <v>2014</v>
      </c>
      <c r="H230" s="22" t="n">
        <v>124502</v>
      </c>
      <c r="I230" s="22" t="n">
        <v>240000</v>
      </c>
      <c r="J230" s="20" t="inlineStr">
        <is>
          <t>Exchange HYDERABAD</t>
        </is>
      </c>
      <c r="K230" s="20" t="inlineStr">
        <is>
          <t>Captive</t>
        </is>
      </c>
      <c r="L230" s="20" t="inlineStr">
        <is>
          <t>Kranthi Jwala Gudipati</t>
        </is>
      </c>
      <c r="M230" s="23" t="n">
        <v>8474.58</v>
      </c>
    </row>
    <row r="231">
      <c r="A231" s="19" t="inlineStr">
        <is>
          <t>FY27</t>
        </is>
      </c>
      <c r="B231" s="19" t="inlineStr">
        <is>
          <t>May</t>
        </is>
      </c>
      <c r="C231" s="19" t="inlineStr">
        <is>
          <t>AP/TS</t>
        </is>
      </c>
      <c r="D231" s="20" t="inlineStr">
        <is>
          <t>AP11AD1804</t>
        </is>
      </c>
      <c r="E231" s="20" t="inlineStr">
        <is>
          <t>HYUNDAI</t>
        </is>
      </c>
      <c r="F231" s="20" t="inlineStr">
        <is>
          <t>Santro</t>
        </is>
      </c>
      <c r="G231" s="21" t="n">
        <v>2008</v>
      </c>
      <c r="H231" s="22" t="n">
        <v>101888</v>
      </c>
      <c r="I231" s="22" t="n">
        <v>55000</v>
      </c>
      <c r="J231" s="20" t="inlineStr">
        <is>
          <t>Exchange HYDERABAD</t>
        </is>
      </c>
      <c r="K231" s="20" t="inlineStr">
        <is>
          <t>Captive</t>
        </is>
      </c>
      <c r="L231" s="20" t="inlineStr">
        <is>
          <t>Kranthi Jwala Gudipati</t>
        </is>
      </c>
      <c r="M231" s="23" t="n">
        <v>4237.29</v>
      </c>
    </row>
    <row r="232">
      <c r="A232" s="19" t="inlineStr">
        <is>
          <t>FY27</t>
        </is>
      </c>
      <c r="B232" s="19" t="inlineStr">
        <is>
          <t>May</t>
        </is>
      </c>
      <c r="C232" s="19" t="inlineStr">
        <is>
          <t>AP/TS</t>
        </is>
      </c>
      <c r="D232" s="20" t="inlineStr">
        <is>
          <t>AP10BF0463</t>
        </is>
      </c>
      <c r="E232" s="20" t="inlineStr">
        <is>
          <t>TOYOTA</t>
        </is>
      </c>
      <c r="F232" s="20" t="inlineStr">
        <is>
          <t>Etios</t>
        </is>
      </c>
      <c r="G232" s="21" t="n">
        <v>2013</v>
      </c>
      <c r="H232" s="22" t="n">
        <v>67554</v>
      </c>
      <c r="I232" s="22" t="n">
        <v>233000</v>
      </c>
      <c r="J232" s="20" t="inlineStr">
        <is>
          <t>Exchange HYDERABAD</t>
        </is>
      </c>
      <c r="K232" s="20" t="inlineStr">
        <is>
          <t>Captive</t>
        </is>
      </c>
      <c r="L232" s="20" t="inlineStr">
        <is>
          <t>Kranthi Jwala Gudipati</t>
        </is>
      </c>
      <c r="M232" s="23" t="n">
        <v>8474.58</v>
      </c>
    </row>
    <row r="233">
      <c r="A233" s="19" t="inlineStr">
        <is>
          <t>FY27</t>
        </is>
      </c>
      <c r="B233" s="19" t="inlineStr">
        <is>
          <t>May</t>
        </is>
      </c>
      <c r="C233" s="19" t="inlineStr">
        <is>
          <t>AP/TS</t>
        </is>
      </c>
      <c r="D233" s="20" t="inlineStr">
        <is>
          <t>AP28DF6034</t>
        </is>
      </c>
      <c r="E233" s="20" t="inlineStr">
        <is>
          <t>FIAT</t>
        </is>
      </c>
      <c r="F233" s="20" t="inlineStr">
        <is>
          <t>Punto</t>
        </is>
      </c>
      <c r="G233" s="21" t="n">
        <v>2010</v>
      </c>
      <c r="H233" s="22" t="n">
        <v>124856</v>
      </c>
      <c r="I233" s="22" t="n">
        <v>60000</v>
      </c>
      <c r="J233" s="20" t="inlineStr">
        <is>
          <t>Pudari Babu</t>
        </is>
      </c>
      <c r="K233" s="20" t="inlineStr">
        <is>
          <t>Non-Captive</t>
        </is>
      </c>
      <c r="L233" s="20" t="inlineStr">
        <is>
          <t>Kranthi Jwala Gudipati</t>
        </is>
      </c>
      <c r="M233" s="23" t="n">
        <v>4237.29</v>
      </c>
    </row>
    <row r="234">
      <c r="A234" s="19" t="inlineStr">
        <is>
          <t>FY27</t>
        </is>
      </c>
      <c r="B234" s="19" t="inlineStr">
        <is>
          <t>May</t>
        </is>
      </c>
      <c r="C234" s="19" t="inlineStr">
        <is>
          <t>AP/TS</t>
        </is>
      </c>
      <c r="D234" s="20" t="inlineStr">
        <is>
          <t>TS07EW5900</t>
        </is>
      </c>
      <c r="E234" s="20" t="inlineStr">
        <is>
          <t>HONDA</t>
        </is>
      </c>
      <c r="F234" s="20" t="inlineStr">
        <is>
          <t>Amaze</t>
        </is>
      </c>
      <c r="G234" s="21" t="n">
        <v>2015</v>
      </c>
      <c r="H234" s="22" t="n">
        <v>32055</v>
      </c>
      <c r="I234" s="22" t="n">
        <v>260000</v>
      </c>
      <c r="J234" s="20" t="inlineStr">
        <is>
          <t>Exchange</t>
        </is>
      </c>
      <c r="K234" s="20" t="inlineStr">
        <is>
          <t>Captive</t>
        </is>
      </c>
      <c r="L234" s="20" t="inlineStr">
        <is>
          <t>Uppari Sandeep Kumar</t>
        </is>
      </c>
      <c r="M234" s="23" t="n">
        <v>8474.58</v>
      </c>
    </row>
    <row r="235">
      <c r="A235" s="19" t="inlineStr">
        <is>
          <t>FY27</t>
        </is>
      </c>
      <c r="B235" s="19" t="inlineStr">
        <is>
          <t>May</t>
        </is>
      </c>
      <c r="C235" s="19" t="inlineStr">
        <is>
          <t>AP/TS</t>
        </is>
      </c>
      <c r="D235" s="20" t="inlineStr">
        <is>
          <t>TS04FE0260</t>
        </is>
      </c>
      <c r="E235" s="20" t="inlineStr">
        <is>
          <t>HONDA</t>
        </is>
      </c>
      <c r="F235" s="20" t="inlineStr">
        <is>
          <t>Wr-V</t>
        </is>
      </c>
      <c r="G235" s="21" t="n">
        <v>2021</v>
      </c>
      <c r="H235" s="22" t="n">
        <v>56015</v>
      </c>
      <c r="I235" s="22" t="n">
        <v>522000</v>
      </c>
      <c r="J235" s="20" t="inlineStr">
        <is>
          <t>Exchange</t>
        </is>
      </c>
      <c r="K235" s="20" t="inlineStr">
        <is>
          <t>Captive</t>
        </is>
      </c>
      <c r="L235" s="20" t="inlineStr">
        <is>
          <t>Puneet Gupta</t>
        </is>
      </c>
      <c r="M235" s="23" t="n">
        <v>10169.49</v>
      </c>
    </row>
    <row r="236">
      <c r="A236" s="19" t="inlineStr">
        <is>
          <t>FY27</t>
        </is>
      </c>
      <c r="B236" s="19" t="inlineStr">
        <is>
          <t>May</t>
        </is>
      </c>
      <c r="C236" s="19" t="inlineStr">
        <is>
          <t>AP/TS</t>
        </is>
      </c>
      <c r="D236" s="20" t="inlineStr">
        <is>
          <t>TS08JA5509</t>
        </is>
      </c>
      <c r="E236" s="20" t="inlineStr">
        <is>
          <t>MARUTI SUZUKI</t>
        </is>
      </c>
      <c r="F236" s="20" t="inlineStr">
        <is>
          <t>Ciaz</t>
        </is>
      </c>
      <c r="G236" s="21" t="n">
        <v>2016</v>
      </c>
      <c r="H236" s="22" t="n">
        <v>125526</v>
      </c>
      <c r="I236" s="22" t="n">
        <v>308000</v>
      </c>
      <c r="J236" s="20" t="inlineStr">
        <is>
          <t>Bukya Santhosh Naik</t>
        </is>
      </c>
      <c r="K236" s="20" t="inlineStr">
        <is>
          <t>Non-Captive</t>
        </is>
      </c>
      <c r="L236" s="20" t="inlineStr">
        <is>
          <t>Puneet Gupta</t>
        </is>
      </c>
      <c r="M236" s="23" t="n">
        <v>6779.66</v>
      </c>
    </row>
    <row r="237">
      <c r="A237" s="19" t="inlineStr">
        <is>
          <t>FY27</t>
        </is>
      </c>
      <c r="B237" s="19" t="inlineStr">
        <is>
          <t>May</t>
        </is>
      </c>
      <c r="C237" s="19" t="inlineStr">
        <is>
          <t>AP/TS</t>
        </is>
      </c>
      <c r="D237" s="20" t="inlineStr">
        <is>
          <t>AP40CX3305</t>
        </is>
      </c>
      <c r="E237" s="20" t="inlineStr">
        <is>
          <t>TATA</t>
        </is>
      </c>
      <c r="F237" s="20" t="inlineStr">
        <is>
          <t>Tiago</t>
        </is>
      </c>
      <c r="G237" s="21" t="n">
        <v>2024</v>
      </c>
      <c r="H237" s="22" t="n">
        <v>31298</v>
      </c>
      <c r="I237" s="22" t="n">
        <v>372500</v>
      </c>
      <c r="J237" s="20" t="inlineStr">
        <is>
          <t>Exchange</t>
        </is>
      </c>
      <c r="K237" s="20" t="inlineStr">
        <is>
          <t>Captive</t>
        </is>
      </c>
      <c r="L237" s="20" t="inlineStr">
        <is>
          <t>Kaki Dinesh Kumar</t>
        </is>
      </c>
      <c r="M237" s="23" t="n">
        <v>6355.93</v>
      </c>
    </row>
    <row r="238">
      <c r="A238" s="19" t="inlineStr">
        <is>
          <t>FY27</t>
        </is>
      </c>
      <c r="B238" s="19" t="inlineStr">
        <is>
          <t>May</t>
        </is>
      </c>
      <c r="C238" s="19" t="inlineStr">
        <is>
          <t>AP/TS</t>
        </is>
      </c>
      <c r="D238" s="20" t="inlineStr">
        <is>
          <t>AP05DR1929</t>
        </is>
      </c>
      <c r="E238" s="20" t="inlineStr">
        <is>
          <t>FORD</t>
        </is>
      </c>
      <c r="F238" s="20" t="inlineStr">
        <is>
          <t>Figo</t>
        </is>
      </c>
      <c r="G238" s="21" t="n">
        <v>2017</v>
      </c>
      <c r="H238" s="22" t="n">
        <v>175268</v>
      </c>
      <c r="I238" s="22" t="n">
        <v>307500</v>
      </c>
      <c r="J238" s="20" t="inlineStr">
        <is>
          <t>Gadi Sri Bharathi</t>
        </is>
      </c>
      <c r="K238" s="20" t="inlineStr">
        <is>
          <t>Non-Captive</t>
        </is>
      </c>
      <c r="L238" s="20" t="inlineStr">
        <is>
          <t>Kaki Dinesh Kumar</t>
        </is>
      </c>
      <c r="M238" s="23" t="n">
        <v>6355.93</v>
      </c>
    </row>
    <row r="239">
      <c r="A239" s="19" t="inlineStr">
        <is>
          <t>FY27</t>
        </is>
      </c>
      <c r="B239" s="19" t="inlineStr">
        <is>
          <t>May</t>
        </is>
      </c>
      <c r="C239" s="19" t="inlineStr">
        <is>
          <t>AP/TS</t>
        </is>
      </c>
      <c r="D239" s="20" t="inlineStr">
        <is>
          <t>AP37BY4567</t>
        </is>
      </c>
      <c r="E239" s="20" t="inlineStr">
        <is>
          <t>FORD</t>
        </is>
      </c>
      <c r="F239" s="20" t="inlineStr">
        <is>
          <t>Ecosport</t>
        </is>
      </c>
      <c r="G239" s="21" t="n">
        <v>2013</v>
      </c>
      <c r="H239" s="22" t="n">
        <v>128865</v>
      </c>
      <c r="I239" s="22" t="n">
        <v>196000</v>
      </c>
      <c r="J239" s="20" t="inlineStr">
        <is>
          <t>Gadi Ramesh</t>
        </is>
      </c>
      <c r="K239" s="20" t="inlineStr">
        <is>
          <t>Non-Captive</t>
        </is>
      </c>
      <c r="L239" s="20" t="inlineStr">
        <is>
          <t>Guthi Ravi Krishna</t>
        </is>
      </c>
      <c r="M239" s="23" t="n">
        <v>5084.75</v>
      </c>
    </row>
    <row r="240">
      <c r="A240" s="19" t="inlineStr">
        <is>
          <t>FY27</t>
        </is>
      </c>
      <c r="B240" s="19" t="inlineStr">
        <is>
          <t>May</t>
        </is>
      </c>
      <c r="C240" s="19" t="inlineStr">
        <is>
          <t>AP/TS</t>
        </is>
      </c>
      <c r="D240" s="20" t="inlineStr">
        <is>
          <t>AP16AL2148</t>
        </is>
      </c>
      <c r="E240" s="20" t="inlineStr">
        <is>
          <t>MARUTI SUZUKI</t>
        </is>
      </c>
      <c r="F240" s="20" t="inlineStr">
        <is>
          <t>Alto</t>
        </is>
      </c>
      <c r="G240" s="21" t="n">
        <v>2004</v>
      </c>
      <c r="H240" s="22" t="n">
        <v>198752</v>
      </c>
      <c r="I240" s="22" t="n">
        <v>30000</v>
      </c>
      <c r="J240" s="20" t="inlineStr">
        <is>
          <t>Gadi Ramesh</t>
        </is>
      </c>
      <c r="K240" s="20" t="inlineStr">
        <is>
          <t>Non-Captive</t>
        </is>
      </c>
      <c r="L240" s="20" t="inlineStr">
        <is>
          <t>Guthi Ravi Krishna</t>
        </is>
      </c>
      <c r="M240" s="23" t="n">
        <v>4237.29</v>
      </c>
    </row>
    <row r="241">
      <c r="A241" s="19" t="inlineStr">
        <is>
          <t>FY27</t>
        </is>
      </c>
      <c r="B241" s="19" t="inlineStr">
        <is>
          <t>May</t>
        </is>
      </c>
      <c r="C241" s="19" t="inlineStr">
        <is>
          <t>AP/TS</t>
        </is>
      </c>
      <c r="D241" s="20" t="inlineStr">
        <is>
          <t>KA03MD7709</t>
        </is>
      </c>
      <c r="E241" s="20" t="inlineStr">
        <is>
          <t>HONDA</t>
        </is>
      </c>
      <c r="F241" s="20" t="inlineStr">
        <is>
          <t>City</t>
        </is>
      </c>
      <c r="G241" s="21" t="n">
        <v>2005</v>
      </c>
      <c r="H241" s="22" t="n">
        <v>251140</v>
      </c>
      <c r="I241" s="22" t="n">
        <v>30000</v>
      </c>
      <c r="J241" s="20" t="inlineStr">
        <is>
          <t>Gadi Ramesh</t>
        </is>
      </c>
      <c r="K241" s="20" t="inlineStr">
        <is>
          <t>Non-Captive</t>
        </is>
      </c>
      <c r="L241" s="20" t="inlineStr">
        <is>
          <t>Mohammed Gouse Basha</t>
        </is>
      </c>
      <c r="M241" s="23" t="n">
        <v>4237.29</v>
      </c>
    </row>
    <row r="242">
      <c r="A242" s="19" t="inlineStr">
        <is>
          <t>FY27</t>
        </is>
      </c>
      <c r="B242" s="19" t="inlineStr">
        <is>
          <t>May</t>
        </is>
      </c>
      <c r="C242" s="19" t="inlineStr">
        <is>
          <t>AP/TS</t>
        </is>
      </c>
      <c r="D242" s="20" t="inlineStr">
        <is>
          <t>AP16CJ0007</t>
        </is>
      </c>
      <c r="E242" s="20" t="inlineStr">
        <is>
          <t>HONDA</t>
        </is>
      </c>
      <c r="F242" s="20" t="inlineStr">
        <is>
          <t>Brio</t>
        </is>
      </c>
      <c r="G242" s="21" t="n">
        <v>2013</v>
      </c>
      <c r="H242" s="22" t="n">
        <v>329878</v>
      </c>
      <c r="I242" s="22" t="n">
        <v>105000</v>
      </c>
      <c r="J242" s="20" t="inlineStr">
        <is>
          <t>Exchange</t>
        </is>
      </c>
      <c r="K242" s="20" t="inlineStr">
        <is>
          <t>Captive</t>
        </is>
      </c>
      <c r="L242" s="20" t="inlineStr">
        <is>
          <t>Mohammed Gouse Basha</t>
        </is>
      </c>
      <c r="M242" s="23" t="n">
        <v>4237.29</v>
      </c>
    </row>
    <row r="243">
      <c r="A243" s="19" t="inlineStr">
        <is>
          <t>FY27</t>
        </is>
      </c>
      <c r="B243" s="19" t="inlineStr">
        <is>
          <t>May</t>
        </is>
      </c>
      <c r="C243" s="19" t="inlineStr">
        <is>
          <t>AP/TS</t>
        </is>
      </c>
      <c r="D243" s="20" t="inlineStr">
        <is>
          <t>TS10EU6203</t>
        </is>
      </c>
      <c r="E243" s="20" t="inlineStr">
        <is>
          <t>HYUNDAI</t>
        </is>
      </c>
      <c r="F243" s="20" t="inlineStr">
        <is>
          <t>Venue</t>
        </is>
      </c>
      <c r="G243" s="21" t="n">
        <v>2019</v>
      </c>
      <c r="H243" s="22" t="n">
        <v>44219</v>
      </c>
      <c r="I243" s="22" t="n">
        <v>490000</v>
      </c>
      <c r="J243" s="20" t="inlineStr">
        <is>
          <t>Exchange</t>
        </is>
      </c>
      <c r="K243" s="20" t="inlineStr">
        <is>
          <t>Captive</t>
        </is>
      </c>
      <c r="L243" s="20" t="inlineStr">
        <is>
          <t>4Wheelz</t>
        </is>
      </c>
      <c r="M243" s="23" t="n">
        <v>8474.58</v>
      </c>
    </row>
    <row r="244">
      <c r="A244" s="19" t="inlineStr">
        <is>
          <t>FY27</t>
        </is>
      </c>
      <c r="B244" s="19" t="inlineStr">
        <is>
          <t>May</t>
        </is>
      </c>
      <c r="C244" s="19" t="inlineStr">
        <is>
          <t>AP/TS</t>
        </is>
      </c>
      <c r="D244" s="20" t="inlineStr">
        <is>
          <t>AP40KL7561</t>
        </is>
      </c>
      <c r="E244" s="20" t="inlineStr">
        <is>
          <t>KIA</t>
        </is>
      </c>
      <c r="F244" s="20" t="inlineStr">
        <is>
          <t>Seltos</t>
        </is>
      </c>
      <c r="G244" s="21" t="n">
        <v>2020</v>
      </c>
      <c r="H244" s="22" t="n">
        <v>110923</v>
      </c>
      <c r="I244" s="22" t="n">
        <v>787000</v>
      </c>
      <c r="J244" s="20" t="inlineStr">
        <is>
          <t>Exchange</t>
        </is>
      </c>
      <c r="K244" s="20" t="inlineStr">
        <is>
          <t>Captive</t>
        </is>
      </c>
      <c r="L244" s="20" t="inlineStr">
        <is>
          <t>Chittibomma Srinivasa Rao</t>
        </is>
      </c>
      <c r="M244" s="23" t="n">
        <v>10169.49</v>
      </c>
    </row>
    <row r="245">
      <c r="A245" s="19" t="inlineStr">
        <is>
          <t>FY27</t>
        </is>
      </c>
      <c r="B245" s="19" t="inlineStr">
        <is>
          <t>May</t>
        </is>
      </c>
      <c r="C245" s="19" t="inlineStr">
        <is>
          <t>AP/TS</t>
        </is>
      </c>
      <c r="D245" s="20" t="inlineStr">
        <is>
          <t>AP39LS1139</t>
        </is>
      </c>
      <c r="E245" s="20" t="inlineStr">
        <is>
          <t>HYUNDAI</t>
        </is>
      </c>
      <c r="F245" s="20" t="inlineStr">
        <is>
          <t>Santro</t>
        </is>
      </c>
      <c r="G245" s="21" t="n">
        <v>2021</v>
      </c>
      <c r="H245" s="22" t="n">
        <v>94714</v>
      </c>
      <c r="I245" s="22" t="n">
        <v>310000</v>
      </c>
      <c r="J245" s="20" t="inlineStr">
        <is>
          <t>Exchange</t>
        </is>
      </c>
      <c r="K245" s="20" t="inlineStr">
        <is>
          <t>Captive</t>
        </is>
      </c>
      <c r="L245" s="20" t="inlineStr">
        <is>
          <t>Naga Suresh Polukonda</t>
        </is>
      </c>
      <c r="M245" s="23" t="n">
        <v>8474.58</v>
      </c>
    </row>
    <row r="246">
      <c r="A246" s="19" t="inlineStr">
        <is>
          <t>FY27</t>
        </is>
      </c>
      <c r="B246" s="19" t="inlineStr">
        <is>
          <t>May</t>
        </is>
      </c>
      <c r="C246" s="19" t="inlineStr">
        <is>
          <t>AP/TS</t>
        </is>
      </c>
      <c r="D246" s="20" t="inlineStr">
        <is>
          <t>AP16FB1119</t>
        </is>
      </c>
      <c r="E246" s="20" t="inlineStr">
        <is>
          <t>HONDA</t>
        </is>
      </c>
      <c r="F246" s="20" t="inlineStr">
        <is>
          <t>City</t>
        </is>
      </c>
      <c r="G246" s="21" t="n">
        <v>2017</v>
      </c>
      <c r="H246" s="22" t="n">
        <v>86372</v>
      </c>
      <c r="I246" s="22" t="n">
        <v>310000</v>
      </c>
      <c r="J246" s="20" t="inlineStr">
        <is>
          <t>Exchange</t>
        </is>
      </c>
      <c r="K246" s="20" t="inlineStr">
        <is>
          <t>Captive</t>
        </is>
      </c>
      <c r="L246" s="20" t="inlineStr">
        <is>
          <t>Vedicherla Sudheer Reddy - VSR Cars</t>
        </is>
      </c>
      <c r="M246" s="23" t="n">
        <v>8474.58</v>
      </c>
    </row>
    <row r="247">
      <c r="A247" s="19" t="inlineStr">
        <is>
          <t>FY27</t>
        </is>
      </c>
      <c r="B247" s="19" t="inlineStr">
        <is>
          <t>May</t>
        </is>
      </c>
      <c r="C247" s="19" t="inlineStr">
        <is>
          <t>AP/TS</t>
        </is>
      </c>
      <c r="D247" s="20" t="inlineStr">
        <is>
          <t>AP16EH4846</t>
        </is>
      </c>
      <c r="E247" s="20" t="inlineStr">
        <is>
          <t>HYUNDAI</t>
        </is>
      </c>
      <c r="F247" s="20" t="inlineStr">
        <is>
          <t>Grand I10</t>
        </is>
      </c>
      <c r="G247" s="21" t="n">
        <v>2017</v>
      </c>
      <c r="H247" s="22" t="n">
        <v>94502</v>
      </c>
      <c r="I247" s="22" t="n">
        <v>253500</v>
      </c>
      <c r="J247" s="20" t="inlineStr">
        <is>
          <t>Tenali Srinivas</t>
        </is>
      </c>
      <c r="K247" s="20" t="inlineStr">
        <is>
          <t>Non-Captive</t>
        </is>
      </c>
      <c r="L247" s="20" t="inlineStr">
        <is>
          <t>Guthi Ravi Krishna</t>
        </is>
      </c>
      <c r="M247" s="23" t="n">
        <v>2966.1</v>
      </c>
    </row>
    <row r="248">
      <c r="A248" s="19" t="inlineStr">
        <is>
          <t>FY27</t>
        </is>
      </c>
      <c r="B248" s="19" t="inlineStr">
        <is>
          <t>May</t>
        </is>
      </c>
      <c r="C248" s="19" t="inlineStr">
        <is>
          <t>AP/TS</t>
        </is>
      </c>
      <c r="D248" s="20" t="inlineStr">
        <is>
          <t>AP39UK5283</t>
        </is>
      </c>
      <c r="E248" s="20" t="inlineStr">
        <is>
          <t>HYUNDAI</t>
        </is>
      </c>
      <c r="F248" s="20" t="inlineStr">
        <is>
          <t>Grand I10</t>
        </is>
      </c>
      <c r="G248" s="21" t="n">
        <v>2018</v>
      </c>
      <c r="H248" s="22" t="n">
        <v>129082</v>
      </c>
      <c r="I248" s="22" t="n">
        <v>228510</v>
      </c>
      <c r="J248" s="20" t="inlineStr">
        <is>
          <t>Tenali Srinivas</t>
        </is>
      </c>
      <c r="K248" s="20" t="inlineStr">
        <is>
          <t>Non-Captive</t>
        </is>
      </c>
      <c r="L248" s="20" t="inlineStr">
        <is>
          <t>Shaik Samdhani</t>
        </is>
      </c>
      <c r="M248" s="23" t="n">
        <v>2974.58</v>
      </c>
    </row>
    <row r="249">
      <c r="A249" s="19" t="inlineStr">
        <is>
          <t>FY27</t>
        </is>
      </c>
      <c r="B249" s="19" t="inlineStr">
        <is>
          <t>May</t>
        </is>
      </c>
      <c r="C249" s="19" t="inlineStr">
        <is>
          <t>AP/TS</t>
        </is>
      </c>
      <c r="D249" s="20" t="inlineStr">
        <is>
          <t>AP16DM5869</t>
        </is>
      </c>
      <c r="E249" s="20" t="inlineStr">
        <is>
          <t>HYUNDAI</t>
        </is>
      </c>
      <c r="F249" s="20" t="inlineStr">
        <is>
          <t>Grand I10</t>
        </is>
      </c>
      <c r="G249" s="21" t="n">
        <v>2016</v>
      </c>
      <c r="H249" s="22" t="n">
        <v>95021</v>
      </c>
      <c r="I249" s="22" t="n">
        <v>203000</v>
      </c>
      <c r="J249" s="20" t="inlineStr">
        <is>
          <t>Tenali Srinivas</t>
        </is>
      </c>
      <c r="K249" s="20" t="inlineStr">
        <is>
          <t>Non-Captive</t>
        </is>
      </c>
      <c r="L249" s="20" t="inlineStr">
        <is>
          <t>Chittibomma Srinivasa Rao</t>
        </is>
      </c>
      <c r="M249" s="23" t="n">
        <v>2542.37</v>
      </c>
    </row>
    <row r="250">
      <c r="A250" s="19" t="inlineStr">
        <is>
          <t>FY27</t>
        </is>
      </c>
      <c r="B250" s="19" t="inlineStr">
        <is>
          <t>May</t>
        </is>
      </c>
      <c r="C250" s="19" t="inlineStr">
        <is>
          <t>AP/TS</t>
        </is>
      </c>
      <c r="D250" s="20" t="inlineStr">
        <is>
          <t>AP39BX4151</t>
        </is>
      </c>
      <c r="E250" s="20" t="inlineStr">
        <is>
          <t>MARUTI SUZUKI</t>
        </is>
      </c>
      <c r="F250" s="20" t="inlineStr">
        <is>
          <t>Ignis</t>
        </is>
      </c>
      <c r="G250" s="21" t="n">
        <v>2019</v>
      </c>
      <c r="H250" s="22" t="n">
        <v>91141</v>
      </c>
      <c r="I250" s="22" t="n">
        <v>353000</v>
      </c>
      <c r="J250" s="20" t="inlineStr">
        <is>
          <t>Tenali Srinivas</t>
        </is>
      </c>
      <c r="K250" s="20" t="inlineStr">
        <is>
          <t>Non-Captive</t>
        </is>
      </c>
      <c r="L250" s="20" t="inlineStr">
        <is>
          <t>Chittibomma Srinivasa Rao</t>
        </is>
      </c>
      <c r="M250" s="23" t="n">
        <v>2542.37</v>
      </c>
    </row>
    <row r="251">
      <c r="A251" s="19" t="inlineStr">
        <is>
          <t>FY27</t>
        </is>
      </c>
      <c r="B251" s="19" t="inlineStr">
        <is>
          <t>May</t>
        </is>
      </c>
      <c r="C251" s="19" t="inlineStr">
        <is>
          <t>AP/TS</t>
        </is>
      </c>
      <c r="D251" s="20" t="inlineStr">
        <is>
          <t>AP27BY2399</t>
        </is>
      </c>
      <c r="E251" s="20" t="inlineStr">
        <is>
          <t>MARUTI SUZUKI</t>
        </is>
      </c>
      <c r="F251" s="20" t="inlineStr">
        <is>
          <t>Wagon R</t>
        </is>
      </c>
      <c r="G251" s="21" t="n">
        <v>2018</v>
      </c>
      <c r="H251" s="22" t="n">
        <v>137091</v>
      </c>
      <c r="I251" s="22" t="n">
        <v>283000</v>
      </c>
      <c r="J251" s="20" t="inlineStr">
        <is>
          <t>Tenali Srinivas</t>
        </is>
      </c>
      <c r="K251" s="20" t="inlineStr">
        <is>
          <t>Non-Captive</t>
        </is>
      </c>
      <c r="L251" s="20" t="inlineStr">
        <is>
          <t>Chittibomma Srinivasa Rao</t>
        </is>
      </c>
      <c r="M251" s="23" t="n">
        <v>2542.37</v>
      </c>
    </row>
    <row r="252">
      <c r="A252" s="19" t="inlineStr">
        <is>
          <t>FY27</t>
        </is>
      </c>
      <c r="B252" s="19" t="inlineStr">
        <is>
          <t>May</t>
        </is>
      </c>
      <c r="C252" s="19" t="inlineStr">
        <is>
          <t>AP/TS</t>
        </is>
      </c>
      <c r="D252" s="20" t="inlineStr">
        <is>
          <t>AP37DS1939</t>
        </is>
      </c>
      <c r="E252" s="20" t="inlineStr">
        <is>
          <t>MARUTI SUZUKI</t>
        </is>
      </c>
      <c r="F252" s="20" t="inlineStr">
        <is>
          <t>Celerio</t>
        </is>
      </c>
      <c r="G252" s="21" t="n">
        <v>2018</v>
      </c>
      <c r="H252" s="22" t="n">
        <v>145167</v>
      </c>
      <c r="I252" s="22" t="n">
        <v>253000</v>
      </c>
      <c r="J252" s="20" t="inlineStr">
        <is>
          <t>Tenali Srinivas</t>
        </is>
      </c>
      <c r="K252" s="20" t="inlineStr">
        <is>
          <t>Non-Captive</t>
        </is>
      </c>
      <c r="L252" s="20" t="inlineStr">
        <is>
          <t>Chittibomma Srinivasa Rao</t>
        </is>
      </c>
      <c r="M252" s="23" t="n">
        <v>2542.37</v>
      </c>
    </row>
    <row r="253">
      <c r="A253" s="19" t="inlineStr">
        <is>
          <t>FY27</t>
        </is>
      </c>
      <c r="B253" s="19" t="inlineStr">
        <is>
          <t>May</t>
        </is>
      </c>
      <c r="C253" s="19" t="inlineStr">
        <is>
          <t>AP/TS</t>
        </is>
      </c>
      <c r="D253" s="20" t="inlineStr">
        <is>
          <t>AP16DF3346</t>
        </is>
      </c>
      <c r="E253" s="20" t="inlineStr">
        <is>
          <t>HONDA</t>
        </is>
      </c>
      <c r="F253" s="20" t="inlineStr">
        <is>
          <t>City</t>
        </is>
      </c>
      <c r="G253" s="21" t="n">
        <v>2015</v>
      </c>
      <c r="H253" s="22" t="n">
        <v>184111</v>
      </c>
      <c r="I253" s="22" t="n">
        <v>303000</v>
      </c>
      <c r="J253" s="20" t="inlineStr">
        <is>
          <t>Tenali Srinivas</t>
        </is>
      </c>
      <c r="K253" s="20" t="inlineStr">
        <is>
          <t>Non-Captive</t>
        </is>
      </c>
      <c r="L253" s="20" t="inlineStr">
        <is>
          <t>Chittibomma Srinivasa Rao</t>
        </is>
      </c>
      <c r="M253" s="23" t="n">
        <v>2542.37</v>
      </c>
    </row>
    <row r="254">
      <c r="A254" s="19" t="inlineStr">
        <is>
          <t>FY27</t>
        </is>
      </c>
      <c r="B254" s="19" t="inlineStr">
        <is>
          <t>May</t>
        </is>
      </c>
      <c r="C254" s="19" t="inlineStr">
        <is>
          <t>AP/TS</t>
        </is>
      </c>
      <c r="D254" s="20" t="inlineStr">
        <is>
          <t>AP39QA1705</t>
        </is>
      </c>
      <c r="E254" s="20" t="inlineStr">
        <is>
          <t>MARUTI SUZUKI</t>
        </is>
      </c>
      <c r="F254" s="20" t="inlineStr">
        <is>
          <t>Alto</t>
        </is>
      </c>
      <c r="G254" s="21" t="n">
        <v>2022</v>
      </c>
      <c r="H254" s="22" t="n">
        <v>114659</v>
      </c>
      <c r="I254" s="22" t="n">
        <v>183000</v>
      </c>
      <c r="J254" s="20" t="inlineStr">
        <is>
          <t>Tenali Srinivas</t>
        </is>
      </c>
      <c r="K254" s="20" t="inlineStr">
        <is>
          <t>Non-Captive</t>
        </is>
      </c>
      <c r="L254" s="20" t="inlineStr">
        <is>
          <t>Chittibomma Srinivasa Rao</t>
        </is>
      </c>
      <c r="M254" s="23" t="n">
        <v>2542.37</v>
      </c>
    </row>
    <row r="255">
      <c r="A255" s="19" t="inlineStr">
        <is>
          <t>FY27</t>
        </is>
      </c>
      <c r="B255" s="19" t="inlineStr">
        <is>
          <t>May</t>
        </is>
      </c>
      <c r="C255" s="19" t="inlineStr">
        <is>
          <t>AP/TS</t>
        </is>
      </c>
      <c r="D255" s="20" t="inlineStr">
        <is>
          <t>AP21CJ1842</t>
        </is>
      </c>
      <c r="E255" s="20" t="inlineStr">
        <is>
          <t>MARUTI SUZUKI</t>
        </is>
      </c>
      <c r="F255" s="20" t="inlineStr">
        <is>
          <t>Ignis</t>
        </is>
      </c>
      <c r="G255" s="21" t="n">
        <v>2018</v>
      </c>
      <c r="H255" s="22" t="n">
        <v>133814</v>
      </c>
      <c r="I255" s="22" t="n">
        <v>303000</v>
      </c>
      <c r="J255" s="20" t="inlineStr">
        <is>
          <t>Tenali Srinivas</t>
        </is>
      </c>
      <c r="K255" s="20" t="inlineStr">
        <is>
          <t>Non-Captive</t>
        </is>
      </c>
      <c r="L255" s="20" t="inlineStr">
        <is>
          <t>Chittibomma Srinivasa Rao</t>
        </is>
      </c>
      <c r="M255" s="23" t="n">
        <v>2542.37</v>
      </c>
    </row>
    <row r="256">
      <c r="A256" s="19" t="inlineStr">
        <is>
          <t>FY27</t>
        </is>
      </c>
      <c r="B256" s="19" t="inlineStr">
        <is>
          <t>May</t>
        </is>
      </c>
      <c r="C256" s="19" t="inlineStr">
        <is>
          <t>AP/TS</t>
        </is>
      </c>
      <c r="D256" s="20" t="inlineStr">
        <is>
          <t>AP39RG6345</t>
        </is>
      </c>
      <c r="E256" s="20" t="inlineStr">
        <is>
          <t>MARUTI SUZUKI</t>
        </is>
      </c>
      <c r="F256" s="20" t="inlineStr">
        <is>
          <t>Ignis</t>
        </is>
      </c>
      <c r="G256" s="21" t="n">
        <v>2022</v>
      </c>
      <c r="H256" s="22" t="n">
        <v>91097</v>
      </c>
      <c r="I256" s="22" t="n">
        <v>243000</v>
      </c>
      <c r="J256" s="20" t="inlineStr">
        <is>
          <t>Tenali Srinivas</t>
        </is>
      </c>
      <c r="K256" s="20" t="inlineStr">
        <is>
          <t>Non-Captive</t>
        </is>
      </c>
      <c r="L256" s="20" t="inlineStr">
        <is>
          <t>Chittibomma Srinivasa Rao</t>
        </is>
      </c>
      <c r="M256" s="23" t="n">
        <v>2542.37</v>
      </c>
    </row>
    <row r="257">
      <c r="A257" s="19" t="inlineStr">
        <is>
          <t>FY27</t>
        </is>
      </c>
      <c r="B257" s="19" t="inlineStr">
        <is>
          <t>May</t>
        </is>
      </c>
      <c r="C257" s="19" t="inlineStr">
        <is>
          <t>AP/TS</t>
        </is>
      </c>
      <c r="D257" s="20" t="inlineStr">
        <is>
          <t>AP31BE8611</t>
        </is>
      </c>
      <c r="E257" s="20" t="inlineStr">
        <is>
          <t>MARUTI SUZUKI</t>
        </is>
      </c>
      <c r="F257" s="20" t="inlineStr">
        <is>
          <t>Alto</t>
        </is>
      </c>
      <c r="G257" s="21" t="n">
        <v>2010</v>
      </c>
      <c r="H257" s="22" t="n">
        <v>85274</v>
      </c>
      <c r="I257" s="22" t="n">
        <v>68000</v>
      </c>
      <c r="J257" s="20" t="inlineStr">
        <is>
          <t>Tenali Srinivas</t>
        </is>
      </c>
      <c r="K257" s="20" t="inlineStr">
        <is>
          <t>Non-Captive</t>
        </is>
      </c>
      <c r="L257" s="20" t="inlineStr">
        <is>
          <t>Kaki Dinesh Kumar</t>
        </is>
      </c>
      <c r="M257" s="23" t="n">
        <v>2542.37</v>
      </c>
    </row>
    <row r="258">
      <c r="A258" s="19" t="inlineStr">
        <is>
          <t>FY27</t>
        </is>
      </c>
      <c r="B258" s="19" t="inlineStr">
        <is>
          <t>May</t>
        </is>
      </c>
      <c r="C258" s="19" t="inlineStr">
        <is>
          <t>AP/TS</t>
        </is>
      </c>
      <c r="D258" s="20" t="inlineStr">
        <is>
          <t>AP31BH5456</t>
        </is>
      </c>
      <c r="E258" s="20" t="inlineStr">
        <is>
          <t>FORD</t>
        </is>
      </c>
      <c r="F258" s="20" t="inlineStr">
        <is>
          <t>Figo</t>
        </is>
      </c>
      <c r="G258" s="21" t="n">
        <v>2010</v>
      </c>
      <c r="H258" s="22" t="n">
        <v>225636</v>
      </c>
      <c r="I258" s="22" t="n">
        <v>43000</v>
      </c>
      <c r="J258" s="20" t="inlineStr">
        <is>
          <t>Tenali Srinivas</t>
        </is>
      </c>
      <c r="K258" s="20" t="inlineStr">
        <is>
          <t>Non-Captive</t>
        </is>
      </c>
      <c r="L258" s="20" t="inlineStr">
        <is>
          <t>Kaki Dinesh Kumar</t>
        </is>
      </c>
      <c r="M258" s="23" t="n">
        <v>2542.37</v>
      </c>
    </row>
    <row r="259">
      <c r="A259" s="19" t="inlineStr">
        <is>
          <t>FY27</t>
        </is>
      </c>
      <c r="B259" s="19" t="inlineStr">
        <is>
          <t>May</t>
        </is>
      </c>
      <c r="C259" s="19" t="inlineStr">
        <is>
          <t>AP/TS</t>
        </is>
      </c>
      <c r="D259" s="20" t="inlineStr">
        <is>
          <t>AP16AM4379</t>
        </is>
      </c>
      <c r="E259" s="20" t="inlineStr">
        <is>
          <t>HYUNDAI</t>
        </is>
      </c>
      <c r="F259" s="20" t="inlineStr">
        <is>
          <t>Santro</t>
        </is>
      </c>
      <c r="G259" s="21" t="n">
        <v>2004</v>
      </c>
      <c r="H259" s="22" t="n">
        <v>126512</v>
      </c>
      <c r="I259" s="22" t="n">
        <v>38000</v>
      </c>
      <c r="J259" s="20" t="inlineStr">
        <is>
          <t>Tenali Srinivas</t>
        </is>
      </c>
      <c r="K259" s="20" t="inlineStr">
        <is>
          <t>Non-Captive</t>
        </is>
      </c>
      <c r="L259" s="20" t="inlineStr">
        <is>
          <t>Kaki Dinesh Kumar</t>
        </is>
      </c>
      <c r="M259" s="23" t="n">
        <v>2542.37</v>
      </c>
    </row>
    <row r="260">
      <c r="A260" s="19" t="inlineStr">
        <is>
          <t>FY27</t>
        </is>
      </c>
      <c r="B260" s="19" t="inlineStr">
        <is>
          <t>May</t>
        </is>
      </c>
      <c r="C260" s="19" t="inlineStr">
        <is>
          <t>AP/TS</t>
        </is>
      </c>
      <c r="D260" s="20" t="inlineStr">
        <is>
          <t>AP33B9489</t>
        </is>
      </c>
      <c r="E260" s="20" t="inlineStr">
        <is>
          <t>MARUTI SUZUKI</t>
        </is>
      </c>
      <c r="F260" s="20" t="inlineStr">
        <is>
          <t>Alto</t>
        </is>
      </c>
      <c r="G260" s="21" t="n">
        <v>2008</v>
      </c>
      <c r="H260" s="22" t="n">
        <v>116953</v>
      </c>
      <c r="I260" s="22" t="n">
        <v>43000</v>
      </c>
      <c r="J260" s="20" t="inlineStr">
        <is>
          <t>Tenali Srinivas</t>
        </is>
      </c>
      <c r="K260" s="20" t="inlineStr">
        <is>
          <t>Non-Captive</t>
        </is>
      </c>
      <c r="L260" s="20" t="inlineStr">
        <is>
          <t>Kaki Dinesh Kumar</t>
        </is>
      </c>
      <c r="M260" s="23" t="n">
        <v>2542.37</v>
      </c>
    </row>
    <row r="261">
      <c r="A261" s="19" t="inlineStr">
        <is>
          <t>FY27</t>
        </is>
      </c>
      <c r="B261" s="19" t="inlineStr">
        <is>
          <t>May</t>
        </is>
      </c>
      <c r="C261" s="19" t="inlineStr">
        <is>
          <t>AP/TS</t>
        </is>
      </c>
      <c r="D261" s="20" t="inlineStr">
        <is>
          <t>AP23L6536</t>
        </is>
      </c>
      <c r="E261" s="20" t="inlineStr">
        <is>
          <t>HONDA</t>
        </is>
      </c>
      <c r="F261" s="20" t="inlineStr">
        <is>
          <t>City</t>
        </is>
      </c>
      <c r="G261" s="21" t="n">
        <v>2007</v>
      </c>
      <c r="H261" s="22" t="n">
        <v>159174</v>
      </c>
      <c r="I261" s="22" t="n">
        <v>68000</v>
      </c>
      <c r="J261" s="20" t="inlineStr">
        <is>
          <t>Tenali Srinivas</t>
        </is>
      </c>
      <c r="K261" s="20" t="inlineStr">
        <is>
          <t>Non-Captive</t>
        </is>
      </c>
      <c r="L261" s="20" t="inlineStr">
        <is>
          <t>Kaki Dinesh Kumar</t>
        </is>
      </c>
      <c r="M261" s="23" t="n">
        <v>2542.37</v>
      </c>
    </row>
    <row r="262">
      <c r="A262" s="19" t="inlineStr">
        <is>
          <t>FY27</t>
        </is>
      </c>
      <c r="B262" s="19" t="inlineStr">
        <is>
          <t>May</t>
        </is>
      </c>
      <c r="C262" s="19" t="inlineStr">
        <is>
          <t>AP/TS</t>
        </is>
      </c>
      <c r="D262" s="20" t="inlineStr">
        <is>
          <t>AP09CV5073</t>
        </is>
      </c>
      <c r="E262" s="20" t="inlineStr">
        <is>
          <t>MARUTI SUZUKI</t>
        </is>
      </c>
      <c r="F262" s="20" t="inlineStr">
        <is>
          <t>Swift Dzire</t>
        </is>
      </c>
      <c r="G262" s="21" t="n">
        <v>2014</v>
      </c>
      <c r="H262" s="22" t="n">
        <v>195262</v>
      </c>
      <c r="I262" s="22" t="n">
        <v>183000</v>
      </c>
      <c r="J262" s="20" t="inlineStr">
        <is>
          <t>Puneet Gupta</t>
        </is>
      </c>
      <c r="K262" s="20" t="inlineStr">
        <is>
          <t>Non-Captive</t>
        </is>
      </c>
      <c r="L262" s="20" t="inlineStr">
        <is>
          <t>4Wheelz</t>
        </is>
      </c>
      <c r="M262" s="23" t="n">
        <v>2542.37</v>
      </c>
    </row>
    <row r="263">
      <c r="A263" s="19" t="inlineStr">
        <is>
          <t>FY27</t>
        </is>
      </c>
      <c r="B263" s="19" t="inlineStr">
        <is>
          <t>May</t>
        </is>
      </c>
      <c r="C263" s="19" t="inlineStr">
        <is>
          <t>AP/TS</t>
        </is>
      </c>
      <c r="D263" s="20" t="inlineStr">
        <is>
          <t>AP09CR1899</t>
        </is>
      </c>
      <c r="E263" s="20" t="inlineStr">
        <is>
          <t>TATA</t>
        </is>
      </c>
      <c r="F263" s="20" t="inlineStr">
        <is>
          <t>Safari</t>
        </is>
      </c>
      <c r="G263" s="21" t="n">
        <v>2012</v>
      </c>
      <c r="H263" s="22" t="n">
        <v>220109</v>
      </c>
      <c r="I263" s="22" t="n">
        <v>223000</v>
      </c>
      <c r="J263" s="20" t="inlineStr">
        <is>
          <t>Puneet Gupta</t>
        </is>
      </c>
      <c r="K263" s="20" t="inlineStr">
        <is>
          <t>Non-Captive</t>
        </is>
      </c>
      <c r="L263" s="20" t="inlineStr">
        <is>
          <t>4Wheelz</t>
        </is>
      </c>
      <c r="M263" s="23" t="n">
        <v>2542.37</v>
      </c>
    </row>
    <row r="264">
      <c r="A264" s="19" t="inlineStr">
        <is>
          <t>FY27</t>
        </is>
      </c>
      <c r="B264" s="19" t="inlineStr">
        <is>
          <t>May</t>
        </is>
      </c>
      <c r="C264" s="19" t="inlineStr">
        <is>
          <t>AP/TS</t>
        </is>
      </c>
      <c r="D264" s="20" t="inlineStr">
        <is>
          <t>AP09CS6291</t>
        </is>
      </c>
      <c r="E264" s="20" t="inlineStr">
        <is>
          <t>MARUTI SUZUKI</t>
        </is>
      </c>
      <c r="F264" s="20" t="inlineStr">
        <is>
          <t>Swift Dzire</t>
        </is>
      </c>
      <c r="G264" s="21" t="n">
        <v>2013</v>
      </c>
      <c r="H264" s="22" t="n">
        <v>159000</v>
      </c>
      <c r="I264" s="22" t="n">
        <v>163000</v>
      </c>
      <c r="J264" s="20" t="inlineStr">
        <is>
          <t>Puneet Gupta</t>
        </is>
      </c>
      <c r="K264" s="20" t="inlineStr">
        <is>
          <t>Non-Captive</t>
        </is>
      </c>
      <c r="L264" s="20" t="inlineStr">
        <is>
          <t>4Wheelz</t>
        </is>
      </c>
      <c r="M264" s="23" t="n">
        <v>2542.37</v>
      </c>
    </row>
    <row r="265">
      <c r="A265" s="19" t="inlineStr">
        <is>
          <t>FY27</t>
        </is>
      </c>
      <c r="B265" s="19" t="inlineStr">
        <is>
          <t>May</t>
        </is>
      </c>
      <c r="C265" s="19" t="inlineStr">
        <is>
          <t>AP/TS</t>
        </is>
      </c>
      <c r="D265" s="20" t="inlineStr">
        <is>
          <t>TS08EX2868</t>
        </is>
      </c>
      <c r="E265" s="20" t="inlineStr">
        <is>
          <t>MARUTI SUZUKI</t>
        </is>
      </c>
      <c r="F265" s="20" t="inlineStr">
        <is>
          <t>Wagon R</t>
        </is>
      </c>
      <c r="G265" s="21" t="n">
        <v>2016</v>
      </c>
      <c r="H265" s="22" t="n">
        <v>85521</v>
      </c>
      <c r="I265" s="22" t="n">
        <v>223000</v>
      </c>
      <c r="J265" s="20" t="inlineStr">
        <is>
          <t>Puneet Gupta</t>
        </is>
      </c>
      <c r="K265" s="20" t="inlineStr">
        <is>
          <t>Non-Captive</t>
        </is>
      </c>
      <c r="L265" s="20" t="inlineStr">
        <is>
          <t>4Wheelz</t>
        </is>
      </c>
      <c r="M265" s="23" t="n">
        <v>2542.37</v>
      </c>
    </row>
    <row r="266">
      <c r="A266" s="19" t="inlineStr">
        <is>
          <t>FY27</t>
        </is>
      </c>
      <c r="B266" s="19" t="inlineStr">
        <is>
          <t>May</t>
        </is>
      </c>
      <c r="C266" s="19" t="inlineStr">
        <is>
          <t>AP/TS</t>
        </is>
      </c>
      <c r="D266" s="20" t="inlineStr">
        <is>
          <t>TS09ET9944</t>
        </is>
      </c>
      <c r="E266" s="20" t="inlineStr">
        <is>
          <t>TATA</t>
        </is>
      </c>
      <c r="F266" s="20" t="inlineStr">
        <is>
          <t>Tiago</t>
        </is>
      </c>
      <c r="G266" s="21" t="n">
        <v>2017</v>
      </c>
      <c r="H266" s="22" t="n">
        <v>95152</v>
      </c>
      <c r="I266" s="22" t="n">
        <v>284000</v>
      </c>
      <c r="J266" s="20" t="inlineStr">
        <is>
          <t>Puneet Gupta</t>
        </is>
      </c>
      <c r="K266" s="20" t="inlineStr">
        <is>
          <t>Non-Captive</t>
        </is>
      </c>
      <c r="L266" s="20" t="inlineStr">
        <is>
          <t>4Wheelz</t>
        </is>
      </c>
      <c r="M266" s="23" t="n">
        <v>3389.83</v>
      </c>
    </row>
    <row r="267">
      <c r="A267" s="19" t="inlineStr">
        <is>
          <t>FY27</t>
        </is>
      </c>
      <c r="B267" s="19" t="inlineStr">
        <is>
          <t>May</t>
        </is>
      </c>
      <c r="C267" s="19" t="inlineStr">
        <is>
          <t>AP/TS</t>
        </is>
      </c>
      <c r="D267" s="20" t="inlineStr">
        <is>
          <t>TS08EV7411</t>
        </is>
      </c>
      <c r="E267" s="20" t="inlineStr">
        <is>
          <t>MARUTI SUZUKI</t>
        </is>
      </c>
      <c r="F267" s="20" t="inlineStr">
        <is>
          <t>Celerio</t>
        </is>
      </c>
      <c r="G267" s="21" t="n">
        <v>2016</v>
      </c>
      <c r="H267" s="22" t="n">
        <v>95290</v>
      </c>
      <c r="I267" s="22" t="n">
        <v>254000</v>
      </c>
      <c r="J267" s="20" t="inlineStr">
        <is>
          <t>Puneet Gupta</t>
        </is>
      </c>
      <c r="K267" s="20" t="inlineStr">
        <is>
          <t>Non-Captive</t>
        </is>
      </c>
      <c r="L267" s="20" t="inlineStr">
        <is>
          <t>4Wheelz</t>
        </is>
      </c>
      <c r="M267" s="23" t="n">
        <v>3389.83</v>
      </c>
    </row>
    <row r="268">
      <c r="A268" s="19" t="inlineStr">
        <is>
          <t>FY26</t>
        </is>
      </c>
      <c r="B268" s="19" t="inlineStr">
        <is>
          <t>Jan</t>
        </is>
      </c>
      <c r="C268" s="19" t="inlineStr">
        <is>
          <t>TN</t>
        </is>
      </c>
      <c r="D268" s="20" t="inlineStr">
        <is>
          <t>TN09BP8384</t>
        </is>
      </c>
      <c r="E268" s="20" t="inlineStr">
        <is>
          <t>HYUNDAI</t>
        </is>
      </c>
      <c r="F268" s="20" t="inlineStr">
        <is>
          <t>Eon</t>
        </is>
      </c>
      <c r="G268" s="21" t="n">
        <v>2012</v>
      </c>
      <c r="H268" s="22" t="n">
        <v>29851</v>
      </c>
      <c r="I268" s="22" t="n">
        <v>103000</v>
      </c>
      <c r="J268" s="20" t="inlineStr">
        <is>
          <t>Khivraj Motor</t>
        </is>
      </c>
      <c r="K268" s="20" t="inlineStr">
        <is>
          <t>Non-Captive</t>
        </is>
      </c>
      <c r="L268" s="20" t="inlineStr">
        <is>
          <t>Jayaram Cars</t>
        </is>
      </c>
      <c r="M268" s="23" t="n">
        <v>5084.75</v>
      </c>
    </row>
    <row r="269">
      <c r="A269" s="19" t="inlineStr">
        <is>
          <t>FY26</t>
        </is>
      </c>
      <c r="B269" s="19" t="inlineStr">
        <is>
          <t>Jan</t>
        </is>
      </c>
      <c r="C269" s="19" t="inlineStr">
        <is>
          <t>TN</t>
        </is>
      </c>
      <c r="D269" s="20" t="inlineStr">
        <is>
          <t>TN07BU9564</t>
        </is>
      </c>
      <c r="E269" s="20" t="inlineStr">
        <is>
          <t>HONDA</t>
        </is>
      </c>
      <c r="F269" s="20" t="inlineStr">
        <is>
          <t>City</t>
        </is>
      </c>
      <c r="G269" s="21" t="n">
        <v>2013</v>
      </c>
      <c r="H269" s="22" t="n">
        <v>101503</v>
      </c>
      <c r="I269" s="22" t="n">
        <v>320000</v>
      </c>
      <c r="J269" s="20" t="inlineStr">
        <is>
          <t>Khivraj Motor</t>
        </is>
      </c>
      <c r="K269" s="20" t="inlineStr">
        <is>
          <t>Non-Captive</t>
        </is>
      </c>
      <c r="L269" s="20" t="inlineStr">
        <is>
          <t>33 Cars</t>
        </is>
      </c>
      <c r="M269" s="23" t="n">
        <v>5084.75</v>
      </c>
    </row>
    <row r="270">
      <c r="A270" s="19" t="inlineStr">
        <is>
          <t>FY26</t>
        </is>
      </c>
      <c r="B270" s="19" t="inlineStr">
        <is>
          <t>Jan</t>
        </is>
      </c>
      <c r="C270" s="19" t="inlineStr">
        <is>
          <t>TN</t>
        </is>
      </c>
      <c r="D270" s="20" t="inlineStr">
        <is>
          <t>TN06AA3072</t>
        </is>
      </c>
      <c r="E270" s="20" t="inlineStr">
        <is>
          <t>MARUTI SUZUKI</t>
        </is>
      </c>
      <c r="F270" s="20" t="inlineStr">
        <is>
          <t>Alto</t>
        </is>
      </c>
      <c r="G270" s="21" t="n">
        <v>2012</v>
      </c>
      <c r="H270" s="22" t="n">
        <v>89752</v>
      </c>
      <c r="I270" s="22" t="n">
        <v>245000</v>
      </c>
      <c r="J270" s="20" t="inlineStr">
        <is>
          <t>Khivraj Motor</t>
        </is>
      </c>
      <c r="K270" s="20" t="inlineStr">
        <is>
          <t>Non-Captive</t>
        </is>
      </c>
      <c r="L270" s="20" t="inlineStr">
        <is>
          <t>Gugha Cars</t>
        </is>
      </c>
      <c r="M270" s="23" t="n">
        <v>5000</v>
      </c>
    </row>
    <row r="271">
      <c r="A271" s="19" t="inlineStr">
        <is>
          <t>FY26</t>
        </is>
      </c>
      <c r="B271" s="19" t="inlineStr">
        <is>
          <t>Jan</t>
        </is>
      </c>
      <c r="C271" s="19" t="inlineStr">
        <is>
          <t>TN</t>
        </is>
      </c>
      <c r="D271" s="20" t="inlineStr">
        <is>
          <t>TN04AU0466</t>
        </is>
      </c>
      <c r="E271" s="20" t="inlineStr">
        <is>
          <t>MARUTI SUZUKI</t>
        </is>
      </c>
      <c r="F271" s="20" t="inlineStr">
        <is>
          <t>Baleno</t>
        </is>
      </c>
      <c r="G271" s="21" t="n">
        <v>2018</v>
      </c>
      <c r="H271" s="22" t="n">
        <v>32589</v>
      </c>
      <c r="I271" s="22" t="n">
        <v>340000</v>
      </c>
      <c r="J271" s="20" t="inlineStr">
        <is>
          <t>Khivraj Motor</t>
        </is>
      </c>
      <c r="K271" s="20" t="inlineStr">
        <is>
          <t>Non-Captive</t>
        </is>
      </c>
      <c r="L271" s="20" t="inlineStr">
        <is>
          <t>AAA Cars</t>
        </is>
      </c>
      <c r="M271" s="23" t="n">
        <v>5084.75</v>
      </c>
    </row>
    <row r="272">
      <c r="A272" s="19" t="inlineStr">
        <is>
          <t>FY26</t>
        </is>
      </c>
      <c r="B272" s="19" t="inlineStr">
        <is>
          <t>Jan</t>
        </is>
      </c>
      <c r="C272" s="19" t="inlineStr">
        <is>
          <t>TN</t>
        </is>
      </c>
      <c r="D272" s="20" t="inlineStr">
        <is>
          <t>TN10AR3044</t>
        </is>
      </c>
      <c r="E272" s="20" t="inlineStr">
        <is>
          <t>HONDA</t>
        </is>
      </c>
      <c r="F272" s="20" t="inlineStr">
        <is>
          <t>Mobilio</t>
        </is>
      </c>
      <c r="G272" s="21" t="n">
        <v>2014</v>
      </c>
      <c r="H272" s="22" t="n">
        <v>104264</v>
      </c>
      <c r="I272" s="22" t="n">
        <v>300000</v>
      </c>
      <c r="J272" s="20" t="inlineStr">
        <is>
          <t>EXCHANGE CHENNAI</t>
        </is>
      </c>
      <c r="K272" s="20" t="inlineStr">
        <is>
          <t>Captive</t>
        </is>
      </c>
      <c r="L272" s="20" t="inlineStr">
        <is>
          <t>Santhosh Cars</t>
        </is>
      </c>
      <c r="M272" s="23" t="n">
        <v>8474.58</v>
      </c>
    </row>
    <row r="273">
      <c r="A273" s="19" t="inlineStr">
        <is>
          <t>FY26</t>
        </is>
      </c>
      <c r="B273" s="19" t="inlineStr">
        <is>
          <t>Jan</t>
        </is>
      </c>
      <c r="C273" s="19" t="inlineStr">
        <is>
          <t>TN</t>
        </is>
      </c>
      <c r="D273" s="20" t="inlineStr">
        <is>
          <t>TN02AY4753</t>
        </is>
      </c>
      <c r="E273" s="20" t="inlineStr">
        <is>
          <t>VOLKSWAGEN</t>
        </is>
      </c>
      <c r="F273" s="20" t="inlineStr">
        <is>
          <t>Vento</t>
        </is>
      </c>
      <c r="G273" s="21" t="n">
        <v>2013</v>
      </c>
      <c r="H273" s="22" t="n">
        <v>128005</v>
      </c>
      <c r="I273" s="22" t="n">
        <v>285000</v>
      </c>
      <c r="J273" s="20" t="inlineStr">
        <is>
          <t>EXCHANGE CHENNAI</t>
        </is>
      </c>
      <c r="K273" s="20" t="inlineStr">
        <is>
          <t>Captive</t>
        </is>
      </c>
      <c r="L273" s="20" t="inlineStr">
        <is>
          <t>Gugha Cars</t>
        </is>
      </c>
      <c r="M273" s="23" t="n">
        <v>4237.29</v>
      </c>
    </row>
    <row r="274">
      <c r="A274" s="19" t="inlineStr">
        <is>
          <t>FY26</t>
        </is>
      </c>
      <c r="B274" s="19" t="inlineStr">
        <is>
          <t>Jan</t>
        </is>
      </c>
      <c r="C274" s="19" t="inlineStr">
        <is>
          <t>TN</t>
        </is>
      </c>
      <c r="D274" s="20" t="inlineStr">
        <is>
          <t>TN09CD9171</t>
        </is>
      </c>
      <c r="E274" s="20" t="inlineStr">
        <is>
          <t>MARUTI SUZUKI</t>
        </is>
      </c>
      <c r="F274" s="20" t="inlineStr">
        <is>
          <t>Baleno</t>
        </is>
      </c>
      <c r="G274" s="21" t="n">
        <v>2016</v>
      </c>
      <c r="H274" s="22" t="n">
        <v>46578</v>
      </c>
      <c r="I274" s="22" t="n">
        <v>420000</v>
      </c>
      <c r="J274" s="20" t="inlineStr">
        <is>
          <t>Khivraj Motor</t>
        </is>
      </c>
      <c r="K274" s="20" t="inlineStr">
        <is>
          <t>Non-Captive</t>
        </is>
      </c>
      <c r="L274" s="20" t="inlineStr">
        <is>
          <t>Chaaran Cars</t>
        </is>
      </c>
      <c r="M274" s="23" t="n">
        <v>5932.2</v>
      </c>
    </row>
    <row r="275">
      <c r="A275" s="19" t="inlineStr">
        <is>
          <t>FY26</t>
        </is>
      </c>
      <c r="B275" s="19" t="inlineStr">
        <is>
          <t>Jan</t>
        </is>
      </c>
      <c r="C275" s="19" t="inlineStr">
        <is>
          <t>TN</t>
        </is>
      </c>
      <c r="D275" s="20" t="inlineStr">
        <is>
          <t>TN05CD1317</t>
        </is>
      </c>
      <c r="E275" s="20" t="inlineStr">
        <is>
          <t>MARUTI SUZUKI</t>
        </is>
      </c>
      <c r="F275" s="20" t="inlineStr">
        <is>
          <t>Baleno</t>
        </is>
      </c>
      <c r="G275" s="21" t="n">
        <v>2021</v>
      </c>
      <c r="H275" s="22" t="n">
        <v>86576</v>
      </c>
      <c r="I275" s="22" t="n">
        <v>470000</v>
      </c>
      <c r="J275" s="20" t="inlineStr">
        <is>
          <t>Khivraj Motor</t>
        </is>
      </c>
      <c r="K275" s="20" t="inlineStr">
        <is>
          <t>Non-Captive</t>
        </is>
      </c>
      <c r="L275" s="20" t="inlineStr">
        <is>
          <t>AAA Cars</t>
        </is>
      </c>
      <c r="M275" s="23" t="n">
        <v>8474.58</v>
      </c>
    </row>
    <row r="276">
      <c r="A276" s="19" t="inlineStr">
        <is>
          <t>FY26</t>
        </is>
      </c>
      <c r="B276" s="19" t="inlineStr">
        <is>
          <t>Jan</t>
        </is>
      </c>
      <c r="C276" s="19" t="inlineStr">
        <is>
          <t>TN</t>
        </is>
      </c>
      <c r="D276" s="20" t="inlineStr">
        <is>
          <t>TN11AL2542</t>
        </is>
      </c>
      <c r="E276" s="20" t="inlineStr">
        <is>
          <t>MARUTI SUZUKI</t>
        </is>
      </c>
      <c r="F276" s="20" t="inlineStr">
        <is>
          <t>Alto</t>
        </is>
      </c>
      <c r="G276" s="21" t="n">
        <v>2019</v>
      </c>
      <c r="H276" s="22" t="n">
        <v>84652</v>
      </c>
      <c r="I276" s="22" t="n">
        <v>200000</v>
      </c>
      <c r="J276" s="20" t="inlineStr">
        <is>
          <t>VISHNU CARS PRIVATE LIMITED</t>
        </is>
      </c>
      <c r="K276" s="20" t="inlineStr">
        <is>
          <t>Non-Captive</t>
        </is>
      </c>
      <c r="L276" s="20" t="inlineStr">
        <is>
          <t>Chaaran Cars</t>
        </is>
      </c>
      <c r="M276" s="23" t="n">
        <v>4237.29</v>
      </c>
    </row>
    <row r="277">
      <c r="A277" s="19" t="inlineStr">
        <is>
          <t>FY26</t>
        </is>
      </c>
      <c r="B277" s="19" t="inlineStr">
        <is>
          <t>Jan</t>
        </is>
      </c>
      <c r="C277" s="19" t="inlineStr">
        <is>
          <t>TN</t>
        </is>
      </c>
      <c r="D277" s="20" t="inlineStr">
        <is>
          <t>TN11AS8101</t>
        </is>
      </c>
      <c r="E277" s="20" t="inlineStr">
        <is>
          <t>MARUTI SUZUKI</t>
        </is>
      </c>
      <c r="F277" s="20" t="inlineStr">
        <is>
          <t>S-Presso</t>
        </is>
      </c>
      <c r="G277" s="21" t="n">
        <v>2020</v>
      </c>
      <c r="H277" s="22" t="n">
        <v>40590</v>
      </c>
      <c r="I277" s="22" t="n">
        <v>275000</v>
      </c>
      <c r="J277" s="20" t="inlineStr">
        <is>
          <t>VISHNU CARS PRIVATE LIMITED</t>
        </is>
      </c>
      <c r="K277" s="20" t="inlineStr">
        <is>
          <t>Non-Captive</t>
        </is>
      </c>
      <c r="L277" s="20" t="inlineStr">
        <is>
          <t>AAA Cars</t>
        </is>
      </c>
      <c r="M277" s="23" t="n">
        <v>4237.29</v>
      </c>
    </row>
    <row r="278">
      <c r="A278" s="19" t="inlineStr">
        <is>
          <t>FY26</t>
        </is>
      </c>
      <c r="B278" s="19" t="inlineStr">
        <is>
          <t>Jan</t>
        </is>
      </c>
      <c r="C278" s="19" t="inlineStr">
        <is>
          <t>TN</t>
        </is>
      </c>
      <c r="D278" s="20" t="inlineStr">
        <is>
          <t>TN01BK8256</t>
        </is>
      </c>
      <c r="E278" s="20" t="inlineStr">
        <is>
          <t>VOLKSWAGEN</t>
        </is>
      </c>
      <c r="F278" s="20" t="inlineStr">
        <is>
          <t>Polo</t>
        </is>
      </c>
      <c r="G278" s="21" t="n">
        <v>2020</v>
      </c>
      <c r="H278" s="22" t="n">
        <v>35550</v>
      </c>
      <c r="I278" s="22" t="n">
        <v>430000</v>
      </c>
      <c r="J278" s="20" t="inlineStr">
        <is>
          <t>EPIC Toyota</t>
        </is>
      </c>
      <c r="K278" s="20" t="inlineStr">
        <is>
          <t>Non-Captive</t>
        </is>
      </c>
      <c r="L278" s="20" t="inlineStr">
        <is>
          <t>AAA Cars</t>
        </is>
      </c>
      <c r="M278" s="23" t="n">
        <v>4237.29</v>
      </c>
    </row>
    <row r="279">
      <c r="A279" s="19" t="inlineStr">
        <is>
          <t>FY26</t>
        </is>
      </c>
      <c r="B279" s="19" t="inlineStr">
        <is>
          <t>Jan</t>
        </is>
      </c>
      <c r="C279" s="19" t="inlineStr">
        <is>
          <t>TN</t>
        </is>
      </c>
      <c r="D279" s="20" t="inlineStr">
        <is>
          <t>TN04AR0913</t>
        </is>
      </c>
      <c r="E279" s="20" t="inlineStr">
        <is>
          <t>HONDA</t>
        </is>
      </c>
      <c r="F279" s="20" t="inlineStr">
        <is>
          <t>Jazz</t>
        </is>
      </c>
      <c r="G279" s="21" t="n">
        <v>2015</v>
      </c>
      <c r="H279" s="22" t="n">
        <v>107462</v>
      </c>
      <c r="I279" s="22" t="n">
        <v>235000</v>
      </c>
      <c r="J279" s="20" t="inlineStr">
        <is>
          <t>Lansaon cmbt</t>
        </is>
      </c>
      <c r="K279" s="20" t="inlineStr">
        <is>
          <t>Non-Captive</t>
        </is>
      </c>
      <c r="L279" s="20" t="inlineStr">
        <is>
          <t>AAA Cars</t>
        </is>
      </c>
      <c r="M279" s="23" t="n">
        <v>4237.29</v>
      </c>
    </row>
    <row r="280">
      <c r="A280" s="19" t="inlineStr">
        <is>
          <t>FY26</t>
        </is>
      </c>
      <c r="B280" s="19" t="inlineStr">
        <is>
          <t>Jan</t>
        </is>
      </c>
      <c r="C280" s="19" t="inlineStr">
        <is>
          <t>TN</t>
        </is>
      </c>
      <c r="D280" s="20" t="inlineStr">
        <is>
          <t>TN04AT4207</t>
        </is>
      </c>
      <c r="E280" s="20" t="inlineStr">
        <is>
          <t>MARUTI SUZUKI</t>
        </is>
      </c>
      <c r="F280" s="20" t="inlineStr">
        <is>
          <t>Baleno</t>
        </is>
      </c>
      <c r="G280" s="21" t="n">
        <v>2017</v>
      </c>
      <c r="H280" s="22" t="n">
        <v>119803</v>
      </c>
      <c r="I280" s="22" t="n">
        <v>330000</v>
      </c>
      <c r="J280" s="20" t="inlineStr">
        <is>
          <t>EPIC Toyota</t>
        </is>
      </c>
      <c r="K280" s="20" t="inlineStr">
        <is>
          <t>Non-Captive</t>
        </is>
      </c>
      <c r="L280" s="20" t="inlineStr">
        <is>
          <t>AAA Cars</t>
        </is>
      </c>
      <c r="M280" s="23" t="n">
        <v>4237.29</v>
      </c>
    </row>
    <row r="281">
      <c r="A281" s="19" t="inlineStr">
        <is>
          <t>FY26</t>
        </is>
      </c>
      <c r="B281" s="19" t="inlineStr">
        <is>
          <t>Jan</t>
        </is>
      </c>
      <c r="C281" s="19" t="inlineStr">
        <is>
          <t>TN</t>
        </is>
      </c>
      <c r="D281" s="20" t="inlineStr">
        <is>
          <t>TN05CF0321</t>
        </is>
      </c>
      <c r="E281" s="20" t="inlineStr">
        <is>
          <t>MARUTI SUZUKI</t>
        </is>
      </c>
      <c r="F281" s="20" t="inlineStr">
        <is>
          <t>Eeco</t>
        </is>
      </c>
      <c r="G281" s="21" t="n">
        <v>2021</v>
      </c>
      <c r="H281" s="22" t="n">
        <v>36492</v>
      </c>
      <c r="I281" s="22" t="n">
        <v>330000</v>
      </c>
      <c r="J281" s="20" t="inlineStr">
        <is>
          <t>EPIC Toyota</t>
        </is>
      </c>
      <c r="K281" s="20" t="inlineStr">
        <is>
          <t>Non-Captive</t>
        </is>
      </c>
      <c r="L281" s="20" t="inlineStr">
        <is>
          <t>AAA Cars</t>
        </is>
      </c>
      <c r="M281" s="23" t="n">
        <v>4237.29</v>
      </c>
    </row>
    <row r="282">
      <c r="A282" s="19" t="inlineStr">
        <is>
          <t>FY26</t>
        </is>
      </c>
      <c r="B282" s="19" t="inlineStr">
        <is>
          <t>Jan</t>
        </is>
      </c>
      <c r="C282" s="19" t="inlineStr">
        <is>
          <t>TN</t>
        </is>
      </c>
      <c r="D282" s="20" t="inlineStr">
        <is>
          <t>TN85P4219</t>
        </is>
      </c>
      <c r="E282" s="20" t="inlineStr">
        <is>
          <t>MARUTI SUZUKI</t>
        </is>
      </c>
      <c r="F282" s="20" t="inlineStr">
        <is>
          <t>Eeco</t>
        </is>
      </c>
      <c r="G282" s="21" t="n">
        <v>2021</v>
      </c>
      <c r="H282" s="22" t="n">
        <v>49905</v>
      </c>
      <c r="I282" s="22" t="n">
        <v>320000</v>
      </c>
      <c r="J282" s="20" t="inlineStr">
        <is>
          <t>Indus</t>
        </is>
      </c>
      <c r="K282" s="20" t="inlineStr">
        <is>
          <t>Non-Captive</t>
        </is>
      </c>
      <c r="L282" s="20" t="inlineStr">
        <is>
          <t>AAA Cars</t>
        </is>
      </c>
      <c r="M282" s="23" t="n">
        <v>4237.29</v>
      </c>
    </row>
    <row r="283">
      <c r="A283" s="19" t="inlineStr">
        <is>
          <t>FY26</t>
        </is>
      </c>
      <c r="B283" s="19" t="inlineStr">
        <is>
          <t>Jan</t>
        </is>
      </c>
      <c r="C283" s="19" t="inlineStr">
        <is>
          <t>TN</t>
        </is>
      </c>
      <c r="D283" s="20" t="inlineStr">
        <is>
          <t>TN73AZ4311</t>
        </is>
      </c>
      <c r="E283" s="20" t="inlineStr">
        <is>
          <t>TOYOTA</t>
        </is>
      </c>
      <c r="F283" s="20" t="inlineStr">
        <is>
          <t>Etios</t>
        </is>
      </c>
      <c r="G283" s="21" t="n">
        <v>2018</v>
      </c>
      <c r="H283" s="22" t="n">
        <v>105473</v>
      </c>
      <c r="I283" s="22" t="n">
        <v>300000</v>
      </c>
      <c r="J283" s="20" t="inlineStr">
        <is>
          <t>Indus</t>
        </is>
      </c>
      <c r="K283" s="20" t="inlineStr">
        <is>
          <t>Non-Captive</t>
        </is>
      </c>
      <c r="L283" s="20" t="inlineStr">
        <is>
          <t>AAA Cars</t>
        </is>
      </c>
      <c r="M283" s="23" t="n">
        <v>4237.29</v>
      </c>
    </row>
    <row r="284">
      <c r="A284" s="19" t="inlineStr">
        <is>
          <t>FY26</t>
        </is>
      </c>
      <c r="B284" s="19" t="inlineStr">
        <is>
          <t>Jan</t>
        </is>
      </c>
      <c r="C284" s="19" t="inlineStr">
        <is>
          <t>TN</t>
        </is>
      </c>
      <c r="D284" s="20" t="inlineStr">
        <is>
          <t>TN13J0240</t>
        </is>
      </c>
      <c r="E284" s="20" t="inlineStr">
        <is>
          <t>MARUTI SUZUKI</t>
        </is>
      </c>
      <c r="F284" s="20" t="inlineStr">
        <is>
          <t>Baleno</t>
        </is>
      </c>
      <c r="G284" s="21" t="n">
        <v>2017</v>
      </c>
      <c r="H284" s="22" t="n">
        <v>76543</v>
      </c>
      <c r="I284" s="22" t="n">
        <v>350000</v>
      </c>
      <c r="J284" s="20" t="inlineStr">
        <is>
          <t>Indus</t>
        </is>
      </c>
      <c r="K284" s="20" t="inlineStr">
        <is>
          <t>Non-Captive</t>
        </is>
      </c>
      <c r="L284" s="20" t="inlineStr">
        <is>
          <t>AAA Cars</t>
        </is>
      </c>
      <c r="M284" s="23" t="n">
        <v>3389.83</v>
      </c>
    </row>
    <row r="285">
      <c r="A285" s="19" t="inlineStr">
        <is>
          <t>FY26</t>
        </is>
      </c>
      <c r="B285" s="19" t="inlineStr">
        <is>
          <t>Jan</t>
        </is>
      </c>
      <c r="C285" s="19" t="inlineStr">
        <is>
          <t>TN</t>
        </is>
      </c>
      <c r="D285" s="20" t="inlineStr">
        <is>
          <t>TN10AJ3027</t>
        </is>
      </c>
      <c r="E285" s="20" t="inlineStr">
        <is>
          <t>CHEVROLET</t>
        </is>
      </c>
      <c r="F285" s="20" t="inlineStr">
        <is>
          <t>Beat</t>
        </is>
      </c>
      <c r="G285" s="21" t="n">
        <v>2012</v>
      </c>
      <c r="H285" s="22" t="n">
        <v>103443</v>
      </c>
      <c r="I285" s="22" t="n">
        <v>70000</v>
      </c>
      <c r="J285" s="20" t="inlineStr">
        <is>
          <t>VW KUN</t>
        </is>
      </c>
      <c r="K285" s="20" t="inlineStr">
        <is>
          <t>Non-Captive</t>
        </is>
      </c>
      <c r="L285" s="20" t="inlineStr">
        <is>
          <t>Jayaram Cars</t>
        </is>
      </c>
      <c r="M285" s="23" t="n">
        <v>3389.83</v>
      </c>
    </row>
    <row r="286">
      <c r="A286" s="19" t="inlineStr">
        <is>
          <t>FY26</t>
        </is>
      </c>
      <c r="B286" s="19" t="inlineStr">
        <is>
          <t>Jan</t>
        </is>
      </c>
      <c r="C286" s="19" t="inlineStr">
        <is>
          <t>TN</t>
        </is>
      </c>
      <c r="D286" s="20" t="inlineStr">
        <is>
          <t>TN11AS6860</t>
        </is>
      </c>
      <c r="E286" s="20" t="inlineStr">
        <is>
          <t>MARUTI SUZUKI</t>
        </is>
      </c>
      <c r="F286" s="20" t="inlineStr">
        <is>
          <t>Alto</t>
        </is>
      </c>
      <c r="G286" s="21" t="n">
        <v>2020</v>
      </c>
      <c r="H286" s="22" t="n">
        <v>57519</v>
      </c>
      <c r="I286" s="22" t="n">
        <v>250000</v>
      </c>
      <c r="J286" s="20" t="inlineStr">
        <is>
          <t>VW KUN</t>
        </is>
      </c>
      <c r="K286" s="20" t="inlineStr">
        <is>
          <t>Non-Captive</t>
        </is>
      </c>
      <c r="L286" s="20" t="inlineStr">
        <is>
          <t>Chaaran Cars</t>
        </is>
      </c>
      <c r="M286" s="23" t="n">
        <v>4237.29</v>
      </c>
    </row>
    <row r="287">
      <c r="A287" s="19" t="inlineStr">
        <is>
          <t>FY26</t>
        </is>
      </c>
      <c r="B287" s="19" t="inlineStr">
        <is>
          <t>Jan</t>
        </is>
      </c>
      <c r="C287" s="19" t="inlineStr">
        <is>
          <t>TN</t>
        </is>
      </c>
      <c r="D287" s="20" t="inlineStr">
        <is>
          <t>TN12B9028</t>
        </is>
      </c>
      <c r="E287" s="20" t="inlineStr">
        <is>
          <t>NISSAN</t>
        </is>
      </c>
      <c r="F287" s="20" t="inlineStr">
        <is>
          <t>Micra</t>
        </is>
      </c>
      <c r="G287" s="21" t="n">
        <v>2013</v>
      </c>
      <c r="H287" s="22" t="n">
        <v>25503</v>
      </c>
      <c r="I287" s="22" t="n">
        <v>180000</v>
      </c>
      <c r="J287" s="20" t="inlineStr">
        <is>
          <t>VW KUN</t>
        </is>
      </c>
      <c r="K287" s="20" t="inlineStr">
        <is>
          <t>Non-Captive</t>
        </is>
      </c>
      <c r="L287" s="20" t="inlineStr">
        <is>
          <t>Santhosh Cars</t>
        </is>
      </c>
      <c r="M287" s="23" t="n">
        <v>4237.29</v>
      </c>
    </row>
    <row r="288">
      <c r="A288" s="19" t="inlineStr">
        <is>
          <t>FY26</t>
        </is>
      </c>
      <c r="B288" s="19" t="inlineStr">
        <is>
          <t>Jan</t>
        </is>
      </c>
      <c r="C288" s="19" t="inlineStr">
        <is>
          <t>TN</t>
        </is>
      </c>
      <c r="D288" s="20" t="inlineStr">
        <is>
          <t>TN12K7549</t>
        </is>
      </c>
      <c r="E288" s="20" t="inlineStr">
        <is>
          <t>MARUTI SUZUKI</t>
        </is>
      </c>
      <c r="F288" s="20" t="inlineStr">
        <is>
          <t>Wagon R</t>
        </is>
      </c>
      <c r="G288" s="21" t="n">
        <v>2015</v>
      </c>
      <c r="H288" s="22" t="n">
        <v>111682</v>
      </c>
      <c r="I288" s="22" t="n">
        <v>240000</v>
      </c>
      <c r="J288" s="20" t="inlineStr">
        <is>
          <t>VW KUN</t>
        </is>
      </c>
      <c r="K288" s="20" t="inlineStr">
        <is>
          <t>Non-Captive</t>
        </is>
      </c>
      <c r="L288" s="20" t="inlineStr">
        <is>
          <t>Seema Cars</t>
        </is>
      </c>
      <c r="M288" s="23" t="n">
        <v>4237.29</v>
      </c>
    </row>
    <row r="289">
      <c r="A289" s="19" t="inlineStr">
        <is>
          <t>FY26</t>
        </is>
      </c>
      <c r="B289" s="19" t="inlineStr">
        <is>
          <t>Jan</t>
        </is>
      </c>
      <c r="C289" s="19" t="inlineStr">
        <is>
          <t>TN</t>
        </is>
      </c>
      <c r="D289" s="20" t="inlineStr">
        <is>
          <t>TN58AL1408</t>
        </is>
      </c>
      <c r="E289" s="20" t="inlineStr">
        <is>
          <t>MARUTI SUZUKI</t>
        </is>
      </c>
      <c r="F289" s="20" t="inlineStr">
        <is>
          <t>Ciaz</t>
        </is>
      </c>
      <c r="G289" s="21" t="n">
        <v>2016</v>
      </c>
      <c r="H289" s="22" t="n">
        <v>112291</v>
      </c>
      <c r="I289" s="22" t="n">
        <v>375000</v>
      </c>
      <c r="J289" s="20" t="inlineStr">
        <is>
          <t>EXCHANGE ROTN</t>
        </is>
      </c>
      <c r="K289" s="20" t="inlineStr">
        <is>
          <t>Captive</t>
        </is>
      </c>
      <c r="L289" s="20" t="inlineStr">
        <is>
          <t>Gowtham Cars</t>
        </is>
      </c>
      <c r="M289" s="23" t="n">
        <v>8474.58</v>
      </c>
    </row>
    <row r="290">
      <c r="A290" s="19" t="inlineStr">
        <is>
          <t>FY26</t>
        </is>
      </c>
      <c r="B290" s="19" t="inlineStr">
        <is>
          <t>Jan</t>
        </is>
      </c>
      <c r="C290" s="19" t="inlineStr">
        <is>
          <t>TN</t>
        </is>
      </c>
      <c r="D290" s="20" t="inlineStr">
        <is>
          <t>TN06R5815</t>
        </is>
      </c>
      <c r="E290" s="20" t="inlineStr">
        <is>
          <t>HONDA</t>
        </is>
      </c>
      <c r="F290" s="20" t="inlineStr">
        <is>
          <t>Amaze</t>
        </is>
      </c>
      <c r="G290" s="21" t="n">
        <v>2016</v>
      </c>
      <c r="H290" s="22" t="n">
        <v>19733</v>
      </c>
      <c r="I290" s="22" t="n">
        <v>380000</v>
      </c>
      <c r="J290" s="20" t="inlineStr">
        <is>
          <t>EXCHANGE CHENNAI</t>
        </is>
      </c>
      <c r="K290" s="20" t="inlineStr">
        <is>
          <t>Captive</t>
        </is>
      </c>
      <c r="L290" s="20" t="inlineStr">
        <is>
          <t>Nirmal Cars</t>
        </is>
      </c>
      <c r="M290" s="23" t="n">
        <v>8474.58</v>
      </c>
    </row>
    <row r="291">
      <c r="A291" s="19" t="inlineStr">
        <is>
          <t>FY26</t>
        </is>
      </c>
      <c r="B291" s="19" t="inlineStr">
        <is>
          <t>Jan</t>
        </is>
      </c>
      <c r="C291" s="19" t="inlineStr">
        <is>
          <t>TN</t>
        </is>
      </c>
      <c r="D291" s="20" t="inlineStr">
        <is>
          <t>TN04M2977</t>
        </is>
      </c>
      <c r="E291" s="20" t="inlineStr">
        <is>
          <t>TOYOTA</t>
        </is>
      </c>
      <c r="F291" s="20" t="inlineStr">
        <is>
          <t>Corolla</t>
        </is>
      </c>
      <c r="G291" s="21" t="n">
        <v>2003</v>
      </c>
      <c r="H291" s="22" t="n">
        <v>88077</v>
      </c>
      <c r="I291" s="22" t="n">
        <v>80000</v>
      </c>
      <c r="J291" s="20" t="inlineStr">
        <is>
          <t>EXCHANGE CHENNAI</t>
        </is>
      </c>
      <c r="K291" s="20" t="inlineStr">
        <is>
          <t>Captive</t>
        </is>
      </c>
      <c r="L291" s="20" t="inlineStr">
        <is>
          <t>Pine Autos</t>
        </is>
      </c>
      <c r="M291" s="23" t="n">
        <v>5932.2</v>
      </c>
    </row>
    <row r="292">
      <c r="A292" s="19" t="inlineStr">
        <is>
          <t>FY26</t>
        </is>
      </c>
      <c r="B292" s="19" t="inlineStr">
        <is>
          <t>Jan</t>
        </is>
      </c>
      <c r="C292" s="19" t="inlineStr">
        <is>
          <t>TN</t>
        </is>
      </c>
      <c r="D292" s="20" t="inlineStr">
        <is>
          <t>TN60AB5422</t>
        </is>
      </c>
      <c r="E292" s="20" t="inlineStr">
        <is>
          <t>HONDA</t>
        </is>
      </c>
      <c r="F292" s="20" t="inlineStr">
        <is>
          <t>Br-V</t>
        </is>
      </c>
      <c r="G292" s="21" t="n">
        <v>2016</v>
      </c>
      <c r="H292" s="22" t="n">
        <v>211641</v>
      </c>
      <c r="I292" s="22" t="n">
        <v>300000</v>
      </c>
      <c r="J292" s="20" t="inlineStr">
        <is>
          <t>EXCHANGE ROTN</t>
        </is>
      </c>
      <c r="K292" s="20" t="inlineStr">
        <is>
          <t>Captive</t>
        </is>
      </c>
      <c r="L292" s="20" t="inlineStr">
        <is>
          <t>Selva Motors</t>
        </is>
      </c>
      <c r="M292" s="23" t="n">
        <v>8474.58</v>
      </c>
    </row>
    <row r="293">
      <c r="A293" s="19" t="inlineStr">
        <is>
          <t>FY26</t>
        </is>
      </c>
      <c r="B293" s="19" t="inlineStr">
        <is>
          <t>Jan</t>
        </is>
      </c>
      <c r="C293" s="19" t="inlineStr">
        <is>
          <t>TN</t>
        </is>
      </c>
      <c r="D293" s="20" t="inlineStr">
        <is>
          <t>TN38CE1379</t>
        </is>
      </c>
      <c r="E293" s="20" t="inlineStr">
        <is>
          <t>HONDA</t>
        </is>
      </c>
      <c r="F293" s="20" t="inlineStr">
        <is>
          <t>Br-V</t>
        </is>
      </c>
      <c r="G293" s="21" t="n">
        <v>2016</v>
      </c>
      <c r="H293" s="22" t="n">
        <v>126263</v>
      </c>
      <c r="I293" s="22" t="n">
        <v>460000</v>
      </c>
      <c r="J293" s="20" t="inlineStr">
        <is>
          <t>EXCHANGE ROTN</t>
        </is>
      </c>
      <c r="K293" s="20" t="inlineStr">
        <is>
          <t>Captive</t>
        </is>
      </c>
      <c r="L293" s="20" t="inlineStr">
        <is>
          <t>Dheera Cars</t>
        </is>
      </c>
      <c r="M293" s="23" t="n">
        <v>12711.86</v>
      </c>
    </row>
    <row r="294">
      <c r="A294" s="19" t="inlineStr">
        <is>
          <t>FY26</t>
        </is>
      </c>
      <c r="B294" s="19" t="inlineStr">
        <is>
          <t>Jan</t>
        </is>
      </c>
      <c r="C294" s="19" t="inlineStr">
        <is>
          <t>TN</t>
        </is>
      </c>
      <c r="D294" s="20" t="inlineStr">
        <is>
          <t>TN01BF2596</t>
        </is>
      </c>
      <c r="E294" s="20" t="inlineStr">
        <is>
          <t>HONDA</t>
        </is>
      </c>
      <c r="F294" s="20" t="inlineStr">
        <is>
          <t>City</t>
        </is>
      </c>
      <c r="G294" s="21" t="n">
        <v>2018</v>
      </c>
      <c r="H294" s="22" t="n">
        <v>97519</v>
      </c>
      <c r="I294" s="22" t="n">
        <v>500000</v>
      </c>
      <c r="J294" s="20" t="inlineStr">
        <is>
          <t>EXCHANGE CHENNAI</t>
        </is>
      </c>
      <c r="K294" s="20" t="inlineStr">
        <is>
          <t>Captive</t>
        </is>
      </c>
      <c r="L294" s="20" t="inlineStr">
        <is>
          <t>Nirmal Cars</t>
        </is>
      </c>
      <c r="M294" s="23" t="n">
        <v>8474.58</v>
      </c>
    </row>
    <row r="295">
      <c r="A295" s="19" t="inlineStr">
        <is>
          <t>FY26</t>
        </is>
      </c>
      <c r="B295" s="19" t="inlineStr">
        <is>
          <t>Jan</t>
        </is>
      </c>
      <c r="C295" s="19" t="inlineStr">
        <is>
          <t>TN</t>
        </is>
      </c>
      <c r="D295" s="20" t="inlineStr">
        <is>
          <t>TN99L9672</t>
        </is>
      </c>
      <c r="E295" s="20" t="inlineStr">
        <is>
          <t>MARUTI SUZUKI</t>
        </is>
      </c>
      <c r="F295" s="20" t="inlineStr">
        <is>
          <t>Baleno</t>
        </is>
      </c>
      <c r="G295" s="21" t="n">
        <v>2018</v>
      </c>
      <c r="H295" s="22" t="n">
        <v>134933</v>
      </c>
      <c r="I295" s="22" t="n">
        <v>300000</v>
      </c>
      <c r="J295" s="20" t="inlineStr">
        <is>
          <t>EXCHANGE ROTN</t>
        </is>
      </c>
      <c r="K295" s="20" t="inlineStr">
        <is>
          <t>Captive</t>
        </is>
      </c>
      <c r="L295" s="20" t="inlineStr">
        <is>
          <t>CAP Cars</t>
        </is>
      </c>
      <c r="M295" s="23" t="n">
        <v>8474.58</v>
      </c>
    </row>
    <row r="296">
      <c r="A296" s="19" t="inlineStr">
        <is>
          <t>FY26</t>
        </is>
      </c>
      <c r="B296" s="19" t="inlineStr">
        <is>
          <t>Jan</t>
        </is>
      </c>
      <c r="C296" s="19" t="inlineStr">
        <is>
          <t>TN</t>
        </is>
      </c>
      <c r="D296" s="20" t="inlineStr">
        <is>
          <t>TN72L1717</t>
        </is>
      </c>
      <c r="E296" s="20" t="inlineStr">
        <is>
          <t>MARUTI SUZUKI</t>
        </is>
      </c>
      <c r="F296" s="20" t="inlineStr">
        <is>
          <t>Zen</t>
        </is>
      </c>
      <c r="G296" s="21" t="n">
        <v>2004</v>
      </c>
      <c r="H296" s="22" t="n">
        <v>204648</v>
      </c>
      <c r="I296" s="22" t="n">
        <v>20000</v>
      </c>
      <c r="J296" s="20" t="inlineStr">
        <is>
          <t>EXCHANGE ROTN</t>
        </is>
      </c>
      <c r="K296" s="20" t="inlineStr">
        <is>
          <t>Captive</t>
        </is>
      </c>
      <c r="L296" s="20" t="inlineStr">
        <is>
          <t>YUGA DHEERAN CARS</t>
        </is>
      </c>
      <c r="M296" s="23" t="n">
        <v>4237.29</v>
      </c>
    </row>
    <row r="297">
      <c r="A297" s="19" t="inlineStr">
        <is>
          <t>FY26</t>
        </is>
      </c>
      <c r="B297" s="19" t="inlineStr">
        <is>
          <t>Jan</t>
        </is>
      </c>
      <c r="C297" s="19" t="inlineStr">
        <is>
          <t>TN</t>
        </is>
      </c>
      <c r="D297" s="20" t="inlineStr">
        <is>
          <t>TN38AY2973</t>
        </is>
      </c>
      <c r="E297" s="20" t="inlineStr">
        <is>
          <t>HYUNDAI</t>
        </is>
      </c>
      <c r="F297" s="20" t="inlineStr">
        <is>
          <t>I20</t>
        </is>
      </c>
      <c r="G297" s="21" t="n">
        <v>2009</v>
      </c>
      <c r="H297" s="22" t="n">
        <v>109781</v>
      </c>
      <c r="I297" s="22" t="n">
        <v>130000</v>
      </c>
      <c r="J297" s="20" t="inlineStr">
        <is>
          <t>EXCHANGE ROTN</t>
        </is>
      </c>
      <c r="K297" s="20" t="inlineStr">
        <is>
          <t>Captive</t>
        </is>
      </c>
      <c r="L297" s="20" t="inlineStr">
        <is>
          <t>SRI RAJA KANAPATHY CARS</t>
        </is>
      </c>
      <c r="M297" s="23" t="n">
        <v>8474.58</v>
      </c>
    </row>
    <row r="298">
      <c r="A298" s="19" t="inlineStr">
        <is>
          <t>FY26</t>
        </is>
      </c>
      <c r="B298" s="19" t="inlineStr">
        <is>
          <t>Jan</t>
        </is>
      </c>
      <c r="C298" s="19" t="inlineStr">
        <is>
          <t>TN</t>
        </is>
      </c>
      <c r="D298" s="20" t="inlineStr">
        <is>
          <t>MH12MW4825</t>
        </is>
      </c>
      <c r="E298" s="20" t="inlineStr">
        <is>
          <t>MAHINDRA</t>
        </is>
      </c>
      <c r="F298" s="20" t="inlineStr">
        <is>
          <t>Kuv100</t>
        </is>
      </c>
      <c r="G298" s="21" t="n">
        <v>2016</v>
      </c>
      <c r="H298" s="22" t="n">
        <v>182675</v>
      </c>
      <c r="I298" s="22" t="n">
        <v>100000</v>
      </c>
      <c r="J298" s="20" t="inlineStr">
        <is>
          <t>EXCHANGE ROTN</t>
        </is>
      </c>
      <c r="K298" s="20" t="inlineStr">
        <is>
          <t>Captive</t>
        </is>
      </c>
      <c r="L298" s="20" t="inlineStr">
        <is>
          <t>9 MILES CARZ</t>
        </is>
      </c>
      <c r="M298" s="23" t="n">
        <v>8474.58</v>
      </c>
    </row>
    <row r="299">
      <c r="A299" s="19" t="inlineStr">
        <is>
          <t>FY26</t>
        </is>
      </c>
      <c r="B299" s="19" t="inlineStr">
        <is>
          <t>Jan</t>
        </is>
      </c>
      <c r="C299" s="19" t="inlineStr">
        <is>
          <t>TN</t>
        </is>
      </c>
      <c r="D299" s="20" t="inlineStr">
        <is>
          <t>TN38CW9596</t>
        </is>
      </c>
      <c r="E299" s="20" t="inlineStr">
        <is>
          <t>RENAULT</t>
        </is>
      </c>
      <c r="F299" s="20" t="inlineStr">
        <is>
          <t>Duster</t>
        </is>
      </c>
      <c r="G299" s="21" t="n">
        <v>2020</v>
      </c>
      <c r="H299" s="22" t="n">
        <v>29986</v>
      </c>
      <c r="I299" s="22" t="n">
        <v>600000</v>
      </c>
      <c r="J299" s="20" t="inlineStr">
        <is>
          <t>EXCHANGE ROTN</t>
        </is>
      </c>
      <c r="K299" s="20" t="inlineStr">
        <is>
          <t>Captive</t>
        </is>
      </c>
      <c r="L299" s="20" t="inlineStr">
        <is>
          <t>Sai Cars</t>
        </is>
      </c>
      <c r="M299" s="23" t="n">
        <v>10169.49</v>
      </c>
    </row>
    <row r="300">
      <c r="A300" s="19" t="inlineStr">
        <is>
          <t>FY26</t>
        </is>
      </c>
      <c r="B300" s="19" t="inlineStr">
        <is>
          <t>Jan</t>
        </is>
      </c>
      <c r="C300" s="19" t="inlineStr">
        <is>
          <t>TN</t>
        </is>
      </c>
      <c r="D300" s="20" t="inlineStr">
        <is>
          <t>TN59BU8635</t>
        </is>
      </c>
      <c r="E300" s="20" t="inlineStr">
        <is>
          <t>HONDA</t>
        </is>
      </c>
      <c r="F300" s="20" t="inlineStr">
        <is>
          <t>Br-V</t>
        </is>
      </c>
      <c r="G300" s="21" t="n">
        <v>2016</v>
      </c>
      <c r="H300" s="22" t="n">
        <v>79692</v>
      </c>
      <c r="I300" s="22" t="n">
        <v>545000</v>
      </c>
      <c r="J300" s="20" t="inlineStr">
        <is>
          <t>EXCHANGE ROTN</t>
        </is>
      </c>
      <c r="K300" s="20" t="inlineStr">
        <is>
          <t>Captive</t>
        </is>
      </c>
      <c r="L300" s="20" t="inlineStr">
        <is>
          <t>Dheera Cars</t>
        </is>
      </c>
      <c r="M300" s="23" t="n">
        <v>12711.86</v>
      </c>
    </row>
    <row r="301">
      <c r="A301" s="19" t="inlineStr">
        <is>
          <t>FY26</t>
        </is>
      </c>
      <c r="B301" s="19" t="inlineStr">
        <is>
          <t>Jan</t>
        </is>
      </c>
      <c r="C301" s="19" t="inlineStr">
        <is>
          <t>TN</t>
        </is>
      </c>
      <c r="D301" s="20" t="inlineStr">
        <is>
          <t>TN22DM9846</t>
        </is>
      </c>
      <c r="E301" s="20" t="inlineStr">
        <is>
          <t>MARUTI SUZUKI</t>
        </is>
      </c>
      <c r="F301" s="20" t="inlineStr">
        <is>
          <t>Swift Dzire</t>
        </is>
      </c>
      <c r="G301" s="21" t="n">
        <v>2018</v>
      </c>
      <c r="H301" s="22" t="n">
        <v>85924</v>
      </c>
      <c r="I301" s="22" t="n">
        <v>485000</v>
      </c>
      <c r="J301" s="20" t="inlineStr">
        <is>
          <t>EXCHANGE CHENNAI</t>
        </is>
      </c>
      <c r="K301" s="20" t="inlineStr">
        <is>
          <t>Captive</t>
        </is>
      </c>
      <c r="L301" s="20" t="inlineStr">
        <is>
          <t>Santhosh Cars</t>
        </is>
      </c>
      <c r="M301" s="23" t="n">
        <v>4237.29</v>
      </c>
    </row>
    <row r="302">
      <c r="A302" s="19" t="inlineStr">
        <is>
          <t>FY26</t>
        </is>
      </c>
      <c r="B302" s="19" t="inlineStr">
        <is>
          <t>Jan</t>
        </is>
      </c>
      <c r="C302" s="19" t="inlineStr">
        <is>
          <t>TN</t>
        </is>
      </c>
      <c r="D302" s="20" t="inlineStr">
        <is>
          <t>TN07BF7117</t>
        </is>
      </c>
      <c r="E302" s="20" t="inlineStr">
        <is>
          <t>FIAT</t>
        </is>
      </c>
      <c r="F302" s="20" t="inlineStr">
        <is>
          <t>Linea</t>
        </is>
      </c>
      <c r="G302" s="21" t="n">
        <v>2010</v>
      </c>
      <c r="H302" s="22" t="n">
        <v>999999</v>
      </c>
      <c r="I302" s="22" t="n">
        <v>70000</v>
      </c>
      <c r="J302" s="20" t="inlineStr">
        <is>
          <t>EXCHANGE CHENNAI</t>
        </is>
      </c>
      <c r="K302" s="20" t="inlineStr">
        <is>
          <t>Captive</t>
        </is>
      </c>
      <c r="L302" s="20" t="inlineStr">
        <is>
          <t>Kirthi Cars</t>
        </is>
      </c>
      <c r="M302" s="23" t="n">
        <v>3389.83</v>
      </c>
    </row>
    <row r="303">
      <c r="A303" s="19" t="inlineStr">
        <is>
          <t>FY26</t>
        </is>
      </c>
      <c r="B303" s="19" t="inlineStr">
        <is>
          <t>Jan</t>
        </is>
      </c>
      <c r="C303" s="19" t="inlineStr">
        <is>
          <t>TN</t>
        </is>
      </c>
      <c r="D303" s="20" t="inlineStr">
        <is>
          <t>TN06AA4601</t>
        </is>
      </c>
      <c r="E303" s="20" t="inlineStr">
        <is>
          <t>HYUNDAI</t>
        </is>
      </c>
      <c r="F303" s="20" t="inlineStr">
        <is>
          <t>Grand I10</t>
        </is>
      </c>
      <c r="G303" s="21" t="n">
        <v>2021</v>
      </c>
      <c r="H303" s="22" t="n">
        <v>5227</v>
      </c>
      <c r="I303" s="22" t="n">
        <v>460000</v>
      </c>
      <c r="J303" s="20" t="inlineStr">
        <is>
          <t>EXCHANGE CHENNAI</t>
        </is>
      </c>
      <c r="K303" s="20" t="inlineStr">
        <is>
          <t>Captive</t>
        </is>
      </c>
      <c r="L303" s="20" t="inlineStr">
        <is>
          <t>Shakthi cars</t>
        </is>
      </c>
      <c r="M303" s="23" t="n">
        <v>4237.29</v>
      </c>
    </row>
    <row r="304">
      <c r="A304" s="19" t="inlineStr">
        <is>
          <t>FY26</t>
        </is>
      </c>
      <c r="B304" s="19" t="inlineStr">
        <is>
          <t>Jan</t>
        </is>
      </c>
      <c r="C304" s="19" t="inlineStr">
        <is>
          <t>TN</t>
        </is>
      </c>
      <c r="D304" s="20" t="inlineStr">
        <is>
          <t>TN09CC7875</t>
        </is>
      </c>
      <c r="E304" s="20" t="inlineStr">
        <is>
          <t>HYUNDAI</t>
        </is>
      </c>
      <c r="F304" s="20" t="inlineStr">
        <is>
          <t>Xcent</t>
        </is>
      </c>
      <c r="G304" s="21" t="n">
        <v>2016</v>
      </c>
      <c r="H304" s="22" t="n">
        <v>148628</v>
      </c>
      <c r="I304" s="22" t="n">
        <v>260000</v>
      </c>
      <c r="J304" s="20" t="inlineStr">
        <is>
          <t>EXCHANGE CHENNAI</t>
        </is>
      </c>
      <c r="K304" s="20" t="inlineStr">
        <is>
          <t>Captive</t>
        </is>
      </c>
      <c r="L304" s="20" t="inlineStr">
        <is>
          <t>Aasim Motor</t>
        </is>
      </c>
      <c r="M304" s="23" t="n">
        <v>2542.37</v>
      </c>
    </row>
    <row r="305">
      <c r="A305" s="19" t="inlineStr">
        <is>
          <t>FY26</t>
        </is>
      </c>
      <c r="B305" s="19" t="inlineStr">
        <is>
          <t>Jan</t>
        </is>
      </c>
      <c r="C305" s="19" t="inlineStr">
        <is>
          <t>TN</t>
        </is>
      </c>
      <c r="D305" s="20" t="inlineStr">
        <is>
          <t>TN09CM7426</t>
        </is>
      </c>
      <c r="E305" s="20" t="inlineStr">
        <is>
          <t>MARUTI SUZUKI</t>
        </is>
      </c>
      <c r="F305" s="20" t="inlineStr">
        <is>
          <t>Baleno</t>
        </is>
      </c>
      <c r="G305" s="21" t="n">
        <v>2018</v>
      </c>
      <c r="H305" s="22" t="n">
        <v>65076</v>
      </c>
      <c r="I305" s="22" t="n">
        <v>535000</v>
      </c>
      <c r="J305" s="20" t="inlineStr">
        <is>
          <t>EXCHANGE CHENNAI</t>
        </is>
      </c>
      <c r="K305" s="20" t="inlineStr">
        <is>
          <t>Captive</t>
        </is>
      </c>
      <c r="L305" s="20" t="inlineStr">
        <is>
          <t>Santhosh Cars</t>
        </is>
      </c>
      <c r="M305" s="23" t="n">
        <v>8474.58</v>
      </c>
    </row>
    <row r="306">
      <c r="A306" s="19" t="inlineStr">
        <is>
          <t>FY26</t>
        </is>
      </c>
      <c r="B306" s="19" t="inlineStr">
        <is>
          <t>Jan</t>
        </is>
      </c>
      <c r="C306" s="19" t="inlineStr">
        <is>
          <t>TN</t>
        </is>
      </c>
      <c r="D306" s="20" t="inlineStr">
        <is>
          <t>TN02AX4207</t>
        </is>
      </c>
      <c r="E306" s="20" t="inlineStr">
        <is>
          <t>HONDA</t>
        </is>
      </c>
      <c r="F306" s="20" t="inlineStr">
        <is>
          <t>City</t>
        </is>
      </c>
      <c r="G306" s="21" t="n">
        <v>2013</v>
      </c>
      <c r="H306" s="22" t="n">
        <v>80667</v>
      </c>
      <c r="I306" s="22" t="n">
        <v>300000</v>
      </c>
      <c r="J306" s="20" t="inlineStr">
        <is>
          <t>EXCHANGE CHENNAI</t>
        </is>
      </c>
      <c r="K306" s="20" t="inlineStr">
        <is>
          <t>Captive</t>
        </is>
      </c>
      <c r="L306" s="20" t="inlineStr">
        <is>
          <t>Nirmal Cars</t>
        </is>
      </c>
      <c r="M306" s="23" t="n">
        <v>8474.58</v>
      </c>
    </row>
    <row r="307">
      <c r="A307" s="19" t="inlineStr">
        <is>
          <t>FY26</t>
        </is>
      </c>
      <c r="B307" s="19" t="inlineStr">
        <is>
          <t>Jan</t>
        </is>
      </c>
      <c r="C307" s="19" t="inlineStr">
        <is>
          <t>TN</t>
        </is>
      </c>
      <c r="D307" s="20" t="inlineStr">
        <is>
          <t>TN10Q2282</t>
        </is>
      </c>
      <c r="E307" s="20" t="inlineStr">
        <is>
          <t>MARUTI SUZUKI</t>
        </is>
      </c>
      <c r="F307" s="20" t="inlineStr">
        <is>
          <t>Alto</t>
        </is>
      </c>
      <c r="G307" s="21" t="n">
        <v>2006</v>
      </c>
      <c r="H307" s="22" t="n">
        <v>53708</v>
      </c>
      <c r="I307" s="22" t="n">
        <v>60000</v>
      </c>
      <c r="J307" s="20" t="inlineStr">
        <is>
          <t>EXCHANGE CHENNAI</t>
        </is>
      </c>
      <c r="K307" s="20" t="inlineStr">
        <is>
          <t>Captive</t>
        </is>
      </c>
      <c r="L307" s="20" t="inlineStr">
        <is>
          <t>Santhosh Cars</t>
        </is>
      </c>
      <c r="M307" s="23" t="n">
        <v>4237.29</v>
      </c>
    </row>
    <row r="308">
      <c r="A308" s="19" t="inlineStr">
        <is>
          <t>FY26</t>
        </is>
      </c>
      <c r="B308" s="19" t="inlineStr">
        <is>
          <t>Jan</t>
        </is>
      </c>
      <c r="C308" s="19" t="inlineStr">
        <is>
          <t>TN</t>
        </is>
      </c>
      <c r="D308" s="20" t="inlineStr">
        <is>
          <t>TN66R4773</t>
        </is>
      </c>
      <c r="E308" s="20" t="inlineStr">
        <is>
          <t>HONDA</t>
        </is>
      </c>
      <c r="F308" s="20" t="inlineStr">
        <is>
          <t>City</t>
        </is>
      </c>
      <c r="G308" s="21" t="n">
        <v>2015</v>
      </c>
      <c r="H308" s="22" t="n">
        <v>87520</v>
      </c>
      <c r="I308" s="22" t="n">
        <v>420000</v>
      </c>
      <c r="J308" s="20" t="inlineStr">
        <is>
          <t>EXCHANGE ROTN</t>
        </is>
      </c>
      <c r="K308" s="20" t="inlineStr">
        <is>
          <t>Captive</t>
        </is>
      </c>
      <c r="L308" s="20" t="inlineStr">
        <is>
          <t>Sai Cars</t>
        </is>
      </c>
      <c r="M308" s="23" t="n">
        <v>16949.15</v>
      </c>
    </row>
    <row r="309">
      <c r="A309" s="19" t="inlineStr">
        <is>
          <t>FY26</t>
        </is>
      </c>
      <c r="B309" s="19" t="inlineStr">
        <is>
          <t>Jan</t>
        </is>
      </c>
      <c r="C309" s="19" t="inlineStr">
        <is>
          <t>TN</t>
        </is>
      </c>
      <c r="D309" s="20" t="inlineStr">
        <is>
          <t>TN02BV1391</t>
        </is>
      </c>
      <c r="E309" s="20" t="inlineStr">
        <is>
          <t>HONDA</t>
        </is>
      </c>
      <c r="F309" s="20" t="inlineStr">
        <is>
          <t>Wr-V</t>
        </is>
      </c>
      <c r="G309" s="21" t="n">
        <v>2021</v>
      </c>
      <c r="H309" s="22" t="n">
        <v>39178</v>
      </c>
      <c r="I309" s="22" t="n">
        <v>600000</v>
      </c>
      <c r="J309" s="20" t="inlineStr">
        <is>
          <t>Khivraj Motor</t>
        </is>
      </c>
      <c r="K309" s="20" t="inlineStr">
        <is>
          <t>Non-Captive</t>
        </is>
      </c>
      <c r="L309" s="20" t="inlineStr">
        <is>
          <t>Santhosh Cars</t>
        </is>
      </c>
      <c r="M309" s="23" t="n">
        <v>5084.75</v>
      </c>
    </row>
    <row r="310">
      <c r="A310" s="19" t="inlineStr">
        <is>
          <t>FY26</t>
        </is>
      </c>
      <c r="B310" s="19" t="inlineStr">
        <is>
          <t>Jan</t>
        </is>
      </c>
      <c r="C310" s="19" t="inlineStr">
        <is>
          <t>TN</t>
        </is>
      </c>
      <c r="D310" s="20" t="inlineStr">
        <is>
          <t>TN49CB9829</t>
        </is>
      </c>
      <c r="E310" s="20" t="inlineStr">
        <is>
          <t>MARUTI SUZUKI</t>
        </is>
      </c>
      <c r="F310" s="20" t="inlineStr">
        <is>
          <t>Ertiga</t>
        </is>
      </c>
      <c r="G310" s="21" t="n">
        <v>2020</v>
      </c>
      <c r="H310" s="22" t="n">
        <v>51803</v>
      </c>
      <c r="I310" s="22" t="n">
        <v>700000</v>
      </c>
      <c r="J310" s="20" t="inlineStr">
        <is>
          <t>Khivraj Motor</t>
        </is>
      </c>
      <c r="K310" s="20" t="inlineStr">
        <is>
          <t>Non-Captive</t>
        </is>
      </c>
      <c r="L310" s="20" t="inlineStr">
        <is>
          <t>Thiya Cars</t>
        </is>
      </c>
      <c r="M310" s="23" t="n">
        <v>8474.58</v>
      </c>
    </row>
    <row r="311">
      <c r="A311" s="19" t="inlineStr">
        <is>
          <t>FY26</t>
        </is>
      </c>
      <c r="B311" s="19" t="inlineStr">
        <is>
          <t>Jan</t>
        </is>
      </c>
      <c r="C311" s="19" t="inlineStr">
        <is>
          <t>TN</t>
        </is>
      </c>
      <c r="D311" s="20" t="inlineStr">
        <is>
          <t>TN05BE2653</t>
        </is>
      </c>
      <c r="E311" s="20" t="inlineStr">
        <is>
          <t>MARUTI SUZUKI</t>
        </is>
      </c>
      <c r="F311" s="20" t="inlineStr">
        <is>
          <t>Baleno</t>
        </is>
      </c>
      <c r="G311" s="21" t="n">
        <v>2016</v>
      </c>
      <c r="H311" s="22" t="n">
        <v>63234</v>
      </c>
      <c r="I311" s="22" t="n">
        <v>410000</v>
      </c>
      <c r="J311" s="20" t="inlineStr">
        <is>
          <t>Khivraj Motor</t>
        </is>
      </c>
      <c r="K311" s="20" t="inlineStr">
        <is>
          <t>Non-Captive</t>
        </is>
      </c>
      <c r="L311" s="20" t="inlineStr">
        <is>
          <t>Omega Car Zone</t>
        </is>
      </c>
      <c r="M311" s="23" t="n">
        <v>5084.75</v>
      </c>
    </row>
    <row r="312">
      <c r="A312" s="19" t="inlineStr">
        <is>
          <t>FY26</t>
        </is>
      </c>
      <c r="B312" s="19" t="inlineStr">
        <is>
          <t>Jan</t>
        </is>
      </c>
      <c r="C312" s="19" t="inlineStr">
        <is>
          <t>TN</t>
        </is>
      </c>
      <c r="D312" s="20" t="inlineStr">
        <is>
          <t>TN13L1572</t>
        </is>
      </c>
      <c r="E312" s="20" t="inlineStr">
        <is>
          <t>MAHINDRA</t>
        </is>
      </c>
      <c r="F312" s="20" t="inlineStr">
        <is>
          <t>Tuv300</t>
        </is>
      </c>
      <c r="G312" s="21" t="n">
        <v>2017</v>
      </c>
      <c r="H312" s="22" t="n">
        <v>44537</v>
      </c>
      <c r="I312" s="22" t="n">
        <v>485000</v>
      </c>
      <c r="J312" s="20" t="inlineStr">
        <is>
          <t>Khivraj Motor</t>
        </is>
      </c>
      <c r="K312" s="20" t="inlineStr">
        <is>
          <t>Non-Captive</t>
        </is>
      </c>
      <c r="L312" s="20" t="inlineStr">
        <is>
          <t>Pine Autos</t>
        </is>
      </c>
      <c r="M312" s="23" t="n">
        <v>8474.58</v>
      </c>
    </row>
    <row r="313">
      <c r="A313" s="19" t="inlineStr">
        <is>
          <t>FY26</t>
        </is>
      </c>
      <c r="B313" s="19" t="inlineStr">
        <is>
          <t>Jan</t>
        </is>
      </c>
      <c r="C313" s="19" t="inlineStr">
        <is>
          <t>TN</t>
        </is>
      </c>
      <c r="D313" s="20" t="inlineStr">
        <is>
          <t>KL01BH3507</t>
        </is>
      </c>
      <c r="E313" s="20" t="inlineStr">
        <is>
          <t>FORD</t>
        </is>
      </c>
      <c r="F313" s="20" t="inlineStr">
        <is>
          <t>Fiesta</t>
        </is>
      </c>
      <c r="G313" s="21" t="n">
        <v>2012</v>
      </c>
      <c r="H313" s="22" t="n">
        <v>63336</v>
      </c>
      <c r="I313" s="22" t="n">
        <v>170000</v>
      </c>
      <c r="J313" s="20" t="inlineStr">
        <is>
          <t>Kirali Toyota</t>
        </is>
      </c>
      <c r="K313" s="20" t="inlineStr">
        <is>
          <t>Non-Captive</t>
        </is>
      </c>
      <c r="L313" s="20" t="inlineStr">
        <is>
          <t>Shamnad AH</t>
        </is>
      </c>
      <c r="M313" s="23" t="n">
        <v>5932.2</v>
      </c>
    </row>
    <row r="314">
      <c r="A314" s="19" t="inlineStr">
        <is>
          <t>FY26</t>
        </is>
      </c>
      <c r="B314" s="19" t="inlineStr">
        <is>
          <t>Jan</t>
        </is>
      </c>
      <c r="C314" s="19" t="inlineStr">
        <is>
          <t>TN</t>
        </is>
      </c>
      <c r="D314" s="20" t="inlineStr">
        <is>
          <t>KL21F0165</t>
        </is>
      </c>
      <c r="E314" s="20" t="inlineStr">
        <is>
          <t>FORD</t>
        </is>
      </c>
      <c r="F314" s="20" t="inlineStr">
        <is>
          <t>Fiesta</t>
        </is>
      </c>
      <c r="G314" s="21" t="n">
        <v>2012</v>
      </c>
      <c r="H314" s="22" t="n">
        <v>126132</v>
      </c>
      <c r="I314" s="22" t="n">
        <v>170000</v>
      </c>
      <c r="J314" s="20" t="inlineStr">
        <is>
          <t>Kirali Toyota</t>
        </is>
      </c>
      <c r="K314" s="20" t="inlineStr">
        <is>
          <t>Non-Captive</t>
        </is>
      </c>
      <c r="L314" s="20" t="inlineStr">
        <is>
          <t>Shamnad AH</t>
        </is>
      </c>
      <c r="M314" s="23" t="n">
        <v>5932.2</v>
      </c>
    </row>
    <row r="315">
      <c r="A315" s="19" t="inlineStr">
        <is>
          <t>FY26</t>
        </is>
      </c>
      <c r="B315" s="19" t="inlineStr">
        <is>
          <t>Jan</t>
        </is>
      </c>
      <c r="C315" s="19" t="inlineStr">
        <is>
          <t>TN</t>
        </is>
      </c>
      <c r="D315" s="20" t="inlineStr">
        <is>
          <t>KL01BU2421</t>
        </is>
      </c>
      <c r="E315" s="20" t="inlineStr">
        <is>
          <t>HYUNDAI</t>
        </is>
      </c>
      <c r="F315" s="20" t="inlineStr">
        <is>
          <t>Asta</t>
        </is>
      </c>
      <c r="G315" s="21" t="n">
        <v>2015</v>
      </c>
      <c r="H315" s="22" t="n">
        <v>18676</v>
      </c>
      <c r="I315" s="22" t="n">
        <v>320000</v>
      </c>
      <c r="J315" s="20" t="inlineStr">
        <is>
          <t>Nippon Motor Corporation Pvt Ltd</t>
        </is>
      </c>
      <c r="K315" s="20" t="inlineStr">
        <is>
          <t>Non-Captive</t>
        </is>
      </c>
      <c r="L315" s="20" t="inlineStr">
        <is>
          <t>Popular Thrissur</t>
        </is>
      </c>
      <c r="M315" s="23" t="n">
        <v>5000</v>
      </c>
    </row>
    <row r="316">
      <c r="A316" s="19" t="inlineStr">
        <is>
          <t>FY26</t>
        </is>
      </c>
      <c r="B316" s="19" t="inlineStr">
        <is>
          <t>Jan</t>
        </is>
      </c>
      <c r="C316" s="19" t="inlineStr">
        <is>
          <t>TN</t>
        </is>
      </c>
      <c r="D316" s="20" t="inlineStr">
        <is>
          <t>KL22R2669</t>
        </is>
      </c>
      <c r="E316" s="20" t="inlineStr">
        <is>
          <t>MARUTI SUZUKI</t>
        </is>
      </c>
      <c r="F316" s="20" t="inlineStr">
        <is>
          <t>Alto</t>
        </is>
      </c>
      <c r="G316" s="21" t="n">
        <v>2022</v>
      </c>
      <c r="H316" s="22" t="n">
        <v>18641</v>
      </c>
      <c r="I316" s="22" t="n">
        <v>360000</v>
      </c>
      <c r="J316" s="20" t="inlineStr">
        <is>
          <t>Nippon Motor Corporation Pvt Ltd</t>
        </is>
      </c>
      <c r="K316" s="20" t="inlineStr">
        <is>
          <t>Non-Captive</t>
        </is>
      </c>
      <c r="L316" s="20" t="inlineStr">
        <is>
          <t>Popular Thrissur</t>
        </is>
      </c>
      <c r="M316" s="23" t="n">
        <v>5000</v>
      </c>
    </row>
    <row r="317">
      <c r="A317" s="19" t="inlineStr">
        <is>
          <t>FY26</t>
        </is>
      </c>
      <c r="B317" s="19" t="inlineStr">
        <is>
          <t>Jan</t>
        </is>
      </c>
      <c r="C317" s="19" t="inlineStr">
        <is>
          <t>TN</t>
        </is>
      </c>
      <c r="D317" s="20" t="inlineStr">
        <is>
          <t>TN09CE3343</t>
        </is>
      </c>
      <c r="E317" s="20" t="inlineStr">
        <is>
          <t>MARUTI SUZUKI</t>
        </is>
      </c>
      <c r="F317" s="20" t="inlineStr">
        <is>
          <t>Wagon R</t>
        </is>
      </c>
      <c r="G317" s="21" t="n">
        <v>2016</v>
      </c>
      <c r="H317" s="22" t="n">
        <v>123540</v>
      </c>
      <c r="I317" s="22" t="n">
        <v>270000</v>
      </c>
      <c r="J317" s="20" t="inlineStr">
        <is>
          <t>Nirmal</t>
        </is>
      </c>
      <c r="K317" s="20" t="inlineStr">
        <is>
          <t>Non-Captive</t>
        </is>
      </c>
      <c r="L317" s="20" t="inlineStr">
        <is>
          <t>Ragupathy Cars</t>
        </is>
      </c>
      <c r="M317" s="23" t="n">
        <v>4237.29</v>
      </c>
    </row>
    <row r="318">
      <c r="A318" s="19" t="inlineStr">
        <is>
          <t>FY26</t>
        </is>
      </c>
      <c r="B318" s="19" t="inlineStr">
        <is>
          <t>Jan</t>
        </is>
      </c>
      <c r="C318" s="19" t="inlineStr">
        <is>
          <t>TN</t>
        </is>
      </c>
      <c r="D318" s="20" t="inlineStr">
        <is>
          <t>TN06B2738</t>
        </is>
      </c>
      <c r="E318" s="20" t="inlineStr">
        <is>
          <t>HYUNDAI</t>
        </is>
      </c>
      <c r="F318" s="20" t="inlineStr">
        <is>
          <t>I10</t>
        </is>
      </c>
      <c r="G318" s="21" t="n">
        <v>2010</v>
      </c>
      <c r="H318" s="22" t="n">
        <v>124567</v>
      </c>
      <c r="I318" s="22" t="n">
        <v>180000</v>
      </c>
      <c r="J318" s="20" t="inlineStr">
        <is>
          <t>Nirmal</t>
        </is>
      </c>
      <c r="K318" s="20" t="inlineStr">
        <is>
          <t>Non-Captive</t>
        </is>
      </c>
      <c r="L318" s="20" t="inlineStr">
        <is>
          <t>Ragupathy Cars</t>
        </is>
      </c>
      <c r="M318" s="23" t="n">
        <v>4237.29</v>
      </c>
    </row>
    <row r="319">
      <c r="A319" s="19" t="inlineStr">
        <is>
          <t>FY26</t>
        </is>
      </c>
      <c r="B319" s="19" t="inlineStr">
        <is>
          <t>Jan</t>
        </is>
      </c>
      <c r="C319" s="19" t="inlineStr">
        <is>
          <t>TN</t>
        </is>
      </c>
      <c r="D319" s="20" t="inlineStr">
        <is>
          <t>KL24L2932</t>
        </is>
      </c>
      <c r="E319" s="20" t="inlineStr">
        <is>
          <t>HONDA</t>
        </is>
      </c>
      <c r="F319" s="20" t="inlineStr">
        <is>
          <t>Jazz</t>
        </is>
      </c>
      <c r="G319" s="21" t="n"/>
      <c r="H319" s="22" t="n"/>
      <c r="I319" s="22" t="n">
        <v>350000</v>
      </c>
      <c r="J319" s="20" t="inlineStr">
        <is>
          <t>Nippon Motor Corporation Pvt Ltd</t>
        </is>
      </c>
      <c r="K319" s="20" t="inlineStr">
        <is>
          <t>Non-Captive</t>
        </is>
      </c>
      <c r="L319" s="20" t="inlineStr">
        <is>
          <t>Shamnad AH</t>
        </is>
      </c>
      <c r="M319" s="23" t="n">
        <v>5932.2</v>
      </c>
    </row>
    <row r="320">
      <c r="A320" s="19" t="inlineStr">
        <is>
          <t>FY26</t>
        </is>
      </c>
      <c r="B320" s="19" t="inlineStr">
        <is>
          <t>Jan</t>
        </is>
      </c>
      <c r="C320" s="19" t="inlineStr">
        <is>
          <t>TN</t>
        </is>
      </c>
      <c r="D320" s="20" t="inlineStr">
        <is>
          <t>KL29M9531</t>
        </is>
      </c>
      <c r="E320" s="20" t="inlineStr">
        <is>
          <t>HYUNDAI</t>
        </is>
      </c>
      <c r="F320" s="20" t="inlineStr">
        <is>
          <t>Verna</t>
        </is>
      </c>
      <c r="G320" s="21" t="n"/>
      <c r="H320" s="22" t="n"/>
      <c r="I320" s="22" t="n">
        <v>360000</v>
      </c>
      <c r="J320" s="20" t="inlineStr">
        <is>
          <t>Nippon Motor Corporation Pvt Ltd</t>
        </is>
      </c>
      <c r="K320" s="20" t="inlineStr">
        <is>
          <t>Non-Captive</t>
        </is>
      </c>
      <c r="L320" s="20" t="inlineStr">
        <is>
          <t>Shamnad AH</t>
        </is>
      </c>
      <c r="M320" s="23" t="n">
        <v>5932.2</v>
      </c>
    </row>
    <row r="321">
      <c r="A321" s="19" t="inlineStr">
        <is>
          <t>FY26</t>
        </is>
      </c>
      <c r="B321" s="19" t="inlineStr">
        <is>
          <t>Jan</t>
        </is>
      </c>
      <c r="C321" s="19" t="inlineStr">
        <is>
          <t>TN</t>
        </is>
      </c>
      <c r="D321" s="20" t="inlineStr">
        <is>
          <t>TN13H5670</t>
        </is>
      </c>
      <c r="E321" s="20" t="inlineStr">
        <is>
          <t>TATA</t>
        </is>
      </c>
      <c r="F321" s="20" t="inlineStr">
        <is>
          <t>Tiago</t>
        </is>
      </c>
      <c r="G321" s="21" t="n">
        <v>2017</v>
      </c>
      <c r="H321" s="22" t="n">
        <v>79008</v>
      </c>
      <c r="I321" s="22" t="n">
        <v>250000</v>
      </c>
      <c r="J321" s="20" t="inlineStr">
        <is>
          <t>Lakshmi Tata</t>
        </is>
      </c>
      <c r="K321" s="20" t="inlineStr">
        <is>
          <t>Non-Captive</t>
        </is>
      </c>
      <c r="L321" s="20" t="inlineStr">
        <is>
          <t>Omega Car Zone</t>
        </is>
      </c>
      <c r="M321" s="23" t="n">
        <v>4237.29</v>
      </c>
    </row>
    <row r="322">
      <c r="A322" s="19" t="inlineStr">
        <is>
          <t>FY26</t>
        </is>
      </c>
      <c r="B322" s="19" t="inlineStr">
        <is>
          <t>Jan</t>
        </is>
      </c>
      <c r="C322" s="19" t="inlineStr">
        <is>
          <t>TN</t>
        </is>
      </c>
      <c r="D322" s="20" t="inlineStr">
        <is>
          <t>TN10BB1885</t>
        </is>
      </c>
      <c r="E322" s="20" t="inlineStr">
        <is>
          <t>MARUTI SUZUKI</t>
        </is>
      </c>
      <c r="F322" s="20" t="inlineStr">
        <is>
          <t>Swift Dzire</t>
        </is>
      </c>
      <c r="G322" s="21" t="n">
        <v>2017</v>
      </c>
      <c r="H322" s="22" t="n">
        <v>110113</v>
      </c>
      <c r="I322" s="22" t="n">
        <v>400000</v>
      </c>
      <c r="J322" s="20" t="inlineStr">
        <is>
          <t>Lakshmi Tata</t>
        </is>
      </c>
      <c r="K322" s="20" t="inlineStr">
        <is>
          <t>Non-Captive</t>
        </is>
      </c>
      <c r="L322" s="20" t="inlineStr">
        <is>
          <t>Thiya Cars</t>
        </is>
      </c>
      <c r="M322" s="23" t="n">
        <v>4237.29</v>
      </c>
    </row>
    <row r="323">
      <c r="A323" s="19" t="inlineStr">
        <is>
          <t>FY26</t>
        </is>
      </c>
      <c r="B323" s="19" t="inlineStr">
        <is>
          <t>Jan</t>
        </is>
      </c>
      <c r="C323" s="19" t="inlineStr">
        <is>
          <t>TN</t>
        </is>
      </c>
      <c r="D323" s="20" t="inlineStr">
        <is>
          <t>TN12AM7659</t>
        </is>
      </c>
      <c r="E323" s="20" t="inlineStr">
        <is>
          <t>RENAULT</t>
        </is>
      </c>
      <c r="F323" s="20" t="inlineStr">
        <is>
          <t>Kiger</t>
        </is>
      </c>
      <c r="G323" s="21" t="n">
        <v>2021</v>
      </c>
      <c r="H323" s="22" t="n">
        <v>41621</v>
      </c>
      <c r="I323" s="22" t="n">
        <v>260000</v>
      </c>
      <c r="J323" s="20" t="inlineStr">
        <is>
          <t>Lakshmi Tata</t>
        </is>
      </c>
      <c r="K323" s="20" t="inlineStr">
        <is>
          <t>Non-Captive</t>
        </is>
      </c>
      <c r="L323" s="20" t="inlineStr">
        <is>
          <t>Thiya Cars</t>
        </is>
      </c>
      <c r="M323" s="23" t="n">
        <v>4237.29</v>
      </c>
    </row>
    <row r="324">
      <c r="A324" s="19" t="inlineStr">
        <is>
          <t>FY26</t>
        </is>
      </c>
      <c r="B324" s="19" t="inlineStr">
        <is>
          <t>Jan</t>
        </is>
      </c>
      <c r="C324" s="19" t="inlineStr">
        <is>
          <t>TN</t>
        </is>
      </c>
      <c r="D324" s="20" t="inlineStr">
        <is>
          <t>TN02BC1360</t>
        </is>
      </c>
      <c r="E324" s="20" t="inlineStr">
        <is>
          <t>RENAULT</t>
        </is>
      </c>
      <c r="F324" s="20" t="inlineStr">
        <is>
          <t>Logdy</t>
        </is>
      </c>
      <c r="G324" s="21" t="n">
        <v>2015</v>
      </c>
      <c r="H324" s="22" t="n">
        <v>67756</v>
      </c>
      <c r="I324" s="22" t="n">
        <v>300000</v>
      </c>
      <c r="J324" s="20" t="inlineStr">
        <is>
          <t>Lakshmi Tata</t>
        </is>
      </c>
      <c r="K324" s="20" t="inlineStr">
        <is>
          <t>Non-Captive</t>
        </is>
      </c>
      <c r="L324" s="20" t="inlineStr">
        <is>
          <t>Thiya Cars</t>
        </is>
      </c>
      <c r="M324" s="23" t="n">
        <v>4237.29</v>
      </c>
    </row>
    <row r="325">
      <c r="A325" s="19" t="inlineStr">
        <is>
          <t>FY26</t>
        </is>
      </c>
      <c r="B325" s="19" t="inlineStr">
        <is>
          <t>Jan</t>
        </is>
      </c>
      <c r="C325" s="19" t="inlineStr">
        <is>
          <t>TN</t>
        </is>
      </c>
      <c r="D325" s="20" t="inlineStr">
        <is>
          <t>TN13E0081</t>
        </is>
      </c>
      <c r="E325" s="20" t="inlineStr">
        <is>
          <t>MARUTI SUZUKI</t>
        </is>
      </c>
      <c r="F325" s="20" t="inlineStr">
        <is>
          <t>Alto</t>
        </is>
      </c>
      <c r="G325" s="21" t="n">
        <v>2016</v>
      </c>
      <c r="H325" s="22" t="n">
        <v>44733</v>
      </c>
      <c r="I325" s="22" t="n">
        <v>150000</v>
      </c>
      <c r="J325" s="20" t="inlineStr">
        <is>
          <t>Lakshmi Tata</t>
        </is>
      </c>
      <c r="K325" s="20" t="inlineStr">
        <is>
          <t>Non-Captive</t>
        </is>
      </c>
      <c r="L325" s="20" t="inlineStr">
        <is>
          <t>Thiya Cars</t>
        </is>
      </c>
      <c r="M325" s="23" t="n">
        <v>4237.29</v>
      </c>
    </row>
    <row r="326">
      <c r="A326" s="19" t="inlineStr">
        <is>
          <t>FY26</t>
        </is>
      </c>
      <c r="B326" s="19" t="inlineStr">
        <is>
          <t>Jan</t>
        </is>
      </c>
      <c r="C326" s="19" t="inlineStr">
        <is>
          <t>TN</t>
        </is>
      </c>
      <c r="D326" s="20" t="inlineStr">
        <is>
          <t>TN12E7768</t>
        </is>
      </c>
      <c r="E326" s="20" t="inlineStr">
        <is>
          <t>HYUNDAI</t>
        </is>
      </c>
      <c r="F326" s="20" t="inlineStr">
        <is>
          <t>Grand I10</t>
        </is>
      </c>
      <c r="G326" s="21" t="n">
        <v>2014</v>
      </c>
      <c r="H326" s="22" t="n">
        <v>77642</v>
      </c>
      <c r="I326" s="22" t="n">
        <v>200000</v>
      </c>
      <c r="J326" s="20" t="inlineStr">
        <is>
          <t>Lakshmi Tata</t>
        </is>
      </c>
      <c r="K326" s="20" t="inlineStr">
        <is>
          <t>Non-Captive</t>
        </is>
      </c>
      <c r="L326" s="20" t="inlineStr">
        <is>
          <t>Thiya Cars</t>
        </is>
      </c>
      <c r="M326" s="23" t="n">
        <v>4237.29</v>
      </c>
    </row>
    <row r="327">
      <c r="A327" s="19" t="inlineStr">
        <is>
          <t>FY26</t>
        </is>
      </c>
      <c r="B327" s="19" t="inlineStr">
        <is>
          <t>Jan</t>
        </is>
      </c>
      <c r="C327" s="19" t="inlineStr">
        <is>
          <t>TN</t>
        </is>
      </c>
      <c r="D327" s="20" t="inlineStr">
        <is>
          <t>TN01U6000</t>
        </is>
      </c>
      <c r="E327" s="20" t="inlineStr">
        <is>
          <t>MARUTI SUZUKI</t>
        </is>
      </c>
      <c r="F327" s="20" t="inlineStr">
        <is>
          <t>Alto</t>
        </is>
      </c>
      <c r="G327" s="21" t="n">
        <v>1998</v>
      </c>
      <c r="H327" s="22" t="n">
        <v>73444</v>
      </c>
      <c r="I327" s="22" t="n">
        <v>25000</v>
      </c>
      <c r="J327" s="20" t="inlineStr">
        <is>
          <t>Lakshmi Tata</t>
        </is>
      </c>
      <c r="K327" s="20" t="inlineStr">
        <is>
          <t>Non-Captive</t>
        </is>
      </c>
      <c r="L327" s="20" t="inlineStr">
        <is>
          <t>Thiya Cars</t>
        </is>
      </c>
      <c r="M327" s="23" t="n">
        <v>4237.29</v>
      </c>
    </row>
    <row r="328">
      <c r="A328" s="19" t="inlineStr">
        <is>
          <t>FY26</t>
        </is>
      </c>
      <c r="B328" s="19" t="inlineStr">
        <is>
          <t>Jan</t>
        </is>
      </c>
      <c r="C328" s="19" t="inlineStr">
        <is>
          <t>TN</t>
        </is>
      </c>
      <c r="D328" s="20" t="inlineStr">
        <is>
          <t>TN22CD7366</t>
        </is>
      </c>
      <c r="E328" s="20" t="inlineStr">
        <is>
          <t>MARUTI SUZUKI</t>
        </is>
      </c>
      <c r="F328" s="20" t="inlineStr">
        <is>
          <t>Swift</t>
        </is>
      </c>
      <c r="G328" s="21" t="n">
        <v>2012</v>
      </c>
      <c r="H328" s="22" t="n">
        <v>55256</v>
      </c>
      <c r="I328" s="22" t="n">
        <v>160000</v>
      </c>
      <c r="J328" s="20" t="inlineStr">
        <is>
          <t>Lakshmi Tata</t>
        </is>
      </c>
      <c r="K328" s="20" t="inlineStr">
        <is>
          <t>Non-Captive</t>
        </is>
      </c>
      <c r="L328" s="20" t="inlineStr">
        <is>
          <t>Thiya Cars</t>
        </is>
      </c>
      <c r="M328" s="23" t="n">
        <v>4237.29</v>
      </c>
    </row>
    <row r="329">
      <c r="A329" s="19" t="inlineStr">
        <is>
          <t>FY26</t>
        </is>
      </c>
      <c r="B329" s="19" t="inlineStr">
        <is>
          <t>Jan</t>
        </is>
      </c>
      <c r="C329" s="19" t="inlineStr">
        <is>
          <t>TN</t>
        </is>
      </c>
      <c r="D329" s="20" t="inlineStr">
        <is>
          <t>TN07AL9019</t>
        </is>
      </c>
      <c r="E329" s="20" t="inlineStr">
        <is>
          <t>HONDA</t>
        </is>
      </c>
      <c r="F329" s="20" t="inlineStr">
        <is>
          <t>City</t>
        </is>
      </c>
      <c r="G329" s="21" t="n">
        <v>2007</v>
      </c>
      <c r="H329" s="22" t="n">
        <v>94292</v>
      </c>
      <c r="I329" s="22" t="n">
        <v>100000</v>
      </c>
      <c r="J329" s="20" t="inlineStr">
        <is>
          <t>Lakshmi Tata</t>
        </is>
      </c>
      <c r="K329" s="20" t="inlineStr">
        <is>
          <t>Non-Captive</t>
        </is>
      </c>
      <c r="L329" s="20" t="inlineStr">
        <is>
          <t>Thiya Cars</t>
        </is>
      </c>
      <c r="M329" s="23" t="n">
        <v>4237.29</v>
      </c>
    </row>
    <row r="330">
      <c r="A330" s="19" t="inlineStr">
        <is>
          <t>FY26</t>
        </is>
      </c>
      <c r="B330" s="19" t="inlineStr">
        <is>
          <t>Jan</t>
        </is>
      </c>
      <c r="C330" s="19" t="inlineStr">
        <is>
          <t>TN</t>
        </is>
      </c>
      <c r="D330" s="20" t="inlineStr">
        <is>
          <t>TN18P1035</t>
        </is>
      </c>
      <c r="E330" s="20" t="inlineStr">
        <is>
          <t>VOLKSWAGEN</t>
        </is>
      </c>
      <c r="F330" s="20" t="inlineStr">
        <is>
          <t>Polo</t>
        </is>
      </c>
      <c r="G330" s="21" t="n">
        <v>2012</v>
      </c>
      <c r="H330" s="22" t="n">
        <v>131005</v>
      </c>
      <c r="I330" s="22" t="n">
        <v>200000</v>
      </c>
      <c r="J330" s="20" t="inlineStr">
        <is>
          <t>Lakshmi Tata</t>
        </is>
      </c>
      <c r="K330" s="20" t="inlineStr">
        <is>
          <t>Non-Captive</t>
        </is>
      </c>
      <c r="L330" s="20" t="inlineStr">
        <is>
          <t>Thiya Cars</t>
        </is>
      </c>
      <c r="M330" s="23" t="n">
        <v>4237.29</v>
      </c>
    </row>
    <row r="331">
      <c r="A331" s="19" t="inlineStr">
        <is>
          <t>FY26</t>
        </is>
      </c>
      <c r="B331" s="19" t="inlineStr">
        <is>
          <t>Jan</t>
        </is>
      </c>
      <c r="C331" s="19" t="inlineStr">
        <is>
          <t>TN</t>
        </is>
      </c>
      <c r="D331" s="20" t="inlineStr">
        <is>
          <t>TN14W0344</t>
        </is>
      </c>
      <c r="E331" s="20" t="inlineStr">
        <is>
          <t>TATA</t>
        </is>
      </c>
      <c r="F331" s="20" t="inlineStr">
        <is>
          <t>Tiago</t>
        </is>
      </c>
      <c r="G331" s="21" t="n">
        <v>2019</v>
      </c>
      <c r="H331" s="22" t="n">
        <v>72435</v>
      </c>
      <c r="I331" s="22" t="n">
        <v>270000</v>
      </c>
      <c r="J331" s="20" t="inlineStr">
        <is>
          <t>Lakshmi Tata</t>
        </is>
      </c>
      <c r="K331" s="20" t="inlineStr">
        <is>
          <t>Non-Captive</t>
        </is>
      </c>
      <c r="L331" s="20" t="inlineStr">
        <is>
          <t>Thiya Cars</t>
        </is>
      </c>
      <c r="M331" s="23" t="n">
        <v>4237.29</v>
      </c>
    </row>
    <row r="332">
      <c r="A332" s="19" t="inlineStr">
        <is>
          <t>FY26</t>
        </is>
      </c>
      <c r="B332" s="19" t="inlineStr">
        <is>
          <t>Jan</t>
        </is>
      </c>
      <c r="C332" s="19" t="inlineStr">
        <is>
          <t>TN</t>
        </is>
      </c>
      <c r="D332" s="20" t="inlineStr">
        <is>
          <t>TN03AB1023</t>
        </is>
      </c>
      <c r="E332" s="20" t="inlineStr">
        <is>
          <t>TATA</t>
        </is>
      </c>
      <c r="F332" s="20" t="inlineStr">
        <is>
          <t>Tiago</t>
        </is>
      </c>
      <c r="G332" s="21" t="n">
        <v>2019</v>
      </c>
      <c r="H332" s="22" t="n">
        <v>116457</v>
      </c>
      <c r="I332" s="22" t="n">
        <v>260000</v>
      </c>
      <c r="J332" s="20" t="inlineStr">
        <is>
          <t>Lakshmi Tata</t>
        </is>
      </c>
      <c r="K332" s="20" t="inlineStr">
        <is>
          <t>Non-Captive</t>
        </is>
      </c>
      <c r="L332" s="20" t="inlineStr">
        <is>
          <t>Thiya Cars</t>
        </is>
      </c>
      <c r="M332" s="23" t="n">
        <v>4237.29</v>
      </c>
    </row>
    <row r="333">
      <c r="A333" s="19" t="inlineStr">
        <is>
          <t>FY26</t>
        </is>
      </c>
      <c r="B333" s="19" t="inlineStr">
        <is>
          <t>Jan</t>
        </is>
      </c>
      <c r="C333" s="19" t="inlineStr">
        <is>
          <t>TN</t>
        </is>
      </c>
      <c r="D333" s="20" t="inlineStr">
        <is>
          <t>TN11U5393</t>
        </is>
      </c>
      <c r="E333" s="20" t="inlineStr">
        <is>
          <t>MARUTI SUZUKI</t>
        </is>
      </c>
      <c r="F333" s="20" t="inlineStr">
        <is>
          <t>Celerio</t>
        </is>
      </c>
      <c r="G333" s="21" t="n">
        <v>2016</v>
      </c>
      <c r="H333" s="22" t="n">
        <v>81088</v>
      </c>
      <c r="I333" s="22" t="n">
        <v>200000</v>
      </c>
      <c r="J333" s="20" t="inlineStr">
        <is>
          <t>VISHNU CARS PRIVATE LIMITED</t>
        </is>
      </c>
      <c r="K333" s="20" t="inlineStr">
        <is>
          <t>Non-Captive</t>
        </is>
      </c>
      <c r="L333" s="20" t="inlineStr">
        <is>
          <t>Thiya Cars</t>
        </is>
      </c>
      <c r="M333" s="23" t="n">
        <v>4237.29</v>
      </c>
    </row>
    <row r="334">
      <c r="A334" s="19" t="inlineStr">
        <is>
          <t>FY26</t>
        </is>
      </c>
      <c r="B334" s="19" t="inlineStr">
        <is>
          <t>Jan</t>
        </is>
      </c>
      <c r="C334" s="19" t="inlineStr">
        <is>
          <t>TN</t>
        </is>
      </c>
      <c r="D334" s="20" t="inlineStr">
        <is>
          <t>TN09BM0228</t>
        </is>
      </c>
      <c r="E334" s="20" t="inlineStr">
        <is>
          <t>MARUTI SUZUKI</t>
        </is>
      </c>
      <c r="F334" s="20" t="inlineStr">
        <is>
          <t>Swift</t>
        </is>
      </c>
      <c r="G334" s="21" t="n">
        <v>2011</v>
      </c>
      <c r="H334" s="22" t="n">
        <v>174000</v>
      </c>
      <c r="I334" s="22" t="n">
        <v>185000</v>
      </c>
      <c r="J334" s="20" t="inlineStr">
        <is>
          <t>Khivraj Motor</t>
        </is>
      </c>
      <c r="K334" s="20" t="inlineStr">
        <is>
          <t>Non-Captive</t>
        </is>
      </c>
      <c r="L334" s="20" t="inlineStr">
        <is>
          <t>Balakrishnan</t>
        </is>
      </c>
      <c r="M334" s="23" t="n">
        <v>5084.75</v>
      </c>
    </row>
    <row r="335">
      <c r="A335" s="19" t="inlineStr">
        <is>
          <t>FY26</t>
        </is>
      </c>
      <c r="B335" s="19" t="inlineStr">
        <is>
          <t>Jan</t>
        </is>
      </c>
      <c r="C335" s="19" t="inlineStr">
        <is>
          <t>TN</t>
        </is>
      </c>
      <c r="D335" s="20" t="inlineStr">
        <is>
          <t>TN30BL266</t>
        </is>
      </c>
      <c r="E335" s="20" t="inlineStr">
        <is>
          <t>MARUTI SUZUKI</t>
        </is>
      </c>
      <c r="F335" s="20" t="inlineStr">
        <is>
          <t>S-Cross</t>
        </is>
      </c>
      <c r="G335" s="21" t="n"/>
      <c r="H335" s="22" t="n"/>
      <c r="I335" s="22" t="n">
        <v>485000</v>
      </c>
      <c r="J335" s="20" t="inlineStr">
        <is>
          <t>Khivraj Motor</t>
        </is>
      </c>
      <c r="K335" s="20" t="inlineStr">
        <is>
          <t>Non-Captive</t>
        </is>
      </c>
      <c r="L335" s="20" t="inlineStr">
        <is>
          <t>Balakrishnan</t>
        </is>
      </c>
      <c r="M335" s="23" t="n">
        <v>5084.75</v>
      </c>
    </row>
    <row r="336">
      <c r="A336" s="19" t="inlineStr">
        <is>
          <t>FY26</t>
        </is>
      </c>
      <c r="B336" s="19" t="inlineStr">
        <is>
          <t>Jan</t>
        </is>
      </c>
      <c r="C336" s="19" t="inlineStr">
        <is>
          <t>TN</t>
        </is>
      </c>
      <c r="D336" s="20" t="inlineStr">
        <is>
          <t>TN09BA4646</t>
        </is>
      </c>
      <c r="E336" s="20" t="inlineStr">
        <is>
          <t>MARUTI SUZUKI</t>
        </is>
      </c>
      <c r="F336" s="20" t="inlineStr">
        <is>
          <t>Zen</t>
        </is>
      </c>
      <c r="G336" s="21" t="n">
        <v>2009</v>
      </c>
      <c r="H336" s="22" t="n">
        <v>82508</v>
      </c>
      <c r="I336" s="22" t="n">
        <v>90000</v>
      </c>
      <c r="J336" s="20" t="inlineStr">
        <is>
          <t>Khivraj Motor</t>
        </is>
      </c>
      <c r="K336" s="20" t="inlineStr">
        <is>
          <t>Non-Captive</t>
        </is>
      </c>
      <c r="L336" s="20" t="inlineStr">
        <is>
          <t>AAA Cars</t>
        </is>
      </c>
      <c r="M336" s="23" t="n">
        <v>5084.75</v>
      </c>
    </row>
    <row r="337">
      <c r="A337" s="19" t="inlineStr">
        <is>
          <t>FY26</t>
        </is>
      </c>
      <c r="B337" s="19" t="inlineStr">
        <is>
          <t>Jan</t>
        </is>
      </c>
      <c r="C337" s="19" t="inlineStr">
        <is>
          <t>TN</t>
        </is>
      </c>
      <c r="D337" s="20" t="inlineStr">
        <is>
          <t>TN01BB5113</t>
        </is>
      </c>
      <c r="E337" s="20" t="inlineStr">
        <is>
          <t>HYUNDAI</t>
        </is>
      </c>
      <c r="F337" s="20" t="inlineStr">
        <is>
          <t>Creta</t>
        </is>
      </c>
      <c r="G337" s="21" t="n">
        <v>2016</v>
      </c>
      <c r="H337" s="22" t="n">
        <v>67577</v>
      </c>
      <c r="I337" s="22" t="n">
        <v>465000</v>
      </c>
      <c r="J337" s="20" t="inlineStr">
        <is>
          <t>Khivraj Motor</t>
        </is>
      </c>
      <c r="K337" s="20" t="inlineStr">
        <is>
          <t>Non-Captive</t>
        </is>
      </c>
      <c r="L337" s="20" t="inlineStr">
        <is>
          <t>Aasim Motor</t>
        </is>
      </c>
      <c r="M337" s="23" t="n">
        <v>5084.75</v>
      </c>
    </row>
    <row r="338">
      <c r="A338" s="19" t="inlineStr">
        <is>
          <t>FY26</t>
        </is>
      </c>
      <c r="B338" s="19" t="inlineStr">
        <is>
          <t>Jan</t>
        </is>
      </c>
      <c r="C338" s="19" t="inlineStr">
        <is>
          <t>TN</t>
        </is>
      </c>
      <c r="D338" s="20" t="inlineStr">
        <is>
          <t>TN01AQ1698</t>
        </is>
      </c>
      <c r="E338" s="20" t="inlineStr">
        <is>
          <t>MARUTI SUZUKI</t>
        </is>
      </c>
      <c r="F338" s="20" t="inlineStr">
        <is>
          <t>Swift Dzire</t>
        </is>
      </c>
      <c r="G338" s="21" t="n">
        <v>2011</v>
      </c>
      <c r="H338" s="22" t="n">
        <v>65103</v>
      </c>
      <c r="I338" s="22" t="n">
        <v>173000</v>
      </c>
      <c r="J338" s="20" t="inlineStr">
        <is>
          <t>Khivraj Motor</t>
        </is>
      </c>
      <c r="K338" s="20" t="inlineStr">
        <is>
          <t>Non-Captive</t>
        </is>
      </c>
      <c r="L338" s="20" t="inlineStr">
        <is>
          <t>Surendhar Cars</t>
        </is>
      </c>
      <c r="M338" s="23" t="n">
        <v>5084.75</v>
      </c>
    </row>
    <row r="339">
      <c r="A339" s="19" t="inlineStr">
        <is>
          <t>FY26</t>
        </is>
      </c>
      <c r="B339" s="19" t="inlineStr">
        <is>
          <t>Jan</t>
        </is>
      </c>
      <c r="C339" s="19" t="inlineStr">
        <is>
          <t>TN</t>
        </is>
      </c>
      <c r="D339" s="20" t="inlineStr">
        <is>
          <t>TN09CT3233</t>
        </is>
      </c>
      <c r="E339" s="20" t="inlineStr">
        <is>
          <t>HYUNDAI</t>
        </is>
      </c>
      <c r="F339" s="20" t="inlineStr">
        <is>
          <t>Creta</t>
        </is>
      </c>
      <c r="G339" s="21" t="n">
        <v>2019</v>
      </c>
      <c r="H339" s="22" t="n">
        <v>44563</v>
      </c>
      <c r="I339" s="22" t="n">
        <v>530000</v>
      </c>
      <c r="J339" s="20" t="inlineStr">
        <is>
          <t>Harsha</t>
        </is>
      </c>
      <c r="K339" s="20" t="inlineStr">
        <is>
          <t>Non-Captive</t>
        </is>
      </c>
      <c r="L339" s="20" t="inlineStr">
        <is>
          <t>Pine Autos</t>
        </is>
      </c>
      <c r="M339" s="23" t="n">
        <v>5508.47</v>
      </c>
    </row>
    <row r="340">
      <c r="A340" s="19" t="inlineStr">
        <is>
          <t>FY26</t>
        </is>
      </c>
      <c r="B340" s="19" t="inlineStr">
        <is>
          <t>Jan</t>
        </is>
      </c>
      <c r="C340" s="19" t="inlineStr">
        <is>
          <t>TN</t>
        </is>
      </c>
      <c r="D340" s="20" t="inlineStr">
        <is>
          <t>KL04AG5541</t>
        </is>
      </c>
      <c r="E340" s="20" t="inlineStr">
        <is>
          <t>MARUTI SUZUKI</t>
        </is>
      </c>
      <c r="F340" s="20" t="inlineStr">
        <is>
          <t>Ritz</t>
        </is>
      </c>
      <c r="G340" s="21" t="n"/>
      <c r="H340" s="22" t="n"/>
      <c r="I340" s="22" t="n">
        <v>210000</v>
      </c>
      <c r="J340" s="20" t="inlineStr">
        <is>
          <t>Nippon Motor Corporation Pvt Ltd</t>
        </is>
      </c>
      <c r="K340" s="20" t="inlineStr">
        <is>
          <t>Non-Captive</t>
        </is>
      </c>
      <c r="L340" s="20" t="inlineStr">
        <is>
          <t>Shamnad AH</t>
        </is>
      </c>
      <c r="M340" s="23" t="n">
        <v>5932.2</v>
      </c>
    </row>
    <row r="341">
      <c r="A341" s="19" t="inlineStr">
        <is>
          <t>FY26</t>
        </is>
      </c>
      <c r="B341" s="19" t="inlineStr">
        <is>
          <t>Jan</t>
        </is>
      </c>
      <c r="C341" s="19" t="inlineStr">
        <is>
          <t>TN</t>
        </is>
      </c>
      <c r="D341" s="20" t="inlineStr">
        <is>
          <t>TN01BP4170</t>
        </is>
      </c>
      <c r="E341" s="20" t="inlineStr">
        <is>
          <t>HYUNDAI</t>
        </is>
      </c>
      <c r="F341" s="20" t="inlineStr">
        <is>
          <t>Aura</t>
        </is>
      </c>
      <c r="G341" s="21" t="n">
        <v>2022</v>
      </c>
      <c r="H341" s="22" t="n">
        <v>1974</v>
      </c>
      <c r="I341" s="22" t="n">
        <v>620000</v>
      </c>
      <c r="J341" s="20" t="inlineStr">
        <is>
          <t>Avis India</t>
        </is>
      </c>
      <c r="K341" s="20" t="inlineStr">
        <is>
          <t>Non-Captive</t>
        </is>
      </c>
      <c r="L341" s="20" t="inlineStr">
        <is>
          <t>Nirmal Cars</t>
        </is>
      </c>
      <c r="M341" s="23" t="n">
        <v>12711.86</v>
      </c>
    </row>
    <row r="342">
      <c r="A342" s="19" t="inlineStr">
        <is>
          <t>FY26</t>
        </is>
      </c>
      <c r="B342" s="19" t="inlineStr">
        <is>
          <t>Jan</t>
        </is>
      </c>
      <c r="C342" s="19" t="inlineStr">
        <is>
          <t>TN</t>
        </is>
      </c>
      <c r="D342" s="20" t="inlineStr">
        <is>
          <t>TN38CB0766</t>
        </is>
      </c>
      <c r="E342" s="20" t="inlineStr">
        <is>
          <t>HONDA</t>
        </is>
      </c>
      <c r="F342" s="20" t="inlineStr">
        <is>
          <t>Amaze</t>
        </is>
      </c>
      <c r="G342" s="21" t="n">
        <v>2015</v>
      </c>
      <c r="H342" s="22" t="n">
        <v>65500</v>
      </c>
      <c r="I342" s="22" t="n">
        <v>190000</v>
      </c>
      <c r="J342" s="20" t="inlineStr">
        <is>
          <t>Sai Cars CBE</t>
        </is>
      </c>
      <c r="K342" s="20" t="inlineStr">
        <is>
          <t>Non-Captive</t>
        </is>
      </c>
      <c r="L342" s="20" t="inlineStr">
        <is>
          <t>KSM AUTO CONSULTING</t>
        </is>
      </c>
      <c r="M342" s="23" t="n">
        <v>4237.29</v>
      </c>
    </row>
    <row r="343">
      <c r="A343" s="19" t="inlineStr">
        <is>
          <t>FY26</t>
        </is>
      </c>
      <c r="B343" s="19" t="inlineStr">
        <is>
          <t>Jan</t>
        </is>
      </c>
      <c r="C343" s="19" t="inlineStr">
        <is>
          <t>TN</t>
        </is>
      </c>
      <c r="D343" s="20" t="inlineStr">
        <is>
          <t>TN01AC1548</t>
        </is>
      </c>
      <c r="E343" s="20" t="inlineStr">
        <is>
          <t>TATA</t>
        </is>
      </c>
      <c r="F343" s="20" t="inlineStr">
        <is>
          <t>Indica</t>
        </is>
      </c>
      <c r="G343" s="21" t="n">
        <v>2006</v>
      </c>
      <c r="H343" s="22" t="n">
        <v>160671</v>
      </c>
      <c r="I343" s="22" t="n">
        <v>60000</v>
      </c>
      <c r="J343" s="20" t="inlineStr">
        <is>
          <t>Sai Cars CBE</t>
        </is>
      </c>
      <c r="K343" s="20" t="inlineStr">
        <is>
          <t>Non-Captive</t>
        </is>
      </c>
      <c r="L343" s="20" t="inlineStr">
        <is>
          <t>KSM AUTO CONSULTING</t>
        </is>
      </c>
      <c r="M343" s="23" t="n">
        <v>4237.29</v>
      </c>
    </row>
    <row r="344">
      <c r="A344" s="19" t="inlineStr">
        <is>
          <t>FY26</t>
        </is>
      </c>
      <c r="B344" s="19" t="inlineStr">
        <is>
          <t>Jan</t>
        </is>
      </c>
      <c r="C344" s="19" t="inlineStr">
        <is>
          <t>TN</t>
        </is>
      </c>
      <c r="D344" s="20" t="inlineStr">
        <is>
          <t>TN05AS2905</t>
        </is>
      </c>
      <c r="E344" s="20" t="inlineStr">
        <is>
          <t>TOYOTA</t>
        </is>
      </c>
      <c r="F344" s="20" t="inlineStr">
        <is>
          <t>Etios</t>
        </is>
      </c>
      <c r="G344" s="21" t="n">
        <v>2013</v>
      </c>
      <c r="H344" s="22" t="n">
        <v>83523</v>
      </c>
      <c r="I344" s="22" t="n">
        <v>180000</v>
      </c>
      <c r="J344" s="20" t="inlineStr">
        <is>
          <t>Sai Cars CBE</t>
        </is>
      </c>
      <c r="K344" s="20" t="inlineStr">
        <is>
          <t>Non-Captive</t>
        </is>
      </c>
      <c r="L344" s="20" t="inlineStr">
        <is>
          <t>YUGA DHEERAN CARS</t>
        </is>
      </c>
      <c r="M344" s="23" t="n">
        <v>4237.29</v>
      </c>
    </row>
    <row r="345">
      <c r="A345" s="19" t="inlineStr">
        <is>
          <t>FY26</t>
        </is>
      </c>
      <c r="B345" s="19" t="inlineStr">
        <is>
          <t>Jan</t>
        </is>
      </c>
      <c r="C345" s="19" t="inlineStr">
        <is>
          <t>TN</t>
        </is>
      </c>
      <c r="D345" s="20" t="inlineStr">
        <is>
          <t>TN38BZ6252</t>
        </is>
      </c>
      <c r="E345" s="20" t="inlineStr">
        <is>
          <t>MARUTI SUZUKI</t>
        </is>
      </c>
      <c r="F345" s="20" t="inlineStr">
        <is>
          <t>Alto K10</t>
        </is>
      </c>
      <c r="G345" s="21" t="n">
        <v>2014</v>
      </c>
      <c r="H345" s="22" t="n">
        <v>102682</v>
      </c>
      <c r="I345" s="22" t="n">
        <v>170000</v>
      </c>
      <c r="J345" s="20" t="inlineStr">
        <is>
          <t>EXCHANGE ROTN</t>
        </is>
      </c>
      <c r="K345" s="20" t="inlineStr">
        <is>
          <t>Captive</t>
        </is>
      </c>
      <c r="L345" s="20" t="inlineStr">
        <is>
          <t>UZHAVAN ENTERPRISE</t>
        </is>
      </c>
      <c r="M345" s="23" t="n">
        <v>4237.29</v>
      </c>
    </row>
    <row r="346">
      <c r="A346" s="19" t="inlineStr">
        <is>
          <t>FY26</t>
        </is>
      </c>
      <c r="B346" s="19" t="inlineStr">
        <is>
          <t>Jan</t>
        </is>
      </c>
      <c r="C346" s="19" t="inlineStr">
        <is>
          <t>TN</t>
        </is>
      </c>
      <c r="D346" s="20" t="inlineStr">
        <is>
          <t>TN07BU5814</t>
        </is>
      </c>
      <c r="E346" s="20" t="inlineStr">
        <is>
          <t>MARUTI SUZUKI</t>
        </is>
      </c>
      <c r="F346" s="20" t="inlineStr">
        <is>
          <t>Wagon R</t>
        </is>
      </c>
      <c r="G346" s="21" t="n">
        <v>2013</v>
      </c>
      <c r="H346" s="22" t="n">
        <v>22988</v>
      </c>
      <c r="I346" s="22" t="n">
        <v>205000</v>
      </c>
      <c r="J346" s="20" t="inlineStr">
        <is>
          <t>Sai Cars CBE</t>
        </is>
      </c>
      <c r="K346" s="20" t="inlineStr">
        <is>
          <t>Non-Captive</t>
        </is>
      </c>
      <c r="L346" s="20" t="inlineStr">
        <is>
          <t>SIVASHANKAR CARS</t>
        </is>
      </c>
      <c r="M346" s="23" t="n">
        <v>4237.29</v>
      </c>
    </row>
    <row r="347">
      <c r="A347" s="19" t="inlineStr">
        <is>
          <t>FY26</t>
        </is>
      </c>
      <c r="B347" s="19" t="inlineStr">
        <is>
          <t>Jan</t>
        </is>
      </c>
      <c r="C347" s="19" t="inlineStr">
        <is>
          <t>TN</t>
        </is>
      </c>
      <c r="D347" s="20" t="inlineStr">
        <is>
          <t>TN38CT0789</t>
        </is>
      </c>
      <c r="E347" s="20" t="inlineStr">
        <is>
          <t>MARUTI SUZUKI</t>
        </is>
      </c>
      <c r="F347" s="20" t="inlineStr">
        <is>
          <t>Celerio</t>
        </is>
      </c>
      <c r="G347" s="21" t="n">
        <v>2019</v>
      </c>
      <c r="H347" s="22" t="n">
        <v>46670</v>
      </c>
      <c r="I347" s="22" t="n">
        <v>210000</v>
      </c>
      <c r="J347" s="20" t="inlineStr">
        <is>
          <t>EXCHANGE ROTN</t>
        </is>
      </c>
      <c r="K347" s="20" t="inlineStr">
        <is>
          <t>Captive</t>
        </is>
      </c>
      <c r="L347" s="20" t="inlineStr">
        <is>
          <t>9 MILES CARZ</t>
        </is>
      </c>
      <c r="M347" s="23" t="n">
        <v>4237.29</v>
      </c>
    </row>
    <row r="348">
      <c r="A348" s="19" t="inlineStr">
        <is>
          <t>FY26</t>
        </is>
      </c>
      <c r="B348" s="19" t="inlineStr">
        <is>
          <t>Jan</t>
        </is>
      </c>
      <c r="C348" s="19" t="inlineStr">
        <is>
          <t>TN</t>
        </is>
      </c>
      <c r="D348" s="20" t="inlineStr">
        <is>
          <t>KA53MA6163</t>
        </is>
      </c>
      <c r="E348" s="20" t="inlineStr">
        <is>
          <t>HYUNDAI</t>
        </is>
      </c>
      <c r="F348" s="20" t="inlineStr">
        <is>
          <t>I10</t>
        </is>
      </c>
      <c r="G348" s="21" t="n">
        <v>2013</v>
      </c>
      <c r="H348" s="22" t="n">
        <v>130298</v>
      </c>
      <c r="I348" s="22" t="n">
        <v>150000</v>
      </c>
      <c r="J348" s="20" t="inlineStr">
        <is>
          <t>DINDIGUL VALUE CAR</t>
        </is>
      </c>
      <c r="K348" s="20" t="inlineStr">
        <is>
          <t>Non-Captive</t>
        </is>
      </c>
      <c r="L348" s="20" t="inlineStr">
        <is>
          <t>9 MILES CARZ</t>
        </is>
      </c>
      <c r="M348" s="23" t="n">
        <v>4237.29</v>
      </c>
    </row>
    <row r="349">
      <c r="A349" s="19" t="inlineStr">
        <is>
          <t>FY26</t>
        </is>
      </c>
      <c r="B349" s="19" t="inlineStr">
        <is>
          <t>Jan</t>
        </is>
      </c>
      <c r="C349" s="19" t="inlineStr">
        <is>
          <t>TN</t>
        </is>
      </c>
      <c r="D349" s="20" t="inlineStr">
        <is>
          <t>TN38CB2589</t>
        </is>
      </c>
      <c r="E349" s="20" t="inlineStr">
        <is>
          <t>HYUNDAI</t>
        </is>
      </c>
      <c r="F349" s="20" t="inlineStr">
        <is>
          <t>Grand I10</t>
        </is>
      </c>
      <c r="G349" s="21" t="n">
        <v>2015</v>
      </c>
      <c r="H349" s="22" t="n">
        <v>54895</v>
      </c>
      <c r="I349" s="22" t="n">
        <v>190000</v>
      </c>
      <c r="J349" s="20" t="inlineStr">
        <is>
          <t>Sai Cars CBE</t>
        </is>
      </c>
      <c r="K349" s="20" t="inlineStr">
        <is>
          <t>Non-Captive</t>
        </is>
      </c>
      <c r="L349" s="20" t="inlineStr">
        <is>
          <t>Dheera Cars</t>
        </is>
      </c>
      <c r="M349" s="23" t="n">
        <v>4237.29</v>
      </c>
    </row>
    <row r="350">
      <c r="A350" s="19" t="inlineStr">
        <is>
          <t>FY26</t>
        </is>
      </c>
      <c r="B350" s="19" t="inlineStr">
        <is>
          <t>Jan</t>
        </is>
      </c>
      <c r="C350" s="19" t="inlineStr">
        <is>
          <t>TN</t>
        </is>
      </c>
      <c r="D350" s="20" t="inlineStr">
        <is>
          <t>TN91W8213</t>
        </is>
      </c>
      <c r="E350" s="20" t="inlineStr">
        <is>
          <t>MARUTI SUZUKI</t>
        </is>
      </c>
      <c r="F350" s="20" t="inlineStr">
        <is>
          <t>Alto</t>
        </is>
      </c>
      <c r="G350" s="21" t="n">
        <v>2018</v>
      </c>
      <c r="H350" s="22" t="n">
        <v>25663</v>
      </c>
      <c r="I350" s="22" t="n">
        <v>210000</v>
      </c>
      <c r="J350" s="20" t="inlineStr">
        <is>
          <t>Sai Cars CBE</t>
        </is>
      </c>
      <c r="K350" s="20" t="inlineStr">
        <is>
          <t>Non-Captive</t>
        </is>
      </c>
      <c r="L350" s="20" t="inlineStr">
        <is>
          <t>Dheera Cars</t>
        </is>
      </c>
      <c r="M350" s="23" t="n">
        <v>4237.29</v>
      </c>
    </row>
    <row r="351">
      <c r="A351" s="19" t="inlineStr">
        <is>
          <t>FY26</t>
        </is>
      </c>
      <c r="B351" s="19" t="inlineStr">
        <is>
          <t>Jan</t>
        </is>
      </c>
      <c r="C351" s="19" t="inlineStr">
        <is>
          <t>TN</t>
        </is>
      </c>
      <c r="D351" s="20" t="inlineStr">
        <is>
          <t>TN38BV1258</t>
        </is>
      </c>
      <c r="E351" s="20" t="inlineStr">
        <is>
          <t>FORD</t>
        </is>
      </c>
      <c r="F351" s="20" t="inlineStr">
        <is>
          <t>Figo</t>
        </is>
      </c>
      <c r="G351" s="21" t="n">
        <v>2013</v>
      </c>
      <c r="H351" s="22" t="n">
        <v>11589</v>
      </c>
      <c r="I351" s="22" t="n">
        <v>130000</v>
      </c>
      <c r="J351" s="20" t="inlineStr">
        <is>
          <t>Sai Cars CBE</t>
        </is>
      </c>
      <c r="K351" s="20" t="inlineStr">
        <is>
          <t>Non-Captive</t>
        </is>
      </c>
      <c r="L351" s="20" t="inlineStr">
        <is>
          <t>Dheera Cars</t>
        </is>
      </c>
      <c r="M351" s="23" t="n">
        <v>4237.29</v>
      </c>
    </row>
    <row r="352">
      <c r="A352" s="19" t="inlineStr">
        <is>
          <t>FY26</t>
        </is>
      </c>
      <c r="B352" s="19" t="inlineStr">
        <is>
          <t>Jan</t>
        </is>
      </c>
      <c r="C352" s="19" t="inlineStr">
        <is>
          <t>TN</t>
        </is>
      </c>
      <c r="D352" s="20" t="inlineStr">
        <is>
          <t>TN09BK9082</t>
        </is>
      </c>
      <c r="E352" s="20" t="inlineStr">
        <is>
          <t>HYUNDAI</t>
        </is>
      </c>
      <c r="F352" s="20" t="inlineStr">
        <is>
          <t>I10</t>
        </is>
      </c>
      <c r="G352" s="21" t="n">
        <v>2011</v>
      </c>
      <c r="H352" s="22" t="n">
        <v>89684</v>
      </c>
      <c r="I352" s="22" t="n">
        <v>115000</v>
      </c>
      <c r="J352" s="20" t="inlineStr">
        <is>
          <t>Sai Cars CBE</t>
        </is>
      </c>
      <c r="K352" s="20" t="inlineStr">
        <is>
          <t>Non-Captive</t>
        </is>
      </c>
      <c r="L352" s="20" t="inlineStr">
        <is>
          <t>Dheera Cars</t>
        </is>
      </c>
      <c r="M352" s="23" t="n">
        <v>4237.29</v>
      </c>
    </row>
    <row r="353">
      <c r="A353" s="19" t="inlineStr">
        <is>
          <t>FY26</t>
        </is>
      </c>
      <c r="B353" s="19" t="inlineStr">
        <is>
          <t>Jan</t>
        </is>
      </c>
      <c r="C353" s="19" t="inlineStr">
        <is>
          <t>TN</t>
        </is>
      </c>
      <c r="D353" s="20" t="inlineStr">
        <is>
          <t>TN40F5299</t>
        </is>
      </c>
      <c r="E353" s="20" t="inlineStr">
        <is>
          <t>CHEVROLET</t>
        </is>
      </c>
      <c r="F353" s="20" t="inlineStr">
        <is>
          <t>Beat</t>
        </is>
      </c>
      <c r="G353" s="21" t="n">
        <v>2011</v>
      </c>
      <c r="H353" s="22" t="n">
        <v>55988</v>
      </c>
      <c r="I353" s="22" t="n">
        <v>90000</v>
      </c>
      <c r="J353" s="20" t="inlineStr">
        <is>
          <t>Sai Cars CBE</t>
        </is>
      </c>
      <c r="K353" s="20" t="inlineStr">
        <is>
          <t>Non-Captive</t>
        </is>
      </c>
      <c r="L353" s="20" t="inlineStr">
        <is>
          <t>SUN CARS</t>
        </is>
      </c>
      <c r="M353" s="23" t="n">
        <v>4237.29</v>
      </c>
    </row>
    <row r="354">
      <c r="A354" s="19" t="inlineStr">
        <is>
          <t>FY26</t>
        </is>
      </c>
      <c r="B354" s="19" t="inlineStr">
        <is>
          <t>Jan</t>
        </is>
      </c>
      <c r="C354" s="19" t="inlineStr">
        <is>
          <t>TN</t>
        </is>
      </c>
      <c r="D354" s="20" t="inlineStr">
        <is>
          <t>TN38BP2912</t>
        </is>
      </c>
      <c r="E354" s="20" t="inlineStr">
        <is>
          <t>HYUNDAI</t>
        </is>
      </c>
      <c r="F354" s="20" t="inlineStr">
        <is>
          <t>I20</t>
        </is>
      </c>
      <c r="G354" s="21" t="n">
        <v>2012</v>
      </c>
      <c r="H354" s="22" t="n">
        <v>66589</v>
      </c>
      <c r="I354" s="22" t="n">
        <v>210000</v>
      </c>
      <c r="J354" s="20" t="inlineStr">
        <is>
          <t>Sai Cars CBE</t>
        </is>
      </c>
      <c r="K354" s="20" t="inlineStr">
        <is>
          <t>Non-Captive</t>
        </is>
      </c>
      <c r="L354" s="20" t="inlineStr">
        <is>
          <t>GOWTHAM CARS</t>
        </is>
      </c>
      <c r="M354" s="23" t="n">
        <v>4237.29</v>
      </c>
    </row>
    <row r="355">
      <c r="A355" s="19" t="inlineStr">
        <is>
          <t>FY26</t>
        </is>
      </c>
      <c r="B355" s="19" t="inlineStr">
        <is>
          <t>Jan</t>
        </is>
      </c>
      <c r="C355" s="19" t="inlineStr">
        <is>
          <t>TN</t>
        </is>
      </c>
      <c r="D355" s="20" t="inlineStr">
        <is>
          <t>TN41AQ1431</t>
        </is>
      </c>
      <c r="E355" s="20" t="inlineStr">
        <is>
          <t>MARUTI SUZUKI</t>
        </is>
      </c>
      <c r="F355" s="20" t="inlineStr">
        <is>
          <t>Wagon R</t>
        </is>
      </c>
      <c r="G355" s="21" t="n">
        <v>2016</v>
      </c>
      <c r="H355" s="22" t="n">
        <v>33598</v>
      </c>
      <c r="I355" s="22" t="n">
        <v>220000</v>
      </c>
      <c r="J355" s="20" t="inlineStr">
        <is>
          <t>Sai Cars CBE</t>
        </is>
      </c>
      <c r="K355" s="20" t="inlineStr">
        <is>
          <t>Non-Captive</t>
        </is>
      </c>
      <c r="L355" s="20" t="inlineStr">
        <is>
          <t>GOWTHAM CARS</t>
        </is>
      </c>
      <c r="M355" s="23" t="n">
        <v>4237.29</v>
      </c>
    </row>
    <row r="356">
      <c r="A356" s="19" t="inlineStr">
        <is>
          <t>FY26</t>
        </is>
      </c>
      <c r="B356" s="19" t="inlineStr">
        <is>
          <t>Jan</t>
        </is>
      </c>
      <c r="C356" s="19" t="inlineStr">
        <is>
          <t>TN</t>
        </is>
      </c>
      <c r="D356" s="20" t="inlineStr">
        <is>
          <t>TN60J9777</t>
        </is>
      </c>
      <c r="E356" s="20" t="inlineStr">
        <is>
          <t>NISSAN</t>
        </is>
      </c>
      <c r="F356" s="20" t="inlineStr">
        <is>
          <t>Sunny</t>
        </is>
      </c>
      <c r="G356" s="21" t="n">
        <v>2012</v>
      </c>
      <c r="H356" s="22" t="n">
        <v>28596</v>
      </c>
      <c r="I356" s="22" t="n">
        <v>175000</v>
      </c>
      <c r="J356" s="20" t="inlineStr">
        <is>
          <t>Sai Cars CBE</t>
        </is>
      </c>
      <c r="K356" s="20" t="inlineStr">
        <is>
          <t>Non-Captive</t>
        </is>
      </c>
      <c r="L356" s="20" t="inlineStr">
        <is>
          <t>GOWTHAM CARS</t>
        </is>
      </c>
      <c r="M356" s="23" t="n">
        <v>4237.29</v>
      </c>
    </row>
    <row r="357">
      <c r="A357" s="19" t="inlineStr">
        <is>
          <t>FY26</t>
        </is>
      </c>
      <c r="B357" s="19" t="inlineStr">
        <is>
          <t>Jan</t>
        </is>
      </c>
      <c r="C357" s="19" t="inlineStr">
        <is>
          <t>TN</t>
        </is>
      </c>
      <c r="D357" s="20" t="inlineStr">
        <is>
          <t>TN38CM2619</t>
        </is>
      </c>
      <c r="E357" s="20" t="inlineStr">
        <is>
          <t>HONDA</t>
        </is>
      </c>
      <c r="F357" s="20" t="inlineStr">
        <is>
          <t>Brio</t>
        </is>
      </c>
      <c r="G357" s="21" t="n">
        <v>2017</v>
      </c>
      <c r="H357" s="22" t="n">
        <v>101949</v>
      </c>
      <c r="I357" s="22" t="n">
        <v>250000</v>
      </c>
      <c r="J357" s="20" t="inlineStr">
        <is>
          <t>EXCHANGE ROTN</t>
        </is>
      </c>
      <c r="K357" s="20" t="inlineStr">
        <is>
          <t>Captive</t>
        </is>
      </c>
      <c r="L357" s="20" t="inlineStr">
        <is>
          <t>UZHAVAN ENTERPRISE</t>
        </is>
      </c>
      <c r="M357" s="23" t="n">
        <v>8474.58</v>
      </c>
    </row>
    <row r="358">
      <c r="A358" s="19" t="inlineStr">
        <is>
          <t>FY26</t>
        </is>
      </c>
      <c r="B358" s="19" t="inlineStr">
        <is>
          <t>Jan</t>
        </is>
      </c>
      <c r="C358" s="19" t="inlineStr">
        <is>
          <t>TN</t>
        </is>
      </c>
      <c r="D358" s="20" t="inlineStr">
        <is>
          <t>TN47AD6273</t>
        </is>
      </c>
      <c r="E358" s="20" t="inlineStr">
        <is>
          <t>HYUNDAI</t>
        </is>
      </c>
      <c r="F358" s="20" t="inlineStr">
        <is>
          <t>I20</t>
        </is>
      </c>
      <c r="G358" s="21" t="n">
        <v>2013</v>
      </c>
      <c r="H358" s="22" t="n">
        <v>173495</v>
      </c>
      <c r="I358" s="22" t="n">
        <v>250000</v>
      </c>
      <c r="J358" s="20" t="inlineStr">
        <is>
          <t>EXCHANGE ROTN</t>
        </is>
      </c>
      <c r="K358" s="20" t="inlineStr">
        <is>
          <t>Captive</t>
        </is>
      </c>
      <c r="L358" s="20" t="inlineStr">
        <is>
          <t>SAI CARS</t>
        </is>
      </c>
      <c r="M358" s="23" t="n">
        <v>4237.29</v>
      </c>
    </row>
    <row r="359">
      <c r="A359" s="19" t="inlineStr">
        <is>
          <t>FY26</t>
        </is>
      </c>
      <c r="B359" s="19" t="inlineStr">
        <is>
          <t>Jan</t>
        </is>
      </c>
      <c r="C359" s="19" t="inlineStr">
        <is>
          <t>TN</t>
        </is>
      </c>
      <c r="D359" s="20" t="inlineStr">
        <is>
          <t>TN01AW2332</t>
        </is>
      </c>
      <c r="E359" s="20" t="inlineStr">
        <is>
          <t>TOYOTA</t>
        </is>
      </c>
      <c r="F359" s="20" t="inlineStr">
        <is>
          <t>Corolla</t>
        </is>
      </c>
      <c r="G359" s="21" t="n">
        <v>2010</v>
      </c>
      <c r="H359" s="22" t="n">
        <v>59673</v>
      </c>
      <c r="I359" s="22" t="n">
        <v>250000</v>
      </c>
      <c r="J359" s="20" t="inlineStr">
        <is>
          <t>EXCHANGE CHENNAI</t>
        </is>
      </c>
      <c r="K359" s="20" t="inlineStr">
        <is>
          <t>Captive</t>
        </is>
      </c>
      <c r="L359" s="20" t="inlineStr">
        <is>
          <t>Nirmal Cars</t>
        </is>
      </c>
      <c r="M359" s="23" t="n">
        <v>8474.58</v>
      </c>
    </row>
    <row r="360">
      <c r="A360" s="19" t="inlineStr">
        <is>
          <t>FY26</t>
        </is>
      </c>
      <c r="B360" s="19" t="inlineStr">
        <is>
          <t>Jan</t>
        </is>
      </c>
      <c r="C360" s="19" t="inlineStr">
        <is>
          <t>TN</t>
        </is>
      </c>
      <c r="D360" s="20" t="inlineStr">
        <is>
          <t>TN04AQ0209</t>
        </is>
      </c>
      <c r="E360" s="20" t="inlineStr">
        <is>
          <t>HONDA</t>
        </is>
      </c>
      <c r="F360" s="20" t="inlineStr">
        <is>
          <t>City</t>
        </is>
      </c>
      <c r="G360" s="21" t="n">
        <v>2015</v>
      </c>
      <c r="H360" s="22" t="n">
        <v>56921</v>
      </c>
      <c r="I360" s="22" t="n">
        <v>440000</v>
      </c>
      <c r="J360" s="20" t="inlineStr">
        <is>
          <t>EXCHANGE CHENNAI</t>
        </is>
      </c>
      <c r="K360" s="20" t="inlineStr">
        <is>
          <t>Captive</t>
        </is>
      </c>
      <c r="L360" s="20" t="inlineStr">
        <is>
          <t>Ab cars Nagerkovil</t>
        </is>
      </c>
      <c r="M360" s="23" t="n">
        <v>4237.29</v>
      </c>
    </row>
    <row r="361">
      <c r="A361" s="19" t="inlineStr">
        <is>
          <t>FY26</t>
        </is>
      </c>
      <c r="B361" s="19" t="inlineStr">
        <is>
          <t>Jan</t>
        </is>
      </c>
      <c r="C361" s="19" t="inlineStr">
        <is>
          <t>TN</t>
        </is>
      </c>
      <c r="D361" s="20" t="inlineStr">
        <is>
          <t>TN07CL7191</t>
        </is>
      </c>
      <c r="E361" s="20" t="inlineStr">
        <is>
          <t>HONDA</t>
        </is>
      </c>
      <c r="F361" s="20" t="inlineStr">
        <is>
          <t>City</t>
        </is>
      </c>
      <c r="G361" s="21" t="n">
        <v>2017</v>
      </c>
      <c r="H361" s="22" t="n">
        <v>62043</v>
      </c>
      <c r="I361" s="22" t="n">
        <v>590000</v>
      </c>
      <c r="J361" s="20" t="inlineStr">
        <is>
          <t>EXCHANGE CHENNAI</t>
        </is>
      </c>
      <c r="K361" s="20" t="inlineStr">
        <is>
          <t>Captive</t>
        </is>
      </c>
      <c r="L361" s="20" t="inlineStr">
        <is>
          <t>Shahana Cars</t>
        </is>
      </c>
      <c r="M361" s="23" t="n">
        <v>8474.58</v>
      </c>
    </row>
    <row r="362">
      <c r="A362" s="19" t="inlineStr">
        <is>
          <t>FY26</t>
        </is>
      </c>
      <c r="B362" s="19" t="inlineStr">
        <is>
          <t>Jan</t>
        </is>
      </c>
      <c r="C362" s="19" t="inlineStr">
        <is>
          <t>TN</t>
        </is>
      </c>
      <c r="D362" s="20" t="inlineStr">
        <is>
          <t>TN59BB7987</t>
        </is>
      </c>
      <c r="E362" s="20" t="inlineStr">
        <is>
          <t>HONDA</t>
        </is>
      </c>
      <c r="F362" s="20" t="inlineStr">
        <is>
          <t>Amaze</t>
        </is>
      </c>
      <c r="G362" s="21" t="n">
        <v>2013</v>
      </c>
      <c r="H362" s="22" t="n">
        <v>30552</v>
      </c>
      <c r="I362" s="22" t="n">
        <v>275000</v>
      </c>
      <c r="J362" s="20" t="inlineStr">
        <is>
          <t>EXCHANGE ROTN</t>
        </is>
      </c>
      <c r="K362" s="20" t="inlineStr">
        <is>
          <t>Captive</t>
        </is>
      </c>
      <c r="L362" s="20" t="inlineStr">
        <is>
          <t>Sai Cars</t>
        </is>
      </c>
      <c r="M362" s="23" t="n">
        <v>6779.66</v>
      </c>
    </row>
    <row r="363">
      <c r="A363" s="19" t="inlineStr">
        <is>
          <t>FY26</t>
        </is>
      </c>
      <c r="B363" s="19" t="inlineStr">
        <is>
          <t>Jan</t>
        </is>
      </c>
      <c r="C363" s="19" t="inlineStr">
        <is>
          <t>TN</t>
        </is>
      </c>
      <c r="D363" s="20" t="inlineStr">
        <is>
          <t>TN69AM0085</t>
        </is>
      </c>
      <c r="E363" s="20" t="inlineStr">
        <is>
          <t>HONDA</t>
        </is>
      </c>
      <c r="F363" s="20" t="inlineStr">
        <is>
          <t>Brio</t>
        </is>
      </c>
      <c r="G363" s="21" t="n">
        <v>2014</v>
      </c>
      <c r="H363" s="22" t="n">
        <v>72627</v>
      </c>
      <c r="I363" s="22" t="n">
        <v>240000</v>
      </c>
      <c r="J363" s="20" t="inlineStr">
        <is>
          <t>EXCHANGE ROTN</t>
        </is>
      </c>
      <c r="K363" s="20" t="inlineStr">
        <is>
          <t>Captive</t>
        </is>
      </c>
      <c r="L363" s="20" t="inlineStr">
        <is>
          <t>Dheera Cars</t>
        </is>
      </c>
      <c r="M363" s="23" t="n">
        <v>8474.58</v>
      </c>
    </row>
    <row r="364">
      <c r="A364" s="19" t="inlineStr">
        <is>
          <t>FY26</t>
        </is>
      </c>
      <c r="B364" s="19" t="inlineStr">
        <is>
          <t>Jan</t>
        </is>
      </c>
      <c r="C364" s="19" t="inlineStr">
        <is>
          <t>TN</t>
        </is>
      </c>
      <c r="D364" s="20" t="inlineStr">
        <is>
          <t>TN39BD8588</t>
        </is>
      </c>
      <c r="E364" s="20" t="inlineStr">
        <is>
          <t>MARUTI SUZUKI</t>
        </is>
      </c>
      <c r="F364" s="20" t="inlineStr">
        <is>
          <t>A Star</t>
        </is>
      </c>
      <c r="G364" s="21" t="n">
        <v>2009</v>
      </c>
      <c r="H364" s="22" t="n">
        <v>56543</v>
      </c>
      <c r="I364" s="22" t="n">
        <v>155000</v>
      </c>
      <c r="J364" s="20" t="inlineStr">
        <is>
          <t>EXCHANGE ROTN</t>
        </is>
      </c>
      <c r="K364" s="20" t="inlineStr">
        <is>
          <t>Captive</t>
        </is>
      </c>
      <c r="L364" s="20" t="inlineStr">
        <is>
          <t>Karthickeyan cars</t>
        </is>
      </c>
      <c r="M364" s="23" t="n">
        <v>10169.49</v>
      </c>
    </row>
    <row r="365">
      <c r="A365" s="19" t="inlineStr">
        <is>
          <t>FY26</t>
        </is>
      </c>
      <c r="B365" s="19" t="inlineStr">
        <is>
          <t>Jan</t>
        </is>
      </c>
      <c r="C365" s="19" t="inlineStr">
        <is>
          <t>TN</t>
        </is>
      </c>
      <c r="D365" s="20" t="inlineStr">
        <is>
          <t>TN34M3123</t>
        </is>
      </c>
      <c r="E365" s="20" t="inlineStr">
        <is>
          <t>MARUTI SUZUKI</t>
        </is>
      </c>
      <c r="F365" s="20" t="inlineStr">
        <is>
          <t>Alto K10</t>
        </is>
      </c>
      <c r="G365" s="21" t="n">
        <v>2011</v>
      </c>
      <c r="H365" s="22" t="n">
        <v>121116</v>
      </c>
      <c r="I365" s="22" t="n">
        <v>150000</v>
      </c>
      <c r="J365" s="20" t="inlineStr">
        <is>
          <t>EXCHANGE ROTN</t>
        </is>
      </c>
      <c r="K365" s="20" t="inlineStr">
        <is>
          <t>Captive</t>
        </is>
      </c>
      <c r="L365" s="20" t="inlineStr">
        <is>
          <t>SIVASHANKAR CARS</t>
        </is>
      </c>
      <c r="M365" s="23" t="n">
        <v>10169.49</v>
      </c>
    </row>
    <row r="366">
      <c r="A366" s="19" t="inlineStr">
        <is>
          <t>FY26</t>
        </is>
      </c>
      <c r="B366" s="19" t="inlineStr">
        <is>
          <t>Jan</t>
        </is>
      </c>
      <c r="C366" s="19" t="inlineStr">
        <is>
          <t>TN</t>
        </is>
      </c>
      <c r="D366" s="20" t="inlineStr">
        <is>
          <t>TN14Z0681</t>
        </is>
      </c>
      <c r="E366" s="20" t="inlineStr">
        <is>
          <t>HONDA</t>
        </is>
      </c>
      <c r="F366" s="20" t="inlineStr">
        <is>
          <t>City</t>
        </is>
      </c>
      <c r="G366" s="21" t="n">
        <v>2021</v>
      </c>
      <c r="H366" s="22" t="n">
        <v>89755</v>
      </c>
      <c r="I366" s="22" t="n">
        <v>850000</v>
      </c>
      <c r="J366" s="20" t="inlineStr">
        <is>
          <t>EXCHANGE CHENNAI</t>
        </is>
      </c>
      <c r="K366" s="20" t="inlineStr">
        <is>
          <t>Captive</t>
        </is>
      </c>
      <c r="L366" s="20" t="inlineStr">
        <is>
          <t>Kirthi Cars</t>
        </is>
      </c>
      <c r="M366" s="23" t="n">
        <v>4237.29</v>
      </c>
    </row>
    <row r="367">
      <c r="A367" s="19" t="inlineStr">
        <is>
          <t>FY26</t>
        </is>
      </c>
      <c r="B367" s="19" t="inlineStr">
        <is>
          <t>Jan</t>
        </is>
      </c>
      <c r="C367" s="19" t="inlineStr">
        <is>
          <t>TN</t>
        </is>
      </c>
      <c r="D367" s="20" t="inlineStr">
        <is>
          <t>TN07CS8565</t>
        </is>
      </c>
      <c r="E367" s="20" t="inlineStr">
        <is>
          <t>HONDA</t>
        </is>
      </c>
      <c r="F367" s="20" t="inlineStr">
        <is>
          <t>Amaze</t>
        </is>
      </c>
      <c r="G367" s="21" t="n">
        <v>2019</v>
      </c>
      <c r="H367" s="22" t="n">
        <v>25589</v>
      </c>
      <c r="I367" s="22" t="n">
        <v>540000</v>
      </c>
      <c r="J367" s="20" t="inlineStr">
        <is>
          <t>EXCHANGE CHENNAI</t>
        </is>
      </c>
      <c r="K367" s="20" t="inlineStr">
        <is>
          <t>Captive</t>
        </is>
      </c>
      <c r="L367" s="20" t="inlineStr">
        <is>
          <t>Varadhrajan cars</t>
        </is>
      </c>
      <c r="M367" s="23" t="n">
        <v>4237.29</v>
      </c>
    </row>
    <row r="368">
      <c r="A368" s="19" t="inlineStr">
        <is>
          <t>FY26</t>
        </is>
      </c>
      <c r="B368" s="19" t="inlineStr">
        <is>
          <t>Jan</t>
        </is>
      </c>
      <c r="C368" s="19" t="inlineStr">
        <is>
          <t>TN</t>
        </is>
      </c>
      <c r="D368" s="20" t="inlineStr">
        <is>
          <t>KL01CS4633</t>
        </is>
      </c>
      <c r="E368" s="20" t="inlineStr">
        <is>
          <t>MARUTI SUZUKI</t>
        </is>
      </c>
      <c r="F368" s="20" t="inlineStr">
        <is>
          <t>S-Presso</t>
        </is>
      </c>
      <c r="G368" s="21" t="n">
        <v>2021</v>
      </c>
      <c r="H368" s="22" t="n">
        <v>42610</v>
      </c>
      <c r="I368" s="22" t="n">
        <v>335000</v>
      </c>
      <c r="J368" s="20" t="inlineStr">
        <is>
          <t>Nippon Motor Corporation Pvt Ltd</t>
        </is>
      </c>
      <c r="K368" s="20" t="inlineStr">
        <is>
          <t>Non-Captive</t>
        </is>
      </c>
      <c r="L368" s="20" t="inlineStr">
        <is>
          <t>Popular Thrissur</t>
        </is>
      </c>
      <c r="M368" s="23" t="n">
        <v>5000</v>
      </c>
    </row>
    <row r="369">
      <c r="A369" s="19" t="inlineStr">
        <is>
          <t>FY26</t>
        </is>
      </c>
      <c r="B369" s="19" t="inlineStr">
        <is>
          <t>Jan</t>
        </is>
      </c>
      <c r="C369" s="19" t="inlineStr">
        <is>
          <t>TN</t>
        </is>
      </c>
      <c r="D369" s="20" t="inlineStr">
        <is>
          <t>KL19P1199</t>
        </is>
      </c>
      <c r="E369" s="20" t="inlineStr">
        <is>
          <t>MARUTI SUZUKI</t>
        </is>
      </c>
      <c r="F369" s="20" t="inlineStr">
        <is>
          <t>Celerio</t>
        </is>
      </c>
      <c r="G369" s="21" t="n">
        <v>2023</v>
      </c>
      <c r="H369" s="22" t="n">
        <v>52746</v>
      </c>
      <c r="I369" s="22" t="n">
        <v>523000</v>
      </c>
      <c r="J369" s="20" t="inlineStr">
        <is>
          <t>Popular Motorworld pvt Ltd</t>
        </is>
      </c>
      <c r="K369" s="20" t="inlineStr">
        <is>
          <t>Non-Captive</t>
        </is>
      </c>
      <c r="L369" s="20" t="inlineStr">
        <is>
          <t>Popular Thrissur</t>
        </is>
      </c>
      <c r="M369" s="23" t="n">
        <v>5000</v>
      </c>
    </row>
    <row r="370">
      <c r="A370" s="19" t="inlineStr">
        <is>
          <t>FY26</t>
        </is>
      </c>
      <c r="B370" s="19" t="inlineStr">
        <is>
          <t>Jan</t>
        </is>
      </c>
      <c r="C370" s="19" t="inlineStr">
        <is>
          <t>TN</t>
        </is>
      </c>
      <c r="D370" s="20" t="inlineStr">
        <is>
          <t>KL02BC9788</t>
        </is>
      </c>
      <c r="E370" s="20" t="inlineStr">
        <is>
          <t>TATA</t>
        </is>
      </c>
      <c r="F370" s="20" t="inlineStr">
        <is>
          <t>Tiago</t>
        </is>
      </c>
      <c r="G370" s="21" t="n">
        <v>2017</v>
      </c>
      <c r="H370" s="22" t="n">
        <v>67122</v>
      </c>
      <c r="I370" s="22" t="n">
        <v>265000</v>
      </c>
      <c r="J370" s="20" t="inlineStr">
        <is>
          <t>Nippon Motor Corporation Pvt Ltd</t>
        </is>
      </c>
      <c r="K370" s="20" t="inlineStr">
        <is>
          <t>Non-Captive</t>
        </is>
      </c>
      <c r="L370" s="20" t="inlineStr">
        <is>
          <t>Popular Thrissur</t>
        </is>
      </c>
      <c r="M370" s="23" t="n">
        <v>5000</v>
      </c>
    </row>
    <row r="371">
      <c r="A371" s="19" t="inlineStr">
        <is>
          <t>FY26</t>
        </is>
      </c>
      <c r="B371" s="19" t="inlineStr">
        <is>
          <t>Jan</t>
        </is>
      </c>
      <c r="C371" s="19" t="inlineStr">
        <is>
          <t>TN</t>
        </is>
      </c>
      <c r="D371" s="20" t="inlineStr">
        <is>
          <t>KL23K1414</t>
        </is>
      </c>
      <c r="E371" s="20" t="inlineStr">
        <is>
          <t>MARUTI SUZUKI</t>
        </is>
      </c>
      <c r="F371" s="20" t="inlineStr">
        <is>
          <t>Ciaz</t>
        </is>
      </c>
      <c r="G371" s="21" t="n">
        <v>2014</v>
      </c>
      <c r="H371" s="22" t="n">
        <v>71095</v>
      </c>
      <c r="I371" s="22" t="n">
        <v>370000</v>
      </c>
      <c r="J371" s="20" t="inlineStr">
        <is>
          <t>Nippon Motor Corporation Pvt Ltd</t>
        </is>
      </c>
      <c r="K371" s="20" t="inlineStr">
        <is>
          <t>Non-Captive</t>
        </is>
      </c>
      <c r="L371" s="20" t="inlineStr">
        <is>
          <t>Popular Thrissur</t>
        </is>
      </c>
      <c r="M371" s="23" t="n">
        <v>5000</v>
      </c>
    </row>
    <row r="372">
      <c r="A372" s="19" t="inlineStr">
        <is>
          <t>FY26</t>
        </is>
      </c>
      <c r="B372" s="19" t="inlineStr">
        <is>
          <t>Jan</t>
        </is>
      </c>
      <c r="C372" s="19" t="inlineStr">
        <is>
          <t>TN</t>
        </is>
      </c>
      <c r="D372" s="20" t="inlineStr">
        <is>
          <t>TN20CK0724</t>
        </is>
      </c>
      <c r="E372" s="20" t="inlineStr">
        <is>
          <t>HYUNDAI</t>
        </is>
      </c>
      <c r="F372" s="20" t="inlineStr">
        <is>
          <t>Grand I10</t>
        </is>
      </c>
      <c r="G372" s="21" t="n">
        <v>2016</v>
      </c>
      <c r="H372" s="22" t="n">
        <v>125032</v>
      </c>
      <c r="I372" s="22" t="n">
        <v>245000</v>
      </c>
      <c r="J372" s="20" t="inlineStr">
        <is>
          <t>Khivraj Motor</t>
        </is>
      </c>
      <c r="K372" s="20" t="inlineStr">
        <is>
          <t>Non-Captive</t>
        </is>
      </c>
      <c r="L372" s="20" t="inlineStr">
        <is>
          <t>AAA Cars</t>
        </is>
      </c>
      <c r="M372" s="23" t="n">
        <v>5084.75</v>
      </c>
    </row>
    <row r="373">
      <c r="A373" s="19" t="inlineStr">
        <is>
          <t>FY26</t>
        </is>
      </c>
      <c r="B373" s="19" t="inlineStr">
        <is>
          <t>Jan</t>
        </is>
      </c>
      <c r="C373" s="19" t="inlineStr">
        <is>
          <t>TN</t>
        </is>
      </c>
      <c r="D373" s="20" t="inlineStr">
        <is>
          <t>TN04AV5218</t>
        </is>
      </c>
      <c r="E373" s="20" t="inlineStr">
        <is>
          <t>MARUTI SUZUKI</t>
        </is>
      </c>
      <c r="F373" s="20" t="inlineStr">
        <is>
          <t>Swift</t>
        </is>
      </c>
      <c r="G373" s="21" t="n">
        <v>2018</v>
      </c>
      <c r="H373" s="22" t="n">
        <v>83786</v>
      </c>
      <c r="I373" s="22" t="n">
        <v>405000</v>
      </c>
      <c r="J373" s="20" t="inlineStr">
        <is>
          <t>Khivraj Motor</t>
        </is>
      </c>
      <c r="K373" s="20" t="inlineStr">
        <is>
          <t>Non-Captive</t>
        </is>
      </c>
      <c r="L373" s="20" t="inlineStr">
        <is>
          <t>AAA Cars</t>
        </is>
      </c>
      <c r="M373" s="23" t="n">
        <v>5084.75</v>
      </c>
    </row>
    <row r="374">
      <c r="A374" s="19" t="inlineStr">
        <is>
          <t>FY26</t>
        </is>
      </c>
      <c r="B374" s="19" t="inlineStr">
        <is>
          <t>Jan</t>
        </is>
      </c>
      <c r="C374" s="19" t="inlineStr">
        <is>
          <t>TN</t>
        </is>
      </c>
      <c r="D374" s="20" t="inlineStr">
        <is>
          <t>TN12W8688</t>
        </is>
      </c>
      <c r="E374" s="20" t="inlineStr">
        <is>
          <t>MARUTI SUZUKI</t>
        </is>
      </c>
      <c r="F374" s="20" t="inlineStr">
        <is>
          <t>Wagon R</t>
        </is>
      </c>
      <c r="G374" s="21" t="n">
        <v>2017</v>
      </c>
      <c r="H374" s="22" t="n">
        <v>79163</v>
      </c>
      <c r="I374" s="22" t="n">
        <v>285000</v>
      </c>
      <c r="J374" s="20" t="inlineStr">
        <is>
          <t>Khivraj Motor</t>
        </is>
      </c>
      <c r="K374" s="20" t="inlineStr">
        <is>
          <t>Non-Captive</t>
        </is>
      </c>
      <c r="L374" s="20" t="inlineStr">
        <is>
          <t>AAA Cars</t>
        </is>
      </c>
      <c r="M374" s="23" t="n">
        <v>5084.75</v>
      </c>
    </row>
    <row r="375">
      <c r="A375" s="19" t="inlineStr">
        <is>
          <t>FY26</t>
        </is>
      </c>
      <c r="B375" s="19" t="inlineStr">
        <is>
          <t>Jan</t>
        </is>
      </c>
      <c r="C375" s="19" t="inlineStr">
        <is>
          <t>TN</t>
        </is>
      </c>
      <c r="D375" s="20" t="inlineStr">
        <is>
          <t>TN09BY6625</t>
        </is>
      </c>
      <c r="E375" s="20" t="inlineStr">
        <is>
          <t>HONDA</t>
        </is>
      </c>
      <c r="F375" s="20" t="inlineStr">
        <is>
          <t>Brio</t>
        </is>
      </c>
      <c r="G375" s="21" t="n">
        <v>2014</v>
      </c>
      <c r="H375" s="22" t="n">
        <v>75446</v>
      </c>
      <c r="I375" s="22" t="n">
        <v>150000</v>
      </c>
      <c r="J375" s="20" t="inlineStr">
        <is>
          <t>Khivraj Motor</t>
        </is>
      </c>
      <c r="K375" s="20" t="inlineStr">
        <is>
          <t>Non-Captive</t>
        </is>
      </c>
      <c r="L375" s="20" t="inlineStr">
        <is>
          <t>AAA Cars</t>
        </is>
      </c>
      <c r="M375" s="23" t="n">
        <v>5084.75</v>
      </c>
    </row>
    <row r="376">
      <c r="A376" s="19" t="inlineStr">
        <is>
          <t>FY26</t>
        </is>
      </c>
      <c r="B376" s="19" t="inlineStr">
        <is>
          <t>Jan</t>
        </is>
      </c>
      <c r="C376" s="19" t="inlineStr">
        <is>
          <t>TN</t>
        </is>
      </c>
      <c r="D376" s="20" t="inlineStr">
        <is>
          <t>PY01AP5157</t>
        </is>
      </c>
      <c r="E376" s="20" t="inlineStr">
        <is>
          <t>MARUTI SUZUKI</t>
        </is>
      </c>
      <c r="F376" s="20" t="inlineStr">
        <is>
          <t>Alto</t>
        </is>
      </c>
      <c r="G376" s="21" t="n">
        <v>2008</v>
      </c>
      <c r="H376" s="22" t="n">
        <v>57148</v>
      </c>
      <c r="I376" s="22" t="n">
        <v>78000</v>
      </c>
      <c r="J376" s="20" t="inlineStr">
        <is>
          <t>Khivraj Motor</t>
        </is>
      </c>
      <c r="K376" s="20" t="inlineStr">
        <is>
          <t>Non-Captive</t>
        </is>
      </c>
      <c r="L376" s="20" t="inlineStr">
        <is>
          <t>AAA Cars</t>
        </is>
      </c>
      <c r="M376" s="23" t="n">
        <v>5084.75</v>
      </c>
    </row>
    <row r="377">
      <c r="A377" s="19" t="inlineStr">
        <is>
          <t>FY26</t>
        </is>
      </c>
      <c r="B377" s="19" t="inlineStr">
        <is>
          <t>Jan</t>
        </is>
      </c>
      <c r="C377" s="19" t="inlineStr">
        <is>
          <t>TN</t>
        </is>
      </c>
      <c r="D377" s="20" t="inlineStr">
        <is>
          <t>TN01BH5103</t>
        </is>
      </c>
      <c r="E377" s="20" t="inlineStr">
        <is>
          <t>HONDA</t>
        </is>
      </c>
      <c r="F377" s="20" t="inlineStr">
        <is>
          <t>Amaze</t>
        </is>
      </c>
      <c r="G377" s="21" t="n">
        <v>2019</v>
      </c>
      <c r="H377" s="22" t="n">
        <v>11791</v>
      </c>
      <c r="I377" s="22" t="n">
        <v>440000</v>
      </c>
      <c r="J377" s="20" t="inlineStr">
        <is>
          <t>Khivraj Motor</t>
        </is>
      </c>
      <c r="K377" s="20" t="inlineStr">
        <is>
          <t>Non-Captive</t>
        </is>
      </c>
      <c r="L377" s="20" t="inlineStr">
        <is>
          <t>AAA Cars</t>
        </is>
      </c>
      <c r="M377" s="23" t="n">
        <v>5084.75</v>
      </c>
    </row>
    <row r="378">
      <c r="A378" s="19" t="inlineStr">
        <is>
          <t>FY26</t>
        </is>
      </c>
      <c r="B378" s="19" t="inlineStr">
        <is>
          <t>Jan</t>
        </is>
      </c>
      <c r="C378" s="19" t="inlineStr">
        <is>
          <t>TN</t>
        </is>
      </c>
      <c r="D378" s="20" t="inlineStr">
        <is>
          <t>TN01AX4563</t>
        </is>
      </c>
      <c r="E378" s="20" t="inlineStr">
        <is>
          <t>MARUTI SUZUKI</t>
        </is>
      </c>
      <c r="F378" s="20" t="inlineStr">
        <is>
          <t>Ciaz</t>
        </is>
      </c>
      <c r="G378" s="21" t="n">
        <v>2014</v>
      </c>
      <c r="H378" s="22" t="n">
        <v>63217</v>
      </c>
      <c r="I378" s="22" t="n">
        <v>280000</v>
      </c>
      <c r="J378" s="20" t="inlineStr">
        <is>
          <t>Khivraj Motor</t>
        </is>
      </c>
      <c r="K378" s="20" t="inlineStr">
        <is>
          <t>Non-Captive</t>
        </is>
      </c>
      <c r="L378" s="20" t="inlineStr">
        <is>
          <t>Prem Cars</t>
        </is>
      </c>
      <c r="M378" s="23" t="n">
        <v>5084.75</v>
      </c>
    </row>
    <row r="379">
      <c r="A379" s="19" t="inlineStr">
        <is>
          <t>FY26</t>
        </is>
      </c>
      <c r="B379" s="19" t="inlineStr">
        <is>
          <t>Jan</t>
        </is>
      </c>
      <c r="C379" s="19" t="inlineStr">
        <is>
          <t>TN</t>
        </is>
      </c>
      <c r="D379" s="20" t="inlineStr">
        <is>
          <t>TN12AU3082</t>
        </is>
      </c>
      <c r="E379" s="20" t="inlineStr">
        <is>
          <t>MARUTI SUZUKI</t>
        </is>
      </c>
      <c r="F379" s="20" t="inlineStr">
        <is>
          <t>Wagon R</t>
        </is>
      </c>
      <c r="G379" s="21" t="n">
        <v>2022</v>
      </c>
      <c r="H379" s="22" t="n">
        <v>76380</v>
      </c>
      <c r="I379" s="22" t="n">
        <v>400000</v>
      </c>
      <c r="J379" s="20" t="inlineStr">
        <is>
          <t>VISHNU CARS PRIVATE LIMITED</t>
        </is>
      </c>
      <c r="K379" s="20" t="inlineStr">
        <is>
          <t>Non-Captive</t>
        </is>
      </c>
      <c r="L379" s="20" t="inlineStr">
        <is>
          <t>AB Cars</t>
        </is>
      </c>
      <c r="M379" s="23" t="n">
        <v>4237.29</v>
      </c>
    </row>
    <row r="380">
      <c r="A380" s="19" t="inlineStr">
        <is>
          <t>FY26</t>
        </is>
      </c>
      <c r="B380" s="19" t="inlineStr">
        <is>
          <t>Jan</t>
        </is>
      </c>
      <c r="C380" s="19" t="inlineStr">
        <is>
          <t>TN</t>
        </is>
      </c>
      <c r="D380" s="20" t="inlineStr">
        <is>
          <t>TN02AW2527</t>
        </is>
      </c>
      <c r="E380" s="20" t="inlineStr">
        <is>
          <t>BMW</t>
        </is>
      </c>
      <c r="F380" s="20" t="inlineStr">
        <is>
          <t>320D</t>
        </is>
      </c>
      <c r="G380" s="21" t="n">
        <v>2011</v>
      </c>
      <c r="H380" s="22" t="n">
        <v>99999</v>
      </c>
      <c r="I380" s="22" t="n">
        <v>400000</v>
      </c>
      <c r="J380" s="20" t="inlineStr">
        <is>
          <t>VISHNU CARS PRIVATE LIMITED</t>
        </is>
      </c>
      <c r="K380" s="20" t="inlineStr">
        <is>
          <t>Non-Captive</t>
        </is>
      </c>
      <c r="L380" s="20" t="inlineStr">
        <is>
          <t>Pine Autos</t>
        </is>
      </c>
      <c r="M380" s="23" t="n">
        <v>4237.29</v>
      </c>
    </row>
    <row r="381">
      <c r="A381" s="19" t="inlineStr">
        <is>
          <t>FY26</t>
        </is>
      </c>
      <c r="B381" s="19" t="inlineStr">
        <is>
          <t>Jan</t>
        </is>
      </c>
      <c r="C381" s="19" t="inlineStr">
        <is>
          <t>TN</t>
        </is>
      </c>
      <c r="D381" s="20" t="inlineStr">
        <is>
          <t>TN06K1909</t>
        </is>
      </c>
      <c r="E381" s="20" t="inlineStr">
        <is>
          <t>FORD</t>
        </is>
      </c>
      <c r="F381" s="20" t="inlineStr">
        <is>
          <t>Ecosport</t>
        </is>
      </c>
      <c r="G381" s="21" t="n">
        <v>2013</v>
      </c>
      <c r="H381" s="22" t="n">
        <v>70906</v>
      </c>
      <c r="I381" s="22" t="n">
        <v>240000</v>
      </c>
      <c r="J381" s="20" t="inlineStr">
        <is>
          <t>VISHNU CARS PRIVATE LIMITED</t>
        </is>
      </c>
      <c r="K381" s="20" t="inlineStr">
        <is>
          <t>Non-Captive</t>
        </is>
      </c>
      <c r="L381" s="20" t="inlineStr">
        <is>
          <t>Pine Autos</t>
        </is>
      </c>
      <c r="M381" s="23" t="n">
        <v>4237.29</v>
      </c>
    </row>
    <row r="382">
      <c r="A382" s="19" t="inlineStr">
        <is>
          <t>FY26</t>
        </is>
      </c>
      <c r="B382" s="19" t="inlineStr">
        <is>
          <t>Jan</t>
        </is>
      </c>
      <c r="C382" s="19" t="inlineStr">
        <is>
          <t>TN</t>
        </is>
      </c>
      <c r="D382" s="20" t="inlineStr">
        <is>
          <t>TN12L4885</t>
        </is>
      </c>
      <c r="E382" s="20" t="inlineStr">
        <is>
          <t>MARUTI SUZUKI</t>
        </is>
      </c>
      <c r="F382" s="20" t="inlineStr">
        <is>
          <t>Swift</t>
        </is>
      </c>
      <c r="G382" s="21" t="n">
        <v>2016</v>
      </c>
      <c r="H382" s="22" t="n">
        <v>84775</v>
      </c>
      <c r="I382" s="22" t="n">
        <v>330000</v>
      </c>
      <c r="J382" s="20" t="inlineStr">
        <is>
          <t>VISHNU CARS PRIVATE LIMITED</t>
        </is>
      </c>
      <c r="K382" s="20" t="inlineStr">
        <is>
          <t>Non-Captive</t>
        </is>
      </c>
      <c r="L382" s="20" t="inlineStr">
        <is>
          <t>Pine Autos</t>
        </is>
      </c>
      <c r="M382" s="23" t="n">
        <v>4237.29</v>
      </c>
    </row>
    <row r="383">
      <c r="A383" s="19" t="inlineStr">
        <is>
          <t>FY26</t>
        </is>
      </c>
      <c r="B383" s="19" t="inlineStr">
        <is>
          <t>Jan</t>
        </is>
      </c>
      <c r="C383" s="19" t="inlineStr">
        <is>
          <t>TN</t>
        </is>
      </c>
      <c r="D383" s="20" t="inlineStr">
        <is>
          <t>TN01BP7655</t>
        </is>
      </c>
      <c r="E383" s="20" t="inlineStr">
        <is>
          <t>MARUTI SUZUKI</t>
        </is>
      </c>
      <c r="F383" s="20" t="inlineStr">
        <is>
          <t>Wagon R</t>
        </is>
      </c>
      <c r="G383" s="21" t="n">
        <v>2022</v>
      </c>
      <c r="H383" s="22" t="n">
        <v>40186</v>
      </c>
      <c r="I383" s="22" t="n">
        <v>440000</v>
      </c>
      <c r="J383" s="20" t="inlineStr">
        <is>
          <t>Khivraj Motor</t>
        </is>
      </c>
      <c r="K383" s="20" t="inlineStr">
        <is>
          <t>Non-Captive</t>
        </is>
      </c>
      <c r="L383" s="20" t="inlineStr">
        <is>
          <t>Santhosh Cars</t>
        </is>
      </c>
      <c r="M383" s="23" t="n">
        <v>5084.75</v>
      </c>
    </row>
    <row r="384">
      <c r="A384" s="19" t="inlineStr">
        <is>
          <t>FY26</t>
        </is>
      </c>
      <c r="B384" s="19" t="inlineStr">
        <is>
          <t>Jan</t>
        </is>
      </c>
      <c r="C384" s="19" t="inlineStr">
        <is>
          <t>TN</t>
        </is>
      </c>
      <c r="D384" s="20" t="inlineStr">
        <is>
          <t>TN20CK4254</t>
        </is>
      </c>
      <c r="E384" s="20" t="inlineStr">
        <is>
          <t>MARUTI SUZUKI</t>
        </is>
      </c>
      <c r="F384" s="20" t="inlineStr">
        <is>
          <t>Swift Dzire</t>
        </is>
      </c>
      <c r="G384" s="21" t="n">
        <v>2016</v>
      </c>
      <c r="H384" s="22" t="n">
        <v>37433</v>
      </c>
      <c r="I384" s="22" t="n">
        <v>375000</v>
      </c>
      <c r="J384" s="20" t="inlineStr">
        <is>
          <t>Khivraj Motor</t>
        </is>
      </c>
      <c r="K384" s="20" t="inlineStr">
        <is>
          <t>Non-Captive</t>
        </is>
      </c>
      <c r="L384" s="20" t="inlineStr">
        <is>
          <t>Santhosh Cars</t>
        </is>
      </c>
      <c r="M384" s="23" t="n">
        <v>5084.75</v>
      </c>
    </row>
    <row r="385">
      <c r="A385" s="19" t="inlineStr">
        <is>
          <t>FY26</t>
        </is>
      </c>
      <c r="B385" s="19" t="inlineStr">
        <is>
          <t>Jan</t>
        </is>
      </c>
      <c r="C385" s="19" t="inlineStr">
        <is>
          <t>TN</t>
        </is>
      </c>
      <c r="D385" s="20" t="inlineStr">
        <is>
          <t>TN20CA3904</t>
        </is>
      </c>
      <c r="E385" s="20" t="inlineStr">
        <is>
          <t>HYUNDAI</t>
        </is>
      </c>
      <c r="F385" s="20" t="inlineStr">
        <is>
          <t>I10</t>
        </is>
      </c>
      <c r="G385" s="21" t="n">
        <v>2012</v>
      </c>
      <c r="H385" s="22" t="n">
        <v>66670</v>
      </c>
      <c r="I385" s="22" t="n">
        <v>170000</v>
      </c>
      <c r="J385" s="20" t="inlineStr">
        <is>
          <t>Khivraj Motor</t>
        </is>
      </c>
      <c r="K385" s="20" t="inlineStr">
        <is>
          <t>Non-Captive</t>
        </is>
      </c>
      <c r="L385" s="20" t="inlineStr">
        <is>
          <t>Chaaran Cars</t>
        </is>
      </c>
      <c r="M385" s="23" t="n">
        <v>5084.75</v>
      </c>
    </row>
    <row r="386">
      <c r="A386" s="19" t="inlineStr">
        <is>
          <t>FY26</t>
        </is>
      </c>
      <c r="B386" s="19" t="inlineStr">
        <is>
          <t>Jan</t>
        </is>
      </c>
      <c r="C386" s="19" t="inlineStr">
        <is>
          <t>TN</t>
        </is>
      </c>
      <c r="D386" s="20" t="inlineStr">
        <is>
          <t>TN06K7642</t>
        </is>
      </c>
      <c r="E386" s="20" t="inlineStr">
        <is>
          <t>VOLKSWAGEN</t>
        </is>
      </c>
      <c r="F386" s="20" t="inlineStr">
        <is>
          <t>Polo</t>
        </is>
      </c>
      <c r="G386" s="21" t="n">
        <v>2013</v>
      </c>
      <c r="H386" s="22" t="n">
        <v>81914</v>
      </c>
      <c r="I386" s="22" t="n">
        <v>180000</v>
      </c>
      <c r="J386" s="20" t="inlineStr">
        <is>
          <t>Khivraj Motor</t>
        </is>
      </c>
      <c r="K386" s="20" t="inlineStr">
        <is>
          <t>Non-Captive</t>
        </is>
      </c>
      <c r="L386" s="20" t="inlineStr">
        <is>
          <t>Prem Cars</t>
        </is>
      </c>
      <c r="M386" s="23" t="n">
        <v>5084.75</v>
      </c>
    </row>
    <row r="387">
      <c r="A387" s="19" t="inlineStr">
        <is>
          <t>FY26</t>
        </is>
      </c>
      <c r="B387" s="19" t="inlineStr">
        <is>
          <t>Jan</t>
        </is>
      </c>
      <c r="C387" s="19" t="inlineStr">
        <is>
          <t>TN</t>
        </is>
      </c>
      <c r="D387" s="20" t="inlineStr">
        <is>
          <t>TN09CE6262</t>
        </is>
      </c>
      <c r="E387" s="20" t="inlineStr">
        <is>
          <t>MARUTI SUZUKI</t>
        </is>
      </c>
      <c r="F387" s="20" t="inlineStr">
        <is>
          <t>Brezza</t>
        </is>
      </c>
      <c r="G387" s="21" t="n"/>
      <c r="H387" s="22" t="n"/>
      <c r="I387" s="22" t="n">
        <v>473000</v>
      </c>
      <c r="J387" s="20" t="inlineStr">
        <is>
          <t>Khivraj Motor</t>
        </is>
      </c>
      <c r="K387" s="20" t="inlineStr">
        <is>
          <t>Non-Captive</t>
        </is>
      </c>
      <c r="L387" s="20" t="inlineStr">
        <is>
          <t>Senthil Cars</t>
        </is>
      </c>
      <c r="M387" s="23" t="n">
        <v>5084.75</v>
      </c>
    </row>
    <row r="388">
      <c r="A388" s="19" t="inlineStr">
        <is>
          <t>FY26</t>
        </is>
      </c>
      <c r="B388" s="19" t="inlineStr">
        <is>
          <t>Jan</t>
        </is>
      </c>
      <c r="C388" s="19" t="inlineStr">
        <is>
          <t>TN</t>
        </is>
      </c>
      <c r="D388" s="20" t="inlineStr">
        <is>
          <t>TN30BQ9174</t>
        </is>
      </c>
      <c r="E388" s="20" t="inlineStr">
        <is>
          <t>HONDA</t>
        </is>
      </c>
      <c r="F388" s="20" t="inlineStr">
        <is>
          <t>Amaze</t>
        </is>
      </c>
      <c r="G388" s="21" t="n">
        <v>2020</v>
      </c>
      <c r="H388" s="22" t="n">
        <v>36298</v>
      </c>
      <c r="I388" s="22" t="n">
        <v>485000</v>
      </c>
      <c r="J388" s="20" t="inlineStr">
        <is>
          <t>EXCHANGE ROTN</t>
        </is>
      </c>
      <c r="K388" s="20" t="inlineStr">
        <is>
          <t>Captive</t>
        </is>
      </c>
      <c r="L388" s="20" t="inlineStr">
        <is>
          <t>Sangeetha Enterprises</t>
        </is>
      </c>
      <c r="M388" s="23" t="n">
        <v>12711.86</v>
      </c>
    </row>
    <row r="389">
      <c r="A389" s="19" t="inlineStr">
        <is>
          <t>FY26</t>
        </is>
      </c>
      <c r="B389" s="19" t="inlineStr">
        <is>
          <t>Jan</t>
        </is>
      </c>
      <c r="C389" s="19" t="inlineStr">
        <is>
          <t>TN</t>
        </is>
      </c>
      <c r="D389" s="20" t="inlineStr">
        <is>
          <t>DL3CCE6673</t>
        </is>
      </c>
      <c r="E389" s="20" t="inlineStr">
        <is>
          <t>HONDA</t>
        </is>
      </c>
      <c r="F389" s="20" t="inlineStr">
        <is>
          <t>Jazz</t>
        </is>
      </c>
      <c r="G389" s="21" t="n">
        <v>2016</v>
      </c>
      <c r="H389" s="22" t="n">
        <v>81658</v>
      </c>
      <c r="I389" s="22" t="n">
        <v>250000</v>
      </c>
      <c r="J389" s="20" t="inlineStr">
        <is>
          <t>EXCHANGE ROTN</t>
        </is>
      </c>
      <c r="K389" s="20" t="inlineStr">
        <is>
          <t>Captive</t>
        </is>
      </c>
      <c r="L389" s="20" t="inlineStr">
        <is>
          <t>MS Cars</t>
        </is>
      </c>
      <c r="M389" s="23" t="n">
        <v>5932.2</v>
      </c>
    </row>
    <row r="390">
      <c r="A390" s="19" t="inlineStr">
        <is>
          <t>FY26</t>
        </is>
      </c>
      <c r="B390" s="19" t="inlineStr">
        <is>
          <t>Jan</t>
        </is>
      </c>
      <c r="C390" s="19" t="inlineStr">
        <is>
          <t>TN</t>
        </is>
      </c>
      <c r="D390" s="20" t="inlineStr">
        <is>
          <t>TN72BA1515</t>
        </is>
      </c>
      <c r="E390" s="20" t="inlineStr">
        <is>
          <t>HONDA</t>
        </is>
      </c>
      <c r="F390" s="20" t="inlineStr">
        <is>
          <t>City</t>
        </is>
      </c>
      <c r="G390" s="21" t="n">
        <v>2014</v>
      </c>
      <c r="H390" s="22" t="n">
        <v>143498</v>
      </c>
      <c r="I390" s="22" t="n">
        <v>375000</v>
      </c>
      <c r="J390" s="20" t="inlineStr">
        <is>
          <t>EXCHANGE ROTN</t>
        </is>
      </c>
      <c r="K390" s="20" t="inlineStr">
        <is>
          <t>Captive</t>
        </is>
      </c>
      <c r="L390" s="20" t="inlineStr">
        <is>
          <t>Value Cars</t>
        </is>
      </c>
      <c r="M390" s="23" t="n">
        <v>12711.86</v>
      </c>
    </row>
    <row r="391">
      <c r="A391" s="19" t="inlineStr">
        <is>
          <t>FY26</t>
        </is>
      </c>
      <c r="B391" s="19" t="inlineStr">
        <is>
          <t>Jan</t>
        </is>
      </c>
      <c r="C391" s="19" t="inlineStr">
        <is>
          <t>TN</t>
        </is>
      </c>
      <c r="D391" s="20" t="inlineStr">
        <is>
          <t>TN30CE5088</t>
        </is>
      </c>
      <c r="E391" s="20" t="inlineStr">
        <is>
          <t>HONDA</t>
        </is>
      </c>
      <c r="F391" s="20" t="inlineStr">
        <is>
          <t>Amaze</t>
        </is>
      </c>
      <c r="G391" s="21" t="n">
        <v>2023</v>
      </c>
      <c r="H391" s="22" t="n">
        <v>118492</v>
      </c>
      <c r="I391" s="22" t="n">
        <v>435000</v>
      </c>
      <c r="J391" s="20" t="inlineStr">
        <is>
          <t>EXCHANGE ROTN</t>
        </is>
      </c>
      <c r="K391" s="20" t="inlineStr">
        <is>
          <t>Captive</t>
        </is>
      </c>
      <c r="L391" s="20" t="inlineStr">
        <is>
          <t>Vadivel Madesh</t>
        </is>
      </c>
      <c r="M391" s="23" t="n">
        <v>4237.29</v>
      </c>
    </row>
    <row r="392">
      <c r="A392" s="19" t="inlineStr">
        <is>
          <t>FY26</t>
        </is>
      </c>
      <c r="B392" s="19" t="inlineStr">
        <is>
          <t>Jan</t>
        </is>
      </c>
      <c r="C392" s="19" t="inlineStr">
        <is>
          <t>TN</t>
        </is>
      </c>
      <c r="D392" s="20" t="inlineStr">
        <is>
          <t>TN10H8377</t>
        </is>
      </c>
      <c r="E392" s="20" t="inlineStr">
        <is>
          <t>MARUTI SUZUKI</t>
        </is>
      </c>
      <c r="F392" s="20" t="inlineStr">
        <is>
          <t>Zen</t>
        </is>
      </c>
      <c r="G392" s="21" t="n">
        <v>2004</v>
      </c>
      <c r="H392" s="22" t="n">
        <v>127346</v>
      </c>
      <c r="I392" s="22" t="n">
        <v>70000</v>
      </c>
      <c r="J392" s="20" t="inlineStr">
        <is>
          <t>EXCHANGE ROTN</t>
        </is>
      </c>
      <c r="K392" s="20" t="inlineStr">
        <is>
          <t>Captive</t>
        </is>
      </c>
      <c r="L392" s="20" t="inlineStr">
        <is>
          <t>Gugha Cars</t>
        </is>
      </c>
      <c r="M392" s="23" t="n">
        <v>4237.29</v>
      </c>
    </row>
    <row r="393">
      <c r="A393" s="19" t="inlineStr">
        <is>
          <t>FY26</t>
        </is>
      </c>
      <c r="B393" s="19" t="inlineStr">
        <is>
          <t>Jan</t>
        </is>
      </c>
      <c r="C393" s="19" t="inlineStr">
        <is>
          <t>TN</t>
        </is>
      </c>
      <c r="D393" s="20" t="inlineStr">
        <is>
          <t>TN59BH8394</t>
        </is>
      </c>
      <c r="E393" s="20" t="inlineStr">
        <is>
          <t>MARUTI SUZUKI</t>
        </is>
      </c>
      <c r="F393" s="20" t="inlineStr">
        <is>
          <t>Ciaz</t>
        </is>
      </c>
      <c r="G393" s="21" t="n">
        <v>2015</v>
      </c>
      <c r="H393" s="22" t="n">
        <v>110535</v>
      </c>
      <c r="I393" s="22" t="n">
        <v>370000</v>
      </c>
      <c r="J393" s="20" t="inlineStr">
        <is>
          <t>EXCHANGE ROTN</t>
        </is>
      </c>
      <c r="K393" s="20" t="inlineStr">
        <is>
          <t>Captive</t>
        </is>
      </c>
      <c r="L393" s="20" t="inlineStr">
        <is>
          <t>Selva Motors</t>
        </is>
      </c>
      <c r="M393" s="23" t="n">
        <v>12711.86</v>
      </c>
    </row>
    <row r="394">
      <c r="A394" s="19" t="inlineStr">
        <is>
          <t>FY26</t>
        </is>
      </c>
      <c r="B394" s="19" t="inlineStr">
        <is>
          <t>Jan</t>
        </is>
      </c>
      <c r="C394" s="19" t="inlineStr">
        <is>
          <t>TN</t>
        </is>
      </c>
      <c r="D394" s="20" t="inlineStr">
        <is>
          <t>TN10AA7457</t>
        </is>
      </c>
      <c r="E394" s="20" t="inlineStr">
        <is>
          <t>MARUTI SUZUKI</t>
        </is>
      </c>
      <c r="F394" s="20" t="inlineStr">
        <is>
          <t>Swift Dzire</t>
        </is>
      </c>
      <c r="G394" s="21" t="n">
        <v>2010</v>
      </c>
      <c r="H394" s="22" t="n">
        <v>209748</v>
      </c>
      <c r="I394" s="22" t="n">
        <v>170000</v>
      </c>
      <c r="J394" s="20" t="inlineStr">
        <is>
          <t>EXCHANGE CHENNAI</t>
        </is>
      </c>
      <c r="K394" s="20" t="inlineStr">
        <is>
          <t>Captive</t>
        </is>
      </c>
      <c r="L394" s="20" t="inlineStr">
        <is>
          <t>Nirmal Cars</t>
        </is>
      </c>
      <c r="M394" s="23" t="n">
        <v>4237.29</v>
      </c>
    </row>
    <row r="395">
      <c r="A395" s="19" t="inlineStr">
        <is>
          <t>FY26</t>
        </is>
      </c>
      <c r="B395" s="19" t="inlineStr">
        <is>
          <t>Jan</t>
        </is>
      </c>
      <c r="C395" s="19" t="inlineStr">
        <is>
          <t>TN</t>
        </is>
      </c>
      <c r="D395" s="20" t="inlineStr">
        <is>
          <t>TN06Y6543</t>
        </is>
      </c>
      <c r="E395" s="20" t="inlineStr">
        <is>
          <t>HONDA</t>
        </is>
      </c>
      <c r="F395" s="20" t="inlineStr">
        <is>
          <t>Amaze</t>
        </is>
      </c>
      <c r="G395" s="21" t="n">
        <v>2019</v>
      </c>
      <c r="H395" s="22" t="n">
        <v>37168</v>
      </c>
      <c r="I395" s="22" t="n">
        <v>450000</v>
      </c>
      <c r="J395" s="20" t="inlineStr">
        <is>
          <t>EXCHANGE CHENNAI</t>
        </is>
      </c>
      <c r="K395" s="20" t="inlineStr">
        <is>
          <t>Captive</t>
        </is>
      </c>
      <c r="L395" s="20" t="inlineStr">
        <is>
          <t>Thiya Cars</t>
        </is>
      </c>
      <c r="M395" s="23" t="n">
        <v>4237.29</v>
      </c>
    </row>
    <row r="396">
      <c r="A396" s="19" t="inlineStr">
        <is>
          <t>FY26</t>
        </is>
      </c>
      <c r="B396" s="19" t="inlineStr">
        <is>
          <t>Jan</t>
        </is>
      </c>
      <c r="C396" s="19" t="inlineStr">
        <is>
          <t>TN</t>
        </is>
      </c>
      <c r="D396" s="20" t="inlineStr">
        <is>
          <t>TN49BA3864</t>
        </is>
      </c>
      <c r="E396" s="20" t="inlineStr">
        <is>
          <t>HYUNDAI</t>
        </is>
      </c>
      <c r="F396" s="20" t="inlineStr">
        <is>
          <t>Grand I10</t>
        </is>
      </c>
      <c r="G396" s="21" t="n">
        <v>2014</v>
      </c>
      <c r="H396" s="22" t="n">
        <v>79642</v>
      </c>
      <c r="I396" s="22" t="n">
        <v>250000</v>
      </c>
      <c r="J396" s="20" t="inlineStr">
        <is>
          <t>EXCHANGE ROTN</t>
        </is>
      </c>
      <c r="K396" s="20" t="inlineStr">
        <is>
          <t>Captive</t>
        </is>
      </c>
      <c r="L396" s="20" t="inlineStr">
        <is>
          <t>Sai cars</t>
        </is>
      </c>
      <c r="M396" s="23" t="n">
        <v>6779.66</v>
      </c>
    </row>
    <row r="397">
      <c r="A397" s="19" t="inlineStr">
        <is>
          <t>FY26</t>
        </is>
      </c>
      <c r="B397" s="19" t="inlineStr">
        <is>
          <t>Jan</t>
        </is>
      </c>
      <c r="C397" s="19" t="inlineStr">
        <is>
          <t>TN</t>
        </is>
      </c>
      <c r="D397" s="20" t="inlineStr">
        <is>
          <t>TN30BV6746</t>
        </is>
      </c>
      <c r="E397" s="20" t="inlineStr">
        <is>
          <t>HYUNDAI</t>
        </is>
      </c>
      <c r="F397" s="20" t="inlineStr">
        <is>
          <t>Eon</t>
        </is>
      </c>
      <c r="G397" s="21" t="n">
        <v>2017</v>
      </c>
      <c r="H397" s="22" t="n">
        <v>28450</v>
      </c>
      <c r="I397" s="22" t="n">
        <v>240000</v>
      </c>
      <c r="J397" s="20" t="inlineStr">
        <is>
          <t>EXCHANGE ROTN</t>
        </is>
      </c>
      <c r="K397" s="20" t="inlineStr">
        <is>
          <t>Captive</t>
        </is>
      </c>
      <c r="L397" s="20" t="inlineStr">
        <is>
          <t>SMS Cars</t>
        </is>
      </c>
      <c r="M397" s="23" t="n">
        <v>12711.86</v>
      </c>
    </row>
    <row r="398">
      <c r="A398" s="19" t="inlineStr">
        <is>
          <t>FY26</t>
        </is>
      </c>
      <c r="B398" s="19" t="inlineStr">
        <is>
          <t>Jan</t>
        </is>
      </c>
      <c r="C398" s="19" t="inlineStr">
        <is>
          <t>TN</t>
        </is>
      </c>
      <c r="D398" s="20" t="inlineStr">
        <is>
          <t>TN33AT6482</t>
        </is>
      </c>
      <c r="E398" s="20" t="inlineStr">
        <is>
          <t>MARUTI SUZUKI</t>
        </is>
      </c>
      <c r="F398" s="20" t="inlineStr">
        <is>
          <t>Alto</t>
        </is>
      </c>
      <c r="G398" s="21" t="n">
        <v>2011</v>
      </c>
      <c r="H398" s="22" t="n">
        <v>43110</v>
      </c>
      <c r="I398" s="22" t="n">
        <v>200000</v>
      </c>
      <c r="J398" s="20" t="inlineStr">
        <is>
          <t>EXCHANGE ROTN</t>
        </is>
      </c>
      <c r="K398" s="20" t="inlineStr">
        <is>
          <t>Captive</t>
        </is>
      </c>
      <c r="L398" s="20" t="inlineStr">
        <is>
          <t>YUGA DHEERAN CARS</t>
        </is>
      </c>
      <c r="M398" s="23" t="n">
        <v>8474.58</v>
      </c>
    </row>
    <row r="399">
      <c r="A399" s="19" t="inlineStr">
        <is>
          <t>FY26</t>
        </is>
      </c>
      <c r="B399" s="19" t="inlineStr">
        <is>
          <t>Jan</t>
        </is>
      </c>
      <c r="C399" s="19" t="inlineStr">
        <is>
          <t>TN</t>
        </is>
      </c>
      <c r="D399" s="20" t="inlineStr">
        <is>
          <t>TN19AK4891</t>
        </is>
      </c>
      <c r="E399" s="20" t="inlineStr">
        <is>
          <t>MARUTI SUZUKI</t>
        </is>
      </c>
      <c r="F399" s="20" t="inlineStr">
        <is>
          <t>Swift</t>
        </is>
      </c>
      <c r="G399" s="21" t="n">
        <v>2018</v>
      </c>
      <c r="H399" s="22" t="n">
        <v>91489</v>
      </c>
      <c r="I399" s="22" t="n">
        <v>500000</v>
      </c>
      <c r="J399" s="20" t="inlineStr">
        <is>
          <t>EXCHANGE ROTN</t>
        </is>
      </c>
      <c r="K399" s="20" t="inlineStr">
        <is>
          <t>Captive</t>
        </is>
      </c>
      <c r="L399" s="20" t="inlineStr">
        <is>
          <t>Gugha Cars</t>
        </is>
      </c>
      <c r="M399" s="23" t="n">
        <v>8474.58</v>
      </c>
    </row>
    <row r="400">
      <c r="A400" s="19" t="inlineStr">
        <is>
          <t>FY26</t>
        </is>
      </c>
      <c r="B400" s="19" t="inlineStr">
        <is>
          <t>Jan</t>
        </is>
      </c>
      <c r="C400" s="19" t="inlineStr">
        <is>
          <t>TN</t>
        </is>
      </c>
      <c r="D400" s="20" t="inlineStr">
        <is>
          <t>TN38BW6777</t>
        </is>
      </c>
      <c r="E400" s="20" t="inlineStr">
        <is>
          <t>HONDA</t>
        </is>
      </c>
      <c r="F400" s="20" t="inlineStr">
        <is>
          <t>City</t>
        </is>
      </c>
      <c r="G400" s="21" t="n">
        <v>2014</v>
      </c>
      <c r="H400" s="22" t="n">
        <v>266342</v>
      </c>
      <c r="I400" s="22" t="n">
        <v>315000</v>
      </c>
      <c r="J400" s="20" t="inlineStr">
        <is>
          <t>EXCHANGE ROTN</t>
        </is>
      </c>
      <c r="K400" s="20" t="inlineStr">
        <is>
          <t>Captive</t>
        </is>
      </c>
      <c r="L400" s="20" t="inlineStr">
        <is>
          <t>Madhura Cars</t>
        </is>
      </c>
      <c r="M400" s="23" t="n">
        <v>8474.58</v>
      </c>
    </row>
    <row r="401">
      <c r="A401" s="19" t="inlineStr">
        <is>
          <t>FY26</t>
        </is>
      </c>
      <c r="B401" s="19" t="inlineStr">
        <is>
          <t>Jan</t>
        </is>
      </c>
      <c r="C401" s="19" t="inlineStr">
        <is>
          <t>TN</t>
        </is>
      </c>
      <c r="D401" s="20" t="inlineStr">
        <is>
          <t>TN28AX2072</t>
        </is>
      </c>
      <c r="E401" s="20" t="inlineStr">
        <is>
          <t>MARUTI SUZUKI</t>
        </is>
      </c>
      <c r="F401" s="20" t="inlineStr">
        <is>
          <t>Swift</t>
        </is>
      </c>
      <c r="G401" s="21" t="n">
        <v>2010</v>
      </c>
      <c r="H401" s="22" t="n">
        <v>166470</v>
      </c>
      <c r="I401" s="22" t="n">
        <v>195000</v>
      </c>
      <c r="J401" s="20" t="inlineStr">
        <is>
          <t>EXCHANGE ROTN</t>
        </is>
      </c>
      <c r="K401" s="20" t="inlineStr">
        <is>
          <t>Captive</t>
        </is>
      </c>
      <c r="L401" s="20" t="inlineStr">
        <is>
          <t>SRI RAJA KANAPATHY CARS</t>
        </is>
      </c>
      <c r="M401" s="23" t="n">
        <v>8474.58</v>
      </c>
    </row>
    <row r="402">
      <c r="A402" s="19" t="inlineStr">
        <is>
          <t>FY26</t>
        </is>
      </c>
      <c r="B402" s="19" t="inlineStr">
        <is>
          <t>Jan</t>
        </is>
      </c>
      <c r="C402" s="19" t="inlineStr">
        <is>
          <t>TN</t>
        </is>
      </c>
      <c r="D402" s="20" t="inlineStr">
        <is>
          <t>TN58AU4124</t>
        </is>
      </c>
      <c r="E402" s="20" t="inlineStr">
        <is>
          <t>TATA</t>
        </is>
      </c>
      <c r="F402" s="20" t="inlineStr">
        <is>
          <t>Tiago</t>
        </is>
      </c>
      <c r="G402" s="21" t="n">
        <v>2017</v>
      </c>
      <c r="H402" s="22" t="n">
        <v>92823</v>
      </c>
      <c r="I402" s="22" t="n">
        <v>285000</v>
      </c>
      <c r="J402" s="20" t="inlineStr">
        <is>
          <t>EXCHANGE ROTN</t>
        </is>
      </c>
      <c r="K402" s="20" t="inlineStr">
        <is>
          <t>Captive</t>
        </is>
      </c>
      <c r="L402" s="20" t="inlineStr">
        <is>
          <t>Dheera Cars</t>
        </is>
      </c>
      <c r="M402" s="23" t="n">
        <v>12711.86</v>
      </c>
    </row>
    <row r="403">
      <c r="A403" s="19" t="inlineStr">
        <is>
          <t>FY26</t>
        </is>
      </c>
      <c r="B403" s="19" t="inlineStr">
        <is>
          <t>Jan</t>
        </is>
      </c>
      <c r="C403" s="19" t="inlineStr">
        <is>
          <t>TN</t>
        </is>
      </c>
      <c r="D403" s="20" t="inlineStr">
        <is>
          <t>TN23AE1000</t>
        </is>
      </c>
      <c r="E403" s="20" t="inlineStr">
        <is>
          <t>FORD</t>
        </is>
      </c>
      <c r="F403" s="20" t="inlineStr">
        <is>
          <t>Fiesta</t>
        </is>
      </c>
      <c r="G403" s="21" t="n"/>
      <c r="H403" s="22" t="n"/>
      <c r="I403" s="22" t="n">
        <v>70000</v>
      </c>
      <c r="J403" s="20" t="inlineStr">
        <is>
          <t>EXCHANGE ROTN</t>
        </is>
      </c>
      <c r="K403" s="20" t="inlineStr">
        <is>
          <t>Captive</t>
        </is>
      </c>
      <c r="L403" s="20" t="inlineStr">
        <is>
          <t>Vadivel Madesh</t>
        </is>
      </c>
      <c r="M403" s="23" t="n">
        <v>4237.29</v>
      </c>
    </row>
    <row r="404">
      <c r="A404" s="19" t="inlineStr">
        <is>
          <t>FY26</t>
        </is>
      </c>
      <c r="B404" s="19" t="inlineStr">
        <is>
          <t>Jan</t>
        </is>
      </c>
      <c r="C404" s="19" t="inlineStr">
        <is>
          <t>TN</t>
        </is>
      </c>
      <c r="D404" s="20" t="inlineStr">
        <is>
          <t>TN01BC5077</t>
        </is>
      </c>
      <c r="E404" s="20" t="inlineStr">
        <is>
          <t>HYUNDAI</t>
        </is>
      </c>
      <c r="F404" s="20" t="inlineStr">
        <is>
          <t>Grand I10</t>
        </is>
      </c>
      <c r="G404" s="21" t="n">
        <v>2017</v>
      </c>
      <c r="H404" s="22" t="n">
        <v>40183</v>
      </c>
      <c r="I404" s="22" t="n">
        <v>390000</v>
      </c>
      <c r="J404" s="20" t="inlineStr">
        <is>
          <t>EXCHANGE CHENNAI</t>
        </is>
      </c>
      <c r="K404" s="20" t="inlineStr">
        <is>
          <t>Captive</t>
        </is>
      </c>
      <c r="L404" s="20" t="inlineStr">
        <is>
          <t>Nirmal Cars</t>
        </is>
      </c>
      <c r="M404" s="23" t="n">
        <v>8474.58</v>
      </c>
    </row>
    <row r="405">
      <c r="A405" s="19" t="inlineStr">
        <is>
          <t>FY26</t>
        </is>
      </c>
      <c r="B405" s="19" t="inlineStr">
        <is>
          <t>Jan</t>
        </is>
      </c>
      <c r="C405" s="19" t="inlineStr">
        <is>
          <t>TN</t>
        </is>
      </c>
      <c r="D405" s="20" t="inlineStr">
        <is>
          <t>TN09AL4114</t>
        </is>
      </c>
      <c r="E405" s="20" t="inlineStr">
        <is>
          <t>HONDA</t>
        </is>
      </c>
      <c r="F405" s="20" t="inlineStr">
        <is>
          <t>City</t>
        </is>
      </c>
      <c r="G405" s="21" t="n">
        <v>2005</v>
      </c>
      <c r="H405" s="22" t="n">
        <v>79983</v>
      </c>
      <c r="I405" s="22" t="n">
        <v>120000</v>
      </c>
      <c r="J405" s="20" t="inlineStr">
        <is>
          <t>EXCHANGE CHENNAI</t>
        </is>
      </c>
      <c r="K405" s="20" t="inlineStr">
        <is>
          <t>Captive</t>
        </is>
      </c>
      <c r="L405" s="20" t="inlineStr">
        <is>
          <t>Thiya Cars</t>
        </is>
      </c>
      <c r="M405" s="23" t="n">
        <v>4237.29</v>
      </c>
    </row>
    <row r="406">
      <c r="A406" s="19" t="inlineStr">
        <is>
          <t>FY26</t>
        </is>
      </c>
      <c r="B406" s="19" t="inlineStr">
        <is>
          <t>Jan</t>
        </is>
      </c>
      <c r="C406" s="19" t="inlineStr">
        <is>
          <t>TN</t>
        </is>
      </c>
      <c r="D406" s="20" t="inlineStr">
        <is>
          <t>TN01BD3441</t>
        </is>
      </c>
      <c r="E406" s="20" t="inlineStr">
        <is>
          <t>HONDA</t>
        </is>
      </c>
      <c r="F406" s="20" t="inlineStr">
        <is>
          <t>Jazz</t>
        </is>
      </c>
      <c r="G406" s="21" t="n">
        <v>2017</v>
      </c>
      <c r="H406" s="22" t="n">
        <v>108064</v>
      </c>
      <c r="I406" s="22" t="n">
        <v>380000</v>
      </c>
      <c r="J406" s="20" t="inlineStr">
        <is>
          <t>EXCHANGE CHENNAI</t>
        </is>
      </c>
      <c r="K406" s="20" t="inlineStr">
        <is>
          <t>Captive</t>
        </is>
      </c>
      <c r="L406" s="20" t="inlineStr">
        <is>
          <t>Thiya Cars</t>
        </is>
      </c>
      <c r="M406" s="23" t="n">
        <v>4237.29</v>
      </c>
    </row>
    <row r="407">
      <c r="A407" s="19" t="inlineStr">
        <is>
          <t>FY26</t>
        </is>
      </c>
      <c r="B407" s="19" t="inlineStr">
        <is>
          <t>Jan</t>
        </is>
      </c>
      <c r="C407" s="19" t="inlineStr">
        <is>
          <t>TN</t>
        </is>
      </c>
      <c r="D407" s="20" t="inlineStr">
        <is>
          <t>TN25BE0099</t>
        </is>
      </c>
      <c r="E407" s="20" t="inlineStr">
        <is>
          <t>MARUTI SUZUKI</t>
        </is>
      </c>
      <c r="F407" s="20" t="inlineStr">
        <is>
          <t>Ciaz</t>
        </is>
      </c>
      <c r="G407" s="21" t="n">
        <v>2017</v>
      </c>
      <c r="H407" s="22" t="n">
        <v>90681</v>
      </c>
      <c r="I407" s="22" t="n">
        <v>488000</v>
      </c>
      <c r="J407" s="20" t="inlineStr">
        <is>
          <t>EXCHANGE CHENNAI</t>
        </is>
      </c>
      <c r="K407" s="20" t="inlineStr">
        <is>
          <t>Captive</t>
        </is>
      </c>
      <c r="L407" s="20" t="inlineStr">
        <is>
          <t>Thiya Cars</t>
        </is>
      </c>
      <c r="M407" s="23" t="n">
        <v>8474.58</v>
      </c>
    </row>
    <row r="408">
      <c r="A408" s="19" t="inlineStr">
        <is>
          <t>FY26</t>
        </is>
      </c>
      <c r="B408" s="19" t="inlineStr">
        <is>
          <t>Jan</t>
        </is>
      </c>
      <c r="C408" s="19" t="inlineStr">
        <is>
          <t>TN</t>
        </is>
      </c>
      <c r="D408" s="20" t="inlineStr">
        <is>
          <t>TN09CH0258</t>
        </is>
      </c>
      <c r="E408" s="20" t="inlineStr">
        <is>
          <t>VOLKSWAGEN</t>
        </is>
      </c>
      <c r="F408" s="20" t="inlineStr">
        <is>
          <t>Ameo</t>
        </is>
      </c>
      <c r="G408" s="21" t="n">
        <v>2016</v>
      </c>
      <c r="H408" s="22" t="n">
        <v>55381</v>
      </c>
      <c r="I408" s="22" t="n">
        <v>440000</v>
      </c>
      <c r="J408" s="20" t="inlineStr">
        <is>
          <t>EXCHANGE CHENNAI</t>
        </is>
      </c>
      <c r="K408" s="20" t="inlineStr">
        <is>
          <t>Captive</t>
        </is>
      </c>
      <c r="L408" s="20" t="inlineStr">
        <is>
          <t>Kirthi Cars</t>
        </is>
      </c>
      <c r="M408" s="23" t="n">
        <v>4237.29</v>
      </c>
    </row>
    <row r="409">
      <c r="A409" s="19" t="inlineStr">
        <is>
          <t>FY26</t>
        </is>
      </c>
      <c r="B409" s="19" t="inlineStr">
        <is>
          <t>Jan</t>
        </is>
      </c>
      <c r="C409" s="19" t="inlineStr">
        <is>
          <t>TN</t>
        </is>
      </c>
      <c r="D409" s="20" t="inlineStr">
        <is>
          <t>KL09X3376</t>
        </is>
      </c>
      <c r="E409" s="20" t="inlineStr">
        <is>
          <t>MARUTI SUZUKI</t>
        </is>
      </c>
      <c r="F409" s="20" t="inlineStr">
        <is>
          <t>Alto</t>
        </is>
      </c>
      <c r="G409" s="21" t="n">
        <v>2009</v>
      </c>
      <c r="H409" s="22" t="n">
        <v>126811</v>
      </c>
      <c r="I409" s="22" t="n">
        <v>120000</v>
      </c>
      <c r="J409" s="20" t="inlineStr">
        <is>
          <t>EXCHANGE ROTN</t>
        </is>
      </c>
      <c r="K409" s="20" t="inlineStr">
        <is>
          <t>Captive</t>
        </is>
      </c>
      <c r="L409" s="20" t="inlineStr">
        <is>
          <t>S.R.CARS</t>
        </is>
      </c>
      <c r="M409" s="23" t="n">
        <v>4237.29</v>
      </c>
    </row>
    <row r="410">
      <c r="A410" s="19" t="inlineStr">
        <is>
          <t>FY26</t>
        </is>
      </c>
      <c r="B410" s="19" t="inlineStr">
        <is>
          <t>Jan</t>
        </is>
      </c>
      <c r="C410" s="19" t="inlineStr">
        <is>
          <t>TN</t>
        </is>
      </c>
      <c r="D410" s="20" t="inlineStr">
        <is>
          <t>TN38BD2741</t>
        </is>
      </c>
      <c r="E410" s="20" t="inlineStr">
        <is>
          <t>MAHINDRA</t>
        </is>
      </c>
      <c r="F410" s="20" t="inlineStr">
        <is>
          <t>Logan</t>
        </is>
      </c>
      <c r="G410" s="21" t="n">
        <v>2010</v>
      </c>
      <c r="H410" s="22" t="n">
        <v>342085</v>
      </c>
      <c r="I410" s="22" t="n">
        <v>70000</v>
      </c>
      <c r="J410" s="20" t="inlineStr">
        <is>
          <t>EXCHANGE ROTN</t>
        </is>
      </c>
      <c r="K410" s="20" t="inlineStr">
        <is>
          <t>Captive</t>
        </is>
      </c>
      <c r="L410" s="20" t="inlineStr">
        <is>
          <t>S.R.CARS</t>
        </is>
      </c>
      <c r="M410" s="23" t="n">
        <v>4237.29</v>
      </c>
    </row>
    <row r="411">
      <c r="A411" s="19" t="inlineStr">
        <is>
          <t>FY26</t>
        </is>
      </c>
      <c r="B411" s="19" t="inlineStr">
        <is>
          <t>Jan</t>
        </is>
      </c>
      <c r="C411" s="19" t="inlineStr">
        <is>
          <t>TN</t>
        </is>
      </c>
      <c r="D411" s="20" t="inlineStr">
        <is>
          <t>TN75X9000</t>
        </is>
      </c>
      <c r="E411" s="20" t="inlineStr">
        <is>
          <t>VOLKSWAGEN</t>
        </is>
      </c>
      <c r="F411" s="20" t="inlineStr">
        <is>
          <t>Polo</t>
        </is>
      </c>
      <c r="G411" s="21" t="n">
        <v>2016</v>
      </c>
      <c r="H411" s="22" t="n">
        <v>73917</v>
      </c>
      <c r="I411" s="22" t="n">
        <v>210000</v>
      </c>
      <c r="J411" s="20" t="inlineStr">
        <is>
          <t>JAIKRISHNAA AUTOSALES PRIVATE LIMITED</t>
        </is>
      </c>
      <c r="K411" s="20" t="inlineStr">
        <is>
          <t>Non-Captive</t>
        </is>
      </c>
      <c r="L411" s="20" t="inlineStr">
        <is>
          <t>S.R.CARS</t>
        </is>
      </c>
      <c r="M411" s="23" t="n">
        <v>4237.29</v>
      </c>
    </row>
    <row r="412">
      <c r="A412" s="19" t="inlineStr">
        <is>
          <t>FY26</t>
        </is>
      </c>
      <c r="B412" s="19" t="inlineStr">
        <is>
          <t>Jan</t>
        </is>
      </c>
      <c r="C412" s="19" t="inlineStr">
        <is>
          <t>TN</t>
        </is>
      </c>
      <c r="D412" s="20" t="inlineStr">
        <is>
          <t>TN66P3373</t>
        </is>
      </c>
      <c r="E412" s="20" t="inlineStr">
        <is>
          <t>MARUTI SUZUKI</t>
        </is>
      </c>
      <c r="F412" s="20" t="inlineStr">
        <is>
          <t>Wagon R</t>
        </is>
      </c>
      <c r="G412" s="21" t="n">
        <v>2015</v>
      </c>
      <c r="H412" s="22" t="n">
        <v>45555</v>
      </c>
      <c r="I412" s="22" t="n">
        <v>190000</v>
      </c>
      <c r="J412" s="20" t="inlineStr">
        <is>
          <t>JAIKRISHNAA AUTOSALES PRIVATE LIMITED</t>
        </is>
      </c>
      <c r="K412" s="20" t="inlineStr">
        <is>
          <t>Non-Captive</t>
        </is>
      </c>
      <c r="L412" s="20" t="inlineStr">
        <is>
          <t>PURUSOTHAMAN J CARS</t>
        </is>
      </c>
      <c r="M412" s="23" t="n">
        <v>4237.29</v>
      </c>
    </row>
    <row r="413">
      <c r="A413" s="19" t="inlineStr">
        <is>
          <t>FY26</t>
        </is>
      </c>
      <c r="B413" s="19" t="inlineStr">
        <is>
          <t>Jan</t>
        </is>
      </c>
      <c r="C413" s="19" t="inlineStr">
        <is>
          <t>TN</t>
        </is>
      </c>
      <c r="D413" s="20" t="inlineStr">
        <is>
          <t>TN69BQ6541</t>
        </is>
      </c>
      <c r="E413" s="20" t="inlineStr">
        <is>
          <t>MARUTI SUZUKI</t>
        </is>
      </c>
      <c r="F413" s="20" t="inlineStr">
        <is>
          <t>Wagon R</t>
        </is>
      </c>
      <c r="G413" s="21" t="n">
        <v>2022</v>
      </c>
      <c r="H413" s="22" t="n">
        <v>19411</v>
      </c>
      <c r="I413" s="22" t="n">
        <v>230000</v>
      </c>
      <c r="J413" s="20" t="inlineStr">
        <is>
          <t>JAIKRISHNAA AUTOSALES PRIVATE LIMITED</t>
        </is>
      </c>
      <c r="K413" s="20" t="inlineStr">
        <is>
          <t>Non-Captive</t>
        </is>
      </c>
      <c r="L413" s="20" t="inlineStr">
        <is>
          <t>PURUSOTHAMAN J CARS</t>
        </is>
      </c>
      <c r="M413" s="23" t="n">
        <v>4237.29</v>
      </c>
    </row>
    <row r="414">
      <c r="A414" s="19" t="inlineStr">
        <is>
          <t>FY26</t>
        </is>
      </c>
      <c r="B414" s="19" t="inlineStr">
        <is>
          <t>Jan</t>
        </is>
      </c>
      <c r="C414" s="19" t="inlineStr">
        <is>
          <t>TN</t>
        </is>
      </c>
      <c r="D414" s="20" t="inlineStr">
        <is>
          <t>TN39BF0375</t>
        </is>
      </c>
      <c r="E414" s="20" t="inlineStr">
        <is>
          <t>MARUTI SUZUKI</t>
        </is>
      </c>
      <c r="F414" s="20" t="inlineStr">
        <is>
          <t>Alto K10</t>
        </is>
      </c>
      <c r="G414" s="21" t="n">
        <v>2012</v>
      </c>
      <c r="H414" s="22" t="n">
        <v>39815</v>
      </c>
      <c r="I414" s="22" t="n">
        <v>170000</v>
      </c>
      <c r="J414" s="20" t="inlineStr">
        <is>
          <t>JAIKRISHNAA AUTOSALES PRIVATE LIMITED</t>
        </is>
      </c>
      <c r="K414" s="20" t="inlineStr">
        <is>
          <t>Non-Captive</t>
        </is>
      </c>
      <c r="L414" s="20" t="inlineStr">
        <is>
          <t>CAP CARS</t>
        </is>
      </c>
      <c r="M414" s="23" t="n">
        <v>4237.29</v>
      </c>
    </row>
    <row r="415">
      <c r="A415" s="19" t="inlineStr">
        <is>
          <t>FY26</t>
        </is>
      </c>
      <c r="B415" s="19" t="inlineStr">
        <is>
          <t>Jan</t>
        </is>
      </c>
      <c r="C415" s="19" t="inlineStr">
        <is>
          <t>TN</t>
        </is>
      </c>
      <c r="D415" s="20" t="inlineStr">
        <is>
          <t>TN39AY3701</t>
        </is>
      </c>
      <c r="E415" s="20" t="inlineStr">
        <is>
          <t>HONDA</t>
        </is>
      </c>
      <c r="F415" s="20" t="inlineStr">
        <is>
          <t>City</t>
        </is>
      </c>
      <c r="G415" s="21" t="n">
        <v>2010</v>
      </c>
      <c r="H415" s="22" t="n">
        <v>106381</v>
      </c>
      <c r="I415" s="22" t="n">
        <v>240000</v>
      </c>
      <c r="J415" s="20" t="inlineStr">
        <is>
          <t>JAIKRISHNAA AUTOSALES PRIVATE LIMITED</t>
        </is>
      </c>
      <c r="K415" s="20" t="inlineStr">
        <is>
          <t>Non-Captive</t>
        </is>
      </c>
      <c r="L415" s="20" t="inlineStr">
        <is>
          <t>CAP CARS</t>
        </is>
      </c>
      <c r="M415" s="23" t="n">
        <v>4237.29</v>
      </c>
    </row>
    <row r="416">
      <c r="A416" s="19" t="inlineStr">
        <is>
          <t>FY26</t>
        </is>
      </c>
      <c r="B416" s="19" t="inlineStr">
        <is>
          <t>Jan</t>
        </is>
      </c>
      <c r="C416" s="19" t="inlineStr">
        <is>
          <t>TN</t>
        </is>
      </c>
      <c r="D416" s="20" t="inlineStr">
        <is>
          <t>TN99J7255</t>
        </is>
      </c>
      <c r="E416" s="20" t="inlineStr">
        <is>
          <t>HYUNDAI</t>
        </is>
      </c>
      <c r="F416" s="20" t="inlineStr">
        <is>
          <t>Eon</t>
        </is>
      </c>
      <c r="G416" s="21" t="n">
        <v>2017</v>
      </c>
      <c r="H416" s="22" t="n">
        <v>20884</v>
      </c>
      <c r="I416" s="22" t="n">
        <v>165000</v>
      </c>
      <c r="J416" s="20" t="inlineStr">
        <is>
          <t>JAIKRISHNAA AUTOSALES PRIVATE LIMITED</t>
        </is>
      </c>
      <c r="K416" s="20" t="inlineStr">
        <is>
          <t>Non-Captive</t>
        </is>
      </c>
      <c r="L416" s="20" t="inlineStr">
        <is>
          <t>THANGARAJ</t>
        </is>
      </c>
      <c r="M416" s="23" t="n">
        <v>4237.29</v>
      </c>
    </row>
    <row r="417">
      <c r="A417" s="19" t="inlineStr">
        <is>
          <t>FY26</t>
        </is>
      </c>
      <c r="B417" s="19" t="inlineStr">
        <is>
          <t>Jan</t>
        </is>
      </c>
      <c r="C417" s="19" t="inlineStr">
        <is>
          <t>TN</t>
        </is>
      </c>
      <c r="D417" s="20" t="inlineStr">
        <is>
          <t>TN45AT5145</t>
        </is>
      </c>
      <c r="E417" s="20" t="inlineStr">
        <is>
          <t>VOLKSWAGEN</t>
        </is>
      </c>
      <c r="F417" s="20" t="inlineStr">
        <is>
          <t>Polo</t>
        </is>
      </c>
      <c r="G417" s="21" t="n">
        <v>2011</v>
      </c>
      <c r="H417" s="22" t="n">
        <v>66375</v>
      </c>
      <c r="I417" s="22" t="n">
        <v>190000</v>
      </c>
      <c r="J417" s="20" t="inlineStr">
        <is>
          <t>JAIKRISHNAA AUTOSALES PRIVATE LIMITED</t>
        </is>
      </c>
      <c r="K417" s="20" t="inlineStr">
        <is>
          <t>Non-Captive</t>
        </is>
      </c>
      <c r="L417" s="20" t="inlineStr">
        <is>
          <t>M.S.V CAR PAINTING WORKS</t>
        </is>
      </c>
      <c r="M417" s="23" t="n">
        <v>4237.29</v>
      </c>
    </row>
    <row r="418">
      <c r="A418" s="19" t="inlineStr">
        <is>
          <t>FY26</t>
        </is>
      </c>
      <c r="B418" s="19" t="inlineStr">
        <is>
          <t>Jan</t>
        </is>
      </c>
      <c r="C418" s="19" t="inlineStr">
        <is>
          <t>TN</t>
        </is>
      </c>
      <c r="D418" s="20" t="inlineStr">
        <is>
          <t>KL01CK1787</t>
        </is>
      </c>
      <c r="E418" s="20" t="inlineStr">
        <is>
          <t>TATA</t>
        </is>
      </c>
      <c r="F418" s="20" t="inlineStr">
        <is>
          <t>Tiago</t>
        </is>
      </c>
      <c r="G418" s="21" t="n">
        <v>2018</v>
      </c>
      <c r="H418" s="22" t="n">
        <v>56227</v>
      </c>
      <c r="I418" s="22" t="n">
        <v>325000</v>
      </c>
      <c r="J418" s="20" t="inlineStr">
        <is>
          <t>INDEL Motor Corporation</t>
        </is>
      </c>
      <c r="K418" s="20" t="inlineStr">
        <is>
          <t>Non-Captive</t>
        </is>
      </c>
      <c r="L418" s="20" t="inlineStr">
        <is>
          <t>Popular Thrissur</t>
        </is>
      </c>
      <c r="M418" s="23" t="n">
        <v>5000</v>
      </c>
    </row>
    <row r="419">
      <c r="A419" s="19" t="inlineStr">
        <is>
          <t>FY26</t>
        </is>
      </c>
      <c r="B419" s="19" t="inlineStr">
        <is>
          <t>Jan</t>
        </is>
      </c>
      <c r="C419" s="19" t="inlineStr">
        <is>
          <t>TN</t>
        </is>
      </c>
      <c r="D419" s="20" t="inlineStr">
        <is>
          <t>KL02BK1534</t>
        </is>
      </c>
      <c r="E419" s="20" t="inlineStr">
        <is>
          <t>TATA</t>
        </is>
      </c>
      <c r="F419" s="20" t="inlineStr">
        <is>
          <t>Nexon</t>
        </is>
      </c>
      <c r="G419" s="21" t="n">
        <v>2019</v>
      </c>
      <c r="H419" s="22" t="n">
        <v>79016</v>
      </c>
      <c r="I419" s="22" t="n">
        <v>390000</v>
      </c>
      <c r="J419" s="20" t="inlineStr">
        <is>
          <t>Nippon Motor Corporation Pvt Ltd</t>
        </is>
      </c>
      <c r="K419" s="20" t="inlineStr">
        <is>
          <t>Non-Captive</t>
        </is>
      </c>
      <c r="L419" s="20" t="inlineStr">
        <is>
          <t>Shamnad AH</t>
        </is>
      </c>
      <c r="M419" s="23" t="n">
        <v>5932.2</v>
      </c>
    </row>
    <row r="420">
      <c r="A420" s="19" t="inlineStr">
        <is>
          <t>FY26</t>
        </is>
      </c>
      <c r="B420" s="19" t="inlineStr">
        <is>
          <t>Jan</t>
        </is>
      </c>
      <c r="C420" s="19" t="inlineStr">
        <is>
          <t>TN</t>
        </is>
      </c>
      <c r="D420" s="20" t="inlineStr">
        <is>
          <t>KL02BE6074</t>
        </is>
      </c>
      <c r="E420" s="20" t="inlineStr">
        <is>
          <t>VOLKSWAGEN</t>
        </is>
      </c>
      <c r="F420" s="20" t="inlineStr">
        <is>
          <t>Polo</t>
        </is>
      </c>
      <c r="G420" s="21" t="n">
        <v>2018</v>
      </c>
      <c r="H420" s="22" t="n">
        <v>38000</v>
      </c>
      <c r="I420" s="22" t="n">
        <v>725000</v>
      </c>
      <c r="J420" s="20" t="inlineStr">
        <is>
          <t>Nippon Motor Corporation Pvt Ltd</t>
        </is>
      </c>
      <c r="K420" s="20" t="inlineStr">
        <is>
          <t>Non-Captive</t>
        </is>
      </c>
      <c r="L420" s="20" t="inlineStr">
        <is>
          <t>Shamnad AH</t>
        </is>
      </c>
      <c r="M420" s="23" t="n">
        <v>5932.2</v>
      </c>
    </row>
    <row r="421">
      <c r="A421" s="19" t="inlineStr">
        <is>
          <t>FY26</t>
        </is>
      </c>
      <c r="B421" s="19" t="inlineStr">
        <is>
          <t>Jan</t>
        </is>
      </c>
      <c r="C421" s="19" t="inlineStr">
        <is>
          <t>TN</t>
        </is>
      </c>
      <c r="D421" s="20" t="inlineStr">
        <is>
          <t>KL01DD8261</t>
        </is>
      </c>
      <c r="E421" s="20" t="inlineStr">
        <is>
          <t>MARUTI SUZUKI</t>
        </is>
      </c>
      <c r="F421" s="20" t="inlineStr">
        <is>
          <t>S-Presso</t>
        </is>
      </c>
      <c r="G421" s="21" t="n">
        <v>2024</v>
      </c>
      <c r="H421" s="22" t="n">
        <v>19865</v>
      </c>
      <c r="I421" s="22" t="n">
        <v>380000</v>
      </c>
      <c r="J421" s="20" t="inlineStr">
        <is>
          <t>Fortune Malayalam</t>
        </is>
      </c>
      <c r="K421" s="20" t="inlineStr">
        <is>
          <t>Non-Captive</t>
        </is>
      </c>
      <c r="L421" s="20" t="inlineStr">
        <is>
          <t>Popular Alleppy</t>
        </is>
      </c>
      <c r="M421" s="23" t="n">
        <v>5000</v>
      </c>
    </row>
    <row r="422">
      <c r="A422" s="19" t="inlineStr">
        <is>
          <t>FY26</t>
        </is>
      </c>
      <c r="B422" s="19" t="inlineStr">
        <is>
          <t>Jan</t>
        </is>
      </c>
      <c r="C422" s="19" t="inlineStr">
        <is>
          <t>TN</t>
        </is>
      </c>
      <c r="D422" s="20" t="inlineStr">
        <is>
          <t>TN38BZ5292</t>
        </is>
      </c>
      <c r="E422" s="20" t="inlineStr">
        <is>
          <t>MARUTI SUZUKI</t>
        </is>
      </c>
      <c r="F422" s="20" t="inlineStr">
        <is>
          <t>Alto</t>
        </is>
      </c>
      <c r="G422" s="21" t="n">
        <v>2014</v>
      </c>
      <c r="H422" s="22" t="n">
        <v>114554</v>
      </c>
      <c r="I422" s="22" t="n">
        <v>160000</v>
      </c>
      <c r="J422" s="20" t="inlineStr">
        <is>
          <t>JAIKRISHNAA AUTOSALES PRIVATE LIMITED</t>
        </is>
      </c>
      <c r="K422" s="20" t="inlineStr">
        <is>
          <t>Non-Captive</t>
        </is>
      </c>
      <c r="L422" s="20" t="inlineStr">
        <is>
          <t>SELVA MOTORS</t>
        </is>
      </c>
      <c r="M422" s="23" t="n">
        <v>4237.29</v>
      </c>
    </row>
    <row r="423">
      <c r="A423" s="19" t="inlineStr">
        <is>
          <t>FY26</t>
        </is>
      </c>
      <c r="B423" s="19" t="inlineStr">
        <is>
          <t>Jan</t>
        </is>
      </c>
      <c r="C423" s="19" t="inlineStr">
        <is>
          <t>TN</t>
        </is>
      </c>
      <c r="D423" s="20" t="inlineStr">
        <is>
          <t>TN38BA9099</t>
        </is>
      </c>
      <c r="E423" s="20" t="inlineStr">
        <is>
          <t>HYUNDAI</t>
        </is>
      </c>
      <c r="F423" s="20" t="inlineStr">
        <is>
          <t>I20</t>
        </is>
      </c>
      <c r="G423" s="21" t="n">
        <v>2012</v>
      </c>
      <c r="H423" s="22" t="n">
        <v>90000</v>
      </c>
      <c r="I423" s="22" t="n">
        <v>205000</v>
      </c>
      <c r="J423" s="20" t="inlineStr">
        <is>
          <t>JAIKRISHNAA AUTOSALES PRIVATE LIMITED</t>
        </is>
      </c>
      <c r="K423" s="20" t="inlineStr">
        <is>
          <t>Non-Captive</t>
        </is>
      </c>
      <c r="L423" s="20" t="inlineStr">
        <is>
          <t>SELVA MOTORS</t>
        </is>
      </c>
      <c r="M423" s="23" t="n">
        <v>4237.29</v>
      </c>
    </row>
    <row r="424">
      <c r="A424" s="19" t="inlineStr">
        <is>
          <t>FY26</t>
        </is>
      </c>
      <c r="B424" s="19" t="inlineStr">
        <is>
          <t>Jan</t>
        </is>
      </c>
      <c r="C424" s="19" t="inlineStr">
        <is>
          <t>TN</t>
        </is>
      </c>
      <c r="D424" s="20" t="inlineStr">
        <is>
          <t>TN18R1027</t>
        </is>
      </c>
      <c r="E424" s="20" t="inlineStr">
        <is>
          <t>MARUTI SUZUKI</t>
        </is>
      </c>
      <c r="F424" s="20" t="inlineStr">
        <is>
          <t>Alto K10</t>
        </is>
      </c>
      <c r="G424" s="21" t="n">
        <v>2014</v>
      </c>
      <c r="H424" s="22" t="n">
        <v>65000</v>
      </c>
      <c r="I424" s="22" t="n">
        <v>190000</v>
      </c>
      <c r="J424" s="20" t="inlineStr">
        <is>
          <t>JAIKRISHNAA AUTOSALES PRIVATE LIMITED</t>
        </is>
      </c>
      <c r="K424" s="20" t="inlineStr">
        <is>
          <t>Non-Captive</t>
        </is>
      </c>
      <c r="L424" s="20" t="inlineStr">
        <is>
          <t>SELVA MOTORS</t>
        </is>
      </c>
      <c r="M424" s="23" t="n">
        <v>4237.29</v>
      </c>
    </row>
    <row r="425">
      <c r="A425" s="19" t="inlineStr">
        <is>
          <t>FY26</t>
        </is>
      </c>
      <c r="B425" s="19" t="inlineStr">
        <is>
          <t>Jan</t>
        </is>
      </c>
      <c r="C425" s="19" t="inlineStr">
        <is>
          <t>TN</t>
        </is>
      </c>
      <c r="D425" s="20" t="inlineStr">
        <is>
          <t>TN49BH2248</t>
        </is>
      </c>
      <c r="E425" s="20" t="inlineStr">
        <is>
          <t>TATA</t>
        </is>
      </c>
      <c r="F425" s="20" t="inlineStr">
        <is>
          <t>Tiago</t>
        </is>
      </c>
      <c r="G425" s="21" t="n">
        <v>2014</v>
      </c>
      <c r="H425" s="22" t="n">
        <v>75000</v>
      </c>
      <c r="I425" s="22" t="n">
        <v>180000</v>
      </c>
      <c r="J425" s="20" t="inlineStr">
        <is>
          <t>JAIKRISHNAA AUTOSALES PRIVATE LIMITED</t>
        </is>
      </c>
      <c r="K425" s="20" t="inlineStr">
        <is>
          <t>Non-Captive</t>
        </is>
      </c>
      <c r="L425" s="20" t="inlineStr">
        <is>
          <t>MADHURA CARS</t>
        </is>
      </c>
      <c r="M425" s="23" t="n">
        <v>4237.29</v>
      </c>
    </row>
    <row r="426">
      <c r="A426" s="19" t="inlineStr">
        <is>
          <t>FY26</t>
        </is>
      </c>
      <c r="B426" s="19" t="inlineStr">
        <is>
          <t>Jan</t>
        </is>
      </c>
      <c r="C426" s="19" t="inlineStr">
        <is>
          <t>TN</t>
        </is>
      </c>
      <c r="D426" s="20" t="inlineStr">
        <is>
          <t>TN22AR0199</t>
        </is>
      </c>
      <c r="E426" s="20" t="inlineStr">
        <is>
          <t>MARUTI SUZUKI</t>
        </is>
      </c>
      <c r="F426" s="20" t="inlineStr">
        <is>
          <t>Alto</t>
        </is>
      </c>
      <c r="G426" s="21" t="n">
        <v>2009</v>
      </c>
      <c r="H426" s="22" t="n">
        <v>112000</v>
      </c>
      <c r="I426" s="22" t="n">
        <v>90000</v>
      </c>
      <c r="J426" s="20" t="inlineStr">
        <is>
          <t>JAIKRISHNAA AUTOSALES PRIVATE LIMITED</t>
        </is>
      </c>
      <c r="K426" s="20" t="inlineStr">
        <is>
          <t>Non-Captive</t>
        </is>
      </c>
      <c r="L426" s="20" t="inlineStr">
        <is>
          <t>MADHURA CARS</t>
        </is>
      </c>
      <c r="M426" s="23" t="n">
        <v>4237.29</v>
      </c>
    </row>
    <row r="427">
      <c r="A427" s="19" t="inlineStr">
        <is>
          <t>FY26</t>
        </is>
      </c>
      <c r="B427" s="19" t="inlineStr">
        <is>
          <t>Jan</t>
        </is>
      </c>
      <c r="C427" s="19" t="inlineStr">
        <is>
          <t>TN</t>
        </is>
      </c>
      <c r="D427" s="20" t="inlineStr">
        <is>
          <t>TN06D6917</t>
        </is>
      </c>
      <c r="E427" s="20" t="inlineStr">
        <is>
          <t>MARUTI SUZUKI</t>
        </is>
      </c>
      <c r="F427" s="20" t="inlineStr">
        <is>
          <t>Alto</t>
        </is>
      </c>
      <c r="G427" s="21" t="n">
        <v>2011</v>
      </c>
      <c r="H427" s="22" t="n">
        <v>100000</v>
      </c>
      <c r="I427" s="22" t="n">
        <v>120000</v>
      </c>
      <c r="J427" s="20" t="inlineStr">
        <is>
          <t>JAIKRISHNAA AUTOSALES PRIVATE LIMITED</t>
        </is>
      </c>
      <c r="K427" s="20" t="inlineStr">
        <is>
          <t>Non-Captive</t>
        </is>
      </c>
      <c r="L427" s="20" t="inlineStr">
        <is>
          <t>SELVA MOTORS</t>
        </is>
      </c>
      <c r="M427" s="23" t="n">
        <v>4237.29</v>
      </c>
    </row>
    <row r="428">
      <c r="A428" s="19" t="inlineStr">
        <is>
          <t>FY26</t>
        </is>
      </c>
      <c r="B428" s="19" t="inlineStr">
        <is>
          <t>Jan</t>
        </is>
      </c>
      <c r="C428" s="19" t="inlineStr">
        <is>
          <t>TN</t>
        </is>
      </c>
      <c r="D428" s="20" t="inlineStr">
        <is>
          <t>TN10AZ0713</t>
        </is>
      </c>
      <c r="E428" s="20" t="inlineStr">
        <is>
          <t>HYUNDAI</t>
        </is>
      </c>
      <c r="F428" s="20" t="inlineStr">
        <is>
          <t>I20</t>
        </is>
      </c>
      <c r="G428" s="21" t="n">
        <v>2017</v>
      </c>
      <c r="H428" s="22" t="n">
        <v>134242</v>
      </c>
      <c r="I428" s="22" t="n">
        <v>370000</v>
      </c>
      <c r="J428" s="20" t="inlineStr">
        <is>
          <t>Khivraj Motor</t>
        </is>
      </c>
      <c r="K428" s="20" t="inlineStr">
        <is>
          <t>Non-Captive</t>
        </is>
      </c>
      <c r="L428" s="20" t="inlineStr">
        <is>
          <t>Chaaran Cars</t>
        </is>
      </c>
      <c r="M428" s="23" t="n">
        <v>2966.1</v>
      </c>
    </row>
    <row r="429">
      <c r="A429" s="19" t="inlineStr">
        <is>
          <t>FY26</t>
        </is>
      </c>
      <c r="B429" s="19" t="inlineStr">
        <is>
          <t>Jan</t>
        </is>
      </c>
      <c r="C429" s="19" t="inlineStr">
        <is>
          <t>TN</t>
        </is>
      </c>
      <c r="D429" s="20" t="inlineStr">
        <is>
          <t>TN07CL0082</t>
        </is>
      </c>
      <c r="E429" s="20" t="inlineStr">
        <is>
          <t>MARUTI SUZUKI</t>
        </is>
      </c>
      <c r="F429" s="20" t="inlineStr">
        <is>
          <t>Swift Dzire</t>
        </is>
      </c>
      <c r="G429" s="21" t="n">
        <v>2017</v>
      </c>
      <c r="H429" s="22" t="n">
        <v>63008</v>
      </c>
      <c r="I429" s="22" t="n">
        <v>250000</v>
      </c>
      <c r="J429" s="20" t="inlineStr">
        <is>
          <t>Khivraj Motor</t>
        </is>
      </c>
      <c r="K429" s="20" t="inlineStr">
        <is>
          <t>Non-Captive</t>
        </is>
      </c>
      <c r="L429" s="20" t="inlineStr">
        <is>
          <t>Chaaran Cars</t>
        </is>
      </c>
      <c r="M429" s="23" t="n">
        <v>2966.1</v>
      </c>
    </row>
    <row r="430">
      <c r="A430" s="19" t="inlineStr">
        <is>
          <t>FY26</t>
        </is>
      </c>
      <c r="B430" s="19" t="inlineStr">
        <is>
          <t>Jan</t>
        </is>
      </c>
      <c r="C430" s="19" t="inlineStr">
        <is>
          <t>TN</t>
        </is>
      </c>
      <c r="D430" s="20" t="inlineStr">
        <is>
          <t>TN10BL5484</t>
        </is>
      </c>
      <c r="E430" s="20" t="inlineStr">
        <is>
          <t>MARUTI SUZUKI</t>
        </is>
      </c>
      <c r="F430" s="20" t="inlineStr">
        <is>
          <t>Swift</t>
        </is>
      </c>
      <c r="G430" s="21" t="n">
        <v>2020</v>
      </c>
      <c r="H430" s="22" t="n">
        <v>30179</v>
      </c>
      <c r="I430" s="22" t="n">
        <v>330000</v>
      </c>
      <c r="J430" s="20" t="inlineStr">
        <is>
          <t>Khivraj Motor</t>
        </is>
      </c>
      <c r="K430" s="20" t="inlineStr">
        <is>
          <t>Non-Captive</t>
        </is>
      </c>
      <c r="L430" s="20" t="inlineStr">
        <is>
          <t>Chaaran Cars</t>
        </is>
      </c>
      <c r="M430" s="23" t="n">
        <v>2966.1</v>
      </c>
    </row>
    <row r="431">
      <c r="A431" s="19" t="inlineStr">
        <is>
          <t>FY26</t>
        </is>
      </c>
      <c r="B431" s="19" t="inlineStr">
        <is>
          <t>Jan</t>
        </is>
      </c>
      <c r="C431" s="19" t="inlineStr">
        <is>
          <t>TN</t>
        </is>
      </c>
      <c r="D431" s="20" t="inlineStr">
        <is>
          <t>TN07CY2107</t>
        </is>
      </c>
      <c r="E431" s="20" t="inlineStr">
        <is>
          <t>MARUTI SUZUKI</t>
        </is>
      </c>
      <c r="F431" s="20" t="inlineStr">
        <is>
          <t>Swift Dzire</t>
        </is>
      </c>
      <c r="G431" s="21" t="n">
        <v>2021</v>
      </c>
      <c r="H431" s="22" t="n">
        <v>19068</v>
      </c>
      <c r="I431" s="22" t="n">
        <v>400000</v>
      </c>
      <c r="J431" s="20" t="inlineStr">
        <is>
          <t>Khivraj Motor</t>
        </is>
      </c>
      <c r="K431" s="20" t="inlineStr">
        <is>
          <t>Non-Captive</t>
        </is>
      </c>
      <c r="L431" s="20" t="inlineStr">
        <is>
          <t>Chaaran Cars</t>
        </is>
      </c>
      <c r="M431" s="23" t="n">
        <v>2966.1</v>
      </c>
    </row>
    <row r="432">
      <c r="A432" s="19" t="inlineStr">
        <is>
          <t>FY26</t>
        </is>
      </c>
      <c r="B432" s="19" t="inlineStr">
        <is>
          <t>Jan</t>
        </is>
      </c>
      <c r="C432" s="19" t="inlineStr">
        <is>
          <t>TN</t>
        </is>
      </c>
      <c r="D432" s="20" t="inlineStr">
        <is>
          <t>TN22DL4851</t>
        </is>
      </c>
      <c r="E432" s="20" t="inlineStr">
        <is>
          <t>RENAULT</t>
        </is>
      </c>
      <c r="F432" s="20" t="inlineStr">
        <is>
          <t>Kwid</t>
        </is>
      </c>
      <c r="G432" s="21" t="n">
        <v>2018</v>
      </c>
      <c r="H432" s="22" t="n">
        <v>63860</v>
      </c>
      <c r="I432" s="22" t="n">
        <v>230000</v>
      </c>
      <c r="J432" s="20" t="inlineStr">
        <is>
          <t>Khivraj Motor</t>
        </is>
      </c>
      <c r="K432" s="20" t="inlineStr">
        <is>
          <t>Non-Captive</t>
        </is>
      </c>
      <c r="L432" s="20" t="inlineStr">
        <is>
          <t>Santhosh Cars</t>
        </is>
      </c>
      <c r="M432" s="23" t="n">
        <v>2966.1</v>
      </c>
    </row>
    <row r="433">
      <c r="A433" s="19" t="inlineStr">
        <is>
          <t>FY26</t>
        </is>
      </c>
      <c r="B433" s="19" t="inlineStr">
        <is>
          <t>Jan</t>
        </is>
      </c>
      <c r="C433" s="19" t="inlineStr">
        <is>
          <t>TN</t>
        </is>
      </c>
      <c r="D433" s="20" t="inlineStr">
        <is>
          <t>TN07DH5261</t>
        </is>
      </c>
      <c r="E433" s="20" t="inlineStr">
        <is>
          <t>MARUTI SUZUKI</t>
        </is>
      </c>
      <c r="F433" s="20" t="inlineStr">
        <is>
          <t>Alto</t>
        </is>
      </c>
      <c r="G433" s="21" t="n">
        <v>2024</v>
      </c>
      <c r="H433" s="22" t="n">
        <v>2031</v>
      </c>
      <c r="I433" s="22" t="n">
        <v>400000</v>
      </c>
      <c r="J433" s="20" t="inlineStr">
        <is>
          <t>Khivraj Motor</t>
        </is>
      </c>
      <c r="K433" s="20" t="inlineStr">
        <is>
          <t>Non-Captive</t>
        </is>
      </c>
      <c r="L433" s="20" t="inlineStr">
        <is>
          <t>Santhosh Cars</t>
        </is>
      </c>
      <c r="M433" s="23" t="n">
        <v>2966.1</v>
      </c>
    </row>
    <row r="434">
      <c r="A434" s="19" t="inlineStr">
        <is>
          <t>FY26</t>
        </is>
      </c>
      <c r="B434" s="19" t="inlineStr">
        <is>
          <t>Jan</t>
        </is>
      </c>
      <c r="C434" s="19" t="inlineStr">
        <is>
          <t>TN</t>
        </is>
      </c>
      <c r="D434" s="20" t="inlineStr">
        <is>
          <t>TN12R2783</t>
        </is>
      </c>
      <c r="E434" s="20" t="inlineStr">
        <is>
          <t>HYUNDAI</t>
        </is>
      </c>
      <c r="F434" s="20" t="inlineStr">
        <is>
          <t>Eon</t>
        </is>
      </c>
      <c r="G434" s="21" t="n">
        <v>2016</v>
      </c>
      <c r="H434" s="22" t="n">
        <v>93970</v>
      </c>
      <c r="I434" s="22" t="n">
        <v>160000</v>
      </c>
      <c r="J434" s="20" t="inlineStr">
        <is>
          <t>Khivraj Motor</t>
        </is>
      </c>
      <c r="K434" s="20" t="inlineStr">
        <is>
          <t>Non-Captive</t>
        </is>
      </c>
      <c r="L434" s="20" t="inlineStr">
        <is>
          <t>Santhosh Cars</t>
        </is>
      </c>
      <c r="M434" s="23" t="n">
        <v>2966.1</v>
      </c>
    </row>
    <row r="435">
      <c r="A435" s="19" t="inlineStr">
        <is>
          <t>FY26</t>
        </is>
      </c>
      <c r="B435" s="19" t="inlineStr">
        <is>
          <t>Jan</t>
        </is>
      </c>
      <c r="C435" s="19" t="inlineStr">
        <is>
          <t>TN</t>
        </is>
      </c>
      <c r="D435" s="20" t="inlineStr">
        <is>
          <t>TN11K7075</t>
        </is>
      </c>
      <c r="E435" s="20" t="inlineStr">
        <is>
          <t>VOLKSWAGEN</t>
        </is>
      </c>
      <c r="F435" s="20" t="inlineStr">
        <is>
          <t>Vento</t>
        </is>
      </c>
      <c r="G435" s="21" t="n">
        <v>2014</v>
      </c>
      <c r="H435" s="22" t="n">
        <v>157891</v>
      </c>
      <c r="I435" s="22" t="n">
        <v>175000</v>
      </c>
      <c r="J435" s="20" t="inlineStr">
        <is>
          <t>Khivraj Motor</t>
        </is>
      </c>
      <c r="K435" s="20" t="inlineStr">
        <is>
          <t>Non-Captive</t>
        </is>
      </c>
      <c r="L435" s="20" t="inlineStr">
        <is>
          <t>Santhosh Cars</t>
        </is>
      </c>
      <c r="M435" s="23" t="n">
        <v>2966.1</v>
      </c>
    </row>
    <row r="436">
      <c r="A436" s="19" t="inlineStr">
        <is>
          <t>FY26</t>
        </is>
      </c>
      <c r="B436" s="19" t="inlineStr">
        <is>
          <t>Jan</t>
        </is>
      </c>
      <c r="C436" s="19" t="inlineStr">
        <is>
          <t>TN</t>
        </is>
      </c>
      <c r="D436" s="20" t="inlineStr">
        <is>
          <t>TN01BQ8150</t>
        </is>
      </c>
      <c r="E436" s="20" t="inlineStr">
        <is>
          <t>MARUTI SUZUKI</t>
        </is>
      </c>
      <c r="F436" s="20" t="inlineStr">
        <is>
          <t>Swift Dzire</t>
        </is>
      </c>
      <c r="G436" s="21" t="n">
        <v>2023</v>
      </c>
      <c r="H436" s="22" t="n">
        <v>20647</v>
      </c>
      <c r="I436" s="22" t="n">
        <v>550000</v>
      </c>
      <c r="J436" s="20" t="inlineStr">
        <is>
          <t>Khivraj Motor</t>
        </is>
      </c>
      <c r="K436" s="20" t="inlineStr">
        <is>
          <t>Non-Captive</t>
        </is>
      </c>
      <c r="L436" s="20" t="inlineStr">
        <is>
          <t>Santhosh Cars</t>
        </is>
      </c>
      <c r="M436" s="23" t="n">
        <v>2966.1</v>
      </c>
    </row>
    <row r="437">
      <c r="A437" s="19" t="inlineStr">
        <is>
          <t>FY26</t>
        </is>
      </c>
      <c r="B437" s="19" t="inlineStr">
        <is>
          <t>Jan</t>
        </is>
      </c>
      <c r="C437" s="19" t="inlineStr">
        <is>
          <t>TN</t>
        </is>
      </c>
      <c r="D437" s="20" t="inlineStr">
        <is>
          <t>TN14P6833</t>
        </is>
      </c>
      <c r="E437" s="20" t="inlineStr">
        <is>
          <t>MARUTI SUZUKI</t>
        </is>
      </c>
      <c r="F437" s="20" t="inlineStr">
        <is>
          <t>Swift</t>
        </is>
      </c>
      <c r="G437" s="21" t="n">
        <v>2018</v>
      </c>
      <c r="H437" s="22" t="n">
        <v>71757</v>
      </c>
      <c r="I437" s="22" t="n">
        <v>400000</v>
      </c>
      <c r="J437" s="20" t="inlineStr">
        <is>
          <t>Khivraj Motor</t>
        </is>
      </c>
      <c r="K437" s="20" t="inlineStr">
        <is>
          <t>Non-Captive</t>
        </is>
      </c>
      <c r="L437" s="20" t="inlineStr">
        <is>
          <t>Santhosh Cars</t>
        </is>
      </c>
      <c r="M437" s="23" t="n">
        <v>2966.1</v>
      </c>
    </row>
    <row r="438">
      <c r="A438" s="19" t="inlineStr">
        <is>
          <t>FY26</t>
        </is>
      </c>
      <c r="B438" s="19" t="inlineStr">
        <is>
          <t>Jan</t>
        </is>
      </c>
      <c r="C438" s="19" t="inlineStr">
        <is>
          <t>TN</t>
        </is>
      </c>
      <c r="D438" s="20" t="inlineStr">
        <is>
          <t>TN09CD2088</t>
        </is>
      </c>
      <c r="E438" s="20" t="inlineStr">
        <is>
          <t>MARUTI SUZUKI</t>
        </is>
      </c>
      <c r="F438" s="20" t="inlineStr">
        <is>
          <t>Celerio</t>
        </is>
      </c>
      <c r="G438" s="21" t="n">
        <v>2016</v>
      </c>
      <c r="H438" s="22" t="n">
        <v>77645</v>
      </c>
      <c r="I438" s="22" t="n">
        <v>230000</v>
      </c>
      <c r="J438" s="20" t="inlineStr">
        <is>
          <t>Khivraj Motor</t>
        </is>
      </c>
      <c r="K438" s="20" t="inlineStr">
        <is>
          <t>Non-Captive</t>
        </is>
      </c>
      <c r="L438" s="20" t="inlineStr">
        <is>
          <t>Santhosh Cars</t>
        </is>
      </c>
      <c r="M438" s="23" t="n">
        <v>2966.1</v>
      </c>
    </row>
    <row r="439">
      <c r="A439" s="19" t="inlineStr">
        <is>
          <t>FY26</t>
        </is>
      </c>
      <c r="B439" s="19" t="inlineStr">
        <is>
          <t>Jan</t>
        </is>
      </c>
      <c r="C439" s="19" t="inlineStr">
        <is>
          <t>TN</t>
        </is>
      </c>
      <c r="D439" s="20" t="inlineStr">
        <is>
          <t>TN05AJ9459</t>
        </is>
      </c>
      <c r="E439" s="20" t="inlineStr">
        <is>
          <t>MARUTI SUZUKI</t>
        </is>
      </c>
      <c r="F439" s="20" t="inlineStr">
        <is>
          <t>Wagon R</t>
        </is>
      </c>
      <c r="G439" s="21" t="n">
        <v>2011</v>
      </c>
      <c r="H439" s="22" t="n">
        <v>87652</v>
      </c>
      <c r="I439" s="22" t="n">
        <v>120000</v>
      </c>
      <c r="J439" s="20" t="inlineStr">
        <is>
          <t>Khivraj Motor</t>
        </is>
      </c>
      <c r="K439" s="20" t="inlineStr">
        <is>
          <t>Non-Captive</t>
        </is>
      </c>
      <c r="L439" s="20" t="inlineStr">
        <is>
          <t>Santhosh Cars</t>
        </is>
      </c>
      <c r="M439" s="23" t="n">
        <v>2966.1</v>
      </c>
    </row>
    <row r="440">
      <c r="A440" s="19" t="inlineStr">
        <is>
          <t>FY26</t>
        </is>
      </c>
      <c r="B440" s="19" t="inlineStr">
        <is>
          <t>Jan</t>
        </is>
      </c>
      <c r="C440" s="19" t="inlineStr">
        <is>
          <t>TN</t>
        </is>
      </c>
      <c r="D440" s="20" t="inlineStr">
        <is>
          <t>TN06U6585</t>
        </is>
      </c>
      <c r="E440" s="20" t="inlineStr">
        <is>
          <t>MARUTI SUZUKI</t>
        </is>
      </c>
      <c r="F440" s="20" t="inlineStr">
        <is>
          <t>Ignis</t>
        </is>
      </c>
      <c r="G440" s="21" t="n">
        <v>2017</v>
      </c>
      <c r="H440" s="22" t="n">
        <v>40985</v>
      </c>
      <c r="I440" s="22" t="n">
        <v>300000</v>
      </c>
      <c r="J440" s="20" t="inlineStr">
        <is>
          <t>Khivraj Motor</t>
        </is>
      </c>
      <c r="K440" s="20" t="inlineStr">
        <is>
          <t>Non-Captive</t>
        </is>
      </c>
      <c r="L440" s="20" t="inlineStr">
        <is>
          <t>Santhosh Cars</t>
        </is>
      </c>
      <c r="M440" s="23" t="n">
        <v>2966.1</v>
      </c>
    </row>
    <row r="441">
      <c r="A441" s="19" t="inlineStr">
        <is>
          <t>FY26</t>
        </is>
      </c>
      <c r="B441" s="19" t="inlineStr">
        <is>
          <t>Jan</t>
        </is>
      </c>
      <c r="C441" s="19" t="inlineStr">
        <is>
          <t>TN</t>
        </is>
      </c>
      <c r="D441" s="20" t="inlineStr">
        <is>
          <t>TN06M0585</t>
        </is>
      </c>
      <c r="E441" s="20" t="inlineStr">
        <is>
          <t>HONDA</t>
        </is>
      </c>
      <c r="F441" s="20" t="inlineStr">
        <is>
          <t>Mobilio</t>
        </is>
      </c>
      <c r="G441" s="21" t="n">
        <v>2014</v>
      </c>
      <c r="H441" s="22" t="n">
        <v>121233</v>
      </c>
      <c r="I441" s="22" t="n">
        <v>300000</v>
      </c>
      <c r="J441" s="20" t="inlineStr">
        <is>
          <t>Khivraj Motor</t>
        </is>
      </c>
      <c r="K441" s="20" t="inlineStr">
        <is>
          <t>Non-Captive</t>
        </is>
      </c>
      <c r="L441" s="20" t="inlineStr">
        <is>
          <t>Santhosh Cars</t>
        </is>
      </c>
      <c r="M441" s="23" t="n">
        <v>2966.1</v>
      </c>
    </row>
    <row r="442">
      <c r="A442" s="19" t="inlineStr">
        <is>
          <t>FY26</t>
        </is>
      </c>
      <c r="B442" s="19" t="inlineStr">
        <is>
          <t>Jan</t>
        </is>
      </c>
      <c r="C442" s="19" t="inlineStr">
        <is>
          <t>TN</t>
        </is>
      </c>
      <c r="D442" s="20" t="inlineStr">
        <is>
          <t>TN07BB1164</t>
        </is>
      </c>
      <c r="E442" s="20" t="inlineStr">
        <is>
          <t>MARUTI SUZUKI</t>
        </is>
      </c>
      <c r="F442" s="20" t="inlineStr">
        <is>
          <t>M800</t>
        </is>
      </c>
      <c r="G442" s="21" t="n">
        <v>2008</v>
      </c>
      <c r="H442" s="22" t="n">
        <v>54119</v>
      </c>
      <c r="I442" s="22" t="n">
        <v>50000</v>
      </c>
      <c r="J442" s="20" t="inlineStr">
        <is>
          <t>Khivraj Motor</t>
        </is>
      </c>
      <c r="K442" s="20" t="inlineStr">
        <is>
          <t>Non-Captive</t>
        </is>
      </c>
      <c r="L442" s="20" t="inlineStr">
        <is>
          <t>Santhosh Cars</t>
        </is>
      </c>
      <c r="M442" s="23" t="n">
        <v>2966.1</v>
      </c>
    </row>
    <row r="443">
      <c r="A443" s="19" t="inlineStr">
        <is>
          <t>FY26</t>
        </is>
      </c>
      <c r="B443" s="19" t="inlineStr">
        <is>
          <t>Jan</t>
        </is>
      </c>
      <c r="C443" s="19" t="inlineStr">
        <is>
          <t>TN</t>
        </is>
      </c>
      <c r="D443" s="20" t="inlineStr">
        <is>
          <t>TN05BP3457</t>
        </is>
      </c>
      <c r="E443" s="20" t="inlineStr">
        <is>
          <t>MARUTI SUZUKI</t>
        </is>
      </c>
      <c r="F443" s="20" t="inlineStr">
        <is>
          <t>Celerio</t>
        </is>
      </c>
      <c r="G443" s="21" t="n">
        <v>2017</v>
      </c>
      <c r="H443" s="22" t="n">
        <v>55497</v>
      </c>
      <c r="I443" s="22" t="n">
        <v>380000</v>
      </c>
      <c r="J443" s="20" t="inlineStr">
        <is>
          <t>Khivraj Motor</t>
        </is>
      </c>
      <c r="K443" s="20" t="inlineStr">
        <is>
          <t>Non-Captive</t>
        </is>
      </c>
      <c r="L443" s="20" t="inlineStr">
        <is>
          <t>Santhosh Cars</t>
        </is>
      </c>
      <c r="M443" s="23" t="n">
        <v>2966.1</v>
      </c>
    </row>
    <row r="444">
      <c r="A444" s="19" t="inlineStr">
        <is>
          <t>FY26</t>
        </is>
      </c>
      <c r="B444" s="19" t="inlineStr">
        <is>
          <t>Jan</t>
        </is>
      </c>
      <c r="C444" s="19" t="inlineStr">
        <is>
          <t>TN</t>
        </is>
      </c>
      <c r="D444" s="20" t="inlineStr">
        <is>
          <t>TN02BQ7988</t>
        </is>
      </c>
      <c r="E444" s="20" t="inlineStr">
        <is>
          <t>HYUNDAI</t>
        </is>
      </c>
      <c r="F444" s="20" t="inlineStr">
        <is>
          <t>Venue</t>
        </is>
      </c>
      <c r="G444" s="21" t="n">
        <v>2019</v>
      </c>
      <c r="H444" s="22" t="n">
        <v>34256</v>
      </c>
      <c r="I444" s="22" t="n">
        <v>550000</v>
      </c>
      <c r="J444" s="20" t="inlineStr">
        <is>
          <t>Khivraj Motor</t>
        </is>
      </c>
      <c r="K444" s="20" t="inlineStr">
        <is>
          <t>Non-Captive</t>
        </is>
      </c>
      <c r="L444" s="20" t="inlineStr">
        <is>
          <t>Senthil Cars</t>
        </is>
      </c>
      <c r="M444" s="23" t="n">
        <v>2966.1</v>
      </c>
    </row>
    <row r="445">
      <c r="A445" s="19" t="inlineStr">
        <is>
          <t>FY26</t>
        </is>
      </c>
      <c r="B445" s="19" t="inlineStr">
        <is>
          <t>Jan</t>
        </is>
      </c>
      <c r="C445" s="19" t="inlineStr">
        <is>
          <t>TN</t>
        </is>
      </c>
      <c r="D445" s="20" t="inlineStr">
        <is>
          <t>TN09CD9705</t>
        </is>
      </c>
      <c r="E445" s="20" t="inlineStr">
        <is>
          <t>MARUTI SUZUKI</t>
        </is>
      </c>
      <c r="F445" s="20" t="inlineStr">
        <is>
          <t>Celerio</t>
        </is>
      </c>
      <c r="G445" s="21" t="n">
        <v>2016</v>
      </c>
      <c r="H445" s="22" t="n">
        <v>55558</v>
      </c>
      <c r="I445" s="22" t="n">
        <v>235000</v>
      </c>
      <c r="J445" s="20" t="inlineStr">
        <is>
          <t>Khivraj Motor</t>
        </is>
      </c>
      <c r="K445" s="20" t="inlineStr">
        <is>
          <t>Non-Captive</t>
        </is>
      </c>
      <c r="L445" s="20" t="inlineStr">
        <is>
          <t>Senthil Cars</t>
        </is>
      </c>
      <c r="M445" s="23" t="n">
        <v>2966.1</v>
      </c>
    </row>
    <row r="446">
      <c r="A446" s="19" t="inlineStr">
        <is>
          <t>FY26</t>
        </is>
      </c>
      <c r="B446" s="19" t="inlineStr">
        <is>
          <t>Jan</t>
        </is>
      </c>
      <c r="C446" s="19" t="inlineStr">
        <is>
          <t>TN</t>
        </is>
      </c>
      <c r="D446" s="20" t="inlineStr">
        <is>
          <t>TN12Y4221</t>
        </is>
      </c>
      <c r="E446" s="20" t="inlineStr">
        <is>
          <t>MARUTI SUZUKI</t>
        </is>
      </c>
      <c r="F446" s="20" t="inlineStr">
        <is>
          <t>Celerio</t>
        </is>
      </c>
      <c r="G446" s="21" t="n">
        <v>2018</v>
      </c>
      <c r="H446" s="22" t="n">
        <v>64763</v>
      </c>
      <c r="I446" s="22" t="n">
        <v>250000</v>
      </c>
      <c r="J446" s="20" t="inlineStr">
        <is>
          <t>Khivraj Motor</t>
        </is>
      </c>
      <c r="K446" s="20" t="inlineStr">
        <is>
          <t>Non-Captive</t>
        </is>
      </c>
      <c r="L446" s="20" t="inlineStr">
        <is>
          <t>Senthil Cars</t>
        </is>
      </c>
      <c r="M446" s="23" t="n">
        <v>2966.1</v>
      </c>
    </row>
    <row r="447">
      <c r="A447" s="19" t="inlineStr">
        <is>
          <t>FY26</t>
        </is>
      </c>
      <c r="B447" s="19" t="inlineStr">
        <is>
          <t>Jan</t>
        </is>
      </c>
      <c r="C447" s="19" t="inlineStr">
        <is>
          <t>TN</t>
        </is>
      </c>
      <c r="D447" s="20" t="inlineStr">
        <is>
          <t>TN06AB2894</t>
        </is>
      </c>
      <c r="E447" s="20" t="inlineStr">
        <is>
          <t>MARUTI SUZUKI</t>
        </is>
      </c>
      <c r="F447" s="20" t="inlineStr">
        <is>
          <t>Swift</t>
        </is>
      </c>
      <c r="G447" s="21" t="n">
        <v>2021</v>
      </c>
      <c r="H447" s="22" t="n">
        <v>31487</v>
      </c>
      <c r="I447" s="22" t="n">
        <v>470000</v>
      </c>
      <c r="J447" s="20" t="inlineStr">
        <is>
          <t>Khivraj Motor</t>
        </is>
      </c>
      <c r="K447" s="20" t="inlineStr">
        <is>
          <t>Non-Captive</t>
        </is>
      </c>
      <c r="L447" s="20" t="inlineStr">
        <is>
          <t>Senthil Cars</t>
        </is>
      </c>
      <c r="M447" s="23" t="n">
        <v>2966.1</v>
      </c>
    </row>
    <row r="448">
      <c r="A448" s="19" t="inlineStr">
        <is>
          <t>FY26</t>
        </is>
      </c>
      <c r="B448" s="19" t="inlineStr">
        <is>
          <t>Jan</t>
        </is>
      </c>
      <c r="C448" s="19" t="inlineStr">
        <is>
          <t>TN</t>
        </is>
      </c>
      <c r="D448" s="20" t="inlineStr">
        <is>
          <t>TN13R0954</t>
        </is>
      </c>
      <c r="E448" s="20" t="inlineStr">
        <is>
          <t>TATA</t>
        </is>
      </c>
      <c r="F448" s="20" t="inlineStr">
        <is>
          <t>Tiago</t>
        </is>
      </c>
      <c r="G448" s="21" t="n">
        <v>2019</v>
      </c>
      <c r="H448" s="22" t="n">
        <v>43231</v>
      </c>
      <c r="I448" s="22" t="n">
        <v>300000</v>
      </c>
      <c r="J448" s="20" t="inlineStr">
        <is>
          <t>Khivraj Motor</t>
        </is>
      </c>
      <c r="K448" s="20" t="inlineStr">
        <is>
          <t>Non-Captive</t>
        </is>
      </c>
      <c r="L448" s="20" t="inlineStr">
        <is>
          <t>Senthil Cars</t>
        </is>
      </c>
      <c r="M448" s="23" t="n">
        <v>2966.1</v>
      </c>
    </row>
    <row r="449">
      <c r="A449" s="19" t="inlineStr">
        <is>
          <t>FY26</t>
        </is>
      </c>
      <c r="B449" s="19" t="inlineStr">
        <is>
          <t>Jan</t>
        </is>
      </c>
      <c r="C449" s="19" t="inlineStr">
        <is>
          <t>TN</t>
        </is>
      </c>
      <c r="D449" s="20" t="inlineStr">
        <is>
          <t>TN13M4749</t>
        </is>
      </c>
      <c r="E449" s="20" t="inlineStr">
        <is>
          <t>MARUTI SUZUKI</t>
        </is>
      </c>
      <c r="F449" s="20" t="inlineStr">
        <is>
          <t>Swift Dzire</t>
        </is>
      </c>
      <c r="G449" s="21" t="n">
        <v>2018</v>
      </c>
      <c r="H449" s="22" t="n">
        <v>59314</v>
      </c>
      <c r="I449" s="22" t="n">
        <v>400000</v>
      </c>
      <c r="J449" s="20" t="inlineStr">
        <is>
          <t>Khivraj Motor</t>
        </is>
      </c>
      <c r="K449" s="20" t="inlineStr">
        <is>
          <t>Non-Captive</t>
        </is>
      </c>
      <c r="L449" s="20" t="inlineStr">
        <is>
          <t>Senthil Cars</t>
        </is>
      </c>
      <c r="M449" s="23" t="n">
        <v>2966.1</v>
      </c>
    </row>
    <row r="450">
      <c r="A450" s="19" t="inlineStr">
        <is>
          <t>FY26</t>
        </is>
      </c>
      <c r="B450" s="19" t="inlineStr">
        <is>
          <t>Jan</t>
        </is>
      </c>
      <c r="C450" s="19" t="inlineStr">
        <is>
          <t>TN</t>
        </is>
      </c>
      <c r="D450" s="20" t="inlineStr">
        <is>
          <t>TN11Z2385</t>
        </is>
      </c>
      <c r="E450" s="20" t="inlineStr">
        <is>
          <t>HYUNDAI</t>
        </is>
      </c>
      <c r="F450" s="20" t="inlineStr">
        <is>
          <t>I10</t>
        </is>
      </c>
      <c r="G450" s="21" t="n">
        <v>2012</v>
      </c>
      <c r="H450" s="22" t="n">
        <v>79783</v>
      </c>
      <c r="I450" s="22" t="n">
        <v>160000</v>
      </c>
      <c r="J450" s="20" t="inlineStr">
        <is>
          <t>Khivraj Motor</t>
        </is>
      </c>
      <c r="K450" s="20" t="inlineStr">
        <is>
          <t>Non-Captive</t>
        </is>
      </c>
      <c r="L450" s="20" t="inlineStr">
        <is>
          <t>Senthil Cars</t>
        </is>
      </c>
      <c r="M450" s="23" t="n">
        <v>2966.1</v>
      </c>
    </row>
    <row r="451">
      <c r="A451" s="19" t="inlineStr">
        <is>
          <t>FY26</t>
        </is>
      </c>
      <c r="B451" s="19" t="inlineStr">
        <is>
          <t>Jan</t>
        </is>
      </c>
      <c r="C451" s="19" t="inlineStr">
        <is>
          <t>TN</t>
        </is>
      </c>
      <c r="D451" s="20" t="inlineStr">
        <is>
          <t>TN12AH4291</t>
        </is>
      </c>
      <c r="E451" s="20" t="inlineStr">
        <is>
          <t>MARUTI SUZUKI</t>
        </is>
      </c>
      <c r="F451" s="20" t="inlineStr">
        <is>
          <t>Wagon R</t>
        </is>
      </c>
      <c r="G451" s="21" t="n">
        <v>2019</v>
      </c>
      <c r="H451" s="22" t="n">
        <v>86603</v>
      </c>
      <c r="I451" s="22" t="n">
        <v>380000</v>
      </c>
      <c r="J451" s="20" t="inlineStr">
        <is>
          <t>Khivraj Motor</t>
        </is>
      </c>
      <c r="K451" s="20" t="inlineStr">
        <is>
          <t>Non-Captive</t>
        </is>
      </c>
      <c r="L451" s="20" t="inlineStr">
        <is>
          <t>Essar Preowned Cars</t>
        </is>
      </c>
      <c r="M451" s="23" t="n">
        <v>2966.1</v>
      </c>
    </row>
    <row r="452">
      <c r="A452" s="19" t="inlineStr">
        <is>
          <t>FY26</t>
        </is>
      </c>
      <c r="B452" s="19" t="inlineStr">
        <is>
          <t>Jan</t>
        </is>
      </c>
      <c r="C452" s="19" t="inlineStr">
        <is>
          <t>TN</t>
        </is>
      </c>
      <c r="D452" s="20" t="inlineStr">
        <is>
          <t>TN73AX6348</t>
        </is>
      </c>
      <c r="E452" s="20" t="inlineStr">
        <is>
          <t>RENAULT</t>
        </is>
      </c>
      <c r="F452" s="20" t="inlineStr">
        <is>
          <t>Kwid</t>
        </is>
      </c>
      <c r="G452" s="21" t="n">
        <v>2021</v>
      </c>
      <c r="H452" s="22" t="n">
        <v>16506</v>
      </c>
      <c r="I452" s="22" t="n">
        <v>300000</v>
      </c>
      <c r="J452" s="20" t="inlineStr">
        <is>
          <t>Khivraj Motor</t>
        </is>
      </c>
      <c r="K452" s="20" t="inlineStr">
        <is>
          <t>Non-Captive</t>
        </is>
      </c>
      <c r="L452" s="20" t="inlineStr">
        <is>
          <t>Essar Preowned Cars</t>
        </is>
      </c>
      <c r="M452" s="23" t="n">
        <v>2966.1</v>
      </c>
    </row>
    <row r="453">
      <c r="A453" s="19" t="inlineStr">
        <is>
          <t>FY26</t>
        </is>
      </c>
      <c r="B453" s="19" t="inlineStr">
        <is>
          <t>Jan</t>
        </is>
      </c>
      <c r="C453" s="19" t="inlineStr">
        <is>
          <t>TN</t>
        </is>
      </c>
      <c r="D453" s="20" t="inlineStr">
        <is>
          <t>TN18AX3827</t>
        </is>
      </c>
      <c r="E453" s="20" t="inlineStr">
        <is>
          <t>MARUTI SUZUKI</t>
        </is>
      </c>
      <c r="F453" s="20" t="inlineStr">
        <is>
          <t>Alto</t>
        </is>
      </c>
      <c r="G453" s="21" t="n">
        <v>2018</v>
      </c>
      <c r="H453" s="22" t="n">
        <v>55641</v>
      </c>
      <c r="I453" s="22" t="n">
        <v>230000</v>
      </c>
      <c r="J453" s="20" t="inlineStr">
        <is>
          <t>Khivraj Motor</t>
        </is>
      </c>
      <c r="K453" s="20" t="inlineStr">
        <is>
          <t>Non-Captive</t>
        </is>
      </c>
      <c r="L453" s="20" t="inlineStr">
        <is>
          <t>Essar Preowned Cars</t>
        </is>
      </c>
      <c r="M453" s="23" t="n">
        <v>2966.1</v>
      </c>
    </row>
    <row r="454">
      <c r="A454" s="19" t="inlineStr">
        <is>
          <t>FY26</t>
        </is>
      </c>
      <c r="B454" s="19" t="inlineStr">
        <is>
          <t>Jan</t>
        </is>
      </c>
      <c r="C454" s="19" t="inlineStr">
        <is>
          <t>TN</t>
        </is>
      </c>
      <c r="D454" s="20" t="inlineStr">
        <is>
          <t>TN13C9999</t>
        </is>
      </c>
      <c r="E454" s="20" t="inlineStr">
        <is>
          <t>HONDA</t>
        </is>
      </c>
      <c r="F454" s="20" t="inlineStr">
        <is>
          <t>City</t>
        </is>
      </c>
      <c r="G454" s="21" t="n">
        <v>2014</v>
      </c>
      <c r="H454" s="22" t="n">
        <v>117637</v>
      </c>
      <c r="I454" s="22" t="n">
        <v>300000</v>
      </c>
      <c r="J454" s="20" t="inlineStr">
        <is>
          <t>Khivraj Motor</t>
        </is>
      </c>
      <c r="K454" s="20" t="inlineStr">
        <is>
          <t>Non-Captive</t>
        </is>
      </c>
      <c r="L454" s="20" t="inlineStr">
        <is>
          <t>Essar Preowned Cars</t>
        </is>
      </c>
      <c r="M454" s="23" t="n">
        <v>2966.1</v>
      </c>
    </row>
    <row r="455">
      <c r="A455" s="19" t="inlineStr">
        <is>
          <t>FY26</t>
        </is>
      </c>
      <c r="B455" s="19" t="inlineStr">
        <is>
          <t>Jan</t>
        </is>
      </c>
      <c r="C455" s="19" t="inlineStr">
        <is>
          <t>TN</t>
        </is>
      </c>
      <c r="D455" s="20" t="inlineStr">
        <is>
          <t>TN03P4986</t>
        </is>
      </c>
      <c r="E455" s="20" t="inlineStr">
        <is>
          <t>HYUNDAI</t>
        </is>
      </c>
      <c r="F455" s="20" t="inlineStr">
        <is>
          <t>Grand I10</t>
        </is>
      </c>
      <c r="G455" s="21" t="n">
        <v>2014</v>
      </c>
      <c r="H455" s="22" t="n">
        <v>55425</v>
      </c>
      <c r="I455" s="22" t="n">
        <v>280000</v>
      </c>
      <c r="J455" s="20" t="inlineStr">
        <is>
          <t>Khivraj Motor</t>
        </is>
      </c>
      <c r="K455" s="20" t="inlineStr">
        <is>
          <t>Non-Captive</t>
        </is>
      </c>
      <c r="L455" s="20" t="inlineStr">
        <is>
          <t>Shakthi Cars</t>
        </is>
      </c>
      <c r="M455" s="23" t="n">
        <v>2966.1</v>
      </c>
    </row>
    <row r="456">
      <c r="A456" s="19" t="inlineStr">
        <is>
          <t>FY26</t>
        </is>
      </c>
      <c r="B456" s="19" t="inlineStr">
        <is>
          <t>Jan</t>
        </is>
      </c>
      <c r="C456" s="19" t="inlineStr">
        <is>
          <t>TN</t>
        </is>
      </c>
      <c r="D456" s="20" t="inlineStr">
        <is>
          <t>TN18BF2719</t>
        </is>
      </c>
      <c r="E456" s="20" t="inlineStr">
        <is>
          <t>MARUTI SUZUKI</t>
        </is>
      </c>
      <c r="F456" s="20" t="inlineStr">
        <is>
          <t>Ertiga</t>
        </is>
      </c>
      <c r="G456" s="21" t="n">
        <v>2021</v>
      </c>
      <c r="H456" s="22" t="n">
        <v>31960</v>
      </c>
      <c r="I456" s="22" t="n">
        <v>760000</v>
      </c>
      <c r="J456" s="20" t="inlineStr">
        <is>
          <t>Khivraj Motor</t>
        </is>
      </c>
      <c r="K456" s="20" t="inlineStr">
        <is>
          <t>Non-Captive</t>
        </is>
      </c>
      <c r="L456" s="20" t="inlineStr">
        <is>
          <t>Shakthi Cars</t>
        </is>
      </c>
      <c r="M456" s="23" t="n">
        <v>2966.1</v>
      </c>
    </row>
    <row r="457">
      <c r="A457" s="19" t="inlineStr">
        <is>
          <t>FY26</t>
        </is>
      </c>
      <c r="B457" s="19" t="inlineStr">
        <is>
          <t>Jan</t>
        </is>
      </c>
      <c r="C457" s="19" t="inlineStr">
        <is>
          <t>TN</t>
        </is>
      </c>
      <c r="D457" s="20" t="inlineStr">
        <is>
          <t>TN06W7968</t>
        </is>
      </c>
      <c r="E457" s="20" t="inlineStr">
        <is>
          <t>MARUTI SUZUKI</t>
        </is>
      </c>
      <c r="F457" s="20" t="inlineStr">
        <is>
          <t>Alto</t>
        </is>
      </c>
      <c r="G457" s="21" t="n">
        <v>2018</v>
      </c>
      <c r="H457" s="22" t="n">
        <v>68967</v>
      </c>
      <c r="I457" s="22" t="n">
        <v>180000</v>
      </c>
      <c r="J457" s="20" t="inlineStr">
        <is>
          <t>Khivraj Motor</t>
        </is>
      </c>
      <c r="K457" s="20" t="inlineStr">
        <is>
          <t>Non-Captive</t>
        </is>
      </c>
      <c r="L457" s="20" t="inlineStr">
        <is>
          <t>Shakthi Cars</t>
        </is>
      </c>
      <c r="M457" s="23" t="n">
        <v>2966.1</v>
      </c>
    </row>
    <row r="458">
      <c r="A458" s="19" t="inlineStr">
        <is>
          <t>FY26</t>
        </is>
      </c>
      <c r="B458" s="19" t="inlineStr">
        <is>
          <t>Jan</t>
        </is>
      </c>
      <c r="C458" s="19" t="inlineStr">
        <is>
          <t>TN</t>
        </is>
      </c>
      <c r="D458" s="20" t="inlineStr">
        <is>
          <t>TN19AH3798</t>
        </is>
      </c>
      <c r="E458" s="20" t="inlineStr">
        <is>
          <t>MARUTI SUZUKI</t>
        </is>
      </c>
      <c r="F458" s="20" t="inlineStr">
        <is>
          <t>Alto</t>
        </is>
      </c>
      <c r="G458" s="21" t="n">
        <v>2018</v>
      </c>
      <c r="H458" s="22" t="n">
        <v>33659</v>
      </c>
      <c r="I458" s="22" t="n">
        <v>240000</v>
      </c>
      <c r="J458" s="20" t="inlineStr">
        <is>
          <t>Khivraj Motor</t>
        </is>
      </c>
      <c r="K458" s="20" t="inlineStr">
        <is>
          <t>Non-Captive</t>
        </is>
      </c>
      <c r="L458" s="20" t="inlineStr">
        <is>
          <t>Shakthi Cars</t>
        </is>
      </c>
      <c r="M458" s="23" t="n">
        <v>2966.1</v>
      </c>
    </row>
    <row r="459">
      <c r="A459" s="19" t="inlineStr">
        <is>
          <t>FY26</t>
        </is>
      </c>
      <c r="B459" s="19" t="inlineStr">
        <is>
          <t>Jan</t>
        </is>
      </c>
      <c r="C459" s="19" t="inlineStr">
        <is>
          <t>TN</t>
        </is>
      </c>
      <c r="D459" s="20" t="inlineStr">
        <is>
          <t>TN02BB3197</t>
        </is>
      </c>
      <c r="E459" s="20" t="inlineStr">
        <is>
          <t>HYUNDAI</t>
        </is>
      </c>
      <c r="F459" s="20" t="inlineStr">
        <is>
          <t>Eon</t>
        </is>
      </c>
      <c r="G459" s="21" t="n">
        <v>2015</v>
      </c>
      <c r="H459" s="22" t="n">
        <v>56304</v>
      </c>
      <c r="I459" s="22" t="n">
        <v>250000</v>
      </c>
      <c r="J459" s="20" t="inlineStr">
        <is>
          <t>Khivraj Motor</t>
        </is>
      </c>
      <c r="K459" s="20" t="inlineStr">
        <is>
          <t>Non-Captive</t>
        </is>
      </c>
      <c r="L459" s="20" t="inlineStr">
        <is>
          <t>Shakthi Cars</t>
        </is>
      </c>
      <c r="M459" s="23" t="n">
        <v>2966.1</v>
      </c>
    </row>
    <row r="460">
      <c r="A460" s="19" t="inlineStr">
        <is>
          <t>FY26</t>
        </is>
      </c>
      <c r="B460" s="19" t="inlineStr">
        <is>
          <t>Jan</t>
        </is>
      </c>
      <c r="C460" s="19" t="inlineStr">
        <is>
          <t>TN</t>
        </is>
      </c>
      <c r="D460" s="20" t="inlineStr">
        <is>
          <t>TN20CM3570</t>
        </is>
      </c>
      <c r="E460" s="20" t="inlineStr">
        <is>
          <t>MARUTI SUZUKI</t>
        </is>
      </c>
      <c r="F460" s="20" t="inlineStr">
        <is>
          <t>Wagon R</t>
        </is>
      </c>
      <c r="G460" s="21" t="n">
        <v>2017</v>
      </c>
      <c r="H460" s="22" t="n">
        <v>30771</v>
      </c>
      <c r="I460" s="22" t="n">
        <v>430000</v>
      </c>
      <c r="J460" s="20" t="inlineStr">
        <is>
          <t>Khivraj Motor</t>
        </is>
      </c>
      <c r="K460" s="20" t="inlineStr">
        <is>
          <t>Non-Captive</t>
        </is>
      </c>
      <c r="L460" s="20" t="inlineStr">
        <is>
          <t>Shakthi Cars</t>
        </is>
      </c>
      <c r="M460" s="23" t="n">
        <v>2966.1</v>
      </c>
    </row>
    <row r="461">
      <c r="A461" s="19" t="inlineStr">
        <is>
          <t>FY26</t>
        </is>
      </c>
      <c r="B461" s="19" t="inlineStr">
        <is>
          <t>Jan</t>
        </is>
      </c>
      <c r="C461" s="19" t="inlineStr">
        <is>
          <t>TN</t>
        </is>
      </c>
      <c r="D461" s="20" t="inlineStr">
        <is>
          <t>TN09DB4698</t>
        </is>
      </c>
      <c r="E461" s="20" t="inlineStr">
        <is>
          <t>MARUTI SUZUKI</t>
        </is>
      </c>
      <c r="F461" s="20" t="inlineStr">
        <is>
          <t>S-Presso</t>
        </is>
      </c>
      <c r="G461" s="21" t="n">
        <v>2022</v>
      </c>
      <c r="H461" s="22" t="n">
        <v>36102</v>
      </c>
      <c r="I461" s="22" t="n">
        <v>320000</v>
      </c>
      <c r="J461" s="20" t="inlineStr">
        <is>
          <t>Khivraj Motor</t>
        </is>
      </c>
      <c r="K461" s="20" t="inlineStr">
        <is>
          <t>Non-Captive</t>
        </is>
      </c>
      <c r="L461" s="20" t="inlineStr">
        <is>
          <t>Shakthi Cars</t>
        </is>
      </c>
      <c r="M461" s="23" t="n">
        <v>2966.1</v>
      </c>
    </row>
    <row r="462">
      <c r="A462" s="19" t="inlineStr">
        <is>
          <t>FY26</t>
        </is>
      </c>
      <c r="B462" s="19" t="inlineStr">
        <is>
          <t>Jan</t>
        </is>
      </c>
      <c r="C462" s="19" t="inlineStr">
        <is>
          <t>TN</t>
        </is>
      </c>
      <c r="D462" s="20" t="inlineStr">
        <is>
          <t>TN18T0149</t>
        </is>
      </c>
      <c r="E462" s="20" t="inlineStr">
        <is>
          <t>MARUTI SUZUKI</t>
        </is>
      </c>
      <c r="F462" s="20" t="inlineStr">
        <is>
          <t>Alto</t>
        </is>
      </c>
      <c r="G462" s="21" t="n">
        <v>2013</v>
      </c>
      <c r="H462" s="22" t="n">
        <v>96387</v>
      </c>
      <c r="I462" s="22" t="n">
        <v>180000</v>
      </c>
      <c r="J462" s="20" t="inlineStr">
        <is>
          <t>Khivraj Motor</t>
        </is>
      </c>
      <c r="K462" s="20" t="inlineStr">
        <is>
          <t>Non-Captive</t>
        </is>
      </c>
      <c r="L462" s="20" t="inlineStr">
        <is>
          <t>Shakthi Cars</t>
        </is>
      </c>
      <c r="M462" s="23" t="n">
        <v>2966.1</v>
      </c>
    </row>
    <row r="463">
      <c r="A463" s="19" t="inlineStr">
        <is>
          <t>FY26</t>
        </is>
      </c>
      <c r="B463" s="19" t="inlineStr">
        <is>
          <t>Jan</t>
        </is>
      </c>
      <c r="C463" s="19" t="inlineStr">
        <is>
          <t>TN</t>
        </is>
      </c>
      <c r="D463" s="20" t="inlineStr">
        <is>
          <t>TN13H6781</t>
        </is>
      </c>
      <c r="E463" s="20" t="inlineStr">
        <is>
          <t>MARUTI SUZUKI</t>
        </is>
      </c>
      <c r="F463" s="20" t="inlineStr">
        <is>
          <t>Swift</t>
        </is>
      </c>
      <c r="G463" s="21" t="n">
        <v>2017</v>
      </c>
      <c r="H463" s="22" t="n">
        <v>38817</v>
      </c>
      <c r="I463" s="22" t="n">
        <v>380000</v>
      </c>
      <c r="J463" s="20" t="inlineStr">
        <is>
          <t>Khivraj Motor</t>
        </is>
      </c>
      <c r="K463" s="20" t="inlineStr">
        <is>
          <t>Non-Captive</t>
        </is>
      </c>
      <c r="L463" s="20" t="inlineStr">
        <is>
          <t>Shakthi Cars</t>
        </is>
      </c>
      <c r="M463" s="23" t="n">
        <v>2966.1</v>
      </c>
    </row>
    <row r="464">
      <c r="A464" s="19" t="inlineStr">
        <is>
          <t>FY26</t>
        </is>
      </c>
      <c r="B464" s="19" t="inlineStr">
        <is>
          <t>Jan</t>
        </is>
      </c>
      <c r="C464" s="19" t="inlineStr">
        <is>
          <t>TN</t>
        </is>
      </c>
      <c r="D464" s="20" t="inlineStr">
        <is>
          <t>TN04AM8127</t>
        </is>
      </c>
      <c r="E464" s="20" t="inlineStr">
        <is>
          <t>MARUTI SUZUKI</t>
        </is>
      </c>
      <c r="F464" s="20" t="inlineStr">
        <is>
          <t>Swift</t>
        </is>
      </c>
      <c r="G464" s="21" t="n">
        <v>2014</v>
      </c>
      <c r="H464" s="22" t="n">
        <v>61149</v>
      </c>
      <c r="I464" s="22" t="n">
        <v>290000</v>
      </c>
      <c r="J464" s="20" t="inlineStr">
        <is>
          <t>Khivraj Motor</t>
        </is>
      </c>
      <c r="K464" s="20" t="inlineStr">
        <is>
          <t>Non-Captive</t>
        </is>
      </c>
      <c r="L464" s="20" t="inlineStr">
        <is>
          <t>Shakthi Cars</t>
        </is>
      </c>
      <c r="M464" s="23" t="n">
        <v>2966.1</v>
      </c>
    </row>
    <row r="465">
      <c r="A465" s="19" t="inlineStr">
        <is>
          <t>FY26</t>
        </is>
      </c>
      <c r="B465" s="19" t="inlineStr">
        <is>
          <t>Jan</t>
        </is>
      </c>
      <c r="C465" s="19" t="inlineStr">
        <is>
          <t>TN</t>
        </is>
      </c>
      <c r="D465" s="20" t="inlineStr">
        <is>
          <t>TN05BW6130</t>
        </is>
      </c>
      <c r="E465" s="20" t="inlineStr">
        <is>
          <t>MARUTI SUZUKI</t>
        </is>
      </c>
      <c r="F465" s="20" t="inlineStr">
        <is>
          <t>Brezza</t>
        </is>
      </c>
      <c r="G465" s="21" t="n">
        <v>2019</v>
      </c>
      <c r="H465" s="22" t="n">
        <v>95919</v>
      </c>
      <c r="I465" s="22" t="n">
        <v>560000</v>
      </c>
      <c r="J465" s="20" t="inlineStr">
        <is>
          <t>Khivraj Motor</t>
        </is>
      </c>
      <c r="K465" s="20" t="inlineStr">
        <is>
          <t>Non-Captive</t>
        </is>
      </c>
      <c r="L465" s="20" t="inlineStr">
        <is>
          <t>Shakthi Cars</t>
        </is>
      </c>
      <c r="M465" s="23" t="n">
        <v>2966.1</v>
      </c>
    </row>
    <row r="466">
      <c r="A466" s="19" t="inlineStr">
        <is>
          <t>FY26</t>
        </is>
      </c>
      <c r="B466" s="19" t="inlineStr">
        <is>
          <t>Jan</t>
        </is>
      </c>
      <c r="C466" s="19" t="inlineStr">
        <is>
          <t>TN</t>
        </is>
      </c>
      <c r="D466" s="20" t="inlineStr">
        <is>
          <t>TN20CL1137</t>
        </is>
      </c>
      <c r="E466" s="20" t="inlineStr">
        <is>
          <t>MARUTI SUZUKI</t>
        </is>
      </c>
      <c r="F466" s="20" t="inlineStr">
        <is>
          <t>Alto K10</t>
        </is>
      </c>
      <c r="G466" s="21" t="n">
        <v>2016</v>
      </c>
      <c r="H466" s="22" t="n">
        <v>86674</v>
      </c>
      <c r="I466" s="22" t="n">
        <v>210000</v>
      </c>
      <c r="J466" s="20" t="inlineStr">
        <is>
          <t>Khivraj Motor</t>
        </is>
      </c>
      <c r="K466" s="20" t="inlineStr">
        <is>
          <t>Non-Captive</t>
        </is>
      </c>
      <c r="L466" s="20" t="inlineStr">
        <is>
          <t>Shakthi Cars</t>
        </is>
      </c>
      <c r="M466" s="23" t="n">
        <v>2966.1</v>
      </c>
    </row>
    <row r="467">
      <c r="A467" s="19" t="inlineStr">
        <is>
          <t>FY26</t>
        </is>
      </c>
      <c r="B467" s="19" t="inlineStr">
        <is>
          <t>Jan</t>
        </is>
      </c>
      <c r="C467" s="19" t="inlineStr">
        <is>
          <t>TN</t>
        </is>
      </c>
      <c r="D467" s="20" t="inlineStr">
        <is>
          <t>TN02BS9150</t>
        </is>
      </c>
      <c r="E467" s="20" t="inlineStr">
        <is>
          <t>HONDA</t>
        </is>
      </c>
      <c r="F467" s="20" t="inlineStr">
        <is>
          <t>City</t>
        </is>
      </c>
      <c r="G467" s="21" t="n">
        <v>2020</v>
      </c>
      <c r="H467" s="22" t="n">
        <v>30723</v>
      </c>
      <c r="I467" s="22" t="n">
        <v>790000</v>
      </c>
      <c r="J467" s="20" t="inlineStr">
        <is>
          <t>Khivraj Motor</t>
        </is>
      </c>
      <c r="K467" s="20" t="inlineStr">
        <is>
          <t>Non-Captive</t>
        </is>
      </c>
      <c r="L467" s="20" t="inlineStr">
        <is>
          <t>Shakthi Cars</t>
        </is>
      </c>
      <c r="M467" s="23" t="n">
        <v>2966.1</v>
      </c>
    </row>
    <row r="468">
      <c r="A468" s="19" t="inlineStr">
        <is>
          <t>FY26</t>
        </is>
      </c>
      <c r="B468" s="19" t="inlineStr">
        <is>
          <t>Jan</t>
        </is>
      </c>
      <c r="C468" s="19" t="inlineStr">
        <is>
          <t>TN</t>
        </is>
      </c>
      <c r="D468" s="20" t="inlineStr">
        <is>
          <t>TN13W4565</t>
        </is>
      </c>
      <c r="E468" s="20" t="inlineStr">
        <is>
          <t>MARUTI SUZUKI</t>
        </is>
      </c>
      <c r="F468" s="20" t="inlineStr">
        <is>
          <t>Brezza</t>
        </is>
      </c>
      <c r="G468" s="21" t="n">
        <v>2021</v>
      </c>
      <c r="H468" s="22" t="n">
        <v>21818</v>
      </c>
      <c r="I468" s="22" t="n">
        <v>540000</v>
      </c>
      <c r="J468" s="20" t="inlineStr">
        <is>
          <t>Khivraj Motor</t>
        </is>
      </c>
      <c r="K468" s="20" t="inlineStr">
        <is>
          <t>Non-Captive</t>
        </is>
      </c>
      <c r="L468" s="20" t="inlineStr">
        <is>
          <t>Shakthi Cars</t>
        </is>
      </c>
      <c r="M468" s="23" t="n">
        <v>2966.1</v>
      </c>
    </row>
    <row r="469">
      <c r="A469" s="19" t="inlineStr">
        <is>
          <t>FY26</t>
        </is>
      </c>
      <c r="B469" s="19" t="inlineStr">
        <is>
          <t>Jan</t>
        </is>
      </c>
      <c r="C469" s="19" t="inlineStr">
        <is>
          <t>TN</t>
        </is>
      </c>
      <c r="D469" s="20" t="inlineStr">
        <is>
          <t>TN18BA2368</t>
        </is>
      </c>
      <c r="E469" s="20" t="inlineStr">
        <is>
          <t>MARUTI SUZUKI</t>
        </is>
      </c>
      <c r="F469" s="20" t="inlineStr">
        <is>
          <t>Swift Dzire</t>
        </is>
      </c>
      <c r="G469" s="21" t="n">
        <v>2019</v>
      </c>
      <c r="H469" s="22" t="n">
        <v>102458</v>
      </c>
      <c r="I469" s="22" t="n">
        <v>480000</v>
      </c>
      <c r="J469" s="20" t="inlineStr">
        <is>
          <t>Khivraj Motor</t>
        </is>
      </c>
      <c r="K469" s="20" t="inlineStr">
        <is>
          <t>Non-Captive</t>
        </is>
      </c>
      <c r="L469" s="20" t="inlineStr">
        <is>
          <t>Shakthi Cars</t>
        </is>
      </c>
      <c r="M469" s="23" t="n">
        <v>2966.1</v>
      </c>
    </row>
    <row r="470">
      <c r="A470" s="19" t="inlineStr">
        <is>
          <t>FY26</t>
        </is>
      </c>
      <c r="B470" s="19" t="inlineStr">
        <is>
          <t>Jan</t>
        </is>
      </c>
      <c r="C470" s="19" t="inlineStr">
        <is>
          <t>TN</t>
        </is>
      </c>
      <c r="D470" s="20" t="inlineStr">
        <is>
          <t>TN18AR0630</t>
        </is>
      </c>
      <c r="E470" s="20" t="inlineStr">
        <is>
          <t>HONDA</t>
        </is>
      </c>
      <c r="F470" s="20" t="inlineStr">
        <is>
          <t>Amaze</t>
        </is>
      </c>
      <c r="G470" s="21" t="n">
        <v>2018</v>
      </c>
      <c r="H470" s="22" t="n">
        <v>112929</v>
      </c>
      <c r="I470" s="22" t="n">
        <v>380000</v>
      </c>
      <c r="J470" s="20" t="inlineStr">
        <is>
          <t>Khivraj Motor</t>
        </is>
      </c>
      <c r="K470" s="20" t="inlineStr">
        <is>
          <t>Non-Captive</t>
        </is>
      </c>
      <c r="L470" s="20" t="inlineStr">
        <is>
          <t>Shakthi Cars</t>
        </is>
      </c>
      <c r="M470" s="23" t="n">
        <v>2966.1</v>
      </c>
    </row>
    <row r="471">
      <c r="A471" s="19" t="inlineStr">
        <is>
          <t>FY26</t>
        </is>
      </c>
      <c r="B471" s="19" t="inlineStr">
        <is>
          <t>Jan</t>
        </is>
      </c>
      <c r="C471" s="19" t="inlineStr">
        <is>
          <t>TN</t>
        </is>
      </c>
      <c r="D471" s="20" t="inlineStr">
        <is>
          <t>TN07CP3664</t>
        </is>
      </c>
      <c r="E471" s="20" t="inlineStr">
        <is>
          <t>MARUTI SUZUKI</t>
        </is>
      </c>
      <c r="F471" s="20" t="inlineStr">
        <is>
          <t>Swift Dzire</t>
        </is>
      </c>
      <c r="G471" s="21" t="n">
        <v>2018</v>
      </c>
      <c r="H471" s="22" t="n">
        <v>37600</v>
      </c>
      <c r="I471" s="22" t="n">
        <v>470000</v>
      </c>
      <c r="J471" s="20" t="inlineStr">
        <is>
          <t>Khivraj Motor</t>
        </is>
      </c>
      <c r="K471" s="20" t="inlineStr">
        <is>
          <t>Non-Captive</t>
        </is>
      </c>
      <c r="L471" s="20" t="inlineStr">
        <is>
          <t>Shakthi Cars</t>
        </is>
      </c>
      <c r="M471" s="23" t="n">
        <v>2966.1</v>
      </c>
    </row>
    <row r="472">
      <c r="A472" s="19" t="inlineStr">
        <is>
          <t>FY26</t>
        </is>
      </c>
      <c r="B472" s="19" t="inlineStr">
        <is>
          <t>Jan</t>
        </is>
      </c>
      <c r="C472" s="19" t="inlineStr">
        <is>
          <t>TN</t>
        </is>
      </c>
      <c r="D472" s="20" t="inlineStr">
        <is>
          <t>TN07DF2769</t>
        </is>
      </c>
      <c r="E472" s="20" t="inlineStr">
        <is>
          <t>MARUTI SUZUKI</t>
        </is>
      </c>
      <c r="F472" s="20" t="inlineStr">
        <is>
          <t>Swift Dzire</t>
        </is>
      </c>
      <c r="G472" s="21" t="n">
        <v>2024</v>
      </c>
      <c r="H472" s="22" t="n">
        <v>12764</v>
      </c>
      <c r="I472" s="22" t="n">
        <v>640000</v>
      </c>
      <c r="J472" s="20" t="inlineStr">
        <is>
          <t>Khivraj Motor</t>
        </is>
      </c>
      <c r="K472" s="20" t="inlineStr">
        <is>
          <t>Non-Captive</t>
        </is>
      </c>
      <c r="L472" s="20" t="inlineStr">
        <is>
          <t>Shakthi Cars</t>
        </is>
      </c>
      <c r="M472" s="23" t="n">
        <v>2966.1</v>
      </c>
    </row>
    <row r="473">
      <c r="A473" s="19" t="inlineStr">
        <is>
          <t>FY26</t>
        </is>
      </c>
      <c r="B473" s="19" t="inlineStr">
        <is>
          <t>Jan</t>
        </is>
      </c>
      <c r="C473" s="19" t="inlineStr">
        <is>
          <t>TN</t>
        </is>
      </c>
      <c r="D473" s="20" t="inlineStr">
        <is>
          <t>TN22DM8796</t>
        </is>
      </c>
      <c r="E473" s="20" t="inlineStr">
        <is>
          <t>MARUTI SUZUKI</t>
        </is>
      </c>
      <c r="F473" s="20" t="inlineStr">
        <is>
          <t>Alto</t>
        </is>
      </c>
      <c r="G473" s="21" t="n">
        <v>2018</v>
      </c>
      <c r="H473" s="22" t="n">
        <v>48763</v>
      </c>
      <c r="I473" s="22" t="n">
        <v>340000</v>
      </c>
      <c r="J473" s="20" t="inlineStr">
        <is>
          <t>Khivraj Motor</t>
        </is>
      </c>
      <c r="K473" s="20" t="inlineStr">
        <is>
          <t>Non-Captive</t>
        </is>
      </c>
      <c r="L473" s="20" t="inlineStr">
        <is>
          <t>Shakthi Cars</t>
        </is>
      </c>
      <c r="M473" s="23" t="n">
        <v>2966.1</v>
      </c>
    </row>
    <row r="474">
      <c r="A474" s="19" t="inlineStr">
        <is>
          <t>FY26</t>
        </is>
      </c>
      <c r="B474" s="19" t="inlineStr">
        <is>
          <t>Jan</t>
        </is>
      </c>
      <c r="C474" s="19" t="inlineStr">
        <is>
          <t>TN</t>
        </is>
      </c>
      <c r="D474" s="20" t="inlineStr">
        <is>
          <t>TN02C9599</t>
        </is>
      </c>
      <c r="E474" s="20" t="inlineStr">
        <is>
          <t>MARUTI SUZUKI</t>
        </is>
      </c>
      <c r="F474" s="20" t="inlineStr">
        <is>
          <t>M800</t>
        </is>
      </c>
      <c r="G474" s="21" t="n">
        <v>1997</v>
      </c>
      <c r="H474" s="22" t="n">
        <v>99999</v>
      </c>
      <c r="I474" s="22" t="n">
        <v>25000</v>
      </c>
      <c r="J474" s="20" t="inlineStr">
        <is>
          <t>Khivraj Motor</t>
        </is>
      </c>
      <c r="K474" s="20" t="inlineStr">
        <is>
          <t>Non-Captive</t>
        </is>
      </c>
      <c r="L474" s="20" t="inlineStr">
        <is>
          <t>Shakthi Cars</t>
        </is>
      </c>
      <c r="M474" s="23" t="n">
        <v>2966.1</v>
      </c>
    </row>
    <row r="475">
      <c r="A475" s="19" t="inlineStr">
        <is>
          <t>FY26</t>
        </is>
      </c>
      <c r="B475" s="19" t="inlineStr">
        <is>
          <t>Jan</t>
        </is>
      </c>
      <c r="C475" s="19" t="inlineStr">
        <is>
          <t>TN</t>
        </is>
      </c>
      <c r="D475" s="20" t="inlineStr">
        <is>
          <t>TN20AF2719</t>
        </is>
      </c>
      <c r="E475" s="20" t="inlineStr">
        <is>
          <t>MARUTI SUZUKI</t>
        </is>
      </c>
      <c r="F475" s="20" t="inlineStr">
        <is>
          <t>M800</t>
        </is>
      </c>
      <c r="G475" s="21" t="n">
        <v>2007</v>
      </c>
      <c r="H475" s="22" t="n">
        <v>87818</v>
      </c>
      <c r="I475" s="22" t="n">
        <v>60000</v>
      </c>
      <c r="J475" s="20" t="inlineStr">
        <is>
          <t>Khivraj Motor</t>
        </is>
      </c>
      <c r="K475" s="20" t="inlineStr">
        <is>
          <t>Non-Captive</t>
        </is>
      </c>
      <c r="L475" s="20" t="inlineStr">
        <is>
          <t>Shahana Cars</t>
        </is>
      </c>
      <c r="M475" s="23" t="n">
        <v>2966.1</v>
      </c>
    </row>
    <row r="476">
      <c r="A476" s="19" t="inlineStr">
        <is>
          <t>FY26</t>
        </is>
      </c>
      <c r="B476" s="19" t="inlineStr">
        <is>
          <t>Jan</t>
        </is>
      </c>
      <c r="C476" s="19" t="inlineStr">
        <is>
          <t>TN</t>
        </is>
      </c>
      <c r="D476" s="20" t="inlineStr">
        <is>
          <t>TN04AM3889</t>
        </is>
      </c>
      <c r="E476" s="20" t="inlineStr">
        <is>
          <t>HONDA</t>
        </is>
      </c>
      <c r="F476" s="20" t="inlineStr">
        <is>
          <t>City</t>
        </is>
      </c>
      <c r="G476" s="21" t="n">
        <v>2014</v>
      </c>
      <c r="H476" s="22" t="n">
        <v>43234</v>
      </c>
      <c r="I476" s="22" t="n">
        <v>320000</v>
      </c>
      <c r="J476" s="20" t="inlineStr">
        <is>
          <t>Khivraj Motor</t>
        </is>
      </c>
      <c r="K476" s="20" t="inlineStr">
        <is>
          <t>Non-Captive</t>
        </is>
      </c>
      <c r="L476" s="20" t="inlineStr">
        <is>
          <t>Shahana Cars</t>
        </is>
      </c>
      <c r="M476" s="23" t="n">
        <v>2966.1</v>
      </c>
    </row>
    <row r="477">
      <c r="A477" s="19" t="inlineStr">
        <is>
          <t>FY26</t>
        </is>
      </c>
      <c r="B477" s="19" t="inlineStr">
        <is>
          <t>Jan</t>
        </is>
      </c>
      <c r="C477" s="19" t="inlineStr">
        <is>
          <t>TN</t>
        </is>
      </c>
      <c r="D477" s="20" t="inlineStr">
        <is>
          <t>TN07CF7041</t>
        </is>
      </c>
      <c r="E477" s="20" t="inlineStr">
        <is>
          <t>MARUTI SUZUKI</t>
        </is>
      </c>
      <c r="F477" s="20" t="inlineStr">
        <is>
          <t>Celerio</t>
        </is>
      </c>
      <c r="G477" s="21" t="n">
        <v>2016</v>
      </c>
      <c r="H477" s="22" t="n">
        <v>43945</v>
      </c>
      <c r="I477" s="22" t="n">
        <v>365000</v>
      </c>
      <c r="J477" s="20" t="inlineStr">
        <is>
          <t>Khivraj Motor</t>
        </is>
      </c>
      <c r="K477" s="20" t="inlineStr">
        <is>
          <t>Non-Captive</t>
        </is>
      </c>
      <c r="L477" s="20" t="inlineStr">
        <is>
          <t>Shahana Cars</t>
        </is>
      </c>
      <c r="M477" s="23" t="n">
        <v>2966.1</v>
      </c>
    </row>
    <row r="478">
      <c r="A478" s="19" t="inlineStr">
        <is>
          <t>FY26</t>
        </is>
      </c>
      <c r="B478" s="19" t="inlineStr">
        <is>
          <t>Jan</t>
        </is>
      </c>
      <c r="C478" s="19" t="inlineStr">
        <is>
          <t>TN</t>
        </is>
      </c>
      <c r="D478" s="20" t="inlineStr">
        <is>
          <t>TN07BL2107</t>
        </is>
      </c>
      <c r="E478" s="20" t="inlineStr">
        <is>
          <t>MARUTI SUZUKI</t>
        </is>
      </c>
      <c r="F478" s="20" t="inlineStr">
        <is>
          <t>Alto</t>
        </is>
      </c>
      <c r="G478" s="21" t="n">
        <v>2011</v>
      </c>
      <c r="H478" s="22" t="n">
        <v>50917</v>
      </c>
      <c r="I478" s="22" t="n">
        <v>110000</v>
      </c>
      <c r="J478" s="20" t="inlineStr">
        <is>
          <t>Khivraj Motor</t>
        </is>
      </c>
      <c r="K478" s="20" t="inlineStr">
        <is>
          <t>Non-Captive</t>
        </is>
      </c>
      <c r="L478" s="20" t="inlineStr">
        <is>
          <t>Shahana Cars</t>
        </is>
      </c>
      <c r="M478" s="23" t="n">
        <v>2966.1</v>
      </c>
    </row>
    <row r="479">
      <c r="A479" s="19" t="inlineStr">
        <is>
          <t>FY26</t>
        </is>
      </c>
      <c r="B479" s="19" t="inlineStr">
        <is>
          <t>Jan</t>
        </is>
      </c>
      <c r="C479" s="19" t="inlineStr">
        <is>
          <t>TN</t>
        </is>
      </c>
      <c r="D479" s="20" t="inlineStr">
        <is>
          <t>TN09BW5612</t>
        </is>
      </c>
      <c r="E479" s="20" t="inlineStr">
        <is>
          <t>MARUTI SUZUKI</t>
        </is>
      </c>
      <c r="F479" s="20" t="inlineStr">
        <is>
          <t>Swift</t>
        </is>
      </c>
      <c r="G479" s="21" t="n">
        <v>2014</v>
      </c>
      <c r="H479" s="22" t="n">
        <v>81065</v>
      </c>
      <c r="I479" s="22" t="n">
        <v>300000</v>
      </c>
      <c r="J479" s="20" t="inlineStr">
        <is>
          <t>Khivraj Motor</t>
        </is>
      </c>
      <c r="K479" s="20" t="inlineStr">
        <is>
          <t>Non-Captive</t>
        </is>
      </c>
      <c r="L479" s="20" t="inlineStr">
        <is>
          <t>Shahana Cars</t>
        </is>
      </c>
      <c r="M479" s="23" t="n">
        <v>2966.1</v>
      </c>
    </row>
    <row r="480">
      <c r="A480" s="19" t="inlineStr">
        <is>
          <t>FY26</t>
        </is>
      </c>
      <c r="B480" s="19" t="inlineStr">
        <is>
          <t>Jan</t>
        </is>
      </c>
      <c r="C480" s="19" t="inlineStr">
        <is>
          <t>TN</t>
        </is>
      </c>
      <c r="D480" s="20" t="inlineStr">
        <is>
          <t>TN01BL2634</t>
        </is>
      </c>
      <c r="E480" s="20" t="inlineStr">
        <is>
          <t>MARUTI SUZUKI</t>
        </is>
      </c>
      <c r="F480" s="20" t="inlineStr">
        <is>
          <t>Ignis</t>
        </is>
      </c>
      <c r="G480" s="21" t="n">
        <v>2021</v>
      </c>
      <c r="H480" s="22" t="n">
        <v>48245</v>
      </c>
      <c r="I480" s="22" t="n">
        <v>410000</v>
      </c>
      <c r="J480" s="20" t="inlineStr">
        <is>
          <t>Khivraj Motor</t>
        </is>
      </c>
      <c r="K480" s="20" t="inlineStr">
        <is>
          <t>Non-Captive</t>
        </is>
      </c>
      <c r="L480" s="20" t="inlineStr">
        <is>
          <t>Shahana Cars</t>
        </is>
      </c>
      <c r="M480" s="23" t="n">
        <v>2966.1</v>
      </c>
    </row>
    <row r="481">
      <c r="A481" s="19" t="inlineStr">
        <is>
          <t>FY26</t>
        </is>
      </c>
      <c r="B481" s="19" t="inlineStr">
        <is>
          <t>Jan</t>
        </is>
      </c>
      <c r="C481" s="19" t="inlineStr">
        <is>
          <t>TN</t>
        </is>
      </c>
      <c r="D481" s="20" t="inlineStr">
        <is>
          <t>TN66F5336</t>
        </is>
      </c>
      <c r="E481" s="20" t="inlineStr">
        <is>
          <t>MARUTI SUZUKI</t>
        </is>
      </c>
      <c r="F481" s="20" t="inlineStr">
        <is>
          <t>Sx4</t>
        </is>
      </c>
      <c r="G481" s="21" t="n">
        <v>2013</v>
      </c>
      <c r="H481" s="22" t="n">
        <v>87980</v>
      </c>
      <c r="I481" s="22" t="n">
        <v>130000</v>
      </c>
      <c r="J481" s="20" t="inlineStr">
        <is>
          <t>Nirmal</t>
        </is>
      </c>
      <c r="K481" s="20" t="inlineStr">
        <is>
          <t>Non-Captive</t>
        </is>
      </c>
      <c r="L481" s="20" t="inlineStr">
        <is>
          <t>Liyakath Ali</t>
        </is>
      </c>
      <c r="M481" s="23" t="n">
        <v>4237.29</v>
      </c>
    </row>
    <row r="482">
      <c r="A482" s="19" t="inlineStr">
        <is>
          <t>FY26</t>
        </is>
      </c>
      <c r="B482" s="19" t="inlineStr">
        <is>
          <t>Jan</t>
        </is>
      </c>
      <c r="C482" s="19" t="inlineStr">
        <is>
          <t>TN</t>
        </is>
      </c>
      <c r="D482" s="20" t="inlineStr">
        <is>
          <t>TN07BX0391</t>
        </is>
      </c>
      <c r="E482" s="20" t="inlineStr">
        <is>
          <t>MARUTI SUZUKI</t>
        </is>
      </c>
      <c r="F482" s="20" t="inlineStr">
        <is>
          <t>Alto</t>
        </is>
      </c>
      <c r="G482" s="21" t="n">
        <v>2014</v>
      </c>
      <c r="H482" s="22" t="n">
        <v>66306</v>
      </c>
      <c r="I482" s="22" t="n">
        <v>160000</v>
      </c>
      <c r="J482" s="20" t="inlineStr">
        <is>
          <t>Khivraj Motor</t>
        </is>
      </c>
      <c r="K482" s="20" t="inlineStr">
        <is>
          <t>Non-Captive</t>
        </is>
      </c>
      <c r="L482" s="20" t="inlineStr">
        <is>
          <t>Bhagavan Cars</t>
        </is>
      </c>
      <c r="M482" s="23" t="n">
        <v>3389.83</v>
      </c>
    </row>
    <row r="483">
      <c r="A483" s="19" t="inlineStr">
        <is>
          <t>FY26</t>
        </is>
      </c>
      <c r="B483" s="19" t="inlineStr">
        <is>
          <t>Jan</t>
        </is>
      </c>
      <c r="C483" s="19" t="inlineStr">
        <is>
          <t>TN</t>
        </is>
      </c>
      <c r="D483" s="20" t="inlineStr">
        <is>
          <t>TN06P2664</t>
        </is>
      </c>
      <c r="E483" s="20" t="inlineStr">
        <is>
          <t>MARUTI SUZUKI</t>
        </is>
      </c>
      <c r="F483" s="20" t="inlineStr">
        <is>
          <t>Swift Dzire</t>
        </is>
      </c>
      <c r="G483" s="21" t="n">
        <v>2015</v>
      </c>
      <c r="H483" s="22" t="n">
        <v>184216</v>
      </c>
      <c r="I483" s="22" t="n">
        <v>340000</v>
      </c>
      <c r="J483" s="20" t="inlineStr">
        <is>
          <t>Khivraj Motor</t>
        </is>
      </c>
      <c r="K483" s="20" t="inlineStr">
        <is>
          <t>Non-Captive</t>
        </is>
      </c>
      <c r="L483" s="20" t="inlineStr">
        <is>
          <t>Bhagavan Cars</t>
        </is>
      </c>
      <c r="M483" s="23" t="n">
        <v>3389.83</v>
      </c>
    </row>
    <row r="484">
      <c r="A484" s="19" t="inlineStr">
        <is>
          <t>FY26</t>
        </is>
      </c>
      <c r="B484" s="19" t="inlineStr">
        <is>
          <t>Jan</t>
        </is>
      </c>
      <c r="C484" s="19" t="inlineStr">
        <is>
          <t>TN</t>
        </is>
      </c>
      <c r="D484" s="20" t="inlineStr">
        <is>
          <t>TN04AJ4880</t>
        </is>
      </c>
      <c r="E484" s="20" t="inlineStr">
        <is>
          <t>NISSAN</t>
        </is>
      </c>
      <c r="F484" s="20" t="inlineStr">
        <is>
          <t>Micra</t>
        </is>
      </c>
      <c r="G484" s="21" t="n">
        <v>2012</v>
      </c>
      <c r="H484" s="22" t="n">
        <v>58746</v>
      </c>
      <c r="I484" s="22" t="n">
        <v>170000</v>
      </c>
      <c r="J484" s="20" t="inlineStr">
        <is>
          <t>Khivraj Motor</t>
        </is>
      </c>
      <c r="K484" s="20" t="inlineStr">
        <is>
          <t>Non-Captive</t>
        </is>
      </c>
      <c r="L484" s="20" t="inlineStr">
        <is>
          <t>Bhagavan Cars</t>
        </is>
      </c>
      <c r="M484" s="23" t="n">
        <v>3389.83</v>
      </c>
    </row>
    <row r="485">
      <c r="A485" s="19" t="inlineStr">
        <is>
          <t>FY26</t>
        </is>
      </c>
      <c r="B485" s="19" t="inlineStr">
        <is>
          <t>Jan</t>
        </is>
      </c>
      <c r="C485" s="19" t="inlineStr">
        <is>
          <t>TN</t>
        </is>
      </c>
      <c r="D485" s="20" t="inlineStr">
        <is>
          <t>TN01BF1290</t>
        </is>
      </c>
      <c r="E485" s="20" t="inlineStr">
        <is>
          <t>HONDA</t>
        </is>
      </c>
      <c r="F485" s="20" t="inlineStr">
        <is>
          <t>Amaze</t>
        </is>
      </c>
      <c r="G485" s="21" t="n">
        <v>2018</v>
      </c>
      <c r="H485" s="22" t="n">
        <v>41523</v>
      </c>
      <c r="I485" s="22" t="n">
        <v>400000</v>
      </c>
      <c r="J485" s="20" t="inlineStr">
        <is>
          <t>Khivraj Motor</t>
        </is>
      </c>
      <c r="K485" s="20" t="inlineStr">
        <is>
          <t>Non-Captive</t>
        </is>
      </c>
      <c r="L485" s="20" t="inlineStr">
        <is>
          <t>Bhagavan Cars</t>
        </is>
      </c>
      <c r="M485" s="23" t="n">
        <v>3389.83</v>
      </c>
    </row>
    <row r="486">
      <c r="A486" s="19" t="inlineStr">
        <is>
          <t>FY26</t>
        </is>
      </c>
      <c r="B486" s="19" t="inlineStr">
        <is>
          <t>Jan</t>
        </is>
      </c>
      <c r="C486" s="19" t="inlineStr">
        <is>
          <t>TN</t>
        </is>
      </c>
      <c r="D486" s="20" t="inlineStr">
        <is>
          <t>TN06Q2976</t>
        </is>
      </c>
      <c r="E486" s="20" t="inlineStr">
        <is>
          <t>MARUTI SUZUKI</t>
        </is>
      </c>
      <c r="F486" s="20" t="inlineStr">
        <is>
          <t>Wagon R</t>
        </is>
      </c>
      <c r="G486" s="21" t="n">
        <v>2015</v>
      </c>
      <c r="H486" s="22" t="n">
        <v>34921</v>
      </c>
      <c r="I486" s="22" t="n">
        <v>350000</v>
      </c>
      <c r="J486" s="20" t="inlineStr">
        <is>
          <t>Khivraj Motor</t>
        </is>
      </c>
      <c r="K486" s="20" t="inlineStr">
        <is>
          <t>Non-Captive</t>
        </is>
      </c>
      <c r="L486" s="20" t="inlineStr">
        <is>
          <t>Bhagavan Cars</t>
        </is>
      </c>
      <c r="M486" s="23" t="n">
        <v>2966.1</v>
      </c>
    </row>
    <row r="487">
      <c r="A487" s="19" t="inlineStr">
        <is>
          <t>FY26</t>
        </is>
      </c>
      <c r="B487" s="19" t="inlineStr">
        <is>
          <t>Jan</t>
        </is>
      </c>
      <c r="C487" s="19" t="inlineStr">
        <is>
          <t>TN</t>
        </is>
      </c>
      <c r="D487" s="20" t="inlineStr">
        <is>
          <t>TN83M7290</t>
        </is>
      </c>
      <c r="E487" s="20" t="inlineStr">
        <is>
          <t>MARUTI SUZUKI</t>
        </is>
      </c>
      <c r="F487" s="20" t="inlineStr">
        <is>
          <t>Celerio</t>
        </is>
      </c>
      <c r="G487" s="21" t="n">
        <v>2020</v>
      </c>
      <c r="H487" s="22" t="n">
        <v>75619</v>
      </c>
      <c r="I487" s="22" t="n">
        <v>340000</v>
      </c>
      <c r="J487" s="20" t="inlineStr">
        <is>
          <t>Khivraj Motor</t>
        </is>
      </c>
      <c r="K487" s="20" t="inlineStr">
        <is>
          <t>Non-Captive</t>
        </is>
      </c>
      <c r="L487" s="20" t="inlineStr">
        <is>
          <t>Bhagavan Cars</t>
        </is>
      </c>
      <c r="M487" s="23" t="n">
        <v>2966.1</v>
      </c>
    </row>
    <row r="488">
      <c r="A488" s="19" t="inlineStr">
        <is>
          <t>FY26</t>
        </is>
      </c>
      <c r="B488" s="19" t="inlineStr">
        <is>
          <t>Jan</t>
        </is>
      </c>
      <c r="C488" s="19" t="inlineStr">
        <is>
          <t>TN</t>
        </is>
      </c>
      <c r="D488" s="20" t="inlineStr">
        <is>
          <t>TN04AY0732</t>
        </is>
      </c>
      <c r="E488" s="20" t="inlineStr">
        <is>
          <t>VOLKSWAGEN</t>
        </is>
      </c>
      <c r="F488" s="20" t="inlineStr">
        <is>
          <t>Polo</t>
        </is>
      </c>
      <c r="G488" s="21" t="n">
        <v>2021</v>
      </c>
      <c r="H488" s="22" t="n">
        <v>48627</v>
      </c>
      <c r="I488" s="22" t="n">
        <v>450000</v>
      </c>
      <c r="J488" s="20" t="inlineStr">
        <is>
          <t>Khivraj Motor</t>
        </is>
      </c>
      <c r="K488" s="20" t="inlineStr">
        <is>
          <t>Non-Captive</t>
        </is>
      </c>
      <c r="L488" s="20" t="inlineStr">
        <is>
          <t>Bhagavan Cars</t>
        </is>
      </c>
      <c r="M488" s="23" t="n">
        <v>2966.1</v>
      </c>
    </row>
    <row r="489">
      <c r="A489" s="19" t="inlineStr">
        <is>
          <t>FY26</t>
        </is>
      </c>
      <c r="B489" s="19" t="inlineStr">
        <is>
          <t>Jan</t>
        </is>
      </c>
      <c r="C489" s="19" t="inlineStr">
        <is>
          <t>TN</t>
        </is>
      </c>
      <c r="D489" s="20" t="inlineStr">
        <is>
          <t>TN147030</t>
        </is>
      </c>
      <c r="E489" s="20" t="inlineStr">
        <is>
          <t>HONDA</t>
        </is>
      </c>
      <c r="F489" s="20" t="inlineStr">
        <is>
          <t>Brio</t>
        </is>
      </c>
      <c r="G489" s="21" t="n">
        <v>2013</v>
      </c>
      <c r="H489" s="22" t="n">
        <v>72549</v>
      </c>
      <c r="I489" s="22" t="n">
        <v>150000</v>
      </c>
      <c r="J489" s="20" t="inlineStr">
        <is>
          <t>Khivraj Motor</t>
        </is>
      </c>
      <c r="K489" s="20" t="inlineStr">
        <is>
          <t>Non-Captive</t>
        </is>
      </c>
      <c r="L489" s="20" t="inlineStr">
        <is>
          <t>Bhagavan Cars</t>
        </is>
      </c>
      <c r="M489" s="23" t="n">
        <v>2966.1</v>
      </c>
    </row>
    <row r="490">
      <c r="A490" s="19" t="inlineStr">
        <is>
          <t>FY26</t>
        </is>
      </c>
      <c r="B490" s="19" t="inlineStr">
        <is>
          <t>Jan</t>
        </is>
      </c>
      <c r="C490" s="19" t="inlineStr">
        <is>
          <t>TN</t>
        </is>
      </c>
      <c r="D490" s="20" t="inlineStr">
        <is>
          <t>TN01AW1103</t>
        </is>
      </c>
      <c r="E490" s="20" t="inlineStr">
        <is>
          <t>TOYOTA</t>
        </is>
      </c>
      <c r="F490" s="20" t="inlineStr">
        <is>
          <t>Innova</t>
        </is>
      </c>
      <c r="G490" s="21" t="n">
        <v>2014</v>
      </c>
      <c r="H490" s="22" t="n">
        <v>172718</v>
      </c>
      <c r="I490" s="22" t="n">
        <v>800000</v>
      </c>
      <c r="J490" s="20" t="inlineStr">
        <is>
          <t>Khivraj Motor</t>
        </is>
      </c>
      <c r="K490" s="20" t="inlineStr">
        <is>
          <t>Non-Captive</t>
        </is>
      </c>
      <c r="L490" s="20" t="inlineStr">
        <is>
          <t>Nirmal Cars</t>
        </is>
      </c>
      <c r="M490" s="23" t="n">
        <v>2966.1</v>
      </c>
    </row>
    <row r="491">
      <c r="A491" s="19" t="inlineStr">
        <is>
          <t>FY26</t>
        </is>
      </c>
      <c r="B491" s="19" t="inlineStr">
        <is>
          <t>Jan</t>
        </is>
      </c>
      <c r="C491" s="19" t="inlineStr">
        <is>
          <t>TN</t>
        </is>
      </c>
      <c r="D491" s="20" t="inlineStr">
        <is>
          <t>TN01AM1192</t>
        </is>
      </c>
      <c r="E491" s="20" t="inlineStr">
        <is>
          <t>HYUNDAI</t>
        </is>
      </c>
      <c r="F491" s="20" t="inlineStr">
        <is>
          <t>I10</t>
        </is>
      </c>
      <c r="G491" s="21" t="n">
        <v>2010</v>
      </c>
      <c r="H491" s="22" t="n">
        <v>90094</v>
      </c>
      <c r="I491" s="22" t="n">
        <v>150000</v>
      </c>
      <c r="J491" s="20" t="inlineStr">
        <is>
          <t>Khivraj Motor</t>
        </is>
      </c>
      <c r="K491" s="20" t="inlineStr">
        <is>
          <t>Non-Captive</t>
        </is>
      </c>
      <c r="L491" s="20" t="inlineStr">
        <is>
          <t>Nirmal Cars</t>
        </is>
      </c>
      <c r="M491" s="23" t="n">
        <v>2966.1</v>
      </c>
    </row>
    <row r="492">
      <c r="A492" s="19" t="inlineStr">
        <is>
          <t>FY26</t>
        </is>
      </c>
      <c r="B492" s="19" t="inlineStr">
        <is>
          <t>Jan</t>
        </is>
      </c>
      <c r="C492" s="19" t="inlineStr">
        <is>
          <t>TN</t>
        </is>
      </c>
      <c r="D492" s="20" t="inlineStr">
        <is>
          <t>TN07CL0365</t>
        </is>
      </c>
      <c r="E492" s="20" t="inlineStr">
        <is>
          <t>MARUTI SUZUKI</t>
        </is>
      </c>
      <c r="F492" s="20" t="inlineStr">
        <is>
          <t>Eeco</t>
        </is>
      </c>
      <c r="G492" s="21" t="n">
        <v>2017</v>
      </c>
      <c r="H492" s="22" t="n">
        <v>95570</v>
      </c>
      <c r="I492" s="22" t="n">
        <v>230000</v>
      </c>
      <c r="J492" s="20" t="inlineStr">
        <is>
          <t>Khivraj Motor</t>
        </is>
      </c>
      <c r="K492" s="20" t="inlineStr">
        <is>
          <t>Non-Captive</t>
        </is>
      </c>
      <c r="L492" s="20" t="inlineStr">
        <is>
          <t>Nirmal Cars</t>
        </is>
      </c>
      <c r="M492" s="23" t="n">
        <v>2966.1</v>
      </c>
    </row>
    <row r="493">
      <c r="A493" s="19" t="inlineStr">
        <is>
          <t>FY26</t>
        </is>
      </c>
      <c r="B493" s="19" t="inlineStr">
        <is>
          <t>Jan</t>
        </is>
      </c>
      <c r="C493" s="19" t="inlineStr">
        <is>
          <t>TN</t>
        </is>
      </c>
      <c r="D493" s="20" t="inlineStr">
        <is>
          <t>KL01CU1492</t>
        </is>
      </c>
      <c r="E493" s="20" t="inlineStr">
        <is>
          <t>MARUTI SUZUKI</t>
        </is>
      </c>
      <c r="F493" s="20" t="inlineStr">
        <is>
          <t>Ignis</t>
        </is>
      </c>
      <c r="G493" s="21" t="n">
        <v>2021</v>
      </c>
      <c r="H493" s="22" t="n">
        <v>42537</v>
      </c>
      <c r="I493" s="22" t="n">
        <v>465000</v>
      </c>
      <c r="J493" s="20" t="inlineStr">
        <is>
          <t>Popular Motorworld pvt Ltd</t>
        </is>
      </c>
      <c r="K493" s="20" t="inlineStr">
        <is>
          <t>Non-Captive</t>
        </is>
      </c>
      <c r="L493" s="20" t="inlineStr">
        <is>
          <t>Popular Thrissur</t>
        </is>
      </c>
      <c r="M493" s="23" t="n">
        <v>5000</v>
      </c>
    </row>
    <row r="494">
      <c r="A494" s="19" t="inlineStr">
        <is>
          <t>FY26</t>
        </is>
      </c>
      <c r="B494" s="19" t="inlineStr">
        <is>
          <t>Jan</t>
        </is>
      </c>
      <c r="C494" s="19" t="inlineStr">
        <is>
          <t>TN</t>
        </is>
      </c>
      <c r="D494" s="20" t="inlineStr">
        <is>
          <t>TN02BH1401</t>
        </is>
      </c>
      <c r="E494" s="20" t="inlineStr">
        <is>
          <t>HONDA</t>
        </is>
      </c>
      <c r="F494" s="20" t="inlineStr">
        <is>
          <t>City</t>
        </is>
      </c>
      <c r="G494" s="21" t="n">
        <v>2016</v>
      </c>
      <c r="H494" s="22" t="n">
        <v>32560</v>
      </c>
      <c r="I494" s="22" t="n">
        <v>510000</v>
      </c>
      <c r="J494" s="20" t="inlineStr">
        <is>
          <t>Santhosh Cars</t>
        </is>
      </c>
      <c r="K494" s="20" t="inlineStr">
        <is>
          <t>Non-Captive</t>
        </is>
      </c>
      <c r="L494" s="20" t="inlineStr">
        <is>
          <t>Nirmal Cars</t>
        </is>
      </c>
      <c r="M494" s="23" t="n">
        <v>4237.29</v>
      </c>
    </row>
    <row r="495">
      <c r="A495" s="19" t="inlineStr">
        <is>
          <t>FY26</t>
        </is>
      </c>
      <c r="B495" s="19" t="inlineStr">
        <is>
          <t>Jan</t>
        </is>
      </c>
      <c r="C495" s="19" t="inlineStr">
        <is>
          <t>TN</t>
        </is>
      </c>
      <c r="D495" s="20" t="inlineStr">
        <is>
          <t>TN12Q7087</t>
        </is>
      </c>
      <c r="E495" s="20" t="inlineStr">
        <is>
          <t>MARUTI SUZUKI</t>
        </is>
      </c>
      <c r="F495" s="20" t="inlineStr">
        <is>
          <t>Baleno</t>
        </is>
      </c>
      <c r="G495" s="21" t="n">
        <v>2016</v>
      </c>
      <c r="H495" s="22" t="n">
        <v>31586</v>
      </c>
      <c r="I495" s="22" t="n">
        <v>350000</v>
      </c>
      <c r="J495" s="20" t="inlineStr">
        <is>
          <t>Khivraj Motor</t>
        </is>
      </c>
      <c r="K495" s="20" t="inlineStr">
        <is>
          <t>Non-Captive</t>
        </is>
      </c>
      <c r="L495" s="20" t="inlineStr">
        <is>
          <t>Nirmal Cars</t>
        </is>
      </c>
      <c r="M495" s="23" t="n">
        <v>3813.56</v>
      </c>
    </row>
    <row r="496">
      <c r="A496" s="19" t="inlineStr">
        <is>
          <t>FY26</t>
        </is>
      </c>
      <c r="B496" s="19" t="inlineStr">
        <is>
          <t>Jan</t>
        </is>
      </c>
      <c r="C496" s="19" t="inlineStr">
        <is>
          <t>TN</t>
        </is>
      </c>
      <c r="D496" s="20" t="inlineStr">
        <is>
          <t>AP26BQ5479</t>
        </is>
      </c>
      <c r="E496" s="20" t="inlineStr">
        <is>
          <t>MARUTI SUZUKI</t>
        </is>
      </c>
      <c r="F496" s="20" t="inlineStr">
        <is>
          <t>Baleno</t>
        </is>
      </c>
      <c r="G496" s="21" t="n">
        <v>2017</v>
      </c>
      <c r="H496" s="22" t="n">
        <v>348852</v>
      </c>
      <c r="I496" s="22" t="n">
        <v>176100</v>
      </c>
      <c r="J496" s="20" t="inlineStr">
        <is>
          <t>Sundharam Finance</t>
        </is>
      </c>
      <c r="K496" s="20" t="inlineStr">
        <is>
          <t>Non-Captive</t>
        </is>
      </c>
      <c r="L496" s="20" t="inlineStr">
        <is>
          <t>Essar Preowned Cars</t>
        </is>
      </c>
      <c r="M496" s="23" t="n">
        <v>8389.83</v>
      </c>
    </row>
    <row r="497">
      <c r="A497" s="19" t="inlineStr">
        <is>
          <t>FY26</t>
        </is>
      </c>
      <c r="B497" s="19" t="inlineStr">
        <is>
          <t>Jan</t>
        </is>
      </c>
      <c r="C497" s="19" t="inlineStr">
        <is>
          <t>TN</t>
        </is>
      </c>
      <c r="D497" s="20" t="inlineStr">
        <is>
          <t>TN06S5829</t>
        </is>
      </c>
      <c r="E497" s="20" t="inlineStr">
        <is>
          <t>MARUTI SUZUKI</t>
        </is>
      </c>
      <c r="F497" s="20" t="inlineStr">
        <is>
          <t>Alto</t>
        </is>
      </c>
      <c r="G497" s="21" t="n"/>
      <c r="H497" s="22" t="n"/>
      <c r="I497" s="22" t="n">
        <v>168000</v>
      </c>
      <c r="J497" s="20" t="inlineStr">
        <is>
          <t>Khivraj Motor</t>
        </is>
      </c>
      <c r="K497" s="20" t="inlineStr">
        <is>
          <t>Non-Captive</t>
        </is>
      </c>
      <c r="L497" s="20" t="inlineStr">
        <is>
          <t>AAA Cars</t>
        </is>
      </c>
      <c r="M497" s="23" t="n">
        <v>5084.75</v>
      </c>
    </row>
    <row r="498">
      <c r="A498" s="19" t="inlineStr">
        <is>
          <t>FY26</t>
        </is>
      </c>
      <c r="B498" s="19" t="inlineStr">
        <is>
          <t>Jan</t>
        </is>
      </c>
      <c r="C498" s="19" t="inlineStr">
        <is>
          <t>TN</t>
        </is>
      </c>
      <c r="D498" s="20" t="inlineStr">
        <is>
          <t>TN02BT9437</t>
        </is>
      </c>
      <c r="E498" s="20" t="inlineStr">
        <is>
          <t>HONDA</t>
        </is>
      </c>
      <c r="F498" s="20" t="inlineStr">
        <is>
          <t>City</t>
        </is>
      </c>
      <c r="G498" s="21" t="n">
        <v>2021</v>
      </c>
      <c r="H498" s="22" t="n"/>
      <c r="I498" s="22" t="n">
        <v>530000</v>
      </c>
      <c r="J498" s="20" t="inlineStr">
        <is>
          <t>Nirmal</t>
        </is>
      </c>
      <c r="K498" s="20" t="inlineStr">
        <is>
          <t>Non-Captive</t>
        </is>
      </c>
      <c r="L498" s="20" t="inlineStr">
        <is>
          <t>Bhagavan cars</t>
        </is>
      </c>
      <c r="M498" s="23" t="n">
        <v>4237.29</v>
      </c>
    </row>
    <row r="499">
      <c r="A499" s="19" t="inlineStr">
        <is>
          <t>FY26</t>
        </is>
      </c>
      <c r="B499" s="19" t="inlineStr">
        <is>
          <t>Jan</t>
        </is>
      </c>
      <c r="C499" s="19" t="inlineStr">
        <is>
          <t>TN</t>
        </is>
      </c>
      <c r="D499" s="20" t="inlineStr">
        <is>
          <t>TN12AL4860</t>
        </is>
      </c>
      <c r="E499" s="20" t="inlineStr">
        <is>
          <t>TATA</t>
        </is>
      </c>
      <c r="F499" s="20" t="inlineStr">
        <is>
          <t>Tiago</t>
        </is>
      </c>
      <c r="G499" s="21" t="n">
        <v>2020</v>
      </c>
      <c r="H499" s="22" t="n">
        <v>24758</v>
      </c>
      <c r="I499" s="22" t="n">
        <v>350000</v>
      </c>
      <c r="J499" s="20" t="inlineStr">
        <is>
          <t>PRODUCTIVITY ELEMENTS PRIVATE LIMITED</t>
        </is>
      </c>
      <c r="K499" s="20" t="inlineStr">
        <is>
          <t>Non-Captive</t>
        </is>
      </c>
      <c r="L499" s="20" t="inlineStr">
        <is>
          <t>Bhagavan cars</t>
        </is>
      </c>
      <c r="M499" s="23" t="n">
        <v>2966.1</v>
      </c>
    </row>
    <row r="500">
      <c r="A500" s="19" t="inlineStr">
        <is>
          <t>FY26</t>
        </is>
      </c>
      <c r="B500" s="19" t="inlineStr">
        <is>
          <t>Jan</t>
        </is>
      </c>
      <c r="C500" s="19" t="inlineStr">
        <is>
          <t>TN</t>
        </is>
      </c>
      <c r="D500" s="20" t="inlineStr">
        <is>
          <t>TN13Q0166</t>
        </is>
      </c>
      <c r="E500" s="20" t="inlineStr">
        <is>
          <t>HYUNDAI</t>
        </is>
      </c>
      <c r="F500" s="20" t="inlineStr">
        <is>
          <t>Santro</t>
        </is>
      </c>
      <c r="G500" s="21" t="n">
        <v>2018</v>
      </c>
      <c r="H500" s="22" t="n">
        <v>45856</v>
      </c>
      <c r="I500" s="22" t="n">
        <v>320000</v>
      </c>
      <c r="J500" s="20" t="inlineStr">
        <is>
          <t>PRODUCTIVITY ELEMENTS PRIVATE LIMITED</t>
        </is>
      </c>
      <c r="K500" s="20" t="inlineStr">
        <is>
          <t>Non-Captive</t>
        </is>
      </c>
      <c r="L500" s="20" t="inlineStr">
        <is>
          <t>Bhagavan cars</t>
        </is>
      </c>
      <c r="M500" s="23" t="n">
        <v>2966.1</v>
      </c>
    </row>
    <row r="501">
      <c r="A501" s="19" t="inlineStr">
        <is>
          <t>FY26</t>
        </is>
      </c>
      <c r="B501" s="19" t="inlineStr">
        <is>
          <t>Jan</t>
        </is>
      </c>
      <c r="C501" s="19" t="inlineStr">
        <is>
          <t>TN</t>
        </is>
      </c>
      <c r="D501" s="20" t="inlineStr">
        <is>
          <t>TN03R2391</t>
        </is>
      </c>
      <c r="E501" s="20" t="inlineStr">
        <is>
          <t>FORD</t>
        </is>
      </c>
      <c r="F501" s="20" t="inlineStr">
        <is>
          <t>Figo</t>
        </is>
      </c>
      <c r="G501" s="21" t="n">
        <v>2015</v>
      </c>
      <c r="H501" s="22" t="n">
        <v>108256</v>
      </c>
      <c r="I501" s="22" t="n">
        <v>230000</v>
      </c>
      <c r="J501" s="20" t="inlineStr">
        <is>
          <t>PRODUCTIVITY ELEMENTS PRIVATE LIMITED</t>
        </is>
      </c>
      <c r="K501" s="20" t="inlineStr">
        <is>
          <t>Non-Captive</t>
        </is>
      </c>
      <c r="L501" s="20" t="inlineStr">
        <is>
          <t>Bhagavan cars</t>
        </is>
      </c>
      <c r="M501" s="23" t="n">
        <v>2966.1</v>
      </c>
    </row>
    <row r="502">
      <c r="A502" s="19" t="inlineStr">
        <is>
          <t>FY26</t>
        </is>
      </c>
      <c r="B502" s="19" t="inlineStr">
        <is>
          <t>Jan</t>
        </is>
      </c>
      <c r="C502" s="19" t="inlineStr">
        <is>
          <t>TN</t>
        </is>
      </c>
      <c r="D502" s="20" t="inlineStr">
        <is>
          <t>TN10AY7959</t>
        </is>
      </c>
      <c r="E502" s="20" t="inlineStr">
        <is>
          <t>HYUNDAI</t>
        </is>
      </c>
      <c r="F502" s="20" t="inlineStr">
        <is>
          <t>Grand I10</t>
        </is>
      </c>
      <c r="G502" s="21" t="n">
        <v>2016</v>
      </c>
      <c r="H502" s="22" t="n">
        <v>80290</v>
      </c>
      <c r="I502" s="22" t="n">
        <v>300000</v>
      </c>
      <c r="J502" s="20" t="inlineStr">
        <is>
          <t>Castel Traders Honda</t>
        </is>
      </c>
      <c r="K502" s="20" t="inlineStr">
        <is>
          <t>Non-Captive</t>
        </is>
      </c>
      <c r="L502" s="20" t="inlineStr">
        <is>
          <t>Bhagavan cars</t>
        </is>
      </c>
      <c r="M502" s="23" t="n">
        <v>3813.56</v>
      </c>
    </row>
    <row r="503">
      <c r="A503" s="19" t="inlineStr">
        <is>
          <t>FY26</t>
        </is>
      </c>
      <c r="B503" s="19" t="inlineStr">
        <is>
          <t>Feb</t>
        </is>
      </c>
      <c r="C503" s="19" t="inlineStr">
        <is>
          <t>TN</t>
        </is>
      </c>
      <c r="D503" s="20" t="inlineStr">
        <is>
          <t>TN01AQ9263</t>
        </is>
      </c>
      <c r="E503" s="20" t="inlineStr">
        <is>
          <t>HYUNDAI</t>
        </is>
      </c>
      <c r="F503" s="20" t="inlineStr">
        <is>
          <t>I20</t>
        </is>
      </c>
      <c r="G503" s="21" t="n">
        <v>2011</v>
      </c>
      <c r="H503" s="22" t="n">
        <v>9999</v>
      </c>
      <c r="I503" s="22" t="n">
        <v>180000</v>
      </c>
      <c r="J503" s="20" t="inlineStr">
        <is>
          <t>Khivraj Motor</t>
        </is>
      </c>
      <c r="K503" s="20" t="inlineStr">
        <is>
          <t>Non-Captive</t>
        </is>
      </c>
      <c r="L503" s="20" t="inlineStr">
        <is>
          <t>SRIDHAR cars</t>
        </is>
      </c>
      <c r="M503" s="23" t="n">
        <v>2966.1</v>
      </c>
    </row>
    <row r="504">
      <c r="A504" s="19" t="inlineStr">
        <is>
          <t>FY26</t>
        </is>
      </c>
      <c r="B504" s="19" t="inlineStr">
        <is>
          <t>Feb</t>
        </is>
      </c>
      <c r="C504" s="19" t="inlineStr">
        <is>
          <t>TN</t>
        </is>
      </c>
      <c r="D504" s="20" t="inlineStr">
        <is>
          <t>TN05AS8230</t>
        </is>
      </c>
      <c r="E504" s="20" t="inlineStr">
        <is>
          <t>FORD</t>
        </is>
      </c>
      <c r="F504" s="20" t="inlineStr">
        <is>
          <t>Fiesta</t>
        </is>
      </c>
      <c r="G504" s="21" t="n">
        <v>2013</v>
      </c>
      <c r="H504" s="22" t="n">
        <v>25789</v>
      </c>
      <c r="I504" s="22" t="n">
        <v>250000</v>
      </c>
      <c r="J504" s="20" t="inlineStr">
        <is>
          <t>Khivraj Motor</t>
        </is>
      </c>
      <c r="K504" s="20" t="inlineStr">
        <is>
          <t>Non-Captive</t>
        </is>
      </c>
      <c r="L504" s="20" t="inlineStr">
        <is>
          <t>Hasini Cars</t>
        </is>
      </c>
      <c r="M504" s="23" t="n">
        <v>2966.1</v>
      </c>
    </row>
    <row r="505">
      <c r="A505" s="19" t="inlineStr">
        <is>
          <t>FY26</t>
        </is>
      </c>
      <c r="B505" s="19" t="inlineStr">
        <is>
          <t>Feb</t>
        </is>
      </c>
      <c r="C505" s="19" t="inlineStr">
        <is>
          <t>TN</t>
        </is>
      </c>
      <c r="D505" s="20" t="inlineStr">
        <is>
          <t>TN59AV5922</t>
        </is>
      </c>
      <c r="E505" s="20" t="inlineStr">
        <is>
          <t>MARUTI SUZUKI</t>
        </is>
      </c>
      <c r="F505" s="20" t="inlineStr">
        <is>
          <t>Zen</t>
        </is>
      </c>
      <c r="G505" s="21" t="n">
        <v>2010</v>
      </c>
      <c r="H505" s="22" t="n">
        <v>33574</v>
      </c>
      <c r="I505" s="22" t="n">
        <v>65000</v>
      </c>
      <c r="J505" s="20" t="inlineStr">
        <is>
          <t>Khivraj Motor</t>
        </is>
      </c>
      <c r="K505" s="20" t="inlineStr">
        <is>
          <t>Non-Captive</t>
        </is>
      </c>
      <c r="L505" s="20" t="inlineStr">
        <is>
          <t>Trust On wheels</t>
        </is>
      </c>
      <c r="M505" s="23" t="n">
        <v>2966.1</v>
      </c>
    </row>
    <row r="506">
      <c r="A506" s="19" t="inlineStr">
        <is>
          <t>FY26</t>
        </is>
      </c>
      <c r="B506" s="19" t="inlineStr">
        <is>
          <t>Feb</t>
        </is>
      </c>
      <c r="C506" s="19" t="inlineStr">
        <is>
          <t>TN</t>
        </is>
      </c>
      <c r="D506" s="20" t="inlineStr">
        <is>
          <t>TN22CA8456</t>
        </is>
      </c>
      <c r="E506" s="20" t="inlineStr">
        <is>
          <t>HYUNDAI</t>
        </is>
      </c>
      <c r="F506" s="20" t="inlineStr">
        <is>
          <t>I20</t>
        </is>
      </c>
      <c r="G506" s="21" t="n">
        <v>2011</v>
      </c>
      <c r="H506" s="22" t="n">
        <v>136983</v>
      </c>
      <c r="I506" s="22" t="n">
        <v>124000</v>
      </c>
      <c r="J506" s="20" t="inlineStr">
        <is>
          <t>Khivraj Motor</t>
        </is>
      </c>
      <c r="K506" s="20" t="inlineStr">
        <is>
          <t>Non-Captive</t>
        </is>
      </c>
      <c r="L506" s="20" t="inlineStr">
        <is>
          <t>Hema Cars</t>
        </is>
      </c>
      <c r="M506" s="23" t="n">
        <v>5084.75</v>
      </c>
    </row>
    <row r="507">
      <c r="A507" s="19" t="inlineStr">
        <is>
          <t>FY26</t>
        </is>
      </c>
      <c r="B507" s="19" t="inlineStr">
        <is>
          <t>Feb</t>
        </is>
      </c>
      <c r="C507" s="19" t="inlineStr">
        <is>
          <t>TN</t>
        </is>
      </c>
      <c r="D507" s="20" t="inlineStr">
        <is>
          <t>TN14D8228</t>
        </is>
      </c>
      <c r="E507" s="20" t="inlineStr">
        <is>
          <t>MARUTI SUZUKI</t>
        </is>
      </c>
      <c r="F507" s="20" t="inlineStr">
        <is>
          <t>Celerio</t>
        </is>
      </c>
      <c r="G507" s="21" t="n">
        <v>2015</v>
      </c>
      <c r="H507" s="22" t="n">
        <v>65129</v>
      </c>
      <c r="I507" s="22" t="n">
        <v>98000</v>
      </c>
      <c r="J507" s="20" t="inlineStr">
        <is>
          <t>Khivraj Motor</t>
        </is>
      </c>
      <c r="K507" s="20" t="inlineStr">
        <is>
          <t>Non-Captive</t>
        </is>
      </c>
      <c r="L507" s="20" t="inlineStr">
        <is>
          <t>Hema Cars</t>
        </is>
      </c>
      <c r="M507" s="23" t="n">
        <v>2542.37</v>
      </c>
    </row>
    <row r="508">
      <c r="A508" s="19" t="inlineStr">
        <is>
          <t>FY26</t>
        </is>
      </c>
      <c r="B508" s="19" t="inlineStr">
        <is>
          <t>Feb</t>
        </is>
      </c>
      <c r="C508" s="19" t="inlineStr">
        <is>
          <t>TN</t>
        </is>
      </c>
      <c r="D508" s="20" t="inlineStr">
        <is>
          <t>TN07BT5801</t>
        </is>
      </c>
      <c r="E508" s="20" t="inlineStr">
        <is>
          <t>MARUTI SUZUKI</t>
        </is>
      </c>
      <c r="F508" s="20" t="inlineStr">
        <is>
          <t>Alto</t>
        </is>
      </c>
      <c r="G508" s="21" t="n">
        <v>2012</v>
      </c>
      <c r="H508" s="22" t="n">
        <v>142670</v>
      </c>
      <c r="I508" s="22" t="n">
        <v>105000</v>
      </c>
      <c r="J508" s="20" t="inlineStr">
        <is>
          <t>Khivraj Motor</t>
        </is>
      </c>
      <c r="K508" s="20" t="inlineStr">
        <is>
          <t>Non-Captive</t>
        </is>
      </c>
      <c r="L508" s="20" t="inlineStr">
        <is>
          <t>Hema Cars</t>
        </is>
      </c>
      <c r="M508" s="23" t="n">
        <v>2542.37</v>
      </c>
    </row>
    <row r="509">
      <c r="A509" s="19" t="inlineStr">
        <is>
          <t>FY26</t>
        </is>
      </c>
      <c r="B509" s="19" t="inlineStr">
        <is>
          <t>Feb</t>
        </is>
      </c>
      <c r="C509" s="19" t="inlineStr">
        <is>
          <t>TN</t>
        </is>
      </c>
      <c r="D509" s="20" t="inlineStr">
        <is>
          <t>TN06D1174</t>
        </is>
      </c>
      <c r="E509" s="20" t="inlineStr">
        <is>
          <t>MARUTI SUZUKI</t>
        </is>
      </c>
      <c r="F509" s="20" t="inlineStr">
        <is>
          <t>Swift Dzire</t>
        </is>
      </c>
      <c r="G509" s="21" t="n">
        <v>2011</v>
      </c>
      <c r="H509" s="22" t="n">
        <v>239670</v>
      </c>
      <c r="I509" s="22" t="n">
        <v>107000</v>
      </c>
      <c r="J509" s="20" t="inlineStr">
        <is>
          <t>Khivraj Motor</t>
        </is>
      </c>
      <c r="K509" s="20" t="inlineStr">
        <is>
          <t>Non-Captive</t>
        </is>
      </c>
      <c r="L509" s="20" t="inlineStr">
        <is>
          <t>Nirmal Cars</t>
        </is>
      </c>
      <c r="M509" s="23" t="n">
        <v>2542.37</v>
      </c>
    </row>
    <row r="510">
      <c r="A510" s="19" t="inlineStr">
        <is>
          <t>FY26</t>
        </is>
      </c>
      <c r="B510" s="19" t="inlineStr">
        <is>
          <t>Feb</t>
        </is>
      </c>
      <c r="C510" s="19" t="inlineStr">
        <is>
          <t>TN</t>
        </is>
      </c>
      <c r="D510" s="20" t="inlineStr">
        <is>
          <t>TN04AH8741</t>
        </is>
      </c>
      <c r="E510" s="20" t="inlineStr">
        <is>
          <t>HONDA</t>
        </is>
      </c>
      <c r="F510" s="20" t="inlineStr">
        <is>
          <t>City</t>
        </is>
      </c>
      <c r="G510" s="21" t="n">
        <v>2011</v>
      </c>
      <c r="H510" s="22" t="n"/>
      <c r="I510" s="22" t="n">
        <v>170000</v>
      </c>
      <c r="J510" s="20" t="inlineStr">
        <is>
          <t>EXCHANGE CHENNAI</t>
        </is>
      </c>
      <c r="K510" s="20" t="inlineStr">
        <is>
          <t>Captive</t>
        </is>
      </c>
      <c r="L510" s="20" t="inlineStr">
        <is>
          <t>Nirmal Cars</t>
        </is>
      </c>
      <c r="M510" s="23" t="n">
        <v>4237.29</v>
      </c>
    </row>
    <row r="511">
      <c r="A511" s="19" t="inlineStr">
        <is>
          <t>FY26</t>
        </is>
      </c>
      <c r="B511" s="19" t="inlineStr">
        <is>
          <t>Feb</t>
        </is>
      </c>
      <c r="C511" s="19" t="inlineStr">
        <is>
          <t>TN</t>
        </is>
      </c>
      <c r="D511" s="20" t="inlineStr">
        <is>
          <t>TN06T4217</t>
        </is>
      </c>
      <c r="E511" s="20" t="inlineStr">
        <is>
          <t>TATA</t>
        </is>
      </c>
      <c r="F511" s="20" t="inlineStr">
        <is>
          <t>Tiago</t>
        </is>
      </c>
      <c r="G511" s="21" t="n">
        <v>2017</v>
      </c>
      <c r="H511" s="22" t="n">
        <v>166868</v>
      </c>
      <c r="I511" s="22" t="n">
        <v>185000</v>
      </c>
      <c r="J511" s="20" t="inlineStr">
        <is>
          <t>EXCHANGE CHENNAI</t>
        </is>
      </c>
      <c r="K511" s="20" t="inlineStr">
        <is>
          <t>Captive</t>
        </is>
      </c>
      <c r="L511" s="20" t="inlineStr">
        <is>
          <t>Santhosh Cars</t>
        </is>
      </c>
      <c r="M511" s="23" t="n">
        <v>4237.29</v>
      </c>
    </row>
    <row r="512">
      <c r="A512" s="19" t="inlineStr">
        <is>
          <t>FY26</t>
        </is>
      </c>
      <c r="B512" s="19" t="inlineStr">
        <is>
          <t>Feb</t>
        </is>
      </c>
      <c r="C512" s="19" t="inlineStr">
        <is>
          <t>TN</t>
        </is>
      </c>
      <c r="D512" s="20" t="inlineStr">
        <is>
          <t>TN07CE9144</t>
        </is>
      </c>
      <c r="E512" s="20" t="inlineStr">
        <is>
          <t>HONDA</t>
        </is>
      </c>
      <c r="F512" s="20" t="inlineStr">
        <is>
          <t>Amaze</t>
        </is>
      </c>
      <c r="G512" s="21" t="n">
        <v>2016</v>
      </c>
      <c r="H512" s="22" t="n"/>
      <c r="I512" s="22" t="n">
        <v>325000</v>
      </c>
      <c r="J512" s="20" t="inlineStr">
        <is>
          <t>EXCHANGE CHENNAI</t>
        </is>
      </c>
      <c r="K512" s="20" t="inlineStr">
        <is>
          <t>Captive</t>
        </is>
      </c>
      <c r="L512" s="20" t="inlineStr">
        <is>
          <t>Nirmal Cars</t>
        </is>
      </c>
      <c r="M512" s="23" t="n">
        <v>8474.58</v>
      </c>
    </row>
    <row r="513">
      <c r="A513" s="19" t="inlineStr">
        <is>
          <t>FY26</t>
        </is>
      </c>
      <c r="B513" s="19" t="inlineStr">
        <is>
          <t>Feb</t>
        </is>
      </c>
      <c r="C513" s="19" t="inlineStr">
        <is>
          <t>TN</t>
        </is>
      </c>
      <c r="D513" s="20" t="inlineStr">
        <is>
          <t>TN37CC2200</t>
        </is>
      </c>
      <c r="E513" s="20" t="inlineStr">
        <is>
          <t>HYUNDAI</t>
        </is>
      </c>
      <c r="F513" s="20" t="inlineStr">
        <is>
          <t>I20</t>
        </is>
      </c>
      <c r="G513" s="21" t="n">
        <v>2013</v>
      </c>
      <c r="H513" s="22" t="n">
        <v>68899</v>
      </c>
      <c r="I513" s="22" t="n">
        <v>205000</v>
      </c>
      <c r="J513" s="20" t="inlineStr">
        <is>
          <t>JAIKRISHNAA AUTOSALES PRIVATE LIMITED</t>
        </is>
      </c>
      <c r="K513" s="20" t="inlineStr">
        <is>
          <t>Non-Captive</t>
        </is>
      </c>
      <c r="L513" s="20" t="inlineStr">
        <is>
          <t>Dhidugal Value Cars</t>
        </is>
      </c>
      <c r="M513" s="23" t="n">
        <v>4237.29</v>
      </c>
    </row>
    <row r="514">
      <c r="A514" s="19" t="inlineStr">
        <is>
          <t>FY26</t>
        </is>
      </c>
      <c r="B514" s="19" t="inlineStr">
        <is>
          <t>Feb</t>
        </is>
      </c>
      <c r="C514" s="19" t="inlineStr">
        <is>
          <t>TN</t>
        </is>
      </c>
      <c r="D514" s="20" t="inlineStr">
        <is>
          <t>TN66M1397</t>
        </is>
      </c>
      <c r="E514" s="20" t="inlineStr">
        <is>
          <t>NISSAN</t>
        </is>
      </c>
      <c r="F514" s="20" t="inlineStr">
        <is>
          <t>Micra</t>
        </is>
      </c>
      <c r="G514" s="21" t="n">
        <v>2014</v>
      </c>
      <c r="H514" s="22" t="n">
        <v>102000</v>
      </c>
      <c r="I514" s="22" t="n">
        <v>180000</v>
      </c>
      <c r="J514" s="20" t="inlineStr">
        <is>
          <t>JAIKRISHNAA AUTOSALES PRIVATE LIMITED</t>
        </is>
      </c>
      <c r="K514" s="20" t="inlineStr">
        <is>
          <t>Non-Captive</t>
        </is>
      </c>
      <c r="L514" s="20" t="inlineStr">
        <is>
          <t>Dhidugal Value Cars</t>
        </is>
      </c>
      <c r="M514" s="23" t="n">
        <v>4237.29</v>
      </c>
    </row>
    <row r="515">
      <c r="A515" s="19" t="inlineStr">
        <is>
          <t>FY26</t>
        </is>
      </c>
      <c r="B515" s="19" t="inlineStr">
        <is>
          <t>Feb</t>
        </is>
      </c>
      <c r="C515" s="19" t="inlineStr">
        <is>
          <t>TN</t>
        </is>
      </c>
      <c r="D515" s="20" t="inlineStr">
        <is>
          <t>TN37BP5128</t>
        </is>
      </c>
      <c r="E515" s="20" t="inlineStr">
        <is>
          <t>MARUTI SUZUKI</t>
        </is>
      </c>
      <c r="F515" s="20" t="inlineStr">
        <is>
          <t>Swift</t>
        </is>
      </c>
      <c r="G515" s="21" t="n">
        <v>2011</v>
      </c>
      <c r="H515" s="22" t="n">
        <v>152355</v>
      </c>
      <c r="I515" s="22" t="n">
        <v>195000</v>
      </c>
      <c r="J515" s="20" t="inlineStr">
        <is>
          <t>JAIKRISHNAA AUTOSALES PRIVATE LIMITED</t>
        </is>
      </c>
      <c r="K515" s="20" t="inlineStr">
        <is>
          <t>Non-Captive</t>
        </is>
      </c>
      <c r="L515" s="20" t="inlineStr">
        <is>
          <t>Dhidugal Value Cars</t>
        </is>
      </c>
      <c r="M515" s="23" t="n">
        <v>4237.29</v>
      </c>
    </row>
    <row r="516">
      <c r="A516" s="19" t="inlineStr">
        <is>
          <t>FY26</t>
        </is>
      </c>
      <c r="B516" s="19" t="inlineStr">
        <is>
          <t>Feb</t>
        </is>
      </c>
      <c r="C516" s="19" t="inlineStr">
        <is>
          <t>TN</t>
        </is>
      </c>
      <c r="D516" s="20" t="inlineStr">
        <is>
          <t>TN66M7261</t>
        </is>
      </c>
      <c r="E516" s="20" t="inlineStr">
        <is>
          <t>MARUTI SUZUKI</t>
        </is>
      </c>
      <c r="F516" s="20" t="inlineStr">
        <is>
          <t>Alto K10</t>
        </is>
      </c>
      <c r="G516" s="21" t="n">
        <v>2014</v>
      </c>
      <c r="H516" s="22" t="n">
        <v>159877</v>
      </c>
      <c r="I516" s="22" t="n">
        <v>210000</v>
      </c>
      <c r="J516" s="20" t="inlineStr">
        <is>
          <t>JAIKRISHNAA AUTOSALES PRIVATE LIMITED</t>
        </is>
      </c>
      <c r="K516" s="20" t="inlineStr">
        <is>
          <t>Non-Captive</t>
        </is>
      </c>
      <c r="L516" s="20" t="inlineStr">
        <is>
          <t>Dhidugal Value Cars</t>
        </is>
      </c>
      <c r="M516" s="23" t="n">
        <v>4237.29</v>
      </c>
    </row>
    <row r="517">
      <c r="A517" s="19" t="inlineStr">
        <is>
          <t>FY26</t>
        </is>
      </c>
      <c r="B517" s="19" t="inlineStr">
        <is>
          <t>Feb</t>
        </is>
      </c>
      <c r="C517" s="19" t="inlineStr">
        <is>
          <t>TN</t>
        </is>
      </c>
      <c r="D517" s="20" t="inlineStr">
        <is>
          <t>TN38BH6333</t>
        </is>
      </c>
      <c r="E517" s="20" t="inlineStr">
        <is>
          <t>FORD</t>
        </is>
      </c>
      <c r="F517" s="20" t="inlineStr">
        <is>
          <t>Figo</t>
        </is>
      </c>
      <c r="G517" s="21" t="n">
        <v>2011</v>
      </c>
      <c r="H517" s="22" t="n">
        <v>111803</v>
      </c>
      <c r="I517" s="22" t="n">
        <v>130000</v>
      </c>
      <c r="J517" s="20" t="inlineStr">
        <is>
          <t>JAIKRISHNAA AUTOSALES PRIVATE LIMITED</t>
        </is>
      </c>
      <c r="K517" s="20" t="inlineStr">
        <is>
          <t>Non-Captive</t>
        </is>
      </c>
      <c r="L517" s="20" t="inlineStr">
        <is>
          <t>Dhidugal Value Cars</t>
        </is>
      </c>
      <c r="M517" s="23" t="n">
        <v>4237.29</v>
      </c>
    </row>
    <row r="518">
      <c r="A518" s="19" t="inlineStr">
        <is>
          <t>FY26</t>
        </is>
      </c>
      <c r="B518" s="19" t="inlineStr">
        <is>
          <t>Feb</t>
        </is>
      </c>
      <c r="C518" s="19" t="inlineStr">
        <is>
          <t>TN</t>
        </is>
      </c>
      <c r="D518" s="20" t="inlineStr">
        <is>
          <t>TN07BH7797</t>
        </is>
      </c>
      <c r="E518" s="20" t="inlineStr">
        <is>
          <t>HYUNDAI</t>
        </is>
      </c>
      <c r="F518" s="20" t="inlineStr">
        <is>
          <t>I10</t>
        </is>
      </c>
      <c r="G518" s="21" t="n">
        <v>2010</v>
      </c>
      <c r="H518" s="22" t="n">
        <v>72444</v>
      </c>
      <c r="I518" s="22" t="n">
        <v>190000</v>
      </c>
      <c r="J518" s="20" t="inlineStr">
        <is>
          <t>JAIKRISHNAA AUTOSALES PRIVATE LIMITED</t>
        </is>
      </c>
      <c r="K518" s="20" t="inlineStr">
        <is>
          <t>Non-Captive</t>
        </is>
      </c>
      <c r="L518" s="20" t="inlineStr">
        <is>
          <t>Dhidugal Value Cars</t>
        </is>
      </c>
      <c r="M518" s="23" t="n">
        <v>4237.29</v>
      </c>
    </row>
    <row r="519">
      <c r="A519" s="19" t="inlineStr">
        <is>
          <t>FY26</t>
        </is>
      </c>
      <c r="B519" s="19" t="inlineStr">
        <is>
          <t>Feb</t>
        </is>
      </c>
      <c r="C519" s="19" t="inlineStr">
        <is>
          <t>TN</t>
        </is>
      </c>
      <c r="D519" s="20" t="inlineStr">
        <is>
          <t>TN38BW0114</t>
        </is>
      </c>
      <c r="E519" s="20" t="inlineStr">
        <is>
          <t>HONDA</t>
        </is>
      </c>
      <c r="F519" s="20" t="inlineStr">
        <is>
          <t>Amaze</t>
        </is>
      </c>
      <c r="G519" s="21" t="n">
        <v>2013</v>
      </c>
      <c r="H519" s="22" t="n">
        <v>146930</v>
      </c>
      <c r="I519" s="22" t="n">
        <v>220000</v>
      </c>
      <c r="J519" s="20" t="inlineStr">
        <is>
          <t>JAIKRISHNAA AUTOSALES PRIVATE LIMITED</t>
        </is>
      </c>
      <c r="K519" s="20" t="inlineStr">
        <is>
          <t>Non-Captive</t>
        </is>
      </c>
      <c r="L519" s="20" t="inlineStr">
        <is>
          <t>Dhidugal Value Cars</t>
        </is>
      </c>
      <c r="M519" s="23" t="n">
        <v>4237.29</v>
      </c>
    </row>
    <row r="520">
      <c r="A520" s="19" t="inlineStr">
        <is>
          <t>FY26</t>
        </is>
      </c>
      <c r="B520" s="19" t="inlineStr">
        <is>
          <t>Feb</t>
        </is>
      </c>
      <c r="C520" s="19" t="inlineStr">
        <is>
          <t>TN</t>
        </is>
      </c>
      <c r="D520" s="20" t="inlineStr">
        <is>
          <t>TN66E5544</t>
        </is>
      </c>
      <c r="E520" s="20" t="inlineStr">
        <is>
          <t>MARUTI SUZUKI</t>
        </is>
      </c>
      <c r="F520" s="20" t="inlineStr">
        <is>
          <t>Wagon R</t>
        </is>
      </c>
      <c r="G520" s="21" t="n">
        <v>2011</v>
      </c>
      <c r="H520" s="22" t="n">
        <v>171613</v>
      </c>
      <c r="I520" s="22" t="n">
        <v>235000</v>
      </c>
      <c r="J520" s="20" t="inlineStr">
        <is>
          <t>JAIKRISHNAA AUTOSALES PRIVATE LIMITED</t>
        </is>
      </c>
      <c r="K520" s="20" t="inlineStr">
        <is>
          <t>Non-Captive</t>
        </is>
      </c>
      <c r="L520" s="20" t="inlineStr">
        <is>
          <t>Dhidugal Value Cars</t>
        </is>
      </c>
      <c r="M520" s="23" t="n">
        <v>4237.29</v>
      </c>
    </row>
    <row r="521">
      <c r="A521" s="19" t="inlineStr">
        <is>
          <t>FY26</t>
        </is>
      </c>
      <c r="B521" s="19" t="inlineStr">
        <is>
          <t>Feb</t>
        </is>
      </c>
      <c r="C521" s="19" t="inlineStr">
        <is>
          <t>TN</t>
        </is>
      </c>
      <c r="D521" s="20" t="inlineStr">
        <is>
          <t>TN42AB1218</t>
        </is>
      </c>
      <c r="E521" s="20" t="inlineStr">
        <is>
          <t>MARUTI SUZUKI</t>
        </is>
      </c>
      <c r="F521" s="20" t="inlineStr">
        <is>
          <t>Celerio</t>
        </is>
      </c>
      <c r="G521" s="21" t="n">
        <v>2018</v>
      </c>
      <c r="H521" s="22" t="n">
        <v>103506</v>
      </c>
      <c r="I521" s="22" t="n">
        <v>240000</v>
      </c>
      <c r="J521" s="20" t="inlineStr">
        <is>
          <t>JAIKRISHNAA AUTOSALES PRIVATE LIMITED</t>
        </is>
      </c>
      <c r="K521" s="20" t="inlineStr">
        <is>
          <t>Non-Captive</t>
        </is>
      </c>
      <c r="L521" s="20" t="inlineStr">
        <is>
          <t>Dhidugal Value Cars</t>
        </is>
      </c>
      <c r="M521" s="23" t="n">
        <v>4237.29</v>
      </c>
    </row>
    <row r="522">
      <c r="A522" s="19" t="inlineStr">
        <is>
          <t>FY26</t>
        </is>
      </c>
      <c r="B522" s="19" t="inlineStr">
        <is>
          <t>Feb</t>
        </is>
      </c>
      <c r="C522" s="19" t="inlineStr">
        <is>
          <t>TN</t>
        </is>
      </c>
      <c r="D522" s="20" t="inlineStr">
        <is>
          <t>GA07K7500</t>
        </is>
      </c>
      <c r="E522" s="20" t="inlineStr">
        <is>
          <t>VOLKSWAGEN</t>
        </is>
      </c>
      <c r="F522" s="20" t="inlineStr">
        <is>
          <t>Vento</t>
        </is>
      </c>
      <c r="G522" s="21" t="n">
        <v>2015</v>
      </c>
      <c r="H522" s="22" t="n">
        <v>39941</v>
      </c>
      <c r="I522" s="22" t="n">
        <v>170000</v>
      </c>
      <c r="J522" s="20" t="inlineStr">
        <is>
          <t>JAIKRISHNAA AUTOSALES PRIVATE LIMITED</t>
        </is>
      </c>
      <c r="K522" s="20" t="inlineStr">
        <is>
          <t>Non-Captive</t>
        </is>
      </c>
      <c r="L522" s="20" t="inlineStr">
        <is>
          <t>Dhidugal Value Cars</t>
        </is>
      </c>
      <c r="M522" s="23" t="n">
        <v>4237.29</v>
      </c>
    </row>
    <row r="523">
      <c r="A523" s="19" t="inlineStr">
        <is>
          <t>FY26</t>
        </is>
      </c>
      <c r="B523" s="19" t="inlineStr">
        <is>
          <t>Feb</t>
        </is>
      </c>
      <c r="C523" s="19" t="inlineStr">
        <is>
          <t>TN</t>
        </is>
      </c>
      <c r="D523" s="20" t="inlineStr">
        <is>
          <t>TN18Q0753</t>
        </is>
      </c>
      <c r="E523" s="20" t="inlineStr">
        <is>
          <t>HONDA</t>
        </is>
      </c>
      <c r="F523" s="20" t="inlineStr">
        <is>
          <t>City</t>
        </is>
      </c>
      <c r="G523" s="21" t="n">
        <v>2013</v>
      </c>
      <c r="H523" s="22" t="n">
        <v>24158</v>
      </c>
      <c r="I523" s="22" t="n">
        <v>390000</v>
      </c>
      <c r="J523" s="20" t="inlineStr">
        <is>
          <t>Nirmal</t>
        </is>
      </c>
      <c r="K523" s="20" t="inlineStr">
        <is>
          <t>Non-Captive</t>
        </is>
      </c>
      <c r="L523" s="20" t="inlineStr">
        <is>
          <t>TSM</t>
        </is>
      </c>
      <c r="M523" s="23" t="n">
        <v>4237.29</v>
      </c>
    </row>
    <row r="524">
      <c r="A524" s="19" t="inlineStr">
        <is>
          <t>FY26</t>
        </is>
      </c>
      <c r="B524" s="19" t="inlineStr">
        <is>
          <t>Feb</t>
        </is>
      </c>
      <c r="C524" s="19" t="inlineStr">
        <is>
          <t>TN</t>
        </is>
      </c>
      <c r="D524" s="20" t="inlineStr">
        <is>
          <t>TN07BW1706</t>
        </is>
      </c>
      <c r="E524" s="20" t="inlineStr">
        <is>
          <t>HONDA</t>
        </is>
      </c>
      <c r="F524" s="20" t="inlineStr">
        <is>
          <t>Amaze</t>
        </is>
      </c>
      <c r="G524" s="21" t="n">
        <v>2013</v>
      </c>
      <c r="H524" s="22" t="n">
        <v>50482</v>
      </c>
      <c r="I524" s="22" t="n">
        <v>285000</v>
      </c>
      <c r="J524" s="20" t="inlineStr">
        <is>
          <t>Castel Traders Honda</t>
        </is>
      </c>
      <c r="K524" s="20" t="inlineStr">
        <is>
          <t>Non-Captive</t>
        </is>
      </c>
      <c r="L524" s="20" t="inlineStr">
        <is>
          <t>TSM</t>
        </is>
      </c>
      <c r="M524" s="23" t="n">
        <v>4237.29</v>
      </c>
    </row>
    <row r="525">
      <c r="A525" s="19" t="inlineStr">
        <is>
          <t>FY26</t>
        </is>
      </c>
      <c r="B525" s="19" t="inlineStr">
        <is>
          <t>Feb</t>
        </is>
      </c>
      <c r="C525" s="19" t="inlineStr">
        <is>
          <t>TN</t>
        </is>
      </c>
      <c r="D525" s="20" t="inlineStr">
        <is>
          <t>TN18BA6185</t>
        </is>
      </c>
      <c r="E525" s="20" t="inlineStr">
        <is>
          <t>MARUTI SUZUKI</t>
        </is>
      </c>
      <c r="F525" s="20" t="inlineStr">
        <is>
          <t>S-Presso</t>
        </is>
      </c>
      <c r="G525" s="21" t="n">
        <v>2020</v>
      </c>
      <c r="H525" s="22" t="n">
        <v>91207</v>
      </c>
      <c r="I525" s="22" t="n">
        <v>325000</v>
      </c>
      <c r="J525" s="20" t="inlineStr">
        <is>
          <t>POPULAR VEHICLES AND SERVICES LIMITED</t>
        </is>
      </c>
      <c r="K525" s="20" t="inlineStr">
        <is>
          <t>Non-Captive</t>
        </is>
      </c>
      <c r="L525" s="20" t="inlineStr">
        <is>
          <t>TSM</t>
        </is>
      </c>
      <c r="M525" s="23" t="n">
        <v>4237.29</v>
      </c>
    </row>
    <row r="526">
      <c r="A526" s="19" t="inlineStr">
        <is>
          <t>FY26</t>
        </is>
      </c>
      <c r="B526" s="19" t="inlineStr">
        <is>
          <t>Feb</t>
        </is>
      </c>
      <c r="C526" s="19" t="inlineStr">
        <is>
          <t>TN</t>
        </is>
      </c>
      <c r="D526" s="20" t="inlineStr">
        <is>
          <t>KL01BT8737</t>
        </is>
      </c>
      <c r="E526" s="20" t="inlineStr">
        <is>
          <t>MARUTI SUZUKI</t>
        </is>
      </c>
      <c r="F526" s="20" t="inlineStr">
        <is>
          <t>Celerio</t>
        </is>
      </c>
      <c r="G526" s="21" t="n">
        <v>2017</v>
      </c>
      <c r="H526" s="22" t="n">
        <v>36542</v>
      </c>
      <c r="I526" s="22" t="n">
        <v>290000</v>
      </c>
      <c r="J526" s="20" t="inlineStr">
        <is>
          <t>Kirali Toyota</t>
        </is>
      </c>
      <c r="K526" s="20" t="inlineStr">
        <is>
          <t>Non-Captive</t>
        </is>
      </c>
      <c r="L526" s="20" t="inlineStr">
        <is>
          <t>Popular Thrissur</t>
        </is>
      </c>
      <c r="M526" s="23" t="n">
        <v>5000</v>
      </c>
    </row>
    <row r="527">
      <c r="A527" s="19" t="inlineStr">
        <is>
          <t>FY26</t>
        </is>
      </c>
      <c r="B527" s="19" t="inlineStr">
        <is>
          <t>Feb</t>
        </is>
      </c>
      <c r="C527" s="19" t="inlineStr">
        <is>
          <t>TN</t>
        </is>
      </c>
      <c r="D527" s="20" t="inlineStr">
        <is>
          <t>TN13F2010</t>
        </is>
      </c>
      <c r="E527" s="20" t="inlineStr">
        <is>
          <t>MARUTI SUZUKI</t>
        </is>
      </c>
      <c r="F527" s="20" t="inlineStr">
        <is>
          <t>Baleno</t>
        </is>
      </c>
      <c r="G527" s="21" t="n">
        <v>2016</v>
      </c>
      <c r="H527" s="22" t="n">
        <v>97186</v>
      </c>
      <c r="I527" s="22" t="n">
        <v>310000</v>
      </c>
      <c r="J527" s="20" t="inlineStr">
        <is>
          <t>Khivraj Motor</t>
        </is>
      </c>
      <c r="K527" s="20" t="inlineStr">
        <is>
          <t>Non-Captive</t>
        </is>
      </c>
      <c r="L527" s="20" t="inlineStr">
        <is>
          <t>Trust On wheels</t>
        </is>
      </c>
      <c r="M527" s="23" t="n">
        <v>5084.75</v>
      </c>
    </row>
    <row r="528">
      <c r="A528" s="19" t="inlineStr">
        <is>
          <t>FY26</t>
        </is>
      </c>
      <c r="B528" s="19" t="inlineStr">
        <is>
          <t>Feb</t>
        </is>
      </c>
      <c r="C528" s="19" t="inlineStr">
        <is>
          <t>TN</t>
        </is>
      </c>
      <c r="D528" s="20" t="inlineStr">
        <is>
          <t>TN05AY9361</t>
        </is>
      </c>
      <c r="E528" s="20" t="inlineStr">
        <is>
          <t>MARUTI SUZUKI</t>
        </is>
      </c>
      <c r="F528" s="20" t="inlineStr">
        <is>
          <t>Alto</t>
        </is>
      </c>
      <c r="G528" s="21" t="n"/>
      <c r="H528" s="22" t="n"/>
      <c r="I528" s="22" t="n">
        <v>157000</v>
      </c>
      <c r="J528" s="20" t="inlineStr">
        <is>
          <t>Castel Trader Mahindra</t>
        </is>
      </c>
      <c r="K528" s="20" t="inlineStr">
        <is>
          <t>Non-Captive</t>
        </is>
      </c>
      <c r="L528" s="20" t="inlineStr">
        <is>
          <t>Senthil Cars</t>
        </is>
      </c>
      <c r="M528" s="23" t="n">
        <v>5084.75</v>
      </c>
    </row>
    <row r="529">
      <c r="A529" s="19" t="inlineStr">
        <is>
          <t>FY26</t>
        </is>
      </c>
      <c r="B529" s="19" t="inlineStr">
        <is>
          <t>Feb</t>
        </is>
      </c>
      <c r="C529" s="19" t="inlineStr">
        <is>
          <t>TN</t>
        </is>
      </c>
      <c r="D529" s="20" t="inlineStr">
        <is>
          <t>TN41AU7025</t>
        </is>
      </c>
      <c r="E529" s="20" t="inlineStr">
        <is>
          <t>MARUTI SUZUKI</t>
        </is>
      </c>
      <c r="F529" s="20" t="inlineStr">
        <is>
          <t>Wagon R</t>
        </is>
      </c>
      <c r="G529" s="21" t="n">
        <v>2019</v>
      </c>
      <c r="H529" s="22" t="n">
        <v>110887</v>
      </c>
      <c r="I529" s="22" t="n">
        <v>363500</v>
      </c>
      <c r="J529" s="20" t="inlineStr">
        <is>
          <t>Anaamalais Toyota</t>
        </is>
      </c>
      <c r="K529" s="20" t="inlineStr">
        <is>
          <t>Non-Captive</t>
        </is>
      </c>
      <c r="L529" s="20" t="inlineStr">
        <is>
          <t>Kandhan Cars</t>
        </is>
      </c>
      <c r="M529" s="23" t="n">
        <v>9745.76</v>
      </c>
    </row>
    <row r="530">
      <c r="A530" s="19" t="inlineStr">
        <is>
          <t>FY26</t>
        </is>
      </c>
      <c r="B530" s="19" t="inlineStr">
        <is>
          <t>Feb</t>
        </is>
      </c>
      <c r="C530" s="19" t="inlineStr">
        <is>
          <t>TN</t>
        </is>
      </c>
      <c r="D530" s="20" t="inlineStr">
        <is>
          <t>TN06W7968</t>
        </is>
      </c>
      <c r="E530" s="20" t="inlineStr">
        <is>
          <t>MARUTI SUZUKI</t>
        </is>
      </c>
      <c r="F530" s="20" t="inlineStr">
        <is>
          <t>Alto</t>
        </is>
      </c>
      <c r="G530" s="21" t="n">
        <v>2018</v>
      </c>
      <c r="H530" s="22" t="n">
        <v>58972</v>
      </c>
      <c r="I530" s="22" t="n">
        <v>180000</v>
      </c>
      <c r="J530" s="20" t="inlineStr">
        <is>
          <t>Khivraj Motor</t>
        </is>
      </c>
      <c r="K530" s="20" t="inlineStr">
        <is>
          <t>Non-Captive</t>
        </is>
      </c>
      <c r="L530" s="20" t="inlineStr">
        <is>
          <t>Shakthi Cars</t>
        </is>
      </c>
      <c r="M530" s="23" t="n">
        <v>2966.1</v>
      </c>
    </row>
    <row r="531">
      <c r="A531" s="19" t="inlineStr">
        <is>
          <t>FY26</t>
        </is>
      </c>
      <c r="B531" s="19" t="inlineStr">
        <is>
          <t>Feb</t>
        </is>
      </c>
      <c r="C531" s="19" t="inlineStr">
        <is>
          <t>TN</t>
        </is>
      </c>
      <c r="D531" s="20" t="inlineStr">
        <is>
          <t>TN07CL8299</t>
        </is>
      </c>
      <c r="E531" s="20" t="inlineStr">
        <is>
          <t>MARUTI SUZUKI</t>
        </is>
      </c>
      <c r="F531" s="20" t="inlineStr">
        <is>
          <t>Alto K10</t>
        </is>
      </c>
      <c r="G531" s="21" t="n">
        <v>2017</v>
      </c>
      <c r="H531" s="22" t="n"/>
      <c r="I531" s="22" t="n">
        <v>198000</v>
      </c>
      <c r="J531" s="20" t="inlineStr">
        <is>
          <t>Khivraj Motor</t>
        </is>
      </c>
      <c r="K531" s="20" t="inlineStr">
        <is>
          <t>Non-Captive</t>
        </is>
      </c>
      <c r="L531" s="20" t="inlineStr">
        <is>
          <t>SUN Cars</t>
        </is>
      </c>
      <c r="M531" s="23" t="n">
        <v>3000</v>
      </c>
    </row>
    <row r="532">
      <c r="A532" s="19" t="inlineStr">
        <is>
          <t>FY26</t>
        </is>
      </c>
      <c r="B532" s="19" t="inlineStr">
        <is>
          <t>Feb</t>
        </is>
      </c>
      <c r="C532" s="19" t="inlineStr">
        <is>
          <t>TN</t>
        </is>
      </c>
      <c r="D532" s="20" t="inlineStr">
        <is>
          <t>TN60AE2347</t>
        </is>
      </c>
      <c r="E532" s="20" t="inlineStr">
        <is>
          <t>HONDA</t>
        </is>
      </c>
      <c r="F532" s="20" t="inlineStr">
        <is>
          <t>Amaze</t>
        </is>
      </c>
      <c r="G532" s="21" t="n">
        <v>2019</v>
      </c>
      <c r="H532" s="22" t="n">
        <v>159699</v>
      </c>
      <c r="I532" s="22" t="n">
        <v>325000</v>
      </c>
      <c r="J532" s="20" t="inlineStr">
        <is>
          <t>EXCHANGE ROTN</t>
        </is>
      </c>
      <c r="K532" s="20" t="inlineStr">
        <is>
          <t>Captive</t>
        </is>
      </c>
      <c r="L532" s="20" t="inlineStr">
        <is>
          <t>SUN Cars</t>
        </is>
      </c>
      <c r="M532" s="23" t="n">
        <v>12711.86</v>
      </c>
    </row>
    <row r="533">
      <c r="A533" s="19" t="inlineStr">
        <is>
          <t>FY26</t>
        </is>
      </c>
      <c r="B533" s="19" t="inlineStr">
        <is>
          <t>Feb</t>
        </is>
      </c>
      <c r="C533" s="19" t="inlineStr">
        <is>
          <t>TN</t>
        </is>
      </c>
      <c r="D533" s="20" t="inlineStr">
        <is>
          <t>TN70AC3714</t>
        </is>
      </c>
      <c r="E533" s="20" t="inlineStr">
        <is>
          <t>HONDA</t>
        </is>
      </c>
      <c r="F533" s="20" t="inlineStr">
        <is>
          <t>Amaze</t>
        </is>
      </c>
      <c r="G533" s="21" t="n">
        <v>2019</v>
      </c>
      <c r="H533" s="22" t="n">
        <v>78064</v>
      </c>
      <c r="I533" s="22" t="n">
        <v>490000</v>
      </c>
      <c r="J533" s="20" t="inlineStr">
        <is>
          <t>EXCHANGE ROTN</t>
        </is>
      </c>
      <c r="K533" s="20" t="inlineStr">
        <is>
          <t>Captive</t>
        </is>
      </c>
      <c r="L533" s="20" t="inlineStr">
        <is>
          <t>Ashwin cars</t>
        </is>
      </c>
      <c r="M533" s="23" t="n">
        <v>12711.86</v>
      </c>
    </row>
    <row r="534">
      <c r="A534" s="19" t="inlineStr">
        <is>
          <t>FY26</t>
        </is>
      </c>
      <c r="B534" s="19" t="inlineStr">
        <is>
          <t>Feb</t>
        </is>
      </c>
      <c r="C534" s="19" t="inlineStr">
        <is>
          <t>TN</t>
        </is>
      </c>
      <c r="D534" s="20" t="inlineStr">
        <is>
          <t>TN37BC8577</t>
        </is>
      </c>
      <c r="E534" s="20" t="inlineStr">
        <is>
          <t>HONDA</t>
        </is>
      </c>
      <c r="F534" s="20" t="inlineStr">
        <is>
          <t>City</t>
        </is>
      </c>
      <c r="G534" s="21" t="n">
        <v>1834</v>
      </c>
      <c r="H534" s="22" t="n">
        <v>63211</v>
      </c>
      <c r="I534" s="22" t="n">
        <v>265000</v>
      </c>
      <c r="J534" s="20" t="inlineStr">
        <is>
          <t>EXCHANGE ROTN</t>
        </is>
      </c>
      <c r="K534" s="20" t="inlineStr">
        <is>
          <t>Captive</t>
        </is>
      </c>
      <c r="L534" s="20" t="inlineStr">
        <is>
          <t>YUGA DHEERAN CARS</t>
        </is>
      </c>
      <c r="M534" s="23" t="n">
        <v>4237.29</v>
      </c>
    </row>
    <row r="535">
      <c r="A535" s="19" t="inlineStr">
        <is>
          <t>FY26</t>
        </is>
      </c>
      <c r="B535" s="19" t="inlineStr">
        <is>
          <t>Feb</t>
        </is>
      </c>
      <c r="C535" s="19" t="inlineStr">
        <is>
          <t>TN</t>
        </is>
      </c>
      <c r="D535" s="20" t="inlineStr">
        <is>
          <t>TN33BD1157</t>
        </is>
      </c>
      <c r="E535" s="20" t="inlineStr">
        <is>
          <t>MAHINDRA</t>
        </is>
      </c>
      <c r="F535" s="20" t="inlineStr">
        <is>
          <t>Verito</t>
        </is>
      </c>
      <c r="G535" s="21" t="n">
        <v>2012</v>
      </c>
      <c r="H535" s="22" t="n">
        <v>69648</v>
      </c>
      <c r="I535" s="22" t="n">
        <v>220000</v>
      </c>
      <c r="J535" s="20" t="inlineStr">
        <is>
          <t>EXCHANGE ROTN</t>
        </is>
      </c>
      <c r="K535" s="20" t="inlineStr">
        <is>
          <t>Captive</t>
        </is>
      </c>
      <c r="L535" s="20" t="inlineStr">
        <is>
          <t>YUGA DHEERAN CARS</t>
        </is>
      </c>
      <c r="M535" s="23" t="n">
        <v>12711.86</v>
      </c>
    </row>
    <row r="536">
      <c r="A536" s="19" t="inlineStr">
        <is>
          <t>FY26</t>
        </is>
      </c>
      <c r="B536" s="19" t="inlineStr">
        <is>
          <t>Feb</t>
        </is>
      </c>
      <c r="C536" s="19" t="inlineStr">
        <is>
          <t>TN</t>
        </is>
      </c>
      <c r="D536" s="20" t="inlineStr">
        <is>
          <t>TN47AJ3142</t>
        </is>
      </c>
      <c r="E536" s="20" t="inlineStr">
        <is>
          <t>HONDA</t>
        </is>
      </c>
      <c r="F536" s="20" t="inlineStr">
        <is>
          <t>Amaze</t>
        </is>
      </c>
      <c r="G536" s="21" t="n">
        <v>2016</v>
      </c>
      <c r="H536" s="22" t="n">
        <v>178689</v>
      </c>
      <c r="I536" s="22" t="n">
        <v>350000</v>
      </c>
      <c r="J536" s="20" t="inlineStr">
        <is>
          <t>EXCHANGE ROTN</t>
        </is>
      </c>
      <c r="K536" s="20" t="inlineStr">
        <is>
          <t>Captive</t>
        </is>
      </c>
      <c r="L536" s="20" t="inlineStr">
        <is>
          <t>SRI RAJA KANAPATHY CARS</t>
        </is>
      </c>
      <c r="M536" s="23" t="n">
        <v>8474.58</v>
      </c>
    </row>
    <row r="537">
      <c r="A537" s="19" t="inlineStr">
        <is>
          <t>FY26</t>
        </is>
      </c>
      <c r="B537" s="19" t="inlineStr">
        <is>
          <t>Feb</t>
        </is>
      </c>
      <c r="C537" s="19" t="inlineStr">
        <is>
          <t>TN</t>
        </is>
      </c>
      <c r="D537" s="20" t="inlineStr">
        <is>
          <t>TN47AR5693</t>
        </is>
      </c>
      <c r="E537" s="20" t="inlineStr">
        <is>
          <t>MARUTI SUZUKI</t>
        </is>
      </c>
      <c r="F537" s="20" t="inlineStr">
        <is>
          <t>Alto K10</t>
        </is>
      </c>
      <c r="G537" s="21" t="n">
        <v>2018</v>
      </c>
      <c r="H537" s="22" t="n">
        <v>33400</v>
      </c>
      <c r="I537" s="22" t="n">
        <v>250000</v>
      </c>
      <c r="J537" s="20" t="inlineStr">
        <is>
          <t>EXCHANGE ROTN</t>
        </is>
      </c>
      <c r="K537" s="20" t="inlineStr">
        <is>
          <t>Captive</t>
        </is>
      </c>
      <c r="L537" s="20" t="inlineStr">
        <is>
          <t>SMS Cars</t>
        </is>
      </c>
      <c r="M537" s="23" t="n">
        <v>12711.86</v>
      </c>
    </row>
    <row r="538">
      <c r="A538" s="19" t="inlineStr">
        <is>
          <t>FY26</t>
        </is>
      </c>
      <c r="B538" s="19" t="inlineStr">
        <is>
          <t>Feb</t>
        </is>
      </c>
      <c r="C538" s="19" t="inlineStr">
        <is>
          <t>TN</t>
        </is>
      </c>
      <c r="D538" s="20" t="inlineStr">
        <is>
          <t>TN09CP0201</t>
        </is>
      </c>
      <c r="E538" s="20" t="inlineStr">
        <is>
          <t>HYUNDAI</t>
        </is>
      </c>
      <c r="F538" s="20" t="inlineStr">
        <is>
          <t>I20</t>
        </is>
      </c>
      <c r="G538" s="21" t="n">
        <v>2019</v>
      </c>
      <c r="H538" s="22" t="n">
        <v>67553</v>
      </c>
      <c r="I538" s="22" t="n">
        <v>255000</v>
      </c>
      <c r="J538" s="20" t="inlineStr">
        <is>
          <t>EXCHANGE ROTN</t>
        </is>
      </c>
      <c r="K538" s="20" t="inlineStr">
        <is>
          <t>Captive</t>
        </is>
      </c>
      <c r="L538" s="20" t="inlineStr">
        <is>
          <t>Rajaganapathy Cars</t>
        </is>
      </c>
      <c r="M538" s="23" t="n">
        <v>8474.58</v>
      </c>
    </row>
    <row r="539">
      <c r="A539" s="19" t="inlineStr">
        <is>
          <t>FY26</t>
        </is>
      </c>
      <c r="B539" s="19" t="inlineStr">
        <is>
          <t>Feb</t>
        </is>
      </c>
      <c r="C539" s="19" t="inlineStr">
        <is>
          <t>TN</t>
        </is>
      </c>
      <c r="D539" s="20" t="inlineStr">
        <is>
          <t>TN14T2350</t>
        </is>
      </c>
      <c r="E539" s="20" t="inlineStr">
        <is>
          <t>HONDA</t>
        </is>
      </c>
      <c r="F539" s="20" t="inlineStr">
        <is>
          <t>City</t>
        </is>
      </c>
      <c r="G539" s="21" t="n">
        <v>2019</v>
      </c>
      <c r="H539" s="22" t="n">
        <v>68265</v>
      </c>
      <c r="I539" s="22" t="n">
        <v>490000</v>
      </c>
      <c r="J539" s="20" t="inlineStr">
        <is>
          <t>EXCHANGE ROTN</t>
        </is>
      </c>
      <c r="K539" s="20" t="inlineStr">
        <is>
          <t>Captive</t>
        </is>
      </c>
      <c r="L539" s="20" t="inlineStr">
        <is>
          <t>Trust On wheels</t>
        </is>
      </c>
      <c r="M539" s="23" t="n">
        <v>16949.15</v>
      </c>
    </row>
    <row r="540">
      <c r="A540" s="19" t="inlineStr">
        <is>
          <t>FY26</t>
        </is>
      </c>
      <c r="B540" s="19" t="inlineStr">
        <is>
          <t>Feb</t>
        </is>
      </c>
      <c r="C540" s="19" t="inlineStr">
        <is>
          <t>TN</t>
        </is>
      </c>
      <c r="D540" s="20" t="inlineStr">
        <is>
          <t>TN01AT3781</t>
        </is>
      </c>
      <c r="E540" s="20" t="inlineStr">
        <is>
          <t>MARUTI SUZUKI</t>
        </is>
      </c>
      <c r="F540" s="20" t="inlineStr">
        <is>
          <t>Alto</t>
        </is>
      </c>
      <c r="G540" s="21" t="n">
        <v>2012</v>
      </c>
      <c r="H540" s="22" t="n">
        <v>89722</v>
      </c>
      <c r="I540" s="22" t="n">
        <v>130000</v>
      </c>
      <c r="J540" s="20" t="inlineStr">
        <is>
          <t>Khivraj Motor</t>
        </is>
      </c>
      <c r="K540" s="20" t="inlineStr">
        <is>
          <t>Non-Captive</t>
        </is>
      </c>
      <c r="L540" s="20" t="inlineStr">
        <is>
          <t>Trust On wheels</t>
        </is>
      </c>
      <c r="M540" s="23" t="n">
        <v>3000</v>
      </c>
    </row>
    <row r="541">
      <c r="A541" s="19" t="inlineStr">
        <is>
          <t>FY26</t>
        </is>
      </c>
      <c r="B541" s="19" t="inlineStr">
        <is>
          <t>Feb</t>
        </is>
      </c>
      <c r="C541" s="19" t="inlineStr">
        <is>
          <t>TN</t>
        </is>
      </c>
      <c r="D541" s="20" t="inlineStr">
        <is>
          <t>TN07BA4014</t>
        </is>
      </c>
      <c r="E541" s="20" t="inlineStr">
        <is>
          <t>MAHINDRA</t>
        </is>
      </c>
      <c r="F541" s="20" t="inlineStr">
        <is>
          <t>Bolero</t>
        </is>
      </c>
      <c r="G541" s="21" t="n">
        <v>2008</v>
      </c>
      <c r="H541" s="22" t="n">
        <v>66228</v>
      </c>
      <c r="I541" s="22" t="n">
        <v>200000</v>
      </c>
      <c r="J541" s="20" t="inlineStr">
        <is>
          <t>Khivraj Motor</t>
        </is>
      </c>
      <c r="K541" s="20" t="inlineStr">
        <is>
          <t>Non-Captive</t>
        </is>
      </c>
      <c r="L541" s="20" t="inlineStr">
        <is>
          <t>Santhosh Cars</t>
        </is>
      </c>
      <c r="M541" s="23" t="n">
        <v>3000</v>
      </c>
    </row>
    <row r="542">
      <c r="A542" s="19" t="inlineStr">
        <is>
          <t>FY26</t>
        </is>
      </c>
      <c r="B542" s="19" t="inlineStr">
        <is>
          <t>Feb</t>
        </is>
      </c>
      <c r="C542" s="19" t="inlineStr">
        <is>
          <t>TN</t>
        </is>
      </c>
      <c r="D542" s="20" t="inlineStr">
        <is>
          <t>TN07BV9174</t>
        </is>
      </c>
      <c r="E542" s="20" t="inlineStr">
        <is>
          <t>HONDA</t>
        </is>
      </c>
      <c r="F542" s="20" t="inlineStr">
        <is>
          <t>Amaze</t>
        </is>
      </c>
      <c r="G542" s="21" t="n">
        <v>2013</v>
      </c>
      <c r="H542" s="22" t="n">
        <v>67522</v>
      </c>
      <c r="I542" s="22" t="n">
        <v>280000</v>
      </c>
      <c r="J542" s="20" t="inlineStr">
        <is>
          <t>EXCHANGE CHENNAI</t>
        </is>
      </c>
      <c r="K542" s="20" t="inlineStr">
        <is>
          <t>Captive</t>
        </is>
      </c>
      <c r="L542" s="20" t="inlineStr">
        <is>
          <t>Santhosh Cars</t>
        </is>
      </c>
      <c r="M542" s="23" t="n">
        <v>8474.58</v>
      </c>
    </row>
    <row r="543">
      <c r="A543" s="19" t="inlineStr">
        <is>
          <t>FY26</t>
        </is>
      </c>
      <c r="B543" s="19" t="inlineStr">
        <is>
          <t>Feb</t>
        </is>
      </c>
      <c r="C543" s="19" t="inlineStr">
        <is>
          <t>TN</t>
        </is>
      </c>
      <c r="D543" s="20" t="inlineStr">
        <is>
          <t>TN09DB8905</t>
        </is>
      </c>
      <c r="E543" s="20" t="inlineStr">
        <is>
          <t>HONDA</t>
        </is>
      </c>
      <c r="F543" s="20" t="inlineStr">
        <is>
          <t>Amaze</t>
        </is>
      </c>
      <c r="G543" s="21" t="n">
        <v>2023</v>
      </c>
      <c r="H543" s="22" t="n">
        <v>19876</v>
      </c>
      <c r="I543" s="22" t="n">
        <v>700000</v>
      </c>
      <c r="J543" s="20" t="inlineStr">
        <is>
          <t>EXCHANGE CHENNAI</t>
        </is>
      </c>
      <c r="K543" s="20" t="inlineStr">
        <is>
          <t>Captive</t>
        </is>
      </c>
      <c r="L543" s="20" t="inlineStr">
        <is>
          <t>Thiya Cars</t>
        </is>
      </c>
      <c r="M543" s="23" t="n">
        <v>8474.58</v>
      </c>
    </row>
    <row r="544">
      <c r="A544" s="19" t="inlineStr">
        <is>
          <t>FY26</t>
        </is>
      </c>
      <c r="B544" s="19" t="inlineStr">
        <is>
          <t>Feb</t>
        </is>
      </c>
      <c r="C544" s="19" t="inlineStr">
        <is>
          <t>TN</t>
        </is>
      </c>
      <c r="D544" s="20" t="inlineStr">
        <is>
          <t>TN01BF8422</t>
        </is>
      </c>
      <c r="E544" s="20" t="inlineStr">
        <is>
          <t>HONDA</t>
        </is>
      </c>
      <c r="F544" s="20" t="inlineStr">
        <is>
          <t>Amaze</t>
        </is>
      </c>
      <c r="G544" s="21" t="n">
        <v>2018</v>
      </c>
      <c r="H544" s="22" t="n"/>
      <c r="I544" s="22" t="n">
        <v>385000</v>
      </c>
      <c r="J544" s="20" t="inlineStr">
        <is>
          <t>EXCHANGE CHENNAI</t>
        </is>
      </c>
      <c r="K544" s="20" t="inlineStr">
        <is>
          <t>Captive</t>
        </is>
      </c>
      <c r="L544" s="20" t="inlineStr">
        <is>
          <t>Nirmal Cars</t>
        </is>
      </c>
      <c r="M544" s="23" t="n">
        <v>5084.75</v>
      </c>
    </row>
    <row r="545">
      <c r="A545" s="19" t="inlineStr">
        <is>
          <t>FY26</t>
        </is>
      </c>
      <c r="B545" s="19" t="inlineStr">
        <is>
          <t>Feb</t>
        </is>
      </c>
      <c r="C545" s="19" t="inlineStr">
        <is>
          <t>TN</t>
        </is>
      </c>
      <c r="D545" s="20" t="inlineStr">
        <is>
          <t>TN07CA7184</t>
        </is>
      </c>
      <c r="E545" s="20" t="inlineStr">
        <is>
          <t>MARUTI SUZUKI</t>
        </is>
      </c>
      <c r="F545" s="20" t="inlineStr">
        <is>
          <t>Sx4</t>
        </is>
      </c>
      <c r="G545" s="21" t="n">
        <v>2009</v>
      </c>
      <c r="H545" s="22" t="n"/>
      <c r="I545" s="22" t="n">
        <v>170000</v>
      </c>
      <c r="J545" s="20" t="inlineStr">
        <is>
          <t>EXCHANGE CHENNAI</t>
        </is>
      </c>
      <c r="K545" s="20" t="inlineStr">
        <is>
          <t>Captive</t>
        </is>
      </c>
      <c r="L545" s="20" t="inlineStr">
        <is>
          <t>Santhosh Cars</t>
        </is>
      </c>
      <c r="M545" s="23" t="n">
        <v>4237.29</v>
      </c>
    </row>
    <row r="546">
      <c r="A546" s="19" t="inlineStr">
        <is>
          <t>FY26</t>
        </is>
      </c>
      <c r="B546" s="19" t="inlineStr">
        <is>
          <t>Feb</t>
        </is>
      </c>
      <c r="C546" s="19" t="inlineStr">
        <is>
          <t>TN</t>
        </is>
      </c>
      <c r="D546" s="20" t="inlineStr">
        <is>
          <t>TN05BU9815</t>
        </is>
      </c>
      <c r="E546" s="20" t="inlineStr">
        <is>
          <t>MARUTI SUZUKI</t>
        </is>
      </c>
      <c r="F546" s="20" t="inlineStr">
        <is>
          <t>Swift</t>
        </is>
      </c>
      <c r="G546" s="21" t="n">
        <v>2018</v>
      </c>
      <c r="H546" s="22" t="n">
        <v>98588</v>
      </c>
      <c r="I546" s="22" t="n">
        <v>470000</v>
      </c>
      <c r="J546" s="20" t="inlineStr">
        <is>
          <t>EXCHANGE CHENNAI</t>
        </is>
      </c>
      <c r="K546" s="20" t="inlineStr">
        <is>
          <t>Captive</t>
        </is>
      </c>
      <c r="L546" s="20" t="inlineStr">
        <is>
          <t>Santhosh Cars</t>
        </is>
      </c>
      <c r="M546" s="23" t="n">
        <v>8474.58</v>
      </c>
    </row>
    <row r="547">
      <c r="A547" s="19" t="inlineStr">
        <is>
          <t>FY26</t>
        </is>
      </c>
      <c r="B547" s="19" t="inlineStr">
        <is>
          <t>Feb</t>
        </is>
      </c>
      <c r="C547" s="19" t="inlineStr">
        <is>
          <t>TN</t>
        </is>
      </c>
      <c r="D547" s="20" t="inlineStr">
        <is>
          <t>TN06AA5388</t>
        </is>
      </c>
      <c r="E547" s="20" t="inlineStr">
        <is>
          <t>TATA</t>
        </is>
      </c>
      <c r="F547" s="20" t="inlineStr">
        <is>
          <t>Nexon</t>
        </is>
      </c>
      <c r="G547" s="21" t="n">
        <v>2021</v>
      </c>
      <c r="H547" s="22" t="n">
        <v>56999</v>
      </c>
      <c r="I547" s="22" t="n">
        <v>530000</v>
      </c>
      <c r="J547" s="20" t="inlineStr">
        <is>
          <t>EXCHANGE CHENNAI</t>
        </is>
      </c>
      <c r="K547" s="20" t="inlineStr">
        <is>
          <t>Captive</t>
        </is>
      </c>
      <c r="L547" s="20" t="inlineStr">
        <is>
          <t>car Hub</t>
        </is>
      </c>
      <c r="M547" s="23" t="n">
        <v>8474.58</v>
      </c>
    </row>
    <row r="548">
      <c r="A548" s="19" t="inlineStr">
        <is>
          <t>FY26</t>
        </is>
      </c>
      <c r="B548" s="19" t="inlineStr">
        <is>
          <t>Feb</t>
        </is>
      </c>
      <c r="C548" s="19" t="inlineStr">
        <is>
          <t>TN</t>
        </is>
      </c>
      <c r="D548" s="20" t="inlineStr">
        <is>
          <t>TN12P5726</t>
        </is>
      </c>
      <c r="E548" s="20" t="inlineStr">
        <is>
          <t>HONDA</t>
        </is>
      </c>
      <c r="F548" s="20" t="inlineStr">
        <is>
          <t>City</t>
        </is>
      </c>
      <c r="G548" s="21" t="n">
        <v>2016</v>
      </c>
      <c r="H548" s="22" t="n">
        <v>75460</v>
      </c>
      <c r="I548" s="22" t="n">
        <v>475000</v>
      </c>
      <c r="J548" s="20" t="inlineStr">
        <is>
          <t>AIE CARS PRIVATE LIMITED</t>
        </is>
      </c>
      <c r="K548" s="20" t="inlineStr">
        <is>
          <t>Non-Captive</t>
        </is>
      </c>
      <c r="L548" s="20" t="inlineStr">
        <is>
          <t>Pine Autos</t>
        </is>
      </c>
      <c r="M548" s="23" t="n">
        <v>4237.29</v>
      </c>
    </row>
    <row r="549">
      <c r="A549" s="19" t="inlineStr">
        <is>
          <t>FY26</t>
        </is>
      </c>
      <c r="B549" s="19" t="inlineStr">
        <is>
          <t>Feb</t>
        </is>
      </c>
      <c r="C549" s="19" t="inlineStr">
        <is>
          <t>TN</t>
        </is>
      </c>
      <c r="D549" s="20" t="inlineStr">
        <is>
          <t>TN11X5792</t>
        </is>
      </c>
      <c r="E549" s="20" t="inlineStr">
        <is>
          <t>HONDA</t>
        </is>
      </c>
      <c r="F549" s="20" t="inlineStr">
        <is>
          <t>Amaze</t>
        </is>
      </c>
      <c r="G549" s="21" t="n">
        <v>2013</v>
      </c>
      <c r="H549" s="22" t="n">
        <v>82030</v>
      </c>
      <c r="I549" s="22" t="n">
        <v>270000</v>
      </c>
      <c r="J549" s="20" t="inlineStr">
        <is>
          <t>POPULAR VEHICLES AND SERVICES LIMITED</t>
        </is>
      </c>
      <c r="K549" s="20" t="inlineStr">
        <is>
          <t>Non-Captive</t>
        </is>
      </c>
      <c r="L549" s="20" t="inlineStr">
        <is>
          <t>Thiya Cars</t>
        </is>
      </c>
      <c r="M549" s="23" t="n">
        <v>4237.29</v>
      </c>
    </row>
    <row r="550">
      <c r="A550" s="19" t="inlineStr">
        <is>
          <t>FY26</t>
        </is>
      </c>
      <c r="B550" s="19" t="inlineStr">
        <is>
          <t>Feb</t>
        </is>
      </c>
      <c r="C550" s="19" t="inlineStr">
        <is>
          <t>TN</t>
        </is>
      </c>
      <c r="D550" s="20" t="inlineStr">
        <is>
          <t>TN14W3870</t>
        </is>
      </c>
      <c r="E550" s="20" t="inlineStr">
        <is>
          <t>HYUNDAI</t>
        </is>
      </c>
      <c r="F550" s="20" t="inlineStr">
        <is>
          <t>I20</t>
        </is>
      </c>
      <c r="G550" s="21" t="n">
        <v>2020</v>
      </c>
      <c r="H550" s="22" t="n">
        <v>39453</v>
      </c>
      <c r="I550" s="22" t="n">
        <v>375000</v>
      </c>
      <c r="J550" s="20" t="inlineStr">
        <is>
          <t>POPULAR VEHICLES AND SERVICES LIMITED</t>
        </is>
      </c>
      <c r="K550" s="20" t="inlineStr">
        <is>
          <t>Non-Captive</t>
        </is>
      </c>
      <c r="L550" s="20" t="inlineStr">
        <is>
          <t>Thiya Cars</t>
        </is>
      </c>
      <c r="M550" s="23" t="n">
        <v>4237.29</v>
      </c>
    </row>
    <row r="551">
      <c r="A551" s="19" t="inlineStr">
        <is>
          <t>FY26</t>
        </is>
      </c>
      <c r="B551" s="19" t="inlineStr">
        <is>
          <t>Feb</t>
        </is>
      </c>
      <c r="C551" s="19" t="inlineStr">
        <is>
          <t>TN</t>
        </is>
      </c>
      <c r="D551" s="20" t="inlineStr">
        <is>
          <t>TN22CM1586</t>
        </is>
      </c>
      <c r="E551" s="20" t="inlineStr">
        <is>
          <t>MARUTI SUZUKI</t>
        </is>
      </c>
      <c r="F551" s="20" t="inlineStr">
        <is>
          <t>Alto</t>
        </is>
      </c>
      <c r="G551" s="21" t="n">
        <v>2013</v>
      </c>
      <c r="H551" s="22" t="n">
        <v>49940</v>
      </c>
      <c r="I551" s="22" t="n">
        <v>160000</v>
      </c>
      <c r="J551" s="20" t="inlineStr">
        <is>
          <t>POPULAR VEHICLES AND SERVICES LIMITED</t>
        </is>
      </c>
      <c r="K551" s="20" t="inlineStr">
        <is>
          <t>Non-Captive</t>
        </is>
      </c>
      <c r="L551" s="20" t="inlineStr">
        <is>
          <t>Thiya Cars</t>
        </is>
      </c>
      <c r="M551" s="23" t="n">
        <v>4237.29</v>
      </c>
    </row>
    <row r="552">
      <c r="A552" s="19" t="inlineStr">
        <is>
          <t>FY26</t>
        </is>
      </c>
      <c r="B552" s="19" t="inlineStr">
        <is>
          <t>Feb</t>
        </is>
      </c>
      <c r="C552" s="19" t="inlineStr">
        <is>
          <t>TN</t>
        </is>
      </c>
      <c r="D552" s="20" t="inlineStr">
        <is>
          <t>TN10AM7835</t>
        </is>
      </c>
      <c r="E552" s="20" t="inlineStr">
        <is>
          <t>FORD</t>
        </is>
      </c>
      <c r="F552" s="20" t="inlineStr">
        <is>
          <t>Figo</t>
        </is>
      </c>
      <c r="G552" s="21" t="n">
        <v>2013</v>
      </c>
      <c r="H552" s="22" t="n">
        <v>86585</v>
      </c>
      <c r="I552" s="22" t="n">
        <v>145000</v>
      </c>
      <c r="J552" s="20" t="inlineStr">
        <is>
          <t>Cars India</t>
        </is>
      </c>
      <c r="K552" s="20" t="inlineStr">
        <is>
          <t>Non-Captive</t>
        </is>
      </c>
      <c r="L552" s="20" t="inlineStr">
        <is>
          <t>Thiya Cars</t>
        </is>
      </c>
      <c r="M552" s="23" t="n">
        <v>4237.29</v>
      </c>
    </row>
    <row r="553">
      <c r="A553" s="19" t="inlineStr">
        <is>
          <t>FY26</t>
        </is>
      </c>
      <c r="B553" s="19" t="inlineStr">
        <is>
          <t>Feb</t>
        </is>
      </c>
      <c r="C553" s="19" t="inlineStr">
        <is>
          <t>TN</t>
        </is>
      </c>
      <c r="D553" s="20" t="inlineStr">
        <is>
          <t>TN14AD3704</t>
        </is>
      </c>
      <c r="E553" s="20" t="inlineStr">
        <is>
          <t>MARUTI SUZUKI</t>
        </is>
      </c>
      <c r="F553" s="20" t="inlineStr">
        <is>
          <t>S-Presso</t>
        </is>
      </c>
      <c r="G553" s="21" t="n">
        <v>2022</v>
      </c>
      <c r="H553" s="22" t="n">
        <v>50550</v>
      </c>
      <c r="I553" s="22" t="n">
        <v>250000</v>
      </c>
      <c r="J553" s="20" t="inlineStr">
        <is>
          <t>Cars India</t>
        </is>
      </c>
      <c r="K553" s="20" t="inlineStr">
        <is>
          <t>Non-Captive</t>
        </is>
      </c>
      <c r="L553" s="20" t="inlineStr">
        <is>
          <t>Thiya Cars</t>
        </is>
      </c>
      <c r="M553" s="23" t="n">
        <v>3389.83</v>
      </c>
    </row>
    <row r="554">
      <c r="A554" s="19" t="inlineStr">
        <is>
          <t>FY26</t>
        </is>
      </c>
      <c r="B554" s="19" t="inlineStr">
        <is>
          <t>Feb</t>
        </is>
      </c>
      <c r="C554" s="19" t="inlineStr">
        <is>
          <t>TN</t>
        </is>
      </c>
      <c r="D554" s="20" t="inlineStr">
        <is>
          <t>TN14R0960</t>
        </is>
      </c>
      <c r="E554" s="20" t="inlineStr">
        <is>
          <t>HYUNDAI</t>
        </is>
      </c>
      <c r="F554" s="20" t="inlineStr">
        <is>
          <t>I20</t>
        </is>
      </c>
      <c r="G554" s="21" t="n">
        <v>2018</v>
      </c>
      <c r="H554" s="22" t="n">
        <v>45005</v>
      </c>
      <c r="I554" s="22" t="n">
        <v>380000</v>
      </c>
      <c r="J554" s="20" t="inlineStr">
        <is>
          <t>Lakshmi Hyundai</t>
        </is>
      </c>
      <c r="K554" s="20" t="inlineStr">
        <is>
          <t>Non-Captive</t>
        </is>
      </c>
      <c r="L554" s="20" t="inlineStr">
        <is>
          <t>Thiya Cars</t>
        </is>
      </c>
      <c r="M554" s="23" t="n">
        <v>3389.83</v>
      </c>
    </row>
    <row r="555">
      <c r="A555" s="19" t="inlineStr">
        <is>
          <t>FY26</t>
        </is>
      </c>
      <c r="B555" s="19" t="inlineStr">
        <is>
          <t>Feb</t>
        </is>
      </c>
      <c r="C555" s="19" t="inlineStr">
        <is>
          <t>TN</t>
        </is>
      </c>
      <c r="D555" s="20" t="inlineStr">
        <is>
          <t>TN02BQ6807</t>
        </is>
      </c>
      <c r="E555" s="20" t="inlineStr">
        <is>
          <t>HYUNDAI</t>
        </is>
      </c>
      <c r="F555" s="20" t="inlineStr">
        <is>
          <t>Grand I10</t>
        </is>
      </c>
      <c r="G555" s="21" t="n">
        <v>2019</v>
      </c>
      <c r="H555" s="22" t="n">
        <v>32830</v>
      </c>
      <c r="I555" s="22" t="n">
        <v>300000</v>
      </c>
      <c r="J555" s="20" t="inlineStr">
        <is>
          <t>Lakshmi Tata</t>
        </is>
      </c>
      <c r="K555" s="20" t="inlineStr">
        <is>
          <t>Non-Captive</t>
        </is>
      </c>
      <c r="L555" s="20" t="inlineStr">
        <is>
          <t>Thiya Cars</t>
        </is>
      </c>
      <c r="M555" s="23" t="n">
        <v>3389.83</v>
      </c>
    </row>
    <row r="556">
      <c r="A556" s="19" t="inlineStr">
        <is>
          <t>FY26</t>
        </is>
      </c>
      <c r="B556" s="19" t="inlineStr">
        <is>
          <t>Feb</t>
        </is>
      </c>
      <c r="C556" s="19" t="inlineStr">
        <is>
          <t>TN</t>
        </is>
      </c>
      <c r="D556" s="20" t="inlineStr">
        <is>
          <t>TN12AK8251</t>
        </is>
      </c>
      <c r="E556" s="20" t="inlineStr">
        <is>
          <t>SKODA</t>
        </is>
      </c>
      <c r="F556" s="20" t="inlineStr">
        <is>
          <t>Rapid</t>
        </is>
      </c>
      <c r="G556" s="21" t="n">
        <v>2020</v>
      </c>
      <c r="H556" s="22" t="n">
        <v>72496</v>
      </c>
      <c r="I556" s="22" t="n">
        <v>450000</v>
      </c>
      <c r="J556" s="20" t="inlineStr">
        <is>
          <t>Lakshmi Tata</t>
        </is>
      </c>
      <c r="K556" s="20" t="inlineStr">
        <is>
          <t>Non-Captive</t>
        </is>
      </c>
      <c r="L556" s="20" t="inlineStr">
        <is>
          <t>Thiya Cars</t>
        </is>
      </c>
      <c r="M556" s="23" t="n">
        <v>4237.29</v>
      </c>
    </row>
    <row r="557">
      <c r="A557" s="19" t="inlineStr">
        <is>
          <t>FY26</t>
        </is>
      </c>
      <c r="B557" s="19" t="inlineStr">
        <is>
          <t>Feb</t>
        </is>
      </c>
      <c r="C557" s="19" t="inlineStr">
        <is>
          <t>TN</t>
        </is>
      </c>
      <c r="D557" s="20" t="inlineStr">
        <is>
          <t>TN02BL5314</t>
        </is>
      </c>
      <c r="E557" s="20" t="inlineStr">
        <is>
          <t>HONDA</t>
        </is>
      </c>
      <c r="F557" s="20" t="inlineStr">
        <is>
          <t>Jazz</t>
        </is>
      </c>
      <c r="G557" s="21" t="n">
        <v>2018</v>
      </c>
      <c r="H557" s="22" t="n">
        <v>152685</v>
      </c>
      <c r="I557" s="22" t="n">
        <v>275000</v>
      </c>
      <c r="J557" s="20" t="inlineStr">
        <is>
          <t>Lakshmi Tata</t>
        </is>
      </c>
      <c r="K557" s="20" t="inlineStr">
        <is>
          <t>Non-Captive</t>
        </is>
      </c>
      <c r="L557" s="20" t="inlineStr">
        <is>
          <t>Nirmal Cars</t>
        </is>
      </c>
      <c r="M557" s="23" t="n">
        <v>3389.83</v>
      </c>
    </row>
    <row r="558">
      <c r="A558" s="19" t="inlineStr">
        <is>
          <t>FY26</t>
        </is>
      </c>
      <c r="B558" s="19" t="inlineStr">
        <is>
          <t>Feb</t>
        </is>
      </c>
      <c r="C558" s="19" t="inlineStr">
        <is>
          <t>TN</t>
        </is>
      </c>
      <c r="D558" s="20" t="inlineStr">
        <is>
          <t>TN87A8728</t>
        </is>
      </c>
      <c r="E558" s="20" t="inlineStr">
        <is>
          <t>NISSAN</t>
        </is>
      </c>
      <c r="F558" s="20" t="inlineStr">
        <is>
          <t>Kicks</t>
        </is>
      </c>
      <c r="G558" s="21" t="n">
        <v>2019</v>
      </c>
      <c r="H558" s="22" t="n">
        <v>220537</v>
      </c>
      <c r="I558" s="22" t="n">
        <v>282000</v>
      </c>
      <c r="J558" s="20" t="inlineStr">
        <is>
          <t>RENAULT NISSAN AUTOMOTIVE PVT LTD</t>
        </is>
      </c>
      <c r="K558" s="20" t="inlineStr">
        <is>
          <t>Non-Captive</t>
        </is>
      </c>
      <c r="L558" s="20" t="inlineStr">
        <is>
          <t>Nirmal Cars</t>
        </is>
      </c>
      <c r="M558" s="23" t="n">
        <v>8474.58</v>
      </c>
    </row>
    <row r="559">
      <c r="A559" s="19" t="inlineStr">
        <is>
          <t>FY26</t>
        </is>
      </c>
      <c r="B559" s="19" t="inlineStr">
        <is>
          <t>Feb</t>
        </is>
      </c>
      <c r="C559" s="19" t="inlineStr">
        <is>
          <t>TN</t>
        </is>
      </c>
      <c r="D559" s="20" t="inlineStr">
        <is>
          <t>TN87C7156</t>
        </is>
      </c>
      <c r="E559" s="20" t="inlineStr">
        <is>
          <t>NISSAN</t>
        </is>
      </c>
      <c r="F559" s="20" t="inlineStr">
        <is>
          <t>Kicks</t>
        </is>
      </c>
      <c r="G559" s="21" t="n">
        <v>2021</v>
      </c>
      <c r="H559" s="22" t="n">
        <v>111772</v>
      </c>
      <c r="I559" s="22" t="n">
        <v>302000</v>
      </c>
      <c r="J559" s="20" t="inlineStr">
        <is>
          <t>RENAULT NISSAN AUTOMOTIVE PVT LTD</t>
        </is>
      </c>
      <c r="K559" s="20" t="inlineStr">
        <is>
          <t>Non-Captive</t>
        </is>
      </c>
      <c r="L559" s="20" t="inlineStr">
        <is>
          <t>Nirmal Cars</t>
        </is>
      </c>
      <c r="M559" s="23" t="n">
        <v>8474.58</v>
      </c>
    </row>
    <row r="560">
      <c r="A560" s="19" t="inlineStr">
        <is>
          <t>FY26</t>
        </is>
      </c>
      <c r="B560" s="19" t="inlineStr">
        <is>
          <t>Feb</t>
        </is>
      </c>
      <c r="C560" s="19" t="inlineStr">
        <is>
          <t>TN</t>
        </is>
      </c>
      <c r="D560" s="20" t="inlineStr">
        <is>
          <t>TN87C7185</t>
        </is>
      </c>
      <c r="E560" s="20" t="inlineStr">
        <is>
          <t>NISSAN</t>
        </is>
      </c>
      <c r="F560" s="20" t="inlineStr">
        <is>
          <t>Kicks</t>
        </is>
      </c>
      <c r="G560" s="21" t="n">
        <v>2021</v>
      </c>
      <c r="H560" s="22" t="n">
        <v>118764</v>
      </c>
      <c r="I560" s="22" t="n">
        <v>302000</v>
      </c>
      <c r="J560" s="20" t="inlineStr">
        <is>
          <t>RENAULT NISSAN AUTOMOTIVE PVT LTD</t>
        </is>
      </c>
      <c r="K560" s="20" t="inlineStr">
        <is>
          <t>Non-Captive</t>
        </is>
      </c>
      <c r="L560" s="20" t="inlineStr">
        <is>
          <t>Nirmal Cars</t>
        </is>
      </c>
      <c r="M560" s="23" t="n">
        <v>8474.58</v>
      </c>
    </row>
    <row r="561">
      <c r="A561" s="19" t="inlineStr">
        <is>
          <t>FY26</t>
        </is>
      </c>
      <c r="B561" s="19" t="inlineStr">
        <is>
          <t>Feb</t>
        </is>
      </c>
      <c r="C561" s="19" t="inlineStr">
        <is>
          <t>TN</t>
        </is>
      </c>
      <c r="D561" s="20" t="inlineStr">
        <is>
          <t>TN87B1539</t>
        </is>
      </c>
      <c r="E561" s="20" t="inlineStr">
        <is>
          <t>NISSAN</t>
        </is>
      </c>
      <c r="F561" s="20" t="inlineStr">
        <is>
          <t>Kicks</t>
        </is>
      </c>
      <c r="G561" s="21" t="n">
        <v>2019</v>
      </c>
      <c r="H561" s="22" t="n">
        <v>130015</v>
      </c>
      <c r="I561" s="22" t="n">
        <v>302000</v>
      </c>
      <c r="J561" s="20" t="inlineStr">
        <is>
          <t>RENAULT NISSAN AUTOMOTIVE PVT LTD</t>
        </is>
      </c>
      <c r="K561" s="20" t="inlineStr">
        <is>
          <t>Non-Captive</t>
        </is>
      </c>
      <c r="L561" s="20" t="inlineStr">
        <is>
          <t>Nirmal Cars</t>
        </is>
      </c>
      <c r="M561" s="23" t="n">
        <v>8474.58</v>
      </c>
    </row>
    <row r="562">
      <c r="A562" s="19" t="inlineStr">
        <is>
          <t>FY26</t>
        </is>
      </c>
      <c r="B562" s="19" t="inlineStr">
        <is>
          <t>Feb</t>
        </is>
      </c>
      <c r="C562" s="19" t="inlineStr">
        <is>
          <t>TN</t>
        </is>
      </c>
      <c r="D562" s="20" t="inlineStr">
        <is>
          <t>TN87A7087</t>
        </is>
      </c>
      <c r="E562" s="20" t="inlineStr">
        <is>
          <t>NISSAN</t>
        </is>
      </c>
      <c r="F562" s="20" t="inlineStr">
        <is>
          <t>Kicks</t>
        </is>
      </c>
      <c r="G562" s="21" t="n">
        <v>2019</v>
      </c>
      <c r="H562" s="22" t="n">
        <v>182161</v>
      </c>
      <c r="I562" s="22" t="n">
        <v>332000</v>
      </c>
      <c r="J562" s="20" t="inlineStr">
        <is>
          <t>RENAULT NISSAN AUTOMOTIVE PVT LTD</t>
        </is>
      </c>
      <c r="K562" s="20" t="inlineStr">
        <is>
          <t>Non-Captive</t>
        </is>
      </c>
      <c r="L562" s="20" t="inlineStr">
        <is>
          <t>Nirmal Cars</t>
        </is>
      </c>
      <c r="M562" s="23" t="n">
        <v>8474.58</v>
      </c>
    </row>
    <row r="563">
      <c r="A563" s="19" t="inlineStr">
        <is>
          <t>FY26</t>
        </is>
      </c>
      <c r="B563" s="19" t="inlineStr">
        <is>
          <t>Feb</t>
        </is>
      </c>
      <c r="C563" s="19" t="inlineStr">
        <is>
          <t>TN</t>
        </is>
      </c>
      <c r="D563" s="20" t="inlineStr">
        <is>
          <t>TN87A7150</t>
        </is>
      </c>
      <c r="E563" s="20" t="inlineStr">
        <is>
          <t>NISSAN</t>
        </is>
      </c>
      <c r="F563" s="20" t="inlineStr">
        <is>
          <t>Kicks</t>
        </is>
      </c>
      <c r="G563" s="21" t="n">
        <v>2019</v>
      </c>
      <c r="H563" s="22" t="n">
        <v>181945</v>
      </c>
      <c r="I563" s="22" t="n">
        <v>332000</v>
      </c>
      <c r="J563" s="20" t="inlineStr">
        <is>
          <t>RENAULT NISSAN AUTOMOTIVE PVT LTD</t>
        </is>
      </c>
      <c r="K563" s="20" t="inlineStr">
        <is>
          <t>Non-Captive</t>
        </is>
      </c>
      <c r="L563" s="20" t="inlineStr">
        <is>
          <t>Nirmal Cars</t>
        </is>
      </c>
      <c r="M563" s="23" t="n">
        <v>8474.58</v>
      </c>
    </row>
    <row r="564">
      <c r="A564" s="19" t="inlineStr">
        <is>
          <t>FY26</t>
        </is>
      </c>
      <c r="B564" s="19" t="inlineStr">
        <is>
          <t>Feb</t>
        </is>
      </c>
      <c r="C564" s="19" t="inlineStr">
        <is>
          <t>TN</t>
        </is>
      </c>
      <c r="D564" s="20" t="inlineStr">
        <is>
          <t>TN87C6040</t>
        </is>
      </c>
      <c r="E564" s="20" t="inlineStr">
        <is>
          <t>NISSAN</t>
        </is>
      </c>
      <c r="F564" s="20" t="inlineStr">
        <is>
          <t>Kicks</t>
        </is>
      </c>
      <c r="G564" s="21" t="n">
        <v>2021</v>
      </c>
      <c r="H564" s="22" t="n">
        <v>97198</v>
      </c>
      <c r="I564" s="22" t="n">
        <v>332000</v>
      </c>
      <c r="J564" s="20" t="inlineStr">
        <is>
          <t>RENAULT NISSAN AUTOMOTIVE PVT LTD</t>
        </is>
      </c>
      <c r="K564" s="20" t="inlineStr">
        <is>
          <t>Non-Captive</t>
        </is>
      </c>
      <c r="L564" s="20" t="inlineStr">
        <is>
          <t>Nirmal Cars</t>
        </is>
      </c>
      <c r="M564" s="23" t="n">
        <v>8474.58</v>
      </c>
    </row>
    <row r="565">
      <c r="A565" s="19" t="inlineStr">
        <is>
          <t>FY26</t>
        </is>
      </c>
      <c r="B565" s="19" t="inlineStr">
        <is>
          <t>Feb</t>
        </is>
      </c>
      <c r="C565" s="19" t="inlineStr">
        <is>
          <t>TN</t>
        </is>
      </c>
      <c r="D565" s="20" t="inlineStr">
        <is>
          <t>TN87C4176</t>
        </is>
      </c>
      <c r="E565" s="20" t="inlineStr">
        <is>
          <t>NISSAN</t>
        </is>
      </c>
      <c r="F565" s="20" t="inlineStr">
        <is>
          <t>Kicks</t>
        </is>
      </c>
      <c r="G565" s="21" t="n">
        <v>2021</v>
      </c>
      <c r="H565" s="22" t="n">
        <v>106209</v>
      </c>
      <c r="I565" s="22" t="n">
        <v>342000</v>
      </c>
      <c r="J565" s="20" t="inlineStr">
        <is>
          <t>RENAULT NISSAN AUTOMOTIVE PVT LTD</t>
        </is>
      </c>
      <c r="K565" s="20" t="inlineStr">
        <is>
          <t>Non-Captive</t>
        </is>
      </c>
      <c r="L565" s="20" t="inlineStr">
        <is>
          <t>Nirmal Cars</t>
        </is>
      </c>
      <c r="M565" s="23" t="n">
        <v>8474.58</v>
      </c>
    </row>
    <row r="566">
      <c r="A566" s="19" t="inlineStr">
        <is>
          <t>FY26</t>
        </is>
      </c>
      <c r="B566" s="19" t="inlineStr">
        <is>
          <t>Feb</t>
        </is>
      </c>
      <c r="C566" s="19" t="inlineStr">
        <is>
          <t>TN</t>
        </is>
      </c>
      <c r="D566" s="20" t="inlineStr">
        <is>
          <t>TN87C8665</t>
        </is>
      </c>
      <c r="E566" s="20" t="inlineStr">
        <is>
          <t>NISSAN</t>
        </is>
      </c>
      <c r="F566" s="20" t="inlineStr">
        <is>
          <t>Magnite</t>
        </is>
      </c>
      <c r="G566" s="21" t="n">
        <v>2020</v>
      </c>
      <c r="H566" s="22" t="n">
        <v>65707</v>
      </c>
      <c r="I566" s="22" t="n">
        <v>402000</v>
      </c>
      <c r="J566" s="20" t="inlineStr">
        <is>
          <t>RENAULT NISSAN AUTOMOTIVE PVT LTD</t>
        </is>
      </c>
      <c r="K566" s="20" t="inlineStr">
        <is>
          <t>Non-Captive</t>
        </is>
      </c>
      <c r="L566" s="20" t="inlineStr">
        <is>
          <t>Nirmal Cars</t>
        </is>
      </c>
      <c r="M566" s="23" t="n">
        <v>8474.58</v>
      </c>
    </row>
    <row r="567">
      <c r="A567" s="19" t="inlineStr">
        <is>
          <t>FY26</t>
        </is>
      </c>
      <c r="B567" s="19" t="inlineStr">
        <is>
          <t>Feb</t>
        </is>
      </c>
      <c r="C567" s="19" t="inlineStr">
        <is>
          <t>TN</t>
        </is>
      </c>
      <c r="D567" s="20" t="inlineStr">
        <is>
          <t>TN87E0587</t>
        </is>
      </c>
      <c r="E567" s="20" t="inlineStr">
        <is>
          <t>NISSAN</t>
        </is>
      </c>
      <c r="F567" s="20" t="inlineStr">
        <is>
          <t>Magnite</t>
        </is>
      </c>
      <c r="G567" s="21" t="n">
        <v>2023</v>
      </c>
      <c r="H567" s="22" t="n">
        <v>51682</v>
      </c>
      <c r="I567" s="22" t="n">
        <v>483000</v>
      </c>
      <c r="J567" s="20" t="inlineStr">
        <is>
          <t>RENAULT NISSAN AUTOMOTIVE PVT LTD</t>
        </is>
      </c>
      <c r="K567" s="20" t="inlineStr">
        <is>
          <t>Non-Captive</t>
        </is>
      </c>
      <c r="L567" s="20" t="inlineStr">
        <is>
          <t>Nirmal Cars</t>
        </is>
      </c>
      <c r="M567" s="23" t="n">
        <v>8474.58</v>
      </c>
    </row>
    <row r="568">
      <c r="A568" s="19" t="inlineStr">
        <is>
          <t>FY26</t>
        </is>
      </c>
      <c r="B568" s="19" t="inlineStr">
        <is>
          <t>Feb</t>
        </is>
      </c>
      <c r="C568" s="19" t="inlineStr">
        <is>
          <t>TN</t>
        </is>
      </c>
      <c r="D568" s="20" t="inlineStr">
        <is>
          <t>TN87D7657</t>
        </is>
      </c>
      <c r="E568" s="20" t="inlineStr">
        <is>
          <t>NISSAN</t>
        </is>
      </c>
      <c r="F568" s="20" t="inlineStr">
        <is>
          <t>Kicks</t>
        </is>
      </c>
      <c r="G568" s="21" t="n">
        <v>2022</v>
      </c>
      <c r="H568" s="22" t="n">
        <v>48037</v>
      </c>
      <c r="I568" s="22" t="n">
        <v>508000</v>
      </c>
      <c r="J568" s="20" t="inlineStr">
        <is>
          <t>RENAULT NISSAN AUTOMOTIVE PVT LTD</t>
        </is>
      </c>
      <c r="K568" s="20" t="inlineStr">
        <is>
          <t>Non-Captive</t>
        </is>
      </c>
      <c r="L568" s="20" t="inlineStr">
        <is>
          <t>Nirmal Cars</t>
        </is>
      </c>
      <c r="M568" s="23" t="n">
        <v>8474.58</v>
      </c>
    </row>
    <row r="569">
      <c r="A569" s="19" t="inlineStr">
        <is>
          <t>FY26</t>
        </is>
      </c>
      <c r="B569" s="19" t="inlineStr">
        <is>
          <t>Feb</t>
        </is>
      </c>
      <c r="C569" s="19" t="inlineStr">
        <is>
          <t>TN</t>
        </is>
      </c>
      <c r="D569" s="20" t="inlineStr">
        <is>
          <t>TN01BH5226</t>
        </is>
      </c>
      <c r="E569" s="20" t="inlineStr">
        <is>
          <t>MARUTI SUZUKI</t>
        </is>
      </c>
      <c r="F569" s="20" t="inlineStr">
        <is>
          <t>Ciaz</t>
        </is>
      </c>
      <c r="G569" s="21" t="n">
        <v>2018</v>
      </c>
      <c r="H569" s="22" t="n">
        <v>42250</v>
      </c>
      <c r="I569" s="22" t="n">
        <v>520000</v>
      </c>
      <c r="J569" s="20" t="inlineStr">
        <is>
          <t>Khivraj Motor</t>
        </is>
      </c>
      <c r="K569" s="20" t="inlineStr">
        <is>
          <t>Non-Captive</t>
        </is>
      </c>
      <c r="L569" s="20" t="inlineStr">
        <is>
          <t>Grid 33</t>
        </is>
      </c>
      <c r="M569" s="23" t="n">
        <v>5508.47</v>
      </c>
    </row>
    <row r="570">
      <c r="A570" s="19" t="inlineStr">
        <is>
          <t>FY26</t>
        </is>
      </c>
      <c r="B570" s="19" t="inlineStr">
        <is>
          <t>Feb</t>
        </is>
      </c>
      <c r="C570" s="19" t="inlineStr">
        <is>
          <t>TN</t>
        </is>
      </c>
      <c r="D570" s="20" t="inlineStr">
        <is>
          <t>TN18F6026</t>
        </is>
      </c>
      <c r="E570" s="20" t="inlineStr">
        <is>
          <t>MARUTI SUZUKI</t>
        </is>
      </c>
      <c r="F570" s="20" t="inlineStr">
        <is>
          <t>Alto</t>
        </is>
      </c>
      <c r="G570" s="21" t="n">
        <v>2011</v>
      </c>
      <c r="H570" s="22" t="n">
        <v>77178</v>
      </c>
      <c r="I570" s="22" t="n">
        <v>110000</v>
      </c>
      <c r="J570" s="20" t="inlineStr">
        <is>
          <t>Khivraj Motor</t>
        </is>
      </c>
      <c r="K570" s="20" t="inlineStr">
        <is>
          <t>Non-Captive</t>
        </is>
      </c>
      <c r="L570" s="20" t="inlineStr">
        <is>
          <t>Pine Autos</t>
        </is>
      </c>
      <c r="M570" s="23" t="n">
        <v>5084.75</v>
      </c>
    </row>
    <row r="571">
      <c r="A571" s="19" t="inlineStr">
        <is>
          <t>FY26</t>
        </is>
      </c>
      <c r="B571" s="19" t="inlineStr">
        <is>
          <t>Feb</t>
        </is>
      </c>
      <c r="C571" s="19" t="inlineStr">
        <is>
          <t>TN</t>
        </is>
      </c>
      <c r="D571" s="20" t="inlineStr">
        <is>
          <t>TN09CP8704</t>
        </is>
      </c>
      <c r="E571" s="20" t="inlineStr">
        <is>
          <t>MARUTI SUZUKI</t>
        </is>
      </c>
      <c r="F571" s="20" t="inlineStr">
        <is>
          <t>Swift</t>
        </is>
      </c>
      <c r="G571" s="21" t="n">
        <v>2018</v>
      </c>
      <c r="H571" s="22" t="n">
        <v>11838</v>
      </c>
      <c r="I571" s="22" t="n">
        <v>475000</v>
      </c>
      <c r="J571" s="20" t="inlineStr">
        <is>
          <t>Khivraj Motor</t>
        </is>
      </c>
      <c r="K571" s="20" t="inlineStr">
        <is>
          <t>Non-Captive</t>
        </is>
      </c>
      <c r="L571" s="20" t="inlineStr">
        <is>
          <t>Value Drive Tecnologies</t>
        </is>
      </c>
      <c r="M571" s="23" t="n">
        <v>5084.75</v>
      </c>
    </row>
    <row r="572">
      <c r="A572" s="19" t="inlineStr">
        <is>
          <t>FY26</t>
        </is>
      </c>
      <c r="B572" s="19" t="inlineStr">
        <is>
          <t>Feb</t>
        </is>
      </c>
      <c r="C572" s="19" t="inlineStr">
        <is>
          <t>TN</t>
        </is>
      </c>
      <c r="D572" s="20" t="inlineStr">
        <is>
          <t>TN11AZ9138</t>
        </is>
      </c>
      <c r="E572" s="20" t="inlineStr">
        <is>
          <t>MARUTI SUZUKI</t>
        </is>
      </c>
      <c r="F572" s="20" t="inlineStr">
        <is>
          <t>Baleno</t>
        </is>
      </c>
      <c r="G572" s="21" t="n">
        <v>2022</v>
      </c>
      <c r="H572" s="22" t="n">
        <v>35538</v>
      </c>
      <c r="I572" s="22" t="n">
        <v>450000</v>
      </c>
      <c r="J572" s="20" t="inlineStr">
        <is>
          <t>EXCHANGE ROTN</t>
        </is>
      </c>
      <c r="K572" s="20" t="inlineStr">
        <is>
          <t>Captive</t>
        </is>
      </c>
      <c r="L572" s="20" t="inlineStr">
        <is>
          <t>Raju Cars</t>
        </is>
      </c>
      <c r="M572" s="23" t="n">
        <v>4237.29</v>
      </c>
    </row>
    <row r="573">
      <c r="A573" s="19" t="inlineStr">
        <is>
          <t>FY26</t>
        </is>
      </c>
      <c r="B573" s="19" t="inlineStr">
        <is>
          <t>Feb</t>
        </is>
      </c>
      <c r="C573" s="19" t="inlineStr">
        <is>
          <t>TN</t>
        </is>
      </c>
      <c r="D573" s="20" t="inlineStr">
        <is>
          <t>TN66AE9955</t>
        </is>
      </c>
      <c r="E573" s="20" t="inlineStr">
        <is>
          <t>MARUTI SUZUKI</t>
        </is>
      </c>
      <c r="F573" s="20" t="inlineStr">
        <is>
          <t>S-Presso</t>
        </is>
      </c>
      <c r="G573" s="21" t="n">
        <v>2020</v>
      </c>
      <c r="H573" s="22" t="n">
        <v>10964</v>
      </c>
      <c r="I573" s="22" t="n">
        <v>325000</v>
      </c>
      <c r="J573" s="20" t="inlineStr">
        <is>
          <t>EXCHANGE ROTN</t>
        </is>
      </c>
      <c r="K573" s="20" t="inlineStr">
        <is>
          <t>Captive</t>
        </is>
      </c>
      <c r="L573" s="20" t="inlineStr">
        <is>
          <t>YUGA DHEERAN CARS</t>
        </is>
      </c>
      <c r="M573" s="23" t="n">
        <v>4237.29</v>
      </c>
    </row>
    <row r="574">
      <c r="A574" s="19" t="inlineStr">
        <is>
          <t>FY26</t>
        </is>
      </c>
      <c r="B574" s="19" t="inlineStr">
        <is>
          <t>Feb</t>
        </is>
      </c>
      <c r="C574" s="19" t="inlineStr">
        <is>
          <t>TN</t>
        </is>
      </c>
      <c r="D574" s="20" t="inlineStr">
        <is>
          <t>TN30BL9628</t>
        </is>
      </c>
      <c r="E574" s="20" t="inlineStr">
        <is>
          <t>HONDA</t>
        </is>
      </c>
      <c r="F574" s="20" t="inlineStr">
        <is>
          <t>Wr-V</t>
        </is>
      </c>
      <c r="G574" s="21" t="n">
        <v>2018</v>
      </c>
      <c r="H574" s="22" t="n">
        <v>146334</v>
      </c>
      <c r="I574" s="22" t="n">
        <v>460000</v>
      </c>
      <c r="J574" s="20" t="inlineStr">
        <is>
          <t>EXCHANGE ROTN</t>
        </is>
      </c>
      <c r="K574" s="20" t="inlineStr">
        <is>
          <t>Captive</t>
        </is>
      </c>
      <c r="L574" s="20" t="inlineStr">
        <is>
          <t>Vadivel Madesh</t>
        </is>
      </c>
      <c r="M574" s="23" t="n">
        <v>4237.29</v>
      </c>
    </row>
    <row r="575">
      <c r="A575" s="19" t="inlineStr">
        <is>
          <t>FY26</t>
        </is>
      </c>
      <c r="B575" s="19" t="inlineStr">
        <is>
          <t>Feb</t>
        </is>
      </c>
      <c r="C575" s="19" t="inlineStr">
        <is>
          <t>TN</t>
        </is>
      </c>
      <c r="D575" s="20" t="inlineStr">
        <is>
          <t>TN38BZ5139</t>
        </is>
      </c>
      <c r="E575" s="20" t="inlineStr">
        <is>
          <t>HONDA</t>
        </is>
      </c>
      <c r="F575" s="20" t="inlineStr">
        <is>
          <t>City</t>
        </is>
      </c>
      <c r="G575" s="21" t="n">
        <v>2014</v>
      </c>
      <c r="H575" s="22" t="n">
        <v>252914</v>
      </c>
      <c r="I575" s="22" t="n">
        <v>315000</v>
      </c>
      <c r="J575" s="20" t="inlineStr">
        <is>
          <t>EXCHANGE ROTN</t>
        </is>
      </c>
      <c r="K575" s="20" t="inlineStr">
        <is>
          <t>Captive</t>
        </is>
      </c>
      <c r="L575" s="20" t="inlineStr">
        <is>
          <t>SIVASHANKAR CARS</t>
        </is>
      </c>
      <c r="M575" s="23" t="n">
        <v>10169.49</v>
      </c>
    </row>
    <row r="576">
      <c r="A576" s="19" t="inlineStr">
        <is>
          <t>FY26</t>
        </is>
      </c>
      <c r="B576" s="19" t="inlineStr">
        <is>
          <t>Feb</t>
        </is>
      </c>
      <c r="C576" s="19" t="inlineStr">
        <is>
          <t>TN</t>
        </is>
      </c>
      <c r="D576" s="20" t="inlineStr">
        <is>
          <t>TN06AC2214</t>
        </is>
      </c>
      <c r="E576" s="20" t="inlineStr">
        <is>
          <t>HONDA</t>
        </is>
      </c>
      <c r="F576" s="20" t="inlineStr">
        <is>
          <t>City</t>
        </is>
      </c>
      <c r="G576" s="21" t="n">
        <v>2022</v>
      </c>
      <c r="H576" s="22" t="n">
        <v>23487</v>
      </c>
      <c r="I576" s="22" t="n">
        <v>100000</v>
      </c>
      <c r="J576" s="20" t="inlineStr">
        <is>
          <t>EXCHANGE CHENNAI</t>
        </is>
      </c>
      <c r="K576" s="20" t="inlineStr">
        <is>
          <t>Captive</t>
        </is>
      </c>
      <c r="L576" s="20" t="inlineStr">
        <is>
          <t>Santhosh Cars</t>
        </is>
      </c>
      <c r="M576" s="23" t="n">
        <v>4237.29</v>
      </c>
    </row>
    <row r="577">
      <c r="A577" s="19" t="inlineStr">
        <is>
          <t>FY26</t>
        </is>
      </c>
      <c r="B577" s="19" t="inlineStr">
        <is>
          <t>Feb</t>
        </is>
      </c>
      <c r="C577" s="19" t="inlineStr">
        <is>
          <t>TN</t>
        </is>
      </c>
      <c r="D577" s="20" t="inlineStr">
        <is>
          <t>TN01AU6345</t>
        </is>
      </c>
      <c r="E577" s="20" t="inlineStr">
        <is>
          <t>VOLKSWAGEN</t>
        </is>
      </c>
      <c r="F577" s="20" t="inlineStr">
        <is>
          <t>Polo</t>
        </is>
      </c>
      <c r="G577" s="21" t="n">
        <v>2013</v>
      </c>
      <c r="H577" s="22" t="n">
        <v>293478</v>
      </c>
      <c r="I577" s="22" t="n">
        <v>100000</v>
      </c>
      <c r="J577" s="20" t="inlineStr">
        <is>
          <t>EXCHANGE CHENNAI</t>
        </is>
      </c>
      <c r="K577" s="20" t="inlineStr">
        <is>
          <t>Captive</t>
        </is>
      </c>
      <c r="L577" s="20" t="inlineStr">
        <is>
          <t>Santhosh Cars</t>
        </is>
      </c>
      <c r="M577" s="23" t="n">
        <v>8474.58</v>
      </c>
    </row>
    <row r="578">
      <c r="A578" s="19" t="inlineStr">
        <is>
          <t>FY26</t>
        </is>
      </c>
      <c r="B578" s="19" t="inlineStr">
        <is>
          <t>Feb</t>
        </is>
      </c>
      <c r="C578" s="19" t="inlineStr">
        <is>
          <t>TN</t>
        </is>
      </c>
      <c r="D578" s="20" t="inlineStr">
        <is>
          <t>TN64F3514</t>
        </is>
      </c>
      <c r="E578" s="20" t="inlineStr">
        <is>
          <t>TOYOTA</t>
        </is>
      </c>
      <c r="F578" s="20" t="inlineStr">
        <is>
          <t>Etios</t>
        </is>
      </c>
      <c r="G578" s="21" t="n">
        <v>2013</v>
      </c>
      <c r="H578" s="22" t="n">
        <v>67451</v>
      </c>
      <c r="I578" s="22" t="n">
        <v>330000</v>
      </c>
      <c r="J578" s="20" t="inlineStr">
        <is>
          <t>EXCHANGE ROTN</t>
        </is>
      </c>
      <c r="K578" s="20" t="inlineStr">
        <is>
          <t>Captive</t>
        </is>
      </c>
      <c r="L578" s="20" t="inlineStr">
        <is>
          <t>Dheera Cars</t>
        </is>
      </c>
      <c r="M578" s="23" t="n">
        <v>8474.58</v>
      </c>
    </row>
    <row r="579">
      <c r="A579" s="19" t="inlineStr">
        <is>
          <t>FY26</t>
        </is>
      </c>
      <c r="B579" s="19" t="inlineStr">
        <is>
          <t>Feb</t>
        </is>
      </c>
      <c r="C579" s="19" t="inlineStr">
        <is>
          <t>TN</t>
        </is>
      </c>
      <c r="D579" s="20" t="inlineStr">
        <is>
          <t>TN54F2003</t>
        </is>
      </c>
      <c r="E579" s="20" t="inlineStr">
        <is>
          <t>HONDA</t>
        </is>
      </c>
      <c r="F579" s="20" t="inlineStr">
        <is>
          <t>Civic</t>
        </is>
      </c>
      <c r="G579" s="21" t="n">
        <v>2012</v>
      </c>
      <c r="H579" s="22" t="n">
        <v>150779</v>
      </c>
      <c r="I579" s="22" t="n">
        <v>274000</v>
      </c>
      <c r="J579" s="20" t="inlineStr">
        <is>
          <t>EXCHANGE ROTN</t>
        </is>
      </c>
      <c r="K579" s="20" t="inlineStr">
        <is>
          <t>Captive</t>
        </is>
      </c>
      <c r="L579" s="20" t="inlineStr">
        <is>
          <t>MSV Car Painting</t>
        </is>
      </c>
      <c r="M579" s="23" t="n">
        <v>13559.32</v>
      </c>
    </row>
    <row r="580">
      <c r="A580" s="19" t="inlineStr">
        <is>
          <t>FY26</t>
        </is>
      </c>
      <c r="B580" s="19" t="inlineStr">
        <is>
          <t>Feb</t>
        </is>
      </c>
      <c r="C580" s="19" t="inlineStr">
        <is>
          <t>TN</t>
        </is>
      </c>
      <c r="D580" s="20" t="inlineStr">
        <is>
          <t>TN38M6788</t>
        </is>
      </c>
      <c r="E580" s="20" t="inlineStr">
        <is>
          <t>HYUNDAI</t>
        </is>
      </c>
      <c r="F580" s="20" t="inlineStr">
        <is>
          <t>Accent</t>
        </is>
      </c>
      <c r="G580" s="21" t="n">
        <v>2001</v>
      </c>
      <c r="H580" s="22" t="n">
        <v>259668</v>
      </c>
      <c r="I580" s="22" t="n">
        <v>30000</v>
      </c>
      <c r="J580" s="20" t="inlineStr">
        <is>
          <t>EXCHANGE ROTN</t>
        </is>
      </c>
      <c r="K580" s="20" t="inlineStr">
        <is>
          <t>Captive</t>
        </is>
      </c>
      <c r="L580" s="20" t="inlineStr">
        <is>
          <t>SIVASHANKAR CARS</t>
        </is>
      </c>
      <c r="M580" s="23" t="n">
        <v>4237.29</v>
      </c>
    </row>
    <row r="581">
      <c r="A581" s="19" t="inlineStr">
        <is>
          <t>FY26</t>
        </is>
      </c>
      <c r="B581" s="19" t="inlineStr">
        <is>
          <t>Feb</t>
        </is>
      </c>
      <c r="C581" s="19" t="inlineStr">
        <is>
          <t>TN</t>
        </is>
      </c>
      <c r="D581" s="20" t="inlineStr">
        <is>
          <t>TN01BF2892</t>
        </is>
      </c>
      <c r="E581" s="20" t="inlineStr">
        <is>
          <t>HONDA</t>
        </is>
      </c>
      <c r="F581" s="20" t="inlineStr">
        <is>
          <t>Jazz</t>
        </is>
      </c>
      <c r="G581" s="21" t="n">
        <v>2018</v>
      </c>
      <c r="H581" s="22" t="n">
        <v>47660</v>
      </c>
      <c r="I581" s="22" t="n">
        <v>415000</v>
      </c>
      <c r="J581" s="20" t="inlineStr">
        <is>
          <t>EXCHANGE CHENNAI</t>
        </is>
      </c>
      <c r="K581" s="20" t="inlineStr">
        <is>
          <t>Captive</t>
        </is>
      </c>
      <c r="L581" s="20" t="inlineStr">
        <is>
          <t>AAA Cars</t>
        </is>
      </c>
      <c r="M581" s="23" t="n">
        <v>5084.75</v>
      </c>
    </row>
    <row r="582">
      <c r="A582" s="19" t="inlineStr">
        <is>
          <t>FY26</t>
        </is>
      </c>
      <c r="B582" s="19" t="inlineStr">
        <is>
          <t>Feb</t>
        </is>
      </c>
      <c r="C582" s="19" t="inlineStr">
        <is>
          <t>TN</t>
        </is>
      </c>
      <c r="D582" s="20" t="inlineStr">
        <is>
          <t>TN07CT0619</t>
        </is>
      </c>
      <c r="E582" s="20" t="inlineStr">
        <is>
          <t>SKODA</t>
        </is>
      </c>
      <c r="F582" s="20" t="inlineStr">
        <is>
          <t>Rapid</t>
        </is>
      </c>
      <c r="G582" s="21" t="n">
        <v>2019</v>
      </c>
      <c r="H582" s="22" t="n">
        <v>80000</v>
      </c>
      <c r="I582" s="22" t="n">
        <v>440000</v>
      </c>
      <c r="J582" s="20" t="inlineStr">
        <is>
          <t>EXCHANGE CHENNAI</t>
        </is>
      </c>
      <c r="K582" s="20" t="inlineStr">
        <is>
          <t>Captive</t>
        </is>
      </c>
      <c r="L582" s="20" t="inlineStr">
        <is>
          <t>Ragupathy Cars</t>
        </is>
      </c>
      <c r="M582" s="23" t="n">
        <v>8474.58</v>
      </c>
    </row>
    <row r="583">
      <c r="A583" s="19" t="inlineStr">
        <is>
          <t>FY26</t>
        </is>
      </c>
      <c r="B583" s="19" t="inlineStr">
        <is>
          <t>Feb</t>
        </is>
      </c>
      <c r="C583" s="19" t="inlineStr">
        <is>
          <t>TN</t>
        </is>
      </c>
      <c r="D583" s="20" t="inlineStr">
        <is>
          <t>TN01AZ6217</t>
        </is>
      </c>
      <c r="E583" s="20" t="inlineStr">
        <is>
          <t>HONDA</t>
        </is>
      </c>
      <c r="F583" s="20" t="inlineStr">
        <is>
          <t>City</t>
        </is>
      </c>
      <c r="G583" s="21" t="n">
        <v>2016</v>
      </c>
      <c r="H583" s="22" t="n">
        <v>48813</v>
      </c>
      <c r="I583" s="22" t="n">
        <v>525000</v>
      </c>
      <c r="J583" s="20" t="inlineStr">
        <is>
          <t>EXCHANGE CHENNAI</t>
        </is>
      </c>
      <c r="K583" s="20" t="inlineStr">
        <is>
          <t>Captive</t>
        </is>
      </c>
      <c r="L583" s="20" t="inlineStr">
        <is>
          <t>Santhosh Cars</t>
        </is>
      </c>
      <c r="M583" s="23" t="n">
        <v>8474.58</v>
      </c>
    </row>
    <row r="584">
      <c r="A584" s="19" t="inlineStr">
        <is>
          <t>FY26</t>
        </is>
      </c>
      <c r="B584" s="19" t="inlineStr">
        <is>
          <t>Feb</t>
        </is>
      </c>
      <c r="C584" s="19" t="inlineStr">
        <is>
          <t>TN</t>
        </is>
      </c>
      <c r="D584" s="20" t="inlineStr">
        <is>
          <t>TN30BH2003</t>
        </is>
      </c>
      <c r="E584" s="20" t="inlineStr">
        <is>
          <t>TOYOTA</t>
        </is>
      </c>
      <c r="F584" s="20" t="inlineStr">
        <is>
          <t>Corolla</t>
        </is>
      </c>
      <c r="G584" s="21" t="n">
        <v>2016</v>
      </c>
      <c r="H584" s="22" t="n">
        <v>76888</v>
      </c>
      <c r="I584" s="22" t="n">
        <v>500000</v>
      </c>
      <c r="J584" s="20" t="inlineStr">
        <is>
          <t>EXCHANGE ROTN</t>
        </is>
      </c>
      <c r="K584" s="20" t="inlineStr">
        <is>
          <t>Captive</t>
        </is>
      </c>
      <c r="L584" s="20" t="inlineStr">
        <is>
          <t>SIVASHANKAR CARS</t>
        </is>
      </c>
      <c r="M584" s="23" t="n">
        <v>12711.86</v>
      </c>
    </row>
    <row r="585">
      <c r="A585" s="19" t="inlineStr">
        <is>
          <t>FY26</t>
        </is>
      </c>
      <c r="B585" s="19" t="inlineStr">
        <is>
          <t>Feb</t>
        </is>
      </c>
      <c r="C585" s="19" t="inlineStr">
        <is>
          <t>TN</t>
        </is>
      </c>
      <c r="D585" s="20" t="inlineStr">
        <is>
          <t>TN48AU2683</t>
        </is>
      </c>
      <c r="E585" s="20" t="inlineStr">
        <is>
          <t>HYUNDAI</t>
        </is>
      </c>
      <c r="F585" s="20" t="inlineStr">
        <is>
          <t>Verna</t>
        </is>
      </c>
      <c r="G585" s="21" t="n">
        <v>2015</v>
      </c>
      <c r="H585" s="22" t="n">
        <v>85278</v>
      </c>
      <c r="I585" s="22" t="n">
        <v>390000</v>
      </c>
      <c r="J585" s="20" t="inlineStr">
        <is>
          <t>EXCHANGE ROTN</t>
        </is>
      </c>
      <c r="K585" s="20" t="inlineStr">
        <is>
          <t>Captive</t>
        </is>
      </c>
      <c r="L585" s="20" t="inlineStr">
        <is>
          <t>Sri Murugan Cars</t>
        </is>
      </c>
      <c r="M585" s="23" t="n">
        <v>4237.29</v>
      </c>
    </row>
    <row r="586">
      <c r="A586" s="19" t="inlineStr">
        <is>
          <t>FY26</t>
        </is>
      </c>
      <c r="B586" s="19" t="inlineStr">
        <is>
          <t>Feb</t>
        </is>
      </c>
      <c r="C586" s="19" t="inlineStr">
        <is>
          <t>TN</t>
        </is>
      </c>
      <c r="D586" s="20" t="inlineStr">
        <is>
          <t>TN39BD2288</t>
        </is>
      </c>
      <c r="E586" s="20" t="inlineStr">
        <is>
          <t>VOLKSWAGEN</t>
        </is>
      </c>
      <c r="F586" s="20" t="inlineStr">
        <is>
          <t>Vento</t>
        </is>
      </c>
      <c r="G586" s="21" t="n">
        <v>2011</v>
      </c>
      <c r="H586" s="22" t="n">
        <v>177759</v>
      </c>
      <c r="I586" s="22" t="n">
        <v>205000</v>
      </c>
      <c r="J586" s="20" t="inlineStr">
        <is>
          <t>EXCHANGE ROTN</t>
        </is>
      </c>
      <c r="K586" s="20" t="inlineStr">
        <is>
          <t>Captive</t>
        </is>
      </c>
      <c r="L586" s="20" t="inlineStr">
        <is>
          <t>Karthickeyan cars</t>
        </is>
      </c>
      <c r="M586" s="23" t="n">
        <v>10169.49</v>
      </c>
    </row>
    <row r="587">
      <c r="A587" s="19" t="inlineStr">
        <is>
          <t>FY26</t>
        </is>
      </c>
      <c r="B587" s="19" t="inlineStr">
        <is>
          <t>Feb</t>
        </is>
      </c>
      <c r="C587" s="19" t="inlineStr">
        <is>
          <t>TN</t>
        </is>
      </c>
      <c r="D587" s="20" t="inlineStr">
        <is>
          <t>TN39CY9609</t>
        </is>
      </c>
      <c r="E587" s="20" t="inlineStr">
        <is>
          <t>TOYOTA</t>
        </is>
      </c>
      <c r="F587" s="20" t="inlineStr">
        <is>
          <t>Etios</t>
        </is>
      </c>
      <c r="G587" s="21" t="n">
        <v>2018</v>
      </c>
      <c r="H587" s="22" t="n">
        <v>40079</v>
      </c>
      <c r="I587" s="22" t="n">
        <v>500000</v>
      </c>
      <c r="J587" s="20" t="inlineStr">
        <is>
          <t>EXCHANGE ROTN</t>
        </is>
      </c>
      <c r="K587" s="20" t="inlineStr">
        <is>
          <t>Captive</t>
        </is>
      </c>
      <c r="L587" s="20" t="inlineStr">
        <is>
          <t>Madhura Cars</t>
        </is>
      </c>
      <c r="M587" s="23" t="n">
        <v>12711.86</v>
      </c>
    </row>
    <row r="588">
      <c r="A588" s="19" t="inlineStr">
        <is>
          <t>FY26</t>
        </is>
      </c>
      <c r="B588" s="19" t="inlineStr">
        <is>
          <t>Feb</t>
        </is>
      </c>
      <c r="C588" s="19" t="inlineStr">
        <is>
          <t>TN</t>
        </is>
      </c>
      <c r="D588" s="20" t="inlineStr">
        <is>
          <t>TN30BD1107</t>
        </is>
      </c>
      <c r="E588" s="20" t="inlineStr">
        <is>
          <t>MARUTI SUZUKI</t>
        </is>
      </c>
      <c r="F588" s="20" t="inlineStr">
        <is>
          <t>Swift</t>
        </is>
      </c>
      <c r="G588" s="21" t="n">
        <v>2015</v>
      </c>
      <c r="H588" s="22" t="n">
        <v>325500</v>
      </c>
      <c r="I588" s="22" t="n">
        <v>290000</v>
      </c>
      <c r="J588" s="20" t="inlineStr">
        <is>
          <t>EXCHANGE ROTN</t>
        </is>
      </c>
      <c r="K588" s="20" t="inlineStr">
        <is>
          <t>Captive</t>
        </is>
      </c>
      <c r="L588" s="20" t="inlineStr">
        <is>
          <t>Rajaganapathy Cars</t>
        </is>
      </c>
      <c r="M588" s="23" t="n">
        <v>8474.58</v>
      </c>
    </row>
    <row r="589">
      <c r="A589" s="19" t="inlineStr">
        <is>
          <t>FY26</t>
        </is>
      </c>
      <c r="B589" s="19" t="inlineStr">
        <is>
          <t>Feb</t>
        </is>
      </c>
      <c r="C589" s="19" t="inlineStr">
        <is>
          <t>TN</t>
        </is>
      </c>
      <c r="D589" s="20" t="inlineStr">
        <is>
          <t>TN59CV1270</t>
        </is>
      </c>
      <c r="E589" s="20" t="inlineStr">
        <is>
          <t>HONDA</t>
        </is>
      </c>
      <c r="F589" s="20" t="inlineStr">
        <is>
          <t>Wr-V</t>
        </is>
      </c>
      <c r="G589" s="21" t="n">
        <v>2021</v>
      </c>
      <c r="H589" s="22" t="n">
        <v>71441</v>
      </c>
      <c r="I589" s="22" t="n">
        <v>575000</v>
      </c>
      <c r="J589" s="20" t="inlineStr">
        <is>
          <t>EXCHANGE ROTN</t>
        </is>
      </c>
      <c r="K589" s="20" t="inlineStr">
        <is>
          <t>Captive</t>
        </is>
      </c>
      <c r="L589" s="20" t="inlineStr">
        <is>
          <t>Ashwin cars</t>
        </is>
      </c>
      <c r="M589" s="23" t="n">
        <v>12711.86</v>
      </c>
    </row>
    <row r="590">
      <c r="A590" s="19" t="inlineStr">
        <is>
          <t>FY26</t>
        </is>
      </c>
      <c r="B590" s="19" t="inlineStr">
        <is>
          <t>Feb</t>
        </is>
      </c>
      <c r="C590" s="19" t="inlineStr">
        <is>
          <t>TN</t>
        </is>
      </c>
      <c r="D590" s="20" t="inlineStr">
        <is>
          <t>TN04AM0455</t>
        </is>
      </c>
      <c r="E590" s="20" t="inlineStr">
        <is>
          <t>HONDA</t>
        </is>
      </c>
      <c r="F590" s="20" t="inlineStr">
        <is>
          <t>Amaze</t>
        </is>
      </c>
      <c r="G590" s="21" t="n">
        <v>2013</v>
      </c>
      <c r="H590" s="22" t="n">
        <v>140133</v>
      </c>
      <c r="I590" s="22" t="n">
        <v>270000</v>
      </c>
      <c r="J590" s="20" t="inlineStr">
        <is>
          <t>EXCHANGE CHENNAI</t>
        </is>
      </c>
      <c r="K590" s="20" t="inlineStr">
        <is>
          <t>Captive</t>
        </is>
      </c>
      <c r="L590" s="20" t="inlineStr">
        <is>
          <t>Santhosh Cars</t>
        </is>
      </c>
      <c r="M590" s="23" t="n">
        <v>8474.58</v>
      </c>
    </row>
    <row r="591">
      <c r="A591" s="19" t="inlineStr">
        <is>
          <t>FY26</t>
        </is>
      </c>
      <c r="B591" s="19" t="inlineStr">
        <is>
          <t>Feb</t>
        </is>
      </c>
      <c r="C591" s="19" t="inlineStr">
        <is>
          <t>TN</t>
        </is>
      </c>
      <c r="D591" s="20" t="inlineStr">
        <is>
          <t>TN18J6373</t>
        </is>
      </c>
      <c r="E591" s="20" t="inlineStr">
        <is>
          <t>MARUTI SUZUKI</t>
        </is>
      </c>
      <c r="F591" s="20" t="inlineStr">
        <is>
          <t>Swift Dzire</t>
        </is>
      </c>
      <c r="G591" s="21" t="n">
        <v>2011</v>
      </c>
      <c r="H591" s="22" t="n">
        <v>61247</v>
      </c>
      <c r="I591" s="22" t="n">
        <v>233000</v>
      </c>
      <c r="J591" s="20" t="inlineStr">
        <is>
          <t>EXCHANGE CHENNAI</t>
        </is>
      </c>
      <c r="K591" s="20" t="inlineStr">
        <is>
          <t>Captive</t>
        </is>
      </c>
      <c r="L591" s="20" t="inlineStr">
        <is>
          <t>Santhosh Cars</t>
        </is>
      </c>
      <c r="M591" s="23" t="n">
        <v>8474.58</v>
      </c>
    </row>
    <row r="592">
      <c r="A592" s="19" t="inlineStr">
        <is>
          <t>FY26</t>
        </is>
      </c>
      <c r="B592" s="19" t="inlineStr">
        <is>
          <t>Feb</t>
        </is>
      </c>
      <c r="C592" s="19" t="inlineStr">
        <is>
          <t>TN</t>
        </is>
      </c>
      <c r="D592" s="20" t="inlineStr">
        <is>
          <t>TN07CE9212</t>
        </is>
      </c>
      <c r="E592" s="20" t="inlineStr">
        <is>
          <t>MARUTI SUZUKI</t>
        </is>
      </c>
      <c r="F592" s="20" t="inlineStr">
        <is>
          <t>Ciaz</t>
        </is>
      </c>
      <c r="G592" s="21" t="n">
        <v>2016</v>
      </c>
      <c r="H592" s="22" t="n">
        <v>103845</v>
      </c>
      <c r="I592" s="22" t="n">
        <v>355000</v>
      </c>
      <c r="J592" s="20" t="inlineStr">
        <is>
          <t>EXCHANGE CHENNAI</t>
        </is>
      </c>
      <c r="K592" s="20" t="inlineStr">
        <is>
          <t>Captive</t>
        </is>
      </c>
      <c r="L592" s="20" t="inlineStr">
        <is>
          <t>Santhosh Cars</t>
        </is>
      </c>
      <c r="M592" s="23" t="n">
        <v>8474.58</v>
      </c>
    </row>
    <row r="593">
      <c r="A593" s="19" t="inlineStr">
        <is>
          <t>FY26</t>
        </is>
      </c>
      <c r="B593" s="19" t="inlineStr">
        <is>
          <t>Feb</t>
        </is>
      </c>
      <c r="C593" s="19" t="inlineStr">
        <is>
          <t>TN</t>
        </is>
      </c>
      <c r="D593" s="20" t="inlineStr">
        <is>
          <t>TN01BF3619</t>
        </is>
      </c>
      <c r="E593" s="20" t="inlineStr">
        <is>
          <t>MARUTI SUZUKI</t>
        </is>
      </c>
      <c r="F593" s="20" t="inlineStr">
        <is>
          <t>Vitara Brezza</t>
        </is>
      </c>
      <c r="G593" s="21" t="n">
        <v>2018</v>
      </c>
      <c r="H593" s="22" t="n">
        <v>116219</v>
      </c>
      <c r="I593" s="22" t="n">
        <v>540000</v>
      </c>
      <c r="J593" s="20" t="inlineStr">
        <is>
          <t>EXCHANGE CHENNAI</t>
        </is>
      </c>
      <c r="K593" s="20" t="inlineStr">
        <is>
          <t>Captive</t>
        </is>
      </c>
      <c r="L593" s="20" t="inlineStr">
        <is>
          <t>TSM</t>
        </is>
      </c>
      <c r="M593" s="23" t="n">
        <v>4237.29</v>
      </c>
    </row>
    <row r="594">
      <c r="A594" s="19" t="inlineStr">
        <is>
          <t>FY26</t>
        </is>
      </c>
      <c r="B594" s="19" t="inlineStr">
        <is>
          <t>Feb</t>
        </is>
      </c>
      <c r="C594" s="19" t="inlineStr">
        <is>
          <t>TN</t>
        </is>
      </c>
      <c r="D594" s="20" t="inlineStr">
        <is>
          <t>TN05AM6696</t>
        </is>
      </c>
      <c r="E594" s="20" t="inlineStr">
        <is>
          <t>HONDA</t>
        </is>
      </c>
      <c r="F594" s="20" t="inlineStr">
        <is>
          <t>City</t>
        </is>
      </c>
      <c r="G594" s="21" t="n">
        <v>2012</v>
      </c>
      <c r="H594" s="22" t="n">
        <v>113585</v>
      </c>
      <c r="I594" s="22" t="n">
        <v>230000</v>
      </c>
      <c r="J594" s="20" t="inlineStr">
        <is>
          <t>EXCHANGE CHENNAI</t>
        </is>
      </c>
      <c r="K594" s="20" t="inlineStr">
        <is>
          <t>Captive</t>
        </is>
      </c>
      <c r="L594" s="20" t="inlineStr">
        <is>
          <t>Santhosh Cars</t>
        </is>
      </c>
      <c r="M594" s="23" t="n">
        <v>8474.58</v>
      </c>
    </row>
    <row r="595">
      <c r="A595" s="19" t="inlineStr">
        <is>
          <t>FY26</t>
        </is>
      </c>
      <c r="B595" s="19" t="inlineStr">
        <is>
          <t>Feb</t>
        </is>
      </c>
      <c r="C595" s="19" t="inlineStr">
        <is>
          <t>TN</t>
        </is>
      </c>
      <c r="D595" s="20" t="inlineStr">
        <is>
          <t>TN01AW0119</t>
        </is>
      </c>
      <c r="E595" s="20" t="inlineStr">
        <is>
          <t>HONDA</t>
        </is>
      </c>
      <c r="F595" s="20" t="inlineStr">
        <is>
          <t>City</t>
        </is>
      </c>
      <c r="G595" s="21" t="n">
        <v>2014</v>
      </c>
      <c r="H595" s="22" t="n">
        <v>49751</v>
      </c>
      <c r="I595" s="22" t="n">
        <v>480000</v>
      </c>
      <c r="J595" s="20" t="inlineStr">
        <is>
          <t>EXCHANGE CHENNAI</t>
        </is>
      </c>
      <c r="K595" s="20" t="inlineStr">
        <is>
          <t>Captive</t>
        </is>
      </c>
      <c r="L595" s="20" t="inlineStr">
        <is>
          <t>Nirmal Cars</t>
        </is>
      </c>
      <c r="M595" s="23" t="n">
        <v>8474.58</v>
      </c>
    </row>
    <row r="596">
      <c r="A596" s="19" t="inlineStr">
        <is>
          <t>FY26</t>
        </is>
      </c>
      <c r="B596" s="19" t="inlineStr">
        <is>
          <t>Feb</t>
        </is>
      </c>
      <c r="C596" s="19" t="inlineStr">
        <is>
          <t>TN</t>
        </is>
      </c>
      <c r="D596" s="20" t="inlineStr">
        <is>
          <t>TN20AZ8217</t>
        </is>
      </c>
      <c r="E596" s="20" t="inlineStr">
        <is>
          <t>MARUTI SUZUKI</t>
        </is>
      </c>
      <c r="F596" s="20" t="inlineStr">
        <is>
          <t>Zen</t>
        </is>
      </c>
      <c r="G596" s="21" t="n">
        <v>2005</v>
      </c>
      <c r="H596" s="22" t="n">
        <v>158955</v>
      </c>
      <c r="I596" s="22" t="n">
        <v>65000</v>
      </c>
      <c r="J596" s="20" t="inlineStr">
        <is>
          <t>EXCHANGE ROTN</t>
        </is>
      </c>
      <c r="K596" s="20" t="inlineStr">
        <is>
          <t>Captive</t>
        </is>
      </c>
      <c r="L596" s="20" t="inlineStr">
        <is>
          <t>SIVASHANKAR CARS</t>
        </is>
      </c>
      <c r="M596" s="23" t="n">
        <v>4237.29</v>
      </c>
    </row>
    <row r="597">
      <c r="A597" s="19" t="inlineStr">
        <is>
          <t>FY26</t>
        </is>
      </c>
      <c r="B597" s="19" t="inlineStr">
        <is>
          <t>Feb</t>
        </is>
      </c>
      <c r="C597" s="19" t="inlineStr">
        <is>
          <t>TN</t>
        </is>
      </c>
      <c r="D597" s="20" t="inlineStr">
        <is>
          <t>TN10R8454</t>
        </is>
      </c>
      <c r="E597" s="20" t="inlineStr">
        <is>
          <t>MARUTI SUZUKI</t>
        </is>
      </c>
      <c r="F597" s="20" t="inlineStr">
        <is>
          <t>Wagon R</t>
        </is>
      </c>
      <c r="G597" s="21" t="n">
        <v>2007</v>
      </c>
      <c r="H597" s="22" t="n">
        <v>188412</v>
      </c>
      <c r="I597" s="22" t="n">
        <v>70000</v>
      </c>
      <c r="J597" s="20" t="inlineStr">
        <is>
          <t>EXCHANGE ROTN</t>
        </is>
      </c>
      <c r="K597" s="20" t="inlineStr">
        <is>
          <t>Captive</t>
        </is>
      </c>
      <c r="L597" s="20" t="inlineStr">
        <is>
          <t>SIVASHANKAR CARS</t>
        </is>
      </c>
      <c r="M597" s="23" t="n">
        <v>4237.29</v>
      </c>
    </row>
    <row r="598">
      <c r="A598" s="19" t="inlineStr">
        <is>
          <t>FY26</t>
        </is>
      </c>
      <c r="B598" s="19" t="inlineStr">
        <is>
          <t>Feb</t>
        </is>
      </c>
      <c r="C598" s="19" t="inlineStr">
        <is>
          <t>TN</t>
        </is>
      </c>
      <c r="D598" s="20" t="inlineStr">
        <is>
          <t>TN02Q1287</t>
        </is>
      </c>
      <c r="E598" s="20" t="inlineStr">
        <is>
          <t>OPEL</t>
        </is>
      </c>
      <c r="F598" s="20" t="inlineStr">
        <is>
          <t>Corsa</t>
        </is>
      </c>
      <c r="G598" s="21" t="n">
        <v>2003</v>
      </c>
      <c r="H598" s="22" t="n">
        <v>648000</v>
      </c>
      <c r="I598" s="22" t="n">
        <v>25000</v>
      </c>
      <c r="J598" s="20" t="inlineStr">
        <is>
          <t>EXCHANGE ROTN</t>
        </is>
      </c>
      <c r="K598" s="20" t="inlineStr">
        <is>
          <t>Captive</t>
        </is>
      </c>
      <c r="L598" s="20" t="inlineStr">
        <is>
          <t>Dheera Cars</t>
        </is>
      </c>
      <c r="M598" s="23" t="n">
        <v>4237.29</v>
      </c>
    </row>
    <row r="599">
      <c r="A599" s="19" t="inlineStr">
        <is>
          <t>FY26</t>
        </is>
      </c>
      <c r="B599" s="19" t="inlineStr">
        <is>
          <t>Feb</t>
        </is>
      </c>
      <c r="C599" s="19" t="inlineStr">
        <is>
          <t>TN</t>
        </is>
      </c>
      <c r="D599" s="20" t="inlineStr">
        <is>
          <t>TN24BB0123</t>
        </is>
      </c>
      <c r="E599" s="20" t="inlineStr">
        <is>
          <t>HONDA</t>
        </is>
      </c>
      <c r="F599" s="20" t="inlineStr">
        <is>
          <t>Elevate</t>
        </is>
      </c>
      <c r="G599" s="21" t="n">
        <v>2023</v>
      </c>
      <c r="H599" s="22" t="n">
        <v>161222</v>
      </c>
      <c r="I599" s="22" t="n">
        <v>850000</v>
      </c>
      <c r="J599" s="20" t="inlineStr">
        <is>
          <t>EXCHANGE ROTN</t>
        </is>
      </c>
      <c r="K599" s="20" t="inlineStr">
        <is>
          <t>Captive</t>
        </is>
      </c>
      <c r="L599" s="20" t="inlineStr">
        <is>
          <t>Dheera Cars</t>
        </is>
      </c>
      <c r="M599" s="23" t="n">
        <v>4237.29</v>
      </c>
    </row>
    <row r="600">
      <c r="A600" s="19" t="inlineStr">
        <is>
          <t>FY26</t>
        </is>
      </c>
      <c r="B600" s="19" t="inlineStr">
        <is>
          <t>Feb</t>
        </is>
      </c>
      <c r="C600" s="19" t="inlineStr">
        <is>
          <t>TN</t>
        </is>
      </c>
      <c r="D600" s="20" t="inlineStr">
        <is>
          <t>TN02AV7175</t>
        </is>
      </c>
      <c r="E600" s="20" t="inlineStr">
        <is>
          <t>CHEVROLET</t>
        </is>
      </c>
      <c r="F600" s="20" t="inlineStr">
        <is>
          <t>Beat</t>
        </is>
      </c>
      <c r="G600" s="21" t="n">
        <v>2012</v>
      </c>
      <c r="H600" s="22" t="n">
        <v>92555</v>
      </c>
      <c r="I600" s="22" t="n">
        <v>90000</v>
      </c>
      <c r="J600" s="20" t="inlineStr">
        <is>
          <t>Khivraj Motor</t>
        </is>
      </c>
      <c r="K600" s="20" t="inlineStr">
        <is>
          <t>Non-Captive</t>
        </is>
      </c>
      <c r="L600" s="20" t="inlineStr">
        <is>
          <t>AAA Cars</t>
        </is>
      </c>
      <c r="M600" s="23" t="n">
        <v>5084.75</v>
      </c>
    </row>
    <row r="601">
      <c r="A601" s="19" t="inlineStr">
        <is>
          <t>FY26</t>
        </is>
      </c>
      <c r="B601" s="19" t="inlineStr">
        <is>
          <t>Feb</t>
        </is>
      </c>
      <c r="C601" s="19" t="inlineStr">
        <is>
          <t>TN</t>
        </is>
      </c>
      <c r="D601" s="20" t="inlineStr">
        <is>
          <t>TN02AT1021</t>
        </is>
      </c>
      <c r="E601" s="20" t="inlineStr">
        <is>
          <t>TATA</t>
        </is>
      </c>
      <c r="F601" s="20" t="inlineStr">
        <is>
          <t>Indica</t>
        </is>
      </c>
      <c r="G601" s="21" t="n"/>
      <c r="H601" s="22" t="n"/>
      <c r="I601" s="22" t="n">
        <v>69000</v>
      </c>
      <c r="J601" s="20" t="inlineStr">
        <is>
          <t>Khivraj Motor</t>
        </is>
      </c>
      <c r="K601" s="20" t="inlineStr">
        <is>
          <t>Non-Captive</t>
        </is>
      </c>
      <c r="L601" s="20" t="inlineStr">
        <is>
          <t>AAA Cars</t>
        </is>
      </c>
      <c r="M601" s="23" t="n">
        <v>5084.75</v>
      </c>
    </row>
    <row r="602">
      <c r="A602" s="19" t="inlineStr">
        <is>
          <t>FY26</t>
        </is>
      </c>
      <c r="B602" s="19" t="inlineStr">
        <is>
          <t>Feb</t>
        </is>
      </c>
      <c r="C602" s="19" t="inlineStr">
        <is>
          <t>TN</t>
        </is>
      </c>
      <c r="D602" s="20" t="inlineStr">
        <is>
          <t>KL01CS0410</t>
        </is>
      </c>
      <c r="E602" s="20" t="inlineStr">
        <is>
          <t>MARUTI SUZUKI</t>
        </is>
      </c>
      <c r="F602" s="20" t="inlineStr">
        <is>
          <t>Ignis</t>
        </is>
      </c>
      <c r="G602" s="21" t="n">
        <v>2021</v>
      </c>
      <c r="H602" s="22" t="n">
        <v>75654</v>
      </c>
      <c r="I602" s="22" t="n">
        <v>475000</v>
      </c>
      <c r="J602" s="20" t="inlineStr">
        <is>
          <t>Derik Automobile</t>
        </is>
      </c>
      <c r="K602" s="20" t="inlineStr">
        <is>
          <t>Non-Captive</t>
        </is>
      </c>
      <c r="L602" s="20" t="inlineStr">
        <is>
          <t>Popular Thrissur</t>
        </is>
      </c>
      <c r="M602" s="23" t="n">
        <v>5000</v>
      </c>
    </row>
    <row r="603">
      <c r="A603" s="19" t="inlineStr">
        <is>
          <t>FY26</t>
        </is>
      </c>
      <c r="B603" s="19" t="inlineStr">
        <is>
          <t>Feb</t>
        </is>
      </c>
      <c r="C603" s="19" t="inlineStr">
        <is>
          <t>TN</t>
        </is>
      </c>
      <c r="D603" s="20" t="inlineStr">
        <is>
          <t>KL01CJ2241</t>
        </is>
      </c>
      <c r="E603" s="20" t="inlineStr">
        <is>
          <t>MARUTI SUZUKI</t>
        </is>
      </c>
      <c r="F603" s="20" t="inlineStr">
        <is>
          <t>Swift Dzire</t>
        </is>
      </c>
      <c r="G603" s="21" t="n">
        <v>2018</v>
      </c>
      <c r="H603" s="22" t="n">
        <v>71235</v>
      </c>
      <c r="I603" s="22" t="n">
        <v>485000</v>
      </c>
      <c r="J603" s="20" t="inlineStr">
        <is>
          <t>Derik Automobile</t>
        </is>
      </c>
      <c r="K603" s="20" t="inlineStr">
        <is>
          <t>Non-Captive</t>
        </is>
      </c>
      <c r="L603" s="20" t="inlineStr">
        <is>
          <t>Popular Thrissur</t>
        </is>
      </c>
      <c r="M603" s="23" t="n">
        <v>5000</v>
      </c>
    </row>
    <row r="604">
      <c r="A604" s="19" t="inlineStr">
        <is>
          <t>FY26</t>
        </is>
      </c>
      <c r="B604" s="19" t="inlineStr">
        <is>
          <t>Feb</t>
        </is>
      </c>
      <c r="C604" s="19" t="inlineStr">
        <is>
          <t>TN</t>
        </is>
      </c>
      <c r="D604" s="20" t="inlineStr">
        <is>
          <t>KL01CB6898</t>
        </is>
      </c>
      <c r="E604" s="20" t="inlineStr">
        <is>
          <t>MARUTI SUZUKI</t>
        </is>
      </c>
      <c r="F604" s="20" t="inlineStr">
        <is>
          <t>Wagon R</t>
        </is>
      </c>
      <c r="G604" s="21" t="n">
        <v>2017</v>
      </c>
      <c r="H604" s="22" t="n"/>
      <c r="I604" s="22" t="n">
        <v>365000</v>
      </c>
      <c r="J604" s="20" t="inlineStr">
        <is>
          <t>Derik Automobile</t>
        </is>
      </c>
      <c r="K604" s="20" t="inlineStr">
        <is>
          <t>Non-Captive</t>
        </is>
      </c>
      <c r="L604" s="20" t="inlineStr">
        <is>
          <t>Popular Thrissur</t>
        </is>
      </c>
      <c r="M604" s="23" t="n">
        <v>5000</v>
      </c>
    </row>
    <row r="605">
      <c r="A605" s="19" t="inlineStr">
        <is>
          <t>FY26</t>
        </is>
      </c>
      <c r="B605" s="19" t="inlineStr">
        <is>
          <t>Feb</t>
        </is>
      </c>
      <c r="C605" s="19" t="inlineStr">
        <is>
          <t>TN</t>
        </is>
      </c>
      <c r="D605" s="20" t="inlineStr">
        <is>
          <t>KL16P5865</t>
        </is>
      </c>
      <c r="E605" s="20" t="inlineStr">
        <is>
          <t>MARUTI SUZUKI</t>
        </is>
      </c>
      <c r="F605" s="20" t="inlineStr">
        <is>
          <t>Alto</t>
        </is>
      </c>
      <c r="G605" s="21" t="n">
        <v>2015</v>
      </c>
      <c r="H605" s="22" t="n">
        <v>32153</v>
      </c>
      <c r="I605" s="22" t="n">
        <v>155000</v>
      </c>
      <c r="J605" s="20" t="inlineStr">
        <is>
          <t>Derik Automobile</t>
        </is>
      </c>
      <c r="K605" s="20" t="inlineStr">
        <is>
          <t>Non-Captive</t>
        </is>
      </c>
      <c r="L605" s="20" t="inlineStr">
        <is>
          <t>Popular Thrissur</t>
        </is>
      </c>
      <c r="M605" s="23" t="n">
        <v>5000</v>
      </c>
    </row>
    <row r="606">
      <c r="A606" s="19" t="inlineStr">
        <is>
          <t>FY26</t>
        </is>
      </c>
      <c r="B606" s="19" t="inlineStr">
        <is>
          <t>Feb</t>
        </is>
      </c>
      <c r="C606" s="19" t="inlineStr">
        <is>
          <t>TN</t>
        </is>
      </c>
      <c r="D606" s="20" t="inlineStr">
        <is>
          <t>KL02AY0398</t>
        </is>
      </c>
      <c r="E606" s="20" t="inlineStr">
        <is>
          <t>HYUNDAI</t>
        </is>
      </c>
      <c r="F606" s="20" t="inlineStr">
        <is>
          <t>I20</t>
        </is>
      </c>
      <c r="G606" s="21" t="n">
        <v>2016</v>
      </c>
      <c r="H606" s="22" t="n">
        <v>88996</v>
      </c>
      <c r="I606" s="22" t="n">
        <v>465000</v>
      </c>
      <c r="J606" s="20" t="inlineStr">
        <is>
          <t>Popular Motorworld pvt Ltd</t>
        </is>
      </c>
      <c r="K606" s="20" t="inlineStr">
        <is>
          <t>Non-Captive</t>
        </is>
      </c>
      <c r="L606" s="20" t="inlineStr">
        <is>
          <t>Shamnad AH</t>
        </is>
      </c>
      <c r="M606" s="23" t="n">
        <v>5932.2</v>
      </c>
    </row>
    <row r="607">
      <c r="A607" s="19" t="inlineStr">
        <is>
          <t>FY26</t>
        </is>
      </c>
      <c r="B607" s="19" t="inlineStr">
        <is>
          <t>Feb</t>
        </is>
      </c>
      <c r="C607" s="19" t="inlineStr">
        <is>
          <t>TN</t>
        </is>
      </c>
      <c r="D607" s="20" t="inlineStr">
        <is>
          <t>TN18Z4401</t>
        </is>
      </c>
      <c r="E607" s="20" t="inlineStr">
        <is>
          <t>FORD</t>
        </is>
      </c>
      <c r="F607" s="20" t="inlineStr">
        <is>
          <t>Figo</t>
        </is>
      </c>
      <c r="G607" s="21" t="n">
        <v>2011</v>
      </c>
      <c r="H607" s="22" t="n">
        <v>65874</v>
      </c>
      <c r="I607" s="22" t="n">
        <v>85000</v>
      </c>
      <c r="J607" s="20" t="inlineStr">
        <is>
          <t>Khivraj Motor</t>
        </is>
      </c>
      <c r="K607" s="20" t="inlineStr">
        <is>
          <t>Non-Captive</t>
        </is>
      </c>
      <c r="L607" s="20" t="inlineStr">
        <is>
          <t>RAJESH WARI (RAM CARS)</t>
        </is>
      </c>
      <c r="M607" s="23" t="n">
        <v>5084.75</v>
      </c>
    </row>
    <row r="608">
      <c r="A608" s="19" t="inlineStr">
        <is>
          <t>FY26</t>
        </is>
      </c>
      <c r="B608" s="19" t="inlineStr">
        <is>
          <t>Feb</t>
        </is>
      </c>
      <c r="C608" s="19" t="inlineStr">
        <is>
          <t>TN</t>
        </is>
      </c>
      <c r="D608" s="20" t="inlineStr">
        <is>
          <t>TN18Z4191</t>
        </is>
      </c>
      <c r="E608" s="20" t="inlineStr">
        <is>
          <t>FORD</t>
        </is>
      </c>
      <c r="F608" s="20" t="inlineStr">
        <is>
          <t>Figo</t>
        </is>
      </c>
      <c r="G608" s="21" t="n">
        <v>2011</v>
      </c>
      <c r="H608" s="22" t="n">
        <v>78842</v>
      </c>
      <c r="I608" s="22" t="n">
        <v>90000</v>
      </c>
      <c r="J608" s="20" t="inlineStr">
        <is>
          <t>Khivraj Motor</t>
        </is>
      </c>
      <c r="K608" s="20" t="inlineStr">
        <is>
          <t>Non-Captive</t>
        </is>
      </c>
      <c r="L608" s="20" t="inlineStr">
        <is>
          <t>RAJESH WARI (RAM CARS)</t>
        </is>
      </c>
      <c r="M608" s="23" t="n">
        <v>5084.75</v>
      </c>
    </row>
    <row r="609">
      <c r="A609" s="19" t="inlineStr">
        <is>
          <t>FY26</t>
        </is>
      </c>
      <c r="B609" s="19" t="inlineStr">
        <is>
          <t>Feb</t>
        </is>
      </c>
      <c r="C609" s="19" t="inlineStr">
        <is>
          <t>TN</t>
        </is>
      </c>
      <c r="D609" s="20" t="inlineStr">
        <is>
          <t>TN88Z0927</t>
        </is>
      </c>
      <c r="E609" s="20" t="inlineStr">
        <is>
          <t>MARUTI SUZUKI</t>
        </is>
      </c>
      <c r="F609" s="20" t="inlineStr">
        <is>
          <t>Alto K10</t>
        </is>
      </c>
      <c r="G609" s="21" t="n">
        <v>2013</v>
      </c>
      <c r="H609" s="22" t="n">
        <v>106261</v>
      </c>
      <c r="I609" s="22" t="n">
        <v>155000</v>
      </c>
      <c r="J609" s="20" t="inlineStr">
        <is>
          <t>EXCHANGE ROTN</t>
        </is>
      </c>
      <c r="K609" s="20" t="inlineStr">
        <is>
          <t>Captive</t>
        </is>
      </c>
      <c r="L609" s="20" t="inlineStr">
        <is>
          <t>MADHURA CARS</t>
        </is>
      </c>
      <c r="M609" s="23" t="n">
        <v>4237.29</v>
      </c>
    </row>
    <row r="610">
      <c r="A610" s="19" t="inlineStr">
        <is>
          <t>FY26</t>
        </is>
      </c>
      <c r="B610" s="19" t="inlineStr">
        <is>
          <t>Feb</t>
        </is>
      </c>
      <c r="C610" s="19" t="inlineStr">
        <is>
          <t>TN</t>
        </is>
      </c>
      <c r="D610" s="20" t="inlineStr">
        <is>
          <t>TN38BR1469</t>
        </is>
      </c>
      <c r="E610" s="20" t="inlineStr">
        <is>
          <t>HONDA</t>
        </is>
      </c>
      <c r="F610" s="20" t="inlineStr">
        <is>
          <t>Brio</t>
        </is>
      </c>
      <c r="G610" s="21" t="n">
        <v>2012</v>
      </c>
      <c r="H610" s="22" t="n">
        <v>92382</v>
      </c>
      <c r="I610" s="22" t="n">
        <v>205000</v>
      </c>
      <c r="J610" s="20" t="inlineStr">
        <is>
          <t>EXCHANGE ROTN</t>
        </is>
      </c>
      <c r="K610" s="20" t="inlineStr">
        <is>
          <t>Captive</t>
        </is>
      </c>
      <c r="L610" s="20" t="inlineStr">
        <is>
          <t>MADHURA CARS</t>
        </is>
      </c>
      <c r="M610" s="23" t="n">
        <v>4237.29</v>
      </c>
    </row>
    <row r="611">
      <c r="A611" s="19" t="inlineStr">
        <is>
          <t>FY26</t>
        </is>
      </c>
      <c r="B611" s="19" t="inlineStr">
        <is>
          <t>Feb</t>
        </is>
      </c>
      <c r="C611" s="19" t="inlineStr">
        <is>
          <t>TN</t>
        </is>
      </c>
      <c r="D611" s="20" t="inlineStr">
        <is>
          <t>TN37AB8697</t>
        </is>
      </c>
      <c r="E611" s="20" t="inlineStr">
        <is>
          <t>HYUNDAI</t>
        </is>
      </c>
      <c r="F611" s="20" t="inlineStr">
        <is>
          <t>Accent</t>
        </is>
      </c>
      <c r="G611" s="21" t="n">
        <v>2003</v>
      </c>
      <c r="H611" s="22" t="n">
        <v>157381</v>
      </c>
      <c r="I611" s="22" t="n">
        <v>40000</v>
      </c>
      <c r="J611" s="20" t="inlineStr">
        <is>
          <t>EXCHANGE ROTN</t>
        </is>
      </c>
      <c r="K611" s="20" t="inlineStr">
        <is>
          <t>Captive</t>
        </is>
      </c>
      <c r="L611" s="20" t="inlineStr">
        <is>
          <t>VALUE CARS</t>
        </is>
      </c>
      <c r="M611" s="23" t="n">
        <v>4237.29</v>
      </c>
    </row>
    <row r="612">
      <c r="A612" s="19" t="inlineStr">
        <is>
          <t>FY26</t>
        </is>
      </c>
      <c r="B612" s="19" t="inlineStr">
        <is>
          <t>Feb</t>
        </is>
      </c>
      <c r="C612" s="19" t="inlineStr">
        <is>
          <t>TN</t>
        </is>
      </c>
      <c r="D612" s="20" t="inlineStr">
        <is>
          <t>TN38BP3564</t>
        </is>
      </c>
      <c r="E612" s="20" t="inlineStr">
        <is>
          <t>FORD</t>
        </is>
      </c>
      <c r="F612" s="20" t="inlineStr">
        <is>
          <t>Figo</t>
        </is>
      </c>
      <c r="G612" s="21" t="n">
        <v>2012</v>
      </c>
      <c r="H612" s="22" t="n">
        <v>205525</v>
      </c>
      <c r="I612" s="22" t="n">
        <v>125000</v>
      </c>
      <c r="J612" s="20" t="inlineStr">
        <is>
          <t>EXCHANGE ROTN</t>
        </is>
      </c>
      <c r="K612" s="20" t="inlineStr">
        <is>
          <t>Captive</t>
        </is>
      </c>
      <c r="L612" s="20" t="inlineStr">
        <is>
          <t>VALUE CARS</t>
        </is>
      </c>
      <c r="M612" s="23" t="n">
        <v>4237.29</v>
      </c>
    </row>
    <row r="613">
      <c r="A613" s="19" t="inlineStr">
        <is>
          <t>FY26</t>
        </is>
      </c>
      <c r="B613" s="19" t="inlineStr">
        <is>
          <t>Feb</t>
        </is>
      </c>
      <c r="C613" s="19" t="inlineStr">
        <is>
          <t>TN</t>
        </is>
      </c>
      <c r="D613" s="20" t="inlineStr">
        <is>
          <t>TN305673</t>
        </is>
      </c>
      <c r="E613" s="20" t="inlineStr">
        <is>
          <t>MARUTI SUZUKI</t>
        </is>
      </c>
      <c r="F613" s="20" t="inlineStr">
        <is>
          <t>Wagon R</t>
        </is>
      </c>
      <c r="G613" s="21" t="n">
        <v>2000</v>
      </c>
      <c r="H613" s="22" t="n">
        <v>84519</v>
      </c>
      <c r="I613" s="22" t="n">
        <v>70000</v>
      </c>
      <c r="J613" s="20" t="inlineStr">
        <is>
          <t>EXCHANGE ROTN</t>
        </is>
      </c>
      <c r="K613" s="20" t="inlineStr">
        <is>
          <t>Captive</t>
        </is>
      </c>
      <c r="L613" s="20" t="inlineStr">
        <is>
          <t>MADHURA CARS</t>
        </is>
      </c>
      <c r="M613" s="23" t="n">
        <v>4237.29</v>
      </c>
    </row>
    <row r="614">
      <c r="A614" s="19" t="inlineStr">
        <is>
          <t>FY26</t>
        </is>
      </c>
      <c r="B614" s="19" t="inlineStr">
        <is>
          <t>Feb</t>
        </is>
      </c>
      <c r="C614" s="19" t="inlineStr">
        <is>
          <t>TN</t>
        </is>
      </c>
      <c r="D614" s="20" t="inlineStr">
        <is>
          <t>TN30AJ8303</t>
        </is>
      </c>
      <c r="E614" s="20" t="inlineStr">
        <is>
          <t>CHEVROLET</t>
        </is>
      </c>
      <c r="F614" s="20" t="inlineStr">
        <is>
          <t>Beat</t>
        </is>
      </c>
      <c r="G614" s="21" t="n">
        <v>2010</v>
      </c>
      <c r="H614" s="22" t="n">
        <v>88520</v>
      </c>
      <c r="I614" s="22" t="n">
        <v>90000</v>
      </c>
      <c r="J614" s="20" t="inlineStr">
        <is>
          <t>Exchange ROTN</t>
        </is>
      </c>
      <c r="K614" s="20" t="inlineStr">
        <is>
          <t>Captive</t>
        </is>
      </c>
      <c r="L614" s="20" t="inlineStr">
        <is>
          <t>MADHURA CARS</t>
        </is>
      </c>
      <c r="M614" s="23" t="n">
        <v>4237.29</v>
      </c>
    </row>
    <row r="615">
      <c r="A615" s="19" t="inlineStr">
        <is>
          <t>FY26</t>
        </is>
      </c>
      <c r="B615" s="19" t="inlineStr">
        <is>
          <t>Feb</t>
        </is>
      </c>
      <c r="C615" s="19" t="inlineStr">
        <is>
          <t>TN</t>
        </is>
      </c>
      <c r="D615" s="20" t="inlineStr">
        <is>
          <t>TN31BF3192</t>
        </is>
      </c>
      <c r="E615" s="20" t="inlineStr">
        <is>
          <t>MARUTI SUZUKI</t>
        </is>
      </c>
      <c r="F615" s="20" t="inlineStr">
        <is>
          <t>Celerio</t>
        </is>
      </c>
      <c r="G615" s="21" t="n">
        <v>2017</v>
      </c>
      <c r="H615" s="22" t="n">
        <v>118963</v>
      </c>
      <c r="I615" s="22" t="n">
        <v>240000</v>
      </c>
      <c r="J615" s="20" t="inlineStr">
        <is>
          <t>EXCHANGE ROTN</t>
        </is>
      </c>
      <c r="K615" s="20" t="inlineStr">
        <is>
          <t>Captive</t>
        </is>
      </c>
      <c r="L615" s="20" t="inlineStr">
        <is>
          <t>MADHURA CARS</t>
        </is>
      </c>
      <c r="M615" s="23" t="n">
        <v>4237.29</v>
      </c>
    </row>
    <row r="616">
      <c r="A616" s="19" t="inlineStr">
        <is>
          <t>FY26</t>
        </is>
      </c>
      <c r="B616" s="19" t="inlineStr">
        <is>
          <t>Feb</t>
        </is>
      </c>
      <c r="C616" s="19" t="inlineStr">
        <is>
          <t>TN</t>
        </is>
      </c>
      <c r="D616" s="20" t="inlineStr">
        <is>
          <t>TN77Q3947</t>
        </is>
      </c>
      <c r="E616" s="20" t="inlineStr">
        <is>
          <t>MARUTI SUZUKI</t>
        </is>
      </c>
      <c r="F616" s="20" t="inlineStr">
        <is>
          <t>Eeco</t>
        </is>
      </c>
      <c r="G616" s="21" t="n">
        <v>2021</v>
      </c>
      <c r="H616" s="22" t="n">
        <v>42406</v>
      </c>
      <c r="I616" s="22" t="n">
        <v>380000</v>
      </c>
      <c r="J616" s="20" t="inlineStr">
        <is>
          <t>EXCHANGE ROTN</t>
        </is>
      </c>
      <c r="K616" s="20" t="inlineStr">
        <is>
          <t>Captive</t>
        </is>
      </c>
      <c r="L616" s="20" t="inlineStr">
        <is>
          <t>MADHURA CARS</t>
        </is>
      </c>
      <c r="M616" s="23" t="n">
        <v>4237.29</v>
      </c>
    </row>
    <row r="617">
      <c r="A617" s="19" t="inlineStr">
        <is>
          <t>FY26</t>
        </is>
      </c>
      <c r="B617" s="19" t="inlineStr">
        <is>
          <t>Feb</t>
        </is>
      </c>
      <c r="C617" s="19" t="inlineStr">
        <is>
          <t>TN</t>
        </is>
      </c>
      <c r="D617" s="20" t="inlineStr">
        <is>
          <t>TN30AQ7027</t>
        </is>
      </c>
      <c r="E617" s="20" t="inlineStr">
        <is>
          <t>MARUTI SUZUKI</t>
        </is>
      </c>
      <c r="F617" s="20" t="inlineStr">
        <is>
          <t>Ertiga</t>
        </is>
      </c>
      <c r="G617" s="21" t="n">
        <v>2012</v>
      </c>
      <c r="H617" s="22" t="n">
        <v>132500</v>
      </c>
      <c r="I617" s="22" t="n">
        <v>350000</v>
      </c>
      <c r="J617" s="20" t="inlineStr">
        <is>
          <t>EXCHANGE ROTN</t>
        </is>
      </c>
      <c r="K617" s="20" t="inlineStr">
        <is>
          <t>Captive</t>
        </is>
      </c>
      <c r="L617" s="20" t="inlineStr">
        <is>
          <t>MADHURA CARS</t>
        </is>
      </c>
      <c r="M617" s="23" t="n">
        <v>4237.29</v>
      </c>
    </row>
    <row r="618">
      <c r="A618" s="19" t="inlineStr">
        <is>
          <t>FY26</t>
        </is>
      </c>
      <c r="B618" s="19" t="inlineStr">
        <is>
          <t>Feb</t>
        </is>
      </c>
      <c r="C618" s="19" t="inlineStr">
        <is>
          <t>TN</t>
        </is>
      </c>
      <c r="D618" s="20" t="inlineStr">
        <is>
          <t>TN31AX4992</t>
        </is>
      </c>
      <c r="E618" s="20" t="inlineStr">
        <is>
          <t>MARUTI SUZUKI</t>
        </is>
      </c>
      <c r="F618" s="20" t="inlineStr">
        <is>
          <t>Alto</t>
        </is>
      </c>
      <c r="G618" s="21" t="n">
        <v>2008</v>
      </c>
      <c r="H618" s="22" t="n">
        <v>130460</v>
      </c>
      <c r="I618" s="22" t="n">
        <v>120000</v>
      </c>
      <c r="J618" s="20" t="inlineStr">
        <is>
          <t>EXCHANGE ROTN</t>
        </is>
      </c>
      <c r="K618" s="20" t="inlineStr">
        <is>
          <t>Captive</t>
        </is>
      </c>
      <c r="L618" s="20" t="inlineStr">
        <is>
          <t>MADHURA CARS</t>
        </is>
      </c>
      <c r="M618" s="23" t="n">
        <v>4237.29</v>
      </c>
    </row>
    <row r="619">
      <c r="A619" s="19" t="inlineStr">
        <is>
          <t>FY26</t>
        </is>
      </c>
      <c r="B619" s="19" t="inlineStr">
        <is>
          <t>Feb</t>
        </is>
      </c>
      <c r="C619" s="19" t="inlineStr">
        <is>
          <t>TN</t>
        </is>
      </c>
      <c r="D619" s="20" t="inlineStr">
        <is>
          <t>TN34Q0150</t>
        </is>
      </c>
      <c r="E619" s="20" t="inlineStr">
        <is>
          <t>FORD</t>
        </is>
      </c>
      <c r="F619" s="20" t="inlineStr">
        <is>
          <t>Figo</t>
        </is>
      </c>
      <c r="G619" s="21" t="n">
        <v>2011</v>
      </c>
      <c r="H619" s="22" t="n">
        <v>200389</v>
      </c>
      <c r="I619" s="22" t="n">
        <v>130000</v>
      </c>
      <c r="J619" s="20" t="inlineStr">
        <is>
          <t>EXCHANGE ROTN</t>
        </is>
      </c>
      <c r="K619" s="20" t="inlineStr">
        <is>
          <t>Captive</t>
        </is>
      </c>
      <c r="L619" s="20" t="inlineStr">
        <is>
          <t>MADHURA CARS</t>
        </is>
      </c>
      <c r="M619" s="23" t="n">
        <v>4237.29</v>
      </c>
    </row>
    <row r="620">
      <c r="A620" s="19" t="inlineStr">
        <is>
          <t>FY26</t>
        </is>
      </c>
      <c r="B620" s="19" t="inlineStr">
        <is>
          <t>Feb</t>
        </is>
      </c>
      <c r="C620" s="19" t="inlineStr">
        <is>
          <t>TN</t>
        </is>
      </c>
      <c r="D620" s="20" t="inlineStr">
        <is>
          <t>KL69C4168</t>
        </is>
      </c>
      <c r="E620" s="20" t="inlineStr">
        <is>
          <t>MARUTI SUZUKI</t>
        </is>
      </c>
      <c r="F620" s="20" t="inlineStr">
        <is>
          <t>S-Presso</t>
        </is>
      </c>
      <c r="G620" s="21" t="n">
        <v>2020</v>
      </c>
      <c r="H620" s="22" t="n">
        <v>45384</v>
      </c>
      <c r="I620" s="22" t="n">
        <v>340000</v>
      </c>
      <c r="J620" s="20" t="inlineStr">
        <is>
          <t>Popular Motorworld pvt Ltd</t>
        </is>
      </c>
      <c r="K620" s="20" t="inlineStr">
        <is>
          <t>Non-Captive</t>
        </is>
      </c>
      <c r="L620" s="20" t="inlineStr">
        <is>
          <t>Popular Kotayam</t>
        </is>
      </c>
      <c r="M620" s="23" t="n">
        <v>5000</v>
      </c>
    </row>
    <row r="621">
      <c r="A621" s="19" t="inlineStr">
        <is>
          <t>FY26</t>
        </is>
      </c>
      <c r="B621" s="19" t="inlineStr">
        <is>
          <t>Feb</t>
        </is>
      </c>
      <c r="C621" s="19" t="inlineStr">
        <is>
          <t>TN</t>
        </is>
      </c>
      <c r="D621" s="20" t="inlineStr">
        <is>
          <t>KL25N8090</t>
        </is>
      </c>
      <c r="E621" s="20" t="inlineStr">
        <is>
          <t>MARUTI SUZUKI</t>
        </is>
      </c>
      <c r="F621" s="20" t="inlineStr">
        <is>
          <t>Swift</t>
        </is>
      </c>
      <c r="G621" s="21" t="n">
        <v>2020</v>
      </c>
      <c r="H621" s="22" t="n">
        <v>52062</v>
      </c>
      <c r="I621" s="22" t="n">
        <v>600000</v>
      </c>
      <c r="J621" s="20" t="inlineStr">
        <is>
          <t>Popular Motorworld pvt Ltd</t>
        </is>
      </c>
      <c r="K621" s="20" t="inlineStr">
        <is>
          <t>Non-Captive</t>
        </is>
      </c>
      <c r="L621" s="20" t="inlineStr">
        <is>
          <t>Popular Kotayam</t>
        </is>
      </c>
      <c r="M621" s="23" t="n">
        <v>5000</v>
      </c>
    </row>
    <row r="622">
      <c r="A622" s="19" t="inlineStr">
        <is>
          <t>FY26</t>
        </is>
      </c>
      <c r="B622" s="19" t="inlineStr">
        <is>
          <t>Feb</t>
        </is>
      </c>
      <c r="C622" s="19" t="inlineStr">
        <is>
          <t>TN</t>
        </is>
      </c>
      <c r="D622" s="20" t="inlineStr">
        <is>
          <t>KL02BS8638</t>
        </is>
      </c>
      <c r="E622" s="20" t="inlineStr">
        <is>
          <t>MARUTI SUZUKI</t>
        </is>
      </c>
      <c r="F622" s="20" t="inlineStr">
        <is>
          <t>Alto K10</t>
        </is>
      </c>
      <c r="G622" s="21" t="n">
        <v>2022</v>
      </c>
      <c r="H622" s="22" t="n">
        <v>67877</v>
      </c>
      <c r="I622" s="22" t="n">
        <v>320000</v>
      </c>
      <c r="J622" s="20" t="inlineStr">
        <is>
          <t>Popular Motorworld pvt Ltd</t>
        </is>
      </c>
      <c r="K622" s="20" t="inlineStr">
        <is>
          <t>Non-Captive</t>
        </is>
      </c>
      <c r="L622" s="20" t="inlineStr">
        <is>
          <t>Shamnad AH</t>
        </is>
      </c>
      <c r="M622" s="23" t="n">
        <v>5932.2</v>
      </c>
    </row>
    <row r="623">
      <c r="A623" s="19" t="inlineStr">
        <is>
          <t>FY26</t>
        </is>
      </c>
      <c r="B623" s="19" t="inlineStr">
        <is>
          <t>Feb</t>
        </is>
      </c>
      <c r="C623" s="19" t="inlineStr">
        <is>
          <t>TN</t>
        </is>
      </c>
      <c r="D623" s="20" t="inlineStr">
        <is>
          <t>KL25P0994</t>
        </is>
      </c>
      <c r="E623" s="20" t="inlineStr">
        <is>
          <t>MARUTI SUZUKI</t>
        </is>
      </c>
      <c r="F623" s="20" t="inlineStr">
        <is>
          <t>Alto</t>
        </is>
      </c>
      <c r="G623" s="21" t="n">
        <v>2020</v>
      </c>
      <c r="H623" s="22" t="n">
        <v>39876</v>
      </c>
      <c r="I623" s="22" t="n">
        <v>290000</v>
      </c>
      <c r="J623" s="20" t="inlineStr">
        <is>
          <t>Popular Motorworld pvt Ltd</t>
        </is>
      </c>
      <c r="K623" s="20" t="inlineStr">
        <is>
          <t>Non-Captive</t>
        </is>
      </c>
      <c r="L623" s="20" t="inlineStr">
        <is>
          <t>Popular Thrissur</t>
        </is>
      </c>
      <c r="M623" s="23" t="n">
        <v>5000</v>
      </c>
    </row>
    <row r="624">
      <c r="A624" s="19" t="inlineStr">
        <is>
          <t>FY26</t>
        </is>
      </c>
      <c r="B624" s="19" t="inlineStr">
        <is>
          <t>Feb</t>
        </is>
      </c>
      <c r="C624" s="19" t="inlineStr">
        <is>
          <t>TN</t>
        </is>
      </c>
      <c r="D624" s="20" t="inlineStr">
        <is>
          <t>TN01BD4025</t>
        </is>
      </c>
      <c r="E624" s="20" t="inlineStr">
        <is>
          <t>MARUTI SUZUKI</t>
        </is>
      </c>
      <c r="F624" s="20" t="inlineStr">
        <is>
          <t>Celerio</t>
        </is>
      </c>
      <c r="G624" s="21" t="n">
        <v>2017</v>
      </c>
      <c r="H624" s="22" t="n">
        <v>35701</v>
      </c>
      <c r="I624" s="22" t="n">
        <v>300000</v>
      </c>
      <c r="J624" s="20" t="inlineStr">
        <is>
          <t>Khivraj Motor</t>
        </is>
      </c>
      <c r="K624" s="20" t="inlineStr">
        <is>
          <t>Non-Captive</t>
        </is>
      </c>
      <c r="L624" s="20" t="inlineStr">
        <is>
          <t>car Hub</t>
        </is>
      </c>
      <c r="M624" s="23" t="n">
        <v>5084.75</v>
      </c>
    </row>
    <row r="625">
      <c r="A625" s="19" t="inlineStr">
        <is>
          <t>FY26</t>
        </is>
      </c>
      <c r="B625" s="19" t="inlineStr">
        <is>
          <t>Feb</t>
        </is>
      </c>
      <c r="C625" s="19" t="inlineStr">
        <is>
          <t>TN</t>
        </is>
      </c>
      <c r="D625" s="20" t="inlineStr">
        <is>
          <t>TN13D1058</t>
        </is>
      </c>
      <c r="E625" s="20" t="inlineStr">
        <is>
          <t>MARUTI SUZUKI</t>
        </is>
      </c>
      <c r="F625" s="20" t="inlineStr">
        <is>
          <t>Celerio</t>
        </is>
      </c>
      <c r="G625" s="21" t="n">
        <v>2015</v>
      </c>
      <c r="H625" s="22" t="n">
        <v>46441</v>
      </c>
      <c r="I625" s="22" t="n">
        <v>265000</v>
      </c>
      <c r="J625" s="20" t="inlineStr">
        <is>
          <t>Khivraj Motor</t>
        </is>
      </c>
      <c r="K625" s="20" t="inlineStr">
        <is>
          <t>Non-Captive</t>
        </is>
      </c>
      <c r="L625" s="20" t="inlineStr">
        <is>
          <t>S2 Cars</t>
        </is>
      </c>
      <c r="M625" s="23" t="n">
        <v>5084.75</v>
      </c>
    </row>
    <row r="626">
      <c r="A626" s="19" t="inlineStr">
        <is>
          <t>FY26</t>
        </is>
      </c>
      <c r="B626" s="19" t="inlineStr">
        <is>
          <t>Feb</t>
        </is>
      </c>
      <c r="C626" s="19" t="inlineStr">
        <is>
          <t>TN</t>
        </is>
      </c>
      <c r="D626" s="20" t="inlineStr">
        <is>
          <t>TN06X9298</t>
        </is>
      </c>
      <c r="E626" s="20" t="inlineStr">
        <is>
          <t>MARUTI SUZUKI</t>
        </is>
      </c>
      <c r="F626" s="20" t="inlineStr">
        <is>
          <t>Swift</t>
        </is>
      </c>
      <c r="G626" s="21" t="n">
        <v>2019</v>
      </c>
      <c r="H626" s="22" t="n">
        <v>25687</v>
      </c>
      <c r="I626" s="22" t="n">
        <v>440000</v>
      </c>
      <c r="J626" s="20" t="inlineStr">
        <is>
          <t>Khivraj Motor</t>
        </is>
      </c>
      <c r="K626" s="20" t="inlineStr">
        <is>
          <t>Non-Captive</t>
        </is>
      </c>
      <c r="L626" s="20" t="inlineStr">
        <is>
          <t>Grid 33</t>
        </is>
      </c>
      <c r="M626" s="23" t="n">
        <v>5084.75</v>
      </c>
    </row>
    <row r="627">
      <c r="A627" s="19" t="inlineStr">
        <is>
          <t>FY26</t>
        </is>
      </c>
      <c r="B627" s="19" t="inlineStr">
        <is>
          <t>Feb</t>
        </is>
      </c>
      <c r="C627" s="19" t="inlineStr">
        <is>
          <t>TN</t>
        </is>
      </c>
      <c r="D627" s="20" t="inlineStr">
        <is>
          <t>TN18X3641</t>
        </is>
      </c>
      <c r="E627" s="20" t="inlineStr">
        <is>
          <t>MARUTI SUZUKI</t>
        </is>
      </c>
      <c r="F627" s="20" t="inlineStr">
        <is>
          <t>Alto</t>
        </is>
      </c>
      <c r="G627" s="21" t="n">
        <v>2012</v>
      </c>
      <c r="H627" s="22" t="n">
        <v>22714</v>
      </c>
      <c r="I627" s="22" t="n">
        <v>120000</v>
      </c>
      <c r="J627" s="20" t="inlineStr">
        <is>
          <t>Khivraj Motor</t>
        </is>
      </c>
      <c r="K627" s="20" t="inlineStr">
        <is>
          <t>Non-Captive</t>
        </is>
      </c>
      <c r="L627" s="20" t="inlineStr">
        <is>
          <t>AS Cars Gopi</t>
        </is>
      </c>
      <c r="M627" s="23" t="n">
        <v>4237.29</v>
      </c>
    </row>
    <row r="628">
      <c r="A628" s="19" t="inlineStr">
        <is>
          <t>FY26</t>
        </is>
      </c>
      <c r="B628" s="19" t="inlineStr">
        <is>
          <t>Feb</t>
        </is>
      </c>
      <c r="C628" s="19" t="inlineStr">
        <is>
          <t>TN</t>
        </is>
      </c>
      <c r="D628" s="20" t="inlineStr">
        <is>
          <t>TN10AZ8129</t>
        </is>
      </c>
      <c r="E628" s="20" t="inlineStr">
        <is>
          <t>MARUTI SUZUKI</t>
        </is>
      </c>
      <c r="F628" s="20" t="inlineStr">
        <is>
          <t>Celerio</t>
        </is>
      </c>
      <c r="G628" s="21" t="n">
        <v>206</v>
      </c>
      <c r="H628" s="22" t="n">
        <v>45980</v>
      </c>
      <c r="I628" s="22" t="n">
        <v>275000</v>
      </c>
      <c r="J628" s="20" t="inlineStr">
        <is>
          <t>AIE CARS PRIVATE LIMITED</t>
        </is>
      </c>
      <c r="K628" s="20" t="inlineStr">
        <is>
          <t>Non-Captive</t>
        </is>
      </c>
      <c r="L628" s="20" t="inlineStr">
        <is>
          <t>AAA Cars</t>
        </is>
      </c>
      <c r="M628" s="23" t="n">
        <v>4237.29</v>
      </c>
    </row>
    <row r="629">
      <c r="A629" s="19" t="inlineStr">
        <is>
          <t>FY26</t>
        </is>
      </c>
      <c r="B629" s="19" t="inlineStr">
        <is>
          <t>Feb</t>
        </is>
      </c>
      <c r="C629" s="19" t="inlineStr">
        <is>
          <t>TN</t>
        </is>
      </c>
      <c r="D629" s="20" t="inlineStr">
        <is>
          <t>TN06U0966</t>
        </is>
      </c>
      <c r="E629" s="20" t="inlineStr">
        <is>
          <t>TATA</t>
        </is>
      </c>
      <c r="F629" s="20" t="inlineStr">
        <is>
          <t>Hexa</t>
        </is>
      </c>
      <c r="G629" s="21" t="n">
        <v>2017</v>
      </c>
      <c r="H629" s="22" t="n">
        <v>56784</v>
      </c>
      <c r="I629" s="22" t="n">
        <v>725000</v>
      </c>
      <c r="J629" s="20" t="inlineStr">
        <is>
          <t>Santhosh Cars</t>
        </is>
      </c>
      <c r="K629" s="20" t="inlineStr">
        <is>
          <t>Non-Captive</t>
        </is>
      </c>
      <c r="L629" s="20" t="inlineStr">
        <is>
          <t>Nirmal Cars</t>
        </is>
      </c>
      <c r="M629" s="23" t="n">
        <v>8474.58</v>
      </c>
    </row>
    <row r="630">
      <c r="A630" s="19" t="inlineStr">
        <is>
          <t>FY26</t>
        </is>
      </c>
      <c r="B630" s="19" t="inlineStr">
        <is>
          <t>Feb</t>
        </is>
      </c>
      <c r="C630" s="19" t="inlineStr">
        <is>
          <t>TN</t>
        </is>
      </c>
      <c r="D630" s="20" t="inlineStr">
        <is>
          <t>TN07CU9451</t>
        </is>
      </c>
      <c r="E630" s="20" t="inlineStr">
        <is>
          <t>MARUTI SUZUKI</t>
        </is>
      </c>
      <c r="F630" s="20" t="inlineStr">
        <is>
          <t>Swift Dzire</t>
        </is>
      </c>
      <c r="G630" s="21" t="n">
        <v>2020</v>
      </c>
      <c r="H630" s="22" t="n">
        <v>38370</v>
      </c>
      <c r="I630" s="22" t="n">
        <v>500000</v>
      </c>
      <c r="J630" s="20" t="inlineStr">
        <is>
          <t>Khivraj Motor</t>
        </is>
      </c>
      <c r="K630" s="20" t="inlineStr">
        <is>
          <t>Non-Captive</t>
        </is>
      </c>
      <c r="L630" s="20" t="inlineStr">
        <is>
          <t>Value Drive Tecnologies</t>
        </is>
      </c>
      <c r="M630" s="23" t="n">
        <v>4237.29</v>
      </c>
    </row>
    <row r="631">
      <c r="A631" s="19" t="inlineStr">
        <is>
          <t>FY26</t>
        </is>
      </c>
      <c r="B631" s="19" t="inlineStr">
        <is>
          <t>Feb</t>
        </is>
      </c>
      <c r="C631" s="19" t="inlineStr">
        <is>
          <t>TN</t>
        </is>
      </c>
      <c r="D631" s="20" t="inlineStr">
        <is>
          <t>TN02BW4441</t>
        </is>
      </c>
      <c r="E631" s="20" t="inlineStr">
        <is>
          <t>MARUTI SUZUKI</t>
        </is>
      </c>
      <c r="F631" s="20" t="inlineStr">
        <is>
          <t>Eeco</t>
        </is>
      </c>
      <c r="G631" s="21" t="n">
        <v>2022</v>
      </c>
      <c r="H631" s="22" t="n">
        <v>25800</v>
      </c>
      <c r="I631" s="22" t="n">
        <v>400000</v>
      </c>
      <c r="J631" s="20" t="inlineStr">
        <is>
          <t>Khivraj Motor</t>
        </is>
      </c>
      <c r="K631" s="20" t="inlineStr">
        <is>
          <t>Non-Captive</t>
        </is>
      </c>
      <c r="L631" s="20" t="inlineStr">
        <is>
          <t>Value Drive Tecnologies</t>
        </is>
      </c>
      <c r="M631" s="23" t="n">
        <v>4237.29</v>
      </c>
    </row>
    <row r="632">
      <c r="A632" s="19" t="inlineStr">
        <is>
          <t>FY26</t>
        </is>
      </c>
      <c r="B632" s="19" t="inlineStr">
        <is>
          <t>Feb</t>
        </is>
      </c>
      <c r="C632" s="19" t="inlineStr">
        <is>
          <t>TN</t>
        </is>
      </c>
      <c r="D632" s="20" t="inlineStr">
        <is>
          <t>TN01BJ1938</t>
        </is>
      </c>
      <c r="E632" s="20" t="inlineStr">
        <is>
          <t>TATA</t>
        </is>
      </c>
      <c r="F632" s="20" t="inlineStr">
        <is>
          <t>Tiago</t>
        </is>
      </c>
      <c r="G632" s="21" t="n">
        <v>2019</v>
      </c>
      <c r="H632" s="22" t="n">
        <v>23402</v>
      </c>
      <c r="I632" s="22" t="n">
        <v>350000</v>
      </c>
      <c r="J632" s="20" t="inlineStr">
        <is>
          <t>Khivraj Motor</t>
        </is>
      </c>
      <c r="K632" s="20" t="inlineStr">
        <is>
          <t>Non-Captive</t>
        </is>
      </c>
      <c r="L632" s="20" t="inlineStr">
        <is>
          <t>Value Drive Tecnologies</t>
        </is>
      </c>
      <c r="M632" s="23" t="n">
        <v>3389.83</v>
      </c>
    </row>
    <row r="633">
      <c r="A633" s="19" t="inlineStr">
        <is>
          <t>FY26</t>
        </is>
      </c>
      <c r="B633" s="19" t="inlineStr">
        <is>
          <t>Feb</t>
        </is>
      </c>
      <c r="C633" s="19" t="inlineStr">
        <is>
          <t>TN</t>
        </is>
      </c>
      <c r="D633" s="20" t="inlineStr">
        <is>
          <t>TN19AV1810</t>
        </is>
      </c>
      <c r="E633" s="20" t="inlineStr">
        <is>
          <t>MG MOTORS</t>
        </is>
      </c>
      <c r="F633" s="20" t="inlineStr">
        <is>
          <t>Hector-Plus</t>
        </is>
      </c>
      <c r="G633" s="21" t="n">
        <v>2023</v>
      </c>
      <c r="H633" s="22" t="n">
        <v>17151</v>
      </c>
      <c r="I633" s="22" t="n">
        <v>850000</v>
      </c>
      <c r="J633" s="20" t="inlineStr">
        <is>
          <t>Khivraj Motor</t>
        </is>
      </c>
      <c r="K633" s="20" t="inlineStr">
        <is>
          <t>Non-Captive</t>
        </is>
      </c>
      <c r="L633" s="20" t="inlineStr">
        <is>
          <t>Value Drive Tecnologies</t>
        </is>
      </c>
      <c r="M633" s="23" t="n">
        <v>3389.83</v>
      </c>
    </row>
    <row r="634">
      <c r="A634" s="19" t="inlineStr">
        <is>
          <t>FY26</t>
        </is>
      </c>
      <c r="B634" s="19" t="inlineStr">
        <is>
          <t>Feb</t>
        </is>
      </c>
      <c r="C634" s="19" t="inlineStr">
        <is>
          <t>TN</t>
        </is>
      </c>
      <c r="D634" s="20" t="inlineStr">
        <is>
          <t>TN18J2021</t>
        </is>
      </c>
      <c r="E634" s="20" t="inlineStr">
        <is>
          <t>HYUNDAI</t>
        </is>
      </c>
      <c r="F634" s="20" t="inlineStr">
        <is>
          <t>I20</t>
        </is>
      </c>
      <c r="G634" s="21" t="n">
        <v>2011</v>
      </c>
      <c r="H634" s="22" t="n">
        <v>113321</v>
      </c>
      <c r="I634" s="22" t="n">
        <v>100000</v>
      </c>
      <c r="J634" s="20" t="inlineStr">
        <is>
          <t>Khivraj Motor</t>
        </is>
      </c>
      <c r="K634" s="20" t="inlineStr">
        <is>
          <t>Non-Captive</t>
        </is>
      </c>
      <c r="L634" s="20" t="inlineStr">
        <is>
          <t>Pine Autos</t>
        </is>
      </c>
      <c r="M634" s="23" t="n">
        <v>4237.29</v>
      </c>
    </row>
    <row r="635">
      <c r="A635" s="19" t="inlineStr">
        <is>
          <t>FY26</t>
        </is>
      </c>
      <c r="B635" s="19" t="inlineStr">
        <is>
          <t>Feb</t>
        </is>
      </c>
      <c r="C635" s="19" t="inlineStr">
        <is>
          <t>TN</t>
        </is>
      </c>
      <c r="D635" s="20" t="inlineStr">
        <is>
          <t>TN09AP6626</t>
        </is>
      </c>
      <c r="E635" s="20" t="inlineStr">
        <is>
          <t>FORD</t>
        </is>
      </c>
      <c r="F635" s="20" t="inlineStr">
        <is>
          <t>Fiesta</t>
        </is>
      </c>
      <c r="G635" s="21" t="n">
        <v>2006</v>
      </c>
      <c r="H635" s="22" t="n">
        <v>99999</v>
      </c>
      <c r="I635" s="22" t="n">
        <v>35000</v>
      </c>
      <c r="J635" s="20" t="inlineStr">
        <is>
          <t>Khivraj Motor</t>
        </is>
      </c>
      <c r="K635" s="20" t="inlineStr">
        <is>
          <t>Non-Captive</t>
        </is>
      </c>
      <c r="L635" s="20" t="inlineStr">
        <is>
          <t>Pine Autos</t>
        </is>
      </c>
      <c r="M635" s="23" t="n">
        <v>4237.29</v>
      </c>
    </row>
    <row r="636">
      <c r="A636" s="19" t="inlineStr">
        <is>
          <t>FY26</t>
        </is>
      </c>
      <c r="B636" s="19" t="inlineStr">
        <is>
          <t>Feb</t>
        </is>
      </c>
      <c r="C636" s="19" t="inlineStr">
        <is>
          <t>TN</t>
        </is>
      </c>
      <c r="D636" s="20" t="inlineStr">
        <is>
          <t>TN02BQ6997</t>
        </is>
      </c>
      <c r="E636" s="20" t="inlineStr">
        <is>
          <t>MAHINDRA</t>
        </is>
      </c>
      <c r="F636" s="20" t="inlineStr">
        <is>
          <t>Xylo</t>
        </is>
      </c>
      <c r="G636" s="21" t="n">
        <v>2019</v>
      </c>
      <c r="H636" s="22" t="n">
        <v>136278</v>
      </c>
      <c r="I636" s="22" t="n">
        <v>300000</v>
      </c>
      <c r="J636" s="20" t="inlineStr">
        <is>
          <t>Khivraj Motor</t>
        </is>
      </c>
      <c r="K636" s="20" t="inlineStr">
        <is>
          <t>Non-Captive</t>
        </is>
      </c>
      <c r="L636" s="20" t="inlineStr">
        <is>
          <t>Nirmal Cars</t>
        </is>
      </c>
      <c r="M636" s="23" t="n">
        <v>4237.29</v>
      </c>
    </row>
    <row r="637">
      <c r="A637" s="19" t="inlineStr">
        <is>
          <t>FY26</t>
        </is>
      </c>
      <c r="B637" s="19" t="inlineStr">
        <is>
          <t>Feb</t>
        </is>
      </c>
      <c r="C637" s="19" t="inlineStr">
        <is>
          <t>TN</t>
        </is>
      </c>
      <c r="D637" s="20" t="inlineStr">
        <is>
          <t>TN09BQ5031</t>
        </is>
      </c>
      <c r="E637" s="20" t="inlineStr">
        <is>
          <t>HYUNDAI</t>
        </is>
      </c>
      <c r="F637" s="20" t="inlineStr">
        <is>
          <t>Verna</t>
        </is>
      </c>
      <c r="G637" s="21" t="n">
        <v>2012</v>
      </c>
      <c r="H637" s="22" t="n">
        <v>47594</v>
      </c>
      <c r="I637" s="22" t="n">
        <v>270000</v>
      </c>
      <c r="J637" s="20" t="inlineStr">
        <is>
          <t>Khivraj Motor</t>
        </is>
      </c>
      <c r="K637" s="20" t="inlineStr">
        <is>
          <t>Non-Captive</t>
        </is>
      </c>
      <c r="L637" s="20" t="inlineStr">
        <is>
          <t>Nirmal Cars</t>
        </is>
      </c>
      <c r="M637" s="23" t="n">
        <v>4237.29</v>
      </c>
    </row>
    <row r="638">
      <c r="A638" s="19" t="inlineStr">
        <is>
          <t>FY26</t>
        </is>
      </c>
      <c r="B638" s="19" t="inlineStr">
        <is>
          <t>Feb</t>
        </is>
      </c>
      <c r="C638" s="19" t="inlineStr">
        <is>
          <t>TN</t>
        </is>
      </c>
      <c r="D638" s="20" t="inlineStr">
        <is>
          <t>TN02AY1505</t>
        </is>
      </c>
      <c r="E638" s="20" t="inlineStr">
        <is>
          <t>HYUNDAI</t>
        </is>
      </c>
      <c r="F638" s="20" t="inlineStr">
        <is>
          <t>Grand I10</t>
        </is>
      </c>
      <c r="G638" s="21" t="n">
        <v>2013</v>
      </c>
      <c r="H638" s="22" t="n">
        <v>90615</v>
      </c>
      <c r="I638" s="22" t="n">
        <v>200000</v>
      </c>
      <c r="J638" s="20" t="inlineStr">
        <is>
          <t>KALYANIMOTORS MARUTHI</t>
        </is>
      </c>
      <c r="K638" s="20" t="inlineStr">
        <is>
          <t>Non-Captive</t>
        </is>
      </c>
      <c r="L638" s="20" t="inlineStr">
        <is>
          <t>Grid 33</t>
        </is>
      </c>
      <c r="M638" s="23" t="n">
        <v>3389.83</v>
      </c>
    </row>
    <row r="639">
      <c r="A639" s="19" t="inlineStr">
        <is>
          <t>FY26</t>
        </is>
      </c>
      <c r="B639" s="19" t="inlineStr">
        <is>
          <t>Feb</t>
        </is>
      </c>
      <c r="C639" s="19" t="inlineStr">
        <is>
          <t>TN</t>
        </is>
      </c>
      <c r="D639" s="20" t="inlineStr">
        <is>
          <t>TN05BW8548</t>
        </is>
      </c>
      <c r="E639" s="20" t="inlineStr">
        <is>
          <t>MARUTI SUZUKI</t>
        </is>
      </c>
      <c r="F639" s="20" t="inlineStr">
        <is>
          <t>Swift</t>
        </is>
      </c>
      <c r="G639" s="21" t="n">
        <v>2019</v>
      </c>
      <c r="H639" s="22" t="n">
        <v>52282</v>
      </c>
      <c r="I639" s="22" t="n">
        <v>450000</v>
      </c>
      <c r="J639" s="20" t="inlineStr">
        <is>
          <t>KALYANIMOTORS MARUTHI</t>
        </is>
      </c>
      <c r="K639" s="20" t="inlineStr">
        <is>
          <t>Non-Captive</t>
        </is>
      </c>
      <c r="L639" s="20" t="inlineStr">
        <is>
          <t>S2 Cars</t>
        </is>
      </c>
      <c r="M639" s="23" t="n">
        <v>3389.83</v>
      </c>
    </row>
    <row r="640">
      <c r="A640" s="19" t="inlineStr">
        <is>
          <t>FY26</t>
        </is>
      </c>
      <c r="B640" s="19" t="inlineStr">
        <is>
          <t>Feb</t>
        </is>
      </c>
      <c r="C640" s="19" t="inlineStr">
        <is>
          <t>TN</t>
        </is>
      </c>
      <c r="D640" s="20" t="inlineStr">
        <is>
          <t>TN31CY1919</t>
        </is>
      </c>
      <c r="E640" s="20" t="inlineStr">
        <is>
          <t>MARUTI SUZUKI</t>
        </is>
      </c>
      <c r="F640" s="20" t="inlineStr">
        <is>
          <t>Swift Dzire</t>
        </is>
      </c>
      <c r="G640" s="21" t="n">
        <v>2010</v>
      </c>
      <c r="H640" s="22" t="n">
        <v>262965</v>
      </c>
      <c r="I640" s="22" t="n">
        <v>200000</v>
      </c>
      <c r="J640" s="20" t="inlineStr">
        <is>
          <t>KALYANIMOTORS MARUTHI</t>
        </is>
      </c>
      <c r="K640" s="20" t="inlineStr">
        <is>
          <t>Non-Captive</t>
        </is>
      </c>
      <c r="L640" s="20" t="inlineStr">
        <is>
          <t>Pine Autos</t>
        </is>
      </c>
      <c r="M640" s="23" t="n">
        <v>4237.29</v>
      </c>
    </row>
    <row r="641">
      <c r="A641" s="19" t="inlineStr">
        <is>
          <t>FY26</t>
        </is>
      </c>
      <c r="B641" s="19" t="inlineStr">
        <is>
          <t>Feb</t>
        </is>
      </c>
      <c r="C641" s="19" t="inlineStr">
        <is>
          <t>TN</t>
        </is>
      </c>
      <c r="D641" s="20" t="inlineStr">
        <is>
          <t>TN07CF6710</t>
        </is>
      </c>
      <c r="E641" s="20" t="inlineStr">
        <is>
          <t>MARUTI SUZUKI</t>
        </is>
      </c>
      <c r="F641" s="20" t="inlineStr">
        <is>
          <t>Wagon R</t>
        </is>
      </c>
      <c r="G641" s="21" t="n">
        <v>2016</v>
      </c>
      <c r="H641" s="22" t="n">
        <v>93657</v>
      </c>
      <c r="I641" s="22" t="n">
        <v>267000</v>
      </c>
      <c r="J641" s="20" t="inlineStr">
        <is>
          <t>KALYANIMOTORS MARUTHI</t>
        </is>
      </c>
      <c r="K641" s="20" t="inlineStr">
        <is>
          <t>Non-Captive</t>
        </is>
      </c>
      <c r="L641" s="20" t="inlineStr">
        <is>
          <t>Pine Autos</t>
        </is>
      </c>
      <c r="M641" s="23" t="n">
        <v>3389.83</v>
      </c>
    </row>
    <row r="642">
      <c r="A642" s="19" t="inlineStr">
        <is>
          <t>FY26</t>
        </is>
      </c>
      <c r="B642" s="19" t="inlineStr">
        <is>
          <t>Feb</t>
        </is>
      </c>
      <c r="C642" s="19" t="inlineStr">
        <is>
          <t>TN</t>
        </is>
      </c>
      <c r="D642" s="20" t="inlineStr">
        <is>
          <t>TN07CD9225</t>
        </is>
      </c>
      <c r="E642" s="20" t="inlineStr">
        <is>
          <t>TATA</t>
        </is>
      </c>
      <c r="F642" s="20" t="inlineStr">
        <is>
          <t>Nano</t>
        </is>
      </c>
      <c r="G642" s="21" t="n">
        <v>2015</v>
      </c>
      <c r="H642" s="22" t="n">
        <v>23393</v>
      </c>
      <c r="I642" s="22" t="n">
        <v>62000</v>
      </c>
      <c r="J642" s="20" t="inlineStr">
        <is>
          <t>EXCHANGE ROTN</t>
        </is>
      </c>
      <c r="K642" s="20" t="inlineStr">
        <is>
          <t>Captive</t>
        </is>
      </c>
      <c r="L642" s="20" t="inlineStr">
        <is>
          <t>Ashwin cars</t>
        </is>
      </c>
      <c r="M642" s="23" t="n">
        <v>4237.29</v>
      </c>
    </row>
    <row r="643">
      <c r="A643" s="19" t="inlineStr">
        <is>
          <t>FY26</t>
        </is>
      </c>
      <c r="B643" s="19" t="inlineStr">
        <is>
          <t>Feb</t>
        </is>
      </c>
      <c r="C643" s="19" t="inlineStr">
        <is>
          <t>TN</t>
        </is>
      </c>
      <c r="D643" s="20" t="inlineStr">
        <is>
          <t>TN38DF4636</t>
        </is>
      </c>
      <c r="E643" s="20" t="inlineStr">
        <is>
          <t>MARUTI SUZUKI</t>
        </is>
      </c>
      <c r="F643" s="20" t="inlineStr">
        <is>
          <t>Wagon R</t>
        </is>
      </c>
      <c r="G643" s="21" t="n">
        <v>2023</v>
      </c>
      <c r="H643" s="22" t="n">
        <v>111448</v>
      </c>
      <c r="I643" s="22" t="n">
        <v>370000</v>
      </c>
      <c r="J643" s="20" t="inlineStr">
        <is>
          <t>EXCHANGE ROTN</t>
        </is>
      </c>
      <c r="K643" s="20" t="inlineStr">
        <is>
          <t>Captive</t>
        </is>
      </c>
      <c r="L643" s="20" t="inlineStr">
        <is>
          <t>Ashwin cars</t>
        </is>
      </c>
      <c r="M643" s="23" t="n">
        <v>4237.29</v>
      </c>
    </row>
    <row r="644">
      <c r="A644" s="19" t="inlineStr">
        <is>
          <t>FY26</t>
        </is>
      </c>
      <c r="B644" s="19" t="inlineStr">
        <is>
          <t>Feb</t>
        </is>
      </c>
      <c r="C644" s="19" t="inlineStr">
        <is>
          <t>TN</t>
        </is>
      </c>
      <c r="D644" s="20" t="inlineStr">
        <is>
          <t>TN39BY1645</t>
        </is>
      </c>
      <c r="E644" s="20" t="inlineStr">
        <is>
          <t>HONDA</t>
        </is>
      </c>
      <c r="F644" s="20" t="inlineStr">
        <is>
          <t>Brio</t>
        </is>
      </c>
      <c r="G644" s="21" t="n">
        <v>2012</v>
      </c>
      <c r="H644" s="22" t="n">
        <v>109490</v>
      </c>
      <c r="I644" s="22" t="n">
        <v>220000</v>
      </c>
      <c r="J644" s="20" t="inlineStr">
        <is>
          <t>EXCHANGE ROTN</t>
        </is>
      </c>
      <c r="K644" s="20" t="inlineStr">
        <is>
          <t>Captive</t>
        </is>
      </c>
      <c r="L644" s="20" t="inlineStr">
        <is>
          <t>Ashwin cars</t>
        </is>
      </c>
      <c r="M644" s="23" t="n">
        <v>4237.29</v>
      </c>
    </row>
    <row r="645">
      <c r="A645" s="19" t="inlineStr">
        <is>
          <t>FY26</t>
        </is>
      </c>
      <c r="B645" s="19" t="inlineStr">
        <is>
          <t>Feb</t>
        </is>
      </c>
      <c r="C645" s="19" t="inlineStr">
        <is>
          <t>TN</t>
        </is>
      </c>
      <c r="D645" s="20" t="inlineStr">
        <is>
          <t>TN37DC6733</t>
        </is>
      </c>
      <c r="E645" s="20" t="inlineStr">
        <is>
          <t>MARUTI SUZUKI</t>
        </is>
      </c>
      <c r="F645" s="20" t="inlineStr">
        <is>
          <t>Alto</t>
        </is>
      </c>
      <c r="G645" s="21" t="n">
        <v>2018</v>
      </c>
      <c r="H645" s="22" t="n">
        <v>32979</v>
      </c>
      <c r="I645" s="22" t="n">
        <v>190000</v>
      </c>
      <c r="J645" s="20" t="inlineStr">
        <is>
          <t>EXCHANGE ROTN</t>
        </is>
      </c>
      <c r="K645" s="20" t="inlineStr">
        <is>
          <t>Captive</t>
        </is>
      </c>
      <c r="L645" s="20" t="inlineStr">
        <is>
          <t>Ashwin cars</t>
        </is>
      </c>
      <c r="M645" s="23" t="n">
        <v>4237.29</v>
      </c>
    </row>
    <row r="646">
      <c r="A646" s="19" t="inlineStr">
        <is>
          <t>FY26</t>
        </is>
      </c>
      <c r="B646" s="19" t="inlineStr">
        <is>
          <t>Feb</t>
        </is>
      </c>
      <c r="C646" s="19" t="inlineStr">
        <is>
          <t>TN</t>
        </is>
      </c>
      <c r="D646" s="20" t="inlineStr">
        <is>
          <t>TN38BK0136</t>
        </is>
      </c>
      <c r="E646" s="20" t="inlineStr">
        <is>
          <t>MARUTI SUZUKI</t>
        </is>
      </c>
      <c r="F646" s="20" t="inlineStr">
        <is>
          <t>Wagon R</t>
        </is>
      </c>
      <c r="G646" s="21" t="n">
        <v>2011</v>
      </c>
      <c r="H646" s="22" t="n">
        <v>104991</v>
      </c>
      <c r="I646" s="22" t="n">
        <v>165000</v>
      </c>
      <c r="J646" s="20" t="inlineStr">
        <is>
          <t>EXCHANGE ROTN</t>
        </is>
      </c>
      <c r="K646" s="20" t="inlineStr">
        <is>
          <t>Captive</t>
        </is>
      </c>
      <c r="L646" s="20" t="inlineStr">
        <is>
          <t>Ashwin cars</t>
        </is>
      </c>
      <c r="M646" s="23" t="n">
        <v>4237.29</v>
      </c>
    </row>
    <row r="647">
      <c r="A647" s="19" t="inlineStr">
        <is>
          <t>FY26</t>
        </is>
      </c>
      <c r="B647" s="19" t="inlineStr">
        <is>
          <t>Feb</t>
        </is>
      </c>
      <c r="C647" s="19" t="inlineStr">
        <is>
          <t>TN</t>
        </is>
      </c>
      <c r="D647" s="20" t="inlineStr">
        <is>
          <t>TN40H4322</t>
        </is>
      </c>
      <c r="E647" s="20" t="inlineStr">
        <is>
          <t>HYUNDAI</t>
        </is>
      </c>
      <c r="F647" s="20" t="inlineStr">
        <is>
          <t>I10</t>
        </is>
      </c>
      <c r="G647" s="21" t="n">
        <v>2013</v>
      </c>
      <c r="H647" s="22" t="n">
        <v>102330</v>
      </c>
      <c r="I647" s="22" t="n">
        <v>235000</v>
      </c>
      <c r="J647" s="20" t="inlineStr">
        <is>
          <t>EXCHANGE ROTN</t>
        </is>
      </c>
      <c r="K647" s="20" t="inlineStr">
        <is>
          <t>Captive</t>
        </is>
      </c>
      <c r="L647" s="20" t="inlineStr">
        <is>
          <t>Ashwin cars</t>
        </is>
      </c>
      <c r="M647" s="23" t="n">
        <v>4237.29</v>
      </c>
    </row>
    <row r="648">
      <c r="A648" s="19" t="inlineStr">
        <is>
          <t>FY26</t>
        </is>
      </c>
      <c r="B648" s="19" t="inlineStr">
        <is>
          <t>Feb</t>
        </is>
      </c>
      <c r="C648" s="19" t="inlineStr">
        <is>
          <t>TN</t>
        </is>
      </c>
      <c r="D648" s="20" t="inlineStr">
        <is>
          <t>TN66AJ0237</t>
        </is>
      </c>
      <c r="E648" s="20" t="inlineStr">
        <is>
          <t>MARUTI SUZUKI</t>
        </is>
      </c>
      <c r="F648" s="20" t="inlineStr">
        <is>
          <t>Alto</t>
        </is>
      </c>
      <c r="G648" s="21" t="n">
        <v>2021</v>
      </c>
      <c r="H648" s="22" t="n">
        <v>61585</v>
      </c>
      <c r="I648" s="22" t="n">
        <v>255000</v>
      </c>
      <c r="J648" s="20" t="inlineStr">
        <is>
          <t>EXCHANGE ROTN</t>
        </is>
      </c>
      <c r="K648" s="20" t="inlineStr">
        <is>
          <t>Captive</t>
        </is>
      </c>
      <c r="L648" s="20" t="inlineStr">
        <is>
          <t>Ashwin cars</t>
        </is>
      </c>
      <c r="M648" s="23" t="n">
        <v>4237.29</v>
      </c>
    </row>
    <row r="649">
      <c r="A649" s="19" t="inlineStr">
        <is>
          <t>FY26</t>
        </is>
      </c>
      <c r="B649" s="19" t="inlineStr">
        <is>
          <t>Feb</t>
        </is>
      </c>
      <c r="C649" s="19" t="inlineStr">
        <is>
          <t>TN</t>
        </is>
      </c>
      <c r="D649" s="20" t="inlineStr">
        <is>
          <t>TN66P4007</t>
        </is>
      </c>
      <c r="E649" s="20" t="inlineStr">
        <is>
          <t>HONDA</t>
        </is>
      </c>
      <c r="F649" s="20" t="inlineStr">
        <is>
          <t>Brio</t>
        </is>
      </c>
      <c r="G649" s="21" t="n">
        <v>2015</v>
      </c>
      <c r="H649" s="22" t="n">
        <v>98587</v>
      </c>
      <c r="I649" s="22" t="n">
        <v>275000</v>
      </c>
      <c r="J649" s="20" t="inlineStr">
        <is>
          <t>EXCHANGE ROTN</t>
        </is>
      </c>
      <c r="K649" s="20" t="inlineStr">
        <is>
          <t>Captive</t>
        </is>
      </c>
      <c r="L649" s="20" t="inlineStr">
        <is>
          <t>Ashwin cars</t>
        </is>
      </c>
      <c r="M649" s="23" t="n">
        <v>4237.29</v>
      </c>
    </row>
    <row r="650">
      <c r="A650" s="19" t="inlineStr">
        <is>
          <t>FY26</t>
        </is>
      </c>
      <c r="B650" s="19" t="inlineStr">
        <is>
          <t>Feb</t>
        </is>
      </c>
      <c r="C650" s="19" t="inlineStr">
        <is>
          <t>TN</t>
        </is>
      </c>
      <c r="D650" s="20" t="inlineStr">
        <is>
          <t>TN38BJ3768</t>
        </is>
      </c>
      <c r="E650" s="20" t="inlineStr">
        <is>
          <t>MARUTI SUZUKI</t>
        </is>
      </c>
      <c r="F650" s="20" t="inlineStr">
        <is>
          <t>Ritz</t>
        </is>
      </c>
      <c r="G650" s="21" t="n">
        <v>2011</v>
      </c>
      <c r="H650" s="22" t="n">
        <v>71898</v>
      </c>
      <c r="I650" s="22" t="n">
        <v>160000</v>
      </c>
      <c r="J650" s="20" t="inlineStr">
        <is>
          <t>EXCHANGE ROTN</t>
        </is>
      </c>
      <c r="K650" s="20" t="inlineStr">
        <is>
          <t>Captive</t>
        </is>
      </c>
      <c r="L650" s="20" t="inlineStr">
        <is>
          <t>M.S.V CAR PAINTING WORKS</t>
        </is>
      </c>
      <c r="M650" s="23" t="n">
        <v>4237.29</v>
      </c>
    </row>
    <row r="651">
      <c r="A651" s="19" t="inlineStr">
        <is>
          <t>FY26</t>
        </is>
      </c>
      <c r="B651" s="19" t="inlineStr">
        <is>
          <t>Feb</t>
        </is>
      </c>
      <c r="C651" s="19" t="inlineStr">
        <is>
          <t>TN</t>
        </is>
      </c>
      <c r="D651" s="20" t="inlineStr">
        <is>
          <t>TN38CY5275</t>
        </is>
      </c>
      <c r="E651" s="20" t="inlineStr">
        <is>
          <t>MARUTI SUZUKI</t>
        </is>
      </c>
      <c r="F651" s="20" t="inlineStr">
        <is>
          <t>Alto</t>
        </is>
      </c>
      <c r="G651" s="21" t="n">
        <v>2021</v>
      </c>
      <c r="H651" s="22" t="n">
        <v>7686</v>
      </c>
      <c r="I651" s="22" t="n">
        <v>235000</v>
      </c>
      <c r="J651" s="20" t="inlineStr">
        <is>
          <t>ABT LIMITED</t>
        </is>
      </c>
      <c r="K651" s="20" t="inlineStr">
        <is>
          <t>Non-Captive</t>
        </is>
      </c>
      <c r="L651" s="20" t="inlineStr">
        <is>
          <t>M.S.V CAR PAINTING WORKS</t>
        </is>
      </c>
      <c r="M651" s="23" t="n">
        <v>4237.29</v>
      </c>
    </row>
    <row r="652">
      <c r="A652" s="19" t="inlineStr">
        <is>
          <t>FY26</t>
        </is>
      </c>
      <c r="B652" s="19" t="inlineStr">
        <is>
          <t>Feb</t>
        </is>
      </c>
      <c r="C652" s="19" t="inlineStr">
        <is>
          <t>TN</t>
        </is>
      </c>
      <c r="D652" s="20" t="inlineStr">
        <is>
          <t>TN67AY5959</t>
        </is>
      </c>
      <c r="E652" s="20" t="inlineStr">
        <is>
          <t>HYUNDAI</t>
        </is>
      </c>
      <c r="F652" s="20" t="inlineStr">
        <is>
          <t>I10</t>
        </is>
      </c>
      <c r="G652" s="21" t="n">
        <v>2009</v>
      </c>
      <c r="H652" s="22" t="n">
        <v>102995</v>
      </c>
      <c r="I652" s="22" t="n">
        <v>170000</v>
      </c>
      <c r="J652" s="20" t="inlineStr">
        <is>
          <t>EXCHANGE ROTN</t>
        </is>
      </c>
      <c r="K652" s="20" t="inlineStr">
        <is>
          <t>Captive</t>
        </is>
      </c>
      <c r="L652" s="20" t="inlineStr">
        <is>
          <t>M.S.V CAR PAINTING WORKS</t>
        </is>
      </c>
      <c r="M652" s="23" t="n">
        <v>4237.29</v>
      </c>
    </row>
    <row r="653">
      <c r="A653" s="19" t="inlineStr">
        <is>
          <t>FY26</t>
        </is>
      </c>
      <c r="B653" s="19" t="inlineStr">
        <is>
          <t>Feb</t>
        </is>
      </c>
      <c r="C653" s="19" t="inlineStr">
        <is>
          <t>TN</t>
        </is>
      </c>
      <c r="D653" s="20" t="inlineStr">
        <is>
          <t>TN38CR2454</t>
        </is>
      </c>
      <c r="E653" s="20" t="inlineStr">
        <is>
          <t>MARUTI SUZUKI</t>
        </is>
      </c>
      <c r="F653" s="20" t="inlineStr">
        <is>
          <t>Swift Dzire</t>
        </is>
      </c>
      <c r="G653" s="21" t="n">
        <v>2018</v>
      </c>
      <c r="H653" s="22" t="n">
        <v>34241</v>
      </c>
      <c r="I653" s="22" t="n">
        <v>420000</v>
      </c>
      <c r="J653" s="20" t="inlineStr">
        <is>
          <t>EXCHANGE ROTN</t>
        </is>
      </c>
      <c r="K653" s="20" t="inlineStr">
        <is>
          <t>Captive</t>
        </is>
      </c>
      <c r="L653" s="20" t="inlineStr">
        <is>
          <t>Gugha Cars</t>
        </is>
      </c>
      <c r="M653" s="23" t="n">
        <v>4237.29</v>
      </c>
    </row>
    <row r="654">
      <c r="A654" s="19" t="inlineStr">
        <is>
          <t>FY26</t>
        </is>
      </c>
      <c r="B654" s="19" t="inlineStr">
        <is>
          <t>Feb</t>
        </is>
      </c>
      <c r="C654" s="19" t="inlineStr">
        <is>
          <t>TN</t>
        </is>
      </c>
      <c r="D654" s="20" t="inlineStr">
        <is>
          <t>TN42P9491</t>
        </is>
      </c>
      <c r="E654" s="20" t="inlineStr">
        <is>
          <t>NISSAN</t>
        </is>
      </c>
      <c r="F654" s="20" t="inlineStr">
        <is>
          <t>Micra Active</t>
        </is>
      </c>
      <c r="G654" s="21" t="n">
        <v>2016</v>
      </c>
      <c r="H654" s="22" t="n">
        <v>82008</v>
      </c>
      <c r="I654" s="22" t="n">
        <v>170000</v>
      </c>
      <c r="J654" s="20" t="inlineStr">
        <is>
          <t>EXCHANGE ROTN</t>
        </is>
      </c>
      <c r="K654" s="20" t="inlineStr">
        <is>
          <t>Captive</t>
        </is>
      </c>
      <c r="L654" s="20" t="inlineStr">
        <is>
          <t>SRI RAJA KANAPATHY CARS</t>
        </is>
      </c>
      <c r="M654" s="23" t="n">
        <v>4237.29</v>
      </c>
    </row>
    <row r="655">
      <c r="A655" s="19" t="inlineStr">
        <is>
          <t>FY26</t>
        </is>
      </c>
      <c r="B655" s="19" t="inlineStr">
        <is>
          <t>Feb</t>
        </is>
      </c>
      <c r="C655" s="19" t="inlineStr">
        <is>
          <t>TN</t>
        </is>
      </c>
      <c r="D655" s="20" t="inlineStr">
        <is>
          <t>TN10AJ5859</t>
        </is>
      </c>
      <c r="E655" s="20" t="inlineStr">
        <is>
          <t>HONDA</t>
        </is>
      </c>
      <c r="F655" s="20" t="inlineStr">
        <is>
          <t>City</t>
        </is>
      </c>
      <c r="G655" s="21" t="n">
        <v>2012</v>
      </c>
      <c r="H655" s="22" t="n">
        <v>21587</v>
      </c>
      <c r="I655" s="22" t="n">
        <v>110000</v>
      </c>
      <c r="J655" s="20" t="inlineStr">
        <is>
          <t>Sai Cars CBE</t>
        </is>
      </c>
      <c r="K655" s="20" t="inlineStr">
        <is>
          <t>Non-Captive</t>
        </is>
      </c>
      <c r="L655" s="20" t="inlineStr">
        <is>
          <t>KSM AUTO CONSULTING</t>
        </is>
      </c>
      <c r="M655" s="23" t="n">
        <v>4237.29</v>
      </c>
    </row>
    <row r="656">
      <c r="A656" s="19" t="inlineStr">
        <is>
          <t>FY26</t>
        </is>
      </c>
      <c r="B656" s="19" t="inlineStr">
        <is>
          <t>Feb</t>
        </is>
      </c>
      <c r="C656" s="19" t="inlineStr">
        <is>
          <t>TN</t>
        </is>
      </c>
      <c r="D656" s="20" t="inlineStr">
        <is>
          <t>TN59BJ8491</t>
        </is>
      </c>
      <c r="E656" s="20" t="inlineStr">
        <is>
          <t>HONDA</t>
        </is>
      </c>
      <c r="F656" s="20" t="inlineStr">
        <is>
          <t>City</t>
        </is>
      </c>
      <c r="G656" s="21" t="n">
        <v>2016</v>
      </c>
      <c r="H656" s="22" t="n">
        <v>288235</v>
      </c>
      <c r="I656" s="22" t="n">
        <v>380000</v>
      </c>
      <c r="J656" s="20" t="inlineStr">
        <is>
          <t>EXCHANGE ROTN</t>
        </is>
      </c>
      <c r="K656" s="20" t="inlineStr">
        <is>
          <t>Captive</t>
        </is>
      </c>
      <c r="L656" s="20" t="inlineStr">
        <is>
          <t>Value cars</t>
        </is>
      </c>
      <c r="M656" s="23" t="n">
        <v>8474.58</v>
      </c>
    </row>
    <row r="657">
      <c r="A657" s="19" t="inlineStr">
        <is>
          <t>FY26</t>
        </is>
      </c>
      <c r="B657" s="19" t="inlineStr">
        <is>
          <t>Feb</t>
        </is>
      </c>
      <c r="C657" s="19" t="inlineStr">
        <is>
          <t>TN</t>
        </is>
      </c>
      <c r="D657" s="20" t="inlineStr">
        <is>
          <t>TN99L5009</t>
        </is>
      </c>
      <c r="E657" s="20" t="inlineStr">
        <is>
          <t>HONDA</t>
        </is>
      </c>
      <c r="F657" s="20" t="inlineStr">
        <is>
          <t>Amaze</t>
        </is>
      </c>
      <c r="G657" s="21" t="n">
        <v>2018</v>
      </c>
      <c r="H657" s="22" t="n">
        <v>107422</v>
      </c>
      <c r="I657" s="22" t="n">
        <v>435000</v>
      </c>
      <c r="J657" s="20" t="inlineStr">
        <is>
          <t>EXCHANGE ROTN</t>
        </is>
      </c>
      <c r="K657" s="20" t="inlineStr">
        <is>
          <t>Captive</t>
        </is>
      </c>
      <c r="L657" s="20" t="inlineStr">
        <is>
          <t>UZHAVAN ENTERPRISE</t>
        </is>
      </c>
      <c r="M657" s="23" t="n">
        <v>12711.86</v>
      </c>
    </row>
    <row r="658">
      <c r="A658" s="19" t="inlineStr">
        <is>
          <t>FY26</t>
        </is>
      </c>
      <c r="B658" s="19" t="inlineStr">
        <is>
          <t>Feb</t>
        </is>
      </c>
      <c r="C658" s="19" t="inlineStr">
        <is>
          <t>TN</t>
        </is>
      </c>
      <c r="D658" s="20" t="inlineStr">
        <is>
          <t>TN01AP4828</t>
        </is>
      </c>
      <c r="E658" s="20" t="inlineStr">
        <is>
          <t>FORD</t>
        </is>
      </c>
      <c r="F658" s="20" t="inlineStr">
        <is>
          <t>Figo</t>
        </is>
      </c>
      <c r="G658" s="21" t="n">
        <v>2011</v>
      </c>
      <c r="H658" s="22" t="n">
        <v>125437</v>
      </c>
      <c r="I658" s="22" t="n">
        <v>20000</v>
      </c>
      <c r="J658" s="20" t="inlineStr">
        <is>
          <t>EXCHANGE ROTN</t>
        </is>
      </c>
      <c r="K658" s="20" t="inlineStr">
        <is>
          <t>Captive</t>
        </is>
      </c>
      <c r="L658" s="20" t="inlineStr">
        <is>
          <t>Ayyapa Cars</t>
        </is>
      </c>
      <c r="M658" s="23" t="n">
        <v>4237.29</v>
      </c>
    </row>
    <row r="659">
      <c r="A659" s="19" t="inlineStr">
        <is>
          <t>FY26</t>
        </is>
      </c>
      <c r="B659" s="19" t="inlineStr">
        <is>
          <t>Feb</t>
        </is>
      </c>
      <c r="C659" s="19" t="inlineStr">
        <is>
          <t>TN</t>
        </is>
      </c>
      <c r="D659" s="20" t="inlineStr">
        <is>
          <t>TN99L7027</t>
        </is>
      </c>
      <c r="E659" s="20" t="inlineStr">
        <is>
          <t>HONDA</t>
        </is>
      </c>
      <c r="F659" s="20" t="inlineStr">
        <is>
          <t>Amaze</t>
        </is>
      </c>
      <c r="G659" s="21" t="n">
        <v>2018</v>
      </c>
      <c r="H659" s="22" t="n">
        <v>80450</v>
      </c>
      <c r="I659" s="22" t="n">
        <v>260000</v>
      </c>
      <c r="J659" s="20" t="inlineStr">
        <is>
          <t>EXCHANGE ROTN</t>
        </is>
      </c>
      <c r="K659" s="20" t="inlineStr">
        <is>
          <t>Captive</t>
        </is>
      </c>
      <c r="L659" s="20" t="inlineStr">
        <is>
          <t>Best Cars</t>
        </is>
      </c>
      <c r="M659" s="23" t="n">
        <v>4237.29</v>
      </c>
    </row>
    <row r="660">
      <c r="A660" s="19" t="inlineStr">
        <is>
          <t>FY26</t>
        </is>
      </c>
      <c r="B660" s="19" t="inlineStr">
        <is>
          <t>Feb</t>
        </is>
      </c>
      <c r="C660" s="19" t="inlineStr">
        <is>
          <t>TN</t>
        </is>
      </c>
      <c r="D660" s="20" t="inlineStr">
        <is>
          <t>TN37CM0673</t>
        </is>
      </c>
      <c r="E660" s="20" t="inlineStr">
        <is>
          <t>MARUTI SUZUKI</t>
        </is>
      </c>
      <c r="F660" s="20" t="inlineStr">
        <is>
          <t>Swift</t>
        </is>
      </c>
      <c r="G660" s="21" t="n">
        <v>2015</v>
      </c>
      <c r="H660" s="22" t="n">
        <v>88412</v>
      </c>
      <c r="I660" s="22" t="n">
        <v>350000</v>
      </c>
      <c r="J660" s="20" t="inlineStr">
        <is>
          <t>EXCHANGE ROTN</t>
        </is>
      </c>
      <c r="K660" s="20" t="inlineStr">
        <is>
          <t>Captive</t>
        </is>
      </c>
      <c r="L660" s="20" t="inlineStr">
        <is>
          <t>Dheera Cars</t>
        </is>
      </c>
      <c r="M660" s="23" t="n">
        <v>8474.58</v>
      </c>
    </row>
    <row r="661">
      <c r="A661" s="19" t="inlineStr">
        <is>
          <t>FY26</t>
        </is>
      </c>
      <c r="B661" s="19" t="inlineStr">
        <is>
          <t>Feb</t>
        </is>
      </c>
      <c r="C661" s="19" t="inlineStr">
        <is>
          <t>TN</t>
        </is>
      </c>
      <c r="D661" s="20" t="inlineStr">
        <is>
          <t>TN66L7733</t>
        </is>
      </c>
      <c r="E661" s="20" t="inlineStr">
        <is>
          <t>SKODA</t>
        </is>
      </c>
      <c r="F661" s="20" t="inlineStr">
        <is>
          <t>Rapid</t>
        </is>
      </c>
      <c r="G661" s="21" t="n">
        <v>2016</v>
      </c>
      <c r="H661" s="22" t="n">
        <v>876543</v>
      </c>
      <c r="I661" s="22" t="n">
        <v>550000</v>
      </c>
      <c r="J661" s="20" t="inlineStr">
        <is>
          <t>EXCHANGE ROTN</t>
        </is>
      </c>
      <c r="K661" s="20" t="inlineStr">
        <is>
          <t>Captive</t>
        </is>
      </c>
      <c r="L661" s="20" t="inlineStr">
        <is>
          <t>Dheera Cars</t>
        </is>
      </c>
      <c r="M661" s="23" t="n">
        <v>8474.58</v>
      </c>
    </row>
    <row r="662">
      <c r="A662" s="19" t="inlineStr">
        <is>
          <t>FY26</t>
        </is>
      </c>
      <c r="B662" s="19" t="inlineStr">
        <is>
          <t>Feb</t>
        </is>
      </c>
      <c r="C662" s="19" t="inlineStr">
        <is>
          <t>TN</t>
        </is>
      </c>
      <c r="D662" s="20" t="inlineStr">
        <is>
          <t>TN07BQ5031</t>
        </is>
      </c>
      <c r="E662" s="20" t="inlineStr">
        <is>
          <t>HONDA</t>
        </is>
      </c>
      <c r="F662" s="20" t="inlineStr">
        <is>
          <t>City</t>
        </is>
      </c>
      <c r="G662" s="21" t="n">
        <v>2012</v>
      </c>
      <c r="H662" s="22" t="n">
        <v>102077</v>
      </c>
      <c r="I662" s="22" t="n">
        <v>290000</v>
      </c>
      <c r="J662" s="20" t="inlineStr">
        <is>
          <t>EXCHANGE ROTN</t>
        </is>
      </c>
      <c r="K662" s="20" t="inlineStr">
        <is>
          <t>Captive</t>
        </is>
      </c>
      <c r="L662" s="20" t="inlineStr">
        <is>
          <t>Auto Solution</t>
        </is>
      </c>
      <c r="M662" s="23" t="n">
        <v>8474.58</v>
      </c>
    </row>
    <row r="663">
      <c r="A663" s="19" t="inlineStr">
        <is>
          <t>FY26</t>
        </is>
      </c>
      <c r="B663" s="19" t="inlineStr">
        <is>
          <t>Feb</t>
        </is>
      </c>
      <c r="C663" s="19" t="inlineStr">
        <is>
          <t>TN</t>
        </is>
      </c>
      <c r="D663" s="20" t="inlineStr">
        <is>
          <t>TN01BA6084</t>
        </is>
      </c>
      <c r="E663" s="20" t="inlineStr">
        <is>
          <t>HONDA</t>
        </is>
      </c>
      <c r="F663" s="20" t="inlineStr">
        <is>
          <t>Jazz</t>
        </is>
      </c>
      <c r="G663" s="21" t="n">
        <v>2016</v>
      </c>
      <c r="H663" s="22" t="n">
        <v>40581</v>
      </c>
      <c r="I663" s="22" t="n">
        <v>375000</v>
      </c>
      <c r="J663" s="20" t="inlineStr">
        <is>
          <t>EXCHANGE ROTN</t>
        </is>
      </c>
      <c r="K663" s="20" t="inlineStr">
        <is>
          <t>Captive</t>
        </is>
      </c>
      <c r="L663" s="20" t="inlineStr">
        <is>
          <t>Gugha Cars</t>
        </is>
      </c>
      <c r="M663" s="23" t="n">
        <v>12711.86</v>
      </c>
    </row>
    <row r="664">
      <c r="A664" s="19" t="inlineStr">
        <is>
          <t>FY26</t>
        </is>
      </c>
      <c r="B664" s="19" t="inlineStr">
        <is>
          <t>Feb</t>
        </is>
      </c>
      <c r="C664" s="19" t="inlineStr">
        <is>
          <t>TN</t>
        </is>
      </c>
      <c r="D664" s="20" t="inlineStr">
        <is>
          <t>TN38AX6464</t>
        </is>
      </c>
      <c r="E664" s="20" t="inlineStr">
        <is>
          <t>HONDA</t>
        </is>
      </c>
      <c r="F664" s="20" t="inlineStr">
        <is>
          <t>City</t>
        </is>
      </c>
      <c r="G664" s="21" t="n">
        <v>2009</v>
      </c>
      <c r="H664" s="22" t="n">
        <v>107571</v>
      </c>
      <c r="I664" s="22" t="n">
        <v>240000</v>
      </c>
      <c r="J664" s="20" t="inlineStr">
        <is>
          <t>EXCHANGE ROTN</t>
        </is>
      </c>
      <c r="K664" s="20" t="inlineStr">
        <is>
          <t>Captive</t>
        </is>
      </c>
      <c r="L664" s="20" t="inlineStr">
        <is>
          <t>Senthur Finance</t>
        </is>
      </c>
      <c r="M664" s="23" t="n">
        <v>8474.58</v>
      </c>
    </row>
    <row r="665">
      <c r="A665" s="19" t="inlineStr">
        <is>
          <t>FY26</t>
        </is>
      </c>
      <c r="B665" s="19" t="inlineStr">
        <is>
          <t>Feb</t>
        </is>
      </c>
      <c r="C665" s="19" t="inlineStr">
        <is>
          <t>TN</t>
        </is>
      </c>
      <c r="D665" s="20" t="inlineStr">
        <is>
          <t>TN59BL7904</t>
        </is>
      </c>
      <c r="E665" s="20" t="inlineStr">
        <is>
          <t>HONDA</t>
        </is>
      </c>
      <c r="F665" s="20" t="inlineStr">
        <is>
          <t>City</t>
        </is>
      </c>
      <c r="G665" s="21" t="n">
        <v>2016</v>
      </c>
      <c r="H665" s="22" t="n">
        <v>73044</v>
      </c>
      <c r="I665" s="22" t="n">
        <v>475000</v>
      </c>
      <c r="J665" s="20" t="inlineStr">
        <is>
          <t>EXCHANGE ROTN</t>
        </is>
      </c>
      <c r="K665" s="20" t="inlineStr">
        <is>
          <t>Captive</t>
        </is>
      </c>
      <c r="L665" s="20" t="inlineStr">
        <is>
          <t>Sai Cars</t>
        </is>
      </c>
      <c r="M665" s="23" t="n">
        <v>16949.15</v>
      </c>
    </row>
    <row r="666">
      <c r="A666" s="19" t="inlineStr">
        <is>
          <t>FY26</t>
        </is>
      </c>
      <c r="B666" s="19" t="inlineStr">
        <is>
          <t>Feb</t>
        </is>
      </c>
      <c r="C666" s="19" t="inlineStr">
        <is>
          <t>TN</t>
        </is>
      </c>
      <c r="D666" s="20" t="inlineStr">
        <is>
          <t>TN59CB2412</t>
        </is>
      </c>
      <c r="E666" s="20" t="inlineStr">
        <is>
          <t>HONDA</t>
        </is>
      </c>
      <c r="F666" s="20" t="inlineStr">
        <is>
          <t>Amaze</t>
        </is>
      </c>
      <c r="G666" s="21" t="n">
        <v>2018</v>
      </c>
      <c r="H666" s="22" t="n">
        <v>420595</v>
      </c>
      <c r="I666" s="22" t="n">
        <v>305000</v>
      </c>
      <c r="J666" s="20" t="inlineStr">
        <is>
          <t>EXCHANGE ROTN</t>
        </is>
      </c>
      <c r="K666" s="20" t="inlineStr">
        <is>
          <t>Captive</t>
        </is>
      </c>
      <c r="L666" s="20" t="inlineStr">
        <is>
          <t>Value Cars</t>
        </is>
      </c>
      <c r="M666" s="23" t="n">
        <v>4237.29</v>
      </c>
    </row>
    <row r="667">
      <c r="A667" s="19" t="inlineStr">
        <is>
          <t>FY26</t>
        </is>
      </c>
      <c r="B667" s="19" t="inlineStr">
        <is>
          <t>Feb</t>
        </is>
      </c>
      <c r="C667" s="19" t="inlineStr">
        <is>
          <t>TN</t>
        </is>
      </c>
      <c r="D667" s="20" t="inlineStr">
        <is>
          <t>TN57AQ1108</t>
        </is>
      </c>
      <c r="E667" s="20" t="inlineStr">
        <is>
          <t>MARUTI SUZUKI</t>
        </is>
      </c>
      <c r="F667" s="20" t="inlineStr">
        <is>
          <t>Swift</t>
        </is>
      </c>
      <c r="G667" s="21" t="n">
        <v>2015</v>
      </c>
      <c r="H667" s="22" t="n">
        <v>188267</v>
      </c>
      <c r="I667" s="22" t="n">
        <v>360000</v>
      </c>
      <c r="J667" s="20" t="inlineStr">
        <is>
          <t>EXCHANGE ROTN</t>
        </is>
      </c>
      <c r="K667" s="20" t="inlineStr">
        <is>
          <t>Captive</t>
        </is>
      </c>
      <c r="L667" s="20" t="inlineStr">
        <is>
          <t>Value Cars</t>
        </is>
      </c>
      <c r="M667" s="23" t="n">
        <v>4237.29</v>
      </c>
    </row>
    <row r="668">
      <c r="A668" s="19" t="inlineStr">
        <is>
          <t>FY26</t>
        </is>
      </c>
      <c r="B668" s="19" t="inlineStr">
        <is>
          <t>Feb</t>
        </is>
      </c>
      <c r="C668" s="19" t="inlineStr">
        <is>
          <t>TN</t>
        </is>
      </c>
      <c r="D668" s="20" t="inlineStr">
        <is>
          <t>TN39CA7475</t>
        </is>
      </c>
      <c r="E668" s="20" t="inlineStr">
        <is>
          <t>MARUTI SUZUKI</t>
        </is>
      </c>
      <c r="F668" s="20" t="inlineStr">
        <is>
          <t>Baleno</t>
        </is>
      </c>
      <c r="G668" s="21" t="n">
        <v>2016</v>
      </c>
      <c r="H668" s="22" t="n">
        <v>67654</v>
      </c>
      <c r="I668" s="22" t="n">
        <v>485000</v>
      </c>
      <c r="J668" s="20" t="inlineStr">
        <is>
          <t>EXCHANGE ROTN</t>
        </is>
      </c>
      <c r="K668" s="20" t="inlineStr">
        <is>
          <t>Captive</t>
        </is>
      </c>
      <c r="L668" s="20" t="inlineStr">
        <is>
          <t>Sai Cars</t>
        </is>
      </c>
      <c r="M668" s="23" t="n">
        <v>8474.58</v>
      </c>
    </row>
    <row r="669">
      <c r="A669" s="19" t="inlineStr">
        <is>
          <t>FY26</t>
        </is>
      </c>
      <c r="B669" s="19" t="inlineStr">
        <is>
          <t>Feb</t>
        </is>
      </c>
      <c r="C669" s="19" t="inlineStr">
        <is>
          <t>TN</t>
        </is>
      </c>
      <c r="D669" s="20" t="inlineStr">
        <is>
          <t>TN10X9030</t>
        </is>
      </c>
      <c r="E669" s="20" t="inlineStr">
        <is>
          <t>FORD</t>
        </is>
      </c>
      <c r="F669" s="20" t="inlineStr">
        <is>
          <t>Fiesta</t>
        </is>
      </c>
      <c r="G669" s="21" t="n">
        <v>2009</v>
      </c>
      <c r="H669" s="22" t="n">
        <v>138864</v>
      </c>
      <c r="I669" s="22" t="n">
        <v>30000</v>
      </c>
      <c r="J669" s="20" t="inlineStr">
        <is>
          <t>EXCHANGE ROTN</t>
        </is>
      </c>
      <c r="K669" s="20" t="inlineStr">
        <is>
          <t>Captive</t>
        </is>
      </c>
      <c r="L669" s="20" t="inlineStr">
        <is>
          <t>Dheera Cars</t>
        </is>
      </c>
      <c r="M669" s="23" t="n">
        <v>4237.29</v>
      </c>
    </row>
    <row r="670">
      <c r="A670" s="19" t="inlineStr">
        <is>
          <t>FY26</t>
        </is>
      </c>
      <c r="B670" s="19" t="inlineStr">
        <is>
          <t>Feb</t>
        </is>
      </c>
      <c r="C670" s="19" t="inlineStr">
        <is>
          <t>TN</t>
        </is>
      </c>
      <c r="D670" s="20" t="inlineStr">
        <is>
          <t>TN10AM7214</t>
        </is>
      </c>
      <c r="E670" s="20" t="inlineStr">
        <is>
          <t>SKODA</t>
        </is>
      </c>
      <c r="F670" s="20" t="inlineStr">
        <is>
          <t>Rapid</t>
        </is>
      </c>
      <c r="G670" s="21" t="n">
        <v>2013</v>
      </c>
      <c r="H670" s="22" t="n">
        <v>22156</v>
      </c>
      <c r="I670" s="22" t="n">
        <v>95000</v>
      </c>
      <c r="J670" s="20" t="inlineStr">
        <is>
          <t>EXCHANGE CHENNAI</t>
        </is>
      </c>
      <c r="K670" s="20" t="inlineStr">
        <is>
          <t>Captive</t>
        </is>
      </c>
      <c r="L670" s="20" t="inlineStr">
        <is>
          <t>Santhosh Cars</t>
        </is>
      </c>
      <c r="M670" s="23" t="n">
        <v>8474.58</v>
      </c>
    </row>
    <row r="671">
      <c r="A671" s="19" t="inlineStr">
        <is>
          <t>FY26</t>
        </is>
      </c>
      <c r="B671" s="19" t="inlineStr">
        <is>
          <t>Feb</t>
        </is>
      </c>
      <c r="C671" s="19" t="inlineStr">
        <is>
          <t>TN</t>
        </is>
      </c>
      <c r="D671" s="20" t="inlineStr">
        <is>
          <t>TN04AH4559</t>
        </is>
      </c>
      <c r="E671" s="20" t="inlineStr">
        <is>
          <t>MARUTI SUZUKI</t>
        </is>
      </c>
      <c r="F671" s="20" t="inlineStr">
        <is>
          <t>Swift Dzire</t>
        </is>
      </c>
      <c r="G671" s="21" t="n">
        <v>2011</v>
      </c>
      <c r="H671" s="22" t="n">
        <v>236496</v>
      </c>
      <c r="I671" s="22" t="n">
        <v>152000</v>
      </c>
      <c r="J671" s="20" t="inlineStr">
        <is>
          <t>EXCHANGE CHENNAI</t>
        </is>
      </c>
      <c r="K671" s="20" t="inlineStr">
        <is>
          <t>Captive</t>
        </is>
      </c>
      <c r="L671" s="20" t="inlineStr">
        <is>
          <t>RAM Manohar</t>
        </is>
      </c>
      <c r="M671" s="23" t="n">
        <v>4237.29</v>
      </c>
    </row>
    <row r="672">
      <c r="A672" s="19" t="inlineStr">
        <is>
          <t>FY26</t>
        </is>
      </c>
      <c r="B672" s="19" t="inlineStr">
        <is>
          <t>Feb</t>
        </is>
      </c>
      <c r="C672" s="19" t="inlineStr">
        <is>
          <t>TN</t>
        </is>
      </c>
      <c r="D672" s="20" t="inlineStr">
        <is>
          <t>TN07CV7191</t>
        </is>
      </c>
      <c r="E672" s="20" t="inlineStr">
        <is>
          <t>VOLKSWAGEN</t>
        </is>
      </c>
      <c r="F672" s="20" t="inlineStr">
        <is>
          <t>Polo</t>
        </is>
      </c>
      <c r="G672" s="21" t="n">
        <v>2020</v>
      </c>
      <c r="H672" s="22" t="n">
        <v>35944</v>
      </c>
      <c r="I672" s="22" t="n">
        <v>425000</v>
      </c>
      <c r="J672" s="20" t="inlineStr">
        <is>
          <t>EXCHANGE CHENNAI</t>
        </is>
      </c>
      <c r="K672" s="20" t="inlineStr">
        <is>
          <t>Captive</t>
        </is>
      </c>
      <c r="L672" s="20" t="inlineStr">
        <is>
          <t>Nirmal Cars</t>
        </is>
      </c>
      <c r="M672" s="23" t="n">
        <v>8474.58</v>
      </c>
    </row>
    <row r="673">
      <c r="A673" s="19" t="inlineStr">
        <is>
          <t>FY26</t>
        </is>
      </c>
      <c r="B673" s="19" t="inlineStr">
        <is>
          <t>Feb</t>
        </is>
      </c>
      <c r="C673" s="19" t="inlineStr">
        <is>
          <t>TN</t>
        </is>
      </c>
      <c r="D673" s="20" t="inlineStr">
        <is>
          <t>TN02BU1405</t>
        </is>
      </c>
      <c r="E673" s="20" t="inlineStr">
        <is>
          <t>HYUNDAI</t>
        </is>
      </c>
      <c r="F673" s="20" t="inlineStr">
        <is>
          <t>Grand I10</t>
        </is>
      </c>
      <c r="G673" s="21" t="n">
        <v>2021</v>
      </c>
      <c r="H673" s="22" t="n">
        <v>64711</v>
      </c>
      <c r="I673" s="22" t="n">
        <v>410000</v>
      </c>
      <c r="J673" s="20" t="inlineStr">
        <is>
          <t>EXCHANGE CHENNAI</t>
        </is>
      </c>
      <c r="K673" s="20" t="inlineStr">
        <is>
          <t>Captive</t>
        </is>
      </c>
      <c r="L673" s="20" t="inlineStr">
        <is>
          <t>RAM Manohar</t>
        </is>
      </c>
      <c r="M673" s="23" t="n">
        <v>4237.29</v>
      </c>
    </row>
    <row r="674">
      <c r="A674" s="19" t="inlineStr">
        <is>
          <t>FY26</t>
        </is>
      </c>
      <c r="B674" s="19" t="inlineStr">
        <is>
          <t>Feb</t>
        </is>
      </c>
      <c r="C674" s="19" t="inlineStr">
        <is>
          <t>TN</t>
        </is>
      </c>
      <c r="D674" s="20" t="inlineStr">
        <is>
          <t>TN11BC9624</t>
        </is>
      </c>
      <c r="E674" s="20" t="inlineStr">
        <is>
          <t>HONDA</t>
        </is>
      </c>
      <c r="F674" s="20" t="inlineStr">
        <is>
          <t>City</t>
        </is>
      </c>
      <c r="G674" s="21" t="n">
        <v>2023</v>
      </c>
      <c r="H674" s="22" t="n">
        <v>52822</v>
      </c>
      <c r="I674" s="22" t="n">
        <v>1100000</v>
      </c>
      <c r="J674" s="20" t="inlineStr">
        <is>
          <t>EXCHANGE CHENNAI</t>
        </is>
      </c>
      <c r="K674" s="20" t="inlineStr">
        <is>
          <t>Captive</t>
        </is>
      </c>
      <c r="L674" s="20" t="inlineStr">
        <is>
          <t>TSM</t>
        </is>
      </c>
      <c r="M674" s="23" t="n">
        <v>8474.58</v>
      </c>
    </row>
    <row r="675">
      <c r="A675" s="19" t="inlineStr">
        <is>
          <t>FY26</t>
        </is>
      </c>
      <c r="B675" s="19" t="inlineStr">
        <is>
          <t>Feb</t>
        </is>
      </c>
      <c r="C675" s="19" t="inlineStr">
        <is>
          <t>TN</t>
        </is>
      </c>
      <c r="D675" s="20" t="inlineStr">
        <is>
          <t>TN85E0533</t>
        </is>
      </c>
      <c r="E675" s="20" t="inlineStr">
        <is>
          <t>MARUTI SUZUKI</t>
        </is>
      </c>
      <c r="F675" s="20" t="inlineStr">
        <is>
          <t>Swift Dzire</t>
        </is>
      </c>
      <c r="G675" s="21" t="n">
        <v>2017</v>
      </c>
      <c r="H675" s="22" t="n">
        <v>69465</v>
      </c>
      <c r="I675" s="22" t="n">
        <v>475000</v>
      </c>
      <c r="J675" s="20" t="inlineStr">
        <is>
          <t>EXCHANGE CHENNAI</t>
        </is>
      </c>
      <c r="K675" s="20" t="inlineStr">
        <is>
          <t>Captive</t>
        </is>
      </c>
      <c r="L675" s="20" t="inlineStr">
        <is>
          <t>Nirmal Cars</t>
        </is>
      </c>
      <c r="M675" s="23" t="n">
        <v>8474.58</v>
      </c>
    </row>
    <row r="676">
      <c r="A676" s="19" t="inlineStr">
        <is>
          <t>FY26</t>
        </is>
      </c>
      <c r="B676" s="19" t="inlineStr">
        <is>
          <t>Feb</t>
        </is>
      </c>
      <c r="C676" s="19" t="inlineStr">
        <is>
          <t>TN</t>
        </is>
      </c>
      <c r="D676" s="20" t="inlineStr">
        <is>
          <t>TN14X6314</t>
        </is>
      </c>
      <c r="E676" s="20" t="inlineStr">
        <is>
          <t>HONDA</t>
        </is>
      </c>
      <c r="F676" s="20" t="inlineStr">
        <is>
          <t>Jazz</t>
        </is>
      </c>
      <c r="G676" s="21" t="n">
        <v>2021</v>
      </c>
      <c r="H676" s="22" t="n">
        <v>52715</v>
      </c>
      <c r="I676" s="22" t="n">
        <v>447000</v>
      </c>
      <c r="J676" s="20" t="inlineStr">
        <is>
          <t>EXCHANGE CHENNAI</t>
        </is>
      </c>
      <c r="K676" s="20" t="inlineStr">
        <is>
          <t>Captive</t>
        </is>
      </c>
      <c r="L676" s="20" t="inlineStr">
        <is>
          <t>Santhosh Cars</t>
        </is>
      </c>
      <c r="M676" s="23" t="n">
        <v>4237.29</v>
      </c>
    </row>
    <row r="677">
      <c r="A677" s="19" t="inlineStr">
        <is>
          <t>FY26</t>
        </is>
      </c>
      <c r="B677" s="19" t="inlineStr">
        <is>
          <t>Feb</t>
        </is>
      </c>
      <c r="C677" s="19" t="inlineStr">
        <is>
          <t>TN</t>
        </is>
      </c>
      <c r="D677" s="20" t="inlineStr">
        <is>
          <t>TN05BL9614</t>
        </is>
      </c>
      <c r="E677" s="20" t="inlineStr">
        <is>
          <t>MARUTI SUZUKI</t>
        </is>
      </c>
      <c r="F677" s="20" t="inlineStr">
        <is>
          <t>Swift</t>
        </is>
      </c>
      <c r="G677" s="21" t="n">
        <v>2017</v>
      </c>
      <c r="H677" s="22" t="n">
        <v>55478</v>
      </c>
      <c r="I677" s="22" t="n">
        <v>400000</v>
      </c>
      <c r="J677" s="20" t="inlineStr">
        <is>
          <t>EXCHANGE CHENNAI</t>
        </is>
      </c>
      <c r="K677" s="20" t="inlineStr">
        <is>
          <t>Captive</t>
        </is>
      </c>
      <c r="L677" s="20" t="inlineStr">
        <is>
          <t>Santhosh Cars</t>
        </is>
      </c>
      <c r="M677" s="23" t="n">
        <v>8474.58</v>
      </c>
    </row>
    <row r="678">
      <c r="A678" s="19" t="inlineStr">
        <is>
          <t>FY26</t>
        </is>
      </c>
      <c r="B678" s="19" t="inlineStr">
        <is>
          <t>Feb</t>
        </is>
      </c>
      <c r="C678" s="19" t="inlineStr">
        <is>
          <t>TN</t>
        </is>
      </c>
      <c r="D678" s="20" t="inlineStr">
        <is>
          <t>TN01AV8021</t>
        </is>
      </c>
      <c r="E678" s="20" t="inlineStr">
        <is>
          <t>HYUNDAI</t>
        </is>
      </c>
      <c r="F678" s="20" t="inlineStr">
        <is>
          <t>Santro</t>
        </is>
      </c>
      <c r="G678" s="21" t="n">
        <v>2014</v>
      </c>
      <c r="H678" s="22" t="n">
        <v>58473</v>
      </c>
      <c r="I678" s="22" t="n">
        <v>190000</v>
      </c>
      <c r="J678" s="20" t="inlineStr">
        <is>
          <t>EXCHANGE CHENNAI</t>
        </is>
      </c>
      <c r="K678" s="20" t="inlineStr">
        <is>
          <t>Captive</t>
        </is>
      </c>
      <c r="L678" s="20" t="inlineStr">
        <is>
          <t>Santhosh Cars</t>
        </is>
      </c>
      <c r="M678" s="23" t="n">
        <v>4237.29</v>
      </c>
    </row>
    <row r="679">
      <c r="A679" s="19" t="inlineStr">
        <is>
          <t>FY26</t>
        </is>
      </c>
      <c r="B679" s="19" t="inlineStr">
        <is>
          <t>Feb</t>
        </is>
      </c>
      <c r="C679" s="19" t="inlineStr">
        <is>
          <t>TN</t>
        </is>
      </c>
      <c r="D679" s="20" t="inlineStr">
        <is>
          <t>TN07BV8175</t>
        </is>
      </c>
      <c r="E679" s="20" t="inlineStr">
        <is>
          <t>HONDA</t>
        </is>
      </c>
      <c r="F679" s="20" t="inlineStr">
        <is>
          <t>City</t>
        </is>
      </c>
      <c r="G679" s="21" t="n">
        <v>2013</v>
      </c>
      <c r="H679" s="22" t="n">
        <v>68506</v>
      </c>
      <c r="I679" s="22" t="n">
        <v>300000</v>
      </c>
      <c r="J679" s="20" t="inlineStr">
        <is>
          <t>EXCHANGE CHENNAI</t>
        </is>
      </c>
      <c r="K679" s="20" t="inlineStr">
        <is>
          <t>Captive</t>
        </is>
      </c>
      <c r="L679" s="20" t="inlineStr">
        <is>
          <t>Santhosh Cars</t>
        </is>
      </c>
      <c r="M679" s="23" t="n">
        <v>6779.66</v>
      </c>
    </row>
    <row r="680">
      <c r="A680" s="19" t="inlineStr">
        <is>
          <t>FY26</t>
        </is>
      </c>
      <c r="B680" s="19" t="inlineStr">
        <is>
          <t>Feb</t>
        </is>
      </c>
      <c r="C680" s="19" t="inlineStr">
        <is>
          <t>TN</t>
        </is>
      </c>
      <c r="D680" s="20" t="inlineStr">
        <is>
          <t>TN09CH0661</t>
        </is>
      </c>
      <c r="E680" s="20" t="inlineStr">
        <is>
          <t>MARUTI SUZUKI</t>
        </is>
      </c>
      <c r="F680" s="20" t="inlineStr">
        <is>
          <t>Wagon R</t>
        </is>
      </c>
      <c r="G680" s="21" t="n">
        <v>2016</v>
      </c>
      <c r="H680" s="22" t="n">
        <v>50009</v>
      </c>
      <c r="I680" s="22" t="n">
        <v>607500</v>
      </c>
      <c r="J680" s="20" t="inlineStr">
        <is>
          <t>Nirmal</t>
        </is>
      </c>
      <c r="K680" s="20" t="inlineStr">
        <is>
          <t>Non-Captive</t>
        </is>
      </c>
      <c r="L680" s="20" t="inlineStr">
        <is>
          <t>Value Drive Tecnologies</t>
        </is>
      </c>
      <c r="M680" s="23" t="n">
        <v>6355.93</v>
      </c>
    </row>
    <row r="681">
      <c r="A681" s="19" t="inlineStr">
        <is>
          <t>FY26</t>
        </is>
      </c>
      <c r="B681" s="19" t="inlineStr">
        <is>
          <t>Feb</t>
        </is>
      </c>
      <c r="C681" s="19" t="inlineStr">
        <is>
          <t>TN</t>
        </is>
      </c>
      <c r="D681" s="20" t="inlineStr">
        <is>
          <t>TN07BS1074</t>
        </is>
      </c>
      <c r="E681" s="20" t="inlineStr">
        <is>
          <t>HONDA</t>
        </is>
      </c>
      <c r="F681" s="20" t="inlineStr">
        <is>
          <t>Brio</t>
        </is>
      </c>
      <c r="G681" s="21" t="n">
        <v>2012</v>
      </c>
      <c r="H681" s="22" t="n">
        <v>93364</v>
      </c>
      <c r="I681" s="22" t="n">
        <v>590000</v>
      </c>
      <c r="J681" s="20" t="inlineStr">
        <is>
          <t>Nirmal</t>
        </is>
      </c>
      <c r="K681" s="20" t="inlineStr">
        <is>
          <t>Non-Captive</t>
        </is>
      </c>
      <c r="L681" s="20" t="inlineStr">
        <is>
          <t>Value Drive Tecnologies</t>
        </is>
      </c>
      <c r="M681" s="23" t="n">
        <v>6779.66</v>
      </c>
    </row>
    <row r="682">
      <c r="A682" s="19" t="inlineStr">
        <is>
          <t>FY26</t>
        </is>
      </c>
      <c r="B682" s="19" t="inlineStr">
        <is>
          <t>Feb</t>
        </is>
      </c>
      <c r="C682" s="19" t="inlineStr">
        <is>
          <t>TN</t>
        </is>
      </c>
      <c r="D682" s="20" t="inlineStr">
        <is>
          <t>TN72BK3642</t>
        </is>
      </c>
      <c r="E682" s="20" t="inlineStr">
        <is>
          <t>NISSAN</t>
        </is>
      </c>
      <c r="F682" s="20" t="inlineStr">
        <is>
          <t>Sunny</t>
        </is>
      </c>
      <c r="G682" s="21" t="n">
        <v>2018</v>
      </c>
      <c r="H682" s="22" t="n">
        <v>85344</v>
      </c>
      <c r="I682" s="22" t="n">
        <v>385000</v>
      </c>
      <c r="J682" s="20" t="inlineStr">
        <is>
          <t>Trichur Sundharam</t>
        </is>
      </c>
      <c r="K682" s="20" t="inlineStr">
        <is>
          <t>Non-Captive</t>
        </is>
      </c>
      <c r="L682" s="20" t="inlineStr">
        <is>
          <t>Sai cars</t>
        </is>
      </c>
      <c r="M682" s="23" t="n">
        <v>8474.58</v>
      </c>
    </row>
    <row r="683">
      <c r="A683" s="19" t="inlineStr">
        <is>
          <t>FY26</t>
        </is>
      </c>
      <c r="B683" s="19" t="inlineStr">
        <is>
          <t>Feb</t>
        </is>
      </c>
      <c r="C683" s="19" t="inlineStr">
        <is>
          <t>TN</t>
        </is>
      </c>
      <c r="D683" s="20" t="inlineStr">
        <is>
          <t>KL74C7075</t>
        </is>
      </c>
      <c r="E683" s="20" t="inlineStr">
        <is>
          <t>TATA</t>
        </is>
      </c>
      <c r="F683" s="20" t="inlineStr">
        <is>
          <t>Tiago</t>
        </is>
      </c>
      <c r="G683" s="21" t="n">
        <v>2022</v>
      </c>
      <c r="H683" s="22" t="n">
        <v>40770</v>
      </c>
      <c r="I683" s="22" t="n">
        <v>443000</v>
      </c>
      <c r="J683" s="20" t="inlineStr">
        <is>
          <t>Nippon Motor Corporation Pvt Ltd</t>
        </is>
      </c>
      <c r="K683" s="20" t="inlineStr">
        <is>
          <t>Non-Captive</t>
        </is>
      </c>
      <c r="L683" s="20" t="inlineStr">
        <is>
          <t>Popular Alleppy</t>
        </is>
      </c>
      <c r="M683" s="23" t="n">
        <v>5000</v>
      </c>
    </row>
    <row r="684">
      <c r="A684" s="19" t="inlineStr">
        <is>
          <t>FY26</t>
        </is>
      </c>
      <c r="B684" s="19" t="inlineStr">
        <is>
          <t>Feb</t>
        </is>
      </c>
      <c r="C684" s="19" t="inlineStr">
        <is>
          <t>TN</t>
        </is>
      </c>
      <c r="D684" s="20" t="inlineStr">
        <is>
          <t>KL19M3594</t>
        </is>
      </c>
      <c r="E684" s="20" t="inlineStr">
        <is>
          <t>TOYOTA</t>
        </is>
      </c>
      <c r="F684" s="20" t="inlineStr">
        <is>
          <t>Glanza</t>
        </is>
      </c>
      <c r="G684" s="21" t="n">
        <v>2021</v>
      </c>
      <c r="H684" s="22" t="n">
        <v>54137</v>
      </c>
      <c r="I684" s="22" t="n">
        <v>635000</v>
      </c>
      <c r="J684" s="20" t="inlineStr">
        <is>
          <t>Fortune Malayalam</t>
        </is>
      </c>
      <c r="K684" s="20" t="inlineStr">
        <is>
          <t>Non-Captive</t>
        </is>
      </c>
      <c r="L684" s="20" t="inlineStr">
        <is>
          <t>Popular Thrissur</t>
        </is>
      </c>
      <c r="M684" s="23" t="n">
        <v>5000</v>
      </c>
    </row>
    <row r="685">
      <c r="A685" s="19" t="inlineStr">
        <is>
          <t>FY26</t>
        </is>
      </c>
      <c r="B685" s="19" t="inlineStr">
        <is>
          <t>Feb</t>
        </is>
      </c>
      <c r="C685" s="19" t="inlineStr">
        <is>
          <t>TN</t>
        </is>
      </c>
      <c r="D685" s="20" t="inlineStr">
        <is>
          <t>KL815593</t>
        </is>
      </c>
      <c r="E685" s="20" t="inlineStr">
        <is>
          <t>MARUTI SUZUKI</t>
        </is>
      </c>
      <c r="F685" s="20" t="inlineStr">
        <is>
          <t>Ignis</t>
        </is>
      </c>
      <c r="G685" s="21" t="n">
        <v>2021</v>
      </c>
      <c r="H685" s="22" t="n">
        <v>53452</v>
      </c>
      <c r="I685" s="22" t="n">
        <v>405000</v>
      </c>
      <c r="J685" s="20" t="inlineStr">
        <is>
          <t>Fortune Malayalam</t>
        </is>
      </c>
      <c r="K685" s="20" t="inlineStr">
        <is>
          <t>Non-Captive</t>
        </is>
      </c>
      <c r="L685" s="20" t="inlineStr">
        <is>
          <t>Shamnad AH</t>
        </is>
      </c>
      <c r="M685" s="23" t="n">
        <v>5932.2</v>
      </c>
    </row>
    <row r="686">
      <c r="A686" s="19" t="inlineStr">
        <is>
          <t>FY26</t>
        </is>
      </c>
      <c r="B686" s="19" t="inlineStr">
        <is>
          <t>Feb</t>
        </is>
      </c>
      <c r="C686" s="19" t="inlineStr">
        <is>
          <t>TN</t>
        </is>
      </c>
      <c r="D686" s="20" t="inlineStr">
        <is>
          <t>TN09CC8024</t>
        </is>
      </c>
      <c r="E686" s="20" t="inlineStr">
        <is>
          <t>MARUTI SUZUKI</t>
        </is>
      </c>
      <c r="F686" s="20" t="inlineStr">
        <is>
          <t>Wagon R</t>
        </is>
      </c>
      <c r="G686" s="21" t="n">
        <v>2016</v>
      </c>
      <c r="H686" s="22" t="n">
        <v>72679</v>
      </c>
      <c r="I686" s="22" t="n">
        <v>245000</v>
      </c>
      <c r="J686" s="20" t="inlineStr">
        <is>
          <t>Khivraj Motor</t>
        </is>
      </c>
      <c r="K686" s="20" t="inlineStr">
        <is>
          <t>Non-Captive</t>
        </is>
      </c>
      <c r="L686" s="20" t="inlineStr">
        <is>
          <t>Murthy Cars</t>
        </is>
      </c>
      <c r="M686" s="23" t="n">
        <v>5084.75</v>
      </c>
    </row>
    <row r="687">
      <c r="A687" s="19" t="inlineStr">
        <is>
          <t>FY26</t>
        </is>
      </c>
      <c r="B687" s="19" t="inlineStr">
        <is>
          <t>Feb</t>
        </is>
      </c>
      <c r="C687" s="19" t="inlineStr">
        <is>
          <t>TN</t>
        </is>
      </c>
      <c r="D687" s="20" t="inlineStr">
        <is>
          <t>TN09AP6626</t>
        </is>
      </c>
      <c r="E687" s="20" t="inlineStr">
        <is>
          <t>FORD</t>
        </is>
      </c>
      <c r="F687" s="20" t="inlineStr">
        <is>
          <t>Fiesta</t>
        </is>
      </c>
      <c r="G687" s="21" t="n">
        <v>2006</v>
      </c>
      <c r="H687" s="22" t="n">
        <v>99999</v>
      </c>
      <c r="I687" s="22" t="n">
        <v>55000</v>
      </c>
      <c r="J687" s="20" t="inlineStr">
        <is>
          <t>Khivraj Motor</t>
        </is>
      </c>
      <c r="K687" s="20" t="inlineStr">
        <is>
          <t>Non-Captive</t>
        </is>
      </c>
      <c r="L687" s="20" t="inlineStr">
        <is>
          <t>Pine Autos</t>
        </is>
      </c>
      <c r="M687" s="23" t="n">
        <v>5084.75</v>
      </c>
    </row>
    <row r="688">
      <c r="A688" s="19" t="inlineStr">
        <is>
          <t>FY26</t>
        </is>
      </c>
      <c r="B688" s="19" t="inlineStr">
        <is>
          <t>Feb</t>
        </is>
      </c>
      <c r="C688" s="19" t="inlineStr">
        <is>
          <t>TN</t>
        </is>
      </c>
      <c r="D688" s="20" t="inlineStr">
        <is>
          <t>TN38BF2947</t>
        </is>
      </c>
      <c r="E688" s="20" t="inlineStr">
        <is>
          <t>MARUTI SUZUKI</t>
        </is>
      </c>
      <c r="F688" s="20" t="inlineStr">
        <is>
          <t>Alto K10</t>
        </is>
      </c>
      <c r="G688" s="21" t="n">
        <v>2011</v>
      </c>
      <c r="H688" s="22" t="n">
        <v>99907</v>
      </c>
      <c r="I688" s="22" t="n">
        <v>130000</v>
      </c>
      <c r="J688" s="20" t="inlineStr">
        <is>
          <t>Ramani Cars Group</t>
        </is>
      </c>
      <c r="K688" s="20" t="inlineStr">
        <is>
          <t>Non-Captive</t>
        </is>
      </c>
      <c r="L688" s="20" t="inlineStr">
        <is>
          <t>Dheera Cars</t>
        </is>
      </c>
      <c r="M688" s="23" t="n">
        <v>4237.29</v>
      </c>
    </row>
    <row r="689">
      <c r="A689" s="19" t="inlineStr">
        <is>
          <t>FY26</t>
        </is>
      </c>
      <c r="B689" s="19" t="inlineStr">
        <is>
          <t>Feb</t>
        </is>
      </c>
      <c r="C689" s="19" t="inlineStr">
        <is>
          <t>TN</t>
        </is>
      </c>
      <c r="D689" s="20" t="inlineStr">
        <is>
          <t>TN38CA0154</t>
        </is>
      </c>
      <c r="E689" s="20" t="inlineStr">
        <is>
          <t>FIAT</t>
        </is>
      </c>
      <c r="F689" s="20" t="inlineStr">
        <is>
          <t>Punto</t>
        </is>
      </c>
      <c r="G689" s="21" t="n">
        <v>2015</v>
      </c>
      <c r="H689" s="22" t="n">
        <v>207219</v>
      </c>
      <c r="I689" s="22" t="n">
        <v>170000</v>
      </c>
      <c r="J689" s="20" t="inlineStr">
        <is>
          <t>Ramani Cars Group</t>
        </is>
      </c>
      <c r="K689" s="20" t="inlineStr">
        <is>
          <t>Non-Captive</t>
        </is>
      </c>
      <c r="L689" s="20" t="inlineStr">
        <is>
          <t>Dheera Cars</t>
        </is>
      </c>
      <c r="M689" s="23" t="n">
        <v>4237.29</v>
      </c>
    </row>
    <row r="690">
      <c r="A690" s="19" t="inlineStr">
        <is>
          <t>FY26</t>
        </is>
      </c>
      <c r="B690" s="19" t="inlineStr">
        <is>
          <t>Feb</t>
        </is>
      </c>
      <c r="C690" s="19" t="inlineStr">
        <is>
          <t>TN</t>
        </is>
      </c>
      <c r="D690" s="20" t="inlineStr">
        <is>
          <t>TN38BF3223</t>
        </is>
      </c>
      <c r="E690" s="20" t="inlineStr">
        <is>
          <t>FORD</t>
        </is>
      </c>
      <c r="F690" s="20" t="inlineStr">
        <is>
          <t>Figo</t>
        </is>
      </c>
      <c r="G690" s="21" t="n">
        <v>2011</v>
      </c>
      <c r="H690" s="22" t="n">
        <v>119540</v>
      </c>
      <c r="I690" s="22" t="n">
        <v>120000</v>
      </c>
      <c r="J690" s="20" t="inlineStr">
        <is>
          <t>EXCHANGE ROTN</t>
        </is>
      </c>
      <c r="K690" s="20" t="inlineStr">
        <is>
          <t>Captive</t>
        </is>
      </c>
      <c r="L690" s="20" t="inlineStr">
        <is>
          <t>Dheera Cars</t>
        </is>
      </c>
      <c r="M690" s="23" t="n">
        <v>4237.29</v>
      </c>
    </row>
    <row r="691">
      <c r="A691" s="19" t="inlineStr">
        <is>
          <t>FY26</t>
        </is>
      </c>
      <c r="B691" s="19" t="inlineStr">
        <is>
          <t>Feb</t>
        </is>
      </c>
      <c r="C691" s="19" t="inlineStr">
        <is>
          <t>TN</t>
        </is>
      </c>
      <c r="D691" s="20" t="inlineStr">
        <is>
          <t>TN11R3215</t>
        </is>
      </c>
      <c r="E691" s="20" t="inlineStr">
        <is>
          <t>MARUTI SUZUKI</t>
        </is>
      </c>
      <c r="F691" s="20" t="inlineStr">
        <is>
          <t>S-Cross</t>
        </is>
      </c>
      <c r="G691" s="21" t="n">
        <v>2016</v>
      </c>
      <c r="H691" s="22" t="n">
        <v>154240</v>
      </c>
      <c r="I691" s="22" t="n">
        <v>450000</v>
      </c>
      <c r="J691" s="20" t="inlineStr">
        <is>
          <t>STEER AUTO TECHNOLOGIES PRIVATE LIMITED</t>
        </is>
      </c>
      <c r="K691" s="20" t="inlineStr">
        <is>
          <t>Non-Captive</t>
        </is>
      </c>
      <c r="L691" s="20" t="inlineStr">
        <is>
          <t>Rithika cars</t>
        </is>
      </c>
      <c r="M691" s="23" t="n">
        <v>3389.83</v>
      </c>
    </row>
    <row r="692">
      <c r="A692" s="19" t="inlineStr">
        <is>
          <t>FY26</t>
        </is>
      </c>
      <c r="B692" s="19" t="inlineStr">
        <is>
          <t>Feb</t>
        </is>
      </c>
      <c r="C692" s="19" t="inlineStr">
        <is>
          <t>TN</t>
        </is>
      </c>
      <c r="D692" s="20" t="inlineStr">
        <is>
          <t>TN22DM1074</t>
        </is>
      </c>
      <c r="E692" s="20" t="inlineStr">
        <is>
          <t>HYUNDAI</t>
        </is>
      </c>
      <c r="F692" s="20" t="inlineStr">
        <is>
          <t>I20</t>
        </is>
      </c>
      <c r="G692" s="21" t="n">
        <v>2018</v>
      </c>
      <c r="H692" s="22" t="n">
        <v>32880</v>
      </c>
      <c r="I692" s="22" t="n">
        <v>550000</v>
      </c>
      <c r="J692" s="20" t="inlineStr">
        <is>
          <t>STEER AUTO TECHNOLOGIES PRIVATE LIMITED</t>
        </is>
      </c>
      <c r="K692" s="20" t="inlineStr">
        <is>
          <t>Non-Captive</t>
        </is>
      </c>
      <c r="L692" s="20" t="inlineStr">
        <is>
          <t>Rithika cars</t>
        </is>
      </c>
      <c r="M692" s="23" t="n">
        <v>3389.83</v>
      </c>
    </row>
    <row r="693">
      <c r="A693" s="19" t="inlineStr">
        <is>
          <t>FY26</t>
        </is>
      </c>
      <c r="B693" s="19" t="inlineStr">
        <is>
          <t>Feb</t>
        </is>
      </c>
      <c r="C693" s="19" t="inlineStr">
        <is>
          <t>TN</t>
        </is>
      </c>
      <c r="D693" s="20" t="inlineStr">
        <is>
          <t>TN11V8120</t>
        </is>
      </c>
      <c r="E693" s="20" t="inlineStr">
        <is>
          <t>TATA</t>
        </is>
      </c>
      <c r="F693" s="20" t="inlineStr">
        <is>
          <t>Tiago</t>
        </is>
      </c>
      <c r="G693" s="21" t="n">
        <v>2017</v>
      </c>
      <c r="H693" s="22" t="n">
        <v>65908</v>
      </c>
      <c r="I693" s="22" t="n">
        <v>260000</v>
      </c>
      <c r="J693" s="20" t="inlineStr">
        <is>
          <t>STEER AUTO TECHNOLOGIES PRIVATE LIMITED</t>
        </is>
      </c>
      <c r="K693" s="20" t="inlineStr">
        <is>
          <t>Non-Captive</t>
        </is>
      </c>
      <c r="L693" s="20" t="inlineStr">
        <is>
          <t>Rithika cars</t>
        </is>
      </c>
      <c r="M693" s="23" t="n">
        <v>3389.83</v>
      </c>
    </row>
    <row r="694">
      <c r="A694" s="19" t="inlineStr">
        <is>
          <t>FY26</t>
        </is>
      </c>
      <c r="B694" s="19" t="inlineStr">
        <is>
          <t>Feb</t>
        </is>
      </c>
      <c r="C694" s="19" t="inlineStr">
        <is>
          <t>TN</t>
        </is>
      </c>
      <c r="D694" s="20" t="inlineStr">
        <is>
          <t>TN07CH8093</t>
        </is>
      </c>
      <c r="E694" s="20" t="inlineStr">
        <is>
          <t>HYUNDAI</t>
        </is>
      </c>
      <c r="F694" s="20" t="inlineStr">
        <is>
          <t>Creta</t>
        </is>
      </c>
      <c r="G694" s="21" t="n">
        <v>2016</v>
      </c>
      <c r="H694" s="22" t="n">
        <v>97649</v>
      </c>
      <c r="I694" s="22" t="n">
        <v>500000</v>
      </c>
      <c r="J694" s="20" t="inlineStr">
        <is>
          <t>STEER AUTO TECHNOLOGIES PRIVATE LIMITED</t>
        </is>
      </c>
      <c r="K694" s="20" t="inlineStr">
        <is>
          <t>Non-Captive</t>
        </is>
      </c>
      <c r="L694" s="20" t="inlineStr">
        <is>
          <t>Rithika cars</t>
        </is>
      </c>
      <c r="M694" s="23" t="n">
        <v>3389.83</v>
      </c>
    </row>
    <row r="695">
      <c r="A695" s="19" t="inlineStr">
        <is>
          <t>FY26</t>
        </is>
      </c>
      <c r="B695" s="19" t="inlineStr">
        <is>
          <t>Feb</t>
        </is>
      </c>
      <c r="C695" s="19" t="inlineStr">
        <is>
          <t>TN</t>
        </is>
      </c>
      <c r="D695" s="20" t="inlineStr">
        <is>
          <t>TN07CC4276</t>
        </is>
      </c>
      <c r="E695" s="20" t="inlineStr">
        <is>
          <t>HONDA</t>
        </is>
      </c>
      <c r="F695" s="20" t="inlineStr">
        <is>
          <t>City</t>
        </is>
      </c>
      <c r="G695" s="21" t="n">
        <v>2015</v>
      </c>
      <c r="H695" s="22" t="n">
        <v>124809</v>
      </c>
      <c r="I695" s="22" t="n">
        <v>360000</v>
      </c>
      <c r="J695" s="20" t="inlineStr">
        <is>
          <t>STEER AUTO TECHNOLOGIES PRIVATE LIMITED</t>
        </is>
      </c>
      <c r="K695" s="20" t="inlineStr">
        <is>
          <t>Non-Captive</t>
        </is>
      </c>
      <c r="L695" s="20" t="inlineStr">
        <is>
          <t>Rithika cars</t>
        </is>
      </c>
      <c r="M695" s="23" t="n">
        <v>3389.83</v>
      </c>
    </row>
    <row r="696">
      <c r="A696" s="19" t="inlineStr">
        <is>
          <t>FY26</t>
        </is>
      </c>
      <c r="B696" s="19" t="inlineStr">
        <is>
          <t>Feb</t>
        </is>
      </c>
      <c r="C696" s="19" t="inlineStr">
        <is>
          <t>TN</t>
        </is>
      </c>
      <c r="D696" s="20" t="inlineStr">
        <is>
          <t>TN06L3807</t>
        </is>
      </c>
      <c r="E696" s="20" t="inlineStr">
        <is>
          <t>HONDA</t>
        </is>
      </c>
      <c r="F696" s="20" t="inlineStr">
        <is>
          <t>City</t>
        </is>
      </c>
      <c r="G696" s="21" t="n">
        <v>2014</v>
      </c>
      <c r="H696" s="22" t="n">
        <v>132774</v>
      </c>
      <c r="I696" s="22" t="n">
        <v>325000</v>
      </c>
      <c r="J696" s="20" t="inlineStr">
        <is>
          <t>STEER AUTO TECHNOLOGIES PRIVATE LIMITED</t>
        </is>
      </c>
      <c r="K696" s="20" t="inlineStr">
        <is>
          <t>Non-Captive</t>
        </is>
      </c>
      <c r="L696" s="20" t="inlineStr">
        <is>
          <t>Rithika cars</t>
        </is>
      </c>
      <c r="M696" s="23" t="n">
        <v>3389.83</v>
      </c>
    </row>
    <row r="697">
      <c r="A697" s="19" t="inlineStr">
        <is>
          <t>FY26</t>
        </is>
      </c>
      <c r="B697" s="19" t="inlineStr">
        <is>
          <t>Feb</t>
        </is>
      </c>
      <c r="C697" s="19" t="inlineStr">
        <is>
          <t>TN</t>
        </is>
      </c>
      <c r="D697" s="20" t="inlineStr">
        <is>
          <t>TN14J6732</t>
        </is>
      </c>
      <c r="E697" s="20" t="inlineStr">
        <is>
          <t>SKODA</t>
        </is>
      </c>
      <c r="F697" s="20" t="inlineStr">
        <is>
          <t>Rapid</t>
        </is>
      </c>
      <c r="G697" s="21" t="n">
        <v>2016</v>
      </c>
      <c r="H697" s="22" t="n">
        <v>107500</v>
      </c>
      <c r="I697" s="22" t="n">
        <v>420000</v>
      </c>
      <c r="J697" s="20" t="inlineStr">
        <is>
          <t>STEER AUTO TECHNOLOGIES PRIVATE LIMITED</t>
        </is>
      </c>
      <c r="K697" s="20" t="inlineStr">
        <is>
          <t>Non-Captive</t>
        </is>
      </c>
      <c r="L697" s="20" t="inlineStr">
        <is>
          <t>Rithika cars</t>
        </is>
      </c>
      <c r="M697" s="23" t="n">
        <v>3389.83</v>
      </c>
    </row>
    <row r="698">
      <c r="A698" s="19" t="inlineStr">
        <is>
          <t>FY26</t>
        </is>
      </c>
      <c r="B698" s="19" t="inlineStr">
        <is>
          <t>Feb</t>
        </is>
      </c>
      <c r="C698" s="19" t="inlineStr">
        <is>
          <t>TN</t>
        </is>
      </c>
      <c r="D698" s="20" t="inlineStr">
        <is>
          <t>TN10BH0696</t>
        </is>
      </c>
      <c r="E698" s="20" t="inlineStr">
        <is>
          <t>MARUTI SUZUKI</t>
        </is>
      </c>
      <c r="F698" s="20" t="inlineStr">
        <is>
          <t>Brezza</t>
        </is>
      </c>
      <c r="G698" s="21" t="n">
        <v>2019</v>
      </c>
      <c r="H698" s="22" t="n">
        <v>22642</v>
      </c>
      <c r="I698" s="22" t="n">
        <v>750000</v>
      </c>
      <c r="J698" s="20" t="inlineStr">
        <is>
          <t>STEER AUTO TECHNOLOGIES PRIVATE LIMITED</t>
        </is>
      </c>
      <c r="K698" s="20" t="inlineStr">
        <is>
          <t>Non-Captive</t>
        </is>
      </c>
      <c r="L698" s="20" t="inlineStr">
        <is>
          <t>Rithika cars</t>
        </is>
      </c>
      <c r="M698" s="23" t="n">
        <v>3389.83</v>
      </c>
    </row>
    <row r="699">
      <c r="A699" s="19" t="inlineStr">
        <is>
          <t>FY26</t>
        </is>
      </c>
      <c r="B699" s="19" t="inlineStr">
        <is>
          <t>Feb</t>
        </is>
      </c>
      <c r="C699" s="19" t="inlineStr">
        <is>
          <t>TN</t>
        </is>
      </c>
      <c r="D699" s="20" t="inlineStr">
        <is>
          <t>TN07CE4728</t>
        </is>
      </c>
      <c r="E699" s="20" t="inlineStr">
        <is>
          <t>RENAULT</t>
        </is>
      </c>
      <c r="F699" s="20" t="inlineStr">
        <is>
          <t>Pulse</t>
        </is>
      </c>
      <c r="G699" s="21" t="n">
        <v>2015</v>
      </c>
      <c r="H699" s="22" t="n">
        <v>70064</v>
      </c>
      <c r="I699" s="22" t="n">
        <v>325000</v>
      </c>
      <c r="J699" s="20" t="inlineStr">
        <is>
          <t>STEER AUTO TECHNOLOGIES PRIVATE LIMITED</t>
        </is>
      </c>
      <c r="K699" s="20" t="inlineStr">
        <is>
          <t>Non-Captive</t>
        </is>
      </c>
      <c r="L699" s="20" t="inlineStr">
        <is>
          <t>Rithika cars</t>
        </is>
      </c>
      <c r="M699" s="23" t="n">
        <v>3389.83</v>
      </c>
    </row>
    <row r="700">
      <c r="A700" s="19" t="inlineStr">
        <is>
          <t>FY26</t>
        </is>
      </c>
      <c r="B700" s="19" t="inlineStr">
        <is>
          <t>Feb</t>
        </is>
      </c>
      <c r="C700" s="19" t="inlineStr">
        <is>
          <t>TN</t>
        </is>
      </c>
      <c r="D700" s="20" t="inlineStr">
        <is>
          <t>TN07BS0684</t>
        </is>
      </c>
      <c r="E700" s="20" t="inlineStr">
        <is>
          <t>HONDA</t>
        </is>
      </c>
      <c r="F700" s="20" t="inlineStr">
        <is>
          <t>City</t>
        </is>
      </c>
      <c r="G700" s="21" t="n">
        <v>2012</v>
      </c>
      <c r="H700" s="22" t="n">
        <v>114414</v>
      </c>
      <c r="I700" s="22" t="n">
        <v>363000</v>
      </c>
      <c r="J700" s="20" t="inlineStr">
        <is>
          <t>STEER AUTO TECHNOLOGIES PRIVATE LIMITED</t>
        </is>
      </c>
      <c r="K700" s="20" t="inlineStr">
        <is>
          <t>Non-Captive</t>
        </is>
      </c>
      <c r="L700" s="20" t="inlineStr">
        <is>
          <t>Rithika cars</t>
        </is>
      </c>
      <c r="M700" s="23" t="n">
        <v>3389.83</v>
      </c>
    </row>
    <row r="701">
      <c r="A701" s="19" t="inlineStr">
        <is>
          <t>FY26</t>
        </is>
      </c>
      <c r="B701" s="19" t="inlineStr">
        <is>
          <t>Feb</t>
        </is>
      </c>
      <c r="C701" s="19" t="inlineStr">
        <is>
          <t>TN</t>
        </is>
      </c>
      <c r="D701" s="20" t="inlineStr">
        <is>
          <t>TN13M2461</t>
        </is>
      </c>
      <c r="E701" s="20" t="inlineStr">
        <is>
          <t>RENAULT</t>
        </is>
      </c>
      <c r="F701" s="20" t="inlineStr">
        <is>
          <t>Kwid</t>
        </is>
      </c>
      <c r="G701" s="21" t="n">
        <v>2018</v>
      </c>
      <c r="H701" s="22" t="n">
        <v>48523</v>
      </c>
      <c r="I701" s="22" t="n">
        <v>308000</v>
      </c>
      <c r="J701" s="20" t="inlineStr">
        <is>
          <t>STEER AUTO TECHNOLOGIES PRIVATE LIMITED</t>
        </is>
      </c>
      <c r="K701" s="20" t="inlineStr">
        <is>
          <t>Non-Captive</t>
        </is>
      </c>
      <c r="L701" s="20" t="inlineStr">
        <is>
          <t>Rithika cars</t>
        </is>
      </c>
      <c r="M701" s="23" t="n">
        <v>3389.83</v>
      </c>
    </row>
    <row r="702">
      <c r="A702" s="19" t="inlineStr">
        <is>
          <t>FY26</t>
        </is>
      </c>
      <c r="B702" s="19" t="inlineStr">
        <is>
          <t>Feb</t>
        </is>
      </c>
      <c r="C702" s="19" t="inlineStr">
        <is>
          <t>TN</t>
        </is>
      </c>
      <c r="D702" s="20" t="inlineStr">
        <is>
          <t>TN12S6882</t>
        </is>
      </c>
      <c r="E702" s="20" t="inlineStr">
        <is>
          <t>MARUTI SUZUKI</t>
        </is>
      </c>
      <c r="F702" s="20" t="inlineStr">
        <is>
          <t>Baleno</t>
        </is>
      </c>
      <c r="G702" s="21" t="n">
        <v>2017</v>
      </c>
      <c r="H702" s="22" t="n">
        <v>81753</v>
      </c>
      <c r="I702" s="22" t="n">
        <v>488000</v>
      </c>
      <c r="J702" s="20" t="inlineStr">
        <is>
          <t>STEER AUTO TECHNOLOGIES PRIVATE LIMITED</t>
        </is>
      </c>
      <c r="K702" s="20" t="inlineStr">
        <is>
          <t>Non-Captive</t>
        </is>
      </c>
      <c r="L702" s="20" t="inlineStr">
        <is>
          <t>Rithika cars</t>
        </is>
      </c>
      <c r="M702" s="23" t="n">
        <v>3389.83</v>
      </c>
    </row>
    <row r="703">
      <c r="A703" s="19" t="inlineStr">
        <is>
          <t>FY26</t>
        </is>
      </c>
      <c r="B703" s="19" t="inlineStr">
        <is>
          <t>Feb</t>
        </is>
      </c>
      <c r="C703" s="19" t="inlineStr">
        <is>
          <t>TN</t>
        </is>
      </c>
      <c r="D703" s="20" t="inlineStr">
        <is>
          <t>TN01AR0896</t>
        </is>
      </c>
      <c r="E703" s="20" t="inlineStr">
        <is>
          <t>HYUNDAI</t>
        </is>
      </c>
      <c r="F703" s="20" t="inlineStr">
        <is>
          <t>I20</t>
        </is>
      </c>
      <c r="G703" s="21" t="n">
        <v>2012</v>
      </c>
      <c r="H703" s="22" t="n">
        <v>112379</v>
      </c>
      <c r="I703" s="22" t="n">
        <v>268000</v>
      </c>
      <c r="J703" s="20" t="inlineStr">
        <is>
          <t>STEER AUTO TECHNOLOGIES PRIVATE LIMITED</t>
        </is>
      </c>
      <c r="K703" s="20" t="inlineStr">
        <is>
          <t>Non-Captive</t>
        </is>
      </c>
      <c r="L703" s="20" t="inlineStr">
        <is>
          <t>Rithika cars</t>
        </is>
      </c>
      <c r="M703" s="23" t="n">
        <v>3389.83</v>
      </c>
    </row>
    <row r="704">
      <c r="A704" s="19" t="inlineStr">
        <is>
          <t>FY26</t>
        </is>
      </c>
      <c r="B704" s="19" t="inlineStr">
        <is>
          <t>Feb</t>
        </is>
      </c>
      <c r="C704" s="19" t="inlineStr">
        <is>
          <t>TN</t>
        </is>
      </c>
      <c r="D704" s="20" t="inlineStr">
        <is>
          <t>TN02BK3319</t>
        </is>
      </c>
      <c r="E704" s="20" t="inlineStr">
        <is>
          <t>HYUNDAI</t>
        </is>
      </c>
      <c r="F704" s="20" t="inlineStr">
        <is>
          <t>Verna</t>
        </is>
      </c>
      <c r="G704" s="21" t="n">
        <v>2017</v>
      </c>
      <c r="H704" s="22" t="n">
        <v>52480</v>
      </c>
      <c r="I704" s="22" t="n">
        <v>580000</v>
      </c>
      <c r="J704" s="20" t="inlineStr">
        <is>
          <t>STEER AUTO TECHNOLOGIES PRIVATE LIMITED</t>
        </is>
      </c>
      <c r="K704" s="20" t="inlineStr">
        <is>
          <t>Non-Captive</t>
        </is>
      </c>
      <c r="L704" s="20" t="inlineStr">
        <is>
          <t>Rithika cars</t>
        </is>
      </c>
      <c r="M704" s="23" t="n">
        <v>3389.83</v>
      </c>
    </row>
    <row r="705">
      <c r="A705" s="19" t="inlineStr">
        <is>
          <t>FY26</t>
        </is>
      </c>
      <c r="B705" s="19" t="inlineStr">
        <is>
          <t>Feb</t>
        </is>
      </c>
      <c r="C705" s="19" t="inlineStr">
        <is>
          <t>TN</t>
        </is>
      </c>
      <c r="D705" s="20" t="inlineStr">
        <is>
          <t>TN07BP8179</t>
        </is>
      </c>
      <c r="E705" s="20" t="inlineStr">
        <is>
          <t>HYUNDAI</t>
        </is>
      </c>
      <c r="F705" s="20" t="inlineStr">
        <is>
          <t>I10</t>
        </is>
      </c>
      <c r="G705" s="21" t="n">
        <v>2011</v>
      </c>
      <c r="H705" s="22" t="n">
        <v>61886</v>
      </c>
      <c r="I705" s="22" t="n">
        <v>268000</v>
      </c>
      <c r="J705" s="20" t="inlineStr">
        <is>
          <t>STEER AUTO TECHNOLOGIES PRIVATE LIMITED</t>
        </is>
      </c>
      <c r="K705" s="20" t="inlineStr">
        <is>
          <t>Non-Captive</t>
        </is>
      </c>
      <c r="L705" s="20" t="inlineStr">
        <is>
          <t>Rithika cars</t>
        </is>
      </c>
      <c r="M705" s="23" t="n">
        <v>3389.83</v>
      </c>
    </row>
    <row r="706">
      <c r="A706" s="19" t="inlineStr">
        <is>
          <t>FY26</t>
        </is>
      </c>
      <c r="B706" s="19" t="inlineStr">
        <is>
          <t>Feb</t>
        </is>
      </c>
      <c r="C706" s="19" t="inlineStr">
        <is>
          <t>TN</t>
        </is>
      </c>
      <c r="D706" s="20" t="inlineStr">
        <is>
          <t>TN02BR3687</t>
        </is>
      </c>
      <c r="E706" s="20" t="inlineStr">
        <is>
          <t>VOLKSWAGEN</t>
        </is>
      </c>
      <c r="F706" s="20" t="inlineStr">
        <is>
          <t>Vento</t>
        </is>
      </c>
      <c r="G706" s="21" t="n">
        <v>2019</v>
      </c>
      <c r="H706" s="22" t="n">
        <v>64038</v>
      </c>
      <c r="I706" s="22" t="n">
        <v>785000</v>
      </c>
      <c r="J706" s="20" t="inlineStr">
        <is>
          <t>STEER AUTO TECHNOLOGIES PRIVATE LIMITED</t>
        </is>
      </c>
      <c r="K706" s="20" t="inlineStr">
        <is>
          <t>Non-Captive</t>
        </is>
      </c>
      <c r="L706" s="20" t="inlineStr">
        <is>
          <t>Rithika cars</t>
        </is>
      </c>
      <c r="M706" s="23" t="n">
        <v>3389.83</v>
      </c>
    </row>
    <row r="707">
      <c r="A707" s="19" t="inlineStr">
        <is>
          <t>FY26</t>
        </is>
      </c>
      <c r="B707" s="19" t="inlineStr">
        <is>
          <t>Feb</t>
        </is>
      </c>
      <c r="C707" s="19" t="inlineStr">
        <is>
          <t>TN</t>
        </is>
      </c>
      <c r="D707" s="20" t="inlineStr">
        <is>
          <t>TN11BF7155</t>
        </is>
      </c>
      <c r="E707" s="20" t="inlineStr">
        <is>
          <t>RENAULT</t>
        </is>
      </c>
      <c r="F707" s="20" t="inlineStr">
        <is>
          <t>Kiger</t>
        </is>
      </c>
      <c r="G707" s="21" t="n">
        <v>2023</v>
      </c>
      <c r="H707" s="22" t="n">
        <v>3480</v>
      </c>
      <c r="I707" s="22" t="n">
        <v>873000</v>
      </c>
      <c r="J707" s="20" t="inlineStr">
        <is>
          <t>STEER AUTO TECHNOLOGIES PRIVATE LIMITED</t>
        </is>
      </c>
      <c r="K707" s="20" t="inlineStr">
        <is>
          <t>Non-Captive</t>
        </is>
      </c>
      <c r="L707" s="20" t="inlineStr">
        <is>
          <t>Rithika cars</t>
        </is>
      </c>
      <c r="M707" s="23" t="n">
        <v>3389.83</v>
      </c>
    </row>
    <row r="708">
      <c r="A708" s="19" t="inlineStr">
        <is>
          <t>FY26</t>
        </is>
      </c>
      <c r="B708" s="19" t="inlineStr">
        <is>
          <t>Feb</t>
        </is>
      </c>
      <c r="C708" s="19" t="inlineStr">
        <is>
          <t>TN</t>
        </is>
      </c>
      <c r="D708" s="20" t="inlineStr">
        <is>
          <t>TN12AE3686</t>
        </is>
      </c>
      <c r="E708" s="20" t="inlineStr">
        <is>
          <t>RENAULT</t>
        </is>
      </c>
      <c r="F708" s="20" t="inlineStr">
        <is>
          <t>Kwid</t>
        </is>
      </c>
      <c r="G708" s="21" t="n">
        <v>2019</v>
      </c>
      <c r="H708" s="22" t="n">
        <v>53298</v>
      </c>
      <c r="I708" s="22" t="n">
        <v>373000</v>
      </c>
      <c r="J708" s="20" t="inlineStr">
        <is>
          <t>STEER AUTO TECHNOLOGIES PRIVATE LIMITED</t>
        </is>
      </c>
      <c r="K708" s="20" t="inlineStr">
        <is>
          <t>Non-Captive</t>
        </is>
      </c>
      <c r="L708" s="20" t="inlineStr">
        <is>
          <t>Rithika cars</t>
        </is>
      </c>
      <c r="M708" s="23" t="n">
        <v>3389.83</v>
      </c>
    </row>
    <row r="709">
      <c r="A709" s="19" t="inlineStr">
        <is>
          <t>FY26</t>
        </is>
      </c>
      <c r="B709" s="19" t="inlineStr">
        <is>
          <t>Feb</t>
        </is>
      </c>
      <c r="C709" s="19" t="inlineStr">
        <is>
          <t>TN</t>
        </is>
      </c>
      <c r="D709" s="20" t="inlineStr">
        <is>
          <t>TN09CB7858</t>
        </is>
      </c>
      <c r="E709" s="20" t="inlineStr">
        <is>
          <t>MARUTI SUZUKI</t>
        </is>
      </c>
      <c r="F709" s="20" t="inlineStr">
        <is>
          <t>Ciaz</t>
        </is>
      </c>
      <c r="G709" s="21" t="n">
        <v>2015</v>
      </c>
      <c r="H709" s="22" t="n">
        <v>102741</v>
      </c>
      <c r="I709" s="22" t="n">
        <v>505000</v>
      </c>
      <c r="J709" s="20" t="inlineStr">
        <is>
          <t>STEER AUTO TECHNOLOGIES PRIVATE LIMITED</t>
        </is>
      </c>
      <c r="K709" s="20" t="inlineStr">
        <is>
          <t>Non-Captive</t>
        </is>
      </c>
      <c r="L709" s="20" t="inlineStr">
        <is>
          <t>Rithika cars</t>
        </is>
      </c>
      <c r="M709" s="23" t="n">
        <v>3389.83</v>
      </c>
    </row>
    <row r="710">
      <c r="A710" s="19" t="inlineStr">
        <is>
          <t>FY26</t>
        </is>
      </c>
      <c r="B710" s="19" t="inlineStr">
        <is>
          <t>Feb</t>
        </is>
      </c>
      <c r="C710" s="19" t="inlineStr">
        <is>
          <t>TN</t>
        </is>
      </c>
      <c r="D710" s="20" t="inlineStr">
        <is>
          <t>TN22DL2675</t>
        </is>
      </c>
      <c r="E710" s="20" t="inlineStr">
        <is>
          <t>MARUTI SUZUKI</t>
        </is>
      </c>
      <c r="F710" s="20" t="inlineStr">
        <is>
          <t>Swift</t>
        </is>
      </c>
      <c r="G710" s="21" t="n">
        <v>2018</v>
      </c>
      <c r="H710" s="22" t="n">
        <v>62950</v>
      </c>
      <c r="I710" s="22" t="n">
        <v>555000</v>
      </c>
      <c r="J710" s="20" t="inlineStr">
        <is>
          <t>STEER AUTO TECHNOLOGIES PRIVATE LIMITED</t>
        </is>
      </c>
      <c r="K710" s="20" t="inlineStr">
        <is>
          <t>Non-Captive</t>
        </is>
      </c>
      <c r="L710" s="20" t="inlineStr">
        <is>
          <t>Rithika cars</t>
        </is>
      </c>
      <c r="M710" s="23" t="n">
        <v>3389.83</v>
      </c>
    </row>
    <row r="711">
      <c r="A711" s="19" t="inlineStr">
        <is>
          <t>FY26</t>
        </is>
      </c>
      <c r="B711" s="19" t="inlineStr">
        <is>
          <t>Feb</t>
        </is>
      </c>
      <c r="C711" s="19" t="inlineStr">
        <is>
          <t>TN</t>
        </is>
      </c>
      <c r="D711" s="20" t="inlineStr">
        <is>
          <t>TN07CM6240</t>
        </is>
      </c>
      <c r="E711" s="20" t="inlineStr">
        <is>
          <t>MARUTI SUZUKI</t>
        </is>
      </c>
      <c r="F711" s="20" t="inlineStr">
        <is>
          <t>Swift Dzire</t>
        </is>
      </c>
      <c r="G711" s="21" t="n">
        <v>2018</v>
      </c>
      <c r="H711" s="22" t="n">
        <v>69661</v>
      </c>
      <c r="I711" s="22" t="n">
        <v>545000</v>
      </c>
      <c r="J711" s="20" t="inlineStr">
        <is>
          <t>STEER AUTO TECHNOLOGIES PRIVATE LIMITED</t>
        </is>
      </c>
      <c r="K711" s="20" t="inlineStr">
        <is>
          <t>Non-Captive</t>
        </is>
      </c>
      <c r="L711" s="20" t="inlineStr">
        <is>
          <t>Rithika cars</t>
        </is>
      </c>
      <c r="M711" s="23" t="n">
        <v>3389.83</v>
      </c>
    </row>
    <row r="712">
      <c r="A712" s="19" t="inlineStr">
        <is>
          <t>FY26</t>
        </is>
      </c>
      <c r="B712" s="19" t="inlineStr">
        <is>
          <t>Feb</t>
        </is>
      </c>
      <c r="C712" s="19" t="inlineStr">
        <is>
          <t>TN</t>
        </is>
      </c>
      <c r="D712" s="20" t="inlineStr">
        <is>
          <t>TN45BK5549</t>
        </is>
      </c>
      <c r="E712" s="20" t="inlineStr">
        <is>
          <t>RENAULT</t>
        </is>
      </c>
      <c r="F712" s="20" t="inlineStr">
        <is>
          <t>Duster</t>
        </is>
      </c>
      <c r="G712" s="21" t="n">
        <v>2016</v>
      </c>
      <c r="H712" s="22" t="n">
        <v>67909</v>
      </c>
      <c r="I712" s="22" t="n">
        <v>540000</v>
      </c>
      <c r="J712" s="20" t="inlineStr">
        <is>
          <t>STEER AUTO TECHNOLOGIES PRIVATE LIMITED</t>
        </is>
      </c>
      <c r="K712" s="20" t="inlineStr">
        <is>
          <t>Non-Captive</t>
        </is>
      </c>
      <c r="L712" s="20" t="inlineStr">
        <is>
          <t>Rithika cars</t>
        </is>
      </c>
      <c r="M712" s="23" t="n">
        <v>3389.83</v>
      </c>
    </row>
    <row r="713">
      <c r="A713" s="19" t="inlineStr">
        <is>
          <t>FY26</t>
        </is>
      </c>
      <c r="B713" s="19" t="inlineStr">
        <is>
          <t>Feb</t>
        </is>
      </c>
      <c r="C713" s="19" t="inlineStr">
        <is>
          <t>TN</t>
        </is>
      </c>
      <c r="D713" s="20" t="inlineStr">
        <is>
          <t>TN01BB0846</t>
        </is>
      </c>
      <c r="E713" s="20" t="inlineStr">
        <is>
          <t>MARUTI SUZUKI</t>
        </is>
      </c>
      <c r="F713" s="20" t="inlineStr">
        <is>
          <t>Ciaz</t>
        </is>
      </c>
      <c r="G713" s="21" t="n">
        <v>2016</v>
      </c>
      <c r="H713" s="22" t="n">
        <v>76924</v>
      </c>
      <c r="I713" s="22" t="n">
        <v>580000</v>
      </c>
      <c r="J713" s="20" t="inlineStr">
        <is>
          <t>STEER AUTO TECHNOLOGIES PRIVATE LIMITED</t>
        </is>
      </c>
      <c r="K713" s="20" t="inlineStr">
        <is>
          <t>Non-Captive</t>
        </is>
      </c>
      <c r="L713" s="20" t="inlineStr">
        <is>
          <t>Rithika cars</t>
        </is>
      </c>
      <c r="M713" s="23" t="n">
        <v>3389.83</v>
      </c>
    </row>
    <row r="714">
      <c r="A714" s="19" t="inlineStr">
        <is>
          <t>FY26</t>
        </is>
      </c>
      <c r="B714" s="19" t="inlineStr">
        <is>
          <t>Feb</t>
        </is>
      </c>
      <c r="C714" s="19" t="inlineStr">
        <is>
          <t>TN</t>
        </is>
      </c>
      <c r="D714" s="20" t="inlineStr">
        <is>
          <t>TN07CB6293</t>
        </is>
      </c>
      <c r="E714" s="20" t="inlineStr">
        <is>
          <t>HYUNDAI</t>
        </is>
      </c>
      <c r="F714" s="20" t="inlineStr">
        <is>
          <t>Xcent</t>
        </is>
      </c>
      <c r="G714" s="21" t="n">
        <v>2015</v>
      </c>
      <c r="H714" s="22" t="n">
        <v>141031</v>
      </c>
      <c r="I714" s="22" t="n">
        <v>288000</v>
      </c>
      <c r="J714" s="20" t="inlineStr">
        <is>
          <t>STEER AUTO TECHNOLOGIES PRIVATE LIMITED</t>
        </is>
      </c>
      <c r="K714" s="20" t="inlineStr">
        <is>
          <t>Non-Captive</t>
        </is>
      </c>
      <c r="L714" s="20" t="inlineStr">
        <is>
          <t>Rithika cars</t>
        </is>
      </c>
      <c r="M714" s="23" t="n">
        <v>3389.83</v>
      </c>
    </row>
    <row r="715">
      <c r="A715" s="19" t="inlineStr">
        <is>
          <t>FY26</t>
        </is>
      </c>
      <c r="B715" s="19" t="inlineStr">
        <is>
          <t>Feb</t>
        </is>
      </c>
      <c r="C715" s="19" t="inlineStr">
        <is>
          <t>TN</t>
        </is>
      </c>
      <c r="D715" s="20" t="inlineStr">
        <is>
          <t>TN70D9849</t>
        </is>
      </c>
      <c r="E715" s="20" t="inlineStr">
        <is>
          <t>CHEVROLET</t>
        </is>
      </c>
      <c r="F715" s="20" t="inlineStr">
        <is>
          <t>Spark</t>
        </is>
      </c>
      <c r="G715" s="21" t="n">
        <v>2011</v>
      </c>
      <c r="H715" s="22" t="n">
        <v>76623</v>
      </c>
      <c r="I715" s="22" t="n">
        <v>113000</v>
      </c>
      <c r="J715" s="20" t="inlineStr">
        <is>
          <t>STEER AUTO TECHNOLOGIES PRIVATE LIMITED</t>
        </is>
      </c>
      <c r="K715" s="20" t="inlineStr">
        <is>
          <t>Non-Captive</t>
        </is>
      </c>
      <c r="L715" s="20" t="inlineStr">
        <is>
          <t>Rithika cars</t>
        </is>
      </c>
      <c r="M715" s="23" t="n">
        <v>3389.83</v>
      </c>
    </row>
    <row r="716">
      <c r="A716" s="19" t="inlineStr">
        <is>
          <t>FY26</t>
        </is>
      </c>
      <c r="B716" s="19" t="inlineStr">
        <is>
          <t>Feb</t>
        </is>
      </c>
      <c r="C716" s="19" t="inlineStr">
        <is>
          <t>TN</t>
        </is>
      </c>
      <c r="D716" s="20" t="inlineStr">
        <is>
          <t>TN11Q5934</t>
        </is>
      </c>
      <c r="E716" s="20" t="inlineStr">
        <is>
          <t>FORD</t>
        </is>
      </c>
      <c r="F716" s="20" t="inlineStr">
        <is>
          <t>Ecosport</t>
        </is>
      </c>
      <c r="G716" s="21" t="n">
        <v>2015</v>
      </c>
      <c r="H716" s="22" t="n">
        <v>99999</v>
      </c>
      <c r="I716" s="22" t="n">
        <v>358000</v>
      </c>
      <c r="J716" s="20" t="inlineStr">
        <is>
          <t>STEER AUTO TECHNOLOGIES PRIVATE LIMITED</t>
        </is>
      </c>
      <c r="K716" s="20" t="inlineStr">
        <is>
          <t>Non-Captive</t>
        </is>
      </c>
      <c r="L716" s="20" t="inlineStr">
        <is>
          <t>Rithika cars</t>
        </is>
      </c>
      <c r="M716" s="23" t="n">
        <v>3389.83</v>
      </c>
    </row>
    <row r="717">
      <c r="A717" s="19" t="inlineStr">
        <is>
          <t>FY26</t>
        </is>
      </c>
      <c r="B717" s="19" t="inlineStr">
        <is>
          <t>Feb</t>
        </is>
      </c>
      <c r="C717" s="19" t="inlineStr">
        <is>
          <t>TN</t>
        </is>
      </c>
      <c r="D717" s="20" t="inlineStr">
        <is>
          <t>TN07CT3064</t>
        </is>
      </c>
      <c r="E717" s="20" t="inlineStr">
        <is>
          <t>HYUNDAI</t>
        </is>
      </c>
      <c r="F717" s="20" t="inlineStr">
        <is>
          <t>Venue</t>
        </is>
      </c>
      <c r="G717" s="21" t="n">
        <v>2019</v>
      </c>
      <c r="H717" s="22" t="n">
        <v>49084</v>
      </c>
      <c r="I717" s="22" t="n">
        <v>825000</v>
      </c>
      <c r="J717" s="20" t="inlineStr">
        <is>
          <t>STEER AUTO TECHNOLOGIES PRIVATE LIMITED</t>
        </is>
      </c>
      <c r="K717" s="20" t="inlineStr">
        <is>
          <t>Non-Captive</t>
        </is>
      </c>
      <c r="L717" s="20" t="inlineStr">
        <is>
          <t>Rithika cars</t>
        </is>
      </c>
      <c r="M717" s="23" t="n">
        <v>3389.83</v>
      </c>
    </row>
    <row r="718">
      <c r="A718" s="19" t="inlineStr">
        <is>
          <t>FY26</t>
        </is>
      </c>
      <c r="B718" s="19" t="inlineStr">
        <is>
          <t>Feb</t>
        </is>
      </c>
      <c r="C718" s="19" t="inlineStr">
        <is>
          <t>TN</t>
        </is>
      </c>
      <c r="D718" s="20" t="inlineStr">
        <is>
          <t>TN05BM4683</t>
        </is>
      </c>
      <c r="E718" s="20" t="inlineStr">
        <is>
          <t>RENAULT</t>
        </is>
      </c>
      <c r="F718" s="20" t="inlineStr">
        <is>
          <t>Duster</t>
        </is>
      </c>
      <c r="G718" s="21" t="n">
        <v>2017</v>
      </c>
      <c r="H718" s="22" t="n">
        <v>88530</v>
      </c>
      <c r="I718" s="22" t="n">
        <v>645000</v>
      </c>
      <c r="J718" s="20" t="inlineStr">
        <is>
          <t>STEER AUTO TECHNOLOGIES PRIVATE LIMITED</t>
        </is>
      </c>
      <c r="K718" s="20" t="inlineStr">
        <is>
          <t>Non-Captive</t>
        </is>
      </c>
      <c r="L718" s="20" t="inlineStr">
        <is>
          <t>Rithika cars</t>
        </is>
      </c>
      <c r="M718" s="23" t="n">
        <v>3389.83</v>
      </c>
    </row>
    <row r="719">
      <c r="A719" s="19" t="inlineStr">
        <is>
          <t>FY26</t>
        </is>
      </c>
      <c r="B719" s="19" t="inlineStr">
        <is>
          <t>Feb</t>
        </is>
      </c>
      <c r="C719" s="19" t="inlineStr">
        <is>
          <t>TN</t>
        </is>
      </c>
      <c r="D719" s="20" t="inlineStr">
        <is>
          <t>TN07CB2813</t>
        </is>
      </c>
      <c r="E719" s="20" t="inlineStr">
        <is>
          <t>HONDA</t>
        </is>
      </c>
      <c r="F719" s="20" t="inlineStr">
        <is>
          <t>City</t>
        </is>
      </c>
      <c r="G719" s="21" t="n">
        <v>2015</v>
      </c>
      <c r="H719" s="22" t="n">
        <v>72938</v>
      </c>
      <c r="I719" s="22" t="n">
        <v>585000</v>
      </c>
      <c r="J719" s="20" t="inlineStr">
        <is>
          <t>STEER AUTO TECHNOLOGIES PRIVATE LIMITED</t>
        </is>
      </c>
      <c r="K719" s="20" t="inlineStr">
        <is>
          <t>Non-Captive</t>
        </is>
      </c>
      <c r="L719" s="20" t="inlineStr">
        <is>
          <t>Rithika cars</t>
        </is>
      </c>
      <c r="M719" s="23" t="n">
        <v>3389.83</v>
      </c>
    </row>
    <row r="720">
      <c r="A720" s="19" t="inlineStr">
        <is>
          <t>FY26</t>
        </is>
      </c>
      <c r="B720" s="19" t="inlineStr">
        <is>
          <t>Feb</t>
        </is>
      </c>
      <c r="C720" s="19" t="inlineStr">
        <is>
          <t>TN</t>
        </is>
      </c>
      <c r="D720" s="20" t="inlineStr">
        <is>
          <t>TN09CH1362</t>
        </is>
      </c>
      <c r="E720" s="20" t="inlineStr">
        <is>
          <t>VOLKSWAGEN</t>
        </is>
      </c>
      <c r="F720" s="20" t="inlineStr">
        <is>
          <t>Vento</t>
        </is>
      </c>
      <c r="G720" s="21" t="n">
        <v>2016</v>
      </c>
      <c r="H720" s="22" t="n">
        <v>51953</v>
      </c>
      <c r="I720" s="22" t="n">
        <v>520000</v>
      </c>
      <c r="J720" s="20" t="inlineStr">
        <is>
          <t>STEER AUTO TECHNOLOGIES PRIVATE LIMITED</t>
        </is>
      </c>
      <c r="K720" s="20" t="inlineStr">
        <is>
          <t>Non-Captive</t>
        </is>
      </c>
      <c r="L720" s="20" t="inlineStr">
        <is>
          <t>Rithika cars</t>
        </is>
      </c>
      <c r="M720" s="23" t="n">
        <v>3389.83</v>
      </c>
    </row>
    <row r="721">
      <c r="A721" s="19" t="inlineStr">
        <is>
          <t>FY26</t>
        </is>
      </c>
      <c r="B721" s="19" t="inlineStr">
        <is>
          <t>Feb</t>
        </is>
      </c>
      <c r="C721" s="19" t="inlineStr">
        <is>
          <t>TN</t>
        </is>
      </c>
      <c r="D721" s="20" t="inlineStr">
        <is>
          <t>TN22BK1345</t>
        </is>
      </c>
      <c r="E721" s="20" t="inlineStr">
        <is>
          <t>HYUNDAI</t>
        </is>
      </c>
      <c r="F721" s="20" t="inlineStr">
        <is>
          <t>Santro</t>
        </is>
      </c>
      <c r="G721" s="21" t="n">
        <v>2010</v>
      </c>
      <c r="H721" s="22" t="n">
        <v>54683</v>
      </c>
      <c r="I721" s="22" t="n">
        <v>188000</v>
      </c>
      <c r="J721" s="20" t="inlineStr">
        <is>
          <t>STEER AUTO TECHNOLOGIES PRIVATE LIMITED</t>
        </is>
      </c>
      <c r="K721" s="20" t="inlineStr">
        <is>
          <t>Non-Captive</t>
        </is>
      </c>
      <c r="L721" s="20" t="inlineStr">
        <is>
          <t>Rithika cars</t>
        </is>
      </c>
      <c r="M721" s="23" t="n">
        <v>3389.83</v>
      </c>
    </row>
    <row r="722">
      <c r="A722" s="19" t="inlineStr">
        <is>
          <t>FY26</t>
        </is>
      </c>
      <c r="B722" s="19" t="inlineStr">
        <is>
          <t>Feb</t>
        </is>
      </c>
      <c r="C722" s="19" t="inlineStr">
        <is>
          <t>TN</t>
        </is>
      </c>
      <c r="D722" s="20" t="inlineStr">
        <is>
          <t>TN02BD5733</t>
        </is>
      </c>
      <c r="E722" s="20" t="inlineStr">
        <is>
          <t>VOLKSWAGEN</t>
        </is>
      </c>
      <c r="F722" s="20" t="inlineStr">
        <is>
          <t>Vento</t>
        </is>
      </c>
      <c r="G722" s="21" t="n">
        <v>2016</v>
      </c>
      <c r="H722" s="22" t="n">
        <v>114849</v>
      </c>
      <c r="I722" s="22" t="n">
        <v>426000</v>
      </c>
      <c r="J722" s="20" t="inlineStr">
        <is>
          <t>STEER AUTO TECHNOLOGIES PRIVATE LIMITED</t>
        </is>
      </c>
      <c r="K722" s="20" t="inlineStr">
        <is>
          <t>Non-Captive</t>
        </is>
      </c>
      <c r="L722" s="20" t="inlineStr">
        <is>
          <t>Rithika cars</t>
        </is>
      </c>
      <c r="M722" s="23" t="n">
        <v>3389.83</v>
      </c>
    </row>
    <row r="723">
      <c r="A723" s="19" t="inlineStr">
        <is>
          <t>FY26</t>
        </is>
      </c>
      <c r="B723" s="19" t="inlineStr">
        <is>
          <t>Feb</t>
        </is>
      </c>
      <c r="C723" s="19" t="inlineStr">
        <is>
          <t>TN</t>
        </is>
      </c>
      <c r="D723" s="20" t="inlineStr">
        <is>
          <t>TN07CE8743</t>
        </is>
      </c>
      <c r="E723" s="20" t="inlineStr">
        <is>
          <t>MARUTI SUZUKI</t>
        </is>
      </c>
      <c r="F723" s="20" t="inlineStr">
        <is>
          <t>Swift</t>
        </is>
      </c>
      <c r="G723" s="21" t="n">
        <v>2016</v>
      </c>
      <c r="H723" s="22" t="n">
        <v>37956</v>
      </c>
      <c r="I723" s="22" t="n">
        <v>448000</v>
      </c>
      <c r="J723" s="20" t="inlineStr">
        <is>
          <t>STEER AUTO TECHNOLOGIES PRIVATE LIMITED</t>
        </is>
      </c>
      <c r="K723" s="20" t="inlineStr">
        <is>
          <t>Non-Captive</t>
        </is>
      </c>
      <c r="L723" s="20" t="inlineStr">
        <is>
          <t>Rithika cars</t>
        </is>
      </c>
      <c r="M723" s="23" t="n">
        <v>3389.83</v>
      </c>
    </row>
    <row r="724">
      <c r="A724" s="19" t="inlineStr">
        <is>
          <t>FY26</t>
        </is>
      </c>
      <c r="B724" s="19" t="inlineStr">
        <is>
          <t>Feb</t>
        </is>
      </c>
      <c r="C724" s="19" t="inlineStr">
        <is>
          <t>TN</t>
        </is>
      </c>
      <c r="D724" s="20" t="inlineStr">
        <is>
          <t>TN07CK9274</t>
        </is>
      </c>
      <c r="E724" s="20" t="inlineStr">
        <is>
          <t>VOLKSWAGEN</t>
        </is>
      </c>
      <c r="F724" s="20" t="inlineStr">
        <is>
          <t>Polo</t>
        </is>
      </c>
      <c r="G724" s="21" t="n">
        <v>2017</v>
      </c>
      <c r="H724" s="22" t="n">
        <v>80924</v>
      </c>
      <c r="I724" s="22" t="n">
        <v>605000</v>
      </c>
      <c r="J724" s="20" t="inlineStr">
        <is>
          <t>STEER AUTO TECHNOLOGIES PRIVATE LIMITED</t>
        </is>
      </c>
      <c r="K724" s="20" t="inlineStr">
        <is>
          <t>Non-Captive</t>
        </is>
      </c>
      <c r="L724" s="20" t="inlineStr">
        <is>
          <t>Rithika cars</t>
        </is>
      </c>
      <c r="M724" s="23" t="n">
        <v>3389.83</v>
      </c>
    </row>
    <row r="725">
      <c r="A725" s="19" t="inlineStr">
        <is>
          <t>FY26</t>
        </is>
      </c>
      <c r="B725" s="19" t="inlineStr">
        <is>
          <t>Feb</t>
        </is>
      </c>
      <c r="C725" s="19" t="inlineStr">
        <is>
          <t>TN</t>
        </is>
      </c>
      <c r="D725" s="20" t="inlineStr">
        <is>
          <t>TN10AY7842</t>
        </is>
      </c>
      <c r="E725" s="20" t="inlineStr">
        <is>
          <t>VOLKSWAGEN</t>
        </is>
      </c>
      <c r="F725" s="20" t="inlineStr">
        <is>
          <t>Vento</t>
        </is>
      </c>
      <c r="G725" s="21" t="n">
        <v>2017</v>
      </c>
      <c r="H725" s="22" t="n">
        <v>109276</v>
      </c>
      <c r="I725" s="22" t="n">
        <v>535000</v>
      </c>
      <c r="J725" s="20" t="inlineStr">
        <is>
          <t>STEER AUTO TECHNOLOGIES PRIVATE LIMITED</t>
        </is>
      </c>
      <c r="K725" s="20" t="inlineStr">
        <is>
          <t>Non-Captive</t>
        </is>
      </c>
      <c r="L725" s="20" t="inlineStr">
        <is>
          <t>Rithika cars</t>
        </is>
      </c>
      <c r="M725" s="23" t="n">
        <v>3389.83</v>
      </c>
    </row>
    <row r="726">
      <c r="A726" s="19" t="inlineStr">
        <is>
          <t>FY26</t>
        </is>
      </c>
      <c r="B726" s="19" t="inlineStr">
        <is>
          <t>Feb</t>
        </is>
      </c>
      <c r="C726" s="19" t="inlineStr">
        <is>
          <t>TN</t>
        </is>
      </c>
      <c r="D726" s="20" t="inlineStr">
        <is>
          <t>TN12L6069</t>
        </is>
      </c>
      <c r="E726" s="20" t="inlineStr">
        <is>
          <t>RENAULT</t>
        </is>
      </c>
      <c r="F726" s="20" t="inlineStr">
        <is>
          <t>Duster</t>
        </is>
      </c>
      <c r="G726" s="21" t="n">
        <v>2016</v>
      </c>
      <c r="H726" s="22" t="n">
        <v>104531</v>
      </c>
      <c r="I726" s="22" t="n">
        <v>520000</v>
      </c>
      <c r="J726" s="20" t="inlineStr">
        <is>
          <t>STEER AUTO TECHNOLOGIES PRIVATE LIMITED</t>
        </is>
      </c>
      <c r="K726" s="20" t="inlineStr">
        <is>
          <t>Non-Captive</t>
        </is>
      </c>
      <c r="L726" s="20" t="inlineStr">
        <is>
          <t>Rithika cars</t>
        </is>
      </c>
      <c r="M726" s="23" t="n">
        <v>3389.83</v>
      </c>
    </row>
    <row r="727">
      <c r="A727" s="19" t="inlineStr">
        <is>
          <t>FY26</t>
        </is>
      </c>
      <c r="B727" s="19" t="inlineStr">
        <is>
          <t>Feb</t>
        </is>
      </c>
      <c r="C727" s="19" t="inlineStr">
        <is>
          <t>TN</t>
        </is>
      </c>
      <c r="D727" s="20" t="inlineStr">
        <is>
          <t>TN91K2029</t>
        </is>
      </c>
      <c r="E727" s="20" t="inlineStr">
        <is>
          <t>TATA</t>
        </is>
      </c>
      <c r="F727" s="20" t="inlineStr">
        <is>
          <t>Nexon</t>
        </is>
      </c>
      <c r="G727" s="21" t="n">
        <v>2021</v>
      </c>
      <c r="H727" s="22" t="n">
        <v>108964</v>
      </c>
      <c r="I727" s="22" t="n">
        <v>585000</v>
      </c>
      <c r="J727" s="20" t="inlineStr">
        <is>
          <t>STEER AUTO TECHNOLOGIES PRIVATE LIMITED</t>
        </is>
      </c>
      <c r="K727" s="20" t="inlineStr">
        <is>
          <t>Non-Captive</t>
        </is>
      </c>
      <c r="L727" s="20" t="inlineStr">
        <is>
          <t>Rithika cars</t>
        </is>
      </c>
      <c r="M727" s="23" t="n">
        <v>3389.83</v>
      </c>
    </row>
    <row r="728">
      <c r="A728" s="19" t="inlineStr">
        <is>
          <t>FY26</t>
        </is>
      </c>
      <c r="B728" s="19" t="inlineStr">
        <is>
          <t>Feb</t>
        </is>
      </c>
      <c r="C728" s="19" t="inlineStr">
        <is>
          <t>TN</t>
        </is>
      </c>
      <c r="D728" s="20" t="inlineStr">
        <is>
          <t>TN11R6450</t>
        </is>
      </c>
      <c r="E728" s="20" t="inlineStr">
        <is>
          <t>VOLKSWAGEN</t>
        </is>
      </c>
      <c r="F728" s="20" t="inlineStr">
        <is>
          <t>Polo</t>
        </is>
      </c>
      <c r="G728" s="21" t="n">
        <v>2016</v>
      </c>
      <c r="H728" s="22" t="n">
        <v>109817</v>
      </c>
      <c r="I728" s="22" t="n">
        <v>408000</v>
      </c>
      <c r="J728" s="20" t="inlineStr">
        <is>
          <t>STEER AUTO TECHNOLOGIES PRIVATE LIMITED</t>
        </is>
      </c>
      <c r="K728" s="20" t="inlineStr">
        <is>
          <t>Non-Captive</t>
        </is>
      </c>
      <c r="L728" s="20" t="inlineStr">
        <is>
          <t>Rithika cars</t>
        </is>
      </c>
      <c r="M728" s="23" t="n">
        <v>4237.29</v>
      </c>
    </row>
    <row r="729">
      <c r="A729" s="19" t="inlineStr">
        <is>
          <t>FY26</t>
        </is>
      </c>
      <c r="B729" s="19" t="inlineStr">
        <is>
          <t>Feb</t>
        </is>
      </c>
      <c r="C729" s="19" t="inlineStr">
        <is>
          <t>TN</t>
        </is>
      </c>
      <c r="D729" s="20" t="inlineStr">
        <is>
          <t>TN12U9378</t>
        </is>
      </c>
      <c r="E729" s="20" t="inlineStr">
        <is>
          <t>HONDA</t>
        </is>
      </c>
      <c r="F729" s="20" t="inlineStr">
        <is>
          <t>Wr-V</t>
        </is>
      </c>
      <c r="G729" s="21" t="n">
        <v>2017</v>
      </c>
      <c r="H729" s="22" t="n">
        <v>143727</v>
      </c>
      <c r="I729" s="22" t="n">
        <v>495000</v>
      </c>
      <c r="J729" s="20" t="inlineStr">
        <is>
          <t>STEER AUTO TECHNOLOGIES PRIVATE LIMITED</t>
        </is>
      </c>
      <c r="K729" s="20" t="inlineStr">
        <is>
          <t>Non-Captive</t>
        </is>
      </c>
      <c r="L729" s="20" t="inlineStr">
        <is>
          <t>Rithika cars</t>
        </is>
      </c>
      <c r="M729" s="23" t="n">
        <v>4237.29</v>
      </c>
    </row>
    <row r="730">
      <c r="A730" s="19" t="inlineStr">
        <is>
          <t>FY26</t>
        </is>
      </c>
      <c r="B730" s="19" t="inlineStr">
        <is>
          <t>Feb</t>
        </is>
      </c>
      <c r="C730" s="19" t="inlineStr">
        <is>
          <t>TN</t>
        </is>
      </c>
      <c r="D730" s="20" t="inlineStr">
        <is>
          <t>TN11K1532</t>
        </is>
      </c>
      <c r="E730" s="20" t="inlineStr">
        <is>
          <t>HYUNDAI</t>
        </is>
      </c>
      <c r="F730" s="20" t="inlineStr">
        <is>
          <t>Eon</t>
        </is>
      </c>
      <c r="G730" s="21" t="n">
        <v>2014</v>
      </c>
      <c r="H730" s="22" t="n">
        <v>78781</v>
      </c>
      <c r="I730" s="22" t="n">
        <v>160000</v>
      </c>
      <c r="J730" s="20" t="inlineStr">
        <is>
          <t>STEER AUTO TECHNOLOGIES PRIVATE LIMITED</t>
        </is>
      </c>
      <c r="K730" s="20" t="inlineStr">
        <is>
          <t>Non-Captive</t>
        </is>
      </c>
      <c r="L730" s="20" t="inlineStr">
        <is>
          <t>Rithika cars</t>
        </is>
      </c>
      <c r="M730" s="23" t="n">
        <v>4237.29</v>
      </c>
    </row>
    <row r="731">
      <c r="A731" s="19" t="inlineStr">
        <is>
          <t>FY26</t>
        </is>
      </c>
      <c r="B731" s="19" t="inlineStr">
        <is>
          <t>Feb</t>
        </is>
      </c>
      <c r="C731" s="19" t="inlineStr">
        <is>
          <t>TN</t>
        </is>
      </c>
      <c r="D731" s="20" t="inlineStr">
        <is>
          <t>TN18AX4570</t>
        </is>
      </c>
      <c r="E731" s="20" t="inlineStr">
        <is>
          <t>RENAULT</t>
        </is>
      </c>
      <c r="F731" s="20" t="inlineStr">
        <is>
          <t>Kwid</t>
        </is>
      </c>
      <c r="G731" s="21" t="n">
        <v>2018</v>
      </c>
      <c r="H731" s="22" t="n">
        <v>36202</v>
      </c>
      <c r="I731" s="22" t="n">
        <v>275000</v>
      </c>
      <c r="J731" s="20" t="inlineStr">
        <is>
          <t>STEER AUTO TECHNOLOGIES PRIVATE LIMITED</t>
        </is>
      </c>
      <c r="K731" s="20" t="inlineStr">
        <is>
          <t>Non-Captive</t>
        </is>
      </c>
      <c r="L731" s="20" t="inlineStr">
        <is>
          <t>Rithika cars</t>
        </is>
      </c>
      <c r="M731" s="23" t="n">
        <v>4237.29</v>
      </c>
    </row>
    <row r="732">
      <c r="A732" s="19" t="inlineStr">
        <is>
          <t>FY26</t>
        </is>
      </c>
      <c r="B732" s="19" t="inlineStr">
        <is>
          <t>Feb</t>
        </is>
      </c>
      <c r="C732" s="19" t="inlineStr">
        <is>
          <t>TN</t>
        </is>
      </c>
      <c r="D732" s="20" t="inlineStr">
        <is>
          <t>TN14V3370</t>
        </is>
      </c>
      <c r="E732" s="20" t="inlineStr">
        <is>
          <t>RENAULT</t>
        </is>
      </c>
      <c r="F732" s="20" t="inlineStr">
        <is>
          <t>Kwid</t>
        </is>
      </c>
      <c r="G732" s="21" t="n">
        <v>2019</v>
      </c>
      <c r="H732" s="22" t="n">
        <v>92457</v>
      </c>
      <c r="I732" s="22" t="n">
        <v>320000</v>
      </c>
      <c r="J732" s="20" t="inlineStr">
        <is>
          <t>STEER AUTO TECHNOLOGIES PRIVATE LIMITED</t>
        </is>
      </c>
      <c r="K732" s="20" t="inlineStr">
        <is>
          <t>Non-Captive</t>
        </is>
      </c>
      <c r="L732" s="20" t="inlineStr">
        <is>
          <t>Rithika cars</t>
        </is>
      </c>
      <c r="M732" s="23" t="n">
        <v>4237.29</v>
      </c>
    </row>
    <row r="733">
      <c r="A733" s="19" t="inlineStr">
        <is>
          <t>FY26</t>
        </is>
      </c>
      <c r="B733" s="19" t="inlineStr">
        <is>
          <t>Feb</t>
        </is>
      </c>
      <c r="C733" s="19" t="inlineStr">
        <is>
          <t>TN</t>
        </is>
      </c>
      <c r="D733" s="20" t="inlineStr">
        <is>
          <t>TN05BB4241</t>
        </is>
      </c>
      <c r="E733" s="20" t="inlineStr">
        <is>
          <t>MARUTI SUZUKI</t>
        </is>
      </c>
      <c r="F733" s="20" t="inlineStr">
        <is>
          <t>Swift</t>
        </is>
      </c>
      <c r="G733" s="21" t="n">
        <v>2015</v>
      </c>
      <c r="H733" s="22" t="n">
        <v>60173</v>
      </c>
      <c r="I733" s="22" t="n">
        <v>325000</v>
      </c>
      <c r="J733" s="20" t="inlineStr">
        <is>
          <t>STEER AUTO TECHNOLOGIES PRIVATE LIMITED</t>
        </is>
      </c>
      <c r="K733" s="20" t="inlineStr">
        <is>
          <t>Non-Captive</t>
        </is>
      </c>
      <c r="L733" s="20" t="inlineStr">
        <is>
          <t>Rithika cars</t>
        </is>
      </c>
      <c r="M733" s="23" t="n">
        <v>4237.29</v>
      </c>
    </row>
    <row r="734">
      <c r="A734" s="19" t="inlineStr">
        <is>
          <t>FY26</t>
        </is>
      </c>
      <c r="B734" s="19" t="inlineStr">
        <is>
          <t>Feb</t>
        </is>
      </c>
      <c r="C734" s="19" t="inlineStr">
        <is>
          <t>TN</t>
        </is>
      </c>
      <c r="D734" s="20" t="inlineStr">
        <is>
          <t>TN07CJ6063</t>
        </is>
      </c>
      <c r="E734" s="20" t="inlineStr">
        <is>
          <t>HONDA</t>
        </is>
      </c>
      <c r="F734" s="20" t="inlineStr">
        <is>
          <t>Jazz</t>
        </is>
      </c>
      <c r="G734" s="21" t="n">
        <v>2017</v>
      </c>
      <c r="H734" s="22" t="n">
        <v>51577</v>
      </c>
      <c r="I734" s="22" t="n">
        <v>420000</v>
      </c>
      <c r="J734" s="20" t="inlineStr">
        <is>
          <t>STEER AUTO TECHNOLOGIES PRIVATE LIMITED</t>
        </is>
      </c>
      <c r="K734" s="20" t="inlineStr">
        <is>
          <t>Non-Captive</t>
        </is>
      </c>
      <c r="L734" s="20" t="inlineStr">
        <is>
          <t>Rithika cars</t>
        </is>
      </c>
      <c r="M734" s="23" t="n">
        <v>4237.29</v>
      </c>
    </row>
    <row r="735">
      <c r="A735" s="19" t="inlineStr">
        <is>
          <t>FY26</t>
        </is>
      </c>
      <c r="B735" s="19" t="inlineStr">
        <is>
          <t>Feb</t>
        </is>
      </c>
      <c r="C735" s="19" t="inlineStr">
        <is>
          <t>TN</t>
        </is>
      </c>
      <c r="D735" s="20" t="inlineStr">
        <is>
          <t>TN02BK2569</t>
        </is>
      </c>
      <c r="E735" s="20" t="inlineStr">
        <is>
          <t>VOLKSWAGEN</t>
        </is>
      </c>
      <c r="F735" s="20" t="inlineStr">
        <is>
          <t>Polo</t>
        </is>
      </c>
      <c r="G735" s="21" t="n">
        <v>2017</v>
      </c>
      <c r="H735" s="22" t="n">
        <v>71850</v>
      </c>
      <c r="I735" s="22" t="n">
        <v>400000</v>
      </c>
      <c r="J735" s="20" t="inlineStr">
        <is>
          <t>STEER AUTO TECHNOLOGIES PRIVATE LIMITED</t>
        </is>
      </c>
      <c r="K735" s="20" t="inlineStr">
        <is>
          <t>Non-Captive</t>
        </is>
      </c>
      <c r="L735" s="20" t="inlineStr">
        <is>
          <t>Rithika cars</t>
        </is>
      </c>
      <c r="M735" s="23" t="n">
        <v>4237.29</v>
      </c>
    </row>
    <row r="736">
      <c r="A736" s="19" t="inlineStr">
        <is>
          <t>FY26</t>
        </is>
      </c>
      <c r="B736" s="19" t="inlineStr">
        <is>
          <t>Feb</t>
        </is>
      </c>
      <c r="C736" s="19" t="inlineStr">
        <is>
          <t>TN</t>
        </is>
      </c>
      <c r="D736" s="20" t="inlineStr">
        <is>
          <t>TN07CA8129</t>
        </is>
      </c>
      <c r="E736" s="20" t="inlineStr">
        <is>
          <t>VOLKSWAGEN</t>
        </is>
      </c>
      <c r="F736" s="20" t="inlineStr">
        <is>
          <t>Vento</t>
        </is>
      </c>
      <c r="G736" s="21" t="n">
        <v>2014</v>
      </c>
      <c r="H736" s="22" t="n">
        <v>76431</v>
      </c>
      <c r="I736" s="22" t="n">
        <v>450000</v>
      </c>
      <c r="J736" s="20" t="inlineStr">
        <is>
          <t>STEER AUTO TECHNOLOGIES PRIVATE LIMITED</t>
        </is>
      </c>
      <c r="K736" s="20" t="inlineStr">
        <is>
          <t>Non-Captive</t>
        </is>
      </c>
      <c r="L736" s="20" t="inlineStr">
        <is>
          <t>Rithika cars</t>
        </is>
      </c>
      <c r="M736" s="23" t="n">
        <v>4237.29</v>
      </c>
    </row>
    <row r="737">
      <c r="A737" s="19" t="inlineStr">
        <is>
          <t>FY26</t>
        </is>
      </c>
      <c r="B737" s="19" t="inlineStr">
        <is>
          <t>Feb</t>
        </is>
      </c>
      <c r="C737" s="19" t="inlineStr">
        <is>
          <t>TN</t>
        </is>
      </c>
      <c r="D737" s="20" t="inlineStr">
        <is>
          <t>TN09CS0020</t>
        </is>
      </c>
      <c r="E737" s="20" t="inlineStr">
        <is>
          <t>HONDA</t>
        </is>
      </c>
      <c r="F737" s="20" t="inlineStr">
        <is>
          <t>City</t>
        </is>
      </c>
      <c r="G737" s="21" t="n">
        <v>2019</v>
      </c>
      <c r="H737" s="22" t="n">
        <v>87611</v>
      </c>
      <c r="I737" s="22" t="n">
        <v>650000</v>
      </c>
      <c r="J737" s="20" t="inlineStr">
        <is>
          <t>STEER AUTO TECHNOLOGIES PRIVATE LIMITED</t>
        </is>
      </c>
      <c r="K737" s="20" t="inlineStr">
        <is>
          <t>Non-Captive</t>
        </is>
      </c>
      <c r="L737" s="20" t="inlineStr">
        <is>
          <t>Rithika cars</t>
        </is>
      </c>
      <c r="M737" s="23" t="n">
        <v>4237.29</v>
      </c>
    </row>
    <row r="738">
      <c r="A738" s="19" t="inlineStr">
        <is>
          <t>FY26</t>
        </is>
      </c>
      <c r="B738" s="19" t="inlineStr">
        <is>
          <t>Feb</t>
        </is>
      </c>
      <c r="C738" s="19" t="inlineStr">
        <is>
          <t>TN</t>
        </is>
      </c>
      <c r="D738" s="20" t="inlineStr">
        <is>
          <t>TN72CV2817</t>
        </is>
      </c>
      <c r="E738" s="20" t="inlineStr">
        <is>
          <t>HYUNDAI</t>
        </is>
      </c>
      <c r="F738" s="20" t="inlineStr">
        <is>
          <t>I20</t>
        </is>
      </c>
      <c r="G738" s="21" t="n">
        <v>2022</v>
      </c>
      <c r="H738" s="22" t="n">
        <v>13916</v>
      </c>
      <c r="I738" s="22" t="n">
        <v>725000</v>
      </c>
      <c r="J738" s="20" t="inlineStr">
        <is>
          <t>STEER AUTO TECHNOLOGIES PRIVATE LIMITED</t>
        </is>
      </c>
      <c r="K738" s="20" t="inlineStr">
        <is>
          <t>Non-Captive</t>
        </is>
      </c>
      <c r="L738" s="20" t="inlineStr">
        <is>
          <t>Rithika cars</t>
        </is>
      </c>
      <c r="M738" s="23" t="n">
        <v>4237.29</v>
      </c>
    </row>
    <row r="739">
      <c r="A739" s="19" t="inlineStr">
        <is>
          <t>FY26</t>
        </is>
      </c>
      <c r="B739" s="19" t="inlineStr">
        <is>
          <t>Feb</t>
        </is>
      </c>
      <c r="C739" s="19" t="inlineStr">
        <is>
          <t>TN</t>
        </is>
      </c>
      <c r="D739" s="20" t="inlineStr">
        <is>
          <t>TN01AK7552</t>
        </is>
      </c>
      <c r="E739" s="20" t="inlineStr">
        <is>
          <t>CHEVROLET</t>
        </is>
      </c>
      <c r="F739" s="20" t="inlineStr">
        <is>
          <t>Beat</t>
        </is>
      </c>
      <c r="G739" s="21" t="n">
        <v>2010</v>
      </c>
      <c r="H739" s="22" t="n">
        <v>64905</v>
      </c>
      <c r="I739" s="22" t="n">
        <v>110000</v>
      </c>
      <c r="J739" s="20" t="inlineStr">
        <is>
          <t>STEER AUTO TECHNOLOGIES PRIVATE LIMITED</t>
        </is>
      </c>
      <c r="K739" s="20" t="inlineStr">
        <is>
          <t>Non-Captive</t>
        </is>
      </c>
      <c r="L739" s="20" t="inlineStr">
        <is>
          <t>Rithika cars</t>
        </is>
      </c>
      <c r="M739" s="23" t="n">
        <v>4237.29</v>
      </c>
    </row>
    <row r="740">
      <c r="A740" s="19" t="inlineStr">
        <is>
          <t>FY26</t>
        </is>
      </c>
      <c r="B740" s="19" t="inlineStr">
        <is>
          <t>Feb</t>
        </is>
      </c>
      <c r="C740" s="19" t="inlineStr">
        <is>
          <t>TN</t>
        </is>
      </c>
      <c r="D740" s="20" t="inlineStr">
        <is>
          <t>TN25BA9226</t>
        </is>
      </c>
      <c r="E740" s="20" t="inlineStr">
        <is>
          <t>TATA</t>
        </is>
      </c>
      <c r="F740" s="20" t="inlineStr">
        <is>
          <t>Tiago</t>
        </is>
      </c>
      <c r="G740" s="21" t="n">
        <v>2016</v>
      </c>
      <c r="H740" s="22" t="n">
        <v>91700</v>
      </c>
      <c r="I740" s="22" t="n">
        <v>270000</v>
      </c>
      <c r="J740" s="20" t="inlineStr">
        <is>
          <t>STEER AUTO TECHNOLOGIES PRIVATE LIMITED</t>
        </is>
      </c>
      <c r="K740" s="20" t="inlineStr">
        <is>
          <t>Non-Captive</t>
        </is>
      </c>
      <c r="L740" s="20" t="inlineStr">
        <is>
          <t>Rithika cars</t>
        </is>
      </c>
      <c r="M740" s="23" t="n">
        <v>4237.29</v>
      </c>
    </row>
    <row r="741">
      <c r="A741" s="19" t="inlineStr">
        <is>
          <t>FY26</t>
        </is>
      </c>
      <c r="B741" s="19" t="inlineStr">
        <is>
          <t>Feb</t>
        </is>
      </c>
      <c r="C741" s="19" t="inlineStr">
        <is>
          <t>TN</t>
        </is>
      </c>
      <c r="D741" s="20" t="inlineStr">
        <is>
          <t>TN09CL4393</t>
        </is>
      </c>
      <c r="E741" s="20" t="inlineStr">
        <is>
          <t>MARUTI SUZUKI</t>
        </is>
      </c>
      <c r="F741" s="20" t="inlineStr">
        <is>
          <t>Alto</t>
        </is>
      </c>
      <c r="G741" s="21" t="n">
        <v>2017</v>
      </c>
      <c r="H741" s="22" t="n">
        <v>46966</v>
      </c>
      <c r="I741" s="22" t="n">
        <v>225000</v>
      </c>
      <c r="J741" s="20" t="inlineStr">
        <is>
          <t>STEER AUTO TECHNOLOGIES PRIVATE LIMITED</t>
        </is>
      </c>
      <c r="K741" s="20" t="inlineStr">
        <is>
          <t>Non-Captive</t>
        </is>
      </c>
      <c r="L741" s="20" t="inlineStr">
        <is>
          <t>Rithika cars</t>
        </is>
      </c>
      <c r="M741" s="23" t="n">
        <v>4237.29</v>
      </c>
    </row>
    <row r="742">
      <c r="A742" s="19" t="inlineStr">
        <is>
          <t>FY26</t>
        </is>
      </c>
      <c r="B742" s="19" t="inlineStr">
        <is>
          <t>Feb</t>
        </is>
      </c>
      <c r="C742" s="19" t="inlineStr">
        <is>
          <t>TN</t>
        </is>
      </c>
      <c r="D742" s="20" t="inlineStr">
        <is>
          <t>TN22DC9959</t>
        </is>
      </c>
      <c r="E742" s="20" t="inlineStr">
        <is>
          <t>MARUTI SUZUKI</t>
        </is>
      </c>
      <c r="F742" s="20" t="inlineStr">
        <is>
          <t>Celerio</t>
        </is>
      </c>
      <c r="G742" s="21" t="n">
        <v>2016</v>
      </c>
      <c r="H742" s="22" t="n">
        <v>38954</v>
      </c>
      <c r="I742" s="22" t="n">
        <v>330000</v>
      </c>
      <c r="J742" s="20" t="inlineStr">
        <is>
          <t>STEER AUTO TECHNOLOGIES PRIVATE LIMITED</t>
        </is>
      </c>
      <c r="K742" s="20" t="inlineStr">
        <is>
          <t>Non-Captive</t>
        </is>
      </c>
      <c r="L742" s="20" t="inlineStr">
        <is>
          <t>Rithika cars</t>
        </is>
      </c>
      <c r="M742" s="23" t="n">
        <v>4237.29</v>
      </c>
    </row>
    <row r="743">
      <c r="A743" s="19" t="inlineStr">
        <is>
          <t>FY26</t>
        </is>
      </c>
      <c r="B743" s="19" t="inlineStr">
        <is>
          <t>Feb</t>
        </is>
      </c>
      <c r="C743" s="19" t="inlineStr">
        <is>
          <t>TN</t>
        </is>
      </c>
      <c r="D743" s="20" t="inlineStr">
        <is>
          <t>TN05BF9637</t>
        </is>
      </c>
      <c r="E743" s="20" t="inlineStr">
        <is>
          <t>DATSUN</t>
        </is>
      </c>
      <c r="F743" s="20" t="inlineStr">
        <is>
          <t>Redi-Go</t>
        </is>
      </c>
      <c r="G743" s="21" t="n">
        <v>2016</v>
      </c>
      <c r="H743" s="22" t="n">
        <v>67975</v>
      </c>
      <c r="I743" s="22" t="n">
        <v>160000</v>
      </c>
      <c r="J743" s="20" t="inlineStr">
        <is>
          <t>STEER AUTO TECHNOLOGIES PRIVATE LIMITED</t>
        </is>
      </c>
      <c r="K743" s="20" t="inlineStr">
        <is>
          <t>Non-Captive</t>
        </is>
      </c>
      <c r="L743" s="20" t="inlineStr">
        <is>
          <t>Rithika cars</t>
        </is>
      </c>
      <c r="M743" s="23" t="n">
        <v>4237.29</v>
      </c>
    </row>
    <row r="744">
      <c r="A744" s="19" t="inlineStr">
        <is>
          <t>FY26</t>
        </is>
      </c>
      <c r="B744" s="19" t="inlineStr">
        <is>
          <t>Feb</t>
        </is>
      </c>
      <c r="C744" s="19" t="inlineStr">
        <is>
          <t>TN</t>
        </is>
      </c>
      <c r="D744" s="20" t="inlineStr">
        <is>
          <t>TN22DK8304</t>
        </is>
      </c>
      <c r="E744" s="20" t="inlineStr">
        <is>
          <t>HYUNDAI</t>
        </is>
      </c>
      <c r="F744" s="20" t="inlineStr">
        <is>
          <t>Xcent</t>
        </is>
      </c>
      <c r="G744" s="21" t="n">
        <v>2018</v>
      </c>
      <c r="H744" s="22" t="n">
        <v>196733</v>
      </c>
      <c r="I744" s="22" t="n">
        <v>170000</v>
      </c>
      <c r="J744" s="20" t="inlineStr">
        <is>
          <t>STEER AUTO TECHNOLOGIES PRIVATE LIMITED</t>
        </is>
      </c>
      <c r="K744" s="20" t="inlineStr">
        <is>
          <t>Non-Captive</t>
        </is>
      </c>
      <c r="L744" s="20" t="inlineStr">
        <is>
          <t>Rithika cars</t>
        </is>
      </c>
      <c r="M744" s="23" t="n">
        <v>4237.29</v>
      </c>
    </row>
    <row r="745">
      <c r="A745" s="19" t="inlineStr">
        <is>
          <t>FY26</t>
        </is>
      </c>
      <c r="B745" s="19" t="inlineStr">
        <is>
          <t>Feb</t>
        </is>
      </c>
      <c r="C745" s="19" t="inlineStr">
        <is>
          <t>TN</t>
        </is>
      </c>
      <c r="D745" s="20" t="inlineStr">
        <is>
          <t>TN01AV3125</t>
        </is>
      </c>
      <c r="E745" s="20" t="inlineStr">
        <is>
          <t>HYUNDAI</t>
        </is>
      </c>
      <c r="F745" s="20" t="inlineStr">
        <is>
          <t>Eon</t>
        </is>
      </c>
      <c r="G745" s="21" t="n">
        <v>2013</v>
      </c>
      <c r="H745" s="22" t="n">
        <v>76582</v>
      </c>
      <c r="I745" s="22" t="n">
        <v>160000</v>
      </c>
      <c r="J745" s="20" t="inlineStr">
        <is>
          <t>STEER AUTO TECHNOLOGIES PRIVATE LIMITED</t>
        </is>
      </c>
      <c r="K745" s="20" t="inlineStr">
        <is>
          <t>Non-Captive</t>
        </is>
      </c>
      <c r="L745" s="20" t="inlineStr">
        <is>
          <t>Grid 33</t>
        </is>
      </c>
      <c r="M745" s="23" t="n">
        <v>3389.83</v>
      </c>
    </row>
    <row r="746">
      <c r="A746" s="19" t="inlineStr">
        <is>
          <t>FY26</t>
        </is>
      </c>
      <c r="B746" s="19" t="inlineStr">
        <is>
          <t>Feb</t>
        </is>
      </c>
      <c r="C746" s="19" t="inlineStr">
        <is>
          <t>TN</t>
        </is>
      </c>
      <c r="D746" s="20" t="inlineStr">
        <is>
          <t>TN09BE5781</t>
        </is>
      </c>
      <c r="E746" s="20" t="inlineStr">
        <is>
          <t>HONDA</t>
        </is>
      </c>
      <c r="F746" s="20" t="inlineStr">
        <is>
          <t>Jazz</t>
        </is>
      </c>
      <c r="G746" s="21" t="n">
        <v>2010</v>
      </c>
      <c r="H746" s="22" t="n">
        <v>40984</v>
      </c>
      <c r="I746" s="22" t="n">
        <v>160000</v>
      </c>
      <c r="J746" s="20" t="inlineStr">
        <is>
          <t>STEER AUTO TECHNOLOGIES PRIVATE LIMITED</t>
        </is>
      </c>
      <c r="K746" s="20" t="inlineStr">
        <is>
          <t>Non-Captive</t>
        </is>
      </c>
      <c r="L746" s="20" t="inlineStr">
        <is>
          <t>Grid 33</t>
        </is>
      </c>
      <c r="M746" s="23" t="n">
        <v>3389.83</v>
      </c>
    </row>
    <row r="747">
      <c r="A747" s="19" t="inlineStr">
        <is>
          <t>FY26</t>
        </is>
      </c>
      <c r="B747" s="19" t="inlineStr">
        <is>
          <t>Feb</t>
        </is>
      </c>
      <c r="C747" s="19" t="inlineStr">
        <is>
          <t>TN</t>
        </is>
      </c>
      <c r="D747" s="20" t="inlineStr">
        <is>
          <t>TN09AK6084</t>
        </is>
      </c>
      <c r="E747" s="20" t="inlineStr">
        <is>
          <t>MARUTI SUZUKI</t>
        </is>
      </c>
      <c r="F747" s="20" t="inlineStr">
        <is>
          <t>Omni</t>
        </is>
      </c>
      <c r="G747" s="21" t="n">
        <v>2005</v>
      </c>
      <c r="H747" s="22" t="n">
        <v>87529</v>
      </c>
      <c r="I747" s="22" t="n">
        <v>70000</v>
      </c>
      <c r="J747" s="20" t="inlineStr">
        <is>
          <t>STEER AUTO TECHNOLOGIES PRIVATE LIMITED</t>
        </is>
      </c>
      <c r="K747" s="20" t="inlineStr">
        <is>
          <t>Non-Captive</t>
        </is>
      </c>
      <c r="L747" s="20" t="inlineStr">
        <is>
          <t>Grid 33</t>
        </is>
      </c>
      <c r="M747" s="23" t="n">
        <v>3389.83</v>
      </c>
    </row>
    <row r="748">
      <c r="A748" s="19" t="inlineStr">
        <is>
          <t>FY26</t>
        </is>
      </c>
      <c r="B748" s="19" t="inlineStr">
        <is>
          <t>Feb</t>
        </is>
      </c>
      <c r="C748" s="19" t="inlineStr">
        <is>
          <t>TN</t>
        </is>
      </c>
      <c r="D748" s="20" t="inlineStr">
        <is>
          <t>TN10AK7621</t>
        </is>
      </c>
      <c r="E748" s="20" t="inlineStr">
        <is>
          <t>CHEVROLET</t>
        </is>
      </c>
      <c r="F748" s="20" t="inlineStr">
        <is>
          <t>Spark</t>
        </is>
      </c>
      <c r="G748" s="21" t="n">
        <v>2013</v>
      </c>
      <c r="H748" s="22" t="n">
        <v>174961</v>
      </c>
      <c r="I748" s="22" t="n">
        <v>100000</v>
      </c>
      <c r="J748" s="20" t="inlineStr">
        <is>
          <t>STEER AUTO TECHNOLOGIES PRIVATE LIMITED</t>
        </is>
      </c>
      <c r="K748" s="20" t="inlineStr">
        <is>
          <t>Non-Captive</t>
        </is>
      </c>
      <c r="L748" s="20" t="inlineStr">
        <is>
          <t>Grid 33</t>
        </is>
      </c>
      <c r="M748" s="23" t="n">
        <v>3389.83</v>
      </c>
    </row>
    <row r="749">
      <c r="A749" s="19" t="inlineStr">
        <is>
          <t>FY26</t>
        </is>
      </c>
      <c r="B749" s="19" t="inlineStr">
        <is>
          <t>Feb</t>
        </is>
      </c>
      <c r="C749" s="19" t="inlineStr">
        <is>
          <t>TN</t>
        </is>
      </c>
      <c r="D749" s="20" t="inlineStr">
        <is>
          <t>TN12AP7833</t>
        </is>
      </c>
      <c r="E749" s="20" t="inlineStr">
        <is>
          <t>TATA</t>
        </is>
      </c>
      <c r="F749" s="20" t="inlineStr">
        <is>
          <t>Nexon</t>
        </is>
      </c>
      <c r="G749" s="21" t="n">
        <v>2021</v>
      </c>
      <c r="H749" s="22" t="n">
        <v>20575</v>
      </c>
      <c r="I749" s="22" t="n">
        <v>620000</v>
      </c>
      <c r="J749" s="20" t="inlineStr">
        <is>
          <t>STEER AUTO TECHNOLOGIES PRIVATE LIMITED</t>
        </is>
      </c>
      <c r="K749" s="20" t="inlineStr">
        <is>
          <t>Non-Captive</t>
        </is>
      </c>
      <c r="L749" s="20" t="inlineStr">
        <is>
          <t>Grid 33</t>
        </is>
      </c>
      <c r="M749" s="23" t="n">
        <v>3389.83</v>
      </c>
    </row>
    <row r="750">
      <c r="A750" s="19" t="inlineStr">
        <is>
          <t>FY26</t>
        </is>
      </c>
      <c r="B750" s="19" t="inlineStr">
        <is>
          <t>Feb</t>
        </is>
      </c>
      <c r="C750" s="19" t="inlineStr">
        <is>
          <t>TN</t>
        </is>
      </c>
      <c r="D750" s="20" t="inlineStr">
        <is>
          <t>TN11X3493</t>
        </is>
      </c>
      <c r="E750" s="20" t="inlineStr">
        <is>
          <t>HYUNDAI</t>
        </is>
      </c>
      <c r="F750" s="20" t="inlineStr">
        <is>
          <t>I10</t>
        </is>
      </c>
      <c r="G750" s="21" t="n">
        <v>2013</v>
      </c>
      <c r="H750" s="22" t="n">
        <v>83564</v>
      </c>
      <c r="I750" s="22" t="n">
        <v>120000</v>
      </c>
      <c r="J750" s="20" t="inlineStr">
        <is>
          <t>STEER AUTO TECHNOLOGIES PRIVATE LIMITED</t>
        </is>
      </c>
      <c r="K750" s="20" t="inlineStr">
        <is>
          <t>Non-Captive</t>
        </is>
      </c>
      <c r="L750" s="20" t="inlineStr">
        <is>
          <t>Grid 33</t>
        </is>
      </c>
      <c r="M750" s="23" t="n">
        <v>3389.83</v>
      </c>
    </row>
    <row r="751">
      <c r="A751" s="19" t="inlineStr">
        <is>
          <t>FY26</t>
        </is>
      </c>
      <c r="B751" s="19" t="inlineStr">
        <is>
          <t>Feb</t>
        </is>
      </c>
      <c r="C751" s="19" t="inlineStr">
        <is>
          <t>TN</t>
        </is>
      </c>
      <c r="D751" s="20" t="inlineStr">
        <is>
          <t>TN10W8957</t>
        </is>
      </c>
      <c r="E751" s="20" t="inlineStr">
        <is>
          <t>MARUTI SUZUKI</t>
        </is>
      </c>
      <c r="F751" s="20" t="inlineStr">
        <is>
          <t>Omni</t>
        </is>
      </c>
      <c r="G751" s="21" t="n">
        <v>2008</v>
      </c>
      <c r="H751" s="22" t="n">
        <v>95667</v>
      </c>
      <c r="I751" s="22" t="n">
        <v>90000</v>
      </c>
      <c r="J751" s="20" t="inlineStr">
        <is>
          <t>STEER AUTO TECHNOLOGIES PRIVATE LIMITED</t>
        </is>
      </c>
      <c r="K751" s="20" t="inlineStr">
        <is>
          <t>Non-Captive</t>
        </is>
      </c>
      <c r="L751" s="20" t="inlineStr">
        <is>
          <t>Grid 33</t>
        </is>
      </c>
      <c r="M751" s="23" t="n">
        <v>3389.83</v>
      </c>
    </row>
    <row r="752">
      <c r="A752" s="19" t="inlineStr">
        <is>
          <t>FY26</t>
        </is>
      </c>
      <c r="B752" s="19" t="inlineStr">
        <is>
          <t>Feb</t>
        </is>
      </c>
      <c r="C752" s="19" t="inlineStr">
        <is>
          <t>TN</t>
        </is>
      </c>
      <c r="D752" s="20" t="inlineStr">
        <is>
          <t>TN10AQ6381</t>
        </is>
      </c>
      <c r="E752" s="20" t="inlineStr">
        <is>
          <t>MARUTI SUZUKI</t>
        </is>
      </c>
      <c r="F752" s="20" t="inlineStr">
        <is>
          <t>Alto</t>
        </is>
      </c>
      <c r="G752" s="21" t="n">
        <v>2014</v>
      </c>
      <c r="H752" s="22" t="n">
        <v>42739</v>
      </c>
      <c r="I752" s="22" t="n">
        <v>160000</v>
      </c>
      <c r="J752" s="20" t="inlineStr">
        <is>
          <t>STEER AUTO TECHNOLOGIES PRIVATE LIMITED</t>
        </is>
      </c>
      <c r="K752" s="20" t="inlineStr">
        <is>
          <t>Non-Captive</t>
        </is>
      </c>
      <c r="L752" s="20" t="inlineStr">
        <is>
          <t>Grid 33</t>
        </is>
      </c>
      <c r="M752" s="23" t="n">
        <v>3389.83</v>
      </c>
    </row>
    <row r="753">
      <c r="A753" s="19" t="inlineStr">
        <is>
          <t>FY26</t>
        </is>
      </c>
      <c r="B753" s="19" t="inlineStr">
        <is>
          <t>Feb</t>
        </is>
      </c>
      <c r="C753" s="19" t="inlineStr">
        <is>
          <t>TN</t>
        </is>
      </c>
      <c r="D753" s="20" t="inlineStr">
        <is>
          <t>TN02BR8817</t>
        </is>
      </c>
      <c r="E753" s="20" t="inlineStr">
        <is>
          <t>RENAULT</t>
        </is>
      </c>
      <c r="F753" s="20" t="inlineStr">
        <is>
          <t>Kwid</t>
        </is>
      </c>
      <c r="G753" s="21" t="n">
        <v>2019</v>
      </c>
      <c r="H753" s="22" t="n">
        <v>17021</v>
      </c>
      <c r="I753" s="22" t="n">
        <v>270000</v>
      </c>
      <c r="J753" s="20" t="inlineStr">
        <is>
          <t>STEER AUTO TECHNOLOGIES PRIVATE LIMITED</t>
        </is>
      </c>
      <c r="K753" s="20" t="inlineStr">
        <is>
          <t>Non-Captive</t>
        </is>
      </c>
      <c r="L753" s="20" t="inlineStr">
        <is>
          <t>Grid 33</t>
        </is>
      </c>
      <c r="M753" s="23" t="n">
        <v>3389.83</v>
      </c>
    </row>
    <row r="754">
      <c r="A754" s="19" t="inlineStr">
        <is>
          <t>FY26</t>
        </is>
      </c>
      <c r="B754" s="19" t="inlineStr">
        <is>
          <t>Feb</t>
        </is>
      </c>
      <c r="C754" s="19" t="inlineStr">
        <is>
          <t>TN</t>
        </is>
      </c>
      <c r="D754" s="20" t="inlineStr">
        <is>
          <t>TN11S6711</t>
        </is>
      </c>
      <c r="E754" s="20" t="inlineStr">
        <is>
          <t>HONDA</t>
        </is>
      </c>
      <c r="F754" s="20" t="inlineStr">
        <is>
          <t>Jazz</t>
        </is>
      </c>
      <c r="G754" s="21" t="n">
        <v>2016</v>
      </c>
      <c r="H754" s="22" t="n">
        <v>77041</v>
      </c>
      <c r="I754" s="22" t="n">
        <v>320000</v>
      </c>
      <c r="J754" s="20" t="inlineStr">
        <is>
          <t>STEER AUTO TECHNOLOGIES PRIVATE LIMITED</t>
        </is>
      </c>
      <c r="K754" s="20" t="inlineStr">
        <is>
          <t>Non-Captive</t>
        </is>
      </c>
      <c r="L754" s="20" t="inlineStr">
        <is>
          <t>Grid 33</t>
        </is>
      </c>
      <c r="M754" s="23" t="n">
        <v>3389.83</v>
      </c>
    </row>
    <row r="755">
      <c r="A755" s="19" t="inlineStr">
        <is>
          <t>FY26</t>
        </is>
      </c>
      <c r="B755" s="19" t="inlineStr">
        <is>
          <t>Feb</t>
        </is>
      </c>
      <c r="C755" s="19" t="inlineStr">
        <is>
          <t>TN</t>
        </is>
      </c>
      <c r="D755" s="20" t="inlineStr">
        <is>
          <t>TN20CK2171</t>
        </is>
      </c>
      <c r="E755" s="20" t="inlineStr">
        <is>
          <t>HYUNDAI</t>
        </is>
      </c>
      <c r="F755" s="20" t="inlineStr">
        <is>
          <t>I10</t>
        </is>
      </c>
      <c r="G755" s="21" t="n">
        <v>2016</v>
      </c>
      <c r="H755" s="22" t="n">
        <v>80689</v>
      </c>
      <c r="I755" s="22" t="n">
        <v>260000</v>
      </c>
      <c r="J755" s="20" t="inlineStr">
        <is>
          <t>STEER AUTO TECHNOLOGIES PRIVATE LIMITED</t>
        </is>
      </c>
      <c r="K755" s="20" t="inlineStr">
        <is>
          <t>Non-Captive</t>
        </is>
      </c>
      <c r="L755" s="20" t="inlineStr">
        <is>
          <t>Grid 33</t>
        </is>
      </c>
      <c r="M755" s="23" t="n">
        <v>4237.29</v>
      </c>
    </row>
    <row r="756">
      <c r="A756" s="19" t="inlineStr">
        <is>
          <t>FY26</t>
        </is>
      </c>
      <c r="B756" s="19" t="inlineStr">
        <is>
          <t>Feb</t>
        </is>
      </c>
      <c r="C756" s="19" t="inlineStr">
        <is>
          <t>TN</t>
        </is>
      </c>
      <c r="D756" s="20" t="inlineStr">
        <is>
          <t>TN20BQ9192</t>
        </is>
      </c>
      <c r="E756" s="20" t="inlineStr">
        <is>
          <t>VOLKSWAGEN</t>
        </is>
      </c>
      <c r="F756" s="20" t="inlineStr">
        <is>
          <t>Vento</t>
        </is>
      </c>
      <c r="G756" s="21" t="n">
        <v>2011</v>
      </c>
      <c r="H756" s="22" t="n">
        <v>168570</v>
      </c>
      <c r="I756" s="22" t="n">
        <v>180000</v>
      </c>
      <c r="J756" s="20" t="inlineStr">
        <is>
          <t>STEER AUTO TECHNOLOGIES PRIVATE LIMITED</t>
        </is>
      </c>
      <c r="K756" s="20" t="inlineStr">
        <is>
          <t>Non-Captive</t>
        </is>
      </c>
      <c r="L756" s="20" t="inlineStr">
        <is>
          <t>Grid 33</t>
        </is>
      </c>
      <c r="M756" s="23" t="n">
        <v>4237.29</v>
      </c>
    </row>
    <row r="757">
      <c r="A757" s="19" t="inlineStr">
        <is>
          <t>FY26</t>
        </is>
      </c>
      <c r="B757" s="19" t="inlineStr">
        <is>
          <t>Feb</t>
        </is>
      </c>
      <c r="C757" s="19" t="inlineStr">
        <is>
          <t>TN</t>
        </is>
      </c>
      <c r="D757" s="20" t="inlineStr">
        <is>
          <t>TN07BS8617</t>
        </is>
      </c>
      <c r="E757" s="20" t="inlineStr">
        <is>
          <t>HONDA</t>
        </is>
      </c>
      <c r="F757" s="20" t="inlineStr">
        <is>
          <t>City</t>
        </is>
      </c>
      <c r="G757" s="21" t="n">
        <v>2012</v>
      </c>
      <c r="H757" s="22" t="n">
        <v>126558</v>
      </c>
      <c r="I757" s="22" t="n">
        <v>200000</v>
      </c>
      <c r="J757" s="20" t="inlineStr">
        <is>
          <t>STEER AUTO TECHNOLOGIES PRIVATE LIMITED</t>
        </is>
      </c>
      <c r="K757" s="20" t="inlineStr">
        <is>
          <t>Non-Captive</t>
        </is>
      </c>
      <c r="L757" s="20" t="inlineStr">
        <is>
          <t>Grid 33</t>
        </is>
      </c>
      <c r="M757" s="23" t="n">
        <v>4237.29</v>
      </c>
    </row>
    <row r="758">
      <c r="A758" s="19" t="inlineStr">
        <is>
          <t>FY26</t>
        </is>
      </c>
      <c r="B758" s="19" t="inlineStr">
        <is>
          <t>Feb</t>
        </is>
      </c>
      <c r="C758" s="19" t="inlineStr">
        <is>
          <t>TN</t>
        </is>
      </c>
      <c r="D758" s="20" t="inlineStr">
        <is>
          <t>TN06L9822</t>
        </is>
      </c>
      <c r="E758" s="20" t="inlineStr">
        <is>
          <t>VOLKSWAGEN</t>
        </is>
      </c>
      <c r="F758" s="20" t="inlineStr">
        <is>
          <t>Polo</t>
        </is>
      </c>
      <c r="G758" s="21" t="n">
        <v>2014</v>
      </c>
      <c r="H758" s="22" t="n">
        <v>62155</v>
      </c>
      <c r="I758" s="22" t="n">
        <v>230000</v>
      </c>
      <c r="J758" s="20" t="inlineStr">
        <is>
          <t>STEER AUTO TECHNOLOGIES PRIVATE LIMITED</t>
        </is>
      </c>
      <c r="K758" s="20" t="inlineStr">
        <is>
          <t>Non-Captive</t>
        </is>
      </c>
      <c r="L758" s="20" t="inlineStr">
        <is>
          <t>Grid 33</t>
        </is>
      </c>
      <c r="M758" s="23" t="n">
        <v>4237.29</v>
      </c>
    </row>
    <row r="759">
      <c r="A759" s="19" t="inlineStr">
        <is>
          <t>FY26</t>
        </is>
      </c>
      <c r="B759" s="19" t="inlineStr">
        <is>
          <t>Feb</t>
        </is>
      </c>
      <c r="C759" s="19" t="inlineStr">
        <is>
          <t>TN</t>
        </is>
      </c>
      <c r="D759" s="20" t="inlineStr">
        <is>
          <t>TN37DP0780</t>
        </is>
      </c>
      <c r="E759" s="20" t="inlineStr">
        <is>
          <t>MARUTI SUZUKI</t>
        </is>
      </c>
      <c r="F759" s="20" t="inlineStr">
        <is>
          <t>S-Presso</t>
        </is>
      </c>
      <c r="G759" s="21" t="n">
        <v>2022</v>
      </c>
      <c r="H759" s="22" t="n">
        <v>50192</v>
      </c>
      <c r="I759" s="22" t="n">
        <v>365000</v>
      </c>
      <c r="J759" s="20" t="inlineStr">
        <is>
          <t>STEER AUTO TECHNOLOGIES PRIVATE LIMITED</t>
        </is>
      </c>
      <c r="K759" s="20" t="inlineStr">
        <is>
          <t>Non-Captive</t>
        </is>
      </c>
      <c r="L759" s="20" t="inlineStr">
        <is>
          <t>Grid 33</t>
        </is>
      </c>
      <c r="M759" s="23" t="n">
        <v>4237.29</v>
      </c>
    </row>
    <row r="760">
      <c r="A760" s="19" t="inlineStr">
        <is>
          <t>FY26</t>
        </is>
      </c>
      <c r="B760" s="19" t="inlineStr">
        <is>
          <t>Mar</t>
        </is>
      </c>
      <c r="C760" s="19" t="inlineStr">
        <is>
          <t>TN</t>
        </is>
      </c>
      <c r="D760" s="20" t="inlineStr">
        <is>
          <t>TN01AX8418</t>
        </is>
      </c>
      <c r="E760" s="20" t="inlineStr">
        <is>
          <t>HONDA</t>
        </is>
      </c>
      <c r="F760" s="20" t="inlineStr">
        <is>
          <t>City</t>
        </is>
      </c>
      <c r="G760" s="21" t="n">
        <v>2015</v>
      </c>
      <c r="H760" s="22" t="n">
        <v>69967</v>
      </c>
      <c r="I760" s="22" t="n">
        <v>373000</v>
      </c>
      <c r="J760" s="20" t="inlineStr">
        <is>
          <t>Nirmal</t>
        </is>
      </c>
      <c r="K760" s="20" t="inlineStr">
        <is>
          <t>Non-Captive</t>
        </is>
      </c>
      <c r="L760" s="20" t="inlineStr">
        <is>
          <t>Value Drive Tecnologies</t>
        </is>
      </c>
      <c r="M760" s="23" t="n">
        <v>5084.75</v>
      </c>
    </row>
    <row r="761">
      <c r="A761" s="19" t="inlineStr">
        <is>
          <t>FY26</t>
        </is>
      </c>
      <c r="B761" s="19" t="inlineStr">
        <is>
          <t>Mar</t>
        </is>
      </c>
      <c r="C761" s="19" t="inlineStr">
        <is>
          <t>TN</t>
        </is>
      </c>
      <c r="D761" s="20" t="inlineStr">
        <is>
          <t>TN12A2718</t>
        </is>
      </c>
      <c r="E761" s="20" t="inlineStr">
        <is>
          <t>MARUTI SUZUKI</t>
        </is>
      </c>
      <c r="F761" s="20" t="inlineStr">
        <is>
          <t>Eeco</t>
        </is>
      </c>
      <c r="G761" s="21" t="n">
        <v>2013</v>
      </c>
      <c r="H761" s="22" t="n">
        <v>114854</v>
      </c>
      <c r="I761" s="22" t="n">
        <v>373000</v>
      </c>
      <c r="J761" s="20" t="inlineStr">
        <is>
          <t>Khivraj Motor</t>
        </is>
      </c>
      <c r="K761" s="20" t="inlineStr">
        <is>
          <t>Non-Captive</t>
        </is>
      </c>
      <c r="L761" s="20" t="inlineStr">
        <is>
          <t>Value Drive Tecnologies</t>
        </is>
      </c>
      <c r="M761" s="23" t="n">
        <v>5084.75</v>
      </c>
    </row>
    <row r="762">
      <c r="A762" s="19" t="inlineStr">
        <is>
          <t>FY26</t>
        </is>
      </c>
      <c r="B762" s="19" t="inlineStr">
        <is>
          <t>Mar</t>
        </is>
      </c>
      <c r="C762" s="19" t="inlineStr">
        <is>
          <t>TN</t>
        </is>
      </c>
      <c r="D762" s="20" t="inlineStr">
        <is>
          <t>TN91X7394</t>
        </is>
      </c>
      <c r="E762" s="20" t="inlineStr">
        <is>
          <t>MARUTI SUZUKI</t>
        </is>
      </c>
      <c r="F762" s="20" t="inlineStr">
        <is>
          <t>Alto K10</t>
        </is>
      </c>
      <c r="G762" s="21" t="n">
        <v>2016</v>
      </c>
      <c r="H762" s="22" t="n">
        <v>98528</v>
      </c>
      <c r="I762" s="22" t="n">
        <v>205000</v>
      </c>
      <c r="J762" s="20" t="inlineStr">
        <is>
          <t>Khivraj Motor</t>
        </is>
      </c>
      <c r="K762" s="20" t="inlineStr">
        <is>
          <t>Non-Captive</t>
        </is>
      </c>
      <c r="L762" s="20" t="inlineStr">
        <is>
          <t>AA Cars</t>
        </is>
      </c>
      <c r="M762" s="23" t="n">
        <v>5084.75</v>
      </c>
    </row>
    <row r="763">
      <c r="A763" s="19" t="inlineStr">
        <is>
          <t>FY26</t>
        </is>
      </c>
      <c r="B763" s="19" t="inlineStr">
        <is>
          <t>Mar</t>
        </is>
      </c>
      <c r="C763" s="19" t="inlineStr">
        <is>
          <t>TN</t>
        </is>
      </c>
      <c r="D763" s="20" t="inlineStr">
        <is>
          <t>TN12Q9802</t>
        </is>
      </c>
      <c r="E763" s="20" t="inlineStr">
        <is>
          <t>MARUTI SUZUKI</t>
        </is>
      </c>
      <c r="F763" s="20" t="inlineStr">
        <is>
          <t>Celerio</t>
        </is>
      </c>
      <c r="G763" s="21" t="n">
        <v>2016</v>
      </c>
      <c r="H763" s="22" t="n">
        <v>46820</v>
      </c>
      <c r="I763" s="22" t="n">
        <v>204000</v>
      </c>
      <c r="J763" s="20" t="inlineStr">
        <is>
          <t>Khivraj Motor</t>
        </is>
      </c>
      <c r="K763" s="20" t="inlineStr">
        <is>
          <t>Non-Captive</t>
        </is>
      </c>
      <c r="L763" s="20" t="inlineStr">
        <is>
          <t>Anish Cars</t>
        </is>
      </c>
      <c r="M763" s="23" t="n">
        <v>5084.75</v>
      </c>
    </row>
    <row r="764">
      <c r="A764" s="19" t="inlineStr">
        <is>
          <t>FY26</t>
        </is>
      </c>
      <c r="B764" s="19" t="inlineStr">
        <is>
          <t>Mar</t>
        </is>
      </c>
      <c r="C764" s="19" t="inlineStr">
        <is>
          <t>TN</t>
        </is>
      </c>
      <c r="D764" s="20" t="inlineStr">
        <is>
          <t>TN09BW7511</t>
        </is>
      </c>
      <c r="E764" s="20" t="inlineStr">
        <is>
          <t>MARUTI SUZUKI</t>
        </is>
      </c>
      <c r="F764" s="20" t="inlineStr">
        <is>
          <t>Swift</t>
        </is>
      </c>
      <c r="G764" s="21" t="n">
        <v>2014</v>
      </c>
      <c r="H764" s="22" t="n">
        <v>74500</v>
      </c>
      <c r="I764" s="22" t="n">
        <v>280000</v>
      </c>
      <c r="J764" s="20" t="inlineStr">
        <is>
          <t>Khivraj Motor</t>
        </is>
      </c>
      <c r="K764" s="20" t="inlineStr">
        <is>
          <t>Non-Captive</t>
        </is>
      </c>
      <c r="L764" s="20" t="inlineStr">
        <is>
          <t>AAA Cars</t>
        </is>
      </c>
      <c r="M764" s="23" t="n">
        <v>5084.75</v>
      </c>
    </row>
    <row r="765">
      <c r="A765" s="19" t="inlineStr">
        <is>
          <t>FY26</t>
        </is>
      </c>
      <c r="B765" s="19" t="inlineStr">
        <is>
          <t>Mar</t>
        </is>
      </c>
      <c r="C765" s="19" t="inlineStr">
        <is>
          <t>TN</t>
        </is>
      </c>
      <c r="D765" s="20" t="inlineStr">
        <is>
          <t>TN01BS5348</t>
        </is>
      </c>
      <c r="E765" s="20" t="inlineStr">
        <is>
          <t>MARUTI SUZUKI</t>
        </is>
      </c>
      <c r="F765" s="20" t="inlineStr">
        <is>
          <t>Wagon R</t>
        </is>
      </c>
      <c r="G765" s="21" t="n">
        <v>2023</v>
      </c>
      <c r="H765" s="22" t="n">
        <v>25448</v>
      </c>
      <c r="I765" s="22" t="n">
        <v>315000</v>
      </c>
      <c r="J765" s="20" t="inlineStr">
        <is>
          <t>Khivraj Motor</t>
        </is>
      </c>
      <c r="K765" s="20" t="inlineStr">
        <is>
          <t>Non-Captive</t>
        </is>
      </c>
      <c r="L765" s="20" t="inlineStr">
        <is>
          <t>AAA Cars</t>
        </is>
      </c>
      <c r="M765" s="23" t="n">
        <v>5084.75</v>
      </c>
    </row>
    <row r="766">
      <c r="A766" s="19" t="inlineStr">
        <is>
          <t>FY26</t>
        </is>
      </c>
      <c r="B766" s="19" t="inlineStr">
        <is>
          <t>Mar</t>
        </is>
      </c>
      <c r="C766" s="19" t="inlineStr">
        <is>
          <t>TN</t>
        </is>
      </c>
      <c r="D766" s="20" t="inlineStr">
        <is>
          <t>TN05AX8821</t>
        </is>
      </c>
      <c r="E766" s="20" t="inlineStr">
        <is>
          <t>RENAULT</t>
        </is>
      </c>
      <c r="F766" s="20" t="inlineStr">
        <is>
          <t>Duster</t>
        </is>
      </c>
      <c r="G766" s="21" t="n">
        <v>2014</v>
      </c>
      <c r="H766" s="22" t="n">
        <v>126961</v>
      </c>
      <c r="I766" s="22" t="n">
        <v>250000</v>
      </c>
      <c r="J766" s="20" t="inlineStr">
        <is>
          <t>Khivraj Motor</t>
        </is>
      </c>
      <c r="K766" s="20" t="inlineStr">
        <is>
          <t>Non-Captive</t>
        </is>
      </c>
      <c r="L766" s="20" t="inlineStr">
        <is>
          <t>AAsim Motor</t>
        </is>
      </c>
      <c r="M766" s="23" t="n">
        <v>5084.75</v>
      </c>
    </row>
    <row r="767">
      <c r="A767" s="19" t="inlineStr">
        <is>
          <t>FY26</t>
        </is>
      </c>
      <c r="B767" s="19" t="inlineStr">
        <is>
          <t>Mar</t>
        </is>
      </c>
      <c r="C767" s="19" t="inlineStr">
        <is>
          <t>TN</t>
        </is>
      </c>
      <c r="D767" s="20" t="inlineStr">
        <is>
          <t>TN18AA4307</t>
        </is>
      </c>
      <c r="E767" s="20" t="inlineStr">
        <is>
          <t>HYUNDAI</t>
        </is>
      </c>
      <c r="F767" s="20" t="inlineStr">
        <is>
          <t>Grand I10</t>
        </is>
      </c>
      <c r="G767" s="21" t="n">
        <v>2014</v>
      </c>
      <c r="H767" s="22" t="n">
        <v>114877</v>
      </c>
      <c r="I767" s="22" t="n">
        <v>150000</v>
      </c>
      <c r="J767" s="20" t="inlineStr">
        <is>
          <t>Khivraj Motor</t>
        </is>
      </c>
      <c r="K767" s="20" t="inlineStr">
        <is>
          <t>Non-Captive</t>
        </is>
      </c>
      <c r="L767" s="20" t="inlineStr">
        <is>
          <t>Hasini Cars</t>
        </is>
      </c>
      <c r="M767" s="23" t="n">
        <v>5084.75</v>
      </c>
    </row>
    <row r="768">
      <c r="A768" s="19" t="inlineStr">
        <is>
          <t>FY26</t>
        </is>
      </c>
      <c r="B768" s="19" t="inlineStr">
        <is>
          <t>Mar</t>
        </is>
      </c>
      <c r="C768" s="19" t="inlineStr">
        <is>
          <t>TN</t>
        </is>
      </c>
      <c r="D768" s="20" t="inlineStr">
        <is>
          <t>TN54U7083</t>
        </is>
      </c>
      <c r="E768" s="20" t="inlineStr">
        <is>
          <t>MARUTI SUZUKI</t>
        </is>
      </c>
      <c r="F768" s="20" t="inlineStr">
        <is>
          <t>Eeco</t>
        </is>
      </c>
      <c r="G768" s="21" t="n">
        <v>2021</v>
      </c>
      <c r="H768" s="22" t="n">
        <v>73679</v>
      </c>
      <c r="I768" s="22" t="n">
        <v>178000</v>
      </c>
      <c r="J768" s="20" t="inlineStr">
        <is>
          <t>EXCHANGE ROTN</t>
        </is>
      </c>
      <c r="K768" s="20" t="inlineStr">
        <is>
          <t>Captive</t>
        </is>
      </c>
      <c r="L768" s="20" t="inlineStr">
        <is>
          <t>Shri Lakshmi Cars</t>
        </is>
      </c>
      <c r="M768" s="23" t="n">
        <v>4237.29</v>
      </c>
    </row>
    <row r="769">
      <c r="A769" s="19" t="inlineStr">
        <is>
          <t>FY26</t>
        </is>
      </c>
      <c r="B769" s="19" t="inlineStr">
        <is>
          <t>Mar</t>
        </is>
      </c>
      <c r="C769" s="19" t="inlineStr">
        <is>
          <t>TN</t>
        </is>
      </c>
      <c r="D769" s="20" t="inlineStr">
        <is>
          <t>TN67J4446</t>
        </is>
      </c>
      <c r="E769" s="20" t="inlineStr">
        <is>
          <t>HONDA</t>
        </is>
      </c>
      <c r="F769" s="20" t="inlineStr">
        <is>
          <t>City</t>
        </is>
      </c>
      <c r="G769" s="21" t="n">
        <v>2008</v>
      </c>
      <c r="H769" s="22" t="n">
        <v>182541</v>
      </c>
      <c r="I769" s="22" t="n">
        <v>140000</v>
      </c>
      <c r="J769" s="20" t="inlineStr">
        <is>
          <t>EXCHANGE ROTN</t>
        </is>
      </c>
      <c r="K769" s="20" t="inlineStr">
        <is>
          <t>Captive</t>
        </is>
      </c>
      <c r="L769" s="20" t="inlineStr">
        <is>
          <t>KAM Auto Conselting</t>
        </is>
      </c>
      <c r="M769" s="23" t="n">
        <v>8474.58</v>
      </c>
    </row>
    <row r="770">
      <c r="A770" s="19" t="inlineStr">
        <is>
          <t>FY26</t>
        </is>
      </c>
      <c r="B770" s="19" t="inlineStr">
        <is>
          <t>Mar</t>
        </is>
      </c>
      <c r="C770" s="19" t="inlineStr">
        <is>
          <t>TN</t>
        </is>
      </c>
      <c r="D770" s="20" t="inlineStr">
        <is>
          <t>TN37DR7567</t>
        </is>
      </c>
      <c r="E770" s="20" t="inlineStr">
        <is>
          <t>MARUTI SUZUKI</t>
        </is>
      </c>
      <c r="F770" s="20" t="inlineStr">
        <is>
          <t>Fronx</t>
        </is>
      </c>
      <c r="G770" s="21" t="n">
        <v>2023</v>
      </c>
      <c r="H770" s="22" t="n">
        <v>23035</v>
      </c>
      <c r="I770" s="22" t="n">
        <v>640000</v>
      </c>
      <c r="J770" s="20" t="inlineStr">
        <is>
          <t>EXCHANGE ROTN</t>
        </is>
      </c>
      <c r="K770" s="20" t="inlineStr">
        <is>
          <t>Captive</t>
        </is>
      </c>
      <c r="L770" s="20" t="inlineStr">
        <is>
          <t>Sai Cars</t>
        </is>
      </c>
      <c r="M770" s="23" t="n">
        <v>6779.66</v>
      </c>
    </row>
    <row r="771">
      <c r="A771" s="19" t="inlineStr">
        <is>
          <t>FY26</t>
        </is>
      </c>
      <c r="B771" s="19" t="inlineStr">
        <is>
          <t>Mar</t>
        </is>
      </c>
      <c r="C771" s="19" t="inlineStr">
        <is>
          <t>TN</t>
        </is>
      </c>
      <c r="D771" s="20" t="inlineStr">
        <is>
          <t>TN37BX8141</t>
        </is>
      </c>
      <c r="E771" s="20" t="inlineStr">
        <is>
          <t>MARUTI SUZUKI</t>
        </is>
      </c>
      <c r="F771" s="20" t="inlineStr">
        <is>
          <t>Omni</t>
        </is>
      </c>
      <c r="G771" s="21" t="n">
        <v>2012</v>
      </c>
      <c r="H771" s="22" t="n">
        <v>67932</v>
      </c>
      <c r="I771" s="22" t="n">
        <v>142000</v>
      </c>
      <c r="J771" s="20" t="inlineStr">
        <is>
          <t>EXCHANGE ROTN</t>
        </is>
      </c>
      <c r="K771" s="20" t="inlineStr">
        <is>
          <t>Captive</t>
        </is>
      </c>
      <c r="L771" s="20" t="inlineStr">
        <is>
          <t>SIVASHANKAR CARS</t>
        </is>
      </c>
      <c r="M771" s="23" t="n">
        <v>8474.58</v>
      </c>
    </row>
    <row r="772">
      <c r="A772" s="19" t="inlineStr">
        <is>
          <t>FY26</t>
        </is>
      </c>
      <c r="B772" s="19" t="inlineStr">
        <is>
          <t>Mar</t>
        </is>
      </c>
      <c r="C772" s="19" t="inlineStr">
        <is>
          <t>TN</t>
        </is>
      </c>
      <c r="D772" s="20" t="inlineStr">
        <is>
          <t>TN60AL1199</t>
        </is>
      </c>
      <c r="E772" s="20" t="inlineStr">
        <is>
          <t>HYUNDAI</t>
        </is>
      </c>
      <c r="F772" s="20" t="inlineStr">
        <is>
          <t>Aura</t>
        </is>
      </c>
      <c r="G772" s="21" t="n">
        <v>2023</v>
      </c>
      <c r="H772" s="22" t="n">
        <v>127694</v>
      </c>
      <c r="I772" s="22" t="n">
        <v>430000</v>
      </c>
      <c r="J772" s="20" t="inlineStr">
        <is>
          <t>EXCHANGE ROTN</t>
        </is>
      </c>
      <c r="K772" s="20" t="inlineStr">
        <is>
          <t>Captive</t>
        </is>
      </c>
      <c r="L772" s="20" t="inlineStr">
        <is>
          <t>PURUSOTHAMAN J CARS</t>
        </is>
      </c>
      <c r="M772" s="23" t="n">
        <v>8474.58</v>
      </c>
    </row>
    <row r="773">
      <c r="A773" s="19" t="inlineStr">
        <is>
          <t>FY26</t>
        </is>
      </c>
      <c r="B773" s="19" t="inlineStr">
        <is>
          <t>Mar</t>
        </is>
      </c>
      <c r="C773" s="19" t="inlineStr">
        <is>
          <t>TN</t>
        </is>
      </c>
      <c r="D773" s="20" t="inlineStr">
        <is>
          <t>TN33BT7326</t>
        </is>
      </c>
      <c r="E773" s="20" t="inlineStr">
        <is>
          <t>DATSUN</t>
        </is>
      </c>
      <c r="F773" s="20" t="inlineStr">
        <is>
          <t>Redi-Go</t>
        </is>
      </c>
      <c r="G773" s="21" t="n">
        <v>2019</v>
      </c>
      <c r="H773" s="22" t="n">
        <v>40943</v>
      </c>
      <c r="I773" s="22" t="n">
        <v>135000</v>
      </c>
      <c r="J773" s="20" t="inlineStr">
        <is>
          <t>EXCHANGE ROTN</t>
        </is>
      </c>
      <c r="K773" s="20" t="inlineStr">
        <is>
          <t>Captive</t>
        </is>
      </c>
      <c r="L773" s="20" t="inlineStr">
        <is>
          <t>SIVASHANKAR CARS</t>
        </is>
      </c>
      <c r="M773" s="23" t="n">
        <v>8474.58</v>
      </c>
    </row>
    <row r="774">
      <c r="A774" s="19" t="inlineStr">
        <is>
          <t>FY26</t>
        </is>
      </c>
      <c r="B774" s="19" t="inlineStr">
        <is>
          <t>Mar</t>
        </is>
      </c>
      <c r="C774" s="19" t="inlineStr">
        <is>
          <t>TN</t>
        </is>
      </c>
      <c r="D774" s="20" t="inlineStr">
        <is>
          <t>TN66S0579</t>
        </is>
      </c>
      <c r="E774" s="20" t="inlineStr">
        <is>
          <t>CHEVROLET</t>
        </is>
      </c>
      <c r="F774" s="20" t="inlineStr">
        <is>
          <t>Cruze</t>
        </is>
      </c>
      <c r="G774" s="21" t="n">
        <v>2016</v>
      </c>
      <c r="H774" s="22" t="n">
        <v>121819</v>
      </c>
      <c r="I774" s="22" t="n">
        <v>425000</v>
      </c>
      <c r="J774" s="20" t="inlineStr">
        <is>
          <t>EXCHANGE ROTN</t>
        </is>
      </c>
      <c r="K774" s="20" t="inlineStr">
        <is>
          <t>Captive</t>
        </is>
      </c>
      <c r="L774" s="20" t="inlineStr">
        <is>
          <t>YUGA DHEERAN CARS</t>
        </is>
      </c>
      <c r="M774" s="23" t="n">
        <v>12711.86</v>
      </c>
    </row>
    <row r="775">
      <c r="A775" s="19" t="inlineStr">
        <is>
          <t>FY26</t>
        </is>
      </c>
      <c r="B775" s="19" t="inlineStr">
        <is>
          <t>Mar</t>
        </is>
      </c>
      <c r="C775" s="19" t="inlineStr">
        <is>
          <t>TN</t>
        </is>
      </c>
      <c r="D775" s="20" t="inlineStr">
        <is>
          <t>KL08BS0657</t>
        </is>
      </c>
      <c r="E775" s="20" t="inlineStr">
        <is>
          <t>MARUTI SUZUKI</t>
        </is>
      </c>
      <c r="F775" s="20" t="inlineStr">
        <is>
          <t>Wagon R</t>
        </is>
      </c>
      <c r="G775" s="21" t="n">
        <v>2013</v>
      </c>
      <c r="H775" s="22" t="n">
        <v>58363</v>
      </c>
      <c r="I775" s="22" t="n">
        <v>180000</v>
      </c>
      <c r="J775" s="20" t="inlineStr">
        <is>
          <t>EXCHANGE ROTN</t>
        </is>
      </c>
      <c r="K775" s="20" t="inlineStr">
        <is>
          <t>Captive</t>
        </is>
      </c>
      <c r="L775" s="20" t="inlineStr">
        <is>
          <t>Sai cars</t>
        </is>
      </c>
      <c r="M775" s="23" t="n">
        <v>8474.58</v>
      </c>
    </row>
    <row r="776">
      <c r="A776" s="19" t="inlineStr">
        <is>
          <t>FY26</t>
        </is>
      </c>
      <c r="B776" s="19" t="inlineStr">
        <is>
          <t>Mar</t>
        </is>
      </c>
      <c r="C776" s="19" t="inlineStr">
        <is>
          <t>TN</t>
        </is>
      </c>
      <c r="D776" s="20" t="inlineStr">
        <is>
          <t>TN14K8223</t>
        </is>
      </c>
      <c r="E776" s="20" t="inlineStr">
        <is>
          <t>MARUTI SUZUKI</t>
        </is>
      </c>
      <c r="F776" s="20" t="inlineStr">
        <is>
          <t>Alto</t>
        </is>
      </c>
      <c r="G776" s="21" t="n">
        <v>2017</v>
      </c>
      <c r="H776" s="22" t="n">
        <v>57574</v>
      </c>
      <c r="I776" s="22" t="n">
        <v>175000</v>
      </c>
      <c r="J776" s="20" t="inlineStr">
        <is>
          <t>EXCHANGE CHENNAI</t>
        </is>
      </c>
      <c r="K776" s="20" t="inlineStr">
        <is>
          <t>Captive</t>
        </is>
      </c>
      <c r="L776" s="20" t="inlineStr">
        <is>
          <t>RAM Manohar</t>
        </is>
      </c>
      <c r="M776" s="23" t="n">
        <v>8474.58</v>
      </c>
    </row>
    <row r="777">
      <c r="A777" s="19" t="inlineStr">
        <is>
          <t>FY26</t>
        </is>
      </c>
      <c r="B777" s="19" t="inlineStr">
        <is>
          <t>Mar</t>
        </is>
      </c>
      <c r="C777" s="19" t="inlineStr">
        <is>
          <t>TN</t>
        </is>
      </c>
      <c r="D777" s="20" t="inlineStr">
        <is>
          <t>TN07CF6147</t>
        </is>
      </c>
      <c r="E777" s="20" t="inlineStr">
        <is>
          <t>HONDA</t>
        </is>
      </c>
      <c r="F777" s="20" t="inlineStr">
        <is>
          <t>City</t>
        </is>
      </c>
      <c r="G777" s="21" t="n">
        <v>2016</v>
      </c>
      <c r="H777" s="22" t="n">
        <v>51270</v>
      </c>
      <c r="I777" s="22" t="n">
        <v>525000</v>
      </c>
      <c r="J777" s="20" t="inlineStr">
        <is>
          <t>EXCHANGE CHENNAI</t>
        </is>
      </c>
      <c r="K777" s="20" t="inlineStr">
        <is>
          <t>Captive</t>
        </is>
      </c>
      <c r="L777" s="20" t="inlineStr">
        <is>
          <t>Santhosh Cars</t>
        </is>
      </c>
      <c r="M777" s="23" t="n">
        <v>8474.58</v>
      </c>
    </row>
    <row r="778">
      <c r="A778" s="19" t="inlineStr">
        <is>
          <t>FY26</t>
        </is>
      </c>
      <c r="B778" s="19" t="inlineStr">
        <is>
          <t>Mar</t>
        </is>
      </c>
      <c r="C778" s="19" t="inlineStr">
        <is>
          <t>TN</t>
        </is>
      </c>
      <c r="D778" s="20" t="inlineStr">
        <is>
          <t>TN10BA6948</t>
        </is>
      </c>
      <c r="E778" s="20" t="inlineStr">
        <is>
          <t>HONDA</t>
        </is>
      </c>
      <c r="F778" s="20" t="inlineStr">
        <is>
          <t>Jazz</t>
        </is>
      </c>
      <c r="G778" s="21" t="n">
        <v>2017</v>
      </c>
      <c r="H778" s="22" t="n">
        <v>47530</v>
      </c>
      <c r="I778" s="22" t="n">
        <v>350000</v>
      </c>
      <c r="J778" s="20" t="inlineStr">
        <is>
          <t>EXCHANGE CHENNAI</t>
        </is>
      </c>
      <c r="K778" s="20" t="inlineStr">
        <is>
          <t>Captive</t>
        </is>
      </c>
      <c r="L778" s="20" t="inlineStr">
        <is>
          <t>RAM Manohar</t>
        </is>
      </c>
      <c r="M778" s="23" t="n">
        <v>8474.58</v>
      </c>
    </row>
    <row r="779">
      <c r="A779" s="19" t="inlineStr">
        <is>
          <t>FY26</t>
        </is>
      </c>
      <c r="B779" s="19" t="inlineStr">
        <is>
          <t>Mar</t>
        </is>
      </c>
      <c r="C779" s="19" t="inlineStr">
        <is>
          <t>TN</t>
        </is>
      </c>
      <c r="D779" s="20" t="inlineStr">
        <is>
          <t>TN02BD5299</t>
        </is>
      </c>
      <c r="E779" s="20" t="inlineStr">
        <is>
          <t>HYUNDAI</t>
        </is>
      </c>
      <c r="F779" s="20" t="inlineStr">
        <is>
          <t>Eon</t>
        </is>
      </c>
      <c r="G779" s="21" t="n">
        <v>2015</v>
      </c>
      <c r="H779" s="22" t="n">
        <v>55799</v>
      </c>
      <c r="I779" s="22" t="n">
        <v>200000</v>
      </c>
      <c r="J779" s="20" t="inlineStr">
        <is>
          <t>EXCHANGE CHENNAI</t>
        </is>
      </c>
      <c r="K779" s="20" t="inlineStr">
        <is>
          <t>Captive</t>
        </is>
      </c>
      <c r="L779" s="20" t="inlineStr">
        <is>
          <t>Santhosh Cars</t>
        </is>
      </c>
      <c r="M779" s="23" t="n">
        <v>4237.29</v>
      </c>
    </row>
    <row r="780">
      <c r="A780" s="19" t="inlineStr">
        <is>
          <t>FY26</t>
        </is>
      </c>
      <c r="B780" s="19" t="inlineStr">
        <is>
          <t>Mar</t>
        </is>
      </c>
      <c r="C780" s="19" t="inlineStr">
        <is>
          <t>TN</t>
        </is>
      </c>
      <c r="D780" s="20" t="inlineStr">
        <is>
          <t>TN30S6050</t>
        </is>
      </c>
      <c r="E780" s="20" t="inlineStr">
        <is>
          <t>HYUNDAI</t>
        </is>
      </c>
      <c r="F780" s="20" t="inlineStr">
        <is>
          <t>Accent</t>
        </is>
      </c>
      <c r="G780" s="21" t="n">
        <v>2007</v>
      </c>
      <c r="H780" s="22" t="n">
        <v>148584</v>
      </c>
      <c r="I780" s="22" t="n">
        <v>30000</v>
      </c>
      <c r="J780" s="20" t="inlineStr">
        <is>
          <t>EXCHANGE ROTN</t>
        </is>
      </c>
      <c r="K780" s="20" t="inlineStr">
        <is>
          <t>Captive</t>
        </is>
      </c>
      <c r="L780" s="20" t="inlineStr">
        <is>
          <t>Ayyapa Cars</t>
        </is>
      </c>
      <c r="M780" s="23" t="n">
        <v>4237.29</v>
      </c>
    </row>
    <row r="781">
      <c r="A781" s="19" t="inlineStr">
        <is>
          <t>FY26</t>
        </is>
      </c>
      <c r="B781" s="19" t="inlineStr">
        <is>
          <t>Mar</t>
        </is>
      </c>
      <c r="C781" s="19" t="inlineStr">
        <is>
          <t>TN</t>
        </is>
      </c>
      <c r="D781" s="20" t="inlineStr">
        <is>
          <t>TN66R6148</t>
        </is>
      </c>
      <c r="E781" s="20" t="inlineStr">
        <is>
          <t>MARUTI SUZUKI</t>
        </is>
      </c>
      <c r="F781" s="20" t="inlineStr">
        <is>
          <t>Ritz</t>
        </is>
      </c>
      <c r="G781" s="21" t="n">
        <v>2015</v>
      </c>
      <c r="H781" s="22" t="n">
        <v>70657</v>
      </c>
      <c r="I781" s="22" t="n">
        <v>250000</v>
      </c>
      <c r="J781" s="20" t="inlineStr">
        <is>
          <t>EXCHANGE ROTN</t>
        </is>
      </c>
      <c r="K781" s="20" t="inlineStr">
        <is>
          <t>Captive</t>
        </is>
      </c>
      <c r="L781" s="20" t="inlineStr">
        <is>
          <t>Dheera Cars</t>
        </is>
      </c>
      <c r="M781" s="23" t="n">
        <v>8474.58</v>
      </c>
    </row>
    <row r="782">
      <c r="A782" s="19" t="inlineStr">
        <is>
          <t>FY26</t>
        </is>
      </c>
      <c r="B782" s="19" t="inlineStr">
        <is>
          <t>Mar</t>
        </is>
      </c>
      <c r="C782" s="19" t="inlineStr">
        <is>
          <t>TN</t>
        </is>
      </c>
      <c r="D782" s="20" t="inlineStr">
        <is>
          <t>TN06B5438</t>
        </is>
      </c>
      <c r="E782" s="20" t="inlineStr">
        <is>
          <t>HONDA</t>
        </is>
      </c>
      <c r="F782" s="20" t="inlineStr">
        <is>
          <t>Jazz</t>
        </is>
      </c>
      <c r="G782" s="21" t="n">
        <v>2010</v>
      </c>
      <c r="H782" s="22" t="n">
        <v>55412</v>
      </c>
      <c r="I782" s="22" t="n">
        <v>180000</v>
      </c>
      <c r="J782" s="20" t="inlineStr">
        <is>
          <t>EXCHANGE CHENNAI</t>
        </is>
      </c>
      <c r="K782" s="20" t="inlineStr">
        <is>
          <t>Captive</t>
        </is>
      </c>
      <c r="L782" s="20" t="inlineStr">
        <is>
          <t>Santhosh Cars</t>
        </is>
      </c>
      <c r="M782" s="23" t="n">
        <v>6779.66</v>
      </c>
    </row>
    <row r="783">
      <c r="A783" s="19" t="inlineStr">
        <is>
          <t>FY26</t>
        </is>
      </c>
      <c r="B783" s="19" t="inlineStr">
        <is>
          <t>Mar</t>
        </is>
      </c>
      <c r="C783" s="19" t="inlineStr">
        <is>
          <t>TN</t>
        </is>
      </c>
      <c r="D783" s="20" t="inlineStr">
        <is>
          <t>TN21BU2228</t>
        </is>
      </c>
      <c r="E783" s="20" t="inlineStr">
        <is>
          <t>HONDA</t>
        </is>
      </c>
      <c r="F783" s="20" t="inlineStr">
        <is>
          <t>City</t>
        </is>
      </c>
      <c r="G783" s="21" t="n">
        <v>2024</v>
      </c>
      <c r="H783" s="22" t="n">
        <v>56144</v>
      </c>
      <c r="I783" s="22" t="n">
        <v>900000</v>
      </c>
      <c r="J783" s="20" t="inlineStr">
        <is>
          <t>EXCHANGE CHENNAI</t>
        </is>
      </c>
      <c r="K783" s="20" t="inlineStr">
        <is>
          <t>Captive</t>
        </is>
      </c>
      <c r="L783" s="20" t="inlineStr">
        <is>
          <t>S2 Cars</t>
        </is>
      </c>
      <c r="M783" s="23" t="n">
        <v>5084.75</v>
      </c>
    </row>
    <row r="784">
      <c r="A784" s="19" t="inlineStr">
        <is>
          <t>FY26</t>
        </is>
      </c>
      <c r="B784" s="19" t="inlineStr">
        <is>
          <t>Mar</t>
        </is>
      </c>
      <c r="C784" s="19" t="inlineStr">
        <is>
          <t>TN</t>
        </is>
      </c>
      <c r="D784" s="20" t="inlineStr">
        <is>
          <t>TN09CS0315</t>
        </is>
      </c>
      <c r="E784" s="20" t="inlineStr">
        <is>
          <t>HONDA</t>
        </is>
      </c>
      <c r="F784" s="20" t="inlineStr">
        <is>
          <t>Amaze</t>
        </is>
      </c>
      <c r="G784" s="21" t="n">
        <v>2019</v>
      </c>
      <c r="H784" s="22" t="n">
        <v>34094</v>
      </c>
      <c r="I784" s="22" t="n">
        <v>440000</v>
      </c>
      <c r="J784" s="20" t="inlineStr">
        <is>
          <t>EXCHANGE CHENNAI</t>
        </is>
      </c>
      <c r="K784" s="20" t="inlineStr">
        <is>
          <t>Captive</t>
        </is>
      </c>
      <c r="L784" s="20" t="inlineStr">
        <is>
          <t>Santhosh Cars</t>
        </is>
      </c>
      <c r="M784" s="23" t="n">
        <v>4237.29</v>
      </c>
    </row>
    <row r="785">
      <c r="A785" s="19" t="inlineStr">
        <is>
          <t>FY26</t>
        </is>
      </c>
      <c r="B785" s="19" t="inlineStr">
        <is>
          <t>Mar</t>
        </is>
      </c>
      <c r="C785" s="19" t="inlineStr">
        <is>
          <t>TN</t>
        </is>
      </c>
      <c r="D785" s="20" t="inlineStr">
        <is>
          <t>TN06AC2214</t>
        </is>
      </c>
      <c r="E785" s="20" t="inlineStr">
        <is>
          <t>HONDA</t>
        </is>
      </c>
      <c r="F785" s="20" t="inlineStr">
        <is>
          <t>City</t>
        </is>
      </c>
      <c r="G785" s="21" t="n">
        <v>2022</v>
      </c>
      <c r="H785" s="22" t="n">
        <v>23487</v>
      </c>
      <c r="I785" s="22" t="n">
        <v>1070000</v>
      </c>
      <c r="J785" s="20" t="inlineStr">
        <is>
          <t>EXCHANGE CHENNAI</t>
        </is>
      </c>
      <c r="K785" s="20" t="inlineStr">
        <is>
          <t>Captive</t>
        </is>
      </c>
      <c r="L785" s="20" t="inlineStr">
        <is>
          <t>Santhosh Cars</t>
        </is>
      </c>
      <c r="M785" s="23" t="n">
        <v>8474.58</v>
      </c>
    </row>
    <row r="786">
      <c r="A786" s="19" t="inlineStr">
        <is>
          <t>FY26</t>
        </is>
      </c>
      <c r="B786" s="19" t="inlineStr">
        <is>
          <t>Mar</t>
        </is>
      </c>
      <c r="C786" s="19" t="inlineStr">
        <is>
          <t>TN</t>
        </is>
      </c>
      <c r="D786" s="20" t="inlineStr">
        <is>
          <t>TN09CL2598</t>
        </is>
      </c>
      <c r="E786" s="20" t="inlineStr">
        <is>
          <t>TATA</t>
        </is>
      </c>
      <c r="F786" s="20" t="inlineStr">
        <is>
          <t>Tiago</t>
        </is>
      </c>
      <c r="G786" s="21" t="n">
        <v>2017</v>
      </c>
      <c r="H786" s="22" t="n">
        <v>166868</v>
      </c>
      <c r="I786" s="22" t="n">
        <v>245000</v>
      </c>
      <c r="J786" s="20" t="inlineStr">
        <is>
          <t>Khivraj Motor</t>
        </is>
      </c>
      <c r="K786" s="20" t="inlineStr">
        <is>
          <t>Non-Captive</t>
        </is>
      </c>
      <c r="L786" s="20" t="inlineStr">
        <is>
          <t>Value Drive Tecnologies</t>
        </is>
      </c>
      <c r="M786" s="23" t="n">
        <v>5084.75</v>
      </c>
    </row>
    <row r="787">
      <c r="A787" s="19" t="inlineStr">
        <is>
          <t>FY26</t>
        </is>
      </c>
      <c r="B787" s="19" t="inlineStr">
        <is>
          <t>Mar</t>
        </is>
      </c>
      <c r="C787" s="19" t="inlineStr">
        <is>
          <t>TN</t>
        </is>
      </c>
      <c r="D787" s="20" t="inlineStr">
        <is>
          <t>TN02BA8382</t>
        </is>
      </c>
      <c r="E787" s="20" t="inlineStr">
        <is>
          <t>HONDA</t>
        </is>
      </c>
      <c r="F787" s="20" t="inlineStr">
        <is>
          <t>City</t>
        </is>
      </c>
      <c r="G787" s="21" t="n">
        <v>2014</v>
      </c>
      <c r="H787" s="22" t="n">
        <v>74481</v>
      </c>
      <c r="I787" s="22" t="n">
        <v>333000</v>
      </c>
      <c r="J787" s="20" t="inlineStr">
        <is>
          <t>Khivraj Motor</t>
        </is>
      </c>
      <c r="K787" s="20" t="inlineStr">
        <is>
          <t>Non-Captive</t>
        </is>
      </c>
      <c r="L787" s="20" t="inlineStr">
        <is>
          <t>Aasim Motor</t>
        </is>
      </c>
      <c r="M787" s="23" t="n">
        <v>5084.75</v>
      </c>
    </row>
    <row r="788">
      <c r="A788" s="19" t="inlineStr">
        <is>
          <t>FY26</t>
        </is>
      </c>
      <c r="B788" s="19" t="inlineStr">
        <is>
          <t>Mar</t>
        </is>
      </c>
      <c r="C788" s="19" t="inlineStr">
        <is>
          <t>TN</t>
        </is>
      </c>
      <c r="D788" s="20" t="inlineStr">
        <is>
          <t>TN04AP8743</t>
        </is>
      </c>
      <c r="E788" s="20" t="inlineStr">
        <is>
          <t>MARUTI SUZUKI</t>
        </is>
      </c>
      <c r="F788" s="20" t="inlineStr">
        <is>
          <t>Celerio</t>
        </is>
      </c>
      <c r="G788" s="21" t="n">
        <v>2015</v>
      </c>
      <c r="H788" s="22" t="n">
        <v>84243</v>
      </c>
      <c r="I788" s="22" t="n">
        <v>239000</v>
      </c>
      <c r="J788" s="20" t="inlineStr">
        <is>
          <t>Khivraj Motor</t>
        </is>
      </c>
      <c r="K788" s="20" t="inlineStr">
        <is>
          <t>Non-Captive</t>
        </is>
      </c>
      <c r="L788" s="20" t="inlineStr">
        <is>
          <t>AS Cars Gopi</t>
        </is>
      </c>
      <c r="M788" s="23" t="n">
        <v>5084.75</v>
      </c>
    </row>
    <row r="789">
      <c r="A789" s="19" t="inlineStr">
        <is>
          <t>FY26</t>
        </is>
      </c>
      <c r="B789" s="19" t="inlineStr">
        <is>
          <t>Mar</t>
        </is>
      </c>
      <c r="C789" s="19" t="inlineStr">
        <is>
          <t>TN</t>
        </is>
      </c>
      <c r="D789" s="20" t="inlineStr">
        <is>
          <t>TN07CU9451</t>
        </is>
      </c>
      <c r="E789" s="20" t="inlineStr">
        <is>
          <t>MARUTI SUZUKI</t>
        </is>
      </c>
      <c r="F789" s="20" t="inlineStr">
        <is>
          <t>Swift Dzire</t>
        </is>
      </c>
      <c r="G789" s="21" t="n">
        <v>2020</v>
      </c>
      <c r="H789" s="22" t="n">
        <v>38370</v>
      </c>
      <c r="I789" s="22" t="n">
        <v>516000</v>
      </c>
      <c r="J789" s="20" t="inlineStr">
        <is>
          <t>Khivraj Motor</t>
        </is>
      </c>
      <c r="K789" s="20" t="inlineStr">
        <is>
          <t>Non-Captive</t>
        </is>
      </c>
      <c r="L789" s="20" t="inlineStr">
        <is>
          <t>Value Drive Tecnologies</t>
        </is>
      </c>
      <c r="M789" s="23" t="n">
        <v>5932.2</v>
      </c>
    </row>
    <row r="790">
      <c r="A790" s="19" t="inlineStr">
        <is>
          <t>FY26</t>
        </is>
      </c>
      <c r="B790" s="19" t="inlineStr">
        <is>
          <t>Mar</t>
        </is>
      </c>
      <c r="C790" s="19" t="inlineStr">
        <is>
          <t>TN</t>
        </is>
      </c>
      <c r="D790" s="20" t="inlineStr">
        <is>
          <t>TN10BK7836</t>
        </is>
      </c>
      <c r="E790" s="20" t="inlineStr">
        <is>
          <t>MARUTI SUZUKI</t>
        </is>
      </c>
      <c r="F790" s="20" t="inlineStr">
        <is>
          <t>Baleno</t>
        </is>
      </c>
      <c r="G790" s="21" t="n">
        <v>2020</v>
      </c>
      <c r="H790" s="22" t="n">
        <v>32558</v>
      </c>
      <c r="I790" s="22" t="n">
        <v>447000</v>
      </c>
      <c r="J790" s="20" t="inlineStr">
        <is>
          <t>Khivraj Motor</t>
        </is>
      </c>
      <c r="K790" s="20" t="inlineStr">
        <is>
          <t>Non-Captive</t>
        </is>
      </c>
      <c r="L790" s="20" t="inlineStr">
        <is>
          <t>AAA Cars</t>
        </is>
      </c>
      <c r="M790" s="23" t="n">
        <v>6779.66</v>
      </c>
    </row>
    <row r="791">
      <c r="A791" s="19" t="inlineStr">
        <is>
          <t>FY26</t>
        </is>
      </c>
      <c r="B791" s="19" t="inlineStr">
        <is>
          <t>Mar</t>
        </is>
      </c>
      <c r="C791" s="19" t="inlineStr">
        <is>
          <t>TN</t>
        </is>
      </c>
      <c r="D791" s="20" t="inlineStr">
        <is>
          <t>TN07CW3039</t>
        </is>
      </c>
      <c r="E791" s="20" t="inlineStr">
        <is>
          <t>MARUTI SUZUKI</t>
        </is>
      </c>
      <c r="F791" s="20" t="inlineStr">
        <is>
          <t>Brezza</t>
        </is>
      </c>
      <c r="G791" s="21" t="n">
        <v>2020</v>
      </c>
      <c r="H791" s="22" t="n">
        <v>33412</v>
      </c>
      <c r="I791" s="22" t="n">
        <v>608000</v>
      </c>
      <c r="J791" s="20" t="inlineStr">
        <is>
          <t>Khivraj Motor</t>
        </is>
      </c>
      <c r="K791" s="20" t="inlineStr">
        <is>
          <t>Non-Captive</t>
        </is>
      </c>
      <c r="L791" s="20" t="inlineStr">
        <is>
          <t>Pine Autos</t>
        </is>
      </c>
      <c r="M791" s="23" t="n">
        <v>7627.12</v>
      </c>
    </row>
    <row r="792">
      <c r="A792" s="19" t="inlineStr">
        <is>
          <t>FY26</t>
        </is>
      </c>
      <c r="B792" s="19" t="inlineStr">
        <is>
          <t>Mar</t>
        </is>
      </c>
      <c r="C792" s="19" t="inlineStr">
        <is>
          <t>TN</t>
        </is>
      </c>
      <c r="D792" s="20" t="inlineStr">
        <is>
          <t>TN05BS1282</t>
        </is>
      </c>
      <c r="E792" s="20" t="inlineStr">
        <is>
          <t>MARUTI SUZUKI</t>
        </is>
      </c>
      <c r="F792" s="20" t="inlineStr">
        <is>
          <t>Baleno</t>
        </is>
      </c>
      <c r="G792" s="21" t="n">
        <v>2018</v>
      </c>
      <c r="H792" s="22" t="n">
        <v>95211</v>
      </c>
      <c r="I792" s="22" t="n">
        <v>450000</v>
      </c>
      <c r="J792" s="20" t="inlineStr">
        <is>
          <t>Khivraj Motor</t>
        </is>
      </c>
      <c r="K792" s="20" t="inlineStr">
        <is>
          <t>Non-Captive</t>
        </is>
      </c>
      <c r="L792" s="20" t="inlineStr">
        <is>
          <t>Pine Autos</t>
        </is>
      </c>
      <c r="M792" s="23" t="n">
        <v>5932.2</v>
      </c>
    </row>
    <row r="793">
      <c r="A793" s="19" t="inlineStr">
        <is>
          <t>FY26</t>
        </is>
      </c>
      <c r="B793" s="19" t="inlineStr">
        <is>
          <t>Mar</t>
        </is>
      </c>
      <c r="C793" s="19" t="inlineStr">
        <is>
          <t>TN</t>
        </is>
      </c>
      <c r="D793" s="20" t="inlineStr">
        <is>
          <t>TN38CS2907</t>
        </is>
      </c>
      <c r="E793" s="20" t="inlineStr">
        <is>
          <t>MARUTI SUZUKI</t>
        </is>
      </c>
      <c r="F793" s="20" t="inlineStr">
        <is>
          <t>S-Cross</t>
        </is>
      </c>
      <c r="G793" s="21" t="n">
        <v>2018</v>
      </c>
      <c r="H793" s="22" t="n">
        <v>56144</v>
      </c>
      <c r="I793" s="22" t="n">
        <v>650000</v>
      </c>
      <c r="J793" s="20" t="inlineStr">
        <is>
          <t>EXCHANGE ROTN</t>
        </is>
      </c>
      <c r="K793" s="20" t="inlineStr">
        <is>
          <t>Captive</t>
        </is>
      </c>
      <c r="L793" s="20" t="inlineStr">
        <is>
          <t>Sarvesh cars</t>
        </is>
      </c>
      <c r="M793" s="23" t="n">
        <v>4237.29</v>
      </c>
    </row>
    <row r="794">
      <c r="A794" s="19" t="inlineStr">
        <is>
          <t>FY26</t>
        </is>
      </c>
      <c r="B794" s="19" t="inlineStr">
        <is>
          <t>Mar</t>
        </is>
      </c>
      <c r="C794" s="19" t="inlineStr">
        <is>
          <t>TN</t>
        </is>
      </c>
      <c r="D794" s="20" t="inlineStr">
        <is>
          <t>TN64D7889</t>
        </is>
      </c>
      <c r="E794" s="20" t="inlineStr">
        <is>
          <t>HONDA</t>
        </is>
      </c>
      <c r="F794" s="20" t="inlineStr">
        <is>
          <t>Brio</t>
        </is>
      </c>
      <c r="G794" s="21" t="n">
        <v>2012</v>
      </c>
      <c r="H794" s="22" t="n">
        <v>38787</v>
      </c>
      <c r="I794" s="22" t="n">
        <v>215000</v>
      </c>
      <c r="J794" s="20" t="inlineStr">
        <is>
          <t>EXCHANGE ROTN</t>
        </is>
      </c>
      <c r="K794" s="20" t="inlineStr">
        <is>
          <t>Captive</t>
        </is>
      </c>
      <c r="L794" s="20" t="inlineStr">
        <is>
          <t>Value Cars</t>
        </is>
      </c>
      <c r="M794" s="23" t="n">
        <v>8474.58</v>
      </c>
    </row>
    <row r="795">
      <c r="A795" s="19" t="inlineStr">
        <is>
          <t>FY26</t>
        </is>
      </c>
      <c r="B795" s="19" t="inlineStr">
        <is>
          <t>Mar</t>
        </is>
      </c>
      <c r="C795" s="19" t="inlineStr">
        <is>
          <t>TN</t>
        </is>
      </c>
      <c r="D795" s="20" t="inlineStr">
        <is>
          <t>TN57BM6422</t>
        </is>
      </c>
      <c r="E795" s="20" t="inlineStr">
        <is>
          <t>MARUTI SUZUKI</t>
        </is>
      </c>
      <c r="F795" s="20" t="inlineStr">
        <is>
          <t>Wagon R</t>
        </is>
      </c>
      <c r="G795" s="21" t="n">
        <v>2021</v>
      </c>
      <c r="H795" s="22" t="n"/>
      <c r="I795" s="22" t="n">
        <v>430000</v>
      </c>
      <c r="J795" s="20" t="inlineStr">
        <is>
          <t>EXCHANGE ROTN</t>
        </is>
      </c>
      <c r="K795" s="20" t="inlineStr">
        <is>
          <t>Captive</t>
        </is>
      </c>
      <c r="L795" s="20" t="inlineStr">
        <is>
          <t>Value Cars</t>
        </is>
      </c>
      <c r="M795" s="23" t="n">
        <v>12711.86</v>
      </c>
    </row>
    <row r="796">
      <c r="A796" s="19" t="inlineStr">
        <is>
          <t>FY26</t>
        </is>
      </c>
      <c r="B796" s="19" t="inlineStr">
        <is>
          <t>Mar</t>
        </is>
      </c>
      <c r="C796" s="19" t="inlineStr">
        <is>
          <t>TN</t>
        </is>
      </c>
      <c r="D796" s="20" t="inlineStr">
        <is>
          <t>TN43H6853</t>
        </is>
      </c>
      <c r="E796" s="20" t="inlineStr">
        <is>
          <t>MARUTI SUZUKI</t>
        </is>
      </c>
      <c r="F796" s="20" t="inlineStr">
        <is>
          <t>Omni</t>
        </is>
      </c>
      <c r="G796" s="21" t="n">
        <v>2017</v>
      </c>
      <c r="H796" s="22" t="n">
        <v>87411</v>
      </c>
      <c r="I796" s="22" t="n">
        <v>100000</v>
      </c>
      <c r="J796" s="20" t="inlineStr">
        <is>
          <t>EXCHANGE ROTN</t>
        </is>
      </c>
      <c r="K796" s="20" t="inlineStr">
        <is>
          <t>Captive</t>
        </is>
      </c>
      <c r="L796" s="20" t="inlineStr">
        <is>
          <t>Sri Murugan Cars</t>
        </is>
      </c>
      <c r="M796" s="23" t="n">
        <v>4237.29</v>
      </c>
    </row>
    <row r="797">
      <c r="A797" s="19" t="inlineStr">
        <is>
          <t>FY26</t>
        </is>
      </c>
      <c r="B797" s="19" t="inlineStr">
        <is>
          <t>Mar</t>
        </is>
      </c>
      <c r="C797" s="19" t="inlineStr">
        <is>
          <t>TN</t>
        </is>
      </c>
      <c r="D797" s="20" t="inlineStr">
        <is>
          <t>TN07CR5753</t>
        </is>
      </c>
      <c r="E797" s="20" t="inlineStr">
        <is>
          <t>TATA</t>
        </is>
      </c>
      <c r="F797" s="20" t="inlineStr">
        <is>
          <t>Tiago</t>
        </is>
      </c>
      <c r="G797" s="21" t="n">
        <v>2018</v>
      </c>
      <c r="H797" s="22" t="n">
        <v>82006</v>
      </c>
      <c r="I797" s="22" t="n">
        <v>230000</v>
      </c>
      <c r="J797" s="20" t="inlineStr">
        <is>
          <t>STEER AUTO TECHNOLOGIES PRIVATE LIMITED</t>
        </is>
      </c>
      <c r="K797" s="20" t="inlineStr">
        <is>
          <t>Non-Captive</t>
        </is>
      </c>
      <c r="L797" s="20" t="inlineStr">
        <is>
          <t>AAA Cars</t>
        </is>
      </c>
      <c r="M797" s="23" t="n">
        <v>3389.83</v>
      </c>
    </row>
    <row r="798">
      <c r="A798" s="19" t="inlineStr">
        <is>
          <t>FY26</t>
        </is>
      </c>
      <c r="B798" s="19" t="inlineStr">
        <is>
          <t>Mar</t>
        </is>
      </c>
      <c r="C798" s="19" t="inlineStr">
        <is>
          <t>TN</t>
        </is>
      </c>
      <c r="D798" s="20" t="inlineStr">
        <is>
          <t>TN83A4081</t>
        </is>
      </c>
      <c r="E798" s="20" t="inlineStr">
        <is>
          <t>HYUNDAI</t>
        </is>
      </c>
      <c r="F798" s="20" t="inlineStr">
        <is>
          <t>Creta</t>
        </is>
      </c>
      <c r="G798" s="21" t="n">
        <v>2016</v>
      </c>
      <c r="H798" s="22" t="n">
        <v>135035</v>
      </c>
      <c r="I798" s="22" t="n">
        <v>415000</v>
      </c>
      <c r="J798" s="20" t="inlineStr">
        <is>
          <t>EXCHANGE ROTN</t>
        </is>
      </c>
      <c r="K798" s="20" t="inlineStr">
        <is>
          <t>Captive</t>
        </is>
      </c>
      <c r="L798" s="20" t="inlineStr">
        <is>
          <t>Gugha Cars</t>
        </is>
      </c>
      <c r="M798" s="23" t="n">
        <v>4237.29</v>
      </c>
    </row>
    <row r="799">
      <c r="A799" s="19" t="inlineStr">
        <is>
          <t>FY26</t>
        </is>
      </c>
      <c r="B799" s="19" t="inlineStr">
        <is>
          <t>Mar</t>
        </is>
      </c>
      <c r="C799" s="19" t="inlineStr">
        <is>
          <t>TN</t>
        </is>
      </c>
      <c r="D799" s="20" t="inlineStr">
        <is>
          <t>TN30AE1895</t>
        </is>
      </c>
      <c r="E799" s="20" t="inlineStr">
        <is>
          <t>HYUNDAI</t>
        </is>
      </c>
      <c r="F799" s="20" t="inlineStr">
        <is>
          <t>I10</t>
        </is>
      </c>
      <c r="G799" s="21" t="n">
        <v>2009</v>
      </c>
      <c r="H799" s="22" t="n">
        <v>102688</v>
      </c>
      <c r="I799" s="22" t="n">
        <v>150000</v>
      </c>
      <c r="J799" s="20" t="inlineStr">
        <is>
          <t>EXCHANGE ROTN</t>
        </is>
      </c>
      <c r="K799" s="20" t="inlineStr">
        <is>
          <t>Captive</t>
        </is>
      </c>
      <c r="L799" s="20" t="inlineStr">
        <is>
          <t>MSV Car Painting</t>
        </is>
      </c>
      <c r="M799" s="23" t="n">
        <v>8474.58</v>
      </c>
    </row>
    <row r="800">
      <c r="A800" s="19" t="inlineStr">
        <is>
          <t>FY26</t>
        </is>
      </c>
      <c r="B800" s="19" t="inlineStr">
        <is>
          <t>Mar</t>
        </is>
      </c>
      <c r="C800" s="19" t="inlineStr">
        <is>
          <t>TN</t>
        </is>
      </c>
      <c r="D800" s="20" t="inlineStr">
        <is>
          <t>TN58AT8997</t>
        </is>
      </c>
      <c r="E800" s="20" t="inlineStr">
        <is>
          <t>HYUNDAI</t>
        </is>
      </c>
      <c r="F800" s="20" t="inlineStr">
        <is>
          <t>I20</t>
        </is>
      </c>
      <c r="G800" s="21" t="n">
        <v>2018</v>
      </c>
      <c r="H800" s="22" t="n">
        <v>150787</v>
      </c>
      <c r="I800" s="22" t="n">
        <v>345000</v>
      </c>
      <c r="J800" s="20" t="inlineStr">
        <is>
          <t>EXCHANGE ROTN</t>
        </is>
      </c>
      <c r="K800" s="20" t="inlineStr">
        <is>
          <t>Captive</t>
        </is>
      </c>
      <c r="L800" s="20" t="inlineStr">
        <is>
          <t>Value Cars</t>
        </is>
      </c>
      <c r="M800" s="23" t="n">
        <v>8474.58</v>
      </c>
    </row>
    <row r="801">
      <c r="A801" s="19" t="inlineStr">
        <is>
          <t>FY26</t>
        </is>
      </c>
      <c r="B801" s="19" t="inlineStr">
        <is>
          <t>Mar</t>
        </is>
      </c>
      <c r="C801" s="19" t="inlineStr">
        <is>
          <t>TN</t>
        </is>
      </c>
      <c r="D801" s="20" t="inlineStr">
        <is>
          <t>TN69AM0193</t>
        </is>
      </c>
      <c r="E801" s="20" t="inlineStr">
        <is>
          <t>HONDA</t>
        </is>
      </c>
      <c r="F801" s="20" t="inlineStr">
        <is>
          <t>Amaze</t>
        </is>
      </c>
      <c r="G801" s="21" t="n">
        <v>2014</v>
      </c>
      <c r="H801" s="22" t="n">
        <v>93284</v>
      </c>
      <c r="I801" s="22" t="n">
        <v>205000</v>
      </c>
      <c r="J801" s="20" t="inlineStr">
        <is>
          <t>EXCHANGE ROTN</t>
        </is>
      </c>
      <c r="K801" s="20" t="inlineStr">
        <is>
          <t>Captive</t>
        </is>
      </c>
      <c r="L801" s="20" t="inlineStr">
        <is>
          <t>Senthur Finance</t>
        </is>
      </c>
      <c r="M801" s="23" t="n">
        <v>8474.58</v>
      </c>
    </row>
    <row r="802">
      <c r="A802" s="19" t="inlineStr">
        <is>
          <t>FY26</t>
        </is>
      </c>
      <c r="B802" s="19" t="inlineStr">
        <is>
          <t>Mar</t>
        </is>
      </c>
      <c r="C802" s="19" t="inlineStr">
        <is>
          <t>TN</t>
        </is>
      </c>
      <c r="D802" s="20" t="inlineStr">
        <is>
          <t>TN07BV4477</t>
        </is>
      </c>
      <c r="E802" s="20" t="inlineStr">
        <is>
          <t>HONDA</t>
        </is>
      </c>
      <c r="F802" s="20" t="inlineStr">
        <is>
          <t>Amaze</t>
        </is>
      </c>
      <c r="G802" s="21" t="n">
        <v>2013</v>
      </c>
      <c r="H802" s="22" t="n">
        <v>118150</v>
      </c>
      <c r="I802" s="22" t="n">
        <v>250000</v>
      </c>
      <c r="J802" s="20" t="inlineStr">
        <is>
          <t>STEER AUTO TECHNOLOGIES PRIVATE LIMITED</t>
        </is>
      </c>
      <c r="K802" s="20" t="inlineStr">
        <is>
          <t>Non-Captive</t>
        </is>
      </c>
      <c r="L802" s="20" t="inlineStr">
        <is>
          <t>AAA Cars</t>
        </is>
      </c>
      <c r="M802" s="23" t="n">
        <v>3389.83</v>
      </c>
    </row>
    <row r="803">
      <c r="A803" s="19" t="inlineStr">
        <is>
          <t>FY26</t>
        </is>
      </c>
      <c r="B803" s="19" t="inlineStr">
        <is>
          <t>Mar</t>
        </is>
      </c>
      <c r="C803" s="19" t="inlineStr">
        <is>
          <t>TN</t>
        </is>
      </c>
      <c r="D803" s="20" t="inlineStr">
        <is>
          <t>TN07CP8980</t>
        </is>
      </c>
      <c r="E803" s="20" t="inlineStr">
        <is>
          <t>VOLKSWAGEN</t>
        </is>
      </c>
      <c r="F803" s="20" t="inlineStr">
        <is>
          <t>Ameo</t>
        </is>
      </c>
      <c r="G803" s="21" t="n">
        <v>2018</v>
      </c>
      <c r="H803" s="22" t="n">
        <v>130717</v>
      </c>
      <c r="I803" s="22" t="n">
        <v>320000</v>
      </c>
      <c r="J803" s="20" t="inlineStr">
        <is>
          <t>STEER AUTO TECHNOLOGIES PRIVATE LIMITED</t>
        </is>
      </c>
      <c r="K803" s="20" t="inlineStr">
        <is>
          <t>Non-Captive</t>
        </is>
      </c>
      <c r="L803" s="20" t="inlineStr">
        <is>
          <t>Kamal cars</t>
        </is>
      </c>
      <c r="M803" s="23" t="n">
        <v>4237.29</v>
      </c>
    </row>
    <row r="804">
      <c r="A804" s="19" t="inlineStr">
        <is>
          <t>FY26</t>
        </is>
      </c>
      <c r="B804" s="19" t="inlineStr">
        <is>
          <t>Mar</t>
        </is>
      </c>
      <c r="C804" s="19" t="inlineStr">
        <is>
          <t>TN</t>
        </is>
      </c>
      <c r="D804" s="20" t="inlineStr">
        <is>
          <t>TN07BK4651</t>
        </is>
      </c>
      <c r="E804" s="20" t="inlineStr">
        <is>
          <t>HYUNDAI</t>
        </is>
      </c>
      <c r="F804" s="20" t="inlineStr">
        <is>
          <t>I20</t>
        </is>
      </c>
      <c r="G804" s="21" t="n">
        <v>2010</v>
      </c>
      <c r="H804" s="22" t="n">
        <v>44004</v>
      </c>
      <c r="I804" s="22" t="n">
        <v>120000</v>
      </c>
      <c r="J804" s="20" t="inlineStr">
        <is>
          <t>STEER AUTO TECHNOLOGIES PRIVATE LIMITED</t>
        </is>
      </c>
      <c r="K804" s="20" t="inlineStr">
        <is>
          <t>Non-Captive</t>
        </is>
      </c>
      <c r="L804" s="20" t="inlineStr">
        <is>
          <t>Kamal cars</t>
        </is>
      </c>
      <c r="M804" s="23" t="n">
        <v>4237.29</v>
      </c>
    </row>
    <row r="805">
      <c r="A805" s="19" t="inlineStr">
        <is>
          <t>FY26</t>
        </is>
      </c>
      <c r="B805" s="19" t="inlineStr">
        <is>
          <t>Mar</t>
        </is>
      </c>
      <c r="C805" s="19" t="inlineStr">
        <is>
          <t>TN</t>
        </is>
      </c>
      <c r="D805" s="20" t="inlineStr">
        <is>
          <t>TN05BK2550</t>
        </is>
      </c>
      <c r="E805" s="20" t="inlineStr">
        <is>
          <t>HYUNDAI</t>
        </is>
      </c>
      <c r="F805" s="20" t="inlineStr">
        <is>
          <t>Grand I10</t>
        </is>
      </c>
      <c r="G805" s="21" t="n">
        <v>2016</v>
      </c>
      <c r="H805" s="22" t="n">
        <v>93454</v>
      </c>
      <c r="I805" s="22" t="n">
        <v>235000</v>
      </c>
      <c r="J805" s="20" t="inlineStr">
        <is>
          <t>STEER AUTO TECHNOLOGIES PRIVATE LIMITED</t>
        </is>
      </c>
      <c r="K805" s="20" t="inlineStr">
        <is>
          <t>Non-Captive</t>
        </is>
      </c>
      <c r="L805" s="20" t="inlineStr">
        <is>
          <t>Aasim Motor</t>
        </is>
      </c>
      <c r="M805" s="23" t="n">
        <v>4237.29</v>
      </c>
    </row>
    <row r="806">
      <c r="A806" s="19" t="inlineStr">
        <is>
          <t>FY26</t>
        </is>
      </c>
      <c r="B806" s="19" t="inlineStr">
        <is>
          <t>Mar</t>
        </is>
      </c>
      <c r="C806" s="19" t="inlineStr">
        <is>
          <t>TN</t>
        </is>
      </c>
      <c r="D806" s="20" t="inlineStr">
        <is>
          <t>TN02AX0756</t>
        </is>
      </c>
      <c r="E806" s="20" t="inlineStr">
        <is>
          <t>TOYOTA</t>
        </is>
      </c>
      <c r="F806" s="20" t="inlineStr">
        <is>
          <t>Etios</t>
        </is>
      </c>
      <c r="G806" s="21" t="n">
        <v>2013</v>
      </c>
      <c r="H806" s="22" t="n">
        <v>93454</v>
      </c>
      <c r="I806" s="22" t="n">
        <v>200000</v>
      </c>
      <c r="J806" s="20" t="inlineStr">
        <is>
          <t>CARS INDIA</t>
        </is>
      </c>
      <c r="K806" s="20" t="inlineStr">
        <is>
          <t>Non-Captive</t>
        </is>
      </c>
      <c r="L806" s="20" t="inlineStr">
        <is>
          <t>Pine Autos</t>
        </is>
      </c>
      <c r="M806" s="23" t="n">
        <v>3389.83</v>
      </c>
    </row>
    <row r="807">
      <c r="A807" s="19" t="inlineStr">
        <is>
          <t>FY26</t>
        </is>
      </c>
      <c r="B807" s="19" t="inlineStr">
        <is>
          <t>Mar</t>
        </is>
      </c>
      <c r="C807" s="19" t="inlineStr">
        <is>
          <t>TN</t>
        </is>
      </c>
      <c r="D807" s="20" t="inlineStr">
        <is>
          <t>TN07CJ4415</t>
        </is>
      </c>
      <c r="E807" s="20" t="inlineStr">
        <is>
          <t>MARUTI SUZUKI</t>
        </is>
      </c>
      <c r="F807" s="20" t="inlineStr">
        <is>
          <t>Ertiga</t>
        </is>
      </c>
      <c r="G807" s="21" t="n">
        <v>2017</v>
      </c>
      <c r="H807" s="22" t="n">
        <v>66428</v>
      </c>
      <c r="I807" s="22" t="n">
        <v>550000</v>
      </c>
      <c r="J807" s="20" t="inlineStr">
        <is>
          <t>CARS INDIA</t>
        </is>
      </c>
      <c r="K807" s="20" t="inlineStr">
        <is>
          <t>Non-Captive</t>
        </is>
      </c>
      <c r="L807" s="20" t="inlineStr">
        <is>
          <t>car Hub</t>
        </is>
      </c>
      <c r="M807" s="23" t="n">
        <v>4237.29</v>
      </c>
    </row>
    <row r="808">
      <c r="A808" s="19" t="inlineStr">
        <is>
          <t>FY26</t>
        </is>
      </c>
      <c r="B808" s="19" t="inlineStr">
        <is>
          <t>Mar</t>
        </is>
      </c>
      <c r="C808" s="19" t="inlineStr">
        <is>
          <t>TN</t>
        </is>
      </c>
      <c r="D808" s="20" t="inlineStr">
        <is>
          <t>TN02AR7256</t>
        </is>
      </c>
      <c r="E808" s="20" t="inlineStr">
        <is>
          <t>FORD</t>
        </is>
      </c>
      <c r="F808" s="20" t="inlineStr">
        <is>
          <t>Fiesta</t>
        </is>
      </c>
      <c r="G808" s="21" t="n">
        <v>2011</v>
      </c>
      <c r="H808" s="22" t="n">
        <v>84145</v>
      </c>
      <c r="I808" s="22" t="n">
        <v>80000</v>
      </c>
      <c r="J808" s="20" t="inlineStr">
        <is>
          <t>STEER AUTO TECHNOLOGIES PRIVATE LIMITED</t>
        </is>
      </c>
      <c r="K808" s="20" t="inlineStr">
        <is>
          <t>Non-Captive</t>
        </is>
      </c>
      <c r="L808" s="20" t="inlineStr">
        <is>
          <t>Pine Autos</t>
        </is>
      </c>
      <c r="M808" s="23" t="n">
        <v>3389.83</v>
      </c>
    </row>
    <row r="809">
      <c r="A809" s="19" t="inlineStr">
        <is>
          <t>FY26</t>
        </is>
      </c>
      <c r="B809" s="19" t="inlineStr">
        <is>
          <t>Mar</t>
        </is>
      </c>
      <c r="C809" s="19" t="inlineStr">
        <is>
          <t>TN</t>
        </is>
      </c>
      <c r="D809" s="20" t="inlineStr">
        <is>
          <t>TN10BB4150</t>
        </is>
      </c>
      <c r="E809" s="20" t="inlineStr">
        <is>
          <t>MARUTI SUZUKI</t>
        </is>
      </c>
      <c r="F809" s="20" t="inlineStr">
        <is>
          <t>Alto K10</t>
        </is>
      </c>
      <c r="G809" s="21" t="n">
        <v>2017</v>
      </c>
      <c r="H809" s="22" t="n">
        <v>99431</v>
      </c>
      <c r="I809" s="22" t="n">
        <v>120000</v>
      </c>
      <c r="J809" s="20" t="inlineStr">
        <is>
          <t>STEER AUTO TECHNOLOGIES PRIVATE LIMITED</t>
        </is>
      </c>
      <c r="K809" s="20" t="inlineStr">
        <is>
          <t>Non-Captive</t>
        </is>
      </c>
      <c r="L809" s="20" t="inlineStr">
        <is>
          <t>Pine Autos</t>
        </is>
      </c>
      <c r="M809" s="23" t="n">
        <v>3389.83</v>
      </c>
    </row>
    <row r="810">
      <c r="A810" s="19" t="inlineStr">
        <is>
          <t>FY26</t>
        </is>
      </c>
      <c r="B810" s="19" t="inlineStr">
        <is>
          <t>Mar</t>
        </is>
      </c>
      <c r="C810" s="19" t="inlineStr">
        <is>
          <t>TN</t>
        </is>
      </c>
      <c r="D810" s="20" t="inlineStr">
        <is>
          <t>TN02BR9331</t>
        </is>
      </c>
      <c r="E810" s="20" t="inlineStr">
        <is>
          <t>VOLKSWAGEN</t>
        </is>
      </c>
      <c r="F810" s="20" t="inlineStr">
        <is>
          <t>Vento</t>
        </is>
      </c>
      <c r="G810" s="21" t="n">
        <v>2019</v>
      </c>
      <c r="H810" s="22" t="n">
        <v>108684</v>
      </c>
      <c r="I810" s="22" t="n">
        <v>380000</v>
      </c>
      <c r="J810" s="20" t="inlineStr">
        <is>
          <t>STEER AUTO TECHNOLOGIES PRIVATE LIMITED</t>
        </is>
      </c>
      <c r="K810" s="20" t="inlineStr">
        <is>
          <t>Non-Captive</t>
        </is>
      </c>
      <c r="L810" s="20" t="inlineStr">
        <is>
          <t>Pine Autos</t>
        </is>
      </c>
      <c r="M810" s="23" t="n">
        <v>3389.83</v>
      </c>
    </row>
    <row r="811">
      <c r="A811" s="19" t="inlineStr">
        <is>
          <t>FY26</t>
        </is>
      </c>
      <c r="B811" s="19" t="inlineStr">
        <is>
          <t>Mar</t>
        </is>
      </c>
      <c r="C811" s="19" t="inlineStr">
        <is>
          <t>TN</t>
        </is>
      </c>
      <c r="D811" s="20" t="inlineStr">
        <is>
          <t>TN22EE5085</t>
        </is>
      </c>
      <c r="E811" s="20" t="inlineStr">
        <is>
          <t>TATA</t>
        </is>
      </c>
      <c r="F811" s="20" t="inlineStr">
        <is>
          <t>Punch</t>
        </is>
      </c>
      <c r="G811" s="21" t="n">
        <v>2025</v>
      </c>
      <c r="H811" s="22" t="n">
        <v>68844</v>
      </c>
      <c r="I811" s="22" t="n">
        <v>500000</v>
      </c>
      <c r="J811" s="20" t="inlineStr">
        <is>
          <t>STEER AUTO TECHNOLOGIES PRIVATE LIMITED</t>
        </is>
      </c>
      <c r="K811" s="20" t="inlineStr">
        <is>
          <t>Non-Captive</t>
        </is>
      </c>
      <c r="L811" s="20" t="inlineStr">
        <is>
          <t>car Hub</t>
        </is>
      </c>
      <c r="M811" s="23" t="n">
        <v>5084.75</v>
      </c>
    </row>
    <row r="812">
      <c r="A812" s="19" t="inlineStr">
        <is>
          <t>FY26</t>
        </is>
      </c>
      <c r="B812" s="19" t="inlineStr">
        <is>
          <t>Mar</t>
        </is>
      </c>
      <c r="C812" s="19" t="inlineStr">
        <is>
          <t>TN</t>
        </is>
      </c>
      <c r="D812" s="20" t="inlineStr">
        <is>
          <t>TN09DA9798</t>
        </is>
      </c>
      <c r="E812" s="20" t="inlineStr">
        <is>
          <t>VOLKSWAGEN</t>
        </is>
      </c>
      <c r="F812" s="20" t="inlineStr">
        <is>
          <t>Taigun</t>
        </is>
      </c>
      <c r="G812" s="21" t="n">
        <v>2022</v>
      </c>
      <c r="H812" s="22" t="n">
        <v>145493</v>
      </c>
      <c r="I812" s="22" t="n">
        <v>600000</v>
      </c>
      <c r="J812" s="20" t="inlineStr">
        <is>
          <t>STEER AUTO TECHNOLOGIES PRIVATE LIMITED</t>
        </is>
      </c>
      <c r="K812" s="20" t="inlineStr">
        <is>
          <t>Non-Captive</t>
        </is>
      </c>
      <c r="L812" s="20" t="inlineStr">
        <is>
          <t>car Hub</t>
        </is>
      </c>
      <c r="M812" s="23" t="n">
        <v>5084.75</v>
      </c>
    </row>
    <row r="813">
      <c r="A813" s="19" t="inlineStr">
        <is>
          <t>FY26</t>
        </is>
      </c>
      <c r="B813" s="19" t="inlineStr">
        <is>
          <t>Mar</t>
        </is>
      </c>
      <c r="C813" s="19" t="inlineStr">
        <is>
          <t>TN</t>
        </is>
      </c>
      <c r="D813" s="20" t="inlineStr">
        <is>
          <t>TN38BU7414</t>
        </is>
      </c>
      <c r="E813" s="20" t="inlineStr">
        <is>
          <t>HONDA</t>
        </is>
      </c>
      <c r="F813" s="20" t="inlineStr">
        <is>
          <t>Cr-V</t>
        </is>
      </c>
      <c r="G813" s="21" t="n">
        <v>2013</v>
      </c>
      <c r="H813" s="22" t="n">
        <v>73344</v>
      </c>
      <c r="I813" s="22" t="n">
        <v>535000</v>
      </c>
      <c r="J813" s="20" t="inlineStr">
        <is>
          <t>EXCHANGE ROTN</t>
        </is>
      </c>
      <c r="K813" s="20" t="inlineStr">
        <is>
          <t>Captive</t>
        </is>
      </c>
      <c r="L813" s="20" t="inlineStr">
        <is>
          <t>Dheera Cars</t>
        </is>
      </c>
      <c r="M813" s="23" t="n">
        <v>12711.86</v>
      </c>
    </row>
    <row r="814">
      <c r="A814" s="19" t="inlineStr">
        <is>
          <t>FY26</t>
        </is>
      </c>
      <c r="B814" s="19" t="inlineStr">
        <is>
          <t>Mar</t>
        </is>
      </c>
      <c r="C814" s="19" t="inlineStr">
        <is>
          <t>TN</t>
        </is>
      </c>
      <c r="D814" s="20" t="inlineStr">
        <is>
          <t>TN64AC0316</t>
        </is>
      </c>
      <c r="E814" s="20" t="inlineStr">
        <is>
          <t>HYUNDAI</t>
        </is>
      </c>
      <c r="F814" s="20" t="inlineStr">
        <is>
          <t>Grand I10</t>
        </is>
      </c>
      <c r="G814" s="21" t="n">
        <v>2024</v>
      </c>
      <c r="H814" s="22" t="n">
        <v>18457</v>
      </c>
      <c r="I814" s="22" t="n">
        <v>630000</v>
      </c>
      <c r="J814" s="20" t="inlineStr">
        <is>
          <t>EXCHANGE ROTN</t>
        </is>
      </c>
      <c r="K814" s="20" t="inlineStr">
        <is>
          <t>Captive</t>
        </is>
      </c>
      <c r="L814" s="20" t="inlineStr">
        <is>
          <t>FF Cars</t>
        </is>
      </c>
      <c r="M814" s="23" t="n">
        <v>8474.58</v>
      </c>
    </row>
    <row r="815">
      <c r="A815" s="19" t="inlineStr">
        <is>
          <t>FY26</t>
        </is>
      </c>
      <c r="B815" s="19" t="inlineStr">
        <is>
          <t>Mar</t>
        </is>
      </c>
      <c r="C815" s="19" t="inlineStr">
        <is>
          <t>TN</t>
        </is>
      </c>
      <c r="D815" s="20" t="inlineStr">
        <is>
          <t>TN02BB2503</t>
        </is>
      </c>
      <c r="E815" s="20" t="inlineStr">
        <is>
          <t>MARUTI SUZUKI</t>
        </is>
      </c>
      <c r="F815" s="20" t="inlineStr">
        <is>
          <t>Ciaz</t>
        </is>
      </c>
      <c r="G815" s="21" t="n">
        <v>2015</v>
      </c>
      <c r="H815" s="22" t="n">
        <v>40752</v>
      </c>
      <c r="I815" s="22" t="n">
        <v>375000</v>
      </c>
      <c r="J815" s="20" t="inlineStr">
        <is>
          <t>EXCHANGE CHENNAI</t>
        </is>
      </c>
      <c r="K815" s="20" t="inlineStr">
        <is>
          <t>Captive</t>
        </is>
      </c>
      <c r="L815" s="20" t="inlineStr">
        <is>
          <t>Nirmal Cars</t>
        </is>
      </c>
      <c r="M815" s="23" t="n">
        <v>8474.58</v>
      </c>
    </row>
    <row r="816">
      <c r="A816" s="19" t="inlineStr">
        <is>
          <t>FY26</t>
        </is>
      </c>
      <c r="B816" s="19" t="inlineStr">
        <is>
          <t>Mar</t>
        </is>
      </c>
      <c r="C816" s="19" t="inlineStr">
        <is>
          <t>TN</t>
        </is>
      </c>
      <c r="D816" s="20" t="inlineStr">
        <is>
          <t>TN06T7205</t>
        </is>
      </c>
      <c r="E816" s="20" t="inlineStr">
        <is>
          <t>MARUTI SUZUKI</t>
        </is>
      </c>
      <c r="F816" s="20" t="inlineStr">
        <is>
          <t>Baleno</t>
        </is>
      </c>
      <c r="G816" s="21" t="n">
        <v>2017</v>
      </c>
      <c r="H816" s="22" t="n"/>
      <c r="I816" s="22" t="n">
        <v>410000</v>
      </c>
      <c r="J816" s="20" t="inlineStr">
        <is>
          <t>EXCHANGE CHENNAI</t>
        </is>
      </c>
      <c r="K816" s="20" t="inlineStr">
        <is>
          <t>Captive</t>
        </is>
      </c>
      <c r="L816" s="20" t="inlineStr">
        <is>
          <t>Santhosh Cars</t>
        </is>
      </c>
      <c r="M816" s="23" t="n">
        <v>8474.58</v>
      </c>
    </row>
    <row r="817">
      <c r="A817" s="19" t="inlineStr">
        <is>
          <t>FY26</t>
        </is>
      </c>
      <c r="B817" s="19" t="inlineStr">
        <is>
          <t>Mar</t>
        </is>
      </c>
      <c r="C817" s="19" t="inlineStr">
        <is>
          <t>TN</t>
        </is>
      </c>
      <c r="D817" s="20" t="inlineStr">
        <is>
          <t>TN07BK3244</t>
        </is>
      </c>
      <c r="E817" s="20" t="inlineStr">
        <is>
          <t>HYUNDAI</t>
        </is>
      </c>
      <c r="F817" s="20" t="inlineStr">
        <is>
          <t>Santro</t>
        </is>
      </c>
      <c r="G817" s="21" t="n">
        <v>2010</v>
      </c>
      <c r="H817" s="22" t="n"/>
      <c r="I817" s="22" t="n">
        <v>100000</v>
      </c>
      <c r="J817" s="20" t="inlineStr">
        <is>
          <t>EXCHANGE CHENNAI</t>
        </is>
      </c>
      <c r="K817" s="20" t="inlineStr">
        <is>
          <t>Captive</t>
        </is>
      </c>
      <c r="L817" s="20" t="inlineStr">
        <is>
          <t>Santhosh Cars</t>
        </is>
      </c>
      <c r="M817" s="23" t="n">
        <v>4237.29</v>
      </c>
    </row>
    <row r="818">
      <c r="A818" s="19" t="inlineStr">
        <is>
          <t>FY26</t>
        </is>
      </c>
      <c r="B818" s="19" t="inlineStr">
        <is>
          <t>Mar</t>
        </is>
      </c>
      <c r="C818" s="19" t="inlineStr">
        <is>
          <t>TN</t>
        </is>
      </c>
      <c r="D818" s="20" t="inlineStr">
        <is>
          <t>TN02BF6507</t>
        </is>
      </c>
      <c r="E818" s="20" t="inlineStr">
        <is>
          <t>MARUTI SUZUKI</t>
        </is>
      </c>
      <c r="F818" s="20" t="inlineStr">
        <is>
          <t>Celerio</t>
        </is>
      </c>
      <c r="G818" s="21" t="n">
        <v>2016</v>
      </c>
      <c r="H818" s="22" t="n">
        <v>73503</v>
      </c>
      <c r="I818" s="22" t="n">
        <v>250000</v>
      </c>
      <c r="J818" s="20" t="inlineStr">
        <is>
          <t>POPULAR VEHICLES AND SERVICES LIMITED</t>
        </is>
      </c>
      <c r="K818" s="20" t="inlineStr">
        <is>
          <t>Non-Captive</t>
        </is>
      </c>
      <c r="L818" s="20" t="inlineStr">
        <is>
          <t>Aasim Motor</t>
        </is>
      </c>
      <c r="M818" s="23" t="n">
        <v>4237.29</v>
      </c>
    </row>
    <row r="819">
      <c r="A819" s="19" t="inlineStr">
        <is>
          <t>FY26</t>
        </is>
      </c>
      <c r="B819" s="19" t="inlineStr">
        <is>
          <t>Mar</t>
        </is>
      </c>
      <c r="C819" s="19" t="inlineStr">
        <is>
          <t>TN</t>
        </is>
      </c>
      <c r="D819" s="20" t="inlineStr">
        <is>
          <t>TN06J7467</t>
        </is>
      </c>
      <c r="E819" s="20" t="inlineStr">
        <is>
          <t>SKODA</t>
        </is>
      </c>
      <c r="F819" s="20" t="inlineStr">
        <is>
          <t>nan</t>
        </is>
      </c>
      <c r="G819" s="21" t="n">
        <v>2013</v>
      </c>
      <c r="H819" s="22" t="n">
        <v>90456</v>
      </c>
      <c r="I819" s="22" t="n">
        <v>175000</v>
      </c>
      <c r="J819" s="20" t="inlineStr">
        <is>
          <t>POPULAR VEHICLES AND SERVICES LIMITED</t>
        </is>
      </c>
      <c r="K819" s="20" t="inlineStr">
        <is>
          <t>Non-Captive</t>
        </is>
      </c>
      <c r="L819" s="20" t="inlineStr">
        <is>
          <t>kamal Cars</t>
        </is>
      </c>
      <c r="M819" s="23" t="n">
        <v>4237.29</v>
      </c>
    </row>
    <row r="820">
      <c r="A820" s="19" t="inlineStr">
        <is>
          <t>FY26</t>
        </is>
      </c>
      <c r="B820" s="19" t="inlineStr">
        <is>
          <t>Mar</t>
        </is>
      </c>
      <c r="C820" s="19" t="inlineStr">
        <is>
          <t>TN</t>
        </is>
      </c>
      <c r="D820" s="20" t="inlineStr">
        <is>
          <t>TN01AZ2866</t>
        </is>
      </c>
      <c r="E820" s="20" t="inlineStr">
        <is>
          <t>MARUTI SUZUKI</t>
        </is>
      </c>
      <c r="F820" s="20" t="inlineStr">
        <is>
          <t>Swift</t>
        </is>
      </c>
      <c r="G820" s="21" t="n">
        <v>2015</v>
      </c>
      <c r="H820" s="22" t="n">
        <v>131300</v>
      </c>
      <c r="I820" s="22" t="n">
        <v>350000</v>
      </c>
      <c r="J820" s="20" t="inlineStr">
        <is>
          <t>Santhosh Cars</t>
        </is>
      </c>
      <c r="K820" s="20" t="inlineStr">
        <is>
          <t>Non-Captive</t>
        </is>
      </c>
      <c r="L820" s="20" t="inlineStr">
        <is>
          <t>Aasim Motor</t>
        </is>
      </c>
      <c r="M820" s="23" t="n">
        <v>4237.29</v>
      </c>
    </row>
    <row r="821">
      <c r="A821" s="19" t="inlineStr">
        <is>
          <t>FY26</t>
        </is>
      </c>
      <c r="B821" s="19" t="inlineStr">
        <is>
          <t>Mar</t>
        </is>
      </c>
      <c r="C821" s="19" t="inlineStr">
        <is>
          <t>TN</t>
        </is>
      </c>
      <c r="D821" s="20" t="inlineStr">
        <is>
          <t>TN11AF5339</t>
        </is>
      </c>
      <c r="E821" s="20" t="inlineStr">
        <is>
          <t>MARUTI SUZUKI</t>
        </is>
      </c>
      <c r="F821" s="20" t="inlineStr">
        <is>
          <t>Wagon R</t>
        </is>
      </c>
      <c r="G821" s="21" t="n">
        <v>2018</v>
      </c>
      <c r="H821" s="22" t="n">
        <v>51025</v>
      </c>
      <c r="I821" s="22" t="n">
        <v>260000</v>
      </c>
      <c r="J821" s="20" t="inlineStr">
        <is>
          <t>Santhosh Cars</t>
        </is>
      </c>
      <c r="K821" s="20" t="inlineStr">
        <is>
          <t>Non-Captive</t>
        </is>
      </c>
      <c r="L821" s="20" t="inlineStr">
        <is>
          <t>kamal Cars</t>
        </is>
      </c>
      <c r="M821" s="23" t="n">
        <v>4237.29</v>
      </c>
    </row>
    <row r="822">
      <c r="A822" s="19" t="inlineStr">
        <is>
          <t>FY26</t>
        </is>
      </c>
      <c r="B822" s="19" t="inlineStr">
        <is>
          <t>Mar</t>
        </is>
      </c>
      <c r="C822" s="19" t="inlineStr">
        <is>
          <t>TN</t>
        </is>
      </c>
      <c r="D822" s="20" t="inlineStr">
        <is>
          <t>TN22CL1679</t>
        </is>
      </c>
      <c r="E822" s="20" t="inlineStr">
        <is>
          <t>MARUTI SUZUKI</t>
        </is>
      </c>
      <c r="F822" s="20" t="inlineStr">
        <is>
          <t>Eeco</t>
        </is>
      </c>
      <c r="G822" s="21" t="n">
        <v>2013</v>
      </c>
      <c r="H822" s="22" t="n">
        <v>19437</v>
      </c>
      <c r="I822" s="22" t="n">
        <v>200000</v>
      </c>
      <c r="J822" s="20" t="inlineStr">
        <is>
          <t>Santhosh Cars</t>
        </is>
      </c>
      <c r="K822" s="20" t="inlineStr">
        <is>
          <t>Non-Captive</t>
        </is>
      </c>
      <c r="L822" s="20" t="inlineStr">
        <is>
          <t>kamal Cars</t>
        </is>
      </c>
      <c r="M822" s="23" t="n">
        <v>4237.29</v>
      </c>
    </row>
    <row r="823">
      <c r="A823" s="19" t="inlineStr">
        <is>
          <t>FY26</t>
        </is>
      </c>
      <c r="B823" s="19" t="inlineStr">
        <is>
          <t>Mar</t>
        </is>
      </c>
      <c r="C823" s="19" t="inlineStr">
        <is>
          <t>TN</t>
        </is>
      </c>
      <c r="D823" s="20" t="inlineStr">
        <is>
          <t>TN09BB1527</t>
        </is>
      </c>
      <c r="E823" s="20" t="inlineStr">
        <is>
          <t>MARUTI SUZUKI</t>
        </is>
      </c>
      <c r="F823" s="20" t="inlineStr">
        <is>
          <t>Wagon R</t>
        </is>
      </c>
      <c r="G823" s="21" t="n">
        <v>2009</v>
      </c>
      <c r="H823" s="22" t="n">
        <v>105017</v>
      </c>
      <c r="I823" s="22" t="n">
        <v>90000</v>
      </c>
      <c r="J823" s="20" t="inlineStr">
        <is>
          <t>Santhosh Cars</t>
        </is>
      </c>
      <c r="K823" s="20" t="inlineStr">
        <is>
          <t>Non-Captive</t>
        </is>
      </c>
      <c r="L823" s="20" t="inlineStr">
        <is>
          <t>kamal Cars</t>
        </is>
      </c>
      <c r="M823" s="23" t="n">
        <v>4237.29</v>
      </c>
    </row>
    <row r="824">
      <c r="A824" s="19" t="inlineStr">
        <is>
          <t>FY26</t>
        </is>
      </c>
      <c r="B824" s="19" t="inlineStr">
        <is>
          <t>Mar</t>
        </is>
      </c>
      <c r="C824" s="19" t="inlineStr">
        <is>
          <t>TN</t>
        </is>
      </c>
      <c r="D824" s="20" t="inlineStr">
        <is>
          <t>TN05BK0752</t>
        </is>
      </c>
      <c r="E824" s="20" t="inlineStr">
        <is>
          <t>MARUTI SUZUKI</t>
        </is>
      </c>
      <c r="F824" s="20" t="inlineStr">
        <is>
          <t>Celerio</t>
        </is>
      </c>
      <c r="G824" s="21" t="n">
        <v>2017</v>
      </c>
      <c r="H824" s="22" t="n">
        <v>119028</v>
      </c>
      <c r="I824" s="22" t="n">
        <v>220000</v>
      </c>
      <c r="J824" s="20" t="inlineStr">
        <is>
          <t>Santhosh Cars</t>
        </is>
      </c>
      <c r="K824" s="20" t="inlineStr">
        <is>
          <t>Non-Captive</t>
        </is>
      </c>
      <c r="L824" s="20" t="inlineStr">
        <is>
          <t>Aasim Motor</t>
        </is>
      </c>
      <c r="M824" s="23" t="n">
        <v>4237.29</v>
      </c>
    </row>
    <row r="825">
      <c r="A825" s="19" t="inlineStr">
        <is>
          <t>FY26</t>
        </is>
      </c>
      <c r="B825" s="19" t="inlineStr">
        <is>
          <t>Mar</t>
        </is>
      </c>
      <c r="C825" s="19" t="inlineStr">
        <is>
          <t>TN</t>
        </is>
      </c>
      <c r="D825" s="20" t="inlineStr">
        <is>
          <t>TN38AZ1679</t>
        </is>
      </c>
      <c r="E825" s="20" t="inlineStr">
        <is>
          <t>HYUNDAI</t>
        </is>
      </c>
      <c r="F825" s="20" t="inlineStr">
        <is>
          <t>Santro</t>
        </is>
      </c>
      <c r="G825" s="21" t="n">
        <v>2009</v>
      </c>
      <c r="H825" s="22" t="n">
        <v>211051</v>
      </c>
      <c r="I825" s="22" t="n">
        <v>55000</v>
      </c>
      <c r="J825" s="20" t="inlineStr">
        <is>
          <t>Santhosh Cars</t>
        </is>
      </c>
      <c r="K825" s="20" t="inlineStr">
        <is>
          <t>Non-Captive</t>
        </is>
      </c>
      <c r="L825" s="20" t="inlineStr">
        <is>
          <t>car Hub</t>
        </is>
      </c>
      <c r="M825" s="23" t="n">
        <v>3389.83</v>
      </c>
    </row>
    <row r="826">
      <c r="A826" s="19" t="inlineStr">
        <is>
          <t>FY26</t>
        </is>
      </c>
      <c r="B826" s="19" t="inlineStr">
        <is>
          <t>Mar</t>
        </is>
      </c>
      <c r="C826" s="19" t="inlineStr">
        <is>
          <t>TN</t>
        </is>
      </c>
      <c r="D826" s="20" t="inlineStr">
        <is>
          <t>TN02AV8493</t>
        </is>
      </c>
      <c r="E826" s="20" t="inlineStr">
        <is>
          <t>MARUTI SUZUKI</t>
        </is>
      </c>
      <c r="F826" s="20" t="inlineStr">
        <is>
          <t>Swift</t>
        </is>
      </c>
      <c r="G826" s="21" t="n">
        <v>2012</v>
      </c>
      <c r="H826" s="22" t="n">
        <v>55287</v>
      </c>
      <c r="I826" s="22" t="n">
        <v>250000</v>
      </c>
      <c r="J826" s="20" t="inlineStr">
        <is>
          <t>Santhosh Cars</t>
        </is>
      </c>
      <c r="K826" s="20" t="inlineStr">
        <is>
          <t>Non-Captive</t>
        </is>
      </c>
      <c r="L826" s="20" t="inlineStr">
        <is>
          <t>Thiya Cars</t>
        </is>
      </c>
      <c r="M826" s="23" t="n">
        <v>5932.2</v>
      </c>
    </row>
    <row r="827">
      <c r="A827" s="19" t="inlineStr">
        <is>
          <t>FY26</t>
        </is>
      </c>
      <c r="B827" s="19" t="inlineStr">
        <is>
          <t>Mar</t>
        </is>
      </c>
      <c r="C827" s="19" t="inlineStr">
        <is>
          <t>TN</t>
        </is>
      </c>
      <c r="D827" s="20" t="inlineStr">
        <is>
          <t>TN10Z7700</t>
        </is>
      </c>
      <c r="E827" s="20" t="inlineStr">
        <is>
          <t>MAHINDRA</t>
        </is>
      </c>
      <c r="F827" s="20" t="inlineStr">
        <is>
          <t>Scorpio</t>
        </is>
      </c>
      <c r="G827" s="21" t="n">
        <v>2010</v>
      </c>
      <c r="H827" s="22" t="n">
        <v>33471</v>
      </c>
      <c r="I827" s="22" t="n">
        <v>200000</v>
      </c>
      <c r="J827" s="20" t="inlineStr">
        <is>
          <t>Santhosh Cars</t>
        </is>
      </c>
      <c r="K827" s="20" t="inlineStr">
        <is>
          <t>Non-Captive</t>
        </is>
      </c>
      <c r="L827" s="20" t="inlineStr">
        <is>
          <t>Santhosh Cars</t>
        </is>
      </c>
      <c r="M827" s="23" t="n">
        <v>4237.29</v>
      </c>
    </row>
    <row r="828">
      <c r="A828" s="19" t="inlineStr">
        <is>
          <t>FY26</t>
        </is>
      </c>
      <c r="B828" s="19" t="inlineStr">
        <is>
          <t>Mar</t>
        </is>
      </c>
      <c r="C828" s="19" t="inlineStr">
        <is>
          <t>TN</t>
        </is>
      </c>
      <c r="D828" s="20" t="inlineStr">
        <is>
          <t>TN20AK7033</t>
        </is>
      </c>
      <c r="E828" s="20" t="inlineStr">
        <is>
          <t>TATA</t>
        </is>
      </c>
      <c r="F828" s="20" t="inlineStr">
        <is>
          <t>Indigo</t>
        </is>
      </c>
      <c r="G828" s="21" t="n">
        <v>2008</v>
      </c>
      <c r="H828" s="22" t="n">
        <v>114470</v>
      </c>
      <c r="I828" s="22" t="n">
        <v>75000</v>
      </c>
      <c r="J828" s="20" t="inlineStr">
        <is>
          <t>Santhosh Cars</t>
        </is>
      </c>
      <c r="K828" s="20" t="inlineStr">
        <is>
          <t>Non-Captive</t>
        </is>
      </c>
      <c r="L828" s="20" t="inlineStr">
        <is>
          <t>Santhosh Cars</t>
        </is>
      </c>
      <c r="M828" s="23" t="n">
        <v>4237.29</v>
      </c>
    </row>
    <row r="829">
      <c r="A829" s="19" t="inlineStr">
        <is>
          <t>FY26</t>
        </is>
      </c>
      <c r="B829" s="19" t="inlineStr">
        <is>
          <t>Mar</t>
        </is>
      </c>
      <c r="C829" s="19" t="inlineStr">
        <is>
          <t>TN</t>
        </is>
      </c>
      <c r="D829" s="20" t="inlineStr">
        <is>
          <t>TN24L7778</t>
        </is>
      </c>
      <c r="E829" s="20" t="inlineStr">
        <is>
          <t>MARUTI SUZUKI</t>
        </is>
      </c>
      <c r="F829" s="20" t="inlineStr">
        <is>
          <t>Wagon R</t>
        </is>
      </c>
      <c r="G829" s="21" t="n">
        <v>2012</v>
      </c>
      <c r="H829" s="22" t="n">
        <v>165817</v>
      </c>
      <c r="I829" s="22" t="n">
        <v>160000</v>
      </c>
      <c r="J829" s="20" t="inlineStr">
        <is>
          <t>Santhosh Cars</t>
        </is>
      </c>
      <c r="K829" s="20" t="inlineStr">
        <is>
          <t>Non-Captive</t>
        </is>
      </c>
      <c r="L829" s="20" t="inlineStr">
        <is>
          <t>Aasim Motor</t>
        </is>
      </c>
      <c r="M829" s="23" t="n">
        <v>3389.83</v>
      </c>
    </row>
    <row r="830">
      <c r="A830" s="19" t="inlineStr">
        <is>
          <t>FY26</t>
        </is>
      </c>
      <c r="B830" s="19" t="inlineStr">
        <is>
          <t>Mar</t>
        </is>
      </c>
      <c r="C830" s="19" t="inlineStr">
        <is>
          <t>TN</t>
        </is>
      </c>
      <c r="D830" s="20" t="inlineStr">
        <is>
          <t>TN01BB9684</t>
        </is>
      </c>
      <c r="E830" s="20" t="inlineStr">
        <is>
          <t>HYUNDAI</t>
        </is>
      </c>
      <c r="F830" s="20" t="inlineStr">
        <is>
          <t>I20</t>
        </is>
      </c>
      <c r="G830" s="21" t="n">
        <v>2017</v>
      </c>
      <c r="H830" s="22" t="n">
        <v>46937</v>
      </c>
      <c r="I830" s="22" t="n">
        <v>420000</v>
      </c>
      <c r="J830" s="20" t="inlineStr">
        <is>
          <t>KALYANIMOTORS MARUTHI</t>
        </is>
      </c>
      <c r="K830" s="20" t="inlineStr">
        <is>
          <t>Non-Captive</t>
        </is>
      </c>
      <c r="L830" s="20" t="inlineStr">
        <is>
          <t>Nirmal Cars</t>
        </is>
      </c>
      <c r="M830" s="23" t="n">
        <v>4237.29</v>
      </c>
    </row>
    <row r="831">
      <c r="A831" s="19" t="inlineStr">
        <is>
          <t>FY26</t>
        </is>
      </c>
      <c r="B831" s="19" t="inlineStr">
        <is>
          <t>Mar</t>
        </is>
      </c>
      <c r="C831" s="19" t="inlineStr">
        <is>
          <t>TN</t>
        </is>
      </c>
      <c r="D831" s="20" t="inlineStr">
        <is>
          <t>TN01Y2485</t>
        </is>
      </c>
      <c r="E831" s="20" t="inlineStr">
        <is>
          <t>MARUTI SUZUKI</t>
        </is>
      </c>
      <c r="F831" s="20" t="inlineStr">
        <is>
          <t>Zen</t>
        </is>
      </c>
      <c r="G831" s="21" t="n">
        <v>2004</v>
      </c>
      <c r="H831" s="22" t="n">
        <v>13027</v>
      </c>
      <c r="I831" s="22" t="n">
        <v>120000</v>
      </c>
      <c r="J831" s="20" t="inlineStr">
        <is>
          <t>KALYANIMOTORS MARUTHI</t>
        </is>
      </c>
      <c r="K831" s="20" t="inlineStr">
        <is>
          <t>Non-Captive</t>
        </is>
      </c>
      <c r="L831" s="20" t="inlineStr">
        <is>
          <t>Nirmal Cars</t>
        </is>
      </c>
      <c r="M831" s="23" t="n">
        <v>4237.29</v>
      </c>
    </row>
    <row r="832">
      <c r="A832" s="19" t="inlineStr">
        <is>
          <t>FY26</t>
        </is>
      </c>
      <c r="B832" s="19" t="inlineStr">
        <is>
          <t>Mar</t>
        </is>
      </c>
      <c r="C832" s="19" t="inlineStr">
        <is>
          <t>TN</t>
        </is>
      </c>
      <c r="D832" s="20" t="inlineStr">
        <is>
          <t>TN02BJ2223</t>
        </is>
      </c>
      <c r="E832" s="20" t="inlineStr">
        <is>
          <t>MARUTI SUZUKI</t>
        </is>
      </c>
      <c r="F832" s="20" t="inlineStr">
        <is>
          <t>Baleno</t>
        </is>
      </c>
      <c r="G832" s="21" t="n">
        <v>2017</v>
      </c>
      <c r="H832" s="22" t="n">
        <v>58162</v>
      </c>
      <c r="I832" s="22" t="n">
        <v>400000</v>
      </c>
      <c r="J832" s="20" t="inlineStr">
        <is>
          <t>KALYANIMOTORS MARUTHI</t>
        </is>
      </c>
      <c r="K832" s="20" t="inlineStr">
        <is>
          <t>Non-Captive</t>
        </is>
      </c>
      <c r="L832" s="20" t="inlineStr">
        <is>
          <t>Nirmal Cars</t>
        </is>
      </c>
      <c r="M832" s="23" t="n">
        <v>4237.29</v>
      </c>
    </row>
    <row r="833">
      <c r="A833" s="19" t="inlineStr">
        <is>
          <t>FY26</t>
        </is>
      </c>
      <c r="B833" s="19" t="inlineStr">
        <is>
          <t>Mar</t>
        </is>
      </c>
      <c r="C833" s="19" t="inlineStr">
        <is>
          <t>TN</t>
        </is>
      </c>
      <c r="D833" s="20" t="inlineStr">
        <is>
          <t>TN20CJ5835</t>
        </is>
      </c>
      <c r="E833" s="20" t="inlineStr">
        <is>
          <t>MARUTI SUZUKI</t>
        </is>
      </c>
      <c r="F833" s="20" t="inlineStr">
        <is>
          <t>Wagon R</t>
        </is>
      </c>
      <c r="G833" s="21" t="n">
        <v>2016</v>
      </c>
      <c r="H833" s="22" t="n">
        <v>49200</v>
      </c>
      <c r="I833" s="22" t="n">
        <v>294000</v>
      </c>
      <c r="J833" s="20" t="inlineStr">
        <is>
          <t>Khivraj Motor</t>
        </is>
      </c>
      <c r="K833" s="20" t="inlineStr">
        <is>
          <t>Non-Captive</t>
        </is>
      </c>
      <c r="L833" s="20" t="inlineStr">
        <is>
          <t>Value Drive Tecnologies</t>
        </is>
      </c>
      <c r="M833" s="23" t="n">
        <v>5084.75</v>
      </c>
    </row>
    <row r="834">
      <c r="A834" s="19" t="inlineStr">
        <is>
          <t>FY26</t>
        </is>
      </c>
      <c r="B834" s="19" t="inlineStr">
        <is>
          <t>Mar</t>
        </is>
      </c>
      <c r="C834" s="19" t="inlineStr">
        <is>
          <t>TN</t>
        </is>
      </c>
      <c r="D834" s="20" t="inlineStr">
        <is>
          <t>TN09BQ5031</t>
        </is>
      </c>
      <c r="E834" s="20" t="inlineStr">
        <is>
          <t>HYUNDAI</t>
        </is>
      </c>
      <c r="F834" s="20" t="inlineStr">
        <is>
          <t>Verna</t>
        </is>
      </c>
      <c r="G834" s="21" t="n">
        <v>2012</v>
      </c>
      <c r="H834" s="22" t="n">
        <v>47594</v>
      </c>
      <c r="I834" s="22" t="n">
        <v>270000</v>
      </c>
      <c r="J834" s="20" t="inlineStr">
        <is>
          <t>Khivraj Motor</t>
        </is>
      </c>
      <c r="K834" s="20" t="inlineStr">
        <is>
          <t>Non-Captive</t>
        </is>
      </c>
      <c r="L834" s="20" t="inlineStr">
        <is>
          <t>Nirmal Cars</t>
        </is>
      </c>
      <c r="M834" s="23" t="n">
        <v>5084.75</v>
      </c>
    </row>
    <row r="835">
      <c r="A835" s="19" t="inlineStr">
        <is>
          <t>FY26</t>
        </is>
      </c>
      <c r="B835" s="19" t="inlineStr">
        <is>
          <t>Mar</t>
        </is>
      </c>
      <c r="C835" s="19" t="inlineStr">
        <is>
          <t>TN</t>
        </is>
      </c>
      <c r="D835" s="20" t="inlineStr">
        <is>
          <t>TN20BF6243</t>
        </is>
      </c>
      <c r="E835" s="20" t="inlineStr">
        <is>
          <t>MARUTI SUZUKI</t>
        </is>
      </c>
      <c r="F835" s="20" t="inlineStr">
        <is>
          <t>Swift</t>
        </is>
      </c>
      <c r="G835" s="21" t="n">
        <v>2011</v>
      </c>
      <c r="H835" s="22" t="n">
        <v>157352</v>
      </c>
      <c r="I835" s="22" t="n">
        <v>180000</v>
      </c>
      <c r="J835" s="20" t="inlineStr">
        <is>
          <t>Khivraj Motor</t>
        </is>
      </c>
      <c r="K835" s="20" t="inlineStr">
        <is>
          <t>Non-Captive</t>
        </is>
      </c>
      <c r="L835" s="20" t="inlineStr">
        <is>
          <t>S2 cars</t>
        </is>
      </c>
      <c r="M835" s="23" t="n">
        <v>5084.75</v>
      </c>
    </row>
    <row r="836">
      <c r="A836" s="19" t="inlineStr">
        <is>
          <t>FY26</t>
        </is>
      </c>
      <c r="B836" s="19" t="inlineStr">
        <is>
          <t>Mar</t>
        </is>
      </c>
      <c r="C836" s="19" t="inlineStr">
        <is>
          <t>TN</t>
        </is>
      </c>
      <c r="D836" s="20" t="inlineStr">
        <is>
          <t>TN09CR2953</t>
        </is>
      </c>
      <c r="E836" s="20" t="inlineStr">
        <is>
          <t>MARUTI SUZUKI</t>
        </is>
      </c>
      <c r="F836" s="20" t="inlineStr">
        <is>
          <t>Swift</t>
        </is>
      </c>
      <c r="G836" s="21" t="n">
        <v>2018</v>
      </c>
      <c r="H836" s="22" t="n">
        <v>39302</v>
      </c>
      <c r="I836" s="22" t="n">
        <v>439000</v>
      </c>
      <c r="J836" s="20" t="inlineStr">
        <is>
          <t>Khivraj Motor</t>
        </is>
      </c>
      <c r="K836" s="20" t="inlineStr">
        <is>
          <t>Non-Captive</t>
        </is>
      </c>
      <c r="L836" s="20" t="inlineStr">
        <is>
          <t>Pine Autos</t>
        </is>
      </c>
      <c r="M836" s="23" t="n">
        <v>5084.75</v>
      </c>
    </row>
    <row r="837">
      <c r="A837" s="19" t="inlineStr">
        <is>
          <t>FY26</t>
        </is>
      </c>
      <c r="B837" s="19" t="inlineStr">
        <is>
          <t>Mar</t>
        </is>
      </c>
      <c r="C837" s="19" t="inlineStr">
        <is>
          <t>TN</t>
        </is>
      </c>
      <c r="D837" s="20" t="inlineStr">
        <is>
          <t>TN05BS1164</t>
        </is>
      </c>
      <c r="E837" s="20" t="inlineStr">
        <is>
          <t>MARUTI SUZUKI</t>
        </is>
      </c>
      <c r="F837" s="20" t="inlineStr">
        <is>
          <t>Ciaz</t>
        </is>
      </c>
      <c r="G837" s="21" t="n">
        <v>2018</v>
      </c>
      <c r="H837" s="22" t="n"/>
      <c r="I837" s="22" t="n">
        <v>500000</v>
      </c>
      <c r="J837" s="20" t="inlineStr">
        <is>
          <t>Khivraj Motor</t>
        </is>
      </c>
      <c r="K837" s="20" t="inlineStr">
        <is>
          <t>Non-Captive</t>
        </is>
      </c>
      <c r="L837" s="20" t="inlineStr">
        <is>
          <t>car Hub</t>
        </is>
      </c>
      <c r="M837" s="23" t="n">
        <v>5084.75</v>
      </c>
    </row>
    <row r="838">
      <c r="A838" s="19" t="inlineStr">
        <is>
          <t>FY26</t>
        </is>
      </c>
      <c r="B838" s="19" t="inlineStr">
        <is>
          <t>Mar</t>
        </is>
      </c>
      <c r="C838" s="19" t="inlineStr">
        <is>
          <t>TN</t>
        </is>
      </c>
      <c r="D838" s="20" t="inlineStr">
        <is>
          <t>TN04AJ2434</t>
        </is>
      </c>
      <c r="E838" s="20" t="inlineStr">
        <is>
          <t>HYUNDAI</t>
        </is>
      </c>
      <c r="F838" s="20" t="inlineStr">
        <is>
          <t>I10</t>
        </is>
      </c>
      <c r="G838" s="21" t="n">
        <v>2011</v>
      </c>
      <c r="H838" s="22" t="n">
        <v>46755</v>
      </c>
      <c r="I838" s="22" t="n">
        <v>149000</v>
      </c>
      <c r="J838" s="20" t="inlineStr">
        <is>
          <t>Khivraj Motor</t>
        </is>
      </c>
      <c r="K838" s="20" t="inlineStr">
        <is>
          <t>Non-Captive</t>
        </is>
      </c>
      <c r="L838" s="20" t="inlineStr">
        <is>
          <t>AS Cars Gopi</t>
        </is>
      </c>
      <c r="M838" s="23" t="n">
        <v>5084.75</v>
      </c>
    </row>
    <row r="839">
      <c r="A839" s="19" t="inlineStr">
        <is>
          <t>FY26</t>
        </is>
      </c>
      <c r="B839" s="19" t="inlineStr">
        <is>
          <t>Mar</t>
        </is>
      </c>
      <c r="C839" s="19" t="inlineStr">
        <is>
          <t>TN</t>
        </is>
      </c>
      <c r="D839" s="20" t="inlineStr">
        <is>
          <t>TN09BK4897</t>
        </is>
      </c>
      <c r="E839" s="20" t="inlineStr">
        <is>
          <t>MARUTI SUZUKI</t>
        </is>
      </c>
      <c r="F839" s="20" t="inlineStr">
        <is>
          <t>Wagon R</t>
        </is>
      </c>
      <c r="G839" s="21" t="n">
        <v>2011</v>
      </c>
      <c r="H839" s="22" t="n">
        <v>130549</v>
      </c>
      <c r="I839" s="22" t="n">
        <v>170000</v>
      </c>
      <c r="J839" s="20" t="inlineStr">
        <is>
          <t>Khivraj Motor</t>
        </is>
      </c>
      <c r="K839" s="20" t="inlineStr">
        <is>
          <t>Non-Captive</t>
        </is>
      </c>
      <c r="L839" s="20" t="inlineStr">
        <is>
          <t>AS Cars Gopi</t>
        </is>
      </c>
      <c r="M839" s="23" t="n">
        <v>5084.75</v>
      </c>
    </row>
    <row r="840">
      <c r="A840" s="19" t="inlineStr">
        <is>
          <t>FY26</t>
        </is>
      </c>
      <c r="B840" s="19" t="inlineStr">
        <is>
          <t>Mar</t>
        </is>
      </c>
      <c r="C840" s="19" t="inlineStr">
        <is>
          <t>TN</t>
        </is>
      </c>
      <c r="D840" s="20" t="inlineStr">
        <is>
          <t>TN02BF9613</t>
        </is>
      </c>
      <c r="E840" s="20" t="inlineStr">
        <is>
          <t>MARUTI SUZUKI</t>
        </is>
      </c>
      <c r="F840" s="20" t="inlineStr">
        <is>
          <t>Wagon R</t>
        </is>
      </c>
      <c r="G840" s="21" t="n">
        <v>2016</v>
      </c>
      <c r="H840" s="22" t="n">
        <v>136069</v>
      </c>
      <c r="I840" s="22" t="n">
        <v>219000</v>
      </c>
      <c r="J840" s="20" t="inlineStr">
        <is>
          <t>Khivraj Motor</t>
        </is>
      </c>
      <c r="K840" s="20" t="inlineStr">
        <is>
          <t>Non-Captive</t>
        </is>
      </c>
      <c r="L840" s="20" t="inlineStr">
        <is>
          <t>AS Cars Gopi</t>
        </is>
      </c>
      <c r="M840" s="23" t="n">
        <v>5084.75</v>
      </c>
    </row>
    <row r="841">
      <c r="A841" s="19" t="inlineStr">
        <is>
          <t>FY26</t>
        </is>
      </c>
      <c r="B841" s="19" t="inlineStr">
        <is>
          <t>Mar</t>
        </is>
      </c>
      <c r="C841" s="19" t="inlineStr">
        <is>
          <t>TN</t>
        </is>
      </c>
      <c r="D841" s="20" t="inlineStr">
        <is>
          <t>TN01AC4548</t>
        </is>
      </c>
      <c r="E841" s="20" t="inlineStr">
        <is>
          <t>MARUTI SUZUKI</t>
        </is>
      </c>
      <c r="F841" s="20" t="inlineStr">
        <is>
          <t>M800</t>
        </is>
      </c>
      <c r="G841" s="21" t="n">
        <v>2007</v>
      </c>
      <c r="H841" s="22" t="n">
        <v>274887</v>
      </c>
      <c r="I841" s="22" t="n">
        <v>49000</v>
      </c>
      <c r="J841" s="20" t="inlineStr">
        <is>
          <t>Khivraj Motor</t>
        </is>
      </c>
      <c r="K841" s="20" t="inlineStr">
        <is>
          <t>Non-Captive</t>
        </is>
      </c>
      <c r="L841" s="20" t="inlineStr">
        <is>
          <t>AS Cars Gopi</t>
        </is>
      </c>
      <c r="M841" s="23" t="n">
        <v>5084.75</v>
      </c>
    </row>
    <row r="842">
      <c r="A842" s="19" t="inlineStr">
        <is>
          <t>FY26</t>
        </is>
      </c>
      <c r="B842" s="19" t="inlineStr">
        <is>
          <t>Mar</t>
        </is>
      </c>
      <c r="C842" s="19" t="inlineStr">
        <is>
          <t>TN</t>
        </is>
      </c>
      <c r="D842" s="20" t="inlineStr">
        <is>
          <t>TN02AU7056</t>
        </is>
      </c>
      <c r="E842" s="20" t="inlineStr">
        <is>
          <t>VOLKSWAGEN</t>
        </is>
      </c>
      <c r="F842" s="20" t="inlineStr">
        <is>
          <t>Vento</t>
        </is>
      </c>
      <c r="G842" s="21" t="n">
        <v>2012</v>
      </c>
      <c r="H842" s="22" t="n">
        <v>77930</v>
      </c>
      <c r="I842" s="22" t="n">
        <v>185000</v>
      </c>
      <c r="J842" s="20" t="inlineStr">
        <is>
          <t>Khivraj Motor</t>
        </is>
      </c>
      <c r="K842" s="20" t="inlineStr">
        <is>
          <t>Non-Captive</t>
        </is>
      </c>
      <c r="L842" s="20" t="inlineStr">
        <is>
          <t>AS Cars Gopi</t>
        </is>
      </c>
      <c r="M842" s="23" t="n">
        <v>5084.75</v>
      </c>
    </row>
    <row r="843">
      <c r="A843" s="19" t="inlineStr">
        <is>
          <t>FY26</t>
        </is>
      </c>
      <c r="B843" s="19" t="inlineStr">
        <is>
          <t>Mar</t>
        </is>
      </c>
      <c r="C843" s="19" t="inlineStr">
        <is>
          <t>TN</t>
        </is>
      </c>
      <c r="D843" s="20" t="inlineStr">
        <is>
          <t>TN06R7488</t>
        </is>
      </c>
      <c r="E843" s="20" t="inlineStr">
        <is>
          <t>MARUTI SUZUKI</t>
        </is>
      </c>
      <c r="F843" s="20" t="inlineStr">
        <is>
          <t>Ertiga</t>
        </is>
      </c>
      <c r="G843" s="21" t="n">
        <v>2016</v>
      </c>
      <c r="H843" s="22" t="n">
        <v>82600</v>
      </c>
      <c r="I843" s="22" t="n">
        <v>582000</v>
      </c>
      <c r="J843" s="20" t="inlineStr">
        <is>
          <t>Khivraj Motor</t>
        </is>
      </c>
      <c r="K843" s="20" t="inlineStr">
        <is>
          <t>Non-Captive</t>
        </is>
      </c>
      <c r="L843" s="20" t="inlineStr">
        <is>
          <t>AAA Cars</t>
        </is>
      </c>
      <c r="M843" s="23" t="n">
        <v>6779.66</v>
      </c>
    </row>
    <row r="844">
      <c r="A844" s="19" t="inlineStr">
        <is>
          <t>FY26</t>
        </is>
      </c>
      <c r="B844" s="19" t="inlineStr">
        <is>
          <t>Mar</t>
        </is>
      </c>
      <c r="C844" s="19" t="inlineStr">
        <is>
          <t>TN</t>
        </is>
      </c>
      <c r="D844" s="20" t="inlineStr">
        <is>
          <t>KL25K9912</t>
        </is>
      </c>
      <c r="E844" s="20" t="inlineStr">
        <is>
          <t>MARUTI SUZUKI</t>
        </is>
      </c>
      <c r="F844" s="20" t="inlineStr">
        <is>
          <t>Celerio</t>
        </is>
      </c>
      <c r="G844" s="21" t="n">
        <v>2018</v>
      </c>
      <c r="H844" s="22" t="n">
        <v>92670</v>
      </c>
      <c r="I844" s="22" t="n">
        <v>290000</v>
      </c>
      <c r="J844" s="20" t="inlineStr">
        <is>
          <t>Nippon Motor Corporation Pvt Ltd</t>
        </is>
      </c>
      <c r="K844" s="20" t="inlineStr">
        <is>
          <t>Non-Captive</t>
        </is>
      </c>
      <c r="L844" s="20" t="inlineStr">
        <is>
          <t>Shamnad AH</t>
        </is>
      </c>
      <c r="M844" s="23" t="n">
        <v>5932.2</v>
      </c>
    </row>
    <row r="845">
      <c r="A845" s="19" t="inlineStr">
        <is>
          <t>FY26</t>
        </is>
      </c>
      <c r="B845" s="19" t="inlineStr">
        <is>
          <t>Mar</t>
        </is>
      </c>
      <c r="C845" s="19" t="inlineStr">
        <is>
          <t>TN</t>
        </is>
      </c>
      <c r="D845" s="20" t="inlineStr">
        <is>
          <t>KL22F7878</t>
        </is>
      </c>
      <c r="E845" s="20" t="inlineStr">
        <is>
          <t>MARUTI SUZUKI</t>
        </is>
      </c>
      <c r="F845" s="20" t="inlineStr">
        <is>
          <t>Celerio</t>
        </is>
      </c>
      <c r="G845" s="21" t="n">
        <v>2014</v>
      </c>
      <c r="H845" s="22" t="n">
        <v>88745</v>
      </c>
      <c r="I845" s="22" t="n">
        <v>205000</v>
      </c>
      <c r="J845" s="20" t="inlineStr">
        <is>
          <t>Nippon Motor Corporation Pvt Ltd</t>
        </is>
      </c>
      <c r="K845" s="20" t="inlineStr">
        <is>
          <t>Non-Captive</t>
        </is>
      </c>
      <c r="L845" s="20" t="inlineStr">
        <is>
          <t>Shamnad AH</t>
        </is>
      </c>
      <c r="M845" s="23" t="n">
        <v>5932.2</v>
      </c>
    </row>
    <row r="846">
      <c r="A846" s="19" t="inlineStr">
        <is>
          <t>FY26</t>
        </is>
      </c>
      <c r="B846" s="19" t="inlineStr">
        <is>
          <t>Mar</t>
        </is>
      </c>
      <c r="C846" s="19" t="inlineStr">
        <is>
          <t>TN</t>
        </is>
      </c>
      <c r="D846" s="20" t="inlineStr">
        <is>
          <t>TN22DR7979</t>
        </is>
      </c>
      <c r="E846" s="20" t="inlineStr">
        <is>
          <t>FORD</t>
        </is>
      </c>
      <c r="F846" s="20" t="inlineStr">
        <is>
          <t>Ecosport</t>
        </is>
      </c>
      <c r="G846" s="21" t="n">
        <v>2018</v>
      </c>
      <c r="H846" s="22" t="n">
        <v>97004</v>
      </c>
      <c r="I846" s="22" t="n">
        <v>525000</v>
      </c>
      <c r="J846" s="20" t="inlineStr">
        <is>
          <t>EXCHANGE CHENNAI</t>
        </is>
      </c>
      <c r="K846" s="20" t="inlineStr">
        <is>
          <t>Captive</t>
        </is>
      </c>
      <c r="L846" s="20" t="inlineStr">
        <is>
          <t>Santhosh Cars</t>
        </is>
      </c>
      <c r="M846" s="23" t="n">
        <v>8474.58</v>
      </c>
    </row>
    <row r="847">
      <c r="A847" s="19" t="inlineStr">
        <is>
          <t>FY26</t>
        </is>
      </c>
      <c r="B847" s="19" t="inlineStr">
        <is>
          <t>Mar</t>
        </is>
      </c>
      <c r="C847" s="19" t="inlineStr">
        <is>
          <t>TN</t>
        </is>
      </c>
      <c r="D847" s="20" t="inlineStr">
        <is>
          <t>TN01AJ2458</t>
        </is>
      </c>
      <c r="E847" s="20" t="inlineStr">
        <is>
          <t>HONDA</t>
        </is>
      </c>
      <c r="F847" s="20" t="inlineStr">
        <is>
          <t>City</t>
        </is>
      </c>
      <c r="G847" s="21" t="n">
        <v>2009</v>
      </c>
      <c r="H847" s="22" t="n">
        <v>97670</v>
      </c>
      <c r="I847" s="22" t="n">
        <v>110000</v>
      </c>
      <c r="J847" s="20" t="inlineStr">
        <is>
          <t>EXCHANGE ROTN</t>
        </is>
      </c>
      <c r="K847" s="20" t="inlineStr">
        <is>
          <t>Captive</t>
        </is>
      </c>
      <c r="L847" s="20" t="inlineStr">
        <is>
          <t>Sai Cars</t>
        </is>
      </c>
      <c r="M847" s="23" t="n">
        <v>5932.2</v>
      </c>
    </row>
    <row r="848">
      <c r="A848" s="19" t="inlineStr">
        <is>
          <t>FY26</t>
        </is>
      </c>
      <c r="B848" s="19" t="inlineStr">
        <is>
          <t>Mar</t>
        </is>
      </c>
      <c r="C848" s="19" t="inlineStr">
        <is>
          <t>TN</t>
        </is>
      </c>
      <c r="D848" s="20" t="inlineStr">
        <is>
          <t>TN95E8789</t>
        </is>
      </c>
      <c r="E848" s="20" t="inlineStr">
        <is>
          <t>HONDA</t>
        </is>
      </c>
      <c r="F848" s="20" t="inlineStr">
        <is>
          <t>City</t>
        </is>
      </c>
      <c r="G848" s="21" t="n">
        <v>2021</v>
      </c>
      <c r="H848" s="22" t="n">
        <v>124143</v>
      </c>
      <c r="I848" s="22" t="n">
        <v>550000</v>
      </c>
      <c r="J848" s="20" t="inlineStr">
        <is>
          <t>EXCHANGE ROTN</t>
        </is>
      </c>
      <c r="K848" s="20" t="inlineStr">
        <is>
          <t>Captive</t>
        </is>
      </c>
      <c r="L848" s="20" t="inlineStr">
        <is>
          <t>Sai Cars</t>
        </is>
      </c>
      <c r="M848" s="23" t="n">
        <v>4237.29</v>
      </c>
    </row>
    <row r="849">
      <c r="A849" s="19" t="inlineStr">
        <is>
          <t>FY26</t>
        </is>
      </c>
      <c r="B849" s="19" t="inlineStr">
        <is>
          <t>Mar</t>
        </is>
      </c>
      <c r="C849" s="19" t="inlineStr">
        <is>
          <t>TN</t>
        </is>
      </c>
      <c r="D849" s="20" t="inlineStr">
        <is>
          <t>TN64F8019</t>
        </is>
      </c>
      <c r="E849" s="20" t="inlineStr">
        <is>
          <t>HONDA</t>
        </is>
      </c>
      <c r="F849" s="20" t="inlineStr">
        <is>
          <t>Amaze</t>
        </is>
      </c>
      <c r="G849" s="21" t="n">
        <v>2013</v>
      </c>
      <c r="H849" s="22" t="n">
        <v>273214</v>
      </c>
      <c r="I849" s="22" t="n">
        <v>200000</v>
      </c>
      <c r="J849" s="20" t="inlineStr">
        <is>
          <t>EXCHANGE ROTN</t>
        </is>
      </c>
      <c r="K849" s="20" t="inlineStr">
        <is>
          <t>Captive</t>
        </is>
      </c>
      <c r="L849" s="20" t="inlineStr">
        <is>
          <t>SRI RAJA KANAPATHY CARS</t>
        </is>
      </c>
      <c r="M849" s="23" t="n">
        <v>8474.58</v>
      </c>
    </row>
    <row r="850">
      <c r="A850" s="19" t="inlineStr">
        <is>
          <t>FY26</t>
        </is>
      </c>
      <c r="B850" s="19" t="inlineStr">
        <is>
          <t>Mar</t>
        </is>
      </c>
      <c r="C850" s="19" t="inlineStr">
        <is>
          <t>TN</t>
        </is>
      </c>
      <c r="D850" s="20" t="inlineStr">
        <is>
          <t>TN13L6167</t>
        </is>
      </c>
      <c r="E850" s="20" t="inlineStr">
        <is>
          <t>TATA</t>
        </is>
      </c>
      <c r="F850" s="20" t="inlineStr">
        <is>
          <t>Tiago</t>
        </is>
      </c>
      <c r="G850" s="21" t="n">
        <v>2017</v>
      </c>
      <c r="H850" s="22" t="n">
        <v>80157</v>
      </c>
      <c r="I850" s="22" t="n">
        <v>265000</v>
      </c>
      <c r="J850" s="20" t="inlineStr">
        <is>
          <t>EXCHANGE ROTN</t>
        </is>
      </c>
      <c r="K850" s="20" t="inlineStr">
        <is>
          <t>Captive</t>
        </is>
      </c>
      <c r="L850" s="20" t="inlineStr">
        <is>
          <t>Paul Cars</t>
        </is>
      </c>
      <c r="M850" s="23" t="n">
        <v>8474.58</v>
      </c>
    </row>
    <row r="851">
      <c r="A851" s="19" t="inlineStr">
        <is>
          <t>FY26</t>
        </is>
      </c>
      <c r="B851" s="19" t="inlineStr">
        <is>
          <t>Mar</t>
        </is>
      </c>
      <c r="C851" s="19" t="inlineStr">
        <is>
          <t>TN</t>
        </is>
      </c>
      <c r="D851" s="20" t="inlineStr">
        <is>
          <t>TN874023</t>
        </is>
      </c>
      <c r="E851" s="20" t="inlineStr">
        <is>
          <t>RENAULT</t>
        </is>
      </c>
      <c r="F851" s="20" t="inlineStr">
        <is>
          <t>Kwid</t>
        </is>
      </c>
      <c r="G851" s="21" t="n">
        <v>2017</v>
      </c>
      <c r="H851" s="22" t="n">
        <v>62971</v>
      </c>
      <c r="I851" s="22" t="n">
        <v>235000</v>
      </c>
      <c r="J851" s="20" t="inlineStr">
        <is>
          <t>EXCHANGE ROTN</t>
        </is>
      </c>
      <c r="K851" s="20" t="inlineStr">
        <is>
          <t>Captive</t>
        </is>
      </c>
      <c r="L851" s="20" t="inlineStr">
        <is>
          <t>YUGA DHEERAN CARS</t>
        </is>
      </c>
      <c r="M851" s="23" t="n">
        <v>8474.58</v>
      </c>
    </row>
    <row r="852">
      <c r="A852" s="19" t="inlineStr">
        <is>
          <t>FY26</t>
        </is>
      </c>
      <c r="B852" s="19" t="inlineStr">
        <is>
          <t>Mar</t>
        </is>
      </c>
      <c r="C852" s="19" t="inlineStr">
        <is>
          <t>TN</t>
        </is>
      </c>
      <c r="D852" s="20" t="inlineStr">
        <is>
          <t>TN37AJ3798</t>
        </is>
      </c>
      <c r="E852" s="20" t="inlineStr">
        <is>
          <t>HONDA</t>
        </is>
      </c>
      <c r="F852" s="20" t="inlineStr">
        <is>
          <t>City</t>
        </is>
      </c>
      <c r="G852" s="21" t="n">
        <v>2004</v>
      </c>
      <c r="H852" s="22" t="n">
        <v>179999</v>
      </c>
      <c r="I852" s="22" t="n">
        <v>45000</v>
      </c>
      <c r="J852" s="20" t="inlineStr">
        <is>
          <t>EXCHANGE ROTN</t>
        </is>
      </c>
      <c r="K852" s="20" t="inlineStr">
        <is>
          <t>Captive</t>
        </is>
      </c>
      <c r="L852" s="20" t="inlineStr">
        <is>
          <t>SIVASHANKAR CARS</t>
        </is>
      </c>
      <c r="M852" s="23" t="n">
        <v>4237.29</v>
      </c>
    </row>
    <row r="853">
      <c r="A853" s="19" t="inlineStr">
        <is>
          <t>FY26</t>
        </is>
      </c>
      <c r="B853" s="19" t="inlineStr">
        <is>
          <t>Mar</t>
        </is>
      </c>
      <c r="C853" s="19" t="inlineStr">
        <is>
          <t>TN</t>
        </is>
      </c>
      <c r="D853" s="20" t="inlineStr">
        <is>
          <t>TN33BH6113</t>
        </is>
      </c>
      <c r="E853" s="20" t="inlineStr">
        <is>
          <t>NISSAN</t>
        </is>
      </c>
      <c r="F853" s="20" t="inlineStr">
        <is>
          <t>Micra Active</t>
        </is>
      </c>
      <c r="G853" s="21" t="n">
        <v>2014</v>
      </c>
      <c r="H853" s="22" t="n">
        <v>27587</v>
      </c>
      <c r="I853" s="22" t="n">
        <v>260000</v>
      </c>
      <c r="J853" s="20" t="inlineStr">
        <is>
          <t>EXCHANGE ROTN</t>
        </is>
      </c>
      <c r="K853" s="20" t="inlineStr">
        <is>
          <t>Captive</t>
        </is>
      </c>
      <c r="L853" s="20" t="inlineStr">
        <is>
          <t>SIVASHANKAR CARS</t>
        </is>
      </c>
      <c r="M853" s="23" t="n">
        <v>8474.58</v>
      </c>
    </row>
    <row r="854">
      <c r="A854" s="19" t="inlineStr">
        <is>
          <t>FY26</t>
        </is>
      </c>
      <c r="B854" s="19" t="inlineStr">
        <is>
          <t>Mar</t>
        </is>
      </c>
      <c r="C854" s="19" t="inlineStr">
        <is>
          <t>TN</t>
        </is>
      </c>
      <c r="D854" s="20" t="inlineStr">
        <is>
          <t>TN02AW6242</t>
        </is>
      </c>
      <c r="E854" s="20" t="inlineStr">
        <is>
          <t>MARUTI SUZUKI</t>
        </is>
      </c>
      <c r="F854" s="20" t="inlineStr">
        <is>
          <t>Alto</t>
        </is>
      </c>
      <c r="G854" s="21" t="n">
        <v>2013</v>
      </c>
      <c r="H854" s="22" t="n">
        <v>27587</v>
      </c>
      <c r="I854" s="22" t="n">
        <v>130000</v>
      </c>
      <c r="J854" s="20" t="inlineStr">
        <is>
          <t>EXCHANGE ROTN</t>
        </is>
      </c>
      <c r="K854" s="20" t="inlineStr">
        <is>
          <t>Captive</t>
        </is>
      </c>
      <c r="L854" s="20" t="inlineStr">
        <is>
          <t>Geethanjali cars</t>
        </is>
      </c>
      <c r="M854" s="23" t="n">
        <v>8474.58</v>
      </c>
    </row>
    <row r="855">
      <c r="A855" s="19" t="inlineStr">
        <is>
          <t>FY26</t>
        </is>
      </c>
      <c r="B855" s="19" t="inlineStr">
        <is>
          <t>Mar</t>
        </is>
      </c>
      <c r="C855" s="19" t="inlineStr">
        <is>
          <t>TN</t>
        </is>
      </c>
      <c r="D855" s="20" t="inlineStr">
        <is>
          <t>TN66L0739</t>
        </is>
      </c>
      <c r="E855" s="20" t="inlineStr">
        <is>
          <t>HONDA</t>
        </is>
      </c>
      <c r="F855" s="20" t="inlineStr">
        <is>
          <t>City</t>
        </is>
      </c>
      <c r="G855" s="21" t="n">
        <v>2014</v>
      </c>
      <c r="H855" s="22" t="n">
        <v>141748</v>
      </c>
      <c r="I855" s="22" t="n">
        <v>475000</v>
      </c>
      <c r="J855" s="20" t="inlineStr">
        <is>
          <t>EXCHANGE ROTN</t>
        </is>
      </c>
      <c r="K855" s="20" t="inlineStr">
        <is>
          <t>Captive</t>
        </is>
      </c>
      <c r="L855" s="20" t="inlineStr">
        <is>
          <t>Sai Cars</t>
        </is>
      </c>
      <c r="M855" s="23" t="n">
        <v>8474.58</v>
      </c>
    </row>
    <row r="856">
      <c r="A856" s="19" t="inlineStr">
        <is>
          <t>FY26</t>
        </is>
      </c>
      <c r="B856" s="19" t="inlineStr">
        <is>
          <t>Mar</t>
        </is>
      </c>
      <c r="C856" s="19" t="inlineStr">
        <is>
          <t>TN</t>
        </is>
      </c>
      <c r="D856" s="20" t="inlineStr">
        <is>
          <t>TN09BJ2314</t>
        </is>
      </c>
      <c r="E856" s="20" t="inlineStr">
        <is>
          <t>MARUTI SUZUKI</t>
        </is>
      </c>
      <c r="F856" s="20" t="inlineStr">
        <is>
          <t>A Star</t>
        </is>
      </c>
      <c r="G856" s="21" t="n">
        <v>2011</v>
      </c>
      <c r="H856" s="22" t="n">
        <v>120559</v>
      </c>
      <c r="I856" s="22" t="n">
        <v>125000</v>
      </c>
      <c r="J856" s="20" t="inlineStr">
        <is>
          <t>EXCHANGE CHENNAI</t>
        </is>
      </c>
      <c r="K856" s="20" t="inlineStr">
        <is>
          <t>Captive</t>
        </is>
      </c>
      <c r="L856" s="20" t="inlineStr">
        <is>
          <t>Santhosh Cars</t>
        </is>
      </c>
      <c r="M856" s="23" t="n">
        <v>4237.29</v>
      </c>
    </row>
    <row r="857">
      <c r="A857" s="19" t="inlineStr">
        <is>
          <t>FY26</t>
        </is>
      </c>
      <c r="B857" s="19" t="inlineStr">
        <is>
          <t>Mar</t>
        </is>
      </c>
      <c r="C857" s="19" t="inlineStr">
        <is>
          <t>TN</t>
        </is>
      </c>
      <c r="D857" s="20" t="inlineStr">
        <is>
          <t>TN07CT8148</t>
        </is>
      </c>
      <c r="E857" s="20" t="inlineStr">
        <is>
          <t>RENAULT</t>
        </is>
      </c>
      <c r="F857" s="20" t="inlineStr">
        <is>
          <t>Duster</t>
        </is>
      </c>
      <c r="G857" s="21" t="n">
        <v>2019</v>
      </c>
      <c r="H857" s="22" t="n">
        <v>13701</v>
      </c>
      <c r="I857" s="22" t="n">
        <v>525000</v>
      </c>
      <c r="J857" s="20" t="inlineStr">
        <is>
          <t>EXCHANGE CHENNAI</t>
        </is>
      </c>
      <c r="K857" s="20" t="inlineStr">
        <is>
          <t>Captive</t>
        </is>
      </c>
      <c r="L857" s="20" t="inlineStr">
        <is>
          <t>car Hub</t>
        </is>
      </c>
      <c r="M857" s="23" t="n">
        <v>8474.58</v>
      </c>
    </row>
    <row r="858">
      <c r="A858" s="19" t="inlineStr">
        <is>
          <t>FY26</t>
        </is>
      </c>
      <c r="B858" s="19" t="inlineStr">
        <is>
          <t>Mar</t>
        </is>
      </c>
      <c r="C858" s="19" t="inlineStr">
        <is>
          <t>TN</t>
        </is>
      </c>
      <c r="D858" s="20" t="inlineStr">
        <is>
          <t>TN38BR8978</t>
        </is>
      </c>
      <c r="E858" s="20" t="inlineStr">
        <is>
          <t>MARUTI SUZUKI</t>
        </is>
      </c>
      <c r="F858" s="20" t="inlineStr">
        <is>
          <t>Alto K10</t>
        </is>
      </c>
      <c r="G858" s="21" t="n">
        <v>2012</v>
      </c>
      <c r="H858" s="22" t="n">
        <v>62907</v>
      </c>
      <c r="I858" s="22" t="n">
        <v>170000</v>
      </c>
      <c r="J858" s="20" t="inlineStr">
        <is>
          <t>EXCHANGE ROTN</t>
        </is>
      </c>
      <c r="K858" s="20" t="inlineStr">
        <is>
          <t>Captive</t>
        </is>
      </c>
      <c r="L858" s="20" t="inlineStr">
        <is>
          <t>Dheera Cars</t>
        </is>
      </c>
      <c r="M858" s="23" t="n">
        <v>8474.58</v>
      </c>
    </row>
    <row r="859">
      <c r="A859" s="19" t="inlineStr">
        <is>
          <t>FY26</t>
        </is>
      </c>
      <c r="B859" s="19" t="inlineStr">
        <is>
          <t>Mar</t>
        </is>
      </c>
      <c r="C859" s="19" t="inlineStr">
        <is>
          <t>TN</t>
        </is>
      </c>
      <c r="D859" s="20" t="inlineStr">
        <is>
          <t>TN38BL5468</t>
        </is>
      </c>
      <c r="E859" s="20" t="inlineStr">
        <is>
          <t>FORD</t>
        </is>
      </c>
      <c r="F859" s="20" t="inlineStr">
        <is>
          <t>Figo</t>
        </is>
      </c>
      <c r="G859" s="21" t="n">
        <v>2012</v>
      </c>
      <c r="H859" s="22" t="n">
        <v>88187</v>
      </c>
      <c r="I859" s="22" t="n">
        <v>100000</v>
      </c>
      <c r="J859" s="20" t="inlineStr">
        <is>
          <t>EXCHANGE ROTN</t>
        </is>
      </c>
      <c r="K859" s="20" t="inlineStr">
        <is>
          <t>Captive</t>
        </is>
      </c>
      <c r="L859" s="20" t="inlineStr">
        <is>
          <t>Dheera Cars</t>
        </is>
      </c>
      <c r="M859" s="23" t="n">
        <v>8474.58</v>
      </c>
    </row>
    <row r="860">
      <c r="A860" s="19" t="inlineStr">
        <is>
          <t>FY26</t>
        </is>
      </c>
      <c r="B860" s="19" t="inlineStr">
        <is>
          <t>Mar</t>
        </is>
      </c>
      <c r="C860" s="19" t="inlineStr">
        <is>
          <t>TN</t>
        </is>
      </c>
      <c r="D860" s="20" t="inlineStr">
        <is>
          <t>TN99L8091</t>
        </is>
      </c>
      <c r="E860" s="20" t="inlineStr">
        <is>
          <t>HYUNDAI</t>
        </is>
      </c>
      <c r="F860" s="20" t="inlineStr">
        <is>
          <t>I20</t>
        </is>
      </c>
      <c r="G860" s="21" t="n">
        <v>2018</v>
      </c>
      <c r="H860" s="22" t="n">
        <v>62845</v>
      </c>
      <c r="I860" s="22" t="n">
        <v>575000</v>
      </c>
      <c r="J860" s="20" t="inlineStr">
        <is>
          <t>EXCHANGE ROTN</t>
        </is>
      </c>
      <c r="K860" s="20" t="inlineStr">
        <is>
          <t>Captive</t>
        </is>
      </c>
      <c r="L860" s="20" t="inlineStr">
        <is>
          <t>Auto Solution</t>
        </is>
      </c>
      <c r="M860" s="23" t="n">
        <v>12711.86</v>
      </c>
    </row>
    <row r="861">
      <c r="A861" s="19" t="inlineStr">
        <is>
          <t>FY26</t>
        </is>
      </c>
      <c r="B861" s="19" t="inlineStr">
        <is>
          <t>Mar</t>
        </is>
      </c>
      <c r="C861" s="19" t="inlineStr">
        <is>
          <t>TN</t>
        </is>
      </c>
      <c r="D861" s="20" t="inlineStr">
        <is>
          <t>TN38BT4560</t>
        </is>
      </c>
      <c r="E861" s="20" t="inlineStr">
        <is>
          <t>MARUTI SUZUKI</t>
        </is>
      </c>
      <c r="F861" s="20" t="inlineStr">
        <is>
          <t>Zen</t>
        </is>
      </c>
      <c r="G861" s="21" t="n">
        <v>2013</v>
      </c>
      <c r="H861" s="22" t="n">
        <v>43291</v>
      </c>
      <c r="I861" s="22" t="n">
        <v>182000</v>
      </c>
      <c r="J861" s="20" t="inlineStr">
        <is>
          <t>EXCHANGE ROTN</t>
        </is>
      </c>
      <c r="K861" s="20" t="inlineStr">
        <is>
          <t>Captive</t>
        </is>
      </c>
      <c r="L861" s="20" t="inlineStr">
        <is>
          <t>Sri Murugan Cars</t>
        </is>
      </c>
      <c r="M861" s="23" t="n">
        <v>4237.29</v>
      </c>
    </row>
    <row r="862">
      <c r="A862" s="19" t="inlineStr">
        <is>
          <t>FY26</t>
        </is>
      </c>
      <c r="B862" s="19" t="inlineStr">
        <is>
          <t>Mar</t>
        </is>
      </c>
      <c r="C862" s="19" t="inlineStr">
        <is>
          <t>TN</t>
        </is>
      </c>
      <c r="D862" s="20" t="inlineStr">
        <is>
          <t>TN33AQ1564</t>
        </is>
      </c>
      <c r="E862" s="20" t="inlineStr">
        <is>
          <t>FORD</t>
        </is>
      </c>
      <c r="F862" s="20" t="inlineStr">
        <is>
          <t>Fiesta</t>
        </is>
      </c>
      <c r="G862" s="21" t="n">
        <v>2009</v>
      </c>
      <c r="H862" s="22" t="n">
        <v>71202</v>
      </c>
      <c r="I862" s="22" t="n">
        <v>100000</v>
      </c>
      <c r="J862" s="20" t="inlineStr">
        <is>
          <t>EXCHANGE ROTN</t>
        </is>
      </c>
      <c r="K862" s="20" t="inlineStr">
        <is>
          <t>Captive</t>
        </is>
      </c>
      <c r="L862" s="20" t="inlineStr">
        <is>
          <t>SIVASHANKAR CARS</t>
        </is>
      </c>
      <c r="M862" s="23" t="n">
        <v>8474.58</v>
      </c>
    </row>
    <row r="863">
      <c r="A863" s="19" t="inlineStr">
        <is>
          <t>FY26</t>
        </is>
      </c>
      <c r="B863" s="19" t="inlineStr">
        <is>
          <t>Mar</t>
        </is>
      </c>
      <c r="C863" s="19" t="inlineStr">
        <is>
          <t>TN</t>
        </is>
      </c>
      <c r="D863" s="20" t="inlineStr">
        <is>
          <t>TN42J5142</t>
        </is>
      </c>
      <c r="E863" s="20" t="inlineStr">
        <is>
          <t>HONDA</t>
        </is>
      </c>
      <c r="F863" s="20" t="inlineStr">
        <is>
          <t>Amaze</t>
        </is>
      </c>
      <c r="G863" s="21" t="n">
        <v>2013</v>
      </c>
      <c r="H863" s="22" t="n">
        <v>92831</v>
      </c>
      <c r="I863" s="22" t="n">
        <v>320000</v>
      </c>
      <c r="J863" s="20" t="inlineStr">
        <is>
          <t>EXCHANGE ROTN</t>
        </is>
      </c>
      <c r="K863" s="20" t="inlineStr">
        <is>
          <t>Captive</t>
        </is>
      </c>
      <c r="L863" s="20" t="inlineStr">
        <is>
          <t>Sai Cars</t>
        </is>
      </c>
      <c r="M863" s="23" t="n">
        <v>5932.2</v>
      </c>
    </row>
    <row r="864">
      <c r="A864" s="19" t="inlineStr">
        <is>
          <t>FY26</t>
        </is>
      </c>
      <c r="B864" s="19" t="inlineStr">
        <is>
          <t>Mar</t>
        </is>
      </c>
      <c r="C864" s="19" t="inlineStr">
        <is>
          <t>TN</t>
        </is>
      </c>
      <c r="D864" s="20" t="inlineStr">
        <is>
          <t>TN64AD9175</t>
        </is>
      </c>
      <c r="E864" s="20" t="inlineStr">
        <is>
          <t>MARUTI SUZUKI</t>
        </is>
      </c>
      <c r="F864" s="20" t="inlineStr">
        <is>
          <t>Baleno</t>
        </is>
      </c>
      <c r="G864" s="21" t="n">
        <v>2025</v>
      </c>
      <c r="H864" s="22" t="n">
        <v>24540</v>
      </c>
      <c r="I864" s="22" t="n">
        <v>547000</v>
      </c>
      <c r="J864" s="20" t="inlineStr">
        <is>
          <t>EXCHANGE ROTN</t>
        </is>
      </c>
      <c r="K864" s="20" t="inlineStr">
        <is>
          <t>Captive</t>
        </is>
      </c>
      <c r="L864" s="20" t="inlineStr">
        <is>
          <t>Rajan Cars</t>
        </is>
      </c>
      <c r="M864" s="23" t="n">
        <v>4237.29</v>
      </c>
    </row>
    <row r="865">
      <c r="A865" s="19" t="inlineStr">
        <is>
          <t>FY26</t>
        </is>
      </c>
      <c r="B865" s="19" t="inlineStr">
        <is>
          <t>Mar</t>
        </is>
      </c>
      <c r="C865" s="19" t="inlineStr">
        <is>
          <t>TN</t>
        </is>
      </c>
      <c r="D865" s="20" t="inlineStr">
        <is>
          <t>AP37BF9161</t>
        </is>
      </c>
      <c r="E865" s="20" t="inlineStr">
        <is>
          <t>MARUTI SUZUKI</t>
        </is>
      </c>
      <c r="F865" s="20" t="inlineStr">
        <is>
          <t>Alto</t>
        </is>
      </c>
      <c r="G865" s="21" t="n">
        <v>2010</v>
      </c>
      <c r="H865" s="22" t="n">
        <v>112620</v>
      </c>
      <c r="I865" s="22" t="n">
        <v>45000</v>
      </c>
      <c r="J865" s="20" t="inlineStr">
        <is>
          <t>EXCHANGE CHENNAI</t>
        </is>
      </c>
      <c r="K865" s="20" t="inlineStr">
        <is>
          <t>Captive</t>
        </is>
      </c>
      <c r="L865" s="20" t="inlineStr">
        <is>
          <t>RAJESH WARI (RAM CARS)</t>
        </is>
      </c>
      <c r="M865" s="23" t="n">
        <v>5084.75</v>
      </c>
    </row>
    <row r="866">
      <c r="A866" s="19" t="inlineStr">
        <is>
          <t>FY26</t>
        </is>
      </c>
      <c r="B866" s="19" t="inlineStr">
        <is>
          <t>Mar</t>
        </is>
      </c>
      <c r="C866" s="19" t="inlineStr">
        <is>
          <t>TN</t>
        </is>
      </c>
      <c r="D866" s="20" t="inlineStr">
        <is>
          <t>TN09CC1631</t>
        </is>
      </c>
      <c r="E866" s="20" t="inlineStr">
        <is>
          <t>HONDA</t>
        </is>
      </c>
      <c r="F866" s="20" t="inlineStr">
        <is>
          <t>City</t>
        </is>
      </c>
      <c r="G866" s="21" t="n">
        <v>2015</v>
      </c>
      <c r="H866" s="22" t="n"/>
      <c r="I866" s="22" t="n">
        <v>410000</v>
      </c>
      <c r="J866" s="20" t="inlineStr">
        <is>
          <t>EXCHANGE CHENNAI</t>
        </is>
      </c>
      <c r="K866" s="20" t="inlineStr">
        <is>
          <t>Captive</t>
        </is>
      </c>
      <c r="L866" s="20" t="inlineStr">
        <is>
          <t>Santhosh Cars</t>
        </is>
      </c>
      <c r="M866" s="23" t="n">
        <v>8474.58</v>
      </c>
    </row>
    <row r="867">
      <c r="A867" s="19" t="inlineStr">
        <is>
          <t>FY26</t>
        </is>
      </c>
      <c r="B867" s="19" t="inlineStr">
        <is>
          <t>Mar</t>
        </is>
      </c>
      <c r="C867" s="19" t="inlineStr">
        <is>
          <t>TN</t>
        </is>
      </c>
      <c r="D867" s="20" t="inlineStr">
        <is>
          <t>TN06H6802</t>
        </is>
      </c>
      <c r="E867" s="20" t="inlineStr">
        <is>
          <t>HONDA</t>
        </is>
      </c>
      <c r="F867" s="20" t="inlineStr">
        <is>
          <t>Br10</t>
        </is>
      </c>
      <c r="G867" s="21" t="n">
        <v>2012</v>
      </c>
      <c r="H867" s="22" t="n">
        <v>141881</v>
      </c>
      <c r="I867" s="22" t="n">
        <v>195000</v>
      </c>
      <c r="J867" s="20" t="inlineStr">
        <is>
          <t>EXCHANGE CHENNAI</t>
        </is>
      </c>
      <c r="K867" s="20" t="inlineStr">
        <is>
          <t>Captive</t>
        </is>
      </c>
      <c r="L867" s="20" t="inlineStr">
        <is>
          <t>AAA Cars</t>
        </is>
      </c>
      <c r="M867" s="23" t="n">
        <v>4237.29</v>
      </c>
    </row>
    <row r="868">
      <c r="A868" s="19" t="inlineStr">
        <is>
          <t>FY26</t>
        </is>
      </c>
      <c r="B868" s="19" t="inlineStr">
        <is>
          <t>Mar</t>
        </is>
      </c>
      <c r="C868" s="19" t="inlineStr">
        <is>
          <t>TN</t>
        </is>
      </c>
      <c r="D868" s="20" t="inlineStr">
        <is>
          <t>TN07BU2743</t>
        </is>
      </c>
      <c r="E868" s="20" t="inlineStr">
        <is>
          <t>HONDA</t>
        </is>
      </c>
      <c r="F868" s="20" t="inlineStr">
        <is>
          <t>Brio</t>
        </is>
      </c>
      <c r="G868" s="21" t="n">
        <v>2013</v>
      </c>
      <c r="H868" s="22" t="n">
        <v>150787</v>
      </c>
      <c r="I868" s="22" t="n">
        <v>223000</v>
      </c>
      <c r="J868" s="20" t="inlineStr">
        <is>
          <t>EXCHANGE CHENNAI</t>
        </is>
      </c>
      <c r="K868" s="20" t="inlineStr">
        <is>
          <t>Captive</t>
        </is>
      </c>
      <c r="L868" s="20" t="inlineStr">
        <is>
          <t>Santhosh Cars</t>
        </is>
      </c>
      <c r="M868" s="23" t="n">
        <v>5932.2</v>
      </c>
    </row>
    <row r="869">
      <c r="A869" s="19" t="inlineStr">
        <is>
          <t>FY26</t>
        </is>
      </c>
      <c r="B869" s="19" t="inlineStr">
        <is>
          <t>Mar</t>
        </is>
      </c>
      <c r="C869" s="19" t="inlineStr">
        <is>
          <t>TN</t>
        </is>
      </c>
      <c r="D869" s="20" t="inlineStr">
        <is>
          <t>TN22CJ0234</t>
        </is>
      </c>
      <c r="E869" s="20" t="inlineStr">
        <is>
          <t>HYUNDAI</t>
        </is>
      </c>
      <c r="F869" s="20" t="inlineStr">
        <is>
          <t>I20</t>
        </is>
      </c>
      <c r="G869" s="21" t="n">
        <v>2013</v>
      </c>
      <c r="H869" s="22" t="n">
        <v>98101</v>
      </c>
      <c r="I869" s="22" t="n">
        <v>300000</v>
      </c>
      <c r="J869" s="20" t="inlineStr">
        <is>
          <t>EXCHANGE CHENNAI</t>
        </is>
      </c>
      <c r="K869" s="20" t="inlineStr">
        <is>
          <t>Captive</t>
        </is>
      </c>
      <c r="L869" s="20" t="inlineStr">
        <is>
          <t>Varadhrajan cars</t>
        </is>
      </c>
      <c r="M869" s="23" t="n">
        <v>4237.29</v>
      </c>
    </row>
    <row r="870">
      <c r="A870" s="19" t="inlineStr">
        <is>
          <t>FY26</t>
        </is>
      </c>
      <c r="B870" s="19" t="inlineStr">
        <is>
          <t>Mar</t>
        </is>
      </c>
      <c r="C870" s="19" t="inlineStr">
        <is>
          <t>TN</t>
        </is>
      </c>
      <c r="D870" s="20" t="inlineStr">
        <is>
          <t>TN99J7981</t>
        </is>
      </c>
      <c r="E870" s="20" t="inlineStr">
        <is>
          <t>HYUNDAI</t>
        </is>
      </c>
      <c r="F870" s="20" t="inlineStr">
        <is>
          <t>Verna</t>
        </is>
      </c>
      <c r="G870" s="21" t="n">
        <v>2017</v>
      </c>
      <c r="H870" s="22" t="n">
        <v>118470</v>
      </c>
      <c r="I870" s="22" t="n">
        <v>450000</v>
      </c>
      <c r="J870" s="20" t="inlineStr">
        <is>
          <t>EXCHANGE ROTN</t>
        </is>
      </c>
      <c r="K870" s="20" t="inlineStr">
        <is>
          <t>Captive</t>
        </is>
      </c>
      <c r="L870" s="20" t="inlineStr">
        <is>
          <t>Sarvesh Cars</t>
        </is>
      </c>
      <c r="M870" s="23" t="n">
        <v>4237.29</v>
      </c>
    </row>
    <row r="871">
      <c r="A871" s="19" t="inlineStr">
        <is>
          <t>FY26</t>
        </is>
      </c>
      <c r="B871" s="19" t="inlineStr">
        <is>
          <t>Mar</t>
        </is>
      </c>
      <c r="C871" s="19" t="inlineStr">
        <is>
          <t>TN</t>
        </is>
      </c>
      <c r="D871" s="20" t="inlineStr">
        <is>
          <t>TN22BB1487</t>
        </is>
      </c>
      <c r="E871" s="20" t="inlineStr">
        <is>
          <t>MARUTI SUZUKI</t>
        </is>
      </c>
      <c r="F871" s="20" t="inlineStr">
        <is>
          <t>Zen Estilo</t>
        </is>
      </c>
      <c r="G871" s="21" t="n">
        <v>2008</v>
      </c>
      <c r="H871" s="22" t="n">
        <v>168865</v>
      </c>
      <c r="I871" s="22" t="n">
        <v>80000</v>
      </c>
      <c r="J871" s="20" t="inlineStr">
        <is>
          <t>Khivraj Motor</t>
        </is>
      </c>
      <c r="K871" s="20" t="inlineStr">
        <is>
          <t>Non-Captive</t>
        </is>
      </c>
      <c r="L871" s="20" t="inlineStr">
        <is>
          <t>RAJESH WARI (RAM CARS)</t>
        </is>
      </c>
      <c r="M871" s="23" t="n">
        <v>5084.75</v>
      </c>
    </row>
    <row r="872">
      <c r="A872" s="19" t="inlineStr">
        <is>
          <t>FY26</t>
        </is>
      </c>
      <c r="B872" s="19" t="inlineStr">
        <is>
          <t>Mar</t>
        </is>
      </c>
      <c r="C872" s="19" t="inlineStr">
        <is>
          <t>TN</t>
        </is>
      </c>
      <c r="D872" s="20" t="inlineStr">
        <is>
          <t>TN14A6292</t>
        </is>
      </c>
      <c r="E872" s="20" t="inlineStr">
        <is>
          <t>FORD</t>
        </is>
      </c>
      <c r="F872" s="20" t="inlineStr">
        <is>
          <t>Figo</t>
        </is>
      </c>
      <c r="G872" s="21" t="n">
        <v>2014</v>
      </c>
      <c r="H872" s="22" t="n">
        <v>104090</v>
      </c>
      <c r="I872" s="22" t="n">
        <v>150000</v>
      </c>
      <c r="J872" s="20" t="inlineStr">
        <is>
          <t>Khivraj Motor</t>
        </is>
      </c>
      <c r="K872" s="20" t="inlineStr">
        <is>
          <t>Non-Captive</t>
        </is>
      </c>
      <c r="L872" s="20" t="inlineStr">
        <is>
          <t>Bhavani Cars</t>
        </is>
      </c>
      <c r="M872" s="23" t="n">
        <v>5084.75</v>
      </c>
    </row>
    <row r="873">
      <c r="A873" s="19" t="inlineStr">
        <is>
          <t>FY26</t>
        </is>
      </c>
      <c r="B873" s="19" t="inlineStr">
        <is>
          <t>Mar</t>
        </is>
      </c>
      <c r="C873" s="19" t="inlineStr">
        <is>
          <t>TN</t>
        </is>
      </c>
      <c r="D873" s="20" t="inlineStr">
        <is>
          <t>TN05BQ6148</t>
        </is>
      </c>
      <c r="E873" s="20" t="inlineStr">
        <is>
          <t>MARUTI SUZUKI</t>
        </is>
      </c>
      <c r="F873" s="20" t="inlineStr">
        <is>
          <t>Alto</t>
        </is>
      </c>
      <c r="G873" s="21" t="n">
        <v>2018</v>
      </c>
      <c r="H873" s="22" t="n">
        <v>72324</v>
      </c>
      <c r="I873" s="22" t="n">
        <v>224000</v>
      </c>
      <c r="J873" s="20" t="inlineStr">
        <is>
          <t>Khivraj Motor</t>
        </is>
      </c>
      <c r="K873" s="20" t="inlineStr">
        <is>
          <t>Non-Captive</t>
        </is>
      </c>
      <c r="L873" s="20" t="inlineStr">
        <is>
          <t>33 Cars</t>
        </is>
      </c>
      <c r="M873" s="23" t="n">
        <v>5084.75</v>
      </c>
    </row>
    <row r="874">
      <c r="A874" s="19" t="inlineStr">
        <is>
          <t>FY26</t>
        </is>
      </c>
      <c r="B874" s="19" t="inlineStr">
        <is>
          <t>Mar</t>
        </is>
      </c>
      <c r="C874" s="19" t="inlineStr">
        <is>
          <t>TN</t>
        </is>
      </c>
      <c r="D874" s="20" t="inlineStr">
        <is>
          <t>TN02AR1599</t>
        </is>
      </c>
      <c r="E874" s="20" t="inlineStr">
        <is>
          <t>MARUTI SUZUKI</t>
        </is>
      </c>
      <c r="F874" s="20" t="inlineStr">
        <is>
          <t>Alto K10</t>
        </is>
      </c>
      <c r="G874" s="21" t="n">
        <v>2011</v>
      </c>
      <c r="H874" s="22" t="n">
        <v>73241</v>
      </c>
      <c r="I874" s="22" t="n">
        <v>114000</v>
      </c>
      <c r="J874" s="20" t="inlineStr">
        <is>
          <t>Khivraj Motor</t>
        </is>
      </c>
      <c r="K874" s="20" t="inlineStr">
        <is>
          <t>Non-Captive</t>
        </is>
      </c>
      <c r="L874" s="20" t="inlineStr">
        <is>
          <t>33 Cars</t>
        </is>
      </c>
      <c r="M874" s="23" t="n">
        <v>5084.75</v>
      </c>
    </row>
    <row r="875">
      <c r="A875" s="19" t="inlineStr">
        <is>
          <t>FY26</t>
        </is>
      </c>
      <c r="B875" s="19" t="inlineStr">
        <is>
          <t>Mar</t>
        </is>
      </c>
      <c r="C875" s="19" t="inlineStr">
        <is>
          <t>TN</t>
        </is>
      </c>
      <c r="D875" s="20" t="inlineStr">
        <is>
          <t>TN10BT2958</t>
        </is>
      </c>
      <c r="E875" s="20" t="inlineStr">
        <is>
          <t>MG MOTORS</t>
        </is>
      </c>
      <c r="F875" s="20" t="inlineStr">
        <is>
          <t>Hector-Plus</t>
        </is>
      </c>
      <c r="G875" s="21" t="n">
        <v>2023</v>
      </c>
      <c r="H875" s="22" t="n">
        <v>79620</v>
      </c>
      <c r="I875" s="22" t="n">
        <v>1095000</v>
      </c>
      <c r="J875" s="20" t="inlineStr">
        <is>
          <t>Khivraj Motor</t>
        </is>
      </c>
      <c r="K875" s="20" t="inlineStr">
        <is>
          <t>Non-Captive</t>
        </is>
      </c>
      <c r="L875" s="20" t="inlineStr">
        <is>
          <t>YES cars</t>
        </is>
      </c>
      <c r="M875" s="23" t="n">
        <v>11016.95</v>
      </c>
    </row>
    <row r="876">
      <c r="A876" s="19" t="inlineStr">
        <is>
          <t>FY26</t>
        </is>
      </c>
      <c r="B876" s="19" t="inlineStr">
        <is>
          <t>Mar</t>
        </is>
      </c>
      <c r="C876" s="19" t="inlineStr">
        <is>
          <t>TN</t>
        </is>
      </c>
      <c r="D876" s="20" t="inlineStr">
        <is>
          <t>TN09CQ9346</t>
        </is>
      </c>
      <c r="E876" s="20" t="inlineStr">
        <is>
          <t>HYUNDAI</t>
        </is>
      </c>
      <c r="F876" s="20" t="inlineStr">
        <is>
          <t>I20</t>
        </is>
      </c>
      <c r="G876" s="21" t="n">
        <v>2018</v>
      </c>
      <c r="H876" s="22" t="n">
        <v>58487</v>
      </c>
      <c r="I876" s="22" t="n">
        <v>494000</v>
      </c>
      <c r="J876" s="20" t="inlineStr">
        <is>
          <t>Khivraj Motor</t>
        </is>
      </c>
      <c r="K876" s="20" t="inlineStr">
        <is>
          <t>Non-Captive</t>
        </is>
      </c>
      <c r="L876" s="20" t="inlineStr">
        <is>
          <t>Lanson Toyota</t>
        </is>
      </c>
      <c r="M876" s="23" t="n">
        <v>13559.32</v>
      </c>
    </row>
    <row r="877">
      <c r="A877" s="19" t="inlineStr">
        <is>
          <t>FY26</t>
        </is>
      </c>
      <c r="B877" s="19" t="inlineStr">
        <is>
          <t>Mar</t>
        </is>
      </c>
      <c r="C877" s="19" t="inlineStr">
        <is>
          <t>TN</t>
        </is>
      </c>
      <c r="D877" s="20" t="inlineStr">
        <is>
          <t>TN22BV0990</t>
        </is>
      </c>
      <c r="E877" s="20" t="inlineStr">
        <is>
          <t>MARUTI SUZUKI</t>
        </is>
      </c>
      <c r="F877" s="20" t="inlineStr">
        <is>
          <t>Wagon R</t>
        </is>
      </c>
      <c r="G877" s="21" t="n">
        <v>2009</v>
      </c>
      <c r="H877" s="22" t="n">
        <v>83655</v>
      </c>
      <c r="I877" s="22" t="n">
        <v>134000</v>
      </c>
      <c r="J877" s="20" t="inlineStr">
        <is>
          <t>Khivraj Motor</t>
        </is>
      </c>
      <c r="K877" s="20" t="inlineStr">
        <is>
          <t>Non-Captive</t>
        </is>
      </c>
      <c r="L877" s="20" t="inlineStr">
        <is>
          <t>AS Cars Gopi</t>
        </is>
      </c>
      <c r="M877" s="23" t="n">
        <v>5084.75</v>
      </c>
    </row>
    <row r="878">
      <c r="A878" s="19" t="inlineStr">
        <is>
          <t>FY26</t>
        </is>
      </c>
      <c r="B878" s="19" t="inlineStr">
        <is>
          <t>Mar</t>
        </is>
      </c>
      <c r="C878" s="19" t="inlineStr">
        <is>
          <t>TN</t>
        </is>
      </c>
      <c r="D878" s="20" t="inlineStr">
        <is>
          <t>TN09CC9496</t>
        </is>
      </c>
      <c r="E878" s="20" t="inlineStr">
        <is>
          <t>MARUTI SUZUKI</t>
        </is>
      </c>
      <c r="F878" s="20" t="inlineStr">
        <is>
          <t>Wagon R</t>
        </is>
      </c>
      <c r="G878" s="21" t="n">
        <v>2016</v>
      </c>
      <c r="H878" s="22" t="n">
        <v>40645</v>
      </c>
      <c r="I878" s="22" t="n">
        <v>297000</v>
      </c>
      <c r="J878" s="20" t="inlineStr">
        <is>
          <t>CAR HUB</t>
        </is>
      </c>
      <c r="K878" s="20" t="inlineStr">
        <is>
          <t>Non-Captive</t>
        </is>
      </c>
      <c r="L878" s="20" t="inlineStr">
        <is>
          <t>AS Cars Gopi</t>
        </is>
      </c>
      <c r="M878" s="23" t="n">
        <v>5084.75</v>
      </c>
    </row>
    <row r="879">
      <c r="A879" s="19" t="inlineStr">
        <is>
          <t>FY26</t>
        </is>
      </c>
      <c r="B879" s="19" t="inlineStr">
        <is>
          <t>Mar</t>
        </is>
      </c>
      <c r="C879" s="19" t="inlineStr">
        <is>
          <t>TN</t>
        </is>
      </c>
      <c r="D879" s="20" t="inlineStr">
        <is>
          <t>TN18K6309</t>
        </is>
      </c>
      <c r="E879" s="20" t="inlineStr">
        <is>
          <t>MARUTI SUZUKI</t>
        </is>
      </c>
      <c r="F879" s="20" t="inlineStr">
        <is>
          <t>Alto</t>
        </is>
      </c>
      <c r="G879" s="21" t="n">
        <v>2012</v>
      </c>
      <c r="H879" s="22" t="n">
        <v>126715</v>
      </c>
      <c r="I879" s="22" t="n">
        <v>95000</v>
      </c>
      <c r="J879" s="20" t="inlineStr">
        <is>
          <t>Khivraj Motor</t>
        </is>
      </c>
      <c r="K879" s="20" t="inlineStr">
        <is>
          <t>Non-Captive</t>
        </is>
      </c>
      <c r="L879" s="20" t="inlineStr">
        <is>
          <t>AS Cars Gopi</t>
        </is>
      </c>
      <c r="M879" s="23" t="n">
        <v>5084.75</v>
      </c>
    </row>
    <row r="880">
      <c r="A880" s="19" t="inlineStr">
        <is>
          <t>FY26</t>
        </is>
      </c>
      <c r="B880" s="19" t="inlineStr">
        <is>
          <t>Mar</t>
        </is>
      </c>
      <c r="C880" s="19" t="inlineStr">
        <is>
          <t>TN</t>
        </is>
      </c>
      <c r="D880" s="20" t="inlineStr">
        <is>
          <t>TN07BM2944</t>
        </is>
      </c>
      <c r="E880" s="20" t="inlineStr">
        <is>
          <t>MARUTI SUZUKI</t>
        </is>
      </c>
      <c r="F880" s="20" t="inlineStr">
        <is>
          <t>Zen Estilo</t>
        </is>
      </c>
      <c r="G880" s="21" t="n">
        <v>2011</v>
      </c>
      <c r="H880" s="22" t="n">
        <v>95227</v>
      </c>
      <c r="I880" s="22" t="n">
        <v>120000</v>
      </c>
      <c r="J880" s="20" t="inlineStr">
        <is>
          <t>Khivraj Motor</t>
        </is>
      </c>
      <c r="K880" s="20" t="inlineStr">
        <is>
          <t>Non-Captive</t>
        </is>
      </c>
      <c r="L880" s="20" t="inlineStr">
        <is>
          <t>Pine Autos</t>
        </is>
      </c>
      <c r="M880" s="23" t="n">
        <v>5084.75</v>
      </c>
    </row>
    <row r="881">
      <c r="A881" s="19" t="inlineStr">
        <is>
          <t>FY26</t>
        </is>
      </c>
      <c r="B881" s="19" t="inlineStr">
        <is>
          <t>Mar</t>
        </is>
      </c>
      <c r="C881" s="19" t="inlineStr">
        <is>
          <t>TN</t>
        </is>
      </c>
      <c r="D881" s="20" t="inlineStr">
        <is>
          <t>TN20BH1774</t>
        </is>
      </c>
      <c r="E881" s="20" t="inlineStr">
        <is>
          <t>MARUTI SUZUKI</t>
        </is>
      </c>
      <c r="F881" s="20" t="inlineStr">
        <is>
          <t>Alto</t>
        </is>
      </c>
      <c r="G881" s="21" t="n">
        <v>2011</v>
      </c>
      <c r="H881" s="22" t="n">
        <v>122895</v>
      </c>
      <c r="I881" s="22" t="n">
        <v>110000</v>
      </c>
      <c r="J881" s="20" t="inlineStr">
        <is>
          <t>Khivraj Motor</t>
        </is>
      </c>
      <c r="K881" s="20" t="inlineStr">
        <is>
          <t>Non-Captive</t>
        </is>
      </c>
      <c r="L881" s="20" t="inlineStr">
        <is>
          <t>AAA Cars</t>
        </is>
      </c>
      <c r="M881" s="23" t="n">
        <v>5084.75</v>
      </c>
    </row>
    <row r="882">
      <c r="A882" s="19" t="inlineStr">
        <is>
          <t>FY26</t>
        </is>
      </c>
      <c r="B882" s="19" t="inlineStr">
        <is>
          <t>Mar</t>
        </is>
      </c>
      <c r="C882" s="19" t="inlineStr">
        <is>
          <t>TN</t>
        </is>
      </c>
      <c r="D882" s="20" t="inlineStr">
        <is>
          <t>TN07BS7823</t>
        </is>
      </c>
      <c r="E882" s="20" t="inlineStr">
        <is>
          <t>MAHINDRA</t>
        </is>
      </c>
      <c r="F882" s="20" t="inlineStr">
        <is>
          <t>Quanto</t>
        </is>
      </c>
      <c r="G882" s="21" t="n">
        <v>2012</v>
      </c>
      <c r="H882" s="22" t="n">
        <v>127270</v>
      </c>
      <c r="I882" s="22" t="n">
        <v>100000</v>
      </c>
      <c r="J882" s="20" t="inlineStr">
        <is>
          <t>Khivraj Motor</t>
        </is>
      </c>
      <c r="K882" s="20" t="inlineStr">
        <is>
          <t>Non-Captive</t>
        </is>
      </c>
      <c r="L882" s="20" t="inlineStr">
        <is>
          <t>RAJESH WARI (RAM CARS)</t>
        </is>
      </c>
      <c r="M882" s="23" t="n">
        <v>5084.75</v>
      </c>
    </row>
    <row r="883">
      <c r="A883" s="19" t="inlineStr">
        <is>
          <t>FY26</t>
        </is>
      </c>
      <c r="B883" s="19" t="inlineStr">
        <is>
          <t>Mar</t>
        </is>
      </c>
      <c r="C883" s="19" t="inlineStr">
        <is>
          <t>TN</t>
        </is>
      </c>
      <c r="D883" s="20" t="inlineStr">
        <is>
          <t>TN04AL6049</t>
        </is>
      </c>
      <c r="E883" s="20" t="inlineStr">
        <is>
          <t>NISSAN</t>
        </is>
      </c>
      <c r="F883" s="20" t="inlineStr">
        <is>
          <t>Sunny</t>
        </is>
      </c>
      <c r="G883" s="21" t="n">
        <v>2013</v>
      </c>
      <c r="H883" s="22" t="n">
        <v>103245</v>
      </c>
      <c r="I883" s="22" t="n">
        <v>187000</v>
      </c>
      <c r="J883" s="20" t="inlineStr">
        <is>
          <t>Khivraj Motor</t>
        </is>
      </c>
      <c r="K883" s="20" t="inlineStr">
        <is>
          <t>Non-Captive</t>
        </is>
      </c>
      <c r="L883" s="20" t="inlineStr">
        <is>
          <t>Aasim Motor</t>
        </is>
      </c>
      <c r="M883" s="23" t="n">
        <v>5084.75</v>
      </c>
    </row>
    <row r="884">
      <c r="A884" s="19" t="inlineStr">
        <is>
          <t>FY26</t>
        </is>
      </c>
      <c r="B884" s="19" t="inlineStr">
        <is>
          <t>Mar</t>
        </is>
      </c>
      <c r="C884" s="19" t="inlineStr">
        <is>
          <t>TN</t>
        </is>
      </c>
      <c r="D884" s="20" t="inlineStr">
        <is>
          <t>TN38BY2345</t>
        </is>
      </c>
      <c r="E884" s="20" t="inlineStr">
        <is>
          <t>HONDA</t>
        </is>
      </c>
      <c r="F884" s="20" t="inlineStr">
        <is>
          <t>City</t>
        </is>
      </c>
      <c r="G884" s="21" t="n">
        <v>2014</v>
      </c>
      <c r="H884" s="22" t="n">
        <v>60955</v>
      </c>
      <c r="I884" s="22" t="n">
        <v>550000</v>
      </c>
      <c r="J884" s="20" t="inlineStr">
        <is>
          <t>EXCHANGE ROTN</t>
        </is>
      </c>
      <c r="K884" s="20" t="inlineStr">
        <is>
          <t>Captive</t>
        </is>
      </c>
      <c r="L884" s="20" t="inlineStr">
        <is>
          <t>YUGA DHEERAN CARS</t>
        </is>
      </c>
      <c r="M884" s="23" t="n">
        <v>12711.86</v>
      </c>
    </row>
    <row r="885">
      <c r="A885" s="19" t="inlineStr">
        <is>
          <t>FY26</t>
        </is>
      </c>
      <c r="B885" s="19" t="inlineStr">
        <is>
          <t>Mar</t>
        </is>
      </c>
      <c r="C885" s="19" t="inlineStr">
        <is>
          <t>TN</t>
        </is>
      </c>
      <c r="D885" s="20" t="inlineStr">
        <is>
          <t>TN49AH6007</t>
        </is>
      </c>
      <c r="E885" s="20" t="inlineStr">
        <is>
          <t>MAHINDRA</t>
        </is>
      </c>
      <c r="F885" s="20" t="inlineStr">
        <is>
          <t>Bolero</t>
        </is>
      </c>
      <c r="G885" s="21" t="n">
        <v>2011</v>
      </c>
      <c r="H885" s="22" t="n">
        <v>39944</v>
      </c>
      <c r="I885" s="22" t="n">
        <v>270000</v>
      </c>
      <c r="J885" s="20" t="inlineStr">
        <is>
          <t>EXCHANGE ROTN</t>
        </is>
      </c>
      <c r="K885" s="20" t="inlineStr">
        <is>
          <t>Captive</t>
        </is>
      </c>
      <c r="L885" s="20" t="inlineStr">
        <is>
          <t>UZHAVAN ENTERPRISE</t>
        </is>
      </c>
      <c r="M885" s="23" t="n">
        <v>8474.58</v>
      </c>
    </row>
    <row r="886">
      <c r="A886" s="19" t="inlineStr">
        <is>
          <t>FY26</t>
        </is>
      </c>
      <c r="B886" s="19" t="inlineStr">
        <is>
          <t>Mar</t>
        </is>
      </c>
      <c r="C886" s="19" t="inlineStr">
        <is>
          <t>TN</t>
        </is>
      </c>
      <c r="D886" s="20" t="inlineStr">
        <is>
          <t>TN88K4633</t>
        </is>
      </c>
      <c r="E886" s="20" t="inlineStr">
        <is>
          <t>HONDA</t>
        </is>
      </c>
      <c r="F886" s="20" t="inlineStr">
        <is>
          <t>Amaze</t>
        </is>
      </c>
      <c r="G886" s="21" t="n">
        <v>2023</v>
      </c>
      <c r="H886" s="22" t="n">
        <v>44612</v>
      </c>
      <c r="I886" s="22" t="n">
        <v>460000</v>
      </c>
      <c r="J886" s="20" t="inlineStr">
        <is>
          <t>EXCHANGE ROTN</t>
        </is>
      </c>
      <c r="K886" s="20" t="inlineStr">
        <is>
          <t>Captive</t>
        </is>
      </c>
      <c r="L886" s="20" t="inlineStr">
        <is>
          <t>Sai Cars</t>
        </is>
      </c>
      <c r="M886" s="23" t="n">
        <v>8474.58</v>
      </c>
    </row>
    <row r="887">
      <c r="A887" s="19" t="inlineStr">
        <is>
          <t>FY26</t>
        </is>
      </c>
      <c r="B887" s="19" t="inlineStr">
        <is>
          <t>Mar</t>
        </is>
      </c>
      <c r="C887" s="19" t="inlineStr">
        <is>
          <t>TN</t>
        </is>
      </c>
      <c r="D887" s="20" t="inlineStr">
        <is>
          <t>TN30BB0267</t>
        </is>
      </c>
      <c r="E887" s="20" t="inlineStr">
        <is>
          <t>FIAT</t>
        </is>
      </c>
      <c r="F887" s="20" t="inlineStr">
        <is>
          <t>Punto</t>
        </is>
      </c>
      <c r="G887" s="21" t="n">
        <v>2014</v>
      </c>
      <c r="H887" s="22" t="n">
        <v>17468</v>
      </c>
      <c r="I887" s="22" t="n">
        <v>47000</v>
      </c>
      <c r="J887" s="20" t="inlineStr">
        <is>
          <t>EXCHANGE ROTN</t>
        </is>
      </c>
      <c r="K887" s="20" t="inlineStr">
        <is>
          <t>Captive</t>
        </is>
      </c>
      <c r="L887" s="20" t="inlineStr">
        <is>
          <t>Stalin Cars</t>
        </is>
      </c>
      <c r="M887" s="23" t="n">
        <v>4237.29</v>
      </c>
    </row>
    <row r="888">
      <c r="A888" s="19" t="inlineStr">
        <is>
          <t>FY26</t>
        </is>
      </c>
      <c r="B888" s="19" t="inlineStr">
        <is>
          <t>Mar</t>
        </is>
      </c>
      <c r="C888" s="19" t="inlineStr">
        <is>
          <t>TN</t>
        </is>
      </c>
      <c r="D888" s="20" t="inlineStr">
        <is>
          <t>TN66H8655</t>
        </is>
      </c>
      <c r="E888" s="20" t="inlineStr">
        <is>
          <t>HYUNDAI</t>
        </is>
      </c>
      <c r="F888" s="20" t="inlineStr">
        <is>
          <t>Eon</t>
        </is>
      </c>
      <c r="G888" s="21" t="n">
        <v>2013</v>
      </c>
      <c r="H888" s="22" t="n">
        <v>136587</v>
      </c>
      <c r="I888" s="22" t="n">
        <v>150000</v>
      </c>
      <c r="J888" s="20" t="inlineStr">
        <is>
          <t>EXCHANGE ROTN</t>
        </is>
      </c>
      <c r="K888" s="20" t="inlineStr">
        <is>
          <t>Captive</t>
        </is>
      </c>
      <c r="L888" s="20" t="inlineStr">
        <is>
          <t>UZHAVAN ENTERPRISE</t>
        </is>
      </c>
      <c r="M888" s="23" t="n">
        <v>8474.58</v>
      </c>
    </row>
    <row r="889">
      <c r="A889" s="19" t="inlineStr">
        <is>
          <t>FY26</t>
        </is>
      </c>
      <c r="B889" s="19" t="inlineStr">
        <is>
          <t>Mar</t>
        </is>
      </c>
      <c r="C889" s="19" t="inlineStr">
        <is>
          <t>TN</t>
        </is>
      </c>
      <c r="D889" s="20" t="inlineStr">
        <is>
          <t>TN07BF0194</t>
        </is>
      </c>
      <c r="E889" s="20" t="inlineStr">
        <is>
          <t>HYUNDAI</t>
        </is>
      </c>
      <c r="F889" s="20" t="inlineStr">
        <is>
          <t>I10</t>
        </is>
      </c>
      <c r="G889" s="21" t="n">
        <v>2010</v>
      </c>
      <c r="H889" s="22" t="n">
        <v>203213</v>
      </c>
      <c r="I889" s="22" t="n">
        <v>135000</v>
      </c>
      <c r="J889" s="20" t="inlineStr">
        <is>
          <t>EXCHANGE ROTN</t>
        </is>
      </c>
      <c r="K889" s="20" t="inlineStr">
        <is>
          <t>Captive</t>
        </is>
      </c>
      <c r="L889" s="20" t="inlineStr">
        <is>
          <t>Gugha Cars</t>
        </is>
      </c>
      <c r="M889" s="23" t="n">
        <v>8474.58</v>
      </c>
    </row>
    <row r="890">
      <c r="A890" s="19" t="inlineStr">
        <is>
          <t>FY26</t>
        </is>
      </c>
      <c r="B890" s="19" t="inlineStr">
        <is>
          <t>Mar</t>
        </is>
      </c>
      <c r="C890" s="19" t="inlineStr">
        <is>
          <t>TN</t>
        </is>
      </c>
      <c r="D890" s="20" t="inlineStr">
        <is>
          <t>TN95E1062</t>
        </is>
      </c>
      <c r="E890" s="20" t="inlineStr">
        <is>
          <t>MARUTI SUZUKI</t>
        </is>
      </c>
      <c r="F890" s="20" t="inlineStr">
        <is>
          <t>Ignis</t>
        </is>
      </c>
      <c r="G890" s="21" t="n">
        <v>2020</v>
      </c>
      <c r="H890" s="22" t="n"/>
      <c r="I890" s="22" t="n">
        <v>410000</v>
      </c>
      <c r="J890" s="20" t="inlineStr">
        <is>
          <t>EXCHANGE ROTN</t>
        </is>
      </c>
      <c r="K890" s="20" t="inlineStr">
        <is>
          <t>Captive</t>
        </is>
      </c>
      <c r="L890" s="20" t="inlineStr">
        <is>
          <t>Paul Cars</t>
        </is>
      </c>
      <c r="M890" s="23" t="n">
        <v>8474.58</v>
      </c>
    </row>
    <row r="891">
      <c r="A891" s="19" t="inlineStr">
        <is>
          <t>FY26</t>
        </is>
      </c>
      <c r="B891" s="19" t="inlineStr">
        <is>
          <t>Mar</t>
        </is>
      </c>
      <c r="C891" s="19" t="inlineStr">
        <is>
          <t>TN</t>
        </is>
      </c>
      <c r="D891" s="20" t="inlineStr">
        <is>
          <t>TN954676</t>
        </is>
      </c>
      <c r="E891" s="20" t="inlineStr">
        <is>
          <t>MARUTI SUZUKI</t>
        </is>
      </c>
      <c r="F891" s="20" t="inlineStr">
        <is>
          <t>Ciaz</t>
        </is>
      </c>
      <c r="G891" s="21" t="n">
        <v>2017</v>
      </c>
      <c r="H891" s="22" t="n">
        <v>86882</v>
      </c>
      <c r="I891" s="22" t="n">
        <v>505000</v>
      </c>
      <c r="J891" s="20" t="inlineStr">
        <is>
          <t>EXCHANGE ROTN</t>
        </is>
      </c>
      <c r="K891" s="20" t="inlineStr">
        <is>
          <t>Captive</t>
        </is>
      </c>
      <c r="L891" s="20" t="inlineStr">
        <is>
          <t>Ashwin cars</t>
        </is>
      </c>
      <c r="M891" s="23" t="n">
        <v>8474.58</v>
      </c>
    </row>
    <row r="892">
      <c r="A892" s="19" t="inlineStr">
        <is>
          <t>FY26</t>
        </is>
      </c>
      <c r="B892" s="19" t="inlineStr">
        <is>
          <t>Mar</t>
        </is>
      </c>
      <c r="C892" s="19" t="inlineStr">
        <is>
          <t>TN</t>
        </is>
      </c>
      <c r="D892" s="20" t="inlineStr">
        <is>
          <t>TN58AM0651</t>
        </is>
      </c>
      <c r="E892" s="20" t="inlineStr">
        <is>
          <t>HONDA</t>
        </is>
      </c>
      <c r="F892" s="20" t="inlineStr">
        <is>
          <t>Amaze</t>
        </is>
      </c>
      <c r="G892" s="21" t="n">
        <v>2016</v>
      </c>
      <c r="H892" s="22" t="n">
        <v>23484</v>
      </c>
      <c r="I892" s="22" t="n">
        <v>400000</v>
      </c>
      <c r="J892" s="20" t="inlineStr">
        <is>
          <t>EXCHANGE ROTN</t>
        </is>
      </c>
      <c r="K892" s="20" t="inlineStr">
        <is>
          <t>Captive</t>
        </is>
      </c>
      <c r="L892" s="20" t="inlineStr">
        <is>
          <t>Sun Cars</t>
        </is>
      </c>
      <c r="M892" s="23" t="n">
        <v>12711.86</v>
      </c>
    </row>
    <row r="893">
      <c r="A893" s="19" t="inlineStr">
        <is>
          <t>FY26</t>
        </is>
      </c>
      <c r="B893" s="19" t="inlineStr">
        <is>
          <t>Mar</t>
        </is>
      </c>
      <c r="C893" s="19" t="inlineStr">
        <is>
          <t>TN</t>
        </is>
      </c>
      <c r="D893" s="20" t="inlineStr">
        <is>
          <t>TN07CW2563</t>
        </is>
      </c>
      <c r="E893" s="20" t="inlineStr">
        <is>
          <t>HONDA</t>
        </is>
      </c>
      <c r="F893" s="20" t="inlineStr">
        <is>
          <t>City</t>
        </is>
      </c>
      <c r="G893" s="21" t="n">
        <v>2020</v>
      </c>
      <c r="H893" s="22" t="n">
        <v>31002</v>
      </c>
      <c r="I893" s="22" t="n">
        <v>805000</v>
      </c>
      <c r="J893" s="20" t="inlineStr">
        <is>
          <t>EXCHANGE CHENNAI</t>
        </is>
      </c>
      <c r="K893" s="20" t="inlineStr">
        <is>
          <t>Captive</t>
        </is>
      </c>
      <c r="L893" s="20" t="inlineStr">
        <is>
          <t>Santhosh Cars</t>
        </is>
      </c>
      <c r="M893" s="23" t="n">
        <v>12711.86</v>
      </c>
    </row>
    <row r="894">
      <c r="A894" s="19" t="inlineStr">
        <is>
          <t>FY26</t>
        </is>
      </c>
      <c r="B894" s="19" t="inlineStr">
        <is>
          <t>Mar</t>
        </is>
      </c>
      <c r="C894" s="19" t="inlineStr">
        <is>
          <t>TN</t>
        </is>
      </c>
      <c r="D894" s="20" t="inlineStr">
        <is>
          <t>TN13H1317</t>
        </is>
      </c>
      <c r="E894" s="20" t="inlineStr">
        <is>
          <t>HONDA</t>
        </is>
      </c>
      <c r="F894" s="20" t="inlineStr">
        <is>
          <t>Jazz</t>
        </is>
      </c>
      <c r="G894" s="21" t="n">
        <v>2016</v>
      </c>
      <c r="H894" s="22" t="n">
        <v>219412</v>
      </c>
      <c r="I894" s="22" t="n">
        <v>350000</v>
      </c>
      <c r="J894" s="20" t="inlineStr">
        <is>
          <t>EXCHANGE CHENNAI</t>
        </is>
      </c>
      <c r="K894" s="20" t="inlineStr">
        <is>
          <t>Captive</t>
        </is>
      </c>
      <c r="L894" s="20" t="inlineStr">
        <is>
          <t>Santhosh Cars</t>
        </is>
      </c>
      <c r="M894" s="23" t="n">
        <v>8474.58</v>
      </c>
    </row>
    <row r="895">
      <c r="A895" s="19" t="inlineStr">
        <is>
          <t>FY26</t>
        </is>
      </c>
      <c r="B895" s="19" t="inlineStr">
        <is>
          <t>Mar</t>
        </is>
      </c>
      <c r="C895" s="19" t="inlineStr">
        <is>
          <t>TN</t>
        </is>
      </c>
      <c r="D895" s="20" t="inlineStr">
        <is>
          <t>TN06Y7983</t>
        </is>
      </c>
      <c r="E895" s="20" t="inlineStr">
        <is>
          <t>HONDA</t>
        </is>
      </c>
      <c r="F895" s="20" t="inlineStr">
        <is>
          <t>City</t>
        </is>
      </c>
      <c r="G895" s="21" t="n">
        <v>2019</v>
      </c>
      <c r="H895" s="22" t="n">
        <v>62643</v>
      </c>
      <c r="I895" s="22" t="n">
        <v>580000</v>
      </c>
      <c r="J895" s="20" t="inlineStr">
        <is>
          <t>EXCHANGE CHENNAI</t>
        </is>
      </c>
      <c r="K895" s="20" t="inlineStr">
        <is>
          <t>Captive</t>
        </is>
      </c>
      <c r="L895" s="20" t="inlineStr">
        <is>
          <t>Santhosh Cars</t>
        </is>
      </c>
      <c r="M895" s="23" t="n">
        <v>8474.58</v>
      </c>
    </row>
    <row r="896">
      <c r="A896" s="19" t="inlineStr">
        <is>
          <t>FY26</t>
        </is>
      </c>
      <c r="B896" s="19" t="inlineStr">
        <is>
          <t>Mar</t>
        </is>
      </c>
      <c r="C896" s="19" t="inlineStr">
        <is>
          <t>TN</t>
        </is>
      </c>
      <c r="D896" s="20" t="inlineStr">
        <is>
          <t>TN09CW6328</t>
        </is>
      </c>
      <c r="E896" s="20" t="inlineStr">
        <is>
          <t>MARUTI SUZUKI</t>
        </is>
      </c>
      <c r="F896" s="20" t="inlineStr">
        <is>
          <t>S-Presso</t>
        </is>
      </c>
      <c r="G896" s="21" t="n">
        <v>2021</v>
      </c>
      <c r="H896" s="22" t="n">
        <v>102052</v>
      </c>
      <c r="I896" s="22" t="n">
        <v>300000</v>
      </c>
      <c r="J896" s="20" t="inlineStr">
        <is>
          <t>EXCHANGE CHENNAI</t>
        </is>
      </c>
      <c r="K896" s="20" t="inlineStr">
        <is>
          <t>Captive</t>
        </is>
      </c>
      <c r="L896" s="20" t="inlineStr">
        <is>
          <t>Santhosh Cars</t>
        </is>
      </c>
      <c r="M896" s="23" t="n">
        <v>8474.58</v>
      </c>
    </row>
    <row r="897">
      <c r="A897" s="19" t="inlineStr">
        <is>
          <t>FY26</t>
        </is>
      </c>
      <c r="B897" s="19" t="inlineStr">
        <is>
          <t>Mar</t>
        </is>
      </c>
      <c r="C897" s="19" t="inlineStr">
        <is>
          <t>TN</t>
        </is>
      </c>
      <c r="D897" s="20" t="inlineStr">
        <is>
          <t>TN07CQ4221</t>
        </is>
      </c>
      <c r="E897" s="20" t="inlineStr">
        <is>
          <t>HONDA</t>
        </is>
      </c>
      <c r="F897" s="20" t="inlineStr">
        <is>
          <t>City</t>
        </is>
      </c>
      <c r="G897" s="21" t="n">
        <v>2018</v>
      </c>
      <c r="H897" s="22" t="n">
        <v>13157</v>
      </c>
      <c r="I897" s="22" t="n">
        <v>560000</v>
      </c>
      <c r="J897" s="20" t="inlineStr">
        <is>
          <t>EXCHANGE CHENNAI</t>
        </is>
      </c>
      <c r="K897" s="20" t="inlineStr">
        <is>
          <t>Captive</t>
        </is>
      </c>
      <c r="L897" s="20" t="inlineStr">
        <is>
          <t>Nirmal Cars</t>
        </is>
      </c>
      <c r="M897" s="23" t="n">
        <v>8474.58</v>
      </c>
    </row>
    <row r="898">
      <c r="A898" s="19" t="inlineStr">
        <is>
          <t>FY26</t>
        </is>
      </c>
      <c r="B898" s="19" t="inlineStr">
        <is>
          <t>Mar</t>
        </is>
      </c>
      <c r="C898" s="19" t="inlineStr">
        <is>
          <t>TN</t>
        </is>
      </c>
      <c r="D898" s="20" t="inlineStr">
        <is>
          <t>TN10AU2882</t>
        </is>
      </c>
      <c r="E898" s="20" t="inlineStr">
        <is>
          <t>HYUNDAI</t>
        </is>
      </c>
      <c r="F898" s="20" t="inlineStr">
        <is>
          <t>Creta</t>
        </is>
      </c>
      <c r="G898" s="21" t="n">
        <v>2015</v>
      </c>
      <c r="H898" s="22" t="n">
        <v>77930</v>
      </c>
      <c r="I898" s="22" t="n">
        <v>400000</v>
      </c>
      <c r="J898" s="20" t="inlineStr">
        <is>
          <t>EXCHANGE CHENNAI</t>
        </is>
      </c>
      <c r="K898" s="20" t="inlineStr">
        <is>
          <t>Captive</t>
        </is>
      </c>
      <c r="L898" s="20" t="inlineStr">
        <is>
          <t>Santhosh Cars</t>
        </is>
      </c>
      <c r="M898" s="23" t="n">
        <v>8474.58</v>
      </c>
    </row>
    <row r="899">
      <c r="A899" s="19" t="inlineStr">
        <is>
          <t>FY26</t>
        </is>
      </c>
      <c r="B899" s="19" t="inlineStr">
        <is>
          <t>Mar</t>
        </is>
      </c>
      <c r="C899" s="19" t="inlineStr">
        <is>
          <t>TN</t>
        </is>
      </c>
      <c r="D899" s="20" t="inlineStr">
        <is>
          <t>TN01AY5676</t>
        </is>
      </c>
      <c r="E899" s="20" t="inlineStr">
        <is>
          <t>HONDA</t>
        </is>
      </c>
      <c r="F899" s="20" t="inlineStr">
        <is>
          <t>City</t>
        </is>
      </c>
      <c r="G899" s="21" t="n">
        <v>2015</v>
      </c>
      <c r="H899" s="22" t="n">
        <v>63862</v>
      </c>
      <c r="I899" s="22" t="n">
        <v>410000</v>
      </c>
      <c r="J899" s="20" t="inlineStr">
        <is>
          <t>EXCHANGE CHENNAI</t>
        </is>
      </c>
      <c r="K899" s="20" t="inlineStr">
        <is>
          <t>Captive</t>
        </is>
      </c>
      <c r="L899" s="20" t="inlineStr">
        <is>
          <t>Nirmal Cars</t>
        </is>
      </c>
      <c r="M899" s="23" t="n">
        <v>5932.2</v>
      </c>
    </row>
    <row r="900">
      <c r="A900" s="19" t="inlineStr">
        <is>
          <t>FY26</t>
        </is>
      </c>
      <c r="B900" s="19" t="inlineStr">
        <is>
          <t>Mar</t>
        </is>
      </c>
      <c r="C900" s="19" t="inlineStr">
        <is>
          <t>TN</t>
        </is>
      </c>
      <c r="D900" s="20" t="inlineStr">
        <is>
          <t>TN45BL4986</t>
        </is>
      </c>
      <c r="E900" s="20" t="inlineStr">
        <is>
          <t>MARUTI SUZUKI</t>
        </is>
      </c>
      <c r="F900" s="20" t="inlineStr">
        <is>
          <t>Celerio</t>
        </is>
      </c>
      <c r="G900" s="21" t="n">
        <v>2017</v>
      </c>
      <c r="H900" s="22" t="n">
        <v>213023</v>
      </c>
      <c r="I900" s="22" t="n">
        <v>215000</v>
      </c>
      <c r="J900" s="20" t="inlineStr">
        <is>
          <t>EXCHANGE CHENNAI</t>
        </is>
      </c>
      <c r="K900" s="20" t="inlineStr">
        <is>
          <t>Captive</t>
        </is>
      </c>
      <c r="L900" s="20" t="inlineStr">
        <is>
          <t>Nirmal Cars</t>
        </is>
      </c>
      <c r="M900" s="23" t="n">
        <v>5932.2</v>
      </c>
    </row>
    <row r="901">
      <c r="A901" s="19" t="inlineStr">
        <is>
          <t>FY26</t>
        </is>
      </c>
      <c r="B901" s="19" t="inlineStr">
        <is>
          <t>Mar</t>
        </is>
      </c>
      <c r="C901" s="19" t="inlineStr">
        <is>
          <t>TN</t>
        </is>
      </c>
      <c r="D901" s="20" t="inlineStr">
        <is>
          <t>KA01MQ1419</t>
        </is>
      </c>
      <c r="E901" s="20" t="inlineStr">
        <is>
          <t>HONDA</t>
        </is>
      </c>
      <c r="F901" s="20" t="inlineStr">
        <is>
          <t>Jazz</t>
        </is>
      </c>
      <c r="G901" s="21" t="n">
        <v>2017</v>
      </c>
      <c r="H901" s="22" t="n">
        <v>54881</v>
      </c>
      <c r="I901" s="22" t="n">
        <v>335000</v>
      </c>
      <c r="J901" s="20" t="inlineStr">
        <is>
          <t>EXCHANGE CHENNAI</t>
        </is>
      </c>
      <c r="K901" s="20" t="inlineStr">
        <is>
          <t>Captive</t>
        </is>
      </c>
      <c r="L901" s="20" t="inlineStr">
        <is>
          <t>Essar Preowned Cars</t>
        </is>
      </c>
      <c r="M901" s="23" t="n">
        <v>8474.58</v>
      </c>
    </row>
    <row r="902">
      <c r="A902" s="19" t="inlineStr">
        <is>
          <t>FY26</t>
        </is>
      </c>
      <c r="B902" s="19" t="inlineStr">
        <is>
          <t>Mar</t>
        </is>
      </c>
      <c r="C902" s="19" t="inlineStr">
        <is>
          <t>TN</t>
        </is>
      </c>
      <c r="D902" s="20" t="inlineStr">
        <is>
          <t>TN07CR5838</t>
        </is>
      </c>
      <c r="E902" s="20" t="inlineStr">
        <is>
          <t>MARUTI SUZUKI</t>
        </is>
      </c>
      <c r="F902" s="20" t="inlineStr">
        <is>
          <t>Vitara Brezza</t>
        </is>
      </c>
      <c r="G902" s="21" t="n">
        <v>2018</v>
      </c>
      <c r="H902" s="22" t="n">
        <v>133793</v>
      </c>
      <c r="I902" s="22" t="n">
        <v>560000</v>
      </c>
      <c r="J902" s="20" t="inlineStr">
        <is>
          <t>EXCHANGE CHENNAI</t>
        </is>
      </c>
      <c r="K902" s="20" t="inlineStr">
        <is>
          <t>Captive</t>
        </is>
      </c>
      <c r="L902" s="20" t="inlineStr">
        <is>
          <t>Kamal Cars</t>
        </is>
      </c>
      <c r="M902" s="23" t="n">
        <v>8474.58</v>
      </c>
    </row>
    <row r="903">
      <c r="A903" s="19" t="inlineStr">
        <is>
          <t>FY26</t>
        </is>
      </c>
      <c r="B903" s="19" t="inlineStr">
        <is>
          <t>Mar</t>
        </is>
      </c>
      <c r="C903" s="19" t="inlineStr">
        <is>
          <t>TN</t>
        </is>
      </c>
      <c r="D903" s="20" t="inlineStr">
        <is>
          <t>PY05H0456</t>
        </is>
      </c>
      <c r="E903" s="20" t="inlineStr">
        <is>
          <t>TOYOTA</t>
        </is>
      </c>
      <c r="F903" s="20" t="inlineStr">
        <is>
          <t>Innova</t>
        </is>
      </c>
      <c r="G903" s="21" t="n">
        <v>2019</v>
      </c>
      <c r="H903" s="22" t="n">
        <v>96245</v>
      </c>
      <c r="I903" s="22" t="n">
        <v>1550000</v>
      </c>
      <c r="J903" s="20" t="inlineStr">
        <is>
          <t>EXCHANGE CHENNAI</t>
        </is>
      </c>
      <c r="K903" s="20" t="inlineStr">
        <is>
          <t>Captive</t>
        </is>
      </c>
      <c r="L903" s="20" t="inlineStr">
        <is>
          <t>Santhosh Cars</t>
        </is>
      </c>
      <c r="M903" s="23" t="n">
        <v>12711.86</v>
      </c>
    </row>
    <row r="904">
      <c r="A904" s="19" t="inlineStr">
        <is>
          <t>FY26</t>
        </is>
      </c>
      <c r="B904" s="19" t="inlineStr">
        <is>
          <t>Mar</t>
        </is>
      </c>
      <c r="C904" s="19" t="inlineStr">
        <is>
          <t>TN</t>
        </is>
      </c>
      <c r="D904" s="20" t="inlineStr">
        <is>
          <t>TN01BH5973</t>
        </is>
      </c>
      <c r="E904" s="20" t="inlineStr">
        <is>
          <t>HONDA</t>
        </is>
      </c>
      <c r="F904" s="20" t="inlineStr">
        <is>
          <t>Amaze</t>
        </is>
      </c>
      <c r="G904" s="21" t="n">
        <v>2019</v>
      </c>
      <c r="H904" s="22" t="n">
        <v>236917</v>
      </c>
      <c r="I904" s="22" t="n">
        <v>500000</v>
      </c>
      <c r="J904" s="20" t="inlineStr">
        <is>
          <t>EXCHANGE CHENNAI</t>
        </is>
      </c>
      <c r="K904" s="20" t="inlineStr">
        <is>
          <t>Captive</t>
        </is>
      </c>
      <c r="L904" s="20" t="inlineStr">
        <is>
          <t>AS Cars Gopi</t>
        </is>
      </c>
      <c r="M904" s="23" t="n">
        <v>8474.58</v>
      </c>
    </row>
    <row r="905">
      <c r="A905" s="19" t="inlineStr">
        <is>
          <t>FY26</t>
        </is>
      </c>
      <c r="B905" s="19" t="inlineStr">
        <is>
          <t>Mar</t>
        </is>
      </c>
      <c r="C905" s="19" t="inlineStr">
        <is>
          <t>TN</t>
        </is>
      </c>
      <c r="D905" s="20" t="inlineStr">
        <is>
          <t>TN18U9079</t>
        </is>
      </c>
      <c r="E905" s="20" t="inlineStr">
        <is>
          <t>MARUTI SUZUKI</t>
        </is>
      </c>
      <c r="F905" s="20" t="inlineStr">
        <is>
          <t>Wagon R</t>
        </is>
      </c>
      <c r="G905" s="21" t="n">
        <v>2013</v>
      </c>
      <c r="H905" s="22" t="n">
        <v>99295</v>
      </c>
      <c r="I905" s="22" t="n">
        <v>200000</v>
      </c>
      <c r="J905" s="20" t="inlineStr">
        <is>
          <t>Khivraj Motor</t>
        </is>
      </c>
      <c r="K905" s="20" t="inlineStr">
        <is>
          <t>Non-Captive</t>
        </is>
      </c>
      <c r="L905" s="20" t="inlineStr">
        <is>
          <t>Sri Shakthi Vinayaga Cars</t>
        </is>
      </c>
      <c r="M905" s="23" t="n">
        <v>5084.75</v>
      </c>
    </row>
    <row r="906">
      <c r="A906" s="19" t="inlineStr">
        <is>
          <t>FY26</t>
        </is>
      </c>
      <c r="B906" s="19" t="inlineStr">
        <is>
          <t>Mar</t>
        </is>
      </c>
      <c r="C906" s="19" t="inlineStr">
        <is>
          <t>TN</t>
        </is>
      </c>
      <c r="D906" s="20" t="inlineStr">
        <is>
          <t>TN55AM8479</t>
        </is>
      </c>
      <c r="E906" s="20" t="inlineStr">
        <is>
          <t>MARUTI SUZUKI</t>
        </is>
      </c>
      <c r="F906" s="20" t="inlineStr">
        <is>
          <t>Ertiga</t>
        </is>
      </c>
      <c r="G906" s="21" t="n">
        <v>2015</v>
      </c>
      <c r="H906" s="22" t="n">
        <v>125468</v>
      </c>
      <c r="I906" s="22" t="n">
        <v>580000</v>
      </c>
      <c r="J906" s="20" t="inlineStr">
        <is>
          <t>Khivraj Motor</t>
        </is>
      </c>
      <c r="K906" s="20" t="inlineStr">
        <is>
          <t>Non-Captive</t>
        </is>
      </c>
      <c r="L906" s="20" t="inlineStr">
        <is>
          <t>Popular Thrissur</t>
        </is>
      </c>
      <c r="M906" s="23" t="n">
        <v>5932.2</v>
      </c>
    </row>
    <row r="907">
      <c r="A907" s="19" t="inlineStr">
        <is>
          <t>FY26</t>
        </is>
      </c>
      <c r="B907" s="19" t="inlineStr">
        <is>
          <t>Mar</t>
        </is>
      </c>
      <c r="C907" s="19" t="inlineStr">
        <is>
          <t>TN</t>
        </is>
      </c>
      <c r="D907" s="20" t="inlineStr">
        <is>
          <t>KL34E4223</t>
        </is>
      </c>
      <c r="E907" s="20" t="inlineStr">
        <is>
          <t>HYUNDAI</t>
        </is>
      </c>
      <c r="F907" s="20" t="inlineStr">
        <is>
          <t>Grand I10</t>
        </is>
      </c>
      <c r="G907" s="21" t="n">
        <v>2017</v>
      </c>
      <c r="H907" s="22" t="n">
        <v>25982</v>
      </c>
      <c r="I907" s="22" t="n">
        <v>335000</v>
      </c>
      <c r="J907" s="20" t="inlineStr">
        <is>
          <t>Nippon Motor Corporation Pvt Ltd</t>
        </is>
      </c>
      <c r="K907" s="20" t="inlineStr">
        <is>
          <t>Non-Captive</t>
        </is>
      </c>
      <c r="L907" s="20" t="inlineStr">
        <is>
          <t>Popular Thrissur</t>
        </is>
      </c>
      <c r="M907" s="23" t="n">
        <v>5000</v>
      </c>
    </row>
    <row r="908">
      <c r="A908" s="19" t="inlineStr">
        <is>
          <t>FY26</t>
        </is>
      </c>
      <c r="B908" s="19" t="inlineStr">
        <is>
          <t>Mar</t>
        </is>
      </c>
      <c r="C908" s="19" t="inlineStr">
        <is>
          <t>TN</t>
        </is>
      </c>
      <c r="D908" s="20" t="inlineStr">
        <is>
          <t>KL01CC4065</t>
        </is>
      </c>
      <c r="E908" s="20" t="inlineStr">
        <is>
          <t>MARUTI SUZUKI</t>
        </is>
      </c>
      <c r="F908" s="20" t="inlineStr">
        <is>
          <t>Wagon R</t>
        </is>
      </c>
      <c r="G908" s="21" t="n">
        <v>2017</v>
      </c>
      <c r="H908" s="22" t="n">
        <v>48254</v>
      </c>
      <c r="I908" s="22" t="n">
        <v>375000</v>
      </c>
      <c r="J908" s="20" t="inlineStr">
        <is>
          <t>Popular Motorworld pvt Ltd</t>
        </is>
      </c>
      <c r="K908" s="20" t="inlineStr">
        <is>
          <t>Non-Captive</t>
        </is>
      </c>
      <c r="L908" s="20" t="inlineStr">
        <is>
          <t>Popular Thrissur</t>
        </is>
      </c>
      <c r="M908" s="23" t="n">
        <v>5000</v>
      </c>
    </row>
    <row r="909">
      <c r="A909" s="19" t="inlineStr">
        <is>
          <t>FY26</t>
        </is>
      </c>
      <c r="B909" s="19" t="inlineStr">
        <is>
          <t>Mar</t>
        </is>
      </c>
      <c r="C909" s="19" t="inlineStr">
        <is>
          <t>TN</t>
        </is>
      </c>
      <c r="D909" s="20" t="inlineStr">
        <is>
          <t>KL16N6842</t>
        </is>
      </c>
      <c r="E909" s="20" t="inlineStr">
        <is>
          <t>MARUTI SUZUKI</t>
        </is>
      </c>
      <c r="F909" s="20" t="inlineStr">
        <is>
          <t>Wagon R</t>
        </is>
      </c>
      <c r="G909" s="21" t="n">
        <v>2015</v>
      </c>
      <c r="H909" s="22" t="n">
        <v>129865</v>
      </c>
      <c r="I909" s="22" t="n">
        <v>200000</v>
      </c>
      <c r="J909" s="20" t="inlineStr">
        <is>
          <t>Nippon Motor Corporation Pvt Ltd</t>
        </is>
      </c>
      <c r="K909" s="20" t="inlineStr">
        <is>
          <t>Non-Captive</t>
        </is>
      </c>
      <c r="L909" s="20" t="inlineStr">
        <is>
          <t>Shamnad AH</t>
        </is>
      </c>
      <c r="M909" s="23" t="n">
        <v>5932.2</v>
      </c>
    </row>
    <row r="910">
      <c r="A910" s="19" t="inlineStr">
        <is>
          <t>FY26</t>
        </is>
      </c>
      <c r="B910" s="19" t="inlineStr">
        <is>
          <t>Mar</t>
        </is>
      </c>
      <c r="C910" s="19" t="inlineStr">
        <is>
          <t>TN</t>
        </is>
      </c>
      <c r="D910" s="20" t="inlineStr">
        <is>
          <t>KL16R7868</t>
        </is>
      </c>
      <c r="E910" s="20" t="inlineStr">
        <is>
          <t>MARUTI SUZUKI</t>
        </is>
      </c>
      <c r="F910" s="20" t="inlineStr">
        <is>
          <t>Swift</t>
        </is>
      </c>
      <c r="G910" s="21" t="n">
        <v>2017</v>
      </c>
      <c r="H910" s="22" t="n">
        <v>66859</v>
      </c>
      <c r="I910" s="22" t="n">
        <v>420000</v>
      </c>
      <c r="J910" s="20" t="inlineStr">
        <is>
          <t>FORTUNE MALAYALAM AUTOMOBILES PRIVATE LIMITED</t>
        </is>
      </c>
      <c r="K910" s="20" t="inlineStr">
        <is>
          <t>Non-Captive</t>
        </is>
      </c>
      <c r="L910" s="20" t="inlineStr">
        <is>
          <t>Popular Alleppy</t>
        </is>
      </c>
      <c r="M910" s="23" t="n">
        <v>5000</v>
      </c>
    </row>
    <row r="911">
      <c r="A911" s="19" t="inlineStr">
        <is>
          <t>FY26</t>
        </is>
      </c>
      <c r="B911" s="19" t="inlineStr">
        <is>
          <t>Mar</t>
        </is>
      </c>
      <c r="C911" s="19" t="inlineStr">
        <is>
          <t>TN</t>
        </is>
      </c>
      <c r="D911" s="20" t="inlineStr">
        <is>
          <t>KL01CS0135</t>
        </is>
      </c>
      <c r="E911" s="20" t="inlineStr">
        <is>
          <t>MARUTI SUZUKI</t>
        </is>
      </c>
      <c r="F911" s="20" t="inlineStr">
        <is>
          <t>Brezza</t>
        </is>
      </c>
      <c r="G911" s="21" t="n">
        <v>2021</v>
      </c>
      <c r="H911" s="22" t="n">
        <v>76567</v>
      </c>
      <c r="I911" s="22" t="n">
        <v>650000</v>
      </c>
      <c r="J911" s="20" t="inlineStr">
        <is>
          <t>DERIK MOTORS PRIVATE LIMITED</t>
        </is>
      </c>
      <c r="K911" s="20" t="inlineStr">
        <is>
          <t>Non-Captive</t>
        </is>
      </c>
      <c r="L911" s="20" t="inlineStr">
        <is>
          <t>Popular Thrissur</t>
        </is>
      </c>
      <c r="M911" s="23" t="n">
        <v>5000</v>
      </c>
    </row>
    <row r="912">
      <c r="A912" s="19" t="inlineStr">
        <is>
          <t>FY26</t>
        </is>
      </c>
      <c r="B912" s="19" t="inlineStr">
        <is>
          <t>Mar</t>
        </is>
      </c>
      <c r="C912" s="19" t="inlineStr">
        <is>
          <t>TN</t>
        </is>
      </c>
      <c r="D912" s="20" t="inlineStr">
        <is>
          <t>KL01CE4878</t>
        </is>
      </c>
      <c r="E912" s="20" t="inlineStr">
        <is>
          <t>MARUTI SUZUKI</t>
        </is>
      </c>
      <c r="F912" s="20" t="inlineStr">
        <is>
          <t>Ignis</t>
        </is>
      </c>
      <c r="G912" s="21" t="n">
        <v>2017</v>
      </c>
      <c r="H912" s="22" t="n">
        <v>45132</v>
      </c>
      <c r="I912" s="22" t="n">
        <v>450000</v>
      </c>
      <c r="J912" s="20" t="inlineStr">
        <is>
          <t>DERIK MOTORS PRIVATE LIMITED</t>
        </is>
      </c>
      <c r="K912" s="20" t="inlineStr">
        <is>
          <t>Non-Captive</t>
        </is>
      </c>
      <c r="L912" s="20" t="inlineStr">
        <is>
          <t>Popular Thrissur</t>
        </is>
      </c>
      <c r="M912" s="23" t="n">
        <v>5000</v>
      </c>
    </row>
    <row r="913">
      <c r="A913" s="19" t="inlineStr">
        <is>
          <t>FY26</t>
        </is>
      </c>
      <c r="B913" s="19" t="inlineStr">
        <is>
          <t>Mar</t>
        </is>
      </c>
      <c r="C913" s="19" t="inlineStr">
        <is>
          <t>TN</t>
        </is>
      </c>
      <c r="D913" s="20" t="inlineStr">
        <is>
          <t>KL01BQ9346</t>
        </is>
      </c>
      <c r="E913" s="20" t="inlineStr">
        <is>
          <t>MARUTI SUZUKI</t>
        </is>
      </c>
      <c r="F913" s="20" t="inlineStr">
        <is>
          <t>Celerio</t>
        </is>
      </c>
      <c r="G913" s="21" t="n">
        <v>2014</v>
      </c>
      <c r="H913" s="22" t="n">
        <v>67520</v>
      </c>
      <c r="I913" s="22" t="n">
        <v>280000</v>
      </c>
      <c r="J913" s="20" t="inlineStr">
        <is>
          <t>DERIK MOTORS PRIVATE LIMITED</t>
        </is>
      </c>
      <c r="K913" s="20" t="inlineStr">
        <is>
          <t>Non-Captive</t>
        </is>
      </c>
      <c r="L913" s="20" t="inlineStr">
        <is>
          <t>Popular Thrissur</t>
        </is>
      </c>
      <c r="M913" s="23" t="n">
        <v>5000</v>
      </c>
    </row>
    <row r="914">
      <c r="A914" s="19" t="inlineStr">
        <is>
          <t>FY26</t>
        </is>
      </c>
      <c r="B914" s="19" t="inlineStr">
        <is>
          <t>Mar</t>
        </is>
      </c>
      <c r="C914" s="19" t="inlineStr">
        <is>
          <t>TN</t>
        </is>
      </c>
      <c r="D914" s="20" t="inlineStr">
        <is>
          <t>KL51E1985</t>
        </is>
      </c>
      <c r="E914" s="20" t="inlineStr">
        <is>
          <t>NISSAN</t>
        </is>
      </c>
      <c r="F914" s="20" t="inlineStr">
        <is>
          <t>Sunny</t>
        </is>
      </c>
      <c r="G914" s="21" t="n">
        <v>2013</v>
      </c>
      <c r="H914" s="22" t="n">
        <v>126799</v>
      </c>
      <c r="I914" s="22" t="n">
        <v>150000</v>
      </c>
      <c r="J914" s="20" t="inlineStr">
        <is>
          <t>EXCHANGE ROTN</t>
        </is>
      </c>
      <c r="K914" s="20" t="inlineStr">
        <is>
          <t>Captive</t>
        </is>
      </c>
      <c r="L914" s="20" t="inlineStr">
        <is>
          <t>Sai Cars</t>
        </is>
      </c>
      <c r="M914" s="23" t="n">
        <v>4237.29</v>
      </c>
    </row>
    <row r="915">
      <c r="A915" s="19" t="inlineStr">
        <is>
          <t>FY26</t>
        </is>
      </c>
      <c r="B915" s="19" t="inlineStr">
        <is>
          <t>Mar</t>
        </is>
      </c>
      <c r="C915" s="19" t="inlineStr">
        <is>
          <t>TN</t>
        </is>
      </c>
      <c r="D915" s="20" t="inlineStr">
        <is>
          <t>TN65AB9560</t>
        </is>
      </c>
      <c r="E915" s="20" t="inlineStr">
        <is>
          <t>MARUTI SUZUKI</t>
        </is>
      </c>
      <c r="F915" s="20" t="inlineStr">
        <is>
          <t>Celerio</t>
        </is>
      </c>
      <c r="G915" s="21" t="n">
        <v>2016</v>
      </c>
      <c r="H915" s="22" t="n">
        <v>96373</v>
      </c>
      <c r="I915" s="22" t="n">
        <v>270000</v>
      </c>
      <c r="J915" s="20" t="inlineStr">
        <is>
          <t>EXCHANGE ROTN</t>
        </is>
      </c>
      <c r="K915" s="20" t="inlineStr">
        <is>
          <t>Captive</t>
        </is>
      </c>
      <c r="L915" s="20" t="inlineStr">
        <is>
          <t>Value Cars</t>
        </is>
      </c>
      <c r="M915" s="23" t="n">
        <v>4237.29</v>
      </c>
    </row>
    <row r="916">
      <c r="A916" s="19" t="inlineStr">
        <is>
          <t>FY26</t>
        </is>
      </c>
      <c r="B916" s="19" t="inlineStr">
        <is>
          <t>Mar</t>
        </is>
      </c>
      <c r="C916" s="19" t="inlineStr">
        <is>
          <t>TN</t>
        </is>
      </c>
      <c r="D916" s="20" t="inlineStr">
        <is>
          <t>TN09AB6060</t>
        </is>
      </c>
      <c r="E916" s="20" t="inlineStr">
        <is>
          <t>MARUTI SUZUKI</t>
        </is>
      </c>
      <c r="F916" s="20" t="inlineStr">
        <is>
          <t>Alto</t>
        </is>
      </c>
      <c r="G916" s="21" t="n">
        <v>2003</v>
      </c>
      <c r="H916" s="22" t="n">
        <v>65227</v>
      </c>
      <c r="I916" s="22" t="n">
        <v>20000</v>
      </c>
      <c r="J916" s="20" t="inlineStr">
        <is>
          <t>EXCHANGE ROTN</t>
        </is>
      </c>
      <c r="K916" s="20" t="inlineStr">
        <is>
          <t>Captive</t>
        </is>
      </c>
      <c r="L916" s="20" t="inlineStr">
        <is>
          <t>YUGA DHEERAN CARS</t>
        </is>
      </c>
      <c r="M916" s="23" t="n">
        <v>4237.29</v>
      </c>
    </row>
    <row r="917">
      <c r="A917" s="19" t="inlineStr">
        <is>
          <t>FY26</t>
        </is>
      </c>
      <c r="B917" s="19" t="inlineStr">
        <is>
          <t>Mar</t>
        </is>
      </c>
      <c r="C917" s="19" t="inlineStr">
        <is>
          <t>TN</t>
        </is>
      </c>
      <c r="D917" s="20" t="inlineStr">
        <is>
          <t>TN27L7620</t>
        </is>
      </c>
      <c r="E917" s="20" t="inlineStr">
        <is>
          <t>MARUTI SUZUKI</t>
        </is>
      </c>
      <c r="F917" s="20" t="inlineStr">
        <is>
          <t>Alto</t>
        </is>
      </c>
      <c r="G917" s="21" t="n">
        <v>1999</v>
      </c>
      <c r="H917" s="22" t="n">
        <v>99525</v>
      </c>
      <c r="I917" s="22" t="n">
        <v>30000</v>
      </c>
      <c r="J917" s="20" t="inlineStr">
        <is>
          <t>SRI LAKSHMI CARS</t>
        </is>
      </c>
      <c r="K917" s="20" t="inlineStr">
        <is>
          <t>Non-Captive</t>
        </is>
      </c>
      <c r="L917" s="20" t="inlineStr">
        <is>
          <t>MSV Car Painting</t>
        </is>
      </c>
      <c r="M917" s="23" t="n">
        <v>4237.29</v>
      </c>
    </row>
    <row r="918">
      <c r="A918" s="19" t="inlineStr">
        <is>
          <t>FY26</t>
        </is>
      </c>
      <c r="B918" s="19" t="inlineStr">
        <is>
          <t>Mar</t>
        </is>
      </c>
      <c r="C918" s="19" t="inlineStr">
        <is>
          <t>TN</t>
        </is>
      </c>
      <c r="D918" s="20" t="inlineStr">
        <is>
          <t>TN66B5733</t>
        </is>
      </c>
      <c r="E918" s="20" t="inlineStr">
        <is>
          <t>VOLKSWAGEN</t>
        </is>
      </c>
      <c r="F918" s="20" t="inlineStr">
        <is>
          <t>Polo</t>
        </is>
      </c>
      <c r="G918" s="21" t="n">
        <v>2010</v>
      </c>
      <c r="H918" s="22" t="n">
        <v>162694</v>
      </c>
      <c r="I918" s="22" t="n">
        <v>180000</v>
      </c>
      <c r="J918" s="20" t="inlineStr">
        <is>
          <t>EXCHANGE ROTN</t>
        </is>
      </c>
      <c r="K918" s="20" t="inlineStr">
        <is>
          <t>Captive</t>
        </is>
      </c>
      <c r="L918" s="20" t="inlineStr">
        <is>
          <t>Sarvesh Cars</t>
        </is>
      </c>
      <c r="M918" s="23" t="n">
        <v>4237.29</v>
      </c>
    </row>
    <row r="919">
      <c r="A919" s="19" t="inlineStr">
        <is>
          <t>FY26</t>
        </is>
      </c>
      <c r="B919" s="19" t="inlineStr">
        <is>
          <t>Mar</t>
        </is>
      </c>
      <c r="C919" s="19" t="inlineStr">
        <is>
          <t>TN</t>
        </is>
      </c>
      <c r="D919" s="20" t="inlineStr">
        <is>
          <t>TN38DF2431</t>
        </is>
      </c>
      <c r="E919" s="20" t="inlineStr">
        <is>
          <t>HYUNDAI</t>
        </is>
      </c>
      <c r="F919" s="20" t="inlineStr">
        <is>
          <t>Venue</t>
        </is>
      </c>
      <c r="G919" s="21" t="n">
        <v>2023</v>
      </c>
      <c r="H919" s="22" t="n">
        <v>40007</v>
      </c>
      <c r="I919" s="22" t="n">
        <v>860000</v>
      </c>
      <c r="J919" s="20" t="inlineStr">
        <is>
          <t>EXCHANGE ROTN</t>
        </is>
      </c>
      <c r="K919" s="20" t="inlineStr">
        <is>
          <t>Captive</t>
        </is>
      </c>
      <c r="L919" s="20" t="inlineStr">
        <is>
          <t>Sarvesh Cars</t>
        </is>
      </c>
      <c r="M919" s="23" t="n">
        <v>4237.29</v>
      </c>
    </row>
    <row r="920">
      <c r="A920" s="19" t="inlineStr">
        <is>
          <t>FY26</t>
        </is>
      </c>
      <c r="B920" s="19" t="inlineStr">
        <is>
          <t>Mar</t>
        </is>
      </c>
      <c r="C920" s="19" t="inlineStr">
        <is>
          <t>TN</t>
        </is>
      </c>
      <c r="D920" s="20" t="inlineStr">
        <is>
          <t>TN67AA8321</t>
        </is>
      </c>
      <c r="E920" s="20" t="inlineStr">
        <is>
          <t>FORD</t>
        </is>
      </c>
      <c r="F920" s="20" t="inlineStr">
        <is>
          <t>Ikon</t>
        </is>
      </c>
      <c r="G920" s="21" t="n">
        <v>2009</v>
      </c>
      <c r="H920" s="22" t="n">
        <v>325000</v>
      </c>
      <c r="I920" s="22" t="n">
        <v>45000</v>
      </c>
      <c r="J920" s="20" t="inlineStr">
        <is>
          <t>EXCHANGE ROTN</t>
        </is>
      </c>
      <c r="K920" s="20" t="inlineStr">
        <is>
          <t>Captive</t>
        </is>
      </c>
      <c r="L920" s="20" t="inlineStr">
        <is>
          <t>Saravana Cars</t>
        </is>
      </c>
      <c r="M920" s="23" t="n">
        <v>4237.29</v>
      </c>
    </row>
    <row r="921">
      <c r="A921" s="19" t="inlineStr">
        <is>
          <t>FY26</t>
        </is>
      </c>
      <c r="B921" s="19" t="inlineStr">
        <is>
          <t>Mar</t>
        </is>
      </c>
      <c r="C921" s="19" t="inlineStr">
        <is>
          <t>TN</t>
        </is>
      </c>
      <c r="D921" s="20" t="inlineStr">
        <is>
          <t>TN72P4208</t>
        </is>
      </c>
      <c r="E921" s="20" t="inlineStr">
        <is>
          <t>HYUNDAI</t>
        </is>
      </c>
      <c r="F921" s="20" t="inlineStr">
        <is>
          <t>Santro</t>
        </is>
      </c>
      <c r="G921" s="21" t="n">
        <v>2010</v>
      </c>
      <c r="H921" s="22" t="n">
        <v>89234</v>
      </c>
      <c r="I921" s="22" t="n">
        <v>90000</v>
      </c>
      <c r="J921" s="20" t="inlineStr">
        <is>
          <t>EXCHANGE ROTN</t>
        </is>
      </c>
      <c r="K921" s="20" t="inlineStr">
        <is>
          <t>Captive</t>
        </is>
      </c>
      <c r="L921" s="20" t="inlineStr">
        <is>
          <t>Value Cars</t>
        </is>
      </c>
      <c r="M921" s="23" t="n">
        <v>4237.29</v>
      </c>
    </row>
    <row r="922">
      <c r="A922" s="19" t="inlineStr">
        <is>
          <t>FY26</t>
        </is>
      </c>
      <c r="B922" s="19" t="inlineStr">
        <is>
          <t>Mar</t>
        </is>
      </c>
      <c r="C922" s="19" t="inlineStr">
        <is>
          <t>TN</t>
        </is>
      </c>
      <c r="D922" s="20" t="inlineStr">
        <is>
          <t>TN11AE9823</t>
        </is>
      </c>
      <c r="E922" s="20" t="inlineStr">
        <is>
          <t>MARUTI SUZUKI</t>
        </is>
      </c>
      <c r="F922" s="20" t="inlineStr">
        <is>
          <t>Ciaz Smart Hybrid</t>
        </is>
      </c>
      <c r="G922" s="21" t="n">
        <v>2018</v>
      </c>
      <c r="H922" s="22" t="n">
        <v>46761</v>
      </c>
      <c r="I922" s="22" t="n">
        <v>300000</v>
      </c>
      <c r="J922" s="20" t="inlineStr">
        <is>
          <t>Ramani Cars Group</t>
        </is>
      </c>
      <c r="K922" s="20" t="inlineStr">
        <is>
          <t>Non-Captive</t>
        </is>
      </c>
      <c r="L922" s="20" t="inlineStr">
        <is>
          <t>Saravana Cars</t>
        </is>
      </c>
      <c r="M922" s="23" t="n">
        <v>4237.29</v>
      </c>
    </row>
    <row r="923">
      <c r="A923" s="19" t="inlineStr">
        <is>
          <t>FY26</t>
        </is>
      </c>
      <c r="B923" s="19" t="inlineStr">
        <is>
          <t>Mar</t>
        </is>
      </c>
      <c r="C923" s="19" t="inlineStr">
        <is>
          <t>TN</t>
        </is>
      </c>
      <c r="D923" s="20" t="inlineStr">
        <is>
          <t>TN63AV1252</t>
        </is>
      </c>
      <c r="E923" s="20" t="inlineStr">
        <is>
          <t>CHEVROLET</t>
        </is>
      </c>
      <c r="F923" s="20" t="inlineStr">
        <is>
          <t>Enjoy</t>
        </is>
      </c>
      <c r="G923" s="21" t="n">
        <v>2013</v>
      </c>
      <c r="H923" s="22" t="n">
        <v>83507</v>
      </c>
      <c r="I923" s="22" t="n">
        <v>120000</v>
      </c>
      <c r="J923" s="20" t="inlineStr">
        <is>
          <t>Anaamalais Toyota</t>
        </is>
      </c>
      <c r="K923" s="20" t="inlineStr">
        <is>
          <t>Non-Captive</t>
        </is>
      </c>
      <c r="L923" s="20" t="inlineStr">
        <is>
          <t>Saravana Cars</t>
        </is>
      </c>
      <c r="M923" s="23" t="n">
        <v>4237.29</v>
      </c>
    </row>
    <row r="924">
      <c r="A924" s="19" t="inlineStr">
        <is>
          <t>FY26</t>
        </is>
      </c>
      <c r="B924" s="19" t="inlineStr">
        <is>
          <t>Mar</t>
        </is>
      </c>
      <c r="C924" s="19" t="inlineStr">
        <is>
          <t>TN</t>
        </is>
      </c>
      <c r="D924" s="20" t="inlineStr">
        <is>
          <t>TN66L4059</t>
        </is>
      </c>
      <c r="E924" s="20" t="inlineStr">
        <is>
          <t>MARUTI SUZUKI</t>
        </is>
      </c>
      <c r="F924" s="20" t="inlineStr">
        <is>
          <t>Celerio</t>
        </is>
      </c>
      <c r="G924" s="21" t="n">
        <v>2014</v>
      </c>
      <c r="H924" s="22" t="n">
        <v>47326</v>
      </c>
      <c r="I924" s="22" t="n">
        <v>180000</v>
      </c>
      <c r="J924" s="20" t="inlineStr">
        <is>
          <t>EXCHANGE ROTN</t>
        </is>
      </c>
      <c r="K924" s="20" t="inlineStr">
        <is>
          <t>Captive</t>
        </is>
      </c>
      <c r="L924" s="20" t="inlineStr">
        <is>
          <t>SRI RAJA KANAPATHY CARS</t>
        </is>
      </c>
      <c r="M924" s="23" t="n">
        <v>4237.29</v>
      </c>
    </row>
    <row r="925">
      <c r="A925" s="19" t="inlineStr">
        <is>
          <t>FY26</t>
        </is>
      </c>
      <c r="B925" s="19" t="inlineStr">
        <is>
          <t>Mar</t>
        </is>
      </c>
      <c r="C925" s="19" t="inlineStr">
        <is>
          <t>TN</t>
        </is>
      </c>
      <c r="D925" s="20" t="inlineStr">
        <is>
          <t>TN37CT0264</t>
        </is>
      </c>
      <c r="E925" s="20" t="inlineStr">
        <is>
          <t>MARUTI SUZUKI</t>
        </is>
      </c>
      <c r="F925" s="20" t="inlineStr">
        <is>
          <t>Vitara Brezza</t>
        </is>
      </c>
      <c r="G925" s="21" t="n">
        <v>2017</v>
      </c>
      <c r="H925" s="22" t="n">
        <v>43029</v>
      </c>
      <c r="I925" s="22" t="n">
        <v>310000</v>
      </c>
      <c r="J925" s="20" t="inlineStr">
        <is>
          <t>EXCHANGE ROTN</t>
        </is>
      </c>
      <c r="K925" s="20" t="inlineStr">
        <is>
          <t>Captive</t>
        </is>
      </c>
      <c r="L925" s="20" t="inlineStr">
        <is>
          <t>Dheera Cars</t>
        </is>
      </c>
      <c r="M925" s="23" t="n">
        <v>4237.29</v>
      </c>
    </row>
    <row r="926">
      <c r="A926" s="19" t="inlineStr">
        <is>
          <t>FY26</t>
        </is>
      </c>
      <c r="B926" s="19" t="inlineStr">
        <is>
          <t>Mar</t>
        </is>
      </c>
      <c r="C926" s="19" t="inlineStr">
        <is>
          <t>TN</t>
        </is>
      </c>
      <c r="D926" s="20" t="inlineStr">
        <is>
          <t>TN58AQ9983</t>
        </is>
      </c>
      <c r="E926" s="20" t="inlineStr">
        <is>
          <t>HYUNDAI</t>
        </is>
      </c>
      <c r="F926" s="20" t="inlineStr">
        <is>
          <t>I20</t>
        </is>
      </c>
      <c r="G926" s="21" t="n">
        <v>2017</v>
      </c>
      <c r="H926" s="22" t="n">
        <v>83797</v>
      </c>
      <c r="I926" s="22" t="n">
        <v>215000</v>
      </c>
      <c r="J926" s="20" t="inlineStr">
        <is>
          <t>EXCHANGE ROTN</t>
        </is>
      </c>
      <c r="K926" s="20" t="inlineStr">
        <is>
          <t>Captive</t>
        </is>
      </c>
      <c r="L926" s="20" t="inlineStr">
        <is>
          <t>Dheera Cars</t>
        </is>
      </c>
      <c r="M926" s="23" t="n">
        <v>4237.29</v>
      </c>
    </row>
    <row r="927">
      <c r="A927" s="19" t="inlineStr">
        <is>
          <t>FY26</t>
        </is>
      </c>
      <c r="B927" s="19" t="inlineStr">
        <is>
          <t>Mar</t>
        </is>
      </c>
      <c r="C927" s="19" t="inlineStr">
        <is>
          <t>TN</t>
        </is>
      </c>
      <c r="D927" s="20" t="inlineStr">
        <is>
          <t>TN39BK7835</t>
        </is>
      </c>
      <c r="E927" s="20" t="inlineStr">
        <is>
          <t>SKODA</t>
        </is>
      </c>
      <c r="F927" s="20" t="inlineStr">
        <is>
          <t>Rapid</t>
        </is>
      </c>
      <c r="G927" s="21" t="n">
        <v>2013</v>
      </c>
      <c r="H927" s="22" t="n">
        <v>160178</v>
      </c>
      <c r="I927" s="22" t="n">
        <v>195000</v>
      </c>
      <c r="J927" s="20" t="inlineStr">
        <is>
          <t>EXCHANGE ROTN</t>
        </is>
      </c>
      <c r="K927" s="20" t="inlineStr">
        <is>
          <t>Captive</t>
        </is>
      </c>
      <c r="L927" s="20" t="inlineStr">
        <is>
          <t>Senthur Finance</t>
        </is>
      </c>
      <c r="M927" s="23" t="n">
        <v>4237.29</v>
      </c>
    </row>
    <row r="928">
      <c r="A928" s="19" t="inlineStr">
        <is>
          <t>FY26</t>
        </is>
      </c>
      <c r="B928" s="19" t="inlineStr">
        <is>
          <t>Mar</t>
        </is>
      </c>
      <c r="C928" s="19" t="inlineStr">
        <is>
          <t>TN</t>
        </is>
      </c>
      <c r="D928" s="20" t="inlineStr">
        <is>
          <t>TN41T3223</t>
        </is>
      </c>
      <c r="E928" s="20" t="inlineStr">
        <is>
          <t>MARUTI SUZUKI</t>
        </is>
      </c>
      <c r="F928" s="20" t="inlineStr">
        <is>
          <t>Swift Dzire</t>
        </is>
      </c>
      <c r="G928" s="21" t="n">
        <v>2009</v>
      </c>
      <c r="H928" s="22" t="n">
        <v>365393</v>
      </c>
      <c r="I928" s="22" t="n">
        <v>275000</v>
      </c>
      <c r="J928" s="20" t="inlineStr">
        <is>
          <t>EXCHANGE ROTN</t>
        </is>
      </c>
      <c r="K928" s="20" t="inlineStr">
        <is>
          <t>Captive</t>
        </is>
      </c>
      <c r="L928" s="20" t="inlineStr">
        <is>
          <t>PURUSOTHAMAN J CARS</t>
        </is>
      </c>
      <c r="M928" s="23" t="n">
        <v>4237.29</v>
      </c>
    </row>
    <row r="929">
      <c r="A929" s="19" t="inlineStr">
        <is>
          <t>FY26</t>
        </is>
      </c>
      <c r="B929" s="19" t="inlineStr">
        <is>
          <t>Mar</t>
        </is>
      </c>
      <c r="C929" s="19" t="inlineStr">
        <is>
          <t>TN</t>
        </is>
      </c>
      <c r="D929" s="20" t="inlineStr">
        <is>
          <t>TN66M2071</t>
        </is>
      </c>
      <c r="E929" s="20" t="inlineStr">
        <is>
          <t>MARUTI SUZUKI</t>
        </is>
      </c>
      <c r="F929" s="20" t="inlineStr">
        <is>
          <t>Wagon R</t>
        </is>
      </c>
      <c r="G929" s="21" t="n">
        <v>2014</v>
      </c>
      <c r="H929" s="22" t="n">
        <v>98357</v>
      </c>
      <c r="I929" s="22" t="n">
        <v>210000</v>
      </c>
      <c r="J929" s="20" t="inlineStr">
        <is>
          <t>EXCHANGE ROTN</t>
        </is>
      </c>
      <c r="K929" s="20" t="inlineStr">
        <is>
          <t>Captive</t>
        </is>
      </c>
      <c r="L929" s="20" t="inlineStr">
        <is>
          <t>PURUSOTHAMAN J CARS</t>
        </is>
      </c>
      <c r="M929" s="23" t="n">
        <v>4237.29</v>
      </c>
    </row>
    <row r="930">
      <c r="A930" s="19" t="inlineStr">
        <is>
          <t>FY26</t>
        </is>
      </c>
      <c r="B930" s="19" t="inlineStr">
        <is>
          <t>Mar</t>
        </is>
      </c>
      <c r="C930" s="19" t="inlineStr">
        <is>
          <t>TN</t>
        </is>
      </c>
      <c r="D930" s="20" t="inlineStr">
        <is>
          <t>TN38BP1082</t>
        </is>
      </c>
      <c r="E930" s="20" t="inlineStr">
        <is>
          <t>TOYOTA</t>
        </is>
      </c>
      <c r="F930" s="20" t="inlineStr">
        <is>
          <t>Corolla</t>
        </is>
      </c>
      <c r="G930" s="21" t="n">
        <v>2012</v>
      </c>
      <c r="H930" s="22" t="n">
        <v>206397</v>
      </c>
      <c r="I930" s="22" t="n">
        <v>175000</v>
      </c>
      <c r="J930" s="20" t="inlineStr">
        <is>
          <t>EXCHANGE ROTN</t>
        </is>
      </c>
      <c r="K930" s="20" t="inlineStr">
        <is>
          <t>Captive</t>
        </is>
      </c>
      <c r="L930" s="20" t="inlineStr">
        <is>
          <t>PURUSOTHAMAN J CARS</t>
        </is>
      </c>
      <c r="M930" s="23" t="n">
        <v>4237.29</v>
      </c>
    </row>
    <row r="931">
      <c r="A931" s="19" t="inlineStr">
        <is>
          <t>FY26</t>
        </is>
      </c>
      <c r="B931" s="19" t="inlineStr">
        <is>
          <t>Mar</t>
        </is>
      </c>
      <c r="C931" s="19" t="inlineStr">
        <is>
          <t>TN</t>
        </is>
      </c>
      <c r="D931" s="20" t="inlineStr">
        <is>
          <t>TN11AL2757</t>
        </is>
      </c>
      <c r="E931" s="20" t="inlineStr">
        <is>
          <t>HONDA</t>
        </is>
      </c>
      <c r="F931" s="20" t="inlineStr">
        <is>
          <t>City</t>
        </is>
      </c>
      <c r="G931" s="21" t="n">
        <v>2019</v>
      </c>
      <c r="H931" s="22" t="n">
        <v>63155</v>
      </c>
      <c r="I931" s="22" t="n">
        <v>220000</v>
      </c>
      <c r="J931" s="20" t="inlineStr">
        <is>
          <t>EXCHANGE ROTN</t>
        </is>
      </c>
      <c r="K931" s="20" t="inlineStr">
        <is>
          <t>Captive</t>
        </is>
      </c>
      <c r="L931" s="20" t="inlineStr">
        <is>
          <t>PURUSOTHAMAN J CARS</t>
        </is>
      </c>
      <c r="M931" s="23" t="n">
        <v>4237.29</v>
      </c>
    </row>
    <row r="932">
      <c r="A932" s="19" t="inlineStr">
        <is>
          <t>FY26</t>
        </is>
      </c>
      <c r="B932" s="19" t="inlineStr">
        <is>
          <t>Mar</t>
        </is>
      </c>
      <c r="C932" s="19" t="inlineStr">
        <is>
          <t>TN</t>
        </is>
      </c>
      <c r="D932" s="20" t="inlineStr">
        <is>
          <t>TN37DD4448</t>
        </is>
      </c>
      <c r="E932" s="20" t="inlineStr">
        <is>
          <t>HONDA</t>
        </is>
      </c>
      <c r="F932" s="20" t="inlineStr">
        <is>
          <t>Wr-V</t>
        </is>
      </c>
      <c r="G932" s="21" t="n">
        <v>2019</v>
      </c>
      <c r="H932" s="22" t="n">
        <v>150740</v>
      </c>
      <c r="I932" s="22" t="n">
        <v>230000</v>
      </c>
      <c r="J932" s="20" t="inlineStr">
        <is>
          <t>EXCHANGE ROTN</t>
        </is>
      </c>
      <c r="K932" s="20" t="inlineStr">
        <is>
          <t>Captive</t>
        </is>
      </c>
      <c r="L932" s="20" t="inlineStr">
        <is>
          <t>Sangeetha Enterprises</t>
        </is>
      </c>
      <c r="M932" s="23" t="n">
        <v>4237.29</v>
      </c>
    </row>
    <row r="933">
      <c r="A933" s="19" t="inlineStr">
        <is>
          <t>FY26</t>
        </is>
      </c>
      <c r="B933" s="19" t="inlineStr">
        <is>
          <t>Mar</t>
        </is>
      </c>
      <c r="C933" s="19" t="inlineStr">
        <is>
          <t>TN</t>
        </is>
      </c>
      <c r="D933" s="20" t="inlineStr">
        <is>
          <t>TN41AT9603</t>
        </is>
      </c>
      <c r="E933" s="20" t="inlineStr">
        <is>
          <t>HONDA</t>
        </is>
      </c>
      <c r="F933" s="20" t="inlineStr">
        <is>
          <t>Jazz</t>
        </is>
      </c>
      <c r="G933" s="21" t="n">
        <v>2018</v>
      </c>
      <c r="H933" s="22" t="n">
        <v>200233</v>
      </c>
      <c r="I933" s="22" t="n">
        <v>305000</v>
      </c>
      <c r="J933" s="20" t="inlineStr">
        <is>
          <t>EXCHANGE ROTN</t>
        </is>
      </c>
      <c r="K933" s="20" t="inlineStr">
        <is>
          <t>Captive</t>
        </is>
      </c>
      <c r="L933" s="20" t="inlineStr">
        <is>
          <t>Gugha Cars</t>
        </is>
      </c>
      <c r="M933" s="23" t="n">
        <v>4237.29</v>
      </c>
    </row>
    <row r="934">
      <c r="A934" s="19" t="inlineStr">
        <is>
          <t>FY26</t>
        </is>
      </c>
      <c r="B934" s="19" t="inlineStr">
        <is>
          <t>Mar</t>
        </is>
      </c>
      <c r="C934" s="19" t="inlineStr">
        <is>
          <t>TN</t>
        </is>
      </c>
      <c r="D934" s="20" t="inlineStr">
        <is>
          <t>TN66Q2134</t>
        </is>
      </c>
      <c r="E934" s="20" t="inlineStr">
        <is>
          <t>FORD</t>
        </is>
      </c>
      <c r="F934" s="20" t="inlineStr">
        <is>
          <t>Figo</t>
        </is>
      </c>
      <c r="G934" s="21" t="n">
        <v>2015</v>
      </c>
      <c r="H934" s="22" t="n">
        <v>180261</v>
      </c>
      <c r="I934" s="22" t="n">
        <v>355000</v>
      </c>
      <c r="J934" s="20" t="inlineStr">
        <is>
          <t>EXCHANGE ROTN</t>
        </is>
      </c>
      <c r="K934" s="20" t="inlineStr">
        <is>
          <t>Captive</t>
        </is>
      </c>
      <c r="L934" s="20" t="inlineStr">
        <is>
          <t>Dheera Cars</t>
        </is>
      </c>
      <c r="M934" s="23" t="n">
        <v>4237.29</v>
      </c>
    </row>
    <row r="935">
      <c r="A935" s="19" t="inlineStr">
        <is>
          <t>FY26</t>
        </is>
      </c>
      <c r="B935" s="19" t="inlineStr">
        <is>
          <t>Mar</t>
        </is>
      </c>
      <c r="C935" s="19" t="inlineStr">
        <is>
          <t>TN</t>
        </is>
      </c>
      <c r="D935" s="20" t="inlineStr">
        <is>
          <t>TN66R5178</t>
        </is>
      </c>
      <c r="E935" s="20" t="inlineStr">
        <is>
          <t>MARUTI SUZUKI</t>
        </is>
      </c>
      <c r="F935" s="20" t="inlineStr">
        <is>
          <t>Wagon R</t>
        </is>
      </c>
      <c r="G935" s="21" t="n">
        <v>2015</v>
      </c>
      <c r="H935" s="22" t="n">
        <v>117714</v>
      </c>
      <c r="I935" s="22" t="n">
        <v>400000</v>
      </c>
      <c r="J935" s="20" t="inlineStr">
        <is>
          <t>EXCHANGE ROTN</t>
        </is>
      </c>
      <c r="K935" s="20" t="inlineStr">
        <is>
          <t>Captive</t>
        </is>
      </c>
      <c r="L935" s="20" t="inlineStr">
        <is>
          <t>Sun Cars</t>
        </is>
      </c>
      <c r="M935" s="23" t="n">
        <v>4237.29</v>
      </c>
    </row>
    <row r="936">
      <c r="A936" s="19" t="inlineStr">
        <is>
          <t>FY26</t>
        </is>
      </c>
      <c r="B936" s="19" t="inlineStr">
        <is>
          <t>Mar</t>
        </is>
      </c>
      <c r="C936" s="19" t="inlineStr">
        <is>
          <t>TN</t>
        </is>
      </c>
      <c r="D936" s="20" t="inlineStr">
        <is>
          <t>TN37BM8957</t>
        </is>
      </c>
      <c r="E936" s="20" t="inlineStr">
        <is>
          <t>MARUTI SUZUKI</t>
        </is>
      </c>
      <c r="F936" s="20" t="inlineStr">
        <is>
          <t>Alto K10</t>
        </is>
      </c>
      <c r="G936" s="21" t="n">
        <v>2011</v>
      </c>
      <c r="H936" s="22" t="n">
        <v>100456</v>
      </c>
      <c r="I936" s="22" t="n">
        <v>110000</v>
      </c>
      <c r="J936" s="20" t="inlineStr">
        <is>
          <t>EXCHANGE ROTN</t>
        </is>
      </c>
      <c r="K936" s="20" t="inlineStr">
        <is>
          <t>Captive</t>
        </is>
      </c>
      <c r="L936" s="20" t="inlineStr">
        <is>
          <t>Sun Cars</t>
        </is>
      </c>
      <c r="M936" s="23" t="n">
        <v>4237.29</v>
      </c>
    </row>
    <row r="937">
      <c r="A937" s="19" t="inlineStr">
        <is>
          <t>FY26</t>
        </is>
      </c>
      <c r="B937" s="19" t="inlineStr">
        <is>
          <t>Mar</t>
        </is>
      </c>
      <c r="C937" s="19" t="inlineStr">
        <is>
          <t>TN</t>
        </is>
      </c>
      <c r="D937" s="20" t="inlineStr">
        <is>
          <t>TN37DA8344</t>
        </is>
      </c>
      <c r="E937" s="20" t="inlineStr">
        <is>
          <t>HYUNDAI</t>
        </is>
      </c>
      <c r="F937" s="20" t="inlineStr">
        <is>
          <t>Creta</t>
        </is>
      </c>
      <c r="G937" s="21" t="n">
        <v>2018</v>
      </c>
      <c r="H937" s="22" t="n">
        <v>189266</v>
      </c>
      <c r="I937" s="22" t="n">
        <v>360000</v>
      </c>
      <c r="J937" s="20" t="inlineStr">
        <is>
          <t>EXCHANGE ROTN</t>
        </is>
      </c>
      <c r="K937" s="20" t="inlineStr">
        <is>
          <t>Captive</t>
        </is>
      </c>
      <c r="L937" s="20" t="inlineStr">
        <is>
          <t>Ashwin cars</t>
        </is>
      </c>
      <c r="M937" s="23" t="n">
        <v>4237.29</v>
      </c>
    </row>
    <row r="938">
      <c r="A938" s="19" t="inlineStr">
        <is>
          <t>FY26</t>
        </is>
      </c>
      <c r="B938" s="19" t="inlineStr">
        <is>
          <t>Mar</t>
        </is>
      </c>
      <c r="C938" s="19" t="inlineStr">
        <is>
          <t>TN</t>
        </is>
      </c>
      <c r="D938" s="20" t="inlineStr">
        <is>
          <t>TN38BW6432</t>
        </is>
      </c>
      <c r="E938" s="20" t="inlineStr">
        <is>
          <t>TOYOTA</t>
        </is>
      </c>
      <c r="F938" s="20" t="inlineStr">
        <is>
          <t>Etios</t>
        </is>
      </c>
      <c r="G938" s="21" t="n">
        <v>2014</v>
      </c>
      <c r="H938" s="22" t="n">
        <v>113570</v>
      </c>
      <c r="I938" s="22" t="n">
        <v>360000</v>
      </c>
      <c r="J938" s="20" t="inlineStr">
        <is>
          <t>EXCHANGE ROTN</t>
        </is>
      </c>
      <c r="K938" s="20" t="inlineStr">
        <is>
          <t>Captive</t>
        </is>
      </c>
      <c r="L938" s="20" t="inlineStr">
        <is>
          <t>Ashwin cars</t>
        </is>
      </c>
      <c r="M938" s="23" t="n">
        <v>4237.29</v>
      </c>
    </row>
    <row r="939">
      <c r="A939" s="19" t="inlineStr">
        <is>
          <t>FY26</t>
        </is>
      </c>
      <c r="B939" s="19" t="inlineStr">
        <is>
          <t>Mar</t>
        </is>
      </c>
      <c r="C939" s="19" t="inlineStr">
        <is>
          <t>TN</t>
        </is>
      </c>
      <c r="D939" s="20" t="inlineStr">
        <is>
          <t>TN38BZ9369</t>
        </is>
      </c>
      <c r="E939" s="20" t="inlineStr">
        <is>
          <t>FORD</t>
        </is>
      </c>
      <c r="F939" s="20" t="inlineStr">
        <is>
          <t>Ecosport</t>
        </is>
      </c>
      <c r="G939" s="21" t="n">
        <v>2015</v>
      </c>
      <c r="H939" s="22" t="n">
        <v>176184</v>
      </c>
      <c r="I939" s="22" t="n">
        <v>420000</v>
      </c>
      <c r="J939" s="20" t="inlineStr">
        <is>
          <t>EXCHANGE ROTN</t>
        </is>
      </c>
      <c r="K939" s="20" t="inlineStr">
        <is>
          <t>Captive</t>
        </is>
      </c>
      <c r="L939" s="20" t="inlineStr">
        <is>
          <t>Ashwin cars</t>
        </is>
      </c>
      <c r="M939" s="23" t="n">
        <v>4237.29</v>
      </c>
    </row>
    <row r="940">
      <c r="A940" s="19" t="inlineStr">
        <is>
          <t>FY26</t>
        </is>
      </c>
      <c r="B940" s="19" t="inlineStr">
        <is>
          <t>Mar</t>
        </is>
      </c>
      <c r="C940" s="19" t="inlineStr">
        <is>
          <t>TN</t>
        </is>
      </c>
      <c r="D940" s="20" t="inlineStr">
        <is>
          <t>TN38AZ8681</t>
        </is>
      </c>
      <c r="E940" s="20" t="inlineStr">
        <is>
          <t>MARUTI SUZUKI</t>
        </is>
      </c>
      <c r="F940" s="20" t="inlineStr">
        <is>
          <t>Swift Dzire</t>
        </is>
      </c>
      <c r="G940" s="21" t="n">
        <v>2009</v>
      </c>
      <c r="H940" s="22" t="n">
        <v>127971</v>
      </c>
      <c r="I940" s="22" t="n">
        <v>180000</v>
      </c>
      <c r="J940" s="20" t="inlineStr">
        <is>
          <t>EXCHANGE ROTN</t>
        </is>
      </c>
      <c r="K940" s="20" t="inlineStr">
        <is>
          <t>Captive</t>
        </is>
      </c>
      <c r="L940" s="20" t="inlineStr">
        <is>
          <t>Paul Cars</t>
        </is>
      </c>
      <c r="M940" s="23" t="n">
        <v>4237.29</v>
      </c>
    </row>
    <row r="941">
      <c r="A941" s="19" t="inlineStr">
        <is>
          <t>FY26</t>
        </is>
      </c>
      <c r="B941" s="19" t="inlineStr">
        <is>
          <t>Mar</t>
        </is>
      </c>
      <c r="C941" s="19" t="inlineStr">
        <is>
          <t>TN</t>
        </is>
      </c>
      <c r="D941" s="20" t="inlineStr">
        <is>
          <t>TN42J0488</t>
        </is>
      </c>
      <c r="E941" s="20" t="inlineStr">
        <is>
          <t>HYUNDAI</t>
        </is>
      </c>
      <c r="F941" s="20" t="inlineStr">
        <is>
          <t>Grand I10</t>
        </is>
      </c>
      <c r="G941" s="21" t="n">
        <v>2013</v>
      </c>
      <c r="H941" s="22" t="n">
        <v>73862</v>
      </c>
      <c r="I941" s="22" t="n">
        <v>230000</v>
      </c>
      <c r="J941" s="20" t="inlineStr">
        <is>
          <t>EXCHANGE ROTN</t>
        </is>
      </c>
      <c r="K941" s="20" t="inlineStr">
        <is>
          <t>Captive</t>
        </is>
      </c>
      <c r="L941" s="20" t="inlineStr">
        <is>
          <t>Paul Cars</t>
        </is>
      </c>
      <c r="M941" s="23" t="n">
        <v>4237.29</v>
      </c>
    </row>
    <row r="942">
      <c r="A942" s="19" t="inlineStr">
        <is>
          <t>FY26</t>
        </is>
      </c>
      <c r="B942" s="19" t="inlineStr">
        <is>
          <t>Mar</t>
        </is>
      </c>
      <c r="C942" s="19" t="inlineStr">
        <is>
          <t>TN</t>
        </is>
      </c>
      <c r="D942" s="20" t="inlineStr">
        <is>
          <t>TN43P0178</t>
        </is>
      </c>
      <c r="E942" s="20" t="inlineStr">
        <is>
          <t>MARUTI SUZUKI</t>
        </is>
      </c>
      <c r="F942" s="20" t="inlineStr">
        <is>
          <t>Alto K10</t>
        </is>
      </c>
      <c r="G942" s="21" t="n">
        <v>2022</v>
      </c>
      <c r="H942" s="22" t="n">
        <v>37718</v>
      </c>
      <c r="I942" s="22" t="n">
        <v>190000</v>
      </c>
      <c r="J942" s="20" t="inlineStr">
        <is>
          <t>EXCHANGE ROTN</t>
        </is>
      </c>
      <c r="K942" s="20" t="inlineStr">
        <is>
          <t>Captive</t>
        </is>
      </c>
      <c r="L942" s="20" t="inlineStr">
        <is>
          <t>Paul Cars</t>
        </is>
      </c>
      <c r="M942" s="23" t="n">
        <v>4237.29</v>
      </c>
    </row>
    <row r="943">
      <c r="A943" s="19" t="inlineStr">
        <is>
          <t>FY26</t>
        </is>
      </c>
      <c r="B943" s="19" t="inlineStr">
        <is>
          <t>Mar</t>
        </is>
      </c>
      <c r="C943" s="19" t="inlineStr">
        <is>
          <t>TN</t>
        </is>
      </c>
      <c r="D943" s="20" t="inlineStr">
        <is>
          <t>KL16R7654</t>
        </is>
      </c>
      <c r="E943" s="20" t="inlineStr">
        <is>
          <t>MARUTI SUZUKI</t>
        </is>
      </c>
      <c r="F943" s="20" t="inlineStr">
        <is>
          <t>Swift</t>
        </is>
      </c>
      <c r="G943" s="21" t="n">
        <v>2017</v>
      </c>
      <c r="H943" s="22" t="n">
        <v>35381</v>
      </c>
      <c r="I943" s="22" t="n">
        <v>420000</v>
      </c>
      <c r="J943" s="20" t="inlineStr">
        <is>
          <t>Popular Motorworld pvt Ltd</t>
        </is>
      </c>
      <c r="K943" s="20" t="inlineStr">
        <is>
          <t>Non-Captive</t>
        </is>
      </c>
      <c r="L943" s="20" t="inlineStr">
        <is>
          <t>Popular Thrissur</t>
        </is>
      </c>
      <c r="M943" s="23" t="n">
        <v>5000</v>
      </c>
    </row>
    <row r="944">
      <c r="A944" s="19" t="inlineStr">
        <is>
          <t>FY26</t>
        </is>
      </c>
      <c r="B944" s="19" t="inlineStr">
        <is>
          <t>Mar</t>
        </is>
      </c>
      <c r="C944" s="19" t="inlineStr">
        <is>
          <t>TN</t>
        </is>
      </c>
      <c r="D944" s="20" t="inlineStr">
        <is>
          <t>KL01CF1636</t>
        </is>
      </c>
      <c r="E944" s="20" t="inlineStr">
        <is>
          <t>MARUTI SUZUKI</t>
        </is>
      </c>
      <c r="F944" s="20" t="inlineStr">
        <is>
          <t>Swift</t>
        </is>
      </c>
      <c r="G944" s="21" t="n">
        <v>2018</v>
      </c>
      <c r="H944" s="22" t="n">
        <v>77365</v>
      </c>
      <c r="I944" s="22" t="n">
        <v>450000</v>
      </c>
      <c r="J944" s="20" t="inlineStr">
        <is>
          <t>Popular Motorworld pvt Ltd</t>
        </is>
      </c>
      <c r="K944" s="20" t="inlineStr">
        <is>
          <t>Non-Captive</t>
        </is>
      </c>
      <c r="L944" s="20" t="inlineStr">
        <is>
          <t>Popular Thrissur</t>
        </is>
      </c>
      <c r="M944" s="23" t="n">
        <v>5000</v>
      </c>
    </row>
    <row r="945">
      <c r="A945" s="19" t="inlineStr">
        <is>
          <t>FY26</t>
        </is>
      </c>
      <c r="B945" s="19" t="inlineStr">
        <is>
          <t>Mar</t>
        </is>
      </c>
      <c r="C945" s="19" t="inlineStr">
        <is>
          <t>TN</t>
        </is>
      </c>
      <c r="D945" s="20" t="inlineStr">
        <is>
          <t>KL30D4854</t>
        </is>
      </c>
      <c r="E945" s="20" t="inlineStr">
        <is>
          <t>MARUTI SUZUKI</t>
        </is>
      </c>
      <c r="F945" s="20" t="inlineStr">
        <is>
          <t>Alto</t>
        </is>
      </c>
      <c r="G945" s="21" t="n">
        <v>2014</v>
      </c>
      <c r="H945" s="22" t="n">
        <v>79534</v>
      </c>
      <c r="I945" s="22" t="n">
        <v>165000</v>
      </c>
      <c r="J945" s="20" t="inlineStr">
        <is>
          <t>Popular Motorworld pvt Ltd</t>
        </is>
      </c>
      <c r="K945" s="20" t="inlineStr">
        <is>
          <t>Non-Captive</t>
        </is>
      </c>
      <c r="L945" s="20" t="inlineStr">
        <is>
          <t>Popular Thrissur</t>
        </is>
      </c>
      <c r="M945" s="23" t="n">
        <v>5000</v>
      </c>
    </row>
    <row r="946">
      <c r="A946" s="19" t="inlineStr">
        <is>
          <t>FY26</t>
        </is>
      </c>
      <c r="B946" s="19" t="inlineStr">
        <is>
          <t>Mar</t>
        </is>
      </c>
      <c r="C946" s="19" t="inlineStr">
        <is>
          <t>TN</t>
        </is>
      </c>
      <c r="D946" s="20" t="inlineStr">
        <is>
          <t>KL01BS8645</t>
        </is>
      </c>
      <c r="E946" s="20" t="inlineStr">
        <is>
          <t>MARUTI SUZUKI</t>
        </is>
      </c>
      <c r="F946" s="20" t="inlineStr">
        <is>
          <t>Alto K10</t>
        </is>
      </c>
      <c r="G946" s="21" t="n">
        <v>2015</v>
      </c>
      <c r="H946" s="22" t="n"/>
      <c r="I946" s="22" t="n">
        <v>272000</v>
      </c>
      <c r="J946" s="20" t="inlineStr">
        <is>
          <t>DERIK MOTORS PRIVATE LIMITED</t>
        </is>
      </c>
      <c r="K946" s="20" t="inlineStr">
        <is>
          <t>Non-Captive</t>
        </is>
      </c>
      <c r="L946" s="20" t="inlineStr">
        <is>
          <t>Popular Trivandrum</t>
        </is>
      </c>
      <c r="M946" s="23" t="n">
        <v>5000</v>
      </c>
    </row>
    <row r="947">
      <c r="A947" s="19" t="inlineStr">
        <is>
          <t>FY26</t>
        </is>
      </c>
      <c r="B947" s="19" t="inlineStr">
        <is>
          <t>Mar</t>
        </is>
      </c>
      <c r="C947" s="19" t="inlineStr">
        <is>
          <t>TN</t>
        </is>
      </c>
      <c r="D947" s="20" t="inlineStr">
        <is>
          <t>TN39DU5365</t>
        </is>
      </c>
      <c r="E947" s="20" t="inlineStr">
        <is>
          <t>MARUTI SUZUKI</t>
        </is>
      </c>
      <c r="F947" s="20" t="inlineStr">
        <is>
          <t>Alto K10</t>
        </is>
      </c>
      <c r="G947" s="21" t="n">
        <v>2025</v>
      </c>
      <c r="H947" s="22" t="n">
        <v>9834</v>
      </c>
      <c r="I947" s="22" t="n">
        <v>285000</v>
      </c>
      <c r="J947" s="20" t="inlineStr">
        <is>
          <t>Khivraj Motor</t>
        </is>
      </c>
      <c r="K947" s="20" t="inlineStr">
        <is>
          <t>Non-Captive</t>
        </is>
      </c>
      <c r="L947" s="20" t="inlineStr">
        <is>
          <t>Yes Cars</t>
        </is>
      </c>
      <c r="M947" s="23" t="n">
        <v>2118.64</v>
      </c>
    </row>
    <row r="948">
      <c r="A948" s="19" t="inlineStr">
        <is>
          <t>FY26</t>
        </is>
      </c>
      <c r="B948" s="19" t="inlineStr">
        <is>
          <t>Mar</t>
        </is>
      </c>
      <c r="C948" s="19" t="inlineStr">
        <is>
          <t>TN</t>
        </is>
      </c>
      <c r="D948" s="20" t="inlineStr">
        <is>
          <t>TN18BF8732</t>
        </is>
      </c>
      <c r="E948" s="20" t="inlineStr">
        <is>
          <t>MARUTI SUZUKI</t>
        </is>
      </c>
      <c r="F948" s="20" t="inlineStr">
        <is>
          <t>Alto</t>
        </is>
      </c>
      <c r="G948" s="21" t="n">
        <v>2022</v>
      </c>
      <c r="H948" s="22" t="n">
        <v>50000</v>
      </c>
      <c r="I948" s="22" t="n">
        <v>320000</v>
      </c>
      <c r="J948" s="20" t="inlineStr">
        <is>
          <t>Khivraj Motor</t>
        </is>
      </c>
      <c r="K948" s="20" t="inlineStr">
        <is>
          <t>Non-Captive</t>
        </is>
      </c>
      <c r="L948" s="20" t="inlineStr">
        <is>
          <t>Yes Cars</t>
        </is>
      </c>
      <c r="M948" s="23" t="n">
        <v>2118.64</v>
      </c>
    </row>
    <row r="949">
      <c r="A949" s="19" t="inlineStr">
        <is>
          <t>FY26</t>
        </is>
      </c>
      <c r="B949" s="19" t="inlineStr">
        <is>
          <t>Mar</t>
        </is>
      </c>
      <c r="C949" s="19" t="inlineStr">
        <is>
          <t>TN</t>
        </is>
      </c>
      <c r="D949" s="20" t="inlineStr">
        <is>
          <t>TN01AS0317</t>
        </is>
      </c>
      <c r="E949" s="20" t="inlineStr">
        <is>
          <t>VOLKSWAGEN</t>
        </is>
      </c>
      <c r="F949" s="20" t="inlineStr">
        <is>
          <t>Vento</t>
        </is>
      </c>
      <c r="G949" s="21" t="n">
        <v>2012</v>
      </c>
      <c r="H949" s="22" t="n">
        <v>49700</v>
      </c>
      <c r="I949" s="22" t="n">
        <v>230000</v>
      </c>
      <c r="J949" s="20" t="inlineStr">
        <is>
          <t>Khivraj Motor</t>
        </is>
      </c>
      <c r="K949" s="20" t="inlineStr">
        <is>
          <t>Non-Captive</t>
        </is>
      </c>
      <c r="L949" s="20" t="inlineStr">
        <is>
          <t>Yes Cars</t>
        </is>
      </c>
      <c r="M949" s="23" t="n">
        <v>2118.64</v>
      </c>
    </row>
    <row r="950">
      <c r="A950" s="19" t="inlineStr">
        <is>
          <t>FY26</t>
        </is>
      </c>
      <c r="B950" s="19" t="inlineStr">
        <is>
          <t>Mar</t>
        </is>
      </c>
      <c r="C950" s="19" t="inlineStr">
        <is>
          <t>TN</t>
        </is>
      </c>
      <c r="D950" s="20" t="inlineStr">
        <is>
          <t>TN09BX1474</t>
        </is>
      </c>
      <c r="E950" s="20" t="inlineStr">
        <is>
          <t>MARUTI SUZUKI</t>
        </is>
      </c>
      <c r="F950" s="20" t="inlineStr">
        <is>
          <t>Alto</t>
        </is>
      </c>
      <c r="G950" s="21" t="n">
        <v>2014</v>
      </c>
      <c r="H950" s="22" t="n">
        <v>70000</v>
      </c>
      <c r="I950" s="22" t="n">
        <v>150000</v>
      </c>
      <c r="J950" s="20" t="inlineStr">
        <is>
          <t>Khivraj Motor</t>
        </is>
      </c>
      <c r="K950" s="20" t="inlineStr">
        <is>
          <t>Non-Captive</t>
        </is>
      </c>
      <c r="L950" s="20" t="inlineStr">
        <is>
          <t>Yes Cars</t>
        </is>
      </c>
      <c r="M950" s="23" t="n">
        <v>2118.64</v>
      </c>
    </row>
    <row r="951">
      <c r="A951" s="19" t="inlineStr">
        <is>
          <t>FY26</t>
        </is>
      </c>
      <c r="B951" s="19" t="inlineStr">
        <is>
          <t>Mar</t>
        </is>
      </c>
      <c r="C951" s="19" t="inlineStr">
        <is>
          <t>TN</t>
        </is>
      </c>
      <c r="D951" s="20" t="inlineStr">
        <is>
          <t>TN13AB7246</t>
        </is>
      </c>
      <c r="E951" s="20" t="inlineStr">
        <is>
          <t>MARUTI SUZUKI</t>
        </is>
      </c>
      <c r="F951" s="20" t="inlineStr">
        <is>
          <t>Fronx</t>
        </is>
      </c>
      <c r="G951" s="21" t="n">
        <v>2023</v>
      </c>
      <c r="H951" s="22" t="n">
        <v>30258</v>
      </c>
      <c r="I951" s="22" t="n">
        <v>550000</v>
      </c>
      <c r="J951" s="20" t="inlineStr">
        <is>
          <t>Khivraj Motor</t>
        </is>
      </c>
      <c r="K951" s="20" t="inlineStr">
        <is>
          <t>Non-Captive</t>
        </is>
      </c>
      <c r="L951" s="20" t="inlineStr">
        <is>
          <t>Yes Cars</t>
        </is>
      </c>
      <c r="M951" s="23" t="n">
        <v>2118.64</v>
      </c>
    </row>
    <row r="952">
      <c r="A952" s="19" t="inlineStr">
        <is>
          <t>FY26</t>
        </is>
      </c>
      <c r="B952" s="19" t="inlineStr">
        <is>
          <t>Mar</t>
        </is>
      </c>
      <c r="C952" s="19" t="inlineStr">
        <is>
          <t>TN</t>
        </is>
      </c>
      <c r="D952" s="20" t="inlineStr">
        <is>
          <t>TN04AU1334</t>
        </is>
      </c>
      <c r="E952" s="20" t="inlineStr">
        <is>
          <t>MARUTI SUZUKI</t>
        </is>
      </c>
      <c r="F952" s="20" t="inlineStr">
        <is>
          <t>Swift Dzire</t>
        </is>
      </c>
      <c r="G952" s="21" t="n">
        <v>2018</v>
      </c>
      <c r="H952" s="22" t="n">
        <v>134981</v>
      </c>
      <c r="I952" s="22" t="n">
        <v>450000</v>
      </c>
      <c r="J952" s="20" t="inlineStr">
        <is>
          <t>Khivraj Motor</t>
        </is>
      </c>
      <c r="K952" s="20" t="inlineStr">
        <is>
          <t>Non-Captive</t>
        </is>
      </c>
      <c r="L952" s="20" t="inlineStr">
        <is>
          <t>Yes Cars</t>
        </is>
      </c>
      <c r="M952" s="23" t="n">
        <v>2118.64</v>
      </c>
    </row>
    <row r="953">
      <c r="A953" s="19" t="inlineStr">
        <is>
          <t>FY26</t>
        </is>
      </c>
      <c r="B953" s="19" t="inlineStr">
        <is>
          <t>Mar</t>
        </is>
      </c>
      <c r="C953" s="19" t="inlineStr">
        <is>
          <t>TN</t>
        </is>
      </c>
      <c r="D953" s="20" t="inlineStr">
        <is>
          <t>TN20CP7945</t>
        </is>
      </c>
      <c r="E953" s="20" t="inlineStr">
        <is>
          <t>MARUTI SUZUKI</t>
        </is>
      </c>
      <c r="F953" s="20" t="inlineStr">
        <is>
          <t>Swift</t>
        </is>
      </c>
      <c r="G953" s="21" t="n">
        <v>2018</v>
      </c>
      <c r="H953" s="22" t="n">
        <v>52256</v>
      </c>
      <c r="I953" s="22" t="n">
        <v>450000</v>
      </c>
      <c r="J953" s="20" t="inlineStr">
        <is>
          <t>Khivraj Motor</t>
        </is>
      </c>
      <c r="K953" s="20" t="inlineStr">
        <is>
          <t>Non-Captive</t>
        </is>
      </c>
      <c r="L953" s="20" t="inlineStr">
        <is>
          <t>Yes Cars</t>
        </is>
      </c>
      <c r="M953" s="23" t="n">
        <v>1694.92</v>
      </c>
    </row>
    <row r="954">
      <c r="A954" s="19" t="inlineStr">
        <is>
          <t>FY26</t>
        </is>
      </c>
      <c r="B954" s="19" t="inlineStr">
        <is>
          <t>Mar</t>
        </is>
      </c>
      <c r="C954" s="19" t="inlineStr">
        <is>
          <t>TN</t>
        </is>
      </c>
      <c r="D954" s="20" t="inlineStr">
        <is>
          <t>TN02AQ4041</t>
        </is>
      </c>
      <c r="E954" s="20" t="inlineStr">
        <is>
          <t>TOYOTA</t>
        </is>
      </c>
      <c r="F954" s="20" t="inlineStr">
        <is>
          <t>Innova</t>
        </is>
      </c>
      <c r="G954" s="21" t="n">
        <v>2011</v>
      </c>
      <c r="H954" s="22" t="n">
        <v>156582</v>
      </c>
      <c r="I954" s="22" t="n">
        <v>600000</v>
      </c>
      <c r="J954" s="20" t="inlineStr">
        <is>
          <t>Khivraj Motor</t>
        </is>
      </c>
      <c r="K954" s="20" t="inlineStr">
        <is>
          <t>Non-Captive</t>
        </is>
      </c>
      <c r="L954" s="20" t="inlineStr">
        <is>
          <t>RAJESH WARI (RAM CARS)</t>
        </is>
      </c>
      <c r="M954" s="23" t="n">
        <v>2118.64</v>
      </c>
    </row>
    <row r="955">
      <c r="A955" s="19" t="inlineStr">
        <is>
          <t>FY26</t>
        </is>
      </c>
      <c r="B955" s="19" t="inlineStr">
        <is>
          <t>Mar</t>
        </is>
      </c>
      <c r="C955" s="19" t="inlineStr">
        <is>
          <t>TN</t>
        </is>
      </c>
      <c r="D955" s="20" t="inlineStr">
        <is>
          <t>TN06W1072</t>
        </is>
      </c>
      <c r="E955" s="20" t="inlineStr">
        <is>
          <t>MARUTI SUZUKI</t>
        </is>
      </c>
      <c r="F955" s="20" t="inlineStr">
        <is>
          <t>Alto</t>
        </is>
      </c>
      <c r="G955" s="21" t="n">
        <v>2018</v>
      </c>
      <c r="H955" s="22" t="n">
        <v>12187</v>
      </c>
      <c r="I955" s="22" t="n">
        <v>230000</v>
      </c>
      <c r="J955" s="20" t="inlineStr">
        <is>
          <t>Khivraj Motor</t>
        </is>
      </c>
      <c r="K955" s="20" t="inlineStr">
        <is>
          <t>Non-Captive</t>
        </is>
      </c>
      <c r="L955" s="20" t="inlineStr">
        <is>
          <t>RAJESH WARI (RAM CARS)</t>
        </is>
      </c>
      <c r="M955" s="23" t="n">
        <v>2118.64</v>
      </c>
    </row>
    <row r="956">
      <c r="A956" s="19" t="inlineStr">
        <is>
          <t>FY26</t>
        </is>
      </c>
      <c r="B956" s="19" t="inlineStr">
        <is>
          <t>Mar</t>
        </is>
      </c>
      <c r="C956" s="19" t="inlineStr">
        <is>
          <t>TN</t>
        </is>
      </c>
      <c r="D956" s="20" t="inlineStr">
        <is>
          <t>TN05BA4291</t>
        </is>
      </c>
      <c r="E956" s="20" t="inlineStr">
        <is>
          <t>HYUNDAI</t>
        </is>
      </c>
      <c r="F956" s="20" t="inlineStr">
        <is>
          <t>Grand I10</t>
        </is>
      </c>
      <c r="G956" s="21" t="n">
        <v>2015</v>
      </c>
      <c r="H956" s="22" t="n">
        <v>36646</v>
      </c>
      <c r="I956" s="22" t="n">
        <v>270000</v>
      </c>
      <c r="J956" s="20" t="inlineStr">
        <is>
          <t>Khivraj Motor</t>
        </is>
      </c>
      <c r="K956" s="20" t="inlineStr">
        <is>
          <t>Non-Captive</t>
        </is>
      </c>
      <c r="L956" s="20" t="inlineStr">
        <is>
          <t>RAJESH WARI (RAM CARS)</t>
        </is>
      </c>
      <c r="M956" s="23" t="n">
        <v>2118.64</v>
      </c>
    </row>
    <row r="957">
      <c r="A957" s="19" t="inlineStr">
        <is>
          <t>FY26</t>
        </is>
      </c>
      <c r="B957" s="19" t="inlineStr">
        <is>
          <t>Mar</t>
        </is>
      </c>
      <c r="C957" s="19" t="inlineStr">
        <is>
          <t>TN</t>
        </is>
      </c>
      <c r="D957" s="20" t="inlineStr">
        <is>
          <t>TN09CM8169</t>
        </is>
      </c>
      <c r="E957" s="20" t="inlineStr">
        <is>
          <t>MARUTI SUZUKI</t>
        </is>
      </c>
      <c r="F957" s="20" t="inlineStr">
        <is>
          <t>Swift Dzire</t>
        </is>
      </c>
      <c r="G957" s="21" t="n">
        <v>2018</v>
      </c>
      <c r="H957" s="22" t="n">
        <v>59116</v>
      </c>
      <c r="I957" s="22" t="n">
        <v>450000</v>
      </c>
      <c r="J957" s="20" t="inlineStr">
        <is>
          <t>Khivraj Motor</t>
        </is>
      </c>
      <c r="K957" s="20" t="inlineStr">
        <is>
          <t>Non-Captive</t>
        </is>
      </c>
      <c r="L957" s="20" t="inlineStr">
        <is>
          <t>RAJESH WARI (RAM CARS)</t>
        </is>
      </c>
      <c r="M957" s="23" t="n">
        <v>2118.64</v>
      </c>
    </row>
    <row r="958">
      <c r="A958" s="19" t="inlineStr">
        <is>
          <t>FY26</t>
        </is>
      </c>
      <c r="B958" s="19" t="inlineStr">
        <is>
          <t>Mar</t>
        </is>
      </c>
      <c r="C958" s="19" t="inlineStr">
        <is>
          <t>TN</t>
        </is>
      </c>
      <c r="D958" s="20" t="inlineStr">
        <is>
          <t>TN06U5789</t>
        </is>
      </c>
      <c r="E958" s="20" t="inlineStr">
        <is>
          <t>FORD</t>
        </is>
      </c>
      <c r="F958" s="20" t="inlineStr">
        <is>
          <t>Ecosport</t>
        </is>
      </c>
      <c r="G958" s="21" t="n">
        <v>2017</v>
      </c>
      <c r="H958" s="22" t="n">
        <v>74988</v>
      </c>
      <c r="I958" s="22" t="n">
        <v>300000</v>
      </c>
      <c r="J958" s="20" t="inlineStr">
        <is>
          <t>Khivraj Motor</t>
        </is>
      </c>
      <c r="K958" s="20" t="inlineStr">
        <is>
          <t>Non-Captive</t>
        </is>
      </c>
      <c r="L958" s="20" t="inlineStr">
        <is>
          <t>RAJESH WARI (RAM CARS)</t>
        </is>
      </c>
      <c r="M958" s="23" t="n">
        <v>1694.92</v>
      </c>
    </row>
    <row r="959">
      <c r="A959" s="19" t="inlineStr">
        <is>
          <t>FY26</t>
        </is>
      </c>
      <c r="B959" s="19" t="inlineStr">
        <is>
          <t>Mar</t>
        </is>
      </c>
      <c r="C959" s="19" t="inlineStr">
        <is>
          <t>TN</t>
        </is>
      </c>
      <c r="D959" s="20" t="inlineStr">
        <is>
          <t>TN02BT3901</t>
        </is>
      </c>
      <c r="E959" s="20" t="inlineStr">
        <is>
          <t>HYUNDAI</t>
        </is>
      </c>
      <c r="F959" s="20" t="inlineStr">
        <is>
          <t>Creta</t>
        </is>
      </c>
      <c r="G959" s="21" t="n">
        <v>2020</v>
      </c>
      <c r="H959" s="22" t="n">
        <v>51199</v>
      </c>
      <c r="I959" s="22" t="n">
        <v>1000000</v>
      </c>
      <c r="J959" s="20" t="inlineStr">
        <is>
          <t>Khivraj Motor</t>
        </is>
      </c>
      <c r="K959" s="20" t="inlineStr">
        <is>
          <t>Non-Captive</t>
        </is>
      </c>
      <c r="L959" s="20" t="inlineStr">
        <is>
          <t>Bhavani Cars</t>
        </is>
      </c>
      <c r="M959" s="23" t="n">
        <v>2542.37</v>
      </c>
    </row>
    <row r="960">
      <c r="A960" s="19" t="inlineStr">
        <is>
          <t>FY26</t>
        </is>
      </c>
      <c r="B960" s="19" t="inlineStr">
        <is>
          <t>Mar</t>
        </is>
      </c>
      <c r="C960" s="19" t="inlineStr">
        <is>
          <t>TN</t>
        </is>
      </c>
      <c r="D960" s="20" t="inlineStr">
        <is>
          <t>TN18AF4408</t>
        </is>
      </c>
      <c r="E960" s="20" t="inlineStr">
        <is>
          <t>MARUTI SUZUKI</t>
        </is>
      </c>
      <c r="F960" s="20" t="inlineStr">
        <is>
          <t>Alto</t>
        </is>
      </c>
      <c r="G960" s="21" t="n">
        <v>2015</v>
      </c>
      <c r="H960" s="22" t="n">
        <v>69800</v>
      </c>
      <c r="I960" s="22" t="n">
        <v>160000</v>
      </c>
      <c r="J960" s="20" t="inlineStr">
        <is>
          <t>Khivraj Motor</t>
        </is>
      </c>
      <c r="K960" s="20" t="inlineStr">
        <is>
          <t>Non-Captive</t>
        </is>
      </c>
      <c r="L960" s="20" t="inlineStr">
        <is>
          <t>Bhavani Cars</t>
        </is>
      </c>
      <c r="M960" s="23" t="n">
        <v>2542.37</v>
      </c>
    </row>
    <row r="961">
      <c r="A961" s="19" t="inlineStr">
        <is>
          <t>FY26</t>
        </is>
      </c>
      <c r="B961" s="19" t="inlineStr">
        <is>
          <t>Mar</t>
        </is>
      </c>
      <c r="C961" s="19" t="inlineStr">
        <is>
          <t>TN</t>
        </is>
      </c>
      <c r="D961" s="20" t="inlineStr">
        <is>
          <t>TN09AZ0967</t>
        </is>
      </c>
      <c r="E961" s="20" t="inlineStr">
        <is>
          <t>MARUTI SUZUKI</t>
        </is>
      </c>
      <c r="F961" s="20" t="inlineStr">
        <is>
          <t>Alto</t>
        </is>
      </c>
      <c r="G961" s="21" t="n">
        <v>2008</v>
      </c>
      <c r="H961" s="22" t="n">
        <v>18292</v>
      </c>
      <c r="I961" s="22" t="n">
        <v>85000</v>
      </c>
      <c r="J961" s="20" t="inlineStr">
        <is>
          <t>Khivraj Motor</t>
        </is>
      </c>
      <c r="K961" s="20" t="inlineStr">
        <is>
          <t>Non-Captive</t>
        </is>
      </c>
      <c r="L961" s="20" t="inlineStr">
        <is>
          <t>Bhavani Cars</t>
        </is>
      </c>
      <c r="M961" s="23" t="n">
        <v>2542.37</v>
      </c>
    </row>
    <row r="962">
      <c r="A962" s="19" t="inlineStr">
        <is>
          <t>FY26</t>
        </is>
      </c>
      <c r="B962" s="19" t="inlineStr">
        <is>
          <t>Mar</t>
        </is>
      </c>
      <c r="C962" s="19" t="inlineStr">
        <is>
          <t>TN</t>
        </is>
      </c>
      <c r="D962" s="20" t="inlineStr">
        <is>
          <t>TN13R3660</t>
        </is>
      </c>
      <c r="E962" s="20" t="inlineStr">
        <is>
          <t>MARUTI SUZUKI</t>
        </is>
      </c>
      <c r="F962" s="20" t="inlineStr">
        <is>
          <t>Alto K10</t>
        </is>
      </c>
      <c r="G962" s="21" t="n">
        <v>2019</v>
      </c>
      <c r="H962" s="22" t="n">
        <v>30498</v>
      </c>
      <c r="I962" s="22" t="n">
        <v>230000</v>
      </c>
      <c r="J962" s="20" t="inlineStr">
        <is>
          <t>Khivraj Motor</t>
        </is>
      </c>
      <c r="K962" s="20" t="inlineStr">
        <is>
          <t>Non-Captive</t>
        </is>
      </c>
      <c r="L962" s="20" t="inlineStr">
        <is>
          <t>Santhosh Cars</t>
        </is>
      </c>
      <c r="M962" s="23" t="n">
        <v>2118.64</v>
      </c>
    </row>
    <row r="963">
      <c r="A963" s="19" t="inlineStr">
        <is>
          <t>FY26</t>
        </is>
      </c>
      <c r="B963" s="19" t="inlineStr">
        <is>
          <t>Mar</t>
        </is>
      </c>
      <c r="C963" s="19" t="inlineStr">
        <is>
          <t>TN</t>
        </is>
      </c>
      <c r="D963" s="20" t="inlineStr">
        <is>
          <t>TN20CY5046</t>
        </is>
      </c>
      <c r="E963" s="20" t="inlineStr">
        <is>
          <t>HONDA</t>
        </is>
      </c>
      <c r="F963" s="20" t="inlineStr">
        <is>
          <t>City</t>
        </is>
      </c>
      <c r="G963" s="21" t="n">
        <v>2012</v>
      </c>
      <c r="H963" s="22" t="n">
        <v>60788</v>
      </c>
      <c r="I963" s="22" t="n">
        <v>200000</v>
      </c>
      <c r="J963" s="20" t="inlineStr">
        <is>
          <t>Khivraj Motor</t>
        </is>
      </c>
      <c r="K963" s="20" t="inlineStr">
        <is>
          <t>Non-Captive</t>
        </is>
      </c>
      <c r="L963" s="20" t="inlineStr">
        <is>
          <t>Santhosh Cars</t>
        </is>
      </c>
      <c r="M963" s="23" t="n">
        <v>2118.64</v>
      </c>
    </row>
    <row r="964">
      <c r="A964" s="19" t="inlineStr">
        <is>
          <t>FY26</t>
        </is>
      </c>
      <c r="B964" s="19" t="inlineStr">
        <is>
          <t>Mar</t>
        </is>
      </c>
      <c r="C964" s="19" t="inlineStr">
        <is>
          <t>TN</t>
        </is>
      </c>
      <c r="D964" s="20" t="inlineStr">
        <is>
          <t>TN04AT6107</t>
        </is>
      </c>
      <c r="E964" s="20" t="inlineStr">
        <is>
          <t>MARUTI SUZUKI</t>
        </is>
      </c>
      <c r="F964" s="20" t="inlineStr">
        <is>
          <t>Baleno</t>
        </is>
      </c>
      <c r="G964" s="21" t="n">
        <v>2017</v>
      </c>
      <c r="H964" s="22" t="n">
        <v>161601</v>
      </c>
      <c r="I964" s="22" t="n">
        <v>370000</v>
      </c>
      <c r="J964" s="20" t="inlineStr">
        <is>
          <t>Khivraj Motor</t>
        </is>
      </c>
      <c r="K964" s="20" t="inlineStr">
        <is>
          <t>Non-Captive</t>
        </is>
      </c>
      <c r="L964" s="20" t="inlineStr">
        <is>
          <t>Santhosh Cars</t>
        </is>
      </c>
      <c r="M964" s="23" t="n">
        <v>2118.64</v>
      </c>
    </row>
    <row r="965">
      <c r="A965" s="19" t="inlineStr">
        <is>
          <t>FY26</t>
        </is>
      </c>
      <c r="B965" s="19" t="inlineStr">
        <is>
          <t>Mar</t>
        </is>
      </c>
      <c r="C965" s="19" t="inlineStr">
        <is>
          <t>TN</t>
        </is>
      </c>
      <c r="D965" s="20" t="inlineStr">
        <is>
          <t>TN02BR3522</t>
        </is>
      </c>
      <c r="E965" s="20" t="inlineStr">
        <is>
          <t>MARUTI SUZUKI</t>
        </is>
      </c>
      <c r="F965" s="20" t="inlineStr">
        <is>
          <t>Swift</t>
        </is>
      </c>
      <c r="G965" s="21" t="n">
        <v>2019</v>
      </c>
      <c r="H965" s="22" t="n">
        <v>73359</v>
      </c>
      <c r="I965" s="22" t="n">
        <v>475000</v>
      </c>
      <c r="J965" s="20" t="inlineStr">
        <is>
          <t>Khivraj Motor</t>
        </is>
      </c>
      <c r="K965" s="20" t="inlineStr">
        <is>
          <t>Non-Captive</t>
        </is>
      </c>
      <c r="L965" s="20" t="inlineStr">
        <is>
          <t>Santhosh Cars</t>
        </is>
      </c>
      <c r="M965" s="23" t="n">
        <v>2118.64</v>
      </c>
    </row>
    <row r="966">
      <c r="A966" s="19" t="inlineStr">
        <is>
          <t>FY26</t>
        </is>
      </c>
      <c r="B966" s="19" t="inlineStr">
        <is>
          <t>Mar</t>
        </is>
      </c>
      <c r="C966" s="19" t="inlineStr">
        <is>
          <t>TN</t>
        </is>
      </c>
      <c r="D966" s="20" t="inlineStr">
        <is>
          <t>TN10BU3353</t>
        </is>
      </c>
      <c r="E966" s="20" t="inlineStr">
        <is>
          <t>MARUTI SUZUKI</t>
        </is>
      </c>
      <c r="F966" s="20" t="inlineStr">
        <is>
          <t>Ignis</t>
        </is>
      </c>
      <c r="G966" s="21" t="n">
        <v>2023</v>
      </c>
      <c r="H966" s="22" t="n">
        <v>22328</v>
      </c>
      <c r="I966" s="22" t="n">
        <v>470000</v>
      </c>
      <c r="J966" s="20" t="inlineStr">
        <is>
          <t>Khivraj Motor</t>
        </is>
      </c>
      <c r="K966" s="20" t="inlineStr">
        <is>
          <t>Non-Captive</t>
        </is>
      </c>
      <c r="L966" s="20" t="inlineStr">
        <is>
          <t>Santhosh Cars</t>
        </is>
      </c>
      <c r="M966" s="23" t="n">
        <v>2118.64</v>
      </c>
    </row>
    <row r="967">
      <c r="A967" s="19" t="inlineStr">
        <is>
          <t>FY26</t>
        </is>
      </c>
      <c r="B967" s="19" t="inlineStr">
        <is>
          <t>Mar</t>
        </is>
      </c>
      <c r="C967" s="19" t="inlineStr">
        <is>
          <t>TN</t>
        </is>
      </c>
      <c r="D967" s="20" t="inlineStr">
        <is>
          <t>TN09CX3146</t>
        </is>
      </c>
      <c r="E967" s="20" t="inlineStr">
        <is>
          <t>MARUTI SUZUKI</t>
        </is>
      </c>
      <c r="F967" s="20" t="inlineStr">
        <is>
          <t>Baleno</t>
        </is>
      </c>
      <c r="G967" s="21" t="n">
        <v>2021</v>
      </c>
      <c r="H967" s="22" t="n">
        <v>27206</v>
      </c>
      <c r="I967" s="22" t="n">
        <v>500000</v>
      </c>
      <c r="J967" s="20" t="inlineStr">
        <is>
          <t>VISHNU CARS PRIVATE LIMITED</t>
        </is>
      </c>
      <c r="K967" s="20" t="inlineStr">
        <is>
          <t>Non-Captive</t>
        </is>
      </c>
      <c r="L967" s="20" t="inlineStr">
        <is>
          <t>Santhosh Cars</t>
        </is>
      </c>
      <c r="M967" s="23" t="n">
        <v>2118.64</v>
      </c>
    </row>
    <row r="968">
      <c r="A968" s="19" t="inlineStr">
        <is>
          <t>FY26</t>
        </is>
      </c>
      <c r="B968" s="19" t="inlineStr">
        <is>
          <t>Mar</t>
        </is>
      </c>
      <c r="C968" s="19" t="inlineStr">
        <is>
          <t>TN</t>
        </is>
      </c>
      <c r="D968" s="20" t="inlineStr">
        <is>
          <t>TN02BP1251</t>
        </is>
      </c>
      <c r="E968" s="20" t="inlineStr">
        <is>
          <t>HONDA</t>
        </is>
      </c>
      <c r="F968" s="20" t="inlineStr">
        <is>
          <t>Wr-V</t>
        </is>
      </c>
      <c r="G968" s="21" t="n">
        <v>2018</v>
      </c>
      <c r="H968" s="22" t="n">
        <v>47279</v>
      </c>
      <c r="I968" s="22" t="n">
        <v>300000</v>
      </c>
      <c r="J968" s="20" t="inlineStr">
        <is>
          <t>VISHNU CARS PRIVATE LIMITED</t>
        </is>
      </c>
      <c r="K968" s="20" t="inlineStr">
        <is>
          <t>Non-Captive</t>
        </is>
      </c>
      <c r="L968" s="20" t="inlineStr">
        <is>
          <t>Santhosh Cars</t>
        </is>
      </c>
      <c r="M968" s="23" t="n">
        <v>2118.64</v>
      </c>
    </row>
    <row r="969">
      <c r="A969" s="19" t="inlineStr">
        <is>
          <t>FY26</t>
        </is>
      </c>
      <c r="B969" s="19" t="inlineStr">
        <is>
          <t>Mar</t>
        </is>
      </c>
      <c r="C969" s="19" t="inlineStr">
        <is>
          <t>TN</t>
        </is>
      </c>
      <c r="D969" s="20" t="inlineStr">
        <is>
          <t>TN07DC2041</t>
        </is>
      </c>
      <c r="E969" s="20" t="inlineStr">
        <is>
          <t>HYUNDAI</t>
        </is>
      </c>
      <c r="F969" s="20" t="inlineStr">
        <is>
          <t>Grand I10</t>
        </is>
      </c>
      <c r="G969" s="21" t="n">
        <v>2023</v>
      </c>
      <c r="H969" s="22" t="n">
        <v>17557</v>
      </c>
      <c r="I969" s="22" t="n">
        <v>575000</v>
      </c>
      <c r="J969" s="20" t="inlineStr">
        <is>
          <t>STEER AUTO TECHNOLOGIES PRIVATE LIMITED</t>
        </is>
      </c>
      <c r="K969" s="20" t="inlineStr">
        <is>
          <t>Non-Captive</t>
        </is>
      </c>
      <c r="L969" s="20" t="inlineStr">
        <is>
          <t>Santhosh Cars</t>
        </is>
      </c>
      <c r="M969" s="23" t="n">
        <v>2118.64</v>
      </c>
    </row>
    <row r="970">
      <c r="A970" s="19" t="inlineStr">
        <is>
          <t>FY26</t>
        </is>
      </c>
      <c r="B970" s="19" t="inlineStr">
        <is>
          <t>Mar</t>
        </is>
      </c>
      <c r="C970" s="19" t="inlineStr">
        <is>
          <t>TN</t>
        </is>
      </c>
      <c r="D970" s="20" t="inlineStr">
        <is>
          <t>TN05CS5654</t>
        </is>
      </c>
      <c r="E970" s="20" t="inlineStr">
        <is>
          <t>TATA</t>
        </is>
      </c>
      <c r="F970" s="20" t="inlineStr">
        <is>
          <t>Punch</t>
        </is>
      </c>
      <c r="G970" s="21" t="n">
        <v>2024</v>
      </c>
      <c r="H970" s="22" t="n">
        <v>54322</v>
      </c>
      <c r="I970" s="22" t="n">
        <v>700000</v>
      </c>
      <c r="J970" s="20" t="inlineStr">
        <is>
          <t>Khivraj Motor</t>
        </is>
      </c>
      <c r="K970" s="20" t="inlineStr">
        <is>
          <t>Non-Captive</t>
        </is>
      </c>
      <c r="L970" s="20" t="inlineStr">
        <is>
          <t>Santhosh Cars</t>
        </is>
      </c>
      <c r="M970" s="23" t="n">
        <v>2118.64</v>
      </c>
    </row>
    <row r="971">
      <c r="A971" s="19" t="inlineStr">
        <is>
          <t>FY26</t>
        </is>
      </c>
      <c r="B971" s="19" t="inlineStr">
        <is>
          <t>Mar</t>
        </is>
      </c>
      <c r="C971" s="19" t="inlineStr">
        <is>
          <t>TN</t>
        </is>
      </c>
      <c r="D971" s="20" t="inlineStr">
        <is>
          <t>TN01AS8662</t>
        </is>
      </c>
      <c r="E971" s="20" t="inlineStr">
        <is>
          <t>MARUTI SUZUKI</t>
        </is>
      </c>
      <c r="F971" s="20" t="inlineStr">
        <is>
          <t>Swift Dzire</t>
        </is>
      </c>
      <c r="G971" s="21" t="n">
        <v>2012</v>
      </c>
      <c r="H971" s="22" t="n">
        <v>45000</v>
      </c>
      <c r="I971" s="22" t="n">
        <v>200000</v>
      </c>
      <c r="J971" s="20" t="inlineStr">
        <is>
          <t>Khivraj Motor</t>
        </is>
      </c>
      <c r="K971" s="20" t="inlineStr">
        <is>
          <t>Non-Captive</t>
        </is>
      </c>
      <c r="L971" s="20" t="inlineStr">
        <is>
          <t>Santhosh Cars</t>
        </is>
      </c>
      <c r="M971" s="23" t="n">
        <v>2118.64</v>
      </c>
    </row>
    <row r="972">
      <c r="A972" s="19" t="inlineStr">
        <is>
          <t>FY26</t>
        </is>
      </c>
      <c r="B972" s="19" t="inlineStr">
        <is>
          <t>Mar</t>
        </is>
      </c>
      <c r="C972" s="19" t="inlineStr">
        <is>
          <t>TN</t>
        </is>
      </c>
      <c r="D972" s="20" t="inlineStr">
        <is>
          <t>TN09BD5116</t>
        </is>
      </c>
      <c r="E972" s="20" t="inlineStr">
        <is>
          <t>MARUTI SUZUKI</t>
        </is>
      </c>
      <c r="F972" s="20" t="inlineStr">
        <is>
          <t>Ritz</t>
        </is>
      </c>
      <c r="G972" s="21" t="n">
        <v>2010</v>
      </c>
      <c r="H972" s="22" t="n">
        <v>12159</v>
      </c>
      <c r="I972" s="22" t="n">
        <v>150000</v>
      </c>
      <c r="J972" s="20" t="inlineStr">
        <is>
          <t>Khivraj Motor</t>
        </is>
      </c>
      <c r="K972" s="20" t="inlineStr">
        <is>
          <t>Non-Captive</t>
        </is>
      </c>
      <c r="L972" s="20" t="inlineStr">
        <is>
          <t>Santhosh Cars</t>
        </is>
      </c>
      <c r="M972" s="23" t="n">
        <v>2118.64</v>
      </c>
    </row>
    <row r="973">
      <c r="A973" s="19" t="inlineStr">
        <is>
          <t>FY26</t>
        </is>
      </c>
      <c r="B973" s="19" t="inlineStr">
        <is>
          <t>Mar</t>
        </is>
      </c>
      <c r="C973" s="19" t="inlineStr">
        <is>
          <t>TN</t>
        </is>
      </c>
      <c r="D973" s="20" t="inlineStr">
        <is>
          <t>TN10AY3940</t>
        </is>
      </c>
      <c r="E973" s="20" t="inlineStr">
        <is>
          <t>MARUTI SUZUKI</t>
        </is>
      </c>
      <c r="F973" s="20" t="inlineStr">
        <is>
          <t>Vitara Brezza</t>
        </is>
      </c>
      <c r="G973" s="21" t="n">
        <v>2016</v>
      </c>
      <c r="H973" s="22" t="n">
        <v>166667</v>
      </c>
      <c r="I973" s="22" t="n">
        <v>450000</v>
      </c>
      <c r="J973" s="20" t="inlineStr">
        <is>
          <t>Khivraj Motor</t>
        </is>
      </c>
      <c r="K973" s="20" t="inlineStr">
        <is>
          <t>Non-Captive</t>
        </is>
      </c>
      <c r="L973" s="20" t="inlineStr">
        <is>
          <t>Santhosh Cars</t>
        </is>
      </c>
      <c r="M973" s="23" t="n">
        <v>2118.64</v>
      </c>
    </row>
    <row r="974">
      <c r="A974" s="19" t="inlineStr">
        <is>
          <t>FY26</t>
        </is>
      </c>
      <c r="B974" s="19" t="inlineStr">
        <is>
          <t>Mar</t>
        </is>
      </c>
      <c r="C974" s="19" t="inlineStr">
        <is>
          <t>TN</t>
        </is>
      </c>
      <c r="D974" s="20" t="inlineStr">
        <is>
          <t>TN21AE6446</t>
        </is>
      </c>
      <c r="E974" s="20" t="inlineStr">
        <is>
          <t>HYUNDAI</t>
        </is>
      </c>
      <c r="F974" s="20" t="inlineStr">
        <is>
          <t>Grand I10</t>
        </is>
      </c>
      <c r="G974" s="21" t="n">
        <v>2009</v>
      </c>
      <c r="H974" s="22" t="n">
        <v>32709</v>
      </c>
      <c r="I974" s="22" t="n">
        <v>600000</v>
      </c>
      <c r="J974" s="20" t="inlineStr">
        <is>
          <t>Shree Thiya cars</t>
        </is>
      </c>
      <c r="K974" s="20" t="inlineStr">
        <is>
          <t>Non-Captive</t>
        </is>
      </c>
      <c r="L974" s="20" t="inlineStr">
        <is>
          <t>Santhosh Cars</t>
        </is>
      </c>
      <c r="M974" s="23" t="n">
        <v>2118.64</v>
      </c>
    </row>
    <row r="975">
      <c r="A975" s="19" t="inlineStr">
        <is>
          <t>FY26</t>
        </is>
      </c>
      <c r="B975" s="19" t="inlineStr">
        <is>
          <t>Mar</t>
        </is>
      </c>
      <c r="C975" s="19" t="inlineStr">
        <is>
          <t>TN</t>
        </is>
      </c>
      <c r="D975" s="20" t="inlineStr">
        <is>
          <t>TN132269</t>
        </is>
      </c>
      <c r="E975" s="20" t="inlineStr">
        <is>
          <t>MARUTI SUZUKI</t>
        </is>
      </c>
      <c r="F975" s="20" t="inlineStr">
        <is>
          <t>Swift</t>
        </is>
      </c>
      <c r="G975" s="21" t="n">
        <v>2013</v>
      </c>
      <c r="H975" s="22" t="n">
        <v>34398</v>
      </c>
      <c r="I975" s="22" t="n">
        <v>300000</v>
      </c>
      <c r="J975" s="20" t="inlineStr">
        <is>
          <t>Khivraj Motor</t>
        </is>
      </c>
      <c r="K975" s="20" t="inlineStr">
        <is>
          <t>Non-Captive</t>
        </is>
      </c>
      <c r="L975" s="20" t="inlineStr">
        <is>
          <t>Santhosh Cars</t>
        </is>
      </c>
      <c r="M975" s="23" t="n">
        <v>2118.64</v>
      </c>
    </row>
    <row r="976">
      <c r="A976" s="19" t="inlineStr">
        <is>
          <t>FY26</t>
        </is>
      </c>
      <c r="B976" s="19" t="inlineStr">
        <is>
          <t>Mar</t>
        </is>
      </c>
      <c r="C976" s="19" t="inlineStr">
        <is>
          <t>TN</t>
        </is>
      </c>
      <c r="D976" s="20" t="inlineStr">
        <is>
          <t>TN02BQ9436</t>
        </is>
      </c>
      <c r="E976" s="20" t="inlineStr">
        <is>
          <t>HYUNDAI</t>
        </is>
      </c>
      <c r="F976" s="20" t="inlineStr">
        <is>
          <t>Grand I10</t>
        </is>
      </c>
      <c r="G976" s="21" t="n">
        <v>2019</v>
      </c>
      <c r="H976" s="22" t="n">
        <v>45059</v>
      </c>
      <c r="I976" s="22" t="n">
        <v>350000</v>
      </c>
      <c r="J976" s="20" t="inlineStr">
        <is>
          <t>Khivraj Motor</t>
        </is>
      </c>
      <c r="K976" s="20" t="inlineStr">
        <is>
          <t>Non-Captive</t>
        </is>
      </c>
      <c r="L976" s="20" t="inlineStr">
        <is>
          <t>Santhosh Cars</t>
        </is>
      </c>
      <c r="M976" s="23" t="n">
        <v>2118.64</v>
      </c>
    </row>
    <row r="977">
      <c r="A977" s="19" t="inlineStr">
        <is>
          <t>FY26</t>
        </is>
      </c>
      <c r="B977" s="19" t="inlineStr">
        <is>
          <t>Mar</t>
        </is>
      </c>
      <c r="C977" s="19" t="inlineStr">
        <is>
          <t>TN</t>
        </is>
      </c>
      <c r="D977" s="20" t="inlineStr">
        <is>
          <t>TN04BC3439</t>
        </is>
      </c>
      <c r="E977" s="20" t="inlineStr">
        <is>
          <t>MARUTI SUZUKI</t>
        </is>
      </c>
      <c r="F977" s="20" t="inlineStr">
        <is>
          <t>Xl6</t>
        </is>
      </c>
      <c r="G977" s="21" t="n">
        <v>2023</v>
      </c>
      <c r="H977" s="22" t="n">
        <v>39682</v>
      </c>
      <c r="I977" s="22" t="n">
        <v>1000000</v>
      </c>
      <c r="J977" s="20" t="inlineStr">
        <is>
          <t>Khivraj Motor</t>
        </is>
      </c>
      <c r="K977" s="20" t="inlineStr">
        <is>
          <t>Non-Captive</t>
        </is>
      </c>
      <c r="L977" s="20" t="inlineStr">
        <is>
          <t>Santhosh Cars</t>
        </is>
      </c>
      <c r="M977" s="23" t="n">
        <v>2118.64</v>
      </c>
    </row>
    <row r="978">
      <c r="A978" s="19" t="inlineStr">
        <is>
          <t>FY26</t>
        </is>
      </c>
      <c r="B978" s="19" t="inlineStr">
        <is>
          <t>Mar</t>
        </is>
      </c>
      <c r="C978" s="19" t="inlineStr">
        <is>
          <t>TN</t>
        </is>
      </c>
      <c r="D978" s="20" t="inlineStr">
        <is>
          <t>TN05X7900</t>
        </is>
      </c>
      <c r="E978" s="20" t="inlineStr">
        <is>
          <t>HYUNDAI</t>
        </is>
      </c>
      <c r="F978" s="20" t="inlineStr">
        <is>
          <t>Getz</t>
        </is>
      </c>
      <c r="G978" s="21" t="n">
        <v>2008</v>
      </c>
      <c r="H978" s="22" t="n">
        <v>48958</v>
      </c>
      <c r="I978" s="22" t="n">
        <v>100000</v>
      </c>
      <c r="J978" s="20" t="inlineStr">
        <is>
          <t>Khivraj Motor</t>
        </is>
      </c>
      <c r="K978" s="20" t="inlineStr">
        <is>
          <t>Non-Captive</t>
        </is>
      </c>
      <c r="L978" s="20" t="inlineStr">
        <is>
          <t>Santhosh Cars</t>
        </is>
      </c>
      <c r="M978" s="23" t="n">
        <v>2118.64</v>
      </c>
    </row>
    <row r="979">
      <c r="A979" s="19" t="inlineStr">
        <is>
          <t>FY26</t>
        </is>
      </c>
      <c r="B979" s="19" t="inlineStr">
        <is>
          <t>Mar</t>
        </is>
      </c>
      <c r="C979" s="19" t="inlineStr">
        <is>
          <t>TN</t>
        </is>
      </c>
      <c r="D979" s="20" t="inlineStr">
        <is>
          <t>TN06M3895</t>
        </is>
      </c>
      <c r="E979" s="20" t="inlineStr">
        <is>
          <t>HYUNDAI</t>
        </is>
      </c>
      <c r="F979" s="20" t="inlineStr">
        <is>
          <t>Eon</t>
        </is>
      </c>
      <c r="G979" s="21" t="n">
        <v>2014</v>
      </c>
      <c r="H979" s="22" t="n">
        <v>45722</v>
      </c>
      <c r="I979" s="22" t="n">
        <v>160000</v>
      </c>
      <c r="J979" s="20" t="inlineStr">
        <is>
          <t>Khivraj Motor</t>
        </is>
      </c>
      <c r="K979" s="20" t="inlineStr">
        <is>
          <t>Non-Captive</t>
        </is>
      </c>
      <c r="L979" s="20" t="inlineStr">
        <is>
          <t>Santhosh Cars</t>
        </is>
      </c>
      <c r="M979" s="23" t="n">
        <v>2118.64</v>
      </c>
    </row>
    <row r="980">
      <c r="A980" s="19" t="inlineStr">
        <is>
          <t>FY26</t>
        </is>
      </c>
      <c r="B980" s="19" t="inlineStr">
        <is>
          <t>Mar</t>
        </is>
      </c>
      <c r="C980" s="19" t="inlineStr">
        <is>
          <t>TN</t>
        </is>
      </c>
      <c r="D980" s="20" t="inlineStr">
        <is>
          <t>TN14F6532</t>
        </is>
      </c>
      <c r="E980" s="20" t="inlineStr">
        <is>
          <t>MARUTI SUZUKI</t>
        </is>
      </c>
      <c r="F980" s="20" t="inlineStr">
        <is>
          <t>Alto</t>
        </is>
      </c>
      <c r="G980" s="21" t="n">
        <v>2016</v>
      </c>
      <c r="H980" s="22" t="n">
        <v>84672</v>
      </c>
      <c r="I980" s="22" t="n">
        <v>120000</v>
      </c>
      <c r="J980" s="20" t="inlineStr">
        <is>
          <t>Khivraj Motor</t>
        </is>
      </c>
      <c r="K980" s="20" t="inlineStr">
        <is>
          <t>Non-Captive</t>
        </is>
      </c>
      <c r="L980" s="20" t="inlineStr">
        <is>
          <t>Santhosh Cars</t>
        </is>
      </c>
      <c r="M980" s="23" t="n">
        <v>2118.64</v>
      </c>
    </row>
    <row r="981">
      <c r="A981" s="19" t="inlineStr">
        <is>
          <t>FY26</t>
        </is>
      </c>
      <c r="B981" s="19" t="inlineStr">
        <is>
          <t>Mar</t>
        </is>
      </c>
      <c r="C981" s="19" t="inlineStr">
        <is>
          <t>TN</t>
        </is>
      </c>
      <c r="D981" s="20" t="inlineStr">
        <is>
          <t>TN07AV8505</t>
        </is>
      </c>
      <c r="E981" s="20" t="inlineStr">
        <is>
          <t>HYUNDAI</t>
        </is>
      </c>
      <c r="F981" s="20" t="inlineStr">
        <is>
          <t>Santro</t>
        </is>
      </c>
      <c r="G981" s="21" t="n">
        <v>2006</v>
      </c>
      <c r="H981" s="22" t="n">
        <v>34283</v>
      </c>
      <c r="I981" s="22" t="n">
        <v>100000</v>
      </c>
      <c r="J981" s="20" t="inlineStr">
        <is>
          <t>Khivraj Motor</t>
        </is>
      </c>
      <c r="K981" s="20" t="inlineStr">
        <is>
          <t>Non-Captive</t>
        </is>
      </c>
      <c r="L981" s="20" t="inlineStr">
        <is>
          <t>Santhosh Cars</t>
        </is>
      </c>
      <c r="M981" s="23" t="n">
        <v>2118.64</v>
      </c>
    </row>
    <row r="982">
      <c r="A982" s="19" t="inlineStr">
        <is>
          <t>FY26</t>
        </is>
      </c>
      <c r="B982" s="19" t="inlineStr">
        <is>
          <t>Mar</t>
        </is>
      </c>
      <c r="C982" s="19" t="inlineStr">
        <is>
          <t>TN</t>
        </is>
      </c>
      <c r="D982" s="20" t="inlineStr">
        <is>
          <t>TN09CX2431</t>
        </is>
      </c>
      <c r="E982" s="20" t="inlineStr">
        <is>
          <t>MARUTI SUZUKI</t>
        </is>
      </c>
      <c r="F982" s="20" t="inlineStr">
        <is>
          <t>Eeco</t>
        </is>
      </c>
      <c r="G982" s="21" t="n">
        <v>2021</v>
      </c>
      <c r="H982" s="22" t="n">
        <v>54441</v>
      </c>
      <c r="I982" s="22" t="n">
        <v>380000</v>
      </c>
      <c r="J982" s="20" t="inlineStr">
        <is>
          <t>Khivraj Motor</t>
        </is>
      </c>
      <c r="K982" s="20" t="inlineStr">
        <is>
          <t>Non-Captive</t>
        </is>
      </c>
      <c r="L982" s="20" t="inlineStr">
        <is>
          <t>Santhosh Cars</t>
        </is>
      </c>
      <c r="M982" s="23" t="n">
        <v>2118.64</v>
      </c>
    </row>
    <row r="983">
      <c r="A983" s="19" t="inlineStr">
        <is>
          <t>FY26</t>
        </is>
      </c>
      <c r="B983" s="19" t="inlineStr">
        <is>
          <t>Mar</t>
        </is>
      </c>
      <c r="C983" s="19" t="inlineStr">
        <is>
          <t>TN</t>
        </is>
      </c>
      <c r="D983" s="20" t="inlineStr">
        <is>
          <t>TN01BH3622</t>
        </is>
      </c>
      <c r="E983" s="20" t="inlineStr">
        <is>
          <t>MARUTI SUZUKI</t>
        </is>
      </c>
      <c r="F983" s="20" t="inlineStr">
        <is>
          <t>Baleno</t>
        </is>
      </c>
      <c r="G983" s="21" t="n">
        <v>2019</v>
      </c>
      <c r="H983" s="22" t="n">
        <v>25947</v>
      </c>
      <c r="I983" s="22" t="n">
        <v>500000</v>
      </c>
      <c r="J983" s="20" t="inlineStr">
        <is>
          <t>Khivraj Motor</t>
        </is>
      </c>
      <c r="K983" s="20" t="inlineStr">
        <is>
          <t>Non-Captive</t>
        </is>
      </c>
      <c r="L983" s="20" t="inlineStr">
        <is>
          <t>Santhosh Cars</t>
        </is>
      </c>
      <c r="M983" s="23" t="n">
        <v>2118.64</v>
      </c>
    </row>
    <row r="984">
      <c r="A984" s="19" t="inlineStr">
        <is>
          <t>FY26</t>
        </is>
      </c>
      <c r="B984" s="19" t="inlineStr">
        <is>
          <t>Mar</t>
        </is>
      </c>
      <c r="C984" s="19" t="inlineStr">
        <is>
          <t>TN</t>
        </is>
      </c>
      <c r="D984" s="20" t="inlineStr">
        <is>
          <t>TN12B1233</t>
        </is>
      </c>
      <c r="E984" s="20" t="inlineStr">
        <is>
          <t>HONDA</t>
        </is>
      </c>
      <c r="F984" s="20" t="inlineStr">
        <is>
          <t>Amaze</t>
        </is>
      </c>
      <c r="G984" s="21" t="n">
        <v>2013</v>
      </c>
      <c r="H984" s="22" t="n">
        <v>125170</v>
      </c>
      <c r="I984" s="22" t="n">
        <v>200000</v>
      </c>
      <c r="J984" s="20" t="inlineStr">
        <is>
          <t>Khivraj Motor</t>
        </is>
      </c>
      <c r="K984" s="20" t="inlineStr">
        <is>
          <t>Non-Captive</t>
        </is>
      </c>
      <c r="L984" s="20" t="inlineStr">
        <is>
          <t>Santhosh Cars</t>
        </is>
      </c>
      <c r="M984" s="23" t="n">
        <v>2118.64</v>
      </c>
    </row>
    <row r="985">
      <c r="A985" s="19" t="inlineStr">
        <is>
          <t>FY26</t>
        </is>
      </c>
      <c r="B985" s="19" t="inlineStr">
        <is>
          <t>Mar</t>
        </is>
      </c>
      <c r="C985" s="19" t="inlineStr">
        <is>
          <t>TN</t>
        </is>
      </c>
      <c r="D985" s="20" t="inlineStr">
        <is>
          <t>TN02AQ1302</t>
        </is>
      </c>
      <c r="E985" s="20" t="inlineStr">
        <is>
          <t>MARUTI SUZUKI</t>
        </is>
      </c>
      <c r="F985" s="20" t="inlineStr">
        <is>
          <t>Alto K10</t>
        </is>
      </c>
      <c r="G985" s="21" t="n">
        <v>2010</v>
      </c>
      <c r="H985" s="22" t="n">
        <v>38214</v>
      </c>
      <c r="I985" s="22" t="n">
        <v>145000</v>
      </c>
      <c r="J985" s="20" t="inlineStr">
        <is>
          <t>Khivraj Motor</t>
        </is>
      </c>
      <c r="K985" s="20" t="inlineStr">
        <is>
          <t>Non-Captive</t>
        </is>
      </c>
      <c r="L985" s="20" t="inlineStr">
        <is>
          <t>Santhosh Cars</t>
        </is>
      </c>
      <c r="M985" s="23" t="n">
        <v>2118.64</v>
      </c>
    </row>
    <row r="986">
      <c r="A986" s="19" t="inlineStr">
        <is>
          <t>FY26</t>
        </is>
      </c>
      <c r="B986" s="19" t="inlineStr">
        <is>
          <t>Mar</t>
        </is>
      </c>
      <c r="C986" s="19" t="inlineStr">
        <is>
          <t>TN</t>
        </is>
      </c>
      <c r="D986" s="20" t="inlineStr">
        <is>
          <t>TN09CD7018</t>
        </is>
      </c>
      <c r="E986" s="20" t="inlineStr">
        <is>
          <t>RENAULT</t>
        </is>
      </c>
      <c r="F986" s="20" t="inlineStr">
        <is>
          <t>Kwid</t>
        </is>
      </c>
      <c r="G986" s="21" t="n">
        <v>2016</v>
      </c>
      <c r="H986" s="22" t="n">
        <v>44004</v>
      </c>
      <c r="I986" s="22" t="n">
        <v>200000</v>
      </c>
      <c r="J986" s="20" t="inlineStr">
        <is>
          <t>Khivraj Motor</t>
        </is>
      </c>
      <c r="K986" s="20" t="inlineStr">
        <is>
          <t>Non-Captive</t>
        </is>
      </c>
      <c r="L986" s="20" t="inlineStr">
        <is>
          <t>Santhosh Cars</t>
        </is>
      </c>
      <c r="M986" s="23" t="n">
        <v>2118.64</v>
      </c>
    </row>
    <row r="987">
      <c r="A987" s="19" t="inlineStr">
        <is>
          <t>FY26</t>
        </is>
      </c>
      <c r="B987" s="19" t="inlineStr">
        <is>
          <t>Mar</t>
        </is>
      </c>
      <c r="C987" s="19" t="inlineStr">
        <is>
          <t>TN</t>
        </is>
      </c>
      <c r="D987" s="20" t="inlineStr">
        <is>
          <t>TN14F6816</t>
        </is>
      </c>
      <c r="E987" s="20" t="inlineStr">
        <is>
          <t>MARUTI SUZUKI</t>
        </is>
      </c>
      <c r="F987" s="20" t="inlineStr">
        <is>
          <t>Ciaz</t>
        </is>
      </c>
      <c r="G987" s="21" t="n">
        <v>2016</v>
      </c>
      <c r="H987" s="22" t="n">
        <v>114265</v>
      </c>
      <c r="I987" s="22" t="n">
        <v>400000</v>
      </c>
      <c r="J987" s="20" t="inlineStr">
        <is>
          <t>Khivraj Motor</t>
        </is>
      </c>
      <c r="K987" s="20" t="inlineStr">
        <is>
          <t>Non-Captive</t>
        </is>
      </c>
      <c r="L987" s="20" t="inlineStr">
        <is>
          <t>Santhosh Cars</t>
        </is>
      </c>
      <c r="M987" s="23" t="n">
        <v>2118.64</v>
      </c>
    </row>
    <row r="988">
      <c r="A988" s="19" t="inlineStr">
        <is>
          <t>FY26</t>
        </is>
      </c>
      <c r="B988" s="19" t="inlineStr">
        <is>
          <t>Mar</t>
        </is>
      </c>
      <c r="C988" s="19" t="inlineStr">
        <is>
          <t>TN</t>
        </is>
      </c>
      <c r="D988" s="20" t="inlineStr">
        <is>
          <t>TN12Q8464</t>
        </is>
      </c>
      <c r="E988" s="20" t="inlineStr">
        <is>
          <t>VOLKSWAGEN</t>
        </is>
      </c>
      <c r="F988" s="20" t="inlineStr">
        <is>
          <t>Polo</t>
        </is>
      </c>
      <c r="G988" s="21" t="n">
        <v>2016</v>
      </c>
      <c r="H988" s="22" t="n">
        <v>122726</v>
      </c>
      <c r="I988" s="22" t="n">
        <v>250000</v>
      </c>
      <c r="J988" s="20" t="inlineStr">
        <is>
          <t>Khivraj Motor</t>
        </is>
      </c>
      <c r="K988" s="20" t="inlineStr">
        <is>
          <t>Non-Captive</t>
        </is>
      </c>
      <c r="L988" s="20" t="inlineStr">
        <is>
          <t>Santhosh Cars</t>
        </is>
      </c>
      <c r="M988" s="23" t="n">
        <v>2118.64</v>
      </c>
    </row>
    <row r="989">
      <c r="A989" s="19" t="inlineStr">
        <is>
          <t>FY26</t>
        </is>
      </c>
      <c r="B989" s="19" t="inlineStr">
        <is>
          <t>Mar</t>
        </is>
      </c>
      <c r="C989" s="19" t="inlineStr">
        <is>
          <t>TN</t>
        </is>
      </c>
      <c r="D989" s="20" t="inlineStr">
        <is>
          <t>TN06L3925</t>
        </is>
      </c>
      <c r="E989" s="20" t="inlineStr">
        <is>
          <t>FORD</t>
        </is>
      </c>
      <c r="F989" s="20" t="inlineStr">
        <is>
          <t>Ecosport</t>
        </is>
      </c>
      <c r="G989" s="21" t="n">
        <v>2014</v>
      </c>
      <c r="H989" s="22" t="n">
        <v>84404</v>
      </c>
      <c r="I989" s="22" t="n">
        <v>250000</v>
      </c>
      <c r="J989" s="20" t="inlineStr">
        <is>
          <t>Khivraj Motor</t>
        </is>
      </c>
      <c r="K989" s="20" t="inlineStr">
        <is>
          <t>Non-Captive</t>
        </is>
      </c>
      <c r="L989" s="20" t="inlineStr">
        <is>
          <t>Santhosh Cars</t>
        </is>
      </c>
      <c r="M989" s="23" t="n">
        <v>2118.64</v>
      </c>
    </row>
    <row r="990">
      <c r="A990" s="19" t="inlineStr">
        <is>
          <t>FY26</t>
        </is>
      </c>
      <c r="B990" s="19" t="inlineStr">
        <is>
          <t>Mar</t>
        </is>
      </c>
      <c r="C990" s="19" t="inlineStr">
        <is>
          <t>TN</t>
        </is>
      </c>
      <c r="D990" s="20" t="inlineStr">
        <is>
          <t>TN02BS4691</t>
        </is>
      </c>
      <c r="E990" s="20" t="inlineStr">
        <is>
          <t>HONDA</t>
        </is>
      </c>
      <c r="F990" s="20" t="inlineStr">
        <is>
          <t>City</t>
        </is>
      </c>
      <c r="G990" s="21" t="n">
        <v>2016</v>
      </c>
      <c r="H990" s="22" t="n">
        <v>85425</v>
      </c>
      <c r="I990" s="22" t="n">
        <v>450000</v>
      </c>
      <c r="J990" s="20" t="inlineStr">
        <is>
          <t>Khivraj Motor</t>
        </is>
      </c>
      <c r="K990" s="20" t="inlineStr">
        <is>
          <t>Non-Captive</t>
        </is>
      </c>
      <c r="L990" s="20" t="inlineStr">
        <is>
          <t>Santhosh Cars</t>
        </is>
      </c>
      <c r="M990" s="23" t="n">
        <v>2118.64</v>
      </c>
    </row>
    <row r="991">
      <c r="A991" s="19" t="inlineStr">
        <is>
          <t>FY26</t>
        </is>
      </c>
      <c r="B991" s="19" t="inlineStr">
        <is>
          <t>Mar</t>
        </is>
      </c>
      <c r="C991" s="19" t="inlineStr">
        <is>
          <t>TN</t>
        </is>
      </c>
      <c r="D991" s="20" t="inlineStr">
        <is>
          <t>TN73Z4147</t>
        </is>
      </c>
      <c r="E991" s="20" t="inlineStr">
        <is>
          <t>MARUTI SUZUKI</t>
        </is>
      </c>
      <c r="F991" s="20" t="inlineStr">
        <is>
          <t>A Star</t>
        </is>
      </c>
      <c r="G991" s="21" t="n">
        <v>2009</v>
      </c>
      <c r="H991" s="22" t="n">
        <v>92900</v>
      </c>
      <c r="I991" s="22" t="n">
        <v>100000</v>
      </c>
      <c r="J991" s="20" t="inlineStr">
        <is>
          <t>Khivraj Motor</t>
        </is>
      </c>
      <c r="K991" s="20" t="inlineStr">
        <is>
          <t>Non-Captive</t>
        </is>
      </c>
      <c r="L991" s="20" t="inlineStr">
        <is>
          <t>Santhosh Cars</t>
        </is>
      </c>
      <c r="M991" s="23" t="n">
        <v>2966.1</v>
      </c>
    </row>
    <row r="992">
      <c r="A992" s="19" t="inlineStr">
        <is>
          <t>FY26</t>
        </is>
      </c>
      <c r="B992" s="19" t="inlineStr">
        <is>
          <t>Mar</t>
        </is>
      </c>
      <c r="C992" s="19" t="inlineStr">
        <is>
          <t>TN</t>
        </is>
      </c>
      <c r="D992" s="20" t="inlineStr">
        <is>
          <t>TN07CB3391</t>
        </is>
      </c>
      <c r="E992" s="20" t="inlineStr">
        <is>
          <t>MARUTI SUZUKI</t>
        </is>
      </c>
      <c r="F992" s="20" t="inlineStr">
        <is>
          <t>Wagon R</t>
        </is>
      </c>
      <c r="G992" s="21" t="n">
        <v>2015</v>
      </c>
      <c r="H992" s="22" t="n">
        <v>65000</v>
      </c>
      <c r="I992" s="22" t="n">
        <v>250000</v>
      </c>
      <c r="J992" s="20" t="inlineStr">
        <is>
          <t>Khivraj Motor</t>
        </is>
      </c>
      <c r="K992" s="20" t="inlineStr">
        <is>
          <t>Non-Captive</t>
        </is>
      </c>
      <c r="L992" s="20" t="inlineStr">
        <is>
          <t>Nirmal Cars</t>
        </is>
      </c>
      <c r="M992" s="23" t="n">
        <v>2118.64</v>
      </c>
    </row>
    <row r="993">
      <c r="A993" s="19" t="inlineStr">
        <is>
          <t>FY26</t>
        </is>
      </c>
      <c r="B993" s="19" t="inlineStr">
        <is>
          <t>Mar</t>
        </is>
      </c>
      <c r="C993" s="19" t="inlineStr">
        <is>
          <t>TN</t>
        </is>
      </c>
      <c r="D993" s="20" t="inlineStr">
        <is>
          <t>TN04AS1440</t>
        </is>
      </c>
      <c r="E993" s="20" t="inlineStr">
        <is>
          <t>HONDA</t>
        </is>
      </c>
      <c r="F993" s="20" t="inlineStr">
        <is>
          <t>Jazz</t>
        </is>
      </c>
      <c r="G993" s="21" t="n">
        <v>2016</v>
      </c>
      <c r="H993" s="22" t="n">
        <v>58000</v>
      </c>
      <c r="I993" s="22" t="n">
        <v>340000</v>
      </c>
      <c r="J993" s="20" t="inlineStr">
        <is>
          <t>Khivraj Motor</t>
        </is>
      </c>
      <c r="K993" s="20" t="inlineStr">
        <is>
          <t>Non-Captive</t>
        </is>
      </c>
      <c r="L993" s="20" t="inlineStr">
        <is>
          <t>Nirmal Cars</t>
        </is>
      </c>
      <c r="M993" s="23" t="n">
        <v>2118.64</v>
      </c>
    </row>
    <row r="994">
      <c r="A994" s="19" t="inlineStr">
        <is>
          <t>FY26</t>
        </is>
      </c>
      <c r="B994" s="19" t="inlineStr">
        <is>
          <t>Mar</t>
        </is>
      </c>
      <c r="C994" s="19" t="inlineStr">
        <is>
          <t>TN</t>
        </is>
      </c>
      <c r="D994" s="20" t="inlineStr">
        <is>
          <t>TN13M5078</t>
        </is>
      </c>
      <c r="E994" s="20" t="inlineStr">
        <is>
          <t>TATA</t>
        </is>
      </c>
      <c r="F994" s="20" t="inlineStr">
        <is>
          <t>Nexon</t>
        </is>
      </c>
      <c r="G994" s="21" t="n">
        <v>2017</v>
      </c>
      <c r="H994" s="22" t="n">
        <v>98000</v>
      </c>
      <c r="I994" s="22" t="n">
        <v>470000</v>
      </c>
      <c r="J994" s="20" t="inlineStr">
        <is>
          <t>Khivraj Motor</t>
        </is>
      </c>
      <c r="K994" s="20" t="inlineStr">
        <is>
          <t>Non-Captive</t>
        </is>
      </c>
      <c r="L994" s="20" t="inlineStr">
        <is>
          <t>Nirmal Cars</t>
        </is>
      </c>
      <c r="M994" s="23" t="n">
        <v>2118.64</v>
      </c>
    </row>
    <row r="995">
      <c r="A995" s="19" t="inlineStr">
        <is>
          <t>FY26</t>
        </is>
      </c>
      <c r="B995" s="19" t="inlineStr">
        <is>
          <t>Mar</t>
        </is>
      </c>
      <c r="C995" s="19" t="inlineStr">
        <is>
          <t>TN</t>
        </is>
      </c>
      <c r="D995" s="20" t="inlineStr">
        <is>
          <t>TN03M5788</t>
        </is>
      </c>
      <c r="E995" s="20" t="inlineStr">
        <is>
          <t>HYUNDAI</t>
        </is>
      </c>
      <c r="F995" s="20" t="inlineStr">
        <is>
          <t>Grand I10</t>
        </is>
      </c>
      <c r="G995" s="21" t="n">
        <v>2014</v>
      </c>
      <c r="H995" s="22" t="n">
        <v>120000</v>
      </c>
      <c r="I995" s="22" t="n">
        <v>250000</v>
      </c>
      <c r="J995" s="20" t="inlineStr">
        <is>
          <t>Khivraj Motor</t>
        </is>
      </c>
      <c r="K995" s="20" t="inlineStr">
        <is>
          <t>Non-Captive</t>
        </is>
      </c>
      <c r="L995" s="20" t="inlineStr">
        <is>
          <t>Nirmal Cars</t>
        </is>
      </c>
      <c r="M995" s="23" t="n">
        <v>2118.64</v>
      </c>
    </row>
    <row r="996">
      <c r="A996" s="19" t="inlineStr">
        <is>
          <t>FY26</t>
        </is>
      </c>
      <c r="B996" s="19" t="inlineStr">
        <is>
          <t>Mar</t>
        </is>
      </c>
      <c r="C996" s="19" t="inlineStr">
        <is>
          <t>TN</t>
        </is>
      </c>
      <c r="D996" s="20" t="inlineStr">
        <is>
          <t>TN02BC6194</t>
        </is>
      </c>
      <c r="E996" s="20" t="inlineStr">
        <is>
          <t>MARUTI SUZUKI</t>
        </is>
      </c>
      <c r="F996" s="20" t="inlineStr">
        <is>
          <t>Ciaz</t>
        </is>
      </c>
      <c r="G996" s="21" t="n">
        <v>2015</v>
      </c>
      <c r="H996" s="22" t="n">
        <v>102000</v>
      </c>
      <c r="I996" s="22" t="n">
        <v>350000</v>
      </c>
      <c r="J996" s="20" t="inlineStr">
        <is>
          <t>Khivraj Motor</t>
        </is>
      </c>
      <c r="K996" s="20" t="inlineStr">
        <is>
          <t>Non-Captive</t>
        </is>
      </c>
      <c r="L996" s="20" t="inlineStr">
        <is>
          <t>Nirmal Cars</t>
        </is>
      </c>
      <c r="M996" s="23" t="n">
        <v>2118.64</v>
      </c>
    </row>
    <row r="997">
      <c r="A997" s="19" t="inlineStr">
        <is>
          <t>FY26</t>
        </is>
      </c>
      <c r="B997" s="19" t="inlineStr">
        <is>
          <t>Mar</t>
        </is>
      </c>
      <c r="C997" s="19" t="inlineStr">
        <is>
          <t>TN</t>
        </is>
      </c>
      <c r="D997" s="20" t="inlineStr">
        <is>
          <t>TN01AY1234</t>
        </is>
      </c>
      <c r="E997" s="20" t="inlineStr">
        <is>
          <t>TOYOTA</t>
        </is>
      </c>
      <c r="F997" s="20" t="inlineStr">
        <is>
          <t>Etios</t>
        </is>
      </c>
      <c r="G997" s="21" t="n">
        <v>2012</v>
      </c>
      <c r="H997" s="22" t="n">
        <v>79890</v>
      </c>
      <c r="I997" s="22" t="n">
        <v>260000</v>
      </c>
      <c r="J997" s="20" t="inlineStr">
        <is>
          <t>Khivraj Motor</t>
        </is>
      </c>
      <c r="K997" s="20" t="inlineStr">
        <is>
          <t>Non-Captive</t>
        </is>
      </c>
      <c r="L997" s="20" t="inlineStr">
        <is>
          <t>Nirmal Cars</t>
        </is>
      </c>
      <c r="M997" s="23" t="n">
        <v>2118.64</v>
      </c>
    </row>
    <row r="998">
      <c r="A998" s="19" t="inlineStr">
        <is>
          <t>FY26</t>
        </is>
      </c>
      <c r="B998" s="19" t="inlineStr">
        <is>
          <t>Mar</t>
        </is>
      </c>
      <c r="C998" s="19" t="inlineStr">
        <is>
          <t>TN</t>
        </is>
      </c>
      <c r="D998" s="20" t="inlineStr">
        <is>
          <t>TN07BX1256</t>
        </is>
      </c>
      <c r="E998" s="20" t="inlineStr">
        <is>
          <t>HONDA</t>
        </is>
      </c>
      <c r="F998" s="20" t="inlineStr">
        <is>
          <t>City</t>
        </is>
      </c>
      <c r="G998" s="21" t="n">
        <v>2014</v>
      </c>
      <c r="H998" s="22" t="n">
        <v>80163</v>
      </c>
      <c r="I998" s="22" t="n">
        <v>450000</v>
      </c>
      <c r="J998" s="20" t="inlineStr">
        <is>
          <t>Khivraj Motor</t>
        </is>
      </c>
      <c r="K998" s="20" t="inlineStr">
        <is>
          <t>Non-Captive</t>
        </is>
      </c>
      <c r="L998" s="20" t="inlineStr">
        <is>
          <t>Nirmal Cars</t>
        </is>
      </c>
      <c r="M998" s="23" t="n">
        <v>2118.64</v>
      </c>
    </row>
    <row r="999">
      <c r="A999" s="19" t="inlineStr">
        <is>
          <t>FY26</t>
        </is>
      </c>
      <c r="B999" s="19" t="inlineStr">
        <is>
          <t>Mar</t>
        </is>
      </c>
      <c r="C999" s="19" t="inlineStr">
        <is>
          <t>TN</t>
        </is>
      </c>
      <c r="D999" s="20" t="inlineStr">
        <is>
          <t>TN01BU4318</t>
        </is>
      </c>
      <c r="E999" s="20" t="inlineStr">
        <is>
          <t>MARUTI SUZUKI</t>
        </is>
      </c>
      <c r="F999" s="20" t="inlineStr">
        <is>
          <t>Tour</t>
        </is>
      </c>
      <c r="G999" s="21" t="n">
        <v>2024</v>
      </c>
      <c r="H999" s="22" t="n">
        <v>90197</v>
      </c>
      <c r="I999" s="22" t="n">
        <v>200000</v>
      </c>
      <c r="J999" s="20" t="inlineStr">
        <is>
          <t>Khivraj Motor</t>
        </is>
      </c>
      <c r="K999" s="20" t="inlineStr">
        <is>
          <t>Non-Captive</t>
        </is>
      </c>
      <c r="L999" s="20" t="inlineStr">
        <is>
          <t>Nirmal Cars</t>
        </is>
      </c>
      <c r="M999" s="23" t="n">
        <v>2118.64</v>
      </c>
    </row>
    <row r="1000">
      <c r="A1000" s="19" t="inlineStr">
        <is>
          <t>FY26</t>
        </is>
      </c>
      <c r="B1000" s="19" t="inlineStr">
        <is>
          <t>Mar</t>
        </is>
      </c>
      <c r="C1000" s="19" t="inlineStr">
        <is>
          <t>TN</t>
        </is>
      </c>
      <c r="D1000" s="20" t="inlineStr">
        <is>
          <t>TN12AF3352</t>
        </is>
      </c>
      <c r="E1000" s="20" t="inlineStr">
        <is>
          <t>HYUNDAI</t>
        </is>
      </c>
      <c r="F1000" s="20" t="inlineStr">
        <is>
          <t>Santro</t>
        </is>
      </c>
      <c r="G1000" s="21" t="n">
        <v>2019</v>
      </c>
      <c r="H1000" s="22" t="n">
        <v>27131</v>
      </c>
      <c r="I1000" s="22" t="n">
        <v>300000</v>
      </c>
      <c r="J1000" s="20" t="inlineStr">
        <is>
          <t>Khivraj Motor</t>
        </is>
      </c>
      <c r="K1000" s="20" t="inlineStr">
        <is>
          <t>Non-Captive</t>
        </is>
      </c>
      <c r="L1000" s="20" t="inlineStr">
        <is>
          <t>Nirmal Cars</t>
        </is>
      </c>
      <c r="M1000" s="23" t="n">
        <v>2118.64</v>
      </c>
    </row>
    <row r="1001">
      <c r="A1001" s="19" t="inlineStr">
        <is>
          <t>FY26</t>
        </is>
      </c>
      <c r="B1001" s="19" t="inlineStr">
        <is>
          <t>Mar</t>
        </is>
      </c>
      <c r="C1001" s="19" t="inlineStr">
        <is>
          <t>TN</t>
        </is>
      </c>
      <c r="D1001" s="20" t="inlineStr">
        <is>
          <t>TN10AF2181</t>
        </is>
      </c>
      <c r="E1001" s="20" t="inlineStr">
        <is>
          <t>MARUTI SUZUKI</t>
        </is>
      </c>
      <c r="F1001" s="20" t="inlineStr">
        <is>
          <t>Ritz</t>
        </is>
      </c>
      <c r="G1001" s="21" t="n">
        <v>2012</v>
      </c>
      <c r="H1001" s="22" t="n">
        <v>119050</v>
      </c>
      <c r="I1001" s="22" t="n">
        <v>150000</v>
      </c>
      <c r="J1001" s="20" t="inlineStr">
        <is>
          <t>POPULAR VEHICLES AND SERVICES LIMITED</t>
        </is>
      </c>
      <c r="K1001" s="20" t="inlineStr">
        <is>
          <t>Non-Captive</t>
        </is>
      </c>
      <c r="L1001" s="20" t="inlineStr">
        <is>
          <t>Nirmal Cars</t>
        </is>
      </c>
      <c r="M1001" s="23" t="n">
        <v>2118.64</v>
      </c>
    </row>
    <row r="1002">
      <c r="A1002" s="19" t="inlineStr">
        <is>
          <t>FY26</t>
        </is>
      </c>
      <c r="B1002" s="19" t="inlineStr">
        <is>
          <t>Mar</t>
        </is>
      </c>
      <c r="C1002" s="19" t="inlineStr">
        <is>
          <t>TN</t>
        </is>
      </c>
      <c r="D1002" s="20" t="inlineStr">
        <is>
          <t>TN05BE9882</t>
        </is>
      </c>
      <c r="E1002" s="20" t="inlineStr">
        <is>
          <t>MAHINDRA</t>
        </is>
      </c>
      <c r="F1002" s="20" t="inlineStr">
        <is>
          <t>Kuv100</t>
        </is>
      </c>
      <c r="G1002" s="21" t="n">
        <v>2016</v>
      </c>
      <c r="H1002" s="22" t="n">
        <v>98773</v>
      </c>
      <c r="I1002" s="22" t="n">
        <v>240000</v>
      </c>
      <c r="J1002" s="20" t="inlineStr">
        <is>
          <t>VISHNU CARS PRIVATE LIMITED</t>
        </is>
      </c>
      <c r="K1002" s="20" t="inlineStr">
        <is>
          <t>Non-Captive</t>
        </is>
      </c>
      <c r="L1002" s="20" t="inlineStr">
        <is>
          <t>Nirmal Cars</t>
        </is>
      </c>
      <c r="M1002" s="23" t="n">
        <v>2118.64</v>
      </c>
    </row>
    <row r="1003">
      <c r="A1003" s="19" t="inlineStr">
        <is>
          <t>FY26</t>
        </is>
      </c>
      <c r="B1003" s="19" t="inlineStr">
        <is>
          <t>Mar</t>
        </is>
      </c>
      <c r="C1003" s="19" t="inlineStr">
        <is>
          <t>TN</t>
        </is>
      </c>
      <c r="D1003" s="20" t="inlineStr">
        <is>
          <t>TN10BC3657</t>
        </is>
      </c>
      <c r="E1003" s="20" t="inlineStr">
        <is>
          <t>MARUTI SUZUKI</t>
        </is>
      </c>
      <c r="F1003" s="20" t="inlineStr">
        <is>
          <t>Vitara Brezza</t>
        </is>
      </c>
      <c r="G1003" s="21" t="n">
        <v>2018</v>
      </c>
      <c r="H1003" s="22" t="n">
        <v>155618</v>
      </c>
      <c r="I1003" s="22" t="n">
        <v>500000</v>
      </c>
      <c r="J1003" s="20" t="inlineStr">
        <is>
          <t>VISHNU CARS PRIVATE LIMITED</t>
        </is>
      </c>
      <c r="K1003" s="20" t="inlineStr">
        <is>
          <t>Non-Captive</t>
        </is>
      </c>
      <c r="L1003" s="20" t="inlineStr">
        <is>
          <t>Nirmal Cars</t>
        </is>
      </c>
      <c r="M1003" s="23" t="n">
        <v>2118.64</v>
      </c>
    </row>
    <row r="1004">
      <c r="A1004" s="19" t="inlineStr">
        <is>
          <t>FY26</t>
        </is>
      </c>
      <c r="B1004" s="19" t="inlineStr">
        <is>
          <t>Mar</t>
        </is>
      </c>
      <c r="C1004" s="19" t="inlineStr">
        <is>
          <t>TN</t>
        </is>
      </c>
      <c r="D1004" s="20" t="inlineStr">
        <is>
          <t>TN13S6257</t>
        </is>
      </c>
      <c r="E1004" s="20" t="inlineStr">
        <is>
          <t>MARUTI SUZUKI</t>
        </is>
      </c>
      <c r="F1004" s="20" t="inlineStr">
        <is>
          <t>Wagon R</t>
        </is>
      </c>
      <c r="G1004" s="21" t="n">
        <v>2019</v>
      </c>
      <c r="H1004" s="22" t="n">
        <v>41290</v>
      </c>
      <c r="I1004" s="22" t="n">
        <v>360000</v>
      </c>
      <c r="J1004" s="20" t="inlineStr">
        <is>
          <t>Khivraj Motor</t>
        </is>
      </c>
      <c r="K1004" s="20" t="inlineStr">
        <is>
          <t>Non-Captive</t>
        </is>
      </c>
      <c r="L1004" s="20" t="inlineStr">
        <is>
          <t>Nirmal Cars</t>
        </is>
      </c>
      <c r="M1004" s="23" t="n">
        <v>2118.64</v>
      </c>
    </row>
    <row r="1005">
      <c r="A1005" s="19" t="inlineStr">
        <is>
          <t>FY26</t>
        </is>
      </c>
      <c r="B1005" s="19" t="inlineStr">
        <is>
          <t>Mar</t>
        </is>
      </c>
      <c r="C1005" s="19" t="inlineStr">
        <is>
          <t>TN</t>
        </is>
      </c>
      <c r="D1005" s="20" t="inlineStr">
        <is>
          <t>TN10BV7140</t>
        </is>
      </c>
      <c r="E1005" s="20" t="inlineStr">
        <is>
          <t>MARUTI SUZUKI</t>
        </is>
      </c>
      <c r="F1005" s="20" t="inlineStr">
        <is>
          <t>Wagon R</t>
        </is>
      </c>
      <c r="G1005" s="21" t="n">
        <v>2023</v>
      </c>
      <c r="H1005" s="22" t="n">
        <v>7326</v>
      </c>
      <c r="I1005" s="22" t="n">
        <v>450000</v>
      </c>
      <c r="J1005" s="20" t="inlineStr">
        <is>
          <t>CARS INDIA</t>
        </is>
      </c>
      <c r="K1005" s="20" t="inlineStr">
        <is>
          <t>Non-Captive</t>
        </is>
      </c>
      <c r="L1005" s="20" t="inlineStr">
        <is>
          <t>Nirmal Cars</t>
        </is>
      </c>
      <c r="M1005" s="23" t="n">
        <v>2118.64</v>
      </c>
    </row>
    <row r="1006">
      <c r="A1006" s="19" t="inlineStr">
        <is>
          <t>FY26</t>
        </is>
      </c>
      <c r="B1006" s="19" t="inlineStr">
        <is>
          <t>Mar</t>
        </is>
      </c>
      <c r="C1006" s="19" t="inlineStr">
        <is>
          <t>TN</t>
        </is>
      </c>
      <c r="D1006" s="20" t="inlineStr">
        <is>
          <t>TN01BP2254</t>
        </is>
      </c>
      <c r="E1006" s="20" t="inlineStr">
        <is>
          <t>MARUTI SUZUKI</t>
        </is>
      </c>
      <c r="F1006" s="20" t="inlineStr">
        <is>
          <t>Wagon R</t>
        </is>
      </c>
      <c r="G1006" s="21" t="n">
        <v>2022</v>
      </c>
      <c r="H1006" s="22" t="n">
        <v>87420</v>
      </c>
      <c r="I1006" s="22" t="n">
        <v>400000</v>
      </c>
      <c r="J1006" s="20" t="inlineStr">
        <is>
          <t>Khivraj Motor</t>
        </is>
      </c>
      <c r="K1006" s="20" t="inlineStr">
        <is>
          <t>Non-Captive</t>
        </is>
      </c>
      <c r="L1006" s="20" t="inlineStr">
        <is>
          <t>Nirmal Cars</t>
        </is>
      </c>
      <c r="M1006" s="23" t="n">
        <v>2118.64</v>
      </c>
    </row>
    <row r="1007">
      <c r="A1007" s="19" t="inlineStr">
        <is>
          <t>FY26</t>
        </is>
      </c>
      <c r="B1007" s="19" t="inlineStr">
        <is>
          <t>Mar</t>
        </is>
      </c>
      <c r="C1007" s="19" t="inlineStr">
        <is>
          <t>TN</t>
        </is>
      </c>
      <c r="D1007" s="20" t="inlineStr">
        <is>
          <t>TN07AL8511</t>
        </is>
      </c>
      <c r="E1007" s="20" t="inlineStr">
        <is>
          <t>CHEVROLET</t>
        </is>
      </c>
      <c r="F1007" s="20" t="inlineStr">
        <is>
          <t>Aveo</t>
        </is>
      </c>
      <c r="G1007" s="21" t="n">
        <v>2007</v>
      </c>
      <c r="H1007" s="22" t="n">
        <v>21429</v>
      </c>
      <c r="I1007" s="22" t="n">
        <v>50000</v>
      </c>
      <c r="J1007" s="20" t="inlineStr">
        <is>
          <t>Khivraj Motor</t>
        </is>
      </c>
      <c r="K1007" s="20" t="inlineStr">
        <is>
          <t>Non-Captive</t>
        </is>
      </c>
      <c r="L1007" s="20" t="inlineStr">
        <is>
          <t>Nirmal Cars</t>
        </is>
      </c>
      <c r="M1007" s="23" t="n">
        <v>2118.64</v>
      </c>
    </row>
    <row r="1008">
      <c r="A1008" s="19" t="inlineStr">
        <is>
          <t>FY26</t>
        </is>
      </c>
      <c r="B1008" s="19" t="inlineStr">
        <is>
          <t>Mar</t>
        </is>
      </c>
      <c r="C1008" s="19" t="inlineStr">
        <is>
          <t>TN</t>
        </is>
      </c>
      <c r="D1008" s="20" t="inlineStr">
        <is>
          <t>TN01BB7579</t>
        </is>
      </c>
      <c r="E1008" s="20" t="inlineStr">
        <is>
          <t>MARUTI SUZUKI</t>
        </is>
      </c>
      <c r="F1008" s="20" t="inlineStr">
        <is>
          <t>S-Cross</t>
        </is>
      </c>
      <c r="G1008" s="21" t="n">
        <v>2017</v>
      </c>
      <c r="H1008" s="22" t="n">
        <v>69221</v>
      </c>
      <c r="I1008" s="22" t="n">
        <v>450000</v>
      </c>
      <c r="J1008" s="20" t="inlineStr">
        <is>
          <t>Khivraj Motor</t>
        </is>
      </c>
      <c r="K1008" s="20" t="inlineStr">
        <is>
          <t>Non-Captive</t>
        </is>
      </c>
      <c r="L1008" s="20" t="inlineStr">
        <is>
          <t>Nirmal Cars</t>
        </is>
      </c>
      <c r="M1008" s="23" t="n">
        <v>2118.64</v>
      </c>
    </row>
    <row r="1009">
      <c r="A1009" s="19" t="inlineStr">
        <is>
          <t>FY26</t>
        </is>
      </c>
      <c r="B1009" s="19" t="inlineStr">
        <is>
          <t>Mar</t>
        </is>
      </c>
      <c r="C1009" s="19" t="inlineStr">
        <is>
          <t>TN</t>
        </is>
      </c>
      <c r="D1009" s="20" t="inlineStr">
        <is>
          <t>TN22CU5854</t>
        </is>
      </c>
      <c r="E1009" s="20" t="inlineStr">
        <is>
          <t>MARUTI SUZUKI</t>
        </is>
      </c>
      <c r="F1009" s="20" t="inlineStr">
        <is>
          <t>Wagon R</t>
        </is>
      </c>
      <c r="G1009" s="21" t="n">
        <v>2012</v>
      </c>
      <c r="H1009" s="22" t="n">
        <v>68903</v>
      </c>
      <c r="I1009" s="22" t="n">
        <v>170000</v>
      </c>
      <c r="J1009" s="20" t="inlineStr">
        <is>
          <t>Khivraj Motor</t>
        </is>
      </c>
      <c r="K1009" s="20" t="inlineStr">
        <is>
          <t>Non-Captive</t>
        </is>
      </c>
      <c r="L1009" s="20" t="inlineStr">
        <is>
          <t>Nirmal Cars</t>
        </is>
      </c>
      <c r="M1009" s="23" t="n">
        <v>2118.64</v>
      </c>
    </row>
    <row r="1010">
      <c r="A1010" s="19" t="inlineStr">
        <is>
          <t>FY26</t>
        </is>
      </c>
      <c r="B1010" s="19" t="inlineStr">
        <is>
          <t>Mar</t>
        </is>
      </c>
      <c r="C1010" s="19" t="inlineStr">
        <is>
          <t>TN</t>
        </is>
      </c>
      <c r="D1010" s="20" t="inlineStr">
        <is>
          <t>TN09CD1044</t>
        </is>
      </c>
      <c r="E1010" s="20" t="inlineStr">
        <is>
          <t>VOLKSWAGEN</t>
        </is>
      </c>
      <c r="F1010" s="20" t="inlineStr">
        <is>
          <t>Polo</t>
        </is>
      </c>
      <c r="G1010" s="21" t="n">
        <v>2016</v>
      </c>
      <c r="H1010" s="22" t="n">
        <v>43866</v>
      </c>
      <c r="I1010" s="22" t="n">
        <v>270000</v>
      </c>
      <c r="J1010" s="20" t="inlineStr">
        <is>
          <t>Khivraj Motor</t>
        </is>
      </c>
      <c r="K1010" s="20" t="inlineStr">
        <is>
          <t>Non-Captive</t>
        </is>
      </c>
      <c r="L1010" s="20" t="inlineStr">
        <is>
          <t>Nirmal Cars</t>
        </is>
      </c>
      <c r="M1010" s="23" t="n">
        <v>2118.64</v>
      </c>
    </row>
    <row r="1011">
      <c r="A1011" s="19" t="inlineStr">
        <is>
          <t>FY26</t>
        </is>
      </c>
      <c r="B1011" s="19" t="inlineStr">
        <is>
          <t>Mar</t>
        </is>
      </c>
      <c r="C1011" s="19" t="inlineStr">
        <is>
          <t>TN</t>
        </is>
      </c>
      <c r="D1011" s="20" t="inlineStr">
        <is>
          <t>TN12AV9028</t>
        </is>
      </c>
      <c r="E1011" s="20" t="inlineStr">
        <is>
          <t>MARUTI SUZUKI</t>
        </is>
      </c>
      <c r="F1011" s="20" t="inlineStr">
        <is>
          <t>Ignis</t>
        </is>
      </c>
      <c r="G1011" s="21" t="n">
        <v>2022</v>
      </c>
      <c r="H1011" s="22" t="n">
        <v>15107</v>
      </c>
      <c r="I1011" s="22" t="n">
        <v>470000</v>
      </c>
      <c r="J1011" s="20" t="inlineStr">
        <is>
          <t>Khivraj Motor</t>
        </is>
      </c>
      <c r="K1011" s="20" t="inlineStr">
        <is>
          <t>Non-Captive</t>
        </is>
      </c>
      <c r="L1011" s="20" t="inlineStr">
        <is>
          <t>Nirmal Cars</t>
        </is>
      </c>
      <c r="M1011" s="23" t="n">
        <v>2118.64</v>
      </c>
    </row>
    <row r="1012">
      <c r="A1012" s="19" t="inlineStr">
        <is>
          <t>FY26</t>
        </is>
      </c>
      <c r="B1012" s="19" t="inlineStr">
        <is>
          <t>Mar</t>
        </is>
      </c>
      <c r="C1012" s="19" t="inlineStr">
        <is>
          <t>TN</t>
        </is>
      </c>
      <c r="D1012" s="20" t="inlineStr">
        <is>
          <t>TN19AC7754</t>
        </is>
      </c>
      <c r="E1012" s="20" t="inlineStr">
        <is>
          <t>TATA</t>
        </is>
      </c>
      <c r="F1012" s="20" t="inlineStr">
        <is>
          <t>Tiago</t>
        </is>
      </c>
      <c r="G1012" s="21" t="n">
        <v>2017</v>
      </c>
      <c r="H1012" s="22" t="n">
        <v>82359</v>
      </c>
      <c r="I1012" s="22" t="n">
        <v>210000</v>
      </c>
      <c r="J1012" s="20" t="inlineStr">
        <is>
          <t>Khivraj Motor</t>
        </is>
      </c>
      <c r="K1012" s="20" t="inlineStr">
        <is>
          <t>Non-Captive</t>
        </is>
      </c>
      <c r="L1012" s="20" t="inlineStr">
        <is>
          <t>Nirmal Cars</t>
        </is>
      </c>
      <c r="M1012" s="23" t="n">
        <v>2118.64</v>
      </c>
    </row>
    <row r="1013">
      <c r="A1013" s="19" t="inlineStr">
        <is>
          <t>FY26</t>
        </is>
      </c>
      <c r="B1013" s="19" t="inlineStr">
        <is>
          <t>Mar</t>
        </is>
      </c>
      <c r="C1013" s="19" t="inlineStr">
        <is>
          <t>TN</t>
        </is>
      </c>
      <c r="D1013" s="20" t="inlineStr">
        <is>
          <t>TN10BB4549</t>
        </is>
      </c>
      <c r="E1013" s="20" t="inlineStr">
        <is>
          <t>MARUTI SUZUKI</t>
        </is>
      </c>
      <c r="F1013" s="20" t="inlineStr">
        <is>
          <t>Ciaz</t>
        </is>
      </c>
      <c r="G1013" s="21" t="n">
        <v>2017</v>
      </c>
      <c r="H1013" s="22" t="n">
        <v>88291</v>
      </c>
      <c r="I1013" s="22" t="n">
        <v>410000</v>
      </c>
      <c r="J1013" s="20" t="inlineStr">
        <is>
          <t>Khivraj Motor</t>
        </is>
      </c>
      <c r="K1013" s="20" t="inlineStr">
        <is>
          <t>Non-Captive</t>
        </is>
      </c>
      <c r="L1013" s="20" t="inlineStr">
        <is>
          <t>Nirmal Cars</t>
        </is>
      </c>
      <c r="M1013" s="23" t="n">
        <v>2118.64</v>
      </c>
    </row>
    <row r="1014">
      <c r="A1014" s="19" t="inlineStr">
        <is>
          <t>FY26</t>
        </is>
      </c>
      <c r="B1014" s="19" t="inlineStr">
        <is>
          <t>Mar</t>
        </is>
      </c>
      <c r="C1014" s="19" t="inlineStr">
        <is>
          <t>TN</t>
        </is>
      </c>
      <c r="D1014" s="20" t="inlineStr">
        <is>
          <t>TN12V5864</t>
        </is>
      </c>
      <c r="E1014" s="20" t="inlineStr">
        <is>
          <t>MARUTI SUZUKI</t>
        </is>
      </c>
      <c r="F1014" s="20" t="inlineStr">
        <is>
          <t>Swift</t>
        </is>
      </c>
      <c r="G1014" s="21" t="n">
        <v>2017</v>
      </c>
      <c r="H1014" s="22" t="n">
        <v>63448</v>
      </c>
      <c r="I1014" s="22" t="n">
        <v>350000</v>
      </c>
      <c r="J1014" s="20" t="inlineStr">
        <is>
          <t>Khivraj Motor</t>
        </is>
      </c>
      <c r="K1014" s="20" t="inlineStr">
        <is>
          <t>Non-Captive</t>
        </is>
      </c>
      <c r="L1014" s="20" t="inlineStr">
        <is>
          <t>Nirmal Cars</t>
        </is>
      </c>
      <c r="M1014" s="23" t="n">
        <v>2118.64</v>
      </c>
    </row>
    <row r="1015">
      <c r="A1015" s="19" t="inlineStr">
        <is>
          <t>FY26</t>
        </is>
      </c>
      <c r="B1015" s="19" t="inlineStr">
        <is>
          <t>Mar</t>
        </is>
      </c>
      <c r="C1015" s="19" t="inlineStr">
        <is>
          <t>TN</t>
        </is>
      </c>
      <c r="D1015" s="20" t="inlineStr">
        <is>
          <t>TN05CC7020</t>
        </is>
      </c>
      <c r="E1015" s="20" t="inlineStr">
        <is>
          <t>NISSAN</t>
        </is>
      </c>
      <c r="F1015" s="20" t="inlineStr">
        <is>
          <t>Magnite</t>
        </is>
      </c>
      <c r="G1015" s="21" t="n">
        <v>2021</v>
      </c>
      <c r="H1015" s="22" t="n">
        <v>57738</v>
      </c>
      <c r="I1015" s="22" t="n">
        <v>450000</v>
      </c>
      <c r="J1015" s="20" t="inlineStr">
        <is>
          <t>Khivraj Motor</t>
        </is>
      </c>
      <c r="K1015" s="20" t="inlineStr">
        <is>
          <t>Non-Captive</t>
        </is>
      </c>
      <c r="L1015" s="20" t="inlineStr">
        <is>
          <t>Nirmal Cars</t>
        </is>
      </c>
      <c r="M1015" s="23" t="n">
        <v>2118.64</v>
      </c>
    </row>
    <row r="1016">
      <c r="A1016" s="19" t="inlineStr">
        <is>
          <t>FY26</t>
        </is>
      </c>
      <c r="B1016" s="19" t="inlineStr">
        <is>
          <t>Mar</t>
        </is>
      </c>
      <c r="C1016" s="19" t="inlineStr">
        <is>
          <t>TN</t>
        </is>
      </c>
      <c r="D1016" s="20" t="inlineStr">
        <is>
          <t>TN05BX5122</t>
        </is>
      </c>
      <c r="E1016" s="20" t="inlineStr">
        <is>
          <t>MARUTI SUZUKI</t>
        </is>
      </c>
      <c r="F1016" s="20" t="inlineStr">
        <is>
          <t>Swift</t>
        </is>
      </c>
      <c r="G1016" s="21" t="n">
        <v>2019</v>
      </c>
      <c r="H1016" s="22" t="n">
        <v>23851</v>
      </c>
      <c r="I1016" s="22" t="n">
        <v>450000</v>
      </c>
      <c r="J1016" s="20" t="inlineStr">
        <is>
          <t>Khivraj Motor</t>
        </is>
      </c>
      <c r="K1016" s="20" t="inlineStr">
        <is>
          <t>Non-Captive</t>
        </is>
      </c>
      <c r="L1016" s="20" t="inlineStr">
        <is>
          <t>Nirmal Cars</t>
        </is>
      </c>
      <c r="M1016" s="23" t="n">
        <v>2118.64</v>
      </c>
    </row>
    <row r="1017">
      <c r="A1017" s="19" t="inlineStr">
        <is>
          <t>FY26</t>
        </is>
      </c>
      <c r="B1017" s="19" t="inlineStr">
        <is>
          <t>Mar</t>
        </is>
      </c>
      <c r="C1017" s="19" t="inlineStr">
        <is>
          <t>TN</t>
        </is>
      </c>
      <c r="D1017" s="20" t="inlineStr">
        <is>
          <t>TN09BM1872</t>
        </is>
      </c>
      <c r="E1017" s="20" t="inlineStr">
        <is>
          <t>MARUTI SUZUKI</t>
        </is>
      </c>
      <c r="F1017" s="20" t="inlineStr">
        <is>
          <t>Eeco</t>
        </is>
      </c>
      <c r="G1017" s="21" t="n">
        <v>2011</v>
      </c>
      <c r="H1017" s="22" t="n">
        <v>53700</v>
      </c>
      <c r="I1017" s="22" t="n">
        <v>130000</v>
      </c>
      <c r="J1017" s="20" t="inlineStr">
        <is>
          <t>Khivraj Motor</t>
        </is>
      </c>
      <c r="K1017" s="20" t="inlineStr">
        <is>
          <t>Non-Captive</t>
        </is>
      </c>
      <c r="L1017" s="20" t="inlineStr">
        <is>
          <t>Nirmal Cars</t>
        </is>
      </c>
      <c r="M1017" s="23" t="n">
        <v>2118.64</v>
      </c>
    </row>
    <row r="1018">
      <c r="A1018" s="19" t="inlineStr">
        <is>
          <t>FY26</t>
        </is>
      </c>
      <c r="B1018" s="19" t="inlineStr">
        <is>
          <t>Mar</t>
        </is>
      </c>
      <c r="C1018" s="19" t="inlineStr">
        <is>
          <t>TN</t>
        </is>
      </c>
      <c r="D1018" s="20" t="inlineStr">
        <is>
          <t>TN10BA3255</t>
        </is>
      </c>
      <c r="E1018" s="20" t="inlineStr">
        <is>
          <t>MARUTI SUZUKI</t>
        </is>
      </c>
      <c r="F1018" s="20" t="inlineStr">
        <is>
          <t>Baleno</t>
        </is>
      </c>
      <c r="G1018" s="21" t="n">
        <v>2017</v>
      </c>
      <c r="H1018" s="22" t="n">
        <v>41430</v>
      </c>
      <c r="I1018" s="22" t="n">
        <v>380000</v>
      </c>
      <c r="J1018" s="20" t="inlineStr">
        <is>
          <t>Khivraj Motor</t>
        </is>
      </c>
      <c r="K1018" s="20" t="inlineStr">
        <is>
          <t>Non-Captive</t>
        </is>
      </c>
      <c r="L1018" s="20" t="inlineStr">
        <is>
          <t>Pine Autos</t>
        </is>
      </c>
      <c r="M1018" s="23" t="n">
        <v>2118.64</v>
      </c>
    </row>
    <row r="1019">
      <c r="A1019" s="19" t="inlineStr">
        <is>
          <t>FY26</t>
        </is>
      </c>
      <c r="B1019" s="19" t="inlineStr">
        <is>
          <t>Mar</t>
        </is>
      </c>
      <c r="C1019" s="19" t="inlineStr">
        <is>
          <t>TN</t>
        </is>
      </c>
      <c r="D1019" s="20" t="inlineStr">
        <is>
          <t>TN13Y3672</t>
        </is>
      </c>
      <c r="E1019" s="20" t="inlineStr">
        <is>
          <t>MARUTI SUZUKI</t>
        </is>
      </c>
      <c r="F1019" s="20" t="inlineStr">
        <is>
          <t>Xl6</t>
        </is>
      </c>
      <c r="G1019" s="21" t="n">
        <v>2022</v>
      </c>
      <c r="H1019" s="22" t="n">
        <v>54232</v>
      </c>
      <c r="I1019" s="22" t="n">
        <v>850000</v>
      </c>
      <c r="J1019" s="20" t="inlineStr">
        <is>
          <t>Khivraj Motor</t>
        </is>
      </c>
      <c r="K1019" s="20" t="inlineStr">
        <is>
          <t>Non-Captive</t>
        </is>
      </c>
      <c r="L1019" s="20" t="inlineStr">
        <is>
          <t>Pine Autos</t>
        </is>
      </c>
      <c r="M1019" s="23" t="n">
        <v>2118.64</v>
      </c>
    </row>
    <row r="1020">
      <c r="A1020" s="19" t="inlineStr">
        <is>
          <t>FY26</t>
        </is>
      </c>
      <c r="B1020" s="19" t="inlineStr">
        <is>
          <t>Mar</t>
        </is>
      </c>
      <c r="C1020" s="19" t="inlineStr">
        <is>
          <t>TN</t>
        </is>
      </c>
      <c r="D1020" s="20" t="inlineStr">
        <is>
          <t>TN07AS7498</t>
        </is>
      </c>
      <c r="E1020" s="20" t="inlineStr">
        <is>
          <t>MARUTI SUZUKI</t>
        </is>
      </c>
      <c r="F1020" s="20" t="inlineStr">
        <is>
          <t>Alto</t>
        </is>
      </c>
      <c r="G1020" s="21" t="n">
        <v>2007</v>
      </c>
      <c r="H1020" s="22" t="n">
        <v>93841</v>
      </c>
      <c r="I1020" s="22" t="n">
        <v>100000</v>
      </c>
      <c r="J1020" s="20" t="inlineStr">
        <is>
          <t>Khivraj Motor</t>
        </is>
      </c>
      <c r="K1020" s="20" t="inlineStr">
        <is>
          <t>Non-Captive</t>
        </is>
      </c>
      <c r="L1020" s="20" t="inlineStr">
        <is>
          <t>Pine Autos</t>
        </is>
      </c>
      <c r="M1020" s="23" t="n">
        <v>2118.64</v>
      </c>
    </row>
    <row r="1021">
      <c r="A1021" s="19" t="inlineStr">
        <is>
          <t>FY26</t>
        </is>
      </c>
      <c r="B1021" s="19" t="inlineStr">
        <is>
          <t>Mar</t>
        </is>
      </c>
      <c r="C1021" s="19" t="inlineStr">
        <is>
          <t>TN</t>
        </is>
      </c>
      <c r="D1021" s="20" t="inlineStr">
        <is>
          <t>TN13Y3647</t>
        </is>
      </c>
      <c r="E1021" s="20" t="inlineStr">
        <is>
          <t>MARUTI SUZUKI</t>
        </is>
      </c>
      <c r="F1021" s="20" t="inlineStr">
        <is>
          <t>Xl6</t>
        </is>
      </c>
      <c r="G1021" s="21" t="n">
        <v>2022</v>
      </c>
      <c r="H1021" s="22" t="n">
        <v>39080</v>
      </c>
      <c r="I1021" s="22" t="n">
        <v>900000</v>
      </c>
      <c r="J1021" s="20" t="inlineStr">
        <is>
          <t>Khivraj Motor</t>
        </is>
      </c>
      <c r="K1021" s="20" t="inlineStr">
        <is>
          <t>Non-Captive</t>
        </is>
      </c>
      <c r="L1021" s="20" t="inlineStr">
        <is>
          <t>Pine Autos</t>
        </is>
      </c>
      <c r="M1021" s="23" t="n">
        <v>2118.64</v>
      </c>
    </row>
    <row r="1022">
      <c r="A1022" s="19" t="inlineStr">
        <is>
          <t>FY26</t>
        </is>
      </c>
      <c r="B1022" s="19" t="inlineStr">
        <is>
          <t>Mar</t>
        </is>
      </c>
      <c r="C1022" s="19" t="inlineStr">
        <is>
          <t>TN</t>
        </is>
      </c>
      <c r="D1022" s="20" t="inlineStr">
        <is>
          <t>TN09CK0567</t>
        </is>
      </c>
      <c r="E1022" s="20" t="inlineStr">
        <is>
          <t>MARUTI SUZUKI</t>
        </is>
      </c>
      <c r="F1022" s="20" t="inlineStr">
        <is>
          <t>Ignis</t>
        </is>
      </c>
      <c r="G1022" s="21" t="n">
        <v>2017</v>
      </c>
      <c r="H1022" s="22" t="n"/>
      <c r="I1022" s="22" t="n">
        <v>270000</v>
      </c>
      <c r="J1022" s="20" t="inlineStr">
        <is>
          <t>Khivraj Motor</t>
        </is>
      </c>
      <c r="K1022" s="20" t="inlineStr">
        <is>
          <t>Non-Captive</t>
        </is>
      </c>
      <c r="L1022" s="20" t="inlineStr">
        <is>
          <t>Pine Autos</t>
        </is>
      </c>
      <c r="M1022" s="23" t="n">
        <v>2118.64</v>
      </c>
    </row>
    <row r="1023">
      <c r="A1023" s="19" t="inlineStr">
        <is>
          <t>FY26</t>
        </is>
      </c>
      <c r="B1023" s="19" t="inlineStr">
        <is>
          <t>Mar</t>
        </is>
      </c>
      <c r="C1023" s="19" t="inlineStr">
        <is>
          <t>TN</t>
        </is>
      </c>
      <c r="D1023" s="20" t="inlineStr">
        <is>
          <t>TN14D2479</t>
        </is>
      </c>
      <c r="E1023" s="20" t="inlineStr">
        <is>
          <t>HONDA</t>
        </is>
      </c>
      <c r="F1023" s="20" t="inlineStr">
        <is>
          <t>Jazz</t>
        </is>
      </c>
      <c r="G1023" s="21" t="n">
        <v>2015</v>
      </c>
      <c r="H1023" s="22" t="n">
        <v>122878</v>
      </c>
      <c r="I1023" s="22" t="n">
        <v>250000</v>
      </c>
      <c r="J1023" s="20" t="inlineStr">
        <is>
          <t>Khivraj Motor</t>
        </is>
      </c>
      <c r="K1023" s="20" t="inlineStr">
        <is>
          <t>Non-Captive</t>
        </is>
      </c>
      <c r="L1023" s="20" t="inlineStr">
        <is>
          <t>Pine Autos</t>
        </is>
      </c>
      <c r="M1023" s="23" t="n">
        <v>2118.64</v>
      </c>
    </row>
    <row r="1024">
      <c r="A1024" s="19" t="inlineStr">
        <is>
          <t>FY26</t>
        </is>
      </c>
      <c r="B1024" s="19" t="inlineStr">
        <is>
          <t>Mar</t>
        </is>
      </c>
      <c r="C1024" s="19" t="inlineStr">
        <is>
          <t>TN</t>
        </is>
      </c>
      <c r="D1024" s="20" t="inlineStr">
        <is>
          <t>TN01AH1546</t>
        </is>
      </c>
      <c r="E1024" s="20" t="inlineStr">
        <is>
          <t>MARUTI SUZUKI</t>
        </is>
      </c>
      <c r="F1024" s="20" t="inlineStr">
        <is>
          <t>Swift</t>
        </is>
      </c>
      <c r="G1024" s="21" t="n">
        <v>2008</v>
      </c>
      <c r="H1024" s="22" t="n">
        <v>117939</v>
      </c>
      <c r="I1024" s="22" t="n">
        <v>110000</v>
      </c>
      <c r="J1024" s="20" t="inlineStr">
        <is>
          <t>Khivraj Motor</t>
        </is>
      </c>
      <c r="K1024" s="20" t="inlineStr">
        <is>
          <t>Non-Captive</t>
        </is>
      </c>
      <c r="L1024" s="20" t="inlineStr">
        <is>
          <t>Pine Autos</t>
        </is>
      </c>
      <c r="M1024" s="23" t="n">
        <v>3389.83</v>
      </c>
    </row>
    <row r="1025">
      <c r="A1025" s="19" t="inlineStr">
        <is>
          <t>FY26</t>
        </is>
      </c>
      <c r="B1025" s="19" t="inlineStr">
        <is>
          <t>Mar</t>
        </is>
      </c>
      <c r="C1025" s="19" t="inlineStr">
        <is>
          <t>TN</t>
        </is>
      </c>
      <c r="D1025" s="20" t="inlineStr">
        <is>
          <t>TN13R5017</t>
        </is>
      </c>
      <c r="E1025" s="20" t="inlineStr">
        <is>
          <t>HYUNDAI</t>
        </is>
      </c>
      <c r="F1025" s="20" t="inlineStr">
        <is>
          <t>I20</t>
        </is>
      </c>
      <c r="G1025" s="21" t="n">
        <v>2019</v>
      </c>
      <c r="H1025" s="22" t="n">
        <v>144037</v>
      </c>
      <c r="I1025" s="22" t="n">
        <v>290000</v>
      </c>
      <c r="J1025" s="20" t="inlineStr">
        <is>
          <t>Khivraj Motor</t>
        </is>
      </c>
      <c r="K1025" s="20" t="inlineStr">
        <is>
          <t>Non-Captive</t>
        </is>
      </c>
      <c r="L1025" s="20" t="inlineStr">
        <is>
          <t>AS Cars Gopi</t>
        </is>
      </c>
      <c r="M1025" s="23" t="n">
        <v>2118.64</v>
      </c>
    </row>
    <row r="1026">
      <c r="A1026" s="19" t="inlineStr">
        <is>
          <t>FY26</t>
        </is>
      </c>
      <c r="B1026" s="19" t="inlineStr">
        <is>
          <t>Mar</t>
        </is>
      </c>
      <c r="C1026" s="19" t="inlineStr">
        <is>
          <t>TN</t>
        </is>
      </c>
      <c r="D1026" s="20" t="inlineStr">
        <is>
          <t>TN12M7846</t>
        </is>
      </c>
      <c r="E1026" s="20" t="inlineStr">
        <is>
          <t>MAHINDRA</t>
        </is>
      </c>
      <c r="F1026" s="20" t="inlineStr">
        <is>
          <t>Tuv300</t>
        </is>
      </c>
      <c r="G1026" s="21" t="n">
        <v>2016</v>
      </c>
      <c r="H1026" s="22" t="n">
        <v>80860</v>
      </c>
      <c r="I1026" s="22" t="n">
        <v>410000</v>
      </c>
      <c r="J1026" s="20" t="inlineStr">
        <is>
          <t>Khivraj Motor</t>
        </is>
      </c>
      <c r="K1026" s="20" t="inlineStr">
        <is>
          <t>Non-Captive</t>
        </is>
      </c>
      <c r="L1026" s="20" t="inlineStr">
        <is>
          <t>AS Cars Gopi</t>
        </is>
      </c>
      <c r="M1026" s="23" t="n">
        <v>2118.64</v>
      </c>
    </row>
    <row r="1027">
      <c r="A1027" s="19" t="inlineStr">
        <is>
          <t>FY26</t>
        </is>
      </c>
      <c r="B1027" s="19" t="inlineStr">
        <is>
          <t>Mar</t>
        </is>
      </c>
      <c r="C1027" s="19" t="inlineStr">
        <is>
          <t>TN</t>
        </is>
      </c>
      <c r="D1027" s="20" t="inlineStr">
        <is>
          <t>TN02BJ5738</t>
        </is>
      </c>
      <c r="E1027" s="20" t="inlineStr">
        <is>
          <t>MARUTI SUZUKI</t>
        </is>
      </c>
      <c r="F1027" s="20" t="inlineStr">
        <is>
          <t>Ignis</t>
        </is>
      </c>
      <c r="G1027" s="21" t="n">
        <v>2017</v>
      </c>
      <c r="H1027" s="22" t="n">
        <v>39160</v>
      </c>
      <c r="I1027" s="22" t="n">
        <v>340000</v>
      </c>
      <c r="J1027" s="20" t="inlineStr">
        <is>
          <t>Khivraj Motor</t>
        </is>
      </c>
      <c r="K1027" s="20" t="inlineStr">
        <is>
          <t>Non-Captive</t>
        </is>
      </c>
      <c r="L1027" s="20" t="inlineStr">
        <is>
          <t>AS Cars Gopi</t>
        </is>
      </c>
      <c r="M1027" s="23" t="n">
        <v>2118.64</v>
      </c>
    </row>
    <row r="1028">
      <c r="A1028" s="19" t="inlineStr">
        <is>
          <t>FY26</t>
        </is>
      </c>
      <c r="B1028" s="19" t="inlineStr">
        <is>
          <t>Mar</t>
        </is>
      </c>
      <c r="C1028" s="19" t="inlineStr">
        <is>
          <t>TN</t>
        </is>
      </c>
      <c r="D1028" s="20" t="inlineStr">
        <is>
          <t>TN18W4138</t>
        </is>
      </c>
      <c r="E1028" s="20" t="inlineStr">
        <is>
          <t>MARUTI SUZUKI</t>
        </is>
      </c>
      <c r="F1028" s="20" t="inlineStr">
        <is>
          <t>Ritz</t>
        </is>
      </c>
      <c r="G1028" s="21" t="n">
        <v>2012</v>
      </c>
      <c r="H1028" s="22" t="n">
        <v>64342</v>
      </c>
      <c r="I1028" s="22" t="n">
        <v>120000</v>
      </c>
      <c r="J1028" s="20" t="inlineStr">
        <is>
          <t>Khivraj Motor</t>
        </is>
      </c>
      <c r="K1028" s="20" t="inlineStr">
        <is>
          <t>Non-Captive</t>
        </is>
      </c>
      <c r="L1028" s="20" t="inlineStr">
        <is>
          <t>AS Cars Gopi</t>
        </is>
      </c>
      <c r="M1028" s="23" t="n">
        <v>2118.64</v>
      </c>
    </row>
    <row r="1029">
      <c r="A1029" s="19" t="inlineStr">
        <is>
          <t>FY26</t>
        </is>
      </c>
      <c r="B1029" s="19" t="inlineStr">
        <is>
          <t>Mar</t>
        </is>
      </c>
      <c r="C1029" s="19" t="inlineStr">
        <is>
          <t>TN</t>
        </is>
      </c>
      <c r="D1029" s="20" t="inlineStr">
        <is>
          <t>TN21BZ7455</t>
        </is>
      </c>
      <c r="E1029" s="20" t="inlineStr">
        <is>
          <t>MARUTI SUZUKI</t>
        </is>
      </c>
      <c r="F1029" s="20" t="inlineStr">
        <is>
          <t>Swift</t>
        </is>
      </c>
      <c r="G1029" s="21" t="n">
        <v>2016</v>
      </c>
      <c r="H1029" s="22" t="n">
        <v>225155</v>
      </c>
      <c r="I1029" s="22" t="n">
        <v>150000</v>
      </c>
      <c r="J1029" s="20" t="inlineStr">
        <is>
          <t>Khivraj Motor</t>
        </is>
      </c>
      <c r="K1029" s="20" t="inlineStr">
        <is>
          <t>Non-Captive</t>
        </is>
      </c>
      <c r="L1029" s="20" t="inlineStr">
        <is>
          <t>AS Cars Gopi</t>
        </is>
      </c>
      <c r="M1029" s="23" t="n">
        <v>2118.64</v>
      </c>
    </row>
    <row r="1030">
      <c r="A1030" s="19" t="inlineStr">
        <is>
          <t>FY26</t>
        </is>
      </c>
      <c r="B1030" s="19" t="inlineStr">
        <is>
          <t>Mar</t>
        </is>
      </c>
      <c r="C1030" s="19" t="inlineStr">
        <is>
          <t>TN</t>
        </is>
      </c>
      <c r="D1030" s="20" t="inlineStr">
        <is>
          <t>TN11AF4870</t>
        </is>
      </c>
      <c r="E1030" s="20" t="inlineStr">
        <is>
          <t>MARUTI SUZUKI</t>
        </is>
      </c>
      <c r="F1030" s="20" t="inlineStr">
        <is>
          <t>Ciaz</t>
        </is>
      </c>
      <c r="G1030" s="21" t="n">
        <v>2017</v>
      </c>
      <c r="H1030" s="22" t="n">
        <v>87793</v>
      </c>
      <c r="I1030" s="22" t="n">
        <v>350000</v>
      </c>
      <c r="J1030" s="20" t="inlineStr">
        <is>
          <t>Khivraj Motor</t>
        </is>
      </c>
      <c r="K1030" s="20" t="inlineStr">
        <is>
          <t>Non-Captive</t>
        </is>
      </c>
      <c r="L1030" s="20" t="inlineStr">
        <is>
          <t>AS Cars Gopi</t>
        </is>
      </c>
      <c r="M1030" s="23" t="n">
        <v>2118.64</v>
      </c>
    </row>
    <row r="1031">
      <c r="A1031" s="19" t="inlineStr">
        <is>
          <t>FY26</t>
        </is>
      </c>
      <c r="B1031" s="19" t="inlineStr">
        <is>
          <t>Mar</t>
        </is>
      </c>
      <c r="C1031" s="19" t="inlineStr">
        <is>
          <t>TN</t>
        </is>
      </c>
      <c r="D1031" s="20" t="inlineStr">
        <is>
          <t>TN04BC0148</t>
        </is>
      </c>
      <c r="E1031" s="20" t="inlineStr">
        <is>
          <t>MARUTI SUZUKI</t>
        </is>
      </c>
      <c r="F1031" s="20" t="inlineStr">
        <is>
          <t>Fronx</t>
        </is>
      </c>
      <c r="G1031" s="21" t="n">
        <v>2023</v>
      </c>
      <c r="H1031" s="22" t="n">
        <v>20425</v>
      </c>
      <c r="I1031" s="22" t="n">
        <v>610000</v>
      </c>
      <c r="J1031" s="20" t="inlineStr">
        <is>
          <t>Khivraj Motor</t>
        </is>
      </c>
      <c r="K1031" s="20" t="inlineStr">
        <is>
          <t>Non-Captive</t>
        </is>
      </c>
      <c r="L1031" s="20" t="inlineStr">
        <is>
          <t>AS Cars Gopi</t>
        </is>
      </c>
      <c r="M1031" s="23" t="n">
        <v>2542.37</v>
      </c>
    </row>
    <row r="1032">
      <c r="A1032" s="19" t="inlineStr">
        <is>
          <t>FY26</t>
        </is>
      </c>
      <c r="B1032" s="19" t="inlineStr">
        <is>
          <t>Mar</t>
        </is>
      </c>
      <c r="C1032" s="19" t="inlineStr">
        <is>
          <t>TN</t>
        </is>
      </c>
      <c r="D1032" s="20" t="inlineStr">
        <is>
          <t>TN13A6158</t>
        </is>
      </c>
      <c r="E1032" s="20" t="inlineStr">
        <is>
          <t>MARUTI SUZUKI</t>
        </is>
      </c>
      <c r="F1032" s="20" t="inlineStr">
        <is>
          <t>Alto K10</t>
        </is>
      </c>
      <c r="G1032" s="21" t="n">
        <v>2014</v>
      </c>
      <c r="H1032" s="22" t="n">
        <v>64452</v>
      </c>
      <c r="I1032" s="22" t="n">
        <v>135000</v>
      </c>
      <c r="J1032" s="20" t="inlineStr">
        <is>
          <t>Khivraj Motor</t>
        </is>
      </c>
      <c r="K1032" s="20" t="inlineStr">
        <is>
          <t>Non-Captive</t>
        </is>
      </c>
      <c r="L1032" s="20" t="inlineStr">
        <is>
          <t>AAA Cars</t>
        </is>
      </c>
      <c r="M1032" s="23" t="n">
        <v>3389.83</v>
      </c>
    </row>
    <row r="1033">
      <c r="A1033" s="19" t="inlineStr">
        <is>
          <t>FY26</t>
        </is>
      </c>
      <c r="B1033" s="19" t="inlineStr">
        <is>
          <t>Mar</t>
        </is>
      </c>
      <c r="C1033" s="19" t="inlineStr">
        <is>
          <t>TN</t>
        </is>
      </c>
      <c r="D1033" s="20" t="inlineStr">
        <is>
          <t>TN20AL8309</t>
        </is>
      </c>
      <c r="E1033" s="20" t="inlineStr">
        <is>
          <t>HYUNDAI</t>
        </is>
      </c>
      <c r="F1033" s="20" t="inlineStr">
        <is>
          <t>I10</t>
        </is>
      </c>
      <c r="G1033" s="21" t="n">
        <v>2008</v>
      </c>
      <c r="H1033" s="22" t="n">
        <v>49533</v>
      </c>
      <c r="I1033" s="22" t="n">
        <v>120000</v>
      </c>
      <c r="J1033" s="20" t="inlineStr">
        <is>
          <t>Khivraj Motor</t>
        </is>
      </c>
      <c r="K1033" s="20" t="inlineStr">
        <is>
          <t>Non-Captive</t>
        </is>
      </c>
      <c r="L1033" s="20" t="inlineStr">
        <is>
          <t>KB Motor</t>
        </is>
      </c>
      <c r="M1033" s="23" t="n">
        <v>2118.64</v>
      </c>
    </row>
    <row r="1034">
      <c r="A1034" s="19" t="inlineStr">
        <is>
          <t>FY26</t>
        </is>
      </c>
      <c r="B1034" s="19" t="inlineStr">
        <is>
          <t>Mar</t>
        </is>
      </c>
      <c r="C1034" s="19" t="inlineStr">
        <is>
          <t>TN</t>
        </is>
      </c>
      <c r="D1034" s="20" t="inlineStr">
        <is>
          <t>PY01CV8329</t>
        </is>
      </c>
      <c r="E1034" s="20" t="inlineStr">
        <is>
          <t>MARUTI SUZUKI</t>
        </is>
      </c>
      <c r="F1034" s="20" t="inlineStr">
        <is>
          <t>Ciaz</t>
        </is>
      </c>
      <c r="G1034" s="21" t="n">
        <v>2019</v>
      </c>
      <c r="H1034" s="22" t="n">
        <v>79354</v>
      </c>
      <c r="I1034" s="22" t="n">
        <v>650000</v>
      </c>
      <c r="J1034" s="20" t="inlineStr">
        <is>
          <t>PRODUCTIVITY ELEMENTS PRIVATE LIMITED</t>
        </is>
      </c>
      <c r="K1034" s="20" t="inlineStr">
        <is>
          <t>Non-Captive</t>
        </is>
      </c>
      <c r="L1034" s="20" t="inlineStr">
        <is>
          <t>KB Motor</t>
        </is>
      </c>
      <c r="M1034" s="23" t="n">
        <v>2118.64</v>
      </c>
    </row>
    <row r="1035">
      <c r="A1035" s="19" t="inlineStr">
        <is>
          <t>FY26</t>
        </is>
      </c>
      <c r="B1035" s="19" t="inlineStr">
        <is>
          <t>Mar</t>
        </is>
      </c>
      <c r="C1035" s="19" t="inlineStr">
        <is>
          <t>TN</t>
        </is>
      </c>
      <c r="D1035" s="20" t="inlineStr">
        <is>
          <t>TN10AQ3115</t>
        </is>
      </c>
      <c r="E1035" s="20" t="inlineStr">
        <is>
          <t>HYUNDAI</t>
        </is>
      </c>
      <c r="F1035" s="20" t="inlineStr">
        <is>
          <t>Grand I10</t>
        </is>
      </c>
      <c r="G1035" s="21" t="n">
        <v>2014</v>
      </c>
      <c r="H1035" s="22" t="n">
        <v>93490</v>
      </c>
      <c r="I1035" s="22" t="n">
        <v>250000</v>
      </c>
      <c r="J1035" s="20" t="inlineStr">
        <is>
          <t>Khivraj Motor</t>
        </is>
      </c>
      <c r="K1035" s="20" t="inlineStr">
        <is>
          <t>Non-Captive</t>
        </is>
      </c>
      <c r="L1035" s="20" t="inlineStr">
        <is>
          <t>KB Motor</t>
        </is>
      </c>
      <c r="M1035" s="23" t="n">
        <v>2118.64</v>
      </c>
    </row>
    <row r="1036">
      <c r="A1036" s="19" t="inlineStr">
        <is>
          <t>FY26</t>
        </is>
      </c>
      <c r="B1036" s="19" t="inlineStr">
        <is>
          <t>Mar</t>
        </is>
      </c>
      <c r="C1036" s="19" t="inlineStr">
        <is>
          <t>TN</t>
        </is>
      </c>
      <c r="D1036" s="20" t="inlineStr">
        <is>
          <t>TN05AM3992</t>
        </is>
      </c>
      <c r="E1036" s="20" t="inlineStr">
        <is>
          <t>VOLKSWAGEN</t>
        </is>
      </c>
      <c r="F1036" s="20" t="inlineStr">
        <is>
          <t>Polo</t>
        </is>
      </c>
      <c r="G1036" s="21" t="n">
        <v>2011</v>
      </c>
      <c r="H1036" s="22" t="n">
        <v>91895</v>
      </c>
      <c r="I1036" s="22" t="n">
        <v>170000</v>
      </c>
      <c r="J1036" s="20" t="inlineStr">
        <is>
          <t>Khivraj Motor</t>
        </is>
      </c>
      <c r="K1036" s="20" t="inlineStr">
        <is>
          <t>Non-Captive</t>
        </is>
      </c>
      <c r="L1036" s="20" t="inlineStr">
        <is>
          <t>KB Motor</t>
        </is>
      </c>
      <c r="M1036" s="23" t="n">
        <v>2118.64</v>
      </c>
    </row>
    <row r="1037">
      <c r="A1037" s="19" t="inlineStr">
        <is>
          <t>FY26</t>
        </is>
      </c>
      <c r="B1037" s="19" t="inlineStr">
        <is>
          <t>Mar</t>
        </is>
      </c>
      <c r="C1037" s="19" t="inlineStr">
        <is>
          <t>TN</t>
        </is>
      </c>
      <c r="D1037" s="20" t="inlineStr">
        <is>
          <t>TN05T7544</t>
        </is>
      </c>
      <c r="E1037" s="20" t="inlineStr">
        <is>
          <t>HYUNDAI</t>
        </is>
      </c>
      <c r="F1037" s="20" t="inlineStr">
        <is>
          <t>Santro</t>
        </is>
      </c>
      <c r="G1037" s="21" t="n">
        <v>2006</v>
      </c>
      <c r="H1037" s="22" t="n">
        <v>89800</v>
      </c>
      <c r="I1037" s="22" t="n">
        <v>100000</v>
      </c>
      <c r="J1037" s="20" t="inlineStr">
        <is>
          <t>Khivraj Motor</t>
        </is>
      </c>
      <c r="K1037" s="20" t="inlineStr">
        <is>
          <t>Non-Captive</t>
        </is>
      </c>
      <c r="L1037" s="20" t="inlineStr">
        <is>
          <t>Shri Shakthi Vinayaga Cars</t>
        </is>
      </c>
      <c r="M1037" s="23" t="n">
        <v>2118.64</v>
      </c>
    </row>
    <row r="1038">
      <c r="A1038" s="19" t="inlineStr">
        <is>
          <t>FY26</t>
        </is>
      </c>
      <c r="B1038" s="19" t="inlineStr">
        <is>
          <t>Mar</t>
        </is>
      </c>
      <c r="C1038" s="19" t="inlineStr">
        <is>
          <t>TN</t>
        </is>
      </c>
      <c r="D1038" s="20" t="inlineStr">
        <is>
          <t>TN13Y1252</t>
        </is>
      </c>
      <c r="E1038" s="20" t="inlineStr">
        <is>
          <t>MARUTI SUZUKI</t>
        </is>
      </c>
      <c r="F1038" s="20" t="inlineStr">
        <is>
          <t>Baleno</t>
        </is>
      </c>
      <c r="G1038" s="21" t="n">
        <v>2022</v>
      </c>
      <c r="H1038" s="22" t="n">
        <v>97809</v>
      </c>
      <c r="I1038" s="22" t="n">
        <v>575000</v>
      </c>
      <c r="J1038" s="20" t="inlineStr">
        <is>
          <t>Khivraj Motor</t>
        </is>
      </c>
      <c r="K1038" s="20" t="inlineStr">
        <is>
          <t>Non-Captive</t>
        </is>
      </c>
      <c r="L1038" s="20" t="inlineStr">
        <is>
          <t>Shri Shakthi Vinayaga Cars</t>
        </is>
      </c>
      <c r="M1038" s="23" t="n">
        <v>2118.64</v>
      </c>
    </row>
    <row r="1039">
      <c r="A1039" s="19" t="inlineStr">
        <is>
          <t>FY26</t>
        </is>
      </c>
      <c r="B1039" s="19" t="inlineStr">
        <is>
          <t>Mar</t>
        </is>
      </c>
      <c r="C1039" s="19" t="inlineStr">
        <is>
          <t>TN</t>
        </is>
      </c>
      <c r="D1039" s="20" t="inlineStr">
        <is>
          <t>TN01AP6116</t>
        </is>
      </c>
      <c r="E1039" s="20" t="inlineStr">
        <is>
          <t>HYUNDAI</t>
        </is>
      </c>
      <c r="F1039" s="20" t="inlineStr">
        <is>
          <t>Santro</t>
        </is>
      </c>
      <c r="G1039" s="21" t="n">
        <v>2011</v>
      </c>
      <c r="H1039" s="22" t="n">
        <v>103400</v>
      </c>
      <c r="I1039" s="22" t="n">
        <v>160000</v>
      </c>
      <c r="J1039" s="20" t="inlineStr">
        <is>
          <t>Khivraj Motor</t>
        </is>
      </c>
      <c r="K1039" s="20" t="inlineStr">
        <is>
          <t>Non-Captive</t>
        </is>
      </c>
      <c r="L1039" s="20" t="inlineStr">
        <is>
          <t>Shri Shakthi Vinayaga Cars</t>
        </is>
      </c>
      <c r="M1039" s="23" t="n">
        <v>2118.64</v>
      </c>
    </row>
    <row r="1040">
      <c r="A1040" s="19" t="inlineStr">
        <is>
          <t>FY26</t>
        </is>
      </c>
      <c r="B1040" s="19" t="inlineStr">
        <is>
          <t>Mar</t>
        </is>
      </c>
      <c r="C1040" s="19" t="inlineStr">
        <is>
          <t>TN</t>
        </is>
      </c>
      <c r="D1040" s="20" t="inlineStr">
        <is>
          <t>TN07CA2754</t>
        </is>
      </c>
      <c r="E1040" s="20" t="inlineStr">
        <is>
          <t>TOYOTA</t>
        </is>
      </c>
      <c r="F1040" s="20" t="inlineStr">
        <is>
          <t>Altis</t>
        </is>
      </c>
      <c r="G1040" s="21" t="n">
        <v>2014</v>
      </c>
      <c r="H1040" s="22" t="n">
        <v>134104</v>
      </c>
      <c r="I1040" s="22" t="n">
        <v>230000</v>
      </c>
      <c r="J1040" s="20" t="inlineStr">
        <is>
          <t>Indus</t>
        </is>
      </c>
      <c r="K1040" s="20" t="inlineStr">
        <is>
          <t>Non-Captive</t>
        </is>
      </c>
      <c r="L1040" s="20" t="inlineStr">
        <is>
          <t>Shri Shakthi Vinayaga Cars</t>
        </is>
      </c>
      <c r="M1040" s="23" t="n">
        <v>2118.64</v>
      </c>
    </row>
    <row r="1041">
      <c r="A1041" s="19" t="inlineStr">
        <is>
          <t>FY26</t>
        </is>
      </c>
      <c r="B1041" s="19" t="inlineStr">
        <is>
          <t>Mar</t>
        </is>
      </c>
      <c r="C1041" s="19" t="inlineStr">
        <is>
          <t>TN</t>
        </is>
      </c>
      <c r="D1041" s="20" t="inlineStr">
        <is>
          <t>TN05BP4262</t>
        </is>
      </c>
      <c r="E1041" s="20" t="inlineStr">
        <is>
          <t>HONDA</t>
        </is>
      </c>
      <c r="F1041" s="20" t="inlineStr">
        <is>
          <t>Jazz</t>
        </is>
      </c>
      <c r="G1041" s="21" t="n">
        <v>2017</v>
      </c>
      <c r="H1041" s="22" t="n">
        <v>45039</v>
      </c>
      <c r="I1041" s="22" t="n">
        <v>370000</v>
      </c>
      <c r="J1041" s="20" t="inlineStr">
        <is>
          <t>PRODUCTIVITY ELEMENTS PRIVATE LIMITED</t>
        </is>
      </c>
      <c r="K1041" s="20" t="inlineStr">
        <is>
          <t>Non-Captive</t>
        </is>
      </c>
      <c r="L1041" s="20" t="inlineStr">
        <is>
          <t>Shri Shakthi Vinayaga Cars</t>
        </is>
      </c>
      <c r="M1041" s="23" t="n">
        <v>2118.64</v>
      </c>
    </row>
    <row r="1042">
      <c r="A1042" s="19" t="inlineStr">
        <is>
          <t>FY26</t>
        </is>
      </c>
      <c r="B1042" s="19" t="inlineStr">
        <is>
          <t>Mar</t>
        </is>
      </c>
      <c r="C1042" s="19" t="inlineStr">
        <is>
          <t>TN</t>
        </is>
      </c>
      <c r="D1042" s="20" t="inlineStr">
        <is>
          <t>TN02BZ9111</t>
        </is>
      </c>
      <c r="E1042" s="20" t="inlineStr">
        <is>
          <t>MARUTI SUZUKI</t>
        </is>
      </c>
      <c r="F1042" s="20" t="inlineStr">
        <is>
          <t>Baleno</t>
        </is>
      </c>
      <c r="G1042" s="21" t="n">
        <v>2023</v>
      </c>
      <c r="H1042" s="22" t="n">
        <v>36444</v>
      </c>
      <c r="I1042" s="22" t="n">
        <v>675000</v>
      </c>
      <c r="J1042" s="20" t="inlineStr">
        <is>
          <t>Khivraj Motor</t>
        </is>
      </c>
      <c r="K1042" s="20" t="inlineStr">
        <is>
          <t>Non-Captive</t>
        </is>
      </c>
      <c r="L1042" s="20" t="inlineStr">
        <is>
          <t>Shri Shakthi Vinayaga Cars</t>
        </is>
      </c>
      <c r="M1042" s="23" t="n">
        <v>2118.64</v>
      </c>
    </row>
    <row r="1043">
      <c r="A1043" s="19" t="inlineStr">
        <is>
          <t>FY26</t>
        </is>
      </c>
      <c r="B1043" s="19" t="inlineStr">
        <is>
          <t>Mar</t>
        </is>
      </c>
      <c r="C1043" s="19" t="inlineStr">
        <is>
          <t>TN</t>
        </is>
      </c>
      <c r="D1043" s="20" t="inlineStr">
        <is>
          <t>TN02BH6411</t>
        </is>
      </c>
      <c r="E1043" s="20" t="inlineStr">
        <is>
          <t>MARUTI SUZUKI</t>
        </is>
      </c>
      <c r="F1043" s="20" t="inlineStr">
        <is>
          <t>Swift Dzire</t>
        </is>
      </c>
      <c r="G1043" s="21" t="n">
        <v>2017</v>
      </c>
      <c r="H1043" s="22" t="n">
        <v>112720</v>
      </c>
      <c r="I1043" s="22" t="n">
        <v>375000</v>
      </c>
      <c r="J1043" s="20" t="inlineStr">
        <is>
          <t>Khivraj Motor</t>
        </is>
      </c>
      <c r="K1043" s="20" t="inlineStr">
        <is>
          <t>Non-Captive</t>
        </is>
      </c>
      <c r="L1043" s="20" t="inlineStr">
        <is>
          <t>Shri Shakthi Vinayaga Cars</t>
        </is>
      </c>
      <c r="M1043" s="23" t="n">
        <v>2118.64</v>
      </c>
    </row>
    <row r="1044">
      <c r="A1044" s="19" t="inlineStr">
        <is>
          <t>FY26</t>
        </is>
      </c>
      <c r="B1044" s="19" t="inlineStr">
        <is>
          <t>Mar</t>
        </is>
      </c>
      <c r="C1044" s="19" t="inlineStr">
        <is>
          <t>TN</t>
        </is>
      </c>
      <c r="D1044" s="20" t="inlineStr">
        <is>
          <t>TN02AL1739</t>
        </is>
      </c>
      <c r="E1044" s="20" t="inlineStr">
        <is>
          <t>MARUTI SUZUKI</t>
        </is>
      </c>
      <c r="F1044" s="20" t="inlineStr">
        <is>
          <t>Wagon R</t>
        </is>
      </c>
      <c r="G1044" s="21" t="n">
        <v>2010</v>
      </c>
      <c r="H1044" s="22" t="n">
        <v>87018</v>
      </c>
      <c r="I1044" s="22" t="n">
        <v>130000</v>
      </c>
      <c r="J1044" s="20" t="inlineStr">
        <is>
          <t>Khivraj Motor</t>
        </is>
      </c>
      <c r="K1044" s="20" t="inlineStr">
        <is>
          <t>Non-Captive</t>
        </is>
      </c>
      <c r="L1044" s="20" t="inlineStr">
        <is>
          <t>Shri Shakthi Vinayaga Cars</t>
        </is>
      </c>
      <c r="M1044" s="23" t="n">
        <v>2118.64</v>
      </c>
    </row>
    <row r="1045">
      <c r="A1045" s="19" t="inlineStr">
        <is>
          <t>FY26</t>
        </is>
      </c>
      <c r="B1045" s="19" t="inlineStr">
        <is>
          <t>Mar</t>
        </is>
      </c>
      <c r="C1045" s="19" t="inlineStr">
        <is>
          <t>TN</t>
        </is>
      </c>
      <c r="D1045" s="20" t="inlineStr">
        <is>
          <t>TN45BY9383</t>
        </is>
      </c>
      <c r="E1045" s="20" t="inlineStr">
        <is>
          <t>MARUTI SUZUKI</t>
        </is>
      </c>
      <c r="F1045" s="20" t="inlineStr">
        <is>
          <t>Wagon R</t>
        </is>
      </c>
      <c r="G1045" s="21" t="n">
        <v>2013</v>
      </c>
      <c r="H1045" s="22" t="n">
        <v>76651</v>
      </c>
      <c r="I1045" s="22" t="n">
        <v>240000</v>
      </c>
      <c r="J1045" s="20" t="inlineStr">
        <is>
          <t>Khivraj Motor</t>
        </is>
      </c>
      <c r="K1045" s="20" t="inlineStr">
        <is>
          <t>Non-Captive</t>
        </is>
      </c>
      <c r="L1045" s="20" t="inlineStr">
        <is>
          <t>Shri Shakthi Vinayaga Cars</t>
        </is>
      </c>
      <c r="M1045" s="23" t="n">
        <v>2118.64</v>
      </c>
    </row>
    <row r="1046">
      <c r="A1046" s="19" t="inlineStr">
        <is>
          <t>FY26</t>
        </is>
      </c>
      <c r="B1046" s="19" t="inlineStr">
        <is>
          <t>Mar</t>
        </is>
      </c>
      <c r="C1046" s="19" t="inlineStr">
        <is>
          <t>TN</t>
        </is>
      </c>
      <c r="D1046" s="20" t="inlineStr">
        <is>
          <t>TN07AP0137</t>
        </is>
      </c>
      <c r="E1046" s="20" t="inlineStr">
        <is>
          <t>MARUTI SUZUKI</t>
        </is>
      </c>
      <c r="F1046" s="20" t="inlineStr">
        <is>
          <t>Swift</t>
        </is>
      </c>
      <c r="G1046" s="21" t="n">
        <v>2007</v>
      </c>
      <c r="H1046" s="22" t="n">
        <v>44048</v>
      </c>
      <c r="I1046" s="22" t="n">
        <v>200000</v>
      </c>
      <c r="J1046" s="20" t="inlineStr">
        <is>
          <t>KALYANIMOTORS MARUTHI</t>
        </is>
      </c>
      <c r="K1046" s="20" t="inlineStr">
        <is>
          <t>Non-Captive</t>
        </is>
      </c>
      <c r="L1046" s="20" t="inlineStr">
        <is>
          <t>Shri Shakthi Vinayaga Cars</t>
        </is>
      </c>
      <c r="M1046" s="23" t="n">
        <v>2118.64</v>
      </c>
    </row>
    <row r="1047">
      <c r="A1047" s="19" t="inlineStr">
        <is>
          <t>FY26</t>
        </is>
      </c>
      <c r="B1047" s="19" t="inlineStr">
        <is>
          <t>Mar</t>
        </is>
      </c>
      <c r="C1047" s="19" t="inlineStr">
        <is>
          <t>TN</t>
        </is>
      </c>
      <c r="D1047" s="20" t="inlineStr">
        <is>
          <t>TN10BM2553</t>
        </is>
      </c>
      <c r="E1047" s="20" t="inlineStr">
        <is>
          <t>MARUTI SUZUKI</t>
        </is>
      </c>
      <c r="F1047" s="20" t="inlineStr">
        <is>
          <t>Swift</t>
        </is>
      </c>
      <c r="G1047" s="21" t="n">
        <v>2009</v>
      </c>
      <c r="H1047" s="22" t="n">
        <v>98979</v>
      </c>
      <c r="I1047" s="22" t="n">
        <v>100000</v>
      </c>
      <c r="J1047" s="20" t="inlineStr">
        <is>
          <t>KALYANIMOTORS MARUTHI</t>
        </is>
      </c>
      <c r="K1047" s="20" t="inlineStr">
        <is>
          <t>Non-Captive</t>
        </is>
      </c>
      <c r="L1047" s="20" t="inlineStr">
        <is>
          <t>Santhosh Cars</t>
        </is>
      </c>
      <c r="M1047" s="23" t="n">
        <v>2118.64</v>
      </c>
    </row>
    <row r="1048">
      <c r="A1048" s="19" t="inlineStr">
        <is>
          <t>FY26</t>
        </is>
      </c>
      <c r="B1048" s="19" t="inlineStr">
        <is>
          <t>Mar</t>
        </is>
      </c>
      <c r="C1048" s="19" t="inlineStr">
        <is>
          <t>TN</t>
        </is>
      </c>
      <c r="D1048" s="20" t="inlineStr">
        <is>
          <t>TN09AR3169</t>
        </is>
      </c>
      <c r="E1048" s="20" t="inlineStr">
        <is>
          <t>MARUTI SUZUKI</t>
        </is>
      </c>
      <c r="F1048" s="20" t="inlineStr">
        <is>
          <t>Swift</t>
        </is>
      </c>
      <c r="G1048" s="21" t="n">
        <v>2006</v>
      </c>
      <c r="H1048" s="22" t="n">
        <v>82714</v>
      </c>
      <c r="I1048" s="22" t="n">
        <v>60000</v>
      </c>
      <c r="J1048" s="20" t="inlineStr">
        <is>
          <t>KALYANIMOTORS MARUTHI</t>
        </is>
      </c>
      <c r="K1048" s="20" t="inlineStr">
        <is>
          <t>Non-Captive</t>
        </is>
      </c>
      <c r="L1048" s="20" t="inlineStr">
        <is>
          <t>Santhosh Cars</t>
        </is>
      </c>
      <c r="M1048" s="23" t="n">
        <v>2118.64</v>
      </c>
    </row>
    <row r="1049">
      <c r="A1049" s="19" t="inlineStr">
        <is>
          <t>FY26</t>
        </is>
      </c>
      <c r="B1049" s="19" t="inlineStr">
        <is>
          <t>Mar</t>
        </is>
      </c>
      <c r="C1049" s="19" t="inlineStr">
        <is>
          <t>TN</t>
        </is>
      </c>
      <c r="D1049" s="20" t="inlineStr">
        <is>
          <t>TN05AW1197</t>
        </is>
      </c>
      <c r="E1049" s="20" t="inlineStr">
        <is>
          <t>MARUTI SUZUKI</t>
        </is>
      </c>
      <c r="F1049" s="20" t="inlineStr">
        <is>
          <t>Swift Dzire</t>
        </is>
      </c>
      <c r="G1049" s="21" t="n">
        <v>2014</v>
      </c>
      <c r="H1049" s="22" t="n">
        <v>81007</v>
      </c>
      <c r="I1049" s="22" t="n">
        <v>220000</v>
      </c>
      <c r="J1049" s="20" t="inlineStr">
        <is>
          <t>KALYANIMOTORS MARUTHI</t>
        </is>
      </c>
      <c r="K1049" s="20" t="inlineStr">
        <is>
          <t>Non-Captive</t>
        </is>
      </c>
      <c r="L1049" s="20" t="inlineStr">
        <is>
          <t>Santhosh Cars</t>
        </is>
      </c>
      <c r="M1049" s="23" t="n">
        <v>2118.64</v>
      </c>
    </row>
    <row r="1050">
      <c r="A1050" s="19" t="inlineStr">
        <is>
          <t>FY26</t>
        </is>
      </c>
      <c r="B1050" s="19" t="inlineStr">
        <is>
          <t>Mar</t>
        </is>
      </c>
      <c r="C1050" s="19" t="inlineStr">
        <is>
          <t>TN</t>
        </is>
      </c>
      <c r="D1050" s="20" t="inlineStr">
        <is>
          <t>TN10BX4858</t>
        </is>
      </c>
      <c r="E1050" s="20" t="inlineStr">
        <is>
          <t>HYUNDAI</t>
        </is>
      </c>
      <c r="F1050" s="20" t="inlineStr">
        <is>
          <t>Aura</t>
        </is>
      </c>
      <c r="G1050" s="21" t="n">
        <v>2024</v>
      </c>
      <c r="H1050" s="22" t="n">
        <v>41019</v>
      </c>
      <c r="I1050" s="22" t="n">
        <v>475000</v>
      </c>
      <c r="J1050" s="20" t="inlineStr">
        <is>
          <t>KALYANIMOTORS MARUTHI</t>
        </is>
      </c>
      <c r="K1050" s="20" t="inlineStr">
        <is>
          <t>Non-Captive</t>
        </is>
      </c>
      <c r="L1050" s="20" t="inlineStr">
        <is>
          <t>Santhosh Cars</t>
        </is>
      </c>
      <c r="M1050" s="23" t="n">
        <v>2118.64</v>
      </c>
    </row>
    <row r="1051">
      <c r="A1051" s="19" t="inlineStr">
        <is>
          <t>FY26</t>
        </is>
      </c>
      <c r="B1051" s="19" t="inlineStr">
        <is>
          <t>Mar</t>
        </is>
      </c>
      <c r="C1051" s="19" t="inlineStr">
        <is>
          <t>TN</t>
        </is>
      </c>
      <c r="D1051" s="20" t="inlineStr">
        <is>
          <t>TN12AQ1993</t>
        </is>
      </c>
      <c r="E1051" s="20" t="inlineStr">
        <is>
          <t>RENAULT</t>
        </is>
      </c>
      <c r="F1051" s="20" t="inlineStr">
        <is>
          <t>Kiger</t>
        </is>
      </c>
      <c r="G1051" s="21" t="n">
        <v>2021</v>
      </c>
      <c r="H1051" s="22" t="n">
        <v>59767</v>
      </c>
      <c r="I1051" s="22" t="n">
        <v>365000</v>
      </c>
      <c r="J1051" s="20" t="inlineStr">
        <is>
          <t>KALYANIMOTORS MARUTHI</t>
        </is>
      </c>
      <c r="K1051" s="20" t="inlineStr">
        <is>
          <t>Non-Captive</t>
        </is>
      </c>
      <c r="L1051" s="20" t="inlineStr">
        <is>
          <t>Santhosh Cars</t>
        </is>
      </c>
      <c r="M1051" s="23" t="n">
        <v>2118.64</v>
      </c>
    </row>
    <row r="1052">
      <c r="A1052" s="19" t="inlineStr">
        <is>
          <t>FY26</t>
        </is>
      </c>
      <c r="B1052" s="19" t="inlineStr">
        <is>
          <t>Mar</t>
        </is>
      </c>
      <c r="C1052" s="19" t="inlineStr">
        <is>
          <t>TN</t>
        </is>
      </c>
      <c r="D1052" s="20" t="inlineStr">
        <is>
          <t>TN18BB9495</t>
        </is>
      </c>
      <c r="E1052" s="20" t="inlineStr">
        <is>
          <t>MARUTI SUZUKI</t>
        </is>
      </c>
      <c r="F1052" s="20" t="inlineStr">
        <is>
          <t>Wagon R</t>
        </is>
      </c>
      <c r="G1052" s="21" t="n">
        <v>2020</v>
      </c>
      <c r="H1052" s="22" t="n">
        <v>82485</v>
      </c>
      <c r="I1052" s="22" t="n">
        <v>315000</v>
      </c>
      <c r="J1052" s="20" t="inlineStr">
        <is>
          <t>KALYANIMOTORS MARUTHI</t>
        </is>
      </c>
      <c r="K1052" s="20" t="inlineStr">
        <is>
          <t>Non-Captive</t>
        </is>
      </c>
      <c r="L1052" s="20" t="inlineStr">
        <is>
          <t>Santhosh Cars</t>
        </is>
      </c>
      <c r="M1052" s="23" t="n">
        <v>2118.64</v>
      </c>
    </row>
    <row r="1053">
      <c r="A1053" s="19" t="inlineStr">
        <is>
          <t>FY26</t>
        </is>
      </c>
      <c r="B1053" s="19" t="inlineStr">
        <is>
          <t>Mar</t>
        </is>
      </c>
      <c r="C1053" s="19" t="inlineStr">
        <is>
          <t>TN</t>
        </is>
      </c>
      <c r="D1053" s="20" t="inlineStr">
        <is>
          <t>TN22BP6153</t>
        </is>
      </c>
      <c r="E1053" s="20" t="inlineStr">
        <is>
          <t>VOLKSWAGEN</t>
        </is>
      </c>
      <c r="F1053" s="20" t="inlineStr">
        <is>
          <t>Vento</t>
        </is>
      </c>
      <c r="G1053" s="21" t="n">
        <v>2011</v>
      </c>
      <c r="H1053" s="22" t="n">
        <v>205296</v>
      </c>
      <c r="I1053" s="22" t="n">
        <v>110000</v>
      </c>
      <c r="J1053" s="20" t="inlineStr">
        <is>
          <t>KALYANIMOTORS MARUTHI</t>
        </is>
      </c>
      <c r="K1053" s="20" t="inlineStr">
        <is>
          <t>Non-Captive</t>
        </is>
      </c>
      <c r="L1053" s="20" t="inlineStr">
        <is>
          <t>Santhosh Cars</t>
        </is>
      </c>
      <c r="M1053" s="23" t="n">
        <v>2118.64</v>
      </c>
    </row>
    <row r="1054">
      <c r="A1054" s="19" t="inlineStr">
        <is>
          <t>FY26</t>
        </is>
      </c>
      <c r="B1054" s="19" t="inlineStr">
        <is>
          <t>Mar</t>
        </is>
      </c>
      <c r="C1054" s="19" t="inlineStr">
        <is>
          <t>TN</t>
        </is>
      </c>
      <c r="D1054" s="20" t="inlineStr">
        <is>
          <t>TN06P9658</t>
        </is>
      </c>
      <c r="E1054" s="20" t="inlineStr">
        <is>
          <t>HYUNDAI</t>
        </is>
      </c>
      <c r="F1054" s="20" t="inlineStr">
        <is>
          <t>Grand I10</t>
        </is>
      </c>
      <c r="G1054" s="21" t="n">
        <v>2015</v>
      </c>
      <c r="H1054" s="22" t="n">
        <v>75324</v>
      </c>
      <c r="I1054" s="22" t="n">
        <v>210000</v>
      </c>
      <c r="J1054" s="20" t="inlineStr">
        <is>
          <t>KALYANIMOTORS MARUTHI</t>
        </is>
      </c>
      <c r="K1054" s="20" t="inlineStr">
        <is>
          <t>Non-Captive</t>
        </is>
      </c>
      <c r="L1054" s="20" t="inlineStr">
        <is>
          <t>Santhosh Cars</t>
        </is>
      </c>
      <c r="M1054" s="23" t="n">
        <v>2118.64</v>
      </c>
    </row>
    <row r="1055">
      <c r="A1055" s="19" t="inlineStr">
        <is>
          <t>FY26</t>
        </is>
      </c>
      <c r="B1055" s="19" t="inlineStr">
        <is>
          <t>Mar</t>
        </is>
      </c>
      <c r="C1055" s="19" t="inlineStr">
        <is>
          <t>TN</t>
        </is>
      </c>
      <c r="D1055" s="20" t="inlineStr">
        <is>
          <t>TN10AP0137</t>
        </is>
      </c>
      <c r="E1055" s="20" t="inlineStr">
        <is>
          <t>MARUTI SUZUKI</t>
        </is>
      </c>
      <c r="F1055" s="20" t="inlineStr">
        <is>
          <t>Alto</t>
        </is>
      </c>
      <c r="G1055" s="21" t="n">
        <v>2013</v>
      </c>
      <c r="H1055" s="22" t="n">
        <v>144048</v>
      </c>
      <c r="I1055" s="22" t="n">
        <v>160000</v>
      </c>
      <c r="J1055" s="20" t="inlineStr">
        <is>
          <t>KALYANIMOTORS MARUTHI</t>
        </is>
      </c>
      <c r="K1055" s="20" t="inlineStr">
        <is>
          <t>Non-Captive</t>
        </is>
      </c>
      <c r="L1055" s="20" t="inlineStr">
        <is>
          <t>Santhosh Cars</t>
        </is>
      </c>
      <c r="M1055" s="23" t="n">
        <v>2118.64</v>
      </c>
    </row>
    <row r="1056">
      <c r="A1056" s="19" t="inlineStr">
        <is>
          <t>FY26</t>
        </is>
      </c>
      <c r="B1056" s="19" t="inlineStr">
        <is>
          <t>Mar</t>
        </is>
      </c>
      <c r="C1056" s="19" t="inlineStr">
        <is>
          <t>TN</t>
        </is>
      </c>
      <c r="D1056" s="20" t="inlineStr">
        <is>
          <t>TN10AC1766</t>
        </is>
      </c>
      <c r="E1056" s="20" t="inlineStr">
        <is>
          <t>MARUTI SUZUKI</t>
        </is>
      </c>
      <c r="F1056" s="20" t="inlineStr">
        <is>
          <t>Swift</t>
        </is>
      </c>
      <c r="G1056" s="21" t="n">
        <v>2011</v>
      </c>
      <c r="H1056" s="22" t="n">
        <v>112129</v>
      </c>
      <c r="I1056" s="22" t="n">
        <v>160000</v>
      </c>
      <c r="J1056" s="20" t="inlineStr">
        <is>
          <t>KALYANIMOTORS MARUTHI</t>
        </is>
      </c>
      <c r="K1056" s="20" t="inlineStr">
        <is>
          <t>Non-Captive</t>
        </is>
      </c>
      <c r="L1056" s="20" t="inlineStr">
        <is>
          <t>Santhosh Cars</t>
        </is>
      </c>
      <c r="M1056" s="23" t="n">
        <v>2118.64</v>
      </c>
    </row>
    <row r="1057">
      <c r="A1057" s="19" t="inlineStr">
        <is>
          <t>FY26</t>
        </is>
      </c>
      <c r="B1057" s="19" t="inlineStr">
        <is>
          <t>Mar</t>
        </is>
      </c>
      <c r="C1057" s="19" t="inlineStr">
        <is>
          <t>TN</t>
        </is>
      </c>
      <c r="D1057" s="20" t="inlineStr">
        <is>
          <t>TN07BA5044</t>
        </is>
      </c>
      <c r="E1057" s="20" t="inlineStr">
        <is>
          <t>MARUTI SUZUKI</t>
        </is>
      </c>
      <c r="F1057" s="20" t="inlineStr">
        <is>
          <t>Swift</t>
        </is>
      </c>
      <c r="G1057" s="21" t="n">
        <v>2008</v>
      </c>
      <c r="H1057" s="22" t="n">
        <v>102198</v>
      </c>
      <c r="I1057" s="22" t="n">
        <v>130000</v>
      </c>
      <c r="J1057" s="20" t="inlineStr">
        <is>
          <t>KALYANIMOTORS MARUTHI</t>
        </is>
      </c>
      <c r="K1057" s="20" t="inlineStr">
        <is>
          <t>Non-Captive</t>
        </is>
      </c>
      <c r="L1057" s="20" t="inlineStr">
        <is>
          <t>Santhosh Cars</t>
        </is>
      </c>
      <c r="M1057" s="23" t="n">
        <v>2118.64</v>
      </c>
    </row>
    <row r="1058">
      <c r="A1058" s="19" t="inlineStr">
        <is>
          <t>FY26</t>
        </is>
      </c>
      <c r="B1058" s="19" t="inlineStr">
        <is>
          <t>Mar</t>
        </is>
      </c>
      <c r="C1058" s="19" t="inlineStr">
        <is>
          <t>TN</t>
        </is>
      </c>
      <c r="D1058" s="20" t="inlineStr">
        <is>
          <t>TN13R8562</t>
        </is>
      </c>
      <c r="E1058" s="20" t="inlineStr">
        <is>
          <t>HYUNDAI</t>
        </is>
      </c>
      <c r="F1058" s="20" t="inlineStr">
        <is>
          <t>Verna</t>
        </is>
      </c>
      <c r="G1058" s="21" t="n">
        <v>2019</v>
      </c>
      <c r="H1058" s="22" t="n">
        <v>87783</v>
      </c>
      <c r="I1058" s="22" t="n">
        <v>380000</v>
      </c>
      <c r="J1058" s="20" t="inlineStr">
        <is>
          <t>Khivraj Motor</t>
        </is>
      </c>
      <c r="K1058" s="20" t="inlineStr">
        <is>
          <t>Non-Captive</t>
        </is>
      </c>
      <c r="L1058" s="20" t="inlineStr">
        <is>
          <t>Santhosh Cars</t>
        </is>
      </c>
      <c r="M1058" s="23" t="n">
        <v>2118.64</v>
      </c>
    </row>
    <row r="1059">
      <c r="A1059" s="19" t="inlineStr">
        <is>
          <t>FY26</t>
        </is>
      </c>
      <c r="B1059" s="19" t="inlineStr">
        <is>
          <t>Mar</t>
        </is>
      </c>
      <c r="C1059" s="19" t="inlineStr">
        <is>
          <t>TN</t>
        </is>
      </c>
      <c r="D1059" s="20" t="inlineStr">
        <is>
          <t>TN01AZ4383</t>
        </is>
      </c>
      <c r="E1059" s="20" t="inlineStr">
        <is>
          <t>MARUTI SUZUKI</t>
        </is>
      </c>
      <c r="F1059" s="20" t="inlineStr">
        <is>
          <t>Baleno</t>
        </is>
      </c>
      <c r="G1059" s="21" t="n">
        <v>2015</v>
      </c>
      <c r="H1059" s="22" t="n">
        <v>19926</v>
      </c>
      <c r="I1059" s="22" t="n">
        <v>350000</v>
      </c>
      <c r="J1059" s="20" t="inlineStr">
        <is>
          <t>Khivraj Motor</t>
        </is>
      </c>
      <c r="K1059" s="20" t="inlineStr">
        <is>
          <t>Non-Captive</t>
        </is>
      </c>
      <c r="L1059" s="20" t="inlineStr">
        <is>
          <t>Santhosh Cars</t>
        </is>
      </c>
      <c r="M1059" s="23" t="n">
        <v>2118.64</v>
      </c>
    </row>
    <row r="1060">
      <c r="A1060" s="19" t="inlineStr">
        <is>
          <t>FY26</t>
        </is>
      </c>
      <c r="B1060" s="19" t="inlineStr">
        <is>
          <t>Mar</t>
        </is>
      </c>
      <c r="C1060" s="19" t="inlineStr">
        <is>
          <t>TN</t>
        </is>
      </c>
      <c r="D1060" s="20" t="inlineStr">
        <is>
          <t>TN01AF7486</t>
        </is>
      </c>
      <c r="E1060" s="20" t="inlineStr">
        <is>
          <t>MARUTI SUZUKI</t>
        </is>
      </c>
      <c r="F1060" s="20" t="inlineStr">
        <is>
          <t>Wagon R</t>
        </is>
      </c>
      <c r="G1060" s="21" t="n">
        <v>2008</v>
      </c>
      <c r="H1060" s="22" t="n">
        <v>100512</v>
      </c>
      <c r="I1060" s="22" t="n">
        <v>100000</v>
      </c>
      <c r="J1060" s="20" t="inlineStr">
        <is>
          <t>KALYANIMOTORS MARUTHI</t>
        </is>
      </c>
      <c r="K1060" s="20" t="inlineStr">
        <is>
          <t>Non-Captive</t>
        </is>
      </c>
      <c r="L1060" s="20" t="inlineStr">
        <is>
          <t>Santhosh Cars</t>
        </is>
      </c>
      <c r="M1060" s="23" t="n">
        <v>2118.64</v>
      </c>
    </row>
    <row r="1061">
      <c r="A1061" s="19" t="inlineStr">
        <is>
          <t>FY26</t>
        </is>
      </c>
      <c r="B1061" s="19" t="inlineStr">
        <is>
          <t>Mar</t>
        </is>
      </c>
      <c r="C1061" s="19" t="inlineStr">
        <is>
          <t>TN</t>
        </is>
      </c>
      <c r="D1061" s="20" t="inlineStr">
        <is>
          <t>TN05AH1084</t>
        </is>
      </c>
      <c r="E1061" s="20" t="inlineStr">
        <is>
          <t>MARUTI SUZUKI</t>
        </is>
      </c>
      <c r="F1061" s="20" t="inlineStr">
        <is>
          <t>Ritz</t>
        </is>
      </c>
      <c r="G1061" s="21" t="n">
        <v>2010</v>
      </c>
      <c r="H1061" s="22" t="n">
        <v>23887</v>
      </c>
      <c r="I1061" s="22" t="n">
        <v>160000</v>
      </c>
      <c r="J1061" s="20" t="inlineStr">
        <is>
          <t>KALYANIMOTORS MARUTHI</t>
        </is>
      </c>
      <c r="K1061" s="20" t="inlineStr">
        <is>
          <t>Non-Captive</t>
        </is>
      </c>
      <c r="L1061" s="20" t="inlineStr">
        <is>
          <t>Nirmal Cars</t>
        </is>
      </c>
      <c r="M1061" s="23" t="n">
        <v>2542.37</v>
      </c>
    </row>
    <row r="1062">
      <c r="A1062" s="19" t="inlineStr">
        <is>
          <t>FY26</t>
        </is>
      </c>
      <c r="B1062" s="19" t="inlineStr">
        <is>
          <t>Mar</t>
        </is>
      </c>
      <c r="C1062" s="19" t="inlineStr">
        <is>
          <t>TN</t>
        </is>
      </c>
      <c r="D1062" s="20" t="inlineStr">
        <is>
          <t>TN09CC5882</t>
        </is>
      </c>
      <c r="E1062" s="20" t="inlineStr">
        <is>
          <t>RENAULT</t>
        </is>
      </c>
      <c r="F1062" s="20" t="inlineStr">
        <is>
          <t>Kwid</t>
        </is>
      </c>
      <c r="G1062" s="21" t="n">
        <v>2016</v>
      </c>
      <c r="H1062" s="22" t="n">
        <v>72524</v>
      </c>
      <c r="I1062" s="22" t="n">
        <v>170000</v>
      </c>
      <c r="J1062" s="20" t="inlineStr">
        <is>
          <t>KALYANIMOTORS MARUTHI</t>
        </is>
      </c>
      <c r="K1062" s="20" t="inlineStr">
        <is>
          <t>Non-Captive</t>
        </is>
      </c>
      <c r="L1062" s="20" t="inlineStr">
        <is>
          <t>Nirmal Cars</t>
        </is>
      </c>
      <c r="M1062" s="23" t="n">
        <v>2542.37</v>
      </c>
    </row>
    <row r="1063">
      <c r="A1063" s="19" t="inlineStr">
        <is>
          <t>FY26</t>
        </is>
      </c>
      <c r="B1063" s="19" t="inlineStr">
        <is>
          <t>Mar</t>
        </is>
      </c>
      <c r="C1063" s="19" t="inlineStr">
        <is>
          <t>TN</t>
        </is>
      </c>
      <c r="D1063" s="20" t="inlineStr">
        <is>
          <t>TN09CF7267</t>
        </is>
      </c>
      <c r="E1063" s="20" t="inlineStr">
        <is>
          <t>HYUNDAI</t>
        </is>
      </c>
      <c r="F1063" s="20" t="inlineStr">
        <is>
          <t>Grand I10</t>
        </is>
      </c>
      <c r="G1063" s="21" t="n">
        <v>2016</v>
      </c>
      <c r="H1063" s="22" t="n">
        <v>158309</v>
      </c>
      <c r="I1063" s="22" t="n">
        <v>180000</v>
      </c>
      <c r="J1063" s="20" t="inlineStr">
        <is>
          <t>KALYANIMOTORS MARUTHI</t>
        </is>
      </c>
      <c r="K1063" s="20" t="inlineStr">
        <is>
          <t>Non-Captive</t>
        </is>
      </c>
      <c r="L1063" s="20" t="inlineStr">
        <is>
          <t>Nirmal Cars</t>
        </is>
      </c>
      <c r="M1063" s="23" t="n">
        <v>2542.37</v>
      </c>
    </row>
    <row r="1064">
      <c r="A1064" s="19" t="inlineStr">
        <is>
          <t>FY26</t>
        </is>
      </c>
      <c r="B1064" s="19" t="inlineStr">
        <is>
          <t>Mar</t>
        </is>
      </c>
      <c r="C1064" s="19" t="inlineStr">
        <is>
          <t>TN</t>
        </is>
      </c>
      <c r="D1064" s="20" t="inlineStr">
        <is>
          <t>TN12W5310</t>
        </is>
      </c>
      <c r="E1064" s="20" t="inlineStr">
        <is>
          <t>HYUNDAI</t>
        </is>
      </c>
      <c r="F1064" s="20" t="inlineStr">
        <is>
          <t>Xcent</t>
        </is>
      </c>
      <c r="G1064" s="21" t="n">
        <v>2017</v>
      </c>
      <c r="H1064" s="22" t="n">
        <v>156472</v>
      </c>
      <c r="I1064" s="22" t="n">
        <v>170000</v>
      </c>
      <c r="J1064" s="20" t="inlineStr">
        <is>
          <t>KALYANIMOTORS MARUTHI</t>
        </is>
      </c>
      <c r="K1064" s="20" t="inlineStr">
        <is>
          <t>Non-Captive</t>
        </is>
      </c>
      <c r="L1064" s="20" t="inlineStr">
        <is>
          <t>Nirmal Cars</t>
        </is>
      </c>
      <c r="M1064" s="23" t="n">
        <v>2542.37</v>
      </c>
    </row>
    <row r="1065">
      <c r="A1065" s="19" t="inlineStr">
        <is>
          <t>FY26</t>
        </is>
      </c>
      <c r="B1065" s="19" t="inlineStr">
        <is>
          <t>Mar</t>
        </is>
      </c>
      <c r="C1065" s="19" t="inlineStr">
        <is>
          <t>TN</t>
        </is>
      </c>
      <c r="D1065" s="20" t="inlineStr">
        <is>
          <t>TN18BL2705</t>
        </is>
      </c>
      <c r="E1065" s="20" t="inlineStr">
        <is>
          <t>NISSAN</t>
        </is>
      </c>
      <c r="F1065" s="20" t="inlineStr">
        <is>
          <t>Magnite</t>
        </is>
      </c>
      <c r="G1065" s="21" t="n">
        <v>2023</v>
      </c>
      <c r="H1065" s="22" t="n">
        <v>16624</v>
      </c>
      <c r="I1065" s="22" t="n">
        <v>380000</v>
      </c>
      <c r="J1065" s="20" t="inlineStr">
        <is>
          <t>KALYANIMOTORS MARUTHI</t>
        </is>
      </c>
      <c r="K1065" s="20" t="inlineStr">
        <is>
          <t>Non-Captive</t>
        </is>
      </c>
      <c r="L1065" s="20" t="inlineStr">
        <is>
          <t>Nirmal Cars</t>
        </is>
      </c>
      <c r="M1065" s="23" t="n">
        <v>2542.37</v>
      </c>
    </row>
    <row r="1066">
      <c r="A1066" s="19" t="inlineStr">
        <is>
          <t>FY26</t>
        </is>
      </c>
      <c r="B1066" s="19" t="inlineStr">
        <is>
          <t>Mar</t>
        </is>
      </c>
      <c r="C1066" s="19" t="inlineStr">
        <is>
          <t>TN</t>
        </is>
      </c>
      <c r="D1066" s="20" t="inlineStr">
        <is>
          <t>TN21BD3355</t>
        </is>
      </c>
      <c r="E1066" s="20" t="inlineStr">
        <is>
          <t>SKODA</t>
        </is>
      </c>
      <c r="F1066" s="20" t="inlineStr">
        <is>
          <t>Rapid</t>
        </is>
      </c>
      <c r="G1066" s="21" t="n">
        <v>2016</v>
      </c>
      <c r="H1066" s="22" t="n">
        <v>176443</v>
      </c>
      <c r="I1066" s="22" t="n">
        <v>325000</v>
      </c>
      <c r="J1066" s="20" t="inlineStr">
        <is>
          <t>KALYANIMOTORS MARUTHI</t>
        </is>
      </c>
      <c r="K1066" s="20" t="inlineStr">
        <is>
          <t>Non-Captive</t>
        </is>
      </c>
      <c r="L1066" s="20" t="inlineStr">
        <is>
          <t>Nirmal Cars</t>
        </is>
      </c>
      <c r="M1066" s="23" t="n">
        <v>2542.37</v>
      </c>
    </row>
    <row r="1067">
      <c r="A1067" s="19" t="inlineStr">
        <is>
          <t>FY26</t>
        </is>
      </c>
      <c r="B1067" s="19" t="inlineStr">
        <is>
          <t>Mar</t>
        </is>
      </c>
      <c r="C1067" s="19" t="inlineStr">
        <is>
          <t>TN</t>
        </is>
      </c>
      <c r="D1067" s="20" t="inlineStr">
        <is>
          <t>KL21P1815</t>
        </is>
      </c>
      <c r="E1067" s="20" t="inlineStr">
        <is>
          <t>SKODA</t>
        </is>
      </c>
      <c r="F1067" s="20" t="inlineStr">
        <is>
          <t>Rapid</t>
        </is>
      </c>
      <c r="G1067" s="21" t="n">
        <v>2017</v>
      </c>
      <c r="H1067" s="22" t="n">
        <v>38921</v>
      </c>
      <c r="I1067" s="22" t="n">
        <v>400000</v>
      </c>
      <c r="J1067" s="20" t="inlineStr">
        <is>
          <t>Khivraj Motor</t>
        </is>
      </c>
      <c r="K1067" s="20" t="inlineStr">
        <is>
          <t>Non-Captive</t>
        </is>
      </c>
      <c r="L1067" s="20" t="inlineStr">
        <is>
          <t>Nirmal Cars</t>
        </is>
      </c>
      <c r="M1067" s="23" t="n">
        <v>3389.83</v>
      </c>
    </row>
    <row r="1068">
      <c r="A1068" s="19" t="inlineStr">
        <is>
          <t>FY26</t>
        </is>
      </c>
      <c r="B1068" s="19" t="inlineStr">
        <is>
          <t>Mar</t>
        </is>
      </c>
      <c r="C1068" s="19" t="inlineStr">
        <is>
          <t>TN</t>
        </is>
      </c>
      <c r="D1068" s="20" t="inlineStr">
        <is>
          <t>TN19C9806</t>
        </is>
      </c>
      <c r="E1068" s="20" t="inlineStr">
        <is>
          <t>MARUTI SUZUKI</t>
        </is>
      </c>
      <c r="F1068" s="20" t="inlineStr">
        <is>
          <t>Swift Dzire</t>
        </is>
      </c>
      <c r="G1068" s="21" t="n">
        <v>2011</v>
      </c>
      <c r="H1068" s="22" t="n">
        <v>122895</v>
      </c>
      <c r="I1068" s="22" t="n">
        <v>190000</v>
      </c>
      <c r="J1068" s="20" t="inlineStr">
        <is>
          <t>EXCHANGE CHENNAI</t>
        </is>
      </c>
      <c r="K1068" s="20" t="inlineStr">
        <is>
          <t>Captive</t>
        </is>
      </c>
      <c r="L1068" s="20" t="inlineStr">
        <is>
          <t>Grand Cars</t>
        </is>
      </c>
      <c r="M1068" s="23" t="n">
        <v>8474.58</v>
      </c>
    </row>
    <row r="1069">
      <c r="A1069" s="19" t="inlineStr">
        <is>
          <t>FY26</t>
        </is>
      </c>
      <c r="B1069" s="19" t="inlineStr">
        <is>
          <t>Mar</t>
        </is>
      </c>
      <c r="C1069" s="19" t="inlineStr">
        <is>
          <t>TN</t>
        </is>
      </c>
      <c r="D1069" s="20" t="inlineStr">
        <is>
          <t>TN06R2587</t>
        </is>
      </c>
      <c r="E1069" s="20" t="inlineStr">
        <is>
          <t>HONDA</t>
        </is>
      </c>
      <c r="F1069" s="20" t="inlineStr">
        <is>
          <t>Amaze</t>
        </is>
      </c>
      <c r="G1069" s="21" t="n">
        <v>2016</v>
      </c>
      <c r="H1069" s="22" t="n">
        <v>119017</v>
      </c>
      <c r="I1069" s="22" t="n">
        <v>250000</v>
      </c>
      <c r="J1069" s="20" t="inlineStr">
        <is>
          <t>EXCHANGE CHENNAI</t>
        </is>
      </c>
      <c r="K1069" s="20" t="inlineStr">
        <is>
          <t>Captive</t>
        </is>
      </c>
      <c r="L1069" s="20" t="inlineStr">
        <is>
          <t>Santhosh Cars</t>
        </is>
      </c>
      <c r="M1069" s="23" t="n">
        <v>8474.58</v>
      </c>
    </row>
    <row r="1070">
      <c r="A1070" s="19" t="inlineStr">
        <is>
          <t>FY26</t>
        </is>
      </c>
      <c r="B1070" s="19" t="inlineStr">
        <is>
          <t>Mar</t>
        </is>
      </c>
      <c r="C1070" s="19" t="inlineStr">
        <is>
          <t>TN</t>
        </is>
      </c>
      <c r="D1070" s="20" t="inlineStr">
        <is>
          <t>TN38AT8500</t>
        </is>
      </c>
      <c r="E1070" s="20" t="inlineStr">
        <is>
          <t>HONDA</t>
        </is>
      </c>
      <c r="F1070" s="20" t="inlineStr">
        <is>
          <t>City</t>
        </is>
      </c>
      <c r="G1070" s="21" t="n">
        <v>2008</v>
      </c>
      <c r="H1070" s="22" t="n">
        <v>124881</v>
      </c>
      <c r="I1070" s="22" t="n">
        <v>60000</v>
      </c>
      <c r="J1070" s="20" t="inlineStr">
        <is>
          <t>EXCHANGE ROTN</t>
        </is>
      </c>
      <c r="K1070" s="20" t="inlineStr">
        <is>
          <t>Captive</t>
        </is>
      </c>
      <c r="L1070" s="20" t="inlineStr">
        <is>
          <t>UZHAVAN ENTERPRISE</t>
        </is>
      </c>
      <c r="M1070" s="23" t="n">
        <v>4237.29</v>
      </c>
    </row>
    <row r="1071">
      <c r="A1071" s="19" t="inlineStr">
        <is>
          <t>FY26</t>
        </is>
      </c>
      <c r="B1071" s="19" t="inlineStr">
        <is>
          <t>Mar</t>
        </is>
      </c>
      <c r="C1071" s="19" t="inlineStr">
        <is>
          <t>TN</t>
        </is>
      </c>
      <c r="D1071" s="20" t="inlineStr">
        <is>
          <t>TN07BY6510</t>
        </is>
      </c>
      <c r="E1071" s="20" t="inlineStr">
        <is>
          <t>HONDA</t>
        </is>
      </c>
      <c r="F1071" s="20" t="inlineStr">
        <is>
          <t>City</t>
        </is>
      </c>
      <c r="G1071" s="21" t="n">
        <v>2014</v>
      </c>
      <c r="H1071" s="22" t="n">
        <v>60454</v>
      </c>
      <c r="I1071" s="22" t="n">
        <v>350000</v>
      </c>
      <c r="J1071" s="20" t="inlineStr">
        <is>
          <t>EXCHANGE CHENNAI</t>
        </is>
      </c>
      <c r="K1071" s="20" t="inlineStr">
        <is>
          <t>Captive</t>
        </is>
      </c>
      <c r="L1071" s="20" t="inlineStr">
        <is>
          <t>AAA Cars</t>
        </is>
      </c>
      <c r="M1071" s="23" t="n">
        <v>8474.58</v>
      </c>
    </row>
    <row r="1072">
      <c r="A1072" s="19" t="inlineStr">
        <is>
          <t>FY26</t>
        </is>
      </c>
      <c r="B1072" s="19" t="inlineStr">
        <is>
          <t>Mar</t>
        </is>
      </c>
      <c r="C1072" s="19" t="inlineStr">
        <is>
          <t>TN</t>
        </is>
      </c>
      <c r="D1072" s="20" t="inlineStr">
        <is>
          <t>TN05AS8452</t>
        </is>
      </c>
      <c r="E1072" s="20" t="inlineStr">
        <is>
          <t>MARUTI SUZUKI</t>
        </is>
      </c>
      <c r="F1072" s="20" t="inlineStr">
        <is>
          <t>Wagon R</t>
        </is>
      </c>
      <c r="G1072" s="21" t="n">
        <v>2013</v>
      </c>
      <c r="H1072" s="22" t="n">
        <v>87412</v>
      </c>
      <c r="I1072" s="22" t="n">
        <v>235000</v>
      </c>
      <c r="J1072" s="20" t="inlineStr">
        <is>
          <t>EXCHANGE CHENNAI</t>
        </is>
      </c>
      <c r="K1072" s="20" t="inlineStr">
        <is>
          <t>Captive</t>
        </is>
      </c>
      <c r="L1072" s="20" t="inlineStr">
        <is>
          <t>Ashok Cars</t>
        </is>
      </c>
      <c r="M1072" s="23" t="n">
        <v>5932.2</v>
      </c>
    </row>
    <row r="1073">
      <c r="A1073" s="19" t="inlineStr">
        <is>
          <t>FY26</t>
        </is>
      </c>
      <c r="B1073" s="19" t="inlineStr">
        <is>
          <t>Mar</t>
        </is>
      </c>
      <c r="C1073" s="19" t="inlineStr">
        <is>
          <t>TN</t>
        </is>
      </c>
      <c r="D1073" s="20" t="inlineStr">
        <is>
          <t>TN10Q1375</t>
        </is>
      </c>
      <c r="E1073" s="20" t="inlineStr">
        <is>
          <t>HONDA</t>
        </is>
      </c>
      <c r="F1073" s="20" t="inlineStr">
        <is>
          <t>City</t>
        </is>
      </c>
      <c r="G1073" s="21" t="n">
        <v>2006</v>
      </c>
      <c r="H1073" s="22" t="n">
        <v>132009</v>
      </c>
      <c r="I1073" s="22" t="n">
        <v>77000</v>
      </c>
      <c r="J1073" s="20" t="inlineStr">
        <is>
          <t>EXCHANGE CHENNAI</t>
        </is>
      </c>
      <c r="K1073" s="20" t="inlineStr">
        <is>
          <t>Captive</t>
        </is>
      </c>
      <c r="L1073" s="20" t="inlineStr">
        <is>
          <t>Santhosh Cars</t>
        </is>
      </c>
      <c r="M1073" s="23" t="n">
        <v>8474.58</v>
      </c>
    </row>
    <row r="1074">
      <c r="A1074" s="19" t="inlineStr">
        <is>
          <t>FY26</t>
        </is>
      </c>
      <c r="B1074" s="19" t="inlineStr">
        <is>
          <t>Mar</t>
        </is>
      </c>
      <c r="C1074" s="19" t="inlineStr">
        <is>
          <t>TN</t>
        </is>
      </c>
      <c r="D1074" s="20" t="inlineStr">
        <is>
          <t>DL3CCE6673</t>
        </is>
      </c>
      <c r="E1074" s="20" t="inlineStr">
        <is>
          <t>HONDA</t>
        </is>
      </c>
      <c r="F1074" s="20" t="inlineStr">
        <is>
          <t>Jazz</t>
        </is>
      </c>
      <c r="G1074" s="21" t="n">
        <v>2016</v>
      </c>
      <c r="H1074" s="22" t="n">
        <v>81658</v>
      </c>
      <c r="I1074" s="22" t="n">
        <v>250000</v>
      </c>
      <c r="J1074" s="20" t="inlineStr">
        <is>
          <t>EXCHANGE ROTN</t>
        </is>
      </c>
      <c r="K1074" s="20" t="inlineStr">
        <is>
          <t>Captive</t>
        </is>
      </c>
      <c r="L1074" s="20" t="inlineStr">
        <is>
          <t>MS Cars</t>
        </is>
      </c>
      <c r="M1074" s="23" t="n">
        <v>5932.2</v>
      </c>
    </row>
    <row r="1075">
      <c r="A1075" s="19" t="inlineStr">
        <is>
          <t>FY26</t>
        </is>
      </c>
      <c r="B1075" s="19" t="inlineStr">
        <is>
          <t>Mar</t>
        </is>
      </c>
      <c r="C1075" s="19" t="inlineStr">
        <is>
          <t>TN</t>
        </is>
      </c>
      <c r="D1075" s="20" t="inlineStr">
        <is>
          <t>TN59BY6674</t>
        </is>
      </c>
      <c r="E1075" s="20" t="inlineStr">
        <is>
          <t>MARUTI SUZUKI</t>
        </is>
      </c>
      <c r="F1075" s="20" t="inlineStr">
        <is>
          <t>Alto</t>
        </is>
      </c>
      <c r="G1075" s="21" t="n">
        <v>2013</v>
      </c>
      <c r="H1075" s="22" t="n">
        <v>86302</v>
      </c>
      <c r="I1075" s="22" t="n">
        <v>160000</v>
      </c>
      <c r="J1075" s="20" t="inlineStr">
        <is>
          <t>EXCHANGE ROTN</t>
        </is>
      </c>
      <c r="K1075" s="20" t="inlineStr">
        <is>
          <t>Captive</t>
        </is>
      </c>
      <c r="L1075" s="20" t="inlineStr">
        <is>
          <t>Paul cars</t>
        </is>
      </c>
      <c r="M1075" s="23" t="n">
        <v>4237.29</v>
      </c>
    </row>
    <row r="1076">
      <c r="A1076" s="19" t="inlineStr">
        <is>
          <t>FY26</t>
        </is>
      </c>
      <c r="B1076" s="19" t="inlineStr">
        <is>
          <t>Mar</t>
        </is>
      </c>
      <c r="C1076" s="19" t="inlineStr">
        <is>
          <t>TN</t>
        </is>
      </c>
      <c r="D1076" s="20" t="inlineStr">
        <is>
          <t>TN06R2455</t>
        </is>
      </c>
      <c r="E1076" s="20" t="inlineStr">
        <is>
          <t>HONDA</t>
        </is>
      </c>
      <c r="F1076" s="20" t="inlineStr">
        <is>
          <t>City</t>
        </is>
      </c>
      <c r="G1076" s="21" t="n">
        <v>2016</v>
      </c>
      <c r="H1076" s="22" t="n">
        <v>274887</v>
      </c>
      <c r="I1076" s="22" t="n">
        <v>500000</v>
      </c>
      <c r="J1076" s="20" t="inlineStr">
        <is>
          <t>EXCHANGE CHENNAI</t>
        </is>
      </c>
      <c r="K1076" s="20" t="inlineStr">
        <is>
          <t>Captive</t>
        </is>
      </c>
      <c r="L1076" s="20" t="inlineStr">
        <is>
          <t>Barani Cars</t>
        </is>
      </c>
      <c r="M1076" s="23" t="n">
        <v>8474.58</v>
      </c>
    </row>
    <row r="1077">
      <c r="A1077" s="19" t="inlineStr">
        <is>
          <t>FY26</t>
        </is>
      </c>
      <c r="B1077" s="19" t="inlineStr">
        <is>
          <t>Mar</t>
        </is>
      </c>
      <c r="C1077" s="19" t="inlineStr">
        <is>
          <t>TN</t>
        </is>
      </c>
      <c r="D1077" s="20" t="inlineStr">
        <is>
          <t>TN10T9993</t>
        </is>
      </c>
      <c r="E1077" s="20" t="inlineStr">
        <is>
          <t>MARUTI SUZUKI</t>
        </is>
      </c>
      <c r="F1077" s="20" t="inlineStr">
        <is>
          <t>Sx4</t>
        </is>
      </c>
      <c r="G1077" s="21" t="n">
        <v>2008</v>
      </c>
      <c r="H1077" s="22" t="n">
        <v>153514</v>
      </c>
      <c r="I1077" s="22" t="n">
        <v>110000</v>
      </c>
      <c r="J1077" s="20" t="inlineStr">
        <is>
          <t>EXCHANGE CHENNAI</t>
        </is>
      </c>
      <c r="K1077" s="20" t="inlineStr">
        <is>
          <t>Captive</t>
        </is>
      </c>
      <c r="L1077" s="20" t="inlineStr">
        <is>
          <t>Ashok Cars</t>
        </is>
      </c>
      <c r="M1077" s="23" t="n">
        <v>4237.29</v>
      </c>
    </row>
    <row r="1078">
      <c r="A1078" s="19" t="inlineStr">
        <is>
          <t>FY26</t>
        </is>
      </c>
      <c r="B1078" s="19" t="inlineStr">
        <is>
          <t>Mar</t>
        </is>
      </c>
      <c r="C1078" s="19" t="inlineStr">
        <is>
          <t>TN</t>
        </is>
      </c>
      <c r="D1078" s="20" t="inlineStr">
        <is>
          <t>TN19BV7995</t>
        </is>
      </c>
      <c r="E1078" s="20" t="inlineStr">
        <is>
          <t>MAHINDRA</t>
        </is>
      </c>
      <c r="F1078" s="20" t="inlineStr">
        <is>
          <t>Bolero</t>
        </is>
      </c>
      <c r="G1078" s="21" t="n">
        <v>2022</v>
      </c>
      <c r="H1078" s="22" t="n">
        <v>36754</v>
      </c>
      <c r="I1078" s="22" t="n">
        <v>750000</v>
      </c>
      <c r="J1078" s="20" t="inlineStr">
        <is>
          <t>Santhosh Cars</t>
        </is>
      </c>
      <c r="K1078" s="20" t="inlineStr">
        <is>
          <t>Non-Captive</t>
        </is>
      </c>
      <c r="L1078" s="20" t="inlineStr">
        <is>
          <t>Kamal Cars</t>
        </is>
      </c>
      <c r="M1078" s="23" t="n">
        <v>2542.37</v>
      </c>
    </row>
    <row r="1079">
      <c r="A1079" s="19" t="inlineStr">
        <is>
          <t>FY26</t>
        </is>
      </c>
      <c r="B1079" s="19" t="inlineStr">
        <is>
          <t>Mar</t>
        </is>
      </c>
      <c r="C1079" s="19" t="inlineStr">
        <is>
          <t>TN</t>
        </is>
      </c>
      <c r="D1079" s="20" t="inlineStr">
        <is>
          <t>TN29AE9406</t>
        </is>
      </c>
      <c r="E1079" s="20" t="inlineStr">
        <is>
          <t>MARUTI SUZUKI</t>
        </is>
      </c>
      <c r="F1079" s="20" t="inlineStr">
        <is>
          <t>Swift</t>
        </is>
      </c>
      <c r="G1079" s="21" t="n">
        <v>2010</v>
      </c>
      <c r="H1079" s="22" t="n">
        <v>50553</v>
      </c>
      <c r="I1079" s="22" t="n">
        <v>150000</v>
      </c>
      <c r="J1079" s="20" t="inlineStr">
        <is>
          <t>Santhosh Cars</t>
        </is>
      </c>
      <c r="K1079" s="20" t="inlineStr">
        <is>
          <t>Non-Captive</t>
        </is>
      </c>
      <c r="L1079" s="20" t="inlineStr">
        <is>
          <t>Kamal Cars</t>
        </is>
      </c>
      <c r="M1079" s="23" t="n">
        <v>2542.37</v>
      </c>
    </row>
    <row r="1080">
      <c r="A1080" s="19" t="inlineStr">
        <is>
          <t>FY26</t>
        </is>
      </c>
      <c r="B1080" s="19" t="inlineStr">
        <is>
          <t>Mar</t>
        </is>
      </c>
      <c r="C1080" s="19" t="inlineStr">
        <is>
          <t>TN</t>
        </is>
      </c>
      <c r="D1080" s="20" t="inlineStr">
        <is>
          <t>TN04AW6152</t>
        </is>
      </c>
      <c r="E1080" s="20" t="inlineStr">
        <is>
          <t>MARUTI SUZUKI</t>
        </is>
      </c>
      <c r="F1080" s="20" t="inlineStr">
        <is>
          <t>Swift</t>
        </is>
      </c>
      <c r="G1080" s="21" t="n">
        <v>2019</v>
      </c>
      <c r="H1080" s="22" t="n">
        <v>54558</v>
      </c>
      <c r="I1080" s="22" t="n">
        <v>450000</v>
      </c>
      <c r="J1080" s="20" t="inlineStr">
        <is>
          <t>Santhosh Cars</t>
        </is>
      </c>
      <c r="K1080" s="20" t="inlineStr">
        <is>
          <t>Non-Captive</t>
        </is>
      </c>
      <c r="L1080" s="20" t="inlineStr">
        <is>
          <t>Kamal Cars</t>
        </is>
      </c>
      <c r="M1080" s="23" t="n">
        <v>2542.37</v>
      </c>
    </row>
    <row r="1081">
      <c r="A1081" s="19" t="inlineStr">
        <is>
          <t>FY26</t>
        </is>
      </c>
      <c r="B1081" s="19" t="inlineStr">
        <is>
          <t>Mar</t>
        </is>
      </c>
      <c r="C1081" s="19" t="inlineStr">
        <is>
          <t>TN</t>
        </is>
      </c>
      <c r="D1081" s="20" t="inlineStr">
        <is>
          <t>TN10AD6477</t>
        </is>
      </c>
      <c r="E1081" s="20" t="inlineStr">
        <is>
          <t>MARUTI SUZUKI</t>
        </is>
      </c>
      <c r="F1081" s="20" t="inlineStr">
        <is>
          <t>Wagon R</t>
        </is>
      </c>
      <c r="G1081" s="21" t="n">
        <v>2011</v>
      </c>
      <c r="H1081" s="22" t="n">
        <v>77372</v>
      </c>
      <c r="I1081" s="22" t="n">
        <v>170000</v>
      </c>
      <c r="J1081" s="20" t="inlineStr">
        <is>
          <t>Santhosh Cars</t>
        </is>
      </c>
      <c r="K1081" s="20" t="inlineStr">
        <is>
          <t>Non-Captive</t>
        </is>
      </c>
      <c r="L1081" s="20" t="inlineStr">
        <is>
          <t>Kamal Cars</t>
        </is>
      </c>
      <c r="M1081" s="23" t="n">
        <v>2542.37</v>
      </c>
    </row>
    <row r="1082">
      <c r="A1082" s="19" t="inlineStr">
        <is>
          <t>FY26</t>
        </is>
      </c>
      <c r="B1082" s="19" t="inlineStr">
        <is>
          <t>Mar</t>
        </is>
      </c>
      <c r="C1082" s="19" t="inlineStr">
        <is>
          <t>TN</t>
        </is>
      </c>
      <c r="D1082" s="20" t="inlineStr">
        <is>
          <t>TN12K7855</t>
        </is>
      </c>
      <c r="E1082" s="20" t="inlineStr">
        <is>
          <t>MARUTI SUZUKI</t>
        </is>
      </c>
      <c r="F1082" s="20" t="inlineStr">
        <is>
          <t>Swift Dzire</t>
        </is>
      </c>
      <c r="G1082" s="21" t="n">
        <v>2015</v>
      </c>
      <c r="H1082" s="22" t="n">
        <v>89070</v>
      </c>
      <c r="I1082" s="22" t="n">
        <v>375000</v>
      </c>
      <c r="J1082" s="20" t="inlineStr">
        <is>
          <t>CBE CARS</t>
        </is>
      </c>
      <c r="K1082" s="20" t="inlineStr">
        <is>
          <t>Non-Captive</t>
        </is>
      </c>
      <c r="L1082" s="20" t="inlineStr">
        <is>
          <t>Sai Cars</t>
        </is>
      </c>
      <c r="M1082" s="23" t="n">
        <v>4237.29</v>
      </c>
    </row>
    <row r="1083">
      <c r="A1083" s="19" t="inlineStr">
        <is>
          <t>FY27</t>
        </is>
      </c>
      <c r="B1083" s="19" t="inlineStr">
        <is>
          <t>Apr</t>
        </is>
      </c>
      <c r="C1083" s="19" t="inlineStr">
        <is>
          <t>TN</t>
        </is>
      </c>
      <c r="D1083" s="20" t="inlineStr">
        <is>
          <t>TN07CQ7377</t>
        </is>
      </c>
      <c r="E1083" s="20" t="inlineStr">
        <is>
          <t>MARUTI SUZUKI</t>
        </is>
      </c>
      <c r="F1083" s="20" t="inlineStr">
        <is>
          <t>Swift Dzire</t>
        </is>
      </c>
      <c r="G1083" s="21" t="n">
        <v>2018</v>
      </c>
      <c r="H1083" s="22" t="n">
        <v>24122</v>
      </c>
      <c r="I1083" s="22" t="n">
        <v>460000</v>
      </c>
      <c r="J1083" s="20" t="inlineStr">
        <is>
          <t>Khivraj Motor</t>
        </is>
      </c>
      <c r="K1083" s="20" t="inlineStr">
        <is>
          <t>Non-Captive</t>
        </is>
      </c>
      <c r="L1083" s="20" t="inlineStr">
        <is>
          <t>Kamal Cars</t>
        </is>
      </c>
      <c r="M1083" s="23" t="n">
        <v>8474.58</v>
      </c>
    </row>
    <row r="1084">
      <c r="A1084" s="19" t="inlineStr">
        <is>
          <t>FY27</t>
        </is>
      </c>
      <c r="B1084" s="19" t="inlineStr">
        <is>
          <t>Apr</t>
        </is>
      </c>
      <c r="C1084" s="19" t="inlineStr">
        <is>
          <t>TN</t>
        </is>
      </c>
      <c r="D1084" s="20" t="inlineStr">
        <is>
          <t>TN144459</t>
        </is>
      </c>
      <c r="E1084" s="20" t="inlineStr">
        <is>
          <t>FORD</t>
        </is>
      </c>
      <c r="F1084" s="20" t="inlineStr">
        <is>
          <t>Figo</t>
        </is>
      </c>
      <c r="G1084" s="21" t="n">
        <v>2014</v>
      </c>
      <c r="H1084" s="22" t="n">
        <v>23280</v>
      </c>
      <c r="I1084" s="22" t="n">
        <v>164000</v>
      </c>
      <c r="J1084" s="20" t="inlineStr">
        <is>
          <t>Khivraj Motor</t>
        </is>
      </c>
      <c r="K1084" s="20" t="inlineStr">
        <is>
          <t>Non-Captive</t>
        </is>
      </c>
      <c r="L1084" s="20" t="inlineStr">
        <is>
          <t>AAA Cars</t>
        </is>
      </c>
      <c r="M1084" s="23" t="n">
        <v>5084.75</v>
      </c>
    </row>
    <row r="1085">
      <c r="A1085" s="19" t="inlineStr">
        <is>
          <t>FY27</t>
        </is>
      </c>
      <c r="B1085" s="19" t="inlineStr">
        <is>
          <t>Apr</t>
        </is>
      </c>
      <c r="C1085" s="19" t="inlineStr">
        <is>
          <t>TN</t>
        </is>
      </c>
      <c r="D1085" s="20" t="inlineStr">
        <is>
          <t>TN85K4642</t>
        </is>
      </c>
      <c r="E1085" s="20" t="inlineStr">
        <is>
          <t>MARUTI SUZUKI</t>
        </is>
      </c>
      <c r="F1085" s="20" t="inlineStr">
        <is>
          <t>Wagon R</t>
        </is>
      </c>
      <c r="G1085" s="21" t="n">
        <v>2019</v>
      </c>
      <c r="H1085" s="22" t="n">
        <v>89466</v>
      </c>
      <c r="I1085" s="22" t="n">
        <v>377500</v>
      </c>
      <c r="J1085" s="20" t="inlineStr">
        <is>
          <t>Khivraj Motor</t>
        </is>
      </c>
      <c r="K1085" s="20" t="inlineStr">
        <is>
          <t>Non-Captive</t>
        </is>
      </c>
      <c r="L1085" s="20" t="inlineStr">
        <is>
          <t>Varadhrajan cars</t>
        </is>
      </c>
      <c r="M1085" s="23" t="n">
        <v>6355.93</v>
      </c>
    </row>
    <row r="1086">
      <c r="A1086" s="19" t="inlineStr">
        <is>
          <t>FY27</t>
        </is>
      </c>
      <c r="B1086" s="19" t="inlineStr">
        <is>
          <t>Apr</t>
        </is>
      </c>
      <c r="C1086" s="19" t="inlineStr">
        <is>
          <t>TN</t>
        </is>
      </c>
      <c r="D1086" s="20" t="inlineStr">
        <is>
          <t>TN01V5216</t>
        </is>
      </c>
      <c r="E1086" s="20" t="inlineStr">
        <is>
          <t>MARUTI SUZUKI</t>
        </is>
      </c>
      <c r="F1086" s="20" t="inlineStr">
        <is>
          <t>M800</t>
        </is>
      </c>
      <c r="G1086" s="21" t="n">
        <v>2003</v>
      </c>
      <c r="H1086" s="22" t="n">
        <v>83655</v>
      </c>
      <c r="I1086" s="22" t="n">
        <v>40000</v>
      </c>
      <c r="J1086" s="20" t="inlineStr">
        <is>
          <t>Khivraj Motor</t>
        </is>
      </c>
      <c r="K1086" s="20" t="inlineStr">
        <is>
          <t>Non-Captive</t>
        </is>
      </c>
      <c r="L1086" s="20" t="inlineStr">
        <is>
          <t>AAA Cars</t>
        </is>
      </c>
      <c r="M1086" s="23" t="n">
        <v>4237.29</v>
      </c>
    </row>
    <row r="1087">
      <c r="A1087" s="19" t="inlineStr">
        <is>
          <t>FY27</t>
        </is>
      </c>
      <c r="B1087" s="19" t="inlineStr">
        <is>
          <t>Apr</t>
        </is>
      </c>
      <c r="C1087" s="19" t="inlineStr">
        <is>
          <t>TN</t>
        </is>
      </c>
      <c r="D1087" s="20" t="inlineStr">
        <is>
          <t>TN02BS9654</t>
        </is>
      </c>
      <c r="E1087" s="20" t="inlineStr">
        <is>
          <t>MARUTI SUZUKI</t>
        </is>
      </c>
      <c r="F1087" s="20" t="inlineStr">
        <is>
          <t>Ertiga</t>
        </is>
      </c>
      <c r="G1087" s="21" t="n">
        <v>2020</v>
      </c>
      <c r="H1087" s="22" t="n">
        <v>51432</v>
      </c>
      <c r="I1087" s="22" t="n">
        <v>715000</v>
      </c>
      <c r="J1087" s="20" t="inlineStr">
        <is>
          <t>Khivraj Motor</t>
        </is>
      </c>
      <c r="K1087" s="20" t="inlineStr">
        <is>
          <t>Non-Captive</t>
        </is>
      </c>
      <c r="L1087" s="20" t="inlineStr">
        <is>
          <t>Kamal Cars</t>
        </is>
      </c>
      <c r="M1087" s="23" t="n">
        <v>12711.86</v>
      </c>
    </row>
    <row r="1088">
      <c r="A1088" s="19" t="inlineStr">
        <is>
          <t>FY27</t>
        </is>
      </c>
      <c r="B1088" s="19" t="inlineStr">
        <is>
          <t>Apr</t>
        </is>
      </c>
      <c r="C1088" s="19" t="inlineStr">
        <is>
          <t>TN</t>
        </is>
      </c>
      <c r="D1088" s="20" t="inlineStr">
        <is>
          <t>TN13W3935</t>
        </is>
      </c>
      <c r="E1088" s="20" t="inlineStr">
        <is>
          <t>MARUTI SUZUKI</t>
        </is>
      </c>
      <c r="F1088" s="20" t="inlineStr">
        <is>
          <t>Wagon R</t>
        </is>
      </c>
      <c r="G1088" s="21" t="n">
        <v>2021</v>
      </c>
      <c r="H1088" s="22" t="n">
        <v>51478</v>
      </c>
      <c r="I1088" s="22" t="n">
        <v>440000</v>
      </c>
      <c r="J1088" s="20" t="inlineStr">
        <is>
          <t>Avis India</t>
        </is>
      </c>
      <c r="K1088" s="20" t="inlineStr">
        <is>
          <t>Non-Captive</t>
        </is>
      </c>
      <c r="L1088" s="20" t="inlineStr">
        <is>
          <t>KB Motor</t>
        </is>
      </c>
      <c r="M1088" s="23" t="n">
        <v>8474.58</v>
      </c>
    </row>
    <row r="1089">
      <c r="A1089" s="19" t="inlineStr">
        <is>
          <t>FY27</t>
        </is>
      </c>
      <c r="B1089" s="19" t="inlineStr">
        <is>
          <t>Apr</t>
        </is>
      </c>
      <c r="C1089" s="19" t="inlineStr">
        <is>
          <t>TN</t>
        </is>
      </c>
      <c r="D1089" s="20" t="inlineStr">
        <is>
          <t>TN11A9761</t>
        </is>
      </c>
      <c r="E1089" s="20" t="inlineStr">
        <is>
          <t>MARUTI SUZUKI</t>
        </is>
      </c>
      <c r="F1089" s="20" t="inlineStr">
        <is>
          <t>Alto</t>
        </is>
      </c>
      <c r="G1089" s="21" t="n">
        <v>2012</v>
      </c>
      <c r="H1089" s="22" t="n">
        <v>19819</v>
      </c>
      <c r="I1089" s="22" t="n">
        <v>150000</v>
      </c>
      <c r="J1089" s="20" t="inlineStr">
        <is>
          <t>Khivraj Motor</t>
        </is>
      </c>
      <c r="K1089" s="20" t="inlineStr">
        <is>
          <t>Non-Captive</t>
        </is>
      </c>
      <c r="L1089" s="20" t="inlineStr">
        <is>
          <t>Ramalingam Cars</t>
        </is>
      </c>
      <c r="M1089" s="23" t="n">
        <v>5084.75</v>
      </c>
    </row>
    <row r="1090">
      <c r="A1090" s="19" t="inlineStr">
        <is>
          <t>FY27</t>
        </is>
      </c>
      <c r="B1090" s="19" t="inlineStr">
        <is>
          <t>Apr</t>
        </is>
      </c>
      <c r="C1090" s="19" t="inlineStr">
        <is>
          <t>TN</t>
        </is>
      </c>
      <c r="D1090" s="20" t="inlineStr">
        <is>
          <t>TN14P3164</t>
        </is>
      </c>
      <c r="E1090" s="20" t="inlineStr">
        <is>
          <t>MARUTI SUZUKI</t>
        </is>
      </c>
      <c r="F1090" s="20" t="inlineStr">
        <is>
          <t>Swift Dzire</t>
        </is>
      </c>
      <c r="G1090" s="21" t="n">
        <v>2018</v>
      </c>
      <c r="H1090" s="22" t="n">
        <v>139828</v>
      </c>
      <c r="I1090" s="22" t="n">
        <v>452000</v>
      </c>
      <c r="J1090" s="20" t="inlineStr">
        <is>
          <t>Khivraj Motor</t>
        </is>
      </c>
      <c r="K1090" s="20" t="inlineStr">
        <is>
          <t>Non-Captive</t>
        </is>
      </c>
      <c r="L1090" s="20" t="inlineStr">
        <is>
          <t>Ismail Cars</t>
        </is>
      </c>
      <c r="M1090" s="23" t="n">
        <v>7627.12</v>
      </c>
    </row>
    <row r="1091">
      <c r="A1091" s="19" t="inlineStr">
        <is>
          <t>FY27</t>
        </is>
      </c>
      <c r="B1091" s="19" t="inlineStr">
        <is>
          <t>Apr</t>
        </is>
      </c>
      <c r="C1091" s="19" t="inlineStr">
        <is>
          <t>TN</t>
        </is>
      </c>
      <c r="D1091" s="20" t="inlineStr">
        <is>
          <t>TN09CF2018</t>
        </is>
      </c>
      <c r="E1091" s="20" t="inlineStr">
        <is>
          <t>MARUTI SUZUKI</t>
        </is>
      </c>
      <c r="F1091" s="20" t="inlineStr">
        <is>
          <t>Swift Dzire</t>
        </is>
      </c>
      <c r="G1091" s="21" t="n">
        <v>2016</v>
      </c>
      <c r="H1091" s="22" t="n">
        <v>105492</v>
      </c>
      <c r="I1091" s="22" t="n">
        <v>329000</v>
      </c>
      <c r="J1091" s="20" t="inlineStr">
        <is>
          <t>Khivraj Motor</t>
        </is>
      </c>
      <c r="K1091" s="20" t="inlineStr">
        <is>
          <t>Non-Captive</t>
        </is>
      </c>
      <c r="L1091" s="20" t="inlineStr">
        <is>
          <t>Cars 24</t>
        </is>
      </c>
      <c r="M1091" s="23" t="n">
        <v>8474.58</v>
      </c>
    </row>
    <row r="1092">
      <c r="A1092" s="19" t="inlineStr">
        <is>
          <t>FY27</t>
        </is>
      </c>
      <c r="B1092" s="19" t="inlineStr">
        <is>
          <t>Apr</t>
        </is>
      </c>
      <c r="C1092" s="19" t="inlineStr">
        <is>
          <t>TN</t>
        </is>
      </c>
      <c r="D1092" s="20" t="inlineStr">
        <is>
          <t>TN12Q6786</t>
        </is>
      </c>
      <c r="E1092" s="20" t="inlineStr">
        <is>
          <t>HYUNDAI</t>
        </is>
      </c>
      <c r="F1092" s="20" t="inlineStr">
        <is>
          <t>Grand I10</t>
        </is>
      </c>
      <c r="G1092" s="21" t="n">
        <v>2016</v>
      </c>
      <c r="H1092" s="22" t="n">
        <v>112587</v>
      </c>
      <c r="I1092" s="22" t="n">
        <v>330000</v>
      </c>
      <c r="J1092" s="20" t="inlineStr">
        <is>
          <t>EXCHANGE CHENNAI</t>
        </is>
      </c>
      <c r="K1092" s="20" t="inlineStr">
        <is>
          <t>Captive</t>
        </is>
      </c>
      <c r="L1092" s="20" t="inlineStr">
        <is>
          <t>car Hub</t>
        </is>
      </c>
      <c r="M1092" s="23" t="n">
        <v>6355.93</v>
      </c>
    </row>
    <row r="1093">
      <c r="A1093" s="19" t="inlineStr">
        <is>
          <t>FY27</t>
        </is>
      </c>
      <c r="B1093" s="19" t="inlineStr">
        <is>
          <t>Apr</t>
        </is>
      </c>
      <c r="C1093" s="19" t="inlineStr">
        <is>
          <t>TN</t>
        </is>
      </c>
      <c r="D1093" s="20" t="inlineStr">
        <is>
          <t>KA19MD2967</t>
        </is>
      </c>
      <c r="E1093" s="20" t="inlineStr">
        <is>
          <t>HONDA</t>
        </is>
      </c>
      <c r="F1093" s="20" t="inlineStr">
        <is>
          <t>Brio</t>
        </is>
      </c>
      <c r="G1093" s="21" t="n">
        <v>2013</v>
      </c>
      <c r="H1093" s="22" t="n">
        <v>14722</v>
      </c>
      <c r="I1093" s="22" t="n">
        <v>175000</v>
      </c>
      <c r="J1093" s="20" t="inlineStr">
        <is>
          <t>EXCHANGE CHENNAI</t>
        </is>
      </c>
      <c r="K1093" s="20" t="inlineStr">
        <is>
          <t>Captive</t>
        </is>
      </c>
      <c r="L1093" s="20" t="inlineStr">
        <is>
          <t>Althaf Syed Cars (Senthil)</t>
        </is>
      </c>
      <c r="M1093" s="23" t="n">
        <v>8474.58</v>
      </c>
    </row>
    <row r="1094">
      <c r="A1094" s="19" t="inlineStr">
        <is>
          <t>FY27</t>
        </is>
      </c>
      <c r="B1094" s="19" t="inlineStr">
        <is>
          <t>Apr</t>
        </is>
      </c>
      <c r="C1094" s="19" t="inlineStr">
        <is>
          <t>TN</t>
        </is>
      </c>
      <c r="D1094" s="20" t="inlineStr">
        <is>
          <t>TN07CF9733</t>
        </is>
      </c>
      <c r="E1094" s="20" t="inlineStr">
        <is>
          <t>HONDA</t>
        </is>
      </c>
      <c r="F1094" s="20" t="inlineStr">
        <is>
          <t>City</t>
        </is>
      </c>
      <c r="G1094" s="21" t="n">
        <v>2016</v>
      </c>
      <c r="H1094" s="22" t="n">
        <v>122895</v>
      </c>
      <c r="I1094" s="22" t="n">
        <v>430000</v>
      </c>
      <c r="J1094" s="20" t="inlineStr">
        <is>
          <t>EXCHANGE CHENNAI</t>
        </is>
      </c>
      <c r="K1094" s="20" t="inlineStr">
        <is>
          <t>Captive</t>
        </is>
      </c>
      <c r="L1094" s="20" t="inlineStr">
        <is>
          <t>Varadhrajan cars</t>
        </is>
      </c>
      <c r="M1094" s="23" t="n">
        <v>8474.58</v>
      </c>
    </row>
    <row r="1095">
      <c r="A1095" s="19" t="inlineStr">
        <is>
          <t>FY27</t>
        </is>
      </c>
      <c r="B1095" s="19" t="inlineStr">
        <is>
          <t>Apr</t>
        </is>
      </c>
      <c r="C1095" s="19" t="inlineStr">
        <is>
          <t>TN</t>
        </is>
      </c>
      <c r="D1095" s="20" t="inlineStr">
        <is>
          <t>TN09CA3602</t>
        </is>
      </c>
      <c r="E1095" s="20" t="inlineStr">
        <is>
          <t>HYUNDAI</t>
        </is>
      </c>
      <c r="F1095" s="20" t="inlineStr">
        <is>
          <t>Grand I10</t>
        </is>
      </c>
      <c r="G1095" s="21" t="n">
        <v>2015</v>
      </c>
      <c r="H1095" s="22" t="n">
        <v>98724</v>
      </c>
      <c r="I1095" s="22" t="n">
        <v>340000</v>
      </c>
      <c r="J1095" s="20" t="inlineStr">
        <is>
          <t>EXCHANGE CHENNAI</t>
        </is>
      </c>
      <c r="K1095" s="20" t="inlineStr">
        <is>
          <t>Captive</t>
        </is>
      </c>
      <c r="L1095" s="20" t="inlineStr">
        <is>
          <t>Varadhrajan cars</t>
        </is>
      </c>
      <c r="M1095" s="23" t="n">
        <v>4237.29</v>
      </c>
    </row>
    <row r="1096">
      <c r="A1096" s="19" t="inlineStr">
        <is>
          <t>FY27</t>
        </is>
      </c>
      <c r="B1096" s="19" t="inlineStr">
        <is>
          <t>Apr</t>
        </is>
      </c>
      <c r="C1096" s="19" t="inlineStr">
        <is>
          <t>TN</t>
        </is>
      </c>
      <c r="D1096" s="20" t="inlineStr">
        <is>
          <t>TN06W4500</t>
        </is>
      </c>
      <c r="E1096" s="20" t="inlineStr">
        <is>
          <t>HONDA</t>
        </is>
      </c>
      <c r="F1096" s="20" t="inlineStr">
        <is>
          <t>City</t>
        </is>
      </c>
      <c r="G1096" s="21" t="n">
        <v>2018</v>
      </c>
      <c r="H1096" s="22" t="n">
        <v>61346</v>
      </c>
      <c r="I1096" s="22" t="n">
        <v>650000</v>
      </c>
      <c r="J1096" s="20" t="inlineStr">
        <is>
          <t>EXCHANGE CHENNAI</t>
        </is>
      </c>
      <c r="K1096" s="20" t="inlineStr">
        <is>
          <t>Captive</t>
        </is>
      </c>
      <c r="L1096" s="20" t="inlineStr">
        <is>
          <t>True Cars (Kamal Honda)</t>
        </is>
      </c>
      <c r="M1096" s="23" t="n">
        <v>8474.58</v>
      </c>
    </row>
    <row r="1097">
      <c r="A1097" s="19" t="inlineStr">
        <is>
          <t>FY27</t>
        </is>
      </c>
      <c r="B1097" s="19" t="inlineStr">
        <is>
          <t>Apr</t>
        </is>
      </c>
      <c r="C1097" s="19" t="inlineStr">
        <is>
          <t>TN</t>
        </is>
      </c>
      <c r="D1097" s="20" t="inlineStr">
        <is>
          <t>TN07CV2873</t>
        </is>
      </c>
      <c r="E1097" s="20" t="inlineStr">
        <is>
          <t>HONDA</t>
        </is>
      </c>
      <c r="F1097" s="20" t="inlineStr">
        <is>
          <t>City</t>
        </is>
      </c>
      <c r="G1097" s="21" t="n">
        <v>2020</v>
      </c>
      <c r="H1097" s="22" t="n">
        <v>47777</v>
      </c>
      <c r="I1097" s="22" t="n">
        <v>750000</v>
      </c>
      <c r="J1097" s="20" t="inlineStr">
        <is>
          <t>EXCHANGE CHENNAI</t>
        </is>
      </c>
      <c r="K1097" s="20" t="inlineStr">
        <is>
          <t>Captive</t>
        </is>
      </c>
      <c r="L1097" s="20" t="inlineStr">
        <is>
          <t>Lanson Toyota</t>
        </is>
      </c>
      <c r="M1097" s="23" t="n">
        <v>8474.58</v>
      </c>
    </row>
    <row r="1098">
      <c r="A1098" s="19" t="inlineStr">
        <is>
          <t>FY27</t>
        </is>
      </c>
      <c r="B1098" s="19" t="inlineStr">
        <is>
          <t>Apr</t>
        </is>
      </c>
      <c r="C1098" s="19" t="inlineStr">
        <is>
          <t>TN</t>
        </is>
      </c>
      <c r="D1098" s="20" t="inlineStr">
        <is>
          <t>TN07CE1381</t>
        </is>
      </c>
      <c r="E1098" s="20" t="inlineStr">
        <is>
          <t>HONDA</t>
        </is>
      </c>
      <c r="F1098" s="20" t="inlineStr">
        <is>
          <t>City</t>
        </is>
      </c>
      <c r="G1098" s="21" t="n">
        <v>2016</v>
      </c>
      <c r="H1098" s="22" t="n">
        <v>88580</v>
      </c>
      <c r="I1098" s="22" t="n">
        <v>480000</v>
      </c>
      <c r="J1098" s="20" t="inlineStr">
        <is>
          <t>EXCHANGE CHENNAI</t>
        </is>
      </c>
      <c r="K1098" s="20" t="inlineStr">
        <is>
          <t>Captive</t>
        </is>
      </c>
      <c r="L1098" s="20" t="inlineStr">
        <is>
          <t>Santhosh Cars</t>
        </is>
      </c>
      <c r="M1098" s="23" t="n">
        <v>8474.58</v>
      </c>
    </row>
    <row r="1099">
      <c r="A1099" s="19" t="inlineStr">
        <is>
          <t>FY27</t>
        </is>
      </c>
      <c r="B1099" s="19" t="inlineStr">
        <is>
          <t>Apr</t>
        </is>
      </c>
      <c r="C1099" s="19" t="inlineStr">
        <is>
          <t>TN</t>
        </is>
      </c>
      <c r="D1099" s="20" t="inlineStr">
        <is>
          <t>TN09BL4509</t>
        </is>
      </c>
      <c r="E1099" s="20" t="inlineStr">
        <is>
          <t>HONDA</t>
        </is>
      </c>
      <c r="F1099" s="20" t="inlineStr">
        <is>
          <t>City</t>
        </is>
      </c>
      <c r="G1099" s="21" t="n">
        <v>2011</v>
      </c>
      <c r="H1099" s="22" t="n">
        <v>77249</v>
      </c>
      <c r="I1099" s="22" t="n">
        <v>210000</v>
      </c>
      <c r="J1099" s="20" t="inlineStr">
        <is>
          <t>EXCHANGE CHENNAI</t>
        </is>
      </c>
      <c r="K1099" s="20" t="inlineStr">
        <is>
          <t>Captive</t>
        </is>
      </c>
      <c r="L1099" s="20" t="inlineStr">
        <is>
          <t>Nirmal Cars</t>
        </is>
      </c>
      <c r="M1099" s="23" t="n">
        <v>8474.58</v>
      </c>
    </row>
    <row r="1100">
      <c r="A1100" s="19" t="inlineStr">
        <is>
          <t>FY27</t>
        </is>
      </c>
      <c r="B1100" s="19" t="inlineStr">
        <is>
          <t>Apr</t>
        </is>
      </c>
      <c r="C1100" s="19" t="inlineStr">
        <is>
          <t>TN</t>
        </is>
      </c>
      <c r="D1100" s="20" t="inlineStr">
        <is>
          <t>TN09DE4332</t>
        </is>
      </c>
      <c r="E1100" s="20" t="inlineStr">
        <is>
          <t>HONDA</t>
        </is>
      </c>
      <c r="F1100" s="20" t="inlineStr">
        <is>
          <t>Elevate</t>
        </is>
      </c>
      <c r="G1100" s="21" t="n">
        <v>2023</v>
      </c>
      <c r="H1100" s="22" t="n">
        <v>4846</v>
      </c>
      <c r="I1100" s="22" t="n">
        <v>1050000</v>
      </c>
      <c r="J1100" s="20" t="inlineStr">
        <is>
          <t>EXCHANGE CHENNAI</t>
        </is>
      </c>
      <c r="K1100" s="20" t="inlineStr">
        <is>
          <t>Captive</t>
        </is>
      </c>
      <c r="L1100" s="20" t="inlineStr">
        <is>
          <t>Nirmal Cars</t>
        </is>
      </c>
      <c r="M1100" s="23" t="n">
        <v>16949.15</v>
      </c>
    </row>
    <row r="1101">
      <c r="A1101" s="19" t="inlineStr">
        <is>
          <t>FY27</t>
        </is>
      </c>
      <c r="B1101" s="19" t="inlineStr">
        <is>
          <t>Apr</t>
        </is>
      </c>
      <c r="C1101" s="19" t="inlineStr">
        <is>
          <t>TN</t>
        </is>
      </c>
      <c r="D1101" s="20" t="inlineStr">
        <is>
          <t>TN07BL6003</t>
        </is>
      </c>
      <c r="E1101" s="20" t="inlineStr">
        <is>
          <t>VOLKSWAGEN</t>
        </is>
      </c>
      <c r="F1101" s="20" t="inlineStr">
        <is>
          <t>Polo</t>
        </is>
      </c>
      <c r="G1101" s="21" t="n">
        <v>2011</v>
      </c>
      <c r="H1101" s="22" t="n">
        <v>55629</v>
      </c>
      <c r="I1101" s="22" t="n">
        <v>200000</v>
      </c>
      <c r="J1101" s="20" t="inlineStr">
        <is>
          <t>EXCHANGE CHENNAI</t>
        </is>
      </c>
      <c r="K1101" s="20" t="inlineStr">
        <is>
          <t>Captive</t>
        </is>
      </c>
      <c r="L1101" s="20" t="inlineStr">
        <is>
          <t>Santhosh Cars</t>
        </is>
      </c>
      <c r="M1101" s="23" t="n">
        <v>8474.58</v>
      </c>
    </row>
    <row r="1102">
      <c r="A1102" s="19" t="inlineStr">
        <is>
          <t>FY27</t>
        </is>
      </c>
      <c r="B1102" s="19" t="inlineStr">
        <is>
          <t>Apr</t>
        </is>
      </c>
      <c r="C1102" s="19" t="inlineStr">
        <is>
          <t>TN</t>
        </is>
      </c>
      <c r="D1102" s="20" t="inlineStr">
        <is>
          <t>TN06K1804</t>
        </is>
      </c>
      <c r="E1102" s="20" t="inlineStr">
        <is>
          <t>HYUNDAI</t>
        </is>
      </c>
      <c r="F1102" s="20" t="inlineStr">
        <is>
          <t>I10</t>
        </is>
      </c>
      <c r="G1102" s="21" t="n">
        <v>2013</v>
      </c>
      <c r="H1102" s="22" t="n">
        <v>42198</v>
      </c>
      <c r="I1102" s="22" t="n">
        <v>180000</v>
      </c>
      <c r="J1102" s="20" t="inlineStr">
        <is>
          <t>EXCHANGE CHENNAI</t>
        </is>
      </c>
      <c r="K1102" s="20" t="inlineStr">
        <is>
          <t>Captive</t>
        </is>
      </c>
      <c r="L1102" s="20" t="inlineStr">
        <is>
          <t>Santhosh Cars</t>
        </is>
      </c>
      <c r="M1102" s="23" t="n">
        <v>8474.58</v>
      </c>
    </row>
    <row r="1103">
      <c r="A1103" s="19" t="inlineStr">
        <is>
          <t>FY27</t>
        </is>
      </c>
      <c r="B1103" s="19" t="inlineStr">
        <is>
          <t>Apr</t>
        </is>
      </c>
      <c r="C1103" s="19" t="inlineStr">
        <is>
          <t>TN</t>
        </is>
      </c>
      <c r="D1103" s="20" t="inlineStr">
        <is>
          <t>TN09CK8375</t>
        </is>
      </c>
      <c r="E1103" s="20" t="inlineStr">
        <is>
          <t>MARUTI SUZUKI</t>
        </is>
      </c>
      <c r="F1103" s="20" t="inlineStr">
        <is>
          <t>Swift Dzire</t>
        </is>
      </c>
      <c r="G1103" s="21" t="n">
        <v>2017</v>
      </c>
      <c r="H1103" s="22" t="n">
        <v>66436</v>
      </c>
      <c r="I1103" s="22" t="n">
        <v>450000</v>
      </c>
      <c r="J1103" s="20" t="inlineStr">
        <is>
          <t>EXCHANGE CHENNAI</t>
        </is>
      </c>
      <c r="K1103" s="20" t="inlineStr">
        <is>
          <t>Captive</t>
        </is>
      </c>
      <c r="L1103" s="20" t="inlineStr">
        <is>
          <t>Shree Shan Motor</t>
        </is>
      </c>
      <c r="M1103" s="23" t="n">
        <v>8474.58</v>
      </c>
    </row>
    <row r="1104">
      <c r="A1104" s="19" t="inlineStr">
        <is>
          <t>FY27</t>
        </is>
      </c>
      <c r="B1104" s="19" t="inlineStr">
        <is>
          <t>Apr</t>
        </is>
      </c>
      <c r="C1104" s="19" t="inlineStr">
        <is>
          <t>TN</t>
        </is>
      </c>
      <c r="D1104" s="20" t="inlineStr">
        <is>
          <t>TN02AY6678</t>
        </is>
      </c>
      <c r="E1104" s="20" t="inlineStr">
        <is>
          <t>HONDA</t>
        </is>
      </c>
      <c r="F1104" s="20" t="inlineStr">
        <is>
          <t>Brio</t>
        </is>
      </c>
      <c r="G1104" s="21" t="n">
        <v>2013</v>
      </c>
      <c r="H1104" s="22" t="n">
        <v>93284</v>
      </c>
      <c r="I1104" s="22" t="n">
        <v>225000</v>
      </c>
      <c r="J1104" s="20" t="inlineStr">
        <is>
          <t>EXCHANGE CHENNAI</t>
        </is>
      </c>
      <c r="K1104" s="20" t="inlineStr">
        <is>
          <t>Captive</t>
        </is>
      </c>
      <c r="L1104" s="20" t="inlineStr">
        <is>
          <t>Nirmal Cars</t>
        </is>
      </c>
      <c r="M1104" s="23" t="n">
        <v>8474.58</v>
      </c>
    </row>
    <row r="1105">
      <c r="A1105" s="19" t="inlineStr">
        <is>
          <t>FY27</t>
        </is>
      </c>
      <c r="B1105" s="19" t="inlineStr">
        <is>
          <t>Apr</t>
        </is>
      </c>
      <c r="C1105" s="19" t="inlineStr">
        <is>
          <t>TN</t>
        </is>
      </c>
      <c r="D1105" s="20" t="inlineStr">
        <is>
          <t>TN01BE2476</t>
        </is>
      </c>
      <c r="E1105" s="20" t="inlineStr">
        <is>
          <t>MARUTI SUZUKI</t>
        </is>
      </c>
      <c r="F1105" s="20" t="inlineStr">
        <is>
          <t>Swift Dzire</t>
        </is>
      </c>
      <c r="G1105" s="21" t="n">
        <v>2018</v>
      </c>
      <c r="H1105" s="22" t="n">
        <v>83007</v>
      </c>
      <c r="I1105" s="22" t="n">
        <v>420000</v>
      </c>
      <c r="J1105" s="20" t="inlineStr">
        <is>
          <t>EXCHANGE CHENNAI</t>
        </is>
      </c>
      <c r="K1105" s="20" t="inlineStr">
        <is>
          <t>Captive</t>
        </is>
      </c>
      <c r="L1105" s="20" t="inlineStr">
        <is>
          <t>Santhosh Cars</t>
        </is>
      </c>
      <c r="M1105" s="23" t="n">
        <v>8474.58</v>
      </c>
    </row>
    <row r="1106">
      <c r="A1106" s="19" t="inlineStr">
        <is>
          <t>FY27</t>
        </is>
      </c>
      <c r="B1106" s="19" t="inlineStr">
        <is>
          <t>Apr</t>
        </is>
      </c>
      <c r="C1106" s="19" t="inlineStr">
        <is>
          <t>TN</t>
        </is>
      </c>
      <c r="D1106" s="20" t="inlineStr">
        <is>
          <t>TN06AB5257</t>
        </is>
      </c>
      <c r="E1106" s="20" t="inlineStr">
        <is>
          <t>MARUTI SUZUKI</t>
        </is>
      </c>
      <c r="F1106" s="20" t="inlineStr">
        <is>
          <t>Swift Dzire</t>
        </is>
      </c>
      <c r="G1106" s="21" t="n">
        <v>2022</v>
      </c>
      <c r="H1106" s="22" t="n">
        <v>92391</v>
      </c>
      <c r="I1106" s="22" t="n">
        <v>575000</v>
      </c>
      <c r="J1106" s="20" t="inlineStr">
        <is>
          <t>EXCHANGE CHENNAI</t>
        </is>
      </c>
      <c r="K1106" s="20" t="inlineStr">
        <is>
          <t>Captive</t>
        </is>
      </c>
      <c r="L1106" s="20" t="inlineStr">
        <is>
          <t>SK Mani</t>
        </is>
      </c>
      <c r="M1106" s="23" t="n">
        <v>12711.86</v>
      </c>
    </row>
    <row r="1107">
      <c r="A1107" s="19" t="inlineStr">
        <is>
          <t>FY27</t>
        </is>
      </c>
      <c r="B1107" s="19" t="inlineStr">
        <is>
          <t>Apr</t>
        </is>
      </c>
      <c r="C1107" s="19" t="inlineStr">
        <is>
          <t>TN</t>
        </is>
      </c>
      <c r="D1107" s="20" t="inlineStr">
        <is>
          <t>TN43F8134</t>
        </is>
      </c>
      <c r="E1107" s="20" t="inlineStr">
        <is>
          <t>MARUTI SUZUKI</t>
        </is>
      </c>
      <c r="F1107" s="20" t="inlineStr">
        <is>
          <t>Swift</t>
        </is>
      </c>
      <c r="G1107" s="21" t="n">
        <v>2015</v>
      </c>
      <c r="H1107" s="22" t="n">
        <v>98430</v>
      </c>
      <c r="I1107" s="22" t="n">
        <v>420000</v>
      </c>
      <c r="J1107" s="20" t="inlineStr">
        <is>
          <t>EXCHANGE ROTN</t>
        </is>
      </c>
      <c r="K1107" s="20" t="inlineStr">
        <is>
          <t>Captive</t>
        </is>
      </c>
      <c r="L1107" s="20" t="inlineStr">
        <is>
          <t>Gugha Cars</t>
        </is>
      </c>
      <c r="M1107" s="23" t="n">
        <v>4237.29</v>
      </c>
    </row>
    <row r="1108">
      <c r="A1108" s="19" t="inlineStr">
        <is>
          <t>FY27</t>
        </is>
      </c>
      <c r="B1108" s="19" t="inlineStr">
        <is>
          <t>Apr</t>
        </is>
      </c>
      <c r="C1108" s="19" t="inlineStr">
        <is>
          <t>TN</t>
        </is>
      </c>
      <c r="D1108" s="20" t="inlineStr">
        <is>
          <t>TN66J1179</t>
        </is>
      </c>
      <c r="E1108" s="20" t="inlineStr">
        <is>
          <t>NISSAN</t>
        </is>
      </c>
      <c r="F1108" s="20" t="inlineStr">
        <is>
          <t>Sunny</t>
        </is>
      </c>
      <c r="G1108" s="21" t="n">
        <v>2013</v>
      </c>
      <c r="H1108" s="22" t="n">
        <v>128267</v>
      </c>
      <c r="I1108" s="22" t="n">
        <v>300000</v>
      </c>
      <c r="J1108" s="20" t="inlineStr">
        <is>
          <t>EXCHANGE ROTN</t>
        </is>
      </c>
      <c r="K1108" s="20" t="inlineStr">
        <is>
          <t>Captive</t>
        </is>
      </c>
      <c r="L1108" s="20" t="inlineStr">
        <is>
          <t>YUGA DHEERAN CARS</t>
        </is>
      </c>
      <c r="M1108" s="23" t="n">
        <v>4237.29</v>
      </c>
    </row>
    <row r="1109">
      <c r="A1109" s="19" t="inlineStr">
        <is>
          <t>FY27</t>
        </is>
      </c>
      <c r="B1109" s="19" t="inlineStr">
        <is>
          <t>Apr</t>
        </is>
      </c>
      <c r="C1109" s="19" t="inlineStr">
        <is>
          <t>TN</t>
        </is>
      </c>
      <c r="D1109" s="20" t="inlineStr">
        <is>
          <t>TN30AT2478</t>
        </is>
      </c>
      <c r="E1109" s="20" t="inlineStr">
        <is>
          <t>HONDA</t>
        </is>
      </c>
      <c r="F1109" s="20" t="inlineStr">
        <is>
          <t>Amaze</t>
        </is>
      </c>
      <c r="G1109" s="21" t="n">
        <v>2013</v>
      </c>
      <c r="H1109" s="22" t="n">
        <v>154730</v>
      </c>
      <c r="I1109" s="22" t="n">
        <v>330000</v>
      </c>
      <c r="J1109" s="20" t="inlineStr">
        <is>
          <t>EXCHANGE ROTN</t>
        </is>
      </c>
      <c r="K1109" s="20" t="inlineStr">
        <is>
          <t>Captive</t>
        </is>
      </c>
      <c r="L1109" s="20" t="inlineStr">
        <is>
          <t>SIVASHANKAR CARS</t>
        </is>
      </c>
      <c r="M1109" s="23" t="n">
        <v>4237.29</v>
      </c>
    </row>
    <row r="1110">
      <c r="A1110" s="19" t="inlineStr">
        <is>
          <t>FY27</t>
        </is>
      </c>
      <c r="B1110" s="19" t="inlineStr">
        <is>
          <t>Apr</t>
        </is>
      </c>
      <c r="C1110" s="19" t="inlineStr">
        <is>
          <t>TN</t>
        </is>
      </c>
      <c r="D1110" s="20" t="inlineStr">
        <is>
          <t>TN37BK1562</t>
        </is>
      </c>
      <c r="E1110" s="20" t="inlineStr">
        <is>
          <t>FORD</t>
        </is>
      </c>
      <c r="F1110" s="20" t="inlineStr">
        <is>
          <t>Figo</t>
        </is>
      </c>
      <c r="G1110" s="21" t="n">
        <v>2010</v>
      </c>
      <c r="H1110" s="22" t="n">
        <v>112620</v>
      </c>
      <c r="I1110" s="22" t="n">
        <v>110000</v>
      </c>
      <c r="J1110" s="20" t="inlineStr">
        <is>
          <t>EXCHANGE ROTN</t>
        </is>
      </c>
      <c r="K1110" s="20" t="inlineStr">
        <is>
          <t>Captive</t>
        </is>
      </c>
      <c r="L1110" s="20" t="inlineStr">
        <is>
          <t>SIVASHANKAR CARS</t>
        </is>
      </c>
      <c r="M1110" s="23" t="n">
        <v>4237.29</v>
      </c>
    </row>
    <row r="1111">
      <c r="A1111" s="19" t="inlineStr">
        <is>
          <t>FY27</t>
        </is>
      </c>
      <c r="B1111" s="19" t="inlineStr">
        <is>
          <t>Apr</t>
        </is>
      </c>
      <c r="C1111" s="19" t="inlineStr">
        <is>
          <t>TN</t>
        </is>
      </c>
      <c r="D1111" s="20" t="inlineStr">
        <is>
          <t>TN07CP7421</t>
        </is>
      </c>
      <c r="E1111" s="20" t="inlineStr">
        <is>
          <t>HONDA</t>
        </is>
      </c>
      <c r="F1111" s="20" t="inlineStr">
        <is>
          <t>Amaze</t>
        </is>
      </c>
      <c r="G1111" s="21" t="n">
        <v>2018</v>
      </c>
      <c r="H1111" s="22" t="n">
        <v>97456</v>
      </c>
      <c r="I1111" s="22" t="n">
        <v>375000</v>
      </c>
      <c r="J1111" s="20" t="inlineStr">
        <is>
          <t>EXCHANGE CHENNAI</t>
        </is>
      </c>
      <c r="K1111" s="20" t="inlineStr">
        <is>
          <t>Captive</t>
        </is>
      </c>
      <c r="L1111" s="20" t="inlineStr">
        <is>
          <t>Santhosh Cars</t>
        </is>
      </c>
      <c r="M1111" s="23" t="n">
        <v>8474.58</v>
      </c>
    </row>
    <row r="1112">
      <c r="A1112" s="19" t="inlineStr">
        <is>
          <t>FY27</t>
        </is>
      </c>
      <c r="B1112" s="19" t="inlineStr">
        <is>
          <t>Apr</t>
        </is>
      </c>
      <c r="C1112" s="19" t="inlineStr">
        <is>
          <t>TN</t>
        </is>
      </c>
      <c r="D1112" s="20" t="inlineStr">
        <is>
          <t>KL01BR9904</t>
        </is>
      </c>
      <c r="E1112" s="20" t="inlineStr">
        <is>
          <t>HONDA</t>
        </is>
      </c>
      <c r="F1112" s="20" t="inlineStr">
        <is>
          <t>City</t>
        </is>
      </c>
      <c r="G1112" s="21" t="n">
        <v>2014</v>
      </c>
      <c r="H1112" s="22" t="n">
        <v>137209</v>
      </c>
      <c r="I1112" s="22" t="n">
        <v>360000</v>
      </c>
      <c r="J1112" s="20" t="inlineStr">
        <is>
          <t>Nippon Motor Corporation Pvt Ltd</t>
        </is>
      </c>
      <c r="K1112" s="20" t="inlineStr">
        <is>
          <t>Non-Captive</t>
        </is>
      </c>
      <c r="L1112" s="20" t="inlineStr">
        <is>
          <t>Shamnad AH</t>
        </is>
      </c>
      <c r="M1112" s="23" t="n">
        <v>5932.2</v>
      </c>
    </row>
    <row r="1113">
      <c r="A1113" s="19" t="inlineStr">
        <is>
          <t>FY27</t>
        </is>
      </c>
      <c r="B1113" s="19" t="inlineStr">
        <is>
          <t>Apr</t>
        </is>
      </c>
      <c r="C1113" s="19" t="inlineStr">
        <is>
          <t>TN</t>
        </is>
      </c>
      <c r="D1113" s="20" t="inlineStr">
        <is>
          <t>KL01BX3373</t>
        </is>
      </c>
      <c r="E1113" s="20" t="inlineStr">
        <is>
          <t>MARUTI SUZUKI</t>
        </is>
      </c>
      <c r="F1113" s="20" t="inlineStr">
        <is>
          <t>Wagon R</t>
        </is>
      </c>
      <c r="G1113" s="21" t="n">
        <v>2016</v>
      </c>
      <c r="H1113" s="22" t="n"/>
      <c r="I1113" s="22" t="n">
        <v>310000</v>
      </c>
      <c r="J1113" s="20" t="inlineStr">
        <is>
          <t>Ideal Motors</t>
        </is>
      </c>
      <c r="K1113" s="20" t="inlineStr">
        <is>
          <t>Non-Captive</t>
        </is>
      </c>
      <c r="L1113" s="20" t="inlineStr">
        <is>
          <t>Popular Trivandrum</t>
        </is>
      </c>
      <c r="M1113" s="23" t="n">
        <v>5000</v>
      </c>
    </row>
    <row r="1114">
      <c r="A1114" s="19" t="inlineStr">
        <is>
          <t>FY27</t>
        </is>
      </c>
      <c r="B1114" s="19" t="inlineStr">
        <is>
          <t>Apr</t>
        </is>
      </c>
      <c r="C1114" s="19" t="inlineStr">
        <is>
          <t>TN</t>
        </is>
      </c>
      <c r="D1114" s="20" t="inlineStr">
        <is>
          <t>KL21V8827</t>
        </is>
      </c>
      <c r="E1114" s="20" t="inlineStr">
        <is>
          <t>MARUTI SUZUKI</t>
        </is>
      </c>
      <c r="F1114" s="20" t="inlineStr">
        <is>
          <t>Ignis</t>
        </is>
      </c>
      <c r="G1114" s="21" t="n">
        <v>2021</v>
      </c>
      <c r="H1114" s="22" t="n">
        <v>57845</v>
      </c>
      <c r="I1114" s="22" t="n">
        <v>375000</v>
      </c>
      <c r="J1114" s="20" t="inlineStr">
        <is>
          <t>EVM AUTOKRAFT INDIA PRIVATE LIMITED</t>
        </is>
      </c>
      <c r="K1114" s="20" t="inlineStr">
        <is>
          <t>Non-Captive</t>
        </is>
      </c>
      <c r="L1114" s="20" t="inlineStr">
        <is>
          <t>Popular Thrissur</t>
        </is>
      </c>
      <c r="M1114" s="23" t="n">
        <v>5000</v>
      </c>
    </row>
    <row r="1115">
      <c r="A1115" s="19" t="inlineStr">
        <is>
          <t>FY27</t>
        </is>
      </c>
      <c r="B1115" s="19" t="inlineStr">
        <is>
          <t>Apr</t>
        </is>
      </c>
      <c r="C1115" s="19" t="inlineStr">
        <is>
          <t>TN</t>
        </is>
      </c>
      <c r="D1115" s="20" t="inlineStr">
        <is>
          <t>TN01AS5763</t>
        </is>
      </c>
      <c r="E1115" s="20" t="inlineStr">
        <is>
          <t>FORD</t>
        </is>
      </c>
      <c r="F1115" s="20" t="inlineStr">
        <is>
          <t>Figo</t>
        </is>
      </c>
      <c r="G1115" s="21" t="n">
        <v>2012</v>
      </c>
      <c r="H1115" s="22" t="n">
        <v>65670</v>
      </c>
      <c r="I1115" s="22" t="n">
        <v>60000</v>
      </c>
      <c r="J1115" s="20" t="inlineStr">
        <is>
          <t>WHEELS INDIA LIMITED</t>
        </is>
      </c>
      <c r="K1115" s="20" t="inlineStr">
        <is>
          <t>Non-Captive</t>
        </is>
      </c>
      <c r="L1115" s="20" t="inlineStr">
        <is>
          <t>Ramesh Cars</t>
        </is>
      </c>
      <c r="M1115" s="23" t="n">
        <v>5084.75</v>
      </c>
    </row>
    <row r="1116">
      <c r="A1116" s="19" t="inlineStr">
        <is>
          <t>FY27</t>
        </is>
      </c>
      <c r="B1116" s="19" t="inlineStr">
        <is>
          <t>Apr</t>
        </is>
      </c>
      <c r="C1116" s="19" t="inlineStr">
        <is>
          <t>TN</t>
        </is>
      </c>
      <c r="D1116" s="20" t="inlineStr">
        <is>
          <t>TN22CX4701</t>
        </is>
      </c>
      <c r="E1116" s="20" t="inlineStr">
        <is>
          <t>MARUTI SUZUKI</t>
        </is>
      </c>
      <c r="F1116" s="20" t="inlineStr">
        <is>
          <t>Ritz</t>
        </is>
      </c>
      <c r="G1116" s="21" t="n">
        <v>2011</v>
      </c>
      <c r="H1116" s="22" t="n">
        <v>149823</v>
      </c>
      <c r="I1116" s="22" t="n">
        <v>87000</v>
      </c>
      <c r="J1116" s="20" t="inlineStr">
        <is>
          <t>AIE CARS PRIVATE LIMITED</t>
        </is>
      </c>
      <c r="K1116" s="20" t="inlineStr">
        <is>
          <t>Non-Captive</t>
        </is>
      </c>
      <c r="L1116" s="20" t="inlineStr">
        <is>
          <t>KB Motor</t>
        </is>
      </c>
      <c r="M1116" s="23" t="n">
        <v>4237.29</v>
      </c>
    </row>
    <row r="1117">
      <c r="A1117" s="19" t="inlineStr">
        <is>
          <t>FY27</t>
        </is>
      </c>
      <c r="B1117" s="19" t="inlineStr">
        <is>
          <t>Apr</t>
        </is>
      </c>
      <c r="C1117" s="19" t="inlineStr">
        <is>
          <t>TN</t>
        </is>
      </c>
      <c r="D1117" s="20" t="inlineStr">
        <is>
          <t>TN22CY3683</t>
        </is>
      </c>
      <c r="E1117" s="20" t="inlineStr">
        <is>
          <t>MARUTI SUZUKI</t>
        </is>
      </c>
      <c r="F1117" s="20" t="inlineStr">
        <is>
          <t>Alto</t>
        </is>
      </c>
      <c r="G1117" s="21" t="n">
        <v>2011</v>
      </c>
      <c r="H1117" s="22" t="n">
        <v>77085</v>
      </c>
      <c r="I1117" s="22" t="n">
        <v>98000</v>
      </c>
      <c r="J1117" s="20" t="inlineStr">
        <is>
          <t>Cars India</t>
        </is>
      </c>
      <c r="K1117" s="20" t="inlineStr">
        <is>
          <t>Non-Captive</t>
        </is>
      </c>
      <c r="L1117" s="20" t="inlineStr">
        <is>
          <t>KB Motor</t>
        </is>
      </c>
      <c r="M1117" s="23" t="n">
        <v>4237.29</v>
      </c>
    </row>
    <row r="1118">
      <c r="A1118" s="19" t="inlineStr">
        <is>
          <t>FY27</t>
        </is>
      </c>
      <c r="B1118" s="19" t="inlineStr">
        <is>
          <t>Apr</t>
        </is>
      </c>
      <c r="C1118" s="19" t="inlineStr">
        <is>
          <t>TN</t>
        </is>
      </c>
      <c r="D1118" s="20" t="inlineStr">
        <is>
          <t>TN38BP9129</t>
        </is>
      </c>
      <c r="E1118" s="20" t="inlineStr">
        <is>
          <t>MARUTI SUZUKI</t>
        </is>
      </c>
      <c r="F1118" s="20" t="inlineStr">
        <is>
          <t>Alto</t>
        </is>
      </c>
      <c r="G1118" s="21" t="n">
        <v>2012</v>
      </c>
      <c r="H1118" s="22" t="n">
        <v>99442</v>
      </c>
      <c r="I1118" s="22" t="n">
        <v>80000</v>
      </c>
      <c r="J1118" s="20" t="inlineStr">
        <is>
          <t>AIE CARS PRIVATE LIMITED</t>
        </is>
      </c>
      <c r="K1118" s="20" t="inlineStr">
        <is>
          <t>Non-Captive</t>
        </is>
      </c>
      <c r="L1118" s="20" t="inlineStr">
        <is>
          <t>Murthy Cars</t>
        </is>
      </c>
      <c r="M1118" s="23" t="n">
        <v>4237.29</v>
      </c>
    </row>
    <row r="1119">
      <c r="A1119" s="19" t="inlineStr">
        <is>
          <t>FY27</t>
        </is>
      </c>
      <c r="B1119" s="19" t="inlineStr">
        <is>
          <t>Apr</t>
        </is>
      </c>
      <c r="C1119" s="19" t="inlineStr">
        <is>
          <t>TN</t>
        </is>
      </c>
      <c r="D1119" s="20" t="inlineStr">
        <is>
          <t>TN05AR8439</t>
        </is>
      </c>
      <c r="E1119" s="20" t="inlineStr">
        <is>
          <t>HYUNDAI</t>
        </is>
      </c>
      <c r="F1119" s="20" t="inlineStr">
        <is>
          <t>I10</t>
        </is>
      </c>
      <c r="G1119" s="21" t="n">
        <v>2013</v>
      </c>
      <c r="H1119" s="22" t="n">
        <v>71430</v>
      </c>
      <c r="I1119" s="22" t="n">
        <v>95000</v>
      </c>
      <c r="J1119" s="20" t="inlineStr">
        <is>
          <t>Cars India</t>
        </is>
      </c>
      <c r="K1119" s="20" t="inlineStr">
        <is>
          <t>Non-Captive</t>
        </is>
      </c>
      <c r="L1119" s="20" t="inlineStr">
        <is>
          <t>Murthy Cars</t>
        </is>
      </c>
      <c r="M1119" s="23" t="n">
        <v>4237.29</v>
      </c>
    </row>
    <row r="1120">
      <c r="A1120" s="19" t="inlineStr">
        <is>
          <t>FY27</t>
        </is>
      </c>
      <c r="B1120" s="19" t="inlineStr">
        <is>
          <t>Apr</t>
        </is>
      </c>
      <c r="C1120" s="19" t="inlineStr">
        <is>
          <t>TN</t>
        </is>
      </c>
      <c r="D1120" s="20" t="inlineStr">
        <is>
          <t>TN02AY6124</t>
        </is>
      </c>
      <c r="E1120" s="20" t="inlineStr">
        <is>
          <t>MARUTI SUZUKI</t>
        </is>
      </c>
      <c r="F1120" s="20" t="inlineStr">
        <is>
          <t>Wagon R</t>
        </is>
      </c>
      <c r="G1120" s="21" t="n">
        <v>2013</v>
      </c>
      <c r="H1120" s="22" t="n">
        <v>65240</v>
      </c>
      <c r="I1120" s="22" t="n">
        <v>78000</v>
      </c>
      <c r="J1120" s="20" t="inlineStr">
        <is>
          <t>Cars India</t>
        </is>
      </c>
      <c r="K1120" s="20" t="inlineStr">
        <is>
          <t>Non-Captive</t>
        </is>
      </c>
      <c r="L1120" s="20" t="inlineStr">
        <is>
          <t>Kamal Cars</t>
        </is>
      </c>
      <c r="M1120" s="23" t="n">
        <v>4237.29</v>
      </c>
    </row>
    <row r="1121">
      <c r="A1121" s="19" t="inlineStr">
        <is>
          <t>FY27</t>
        </is>
      </c>
      <c r="B1121" s="19" t="inlineStr">
        <is>
          <t>Apr</t>
        </is>
      </c>
      <c r="C1121" s="19" t="inlineStr">
        <is>
          <t>TN</t>
        </is>
      </c>
      <c r="D1121" s="20" t="inlineStr">
        <is>
          <t>TN06D3754</t>
        </is>
      </c>
      <c r="E1121" s="20" t="inlineStr">
        <is>
          <t>MARUTI SUZUKI</t>
        </is>
      </c>
      <c r="F1121" s="20" t="inlineStr">
        <is>
          <t>Wagon R</t>
        </is>
      </c>
      <c r="G1121" s="21" t="n">
        <v>2011</v>
      </c>
      <c r="H1121" s="22" t="n">
        <v>56750</v>
      </c>
      <c r="I1121" s="22" t="n">
        <v>90000</v>
      </c>
      <c r="J1121" s="20" t="inlineStr">
        <is>
          <t>Cars India</t>
        </is>
      </c>
      <c r="K1121" s="20" t="inlineStr">
        <is>
          <t>Non-Captive</t>
        </is>
      </c>
      <c r="L1121" s="20" t="inlineStr">
        <is>
          <t>Kamal Cars</t>
        </is>
      </c>
      <c r="M1121" s="23" t="n">
        <v>4237.29</v>
      </c>
    </row>
    <row r="1122">
      <c r="A1122" s="19" t="inlineStr">
        <is>
          <t>FY27</t>
        </is>
      </c>
      <c r="B1122" s="19" t="inlineStr">
        <is>
          <t>Apr</t>
        </is>
      </c>
      <c r="C1122" s="19" t="inlineStr">
        <is>
          <t>TN</t>
        </is>
      </c>
      <c r="D1122" s="20" t="inlineStr">
        <is>
          <t>TN39AV3909</t>
        </is>
      </c>
      <c r="E1122" s="20" t="inlineStr">
        <is>
          <t>MARUTI SUZUKI</t>
        </is>
      </c>
      <c r="F1122" s="20" t="inlineStr">
        <is>
          <t>Swift Dzire</t>
        </is>
      </c>
      <c r="G1122" s="21" t="n">
        <v>2009</v>
      </c>
      <c r="H1122" s="22" t="n">
        <v>182944</v>
      </c>
      <c r="I1122" s="22" t="n">
        <v>150000</v>
      </c>
      <c r="J1122" s="20" t="inlineStr">
        <is>
          <t>Cars India</t>
        </is>
      </c>
      <c r="K1122" s="20" t="inlineStr">
        <is>
          <t>Non-Captive</t>
        </is>
      </c>
      <c r="L1122" s="20" t="inlineStr">
        <is>
          <t>Santhosh Cars</t>
        </is>
      </c>
      <c r="M1122" s="23" t="n">
        <v>5084.75</v>
      </c>
    </row>
    <row r="1123">
      <c r="A1123" s="19" t="inlineStr">
        <is>
          <t>FY27</t>
        </is>
      </c>
      <c r="B1123" s="19" t="inlineStr">
        <is>
          <t>Apr</t>
        </is>
      </c>
      <c r="C1123" s="19" t="inlineStr">
        <is>
          <t>TN</t>
        </is>
      </c>
      <c r="D1123" s="20" t="inlineStr">
        <is>
          <t>TN10AK3099</t>
        </is>
      </c>
      <c r="E1123" s="20" t="inlineStr">
        <is>
          <t>MARUTI SUZUKI</t>
        </is>
      </c>
      <c r="F1123" s="20" t="inlineStr">
        <is>
          <t>Ertiga</t>
        </is>
      </c>
      <c r="G1123" s="21" t="n">
        <v>2012</v>
      </c>
      <c r="H1123" s="22" t="n">
        <v>97542</v>
      </c>
      <c r="I1123" s="22" t="n">
        <v>198000</v>
      </c>
      <c r="J1123" s="20" t="inlineStr">
        <is>
          <t>Cars India</t>
        </is>
      </c>
      <c r="K1123" s="20" t="inlineStr">
        <is>
          <t>Non-Captive</t>
        </is>
      </c>
      <c r="L1123" s="20" t="inlineStr">
        <is>
          <t>Santhosh Cars</t>
        </is>
      </c>
      <c r="M1123" s="23" t="n">
        <v>5084.75</v>
      </c>
    </row>
    <row r="1124">
      <c r="A1124" s="19" t="inlineStr">
        <is>
          <t>FY27</t>
        </is>
      </c>
      <c r="B1124" s="19" t="inlineStr">
        <is>
          <t>Apr</t>
        </is>
      </c>
      <c r="C1124" s="19" t="inlineStr">
        <is>
          <t>TN</t>
        </is>
      </c>
      <c r="D1124" s="20" t="inlineStr">
        <is>
          <t>TN10AP9480</t>
        </is>
      </c>
      <c r="E1124" s="20" t="inlineStr">
        <is>
          <t>HYUNDAI</t>
        </is>
      </c>
      <c r="F1124" s="20" t="inlineStr">
        <is>
          <t>I10</t>
        </is>
      </c>
      <c r="G1124" s="21" t="n">
        <v>2014</v>
      </c>
      <c r="H1124" s="22" t="n">
        <v>20589</v>
      </c>
      <c r="I1124" s="22" t="n">
        <v>200000</v>
      </c>
      <c r="J1124" s="20" t="inlineStr">
        <is>
          <t>AIE CARS PRIVATE LIMITED</t>
        </is>
      </c>
      <c r="K1124" s="20" t="inlineStr">
        <is>
          <t>Non-Captive</t>
        </is>
      </c>
      <c r="L1124" s="20" t="inlineStr">
        <is>
          <t>Santhosh Cars</t>
        </is>
      </c>
      <c r="M1124" s="23" t="n">
        <v>5084.75</v>
      </c>
    </row>
    <row r="1125">
      <c r="A1125" s="19" t="inlineStr">
        <is>
          <t>FY27</t>
        </is>
      </c>
      <c r="B1125" s="19" t="inlineStr">
        <is>
          <t>Apr</t>
        </is>
      </c>
      <c r="C1125" s="19" t="inlineStr">
        <is>
          <t>TN</t>
        </is>
      </c>
      <c r="D1125" s="20" t="inlineStr">
        <is>
          <t>TN01BE1116</t>
        </is>
      </c>
      <c r="E1125" s="20" t="inlineStr">
        <is>
          <t>MARUTI SUZUKI</t>
        </is>
      </c>
      <c r="F1125" s="20" t="inlineStr">
        <is>
          <t>Alto</t>
        </is>
      </c>
      <c r="G1125" s="21" t="n">
        <v>2018</v>
      </c>
      <c r="H1125" s="22" t="n">
        <v>50790</v>
      </c>
      <c r="I1125" s="22" t="n">
        <v>200000</v>
      </c>
      <c r="J1125" s="20" t="inlineStr">
        <is>
          <t>Cars India</t>
        </is>
      </c>
      <c r="K1125" s="20" t="inlineStr">
        <is>
          <t>Non-Captive</t>
        </is>
      </c>
      <c r="L1125" s="20" t="inlineStr">
        <is>
          <t>Kamal Cars</t>
        </is>
      </c>
      <c r="M1125" s="23" t="n">
        <v>5084.75</v>
      </c>
    </row>
    <row r="1126">
      <c r="A1126" s="19" t="inlineStr">
        <is>
          <t>FY27</t>
        </is>
      </c>
      <c r="B1126" s="19" t="inlineStr">
        <is>
          <t>Apr</t>
        </is>
      </c>
      <c r="C1126" s="19" t="inlineStr">
        <is>
          <t>TN</t>
        </is>
      </c>
      <c r="D1126" s="20" t="inlineStr">
        <is>
          <t>TN11AM2004</t>
        </is>
      </c>
      <c r="E1126" s="20" t="inlineStr">
        <is>
          <t>MARUTI SUZUKI</t>
        </is>
      </c>
      <c r="F1126" s="20" t="inlineStr">
        <is>
          <t>Wagon R</t>
        </is>
      </c>
      <c r="G1126" s="21" t="n">
        <v>2019</v>
      </c>
      <c r="H1126" s="22" t="n">
        <v>158541</v>
      </c>
      <c r="I1126" s="22" t="n">
        <v>194000</v>
      </c>
      <c r="J1126" s="20" t="inlineStr">
        <is>
          <t>VISHNU CARS PRIVATE LIMITED</t>
        </is>
      </c>
      <c r="K1126" s="20" t="inlineStr">
        <is>
          <t>Non-Captive</t>
        </is>
      </c>
      <c r="L1126" s="20" t="inlineStr">
        <is>
          <t>Kamal Cars</t>
        </is>
      </c>
      <c r="M1126" s="23" t="n">
        <v>5084.75</v>
      </c>
    </row>
    <row r="1127">
      <c r="A1127" s="19" t="inlineStr">
        <is>
          <t>FY27</t>
        </is>
      </c>
      <c r="B1127" s="19" t="inlineStr">
        <is>
          <t>Apr</t>
        </is>
      </c>
      <c r="C1127" s="19" t="inlineStr">
        <is>
          <t>TN</t>
        </is>
      </c>
      <c r="D1127" s="20" t="inlineStr">
        <is>
          <t>TN07CJ8462</t>
        </is>
      </c>
      <c r="E1127" s="20" t="inlineStr">
        <is>
          <t>MARUTI SUZUKI</t>
        </is>
      </c>
      <c r="F1127" s="20" t="inlineStr">
        <is>
          <t>Celerio</t>
        </is>
      </c>
      <c r="G1127" s="21" t="n">
        <v>2017</v>
      </c>
      <c r="H1127" s="22" t="n">
        <v>24940</v>
      </c>
      <c r="I1127" s="22" t="n">
        <v>193000</v>
      </c>
      <c r="J1127" s="20" t="inlineStr">
        <is>
          <t>AIE CARS PRIVATE LIMITED</t>
        </is>
      </c>
      <c r="K1127" s="20" t="inlineStr">
        <is>
          <t>Non-Captive</t>
        </is>
      </c>
      <c r="L1127" s="20" t="inlineStr">
        <is>
          <t>Kamal Cars</t>
        </is>
      </c>
      <c r="M1127" s="23" t="n">
        <v>5084.75</v>
      </c>
    </row>
    <row r="1128">
      <c r="A1128" s="19" t="inlineStr">
        <is>
          <t>FY27</t>
        </is>
      </c>
      <c r="B1128" s="19" t="inlineStr">
        <is>
          <t>Apr</t>
        </is>
      </c>
      <c r="C1128" s="19" t="inlineStr">
        <is>
          <t>TN</t>
        </is>
      </c>
      <c r="D1128" s="20" t="inlineStr">
        <is>
          <t>TN01BA8415</t>
        </is>
      </c>
      <c r="E1128" s="20" t="inlineStr">
        <is>
          <t>MARUTI SUZUKI</t>
        </is>
      </c>
      <c r="F1128" s="20" t="inlineStr">
        <is>
          <t>Ciaz</t>
        </is>
      </c>
      <c r="G1128" s="21" t="n">
        <v>2016</v>
      </c>
      <c r="H1128" s="22" t="n">
        <v>19307</v>
      </c>
      <c r="I1128" s="22" t="n">
        <v>380000</v>
      </c>
      <c r="J1128" s="20" t="inlineStr">
        <is>
          <t>Cars India</t>
        </is>
      </c>
      <c r="K1128" s="20" t="inlineStr">
        <is>
          <t>Non-Captive</t>
        </is>
      </c>
      <c r="L1128" s="20" t="inlineStr">
        <is>
          <t>Santhosh Cars</t>
        </is>
      </c>
      <c r="M1128" s="23" t="n">
        <v>6355.93</v>
      </c>
    </row>
    <row r="1129">
      <c r="A1129" s="19" t="inlineStr">
        <is>
          <t>FY27</t>
        </is>
      </c>
      <c r="B1129" s="19" t="inlineStr">
        <is>
          <t>Apr</t>
        </is>
      </c>
      <c r="C1129" s="19" t="inlineStr">
        <is>
          <t>TN</t>
        </is>
      </c>
      <c r="D1129" s="20" t="inlineStr">
        <is>
          <t>TN09CE4405</t>
        </is>
      </c>
      <c r="E1129" s="20" t="inlineStr">
        <is>
          <t>RENAULT</t>
        </is>
      </c>
      <c r="F1129" s="20" t="inlineStr">
        <is>
          <t>Lodgy</t>
        </is>
      </c>
      <c r="G1129" s="21" t="n">
        <v>2016</v>
      </c>
      <c r="H1129" s="22" t="n">
        <v>136445</v>
      </c>
      <c r="I1129" s="22" t="n">
        <v>350000</v>
      </c>
      <c r="J1129" s="20" t="inlineStr">
        <is>
          <t>Cars India</t>
        </is>
      </c>
      <c r="K1129" s="20" t="inlineStr">
        <is>
          <t>Non-Captive</t>
        </is>
      </c>
      <c r="L1129" s="20" t="inlineStr">
        <is>
          <t>Santhosh Cars</t>
        </is>
      </c>
      <c r="M1129" s="23" t="n">
        <v>6355.93</v>
      </c>
    </row>
    <row r="1130">
      <c r="A1130" s="19" t="inlineStr">
        <is>
          <t>FY27</t>
        </is>
      </c>
      <c r="B1130" s="19" t="inlineStr">
        <is>
          <t>Apr</t>
        </is>
      </c>
      <c r="C1130" s="19" t="inlineStr">
        <is>
          <t>TN</t>
        </is>
      </c>
      <c r="D1130" s="20" t="inlineStr">
        <is>
          <t>TN18AJ5270</t>
        </is>
      </c>
      <c r="E1130" s="20" t="inlineStr">
        <is>
          <t>MARUTI SUZUKI</t>
        </is>
      </c>
      <c r="F1130" s="20" t="inlineStr">
        <is>
          <t>Swift</t>
        </is>
      </c>
      <c r="G1130" s="21" t="n">
        <v>2016</v>
      </c>
      <c r="H1130" s="22" t="n">
        <v>39158</v>
      </c>
      <c r="I1130" s="22" t="n">
        <v>325000</v>
      </c>
      <c r="J1130" s="20" t="inlineStr">
        <is>
          <t>Cars India</t>
        </is>
      </c>
      <c r="K1130" s="20" t="inlineStr">
        <is>
          <t>Non-Captive</t>
        </is>
      </c>
      <c r="L1130" s="20" t="inlineStr">
        <is>
          <t>Santhosh Cars</t>
        </is>
      </c>
      <c r="M1130" s="23" t="n">
        <v>6355.93</v>
      </c>
    </row>
    <row r="1131">
      <c r="A1131" s="19" t="inlineStr">
        <is>
          <t>FY27</t>
        </is>
      </c>
      <c r="B1131" s="19" t="inlineStr">
        <is>
          <t>Apr</t>
        </is>
      </c>
      <c r="C1131" s="19" t="inlineStr">
        <is>
          <t>TN</t>
        </is>
      </c>
      <c r="D1131" s="20" t="inlineStr">
        <is>
          <t>TN10BA4056</t>
        </is>
      </c>
      <c r="E1131" s="20" t="inlineStr">
        <is>
          <t>MARUTI SUZUKI</t>
        </is>
      </c>
      <c r="F1131" s="20" t="inlineStr">
        <is>
          <t>Swift Dzire</t>
        </is>
      </c>
      <c r="G1131" s="21" t="n">
        <v>2017</v>
      </c>
      <c r="H1131" s="22" t="n">
        <v>54558</v>
      </c>
      <c r="I1131" s="22" t="n">
        <v>385000</v>
      </c>
      <c r="J1131" s="20" t="inlineStr">
        <is>
          <t>Cars India</t>
        </is>
      </c>
      <c r="K1131" s="20" t="inlineStr">
        <is>
          <t>Non-Captive</t>
        </is>
      </c>
      <c r="L1131" s="20" t="inlineStr">
        <is>
          <t>Santhosh Cars</t>
        </is>
      </c>
      <c r="M1131" s="23" t="n">
        <v>6355.93</v>
      </c>
    </row>
    <row r="1132">
      <c r="A1132" s="19" t="inlineStr">
        <is>
          <t>FY27</t>
        </is>
      </c>
      <c r="B1132" s="19" t="inlineStr">
        <is>
          <t>Apr</t>
        </is>
      </c>
      <c r="C1132" s="19" t="inlineStr">
        <is>
          <t>TN</t>
        </is>
      </c>
      <c r="D1132" s="20" t="inlineStr">
        <is>
          <t>TN07CJ9902</t>
        </is>
      </c>
      <c r="E1132" s="20" t="inlineStr">
        <is>
          <t>HYUNDAI</t>
        </is>
      </c>
      <c r="F1132" s="20" t="inlineStr">
        <is>
          <t>Verna</t>
        </is>
      </c>
      <c r="G1132" s="21" t="n">
        <v>2017</v>
      </c>
      <c r="H1132" s="22" t="n">
        <v>27139</v>
      </c>
      <c r="I1132" s="22" t="n">
        <v>390000</v>
      </c>
      <c r="J1132" s="20" t="inlineStr">
        <is>
          <t>Cars India</t>
        </is>
      </c>
      <c r="K1132" s="20" t="inlineStr">
        <is>
          <t>Non-Captive</t>
        </is>
      </c>
      <c r="L1132" s="20" t="inlineStr">
        <is>
          <t>Santhosh Cars</t>
        </is>
      </c>
      <c r="M1132" s="23" t="n">
        <v>6355.93</v>
      </c>
    </row>
    <row r="1133">
      <c r="A1133" s="19" t="inlineStr">
        <is>
          <t>FY27</t>
        </is>
      </c>
      <c r="B1133" s="19" t="inlineStr">
        <is>
          <t>Apr</t>
        </is>
      </c>
      <c r="C1133" s="19" t="inlineStr">
        <is>
          <t>TN</t>
        </is>
      </c>
      <c r="D1133" s="20" t="inlineStr">
        <is>
          <t>TN22CK8887</t>
        </is>
      </c>
      <c r="E1133" s="20" t="inlineStr">
        <is>
          <t>HONDA</t>
        </is>
      </c>
      <c r="F1133" s="20" t="inlineStr">
        <is>
          <t>Amaze</t>
        </is>
      </c>
      <c r="G1133" s="21" t="n">
        <v>2013</v>
      </c>
      <c r="H1133" s="22" t="n">
        <v>59673</v>
      </c>
      <c r="I1133" s="22" t="n">
        <v>270000</v>
      </c>
      <c r="J1133" s="20" t="inlineStr">
        <is>
          <t>EXCHANGE CHENNAI</t>
        </is>
      </c>
      <c r="K1133" s="20" t="inlineStr">
        <is>
          <t>Captive</t>
        </is>
      </c>
      <c r="L1133" s="20" t="inlineStr">
        <is>
          <t>Santhosh Cars</t>
        </is>
      </c>
      <c r="M1133" s="23" t="n">
        <v>8474.58</v>
      </c>
    </row>
    <row r="1134">
      <c r="A1134" s="19" t="inlineStr">
        <is>
          <t>FY27</t>
        </is>
      </c>
      <c r="B1134" s="19" t="inlineStr">
        <is>
          <t>Apr</t>
        </is>
      </c>
      <c r="C1134" s="19" t="inlineStr">
        <is>
          <t>TN</t>
        </is>
      </c>
      <c r="D1134" s="20" t="inlineStr">
        <is>
          <t>TN02AX6246</t>
        </is>
      </c>
      <c r="E1134" s="20" t="inlineStr">
        <is>
          <t>HYUNDAI</t>
        </is>
      </c>
      <c r="F1134" s="20" t="inlineStr">
        <is>
          <t>I20</t>
        </is>
      </c>
      <c r="G1134" s="21" t="n">
        <v>2013</v>
      </c>
      <c r="H1134" s="22" t="n">
        <v>42897</v>
      </c>
      <c r="I1134" s="22" t="n">
        <v>210000</v>
      </c>
      <c r="J1134" s="20" t="inlineStr">
        <is>
          <t>EXCHANGE CHENNAI</t>
        </is>
      </c>
      <c r="K1134" s="20" t="inlineStr">
        <is>
          <t>Captive</t>
        </is>
      </c>
      <c r="L1134" s="20" t="inlineStr">
        <is>
          <t>RAM Manohar</t>
        </is>
      </c>
      <c r="M1134" s="23" t="n">
        <v>8474.58</v>
      </c>
    </row>
    <row r="1135">
      <c r="A1135" s="19" t="inlineStr">
        <is>
          <t>FY27</t>
        </is>
      </c>
      <c r="B1135" s="19" t="inlineStr">
        <is>
          <t>Apr</t>
        </is>
      </c>
      <c r="C1135" s="19" t="inlineStr">
        <is>
          <t>TN</t>
        </is>
      </c>
      <c r="D1135" s="20" t="inlineStr">
        <is>
          <t>TN07BR2549</t>
        </is>
      </c>
      <c r="E1135" s="20" t="inlineStr">
        <is>
          <t>TATA</t>
        </is>
      </c>
      <c r="F1135" s="20" t="inlineStr">
        <is>
          <t>Indica</t>
        </is>
      </c>
      <c r="G1135" s="21" t="n">
        <v>2012</v>
      </c>
      <c r="H1135" s="22" t="n">
        <v>63211</v>
      </c>
      <c r="I1135" s="22" t="n">
        <v>125000</v>
      </c>
      <c r="J1135" s="20" t="inlineStr">
        <is>
          <t>EXCHANGE CHENNAI</t>
        </is>
      </c>
      <c r="K1135" s="20" t="inlineStr">
        <is>
          <t>Captive</t>
        </is>
      </c>
      <c r="L1135" s="20" t="inlineStr">
        <is>
          <t>Varadhrajan cars</t>
        </is>
      </c>
      <c r="M1135" s="23" t="n">
        <v>4237.29</v>
      </c>
    </row>
    <row r="1136">
      <c r="A1136" s="19" t="inlineStr">
        <is>
          <t>FY27</t>
        </is>
      </c>
      <c r="B1136" s="19" t="inlineStr">
        <is>
          <t>Apr</t>
        </is>
      </c>
      <c r="C1136" s="19" t="inlineStr">
        <is>
          <t>TN</t>
        </is>
      </c>
      <c r="D1136" s="20" t="inlineStr">
        <is>
          <t>TN07CQ3075</t>
        </is>
      </c>
      <c r="E1136" s="20" t="inlineStr">
        <is>
          <t>HYUNDAI</t>
        </is>
      </c>
      <c r="F1136" s="20" t="inlineStr">
        <is>
          <t>Creta</t>
        </is>
      </c>
      <c r="G1136" s="21" t="n">
        <v>2018</v>
      </c>
      <c r="H1136" s="22" t="n">
        <v>191734</v>
      </c>
      <c r="I1136" s="22" t="n">
        <v>550000</v>
      </c>
      <c r="J1136" s="20" t="inlineStr">
        <is>
          <t>EXCHANGE CHENNAI</t>
        </is>
      </c>
      <c r="K1136" s="20" t="inlineStr">
        <is>
          <t>Captive</t>
        </is>
      </c>
      <c r="L1136" s="20" t="inlineStr">
        <is>
          <t>Vijaya Cars</t>
        </is>
      </c>
      <c r="M1136" s="23" t="n">
        <v>8474.58</v>
      </c>
    </row>
    <row r="1137">
      <c r="A1137" s="19" t="inlineStr">
        <is>
          <t>FY27</t>
        </is>
      </c>
      <c r="B1137" s="19" t="inlineStr">
        <is>
          <t>Apr</t>
        </is>
      </c>
      <c r="C1137" s="19" t="inlineStr">
        <is>
          <t>TN</t>
        </is>
      </c>
      <c r="D1137" s="20" t="inlineStr">
        <is>
          <t>TN85C3881</t>
        </is>
      </c>
      <c r="E1137" s="20" t="inlineStr">
        <is>
          <t>HONDA</t>
        </is>
      </c>
      <c r="F1137" s="20" t="inlineStr">
        <is>
          <t>Jazz</t>
        </is>
      </c>
      <c r="G1137" s="21" t="n">
        <v>2016</v>
      </c>
      <c r="H1137" s="22" t="n">
        <v>201910</v>
      </c>
      <c r="I1137" s="22" t="n">
        <v>275000</v>
      </c>
      <c r="J1137" s="20" t="inlineStr">
        <is>
          <t>EXCHANGE CHENNAI</t>
        </is>
      </c>
      <c r="K1137" s="20" t="inlineStr">
        <is>
          <t>Captive</t>
        </is>
      </c>
      <c r="L1137" s="20" t="inlineStr">
        <is>
          <t>Senthil Cars</t>
        </is>
      </c>
      <c r="M1137" s="23" t="n">
        <v>8474.58</v>
      </c>
    </row>
    <row r="1138">
      <c r="A1138" s="19" t="inlineStr">
        <is>
          <t>FY27</t>
        </is>
      </c>
      <c r="B1138" s="19" t="inlineStr">
        <is>
          <t>Apr</t>
        </is>
      </c>
      <c r="C1138" s="19" t="inlineStr">
        <is>
          <t>TN</t>
        </is>
      </c>
      <c r="D1138" s="20" t="inlineStr">
        <is>
          <t>TN09AX3240</t>
        </is>
      </c>
      <c r="E1138" s="20" t="inlineStr">
        <is>
          <t>FORD</t>
        </is>
      </c>
      <c r="F1138" s="20" t="inlineStr">
        <is>
          <t>Fiesta</t>
        </is>
      </c>
      <c r="G1138" s="21" t="n">
        <v>2008</v>
      </c>
      <c r="H1138" s="22" t="n">
        <v>96243</v>
      </c>
      <c r="I1138" s="22" t="n">
        <v>60000</v>
      </c>
      <c r="J1138" s="20" t="inlineStr">
        <is>
          <t>EXCHANGE ROTN</t>
        </is>
      </c>
      <c r="K1138" s="20" t="inlineStr">
        <is>
          <t>Captive</t>
        </is>
      </c>
      <c r="L1138" s="20" t="inlineStr">
        <is>
          <t>Rajaganapathy Cars</t>
        </is>
      </c>
      <c r="M1138" s="23" t="n">
        <v>5084.75</v>
      </c>
    </row>
    <row r="1139">
      <c r="A1139" s="19" t="inlineStr">
        <is>
          <t>FY27</t>
        </is>
      </c>
      <c r="B1139" s="19" t="inlineStr">
        <is>
          <t>Apr</t>
        </is>
      </c>
      <c r="C1139" s="19" t="inlineStr">
        <is>
          <t>TN</t>
        </is>
      </c>
      <c r="D1139" s="20" t="inlineStr">
        <is>
          <t>TN38CZ6202</t>
        </is>
      </c>
      <c r="E1139" s="20" t="inlineStr">
        <is>
          <t>TATA</t>
        </is>
      </c>
      <c r="F1139" s="20" t="inlineStr">
        <is>
          <t>Nexon</t>
        </is>
      </c>
      <c r="G1139" s="21" t="n">
        <v>2021</v>
      </c>
      <c r="H1139" s="22" t="n">
        <v>40016</v>
      </c>
      <c r="I1139" s="22" t="n">
        <v>520000</v>
      </c>
      <c r="J1139" s="20" t="inlineStr">
        <is>
          <t>EXCHANGE ROTN</t>
        </is>
      </c>
      <c r="K1139" s="20" t="inlineStr">
        <is>
          <t>Captive</t>
        </is>
      </c>
      <c r="L1139" s="20" t="inlineStr">
        <is>
          <t>YUGA DHEERAN CARS</t>
        </is>
      </c>
      <c r="M1139" s="23" t="n">
        <v>8474.58</v>
      </c>
    </row>
    <row r="1140">
      <c r="A1140" s="19" t="inlineStr">
        <is>
          <t>FY27</t>
        </is>
      </c>
      <c r="B1140" s="19" t="inlineStr">
        <is>
          <t>Apr</t>
        </is>
      </c>
      <c r="C1140" s="19" t="inlineStr">
        <is>
          <t>TN</t>
        </is>
      </c>
      <c r="D1140" s="20" t="inlineStr">
        <is>
          <t>TN99AA2736</t>
        </is>
      </c>
      <c r="E1140" s="20" t="inlineStr">
        <is>
          <t>RENAULT</t>
        </is>
      </c>
      <c r="F1140" s="20" t="inlineStr">
        <is>
          <t>Kwid</t>
        </is>
      </c>
      <c r="G1140" s="21" t="n">
        <v>2023</v>
      </c>
      <c r="H1140" s="22" t="n">
        <v>15141</v>
      </c>
      <c r="I1140" s="22" t="n">
        <v>350000</v>
      </c>
      <c r="J1140" s="20" t="inlineStr">
        <is>
          <t>EXCHANGE ROTN</t>
        </is>
      </c>
      <c r="K1140" s="20" t="inlineStr">
        <is>
          <t>Captive</t>
        </is>
      </c>
      <c r="L1140" s="20" t="inlineStr">
        <is>
          <t>UZHAVAN ENTERPRISE</t>
        </is>
      </c>
      <c r="M1140" s="23" t="n">
        <v>12711.86</v>
      </c>
    </row>
    <row r="1141">
      <c r="A1141" s="19" t="inlineStr">
        <is>
          <t>FY27</t>
        </is>
      </c>
      <c r="B1141" s="19" t="inlineStr">
        <is>
          <t>Apr</t>
        </is>
      </c>
      <c r="C1141" s="19" t="inlineStr">
        <is>
          <t>TN</t>
        </is>
      </c>
      <c r="D1141" s="20" t="inlineStr">
        <is>
          <t>TN40AC7205</t>
        </is>
      </c>
      <c r="E1141" s="20" t="inlineStr">
        <is>
          <t>TATA</t>
        </is>
      </c>
      <c r="F1141" s="20" t="inlineStr">
        <is>
          <t>Nexon</t>
        </is>
      </c>
      <c r="G1141" s="21" t="n">
        <v>2023</v>
      </c>
      <c r="H1141" s="22" t="n">
        <v>85574</v>
      </c>
      <c r="I1141" s="22" t="n">
        <v>650000</v>
      </c>
      <c r="J1141" s="20" t="inlineStr">
        <is>
          <t>EXCHANGE ROTN</t>
        </is>
      </c>
      <c r="K1141" s="20" t="inlineStr">
        <is>
          <t>Captive</t>
        </is>
      </c>
      <c r="L1141" s="20" t="inlineStr">
        <is>
          <t>Auto Solution</t>
        </is>
      </c>
      <c r="M1141" s="23" t="n">
        <v>4237.29</v>
      </c>
    </row>
    <row r="1142">
      <c r="A1142" s="19" t="inlineStr">
        <is>
          <t>FY27</t>
        </is>
      </c>
      <c r="B1142" s="19" t="inlineStr">
        <is>
          <t>Apr</t>
        </is>
      </c>
      <c r="C1142" s="19" t="inlineStr">
        <is>
          <t>TN</t>
        </is>
      </c>
      <c r="D1142" s="20" t="inlineStr">
        <is>
          <t>TN10AD3344</t>
        </is>
      </c>
      <c r="E1142" s="20" t="inlineStr">
        <is>
          <t>NISSAN</t>
        </is>
      </c>
      <c r="F1142" s="20" t="inlineStr">
        <is>
          <t>Micra</t>
        </is>
      </c>
      <c r="G1142" s="21" t="n">
        <v>2011</v>
      </c>
      <c r="H1142" s="22" t="n">
        <v>22346</v>
      </c>
      <c r="I1142" s="22" t="n">
        <v>95000</v>
      </c>
      <c r="J1142" s="20" t="inlineStr">
        <is>
          <t>EXCHANGE ROTN</t>
        </is>
      </c>
      <c r="K1142" s="20" t="inlineStr">
        <is>
          <t>Captive</t>
        </is>
      </c>
      <c r="L1142" s="20" t="inlineStr">
        <is>
          <t>KAM Auto Conselting</t>
        </is>
      </c>
      <c r="M1142" s="23" t="n">
        <v>8474.58</v>
      </c>
    </row>
    <row r="1143">
      <c r="A1143" s="19" t="inlineStr">
        <is>
          <t>FY27</t>
        </is>
      </c>
      <c r="B1143" s="19" t="inlineStr">
        <is>
          <t>Apr</t>
        </is>
      </c>
      <c r="C1143" s="19" t="inlineStr">
        <is>
          <t>TN</t>
        </is>
      </c>
      <c r="D1143" s="20" t="inlineStr">
        <is>
          <t>TN63BP2846</t>
        </is>
      </c>
      <c r="E1143" s="20" t="inlineStr">
        <is>
          <t>MARUTI SUZUKI</t>
        </is>
      </c>
      <c r="F1143" s="20" t="inlineStr">
        <is>
          <t>S-Presso</t>
        </is>
      </c>
      <c r="G1143" s="21" t="n">
        <v>2022</v>
      </c>
      <c r="H1143" s="22" t="n">
        <v>59984</v>
      </c>
      <c r="I1143" s="22" t="n">
        <v>345000</v>
      </c>
      <c r="J1143" s="20" t="inlineStr">
        <is>
          <t>EXCHANGE ROTN</t>
        </is>
      </c>
      <c r="K1143" s="20" t="inlineStr">
        <is>
          <t>Captive</t>
        </is>
      </c>
      <c r="L1143" s="20" t="inlineStr">
        <is>
          <t>Gowtham Cars</t>
        </is>
      </c>
      <c r="M1143" s="23" t="n">
        <v>12711.86</v>
      </c>
    </row>
    <row r="1144">
      <c r="A1144" s="19" t="inlineStr">
        <is>
          <t>FY27</t>
        </is>
      </c>
      <c r="B1144" s="19" t="inlineStr">
        <is>
          <t>Apr</t>
        </is>
      </c>
      <c r="C1144" s="19" t="inlineStr">
        <is>
          <t>TN</t>
        </is>
      </c>
      <c r="D1144" s="20" t="inlineStr">
        <is>
          <t>TN22DF2610</t>
        </is>
      </c>
      <c r="E1144" s="20" t="inlineStr">
        <is>
          <t>MARUTI SUZUKI</t>
        </is>
      </c>
      <c r="F1144" s="20" t="inlineStr">
        <is>
          <t>Swift</t>
        </is>
      </c>
      <c r="G1144" s="21" t="n"/>
      <c r="H1144" s="22" t="n"/>
      <c r="I1144" s="22" t="n">
        <v>415000</v>
      </c>
      <c r="J1144" s="20" t="inlineStr">
        <is>
          <t>Khivraj Motor</t>
        </is>
      </c>
      <c r="K1144" s="20" t="inlineStr">
        <is>
          <t>Non-Captive</t>
        </is>
      </c>
      <c r="L1144" s="20" t="inlineStr">
        <is>
          <t>Cars 24</t>
        </is>
      </c>
      <c r="M1144" s="23" t="n">
        <v>7627.12</v>
      </c>
    </row>
    <row r="1145">
      <c r="A1145" s="19" t="inlineStr">
        <is>
          <t>FY27</t>
        </is>
      </c>
      <c r="B1145" s="19" t="inlineStr">
        <is>
          <t>Apr</t>
        </is>
      </c>
      <c r="C1145" s="19" t="inlineStr">
        <is>
          <t>TN</t>
        </is>
      </c>
      <c r="D1145" s="20" t="inlineStr">
        <is>
          <t>TN10AT3600</t>
        </is>
      </c>
      <c r="E1145" s="20" t="inlineStr">
        <is>
          <t>MARUTI SUZUKI</t>
        </is>
      </c>
      <c r="F1145" s="20" t="inlineStr">
        <is>
          <t>Swift Dzire</t>
        </is>
      </c>
      <c r="G1145" s="21" t="n"/>
      <c r="H1145" s="22" t="n"/>
      <c r="I1145" s="22" t="n">
        <v>372500</v>
      </c>
      <c r="J1145" s="20" t="inlineStr">
        <is>
          <t>CAR HUB</t>
        </is>
      </c>
      <c r="K1145" s="20" t="inlineStr">
        <is>
          <t>Non-Captive</t>
        </is>
      </c>
      <c r="L1145" s="20" t="inlineStr">
        <is>
          <t>Cars 24</t>
        </is>
      </c>
      <c r="M1145" s="23" t="n">
        <v>6355.93</v>
      </c>
    </row>
    <row r="1146">
      <c r="A1146" s="19" t="inlineStr">
        <is>
          <t>FY27</t>
        </is>
      </c>
      <c r="B1146" s="19" t="inlineStr">
        <is>
          <t>Apr</t>
        </is>
      </c>
      <c r="C1146" s="19" t="inlineStr">
        <is>
          <t>TN</t>
        </is>
      </c>
      <c r="D1146" s="20" t="inlineStr">
        <is>
          <t>TN68E6826</t>
        </is>
      </c>
      <c r="E1146" s="20" t="inlineStr">
        <is>
          <t>VOLKSWAGEN</t>
        </is>
      </c>
      <c r="F1146" s="20" t="inlineStr">
        <is>
          <t>Polo</t>
        </is>
      </c>
      <c r="G1146" s="21" t="n"/>
      <c r="H1146" s="22" t="n"/>
      <c r="I1146" s="22" t="n">
        <v>185000</v>
      </c>
      <c r="J1146" s="20" t="inlineStr">
        <is>
          <t>Khivraj Motor</t>
        </is>
      </c>
      <c r="K1146" s="20" t="inlineStr">
        <is>
          <t>Non-Captive</t>
        </is>
      </c>
      <c r="L1146" s="20" t="inlineStr">
        <is>
          <t>Somasundharam cars</t>
        </is>
      </c>
      <c r="M1146" s="23" t="n">
        <v>5084.75</v>
      </c>
    </row>
    <row r="1147">
      <c r="A1147" s="19" t="inlineStr">
        <is>
          <t>FY27</t>
        </is>
      </c>
      <c r="B1147" s="19" t="inlineStr">
        <is>
          <t>Apr</t>
        </is>
      </c>
      <c r="C1147" s="19" t="inlineStr">
        <is>
          <t>TN</t>
        </is>
      </c>
      <c r="D1147" s="20" t="inlineStr">
        <is>
          <t>TN05AJ3436</t>
        </is>
      </c>
      <c r="E1147" s="20" t="inlineStr">
        <is>
          <t>MARUTI SUZUKI</t>
        </is>
      </c>
      <c r="F1147" s="20" t="inlineStr">
        <is>
          <t>Swift Dzire</t>
        </is>
      </c>
      <c r="G1147" s="21" t="n">
        <v>2011</v>
      </c>
      <c r="H1147" s="22" t="n">
        <v>98393</v>
      </c>
      <c r="I1147" s="22" t="n">
        <v>165000</v>
      </c>
      <c r="J1147" s="20" t="inlineStr">
        <is>
          <t>Khivraj Motor</t>
        </is>
      </c>
      <c r="K1147" s="20" t="inlineStr">
        <is>
          <t>Non-Captive</t>
        </is>
      </c>
      <c r="L1147" s="20" t="inlineStr">
        <is>
          <t>S2 Cars</t>
        </is>
      </c>
      <c r="M1147" s="23" t="n">
        <v>5084.75</v>
      </c>
    </row>
    <row r="1148">
      <c r="A1148" s="19" t="inlineStr">
        <is>
          <t>FY27</t>
        </is>
      </c>
      <c r="B1148" s="19" t="inlineStr">
        <is>
          <t>Apr</t>
        </is>
      </c>
      <c r="C1148" s="19" t="inlineStr">
        <is>
          <t>TN</t>
        </is>
      </c>
      <c r="D1148" s="20" t="inlineStr">
        <is>
          <t>TN09BV1752</t>
        </is>
      </c>
      <c r="E1148" s="20" t="inlineStr">
        <is>
          <t>FORD</t>
        </is>
      </c>
      <c r="F1148" s="20" t="inlineStr">
        <is>
          <t>Fiesta Classic</t>
        </is>
      </c>
      <c r="G1148" s="21" t="n">
        <v>2013</v>
      </c>
      <c r="H1148" s="22" t="n">
        <v>120145</v>
      </c>
      <c r="I1148" s="22" t="n">
        <v>120000</v>
      </c>
      <c r="J1148" s="20" t="inlineStr">
        <is>
          <t>Khivraj Motor</t>
        </is>
      </c>
      <c r="K1148" s="20" t="inlineStr">
        <is>
          <t>Non-Captive</t>
        </is>
      </c>
      <c r="L1148" s="20" t="inlineStr">
        <is>
          <t>car Hub</t>
        </is>
      </c>
      <c r="M1148" s="23" t="n">
        <v>5084.75</v>
      </c>
    </row>
    <row r="1149">
      <c r="A1149" s="19" t="inlineStr">
        <is>
          <t>FY27</t>
        </is>
      </c>
      <c r="B1149" s="19" t="inlineStr">
        <is>
          <t>Apr</t>
        </is>
      </c>
      <c r="C1149" s="19" t="inlineStr">
        <is>
          <t>TN</t>
        </is>
      </c>
      <c r="D1149" s="20" t="inlineStr">
        <is>
          <t>TN09BM3593</t>
        </is>
      </c>
      <c r="E1149" s="20" t="inlineStr">
        <is>
          <t>MARUTI SUZUKI</t>
        </is>
      </c>
      <c r="F1149" s="20" t="inlineStr">
        <is>
          <t>Alto K10</t>
        </is>
      </c>
      <c r="G1149" s="21" t="n">
        <v>2012</v>
      </c>
      <c r="H1149" s="22" t="n">
        <v>19726</v>
      </c>
      <c r="I1149" s="22" t="n">
        <v>179000</v>
      </c>
      <c r="J1149" s="20" t="inlineStr">
        <is>
          <t>Khivraj Motor</t>
        </is>
      </c>
      <c r="K1149" s="20" t="inlineStr">
        <is>
          <t>Non-Captive</t>
        </is>
      </c>
      <c r="L1149" s="20" t="inlineStr">
        <is>
          <t>Maruthi Industries</t>
        </is>
      </c>
      <c r="M1149" s="23" t="n">
        <v>5084.75</v>
      </c>
    </row>
    <row r="1150">
      <c r="A1150" s="19" t="inlineStr">
        <is>
          <t>FY27</t>
        </is>
      </c>
      <c r="B1150" s="19" t="inlineStr">
        <is>
          <t>Apr</t>
        </is>
      </c>
      <c r="C1150" s="19" t="inlineStr">
        <is>
          <t>TN</t>
        </is>
      </c>
      <c r="D1150" s="20" t="inlineStr">
        <is>
          <t>TN02BR3522</t>
        </is>
      </c>
      <c r="E1150" s="20" t="inlineStr">
        <is>
          <t>MARUTI SUZUKI</t>
        </is>
      </c>
      <c r="F1150" s="20" t="inlineStr">
        <is>
          <t>Swift</t>
        </is>
      </c>
      <c r="G1150" s="21" t="n">
        <v>2019</v>
      </c>
      <c r="H1150" s="22" t="n">
        <v>73359</v>
      </c>
      <c r="I1150" s="22" t="n">
        <v>450000</v>
      </c>
      <c r="J1150" s="20" t="inlineStr">
        <is>
          <t>Khivraj Motor</t>
        </is>
      </c>
      <c r="K1150" s="20" t="inlineStr">
        <is>
          <t>Non-Captive</t>
        </is>
      </c>
      <c r="L1150" s="20" t="inlineStr">
        <is>
          <t>Santhosh Cars</t>
        </is>
      </c>
      <c r="M1150" s="23" t="n">
        <v>7627.12</v>
      </c>
    </row>
    <row r="1151">
      <c r="A1151" s="19" t="inlineStr">
        <is>
          <t>FY27</t>
        </is>
      </c>
      <c r="B1151" s="19" t="inlineStr">
        <is>
          <t>Apr</t>
        </is>
      </c>
      <c r="C1151" s="19" t="inlineStr">
        <is>
          <t>TN</t>
        </is>
      </c>
      <c r="D1151" s="20" t="inlineStr">
        <is>
          <t>TN70AC3714</t>
        </is>
      </c>
      <c r="E1151" s="20" t="inlineStr">
        <is>
          <t>HONDA</t>
        </is>
      </c>
      <c r="F1151" s="20" t="inlineStr">
        <is>
          <t>Amaze</t>
        </is>
      </c>
      <c r="G1151" s="21" t="n">
        <v>2019</v>
      </c>
      <c r="H1151" s="22" t="n">
        <v>78064</v>
      </c>
      <c r="I1151" s="22" t="n">
        <v>490000</v>
      </c>
      <c r="J1151" s="20" t="inlineStr">
        <is>
          <t>EXCHANGE ROTN</t>
        </is>
      </c>
      <c r="K1151" s="20" t="inlineStr">
        <is>
          <t>Captive</t>
        </is>
      </c>
      <c r="L1151" s="20" t="inlineStr">
        <is>
          <t>Ashwin cars</t>
        </is>
      </c>
      <c r="M1151" s="23" t="n">
        <v>12711.86</v>
      </c>
    </row>
    <row r="1152">
      <c r="A1152" s="19" t="inlineStr">
        <is>
          <t>FY27</t>
        </is>
      </c>
      <c r="B1152" s="19" t="inlineStr">
        <is>
          <t>Apr</t>
        </is>
      </c>
      <c r="C1152" s="19" t="inlineStr">
        <is>
          <t>TN</t>
        </is>
      </c>
      <c r="D1152" s="20" t="inlineStr">
        <is>
          <t>TN09CD2831</t>
        </is>
      </c>
      <c r="E1152" s="20" t="inlineStr">
        <is>
          <t>HONDA</t>
        </is>
      </c>
      <c r="F1152" s="20" t="inlineStr">
        <is>
          <t>City</t>
        </is>
      </c>
      <c r="G1152" s="21" t="n">
        <v>2016</v>
      </c>
      <c r="H1152" s="22" t="n">
        <v>63503</v>
      </c>
      <c r="I1152" s="22" t="n">
        <v>325000</v>
      </c>
      <c r="J1152" s="20" t="inlineStr">
        <is>
          <t>EXCHANGE CHENNAI</t>
        </is>
      </c>
      <c r="K1152" s="20" t="inlineStr">
        <is>
          <t>Captive</t>
        </is>
      </c>
      <c r="L1152" s="20" t="inlineStr">
        <is>
          <t>Santhosh Cars</t>
        </is>
      </c>
      <c r="M1152" s="23" t="n">
        <v>8474.58</v>
      </c>
    </row>
    <row r="1153">
      <c r="A1153" s="19" t="inlineStr">
        <is>
          <t>FY27</t>
        </is>
      </c>
      <c r="B1153" s="19" t="inlineStr">
        <is>
          <t>Apr</t>
        </is>
      </c>
      <c r="C1153" s="19" t="inlineStr">
        <is>
          <t>TN</t>
        </is>
      </c>
      <c r="D1153" s="20" t="inlineStr">
        <is>
          <t>TN75C2300</t>
        </is>
      </c>
      <c r="E1153" s="20" t="inlineStr">
        <is>
          <t>HONDA</t>
        </is>
      </c>
      <c r="F1153" s="20" t="inlineStr">
        <is>
          <t>City</t>
        </is>
      </c>
      <c r="G1153" s="21" t="n">
        <v>2011</v>
      </c>
      <c r="H1153" s="22" t="n">
        <v>9864</v>
      </c>
      <c r="I1153" s="22" t="n">
        <v>300000</v>
      </c>
      <c r="J1153" s="20" t="inlineStr">
        <is>
          <t>EXCHANGE CHENNAI</t>
        </is>
      </c>
      <c r="K1153" s="20" t="inlineStr">
        <is>
          <t>Captive</t>
        </is>
      </c>
      <c r="L1153" s="20" t="inlineStr">
        <is>
          <t>Santhosh Cars</t>
        </is>
      </c>
      <c r="M1153" s="23" t="n">
        <v>8474.58</v>
      </c>
    </row>
    <row r="1154">
      <c r="A1154" s="19" t="inlineStr">
        <is>
          <t>FY27</t>
        </is>
      </c>
      <c r="B1154" s="19" t="inlineStr">
        <is>
          <t>Apr</t>
        </is>
      </c>
      <c r="C1154" s="19" t="inlineStr">
        <is>
          <t>TN</t>
        </is>
      </c>
      <c r="D1154" s="20" t="inlineStr">
        <is>
          <t>TN06X9121</t>
        </is>
      </c>
      <c r="E1154" s="20" t="inlineStr">
        <is>
          <t>HYUNDAI</t>
        </is>
      </c>
      <c r="F1154" s="20" t="inlineStr">
        <is>
          <t>Creta</t>
        </is>
      </c>
      <c r="G1154" s="21" t="n">
        <v>2019</v>
      </c>
      <c r="H1154" s="22" t="n">
        <v>52476</v>
      </c>
      <c r="I1154" s="22" t="n">
        <v>700000</v>
      </c>
      <c r="J1154" s="20" t="inlineStr">
        <is>
          <t>EXCHANGE CHENNAI</t>
        </is>
      </c>
      <c r="K1154" s="20" t="inlineStr">
        <is>
          <t>Captive</t>
        </is>
      </c>
      <c r="L1154" s="20" t="inlineStr">
        <is>
          <t>Santhosh Cars</t>
        </is>
      </c>
      <c r="M1154" s="23" t="n">
        <v>8474.58</v>
      </c>
    </row>
    <row r="1155">
      <c r="A1155" s="19" t="inlineStr">
        <is>
          <t>FY27</t>
        </is>
      </c>
      <c r="B1155" s="19" t="inlineStr">
        <is>
          <t>Apr</t>
        </is>
      </c>
      <c r="C1155" s="19" t="inlineStr">
        <is>
          <t>TN</t>
        </is>
      </c>
      <c r="D1155" s="20" t="inlineStr">
        <is>
          <t>TN07CT0547</t>
        </is>
      </c>
      <c r="E1155" s="20" t="inlineStr">
        <is>
          <t>MAHINDRA</t>
        </is>
      </c>
      <c r="F1155" s="20" t="inlineStr">
        <is>
          <t>Xuv500</t>
        </is>
      </c>
      <c r="G1155" s="21" t="n">
        <v>2019</v>
      </c>
      <c r="H1155" s="22" t="n">
        <v>79642</v>
      </c>
      <c r="I1155" s="22" t="n">
        <v>975000</v>
      </c>
      <c r="J1155" s="20" t="inlineStr">
        <is>
          <t>EXCHANGE CHENNAI</t>
        </is>
      </c>
      <c r="K1155" s="20" t="inlineStr">
        <is>
          <t>Captive</t>
        </is>
      </c>
      <c r="L1155" s="20" t="inlineStr">
        <is>
          <t>Thiya Cars</t>
        </is>
      </c>
      <c r="M1155" s="23" t="n">
        <v>12711.86</v>
      </c>
    </row>
    <row r="1156">
      <c r="A1156" s="19" t="inlineStr">
        <is>
          <t>FY27</t>
        </is>
      </c>
      <c r="B1156" s="19" t="inlineStr">
        <is>
          <t>Apr</t>
        </is>
      </c>
      <c r="C1156" s="19" t="inlineStr">
        <is>
          <t>TN</t>
        </is>
      </c>
      <c r="D1156" s="20" t="inlineStr">
        <is>
          <t>TN10Y2433</t>
        </is>
      </c>
      <c r="E1156" s="20" t="inlineStr">
        <is>
          <t>MARUTI SUZUKI</t>
        </is>
      </c>
      <c r="F1156" s="20" t="inlineStr">
        <is>
          <t>Swift</t>
        </is>
      </c>
      <c r="G1156" s="21" t="n">
        <v>2009</v>
      </c>
      <c r="H1156" s="22" t="n">
        <v>30728</v>
      </c>
      <c r="I1156" s="22" t="n">
        <v>200000</v>
      </c>
      <c r="J1156" s="20" t="inlineStr">
        <is>
          <t>EXCHANGE CHENNAI</t>
        </is>
      </c>
      <c r="K1156" s="20" t="inlineStr">
        <is>
          <t>Captive</t>
        </is>
      </c>
      <c r="L1156" s="20" t="inlineStr">
        <is>
          <t>Nirmal Cars</t>
        </is>
      </c>
      <c r="M1156" s="23" t="n">
        <v>8474.58</v>
      </c>
    </row>
    <row r="1157">
      <c r="A1157" s="19" t="inlineStr">
        <is>
          <t>FY27</t>
        </is>
      </c>
      <c r="B1157" s="19" t="inlineStr">
        <is>
          <t>Apr</t>
        </is>
      </c>
      <c r="C1157" s="19" t="inlineStr">
        <is>
          <t>TN</t>
        </is>
      </c>
      <c r="D1157" s="20" t="inlineStr">
        <is>
          <t>TN05AE3483</t>
        </is>
      </c>
      <c r="E1157" s="20" t="inlineStr">
        <is>
          <t>MARUTI SUZUKI</t>
        </is>
      </c>
      <c r="F1157" s="20" t="inlineStr">
        <is>
          <t>Wagon R</t>
        </is>
      </c>
      <c r="G1157" s="21" t="n">
        <v>2010</v>
      </c>
      <c r="H1157" s="22" t="n">
        <v>78675</v>
      </c>
      <c r="I1157" s="22" t="n">
        <v>200000</v>
      </c>
      <c r="J1157" s="20" t="inlineStr">
        <is>
          <t>EXCHANGE CHENNAI</t>
        </is>
      </c>
      <c r="K1157" s="20" t="inlineStr">
        <is>
          <t>Captive</t>
        </is>
      </c>
      <c r="L1157" s="20" t="inlineStr">
        <is>
          <t>Pine Autos</t>
        </is>
      </c>
      <c r="M1157" s="23" t="n">
        <v>4237.29</v>
      </c>
    </row>
    <row r="1158">
      <c r="A1158" s="19" t="inlineStr">
        <is>
          <t>FY27</t>
        </is>
      </c>
      <c r="B1158" s="19" t="inlineStr">
        <is>
          <t>Apr</t>
        </is>
      </c>
      <c r="C1158" s="19" t="inlineStr">
        <is>
          <t>TN</t>
        </is>
      </c>
      <c r="D1158" s="20" t="inlineStr">
        <is>
          <t>TN22DE5357</t>
        </is>
      </c>
      <c r="E1158" s="20" t="inlineStr">
        <is>
          <t>HYUNDAI</t>
        </is>
      </c>
      <c r="F1158" s="20" t="inlineStr">
        <is>
          <t>Grand I10</t>
        </is>
      </c>
      <c r="G1158" s="21" t="n">
        <v>2016</v>
      </c>
      <c r="H1158" s="22" t="n">
        <v>120000</v>
      </c>
      <c r="I1158" s="22" t="n">
        <v>300000</v>
      </c>
      <c r="J1158" s="20" t="inlineStr">
        <is>
          <t>EXCHANGE CHENNAI</t>
        </is>
      </c>
      <c r="K1158" s="20" t="inlineStr">
        <is>
          <t>Captive</t>
        </is>
      </c>
      <c r="L1158" s="20" t="inlineStr">
        <is>
          <t>Balakrishnan</t>
        </is>
      </c>
      <c r="M1158" s="23" t="n">
        <v>7033.9</v>
      </c>
    </row>
    <row r="1159">
      <c r="A1159" s="19" t="inlineStr">
        <is>
          <t>FY27</t>
        </is>
      </c>
      <c r="B1159" s="19" t="inlineStr">
        <is>
          <t>Apr</t>
        </is>
      </c>
      <c r="C1159" s="19" t="inlineStr">
        <is>
          <t>TN</t>
        </is>
      </c>
      <c r="D1159" s="20" t="inlineStr">
        <is>
          <t>TN01BE2417</t>
        </is>
      </c>
      <c r="E1159" s="20" t="inlineStr">
        <is>
          <t>HONDA</t>
        </is>
      </c>
      <c r="F1159" s="20" t="inlineStr">
        <is>
          <t>Wr-V</t>
        </is>
      </c>
      <c r="G1159" s="21" t="n">
        <v>2018</v>
      </c>
      <c r="H1159" s="22" t="n">
        <v>15020</v>
      </c>
      <c r="I1159" s="22" t="n">
        <v>475000</v>
      </c>
      <c r="J1159" s="20" t="inlineStr">
        <is>
          <t>EXCHANGE CHENNAI</t>
        </is>
      </c>
      <c r="K1159" s="20" t="inlineStr">
        <is>
          <t>Captive</t>
        </is>
      </c>
      <c r="L1159" s="20" t="inlineStr">
        <is>
          <t>Varadhrajan cars</t>
        </is>
      </c>
      <c r="M1159" s="23" t="n">
        <v>12711.86</v>
      </c>
    </row>
    <row r="1160">
      <c r="A1160" s="19" t="inlineStr">
        <is>
          <t>FY27</t>
        </is>
      </c>
      <c r="B1160" s="19" t="inlineStr">
        <is>
          <t>Apr</t>
        </is>
      </c>
      <c r="C1160" s="19" t="inlineStr">
        <is>
          <t>TN</t>
        </is>
      </c>
      <c r="D1160" s="20" t="inlineStr">
        <is>
          <t>TN13C6606</t>
        </is>
      </c>
      <c r="E1160" s="20" t="inlineStr">
        <is>
          <t>MARUTI SUZUKI</t>
        </is>
      </c>
      <c r="F1160" s="20" t="inlineStr">
        <is>
          <t>Wagon R</t>
        </is>
      </c>
      <c r="G1160" s="21" t="n">
        <v>2015</v>
      </c>
      <c r="H1160" s="22" t="n">
        <v>19740</v>
      </c>
      <c r="I1160" s="22" t="n">
        <v>200000</v>
      </c>
      <c r="J1160" s="20" t="inlineStr">
        <is>
          <t>EXCHANGE CHENNAI</t>
        </is>
      </c>
      <c r="K1160" s="20" t="inlineStr">
        <is>
          <t>Captive</t>
        </is>
      </c>
      <c r="L1160" s="20" t="inlineStr">
        <is>
          <t>Santhosh Cars</t>
        </is>
      </c>
      <c r="M1160" s="23" t="n">
        <v>8474.58</v>
      </c>
    </row>
    <row r="1161">
      <c r="A1161" s="19" t="inlineStr">
        <is>
          <t>FY27</t>
        </is>
      </c>
      <c r="B1161" s="19" t="inlineStr">
        <is>
          <t>Apr</t>
        </is>
      </c>
      <c r="C1161" s="19" t="inlineStr">
        <is>
          <t>TN</t>
        </is>
      </c>
      <c r="D1161" s="20" t="inlineStr">
        <is>
          <t>TN02BT1521</t>
        </is>
      </c>
      <c r="E1161" s="20" t="inlineStr">
        <is>
          <t>HYUNDAI</t>
        </is>
      </c>
      <c r="F1161" s="20" t="inlineStr">
        <is>
          <t>I20</t>
        </is>
      </c>
      <c r="G1161" s="21" t="n">
        <v>2020</v>
      </c>
      <c r="H1161" s="22" t="n">
        <v>13535</v>
      </c>
      <c r="I1161" s="22" t="n">
        <v>530000</v>
      </c>
      <c r="J1161" s="20" t="inlineStr">
        <is>
          <t>EXCHANGE CHENNAI</t>
        </is>
      </c>
      <c r="K1161" s="20" t="inlineStr">
        <is>
          <t>Captive</t>
        </is>
      </c>
      <c r="L1161" s="20" t="inlineStr">
        <is>
          <t>Grid 33</t>
        </is>
      </c>
      <c r="M1161" s="23" t="n">
        <v>8474.58</v>
      </c>
    </row>
    <row r="1162">
      <c r="A1162" s="19" t="inlineStr">
        <is>
          <t>FY27</t>
        </is>
      </c>
      <c r="B1162" s="19" t="inlineStr">
        <is>
          <t>Apr</t>
        </is>
      </c>
      <c r="C1162" s="19" t="inlineStr">
        <is>
          <t>TN</t>
        </is>
      </c>
      <c r="D1162" s="20" t="inlineStr">
        <is>
          <t>TN07CR2516</t>
        </is>
      </c>
      <c r="E1162" s="20" t="inlineStr">
        <is>
          <t>HONDA</t>
        </is>
      </c>
      <c r="F1162" s="20" t="inlineStr">
        <is>
          <t>Jazz</t>
        </is>
      </c>
      <c r="G1162" s="21" t="n">
        <v>2018</v>
      </c>
      <c r="H1162" s="22" t="n">
        <v>23649</v>
      </c>
      <c r="I1162" s="22" t="n">
        <v>500000</v>
      </c>
      <c r="J1162" s="20" t="inlineStr">
        <is>
          <t>EXCHANGE CHENNAI</t>
        </is>
      </c>
      <c r="K1162" s="20" t="inlineStr">
        <is>
          <t>Captive</t>
        </is>
      </c>
      <c r="L1162" s="20" t="inlineStr">
        <is>
          <t>Nirmal Cars</t>
        </is>
      </c>
      <c r="M1162" s="23" t="n">
        <v>6101.69</v>
      </c>
    </row>
    <row r="1163">
      <c r="A1163" s="19" t="inlineStr">
        <is>
          <t>FY27</t>
        </is>
      </c>
      <c r="B1163" s="19" t="inlineStr">
        <is>
          <t>Apr</t>
        </is>
      </c>
      <c r="C1163" s="19" t="inlineStr">
        <is>
          <t>TN</t>
        </is>
      </c>
      <c r="D1163" s="20" t="inlineStr">
        <is>
          <t>TN07CP6271</t>
        </is>
      </c>
      <c r="E1163" s="20" t="inlineStr">
        <is>
          <t>HONDA</t>
        </is>
      </c>
      <c r="F1163" s="20" t="inlineStr">
        <is>
          <t>Jazz</t>
        </is>
      </c>
      <c r="G1163" s="21" t="n">
        <v>2018</v>
      </c>
      <c r="H1163" s="22" t="n">
        <v>39473</v>
      </c>
      <c r="I1163" s="22" t="n">
        <v>430000</v>
      </c>
      <c r="J1163" s="20" t="inlineStr">
        <is>
          <t>EXCHANGE CHENNAI</t>
        </is>
      </c>
      <c r="K1163" s="20" t="inlineStr">
        <is>
          <t>Captive</t>
        </is>
      </c>
      <c r="L1163" s="20" t="inlineStr">
        <is>
          <t>Nirmal Cars</t>
        </is>
      </c>
      <c r="M1163" s="23" t="n">
        <v>8474.58</v>
      </c>
    </row>
    <row r="1164">
      <c r="A1164" s="19" t="inlineStr">
        <is>
          <t>FY27</t>
        </is>
      </c>
      <c r="B1164" s="19" t="inlineStr">
        <is>
          <t>Apr</t>
        </is>
      </c>
      <c r="C1164" s="19" t="inlineStr">
        <is>
          <t>TN</t>
        </is>
      </c>
      <c r="D1164" s="20" t="inlineStr">
        <is>
          <t>TN22CY1057</t>
        </is>
      </c>
      <c r="E1164" s="20" t="inlineStr">
        <is>
          <t>HONDA</t>
        </is>
      </c>
      <c r="F1164" s="20" t="inlineStr">
        <is>
          <t>City</t>
        </is>
      </c>
      <c r="G1164" s="21" t="n">
        <v>2011</v>
      </c>
      <c r="H1164" s="22" t="n">
        <v>36303</v>
      </c>
      <c r="I1164" s="22" t="n">
        <v>150000</v>
      </c>
      <c r="J1164" s="20" t="inlineStr">
        <is>
          <t>EXCHANGE CHENNAI</t>
        </is>
      </c>
      <c r="K1164" s="20" t="inlineStr">
        <is>
          <t>Captive</t>
        </is>
      </c>
      <c r="L1164" s="20" t="inlineStr">
        <is>
          <t>Santhosh Cars</t>
        </is>
      </c>
      <c r="M1164" s="23" t="n">
        <v>8474.58</v>
      </c>
    </row>
    <row r="1165">
      <c r="A1165" s="19" t="inlineStr">
        <is>
          <t>FY27</t>
        </is>
      </c>
      <c r="B1165" s="19" t="inlineStr">
        <is>
          <t>Apr</t>
        </is>
      </c>
      <c r="C1165" s="19" t="inlineStr">
        <is>
          <t>TN</t>
        </is>
      </c>
      <c r="D1165" s="20" t="inlineStr">
        <is>
          <t>PY01AA6923</t>
        </is>
      </c>
      <c r="E1165" s="20" t="inlineStr">
        <is>
          <t>MARUTI SUZUKI</t>
        </is>
      </c>
      <c r="F1165" s="20" t="inlineStr">
        <is>
          <t>Zen</t>
        </is>
      </c>
      <c r="G1165" s="21" t="n">
        <v>2005</v>
      </c>
      <c r="H1165" s="22" t="n">
        <v>36174</v>
      </c>
      <c r="I1165" s="22" t="n">
        <v>45000</v>
      </c>
      <c r="J1165" s="20" t="inlineStr">
        <is>
          <t>EXCHANGE CHENNAI</t>
        </is>
      </c>
      <c r="K1165" s="20" t="inlineStr">
        <is>
          <t>Captive</t>
        </is>
      </c>
      <c r="L1165" s="20" t="inlineStr">
        <is>
          <t>Ashok Cars</t>
        </is>
      </c>
      <c r="M1165" s="23" t="n">
        <v>4237.29</v>
      </c>
    </row>
    <row r="1166">
      <c r="A1166" s="19" t="inlineStr">
        <is>
          <t>FY27</t>
        </is>
      </c>
      <c r="B1166" s="19" t="inlineStr">
        <is>
          <t>Apr</t>
        </is>
      </c>
      <c r="C1166" s="19" t="inlineStr">
        <is>
          <t>TN</t>
        </is>
      </c>
      <c r="D1166" s="20" t="inlineStr">
        <is>
          <t>TN66AS6954</t>
        </is>
      </c>
      <c r="E1166" s="20" t="inlineStr">
        <is>
          <t>MARUTI SUZUKI</t>
        </is>
      </c>
      <c r="F1166" s="20" t="inlineStr">
        <is>
          <t>Swift</t>
        </is>
      </c>
      <c r="G1166" s="21" t="n">
        <v>2024</v>
      </c>
      <c r="H1166" s="22" t="n">
        <v>11144</v>
      </c>
      <c r="I1166" s="22" t="n">
        <v>550000</v>
      </c>
      <c r="J1166" s="20" t="inlineStr">
        <is>
          <t>EXCHANGE ROTN</t>
        </is>
      </c>
      <c r="K1166" s="20" t="inlineStr">
        <is>
          <t>Captive</t>
        </is>
      </c>
      <c r="L1166" s="20" t="inlineStr">
        <is>
          <t>YUGA DHEERAN CARS</t>
        </is>
      </c>
      <c r="M1166" s="23" t="n">
        <v>12711.86</v>
      </c>
    </row>
    <row r="1167">
      <c r="A1167" s="19" t="inlineStr">
        <is>
          <t>FY27</t>
        </is>
      </c>
      <c r="B1167" s="19" t="inlineStr">
        <is>
          <t>Apr</t>
        </is>
      </c>
      <c r="C1167" s="19" t="inlineStr">
        <is>
          <t>TN</t>
        </is>
      </c>
      <c r="D1167" s="20" t="inlineStr">
        <is>
          <t>TN38CY3603</t>
        </is>
      </c>
      <c r="E1167" s="20" t="inlineStr">
        <is>
          <t>MARUTI SUZUKI</t>
        </is>
      </c>
      <c r="F1167" s="20" t="inlineStr">
        <is>
          <t>Alto</t>
        </is>
      </c>
      <c r="G1167" s="21" t="n">
        <v>2021</v>
      </c>
      <c r="H1167" s="22" t="n">
        <v>40966</v>
      </c>
      <c r="I1167" s="22" t="n">
        <v>275000</v>
      </c>
      <c r="J1167" s="20" t="inlineStr">
        <is>
          <t>EXCHANGE ROTN</t>
        </is>
      </c>
      <c r="K1167" s="20" t="inlineStr">
        <is>
          <t>Captive</t>
        </is>
      </c>
      <c r="L1167" s="20" t="inlineStr">
        <is>
          <t>Gugha Cars</t>
        </is>
      </c>
      <c r="M1167" s="23" t="n">
        <v>12711.86</v>
      </c>
    </row>
    <row r="1168">
      <c r="A1168" s="19" t="inlineStr">
        <is>
          <t>FY27</t>
        </is>
      </c>
      <c r="B1168" s="19" t="inlineStr">
        <is>
          <t>Apr</t>
        </is>
      </c>
      <c r="C1168" s="19" t="inlineStr">
        <is>
          <t>TN</t>
        </is>
      </c>
      <c r="D1168" s="20" t="inlineStr">
        <is>
          <t>TN66S9487</t>
        </is>
      </c>
      <c r="E1168" s="20" t="inlineStr">
        <is>
          <t>HYUNDAI</t>
        </is>
      </c>
      <c r="F1168" s="20" t="inlineStr">
        <is>
          <t>I20</t>
        </is>
      </c>
      <c r="G1168" s="21" t="n">
        <v>2016</v>
      </c>
      <c r="H1168" s="22" t="n">
        <v>116182</v>
      </c>
      <c r="I1168" s="22" t="n">
        <v>425000</v>
      </c>
      <c r="J1168" s="20" t="inlineStr">
        <is>
          <t>EXCHANGE ROTN</t>
        </is>
      </c>
      <c r="K1168" s="20" t="inlineStr">
        <is>
          <t>Captive</t>
        </is>
      </c>
      <c r="L1168" s="20" t="inlineStr">
        <is>
          <t>Auto Solution</t>
        </is>
      </c>
      <c r="M1168" s="23" t="n">
        <v>12711.86</v>
      </c>
    </row>
    <row r="1169">
      <c r="A1169" s="19" t="inlineStr">
        <is>
          <t>FY27</t>
        </is>
      </c>
      <c r="B1169" s="19" t="inlineStr">
        <is>
          <t>Apr</t>
        </is>
      </c>
      <c r="C1169" s="19" t="inlineStr">
        <is>
          <t>TN</t>
        </is>
      </c>
      <c r="D1169" s="20" t="inlineStr">
        <is>
          <t>TN09AP9946</t>
        </is>
      </c>
      <c r="E1169" s="20" t="inlineStr">
        <is>
          <t>MARUTI SUZUKI</t>
        </is>
      </c>
      <c r="F1169" s="20" t="inlineStr">
        <is>
          <t>Swift</t>
        </is>
      </c>
      <c r="G1169" s="21" t="n">
        <v>2006</v>
      </c>
      <c r="H1169" s="22" t="n">
        <v>119735</v>
      </c>
      <c r="I1169" s="22" t="n">
        <v>58000</v>
      </c>
      <c r="J1169" s="20" t="inlineStr">
        <is>
          <t>EXCHANGE ROTN</t>
        </is>
      </c>
      <c r="K1169" s="20" t="inlineStr">
        <is>
          <t>Captive</t>
        </is>
      </c>
      <c r="L1169" s="20" t="inlineStr">
        <is>
          <t>Dheera Cars</t>
        </is>
      </c>
      <c r="M1169" s="23" t="n">
        <v>4237.29</v>
      </c>
    </row>
    <row r="1170">
      <c r="A1170" s="19" t="inlineStr">
        <is>
          <t>FY27</t>
        </is>
      </c>
      <c r="B1170" s="19" t="inlineStr">
        <is>
          <t>Apr</t>
        </is>
      </c>
      <c r="C1170" s="19" t="inlineStr">
        <is>
          <t>TN</t>
        </is>
      </c>
      <c r="D1170" s="20" t="inlineStr">
        <is>
          <t>TN38BQ5942</t>
        </is>
      </c>
      <c r="E1170" s="20" t="inlineStr">
        <is>
          <t>HONDA</t>
        </is>
      </c>
      <c r="F1170" s="20" t="inlineStr">
        <is>
          <t>Jazz</t>
        </is>
      </c>
      <c r="G1170" s="21" t="n">
        <v>2012</v>
      </c>
      <c r="H1170" s="22" t="n">
        <v>122116</v>
      </c>
      <c r="I1170" s="22" t="n">
        <v>230000</v>
      </c>
      <c r="J1170" s="20" t="inlineStr">
        <is>
          <t>EXCHANGE ROTN</t>
        </is>
      </c>
      <c r="K1170" s="20" t="inlineStr">
        <is>
          <t>Captive</t>
        </is>
      </c>
      <c r="L1170" s="20" t="inlineStr">
        <is>
          <t>Dheera Cars</t>
        </is>
      </c>
      <c r="M1170" s="23" t="n">
        <v>8474.58</v>
      </c>
    </row>
    <row r="1171">
      <c r="A1171" s="19" t="inlineStr">
        <is>
          <t>FY27</t>
        </is>
      </c>
      <c r="B1171" s="19" t="inlineStr">
        <is>
          <t>Apr</t>
        </is>
      </c>
      <c r="C1171" s="19" t="inlineStr">
        <is>
          <t>TN</t>
        </is>
      </c>
      <c r="D1171" s="20" t="inlineStr">
        <is>
          <t>TN66P5725</t>
        </is>
      </c>
      <c r="E1171" s="20" t="inlineStr">
        <is>
          <t>MARUTI SUZUKI</t>
        </is>
      </c>
      <c r="F1171" s="20" t="inlineStr">
        <is>
          <t>Ciaz</t>
        </is>
      </c>
      <c r="G1171" s="21" t="n">
        <v>2014</v>
      </c>
      <c r="H1171" s="22" t="n">
        <v>168334</v>
      </c>
      <c r="I1171" s="22" t="n">
        <v>405000</v>
      </c>
      <c r="J1171" s="20" t="inlineStr">
        <is>
          <t>EXCHANGE ROTN</t>
        </is>
      </c>
      <c r="K1171" s="20" t="inlineStr">
        <is>
          <t>Captive</t>
        </is>
      </c>
      <c r="L1171" s="20" t="inlineStr">
        <is>
          <t>Raj Cars</t>
        </is>
      </c>
      <c r="M1171" s="23" t="n">
        <v>4237.29</v>
      </c>
    </row>
    <row r="1172">
      <c r="A1172" s="19" t="inlineStr">
        <is>
          <t>FY27</t>
        </is>
      </c>
      <c r="B1172" s="19" t="inlineStr">
        <is>
          <t>Apr</t>
        </is>
      </c>
      <c r="C1172" s="19" t="inlineStr">
        <is>
          <t>TN</t>
        </is>
      </c>
      <c r="D1172" s="20" t="inlineStr">
        <is>
          <t>TN39BK8771</t>
        </is>
      </c>
      <c r="E1172" s="20" t="inlineStr">
        <is>
          <t>TATA</t>
        </is>
      </c>
      <c r="F1172" s="20" t="inlineStr">
        <is>
          <t>Nano</t>
        </is>
      </c>
      <c r="G1172" s="21" t="n">
        <v>2013</v>
      </c>
      <c r="H1172" s="22" t="n">
        <v>68375</v>
      </c>
      <c r="I1172" s="22" t="n">
        <v>90000</v>
      </c>
      <c r="J1172" s="20" t="inlineStr">
        <is>
          <t>EXCHANGE ROTN</t>
        </is>
      </c>
      <c r="K1172" s="20" t="inlineStr">
        <is>
          <t>Captive</t>
        </is>
      </c>
      <c r="L1172" s="20" t="inlineStr">
        <is>
          <t>Dheera Cars</t>
        </is>
      </c>
      <c r="M1172" s="23" t="n">
        <v>4237.29</v>
      </c>
    </row>
    <row r="1173">
      <c r="A1173" s="19" t="inlineStr">
        <is>
          <t>FY27</t>
        </is>
      </c>
      <c r="B1173" s="19" t="inlineStr">
        <is>
          <t>Apr</t>
        </is>
      </c>
      <c r="C1173" s="19" t="inlineStr">
        <is>
          <t>TN</t>
        </is>
      </c>
      <c r="D1173" s="20" t="inlineStr">
        <is>
          <t>TN66AK4623</t>
        </is>
      </c>
      <c r="E1173" s="20" t="inlineStr">
        <is>
          <t>MARUTI SUZUKI</t>
        </is>
      </c>
      <c r="F1173" s="20" t="inlineStr">
        <is>
          <t>Ertiga</t>
        </is>
      </c>
      <c r="G1173" s="21" t="n">
        <v>2022</v>
      </c>
      <c r="H1173" s="22" t="n">
        <v>56619</v>
      </c>
      <c r="I1173" s="22" t="n">
        <v>950000</v>
      </c>
      <c r="J1173" s="20" t="inlineStr">
        <is>
          <t>EXCHANGE ROTN</t>
        </is>
      </c>
      <c r="K1173" s="20" t="inlineStr">
        <is>
          <t>Captive</t>
        </is>
      </c>
      <c r="L1173" s="20" t="inlineStr">
        <is>
          <t>Gugha Cars</t>
        </is>
      </c>
      <c r="M1173" s="23" t="n">
        <v>4237.29</v>
      </c>
    </row>
    <row r="1174">
      <c r="A1174" s="19" t="inlineStr">
        <is>
          <t>FY27</t>
        </is>
      </c>
      <c r="B1174" s="19" t="inlineStr">
        <is>
          <t>Apr</t>
        </is>
      </c>
      <c r="C1174" s="19" t="inlineStr">
        <is>
          <t>TN</t>
        </is>
      </c>
      <c r="D1174" s="20" t="inlineStr">
        <is>
          <t>TN37CL7528</t>
        </is>
      </c>
      <c r="E1174" s="20" t="inlineStr">
        <is>
          <t>MARUTI SUZUKI</t>
        </is>
      </c>
      <c r="F1174" s="20" t="inlineStr">
        <is>
          <t>Alto</t>
        </is>
      </c>
      <c r="G1174" s="21" t="n">
        <v>2015</v>
      </c>
      <c r="H1174" s="22" t="n">
        <v>51250</v>
      </c>
      <c r="I1174" s="22" t="n">
        <v>190000</v>
      </c>
      <c r="J1174" s="20" t="inlineStr">
        <is>
          <t>EXCHANGE ROTN</t>
        </is>
      </c>
      <c r="K1174" s="20" t="inlineStr">
        <is>
          <t>Captive</t>
        </is>
      </c>
      <c r="L1174" s="20" t="inlineStr">
        <is>
          <t>Sri Murugan Cars</t>
        </is>
      </c>
      <c r="M1174" s="23" t="n">
        <v>4237.29</v>
      </c>
    </row>
    <row r="1175">
      <c r="A1175" s="19" t="inlineStr">
        <is>
          <t>FY27</t>
        </is>
      </c>
      <c r="B1175" s="19" t="inlineStr">
        <is>
          <t>Apr</t>
        </is>
      </c>
      <c r="C1175" s="19" t="inlineStr">
        <is>
          <t>TN</t>
        </is>
      </c>
      <c r="D1175" s="20" t="inlineStr">
        <is>
          <t>TN95E6562</t>
        </is>
      </c>
      <c r="E1175" s="20" t="inlineStr">
        <is>
          <t>HONDA</t>
        </is>
      </c>
      <c r="F1175" s="20" t="inlineStr">
        <is>
          <t>Amaze</t>
        </is>
      </c>
      <c r="G1175" s="21" t="n">
        <v>2021</v>
      </c>
      <c r="H1175" s="22" t="n">
        <v>27727</v>
      </c>
      <c r="I1175" s="22" t="n">
        <v>570000</v>
      </c>
      <c r="J1175" s="20" t="inlineStr">
        <is>
          <t>EXCHANGE ROTN</t>
        </is>
      </c>
      <c r="K1175" s="20" t="inlineStr">
        <is>
          <t>Captive</t>
        </is>
      </c>
      <c r="L1175" s="20" t="inlineStr">
        <is>
          <t>Ashwin cars</t>
        </is>
      </c>
      <c r="M1175" s="23" t="n">
        <v>12711.86</v>
      </c>
    </row>
    <row r="1176">
      <c r="A1176" s="19" t="inlineStr">
        <is>
          <t>FY27</t>
        </is>
      </c>
      <c r="B1176" s="19" t="inlineStr">
        <is>
          <t>Apr</t>
        </is>
      </c>
      <c r="C1176" s="19" t="inlineStr">
        <is>
          <t>TN</t>
        </is>
      </c>
      <c r="D1176" s="20" t="inlineStr">
        <is>
          <t>TN22CY7916</t>
        </is>
      </c>
      <c r="E1176" s="20" t="inlineStr">
        <is>
          <t>HONDA</t>
        </is>
      </c>
      <c r="F1176" s="20" t="inlineStr">
        <is>
          <t>nan</t>
        </is>
      </c>
      <c r="G1176" s="21" t="n">
        <v>2011</v>
      </c>
      <c r="H1176" s="22" t="n">
        <v>53649</v>
      </c>
      <c r="I1176" s="22" t="n">
        <v>160000</v>
      </c>
      <c r="J1176" s="20" t="inlineStr">
        <is>
          <t>EXCHANGE ROTN</t>
        </is>
      </c>
      <c r="K1176" s="20" t="inlineStr">
        <is>
          <t>Captive</t>
        </is>
      </c>
      <c r="L1176" s="20" t="inlineStr">
        <is>
          <t>KSM AUTO CONSULTING</t>
        </is>
      </c>
      <c r="M1176" s="23" t="n">
        <v>8474.58</v>
      </c>
    </row>
    <row r="1177">
      <c r="A1177" s="19" t="inlineStr">
        <is>
          <t>FY27</t>
        </is>
      </c>
      <c r="B1177" s="19" t="inlineStr">
        <is>
          <t>Apr</t>
        </is>
      </c>
      <c r="C1177" s="19" t="inlineStr">
        <is>
          <t>TN</t>
        </is>
      </c>
      <c r="D1177" s="20" t="inlineStr">
        <is>
          <t>TN58AL8330</t>
        </is>
      </c>
      <c r="E1177" s="20" t="inlineStr">
        <is>
          <t>MARUTI SUZUKI</t>
        </is>
      </c>
      <c r="F1177" s="20" t="inlineStr">
        <is>
          <t>Swift Dzire</t>
        </is>
      </c>
      <c r="G1177" s="21" t="n">
        <v>2016</v>
      </c>
      <c r="H1177" s="22" t="n">
        <v>94979</v>
      </c>
      <c r="I1177" s="22" t="n">
        <v>335000</v>
      </c>
      <c r="J1177" s="20" t="inlineStr">
        <is>
          <t>EXCHANGE ROTN</t>
        </is>
      </c>
      <c r="K1177" s="20" t="inlineStr">
        <is>
          <t>Captive</t>
        </is>
      </c>
      <c r="L1177" s="20" t="inlineStr">
        <is>
          <t>Value Cars</t>
        </is>
      </c>
      <c r="M1177" s="23" t="n">
        <v>8474.58</v>
      </c>
    </row>
    <row r="1178">
      <c r="A1178" s="19" t="inlineStr">
        <is>
          <t>FY27</t>
        </is>
      </c>
      <c r="B1178" s="19" t="inlineStr">
        <is>
          <t>Apr</t>
        </is>
      </c>
      <c r="C1178" s="19" t="inlineStr">
        <is>
          <t>TN</t>
        </is>
      </c>
      <c r="D1178" s="20" t="inlineStr">
        <is>
          <t>TN67BX5532</t>
        </is>
      </c>
      <c r="E1178" s="20" t="inlineStr">
        <is>
          <t>HYUNDAI</t>
        </is>
      </c>
      <c r="F1178" s="20" t="inlineStr">
        <is>
          <t>Grand I10</t>
        </is>
      </c>
      <c r="G1178" s="21" t="n">
        <v>2017</v>
      </c>
      <c r="H1178" s="22" t="n">
        <v>140575</v>
      </c>
      <c r="I1178" s="22" t="n">
        <v>270000</v>
      </c>
      <c r="J1178" s="20" t="inlineStr">
        <is>
          <t>EXCHANGE ROTN</t>
        </is>
      </c>
      <c r="K1178" s="20" t="inlineStr">
        <is>
          <t>Captive</t>
        </is>
      </c>
      <c r="L1178" s="20" t="inlineStr">
        <is>
          <t>KSM AUTO CONSULTING</t>
        </is>
      </c>
      <c r="M1178" s="23" t="n">
        <v>8474.58</v>
      </c>
    </row>
    <row r="1179">
      <c r="A1179" s="19" t="inlineStr">
        <is>
          <t>FY27</t>
        </is>
      </c>
      <c r="B1179" s="19" t="inlineStr">
        <is>
          <t>Apr</t>
        </is>
      </c>
      <c r="C1179" s="19" t="inlineStr">
        <is>
          <t>TN</t>
        </is>
      </c>
      <c r="D1179" s="20" t="inlineStr">
        <is>
          <t>TN07CS5805</t>
        </is>
      </c>
      <c r="E1179" s="20" t="inlineStr">
        <is>
          <t>TATA</t>
        </is>
      </c>
      <c r="F1179" s="20" t="inlineStr">
        <is>
          <t>Tiago</t>
        </is>
      </c>
      <c r="G1179" s="21" t="n">
        <v>2019</v>
      </c>
      <c r="H1179" s="22" t="n">
        <v>101339</v>
      </c>
      <c r="I1179" s="22" t="n">
        <v>275000</v>
      </c>
      <c r="J1179" s="20" t="inlineStr">
        <is>
          <t>EXCHANGE ROTN</t>
        </is>
      </c>
      <c r="K1179" s="20" t="inlineStr">
        <is>
          <t>Captive</t>
        </is>
      </c>
      <c r="L1179" s="20" t="inlineStr">
        <is>
          <t>PURUSOTHAMAN J CARS</t>
        </is>
      </c>
      <c r="M1179" s="23" t="n">
        <v>4237.29</v>
      </c>
    </row>
    <row r="1180">
      <c r="A1180" s="19" t="inlineStr">
        <is>
          <t>FY27</t>
        </is>
      </c>
      <c r="B1180" s="19" t="inlineStr">
        <is>
          <t>Apr</t>
        </is>
      </c>
      <c r="C1180" s="19" t="inlineStr">
        <is>
          <t>TN</t>
        </is>
      </c>
      <c r="D1180" s="20" t="inlineStr">
        <is>
          <t>TN133084</t>
        </is>
      </c>
      <c r="E1180" s="20" t="inlineStr">
        <is>
          <t>MARUTI SUZUKI</t>
        </is>
      </c>
      <c r="F1180" s="20" t="inlineStr">
        <is>
          <t>Swift Dzire</t>
        </is>
      </c>
      <c r="G1180" s="21" t="n">
        <v>2014</v>
      </c>
      <c r="H1180" s="22" t="n">
        <v>151579</v>
      </c>
      <c r="I1180" s="22" t="n">
        <v>300000</v>
      </c>
      <c r="J1180" s="20" t="inlineStr">
        <is>
          <t>EXCHANGE ROTN</t>
        </is>
      </c>
      <c r="K1180" s="20" t="inlineStr">
        <is>
          <t>Captive</t>
        </is>
      </c>
      <c r="L1180" s="20" t="inlineStr">
        <is>
          <t>Value Cars</t>
        </is>
      </c>
      <c r="M1180" s="23" t="n">
        <v>4237.29</v>
      </c>
    </row>
    <row r="1181">
      <c r="A1181" s="19" t="inlineStr">
        <is>
          <t>FY27</t>
        </is>
      </c>
      <c r="B1181" s="19" t="inlineStr">
        <is>
          <t>Apr</t>
        </is>
      </c>
      <c r="C1181" s="19" t="inlineStr">
        <is>
          <t>TN</t>
        </is>
      </c>
      <c r="D1181" s="20" t="inlineStr">
        <is>
          <t>TN10AD5897</t>
        </is>
      </c>
      <c r="E1181" s="20" t="inlineStr">
        <is>
          <t>HYUNDAI</t>
        </is>
      </c>
      <c r="F1181" s="20" t="inlineStr">
        <is>
          <t>I10</t>
        </is>
      </c>
      <c r="G1181" s="21" t="n">
        <v>2011</v>
      </c>
      <c r="H1181" s="22" t="n">
        <v>33595</v>
      </c>
      <c r="I1181" s="22" t="n">
        <v>115000</v>
      </c>
      <c r="J1181" s="20" t="inlineStr">
        <is>
          <t>EXCHANGE ROTN</t>
        </is>
      </c>
      <c r="K1181" s="20" t="inlineStr">
        <is>
          <t>Captive</t>
        </is>
      </c>
      <c r="L1181" s="20" t="inlineStr">
        <is>
          <t>Value Cars</t>
        </is>
      </c>
      <c r="M1181" s="23" t="n">
        <v>4237.29</v>
      </c>
    </row>
    <row r="1182">
      <c r="A1182" s="19" t="inlineStr">
        <is>
          <t>FY27</t>
        </is>
      </c>
      <c r="B1182" s="19" t="inlineStr">
        <is>
          <t>Apr</t>
        </is>
      </c>
      <c r="C1182" s="19" t="inlineStr">
        <is>
          <t>TN</t>
        </is>
      </c>
      <c r="D1182" s="20" t="inlineStr">
        <is>
          <t>TN01AH8341</t>
        </is>
      </c>
      <c r="E1182" s="20" t="inlineStr">
        <is>
          <t>MARUTI SUZUKI</t>
        </is>
      </c>
      <c r="F1182" s="20" t="inlineStr">
        <is>
          <t>Zen</t>
        </is>
      </c>
      <c r="G1182" s="21" t="n">
        <v>2008</v>
      </c>
      <c r="H1182" s="22" t="n">
        <v>104456</v>
      </c>
      <c r="I1182" s="22" t="n">
        <v>80000</v>
      </c>
      <c r="J1182" s="20" t="inlineStr">
        <is>
          <t>EXCHANGE ROTN</t>
        </is>
      </c>
      <c r="K1182" s="20" t="inlineStr">
        <is>
          <t>Captive</t>
        </is>
      </c>
      <c r="L1182" s="20" t="inlineStr">
        <is>
          <t>Ashwin cars</t>
        </is>
      </c>
      <c r="M1182" s="23" t="n">
        <v>4237.29</v>
      </c>
    </row>
    <row r="1183">
      <c r="A1183" s="19" t="inlineStr">
        <is>
          <t>FY27</t>
        </is>
      </c>
      <c r="B1183" s="19" t="inlineStr">
        <is>
          <t>Apr</t>
        </is>
      </c>
      <c r="C1183" s="19" t="inlineStr">
        <is>
          <t>TN</t>
        </is>
      </c>
      <c r="D1183" s="20" t="inlineStr">
        <is>
          <t>TN72BA6835</t>
        </is>
      </c>
      <c r="E1183" s="20" t="inlineStr">
        <is>
          <t>TATA</t>
        </is>
      </c>
      <c r="F1183" s="20" t="inlineStr">
        <is>
          <t>Nano</t>
        </is>
      </c>
      <c r="G1183" s="21" t="n">
        <v>2014</v>
      </c>
      <c r="H1183" s="22" t="n">
        <v>100679</v>
      </c>
      <c r="I1183" s="22" t="n">
        <v>75000</v>
      </c>
      <c r="J1183" s="20" t="inlineStr">
        <is>
          <t>EXCHANGE ROTN</t>
        </is>
      </c>
      <c r="K1183" s="20" t="inlineStr">
        <is>
          <t>Captive</t>
        </is>
      </c>
      <c r="L1183" s="20" t="inlineStr">
        <is>
          <t>Ashwin cars</t>
        </is>
      </c>
      <c r="M1183" s="23" t="n">
        <v>4237.29</v>
      </c>
    </row>
    <row r="1184">
      <c r="A1184" s="19" t="inlineStr">
        <is>
          <t>FY27</t>
        </is>
      </c>
      <c r="B1184" s="19" t="inlineStr">
        <is>
          <t>Apr</t>
        </is>
      </c>
      <c r="C1184" s="19" t="inlineStr">
        <is>
          <t>TN</t>
        </is>
      </c>
      <c r="D1184" s="20" t="inlineStr">
        <is>
          <t>TN60AU8989</t>
        </is>
      </c>
      <c r="E1184" s="20" t="inlineStr">
        <is>
          <t>HONDA</t>
        </is>
      </c>
      <c r="F1184" s="20" t="inlineStr">
        <is>
          <t>City</t>
        </is>
      </c>
      <c r="G1184" s="21" t="n">
        <v>2021</v>
      </c>
      <c r="H1184" s="22" t="n">
        <v>131882</v>
      </c>
      <c r="I1184" s="22" t="n">
        <v>700000</v>
      </c>
      <c r="J1184" s="20" t="inlineStr">
        <is>
          <t>EXCHANGE ROTN</t>
        </is>
      </c>
      <c r="K1184" s="20" t="inlineStr">
        <is>
          <t>Captive</t>
        </is>
      </c>
      <c r="L1184" s="20" t="inlineStr">
        <is>
          <t>MR Motors</t>
        </is>
      </c>
      <c r="M1184" s="23" t="n">
        <v>12711.86</v>
      </c>
    </row>
    <row r="1185">
      <c r="A1185" s="19" t="inlineStr">
        <is>
          <t>FY27</t>
        </is>
      </c>
      <c r="B1185" s="19" t="inlineStr">
        <is>
          <t>Apr</t>
        </is>
      </c>
      <c r="C1185" s="19" t="inlineStr">
        <is>
          <t>TN</t>
        </is>
      </c>
      <c r="D1185" s="20" t="inlineStr">
        <is>
          <t>TN58BA4347</t>
        </is>
      </c>
      <c r="E1185" s="20" t="inlineStr">
        <is>
          <t>HONDA</t>
        </is>
      </c>
      <c r="F1185" s="20" t="inlineStr">
        <is>
          <t>Amaze</t>
        </is>
      </c>
      <c r="G1185" s="21" t="n">
        <v>2018</v>
      </c>
      <c r="H1185" s="22" t="n">
        <v>94318</v>
      </c>
      <c r="I1185" s="22" t="n">
        <v>440000</v>
      </c>
      <c r="J1185" s="20" t="inlineStr">
        <is>
          <t>EXCHANGE ROTN</t>
        </is>
      </c>
      <c r="K1185" s="20" t="inlineStr">
        <is>
          <t>Captive</t>
        </is>
      </c>
      <c r="L1185" s="20" t="inlineStr">
        <is>
          <t>AV Cars</t>
        </is>
      </c>
      <c r="M1185" s="23" t="n">
        <v>12711.86</v>
      </c>
    </row>
    <row r="1186">
      <c r="A1186" s="19" t="inlineStr">
        <is>
          <t>FY27</t>
        </is>
      </c>
      <c r="B1186" s="19" t="inlineStr">
        <is>
          <t>Apr</t>
        </is>
      </c>
      <c r="C1186" s="19" t="inlineStr">
        <is>
          <t>TN</t>
        </is>
      </c>
      <c r="D1186" s="20" t="inlineStr">
        <is>
          <t>TN57P1158</t>
        </is>
      </c>
      <c r="E1186" s="20" t="inlineStr">
        <is>
          <t>FORD</t>
        </is>
      </c>
      <c r="F1186" s="20" t="inlineStr">
        <is>
          <t>Fusion</t>
        </is>
      </c>
      <c r="G1186" s="21" t="n">
        <v>2008</v>
      </c>
      <c r="H1186" s="22" t="n">
        <v>274782</v>
      </c>
      <c r="I1186" s="22" t="n">
        <v>100000</v>
      </c>
      <c r="J1186" s="20" t="inlineStr">
        <is>
          <t>EXCHANGE ROTN</t>
        </is>
      </c>
      <c r="K1186" s="20" t="inlineStr">
        <is>
          <t>Captive</t>
        </is>
      </c>
      <c r="L1186" s="20" t="inlineStr">
        <is>
          <t>Auto Motivators</t>
        </is>
      </c>
      <c r="M1186" s="23" t="n">
        <v>4237.29</v>
      </c>
    </row>
    <row r="1187">
      <c r="A1187" s="19" t="inlineStr">
        <is>
          <t>FY27</t>
        </is>
      </c>
      <c r="B1187" s="19" t="inlineStr">
        <is>
          <t>Apr</t>
        </is>
      </c>
      <c r="C1187" s="19" t="inlineStr">
        <is>
          <t>TN</t>
        </is>
      </c>
      <c r="D1187" s="20" t="inlineStr">
        <is>
          <t>TN07AW3361</t>
        </is>
      </c>
      <c r="E1187" s="20" t="inlineStr">
        <is>
          <t>MARUTI SUZUKI</t>
        </is>
      </c>
      <c r="F1187" s="20" t="inlineStr">
        <is>
          <t>Esteem</t>
        </is>
      </c>
      <c r="G1187" s="21" t="n">
        <v>2005</v>
      </c>
      <c r="H1187" s="22" t="n">
        <v>76118</v>
      </c>
      <c r="I1187" s="22" t="n">
        <v>25000</v>
      </c>
      <c r="J1187" s="20" t="inlineStr">
        <is>
          <t>EXCHANGE ROTN</t>
        </is>
      </c>
      <c r="K1187" s="20" t="inlineStr">
        <is>
          <t>Captive</t>
        </is>
      </c>
      <c r="L1187" s="20" t="inlineStr">
        <is>
          <t>MR Motors</t>
        </is>
      </c>
      <c r="M1187" s="23" t="n">
        <v>4237.29</v>
      </c>
    </row>
    <row r="1188">
      <c r="A1188" s="19" t="inlineStr">
        <is>
          <t>FY27</t>
        </is>
      </c>
      <c r="B1188" s="19" t="inlineStr">
        <is>
          <t>Apr</t>
        </is>
      </c>
      <c r="C1188" s="19" t="inlineStr">
        <is>
          <t>TN</t>
        </is>
      </c>
      <c r="D1188" s="20" t="inlineStr">
        <is>
          <t>TN22DW0006</t>
        </is>
      </c>
      <c r="E1188" s="20" t="inlineStr">
        <is>
          <t>MARUTI SUZUKI</t>
        </is>
      </c>
      <c r="F1188" s="20" t="inlineStr">
        <is>
          <t>Swift</t>
        </is>
      </c>
      <c r="G1188" s="21" t="n">
        <v>2019</v>
      </c>
      <c r="H1188" s="22" t="n">
        <v>87342</v>
      </c>
      <c r="I1188" s="22" t="n">
        <v>440000</v>
      </c>
      <c r="J1188" s="20" t="inlineStr">
        <is>
          <t>EXCHANGE ROTN</t>
        </is>
      </c>
      <c r="K1188" s="20" t="inlineStr">
        <is>
          <t>Captive</t>
        </is>
      </c>
      <c r="L1188" s="20" t="inlineStr">
        <is>
          <t>AV Cars</t>
        </is>
      </c>
      <c r="M1188" s="23" t="n">
        <v>8474.58</v>
      </c>
    </row>
    <row r="1189">
      <c r="A1189" s="19" t="inlineStr">
        <is>
          <t>FY27</t>
        </is>
      </c>
      <c r="B1189" s="19" t="inlineStr">
        <is>
          <t>Apr</t>
        </is>
      </c>
      <c r="C1189" s="19" t="inlineStr">
        <is>
          <t>TN</t>
        </is>
      </c>
      <c r="D1189" s="20" t="inlineStr">
        <is>
          <t>TN58BF1755</t>
        </is>
      </c>
      <c r="E1189" s="20" t="inlineStr">
        <is>
          <t>HYUNDAI</t>
        </is>
      </c>
      <c r="F1189" s="20" t="inlineStr">
        <is>
          <t>Santro</t>
        </is>
      </c>
      <c r="G1189" s="21" t="n">
        <v>2021</v>
      </c>
      <c r="H1189" s="22" t="n">
        <v>69370</v>
      </c>
      <c r="I1189" s="22" t="n">
        <v>370000</v>
      </c>
      <c r="J1189" s="20" t="inlineStr">
        <is>
          <t>EXCHANGE ROTN</t>
        </is>
      </c>
      <c r="K1189" s="20" t="inlineStr">
        <is>
          <t>Captive</t>
        </is>
      </c>
      <c r="L1189" s="20" t="inlineStr">
        <is>
          <t>AV Cars</t>
        </is>
      </c>
      <c r="M1189" s="23" t="n">
        <v>4237.29</v>
      </c>
    </row>
    <row r="1190">
      <c r="A1190" s="19" t="inlineStr">
        <is>
          <t>FY27</t>
        </is>
      </c>
      <c r="B1190" s="19" t="inlineStr">
        <is>
          <t>Apr</t>
        </is>
      </c>
      <c r="C1190" s="19" t="inlineStr">
        <is>
          <t>TN</t>
        </is>
      </c>
      <c r="D1190" s="20" t="inlineStr">
        <is>
          <t>TN57AT4394</t>
        </is>
      </c>
      <c r="E1190" s="20" t="inlineStr">
        <is>
          <t>HYUNDAI</t>
        </is>
      </c>
      <c r="F1190" s="20" t="inlineStr">
        <is>
          <t>I10</t>
        </is>
      </c>
      <c r="G1190" s="21" t="n">
        <v>2013</v>
      </c>
      <c r="H1190" s="22" t="n">
        <v>129522</v>
      </c>
      <c r="I1190" s="22" t="n">
        <v>170000</v>
      </c>
      <c r="J1190" s="20" t="inlineStr">
        <is>
          <t>EXCHANGE ROTN</t>
        </is>
      </c>
      <c r="K1190" s="20" t="inlineStr">
        <is>
          <t>Captive</t>
        </is>
      </c>
      <c r="L1190" s="20" t="inlineStr">
        <is>
          <t>KSM AUTO CONSULTING</t>
        </is>
      </c>
      <c r="M1190" s="23" t="n">
        <v>4237.29</v>
      </c>
    </row>
    <row r="1191">
      <c r="A1191" s="19" t="inlineStr">
        <is>
          <t>FY27</t>
        </is>
      </c>
      <c r="B1191" s="19" t="inlineStr">
        <is>
          <t>Apr</t>
        </is>
      </c>
      <c r="C1191" s="19" t="inlineStr">
        <is>
          <t>TN</t>
        </is>
      </c>
      <c r="D1191" s="20" t="inlineStr">
        <is>
          <t>TN49BY4821</t>
        </is>
      </c>
      <c r="E1191" s="20" t="inlineStr">
        <is>
          <t>HONDA</t>
        </is>
      </c>
      <c r="F1191" s="20" t="inlineStr">
        <is>
          <t>Amaze</t>
        </is>
      </c>
      <c r="G1191" s="21" t="n">
        <v>2015</v>
      </c>
      <c r="H1191" s="22" t="n">
        <v>121269</v>
      </c>
      <c r="I1191" s="22" t="n">
        <v>300000</v>
      </c>
      <c r="J1191" s="20" t="inlineStr">
        <is>
          <t>EXCHANGE ROTN</t>
        </is>
      </c>
      <c r="K1191" s="20" t="inlineStr">
        <is>
          <t>Captive</t>
        </is>
      </c>
      <c r="L1191" s="20" t="inlineStr">
        <is>
          <t>SIVASHANKAR CARS</t>
        </is>
      </c>
      <c r="M1191" s="23" t="n">
        <v>4237.29</v>
      </c>
    </row>
    <row r="1192">
      <c r="A1192" s="19" t="inlineStr">
        <is>
          <t>FY27</t>
        </is>
      </c>
      <c r="B1192" s="19" t="inlineStr">
        <is>
          <t>Apr</t>
        </is>
      </c>
      <c r="C1192" s="19" t="inlineStr">
        <is>
          <t>TN</t>
        </is>
      </c>
      <c r="D1192" s="20" t="inlineStr">
        <is>
          <t>TN39BH3335</t>
        </is>
      </c>
      <c r="E1192" s="20" t="inlineStr">
        <is>
          <t>VOLKSWAGEN</t>
        </is>
      </c>
      <c r="F1192" s="20" t="inlineStr">
        <is>
          <t>Polo</t>
        </is>
      </c>
      <c r="G1192" s="21" t="n">
        <v>2013</v>
      </c>
      <c r="H1192" s="22" t="n">
        <v>146702</v>
      </c>
      <c r="I1192" s="22" t="n">
        <v>300000</v>
      </c>
      <c r="J1192" s="20" t="inlineStr">
        <is>
          <t>EXCHANGE ROTN</t>
        </is>
      </c>
      <c r="K1192" s="20" t="inlineStr">
        <is>
          <t>Captive</t>
        </is>
      </c>
      <c r="L1192" s="20" t="inlineStr">
        <is>
          <t>Raj Cars</t>
        </is>
      </c>
      <c r="M1192" s="23" t="n">
        <v>10169.49</v>
      </c>
    </row>
    <row r="1193">
      <c r="A1193" s="19" t="inlineStr">
        <is>
          <t>FY27</t>
        </is>
      </c>
      <c r="B1193" s="19" t="inlineStr">
        <is>
          <t>Apr</t>
        </is>
      </c>
      <c r="C1193" s="19" t="inlineStr">
        <is>
          <t>TN</t>
        </is>
      </c>
      <c r="D1193" s="20" t="inlineStr">
        <is>
          <t>TN33BK2747</t>
        </is>
      </c>
      <c r="E1193" s="20" t="inlineStr">
        <is>
          <t>MARUTI SUZUKI</t>
        </is>
      </c>
      <c r="F1193" s="20" t="inlineStr">
        <is>
          <t>Wagon R</t>
        </is>
      </c>
      <c r="G1193" s="21" t="n">
        <v>2015</v>
      </c>
      <c r="H1193" s="22" t="n">
        <v>111997</v>
      </c>
      <c r="I1193" s="22" t="n">
        <v>290000</v>
      </c>
      <c r="J1193" s="20" t="inlineStr">
        <is>
          <t>EXCHANGE ROTN</t>
        </is>
      </c>
      <c r="K1193" s="20" t="inlineStr">
        <is>
          <t>Captive</t>
        </is>
      </c>
      <c r="L1193" s="20" t="inlineStr">
        <is>
          <t>SIVASHANKAR CARS</t>
        </is>
      </c>
      <c r="M1193" s="23" t="n">
        <v>4237.29</v>
      </c>
    </row>
    <row r="1194">
      <c r="A1194" s="19" t="inlineStr">
        <is>
          <t>FY27</t>
        </is>
      </c>
      <c r="B1194" s="19" t="inlineStr">
        <is>
          <t>Apr</t>
        </is>
      </c>
      <c r="C1194" s="19" t="inlineStr">
        <is>
          <t>TN</t>
        </is>
      </c>
      <c r="D1194" s="20" t="inlineStr">
        <is>
          <t>TN18X7278</t>
        </is>
      </c>
      <c r="E1194" s="20" t="inlineStr">
        <is>
          <t>MARUTI SUZUKI</t>
        </is>
      </c>
      <c r="F1194" s="20" t="inlineStr">
        <is>
          <t>Wagon R</t>
        </is>
      </c>
      <c r="G1194" s="21" t="n">
        <v>2012</v>
      </c>
      <c r="H1194" s="22" t="n">
        <v>145303</v>
      </c>
      <c r="I1194" s="22" t="n">
        <v>150000</v>
      </c>
      <c r="J1194" s="20" t="inlineStr">
        <is>
          <t>EXCHANGE ROTN</t>
        </is>
      </c>
      <c r="K1194" s="20" t="inlineStr">
        <is>
          <t>Captive</t>
        </is>
      </c>
      <c r="L1194" s="20" t="inlineStr">
        <is>
          <t>SIVASHANKAR CARS</t>
        </is>
      </c>
      <c r="M1194" s="23" t="n">
        <v>8474.58</v>
      </c>
    </row>
    <row r="1195">
      <c r="A1195" s="19" t="inlineStr">
        <is>
          <t>FY27</t>
        </is>
      </c>
      <c r="B1195" s="19" t="inlineStr">
        <is>
          <t>Apr</t>
        </is>
      </c>
      <c r="C1195" s="19" t="inlineStr">
        <is>
          <t>TN</t>
        </is>
      </c>
      <c r="D1195" s="20" t="inlineStr">
        <is>
          <t>TN33BK6262</t>
        </is>
      </c>
      <c r="E1195" s="20" t="inlineStr">
        <is>
          <t>HONDA</t>
        </is>
      </c>
      <c r="F1195" s="20" t="inlineStr">
        <is>
          <t>City</t>
        </is>
      </c>
      <c r="G1195" s="21" t="n">
        <v>2014</v>
      </c>
      <c r="H1195" s="22" t="n">
        <v>160178</v>
      </c>
      <c r="I1195" s="22" t="n">
        <v>200000</v>
      </c>
      <c r="J1195" s="20" t="inlineStr">
        <is>
          <t>EXCHANGE ROTN</t>
        </is>
      </c>
      <c r="K1195" s="20" t="inlineStr">
        <is>
          <t>Captive</t>
        </is>
      </c>
      <c r="L1195" s="20" t="inlineStr">
        <is>
          <t>SIVASHANKAR CARS</t>
        </is>
      </c>
      <c r="M1195" s="23" t="n">
        <v>4237.29</v>
      </c>
    </row>
    <row r="1196">
      <c r="A1196" s="19" t="inlineStr">
        <is>
          <t>FY27</t>
        </is>
      </c>
      <c r="B1196" s="19" t="inlineStr">
        <is>
          <t>Apr</t>
        </is>
      </c>
      <c r="C1196" s="19" t="inlineStr">
        <is>
          <t>TN</t>
        </is>
      </c>
      <c r="D1196" s="20" t="inlineStr">
        <is>
          <t>TN34T9198</t>
        </is>
      </c>
      <c r="E1196" s="20" t="inlineStr">
        <is>
          <t>CHEVROLET</t>
        </is>
      </c>
      <c r="F1196" s="20" t="inlineStr">
        <is>
          <t>Beat</t>
        </is>
      </c>
      <c r="G1196" s="21" t="n">
        <v>2013</v>
      </c>
      <c r="H1196" s="22" t="n">
        <v>150457</v>
      </c>
      <c r="I1196" s="22" t="n">
        <v>120000</v>
      </c>
      <c r="J1196" s="20" t="inlineStr">
        <is>
          <t>EXCHANGE ROTN</t>
        </is>
      </c>
      <c r="K1196" s="20" t="inlineStr">
        <is>
          <t>Captive</t>
        </is>
      </c>
      <c r="L1196" s="20" t="inlineStr">
        <is>
          <t>SIVASHANKAR CARS</t>
        </is>
      </c>
      <c r="M1196" s="23" t="n">
        <v>8474.58</v>
      </c>
    </row>
    <row r="1197">
      <c r="A1197" s="19" t="inlineStr">
        <is>
          <t>FY27</t>
        </is>
      </c>
      <c r="B1197" s="19" t="inlineStr">
        <is>
          <t>Apr</t>
        </is>
      </c>
      <c r="C1197" s="19" t="inlineStr">
        <is>
          <t>TN</t>
        </is>
      </c>
      <c r="D1197" s="20" t="inlineStr">
        <is>
          <t>TN39BR7299</t>
        </is>
      </c>
      <c r="E1197" s="20" t="inlineStr">
        <is>
          <t>HONDA</t>
        </is>
      </c>
      <c r="F1197" s="20" t="inlineStr">
        <is>
          <t>City</t>
        </is>
      </c>
      <c r="G1197" s="21" t="n">
        <v>2015</v>
      </c>
      <c r="H1197" s="22" t="n">
        <v>204533</v>
      </c>
      <c r="I1197" s="22" t="n">
        <v>420000</v>
      </c>
      <c r="J1197" s="20" t="inlineStr">
        <is>
          <t>EXCHANGE ROTN</t>
        </is>
      </c>
      <c r="K1197" s="20" t="inlineStr">
        <is>
          <t>Captive</t>
        </is>
      </c>
      <c r="L1197" s="20" t="inlineStr">
        <is>
          <t>SRI RAJA KANAPATHY CARS</t>
        </is>
      </c>
      <c r="M1197" s="23" t="n">
        <v>10169.49</v>
      </c>
    </row>
    <row r="1198">
      <c r="A1198" s="19" t="inlineStr">
        <is>
          <t>FY27</t>
        </is>
      </c>
      <c r="B1198" s="19" t="inlineStr">
        <is>
          <t>Apr</t>
        </is>
      </c>
      <c r="C1198" s="19" t="inlineStr">
        <is>
          <t>TN</t>
        </is>
      </c>
      <c r="D1198" s="20" t="inlineStr">
        <is>
          <t>TN33BD9472</t>
        </is>
      </c>
      <c r="E1198" s="20" t="inlineStr">
        <is>
          <t>HONDA</t>
        </is>
      </c>
      <c r="F1198" s="20" t="inlineStr">
        <is>
          <t>Amaze</t>
        </is>
      </c>
      <c r="G1198" s="21" t="n">
        <v>2013</v>
      </c>
      <c r="H1198" s="22" t="n">
        <v>117794</v>
      </c>
      <c r="I1198" s="22" t="n">
        <v>160000</v>
      </c>
      <c r="J1198" s="20" t="inlineStr">
        <is>
          <t>EXCHANGE ROTN</t>
        </is>
      </c>
      <c r="K1198" s="20" t="inlineStr">
        <is>
          <t>Captive</t>
        </is>
      </c>
      <c r="L1198" s="20" t="inlineStr">
        <is>
          <t>SIVASHANKAR CARS</t>
        </is>
      </c>
      <c r="M1198" s="23" t="n">
        <v>4237.29</v>
      </c>
    </row>
    <row r="1199">
      <c r="A1199" s="19" t="inlineStr">
        <is>
          <t>FY27</t>
        </is>
      </c>
      <c r="B1199" s="19" t="inlineStr">
        <is>
          <t>Apr</t>
        </is>
      </c>
      <c r="C1199" s="19" t="inlineStr">
        <is>
          <t>TN</t>
        </is>
      </c>
      <c r="D1199" s="20" t="inlineStr">
        <is>
          <t>TN36AA0293</t>
        </is>
      </c>
      <c r="E1199" s="20" t="inlineStr">
        <is>
          <t>HYUNDAI</t>
        </is>
      </c>
      <c r="F1199" s="20" t="inlineStr">
        <is>
          <t>I20</t>
        </is>
      </c>
      <c r="G1199" s="21" t="n">
        <v>2012</v>
      </c>
      <c r="H1199" s="22" t="n">
        <v>189936</v>
      </c>
      <c r="I1199" s="22" t="n">
        <v>230000</v>
      </c>
      <c r="J1199" s="20" t="inlineStr">
        <is>
          <t>EXCHANGE ROTN</t>
        </is>
      </c>
      <c r="K1199" s="20" t="inlineStr">
        <is>
          <t>Captive</t>
        </is>
      </c>
      <c r="L1199" s="20" t="inlineStr">
        <is>
          <t>SIVASHANKAR CARS</t>
        </is>
      </c>
      <c r="M1199" s="23" t="n">
        <v>4237.29</v>
      </c>
    </row>
    <row r="1200">
      <c r="A1200" s="19" t="inlineStr">
        <is>
          <t>FY27</t>
        </is>
      </c>
      <c r="B1200" s="19" t="inlineStr">
        <is>
          <t>Apr</t>
        </is>
      </c>
      <c r="C1200" s="19" t="inlineStr">
        <is>
          <t>TN</t>
        </is>
      </c>
      <c r="D1200" s="20" t="inlineStr">
        <is>
          <t>TN09BB3809</t>
        </is>
      </c>
      <c r="E1200" s="20" t="inlineStr">
        <is>
          <t>HYUNDAI</t>
        </is>
      </c>
      <c r="F1200" s="20" t="inlineStr">
        <is>
          <t>Accent</t>
        </is>
      </c>
      <c r="G1200" s="21" t="n">
        <v>2009</v>
      </c>
      <c r="H1200" s="22" t="n">
        <v>86597</v>
      </c>
      <c r="I1200" s="22" t="n">
        <v>50000</v>
      </c>
      <c r="J1200" s="20" t="inlineStr">
        <is>
          <t>EXCHANGE ROTN</t>
        </is>
      </c>
      <c r="K1200" s="20" t="inlineStr">
        <is>
          <t>Captive</t>
        </is>
      </c>
      <c r="L1200" s="20" t="inlineStr">
        <is>
          <t>SIVASHANKAR CARS</t>
        </is>
      </c>
      <c r="M1200" s="23" t="n">
        <v>4237.29</v>
      </c>
    </row>
    <row r="1201">
      <c r="A1201" s="19" t="inlineStr">
        <is>
          <t>FY27</t>
        </is>
      </c>
      <c r="B1201" s="19" t="inlineStr">
        <is>
          <t>Apr</t>
        </is>
      </c>
      <c r="C1201" s="19" t="inlineStr">
        <is>
          <t>TN</t>
        </is>
      </c>
      <c r="D1201" s="20" t="inlineStr">
        <is>
          <t>TN88W1632</t>
        </is>
      </c>
      <c r="E1201" s="20" t="inlineStr">
        <is>
          <t>MARUTI SUZUKI</t>
        </is>
      </c>
      <c r="F1201" s="20" t="inlineStr">
        <is>
          <t>Omni</t>
        </is>
      </c>
      <c r="G1201" s="21" t="n">
        <v>2018</v>
      </c>
      <c r="H1201" s="22" t="n">
        <v>45434</v>
      </c>
      <c r="I1201" s="22" t="n">
        <v>220000</v>
      </c>
      <c r="J1201" s="20" t="inlineStr">
        <is>
          <t>EXCHANGE ROTN</t>
        </is>
      </c>
      <c r="K1201" s="20" t="inlineStr">
        <is>
          <t>Captive</t>
        </is>
      </c>
      <c r="L1201" s="20" t="inlineStr">
        <is>
          <t>SIVASHANKAR CARS</t>
        </is>
      </c>
      <c r="M1201" s="23" t="n">
        <v>4237.29</v>
      </c>
    </row>
    <row r="1202">
      <c r="A1202" s="19" t="inlineStr">
        <is>
          <t>FY27</t>
        </is>
      </c>
      <c r="B1202" s="19" t="inlineStr">
        <is>
          <t>Apr</t>
        </is>
      </c>
      <c r="C1202" s="19" t="inlineStr">
        <is>
          <t>TN</t>
        </is>
      </c>
      <c r="D1202" s="20" t="inlineStr">
        <is>
          <t>TN34P6469</t>
        </is>
      </c>
      <c r="E1202" s="20" t="inlineStr">
        <is>
          <t>CHEVROLET</t>
        </is>
      </c>
      <c r="F1202" s="20" t="inlineStr">
        <is>
          <t>Tavera</t>
        </is>
      </c>
      <c r="G1202" s="21" t="n">
        <v>2011</v>
      </c>
      <c r="H1202" s="22" t="n">
        <v>290478</v>
      </c>
      <c r="I1202" s="22" t="n">
        <v>160000</v>
      </c>
      <c r="J1202" s="20" t="inlineStr">
        <is>
          <t>EXCHANGE ROTN</t>
        </is>
      </c>
      <c r="K1202" s="20" t="inlineStr">
        <is>
          <t>Captive</t>
        </is>
      </c>
      <c r="L1202" s="20" t="inlineStr">
        <is>
          <t>SIVASHANKAR CARS</t>
        </is>
      </c>
      <c r="M1202" s="23" t="n">
        <v>4237.29</v>
      </c>
    </row>
    <row r="1203">
      <c r="A1203" s="19" t="inlineStr">
        <is>
          <t>FY27</t>
        </is>
      </c>
      <c r="B1203" s="19" t="inlineStr">
        <is>
          <t>Apr</t>
        </is>
      </c>
      <c r="C1203" s="19" t="inlineStr">
        <is>
          <t>TN</t>
        </is>
      </c>
      <c r="D1203" s="20" t="inlineStr">
        <is>
          <t>TN52F3535</t>
        </is>
      </c>
      <c r="E1203" s="20" t="inlineStr">
        <is>
          <t>MARUTI SUZUKI</t>
        </is>
      </c>
      <c r="F1203" s="20" t="inlineStr">
        <is>
          <t>Swift Dzire</t>
        </is>
      </c>
      <c r="G1203" s="21" t="n">
        <v>2014</v>
      </c>
      <c r="H1203" s="22" t="n">
        <v>99578</v>
      </c>
      <c r="I1203" s="22" t="n">
        <v>325000</v>
      </c>
      <c r="J1203" s="20" t="inlineStr">
        <is>
          <t>EXCHANGE ROTN</t>
        </is>
      </c>
      <c r="K1203" s="20" t="inlineStr">
        <is>
          <t>Captive</t>
        </is>
      </c>
      <c r="L1203" s="20" t="inlineStr">
        <is>
          <t>SIVASHANKAR CARS</t>
        </is>
      </c>
      <c r="M1203" s="23" t="n">
        <v>4237.29</v>
      </c>
    </row>
    <row r="1204">
      <c r="A1204" s="19" t="inlineStr">
        <is>
          <t>FY27</t>
        </is>
      </c>
      <c r="B1204" s="19" t="inlineStr">
        <is>
          <t>Apr</t>
        </is>
      </c>
      <c r="C1204" s="19" t="inlineStr">
        <is>
          <t>TN</t>
        </is>
      </c>
      <c r="D1204" s="20" t="inlineStr">
        <is>
          <t>TN30CV5976</t>
        </is>
      </c>
      <c r="E1204" s="20" t="inlineStr">
        <is>
          <t>MARUTI SUZUKI</t>
        </is>
      </c>
      <c r="F1204" s="20" t="inlineStr">
        <is>
          <t>Wagon R</t>
        </is>
      </c>
      <c r="G1204" s="21" t="n">
        <v>2023</v>
      </c>
      <c r="H1204" s="22" t="n">
        <v>17686</v>
      </c>
      <c r="I1204" s="22" t="n">
        <v>400000</v>
      </c>
      <c r="J1204" s="20" t="inlineStr">
        <is>
          <t>EXCHANGE ROTN</t>
        </is>
      </c>
      <c r="K1204" s="20" t="inlineStr">
        <is>
          <t>Captive</t>
        </is>
      </c>
      <c r="L1204" s="20" t="inlineStr">
        <is>
          <t>SIVASHANKAR CARS</t>
        </is>
      </c>
      <c r="M1204" s="23" t="n">
        <v>4237.29</v>
      </c>
    </row>
    <row r="1205">
      <c r="A1205" s="19" t="inlineStr">
        <is>
          <t>FY27</t>
        </is>
      </c>
      <c r="B1205" s="19" t="inlineStr">
        <is>
          <t>Apr</t>
        </is>
      </c>
      <c r="C1205" s="19" t="inlineStr">
        <is>
          <t>TN</t>
        </is>
      </c>
      <c r="D1205" s="20" t="inlineStr">
        <is>
          <t>KA01MN7628</t>
        </is>
      </c>
      <c r="E1205" s="20" t="inlineStr">
        <is>
          <t>HONDA</t>
        </is>
      </c>
      <c r="F1205" s="20" t="inlineStr">
        <is>
          <t>Amaze</t>
        </is>
      </c>
      <c r="G1205" s="21" t="n">
        <v>2016</v>
      </c>
      <c r="H1205" s="22" t="n">
        <v>108482</v>
      </c>
      <c r="I1205" s="22" t="n">
        <v>290000</v>
      </c>
      <c r="J1205" s="20" t="inlineStr">
        <is>
          <t>EXCHANGE ROTN</t>
        </is>
      </c>
      <c r="K1205" s="20" t="inlineStr">
        <is>
          <t>Captive</t>
        </is>
      </c>
      <c r="L1205" s="20" t="inlineStr">
        <is>
          <t>SRI RAJA KANAPATHY CARS</t>
        </is>
      </c>
      <c r="M1205" s="23" t="n">
        <v>8474.58</v>
      </c>
    </row>
    <row r="1206">
      <c r="A1206" s="19" t="inlineStr">
        <is>
          <t>FY27</t>
        </is>
      </c>
      <c r="B1206" s="19" t="inlineStr">
        <is>
          <t>Apr</t>
        </is>
      </c>
      <c r="C1206" s="19" t="inlineStr">
        <is>
          <t>TN</t>
        </is>
      </c>
      <c r="D1206" s="20" t="inlineStr">
        <is>
          <t>TN37BY0969</t>
        </is>
      </c>
      <c r="E1206" s="20" t="inlineStr">
        <is>
          <t>HYUNDAI</t>
        </is>
      </c>
      <c r="F1206" s="20" t="inlineStr">
        <is>
          <t>I20</t>
        </is>
      </c>
      <c r="G1206" s="21" t="n">
        <v>2012</v>
      </c>
      <c r="H1206" s="22" t="n">
        <v>159431</v>
      </c>
      <c r="I1206" s="22" t="n">
        <v>180000</v>
      </c>
      <c r="J1206" s="20" t="inlineStr">
        <is>
          <t>EXCHANGE ROTN</t>
        </is>
      </c>
      <c r="K1206" s="20" t="inlineStr">
        <is>
          <t>Captive</t>
        </is>
      </c>
      <c r="L1206" s="20" t="inlineStr">
        <is>
          <t>Ayyapa Cars</t>
        </is>
      </c>
      <c r="M1206" s="23" t="n">
        <v>4237.29</v>
      </c>
    </row>
    <row r="1207">
      <c r="A1207" s="19" t="inlineStr">
        <is>
          <t>FY27</t>
        </is>
      </c>
      <c r="B1207" s="19" t="inlineStr">
        <is>
          <t>Apr</t>
        </is>
      </c>
      <c r="C1207" s="19" t="inlineStr">
        <is>
          <t>TN</t>
        </is>
      </c>
      <c r="D1207" s="20" t="inlineStr">
        <is>
          <t>TN27R9677</t>
        </is>
      </c>
      <c r="E1207" s="20" t="inlineStr">
        <is>
          <t>MARUTI SUZUKI</t>
        </is>
      </c>
      <c r="F1207" s="20" t="inlineStr">
        <is>
          <t>Zen Estilo</t>
        </is>
      </c>
      <c r="G1207" s="21" t="n">
        <v>2002</v>
      </c>
      <c r="H1207" s="22" t="n">
        <v>247344</v>
      </c>
      <c r="I1207" s="22" t="n">
        <v>40000</v>
      </c>
      <c r="J1207" s="20" t="inlineStr">
        <is>
          <t>EXCHANGE ROTN</t>
        </is>
      </c>
      <c r="K1207" s="20" t="inlineStr">
        <is>
          <t>Captive</t>
        </is>
      </c>
      <c r="L1207" s="20" t="inlineStr">
        <is>
          <t>Stalin Cars</t>
        </is>
      </c>
      <c r="M1207" s="23" t="n">
        <v>4237.29</v>
      </c>
    </row>
    <row r="1208">
      <c r="A1208" s="19" t="inlineStr">
        <is>
          <t>FY27</t>
        </is>
      </c>
      <c r="B1208" s="19" t="inlineStr">
        <is>
          <t>Apr</t>
        </is>
      </c>
      <c r="C1208" s="19" t="inlineStr">
        <is>
          <t>TN</t>
        </is>
      </c>
      <c r="D1208" s="20" t="inlineStr">
        <is>
          <t>TN30AT9787</t>
        </is>
      </c>
      <c r="E1208" s="20" t="inlineStr">
        <is>
          <t>MARUTI SUZUKI</t>
        </is>
      </c>
      <c r="F1208" s="20" t="inlineStr">
        <is>
          <t>Alto</t>
        </is>
      </c>
      <c r="G1208" s="21" t="n">
        <v>2013</v>
      </c>
      <c r="H1208" s="22" t="n">
        <v>71656</v>
      </c>
      <c r="I1208" s="22" t="n">
        <v>175000</v>
      </c>
      <c r="J1208" s="20" t="inlineStr">
        <is>
          <t>EXCHANGE ROTN</t>
        </is>
      </c>
      <c r="K1208" s="20" t="inlineStr">
        <is>
          <t>Captive</t>
        </is>
      </c>
      <c r="L1208" s="20" t="inlineStr">
        <is>
          <t>Stalin Cars</t>
        </is>
      </c>
      <c r="M1208" s="23" t="n">
        <v>4237.29</v>
      </c>
    </row>
    <row r="1209">
      <c r="A1209" s="19" t="inlineStr">
        <is>
          <t>FY27</t>
        </is>
      </c>
      <c r="B1209" s="19" t="inlineStr">
        <is>
          <t>Apr</t>
        </is>
      </c>
      <c r="C1209" s="19" t="inlineStr">
        <is>
          <t>TN</t>
        </is>
      </c>
      <c r="D1209" s="20" t="inlineStr">
        <is>
          <t>TN34X7876</t>
        </is>
      </c>
      <c r="E1209" s="20" t="inlineStr">
        <is>
          <t>RENAULT</t>
        </is>
      </c>
      <c r="F1209" s="20" t="inlineStr">
        <is>
          <t>Kwid</t>
        </is>
      </c>
      <c r="G1209" s="21" t="n">
        <v>2016</v>
      </c>
      <c r="H1209" s="22" t="n">
        <v>83473</v>
      </c>
      <c r="I1209" s="22" t="n">
        <v>250000</v>
      </c>
      <c r="J1209" s="20" t="inlineStr">
        <is>
          <t>EXCHANGE ROTN</t>
        </is>
      </c>
      <c r="K1209" s="20" t="inlineStr">
        <is>
          <t>Captive</t>
        </is>
      </c>
      <c r="L1209" s="20" t="inlineStr">
        <is>
          <t>Ayyapa Cars</t>
        </is>
      </c>
      <c r="M1209" s="23" t="n">
        <v>4237.29</v>
      </c>
    </row>
    <row r="1210">
      <c r="A1210" s="19" t="inlineStr">
        <is>
          <t>FY27</t>
        </is>
      </c>
      <c r="B1210" s="19" t="inlineStr">
        <is>
          <t>Apr</t>
        </is>
      </c>
      <c r="C1210" s="19" t="inlineStr">
        <is>
          <t>TN</t>
        </is>
      </c>
      <c r="D1210" s="20" t="inlineStr">
        <is>
          <t>TN38BX0181</t>
        </is>
      </c>
      <c r="E1210" s="20" t="inlineStr">
        <is>
          <t>MARUTI SUZUKI</t>
        </is>
      </c>
      <c r="F1210" s="20" t="inlineStr">
        <is>
          <t>Wagon R</t>
        </is>
      </c>
      <c r="G1210" s="21" t="n">
        <v>2014</v>
      </c>
      <c r="H1210" s="22" t="n">
        <v>119856</v>
      </c>
      <c r="I1210" s="22" t="n">
        <v>270000</v>
      </c>
      <c r="J1210" s="20" t="inlineStr">
        <is>
          <t>EXCHANGE ROTN</t>
        </is>
      </c>
      <c r="K1210" s="20" t="inlineStr">
        <is>
          <t>Captive</t>
        </is>
      </c>
      <c r="L1210" s="20" t="inlineStr">
        <is>
          <t>Geethanjali cars</t>
        </is>
      </c>
      <c r="M1210" s="23" t="n">
        <v>8474.58</v>
      </c>
    </row>
    <row r="1211">
      <c r="A1211" s="19" t="inlineStr">
        <is>
          <t>FY27</t>
        </is>
      </c>
      <c r="B1211" s="19" t="inlineStr">
        <is>
          <t>Apr</t>
        </is>
      </c>
      <c r="C1211" s="19" t="inlineStr">
        <is>
          <t>TN</t>
        </is>
      </c>
      <c r="D1211" s="20" t="inlineStr">
        <is>
          <t>TN66F3033</t>
        </is>
      </c>
      <c r="E1211" s="20" t="inlineStr">
        <is>
          <t>FORD</t>
        </is>
      </c>
      <c r="F1211" s="20" t="inlineStr">
        <is>
          <t>Figo</t>
        </is>
      </c>
      <c r="G1211" s="21" t="n">
        <v>2012</v>
      </c>
      <c r="H1211" s="22" t="n">
        <v>157283</v>
      </c>
      <c r="I1211" s="22" t="n">
        <v>110000</v>
      </c>
      <c r="J1211" s="20" t="inlineStr">
        <is>
          <t>EXCHANGE ROTN</t>
        </is>
      </c>
      <c r="K1211" s="20" t="inlineStr">
        <is>
          <t>Captive</t>
        </is>
      </c>
      <c r="L1211" s="20" t="inlineStr">
        <is>
          <t>Dheera Cars</t>
        </is>
      </c>
      <c r="M1211" s="23" t="n">
        <v>4237.29</v>
      </c>
    </row>
    <row r="1212">
      <c r="A1212" s="19" t="inlineStr">
        <is>
          <t>FY27</t>
        </is>
      </c>
      <c r="B1212" s="19" t="inlineStr">
        <is>
          <t>Apr</t>
        </is>
      </c>
      <c r="C1212" s="19" t="inlineStr">
        <is>
          <t>TN</t>
        </is>
      </c>
      <c r="D1212" s="20" t="inlineStr">
        <is>
          <t>TN72T1091</t>
        </is>
      </c>
      <c r="E1212" s="20" t="inlineStr">
        <is>
          <t>MARUTI SUZUKI</t>
        </is>
      </c>
      <c r="F1212" s="20" t="inlineStr">
        <is>
          <t>Alto</t>
        </is>
      </c>
      <c r="G1212" s="21" t="n">
        <v>2001</v>
      </c>
      <c r="H1212" s="22" t="n">
        <v>89209</v>
      </c>
      <c r="I1212" s="22" t="n">
        <v>55000</v>
      </c>
      <c r="J1212" s="20" t="inlineStr">
        <is>
          <t>EXCHANGE ROTN</t>
        </is>
      </c>
      <c r="K1212" s="20" t="inlineStr">
        <is>
          <t>Captive</t>
        </is>
      </c>
      <c r="L1212" s="20" t="inlineStr">
        <is>
          <t>SIVASHANKAR CARS</t>
        </is>
      </c>
      <c r="M1212" s="23" t="n">
        <v>5932.2</v>
      </c>
    </row>
    <row r="1213">
      <c r="A1213" s="19" t="inlineStr">
        <is>
          <t>FY27</t>
        </is>
      </c>
      <c r="B1213" s="19" t="inlineStr">
        <is>
          <t>Apr</t>
        </is>
      </c>
      <c r="C1213" s="19" t="inlineStr">
        <is>
          <t>TN</t>
        </is>
      </c>
      <c r="D1213" s="20" t="inlineStr">
        <is>
          <t>TN47AK6867</t>
        </is>
      </c>
      <c r="E1213" s="20" t="inlineStr">
        <is>
          <t>HONDA</t>
        </is>
      </c>
      <c r="F1213" s="20" t="inlineStr">
        <is>
          <t>Wr-V</t>
        </is>
      </c>
      <c r="G1213" s="21" t="n">
        <v>2018</v>
      </c>
      <c r="H1213" s="22" t="n">
        <v>89620</v>
      </c>
      <c r="I1213" s="22" t="n">
        <v>670000</v>
      </c>
      <c r="J1213" s="20" t="inlineStr">
        <is>
          <t>EXCHANGE ROTN</t>
        </is>
      </c>
      <c r="K1213" s="20" t="inlineStr">
        <is>
          <t>Captive</t>
        </is>
      </c>
      <c r="L1213" s="20" t="inlineStr">
        <is>
          <t>Sarvesh Cars</t>
        </is>
      </c>
      <c r="M1213" s="23" t="n">
        <v>4237.29</v>
      </c>
    </row>
    <row r="1214">
      <c r="A1214" s="19" t="inlineStr">
        <is>
          <t>FY27</t>
        </is>
      </c>
      <c r="B1214" s="19" t="inlineStr">
        <is>
          <t>Apr</t>
        </is>
      </c>
      <c r="C1214" s="19" t="inlineStr">
        <is>
          <t>TN</t>
        </is>
      </c>
      <c r="D1214" s="20" t="inlineStr">
        <is>
          <t>TN74AD7121</t>
        </is>
      </c>
      <c r="E1214" s="20" t="inlineStr">
        <is>
          <t>HYUNDAI</t>
        </is>
      </c>
      <c r="F1214" s="20" t="inlineStr">
        <is>
          <t>I20</t>
        </is>
      </c>
      <c r="G1214" s="21" t="n">
        <v>2012</v>
      </c>
      <c r="H1214" s="22" t="n">
        <v>72299</v>
      </c>
      <c r="I1214" s="22" t="n">
        <v>250000</v>
      </c>
      <c r="J1214" s="20" t="inlineStr">
        <is>
          <t>EXCHANGE ROTN</t>
        </is>
      </c>
      <c r="K1214" s="20" t="inlineStr">
        <is>
          <t>Captive</t>
        </is>
      </c>
      <c r="L1214" s="20" t="inlineStr">
        <is>
          <t>KSM AUTO CONSULTING</t>
        </is>
      </c>
      <c r="M1214" s="23" t="n">
        <v>4237.29</v>
      </c>
    </row>
    <row r="1215">
      <c r="A1215" s="19" t="inlineStr">
        <is>
          <t>FY27</t>
        </is>
      </c>
      <c r="B1215" s="19" t="inlineStr">
        <is>
          <t>Apr</t>
        </is>
      </c>
      <c r="C1215" s="19" t="inlineStr">
        <is>
          <t>TN</t>
        </is>
      </c>
      <c r="D1215" s="20" t="inlineStr">
        <is>
          <t>TN45AY9672</t>
        </is>
      </c>
      <c r="E1215" s="20" t="inlineStr">
        <is>
          <t>HYUNDAI</t>
        </is>
      </c>
      <c r="F1215" s="20" t="inlineStr">
        <is>
          <t>I10</t>
        </is>
      </c>
      <c r="G1215" s="21" t="n">
        <v>2009</v>
      </c>
      <c r="H1215" s="22" t="n">
        <v>86945</v>
      </c>
      <c r="I1215" s="22" t="n">
        <v>130000</v>
      </c>
      <c r="J1215" s="20" t="inlineStr">
        <is>
          <t>VISHNU CARS PRIVATE LIMITED</t>
        </is>
      </c>
      <c r="K1215" s="20" t="inlineStr">
        <is>
          <t>Non-Captive</t>
        </is>
      </c>
      <c r="L1215" s="20" t="inlineStr">
        <is>
          <t>Essar Preowned Cars</t>
        </is>
      </c>
      <c r="M1215" s="23" t="n">
        <v>2542.37</v>
      </c>
    </row>
    <row r="1216">
      <c r="A1216" s="19" t="inlineStr">
        <is>
          <t>FY27</t>
        </is>
      </c>
      <c r="B1216" s="19" t="inlineStr">
        <is>
          <t>Apr</t>
        </is>
      </c>
      <c r="C1216" s="19" t="inlineStr">
        <is>
          <t>TN</t>
        </is>
      </c>
      <c r="D1216" s="20" t="inlineStr">
        <is>
          <t>TN31AJ3063</t>
        </is>
      </c>
      <c r="E1216" s="20" t="inlineStr">
        <is>
          <t>MARUTI SUZUKI</t>
        </is>
      </c>
      <c r="F1216" s="20" t="inlineStr">
        <is>
          <t>Alto</t>
        </is>
      </c>
      <c r="G1216" s="21" t="n">
        <v>2013</v>
      </c>
      <c r="H1216" s="22" t="n">
        <v>99999</v>
      </c>
      <c r="I1216" s="22" t="n">
        <v>170000</v>
      </c>
      <c r="J1216" s="20" t="inlineStr">
        <is>
          <t>VISHNU CARS PRIVATE LIMITED</t>
        </is>
      </c>
      <c r="K1216" s="20" t="inlineStr">
        <is>
          <t>Non-Captive</t>
        </is>
      </c>
      <c r="L1216" s="20" t="inlineStr">
        <is>
          <t>Essar Preowned Cars</t>
        </is>
      </c>
      <c r="M1216" s="23" t="n">
        <v>2542.37</v>
      </c>
    </row>
    <row r="1217">
      <c r="A1217" s="19" t="inlineStr">
        <is>
          <t>FY27</t>
        </is>
      </c>
      <c r="B1217" s="19" t="inlineStr">
        <is>
          <t>Apr</t>
        </is>
      </c>
      <c r="C1217" s="19" t="inlineStr">
        <is>
          <t>TN</t>
        </is>
      </c>
      <c r="D1217" s="20" t="inlineStr">
        <is>
          <t>TN22EA0931</t>
        </is>
      </c>
      <c r="E1217" s="20" t="inlineStr">
        <is>
          <t>MARUTI SUZUKI</t>
        </is>
      </c>
      <c r="F1217" s="20" t="inlineStr">
        <is>
          <t>Swift</t>
        </is>
      </c>
      <c r="G1217" s="21" t="n">
        <v>2008</v>
      </c>
      <c r="H1217" s="22" t="n">
        <v>122514</v>
      </c>
      <c r="I1217" s="22" t="n">
        <v>200000</v>
      </c>
      <c r="J1217" s="20" t="inlineStr">
        <is>
          <t>ABT LIMITED</t>
        </is>
      </c>
      <c r="K1217" s="20" t="inlineStr">
        <is>
          <t>Non-Captive</t>
        </is>
      </c>
      <c r="L1217" s="20" t="inlineStr">
        <is>
          <t>Essar Preowned Cars</t>
        </is>
      </c>
      <c r="M1217" s="23" t="n">
        <v>2542.37</v>
      </c>
    </row>
    <row r="1218">
      <c r="A1218" s="19" t="inlineStr">
        <is>
          <t>FY27</t>
        </is>
      </c>
      <c r="B1218" s="19" t="inlineStr">
        <is>
          <t>Apr</t>
        </is>
      </c>
      <c r="C1218" s="19" t="inlineStr">
        <is>
          <t>TN</t>
        </is>
      </c>
      <c r="D1218" s="20" t="inlineStr">
        <is>
          <t>TN22DM9274</t>
        </is>
      </c>
      <c r="E1218" s="20" t="inlineStr">
        <is>
          <t>MARUTI SUZUKI</t>
        </is>
      </c>
      <c r="F1218" s="20" t="inlineStr">
        <is>
          <t>Alto</t>
        </is>
      </c>
      <c r="G1218" s="21" t="n">
        <v>2018</v>
      </c>
      <c r="H1218" s="22" t="n">
        <v>54763</v>
      </c>
      <c r="I1218" s="22" t="n">
        <v>200000</v>
      </c>
      <c r="J1218" s="20" t="inlineStr">
        <is>
          <t>POPULAR VEHICLES AND SERVICES LIMITED</t>
        </is>
      </c>
      <c r="K1218" s="20" t="inlineStr">
        <is>
          <t>Non-Captive</t>
        </is>
      </c>
      <c r="L1218" s="20" t="inlineStr">
        <is>
          <t>Essar Preowned Cars</t>
        </is>
      </c>
      <c r="M1218" s="23" t="n">
        <v>3389.83</v>
      </c>
    </row>
    <row r="1219">
      <c r="A1219" s="19" t="inlineStr">
        <is>
          <t>FY27</t>
        </is>
      </c>
      <c r="B1219" s="19" t="inlineStr">
        <is>
          <t>Apr</t>
        </is>
      </c>
      <c r="C1219" s="19" t="inlineStr">
        <is>
          <t>TN</t>
        </is>
      </c>
      <c r="D1219" s="20" t="inlineStr">
        <is>
          <t>TN22DA8998</t>
        </is>
      </c>
      <c r="E1219" s="20" t="inlineStr">
        <is>
          <t>MARUTI SUZUKI</t>
        </is>
      </c>
      <c r="F1219" s="20" t="inlineStr">
        <is>
          <t>Alto</t>
        </is>
      </c>
      <c r="G1219" s="21" t="n">
        <v>2015</v>
      </c>
      <c r="H1219" s="22" t="n">
        <v>131168</v>
      </c>
      <c r="I1219" s="22" t="n">
        <v>200000</v>
      </c>
      <c r="J1219" s="20" t="inlineStr">
        <is>
          <t>VISHNU CARS PRIVATE LIMITED</t>
        </is>
      </c>
      <c r="K1219" s="20" t="inlineStr">
        <is>
          <t>Non-Captive</t>
        </is>
      </c>
      <c r="L1219" s="20" t="inlineStr">
        <is>
          <t>Essar Preowned Cars</t>
        </is>
      </c>
      <c r="M1219" s="23" t="n">
        <v>2542.37</v>
      </c>
    </row>
    <row r="1220">
      <c r="A1220" s="19" t="inlineStr">
        <is>
          <t>FY27</t>
        </is>
      </c>
      <c r="B1220" s="19" t="inlineStr">
        <is>
          <t>Apr</t>
        </is>
      </c>
      <c r="C1220" s="19" t="inlineStr">
        <is>
          <t>TN</t>
        </is>
      </c>
      <c r="D1220" s="20" t="inlineStr">
        <is>
          <t>TN22CY9522</t>
        </is>
      </c>
      <c r="E1220" s="20" t="inlineStr">
        <is>
          <t>HYUNDAI</t>
        </is>
      </c>
      <c r="F1220" s="20" t="inlineStr">
        <is>
          <t>I20</t>
        </is>
      </c>
      <c r="G1220" s="21" t="n">
        <v>2011</v>
      </c>
      <c r="H1220" s="22" t="n">
        <v>105101</v>
      </c>
      <c r="I1220" s="22" t="n">
        <v>200000</v>
      </c>
      <c r="J1220" s="20" t="inlineStr">
        <is>
          <t>POPULAR VEHICLES AND SERVICES LIMITED</t>
        </is>
      </c>
      <c r="K1220" s="20" t="inlineStr">
        <is>
          <t>Non-Captive</t>
        </is>
      </c>
      <c r="L1220" s="20" t="inlineStr">
        <is>
          <t>Essar Preowned Cars</t>
        </is>
      </c>
      <c r="M1220" s="23" t="n">
        <v>2542.37</v>
      </c>
    </row>
    <row r="1221">
      <c r="A1221" s="19" t="inlineStr">
        <is>
          <t>FY27</t>
        </is>
      </c>
      <c r="B1221" s="19" t="inlineStr">
        <is>
          <t>Apr</t>
        </is>
      </c>
      <c r="C1221" s="19" t="inlineStr">
        <is>
          <t>TN</t>
        </is>
      </c>
      <c r="D1221" s="20" t="inlineStr">
        <is>
          <t>TN22CW4901</t>
        </is>
      </c>
      <c r="E1221" s="20" t="inlineStr">
        <is>
          <t>MARUTI SUZUKI</t>
        </is>
      </c>
      <c r="F1221" s="20" t="inlineStr">
        <is>
          <t>Swift</t>
        </is>
      </c>
      <c r="G1221" s="21" t="n">
        <v>2011</v>
      </c>
      <c r="H1221" s="22" t="n">
        <v>181773</v>
      </c>
      <c r="I1221" s="22" t="n">
        <v>170000</v>
      </c>
      <c r="J1221" s="20" t="inlineStr">
        <is>
          <t>VISHNU CARS PRIVATE LIMITED</t>
        </is>
      </c>
      <c r="K1221" s="20" t="inlineStr">
        <is>
          <t>Non-Captive</t>
        </is>
      </c>
      <c r="L1221" s="20" t="inlineStr">
        <is>
          <t>Essar Preowned Cars</t>
        </is>
      </c>
      <c r="M1221" s="23" t="n">
        <v>2542.37</v>
      </c>
    </row>
    <row r="1222">
      <c r="A1222" s="19" t="inlineStr">
        <is>
          <t>FY27</t>
        </is>
      </c>
      <c r="B1222" s="19" t="inlineStr">
        <is>
          <t>Apr</t>
        </is>
      </c>
      <c r="C1222" s="19" t="inlineStr">
        <is>
          <t>TN</t>
        </is>
      </c>
      <c r="D1222" s="20" t="inlineStr">
        <is>
          <t>TN22CU1198</t>
        </is>
      </c>
      <c r="E1222" s="20" t="inlineStr">
        <is>
          <t>MARUTI SUZUKI</t>
        </is>
      </c>
      <c r="F1222" s="20" t="inlineStr">
        <is>
          <t>Alto</t>
        </is>
      </c>
      <c r="G1222" s="21" t="n">
        <v>2011</v>
      </c>
      <c r="H1222" s="22" t="n">
        <v>52602</v>
      </c>
      <c r="I1222" s="22" t="n">
        <v>111000</v>
      </c>
      <c r="J1222" s="20" t="inlineStr">
        <is>
          <t>VISHNU CARS PRIVATE LIMITED</t>
        </is>
      </c>
      <c r="K1222" s="20" t="inlineStr">
        <is>
          <t>Non-Captive</t>
        </is>
      </c>
      <c r="L1222" s="20" t="inlineStr">
        <is>
          <t>Essar Preowned Cars</t>
        </is>
      </c>
      <c r="M1222" s="23" t="n">
        <v>2542.37</v>
      </c>
    </row>
    <row r="1223">
      <c r="A1223" s="19" t="inlineStr">
        <is>
          <t>FY27</t>
        </is>
      </c>
      <c r="B1223" s="19" t="inlineStr">
        <is>
          <t>Apr</t>
        </is>
      </c>
      <c r="C1223" s="19" t="inlineStr">
        <is>
          <t>TN</t>
        </is>
      </c>
      <c r="D1223" s="20" t="inlineStr">
        <is>
          <t>TN22BR3765</t>
        </is>
      </c>
      <c r="E1223" s="20" t="inlineStr">
        <is>
          <t>HYUNDAI</t>
        </is>
      </c>
      <c r="F1223" s="20" t="inlineStr">
        <is>
          <t>I20</t>
        </is>
      </c>
      <c r="G1223" s="21" t="n">
        <v>2010</v>
      </c>
      <c r="H1223" s="22" t="n">
        <v>150716</v>
      </c>
      <c r="I1223" s="22" t="n">
        <v>200000</v>
      </c>
      <c r="J1223" s="20" t="inlineStr">
        <is>
          <t>POPULAR VEHICLES AND SERVICES LIMITED</t>
        </is>
      </c>
      <c r="K1223" s="20" t="inlineStr">
        <is>
          <t>Non-Captive</t>
        </is>
      </c>
      <c r="L1223" s="20" t="inlineStr">
        <is>
          <t>Senthil Cars</t>
        </is>
      </c>
      <c r="M1223" s="23" t="n">
        <v>2542.37</v>
      </c>
    </row>
    <row r="1224">
      <c r="A1224" s="19" t="inlineStr">
        <is>
          <t>FY27</t>
        </is>
      </c>
      <c r="B1224" s="19" t="inlineStr">
        <is>
          <t>Apr</t>
        </is>
      </c>
      <c r="C1224" s="19" t="inlineStr">
        <is>
          <t>TN</t>
        </is>
      </c>
      <c r="D1224" s="20" t="inlineStr">
        <is>
          <t>TN22BR1136</t>
        </is>
      </c>
      <c r="E1224" s="20" t="inlineStr">
        <is>
          <t>MARUTI SUZUKI</t>
        </is>
      </c>
      <c r="F1224" s="20" t="inlineStr">
        <is>
          <t>Ritz</t>
        </is>
      </c>
      <c r="G1224" s="21" t="n">
        <v>2010</v>
      </c>
      <c r="H1224" s="22" t="n">
        <v>20935</v>
      </c>
      <c r="I1224" s="22" t="n">
        <v>200000</v>
      </c>
      <c r="J1224" s="20" t="inlineStr">
        <is>
          <t>VISHNU CARS PRIVATE LIMITED</t>
        </is>
      </c>
      <c r="K1224" s="20" t="inlineStr">
        <is>
          <t>Non-Captive</t>
        </is>
      </c>
      <c r="L1224" s="20" t="inlineStr">
        <is>
          <t>Senthil Cars</t>
        </is>
      </c>
      <c r="M1224" s="23" t="n">
        <v>3389.83</v>
      </c>
    </row>
    <row r="1225">
      <c r="A1225" s="19" t="inlineStr">
        <is>
          <t>FY27</t>
        </is>
      </c>
      <c r="B1225" s="19" t="inlineStr">
        <is>
          <t>Apr</t>
        </is>
      </c>
      <c r="C1225" s="19" t="inlineStr">
        <is>
          <t>TN</t>
        </is>
      </c>
      <c r="D1225" s="20" t="inlineStr">
        <is>
          <t>TN01AK8996</t>
        </is>
      </c>
      <c r="E1225" s="20" t="inlineStr">
        <is>
          <t>HYUNDAI</t>
        </is>
      </c>
      <c r="F1225" s="20" t="inlineStr">
        <is>
          <t>I20</t>
        </is>
      </c>
      <c r="G1225" s="21" t="n">
        <v>2010</v>
      </c>
      <c r="H1225" s="22" t="n">
        <v>105101</v>
      </c>
      <c r="I1225" s="22" t="n">
        <v>200000</v>
      </c>
      <c r="J1225" s="20" t="inlineStr">
        <is>
          <t>POPULAR VEHICLES AND SERVICES LIMITED</t>
        </is>
      </c>
      <c r="K1225" s="20" t="inlineStr">
        <is>
          <t>Non-Captive</t>
        </is>
      </c>
      <c r="L1225" s="20" t="inlineStr">
        <is>
          <t>Senthil Cars</t>
        </is>
      </c>
      <c r="M1225" s="23" t="n">
        <v>2542.37</v>
      </c>
    </row>
    <row r="1226">
      <c r="A1226" s="19" t="inlineStr">
        <is>
          <t>FY27</t>
        </is>
      </c>
      <c r="B1226" s="19" t="inlineStr">
        <is>
          <t>Apr</t>
        </is>
      </c>
      <c r="C1226" s="19" t="inlineStr">
        <is>
          <t>TN</t>
        </is>
      </c>
      <c r="D1226" s="20" t="inlineStr">
        <is>
          <t>TN22BH0270</t>
        </is>
      </c>
      <c r="E1226" s="20" t="inlineStr">
        <is>
          <t>MARUTI SUZUKI</t>
        </is>
      </c>
      <c r="F1226" s="20" t="inlineStr">
        <is>
          <t>Wagon R</t>
        </is>
      </c>
      <c r="G1226" s="21" t="n">
        <v>2009</v>
      </c>
      <c r="H1226" s="22" t="n">
        <v>114554</v>
      </c>
      <c r="I1226" s="22" t="n">
        <v>130000</v>
      </c>
      <c r="J1226" s="20" t="inlineStr">
        <is>
          <t>VISHNU CARS PRIVATE LIMITED</t>
        </is>
      </c>
      <c r="K1226" s="20" t="inlineStr">
        <is>
          <t>Non-Captive</t>
        </is>
      </c>
      <c r="L1226" s="20" t="inlineStr">
        <is>
          <t>S2 Cars</t>
        </is>
      </c>
      <c r="M1226" s="23" t="n">
        <v>2542.37</v>
      </c>
    </row>
    <row r="1227">
      <c r="A1227" s="19" t="inlineStr">
        <is>
          <t>FY27</t>
        </is>
      </c>
      <c r="B1227" s="19" t="inlineStr">
        <is>
          <t>Apr</t>
        </is>
      </c>
      <c r="C1227" s="19" t="inlineStr">
        <is>
          <t>TN</t>
        </is>
      </c>
      <c r="D1227" s="20" t="inlineStr">
        <is>
          <t>TN22BF1723</t>
        </is>
      </c>
      <c r="E1227" s="20" t="inlineStr">
        <is>
          <t>MARUTI SUZUKI</t>
        </is>
      </c>
      <c r="F1227" s="20" t="inlineStr">
        <is>
          <t>Ritz</t>
        </is>
      </c>
      <c r="G1227" s="21" t="n">
        <v>2009</v>
      </c>
      <c r="H1227" s="22" t="n">
        <v>99999</v>
      </c>
      <c r="I1227" s="22" t="n">
        <v>90000</v>
      </c>
      <c r="J1227" s="20" t="inlineStr">
        <is>
          <t>VISHNU CARS PRIVATE LIMITED</t>
        </is>
      </c>
      <c r="K1227" s="20" t="inlineStr">
        <is>
          <t>Non-Captive</t>
        </is>
      </c>
      <c r="L1227" s="20" t="inlineStr">
        <is>
          <t>S2 Cars</t>
        </is>
      </c>
      <c r="M1227" s="23" t="n">
        <v>2542.37</v>
      </c>
    </row>
    <row r="1228">
      <c r="A1228" s="19" t="inlineStr">
        <is>
          <t>FY27</t>
        </is>
      </c>
      <c r="B1228" s="19" t="inlineStr">
        <is>
          <t>Apr</t>
        </is>
      </c>
      <c r="C1228" s="19" t="inlineStr">
        <is>
          <t>TN</t>
        </is>
      </c>
      <c r="D1228" s="20" t="inlineStr">
        <is>
          <t>TN20CC4801</t>
        </is>
      </c>
      <c r="E1228" s="20" t="inlineStr">
        <is>
          <t>MARUTI SUZUKI</t>
        </is>
      </c>
      <c r="F1228" s="20" t="inlineStr">
        <is>
          <t>Omni</t>
        </is>
      </c>
      <c r="G1228" s="21" t="n">
        <v>2013</v>
      </c>
      <c r="H1228" s="22" t="n">
        <v>63804</v>
      </c>
      <c r="I1228" s="22" t="n">
        <v>180000</v>
      </c>
      <c r="J1228" s="20" t="inlineStr">
        <is>
          <t>POPULAR VEHICLES AND SERVICES LIMITED</t>
        </is>
      </c>
      <c r="K1228" s="20" t="inlineStr">
        <is>
          <t>Non-Captive</t>
        </is>
      </c>
      <c r="L1228" s="20" t="inlineStr">
        <is>
          <t>S2 Cars</t>
        </is>
      </c>
      <c r="M1228" s="23" t="n">
        <v>2542.37</v>
      </c>
    </row>
    <row r="1229">
      <c r="A1229" s="19" t="inlineStr">
        <is>
          <t>FY27</t>
        </is>
      </c>
      <c r="B1229" s="19" t="inlineStr">
        <is>
          <t>Apr</t>
        </is>
      </c>
      <c r="C1229" s="19" t="inlineStr">
        <is>
          <t>TN</t>
        </is>
      </c>
      <c r="D1229" s="20" t="inlineStr">
        <is>
          <t>TN20BS3926</t>
        </is>
      </c>
      <c r="E1229" s="20" t="inlineStr">
        <is>
          <t>MARUTI SUZUKI</t>
        </is>
      </c>
      <c r="F1229" s="20" t="inlineStr">
        <is>
          <t>Wagon R</t>
        </is>
      </c>
      <c r="G1229" s="21" t="n">
        <v>2010</v>
      </c>
      <c r="H1229" s="22" t="n">
        <v>35070</v>
      </c>
      <c r="I1229" s="22" t="n">
        <v>100000</v>
      </c>
      <c r="J1229" s="20" t="inlineStr">
        <is>
          <t>ABT LIMITED</t>
        </is>
      </c>
      <c r="K1229" s="20" t="inlineStr">
        <is>
          <t>Non-Captive</t>
        </is>
      </c>
      <c r="L1229" s="20" t="inlineStr">
        <is>
          <t>Thiya Cars</t>
        </is>
      </c>
      <c r="M1229" s="23" t="n">
        <v>2542.37</v>
      </c>
    </row>
    <row r="1230">
      <c r="A1230" s="19" t="inlineStr">
        <is>
          <t>FY27</t>
        </is>
      </c>
      <c r="B1230" s="19" t="inlineStr">
        <is>
          <t>Apr</t>
        </is>
      </c>
      <c r="C1230" s="19" t="inlineStr">
        <is>
          <t>TN</t>
        </is>
      </c>
      <c r="D1230" s="20" t="inlineStr">
        <is>
          <t>TN20BK4928</t>
        </is>
      </c>
      <c r="E1230" s="20" t="inlineStr">
        <is>
          <t>MARUTI SUZUKI</t>
        </is>
      </c>
      <c r="F1230" s="20" t="inlineStr">
        <is>
          <t>Alto K10</t>
        </is>
      </c>
      <c r="G1230" s="21" t="n">
        <v>2012</v>
      </c>
      <c r="H1230" s="22" t="n">
        <v>31283</v>
      </c>
      <c r="I1230" s="22" t="n">
        <v>160000</v>
      </c>
      <c r="J1230" s="20" t="inlineStr">
        <is>
          <t>ABT LIMITED</t>
        </is>
      </c>
      <c r="K1230" s="20" t="inlineStr">
        <is>
          <t>Non-Captive</t>
        </is>
      </c>
      <c r="L1230" s="20" t="inlineStr">
        <is>
          <t>Thiya Cars</t>
        </is>
      </c>
      <c r="M1230" s="23" t="n">
        <v>2542.37</v>
      </c>
    </row>
    <row r="1231">
      <c r="A1231" s="19" t="inlineStr">
        <is>
          <t>FY27</t>
        </is>
      </c>
      <c r="B1231" s="19" t="inlineStr">
        <is>
          <t>Apr</t>
        </is>
      </c>
      <c r="C1231" s="19" t="inlineStr">
        <is>
          <t>TN</t>
        </is>
      </c>
      <c r="D1231" s="20" t="inlineStr">
        <is>
          <t>TN20AL4088</t>
        </is>
      </c>
      <c r="E1231" s="20" t="inlineStr">
        <is>
          <t>MARUTI SUZUKI</t>
        </is>
      </c>
      <c r="F1231" s="20" t="inlineStr">
        <is>
          <t>Sx4</t>
        </is>
      </c>
      <c r="G1231" s="21" t="n">
        <v>2008</v>
      </c>
      <c r="H1231" s="22" t="n">
        <v>98500</v>
      </c>
      <c r="I1231" s="22" t="n">
        <v>70000</v>
      </c>
      <c r="J1231" s="20" t="inlineStr">
        <is>
          <t>VISHNU CARS PRIVATE LIMITED</t>
        </is>
      </c>
      <c r="K1231" s="20" t="inlineStr">
        <is>
          <t>Non-Captive</t>
        </is>
      </c>
      <c r="L1231" s="20" t="inlineStr">
        <is>
          <t>TSM</t>
        </is>
      </c>
      <c r="M1231" s="23" t="n">
        <v>2542.37</v>
      </c>
    </row>
    <row r="1232">
      <c r="A1232" s="19" t="inlineStr">
        <is>
          <t>FY27</t>
        </is>
      </c>
      <c r="B1232" s="19" t="inlineStr">
        <is>
          <t>Apr</t>
        </is>
      </c>
      <c r="C1232" s="19" t="inlineStr">
        <is>
          <t>TN</t>
        </is>
      </c>
      <c r="D1232" s="20" t="inlineStr">
        <is>
          <t>TN19L6450</t>
        </is>
      </c>
      <c r="E1232" s="20" t="inlineStr">
        <is>
          <t>MARUTI SUZUKI</t>
        </is>
      </c>
      <c r="F1232" s="20" t="inlineStr">
        <is>
          <t>Alto</t>
        </is>
      </c>
      <c r="G1232" s="21" t="n">
        <v>2013</v>
      </c>
      <c r="H1232" s="22" t="n">
        <v>61207</v>
      </c>
      <c r="I1232" s="22" t="n">
        <v>180000</v>
      </c>
      <c r="J1232" s="20" t="inlineStr">
        <is>
          <t>VISHNU CARS PRIVATE LIMITED</t>
        </is>
      </c>
      <c r="K1232" s="20" t="inlineStr">
        <is>
          <t>Non-Captive</t>
        </is>
      </c>
      <c r="L1232" s="20" t="inlineStr">
        <is>
          <t>TSM</t>
        </is>
      </c>
      <c r="M1232" s="23" t="n">
        <v>2542.37</v>
      </c>
    </row>
    <row r="1233">
      <c r="A1233" s="19" t="inlineStr">
        <is>
          <t>FY27</t>
        </is>
      </c>
      <c r="B1233" s="19" t="inlineStr">
        <is>
          <t>Apr</t>
        </is>
      </c>
      <c r="C1233" s="19" t="inlineStr">
        <is>
          <t>TN</t>
        </is>
      </c>
      <c r="D1233" s="20" t="inlineStr">
        <is>
          <t>TN19H8700</t>
        </is>
      </c>
      <c r="E1233" s="20" t="inlineStr">
        <is>
          <t>CHEVROLET</t>
        </is>
      </c>
      <c r="F1233" s="20" t="inlineStr">
        <is>
          <t>Beat</t>
        </is>
      </c>
      <c r="G1233" s="21" t="n">
        <v>2012</v>
      </c>
      <c r="H1233" s="22" t="n">
        <v>101416</v>
      </c>
      <c r="I1233" s="22" t="n">
        <v>150000</v>
      </c>
      <c r="J1233" s="20" t="inlineStr">
        <is>
          <t>VISHNU CARS PRIVATE LIMITED</t>
        </is>
      </c>
      <c r="K1233" s="20" t="inlineStr">
        <is>
          <t>Non-Captive</t>
        </is>
      </c>
      <c r="L1233" s="20" t="inlineStr">
        <is>
          <t>Nirmal Cars</t>
        </is>
      </c>
      <c r="M1233" s="23" t="n">
        <v>2542.37</v>
      </c>
    </row>
    <row r="1234">
      <c r="A1234" s="19" t="inlineStr">
        <is>
          <t>FY27</t>
        </is>
      </c>
      <c r="B1234" s="19" t="inlineStr">
        <is>
          <t>Apr</t>
        </is>
      </c>
      <c r="C1234" s="19" t="inlineStr">
        <is>
          <t>TN</t>
        </is>
      </c>
      <c r="D1234" s="20" t="inlineStr">
        <is>
          <t>TN19AC0806</t>
        </is>
      </c>
      <c r="E1234" s="20" t="inlineStr">
        <is>
          <t>MARUTI SUZUKI</t>
        </is>
      </c>
      <c r="F1234" s="20" t="inlineStr">
        <is>
          <t>Celerio</t>
        </is>
      </c>
      <c r="G1234" s="21" t="n">
        <v>2016</v>
      </c>
      <c r="H1234" s="22" t="n">
        <v>121070</v>
      </c>
      <c r="I1234" s="22" t="n">
        <v>170000</v>
      </c>
      <c r="J1234" s="20" t="inlineStr">
        <is>
          <t>VISHNU CARS PRIVATE LIMITED</t>
        </is>
      </c>
      <c r="K1234" s="20" t="inlineStr">
        <is>
          <t>Non-Captive</t>
        </is>
      </c>
      <c r="L1234" s="20" t="inlineStr">
        <is>
          <t>KB Motor</t>
        </is>
      </c>
      <c r="M1234" s="23" t="n">
        <v>2542.37</v>
      </c>
    </row>
    <row r="1235">
      <c r="A1235" s="19" t="inlineStr">
        <is>
          <t>FY27</t>
        </is>
      </c>
      <c r="B1235" s="19" t="inlineStr">
        <is>
          <t>Apr</t>
        </is>
      </c>
      <c r="C1235" s="19" t="inlineStr">
        <is>
          <t>TN</t>
        </is>
      </c>
      <c r="D1235" s="20" t="inlineStr">
        <is>
          <t>TN18V9966</t>
        </is>
      </c>
      <c r="E1235" s="20" t="inlineStr">
        <is>
          <t>MARUTI SUZUKI</t>
        </is>
      </c>
      <c r="F1235" s="20" t="inlineStr">
        <is>
          <t>Alto</t>
        </is>
      </c>
      <c r="G1235" s="21" t="n">
        <v>2013</v>
      </c>
      <c r="H1235" s="22" t="n">
        <v>65452</v>
      </c>
      <c r="I1235" s="22" t="n">
        <v>155000</v>
      </c>
      <c r="J1235" s="20" t="inlineStr">
        <is>
          <t>ABT LIMITED</t>
        </is>
      </c>
      <c r="K1235" s="20" t="inlineStr">
        <is>
          <t>Non-Captive</t>
        </is>
      </c>
      <c r="L1235" s="20" t="inlineStr">
        <is>
          <t>KB Motor</t>
        </is>
      </c>
      <c r="M1235" s="23" t="n">
        <v>2542.37</v>
      </c>
    </row>
    <row r="1236">
      <c r="A1236" s="19" t="inlineStr">
        <is>
          <t>FY27</t>
        </is>
      </c>
      <c r="B1236" s="19" t="inlineStr">
        <is>
          <t>Apr</t>
        </is>
      </c>
      <c r="C1236" s="19" t="inlineStr">
        <is>
          <t>TN</t>
        </is>
      </c>
      <c r="D1236" s="20" t="inlineStr">
        <is>
          <t>TN18V9087</t>
        </is>
      </c>
      <c r="E1236" s="20" t="inlineStr">
        <is>
          <t>MARUTI SUZUKI</t>
        </is>
      </c>
      <c r="F1236" s="20" t="inlineStr">
        <is>
          <t>Ritz</t>
        </is>
      </c>
      <c r="G1236" s="21" t="n">
        <v>2013</v>
      </c>
      <c r="H1236" s="22" t="n">
        <v>9899</v>
      </c>
      <c r="I1236" s="22" t="n">
        <v>180000</v>
      </c>
      <c r="J1236" s="20" t="inlineStr">
        <is>
          <t>ABT LIMITED</t>
        </is>
      </c>
      <c r="K1236" s="20" t="inlineStr">
        <is>
          <t>Non-Captive</t>
        </is>
      </c>
      <c r="L1236" s="20" t="inlineStr">
        <is>
          <t>KB Motor</t>
        </is>
      </c>
      <c r="M1236" s="23" t="n">
        <v>2542.37</v>
      </c>
    </row>
    <row r="1237">
      <c r="A1237" s="19" t="inlineStr">
        <is>
          <t>FY27</t>
        </is>
      </c>
      <c r="B1237" s="19" t="inlineStr">
        <is>
          <t>Apr</t>
        </is>
      </c>
      <c r="C1237" s="19" t="inlineStr">
        <is>
          <t>TN</t>
        </is>
      </c>
      <c r="D1237" s="20" t="inlineStr">
        <is>
          <t>TN18D8443</t>
        </is>
      </c>
      <c r="E1237" s="20" t="inlineStr">
        <is>
          <t>MARUTI SUZUKI</t>
        </is>
      </c>
      <c r="F1237" s="20" t="inlineStr">
        <is>
          <t>Wagon R</t>
        </is>
      </c>
      <c r="G1237" s="21" t="n">
        <v>2010</v>
      </c>
      <c r="H1237" s="22" t="n">
        <v>123459</v>
      </c>
      <c r="I1237" s="22" t="n">
        <v>140000</v>
      </c>
      <c r="J1237" s="20" t="inlineStr">
        <is>
          <t>POPULAR VEHICLES AND SERVICES LIMITED</t>
        </is>
      </c>
      <c r="K1237" s="20" t="inlineStr">
        <is>
          <t>Non-Captive</t>
        </is>
      </c>
      <c r="L1237" s="20" t="inlineStr">
        <is>
          <t>KB Motor</t>
        </is>
      </c>
      <c r="M1237" s="23" t="n">
        <v>2542.37</v>
      </c>
    </row>
    <row r="1238">
      <c r="A1238" s="19" t="inlineStr">
        <is>
          <t>FY27</t>
        </is>
      </c>
      <c r="B1238" s="19" t="inlineStr">
        <is>
          <t>Apr</t>
        </is>
      </c>
      <c r="C1238" s="19" t="inlineStr">
        <is>
          <t>TN</t>
        </is>
      </c>
      <c r="D1238" s="20" t="inlineStr">
        <is>
          <t>TN14F9004</t>
        </is>
      </c>
      <c r="E1238" s="20" t="inlineStr">
        <is>
          <t>MARUTI SUZUKI</t>
        </is>
      </c>
      <c r="F1238" s="20" t="inlineStr">
        <is>
          <t>Alto</t>
        </is>
      </c>
      <c r="G1238" s="21" t="n">
        <v>2016</v>
      </c>
      <c r="H1238" s="22" t="n">
        <v>94521</v>
      </c>
      <c r="I1238" s="22" t="n">
        <v>160000</v>
      </c>
      <c r="J1238" s="20" t="inlineStr">
        <is>
          <t>VISHNU CARS PRIVATE LIMITED</t>
        </is>
      </c>
      <c r="K1238" s="20" t="inlineStr">
        <is>
          <t>Non-Captive</t>
        </is>
      </c>
      <c r="L1238" s="20" t="inlineStr">
        <is>
          <t>Vijaya Cars</t>
        </is>
      </c>
      <c r="M1238" s="23" t="n">
        <v>2542.37</v>
      </c>
    </row>
    <row r="1239">
      <c r="A1239" s="19" t="inlineStr">
        <is>
          <t>FY27</t>
        </is>
      </c>
      <c r="B1239" s="19" t="inlineStr">
        <is>
          <t>Apr</t>
        </is>
      </c>
      <c r="C1239" s="19" t="inlineStr">
        <is>
          <t>TN</t>
        </is>
      </c>
      <c r="D1239" s="20" t="inlineStr">
        <is>
          <t>TN14F0029</t>
        </is>
      </c>
      <c r="E1239" s="20" t="inlineStr">
        <is>
          <t>MARUTI SUZUKI</t>
        </is>
      </c>
      <c r="F1239" s="20" t="inlineStr">
        <is>
          <t>Alto</t>
        </is>
      </c>
      <c r="G1239" s="21" t="n">
        <v>2016</v>
      </c>
      <c r="H1239" s="22" t="n">
        <v>58148</v>
      </c>
      <c r="I1239" s="22" t="n">
        <v>150000</v>
      </c>
      <c r="J1239" s="20" t="inlineStr">
        <is>
          <t>ABT LIMITED</t>
        </is>
      </c>
      <c r="K1239" s="20" t="inlineStr">
        <is>
          <t>Non-Captive</t>
        </is>
      </c>
      <c r="L1239" s="20" t="inlineStr">
        <is>
          <t>Vijaya Cars</t>
        </is>
      </c>
      <c r="M1239" s="23" t="n">
        <v>2542.37</v>
      </c>
    </row>
    <row r="1240">
      <c r="A1240" s="19" t="inlineStr">
        <is>
          <t>FY27</t>
        </is>
      </c>
      <c r="B1240" s="19" t="inlineStr">
        <is>
          <t>Apr</t>
        </is>
      </c>
      <c r="C1240" s="19" t="inlineStr">
        <is>
          <t>TN</t>
        </is>
      </c>
      <c r="D1240" s="20" t="inlineStr">
        <is>
          <t>TN13F9734</t>
        </is>
      </c>
      <c r="E1240" s="20" t="inlineStr">
        <is>
          <t>DATSUN</t>
        </is>
      </c>
      <c r="F1240" s="20" t="inlineStr">
        <is>
          <t>Redi-Go</t>
        </is>
      </c>
      <c r="G1240" s="21" t="n">
        <v>2016</v>
      </c>
      <c r="H1240" s="22" t="n">
        <v>46412</v>
      </c>
      <c r="I1240" s="22" t="n">
        <v>160000</v>
      </c>
      <c r="J1240" s="20" t="inlineStr">
        <is>
          <t>POPULAR VEHICLES AND SERVICES LIMITED</t>
        </is>
      </c>
      <c r="K1240" s="20" t="inlineStr">
        <is>
          <t>Non-Captive</t>
        </is>
      </c>
      <c r="L1240" s="20" t="inlineStr">
        <is>
          <t>Vijaya Cars</t>
        </is>
      </c>
      <c r="M1240" s="23" t="n">
        <v>2542.37</v>
      </c>
    </row>
    <row r="1241">
      <c r="A1241" s="19" t="inlineStr">
        <is>
          <t>FY27</t>
        </is>
      </c>
      <c r="B1241" s="19" t="inlineStr">
        <is>
          <t>Apr</t>
        </is>
      </c>
      <c r="C1241" s="19" t="inlineStr">
        <is>
          <t>TN</t>
        </is>
      </c>
      <c r="D1241" s="20" t="inlineStr">
        <is>
          <t>TN12M0039</t>
        </is>
      </c>
      <c r="E1241" s="20" t="inlineStr">
        <is>
          <t>TATA</t>
        </is>
      </c>
      <c r="F1241" s="20" t="inlineStr">
        <is>
          <t>Indica</t>
        </is>
      </c>
      <c r="G1241" s="21" t="n">
        <v>2016</v>
      </c>
      <c r="H1241" s="22" t="n">
        <v>99999</v>
      </c>
      <c r="I1241" s="22" t="n">
        <v>100000</v>
      </c>
      <c r="J1241" s="20" t="inlineStr">
        <is>
          <t>VISHNU CARS PRIVATE LIMITED</t>
        </is>
      </c>
      <c r="K1241" s="20" t="inlineStr">
        <is>
          <t>Non-Captive</t>
        </is>
      </c>
      <c r="L1241" s="20" t="inlineStr">
        <is>
          <t>Vijaya Cars</t>
        </is>
      </c>
      <c r="M1241" s="23" t="n">
        <v>2542.37</v>
      </c>
    </row>
    <row r="1242">
      <c r="A1242" s="19" t="inlineStr">
        <is>
          <t>FY27</t>
        </is>
      </c>
      <c r="B1242" s="19" t="inlineStr">
        <is>
          <t>Apr</t>
        </is>
      </c>
      <c r="C1242" s="19" t="inlineStr">
        <is>
          <t>TN</t>
        </is>
      </c>
      <c r="D1242" s="20" t="inlineStr">
        <is>
          <t>TN12K8026</t>
        </is>
      </c>
      <c r="E1242" s="20" t="inlineStr">
        <is>
          <t>MARUTI SUZUKI</t>
        </is>
      </c>
      <c r="F1242" s="20" t="inlineStr">
        <is>
          <t>Alto</t>
        </is>
      </c>
      <c r="G1242" s="21" t="n">
        <v>2015</v>
      </c>
      <c r="H1242" s="22" t="n">
        <v>40030</v>
      </c>
      <c r="I1242" s="22" t="n">
        <v>175000</v>
      </c>
      <c r="J1242" s="20" t="inlineStr">
        <is>
          <t>POPULAR VEHICLES AND SERVICES LIMITED</t>
        </is>
      </c>
      <c r="K1242" s="20" t="inlineStr">
        <is>
          <t>Non-Captive</t>
        </is>
      </c>
      <c r="L1242" s="20" t="inlineStr">
        <is>
          <t>Vijaya Cars</t>
        </is>
      </c>
      <c r="M1242" s="23" t="n">
        <v>2542.37</v>
      </c>
    </row>
    <row r="1243">
      <c r="A1243" s="19" t="inlineStr">
        <is>
          <t>FY27</t>
        </is>
      </c>
      <c r="B1243" s="19" t="inlineStr">
        <is>
          <t>Apr</t>
        </is>
      </c>
      <c r="C1243" s="19" t="inlineStr">
        <is>
          <t>TN</t>
        </is>
      </c>
      <c r="D1243" s="20" t="inlineStr">
        <is>
          <t>TN11Z7647</t>
        </is>
      </c>
      <c r="E1243" s="20" t="inlineStr">
        <is>
          <t>FORD</t>
        </is>
      </c>
      <c r="F1243" s="20" t="inlineStr">
        <is>
          <t>Figo</t>
        </is>
      </c>
      <c r="G1243" s="21" t="n">
        <v>2012</v>
      </c>
      <c r="H1243" s="22" t="n">
        <v>89160</v>
      </c>
      <c r="I1243" s="22" t="n">
        <v>110000</v>
      </c>
      <c r="J1243" s="20" t="inlineStr">
        <is>
          <t>VISHNU CARS PRIVATE LIMITED</t>
        </is>
      </c>
      <c r="K1243" s="20" t="inlineStr">
        <is>
          <t>Non-Captive</t>
        </is>
      </c>
      <c r="L1243" s="20" t="inlineStr">
        <is>
          <t>Vijaya Cars</t>
        </is>
      </c>
      <c r="M1243" s="23" t="n">
        <v>2542.37</v>
      </c>
    </row>
    <row r="1244">
      <c r="A1244" s="19" t="inlineStr">
        <is>
          <t>FY27</t>
        </is>
      </c>
      <c r="B1244" s="19" t="inlineStr">
        <is>
          <t>Apr</t>
        </is>
      </c>
      <c r="C1244" s="19" t="inlineStr">
        <is>
          <t>TN</t>
        </is>
      </c>
      <c r="D1244" s="20" t="inlineStr">
        <is>
          <t>TN11Y9858</t>
        </is>
      </c>
      <c r="E1244" s="20" t="inlineStr">
        <is>
          <t>HONDA</t>
        </is>
      </c>
      <c r="F1244" s="20" t="inlineStr">
        <is>
          <t>Brio</t>
        </is>
      </c>
      <c r="G1244" s="21" t="n">
        <v>2013</v>
      </c>
      <c r="H1244" s="22" t="n">
        <v>48440</v>
      </c>
      <c r="I1244" s="22" t="n">
        <v>190000</v>
      </c>
      <c r="J1244" s="20" t="inlineStr">
        <is>
          <t>ABT LIMITED</t>
        </is>
      </c>
      <c r="K1244" s="20" t="inlineStr">
        <is>
          <t>Non-Captive</t>
        </is>
      </c>
      <c r="L1244" s="20" t="inlineStr">
        <is>
          <t>Vijaya Cars</t>
        </is>
      </c>
      <c r="M1244" s="23" t="n">
        <v>2542.37</v>
      </c>
    </row>
    <row r="1245">
      <c r="A1245" s="19" t="inlineStr">
        <is>
          <t>FY27</t>
        </is>
      </c>
      <c r="B1245" s="19" t="inlineStr">
        <is>
          <t>Apr</t>
        </is>
      </c>
      <c r="C1245" s="19" t="inlineStr">
        <is>
          <t>TN</t>
        </is>
      </c>
      <c r="D1245" s="20" t="inlineStr">
        <is>
          <t>TN11U2242</t>
        </is>
      </c>
      <c r="E1245" s="20" t="inlineStr">
        <is>
          <t>NISSAN</t>
        </is>
      </c>
      <c r="F1245" s="20" t="inlineStr">
        <is>
          <t>Micra</t>
        </is>
      </c>
      <c r="G1245" s="21" t="n">
        <v>2016</v>
      </c>
      <c r="H1245" s="22" t="n">
        <v>66351</v>
      </c>
      <c r="I1245" s="22" t="n">
        <v>200000</v>
      </c>
      <c r="J1245" s="20" t="inlineStr">
        <is>
          <t>POPULAR VEHICLES AND SERVICES LIMITED</t>
        </is>
      </c>
      <c r="K1245" s="20" t="inlineStr">
        <is>
          <t>Non-Captive</t>
        </is>
      </c>
      <c r="L1245" s="20" t="inlineStr">
        <is>
          <t>Vijaya Cars</t>
        </is>
      </c>
      <c r="M1245" s="23" t="n">
        <v>2542.37</v>
      </c>
    </row>
    <row r="1246">
      <c r="A1246" s="19" t="inlineStr">
        <is>
          <t>FY27</t>
        </is>
      </c>
      <c r="B1246" s="19" t="inlineStr">
        <is>
          <t>Apr</t>
        </is>
      </c>
      <c r="C1246" s="19" t="inlineStr">
        <is>
          <t>TN</t>
        </is>
      </c>
      <c r="D1246" s="20" t="inlineStr">
        <is>
          <t>TN11E8175</t>
        </is>
      </c>
      <c r="E1246" s="20" t="inlineStr">
        <is>
          <t>HYUNDAI</t>
        </is>
      </c>
      <c r="F1246" s="20" t="inlineStr">
        <is>
          <t>Eon</t>
        </is>
      </c>
      <c r="G1246" s="21" t="n">
        <v>2013</v>
      </c>
      <c r="H1246" s="22" t="n">
        <v>41466</v>
      </c>
      <c r="I1246" s="22" t="n">
        <v>210000</v>
      </c>
      <c r="J1246" s="20" t="inlineStr">
        <is>
          <t>VISHNU CARS PRIVATE LIMITED</t>
        </is>
      </c>
      <c r="K1246" s="20" t="inlineStr">
        <is>
          <t>Non-Captive</t>
        </is>
      </c>
      <c r="L1246" s="20" t="inlineStr">
        <is>
          <t>Santhosh Cars</t>
        </is>
      </c>
      <c r="M1246" s="23" t="n">
        <v>4237.29</v>
      </c>
    </row>
    <row r="1247">
      <c r="A1247" s="19" t="inlineStr">
        <is>
          <t>FY27</t>
        </is>
      </c>
      <c r="B1247" s="19" t="inlineStr">
        <is>
          <t>Apr</t>
        </is>
      </c>
      <c r="C1247" s="19" t="inlineStr">
        <is>
          <t>TN</t>
        </is>
      </c>
      <c r="D1247" s="20" t="inlineStr">
        <is>
          <t>TN11D4848</t>
        </is>
      </c>
      <c r="E1247" s="20" t="inlineStr">
        <is>
          <t>VOLKSWAGEN</t>
        </is>
      </c>
      <c r="F1247" s="20" t="inlineStr">
        <is>
          <t>Vento</t>
        </is>
      </c>
      <c r="G1247" s="21" t="n">
        <v>2013</v>
      </c>
      <c r="H1247" s="22" t="n">
        <v>74809</v>
      </c>
      <c r="I1247" s="22" t="n">
        <v>202000</v>
      </c>
      <c r="J1247" s="20" t="inlineStr">
        <is>
          <t>POPULAR VEHICLES AND SERVICES LIMITED</t>
        </is>
      </c>
      <c r="K1247" s="20" t="inlineStr">
        <is>
          <t>Non-Captive</t>
        </is>
      </c>
      <c r="L1247" s="20" t="inlineStr">
        <is>
          <t>TSM</t>
        </is>
      </c>
      <c r="M1247" s="23" t="n">
        <v>3389.83</v>
      </c>
    </row>
    <row r="1248">
      <c r="A1248" s="19" t="inlineStr">
        <is>
          <t>FY27</t>
        </is>
      </c>
      <c r="B1248" s="19" t="inlineStr">
        <is>
          <t>Apr</t>
        </is>
      </c>
      <c r="C1248" s="19" t="inlineStr">
        <is>
          <t>TN</t>
        </is>
      </c>
      <c r="D1248" s="20" t="inlineStr">
        <is>
          <t>TN11AE1236</t>
        </is>
      </c>
      <c r="E1248" s="20" t="inlineStr">
        <is>
          <t>MARUTI SUZUKI</t>
        </is>
      </c>
      <c r="F1248" s="20" t="inlineStr">
        <is>
          <t>Alto</t>
        </is>
      </c>
      <c r="G1248" s="21" t="n">
        <v>2018</v>
      </c>
      <c r="H1248" s="22" t="n">
        <v>53810</v>
      </c>
      <c r="I1248" s="22" t="n">
        <v>200000</v>
      </c>
      <c r="J1248" s="20" t="inlineStr">
        <is>
          <t>VISHNU CARS PRIVATE LIMITED</t>
        </is>
      </c>
      <c r="K1248" s="20" t="inlineStr">
        <is>
          <t>Non-Captive</t>
        </is>
      </c>
      <c r="L1248" s="20" t="inlineStr">
        <is>
          <t>KB Motor</t>
        </is>
      </c>
      <c r="M1248" s="23" t="n">
        <v>3389.83</v>
      </c>
    </row>
    <row r="1249">
      <c r="A1249" s="19" t="inlineStr">
        <is>
          <t>FY27</t>
        </is>
      </c>
      <c r="B1249" s="19" t="inlineStr">
        <is>
          <t>Apr</t>
        </is>
      </c>
      <c r="C1249" s="19" t="inlineStr">
        <is>
          <t>TN</t>
        </is>
      </c>
      <c r="D1249" s="20" t="inlineStr">
        <is>
          <t>TN116681</t>
        </is>
      </c>
      <c r="E1249" s="20" t="inlineStr">
        <is>
          <t>FORD</t>
        </is>
      </c>
      <c r="F1249" s="20" t="inlineStr">
        <is>
          <t>Figo</t>
        </is>
      </c>
      <c r="G1249" s="21" t="n">
        <v>2012</v>
      </c>
      <c r="H1249" s="22" t="n">
        <v>119119</v>
      </c>
      <c r="I1249" s="22" t="n">
        <v>120000</v>
      </c>
      <c r="J1249" s="20" t="inlineStr">
        <is>
          <t>ABT LIMITED</t>
        </is>
      </c>
      <c r="K1249" s="20" t="inlineStr">
        <is>
          <t>Non-Captive</t>
        </is>
      </c>
      <c r="L1249" s="20" t="inlineStr">
        <is>
          <t>Vijaya Cars</t>
        </is>
      </c>
      <c r="M1249" s="23" t="n">
        <v>2542.37</v>
      </c>
    </row>
    <row r="1250">
      <c r="A1250" s="19" t="inlineStr">
        <is>
          <t>FY27</t>
        </is>
      </c>
      <c r="B1250" s="19" t="inlineStr">
        <is>
          <t>Apr</t>
        </is>
      </c>
      <c r="C1250" s="19" t="inlineStr">
        <is>
          <t>TN</t>
        </is>
      </c>
      <c r="D1250" s="20" t="inlineStr">
        <is>
          <t>TN10Z2679</t>
        </is>
      </c>
      <c r="E1250" s="20" t="inlineStr">
        <is>
          <t>FORD</t>
        </is>
      </c>
      <c r="F1250" s="20" t="inlineStr">
        <is>
          <t>Fiesta Classic</t>
        </is>
      </c>
      <c r="G1250" s="21" t="n">
        <v>2010</v>
      </c>
      <c r="H1250" s="22" t="n">
        <v>113949</v>
      </c>
      <c r="I1250" s="22" t="n">
        <v>55000</v>
      </c>
      <c r="J1250" s="20" t="inlineStr">
        <is>
          <t>VISHNU CARS PRIVATE LIMITED</t>
        </is>
      </c>
      <c r="K1250" s="20" t="inlineStr">
        <is>
          <t>Non-Captive</t>
        </is>
      </c>
      <c r="L1250" s="20" t="inlineStr">
        <is>
          <t>Vijaya Cars</t>
        </is>
      </c>
      <c r="M1250" s="23" t="n">
        <v>2542.37</v>
      </c>
    </row>
    <row r="1251">
      <c r="A1251" s="19" t="inlineStr">
        <is>
          <t>FY27</t>
        </is>
      </c>
      <c r="B1251" s="19" t="inlineStr">
        <is>
          <t>Apr</t>
        </is>
      </c>
      <c r="C1251" s="19" t="inlineStr">
        <is>
          <t>TN</t>
        </is>
      </c>
      <c r="D1251" s="20" t="inlineStr">
        <is>
          <t>TN10Y5947</t>
        </is>
      </c>
      <c r="E1251" s="20" t="inlineStr">
        <is>
          <t>MARUTI SUZUKI</t>
        </is>
      </c>
      <c r="F1251" s="20" t="inlineStr">
        <is>
          <t>Ritz</t>
        </is>
      </c>
      <c r="G1251" s="21" t="n">
        <v>2010</v>
      </c>
      <c r="H1251" s="22" t="n">
        <v>38616</v>
      </c>
      <c r="I1251" s="22" t="n">
        <v>125000</v>
      </c>
      <c r="J1251" s="20" t="inlineStr">
        <is>
          <t>VISHNU CARS PRIVATE LIMITED</t>
        </is>
      </c>
      <c r="K1251" s="20" t="inlineStr">
        <is>
          <t>Non-Captive</t>
        </is>
      </c>
      <c r="L1251" s="20" t="inlineStr">
        <is>
          <t>Thiya Cars</t>
        </is>
      </c>
      <c r="M1251" s="23" t="n">
        <v>2542.37</v>
      </c>
    </row>
    <row r="1252">
      <c r="A1252" s="19" t="inlineStr">
        <is>
          <t>FY27</t>
        </is>
      </c>
      <c r="B1252" s="19" t="inlineStr">
        <is>
          <t>Apr</t>
        </is>
      </c>
      <c r="C1252" s="19" t="inlineStr">
        <is>
          <t>TN</t>
        </is>
      </c>
      <c r="D1252" s="20" t="inlineStr">
        <is>
          <t>TN10Y0357</t>
        </is>
      </c>
      <c r="E1252" s="20" t="inlineStr">
        <is>
          <t>MARUTI SUZUKI</t>
        </is>
      </c>
      <c r="F1252" s="20" t="inlineStr">
        <is>
          <t>A-Star</t>
        </is>
      </c>
      <c r="G1252" s="21" t="n">
        <v>2009</v>
      </c>
      <c r="H1252" s="22" t="n">
        <v>99999</v>
      </c>
      <c r="I1252" s="22" t="n">
        <v>125000</v>
      </c>
      <c r="J1252" s="20" t="inlineStr">
        <is>
          <t>VISHNU CARS PRIVATE LIMITED</t>
        </is>
      </c>
      <c r="K1252" s="20" t="inlineStr">
        <is>
          <t>Non-Captive</t>
        </is>
      </c>
      <c r="L1252" s="20" t="inlineStr">
        <is>
          <t>Thiya Cars</t>
        </is>
      </c>
      <c r="M1252" s="23" t="n">
        <v>2542.37</v>
      </c>
    </row>
    <row r="1253">
      <c r="A1253" s="19" t="inlineStr">
        <is>
          <t>FY27</t>
        </is>
      </c>
      <c r="B1253" s="19" t="inlineStr">
        <is>
          <t>Apr</t>
        </is>
      </c>
      <c r="C1253" s="19" t="inlineStr">
        <is>
          <t>TN</t>
        </is>
      </c>
      <c r="D1253" s="20" t="inlineStr">
        <is>
          <t>TN10AJ3127</t>
        </is>
      </c>
      <c r="E1253" s="20" t="inlineStr">
        <is>
          <t>HYUNDAI</t>
        </is>
      </c>
      <c r="F1253" s="20" t="inlineStr">
        <is>
          <t>I10</t>
        </is>
      </c>
      <c r="G1253" s="21" t="n">
        <v>2012</v>
      </c>
      <c r="H1253" s="22" t="n">
        <v>57567</v>
      </c>
      <c r="I1253" s="22" t="n">
        <v>200000</v>
      </c>
      <c r="J1253" s="20" t="inlineStr">
        <is>
          <t>POPULAR VEHICLES AND SERVICES LIMITED</t>
        </is>
      </c>
      <c r="K1253" s="20" t="inlineStr">
        <is>
          <t>Non-Captive</t>
        </is>
      </c>
      <c r="L1253" s="20" t="inlineStr">
        <is>
          <t>Thiya Cars</t>
        </is>
      </c>
      <c r="M1253" s="23" t="n">
        <v>2542.37</v>
      </c>
    </row>
    <row r="1254">
      <c r="A1254" s="19" t="inlineStr">
        <is>
          <t>FY27</t>
        </is>
      </c>
      <c r="B1254" s="19" t="inlineStr">
        <is>
          <t>Apr</t>
        </is>
      </c>
      <c r="C1254" s="19" t="inlineStr">
        <is>
          <t>TN</t>
        </is>
      </c>
      <c r="D1254" s="20" t="inlineStr">
        <is>
          <t>TN10AH1599</t>
        </is>
      </c>
      <c r="E1254" s="20" t="inlineStr">
        <is>
          <t>MARUTI SUZUKI</t>
        </is>
      </c>
      <c r="F1254" s="20" t="inlineStr">
        <is>
          <t>Wagon R</t>
        </is>
      </c>
      <c r="G1254" s="21" t="n">
        <v>2012</v>
      </c>
      <c r="H1254" s="22" t="n">
        <v>77775</v>
      </c>
      <c r="I1254" s="22" t="n">
        <v>200000</v>
      </c>
      <c r="J1254" s="20" t="inlineStr">
        <is>
          <t>VISHNU CARS PRIVATE LIMITED</t>
        </is>
      </c>
      <c r="K1254" s="20" t="inlineStr">
        <is>
          <t>Non-Captive</t>
        </is>
      </c>
      <c r="L1254" s="20" t="inlineStr">
        <is>
          <t>Thiya Cars</t>
        </is>
      </c>
      <c r="M1254" s="23" t="n">
        <v>2542.37</v>
      </c>
    </row>
    <row r="1255">
      <c r="A1255" s="19" t="inlineStr">
        <is>
          <t>FY27</t>
        </is>
      </c>
      <c r="B1255" s="19" t="inlineStr">
        <is>
          <t>Apr</t>
        </is>
      </c>
      <c r="C1255" s="19" t="inlineStr">
        <is>
          <t>TN</t>
        </is>
      </c>
      <c r="D1255" s="20" t="inlineStr">
        <is>
          <t>TN10AE7697</t>
        </is>
      </c>
      <c r="E1255" s="20" t="inlineStr">
        <is>
          <t>MARUTI SUZUKI</t>
        </is>
      </c>
      <c r="F1255" s="20" t="inlineStr">
        <is>
          <t>Wagon R</t>
        </is>
      </c>
      <c r="G1255" s="21" t="n">
        <v>2011</v>
      </c>
      <c r="H1255" s="22" t="n">
        <v>53508</v>
      </c>
      <c r="I1255" s="22" t="n">
        <v>145000</v>
      </c>
      <c r="J1255" s="20" t="inlineStr">
        <is>
          <t>ABT LIMITED</t>
        </is>
      </c>
      <c r="K1255" s="20" t="inlineStr">
        <is>
          <t>Non-Captive</t>
        </is>
      </c>
      <c r="L1255" s="20" t="inlineStr">
        <is>
          <t>Thiya Cars</t>
        </is>
      </c>
      <c r="M1255" s="23" t="n">
        <v>2542.37</v>
      </c>
    </row>
    <row r="1256">
      <c r="A1256" s="19" t="inlineStr">
        <is>
          <t>FY27</t>
        </is>
      </c>
      <c r="B1256" s="19" t="inlineStr">
        <is>
          <t>Apr</t>
        </is>
      </c>
      <c r="C1256" s="19" t="inlineStr">
        <is>
          <t>TN</t>
        </is>
      </c>
      <c r="D1256" s="20" t="inlineStr">
        <is>
          <t>TN10AA7345</t>
        </is>
      </c>
      <c r="E1256" s="20" t="inlineStr">
        <is>
          <t>MARUTI SUZUKI</t>
        </is>
      </c>
      <c r="F1256" s="20" t="inlineStr">
        <is>
          <t>Wagon R</t>
        </is>
      </c>
      <c r="G1256" s="21" t="n">
        <v>2010</v>
      </c>
      <c r="H1256" s="22" t="n">
        <v>99999</v>
      </c>
      <c r="I1256" s="22" t="n">
        <v>160000</v>
      </c>
      <c r="J1256" s="20" t="inlineStr">
        <is>
          <t>VISHNU CARS PRIVATE LIMITED</t>
        </is>
      </c>
      <c r="K1256" s="20" t="inlineStr">
        <is>
          <t>Non-Captive</t>
        </is>
      </c>
      <c r="L1256" s="20" t="inlineStr">
        <is>
          <t>Thiya Cars</t>
        </is>
      </c>
      <c r="M1256" s="23" t="n">
        <v>2542.37</v>
      </c>
    </row>
    <row r="1257">
      <c r="A1257" s="19" t="inlineStr">
        <is>
          <t>FY27</t>
        </is>
      </c>
      <c r="B1257" s="19" t="inlineStr">
        <is>
          <t>Apr</t>
        </is>
      </c>
      <c r="C1257" s="19" t="inlineStr">
        <is>
          <t>TN</t>
        </is>
      </c>
      <c r="D1257" s="20" t="inlineStr">
        <is>
          <t>TN10AA2073</t>
        </is>
      </c>
      <c r="E1257" s="20" t="inlineStr">
        <is>
          <t>HYUNDAI</t>
        </is>
      </c>
      <c r="F1257" s="20" t="inlineStr">
        <is>
          <t>I10</t>
        </is>
      </c>
      <c r="G1257" s="21" t="n">
        <v>2010</v>
      </c>
      <c r="H1257" s="22" t="n">
        <v>50262</v>
      </c>
      <c r="I1257" s="22" t="n">
        <v>120000</v>
      </c>
      <c r="J1257" s="20" t="inlineStr">
        <is>
          <t>POPULAR VEHICLES AND SERVICES LIMITED</t>
        </is>
      </c>
      <c r="K1257" s="20" t="inlineStr">
        <is>
          <t>Non-Captive</t>
        </is>
      </c>
      <c r="L1257" s="20" t="inlineStr">
        <is>
          <t>Thiya Cars</t>
        </is>
      </c>
      <c r="M1257" s="23" t="n">
        <v>2542.37</v>
      </c>
    </row>
    <row r="1258">
      <c r="A1258" s="19" t="inlineStr">
        <is>
          <t>FY27</t>
        </is>
      </c>
      <c r="B1258" s="19" t="inlineStr">
        <is>
          <t>Apr</t>
        </is>
      </c>
      <c r="C1258" s="19" t="inlineStr">
        <is>
          <t>TN</t>
        </is>
      </c>
      <c r="D1258" s="20" t="inlineStr">
        <is>
          <t>TN09CA1687</t>
        </is>
      </c>
      <c r="E1258" s="20" t="inlineStr">
        <is>
          <t>MARUTI SUZUKI</t>
        </is>
      </c>
      <c r="F1258" s="20" t="inlineStr">
        <is>
          <t>Alto</t>
        </is>
      </c>
      <c r="G1258" s="21" t="n">
        <v>2015</v>
      </c>
      <c r="H1258" s="22" t="n">
        <v>50522</v>
      </c>
      <c r="I1258" s="22" t="n">
        <v>150000</v>
      </c>
      <c r="J1258" s="20" t="inlineStr">
        <is>
          <t>POPULAR VEHICLES AND SERVICES LIMITED</t>
        </is>
      </c>
      <c r="K1258" s="20" t="inlineStr">
        <is>
          <t>Non-Captive</t>
        </is>
      </c>
      <c r="L1258" s="20" t="inlineStr">
        <is>
          <t>Ashok Cars</t>
        </is>
      </c>
      <c r="M1258" s="23" t="n">
        <v>2542.37</v>
      </c>
    </row>
    <row r="1259">
      <c r="A1259" s="19" t="inlineStr">
        <is>
          <t>FY27</t>
        </is>
      </c>
      <c r="B1259" s="19" t="inlineStr">
        <is>
          <t>Apr</t>
        </is>
      </c>
      <c r="C1259" s="19" t="inlineStr">
        <is>
          <t>TN</t>
        </is>
      </c>
      <c r="D1259" s="20" t="inlineStr">
        <is>
          <t>TN09CA0742</t>
        </is>
      </c>
      <c r="E1259" s="20" t="inlineStr">
        <is>
          <t>HYUNDAI</t>
        </is>
      </c>
      <c r="F1259" s="20" t="inlineStr">
        <is>
          <t>Grand I10</t>
        </is>
      </c>
      <c r="G1259" s="21" t="n">
        <v>2015</v>
      </c>
      <c r="H1259" s="22" t="n">
        <v>37344</v>
      </c>
      <c r="I1259" s="22" t="n">
        <v>200000</v>
      </c>
      <c r="J1259" s="20" t="inlineStr">
        <is>
          <t>VISHNU CARS PRIVATE LIMITED</t>
        </is>
      </c>
      <c r="K1259" s="20" t="inlineStr">
        <is>
          <t>Non-Captive</t>
        </is>
      </c>
      <c r="L1259" s="20" t="inlineStr">
        <is>
          <t>Ashok Cars</t>
        </is>
      </c>
      <c r="M1259" s="23" t="n">
        <v>2542.37</v>
      </c>
    </row>
    <row r="1260">
      <c r="A1260" s="19" t="inlineStr">
        <is>
          <t>FY27</t>
        </is>
      </c>
      <c r="B1260" s="19" t="inlineStr">
        <is>
          <t>Apr</t>
        </is>
      </c>
      <c r="C1260" s="19" t="inlineStr">
        <is>
          <t>TN</t>
        </is>
      </c>
      <c r="D1260" s="20" t="inlineStr">
        <is>
          <t>TN09BY0480</t>
        </is>
      </c>
      <c r="E1260" s="20" t="inlineStr">
        <is>
          <t>FIAT</t>
        </is>
      </c>
      <c r="F1260" s="20" t="inlineStr">
        <is>
          <t>Punto</t>
        </is>
      </c>
      <c r="G1260" s="21" t="n">
        <v>2014</v>
      </c>
      <c r="H1260" s="22" t="n">
        <v>15885</v>
      </c>
      <c r="I1260" s="22" t="n">
        <v>150000</v>
      </c>
      <c r="J1260" s="20" t="inlineStr">
        <is>
          <t>ABT LIMITED</t>
        </is>
      </c>
      <c r="K1260" s="20" t="inlineStr">
        <is>
          <t>Non-Captive</t>
        </is>
      </c>
      <c r="L1260" s="20" t="inlineStr">
        <is>
          <t>Nirmal Cars</t>
        </is>
      </c>
      <c r="M1260" s="23" t="n">
        <v>2542.37</v>
      </c>
    </row>
    <row r="1261">
      <c r="A1261" s="19" t="inlineStr">
        <is>
          <t>FY27</t>
        </is>
      </c>
      <c r="B1261" s="19" t="inlineStr">
        <is>
          <t>Apr</t>
        </is>
      </c>
      <c r="C1261" s="19" t="inlineStr">
        <is>
          <t>TN</t>
        </is>
      </c>
      <c r="D1261" s="20" t="inlineStr">
        <is>
          <t>TN09BX9048</t>
        </is>
      </c>
      <c r="E1261" s="20" t="inlineStr">
        <is>
          <t>HYUNDAI</t>
        </is>
      </c>
      <c r="F1261" s="20" t="inlineStr">
        <is>
          <t>Eon</t>
        </is>
      </c>
      <c r="G1261" s="21" t="n">
        <v>2014</v>
      </c>
      <c r="H1261" s="22" t="n">
        <v>46006</v>
      </c>
      <c r="I1261" s="22" t="n">
        <v>189000</v>
      </c>
      <c r="J1261" s="20" t="inlineStr">
        <is>
          <t>POPULAR VEHICLES AND SERVICES LIMITED</t>
        </is>
      </c>
      <c r="K1261" s="20" t="inlineStr">
        <is>
          <t>Non-Captive</t>
        </is>
      </c>
      <c r="L1261" s="20" t="inlineStr">
        <is>
          <t>Nirmal Cars</t>
        </is>
      </c>
      <c r="M1261" s="23" t="n">
        <v>2542.37</v>
      </c>
    </row>
    <row r="1262">
      <c r="A1262" s="19" t="inlineStr">
        <is>
          <t>FY27</t>
        </is>
      </c>
      <c r="B1262" s="19" t="inlineStr">
        <is>
          <t>Apr</t>
        </is>
      </c>
      <c r="C1262" s="19" t="inlineStr">
        <is>
          <t>TN</t>
        </is>
      </c>
      <c r="D1262" s="20" t="inlineStr">
        <is>
          <t>TN09BP1119</t>
        </is>
      </c>
      <c r="E1262" s="20" t="inlineStr">
        <is>
          <t>MARUTI SUZUKI</t>
        </is>
      </c>
      <c r="F1262" s="20" t="inlineStr">
        <is>
          <t>A-Star</t>
        </is>
      </c>
      <c r="G1262" s="21" t="n">
        <v>2011</v>
      </c>
      <c r="H1262" s="22" t="n">
        <v>56711</v>
      </c>
      <c r="I1262" s="22" t="n">
        <v>160000</v>
      </c>
      <c r="J1262" s="20" t="inlineStr">
        <is>
          <t>VISHNU CARS PRIVATE LIMITED</t>
        </is>
      </c>
      <c r="K1262" s="20" t="inlineStr">
        <is>
          <t>Non-Captive</t>
        </is>
      </c>
      <c r="L1262" s="20" t="inlineStr">
        <is>
          <t>Nirmal Cars</t>
        </is>
      </c>
      <c r="M1262" s="23" t="n">
        <v>2542.37</v>
      </c>
    </row>
    <row r="1263">
      <c r="A1263" s="19" t="inlineStr">
        <is>
          <t>FY27</t>
        </is>
      </c>
      <c r="B1263" s="19" t="inlineStr">
        <is>
          <t>Apr</t>
        </is>
      </c>
      <c r="C1263" s="19" t="inlineStr">
        <is>
          <t>TN</t>
        </is>
      </c>
      <c r="D1263" s="20" t="inlineStr">
        <is>
          <t>TN09BM2503</t>
        </is>
      </c>
      <c r="E1263" s="20" t="inlineStr">
        <is>
          <t>FORD</t>
        </is>
      </c>
      <c r="F1263" s="20" t="inlineStr">
        <is>
          <t>Fiesta Classic</t>
        </is>
      </c>
      <c r="G1263" s="21" t="n">
        <v>2011</v>
      </c>
      <c r="H1263" s="22" t="n">
        <v>105851</v>
      </c>
      <c r="I1263" s="22" t="n">
        <v>150000</v>
      </c>
      <c r="J1263" s="20" t="inlineStr">
        <is>
          <t>VISHNU CARS PRIVATE LIMITED</t>
        </is>
      </c>
      <c r="K1263" s="20" t="inlineStr">
        <is>
          <t>Non-Captive</t>
        </is>
      </c>
      <c r="L1263" s="20" t="inlineStr">
        <is>
          <t>Nirmal Cars</t>
        </is>
      </c>
      <c r="M1263" s="23" t="n">
        <v>2542.37</v>
      </c>
    </row>
    <row r="1264">
      <c r="A1264" s="19" t="inlineStr">
        <is>
          <t>FY27</t>
        </is>
      </c>
      <c r="B1264" s="19" t="inlineStr">
        <is>
          <t>Apr</t>
        </is>
      </c>
      <c r="C1264" s="19" t="inlineStr">
        <is>
          <t>TN</t>
        </is>
      </c>
      <c r="D1264" s="20" t="inlineStr">
        <is>
          <t>TN09BM0018</t>
        </is>
      </c>
      <c r="E1264" s="20" t="inlineStr">
        <is>
          <t>MARUTI SUZUKI</t>
        </is>
      </c>
      <c r="F1264" s="20" t="inlineStr">
        <is>
          <t>Ritz</t>
        </is>
      </c>
      <c r="G1264" s="21" t="n">
        <v>2011</v>
      </c>
      <c r="H1264" s="22" t="n">
        <v>8554</v>
      </c>
      <c r="I1264" s="22" t="n">
        <v>180000</v>
      </c>
      <c r="J1264" s="20" t="inlineStr">
        <is>
          <t>POPULAR VEHICLES AND SERVICES LIMITED</t>
        </is>
      </c>
      <c r="K1264" s="20" t="inlineStr">
        <is>
          <t>Non-Captive</t>
        </is>
      </c>
      <c r="L1264" s="20" t="inlineStr">
        <is>
          <t>Nirmal Cars</t>
        </is>
      </c>
      <c r="M1264" s="23" t="n">
        <v>2542.37</v>
      </c>
    </row>
    <row r="1265">
      <c r="A1265" s="19" t="inlineStr">
        <is>
          <t>FY27</t>
        </is>
      </c>
      <c r="B1265" s="19" t="inlineStr">
        <is>
          <t>Apr</t>
        </is>
      </c>
      <c r="C1265" s="19" t="inlineStr">
        <is>
          <t>TN</t>
        </is>
      </c>
      <c r="D1265" s="20" t="inlineStr">
        <is>
          <t>TN09BK5864</t>
        </is>
      </c>
      <c r="E1265" s="20" t="inlineStr">
        <is>
          <t>FORD</t>
        </is>
      </c>
      <c r="F1265" s="20" t="inlineStr">
        <is>
          <t>Figo</t>
        </is>
      </c>
      <c r="G1265" s="21" t="n">
        <v>2011</v>
      </c>
      <c r="H1265" s="22" t="n">
        <v>63804</v>
      </c>
      <c r="I1265" s="22" t="n">
        <v>140000</v>
      </c>
      <c r="J1265" s="20" t="inlineStr">
        <is>
          <t>VISHNU CARS PRIVATE LIMITED</t>
        </is>
      </c>
      <c r="K1265" s="20" t="inlineStr">
        <is>
          <t>Non-Captive</t>
        </is>
      </c>
      <c r="L1265" s="20" t="inlineStr">
        <is>
          <t>Santhosh Cars</t>
        </is>
      </c>
      <c r="M1265" s="23" t="n">
        <v>2542.37</v>
      </c>
    </row>
    <row r="1266">
      <c r="A1266" s="19" t="inlineStr">
        <is>
          <t>FY27</t>
        </is>
      </c>
      <c r="B1266" s="19" t="inlineStr">
        <is>
          <t>Apr</t>
        </is>
      </c>
      <c r="C1266" s="19" t="inlineStr">
        <is>
          <t>TN</t>
        </is>
      </c>
      <c r="D1266" s="20" t="inlineStr">
        <is>
          <t>TN09BH3813</t>
        </is>
      </c>
      <c r="E1266" s="20" t="inlineStr">
        <is>
          <t>MARUTI SUZUKI</t>
        </is>
      </c>
      <c r="F1266" s="20" t="inlineStr">
        <is>
          <t>A-Star</t>
        </is>
      </c>
      <c r="G1266" s="21" t="n">
        <v>2011</v>
      </c>
      <c r="H1266" s="22" t="n">
        <v>71762</v>
      </c>
      <c r="I1266" s="22" t="n">
        <v>110000</v>
      </c>
      <c r="J1266" s="20" t="inlineStr">
        <is>
          <t>POPULAR VEHICLES AND SERVICES LIMITED</t>
        </is>
      </c>
      <c r="K1266" s="20" t="inlineStr">
        <is>
          <t>Non-Captive</t>
        </is>
      </c>
      <c r="L1266" s="20" t="inlineStr">
        <is>
          <t>Santhosh Cars</t>
        </is>
      </c>
      <c r="M1266" s="23" t="n">
        <v>2542.37</v>
      </c>
    </row>
    <row r="1267">
      <c r="A1267" s="19" t="inlineStr">
        <is>
          <t>FY27</t>
        </is>
      </c>
      <c r="B1267" s="19" t="inlineStr">
        <is>
          <t>Apr</t>
        </is>
      </c>
      <c r="C1267" s="19" t="inlineStr">
        <is>
          <t>TN</t>
        </is>
      </c>
      <c r="D1267" s="20" t="inlineStr">
        <is>
          <t>TN09BE2157</t>
        </is>
      </c>
      <c r="E1267" s="20" t="inlineStr">
        <is>
          <t>HYUNDAI</t>
        </is>
      </c>
      <c r="F1267" s="20" t="inlineStr">
        <is>
          <t>I20</t>
        </is>
      </c>
      <c r="G1267" s="21" t="n">
        <v>2010</v>
      </c>
      <c r="H1267" s="22" t="n">
        <v>16260</v>
      </c>
      <c r="I1267" s="22" t="n">
        <v>200000</v>
      </c>
      <c r="J1267" s="20" t="inlineStr">
        <is>
          <t>POPULAR VEHICLES AND SERVICES LIMITED</t>
        </is>
      </c>
      <c r="K1267" s="20" t="inlineStr">
        <is>
          <t>Non-Captive</t>
        </is>
      </c>
      <c r="L1267" s="20" t="inlineStr">
        <is>
          <t>KB Motor</t>
        </is>
      </c>
      <c r="M1267" s="23" t="n">
        <v>3389.83</v>
      </c>
    </row>
    <row r="1268">
      <c r="A1268" s="19" t="inlineStr">
        <is>
          <t>FY27</t>
        </is>
      </c>
      <c r="B1268" s="19" t="inlineStr">
        <is>
          <t>Apr</t>
        </is>
      </c>
      <c r="C1268" s="19" t="inlineStr">
        <is>
          <t>TN</t>
        </is>
      </c>
      <c r="D1268" s="20" t="inlineStr">
        <is>
          <t>TN09BD6087</t>
        </is>
      </c>
      <c r="E1268" s="20" t="inlineStr">
        <is>
          <t>HYUNDAI</t>
        </is>
      </c>
      <c r="F1268" s="20" t="inlineStr">
        <is>
          <t>I10</t>
        </is>
      </c>
      <c r="G1268" s="21" t="n">
        <v>2010</v>
      </c>
      <c r="H1268" s="22" t="n">
        <v>66082</v>
      </c>
      <c r="I1268" s="22" t="n">
        <v>150000</v>
      </c>
      <c r="J1268" s="20" t="inlineStr">
        <is>
          <t>POPULAR VEHICLES AND SERVICES LIMITED</t>
        </is>
      </c>
      <c r="K1268" s="20" t="inlineStr">
        <is>
          <t>Non-Captive</t>
        </is>
      </c>
      <c r="L1268" s="20" t="inlineStr">
        <is>
          <t>Santhosh Cars</t>
        </is>
      </c>
      <c r="M1268" s="23" t="n">
        <v>2542.37</v>
      </c>
    </row>
    <row r="1269">
      <c r="A1269" s="19" t="inlineStr">
        <is>
          <t>FY27</t>
        </is>
      </c>
      <c r="B1269" s="19" t="inlineStr">
        <is>
          <t>Apr</t>
        </is>
      </c>
      <c r="C1269" s="19" t="inlineStr">
        <is>
          <t>TN</t>
        </is>
      </c>
      <c r="D1269" s="20" t="inlineStr">
        <is>
          <t>TN07DD3317</t>
        </is>
      </c>
      <c r="E1269" s="20" t="inlineStr">
        <is>
          <t>HYUNDAI</t>
        </is>
      </c>
      <c r="F1269" s="20" t="inlineStr">
        <is>
          <t>I20</t>
        </is>
      </c>
      <c r="G1269" s="21" t="n">
        <v>2009</v>
      </c>
      <c r="H1269" s="22" t="n">
        <v>107964</v>
      </c>
      <c r="I1269" s="22" t="n">
        <v>200000</v>
      </c>
      <c r="J1269" s="20" t="inlineStr">
        <is>
          <t>POPULAR VEHICLES AND SERVICES LIMITED</t>
        </is>
      </c>
      <c r="K1269" s="20" t="inlineStr">
        <is>
          <t>Non-Captive</t>
        </is>
      </c>
      <c r="L1269" s="20" t="inlineStr">
        <is>
          <t>Santhosh Cars</t>
        </is>
      </c>
      <c r="M1269" s="23" t="n">
        <v>2542.37</v>
      </c>
    </row>
    <row r="1270">
      <c r="A1270" s="19" t="inlineStr">
        <is>
          <t>FY27</t>
        </is>
      </c>
      <c r="B1270" s="19" t="inlineStr">
        <is>
          <t>Apr</t>
        </is>
      </c>
      <c r="C1270" s="19" t="inlineStr">
        <is>
          <t>TN</t>
        </is>
      </c>
      <c r="D1270" s="20" t="inlineStr">
        <is>
          <t>TN07CU0901</t>
        </is>
      </c>
      <c r="E1270" s="20" t="inlineStr">
        <is>
          <t>FIAT</t>
        </is>
      </c>
      <c r="F1270" s="20" t="inlineStr">
        <is>
          <t>Avventura</t>
        </is>
      </c>
      <c r="G1270" s="21" t="n">
        <v>2014</v>
      </c>
      <c r="H1270" s="22" t="n">
        <v>94475</v>
      </c>
      <c r="I1270" s="22" t="n">
        <v>130000</v>
      </c>
      <c r="J1270" s="20" t="inlineStr">
        <is>
          <t>VISHNU CARS PRIVATE LIMITED</t>
        </is>
      </c>
      <c r="K1270" s="20" t="inlineStr">
        <is>
          <t>Non-Captive</t>
        </is>
      </c>
      <c r="L1270" s="20" t="inlineStr">
        <is>
          <t>Santhosh Cars</t>
        </is>
      </c>
      <c r="M1270" s="23" t="n">
        <v>2542.37</v>
      </c>
    </row>
    <row r="1271">
      <c r="A1271" s="19" t="inlineStr">
        <is>
          <t>FY27</t>
        </is>
      </c>
      <c r="B1271" s="19" t="inlineStr">
        <is>
          <t>Apr</t>
        </is>
      </c>
      <c r="C1271" s="19" t="inlineStr">
        <is>
          <t>TN</t>
        </is>
      </c>
      <c r="D1271" s="20" t="inlineStr">
        <is>
          <t>TN07BU3334</t>
        </is>
      </c>
      <c r="E1271" s="20" t="inlineStr">
        <is>
          <t>MARUTI SUZUKI</t>
        </is>
      </c>
      <c r="F1271" s="20" t="inlineStr">
        <is>
          <t>Alto</t>
        </is>
      </c>
      <c r="G1271" s="21" t="n">
        <v>2013</v>
      </c>
      <c r="H1271" s="22" t="n">
        <v>27991</v>
      </c>
      <c r="I1271" s="22" t="n">
        <v>165000</v>
      </c>
      <c r="J1271" s="20" t="inlineStr">
        <is>
          <t>ABT LIMITED</t>
        </is>
      </c>
      <c r="K1271" s="20" t="inlineStr">
        <is>
          <t>Non-Captive</t>
        </is>
      </c>
      <c r="L1271" s="20" t="inlineStr">
        <is>
          <t>Santhosh Cars</t>
        </is>
      </c>
      <c r="M1271" s="23" t="n">
        <v>2542.37</v>
      </c>
    </row>
    <row r="1272">
      <c r="A1272" s="19" t="inlineStr">
        <is>
          <t>FY27</t>
        </is>
      </c>
      <c r="B1272" s="19" t="inlineStr">
        <is>
          <t>Apr</t>
        </is>
      </c>
      <c r="C1272" s="19" t="inlineStr">
        <is>
          <t>TN</t>
        </is>
      </c>
      <c r="D1272" s="20" t="inlineStr">
        <is>
          <t>TN07BP2007</t>
        </is>
      </c>
      <c r="E1272" s="20" t="inlineStr">
        <is>
          <t>MARUTI SUZUKI</t>
        </is>
      </c>
      <c r="F1272" s="20" t="inlineStr">
        <is>
          <t>Ritz</t>
        </is>
      </c>
      <c r="G1272" s="21" t="n">
        <v>2011</v>
      </c>
      <c r="H1272" s="22" t="n">
        <v>76417</v>
      </c>
      <c r="I1272" s="22" t="n">
        <v>160000</v>
      </c>
      <c r="J1272" s="20" t="inlineStr">
        <is>
          <t>ABT LIMITED</t>
        </is>
      </c>
      <c r="K1272" s="20" t="inlineStr">
        <is>
          <t>Non-Captive</t>
        </is>
      </c>
      <c r="L1272" s="20" t="inlineStr">
        <is>
          <t>Santhosh Cars</t>
        </is>
      </c>
      <c r="M1272" s="23" t="n">
        <v>2542.37</v>
      </c>
    </row>
    <row r="1273">
      <c r="A1273" s="19" t="inlineStr">
        <is>
          <t>FY27</t>
        </is>
      </c>
      <c r="B1273" s="19" t="inlineStr">
        <is>
          <t>Apr</t>
        </is>
      </c>
      <c r="C1273" s="19" t="inlineStr">
        <is>
          <t>TN</t>
        </is>
      </c>
      <c r="D1273" s="20" t="inlineStr">
        <is>
          <t>TN07BM2127</t>
        </is>
      </c>
      <c r="E1273" s="20" t="inlineStr">
        <is>
          <t>VOLKSWAGEN</t>
        </is>
      </c>
      <c r="F1273" s="20" t="inlineStr">
        <is>
          <t>Polo</t>
        </is>
      </c>
      <c r="G1273" s="21" t="n">
        <v>2011</v>
      </c>
      <c r="H1273" s="22" t="n">
        <v>121230</v>
      </c>
      <c r="I1273" s="22" t="n">
        <v>180000</v>
      </c>
      <c r="J1273" s="20" t="inlineStr">
        <is>
          <t>ABT LIMITED</t>
        </is>
      </c>
      <c r="K1273" s="20" t="inlineStr">
        <is>
          <t>Non-Captive</t>
        </is>
      </c>
      <c r="L1273" s="20" t="inlineStr">
        <is>
          <t>Santhosh Cars</t>
        </is>
      </c>
      <c r="M1273" s="23" t="n">
        <v>2542.37</v>
      </c>
    </row>
    <row r="1274">
      <c r="A1274" s="19" t="inlineStr">
        <is>
          <t>FY27</t>
        </is>
      </c>
      <c r="B1274" s="19" t="inlineStr">
        <is>
          <t>Apr</t>
        </is>
      </c>
      <c r="C1274" s="19" t="inlineStr">
        <is>
          <t>TN</t>
        </is>
      </c>
      <c r="D1274" s="20" t="inlineStr">
        <is>
          <t>TN07BK0554</t>
        </is>
      </c>
      <c r="E1274" s="20" t="inlineStr">
        <is>
          <t>CHEVROLET</t>
        </is>
      </c>
      <c r="F1274" s="20" t="inlineStr">
        <is>
          <t>Spark</t>
        </is>
      </c>
      <c r="G1274" s="21" t="n">
        <v>2010</v>
      </c>
      <c r="H1274" s="22" t="n">
        <v>100440</v>
      </c>
      <c r="I1274" s="22" t="n">
        <v>35000</v>
      </c>
      <c r="J1274" s="20" t="inlineStr">
        <is>
          <t>POPULAR VEHICLES AND SERVICES LIMITED</t>
        </is>
      </c>
      <c r="K1274" s="20" t="inlineStr">
        <is>
          <t>Non-Captive</t>
        </is>
      </c>
      <c r="L1274" s="20" t="inlineStr">
        <is>
          <t>Santhosh Cars</t>
        </is>
      </c>
      <c r="M1274" s="23" t="n">
        <v>2542.37</v>
      </c>
    </row>
    <row r="1275">
      <c r="A1275" s="19" t="inlineStr">
        <is>
          <t>FY27</t>
        </is>
      </c>
      <c r="B1275" s="19" t="inlineStr">
        <is>
          <t>Apr</t>
        </is>
      </c>
      <c r="C1275" s="19" t="inlineStr">
        <is>
          <t>TN</t>
        </is>
      </c>
      <c r="D1275" s="20" t="inlineStr">
        <is>
          <t>TN07BJ5413</t>
        </is>
      </c>
      <c r="E1275" s="20" t="inlineStr">
        <is>
          <t>MARUTI SUZUKI</t>
        </is>
      </c>
      <c r="F1275" s="20" t="inlineStr">
        <is>
          <t>Swift</t>
        </is>
      </c>
      <c r="G1275" s="21" t="n">
        <v>2010</v>
      </c>
      <c r="H1275" s="22" t="n">
        <v>18765</v>
      </c>
      <c r="I1275" s="22" t="n">
        <v>175000</v>
      </c>
      <c r="J1275" s="20" t="inlineStr">
        <is>
          <t>ABT LIMITED</t>
        </is>
      </c>
      <c r="K1275" s="20" t="inlineStr">
        <is>
          <t>Non-Captive</t>
        </is>
      </c>
      <c r="L1275" s="20" t="inlineStr">
        <is>
          <t>Santhosh Cars</t>
        </is>
      </c>
      <c r="M1275" s="23" t="n">
        <v>2542.37</v>
      </c>
    </row>
    <row r="1276">
      <c r="A1276" s="19" t="inlineStr">
        <is>
          <t>FY27</t>
        </is>
      </c>
      <c r="B1276" s="19" t="inlineStr">
        <is>
          <t>Apr</t>
        </is>
      </c>
      <c r="C1276" s="19" t="inlineStr">
        <is>
          <t>TN</t>
        </is>
      </c>
      <c r="D1276" s="20" t="inlineStr">
        <is>
          <t>TN07BH5829</t>
        </is>
      </c>
      <c r="E1276" s="20" t="inlineStr">
        <is>
          <t>MARUTI SUZUKI</t>
        </is>
      </c>
      <c r="F1276" s="20" t="inlineStr">
        <is>
          <t>Ritz</t>
        </is>
      </c>
      <c r="G1276" s="21" t="n">
        <v>2010</v>
      </c>
      <c r="H1276" s="22" t="n">
        <v>37909</v>
      </c>
      <c r="I1276" s="22" t="n">
        <v>150000</v>
      </c>
      <c r="J1276" s="20" t="inlineStr">
        <is>
          <t>POPULAR VEHICLES AND SERVICES LIMITED</t>
        </is>
      </c>
      <c r="K1276" s="20" t="inlineStr">
        <is>
          <t>Non-Captive</t>
        </is>
      </c>
      <c r="L1276" s="20" t="inlineStr">
        <is>
          <t>Santhosh Cars</t>
        </is>
      </c>
      <c r="M1276" s="23" t="n">
        <v>2542.37</v>
      </c>
    </row>
    <row r="1277">
      <c r="A1277" s="19" t="inlineStr">
        <is>
          <t>FY27</t>
        </is>
      </c>
      <c r="B1277" s="19" t="inlineStr">
        <is>
          <t>Apr</t>
        </is>
      </c>
      <c r="C1277" s="19" t="inlineStr">
        <is>
          <t>TN</t>
        </is>
      </c>
      <c r="D1277" s="20" t="inlineStr">
        <is>
          <t>TN07BH1535</t>
        </is>
      </c>
      <c r="E1277" s="20" t="inlineStr">
        <is>
          <t>MARUTI SUZUKI</t>
        </is>
      </c>
      <c r="F1277" s="20" t="inlineStr">
        <is>
          <t>Wagon R</t>
        </is>
      </c>
      <c r="G1277" s="21" t="n">
        <v>2010</v>
      </c>
      <c r="H1277" s="22" t="n">
        <v>130612</v>
      </c>
      <c r="I1277" s="22" t="n">
        <v>140000</v>
      </c>
      <c r="J1277" s="20" t="inlineStr">
        <is>
          <t>ABT LIMITED</t>
        </is>
      </c>
      <c r="K1277" s="20" t="inlineStr">
        <is>
          <t>Non-Captive</t>
        </is>
      </c>
      <c r="L1277" s="20" t="inlineStr">
        <is>
          <t>Santhosh Cars</t>
        </is>
      </c>
      <c r="M1277" s="23" t="n">
        <v>2542.37</v>
      </c>
    </row>
    <row r="1278">
      <c r="A1278" s="19" t="inlineStr">
        <is>
          <t>FY27</t>
        </is>
      </c>
      <c r="B1278" s="19" t="inlineStr">
        <is>
          <t>Apr</t>
        </is>
      </c>
      <c r="C1278" s="19" t="inlineStr">
        <is>
          <t>TN</t>
        </is>
      </c>
      <c r="D1278" s="20" t="inlineStr">
        <is>
          <t>TN07AW9736</t>
        </is>
      </c>
      <c r="E1278" s="20" t="inlineStr">
        <is>
          <t>HYUNDAI</t>
        </is>
      </c>
      <c r="F1278" s="20" t="inlineStr">
        <is>
          <t>Getz</t>
        </is>
      </c>
      <c r="G1278" s="21" t="n">
        <v>2005</v>
      </c>
      <c r="H1278" s="22" t="n">
        <v>84058</v>
      </c>
      <c r="I1278" s="22" t="n">
        <v>50000</v>
      </c>
      <c r="J1278" s="20" t="inlineStr">
        <is>
          <t>POPULAR VEHICLES AND SERVICES LIMITED</t>
        </is>
      </c>
      <c r="K1278" s="20" t="inlineStr">
        <is>
          <t>Non-Captive</t>
        </is>
      </c>
      <c r="L1278" s="20" t="inlineStr">
        <is>
          <t>Santhosh Cars</t>
        </is>
      </c>
      <c r="M1278" s="23" t="n">
        <v>2542.37</v>
      </c>
    </row>
    <row r="1279">
      <c r="A1279" s="19" t="inlineStr">
        <is>
          <t>FY27</t>
        </is>
      </c>
      <c r="B1279" s="19" t="inlineStr">
        <is>
          <t>Apr</t>
        </is>
      </c>
      <c r="C1279" s="19" t="inlineStr">
        <is>
          <t>TN</t>
        </is>
      </c>
      <c r="D1279" s="20" t="inlineStr">
        <is>
          <t>TN06M2517</t>
        </is>
      </c>
      <c r="E1279" s="20" t="inlineStr">
        <is>
          <t>MARUTI SUZUKI</t>
        </is>
      </c>
      <c r="F1279" s="20" t="inlineStr">
        <is>
          <t>Alto</t>
        </is>
      </c>
      <c r="G1279" s="21" t="n">
        <v>2014</v>
      </c>
      <c r="H1279" s="22" t="n">
        <v>56999</v>
      </c>
      <c r="I1279" s="22" t="n">
        <v>165000</v>
      </c>
      <c r="J1279" s="20" t="inlineStr">
        <is>
          <t>VISHNU CARS PRIVATE LIMITED</t>
        </is>
      </c>
      <c r="K1279" s="20" t="inlineStr">
        <is>
          <t>Non-Captive</t>
        </is>
      </c>
      <c r="L1279" s="20" t="inlineStr">
        <is>
          <t>Santhosh Cars</t>
        </is>
      </c>
      <c r="M1279" s="23" t="n">
        <v>2542.37</v>
      </c>
    </row>
    <row r="1280">
      <c r="A1280" s="19" t="inlineStr">
        <is>
          <t>FY27</t>
        </is>
      </c>
      <c r="B1280" s="19" t="inlineStr">
        <is>
          <t>Apr</t>
        </is>
      </c>
      <c r="C1280" s="19" t="inlineStr">
        <is>
          <t>TN</t>
        </is>
      </c>
      <c r="D1280" s="20" t="inlineStr">
        <is>
          <t>TN06E3035</t>
        </is>
      </c>
      <c r="E1280" s="20" t="inlineStr">
        <is>
          <t>MARUTI SUZUKI</t>
        </is>
      </c>
      <c r="F1280" s="20" t="inlineStr">
        <is>
          <t>Ritz</t>
        </is>
      </c>
      <c r="G1280" s="21" t="n">
        <v>2011</v>
      </c>
      <c r="H1280" s="22" t="n">
        <v>5609</v>
      </c>
      <c r="I1280" s="22" t="n">
        <v>160000</v>
      </c>
      <c r="J1280" s="20" t="inlineStr">
        <is>
          <t>POPULAR VEHICLES AND SERVICES LIMITED</t>
        </is>
      </c>
      <c r="K1280" s="20" t="inlineStr">
        <is>
          <t>Non-Captive</t>
        </is>
      </c>
      <c r="L1280" s="20" t="inlineStr">
        <is>
          <t>Santhosh Cars</t>
        </is>
      </c>
      <c r="M1280" s="23" t="n">
        <v>2542.37</v>
      </c>
    </row>
    <row r="1281">
      <c r="A1281" s="19" t="inlineStr">
        <is>
          <t>FY27</t>
        </is>
      </c>
      <c r="B1281" s="19" t="inlineStr">
        <is>
          <t>Apr</t>
        </is>
      </c>
      <c r="C1281" s="19" t="inlineStr">
        <is>
          <t>TN</t>
        </is>
      </c>
      <c r="D1281" s="20" t="inlineStr">
        <is>
          <t>TN06E0508</t>
        </is>
      </c>
      <c r="E1281" s="20" t="inlineStr">
        <is>
          <t>VOLKSWAGEN</t>
        </is>
      </c>
      <c r="F1281" s="20" t="inlineStr">
        <is>
          <t>Vento</t>
        </is>
      </c>
      <c r="G1281" s="21" t="n">
        <v>2011</v>
      </c>
      <c r="H1281" s="22" t="n">
        <v>93131</v>
      </c>
      <c r="I1281" s="22" t="n">
        <v>150000</v>
      </c>
      <c r="J1281" s="20" t="inlineStr">
        <is>
          <t>POPULAR VEHICLES AND SERVICES LIMITED</t>
        </is>
      </c>
      <c r="K1281" s="20" t="inlineStr">
        <is>
          <t>Non-Captive</t>
        </is>
      </c>
      <c r="L1281" s="20" t="inlineStr">
        <is>
          <t>Santhosh Cars</t>
        </is>
      </c>
      <c r="M1281" s="23" t="n">
        <v>2542.37</v>
      </c>
    </row>
    <row r="1282">
      <c r="A1282" s="19" t="inlineStr">
        <is>
          <t>FY27</t>
        </is>
      </c>
      <c r="B1282" s="19" t="inlineStr">
        <is>
          <t>Apr</t>
        </is>
      </c>
      <c r="C1282" s="19" t="inlineStr">
        <is>
          <t>TN</t>
        </is>
      </c>
      <c r="D1282" s="20" t="inlineStr">
        <is>
          <t>TN06D7066</t>
        </is>
      </c>
      <c r="E1282" s="20" t="inlineStr">
        <is>
          <t>MARUTI SUZUKI</t>
        </is>
      </c>
      <c r="F1282" s="20" t="inlineStr">
        <is>
          <t>Ritz</t>
        </is>
      </c>
      <c r="G1282" s="21" t="n">
        <v>2011</v>
      </c>
      <c r="H1282" s="22" t="n">
        <v>99999</v>
      </c>
      <c r="I1282" s="22" t="n">
        <v>170000</v>
      </c>
      <c r="J1282" s="20" t="inlineStr">
        <is>
          <t>ABT LIMITED</t>
        </is>
      </c>
      <c r="K1282" s="20" t="inlineStr">
        <is>
          <t>Non-Captive</t>
        </is>
      </c>
      <c r="L1282" s="20" t="inlineStr">
        <is>
          <t>Santhosh Cars</t>
        </is>
      </c>
      <c r="M1282" s="23" t="n">
        <v>2542.37</v>
      </c>
    </row>
    <row r="1283">
      <c r="A1283" s="19" t="inlineStr">
        <is>
          <t>FY27</t>
        </is>
      </c>
      <c r="B1283" s="19" t="inlineStr">
        <is>
          <t>Apr</t>
        </is>
      </c>
      <c r="C1283" s="19" t="inlineStr">
        <is>
          <t>TN</t>
        </is>
      </c>
      <c r="D1283" s="20" t="inlineStr">
        <is>
          <t>TN05AR6959</t>
        </is>
      </c>
      <c r="E1283" s="20" t="inlineStr">
        <is>
          <t>MARUTI SUZUKI</t>
        </is>
      </c>
      <c r="F1283" s="20" t="inlineStr">
        <is>
          <t>Alto</t>
        </is>
      </c>
      <c r="G1283" s="21" t="n">
        <v>2012</v>
      </c>
      <c r="H1283" s="22" t="n">
        <v>73296</v>
      </c>
      <c r="I1283" s="22" t="n">
        <v>130000</v>
      </c>
      <c r="J1283" s="20" t="inlineStr">
        <is>
          <t>VISHNU CARS PRIVATE LIMITED</t>
        </is>
      </c>
      <c r="K1283" s="20" t="inlineStr">
        <is>
          <t>Non-Captive</t>
        </is>
      </c>
      <c r="L1283" s="20" t="inlineStr">
        <is>
          <t>Santhosh Cars</t>
        </is>
      </c>
      <c r="M1283" s="23" t="n">
        <v>2542.37</v>
      </c>
    </row>
    <row r="1284">
      <c r="A1284" s="19" t="inlineStr">
        <is>
          <t>FY27</t>
        </is>
      </c>
      <c r="B1284" s="19" t="inlineStr">
        <is>
          <t>Apr</t>
        </is>
      </c>
      <c r="C1284" s="19" t="inlineStr">
        <is>
          <t>TN</t>
        </is>
      </c>
      <c r="D1284" s="20" t="inlineStr">
        <is>
          <t>TN05AQ7807</t>
        </is>
      </c>
      <c r="E1284" s="20" t="inlineStr">
        <is>
          <t>MARUTI SUZUKI</t>
        </is>
      </c>
      <c r="F1284" s="20" t="inlineStr">
        <is>
          <t>Alto K10</t>
        </is>
      </c>
      <c r="G1284" s="21" t="n">
        <v>2012</v>
      </c>
      <c r="H1284" s="22" t="n">
        <v>70348</v>
      </c>
      <c r="I1284" s="22" t="n">
        <v>130000</v>
      </c>
      <c r="J1284" s="20" t="inlineStr">
        <is>
          <t>POPULAR VEHICLES AND SERVICES LIMITED</t>
        </is>
      </c>
      <c r="K1284" s="20" t="inlineStr">
        <is>
          <t>Non-Captive</t>
        </is>
      </c>
      <c r="L1284" s="20" t="inlineStr">
        <is>
          <t>Santhosh Cars</t>
        </is>
      </c>
      <c r="M1284" s="23" t="n">
        <v>2542.37</v>
      </c>
    </row>
    <row r="1285">
      <c r="A1285" s="19" t="inlineStr">
        <is>
          <t>FY27</t>
        </is>
      </c>
      <c r="B1285" s="19" t="inlineStr">
        <is>
          <t>Apr</t>
        </is>
      </c>
      <c r="C1285" s="19" t="inlineStr">
        <is>
          <t>TN</t>
        </is>
      </c>
      <c r="D1285" s="20" t="inlineStr">
        <is>
          <t>TN05AK6792</t>
        </is>
      </c>
      <c r="E1285" s="20" t="inlineStr">
        <is>
          <t>MARUTI SUZUKI</t>
        </is>
      </c>
      <c r="F1285" s="20" t="inlineStr">
        <is>
          <t>Ritz</t>
        </is>
      </c>
      <c r="G1285" s="21" t="n">
        <v>2011</v>
      </c>
      <c r="H1285" s="22" t="n">
        <v>210033</v>
      </c>
      <c r="I1285" s="22" t="n">
        <v>140000</v>
      </c>
      <c r="J1285" s="20" t="inlineStr">
        <is>
          <t>ABT LIMITED</t>
        </is>
      </c>
      <c r="K1285" s="20" t="inlineStr">
        <is>
          <t>Non-Captive</t>
        </is>
      </c>
      <c r="L1285" s="20" t="inlineStr">
        <is>
          <t>Santhosh Cars</t>
        </is>
      </c>
      <c r="M1285" s="23" t="n">
        <v>2542.37</v>
      </c>
    </row>
    <row r="1286">
      <c r="A1286" s="19" t="inlineStr">
        <is>
          <t>FY27</t>
        </is>
      </c>
      <c r="B1286" s="19" t="inlineStr">
        <is>
          <t>Apr</t>
        </is>
      </c>
      <c r="C1286" s="19" t="inlineStr">
        <is>
          <t>TN</t>
        </is>
      </c>
      <c r="D1286" s="20" t="inlineStr">
        <is>
          <t>TN05AF4762</t>
        </is>
      </c>
      <c r="E1286" s="20" t="inlineStr">
        <is>
          <t>HYUNDAI</t>
        </is>
      </c>
      <c r="F1286" s="20" t="inlineStr">
        <is>
          <t>I20</t>
        </is>
      </c>
      <c r="G1286" s="21" t="n">
        <v>2010</v>
      </c>
      <c r="H1286" s="22" t="n">
        <v>99434</v>
      </c>
      <c r="I1286" s="22" t="n">
        <v>100000</v>
      </c>
      <c r="J1286" s="20" t="inlineStr">
        <is>
          <t>POPULAR VEHICLES AND SERVICES LIMITED</t>
        </is>
      </c>
      <c r="K1286" s="20" t="inlineStr">
        <is>
          <t>Non-Captive</t>
        </is>
      </c>
      <c r="L1286" s="20" t="inlineStr">
        <is>
          <t>Santhosh Cars</t>
        </is>
      </c>
      <c r="M1286" s="23" t="n">
        <v>2542.37</v>
      </c>
    </row>
    <row r="1287">
      <c r="A1287" s="19" t="inlineStr">
        <is>
          <t>FY27</t>
        </is>
      </c>
      <c r="B1287" s="19" t="inlineStr">
        <is>
          <t>Apr</t>
        </is>
      </c>
      <c r="C1287" s="19" t="inlineStr">
        <is>
          <t>TN</t>
        </is>
      </c>
      <c r="D1287" s="20" t="inlineStr">
        <is>
          <t>TN05AD6610</t>
        </is>
      </c>
      <c r="E1287" s="20" t="inlineStr">
        <is>
          <t>HYUNDAI</t>
        </is>
      </c>
      <c r="F1287" s="20" t="inlineStr">
        <is>
          <t>I20</t>
        </is>
      </c>
      <c r="G1287" s="21" t="n">
        <v>2010</v>
      </c>
      <c r="H1287" s="22" t="n">
        <v>99512</v>
      </c>
      <c r="I1287" s="22" t="n">
        <v>200000</v>
      </c>
      <c r="J1287" s="20" t="inlineStr">
        <is>
          <t>POPULAR VEHICLES AND SERVICES LIMITED</t>
        </is>
      </c>
      <c r="K1287" s="20" t="inlineStr">
        <is>
          <t>Non-Captive</t>
        </is>
      </c>
      <c r="L1287" s="20" t="inlineStr">
        <is>
          <t>Santhosh Cars</t>
        </is>
      </c>
      <c r="M1287" s="23" t="n">
        <v>2542.37</v>
      </c>
    </row>
    <row r="1288">
      <c r="A1288" s="19" t="inlineStr">
        <is>
          <t>FY27</t>
        </is>
      </c>
      <c r="B1288" s="19" t="inlineStr">
        <is>
          <t>Apr</t>
        </is>
      </c>
      <c r="C1288" s="19" t="inlineStr">
        <is>
          <t>TN</t>
        </is>
      </c>
      <c r="D1288" s="20" t="inlineStr">
        <is>
          <t>TN05AC2849</t>
        </is>
      </c>
      <c r="E1288" s="20" t="inlineStr">
        <is>
          <t>MARUTI SUZUKI</t>
        </is>
      </c>
      <c r="F1288" s="20" t="inlineStr">
        <is>
          <t>Wagon R</t>
        </is>
      </c>
      <c r="G1288" s="21" t="n">
        <v>2009</v>
      </c>
      <c r="H1288" s="22" t="n">
        <v>55018</v>
      </c>
      <c r="I1288" s="22" t="n">
        <v>110000</v>
      </c>
      <c r="J1288" s="20" t="inlineStr">
        <is>
          <t>POPULAR VEHICLES AND SERVICES LIMITED</t>
        </is>
      </c>
      <c r="K1288" s="20" t="inlineStr">
        <is>
          <t>Non-Captive</t>
        </is>
      </c>
      <c r="L1288" s="20" t="inlineStr">
        <is>
          <t>Santhosh Cars</t>
        </is>
      </c>
      <c r="M1288" s="23" t="n">
        <v>2542.37</v>
      </c>
    </row>
    <row r="1289">
      <c r="A1289" s="19" t="inlineStr">
        <is>
          <t>FY27</t>
        </is>
      </c>
      <c r="B1289" s="19" t="inlineStr">
        <is>
          <t>Apr</t>
        </is>
      </c>
      <c r="C1289" s="19" t="inlineStr">
        <is>
          <t>TN</t>
        </is>
      </c>
      <c r="D1289" s="20" t="inlineStr">
        <is>
          <t>TN05AA5712</t>
        </is>
      </c>
      <c r="E1289" s="20" t="inlineStr">
        <is>
          <t>CHEVROLET</t>
        </is>
      </c>
      <c r="F1289" s="20" t="inlineStr">
        <is>
          <t>Spark</t>
        </is>
      </c>
      <c r="G1289" s="21" t="n">
        <v>2009</v>
      </c>
      <c r="H1289" s="22" t="n">
        <v>130716</v>
      </c>
      <c r="I1289" s="22" t="n">
        <v>40000</v>
      </c>
      <c r="J1289" s="20" t="inlineStr">
        <is>
          <t>VISHNU CARS PRIVATE LIMITED</t>
        </is>
      </c>
      <c r="K1289" s="20" t="inlineStr">
        <is>
          <t>Non-Captive</t>
        </is>
      </c>
      <c r="L1289" s="20" t="inlineStr">
        <is>
          <t>Santhosh Cars</t>
        </is>
      </c>
      <c r="M1289" s="23" t="n">
        <v>2542.37</v>
      </c>
    </row>
    <row r="1290">
      <c r="A1290" s="19" t="inlineStr">
        <is>
          <t>FY27</t>
        </is>
      </c>
      <c r="B1290" s="19" t="inlineStr">
        <is>
          <t>Apr</t>
        </is>
      </c>
      <c r="C1290" s="19" t="inlineStr">
        <is>
          <t>TN</t>
        </is>
      </c>
      <c r="D1290" s="20" t="inlineStr">
        <is>
          <t>TN04AM1668</t>
        </is>
      </c>
      <c r="E1290" s="20" t="inlineStr">
        <is>
          <t>FIAT</t>
        </is>
      </c>
      <c r="F1290" s="20" t="inlineStr">
        <is>
          <t>Punto</t>
        </is>
      </c>
      <c r="G1290" s="21" t="n">
        <v>2013</v>
      </c>
      <c r="H1290" s="22" t="n">
        <v>152381</v>
      </c>
      <c r="I1290" s="22" t="n">
        <v>150000</v>
      </c>
      <c r="J1290" s="20" t="inlineStr">
        <is>
          <t>VISHNU CARS PRIVATE LIMITED</t>
        </is>
      </c>
      <c r="K1290" s="20" t="inlineStr">
        <is>
          <t>Non-Captive</t>
        </is>
      </c>
      <c r="L1290" s="20" t="inlineStr">
        <is>
          <t>Santhosh Cars</t>
        </is>
      </c>
      <c r="M1290" s="23" t="n">
        <v>2542.37</v>
      </c>
    </row>
    <row r="1291">
      <c r="A1291" s="19" t="inlineStr">
        <is>
          <t>FY27</t>
        </is>
      </c>
      <c r="B1291" s="19" t="inlineStr">
        <is>
          <t>Apr</t>
        </is>
      </c>
      <c r="C1291" s="19" t="inlineStr">
        <is>
          <t>TN</t>
        </is>
      </c>
      <c r="D1291" s="20" t="inlineStr">
        <is>
          <t>TN04AL7849</t>
        </is>
      </c>
      <c r="E1291" s="20" t="inlineStr">
        <is>
          <t>MARUTI SUZUKI</t>
        </is>
      </c>
      <c r="F1291" s="20" t="inlineStr">
        <is>
          <t>Alto</t>
        </is>
      </c>
      <c r="G1291" s="21" t="n">
        <v>2013</v>
      </c>
      <c r="H1291" s="22" t="n">
        <v>34955</v>
      </c>
      <c r="I1291" s="22" t="n">
        <v>135000</v>
      </c>
      <c r="J1291" s="20" t="inlineStr">
        <is>
          <t>POPULAR VEHICLES AND SERVICES LIMITED</t>
        </is>
      </c>
      <c r="K1291" s="20" t="inlineStr">
        <is>
          <t>Non-Captive</t>
        </is>
      </c>
      <c r="L1291" s="20" t="inlineStr">
        <is>
          <t>Santhosh Cars</t>
        </is>
      </c>
      <c r="M1291" s="23" t="n">
        <v>2542.37</v>
      </c>
    </row>
    <row r="1292">
      <c r="A1292" s="19" t="inlineStr">
        <is>
          <t>FY27</t>
        </is>
      </c>
      <c r="B1292" s="19" t="inlineStr">
        <is>
          <t>Apr</t>
        </is>
      </c>
      <c r="C1292" s="19" t="inlineStr">
        <is>
          <t>TN</t>
        </is>
      </c>
      <c r="D1292" s="20" t="inlineStr">
        <is>
          <t>TN04AK5796</t>
        </is>
      </c>
      <c r="E1292" s="20" t="inlineStr">
        <is>
          <t>MARUTI SUZUKI</t>
        </is>
      </c>
      <c r="F1292" s="20" t="inlineStr">
        <is>
          <t>Wagon R</t>
        </is>
      </c>
      <c r="G1292" s="21" t="n">
        <v>2012</v>
      </c>
      <c r="H1292" s="22" t="n">
        <v>43011</v>
      </c>
      <c r="I1292" s="22" t="n">
        <v>210000</v>
      </c>
      <c r="J1292" s="20" t="inlineStr">
        <is>
          <t>ABT LIMITED</t>
        </is>
      </c>
      <c r="K1292" s="20" t="inlineStr">
        <is>
          <t>Non-Captive</t>
        </is>
      </c>
      <c r="L1292" s="20" t="inlineStr">
        <is>
          <t>Ashok Cars</t>
        </is>
      </c>
      <c r="M1292" s="23" t="n">
        <v>3389.83</v>
      </c>
    </row>
    <row r="1293">
      <c r="A1293" s="19" t="inlineStr">
        <is>
          <t>FY27</t>
        </is>
      </c>
      <c r="B1293" s="19" t="inlineStr">
        <is>
          <t>Apr</t>
        </is>
      </c>
      <c r="C1293" s="19" t="inlineStr">
        <is>
          <t>TN</t>
        </is>
      </c>
      <c r="D1293" s="20" t="inlineStr">
        <is>
          <t>TN03B4912</t>
        </is>
      </c>
      <c r="E1293" s="20" t="inlineStr">
        <is>
          <t>MARUTI SUZUKI</t>
        </is>
      </c>
      <c r="F1293" s="20" t="inlineStr">
        <is>
          <t>Alto</t>
        </is>
      </c>
      <c r="G1293" s="21" t="n">
        <v>2009</v>
      </c>
      <c r="H1293" s="22" t="n">
        <v>65478</v>
      </c>
      <c r="I1293" s="22" t="n">
        <v>90000</v>
      </c>
      <c r="J1293" s="20" t="inlineStr">
        <is>
          <t>ABT LIMITED</t>
        </is>
      </c>
      <c r="K1293" s="20" t="inlineStr">
        <is>
          <t>Non-Captive</t>
        </is>
      </c>
      <c r="L1293" s="20" t="inlineStr">
        <is>
          <t>Santhosh Cars</t>
        </is>
      </c>
      <c r="M1293" s="23" t="n">
        <v>2542.37</v>
      </c>
    </row>
    <row r="1294">
      <c r="A1294" s="19" t="inlineStr">
        <is>
          <t>FY27</t>
        </is>
      </c>
      <c r="B1294" s="19" t="inlineStr">
        <is>
          <t>Apr</t>
        </is>
      </c>
      <c r="C1294" s="19" t="inlineStr">
        <is>
          <t>TN</t>
        </is>
      </c>
      <c r="D1294" s="20" t="inlineStr">
        <is>
          <t>TN02V1183</t>
        </is>
      </c>
      <c r="E1294" s="20" t="inlineStr">
        <is>
          <t>MARUTI SUZUKI</t>
        </is>
      </c>
      <c r="F1294" s="20" t="inlineStr">
        <is>
          <t>Wagon R</t>
        </is>
      </c>
      <c r="G1294" s="21" t="n">
        <v>2005</v>
      </c>
      <c r="H1294" s="22" t="n">
        <v>73607</v>
      </c>
      <c r="I1294" s="22" t="n">
        <v>60000</v>
      </c>
      <c r="J1294" s="20" t="inlineStr">
        <is>
          <t>POPULAR VEHICLES AND SERVICES LIMITED</t>
        </is>
      </c>
      <c r="K1294" s="20" t="inlineStr">
        <is>
          <t>Non-Captive</t>
        </is>
      </c>
      <c r="L1294" s="20" t="inlineStr">
        <is>
          <t>Santhosh Cars</t>
        </is>
      </c>
      <c r="M1294" s="23" t="n">
        <v>2542.37</v>
      </c>
    </row>
    <row r="1295">
      <c r="A1295" s="19" t="inlineStr">
        <is>
          <t>FY27</t>
        </is>
      </c>
      <c r="B1295" s="19" t="inlineStr">
        <is>
          <t>Apr</t>
        </is>
      </c>
      <c r="C1295" s="19" t="inlineStr">
        <is>
          <t>TN</t>
        </is>
      </c>
      <c r="D1295" s="20" t="inlineStr">
        <is>
          <t>TN02BM0870</t>
        </is>
      </c>
      <c r="E1295" s="20" t="inlineStr">
        <is>
          <t>MARUTI SUZUKI</t>
        </is>
      </c>
      <c r="F1295" s="20" t="inlineStr">
        <is>
          <t>Alto</t>
        </is>
      </c>
      <c r="G1295" s="21" t="n">
        <v>2018</v>
      </c>
      <c r="H1295" s="22" t="n">
        <v>24754</v>
      </c>
      <c r="I1295" s="22" t="n">
        <v>210000</v>
      </c>
      <c r="J1295" s="20" t="inlineStr">
        <is>
          <t>POPULAR VEHICLES AND SERVICES LIMITED</t>
        </is>
      </c>
      <c r="K1295" s="20" t="inlineStr">
        <is>
          <t>Non-Captive</t>
        </is>
      </c>
      <c r="L1295" s="20" t="inlineStr">
        <is>
          <t>Thiya Cars</t>
        </is>
      </c>
      <c r="M1295" s="23" t="n">
        <v>3389.83</v>
      </c>
    </row>
    <row r="1296">
      <c r="A1296" s="19" t="inlineStr">
        <is>
          <t>FY27</t>
        </is>
      </c>
      <c r="B1296" s="19" t="inlineStr">
        <is>
          <t>Apr</t>
        </is>
      </c>
      <c r="C1296" s="19" t="inlineStr">
        <is>
          <t>TN</t>
        </is>
      </c>
      <c r="D1296" s="20" t="inlineStr">
        <is>
          <t>TN02BB9913</t>
        </is>
      </c>
      <c r="E1296" s="20" t="inlineStr">
        <is>
          <t>SKODA</t>
        </is>
      </c>
      <c r="F1296" s="20" t="inlineStr">
        <is>
          <t>Rapid</t>
        </is>
      </c>
      <c r="G1296" s="21" t="n">
        <v>2015</v>
      </c>
      <c r="H1296" s="22" t="n">
        <v>178045</v>
      </c>
      <c r="I1296" s="22" t="n">
        <v>200000</v>
      </c>
      <c r="J1296" s="20" t="inlineStr">
        <is>
          <t>ABT LIMITED</t>
        </is>
      </c>
      <c r="K1296" s="20" t="inlineStr">
        <is>
          <t>Non-Captive</t>
        </is>
      </c>
      <c r="L1296" s="20" t="inlineStr">
        <is>
          <t>Santhosh Cars</t>
        </is>
      </c>
      <c r="M1296" s="23" t="n">
        <v>2542.37</v>
      </c>
    </row>
    <row r="1297">
      <c r="A1297" s="19" t="inlineStr">
        <is>
          <t>FY27</t>
        </is>
      </c>
      <c r="B1297" s="19" t="inlineStr">
        <is>
          <t>Apr</t>
        </is>
      </c>
      <c r="C1297" s="19" t="inlineStr">
        <is>
          <t>TN</t>
        </is>
      </c>
      <c r="D1297" s="20" t="inlineStr">
        <is>
          <t>TN02AY5053</t>
        </is>
      </c>
      <c r="E1297" s="20" t="inlineStr">
        <is>
          <t>MARUTI SUZUKI</t>
        </is>
      </c>
      <c r="F1297" s="20" t="inlineStr">
        <is>
          <t>Alto</t>
        </is>
      </c>
      <c r="G1297" s="21" t="n">
        <v>2013</v>
      </c>
      <c r="H1297" s="22" t="n">
        <v>67616</v>
      </c>
      <c r="I1297" s="22" t="n">
        <v>150000</v>
      </c>
      <c r="J1297" s="20" t="inlineStr">
        <is>
          <t>POPULAR VEHICLES AND SERVICES LIMITED</t>
        </is>
      </c>
      <c r="K1297" s="20" t="inlineStr">
        <is>
          <t>Non-Captive</t>
        </is>
      </c>
      <c r="L1297" s="20" t="inlineStr">
        <is>
          <t>Santhosh Cars</t>
        </is>
      </c>
      <c r="M1297" s="23" t="n">
        <v>2542.37</v>
      </c>
    </row>
    <row r="1298">
      <c r="A1298" s="19" t="inlineStr">
        <is>
          <t>FY27</t>
        </is>
      </c>
      <c r="B1298" s="19" t="inlineStr">
        <is>
          <t>Apr</t>
        </is>
      </c>
      <c r="C1298" s="19" t="inlineStr">
        <is>
          <t>TN</t>
        </is>
      </c>
      <c r="D1298" s="20" t="inlineStr">
        <is>
          <t>TN02AX4167</t>
        </is>
      </c>
      <c r="E1298" s="20" t="inlineStr">
        <is>
          <t>MARUTI SUZUKI</t>
        </is>
      </c>
      <c r="F1298" s="20" t="inlineStr">
        <is>
          <t>Alto</t>
        </is>
      </c>
      <c r="G1298" s="21" t="n">
        <v>2013</v>
      </c>
      <c r="H1298" s="22" t="n">
        <v>32620</v>
      </c>
      <c r="I1298" s="22" t="n">
        <v>150000</v>
      </c>
      <c r="J1298" s="20" t="inlineStr">
        <is>
          <t>POPULAR VEHICLES AND SERVICES LIMITED</t>
        </is>
      </c>
      <c r="K1298" s="20" t="inlineStr">
        <is>
          <t>Non-Captive</t>
        </is>
      </c>
      <c r="L1298" s="20" t="inlineStr">
        <is>
          <t>Santhosh Cars</t>
        </is>
      </c>
      <c r="M1298" s="23" t="n">
        <v>2542.37</v>
      </c>
    </row>
    <row r="1299">
      <c r="A1299" s="19" t="inlineStr">
        <is>
          <t>FY27</t>
        </is>
      </c>
      <c r="B1299" s="19" t="inlineStr">
        <is>
          <t>Apr</t>
        </is>
      </c>
      <c r="C1299" s="19" t="inlineStr">
        <is>
          <t>TN</t>
        </is>
      </c>
      <c r="D1299" s="20" t="inlineStr">
        <is>
          <t>TN02AR4407</t>
        </is>
      </c>
      <c r="E1299" s="20" t="inlineStr">
        <is>
          <t>MARUTI SUZUKI</t>
        </is>
      </c>
      <c r="F1299" s="20" t="inlineStr">
        <is>
          <t>Wagon R</t>
        </is>
      </c>
      <c r="G1299" s="21" t="n">
        <v>2011</v>
      </c>
      <c r="H1299" s="22" t="n">
        <v>56229</v>
      </c>
      <c r="I1299" s="22" t="n">
        <v>150000</v>
      </c>
      <c r="J1299" s="20" t="inlineStr">
        <is>
          <t>ABT LIMITED</t>
        </is>
      </c>
      <c r="K1299" s="20" t="inlineStr">
        <is>
          <t>Non-Captive</t>
        </is>
      </c>
      <c r="L1299" s="20" t="inlineStr">
        <is>
          <t>Santhosh Cars</t>
        </is>
      </c>
      <c r="M1299" s="23" t="n">
        <v>2542.37</v>
      </c>
    </row>
    <row r="1300">
      <c r="A1300" s="19" t="inlineStr">
        <is>
          <t>FY27</t>
        </is>
      </c>
      <c r="B1300" s="19" t="inlineStr">
        <is>
          <t>Apr</t>
        </is>
      </c>
      <c r="C1300" s="19" t="inlineStr">
        <is>
          <t>TN</t>
        </is>
      </c>
      <c r="D1300" s="20" t="inlineStr">
        <is>
          <t>TN02AM9560</t>
        </is>
      </c>
      <c r="E1300" s="20" t="inlineStr">
        <is>
          <t>MARUTI SUZUKI</t>
        </is>
      </c>
      <c r="F1300" s="20" t="inlineStr">
        <is>
          <t>Alto</t>
        </is>
      </c>
      <c r="G1300" s="21" t="n">
        <v>2010</v>
      </c>
      <c r="H1300" s="22" t="n">
        <v>104033</v>
      </c>
      <c r="I1300" s="22" t="n">
        <v>100000</v>
      </c>
      <c r="J1300" s="20" t="inlineStr">
        <is>
          <t>ABT LIMITED</t>
        </is>
      </c>
      <c r="K1300" s="20" t="inlineStr">
        <is>
          <t>Non-Captive</t>
        </is>
      </c>
      <c r="L1300" s="20" t="inlineStr">
        <is>
          <t>Santhosh Cars</t>
        </is>
      </c>
      <c r="M1300" s="23" t="n">
        <v>2542.37</v>
      </c>
    </row>
    <row r="1301">
      <c r="A1301" s="19" t="inlineStr">
        <is>
          <t>FY27</t>
        </is>
      </c>
      <c r="B1301" s="19" t="inlineStr">
        <is>
          <t>Apr</t>
        </is>
      </c>
      <c r="C1301" s="19" t="inlineStr">
        <is>
          <t>TN</t>
        </is>
      </c>
      <c r="D1301" s="20" t="inlineStr">
        <is>
          <t>TN02AM9453</t>
        </is>
      </c>
      <c r="E1301" s="20" t="inlineStr">
        <is>
          <t>HYUNDAI</t>
        </is>
      </c>
      <c r="F1301" s="20" t="inlineStr">
        <is>
          <t>I10</t>
        </is>
      </c>
      <c r="G1301" s="21" t="n">
        <v>2010</v>
      </c>
      <c r="H1301" s="22" t="n">
        <v>67390</v>
      </c>
      <c r="I1301" s="22" t="n">
        <v>140000</v>
      </c>
      <c r="J1301" s="20" t="inlineStr">
        <is>
          <t>POPULAR VEHICLES AND SERVICES LIMITED</t>
        </is>
      </c>
      <c r="K1301" s="20" t="inlineStr">
        <is>
          <t>Non-Captive</t>
        </is>
      </c>
      <c r="L1301" s="20" t="inlineStr">
        <is>
          <t>Santhosh Cars</t>
        </is>
      </c>
      <c r="M1301" s="23" t="n">
        <v>2542.37</v>
      </c>
    </row>
    <row r="1302">
      <c r="A1302" s="19" t="inlineStr">
        <is>
          <t>FY27</t>
        </is>
      </c>
      <c r="B1302" s="19" t="inlineStr">
        <is>
          <t>Apr</t>
        </is>
      </c>
      <c r="C1302" s="19" t="inlineStr">
        <is>
          <t>TN</t>
        </is>
      </c>
      <c r="D1302" s="20" t="inlineStr">
        <is>
          <t>TN02AL6933</t>
        </is>
      </c>
      <c r="E1302" s="20" t="inlineStr">
        <is>
          <t>HYUNDAI</t>
        </is>
      </c>
      <c r="F1302" s="20" t="inlineStr">
        <is>
          <t>I10</t>
        </is>
      </c>
      <c r="G1302" s="21" t="n">
        <v>2010</v>
      </c>
      <c r="H1302" s="22" t="n">
        <v>66025</v>
      </c>
      <c r="I1302" s="22" t="n">
        <v>145000</v>
      </c>
      <c r="J1302" s="20" t="inlineStr">
        <is>
          <t>POPULAR VEHICLES AND SERVICES LIMITED</t>
        </is>
      </c>
      <c r="K1302" s="20" t="inlineStr">
        <is>
          <t>Non-Captive</t>
        </is>
      </c>
      <c r="L1302" s="20" t="inlineStr">
        <is>
          <t>Santhosh Cars</t>
        </is>
      </c>
      <c r="M1302" s="23" t="n">
        <v>2542.37</v>
      </c>
    </row>
    <row r="1303">
      <c r="A1303" s="19" t="inlineStr">
        <is>
          <t>FY27</t>
        </is>
      </c>
      <c r="B1303" s="19" t="inlineStr">
        <is>
          <t>Apr</t>
        </is>
      </c>
      <c r="C1303" s="19" t="inlineStr">
        <is>
          <t>TN</t>
        </is>
      </c>
      <c r="D1303" s="20" t="inlineStr">
        <is>
          <t>TN02AJ5060</t>
        </is>
      </c>
      <c r="E1303" s="20" t="inlineStr">
        <is>
          <t>TATA</t>
        </is>
      </c>
      <c r="F1303" s="20" t="inlineStr">
        <is>
          <t>Indica</t>
        </is>
      </c>
      <c r="G1303" s="21" t="n">
        <v>2009</v>
      </c>
      <c r="H1303" s="22" t="n">
        <v>95848</v>
      </c>
      <c r="I1303" s="22" t="n">
        <v>50000</v>
      </c>
      <c r="J1303" s="20" t="inlineStr">
        <is>
          <t>ABT LIMITED</t>
        </is>
      </c>
      <c r="K1303" s="20" t="inlineStr">
        <is>
          <t>Non-Captive</t>
        </is>
      </c>
      <c r="L1303" s="20" t="inlineStr">
        <is>
          <t>Shree Shan Motor</t>
        </is>
      </c>
      <c r="M1303" s="23" t="n">
        <v>2542.37</v>
      </c>
    </row>
    <row r="1304">
      <c r="A1304" s="19" t="inlineStr">
        <is>
          <t>FY27</t>
        </is>
      </c>
      <c r="B1304" s="19" t="inlineStr">
        <is>
          <t>Apr</t>
        </is>
      </c>
      <c r="C1304" s="19" t="inlineStr">
        <is>
          <t>TN</t>
        </is>
      </c>
      <c r="D1304" s="20" t="inlineStr">
        <is>
          <t>TN01Z6684</t>
        </is>
      </c>
      <c r="E1304" s="20" t="inlineStr">
        <is>
          <t>HYUNDAI</t>
        </is>
      </c>
      <c r="F1304" s="20" t="inlineStr">
        <is>
          <t>Santro</t>
        </is>
      </c>
      <c r="G1304" s="21" t="n">
        <v>2005</v>
      </c>
      <c r="H1304" s="22" t="n">
        <v>82163</v>
      </c>
      <c r="I1304" s="22" t="n">
        <v>70000</v>
      </c>
      <c r="J1304" s="20" t="inlineStr">
        <is>
          <t>ABT LIMITED</t>
        </is>
      </c>
      <c r="K1304" s="20" t="inlineStr">
        <is>
          <t>Non-Captive</t>
        </is>
      </c>
      <c r="L1304" s="20" t="inlineStr">
        <is>
          <t>Shree Shan Motor</t>
        </is>
      </c>
      <c r="M1304" s="23" t="n">
        <v>2542.37</v>
      </c>
    </row>
    <row r="1305">
      <c r="A1305" s="19" t="inlineStr">
        <is>
          <t>FY27</t>
        </is>
      </c>
      <c r="B1305" s="19" t="inlineStr">
        <is>
          <t>Apr</t>
        </is>
      </c>
      <c r="C1305" s="19" t="inlineStr">
        <is>
          <t>TN</t>
        </is>
      </c>
      <c r="D1305" s="20" t="inlineStr">
        <is>
          <t>TN01AT4390</t>
        </is>
      </c>
      <c r="E1305" s="20" t="inlineStr">
        <is>
          <t>HONDA</t>
        </is>
      </c>
      <c r="F1305" s="20" t="inlineStr">
        <is>
          <t>Brio</t>
        </is>
      </c>
      <c r="G1305" s="21" t="n">
        <v>2013</v>
      </c>
      <c r="H1305" s="22" t="n">
        <v>95242</v>
      </c>
      <c r="I1305" s="22" t="n">
        <v>160000</v>
      </c>
      <c r="J1305" s="20" t="inlineStr">
        <is>
          <t>VISHNU CARS PRIVATE LIMITED</t>
        </is>
      </c>
      <c r="K1305" s="20" t="inlineStr">
        <is>
          <t>Non-Captive</t>
        </is>
      </c>
      <c r="L1305" s="20" t="inlineStr">
        <is>
          <t>Shree Shan Motor</t>
        </is>
      </c>
      <c r="M1305" s="23" t="n">
        <v>2542.37</v>
      </c>
    </row>
    <row r="1306">
      <c r="A1306" s="19" t="inlineStr">
        <is>
          <t>FY27</t>
        </is>
      </c>
      <c r="B1306" s="19" t="inlineStr">
        <is>
          <t>Apr</t>
        </is>
      </c>
      <c r="C1306" s="19" t="inlineStr">
        <is>
          <t>TN</t>
        </is>
      </c>
      <c r="D1306" s="20" t="inlineStr">
        <is>
          <t>TN01AS0585</t>
        </is>
      </c>
      <c r="E1306" s="20" t="inlineStr">
        <is>
          <t>HYUNDAI</t>
        </is>
      </c>
      <c r="F1306" s="20" t="inlineStr">
        <is>
          <t>I10</t>
        </is>
      </c>
      <c r="G1306" s="21" t="n">
        <v>2011</v>
      </c>
      <c r="H1306" s="22" t="n">
        <v>69824</v>
      </c>
      <c r="I1306" s="22" t="n">
        <v>190000</v>
      </c>
      <c r="J1306" s="20" t="inlineStr">
        <is>
          <t>ABT LIMITED</t>
        </is>
      </c>
      <c r="K1306" s="20" t="inlineStr">
        <is>
          <t>Non-Captive</t>
        </is>
      </c>
      <c r="L1306" s="20" t="inlineStr">
        <is>
          <t>Shree Shan Motor</t>
        </is>
      </c>
      <c r="M1306" s="23" t="n">
        <v>2542.37</v>
      </c>
    </row>
    <row r="1307">
      <c r="A1307" s="19" t="inlineStr">
        <is>
          <t>FY27</t>
        </is>
      </c>
      <c r="B1307" s="19" t="inlineStr">
        <is>
          <t>Apr</t>
        </is>
      </c>
      <c r="C1307" s="19" t="inlineStr">
        <is>
          <t>TN</t>
        </is>
      </c>
      <c r="D1307" s="20" t="inlineStr">
        <is>
          <t>TN01AR2660</t>
        </is>
      </c>
      <c r="E1307" s="20" t="inlineStr">
        <is>
          <t>RENAULT</t>
        </is>
      </c>
      <c r="F1307" s="20" t="inlineStr">
        <is>
          <t>Pulse</t>
        </is>
      </c>
      <c r="G1307" s="21" t="n">
        <v>2012</v>
      </c>
      <c r="H1307" s="22" t="n">
        <v>122630</v>
      </c>
      <c r="I1307" s="22" t="n">
        <v>200000</v>
      </c>
      <c r="J1307" s="20" t="inlineStr">
        <is>
          <t>VISHNU CARS PRIVATE LIMITED</t>
        </is>
      </c>
      <c r="K1307" s="20" t="inlineStr">
        <is>
          <t>Non-Captive</t>
        </is>
      </c>
      <c r="L1307" s="20" t="inlineStr">
        <is>
          <t>Shree Shan Motor</t>
        </is>
      </c>
      <c r="M1307" s="23" t="n">
        <v>3389.83</v>
      </c>
    </row>
    <row r="1308">
      <c r="A1308" s="19" t="inlineStr">
        <is>
          <t>FY27</t>
        </is>
      </c>
      <c r="B1308" s="19" t="inlineStr">
        <is>
          <t>Apr</t>
        </is>
      </c>
      <c r="C1308" s="19" t="inlineStr">
        <is>
          <t>TN</t>
        </is>
      </c>
      <c r="D1308" s="20" t="inlineStr">
        <is>
          <t>TN01AR2556</t>
        </is>
      </c>
      <c r="E1308" s="20" t="inlineStr">
        <is>
          <t>VOLKSWAGEN</t>
        </is>
      </c>
      <c r="F1308" s="20" t="inlineStr">
        <is>
          <t>Vento</t>
        </is>
      </c>
      <c r="G1308" s="21" t="n">
        <v>2012</v>
      </c>
      <c r="H1308" s="22" t="n">
        <v>128607</v>
      </c>
      <c r="I1308" s="22" t="n">
        <v>170000</v>
      </c>
      <c r="J1308" s="20" t="inlineStr">
        <is>
          <t>POPULAR VEHICLES AND SERVICES LIMITED</t>
        </is>
      </c>
      <c r="K1308" s="20" t="inlineStr">
        <is>
          <t>Non-Captive</t>
        </is>
      </c>
      <c r="L1308" s="20" t="inlineStr">
        <is>
          <t>Shree Shan Motor</t>
        </is>
      </c>
      <c r="M1308" s="23" t="n">
        <v>2542.37</v>
      </c>
    </row>
    <row r="1309">
      <c r="A1309" s="19" t="inlineStr">
        <is>
          <t>FY27</t>
        </is>
      </c>
      <c r="B1309" s="19" t="inlineStr">
        <is>
          <t>Apr</t>
        </is>
      </c>
      <c r="C1309" s="19" t="inlineStr">
        <is>
          <t>TN</t>
        </is>
      </c>
      <c r="D1309" s="20" t="inlineStr">
        <is>
          <t>TN01AL5888</t>
        </is>
      </c>
      <c r="E1309" s="20" t="inlineStr">
        <is>
          <t>CHEVROLET</t>
        </is>
      </c>
      <c r="F1309" s="20" t="inlineStr">
        <is>
          <t>Spark</t>
        </is>
      </c>
      <c r="G1309" s="21" t="n">
        <v>2010</v>
      </c>
      <c r="H1309" s="22" t="n">
        <v>90338</v>
      </c>
      <c r="I1309" s="22" t="n">
        <v>120000</v>
      </c>
      <c r="J1309" s="20" t="inlineStr">
        <is>
          <t>POPULAR VEHICLES AND SERVICES LIMITED</t>
        </is>
      </c>
      <c r="K1309" s="20" t="inlineStr">
        <is>
          <t>Non-Captive</t>
        </is>
      </c>
      <c r="L1309" s="20" t="inlineStr">
        <is>
          <t>Shree Shan Motor</t>
        </is>
      </c>
      <c r="M1309" s="23" t="n">
        <v>2542.37</v>
      </c>
    </row>
    <row r="1310">
      <c r="A1310" s="19" t="inlineStr">
        <is>
          <t>FY27</t>
        </is>
      </c>
      <c r="B1310" s="19" t="inlineStr">
        <is>
          <t>Apr</t>
        </is>
      </c>
      <c r="C1310" s="19" t="inlineStr">
        <is>
          <t>TN</t>
        </is>
      </c>
      <c r="D1310" s="20" t="inlineStr">
        <is>
          <t>TN01AK9356</t>
        </is>
      </c>
      <c r="E1310" s="20" t="inlineStr">
        <is>
          <t>MARUTI SUZUKI</t>
        </is>
      </c>
      <c r="F1310" s="20" t="inlineStr">
        <is>
          <t>Ritz</t>
        </is>
      </c>
      <c r="G1310" s="21" t="n">
        <v>2010</v>
      </c>
      <c r="H1310" s="22" t="n">
        <v>120791</v>
      </c>
      <c r="I1310" s="22" t="n">
        <v>150000</v>
      </c>
      <c r="J1310" s="20" t="inlineStr">
        <is>
          <t>VISHNU CARS PRIVATE LIMITED</t>
        </is>
      </c>
      <c r="K1310" s="20" t="inlineStr">
        <is>
          <t>Non-Captive</t>
        </is>
      </c>
      <c r="L1310" s="20" t="inlineStr">
        <is>
          <t>Shree Shan Motor</t>
        </is>
      </c>
      <c r="M1310" s="23" t="n">
        <v>2542.37</v>
      </c>
    </row>
    <row r="1311">
      <c r="A1311" s="19" t="inlineStr">
        <is>
          <t>FY27</t>
        </is>
      </c>
      <c r="B1311" s="19" t="inlineStr">
        <is>
          <t>Apr</t>
        </is>
      </c>
      <c r="C1311" s="19" t="inlineStr">
        <is>
          <t>TN</t>
        </is>
      </c>
      <c r="D1311" s="20" t="inlineStr">
        <is>
          <t>TN54D1282</t>
        </is>
      </c>
      <c r="E1311" s="20" t="inlineStr">
        <is>
          <t>FORD</t>
        </is>
      </c>
      <c r="F1311" s="20" t="inlineStr">
        <is>
          <t>Figo</t>
        </is>
      </c>
      <c r="G1311" s="21" t="n">
        <v>2011</v>
      </c>
      <c r="H1311" s="22" t="n">
        <v>147595</v>
      </c>
      <c r="I1311" s="22" t="n">
        <v>80000</v>
      </c>
      <c r="J1311" s="20" t="inlineStr">
        <is>
          <t>VISHNU CARS PRIVATE LIMITED</t>
        </is>
      </c>
      <c r="K1311" s="20" t="inlineStr">
        <is>
          <t>Non-Captive</t>
        </is>
      </c>
      <c r="L1311" s="20" t="inlineStr">
        <is>
          <t>Cars 24</t>
        </is>
      </c>
      <c r="M1311" s="23" t="n">
        <v>4237.29</v>
      </c>
    </row>
    <row r="1312">
      <c r="A1312" s="19" t="inlineStr">
        <is>
          <t>FY27</t>
        </is>
      </c>
      <c r="B1312" s="19" t="inlineStr">
        <is>
          <t>Apr</t>
        </is>
      </c>
      <c r="C1312" s="19" t="inlineStr">
        <is>
          <t>TN</t>
        </is>
      </c>
      <c r="D1312" s="20" t="inlineStr">
        <is>
          <t>TN22CP7779</t>
        </is>
      </c>
      <c r="E1312" s="20" t="inlineStr">
        <is>
          <t>FIAT</t>
        </is>
      </c>
      <c r="F1312" s="20" t="inlineStr">
        <is>
          <t>Grand Punto</t>
        </is>
      </c>
      <c r="G1312" s="21" t="n">
        <v>2014</v>
      </c>
      <c r="H1312" s="22" t="n">
        <v>99999</v>
      </c>
      <c r="I1312" s="22" t="n">
        <v>90000</v>
      </c>
      <c r="J1312" s="20" t="inlineStr">
        <is>
          <t>VISHNU CARS PRIVATE LIMITED</t>
        </is>
      </c>
      <c r="K1312" s="20" t="inlineStr">
        <is>
          <t>Non-Captive</t>
        </is>
      </c>
      <c r="L1312" s="20" t="inlineStr">
        <is>
          <t>Cars 24</t>
        </is>
      </c>
      <c r="M1312" s="23" t="n">
        <v>4237.29</v>
      </c>
    </row>
    <row r="1313">
      <c r="A1313" s="19" t="inlineStr">
        <is>
          <t>FY27</t>
        </is>
      </c>
      <c r="B1313" s="19" t="inlineStr">
        <is>
          <t>Apr</t>
        </is>
      </c>
      <c r="C1313" s="19" t="inlineStr">
        <is>
          <t>TN</t>
        </is>
      </c>
      <c r="D1313" s="20" t="inlineStr">
        <is>
          <t>TN22BS1810</t>
        </is>
      </c>
      <c r="E1313" s="20" t="inlineStr">
        <is>
          <t>FIAT</t>
        </is>
      </c>
      <c r="F1313" s="20" t="inlineStr">
        <is>
          <t>Linea</t>
        </is>
      </c>
      <c r="G1313" s="21" t="n">
        <v>2010</v>
      </c>
      <c r="H1313" s="22" t="n">
        <v>103075</v>
      </c>
      <c r="I1313" s="22" t="n">
        <v>50000</v>
      </c>
      <c r="J1313" s="20" t="inlineStr">
        <is>
          <t>VISHNU CARS PRIVATE LIMITED</t>
        </is>
      </c>
      <c r="K1313" s="20" t="inlineStr">
        <is>
          <t>Non-Captive</t>
        </is>
      </c>
      <c r="L1313" s="20" t="inlineStr">
        <is>
          <t>Cars 24</t>
        </is>
      </c>
      <c r="M1313" s="23" t="n">
        <v>4237.29</v>
      </c>
    </row>
    <row r="1314">
      <c r="A1314" s="19" t="inlineStr">
        <is>
          <t>FY27</t>
        </is>
      </c>
      <c r="B1314" s="19" t="inlineStr">
        <is>
          <t>Apr</t>
        </is>
      </c>
      <c r="C1314" s="19" t="inlineStr">
        <is>
          <t>TN</t>
        </is>
      </c>
      <c r="D1314" s="20" t="inlineStr">
        <is>
          <t>TN01AD1717</t>
        </is>
      </c>
      <c r="E1314" s="20" t="inlineStr">
        <is>
          <t>MARUTI SUZUKI</t>
        </is>
      </c>
      <c r="F1314" s="20" t="inlineStr">
        <is>
          <t>Wagon R</t>
        </is>
      </c>
      <c r="G1314" s="21" t="n">
        <v>2007</v>
      </c>
      <c r="H1314" s="22" t="n">
        <v>101606</v>
      </c>
      <c r="I1314" s="22" t="n">
        <v>30000</v>
      </c>
      <c r="J1314" s="20" t="inlineStr">
        <is>
          <t>Khivraj Motor</t>
        </is>
      </c>
      <c r="K1314" s="20" t="inlineStr">
        <is>
          <t>Non-Captive</t>
        </is>
      </c>
      <c r="L1314" s="20" t="inlineStr">
        <is>
          <t>Santhosh Cars</t>
        </is>
      </c>
      <c r="M1314" s="23" t="n">
        <v>4237.29</v>
      </c>
    </row>
    <row r="1315">
      <c r="A1315" s="19" t="inlineStr">
        <is>
          <t>FY27</t>
        </is>
      </c>
      <c r="B1315" s="19" t="inlineStr">
        <is>
          <t>Apr</t>
        </is>
      </c>
      <c r="C1315" s="19" t="inlineStr">
        <is>
          <t>TN</t>
        </is>
      </c>
      <c r="D1315" s="20" t="inlineStr">
        <is>
          <t>TN07AW2850</t>
        </is>
      </c>
      <c r="E1315" s="20" t="inlineStr">
        <is>
          <t>MARUTI SUZUKI</t>
        </is>
      </c>
      <c r="F1315" s="20" t="inlineStr">
        <is>
          <t>Alto</t>
        </is>
      </c>
      <c r="G1315" s="21" t="n">
        <v>2005</v>
      </c>
      <c r="H1315" s="22" t="n">
        <v>103502</v>
      </c>
      <c r="I1315" s="22" t="n">
        <v>30000</v>
      </c>
      <c r="J1315" s="20" t="inlineStr">
        <is>
          <t>Khivraj Motor</t>
        </is>
      </c>
      <c r="K1315" s="20" t="inlineStr">
        <is>
          <t>Non-Captive</t>
        </is>
      </c>
      <c r="L1315" s="20" t="inlineStr">
        <is>
          <t>Santhosh Cars</t>
        </is>
      </c>
      <c r="M1315" s="23" t="n">
        <v>4237.29</v>
      </c>
    </row>
    <row r="1316">
      <c r="A1316" s="19" t="inlineStr">
        <is>
          <t>FY27</t>
        </is>
      </c>
      <c r="B1316" s="19" t="inlineStr">
        <is>
          <t>Apr</t>
        </is>
      </c>
      <c r="C1316" s="19" t="inlineStr">
        <is>
          <t>TN</t>
        </is>
      </c>
      <c r="D1316" s="20" t="inlineStr">
        <is>
          <t>TN07AS2543</t>
        </is>
      </c>
      <c r="E1316" s="20" t="inlineStr">
        <is>
          <t>MARUTI SUZUKI</t>
        </is>
      </c>
      <c r="F1316" s="20" t="inlineStr">
        <is>
          <t>Wagon R</t>
        </is>
      </c>
      <c r="G1316" s="21" t="n">
        <v>2007</v>
      </c>
      <c r="H1316" s="22" t="n">
        <v>92652</v>
      </c>
      <c r="I1316" s="22" t="n">
        <v>40000</v>
      </c>
      <c r="J1316" s="20" t="inlineStr">
        <is>
          <t>Khivraj Motor</t>
        </is>
      </c>
      <c r="K1316" s="20" t="inlineStr">
        <is>
          <t>Non-Captive</t>
        </is>
      </c>
      <c r="L1316" s="20" t="inlineStr">
        <is>
          <t>Santhosh Cars</t>
        </is>
      </c>
      <c r="M1316" s="23" t="n">
        <v>4237.29</v>
      </c>
    </row>
    <row r="1317">
      <c r="A1317" s="19" t="inlineStr">
        <is>
          <t>FY27</t>
        </is>
      </c>
      <c r="B1317" s="19" t="inlineStr">
        <is>
          <t>Apr</t>
        </is>
      </c>
      <c r="C1317" s="19" t="inlineStr">
        <is>
          <t>TN</t>
        </is>
      </c>
      <c r="D1317" s="20" t="inlineStr">
        <is>
          <t>TN10P1468</t>
        </is>
      </c>
      <c r="E1317" s="20" t="inlineStr">
        <is>
          <t>MARUTI SUZUKI</t>
        </is>
      </c>
      <c r="F1317" s="20" t="inlineStr">
        <is>
          <t>Zen</t>
        </is>
      </c>
      <c r="G1317" s="21" t="n">
        <v>2006</v>
      </c>
      <c r="H1317" s="22" t="n">
        <v>48465</v>
      </c>
      <c r="I1317" s="22" t="n">
        <v>40000</v>
      </c>
      <c r="J1317" s="20" t="inlineStr">
        <is>
          <t>Khivraj Motor</t>
        </is>
      </c>
      <c r="K1317" s="20" t="inlineStr">
        <is>
          <t>Non-Captive</t>
        </is>
      </c>
      <c r="L1317" s="20" t="inlineStr">
        <is>
          <t>Santhosh Cars</t>
        </is>
      </c>
      <c r="M1317" s="23" t="n">
        <v>4237.29</v>
      </c>
    </row>
    <row r="1318">
      <c r="A1318" s="19" t="inlineStr">
        <is>
          <t>FY27</t>
        </is>
      </c>
      <c r="B1318" s="19" t="inlineStr">
        <is>
          <t>Apr</t>
        </is>
      </c>
      <c r="C1318" s="19" t="inlineStr">
        <is>
          <t>TN</t>
        </is>
      </c>
      <c r="D1318" s="20" t="inlineStr">
        <is>
          <t>TN01V5216</t>
        </is>
      </c>
      <c r="E1318" s="20" t="inlineStr">
        <is>
          <t>MARUTI SUZUKI</t>
        </is>
      </c>
      <c r="F1318" s="20" t="inlineStr">
        <is>
          <t>M800</t>
        </is>
      </c>
      <c r="G1318" s="21" t="n">
        <v>2003</v>
      </c>
      <c r="H1318" s="22" t="n">
        <v>29025</v>
      </c>
      <c r="I1318" s="22" t="n">
        <v>42000</v>
      </c>
      <c r="J1318" s="20" t="inlineStr">
        <is>
          <t>Khivraj Motor</t>
        </is>
      </c>
      <c r="K1318" s="20" t="inlineStr">
        <is>
          <t>Non-Captive</t>
        </is>
      </c>
      <c r="L1318" s="20" t="inlineStr">
        <is>
          <t>AAA Cars</t>
        </is>
      </c>
      <c r="M1318" s="23" t="n">
        <v>4237.29</v>
      </c>
    </row>
    <row r="1319">
      <c r="A1319" s="19" t="inlineStr">
        <is>
          <t>FY27</t>
        </is>
      </c>
      <c r="B1319" s="19" t="inlineStr">
        <is>
          <t>Apr</t>
        </is>
      </c>
      <c r="C1319" s="19" t="inlineStr">
        <is>
          <t>TN</t>
        </is>
      </c>
      <c r="D1319" s="20" t="inlineStr">
        <is>
          <t>KL22P0763</t>
        </is>
      </c>
      <c r="E1319" s="20" t="inlineStr">
        <is>
          <t>MARUTI SUZUKI</t>
        </is>
      </c>
      <c r="F1319" s="20" t="inlineStr">
        <is>
          <t>Ertiga</t>
        </is>
      </c>
      <c r="G1319" s="21" t="n">
        <v>2020</v>
      </c>
      <c r="H1319" s="22" t="n">
        <v>69056</v>
      </c>
      <c r="I1319" s="22" t="n">
        <v>190000</v>
      </c>
      <c r="J1319" s="20" t="inlineStr">
        <is>
          <t>DERIK MOTORS PRIVATE LIMITED</t>
        </is>
      </c>
      <c r="K1319" s="20" t="inlineStr">
        <is>
          <t>Non-Captive</t>
        </is>
      </c>
      <c r="L1319" s="20" t="inlineStr">
        <is>
          <t>Shamnad AH</t>
        </is>
      </c>
      <c r="M1319" s="23" t="n">
        <v>5932.2</v>
      </c>
    </row>
    <row r="1320">
      <c r="A1320" s="19" t="inlineStr">
        <is>
          <t>FY27</t>
        </is>
      </c>
      <c r="B1320" s="19" t="inlineStr">
        <is>
          <t>Apr</t>
        </is>
      </c>
      <c r="C1320" s="19" t="inlineStr">
        <is>
          <t>TN</t>
        </is>
      </c>
      <c r="D1320" s="20" t="inlineStr">
        <is>
          <t>KL20Q4343</t>
        </is>
      </c>
      <c r="E1320" s="20" t="inlineStr">
        <is>
          <t>MARUTI SUZUKI</t>
        </is>
      </c>
      <c r="F1320" s="20" t="inlineStr">
        <is>
          <t>Ertiga</t>
        </is>
      </c>
      <c r="G1320" s="21" t="n">
        <v>2020</v>
      </c>
      <c r="H1320" s="22" t="n">
        <v>63731</v>
      </c>
      <c r="I1320" s="22" t="n">
        <v>190000</v>
      </c>
      <c r="J1320" s="20" t="inlineStr">
        <is>
          <t>Fortune Malayalam</t>
        </is>
      </c>
      <c r="K1320" s="20" t="inlineStr">
        <is>
          <t>Non-Captive</t>
        </is>
      </c>
      <c r="L1320" s="20" t="inlineStr">
        <is>
          <t>Popular Alleppy</t>
        </is>
      </c>
      <c r="M1320" s="23" t="n">
        <v>5000</v>
      </c>
    </row>
    <row r="1321">
      <c r="A1321" s="19" t="inlineStr">
        <is>
          <t>FY27</t>
        </is>
      </c>
      <c r="B1321" s="19" t="inlineStr">
        <is>
          <t>Apr</t>
        </is>
      </c>
      <c r="C1321" s="19" t="inlineStr">
        <is>
          <t>TN</t>
        </is>
      </c>
      <c r="D1321" s="20" t="inlineStr">
        <is>
          <t>KL73A7315</t>
        </is>
      </c>
      <c r="E1321" s="20" t="inlineStr">
        <is>
          <t>MARUTI SUZUKI</t>
        </is>
      </c>
      <c r="F1321" s="20" t="inlineStr">
        <is>
          <t>Celerio</t>
        </is>
      </c>
      <c r="G1321" s="21" t="n">
        <v>2016</v>
      </c>
      <c r="H1321" s="22" t="n">
        <v>68094</v>
      </c>
      <c r="I1321" s="22" t="n">
        <v>175000</v>
      </c>
      <c r="J1321" s="20" t="inlineStr">
        <is>
          <t>Fortune Malayalam</t>
        </is>
      </c>
      <c r="K1321" s="20" t="inlineStr">
        <is>
          <t>Non-Captive</t>
        </is>
      </c>
      <c r="L1321" s="20" t="inlineStr">
        <is>
          <t>Popular Alleppy</t>
        </is>
      </c>
      <c r="M1321" s="23" t="n">
        <v>5000</v>
      </c>
    </row>
    <row r="1322">
      <c r="A1322" s="19" t="inlineStr">
        <is>
          <t>FY27</t>
        </is>
      </c>
      <c r="B1322" s="19" t="inlineStr">
        <is>
          <t>Apr</t>
        </is>
      </c>
      <c r="C1322" s="19" t="inlineStr">
        <is>
          <t>TN</t>
        </is>
      </c>
      <c r="D1322" s="20" t="inlineStr">
        <is>
          <t>KL02BB2084</t>
        </is>
      </c>
      <c r="E1322" s="20" t="inlineStr">
        <is>
          <t>MARUTI SUZUKI</t>
        </is>
      </c>
      <c r="F1322" s="20" t="inlineStr">
        <is>
          <t>Celerio</t>
        </is>
      </c>
      <c r="G1322" s="21" t="n">
        <v>2017</v>
      </c>
      <c r="H1322" s="22" t="n">
        <v>87242</v>
      </c>
      <c r="I1322" s="22" t="n">
        <v>170000</v>
      </c>
      <c r="J1322" s="20" t="inlineStr">
        <is>
          <t>INDEL Motor Corporation</t>
        </is>
      </c>
      <c r="K1322" s="20" t="inlineStr">
        <is>
          <t>Non-Captive</t>
        </is>
      </c>
      <c r="L1322" s="20" t="inlineStr">
        <is>
          <t>Popular Thrissur</t>
        </is>
      </c>
      <c r="M1322" s="23" t="n">
        <v>5000</v>
      </c>
    </row>
    <row r="1323">
      <c r="A1323" s="19" t="inlineStr">
        <is>
          <t>FY27</t>
        </is>
      </c>
      <c r="B1323" s="19" t="inlineStr">
        <is>
          <t>Apr</t>
        </is>
      </c>
      <c r="C1323" s="19" t="inlineStr">
        <is>
          <t>TN</t>
        </is>
      </c>
      <c r="D1323" s="20" t="inlineStr">
        <is>
          <t>KL01CT5645</t>
        </is>
      </c>
      <c r="E1323" s="20" t="inlineStr">
        <is>
          <t>MARUTI SUZUKI</t>
        </is>
      </c>
      <c r="F1323" s="20" t="inlineStr">
        <is>
          <t>S-Presso</t>
        </is>
      </c>
      <c r="G1323" s="21" t="n">
        <v>2021</v>
      </c>
      <c r="H1323" s="22" t="n">
        <v>54562</v>
      </c>
      <c r="I1323" s="22" t="n">
        <v>180000</v>
      </c>
      <c r="J1323" s="20" t="inlineStr">
        <is>
          <t>Derik Automobile</t>
        </is>
      </c>
      <c r="K1323" s="20" t="inlineStr">
        <is>
          <t>Non-Captive</t>
        </is>
      </c>
      <c r="L1323" s="20" t="inlineStr">
        <is>
          <t>Popular Thrissur</t>
        </is>
      </c>
      <c r="M1323" s="23" t="n">
        <v>5000</v>
      </c>
    </row>
    <row r="1324">
      <c r="A1324" s="19" t="inlineStr">
        <is>
          <t>FY27</t>
        </is>
      </c>
      <c r="B1324" s="19" t="inlineStr">
        <is>
          <t>Apr</t>
        </is>
      </c>
      <c r="C1324" s="19" t="inlineStr">
        <is>
          <t>TN</t>
        </is>
      </c>
      <c r="D1324" s="20" t="inlineStr">
        <is>
          <t>KL20F6613</t>
        </is>
      </c>
      <c r="E1324" s="20" t="inlineStr">
        <is>
          <t>MARUTI SUZUKI</t>
        </is>
      </c>
      <c r="F1324" s="20" t="inlineStr">
        <is>
          <t>Wagon R</t>
        </is>
      </c>
      <c r="G1324" s="21" t="n">
        <v>2013</v>
      </c>
      <c r="H1324" s="22" t="n">
        <v>137870</v>
      </c>
      <c r="I1324" s="22" t="n">
        <v>180000</v>
      </c>
      <c r="J1324" s="20" t="inlineStr">
        <is>
          <t>Popular Hyundai</t>
        </is>
      </c>
      <c r="K1324" s="20" t="inlineStr">
        <is>
          <t>Non-Captive</t>
        </is>
      </c>
      <c r="L1324" s="20" t="inlineStr">
        <is>
          <t>Popular Thrissur</t>
        </is>
      </c>
      <c r="M1324" s="23" t="n">
        <v>5000</v>
      </c>
    </row>
    <row r="1325">
      <c r="A1325" s="19" t="inlineStr">
        <is>
          <t>FY27</t>
        </is>
      </c>
      <c r="B1325" s="19" t="inlineStr">
        <is>
          <t>Apr</t>
        </is>
      </c>
      <c r="C1325" s="19" t="inlineStr">
        <is>
          <t>TN</t>
        </is>
      </c>
      <c r="D1325" s="20" t="inlineStr">
        <is>
          <t>KL19C800</t>
        </is>
      </c>
      <c r="E1325" s="20" t="inlineStr">
        <is>
          <t>MARUTI SUZUKI</t>
        </is>
      </c>
      <c r="F1325" s="20" t="inlineStr">
        <is>
          <t>Wagon R</t>
        </is>
      </c>
      <c r="G1325" s="21" t="n">
        <v>2016</v>
      </c>
      <c r="H1325" s="22" t="n">
        <v>53298</v>
      </c>
      <c r="I1325" s="22" t="n">
        <v>180000</v>
      </c>
      <c r="J1325" s="20" t="inlineStr">
        <is>
          <t>Nippon Motor Corporation Pvt Ltd</t>
        </is>
      </c>
      <c r="K1325" s="20" t="inlineStr">
        <is>
          <t>Non-Captive</t>
        </is>
      </c>
      <c r="L1325" s="20" t="inlineStr">
        <is>
          <t>Popular Thrissur</t>
        </is>
      </c>
      <c r="M1325" s="23" t="n">
        <v>5000</v>
      </c>
    </row>
    <row r="1326">
      <c r="A1326" s="19" t="inlineStr">
        <is>
          <t>FY27</t>
        </is>
      </c>
      <c r="B1326" s="19" t="inlineStr">
        <is>
          <t>Apr</t>
        </is>
      </c>
      <c r="C1326" s="19" t="inlineStr">
        <is>
          <t>TN</t>
        </is>
      </c>
      <c r="D1326" s="20" t="inlineStr">
        <is>
          <t>KL19D6071</t>
        </is>
      </c>
      <c r="E1326" s="20" t="inlineStr">
        <is>
          <t>MARUTI SUZUKI</t>
        </is>
      </c>
      <c r="F1326" s="20" t="inlineStr">
        <is>
          <t>Alto</t>
        </is>
      </c>
      <c r="G1326" s="21" t="n">
        <v>2013</v>
      </c>
      <c r="H1326" s="22" t="n">
        <v>43326</v>
      </c>
      <c r="I1326" s="22" t="n">
        <v>160000</v>
      </c>
      <c r="J1326" s="20" t="inlineStr">
        <is>
          <t>Nippon Motor Corporation Pvt Ltd</t>
        </is>
      </c>
      <c r="K1326" s="20" t="inlineStr">
        <is>
          <t>Non-Captive</t>
        </is>
      </c>
      <c r="L1326" s="20" t="inlineStr">
        <is>
          <t>Popular Thrissur</t>
        </is>
      </c>
      <c r="M1326" s="23" t="n">
        <v>5000</v>
      </c>
    </row>
    <row r="1327">
      <c r="A1327" s="19" t="inlineStr">
        <is>
          <t>FY27</t>
        </is>
      </c>
      <c r="B1327" s="19" t="inlineStr">
        <is>
          <t>Apr</t>
        </is>
      </c>
      <c r="C1327" s="19" t="inlineStr">
        <is>
          <t>TN</t>
        </is>
      </c>
      <c r="D1327" s="20" t="inlineStr">
        <is>
          <t>KL29L3190</t>
        </is>
      </c>
      <c r="E1327" s="20" t="inlineStr">
        <is>
          <t>MARUTI SUZUKI</t>
        </is>
      </c>
      <c r="F1327" s="20" t="inlineStr">
        <is>
          <t>Vitara Brezza</t>
        </is>
      </c>
      <c r="G1327" s="21" t="n">
        <v>2016</v>
      </c>
      <c r="H1327" s="22" t="n">
        <v>129456</v>
      </c>
      <c r="I1327" s="22" t="n">
        <v>190000</v>
      </c>
      <c r="J1327" s="20" t="inlineStr">
        <is>
          <t>Genuine cars</t>
        </is>
      </c>
      <c r="K1327" s="20" t="inlineStr">
        <is>
          <t>Non-Captive</t>
        </is>
      </c>
      <c r="L1327" s="20" t="inlineStr">
        <is>
          <t>Popular Trivandrum</t>
        </is>
      </c>
      <c r="M1327" s="23" t="n">
        <v>5000</v>
      </c>
    </row>
    <row r="1328">
      <c r="A1328" s="19" t="inlineStr">
        <is>
          <t>FY27</t>
        </is>
      </c>
      <c r="B1328" s="19" t="inlineStr">
        <is>
          <t>Apr</t>
        </is>
      </c>
      <c r="C1328" s="19" t="inlineStr">
        <is>
          <t>TN</t>
        </is>
      </c>
      <c r="D1328" s="20" t="inlineStr">
        <is>
          <t>KL22J2798</t>
        </is>
      </c>
      <c r="E1328" s="20" t="inlineStr">
        <is>
          <t>MARUTI SUZUKI</t>
        </is>
      </c>
      <c r="F1328" s="20" t="inlineStr">
        <is>
          <t>Swift</t>
        </is>
      </c>
      <c r="G1328" s="21" t="n">
        <v>2016</v>
      </c>
      <c r="H1328" s="22" t="n">
        <v>64390</v>
      </c>
      <c r="I1328" s="22" t="n">
        <v>180000</v>
      </c>
      <c r="J1328" s="20" t="inlineStr">
        <is>
          <t>INDEL Motor Corporation</t>
        </is>
      </c>
      <c r="K1328" s="20" t="inlineStr">
        <is>
          <t>Non-Captive</t>
        </is>
      </c>
      <c r="L1328" s="20" t="inlineStr">
        <is>
          <t>Popular Thrissur</t>
        </is>
      </c>
      <c r="M1328" s="23" t="n">
        <v>5000</v>
      </c>
    </row>
    <row r="1329">
      <c r="A1329" s="19" t="inlineStr">
        <is>
          <t>FY27</t>
        </is>
      </c>
      <c r="B1329" s="19" t="inlineStr">
        <is>
          <t>Apr</t>
        </is>
      </c>
      <c r="C1329" s="19" t="inlineStr">
        <is>
          <t>TN</t>
        </is>
      </c>
      <c r="D1329" s="20" t="inlineStr">
        <is>
          <t>KL02BN1442</t>
        </is>
      </c>
      <c r="E1329" s="20" t="inlineStr">
        <is>
          <t>MARUTI SUZUKI</t>
        </is>
      </c>
      <c r="F1329" s="20" t="inlineStr">
        <is>
          <t>Baleno</t>
        </is>
      </c>
      <c r="G1329" s="21" t="n">
        <v>2020</v>
      </c>
      <c r="H1329" s="22" t="n">
        <v>87452</v>
      </c>
      <c r="I1329" s="22" t="n">
        <v>180000</v>
      </c>
      <c r="J1329" s="20" t="inlineStr">
        <is>
          <t>Popular Motorworld pvt Ltd</t>
        </is>
      </c>
      <c r="K1329" s="20" t="inlineStr">
        <is>
          <t>Non-Captive</t>
        </is>
      </c>
      <c r="L1329" s="20" t="inlineStr">
        <is>
          <t>Popular Thrissur</t>
        </is>
      </c>
      <c r="M1329" s="23" t="n">
        <v>5000</v>
      </c>
    </row>
    <row r="1330">
      <c r="A1330" s="19" t="inlineStr">
        <is>
          <t>FY27</t>
        </is>
      </c>
      <c r="B1330" s="19" t="inlineStr">
        <is>
          <t>Apr</t>
        </is>
      </c>
      <c r="C1330" s="19" t="inlineStr">
        <is>
          <t>TN</t>
        </is>
      </c>
      <c r="D1330" s="20" t="inlineStr">
        <is>
          <t>KL01BP6999</t>
        </is>
      </c>
      <c r="E1330" s="20" t="inlineStr">
        <is>
          <t>MARUTI SUZUKI</t>
        </is>
      </c>
      <c r="F1330" s="20" t="inlineStr">
        <is>
          <t>Swift</t>
        </is>
      </c>
      <c r="G1330" s="21" t="n">
        <v>2014</v>
      </c>
      <c r="H1330" s="22" t="n">
        <v>76430</v>
      </c>
      <c r="I1330" s="22" t="n">
        <v>180000</v>
      </c>
      <c r="J1330" s="20" t="inlineStr">
        <is>
          <t>Popular Motorworld pvt Ltd</t>
        </is>
      </c>
      <c r="K1330" s="20" t="inlineStr">
        <is>
          <t>Non-Captive</t>
        </is>
      </c>
      <c r="L1330" s="20" t="inlineStr">
        <is>
          <t>Trust On wheels</t>
        </is>
      </c>
      <c r="M1330" s="23" t="n">
        <v>5000</v>
      </c>
    </row>
    <row r="1331">
      <c r="A1331" s="19" t="inlineStr">
        <is>
          <t>FY27</t>
        </is>
      </c>
      <c r="B1331" s="19" t="inlineStr">
        <is>
          <t>May</t>
        </is>
      </c>
      <c r="C1331" s="19" t="inlineStr">
        <is>
          <t>TN</t>
        </is>
      </c>
      <c r="D1331" s="20" t="inlineStr">
        <is>
          <t>TN09BX1474</t>
        </is>
      </c>
      <c r="E1331" s="20" t="inlineStr">
        <is>
          <t>MARUTI SUZUKI</t>
        </is>
      </c>
      <c r="F1331" s="20" t="inlineStr">
        <is>
          <t>Alto</t>
        </is>
      </c>
      <c r="G1331" s="21" t="n">
        <v>2014</v>
      </c>
      <c r="H1331" s="22" t="n">
        <v>49872</v>
      </c>
      <c r="I1331" s="22" t="n">
        <v>145000</v>
      </c>
      <c r="J1331" s="20" t="inlineStr">
        <is>
          <t>Khivraj Motor</t>
        </is>
      </c>
      <c r="K1331" s="20" t="inlineStr">
        <is>
          <t>Non-Captive</t>
        </is>
      </c>
      <c r="L1331" s="20" t="inlineStr">
        <is>
          <t>Yes Cars</t>
        </is>
      </c>
      <c r="M1331" s="23" t="n">
        <v>5084.75</v>
      </c>
    </row>
    <row r="1332">
      <c r="A1332" s="19" t="inlineStr">
        <is>
          <t>FY27</t>
        </is>
      </c>
      <c r="B1332" s="19" t="inlineStr">
        <is>
          <t>May</t>
        </is>
      </c>
      <c r="C1332" s="19" t="inlineStr">
        <is>
          <t>TN</t>
        </is>
      </c>
      <c r="D1332" s="20" t="inlineStr">
        <is>
          <t>TN21BK6901</t>
        </is>
      </c>
      <c r="E1332" s="20" t="inlineStr">
        <is>
          <t>MARUTI SUZUKI</t>
        </is>
      </c>
      <c r="F1332" s="20" t="inlineStr">
        <is>
          <t>Swift Dzire</t>
        </is>
      </c>
      <c r="G1332" s="21" t="n">
        <v>2020</v>
      </c>
      <c r="H1332" s="22" t="n">
        <v>142802</v>
      </c>
      <c r="I1332" s="22" t="n">
        <v>425000</v>
      </c>
      <c r="J1332" s="20" t="inlineStr">
        <is>
          <t>Khivraj Motor</t>
        </is>
      </c>
      <c r="K1332" s="20" t="inlineStr">
        <is>
          <t>Non-Captive</t>
        </is>
      </c>
      <c r="L1332" s="20" t="inlineStr">
        <is>
          <t>MAHATHI CARS</t>
        </is>
      </c>
      <c r="M1332" s="23" t="n">
        <v>7627.12</v>
      </c>
    </row>
    <row r="1333">
      <c r="A1333" s="19" t="inlineStr">
        <is>
          <t>FY27</t>
        </is>
      </c>
      <c r="B1333" s="19" t="inlineStr">
        <is>
          <t>May</t>
        </is>
      </c>
      <c r="C1333" s="19" t="inlineStr">
        <is>
          <t>TN</t>
        </is>
      </c>
      <c r="D1333" s="20" t="inlineStr">
        <is>
          <t>TN04AQ5217</t>
        </is>
      </c>
      <c r="E1333" s="20" t="inlineStr">
        <is>
          <t>MARUTI SUZUKI</t>
        </is>
      </c>
      <c r="F1333" s="20" t="inlineStr">
        <is>
          <t>Alto</t>
        </is>
      </c>
      <c r="G1333" s="21" t="n">
        <v>2015</v>
      </c>
      <c r="H1333" s="22" t="n">
        <v>107000</v>
      </c>
      <c r="I1333" s="22" t="n">
        <v>169000</v>
      </c>
      <c r="J1333" s="20" t="inlineStr">
        <is>
          <t>Khivraj Motor</t>
        </is>
      </c>
      <c r="K1333" s="20" t="inlineStr">
        <is>
          <t>Non-Captive</t>
        </is>
      </c>
      <c r="L1333" s="20" t="inlineStr">
        <is>
          <t>AS Cars Gopi</t>
        </is>
      </c>
      <c r="M1333" s="23" t="n">
        <v>5847.46</v>
      </c>
    </row>
    <row r="1334">
      <c r="A1334" s="19" t="inlineStr">
        <is>
          <t>FY27</t>
        </is>
      </c>
      <c r="B1334" s="19" t="inlineStr">
        <is>
          <t>May</t>
        </is>
      </c>
      <c r="C1334" s="19" t="inlineStr">
        <is>
          <t>TN</t>
        </is>
      </c>
      <c r="D1334" s="20" t="inlineStr">
        <is>
          <t>TN04AK6059</t>
        </is>
      </c>
      <c r="E1334" s="20" t="inlineStr">
        <is>
          <t>MARUTI SUZUKI</t>
        </is>
      </c>
      <c r="F1334" s="20" t="inlineStr">
        <is>
          <t>Swift</t>
        </is>
      </c>
      <c r="G1334" s="21" t="n">
        <v>2012</v>
      </c>
      <c r="H1334" s="22" t="n">
        <v>73074</v>
      </c>
      <c r="I1334" s="22" t="n">
        <v>200000</v>
      </c>
      <c r="J1334" s="20" t="inlineStr">
        <is>
          <t>EXCHANGE ROTN</t>
        </is>
      </c>
      <c r="K1334" s="20" t="inlineStr">
        <is>
          <t>Captive</t>
        </is>
      </c>
      <c r="L1334" s="20" t="inlineStr">
        <is>
          <t>YUGA DHEERAN CARS</t>
        </is>
      </c>
      <c r="M1334" s="23" t="n">
        <v>8474.58</v>
      </c>
    </row>
    <row r="1335">
      <c r="A1335" s="19" t="inlineStr">
        <is>
          <t>FY27</t>
        </is>
      </c>
      <c r="B1335" s="19" t="inlineStr">
        <is>
          <t>May</t>
        </is>
      </c>
      <c r="C1335" s="19" t="inlineStr">
        <is>
          <t>TN</t>
        </is>
      </c>
      <c r="D1335" s="20" t="inlineStr">
        <is>
          <t>TN40L8016</t>
        </is>
      </c>
      <c r="E1335" s="20" t="inlineStr">
        <is>
          <t>HYUNDAI</t>
        </is>
      </c>
      <c r="F1335" s="20" t="inlineStr">
        <is>
          <t>Grand I10</t>
        </is>
      </c>
      <c r="G1335" s="21" t="n">
        <v>2015</v>
      </c>
      <c r="H1335" s="22" t="n">
        <v>64115</v>
      </c>
      <c r="I1335" s="22" t="n">
        <v>300000</v>
      </c>
      <c r="J1335" s="20" t="inlineStr">
        <is>
          <t>EXCHANGE ROTN</t>
        </is>
      </c>
      <c r="K1335" s="20" t="inlineStr">
        <is>
          <t>Captive</t>
        </is>
      </c>
      <c r="L1335" s="20" t="inlineStr">
        <is>
          <t>YUGA DHEERAN CARS</t>
        </is>
      </c>
      <c r="M1335" s="23" t="n">
        <v>12711.86</v>
      </c>
    </row>
    <row r="1336">
      <c r="A1336" s="19" t="inlineStr">
        <is>
          <t>FY27</t>
        </is>
      </c>
      <c r="B1336" s="19" t="inlineStr">
        <is>
          <t>May</t>
        </is>
      </c>
      <c r="C1336" s="19" t="inlineStr">
        <is>
          <t>TN</t>
        </is>
      </c>
      <c r="D1336" s="20" t="inlineStr">
        <is>
          <t>TN59BL7621</t>
        </is>
      </c>
      <c r="E1336" s="20" t="inlineStr">
        <is>
          <t>MAHINDRA</t>
        </is>
      </c>
      <c r="F1336" s="20" t="inlineStr">
        <is>
          <t>Tuv300</t>
        </is>
      </c>
      <c r="G1336" s="21" t="n">
        <v>2016</v>
      </c>
      <c r="H1336" s="22" t="n">
        <v>55480</v>
      </c>
      <c r="I1336" s="22" t="n">
        <v>400000</v>
      </c>
      <c r="J1336" s="20" t="inlineStr">
        <is>
          <t>EXCHANGE ROTN</t>
        </is>
      </c>
      <c r="K1336" s="20" t="inlineStr">
        <is>
          <t>Captive</t>
        </is>
      </c>
      <c r="L1336" s="20" t="inlineStr">
        <is>
          <t>Auto Motivators</t>
        </is>
      </c>
      <c r="M1336" s="23" t="n">
        <v>12711.86</v>
      </c>
    </row>
    <row r="1337">
      <c r="A1337" s="19" t="inlineStr">
        <is>
          <t>FY27</t>
        </is>
      </c>
      <c r="B1337" s="19" t="inlineStr">
        <is>
          <t>May</t>
        </is>
      </c>
      <c r="C1337" s="19" t="inlineStr">
        <is>
          <t>TN</t>
        </is>
      </c>
      <c r="D1337" s="20" t="inlineStr">
        <is>
          <t>TN69BD8543</t>
        </is>
      </c>
      <c r="E1337" s="20" t="inlineStr">
        <is>
          <t>HONDA</t>
        </is>
      </c>
      <c r="F1337" s="20" t="inlineStr">
        <is>
          <t>Brio</t>
        </is>
      </c>
      <c r="G1337" s="21" t="n">
        <v>2017</v>
      </c>
      <c r="H1337" s="22" t="n">
        <v>84259</v>
      </c>
      <c r="I1337" s="22" t="n">
        <v>300000</v>
      </c>
      <c r="J1337" s="20" t="inlineStr">
        <is>
          <t>EXCHANGE CHENNAI</t>
        </is>
      </c>
      <c r="K1337" s="20" t="inlineStr">
        <is>
          <t>Captive</t>
        </is>
      </c>
      <c r="L1337" s="20" t="inlineStr">
        <is>
          <t>Varadhrajan cars</t>
        </is>
      </c>
      <c r="M1337" s="23" t="n">
        <v>8474.58</v>
      </c>
    </row>
    <row r="1338">
      <c r="A1338" s="19" t="inlineStr">
        <is>
          <t>FY27</t>
        </is>
      </c>
      <c r="B1338" s="19" t="inlineStr">
        <is>
          <t>May</t>
        </is>
      </c>
      <c r="C1338" s="19" t="inlineStr">
        <is>
          <t>TN</t>
        </is>
      </c>
      <c r="D1338" s="20" t="inlineStr">
        <is>
          <t>TN07CH6696</t>
        </is>
      </c>
      <c r="E1338" s="20" t="inlineStr">
        <is>
          <t>MARUTI SUZUKI</t>
        </is>
      </c>
      <c r="F1338" s="20" t="inlineStr">
        <is>
          <t>Wagon R</t>
        </is>
      </c>
      <c r="G1338" s="21" t="n">
        <v>2016</v>
      </c>
      <c r="H1338" s="22" t="n">
        <v>17174</v>
      </c>
      <c r="I1338" s="22" t="n">
        <v>325000</v>
      </c>
      <c r="J1338" s="20" t="inlineStr">
        <is>
          <t>EXCHANGE CHENNAI</t>
        </is>
      </c>
      <c r="K1338" s="20" t="inlineStr">
        <is>
          <t>Captive</t>
        </is>
      </c>
      <c r="L1338" s="20" t="inlineStr">
        <is>
          <t>Grid 33</t>
        </is>
      </c>
      <c r="M1338" s="23" t="n">
        <v>8474.58</v>
      </c>
    </row>
    <row r="1339">
      <c r="A1339" s="19" t="inlineStr">
        <is>
          <t>FY27</t>
        </is>
      </c>
      <c r="B1339" s="19" t="inlineStr">
        <is>
          <t>May</t>
        </is>
      </c>
      <c r="C1339" s="19" t="inlineStr">
        <is>
          <t>TN</t>
        </is>
      </c>
      <c r="D1339" s="20" t="inlineStr">
        <is>
          <t>TN07BX7119</t>
        </is>
      </c>
      <c r="E1339" s="20" t="inlineStr">
        <is>
          <t>HONDA</t>
        </is>
      </c>
      <c r="F1339" s="20" t="inlineStr">
        <is>
          <t>Amaze</t>
        </is>
      </c>
      <c r="G1339" s="21" t="n">
        <v>2014</v>
      </c>
      <c r="H1339" s="22" t="n">
        <v>158887</v>
      </c>
      <c r="I1339" s="22" t="n">
        <v>210000</v>
      </c>
      <c r="J1339" s="20" t="inlineStr">
        <is>
          <t>EXCHANGE CHENNAI</t>
        </is>
      </c>
      <c r="K1339" s="20" t="inlineStr">
        <is>
          <t>Captive</t>
        </is>
      </c>
      <c r="L1339" s="20" t="inlineStr">
        <is>
          <t>Santhosh Cars</t>
        </is>
      </c>
      <c r="M1339" s="23" t="n">
        <v>8474.58</v>
      </c>
    </row>
    <row r="1340">
      <c r="A1340" s="19" t="inlineStr">
        <is>
          <t>FY27</t>
        </is>
      </c>
      <c r="B1340" s="19" t="inlineStr">
        <is>
          <t>May</t>
        </is>
      </c>
      <c r="C1340" s="19" t="inlineStr">
        <is>
          <t>TN</t>
        </is>
      </c>
      <c r="D1340" s="20" t="inlineStr">
        <is>
          <t>TN03H5873</t>
        </is>
      </c>
      <c r="E1340" s="20" t="inlineStr">
        <is>
          <t>MARUTI SUZUKI</t>
        </is>
      </c>
      <c r="F1340" s="20" t="inlineStr">
        <is>
          <t>Ritz</t>
        </is>
      </c>
      <c r="G1340" s="21" t="n">
        <v>2012</v>
      </c>
      <c r="H1340" s="22" t="n">
        <v>6201</v>
      </c>
      <c r="I1340" s="22" t="n">
        <v>214500</v>
      </c>
      <c r="J1340" s="20" t="inlineStr">
        <is>
          <t>Khivraj Motor</t>
        </is>
      </c>
      <c r="K1340" s="20" t="inlineStr">
        <is>
          <t>Non-Captive</t>
        </is>
      </c>
      <c r="L1340" s="20" t="inlineStr">
        <is>
          <t>Pine Autos</t>
        </is>
      </c>
      <c r="M1340" s="23" t="n">
        <v>6355.93</v>
      </c>
    </row>
    <row r="1341">
      <c r="A1341" s="19" t="inlineStr">
        <is>
          <t>FY27</t>
        </is>
      </c>
      <c r="B1341" s="19" t="inlineStr">
        <is>
          <t>May</t>
        </is>
      </c>
      <c r="C1341" s="19" t="inlineStr">
        <is>
          <t>TN</t>
        </is>
      </c>
      <c r="D1341" s="20" t="inlineStr">
        <is>
          <t>TN12AB0426</t>
        </is>
      </c>
      <c r="E1341" s="20" t="inlineStr">
        <is>
          <t>HYUNDAI</t>
        </is>
      </c>
      <c r="F1341" s="20" t="inlineStr">
        <is>
          <t>Santro</t>
        </is>
      </c>
      <c r="G1341" s="21" t="n">
        <v>2018</v>
      </c>
      <c r="H1341" s="22" t="n">
        <v>119238</v>
      </c>
      <c r="I1341" s="22" t="n">
        <v>270000</v>
      </c>
      <c r="J1341" s="20" t="inlineStr">
        <is>
          <t>Khivraj Motor</t>
        </is>
      </c>
      <c r="K1341" s="20" t="inlineStr">
        <is>
          <t>Non-Captive</t>
        </is>
      </c>
      <c r="L1341" s="20" t="inlineStr">
        <is>
          <t>Aasim Motor</t>
        </is>
      </c>
      <c r="M1341" s="23" t="n">
        <v>6355.93</v>
      </c>
    </row>
    <row r="1342">
      <c r="A1342" s="19" t="inlineStr">
        <is>
          <t>FY27</t>
        </is>
      </c>
      <c r="B1342" s="19" t="inlineStr">
        <is>
          <t>May</t>
        </is>
      </c>
      <c r="C1342" s="19" t="inlineStr">
        <is>
          <t>TN</t>
        </is>
      </c>
      <c r="D1342" s="20" t="inlineStr">
        <is>
          <t>TN05AS0392</t>
        </is>
      </c>
      <c r="E1342" s="20" t="inlineStr">
        <is>
          <t>HYUNDAI</t>
        </is>
      </c>
      <c r="F1342" s="20" t="inlineStr">
        <is>
          <t>Eon</t>
        </is>
      </c>
      <c r="G1342" s="21" t="n">
        <v>2013</v>
      </c>
      <c r="H1342" s="22" t="n">
        <v>6714</v>
      </c>
      <c r="I1342" s="22" t="n">
        <v>155000</v>
      </c>
      <c r="J1342" s="20" t="inlineStr">
        <is>
          <t>Khivraj Motor</t>
        </is>
      </c>
      <c r="K1342" s="20" t="inlineStr">
        <is>
          <t>Non-Captive</t>
        </is>
      </c>
      <c r="L1342" s="20" t="inlineStr">
        <is>
          <t>S2 Cars</t>
        </is>
      </c>
      <c r="M1342" s="23" t="n">
        <v>5084.75</v>
      </c>
    </row>
    <row r="1343">
      <c r="A1343" s="19" t="inlineStr">
        <is>
          <t>FY27</t>
        </is>
      </c>
      <c r="B1343" s="19" t="inlineStr">
        <is>
          <t>May</t>
        </is>
      </c>
      <c r="C1343" s="19" t="inlineStr">
        <is>
          <t>TN</t>
        </is>
      </c>
      <c r="D1343" s="20" t="inlineStr">
        <is>
          <t>TN07AU0684</t>
        </is>
      </c>
      <c r="E1343" s="20" t="inlineStr">
        <is>
          <t>MARUTI SUZUKI</t>
        </is>
      </c>
      <c r="F1343" s="20" t="inlineStr">
        <is>
          <t>Alto</t>
        </is>
      </c>
      <c r="G1343" s="21" t="n">
        <v>2006</v>
      </c>
      <c r="H1343" s="22" t="n">
        <v>32661</v>
      </c>
      <c r="I1343" s="22" t="n">
        <v>70000</v>
      </c>
      <c r="J1343" s="20" t="inlineStr">
        <is>
          <t>Khivraj Motor</t>
        </is>
      </c>
      <c r="K1343" s="20" t="inlineStr">
        <is>
          <t>Non-Captive</t>
        </is>
      </c>
      <c r="L1343" s="20" t="inlineStr">
        <is>
          <t>S2 Cars</t>
        </is>
      </c>
      <c r="M1343" s="23" t="n">
        <v>4237.29</v>
      </c>
    </row>
    <row r="1344">
      <c r="A1344" s="19" t="inlineStr">
        <is>
          <t>FY27</t>
        </is>
      </c>
      <c r="B1344" s="19" t="inlineStr">
        <is>
          <t>May</t>
        </is>
      </c>
      <c r="C1344" s="19" t="inlineStr">
        <is>
          <t>TN</t>
        </is>
      </c>
      <c r="D1344" s="20" t="inlineStr">
        <is>
          <t>TN02BU6244</t>
        </is>
      </c>
      <c r="E1344" s="20" t="inlineStr">
        <is>
          <t>HONDA</t>
        </is>
      </c>
      <c r="F1344" s="20" t="inlineStr">
        <is>
          <t>City</t>
        </is>
      </c>
      <c r="G1344" s="21" t="n">
        <v>2021</v>
      </c>
      <c r="H1344" s="22" t="n">
        <v>69085</v>
      </c>
      <c r="I1344" s="22" t="n">
        <v>750000</v>
      </c>
      <c r="J1344" s="20" t="inlineStr">
        <is>
          <t>EXCHANGE CHENNAI</t>
        </is>
      </c>
      <c r="K1344" s="20" t="inlineStr">
        <is>
          <t>Captive</t>
        </is>
      </c>
      <c r="L1344" s="20" t="inlineStr">
        <is>
          <t>Grid 33</t>
        </is>
      </c>
      <c r="M1344" s="23" t="n">
        <v>8474.58</v>
      </c>
    </row>
    <row r="1345">
      <c r="A1345" s="19" t="inlineStr">
        <is>
          <t>FY27</t>
        </is>
      </c>
      <c r="B1345" s="19" t="inlineStr">
        <is>
          <t>May</t>
        </is>
      </c>
      <c r="C1345" s="19" t="inlineStr">
        <is>
          <t>TN</t>
        </is>
      </c>
      <c r="D1345" s="20" t="inlineStr">
        <is>
          <t>TN85V7857</t>
        </is>
      </c>
      <c r="E1345" s="20" t="inlineStr">
        <is>
          <t>MG MOTORS</t>
        </is>
      </c>
      <c r="F1345" s="20" t="inlineStr">
        <is>
          <t>Hector-Plus</t>
        </is>
      </c>
      <c r="G1345" s="21" t="n">
        <v>2024</v>
      </c>
      <c r="H1345" s="22" t="n">
        <v>35542</v>
      </c>
      <c r="I1345" s="22" t="n">
        <v>1350000</v>
      </c>
      <c r="J1345" s="20" t="inlineStr">
        <is>
          <t>EXCHANGE CHENNAI</t>
        </is>
      </c>
      <c r="K1345" s="20" t="inlineStr">
        <is>
          <t>Captive</t>
        </is>
      </c>
      <c r="L1345" s="20" t="inlineStr">
        <is>
          <t>Yes Cars</t>
        </is>
      </c>
      <c r="M1345" s="23" t="n">
        <v>12711.86</v>
      </c>
    </row>
    <row r="1346">
      <c r="A1346" s="19" t="inlineStr">
        <is>
          <t>FY27</t>
        </is>
      </c>
      <c r="B1346" s="19" t="inlineStr">
        <is>
          <t>May</t>
        </is>
      </c>
      <c r="C1346" s="19" t="inlineStr">
        <is>
          <t>TN</t>
        </is>
      </c>
      <c r="D1346" s="20" t="inlineStr">
        <is>
          <t>TN04AL8685</t>
        </is>
      </c>
      <c r="E1346" s="20" t="inlineStr">
        <is>
          <t>HONDA</t>
        </is>
      </c>
      <c r="F1346" s="20" t="inlineStr">
        <is>
          <t>Brio</t>
        </is>
      </c>
      <c r="G1346" s="21" t="n">
        <v>2013</v>
      </c>
      <c r="H1346" s="22" t="n">
        <v>87559</v>
      </c>
      <c r="I1346" s="22" t="n">
        <v>160000</v>
      </c>
      <c r="J1346" s="20" t="inlineStr">
        <is>
          <t>EXCHANGE CHENNAI</t>
        </is>
      </c>
      <c r="K1346" s="20" t="inlineStr">
        <is>
          <t>Captive</t>
        </is>
      </c>
      <c r="L1346" s="20" t="inlineStr">
        <is>
          <t>Santhosh Cars</t>
        </is>
      </c>
      <c r="M1346" s="23" t="n">
        <v>8474.58</v>
      </c>
    </row>
    <row r="1347">
      <c r="A1347" s="19" t="inlineStr">
        <is>
          <t>FY27</t>
        </is>
      </c>
      <c r="B1347" s="19" t="inlineStr">
        <is>
          <t>May</t>
        </is>
      </c>
      <c r="C1347" s="19" t="inlineStr">
        <is>
          <t>TN</t>
        </is>
      </c>
      <c r="D1347" s="20" t="inlineStr">
        <is>
          <t>TN22CA5018</t>
        </is>
      </c>
      <c r="E1347" s="20" t="inlineStr">
        <is>
          <t>HONDA</t>
        </is>
      </c>
      <c r="F1347" s="20" t="inlineStr">
        <is>
          <t>Jazz</t>
        </is>
      </c>
      <c r="G1347" s="21" t="n">
        <v>2011</v>
      </c>
      <c r="H1347" s="22" t="n">
        <v>96412</v>
      </c>
      <c r="I1347" s="22" t="n">
        <v>160000</v>
      </c>
      <c r="J1347" s="20" t="inlineStr">
        <is>
          <t>EXCHANGE CHENNAI</t>
        </is>
      </c>
      <c r="K1347" s="20" t="inlineStr">
        <is>
          <t>Captive</t>
        </is>
      </c>
      <c r="L1347" s="20" t="inlineStr">
        <is>
          <t>Varadhrajan cars</t>
        </is>
      </c>
      <c r="M1347" s="23" t="n">
        <v>4237.29</v>
      </c>
    </row>
    <row r="1348">
      <c r="A1348" s="19" t="inlineStr">
        <is>
          <t>FY27</t>
        </is>
      </c>
      <c r="B1348" s="19" t="inlineStr">
        <is>
          <t>May</t>
        </is>
      </c>
      <c r="C1348" s="19" t="inlineStr">
        <is>
          <t>TN</t>
        </is>
      </c>
      <c r="D1348" s="20" t="inlineStr">
        <is>
          <t>TN37CQ8669</t>
        </is>
      </c>
      <c r="E1348" s="20" t="inlineStr">
        <is>
          <t>HYUNDAI</t>
        </is>
      </c>
      <c r="F1348" s="20" t="inlineStr">
        <is>
          <t>Grand I10</t>
        </is>
      </c>
      <c r="G1348" s="21" t="n">
        <v>2016</v>
      </c>
      <c r="H1348" s="22" t="n">
        <v>126313</v>
      </c>
      <c r="I1348" s="22" t="n">
        <v>310000</v>
      </c>
      <c r="J1348" s="20" t="inlineStr">
        <is>
          <t>EXCHANGE ROTN</t>
        </is>
      </c>
      <c r="K1348" s="20" t="inlineStr">
        <is>
          <t>Captive</t>
        </is>
      </c>
      <c r="L1348" s="20" t="inlineStr">
        <is>
          <t>Gugha Cars</t>
        </is>
      </c>
      <c r="M1348" s="23" t="n">
        <v>12711.86</v>
      </c>
    </row>
    <row r="1349">
      <c r="A1349" s="19" t="inlineStr">
        <is>
          <t>FY27</t>
        </is>
      </c>
      <c r="B1349" s="19" t="inlineStr">
        <is>
          <t>May</t>
        </is>
      </c>
      <c r="C1349" s="19" t="inlineStr">
        <is>
          <t>TN</t>
        </is>
      </c>
      <c r="D1349" s="20" t="inlineStr">
        <is>
          <t>TN63AS4156</t>
        </is>
      </c>
      <c r="E1349" s="20" t="inlineStr">
        <is>
          <t>HYUNDAI</t>
        </is>
      </c>
      <c r="F1349" s="20" t="inlineStr">
        <is>
          <t>Grand I10</t>
        </is>
      </c>
      <c r="G1349" s="21" t="n">
        <v>2016</v>
      </c>
      <c r="H1349" s="22" t="n">
        <v>138822</v>
      </c>
      <c r="I1349" s="22" t="n">
        <v>265000</v>
      </c>
      <c r="J1349" s="20" t="inlineStr">
        <is>
          <t>EXCHANGE ROTN</t>
        </is>
      </c>
      <c r="K1349" s="20" t="inlineStr">
        <is>
          <t>Captive</t>
        </is>
      </c>
      <c r="L1349" s="20" t="inlineStr">
        <is>
          <t>SRI RAJA KANAPATHY CARS</t>
        </is>
      </c>
      <c r="M1349" s="23" t="n">
        <v>8474.58</v>
      </c>
    </row>
    <row r="1350">
      <c r="A1350" s="19" t="inlineStr">
        <is>
          <t>FY27</t>
        </is>
      </c>
      <c r="B1350" s="19" t="inlineStr">
        <is>
          <t>May</t>
        </is>
      </c>
      <c r="C1350" s="19" t="inlineStr">
        <is>
          <t>TN</t>
        </is>
      </c>
      <c r="D1350" s="20" t="inlineStr">
        <is>
          <t>TN09BM7437</t>
        </is>
      </c>
      <c r="E1350" s="20" t="inlineStr">
        <is>
          <t>SKODA</t>
        </is>
      </c>
      <c r="F1350" s="20" t="inlineStr">
        <is>
          <t>Rapid</t>
        </is>
      </c>
      <c r="G1350" s="21" t="n">
        <v>2012</v>
      </c>
      <c r="H1350" s="22" t="n">
        <v>146016</v>
      </c>
      <c r="I1350" s="22" t="n">
        <v>175000</v>
      </c>
      <c r="J1350" s="20" t="inlineStr">
        <is>
          <t>EXCHANGE ROTN</t>
        </is>
      </c>
      <c r="K1350" s="20" t="inlineStr">
        <is>
          <t>Captive</t>
        </is>
      </c>
      <c r="L1350" s="20" t="inlineStr">
        <is>
          <t>KSM AUTO CONSULTING</t>
        </is>
      </c>
      <c r="M1350" s="23" t="n">
        <v>4237.29</v>
      </c>
    </row>
    <row r="1351">
      <c r="A1351" s="19" t="inlineStr">
        <is>
          <t>FY27</t>
        </is>
      </c>
      <c r="B1351" s="19" t="inlineStr">
        <is>
          <t>May</t>
        </is>
      </c>
      <c r="C1351" s="19" t="inlineStr">
        <is>
          <t>TN</t>
        </is>
      </c>
      <c r="D1351" s="20" t="inlineStr">
        <is>
          <t>TN67AL8575</t>
        </is>
      </c>
      <c r="E1351" s="20" t="inlineStr">
        <is>
          <t>MARUTI SUZUKI</t>
        </is>
      </c>
      <c r="F1351" s="20" t="inlineStr">
        <is>
          <t>Swift Dzire</t>
        </is>
      </c>
      <c r="G1351" s="21" t="n">
        <v>2013</v>
      </c>
      <c r="H1351" s="22" t="n">
        <v>176000</v>
      </c>
      <c r="I1351" s="22" t="n">
        <v>210000</v>
      </c>
      <c r="J1351" s="20" t="inlineStr">
        <is>
          <t>EXCHANGE ROTN</t>
        </is>
      </c>
      <c r="K1351" s="20" t="inlineStr">
        <is>
          <t>Captive</t>
        </is>
      </c>
      <c r="L1351" s="20" t="inlineStr">
        <is>
          <t>PURUSOTHAMAN J CARS</t>
        </is>
      </c>
      <c r="M1351" s="23" t="n">
        <v>4237.29</v>
      </c>
    </row>
    <row r="1352">
      <c r="A1352" s="19" t="inlineStr">
        <is>
          <t>FY27</t>
        </is>
      </c>
      <c r="B1352" s="19" t="inlineStr">
        <is>
          <t>May</t>
        </is>
      </c>
      <c r="C1352" s="19" t="inlineStr">
        <is>
          <t>TN</t>
        </is>
      </c>
      <c r="D1352" s="20" t="inlineStr">
        <is>
          <t>TN59AU2679</t>
        </is>
      </c>
      <c r="E1352" s="20" t="inlineStr">
        <is>
          <t>MARUTI SUZUKI</t>
        </is>
      </c>
      <c r="F1352" s="20" t="inlineStr">
        <is>
          <t>Alto K10</t>
        </is>
      </c>
      <c r="G1352" s="21" t="n">
        <v>2012</v>
      </c>
      <c r="H1352" s="22" t="n">
        <v>99101</v>
      </c>
      <c r="I1352" s="22" t="n">
        <v>150000</v>
      </c>
      <c r="J1352" s="20" t="inlineStr">
        <is>
          <t>EXCHANGE ROTN</t>
        </is>
      </c>
      <c r="K1352" s="20" t="inlineStr">
        <is>
          <t>Captive</t>
        </is>
      </c>
      <c r="L1352" s="20" t="inlineStr">
        <is>
          <t>KSM AUTO CONSULTING</t>
        </is>
      </c>
      <c r="M1352" s="23" t="n">
        <v>4237.29</v>
      </c>
    </row>
    <row r="1353">
      <c r="A1353" s="19" t="inlineStr">
        <is>
          <t>FY27</t>
        </is>
      </c>
      <c r="B1353" s="19" t="inlineStr">
        <is>
          <t>May</t>
        </is>
      </c>
      <c r="C1353" s="19" t="inlineStr">
        <is>
          <t>TN</t>
        </is>
      </c>
      <c r="D1353" s="20" t="inlineStr">
        <is>
          <t>TN07DH4641</t>
        </is>
      </c>
      <c r="E1353" s="20" t="inlineStr">
        <is>
          <t>MARUTI SUZUKI</t>
        </is>
      </c>
      <c r="F1353" s="20" t="inlineStr">
        <is>
          <t>Alto K10</t>
        </is>
      </c>
      <c r="G1353" s="21" t="n">
        <v>2024</v>
      </c>
      <c r="H1353" s="22" t="n">
        <v>18769</v>
      </c>
      <c r="I1353" s="22" t="n">
        <v>400000</v>
      </c>
      <c r="J1353" s="20" t="inlineStr">
        <is>
          <t>Khivraj Motor</t>
        </is>
      </c>
      <c r="K1353" s="20" t="inlineStr">
        <is>
          <t>Non-Captive</t>
        </is>
      </c>
      <c r="L1353" s="20" t="inlineStr">
        <is>
          <t>Cars 24</t>
        </is>
      </c>
      <c r="M1353" s="23" t="n">
        <v>7627.12</v>
      </c>
    </row>
    <row r="1354">
      <c r="A1354" s="19" t="inlineStr">
        <is>
          <t>FY27</t>
        </is>
      </c>
      <c r="B1354" s="19" t="inlineStr">
        <is>
          <t>May</t>
        </is>
      </c>
      <c r="C1354" s="19" t="inlineStr">
        <is>
          <t>TN</t>
        </is>
      </c>
      <c r="D1354" s="20" t="inlineStr">
        <is>
          <t>TN01BD9231</t>
        </is>
      </c>
      <c r="E1354" s="20" t="inlineStr">
        <is>
          <t>SKODA</t>
        </is>
      </c>
      <c r="F1354" s="20" t="inlineStr">
        <is>
          <t>Octavia</t>
        </is>
      </c>
      <c r="G1354" s="21" t="n">
        <v>2018</v>
      </c>
      <c r="H1354" s="22" t="n">
        <v>42625</v>
      </c>
      <c r="I1354" s="22" t="n">
        <v>820000</v>
      </c>
      <c r="J1354" s="20" t="inlineStr">
        <is>
          <t>Castel Traders Honda</t>
        </is>
      </c>
      <c r="K1354" s="20" t="inlineStr">
        <is>
          <t>Non-Captive</t>
        </is>
      </c>
      <c r="L1354" s="20" t="inlineStr">
        <is>
          <t>car Hub</t>
        </is>
      </c>
      <c r="M1354" s="23" t="n">
        <v>12711.86</v>
      </c>
    </row>
    <row r="1355">
      <c r="A1355" s="19" t="inlineStr">
        <is>
          <t>FY27</t>
        </is>
      </c>
      <c r="B1355" s="19" t="inlineStr">
        <is>
          <t>May</t>
        </is>
      </c>
      <c r="C1355" s="19" t="inlineStr">
        <is>
          <t>TN</t>
        </is>
      </c>
      <c r="D1355" s="20" t="inlineStr">
        <is>
          <t>TN02CC9528</t>
        </is>
      </c>
      <c r="E1355" s="20" t="inlineStr">
        <is>
          <t>TATA</t>
        </is>
      </c>
      <c r="F1355" s="20" t="inlineStr">
        <is>
          <t>Altroz</t>
        </is>
      </c>
      <c r="G1355" s="21" t="n">
        <v>2024</v>
      </c>
      <c r="H1355" s="22" t="n">
        <v>14763</v>
      </c>
      <c r="I1355" s="22" t="n">
        <v>675000</v>
      </c>
      <c r="J1355" s="20" t="inlineStr">
        <is>
          <t>Castel Traders Honda</t>
        </is>
      </c>
      <c r="K1355" s="20" t="inlineStr">
        <is>
          <t>Non-Captive</t>
        </is>
      </c>
      <c r="L1355" s="20" t="inlineStr">
        <is>
          <t>Grid 33</t>
        </is>
      </c>
      <c r="M1355" s="23" t="n">
        <v>8474.58</v>
      </c>
    </row>
    <row r="1356">
      <c r="A1356" s="19" t="inlineStr">
        <is>
          <t>FY27</t>
        </is>
      </c>
      <c r="B1356" s="19" t="inlineStr">
        <is>
          <t>May</t>
        </is>
      </c>
      <c r="C1356" s="19" t="inlineStr">
        <is>
          <t>TN</t>
        </is>
      </c>
      <c r="D1356" s="20" t="inlineStr">
        <is>
          <t>TN18U8154</t>
        </is>
      </c>
      <c r="E1356" s="20" t="inlineStr">
        <is>
          <t>HONDA</t>
        </is>
      </c>
      <c r="F1356" s="20" t="inlineStr">
        <is>
          <t>Amaze</t>
        </is>
      </c>
      <c r="G1356" s="21" t="n">
        <v>2013</v>
      </c>
      <c r="H1356" s="22" t="n">
        <v>110320</v>
      </c>
      <c r="I1356" s="22" t="n">
        <v>280000</v>
      </c>
      <c r="J1356" s="20" t="inlineStr">
        <is>
          <t>Castel Traders Honda</t>
        </is>
      </c>
      <c r="K1356" s="20" t="inlineStr">
        <is>
          <t>Non-Captive</t>
        </is>
      </c>
      <c r="L1356" s="20" t="inlineStr">
        <is>
          <t>Grid 33</t>
        </is>
      </c>
      <c r="M1356" s="23" t="n">
        <v>5084.75</v>
      </c>
    </row>
    <row r="1357">
      <c r="A1357" s="19" t="inlineStr">
        <is>
          <t>FY27</t>
        </is>
      </c>
      <c r="B1357" s="19" t="inlineStr">
        <is>
          <t>May</t>
        </is>
      </c>
      <c r="C1357" s="19" t="inlineStr">
        <is>
          <t>TN</t>
        </is>
      </c>
      <c r="D1357" s="20" t="inlineStr">
        <is>
          <t>TN13H3153</t>
        </is>
      </c>
      <c r="E1357" s="20" t="inlineStr">
        <is>
          <t>VOLKSWAGEN</t>
        </is>
      </c>
      <c r="F1357" s="20" t="inlineStr">
        <is>
          <t>Ameo</t>
        </is>
      </c>
      <c r="G1357" s="21" t="n">
        <v>2016</v>
      </c>
      <c r="H1357" s="22" t="n">
        <v>114694</v>
      </c>
      <c r="I1357" s="22" t="n">
        <v>290000</v>
      </c>
      <c r="J1357" s="20" t="inlineStr">
        <is>
          <t>Castel Traders Honda</t>
        </is>
      </c>
      <c r="K1357" s="20" t="inlineStr">
        <is>
          <t>Non-Captive</t>
        </is>
      </c>
      <c r="L1357" s="20" t="inlineStr">
        <is>
          <t>YUGA DHEERAN CARS</t>
        </is>
      </c>
      <c r="M1357" s="23" t="n">
        <v>5084.75</v>
      </c>
    </row>
    <row r="1358">
      <c r="A1358" s="19" t="inlineStr">
        <is>
          <t>FY27</t>
        </is>
      </c>
      <c r="B1358" s="19" t="inlineStr">
        <is>
          <t>May</t>
        </is>
      </c>
      <c r="C1358" s="19" t="inlineStr">
        <is>
          <t>TN</t>
        </is>
      </c>
      <c r="D1358" s="20" t="inlineStr">
        <is>
          <t>TN38CP1418</t>
        </is>
      </c>
      <c r="E1358" s="20" t="inlineStr">
        <is>
          <t>HONDA</t>
        </is>
      </c>
      <c r="F1358" s="20" t="inlineStr">
        <is>
          <t>Amaze</t>
        </is>
      </c>
      <c r="G1358" s="21" t="n">
        <v>2018</v>
      </c>
      <c r="H1358" s="22" t="n">
        <v>94907</v>
      </c>
      <c r="I1358" s="22" t="n">
        <v>560000</v>
      </c>
      <c r="J1358" s="20" t="inlineStr">
        <is>
          <t>EXCHANGE ROTN</t>
        </is>
      </c>
      <c r="K1358" s="20" t="inlineStr">
        <is>
          <t>Captive</t>
        </is>
      </c>
      <c r="L1358" s="20" t="inlineStr">
        <is>
          <t>YUGA DHEERAN CARS</t>
        </is>
      </c>
      <c r="M1358" s="23" t="n">
        <v>13728.81</v>
      </c>
    </row>
    <row r="1359">
      <c r="A1359" s="19" t="inlineStr">
        <is>
          <t>FY27</t>
        </is>
      </c>
      <c r="B1359" s="19" t="inlineStr">
        <is>
          <t>May</t>
        </is>
      </c>
      <c r="C1359" s="19" t="inlineStr">
        <is>
          <t>TN</t>
        </is>
      </c>
      <c r="D1359" s="20" t="inlineStr">
        <is>
          <t>TN38AX2424</t>
        </is>
      </c>
      <c r="E1359" s="20" t="inlineStr">
        <is>
          <t>MARUTI SUZUKI</t>
        </is>
      </c>
      <c r="F1359" s="20" t="inlineStr">
        <is>
          <t>Swift</t>
        </is>
      </c>
      <c r="G1359" s="21" t="n">
        <v>2008</v>
      </c>
      <c r="H1359" s="22" t="n">
        <v>95861</v>
      </c>
      <c r="I1359" s="22" t="n">
        <v>150000</v>
      </c>
      <c r="J1359" s="20" t="inlineStr">
        <is>
          <t>EXCHANGE ROTN</t>
        </is>
      </c>
      <c r="K1359" s="20" t="inlineStr">
        <is>
          <t>Captive</t>
        </is>
      </c>
      <c r="L1359" s="20" t="inlineStr">
        <is>
          <t>YUGA DHEERAN CARS</t>
        </is>
      </c>
      <c r="M1359" s="23" t="n">
        <v>8474.58</v>
      </c>
    </row>
    <row r="1360">
      <c r="A1360" s="19" t="inlineStr">
        <is>
          <t>FY27</t>
        </is>
      </c>
      <c r="B1360" s="19" t="inlineStr">
        <is>
          <t>May</t>
        </is>
      </c>
      <c r="C1360" s="19" t="inlineStr">
        <is>
          <t>TN</t>
        </is>
      </c>
      <c r="D1360" s="20" t="inlineStr">
        <is>
          <t>TN01BF1441</t>
        </is>
      </c>
      <c r="E1360" s="20" t="inlineStr">
        <is>
          <t>HONDA</t>
        </is>
      </c>
      <c r="F1360" s="20" t="inlineStr">
        <is>
          <t>Amaze</t>
        </is>
      </c>
      <c r="G1360" s="21" t="n">
        <v>2018</v>
      </c>
      <c r="H1360" s="22" t="n">
        <v>85779</v>
      </c>
      <c r="I1360" s="22" t="n">
        <v>465000</v>
      </c>
      <c r="J1360" s="20" t="inlineStr">
        <is>
          <t>EXCHANGE ROTN</t>
        </is>
      </c>
      <c r="K1360" s="20" t="inlineStr">
        <is>
          <t>Captive</t>
        </is>
      </c>
      <c r="L1360" s="20" t="inlineStr">
        <is>
          <t>Gugha Cars</t>
        </is>
      </c>
      <c r="M1360" s="23" t="n">
        <v>16949.15</v>
      </c>
    </row>
    <row r="1361">
      <c r="A1361" s="19" t="inlineStr">
        <is>
          <t>FY27</t>
        </is>
      </c>
      <c r="B1361" s="19" t="inlineStr">
        <is>
          <t>May</t>
        </is>
      </c>
      <c r="C1361" s="19" t="inlineStr">
        <is>
          <t>TN</t>
        </is>
      </c>
      <c r="D1361" s="20" t="inlineStr">
        <is>
          <t>TN01AV6822</t>
        </is>
      </c>
      <c r="E1361" s="20" t="inlineStr">
        <is>
          <t>HONDA</t>
        </is>
      </c>
      <c r="F1361" s="20" t="inlineStr">
        <is>
          <t>Cr-V</t>
        </is>
      </c>
      <c r="G1361" s="21" t="n">
        <v>2013</v>
      </c>
      <c r="H1361" s="22" t="n">
        <v>111667</v>
      </c>
      <c r="I1361" s="22" t="n">
        <v>300000</v>
      </c>
      <c r="J1361" s="20" t="inlineStr">
        <is>
          <t>EXCHANGE ROTN</t>
        </is>
      </c>
      <c r="K1361" s="20" t="inlineStr">
        <is>
          <t>Captive</t>
        </is>
      </c>
      <c r="L1361" s="20" t="inlineStr">
        <is>
          <t>Sai Cars</t>
        </is>
      </c>
      <c r="M1361" s="23" t="n">
        <v>8474.58</v>
      </c>
    </row>
    <row r="1362">
      <c r="A1362" s="19" t="inlineStr">
        <is>
          <t>FY27</t>
        </is>
      </c>
      <c r="B1362" s="19" t="inlineStr">
        <is>
          <t>May</t>
        </is>
      </c>
      <c r="C1362" s="19" t="inlineStr">
        <is>
          <t>TN</t>
        </is>
      </c>
      <c r="D1362" s="20" t="inlineStr">
        <is>
          <t>TN67BC5293</t>
        </is>
      </c>
      <c r="E1362" s="20" t="inlineStr">
        <is>
          <t>FORD</t>
        </is>
      </c>
      <c r="F1362" s="20" t="inlineStr">
        <is>
          <t>Figo</t>
        </is>
      </c>
      <c r="G1362" s="21" t="n">
        <v>2015</v>
      </c>
      <c r="H1362" s="22" t="n">
        <v>183351</v>
      </c>
      <c r="I1362" s="22" t="n">
        <v>245000</v>
      </c>
      <c r="J1362" s="20" t="inlineStr">
        <is>
          <t>EXCHANGE ROTN</t>
        </is>
      </c>
      <c r="K1362" s="20" t="inlineStr">
        <is>
          <t>Captive</t>
        </is>
      </c>
      <c r="L1362" s="20" t="inlineStr">
        <is>
          <t>Sai Cars</t>
        </is>
      </c>
      <c r="M1362" s="23" t="n">
        <v>8474.58</v>
      </c>
    </row>
    <row r="1363">
      <c r="A1363" s="19" t="inlineStr">
        <is>
          <t>FY27</t>
        </is>
      </c>
      <c r="B1363" s="19" t="inlineStr">
        <is>
          <t>May</t>
        </is>
      </c>
      <c r="C1363" s="19" t="inlineStr">
        <is>
          <t>TN</t>
        </is>
      </c>
      <c r="D1363" s="20" t="inlineStr">
        <is>
          <t>TN20BP9007</t>
        </is>
      </c>
      <c r="E1363" s="20" t="inlineStr">
        <is>
          <t>MARUTI SUZUKI</t>
        </is>
      </c>
      <c r="F1363" s="20" t="inlineStr">
        <is>
          <t>Alto K10</t>
        </is>
      </c>
      <c r="G1363" s="21" t="n">
        <v>2011</v>
      </c>
      <c r="H1363" s="22" t="n">
        <v>69505</v>
      </c>
      <c r="I1363" s="22" t="n">
        <v>96000</v>
      </c>
      <c r="J1363" s="20" t="inlineStr">
        <is>
          <t>EXCHANGE ROTN</t>
        </is>
      </c>
      <c r="K1363" s="20" t="inlineStr">
        <is>
          <t>Captive</t>
        </is>
      </c>
      <c r="L1363" s="20" t="inlineStr">
        <is>
          <t>Gugha Cars</t>
        </is>
      </c>
      <c r="M1363" s="23" t="n">
        <v>4237.29</v>
      </c>
    </row>
    <row r="1364">
      <c r="A1364" s="19" t="inlineStr">
        <is>
          <t>FY27</t>
        </is>
      </c>
      <c r="B1364" s="19" t="inlineStr">
        <is>
          <t>May</t>
        </is>
      </c>
      <c r="C1364" s="19" t="inlineStr">
        <is>
          <t>TN</t>
        </is>
      </c>
      <c r="D1364" s="20" t="inlineStr">
        <is>
          <t>TN43C8595</t>
        </is>
      </c>
      <c r="E1364" s="20" t="inlineStr">
        <is>
          <t>TATA</t>
        </is>
      </c>
      <c r="F1364" s="20" t="inlineStr">
        <is>
          <t>Indigo</t>
        </is>
      </c>
      <c r="G1364" s="21" t="n">
        <v>2010</v>
      </c>
      <c r="H1364" s="22" t="n">
        <v>121384</v>
      </c>
      <c r="I1364" s="22" t="n">
        <v>95000</v>
      </c>
      <c r="J1364" s="20" t="inlineStr">
        <is>
          <t>EXCHANGE ROTN</t>
        </is>
      </c>
      <c r="K1364" s="20" t="inlineStr">
        <is>
          <t>Captive</t>
        </is>
      </c>
      <c r="L1364" s="20" t="inlineStr">
        <is>
          <t>Thirupathi Traders</t>
        </is>
      </c>
      <c r="M1364" s="23" t="n">
        <v>4237.29</v>
      </c>
    </row>
    <row r="1365">
      <c r="A1365" s="19" t="inlineStr">
        <is>
          <t>FY27</t>
        </is>
      </c>
      <c r="B1365" s="19" t="inlineStr">
        <is>
          <t>May</t>
        </is>
      </c>
      <c r="C1365" s="19" t="inlineStr">
        <is>
          <t>TN</t>
        </is>
      </c>
      <c r="D1365" s="20" t="inlineStr">
        <is>
          <t>TN10AB0895</t>
        </is>
      </c>
      <c r="E1365" s="20" t="inlineStr">
        <is>
          <t>FORD</t>
        </is>
      </c>
      <c r="F1365" s="20" t="inlineStr">
        <is>
          <t>Figo</t>
        </is>
      </c>
      <c r="G1365" s="21" t="n">
        <v>2010</v>
      </c>
      <c r="H1365" s="22" t="n">
        <v>55791</v>
      </c>
      <c r="I1365" s="22" t="n">
        <v>20000</v>
      </c>
      <c r="J1365" s="20" t="inlineStr">
        <is>
          <t>EXCHANGE ROTN</t>
        </is>
      </c>
      <c r="K1365" s="20" t="inlineStr">
        <is>
          <t>Captive</t>
        </is>
      </c>
      <c r="L1365" s="20" t="inlineStr">
        <is>
          <t>Geethanjali cars</t>
        </is>
      </c>
      <c r="M1365" s="23" t="n">
        <v>4237.29</v>
      </c>
    </row>
    <row r="1366">
      <c r="A1366" s="19" t="inlineStr">
        <is>
          <t>FY27</t>
        </is>
      </c>
      <c r="B1366" s="19" t="inlineStr">
        <is>
          <t>May</t>
        </is>
      </c>
      <c r="C1366" s="19" t="inlineStr">
        <is>
          <t>TN</t>
        </is>
      </c>
      <c r="D1366" s="20" t="inlineStr">
        <is>
          <t>TN45AT3116</t>
        </is>
      </c>
      <c r="E1366" s="20" t="inlineStr">
        <is>
          <t>HYUNDAI</t>
        </is>
      </c>
      <c r="F1366" s="20" t="inlineStr">
        <is>
          <t>I20</t>
        </is>
      </c>
      <c r="G1366" s="21" t="n">
        <v>2011</v>
      </c>
      <c r="H1366" s="22" t="n">
        <v>197920</v>
      </c>
      <c r="I1366" s="22" t="n">
        <v>98000</v>
      </c>
      <c r="J1366" s="20" t="inlineStr">
        <is>
          <t>EXCHANGE ROTN</t>
        </is>
      </c>
      <c r="K1366" s="20" t="inlineStr">
        <is>
          <t>Captive</t>
        </is>
      </c>
      <c r="L1366" s="20" t="inlineStr">
        <is>
          <t>Thirupathi Traders</t>
        </is>
      </c>
      <c r="M1366" s="23" t="n">
        <v>4237.29</v>
      </c>
    </row>
    <row r="1367">
      <c r="A1367" s="19" t="inlineStr">
        <is>
          <t>FY27</t>
        </is>
      </c>
      <c r="B1367" s="19" t="inlineStr">
        <is>
          <t>May</t>
        </is>
      </c>
      <c r="C1367" s="19" t="inlineStr">
        <is>
          <t>TN</t>
        </is>
      </c>
      <c r="D1367" s="20" t="inlineStr">
        <is>
          <t>TN99E2405</t>
        </is>
      </c>
      <c r="E1367" s="20" t="inlineStr">
        <is>
          <t>RENAULT</t>
        </is>
      </c>
      <c r="F1367" s="20" t="inlineStr">
        <is>
          <t>Kwid</t>
        </is>
      </c>
      <c r="G1367" s="21" t="n">
        <v>2016</v>
      </c>
      <c r="H1367" s="22" t="n">
        <v>75713</v>
      </c>
      <c r="I1367" s="22" t="n">
        <v>98000</v>
      </c>
      <c r="J1367" s="20" t="inlineStr">
        <is>
          <t>EXCHANGE ROTN</t>
        </is>
      </c>
      <c r="K1367" s="20" t="inlineStr">
        <is>
          <t>Captive</t>
        </is>
      </c>
      <c r="L1367" s="20" t="inlineStr">
        <is>
          <t>Gugha Cars</t>
        </is>
      </c>
      <c r="M1367" s="23" t="n">
        <v>4237.29</v>
      </c>
    </row>
    <row r="1368">
      <c r="A1368" s="19" t="inlineStr">
        <is>
          <t>FY27</t>
        </is>
      </c>
      <c r="B1368" s="19" t="inlineStr">
        <is>
          <t>May</t>
        </is>
      </c>
      <c r="C1368" s="19" t="inlineStr">
        <is>
          <t>TN</t>
        </is>
      </c>
      <c r="D1368" s="20" t="inlineStr">
        <is>
          <t>TN84D9832</t>
        </is>
      </c>
      <c r="E1368" s="20" t="inlineStr">
        <is>
          <t>DATSUN</t>
        </is>
      </c>
      <c r="F1368" s="20" t="inlineStr">
        <is>
          <t>Redi-Go</t>
        </is>
      </c>
      <c r="G1368" s="21" t="n">
        <v>2017</v>
      </c>
      <c r="H1368" s="22" t="n">
        <v>156273</v>
      </c>
      <c r="I1368" s="22" t="n">
        <v>95000</v>
      </c>
      <c r="J1368" s="20" t="inlineStr">
        <is>
          <t>EXCHANGE ROTN</t>
        </is>
      </c>
      <c r="K1368" s="20" t="inlineStr">
        <is>
          <t>Captive</t>
        </is>
      </c>
      <c r="L1368" s="20" t="inlineStr">
        <is>
          <t>Paul Cars</t>
        </is>
      </c>
      <c r="M1368" s="23" t="n">
        <v>4237.29</v>
      </c>
    </row>
    <row r="1369">
      <c r="A1369" s="19" t="inlineStr">
        <is>
          <t>FY27</t>
        </is>
      </c>
      <c r="B1369" s="19" t="inlineStr">
        <is>
          <t>May</t>
        </is>
      </c>
      <c r="C1369" s="19" t="inlineStr">
        <is>
          <t>TN</t>
        </is>
      </c>
      <c r="D1369" s="20" t="inlineStr">
        <is>
          <t>TN95B8698</t>
        </is>
      </c>
      <c r="E1369" s="20" t="inlineStr">
        <is>
          <t>DATSUN</t>
        </is>
      </c>
      <c r="F1369" s="20" t="inlineStr">
        <is>
          <t>Redi-Go</t>
        </is>
      </c>
      <c r="G1369" s="21" t="n">
        <v>2018</v>
      </c>
      <c r="H1369" s="22" t="n">
        <v>111828</v>
      </c>
      <c r="I1369" s="22" t="n">
        <v>90000</v>
      </c>
      <c r="J1369" s="20" t="inlineStr">
        <is>
          <t>EXCHANGE ROTN</t>
        </is>
      </c>
      <c r="K1369" s="20" t="inlineStr">
        <is>
          <t>Captive</t>
        </is>
      </c>
      <c r="L1369" s="20" t="inlineStr">
        <is>
          <t>Paul Cars</t>
        </is>
      </c>
      <c r="M1369" s="23" t="n">
        <v>4237.29</v>
      </c>
    </row>
    <row r="1370">
      <c r="A1370" s="19" t="inlineStr">
        <is>
          <t>FY27</t>
        </is>
      </c>
      <c r="B1370" s="19" t="inlineStr">
        <is>
          <t>May</t>
        </is>
      </c>
      <c r="C1370" s="19" t="inlineStr">
        <is>
          <t>TN</t>
        </is>
      </c>
      <c r="D1370" s="20" t="inlineStr">
        <is>
          <t>TN58AC5286</t>
        </is>
      </c>
      <c r="E1370" s="20" t="inlineStr">
        <is>
          <t>CHEVROLET</t>
        </is>
      </c>
      <c r="F1370" s="20" t="inlineStr">
        <is>
          <t>Beat</t>
        </is>
      </c>
      <c r="G1370" s="21" t="n">
        <v>2012</v>
      </c>
      <c r="H1370" s="22" t="n">
        <v>87790</v>
      </c>
      <c r="I1370" s="22" t="n">
        <v>82000</v>
      </c>
      <c r="J1370" s="20" t="inlineStr">
        <is>
          <t>KSM AUTO CONSULTING</t>
        </is>
      </c>
      <c r="K1370" s="20" t="inlineStr">
        <is>
          <t>Non-Captive</t>
        </is>
      </c>
      <c r="L1370" s="20" t="inlineStr">
        <is>
          <t>Paul Cars</t>
        </is>
      </c>
      <c r="M1370" s="23" t="n">
        <v>4237.29</v>
      </c>
    </row>
    <row r="1371">
      <c r="A1371" s="19" t="inlineStr">
        <is>
          <t>FY27</t>
        </is>
      </c>
      <c r="B1371" s="19" t="inlineStr">
        <is>
          <t>May</t>
        </is>
      </c>
      <c r="C1371" s="19" t="inlineStr">
        <is>
          <t>TN</t>
        </is>
      </c>
      <c r="D1371" s="20" t="inlineStr">
        <is>
          <t>TN67BZ8286</t>
        </is>
      </c>
      <c r="E1371" s="20" t="inlineStr">
        <is>
          <t>NISSAN</t>
        </is>
      </c>
      <c r="F1371" s="20" t="inlineStr">
        <is>
          <t>Micra</t>
        </is>
      </c>
      <c r="G1371" s="21" t="n">
        <v>2014</v>
      </c>
      <c r="H1371" s="22" t="n">
        <v>103819</v>
      </c>
      <c r="I1371" s="22" t="n">
        <v>88000</v>
      </c>
      <c r="J1371" s="20" t="inlineStr">
        <is>
          <t>EXCHANGE ROTN</t>
        </is>
      </c>
      <c r="K1371" s="20" t="inlineStr">
        <is>
          <t>Captive</t>
        </is>
      </c>
      <c r="L1371" s="20" t="inlineStr">
        <is>
          <t>Paul Cars</t>
        </is>
      </c>
      <c r="M1371" s="23" t="n">
        <v>4237.29</v>
      </c>
    </row>
    <row r="1372">
      <c r="A1372" s="19" t="inlineStr">
        <is>
          <t>FY27</t>
        </is>
      </c>
      <c r="B1372" s="19" t="inlineStr">
        <is>
          <t>May</t>
        </is>
      </c>
      <c r="C1372" s="19" t="inlineStr">
        <is>
          <t>TN</t>
        </is>
      </c>
      <c r="D1372" s="20" t="inlineStr">
        <is>
          <t>TN23CV2135</t>
        </is>
      </c>
      <c r="E1372" s="20" t="inlineStr">
        <is>
          <t>MARUTI SUZUKI</t>
        </is>
      </c>
      <c r="F1372" s="20" t="inlineStr">
        <is>
          <t>Alto</t>
        </is>
      </c>
      <c r="G1372" s="21" t="n">
        <v>2019</v>
      </c>
      <c r="H1372" s="22" t="n">
        <v>101309</v>
      </c>
      <c r="I1372" s="22" t="n">
        <v>65000</v>
      </c>
      <c r="J1372" s="20" t="inlineStr">
        <is>
          <t>EXCHANGE ROTN</t>
        </is>
      </c>
      <c r="K1372" s="20" t="inlineStr">
        <is>
          <t>Captive</t>
        </is>
      </c>
      <c r="L1372" s="20" t="inlineStr">
        <is>
          <t>Paul Cars</t>
        </is>
      </c>
      <c r="M1372" s="23" t="n">
        <v>4237.29</v>
      </c>
    </row>
    <row r="1373">
      <c r="A1373" s="19" t="inlineStr">
        <is>
          <t>FY27</t>
        </is>
      </c>
      <c r="B1373" s="19" t="inlineStr">
        <is>
          <t>May</t>
        </is>
      </c>
      <c r="C1373" s="19" t="inlineStr">
        <is>
          <t>TN</t>
        </is>
      </c>
      <c r="D1373" s="20" t="inlineStr">
        <is>
          <t>TN04AB1224</t>
        </is>
      </c>
      <c r="E1373" s="20" t="inlineStr">
        <is>
          <t>HYUNDAI</t>
        </is>
      </c>
      <c r="F1373" s="20" t="inlineStr">
        <is>
          <t>Santor</t>
        </is>
      </c>
      <c r="G1373" s="21" t="n">
        <v>2007</v>
      </c>
      <c r="H1373" s="22" t="n">
        <v>71019</v>
      </c>
      <c r="I1373" s="22" t="n">
        <v>85000</v>
      </c>
      <c r="J1373" s="20" t="inlineStr">
        <is>
          <t>EXCHANGE CHENNAI</t>
        </is>
      </c>
      <c r="K1373" s="20" t="inlineStr">
        <is>
          <t>Captive</t>
        </is>
      </c>
      <c r="L1373" s="20" t="inlineStr">
        <is>
          <t>S2 Cars</t>
        </is>
      </c>
      <c r="M1373" s="23" t="n">
        <v>4237.29</v>
      </c>
    </row>
    <row r="1374">
      <c r="A1374" s="19" t="inlineStr">
        <is>
          <t>FY27</t>
        </is>
      </c>
      <c r="B1374" s="19" t="inlineStr">
        <is>
          <t>May</t>
        </is>
      </c>
      <c r="C1374" s="19" t="inlineStr">
        <is>
          <t>TN</t>
        </is>
      </c>
      <c r="D1374" s="20" t="inlineStr">
        <is>
          <t>TN11AM5778</t>
        </is>
      </c>
      <c r="E1374" s="20" t="inlineStr">
        <is>
          <t>HONDA</t>
        </is>
      </c>
      <c r="F1374" s="20" t="inlineStr">
        <is>
          <t>Amaze</t>
        </is>
      </c>
      <c r="G1374" s="21" t="n">
        <v>2019</v>
      </c>
      <c r="H1374" s="22" t="n">
        <v>62643</v>
      </c>
      <c r="I1374" s="22" t="n">
        <v>440000</v>
      </c>
      <c r="J1374" s="20" t="inlineStr">
        <is>
          <t>EXCHANGE CHENNAI</t>
        </is>
      </c>
      <c r="K1374" s="20" t="inlineStr">
        <is>
          <t>Captive</t>
        </is>
      </c>
      <c r="L1374" s="20" t="inlineStr">
        <is>
          <t>Nirmal Cars</t>
        </is>
      </c>
      <c r="M1374" s="23" t="n">
        <v>8474.58</v>
      </c>
    </row>
    <row r="1375">
      <c r="A1375" s="19" t="inlineStr">
        <is>
          <t>FY27</t>
        </is>
      </c>
      <c r="B1375" s="19" t="inlineStr">
        <is>
          <t>May</t>
        </is>
      </c>
      <c r="C1375" s="19" t="inlineStr">
        <is>
          <t>TN</t>
        </is>
      </c>
      <c r="D1375" s="20" t="inlineStr">
        <is>
          <t>KL01BY7994</t>
        </is>
      </c>
      <c r="E1375" s="20" t="inlineStr">
        <is>
          <t>MARUTI SUZUKI</t>
        </is>
      </c>
      <c r="F1375" s="20" t="inlineStr">
        <is>
          <t>Alto</t>
        </is>
      </c>
      <c r="G1375" s="21" t="n">
        <v>2016</v>
      </c>
      <c r="H1375" s="22" t="n">
        <v>34291</v>
      </c>
      <c r="I1375" s="22" t="n">
        <v>190000</v>
      </c>
      <c r="J1375" s="20" t="inlineStr">
        <is>
          <t>DERIK MOTORS PRIVATE LIMITED</t>
        </is>
      </c>
      <c r="K1375" s="20" t="inlineStr">
        <is>
          <t>Non-Captive</t>
        </is>
      </c>
      <c r="L1375" s="20" t="inlineStr">
        <is>
          <t>Popular Thrissur</t>
        </is>
      </c>
      <c r="M1375" s="23" t="n">
        <v>5000</v>
      </c>
    </row>
    <row r="1376">
      <c r="A1376" s="19" t="inlineStr">
        <is>
          <t>FY27</t>
        </is>
      </c>
      <c r="B1376" s="19" t="inlineStr">
        <is>
          <t>May</t>
        </is>
      </c>
      <c r="C1376" s="19" t="inlineStr">
        <is>
          <t>TN</t>
        </is>
      </c>
      <c r="D1376" s="20" t="inlineStr">
        <is>
          <t>KL01CQ1801</t>
        </is>
      </c>
      <c r="E1376" s="20" t="inlineStr">
        <is>
          <t>TATA</t>
        </is>
      </c>
      <c r="F1376" s="20" t="inlineStr">
        <is>
          <t>Altroz</t>
        </is>
      </c>
      <c r="G1376" s="21" t="n">
        <v>2020</v>
      </c>
      <c r="H1376" s="22" t="n">
        <v>54310</v>
      </c>
      <c r="I1376" s="22" t="n">
        <v>175000</v>
      </c>
      <c r="J1376" s="20" t="inlineStr">
        <is>
          <t>INDEL Motor Corporation</t>
        </is>
      </c>
      <c r="K1376" s="20" t="inlineStr">
        <is>
          <t>Non-Captive</t>
        </is>
      </c>
      <c r="L1376" s="20" t="inlineStr">
        <is>
          <t>Popular Thrissur</t>
        </is>
      </c>
      <c r="M1376" s="23" t="n">
        <v>5000</v>
      </c>
    </row>
    <row r="1377">
      <c r="A1377" s="19" t="inlineStr">
        <is>
          <t>FY27</t>
        </is>
      </c>
      <c r="B1377" s="19" t="inlineStr">
        <is>
          <t>May</t>
        </is>
      </c>
      <c r="C1377" s="19" t="inlineStr">
        <is>
          <t>TN</t>
        </is>
      </c>
      <c r="D1377" s="20" t="inlineStr">
        <is>
          <t>KL01CS3802</t>
        </is>
      </c>
      <c r="E1377" s="20" t="inlineStr">
        <is>
          <t>MARUTI SUZUKI</t>
        </is>
      </c>
      <c r="F1377" s="20" t="inlineStr">
        <is>
          <t>Baleno</t>
        </is>
      </c>
      <c r="G1377" s="21" t="n">
        <v>2021</v>
      </c>
      <c r="H1377" s="22" t="n">
        <v>76528</v>
      </c>
      <c r="I1377" s="22" t="n">
        <v>190000</v>
      </c>
      <c r="J1377" s="20" t="inlineStr">
        <is>
          <t>INDEL Motor Corporation</t>
        </is>
      </c>
      <c r="K1377" s="20" t="inlineStr">
        <is>
          <t>Non-Captive</t>
        </is>
      </c>
      <c r="L1377" s="20" t="inlineStr">
        <is>
          <t>Popular Thrissur</t>
        </is>
      </c>
      <c r="M1377" s="23" t="n">
        <v>5000</v>
      </c>
    </row>
    <row r="1378">
      <c r="A1378" s="19" t="inlineStr">
        <is>
          <t>FY27</t>
        </is>
      </c>
      <c r="B1378" s="19" t="inlineStr">
        <is>
          <t>May</t>
        </is>
      </c>
      <c r="C1378" s="19" t="inlineStr">
        <is>
          <t>TN</t>
        </is>
      </c>
      <c r="D1378" s="20" t="inlineStr">
        <is>
          <t>KL02AS3043</t>
        </is>
      </c>
      <c r="E1378" s="20" t="inlineStr">
        <is>
          <t>MARUTI SUZUKI</t>
        </is>
      </c>
      <c r="F1378" s="20" t="inlineStr">
        <is>
          <t>Swift Dzire</t>
        </is>
      </c>
      <c r="G1378" s="21" t="n">
        <v>2014</v>
      </c>
      <c r="H1378" s="22" t="n">
        <v>65371</v>
      </c>
      <c r="I1378" s="22" t="n">
        <v>170000</v>
      </c>
      <c r="J1378" s="20" t="inlineStr">
        <is>
          <t>INDEL Motor Corporation</t>
        </is>
      </c>
      <c r="K1378" s="20" t="inlineStr">
        <is>
          <t>Non-Captive</t>
        </is>
      </c>
      <c r="L1378" s="20" t="inlineStr">
        <is>
          <t>Popular Thrissur</t>
        </is>
      </c>
      <c r="M1378" s="23" t="n">
        <v>5000</v>
      </c>
    </row>
    <row r="1379">
      <c r="A1379" s="19" t="inlineStr">
        <is>
          <t>FY27</t>
        </is>
      </c>
      <c r="B1379" s="19" t="inlineStr">
        <is>
          <t>May</t>
        </is>
      </c>
      <c r="C1379" s="19" t="inlineStr">
        <is>
          <t>TN</t>
        </is>
      </c>
      <c r="D1379" s="20" t="inlineStr">
        <is>
          <t>KL01CH8014</t>
        </is>
      </c>
      <c r="E1379" s="20" t="inlineStr">
        <is>
          <t>MARUTI SUZUKI</t>
        </is>
      </c>
      <c r="F1379" s="20" t="inlineStr">
        <is>
          <t>Celerio</t>
        </is>
      </c>
      <c r="G1379" s="21" t="n">
        <v>2018</v>
      </c>
      <c r="H1379" s="22" t="n">
        <v>25674</v>
      </c>
      <c r="I1379" s="22" t="n">
        <v>170000</v>
      </c>
      <c r="J1379" s="20" t="inlineStr">
        <is>
          <t>INDEL Motor Corporation</t>
        </is>
      </c>
      <c r="K1379" s="20" t="inlineStr">
        <is>
          <t>Non-Captive</t>
        </is>
      </c>
      <c r="L1379" s="20" t="inlineStr">
        <is>
          <t>Popular Thrissur</t>
        </is>
      </c>
      <c r="M1379" s="23" t="n">
        <v>5000</v>
      </c>
    </row>
    <row r="1380">
      <c r="A1380" s="19" t="inlineStr">
        <is>
          <t>FY27</t>
        </is>
      </c>
      <c r="B1380" s="19" t="inlineStr">
        <is>
          <t>May</t>
        </is>
      </c>
      <c r="C1380" s="19" t="inlineStr">
        <is>
          <t>TN</t>
        </is>
      </c>
      <c r="D1380" s="20" t="inlineStr">
        <is>
          <t>TN22BX0339</t>
        </is>
      </c>
      <c r="E1380" s="20" t="inlineStr">
        <is>
          <t>CHEVROLET</t>
        </is>
      </c>
      <c r="F1380" s="20" t="inlineStr">
        <is>
          <t>Spark</t>
        </is>
      </c>
      <c r="G1380" s="21" t="n">
        <v>2008</v>
      </c>
      <c r="H1380" s="22" t="n">
        <v>43292</v>
      </c>
      <c r="I1380" s="22" t="n">
        <v>50000</v>
      </c>
      <c r="J1380" s="20" t="inlineStr">
        <is>
          <t>Cresco cars</t>
        </is>
      </c>
      <c r="K1380" s="20" t="inlineStr">
        <is>
          <t>Non-Captive</t>
        </is>
      </c>
      <c r="L1380" s="20" t="inlineStr">
        <is>
          <t>aasim motor</t>
        </is>
      </c>
      <c r="M1380" s="23" t="n">
        <v>4661.02</v>
      </c>
    </row>
    <row r="1381">
      <c r="A1381" s="19" t="inlineStr">
        <is>
          <t>FY27</t>
        </is>
      </c>
      <c r="B1381" s="19" t="inlineStr">
        <is>
          <t>May</t>
        </is>
      </c>
      <c r="C1381" s="19" t="inlineStr">
        <is>
          <t>TN</t>
        </is>
      </c>
      <c r="D1381" s="20" t="inlineStr">
        <is>
          <t>TN02V3376</t>
        </is>
      </c>
      <c r="E1381" s="20" t="inlineStr">
        <is>
          <t>HONDA</t>
        </is>
      </c>
      <c r="F1381" s="20" t="inlineStr">
        <is>
          <t>nan</t>
        </is>
      </c>
      <c r="G1381" s="21" t="n">
        <v>2005</v>
      </c>
      <c r="H1381" s="22" t="n">
        <v>114290</v>
      </c>
      <c r="I1381" s="22" t="n">
        <v>50000</v>
      </c>
      <c r="J1381" s="20" t="inlineStr">
        <is>
          <t>STEER AUTO TECHNOLOGIES PRIVATE LIMITED</t>
        </is>
      </c>
      <c r="K1381" s="20" t="inlineStr">
        <is>
          <t>Non-Captive</t>
        </is>
      </c>
      <c r="L1381" s="20" t="inlineStr">
        <is>
          <t>S2 Cars</t>
        </is>
      </c>
      <c r="M1381" s="23" t="n">
        <v>2542.37</v>
      </c>
    </row>
    <row r="1382">
      <c r="A1382" s="19" t="inlineStr">
        <is>
          <t>FY27</t>
        </is>
      </c>
      <c r="B1382" s="19" t="inlineStr">
        <is>
          <t>May</t>
        </is>
      </c>
      <c r="C1382" s="19" t="inlineStr">
        <is>
          <t>TN</t>
        </is>
      </c>
      <c r="D1382" s="20" t="inlineStr">
        <is>
          <t>TN22AA3810</t>
        </is>
      </c>
      <c r="E1382" s="20" t="inlineStr">
        <is>
          <t>MAHINDRA</t>
        </is>
      </c>
      <c r="F1382" s="20" t="inlineStr">
        <is>
          <t>Scorpio</t>
        </is>
      </c>
      <c r="G1382" s="21" t="n">
        <v>2003</v>
      </c>
      <c r="H1382" s="22" t="n">
        <v>183431</v>
      </c>
      <c r="I1382" s="22" t="n">
        <v>50000</v>
      </c>
      <c r="J1382" s="20" t="inlineStr">
        <is>
          <t>STEER AUTO TECHNOLOGIES PRIVATE LIMITED</t>
        </is>
      </c>
      <c r="K1382" s="20" t="inlineStr">
        <is>
          <t>Non-Captive</t>
        </is>
      </c>
      <c r="L1382" s="20" t="inlineStr">
        <is>
          <t>Mahathi Cars</t>
        </is>
      </c>
      <c r="M1382" s="23" t="n">
        <v>4237.29</v>
      </c>
    </row>
    <row r="1383">
      <c r="A1383" s="19" t="inlineStr">
        <is>
          <t>FY27</t>
        </is>
      </c>
      <c r="B1383" s="19" t="inlineStr">
        <is>
          <t>May</t>
        </is>
      </c>
      <c r="C1383" s="19" t="inlineStr">
        <is>
          <t>TN</t>
        </is>
      </c>
      <c r="D1383" s="20" t="inlineStr">
        <is>
          <t>TN33AJ9229</t>
        </is>
      </c>
      <c r="E1383" s="20" t="inlineStr">
        <is>
          <t>TATA</t>
        </is>
      </c>
      <c r="F1383" s="20" t="inlineStr">
        <is>
          <t>Indica</t>
        </is>
      </c>
      <c r="G1383" s="21" t="n">
        <v>2007</v>
      </c>
      <c r="H1383" s="22" t="n">
        <v>202069</v>
      </c>
      <c r="I1383" s="22" t="n">
        <v>50000</v>
      </c>
      <c r="J1383" s="20" t="inlineStr">
        <is>
          <t>THIRIVENI CARS</t>
        </is>
      </c>
      <c r="K1383" s="20" t="inlineStr">
        <is>
          <t>Non-Captive</t>
        </is>
      </c>
      <c r="L1383" s="20" t="inlineStr">
        <is>
          <t>Mahathi Cars</t>
        </is>
      </c>
      <c r="M1383" s="23" t="n">
        <v>4237.29</v>
      </c>
    </row>
    <row r="1384">
      <c r="A1384" s="19" t="inlineStr">
        <is>
          <t>FY27</t>
        </is>
      </c>
      <c r="B1384" s="19" t="inlineStr">
        <is>
          <t>May</t>
        </is>
      </c>
      <c r="C1384" s="19" t="inlineStr">
        <is>
          <t>TN</t>
        </is>
      </c>
      <c r="D1384" s="20" t="inlineStr">
        <is>
          <t>TN30AK1498</t>
        </is>
      </c>
      <c r="E1384" s="20" t="inlineStr">
        <is>
          <t>TATA</t>
        </is>
      </c>
      <c r="F1384" s="20" t="inlineStr">
        <is>
          <t>Indigo</t>
        </is>
      </c>
      <c r="G1384" s="21" t="n">
        <v>2011</v>
      </c>
      <c r="H1384" s="22" t="n">
        <v>99999</v>
      </c>
      <c r="I1384" s="22" t="n">
        <v>50000</v>
      </c>
      <c r="J1384" s="20" t="inlineStr">
        <is>
          <t>THIRIVENI CARS</t>
        </is>
      </c>
      <c r="K1384" s="20" t="inlineStr">
        <is>
          <t>Non-Captive</t>
        </is>
      </c>
      <c r="L1384" s="20" t="inlineStr">
        <is>
          <t>Mahathi Cars</t>
        </is>
      </c>
      <c r="M1384" s="23" t="n">
        <v>4237.29</v>
      </c>
    </row>
    <row r="1385">
      <c r="A1385" s="19" t="inlineStr">
        <is>
          <t>FY27</t>
        </is>
      </c>
      <c r="B1385" s="19" t="inlineStr">
        <is>
          <t>May</t>
        </is>
      </c>
      <c r="C1385" s="19" t="inlineStr">
        <is>
          <t>TN</t>
        </is>
      </c>
      <c r="D1385" s="20" t="inlineStr">
        <is>
          <t>TN01AP2777</t>
        </is>
      </c>
      <c r="E1385" s="20" t="inlineStr">
        <is>
          <t>MARUTI SUZUKI</t>
        </is>
      </c>
      <c r="F1385" s="20" t="inlineStr">
        <is>
          <t>Alto K10</t>
        </is>
      </c>
      <c r="G1385" s="21" t="n">
        <v>2011</v>
      </c>
      <c r="H1385" s="22" t="n">
        <v>0</v>
      </c>
      <c r="I1385" s="22" t="n">
        <v>50000</v>
      </c>
      <c r="J1385" s="20" t="inlineStr">
        <is>
          <t>Suriyakumar</t>
        </is>
      </c>
      <c r="K1385" s="20" t="inlineStr">
        <is>
          <t>Non-Captive</t>
        </is>
      </c>
      <c r="L1385" s="20" t="inlineStr">
        <is>
          <t>Mahathi Cars</t>
        </is>
      </c>
      <c r="M1385" s="23" t="n">
        <v>4237.29</v>
      </c>
    </row>
    <row r="1386">
      <c r="A1386" s="19" t="inlineStr">
        <is>
          <t>FY27</t>
        </is>
      </c>
      <c r="B1386" s="19" t="inlineStr">
        <is>
          <t>May</t>
        </is>
      </c>
      <c r="C1386" s="19" t="inlineStr">
        <is>
          <t>TN</t>
        </is>
      </c>
      <c r="D1386" s="20" t="inlineStr">
        <is>
          <t>TN45AP8961</t>
        </is>
      </c>
      <c r="E1386" s="20" t="inlineStr">
        <is>
          <t>MARUTI SUZUKI</t>
        </is>
      </c>
      <c r="F1386" s="20" t="inlineStr">
        <is>
          <t>Zen</t>
        </is>
      </c>
      <c r="G1386" s="21" t="n">
        <v>2010</v>
      </c>
      <c r="H1386" s="22" t="n">
        <v>57550</v>
      </c>
      <c r="I1386" s="22" t="n">
        <v>60000</v>
      </c>
      <c r="J1386" s="20" t="inlineStr">
        <is>
          <t>STEER AUTO TECHNOLOGIES PRIVATE LIMITED</t>
        </is>
      </c>
      <c r="K1386" s="20" t="inlineStr">
        <is>
          <t>Non-Captive</t>
        </is>
      </c>
      <c r="L1386" s="20" t="inlineStr">
        <is>
          <t>Mahathi Cars</t>
        </is>
      </c>
      <c r="M1386" s="23" t="n">
        <v>5084.75</v>
      </c>
    </row>
    <row r="1387">
      <c r="A1387" s="19" t="inlineStr">
        <is>
          <t>FY27</t>
        </is>
      </c>
      <c r="B1387" s="19" t="inlineStr">
        <is>
          <t>May</t>
        </is>
      </c>
      <c r="C1387" s="19" t="inlineStr">
        <is>
          <t>TN</t>
        </is>
      </c>
      <c r="D1387" s="20" t="inlineStr">
        <is>
          <t>TN10T1134</t>
        </is>
      </c>
      <c r="E1387" s="20" t="inlineStr">
        <is>
          <t>TATA</t>
        </is>
      </c>
      <c r="F1387" s="20" t="inlineStr">
        <is>
          <t>Indica</t>
        </is>
      </c>
      <c r="G1387" s="21" t="n">
        <v>2007</v>
      </c>
      <c r="H1387" s="22" t="n">
        <v>130473</v>
      </c>
      <c r="I1387" s="22" t="n">
        <v>60000</v>
      </c>
      <c r="J1387" s="20" t="inlineStr">
        <is>
          <t>THIRIVENI CARS</t>
        </is>
      </c>
      <c r="K1387" s="20" t="inlineStr">
        <is>
          <t>Non-Captive</t>
        </is>
      </c>
      <c r="L1387" s="20" t="inlineStr">
        <is>
          <t>Nirmal Cars</t>
        </is>
      </c>
      <c r="M1387" s="23" t="n">
        <v>4237.29</v>
      </c>
    </row>
    <row r="1388">
      <c r="A1388" s="19" t="inlineStr">
        <is>
          <t>FY27</t>
        </is>
      </c>
      <c r="B1388" s="19" t="inlineStr">
        <is>
          <t>May</t>
        </is>
      </c>
      <c r="C1388" s="19" t="inlineStr">
        <is>
          <t>TN</t>
        </is>
      </c>
      <c r="D1388" s="20" t="inlineStr">
        <is>
          <t>AP09BB8254</t>
        </is>
      </c>
      <c r="E1388" s="20" t="inlineStr">
        <is>
          <t>MARUTI SUZUKI</t>
        </is>
      </c>
      <c r="F1388" s="20" t="inlineStr">
        <is>
          <t>Zen</t>
        </is>
      </c>
      <c r="G1388" s="21" t="n">
        <v>2006</v>
      </c>
      <c r="H1388" s="22" t="n">
        <v>82714</v>
      </c>
      <c r="I1388" s="22" t="n">
        <v>55000</v>
      </c>
      <c r="J1388" s="20" t="inlineStr">
        <is>
          <t>Harsha</t>
        </is>
      </c>
      <c r="K1388" s="20" t="inlineStr">
        <is>
          <t>Non-Captive</t>
        </is>
      </c>
      <c r="L1388" s="20" t="inlineStr">
        <is>
          <t>Nirmal Cars</t>
        </is>
      </c>
      <c r="M1388" s="23" t="n">
        <v>4237.29</v>
      </c>
    </row>
    <row r="1389">
      <c r="A1389" s="19" t="inlineStr">
        <is>
          <t>FY27</t>
        </is>
      </c>
      <c r="B1389" s="19" t="inlineStr">
        <is>
          <t>May</t>
        </is>
      </c>
      <c r="C1389" s="19" t="inlineStr">
        <is>
          <t>TN</t>
        </is>
      </c>
      <c r="D1389" s="20" t="inlineStr">
        <is>
          <t>TN09AL6078</t>
        </is>
      </c>
      <c r="E1389" s="20" t="inlineStr">
        <is>
          <t>MARUTI SUZUKI</t>
        </is>
      </c>
      <c r="F1389" s="20" t="inlineStr">
        <is>
          <t>Wagon R</t>
        </is>
      </c>
      <c r="G1389" s="21" t="n">
        <v>2005</v>
      </c>
      <c r="H1389" s="22" t="n">
        <v>88448</v>
      </c>
      <c r="I1389" s="22" t="n">
        <v>50000</v>
      </c>
      <c r="J1389" s="20" t="inlineStr">
        <is>
          <t>KSM AUTO CONSULTING</t>
        </is>
      </c>
      <c r="K1389" s="20" t="inlineStr">
        <is>
          <t>Non-Captive</t>
        </is>
      </c>
      <c r="L1389" s="20" t="inlineStr">
        <is>
          <t>Nirmal Cars</t>
        </is>
      </c>
      <c r="M1389" s="23" t="n">
        <v>4237.29</v>
      </c>
    </row>
    <row r="1390">
      <c r="A1390" s="19" t="inlineStr">
        <is>
          <t>FY27</t>
        </is>
      </c>
      <c r="B1390" s="19" t="inlineStr">
        <is>
          <t>May</t>
        </is>
      </c>
      <c r="C1390" s="19" t="inlineStr">
        <is>
          <t>TN</t>
        </is>
      </c>
      <c r="D1390" s="20" t="inlineStr">
        <is>
          <t>TN32D4150</t>
        </is>
      </c>
      <c r="E1390" s="20" t="inlineStr">
        <is>
          <t>MAHINDRA</t>
        </is>
      </c>
      <c r="F1390" s="20" t="inlineStr">
        <is>
          <t>Bolero</t>
        </is>
      </c>
      <c r="G1390" s="21" t="n">
        <v>2007</v>
      </c>
      <c r="H1390" s="22" t="n">
        <v>209404</v>
      </c>
      <c r="I1390" s="22" t="n">
        <v>50000</v>
      </c>
      <c r="J1390" s="20" t="inlineStr">
        <is>
          <t>Khivraj Motor</t>
        </is>
      </c>
      <c r="K1390" s="20" t="inlineStr">
        <is>
          <t>Non-Captive</t>
        </is>
      </c>
      <c r="L1390" s="20" t="inlineStr">
        <is>
          <t>Nirmal Cars</t>
        </is>
      </c>
      <c r="M1390" s="23" t="n">
        <v>4237.29</v>
      </c>
    </row>
    <row r="1391">
      <c r="A1391" s="19" t="inlineStr">
        <is>
          <t>FY27</t>
        </is>
      </c>
      <c r="B1391" s="19" t="inlineStr">
        <is>
          <t>May</t>
        </is>
      </c>
      <c r="C1391" s="19" t="inlineStr">
        <is>
          <t>TN</t>
        </is>
      </c>
      <c r="D1391" s="20" t="inlineStr">
        <is>
          <t>TN09CB8346</t>
        </is>
      </c>
      <c r="E1391" s="20" t="inlineStr">
        <is>
          <t>HYUNDAI</t>
        </is>
      </c>
      <c r="F1391" s="20" t="inlineStr">
        <is>
          <t>Creta</t>
        </is>
      </c>
      <c r="G1391" s="21" t="n">
        <v>2015</v>
      </c>
      <c r="H1391" s="22" t="n">
        <v>150000</v>
      </c>
      <c r="I1391" s="22" t="n">
        <v>50000</v>
      </c>
      <c r="J1391" s="20" t="inlineStr">
        <is>
          <t>Suriyakumar</t>
        </is>
      </c>
      <c r="K1391" s="20" t="inlineStr">
        <is>
          <t>Non-Captive</t>
        </is>
      </c>
      <c r="L1391" s="20" t="inlineStr">
        <is>
          <t>Shree Shan Motor</t>
        </is>
      </c>
      <c r="M1391" s="23" t="n">
        <v>3389.83</v>
      </c>
    </row>
    <row r="1392">
      <c r="A1392" s="19" t="inlineStr">
        <is>
          <t>FY27</t>
        </is>
      </c>
      <c r="B1392" s="19" t="inlineStr">
        <is>
          <t>May</t>
        </is>
      </c>
      <c r="C1392" s="19" t="inlineStr">
        <is>
          <t>TN</t>
        </is>
      </c>
      <c r="D1392" s="20" t="inlineStr">
        <is>
          <t>TN01AA5423</t>
        </is>
      </c>
      <c r="E1392" s="20" t="inlineStr">
        <is>
          <t>MARUTI SUZUKI</t>
        </is>
      </c>
      <c r="F1392" s="20" t="inlineStr">
        <is>
          <t>Swift</t>
        </is>
      </c>
      <c r="G1392" s="21" t="n">
        <v>2006</v>
      </c>
      <c r="H1392" s="22" t="n">
        <v>114761</v>
      </c>
      <c r="I1392" s="22" t="n">
        <v>60000</v>
      </c>
      <c r="J1392" s="20" t="inlineStr">
        <is>
          <t>Khivraj Motor</t>
        </is>
      </c>
      <c r="K1392" s="20" t="inlineStr">
        <is>
          <t>Non-Captive</t>
        </is>
      </c>
      <c r="L1392" s="20" t="inlineStr">
        <is>
          <t>Shree Shan Motor</t>
        </is>
      </c>
      <c r="M1392" s="23" t="n">
        <v>3389.83</v>
      </c>
    </row>
    <row r="1393">
      <c r="A1393" s="19" t="inlineStr">
        <is>
          <t>FY27</t>
        </is>
      </c>
      <c r="B1393" s="19" t="inlineStr">
        <is>
          <t>May</t>
        </is>
      </c>
      <c r="C1393" s="19" t="inlineStr">
        <is>
          <t>TN</t>
        </is>
      </c>
      <c r="D1393" s="20" t="inlineStr">
        <is>
          <t>TN52Y8302</t>
        </is>
      </c>
      <c r="E1393" s="20" t="inlineStr">
        <is>
          <t>TATA</t>
        </is>
      </c>
      <c r="F1393" s="20" t="inlineStr">
        <is>
          <t>Indica</t>
        </is>
      </c>
      <c r="G1393" s="21" t="n">
        <v>2010</v>
      </c>
      <c r="H1393" s="22" t="n">
        <v>152241</v>
      </c>
      <c r="I1393" s="22" t="n">
        <v>90000</v>
      </c>
      <c r="J1393" s="20" t="inlineStr">
        <is>
          <t>THIRIVENI CARS</t>
        </is>
      </c>
      <c r="K1393" s="20" t="inlineStr">
        <is>
          <t>Non-Captive</t>
        </is>
      </c>
      <c r="L1393" s="20" t="inlineStr">
        <is>
          <t>Shree Shan Motor</t>
        </is>
      </c>
      <c r="M1393" s="23" t="n">
        <v>3389.83</v>
      </c>
    </row>
    <row r="1394">
      <c r="A1394" s="19" t="inlineStr">
        <is>
          <t>FY27</t>
        </is>
      </c>
      <c r="B1394" s="19" t="inlineStr">
        <is>
          <t>May</t>
        </is>
      </c>
      <c r="C1394" s="19" t="inlineStr">
        <is>
          <t>TN</t>
        </is>
      </c>
      <c r="D1394" s="20" t="inlineStr">
        <is>
          <t>TN03H7888</t>
        </is>
      </c>
      <c r="E1394" s="20" t="inlineStr">
        <is>
          <t>CHEVROLET</t>
        </is>
      </c>
      <c r="F1394" s="20" t="inlineStr">
        <is>
          <t>Beat</t>
        </is>
      </c>
      <c r="G1394" s="21" t="n">
        <v>2012</v>
      </c>
      <c r="H1394" s="22" t="n">
        <v>117991</v>
      </c>
      <c r="I1394" s="22" t="n">
        <v>60000</v>
      </c>
      <c r="J1394" s="20" t="inlineStr">
        <is>
          <t>Khivraj Motor</t>
        </is>
      </c>
      <c r="K1394" s="20" t="inlineStr">
        <is>
          <t>Non-Captive</t>
        </is>
      </c>
      <c r="L1394" s="20" t="inlineStr">
        <is>
          <t>Shree Shan Motor</t>
        </is>
      </c>
      <c r="M1394" s="23" t="n">
        <v>3389.83</v>
      </c>
    </row>
    <row r="1395">
      <c r="A1395" s="19" t="inlineStr">
        <is>
          <t>FY27</t>
        </is>
      </c>
      <c r="B1395" s="19" t="inlineStr">
        <is>
          <t>May</t>
        </is>
      </c>
      <c r="C1395" s="19" t="inlineStr">
        <is>
          <t>TN</t>
        </is>
      </c>
      <c r="D1395" s="20" t="inlineStr">
        <is>
          <t>TN82P2907</t>
        </is>
      </c>
      <c r="E1395" s="20" t="inlineStr">
        <is>
          <t>TOYOTA</t>
        </is>
      </c>
      <c r="F1395" s="20" t="inlineStr">
        <is>
          <t>Crysta</t>
        </is>
      </c>
      <c r="G1395" s="21" t="n">
        <v>2023</v>
      </c>
      <c r="H1395" s="22" t="n">
        <v>20352</v>
      </c>
      <c r="I1395" s="22" t="n">
        <v>60000</v>
      </c>
      <c r="J1395" s="20" t="inlineStr">
        <is>
          <t>Suriyakumar</t>
        </is>
      </c>
      <c r="K1395" s="20" t="inlineStr">
        <is>
          <t>Non-Captive</t>
        </is>
      </c>
      <c r="L1395" s="20" t="inlineStr">
        <is>
          <t>Shree Shan Motor</t>
        </is>
      </c>
      <c r="M1395" s="23" t="n">
        <v>3389.83</v>
      </c>
    </row>
    <row r="1396">
      <c r="A1396" s="19" t="inlineStr">
        <is>
          <t>FY27</t>
        </is>
      </c>
      <c r="B1396" s="19" t="inlineStr">
        <is>
          <t>May</t>
        </is>
      </c>
      <c r="C1396" s="19" t="inlineStr">
        <is>
          <t>TN</t>
        </is>
      </c>
      <c r="D1396" s="20" t="inlineStr">
        <is>
          <t>TN05AC4234</t>
        </is>
      </c>
      <c r="E1396" s="20" t="inlineStr">
        <is>
          <t>CHEVROLET</t>
        </is>
      </c>
      <c r="F1396" s="20" t="inlineStr">
        <is>
          <t>Spark</t>
        </is>
      </c>
      <c r="G1396" s="21" t="n">
        <v>2009</v>
      </c>
      <c r="H1396" s="22" t="n">
        <v>75030</v>
      </c>
      <c r="I1396" s="22" t="n">
        <v>65000</v>
      </c>
      <c r="J1396" s="20" t="inlineStr">
        <is>
          <t>Shree Thiya cars</t>
        </is>
      </c>
      <c r="K1396" s="20" t="inlineStr">
        <is>
          <t>Non-Captive</t>
        </is>
      </c>
      <c r="L1396" s="20" t="inlineStr">
        <is>
          <t>Shree Shan Motor</t>
        </is>
      </c>
      <c r="M1396" s="23" t="n">
        <v>3389.83</v>
      </c>
    </row>
    <row r="1397">
      <c r="A1397" s="19" t="inlineStr">
        <is>
          <t>FY27</t>
        </is>
      </c>
      <c r="B1397" s="19" t="inlineStr">
        <is>
          <t>May</t>
        </is>
      </c>
      <c r="C1397" s="19" t="inlineStr">
        <is>
          <t>TN</t>
        </is>
      </c>
      <c r="D1397" s="20" t="inlineStr">
        <is>
          <t>TN02AE7660</t>
        </is>
      </c>
      <c r="E1397" s="20" t="inlineStr">
        <is>
          <t>HYUNDAI</t>
        </is>
      </c>
      <c r="F1397" s="20" t="inlineStr">
        <is>
          <t>Santro</t>
        </is>
      </c>
      <c r="G1397" s="21" t="n">
        <v>2008</v>
      </c>
      <c r="H1397" s="22" t="n">
        <v>23304</v>
      </c>
      <c r="I1397" s="22" t="n">
        <v>65000</v>
      </c>
      <c r="J1397" s="20" t="inlineStr">
        <is>
          <t>Khivraj Motor</t>
        </is>
      </c>
      <c r="K1397" s="20" t="inlineStr">
        <is>
          <t>Non-Captive</t>
        </is>
      </c>
      <c r="L1397" s="20" t="inlineStr">
        <is>
          <t>Shree Shan Motor</t>
        </is>
      </c>
      <c r="M1397" s="23" t="n">
        <v>3389.83</v>
      </c>
    </row>
    <row r="1398">
      <c r="A1398" s="19" t="inlineStr">
        <is>
          <t>FY27</t>
        </is>
      </c>
      <c r="B1398" s="19" t="inlineStr">
        <is>
          <t>May</t>
        </is>
      </c>
      <c r="C1398" s="19" t="inlineStr">
        <is>
          <t>TN</t>
        </is>
      </c>
      <c r="D1398" s="20" t="inlineStr">
        <is>
          <t>TN32AC7779</t>
        </is>
      </c>
      <c r="E1398" s="20" t="inlineStr">
        <is>
          <t>TATA</t>
        </is>
      </c>
      <c r="F1398" s="20" t="inlineStr">
        <is>
          <t>Indigo</t>
        </is>
      </c>
      <c r="G1398" s="21" t="n">
        <v>2011</v>
      </c>
      <c r="H1398" s="22" t="n">
        <v>170205</v>
      </c>
      <c r="I1398" s="22" t="n">
        <v>80000</v>
      </c>
      <c r="J1398" s="20" t="inlineStr">
        <is>
          <t>THIRIVENI CARS</t>
        </is>
      </c>
      <c r="K1398" s="20" t="inlineStr">
        <is>
          <t>Non-Captive</t>
        </is>
      </c>
      <c r="L1398" s="20" t="inlineStr">
        <is>
          <t>Shree Shan Motor</t>
        </is>
      </c>
      <c r="M1398" s="23" t="n">
        <v>5084.75</v>
      </c>
    </row>
    <row r="1399">
      <c r="A1399" s="19" t="inlineStr">
        <is>
          <t>FY27</t>
        </is>
      </c>
      <c r="B1399" s="19" t="inlineStr">
        <is>
          <t>May</t>
        </is>
      </c>
      <c r="C1399" s="19" t="inlineStr">
        <is>
          <t>TN</t>
        </is>
      </c>
      <c r="D1399" s="20" t="inlineStr">
        <is>
          <t>TN18E1831</t>
        </is>
      </c>
      <c r="E1399" s="20" t="inlineStr">
        <is>
          <t>CHEVROLET</t>
        </is>
      </c>
      <c r="F1399" s="20" t="inlineStr">
        <is>
          <t>Spark</t>
        </is>
      </c>
      <c r="G1399" s="21" t="n">
        <v>2010</v>
      </c>
      <c r="H1399" s="22" t="n">
        <v>20072</v>
      </c>
      <c r="I1399" s="22" t="n">
        <v>80000</v>
      </c>
      <c r="J1399" s="20" t="inlineStr">
        <is>
          <t>Cresco cars</t>
        </is>
      </c>
      <c r="K1399" s="20" t="inlineStr">
        <is>
          <t>Non-Captive</t>
        </is>
      </c>
      <c r="L1399" s="20" t="inlineStr">
        <is>
          <t>Shree Shan Motor</t>
        </is>
      </c>
      <c r="M1399" s="23" t="n">
        <v>5084.75</v>
      </c>
    </row>
    <row r="1400">
      <c r="A1400" s="19" t="inlineStr">
        <is>
          <t>FY27</t>
        </is>
      </c>
      <c r="B1400" s="19" t="inlineStr">
        <is>
          <t>May</t>
        </is>
      </c>
      <c r="C1400" s="19" t="inlineStr">
        <is>
          <t>TN</t>
        </is>
      </c>
      <c r="D1400" s="20" t="inlineStr">
        <is>
          <t>TN01AK7291</t>
        </is>
      </c>
      <c r="E1400" s="20" t="inlineStr">
        <is>
          <t>HYUNDAI</t>
        </is>
      </c>
      <c r="F1400" s="20" t="inlineStr">
        <is>
          <t>Verna</t>
        </is>
      </c>
      <c r="G1400" s="21" t="n">
        <v>2010</v>
      </c>
      <c r="H1400" s="22" t="n">
        <v>69519</v>
      </c>
      <c r="I1400" s="22" t="n">
        <v>70000</v>
      </c>
      <c r="J1400" s="20" t="inlineStr">
        <is>
          <t>Khivraj Motor</t>
        </is>
      </c>
      <c r="K1400" s="20" t="inlineStr">
        <is>
          <t>Non-Captive</t>
        </is>
      </c>
      <c r="L1400" s="20" t="inlineStr">
        <is>
          <t>Grid 33</t>
        </is>
      </c>
      <c r="M1400" s="23" t="n">
        <v>4237.29</v>
      </c>
    </row>
    <row r="1401">
      <c r="A1401" s="19" t="inlineStr">
        <is>
          <t>FY27</t>
        </is>
      </c>
      <c r="B1401" s="19" t="inlineStr">
        <is>
          <t>May</t>
        </is>
      </c>
      <c r="C1401" s="19" t="inlineStr">
        <is>
          <t>TN</t>
        </is>
      </c>
      <c r="D1401" s="20" t="inlineStr">
        <is>
          <t>TN02AR3280</t>
        </is>
      </c>
      <c r="E1401" s="20" t="inlineStr">
        <is>
          <t>MARUTI SUZUKI</t>
        </is>
      </c>
      <c r="F1401" s="20" t="inlineStr">
        <is>
          <t>Ritz</t>
        </is>
      </c>
      <c r="G1401" s="21" t="n">
        <v>2011</v>
      </c>
      <c r="H1401" s="22" t="n">
        <v>68686</v>
      </c>
      <c r="I1401" s="22" t="n">
        <v>75000</v>
      </c>
      <c r="J1401" s="20" t="inlineStr">
        <is>
          <t>Khivraj Motor</t>
        </is>
      </c>
      <c r="K1401" s="20" t="inlineStr">
        <is>
          <t>Non-Captive</t>
        </is>
      </c>
      <c r="L1401" s="20" t="inlineStr">
        <is>
          <t>Grid 33</t>
        </is>
      </c>
      <c r="M1401" s="23" t="n">
        <v>4237.29</v>
      </c>
    </row>
    <row r="1402">
      <c r="A1402" s="19" t="inlineStr">
        <is>
          <t>FY27</t>
        </is>
      </c>
      <c r="B1402" s="19" t="inlineStr">
        <is>
          <t>May</t>
        </is>
      </c>
      <c r="C1402" s="19" t="inlineStr">
        <is>
          <t>TN</t>
        </is>
      </c>
      <c r="D1402" s="20" t="inlineStr">
        <is>
          <t>TN22CD9748</t>
        </is>
      </c>
      <c r="E1402" s="20" t="inlineStr">
        <is>
          <t>CHEVROLET</t>
        </is>
      </c>
      <c r="F1402" s="20" t="inlineStr">
        <is>
          <t>Beat</t>
        </is>
      </c>
      <c r="G1402" s="21" t="n">
        <v>2012</v>
      </c>
      <c r="H1402" s="22" t="n">
        <v>164761</v>
      </c>
      <c r="I1402" s="22" t="n">
        <v>80000</v>
      </c>
      <c r="J1402" s="20" t="inlineStr">
        <is>
          <t>Indus</t>
        </is>
      </c>
      <c r="K1402" s="20" t="inlineStr">
        <is>
          <t>Non-Captive</t>
        </is>
      </c>
      <c r="L1402" s="20" t="inlineStr">
        <is>
          <t>Grid 33</t>
        </is>
      </c>
      <c r="M1402" s="23" t="n">
        <v>4237.29</v>
      </c>
    </row>
    <row r="1403">
      <c r="A1403" s="19" t="inlineStr">
        <is>
          <t>FY27</t>
        </is>
      </c>
      <c r="B1403" s="19" t="inlineStr">
        <is>
          <t>May</t>
        </is>
      </c>
      <c r="C1403" s="19" t="inlineStr">
        <is>
          <t>TN</t>
        </is>
      </c>
      <c r="D1403" s="20" t="inlineStr">
        <is>
          <t>TN06D7607</t>
        </is>
      </c>
      <c r="E1403" s="20" t="inlineStr">
        <is>
          <t>MARUTI SUZUKI</t>
        </is>
      </c>
      <c r="F1403" s="20" t="inlineStr">
        <is>
          <t>Alto K10</t>
        </is>
      </c>
      <c r="G1403" s="21" t="n">
        <v>2011</v>
      </c>
      <c r="H1403" s="22" t="n">
        <v>75326</v>
      </c>
      <c r="I1403" s="22" t="n">
        <v>75000</v>
      </c>
      <c r="J1403" s="20" t="inlineStr">
        <is>
          <t>Khivraj Motor</t>
        </is>
      </c>
      <c r="K1403" s="20" t="inlineStr">
        <is>
          <t>Non-Captive</t>
        </is>
      </c>
      <c r="L1403" s="20" t="inlineStr">
        <is>
          <t>Grid 33</t>
        </is>
      </c>
      <c r="M1403" s="23" t="n">
        <v>4237.29</v>
      </c>
    </row>
    <row r="1404">
      <c r="A1404" s="19" t="inlineStr">
        <is>
          <t>FY27</t>
        </is>
      </c>
      <c r="B1404" s="19" t="inlineStr">
        <is>
          <t>May</t>
        </is>
      </c>
      <c r="C1404" s="19" t="inlineStr">
        <is>
          <t>TN</t>
        </is>
      </c>
      <c r="D1404" s="20" t="inlineStr">
        <is>
          <t>TN07AL2017</t>
        </is>
      </c>
      <c r="E1404" s="20" t="inlineStr">
        <is>
          <t>HYUNDAI</t>
        </is>
      </c>
      <c r="F1404" s="20" t="inlineStr">
        <is>
          <t>Santro</t>
        </is>
      </c>
      <c r="G1404" s="21" t="n">
        <v>2007</v>
      </c>
      <c r="H1404" s="22" t="n">
        <v>136031</v>
      </c>
      <c r="I1404" s="22" t="n">
        <v>90000</v>
      </c>
      <c r="J1404" s="20" t="inlineStr">
        <is>
          <t>Khivraj Motor</t>
        </is>
      </c>
      <c r="K1404" s="20" t="inlineStr">
        <is>
          <t>Non-Captive</t>
        </is>
      </c>
      <c r="L1404" s="20" t="inlineStr">
        <is>
          <t>Grid 33</t>
        </is>
      </c>
      <c r="M1404" s="23" t="n">
        <v>4237.29</v>
      </c>
    </row>
    <row r="1405">
      <c r="A1405" s="19" t="inlineStr">
        <is>
          <t>FY27</t>
        </is>
      </c>
      <c r="B1405" s="19" t="inlineStr">
        <is>
          <t>May</t>
        </is>
      </c>
      <c r="C1405" s="19" t="inlineStr">
        <is>
          <t>TN</t>
        </is>
      </c>
      <c r="D1405" s="20" t="inlineStr">
        <is>
          <t>TN06E7256</t>
        </is>
      </c>
      <c r="E1405" s="20" t="inlineStr">
        <is>
          <t>CHEVROLET</t>
        </is>
      </c>
      <c r="F1405" s="20" t="inlineStr">
        <is>
          <t>Beat</t>
        </is>
      </c>
      <c r="G1405" s="21" t="n">
        <v>2011</v>
      </c>
      <c r="H1405" s="22" t="n">
        <v>60100</v>
      </c>
      <c r="I1405" s="22" t="n">
        <v>80000</v>
      </c>
      <c r="J1405" s="20" t="inlineStr">
        <is>
          <t>PRODUCTIVITY ELEMENTS PRIVATE LIMITED</t>
        </is>
      </c>
      <c r="K1405" s="20" t="inlineStr">
        <is>
          <t>Non-Captive</t>
        </is>
      </c>
      <c r="L1405" s="20" t="inlineStr">
        <is>
          <t>Grid 33</t>
        </is>
      </c>
      <c r="M1405" s="23" t="n">
        <v>4237.29</v>
      </c>
    </row>
    <row r="1406">
      <c r="A1406" s="19" t="inlineStr">
        <is>
          <t>FY27</t>
        </is>
      </c>
      <c r="B1406" s="19" t="inlineStr">
        <is>
          <t>May</t>
        </is>
      </c>
      <c r="C1406" s="19" t="inlineStr">
        <is>
          <t>TN</t>
        </is>
      </c>
      <c r="D1406" s="20" t="inlineStr">
        <is>
          <t>TN01AE2144</t>
        </is>
      </c>
      <c r="E1406" s="20" t="inlineStr">
        <is>
          <t>FORD</t>
        </is>
      </c>
      <c r="F1406" s="20" t="inlineStr">
        <is>
          <t>Figo</t>
        </is>
      </c>
      <c r="G1406" s="21" t="n">
        <v>2007</v>
      </c>
      <c r="H1406" s="22" t="n">
        <v>99999</v>
      </c>
      <c r="I1406" s="22" t="n">
        <v>80000</v>
      </c>
      <c r="J1406" s="20" t="inlineStr">
        <is>
          <t>POPULAR VEHICLES AND SERVICES LIMITED</t>
        </is>
      </c>
      <c r="K1406" s="20" t="inlineStr">
        <is>
          <t>Non-Captive</t>
        </is>
      </c>
      <c r="L1406" s="20" t="inlineStr">
        <is>
          <t>Grid 33</t>
        </is>
      </c>
      <c r="M1406" s="23" t="n">
        <v>4237.29</v>
      </c>
    </row>
    <row r="1407">
      <c r="A1407" s="19" t="inlineStr">
        <is>
          <t>FY27</t>
        </is>
      </c>
      <c r="B1407" s="19" t="inlineStr">
        <is>
          <t>May</t>
        </is>
      </c>
      <c r="C1407" s="19" t="inlineStr">
        <is>
          <t>TN</t>
        </is>
      </c>
      <c r="D1407" s="20" t="inlineStr">
        <is>
          <t>TN37BA6896</t>
        </is>
      </c>
      <c r="E1407" s="20" t="inlineStr">
        <is>
          <t>MARUTI SUZUKI</t>
        </is>
      </c>
      <c r="F1407" s="20" t="inlineStr">
        <is>
          <t>Alto</t>
        </is>
      </c>
      <c r="G1407" s="21" t="n">
        <v>2008</v>
      </c>
      <c r="H1407" s="22" t="n">
        <v>26478</v>
      </c>
      <c r="I1407" s="22" t="n">
        <v>80000</v>
      </c>
      <c r="J1407" s="20" t="inlineStr">
        <is>
          <t>Indus</t>
        </is>
      </c>
      <c r="K1407" s="20" t="inlineStr">
        <is>
          <t>Non-Captive</t>
        </is>
      </c>
      <c r="L1407" s="20" t="inlineStr">
        <is>
          <t>Grid 33</t>
        </is>
      </c>
      <c r="M1407" s="23" t="n">
        <v>4237.29</v>
      </c>
    </row>
    <row r="1408">
      <c r="A1408" s="19" t="inlineStr">
        <is>
          <t>FY27</t>
        </is>
      </c>
      <c r="B1408" s="19" t="inlineStr">
        <is>
          <t>May</t>
        </is>
      </c>
      <c r="C1408" s="19" t="inlineStr">
        <is>
          <t>TN</t>
        </is>
      </c>
      <c r="D1408" s="20" t="inlineStr">
        <is>
          <t>TN10X4183</t>
        </is>
      </c>
      <c r="E1408" s="20" t="inlineStr">
        <is>
          <t>MARUTI SUZUKI</t>
        </is>
      </c>
      <c r="F1408" s="20" t="inlineStr">
        <is>
          <t>Alto</t>
        </is>
      </c>
      <c r="G1408" s="21" t="n">
        <v>2009</v>
      </c>
      <c r="H1408" s="22" t="n">
        <v>72145</v>
      </c>
      <c r="I1408" s="22" t="n">
        <v>80000</v>
      </c>
      <c r="J1408" s="20" t="inlineStr">
        <is>
          <t>AIE CARS PRIVATE LIMITED</t>
        </is>
      </c>
      <c r="K1408" s="20" t="inlineStr">
        <is>
          <t>Non-Captive</t>
        </is>
      </c>
      <c r="L1408" s="20" t="inlineStr">
        <is>
          <t>Grid 33</t>
        </is>
      </c>
      <c r="M1408" s="23" t="n">
        <v>4237.29</v>
      </c>
    </row>
    <row r="1409">
      <c r="A1409" s="19" t="inlineStr">
        <is>
          <t>FY27</t>
        </is>
      </c>
      <c r="B1409" s="19" t="inlineStr">
        <is>
          <t>May</t>
        </is>
      </c>
      <c r="C1409" s="19" t="inlineStr">
        <is>
          <t>TN</t>
        </is>
      </c>
      <c r="D1409" s="20" t="inlineStr">
        <is>
          <t>TN09AZ0565</t>
        </is>
      </c>
      <c r="E1409" s="20" t="inlineStr">
        <is>
          <t>MARUTI SUZUKI</t>
        </is>
      </c>
      <c r="F1409" s="20" t="inlineStr">
        <is>
          <t>Alto</t>
        </is>
      </c>
      <c r="G1409" s="21" t="n">
        <v>2008</v>
      </c>
      <c r="H1409" s="22" t="n">
        <v>66711</v>
      </c>
      <c r="I1409" s="22" t="n">
        <v>75001</v>
      </c>
      <c r="J1409" s="20" t="inlineStr">
        <is>
          <t>Cresco cars</t>
        </is>
      </c>
      <c r="K1409" s="20" t="inlineStr">
        <is>
          <t>Non-Captive</t>
        </is>
      </c>
      <c r="L1409" s="20" t="inlineStr">
        <is>
          <t>Grid 33</t>
        </is>
      </c>
      <c r="M1409" s="23" t="n">
        <v>4237.29</v>
      </c>
    </row>
    <row r="1410">
      <c r="A1410" s="19" t="inlineStr">
        <is>
          <t>FY27</t>
        </is>
      </c>
      <c r="B1410" s="19" t="inlineStr">
        <is>
          <t>May</t>
        </is>
      </c>
      <c r="C1410" s="19" t="inlineStr">
        <is>
          <t>TN</t>
        </is>
      </c>
      <c r="D1410" s="20" t="inlineStr">
        <is>
          <t>TN09BK0211</t>
        </is>
      </c>
      <c r="E1410" s="20" t="inlineStr">
        <is>
          <t>HYUNDAI</t>
        </is>
      </c>
      <c r="F1410" s="20" t="inlineStr">
        <is>
          <t>I10</t>
        </is>
      </c>
      <c r="G1410" s="21" t="n">
        <v>2011</v>
      </c>
      <c r="H1410" s="22" t="n">
        <v>62218</v>
      </c>
      <c r="I1410" s="22" t="n">
        <v>80000</v>
      </c>
      <c r="J1410" s="20" t="inlineStr">
        <is>
          <t>Khivraj Motor</t>
        </is>
      </c>
      <c r="K1410" s="20" t="inlineStr">
        <is>
          <t>Non-Captive</t>
        </is>
      </c>
      <c r="L1410" s="20" t="inlineStr">
        <is>
          <t>Grid 33</t>
        </is>
      </c>
      <c r="M1410" s="23" t="n">
        <v>4237.29</v>
      </c>
    </row>
    <row r="1411">
      <c r="A1411" s="19" t="inlineStr">
        <is>
          <t>FY27</t>
        </is>
      </c>
      <c r="B1411" s="19" t="inlineStr">
        <is>
          <t>May</t>
        </is>
      </c>
      <c r="C1411" s="19" t="inlineStr">
        <is>
          <t>TN</t>
        </is>
      </c>
      <c r="D1411" s="20" t="inlineStr">
        <is>
          <t>TN11A9309</t>
        </is>
      </c>
      <c r="E1411" s="20" t="inlineStr">
        <is>
          <t>MARUTI SUZUKI</t>
        </is>
      </c>
      <c r="F1411" s="20" t="inlineStr">
        <is>
          <t>Ritz</t>
        </is>
      </c>
      <c r="G1411" s="21" t="n">
        <v>2010</v>
      </c>
      <c r="H1411" s="22" t="n">
        <v>15488</v>
      </c>
      <c r="I1411" s="22" t="n">
        <v>80000</v>
      </c>
      <c r="J1411" s="20" t="inlineStr">
        <is>
          <t>Khivraj Motor</t>
        </is>
      </c>
      <c r="K1411" s="20" t="inlineStr">
        <is>
          <t>Non-Captive</t>
        </is>
      </c>
      <c r="L1411" s="20" t="inlineStr">
        <is>
          <t>Grid 33</t>
        </is>
      </c>
      <c r="M1411" s="23" t="n">
        <v>4237.29</v>
      </c>
    </row>
    <row r="1412">
      <c r="A1412" s="19" t="inlineStr">
        <is>
          <t>FY27</t>
        </is>
      </c>
      <c r="B1412" s="19" t="inlineStr">
        <is>
          <t>May</t>
        </is>
      </c>
      <c r="C1412" s="19" t="inlineStr">
        <is>
          <t>TN</t>
        </is>
      </c>
      <c r="D1412" s="20" t="inlineStr">
        <is>
          <t>TN10AF0023</t>
        </is>
      </c>
      <c r="E1412" s="20" t="inlineStr">
        <is>
          <t>CHEVROLET</t>
        </is>
      </c>
      <c r="F1412" s="20" t="inlineStr">
        <is>
          <t>Beat</t>
        </is>
      </c>
      <c r="G1412" s="21" t="n">
        <v>2012</v>
      </c>
      <c r="H1412" s="22" t="n">
        <v>68743</v>
      </c>
      <c r="I1412" s="22" t="n">
        <v>80000</v>
      </c>
      <c r="J1412" s="20" t="inlineStr">
        <is>
          <t>CARS INDIA</t>
        </is>
      </c>
      <c r="K1412" s="20" t="inlineStr">
        <is>
          <t>Non-Captive</t>
        </is>
      </c>
      <c r="L1412" s="20" t="inlineStr">
        <is>
          <t>Grid 33</t>
        </is>
      </c>
      <c r="M1412" s="23" t="n">
        <v>5084.75</v>
      </c>
    </row>
    <row r="1413">
      <c r="A1413" s="19" t="inlineStr">
        <is>
          <t>FY27</t>
        </is>
      </c>
      <c r="B1413" s="19" t="inlineStr">
        <is>
          <t>May</t>
        </is>
      </c>
      <c r="C1413" s="19" t="inlineStr">
        <is>
          <t>TN</t>
        </is>
      </c>
      <c r="D1413" s="20" t="inlineStr">
        <is>
          <t>TN09BB7115</t>
        </is>
      </c>
      <c r="E1413" s="20" t="inlineStr">
        <is>
          <t>HYUNDAI</t>
        </is>
      </c>
      <c r="F1413" s="20" t="inlineStr">
        <is>
          <t>Santro</t>
        </is>
      </c>
      <c r="G1413" s="21" t="n">
        <v>2009</v>
      </c>
      <c r="H1413" s="22" t="n">
        <v>49036</v>
      </c>
      <c r="I1413" s="22" t="n">
        <v>90000</v>
      </c>
      <c r="J1413" s="20" t="inlineStr">
        <is>
          <t>Khivraj Motor</t>
        </is>
      </c>
      <c r="K1413" s="20" t="inlineStr">
        <is>
          <t>Non-Captive</t>
        </is>
      </c>
      <c r="L1413" s="20" t="inlineStr">
        <is>
          <t>Grid 33</t>
        </is>
      </c>
      <c r="M1413" s="23" t="n">
        <v>5084.75</v>
      </c>
    </row>
    <row r="1414">
      <c r="A1414" s="19" t="inlineStr">
        <is>
          <t>FY27</t>
        </is>
      </c>
      <c r="B1414" s="19" t="inlineStr">
        <is>
          <t>May</t>
        </is>
      </c>
      <c r="C1414" s="19" t="inlineStr">
        <is>
          <t>TN</t>
        </is>
      </c>
      <c r="D1414" s="20" t="inlineStr">
        <is>
          <t>TN07BF1229</t>
        </is>
      </c>
      <c r="E1414" s="20" t="inlineStr">
        <is>
          <t>MARUTI SUZUKI</t>
        </is>
      </c>
      <c r="F1414" s="20" t="inlineStr">
        <is>
          <t>A-Star</t>
        </is>
      </c>
      <c r="G1414" s="21" t="n">
        <v>2010</v>
      </c>
      <c r="H1414" s="22" t="n">
        <v>50387</v>
      </c>
      <c r="I1414" s="22" t="n">
        <v>100000</v>
      </c>
      <c r="J1414" s="20" t="inlineStr">
        <is>
          <t>SVM CARS PRIVATE LIMITED</t>
        </is>
      </c>
      <c r="K1414" s="20" t="inlineStr">
        <is>
          <t>Non-Captive</t>
        </is>
      </c>
      <c r="L1414" s="20" t="inlineStr">
        <is>
          <t>Grid 33</t>
        </is>
      </c>
      <c r="M1414" s="23" t="n">
        <v>5084.75</v>
      </c>
    </row>
    <row r="1415">
      <c r="A1415" s="19" t="inlineStr">
        <is>
          <t>FY27</t>
        </is>
      </c>
      <c r="B1415" s="19" t="inlineStr">
        <is>
          <t>May</t>
        </is>
      </c>
      <c r="C1415" s="19" t="inlineStr">
        <is>
          <t>TN</t>
        </is>
      </c>
      <c r="D1415" s="20" t="inlineStr">
        <is>
          <t>TN22AY6925</t>
        </is>
      </c>
      <c r="E1415" s="20" t="inlineStr">
        <is>
          <t>MARUTI SUZUKI</t>
        </is>
      </c>
      <c r="F1415" s="20" t="inlineStr">
        <is>
          <t>Swift</t>
        </is>
      </c>
      <c r="G1415" s="21" t="n">
        <v>2007</v>
      </c>
      <c r="H1415" s="22" t="n">
        <v>126340</v>
      </c>
      <c r="I1415" s="22" t="n">
        <v>100000</v>
      </c>
      <c r="J1415" s="20" t="inlineStr">
        <is>
          <t>Khivraj Motor</t>
        </is>
      </c>
      <c r="K1415" s="20" t="inlineStr">
        <is>
          <t>Non-Captive</t>
        </is>
      </c>
      <c r="L1415" s="20" t="inlineStr">
        <is>
          <t>Grid 33</t>
        </is>
      </c>
      <c r="M1415" s="23" t="n">
        <v>5084.75</v>
      </c>
    </row>
    <row r="1416">
      <c r="A1416" s="19" t="inlineStr">
        <is>
          <t>FY27</t>
        </is>
      </c>
      <c r="B1416" s="19" t="inlineStr">
        <is>
          <t>May</t>
        </is>
      </c>
      <c r="C1416" s="19" t="inlineStr">
        <is>
          <t>TN</t>
        </is>
      </c>
      <c r="D1416" s="20" t="inlineStr">
        <is>
          <t>TN10AD7706</t>
        </is>
      </c>
      <c r="E1416" s="20" t="inlineStr">
        <is>
          <t>MARUTI SUZUKI</t>
        </is>
      </c>
      <c r="F1416" s="20" t="inlineStr">
        <is>
          <t>Zen Estilo</t>
        </is>
      </c>
      <c r="G1416" s="21" t="n">
        <v>2011</v>
      </c>
      <c r="H1416" s="22" t="n">
        <v>135108</v>
      </c>
      <c r="I1416" s="22" t="n">
        <v>100000</v>
      </c>
      <c r="J1416" s="20" t="inlineStr">
        <is>
          <t>Khivraj Motor</t>
        </is>
      </c>
      <c r="K1416" s="20" t="inlineStr">
        <is>
          <t>Non-Captive</t>
        </is>
      </c>
      <c r="L1416" s="20" t="inlineStr">
        <is>
          <t>Grid 33</t>
        </is>
      </c>
      <c r="M1416" s="23" t="n">
        <v>5084.75</v>
      </c>
    </row>
    <row r="1417">
      <c r="A1417" s="19" t="inlineStr">
        <is>
          <t>FY27</t>
        </is>
      </c>
      <c r="B1417" s="19" t="inlineStr">
        <is>
          <t>May</t>
        </is>
      </c>
      <c r="C1417" s="19" t="inlineStr">
        <is>
          <t>TN</t>
        </is>
      </c>
      <c r="D1417" s="20" t="inlineStr">
        <is>
          <t>TN52Y5371</t>
        </is>
      </c>
      <c r="E1417" s="20" t="inlineStr">
        <is>
          <t>MARUTI SUZUKI</t>
        </is>
      </c>
      <c r="F1417" s="20" t="inlineStr">
        <is>
          <t>Omni</t>
        </is>
      </c>
      <c r="G1417" s="21" t="n">
        <v>2010</v>
      </c>
      <c r="H1417" s="22" t="n">
        <v>116301</v>
      </c>
      <c r="I1417" s="22" t="n">
        <v>100000</v>
      </c>
      <c r="J1417" s="20" t="inlineStr">
        <is>
          <t>THIRIVENI CARS</t>
        </is>
      </c>
      <c r="K1417" s="20" t="inlineStr">
        <is>
          <t>Non-Captive</t>
        </is>
      </c>
      <c r="L1417" s="20" t="inlineStr">
        <is>
          <t>Santhosh Cars</t>
        </is>
      </c>
      <c r="M1417" s="23" t="n">
        <v>4237.29</v>
      </c>
    </row>
    <row r="1418">
      <c r="A1418" s="19" t="inlineStr">
        <is>
          <t>FY27</t>
        </is>
      </c>
      <c r="B1418" s="19" t="inlineStr">
        <is>
          <t>May</t>
        </is>
      </c>
      <c r="C1418" s="19" t="inlineStr">
        <is>
          <t>TN</t>
        </is>
      </c>
      <c r="D1418" s="20" t="inlineStr">
        <is>
          <t>TN04AJ6640</t>
        </is>
      </c>
      <c r="E1418" s="20" t="inlineStr">
        <is>
          <t>CHEVROLET</t>
        </is>
      </c>
      <c r="F1418" s="20" t="inlineStr">
        <is>
          <t>Beat</t>
        </is>
      </c>
      <c r="G1418" s="21" t="n">
        <v>2012</v>
      </c>
      <c r="H1418" s="22" t="n">
        <v>70253</v>
      </c>
      <c r="I1418" s="22" t="n">
        <v>100000</v>
      </c>
      <c r="J1418" s="20" t="inlineStr">
        <is>
          <t>STEER AUTO TECHNOLOGIES PRIVATE LIMITED</t>
        </is>
      </c>
      <c r="K1418" s="20" t="inlineStr">
        <is>
          <t>Non-Captive</t>
        </is>
      </c>
      <c r="L1418" s="20" t="inlineStr">
        <is>
          <t>Santhosh Cars</t>
        </is>
      </c>
      <c r="M1418" s="23" t="n">
        <v>4237.29</v>
      </c>
    </row>
    <row r="1419">
      <c r="A1419" s="19" t="inlineStr">
        <is>
          <t>FY27</t>
        </is>
      </c>
      <c r="B1419" s="19" t="inlineStr">
        <is>
          <t>May</t>
        </is>
      </c>
      <c r="C1419" s="19" t="inlineStr">
        <is>
          <t>TN</t>
        </is>
      </c>
      <c r="D1419" s="20" t="inlineStr">
        <is>
          <t>TN09AX3893</t>
        </is>
      </c>
      <c r="E1419" s="20" t="inlineStr">
        <is>
          <t>MAHINDRA</t>
        </is>
      </c>
      <c r="F1419" s="20" t="inlineStr">
        <is>
          <t>Logan</t>
        </is>
      </c>
      <c r="G1419" s="21" t="n">
        <v>2008</v>
      </c>
      <c r="H1419" s="22" t="n">
        <v>56733</v>
      </c>
      <c r="I1419" s="22" t="n">
        <v>100000</v>
      </c>
      <c r="J1419" s="20" t="inlineStr">
        <is>
          <t>STEER AUTO TECHNOLOGIES PRIVATE LIMITED</t>
        </is>
      </c>
      <c r="K1419" s="20" t="inlineStr">
        <is>
          <t>Non-Captive</t>
        </is>
      </c>
      <c r="L1419" s="20" t="inlineStr">
        <is>
          <t>Santhosh Cars</t>
        </is>
      </c>
      <c r="M1419" s="23" t="n">
        <v>4237.29</v>
      </c>
    </row>
    <row r="1420">
      <c r="A1420" s="19" t="inlineStr">
        <is>
          <t>FY27</t>
        </is>
      </c>
      <c r="B1420" s="19" t="inlineStr">
        <is>
          <t>May</t>
        </is>
      </c>
      <c r="C1420" s="19" t="inlineStr">
        <is>
          <t>TN</t>
        </is>
      </c>
      <c r="D1420" s="20" t="inlineStr">
        <is>
          <t>TN07BF1802</t>
        </is>
      </c>
      <c r="E1420" s="20" t="inlineStr">
        <is>
          <t>MARUTI SUZUKI</t>
        </is>
      </c>
      <c r="F1420" s="20" t="inlineStr">
        <is>
          <t>Alto</t>
        </is>
      </c>
      <c r="G1420" s="21" t="n">
        <v>2010</v>
      </c>
      <c r="H1420" s="22" t="n">
        <v>85751</v>
      </c>
      <c r="I1420" s="22" t="n">
        <v>100000</v>
      </c>
      <c r="J1420" s="20" t="inlineStr">
        <is>
          <t>Cresco cars</t>
        </is>
      </c>
      <c r="K1420" s="20" t="inlineStr">
        <is>
          <t>Non-Captive</t>
        </is>
      </c>
      <c r="L1420" s="20" t="inlineStr">
        <is>
          <t>Santhosh Cars</t>
        </is>
      </c>
      <c r="M1420" s="23" t="n">
        <v>4237.29</v>
      </c>
    </row>
    <row r="1421">
      <c r="A1421" s="19" t="inlineStr">
        <is>
          <t>FY27</t>
        </is>
      </c>
      <c r="B1421" s="19" t="inlineStr">
        <is>
          <t>May</t>
        </is>
      </c>
      <c r="C1421" s="19" t="inlineStr">
        <is>
          <t>TN</t>
        </is>
      </c>
      <c r="D1421" s="20" t="inlineStr">
        <is>
          <t>TN18W4792</t>
        </is>
      </c>
      <c r="E1421" s="20" t="inlineStr">
        <is>
          <t>CHEVROLET</t>
        </is>
      </c>
      <c r="F1421" s="20" t="inlineStr">
        <is>
          <t>Beat</t>
        </is>
      </c>
      <c r="G1421" s="21" t="n">
        <v>2012</v>
      </c>
      <c r="H1421" s="22" t="n">
        <v>107481</v>
      </c>
      <c r="I1421" s="22" t="n">
        <v>100000</v>
      </c>
      <c r="J1421" s="20" t="inlineStr">
        <is>
          <t>Khivraj Motor</t>
        </is>
      </c>
      <c r="K1421" s="20" t="inlineStr">
        <is>
          <t>Non-Captive</t>
        </is>
      </c>
      <c r="L1421" s="20" t="inlineStr">
        <is>
          <t>Santhosh Cars</t>
        </is>
      </c>
      <c r="M1421" s="23" t="n">
        <v>4237.29</v>
      </c>
    </row>
    <row r="1422">
      <c r="A1422" s="19" t="inlineStr">
        <is>
          <t>FY27</t>
        </is>
      </c>
      <c r="B1422" s="19" t="inlineStr">
        <is>
          <t>May</t>
        </is>
      </c>
      <c r="C1422" s="19" t="inlineStr">
        <is>
          <t>TN</t>
        </is>
      </c>
      <c r="D1422" s="20" t="inlineStr">
        <is>
          <t>TN07AT0792</t>
        </is>
      </c>
      <c r="E1422" s="20" t="inlineStr">
        <is>
          <t>MARUTI SUZUKI</t>
        </is>
      </c>
      <c r="F1422" s="20" t="inlineStr">
        <is>
          <t>Wagon R</t>
        </is>
      </c>
      <c r="G1422" s="21" t="n">
        <v>2006</v>
      </c>
      <c r="H1422" s="22" t="n">
        <v>116145</v>
      </c>
      <c r="I1422" s="22" t="n">
        <v>100000</v>
      </c>
      <c r="J1422" s="20" t="inlineStr">
        <is>
          <t>Khivraj Motor</t>
        </is>
      </c>
      <c r="K1422" s="20" t="inlineStr">
        <is>
          <t>Non-Captive</t>
        </is>
      </c>
      <c r="L1422" s="20" t="inlineStr">
        <is>
          <t>Santhosh Cars</t>
        </is>
      </c>
      <c r="M1422" s="23" t="n">
        <v>4237.29</v>
      </c>
    </row>
    <row r="1423">
      <c r="A1423" s="19" t="inlineStr">
        <is>
          <t>FY27</t>
        </is>
      </c>
      <c r="B1423" s="19" t="inlineStr">
        <is>
          <t>May</t>
        </is>
      </c>
      <c r="C1423" s="19" t="inlineStr">
        <is>
          <t>TN</t>
        </is>
      </c>
      <c r="D1423" s="20" t="inlineStr">
        <is>
          <t>TN05AQ8875</t>
        </is>
      </c>
      <c r="E1423" s="20" t="inlineStr">
        <is>
          <t>FORD</t>
        </is>
      </c>
      <c r="F1423" s="20" t="inlineStr">
        <is>
          <t>Figo</t>
        </is>
      </c>
      <c r="G1423" s="21" t="n">
        <v>2012</v>
      </c>
      <c r="H1423" s="22" t="n">
        <v>70591</v>
      </c>
      <c r="I1423" s="22" t="n">
        <v>100000</v>
      </c>
      <c r="J1423" s="20" t="inlineStr">
        <is>
          <t>Khivraj Motor</t>
        </is>
      </c>
      <c r="K1423" s="20" t="inlineStr">
        <is>
          <t>Non-Captive</t>
        </is>
      </c>
      <c r="L1423" s="20" t="inlineStr">
        <is>
          <t>Santhosh Cars</t>
        </is>
      </c>
      <c r="M1423" s="23" t="n">
        <v>4237.29</v>
      </c>
    </row>
    <row r="1424">
      <c r="A1424" s="19" t="inlineStr">
        <is>
          <t>FY27</t>
        </is>
      </c>
      <c r="B1424" s="19" t="inlineStr">
        <is>
          <t>May</t>
        </is>
      </c>
      <c r="C1424" s="19" t="inlineStr">
        <is>
          <t>TN</t>
        </is>
      </c>
      <c r="D1424" s="20" t="inlineStr">
        <is>
          <t>TN09BR4017</t>
        </is>
      </c>
      <c r="E1424" s="20" t="inlineStr">
        <is>
          <t>HONDA</t>
        </is>
      </c>
      <c r="F1424" s="20" t="inlineStr">
        <is>
          <t>City</t>
        </is>
      </c>
      <c r="G1424" s="21" t="n">
        <v>2012</v>
      </c>
      <c r="H1424" s="22" t="n">
        <v>153073</v>
      </c>
      <c r="I1424" s="22" t="n">
        <v>100000</v>
      </c>
      <c r="J1424" s="20" t="inlineStr">
        <is>
          <t>Khivraj Motor</t>
        </is>
      </c>
      <c r="K1424" s="20" t="inlineStr">
        <is>
          <t>Non-Captive</t>
        </is>
      </c>
      <c r="L1424" s="20" t="inlineStr">
        <is>
          <t>Santhosh Cars</t>
        </is>
      </c>
      <c r="M1424" s="23" t="n">
        <v>4237.29</v>
      </c>
    </row>
    <row r="1425">
      <c r="A1425" s="19" t="inlineStr">
        <is>
          <t>FY27</t>
        </is>
      </c>
      <c r="B1425" s="19" t="inlineStr">
        <is>
          <t>May</t>
        </is>
      </c>
      <c r="C1425" s="19" t="inlineStr">
        <is>
          <t>TN</t>
        </is>
      </c>
      <c r="D1425" s="20" t="inlineStr">
        <is>
          <t>TN05AM8275</t>
        </is>
      </c>
      <c r="E1425" s="20" t="inlineStr">
        <is>
          <t>HYUNDAI</t>
        </is>
      </c>
      <c r="F1425" s="20" t="inlineStr">
        <is>
          <t>Santro</t>
        </is>
      </c>
      <c r="G1425" s="21" t="n">
        <v>2011</v>
      </c>
      <c r="H1425" s="22" t="n">
        <v>45216</v>
      </c>
      <c r="I1425" s="22" t="n">
        <v>100000</v>
      </c>
      <c r="J1425" s="20" t="inlineStr">
        <is>
          <t>PRODUCTIVITY ELEMENTS PRIVATE LIMITED</t>
        </is>
      </c>
      <c r="K1425" s="20" t="inlineStr">
        <is>
          <t>Non-Captive</t>
        </is>
      </c>
      <c r="L1425" s="20" t="inlineStr">
        <is>
          <t>Santhosh Cars</t>
        </is>
      </c>
      <c r="M1425" s="23" t="n">
        <v>4237.29</v>
      </c>
    </row>
    <row r="1426">
      <c r="A1426" s="19" t="inlineStr">
        <is>
          <t>FY27</t>
        </is>
      </c>
      <c r="B1426" s="19" t="inlineStr">
        <is>
          <t>May</t>
        </is>
      </c>
      <c r="C1426" s="19" t="inlineStr">
        <is>
          <t>TN</t>
        </is>
      </c>
      <c r="D1426" s="20" t="inlineStr">
        <is>
          <t>TN09AW2965</t>
        </is>
      </c>
      <c r="E1426" s="20" t="inlineStr">
        <is>
          <t>MARUTI SUZUKI</t>
        </is>
      </c>
      <c r="F1426" s="20" t="inlineStr">
        <is>
          <t>Zen</t>
        </is>
      </c>
      <c r="G1426" s="21" t="n">
        <v>2008</v>
      </c>
      <c r="H1426" s="22" t="n">
        <v>132136</v>
      </c>
      <c r="I1426" s="22" t="n">
        <v>100000</v>
      </c>
      <c r="J1426" s="20" t="inlineStr">
        <is>
          <t>Cresco cars</t>
        </is>
      </c>
      <c r="K1426" s="20" t="inlineStr">
        <is>
          <t>Non-Captive</t>
        </is>
      </c>
      <c r="L1426" s="20" t="inlineStr">
        <is>
          <t>Santhosh Cars</t>
        </is>
      </c>
      <c r="M1426" s="23" t="n">
        <v>4237.29</v>
      </c>
    </row>
    <row r="1427">
      <c r="A1427" s="19" t="inlineStr">
        <is>
          <t>FY27</t>
        </is>
      </c>
      <c r="B1427" s="19" t="inlineStr">
        <is>
          <t>May</t>
        </is>
      </c>
      <c r="C1427" s="19" t="inlineStr">
        <is>
          <t>TN</t>
        </is>
      </c>
      <c r="D1427" s="20" t="inlineStr">
        <is>
          <t>TN09CH3602</t>
        </is>
      </c>
      <c r="E1427" s="20" t="inlineStr">
        <is>
          <t>HYUNDAI</t>
        </is>
      </c>
      <c r="F1427" s="20" t="inlineStr">
        <is>
          <t>Xcent</t>
        </is>
      </c>
      <c r="G1427" s="21" t="n">
        <v>2017</v>
      </c>
      <c r="H1427" s="22" t="n">
        <v>198673</v>
      </c>
      <c r="I1427" s="22" t="n">
        <v>100000</v>
      </c>
      <c r="J1427" s="20" t="inlineStr">
        <is>
          <t>CARS INDIA</t>
        </is>
      </c>
      <c r="K1427" s="20" t="inlineStr">
        <is>
          <t>Non-Captive</t>
        </is>
      </c>
      <c r="L1427" s="20" t="inlineStr">
        <is>
          <t>Cars 24</t>
        </is>
      </c>
      <c r="M1427" s="23" t="n">
        <v>4237.29</v>
      </c>
    </row>
    <row r="1428">
      <c r="A1428" s="19" t="inlineStr">
        <is>
          <t>FY27</t>
        </is>
      </c>
      <c r="B1428" s="19" t="inlineStr">
        <is>
          <t>May</t>
        </is>
      </c>
      <c r="C1428" s="19" t="inlineStr">
        <is>
          <t>TN</t>
        </is>
      </c>
      <c r="D1428" s="20" t="inlineStr">
        <is>
          <t>TN09BM2216</t>
        </is>
      </c>
      <c r="E1428" s="20" t="inlineStr">
        <is>
          <t>HYUNDAI</t>
        </is>
      </c>
      <c r="F1428" s="20" t="inlineStr">
        <is>
          <t>Santro</t>
        </is>
      </c>
      <c r="G1428" s="21" t="n">
        <v>2012</v>
      </c>
      <c r="H1428" s="22" t="n">
        <v>48811</v>
      </c>
      <c r="I1428" s="22" t="n">
        <v>100000</v>
      </c>
      <c r="J1428" s="20" t="inlineStr">
        <is>
          <t>SVM CARS PRIVATE LIMITED</t>
        </is>
      </c>
      <c r="K1428" s="20" t="inlineStr">
        <is>
          <t>Non-Captive</t>
        </is>
      </c>
      <c r="L1428" s="20" t="inlineStr">
        <is>
          <t>Cars 24</t>
        </is>
      </c>
      <c r="M1428" s="23" t="n">
        <v>4237.29</v>
      </c>
    </row>
    <row r="1429">
      <c r="A1429" s="19" t="inlineStr">
        <is>
          <t>FY27</t>
        </is>
      </c>
      <c r="B1429" s="19" t="inlineStr">
        <is>
          <t>May</t>
        </is>
      </c>
      <c r="C1429" s="19" t="inlineStr">
        <is>
          <t>TN</t>
        </is>
      </c>
      <c r="D1429" s="20" t="inlineStr">
        <is>
          <t>TN20BL0546</t>
        </is>
      </c>
      <c r="E1429" s="20" t="inlineStr">
        <is>
          <t>CHEVROLET</t>
        </is>
      </c>
      <c r="F1429" s="20" t="inlineStr">
        <is>
          <t>Spark</t>
        </is>
      </c>
      <c r="G1429" s="21" t="n">
        <v>2011</v>
      </c>
      <c r="H1429" s="22" t="n">
        <v>29050</v>
      </c>
      <c r="I1429" s="22" t="n">
        <v>100000</v>
      </c>
      <c r="J1429" s="20" t="inlineStr">
        <is>
          <t>Indus</t>
        </is>
      </c>
      <c r="K1429" s="20" t="inlineStr">
        <is>
          <t>Non-Captive</t>
        </is>
      </c>
      <c r="L1429" s="20" t="inlineStr">
        <is>
          <t>Cars 24</t>
        </is>
      </c>
      <c r="M1429" s="23" t="n">
        <v>5084.75</v>
      </c>
    </row>
    <row r="1430">
      <c r="A1430" s="19" t="inlineStr">
        <is>
          <t>FY27</t>
        </is>
      </c>
      <c r="B1430" s="19" t="inlineStr">
        <is>
          <t>May</t>
        </is>
      </c>
      <c r="C1430" s="19" t="inlineStr">
        <is>
          <t>TN</t>
        </is>
      </c>
      <c r="D1430" s="20" t="inlineStr">
        <is>
          <t>TN22CB6347</t>
        </is>
      </c>
      <c r="E1430" s="20" t="inlineStr">
        <is>
          <t>FIAT</t>
        </is>
      </c>
      <c r="F1430" s="20" t="inlineStr">
        <is>
          <t>Grand Punto</t>
        </is>
      </c>
      <c r="G1430" s="21" t="n">
        <v>2011</v>
      </c>
      <c r="H1430" s="22" t="n">
        <v>99999</v>
      </c>
      <c r="I1430" s="22" t="n">
        <v>120000</v>
      </c>
      <c r="J1430" s="20" t="inlineStr">
        <is>
          <t>STEER AUTO TECHNOLOGIES PRIVATE LIMITED</t>
        </is>
      </c>
      <c r="K1430" s="20" t="inlineStr">
        <is>
          <t>Non-Captive</t>
        </is>
      </c>
      <c r="L1430" s="20" t="inlineStr">
        <is>
          <t>Nirmal Cars</t>
        </is>
      </c>
      <c r="M1430" s="23" t="n">
        <v>4237.29</v>
      </c>
    </row>
    <row r="1431">
      <c r="A1431" s="19" t="inlineStr">
        <is>
          <t>FY27</t>
        </is>
      </c>
      <c r="B1431" s="19" t="inlineStr">
        <is>
          <t>May</t>
        </is>
      </c>
      <c r="C1431" s="19" t="inlineStr">
        <is>
          <t>TN</t>
        </is>
      </c>
      <c r="D1431" s="20" t="inlineStr">
        <is>
          <t>TN14E3712</t>
        </is>
      </c>
      <c r="E1431" s="20" t="inlineStr">
        <is>
          <t>MARUTI SUZUKI</t>
        </is>
      </c>
      <c r="F1431" s="20" t="inlineStr">
        <is>
          <t>Wagon R</t>
        </is>
      </c>
      <c r="G1431" s="21" t="n"/>
      <c r="H1431" s="22" t="n"/>
      <c r="I1431" s="22" t="n">
        <v>275000</v>
      </c>
      <c r="J1431" s="20" t="inlineStr">
        <is>
          <t>Khivraj Motor</t>
        </is>
      </c>
      <c r="K1431" s="20" t="inlineStr">
        <is>
          <t>Non-Captive</t>
        </is>
      </c>
      <c r="L1431" s="20" t="inlineStr">
        <is>
          <t>Sri Shakthi Vinayaga Cars</t>
        </is>
      </c>
      <c r="M1431" s="23" t="n">
        <v>4237.29</v>
      </c>
    </row>
    <row r="1432">
      <c r="A1432" s="19" t="inlineStr">
        <is>
          <t>FY27</t>
        </is>
      </c>
      <c r="B1432" s="19" t="inlineStr">
        <is>
          <t>May</t>
        </is>
      </c>
      <c r="C1432" s="19" t="inlineStr">
        <is>
          <t>TN</t>
        </is>
      </c>
      <c r="D1432" s="20" t="inlineStr">
        <is>
          <t>TN10AU0228</t>
        </is>
      </c>
      <c r="E1432" s="20" t="inlineStr">
        <is>
          <t>HONDA</t>
        </is>
      </c>
      <c r="F1432" s="20" t="inlineStr">
        <is>
          <t>Jazz</t>
        </is>
      </c>
      <c r="G1432" s="21" t="n"/>
      <c r="H1432" s="22" t="n"/>
      <c r="I1432" s="22" t="n">
        <v>285000</v>
      </c>
      <c r="J1432" s="20" t="inlineStr">
        <is>
          <t>Castel Traders Honda</t>
        </is>
      </c>
      <c r="K1432" s="20" t="inlineStr">
        <is>
          <t>Non-Captive</t>
        </is>
      </c>
      <c r="L1432" s="20" t="inlineStr">
        <is>
          <t>Cars 24</t>
        </is>
      </c>
      <c r="M1432" s="23" t="n">
        <v>4237.29</v>
      </c>
    </row>
    <row r="1433">
      <c r="A1433" s="19" t="inlineStr">
        <is>
          <t>FY27</t>
        </is>
      </c>
      <c r="B1433" s="19" t="inlineStr">
        <is>
          <t>May</t>
        </is>
      </c>
      <c r="C1433" s="19" t="inlineStr">
        <is>
          <t>TN</t>
        </is>
      </c>
      <c r="D1433" s="20" t="inlineStr">
        <is>
          <t>TN07CF4030</t>
        </is>
      </c>
      <c r="E1433" s="20" t="inlineStr">
        <is>
          <t>HONDA</t>
        </is>
      </c>
      <c r="F1433" s="20" t="inlineStr">
        <is>
          <t>Amaze</t>
        </is>
      </c>
      <c r="G1433" s="21" t="n"/>
      <c r="H1433" s="22" t="n"/>
      <c r="I1433" s="22" t="n">
        <v>160000</v>
      </c>
      <c r="J1433" s="20" t="inlineStr">
        <is>
          <t>Castel Traders Honda</t>
        </is>
      </c>
      <c r="K1433" s="20" t="inlineStr">
        <is>
          <t>Non-Captive</t>
        </is>
      </c>
      <c r="L1433" s="20" t="inlineStr">
        <is>
          <t>Shree Shan Motor</t>
        </is>
      </c>
      <c r="M1433" s="23" t="n">
        <v>4237.29</v>
      </c>
    </row>
    <row r="1434">
      <c r="A1434" s="19" t="inlineStr">
        <is>
          <t>FY27</t>
        </is>
      </c>
      <c r="B1434" s="19" t="inlineStr">
        <is>
          <t>May</t>
        </is>
      </c>
      <c r="C1434" s="19" t="inlineStr">
        <is>
          <t>TN</t>
        </is>
      </c>
      <c r="D1434" s="20" t="inlineStr">
        <is>
          <t>TN09BL6037</t>
        </is>
      </c>
      <c r="E1434" s="20" t="inlineStr">
        <is>
          <t>MARUTI SUZUKI</t>
        </is>
      </c>
      <c r="F1434" s="20" t="inlineStr">
        <is>
          <t>A Star</t>
        </is>
      </c>
      <c r="G1434" s="21" t="n"/>
      <c r="H1434" s="22" t="n"/>
      <c r="I1434" s="22" t="n">
        <v>110000</v>
      </c>
      <c r="J1434" s="20" t="inlineStr">
        <is>
          <t>Khivraj Motor</t>
        </is>
      </c>
      <c r="K1434" s="20" t="inlineStr">
        <is>
          <t>Non-Captive</t>
        </is>
      </c>
      <c r="L1434" s="20" t="inlineStr">
        <is>
          <t>Pine Autos</t>
        </is>
      </c>
      <c r="M1434" s="23" t="n">
        <v>5084.75</v>
      </c>
    </row>
    <row r="1435">
      <c r="A1435" s="19" t="inlineStr">
        <is>
          <t>FY27</t>
        </is>
      </c>
      <c r="B1435" s="19" t="inlineStr">
        <is>
          <t>May</t>
        </is>
      </c>
      <c r="C1435" s="19" t="inlineStr">
        <is>
          <t>TN</t>
        </is>
      </c>
      <c r="D1435" s="20" t="inlineStr">
        <is>
          <t>TN22BJ6562</t>
        </is>
      </c>
      <c r="E1435" s="20" t="inlineStr">
        <is>
          <t>FORD</t>
        </is>
      </c>
      <c r="F1435" s="20" t="inlineStr">
        <is>
          <t>Fiesta Classic</t>
        </is>
      </c>
      <c r="G1435" s="21" t="n">
        <v>2010</v>
      </c>
      <c r="H1435" s="22" t="n">
        <v>132495</v>
      </c>
      <c r="I1435" s="22" t="n">
        <v>90000</v>
      </c>
      <c r="J1435" s="20" t="inlineStr">
        <is>
          <t>LANSON QCARS PRIVATE LIMITED</t>
        </is>
      </c>
      <c r="K1435" s="20" t="inlineStr">
        <is>
          <t>Non-Captive</t>
        </is>
      </c>
      <c r="L1435" s="20" t="inlineStr">
        <is>
          <t>Pine Autos</t>
        </is>
      </c>
      <c r="M1435" s="23" t="n">
        <v>3389.83</v>
      </c>
    </row>
    <row r="1436">
      <c r="A1436" s="19" t="inlineStr">
        <is>
          <t>FY27</t>
        </is>
      </c>
      <c r="B1436" s="19" t="inlineStr">
        <is>
          <t>May</t>
        </is>
      </c>
      <c r="C1436" s="19" t="inlineStr">
        <is>
          <t>TN</t>
        </is>
      </c>
      <c r="D1436" s="20" t="inlineStr">
        <is>
          <t>TN30BC5254</t>
        </is>
      </c>
      <c r="E1436" s="20" t="inlineStr">
        <is>
          <t>HYUNDAI</t>
        </is>
      </c>
      <c r="F1436" s="20" t="inlineStr">
        <is>
          <t>I10</t>
        </is>
      </c>
      <c r="G1436" s="21" t="n">
        <v>2015</v>
      </c>
      <c r="H1436" s="22" t="n">
        <v>99560</v>
      </c>
      <c r="I1436" s="22" t="n">
        <v>90000</v>
      </c>
      <c r="J1436" s="20" t="inlineStr">
        <is>
          <t>THIRIVENI CARS</t>
        </is>
      </c>
      <c r="K1436" s="20" t="inlineStr">
        <is>
          <t>Non-Captive</t>
        </is>
      </c>
      <c r="L1436" s="20" t="inlineStr">
        <is>
          <t>Pine Autos</t>
        </is>
      </c>
      <c r="M1436" s="23" t="n">
        <v>4237.29</v>
      </c>
    </row>
    <row r="1437">
      <c r="A1437" s="19" t="inlineStr">
        <is>
          <t>FY27</t>
        </is>
      </c>
      <c r="B1437" s="19" t="inlineStr">
        <is>
          <t>May</t>
        </is>
      </c>
      <c r="C1437" s="19" t="inlineStr">
        <is>
          <t>TN</t>
        </is>
      </c>
      <c r="D1437" s="20" t="inlineStr">
        <is>
          <t>TN18A3605</t>
        </is>
      </c>
      <c r="E1437" s="20" t="inlineStr">
        <is>
          <t>MARUTI SUZUKI</t>
        </is>
      </c>
      <c r="F1437" s="20" t="inlineStr">
        <is>
          <t>Alto</t>
        </is>
      </c>
      <c r="G1437" s="21" t="n">
        <v>2009</v>
      </c>
      <c r="H1437" s="22" t="n">
        <v>46335</v>
      </c>
      <c r="I1437" s="22" t="n">
        <v>100000</v>
      </c>
      <c r="J1437" s="20" t="inlineStr">
        <is>
          <t>KALYANIMOTORS MARUTHI</t>
        </is>
      </c>
      <c r="K1437" s="20" t="inlineStr">
        <is>
          <t>Non-Captive</t>
        </is>
      </c>
      <c r="L1437" s="20" t="inlineStr">
        <is>
          <t>Pine Autos</t>
        </is>
      </c>
      <c r="M1437" s="23" t="n">
        <v>4237.29</v>
      </c>
    </row>
    <row r="1438">
      <c r="A1438" s="19" t="inlineStr">
        <is>
          <t>FY27</t>
        </is>
      </c>
      <c r="B1438" s="19" t="inlineStr">
        <is>
          <t>May</t>
        </is>
      </c>
      <c r="C1438" s="19" t="inlineStr">
        <is>
          <t>TN</t>
        </is>
      </c>
      <c r="D1438" s="20" t="inlineStr">
        <is>
          <t>TN09AW0739</t>
        </is>
      </c>
      <c r="E1438" s="20" t="inlineStr">
        <is>
          <t>MAHINDRA</t>
        </is>
      </c>
      <c r="F1438" s="20" t="inlineStr">
        <is>
          <t>Logan</t>
        </is>
      </c>
      <c r="G1438" s="21" t="n">
        <v>2008</v>
      </c>
      <c r="H1438" s="22" t="n">
        <v>114731</v>
      </c>
      <c r="I1438" s="22" t="n">
        <v>100000</v>
      </c>
      <c r="J1438" s="20" t="inlineStr">
        <is>
          <t>Khivraj Motor</t>
        </is>
      </c>
      <c r="K1438" s="20" t="inlineStr">
        <is>
          <t>Non-Captive</t>
        </is>
      </c>
      <c r="L1438" s="20" t="inlineStr">
        <is>
          <t>Pine Autos</t>
        </is>
      </c>
      <c r="M1438" s="23" t="n">
        <v>4237.29</v>
      </c>
    </row>
    <row r="1439">
      <c r="A1439" s="19" t="inlineStr">
        <is>
          <t>FY27</t>
        </is>
      </c>
      <c r="B1439" s="19" t="inlineStr">
        <is>
          <t>May</t>
        </is>
      </c>
      <c r="C1439" s="19" t="inlineStr">
        <is>
          <t>TN</t>
        </is>
      </c>
      <c r="D1439" s="20" t="inlineStr">
        <is>
          <t>TN22BA4745</t>
        </is>
      </c>
      <c r="E1439" s="20" t="inlineStr">
        <is>
          <t>MARUTI SUZUKI</t>
        </is>
      </c>
      <c r="F1439" s="20" t="inlineStr">
        <is>
          <t>Sx4</t>
        </is>
      </c>
      <c r="G1439" s="21" t="n">
        <v>2008</v>
      </c>
      <c r="H1439" s="22" t="n">
        <v>80483</v>
      </c>
      <c r="I1439" s="22" t="n">
        <v>100000</v>
      </c>
      <c r="J1439" s="20" t="inlineStr">
        <is>
          <t>Khivraj Motor</t>
        </is>
      </c>
      <c r="K1439" s="20" t="inlineStr">
        <is>
          <t>Non-Captive</t>
        </is>
      </c>
      <c r="L1439" s="20" t="inlineStr">
        <is>
          <t>Thiya Cars</t>
        </is>
      </c>
      <c r="M1439" s="23" t="n">
        <v>3389.83</v>
      </c>
    </row>
    <row r="1440">
      <c r="A1440" s="19" t="inlineStr">
        <is>
          <t>FY27</t>
        </is>
      </c>
      <c r="B1440" s="19" t="inlineStr">
        <is>
          <t>May</t>
        </is>
      </c>
      <c r="C1440" s="19" t="inlineStr">
        <is>
          <t>TN</t>
        </is>
      </c>
      <c r="D1440" s="20" t="inlineStr">
        <is>
          <t>TN01AP1122</t>
        </is>
      </c>
      <c r="E1440" s="20" t="inlineStr">
        <is>
          <t>SKODA</t>
        </is>
      </c>
      <c r="F1440" s="20" t="inlineStr">
        <is>
          <t>Laura</t>
        </is>
      </c>
      <c r="G1440" s="21" t="n">
        <v>2011</v>
      </c>
      <c r="H1440" s="22" t="n">
        <v>51130</v>
      </c>
      <c r="I1440" s="22" t="n">
        <v>100000</v>
      </c>
      <c r="J1440" s="20" t="inlineStr">
        <is>
          <t>Senthil Cars</t>
        </is>
      </c>
      <c r="K1440" s="20" t="inlineStr">
        <is>
          <t>Non-Captive</t>
        </is>
      </c>
      <c r="L1440" s="20" t="inlineStr">
        <is>
          <t>Thiya Cars</t>
        </is>
      </c>
      <c r="M1440" s="23" t="n">
        <v>3389.83</v>
      </c>
    </row>
    <row r="1441">
      <c r="A1441" s="19" t="inlineStr">
        <is>
          <t>FY27</t>
        </is>
      </c>
      <c r="B1441" s="19" t="inlineStr">
        <is>
          <t>May</t>
        </is>
      </c>
      <c r="C1441" s="19" t="inlineStr">
        <is>
          <t>TN</t>
        </is>
      </c>
      <c r="D1441" s="20" t="inlineStr">
        <is>
          <t>TN22DE8871</t>
        </is>
      </c>
      <c r="E1441" s="20" t="inlineStr">
        <is>
          <t>RENAULT</t>
        </is>
      </c>
      <c r="F1441" s="20" t="inlineStr">
        <is>
          <t>Kwid</t>
        </is>
      </c>
      <c r="G1441" s="21" t="n">
        <v>2016</v>
      </c>
      <c r="H1441" s="22" t="n">
        <v>37653</v>
      </c>
      <c r="I1441" s="22" t="n">
        <v>100000</v>
      </c>
      <c r="J1441" s="20" t="inlineStr">
        <is>
          <t>Khivraj Motor</t>
        </is>
      </c>
      <c r="K1441" s="20" t="inlineStr">
        <is>
          <t>Non-Captive</t>
        </is>
      </c>
      <c r="L1441" s="20" t="inlineStr">
        <is>
          <t>Thiya Cars</t>
        </is>
      </c>
      <c r="M1441" s="23" t="n">
        <v>3389.83</v>
      </c>
    </row>
    <row r="1442">
      <c r="A1442" s="19" t="inlineStr">
        <is>
          <t>FY27</t>
        </is>
      </c>
      <c r="B1442" s="19" t="inlineStr">
        <is>
          <t>May</t>
        </is>
      </c>
      <c r="C1442" s="19" t="inlineStr">
        <is>
          <t>TN</t>
        </is>
      </c>
      <c r="D1442" s="20" t="inlineStr">
        <is>
          <t>TN06B0814</t>
        </is>
      </c>
      <c r="E1442" s="20" t="inlineStr">
        <is>
          <t>HYUNDAI</t>
        </is>
      </c>
      <c r="F1442" s="20" t="inlineStr">
        <is>
          <t>Santro</t>
        </is>
      </c>
      <c r="G1442" s="21" t="n">
        <v>2010</v>
      </c>
      <c r="H1442" s="22" t="n">
        <v>132795</v>
      </c>
      <c r="I1442" s="22" t="n">
        <v>100000</v>
      </c>
      <c r="J1442" s="20" t="inlineStr">
        <is>
          <t>PPS MOTORS PRIVATE LTD</t>
        </is>
      </c>
      <c r="K1442" s="20" t="inlineStr">
        <is>
          <t>Non-Captive</t>
        </is>
      </c>
      <c r="L1442" s="20" t="inlineStr">
        <is>
          <t>Thiya Cars</t>
        </is>
      </c>
      <c r="M1442" s="23" t="n">
        <v>3389.83</v>
      </c>
    </row>
    <row r="1443">
      <c r="A1443" s="19" t="inlineStr">
        <is>
          <t>FY27</t>
        </is>
      </c>
      <c r="B1443" s="19" t="inlineStr">
        <is>
          <t>May</t>
        </is>
      </c>
      <c r="C1443" s="19" t="inlineStr">
        <is>
          <t>TN</t>
        </is>
      </c>
      <c r="D1443" s="20" t="inlineStr">
        <is>
          <t>TN02AU4271</t>
        </is>
      </c>
      <c r="E1443" s="20" t="inlineStr">
        <is>
          <t>HONDA</t>
        </is>
      </c>
      <c r="F1443" s="20" t="inlineStr">
        <is>
          <t>Brio</t>
        </is>
      </c>
      <c r="G1443" s="21" t="n">
        <v>2012</v>
      </c>
      <c r="H1443" s="22" t="n">
        <v>108432</v>
      </c>
      <c r="I1443" s="22" t="n">
        <v>100000</v>
      </c>
      <c r="J1443" s="20" t="inlineStr">
        <is>
          <t>Khivraj Motor</t>
        </is>
      </c>
      <c r="K1443" s="20" t="inlineStr">
        <is>
          <t>Non-Captive</t>
        </is>
      </c>
      <c r="L1443" s="20" t="inlineStr">
        <is>
          <t>Thiya Cars</t>
        </is>
      </c>
      <c r="M1443" s="23" t="n">
        <v>3389.83</v>
      </c>
    </row>
    <row r="1444">
      <c r="A1444" s="19" t="inlineStr">
        <is>
          <t>FY27</t>
        </is>
      </c>
      <c r="B1444" s="19" t="inlineStr">
        <is>
          <t>May</t>
        </is>
      </c>
      <c r="C1444" s="19" t="inlineStr">
        <is>
          <t>TN</t>
        </is>
      </c>
      <c r="D1444" s="20" t="inlineStr">
        <is>
          <t>TN22BB8957</t>
        </is>
      </c>
      <c r="E1444" s="20" t="inlineStr">
        <is>
          <t>HYUNDAI</t>
        </is>
      </c>
      <c r="F1444" s="20" t="inlineStr">
        <is>
          <t>I10</t>
        </is>
      </c>
      <c r="G1444" s="21" t="n">
        <v>2008</v>
      </c>
      <c r="H1444" s="22" t="n">
        <v>79689</v>
      </c>
      <c r="I1444" s="22" t="n">
        <v>100000</v>
      </c>
      <c r="J1444" s="20" t="inlineStr">
        <is>
          <t>Khivraj Motor</t>
        </is>
      </c>
      <c r="K1444" s="20" t="inlineStr">
        <is>
          <t>Non-Captive</t>
        </is>
      </c>
      <c r="L1444" s="20" t="inlineStr">
        <is>
          <t>Thiya Cars</t>
        </is>
      </c>
      <c r="M1444" s="23" t="n">
        <v>3389.83</v>
      </c>
    </row>
    <row r="1445">
      <c r="A1445" s="19" t="inlineStr">
        <is>
          <t>FY27</t>
        </is>
      </c>
      <c r="B1445" s="19" t="inlineStr">
        <is>
          <t>May</t>
        </is>
      </c>
      <c r="C1445" s="19" t="inlineStr">
        <is>
          <t>TN</t>
        </is>
      </c>
      <c r="D1445" s="20" t="inlineStr">
        <is>
          <t>TN02AQ2940</t>
        </is>
      </c>
      <c r="E1445" s="20" t="inlineStr">
        <is>
          <t>MARUTI SUZUKI</t>
        </is>
      </c>
      <c r="F1445" s="20" t="inlineStr">
        <is>
          <t>Zen Estilo</t>
        </is>
      </c>
      <c r="G1445" s="21" t="n">
        <v>2010</v>
      </c>
      <c r="H1445" s="22" t="n">
        <v>120204</v>
      </c>
      <c r="I1445" s="22" t="n">
        <v>108000</v>
      </c>
      <c r="J1445" s="20" t="inlineStr">
        <is>
          <t>PRODUCTIVITY ELEMENTS PRIVATE LIMITED</t>
        </is>
      </c>
      <c r="K1445" s="20" t="inlineStr">
        <is>
          <t>Non-Captive</t>
        </is>
      </c>
      <c r="L1445" s="20" t="inlineStr">
        <is>
          <t>Thiya Cars</t>
        </is>
      </c>
      <c r="M1445" s="23" t="n">
        <v>3389.83</v>
      </c>
    </row>
    <row r="1446">
      <c r="A1446" s="19" t="inlineStr">
        <is>
          <t>FY27</t>
        </is>
      </c>
      <c r="B1446" s="19" t="inlineStr">
        <is>
          <t>May</t>
        </is>
      </c>
      <c r="C1446" s="19" t="inlineStr">
        <is>
          <t>TN</t>
        </is>
      </c>
      <c r="D1446" s="20" t="inlineStr">
        <is>
          <t>TN02AV6939</t>
        </is>
      </c>
      <c r="E1446" s="20" t="inlineStr">
        <is>
          <t>SKODA</t>
        </is>
      </c>
      <c r="F1446" s="20" t="inlineStr">
        <is>
          <t>Laura</t>
        </is>
      </c>
      <c r="G1446" s="21" t="n">
        <v>2012</v>
      </c>
      <c r="H1446" s="22" t="n">
        <v>118931</v>
      </c>
      <c r="I1446" s="22" t="n">
        <v>108000</v>
      </c>
      <c r="J1446" s="20" t="inlineStr">
        <is>
          <t>LANSON QCARS PRIVATE LIMITED</t>
        </is>
      </c>
      <c r="K1446" s="20" t="inlineStr">
        <is>
          <t>Non-Captive</t>
        </is>
      </c>
      <c r="L1446" s="20" t="inlineStr">
        <is>
          <t>Thiya Cars</t>
        </is>
      </c>
      <c r="M1446" s="23" t="n">
        <v>3389.83</v>
      </c>
    </row>
    <row r="1447">
      <c r="A1447" s="19" t="inlineStr">
        <is>
          <t>FY27</t>
        </is>
      </c>
      <c r="B1447" s="19" t="inlineStr">
        <is>
          <t>May</t>
        </is>
      </c>
      <c r="C1447" s="19" t="inlineStr">
        <is>
          <t>TN</t>
        </is>
      </c>
      <c r="D1447" s="20" t="inlineStr">
        <is>
          <t>KL07BR8354</t>
        </is>
      </c>
      <c r="E1447" s="20" t="inlineStr">
        <is>
          <t>FORD</t>
        </is>
      </c>
      <c r="F1447" s="20" t="inlineStr">
        <is>
          <t>Freestyle</t>
        </is>
      </c>
      <c r="G1447" s="21" t="n">
        <v>2011</v>
      </c>
      <c r="H1447" s="22" t="n">
        <v>102580</v>
      </c>
      <c r="I1447" s="22" t="n">
        <v>108000</v>
      </c>
      <c r="J1447" s="20" t="inlineStr">
        <is>
          <t>MM Motor</t>
        </is>
      </c>
      <c r="K1447" s="20" t="inlineStr">
        <is>
          <t>Non-Captive</t>
        </is>
      </c>
      <c r="L1447" s="20" t="inlineStr">
        <is>
          <t>Thiya Cars</t>
        </is>
      </c>
      <c r="M1447" s="23" t="n">
        <v>3389.83</v>
      </c>
    </row>
    <row r="1448">
      <c r="A1448" s="19" t="inlineStr">
        <is>
          <t>FY27</t>
        </is>
      </c>
      <c r="B1448" s="19" t="inlineStr">
        <is>
          <t>May</t>
        </is>
      </c>
      <c r="C1448" s="19" t="inlineStr">
        <is>
          <t>TN</t>
        </is>
      </c>
      <c r="D1448" s="20" t="inlineStr">
        <is>
          <t>TN07BE5826</t>
        </is>
      </c>
      <c r="E1448" s="20" t="inlineStr">
        <is>
          <t>MARUTI SUZUKI</t>
        </is>
      </c>
      <c r="F1448" s="20" t="inlineStr">
        <is>
          <t>Ritz</t>
        </is>
      </c>
      <c r="G1448" s="21" t="n">
        <v>2009</v>
      </c>
      <c r="H1448" s="22" t="n">
        <v>43224</v>
      </c>
      <c r="I1448" s="22" t="n">
        <v>110000</v>
      </c>
      <c r="J1448" s="20" t="inlineStr">
        <is>
          <t>Khivraj Motor</t>
        </is>
      </c>
      <c r="K1448" s="20" t="inlineStr">
        <is>
          <t>Non-Captive</t>
        </is>
      </c>
      <c r="L1448" s="20" t="inlineStr">
        <is>
          <t>Thiya Cars</t>
        </is>
      </c>
      <c r="M1448" s="23" t="n">
        <v>3389.83</v>
      </c>
    </row>
    <row r="1449">
      <c r="A1449" s="19" t="inlineStr">
        <is>
          <t>FY27</t>
        </is>
      </c>
      <c r="B1449" s="19" t="inlineStr">
        <is>
          <t>May</t>
        </is>
      </c>
      <c r="C1449" s="19" t="inlineStr">
        <is>
          <t>TN</t>
        </is>
      </c>
      <c r="D1449" s="20" t="inlineStr">
        <is>
          <t>TN06F6229</t>
        </is>
      </c>
      <c r="E1449" s="20" t="inlineStr">
        <is>
          <t>RENAULT</t>
        </is>
      </c>
      <c r="F1449" s="20" t="inlineStr">
        <is>
          <t>Pulse</t>
        </is>
      </c>
      <c r="G1449" s="21" t="n">
        <v>2012</v>
      </c>
      <c r="H1449" s="22" t="n">
        <v>104980</v>
      </c>
      <c r="I1449" s="22" t="n">
        <v>110000</v>
      </c>
      <c r="J1449" s="20" t="inlineStr">
        <is>
          <t>Indus</t>
        </is>
      </c>
      <c r="K1449" s="20" t="inlineStr">
        <is>
          <t>Non-Captive</t>
        </is>
      </c>
      <c r="L1449" s="20" t="inlineStr">
        <is>
          <t>Thiya Cars</t>
        </is>
      </c>
      <c r="M1449" s="23" t="n">
        <v>3389.83</v>
      </c>
    </row>
    <row r="1450">
      <c r="A1450" s="19" t="inlineStr">
        <is>
          <t>FY27</t>
        </is>
      </c>
      <c r="B1450" s="19" t="inlineStr">
        <is>
          <t>May</t>
        </is>
      </c>
      <c r="C1450" s="19" t="inlineStr">
        <is>
          <t>TN</t>
        </is>
      </c>
      <c r="D1450" s="20" t="inlineStr">
        <is>
          <t>TN09BE2895</t>
        </is>
      </c>
      <c r="E1450" s="20" t="inlineStr">
        <is>
          <t>NISSAN</t>
        </is>
      </c>
      <c r="F1450" s="20" t="inlineStr">
        <is>
          <t>Micra</t>
        </is>
      </c>
      <c r="G1450" s="21" t="n">
        <v>2010</v>
      </c>
      <c r="H1450" s="22" t="n">
        <v>113283</v>
      </c>
      <c r="I1450" s="22" t="n">
        <v>110000</v>
      </c>
      <c r="J1450" s="20" t="inlineStr">
        <is>
          <t>Khivraj Motor</t>
        </is>
      </c>
      <c r="K1450" s="20" t="inlineStr">
        <is>
          <t>Non-Captive</t>
        </is>
      </c>
      <c r="L1450" s="20" t="inlineStr">
        <is>
          <t>Thiya Cars</t>
        </is>
      </c>
      <c r="M1450" s="23" t="n">
        <v>3389.83</v>
      </c>
    </row>
    <row r="1451">
      <c r="A1451" s="19" t="inlineStr">
        <is>
          <t>FY27</t>
        </is>
      </c>
      <c r="B1451" s="19" t="inlineStr">
        <is>
          <t>May</t>
        </is>
      </c>
      <c r="C1451" s="19" t="inlineStr">
        <is>
          <t>TN</t>
        </is>
      </c>
      <c r="D1451" s="20" t="inlineStr">
        <is>
          <t>TN01AV4336</t>
        </is>
      </c>
      <c r="E1451" s="20" t="inlineStr">
        <is>
          <t>TATA</t>
        </is>
      </c>
      <c r="F1451" s="20" t="inlineStr">
        <is>
          <t>Indica</t>
        </is>
      </c>
      <c r="G1451" s="21" t="n">
        <v>2013</v>
      </c>
      <c r="H1451" s="22" t="n">
        <v>58749</v>
      </c>
      <c r="I1451" s="22" t="n">
        <v>110000</v>
      </c>
      <c r="J1451" s="20" t="inlineStr">
        <is>
          <t>STEER AUTO TECHNOLOGIES PRIVATE LIMITED</t>
        </is>
      </c>
      <c r="K1451" s="20" t="inlineStr">
        <is>
          <t>Non-Captive</t>
        </is>
      </c>
      <c r="L1451" s="20" t="inlineStr">
        <is>
          <t>Thiya Cars</t>
        </is>
      </c>
      <c r="M1451" s="23" t="n">
        <v>4237.29</v>
      </c>
    </row>
    <row r="1452">
      <c r="A1452" s="19" t="inlineStr">
        <is>
          <t>FY27</t>
        </is>
      </c>
      <c r="B1452" s="19" t="inlineStr">
        <is>
          <t>May</t>
        </is>
      </c>
      <c r="C1452" s="19" t="inlineStr">
        <is>
          <t>TN</t>
        </is>
      </c>
      <c r="D1452" s="20" t="inlineStr">
        <is>
          <t>TN20BY5004</t>
        </is>
      </c>
      <c r="E1452" s="20" t="inlineStr">
        <is>
          <t>HYUNDAI</t>
        </is>
      </c>
      <c r="F1452" s="20" t="inlineStr">
        <is>
          <t>I10</t>
        </is>
      </c>
      <c r="G1452" s="21" t="n">
        <v>2008</v>
      </c>
      <c r="H1452" s="22" t="n">
        <v>76367</v>
      </c>
      <c r="I1452" s="22" t="n">
        <v>110000</v>
      </c>
      <c r="J1452" s="20" t="inlineStr">
        <is>
          <t>STEER AUTO TECHNOLOGIES PRIVATE LIMITED</t>
        </is>
      </c>
      <c r="K1452" s="20" t="inlineStr">
        <is>
          <t>Non-Captive</t>
        </is>
      </c>
      <c r="L1452" s="20" t="inlineStr">
        <is>
          <t>Thiya Cars</t>
        </is>
      </c>
      <c r="M1452" s="23" t="n">
        <v>4237.29</v>
      </c>
    </row>
    <row r="1453">
      <c r="A1453" s="19" t="inlineStr">
        <is>
          <t>FY27</t>
        </is>
      </c>
      <c r="B1453" s="19" t="inlineStr">
        <is>
          <t>May</t>
        </is>
      </c>
      <c r="C1453" s="19" t="inlineStr">
        <is>
          <t>TN</t>
        </is>
      </c>
      <c r="D1453" s="20" t="inlineStr">
        <is>
          <t>TN01AZ5721</t>
        </is>
      </c>
      <c r="E1453" s="20" t="inlineStr">
        <is>
          <t>MARUTI SUZUKI</t>
        </is>
      </c>
      <c r="F1453" s="20" t="inlineStr">
        <is>
          <t>Alto</t>
        </is>
      </c>
      <c r="G1453" s="21" t="n">
        <v>2016</v>
      </c>
      <c r="H1453" s="22" t="n">
        <v>82806</v>
      </c>
      <c r="I1453" s="22" t="n">
        <v>110000</v>
      </c>
      <c r="J1453" s="20" t="inlineStr">
        <is>
          <t>Trust On Wheels</t>
        </is>
      </c>
      <c r="K1453" s="20" t="inlineStr">
        <is>
          <t>Non-Captive</t>
        </is>
      </c>
      <c r="L1453" s="20" t="inlineStr">
        <is>
          <t>Thiya Cars</t>
        </is>
      </c>
      <c r="M1453" s="23" t="n">
        <v>4237.29</v>
      </c>
    </row>
    <row r="1454">
      <c r="A1454" s="19" t="inlineStr">
        <is>
          <t>FY27</t>
        </is>
      </c>
      <c r="B1454" s="19" t="inlineStr">
        <is>
          <t>May</t>
        </is>
      </c>
      <c r="C1454" s="19" t="inlineStr">
        <is>
          <t>TN</t>
        </is>
      </c>
      <c r="D1454" s="20" t="inlineStr">
        <is>
          <t>TN38BL6214</t>
        </is>
      </c>
      <c r="E1454" s="20" t="inlineStr">
        <is>
          <t>FORD</t>
        </is>
      </c>
      <c r="F1454" s="20" t="inlineStr">
        <is>
          <t>Fiesta Classic</t>
        </is>
      </c>
      <c r="G1454" s="21" t="n">
        <v>2012</v>
      </c>
      <c r="H1454" s="22" t="n">
        <v>123376</v>
      </c>
      <c r="I1454" s="22" t="n">
        <v>110000</v>
      </c>
      <c r="J1454" s="20" t="inlineStr">
        <is>
          <t>STEER AUTO TECHNOLOGIES PRIVATE LIMITED</t>
        </is>
      </c>
      <c r="K1454" s="20" t="inlineStr">
        <is>
          <t>Non-Captive</t>
        </is>
      </c>
      <c r="L1454" s="20" t="inlineStr">
        <is>
          <t>Thiya Cars</t>
        </is>
      </c>
      <c r="M1454" s="23" t="n">
        <v>4237.29</v>
      </c>
    </row>
    <row r="1455">
      <c r="A1455" s="19" t="inlineStr">
        <is>
          <t>FY27</t>
        </is>
      </c>
      <c r="B1455" s="19" t="inlineStr">
        <is>
          <t>May</t>
        </is>
      </c>
      <c r="C1455" s="19" t="inlineStr">
        <is>
          <t>TN</t>
        </is>
      </c>
      <c r="D1455" s="20" t="inlineStr">
        <is>
          <t>TN18E9284</t>
        </is>
      </c>
      <c r="E1455" s="20" t="inlineStr">
        <is>
          <t>FORD</t>
        </is>
      </c>
      <c r="F1455" s="20" t="inlineStr">
        <is>
          <t>Figo</t>
        </is>
      </c>
      <c r="G1455" s="21" t="n">
        <v>2011</v>
      </c>
      <c r="H1455" s="22" t="n">
        <v>58533</v>
      </c>
      <c r="I1455" s="22" t="n">
        <v>110000</v>
      </c>
      <c r="J1455" s="20" t="inlineStr">
        <is>
          <t>Castel Traders Honda</t>
        </is>
      </c>
      <c r="K1455" s="20" t="inlineStr">
        <is>
          <t>Non-Captive</t>
        </is>
      </c>
      <c r="L1455" s="20" t="inlineStr">
        <is>
          <t>Thiya Cars</t>
        </is>
      </c>
      <c r="M1455" s="23" t="n">
        <v>4237.29</v>
      </c>
    </row>
    <row r="1456">
      <c r="A1456" s="19" t="inlineStr">
        <is>
          <t>FY27</t>
        </is>
      </c>
      <c r="B1456" s="19" t="inlineStr">
        <is>
          <t>May</t>
        </is>
      </c>
      <c r="C1456" s="19" t="inlineStr">
        <is>
          <t>TN</t>
        </is>
      </c>
      <c r="D1456" s="20" t="inlineStr">
        <is>
          <t>TN07BJ6867</t>
        </is>
      </c>
      <c r="E1456" s="20" t="inlineStr">
        <is>
          <t>MARUTI SUZUKI</t>
        </is>
      </c>
      <c r="F1456" s="20" t="inlineStr">
        <is>
          <t>Ritz</t>
        </is>
      </c>
      <c r="G1456" s="21" t="n">
        <v>2010</v>
      </c>
      <c r="H1456" s="22" t="n">
        <v>107196</v>
      </c>
      <c r="I1456" s="22" t="n">
        <v>110000</v>
      </c>
      <c r="J1456" s="20" t="inlineStr">
        <is>
          <t>STEER AUTO TECHNOLOGIES PRIVATE LIMITED</t>
        </is>
      </c>
      <c r="K1456" s="20" t="inlineStr">
        <is>
          <t>Non-Captive</t>
        </is>
      </c>
      <c r="L1456" s="20" t="inlineStr">
        <is>
          <t>Thiya Cars</t>
        </is>
      </c>
      <c r="M1456" s="23" t="n">
        <v>4237.29</v>
      </c>
    </row>
    <row r="1457">
      <c r="A1457" s="19" t="inlineStr">
        <is>
          <t>FY27</t>
        </is>
      </c>
      <c r="B1457" s="19" t="inlineStr">
        <is>
          <t>May</t>
        </is>
      </c>
      <c r="C1457" s="19" t="inlineStr">
        <is>
          <t>TN</t>
        </is>
      </c>
      <c r="D1457" s="20" t="inlineStr">
        <is>
          <t>TN22CK1371</t>
        </is>
      </c>
      <c r="E1457" s="20" t="inlineStr">
        <is>
          <t>MAHINDRA</t>
        </is>
      </c>
      <c r="F1457" s="20" t="inlineStr">
        <is>
          <t>Quanto</t>
        </is>
      </c>
      <c r="G1457" s="21" t="n">
        <v>2013</v>
      </c>
      <c r="H1457" s="22" t="n">
        <v>48019</v>
      </c>
      <c r="I1457" s="22" t="n">
        <v>115000</v>
      </c>
      <c r="J1457" s="20" t="inlineStr">
        <is>
          <t>ATHEN MARUTI</t>
        </is>
      </c>
      <c r="K1457" s="20" t="inlineStr">
        <is>
          <t>Non-Captive</t>
        </is>
      </c>
      <c r="L1457" s="20" t="inlineStr">
        <is>
          <t>Thiya Cars</t>
        </is>
      </c>
      <c r="M1457" s="23" t="n">
        <v>4237.29</v>
      </c>
    </row>
    <row r="1458">
      <c r="A1458" s="19" t="inlineStr">
        <is>
          <t>FY27</t>
        </is>
      </c>
      <c r="B1458" s="19" t="inlineStr">
        <is>
          <t>May</t>
        </is>
      </c>
      <c r="C1458" s="19" t="inlineStr">
        <is>
          <t>TN</t>
        </is>
      </c>
      <c r="D1458" s="20" t="inlineStr">
        <is>
          <t>TN09BK4793</t>
        </is>
      </c>
      <c r="E1458" s="20" t="inlineStr">
        <is>
          <t>HYUNDAI</t>
        </is>
      </c>
      <c r="F1458" s="20" t="inlineStr">
        <is>
          <t>Santro</t>
        </is>
      </c>
      <c r="G1458" s="21" t="n">
        <v>2011</v>
      </c>
      <c r="H1458" s="22" t="n">
        <v>21360</v>
      </c>
      <c r="I1458" s="22" t="n">
        <v>118000</v>
      </c>
      <c r="J1458" s="20" t="inlineStr">
        <is>
          <t>KALYANIMOTORS MARUTHI</t>
        </is>
      </c>
      <c r="K1458" s="20" t="inlineStr">
        <is>
          <t>Non-Captive</t>
        </is>
      </c>
      <c r="L1458" s="20" t="inlineStr">
        <is>
          <t>Thiya Cars</t>
        </is>
      </c>
      <c r="M1458" s="23" t="n">
        <v>4237.29</v>
      </c>
    </row>
    <row r="1459">
      <c r="A1459" s="19" t="inlineStr">
        <is>
          <t>FY27</t>
        </is>
      </c>
      <c r="B1459" s="19" t="inlineStr">
        <is>
          <t>May</t>
        </is>
      </c>
      <c r="C1459" s="19" t="inlineStr">
        <is>
          <t>TN</t>
        </is>
      </c>
      <c r="D1459" s="20" t="inlineStr">
        <is>
          <t>TN07BH8088</t>
        </is>
      </c>
      <c r="E1459" s="20" t="inlineStr">
        <is>
          <t>MARUTI SUZUKI</t>
        </is>
      </c>
      <c r="F1459" s="20" t="inlineStr">
        <is>
          <t>Swift</t>
        </is>
      </c>
      <c r="G1459" s="21" t="n">
        <v>2010</v>
      </c>
      <c r="H1459" s="22" t="n">
        <v>220061</v>
      </c>
      <c r="I1459" s="22" t="n">
        <v>120000</v>
      </c>
      <c r="J1459" s="20" t="inlineStr">
        <is>
          <t>ATHEN MARUTI</t>
        </is>
      </c>
      <c r="K1459" s="20" t="inlineStr">
        <is>
          <t>Non-Captive</t>
        </is>
      </c>
      <c r="L1459" s="20" t="inlineStr">
        <is>
          <t>Thiya Cars</t>
        </is>
      </c>
      <c r="M1459" s="23" t="n">
        <v>4237.29</v>
      </c>
    </row>
    <row r="1460">
      <c r="A1460" s="19" t="inlineStr">
        <is>
          <t>FY27</t>
        </is>
      </c>
      <c r="B1460" s="19" t="inlineStr">
        <is>
          <t>May</t>
        </is>
      </c>
      <c r="C1460" s="19" t="inlineStr">
        <is>
          <t>TN</t>
        </is>
      </c>
      <c r="D1460" s="20" t="inlineStr">
        <is>
          <t>KA51MC9891</t>
        </is>
      </c>
      <c r="E1460" s="20" t="inlineStr">
        <is>
          <t>MARUTI SUZUKI</t>
        </is>
      </c>
      <c r="F1460" s="20" t="inlineStr">
        <is>
          <t>Swift Dzire</t>
        </is>
      </c>
      <c r="G1460" s="21" t="n">
        <v>2011</v>
      </c>
      <c r="H1460" s="22" t="n">
        <v>76949</v>
      </c>
      <c r="I1460" s="22" t="n">
        <v>120000</v>
      </c>
      <c r="J1460" s="20" t="inlineStr">
        <is>
          <t>Khivraj Motor</t>
        </is>
      </c>
      <c r="K1460" s="20" t="inlineStr">
        <is>
          <t>Non-Captive</t>
        </is>
      </c>
      <c r="L1460" s="20" t="inlineStr">
        <is>
          <t>Thiya Cars</t>
        </is>
      </c>
      <c r="M1460" s="23" t="n">
        <v>4237.29</v>
      </c>
    </row>
    <row r="1461">
      <c r="A1461" s="19" t="inlineStr">
        <is>
          <t>FY27</t>
        </is>
      </c>
      <c r="B1461" s="19" t="inlineStr">
        <is>
          <t>May</t>
        </is>
      </c>
      <c r="C1461" s="19" t="inlineStr">
        <is>
          <t>TN</t>
        </is>
      </c>
      <c r="D1461" s="20" t="inlineStr">
        <is>
          <t>TN06L3865</t>
        </is>
      </c>
      <c r="E1461" s="20" t="inlineStr">
        <is>
          <t>DATSUN</t>
        </is>
      </c>
      <c r="F1461" s="20" t="inlineStr">
        <is>
          <t>Redi-Go</t>
        </is>
      </c>
      <c r="G1461" s="21" t="n">
        <v>2014</v>
      </c>
      <c r="H1461" s="22" t="n">
        <v>134433</v>
      </c>
      <c r="I1461" s="22" t="n">
        <v>120000</v>
      </c>
      <c r="J1461" s="20" t="inlineStr">
        <is>
          <t>Indus</t>
        </is>
      </c>
      <c r="K1461" s="20" t="inlineStr">
        <is>
          <t>Non-Captive</t>
        </is>
      </c>
      <c r="L1461" s="20" t="inlineStr">
        <is>
          <t>Thiya Cars</t>
        </is>
      </c>
      <c r="M1461" s="23" t="n">
        <v>4237.29</v>
      </c>
    </row>
    <row r="1462">
      <c r="A1462" s="19" t="inlineStr">
        <is>
          <t>FY27</t>
        </is>
      </c>
      <c r="B1462" s="19" t="inlineStr">
        <is>
          <t>May</t>
        </is>
      </c>
      <c r="C1462" s="19" t="inlineStr">
        <is>
          <t>TN</t>
        </is>
      </c>
      <c r="D1462" s="20" t="inlineStr">
        <is>
          <t>TN14W9561</t>
        </is>
      </c>
      <c r="E1462" s="20" t="inlineStr">
        <is>
          <t>MARUTI SUZUKI</t>
        </is>
      </c>
      <c r="F1462" s="20" t="inlineStr">
        <is>
          <t>Alto</t>
        </is>
      </c>
      <c r="G1462" s="21" t="n">
        <v>2020</v>
      </c>
      <c r="H1462" s="22" t="n">
        <v>30314</v>
      </c>
      <c r="I1462" s="22" t="n">
        <v>120000</v>
      </c>
      <c r="J1462" s="20" t="inlineStr">
        <is>
          <t>FPL AUTOMOBILES PRIVATE LIMITED</t>
        </is>
      </c>
      <c r="K1462" s="20" t="inlineStr">
        <is>
          <t>Non-Captive</t>
        </is>
      </c>
      <c r="L1462" s="20" t="inlineStr">
        <is>
          <t>Thiya Cars</t>
        </is>
      </c>
      <c r="M1462" s="23" t="n">
        <v>4237.29</v>
      </c>
    </row>
    <row r="1463">
      <c r="A1463" s="19" t="inlineStr">
        <is>
          <t>FY27</t>
        </is>
      </c>
      <c r="B1463" s="19" t="inlineStr">
        <is>
          <t>May</t>
        </is>
      </c>
      <c r="C1463" s="19" t="inlineStr">
        <is>
          <t>TN</t>
        </is>
      </c>
      <c r="D1463" s="20" t="inlineStr">
        <is>
          <t>TN01AU1901</t>
        </is>
      </c>
      <c r="E1463" s="20" t="inlineStr">
        <is>
          <t>NISSAN</t>
        </is>
      </c>
      <c r="F1463" s="20" t="inlineStr">
        <is>
          <t>Micra</t>
        </is>
      </c>
      <c r="G1463" s="21" t="n">
        <v>2013</v>
      </c>
      <c r="H1463" s="22" t="n">
        <v>70231</v>
      </c>
      <c r="I1463" s="22" t="n">
        <v>120000</v>
      </c>
      <c r="J1463" s="20" t="inlineStr">
        <is>
          <t>STEER AUTO TECHNOLOGIES PRIVATE LIMITED</t>
        </is>
      </c>
      <c r="K1463" s="20" t="inlineStr">
        <is>
          <t>Non-Captive</t>
        </is>
      </c>
      <c r="L1463" s="20" t="inlineStr">
        <is>
          <t>Thiya Cars</t>
        </is>
      </c>
      <c r="M1463" s="23" t="n">
        <v>4237.29</v>
      </c>
    </row>
    <row r="1464">
      <c r="A1464" s="19" t="inlineStr">
        <is>
          <t>FY27</t>
        </is>
      </c>
      <c r="B1464" s="19" t="inlineStr">
        <is>
          <t>May</t>
        </is>
      </c>
      <c r="C1464" s="19" t="inlineStr">
        <is>
          <t>TN</t>
        </is>
      </c>
      <c r="D1464" s="20" t="inlineStr">
        <is>
          <t>TN10AE4930</t>
        </is>
      </c>
      <c r="E1464" s="20" t="inlineStr">
        <is>
          <t>HYUNDAI</t>
        </is>
      </c>
      <c r="F1464" s="20" t="inlineStr">
        <is>
          <t>I10</t>
        </is>
      </c>
      <c r="G1464" s="21" t="n">
        <v>2011</v>
      </c>
      <c r="H1464" s="22" t="n">
        <v>84439</v>
      </c>
      <c r="I1464" s="22" t="n">
        <v>120000</v>
      </c>
      <c r="J1464" s="20" t="inlineStr">
        <is>
          <t>Indus</t>
        </is>
      </c>
      <c r="K1464" s="20" t="inlineStr">
        <is>
          <t>Non-Captive</t>
        </is>
      </c>
      <c r="L1464" s="20" t="inlineStr">
        <is>
          <t>Thiya Cars</t>
        </is>
      </c>
      <c r="M1464" s="23" t="n">
        <v>4237.29</v>
      </c>
    </row>
    <row r="1465">
      <c r="A1465" s="19" t="inlineStr">
        <is>
          <t>FY27</t>
        </is>
      </c>
      <c r="B1465" s="19" t="inlineStr">
        <is>
          <t>May</t>
        </is>
      </c>
      <c r="C1465" s="19" t="inlineStr">
        <is>
          <t>TN</t>
        </is>
      </c>
      <c r="D1465" s="20" t="inlineStr">
        <is>
          <t>TN09CE9972</t>
        </is>
      </c>
      <c r="E1465" s="20" t="inlineStr">
        <is>
          <t>DATSUN</t>
        </is>
      </c>
      <c r="F1465" s="20" t="inlineStr">
        <is>
          <t>Redi-Go</t>
        </is>
      </c>
      <c r="G1465" s="21" t="n">
        <v>2016</v>
      </c>
      <c r="H1465" s="22" t="n">
        <v>69642</v>
      </c>
      <c r="I1465" s="22" t="n">
        <v>125000</v>
      </c>
      <c r="J1465" s="20" t="inlineStr">
        <is>
          <t>Harsha</t>
        </is>
      </c>
      <c r="K1465" s="20" t="inlineStr">
        <is>
          <t>Non-Captive</t>
        </is>
      </c>
      <c r="L1465" s="20" t="inlineStr">
        <is>
          <t>Thiya Cars</t>
        </is>
      </c>
      <c r="M1465" s="23" t="n">
        <v>4237.29</v>
      </c>
    </row>
    <row r="1466">
      <c r="A1466" s="19" t="inlineStr">
        <is>
          <t>FY27</t>
        </is>
      </c>
      <c r="B1466" s="19" t="inlineStr">
        <is>
          <t>May</t>
        </is>
      </c>
      <c r="C1466" s="19" t="inlineStr">
        <is>
          <t>TN</t>
        </is>
      </c>
      <c r="D1466" s="20" t="inlineStr">
        <is>
          <t>TN19H9509</t>
        </is>
      </c>
      <c r="E1466" s="20" t="inlineStr">
        <is>
          <t>FORD</t>
        </is>
      </c>
      <c r="F1466" s="20" t="inlineStr">
        <is>
          <t>Fiesta</t>
        </is>
      </c>
      <c r="G1466" s="21" t="n">
        <v>2012</v>
      </c>
      <c r="H1466" s="22" t="n">
        <v>141264</v>
      </c>
      <c r="I1466" s="22" t="n">
        <v>125000</v>
      </c>
      <c r="J1466" s="20" t="inlineStr">
        <is>
          <t>Cresco cars</t>
        </is>
      </c>
      <c r="K1466" s="20" t="inlineStr">
        <is>
          <t>Non-Captive</t>
        </is>
      </c>
      <c r="L1466" s="20" t="inlineStr">
        <is>
          <t>Thiya Cars</t>
        </is>
      </c>
      <c r="M1466" s="23" t="n">
        <v>4237.29</v>
      </c>
    </row>
    <row r="1467">
      <c r="A1467" s="19" t="inlineStr">
        <is>
          <t>FY27</t>
        </is>
      </c>
      <c r="B1467" s="19" t="inlineStr">
        <is>
          <t>May</t>
        </is>
      </c>
      <c r="C1467" s="19" t="inlineStr">
        <is>
          <t>TN</t>
        </is>
      </c>
      <c r="D1467" s="20" t="inlineStr">
        <is>
          <t>TN10AH3559</t>
        </is>
      </c>
      <c r="E1467" s="20" t="inlineStr">
        <is>
          <t>HYUNDAI</t>
        </is>
      </c>
      <c r="F1467" s="20" t="inlineStr">
        <is>
          <t>Eon</t>
        </is>
      </c>
      <c r="G1467" s="21" t="n">
        <v>2012</v>
      </c>
      <c r="H1467" s="22" t="n">
        <v>67169</v>
      </c>
      <c r="I1467" s="22" t="n">
        <v>125000</v>
      </c>
      <c r="J1467" s="20" t="inlineStr">
        <is>
          <t>Khivraj Motor</t>
        </is>
      </c>
      <c r="K1467" s="20" t="inlineStr">
        <is>
          <t>Non-Captive</t>
        </is>
      </c>
      <c r="L1467" s="20" t="inlineStr">
        <is>
          <t>Nirmal Cars</t>
        </is>
      </c>
      <c r="M1467" s="23" t="n">
        <v>4237.29</v>
      </c>
    </row>
    <row r="1468">
      <c r="A1468" s="19" t="inlineStr">
        <is>
          <t>FY27</t>
        </is>
      </c>
      <c r="B1468" s="19" t="inlineStr">
        <is>
          <t>May</t>
        </is>
      </c>
      <c r="C1468" s="19" t="inlineStr">
        <is>
          <t>TN</t>
        </is>
      </c>
      <c r="D1468" s="20" t="inlineStr">
        <is>
          <t>TN10AY9271</t>
        </is>
      </c>
      <c r="E1468" s="20" t="inlineStr">
        <is>
          <t>RENAULT</t>
        </is>
      </c>
      <c r="F1468" s="20" t="inlineStr">
        <is>
          <t>Kwid</t>
        </is>
      </c>
      <c r="G1468" s="21" t="n">
        <v>2016</v>
      </c>
      <c r="H1468" s="22" t="n">
        <v>44780</v>
      </c>
      <c r="I1468" s="22" t="n">
        <v>125000</v>
      </c>
      <c r="J1468" s="20" t="inlineStr">
        <is>
          <t>Khivraj Motor</t>
        </is>
      </c>
      <c r="K1468" s="20" t="inlineStr">
        <is>
          <t>Non-Captive</t>
        </is>
      </c>
      <c r="L1468" s="20" t="inlineStr">
        <is>
          <t>Nirmal Cars</t>
        </is>
      </c>
      <c r="M1468" s="23" t="n">
        <v>4237.29</v>
      </c>
    </row>
    <row r="1469">
      <c r="A1469" s="19" t="inlineStr">
        <is>
          <t>FY27</t>
        </is>
      </c>
      <c r="B1469" s="19" t="inlineStr">
        <is>
          <t>May</t>
        </is>
      </c>
      <c r="C1469" s="19" t="inlineStr">
        <is>
          <t>TN</t>
        </is>
      </c>
      <c r="D1469" s="20" t="inlineStr">
        <is>
          <t>TN01AQ9625</t>
        </is>
      </c>
      <c r="E1469" s="20" t="inlineStr">
        <is>
          <t>CHEVROLET</t>
        </is>
      </c>
      <c r="F1469" s="20" t="inlineStr">
        <is>
          <t>Beat</t>
        </is>
      </c>
      <c r="G1469" s="21" t="n">
        <v>2012</v>
      </c>
      <c r="H1469" s="22" t="n">
        <v>75551</v>
      </c>
      <c r="I1469" s="22" t="n">
        <v>126000</v>
      </c>
      <c r="J1469" s="20" t="inlineStr">
        <is>
          <t>Khivraj Motor</t>
        </is>
      </c>
      <c r="K1469" s="20" t="inlineStr">
        <is>
          <t>Non-Captive</t>
        </is>
      </c>
      <c r="L1469" s="20" t="inlineStr">
        <is>
          <t>Nirmal Cars</t>
        </is>
      </c>
      <c r="M1469" s="23" t="n">
        <v>4237.29</v>
      </c>
    </row>
    <row r="1470">
      <c r="A1470" s="19" t="inlineStr">
        <is>
          <t>FY27</t>
        </is>
      </c>
      <c r="B1470" s="19" t="inlineStr">
        <is>
          <t>May</t>
        </is>
      </c>
      <c r="C1470" s="19" t="inlineStr">
        <is>
          <t>TN</t>
        </is>
      </c>
      <c r="D1470" s="20" t="inlineStr">
        <is>
          <t>TN05AS6345</t>
        </is>
      </c>
      <c r="E1470" s="20" t="inlineStr">
        <is>
          <t>MARUTI SUZUKI</t>
        </is>
      </c>
      <c r="F1470" s="20" t="inlineStr">
        <is>
          <t>Alto</t>
        </is>
      </c>
      <c r="G1470" s="21" t="n">
        <v>2013</v>
      </c>
      <c r="H1470" s="22" t="n">
        <v>38870</v>
      </c>
      <c r="I1470" s="22" t="n">
        <v>128000</v>
      </c>
      <c r="J1470" s="20" t="inlineStr">
        <is>
          <t>Cresco cars</t>
        </is>
      </c>
      <c r="K1470" s="20" t="inlineStr">
        <is>
          <t>Non-Captive</t>
        </is>
      </c>
      <c r="L1470" s="20" t="inlineStr">
        <is>
          <t>Nirmal Cars</t>
        </is>
      </c>
      <c r="M1470" s="23" t="n">
        <v>4237.29</v>
      </c>
    </row>
    <row r="1471">
      <c r="A1471" s="19" t="inlineStr">
        <is>
          <t>FY27</t>
        </is>
      </c>
      <c r="B1471" s="19" t="inlineStr">
        <is>
          <t>May</t>
        </is>
      </c>
      <c r="C1471" s="19" t="inlineStr">
        <is>
          <t>TN</t>
        </is>
      </c>
      <c r="D1471" s="20" t="inlineStr">
        <is>
          <t>TN07BR4789</t>
        </is>
      </c>
      <c r="E1471" s="20" t="inlineStr">
        <is>
          <t>FORD</t>
        </is>
      </c>
      <c r="F1471" s="20" t="inlineStr">
        <is>
          <t>Fiesta Classic</t>
        </is>
      </c>
      <c r="G1471" s="21" t="n">
        <v>2012</v>
      </c>
      <c r="H1471" s="22" t="n">
        <v>67797</v>
      </c>
      <c r="I1471" s="22" t="n">
        <v>128000</v>
      </c>
      <c r="J1471" s="20" t="inlineStr">
        <is>
          <t>FPL AUTOMOBILES PRIVATE LIMITED</t>
        </is>
      </c>
      <c r="K1471" s="20" t="inlineStr">
        <is>
          <t>Non-Captive</t>
        </is>
      </c>
      <c r="L1471" s="20" t="inlineStr">
        <is>
          <t>Nirmal Cars</t>
        </is>
      </c>
      <c r="M1471" s="23" t="n">
        <v>4237.29</v>
      </c>
    </row>
    <row r="1472">
      <c r="A1472" s="19" t="inlineStr">
        <is>
          <t>FY27</t>
        </is>
      </c>
      <c r="B1472" s="19" t="inlineStr">
        <is>
          <t>May</t>
        </is>
      </c>
      <c r="C1472" s="19" t="inlineStr">
        <is>
          <t>TN</t>
        </is>
      </c>
      <c r="D1472" s="20" t="inlineStr">
        <is>
          <t>TN07AS7911</t>
        </is>
      </c>
      <c r="E1472" s="20" t="inlineStr">
        <is>
          <t>MARUTI SUZUKI</t>
        </is>
      </c>
      <c r="F1472" s="20" t="inlineStr">
        <is>
          <t>Swift</t>
        </is>
      </c>
      <c r="G1472" s="21" t="n">
        <v>2007</v>
      </c>
      <c r="H1472" s="22" t="n">
        <v>70138</v>
      </c>
      <c r="I1472" s="22" t="n">
        <v>130000</v>
      </c>
      <c r="J1472" s="20" t="inlineStr">
        <is>
          <t>Khivraj Motor</t>
        </is>
      </c>
      <c r="K1472" s="20" t="inlineStr">
        <is>
          <t>Non-Captive</t>
        </is>
      </c>
      <c r="L1472" s="20" t="inlineStr">
        <is>
          <t>Nirmal Cars</t>
        </is>
      </c>
      <c r="M1472" s="23" t="n">
        <v>4237.29</v>
      </c>
    </row>
    <row r="1473">
      <c r="A1473" s="19" t="inlineStr">
        <is>
          <t>FY27</t>
        </is>
      </c>
      <c r="B1473" s="19" t="inlineStr">
        <is>
          <t>May</t>
        </is>
      </c>
      <c r="C1473" s="19" t="inlineStr">
        <is>
          <t>TN</t>
        </is>
      </c>
      <c r="D1473" s="20" t="inlineStr">
        <is>
          <t>TN02AM8562</t>
        </is>
      </c>
      <c r="E1473" s="20" t="inlineStr">
        <is>
          <t>MARUTI SUZUKI</t>
        </is>
      </c>
      <c r="F1473" s="20" t="inlineStr">
        <is>
          <t>Wagon R</t>
        </is>
      </c>
      <c r="G1473" s="21" t="n">
        <v>2010</v>
      </c>
      <c r="H1473" s="22" t="n">
        <v>119755</v>
      </c>
      <c r="I1473" s="22" t="n">
        <v>130000</v>
      </c>
      <c r="J1473" s="20" t="inlineStr">
        <is>
          <t>Khivraj Motor</t>
        </is>
      </c>
      <c r="K1473" s="20" t="inlineStr">
        <is>
          <t>Non-Captive</t>
        </is>
      </c>
      <c r="L1473" s="20" t="inlineStr">
        <is>
          <t>Nirmal Cars</t>
        </is>
      </c>
      <c r="M1473" s="23" t="n">
        <v>4237.29</v>
      </c>
    </row>
    <row r="1474">
      <c r="A1474" s="19" t="inlineStr">
        <is>
          <t>FY27</t>
        </is>
      </c>
      <c r="B1474" s="19" t="inlineStr">
        <is>
          <t>May</t>
        </is>
      </c>
      <c r="C1474" s="19" t="inlineStr">
        <is>
          <t>TN</t>
        </is>
      </c>
      <c r="D1474" s="20" t="inlineStr">
        <is>
          <t>TN05AK5585</t>
        </is>
      </c>
      <c r="E1474" s="20" t="inlineStr">
        <is>
          <t>NISSAN</t>
        </is>
      </c>
      <c r="F1474" s="20" t="inlineStr">
        <is>
          <t>Micra</t>
        </is>
      </c>
      <c r="G1474" s="21" t="n">
        <v>2011</v>
      </c>
      <c r="H1474" s="22" t="n">
        <v>77280</v>
      </c>
      <c r="I1474" s="22" t="n">
        <v>130000</v>
      </c>
      <c r="J1474" s="20" t="inlineStr">
        <is>
          <t>Cresco cars</t>
        </is>
      </c>
      <c r="K1474" s="20" t="inlineStr">
        <is>
          <t>Non-Captive</t>
        </is>
      </c>
      <c r="L1474" s="20" t="inlineStr">
        <is>
          <t>Nirmal Cars</t>
        </is>
      </c>
      <c r="M1474" s="23" t="n">
        <v>4237.29</v>
      </c>
    </row>
    <row r="1475">
      <c r="A1475" s="19" t="inlineStr">
        <is>
          <t>FY27</t>
        </is>
      </c>
      <c r="B1475" s="19" t="inlineStr">
        <is>
          <t>May</t>
        </is>
      </c>
      <c r="C1475" s="19" t="inlineStr">
        <is>
          <t>TN</t>
        </is>
      </c>
      <c r="D1475" s="20" t="inlineStr">
        <is>
          <t>TN22CW2549</t>
        </is>
      </c>
      <c r="E1475" s="20" t="inlineStr">
        <is>
          <t>MARUTI SUZUKI</t>
        </is>
      </c>
      <c r="F1475" s="20" t="inlineStr">
        <is>
          <t>Wagon R</t>
        </is>
      </c>
      <c r="G1475" s="21" t="n">
        <v>2011</v>
      </c>
      <c r="H1475" s="22" t="n">
        <v>66245</v>
      </c>
      <c r="I1475" s="22" t="n">
        <v>130000</v>
      </c>
      <c r="J1475" s="20" t="inlineStr">
        <is>
          <t>CARS INDIA</t>
        </is>
      </c>
      <c r="K1475" s="20" t="inlineStr">
        <is>
          <t>Non-Captive</t>
        </is>
      </c>
      <c r="L1475" s="20" t="inlineStr">
        <is>
          <t>Nirmal Cars</t>
        </is>
      </c>
      <c r="M1475" s="23" t="n">
        <v>4237.29</v>
      </c>
    </row>
    <row r="1476">
      <c r="A1476" s="19" t="inlineStr">
        <is>
          <t>FY27</t>
        </is>
      </c>
      <c r="B1476" s="19" t="inlineStr">
        <is>
          <t>May</t>
        </is>
      </c>
      <c r="C1476" s="19" t="inlineStr">
        <is>
          <t>TN</t>
        </is>
      </c>
      <c r="D1476" s="20" t="inlineStr">
        <is>
          <t>TN18W9253</t>
        </is>
      </c>
      <c r="E1476" s="20" t="inlineStr">
        <is>
          <t>FIAT</t>
        </is>
      </c>
      <c r="F1476" s="20" t="inlineStr">
        <is>
          <t>Grand Punto</t>
        </is>
      </c>
      <c r="G1476" s="21" t="n">
        <v>2012</v>
      </c>
      <c r="H1476" s="22" t="n">
        <v>81146</v>
      </c>
      <c r="I1476" s="22" t="n">
        <v>132000</v>
      </c>
      <c r="J1476" s="20" t="inlineStr">
        <is>
          <t>Cresco cars</t>
        </is>
      </c>
      <c r="K1476" s="20" t="inlineStr">
        <is>
          <t>Non-Captive</t>
        </is>
      </c>
      <c r="L1476" s="20" t="inlineStr">
        <is>
          <t>Nirmal Cars</t>
        </is>
      </c>
      <c r="M1476" s="23" t="n">
        <v>4237.29</v>
      </c>
    </row>
    <row r="1477">
      <c r="A1477" s="19" t="inlineStr">
        <is>
          <t>FY27</t>
        </is>
      </c>
      <c r="B1477" s="19" t="inlineStr">
        <is>
          <t>May</t>
        </is>
      </c>
      <c r="C1477" s="19" t="inlineStr">
        <is>
          <t>TN</t>
        </is>
      </c>
      <c r="D1477" s="20" t="inlineStr">
        <is>
          <t>TN02AU9785</t>
        </is>
      </c>
      <c r="E1477" s="20" t="inlineStr">
        <is>
          <t>MARUTI SUZUKI</t>
        </is>
      </c>
      <c r="F1477" s="20" t="inlineStr">
        <is>
          <t>Alto</t>
        </is>
      </c>
      <c r="G1477" s="21" t="n">
        <v>2012</v>
      </c>
      <c r="H1477" s="22" t="n">
        <v>64181</v>
      </c>
      <c r="I1477" s="22" t="n">
        <v>132000</v>
      </c>
      <c r="J1477" s="20" t="inlineStr">
        <is>
          <t>Cresco cars</t>
        </is>
      </c>
      <c r="K1477" s="20" t="inlineStr">
        <is>
          <t>Non-Captive</t>
        </is>
      </c>
      <c r="L1477" s="20" t="inlineStr">
        <is>
          <t>Nirmal Cars</t>
        </is>
      </c>
      <c r="M1477" s="23" t="n">
        <v>4237.29</v>
      </c>
    </row>
    <row r="1478">
      <c r="A1478" s="19" t="inlineStr">
        <is>
          <t>FY27</t>
        </is>
      </c>
      <c r="B1478" s="19" t="inlineStr">
        <is>
          <t>May</t>
        </is>
      </c>
      <c r="C1478" s="19" t="inlineStr">
        <is>
          <t>TN</t>
        </is>
      </c>
      <c r="D1478" s="20" t="inlineStr">
        <is>
          <t>TN20BU4529</t>
        </is>
      </c>
      <c r="E1478" s="20" t="inlineStr">
        <is>
          <t>MARUTI SUZUKI</t>
        </is>
      </c>
      <c r="F1478" s="20" t="inlineStr">
        <is>
          <t>Swift</t>
        </is>
      </c>
      <c r="G1478" s="21" t="n">
        <v>2010</v>
      </c>
      <c r="H1478" s="22" t="n">
        <v>207198</v>
      </c>
      <c r="I1478" s="22" t="n">
        <v>135000</v>
      </c>
      <c r="J1478" s="20" t="inlineStr">
        <is>
          <t>AIE CARS PRIVATE LIMITED</t>
        </is>
      </c>
      <c r="K1478" s="20" t="inlineStr">
        <is>
          <t>Non-Captive</t>
        </is>
      </c>
      <c r="L1478" s="20" t="inlineStr">
        <is>
          <t>Nirmal Cars</t>
        </is>
      </c>
      <c r="M1478" s="23" t="n">
        <v>4237.29</v>
      </c>
    </row>
    <row r="1479">
      <c r="A1479" s="19" t="inlineStr">
        <is>
          <t>FY27</t>
        </is>
      </c>
      <c r="B1479" s="19" t="inlineStr">
        <is>
          <t>May</t>
        </is>
      </c>
      <c r="C1479" s="19" t="inlineStr">
        <is>
          <t>TN</t>
        </is>
      </c>
      <c r="D1479" s="20" t="inlineStr">
        <is>
          <t>TN22CQ1445</t>
        </is>
      </c>
      <c r="E1479" s="20" t="inlineStr">
        <is>
          <t>MARUTI SUZUKI</t>
        </is>
      </c>
      <c r="F1479" s="20" t="inlineStr">
        <is>
          <t>Eeco</t>
        </is>
      </c>
      <c r="G1479" s="21" t="n">
        <v>2014</v>
      </c>
      <c r="H1479" s="22" t="n">
        <v>17591</v>
      </c>
      <c r="I1479" s="22" t="n">
        <v>135000</v>
      </c>
      <c r="J1479" s="20" t="inlineStr">
        <is>
          <t>POPULAR VEHICLES AND SERVICES LIMITED</t>
        </is>
      </c>
      <c r="K1479" s="20" t="inlineStr">
        <is>
          <t>Non-Captive</t>
        </is>
      </c>
      <c r="L1479" s="20" t="inlineStr">
        <is>
          <t>Nirmal Cars</t>
        </is>
      </c>
      <c r="M1479" s="23" t="n">
        <v>4237.29</v>
      </c>
    </row>
    <row r="1480">
      <c r="A1480" s="19" t="inlineStr">
        <is>
          <t>FY27</t>
        </is>
      </c>
      <c r="B1480" s="19" t="inlineStr">
        <is>
          <t>May</t>
        </is>
      </c>
      <c r="C1480" s="19" t="inlineStr">
        <is>
          <t>TN</t>
        </is>
      </c>
      <c r="D1480" s="20" t="inlineStr">
        <is>
          <t>TN01AS1470</t>
        </is>
      </c>
      <c r="E1480" s="20" t="inlineStr">
        <is>
          <t>MARUTI SUZUKI</t>
        </is>
      </c>
      <c r="F1480" s="20" t="inlineStr">
        <is>
          <t>Ritz</t>
        </is>
      </c>
      <c r="G1480" s="21" t="n">
        <v>2011</v>
      </c>
      <c r="H1480" s="22" t="n">
        <v>89778</v>
      </c>
      <c r="I1480" s="22" t="n">
        <v>135000</v>
      </c>
      <c r="J1480" s="20" t="inlineStr">
        <is>
          <t>CARS INDIA</t>
        </is>
      </c>
      <c r="K1480" s="20" t="inlineStr">
        <is>
          <t>Non-Captive</t>
        </is>
      </c>
      <c r="L1480" s="20" t="inlineStr">
        <is>
          <t>Nirmal Cars</t>
        </is>
      </c>
      <c r="M1480" s="23" t="n">
        <v>4237.29</v>
      </c>
    </row>
    <row r="1481">
      <c r="A1481" s="19" t="inlineStr">
        <is>
          <t>FY27</t>
        </is>
      </c>
      <c r="B1481" s="19" t="inlineStr">
        <is>
          <t>May</t>
        </is>
      </c>
      <c r="C1481" s="19" t="inlineStr">
        <is>
          <t>TN</t>
        </is>
      </c>
      <c r="D1481" s="20" t="inlineStr">
        <is>
          <t>TN11K9238</t>
        </is>
      </c>
      <c r="E1481" s="20" t="inlineStr">
        <is>
          <t>HYUNDAI</t>
        </is>
      </c>
      <c r="F1481" s="20" t="inlineStr">
        <is>
          <t>Eon</t>
        </is>
      </c>
      <c r="G1481" s="21" t="n">
        <v>2014</v>
      </c>
      <c r="H1481" s="22" t="n">
        <v>97548</v>
      </c>
      <c r="I1481" s="22" t="n">
        <v>140000</v>
      </c>
      <c r="J1481" s="20" t="inlineStr">
        <is>
          <t>SVM CARS PRIVATE LIMITED</t>
        </is>
      </c>
      <c r="K1481" s="20" t="inlineStr">
        <is>
          <t>Non-Captive</t>
        </is>
      </c>
      <c r="L1481" s="20" t="inlineStr">
        <is>
          <t>Nirmal Cars</t>
        </is>
      </c>
      <c r="M1481" s="23" t="n">
        <v>4237.29</v>
      </c>
    </row>
    <row r="1482">
      <c r="A1482" s="19" t="inlineStr">
        <is>
          <t>FY27</t>
        </is>
      </c>
      <c r="B1482" s="19" t="inlineStr">
        <is>
          <t>May</t>
        </is>
      </c>
      <c r="C1482" s="19" t="inlineStr">
        <is>
          <t>TN</t>
        </is>
      </c>
      <c r="D1482" s="20" t="inlineStr">
        <is>
          <t>TN07BJ0529</t>
        </is>
      </c>
      <c r="E1482" s="20" t="inlineStr">
        <is>
          <t>HYUNDAI</t>
        </is>
      </c>
      <c r="F1482" s="20" t="inlineStr">
        <is>
          <t>I20</t>
        </is>
      </c>
      <c r="G1482" s="21" t="n">
        <v>2010</v>
      </c>
      <c r="H1482" s="22" t="n">
        <v>54199</v>
      </c>
      <c r="I1482" s="22" t="n">
        <v>140000</v>
      </c>
      <c r="J1482" s="20" t="inlineStr">
        <is>
          <t>Cresco cars</t>
        </is>
      </c>
      <c r="K1482" s="20" t="inlineStr">
        <is>
          <t>Non-Captive</t>
        </is>
      </c>
      <c r="L1482" s="20" t="inlineStr">
        <is>
          <t>Nirmal Cars</t>
        </is>
      </c>
      <c r="M1482" s="23" t="n">
        <v>4237.29</v>
      </c>
    </row>
    <row r="1483">
      <c r="A1483" s="19" t="inlineStr">
        <is>
          <t>FY27</t>
        </is>
      </c>
      <c r="B1483" s="19" t="inlineStr">
        <is>
          <t>May</t>
        </is>
      </c>
      <c r="C1483" s="19" t="inlineStr">
        <is>
          <t>TN</t>
        </is>
      </c>
      <c r="D1483" s="20" t="inlineStr">
        <is>
          <t>TN10AE4468</t>
        </is>
      </c>
      <c r="E1483" s="20" t="inlineStr">
        <is>
          <t>NISSAN</t>
        </is>
      </c>
      <c r="F1483" s="20" t="inlineStr">
        <is>
          <t>Micra</t>
        </is>
      </c>
      <c r="G1483" s="21" t="n">
        <v>2011</v>
      </c>
      <c r="H1483" s="22" t="n">
        <v>52328</v>
      </c>
      <c r="I1483" s="22" t="n">
        <v>140000</v>
      </c>
      <c r="J1483" s="20" t="inlineStr">
        <is>
          <t>PRODUCTIVITY ELEMENTS PRIVATE LIMITED</t>
        </is>
      </c>
      <c r="K1483" s="20" t="inlineStr">
        <is>
          <t>Non-Captive</t>
        </is>
      </c>
      <c r="L1483" s="20" t="inlineStr">
        <is>
          <t>Nirmal Cars</t>
        </is>
      </c>
      <c r="M1483" s="23" t="n">
        <v>3389.83</v>
      </c>
    </row>
    <row r="1484">
      <c r="A1484" s="19" t="inlineStr">
        <is>
          <t>FY27</t>
        </is>
      </c>
      <c r="B1484" s="19" t="inlineStr">
        <is>
          <t>May</t>
        </is>
      </c>
      <c r="C1484" s="19" t="inlineStr">
        <is>
          <t>TN</t>
        </is>
      </c>
      <c r="D1484" s="20" t="inlineStr">
        <is>
          <t>TN02AU9718</t>
        </is>
      </c>
      <c r="E1484" s="20" t="inlineStr">
        <is>
          <t>MARUTI SUZUKI</t>
        </is>
      </c>
      <c r="F1484" s="20" t="inlineStr">
        <is>
          <t>Ritz</t>
        </is>
      </c>
      <c r="G1484" s="21" t="n">
        <v>2012</v>
      </c>
      <c r="H1484" s="22" t="n">
        <v>92962</v>
      </c>
      <c r="I1484" s="22" t="n">
        <v>140000</v>
      </c>
      <c r="J1484" s="20" t="inlineStr">
        <is>
          <t>Indus</t>
        </is>
      </c>
      <c r="K1484" s="20" t="inlineStr">
        <is>
          <t>Non-Captive</t>
        </is>
      </c>
      <c r="L1484" s="20" t="inlineStr">
        <is>
          <t>Nirmal Cars</t>
        </is>
      </c>
      <c r="M1484" s="23" t="n">
        <v>3389.83</v>
      </c>
    </row>
    <row r="1485">
      <c r="A1485" s="19" t="inlineStr">
        <is>
          <t>FY27</t>
        </is>
      </c>
      <c r="B1485" s="19" t="inlineStr">
        <is>
          <t>May</t>
        </is>
      </c>
      <c r="C1485" s="19" t="inlineStr">
        <is>
          <t>TN</t>
        </is>
      </c>
      <c r="D1485" s="20" t="inlineStr">
        <is>
          <t>TN02AY4012</t>
        </is>
      </c>
      <c r="E1485" s="20" t="inlineStr">
        <is>
          <t>MARUTI SUZUKI</t>
        </is>
      </c>
      <c r="F1485" s="20" t="inlineStr">
        <is>
          <t>A-Star</t>
        </is>
      </c>
      <c r="G1485" s="21" t="n">
        <v>2013</v>
      </c>
      <c r="H1485" s="22" t="n">
        <v>88519</v>
      </c>
      <c r="I1485" s="22" t="n">
        <v>140000</v>
      </c>
      <c r="J1485" s="20" t="inlineStr">
        <is>
          <t>Epic Toyota</t>
        </is>
      </c>
      <c r="K1485" s="20" t="inlineStr">
        <is>
          <t>Non-Captive</t>
        </is>
      </c>
      <c r="L1485" s="20" t="inlineStr">
        <is>
          <t>Nirmal Cars</t>
        </is>
      </c>
      <c r="M1485" s="23" t="n">
        <v>3389.83</v>
      </c>
    </row>
    <row r="1486">
      <c r="A1486" s="19" t="inlineStr">
        <is>
          <t>FY27</t>
        </is>
      </c>
      <c r="B1486" s="19" t="inlineStr">
        <is>
          <t>May</t>
        </is>
      </c>
      <c r="C1486" s="19" t="inlineStr">
        <is>
          <t>TN</t>
        </is>
      </c>
      <c r="D1486" s="20" t="inlineStr">
        <is>
          <t>TN63R9682</t>
        </is>
      </c>
      <c r="E1486" s="20" t="inlineStr">
        <is>
          <t>HYUNDAI</t>
        </is>
      </c>
      <c r="F1486" s="20" t="inlineStr">
        <is>
          <t>I10</t>
        </is>
      </c>
      <c r="G1486" s="21" t="n">
        <v>2010</v>
      </c>
      <c r="H1486" s="22" t="n">
        <v>82737</v>
      </c>
      <c r="I1486" s="22" t="n">
        <v>144000</v>
      </c>
      <c r="J1486" s="20" t="inlineStr">
        <is>
          <t>KUN KIA - MADURAI (PRODUCTIVITY ELEMENTS PRIVATE LIMITED)</t>
        </is>
      </c>
      <c r="K1486" s="20" t="inlineStr">
        <is>
          <t>Non-Captive</t>
        </is>
      </c>
      <c r="L1486" s="20" t="inlineStr">
        <is>
          <t>Nirmal Cars</t>
        </is>
      </c>
      <c r="M1486" s="23" t="n">
        <v>3389.83</v>
      </c>
    </row>
    <row r="1487">
      <c r="A1487" s="19" t="inlineStr">
        <is>
          <t>FY27</t>
        </is>
      </c>
      <c r="B1487" s="19" t="inlineStr">
        <is>
          <t>May</t>
        </is>
      </c>
      <c r="C1487" s="19" t="inlineStr">
        <is>
          <t>TN</t>
        </is>
      </c>
      <c r="D1487" s="20" t="inlineStr">
        <is>
          <t>TN07BJ7503</t>
        </is>
      </c>
      <c r="E1487" s="20" t="inlineStr">
        <is>
          <t>MARUTI SUZUKI</t>
        </is>
      </c>
      <c r="F1487" s="20" t="inlineStr">
        <is>
          <t>Ritz</t>
        </is>
      </c>
      <c r="G1487" s="21" t="n">
        <v>2010</v>
      </c>
      <c r="H1487" s="22" t="n">
        <v>119188</v>
      </c>
      <c r="I1487" s="22" t="n">
        <v>144000</v>
      </c>
      <c r="J1487" s="20" t="inlineStr">
        <is>
          <t>AIE CARS PRIVATE LIMITED</t>
        </is>
      </c>
      <c r="K1487" s="20" t="inlineStr">
        <is>
          <t>Non-Captive</t>
        </is>
      </c>
      <c r="L1487" s="20" t="inlineStr">
        <is>
          <t>Nirmal Cars</t>
        </is>
      </c>
      <c r="M1487" s="23" t="n">
        <v>3389.83</v>
      </c>
    </row>
    <row r="1488">
      <c r="A1488" s="19" t="inlineStr">
        <is>
          <t>FY27</t>
        </is>
      </c>
      <c r="B1488" s="19" t="inlineStr">
        <is>
          <t>May</t>
        </is>
      </c>
      <c r="C1488" s="19" t="inlineStr">
        <is>
          <t>TN</t>
        </is>
      </c>
      <c r="D1488" s="20" t="inlineStr">
        <is>
          <t>TN21AK7174</t>
        </is>
      </c>
      <c r="E1488" s="20" t="inlineStr">
        <is>
          <t>HYUNDAI</t>
        </is>
      </c>
      <c r="F1488" s="20" t="inlineStr">
        <is>
          <t>Eon</t>
        </is>
      </c>
      <c r="G1488" s="21" t="n">
        <v>2011</v>
      </c>
      <c r="H1488" s="22" t="n">
        <v>35413</v>
      </c>
      <c r="I1488" s="22" t="n">
        <v>144000</v>
      </c>
      <c r="J1488" s="20" t="inlineStr">
        <is>
          <t>Cresco cars</t>
        </is>
      </c>
      <c r="K1488" s="20" t="inlineStr">
        <is>
          <t>Non-Captive</t>
        </is>
      </c>
      <c r="L1488" s="20" t="inlineStr">
        <is>
          <t>Nirmal Cars</t>
        </is>
      </c>
      <c r="M1488" s="23" t="n">
        <v>3389.83</v>
      </c>
    </row>
    <row r="1489">
      <c r="A1489" s="19" t="inlineStr">
        <is>
          <t>FY27</t>
        </is>
      </c>
      <c r="B1489" s="19" t="inlineStr">
        <is>
          <t>May</t>
        </is>
      </c>
      <c r="C1489" s="19" t="inlineStr">
        <is>
          <t>TN</t>
        </is>
      </c>
      <c r="D1489" s="20" t="inlineStr">
        <is>
          <t>TN05AX6656</t>
        </is>
      </c>
      <c r="E1489" s="20" t="inlineStr">
        <is>
          <t>MARUTI SUZUKI</t>
        </is>
      </c>
      <c r="F1489" s="20" t="inlineStr">
        <is>
          <t>Alto</t>
        </is>
      </c>
      <c r="G1489" s="21" t="n">
        <v>2014</v>
      </c>
      <c r="H1489" s="22" t="n">
        <v>70707</v>
      </c>
      <c r="I1489" s="22" t="n">
        <v>144000</v>
      </c>
      <c r="J1489" s="20" t="inlineStr">
        <is>
          <t>Harsha</t>
        </is>
      </c>
      <c r="K1489" s="20" t="inlineStr">
        <is>
          <t>Non-Captive</t>
        </is>
      </c>
      <c r="L1489" s="20" t="inlineStr">
        <is>
          <t>Nirmal Cars</t>
        </is>
      </c>
      <c r="M1489" s="23" t="n">
        <v>3389.83</v>
      </c>
    </row>
    <row r="1490">
      <c r="A1490" s="19" t="inlineStr">
        <is>
          <t>FY27</t>
        </is>
      </c>
      <c r="B1490" s="19" t="inlineStr">
        <is>
          <t>May</t>
        </is>
      </c>
      <c r="C1490" s="19" t="inlineStr">
        <is>
          <t>TN</t>
        </is>
      </c>
      <c r="D1490" s="20" t="inlineStr">
        <is>
          <t>TN07BJ2187</t>
        </is>
      </c>
      <c r="E1490" s="20" t="inlineStr">
        <is>
          <t>HYUNDAI</t>
        </is>
      </c>
      <c r="F1490" s="20" t="inlineStr">
        <is>
          <t>I20</t>
        </is>
      </c>
      <c r="G1490" s="21" t="n">
        <v>2010</v>
      </c>
      <c r="H1490" s="22" t="n">
        <v>104931</v>
      </c>
      <c r="I1490" s="22" t="n">
        <v>145000</v>
      </c>
      <c r="J1490" s="20" t="inlineStr">
        <is>
          <t>PRODUCTIVITY ELEMENTS PRIVATE LIMITED</t>
        </is>
      </c>
      <c r="K1490" s="20" t="inlineStr">
        <is>
          <t>Non-Captive</t>
        </is>
      </c>
      <c r="L1490" s="20" t="inlineStr">
        <is>
          <t>Nirmal Cars</t>
        </is>
      </c>
      <c r="M1490" s="23" t="n">
        <v>3389.83</v>
      </c>
    </row>
    <row r="1491">
      <c r="A1491" s="19" t="inlineStr">
        <is>
          <t>FY27</t>
        </is>
      </c>
      <c r="B1491" s="19" t="inlineStr">
        <is>
          <t>May</t>
        </is>
      </c>
      <c r="C1491" s="19" t="inlineStr">
        <is>
          <t>TN</t>
        </is>
      </c>
      <c r="D1491" s="20" t="inlineStr">
        <is>
          <t>TN01AD2742</t>
        </is>
      </c>
      <c r="E1491" s="20" t="inlineStr">
        <is>
          <t>TOYOTA</t>
        </is>
      </c>
      <c r="F1491" s="20" t="inlineStr">
        <is>
          <t>Camry</t>
        </is>
      </c>
      <c r="G1491" s="21" t="n">
        <v>2007</v>
      </c>
      <c r="H1491" s="22" t="n">
        <v>117107</v>
      </c>
      <c r="I1491" s="22" t="n">
        <v>148000</v>
      </c>
      <c r="J1491" s="20" t="inlineStr">
        <is>
          <t>CAR HUB</t>
        </is>
      </c>
      <c r="K1491" s="20" t="inlineStr">
        <is>
          <t>Non-Captive</t>
        </is>
      </c>
      <c r="L1491" s="20" t="inlineStr">
        <is>
          <t>Nirmal Cars</t>
        </is>
      </c>
      <c r="M1491" s="23" t="n">
        <v>3389.83</v>
      </c>
    </row>
    <row r="1492">
      <c r="A1492" s="19" t="inlineStr">
        <is>
          <t>FY27</t>
        </is>
      </c>
      <c r="B1492" s="19" t="inlineStr">
        <is>
          <t>May</t>
        </is>
      </c>
      <c r="C1492" s="19" t="inlineStr">
        <is>
          <t>TN</t>
        </is>
      </c>
      <c r="D1492" s="20" t="inlineStr">
        <is>
          <t>TN02AY5330</t>
        </is>
      </c>
      <c r="E1492" s="20" t="inlineStr">
        <is>
          <t>NISSAN</t>
        </is>
      </c>
      <c r="F1492" s="20" t="inlineStr">
        <is>
          <t>Micra</t>
        </is>
      </c>
      <c r="G1492" s="21" t="n">
        <v>2013</v>
      </c>
      <c r="H1492" s="22" t="n">
        <v>75518</v>
      </c>
      <c r="I1492" s="22" t="n">
        <v>148000</v>
      </c>
      <c r="J1492" s="20" t="inlineStr">
        <is>
          <t>Cresco cars</t>
        </is>
      </c>
      <c r="K1492" s="20" t="inlineStr">
        <is>
          <t>Non-Captive</t>
        </is>
      </c>
      <c r="L1492" s="20" t="inlineStr">
        <is>
          <t>Nirmal Cars</t>
        </is>
      </c>
      <c r="M1492" s="23" t="n">
        <v>3389.83</v>
      </c>
    </row>
    <row r="1493">
      <c r="A1493" s="19" t="inlineStr">
        <is>
          <t>FY27</t>
        </is>
      </c>
      <c r="B1493" s="19" t="inlineStr">
        <is>
          <t>May</t>
        </is>
      </c>
      <c r="C1493" s="19" t="inlineStr">
        <is>
          <t>TN</t>
        </is>
      </c>
      <c r="D1493" s="20" t="inlineStr">
        <is>
          <t>TN04AM2820</t>
        </is>
      </c>
      <c r="E1493" s="20" t="inlineStr">
        <is>
          <t>HYUNDAI</t>
        </is>
      </c>
      <c r="F1493" s="20" t="inlineStr">
        <is>
          <t>Verna</t>
        </is>
      </c>
      <c r="G1493" s="21" t="n">
        <v>2013</v>
      </c>
      <c r="H1493" s="22" t="n">
        <v>116047</v>
      </c>
      <c r="I1493" s="22" t="n">
        <v>297500</v>
      </c>
      <c r="J1493" s="20" t="inlineStr">
        <is>
          <t>Khivraj Motor</t>
        </is>
      </c>
      <c r="K1493" s="20" t="inlineStr">
        <is>
          <t>Non-Captive</t>
        </is>
      </c>
      <c r="L1493" s="20" t="inlineStr">
        <is>
          <t>Thiya Cars</t>
        </is>
      </c>
      <c r="M1493" s="23" t="n">
        <v>6355.93</v>
      </c>
    </row>
    <row r="1494">
      <c r="A1494" s="19" t="inlineStr">
        <is>
          <t>FY27</t>
        </is>
      </c>
      <c r="B1494" s="19" t="inlineStr">
        <is>
          <t>May</t>
        </is>
      </c>
      <c r="C1494" s="19" t="inlineStr">
        <is>
          <t>TN</t>
        </is>
      </c>
      <c r="D1494" s="20" t="inlineStr">
        <is>
          <t>TN06Z7112</t>
        </is>
      </c>
      <c r="E1494" s="20" t="inlineStr">
        <is>
          <t>MARUTI SUZUKI</t>
        </is>
      </c>
      <c r="F1494" s="20" t="inlineStr">
        <is>
          <t>Wagon R</t>
        </is>
      </c>
      <c r="G1494" s="21" t="n">
        <v>2020</v>
      </c>
      <c r="H1494" s="22" t="n">
        <v>62373</v>
      </c>
      <c r="I1494" s="22" t="n">
        <v>402500</v>
      </c>
      <c r="J1494" s="20" t="inlineStr">
        <is>
          <t>Khivraj Motor</t>
        </is>
      </c>
      <c r="K1494" s="20" t="inlineStr">
        <is>
          <t>Non-Captive</t>
        </is>
      </c>
      <c r="L1494" s="20" t="inlineStr">
        <is>
          <t>Lanson Toyota</t>
        </is>
      </c>
      <c r="M1494" s="23" t="n">
        <v>6355.93</v>
      </c>
    </row>
    <row r="1495">
      <c r="A1495" s="19" t="inlineStr">
        <is>
          <t>FY27</t>
        </is>
      </c>
      <c r="B1495" s="19" t="inlineStr">
        <is>
          <t>May</t>
        </is>
      </c>
      <c r="C1495" s="19" t="inlineStr">
        <is>
          <t>TN</t>
        </is>
      </c>
      <c r="D1495" s="20" t="inlineStr">
        <is>
          <t>TN10S7561</t>
        </is>
      </c>
      <c r="E1495" s="20" t="inlineStr">
        <is>
          <t>MARUTI SUZUKI</t>
        </is>
      </c>
      <c r="F1495" s="20" t="inlineStr">
        <is>
          <t>Alto</t>
        </is>
      </c>
      <c r="G1495" s="21" t="n">
        <v>2007</v>
      </c>
      <c r="H1495" s="22" t="n">
        <v>100000</v>
      </c>
      <c r="I1495" s="22" t="n">
        <v>75000</v>
      </c>
      <c r="J1495" s="20" t="inlineStr">
        <is>
          <t>Khivraj Motor</t>
        </is>
      </c>
      <c r="K1495" s="20" t="inlineStr">
        <is>
          <t>Non-Captive</t>
        </is>
      </c>
      <c r="L1495" s="20" t="inlineStr">
        <is>
          <t>S2 Cars</t>
        </is>
      </c>
      <c r="M1495" s="23" t="n">
        <v>2800</v>
      </c>
    </row>
    <row r="1496">
      <c r="A1496" s="19" t="inlineStr">
        <is>
          <t>FY27</t>
        </is>
      </c>
      <c r="B1496" s="19" t="inlineStr">
        <is>
          <t>May</t>
        </is>
      </c>
      <c r="C1496" s="19" t="inlineStr">
        <is>
          <t>TN</t>
        </is>
      </c>
      <c r="D1496" s="20" t="inlineStr">
        <is>
          <t>TN01BR8609</t>
        </is>
      </c>
      <c r="E1496" s="20" t="inlineStr">
        <is>
          <t>HONDA</t>
        </is>
      </c>
      <c r="F1496" s="20" t="inlineStr">
        <is>
          <t>City</t>
        </is>
      </c>
      <c r="G1496" s="21" t="n">
        <v>2023</v>
      </c>
      <c r="H1496" s="22" t="n">
        <v>87344</v>
      </c>
      <c r="I1496" s="22" t="n">
        <v>1120000</v>
      </c>
      <c r="J1496" s="20" t="inlineStr">
        <is>
          <t>Castel Traders Honda</t>
        </is>
      </c>
      <c r="K1496" s="20" t="inlineStr">
        <is>
          <t>Non-Captive</t>
        </is>
      </c>
      <c r="L1496" s="20" t="inlineStr">
        <is>
          <t>TSM</t>
        </is>
      </c>
      <c r="M1496" s="23" t="n">
        <v>7627.12</v>
      </c>
    </row>
    <row r="1497">
      <c r="A1497" s="19" t="inlineStr">
        <is>
          <t>FY27</t>
        </is>
      </c>
      <c r="B1497" s="19" t="inlineStr">
        <is>
          <t>May</t>
        </is>
      </c>
      <c r="C1497" s="19" t="inlineStr">
        <is>
          <t>TN</t>
        </is>
      </c>
      <c r="D1497" s="20" t="inlineStr">
        <is>
          <t>KL01CH1704</t>
        </is>
      </c>
      <c r="E1497" s="20" t="inlineStr">
        <is>
          <t>MARUTI SUZUKI</t>
        </is>
      </c>
      <c r="F1497" s="20" t="inlineStr">
        <is>
          <t>Celerio</t>
        </is>
      </c>
      <c r="G1497" s="21" t="n">
        <v>2018</v>
      </c>
      <c r="H1497" s="22" t="n">
        <v>51658</v>
      </c>
      <c r="I1497" s="22" t="n">
        <v>170000</v>
      </c>
      <c r="J1497" s="20" t="inlineStr">
        <is>
          <t>KAIRALI TOYOTA</t>
        </is>
      </c>
      <c r="K1497" s="20" t="inlineStr">
        <is>
          <t>Non-Captive</t>
        </is>
      </c>
      <c r="L1497" s="20" t="inlineStr">
        <is>
          <t>Popular Thrissur</t>
        </is>
      </c>
      <c r="M1497" s="23" t="n">
        <v>5000</v>
      </c>
    </row>
    <row r="1498">
      <c r="A1498" s="19" t="inlineStr">
        <is>
          <t>FY27</t>
        </is>
      </c>
      <c r="B1498" s="19" t="inlineStr">
        <is>
          <t>May</t>
        </is>
      </c>
      <c r="C1498" s="19" t="inlineStr">
        <is>
          <t>TN</t>
        </is>
      </c>
      <c r="D1498" s="20" t="inlineStr">
        <is>
          <t>KL22N6123</t>
        </is>
      </c>
      <c r="E1498" s="20" t="inlineStr">
        <is>
          <t>MARUTI SUZUKI</t>
        </is>
      </c>
      <c r="F1498" s="20" t="inlineStr">
        <is>
          <t>Wagon R</t>
        </is>
      </c>
      <c r="G1498" s="21" t="n">
        <v>2019</v>
      </c>
      <c r="H1498" s="22" t="n">
        <v>42347</v>
      </c>
      <c r="I1498" s="22" t="n">
        <v>180000</v>
      </c>
      <c r="J1498" s="20" t="inlineStr">
        <is>
          <t>NBT AUTOCORP INDIA PRIVATE LIMITED</t>
        </is>
      </c>
      <c r="K1498" s="20" t="inlineStr">
        <is>
          <t>Non-Captive</t>
        </is>
      </c>
      <c r="L1498" s="20" t="inlineStr">
        <is>
          <t>Popular Thrissur</t>
        </is>
      </c>
      <c r="M1498" s="23" t="n">
        <v>5000</v>
      </c>
    </row>
    <row r="1499">
      <c r="A1499" s="19" t="inlineStr">
        <is>
          <t>FY27</t>
        </is>
      </c>
      <c r="B1499" s="19" t="inlineStr">
        <is>
          <t>May</t>
        </is>
      </c>
      <c r="C1499" s="19" t="inlineStr">
        <is>
          <t>TN</t>
        </is>
      </c>
      <c r="D1499" s="20" t="inlineStr">
        <is>
          <t>KL01CR7129</t>
        </is>
      </c>
      <c r="E1499" s="20" t="inlineStr">
        <is>
          <t>RENAULT</t>
        </is>
      </c>
      <c r="F1499" s="20" t="inlineStr">
        <is>
          <t>Kwid</t>
        </is>
      </c>
      <c r="G1499" s="21" t="n">
        <v>2021</v>
      </c>
      <c r="H1499" s="22" t="n">
        <v>40679</v>
      </c>
      <c r="I1499" s="22" t="n">
        <v>180000</v>
      </c>
      <c r="J1499" s="20" t="inlineStr">
        <is>
          <t>MAXX MOTORS</t>
        </is>
      </c>
      <c r="K1499" s="20" t="inlineStr">
        <is>
          <t>Non-Captive</t>
        </is>
      </c>
      <c r="L1499" s="20" t="inlineStr">
        <is>
          <t>Popular Thrissur</t>
        </is>
      </c>
      <c r="M1499" s="23" t="n">
        <v>5000</v>
      </c>
    </row>
    <row r="1500">
      <c r="A1500" s="19" t="inlineStr">
        <is>
          <t>FY27</t>
        </is>
      </c>
      <c r="B1500" s="19" t="inlineStr">
        <is>
          <t>May</t>
        </is>
      </c>
      <c r="C1500" s="19" t="inlineStr">
        <is>
          <t>TN</t>
        </is>
      </c>
      <c r="D1500" s="20" t="inlineStr">
        <is>
          <t>KL01CL9285</t>
        </is>
      </c>
      <c r="E1500" s="20" t="inlineStr">
        <is>
          <t>MARUTI SUZUKI</t>
        </is>
      </c>
      <c r="F1500" s="20" t="inlineStr">
        <is>
          <t>Celerio</t>
        </is>
      </c>
      <c r="G1500" s="21" t="n">
        <v>2019</v>
      </c>
      <c r="H1500" s="22" t="n">
        <v>19538</v>
      </c>
      <c r="I1500" s="22" t="n">
        <v>190000</v>
      </c>
      <c r="J1500" s="20" t="inlineStr">
        <is>
          <t>Genuine cars</t>
        </is>
      </c>
      <c r="K1500" s="20" t="inlineStr">
        <is>
          <t>Non-Captive</t>
        </is>
      </c>
      <c r="L1500" s="20" t="inlineStr">
        <is>
          <t>Popular Alleppy</t>
        </is>
      </c>
      <c r="M1500" s="23" t="n">
        <v>5000</v>
      </c>
    </row>
    <row r="1501">
      <c r="A1501" s="19" t="inlineStr">
        <is>
          <t>FY27</t>
        </is>
      </c>
      <c r="B1501" s="19" t="inlineStr">
        <is>
          <t>May</t>
        </is>
      </c>
      <c r="C1501" s="19" t="inlineStr">
        <is>
          <t>TN</t>
        </is>
      </c>
      <c r="D1501" s="20" t="inlineStr">
        <is>
          <t>KL02BL6949</t>
        </is>
      </c>
      <c r="E1501" s="20" t="inlineStr">
        <is>
          <t>MARUTI SUZUKI</t>
        </is>
      </c>
      <c r="F1501" s="20" t="inlineStr">
        <is>
          <t>Xl6</t>
        </is>
      </c>
      <c r="G1501" s="21" t="n">
        <v>2020</v>
      </c>
      <c r="H1501" s="22" t="n">
        <v>36423</v>
      </c>
      <c r="I1501" s="22" t="n">
        <v>180000</v>
      </c>
      <c r="J1501" s="20" t="inlineStr">
        <is>
          <t>Genuine cars</t>
        </is>
      </c>
      <c r="K1501" s="20" t="inlineStr">
        <is>
          <t>Non-Captive</t>
        </is>
      </c>
      <c r="L1501" s="20" t="inlineStr">
        <is>
          <t>Popular Alleppy</t>
        </is>
      </c>
      <c r="M1501" s="23" t="n">
        <v>5000</v>
      </c>
    </row>
    <row r="1502">
      <c r="A1502" s="19" t="inlineStr">
        <is>
          <t>FY27</t>
        </is>
      </c>
      <c r="B1502" s="19" t="inlineStr">
        <is>
          <t>May</t>
        </is>
      </c>
      <c r="C1502" s="19" t="inlineStr">
        <is>
          <t>TN</t>
        </is>
      </c>
      <c r="D1502" s="20" t="inlineStr">
        <is>
          <t>KL01BM3416</t>
        </is>
      </c>
      <c r="E1502" s="20" t="inlineStr">
        <is>
          <t>HONDA</t>
        </is>
      </c>
      <c r="F1502" s="20" t="inlineStr">
        <is>
          <t>Amaze</t>
        </is>
      </c>
      <c r="G1502" s="21" t="n">
        <v>2013</v>
      </c>
      <c r="H1502" s="22" t="n">
        <v>34565</v>
      </c>
      <c r="I1502" s="22" t="n">
        <v>160000</v>
      </c>
      <c r="J1502" s="20" t="inlineStr">
        <is>
          <t>Nippon Motor Corporation Pvt Ltd</t>
        </is>
      </c>
      <c r="K1502" s="20" t="inlineStr">
        <is>
          <t>Non-Captive</t>
        </is>
      </c>
      <c r="L1502" s="20" t="inlineStr">
        <is>
          <t>Popular Thrissur</t>
        </is>
      </c>
      <c r="M1502" s="23" t="n">
        <v>5000</v>
      </c>
    </row>
    <row r="1503">
      <c r="A1503" s="19" t="inlineStr">
        <is>
          <t>FY27</t>
        </is>
      </c>
      <c r="B1503" s="19" t="inlineStr">
        <is>
          <t>May</t>
        </is>
      </c>
      <c r="C1503" s="19" t="inlineStr">
        <is>
          <t>TN</t>
        </is>
      </c>
      <c r="D1503" s="20" t="inlineStr">
        <is>
          <t>KL22M2843</t>
        </is>
      </c>
      <c r="E1503" s="20" t="inlineStr">
        <is>
          <t>MARUTI SUZUKI</t>
        </is>
      </c>
      <c r="F1503" s="20" t="inlineStr">
        <is>
          <t>Swift Dzire</t>
        </is>
      </c>
      <c r="G1503" s="21" t="n">
        <v>2018</v>
      </c>
      <c r="H1503" s="22" t="n">
        <v>47177</v>
      </c>
      <c r="I1503" s="22" t="n">
        <v>180000</v>
      </c>
      <c r="J1503" s="20" t="inlineStr">
        <is>
          <t>Nippon Motor Corporation Pvt Ltd</t>
        </is>
      </c>
      <c r="K1503" s="20" t="inlineStr">
        <is>
          <t>Non-Captive</t>
        </is>
      </c>
      <c r="L1503" s="20" t="inlineStr">
        <is>
          <t>Popular Thrissur</t>
        </is>
      </c>
      <c r="M1503" s="23" t="n">
        <v>5000</v>
      </c>
    </row>
    <row r="1504">
      <c r="A1504" s="19" t="inlineStr">
        <is>
          <t>FY27</t>
        </is>
      </c>
      <c r="B1504" s="19" t="inlineStr">
        <is>
          <t>May</t>
        </is>
      </c>
      <c r="C1504" s="19" t="inlineStr">
        <is>
          <t>TN</t>
        </is>
      </c>
      <c r="D1504" s="20" t="inlineStr">
        <is>
          <t>KL74A8927</t>
        </is>
      </c>
      <c r="E1504" s="20" t="inlineStr">
        <is>
          <t>MARUTI SUZUKI</t>
        </is>
      </c>
      <c r="F1504" s="20" t="inlineStr">
        <is>
          <t>Swift Dzire</t>
        </is>
      </c>
      <c r="G1504" s="21" t="n">
        <v>2020</v>
      </c>
      <c r="H1504" s="22" t="n">
        <v>36590</v>
      </c>
      <c r="I1504" s="22" t="n">
        <v>170000</v>
      </c>
      <c r="J1504" s="20" t="inlineStr">
        <is>
          <t>Nippon Motor Corporation Pvt Ltd</t>
        </is>
      </c>
      <c r="K1504" s="20" t="inlineStr">
        <is>
          <t>Non-Captive</t>
        </is>
      </c>
      <c r="L1504" s="20" t="inlineStr">
        <is>
          <t>Popular Thrissur</t>
        </is>
      </c>
      <c r="M1504" s="23" t="n">
        <v>5000</v>
      </c>
    </row>
    <row r="1505">
      <c r="A1505" s="19" t="inlineStr">
        <is>
          <t>FY27</t>
        </is>
      </c>
      <c r="B1505" s="19" t="inlineStr">
        <is>
          <t>May</t>
        </is>
      </c>
      <c r="C1505" s="19" t="inlineStr">
        <is>
          <t>TN</t>
        </is>
      </c>
      <c r="D1505" s="20" t="inlineStr">
        <is>
          <t>KL01CB4430</t>
        </is>
      </c>
      <c r="E1505" s="20" t="inlineStr">
        <is>
          <t>MARUTI SUZUKI</t>
        </is>
      </c>
      <c r="F1505" s="20" t="inlineStr">
        <is>
          <t>Wagon R</t>
        </is>
      </c>
      <c r="G1505" s="21" t="n">
        <v>2017</v>
      </c>
      <c r="H1505" s="22" t="n">
        <v>33415</v>
      </c>
      <c r="I1505" s="22" t="n">
        <v>180000</v>
      </c>
      <c r="J1505" s="20" t="inlineStr">
        <is>
          <t>Nippon Motor Corporation Pvt Ltd</t>
        </is>
      </c>
      <c r="K1505" s="20" t="inlineStr">
        <is>
          <t>Non-Captive</t>
        </is>
      </c>
      <c r="L1505" s="20" t="inlineStr">
        <is>
          <t>Popular Alleppy</t>
        </is>
      </c>
      <c r="M1505" s="23" t="n">
        <v>5000</v>
      </c>
    </row>
    <row r="1506">
      <c r="A1506" s="19" t="inlineStr">
        <is>
          <t>FY27</t>
        </is>
      </c>
      <c r="B1506" s="19" t="inlineStr">
        <is>
          <t>May</t>
        </is>
      </c>
      <c r="C1506" s="19" t="inlineStr">
        <is>
          <t>TN</t>
        </is>
      </c>
      <c r="D1506" s="20" t="inlineStr">
        <is>
          <t>KL01BU8937</t>
        </is>
      </c>
      <c r="E1506" s="20" t="inlineStr">
        <is>
          <t>HONDA</t>
        </is>
      </c>
      <c r="F1506" s="20" t="inlineStr">
        <is>
          <t>City</t>
        </is>
      </c>
      <c r="G1506" s="21" t="n">
        <v>2015</v>
      </c>
      <c r="H1506" s="22" t="n">
        <v>110830</v>
      </c>
      <c r="I1506" s="22" t="n">
        <v>180000</v>
      </c>
      <c r="J1506" s="20" t="inlineStr">
        <is>
          <t>Nippon Motor Corporation Pvt Ltd</t>
        </is>
      </c>
      <c r="K1506" s="20" t="inlineStr">
        <is>
          <t>Non-Captive</t>
        </is>
      </c>
      <c r="L1506" s="20" t="inlineStr">
        <is>
          <t>Shamnad AH</t>
        </is>
      </c>
      <c r="M1506" s="23" t="n">
        <v>5000</v>
      </c>
    </row>
    <row r="1507">
      <c r="A1507" s="19" t="inlineStr">
        <is>
          <t>FY27</t>
        </is>
      </c>
      <c r="B1507" s="19" t="inlineStr">
        <is>
          <t>May</t>
        </is>
      </c>
      <c r="C1507" s="19" t="inlineStr">
        <is>
          <t>TN</t>
        </is>
      </c>
      <c r="D1507" s="20" t="inlineStr">
        <is>
          <t>TN59AV7116</t>
        </is>
      </c>
      <c r="E1507" s="20" t="inlineStr">
        <is>
          <t>FORD</t>
        </is>
      </c>
      <c r="F1507" s="20" t="inlineStr">
        <is>
          <t>Fiesta Classic</t>
        </is>
      </c>
      <c r="G1507" s="21" t="n">
        <v>2012</v>
      </c>
      <c r="H1507" s="22" t="n">
        <v>156855</v>
      </c>
      <c r="I1507" s="22" t="n">
        <v>94000</v>
      </c>
      <c r="J1507" s="20" t="inlineStr">
        <is>
          <t>KSM AUTO CONSULTING</t>
        </is>
      </c>
      <c r="K1507" s="20" t="inlineStr">
        <is>
          <t>Non-Captive</t>
        </is>
      </c>
      <c r="L1507" s="20" t="inlineStr">
        <is>
          <t>Thiya Cars</t>
        </is>
      </c>
      <c r="M1507" s="23" t="n">
        <v>3389.83</v>
      </c>
    </row>
    <row r="1508">
      <c r="A1508" s="19" t="inlineStr">
        <is>
          <t>FY27</t>
        </is>
      </c>
      <c r="B1508" s="19" t="inlineStr">
        <is>
          <t>May</t>
        </is>
      </c>
      <c r="C1508" s="19" t="inlineStr">
        <is>
          <t>TN</t>
        </is>
      </c>
      <c r="D1508" s="20" t="inlineStr">
        <is>
          <t>TN03J8305</t>
        </is>
      </c>
      <c r="E1508" s="20" t="inlineStr">
        <is>
          <t>NISSAN</t>
        </is>
      </c>
      <c r="F1508" s="20" t="inlineStr">
        <is>
          <t>Micra</t>
        </is>
      </c>
      <c r="G1508" s="21" t="n">
        <v>2012</v>
      </c>
      <c r="H1508" s="22" t="n">
        <v>90045</v>
      </c>
      <c r="I1508" s="22" t="n">
        <v>94000</v>
      </c>
      <c r="J1508" s="20" t="inlineStr">
        <is>
          <t>Cars India</t>
        </is>
      </c>
      <c r="K1508" s="20" t="inlineStr">
        <is>
          <t>Non-Captive</t>
        </is>
      </c>
      <c r="L1508" s="20" t="inlineStr">
        <is>
          <t>Thiya Cars</t>
        </is>
      </c>
      <c r="M1508" s="23" t="n">
        <v>3389.83</v>
      </c>
    </row>
    <row r="1509">
      <c r="A1509" s="19" t="inlineStr">
        <is>
          <t>FY27</t>
        </is>
      </c>
      <c r="B1509" s="19" t="inlineStr">
        <is>
          <t>May</t>
        </is>
      </c>
      <c r="C1509" s="19" t="inlineStr">
        <is>
          <t>TN</t>
        </is>
      </c>
      <c r="D1509" s="20" t="inlineStr">
        <is>
          <t>TN06L0682</t>
        </is>
      </c>
      <c r="E1509" s="20" t="inlineStr">
        <is>
          <t>MARUTI SUZUKI</t>
        </is>
      </c>
      <c r="F1509" s="20" t="inlineStr">
        <is>
          <t>Alto</t>
        </is>
      </c>
      <c r="G1509" s="21" t="n">
        <v>2014</v>
      </c>
      <c r="H1509" s="22" t="n">
        <v>43161</v>
      </c>
      <c r="I1509" s="22" t="n">
        <v>144000</v>
      </c>
      <c r="J1509" s="20" t="inlineStr">
        <is>
          <t>Khivraj Motor</t>
        </is>
      </c>
      <c r="K1509" s="20" t="inlineStr">
        <is>
          <t>Non-Captive</t>
        </is>
      </c>
      <c r="L1509" s="20" t="inlineStr">
        <is>
          <t>Thiya Cars</t>
        </is>
      </c>
      <c r="M1509" s="23" t="n">
        <v>3389.83</v>
      </c>
    </row>
    <row r="1510">
      <c r="A1510" s="19" t="inlineStr">
        <is>
          <t>FY27</t>
        </is>
      </c>
      <c r="B1510" s="19" t="inlineStr">
        <is>
          <t>May</t>
        </is>
      </c>
      <c r="C1510" s="19" t="inlineStr">
        <is>
          <t>TN</t>
        </is>
      </c>
      <c r="D1510" s="20" t="inlineStr">
        <is>
          <t>TN20BU7040</t>
        </is>
      </c>
      <c r="E1510" s="20" t="inlineStr">
        <is>
          <t>MARUTI SUZUKI</t>
        </is>
      </c>
      <c r="F1510" s="20" t="inlineStr">
        <is>
          <t>Ritz</t>
        </is>
      </c>
      <c r="G1510" s="21" t="n">
        <v>2010</v>
      </c>
      <c r="H1510" s="22" t="n">
        <v>108284</v>
      </c>
      <c r="I1510" s="22" t="n">
        <v>144000</v>
      </c>
      <c r="J1510" s="20" t="inlineStr">
        <is>
          <t>FPL AUTOMOBILES PRIVATE LIMITED</t>
        </is>
      </c>
      <c r="K1510" s="20" t="inlineStr">
        <is>
          <t>Non-Captive</t>
        </is>
      </c>
      <c r="L1510" s="20" t="inlineStr">
        <is>
          <t>Thiya Cars</t>
        </is>
      </c>
      <c r="M1510" s="23" t="n">
        <v>3389.83</v>
      </c>
    </row>
    <row r="1511">
      <c r="A1511" s="19" t="inlineStr">
        <is>
          <t>FY27</t>
        </is>
      </c>
      <c r="B1511" s="19" t="inlineStr">
        <is>
          <t>May</t>
        </is>
      </c>
      <c r="C1511" s="19" t="inlineStr">
        <is>
          <t>TN</t>
        </is>
      </c>
      <c r="D1511" s="20" t="inlineStr">
        <is>
          <t>TN85A2584</t>
        </is>
      </c>
      <c r="E1511" s="20" t="inlineStr">
        <is>
          <t>MARUTI SUZUKI</t>
        </is>
      </c>
      <c r="F1511" s="20" t="inlineStr">
        <is>
          <t>Alto</t>
        </is>
      </c>
      <c r="G1511" s="21" t="n">
        <v>2014</v>
      </c>
      <c r="H1511" s="22" t="n">
        <v>102780</v>
      </c>
      <c r="I1511" s="22" t="n">
        <v>145000</v>
      </c>
      <c r="J1511" s="20" t="inlineStr">
        <is>
          <t>Khivraj Motor</t>
        </is>
      </c>
      <c r="K1511" s="20" t="inlineStr">
        <is>
          <t>Non-Captive</t>
        </is>
      </c>
      <c r="L1511" s="20" t="inlineStr">
        <is>
          <t>Thiya Cars</t>
        </is>
      </c>
      <c r="M1511" s="23" t="n">
        <v>3389.83</v>
      </c>
    </row>
    <row r="1512">
      <c r="A1512" s="19" t="inlineStr">
        <is>
          <t>FY27</t>
        </is>
      </c>
      <c r="B1512" s="19" t="inlineStr">
        <is>
          <t>May</t>
        </is>
      </c>
      <c r="C1512" s="19" t="inlineStr">
        <is>
          <t>TN</t>
        </is>
      </c>
      <c r="D1512" s="20" t="inlineStr">
        <is>
          <t>TN22CF5611</t>
        </is>
      </c>
      <c r="E1512" s="20" t="inlineStr">
        <is>
          <t>MARUTI SUZUKI</t>
        </is>
      </c>
      <c r="F1512" s="20" t="inlineStr">
        <is>
          <t>Alto</t>
        </is>
      </c>
      <c r="G1512" s="21" t="n">
        <v>2012</v>
      </c>
      <c r="H1512" s="22" t="n">
        <v>68708</v>
      </c>
      <c r="I1512" s="22" t="n">
        <v>148500</v>
      </c>
      <c r="J1512" s="20" t="inlineStr">
        <is>
          <t>Indus</t>
        </is>
      </c>
      <c r="K1512" s="20" t="inlineStr">
        <is>
          <t>Non-Captive</t>
        </is>
      </c>
      <c r="L1512" s="20" t="inlineStr">
        <is>
          <t>Thiya Cars</t>
        </is>
      </c>
      <c r="M1512" s="23" t="n">
        <v>4237.29</v>
      </c>
    </row>
    <row r="1513">
      <c r="A1513" s="19" t="inlineStr">
        <is>
          <t>FY27</t>
        </is>
      </c>
      <c r="B1513" s="19" t="inlineStr">
        <is>
          <t>May</t>
        </is>
      </c>
      <c r="C1513" s="19" t="inlineStr">
        <is>
          <t>TN</t>
        </is>
      </c>
      <c r="D1513" s="20" t="inlineStr">
        <is>
          <t>TN10AK8453</t>
        </is>
      </c>
      <c r="E1513" s="20" t="inlineStr">
        <is>
          <t>MARUTI SUZUKI</t>
        </is>
      </c>
      <c r="F1513" s="20" t="inlineStr">
        <is>
          <t>Alto</t>
        </is>
      </c>
      <c r="G1513" s="21" t="n">
        <v>2013</v>
      </c>
      <c r="H1513" s="22" t="n">
        <v>49107</v>
      </c>
      <c r="I1513" s="22" t="n">
        <v>150000</v>
      </c>
      <c r="J1513" s="20" t="inlineStr">
        <is>
          <t>Khivraj Motor</t>
        </is>
      </c>
      <c r="K1513" s="20" t="inlineStr">
        <is>
          <t>Non-Captive</t>
        </is>
      </c>
      <c r="L1513" s="20" t="inlineStr">
        <is>
          <t>TSM</t>
        </is>
      </c>
      <c r="M1513" s="23" t="n">
        <v>3389.83</v>
      </c>
    </row>
    <row r="1514">
      <c r="A1514" s="19" t="inlineStr">
        <is>
          <t>FY27</t>
        </is>
      </c>
      <c r="B1514" s="19" t="inlineStr">
        <is>
          <t>May</t>
        </is>
      </c>
      <c r="C1514" s="19" t="inlineStr">
        <is>
          <t>TN</t>
        </is>
      </c>
      <c r="D1514" s="20" t="inlineStr">
        <is>
          <t>TN85D6060</t>
        </is>
      </c>
      <c r="E1514" s="20" t="inlineStr">
        <is>
          <t>MARUTI SUZUKI</t>
        </is>
      </c>
      <c r="F1514" s="20" t="inlineStr">
        <is>
          <t>Omni</t>
        </is>
      </c>
      <c r="G1514" s="21" t="n">
        <v>2017</v>
      </c>
      <c r="H1514" s="22" t="n">
        <v>44518</v>
      </c>
      <c r="I1514" s="22" t="n">
        <v>150000</v>
      </c>
      <c r="J1514" s="20" t="inlineStr">
        <is>
          <t>Indus</t>
        </is>
      </c>
      <c r="K1514" s="20" t="inlineStr">
        <is>
          <t>Non-Captive</t>
        </is>
      </c>
      <c r="L1514" s="20" t="inlineStr">
        <is>
          <t>TSM</t>
        </is>
      </c>
      <c r="M1514" s="23" t="n">
        <v>3389.83</v>
      </c>
    </row>
    <row r="1515">
      <c r="A1515" s="19" t="inlineStr">
        <is>
          <t>FY27</t>
        </is>
      </c>
      <c r="B1515" s="19" t="inlineStr">
        <is>
          <t>May</t>
        </is>
      </c>
      <c r="C1515" s="19" t="inlineStr">
        <is>
          <t>TN</t>
        </is>
      </c>
      <c r="D1515" s="20" t="inlineStr">
        <is>
          <t>TN07BL4476</t>
        </is>
      </c>
      <c r="E1515" s="20" t="inlineStr">
        <is>
          <t>MARUTI SUZUKI</t>
        </is>
      </c>
      <c r="F1515" s="20" t="inlineStr">
        <is>
          <t>Ritz</t>
        </is>
      </c>
      <c r="G1515" s="21" t="n">
        <v>2011</v>
      </c>
      <c r="H1515" s="22" t="n">
        <v>1177</v>
      </c>
      <c r="I1515" s="22" t="n">
        <v>150000</v>
      </c>
      <c r="J1515" s="20" t="inlineStr">
        <is>
          <t>PRODUCTIVITY ELEMENTS PRIVATE LIMITED</t>
        </is>
      </c>
      <c r="K1515" s="20" t="inlineStr">
        <is>
          <t>Non-Captive</t>
        </is>
      </c>
      <c r="L1515" s="20" t="inlineStr">
        <is>
          <t>TSM</t>
        </is>
      </c>
      <c r="M1515" s="23" t="n">
        <v>3389.83</v>
      </c>
    </row>
    <row r="1516">
      <c r="A1516" s="19" t="inlineStr">
        <is>
          <t>FY27</t>
        </is>
      </c>
      <c r="B1516" s="19" t="inlineStr">
        <is>
          <t>May</t>
        </is>
      </c>
      <c r="C1516" s="19" t="inlineStr">
        <is>
          <t>TN</t>
        </is>
      </c>
      <c r="D1516" s="20" t="inlineStr">
        <is>
          <t>TN06E5472</t>
        </is>
      </c>
      <c r="E1516" s="20" t="inlineStr">
        <is>
          <t>HYUNDAI</t>
        </is>
      </c>
      <c r="F1516" s="20" t="inlineStr">
        <is>
          <t>I10</t>
        </is>
      </c>
      <c r="G1516" s="21" t="n">
        <v>2011</v>
      </c>
      <c r="H1516" s="22" t="n">
        <v>57041</v>
      </c>
      <c r="I1516" s="22" t="n">
        <v>150000</v>
      </c>
      <c r="J1516" s="20" t="inlineStr">
        <is>
          <t>Cresco cars</t>
        </is>
      </c>
      <c r="K1516" s="20" t="inlineStr">
        <is>
          <t>Non-Captive</t>
        </is>
      </c>
      <c r="L1516" s="20" t="inlineStr">
        <is>
          <t>TSM</t>
        </is>
      </c>
      <c r="M1516" s="23" t="n">
        <v>3389.83</v>
      </c>
    </row>
    <row r="1517">
      <c r="A1517" s="19" t="inlineStr">
        <is>
          <t>FY27</t>
        </is>
      </c>
      <c r="B1517" s="19" t="inlineStr">
        <is>
          <t>May</t>
        </is>
      </c>
      <c r="C1517" s="19" t="inlineStr">
        <is>
          <t>TN</t>
        </is>
      </c>
      <c r="D1517" s="20" t="inlineStr">
        <is>
          <t>TN21AU5612</t>
        </is>
      </c>
      <c r="E1517" s="20" t="inlineStr">
        <is>
          <t>HYUNDAI</t>
        </is>
      </c>
      <c r="F1517" s="20" t="inlineStr">
        <is>
          <t>I10</t>
        </is>
      </c>
      <c r="G1517" s="21" t="n">
        <v>2013</v>
      </c>
      <c r="H1517" s="22" t="n">
        <v>128301</v>
      </c>
      <c r="I1517" s="22" t="n">
        <v>150000</v>
      </c>
      <c r="J1517" s="20" t="inlineStr">
        <is>
          <t>SVM CARS PRIVATE LIMITED</t>
        </is>
      </c>
      <c r="K1517" s="20" t="inlineStr">
        <is>
          <t>Non-Captive</t>
        </is>
      </c>
      <c r="L1517" s="20" t="inlineStr">
        <is>
          <t>TSM</t>
        </is>
      </c>
      <c r="M1517" s="23" t="n">
        <v>3389.83</v>
      </c>
    </row>
    <row r="1518">
      <c r="A1518" s="19" t="inlineStr">
        <is>
          <t>FY27</t>
        </is>
      </c>
      <c r="B1518" s="19" t="inlineStr">
        <is>
          <t>May</t>
        </is>
      </c>
      <c r="C1518" s="19" t="inlineStr">
        <is>
          <t>TN</t>
        </is>
      </c>
      <c r="D1518" s="20" t="inlineStr">
        <is>
          <t>TN09BK0717</t>
        </is>
      </c>
      <c r="E1518" s="20" t="inlineStr">
        <is>
          <t>HYUNDAI</t>
        </is>
      </c>
      <c r="F1518" s="20" t="inlineStr">
        <is>
          <t>I10</t>
        </is>
      </c>
      <c r="G1518" s="21" t="n">
        <v>2012</v>
      </c>
      <c r="H1518" s="22" t="n">
        <v>70157</v>
      </c>
      <c r="I1518" s="22" t="n">
        <v>152000</v>
      </c>
      <c r="J1518" s="20" t="inlineStr">
        <is>
          <t>PRODUCTIVITY ELEMENTS PRIVATE LIMITED</t>
        </is>
      </c>
      <c r="K1518" s="20" t="inlineStr">
        <is>
          <t>Non-Captive</t>
        </is>
      </c>
      <c r="L1518" s="20" t="inlineStr">
        <is>
          <t>TSM</t>
        </is>
      </c>
      <c r="M1518" s="23" t="n">
        <v>3389.83</v>
      </c>
    </row>
    <row r="1519">
      <c r="A1519" s="19" t="inlineStr">
        <is>
          <t>FY27</t>
        </is>
      </c>
      <c r="B1519" s="19" t="inlineStr">
        <is>
          <t>May</t>
        </is>
      </c>
      <c r="C1519" s="19" t="inlineStr">
        <is>
          <t>TN</t>
        </is>
      </c>
      <c r="D1519" s="20" t="inlineStr">
        <is>
          <t>TN22CT9270</t>
        </is>
      </c>
      <c r="E1519" s="20" t="inlineStr">
        <is>
          <t>MAHINDRA</t>
        </is>
      </c>
      <c r="F1519" s="20" t="inlineStr">
        <is>
          <t>Xylo</t>
        </is>
      </c>
      <c r="G1519" s="21" t="n">
        <v>2012</v>
      </c>
      <c r="H1519" s="22" t="n">
        <v>155238</v>
      </c>
      <c r="I1519" s="22" t="n">
        <v>153000</v>
      </c>
      <c r="J1519" s="20" t="inlineStr">
        <is>
          <t>AIE CARS PRIVATE LIMITED</t>
        </is>
      </c>
      <c r="K1519" s="20" t="inlineStr">
        <is>
          <t>Non-Captive</t>
        </is>
      </c>
      <c r="L1519" s="20" t="inlineStr">
        <is>
          <t>TSM</t>
        </is>
      </c>
      <c r="M1519" s="23" t="n">
        <v>3389.83</v>
      </c>
    </row>
    <row r="1520">
      <c r="A1520" s="19" t="inlineStr">
        <is>
          <t>FY27</t>
        </is>
      </c>
      <c r="B1520" s="19" t="inlineStr">
        <is>
          <t>May</t>
        </is>
      </c>
      <c r="C1520" s="19" t="inlineStr">
        <is>
          <t>TN</t>
        </is>
      </c>
      <c r="D1520" s="20" t="inlineStr">
        <is>
          <t>TN02AT0667</t>
        </is>
      </c>
      <c r="E1520" s="20" t="inlineStr">
        <is>
          <t>HYUNDAI</t>
        </is>
      </c>
      <c r="F1520" s="20" t="inlineStr">
        <is>
          <t>I10</t>
        </is>
      </c>
      <c r="G1520" s="21" t="n">
        <v>2011</v>
      </c>
      <c r="H1520" s="22" t="n">
        <v>74046</v>
      </c>
      <c r="I1520" s="22" t="n">
        <v>154000</v>
      </c>
      <c r="J1520" s="20" t="inlineStr">
        <is>
          <t>FPL AUTOMOBILES PRIVATE LIMITED</t>
        </is>
      </c>
      <c r="K1520" s="20" t="inlineStr">
        <is>
          <t>Non-Captive</t>
        </is>
      </c>
      <c r="L1520" s="20" t="inlineStr">
        <is>
          <t>TSM</t>
        </is>
      </c>
      <c r="M1520" s="23" t="n">
        <v>3389.83</v>
      </c>
    </row>
    <row r="1521">
      <c r="A1521" s="19" t="inlineStr">
        <is>
          <t>FY27</t>
        </is>
      </c>
      <c r="B1521" s="19" t="inlineStr">
        <is>
          <t>May</t>
        </is>
      </c>
      <c r="C1521" s="19" t="inlineStr">
        <is>
          <t>TN</t>
        </is>
      </c>
      <c r="D1521" s="20" t="inlineStr">
        <is>
          <t>KA03MQ1678</t>
        </is>
      </c>
      <c r="E1521" s="20" t="inlineStr">
        <is>
          <t>HONDA</t>
        </is>
      </c>
      <c r="F1521" s="20" t="inlineStr">
        <is>
          <t>Brio</t>
        </is>
      </c>
      <c r="G1521" s="21" t="n">
        <v>2012</v>
      </c>
      <c r="H1521" s="22" t="n">
        <v>48122</v>
      </c>
      <c r="I1521" s="22" t="n">
        <v>155000</v>
      </c>
      <c r="J1521" s="20" t="inlineStr">
        <is>
          <t>Khivraj Motor</t>
        </is>
      </c>
      <c r="K1521" s="20" t="inlineStr">
        <is>
          <t>Non-Captive</t>
        </is>
      </c>
      <c r="L1521" s="20" t="inlineStr">
        <is>
          <t>TSM</t>
        </is>
      </c>
      <c r="M1521" s="23" t="n">
        <v>3389.83</v>
      </c>
    </row>
    <row r="1522">
      <c r="A1522" s="19" t="inlineStr">
        <is>
          <t>FY27</t>
        </is>
      </c>
      <c r="B1522" s="19" t="inlineStr">
        <is>
          <t>May</t>
        </is>
      </c>
      <c r="C1522" s="19" t="inlineStr">
        <is>
          <t>TN</t>
        </is>
      </c>
      <c r="D1522" s="20" t="inlineStr">
        <is>
          <t>TN21AJ2642</t>
        </is>
      </c>
      <c r="E1522" s="20" t="inlineStr">
        <is>
          <t>HYUNDAI</t>
        </is>
      </c>
      <c r="F1522" s="20" t="inlineStr">
        <is>
          <t>I10</t>
        </is>
      </c>
      <c r="G1522" s="21" t="n">
        <v>2011</v>
      </c>
      <c r="H1522" s="22" t="n">
        <v>63520</v>
      </c>
      <c r="I1522" s="22" t="n">
        <v>157500</v>
      </c>
      <c r="J1522" s="20" t="inlineStr">
        <is>
          <t>Khivraj Motor</t>
        </is>
      </c>
      <c r="K1522" s="20" t="inlineStr">
        <is>
          <t>Non-Captive</t>
        </is>
      </c>
      <c r="L1522" s="20" t="inlineStr">
        <is>
          <t>TSM</t>
        </is>
      </c>
      <c r="M1522" s="23" t="n">
        <v>3389.83</v>
      </c>
    </row>
    <row r="1523">
      <c r="A1523" s="19" t="inlineStr">
        <is>
          <t>FY27</t>
        </is>
      </c>
      <c r="B1523" s="19" t="inlineStr">
        <is>
          <t>May</t>
        </is>
      </c>
      <c r="C1523" s="19" t="inlineStr">
        <is>
          <t>TN</t>
        </is>
      </c>
      <c r="D1523" s="20" t="inlineStr">
        <is>
          <t>TN06B3071</t>
        </is>
      </c>
      <c r="E1523" s="20" t="inlineStr">
        <is>
          <t>HYUNDAI</t>
        </is>
      </c>
      <c r="F1523" s="20" t="inlineStr">
        <is>
          <t>I10</t>
        </is>
      </c>
      <c r="G1523" s="21" t="n">
        <v>2010</v>
      </c>
      <c r="H1523" s="22" t="n">
        <v>50629</v>
      </c>
      <c r="I1523" s="22" t="n">
        <v>160000</v>
      </c>
      <c r="J1523" s="20" t="inlineStr">
        <is>
          <t>NIRMAL</t>
        </is>
      </c>
      <c r="K1523" s="20" t="inlineStr">
        <is>
          <t>Non-Captive</t>
        </is>
      </c>
      <c r="L1523" s="20" t="inlineStr">
        <is>
          <t>TSM</t>
        </is>
      </c>
      <c r="M1523" s="23" t="n">
        <v>4237.29</v>
      </c>
    </row>
    <row r="1524">
      <c r="A1524" s="19" t="inlineStr">
        <is>
          <t>FY27</t>
        </is>
      </c>
      <c r="B1524" s="19" t="inlineStr">
        <is>
          <t>May</t>
        </is>
      </c>
      <c r="C1524" s="19" t="inlineStr">
        <is>
          <t>TN</t>
        </is>
      </c>
      <c r="D1524" s="20" t="inlineStr">
        <is>
          <t>TN05AY7254</t>
        </is>
      </c>
      <c r="E1524" s="20" t="inlineStr">
        <is>
          <t>FIAT</t>
        </is>
      </c>
      <c r="F1524" s="20" t="inlineStr">
        <is>
          <t>Linea</t>
        </is>
      </c>
      <c r="G1524" s="21" t="n">
        <v>2014</v>
      </c>
      <c r="H1524" s="22" t="n">
        <v>69052</v>
      </c>
      <c r="I1524" s="22" t="n">
        <v>160000</v>
      </c>
      <c r="J1524" s="20" t="inlineStr">
        <is>
          <t>SVM CARS PRIVATE LIMITED</t>
        </is>
      </c>
      <c r="K1524" s="20" t="inlineStr">
        <is>
          <t>Non-Captive</t>
        </is>
      </c>
      <c r="L1524" s="20" t="inlineStr">
        <is>
          <t>TSM</t>
        </is>
      </c>
      <c r="M1524" s="23" t="n">
        <v>4237.29</v>
      </c>
    </row>
    <row r="1525">
      <c r="A1525" s="19" t="inlineStr">
        <is>
          <t>FY27</t>
        </is>
      </c>
      <c r="B1525" s="19" t="inlineStr">
        <is>
          <t>May</t>
        </is>
      </c>
      <c r="C1525" s="19" t="inlineStr">
        <is>
          <t>TN</t>
        </is>
      </c>
      <c r="D1525" s="20" t="inlineStr">
        <is>
          <t>TN65T7573</t>
        </is>
      </c>
      <c r="E1525" s="20" t="inlineStr">
        <is>
          <t>MARUTI SUZUKI</t>
        </is>
      </c>
      <c r="F1525" s="20" t="inlineStr">
        <is>
          <t>Alto</t>
        </is>
      </c>
      <c r="G1525" s="21" t="n">
        <v>2014</v>
      </c>
      <c r="H1525" s="22" t="n">
        <v>88550</v>
      </c>
      <c r="I1525" s="22" t="n">
        <v>160000</v>
      </c>
      <c r="J1525" s="20" t="inlineStr">
        <is>
          <t>CAR HUB</t>
        </is>
      </c>
      <c r="K1525" s="20" t="inlineStr">
        <is>
          <t>Non-Captive</t>
        </is>
      </c>
      <c r="L1525" s="20" t="inlineStr">
        <is>
          <t>TSM</t>
        </is>
      </c>
      <c r="M1525" s="23" t="n">
        <v>4237.29</v>
      </c>
    </row>
    <row r="1526">
      <c r="A1526" s="19" t="inlineStr">
        <is>
          <t>FY27</t>
        </is>
      </c>
      <c r="B1526" s="19" t="inlineStr">
        <is>
          <t>May</t>
        </is>
      </c>
      <c r="C1526" s="19" t="inlineStr">
        <is>
          <t>TN</t>
        </is>
      </c>
      <c r="D1526" s="20" t="inlineStr">
        <is>
          <t>TN19AZ3601</t>
        </is>
      </c>
      <c r="E1526" s="20" t="inlineStr">
        <is>
          <t>DATSUN</t>
        </is>
      </c>
      <c r="F1526" s="20" t="inlineStr">
        <is>
          <t>Go</t>
        </is>
      </c>
      <c r="G1526" s="21" t="n">
        <v>2017</v>
      </c>
      <c r="H1526" s="22" t="n">
        <v>120818</v>
      </c>
      <c r="I1526" s="22" t="n">
        <v>160000</v>
      </c>
      <c r="J1526" s="20" t="inlineStr">
        <is>
          <t>AIE CARS PRIVATE LIMITED</t>
        </is>
      </c>
      <c r="K1526" s="20" t="inlineStr">
        <is>
          <t>Non-Captive</t>
        </is>
      </c>
      <c r="L1526" s="20" t="inlineStr">
        <is>
          <t>TSM</t>
        </is>
      </c>
      <c r="M1526" s="23" t="n">
        <v>5084.75</v>
      </c>
    </row>
    <row r="1527">
      <c r="A1527" s="19" t="inlineStr">
        <is>
          <t>FY27</t>
        </is>
      </c>
      <c r="B1527" s="19" t="inlineStr">
        <is>
          <t>May</t>
        </is>
      </c>
      <c r="C1527" s="19" t="inlineStr">
        <is>
          <t>TN</t>
        </is>
      </c>
      <c r="D1527" s="20" t="inlineStr">
        <is>
          <t>TN41AQ7131</t>
        </is>
      </c>
      <c r="E1527" s="20" t="inlineStr">
        <is>
          <t>MARUTI SUZUKI</t>
        </is>
      </c>
      <c r="F1527" s="20" t="inlineStr">
        <is>
          <t>Swift</t>
        </is>
      </c>
      <c r="G1527" s="21" t="n">
        <v>2016</v>
      </c>
      <c r="H1527" s="22" t="n">
        <v>48593</v>
      </c>
      <c r="I1527" s="22" t="n">
        <v>450000</v>
      </c>
      <c r="J1527" s="20" t="inlineStr">
        <is>
          <t>EXCHANGE ROTN</t>
        </is>
      </c>
      <c r="K1527" s="20" t="inlineStr">
        <is>
          <t>Captive</t>
        </is>
      </c>
      <c r="L1527" s="20" t="inlineStr">
        <is>
          <t>YUGA DHEERAN CARS</t>
        </is>
      </c>
      <c r="M1527" s="23" t="n">
        <v>8474.58</v>
      </c>
    </row>
    <row r="1528">
      <c r="A1528" s="19" t="inlineStr">
        <is>
          <t>FY27</t>
        </is>
      </c>
      <c r="B1528" s="19" t="inlineStr">
        <is>
          <t>May</t>
        </is>
      </c>
      <c r="C1528" s="19" t="inlineStr">
        <is>
          <t>TN</t>
        </is>
      </c>
      <c r="D1528" s="20" t="inlineStr">
        <is>
          <t>TN58AD2370</t>
        </is>
      </c>
      <c r="E1528" s="20" t="inlineStr">
        <is>
          <t>TATA</t>
        </is>
      </c>
      <c r="F1528" s="20" t="inlineStr">
        <is>
          <t>Indigo</t>
        </is>
      </c>
      <c r="G1528" s="21" t="n">
        <v>2012</v>
      </c>
      <c r="H1528" s="22" t="n">
        <v>112989</v>
      </c>
      <c r="I1528" s="22" t="n">
        <v>76000</v>
      </c>
      <c r="J1528" s="20" t="inlineStr">
        <is>
          <t>EXCHANGE ROTN</t>
        </is>
      </c>
      <c r="K1528" s="20" t="inlineStr">
        <is>
          <t>Captive</t>
        </is>
      </c>
      <c r="L1528" s="20" t="inlineStr">
        <is>
          <t>Ashwin cars</t>
        </is>
      </c>
      <c r="M1528" s="23" t="n">
        <v>4237.29</v>
      </c>
    </row>
    <row r="1529">
      <c r="A1529" s="19" t="inlineStr">
        <is>
          <t>FY27</t>
        </is>
      </c>
      <c r="B1529" s="19" t="inlineStr">
        <is>
          <t>May</t>
        </is>
      </c>
      <c r="C1529" s="19" t="inlineStr">
        <is>
          <t>TN</t>
        </is>
      </c>
      <c r="D1529" s="20" t="inlineStr">
        <is>
          <t>TN67AJ5697</t>
        </is>
      </c>
      <c r="E1529" s="20" t="inlineStr">
        <is>
          <t>HONDA</t>
        </is>
      </c>
      <c r="F1529" s="20" t="inlineStr">
        <is>
          <t>City</t>
        </is>
      </c>
      <c r="G1529" s="21" t="n">
        <v>2013</v>
      </c>
      <c r="H1529" s="22" t="n">
        <v>95284</v>
      </c>
      <c r="I1529" s="22" t="n">
        <v>290000</v>
      </c>
      <c r="J1529" s="20" t="inlineStr">
        <is>
          <t>EXCHANGE ROTN</t>
        </is>
      </c>
      <c r="K1529" s="20" t="inlineStr">
        <is>
          <t>Captive</t>
        </is>
      </c>
      <c r="L1529" s="20" t="inlineStr">
        <is>
          <t>Ashwin cars</t>
        </is>
      </c>
      <c r="M1529" s="23" t="n">
        <v>8474.58</v>
      </c>
    </row>
    <row r="1530">
      <c r="A1530" s="19" t="inlineStr">
        <is>
          <t>FY27</t>
        </is>
      </c>
      <c r="B1530" s="19" t="inlineStr">
        <is>
          <t>May</t>
        </is>
      </c>
      <c r="C1530" s="19" t="inlineStr">
        <is>
          <t>TN</t>
        </is>
      </c>
      <c r="D1530" s="20" t="inlineStr">
        <is>
          <t>TN74AB5960</t>
        </is>
      </c>
      <c r="E1530" s="20" t="inlineStr">
        <is>
          <t>TATA</t>
        </is>
      </c>
      <c r="F1530" s="20" t="inlineStr">
        <is>
          <t>Indigo</t>
        </is>
      </c>
      <c r="G1530" s="21" t="n">
        <v>2011</v>
      </c>
      <c r="H1530" s="22" t="n">
        <v>135151</v>
      </c>
      <c r="I1530" s="22" t="n">
        <v>82000</v>
      </c>
      <c r="J1530" s="20" t="inlineStr">
        <is>
          <t>EXCHANGE ROTN</t>
        </is>
      </c>
      <c r="K1530" s="20" t="inlineStr">
        <is>
          <t>Captive</t>
        </is>
      </c>
      <c r="L1530" s="20" t="inlineStr">
        <is>
          <t>Ashwin cars</t>
        </is>
      </c>
      <c r="M1530" s="23" t="n">
        <v>4237.29</v>
      </c>
    </row>
    <row r="1531">
      <c r="A1531" s="19" t="inlineStr">
        <is>
          <t>FY27</t>
        </is>
      </c>
      <c r="B1531" s="19" t="inlineStr">
        <is>
          <t>May</t>
        </is>
      </c>
      <c r="C1531" s="19" t="inlineStr">
        <is>
          <t>TN</t>
        </is>
      </c>
      <c r="D1531" s="20" t="inlineStr">
        <is>
          <t>TN37BV3920</t>
        </is>
      </c>
      <c r="E1531" s="20" t="inlineStr">
        <is>
          <t>HYUNDAI</t>
        </is>
      </c>
      <c r="F1531" s="20" t="inlineStr">
        <is>
          <t>Eon</t>
        </is>
      </c>
      <c r="G1531" s="21" t="n">
        <v>2012</v>
      </c>
      <c r="H1531" s="22" t="n">
        <v>205290</v>
      </c>
      <c r="I1531" s="22" t="n">
        <v>97000</v>
      </c>
      <c r="J1531" s="20" t="inlineStr">
        <is>
          <t>EXCHANGE ROTN</t>
        </is>
      </c>
      <c r="K1531" s="20" t="inlineStr">
        <is>
          <t>Captive</t>
        </is>
      </c>
      <c r="L1531" s="20" t="inlineStr">
        <is>
          <t>Ashwin cars</t>
        </is>
      </c>
      <c r="M1531" s="23" t="n">
        <v>4237.29</v>
      </c>
    </row>
    <row r="1532">
      <c r="A1532" s="19" t="inlineStr">
        <is>
          <t>FY27</t>
        </is>
      </c>
      <c r="B1532" s="19" t="inlineStr">
        <is>
          <t>May</t>
        </is>
      </c>
      <c r="C1532" s="19" t="inlineStr">
        <is>
          <t>TN</t>
        </is>
      </c>
      <c r="D1532" s="20" t="inlineStr">
        <is>
          <t>TN58AP1014</t>
        </is>
      </c>
      <c r="E1532" s="20" t="inlineStr">
        <is>
          <t>DATSUN</t>
        </is>
      </c>
      <c r="F1532" s="20" t="inlineStr">
        <is>
          <t>Redi-Go</t>
        </is>
      </c>
      <c r="G1532" s="21" t="n">
        <v>2017</v>
      </c>
      <c r="H1532" s="22" t="n">
        <v>64854</v>
      </c>
      <c r="I1532" s="22" t="n">
        <v>88000</v>
      </c>
      <c r="J1532" s="20" t="inlineStr">
        <is>
          <t>EXCHANGE ROTN</t>
        </is>
      </c>
      <c r="K1532" s="20" t="inlineStr">
        <is>
          <t>Captive</t>
        </is>
      </c>
      <c r="L1532" s="20" t="inlineStr">
        <is>
          <t>Ashwin cars</t>
        </is>
      </c>
      <c r="M1532" s="23" t="n">
        <v>4237.29</v>
      </c>
    </row>
    <row r="1533">
      <c r="A1533" s="19" t="inlineStr">
        <is>
          <t>FY27</t>
        </is>
      </c>
      <c r="B1533" s="19" t="inlineStr">
        <is>
          <t>May</t>
        </is>
      </c>
      <c r="C1533" s="19" t="inlineStr">
        <is>
          <t>TN</t>
        </is>
      </c>
      <c r="D1533" s="20" t="inlineStr">
        <is>
          <t>TN47W5068</t>
        </is>
      </c>
      <c r="E1533" s="20" t="inlineStr">
        <is>
          <t>MARUTI SUZUKI</t>
        </is>
      </c>
      <c r="F1533" s="20" t="inlineStr">
        <is>
          <t>Swift</t>
        </is>
      </c>
      <c r="G1533" s="21" t="n">
        <v>2011</v>
      </c>
      <c r="H1533" s="22" t="n">
        <v>287153</v>
      </c>
      <c r="I1533" s="22" t="n">
        <v>94000</v>
      </c>
      <c r="J1533" s="20" t="inlineStr">
        <is>
          <t>EXCHANGE ROTN</t>
        </is>
      </c>
      <c r="K1533" s="20" t="inlineStr">
        <is>
          <t>Captive</t>
        </is>
      </c>
      <c r="L1533" s="20" t="inlineStr">
        <is>
          <t>Ashwin cars</t>
        </is>
      </c>
      <c r="M1533" s="23" t="n">
        <v>4237.29</v>
      </c>
    </row>
    <row r="1534">
      <c r="A1534" s="19" t="inlineStr">
        <is>
          <t>FY27</t>
        </is>
      </c>
      <c r="B1534" s="19" t="inlineStr">
        <is>
          <t>May</t>
        </is>
      </c>
      <c r="C1534" s="19" t="inlineStr">
        <is>
          <t>TN</t>
        </is>
      </c>
      <c r="D1534" s="20" t="inlineStr">
        <is>
          <t>TN01AR3143</t>
        </is>
      </c>
      <c r="E1534" s="20" t="inlineStr">
        <is>
          <t>FORD</t>
        </is>
      </c>
      <c r="F1534" s="20" t="inlineStr">
        <is>
          <t>Figo</t>
        </is>
      </c>
      <c r="G1534" s="21" t="n">
        <v>2012</v>
      </c>
      <c r="H1534" s="22" t="n">
        <v>157724</v>
      </c>
      <c r="I1534" s="22" t="n">
        <v>90000</v>
      </c>
      <c r="J1534" s="20" t="inlineStr">
        <is>
          <t>EXCHANGE ROTN</t>
        </is>
      </c>
      <c r="K1534" s="20" t="inlineStr">
        <is>
          <t>Captive</t>
        </is>
      </c>
      <c r="L1534" s="20" t="inlineStr">
        <is>
          <t>Ashwin cars</t>
        </is>
      </c>
      <c r="M1534" s="23" t="n">
        <v>4237.29</v>
      </c>
    </row>
    <row r="1535">
      <c r="A1535" s="19" t="inlineStr">
        <is>
          <t>FY27</t>
        </is>
      </c>
      <c r="B1535" s="19" t="inlineStr">
        <is>
          <t>May</t>
        </is>
      </c>
      <c r="C1535" s="19" t="inlineStr">
        <is>
          <t>TN</t>
        </is>
      </c>
      <c r="D1535" s="20" t="inlineStr">
        <is>
          <t>TN20CY3045</t>
        </is>
      </c>
      <c r="E1535" s="20" t="inlineStr">
        <is>
          <t>FORD</t>
        </is>
      </c>
      <c r="F1535" s="20" t="inlineStr">
        <is>
          <t>Figo</t>
        </is>
      </c>
      <c r="G1535" s="21" t="n">
        <v>2012</v>
      </c>
      <c r="H1535" s="22" t="n">
        <v>214446</v>
      </c>
      <c r="I1535" s="22" t="n">
        <v>85000</v>
      </c>
      <c r="J1535" s="20" t="inlineStr">
        <is>
          <t>EXCHANGE ROTN</t>
        </is>
      </c>
      <c r="K1535" s="20" t="inlineStr">
        <is>
          <t>Captive</t>
        </is>
      </c>
      <c r="L1535" s="20" t="inlineStr">
        <is>
          <t>Ashwin cars</t>
        </is>
      </c>
      <c r="M1535" s="23" t="n">
        <v>4237.29</v>
      </c>
    </row>
    <row r="1536">
      <c r="A1536" s="19" t="inlineStr">
        <is>
          <t>FY27</t>
        </is>
      </c>
      <c r="B1536" s="19" t="inlineStr">
        <is>
          <t>May</t>
        </is>
      </c>
      <c r="C1536" s="19" t="inlineStr">
        <is>
          <t>TN</t>
        </is>
      </c>
      <c r="D1536" s="20" t="inlineStr">
        <is>
          <t>TN59AT8632</t>
        </is>
      </c>
      <c r="E1536" s="20" t="inlineStr">
        <is>
          <t>MARUTI SUZUKI</t>
        </is>
      </c>
      <c r="F1536" s="20" t="inlineStr">
        <is>
          <t>Swift Dzire</t>
        </is>
      </c>
      <c r="G1536" s="21" t="n">
        <v>2011</v>
      </c>
      <c r="H1536" s="22" t="n">
        <v>139800</v>
      </c>
      <c r="I1536" s="22" t="n">
        <v>94000</v>
      </c>
      <c r="J1536" s="20" t="inlineStr">
        <is>
          <t>EXCHANGE ROTN</t>
        </is>
      </c>
      <c r="K1536" s="20" t="inlineStr">
        <is>
          <t>Captive</t>
        </is>
      </c>
      <c r="L1536" s="20" t="inlineStr">
        <is>
          <t>Ashwin cars</t>
        </is>
      </c>
      <c r="M1536" s="23" t="n">
        <v>4237.29</v>
      </c>
    </row>
    <row r="1537">
      <c r="A1537" s="19" t="inlineStr">
        <is>
          <t>FY27</t>
        </is>
      </c>
      <c r="B1537" s="19" t="inlineStr">
        <is>
          <t>May</t>
        </is>
      </c>
      <c r="C1537" s="19" t="inlineStr">
        <is>
          <t>TN</t>
        </is>
      </c>
      <c r="D1537" s="20" t="inlineStr">
        <is>
          <t>TN06H3913</t>
        </is>
      </c>
      <c r="E1537" s="20" t="inlineStr">
        <is>
          <t>FIAT</t>
        </is>
      </c>
      <c r="F1537" s="20" t="inlineStr">
        <is>
          <t>Punto</t>
        </is>
      </c>
      <c r="G1537" s="21" t="n">
        <v>2012</v>
      </c>
      <c r="H1537" s="22" t="n">
        <v>177830</v>
      </c>
      <c r="I1537" s="22" t="n">
        <v>68000</v>
      </c>
      <c r="J1537" s="20" t="inlineStr">
        <is>
          <t>EXCHANGE ROTN</t>
        </is>
      </c>
      <c r="K1537" s="20" t="inlineStr">
        <is>
          <t>Captive</t>
        </is>
      </c>
      <c r="L1537" s="20" t="inlineStr">
        <is>
          <t>Ashwin cars</t>
        </is>
      </c>
      <c r="M1537" s="23" t="n">
        <v>4237.29</v>
      </c>
    </row>
    <row r="1538">
      <c r="A1538" s="19" t="inlineStr">
        <is>
          <t>FY27</t>
        </is>
      </c>
      <c r="B1538" s="19" t="inlineStr">
        <is>
          <t>May</t>
        </is>
      </c>
      <c r="C1538" s="19" t="inlineStr">
        <is>
          <t>TN</t>
        </is>
      </c>
      <c r="D1538" s="20" t="inlineStr">
        <is>
          <t>TN58S8727</t>
        </is>
      </c>
      <c r="E1538" s="20" t="inlineStr">
        <is>
          <t>HYUNDAI</t>
        </is>
      </c>
      <c r="F1538" s="20" t="inlineStr">
        <is>
          <t>Santro</t>
        </is>
      </c>
      <c r="G1538" s="21" t="n">
        <v>2008</v>
      </c>
      <c r="H1538" s="22" t="n">
        <v>91322</v>
      </c>
      <c r="I1538" s="22" t="n">
        <v>63000</v>
      </c>
      <c r="J1538" s="20" t="inlineStr">
        <is>
          <t>EXCHANGE ROTN</t>
        </is>
      </c>
      <c r="K1538" s="20" t="inlineStr">
        <is>
          <t>Captive</t>
        </is>
      </c>
      <c r="L1538" s="20" t="inlineStr">
        <is>
          <t>Ashwin cars</t>
        </is>
      </c>
      <c r="M1538" s="23" t="n">
        <v>4237.29</v>
      </c>
    </row>
    <row r="1539">
      <c r="A1539" s="19" t="inlineStr">
        <is>
          <t>FY27</t>
        </is>
      </c>
      <c r="B1539" s="19" t="inlineStr">
        <is>
          <t>May</t>
        </is>
      </c>
      <c r="C1539" s="19" t="inlineStr">
        <is>
          <t>TN</t>
        </is>
      </c>
      <c r="D1539" s="20" t="inlineStr">
        <is>
          <t>TN37DV0790</t>
        </is>
      </c>
      <c r="E1539" s="20" t="inlineStr">
        <is>
          <t>HYUNDAI</t>
        </is>
      </c>
      <c r="F1539" s="20" t="inlineStr">
        <is>
          <t>Grand I10</t>
        </is>
      </c>
      <c r="G1539" s="21" t="n">
        <v>2019</v>
      </c>
      <c r="H1539" s="22" t="n">
        <v>54168</v>
      </c>
      <c r="I1539" s="22" t="n">
        <v>95000</v>
      </c>
      <c r="J1539" s="20" t="inlineStr">
        <is>
          <t>EXCHANGE ROTN</t>
        </is>
      </c>
      <c r="K1539" s="20" t="inlineStr">
        <is>
          <t>Captive</t>
        </is>
      </c>
      <c r="L1539" s="20" t="inlineStr">
        <is>
          <t>Sai Cars</t>
        </is>
      </c>
      <c r="M1539" s="23" t="n">
        <v>4237.29</v>
      </c>
    </row>
    <row r="1540">
      <c r="A1540" s="19" t="inlineStr">
        <is>
          <t>FY27</t>
        </is>
      </c>
      <c r="B1540" s="19" t="inlineStr">
        <is>
          <t>May</t>
        </is>
      </c>
      <c r="C1540" s="19" t="inlineStr">
        <is>
          <t>TN</t>
        </is>
      </c>
      <c r="D1540" s="20" t="inlineStr">
        <is>
          <t>TN59BM9842</t>
        </is>
      </c>
      <c r="E1540" s="20" t="inlineStr">
        <is>
          <t>RENAULT</t>
        </is>
      </c>
      <c r="F1540" s="20" t="inlineStr">
        <is>
          <t>Kwid</t>
        </is>
      </c>
      <c r="G1540" s="21" t="n">
        <v>2017</v>
      </c>
      <c r="H1540" s="22" t="n">
        <v>133565</v>
      </c>
      <c r="I1540" s="22" t="n">
        <v>98000</v>
      </c>
      <c r="J1540" s="20" t="inlineStr">
        <is>
          <t>EXCHANGE ROTN</t>
        </is>
      </c>
      <c r="K1540" s="20" t="inlineStr">
        <is>
          <t>Captive</t>
        </is>
      </c>
      <c r="L1540" s="20" t="inlineStr">
        <is>
          <t>Sai Cars</t>
        </is>
      </c>
      <c r="M1540" s="23" t="n">
        <v>4237.29</v>
      </c>
    </row>
    <row r="1541">
      <c r="A1541" s="19" t="inlineStr">
        <is>
          <t>FY27</t>
        </is>
      </c>
      <c r="B1541" s="19" t="inlineStr">
        <is>
          <t>May</t>
        </is>
      </c>
      <c r="C1541" s="19" t="inlineStr">
        <is>
          <t>TN</t>
        </is>
      </c>
      <c r="D1541" s="20" t="inlineStr">
        <is>
          <t>TN67BP4424</t>
        </is>
      </c>
      <c r="E1541" s="20" t="inlineStr">
        <is>
          <t>HONDA</t>
        </is>
      </c>
      <c r="F1541" s="20" t="inlineStr">
        <is>
          <t>City</t>
        </is>
      </c>
      <c r="G1541" s="21" t="n">
        <v>2022</v>
      </c>
      <c r="H1541" s="22" t="n">
        <v>72441</v>
      </c>
      <c r="I1541" s="22" t="n">
        <v>850000</v>
      </c>
      <c r="J1541" s="20" t="inlineStr">
        <is>
          <t>EXCHANGE ROTN</t>
        </is>
      </c>
      <c r="K1541" s="20" t="inlineStr">
        <is>
          <t>Captive</t>
        </is>
      </c>
      <c r="L1541" s="20" t="inlineStr">
        <is>
          <t>Somasundharam cars</t>
        </is>
      </c>
      <c r="M1541" s="23" t="n">
        <v>16949.15</v>
      </c>
    </row>
    <row r="1542">
      <c r="A1542" s="19" t="inlineStr">
        <is>
          <t>FY27</t>
        </is>
      </c>
      <c r="B1542" s="19" t="inlineStr">
        <is>
          <t>May</t>
        </is>
      </c>
      <c r="C1542" s="19" t="inlineStr">
        <is>
          <t>TN</t>
        </is>
      </c>
      <c r="D1542" s="20" t="inlineStr">
        <is>
          <t>TN37BA1876</t>
        </is>
      </c>
      <c r="E1542" s="20" t="inlineStr">
        <is>
          <t>TATA</t>
        </is>
      </c>
      <c r="F1542" s="20" t="inlineStr">
        <is>
          <t>Indica</t>
        </is>
      </c>
      <c r="G1542" s="21" t="n">
        <v>2008</v>
      </c>
      <c r="H1542" s="22" t="n">
        <v>152546</v>
      </c>
      <c r="I1542" s="22" t="n">
        <v>70000</v>
      </c>
      <c r="J1542" s="20" t="inlineStr">
        <is>
          <t>EXCHANGE ROTN</t>
        </is>
      </c>
      <c r="K1542" s="20" t="inlineStr">
        <is>
          <t>Captive</t>
        </is>
      </c>
      <c r="L1542" s="20" t="inlineStr">
        <is>
          <t>Sri Murugan Cars</t>
        </is>
      </c>
      <c r="M1542" s="23" t="n">
        <v>4237.29</v>
      </c>
    </row>
    <row r="1543">
      <c r="A1543" s="19" t="inlineStr">
        <is>
          <t>FY27</t>
        </is>
      </c>
      <c r="B1543" s="19" t="inlineStr">
        <is>
          <t>May</t>
        </is>
      </c>
      <c r="C1543" s="19" t="inlineStr">
        <is>
          <t>TN</t>
        </is>
      </c>
      <c r="D1543" s="20" t="inlineStr">
        <is>
          <t>TN37CC9847</t>
        </is>
      </c>
      <c r="E1543" s="20" t="inlineStr">
        <is>
          <t>CHEVROLET</t>
        </is>
      </c>
      <c r="F1543" s="20" t="inlineStr">
        <is>
          <t>Sail</t>
        </is>
      </c>
      <c r="G1543" s="21" t="n">
        <v>2013</v>
      </c>
      <c r="H1543" s="22" t="n">
        <v>101597</v>
      </c>
      <c r="I1543" s="22" t="n">
        <v>83000</v>
      </c>
      <c r="J1543" s="20" t="inlineStr">
        <is>
          <t>EXCHANGE ROTN</t>
        </is>
      </c>
      <c r="K1543" s="20" t="inlineStr">
        <is>
          <t>Captive</t>
        </is>
      </c>
      <c r="L1543" s="20" t="inlineStr">
        <is>
          <t>Raju Cars</t>
        </is>
      </c>
      <c r="M1543" s="23" t="n">
        <v>4237.29</v>
      </c>
    </row>
    <row r="1544">
      <c r="A1544" s="19" t="inlineStr">
        <is>
          <t>FY27</t>
        </is>
      </c>
      <c r="B1544" s="19" t="inlineStr">
        <is>
          <t>May</t>
        </is>
      </c>
      <c r="C1544" s="19" t="inlineStr">
        <is>
          <t>TN</t>
        </is>
      </c>
      <c r="D1544" s="20" t="inlineStr">
        <is>
          <t>TN30AS2106</t>
        </is>
      </c>
      <c r="E1544" s="20" t="inlineStr">
        <is>
          <t>CHEVROLET</t>
        </is>
      </c>
      <c r="F1544" s="20" t="inlineStr">
        <is>
          <t>Spark</t>
        </is>
      </c>
      <c r="G1544" s="21" t="n">
        <v>2012</v>
      </c>
      <c r="H1544" s="22" t="n">
        <v>98196</v>
      </c>
      <c r="I1544" s="22" t="n">
        <v>60000</v>
      </c>
      <c r="J1544" s="20" t="inlineStr">
        <is>
          <t>EXCHANGE ROTN</t>
        </is>
      </c>
      <c r="K1544" s="20" t="inlineStr">
        <is>
          <t>Captive</t>
        </is>
      </c>
      <c r="L1544" s="20" t="inlineStr">
        <is>
          <t>Somasundharam cars</t>
        </is>
      </c>
      <c r="M1544" s="23" t="n">
        <v>4237.29</v>
      </c>
    </row>
    <row r="1545">
      <c r="A1545" s="19" t="inlineStr">
        <is>
          <t>FY27</t>
        </is>
      </c>
      <c r="B1545" s="19" t="inlineStr">
        <is>
          <t>May</t>
        </is>
      </c>
      <c r="C1545" s="19" t="inlineStr">
        <is>
          <t>TN</t>
        </is>
      </c>
      <c r="D1545" s="20" t="inlineStr">
        <is>
          <t>TN28AL6332</t>
        </is>
      </c>
      <c r="E1545" s="20" t="inlineStr">
        <is>
          <t>TATA</t>
        </is>
      </c>
      <c r="F1545" s="20" t="inlineStr">
        <is>
          <t>Indica</t>
        </is>
      </c>
      <c r="G1545" s="21" t="n">
        <v>2012</v>
      </c>
      <c r="H1545" s="22" t="n">
        <v>193586</v>
      </c>
      <c r="I1545" s="22" t="n">
        <v>58000</v>
      </c>
      <c r="J1545" s="20" t="inlineStr">
        <is>
          <t>EXCHANGE ROTN</t>
        </is>
      </c>
      <c r="K1545" s="20" t="inlineStr">
        <is>
          <t>Captive</t>
        </is>
      </c>
      <c r="L1545" s="20" t="inlineStr">
        <is>
          <t>Somasundharam cars</t>
        </is>
      </c>
      <c r="M1545" s="23" t="n">
        <v>4237.29</v>
      </c>
    </row>
    <row r="1546">
      <c r="A1546" s="19" t="inlineStr">
        <is>
          <t>FY27</t>
        </is>
      </c>
      <c r="B1546" s="19" t="inlineStr">
        <is>
          <t>May</t>
        </is>
      </c>
      <c r="C1546" s="19" t="inlineStr">
        <is>
          <t>TN</t>
        </is>
      </c>
      <c r="D1546" s="20" t="inlineStr">
        <is>
          <t>TN63S0367</t>
        </is>
      </c>
      <c r="E1546" s="20" t="inlineStr">
        <is>
          <t>TATA</t>
        </is>
      </c>
      <c r="F1546" s="20" t="inlineStr">
        <is>
          <t>Indica</t>
        </is>
      </c>
      <c r="G1546" s="21" t="n">
        <v>2008</v>
      </c>
      <c r="H1546" s="22" t="n">
        <v>118678</v>
      </c>
      <c r="I1546" s="22" t="n">
        <v>62000</v>
      </c>
      <c r="J1546" s="20" t="inlineStr">
        <is>
          <t>EXCHANGE ROTN</t>
        </is>
      </c>
      <c r="K1546" s="20" t="inlineStr">
        <is>
          <t>Captive</t>
        </is>
      </c>
      <c r="L1546" s="20" t="inlineStr">
        <is>
          <t>Somasundharam cars</t>
        </is>
      </c>
      <c r="M1546" s="23" t="n">
        <v>4237.29</v>
      </c>
    </row>
    <row r="1547">
      <c r="A1547" s="19" t="inlineStr">
        <is>
          <t>FY27</t>
        </is>
      </c>
      <c r="B1547" s="19" t="inlineStr">
        <is>
          <t>May</t>
        </is>
      </c>
      <c r="C1547" s="19" t="inlineStr">
        <is>
          <t>TN</t>
        </is>
      </c>
      <c r="D1547" s="20" t="inlineStr">
        <is>
          <t>TN10AD9636</t>
        </is>
      </c>
      <c r="E1547" s="20" t="inlineStr">
        <is>
          <t>TATA</t>
        </is>
      </c>
      <c r="F1547" s="20" t="inlineStr">
        <is>
          <t>Nano</t>
        </is>
      </c>
      <c r="G1547" s="21" t="n">
        <v>2011</v>
      </c>
      <c r="H1547" s="22" t="n">
        <v>163194</v>
      </c>
      <c r="I1547" s="22" t="n">
        <v>40000</v>
      </c>
      <c r="J1547" s="20" t="inlineStr">
        <is>
          <t>EXCHANGE ROTN</t>
        </is>
      </c>
      <c r="K1547" s="20" t="inlineStr">
        <is>
          <t>Captive</t>
        </is>
      </c>
      <c r="L1547" s="20" t="inlineStr">
        <is>
          <t>Somasundharam cars</t>
        </is>
      </c>
      <c r="M1547" s="23" t="n">
        <v>4237.29</v>
      </c>
    </row>
    <row r="1548">
      <c r="A1548" s="19" t="inlineStr">
        <is>
          <t>FY27</t>
        </is>
      </c>
      <c r="B1548" s="19" t="inlineStr">
        <is>
          <t>May</t>
        </is>
      </c>
      <c r="C1548" s="19" t="inlineStr">
        <is>
          <t>TN</t>
        </is>
      </c>
      <c r="D1548" s="20" t="inlineStr">
        <is>
          <t>TN21AF1040</t>
        </is>
      </c>
      <c r="E1548" s="20" t="inlineStr">
        <is>
          <t>HYUNDAI</t>
        </is>
      </c>
      <c r="F1548" s="20" t="inlineStr">
        <is>
          <t>Santro</t>
        </is>
      </c>
      <c r="G1548" s="21" t="n">
        <v>2010</v>
      </c>
      <c r="H1548" s="22" t="n">
        <v>108040</v>
      </c>
      <c r="I1548" s="22" t="n">
        <v>86000</v>
      </c>
      <c r="J1548" s="20" t="inlineStr">
        <is>
          <t>EXCHANGE ROTN</t>
        </is>
      </c>
      <c r="K1548" s="20" t="inlineStr">
        <is>
          <t>Captive</t>
        </is>
      </c>
      <c r="L1548" s="20" t="inlineStr">
        <is>
          <t>Somasundharam cars</t>
        </is>
      </c>
      <c r="M1548" s="23" t="n">
        <v>4237.29</v>
      </c>
    </row>
    <row r="1549">
      <c r="A1549" s="19" t="inlineStr">
        <is>
          <t>FY27</t>
        </is>
      </c>
      <c r="B1549" s="19" t="inlineStr">
        <is>
          <t>May</t>
        </is>
      </c>
      <c r="C1549" s="19" t="inlineStr">
        <is>
          <t>TN</t>
        </is>
      </c>
      <c r="D1549" s="20" t="inlineStr">
        <is>
          <t>TN779050</t>
        </is>
      </c>
      <c r="E1549" s="20" t="inlineStr">
        <is>
          <t>MAHINDRA</t>
        </is>
      </c>
      <c r="F1549" s="20" t="inlineStr">
        <is>
          <t>Verito</t>
        </is>
      </c>
      <c r="G1549" s="21" t="n">
        <v>2011</v>
      </c>
      <c r="H1549" s="22" t="n">
        <v>339172</v>
      </c>
      <c r="I1549" s="22" t="n">
        <v>75000</v>
      </c>
      <c r="J1549" s="20" t="inlineStr">
        <is>
          <t>EXCHANGE ROTN</t>
        </is>
      </c>
      <c r="K1549" s="20" t="inlineStr">
        <is>
          <t>Captive</t>
        </is>
      </c>
      <c r="L1549" s="20" t="inlineStr">
        <is>
          <t>Somasundharam cars</t>
        </is>
      </c>
      <c r="M1549" s="23" t="n">
        <v>4237.29</v>
      </c>
    </row>
    <row r="1550">
      <c r="A1550" s="19" t="inlineStr">
        <is>
          <t>FY27</t>
        </is>
      </c>
      <c r="B1550" s="19" t="inlineStr">
        <is>
          <t>May</t>
        </is>
      </c>
      <c r="C1550" s="19" t="inlineStr">
        <is>
          <t>TN</t>
        </is>
      </c>
      <c r="D1550" s="20" t="inlineStr">
        <is>
          <t>TN54D5293</t>
        </is>
      </c>
      <c r="E1550" s="20" t="inlineStr">
        <is>
          <t>TATA</t>
        </is>
      </c>
      <c r="F1550" s="20" t="inlineStr">
        <is>
          <t>Indica</t>
        </is>
      </c>
      <c r="G1550" s="21" t="n">
        <v>2011</v>
      </c>
      <c r="H1550" s="22" t="n">
        <v>95687</v>
      </c>
      <c r="I1550" s="22" t="n">
        <v>45000</v>
      </c>
      <c r="J1550" s="20" t="inlineStr">
        <is>
          <t>EXCHANGE ROTN</t>
        </is>
      </c>
      <c r="K1550" s="20" t="inlineStr">
        <is>
          <t>Captive</t>
        </is>
      </c>
      <c r="L1550" s="20" t="inlineStr">
        <is>
          <t>Somasundharam cars</t>
        </is>
      </c>
      <c r="M1550" s="23" t="n">
        <v>4237.29</v>
      </c>
    </row>
    <row r="1551">
      <c r="A1551" s="19" t="inlineStr">
        <is>
          <t>FY27</t>
        </is>
      </c>
      <c r="B1551" s="19" t="inlineStr">
        <is>
          <t>May</t>
        </is>
      </c>
      <c r="C1551" s="19" t="inlineStr">
        <is>
          <t>TN</t>
        </is>
      </c>
      <c r="D1551" s="20" t="inlineStr">
        <is>
          <t>TN02BW0094</t>
        </is>
      </c>
      <c r="E1551" s="20" t="inlineStr">
        <is>
          <t>HYUNDAI</t>
        </is>
      </c>
      <c r="F1551" s="20" t="inlineStr">
        <is>
          <t>I10</t>
        </is>
      </c>
      <c r="G1551" s="21" t="n">
        <v>2022</v>
      </c>
      <c r="H1551" s="22" t="n">
        <v>27189</v>
      </c>
      <c r="I1551" s="22" t="n">
        <v>505000</v>
      </c>
      <c r="J1551" s="20" t="inlineStr">
        <is>
          <t>EXCHANGE CHENNAI</t>
        </is>
      </c>
      <c r="K1551" s="20" t="inlineStr">
        <is>
          <t>Captive</t>
        </is>
      </c>
      <c r="L1551" s="20" t="inlineStr">
        <is>
          <t>Santhosh Cars</t>
        </is>
      </c>
      <c r="M1551" s="23" t="n">
        <v>8474.58</v>
      </c>
    </row>
    <row r="1552">
      <c r="A1552" s="19" t="inlineStr">
        <is>
          <t>FY27</t>
        </is>
      </c>
      <c r="B1552" s="19" t="inlineStr">
        <is>
          <t>May</t>
        </is>
      </c>
      <c r="C1552" s="19" t="inlineStr">
        <is>
          <t>TN</t>
        </is>
      </c>
      <c r="D1552" s="20" t="inlineStr">
        <is>
          <t>TN09CW1374</t>
        </is>
      </c>
      <c r="E1552" s="20" t="inlineStr">
        <is>
          <t>HONDA</t>
        </is>
      </c>
      <c r="F1552" s="20" t="inlineStr">
        <is>
          <t>Amaze</t>
        </is>
      </c>
      <c r="G1552" s="21" t="n">
        <v>2020</v>
      </c>
      <c r="H1552" s="22" t="n">
        <v>19733</v>
      </c>
      <c r="I1552" s="22" t="n">
        <v>485000</v>
      </c>
      <c r="J1552" s="20" t="inlineStr">
        <is>
          <t>EXCHANGE CHENNAI</t>
        </is>
      </c>
      <c r="K1552" s="20" t="inlineStr">
        <is>
          <t>Captive</t>
        </is>
      </c>
      <c r="L1552" s="20" t="inlineStr">
        <is>
          <t>Varadhrajan cars</t>
        </is>
      </c>
      <c r="M1552" s="23" t="n">
        <v>8474.58</v>
      </c>
    </row>
    <row r="1553">
      <c r="A1553" s="19" t="inlineStr">
        <is>
          <t>FY27</t>
        </is>
      </c>
      <c r="B1553" s="19" t="inlineStr">
        <is>
          <t>May</t>
        </is>
      </c>
      <c r="C1553" s="19" t="inlineStr">
        <is>
          <t>TN</t>
        </is>
      </c>
      <c r="D1553" s="20" t="inlineStr">
        <is>
          <t>TN02BF0279</t>
        </is>
      </c>
      <c r="E1553" s="20" t="inlineStr">
        <is>
          <t>MARUTI SUZUKI</t>
        </is>
      </c>
      <c r="F1553" s="20" t="inlineStr">
        <is>
          <t>Alto K10</t>
        </is>
      </c>
      <c r="G1553" s="21" t="n">
        <v>2015</v>
      </c>
      <c r="H1553" s="22" t="n">
        <v>28796</v>
      </c>
      <c r="I1553" s="22" t="n">
        <v>86000</v>
      </c>
      <c r="J1553" s="20" t="inlineStr">
        <is>
          <t>Khivraj Motor</t>
        </is>
      </c>
      <c r="K1553" s="20" t="inlineStr">
        <is>
          <t>Non-Captive</t>
        </is>
      </c>
      <c r="L1553" s="20" t="inlineStr">
        <is>
          <t>Varadhrajan cars</t>
        </is>
      </c>
      <c r="M1553" s="23" t="n">
        <v>4237.29</v>
      </c>
    </row>
    <row r="1554">
      <c r="A1554" s="19" t="inlineStr">
        <is>
          <t>FY26</t>
        </is>
      </c>
      <c r="B1554" s="19" t="inlineStr">
        <is>
          <t>Jan</t>
        </is>
      </c>
      <c r="C1554" s="19" t="inlineStr">
        <is>
          <t>Kerala</t>
        </is>
      </c>
      <c r="D1554" s="20" t="inlineStr">
        <is>
          <t>KL76C2174</t>
        </is>
      </c>
      <c r="E1554" s="20" t="inlineStr">
        <is>
          <t>HYUNDAI</t>
        </is>
      </c>
      <c r="F1554" s="20" t="inlineStr">
        <is>
          <t>I10</t>
        </is>
      </c>
      <c r="G1554" s="21" t="n"/>
      <c r="H1554" s="22" t="n">
        <v>40000</v>
      </c>
      <c r="I1554" s="22" t="n">
        <v>410000</v>
      </c>
      <c r="J1554" s="20" t="inlineStr">
        <is>
          <t>DILEEP MG</t>
        </is>
      </c>
      <c r="K1554" s="20" t="inlineStr">
        <is>
          <t>Non-Captive</t>
        </is>
      </c>
      <c r="L1554" s="20" t="inlineStr">
        <is>
          <t>DKH KIA</t>
        </is>
      </c>
      <c r="M1554" s="23" t="n">
        <v>8474.58</v>
      </c>
    </row>
    <row r="1555">
      <c r="A1555" s="19" t="inlineStr">
        <is>
          <t>FY26</t>
        </is>
      </c>
      <c r="B1555" s="19" t="inlineStr">
        <is>
          <t>Jan</t>
        </is>
      </c>
      <c r="C1555" s="19" t="inlineStr">
        <is>
          <t>Kerala</t>
        </is>
      </c>
      <c r="D1555" s="20" t="inlineStr">
        <is>
          <t>KL16R9979</t>
        </is>
      </c>
      <c r="E1555" s="20" t="inlineStr">
        <is>
          <t>MARUTI SUZUKI</t>
        </is>
      </c>
      <c r="F1555" s="20" t="inlineStr">
        <is>
          <t>Alto</t>
        </is>
      </c>
      <c r="G1555" s="21" t="n"/>
      <c r="H1555" s="22" t="n">
        <v>65880</v>
      </c>
      <c r="I1555" s="22" t="n">
        <v>170000</v>
      </c>
      <c r="J1555" s="20" t="inlineStr">
        <is>
          <t>LUXON TATA</t>
        </is>
      </c>
      <c r="K1555" s="20" t="inlineStr">
        <is>
          <t>Non-Captive</t>
        </is>
      </c>
      <c r="L1555" s="20" t="inlineStr">
        <is>
          <t>SHAMNAD</t>
        </is>
      </c>
      <c r="M1555" s="23" t="n">
        <v>5932.2</v>
      </c>
    </row>
    <row r="1556">
      <c r="A1556" s="19" t="inlineStr">
        <is>
          <t>FY26</t>
        </is>
      </c>
      <c r="B1556" s="19" t="inlineStr">
        <is>
          <t>Jan</t>
        </is>
      </c>
      <c r="C1556" s="19" t="inlineStr">
        <is>
          <t>Kerala</t>
        </is>
      </c>
      <c r="D1556" s="20" t="inlineStr">
        <is>
          <t>KL16Y3740</t>
        </is>
      </c>
      <c r="E1556" s="20" t="inlineStr">
        <is>
          <t>FORD</t>
        </is>
      </c>
      <c r="F1556" s="20" t="inlineStr">
        <is>
          <t>Ecosport</t>
        </is>
      </c>
      <c r="G1556" s="21" t="n"/>
      <c r="H1556" s="22" t="n">
        <v>81200</v>
      </c>
      <c r="I1556" s="22" t="n">
        <v>620000</v>
      </c>
      <c r="J1556" s="20" t="inlineStr">
        <is>
          <t>FORTUNE MG</t>
        </is>
      </c>
      <c r="K1556" s="20" t="inlineStr">
        <is>
          <t>Non-Captive</t>
        </is>
      </c>
      <c r="L1556" s="20" t="inlineStr">
        <is>
          <t>RAHUL</t>
        </is>
      </c>
      <c r="M1556" s="23" t="n">
        <v>8474.58</v>
      </c>
    </row>
    <row r="1557">
      <c r="A1557" s="19" t="inlineStr">
        <is>
          <t>FY26</t>
        </is>
      </c>
      <c r="B1557" s="19" t="inlineStr">
        <is>
          <t>Jan</t>
        </is>
      </c>
      <c r="C1557" s="19" t="inlineStr">
        <is>
          <t>Kerala</t>
        </is>
      </c>
      <c r="D1557" s="20" t="inlineStr">
        <is>
          <t>KL04AM3848</t>
        </is>
      </c>
      <c r="E1557" s="20" t="inlineStr">
        <is>
          <t>MARUTI SUZUKI</t>
        </is>
      </c>
      <c r="F1557" s="20" t="inlineStr">
        <is>
          <t>Wagon R</t>
        </is>
      </c>
      <c r="G1557" s="21" t="n"/>
      <c r="H1557" s="22" t="n">
        <v>24166</v>
      </c>
      <c r="I1557" s="22" t="n">
        <v>345000</v>
      </c>
      <c r="J1557" s="20" t="inlineStr">
        <is>
          <t>POPULAR HYUNDAI</t>
        </is>
      </c>
      <c r="K1557" s="20" t="inlineStr">
        <is>
          <t>Non-Captive</t>
        </is>
      </c>
      <c r="L1557" s="20" t="inlineStr">
        <is>
          <t>NIZAR A U</t>
        </is>
      </c>
      <c r="M1557" s="23" t="n">
        <v>8474.58</v>
      </c>
    </row>
    <row r="1558">
      <c r="A1558" s="19" t="inlineStr">
        <is>
          <t>FY26</t>
        </is>
      </c>
      <c r="B1558" s="19" t="inlineStr">
        <is>
          <t>Jan</t>
        </is>
      </c>
      <c r="C1558" s="19" t="inlineStr">
        <is>
          <t>Kerala</t>
        </is>
      </c>
      <c r="D1558" s="20" t="inlineStr">
        <is>
          <t>KL11BE7740</t>
        </is>
      </c>
      <c r="E1558" s="20" t="inlineStr">
        <is>
          <t>RENAULT</t>
        </is>
      </c>
      <c r="F1558" s="20" t="inlineStr">
        <is>
          <t>Kwid</t>
        </is>
      </c>
      <c r="G1558" s="21" t="n"/>
      <c r="H1558" s="22" t="n">
        <v>47969</v>
      </c>
      <c r="I1558" s="22" t="n">
        <v>150000</v>
      </c>
      <c r="J1558" s="20" t="inlineStr">
        <is>
          <t>SAI MARUTI</t>
        </is>
      </c>
      <c r="K1558" s="20" t="inlineStr">
        <is>
          <t>Non-Captive</t>
        </is>
      </c>
      <c r="L1558" s="20" t="inlineStr">
        <is>
          <t>ALTHAF</t>
        </is>
      </c>
      <c r="M1558" s="23" t="n">
        <v>5932.2</v>
      </c>
    </row>
    <row r="1559">
      <c r="A1559" s="19" t="inlineStr">
        <is>
          <t>FY26</t>
        </is>
      </c>
      <c r="B1559" s="19" t="inlineStr">
        <is>
          <t>Jan</t>
        </is>
      </c>
      <c r="C1559" s="19" t="inlineStr">
        <is>
          <t>Kerala</t>
        </is>
      </c>
      <c r="D1559" s="20" t="inlineStr">
        <is>
          <t>KL11BK6305</t>
        </is>
      </c>
      <c r="E1559" s="20" t="inlineStr">
        <is>
          <t>MARUTI SUZUKI</t>
        </is>
      </c>
      <c r="F1559" s="20" t="inlineStr">
        <is>
          <t>Baleno</t>
        </is>
      </c>
      <c r="G1559" s="21" t="n"/>
      <c r="H1559" s="22" t="n">
        <v>61000</v>
      </c>
      <c r="I1559" s="22" t="n">
        <v>550000</v>
      </c>
      <c r="J1559" s="20" t="inlineStr">
        <is>
          <t>VASIL</t>
        </is>
      </c>
      <c r="K1559" s="20" t="inlineStr">
        <is>
          <t>Non-Captive</t>
        </is>
      </c>
      <c r="L1559" s="20" t="inlineStr">
        <is>
          <t>MARVEL</t>
        </is>
      </c>
      <c r="M1559" s="23" t="n">
        <v>6779.66</v>
      </c>
    </row>
    <row r="1560">
      <c r="A1560" s="19" t="inlineStr">
        <is>
          <t>FY26</t>
        </is>
      </c>
      <c r="B1560" s="19" t="inlineStr">
        <is>
          <t>Jan</t>
        </is>
      </c>
      <c r="C1560" s="19" t="inlineStr">
        <is>
          <t>Kerala</t>
        </is>
      </c>
      <c r="D1560" s="20" t="inlineStr">
        <is>
          <t>KL51K4180</t>
        </is>
      </c>
      <c r="E1560" s="20" t="inlineStr">
        <is>
          <t>HYUNDAI</t>
        </is>
      </c>
      <c r="F1560" s="20" t="inlineStr">
        <is>
          <t>Eon</t>
        </is>
      </c>
      <c r="G1560" s="21" t="n"/>
      <c r="H1560" s="22" t="n">
        <v>42000</v>
      </c>
      <c r="I1560" s="22" t="n">
        <v>165000</v>
      </c>
      <c r="J1560" s="20" t="inlineStr">
        <is>
          <t>ATHUL</t>
        </is>
      </c>
      <c r="K1560" s="20" t="inlineStr">
        <is>
          <t>Non-Captive</t>
        </is>
      </c>
      <c r="L1560" s="20" t="inlineStr">
        <is>
          <t>BIMAL</t>
        </is>
      </c>
      <c r="M1560" s="23" t="n">
        <v>5932.2</v>
      </c>
    </row>
    <row r="1561">
      <c r="A1561" s="19" t="inlineStr">
        <is>
          <t>FY26</t>
        </is>
      </c>
      <c r="B1561" s="19" t="inlineStr">
        <is>
          <t>Jan</t>
        </is>
      </c>
      <c r="C1561" s="19" t="inlineStr">
        <is>
          <t>Kerala</t>
        </is>
      </c>
      <c r="D1561" s="20" t="inlineStr">
        <is>
          <t>KL11BF4251</t>
        </is>
      </c>
      <c r="E1561" s="20" t="inlineStr">
        <is>
          <t>DATSUN</t>
        </is>
      </c>
      <c r="F1561" s="20" t="inlineStr">
        <is>
          <t>Redi-Go</t>
        </is>
      </c>
      <c r="G1561" s="21" t="n"/>
      <c r="H1561" s="22" t="n">
        <v>97000</v>
      </c>
      <c r="I1561" s="22" t="n">
        <v>110000</v>
      </c>
      <c r="J1561" s="20" t="inlineStr">
        <is>
          <t>NIDHI S K</t>
        </is>
      </c>
      <c r="K1561" s="20" t="inlineStr">
        <is>
          <t>Non-Captive</t>
        </is>
      </c>
      <c r="L1561" s="20" t="inlineStr">
        <is>
          <t>BIMAL</t>
        </is>
      </c>
      <c r="M1561" s="23" t="n">
        <v>8474.58</v>
      </c>
    </row>
    <row r="1562">
      <c r="A1562" s="19" t="inlineStr">
        <is>
          <t>FY26</t>
        </is>
      </c>
      <c r="B1562" s="19" t="inlineStr">
        <is>
          <t>Jan</t>
        </is>
      </c>
      <c r="C1562" s="19" t="inlineStr">
        <is>
          <t>Kerala</t>
        </is>
      </c>
      <c r="D1562" s="20" t="inlineStr">
        <is>
          <t>KL35L5321</t>
        </is>
      </c>
      <c r="E1562" s="20" t="inlineStr">
        <is>
          <t>HONDA</t>
        </is>
      </c>
      <c r="F1562" s="20" t="inlineStr">
        <is>
          <t>City</t>
        </is>
      </c>
      <c r="G1562" s="21" t="n"/>
      <c r="H1562" s="22" t="n">
        <v>170734</v>
      </c>
      <c r="I1562" s="22" t="n">
        <v>130000</v>
      </c>
      <c r="J1562" s="20" t="inlineStr">
        <is>
          <t>POPULAR MARUTI</t>
        </is>
      </c>
      <c r="K1562" s="20" t="inlineStr">
        <is>
          <t>Non-Captive</t>
        </is>
      </c>
      <c r="L1562" s="20" t="inlineStr">
        <is>
          <t>RAFEEK T A</t>
        </is>
      </c>
      <c r="M1562" s="23" t="n">
        <v>5932.2</v>
      </c>
    </row>
    <row r="1563">
      <c r="A1563" s="19" t="inlineStr">
        <is>
          <t>FY26</t>
        </is>
      </c>
      <c r="B1563" s="19" t="inlineStr">
        <is>
          <t>Jan</t>
        </is>
      </c>
      <c r="C1563" s="19" t="inlineStr">
        <is>
          <t>Kerala</t>
        </is>
      </c>
      <c r="D1563" s="20" t="inlineStr">
        <is>
          <t>KL321415</t>
        </is>
      </c>
      <c r="E1563" s="20" t="inlineStr">
        <is>
          <t>MARUTI SUZUKI</t>
        </is>
      </c>
      <c r="F1563" s="20" t="inlineStr">
        <is>
          <t>Alto</t>
        </is>
      </c>
      <c r="G1563" s="21" t="n"/>
      <c r="H1563" s="22" t="n">
        <v>73000</v>
      </c>
      <c r="I1563" s="22" t="n">
        <v>23000</v>
      </c>
      <c r="J1563" s="20" t="inlineStr">
        <is>
          <t>EVM CITROEN</t>
        </is>
      </c>
      <c r="K1563" s="20" t="inlineStr">
        <is>
          <t>Non-Captive</t>
        </is>
      </c>
      <c r="L1563" s="20" t="inlineStr">
        <is>
          <t>ASHRAF T A</t>
        </is>
      </c>
      <c r="M1563" s="23" t="n">
        <v>6779.66</v>
      </c>
    </row>
    <row r="1564">
      <c r="A1564" s="19" t="inlineStr">
        <is>
          <t>FY26</t>
        </is>
      </c>
      <c r="B1564" s="19" t="inlineStr">
        <is>
          <t>Jan</t>
        </is>
      </c>
      <c r="C1564" s="19" t="inlineStr">
        <is>
          <t>Kerala</t>
        </is>
      </c>
      <c r="D1564" s="20" t="inlineStr">
        <is>
          <t>KL18G2110</t>
        </is>
      </c>
      <c r="E1564" s="20" t="inlineStr">
        <is>
          <t>MARUTI SUZUKI</t>
        </is>
      </c>
      <c r="F1564" s="20" t="inlineStr">
        <is>
          <t>Alto</t>
        </is>
      </c>
      <c r="G1564" s="21" t="n"/>
      <c r="H1564" s="22" t="n">
        <v>96081</v>
      </c>
      <c r="I1564" s="22" t="n">
        <v>24000</v>
      </c>
      <c r="J1564" s="20" t="inlineStr">
        <is>
          <t>POPULAR MARUTI</t>
        </is>
      </c>
      <c r="K1564" s="20" t="inlineStr">
        <is>
          <t>Non-Captive</t>
        </is>
      </c>
      <c r="L1564" s="20" t="inlineStr">
        <is>
          <t>VTJ</t>
        </is>
      </c>
      <c r="M1564" s="23" t="n">
        <v>6779.66</v>
      </c>
    </row>
    <row r="1565">
      <c r="A1565" s="19" t="inlineStr">
        <is>
          <t>FY26</t>
        </is>
      </c>
      <c r="B1565" s="19" t="inlineStr">
        <is>
          <t>Jan</t>
        </is>
      </c>
      <c r="C1565" s="19" t="inlineStr">
        <is>
          <t>Kerala</t>
        </is>
      </c>
      <c r="D1565" s="20" t="inlineStr">
        <is>
          <t>KL01BB7667</t>
        </is>
      </c>
      <c r="E1565" s="20" t="inlineStr">
        <is>
          <t>HYUNDAI</t>
        </is>
      </c>
      <c r="F1565" s="20" t="inlineStr">
        <is>
          <t>I10</t>
        </is>
      </c>
      <c r="G1565" s="21" t="n"/>
      <c r="H1565" s="22" t="n">
        <v>109471</v>
      </c>
      <c r="I1565" s="22" t="n">
        <v>82000</v>
      </c>
      <c r="J1565" s="20" t="inlineStr">
        <is>
          <t>POPULAR HYUNDAI</t>
        </is>
      </c>
      <c r="K1565" s="20" t="inlineStr">
        <is>
          <t>Non-Captive</t>
        </is>
      </c>
      <c r="L1565" s="20" t="inlineStr">
        <is>
          <t>DINESH P S</t>
        </is>
      </c>
      <c r="M1565" s="23" t="n">
        <v>6779.66</v>
      </c>
    </row>
    <row r="1566">
      <c r="A1566" s="19" t="inlineStr">
        <is>
          <t>FY26</t>
        </is>
      </c>
      <c r="B1566" s="19" t="inlineStr">
        <is>
          <t>Jan</t>
        </is>
      </c>
      <c r="C1566" s="19" t="inlineStr">
        <is>
          <t>Kerala</t>
        </is>
      </c>
      <c r="D1566" s="20" t="inlineStr">
        <is>
          <t>KL05F5765</t>
        </is>
      </c>
      <c r="E1566" s="20" t="inlineStr">
        <is>
          <t>MARUTI SUZUKI</t>
        </is>
      </c>
      <c r="F1566" s="20" t="inlineStr">
        <is>
          <t>Alto</t>
        </is>
      </c>
      <c r="G1566" s="21" t="n"/>
      <c r="H1566" s="22" t="n">
        <v>97480</v>
      </c>
      <c r="I1566" s="22" t="n">
        <v>15000</v>
      </c>
      <c r="J1566" s="20" t="inlineStr">
        <is>
          <t>MUHAMMED SHAJI</t>
        </is>
      </c>
      <c r="K1566" s="20" t="inlineStr">
        <is>
          <t>Non-Captive</t>
        </is>
      </c>
      <c r="L1566" s="20" t="inlineStr">
        <is>
          <t>DREAM DRIVE</t>
        </is>
      </c>
      <c r="M1566" s="23" t="n">
        <v>4237.29</v>
      </c>
    </row>
    <row r="1567">
      <c r="A1567" s="19" t="inlineStr">
        <is>
          <t>FY26</t>
        </is>
      </c>
      <c r="B1567" s="19" t="inlineStr">
        <is>
          <t>Jan</t>
        </is>
      </c>
      <c r="C1567" s="19" t="inlineStr">
        <is>
          <t>Kerala</t>
        </is>
      </c>
      <c r="D1567" s="20" t="inlineStr">
        <is>
          <t>KL27K7747</t>
        </is>
      </c>
      <c r="E1567" s="20" t="inlineStr">
        <is>
          <t>RENAULT</t>
        </is>
      </c>
      <c r="F1567" s="20" t="inlineStr">
        <is>
          <t>Kiger</t>
        </is>
      </c>
      <c r="G1567" s="21" t="n"/>
      <c r="H1567" s="22" t="n">
        <v>49500</v>
      </c>
      <c r="I1567" s="22" t="n">
        <v>505000</v>
      </c>
      <c r="J1567" s="20" t="inlineStr">
        <is>
          <t>MUTHOOT HONDA</t>
        </is>
      </c>
      <c r="K1567" s="20" t="inlineStr">
        <is>
          <t>Non-Captive</t>
        </is>
      </c>
      <c r="L1567" s="20" t="inlineStr">
        <is>
          <t>MAXX MOTORS</t>
        </is>
      </c>
      <c r="M1567" s="23" t="n">
        <v>8474.58</v>
      </c>
    </row>
    <row r="1568">
      <c r="A1568" s="19" t="inlineStr">
        <is>
          <t>FY26</t>
        </is>
      </c>
      <c r="B1568" s="19" t="inlineStr">
        <is>
          <t>Jan</t>
        </is>
      </c>
      <c r="C1568" s="19" t="inlineStr">
        <is>
          <t>Kerala</t>
        </is>
      </c>
      <c r="D1568" s="20" t="inlineStr">
        <is>
          <t>KL01BE2793</t>
        </is>
      </c>
      <c r="E1568" s="20" t="inlineStr">
        <is>
          <t>MARUTI SUZUKI</t>
        </is>
      </c>
      <c r="F1568" s="20" t="inlineStr">
        <is>
          <t>Omni</t>
        </is>
      </c>
      <c r="G1568" s="21" t="n"/>
      <c r="H1568" s="22" t="n">
        <v>75000</v>
      </c>
      <c r="I1568" s="22" t="n">
        <v>55000</v>
      </c>
      <c r="J1568" s="20" t="inlineStr">
        <is>
          <t>POPULAR MARUTI</t>
        </is>
      </c>
      <c r="K1568" s="20" t="inlineStr">
        <is>
          <t>Non-Captive</t>
        </is>
      </c>
      <c r="L1568" s="20" t="inlineStr">
        <is>
          <t>SATHOSH</t>
        </is>
      </c>
      <c r="M1568" s="23" t="n">
        <v>5932.2</v>
      </c>
    </row>
    <row r="1569">
      <c r="A1569" s="19" t="inlineStr">
        <is>
          <t>FY26</t>
        </is>
      </c>
      <c r="B1569" s="19" t="inlineStr">
        <is>
          <t>Jan</t>
        </is>
      </c>
      <c r="C1569" s="19" t="inlineStr">
        <is>
          <t>Kerala</t>
        </is>
      </c>
      <c r="D1569" s="20" t="inlineStr">
        <is>
          <t>KL01BB4909</t>
        </is>
      </c>
      <c r="E1569" s="20" t="inlineStr">
        <is>
          <t>MARUTI SUZUKI</t>
        </is>
      </c>
      <c r="F1569" s="20" t="inlineStr">
        <is>
          <t>Alto</t>
        </is>
      </c>
      <c r="G1569" s="21" t="n"/>
      <c r="H1569" s="22" t="n">
        <v>85000</v>
      </c>
      <c r="I1569" s="22" t="n">
        <v>70000</v>
      </c>
      <c r="J1569" s="20" t="inlineStr">
        <is>
          <t>POPULAR MARUTI</t>
        </is>
      </c>
      <c r="K1569" s="20" t="inlineStr">
        <is>
          <t>Non-Captive</t>
        </is>
      </c>
      <c r="L1569" s="20" t="inlineStr">
        <is>
          <t>ARAVIND</t>
        </is>
      </c>
      <c r="M1569" s="23" t="n">
        <v>6779.66</v>
      </c>
    </row>
    <row r="1570">
      <c r="A1570" s="19" t="inlineStr">
        <is>
          <t>FY26</t>
        </is>
      </c>
      <c r="B1570" s="19" t="inlineStr">
        <is>
          <t>Jan</t>
        </is>
      </c>
      <c r="C1570" s="19" t="inlineStr">
        <is>
          <t>Kerala</t>
        </is>
      </c>
      <c r="D1570" s="20" t="inlineStr">
        <is>
          <t>KL02BP1047</t>
        </is>
      </c>
      <c r="E1570" s="20" t="inlineStr">
        <is>
          <t>TATA</t>
        </is>
      </c>
      <c r="F1570" s="20" t="inlineStr">
        <is>
          <t>Tiago</t>
        </is>
      </c>
      <c r="G1570" s="21" t="n"/>
      <c r="H1570" s="22" t="n">
        <v>44534</v>
      </c>
      <c r="I1570" s="22" t="n">
        <v>390000</v>
      </c>
      <c r="J1570" s="20" t="inlineStr">
        <is>
          <t>PINNACALE NISSAN</t>
        </is>
      </c>
      <c r="K1570" s="20" t="inlineStr">
        <is>
          <t>Non-Captive</t>
        </is>
      </c>
      <c r="L1570" s="20" t="inlineStr">
        <is>
          <t>SHAHAR</t>
        </is>
      </c>
      <c r="M1570" s="23" t="n">
        <v>6355.93</v>
      </c>
    </row>
    <row r="1571">
      <c r="A1571" s="19" t="inlineStr">
        <is>
          <t>FY26</t>
        </is>
      </c>
      <c r="B1571" s="19" t="inlineStr">
        <is>
          <t>Jan</t>
        </is>
      </c>
      <c r="C1571" s="19" t="inlineStr">
        <is>
          <t>Kerala</t>
        </is>
      </c>
      <c r="D1571" s="20" t="inlineStr">
        <is>
          <t>KL39R8584</t>
        </is>
      </c>
      <c r="E1571" s="20" t="inlineStr">
        <is>
          <t>TATA</t>
        </is>
      </c>
      <c r="F1571" s="20" t="inlineStr">
        <is>
          <t>Punch</t>
        </is>
      </c>
      <c r="G1571" s="21" t="n"/>
      <c r="H1571" s="22" t="n">
        <v>30830</v>
      </c>
      <c r="I1571" s="22" t="n">
        <v>450000</v>
      </c>
      <c r="J1571" s="20" t="inlineStr">
        <is>
          <t>GOKULAM</t>
        </is>
      </c>
      <c r="K1571" s="20" t="inlineStr">
        <is>
          <t>Non-Captive</t>
        </is>
      </c>
      <c r="L1571" s="20" t="inlineStr">
        <is>
          <t>YAHIYA</t>
        </is>
      </c>
      <c r="M1571" s="23" t="n">
        <v>8474.58</v>
      </c>
    </row>
    <row r="1572">
      <c r="A1572" s="19" t="inlineStr">
        <is>
          <t>FY26</t>
        </is>
      </c>
      <c r="B1572" s="19" t="inlineStr">
        <is>
          <t>Jan</t>
        </is>
      </c>
      <c r="C1572" s="19" t="inlineStr">
        <is>
          <t>Kerala</t>
        </is>
      </c>
      <c r="D1572" s="20" t="inlineStr">
        <is>
          <t>KL31A7020</t>
        </is>
      </c>
      <c r="E1572" s="20" t="inlineStr">
        <is>
          <t>MARUTI SUZUKI</t>
        </is>
      </c>
      <c r="F1572" s="20" t="inlineStr">
        <is>
          <t>Swift</t>
        </is>
      </c>
      <c r="G1572" s="21" t="n"/>
      <c r="H1572" s="22" t="n">
        <v>165789</v>
      </c>
      <c r="I1572" s="22" t="n">
        <v>158000</v>
      </c>
      <c r="J1572" s="20" t="inlineStr">
        <is>
          <t>AMRUTH</t>
        </is>
      </c>
      <c r="K1572" s="20" t="inlineStr">
        <is>
          <t>Non-Captive</t>
        </is>
      </c>
      <c r="L1572" s="20" t="inlineStr">
        <is>
          <t>ANAS VH</t>
        </is>
      </c>
      <c r="M1572" s="23" t="n">
        <v>5932.2</v>
      </c>
    </row>
    <row r="1573">
      <c r="A1573" s="19" t="inlineStr">
        <is>
          <t>FY26</t>
        </is>
      </c>
      <c r="B1573" s="19" t="inlineStr">
        <is>
          <t>Jan</t>
        </is>
      </c>
      <c r="C1573" s="19" t="inlineStr">
        <is>
          <t>Kerala</t>
        </is>
      </c>
      <c r="D1573" s="20" t="inlineStr">
        <is>
          <t>KL05Y7060</t>
        </is>
      </c>
      <c r="E1573" s="20" t="inlineStr">
        <is>
          <t>HYUNDAI</t>
        </is>
      </c>
      <c r="F1573" s="20" t="inlineStr">
        <is>
          <t>Santro</t>
        </is>
      </c>
      <c r="G1573" s="21" t="n"/>
      <c r="H1573" s="22" t="n">
        <v>48768</v>
      </c>
      <c r="I1573" s="22" t="n">
        <v>53000</v>
      </c>
      <c r="J1573" s="20" t="inlineStr">
        <is>
          <t>MUHAMMAD SHAJI</t>
        </is>
      </c>
      <c r="K1573" s="20" t="inlineStr">
        <is>
          <t>Non-Captive</t>
        </is>
      </c>
      <c r="L1573" s="20" t="inlineStr">
        <is>
          <t>TINU P SOMAN</t>
        </is>
      </c>
      <c r="M1573" s="23" t="n">
        <v>5932.2</v>
      </c>
    </row>
    <row r="1574">
      <c r="A1574" s="19" t="inlineStr">
        <is>
          <t>FY26</t>
        </is>
      </c>
      <c r="B1574" s="19" t="inlineStr">
        <is>
          <t>Jan</t>
        </is>
      </c>
      <c r="C1574" s="19" t="inlineStr">
        <is>
          <t>Kerala</t>
        </is>
      </c>
      <c r="D1574" s="20" t="inlineStr">
        <is>
          <t>KL08BU5434</t>
        </is>
      </c>
      <c r="E1574" s="20" t="inlineStr">
        <is>
          <t>JEEP</t>
        </is>
      </c>
      <c r="F1574" s="20" t="inlineStr">
        <is>
          <t>Compass</t>
        </is>
      </c>
      <c r="G1574" s="21" t="n"/>
      <c r="H1574" s="22" t="n">
        <v>53655</v>
      </c>
      <c r="I1574" s="22" t="n">
        <v>1100000</v>
      </c>
      <c r="J1574" s="20" t="inlineStr">
        <is>
          <t>PHOENIX VOLKSWAGEN</t>
        </is>
      </c>
      <c r="K1574" s="20" t="inlineStr">
        <is>
          <t>Non-Captive</t>
        </is>
      </c>
      <c r="L1574" s="20" t="inlineStr">
        <is>
          <t>UMESHKUMAR T U</t>
        </is>
      </c>
      <c r="M1574" s="23" t="n">
        <v>8474.58</v>
      </c>
    </row>
    <row r="1575">
      <c r="A1575" s="19" t="inlineStr">
        <is>
          <t>FY26</t>
        </is>
      </c>
      <c r="B1575" s="19" t="inlineStr">
        <is>
          <t>Jan</t>
        </is>
      </c>
      <c r="C1575" s="19" t="inlineStr">
        <is>
          <t>Kerala</t>
        </is>
      </c>
      <c r="D1575" s="20" t="inlineStr">
        <is>
          <t>KL06J3493</t>
        </is>
      </c>
      <c r="E1575" s="20" t="inlineStr">
        <is>
          <t>FORD</t>
        </is>
      </c>
      <c r="F1575" s="20" t="inlineStr">
        <is>
          <t>Ecosport</t>
        </is>
      </c>
      <c r="G1575" s="21" t="n"/>
      <c r="H1575" s="22" t="n">
        <v>66300</v>
      </c>
      <c r="I1575" s="22" t="n">
        <v>475000</v>
      </c>
      <c r="J1575" s="20" t="inlineStr">
        <is>
          <t>JANVIS MOTO CONNECT</t>
        </is>
      </c>
      <c r="K1575" s="20" t="inlineStr">
        <is>
          <t>Non-Captive</t>
        </is>
      </c>
      <c r="L1575" s="20" t="inlineStr">
        <is>
          <t>HAVEN MOTORS</t>
        </is>
      </c>
      <c r="M1575" s="23" t="n">
        <v>12711.86</v>
      </c>
    </row>
    <row r="1576">
      <c r="A1576" s="19" t="inlineStr">
        <is>
          <t>FY26</t>
        </is>
      </c>
      <c r="B1576" s="19" t="inlineStr">
        <is>
          <t>Jan</t>
        </is>
      </c>
      <c r="C1576" s="19" t="inlineStr">
        <is>
          <t>Kerala</t>
        </is>
      </c>
      <c r="D1576" s="20" t="inlineStr">
        <is>
          <t>KL56A3515</t>
        </is>
      </c>
      <c r="E1576" s="20" t="inlineStr">
        <is>
          <t>MARUTI SUZUKI</t>
        </is>
      </c>
      <c r="F1576" s="20" t="inlineStr">
        <is>
          <t>Wagon R</t>
        </is>
      </c>
      <c r="G1576" s="21" t="n"/>
      <c r="H1576" s="22" t="n">
        <v>122000</v>
      </c>
      <c r="I1576" s="22" t="n">
        <v>70000</v>
      </c>
      <c r="J1576" s="20" t="inlineStr">
        <is>
          <t>SAHARUN</t>
        </is>
      </c>
      <c r="K1576" s="20" t="inlineStr">
        <is>
          <t>Non-Captive</t>
        </is>
      </c>
      <c r="L1576" s="20" t="inlineStr">
        <is>
          <t>BIMAL</t>
        </is>
      </c>
      <c r="M1576" s="23" t="n">
        <v>5084.75</v>
      </c>
    </row>
    <row r="1577">
      <c r="A1577" s="19" t="inlineStr">
        <is>
          <t>FY26</t>
        </is>
      </c>
      <c r="B1577" s="19" t="inlineStr">
        <is>
          <t>Jan</t>
        </is>
      </c>
      <c r="C1577" s="19" t="inlineStr">
        <is>
          <t>Kerala</t>
        </is>
      </c>
      <c r="D1577" s="20" t="inlineStr">
        <is>
          <t>KL60U5273</t>
        </is>
      </c>
      <c r="E1577" s="20" t="inlineStr">
        <is>
          <t>MARUTI SUZUKI</t>
        </is>
      </c>
      <c r="F1577" s="20" t="inlineStr">
        <is>
          <t>Alto</t>
        </is>
      </c>
      <c r="G1577" s="21" t="n"/>
      <c r="H1577" s="22" t="n">
        <v>59000</v>
      </c>
      <c r="I1577" s="22" t="n">
        <v>302000</v>
      </c>
      <c r="J1577" s="20" t="inlineStr">
        <is>
          <t>SHAJI</t>
        </is>
      </c>
      <c r="K1577" s="20" t="inlineStr">
        <is>
          <t>Non-Captive</t>
        </is>
      </c>
      <c r="L1577" s="20" t="inlineStr">
        <is>
          <t>KVR TATA</t>
        </is>
      </c>
      <c r="M1577" s="23" t="n">
        <v>6779.66</v>
      </c>
    </row>
    <row r="1578">
      <c r="A1578" s="19" t="inlineStr">
        <is>
          <t>FY26</t>
        </is>
      </c>
      <c r="B1578" s="19" t="inlineStr">
        <is>
          <t>Jan</t>
        </is>
      </c>
      <c r="C1578" s="19" t="inlineStr">
        <is>
          <t>Kerala</t>
        </is>
      </c>
      <c r="D1578" s="20" t="inlineStr">
        <is>
          <t>KL48E7545</t>
        </is>
      </c>
      <c r="E1578" s="20" t="inlineStr">
        <is>
          <t>MARUTI SUZUKI</t>
        </is>
      </c>
      <c r="F1578" s="20" t="inlineStr">
        <is>
          <t>Alto</t>
        </is>
      </c>
      <c r="G1578" s="21" t="n"/>
      <c r="H1578" s="22" t="n">
        <v>110000</v>
      </c>
      <c r="I1578" s="22" t="n">
        <v>110000</v>
      </c>
      <c r="J1578" s="20" t="inlineStr">
        <is>
          <t>RAYON</t>
        </is>
      </c>
      <c r="K1578" s="20" t="inlineStr">
        <is>
          <t>Non-Captive</t>
        </is>
      </c>
      <c r="L1578" s="20" t="inlineStr">
        <is>
          <t>KIA</t>
        </is>
      </c>
      <c r="M1578" s="23" t="n">
        <v>4237.29</v>
      </c>
    </row>
    <row r="1579">
      <c r="A1579" s="19" t="inlineStr">
        <is>
          <t>FY26</t>
        </is>
      </c>
      <c r="B1579" s="19" t="inlineStr">
        <is>
          <t>Jan</t>
        </is>
      </c>
      <c r="C1579" s="19" t="inlineStr">
        <is>
          <t>Kerala</t>
        </is>
      </c>
      <c r="D1579" s="20" t="inlineStr">
        <is>
          <t>KL56R5506</t>
        </is>
      </c>
      <c r="E1579" s="20" t="inlineStr">
        <is>
          <t>MARUTI SUZUKI</t>
        </is>
      </c>
      <c r="F1579" s="20" t="inlineStr">
        <is>
          <t>Alto</t>
        </is>
      </c>
      <c r="G1579" s="21" t="n"/>
      <c r="H1579" s="22" t="n">
        <v>24000</v>
      </c>
      <c r="I1579" s="22" t="n">
        <v>200000</v>
      </c>
      <c r="J1579" s="20" t="inlineStr">
        <is>
          <t>UNAISE</t>
        </is>
      </c>
      <c r="K1579" s="20" t="inlineStr">
        <is>
          <t>Non-Captive</t>
        </is>
      </c>
      <c r="L1579" s="20" t="inlineStr">
        <is>
          <t>APCO HYUNDAI</t>
        </is>
      </c>
      <c r="M1579" s="23" t="n">
        <v>8474.58</v>
      </c>
    </row>
    <row r="1580">
      <c r="A1580" s="19" t="inlineStr">
        <is>
          <t>FY26</t>
        </is>
      </c>
      <c r="B1580" s="19" t="inlineStr">
        <is>
          <t>Jan</t>
        </is>
      </c>
      <c r="C1580" s="19" t="inlineStr">
        <is>
          <t>Kerala</t>
        </is>
      </c>
      <c r="D1580" s="20" t="inlineStr">
        <is>
          <t>KL78B9921</t>
        </is>
      </c>
      <c r="E1580" s="20" t="inlineStr">
        <is>
          <t>HYUNDAI</t>
        </is>
      </c>
      <c r="F1580" s="20" t="inlineStr">
        <is>
          <t>I10</t>
        </is>
      </c>
      <c r="G1580" s="21" t="n"/>
      <c r="H1580" s="22" t="n">
        <v>46000</v>
      </c>
      <c r="I1580" s="22" t="n">
        <v>120000</v>
      </c>
      <c r="J1580" s="20" t="inlineStr">
        <is>
          <t>MOHAMMED RAFI</t>
        </is>
      </c>
      <c r="K1580" s="20" t="inlineStr">
        <is>
          <t>Non-Captive</t>
        </is>
      </c>
      <c r="L1580" s="20" t="inlineStr">
        <is>
          <t>APCO HYUNDAI</t>
        </is>
      </c>
      <c r="M1580" s="23" t="n">
        <v>8474.58</v>
      </c>
    </row>
    <row r="1581">
      <c r="A1581" s="19" t="inlineStr">
        <is>
          <t>FY26</t>
        </is>
      </c>
      <c r="B1581" s="19" t="inlineStr">
        <is>
          <t>Jan</t>
        </is>
      </c>
      <c r="C1581" s="19" t="inlineStr">
        <is>
          <t>Kerala</t>
        </is>
      </c>
      <c r="D1581" s="20" t="inlineStr">
        <is>
          <t>KL58S4885</t>
        </is>
      </c>
      <c r="E1581" s="20" t="inlineStr">
        <is>
          <t>MARUTI SUZUKI</t>
        </is>
      </c>
      <c r="F1581" s="20" t="inlineStr">
        <is>
          <t>Swift</t>
        </is>
      </c>
      <c r="G1581" s="21" t="n"/>
      <c r="H1581" s="22" t="n">
        <v>42000</v>
      </c>
      <c r="I1581" s="22" t="n">
        <v>390000</v>
      </c>
      <c r="J1581" s="20" t="inlineStr">
        <is>
          <t>SARITH</t>
        </is>
      </c>
      <c r="K1581" s="20" t="inlineStr">
        <is>
          <t>Non-Captive</t>
        </is>
      </c>
      <c r="L1581" s="20" t="inlineStr">
        <is>
          <t>AMANA TOYOTA</t>
        </is>
      </c>
      <c r="M1581" s="23" t="n">
        <v>8474.58</v>
      </c>
    </row>
    <row r="1582">
      <c r="A1582" s="19" t="inlineStr">
        <is>
          <t>FY26</t>
        </is>
      </c>
      <c r="B1582" s="19" t="inlineStr">
        <is>
          <t>Jan</t>
        </is>
      </c>
      <c r="C1582" s="19" t="inlineStr">
        <is>
          <t>Kerala</t>
        </is>
      </c>
      <c r="D1582" s="20" t="inlineStr">
        <is>
          <t>KL59U3388</t>
        </is>
      </c>
      <c r="E1582" s="20" t="inlineStr">
        <is>
          <t>HYUNDAI</t>
        </is>
      </c>
      <c r="F1582" s="20" t="inlineStr">
        <is>
          <t>Grand I10</t>
        </is>
      </c>
      <c r="G1582" s="21" t="n"/>
      <c r="H1582" s="22" t="n">
        <v>57000</v>
      </c>
      <c r="I1582" s="22" t="n">
        <v>355000</v>
      </c>
      <c r="J1582" s="20" t="inlineStr">
        <is>
          <t>PRAJOSH</t>
        </is>
      </c>
      <c r="K1582" s="20" t="inlineStr">
        <is>
          <t>Non-Captive</t>
        </is>
      </c>
      <c r="L1582" s="20" t="inlineStr">
        <is>
          <t>ERAM MAHINDRA</t>
        </is>
      </c>
      <c r="M1582" s="23" t="n">
        <v>4237.29</v>
      </c>
    </row>
    <row r="1583">
      <c r="A1583" s="19" t="inlineStr">
        <is>
          <t>FY26</t>
        </is>
      </c>
      <c r="B1583" s="19" t="inlineStr">
        <is>
          <t>Jan</t>
        </is>
      </c>
      <c r="C1583" s="19" t="inlineStr">
        <is>
          <t>Kerala</t>
        </is>
      </c>
      <c r="D1583" s="20" t="inlineStr">
        <is>
          <t>KL02AF0369</t>
        </is>
      </c>
      <c r="E1583" s="20" t="inlineStr">
        <is>
          <t>HYUNDAI</t>
        </is>
      </c>
      <c r="F1583" s="20" t="inlineStr">
        <is>
          <t>I10</t>
        </is>
      </c>
      <c r="G1583" s="21" t="n"/>
      <c r="H1583" s="22" t="n">
        <v>55000</v>
      </c>
      <c r="I1583" s="22" t="n">
        <v>150000</v>
      </c>
      <c r="J1583" s="20" t="inlineStr">
        <is>
          <t>LUXON TATA</t>
        </is>
      </c>
      <c r="K1583" s="20" t="inlineStr">
        <is>
          <t>Non-Captive</t>
        </is>
      </c>
      <c r="L1583" s="20" t="inlineStr">
        <is>
          <t>BINIL</t>
        </is>
      </c>
      <c r="M1583" s="23" t="n">
        <v>5932.2</v>
      </c>
    </row>
    <row r="1584">
      <c r="A1584" s="19" t="inlineStr">
        <is>
          <t>FY26</t>
        </is>
      </c>
      <c r="B1584" s="19" t="inlineStr">
        <is>
          <t>Jan</t>
        </is>
      </c>
      <c r="C1584" s="19" t="inlineStr">
        <is>
          <t>Kerala</t>
        </is>
      </c>
      <c r="D1584" s="20" t="inlineStr">
        <is>
          <t>KL07CD1015</t>
        </is>
      </c>
      <c r="E1584" s="20" t="inlineStr">
        <is>
          <t>FORD</t>
        </is>
      </c>
      <c r="F1584" s="20" t="inlineStr">
        <is>
          <t>Ecosport</t>
        </is>
      </c>
      <c r="G1584" s="21" t="n"/>
      <c r="H1584" s="22" t="n">
        <v>143000</v>
      </c>
      <c r="I1584" s="22" t="n">
        <v>310000</v>
      </c>
      <c r="J1584" s="20" t="inlineStr">
        <is>
          <t>POPULAR MARUTI</t>
        </is>
      </c>
      <c r="K1584" s="20" t="inlineStr">
        <is>
          <t>Non-Captive</t>
        </is>
      </c>
      <c r="L1584" s="20" t="inlineStr">
        <is>
          <t>RAFEEK T A</t>
        </is>
      </c>
      <c r="M1584" s="23" t="n">
        <v>8474.58</v>
      </c>
    </row>
    <row r="1585">
      <c r="A1585" s="19" t="inlineStr">
        <is>
          <t>FY26</t>
        </is>
      </c>
      <c r="B1585" s="19" t="inlineStr">
        <is>
          <t>Jan</t>
        </is>
      </c>
      <c r="C1585" s="19" t="inlineStr">
        <is>
          <t>Kerala</t>
        </is>
      </c>
      <c r="D1585" s="20" t="inlineStr">
        <is>
          <t>KL25G3160</t>
        </is>
      </c>
      <c r="E1585" s="20" t="inlineStr">
        <is>
          <t>FORD</t>
        </is>
      </c>
      <c r="F1585" s="20" t="inlineStr">
        <is>
          <t>Ecosport</t>
        </is>
      </c>
      <c r="G1585" s="21" t="n"/>
      <c r="H1585" s="22" t="n">
        <v>107596</v>
      </c>
      <c r="I1585" s="22" t="n">
        <v>350000</v>
      </c>
      <c r="J1585" s="20" t="inlineStr">
        <is>
          <t>EVM SKODA</t>
        </is>
      </c>
      <c r="K1585" s="20" t="inlineStr">
        <is>
          <t>Non-Captive</t>
        </is>
      </c>
      <c r="L1585" s="20" t="inlineStr">
        <is>
          <t>RAFEEK T A</t>
        </is>
      </c>
      <c r="M1585" s="23" t="n">
        <v>8474.58</v>
      </c>
    </row>
    <row r="1586">
      <c r="A1586" s="19" t="inlineStr">
        <is>
          <t>FY26</t>
        </is>
      </c>
      <c r="B1586" s="19" t="inlineStr">
        <is>
          <t>Jan</t>
        </is>
      </c>
      <c r="C1586" s="19" t="inlineStr">
        <is>
          <t>Kerala</t>
        </is>
      </c>
      <c r="D1586" s="20" t="inlineStr">
        <is>
          <t>KL01CQ9988</t>
        </is>
      </c>
      <c r="E1586" s="20" t="inlineStr">
        <is>
          <t>MARUTI SUZUKI</t>
        </is>
      </c>
      <c r="F1586" s="20" t="inlineStr">
        <is>
          <t>Swift Dzire</t>
        </is>
      </c>
      <c r="G1586" s="21" t="n"/>
      <c r="H1586" s="22" t="n">
        <v>37700</v>
      </c>
      <c r="I1586" s="22" t="n">
        <v>525000</v>
      </c>
      <c r="J1586" s="20" t="inlineStr">
        <is>
          <t>KAIRALI TOYOTA</t>
        </is>
      </c>
      <c r="K1586" s="20" t="inlineStr">
        <is>
          <t>Non-Captive</t>
        </is>
      </c>
      <c r="L1586" s="20" t="inlineStr">
        <is>
          <t>BINIL</t>
        </is>
      </c>
      <c r="M1586" s="23" t="n">
        <v>6779.66</v>
      </c>
    </row>
    <row r="1587">
      <c r="A1587" s="19" t="inlineStr">
        <is>
          <t>FY26</t>
        </is>
      </c>
      <c r="B1587" s="19" t="inlineStr">
        <is>
          <t>Jan</t>
        </is>
      </c>
      <c r="C1587" s="19" t="inlineStr">
        <is>
          <t>Kerala</t>
        </is>
      </c>
      <c r="D1587" s="20" t="inlineStr">
        <is>
          <t>KL02AT5056</t>
        </is>
      </c>
      <c r="E1587" s="20" t="inlineStr">
        <is>
          <t>HYUNDAI</t>
        </is>
      </c>
      <c r="F1587" s="20" t="inlineStr">
        <is>
          <t>I20</t>
        </is>
      </c>
      <c r="G1587" s="21" t="n"/>
      <c r="H1587" s="22" t="n">
        <v>51665</v>
      </c>
      <c r="I1587" s="22" t="n">
        <v>343000</v>
      </c>
      <c r="J1587" s="20" t="inlineStr">
        <is>
          <t>REFERENCE</t>
        </is>
      </c>
      <c r="K1587" s="20" t="inlineStr">
        <is>
          <t>Non-Captive</t>
        </is>
      </c>
      <c r="L1587" s="20" t="inlineStr">
        <is>
          <t>SHIBU</t>
        </is>
      </c>
      <c r="M1587" s="23" t="n">
        <v>5932.2</v>
      </c>
    </row>
    <row r="1588">
      <c r="A1588" s="19" t="inlineStr">
        <is>
          <t>FY26</t>
        </is>
      </c>
      <c r="B1588" s="19" t="inlineStr">
        <is>
          <t>Jan</t>
        </is>
      </c>
      <c r="C1588" s="19" t="inlineStr">
        <is>
          <t>Kerala</t>
        </is>
      </c>
      <c r="D1588" s="20" t="inlineStr">
        <is>
          <t>KL59U6402</t>
        </is>
      </c>
      <c r="E1588" s="20" t="inlineStr">
        <is>
          <t>RENAULT</t>
        </is>
      </c>
      <c r="F1588" s="20" t="inlineStr">
        <is>
          <t>Duster</t>
        </is>
      </c>
      <c r="G1588" s="21" t="n"/>
      <c r="H1588" s="22" t="n">
        <v>139000</v>
      </c>
      <c r="I1588" s="22" t="n">
        <v>520000</v>
      </c>
      <c r="J1588" s="20" t="inlineStr">
        <is>
          <t>PRAJOSH</t>
        </is>
      </c>
      <c r="K1588" s="20" t="inlineStr">
        <is>
          <t>Non-Captive</t>
        </is>
      </c>
      <c r="L1588" s="20" t="inlineStr">
        <is>
          <t>KVR MARUTHI</t>
        </is>
      </c>
      <c r="M1588" s="23" t="n">
        <v>8474.58</v>
      </c>
    </row>
    <row r="1589">
      <c r="A1589" s="19" t="inlineStr">
        <is>
          <t>FY26</t>
        </is>
      </c>
      <c r="B1589" s="19" t="inlineStr">
        <is>
          <t>Jan</t>
        </is>
      </c>
      <c r="C1589" s="19" t="inlineStr">
        <is>
          <t>Kerala</t>
        </is>
      </c>
      <c r="D1589" s="20" t="inlineStr">
        <is>
          <t>KL03AC9958</t>
        </is>
      </c>
      <c r="E1589" s="20" t="inlineStr">
        <is>
          <t>FORD</t>
        </is>
      </c>
      <c r="F1589" s="20" t="inlineStr">
        <is>
          <t>Freestyle</t>
        </is>
      </c>
      <c r="G1589" s="21" t="n"/>
      <c r="H1589" s="22" t="n">
        <v>46000</v>
      </c>
      <c r="I1589" s="22" t="n">
        <v>320000</v>
      </c>
      <c r="J1589" s="20" t="inlineStr">
        <is>
          <t>LUXON TATA</t>
        </is>
      </c>
      <c r="K1589" s="20" t="inlineStr">
        <is>
          <t>Non-Captive</t>
        </is>
      </c>
      <c r="L1589" s="20" t="inlineStr">
        <is>
          <t>PRAMOD</t>
        </is>
      </c>
      <c r="M1589" s="23" t="n">
        <v>6779.66</v>
      </c>
    </row>
    <row r="1590">
      <c r="A1590" s="19" t="inlineStr">
        <is>
          <t>FY26</t>
        </is>
      </c>
      <c r="B1590" s="19" t="inlineStr">
        <is>
          <t>Jan</t>
        </is>
      </c>
      <c r="C1590" s="19" t="inlineStr">
        <is>
          <t>Kerala</t>
        </is>
      </c>
      <c r="D1590" s="20" t="inlineStr">
        <is>
          <t>KL07CW9773</t>
        </is>
      </c>
      <c r="E1590" s="20" t="inlineStr">
        <is>
          <t>TATA</t>
        </is>
      </c>
      <c r="F1590" s="20" t="inlineStr">
        <is>
          <t>Harrier</t>
        </is>
      </c>
      <c r="G1590" s="21" t="n"/>
      <c r="H1590" s="22" t="n">
        <v>72000</v>
      </c>
      <c r="I1590" s="22" t="n">
        <v>890000</v>
      </c>
      <c r="J1590" s="20" t="inlineStr">
        <is>
          <t>POPULAR HYUNDAI</t>
        </is>
      </c>
      <c r="K1590" s="20" t="inlineStr">
        <is>
          <t>Non-Captive</t>
        </is>
      </c>
      <c r="L1590" s="20" t="inlineStr">
        <is>
          <t>AITOS CARS</t>
        </is>
      </c>
      <c r="M1590" s="23" t="n">
        <v>8474.58</v>
      </c>
    </row>
    <row r="1591">
      <c r="A1591" s="19" t="inlineStr">
        <is>
          <t>FY26</t>
        </is>
      </c>
      <c r="B1591" s="19" t="inlineStr">
        <is>
          <t>Jan</t>
        </is>
      </c>
      <c r="C1591" s="19" t="inlineStr">
        <is>
          <t>Kerala</t>
        </is>
      </c>
      <c r="D1591" s="20" t="inlineStr">
        <is>
          <t>KL39C4264</t>
        </is>
      </c>
      <c r="E1591" s="20" t="inlineStr">
        <is>
          <t>HYUNDAI</t>
        </is>
      </c>
      <c r="F1591" s="20" t="inlineStr">
        <is>
          <t>I20</t>
        </is>
      </c>
      <c r="G1591" s="21" t="n"/>
      <c r="H1591" s="22" t="n">
        <v>90000</v>
      </c>
      <c r="I1591" s="22" t="n">
        <v>130000</v>
      </c>
      <c r="J1591" s="20" t="inlineStr">
        <is>
          <t>POPULAR HYUNDAI</t>
        </is>
      </c>
      <c r="K1591" s="20" t="inlineStr">
        <is>
          <t>Non-Captive</t>
        </is>
      </c>
      <c r="L1591" s="20" t="inlineStr">
        <is>
          <t>UMESHKUMAR T U</t>
        </is>
      </c>
      <c r="M1591" s="23" t="n">
        <v>8474.58</v>
      </c>
    </row>
    <row r="1592">
      <c r="A1592" s="19" t="inlineStr">
        <is>
          <t>FY26</t>
        </is>
      </c>
      <c r="B1592" s="19" t="inlineStr">
        <is>
          <t>Jan</t>
        </is>
      </c>
      <c r="C1592" s="19" t="inlineStr">
        <is>
          <t>Kerala</t>
        </is>
      </c>
      <c r="D1592" s="20" t="inlineStr">
        <is>
          <t>KL01AX2527</t>
        </is>
      </c>
      <c r="E1592" s="20" t="inlineStr">
        <is>
          <t>HYUNDAI</t>
        </is>
      </c>
      <c r="F1592" s="20" t="inlineStr">
        <is>
          <t>I20</t>
        </is>
      </c>
      <c r="G1592" s="21" t="n"/>
      <c r="H1592" s="22" t="n">
        <v>128000</v>
      </c>
      <c r="I1592" s="22" t="n">
        <v>90000</v>
      </c>
      <c r="J1592" s="20" t="inlineStr">
        <is>
          <t>EVM SKODA</t>
        </is>
      </c>
      <c r="K1592" s="20" t="inlineStr">
        <is>
          <t>Non-Captive</t>
        </is>
      </c>
      <c r="L1592" s="20" t="inlineStr">
        <is>
          <t>G M MOTORS</t>
        </is>
      </c>
      <c r="M1592" s="23" t="n">
        <v>8474.58</v>
      </c>
    </row>
    <row r="1593">
      <c r="A1593" s="19" t="inlineStr">
        <is>
          <t>FY26</t>
        </is>
      </c>
      <c r="B1593" s="19" t="inlineStr">
        <is>
          <t>Jan</t>
        </is>
      </c>
      <c r="C1593" s="19" t="inlineStr">
        <is>
          <t>Kerala</t>
        </is>
      </c>
      <c r="D1593" s="20" t="inlineStr">
        <is>
          <t>KL07BM5510</t>
        </is>
      </c>
      <c r="E1593" s="20" t="inlineStr">
        <is>
          <t>HYUNDAI</t>
        </is>
      </c>
      <c r="F1593" s="20" t="inlineStr">
        <is>
          <t>Santro</t>
        </is>
      </c>
      <c r="G1593" s="21" t="n"/>
      <c r="H1593" s="22" t="n">
        <v>64825</v>
      </c>
      <c r="I1593" s="22" t="n">
        <v>70000</v>
      </c>
      <c r="J1593" s="20" t="inlineStr">
        <is>
          <t>EVM CITROEN</t>
        </is>
      </c>
      <c r="K1593" s="20" t="inlineStr">
        <is>
          <t>Non-Captive</t>
        </is>
      </c>
      <c r="L1593" s="20" t="inlineStr">
        <is>
          <t>MANOJ</t>
        </is>
      </c>
      <c r="M1593" s="23" t="n">
        <v>6355.93</v>
      </c>
    </row>
    <row r="1594">
      <c r="A1594" s="19" t="inlineStr">
        <is>
          <t>FY26</t>
        </is>
      </c>
      <c r="B1594" s="19" t="inlineStr">
        <is>
          <t>Jan</t>
        </is>
      </c>
      <c r="C1594" s="19" t="inlineStr">
        <is>
          <t>Kerala</t>
        </is>
      </c>
      <c r="D1594" s="20" t="inlineStr">
        <is>
          <t>KL05AP7196</t>
        </is>
      </c>
      <c r="E1594" s="20" t="inlineStr">
        <is>
          <t>CHEVROLET</t>
        </is>
      </c>
      <c r="F1594" s="20" t="inlineStr">
        <is>
          <t>Enjoy</t>
        </is>
      </c>
      <c r="G1594" s="21" t="n"/>
      <c r="H1594" s="22" t="n">
        <v>117688</v>
      </c>
      <c r="I1594" s="22" t="n">
        <v>150000</v>
      </c>
      <c r="J1594" s="20" t="inlineStr">
        <is>
          <t>lUXON TATA</t>
        </is>
      </c>
      <c r="K1594" s="20" t="inlineStr">
        <is>
          <t>Non-Captive</t>
        </is>
      </c>
      <c r="L1594" s="20" t="inlineStr">
        <is>
          <t>TINU P SOMAN</t>
        </is>
      </c>
      <c r="M1594" s="23" t="n">
        <v>5932.2</v>
      </c>
    </row>
    <row r="1595">
      <c r="A1595" s="19" t="inlineStr">
        <is>
          <t>FY26</t>
        </is>
      </c>
      <c r="B1595" s="19" t="inlineStr">
        <is>
          <t>Jan</t>
        </is>
      </c>
      <c r="C1595" s="19" t="inlineStr">
        <is>
          <t>Kerala</t>
        </is>
      </c>
      <c r="D1595" s="20" t="inlineStr">
        <is>
          <t>KL40D3470</t>
        </is>
      </c>
      <c r="E1595" s="20" t="inlineStr">
        <is>
          <t>MARUTI SUZUKI</t>
        </is>
      </c>
      <c r="F1595" s="20" t="inlineStr">
        <is>
          <t>Estilo</t>
        </is>
      </c>
      <c r="G1595" s="21" t="n"/>
      <c r="H1595" s="22" t="n">
        <v>97867</v>
      </c>
      <c r="I1595" s="22" t="n">
        <v>130000</v>
      </c>
      <c r="J1595" s="20" t="inlineStr">
        <is>
          <t>AMRITH V CHANDY</t>
        </is>
      </c>
      <c r="K1595" s="20" t="inlineStr">
        <is>
          <t>Non-Captive</t>
        </is>
      </c>
      <c r="L1595" s="20" t="inlineStr">
        <is>
          <t>ANAS VH</t>
        </is>
      </c>
      <c r="M1595" s="23" t="n">
        <v>5932.2</v>
      </c>
    </row>
    <row r="1596">
      <c r="A1596" s="19" t="inlineStr">
        <is>
          <t>FY26</t>
        </is>
      </c>
      <c r="B1596" s="19" t="inlineStr">
        <is>
          <t>Jan</t>
        </is>
      </c>
      <c r="C1596" s="19" t="inlineStr">
        <is>
          <t>Kerala</t>
        </is>
      </c>
      <c r="D1596" s="20" t="inlineStr">
        <is>
          <t>KL08BY3673</t>
        </is>
      </c>
      <c r="E1596" s="20" t="inlineStr">
        <is>
          <t>TATA</t>
        </is>
      </c>
      <c r="F1596" s="20" t="inlineStr">
        <is>
          <t>Tiago</t>
        </is>
      </c>
      <c r="G1596" s="21" t="n"/>
      <c r="H1596" s="22" t="n">
        <v>13634</v>
      </c>
      <c r="I1596" s="22" t="n">
        <v>315000</v>
      </c>
      <c r="J1596" s="20" t="inlineStr">
        <is>
          <t>POPULAR HYUNDAI</t>
        </is>
      </c>
      <c r="K1596" s="20" t="inlineStr">
        <is>
          <t>Non-Captive</t>
        </is>
      </c>
      <c r="L1596" s="20" t="inlineStr">
        <is>
          <t>AITOS CARS</t>
        </is>
      </c>
      <c r="M1596" s="23" t="n">
        <v>8474.58</v>
      </c>
    </row>
    <row r="1597">
      <c r="A1597" s="19" t="inlineStr">
        <is>
          <t>FY26</t>
        </is>
      </c>
      <c r="B1597" s="19" t="inlineStr">
        <is>
          <t>Jan</t>
        </is>
      </c>
      <c r="C1597" s="19" t="inlineStr">
        <is>
          <t>Kerala</t>
        </is>
      </c>
      <c r="D1597" s="20" t="inlineStr">
        <is>
          <t>KL18U2555</t>
        </is>
      </c>
      <c r="E1597" s="20" t="inlineStr">
        <is>
          <t>MARUTI SUZUKI</t>
        </is>
      </c>
      <c r="F1597" s="20" t="inlineStr">
        <is>
          <t>Brezza</t>
        </is>
      </c>
      <c r="G1597" s="21" t="n"/>
      <c r="H1597" s="22" t="n">
        <v>99000</v>
      </c>
      <c r="I1597" s="22" t="n">
        <v>540000</v>
      </c>
      <c r="J1597" s="20" t="inlineStr">
        <is>
          <t>ABBAS</t>
        </is>
      </c>
      <c r="K1597" s="20" t="inlineStr">
        <is>
          <t>Non-Captive</t>
        </is>
      </c>
      <c r="L1597" s="20" t="inlineStr">
        <is>
          <t>MAYAN</t>
        </is>
      </c>
      <c r="M1597" s="23" t="n">
        <v>6779.66</v>
      </c>
    </row>
    <row r="1598">
      <c r="A1598" s="19" t="inlineStr">
        <is>
          <t>FY26</t>
        </is>
      </c>
      <c r="B1598" s="19" t="inlineStr">
        <is>
          <t>Jan</t>
        </is>
      </c>
      <c r="C1598" s="19" t="inlineStr">
        <is>
          <t>Kerala</t>
        </is>
      </c>
      <c r="D1598" s="20" t="inlineStr">
        <is>
          <t>KL560052</t>
        </is>
      </c>
      <c r="E1598" s="20" t="inlineStr">
        <is>
          <t>TATA</t>
        </is>
      </c>
      <c r="F1598" s="20" t="inlineStr">
        <is>
          <t>Safari</t>
        </is>
      </c>
      <c r="G1598" s="21" t="n"/>
      <c r="H1598" s="22" t="n">
        <v>190000</v>
      </c>
      <c r="I1598" s="22" t="n">
        <v>90000</v>
      </c>
      <c r="J1598" s="20" t="inlineStr">
        <is>
          <t>ABBAS</t>
        </is>
      </c>
      <c r="K1598" s="20" t="inlineStr">
        <is>
          <t>Non-Captive</t>
        </is>
      </c>
      <c r="L1598" s="20" t="inlineStr">
        <is>
          <t>KIA DKH</t>
        </is>
      </c>
      <c r="M1598" s="23" t="n">
        <v>4237.29</v>
      </c>
    </row>
    <row r="1599">
      <c r="A1599" s="19" t="inlineStr">
        <is>
          <t>FY26</t>
        </is>
      </c>
      <c r="B1599" s="19" t="inlineStr">
        <is>
          <t>Jan</t>
        </is>
      </c>
      <c r="C1599" s="19" t="inlineStr">
        <is>
          <t>Kerala</t>
        </is>
      </c>
      <c r="D1599" s="20" t="inlineStr">
        <is>
          <t>KL17P5509</t>
        </is>
      </c>
      <c r="E1599" s="20" t="inlineStr">
        <is>
          <t>FIAT</t>
        </is>
      </c>
      <c r="F1599" s="20" t="inlineStr">
        <is>
          <t>Punto</t>
        </is>
      </c>
      <c r="G1599" s="21" t="n"/>
      <c r="H1599" s="22" t="n">
        <v>61000</v>
      </c>
      <c r="I1599" s="22" t="n">
        <v>130000</v>
      </c>
      <c r="J1599" s="20" t="inlineStr">
        <is>
          <t>ABBAS</t>
        </is>
      </c>
      <c r="K1599" s="20" t="inlineStr">
        <is>
          <t>Non-Captive</t>
        </is>
      </c>
      <c r="L1599" s="20" t="inlineStr">
        <is>
          <t>KVR TATA</t>
        </is>
      </c>
      <c r="M1599" s="23" t="n">
        <v>4237.29</v>
      </c>
    </row>
    <row r="1600">
      <c r="A1600" s="19" t="inlineStr">
        <is>
          <t>FY26</t>
        </is>
      </c>
      <c r="B1600" s="19" t="inlineStr">
        <is>
          <t>Jan</t>
        </is>
      </c>
      <c r="C1600" s="19" t="inlineStr">
        <is>
          <t>Kerala</t>
        </is>
      </c>
      <c r="D1600" s="20" t="inlineStr">
        <is>
          <t>KL56R9007</t>
        </is>
      </c>
      <c r="E1600" s="20" t="inlineStr">
        <is>
          <t>MAHINDRA</t>
        </is>
      </c>
      <c r="F1600" s="20" t="inlineStr">
        <is>
          <t>Bolero</t>
        </is>
      </c>
      <c r="G1600" s="21" t="n"/>
      <c r="H1600" s="22" t="n">
        <v>76000</v>
      </c>
      <c r="I1600" s="22" t="n">
        <v>575000</v>
      </c>
      <c r="J1600" s="20" t="inlineStr">
        <is>
          <t>MARVEL MOTORS</t>
        </is>
      </c>
      <c r="K1600" s="20" t="inlineStr">
        <is>
          <t>Non-Captive</t>
        </is>
      </c>
      <c r="L1600" s="20" t="inlineStr">
        <is>
          <t>DKH KIA</t>
        </is>
      </c>
      <c r="M1600" s="23" t="n">
        <v>5084.75</v>
      </c>
    </row>
    <row r="1601">
      <c r="A1601" s="19" t="inlineStr">
        <is>
          <t>FY26</t>
        </is>
      </c>
      <c r="B1601" s="19" t="inlineStr">
        <is>
          <t>Jan</t>
        </is>
      </c>
      <c r="C1601" s="19" t="inlineStr">
        <is>
          <t>Kerala</t>
        </is>
      </c>
      <c r="D1601" s="20" t="inlineStr">
        <is>
          <t>KL13AT0019</t>
        </is>
      </c>
      <c r="E1601" s="20" t="inlineStr">
        <is>
          <t>TATA</t>
        </is>
      </c>
      <c r="F1601" s="20" t="inlineStr">
        <is>
          <t>Tiago</t>
        </is>
      </c>
      <c r="G1601" s="21" t="n"/>
      <c r="H1601" s="22" t="n">
        <v>42000</v>
      </c>
      <c r="I1601" s="22" t="n">
        <v>415000</v>
      </c>
      <c r="J1601" s="20" t="inlineStr">
        <is>
          <t>KANNUR PLATINUM</t>
        </is>
      </c>
      <c r="K1601" s="20" t="inlineStr">
        <is>
          <t>Non-Captive</t>
        </is>
      </c>
      <c r="L1601" s="20" t="inlineStr">
        <is>
          <t>KVR TATA</t>
        </is>
      </c>
      <c r="M1601" s="23" t="n">
        <v>4237.29</v>
      </c>
    </row>
    <row r="1602">
      <c r="A1602" s="19" t="inlineStr">
        <is>
          <t>FY26</t>
        </is>
      </c>
      <c r="B1602" s="19" t="inlineStr">
        <is>
          <t>Jan</t>
        </is>
      </c>
      <c r="C1602" s="19" t="inlineStr">
        <is>
          <t>Kerala</t>
        </is>
      </c>
      <c r="D1602" s="20" t="inlineStr">
        <is>
          <t>KL13AQ6956</t>
        </is>
      </c>
      <c r="E1602" s="20" t="inlineStr">
        <is>
          <t>HYUNDAI</t>
        </is>
      </c>
      <c r="F1602" s="20" t="inlineStr">
        <is>
          <t>Venue</t>
        </is>
      </c>
      <c r="G1602" s="21" t="n"/>
      <c r="H1602" s="22" t="n">
        <v>37000</v>
      </c>
      <c r="I1602" s="22" t="n">
        <v>540000</v>
      </c>
      <c r="J1602" s="20" t="inlineStr">
        <is>
          <t>PRAJOSH</t>
        </is>
      </c>
      <c r="K1602" s="20" t="inlineStr">
        <is>
          <t>Non-Captive</t>
        </is>
      </c>
      <c r="L1602" s="20" t="inlineStr">
        <is>
          <t>APCO HYUNDAI</t>
        </is>
      </c>
      <c r="M1602" s="23" t="n">
        <v>8474.58</v>
      </c>
    </row>
    <row r="1603">
      <c r="A1603" s="19" t="inlineStr">
        <is>
          <t>FY26</t>
        </is>
      </c>
      <c r="B1603" s="19" t="inlineStr">
        <is>
          <t>Jan</t>
        </is>
      </c>
      <c r="C1603" s="19" t="inlineStr">
        <is>
          <t>Kerala</t>
        </is>
      </c>
      <c r="D1603" s="20" t="inlineStr">
        <is>
          <t>KL01BZ0870</t>
        </is>
      </c>
      <c r="E1603" s="20" t="inlineStr">
        <is>
          <t>RENAULT</t>
        </is>
      </c>
      <c r="F1603" s="20" t="inlineStr">
        <is>
          <t>Kwid</t>
        </is>
      </c>
      <c r="G1603" s="21" t="n"/>
      <c r="H1603" s="22" t="n">
        <v>28990</v>
      </c>
      <c r="I1603" s="22" t="n">
        <v>160000</v>
      </c>
      <c r="J1603" s="20" t="inlineStr">
        <is>
          <t>ARAVIND</t>
        </is>
      </c>
      <c r="K1603" s="20" t="inlineStr">
        <is>
          <t>Non-Captive</t>
        </is>
      </c>
      <c r="L1603" s="20" t="inlineStr">
        <is>
          <t>REFERENCE</t>
        </is>
      </c>
      <c r="M1603" s="23" t="n">
        <v>5084.75</v>
      </c>
    </row>
    <row r="1604">
      <c r="A1604" s="19" t="inlineStr">
        <is>
          <t>FY26</t>
        </is>
      </c>
      <c r="B1604" s="19" t="inlineStr">
        <is>
          <t>Jan</t>
        </is>
      </c>
      <c r="C1604" s="19" t="inlineStr">
        <is>
          <t>Kerala</t>
        </is>
      </c>
      <c r="D1604" s="20" t="inlineStr">
        <is>
          <t>KL01CQ4731</t>
        </is>
      </c>
      <c r="E1604" s="20" t="inlineStr">
        <is>
          <t>MARUTI SUZUKI</t>
        </is>
      </c>
      <c r="F1604" s="20" t="inlineStr">
        <is>
          <t>Swift Dzire</t>
        </is>
      </c>
      <c r="G1604" s="21" t="n"/>
      <c r="H1604" s="22" t="n">
        <v>77840</v>
      </c>
      <c r="I1604" s="22" t="n">
        <v>450000</v>
      </c>
      <c r="J1604" s="20" t="inlineStr">
        <is>
          <t>ATHEN MARUTI</t>
        </is>
      </c>
      <c r="K1604" s="20" t="inlineStr">
        <is>
          <t>Non-Captive</t>
        </is>
      </c>
      <c r="L1604" s="20" t="inlineStr">
        <is>
          <t>ROSHAN</t>
        </is>
      </c>
      <c r="M1604" s="23" t="n">
        <v>8474.58</v>
      </c>
    </row>
    <row r="1605">
      <c r="A1605" s="19" t="inlineStr">
        <is>
          <t>FY26</t>
        </is>
      </c>
      <c r="B1605" s="19" t="inlineStr">
        <is>
          <t>Jan</t>
        </is>
      </c>
      <c r="C1605" s="19" t="inlineStr">
        <is>
          <t>Kerala</t>
        </is>
      </c>
      <c r="D1605" s="20" t="inlineStr">
        <is>
          <t>KL01BN8919</t>
        </is>
      </c>
      <c r="E1605" s="20" t="inlineStr">
        <is>
          <t>HYUNDAI</t>
        </is>
      </c>
      <c r="F1605" s="20" t="inlineStr">
        <is>
          <t>Eon</t>
        </is>
      </c>
      <c r="G1605" s="21" t="n"/>
      <c r="H1605" s="22" t="n">
        <v>28400</v>
      </c>
      <c r="I1605" s="22" t="n">
        <v>95000</v>
      </c>
      <c r="J1605" s="20" t="inlineStr">
        <is>
          <t>FORTUNE MG</t>
        </is>
      </c>
      <c r="K1605" s="20" t="inlineStr">
        <is>
          <t>Non-Captive</t>
        </is>
      </c>
      <c r="L1605" s="20" t="inlineStr">
        <is>
          <t>RAHUL</t>
        </is>
      </c>
      <c r="M1605" s="23" t="n">
        <v>6779.66</v>
      </c>
    </row>
    <row r="1606">
      <c r="A1606" s="19" t="inlineStr">
        <is>
          <t>FY26</t>
        </is>
      </c>
      <c r="B1606" s="19" t="inlineStr">
        <is>
          <t>Jan</t>
        </is>
      </c>
      <c r="C1606" s="19" t="inlineStr">
        <is>
          <t>Kerala</t>
        </is>
      </c>
      <c r="D1606" s="20" t="inlineStr">
        <is>
          <t>KL23S2848</t>
        </is>
      </c>
      <c r="E1606" s="20" t="inlineStr">
        <is>
          <t>DATSUN</t>
        </is>
      </c>
      <c r="F1606" s="20" t="inlineStr">
        <is>
          <t>Redi-Go</t>
        </is>
      </c>
      <c r="G1606" s="21" t="n"/>
      <c r="H1606" s="22" t="n">
        <v>25244</v>
      </c>
      <c r="I1606" s="22" t="n">
        <v>138000</v>
      </c>
      <c r="J1606" s="20" t="inlineStr">
        <is>
          <t>SS HYUNDAI</t>
        </is>
      </c>
      <c r="K1606" s="20" t="inlineStr">
        <is>
          <t>Non-Captive</t>
        </is>
      </c>
      <c r="L1606" s="20" t="inlineStr">
        <is>
          <t>AKHILNATH</t>
        </is>
      </c>
      <c r="M1606" s="23" t="n">
        <v>5932.2</v>
      </c>
    </row>
    <row r="1607">
      <c r="A1607" s="19" t="inlineStr">
        <is>
          <t>FY26</t>
        </is>
      </c>
      <c r="B1607" s="19" t="inlineStr">
        <is>
          <t>Jan</t>
        </is>
      </c>
      <c r="C1607" s="19" t="inlineStr">
        <is>
          <t>Kerala</t>
        </is>
      </c>
      <c r="D1607" s="20" t="inlineStr">
        <is>
          <t>KL63E8739</t>
        </is>
      </c>
      <c r="E1607" s="20" t="inlineStr">
        <is>
          <t>RENAULT</t>
        </is>
      </c>
      <c r="F1607" s="20" t="inlineStr">
        <is>
          <t>Kwid</t>
        </is>
      </c>
      <c r="G1607" s="21" t="n"/>
      <c r="H1607" s="22" t="n">
        <v>18300</v>
      </c>
      <c r="I1607" s="22" t="n">
        <v>193000</v>
      </c>
      <c r="J1607" s="20" t="inlineStr">
        <is>
          <t>POPULAR MARUTI</t>
        </is>
      </c>
      <c r="K1607" s="20" t="inlineStr">
        <is>
          <t>Non-Captive</t>
        </is>
      </c>
      <c r="L1607" s="20" t="inlineStr">
        <is>
          <t>HAVEN MOTORS</t>
        </is>
      </c>
      <c r="M1607" s="23" t="n">
        <v>8474.58</v>
      </c>
    </row>
    <row r="1608">
      <c r="A1608" s="19" t="inlineStr">
        <is>
          <t>FY26</t>
        </is>
      </c>
      <c r="B1608" s="19" t="inlineStr">
        <is>
          <t>Jan</t>
        </is>
      </c>
      <c r="C1608" s="19" t="inlineStr">
        <is>
          <t>Kerala</t>
        </is>
      </c>
      <c r="D1608" s="20" t="inlineStr">
        <is>
          <t>KL01CT1901</t>
        </is>
      </c>
      <c r="E1608" s="20" t="inlineStr">
        <is>
          <t>VOLKSWAGEN</t>
        </is>
      </c>
      <c r="F1608" s="20" t="inlineStr">
        <is>
          <t>Taigun</t>
        </is>
      </c>
      <c r="G1608" s="21" t="n"/>
      <c r="H1608" s="22" t="n">
        <v>15300</v>
      </c>
      <c r="I1608" s="22" t="n">
        <v>1040000</v>
      </c>
      <c r="J1608" s="20" t="inlineStr">
        <is>
          <t>PHOENIX VOLKSWAGEN</t>
        </is>
      </c>
      <c r="K1608" s="20" t="inlineStr">
        <is>
          <t>Non-Captive</t>
        </is>
      </c>
      <c r="L1608" s="20" t="inlineStr">
        <is>
          <t>KAPS CARS</t>
        </is>
      </c>
      <c r="M1608" s="23" t="n">
        <v>8474.58</v>
      </c>
    </row>
    <row r="1609">
      <c r="A1609" s="19" t="inlineStr">
        <is>
          <t>FY26</t>
        </is>
      </c>
      <c r="B1609" s="19" t="inlineStr">
        <is>
          <t>Jan</t>
        </is>
      </c>
      <c r="C1609" s="19" t="inlineStr">
        <is>
          <t>Kerala</t>
        </is>
      </c>
      <c r="D1609" s="20" t="inlineStr">
        <is>
          <t>KL14T0826</t>
        </is>
      </c>
      <c r="E1609" s="20" t="inlineStr">
        <is>
          <t>MARUTI SUZUKI</t>
        </is>
      </c>
      <c r="F1609" s="20" t="inlineStr">
        <is>
          <t>Swift</t>
        </is>
      </c>
      <c r="G1609" s="21" t="n"/>
      <c r="H1609" s="22" t="n">
        <v>114000</v>
      </c>
      <c r="I1609" s="22" t="n">
        <v>415000</v>
      </c>
      <c r="J1609" s="20" t="inlineStr">
        <is>
          <t>PRAJOSH</t>
        </is>
      </c>
      <c r="K1609" s="20" t="inlineStr">
        <is>
          <t>Non-Captive</t>
        </is>
      </c>
      <c r="L1609" s="20" t="inlineStr">
        <is>
          <t>KVR TATA</t>
        </is>
      </c>
      <c r="M1609" s="23" t="n">
        <v>4237.29</v>
      </c>
    </row>
    <row r="1610">
      <c r="A1610" s="19" t="inlineStr">
        <is>
          <t>FY26</t>
        </is>
      </c>
      <c r="B1610" s="19" t="inlineStr">
        <is>
          <t>Jan</t>
        </is>
      </c>
      <c r="C1610" s="19" t="inlineStr">
        <is>
          <t>Kerala</t>
        </is>
      </c>
      <c r="D1610" s="20" t="inlineStr">
        <is>
          <t>KL11BN2752</t>
        </is>
      </c>
      <c r="E1610" s="20" t="inlineStr">
        <is>
          <t>MARUTI SUZUKI</t>
        </is>
      </c>
      <c r="F1610" s="20" t="inlineStr">
        <is>
          <t>Swift</t>
        </is>
      </c>
      <c r="G1610" s="21" t="n"/>
      <c r="H1610" s="22" t="n">
        <v>56000</v>
      </c>
      <c r="I1610" s="22" t="n">
        <v>510000</v>
      </c>
      <c r="J1610" s="20" t="inlineStr">
        <is>
          <t>SANOOP KM</t>
        </is>
      </c>
      <c r="K1610" s="20" t="inlineStr">
        <is>
          <t>Non-Captive</t>
        </is>
      </c>
      <c r="L1610" s="20" t="inlineStr">
        <is>
          <t>BIMAL</t>
        </is>
      </c>
      <c r="M1610" s="23" t="n">
        <v>5084.75</v>
      </c>
    </row>
    <row r="1611">
      <c r="A1611" s="19" t="inlineStr">
        <is>
          <t>FY26</t>
        </is>
      </c>
      <c r="B1611" s="19" t="inlineStr">
        <is>
          <t>Jan</t>
        </is>
      </c>
      <c r="C1611" s="19" t="inlineStr">
        <is>
          <t>Kerala</t>
        </is>
      </c>
      <c r="D1611" s="20" t="inlineStr">
        <is>
          <t>KL59U5723</t>
        </is>
      </c>
      <c r="E1611" s="20" t="inlineStr">
        <is>
          <t>HYUNDAI</t>
        </is>
      </c>
      <c r="F1611" s="20" t="inlineStr">
        <is>
          <t>Venue</t>
        </is>
      </c>
      <c r="G1611" s="21" t="n"/>
      <c r="H1611" s="22" t="n">
        <v>70000</v>
      </c>
      <c r="I1611" s="22" t="n">
        <v>660000</v>
      </c>
      <c r="J1611" s="20" t="inlineStr">
        <is>
          <t>SANOOP KM</t>
        </is>
      </c>
      <c r="K1611" s="20" t="inlineStr">
        <is>
          <t>Non-Captive</t>
        </is>
      </c>
      <c r="L1611" s="20" t="inlineStr">
        <is>
          <t>APCO HYUNDAI</t>
        </is>
      </c>
      <c r="M1611" s="23" t="n">
        <v>8474.58</v>
      </c>
    </row>
    <row r="1612">
      <c r="A1612" s="19" t="inlineStr">
        <is>
          <t>FY26</t>
        </is>
      </c>
      <c r="B1612" s="19" t="inlineStr">
        <is>
          <t>Jan</t>
        </is>
      </c>
      <c r="C1612" s="19" t="inlineStr">
        <is>
          <t>Kerala</t>
        </is>
      </c>
      <c r="D1612" s="20" t="inlineStr">
        <is>
          <t>KL42T9696</t>
        </is>
      </c>
      <c r="E1612" s="20" t="inlineStr">
        <is>
          <t>RENAULT</t>
        </is>
      </c>
      <c r="F1612" s="20" t="inlineStr">
        <is>
          <t>Kiger</t>
        </is>
      </c>
      <c r="G1612" s="21" t="n"/>
      <c r="H1612" s="22" t="n">
        <v>32000</v>
      </c>
      <c r="I1612" s="22" t="n">
        <v>515000</v>
      </c>
      <c r="J1612" s="20" t="inlineStr">
        <is>
          <t>EVM SKODA</t>
        </is>
      </c>
      <c r="K1612" s="20" t="inlineStr">
        <is>
          <t>Non-Captive</t>
        </is>
      </c>
      <c r="L1612" s="20" t="inlineStr">
        <is>
          <t>VTJ</t>
        </is>
      </c>
      <c r="M1612" s="23" t="n">
        <v>8474.58</v>
      </c>
    </row>
    <row r="1613">
      <c r="A1613" s="19" t="inlineStr">
        <is>
          <t>FY26</t>
        </is>
      </c>
      <c r="B1613" s="19" t="inlineStr">
        <is>
          <t>Jan</t>
        </is>
      </c>
      <c r="C1613" s="19" t="inlineStr">
        <is>
          <t>Kerala</t>
        </is>
      </c>
      <c r="D1613" s="20" t="inlineStr">
        <is>
          <t>KL325619</t>
        </is>
      </c>
      <c r="E1613" s="20" t="inlineStr">
        <is>
          <t>MARUTI SUZUKI</t>
        </is>
      </c>
      <c r="F1613" s="20" t="inlineStr">
        <is>
          <t>Swift</t>
        </is>
      </c>
      <c r="G1613" s="21" t="n"/>
      <c r="H1613" s="22" t="n">
        <v>79524</v>
      </c>
      <c r="I1613" s="22" t="n">
        <v>63000</v>
      </c>
      <c r="J1613" s="20" t="inlineStr">
        <is>
          <t>POPULAR MARUTI</t>
        </is>
      </c>
      <c r="K1613" s="20" t="inlineStr">
        <is>
          <t>Non-Captive</t>
        </is>
      </c>
      <c r="L1613" s="20" t="inlineStr">
        <is>
          <t>RAFEEK T A</t>
        </is>
      </c>
      <c r="M1613" s="23" t="n">
        <v>5932.2</v>
      </c>
    </row>
    <row r="1614">
      <c r="A1614" s="19" t="inlineStr">
        <is>
          <t>FY26</t>
        </is>
      </c>
      <c r="B1614" s="19" t="inlineStr">
        <is>
          <t>Jan</t>
        </is>
      </c>
      <c r="C1614" s="19" t="inlineStr">
        <is>
          <t>Kerala</t>
        </is>
      </c>
      <c r="D1614" s="20" t="inlineStr">
        <is>
          <t>KL07CY8549</t>
        </is>
      </c>
      <c r="E1614" s="20" t="inlineStr">
        <is>
          <t>HYUNDAI</t>
        </is>
      </c>
      <c r="F1614" s="20" t="inlineStr">
        <is>
          <t>Alcazar</t>
        </is>
      </c>
      <c r="G1614" s="21" t="n"/>
      <c r="H1614" s="22" t="n">
        <v>89900</v>
      </c>
      <c r="I1614" s="22" t="n">
        <v>1300000</v>
      </c>
      <c r="J1614" s="20" t="inlineStr">
        <is>
          <t>POPULAR HYUNDAI</t>
        </is>
      </c>
      <c r="K1614" s="20" t="inlineStr">
        <is>
          <t>Non-Captive</t>
        </is>
      </c>
      <c r="L1614" s="20" t="inlineStr">
        <is>
          <t>SHAMSUDEEN C E</t>
        </is>
      </c>
      <c r="M1614" s="23" t="n">
        <v>8474.58</v>
      </c>
    </row>
    <row r="1615">
      <c r="A1615" s="19" t="inlineStr">
        <is>
          <t>FY26</t>
        </is>
      </c>
      <c r="B1615" s="19" t="inlineStr">
        <is>
          <t>Jan</t>
        </is>
      </c>
      <c r="C1615" s="19" t="inlineStr">
        <is>
          <t>Kerala</t>
        </is>
      </c>
      <c r="D1615" s="20" t="inlineStr">
        <is>
          <t>KL32K6334</t>
        </is>
      </c>
      <c r="E1615" s="20" t="inlineStr">
        <is>
          <t>RENAULT</t>
        </is>
      </c>
      <c r="F1615" s="20" t="inlineStr">
        <is>
          <t>Kwid</t>
        </is>
      </c>
      <c r="G1615" s="21" t="n"/>
      <c r="H1615" s="22" t="n">
        <v>46677</v>
      </c>
      <c r="I1615" s="22" t="n">
        <v>140000</v>
      </c>
      <c r="J1615" s="20" t="inlineStr">
        <is>
          <t>ANAS HAMEED</t>
        </is>
      </c>
      <c r="K1615" s="20" t="inlineStr">
        <is>
          <t>Non-Captive</t>
        </is>
      </c>
      <c r="L1615" s="20" t="inlineStr">
        <is>
          <t>ARUN NARAYANAN</t>
        </is>
      </c>
      <c r="M1615" s="23" t="n">
        <v>8474.58</v>
      </c>
    </row>
    <row r="1616">
      <c r="A1616" s="19" t="inlineStr">
        <is>
          <t>FY26</t>
        </is>
      </c>
      <c r="B1616" s="19" t="inlineStr">
        <is>
          <t>Jan</t>
        </is>
      </c>
      <c r="C1616" s="19" t="inlineStr">
        <is>
          <t>Kerala</t>
        </is>
      </c>
      <c r="D1616" s="20" t="inlineStr">
        <is>
          <t>KL07BT7908</t>
        </is>
      </c>
      <c r="E1616" s="20" t="inlineStr">
        <is>
          <t>TATA</t>
        </is>
      </c>
      <c r="F1616" s="20" t="inlineStr">
        <is>
          <t>Indica</t>
        </is>
      </c>
      <c r="G1616" s="21" t="n"/>
      <c r="H1616" s="22" t="n">
        <v>46000</v>
      </c>
      <c r="I1616" s="22" t="n">
        <v>61000</v>
      </c>
      <c r="J1616" s="20" t="inlineStr">
        <is>
          <t>GOKULAM TATA</t>
        </is>
      </c>
      <c r="K1616" s="20" t="inlineStr">
        <is>
          <t>Non-Captive</t>
        </is>
      </c>
      <c r="L1616" s="20" t="inlineStr">
        <is>
          <t>RAFEEK T A</t>
        </is>
      </c>
      <c r="M1616" s="23" t="n">
        <v>8474.58</v>
      </c>
    </row>
    <row r="1617">
      <c r="A1617" s="19" t="inlineStr">
        <is>
          <t>FY26</t>
        </is>
      </c>
      <c r="B1617" s="19" t="inlineStr">
        <is>
          <t>Jan</t>
        </is>
      </c>
      <c r="C1617" s="19" t="inlineStr">
        <is>
          <t>Kerala</t>
        </is>
      </c>
      <c r="D1617" s="20" t="inlineStr">
        <is>
          <t>KL05AK6352</t>
        </is>
      </c>
      <c r="E1617" s="20" t="inlineStr">
        <is>
          <t>CHEVROLET</t>
        </is>
      </c>
      <c r="F1617" s="20" t="inlineStr">
        <is>
          <t>Sail</t>
        </is>
      </c>
      <c r="G1617" s="21" t="n"/>
      <c r="H1617" s="22" t="n">
        <v>41629</v>
      </c>
      <c r="I1617" s="22" t="n">
        <v>80000</v>
      </c>
      <c r="J1617" s="20" t="inlineStr">
        <is>
          <t>ANAS</t>
        </is>
      </c>
      <c r="K1617" s="20" t="inlineStr">
        <is>
          <t>Non-Captive</t>
        </is>
      </c>
      <c r="L1617" s="20" t="inlineStr">
        <is>
          <t>VTJ</t>
        </is>
      </c>
      <c r="M1617" s="23" t="n">
        <v>6779.66</v>
      </c>
    </row>
    <row r="1618">
      <c r="A1618" s="19" t="inlineStr">
        <is>
          <t>FY26</t>
        </is>
      </c>
      <c r="B1618" s="19" t="inlineStr">
        <is>
          <t>Jan</t>
        </is>
      </c>
      <c r="C1618" s="19" t="inlineStr">
        <is>
          <t>Kerala</t>
        </is>
      </c>
      <c r="D1618" s="20" t="inlineStr">
        <is>
          <t>KL38F7686</t>
        </is>
      </c>
      <c r="E1618" s="20" t="inlineStr">
        <is>
          <t>HONDA</t>
        </is>
      </c>
      <c r="F1618" s="20" t="inlineStr">
        <is>
          <t>Wr-V</t>
        </is>
      </c>
      <c r="G1618" s="21" t="n"/>
      <c r="H1618" s="22" t="n">
        <v>130800</v>
      </c>
      <c r="I1618" s="22" t="n">
        <v>420000</v>
      </c>
      <c r="J1618" s="20" t="inlineStr">
        <is>
          <t>ANAS</t>
        </is>
      </c>
      <c r="K1618" s="20" t="inlineStr">
        <is>
          <t>Non-Captive</t>
        </is>
      </c>
      <c r="L1618" s="20" t="inlineStr">
        <is>
          <t>MUHAMMAD SHAJI</t>
        </is>
      </c>
      <c r="M1618" s="23" t="n">
        <v>8474.58</v>
      </c>
    </row>
    <row r="1619">
      <c r="A1619" s="19" t="inlineStr">
        <is>
          <t>FY26</t>
        </is>
      </c>
      <c r="B1619" s="19" t="inlineStr">
        <is>
          <t>Jan</t>
        </is>
      </c>
      <c r="C1619" s="19" t="inlineStr">
        <is>
          <t>Kerala</t>
        </is>
      </c>
      <c r="D1619" s="20" t="inlineStr">
        <is>
          <t>KL05AA4166</t>
        </is>
      </c>
      <c r="E1619" s="20" t="inlineStr">
        <is>
          <t>MARUTI SUZUKI</t>
        </is>
      </c>
      <c r="F1619" s="20" t="inlineStr">
        <is>
          <t>Alto</t>
        </is>
      </c>
      <c r="G1619" s="21" t="n"/>
      <c r="H1619" s="22" t="n">
        <v>44566</v>
      </c>
      <c r="I1619" s="22" t="n">
        <v>89000</v>
      </c>
      <c r="J1619" s="20" t="inlineStr">
        <is>
          <t>POPULAR MARUTI</t>
        </is>
      </c>
      <c r="K1619" s="20" t="inlineStr">
        <is>
          <t>Non-Captive</t>
        </is>
      </c>
      <c r="L1619" s="20" t="inlineStr">
        <is>
          <t>TINU P SOMAN</t>
        </is>
      </c>
      <c r="M1619" s="23" t="n">
        <v>5084.75</v>
      </c>
    </row>
    <row r="1620">
      <c r="A1620" s="19" t="inlineStr">
        <is>
          <t>FY26</t>
        </is>
      </c>
      <c r="B1620" s="19" t="inlineStr">
        <is>
          <t>Jan</t>
        </is>
      </c>
      <c r="C1620" s="19" t="inlineStr">
        <is>
          <t>Kerala</t>
        </is>
      </c>
      <c r="D1620" s="20" t="inlineStr">
        <is>
          <t>KL39L0601</t>
        </is>
      </c>
      <c r="E1620" s="20" t="inlineStr">
        <is>
          <t>RENAULT</t>
        </is>
      </c>
      <c r="F1620" s="20" t="inlineStr">
        <is>
          <t>Kwid</t>
        </is>
      </c>
      <c r="G1620" s="21" t="n"/>
      <c r="H1620" s="22" t="n">
        <v>25000</v>
      </c>
      <c r="I1620" s="22" t="n">
        <v>140000</v>
      </c>
      <c r="J1620" s="20" t="inlineStr">
        <is>
          <t>CARS24</t>
        </is>
      </c>
      <c r="K1620" s="20" t="inlineStr">
        <is>
          <t>Non-Captive</t>
        </is>
      </c>
      <c r="L1620" s="20" t="inlineStr">
        <is>
          <t>VTJ</t>
        </is>
      </c>
      <c r="M1620" s="23" t="n">
        <v>8474.58</v>
      </c>
    </row>
    <row r="1621">
      <c r="A1621" s="19" t="inlineStr">
        <is>
          <t>FY26</t>
        </is>
      </c>
      <c r="B1621" s="19" t="inlineStr">
        <is>
          <t>Jan</t>
        </is>
      </c>
      <c r="C1621" s="19" t="inlineStr">
        <is>
          <t>Kerala</t>
        </is>
      </c>
      <c r="D1621" s="20" t="inlineStr">
        <is>
          <t>KL74C6902</t>
        </is>
      </c>
      <c r="E1621" s="20" t="inlineStr">
        <is>
          <t>TATA</t>
        </is>
      </c>
      <c r="F1621" s="20" t="inlineStr">
        <is>
          <t>Nexon</t>
        </is>
      </c>
      <c r="G1621" s="21" t="n"/>
      <c r="H1621" s="22" t="n">
        <v>28652</v>
      </c>
      <c r="I1621" s="22" t="n">
        <v>715000</v>
      </c>
      <c r="J1621" s="20" t="inlineStr">
        <is>
          <t>GOKULAM TATA</t>
        </is>
      </c>
      <c r="K1621" s="20" t="inlineStr">
        <is>
          <t>Non-Captive</t>
        </is>
      </c>
      <c r="L1621" s="20" t="inlineStr">
        <is>
          <t>AITOS CARS</t>
        </is>
      </c>
      <c r="M1621" s="23" t="n">
        <v>5508.47</v>
      </c>
    </row>
    <row r="1622">
      <c r="A1622" s="19" t="inlineStr">
        <is>
          <t>FY26</t>
        </is>
      </c>
      <c r="B1622" s="19" t="inlineStr">
        <is>
          <t>Jan</t>
        </is>
      </c>
      <c r="C1622" s="19" t="inlineStr">
        <is>
          <t>Kerala</t>
        </is>
      </c>
      <c r="D1622" s="20" t="inlineStr">
        <is>
          <t>KL11AV9909</t>
        </is>
      </c>
      <c r="E1622" s="20" t="inlineStr">
        <is>
          <t>RENAULT</t>
        </is>
      </c>
      <c r="F1622" s="20" t="inlineStr">
        <is>
          <t>Duster</t>
        </is>
      </c>
      <c r="G1622" s="21" t="n"/>
      <c r="H1622" s="22" t="n">
        <v>59854</v>
      </c>
      <c r="I1622" s="22" t="n">
        <v>300000</v>
      </c>
      <c r="J1622" s="20" t="inlineStr">
        <is>
          <t>PHOENIX VOLKSWAGEN</t>
        </is>
      </c>
      <c r="K1622" s="20" t="inlineStr">
        <is>
          <t>Non-Captive</t>
        </is>
      </c>
      <c r="L1622" s="20" t="inlineStr">
        <is>
          <t>AITOS CARS</t>
        </is>
      </c>
      <c r="M1622" s="23" t="n">
        <v>5508.47</v>
      </c>
    </row>
    <row r="1623">
      <c r="A1623" s="19" t="inlineStr">
        <is>
          <t>FY26</t>
        </is>
      </c>
      <c r="B1623" s="19" t="inlineStr">
        <is>
          <t>Jan</t>
        </is>
      </c>
      <c r="C1623" s="19" t="inlineStr">
        <is>
          <t>Kerala</t>
        </is>
      </c>
      <c r="D1623" s="20" t="inlineStr">
        <is>
          <t>KL01BG0667</t>
        </is>
      </c>
      <c r="E1623" s="20" t="inlineStr">
        <is>
          <t>MARUTI SUZUKI</t>
        </is>
      </c>
      <c r="F1623" s="20" t="inlineStr">
        <is>
          <t>Alto</t>
        </is>
      </c>
      <c r="G1623" s="21" t="n"/>
      <c r="H1623" s="22" t="n">
        <v>46540</v>
      </c>
      <c r="I1623" s="22" t="n">
        <v>90000</v>
      </c>
      <c r="J1623" s="20" t="inlineStr">
        <is>
          <t>POPULAR MARUTI</t>
        </is>
      </c>
      <c r="K1623" s="20" t="inlineStr">
        <is>
          <t>Non-Captive</t>
        </is>
      </c>
      <c r="L1623" s="20" t="inlineStr">
        <is>
          <t>RATHEESH</t>
        </is>
      </c>
      <c r="M1623" s="23" t="n">
        <v>4661.02</v>
      </c>
    </row>
    <row r="1624">
      <c r="A1624" s="19" t="inlineStr">
        <is>
          <t>FY26</t>
        </is>
      </c>
      <c r="B1624" s="19" t="inlineStr">
        <is>
          <t>Jan</t>
        </is>
      </c>
      <c r="C1624" s="19" t="inlineStr">
        <is>
          <t>Kerala</t>
        </is>
      </c>
      <c r="D1624" s="20" t="inlineStr">
        <is>
          <t>KL21R4550</t>
        </is>
      </c>
      <c r="E1624" s="20" t="inlineStr">
        <is>
          <t>FORD</t>
        </is>
      </c>
      <c r="F1624" s="20" t="inlineStr">
        <is>
          <t>Figo</t>
        </is>
      </c>
      <c r="G1624" s="21" t="n"/>
      <c r="H1624" s="22" t="n">
        <v>65550</v>
      </c>
      <c r="I1624" s="22" t="n">
        <v>280000</v>
      </c>
      <c r="J1624" s="20" t="inlineStr">
        <is>
          <t>TRIVANDRUM MOTORS</t>
        </is>
      </c>
      <c r="K1624" s="20" t="inlineStr">
        <is>
          <t>Non-Captive</t>
        </is>
      </c>
      <c r="L1624" s="20" t="inlineStr">
        <is>
          <t>SANTHOSH</t>
        </is>
      </c>
      <c r="M1624" s="23" t="n">
        <v>5932.2</v>
      </c>
    </row>
    <row r="1625">
      <c r="A1625" s="19" t="inlineStr">
        <is>
          <t>FY26</t>
        </is>
      </c>
      <c r="B1625" s="19" t="inlineStr">
        <is>
          <t>Jan</t>
        </is>
      </c>
      <c r="C1625" s="19" t="inlineStr">
        <is>
          <t>Kerala</t>
        </is>
      </c>
      <c r="D1625" s="20" t="inlineStr">
        <is>
          <t>KL13AD909</t>
        </is>
      </c>
      <c r="E1625" s="20" t="inlineStr">
        <is>
          <t>NISSAN</t>
        </is>
      </c>
      <c r="F1625" s="20" t="inlineStr">
        <is>
          <t>Micra</t>
        </is>
      </c>
      <c r="G1625" s="21" t="n"/>
      <c r="H1625" s="22" t="n">
        <v>84000</v>
      </c>
      <c r="I1625" s="22" t="n">
        <v>265000</v>
      </c>
      <c r="J1625" s="20" t="inlineStr">
        <is>
          <t>MARVEL VIJIL</t>
        </is>
      </c>
      <c r="K1625" s="20" t="inlineStr">
        <is>
          <t>Non-Captive</t>
        </is>
      </c>
      <c r="L1625" s="20" t="inlineStr">
        <is>
          <t>KVR TATA</t>
        </is>
      </c>
      <c r="M1625" s="23" t="n">
        <v>8474.58</v>
      </c>
    </row>
    <row r="1626">
      <c r="A1626" s="19" t="inlineStr">
        <is>
          <t>FY26</t>
        </is>
      </c>
      <c r="B1626" s="19" t="inlineStr">
        <is>
          <t>Jan</t>
        </is>
      </c>
      <c r="C1626" s="19" t="inlineStr">
        <is>
          <t>Kerala</t>
        </is>
      </c>
      <c r="D1626" s="20" t="inlineStr">
        <is>
          <t>KL59W4351</t>
        </is>
      </c>
      <c r="E1626" s="20" t="inlineStr">
        <is>
          <t>MARUTI SUZUKI</t>
        </is>
      </c>
      <c r="F1626" s="20" t="inlineStr">
        <is>
          <t>Celerio</t>
        </is>
      </c>
      <c r="G1626" s="21" t="n"/>
      <c r="H1626" s="22" t="n">
        <v>76000</v>
      </c>
      <c r="I1626" s="22" t="n">
        <v>415000</v>
      </c>
      <c r="J1626" s="20" t="inlineStr">
        <is>
          <t>NADIR K K</t>
        </is>
      </c>
      <c r="K1626" s="20" t="inlineStr">
        <is>
          <t>Non-Captive</t>
        </is>
      </c>
      <c r="L1626" s="20" t="inlineStr">
        <is>
          <t>KVR TATA</t>
        </is>
      </c>
      <c r="M1626" s="23" t="n">
        <v>6355.93</v>
      </c>
    </row>
    <row r="1627">
      <c r="A1627" s="19" t="inlineStr">
        <is>
          <t>FY26</t>
        </is>
      </c>
      <c r="B1627" s="19" t="inlineStr">
        <is>
          <t>Jan</t>
        </is>
      </c>
      <c r="C1627" s="19" t="inlineStr">
        <is>
          <t>Kerala</t>
        </is>
      </c>
      <c r="D1627" s="20" t="inlineStr">
        <is>
          <t>KL18Z4651</t>
        </is>
      </c>
      <c r="E1627" s="20" t="inlineStr">
        <is>
          <t>MARUTI SUZUKI</t>
        </is>
      </c>
      <c r="F1627" s="20" t="inlineStr">
        <is>
          <t>Eeco</t>
        </is>
      </c>
      <c r="G1627" s="21" t="n"/>
      <c r="H1627" s="22" t="n">
        <v>24000</v>
      </c>
      <c r="I1627" s="22" t="n">
        <v>350000</v>
      </c>
      <c r="J1627" s="20" t="inlineStr">
        <is>
          <t>SAMSHUD</t>
        </is>
      </c>
      <c r="K1627" s="20" t="inlineStr">
        <is>
          <t>Non-Captive</t>
        </is>
      </c>
      <c r="L1627" s="20" t="inlineStr">
        <is>
          <t>MARVEL</t>
        </is>
      </c>
      <c r="M1627" s="23" t="n">
        <v>8475.42</v>
      </c>
    </row>
    <row r="1628">
      <c r="A1628" s="19" t="inlineStr">
        <is>
          <t>FY26</t>
        </is>
      </c>
      <c r="B1628" s="19" t="inlineStr">
        <is>
          <t>Jan</t>
        </is>
      </c>
      <c r="C1628" s="19" t="inlineStr">
        <is>
          <t>Kerala</t>
        </is>
      </c>
      <c r="D1628" s="20" t="inlineStr">
        <is>
          <t>KL58G4087</t>
        </is>
      </c>
      <c r="E1628" s="20" t="inlineStr">
        <is>
          <t>HYUNDAI</t>
        </is>
      </c>
      <c r="F1628" s="20" t="inlineStr">
        <is>
          <t>I20</t>
        </is>
      </c>
      <c r="G1628" s="21" t="n"/>
      <c r="H1628" s="22" t="n">
        <v>85000</v>
      </c>
      <c r="I1628" s="22" t="n">
        <v>125000</v>
      </c>
      <c r="J1628" s="20" t="inlineStr">
        <is>
          <t>SANOOP KM</t>
        </is>
      </c>
      <c r="K1628" s="20" t="inlineStr">
        <is>
          <t>Non-Captive</t>
        </is>
      </c>
      <c r="L1628" s="20" t="inlineStr">
        <is>
          <t>KIA DKH</t>
        </is>
      </c>
      <c r="M1628" s="23" t="n">
        <v>4237.29</v>
      </c>
    </row>
    <row r="1629">
      <c r="A1629" s="19" t="inlineStr">
        <is>
          <t>FY26</t>
        </is>
      </c>
      <c r="B1629" s="19" t="inlineStr">
        <is>
          <t>Jan</t>
        </is>
      </c>
      <c r="C1629" s="19" t="inlineStr">
        <is>
          <t>Kerala</t>
        </is>
      </c>
      <c r="D1629" s="20" t="inlineStr">
        <is>
          <t>KL56K6673</t>
        </is>
      </c>
      <c r="E1629" s="20" t="inlineStr">
        <is>
          <t>MARUTI SUZUKI</t>
        </is>
      </c>
      <c r="F1629" s="20" t="inlineStr">
        <is>
          <t>Alto</t>
        </is>
      </c>
      <c r="G1629" s="21" t="n"/>
      <c r="H1629" s="22" t="n">
        <v>41000</v>
      </c>
      <c r="I1629" s="22" t="n">
        <v>155000</v>
      </c>
      <c r="J1629" s="20" t="inlineStr">
        <is>
          <t>NIDEESH MOHAN</t>
        </is>
      </c>
      <c r="K1629" s="20" t="inlineStr">
        <is>
          <t>Non-Captive</t>
        </is>
      </c>
      <c r="L1629" s="20" t="inlineStr">
        <is>
          <t>BIMAL</t>
        </is>
      </c>
      <c r="M1629" s="23" t="n">
        <v>8474.58</v>
      </c>
    </row>
    <row r="1630">
      <c r="A1630" s="19" t="inlineStr">
        <is>
          <t>FY26</t>
        </is>
      </c>
      <c r="B1630" s="19" t="inlineStr">
        <is>
          <t>Jan</t>
        </is>
      </c>
      <c r="C1630" s="19" t="inlineStr">
        <is>
          <t>Kerala</t>
        </is>
      </c>
      <c r="D1630" s="20" t="inlineStr">
        <is>
          <t>KL26B4947</t>
        </is>
      </c>
      <c r="E1630" s="20" t="inlineStr">
        <is>
          <t>CHEVROLET</t>
        </is>
      </c>
      <c r="F1630" s="20" t="inlineStr">
        <is>
          <t>Spark</t>
        </is>
      </c>
      <c r="G1630" s="21" t="n"/>
      <c r="H1630" s="22" t="n">
        <v>45000</v>
      </c>
      <c r="I1630" s="22" t="n">
        <v>65000</v>
      </c>
      <c r="J1630" s="20" t="inlineStr">
        <is>
          <t>INDUS MARUTI</t>
        </is>
      </c>
      <c r="K1630" s="20" t="inlineStr">
        <is>
          <t>Non-Captive</t>
        </is>
      </c>
      <c r="L1630" s="20" t="inlineStr">
        <is>
          <t>VIJIL</t>
        </is>
      </c>
      <c r="M1630" s="23" t="n">
        <v>5084.75</v>
      </c>
    </row>
    <row r="1631">
      <c r="A1631" s="19" t="inlineStr">
        <is>
          <t>FY26</t>
        </is>
      </c>
      <c r="B1631" s="19" t="inlineStr">
        <is>
          <t>Jan</t>
        </is>
      </c>
      <c r="C1631" s="19" t="inlineStr">
        <is>
          <t>Kerala</t>
        </is>
      </c>
      <c r="D1631" s="20" t="inlineStr">
        <is>
          <t>KL02AW2215</t>
        </is>
      </c>
      <c r="E1631" s="20" t="inlineStr">
        <is>
          <t>MARUTI SUZUKI</t>
        </is>
      </c>
      <c r="F1631" s="20" t="inlineStr">
        <is>
          <t>Alto</t>
        </is>
      </c>
      <c r="G1631" s="21" t="n"/>
      <c r="H1631" s="22" t="n">
        <v>82234</v>
      </c>
      <c r="I1631" s="22" t="n">
        <v>183000</v>
      </c>
      <c r="J1631" s="20" t="inlineStr">
        <is>
          <t>REFERENCE</t>
        </is>
      </c>
      <c r="K1631" s="20" t="inlineStr">
        <is>
          <t>Non-Captive</t>
        </is>
      </c>
      <c r="L1631" s="20" t="inlineStr">
        <is>
          <t>VIJIL</t>
        </is>
      </c>
      <c r="M1631" s="23" t="n">
        <v>5932.2</v>
      </c>
    </row>
    <row r="1632">
      <c r="A1632" s="19" t="inlineStr">
        <is>
          <t>FY26</t>
        </is>
      </c>
      <c r="B1632" s="19" t="inlineStr">
        <is>
          <t>Jan</t>
        </is>
      </c>
      <c r="C1632" s="19" t="inlineStr">
        <is>
          <t>Kerala</t>
        </is>
      </c>
      <c r="D1632" s="20" t="inlineStr">
        <is>
          <t>KL32Q1115</t>
        </is>
      </c>
      <c r="E1632" s="20" t="inlineStr">
        <is>
          <t>HYUNDAI</t>
        </is>
      </c>
      <c r="F1632" s="20" t="inlineStr">
        <is>
          <t>Santro</t>
        </is>
      </c>
      <c r="G1632" s="21" t="n"/>
      <c r="H1632" s="22" t="n">
        <v>32454</v>
      </c>
      <c r="I1632" s="22" t="n">
        <v>375000</v>
      </c>
      <c r="J1632" s="20" t="inlineStr">
        <is>
          <t>POPULAR MARUTI</t>
        </is>
      </c>
      <c r="K1632" s="20" t="inlineStr">
        <is>
          <t>Non-Captive</t>
        </is>
      </c>
      <c r="L1632" s="20" t="inlineStr">
        <is>
          <t>VAISAKH</t>
        </is>
      </c>
      <c r="M1632" s="23" t="n">
        <v>8474.58</v>
      </c>
    </row>
    <row r="1633">
      <c r="A1633" s="19" t="inlineStr">
        <is>
          <t>FY26</t>
        </is>
      </c>
      <c r="B1633" s="19" t="inlineStr">
        <is>
          <t>Jan</t>
        </is>
      </c>
      <c r="C1633" s="19" t="inlineStr">
        <is>
          <t>Kerala</t>
        </is>
      </c>
      <c r="D1633" s="20" t="inlineStr">
        <is>
          <t>KL07CF7206</t>
        </is>
      </c>
      <c r="E1633" s="20" t="inlineStr">
        <is>
          <t>MARUTI SUZUKI</t>
        </is>
      </c>
      <c r="F1633" s="20" t="inlineStr">
        <is>
          <t>Baleno</t>
        </is>
      </c>
      <c r="G1633" s="21" t="n"/>
      <c r="H1633" s="22" t="n">
        <v>69245</v>
      </c>
      <c r="I1633" s="22" t="n">
        <v>400000</v>
      </c>
      <c r="J1633" s="20" t="inlineStr">
        <is>
          <t>CARS24</t>
        </is>
      </c>
      <c r="K1633" s="20" t="inlineStr">
        <is>
          <t>Non-Captive</t>
        </is>
      </c>
      <c r="L1633" s="20" t="inlineStr">
        <is>
          <t>HUSSAIN O E</t>
        </is>
      </c>
      <c r="M1633" s="23" t="n">
        <v>10169.49</v>
      </c>
    </row>
    <row r="1634">
      <c r="A1634" s="19" t="inlineStr">
        <is>
          <t>FY26</t>
        </is>
      </c>
      <c r="B1634" s="19" t="inlineStr">
        <is>
          <t>Jan</t>
        </is>
      </c>
      <c r="C1634" s="19" t="inlineStr">
        <is>
          <t>Kerala</t>
        </is>
      </c>
      <c r="D1634" s="20" t="inlineStr">
        <is>
          <t>KL39A0530</t>
        </is>
      </c>
      <c r="E1634" s="20" t="inlineStr">
        <is>
          <t>CHEVROLET</t>
        </is>
      </c>
      <c r="F1634" s="20" t="inlineStr">
        <is>
          <t>Spark</t>
        </is>
      </c>
      <c r="G1634" s="21" t="n"/>
      <c r="H1634" s="22" t="n">
        <v>93689</v>
      </c>
      <c r="I1634" s="22" t="n">
        <v>22000</v>
      </c>
      <c r="J1634" s="20" t="inlineStr">
        <is>
          <t>POPULAR MARUTI</t>
        </is>
      </c>
      <c r="K1634" s="20" t="inlineStr">
        <is>
          <t>Non-Captive</t>
        </is>
      </c>
      <c r="L1634" s="20" t="inlineStr">
        <is>
          <t>RAFEEK T A</t>
        </is>
      </c>
      <c r="M1634" s="23" t="n">
        <v>6779.66</v>
      </c>
    </row>
    <row r="1635">
      <c r="A1635" s="19" t="inlineStr">
        <is>
          <t>FY26</t>
        </is>
      </c>
      <c r="B1635" s="19" t="inlineStr">
        <is>
          <t>Jan</t>
        </is>
      </c>
      <c r="C1635" s="19" t="inlineStr">
        <is>
          <t>Kerala</t>
        </is>
      </c>
      <c r="D1635" s="20" t="inlineStr">
        <is>
          <t>KL47M6441</t>
        </is>
      </c>
      <c r="E1635" s="20" t="inlineStr">
        <is>
          <t>MARUTI SUZUKI</t>
        </is>
      </c>
      <c r="F1635" s="20" t="inlineStr">
        <is>
          <t>Swift</t>
        </is>
      </c>
      <c r="G1635" s="21" t="n"/>
      <c r="H1635" s="22" t="n">
        <v>26875</v>
      </c>
      <c r="I1635" s="22" t="n">
        <v>675000</v>
      </c>
      <c r="J1635" s="20" t="inlineStr">
        <is>
          <t>PHOENIX VOLKSWAGEN</t>
        </is>
      </c>
      <c r="K1635" s="20" t="inlineStr">
        <is>
          <t>Non-Captive</t>
        </is>
      </c>
      <c r="L1635" s="20" t="inlineStr">
        <is>
          <t>UMESHKUMAR T U</t>
        </is>
      </c>
      <c r="M1635" s="23" t="n">
        <v>8474.58</v>
      </c>
    </row>
    <row r="1636">
      <c r="A1636" s="19" t="inlineStr">
        <is>
          <t>FY26</t>
        </is>
      </c>
      <c r="B1636" s="19" t="inlineStr">
        <is>
          <t>Jan</t>
        </is>
      </c>
      <c r="C1636" s="19" t="inlineStr">
        <is>
          <t>Kerala</t>
        </is>
      </c>
      <c r="D1636" s="20" t="inlineStr">
        <is>
          <t>KL45P1396</t>
        </is>
      </c>
      <c r="E1636" s="20" t="inlineStr">
        <is>
          <t>MARUTI SUZUKI</t>
        </is>
      </c>
      <c r="F1636" s="20" t="inlineStr">
        <is>
          <t>Swift</t>
        </is>
      </c>
      <c r="G1636" s="21" t="n"/>
      <c r="H1636" s="22" t="n">
        <v>23805</v>
      </c>
      <c r="I1636" s="22" t="n">
        <v>375000</v>
      </c>
      <c r="J1636" s="20" t="inlineStr">
        <is>
          <t>POPULAR HYUNDAI</t>
        </is>
      </c>
      <c r="K1636" s="20" t="inlineStr">
        <is>
          <t>Non-Captive</t>
        </is>
      </c>
      <c r="L1636" s="20" t="inlineStr">
        <is>
          <t>AITOS CARS</t>
        </is>
      </c>
      <c r="M1636" s="23" t="n">
        <v>8474.58</v>
      </c>
    </row>
    <row r="1637">
      <c r="A1637" s="19" t="inlineStr">
        <is>
          <t>FY26</t>
        </is>
      </c>
      <c r="B1637" s="19" t="inlineStr">
        <is>
          <t>Jan</t>
        </is>
      </c>
      <c r="C1637" s="19" t="inlineStr">
        <is>
          <t>Kerala</t>
        </is>
      </c>
      <c r="D1637" s="20" t="inlineStr">
        <is>
          <t>KL17E7947</t>
        </is>
      </c>
      <c r="E1637" s="20" t="inlineStr">
        <is>
          <t>HYUNDAI</t>
        </is>
      </c>
      <c r="F1637" s="20" t="inlineStr">
        <is>
          <t>Santro</t>
        </is>
      </c>
      <c r="G1637" s="21" t="n"/>
      <c r="H1637" s="22" t="n">
        <v>106742</v>
      </c>
      <c r="I1637" s="22" t="n">
        <v>30000</v>
      </c>
      <c r="J1637" s="20" t="inlineStr">
        <is>
          <t>POPULAR MARUTI</t>
        </is>
      </c>
      <c r="K1637" s="20" t="inlineStr">
        <is>
          <t>Non-Captive</t>
        </is>
      </c>
      <c r="L1637" s="20" t="inlineStr">
        <is>
          <t>HUSSAIN O E</t>
        </is>
      </c>
      <c r="M1637" s="23" t="n">
        <v>8474.58</v>
      </c>
    </row>
    <row r="1638">
      <c r="A1638" s="19" t="inlineStr">
        <is>
          <t>FY26</t>
        </is>
      </c>
      <c r="B1638" s="19" t="inlineStr">
        <is>
          <t>Jan</t>
        </is>
      </c>
      <c r="C1638" s="19" t="inlineStr">
        <is>
          <t>Kerala</t>
        </is>
      </c>
      <c r="D1638" s="20" t="inlineStr">
        <is>
          <t>KL22L9374</t>
        </is>
      </c>
      <c r="E1638" s="20" t="inlineStr">
        <is>
          <t>FORD</t>
        </is>
      </c>
      <c r="F1638" s="20" t="inlineStr">
        <is>
          <t>Ecosport</t>
        </is>
      </c>
      <c r="G1638" s="21" t="n"/>
      <c r="H1638" s="22" t="n">
        <v>106000</v>
      </c>
      <c r="I1638" s="22" t="n">
        <v>532000</v>
      </c>
      <c r="J1638" s="20" t="inlineStr">
        <is>
          <t>SPRICE HYUNDAI</t>
        </is>
      </c>
      <c r="K1638" s="20" t="inlineStr">
        <is>
          <t>Non-Captive</t>
        </is>
      </c>
      <c r="L1638" s="20" t="inlineStr">
        <is>
          <t>PRAMOD</t>
        </is>
      </c>
      <c r="M1638" s="23" t="n">
        <v>6779.66</v>
      </c>
    </row>
    <row r="1639">
      <c r="A1639" s="19" t="inlineStr">
        <is>
          <t>FY26</t>
        </is>
      </c>
      <c r="B1639" s="19" t="inlineStr">
        <is>
          <t>Jan</t>
        </is>
      </c>
      <c r="C1639" s="19" t="inlineStr">
        <is>
          <t>Kerala</t>
        </is>
      </c>
      <c r="D1639" s="20" t="inlineStr">
        <is>
          <t>KL23B9827</t>
        </is>
      </c>
      <c r="E1639" s="20" t="inlineStr">
        <is>
          <t>MARUTI SUZUKI</t>
        </is>
      </c>
      <c r="F1639" s="20" t="inlineStr">
        <is>
          <t>Swift Dzire</t>
        </is>
      </c>
      <c r="G1639" s="21" t="n"/>
      <c r="H1639" s="22" t="n">
        <v>175000</v>
      </c>
      <c r="I1639" s="22" t="n">
        <v>142000</v>
      </c>
      <c r="J1639" s="20" t="inlineStr">
        <is>
          <t>REFERENCE</t>
        </is>
      </c>
      <c r="K1639" s="20" t="inlineStr">
        <is>
          <t>Non-Captive</t>
        </is>
      </c>
      <c r="L1639" s="20" t="inlineStr">
        <is>
          <t>RAMSHAD</t>
        </is>
      </c>
      <c r="M1639" s="23" t="n">
        <v>6779.66</v>
      </c>
    </row>
    <row r="1640">
      <c r="A1640" s="19" t="inlineStr">
        <is>
          <t>FY26</t>
        </is>
      </c>
      <c r="B1640" s="19" t="inlineStr">
        <is>
          <t>Jan</t>
        </is>
      </c>
      <c r="C1640" s="19" t="inlineStr">
        <is>
          <t>Kerala</t>
        </is>
      </c>
      <c r="D1640" s="20" t="inlineStr">
        <is>
          <t>KL70B5353</t>
        </is>
      </c>
      <c r="E1640" s="20" t="inlineStr">
        <is>
          <t>HYUNDAI</t>
        </is>
      </c>
      <c r="F1640" s="20" t="inlineStr">
        <is>
          <t>I20</t>
        </is>
      </c>
      <c r="G1640" s="21" t="n"/>
      <c r="H1640" s="22" t="n">
        <v>90000</v>
      </c>
      <c r="I1640" s="22" t="n">
        <v>395000</v>
      </c>
      <c r="J1640" s="20" t="inlineStr">
        <is>
          <t>MARVEL MOTORS</t>
        </is>
      </c>
      <c r="K1640" s="20" t="inlineStr">
        <is>
          <t>Non-Captive</t>
        </is>
      </c>
      <c r="L1640" s="20" t="inlineStr">
        <is>
          <t>SANOOP</t>
        </is>
      </c>
      <c r="M1640" s="23" t="n">
        <v>8474.58</v>
      </c>
    </row>
    <row r="1641">
      <c r="A1641" s="19" t="inlineStr">
        <is>
          <t>FY26</t>
        </is>
      </c>
      <c r="B1641" s="19" t="inlineStr">
        <is>
          <t>Jan</t>
        </is>
      </c>
      <c r="C1641" s="19" t="inlineStr">
        <is>
          <t>Kerala</t>
        </is>
      </c>
      <c r="D1641" s="20" t="inlineStr">
        <is>
          <t>KL10AZ1203</t>
        </is>
      </c>
      <c r="E1641" s="20" t="inlineStr">
        <is>
          <t>MARUTI SUZUKI</t>
        </is>
      </c>
      <c r="F1641" s="20" t="inlineStr">
        <is>
          <t>Alto</t>
        </is>
      </c>
      <c r="G1641" s="21" t="n"/>
      <c r="H1641" s="22" t="n">
        <v>68000</v>
      </c>
      <c r="I1641" s="22" t="n">
        <v>223000</v>
      </c>
      <c r="J1641" s="20" t="inlineStr">
        <is>
          <t>UNAISE</t>
        </is>
      </c>
      <c r="K1641" s="20" t="inlineStr">
        <is>
          <t>Non-Captive</t>
        </is>
      </c>
      <c r="L1641" s="20" t="inlineStr">
        <is>
          <t>BIMAL</t>
        </is>
      </c>
      <c r="M1641" s="23" t="n">
        <v>5932.2</v>
      </c>
    </row>
    <row r="1642">
      <c r="A1642" s="19" t="inlineStr">
        <is>
          <t>FY26</t>
        </is>
      </c>
      <c r="B1642" s="19" t="inlineStr">
        <is>
          <t>Jan</t>
        </is>
      </c>
      <c r="C1642" s="19" t="inlineStr">
        <is>
          <t>Kerala</t>
        </is>
      </c>
      <c r="D1642" s="20" t="inlineStr">
        <is>
          <t>KL03U6063</t>
        </is>
      </c>
      <c r="E1642" s="20" t="inlineStr">
        <is>
          <t>MARUTI SUZUKI</t>
        </is>
      </c>
      <c r="F1642" s="20" t="inlineStr">
        <is>
          <t>Swift</t>
        </is>
      </c>
      <c r="G1642" s="21" t="n"/>
      <c r="H1642" s="22" t="n">
        <v>78000</v>
      </c>
      <c r="I1642" s="22" t="n">
        <v>115000</v>
      </c>
      <c r="J1642" s="20" t="inlineStr">
        <is>
          <t>UNAISE</t>
        </is>
      </c>
      <c r="K1642" s="20" t="inlineStr">
        <is>
          <t>Non-Captive</t>
        </is>
      </c>
      <c r="L1642" s="20" t="inlineStr">
        <is>
          <t>BIMAL</t>
        </is>
      </c>
      <c r="M1642" s="23" t="n">
        <v>4237.29</v>
      </c>
    </row>
    <row r="1643">
      <c r="A1643" s="19" t="inlineStr">
        <is>
          <t>FY26</t>
        </is>
      </c>
      <c r="B1643" s="19" t="inlineStr">
        <is>
          <t>Jan</t>
        </is>
      </c>
      <c r="C1643" s="19" t="inlineStr">
        <is>
          <t>Kerala</t>
        </is>
      </c>
      <c r="D1643" s="20" t="inlineStr">
        <is>
          <t>KL73C8527</t>
        </is>
      </c>
      <c r="E1643" s="20" t="inlineStr">
        <is>
          <t>HYUNDAI</t>
        </is>
      </c>
      <c r="F1643" s="20" t="inlineStr">
        <is>
          <t>Nios</t>
        </is>
      </c>
      <c r="G1643" s="21" t="n"/>
      <c r="H1643" s="22" t="n">
        <v>74000</v>
      </c>
      <c r="I1643" s="22" t="n">
        <v>385000</v>
      </c>
      <c r="J1643" s="20" t="inlineStr">
        <is>
          <t>MARVEL MOTORS</t>
        </is>
      </c>
      <c r="K1643" s="20" t="inlineStr">
        <is>
          <t>Non-Captive</t>
        </is>
      </c>
      <c r="L1643" s="20" t="inlineStr">
        <is>
          <t>BIMAL</t>
        </is>
      </c>
      <c r="M1643" s="23" t="n">
        <v>4237.29</v>
      </c>
    </row>
    <row r="1644">
      <c r="A1644" s="19" t="inlineStr">
        <is>
          <t>FY26</t>
        </is>
      </c>
      <c r="B1644" s="19" t="inlineStr">
        <is>
          <t>Jan</t>
        </is>
      </c>
      <c r="C1644" s="19" t="inlineStr">
        <is>
          <t>Kerala</t>
        </is>
      </c>
      <c r="D1644" s="20" t="inlineStr">
        <is>
          <t>KL58T0066</t>
        </is>
      </c>
      <c r="E1644" s="20" t="inlineStr">
        <is>
          <t>MARUTI SUZUKI</t>
        </is>
      </c>
      <c r="F1644" s="20" t="inlineStr">
        <is>
          <t>Celerio</t>
        </is>
      </c>
      <c r="G1644" s="21" t="n"/>
      <c r="H1644" s="22" t="n">
        <v>83000</v>
      </c>
      <c r="I1644" s="22" t="n">
        <v>265000</v>
      </c>
      <c r="J1644" s="20" t="inlineStr">
        <is>
          <t>ATHUL</t>
        </is>
      </c>
      <c r="K1644" s="20" t="inlineStr">
        <is>
          <t>Non-Captive</t>
        </is>
      </c>
      <c r="L1644" s="20" t="inlineStr">
        <is>
          <t>BIMAL</t>
        </is>
      </c>
      <c r="M1644" s="23" t="n">
        <v>4237.29</v>
      </c>
    </row>
    <row r="1645">
      <c r="A1645" s="19" t="inlineStr">
        <is>
          <t>FY26</t>
        </is>
      </c>
      <c r="B1645" s="19" t="inlineStr">
        <is>
          <t>Jan</t>
        </is>
      </c>
      <c r="C1645" s="19" t="inlineStr">
        <is>
          <t>Kerala</t>
        </is>
      </c>
      <c r="D1645" s="20" t="inlineStr">
        <is>
          <t>KL58R7284</t>
        </is>
      </c>
      <c r="E1645" s="20" t="inlineStr">
        <is>
          <t>MARUTI SUZUKI</t>
        </is>
      </c>
      <c r="F1645" s="20" t="inlineStr">
        <is>
          <t>Swift</t>
        </is>
      </c>
      <c r="G1645" s="21" t="n"/>
      <c r="H1645" s="22" t="n">
        <v>90000</v>
      </c>
      <c r="I1645" s="22" t="n">
        <v>290000</v>
      </c>
      <c r="J1645" s="20" t="inlineStr">
        <is>
          <t>MARVEL MOTORS</t>
        </is>
      </c>
      <c r="K1645" s="20" t="inlineStr">
        <is>
          <t>Non-Captive</t>
        </is>
      </c>
      <c r="L1645" s="20" t="inlineStr">
        <is>
          <t>KVR TATA</t>
        </is>
      </c>
      <c r="M1645" s="23" t="n">
        <v>5084.75</v>
      </c>
    </row>
    <row r="1646">
      <c r="A1646" s="19" t="inlineStr">
        <is>
          <t>FY26</t>
        </is>
      </c>
      <c r="B1646" s="19" t="inlineStr">
        <is>
          <t>Jan</t>
        </is>
      </c>
      <c r="C1646" s="19" t="inlineStr">
        <is>
          <t>Kerala</t>
        </is>
      </c>
      <c r="D1646" s="20" t="inlineStr">
        <is>
          <t>KL18AB5949</t>
        </is>
      </c>
      <c r="E1646" s="20" t="inlineStr">
        <is>
          <t>MARUTI SUZUKI</t>
        </is>
      </c>
      <c r="F1646" s="20" t="inlineStr">
        <is>
          <t>Eeco</t>
        </is>
      </c>
      <c r="G1646" s="21" t="n"/>
      <c r="H1646" s="22" t="n">
        <v>80000</v>
      </c>
      <c r="I1646" s="22" t="n">
        <v>330000</v>
      </c>
      <c r="J1646" s="20" t="inlineStr">
        <is>
          <t>NIDEESH MOHAN</t>
        </is>
      </c>
      <c r="K1646" s="20" t="inlineStr">
        <is>
          <t>Non-Captive</t>
        </is>
      </c>
      <c r="L1646" s="20" t="inlineStr">
        <is>
          <t>APCO HYUNDAI</t>
        </is>
      </c>
      <c r="M1646" s="23" t="n">
        <v>8474.58</v>
      </c>
    </row>
    <row r="1647">
      <c r="A1647" s="19" t="inlineStr">
        <is>
          <t>FY26</t>
        </is>
      </c>
      <c r="B1647" s="19" t="inlineStr">
        <is>
          <t>Jan</t>
        </is>
      </c>
      <c r="C1647" s="19" t="inlineStr">
        <is>
          <t>Kerala</t>
        </is>
      </c>
      <c r="D1647" s="20" t="inlineStr">
        <is>
          <t>KL47G4309</t>
        </is>
      </c>
      <c r="E1647" s="20" t="inlineStr">
        <is>
          <t>HYUNDAI</t>
        </is>
      </c>
      <c r="F1647" s="20" t="inlineStr">
        <is>
          <t>Eon</t>
        </is>
      </c>
      <c r="G1647" s="21" t="n"/>
      <c r="H1647" s="22" t="n">
        <v>34000</v>
      </c>
      <c r="I1647" s="22" t="n">
        <v>190000</v>
      </c>
      <c r="J1647" s="20" t="inlineStr">
        <is>
          <t>NIDEESH MOHAN</t>
        </is>
      </c>
      <c r="K1647" s="20" t="inlineStr">
        <is>
          <t>Non-Captive</t>
        </is>
      </c>
      <c r="L1647" s="20" t="inlineStr">
        <is>
          <t>DKH KIA</t>
        </is>
      </c>
      <c r="M1647" s="23" t="n">
        <v>8474.58</v>
      </c>
    </row>
    <row r="1648">
      <c r="A1648" s="19" t="inlineStr">
        <is>
          <t>FY26</t>
        </is>
      </c>
      <c r="B1648" s="19" t="inlineStr">
        <is>
          <t>Jan</t>
        </is>
      </c>
      <c r="C1648" s="19" t="inlineStr">
        <is>
          <t>Kerala</t>
        </is>
      </c>
      <c r="D1648" s="20" t="inlineStr">
        <is>
          <t>KL01BU1819</t>
        </is>
      </c>
      <c r="E1648" s="20" t="inlineStr">
        <is>
          <t>MAHINDRA</t>
        </is>
      </c>
      <c r="F1648" s="20" t="inlineStr">
        <is>
          <t>Xuv300</t>
        </is>
      </c>
      <c r="G1648" s="21" t="n"/>
      <c r="H1648" s="22" t="n">
        <v>135000</v>
      </c>
      <c r="I1648" s="22" t="n">
        <v>460000</v>
      </c>
      <c r="J1648" s="20" t="inlineStr">
        <is>
          <t>SANTHOSH</t>
        </is>
      </c>
      <c r="K1648" s="20" t="inlineStr">
        <is>
          <t>Non-Captive</t>
        </is>
      </c>
      <c r="L1648" s="20" t="inlineStr">
        <is>
          <t>POPULAR MARUTI</t>
        </is>
      </c>
      <c r="M1648" s="23" t="n">
        <v>6779.66</v>
      </c>
    </row>
    <row r="1649">
      <c r="A1649" s="19" t="inlineStr">
        <is>
          <t>FY26</t>
        </is>
      </c>
      <c r="B1649" s="19" t="inlineStr">
        <is>
          <t>Jan</t>
        </is>
      </c>
      <c r="C1649" s="19" t="inlineStr">
        <is>
          <t>Kerala</t>
        </is>
      </c>
      <c r="D1649" s="20" t="inlineStr">
        <is>
          <t>KL11BU1546</t>
        </is>
      </c>
      <c r="E1649" s="20" t="inlineStr">
        <is>
          <t>MARUTI SUZUKI</t>
        </is>
      </c>
      <c r="F1649" s="20" t="inlineStr">
        <is>
          <t>Brezza</t>
        </is>
      </c>
      <c r="G1649" s="21" t="n"/>
      <c r="H1649" s="22" t="n">
        <v>86000</v>
      </c>
      <c r="I1649" s="22" t="n">
        <v>625000</v>
      </c>
      <c r="J1649" s="20" t="inlineStr">
        <is>
          <t>MARK 4</t>
        </is>
      </c>
      <c r="K1649" s="20" t="inlineStr">
        <is>
          <t>Non-Captive</t>
        </is>
      </c>
      <c r="L1649" s="20" t="inlineStr">
        <is>
          <t>BIMAL MARUTI</t>
        </is>
      </c>
      <c r="M1649" s="23" t="n">
        <v>4237.29</v>
      </c>
    </row>
    <row r="1650">
      <c r="A1650" s="19" t="inlineStr">
        <is>
          <t>FY26</t>
        </is>
      </c>
      <c r="B1650" s="19" t="inlineStr">
        <is>
          <t>Jan</t>
        </is>
      </c>
      <c r="C1650" s="19" t="inlineStr">
        <is>
          <t>Kerala</t>
        </is>
      </c>
      <c r="D1650" s="20" t="inlineStr">
        <is>
          <t>KL368292</t>
        </is>
      </c>
      <c r="E1650" s="20" t="inlineStr">
        <is>
          <t>HYUNDAI</t>
        </is>
      </c>
      <c r="F1650" s="20" t="inlineStr">
        <is>
          <t>I10</t>
        </is>
      </c>
      <c r="G1650" s="21" t="n"/>
      <c r="H1650" s="22" t="n">
        <v>70482</v>
      </c>
      <c r="I1650" s="22" t="n">
        <v>105000</v>
      </c>
      <c r="J1650" s="20" t="inlineStr">
        <is>
          <t>ANAS</t>
        </is>
      </c>
      <c r="K1650" s="20" t="inlineStr">
        <is>
          <t>Non-Captive</t>
        </is>
      </c>
      <c r="L1650" s="20" t="inlineStr">
        <is>
          <t>MUHAMMED SHAJI</t>
        </is>
      </c>
      <c r="M1650" s="23" t="n">
        <v>8474.58</v>
      </c>
    </row>
    <row r="1651">
      <c r="A1651" s="19" t="inlineStr">
        <is>
          <t>FY26</t>
        </is>
      </c>
      <c r="B1651" s="19" t="inlineStr">
        <is>
          <t>Jan</t>
        </is>
      </c>
      <c r="C1651" s="19" t="inlineStr">
        <is>
          <t>Kerala</t>
        </is>
      </c>
      <c r="D1651" s="20" t="inlineStr">
        <is>
          <t>KL26A2714</t>
        </is>
      </c>
      <c r="E1651" s="20" t="inlineStr">
        <is>
          <t>MARUTI SUZUKI</t>
        </is>
      </c>
      <c r="F1651" s="20" t="inlineStr">
        <is>
          <t>Wagon R</t>
        </is>
      </c>
      <c r="G1651" s="21" t="n"/>
      <c r="H1651" s="22" t="n">
        <v>121200</v>
      </c>
      <c r="I1651" s="22" t="n">
        <v>65000</v>
      </c>
      <c r="J1651" s="20" t="inlineStr">
        <is>
          <t>POPULAR MARUTI</t>
        </is>
      </c>
      <c r="K1651" s="20" t="inlineStr">
        <is>
          <t>Non-Captive</t>
        </is>
      </c>
      <c r="L1651" s="20" t="inlineStr">
        <is>
          <t>VTJ</t>
        </is>
      </c>
      <c r="M1651" s="23" t="n">
        <v>6779.66</v>
      </c>
    </row>
    <row r="1652">
      <c r="A1652" s="19" t="inlineStr">
        <is>
          <t>FY26</t>
        </is>
      </c>
      <c r="B1652" s="19" t="inlineStr">
        <is>
          <t>Jan</t>
        </is>
      </c>
      <c r="C1652" s="19" t="inlineStr">
        <is>
          <t>Kerala</t>
        </is>
      </c>
      <c r="D1652" s="20" t="inlineStr">
        <is>
          <t>KL07CB8857</t>
        </is>
      </c>
      <c r="E1652" s="20" t="inlineStr">
        <is>
          <t>MARUTI SUZUKI</t>
        </is>
      </c>
      <c r="F1652" s="20" t="inlineStr">
        <is>
          <t>Ciaz</t>
        </is>
      </c>
      <c r="G1652" s="21" t="n"/>
      <c r="H1652" s="22" t="n">
        <v>76983</v>
      </c>
      <c r="I1652" s="22" t="n">
        <v>340000</v>
      </c>
      <c r="J1652" s="20" t="inlineStr">
        <is>
          <t>POPULAR MARUTI</t>
        </is>
      </c>
      <c r="K1652" s="20" t="inlineStr">
        <is>
          <t>Non-Captive</t>
        </is>
      </c>
      <c r="L1652" s="20" t="inlineStr">
        <is>
          <t>VTJ</t>
        </is>
      </c>
      <c r="M1652" s="23" t="n">
        <v>8474.58</v>
      </c>
    </row>
    <row r="1653">
      <c r="A1653" s="19" t="inlineStr">
        <is>
          <t>FY26</t>
        </is>
      </c>
      <c r="B1653" s="19" t="inlineStr">
        <is>
          <t>Jan</t>
        </is>
      </c>
      <c r="C1653" s="19" t="inlineStr">
        <is>
          <t>Kerala</t>
        </is>
      </c>
      <c r="D1653" s="20" t="inlineStr">
        <is>
          <t>KL08BW5977</t>
        </is>
      </c>
      <c r="E1653" s="20" t="inlineStr">
        <is>
          <t>DATSUN</t>
        </is>
      </c>
      <c r="F1653" s="20" t="inlineStr">
        <is>
          <t>Redi-Go</t>
        </is>
      </c>
      <c r="G1653" s="21" t="n"/>
      <c r="H1653" s="22" t="n">
        <v>30672</v>
      </c>
      <c r="I1653" s="22" t="n">
        <v>195000</v>
      </c>
      <c r="J1653" s="20" t="inlineStr">
        <is>
          <t>CARS24</t>
        </is>
      </c>
      <c r="K1653" s="20" t="inlineStr">
        <is>
          <t>Non-Captive</t>
        </is>
      </c>
      <c r="L1653" s="20" t="inlineStr">
        <is>
          <t>VTJ</t>
        </is>
      </c>
      <c r="M1653" s="23" t="n">
        <v>10169.49</v>
      </c>
    </row>
    <row r="1654">
      <c r="A1654" s="19" t="inlineStr">
        <is>
          <t>FY26</t>
        </is>
      </c>
      <c r="B1654" s="19" t="inlineStr">
        <is>
          <t>Jan</t>
        </is>
      </c>
      <c r="C1654" s="19" t="inlineStr">
        <is>
          <t>Kerala</t>
        </is>
      </c>
      <c r="D1654" s="20" t="inlineStr">
        <is>
          <t>KL03U3578</t>
        </is>
      </c>
      <c r="E1654" s="20" t="inlineStr">
        <is>
          <t>MARUTI SUZUKI</t>
        </is>
      </c>
      <c r="F1654" s="20" t="inlineStr">
        <is>
          <t>Alto</t>
        </is>
      </c>
      <c r="G1654" s="21" t="n"/>
      <c r="H1654" s="22" t="n">
        <v>114548</v>
      </c>
      <c r="I1654" s="22" t="n">
        <v>84000</v>
      </c>
      <c r="J1654" s="20" t="inlineStr">
        <is>
          <t>ANAS HAMEED</t>
        </is>
      </c>
      <c r="K1654" s="20" t="inlineStr">
        <is>
          <t>Non-Captive</t>
        </is>
      </c>
      <c r="L1654" s="20" t="inlineStr">
        <is>
          <t>MUHAMMAD SHAJI</t>
        </is>
      </c>
      <c r="M1654" s="23" t="n">
        <v>5084.75</v>
      </c>
    </row>
    <row r="1655">
      <c r="A1655" s="19" t="inlineStr">
        <is>
          <t>FY26</t>
        </is>
      </c>
      <c r="B1655" s="19" t="inlineStr">
        <is>
          <t>Jan</t>
        </is>
      </c>
      <c r="C1655" s="19" t="inlineStr">
        <is>
          <t>Kerala</t>
        </is>
      </c>
      <c r="D1655" s="20" t="inlineStr">
        <is>
          <t>KL65L2168</t>
        </is>
      </c>
      <c r="E1655" s="20" t="inlineStr">
        <is>
          <t>MARUTI SUZUKI</t>
        </is>
      </c>
      <c r="F1655" s="20" t="inlineStr">
        <is>
          <t>Alto</t>
        </is>
      </c>
      <c r="G1655" s="21" t="n"/>
      <c r="H1655" s="22" t="n">
        <v>64000</v>
      </c>
      <c r="I1655" s="22" t="n">
        <v>230000</v>
      </c>
      <c r="J1655" s="20" t="inlineStr">
        <is>
          <t>NIKESH</t>
        </is>
      </c>
      <c r="K1655" s="20" t="inlineStr">
        <is>
          <t>Non-Captive</t>
        </is>
      </c>
      <c r="L1655" s="20" t="inlineStr">
        <is>
          <t>BIMAL</t>
        </is>
      </c>
      <c r="M1655" s="23" t="n">
        <v>4237.29</v>
      </c>
    </row>
    <row r="1656">
      <c r="A1656" s="19" t="inlineStr">
        <is>
          <t>FY26</t>
        </is>
      </c>
      <c r="B1656" s="19" t="inlineStr">
        <is>
          <t>Jan</t>
        </is>
      </c>
      <c r="C1656" s="19" t="inlineStr">
        <is>
          <t>Kerala</t>
        </is>
      </c>
      <c r="D1656" s="20" t="inlineStr">
        <is>
          <t>KL11BF9835</t>
        </is>
      </c>
      <c r="E1656" s="20" t="inlineStr">
        <is>
          <t>MARUTI SUZUKI</t>
        </is>
      </c>
      <c r="F1656" s="20" t="inlineStr">
        <is>
          <t>Baleno</t>
        </is>
      </c>
      <c r="G1656" s="21" t="n"/>
      <c r="H1656" s="22" t="n">
        <v>68000</v>
      </c>
      <c r="I1656" s="22" t="n">
        <v>435000</v>
      </c>
      <c r="J1656" s="20" t="inlineStr">
        <is>
          <t>ARJUN KK</t>
        </is>
      </c>
      <c r="K1656" s="20" t="inlineStr">
        <is>
          <t>Non-Captive</t>
        </is>
      </c>
      <c r="L1656" s="20" t="inlineStr">
        <is>
          <t>BIMAL</t>
        </is>
      </c>
      <c r="M1656" s="23" t="n">
        <v>4237.29</v>
      </c>
    </row>
    <row r="1657">
      <c r="A1657" s="19" t="inlineStr">
        <is>
          <t>FY26</t>
        </is>
      </c>
      <c r="B1657" s="19" t="inlineStr">
        <is>
          <t>Jan</t>
        </is>
      </c>
      <c r="C1657" s="19" t="inlineStr">
        <is>
          <t>Kerala</t>
        </is>
      </c>
      <c r="D1657" s="20" t="inlineStr">
        <is>
          <t>KL11BX0343</t>
        </is>
      </c>
      <c r="E1657" s="20" t="inlineStr">
        <is>
          <t>MARUTI SUZUKI</t>
        </is>
      </c>
      <c r="F1657" s="20" t="inlineStr">
        <is>
          <t>Wagon R</t>
        </is>
      </c>
      <c r="G1657" s="21" t="n"/>
      <c r="H1657" s="22" t="n">
        <v>67000</v>
      </c>
      <c r="I1657" s="22" t="n">
        <v>505000</v>
      </c>
      <c r="J1657" s="20" t="inlineStr">
        <is>
          <t>ABBAS</t>
        </is>
      </c>
      <c r="K1657" s="20" t="inlineStr">
        <is>
          <t>Non-Captive</t>
        </is>
      </c>
      <c r="L1657" s="20" t="inlineStr">
        <is>
          <t>DKH KIA</t>
        </is>
      </c>
      <c r="M1657" s="23" t="n">
        <v>5932.2</v>
      </c>
    </row>
    <row r="1658">
      <c r="A1658" s="19" t="inlineStr">
        <is>
          <t>FY26</t>
        </is>
      </c>
      <c r="B1658" s="19" t="inlineStr">
        <is>
          <t>Jan</t>
        </is>
      </c>
      <c r="C1658" s="19" t="inlineStr">
        <is>
          <t>Kerala</t>
        </is>
      </c>
      <c r="D1658" s="20" t="inlineStr">
        <is>
          <t>KL25J4879</t>
        </is>
      </c>
      <c r="E1658" s="20" t="inlineStr">
        <is>
          <t>RENAULT</t>
        </is>
      </c>
      <c r="F1658" s="20" t="inlineStr">
        <is>
          <t>Kwid</t>
        </is>
      </c>
      <c r="G1658" s="21" t="n"/>
      <c r="H1658" s="22" t="n">
        <v>34000</v>
      </c>
      <c r="I1658" s="22" t="n">
        <v>143000</v>
      </c>
      <c r="J1658" s="20" t="inlineStr">
        <is>
          <t>MUTHOOT HONDA</t>
        </is>
      </c>
      <c r="K1658" s="20" t="inlineStr">
        <is>
          <t>Non-Captive</t>
        </is>
      </c>
      <c r="L1658" s="20" t="inlineStr">
        <is>
          <t>AKHILNATH</t>
        </is>
      </c>
      <c r="M1658" s="23" t="n">
        <v>5932.2</v>
      </c>
    </row>
    <row r="1659">
      <c r="A1659" s="19" t="inlineStr">
        <is>
          <t>FY26</t>
        </is>
      </c>
      <c r="B1659" s="19" t="inlineStr">
        <is>
          <t>Jan</t>
        </is>
      </c>
      <c r="C1659" s="19" t="inlineStr">
        <is>
          <t>Kerala</t>
        </is>
      </c>
      <c r="D1659" s="20" t="inlineStr">
        <is>
          <t>KL29C3504</t>
        </is>
      </c>
      <c r="E1659" s="20" t="inlineStr">
        <is>
          <t>HYUNDAI</t>
        </is>
      </c>
      <c r="F1659" s="20" t="inlineStr">
        <is>
          <t>Santro</t>
        </is>
      </c>
      <c r="G1659" s="21" t="n"/>
      <c r="H1659" s="22" t="n">
        <v>140939</v>
      </c>
      <c r="I1659" s="22" t="n">
        <v>52000</v>
      </c>
      <c r="J1659" s="20" t="inlineStr">
        <is>
          <t>LUXON TATA</t>
        </is>
      </c>
      <c r="K1659" s="20" t="inlineStr">
        <is>
          <t>Non-Captive</t>
        </is>
      </c>
      <c r="L1659" s="20" t="inlineStr">
        <is>
          <t>BIJIN</t>
        </is>
      </c>
      <c r="M1659" s="23" t="n">
        <v>6779.66</v>
      </c>
    </row>
    <row r="1660">
      <c r="A1660" s="19" t="inlineStr">
        <is>
          <t>FY26</t>
        </is>
      </c>
      <c r="B1660" s="19" t="inlineStr">
        <is>
          <t>Jan</t>
        </is>
      </c>
      <c r="C1660" s="19" t="inlineStr">
        <is>
          <t>Kerala</t>
        </is>
      </c>
      <c r="D1660" s="20" t="inlineStr">
        <is>
          <t>KL36A4427</t>
        </is>
      </c>
      <c r="E1660" s="20" t="inlineStr">
        <is>
          <t>HYUNDAI</t>
        </is>
      </c>
      <c r="F1660" s="20" t="inlineStr">
        <is>
          <t>I20</t>
        </is>
      </c>
      <c r="G1660" s="21" t="n"/>
      <c r="H1660" s="22" t="n">
        <v>74657</v>
      </c>
      <c r="I1660" s="22" t="n">
        <v>100000</v>
      </c>
      <c r="J1660" s="20" t="inlineStr">
        <is>
          <t>POPULAR MARUTI</t>
        </is>
      </c>
      <c r="K1660" s="20" t="inlineStr">
        <is>
          <t>Non-Captive</t>
        </is>
      </c>
      <c r="L1660" s="20" t="inlineStr">
        <is>
          <t>VISHNU M S</t>
        </is>
      </c>
      <c r="M1660" s="23" t="n">
        <v>8474.58</v>
      </c>
    </row>
    <row r="1661">
      <c r="A1661" s="19" t="inlineStr">
        <is>
          <t>FY26</t>
        </is>
      </c>
      <c r="B1661" s="19" t="inlineStr">
        <is>
          <t>Jan</t>
        </is>
      </c>
      <c r="C1661" s="19" t="inlineStr">
        <is>
          <t>Kerala</t>
        </is>
      </c>
      <c r="D1661" s="20" t="inlineStr">
        <is>
          <t>KL640430</t>
        </is>
      </c>
      <c r="E1661" s="20" t="inlineStr">
        <is>
          <t>MARUTI SUZUKI</t>
        </is>
      </c>
      <c r="F1661" s="20" t="inlineStr">
        <is>
          <t>Zen</t>
        </is>
      </c>
      <c r="G1661" s="21" t="n"/>
      <c r="H1661" s="22" t="n">
        <v>22083</v>
      </c>
      <c r="I1661" s="22" t="n">
        <v>85000</v>
      </c>
      <c r="J1661" s="20" t="inlineStr">
        <is>
          <t>MAIJO MARUTI</t>
        </is>
      </c>
      <c r="K1661" s="20" t="inlineStr">
        <is>
          <t>Non-Captive</t>
        </is>
      </c>
      <c r="L1661" s="20" t="inlineStr">
        <is>
          <t>HUSSAIN O E</t>
        </is>
      </c>
      <c r="M1661" s="23" t="n">
        <v>8474.58</v>
      </c>
    </row>
    <row r="1662">
      <c r="A1662" s="19" t="inlineStr">
        <is>
          <t>FY26</t>
        </is>
      </c>
      <c r="B1662" s="19" t="inlineStr">
        <is>
          <t>Jan</t>
        </is>
      </c>
      <c r="C1662" s="19" t="inlineStr">
        <is>
          <t>Kerala</t>
        </is>
      </c>
      <c r="D1662" s="20" t="inlineStr">
        <is>
          <t>KL25G6798</t>
        </is>
      </c>
      <c r="E1662" s="20" t="inlineStr">
        <is>
          <t>MARUTI SUZUKI</t>
        </is>
      </c>
      <c r="F1662" s="20" t="inlineStr">
        <is>
          <t>Wagon R</t>
        </is>
      </c>
      <c r="G1662" s="21" t="n"/>
      <c r="H1662" s="22" t="n">
        <v>95000</v>
      </c>
      <c r="I1662" s="22" t="n">
        <v>213000</v>
      </c>
      <c r="J1662" s="20" t="inlineStr">
        <is>
          <t>POPULAR MARUTI</t>
        </is>
      </c>
      <c r="K1662" s="20" t="inlineStr">
        <is>
          <t>Non-Captive</t>
        </is>
      </c>
      <c r="L1662" s="20" t="inlineStr">
        <is>
          <t>ABHISHEK</t>
        </is>
      </c>
      <c r="M1662" s="23" t="n">
        <v>4237.29</v>
      </c>
    </row>
    <row r="1663">
      <c r="A1663" s="19" t="inlineStr">
        <is>
          <t>FY26</t>
        </is>
      </c>
      <c r="B1663" s="19" t="inlineStr">
        <is>
          <t>Jan</t>
        </is>
      </c>
      <c r="C1663" s="19" t="inlineStr">
        <is>
          <t>Kerala</t>
        </is>
      </c>
      <c r="D1663" s="20" t="inlineStr">
        <is>
          <t>KL20B2394</t>
        </is>
      </c>
      <c r="E1663" s="20" t="inlineStr">
        <is>
          <t>MARUTI SUZUKI</t>
        </is>
      </c>
      <c r="F1663" s="20" t="inlineStr">
        <is>
          <t>Swift Dzire</t>
        </is>
      </c>
      <c r="G1663" s="21" t="n"/>
      <c r="H1663" s="22" t="n">
        <v>67500</v>
      </c>
      <c r="I1663" s="22" t="n">
        <v>180000</v>
      </c>
      <c r="J1663" s="20" t="inlineStr">
        <is>
          <t>TOYOTA FINANCE</t>
        </is>
      </c>
      <c r="K1663" s="20" t="inlineStr">
        <is>
          <t>Non-Captive</t>
        </is>
      </c>
      <c r="L1663" s="20" t="inlineStr">
        <is>
          <t>SUBRAMANIAN</t>
        </is>
      </c>
      <c r="M1663" s="23" t="n">
        <v>4237.29</v>
      </c>
    </row>
    <row r="1664">
      <c r="A1664" s="19" t="inlineStr">
        <is>
          <t>FY26</t>
        </is>
      </c>
      <c r="B1664" s="19" t="inlineStr">
        <is>
          <t>Jan</t>
        </is>
      </c>
      <c r="C1664" s="19" t="inlineStr">
        <is>
          <t>Kerala</t>
        </is>
      </c>
      <c r="D1664" s="20" t="inlineStr">
        <is>
          <t>KL39D7746</t>
        </is>
      </c>
      <c r="E1664" s="20" t="inlineStr">
        <is>
          <t>MARUTI SUZUKI</t>
        </is>
      </c>
      <c r="F1664" s="20" t="inlineStr">
        <is>
          <t>A-Star</t>
        </is>
      </c>
      <c r="G1664" s="21" t="n"/>
      <c r="H1664" s="22" t="n">
        <v>67000</v>
      </c>
      <c r="I1664" s="22" t="n">
        <v>85000</v>
      </c>
      <c r="J1664" s="20" t="inlineStr">
        <is>
          <t>INCHEON KIA</t>
        </is>
      </c>
      <c r="K1664" s="20" t="inlineStr">
        <is>
          <t>Non-Captive</t>
        </is>
      </c>
      <c r="L1664" s="20" t="inlineStr">
        <is>
          <t>DINESH P S</t>
        </is>
      </c>
      <c r="M1664" s="23" t="n">
        <v>10169.49</v>
      </c>
    </row>
    <row r="1665">
      <c r="A1665" s="19" t="inlineStr">
        <is>
          <t>FY26</t>
        </is>
      </c>
      <c r="B1665" s="19" t="inlineStr">
        <is>
          <t>Jan</t>
        </is>
      </c>
      <c r="C1665" s="19" t="inlineStr">
        <is>
          <t>Kerala</t>
        </is>
      </c>
      <c r="D1665" s="20" t="inlineStr">
        <is>
          <t>KL07CX7656</t>
        </is>
      </c>
      <c r="E1665" s="20" t="inlineStr">
        <is>
          <t>TATA</t>
        </is>
      </c>
      <c r="F1665" s="20" t="inlineStr">
        <is>
          <t>Nexon</t>
        </is>
      </c>
      <c r="G1665" s="21" t="n"/>
      <c r="H1665" s="22" t="n">
        <v>30972</v>
      </c>
      <c r="I1665" s="22" t="n">
        <v>585000</v>
      </c>
      <c r="J1665" s="20" t="inlineStr">
        <is>
          <t>GOKULAM TATA</t>
        </is>
      </c>
      <c r="K1665" s="20" t="inlineStr">
        <is>
          <t>Non-Captive</t>
        </is>
      </c>
      <c r="L1665" s="20" t="inlineStr">
        <is>
          <t>UMESHKUMAR T U</t>
        </is>
      </c>
      <c r="M1665" s="23" t="n">
        <v>8474.58</v>
      </c>
    </row>
    <row r="1666">
      <c r="A1666" s="19" t="inlineStr">
        <is>
          <t>FY26</t>
        </is>
      </c>
      <c r="B1666" s="19" t="inlineStr">
        <is>
          <t>Jan</t>
        </is>
      </c>
      <c r="C1666" s="19" t="inlineStr">
        <is>
          <t>Kerala</t>
        </is>
      </c>
      <c r="D1666" s="20" t="inlineStr">
        <is>
          <t>KL36A3363</t>
        </is>
      </c>
      <c r="E1666" s="20" t="inlineStr">
        <is>
          <t>MARUTI SUZUKI</t>
        </is>
      </c>
      <c r="F1666" s="20" t="inlineStr">
        <is>
          <t>Alto</t>
        </is>
      </c>
      <c r="G1666" s="21" t="n"/>
      <c r="H1666" s="22" t="n">
        <v>84960</v>
      </c>
      <c r="I1666" s="22" t="n">
        <v>77000</v>
      </c>
      <c r="J1666" s="20" t="inlineStr">
        <is>
          <t>CARS24</t>
        </is>
      </c>
      <c r="K1666" s="20" t="inlineStr">
        <is>
          <t>Non-Captive</t>
        </is>
      </c>
      <c r="L1666" s="20" t="inlineStr">
        <is>
          <t>SALAM</t>
        </is>
      </c>
      <c r="M1666" s="23" t="n">
        <v>8474.58</v>
      </c>
    </row>
    <row r="1667">
      <c r="A1667" s="19" t="inlineStr">
        <is>
          <t>FY26</t>
        </is>
      </c>
      <c r="B1667" s="19" t="inlineStr">
        <is>
          <t>Feb</t>
        </is>
      </c>
      <c r="C1667" s="19" t="inlineStr">
        <is>
          <t>Kerala</t>
        </is>
      </c>
      <c r="D1667" s="20" t="inlineStr">
        <is>
          <t>KL58M5553</t>
        </is>
      </c>
      <c r="E1667" s="20" t="inlineStr">
        <is>
          <t>HYUNDAI</t>
        </is>
      </c>
      <c r="F1667" s="20" t="inlineStr">
        <is>
          <t>Grand I10</t>
        </is>
      </c>
      <c r="G1667" s="21" t="n"/>
      <c r="H1667" s="22" t="n">
        <v>84000</v>
      </c>
      <c r="I1667" s="22" t="n">
        <v>297000</v>
      </c>
      <c r="J1667" s="20" t="inlineStr">
        <is>
          <t>VIJIL MARVEL CARS</t>
        </is>
      </c>
      <c r="K1667" s="20" t="inlineStr">
        <is>
          <t>Non-Captive</t>
        </is>
      </c>
      <c r="L1667" s="20" t="inlineStr">
        <is>
          <t>AMANA TOYOTA</t>
        </is>
      </c>
      <c r="M1667" s="23" t="n">
        <v>5932.2</v>
      </c>
    </row>
    <row r="1668">
      <c r="A1668" s="19" t="inlineStr">
        <is>
          <t>FY26</t>
        </is>
      </c>
      <c r="B1668" s="19" t="inlineStr">
        <is>
          <t>Feb</t>
        </is>
      </c>
      <c r="C1668" s="19" t="inlineStr">
        <is>
          <t>Kerala</t>
        </is>
      </c>
      <c r="D1668" s="20" t="inlineStr">
        <is>
          <t>KL13AH3933</t>
        </is>
      </c>
      <c r="E1668" s="20" t="inlineStr">
        <is>
          <t>TATA</t>
        </is>
      </c>
      <c r="F1668" s="20" t="inlineStr">
        <is>
          <t>Tiago</t>
        </is>
      </c>
      <c r="G1668" s="21" t="n"/>
      <c r="H1668" s="22" t="n">
        <v>42000</v>
      </c>
      <c r="I1668" s="22" t="n">
        <v>195000</v>
      </c>
      <c r="J1668" s="20" t="inlineStr">
        <is>
          <t>HARI NK</t>
        </is>
      </c>
      <c r="K1668" s="20" t="inlineStr">
        <is>
          <t>Non-Captive</t>
        </is>
      </c>
      <c r="L1668" s="20" t="inlineStr">
        <is>
          <t>EVM NISSAN</t>
        </is>
      </c>
      <c r="M1668" s="23" t="n">
        <v>4237.29</v>
      </c>
    </row>
    <row r="1669">
      <c r="A1669" s="19" t="inlineStr">
        <is>
          <t>FY26</t>
        </is>
      </c>
      <c r="B1669" s="19" t="inlineStr">
        <is>
          <t>Feb</t>
        </is>
      </c>
      <c r="C1669" s="19" t="inlineStr">
        <is>
          <t>Kerala</t>
        </is>
      </c>
      <c r="D1669" s="20" t="inlineStr">
        <is>
          <t>KL52L5979</t>
        </is>
      </c>
      <c r="E1669" s="20" t="inlineStr">
        <is>
          <t>HYUNDAI</t>
        </is>
      </c>
      <c r="F1669" s="20" t="inlineStr">
        <is>
          <t>Creta</t>
        </is>
      </c>
      <c r="G1669" s="21" t="n"/>
      <c r="H1669" s="22" t="n">
        <v>97000</v>
      </c>
      <c r="I1669" s="22" t="n">
        <v>550000</v>
      </c>
      <c r="J1669" s="20" t="inlineStr">
        <is>
          <t>M S NOUSHAD</t>
        </is>
      </c>
      <c r="K1669" s="20" t="inlineStr">
        <is>
          <t>Non-Captive</t>
        </is>
      </c>
      <c r="L1669" s="20" t="inlineStr">
        <is>
          <t>CLASSIC HYUNDAI</t>
        </is>
      </c>
      <c r="M1669" s="23" t="n">
        <v>6355.93</v>
      </c>
    </row>
    <row r="1670">
      <c r="A1670" s="19" t="inlineStr">
        <is>
          <t>FY26</t>
        </is>
      </c>
      <c r="B1670" s="19" t="inlineStr">
        <is>
          <t>Feb</t>
        </is>
      </c>
      <c r="C1670" s="19" t="inlineStr">
        <is>
          <t>Kerala</t>
        </is>
      </c>
      <c r="D1670" s="20" t="inlineStr">
        <is>
          <t>KL01CU9461</t>
        </is>
      </c>
      <c r="E1670" s="20" t="inlineStr">
        <is>
          <t>TATA</t>
        </is>
      </c>
      <c r="F1670" s="20" t="inlineStr">
        <is>
          <t>Tiago</t>
        </is>
      </c>
      <c r="G1670" s="21" t="n"/>
      <c r="H1670" s="22" t="n">
        <v>41000</v>
      </c>
      <c r="I1670" s="22" t="n">
        <v>405000</v>
      </c>
      <c r="J1670" s="20" t="inlineStr">
        <is>
          <t>KANNUR PLATINUM</t>
        </is>
      </c>
      <c r="K1670" s="20" t="inlineStr">
        <is>
          <t>Non-Captive</t>
        </is>
      </c>
      <c r="L1670" s="20" t="inlineStr">
        <is>
          <t>BIMAL</t>
        </is>
      </c>
      <c r="M1670" s="23" t="n">
        <v>5932.2</v>
      </c>
    </row>
    <row r="1671">
      <c r="A1671" s="19" t="inlineStr">
        <is>
          <t>FY26</t>
        </is>
      </c>
      <c r="B1671" s="19" t="inlineStr">
        <is>
          <t>Feb</t>
        </is>
      </c>
      <c r="C1671" s="19" t="inlineStr">
        <is>
          <t>Kerala</t>
        </is>
      </c>
      <c r="D1671" s="20" t="inlineStr">
        <is>
          <t>KL11BM0509</t>
        </is>
      </c>
      <c r="E1671" s="20" t="inlineStr">
        <is>
          <t>FORD</t>
        </is>
      </c>
      <c r="F1671" s="20" t="inlineStr">
        <is>
          <t>Freestyle</t>
        </is>
      </c>
      <c r="G1671" s="21" t="n"/>
      <c r="H1671" s="22" t="n">
        <v>105000</v>
      </c>
      <c r="I1671" s="22" t="n">
        <v>392000</v>
      </c>
      <c r="J1671" s="20" t="inlineStr">
        <is>
          <t>ANIL</t>
        </is>
      </c>
      <c r="K1671" s="20" t="inlineStr">
        <is>
          <t>Non-Captive</t>
        </is>
      </c>
      <c r="L1671" s="20" t="inlineStr">
        <is>
          <t>EVM SKODA</t>
        </is>
      </c>
      <c r="M1671" s="23" t="n">
        <v>8474.58</v>
      </c>
    </row>
    <row r="1672">
      <c r="A1672" s="19" t="inlineStr">
        <is>
          <t>FY26</t>
        </is>
      </c>
      <c r="B1672" s="19" t="inlineStr">
        <is>
          <t>Feb</t>
        </is>
      </c>
      <c r="C1672" s="19" t="inlineStr">
        <is>
          <t>Kerala</t>
        </is>
      </c>
      <c r="D1672" s="20" t="inlineStr">
        <is>
          <t>KL13AC5137</t>
        </is>
      </c>
      <c r="E1672" s="20" t="inlineStr">
        <is>
          <t>NISSAN</t>
        </is>
      </c>
      <c r="F1672" s="20" t="inlineStr">
        <is>
          <t>Micra</t>
        </is>
      </c>
      <c r="G1672" s="21" t="n"/>
      <c r="H1672" s="22" t="n">
        <v>84000</v>
      </c>
      <c r="I1672" s="22" t="n">
        <v>120000</v>
      </c>
      <c r="J1672" s="20" t="inlineStr">
        <is>
          <t>KANNUR PLATINUM</t>
        </is>
      </c>
      <c r="K1672" s="20" t="inlineStr">
        <is>
          <t>Non-Captive</t>
        </is>
      </c>
      <c r="L1672" s="20" t="inlineStr">
        <is>
          <t>KVR TATA</t>
        </is>
      </c>
      <c r="M1672" s="23" t="n">
        <v>4237.29</v>
      </c>
    </row>
    <row r="1673">
      <c r="A1673" s="19" t="inlineStr">
        <is>
          <t>FY26</t>
        </is>
      </c>
      <c r="B1673" s="19" t="inlineStr">
        <is>
          <t>Feb</t>
        </is>
      </c>
      <c r="C1673" s="19" t="inlineStr">
        <is>
          <t>Kerala</t>
        </is>
      </c>
      <c r="D1673" s="20" t="inlineStr">
        <is>
          <t>KL08AZ7203</t>
        </is>
      </c>
      <c r="E1673" s="20" t="inlineStr">
        <is>
          <t>VOLKSWAGEN</t>
        </is>
      </c>
      <c r="F1673" s="20" t="inlineStr">
        <is>
          <t>Vento</t>
        </is>
      </c>
      <c r="G1673" s="21" t="n"/>
      <c r="H1673" s="22" t="n">
        <v>56506</v>
      </c>
      <c r="I1673" s="22" t="n">
        <v>89000</v>
      </c>
      <c r="J1673" s="20" t="inlineStr">
        <is>
          <t>PHOENIX VOLKSWAGEN</t>
        </is>
      </c>
      <c r="K1673" s="20" t="inlineStr">
        <is>
          <t>Non-Captive</t>
        </is>
      </c>
      <c r="L1673" s="20" t="inlineStr">
        <is>
          <t>MUHAMMAD SHAJI</t>
        </is>
      </c>
      <c r="M1673" s="23" t="n">
        <v>8474.58</v>
      </c>
    </row>
    <row r="1674">
      <c r="A1674" s="19" t="inlineStr">
        <is>
          <t>FY26</t>
        </is>
      </c>
      <c r="B1674" s="19" t="inlineStr">
        <is>
          <t>Feb</t>
        </is>
      </c>
      <c r="C1674" s="19" t="inlineStr">
        <is>
          <t>Kerala</t>
        </is>
      </c>
      <c r="D1674" s="20" t="inlineStr">
        <is>
          <t>KL40M4684</t>
        </is>
      </c>
      <c r="E1674" s="20" t="inlineStr">
        <is>
          <t>MARUTI SUZUKI</t>
        </is>
      </c>
      <c r="F1674" s="20" t="inlineStr">
        <is>
          <t>Swift</t>
        </is>
      </c>
      <c r="G1674" s="21" t="n"/>
      <c r="H1674" s="22" t="n">
        <v>105600</v>
      </c>
      <c r="I1674" s="22" t="n">
        <v>340000</v>
      </c>
      <c r="J1674" s="20" t="inlineStr">
        <is>
          <t>POPULAR MARUTI</t>
        </is>
      </c>
      <c r="K1674" s="20" t="inlineStr">
        <is>
          <t>Non-Captive</t>
        </is>
      </c>
      <c r="L1674" s="20" t="inlineStr">
        <is>
          <t>RAFEEK T A</t>
        </is>
      </c>
      <c r="M1674" s="23" t="n">
        <v>8474.58</v>
      </c>
    </row>
    <row r="1675">
      <c r="A1675" s="19" t="inlineStr">
        <is>
          <t>FY26</t>
        </is>
      </c>
      <c r="B1675" s="19" t="inlineStr">
        <is>
          <t>Feb</t>
        </is>
      </c>
      <c r="C1675" s="19" t="inlineStr">
        <is>
          <t>Kerala</t>
        </is>
      </c>
      <c r="D1675" s="20" t="inlineStr">
        <is>
          <t>KL39N4145</t>
        </is>
      </c>
      <c r="E1675" s="20" t="inlineStr">
        <is>
          <t>MARUTI SUZUKI</t>
        </is>
      </c>
      <c r="F1675" s="20" t="inlineStr">
        <is>
          <t>Swift</t>
        </is>
      </c>
      <c r="G1675" s="21" t="n"/>
      <c r="H1675" s="22" t="n">
        <v>26890</v>
      </c>
      <c r="I1675" s="22" t="n">
        <v>515000</v>
      </c>
      <c r="J1675" s="20" t="inlineStr">
        <is>
          <t>EVM SKODA</t>
        </is>
      </c>
      <c r="K1675" s="20" t="inlineStr">
        <is>
          <t>Non-Captive</t>
        </is>
      </c>
      <c r="L1675" s="20" t="inlineStr">
        <is>
          <t>ASHRAF T A</t>
        </is>
      </c>
      <c r="M1675" s="23" t="n">
        <v>8474.58</v>
      </c>
    </row>
    <row r="1676">
      <c r="A1676" s="19" t="inlineStr">
        <is>
          <t>FY26</t>
        </is>
      </c>
      <c r="B1676" s="19" t="inlineStr">
        <is>
          <t>Feb</t>
        </is>
      </c>
      <c r="C1676" s="19" t="inlineStr">
        <is>
          <t>Kerala</t>
        </is>
      </c>
      <c r="D1676" s="20" t="inlineStr">
        <is>
          <t>KL04V5860</t>
        </is>
      </c>
      <c r="E1676" s="20" t="inlineStr">
        <is>
          <t>MARUTI SUZUKI</t>
        </is>
      </c>
      <c r="F1676" s="20" t="inlineStr">
        <is>
          <t>Swift</t>
        </is>
      </c>
      <c r="G1676" s="21" t="n"/>
      <c r="H1676" s="22" t="n">
        <v>89000</v>
      </c>
      <c r="I1676" s="22" t="n">
        <v>30000</v>
      </c>
      <c r="J1676" s="20" t="inlineStr">
        <is>
          <t>CARS24</t>
        </is>
      </c>
      <c r="K1676" s="20" t="inlineStr">
        <is>
          <t>Non-Captive</t>
        </is>
      </c>
      <c r="L1676" s="20" t="inlineStr">
        <is>
          <t>4 WHEEL DRIVE</t>
        </is>
      </c>
      <c r="M1676" s="23" t="n">
        <v>8474.58</v>
      </c>
    </row>
    <row r="1677">
      <c r="A1677" s="19" t="inlineStr">
        <is>
          <t>FY26</t>
        </is>
      </c>
      <c r="B1677" s="19" t="inlineStr">
        <is>
          <t>Feb</t>
        </is>
      </c>
      <c r="C1677" s="19" t="inlineStr">
        <is>
          <t>Kerala</t>
        </is>
      </c>
      <c r="D1677" s="20" t="inlineStr">
        <is>
          <t>KL33F8905</t>
        </is>
      </c>
      <c r="E1677" s="20" t="inlineStr">
        <is>
          <t>MARUTI SUZUKI</t>
        </is>
      </c>
      <c r="F1677" s="20" t="inlineStr">
        <is>
          <t>Swift Dzire</t>
        </is>
      </c>
      <c r="G1677" s="21" t="n"/>
      <c r="H1677" s="22" t="n">
        <v>107897</v>
      </c>
      <c r="I1677" s="22" t="n">
        <v>320000</v>
      </c>
      <c r="J1677" s="20" t="inlineStr">
        <is>
          <t>AMRITH V CHANDY</t>
        </is>
      </c>
      <c r="K1677" s="20" t="inlineStr">
        <is>
          <t>Non-Captive</t>
        </is>
      </c>
      <c r="L1677" s="20" t="inlineStr">
        <is>
          <t>MUHAMMAD SHAJI</t>
        </is>
      </c>
      <c r="M1677" s="23" t="n">
        <v>8474.58</v>
      </c>
    </row>
    <row r="1678">
      <c r="A1678" s="19" t="inlineStr">
        <is>
          <t>FY26</t>
        </is>
      </c>
      <c r="B1678" s="19" t="inlineStr">
        <is>
          <t>Feb</t>
        </is>
      </c>
      <c r="C1678" s="19" t="inlineStr">
        <is>
          <t>Kerala</t>
        </is>
      </c>
      <c r="D1678" s="20" t="inlineStr">
        <is>
          <t>KL35F9122</t>
        </is>
      </c>
      <c r="E1678" s="20" t="inlineStr">
        <is>
          <t>TATA</t>
        </is>
      </c>
      <c r="F1678" s="20" t="inlineStr">
        <is>
          <t>Nano</t>
        </is>
      </c>
      <c r="G1678" s="21" t="n"/>
      <c r="H1678" s="22" t="n">
        <v>53464</v>
      </c>
      <c r="I1678" s="22" t="n">
        <v>155000</v>
      </c>
      <c r="J1678" s="20" t="inlineStr">
        <is>
          <t>ANAS VH</t>
        </is>
      </c>
      <c r="K1678" s="20" t="inlineStr">
        <is>
          <t>Non-Captive</t>
        </is>
      </c>
      <c r="L1678" s="20" t="inlineStr">
        <is>
          <t>SUDHEESH K SATHYAN</t>
        </is>
      </c>
      <c r="M1678" s="23" t="n">
        <v>7627.12</v>
      </c>
    </row>
    <row r="1679">
      <c r="A1679" s="19" t="inlineStr">
        <is>
          <t>FY26</t>
        </is>
      </c>
      <c r="B1679" s="19" t="inlineStr">
        <is>
          <t>Feb</t>
        </is>
      </c>
      <c r="C1679" s="19" t="inlineStr">
        <is>
          <t>Kerala</t>
        </is>
      </c>
      <c r="D1679" s="20" t="inlineStr">
        <is>
          <t>KL01AT8748</t>
        </is>
      </c>
      <c r="E1679" s="20" t="inlineStr">
        <is>
          <t>HYUNDAI</t>
        </is>
      </c>
      <c r="F1679" s="20" t="inlineStr">
        <is>
          <t>Santro</t>
        </is>
      </c>
      <c r="G1679" s="21" t="n"/>
      <c r="H1679" s="22" t="n">
        <v>88900</v>
      </c>
      <c r="I1679" s="22" t="n">
        <v>39000</v>
      </c>
      <c r="J1679" s="20" t="inlineStr">
        <is>
          <t>SANTHOSH</t>
        </is>
      </c>
      <c r="K1679" s="20" t="inlineStr">
        <is>
          <t>Non-Captive</t>
        </is>
      </c>
      <c r="L1679" s="20" t="inlineStr">
        <is>
          <t>REFERENCE</t>
        </is>
      </c>
      <c r="M1679" s="23" t="n">
        <v>5084.75</v>
      </c>
    </row>
    <row r="1680">
      <c r="A1680" s="19" t="inlineStr">
        <is>
          <t>FY26</t>
        </is>
      </c>
      <c r="B1680" s="19" t="inlineStr">
        <is>
          <t>Feb</t>
        </is>
      </c>
      <c r="C1680" s="19" t="inlineStr">
        <is>
          <t>Kerala</t>
        </is>
      </c>
      <c r="D1680" s="20" t="inlineStr">
        <is>
          <t>KL19B0502</t>
        </is>
      </c>
      <c r="E1680" s="20" t="inlineStr">
        <is>
          <t>MARUTI SUZUKI</t>
        </is>
      </c>
      <c r="F1680" s="20" t="inlineStr">
        <is>
          <t>Swift</t>
        </is>
      </c>
      <c r="G1680" s="21" t="n"/>
      <c r="H1680" s="22" t="n">
        <v>168000</v>
      </c>
      <c r="I1680" s="22" t="n">
        <v>130000</v>
      </c>
      <c r="J1680" s="20" t="inlineStr">
        <is>
          <t>ABHISHEK</t>
        </is>
      </c>
      <c r="K1680" s="20" t="inlineStr">
        <is>
          <t>Non-Captive</t>
        </is>
      </c>
      <c r="L1680" s="20" t="inlineStr">
        <is>
          <t>POPULAR MARUTI</t>
        </is>
      </c>
      <c r="M1680" s="23" t="n">
        <v>6779.66</v>
      </c>
    </row>
    <row r="1681">
      <c r="A1681" s="19" t="inlineStr">
        <is>
          <t>FY26</t>
        </is>
      </c>
      <c r="B1681" s="19" t="inlineStr">
        <is>
          <t>Feb</t>
        </is>
      </c>
      <c r="C1681" s="19" t="inlineStr">
        <is>
          <t>Kerala</t>
        </is>
      </c>
      <c r="D1681" s="20" t="inlineStr">
        <is>
          <t>KL01BD3165</t>
        </is>
      </c>
      <c r="E1681" s="20" t="inlineStr">
        <is>
          <t>MARUTI SUZUKI</t>
        </is>
      </c>
      <c r="F1681" s="20" t="inlineStr">
        <is>
          <t>Swift Dzire</t>
        </is>
      </c>
      <c r="G1681" s="21" t="n"/>
      <c r="H1681" s="22" t="n">
        <v>117500</v>
      </c>
      <c r="I1681" s="22" t="n">
        <v>125000</v>
      </c>
      <c r="J1681" s="20" t="inlineStr">
        <is>
          <t>ABHISHEK</t>
        </is>
      </c>
      <c r="K1681" s="20" t="inlineStr">
        <is>
          <t>Non-Captive</t>
        </is>
      </c>
      <c r="L1681" s="20" t="inlineStr">
        <is>
          <t>POPULAR MARUTI</t>
        </is>
      </c>
      <c r="M1681" s="23" t="n">
        <v>5932.2</v>
      </c>
    </row>
    <row r="1682">
      <c r="A1682" s="19" t="inlineStr">
        <is>
          <t>FY26</t>
        </is>
      </c>
      <c r="B1682" s="19" t="inlineStr">
        <is>
          <t>Feb</t>
        </is>
      </c>
      <c r="C1682" s="19" t="inlineStr">
        <is>
          <t>Kerala</t>
        </is>
      </c>
      <c r="D1682" s="20" t="inlineStr">
        <is>
          <t>KL01AQ9403</t>
        </is>
      </c>
      <c r="E1682" s="20" t="inlineStr">
        <is>
          <t>MARUTI SUZUKI</t>
        </is>
      </c>
      <c r="F1682" s="20" t="inlineStr">
        <is>
          <t>Wagon R</t>
        </is>
      </c>
      <c r="G1682" s="21" t="n"/>
      <c r="H1682" s="22" t="n">
        <v>96550</v>
      </c>
      <c r="I1682" s="22" t="n">
        <v>75000</v>
      </c>
      <c r="J1682" s="20" t="inlineStr">
        <is>
          <t>RAHUL</t>
        </is>
      </c>
      <c r="K1682" s="20" t="inlineStr">
        <is>
          <t>Non-Captive</t>
        </is>
      </c>
      <c r="L1682" s="20" t="inlineStr">
        <is>
          <t>POPULAR HYUNDAI</t>
        </is>
      </c>
      <c r="M1682" s="23" t="n">
        <v>5932.2</v>
      </c>
    </row>
    <row r="1683">
      <c r="A1683" s="19" t="inlineStr">
        <is>
          <t>FY26</t>
        </is>
      </c>
      <c r="B1683" s="19" t="inlineStr">
        <is>
          <t>Feb</t>
        </is>
      </c>
      <c r="C1683" s="19" t="inlineStr">
        <is>
          <t>Kerala</t>
        </is>
      </c>
      <c r="D1683" s="20" t="inlineStr">
        <is>
          <t>KL23B5200</t>
        </is>
      </c>
      <c r="E1683" s="20" t="inlineStr">
        <is>
          <t>MARUTI SUZUKI</t>
        </is>
      </c>
      <c r="F1683" s="20" t="inlineStr">
        <is>
          <t>Wagon R</t>
        </is>
      </c>
      <c r="G1683" s="21" t="n"/>
      <c r="H1683" s="22" t="n">
        <v>88000</v>
      </c>
      <c r="I1683" s="22" t="n">
        <v>120000</v>
      </c>
      <c r="J1683" s="20" t="inlineStr">
        <is>
          <t>MIDHUN</t>
        </is>
      </c>
      <c r="K1683" s="20" t="inlineStr">
        <is>
          <t>Non-Captive</t>
        </is>
      </c>
      <c r="L1683" s="20" t="inlineStr">
        <is>
          <t>INDUS MARUTI</t>
        </is>
      </c>
      <c r="M1683" s="23" t="n">
        <v>6779.66</v>
      </c>
    </row>
    <row r="1684">
      <c r="A1684" s="19" t="inlineStr">
        <is>
          <t>FY26</t>
        </is>
      </c>
      <c r="B1684" s="19" t="inlineStr">
        <is>
          <t>Feb</t>
        </is>
      </c>
      <c r="C1684" s="19" t="inlineStr">
        <is>
          <t>Kerala</t>
        </is>
      </c>
      <c r="D1684" s="20" t="inlineStr">
        <is>
          <t>KL41N2482</t>
        </is>
      </c>
      <c r="E1684" s="20" t="inlineStr">
        <is>
          <t>RENAULT</t>
        </is>
      </c>
      <c r="F1684" s="20" t="inlineStr">
        <is>
          <t>Kwid</t>
        </is>
      </c>
      <c r="G1684" s="21" t="n"/>
      <c r="H1684" s="22" t="n">
        <v>24443</v>
      </c>
      <c r="I1684" s="22" t="n">
        <v>210000</v>
      </c>
      <c r="J1684" s="20" t="inlineStr">
        <is>
          <t>NASSIMKUNJU</t>
        </is>
      </c>
      <c r="K1684" s="20" t="inlineStr">
        <is>
          <t>Non-Captive</t>
        </is>
      </c>
      <c r="L1684" s="20" t="inlineStr">
        <is>
          <t>MUTHOOT TATA</t>
        </is>
      </c>
      <c r="M1684" s="23" t="n">
        <v>5932.2</v>
      </c>
    </row>
    <row r="1685">
      <c r="A1685" s="19" t="inlineStr">
        <is>
          <t>FY26</t>
        </is>
      </c>
      <c r="B1685" s="19" t="inlineStr">
        <is>
          <t>Feb</t>
        </is>
      </c>
      <c r="C1685" s="19" t="inlineStr">
        <is>
          <t>Kerala</t>
        </is>
      </c>
      <c r="D1685" s="20" t="inlineStr">
        <is>
          <t>KL07BY4466</t>
        </is>
      </c>
      <c r="E1685" s="20" t="inlineStr">
        <is>
          <t>MARUTI SUZUKI</t>
        </is>
      </c>
      <c r="F1685" s="20" t="inlineStr">
        <is>
          <t>A-Star</t>
        </is>
      </c>
      <c r="G1685" s="21" t="n"/>
      <c r="H1685" s="22" t="n">
        <v>51806</v>
      </c>
      <c r="I1685" s="22" t="n">
        <v>165000</v>
      </c>
      <c r="J1685" s="20" t="inlineStr">
        <is>
          <t>JISHNU PRIYAN</t>
        </is>
      </c>
      <c r="K1685" s="20" t="inlineStr">
        <is>
          <t>Non-Captive</t>
        </is>
      </c>
      <c r="L1685" s="20" t="inlineStr">
        <is>
          <t>HUSSAIN O E</t>
        </is>
      </c>
      <c r="M1685" s="23" t="n">
        <v>8474.58</v>
      </c>
    </row>
    <row r="1686">
      <c r="A1686" s="19" t="inlineStr">
        <is>
          <t>FY26</t>
        </is>
      </c>
      <c r="B1686" s="19" t="inlineStr">
        <is>
          <t>Feb</t>
        </is>
      </c>
      <c r="C1686" s="19" t="inlineStr">
        <is>
          <t>Kerala</t>
        </is>
      </c>
      <c r="D1686" s="20" t="inlineStr">
        <is>
          <t>KL39R2947</t>
        </is>
      </c>
      <c r="E1686" s="20" t="inlineStr">
        <is>
          <t>TATA</t>
        </is>
      </c>
      <c r="F1686" s="20" t="inlineStr">
        <is>
          <t>Altroz</t>
        </is>
      </c>
      <c r="G1686" s="21" t="n"/>
      <c r="H1686" s="22" t="n">
        <v>85382</v>
      </c>
      <c r="I1686" s="22" t="n">
        <v>450000</v>
      </c>
      <c r="J1686" s="20" t="inlineStr">
        <is>
          <t>MAIJO MARUTI</t>
        </is>
      </c>
      <c r="K1686" s="20" t="inlineStr">
        <is>
          <t>Non-Captive</t>
        </is>
      </c>
      <c r="L1686" s="20" t="inlineStr">
        <is>
          <t>HUSSAIN O E</t>
        </is>
      </c>
      <c r="M1686" s="23" t="n">
        <v>8474.58</v>
      </c>
    </row>
    <row r="1687">
      <c r="A1687" s="19" t="inlineStr">
        <is>
          <t>FY26</t>
        </is>
      </c>
      <c r="B1687" s="19" t="inlineStr">
        <is>
          <t>Feb</t>
        </is>
      </c>
      <c r="C1687" s="19" t="inlineStr">
        <is>
          <t>Kerala</t>
        </is>
      </c>
      <c r="D1687" s="20" t="inlineStr">
        <is>
          <t>KL69C8969</t>
        </is>
      </c>
      <c r="E1687" s="20" t="inlineStr">
        <is>
          <t>TATA</t>
        </is>
      </c>
      <c r="F1687" s="20" t="inlineStr">
        <is>
          <t>Punch</t>
        </is>
      </c>
      <c r="G1687" s="21" t="n"/>
      <c r="H1687" s="22" t="n">
        <v>106900</v>
      </c>
      <c r="I1687" s="22" t="n">
        <v>350000</v>
      </c>
      <c r="J1687" s="20" t="inlineStr">
        <is>
          <t>JANI MOHAN</t>
        </is>
      </c>
      <c r="K1687" s="20" t="inlineStr">
        <is>
          <t>Non-Captive</t>
        </is>
      </c>
      <c r="L1687" s="20" t="inlineStr">
        <is>
          <t>MUHAMMAD SHAJI</t>
        </is>
      </c>
      <c r="M1687" s="23" t="n">
        <v>12711.86</v>
      </c>
    </row>
    <row r="1688">
      <c r="A1688" s="19" t="inlineStr">
        <is>
          <t>FY26</t>
        </is>
      </c>
      <c r="B1688" s="19" t="inlineStr">
        <is>
          <t>Feb</t>
        </is>
      </c>
      <c r="C1688" s="19" t="inlineStr">
        <is>
          <t>Kerala</t>
        </is>
      </c>
      <c r="D1688" s="20" t="inlineStr">
        <is>
          <t>KL64G8616</t>
        </is>
      </c>
      <c r="E1688" s="20" t="inlineStr">
        <is>
          <t>MARUTI SUZUKI</t>
        </is>
      </c>
      <c r="F1688" s="20" t="inlineStr">
        <is>
          <t>Swift</t>
        </is>
      </c>
      <c r="G1688" s="21" t="n"/>
      <c r="H1688" s="22" t="n">
        <v>77315</v>
      </c>
      <c r="I1688" s="22" t="n">
        <v>425000</v>
      </c>
      <c r="J1688" s="20" t="inlineStr">
        <is>
          <t>INCHEON KIA</t>
        </is>
      </c>
      <c r="K1688" s="20" t="inlineStr">
        <is>
          <t>Non-Captive</t>
        </is>
      </c>
      <c r="L1688" s="20" t="inlineStr">
        <is>
          <t>AITOS CARS</t>
        </is>
      </c>
      <c r="M1688" s="23" t="n">
        <v>8474.58</v>
      </c>
    </row>
    <row r="1689">
      <c r="A1689" s="19" t="inlineStr">
        <is>
          <t>FY26</t>
        </is>
      </c>
      <c r="B1689" s="19" t="inlineStr">
        <is>
          <t>Feb</t>
        </is>
      </c>
      <c r="C1689" s="19" t="inlineStr">
        <is>
          <t>Kerala</t>
        </is>
      </c>
      <c r="D1689" s="20" t="inlineStr">
        <is>
          <t>KL39T7329</t>
        </is>
      </c>
      <c r="E1689" s="20" t="inlineStr">
        <is>
          <t>MARUTI SUZUKI</t>
        </is>
      </c>
      <c r="F1689" s="20" t="inlineStr">
        <is>
          <t>Wagon R</t>
        </is>
      </c>
      <c r="G1689" s="21" t="n"/>
      <c r="H1689" s="22" t="n">
        <v>40000</v>
      </c>
      <c r="I1689" s="22" t="n">
        <v>395000</v>
      </c>
      <c r="J1689" s="20" t="inlineStr">
        <is>
          <t>EVM CITROEN</t>
        </is>
      </c>
      <c r="K1689" s="20" t="inlineStr">
        <is>
          <t>Non-Captive</t>
        </is>
      </c>
      <c r="L1689" s="20" t="inlineStr">
        <is>
          <t>RAFEEK T A</t>
        </is>
      </c>
      <c r="M1689" s="23" t="n">
        <v>8474.58</v>
      </c>
    </row>
    <row r="1690">
      <c r="A1690" s="19" t="inlineStr">
        <is>
          <t>FY26</t>
        </is>
      </c>
      <c r="B1690" s="19" t="inlineStr">
        <is>
          <t>Feb</t>
        </is>
      </c>
      <c r="C1690" s="19" t="inlineStr">
        <is>
          <t>Kerala</t>
        </is>
      </c>
      <c r="D1690" s="20" t="inlineStr">
        <is>
          <t>KL07CZ2831</t>
        </is>
      </c>
      <c r="E1690" s="20" t="inlineStr">
        <is>
          <t>MAHINDRA</t>
        </is>
      </c>
      <c r="F1690" s="20" t="inlineStr">
        <is>
          <t>Furio 7</t>
        </is>
      </c>
      <c r="G1690" s="21" t="n"/>
      <c r="H1690" s="22" t="n">
        <v>40000</v>
      </c>
      <c r="I1690" s="22" t="n">
        <v>570000</v>
      </c>
      <c r="J1690" s="20" t="inlineStr">
        <is>
          <t>MTBL</t>
        </is>
      </c>
      <c r="K1690" s="20" t="inlineStr">
        <is>
          <t>Non-Captive</t>
        </is>
      </c>
      <c r="L1690" s="20" t="inlineStr">
        <is>
          <t>ALI,HAPPY DRIVE</t>
        </is>
      </c>
      <c r="M1690" s="23" t="n">
        <v>8474.58</v>
      </c>
    </row>
    <row r="1691">
      <c r="A1691" s="19" t="inlineStr">
        <is>
          <t>FY26</t>
        </is>
      </c>
      <c r="B1691" s="19" t="inlineStr">
        <is>
          <t>Feb</t>
        </is>
      </c>
      <c r="C1691" s="19" t="inlineStr">
        <is>
          <t>Kerala</t>
        </is>
      </c>
      <c r="D1691" s="20" t="inlineStr">
        <is>
          <t>KL07CZ2167</t>
        </is>
      </c>
      <c r="E1691" s="20" t="inlineStr">
        <is>
          <t>MAHINDRA</t>
        </is>
      </c>
      <c r="F1691" s="20" t="inlineStr">
        <is>
          <t>Furio 7</t>
        </is>
      </c>
      <c r="G1691" s="21" t="n"/>
      <c r="H1691" s="22" t="n">
        <v>20000</v>
      </c>
      <c r="I1691" s="22" t="n">
        <v>510000</v>
      </c>
      <c r="J1691" s="20" t="inlineStr">
        <is>
          <t>MTBL</t>
        </is>
      </c>
      <c r="K1691" s="20" t="inlineStr">
        <is>
          <t>Non-Captive</t>
        </is>
      </c>
      <c r="L1691" s="20" t="inlineStr">
        <is>
          <t>ALI,HAPPY DRIVE</t>
        </is>
      </c>
      <c r="M1691" s="23" t="n">
        <v>8474.58</v>
      </c>
    </row>
    <row r="1692">
      <c r="A1692" s="19" t="inlineStr">
        <is>
          <t>FY26</t>
        </is>
      </c>
      <c r="B1692" s="19" t="inlineStr">
        <is>
          <t>Feb</t>
        </is>
      </c>
      <c r="C1692" s="19" t="inlineStr">
        <is>
          <t>Kerala</t>
        </is>
      </c>
      <c r="D1692" s="20" t="inlineStr">
        <is>
          <t>KL07CX7784</t>
        </is>
      </c>
      <c r="E1692" s="20" t="inlineStr">
        <is>
          <t>MAHINDRA</t>
        </is>
      </c>
      <c r="F1692" s="20" t="inlineStr">
        <is>
          <t>Furio 11</t>
        </is>
      </c>
      <c r="G1692" s="21" t="n"/>
      <c r="H1692" s="22" t="n">
        <v>42000</v>
      </c>
      <c r="I1692" s="22" t="n">
        <v>600000</v>
      </c>
      <c r="J1692" s="20" t="inlineStr">
        <is>
          <t>MTBL</t>
        </is>
      </c>
      <c r="K1692" s="20" t="inlineStr">
        <is>
          <t>Non-Captive</t>
        </is>
      </c>
      <c r="L1692" s="20" t="inlineStr">
        <is>
          <t>ALI,HAPPY DRIVE</t>
        </is>
      </c>
      <c r="M1692" s="23" t="n">
        <v>8474.58</v>
      </c>
    </row>
    <row r="1693">
      <c r="A1693" s="19" t="inlineStr">
        <is>
          <t>FY26</t>
        </is>
      </c>
      <c r="B1693" s="19" t="inlineStr">
        <is>
          <t>Feb</t>
        </is>
      </c>
      <c r="C1693" s="19" t="inlineStr">
        <is>
          <t>Kerala</t>
        </is>
      </c>
      <c r="D1693" s="20" t="inlineStr">
        <is>
          <t>KL855843</t>
        </is>
      </c>
      <c r="E1693" s="20" t="inlineStr">
        <is>
          <t>KIA</t>
        </is>
      </c>
      <c r="F1693" s="20" t="inlineStr">
        <is>
          <t>Sonnet</t>
        </is>
      </c>
      <c r="G1693" s="21" t="n"/>
      <c r="H1693" s="22" t="n">
        <v>98000</v>
      </c>
      <c r="I1693" s="22" t="n">
        <v>660000</v>
      </c>
      <c r="J1693" s="20" t="inlineStr">
        <is>
          <t>ABBAS</t>
        </is>
      </c>
      <c r="K1693" s="20" t="inlineStr">
        <is>
          <t>Non-Captive</t>
        </is>
      </c>
      <c r="L1693" s="20" t="inlineStr">
        <is>
          <t>DKH KIA</t>
        </is>
      </c>
      <c r="M1693" s="23" t="n">
        <v>4237.29</v>
      </c>
    </row>
    <row r="1694">
      <c r="A1694" s="19" t="inlineStr">
        <is>
          <t>FY26</t>
        </is>
      </c>
      <c r="B1694" s="19" t="inlineStr">
        <is>
          <t>Feb</t>
        </is>
      </c>
      <c r="C1694" s="19" t="inlineStr">
        <is>
          <t>Kerala</t>
        </is>
      </c>
      <c r="D1694" s="20" t="inlineStr">
        <is>
          <t>KL17Q8093</t>
        </is>
      </c>
      <c r="E1694" s="20" t="inlineStr">
        <is>
          <t>MAHINDRA</t>
        </is>
      </c>
      <c r="F1694" s="20" t="inlineStr">
        <is>
          <t>Kuv100</t>
        </is>
      </c>
      <c r="G1694" s="21" t="n"/>
      <c r="H1694" s="22" t="n">
        <v>86000</v>
      </c>
      <c r="I1694" s="22" t="n">
        <v>220000</v>
      </c>
      <c r="J1694" s="20" t="inlineStr">
        <is>
          <t>ABBAS</t>
        </is>
      </c>
      <c r="K1694" s="20" t="inlineStr">
        <is>
          <t>Non-Captive</t>
        </is>
      </c>
      <c r="L1694" s="20" t="inlineStr">
        <is>
          <t>SANTHOSH</t>
        </is>
      </c>
      <c r="M1694" s="23" t="n">
        <v>6355.93</v>
      </c>
    </row>
    <row r="1695">
      <c r="A1695" s="19" t="inlineStr">
        <is>
          <t>FY26</t>
        </is>
      </c>
      <c r="B1695" s="19" t="inlineStr">
        <is>
          <t>Feb</t>
        </is>
      </c>
      <c r="C1695" s="19" t="inlineStr">
        <is>
          <t>Kerala</t>
        </is>
      </c>
      <c r="D1695" s="20" t="inlineStr">
        <is>
          <t>KL72C6764</t>
        </is>
      </c>
      <c r="E1695" s="20" t="inlineStr">
        <is>
          <t>TATA</t>
        </is>
      </c>
      <c r="F1695" s="20" t="inlineStr">
        <is>
          <t>Tiago</t>
        </is>
      </c>
      <c r="G1695" s="21" t="n"/>
      <c r="H1695" s="22" t="n">
        <v>50000</v>
      </c>
      <c r="I1695" s="22" t="n">
        <v>400000</v>
      </c>
      <c r="J1695" s="20" t="inlineStr">
        <is>
          <t>ABBAS</t>
        </is>
      </c>
      <c r="K1695" s="20" t="inlineStr">
        <is>
          <t>Non-Captive</t>
        </is>
      </c>
      <c r="L1695" s="20" t="inlineStr">
        <is>
          <t>EVM SKODA</t>
        </is>
      </c>
      <c r="M1695" s="23" t="n">
        <v>6355.93</v>
      </c>
    </row>
    <row r="1696">
      <c r="A1696" s="19" t="inlineStr">
        <is>
          <t>FY26</t>
        </is>
      </c>
      <c r="B1696" s="19" t="inlineStr">
        <is>
          <t>Feb</t>
        </is>
      </c>
      <c r="C1696" s="19" t="inlineStr">
        <is>
          <t>Kerala</t>
        </is>
      </c>
      <c r="D1696" s="20" t="inlineStr">
        <is>
          <t>KL71D8517</t>
        </is>
      </c>
      <c r="E1696" s="20" t="inlineStr">
        <is>
          <t>HYUNDAI</t>
        </is>
      </c>
      <c r="F1696" s="20" t="inlineStr">
        <is>
          <t>Creta</t>
        </is>
      </c>
      <c r="G1696" s="21" t="n"/>
      <c r="H1696" s="22" t="n">
        <v>110000</v>
      </c>
      <c r="I1696" s="22" t="n">
        <v>655000</v>
      </c>
      <c r="J1696" s="20" t="inlineStr">
        <is>
          <t>CAPS</t>
        </is>
      </c>
      <c r="K1696" s="20" t="inlineStr">
        <is>
          <t>Non-Captive</t>
        </is>
      </c>
      <c r="L1696" s="20" t="inlineStr">
        <is>
          <t>CLASSIC HYUNDAI</t>
        </is>
      </c>
      <c r="M1696" s="23" t="n">
        <v>4237.29</v>
      </c>
    </row>
    <row r="1697">
      <c r="A1697" s="19" t="inlineStr">
        <is>
          <t>FY26</t>
        </is>
      </c>
      <c r="B1697" s="19" t="inlineStr">
        <is>
          <t>Feb</t>
        </is>
      </c>
      <c r="C1697" s="19" t="inlineStr">
        <is>
          <t>Kerala</t>
        </is>
      </c>
      <c r="D1697" s="20" t="inlineStr">
        <is>
          <t>KL60M8073</t>
        </is>
      </c>
      <c r="E1697" s="20" t="inlineStr">
        <is>
          <t>MARUTI SUZUKI</t>
        </is>
      </c>
      <c r="F1697" s="20" t="inlineStr">
        <is>
          <t>Alto</t>
        </is>
      </c>
      <c r="G1697" s="21" t="n"/>
      <c r="H1697" s="22" t="n">
        <v>57000</v>
      </c>
      <c r="I1697" s="22" t="n">
        <v>220000</v>
      </c>
      <c r="J1697" s="20" t="inlineStr">
        <is>
          <t>NOUSHAD</t>
        </is>
      </c>
      <c r="K1697" s="20" t="inlineStr">
        <is>
          <t>Non-Captive</t>
        </is>
      </c>
      <c r="L1697" s="20" t="inlineStr">
        <is>
          <t>KPD UCD</t>
        </is>
      </c>
      <c r="M1697" s="23" t="n">
        <v>6355.93</v>
      </c>
    </row>
    <row r="1698">
      <c r="A1698" s="19" t="inlineStr">
        <is>
          <t>FY26</t>
        </is>
      </c>
      <c r="B1698" s="19" t="inlineStr">
        <is>
          <t>Feb</t>
        </is>
      </c>
      <c r="C1698" s="19" t="inlineStr">
        <is>
          <t>Kerala</t>
        </is>
      </c>
      <c r="D1698" s="20" t="inlineStr">
        <is>
          <t>KL22L8780</t>
        </is>
      </c>
      <c r="E1698" s="20" t="inlineStr">
        <is>
          <t>MARUTI SUZUKI</t>
        </is>
      </c>
      <c r="F1698" s="20" t="inlineStr">
        <is>
          <t>Celerio</t>
        </is>
      </c>
      <c r="G1698" s="21" t="n"/>
      <c r="H1698" s="22" t="n">
        <v>84000</v>
      </c>
      <c r="I1698" s="22" t="n">
        <v>250000</v>
      </c>
      <c r="J1698" s="20" t="inlineStr">
        <is>
          <t>RAHUL</t>
        </is>
      </c>
      <c r="K1698" s="20" t="inlineStr">
        <is>
          <t>Non-Captive</t>
        </is>
      </c>
      <c r="L1698" s="20" t="inlineStr">
        <is>
          <t>TRIVANDRUM MOTORS</t>
        </is>
      </c>
      <c r="M1698" s="23" t="n">
        <v>5932.2</v>
      </c>
    </row>
    <row r="1699">
      <c r="A1699" s="19" t="inlineStr">
        <is>
          <t>FY26</t>
        </is>
      </c>
      <c r="B1699" s="19" t="inlineStr">
        <is>
          <t>Feb</t>
        </is>
      </c>
      <c r="C1699" s="19" t="inlineStr">
        <is>
          <t>Kerala</t>
        </is>
      </c>
      <c r="D1699" s="20" t="inlineStr">
        <is>
          <t>KL21G2143</t>
        </is>
      </c>
      <c r="E1699" s="20" t="inlineStr">
        <is>
          <t>VOLKSWAGEN</t>
        </is>
      </c>
      <c r="F1699" s="20" t="inlineStr">
        <is>
          <t>Polo</t>
        </is>
      </c>
      <c r="G1699" s="21" t="n"/>
      <c r="H1699" s="22" t="n">
        <v>91000</v>
      </c>
      <c r="I1699" s="22" t="n">
        <v>170000</v>
      </c>
      <c r="J1699" s="20" t="inlineStr">
        <is>
          <t>AKHILNATH</t>
        </is>
      </c>
      <c r="K1699" s="20" t="inlineStr">
        <is>
          <t>Non-Captive</t>
        </is>
      </c>
      <c r="L1699" s="20" t="inlineStr">
        <is>
          <t>INDUS MARUTI</t>
        </is>
      </c>
      <c r="M1699" s="23" t="n">
        <v>6779.66</v>
      </c>
    </row>
    <row r="1700">
      <c r="A1700" s="19" t="inlineStr">
        <is>
          <t>FY26</t>
        </is>
      </c>
      <c r="B1700" s="19" t="inlineStr">
        <is>
          <t>Feb</t>
        </is>
      </c>
      <c r="C1700" s="19" t="inlineStr">
        <is>
          <t>Kerala</t>
        </is>
      </c>
      <c r="D1700" s="20" t="inlineStr">
        <is>
          <t>KL58N8181</t>
        </is>
      </c>
      <c r="E1700" s="20" t="inlineStr">
        <is>
          <t>HYUNDAI</t>
        </is>
      </c>
      <c r="F1700" s="20" t="inlineStr">
        <is>
          <t>Tucson</t>
        </is>
      </c>
      <c r="G1700" s="21" t="n"/>
      <c r="H1700" s="22" t="n">
        <v>24000</v>
      </c>
      <c r="I1700" s="22" t="n">
        <v>980000</v>
      </c>
      <c r="J1700" s="20" t="inlineStr">
        <is>
          <t>HISHAM</t>
        </is>
      </c>
      <c r="K1700" s="20" t="inlineStr">
        <is>
          <t>Non-Captive</t>
        </is>
      </c>
      <c r="L1700" s="20" t="inlineStr">
        <is>
          <t>UCD KPD</t>
        </is>
      </c>
      <c r="M1700" s="23" t="n">
        <v>12711.86</v>
      </c>
    </row>
    <row r="1701">
      <c r="A1701" s="19" t="inlineStr">
        <is>
          <t>FY26</t>
        </is>
      </c>
      <c r="B1701" s="19" t="inlineStr">
        <is>
          <t>Feb</t>
        </is>
      </c>
      <c r="C1701" s="19" t="inlineStr">
        <is>
          <t>Kerala</t>
        </is>
      </c>
      <c r="D1701" s="20" t="inlineStr">
        <is>
          <t>KL13AC3041</t>
        </is>
      </c>
      <c r="E1701" s="20" t="inlineStr">
        <is>
          <t>HYUNDAI</t>
        </is>
      </c>
      <c r="F1701" s="20" t="inlineStr">
        <is>
          <t>I10</t>
        </is>
      </c>
      <c r="G1701" s="21" t="n"/>
      <c r="H1701" s="22" t="n">
        <v>84000</v>
      </c>
      <c r="I1701" s="22" t="n">
        <v>250000</v>
      </c>
      <c r="J1701" s="20" t="inlineStr">
        <is>
          <t>VIJIL MARVEL CARS</t>
        </is>
      </c>
      <c r="K1701" s="20" t="inlineStr">
        <is>
          <t>Non-Captive</t>
        </is>
      </c>
      <c r="L1701" s="20" t="inlineStr">
        <is>
          <t>APCO HYUNDAI</t>
        </is>
      </c>
      <c r="M1701" s="23" t="n">
        <v>4237.29</v>
      </c>
    </row>
    <row r="1702">
      <c r="A1702" s="19" t="inlineStr">
        <is>
          <t>FY26</t>
        </is>
      </c>
      <c r="B1702" s="19" t="inlineStr">
        <is>
          <t>Feb</t>
        </is>
      </c>
      <c r="C1702" s="19" t="inlineStr">
        <is>
          <t>Kerala</t>
        </is>
      </c>
      <c r="D1702" s="20" t="inlineStr">
        <is>
          <t>KL35K7695</t>
        </is>
      </c>
      <c r="E1702" s="20" t="inlineStr">
        <is>
          <t>FORD</t>
        </is>
      </c>
      <c r="F1702" s="20" t="inlineStr">
        <is>
          <t>Ecosport</t>
        </is>
      </c>
      <c r="G1702" s="21" t="n"/>
      <c r="H1702" s="22" t="n">
        <v>87000</v>
      </c>
      <c r="I1702" s="22" t="n">
        <v>625000</v>
      </c>
      <c r="J1702" s="20" t="inlineStr">
        <is>
          <t>KESHVIN HYUNDAI</t>
        </is>
      </c>
      <c r="K1702" s="20" t="inlineStr">
        <is>
          <t>Non-Captive</t>
        </is>
      </c>
      <c r="L1702" s="20" t="inlineStr">
        <is>
          <t>HUSSAIN O E</t>
        </is>
      </c>
      <c r="M1702" s="23" t="n">
        <v>8474.58</v>
      </c>
    </row>
    <row r="1703">
      <c r="A1703" s="19" t="inlineStr">
        <is>
          <t>FY26</t>
        </is>
      </c>
      <c r="B1703" s="19" t="inlineStr">
        <is>
          <t>Feb</t>
        </is>
      </c>
      <c r="C1703" s="19" t="inlineStr">
        <is>
          <t>Kerala</t>
        </is>
      </c>
      <c r="D1703" s="20" t="inlineStr">
        <is>
          <t>KL48F4554</t>
        </is>
      </c>
      <c r="E1703" s="20" t="inlineStr">
        <is>
          <t>SKODA</t>
        </is>
      </c>
      <c r="F1703" s="20" t="inlineStr">
        <is>
          <t>Rapid</t>
        </is>
      </c>
      <c r="G1703" s="21" t="n"/>
      <c r="H1703" s="22" t="n">
        <v>76666</v>
      </c>
      <c r="I1703" s="22" t="n">
        <v>185000</v>
      </c>
      <c r="J1703" s="20" t="inlineStr">
        <is>
          <t>EVM SKODA</t>
        </is>
      </c>
      <c r="K1703" s="20" t="inlineStr">
        <is>
          <t>Non-Captive</t>
        </is>
      </c>
      <c r="L1703" s="20" t="inlineStr">
        <is>
          <t>MUHAMMAD SHAJI</t>
        </is>
      </c>
      <c r="M1703" s="23" t="n">
        <v>12711.86</v>
      </c>
    </row>
    <row r="1704">
      <c r="A1704" s="19" t="inlineStr">
        <is>
          <t>FY26</t>
        </is>
      </c>
      <c r="B1704" s="19" t="inlineStr">
        <is>
          <t>Feb</t>
        </is>
      </c>
      <c r="C1704" s="19" t="inlineStr">
        <is>
          <t>Kerala</t>
        </is>
      </c>
      <c r="D1704" s="20" t="inlineStr">
        <is>
          <t>KL45V3467</t>
        </is>
      </c>
      <c r="E1704" s="20" t="inlineStr">
        <is>
          <t>MARUTI SUZUKI</t>
        </is>
      </c>
      <c r="F1704" s="20" t="inlineStr">
        <is>
          <t>Swift</t>
        </is>
      </c>
      <c r="G1704" s="21" t="n"/>
      <c r="H1704" s="22" t="n">
        <v>37000</v>
      </c>
      <c r="I1704" s="22" t="n">
        <v>490000</v>
      </c>
      <c r="J1704" s="20" t="inlineStr">
        <is>
          <t>POPULAR MARUTI</t>
        </is>
      </c>
      <c r="K1704" s="20" t="inlineStr">
        <is>
          <t>Non-Captive</t>
        </is>
      </c>
      <c r="L1704" s="20" t="inlineStr">
        <is>
          <t>AITOS CARS</t>
        </is>
      </c>
      <c r="M1704" s="23" t="n">
        <v>8474.58</v>
      </c>
    </row>
    <row r="1705">
      <c r="A1705" s="19" t="inlineStr">
        <is>
          <t>FY26</t>
        </is>
      </c>
      <c r="B1705" s="19" t="inlineStr">
        <is>
          <t>Feb</t>
        </is>
      </c>
      <c r="C1705" s="19" t="inlineStr">
        <is>
          <t>Kerala</t>
        </is>
      </c>
      <c r="D1705" s="20" t="inlineStr">
        <is>
          <t>KL08BR0302</t>
        </is>
      </c>
      <c r="E1705" s="20" t="inlineStr">
        <is>
          <t>NISSAN</t>
        </is>
      </c>
      <c r="F1705" s="20" t="inlineStr">
        <is>
          <t>Redi-Go</t>
        </is>
      </c>
      <c r="G1705" s="21" t="n"/>
      <c r="H1705" s="22" t="n">
        <v>65326</v>
      </c>
      <c r="I1705" s="22" t="n">
        <v>117500</v>
      </c>
      <c r="J1705" s="20" t="inlineStr">
        <is>
          <t>EVM CITROEN</t>
        </is>
      </c>
      <c r="K1705" s="20" t="inlineStr">
        <is>
          <t>Non-Captive</t>
        </is>
      </c>
      <c r="L1705" s="20" t="inlineStr">
        <is>
          <t>AITOS CARS</t>
        </is>
      </c>
      <c r="M1705" s="23" t="n">
        <v>6355.93</v>
      </c>
    </row>
    <row r="1706">
      <c r="A1706" s="19" t="inlineStr">
        <is>
          <t>FY26</t>
        </is>
      </c>
      <c r="B1706" s="19" t="inlineStr">
        <is>
          <t>Feb</t>
        </is>
      </c>
      <c r="C1706" s="19" t="inlineStr">
        <is>
          <t>Kerala</t>
        </is>
      </c>
      <c r="D1706" s="20" t="inlineStr">
        <is>
          <t>KL05T8953</t>
        </is>
      </c>
      <c r="E1706" s="20" t="inlineStr">
        <is>
          <t>MARUTI SUZUKI</t>
        </is>
      </c>
      <c r="F1706" s="20" t="inlineStr">
        <is>
          <t>Alto</t>
        </is>
      </c>
      <c r="G1706" s="21" t="n"/>
      <c r="H1706" s="22" t="n">
        <v>78689</v>
      </c>
      <c r="I1706" s="22" t="n">
        <v>66000</v>
      </c>
      <c r="J1706" s="20" t="inlineStr">
        <is>
          <t>MUHAMMAD SHAJI</t>
        </is>
      </c>
      <c r="K1706" s="20" t="inlineStr">
        <is>
          <t>Non-Captive</t>
        </is>
      </c>
      <c r="L1706" s="20" t="inlineStr">
        <is>
          <t>ANAS VH</t>
        </is>
      </c>
      <c r="M1706" s="23" t="n">
        <v>5932.2</v>
      </c>
    </row>
    <row r="1707">
      <c r="A1707" s="19" t="inlineStr">
        <is>
          <t>FY26</t>
        </is>
      </c>
      <c r="B1707" s="19" t="inlineStr">
        <is>
          <t>Feb</t>
        </is>
      </c>
      <c r="C1707" s="19" t="inlineStr">
        <is>
          <t>Kerala</t>
        </is>
      </c>
      <c r="D1707" s="20" t="inlineStr">
        <is>
          <t>KL25L0066</t>
        </is>
      </c>
      <c r="E1707" s="20" t="inlineStr">
        <is>
          <t>MARUTI SUZUKI</t>
        </is>
      </c>
      <c r="F1707" s="20" t="inlineStr">
        <is>
          <t>Baleno</t>
        </is>
      </c>
      <c r="G1707" s="21" t="n"/>
      <c r="H1707" s="22" t="n">
        <v>119591</v>
      </c>
      <c r="I1707" s="22" t="n">
        <v>395000</v>
      </c>
      <c r="J1707" s="20" t="inlineStr">
        <is>
          <t>POPULAR MARUTI</t>
        </is>
      </c>
      <c r="K1707" s="20" t="inlineStr">
        <is>
          <t>Non-Captive</t>
        </is>
      </c>
      <c r="L1707" s="20" t="inlineStr">
        <is>
          <t>RAFEEK T A</t>
        </is>
      </c>
      <c r="M1707" s="23" t="n">
        <v>8474.58</v>
      </c>
    </row>
    <row r="1708">
      <c r="A1708" s="19" t="inlineStr">
        <is>
          <t>FY26</t>
        </is>
      </c>
      <c r="B1708" s="19" t="inlineStr">
        <is>
          <t>Feb</t>
        </is>
      </c>
      <c r="C1708" s="19" t="inlineStr">
        <is>
          <t>Kerala</t>
        </is>
      </c>
      <c r="D1708" s="20" t="inlineStr">
        <is>
          <t>KL22L4890</t>
        </is>
      </c>
      <c r="E1708" s="20" t="inlineStr">
        <is>
          <t>TATA</t>
        </is>
      </c>
      <c r="F1708" s="20" t="inlineStr">
        <is>
          <t>Tiago</t>
        </is>
      </c>
      <c r="G1708" s="21" t="n"/>
      <c r="H1708" s="22" t="n">
        <v>20872</v>
      </c>
      <c r="I1708" s="22" t="n">
        <v>310000</v>
      </c>
      <c r="J1708" s="20" t="inlineStr">
        <is>
          <t>EVM CITROEN</t>
        </is>
      </c>
      <c r="K1708" s="20" t="inlineStr">
        <is>
          <t>Non-Captive</t>
        </is>
      </c>
      <c r="L1708" s="20" t="inlineStr">
        <is>
          <t>VTJ</t>
        </is>
      </c>
      <c r="M1708" s="23" t="n">
        <v>8474.58</v>
      </c>
    </row>
    <row r="1709">
      <c r="A1709" s="19" t="inlineStr">
        <is>
          <t>FY26</t>
        </is>
      </c>
      <c r="B1709" s="19" t="inlineStr">
        <is>
          <t>Feb</t>
        </is>
      </c>
      <c r="C1709" s="19" t="inlineStr">
        <is>
          <t>Kerala</t>
        </is>
      </c>
      <c r="D1709" s="20" t="inlineStr">
        <is>
          <t>KL33P1680</t>
        </is>
      </c>
      <c r="E1709" s="20" t="inlineStr">
        <is>
          <t>TATA</t>
        </is>
      </c>
      <c r="F1709" s="20" t="inlineStr">
        <is>
          <t>Triber</t>
        </is>
      </c>
      <c r="G1709" s="21" t="n"/>
      <c r="H1709" s="22" t="n">
        <v>17500</v>
      </c>
      <c r="I1709" s="22" t="n">
        <v>490000</v>
      </c>
      <c r="J1709" s="20" t="inlineStr">
        <is>
          <t>EVM SKODA</t>
        </is>
      </c>
      <c r="K1709" s="20" t="inlineStr">
        <is>
          <t>Non-Captive</t>
        </is>
      </c>
      <c r="L1709" s="20" t="inlineStr">
        <is>
          <t>AITOS CARS</t>
        </is>
      </c>
      <c r="M1709" s="23" t="n">
        <v>8474.58</v>
      </c>
    </row>
    <row r="1710">
      <c r="A1710" s="19" t="inlineStr">
        <is>
          <t>FY26</t>
        </is>
      </c>
      <c r="B1710" s="19" t="inlineStr">
        <is>
          <t>Feb</t>
        </is>
      </c>
      <c r="C1710" s="19" t="inlineStr">
        <is>
          <t>Kerala</t>
        </is>
      </c>
      <c r="D1710" s="20" t="inlineStr">
        <is>
          <t>KL38F7287</t>
        </is>
      </c>
      <c r="E1710" s="20" t="inlineStr">
        <is>
          <t>RENAULT</t>
        </is>
      </c>
      <c r="F1710" s="20" t="inlineStr">
        <is>
          <t>Kwid</t>
        </is>
      </c>
      <c r="G1710" s="21" t="n"/>
      <c r="H1710" s="22" t="n">
        <v>48353</v>
      </c>
      <c r="I1710" s="22" t="n">
        <v>237500</v>
      </c>
      <c r="J1710" s="20" t="inlineStr">
        <is>
          <t>GOKULAM TATA</t>
        </is>
      </c>
      <c r="K1710" s="20" t="inlineStr">
        <is>
          <t>Non-Captive</t>
        </is>
      </c>
      <c r="L1710" s="20" t="inlineStr">
        <is>
          <t>MANOJ</t>
        </is>
      </c>
      <c r="M1710" s="23" t="n">
        <v>6355.93</v>
      </c>
    </row>
    <row r="1711">
      <c r="A1711" s="19" t="inlineStr">
        <is>
          <t>FY26</t>
        </is>
      </c>
      <c r="B1711" s="19" t="inlineStr">
        <is>
          <t>Feb</t>
        </is>
      </c>
      <c r="C1711" s="19" t="inlineStr">
        <is>
          <t>Kerala</t>
        </is>
      </c>
      <c r="D1711" s="20" t="inlineStr">
        <is>
          <t>KL07CD8020</t>
        </is>
      </c>
      <c r="E1711" s="20" t="inlineStr">
        <is>
          <t>RENAULT</t>
        </is>
      </c>
      <c r="F1711" s="20" t="inlineStr">
        <is>
          <t>Duster</t>
        </is>
      </c>
      <c r="G1711" s="21" t="n"/>
      <c r="H1711" s="22" t="n">
        <v>86444</v>
      </c>
      <c r="I1711" s="22" t="n">
        <v>100000</v>
      </c>
      <c r="J1711" s="20" t="inlineStr">
        <is>
          <t>JISHNU PRIYAN</t>
        </is>
      </c>
      <c r="K1711" s="20" t="inlineStr">
        <is>
          <t>Non-Captive</t>
        </is>
      </c>
      <c r="L1711" s="20" t="inlineStr">
        <is>
          <t>HUSSAIN O E</t>
        </is>
      </c>
      <c r="M1711" s="23" t="n">
        <v>8474.58</v>
      </c>
    </row>
    <row r="1712">
      <c r="A1712" s="19" t="inlineStr">
        <is>
          <t>FY26</t>
        </is>
      </c>
      <c r="B1712" s="19" t="inlineStr">
        <is>
          <t>Feb</t>
        </is>
      </c>
      <c r="C1712" s="19" t="inlineStr">
        <is>
          <t>Kerala</t>
        </is>
      </c>
      <c r="D1712" s="20" t="inlineStr">
        <is>
          <t>KL55A8792</t>
        </is>
      </c>
      <c r="E1712" s="20" t="inlineStr">
        <is>
          <t>TOYOTA</t>
        </is>
      </c>
      <c r="F1712" s="20" t="inlineStr">
        <is>
          <t>Innova</t>
        </is>
      </c>
      <c r="G1712" s="21" t="n"/>
      <c r="H1712" s="22" t="n">
        <v>345768</v>
      </c>
      <c r="I1712" s="22" t="n">
        <v>325000</v>
      </c>
      <c r="J1712" s="20" t="inlineStr">
        <is>
          <t>MUHAMMAD SHAJI</t>
        </is>
      </c>
      <c r="K1712" s="20" t="inlineStr">
        <is>
          <t>Non-Captive</t>
        </is>
      </c>
      <c r="L1712" s="20" t="inlineStr">
        <is>
          <t>ANAS VH</t>
        </is>
      </c>
      <c r="M1712" s="23" t="n">
        <v>8474.58</v>
      </c>
    </row>
    <row r="1713">
      <c r="A1713" s="19" t="inlineStr">
        <is>
          <t>FY26</t>
        </is>
      </c>
      <c r="B1713" s="19" t="inlineStr">
        <is>
          <t>Feb</t>
        </is>
      </c>
      <c r="C1713" s="19" t="inlineStr">
        <is>
          <t>Kerala</t>
        </is>
      </c>
      <c r="D1713" s="20" t="inlineStr">
        <is>
          <t>KL389473</t>
        </is>
      </c>
      <c r="E1713" s="20" t="inlineStr">
        <is>
          <t>HYUNDAI</t>
        </is>
      </c>
      <c r="F1713" s="20" t="inlineStr">
        <is>
          <t>Santro</t>
        </is>
      </c>
      <c r="G1713" s="21" t="n"/>
      <c r="H1713" s="22" t="n">
        <v>116000</v>
      </c>
      <c r="I1713" s="22" t="n">
        <v>89000</v>
      </c>
      <c r="J1713" s="20" t="inlineStr">
        <is>
          <t>TINU P SOMAN</t>
        </is>
      </c>
      <c r="K1713" s="20" t="inlineStr">
        <is>
          <t>Non-Captive</t>
        </is>
      </c>
      <c r="L1713" s="20" t="inlineStr">
        <is>
          <t>SUDHEESH K SATHYAN</t>
        </is>
      </c>
      <c r="M1713" s="23" t="n">
        <v>8474.58</v>
      </c>
    </row>
    <row r="1714">
      <c r="A1714" s="19" t="inlineStr">
        <is>
          <t>FY26</t>
        </is>
      </c>
      <c r="B1714" s="19" t="inlineStr">
        <is>
          <t>Feb</t>
        </is>
      </c>
      <c r="C1714" s="19" t="inlineStr">
        <is>
          <t>Kerala</t>
        </is>
      </c>
      <c r="D1714" s="20" t="inlineStr">
        <is>
          <t>KL38B3341</t>
        </is>
      </c>
      <c r="E1714" s="20" t="inlineStr">
        <is>
          <t>MARUTI SUZUKI</t>
        </is>
      </c>
      <c r="F1714" s="20" t="inlineStr">
        <is>
          <t>A-Star</t>
        </is>
      </c>
      <c r="G1714" s="21" t="n"/>
      <c r="H1714" s="22" t="n">
        <v>93570</v>
      </c>
      <c r="I1714" s="22" t="n">
        <v>50000</v>
      </c>
      <c r="J1714" s="20" t="inlineStr">
        <is>
          <t>MAIJO MARUTI</t>
        </is>
      </c>
      <c r="K1714" s="20" t="inlineStr">
        <is>
          <t>Non-Captive</t>
        </is>
      </c>
      <c r="L1714" s="20" t="inlineStr">
        <is>
          <t>ABITH M S</t>
        </is>
      </c>
      <c r="M1714" s="23" t="n">
        <v>8474.58</v>
      </c>
    </row>
    <row r="1715">
      <c r="A1715" s="19" t="inlineStr">
        <is>
          <t>FY26</t>
        </is>
      </c>
      <c r="B1715" s="19" t="inlineStr">
        <is>
          <t>Feb</t>
        </is>
      </c>
      <c r="C1715" s="19" t="inlineStr">
        <is>
          <t>Kerala</t>
        </is>
      </c>
      <c r="D1715" s="20" t="inlineStr">
        <is>
          <t>KL13L8839</t>
        </is>
      </c>
      <c r="E1715" s="20" t="inlineStr">
        <is>
          <t>MARUTI SUZUKI</t>
        </is>
      </c>
      <c r="F1715" s="20" t="inlineStr">
        <is>
          <t>Wagon R</t>
        </is>
      </c>
      <c r="G1715" s="21" t="n"/>
      <c r="H1715" s="22" t="n">
        <v>98000</v>
      </c>
      <c r="I1715" s="22" t="n">
        <v>30000</v>
      </c>
      <c r="J1715" s="20" t="inlineStr">
        <is>
          <t>SARITH</t>
        </is>
      </c>
      <c r="K1715" s="20" t="inlineStr">
        <is>
          <t>Non-Captive</t>
        </is>
      </c>
      <c r="L1715" s="20" t="inlineStr">
        <is>
          <t>KVR TATA</t>
        </is>
      </c>
      <c r="M1715" s="23" t="n">
        <v>4237.29</v>
      </c>
    </row>
    <row r="1716">
      <c r="A1716" s="19" t="inlineStr">
        <is>
          <t>FY26</t>
        </is>
      </c>
      <c r="B1716" s="19" t="inlineStr">
        <is>
          <t>Feb</t>
        </is>
      </c>
      <c r="C1716" s="19" t="inlineStr">
        <is>
          <t>Kerala</t>
        </is>
      </c>
      <c r="D1716" s="20" t="inlineStr">
        <is>
          <t>KL45X0194</t>
        </is>
      </c>
      <c r="E1716" s="20" t="inlineStr">
        <is>
          <t>MARUTI SUZUKI</t>
        </is>
      </c>
      <c r="F1716" s="20" t="inlineStr">
        <is>
          <t>Wagon R</t>
        </is>
      </c>
      <c r="G1716" s="21" t="n"/>
      <c r="H1716" s="22" t="n">
        <v>45000</v>
      </c>
      <c r="I1716" s="22" t="n">
        <v>550000</v>
      </c>
      <c r="J1716" s="20" t="inlineStr">
        <is>
          <t>ROYAL DRIVE</t>
        </is>
      </c>
      <c r="K1716" s="20" t="inlineStr">
        <is>
          <t>Non-Captive</t>
        </is>
      </c>
      <c r="L1716" s="20" t="inlineStr">
        <is>
          <t>UCD HARIS</t>
        </is>
      </c>
      <c r="M1716" s="23" t="n">
        <v>4237.29</v>
      </c>
    </row>
    <row r="1717">
      <c r="A1717" s="19" t="inlineStr">
        <is>
          <t>FY26</t>
        </is>
      </c>
      <c r="B1717" s="19" t="inlineStr">
        <is>
          <t>Feb</t>
        </is>
      </c>
      <c r="C1717" s="19" t="inlineStr">
        <is>
          <t>Kerala</t>
        </is>
      </c>
      <c r="D1717" s="20" t="inlineStr">
        <is>
          <t>KL11AH8842</t>
        </is>
      </c>
      <c r="E1717" s="20" t="inlineStr">
        <is>
          <t>HYUNDAI</t>
        </is>
      </c>
      <c r="F1717" s="20" t="inlineStr">
        <is>
          <t>I10</t>
        </is>
      </c>
      <c r="G1717" s="21" t="n"/>
      <c r="H1717" s="22" t="n">
        <v>110000</v>
      </c>
      <c r="I1717" s="22" t="n">
        <v>117000</v>
      </c>
      <c r="J1717" s="20" t="inlineStr">
        <is>
          <t>ARJID</t>
        </is>
      </c>
      <c r="K1717" s="20" t="inlineStr">
        <is>
          <t>Non-Captive</t>
        </is>
      </c>
      <c r="L1717" s="20" t="inlineStr">
        <is>
          <t>DKH KIA</t>
        </is>
      </c>
      <c r="M1717" s="23" t="n">
        <v>4237.29</v>
      </c>
    </row>
    <row r="1718">
      <c r="A1718" s="19" t="inlineStr">
        <is>
          <t>FY26</t>
        </is>
      </c>
      <c r="B1718" s="19" t="inlineStr">
        <is>
          <t>Feb</t>
        </is>
      </c>
      <c r="C1718" s="19" t="inlineStr">
        <is>
          <t>Kerala</t>
        </is>
      </c>
      <c r="D1718" s="20" t="inlineStr">
        <is>
          <t>KL58S1441</t>
        </is>
      </c>
      <c r="E1718" s="20" t="inlineStr">
        <is>
          <t>MARUTI SUZUKI</t>
        </is>
      </c>
      <c r="F1718" s="20" t="inlineStr">
        <is>
          <t>Baleno</t>
        </is>
      </c>
      <c r="G1718" s="21" t="n"/>
      <c r="H1718" s="22" t="n">
        <v>80000</v>
      </c>
      <c r="I1718" s="22" t="n">
        <v>420000</v>
      </c>
      <c r="J1718" s="20" t="inlineStr">
        <is>
          <t>SANOOP KM</t>
        </is>
      </c>
      <c r="K1718" s="20" t="inlineStr">
        <is>
          <t>Non-Captive</t>
        </is>
      </c>
      <c r="L1718" s="20" t="inlineStr">
        <is>
          <t>APCO HYUNDAI</t>
        </is>
      </c>
      <c r="M1718" s="23" t="n">
        <v>6186.44</v>
      </c>
    </row>
    <row r="1719">
      <c r="A1719" s="19" t="inlineStr">
        <is>
          <t>FY26</t>
        </is>
      </c>
      <c r="B1719" s="19" t="inlineStr">
        <is>
          <t>Feb</t>
        </is>
      </c>
      <c r="C1719" s="19" t="inlineStr">
        <is>
          <t>Kerala</t>
        </is>
      </c>
      <c r="D1719" s="20" t="inlineStr">
        <is>
          <t>KL08BG2606</t>
        </is>
      </c>
      <c r="E1719" s="20" t="inlineStr">
        <is>
          <t>HONDA</t>
        </is>
      </c>
      <c r="F1719" s="20" t="inlineStr">
        <is>
          <t>Jazz</t>
        </is>
      </c>
      <c r="G1719" s="21" t="n"/>
      <c r="H1719" s="22" t="n">
        <v>79000</v>
      </c>
      <c r="I1719" s="22" t="n">
        <v>415000</v>
      </c>
      <c r="J1719" s="20" t="inlineStr">
        <is>
          <t>JAYANTH PK</t>
        </is>
      </c>
      <c r="K1719" s="20" t="inlineStr">
        <is>
          <t>Non-Captive</t>
        </is>
      </c>
      <c r="L1719" s="20" t="inlineStr">
        <is>
          <t>UCD NADIR</t>
        </is>
      </c>
      <c r="M1719" s="23" t="n">
        <v>4237.29</v>
      </c>
    </row>
    <row r="1720">
      <c r="A1720" s="19" t="inlineStr">
        <is>
          <t>FY26</t>
        </is>
      </c>
      <c r="B1720" s="19" t="inlineStr">
        <is>
          <t>Feb</t>
        </is>
      </c>
      <c r="C1720" s="19" t="inlineStr">
        <is>
          <t>Kerala</t>
        </is>
      </c>
      <c r="D1720" s="20" t="inlineStr">
        <is>
          <t>KL01CF1636</t>
        </is>
      </c>
      <c r="E1720" s="20" t="inlineStr">
        <is>
          <t>MARUTI SUZUKI</t>
        </is>
      </c>
      <c r="F1720" s="20" t="inlineStr">
        <is>
          <t>Swift</t>
        </is>
      </c>
      <c r="G1720" s="21" t="n"/>
      <c r="H1720" s="22" t="n">
        <v>77000</v>
      </c>
      <c r="I1720" s="22" t="n">
        <v>420000</v>
      </c>
      <c r="J1720" s="20" t="inlineStr">
        <is>
          <t>ABHISHEK</t>
        </is>
      </c>
      <c r="K1720" s="20" t="inlineStr">
        <is>
          <t>Non-Captive</t>
        </is>
      </c>
      <c r="L1720" s="20" t="inlineStr">
        <is>
          <t>PPS KIA</t>
        </is>
      </c>
      <c r="M1720" s="23" t="n">
        <v>5084.75</v>
      </c>
    </row>
    <row r="1721">
      <c r="A1721" s="19" t="inlineStr">
        <is>
          <t>FY26</t>
        </is>
      </c>
      <c r="B1721" s="19" t="inlineStr">
        <is>
          <t>Feb</t>
        </is>
      </c>
      <c r="C1721" s="19" t="inlineStr">
        <is>
          <t>Kerala</t>
        </is>
      </c>
      <c r="D1721" s="20" t="inlineStr">
        <is>
          <t>KL01CQ6864</t>
        </is>
      </c>
      <c r="E1721" s="20" t="inlineStr">
        <is>
          <t>MARUTI SUZUKI</t>
        </is>
      </c>
      <c r="F1721" s="20" t="inlineStr">
        <is>
          <t>Wagon R</t>
        </is>
      </c>
      <c r="G1721" s="21" t="n"/>
      <c r="H1721" s="22" t="n">
        <v>85000</v>
      </c>
      <c r="I1721" s="22" t="n">
        <v>325000</v>
      </c>
      <c r="J1721" s="20" t="inlineStr">
        <is>
          <t>PRAJOTH</t>
        </is>
      </c>
      <c r="K1721" s="20" t="inlineStr">
        <is>
          <t>Non-Captive</t>
        </is>
      </c>
      <c r="L1721" s="20" t="inlineStr">
        <is>
          <t>KAIRALI TOYOTA</t>
        </is>
      </c>
      <c r="M1721" s="23" t="n">
        <v>5084.75</v>
      </c>
    </row>
    <row r="1722">
      <c r="A1722" s="19" t="inlineStr">
        <is>
          <t>FY26</t>
        </is>
      </c>
      <c r="B1722" s="19" t="inlineStr">
        <is>
          <t>Feb</t>
        </is>
      </c>
      <c r="C1722" s="19" t="inlineStr">
        <is>
          <t>Kerala</t>
        </is>
      </c>
      <c r="D1722" s="20" t="inlineStr">
        <is>
          <t>KL25J3389</t>
        </is>
      </c>
      <c r="E1722" s="20" t="inlineStr">
        <is>
          <t>RENAULT</t>
        </is>
      </c>
      <c r="F1722" s="20" t="inlineStr">
        <is>
          <t>Kwid</t>
        </is>
      </c>
      <c r="G1722" s="21" t="n"/>
      <c r="H1722" s="22" t="n">
        <v>103345</v>
      </c>
      <c r="I1722" s="22" t="n">
        <v>93000</v>
      </c>
      <c r="J1722" s="20" t="inlineStr">
        <is>
          <t>PRAMOD</t>
        </is>
      </c>
      <c r="K1722" s="20" t="inlineStr">
        <is>
          <t>Non-Captive</t>
        </is>
      </c>
      <c r="L1722" s="20" t="inlineStr">
        <is>
          <t>MUTHOOT TATA</t>
        </is>
      </c>
      <c r="M1722" s="23" t="n">
        <v>5932.2</v>
      </c>
    </row>
    <row r="1723">
      <c r="A1723" s="19" t="inlineStr">
        <is>
          <t>FY26</t>
        </is>
      </c>
      <c r="B1723" s="19" t="inlineStr">
        <is>
          <t>Feb</t>
        </is>
      </c>
      <c r="C1723" s="19" t="inlineStr">
        <is>
          <t>Kerala</t>
        </is>
      </c>
      <c r="D1723" s="20" t="inlineStr">
        <is>
          <t>KL13R6477</t>
        </is>
      </c>
      <c r="E1723" s="20" t="inlineStr">
        <is>
          <t>MARUTI SUZUKI</t>
        </is>
      </c>
      <c r="F1723" s="20" t="inlineStr">
        <is>
          <t>Zen</t>
        </is>
      </c>
      <c r="G1723" s="21" t="n"/>
      <c r="H1723" s="22" t="n">
        <v>41000</v>
      </c>
      <c r="I1723" s="22" t="n">
        <v>70000</v>
      </c>
      <c r="J1723" s="20" t="inlineStr">
        <is>
          <t>SARITH</t>
        </is>
      </c>
      <c r="K1723" s="20" t="inlineStr">
        <is>
          <t>Non-Captive</t>
        </is>
      </c>
      <c r="L1723" s="20" t="inlineStr">
        <is>
          <t>AMANA TOYOTA</t>
        </is>
      </c>
      <c r="M1723" s="23" t="n">
        <v>4237.29</v>
      </c>
    </row>
    <row r="1724">
      <c r="A1724" s="19" t="inlineStr">
        <is>
          <t>FY26</t>
        </is>
      </c>
      <c r="B1724" s="19" t="inlineStr">
        <is>
          <t>Feb</t>
        </is>
      </c>
      <c r="C1724" s="19" t="inlineStr">
        <is>
          <t>Kerala</t>
        </is>
      </c>
      <c r="D1724" s="20" t="inlineStr">
        <is>
          <t>KL58F9089</t>
        </is>
      </c>
      <c r="E1724" s="20" t="inlineStr">
        <is>
          <t>MARUTI SUZUKI</t>
        </is>
      </c>
      <c r="F1724" s="20" t="inlineStr">
        <is>
          <t>Ritz</t>
        </is>
      </c>
      <c r="G1724" s="21" t="n"/>
      <c r="H1724" s="22" t="n">
        <v>160000</v>
      </c>
      <c r="I1724" s="22" t="n">
        <v>143000</v>
      </c>
      <c r="J1724" s="20" t="inlineStr">
        <is>
          <t>THNSEER</t>
        </is>
      </c>
      <c r="K1724" s="20" t="inlineStr">
        <is>
          <t>Non-Captive</t>
        </is>
      </c>
      <c r="L1724" s="20" t="inlineStr">
        <is>
          <t>NIKESH APCO</t>
        </is>
      </c>
      <c r="M1724" s="23" t="n">
        <v>4237.29</v>
      </c>
    </row>
    <row r="1725">
      <c r="A1725" s="19" t="inlineStr">
        <is>
          <t>FY26</t>
        </is>
      </c>
      <c r="B1725" s="19" t="inlineStr">
        <is>
          <t>Feb</t>
        </is>
      </c>
      <c r="C1725" s="19" t="inlineStr">
        <is>
          <t>Kerala</t>
        </is>
      </c>
      <c r="D1725" s="20" t="inlineStr">
        <is>
          <t>KL67D4954</t>
        </is>
      </c>
      <c r="E1725" s="20" t="inlineStr">
        <is>
          <t>MARUTI SUZUKI</t>
        </is>
      </c>
      <c r="F1725" s="20" t="inlineStr">
        <is>
          <t>Ignis</t>
        </is>
      </c>
      <c r="G1725" s="21" t="n"/>
      <c r="H1725" s="22" t="n">
        <v>26578</v>
      </c>
      <c r="I1725" s="22" t="n">
        <v>598000</v>
      </c>
      <c r="J1725" s="20" t="inlineStr">
        <is>
          <t>POPULAR MARUTI</t>
        </is>
      </c>
      <c r="K1725" s="20" t="inlineStr">
        <is>
          <t>Non-Captive</t>
        </is>
      </c>
      <c r="L1725" s="20" t="inlineStr">
        <is>
          <t>SUDHEESH K SATHYAN</t>
        </is>
      </c>
      <c r="M1725" s="23" t="n">
        <v>8474.58</v>
      </c>
    </row>
    <row r="1726">
      <c r="A1726" s="19" t="inlineStr">
        <is>
          <t>FY26</t>
        </is>
      </c>
      <c r="B1726" s="19" t="inlineStr">
        <is>
          <t>Feb</t>
        </is>
      </c>
      <c r="C1726" s="19" t="inlineStr">
        <is>
          <t>Kerala</t>
        </is>
      </c>
      <c r="D1726" s="20" t="inlineStr">
        <is>
          <t>KL35D7032</t>
        </is>
      </c>
      <c r="E1726" s="20" t="inlineStr">
        <is>
          <t>HYUNDAI</t>
        </is>
      </c>
      <c r="F1726" s="20" t="inlineStr">
        <is>
          <t>Eon</t>
        </is>
      </c>
      <c r="G1726" s="21" t="n"/>
      <c r="H1726" s="22" t="n">
        <v>96000</v>
      </c>
      <c r="I1726" s="22" t="n">
        <v>89000</v>
      </c>
      <c r="J1726" s="20" t="inlineStr">
        <is>
          <t>LUXON TATA</t>
        </is>
      </c>
      <c r="K1726" s="20" t="inlineStr">
        <is>
          <t>Non-Captive</t>
        </is>
      </c>
      <c r="L1726" s="20" t="inlineStr">
        <is>
          <t>MUHAMMAD SHAJI</t>
        </is>
      </c>
      <c r="M1726" s="23" t="n">
        <v>4237.29</v>
      </c>
    </row>
    <row r="1727">
      <c r="A1727" s="19" t="inlineStr">
        <is>
          <t>FY26</t>
        </is>
      </c>
      <c r="B1727" s="19" t="inlineStr">
        <is>
          <t>Feb</t>
        </is>
      </c>
      <c r="C1727" s="19" t="inlineStr">
        <is>
          <t>Kerala</t>
        </is>
      </c>
      <c r="D1727" s="20" t="inlineStr">
        <is>
          <t>KL35M6853</t>
        </is>
      </c>
      <c r="E1727" s="20" t="inlineStr">
        <is>
          <t>TOYOTA</t>
        </is>
      </c>
      <c r="F1727" s="20" t="inlineStr">
        <is>
          <t>Innova</t>
        </is>
      </c>
      <c r="G1727" s="21" t="n"/>
      <c r="H1727" s="22" t="n">
        <v>169877</v>
      </c>
      <c r="I1727" s="22" t="n">
        <v>585000</v>
      </c>
      <c r="J1727" s="20" t="inlineStr">
        <is>
          <t>MUHAMMAD SHAJI</t>
        </is>
      </c>
      <c r="K1727" s="20" t="inlineStr">
        <is>
          <t>Non-Captive</t>
        </is>
      </c>
      <c r="L1727" s="20" t="inlineStr">
        <is>
          <t>ANAS VH</t>
        </is>
      </c>
      <c r="M1727" s="23" t="n">
        <v>8474.58</v>
      </c>
    </row>
    <row r="1728">
      <c r="A1728" s="19" t="inlineStr">
        <is>
          <t>FY26</t>
        </is>
      </c>
      <c r="B1728" s="19" t="inlineStr">
        <is>
          <t>Feb</t>
        </is>
      </c>
      <c r="C1728" s="19" t="inlineStr">
        <is>
          <t>Kerala</t>
        </is>
      </c>
      <c r="D1728" s="20" t="inlineStr">
        <is>
          <t>KL04AD0797</t>
        </is>
      </c>
      <c r="E1728" s="20" t="inlineStr">
        <is>
          <t>MARUTI SUZUKI</t>
        </is>
      </c>
      <c r="F1728" s="20" t="inlineStr">
        <is>
          <t>Wagon R</t>
        </is>
      </c>
      <c r="G1728" s="21" t="n"/>
      <c r="H1728" s="22" t="n">
        <v>29870</v>
      </c>
      <c r="I1728" s="22" t="n">
        <v>235000</v>
      </c>
      <c r="J1728" s="20" t="inlineStr">
        <is>
          <t>MUHAMMAD SHAJI</t>
        </is>
      </c>
      <c r="K1728" s="20" t="inlineStr">
        <is>
          <t>Non-Captive</t>
        </is>
      </c>
      <c r="L1728" s="20" t="inlineStr">
        <is>
          <t>DREAM DRIVE</t>
        </is>
      </c>
      <c r="M1728" s="23" t="n">
        <v>8474.58</v>
      </c>
    </row>
    <row r="1729">
      <c r="A1729" s="19" t="inlineStr">
        <is>
          <t>FY26</t>
        </is>
      </c>
      <c r="B1729" s="19" t="inlineStr">
        <is>
          <t>Feb</t>
        </is>
      </c>
      <c r="C1729" s="19" t="inlineStr">
        <is>
          <t>Kerala</t>
        </is>
      </c>
      <c r="D1729" s="20" t="inlineStr">
        <is>
          <t>KL07BT3871</t>
        </is>
      </c>
      <c r="E1729" s="20" t="inlineStr">
        <is>
          <t>CHEVROLET</t>
        </is>
      </c>
      <c r="F1729" s="20" t="inlineStr">
        <is>
          <t>Spark</t>
        </is>
      </c>
      <c r="G1729" s="21" t="n"/>
      <c r="H1729" s="22" t="n">
        <v>36857</v>
      </c>
      <c r="I1729" s="22" t="n">
        <v>42000</v>
      </c>
      <c r="J1729" s="20" t="inlineStr">
        <is>
          <t>JISHNU PRIYAN</t>
        </is>
      </c>
      <c r="K1729" s="20" t="inlineStr">
        <is>
          <t>Non-Captive</t>
        </is>
      </c>
      <c r="L1729" s="20" t="inlineStr">
        <is>
          <t>HUSSAIN O E</t>
        </is>
      </c>
      <c r="M1729" s="23" t="n">
        <v>5932.2</v>
      </c>
    </row>
    <row r="1730">
      <c r="A1730" s="19" t="inlineStr">
        <is>
          <t>FY26</t>
        </is>
      </c>
      <c r="B1730" s="19" t="inlineStr">
        <is>
          <t>Feb</t>
        </is>
      </c>
      <c r="C1730" s="19" t="inlineStr">
        <is>
          <t>Kerala</t>
        </is>
      </c>
      <c r="D1730" s="20" t="inlineStr">
        <is>
          <t>KL39L8506</t>
        </is>
      </c>
      <c r="E1730" s="20" t="inlineStr">
        <is>
          <t>HONDA</t>
        </is>
      </c>
      <c r="F1730" s="20" t="inlineStr">
        <is>
          <t>Jazz</t>
        </is>
      </c>
      <c r="G1730" s="21" t="n"/>
      <c r="H1730" s="22" t="n">
        <v>72367</v>
      </c>
      <c r="I1730" s="22" t="n">
        <v>350000</v>
      </c>
      <c r="J1730" s="20" t="inlineStr">
        <is>
          <t>INCHEON KIA</t>
        </is>
      </c>
      <c r="K1730" s="20" t="inlineStr">
        <is>
          <t>Non-Captive</t>
        </is>
      </c>
      <c r="L1730" s="20" t="inlineStr">
        <is>
          <t>DINESH P S</t>
        </is>
      </c>
      <c r="M1730" s="23" t="n">
        <v>8474.58</v>
      </c>
    </row>
    <row r="1731">
      <c r="A1731" s="19" t="inlineStr">
        <is>
          <t>FY26</t>
        </is>
      </c>
      <c r="B1731" s="19" t="inlineStr">
        <is>
          <t>Feb</t>
        </is>
      </c>
      <c r="C1731" s="19" t="inlineStr">
        <is>
          <t>Kerala</t>
        </is>
      </c>
      <c r="D1731" s="20" t="inlineStr">
        <is>
          <t>KL63D5455</t>
        </is>
      </c>
      <c r="E1731" s="20" t="inlineStr">
        <is>
          <t>MARUTI SUZUKI</t>
        </is>
      </c>
      <c r="F1731" s="20" t="inlineStr">
        <is>
          <t>Swift Dzire</t>
        </is>
      </c>
      <c r="G1731" s="21" t="n"/>
      <c r="H1731" s="22" t="n">
        <v>104000</v>
      </c>
      <c r="I1731" s="22" t="n">
        <v>300000</v>
      </c>
      <c r="J1731" s="20" t="inlineStr">
        <is>
          <t>INCHEON KIA</t>
        </is>
      </c>
      <c r="K1731" s="20" t="inlineStr">
        <is>
          <t>Non-Captive</t>
        </is>
      </c>
      <c r="L1731" s="20" t="inlineStr">
        <is>
          <t>SHAMSUDEEN C E</t>
        </is>
      </c>
      <c r="M1731" s="23" t="n">
        <v>8474.58</v>
      </c>
    </row>
    <row r="1732">
      <c r="A1732" s="19" t="inlineStr">
        <is>
          <t>FY26</t>
        </is>
      </c>
      <c r="B1732" s="19" t="inlineStr">
        <is>
          <t>Feb</t>
        </is>
      </c>
      <c r="C1732" s="19" t="inlineStr">
        <is>
          <t>Kerala</t>
        </is>
      </c>
      <c r="D1732" s="20" t="inlineStr">
        <is>
          <t>KL75A6157</t>
        </is>
      </c>
      <c r="E1732" s="20" t="inlineStr">
        <is>
          <t>MARUTI SUZUKI</t>
        </is>
      </c>
      <c r="F1732" s="20" t="inlineStr">
        <is>
          <t>Xl6</t>
        </is>
      </c>
      <c r="G1732" s="21" t="n"/>
      <c r="H1732" s="22" t="n">
        <v>23756</v>
      </c>
      <c r="I1732" s="22" t="n">
        <v>860000</v>
      </c>
      <c r="J1732" s="20" t="inlineStr">
        <is>
          <t>EVM CITROEN</t>
        </is>
      </c>
      <c r="K1732" s="20" t="inlineStr">
        <is>
          <t>Non-Captive</t>
        </is>
      </c>
      <c r="L1732" s="20" t="inlineStr">
        <is>
          <t>KAPS CARS</t>
        </is>
      </c>
      <c r="M1732" s="23" t="n">
        <v>8474.58</v>
      </c>
    </row>
    <row r="1733">
      <c r="A1733" s="19" t="inlineStr">
        <is>
          <t>FY26</t>
        </is>
      </c>
      <c r="B1733" s="19" t="inlineStr">
        <is>
          <t>Feb</t>
        </is>
      </c>
      <c r="C1733" s="19" t="inlineStr">
        <is>
          <t>Kerala</t>
        </is>
      </c>
      <c r="D1733" s="20" t="inlineStr">
        <is>
          <t>KL31K2122</t>
        </is>
      </c>
      <c r="E1733" s="20" t="inlineStr">
        <is>
          <t>MARUTI SUZUKI</t>
        </is>
      </c>
      <c r="F1733" s="20" t="inlineStr">
        <is>
          <t>Celerio</t>
        </is>
      </c>
      <c r="G1733" s="21" t="n"/>
      <c r="H1733" s="22" t="n">
        <v>78696</v>
      </c>
      <c r="I1733" s="22" t="n">
        <v>330000</v>
      </c>
      <c r="J1733" s="20" t="inlineStr">
        <is>
          <t>POPULAR MARUTI</t>
        </is>
      </c>
      <c r="K1733" s="20" t="inlineStr">
        <is>
          <t>Non-Captive</t>
        </is>
      </c>
      <c r="L1733" s="20" t="inlineStr">
        <is>
          <t>MUHAMMAD SHAJI</t>
        </is>
      </c>
      <c r="M1733" s="23" t="n">
        <v>8474.58</v>
      </c>
    </row>
    <row r="1734">
      <c r="A1734" s="19" t="inlineStr">
        <is>
          <t>FY26</t>
        </is>
      </c>
      <c r="B1734" s="19" t="inlineStr">
        <is>
          <t>Feb</t>
        </is>
      </c>
      <c r="C1734" s="19" t="inlineStr">
        <is>
          <t>Kerala</t>
        </is>
      </c>
      <c r="D1734" s="20" t="inlineStr">
        <is>
          <t>KL263681</t>
        </is>
      </c>
      <c r="E1734" s="20" t="inlineStr">
        <is>
          <t>MARUTI SUZUKI</t>
        </is>
      </c>
      <c r="F1734" s="20" t="inlineStr">
        <is>
          <t>M800</t>
        </is>
      </c>
      <c r="G1734" s="21" t="n"/>
      <c r="H1734" s="22" t="n">
        <v>123243</v>
      </c>
      <c r="I1734" s="22" t="n">
        <v>30000</v>
      </c>
      <c r="J1734" s="20" t="inlineStr">
        <is>
          <t>POPULAR MARUTI</t>
        </is>
      </c>
      <c r="K1734" s="20" t="inlineStr">
        <is>
          <t>Non-Captive</t>
        </is>
      </c>
      <c r="L1734" s="20" t="inlineStr">
        <is>
          <t>MUHAMMAD SHAJI</t>
        </is>
      </c>
      <c r="M1734" s="23" t="n">
        <v>8474.58</v>
      </c>
    </row>
    <row r="1735">
      <c r="A1735" s="19" t="inlineStr">
        <is>
          <t>FY26</t>
        </is>
      </c>
      <c r="B1735" s="19" t="inlineStr">
        <is>
          <t>Feb</t>
        </is>
      </c>
      <c r="C1735" s="19" t="inlineStr">
        <is>
          <t>Kerala</t>
        </is>
      </c>
      <c r="D1735" s="20" t="inlineStr">
        <is>
          <t>KL01BA5230</t>
        </is>
      </c>
      <c r="E1735" s="20" t="inlineStr">
        <is>
          <t>MARUTI SUZUKI</t>
        </is>
      </c>
      <c r="F1735" s="20" t="inlineStr">
        <is>
          <t>Alto</t>
        </is>
      </c>
      <c r="G1735" s="21" t="n"/>
      <c r="H1735" s="22" t="n">
        <v>6000</v>
      </c>
      <c r="I1735" s="22" t="n">
        <v>145000</v>
      </c>
      <c r="J1735" s="20" t="inlineStr">
        <is>
          <t>ABHISHEK</t>
        </is>
      </c>
      <c r="K1735" s="20" t="inlineStr">
        <is>
          <t>Non-Captive</t>
        </is>
      </c>
      <c r="L1735" s="20" t="inlineStr">
        <is>
          <t>PPS SKODA</t>
        </is>
      </c>
      <c r="M1735" s="23" t="n">
        <v>4237.29</v>
      </c>
    </row>
    <row r="1736">
      <c r="A1736" s="19" t="inlineStr">
        <is>
          <t>FY26</t>
        </is>
      </c>
      <c r="B1736" s="19" t="inlineStr">
        <is>
          <t>Feb</t>
        </is>
      </c>
      <c r="C1736" s="19" t="inlineStr">
        <is>
          <t>Kerala</t>
        </is>
      </c>
      <c r="D1736" s="20" t="inlineStr">
        <is>
          <t>KL39N1171</t>
        </is>
      </c>
      <c r="E1736" s="20" t="inlineStr">
        <is>
          <t>FORD</t>
        </is>
      </c>
      <c r="F1736" s="20" t="inlineStr">
        <is>
          <t>Ecosport</t>
        </is>
      </c>
      <c r="G1736" s="21" t="n"/>
      <c r="H1736" s="22" t="n">
        <v>121581</v>
      </c>
      <c r="I1736" s="22" t="n">
        <v>530000</v>
      </c>
      <c r="J1736" s="20" t="inlineStr">
        <is>
          <t>INCHEON KIA</t>
        </is>
      </c>
      <c r="K1736" s="20" t="inlineStr">
        <is>
          <t>Non-Captive</t>
        </is>
      </c>
      <c r="L1736" s="20" t="inlineStr">
        <is>
          <t>HAVEN MOTORS</t>
        </is>
      </c>
      <c r="M1736" s="23" t="n">
        <v>8474.58</v>
      </c>
    </row>
    <row r="1737">
      <c r="A1737" s="19" t="inlineStr">
        <is>
          <t>FY26</t>
        </is>
      </c>
      <c r="B1737" s="19" t="inlineStr">
        <is>
          <t>Feb</t>
        </is>
      </c>
      <c r="C1737" s="19" t="inlineStr">
        <is>
          <t>Kerala</t>
        </is>
      </c>
      <c r="D1737" s="20" t="inlineStr">
        <is>
          <t>KL48F5980</t>
        </is>
      </c>
      <c r="E1737" s="20" t="inlineStr">
        <is>
          <t>TOYOTA</t>
        </is>
      </c>
      <c r="F1737" s="20" t="inlineStr">
        <is>
          <t>Etios</t>
        </is>
      </c>
      <c r="G1737" s="21" t="n"/>
      <c r="H1737" s="22" t="n">
        <v>108000</v>
      </c>
      <c r="I1737" s="22" t="n">
        <v>270000</v>
      </c>
      <c r="J1737" s="20" t="inlineStr">
        <is>
          <t>JOHNS HONDA CARS</t>
        </is>
      </c>
      <c r="K1737" s="20" t="inlineStr">
        <is>
          <t>Non-Captive</t>
        </is>
      </c>
      <c r="L1737" s="20" t="inlineStr">
        <is>
          <t>AITOS CARS</t>
        </is>
      </c>
      <c r="M1737" s="23" t="n">
        <v>8474.58</v>
      </c>
    </row>
    <row r="1738">
      <c r="A1738" s="19" t="inlineStr">
        <is>
          <t>FY26</t>
        </is>
      </c>
      <c r="B1738" s="19" t="inlineStr">
        <is>
          <t>Feb</t>
        </is>
      </c>
      <c r="C1738" s="19" t="inlineStr">
        <is>
          <t>Kerala</t>
        </is>
      </c>
      <c r="D1738" s="20" t="inlineStr">
        <is>
          <t>KL46Z9001</t>
        </is>
      </c>
      <c r="E1738" s="20" t="inlineStr">
        <is>
          <t>CITROEN</t>
        </is>
      </c>
      <c r="F1738" s="20" t="inlineStr">
        <is>
          <t>C3</t>
        </is>
      </c>
      <c r="G1738" s="21" t="n"/>
      <c r="H1738" s="22" t="n">
        <v>10344</v>
      </c>
      <c r="I1738" s="22" t="n">
        <v>500000</v>
      </c>
      <c r="J1738" s="20" t="inlineStr">
        <is>
          <t>EVM CITROEN</t>
        </is>
      </c>
      <c r="K1738" s="20" t="inlineStr">
        <is>
          <t>Non-Captive</t>
        </is>
      </c>
      <c r="L1738" s="20" t="inlineStr">
        <is>
          <t>VTJ</t>
        </is>
      </c>
      <c r="M1738" s="23" t="n">
        <v>8474.58</v>
      </c>
    </row>
    <row r="1739">
      <c r="A1739" s="19" t="inlineStr">
        <is>
          <t>FY26</t>
        </is>
      </c>
      <c r="B1739" s="19" t="inlineStr">
        <is>
          <t>Feb</t>
        </is>
      </c>
      <c r="C1739" s="19" t="inlineStr">
        <is>
          <t>Kerala</t>
        </is>
      </c>
      <c r="D1739" s="20" t="inlineStr">
        <is>
          <t>KL09AW9693</t>
        </is>
      </c>
      <c r="E1739" s="20" t="inlineStr">
        <is>
          <t>VOLKSWAGEN</t>
        </is>
      </c>
      <c r="F1739" s="20" t="inlineStr">
        <is>
          <t>Virtus</t>
        </is>
      </c>
      <c r="G1739" s="21" t="n"/>
      <c r="H1739" s="22" t="n">
        <v>8834</v>
      </c>
      <c r="I1739" s="22" t="n">
        <v>900000</v>
      </c>
      <c r="J1739" s="20" t="inlineStr">
        <is>
          <t>PHOENIX VOLKSWAGEN</t>
        </is>
      </c>
      <c r="K1739" s="20" t="inlineStr">
        <is>
          <t>Non-Captive</t>
        </is>
      </c>
      <c r="L1739" s="20" t="inlineStr">
        <is>
          <t>UMESHKUMAR T U</t>
        </is>
      </c>
      <c r="M1739" s="23" t="n">
        <v>8474.58</v>
      </c>
    </row>
    <row r="1740">
      <c r="A1740" s="19" t="inlineStr">
        <is>
          <t>FY26</t>
        </is>
      </c>
      <c r="B1740" s="19" t="inlineStr">
        <is>
          <t>Feb</t>
        </is>
      </c>
      <c r="C1740" s="19" t="inlineStr">
        <is>
          <t>Kerala</t>
        </is>
      </c>
      <c r="D1740" s="20" t="inlineStr">
        <is>
          <t>KL13AB2050</t>
        </is>
      </c>
      <c r="E1740" s="20" t="inlineStr">
        <is>
          <t>TATA</t>
        </is>
      </c>
      <c r="F1740" s="20" t="inlineStr">
        <is>
          <t>Nexon</t>
        </is>
      </c>
      <c r="G1740" s="21" t="n"/>
      <c r="H1740" s="22" t="n">
        <v>90000</v>
      </c>
      <c r="I1740" s="22" t="n">
        <v>900000</v>
      </c>
      <c r="J1740" s="20" t="inlineStr">
        <is>
          <t>SIVAPRASAD</t>
        </is>
      </c>
      <c r="K1740" s="20" t="inlineStr">
        <is>
          <t>Non-Captive</t>
        </is>
      </c>
      <c r="L1740" s="20" t="inlineStr">
        <is>
          <t>KVR TATA</t>
        </is>
      </c>
      <c r="M1740" s="23" t="n">
        <v>8474.58</v>
      </c>
    </row>
    <row r="1741">
      <c r="A1741" s="19" t="inlineStr">
        <is>
          <t>FY26</t>
        </is>
      </c>
      <c r="B1741" s="19" t="inlineStr">
        <is>
          <t>Feb</t>
        </is>
      </c>
      <c r="C1741" s="19" t="inlineStr">
        <is>
          <t>Kerala</t>
        </is>
      </c>
      <c r="D1741" s="20" t="inlineStr">
        <is>
          <t>KL60V2378</t>
        </is>
      </c>
      <c r="E1741" s="20" t="inlineStr">
        <is>
          <t>TATA</t>
        </is>
      </c>
      <c r="F1741" s="20" t="inlineStr">
        <is>
          <t>Tiago</t>
        </is>
      </c>
      <c r="G1741" s="21" t="n"/>
      <c r="H1741" s="22" t="n">
        <v>71000</v>
      </c>
      <c r="I1741" s="22" t="n">
        <v>730000</v>
      </c>
      <c r="J1741" s="20" t="inlineStr">
        <is>
          <t>AUGSTY MJ</t>
        </is>
      </c>
      <c r="K1741" s="20" t="inlineStr">
        <is>
          <t>Non-Captive</t>
        </is>
      </c>
      <c r="L1741" s="20" t="inlineStr">
        <is>
          <t>KVR TATA</t>
        </is>
      </c>
      <c r="M1741" s="23" t="n">
        <v>8474.58</v>
      </c>
    </row>
    <row r="1742">
      <c r="A1742" s="19" t="inlineStr">
        <is>
          <t>FY26</t>
        </is>
      </c>
      <c r="B1742" s="19" t="inlineStr">
        <is>
          <t>Feb</t>
        </is>
      </c>
      <c r="C1742" s="19" t="inlineStr">
        <is>
          <t>Kerala</t>
        </is>
      </c>
      <c r="D1742" s="20" t="inlineStr">
        <is>
          <t>KL14AE3707</t>
        </is>
      </c>
      <c r="E1742" s="20" t="inlineStr">
        <is>
          <t>TATA</t>
        </is>
      </c>
      <c r="F1742" s="20" t="inlineStr">
        <is>
          <t>Tiago</t>
        </is>
      </c>
      <c r="G1742" s="21" t="n"/>
      <c r="H1742" s="22" t="n">
        <v>45563</v>
      </c>
      <c r="I1742" s="22" t="n">
        <v>610000</v>
      </c>
      <c r="J1742" s="20" t="inlineStr">
        <is>
          <t>AUGUSTIN THOMAS</t>
        </is>
      </c>
      <c r="K1742" s="20" t="inlineStr">
        <is>
          <t>Non-Captive</t>
        </is>
      </c>
      <c r="L1742" s="20" t="inlineStr">
        <is>
          <t>KVR TATA</t>
        </is>
      </c>
      <c r="M1742" s="23" t="n">
        <v>8474.58</v>
      </c>
    </row>
    <row r="1743">
      <c r="A1743" s="19" t="inlineStr">
        <is>
          <t>FY26</t>
        </is>
      </c>
      <c r="B1743" s="19" t="inlineStr">
        <is>
          <t>Feb</t>
        </is>
      </c>
      <c r="C1743" s="19" t="inlineStr">
        <is>
          <t>Kerala</t>
        </is>
      </c>
      <c r="D1743" s="20" t="inlineStr">
        <is>
          <t>KL59P300</t>
        </is>
      </c>
      <c r="E1743" s="20" t="inlineStr">
        <is>
          <t>MARUTI SUZUKI</t>
        </is>
      </c>
      <c r="F1743" s="20" t="inlineStr">
        <is>
          <t>Swift Dzire</t>
        </is>
      </c>
      <c r="G1743" s="21" t="n"/>
      <c r="H1743" s="22" t="n">
        <v>80000</v>
      </c>
      <c r="I1743" s="22" t="n">
        <v>370000</v>
      </c>
      <c r="J1743" s="20" t="inlineStr">
        <is>
          <t>ARJID</t>
        </is>
      </c>
      <c r="K1743" s="20" t="inlineStr">
        <is>
          <t>Non-Captive</t>
        </is>
      </c>
      <c r="L1743" s="20" t="inlineStr">
        <is>
          <t>DKH KIA</t>
        </is>
      </c>
      <c r="M1743" s="23" t="n">
        <v>4237.29</v>
      </c>
    </row>
    <row r="1744">
      <c r="A1744" s="19" t="inlineStr">
        <is>
          <t>FY26</t>
        </is>
      </c>
      <c r="B1744" s="19" t="inlineStr">
        <is>
          <t>Feb</t>
        </is>
      </c>
      <c r="C1744" s="19" t="inlineStr">
        <is>
          <t>Kerala</t>
        </is>
      </c>
      <c r="D1744" s="20" t="inlineStr">
        <is>
          <t>KL56T8925</t>
        </is>
      </c>
      <c r="E1744" s="20" t="inlineStr">
        <is>
          <t>RENAULT</t>
        </is>
      </c>
      <c r="F1744" s="20" t="inlineStr">
        <is>
          <t>Kwid</t>
        </is>
      </c>
      <c r="G1744" s="21" t="n"/>
      <c r="H1744" s="22" t="n">
        <v>18000</v>
      </c>
      <c r="I1744" s="22" t="n">
        <v>275000</v>
      </c>
      <c r="J1744" s="20" t="inlineStr">
        <is>
          <t>SHINOOJ</t>
        </is>
      </c>
      <c r="K1744" s="20" t="inlineStr">
        <is>
          <t>Non-Captive</t>
        </is>
      </c>
      <c r="L1744" s="20" t="inlineStr">
        <is>
          <t>BIMAL</t>
        </is>
      </c>
      <c r="M1744" s="23" t="n">
        <v>4237.29</v>
      </c>
    </row>
    <row r="1745">
      <c r="A1745" s="19" t="inlineStr">
        <is>
          <t>FY26</t>
        </is>
      </c>
      <c r="B1745" s="19" t="inlineStr">
        <is>
          <t>Feb</t>
        </is>
      </c>
      <c r="C1745" s="19" t="inlineStr">
        <is>
          <t>Kerala</t>
        </is>
      </c>
      <c r="D1745" s="20" t="inlineStr">
        <is>
          <t>KL78B6099</t>
        </is>
      </c>
      <c r="E1745" s="20" t="inlineStr">
        <is>
          <t>TATA</t>
        </is>
      </c>
      <c r="F1745" s="20" t="inlineStr">
        <is>
          <t>Harrier</t>
        </is>
      </c>
      <c r="G1745" s="21" t="n"/>
      <c r="H1745" s="22" t="n">
        <v>78000</v>
      </c>
      <c r="I1745" s="22" t="n">
        <v>1000000</v>
      </c>
      <c r="J1745" s="20" t="inlineStr">
        <is>
          <t>AUGUSTHY M J</t>
        </is>
      </c>
      <c r="K1745" s="20" t="inlineStr">
        <is>
          <t>Non-Captive</t>
        </is>
      </c>
      <c r="L1745" s="20" t="inlineStr">
        <is>
          <t>AMANA TOYOTA</t>
        </is>
      </c>
      <c r="M1745" s="23" t="n">
        <v>8474.58</v>
      </c>
    </row>
    <row r="1746">
      <c r="A1746" s="19" t="inlineStr">
        <is>
          <t>FY26</t>
        </is>
      </c>
      <c r="B1746" s="19" t="inlineStr">
        <is>
          <t>Feb</t>
        </is>
      </c>
      <c r="C1746" s="19" t="inlineStr">
        <is>
          <t>Kerala</t>
        </is>
      </c>
      <c r="D1746" s="20" t="inlineStr">
        <is>
          <t>KL32C7999</t>
        </is>
      </c>
      <c r="E1746" s="20" t="inlineStr">
        <is>
          <t>MAHINDRA</t>
        </is>
      </c>
      <c r="F1746" s="20" t="inlineStr">
        <is>
          <t>Bolero</t>
        </is>
      </c>
      <c r="G1746" s="21" t="n"/>
      <c r="H1746" s="22" t="n">
        <v>140000</v>
      </c>
      <c r="I1746" s="22" t="n">
        <v>165000</v>
      </c>
      <c r="J1746" s="20" t="inlineStr">
        <is>
          <t>SANOOP</t>
        </is>
      </c>
      <c r="K1746" s="20" t="inlineStr">
        <is>
          <t>Non-Captive</t>
        </is>
      </c>
      <c r="L1746" s="20" t="inlineStr">
        <is>
          <t>MARVEL</t>
        </is>
      </c>
      <c r="M1746" s="23" t="n">
        <v>4237.29</v>
      </c>
    </row>
    <row r="1747">
      <c r="A1747" s="19" t="inlineStr">
        <is>
          <t>FY26</t>
        </is>
      </c>
      <c r="B1747" s="19" t="inlineStr">
        <is>
          <t>Feb</t>
        </is>
      </c>
      <c r="C1747" s="19" t="inlineStr">
        <is>
          <t>Kerala</t>
        </is>
      </c>
      <c r="D1747" s="20" t="inlineStr">
        <is>
          <t>KL63E7738</t>
        </is>
      </c>
      <c r="E1747" s="20" t="inlineStr">
        <is>
          <t>MARUTI SUZUKI</t>
        </is>
      </c>
      <c r="F1747" s="20" t="inlineStr">
        <is>
          <t>Swift Dzire</t>
        </is>
      </c>
      <c r="G1747" s="21" t="n"/>
      <c r="H1747" s="22" t="n">
        <v>31849</v>
      </c>
      <c r="I1747" s="22" t="n">
        <v>540000</v>
      </c>
      <c r="J1747" s="20" t="inlineStr">
        <is>
          <t>EVM SKODA</t>
        </is>
      </c>
      <c r="K1747" s="20" t="inlineStr">
        <is>
          <t>Non-Captive</t>
        </is>
      </c>
      <c r="L1747" s="20" t="inlineStr">
        <is>
          <t>HUSSAIN O E</t>
        </is>
      </c>
      <c r="M1747" s="23" t="n">
        <v>8474.58</v>
      </c>
    </row>
    <row r="1748">
      <c r="A1748" s="19" t="inlineStr">
        <is>
          <t>FY26</t>
        </is>
      </c>
      <c r="B1748" s="19" t="inlineStr">
        <is>
          <t>Feb</t>
        </is>
      </c>
      <c r="C1748" s="19" t="inlineStr">
        <is>
          <t>Kerala</t>
        </is>
      </c>
      <c r="D1748" s="20" t="inlineStr">
        <is>
          <t>KL08BV0073</t>
        </is>
      </c>
      <c r="E1748" s="20" t="inlineStr">
        <is>
          <t>TATA</t>
        </is>
      </c>
      <c r="F1748" s="20" t="inlineStr">
        <is>
          <t>Nexon</t>
        </is>
      </c>
      <c r="G1748" s="21" t="n"/>
      <c r="H1748" s="22" t="n">
        <v>76500</v>
      </c>
      <c r="I1748" s="22" t="n">
        <v>540000</v>
      </c>
      <c r="J1748" s="20" t="inlineStr">
        <is>
          <t>JOHNS HONDA CARS</t>
        </is>
      </c>
      <c r="K1748" s="20" t="inlineStr">
        <is>
          <t>Non-Captive</t>
        </is>
      </c>
      <c r="L1748" s="20" t="inlineStr">
        <is>
          <t>AITOS CARS</t>
        </is>
      </c>
      <c r="M1748" s="23" t="n">
        <v>8474.58</v>
      </c>
    </row>
    <row r="1749">
      <c r="A1749" s="19" t="inlineStr">
        <is>
          <t>FY26</t>
        </is>
      </c>
      <c r="B1749" s="19" t="inlineStr">
        <is>
          <t>Feb</t>
        </is>
      </c>
      <c r="C1749" s="19" t="inlineStr">
        <is>
          <t>Kerala</t>
        </is>
      </c>
      <c r="D1749" s="20" t="inlineStr">
        <is>
          <t>KL36E7608</t>
        </is>
      </c>
      <c r="E1749" s="20" t="inlineStr">
        <is>
          <t>MARUTI SUZUKI</t>
        </is>
      </c>
      <c r="F1749" s="20" t="inlineStr">
        <is>
          <t>Celerio</t>
        </is>
      </c>
      <c r="G1749" s="21" t="n"/>
      <c r="H1749" s="22" t="n">
        <v>108594</v>
      </c>
      <c r="I1749" s="22" t="n">
        <v>220000</v>
      </c>
      <c r="J1749" s="20" t="inlineStr">
        <is>
          <t>POPULAR MARUTI</t>
        </is>
      </c>
      <c r="K1749" s="20" t="inlineStr">
        <is>
          <t>Non-Captive</t>
        </is>
      </c>
      <c r="L1749" s="20" t="inlineStr">
        <is>
          <t>HAVEN MOTORS</t>
        </is>
      </c>
      <c r="M1749" s="23" t="n">
        <v>8474.58</v>
      </c>
    </row>
    <row r="1750">
      <c r="A1750" s="19" t="inlineStr">
        <is>
          <t>FY26</t>
        </is>
      </c>
      <c r="B1750" s="19" t="inlineStr">
        <is>
          <t>Feb</t>
        </is>
      </c>
      <c r="C1750" s="19" t="inlineStr">
        <is>
          <t>Kerala</t>
        </is>
      </c>
      <c r="D1750" s="20" t="inlineStr">
        <is>
          <t>KL11BV7821</t>
        </is>
      </c>
      <c r="E1750" s="20" t="inlineStr">
        <is>
          <t>RENAULT</t>
        </is>
      </c>
      <c r="F1750" s="20" t="inlineStr">
        <is>
          <t>Kiger</t>
        </is>
      </c>
      <c r="G1750" s="21" t="n"/>
      <c r="H1750" s="22" t="n">
        <v>23417</v>
      </c>
      <c r="I1750" s="22" t="n">
        <v>500000</v>
      </c>
      <c r="J1750" s="20" t="inlineStr">
        <is>
          <t>POPULAR MARUTI</t>
        </is>
      </c>
      <c r="K1750" s="20" t="inlineStr">
        <is>
          <t>Non-Captive</t>
        </is>
      </c>
      <c r="L1750" s="20" t="inlineStr">
        <is>
          <t>CIRIL SEBASTIAN</t>
        </is>
      </c>
      <c r="M1750" s="23" t="n">
        <v>6355.93</v>
      </c>
    </row>
    <row r="1751">
      <c r="A1751" s="19" t="inlineStr">
        <is>
          <t>FY26</t>
        </is>
      </c>
      <c r="B1751" s="19" t="inlineStr">
        <is>
          <t>Feb</t>
        </is>
      </c>
      <c r="C1751" s="19" t="inlineStr">
        <is>
          <t>Kerala</t>
        </is>
      </c>
      <c r="D1751" s="20" t="inlineStr">
        <is>
          <t>KL46F3157</t>
        </is>
      </c>
      <c r="E1751" s="20" t="inlineStr">
        <is>
          <t>TOYOTA</t>
        </is>
      </c>
      <c r="F1751" s="20" t="inlineStr">
        <is>
          <t>Etios</t>
        </is>
      </c>
      <c r="G1751" s="21" t="n"/>
      <c r="H1751" s="22" t="n">
        <v>111525</v>
      </c>
      <c r="I1751" s="22" t="n">
        <v>340000</v>
      </c>
      <c r="J1751" s="20" t="inlineStr">
        <is>
          <t>EVM CITROEN</t>
        </is>
      </c>
      <c r="K1751" s="20" t="inlineStr">
        <is>
          <t>Non-Captive</t>
        </is>
      </c>
      <c r="L1751" s="20" t="inlineStr">
        <is>
          <t>FABITH</t>
        </is>
      </c>
      <c r="M1751" s="23" t="n">
        <v>8474.58</v>
      </c>
    </row>
    <row r="1752">
      <c r="A1752" s="19" t="inlineStr">
        <is>
          <t>FY26</t>
        </is>
      </c>
      <c r="B1752" s="19" t="inlineStr">
        <is>
          <t>Feb</t>
        </is>
      </c>
      <c r="C1752" s="19" t="inlineStr">
        <is>
          <t>Kerala</t>
        </is>
      </c>
      <c r="D1752" s="20" t="inlineStr">
        <is>
          <t>KL45T6950</t>
        </is>
      </c>
      <c r="E1752" s="20" t="inlineStr">
        <is>
          <t>TATA</t>
        </is>
      </c>
      <c r="F1752" s="20" t="inlineStr">
        <is>
          <t>Altroz</t>
        </is>
      </c>
      <c r="G1752" s="21" t="n"/>
      <c r="H1752" s="22" t="n">
        <v>50618</v>
      </c>
      <c r="I1752" s="22" t="n">
        <v>310000</v>
      </c>
      <c r="J1752" s="20" t="inlineStr">
        <is>
          <t>PHOENIX VOLKSWAGEN</t>
        </is>
      </c>
      <c r="K1752" s="20" t="inlineStr">
        <is>
          <t>Non-Captive</t>
        </is>
      </c>
      <c r="L1752" s="20" t="inlineStr">
        <is>
          <t>AITOS CARS</t>
        </is>
      </c>
      <c r="M1752" s="23" t="n">
        <v>8474.58</v>
      </c>
    </row>
    <row r="1753">
      <c r="A1753" s="19" t="inlineStr">
        <is>
          <t>FY26</t>
        </is>
      </c>
      <c r="B1753" s="19" t="inlineStr">
        <is>
          <t>Feb</t>
        </is>
      </c>
      <c r="C1753" s="19" t="inlineStr">
        <is>
          <t>Kerala</t>
        </is>
      </c>
      <c r="D1753" s="20" t="inlineStr">
        <is>
          <t>KL43N4838</t>
        </is>
      </c>
      <c r="E1753" s="20" t="inlineStr">
        <is>
          <t>RENAULT</t>
        </is>
      </c>
      <c r="F1753" s="20" t="inlineStr">
        <is>
          <t>Triber</t>
        </is>
      </c>
      <c r="G1753" s="21" t="n"/>
      <c r="H1753" s="22" t="n">
        <v>21600</v>
      </c>
      <c r="I1753" s="22" t="n">
        <v>350000</v>
      </c>
      <c r="J1753" s="20" t="inlineStr">
        <is>
          <t>POPULAR MARUTI</t>
        </is>
      </c>
      <c r="K1753" s="20" t="inlineStr">
        <is>
          <t>Non-Captive</t>
        </is>
      </c>
      <c r="L1753" s="20" t="inlineStr">
        <is>
          <t>HUSSAIN O E</t>
        </is>
      </c>
      <c r="M1753" s="23" t="n">
        <v>8474.58</v>
      </c>
    </row>
    <row r="1754">
      <c r="A1754" s="19" t="inlineStr">
        <is>
          <t>FY26</t>
        </is>
      </c>
      <c r="B1754" s="19" t="inlineStr">
        <is>
          <t>Feb</t>
        </is>
      </c>
      <c r="C1754" s="19" t="inlineStr">
        <is>
          <t>Kerala</t>
        </is>
      </c>
      <c r="D1754" s="20" t="inlineStr">
        <is>
          <t>KL18W9303</t>
        </is>
      </c>
      <c r="E1754" s="20" t="inlineStr">
        <is>
          <t>HYUNDAI</t>
        </is>
      </c>
      <c r="F1754" s="20" t="inlineStr">
        <is>
          <t>I10</t>
        </is>
      </c>
      <c r="G1754" s="21" t="n"/>
      <c r="H1754" s="22" t="n">
        <v>70000</v>
      </c>
      <c r="I1754" s="22" t="n">
        <v>310000</v>
      </c>
      <c r="J1754" s="20" t="inlineStr">
        <is>
          <t>PRAJOSH</t>
        </is>
      </c>
      <c r="K1754" s="20" t="inlineStr">
        <is>
          <t>Non-Captive</t>
        </is>
      </c>
      <c r="L1754" s="20" t="inlineStr">
        <is>
          <t>AM MOTORS</t>
        </is>
      </c>
      <c r="M1754" s="23" t="n">
        <v>4237.29</v>
      </c>
    </row>
    <row r="1755">
      <c r="A1755" s="19" t="inlineStr">
        <is>
          <t>FY26</t>
        </is>
      </c>
      <c r="B1755" s="19" t="inlineStr">
        <is>
          <t>Feb</t>
        </is>
      </c>
      <c r="C1755" s="19" t="inlineStr">
        <is>
          <t>Kerala</t>
        </is>
      </c>
      <c r="D1755" s="20" t="inlineStr">
        <is>
          <t>KL56P3737</t>
        </is>
      </c>
      <c r="E1755" s="20" t="inlineStr">
        <is>
          <t>HYUNDAI</t>
        </is>
      </c>
      <c r="F1755" s="20" t="inlineStr">
        <is>
          <t>I10</t>
        </is>
      </c>
      <c r="G1755" s="21" t="n"/>
      <c r="H1755" s="22" t="n">
        <v>43000</v>
      </c>
      <c r="I1755" s="22" t="n">
        <v>260000</v>
      </c>
      <c r="J1755" s="20" t="inlineStr">
        <is>
          <t>Basith</t>
        </is>
      </c>
      <c r="K1755" s="20" t="inlineStr">
        <is>
          <t>Non-Captive</t>
        </is>
      </c>
      <c r="L1755" s="20" t="inlineStr">
        <is>
          <t>AM MOTORS</t>
        </is>
      </c>
      <c r="M1755" s="23" t="n">
        <v>8474.58</v>
      </c>
    </row>
    <row r="1756">
      <c r="A1756" s="19" t="inlineStr">
        <is>
          <t>FY26</t>
        </is>
      </c>
      <c r="B1756" s="19" t="inlineStr">
        <is>
          <t>Feb</t>
        </is>
      </c>
      <c r="C1756" s="19" t="inlineStr">
        <is>
          <t>Kerala</t>
        </is>
      </c>
      <c r="D1756" s="20" t="inlineStr">
        <is>
          <t>KL56A1600</t>
        </is>
      </c>
      <c r="E1756" s="20" t="inlineStr">
        <is>
          <t>TOYOTA</t>
        </is>
      </c>
      <c r="F1756" s="20" t="inlineStr">
        <is>
          <t>Innova</t>
        </is>
      </c>
      <c r="G1756" s="21" t="n"/>
      <c r="H1756" s="22" t="n">
        <v>280000</v>
      </c>
      <c r="I1756" s="22" t="n">
        <v>285000</v>
      </c>
      <c r="J1756" s="20" t="inlineStr">
        <is>
          <t>NISHA</t>
        </is>
      </c>
      <c r="K1756" s="20" t="inlineStr">
        <is>
          <t>Non-Captive</t>
        </is>
      </c>
      <c r="L1756" s="20" t="inlineStr">
        <is>
          <t>AMANA TOYOTA</t>
        </is>
      </c>
      <c r="M1756" s="23" t="n">
        <v>4237.29</v>
      </c>
    </row>
    <row r="1757">
      <c r="A1757" s="19" t="inlineStr">
        <is>
          <t>FY26</t>
        </is>
      </c>
      <c r="B1757" s="19" t="inlineStr">
        <is>
          <t>Feb</t>
        </is>
      </c>
      <c r="C1757" s="19" t="inlineStr">
        <is>
          <t>Kerala</t>
        </is>
      </c>
      <c r="D1757" s="20" t="inlineStr">
        <is>
          <t>KL55B6891</t>
        </is>
      </c>
      <c r="E1757" s="20" t="inlineStr">
        <is>
          <t>MARUTI SUZUKI</t>
        </is>
      </c>
      <c r="F1757" s="20" t="inlineStr">
        <is>
          <t>Estilo</t>
        </is>
      </c>
      <c r="G1757" s="21" t="n"/>
      <c r="H1757" s="22" t="n">
        <v>173000</v>
      </c>
      <c r="I1757" s="22" t="n">
        <v>30000</v>
      </c>
      <c r="J1757" s="20" t="inlineStr">
        <is>
          <t>Basith</t>
        </is>
      </c>
      <c r="K1757" s="20" t="inlineStr">
        <is>
          <t>Non-Captive</t>
        </is>
      </c>
      <c r="L1757" s="20" t="inlineStr">
        <is>
          <t>BIMAL</t>
        </is>
      </c>
      <c r="M1757" s="23" t="n">
        <v>4237.29</v>
      </c>
    </row>
    <row r="1758">
      <c r="A1758" s="19" t="inlineStr">
        <is>
          <t>FY26</t>
        </is>
      </c>
      <c r="B1758" s="19" t="inlineStr">
        <is>
          <t>Feb</t>
        </is>
      </c>
      <c r="C1758" s="19" t="inlineStr">
        <is>
          <t>Kerala</t>
        </is>
      </c>
      <c r="D1758" s="20" t="inlineStr">
        <is>
          <t>KL02AU6760</t>
        </is>
      </c>
      <c r="E1758" s="20" t="inlineStr">
        <is>
          <t>FORD</t>
        </is>
      </c>
      <c r="F1758" s="20" t="inlineStr">
        <is>
          <t>Ecosport</t>
        </is>
      </c>
      <c r="G1758" s="21" t="n"/>
      <c r="H1758" s="22" t="n">
        <v>106000</v>
      </c>
      <c r="I1758" s="22" t="n">
        <v>400000</v>
      </c>
      <c r="J1758" s="20" t="inlineStr">
        <is>
          <t>SANOOP</t>
        </is>
      </c>
      <c r="K1758" s="20" t="inlineStr">
        <is>
          <t>Non-Captive</t>
        </is>
      </c>
      <c r="L1758" s="20" t="inlineStr">
        <is>
          <t>UCD SANTHOSH</t>
        </is>
      </c>
      <c r="M1758" s="23" t="n">
        <v>8474.58</v>
      </c>
    </row>
    <row r="1759">
      <c r="A1759" s="19" t="inlineStr">
        <is>
          <t>FY26</t>
        </is>
      </c>
      <c r="B1759" s="19" t="inlineStr">
        <is>
          <t>Feb</t>
        </is>
      </c>
      <c r="C1759" s="19" t="inlineStr">
        <is>
          <t>Kerala</t>
        </is>
      </c>
      <c r="D1759" s="20" t="inlineStr">
        <is>
          <t>KL37D4248</t>
        </is>
      </c>
      <c r="E1759" s="20" t="inlineStr">
        <is>
          <t>MARUTI SUZUKI</t>
        </is>
      </c>
      <c r="F1759" s="20" t="inlineStr">
        <is>
          <t>Alto</t>
        </is>
      </c>
      <c r="G1759" s="21" t="n"/>
      <c r="H1759" s="22" t="n">
        <v>57980</v>
      </c>
      <c r="I1759" s="22" t="n">
        <v>260000</v>
      </c>
      <c r="J1759" s="20" t="inlineStr">
        <is>
          <t>POPULAR MARUTI</t>
        </is>
      </c>
      <c r="K1759" s="20" t="inlineStr">
        <is>
          <t>Non-Captive</t>
        </is>
      </c>
      <c r="L1759" s="20" t="inlineStr">
        <is>
          <t>MUHAMMAD SHAJI</t>
        </is>
      </c>
      <c r="M1759" s="23" t="n">
        <v>11016.95</v>
      </c>
    </row>
    <row r="1760">
      <c r="A1760" s="19" t="inlineStr">
        <is>
          <t>FY26</t>
        </is>
      </c>
      <c r="B1760" s="19" t="inlineStr">
        <is>
          <t>Feb</t>
        </is>
      </c>
      <c r="C1760" s="19" t="inlineStr">
        <is>
          <t>Kerala</t>
        </is>
      </c>
      <c r="D1760" s="20" t="inlineStr">
        <is>
          <t>KL07BQ6871</t>
        </is>
      </c>
      <c r="E1760" s="20" t="inlineStr">
        <is>
          <t>MARUTI SUZUKI</t>
        </is>
      </c>
      <c r="F1760" s="20" t="inlineStr">
        <is>
          <t>Omni</t>
        </is>
      </c>
      <c r="G1760" s="21" t="n"/>
      <c r="H1760" s="22" t="n">
        <v>75756</v>
      </c>
      <c r="I1760" s="22" t="n">
        <v>30000</v>
      </c>
      <c r="J1760" s="20" t="inlineStr">
        <is>
          <t>POPULAR MARUTI</t>
        </is>
      </c>
      <c r="K1760" s="20" t="inlineStr">
        <is>
          <t>Non-Captive</t>
        </is>
      </c>
      <c r="L1760" s="20" t="inlineStr">
        <is>
          <t>RAJEEV A C</t>
        </is>
      </c>
      <c r="M1760" s="23" t="n">
        <v>5084.75</v>
      </c>
    </row>
    <row r="1761">
      <c r="A1761" s="19" t="inlineStr">
        <is>
          <t>FY26</t>
        </is>
      </c>
      <c r="B1761" s="19" t="inlineStr">
        <is>
          <t>Feb</t>
        </is>
      </c>
      <c r="C1761" s="19" t="inlineStr">
        <is>
          <t>Kerala</t>
        </is>
      </c>
      <c r="D1761" s="20" t="inlineStr">
        <is>
          <t>KL57P1708</t>
        </is>
      </c>
      <c r="E1761" s="20" t="inlineStr">
        <is>
          <t>HONDA</t>
        </is>
      </c>
      <c r="F1761" s="20" t="inlineStr">
        <is>
          <t>Jazz</t>
        </is>
      </c>
      <c r="G1761" s="21" t="n"/>
      <c r="H1761" s="22" t="n">
        <v>85760</v>
      </c>
      <c r="I1761" s="22" t="n">
        <v>380000</v>
      </c>
      <c r="J1761" s="20" t="inlineStr">
        <is>
          <t>INCHEON KIA</t>
        </is>
      </c>
      <c r="K1761" s="20" t="inlineStr">
        <is>
          <t>Non-Captive</t>
        </is>
      </c>
      <c r="L1761" s="20" t="inlineStr">
        <is>
          <t>DINESH P S</t>
        </is>
      </c>
      <c r="M1761" s="23" t="n">
        <v>8474.58</v>
      </c>
    </row>
    <row r="1762">
      <c r="A1762" s="19" t="inlineStr">
        <is>
          <t>FY26</t>
        </is>
      </c>
      <c r="B1762" s="19" t="inlineStr">
        <is>
          <t>Feb</t>
        </is>
      </c>
      <c r="C1762" s="19" t="inlineStr">
        <is>
          <t>Kerala</t>
        </is>
      </c>
      <c r="D1762" s="20" t="inlineStr">
        <is>
          <t>KL07BN0257</t>
        </is>
      </c>
      <c r="E1762" s="20" t="inlineStr">
        <is>
          <t>MARUTI SUZUKI</t>
        </is>
      </c>
      <c r="F1762" s="20" t="inlineStr">
        <is>
          <t>Zen</t>
        </is>
      </c>
      <c r="G1762" s="21" t="n"/>
      <c r="H1762" s="22" t="n">
        <v>55942</v>
      </c>
      <c r="I1762" s="22" t="n">
        <v>70000</v>
      </c>
      <c r="J1762" s="20" t="inlineStr">
        <is>
          <t>POPULAR MARUTI</t>
        </is>
      </c>
      <c r="K1762" s="20" t="inlineStr">
        <is>
          <t>Non-Captive</t>
        </is>
      </c>
      <c r="L1762" s="20" t="inlineStr">
        <is>
          <t>VTJ</t>
        </is>
      </c>
      <c r="M1762" s="23" t="n">
        <v>8474.58</v>
      </c>
    </row>
    <row r="1763">
      <c r="A1763" s="19" t="inlineStr">
        <is>
          <t>FY26</t>
        </is>
      </c>
      <c r="B1763" s="19" t="inlineStr">
        <is>
          <t>Feb</t>
        </is>
      </c>
      <c r="C1763" s="19" t="inlineStr">
        <is>
          <t>Kerala</t>
        </is>
      </c>
      <c r="D1763" s="20" t="inlineStr">
        <is>
          <t>KL30B3578</t>
        </is>
      </c>
      <c r="E1763" s="20" t="inlineStr">
        <is>
          <t>HYUNDAI</t>
        </is>
      </c>
      <c r="F1763" s="20" t="inlineStr">
        <is>
          <t>Santro</t>
        </is>
      </c>
      <c r="G1763" s="21" t="n"/>
      <c r="H1763" s="22" t="n">
        <v>108000</v>
      </c>
      <c r="I1763" s="22" t="n">
        <v>50000</v>
      </c>
      <c r="J1763" s="20" t="inlineStr">
        <is>
          <t>ARAVIND</t>
        </is>
      </c>
      <c r="K1763" s="20" t="inlineStr">
        <is>
          <t>Non-Captive</t>
        </is>
      </c>
      <c r="L1763" s="20" t="inlineStr">
        <is>
          <t>TRIVANDRUM MOTORS</t>
        </is>
      </c>
      <c r="M1763" s="23" t="n">
        <v>5084.75</v>
      </c>
    </row>
    <row r="1764">
      <c r="A1764" s="19" t="inlineStr">
        <is>
          <t>FY26</t>
        </is>
      </c>
      <c r="B1764" s="19" t="inlineStr">
        <is>
          <t>Feb</t>
        </is>
      </c>
      <c r="C1764" s="19" t="inlineStr">
        <is>
          <t>Kerala</t>
        </is>
      </c>
      <c r="D1764" s="20" t="inlineStr">
        <is>
          <t>KL01AT7560</t>
        </is>
      </c>
      <c r="E1764" s="20" t="inlineStr">
        <is>
          <t>HYUNDAI</t>
        </is>
      </c>
      <c r="F1764" s="20" t="inlineStr">
        <is>
          <t>Santro</t>
        </is>
      </c>
      <c r="G1764" s="21" t="n"/>
      <c r="H1764" s="22" t="n">
        <v>30500</v>
      </c>
      <c r="I1764" s="22" t="n">
        <v>60000</v>
      </c>
      <c r="J1764" s="20" t="inlineStr">
        <is>
          <t>ARAVIND</t>
        </is>
      </c>
      <c r="K1764" s="20" t="inlineStr">
        <is>
          <t>Non-Captive</t>
        </is>
      </c>
      <c r="L1764" s="20" t="inlineStr">
        <is>
          <t>PPS SKODA</t>
        </is>
      </c>
      <c r="M1764" s="23" t="n">
        <v>5084.75</v>
      </c>
    </row>
    <row r="1765">
      <c r="A1765" s="19" t="inlineStr">
        <is>
          <t>FY26</t>
        </is>
      </c>
      <c r="B1765" s="19" t="inlineStr">
        <is>
          <t>Feb</t>
        </is>
      </c>
      <c r="C1765" s="19" t="inlineStr">
        <is>
          <t>Kerala</t>
        </is>
      </c>
      <c r="D1765" s="20" t="inlineStr">
        <is>
          <t>KL13AD0984</t>
        </is>
      </c>
      <c r="E1765" s="20" t="inlineStr">
        <is>
          <t>HYUNDAI</t>
        </is>
      </c>
      <c r="F1765" s="20" t="inlineStr">
        <is>
          <t>I10</t>
        </is>
      </c>
      <c r="G1765" s="21" t="n"/>
      <c r="H1765" s="22" t="n">
        <v>77000</v>
      </c>
      <c r="I1765" s="22" t="n">
        <v>200000</v>
      </c>
      <c r="J1765" s="20" t="inlineStr">
        <is>
          <t>PRAJOSH</t>
        </is>
      </c>
      <c r="K1765" s="20" t="inlineStr">
        <is>
          <t>Non-Captive</t>
        </is>
      </c>
      <c r="L1765" s="20" t="inlineStr">
        <is>
          <t>DKH KIA</t>
        </is>
      </c>
      <c r="M1765" s="23" t="n">
        <v>4237.29</v>
      </c>
    </row>
    <row r="1766">
      <c r="A1766" s="19" t="inlineStr">
        <is>
          <t>FY26</t>
        </is>
      </c>
      <c r="B1766" s="19" t="inlineStr">
        <is>
          <t>Feb</t>
        </is>
      </c>
      <c r="C1766" s="19" t="inlineStr">
        <is>
          <t>Kerala</t>
        </is>
      </c>
      <c r="D1766" s="20" t="inlineStr">
        <is>
          <t>KL11AT5571</t>
        </is>
      </c>
      <c r="E1766" s="20" t="inlineStr">
        <is>
          <t>MARUTI SUZUKI</t>
        </is>
      </c>
      <c r="F1766" s="20" t="inlineStr">
        <is>
          <t>Swift Dzire</t>
        </is>
      </c>
      <c r="G1766" s="21" t="n"/>
      <c r="H1766" s="22" t="n">
        <v>102267</v>
      </c>
      <c r="I1766" s="22" t="n">
        <v>240000</v>
      </c>
      <c r="J1766" s="20" t="inlineStr">
        <is>
          <t>POPULAR MARUTI</t>
        </is>
      </c>
      <c r="K1766" s="20" t="inlineStr">
        <is>
          <t>Non-Captive</t>
        </is>
      </c>
      <c r="L1766" s="20" t="inlineStr">
        <is>
          <t>ASHRAF T A</t>
        </is>
      </c>
      <c r="M1766" s="23" t="n">
        <v>8474.58</v>
      </c>
    </row>
    <row r="1767">
      <c r="A1767" s="19" t="inlineStr">
        <is>
          <t>FY26</t>
        </is>
      </c>
      <c r="B1767" s="19" t="inlineStr">
        <is>
          <t>Feb</t>
        </is>
      </c>
      <c r="C1767" s="19" t="inlineStr">
        <is>
          <t>Kerala</t>
        </is>
      </c>
      <c r="D1767" s="20" t="inlineStr">
        <is>
          <t>KL55B1566</t>
        </is>
      </c>
      <c r="E1767" s="20" t="inlineStr">
        <is>
          <t>MARUTI SUZUKI</t>
        </is>
      </c>
      <c r="F1767" s="20" t="inlineStr">
        <is>
          <t>M800</t>
        </is>
      </c>
      <c r="G1767" s="21" t="n"/>
      <c r="H1767" s="22" t="n">
        <v>160000</v>
      </c>
      <c r="I1767" s="22" t="n">
        <v>30000</v>
      </c>
      <c r="J1767" s="20" t="inlineStr">
        <is>
          <t>SANOOP</t>
        </is>
      </c>
      <c r="K1767" s="20" t="inlineStr">
        <is>
          <t>Non-Captive</t>
        </is>
      </c>
      <c r="L1767" s="20" t="inlineStr">
        <is>
          <t>BIMAL</t>
        </is>
      </c>
      <c r="M1767" s="23" t="n">
        <v>4237.29</v>
      </c>
    </row>
    <row r="1768">
      <c r="A1768" s="19" t="inlineStr">
        <is>
          <t>FY26</t>
        </is>
      </c>
      <c r="B1768" s="19" t="inlineStr">
        <is>
          <t>Feb</t>
        </is>
      </c>
      <c r="C1768" s="19" t="inlineStr">
        <is>
          <t>Kerala</t>
        </is>
      </c>
      <c r="D1768" s="20" t="inlineStr">
        <is>
          <t>KL13AM3190</t>
        </is>
      </c>
      <c r="E1768" s="20" t="inlineStr">
        <is>
          <t>MARUTI SUZUKI</t>
        </is>
      </c>
      <c r="F1768" s="20" t="inlineStr">
        <is>
          <t>Wagon R</t>
        </is>
      </c>
      <c r="G1768" s="21" t="n"/>
      <c r="H1768" s="22" t="n">
        <v>180000</v>
      </c>
      <c r="I1768" s="22" t="n">
        <v>20000</v>
      </c>
      <c r="J1768" s="20" t="inlineStr">
        <is>
          <t>SARITH</t>
        </is>
      </c>
      <c r="K1768" s="20" t="inlineStr">
        <is>
          <t>Non-Captive</t>
        </is>
      </c>
      <c r="L1768" s="20" t="inlineStr">
        <is>
          <t>INDUS MARUTI</t>
        </is>
      </c>
      <c r="M1768" s="23" t="n">
        <v>4237.29</v>
      </c>
    </row>
    <row r="1769">
      <c r="A1769" s="19" t="inlineStr">
        <is>
          <t>FY26</t>
        </is>
      </c>
      <c r="B1769" s="19" t="inlineStr">
        <is>
          <t>Feb</t>
        </is>
      </c>
      <c r="C1769" s="19" t="inlineStr">
        <is>
          <t>Kerala</t>
        </is>
      </c>
      <c r="D1769" s="20" t="inlineStr">
        <is>
          <t>KL17T7840</t>
        </is>
      </c>
      <c r="E1769" s="20" t="inlineStr">
        <is>
          <t>DATSUN</t>
        </is>
      </c>
      <c r="F1769" s="20" t="inlineStr">
        <is>
          <t>Redi-Go</t>
        </is>
      </c>
      <c r="G1769" s="21" t="n"/>
      <c r="H1769" s="22" t="n">
        <v>69000</v>
      </c>
      <c r="I1769" s="22" t="n">
        <v>130000</v>
      </c>
      <c r="J1769" s="20" t="inlineStr">
        <is>
          <t>NIDEESH MOHAN</t>
        </is>
      </c>
      <c r="K1769" s="20" t="inlineStr">
        <is>
          <t>Non-Captive</t>
        </is>
      </c>
      <c r="L1769" s="20" t="inlineStr">
        <is>
          <t>BIMAL</t>
        </is>
      </c>
      <c r="M1769" s="23" t="n">
        <v>4237.29</v>
      </c>
    </row>
    <row r="1770">
      <c r="A1770" s="19" t="inlineStr">
        <is>
          <t>FY26</t>
        </is>
      </c>
      <c r="B1770" s="19" t="inlineStr">
        <is>
          <t>Feb</t>
        </is>
      </c>
      <c r="C1770" s="19" t="inlineStr">
        <is>
          <t>Kerala</t>
        </is>
      </c>
      <c r="D1770" s="20" t="inlineStr">
        <is>
          <t>KL20R9128</t>
        </is>
      </c>
      <c r="E1770" s="20" t="inlineStr">
        <is>
          <t>MARUTI SUZUKI</t>
        </is>
      </c>
      <c r="F1770" s="20" t="inlineStr">
        <is>
          <t>Alto</t>
        </is>
      </c>
      <c r="G1770" s="21" t="n"/>
      <c r="H1770" s="22" t="n">
        <v>37600</v>
      </c>
      <c r="I1770" s="22" t="n">
        <v>305000</v>
      </c>
      <c r="J1770" s="20" t="inlineStr">
        <is>
          <t>AUTOBOT</t>
        </is>
      </c>
      <c r="K1770" s="20" t="inlineStr">
        <is>
          <t>Non-Captive</t>
        </is>
      </c>
      <c r="L1770" s="20" t="inlineStr">
        <is>
          <t>LUXON TATA</t>
        </is>
      </c>
      <c r="M1770" s="23" t="n">
        <v>4237.29</v>
      </c>
    </row>
    <row r="1771">
      <c r="A1771" s="19" t="inlineStr">
        <is>
          <t>FY26</t>
        </is>
      </c>
      <c r="B1771" s="19" t="inlineStr">
        <is>
          <t>Feb</t>
        </is>
      </c>
      <c r="C1771" s="19" t="inlineStr">
        <is>
          <t>Kerala</t>
        </is>
      </c>
      <c r="D1771" s="20" t="inlineStr">
        <is>
          <t>KL16X9007</t>
        </is>
      </c>
      <c r="E1771" s="20" t="inlineStr">
        <is>
          <t>RENAULT</t>
        </is>
      </c>
      <c r="F1771" s="20" t="inlineStr">
        <is>
          <t>Triber</t>
        </is>
      </c>
      <c r="G1771" s="21" t="n"/>
      <c r="H1771" s="22" t="n">
        <v>57000</v>
      </c>
      <c r="I1771" s="22" t="n">
        <v>335000</v>
      </c>
      <c r="J1771" s="20" t="inlineStr">
        <is>
          <t>ABHISHEK</t>
        </is>
      </c>
      <c r="K1771" s="20" t="inlineStr">
        <is>
          <t>Non-Captive</t>
        </is>
      </c>
      <c r="L1771" s="20" t="inlineStr">
        <is>
          <t>DERIK TATA</t>
        </is>
      </c>
      <c r="M1771" s="23" t="n">
        <v>4237.29</v>
      </c>
    </row>
    <row r="1772">
      <c r="A1772" s="19" t="inlineStr">
        <is>
          <t>FY26</t>
        </is>
      </c>
      <c r="B1772" s="19" t="inlineStr">
        <is>
          <t>Feb</t>
        </is>
      </c>
      <c r="C1772" s="19" t="inlineStr">
        <is>
          <t>Kerala</t>
        </is>
      </c>
      <c r="D1772" s="20" t="inlineStr">
        <is>
          <t>KL30F3711</t>
        </is>
      </c>
      <c r="E1772" s="20" t="inlineStr">
        <is>
          <t>MARUTI SUZUKI</t>
        </is>
      </c>
      <c r="F1772" s="20" t="inlineStr">
        <is>
          <t>Wagon R</t>
        </is>
      </c>
      <c r="G1772" s="21" t="n"/>
      <c r="H1772" s="22" t="n">
        <v>57490</v>
      </c>
      <c r="I1772" s="22" t="n">
        <v>350000</v>
      </c>
      <c r="J1772" s="20" t="inlineStr">
        <is>
          <t>POPULAR MARUTI</t>
        </is>
      </c>
      <c r="K1772" s="20" t="inlineStr">
        <is>
          <t>Non-Captive</t>
        </is>
      </c>
      <c r="L1772" s="20" t="inlineStr">
        <is>
          <t>RAFEEK T A</t>
        </is>
      </c>
      <c r="M1772" s="23" t="n">
        <v>8474.58</v>
      </c>
    </row>
    <row r="1773">
      <c r="A1773" s="19" t="inlineStr">
        <is>
          <t>FY26</t>
        </is>
      </c>
      <c r="B1773" s="19" t="inlineStr">
        <is>
          <t>Feb</t>
        </is>
      </c>
      <c r="C1773" s="19" t="inlineStr">
        <is>
          <t>Kerala</t>
        </is>
      </c>
      <c r="D1773" s="20" t="inlineStr">
        <is>
          <t>KL31K4959</t>
        </is>
      </c>
      <c r="E1773" s="20" t="inlineStr">
        <is>
          <t>RENAULT</t>
        </is>
      </c>
      <c r="F1773" s="20" t="inlineStr">
        <is>
          <t>Kwid</t>
        </is>
      </c>
      <c r="G1773" s="21" t="n"/>
      <c r="H1773" s="22" t="n">
        <v>44753</v>
      </c>
      <c r="I1773" s="22" t="n">
        <v>120000</v>
      </c>
      <c r="J1773" s="20" t="inlineStr">
        <is>
          <t>VARUN B</t>
        </is>
      </c>
      <c r="K1773" s="20" t="inlineStr">
        <is>
          <t>Non-Captive</t>
        </is>
      </c>
      <c r="L1773" s="20" t="inlineStr">
        <is>
          <t>REMIL SARATHY NEXA</t>
        </is>
      </c>
      <c r="M1773" s="23" t="n">
        <v>4237.29</v>
      </c>
    </row>
    <row r="1774">
      <c r="A1774" s="19" t="inlineStr">
        <is>
          <t>FY26</t>
        </is>
      </c>
      <c r="B1774" s="19" t="inlineStr">
        <is>
          <t>Feb</t>
        </is>
      </c>
      <c r="C1774" s="19" t="inlineStr">
        <is>
          <t>Kerala</t>
        </is>
      </c>
      <c r="D1774" s="20" t="inlineStr">
        <is>
          <t>KL78A4978</t>
        </is>
      </c>
      <c r="E1774" s="20" t="inlineStr">
        <is>
          <t>MARUTI SUZUKI</t>
        </is>
      </c>
      <c r="F1774" s="20" t="inlineStr">
        <is>
          <t>Celerio</t>
        </is>
      </c>
      <c r="G1774" s="21" t="n"/>
      <c r="H1774" s="22" t="n">
        <v>32000</v>
      </c>
      <c r="I1774" s="22" t="n">
        <v>395000</v>
      </c>
      <c r="J1774" s="20" t="inlineStr">
        <is>
          <t>NIDEESH MOHAN</t>
        </is>
      </c>
      <c r="K1774" s="20" t="inlineStr">
        <is>
          <t>Non-Captive</t>
        </is>
      </c>
      <c r="L1774" s="20" t="inlineStr">
        <is>
          <t>APCO HYUNDAI</t>
        </is>
      </c>
      <c r="M1774" s="23" t="n">
        <v>4237.29</v>
      </c>
    </row>
    <row r="1775">
      <c r="A1775" s="19" t="inlineStr">
        <is>
          <t>FY26</t>
        </is>
      </c>
      <c r="B1775" s="19" t="inlineStr">
        <is>
          <t>Feb</t>
        </is>
      </c>
      <c r="C1775" s="19" t="inlineStr">
        <is>
          <t>Kerala</t>
        </is>
      </c>
      <c r="D1775" s="20" t="inlineStr">
        <is>
          <t>KL58N2833</t>
        </is>
      </c>
      <c r="E1775" s="20" t="inlineStr">
        <is>
          <t>MARUTI SUZUKI</t>
        </is>
      </c>
      <c r="F1775" s="20" t="inlineStr">
        <is>
          <t>Celerio</t>
        </is>
      </c>
      <c r="G1775" s="21" t="n"/>
      <c r="H1775" s="22" t="n">
        <v>132000</v>
      </c>
      <c r="I1775" s="22" t="n">
        <v>230000</v>
      </c>
      <c r="J1775" s="20" t="inlineStr">
        <is>
          <t>SANOOP KM</t>
        </is>
      </c>
      <c r="K1775" s="20" t="inlineStr">
        <is>
          <t>Non-Captive</t>
        </is>
      </c>
      <c r="L1775" s="20" t="inlineStr">
        <is>
          <t>KVR TATA</t>
        </is>
      </c>
      <c r="M1775" s="23" t="n">
        <v>4237.29</v>
      </c>
    </row>
    <row r="1776">
      <c r="A1776" s="19" t="inlineStr">
        <is>
          <t>FY26</t>
        </is>
      </c>
      <c r="B1776" s="19" t="inlineStr">
        <is>
          <t>Feb</t>
        </is>
      </c>
      <c r="C1776" s="19" t="inlineStr">
        <is>
          <t>Kerala</t>
        </is>
      </c>
      <c r="D1776" s="20" t="inlineStr">
        <is>
          <t>KL20C3658</t>
        </is>
      </c>
      <c r="E1776" s="20" t="inlineStr">
        <is>
          <t>CHEVROLET</t>
        </is>
      </c>
      <c r="F1776" s="20" t="inlineStr">
        <is>
          <t>Beat</t>
        </is>
      </c>
      <c r="G1776" s="21" t="n"/>
      <c r="H1776" s="22" t="n">
        <v>80000</v>
      </c>
      <c r="I1776" s="22" t="n">
        <v>40000</v>
      </c>
      <c r="J1776" s="20" t="inlineStr">
        <is>
          <t>VIJIL MARVEL CARS</t>
        </is>
      </c>
      <c r="K1776" s="20" t="inlineStr">
        <is>
          <t>Non-Captive</t>
        </is>
      </c>
      <c r="L1776" s="20" t="inlineStr">
        <is>
          <t>AMANA TOYOTA</t>
        </is>
      </c>
      <c r="M1776" s="23" t="n">
        <v>4237.29</v>
      </c>
    </row>
    <row r="1777">
      <c r="A1777" s="19" t="inlineStr">
        <is>
          <t>FY26</t>
        </is>
      </c>
      <c r="B1777" s="19" t="inlineStr">
        <is>
          <t>Feb</t>
        </is>
      </c>
      <c r="C1777" s="19" t="inlineStr">
        <is>
          <t>Kerala</t>
        </is>
      </c>
      <c r="D1777" s="20" t="inlineStr">
        <is>
          <t>KL02BP2641</t>
        </is>
      </c>
      <c r="E1777" s="20" t="inlineStr">
        <is>
          <t>MARUTI SUZUKI</t>
        </is>
      </c>
      <c r="F1777" s="20" t="inlineStr">
        <is>
          <t>Ignis</t>
        </is>
      </c>
      <c r="G1777" s="21" t="n"/>
      <c r="H1777" s="22" t="n">
        <v>30310</v>
      </c>
      <c r="I1777" s="22" t="n">
        <v>450000</v>
      </c>
      <c r="J1777" s="20" t="inlineStr">
        <is>
          <t>AKHILNATH</t>
        </is>
      </c>
      <c r="K1777" s="20" t="inlineStr">
        <is>
          <t>Non-Captive</t>
        </is>
      </c>
      <c r="L1777" s="20" t="inlineStr">
        <is>
          <t>RENSON SPRICE HYUNDAI</t>
        </is>
      </c>
      <c r="M1777" s="23" t="n">
        <v>4237.29</v>
      </c>
    </row>
    <row r="1778">
      <c r="A1778" s="19" t="inlineStr">
        <is>
          <t>FY26</t>
        </is>
      </c>
      <c r="B1778" s="19" t="inlineStr">
        <is>
          <t>Feb</t>
        </is>
      </c>
      <c r="C1778" s="19" t="inlineStr">
        <is>
          <t>Kerala</t>
        </is>
      </c>
      <c r="D1778" s="20" t="inlineStr">
        <is>
          <t>KL58F300</t>
        </is>
      </c>
      <c r="E1778" s="20" t="inlineStr">
        <is>
          <t>HYUNDAI</t>
        </is>
      </c>
      <c r="F1778" s="20" t="inlineStr">
        <is>
          <t>I20</t>
        </is>
      </c>
      <c r="G1778" s="21" t="n"/>
      <c r="H1778" s="22" t="n">
        <v>71000</v>
      </c>
      <c r="I1778" s="22" t="n">
        <v>125000</v>
      </c>
      <c r="J1778" s="20" t="inlineStr">
        <is>
          <t>NADIR</t>
        </is>
      </c>
      <c r="K1778" s="20" t="inlineStr">
        <is>
          <t>Non-Captive</t>
        </is>
      </c>
      <c r="L1778" s="20" t="inlineStr">
        <is>
          <t>APCO HYUNDAI</t>
        </is>
      </c>
      <c r="M1778" s="23" t="n">
        <v>5084.75</v>
      </c>
    </row>
    <row r="1779">
      <c r="A1779" s="19" t="inlineStr">
        <is>
          <t>FY26</t>
        </is>
      </c>
      <c r="B1779" s="19" t="inlineStr">
        <is>
          <t>Feb</t>
        </is>
      </c>
      <c r="C1779" s="19" t="inlineStr">
        <is>
          <t>Kerala</t>
        </is>
      </c>
      <c r="D1779" s="20" t="inlineStr">
        <is>
          <t>KL16R5099</t>
        </is>
      </c>
      <c r="E1779" s="20" t="inlineStr">
        <is>
          <t>MARUTI SUZUKI</t>
        </is>
      </c>
      <c r="F1779" s="20" t="inlineStr">
        <is>
          <t>Wagon R</t>
        </is>
      </c>
      <c r="G1779" s="21" t="n"/>
      <c r="H1779" s="22" t="n">
        <v>19868</v>
      </c>
      <c r="I1779" s="22" t="n">
        <v>270000</v>
      </c>
      <c r="J1779" s="20" t="inlineStr">
        <is>
          <t>PRAMOD</t>
        </is>
      </c>
      <c r="K1779" s="20" t="inlineStr">
        <is>
          <t>Non-Captive</t>
        </is>
      </c>
      <c r="L1779" s="20" t="inlineStr">
        <is>
          <t>NOUFAL LUXON TATA</t>
        </is>
      </c>
      <c r="M1779" s="23" t="n">
        <v>4237.29</v>
      </c>
    </row>
    <row r="1780">
      <c r="A1780" s="19" t="inlineStr">
        <is>
          <t>FY26</t>
        </is>
      </c>
      <c r="B1780" s="19" t="inlineStr">
        <is>
          <t>Feb</t>
        </is>
      </c>
      <c r="C1780" s="19" t="inlineStr">
        <is>
          <t>Kerala</t>
        </is>
      </c>
      <c r="D1780" s="20" t="inlineStr">
        <is>
          <t>KL02AS4643</t>
        </is>
      </c>
      <c r="E1780" s="20" t="inlineStr">
        <is>
          <t>MARUTI SUZUKI</t>
        </is>
      </c>
      <c r="F1780" s="20" t="inlineStr">
        <is>
          <t>Alto</t>
        </is>
      </c>
      <c r="G1780" s="21" t="n"/>
      <c r="H1780" s="22" t="n">
        <v>54322</v>
      </c>
      <c r="I1780" s="22" t="n">
        <v>135000</v>
      </c>
      <c r="J1780" s="20" t="inlineStr">
        <is>
          <t>SHAHAR T</t>
        </is>
      </c>
      <c r="K1780" s="20" t="inlineStr">
        <is>
          <t>Non-Captive</t>
        </is>
      </c>
      <c r="L1780" s="20" t="inlineStr">
        <is>
          <t>REMIL MARUTI NEXA</t>
        </is>
      </c>
      <c r="M1780" s="23" t="n">
        <v>4237.29</v>
      </c>
    </row>
    <row r="1781">
      <c r="A1781" s="19" t="inlineStr">
        <is>
          <t>FY26</t>
        </is>
      </c>
      <c r="B1781" s="19" t="inlineStr">
        <is>
          <t>Feb</t>
        </is>
      </c>
      <c r="C1781" s="19" t="inlineStr">
        <is>
          <t>Kerala</t>
        </is>
      </c>
      <c r="D1781" s="20" t="inlineStr">
        <is>
          <t>KL03S7779</t>
        </is>
      </c>
      <c r="E1781" s="20" t="inlineStr">
        <is>
          <t>MARUTI SUZUKI</t>
        </is>
      </c>
      <c r="F1781" s="20" t="inlineStr">
        <is>
          <t>Wagon R</t>
        </is>
      </c>
      <c r="G1781" s="21" t="n"/>
      <c r="H1781" s="22" t="n">
        <v>79879</v>
      </c>
      <c r="I1781" s="22" t="n">
        <v>135000</v>
      </c>
      <c r="J1781" s="20" t="inlineStr">
        <is>
          <t>ANAS HAMEED</t>
        </is>
      </c>
      <c r="K1781" s="20" t="inlineStr">
        <is>
          <t>Non-Captive</t>
        </is>
      </c>
      <c r="L1781" s="20" t="inlineStr">
        <is>
          <t>SUDHEESH K SATHYAN</t>
        </is>
      </c>
      <c r="M1781" s="23" t="n">
        <v>8474.58</v>
      </c>
    </row>
    <row r="1782">
      <c r="A1782" s="19" t="inlineStr">
        <is>
          <t>FY26</t>
        </is>
      </c>
      <c r="B1782" s="19" t="inlineStr">
        <is>
          <t>Feb</t>
        </is>
      </c>
      <c r="C1782" s="19" t="inlineStr">
        <is>
          <t>Kerala</t>
        </is>
      </c>
      <c r="D1782" s="20" t="inlineStr">
        <is>
          <t>KL32H4325</t>
        </is>
      </c>
      <c r="E1782" s="20" t="inlineStr">
        <is>
          <t>HYUNDAI</t>
        </is>
      </c>
      <c r="F1782" s="20" t="inlineStr">
        <is>
          <t>I20</t>
        </is>
      </c>
      <c r="G1782" s="21" t="n"/>
      <c r="H1782" s="22" t="n">
        <v>130298</v>
      </c>
      <c r="I1782" s="22" t="n">
        <v>360000</v>
      </c>
      <c r="J1782" s="20" t="inlineStr">
        <is>
          <t>ANAS HAMEED</t>
        </is>
      </c>
      <c r="K1782" s="20" t="inlineStr">
        <is>
          <t>Non-Captive</t>
        </is>
      </c>
      <c r="L1782" s="20" t="inlineStr">
        <is>
          <t>MUHAMMAD SHAJI</t>
        </is>
      </c>
      <c r="M1782" s="23" t="n">
        <v>4237.29</v>
      </c>
    </row>
    <row r="1783">
      <c r="A1783" s="19" t="inlineStr">
        <is>
          <t>FY26</t>
        </is>
      </c>
      <c r="B1783" s="19" t="inlineStr">
        <is>
          <t>Feb</t>
        </is>
      </c>
      <c r="C1783" s="19" t="inlineStr">
        <is>
          <t>Kerala</t>
        </is>
      </c>
      <c r="D1783" s="20" t="inlineStr">
        <is>
          <t>TN02BJ0988</t>
        </is>
      </c>
      <c r="E1783" s="20" t="inlineStr">
        <is>
          <t>VOLKSWAGEN</t>
        </is>
      </c>
      <c r="F1783" s="20" t="inlineStr">
        <is>
          <t>Polo</t>
        </is>
      </c>
      <c r="G1783" s="21" t="n"/>
      <c r="H1783" s="22" t="n">
        <v>69500</v>
      </c>
      <c r="I1783" s="22" t="n">
        <v>505000</v>
      </c>
      <c r="J1783" s="20" t="inlineStr">
        <is>
          <t>PHOENIX VOLKSWAGEN</t>
        </is>
      </c>
      <c r="K1783" s="20" t="inlineStr">
        <is>
          <t>Non-Captive</t>
        </is>
      </c>
      <c r="L1783" s="20" t="inlineStr">
        <is>
          <t>AITOS CARS</t>
        </is>
      </c>
      <c r="M1783" s="23" t="n">
        <v>8474.58</v>
      </c>
    </row>
    <row r="1784">
      <c r="A1784" s="19" t="inlineStr">
        <is>
          <t>FY26</t>
        </is>
      </c>
      <c r="B1784" s="19" t="inlineStr">
        <is>
          <t>Feb</t>
        </is>
      </c>
      <c r="C1784" s="19" t="inlineStr">
        <is>
          <t>Kerala</t>
        </is>
      </c>
      <c r="D1784" s="20" t="inlineStr">
        <is>
          <t>KL04Y7588</t>
        </is>
      </c>
      <c r="E1784" s="20" t="inlineStr">
        <is>
          <t>HYUNDAI</t>
        </is>
      </c>
      <c r="F1784" s="20" t="inlineStr">
        <is>
          <t>I10</t>
        </is>
      </c>
      <c r="G1784" s="21" t="n"/>
      <c r="H1784" s="22" t="n">
        <v>67204</v>
      </c>
      <c r="I1784" s="22" t="n">
        <v>60000</v>
      </c>
      <c r="J1784" s="20" t="inlineStr">
        <is>
          <t>EVM CITROEN</t>
        </is>
      </c>
      <c r="K1784" s="20" t="inlineStr">
        <is>
          <t>Non-Captive</t>
        </is>
      </c>
      <c r="L1784" s="20" t="inlineStr">
        <is>
          <t>ASHRAF T A</t>
        </is>
      </c>
      <c r="M1784" s="23" t="n">
        <v>8474.58</v>
      </c>
    </row>
    <row r="1785">
      <c r="A1785" s="19" t="inlineStr">
        <is>
          <t>FY26</t>
        </is>
      </c>
      <c r="B1785" s="19" t="inlineStr">
        <is>
          <t>Feb</t>
        </is>
      </c>
      <c r="C1785" s="19" t="inlineStr">
        <is>
          <t>Kerala</t>
        </is>
      </c>
      <c r="D1785" s="20" t="inlineStr">
        <is>
          <t>KL07BR7989</t>
        </is>
      </c>
      <c r="E1785" s="20" t="inlineStr">
        <is>
          <t>MARUTI SUZUKI</t>
        </is>
      </c>
      <c r="F1785" s="20" t="inlineStr">
        <is>
          <t>K10</t>
        </is>
      </c>
      <c r="G1785" s="21" t="n"/>
      <c r="H1785" s="22" t="n">
        <v>79468</v>
      </c>
      <c r="I1785" s="22" t="n">
        <v>88500</v>
      </c>
      <c r="J1785" s="20" t="inlineStr">
        <is>
          <t>POPULAR MARUTI</t>
        </is>
      </c>
      <c r="K1785" s="20" t="inlineStr">
        <is>
          <t>Non-Captive</t>
        </is>
      </c>
      <c r="L1785" s="20" t="inlineStr">
        <is>
          <t>FABITH</t>
        </is>
      </c>
      <c r="M1785" s="23" t="n">
        <v>8474.58</v>
      </c>
    </row>
    <row r="1786">
      <c r="A1786" s="19" t="inlineStr">
        <is>
          <t>FY26</t>
        </is>
      </c>
      <c r="B1786" s="19" t="inlineStr">
        <is>
          <t>Feb</t>
        </is>
      </c>
      <c r="C1786" s="19" t="inlineStr">
        <is>
          <t>Kerala</t>
        </is>
      </c>
      <c r="D1786" s="20" t="inlineStr">
        <is>
          <t>KL13AA7164</t>
        </is>
      </c>
      <c r="E1786" s="20" t="inlineStr">
        <is>
          <t>CHEVROLET</t>
        </is>
      </c>
      <c r="F1786" s="20" t="inlineStr">
        <is>
          <t>Beat</t>
        </is>
      </c>
      <c r="G1786" s="21" t="n"/>
      <c r="H1786" s="22" t="n">
        <v>150000</v>
      </c>
      <c r="I1786" s="22" t="n">
        <v>20000</v>
      </c>
      <c r="J1786" s="20" t="inlineStr">
        <is>
          <t>VIJIL MARVEL CARS</t>
        </is>
      </c>
      <c r="K1786" s="20" t="inlineStr">
        <is>
          <t>Non-Captive</t>
        </is>
      </c>
      <c r="L1786" s="20" t="inlineStr">
        <is>
          <t>AUTOTRUST</t>
        </is>
      </c>
      <c r="M1786" s="23" t="n">
        <v>4237.29</v>
      </c>
    </row>
    <row r="1787">
      <c r="A1787" s="19" t="inlineStr">
        <is>
          <t>FY26</t>
        </is>
      </c>
      <c r="B1787" s="19" t="inlineStr">
        <is>
          <t>Mar</t>
        </is>
      </c>
      <c r="C1787" s="19" t="inlineStr">
        <is>
          <t>Kerala</t>
        </is>
      </c>
      <c r="D1787" s="20" t="inlineStr">
        <is>
          <t>KL39R4921</t>
        </is>
      </c>
      <c r="E1787" s="20" t="inlineStr">
        <is>
          <t>NISSAN</t>
        </is>
      </c>
      <c r="F1787" s="20" t="inlineStr">
        <is>
          <t>Magnite</t>
        </is>
      </c>
      <c r="G1787" s="21" t="n"/>
      <c r="H1787" s="22" t="n">
        <v>41000</v>
      </c>
      <c r="I1787" s="22" t="n">
        <v>435000</v>
      </c>
      <c r="J1787" s="20" t="inlineStr">
        <is>
          <t>NIRANJAN</t>
        </is>
      </c>
      <c r="K1787" s="20" t="inlineStr">
        <is>
          <t>Non-Captive</t>
        </is>
      </c>
      <c r="L1787" s="20" t="inlineStr">
        <is>
          <t>SANTHOSH</t>
        </is>
      </c>
      <c r="M1787" s="23" t="n">
        <v>8474.58</v>
      </c>
    </row>
    <row r="1788">
      <c r="A1788" s="19" t="inlineStr">
        <is>
          <t>FY26</t>
        </is>
      </c>
      <c r="B1788" s="19" t="inlineStr">
        <is>
          <t>Mar</t>
        </is>
      </c>
      <c r="C1788" s="19" t="inlineStr">
        <is>
          <t>Kerala</t>
        </is>
      </c>
      <c r="D1788" s="20" t="inlineStr">
        <is>
          <t>KL14T0826</t>
        </is>
      </c>
      <c r="E1788" s="20" t="inlineStr">
        <is>
          <t>MARUTI SUZUKI</t>
        </is>
      </c>
      <c r="F1788" s="20" t="inlineStr">
        <is>
          <t>Swift</t>
        </is>
      </c>
      <c r="G1788" s="21" t="n"/>
      <c r="H1788" s="22" t="n">
        <v>107000</v>
      </c>
      <c r="I1788" s="22" t="n">
        <v>421000</v>
      </c>
      <c r="J1788" s="20" t="inlineStr">
        <is>
          <t>NISAB</t>
        </is>
      </c>
      <c r="K1788" s="20" t="inlineStr">
        <is>
          <t>Non-Captive</t>
        </is>
      </c>
      <c r="L1788" s="20" t="inlineStr">
        <is>
          <t>PRAJOTH</t>
        </is>
      </c>
      <c r="M1788" s="23" t="n">
        <v>7627.12</v>
      </c>
    </row>
    <row r="1789">
      <c r="A1789" s="19" t="inlineStr">
        <is>
          <t>FY26</t>
        </is>
      </c>
      <c r="B1789" s="19" t="inlineStr">
        <is>
          <t>Mar</t>
        </is>
      </c>
      <c r="C1789" s="19" t="inlineStr">
        <is>
          <t>Kerala</t>
        </is>
      </c>
      <c r="D1789" s="20" t="inlineStr">
        <is>
          <t>KL07BM6035</t>
        </is>
      </c>
      <c r="E1789" s="20" t="inlineStr">
        <is>
          <t>HYUNDAI</t>
        </is>
      </c>
      <c r="F1789" s="20" t="inlineStr">
        <is>
          <t>Santro</t>
        </is>
      </c>
      <c r="G1789" s="21" t="n"/>
      <c r="H1789" s="22" t="n">
        <v>100000</v>
      </c>
      <c r="I1789" s="22" t="n">
        <v>65000</v>
      </c>
      <c r="J1789" s="20" t="inlineStr">
        <is>
          <t>SANOOP KM</t>
        </is>
      </c>
      <c r="K1789" s="20" t="inlineStr">
        <is>
          <t>Non-Captive</t>
        </is>
      </c>
      <c r="L1789" s="20" t="inlineStr">
        <is>
          <t>BIMAL</t>
        </is>
      </c>
      <c r="M1789" s="23" t="n">
        <v>4237.29</v>
      </c>
    </row>
    <row r="1790">
      <c r="A1790" s="19" t="inlineStr">
        <is>
          <t>FY26</t>
        </is>
      </c>
      <c r="B1790" s="19" t="inlineStr">
        <is>
          <t>Mar</t>
        </is>
      </c>
      <c r="C1790" s="19" t="inlineStr">
        <is>
          <t>Kerala</t>
        </is>
      </c>
      <c r="D1790" s="20" t="inlineStr">
        <is>
          <t>KL11AW1914</t>
        </is>
      </c>
      <c r="E1790" s="20" t="inlineStr">
        <is>
          <t>RENAULT</t>
        </is>
      </c>
      <c r="F1790" s="20" t="inlineStr">
        <is>
          <t>Duster</t>
        </is>
      </c>
      <c r="G1790" s="21" t="n"/>
      <c r="H1790" s="22" t="n">
        <v>83000</v>
      </c>
      <c r="I1790" s="22" t="n">
        <v>245000</v>
      </c>
      <c r="J1790" s="20" t="inlineStr">
        <is>
          <t>PRASEED KUMAR</t>
        </is>
      </c>
      <c r="K1790" s="20" t="inlineStr">
        <is>
          <t>Non-Captive</t>
        </is>
      </c>
      <c r="L1790" s="20" t="inlineStr">
        <is>
          <t>MOTOEXCHANGE</t>
        </is>
      </c>
      <c r="M1790" s="23" t="n">
        <v>8474.58</v>
      </c>
    </row>
    <row r="1791">
      <c r="A1791" s="19" t="inlineStr">
        <is>
          <t>FY26</t>
        </is>
      </c>
      <c r="B1791" s="19" t="inlineStr">
        <is>
          <t>Mar</t>
        </is>
      </c>
      <c r="C1791" s="19" t="inlineStr">
        <is>
          <t>Kerala</t>
        </is>
      </c>
      <c r="D1791" s="20" t="inlineStr">
        <is>
          <t>KL58G5594</t>
        </is>
      </c>
      <c r="E1791" s="20" t="inlineStr">
        <is>
          <t>MARUTI SUZUKI</t>
        </is>
      </c>
      <c r="F1791" s="20" t="inlineStr">
        <is>
          <t>Swift</t>
        </is>
      </c>
      <c r="G1791" s="21" t="n"/>
      <c r="H1791" s="22" t="n">
        <v>117000</v>
      </c>
      <c r="I1791" s="22" t="n">
        <v>247000</v>
      </c>
      <c r="J1791" s="20" t="inlineStr">
        <is>
          <t>RASIQUE BASHEER</t>
        </is>
      </c>
      <c r="K1791" s="20" t="inlineStr">
        <is>
          <t>Non-Captive</t>
        </is>
      </c>
      <c r="L1791" s="20" t="inlineStr">
        <is>
          <t>EVM SKODA</t>
        </is>
      </c>
      <c r="M1791" s="23" t="n">
        <v>4237.29</v>
      </c>
    </row>
    <row r="1792">
      <c r="A1792" s="19" t="inlineStr">
        <is>
          <t>FY26</t>
        </is>
      </c>
      <c r="B1792" s="19" t="inlineStr">
        <is>
          <t>Mar</t>
        </is>
      </c>
      <c r="C1792" s="19" t="inlineStr">
        <is>
          <t>Kerala</t>
        </is>
      </c>
      <c r="D1792" s="20" t="inlineStr">
        <is>
          <t>KL13AH8640</t>
        </is>
      </c>
      <c r="E1792" s="20" t="inlineStr">
        <is>
          <t>MARUTI SUZUKI</t>
        </is>
      </c>
      <c r="F1792" s="20" t="inlineStr">
        <is>
          <t>Swift</t>
        </is>
      </c>
      <c r="G1792" s="21" t="n"/>
      <c r="H1792" s="22" t="n">
        <v>62000</v>
      </c>
      <c r="I1792" s="22" t="n">
        <v>370000</v>
      </c>
      <c r="J1792" s="20" t="inlineStr">
        <is>
          <t>VASIL</t>
        </is>
      </c>
      <c r="K1792" s="20" t="inlineStr">
        <is>
          <t>Non-Captive</t>
        </is>
      </c>
      <c r="L1792" s="20" t="inlineStr">
        <is>
          <t>CLASSIC HYUNDAI</t>
        </is>
      </c>
      <c r="M1792" s="23" t="n">
        <v>8474.58</v>
      </c>
    </row>
    <row r="1793">
      <c r="A1793" s="19" t="inlineStr">
        <is>
          <t>FY26</t>
        </is>
      </c>
      <c r="B1793" s="19" t="inlineStr">
        <is>
          <t>Mar</t>
        </is>
      </c>
      <c r="C1793" s="19" t="inlineStr">
        <is>
          <t>Kerala</t>
        </is>
      </c>
      <c r="D1793" s="20" t="inlineStr">
        <is>
          <t>KL01DG4009</t>
        </is>
      </c>
      <c r="E1793" s="20" t="inlineStr">
        <is>
          <t>RENAULT</t>
        </is>
      </c>
      <c r="F1793" s="20" t="inlineStr">
        <is>
          <t>Triber</t>
        </is>
      </c>
      <c r="G1793" s="21" t="n"/>
      <c r="H1793" s="22" t="n">
        <v>3500</v>
      </c>
      <c r="I1793" s="22" t="n">
        <v>620000</v>
      </c>
      <c r="J1793" s="20" t="inlineStr">
        <is>
          <t>ABHISHEK</t>
        </is>
      </c>
      <c r="K1793" s="20" t="inlineStr">
        <is>
          <t>Non-Captive</t>
        </is>
      </c>
      <c r="L1793" s="20" t="inlineStr">
        <is>
          <t>CBC MAHINDRA</t>
        </is>
      </c>
      <c r="M1793" s="23" t="n">
        <v>8474.58</v>
      </c>
    </row>
    <row r="1794">
      <c r="A1794" s="19" t="inlineStr">
        <is>
          <t>FY26</t>
        </is>
      </c>
      <c r="B1794" s="19" t="inlineStr">
        <is>
          <t>Mar</t>
        </is>
      </c>
      <c r="C1794" s="19" t="inlineStr">
        <is>
          <t>Kerala</t>
        </is>
      </c>
      <c r="D1794" s="20" t="inlineStr">
        <is>
          <t>KL24B3492</t>
        </is>
      </c>
      <c r="E1794" s="20" t="inlineStr">
        <is>
          <t>MARUTI SUZUKI</t>
        </is>
      </c>
      <c r="F1794" s="20" t="inlineStr">
        <is>
          <t>Wagon R</t>
        </is>
      </c>
      <c r="G1794" s="21" t="n"/>
      <c r="H1794" s="22" t="n">
        <v>112000</v>
      </c>
      <c r="I1794" s="22" t="n">
        <v>90000</v>
      </c>
      <c r="J1794" s="20" t="inlineStr">
        <is>
          <t>AKHILNATH</t>
        </is>
      </c>
      <c r="K1794" s="20" t="inlineStr">
        <is>
          <t>Non-Captive</t>
        </is>
      </c>
      <c r="L1794" s="20" t="inlineStr">
        <is>
          <t>PINNACLE NISSAN</t>
        </is>
      </c>
      <c r="M1794" s="23" t="n">
        <v>5932.2</v>
      </c>
    </row>
    <row r="1795">
      <c r="A1795" s="19" t="inlineStr">
        <is>
          <t>FY26</t>
        </is>
      </c>
      <c r="B1795" s="19" t="inlineStr">
        <is>
          <t>Mar</t>
        </is>
      </c>
      <c r="C1795" s="19" t="inlineStr">
        <is>
          <t>Kerala</t>
        </is>
      </c>
      <c r="D1795" s="20" t="inlineStr">
        <is>
          <t>KL08BK0717</t>
        </is>
      </c>
      <c r="E1795" s="20" t="inlineStr">
        <is>
          <t>VOLKSWAGEN</t>
        </is>
      </c>
      <c r="F1795" s="20" t="inlineStr">
        <is>
          <t>Polo</t>
        </is>
      </c>
      <c r="G1795" s="21" t="n"/>
      <c r="H1795" s="22" t="n">
        <v>20000</v>
      </c>
      <c r="I1795" s="22" t="n">
        <v>700000</v>
      </c>
      <c r="J1795" s="20" t="inlineStr">
        <is>
          <t>PHOENIX VOLKSWAGEN</t>
        </is>
      </c>
      <c r="K1795" s="20" t="inlineStr">
        <is>
          <t>Non-Captive</t>
        </is>
      </c>
      <c r="L1795" s="20" t="inlineStr">
        <is>
          <t>UMESHKUMAR T U</t>
        </is>
      </c>
      <c r="M1795" s="23" t="n">
        <v>12711.86</v>
      </c>
    </row>
    <row r="1796">
      <c r="A1796" s="19" t="inlineStr">
        <is>
          <t>FY26</t>
        </is>
      </c>
      <c r="B1796" s="19" t="inlineStr">
        <is>
          <t>Mar</t>
        </is>
      </c>
      <c r="C1796" s="19" t="inlineStr">
        <is>
          <t>Kerala</t>
        </is>
      </c>
      <c r="D1796" s="20" t="inlineStr">
        <is>
          <t>KL48S4341</t>
        </is>
      </c>
      <c r="E1796" s="20" t="inlineStr">
        <is>
          <t>VOLKSWAGEN</t>
        </is>
      </c>
      <c r="F1796" s="20" t="inlineStr">
        <is>
          <t>Taigun</t>
        </is>
      </c>
      <c r="G1796" s="21" t="n"/>
      <c r="H1796" s="22" t="n">
        <v>22000</v>
      </c>
      <c r="I1796" s="22" t="n">
        <v>1135000</v>
      </c>
      <c r="J1796" s="20" t="inlineStr">
        <is>
          <t>PHOENIX VOLKSWAGEN</t>
        </is>
      </c>
      <c r="K1796" s="20" t="inlineStr">
        <is>
          <t>Non-Captive</t>
        </is>
      </c>
      <c r="L1796" s="20" t="inlineStr">
        <is>
          <t>KAPS CARS</t>
        </is>
      </c>
      <c r="M1796" s="23" t="n">
        <v>12711.86</v>
      </c>
    </row>
    <row r="1797">
      <c r="A1797" s="19" t="inlineStr">
        <is>
          <t>FY26</t>
        </is>
      </c>
      <c r="B1797" s="19" t="inlineStr">
        <is>
          <t>Mar</t>
        </is>
      </c>
      <c r="C1797" s="19" t="inlineStr">
        <is>
          <t>Kerala</t>
        </is>
      </c>
      <c r="D1797" s="20" t="inlineStr">
        <is>
          <t>KL07CD6065</t>
        </is>
      </c>
      <c r="E1797" s="20" t="inlineStr">
        <is>
          <t>TATA</t>
        </is>
      </c>
      <c r="F1797" s="20" t="inlineStr">
        <is>
          <t>Nano</t>
        </is>
      </c>
      <c r="G1797" s="21" t="n"/>
      <c r="H1797" s="22" t="n">
        <v>46000</v>
      </c>
      <c r="I1797" s="22" t="n">
        <v>99000</v>
      </c>
      <c r="J1797" s="20" t="inlineStr">
        <is>
          <t>POPULAR MARUTI</t>
        </is>
      </c>
      <c r="K1797" s="20" t="inlineStr">
        <is>
          <t>Non-Captive</t>
        </is>
      </c>
      <c r="L1797" s="20" t="inlineStr">
        <is>
          <t>RAFEEK T A</t>
        </is>
      </c>
      <c r="M1797" s="23" t="n">
        <v>8474.58</v>
      </c>
    </row>
    <row r="1798">
      <c r="A1798" s="19" t="inlineStr">
        <is>
          <t>FY26</t>
        </is>
      </c>
      <c r="B1798" s="19" t="inlineStr">
        <is>
          <t>Mar</t>
        </is>
      </c>
      <c r="C1798" s="19" t="inlineStr">
        <is>
          <t>Kerala</t>
        </is>
      </c>
      <c r="D1798" s="20" t="inlineStr">
        <is>
          <t>KL32D9934</t>
        </is>
      </c>
      <c r="E1798" s="20" t="inlineStr">
        <is>
          <t>TATA</t>
        </is>
      </c>
      <c r="F1798" s="20" t="inlineStr">
        <is>
          <t>Nano</t>
        </is>
      </c>
      <c r="G1798" s="21" t="n"/>
      <c r="H1798" s="22" t="n">
        <v>45000</v>
      </c>
      <c r="I1798" s="22" t="n">
        <v>18000</v>
      </c>
      <c r="J1798" s="20" t="inlineStr">
        <is>
          <t>EVM CITROEN</t>
        </is>
      </c>
      <c r="K1798" s="20" t="inlineStr">
        <is>
          <t>Non-Captive</t>
        </is>
      </c>
      <c r="L1798" s="20" t="inlineStr">
        <is>
          <t>HUSSAIN O E</t>
        </is>
      </c>
      <c r="M1798" s="23" t="n">
        <v>8474.58</v>
      </c>
    </row>
    <row r="1799">
      <c r="A1799" s="19" t="inlineStr">
        <is>
          <t>FY26</t>
        </is>
      </c>
      <c r="B1799" s="19" t="inlineStr">
        <is>
          <t>Mar</t>
        </is>
      </c>
      <c r="C1799" s="19" t="inlineStr">
        <is>
          <t>Kerala</t>
        </is>
      </c>
      <c r="D1799" s="20" t="inlineStr">
        <is>
          <t>KL07CV2148</t>
        </is>
      </c>
      <c r="E1799" s="20" t="inlineStr">
        <is>
          <t>RENAULT</t>
        </is>
      </c>
      <c r="F1799" s="20" t="inlineStr">
        <is>
          <t>Triber</t>
        </is>
      </c>
      <c r="G1799" s="21" t="n"/>
      <c r="H1799" s="22" t="n">
        <v>49100</v>
      </c>
      <c r="I1799" s="22" t="n">
        <v>400000</v>
      </c>
      <c r="J1799" s="20" t="inlineStr">
        <is>
          <t>JISHNU PRIYAN</t>
        </is>
      </c>
      <c r="K1799" s="20" t="inlineStr">
        <is>
          <t>Non-Captive</t>
        </is>
      </c>
      <c r="L1799" s="20" t="inlineStr">
        <is>
          <t>AITOS CARS</t>
        </is>
      </c>
      <c r="M1799" s="23" t="n">
        <v>8474.58</v>
      </c>
    </row>
    <row r="1800">
      <c r="A1800" s="19" t="inlineStr">
        <is>
          <t>FY26</t>
        </is>
      </c>
      <c r="B1800" s="19" t="inlineStr">
        <is>
          <t>Mar</t>
        </is>
      </c>
      <c r="C1800" s="19" t="inlineStr">
        <is>
          <t>Kerala</t>
        </is>
      </c>
      <c r="D1800" s="20" t="inlineStr">
        <is>
          <t>KL08BL3234</t>
        </is>
      </c>
      <c r="E1800" s="20" t="inlineStr">
        <is>
          <t>SKODA</t>
        </is>
      </c>
      <c r="F1800" s="20" t="inlineStr">
        <is>
          <t>Rapid</t>
        </is>
      </c>
      <c r="G1800" s="21" t="n"/>
      <c r="H1800" s="22" t="n">
        <v>144371</v>
      </c>
      <c r="I1800" s="22" t="n">
        <v>290000</v>
      </c>
      <c r="J1800" s="20" t="inlineStr">
        <is>
          <t>PHOENIX VOLKSWAGEN</t>
        </is>
      </c>
      <c r="K1800" s="20" t="inlineStr">
        <is>
          <t>Non-Captive</t>
        </is>
      </c>
      <c r="L1800" s="20" t="inlineStr">
        <is>
          <t>UMESHKUMAR T U</t>
        </is>
      </c>
      <c r="M1800" s="23" t="n">
        <v>8474.58</v>
      </c>
    </row>
    <row r="1801">
      <c r="A1801" s="19" t="inlineStr">
        <is>
          <t>FY26</t>
        </is>
      </c>
      <c r="B1801" s="19" t="inlineStr">
        <is>
          <t>Mar</t>
        </is>
      </c>
      <c r="C1801" s="19" t="inlineStr">
        <is>
          <t>Kerala</t>
        </is>
      </c>
      <c r="D1801" s="20" t="inlineStr">
        <is>
          <t>KL05Y8435</t>
        </is>
      </c>
      <c r="E1801" s="20" t="inlineStr">
        <is>
          <t>MARUTI SUZUKI</t>
        </is>
      </c>
      <c r="F1801" s="20" t="inlineStr">
        <is>
          <t>Alto</t>
        </is>
      </c>
      <c r="G1801" s="21" t="n"/>
      <c r="H1801" s="22" t="n">
        <v>108797</v>
      </c>
      <c r="I1801" s="22" t="n">
        <v>74000</v>
      </c>
      <c r="J1801" s="20" t="inlineStr">
        <is>
          <t>POPULAR MARUTI</t>
        </is>
      </c>
      <c r="K1801" s="20" t="inlineStr">
        <is>
          <t>Non-Captive</t>
        </is>
      </c>
      <c r="L1801" s="20" t="inlineStr">
        <is>
          <t>RAFEEK T A</t>
        </is>
      </c>
      <c r="M1801" s="23" t="n">
        <v>8474.58</v>
      </c>
    </row>
    <row r="1802">
      <c r="A1802" s="19" t="inlineStr">
        <is>
          <t>FY26</t>
        </is>
      </c>
      <c r="B1802" s="19" t="inlineStr">
        <is>
          <t>Mar</t>
        </is>
      </c>
      <c r="C1802" s="19" t="inlineStr">
        <is>
          <t>Kerala</t>
        </is>
      </c>
      <c r="D1802" s="20" t="inlineStr">
        <is>
          <t>KL33J2526</t>
        </is>
      </c>
      <c r="E1802" s="20" t="inlineStr">
        <is>
          <t>RENAULT</t>
        </is>
      </c>
      <c r="F1802" s="20" t="inlineStr">
        <is>
          <t>Kwid</t>
        </is>
      </c>
      <c r="G1802" s="21" t="n"/>
      <c r="H1802" s="22" t="n">
        <v>58098</v>
      </c>
      <c r="I1802" s="22" t="n">
        <v>175000</v>
      </c>
      <c r="J1802" s="20" t="inlineStr">
        <is>
          <t>POPULAR MARUTI</t>
        </is>
      </c>
      <c r="K1802" s="20" t="inlineStr">
        <is>
          <t>Non-Captive</t>
        </is>
      </c>
      <c r="L1802" s="20" t="inlineStr">
        <is>
          <t>GOOD CHOICE</t>
        </is>
      </c>
      <c r="M1802" s="23" t="n">
        <v>8474.58</v>
      </c>
    </row>
    <row r="1803">
      <c r="A1803" s="19" t="inlineStr">
        <is>
          <t>FY26</t>
        </is>
      </c>
      <c r="B1803" s="19" t="inlineStr">
        <is>
          <t>Mar</t>
        </is>
      </c>
      <c r="C1803" s="19" t="inlineStr">
        <is>
          <t>Kerala</t>
        </is>
      </c>
      <c r="D1803" s="20" t="inlineStr">
        <is>
          <t>KL21P8685</t>
        </is>
      </c>
      <c r="E1803" s="20" t="inlineStr">
        <is>
          <t>RENAULT</t>
        </is>
      </c>
      <c r="F1803" s="20" t="inlineStr">
        <is>
          <t>Kwid</t>
        </is>
      </c>
      <c r="G1803" s="21" t="n"/>
      <c r="H1803" s="22" t="n">
        <v>27036</v>
      </c>
      <c r="I1803" s="22" t="n">
        <v>175000</v>
      </c>
      <c r="J1803" s="20" t="inlineStr">
        <is>
          <t>JISHNU PRIYAN</t>
        </is>
      </c>
      <c r="K1803" s="20" t="inlineStr">
        <is>
          <t>Non-Captive</t>
        </is>
      </c>
      <c r="L1803" s="20" t="inlineStr">
        <is>
          <t>VTJ</t>
        </is>
      </c>
      <c r="M1803" s="23" t="n">
        <v>8474.58</v>
      </c>
    </row>
    <row r="1804">
      <c r="A1804" s="19" t="inlineStr">
        <is>
          <t>FY26</t>
        </is>
      </c>
      <c r="B1804" s="19" t="inlineStr">
        <is>
          <t>Mar</t>
        </is>
      </c>
      <c r="C1804" s="19" t="inlineStr">
        <is>
          <t>Kerala</t>
        </is>
      </c>
      <c r="D1804" s="20" t="inlineStr">
        <is>
          <t>KL02BH2945</t>
        </is>
      </c>
      <c r="E1804" s="20" t="inlineStr">
        <is>
          <t>TATA</t>
        </is>
      </c>
      <c r="F1804" s="20" t="inlineStr">
        <is>
          <t>Tiago</t>
        </is>
      </c>
      <c r="G1804" s="21" t="n"/>
      <c r="H1804" s="22" t="n">
        <v>42400</v>
      </c>
      <c r="I1804" s="22" t="n">
        <v>195000</v>
      </c>
      <c r="J1804" s="20" t="inlineStr">
        <is>
          <t>SARATHY MARUTI</t>
        </is>
      </c>
      <c r="K1804" s="20" t="inlineStr">
        <is>
          <t>Non-Captive</t>
        </is>
      </c>
      <c r="L1804" s="20" t="inlineStr">
        <is>
          <t>SETHUNATH</t>
        </is>
      </c>
      <c r="M1804" s="23" t="n">
        <v>4237.29</v>
      </c>
    </row>
    <row r="1805">
      <c r="A1805" s="19" t="inlineStr">
        <is>
          <t>FY26</t>
        </is>
      </c>
      <c r="B1805" s="19" t="inlineStr">
        <is>
          <t>Mar</t>
        </is>
      </c>
      <c r="C1805" s="19" t="inlineStr">
        <is>
          <t>Kerala</t>
        </is>
      </c>
      <c r="D1805" s="20" t="inlineStr">
        <is>
          <t>KL07BF2159</t>
        </is>
      </c>
      <c r="E1805" s="20" t="inlineStr">
        <is>
          <t>HONDA</t>
        </is>
      </c>
      <c r="F1805" s="20" t="inlineStr">
        <is>
          <t>City</t>
        </is>
      </c>
      <c r="G1805" s="21" t="n"/>
      <c r="H1805" s="22" t="n">
        <v>77140</v>
      </c>
      <c r="I1805" s="22" t="n">
        <v>50000</v>
      </c>
      <c r="J1805" s="20" t="inlineStr">
        <is>
          <t>POPULAR MARUTI</t>
        </is>
      </c>
      <c r="K1805" s="20" t="inlineStr">
        <is>
          <t>Non-Captive</t>
        </is>
      </c>
      <c r="L1805" s="20" t="inlineStr">
        <is>
          <t>PRAJOTH</t>
        </is>
      </c>
      <c r="M1805" s="23" t="n">
        <v>5084.75</v>
      </c>
    </row>
    <row r="1806">
      <c r="A1806" s="19" t="inlineStr">
        <is>
          <t>FY26</t>
        </is>
      </c>
      <c r="B1806" s="19" t="inlineStr">
        <is>
          <t>Mar</t>
        </is>
      </c>
      <c r="C1806" s="19" t="inlineStr">
        <is>
          <t>Kerala</t>
        </is>
      </c>
      <c r="D1806" s="20" t="inlineStr">
        <is>
          <t>KL01CP7253</t>
        </is>
      </c>
      <c r="E1806" s="20" t="inlineStr">
        <is>
          <t>MARUTI SUZUKI</t>
        </is>
      </c>
      <c r="F1806" s="20" t="inlineStr">
        <is>
          <t>Ertiga</t>
        </is>
      </c>
      <c r="G1806" s="21" t="n"/>
      <c r="H1806" s="22" t="n">
        <v>54500</v>
      </c>
      <c r="I1806" s="22" t="n">
        <v>695000</v>
      </c>
      <c r="J1806" s="20" t="inlineStr">
        <is>
          <t>REFERENCE</t>
        </is>
      </c>
      <c r="K1806" s="20" t="inlineStr">
        <is>
          <t>Non-Captive</t>
        </is>
      </c>
      <c r="L1806" s="20" t="inlineStr">
        <is>
          <t>PRAJOTH</t>
        </is>
      </c>
      <c r="M1806" s="23" t="n">
        <v>8474.58</v>
      </c>
    </row>
    <row r="1807">
      <c r="A1807" s="19" t="inlineStr">
        <is>
          <t>FY26</t>
        </is>
      </c>
      <c r="B1807" s="19" t="inlineStr">
        <is>
          <t>Mar</t>
        </is>
      </c>
      <c r="C1807" s="19" t="inlineStr">
        <is>
          <t>Kerala</t>
        </is>
      </c>
      <c r="D1807" s="20" t="inlineStr">
        <is>
          <t>KL08BM6496</t>
        </is>
      </c>
      <c r="E1807" s="20" t="inlineStr">
        <is>
          <t>MARUTI SUZUKI</t>
        </is>
      </c>
      <c r="F1807" s="20" t="inlineStr">
        <is>
          <t>Ignis</t>
        </is>
      </c>
      <c r="G1807" s="21" t="n"/>
      <c r="H1807" s="22" t="n">
        <v>53260</v>
      </c>
      <c r="I1807" s="22" t="n">
        <v>400000</v>
      </c>
      <c r="J1807" s="20" t="inlineStr">
        <is>
          <t>ERAM MOTORS</t>
        </is>
      </c>
      <c r="K1807" s="20" t="inlineStr">
        <is>
          <t>Non-Captive</t>
        </is>
      </c>
      <c r="L1807" s="20" t="inlineStr">
        <is>
          <t>AITOS CARS</t>
        </is>
      </c>
      <c r="M1807" s="23" t="n">
        <v>8474.58</v>
      </c>
    </row>
    <row r="1808">
      <c r="A1808" s="19" t="inlineStr">
        <is>
          <t>FY26</t>
        </is>
      </c>
      <c r="B1808" s="19" t="inlineStr">
        <is>
          <t>Mar</t>
        </is>
      </c>
      <c r="C1808" s="19" t="inlineStr">
        <is>
          <t>Kerala</t>
        </is>
      </c>
      <c r="D1808" s="20" t="inlineStr">
        <is>
          <t>KL398096</t>
        </is>
      </c>
      <c r="E1808" s="20" t="inlineStr">
        <is>
          <t>HYUNDAI</t>
        </is>
      </c>
      <c r="F1808" s="20" t="inlineStr">
        <is>
          <t>Santro</t>
        </is>
      </c>
      <c r="G1808" s="21" t="n"/>
      <c r="H1808" s="22" t="n">
        <v>78058</v>
      </c>
      <c r="I1808" s="22" t="n">
        <v>60000</v>
      </c>
      <c r="J1808" s="20" t="inlineStr">
        <is>
          <t>JISHNU PRIYAN</t>
        </is>
      </c>
      <c r="K1808" s="20" t="inlineStr">
        <is>
          <t>Non-Captive</t>
        </is>
      </c>
      <c r="L1808" s="20" t="inlineStr">
        <is>
          <t>NISHAD</t>
        </is>
      </c>
      <c r="M1808" s="23" t="n">
        <v>6779.66</v>
      </c>
    </row>
    <row r="1809">
      <c r="A1809" s="19" t="inlineStr">
        <is>
          <t>FY26</t>
        </is>
      </c>
      <c r="B1809" s="19" t="inlineStr">
        <is>
          <t>Mar</t>
        </is>
      </c>
      <c r="C1809" s="19" t="inlineStr">
        <is>
          <t>Kerala</t>
        </is>
      </c>
      <c r="D1809" s="20" t="inlineStr">
        <is>
          <t>KL35E6382</t>
        </is>
      </c>
      <c r="E1809" s="20" t="inlineStr">
        <is>
          <t>MARUTI SUZUKI</t>
        </is>
      </c>
      <c r="F1809" s="20" t="inlineStr">
        <is>
          <t>Ertiga</t>
        </is>
      </c>
      <c r="G1809" s="21" t="n"/>
      <c r="H1809" s="22" t="n">
        <v>143500</v>
      </c>
      <c r="I1809" s="22" t="n">
        <v>300000</v>
      </c>
      <c r="J1809" s="20" t="inlineStr">
        <is>
          <t>POPULAR MARUTI</t>
        </is>
      </c>
      <c r="K1809" s="20" t="inlineStr">
        <is>
          <t>Non-Captive</t>
        </is>
      </c>
      <c r="L1809" s="20" t="inlineStr">
        <is>
          <t>AITOS CARS</t>
        </is>
      </c>
      <c r="M1809" s="23" t="n">
        <v>8474.58</v>
      </c>
    </row>
    <row r="1810">
      <c r="A1810" s="19" t="inlineStr">
        <is>
          <t>FY26</t>
        </is>
      </c>
      <c r="B1810" s="19" t="inlineStr">
        <is>
          <t>Mar</t>
        </is>
      </c>
      <c r="C1810" s="19" t="inlineStr">
        <is>
          <t>Kerala</t>
        </is>
      </c>
      <c r="D1810" s="20" t="inlineStr">
        <is>
          <t>KL570038</t>
        </is>
      </c>
      <c r="E1810" s="20" t="inlineStr">
        <is>
          <t>MARUTI SUZUKI</t>
        </is>
      </c>
      <c r="F1810" s="20" t="inlineStr">
        <is>
          <t>Alto</t>
        </is>
      </c>
      <c r="G1810" s="21" t="n"/>
      <c r="H1810" s="22" t="n">
        <v>87000</v>
      </c>
      <c r="I1810" s="22" t="n">
        <v>20000</v>
      </c>
      <c r="J1810" s="20" t="inlineStr">
        <is>
          <t>POPULAR MARUTI</t>
        </is>
      </c>
      <c r="K1810" s="20" t="inlineStr">
        <is>
          <t>Non-Captive</t>
        </is>
      </c>
      <c r="L1810" s="20" t="inlineStr">
        <is>
          <t>VISHNU M S</t>
        </is>
      </c>
      <c r="M1810" s="23" t="n">
        <v>6779.66</v>
      </c>
    </row>
    <row r="1811">
      <c r="A1811" s="19" t="inlineStr">
        <is>
          <t>FY26</t>
        </is>
      </c>
      <c r="B1811" s="19" t="inlineStr">
        <is>
          <t>Mar</t>
        </is>
      </c>
      <c r="C1811" s="19" t="inlineStr">
        <is>
          <t>Kerala</t>
        </is>
      </c>
      <c r="D1811" s="20" t="inlineStr">
        <is>
          <t>KL30J5846</t>
        </is>
      </c>
      <c r="E1811" s="20" t="inlineStr">
        <is>
          <t>TATA</t>
        </is>
      </c>
      <c r="F1811" s="20" t="inlineStr">
        <is>
          <t>Nexon Ev</t>
        </is>
      </c>
      <c r="G1811" s="21" t="n"/>
      <c r="H1811" s="22" t="n">
        <v>30130</v>
      </c>
      <c r="I1811" s="22" t="n">
        <v>700000</v>
      </c>
      <c r="J1811" s="20" t="inlineStr">
        <is>
          <t>POPULAR MARUTI</t>
        </is>
      </c>
      <c r="K1811" s="20" t="inlineStr">
        <is>
          <t>Non-Captive</t>
        </is>
      </c>
      <c r="L1811" s="20" t="inlineStr">
        <is>
          <t>FABITH</t>
        </is>
      </c>
      <c r="M1811" s="23" t="n">
        <v>16949.15</v>
      </c>
    </row>
    <row r="1812">
      <c r="A1812" s="19" t="inlineStr">
        <is>
          <t>FY26</t>
        </is>
      </c>
      <c r="B1812" s="19" t="inlineStr">
        <is>
          <t>Mar</t>
        </is>
      </c>
      <c r="C1812" s="19" t="inlineStr">
        <is>
          <t>Kerala</t>
        </is>
      </c>
      <c r="D1812" s="20" t="inlineStr">
        <is>
          <t>KL58K3074</t>
        </is>
      </c>
      <c r="E1812" s="20" t="inlineStr">
        <is>
          <t>TOYOTA</t>
        </is>
      </c>
      <c r="F1812" s="20" t="inlineStr">
        <is>
          <t>Etios</t>
        </is>
      </c>
      <c r="G1812" s="21" t="n"/>
      <c r="H1812" s="22" t="n">
        <v>123000</v>
      </c>
      <c r="I1812" s="22" t="n">
        <v>190000</v>
      </c>
      <c r="J1812" s="20" t="inlineStr">
        <is>
          <t>PRAJOSH</t>
        </is>
      </c>
      <c r="K1812" s="20" t="inlineStr">
        <is>
          <t>Non-Captive</t>
        </is>
      </c>
      <c r="L1812" s="20" t="inlineStr">
        <is>
          <t>EVM NISSAN</t>
        </is>
      </c>
      <c r="M1812" s="23" t="n">
        <v>8474.58</v>
      </c>
    </row>
    <row r="1813">
      <c r="A1813" s="19" t="inlineStr">
        <is>
          <t>FY26</t>
        </is>
      </c>
      <c r="B1813" s="19" t="inlineStr">
        <is>
          <t>Mar</t>
        </is>
      </c>
      <c r="C1813" s="19" t="inlineStr">
        <is>
          <t>Kerala</t>
        </is>
      </c>
      <c r="D1813" s="20" t="inlineStr">
        <is>
          <t>KL58V3278</t>
        </is>
      </c>
      <c r="E1813" s="20" t="inlineStr">
        <is>
          <t>MARUTI SUZUKI</t>
        </is>
      </c>
      <c r="F1813" s="20" t="inlineStr">
        <is>
          <t>Baleno</t>
        </is>
      </c>
      <c r="G1813" s="21" t="n"/>
      <c r="H1813" s="22" t="n">
        <v>43000</v>
      </c>
      <c r="I1813" s="22" t="n">
        <v>457000</v>
      </c>
      <c r="J1813" s="20" t="inlineStr">
        <is>
          <t>AUTOBOT</t>
        </is>
      </c>
      <c r="K1813" s="20" t="inlineStr">
        <is>
          <t>Non-Captive</t>
        </is>
      </c>
      <c r="L1813" s="20" t="inlineStr">
        <is>
          <t>APCO HYUNDAI</t>
        </is>
      </c>
      <c r="M1813" s="23" t="n">
        <v>4237.29</v>
      </c>
    </row>
    <row r="1814">
      <c r="A1814" s="19" t="inlineStr">
        <is>
          <t>FY26</t>
        </is>
      </c>
      <c r="B1814" s="19" t="inlineStr">
        <is>
          <t>Mar</t>
        </is>
      </c>
      <c r="C1814" s="19" t="inlineStr">
        <is>
          <t>Kerala</t>
        </is>
      </c>
      <c r="D1814" s="20" t="inlineStr">
        <is>
          <t>KL13AT6587</t>
        </is>
      </c>
      <c r="E1814" s="20" t="inlineStr">
        <is>
          <t>HONDA</t>
        </is>
      </c>
      <c r="F1814" s="20" t="inlineStr">
        <is>
          <t>Amaze</t>
        </is>
      </c>
      <c r="G1814" s="21" t="n"/>
      <c r="H1814" s="22" t="n">
        <v>45000</v>
      </c>
      <c r="I1814" s="22" t="n">
        <v>500000</v>
      </c>
      <c r="J1814" s="20" t="inlineStr">
        <is>
          <t>AUTOBOT</t>
        </is>
      </c>
      <c r="K1814" s="20" t="inlineStr">
        <is>
          <t>Non-Captive</t>
        </is>
      </c>
      <c r="L1814" s="20" t="inlineStr">
        <is>
          <t>UCD PRAJOSH</t>
        </is>
      </c>
      <c r="M1814" s="23" t="n">
        <v>4237.29</v>
      </c>
    </row>
    <row r="1815">
      <c r="A1815" s="19" t="inlineStr">
        <is>
          <t>FY26</t>
        </is>
      </c>
      <c r="B1815" s="19" t="inlineStr">
        <is>
          <t>Mar</t>
        </is>
      </c>
      <c r="C1815" s="19" t="inlineStr">
        <is>
          <t>Kerala</t>
        </is>
      </c>
      <c r="D1815" s="20" t="inlineStr">
        <is>
          <t>KL08AS5205</t>
        </is>
      </c>
      <c r="E1815" s="20" t="inlineStr">
        <is>
          <t>HYUNDAI</t>
        </is>
      </c>
      <c r="F1815" s="20" t="inlineStr">
        <is>
          <t>I10</t>
        </is>
      </c>
      <c r="G1815" s="21" t="n"/>
      <c r="H1815" s="22" t="n">
        <v>80000</v>
      </c>
      <c r="I1815" s="22" t="n">
        <v>150000</v>
      </c>
      <c r="J1815" s="20" t="inlineStr">
        <is>
          <t>UNAISE</t>
        </is>
      </c>
      <c r="K1815" s="20" t="inlineStr">
        <is>
          <t>Non-Captive</t>
        </is>
      </c>
      <c r="L1815" s="20" t="inlineStr">
        <is>
          <t>MOTOEXCHANGE</t>
        </is>
      </c>
      <c r="M1815" s="23" t="n">
        <v>5932.2</v>
      </c>
    </row>
    <row r="1816">
      <c r="A1816" s="19" t="inlineStr">
        <is>
          <t>FY26</t>
        </is>
      </c>
      <c r="B1816" s="19" t="inlineStr">
        <is>
          <t>Mar</t>
        </is>
      </c>
      <c r="C1816" s="19" t="inlineStr">
        <is>
          <t>Kerala</t>
        </is>
      </c>
      <c r="D1816" s="20" t="inlineStr">
        <is>
          <t>KL58H8775</t>
        </is>
      </c>
      <c r="E1816" s="20" t="inlineStr">
        <is>
          <t>TATA</t>
        </is>
      </c>
      <c r="F1816" s="20" t="inlineStr">
        <is>
          <t>Indica</t>
        </is>
      </c>
      <c r="G1816" s="21" t="n"/>
      <c r="H1816" s="22" t="n">
        <v>113000</v>
      </c>
      <c r="I1816" s="22" t="n">
        <v>70000</v>
      </c>
      <c r="J1816" s="20" t="inlineStr">
        <is>
          <t>UNAISE</t>
        </is>
      </c>
      <c r="K1816" s="20" t="inlineStr">
        <is>
          <t>Non-Captive</t>
        </is>
      </c>
      <c r="L1816" s="20" t="inlineStr">
        <is>
          <t>MOTOEXCHANGE</t>
        </is>
      </c>
      <c r="M1816" s="23" t="n">
        <v>8474.58</v>
      </c>
    </row>
    <row r="1817">
      <c r="A1817" s="19" t="inlineStr">
        <is>
          <t>FY26</t>
        </is>
      </c>
      <c r="B1817" s="19" t="inlineStr">
        <is>
          <t>Mar</t>
        </is>
      </c>
      <c r="C1817" s="19" t="inlineStr">
        <is>
          <t>Kerala</t>
        </is>
      </c>
      <c r="D1817" s="20" t="inlineStr">
        <is>
          <t>KL11BC7392</t>
        </is>
      </c>
      <c r="E1817" s="20" t="inlineStr">
        <is>
          <t>MARUTI SUZUKI</t>
        </is>
      </c>
      <c r="F1817" s="20" t="inlineStr">
        <is>
          <t>Alto</t>
        </is>
      </c>
      <c r="G1817" s="21" t="n"/>
      <c r="H1817" s="22" t="n">
        <v>44000</v>
      </c>
      <c r="I1817" s="22" t="n">
        <v>215000</v>
      </c>
      <c r="J1817" s="20" t="inlineStr">
        <is>
          <t>SANOOP KM</t>
        </is>
      </c>
      <c r="K1817" s="20" t="inlineStr">
        <is>
          <t>Non-Captive</t>
        </is>
      </c>
      <c r="L1817" s="20" t="inlineStr">
        <is>
          <t>PK SANTOSH UCD</t>
        </is>
      </c>
      <c r="M1817" s="23" t="n">
        <v>8474.58</v>
      </c>
    </row>
    <row r="1818">
      <c r="A1818" s="19" t="inlineStr">
        <is>
          <t>FY26</t>
        </is>
      </c>
      <c r="B1818" s="19" t="inlineStr">
        <is>
          <t>Mar</t>
        </is>
      </c>
      <c r="C1818" s="19" t="inlineStr">
        <is>
          <t>Kerala</t>
        </is>
      </c>
      <c r="D1818" s="20" t="inlineStr">
        <is>
          <t>KL35F3114</t>
        </is>
      </c>
      <c r="E1818" s="20" t="inlineStr">
        <is>
          <t>HYUNDAI</t>
        </is>
      </c>
      <c r="F1818" s="20" t="inlineStr">
        <is>
          <t>Eon</t>
        </is>
      </c>
      <c r="G1818" s="21" t="n"/>
      <c r="H1818" s="22" t="n">
        <v>68678</v>
      </c>
      <c r="I1818" s="22" t="n">
        <v>155000</v>
      </c>
      <c r="J1818" s="20" t="inlineStr">
        <is>
          <t>AMRITH V CHANDY</t>
        </is>
      </c>
      <c r="K1818" s="20" t="inlineStr">
        <is>
          <t>Non-Captive</t>
        </is>
      </c>
      <c r="L1818" s="20" t="inlineStr">
        <is>
          <t>HUSSAIN O E</t>
        </is>
      </c>
      <c r="M1818" s="23" t="n">
        <v>8474.58</v>
      </c>
    </row>
    <row r="1819">
      <c r="A1819" s="19" t="inlineStr">
        <is>
          <t>FY26</t>
        </is>
      </c>
      <c r="B1819" s="19" t="inlineStr">
        <is>
          <t>Mar</t>
        </is>
      </c>
      <c r="C1819" s="19" t="inlineStr">
        <is>
          <t>Kerala</t>
        </is>
      </c>
      <c r="D1819" s="20" t="inlineStr">
        <is>
          <t>KL48F4554</t>
        </is>
      </c>
      <c r="E1819" s="20" t="inlineStr">
        <is>
          <t>SKODA</t>
        </is>
      </c>
      <c r="F1819" s="20" t="inlineStr">
        <is>
          <t>Rapid</t>
        </is>
      </c>
      <c r="G1819" s="21" t="n"/>
      <c r="H1819" s="22" t="n">
        <v>78678</v>
      </c>
      <c r="I1819" s="22" t="n">
        <v>255000</v>
      </c>
      <c r="J1819" s="20" t="inlineStr">
        <is>
          <t>MUHAMMAD SHAJI</t>
        </is>
      </c>
      <c r="K1819" s="20" t="inlineStr">
        <is>
          <t>Non-Captive</t>
        </is>
      </c>
      <c r="L1819" s="20" t="inlineStr">
        <is>
          <t>FABITH</t>
        </is>
      </c>
      <c r="M1819" s="23" t="n">
        <v>8474.58</v>
      </c>
    </row>
    <row r="1820">
      <c r="A1820" s="19" t="inlineStr">
        <is>
          <t>FY26</t>
        </is>
      </c>
      <c r="B1820" s="19" t="inlineStr">
        <is>
          <t>Mar</t>
        </is>
      </c>
      <c r="C1820" s="19" t="inlineStr">
        <is>
          <t>Kerala</t>
        </is>
      </c>
      <c r="D1820" s="20" t="inlineStr">
        <is>
          <t>KL01BN4327</t>
        </is>
      </c>
      <c r="E1820" s="20" t="inlineStr">
        <is>
          <t>MARUTI SUZUKI</t>
        </is>
      </c>
      <c r="F1820" s="20" t="inlineStr">
        <is>
          <t>A-Star</t>
        </is>
      </c>
      <c r="G1820" s="21" t="n"/>
      <c r="H1820" s="22" t="n">
        <v>80790</v>
      </c>
      <c r="I1820" s="22" t="n">
        <v>233000</v>
      </c>
      <c r="J1820" s="20" t="inlineStr">
        <is>
          <t>MUHAMMAD SHAJI</t>
        </is>
      </c>
      <c r="K1820" s="20" t="inlineStr">
        <is>
          <t>Non-Captive</t>
        </is>
      </c>
      <c r="L1820" s="20" t="inlineStr">
        <is>
          <t>DREAM DRIVE</t>
        </is>
      </c>
      <c r="M1820" s="23" t="n">
        <v>8474.58</v>
      </c>
    </row>
    <row r="1821">
      <c r="A1821" s="19" t="inlineStr">
        <is>
          <t>FY26</t>
        </is>
      </c>
      <c r="B1821" s="19" t="inlineStr">
        <is>
          <t>Mar</t>
        </is>
      </c>
      <c r="C1821" s="19" t="inlineStr">
        <is>
          <t>Kerala</t>
        </is>
      </c>
      <c r="D1821" s="20" t="inlineStr">
        <is>
          <t>KL07CT0907</t>
        </is>
      </c>
      <c r="E1821" s="20" t="inlineStr">
        <is>
          <t>MARUTI SUZUKI</t>
        </is>
      </c>
      <c r="F1821" s="20" t="inlineStr">
        <is>
          <t>S-Presso</t>
        </is>
      </c>
      <c r="G1821" s="21" t="n"/>
      <c r="H1821" s="22" t="n">
        <v>64522</v>
      </c>
      <c r="I1821" s="22" t="n">
        <v>325000</v>
      </c>
      <c r="J1821" s="20" t="inlineStr">
        <is>
          <t>AMRITH V CHANDY</t>
        </is>
      </c>
      <c r="K1821" s="20" t="inlineStr">
        <is>
          <t>Non-Captive</t>
        </is>
      </c>
      <c r="L1821" s="20" t="inlineStr">
        <is>
          <t>ANAS VH</t>
        </is>
      </c>
      <c r="M1821" s="23" t="n">
        <v>8474.58</v>
      </c>
    </row>
    <row r="1822">
      <c r="A1822" s="19" t="inlineStr">
        <is>
          <t>FY26</t>
        </is>
      </c>
      <c r="B1822" s="19" t="inlineStr">
        <is>
          <t>Mar</t>
        </is>
      </c>
      <c r="C1822" s="19" t="inlineStr">
        <is>
          <t>Kerala</t>
        </is>
      </c>
      <c r="D1822" s="20" t="inlineStr">
        <is>
          <t>KL43G6519</t>
        </is>
      </c>
      <c r="E1822" s="20" t="inlineStr">
        <is>
          <t>RENAULT</t>
        </is>
      </c>
      <c r="F1822" s="20" t="inlineStr">
        <is>
          <t>Duster</t>
        </is>
      </c>
      <c r="G1822" s="21" t="n"/>
      <c r="H1822" s="22" t="n">
        <v>200567</v>
      </c>
      <c r="I1822" s="22" t="n">
        <v>240000</v>
      </c>
      <c r="J1822" s="20" t="inlineStr">
        <is>
          <t>INCHEON KIA</t>
        </is>
      </c>
      <c r="K1822" s="20" t="inlineStr">
        <is>
          <t>Non-Captive</t>
        </is>
      </c>
      <c r="L1822" s="20" t="inlineStr">
        <is>
          <t>RAFEEK T A</t>
        </is>
      </c>
      <c r="M1822" s="23" t="n">
        <v>8474.58</v>
      </c>
    </row>
    <row r="1823">
      <c r="A1823" s="19" t="inlineStr">
        <is>
          <t>FY26</t>
        </is>
      </c>
      <c r="B1823" s="19" t="inlineStr">
        <is>
          <t>Mar</t>
        </is>
      </c>
      <c r="C1823" s="19" t="inlineStr">
        <is>
          <t>Kerala</t>
        </is>
      </c>
      <c r="D1823" s="20" t="inlineStr">
        <is>
          <t>KL29J1447</t>
        </is>
      </c>
      <c r="E1823" s="20" t="inlineStr">
        <is>
          <t>TOYOTA</t>
        </is>
      </c>
      <c r="F1823" s="20" t="inlineStr">
        <is>
          <t>Etios</t>
        </is>
      </c>
      <c r="G1823" s="21" t="n"/>
      <c r="H1823" s="22" t="n">
        <v>130022</v>
      </c>
      <c r="I1823" s="22" t="n">
        <v>225000</v>
      </c>
      <c r="J1823" s="20" t="inlineStr">
        <is>
          <t>MAIJO MARUTI</t>
        </is>
      </c>
      <c r="K1823" s="20" t="inlineStr">
        <is>
          <t>Non-Captive</t>
        </is>
      </c>
      <c r="L1823" s="20" t="inlineStr">
        <is>
          <t>RAFEEK T A</t>
        </is>
      </c>
      <c r="M1823" s="23" t="n">
        <v>8474.58</v>
      </c>
    </row>
    <row r="1824">
      <c r="A1824" s="19" t="inlineStr">
        <is>
          <t>FY26</t>
        </is>
      </c>
      <c r="B1824" s="19" t="inlineStr">
        <is>
          <t>Mar</t>
        </is>
      </c>
      <c r="C1824" s="19" t="inlineStr">
        <is>
          <t>Kerala</t>
        </is>
      </c>
      <c r="D1824" s="20" t="inlineStr">
        <is>
          <t>KL14S6863</t>
        </is>
      </c>
      <c r="E1824" s="20" t="inlineStr">
        <is>
          <t>HYUNDAI</t>
        </is>
      </c>
      <c r="F1824" s="20" t="inlineStr">
        <is>
          <t>I10</t>
        </is>
      </c>
      <c r="G1824" s="21" t="n"/>
      <c r="H1824" s="22" t="n">
        <v>118000</v>
      </c>
      <c r="I1824" s="22" t="n">
        <v>235000</v>
      </c>
      <c r="J1824" s="20" t="inlineStr">
        <is>
          <t>MARVEL VIJIL</t>
        </is>
      </c>
      <c r="K1824" s="20" t="inlineStr">
        <is>
          <t>Non-Captive</t>
        </is>
      </c>
      <c r="L1824" s="20" t="inlineStr">
        <is>
          <t>KVR TATA</t>
        </is>
      </c>
      <c r="M1824" s="23" t="n">
        <v>4237.29</v>
      </c>
    </row>
    <row r="1825">
      <c r="A1825" s="19" t="inlineStr">
        <is>
          <t>FY26</t>
        </is>
      </c>
      <c r="B1825" s="19" t="inlineStr">
        <is>
          <t>Mar</t>
        </is>
      </c>
      <c r="C1825" s="19" t="inlineStr">
        <is>
          <t>Kerala</t>
        </is>
      </c>
      <c r="D1825" s="20" t="inlineStr">
        <is>
          <t>KL13AW7090</t>
        </is>
      </c>
      <c r="E1825" s="20" t="inlineStr">
        <is>
          <t>TATA</t>
        </is>
      </c>
      <c r="F1825" s="20" t="inlineStr">
        <is>
          <t>Harrier</t>
        </is>
      </c>
      <c r="G1825" s="21" t="n"/>
      <c r="H1825" s="22" t="n">
        <v>42000</v>
      </c>
      <c r="I1825" s="22" t="n">
        <v>1530000</v>
      </c>
      <c r="J1825" s="20" t="inlineStr">
        <is>
          <t>MARVEL VIJIL</t>
        </is>
      </c>
      <c r="K1825" s="20" t="inlineStr">
        <is>
          <t>Non-Captive</t>
        </is>
      </c>
      <c r="L1825" s="20" t="inlineStr">
        <is>
          <t>KVR TATA</t>
        </is>
      </c>
      <c r="M1825" s="23" t="n">
        <v>16949.15</v>
      </c>
    </row>
    <row r="1826">
      <c r="A1826" s="19" t="inlineStr">
        <is>
          <t>FY26</t>
        </is>
      </c>
      <c r="B1826" s="19" t="inlineStr">
        <is>
          <t>Mar</t>
        </is>
      </c>
      <c r="C1826" s="19" t="inlineStr">
        <is>
          <t>Kerala</t>
        </is>
      </c>
      <c r="D1826" s="20" t="inlineStr">
        <is>
          <t>KL11BY4248</t>
        </is>
      </c>
      <c r="E1826" s="20" t="inlineStr">
        <is>
          <t>KIA</t>
        </is>
      </c>
      <c r="F1826" s="20" t="inlineStr">
        <is>
          <t>Seltos</t>
        </is>
      </c>
      <c r="G1826" s="21" t="n"/>
      <c r="H1826" s="22" t="n">
        <v>80000</v>
      </c>
      <c r="I1826" s="22" t="n">
        <v>1200000</v>
      </c>
      <c r="J1826" s="20" t="inlineStr">
        <is>
          <t>VIJIL</t>
        </is>
      </c>
      <c r="K1826" s="20" t="inlineStr">
        <is>
          <t>Non-Captive</t>
        </is>
      </c>
      <c r="L1826" s="20" t="inlineStr">
        <is>
          <t>DKH KIA</t>
        </is>
      </c>
      <c r="M1826" s="23" t="n">
        <v>8474.58</v>
      </c>
    </row>
    <row r="1827">
      <c r="A1827" s="19" t="inlineStr">
        <is>
          <t>FY26</t>
        </is>
      </c>
      <c r="B1827" s="19" t="inlineStr">
        <is>
          <t>Mar</t>
        </is>
      </c>
      <c r="C1827" s="19" t="inlineStr">
        <is>
          <t>Kerala</t>
        </is>
      </c>
      <c r="D1827" s="20" t="inlineStr">
        <is>
          <t>KL10BH4824</t>
        </is>
      </c>
      <c r="E1827" s="20" t="inlineStr">
        <is>
          <t>HYUNDAI</t>
        </is>
      </c>
      <c r="F1827" s="20" t="inlineStr">
        <is>
          <t>Nios</t>
        </is>
      </c>
      <c r="G1827" s="21" t="n"/>
      <c r="H1827" s="22" t="n">
        <v>59000</v>
      </c>
      <c r="I1827" s="22" t="n">
        <v>550000</v>
      </c>
      <c r="J1827" s="20" t="inlineStr">
        <is>
          <t>VIJIL</t>
        </is>
      </c>
      <c r="K1827" s="20" t="inlineStr">
        <is>
          <t>Non-Captive</t>
        </is>
      </c>
      <c r="L1827" s="20" t="inlineStr">
        <is>
          <t>CLASSIC HYUNDAI</t>
        </is>
      </c>
      <c r="M1827" s="23" t="n">
        <v>6779.66</v>
      </c>
    </row>
    <row r="1828">
      <c r="A1828" s="19" t="inlineStr">
        <is>
          <t>FY26</t>
        </is>
      </c>
      <c r="B1828" s="19" t="inlineStr">
        <is>
          <t>Mar</t>
        </is>
      </c>
      <c r="C1828" s="19" t="inlineStr">
        <is>
          <t>Kerala</t>
        </is>
      </c>
      <c r="D1828" s="20" t="inlineStr">
        <is>
          <t>KL11AH9649</t>
        </is>
      </c>
      <c r="E1828" s="20" t="inlineStr">
        <is>
          <t>MARUTI SUZUKI</t>
        </is>
      </c>
      <c r="F1828" s="20" t="inlineStr">
        <is>
          <t>Alto</t>
        </is>
      </c>
      <c r="G1828" s="21" t="n"/>
      <c r="H1828" s="22" t="n">
        <v>100000</v>
      </c>
      <c r="I1828" s="22" t="n">
        <v>47000</v>
      </c>
      <c r="J1828" s="20" t="inlineStr">
        <is>
          <t>UNAISE</t>
        </is>
      </c>
      <c r="K1828" s="20" t="inlineStr">
        <is>
          <t>Non-Captive</t>
        </is>
      </c>
      <c r="L1828" s="20" t="inlineStr">
        <is>
          <t>MOTOEXCHANGE</t>
        </is>
      </c>
      <c r="M1828" s="23" t="n">
        <v>5084.75</v>
      </c>
    </row>
    <row r="1829">
      <c r="A1829" s="19" t="inlineStr">
        <is>
          <t>FY26</t>
        </is>
      </c>
      <c r="B1829" s="19" t="inlineStr">
        <is>
          <t>Mar</t>
        </is>
      </c>
      <c r="C1829" s="19" t="inlineStr">
        <is>
          <t>Kerala</t>
        </is>
      </c>
      <c r="D1829" s="20" t="inlineStr">
        <is>
          <t>KL02AG7333</t>
        </is>
      </c>
      <c r="E1829" s="20" t="inlineStr">
        <is>
          <t>MARUTI SUZUKI</t>
        </is>
      </c>
      <c r="F1829" s="20" t="inlineStr">
        <is>
          <t>Sx4</t>
        </is>
      </c>
      <c r="G1829" s="21" t="n"/>
      <c r="H1829" s="22" t="n">
        <v>140000</v>
      </c>
      <c r="I1829" s="22" t="n">
        <v>120000</v>
      </c>
      <c r="J1829" s="20" t="inlineStr">
        <is>
          <t>UNAISE</t>
        </is>
      </c>
      <c r="K1829" s="20" t="inlineStr">
        <is>
          <t>Non-Captive</t>
        </is>
      </c>
      <c r="L1829" s="20" t="inlineStr">
        <is>
          <t>UCD ABHILASH</t>
        </is>
      </c>
      <c r="M1829" s="23" t="n">
        <v>5932.2</v>
      </c>
    </row>
    <row r="1830">
      <c r="A1830" s="19" t="inlineStr">
        <is>
          <t>FY26</t>
        </is>
      </c>
      <c r="B1830" s="19" t="inlineStr">
        <is>
          <t>Mar</t>
        </is>
      </c>
      <c r="C1830" s="19" t="inlineStr">
        <is>
          <t>Kerala</t>
        </is>
      </c>
      <c r="D1830" s="20" t="inlineStr">
        <is>
          <t>KL01AS0123</t>
        </is>
      </c>
      <c r="E1830" s="20" t="inlineStr">
        <is>
          <t>HONDA</t>
        </is>
      </c>
      <c r="F1830" s="20" t="inlineStr">
        <is>
          <t>City</t>
        </is>
      </c>
      <c r="G1830" s="21" t="n"/>
      <c r="H1830" s="22" t="n">
        <v>116000</v>
      </c>
      <c r="I1830" s="22" t="n">
        <v>55000</v>
      </c>
      <c r="J1830" s="20" t="inlineStr">
        <is>
          <t>SANTHOSH</t>
        </is>
      </c>
      <c r="K1830" s="20" t="inlineStr">
        <is>
          <t>Non-Captive</t>
        </is>
      </c>
      <c r="L1830" s="20" t="inlineStr">
        <is>
          <t>POPULAR MARUTI</t>
        </is>
      </c>
      <c r="M1830" s="23" t="n">
        <v>4237.29</v>
      </c>
    </row>
    <row r="1831">
      <c r="A1831" s="19" t="inlineStr">
        <is>
          <t>FY26</t>
        </is>
      </c>
      <c r="B1831" s="19" t="inlineStr">
        <is>
          <t>Mar</t>
        </is>
      </c>
      <c r="C1831" s="19" t="inlineStr">
        <is>
          <t>Kerala</t>
        </is>
      </c>
      <c r="D1831" s="20" t="inlineStr">
        <is>
          <t>KL32U3055</t>
        </is>
      </c>
      <c r="E1831" s="20" t="inlineStr">
        <is>
          <t>TOYOTA</t>
        </is>
      </c>
      <c r="F1831" s="20" t="inlineStr">
        <is>
          <t>Innova</t>
        </is>
      </c>
      <c r="G1831" s="21" t="n"/>
      <c r="H1831" s="22" t="n">
        <v>89000</v>
      </c>
      <c r="I1831" s="22" t="n">
        <v>1550000</v>
      </c>
      <c r="J1831" s="20" t="inlineStr">
        <is>
          <t>ARUN T RAJ</t>
        </is>
      </c>
      <c r="K1831" s="20" t="inlineStr">
        <is>
          <t>Non-Captive</t>
        </is>
      </c>
      <c r="L1831" s="20" t="inlineStr">
        <is>
          <t>TOYOTA FINANCE</t>
        </is>
      </c>
      <c r="M1831" s="23" t="n">
        <v>12711.86</v>
      </c>
    </row>
    <row r="1832">
      <c r="A1832" s="19" t="inlineStr">
        <is>
          <t>FY26</t>
        </is>
      </c>
      <c r="B1832" s="19" t="inlineStr">
        <is>
          <t>Mar</t>
        </is>
      </c>
      <c r="C1832" s="19" t="inlineStr">
        <is>
          <t>Kerala</t>
        </is>
      </c>
      <c r="D1832" s="20" t="inlineStr">
        <is>
          <t>KL23K0619</t>
        </is>
      </c>
      <c r="E1832" s="20" t="inlineStr">
        <is>
          <t>VOLKSWAGEN</t>
        </is>
      </c>
      <c r="F1832" s="20" t="inlineStr">
        <is>
          <t>Polo</t>
        </is>
      </c>
      <c r="G1832" s="21" t="n"/>
      <c r="H1832" s="22" t="n">
        <v>48900</v>
      </c>
      <c r="I1832" s="22" t="n">
        <v>255000</v>
      </c>
      <c r="J1832" s="20" t="inlineStr">
        <is>
          <t>SANTHOSH</t>
        </is>
      </c>
      <c r="K1832" s="20" t="inlineStr">
        <is>
          <t>Non-Captive</t>
        </is>
      </c>
      <c r="L1832" s="20" t="inlineStr">
        <is>
          <t>POPULAR MARUTI</t>
        </is>
      </c>
      <c r="M1832" s="23" t="n">
        <v>12711.86</v>
      </c>
    </row>
    <row r="1833">
      <c r="A1833" s="19" t="inlineStr">
        <is>
          <t>FY26</t>
        </is>
      </c>
      <c r="B1833" s="19" t="inlineStr">
        <is>
          <t>Mar</t>
        </is>
      </c>
      <c r="C1833" s="19" t="inlineStr">
        <is>
          <t>Kerala</t>
        </is>
      </c>
      <c r="D1833" s="20" t="inlineStr">
        <is>
          <t>KL20R5356</t>
        </is>
      </c>
      <c r="E1833" s="20" t="inlineStr">
        <is>
          <t>RENAULT</t>
        </is>
      </c>
      <c r="F1833" s="20" t="inlineStr">
        <is>
          <t>Kiger</t>
        </is>
      </c>
      <c r="G1833" s="21" t="n"/>
      <c r="H1833" s="22" t="n">
        <v>35000</v>
      </c>
      <c r="I1833" s="22" t="n">
        <v>390000</v>
      </c>
      <c r="J1833" s="20" t="inlineStr">
        <is>
          <t>ABHISHEK</t>
        </is>
      </c>
      <c r="K1833" s="20" t="inlineStr">
        <is>
          <t>Non-Captive</t>
        </is>
      </c>
      <c r="L1833" s="20" t="inlineStr">
        <is>
          <t>REFERENCE</t>
        </is>
      </c>
      <c r="M1833" s="23" t="n">
        <v>8474.58</v>
      </c>
    </row>
    <row r="1834">
      <c r="A1834" s="19" t="inlineStr">
        <is>
          <t>FY26</t>
        </is>
      </c>
      <c r="B1834" s="19" t="inlineStr">
        <is>
          <t>Mar</t>
        </is>
      </c>
      <c r="C1834" s="19" t="inlineStr">
        <is>
          <t>Kerala</t>
        </is>
      </c>
      <c r="D1834" s="20" t="inlineStr">
        <is>
          <t>KL22M3580</t>
        </is>
      </c>
      <c r="E1834" s="20" t="inlineStr">
        <is>
          <t>MAHINDRA</t>
        </is>
      </c>
      <c r="F1834" s="20" t="inlineStr">
        <is>
          <t>Kuv100</t>
        </is>
      </c>
      <c r="G1834" s="21" t="n"/>
      <c r="H1834" s="22" t="n">
        <v>45000</v>
      </c>
      <c r="I1834" s="22" t="n">
        <v>200000</v>
      </c>
      <c r="J1834" s="20" t="inlineStr">
        <is>
          <t>DIPEESH</t>
        </is>
      </c>
      <c r="K1834" s="20" t="inlineStr">
        <is>
          <t>Non-Captive</t>
        </is>
      </c>
      <c r="L1834" s="20" t="inlineStr">
        <is>
          <t>TRIVANDRUM MOTORS</t>
        </is>
      </c>
      <c r="M1834" s="23" t="n">
        <v>8474.58</v>
      </c>
    </row>
    <row r="1835">
      <c r="A1835" s="19" t="inlineStr">
        <is>
          <t>FY26</t>
        </is>
      </c>
      <c r="B1835" s="19" t="inlineStr">
        <is>
          <t>Mar</t>
        </is>
      </c>
      <c r="C1835" s="19" t="inlineStr">
        <is>
          <t>Kerala</t>
        </is>
      </c>
      <c r="D1835" s="20" t="inlineStr">
        <is>
          <t>KL05AU4097</t>
        </is>
      </c>
      <c r="E1835" s="20" t="inlineStr">
        <is>
          <t>TATA</t>
        </is>
      </c>
      <c r="F1835" s="20" t="inlineStr">
        <is>
          <t>Tiago</t>
        </is>
      </c>
      <c r="G1835" s="21" t="n"/>
      <c r="H1835" s="22" t="n">
        <v>44800</v>
      </c>
      <c r="I1835" s="22" t="n">
        <v>240000</v>
      </c>
      <c r="J1835" s="20" t="inlineStr">
        <is>
          <t>PRAJOD</t>
        </is>
      </c>
      <c r="K1835" s="20" t="inlineStr">
        <is>
          <t>Non-Captive</t>
        </is>
      </c>
      <c r="L1835" s="20" t="inlineStr">
        <is>
          <t>PPS SKODA</t>
        </is>
      </c>
      <c r="M1835" s="23" t="n">
        <v>8474.58</v>
      </c>
    </row>
    <row r="1836">
      <c r="A1836" s="19" t="inlineStr">
        <is>
          <t>FY26</t>
        </is>
      </c>
      <c r="B1836" s="19" t="inlineStr">
        <is>
          <t>Mar</t>
        </is>
      </c>
      <c r="C1836" s="19" t="inlineStr">
        <is>
          <t>Kerala</t>
        </is>
      </c>
      <c r="D1836" s="20" t="inlineStr">
        <is>
          <t>KL07BV7056</t>
        </is>
      </c>
      <c r="E1836" s="20" t="inlineStr">
        <is>
          <t>HYUNDAI</t>
        </is>
      </c>
      <c r="F1836" s="20" t="inlineStr">
        <is>
          <t>Eon</t>
        </is>
      </c>
      <c r="G1836" s="21" t="n"/>
      <c r="H1836" s="22" t="n">
        <v>36217</v>
      </c>
      <c r="I1836" s="22" t="n">
        <v>100000</v>
      </c>
      <c r="J1836" s="20" t="inlineStr">
        <is>
          <t>JISHNU PRIYAN</t>
        </is>
      </c>
      <c r="K1836" s="20" t="inlineStr">
        <is>
          <t>Non-Captive</t>
        </is>
      </c>
      <c r="L1836" s="20" t="inlineStr">
        <is>
          <t>VTJ</t>
        </is>
      </c>
      <c r="M1836" s="23" t="n">
        <v>8474.58</v>
      </c>
    </row>
    <row r="1837">
      <c r="A1837" s="19" t="inlineStr">
        <is>
          <t>FY26</t>
        </is>
      </c>
      <c r="B1837" s="19" t="inlineStr">
        <is>
          <t>Mar</t>
        </is>
      </c>
      <c r="C1837" s="19" t="inlineStr">
        <is>
          <t>Kerala</t>
        </is>
      </c>
      <c r="D1837" s="20" t="inlineStr">
        <is>
          <t>KL17V7826</t>
        </is>
      </c>
      <c r="E1837" s="20" t="inlineStr">
        <is>
          <t>HYUNDAI</t>
        </is>
      </c>
      <c r="F1837" s="20" t="inlineStr">
        <is>
          <t>Santro</t>
        </is>
      </c>
      <c r="G1837" s="21" t="n"/>
      <c r="H1837" s="22" t="n">
        <v>36711</v>
      </c>
      <c r="I1837" s="22" t="n">
        <v>225000</v>
      </c>
      <c r="J1837" s="20" t="inlineStr">
        <is>
          <t>EVM SKODA</t>
        </is>
      </c>
      <c r="K1837" s="20" t="inlineStr">
        <is>
          <t>Non-Captive</t>
        </is>
      </c>
      <c r="L1837" s="20" t="inlineStr">
        <is>
          <t>DINESH P S</t>
        </is>
      </c>
      <c r="M1837" s="23" t="n">
        <v>8474.58</v>
      </c>
    </row>
    <row r="1838">
      <c r="A1838" s="19" t="inlineStr">
        <is>
          <t>FY26</t>
        </is>
      </c>
      <c r="B1838" s="19" t="inlineStr">
        <is>
          <t>Mar</t>
        </is>
      </c>
      <c r="C1838" s="19" t="inlineStr">
        <is>
          <t>Kerala</t>
        </is>
      </c>
      <c r="D1838" s="20" t="inlineStr">
        <is>
          <t>KL39A0605</t>
        </is>
      </c>
      <c r="E1838" s="20" t="inlineStr">
        <is>
          <t>MARUTI SUZUKI</t>
        </is>
      </c>
      <c r="F1838" s="20" t="inlineStr">
        <is>
          <t>Zen</t>
        </is>
      </c>
      <c r="G1838" s="21" t="n"/>
      <c r="H1838" s="22" t="n">
        <v>156845</v>
      </c>
      <c r="I1838" s="22" t="n">
        <v>45000</v>
      </c>
      <c r="J1838" s="20" t="inlineStr">
        <is>
          <t>JISHNU PRIYAN</t>
        </is>
      </c>
      <c r="K1838" s="20" t="inlineStr">
        <is>
          <t>Non-Captive</t>
        </is>
      </c>
      <c r="L1838" s="20" t="inlineStr">
        <is>
          <t>VISHNU M S</t>
        </is>
      </c>
      <c r="M1838" s="23" t="n">
        <v>8474.58</v>
      </c>
    </row>
    <row r="1839">
      <c r="A1839" s="19" t="inlineStr">
        <is>
          <t>FY26</t>
        </is>
      </c>
      <c r="B1839" s="19" t="inlineStr">
        <is>
          <t>Mar</t>
        </is>
      </c>
      <c r="C1839" s="19" t="inlineStr">
        <is>
          <t>Kerala</t>
        </is>
      </c>
      <c r="D1839" s="20" t="inlineStr">
        <is>
          <t>KL07BZ4218</t>
        </is>
      </c>
      <c r="E1839" s="20" t="inlineStr">
        <is>
          <t>RENAULT</t>
        </is>
      </c>
      <c r="F1839" s="20" t="inlineStr">
        <is>
          <t>Duster</t>
        </is>
      </c>
      <c r="G1839" s="21" t="n"/>
      <c r="H1839" s="22" t="n">
        <v>102194</v>
      </c>
      <c r="I1839" s="22" t="n">
        <v>240000</v>
      </c>
      <c r="J1839" s="20" t="inlineStr">
        <is>
          <t>JISHNU PRIYAN</t>
        </is>
      </c>
      <c r="K1839" s="20" t="inlineStr">
        <is>
          <t>Non-Captive</t>
        </is>
      </c>
      <c r="L1839" s="20" t="inlineStr">
        <is>
          <t>4 WHEEL DRIVE</t>
        </is>
      </c>
      <c r="M1839" s="23" t="n">
        <v>8474.58</v>
      </c>
    </row>
    <row r="1840">
      <c r="A1840" s="19" t="inlineStr">
        <is>
          <t>FY26</t>
        </is>
      </c>
      <c r="B1840" s="19" t="inlineStr">
        <is>
          <t>Mar</t>
        </is>
      </c>
      <c r="C1840" s="19" t="inlineStr">
        <is>
          <t>Kerala</t>
        </is>
      </c>
      <c r="D1840" s="20" t="inlineStr">
        <is>
          <t>KL30L0892</t>
        </is>
      </c>
      <c r="E1840" s="20" t="inlineStr">
        <is>
          <t>FORD</t>
        </is>
      </c>
      <c r="F1840" s="20" t="inlineStr">
        <is>
          <t>Figo</t>
        </is>
      </c>
      <c r="G1840" s="21" t="n"/>
      <c r="H1840" s="22" t="n">
        <v>100000</v>
      </c>
      <c r="I1840" s="22" t="n">
        <v>89000</v>
      </c>
      <c r="J1840" s="20" t="inlineStr">
        <is>
          <t>MUHAMMAD SHAJI</t>
        </is>
      </c>
      <c r="K1840" s="20" t="inlineStr">
        <is>
          <t>Non-Captive</t>
        </is>
      </c>
      <c r="L1840" s="20" t="inlineStr">
        <is>
          <t>ANAS VH</t>
        </is>
      </c>
      <c r="M1840" s="23" t="n">
        <v>8474.58</v>
      </c>
    </row>
    <row r="1841">
      <c r="A1841" s="19" t="inlineStr">
        <is>
          <t>FY26</t>
        </is>
      </c>
      <c r="B1841" s="19" t="inlineStr">
        <is>
          <t>Mar</t>
        </is>
      </c>
      <c r="C1841" s="19" t="inlineStr">
        <is>
          <t>Kerala</t>
        </is>
      </c>
      <c r="D1841" s="20" t="inlineStr">
        <is>
          <t>KL63G6635</t>
        </is>
      </c>
      <c r="E1841" s="20" t="inlineStr">
        <is>
          <t>RENAULT</t>
        </is>
      </c>
      <c r="F1841" s="20" t="inlineStr">
        <is>
          <t>Kwid</t>
        </is>
      </c>
      <c r="G1841" s="21" t="n"/>
      <c r="H1841" s="22" t="n">
        <v>9944</v>
      </c>
      <c r="I1841" s="22" t="n">
        <v>265000</v>
      </c>
      <c r="J1841" s="20" t="inlineStr">
        <is>
          <t>RAFEEK T A</t>
        </is>
      </c>
      <c r="K1841" s="20" t="inlineStr">
        <is>
          <t>Non-Captive</t>
        </is>
      </c>
      <c r="L1841" s="20" t="inlineStr">
        <is>
          <t>ABDUL SALAM K K</t>
        </is>
      </c>
      <c r="M1841" s="23" t="n">
        <v>8474.58</v>
      </c>
    </row>
    <row r="1842">
      <c r="A1842" s="19" t="inlineStr">
        <is>
          <t>FY26</t>
        </is>
      </c>
      <c r="B1842" s="19" t="inlineStr">
        <is>
          <t>Mar</t>
        </is>
      </c>
      <c r="C1842" s="19" t="inlineStr">
        <is>
          <t>Kerala</t>
        </is>
      </c>
      <c r="D1842" s="20" t="inlineStr">
        <is>
          <t>KL02AU2788</t>
        </is>
      </c>
      <c r="E1842" s="20" t="inlineStr">
        <is>
          <t>MARUTI SUZUKI</t>
        </is>
      </c>
      <c r="F1842" s="20" t="inlineStr">
        <is>
          <t>Wagon R</t>
        </is>
      </c>
      <c r="G1842" s="21" t="n"/>
      <c r="H1842" s="22" t="n">
        <v>146557</v>
      </c>
      <c r="I1842" s="22" t="n">
        <v>190000</v>
      </c>
      <c r="J1842" s="20" t="inlineStr">
        <is>
          <t>NASIM</t>
        </is>
      </c>
      <c r="K1842" s="20" t="inlineStr">
        <is>
          <t>Non-Captive</t>
        </is>
      </c>
      <c r="L1842" s="20" t="inlineStr">
        <is>
          <t>LUXON TATA</t>
        </is>
      </c>
      <c r="M1842" s="23" t="n">
        <v>5932.2</v>
      </c>
    </row>
    <row r="1843">
      <c r="A1843" s="19" t="inlineStr">
        <is>
          <t>FY26</t>
        </is>
      </c>
      <c r="B1843" s="19" t="inlineStr">
        <is>
          <t>Mar</t>
        </is>
      </c>
      <c r="C1843" s="19" t="inlineStr">
        <is>
          <t>Kerala</t>
        </is>
      </c>
      <c r="D1843" s="20" t="inlineStr">
        <is>
          <t>KL05AM2339</t>
        </is>
      </c>
      <c r="E1843" s="20" t="inlineStr">
        <is>
          <t>FORD</t>
        </is>
      </c>
      <c r="F1843" s="20" t="inlineStr">
        <is>
          <t>Figo</t>
        </is>
      </c>
      <c r="G1843" s="21" t="n"/>
      <c r="H1843" s="22" t="n">
        <v>104540</v>
      </c>
      <c r="I1843" s="22" t="n">
        <v>200000</v>
      </c>
      <c r="J1843" s="20" t="inlineStr">
        <is>
          <t>POPULAR MARUTI</t>
        </is>
      </c>
      <c r="K1843" s="20" t="inlineStr">
        <is>
          <t>Non-Captive</t>
        </is>
      </c>
      <c r="L1843" s="20" t="inlineStr">
        <is>
          <t>DREAM DRIVE</t>
        </is>
      </c>
      <c r="M1843" s="23" t="n">
        <v>8474.58</v>
      </c>
    </row>
    <row r="1844">
      <c r="A1844" s="19" t="inlineStr">
        <is>
          <t>FY26</t>
        </is>
      </c>
      <c r="B1844" s="19" t="inlineStr">
        <is>
          <t>Mar</t>
        </is>
      </c>
      <c r="C1844" s="19" t="inlineStr">
        <is>
          <t>Kerala</t>
        </is>
      </c>
      <c r="D1844" s="20" t="inlineStr">
        <is>
          <t>KL05AU6118</t>
        </is>
      </c>
      <c r="E1844" s="20" t="inlineStr">
        <is>
          <t>HYUNDAI</t>
        </is>
      </c>
      <c r="F1844" s="20" t="inlineStr">
        <is>
          <t>Grand I10</t>
        </is>
      </c>
      <c r="G1844" s="21" t="n"/>
      <c r="H1844" s="22" t="n">
        <v>45218</v>
      </c>
      <c r="I1844" s="22" t="n">
        <v>235000</v>
      </c>
      <c r="J1844" s="20" t="inlineStr">
        <is>
          <t>POPULAR MARUTI</t>
        </is>
      </c>
      <c r="K1844" s="20" t="inlineStr">
        <is>
          <t>Non-Captive</t>
        </is>
      </c>
      <c r="L1844" s="20" t="inlineStr">
        <is>
          <t>DREAM DRIVE</t>
        </is>
      </c>
      <c r="M1844" s="23" t="n">
        <v>8474.58</v>
      </c>
    </row>
    <row r="1845">
      <c r="A1845" s="19" t="inlineStr">
        <is>
          <t>FY26</t>
        </is>
      </c>
      <c r="B1845" s="19" t="inlineStr">
        <is>
          <t>Mar</t>
        </is>
      </c>
      <c r="C1845" s="19" t="inlineStr">
        <is>
          <t>Kerala</t>
        </is>
      </c>
      <c r="D1845" s="20" t="inlineStr">
        <is>
          <t>KL45V1772</t>
        </is>
      </c>
      <c r="E1845" s="20" t="inlineStr">
        <is>
          <t>MARUTI SUZUKI</t>
        </is>
      </c>
      <c r="F1845" s="20" t="inlineStr">
        <is>
          <t>Alto</t>
        </is>
      </c>
      <c r="G1845" s="21" t="n"/>
      <c r="H1845" s="22" t="n">
        <v>56757</v>
      </c>
      <c r="I1845" s="22" t="n">
        <v>305000</v>
      </c>
      <c r="J1845" s="20" t="inlineStr">
        <is>
          <t>AMRITH V CHANDY</t>
        </is>
      </c>
      <c r="K1845" s="20" t="inlineStr">
        <is>
          <t>Non-Captive</t>
        </is>
      </c>
      <c r="L1845" s="20" t="inlineStr">
        <is>
          <t>MUHAMMAD SHAJI</t>
        </is>
      </c>
      <c r="M1845" s="23" t="n">
        <v>8474.58</v>
      </c>
    </row>
    <row r="1846">
      <c r="A1846" s="19" t="inlineStr">
        <is>
          <t>FY26</t>
        </is>
      </c>
      <c r="B1846" s="19" t="inlineStr">
        <is>
          <t>Mar</t>
        </is>
      </c>
      <c r="C1846" s="19" t="inlineStr">
        <is>
          <t>Kerala</t>
        </is>
      </c>
      <c r="D1846" s="20" t="inlineStr">
        <is>
          <t>KL29G0159</t>
        </is>
      </c>
      <c r="E1846" s="20" t="inlineStr">
        <is>
          <t>MARUTI SUZUKI</t>
        </is>
      </c>
      <c r="F1846" s="20" t="inlineStr">
        <is>
          <t>Swift</t>
        </is>
      </c>
      <c r="G1846" s="21" t="n"/>
      <c r="H1846" s="22" t="n">
        <v>157711</v>
      </c>
      <c r="I1846" s="22" t="n">
        <v>190000</v>
      </c>
      <c r="J1846" s="20" t="inlineStr">
        <is>
          <t>POPULAR MARUTI</t>
        </is>
      </c>
      <c r="K1846" s="20" t="inlineStr">
        <is>
          <t>Non-Captive</t>
        </is>
      </c>
      <c r="L1846" s="20" t="inlineStr">
        <is>
          <t>SABU</t>
        </is>
      </c>
      <c r="M1846" s="23" t="n">
        <v>8474.58</v>
      </c>
    </row>
    <row r="1847">
      <c r="A1847" s="19" t="inlineStr">
        <is>
          <t>FY26</t>
        </is>
      </c>
      <c r="B1847" s="19" t="inlineStr">
        <is>
          <t>Mar</t>
        </is>
      </c>
      <c r="C1847" s="19" t="inlineStr">
        <is>
          <t>Kerala</t>
        </is>
      </c>
      <c r="D1847" s="20" t="inlineStr">
        <is>
          <t>KL41L2233</t>
        </is>
      </c>
      <c r="E1847" s="20" t="inlineStr">
        <is>
          <t>FORD</t>
        </is>
      </c>
      <c r="F1847" s="20" t="inlineStr">
        <is>
          <t>Ecosport</t>
        </is>
      </c>
      <c r="G1847" s="21" t="n"/>
      <c r="H1847" s="22" t="n">
        <v>165899</v>
      </c>
      <c r="I1847" s="22" t="n">
        <v>350000</v>
      </c>
      <c r="J1847" s="20" t="inlineStr">
        <is>
          <t>AUTOMOTIVE MAHINDRA</t>
        </is>
      </c>
      <c r="K1847" s="20" t="inlineStr">
        <is>
          <t>Non-Captive</t>
        </is>
      </c>
      <c r="L1847" s="20" t="inlineStr">
        <is>
          <t>VTJ</t>
        </is>
      </c>
      <c r="M1847" s="23" t="n">
        <v>8474.58</v>
      </c>
    </row>
    <row r="1848">
      <c r="A1848" s="19" t="inlineStr">
        <is>
          <t>FY26</t>
        </is>
      </c>
      <c r="B1848" s="19" t="inlineStr">
        <is>
          <t>Mar</t>
        </is>
      </c>
      <c r="C1848" s="19" t="inlineStr">
        <is>
          <t>Kerala</t>
        </is>
      </c>
      <c r="D1848" s="20" t="inlineStr">
        <is>
          <t>KL07BX8955</t>
        </is>
      </c>
      <c r="E1848" s="20" t="inlineStr">
        <is>
          <t>VOLKSWAGEN</t>
        </is>
      </c>
      <c r="F1848" s="20" t="inlineStr">
        <is>
          <t>Vento</t>
        </is>
      </c>
      <c r="G1848" s="21" t="n"/>
      <c r="H1848" s="22" t="n">
        <v>48900</v>
      </c>
      <c r="I1848" s="22" t="n">
        <v>190000</v>
      </c>
      <c r="J1848" s="20" t="inlineStr">
        <is>
          <t>EVM VOLKSWAGEN</t>
        </is>
      </c>
      <c r="K1848" s="20" t="inlineStr">
        <is>
          <t>Non-Captive</t>
        </is>
      </c>
      <c r="L1848" s="20" t="inlineStr">
        <is>
          <t>VISHNU M S</t>
        </is>
      </c>
      <c r="M1848" s="23" t="n">
        <v>8474.58</v>
      </c>
    </row>
    <row r="1849">
      <c r="A1849" s="19" t="inlineStr">
        <is>
          <t>FY26</t>
        </is>
      </c>
      <c r="B1849" s="19" t="inlineStr">
        <is>
          <t>Mar</t>
        </is>
      </c>
      <c r="C1849" s="19" t="inlineStr">
        <is>
          <t>Kerala</t>
        </is>
      </c>
      <c r="D1849" s="20" t="inlineStr">
        <is>
          <t>KL62B2102</t>
        </is>
      </c>
      <c r="E1849" s="20" t="inlineStr">
        <is>
          <t>MARUTI SUZUKI</t>
        </is>
      </c>
      <c r="F1849" s="20" t="inlineStr">
        <is>
          <t>Alto</t>
        </is>
      </c>
      <c r="G1849" s="21" t="n"/>
      <c r="H1849" s="22" t="n">
        <v>83000</v>
      </c>
      <c r="I1849" s="22" t="n">
        <v>135000</v>
      </c>
      <c r="J1849" s="20" t="inlineStr">
        <is>
          <t>INCHEON KIA</t>
        </is>
      </c>
      <c r="K1849" s="20" t="inlineStr">
        <is>
          <t>Non-Captive</t>
        </is>
      </c>
      <c r="L1849" s="20" t="inlineStr">
        <is>
          <t>HUSSAIN O E</t>
        </is>
      </c>
      <c r="M1849" s="23" t="n">
        <v>8474.58</v>
      </c>
    </row>
    <row r="1850">
      <c r="A1850" s="19" t="inlineStr">
        <is>
          <t>FY26</t>
        </is>
      </c>
      <c r="B1850" s="19" t="inlineStr">
        <is>
          <t>Mar</t>
        </is>
      </c>
      <c r="C1850" s="19" t="inlineStr">
        <is>
          <t>Kerala</t>
        </is>
      </c>
      <c r="D1850" s="20" t="inlineStr">
        <is>
          <t>KL43L0710</t>
        </is>
      </c>
      <c r="E1850" s="20" t="inlineStr">
        <is>
          <t>HYUNDAI</t>
        </is>
      </c>
      <c r="F1850" s="20" t="inlineStr">
        <is>
          <t>Eon</t>
        </is>
      </c>
      <c r="G1850" s="21" t="n"/>
      <c r="H1850" s="22" t="n">
        <v>88832</v>
      </c>
      <c r="I1850" s="22" t="n">
        <v>130000</v>
      </c>
      <c r="J1850" s="20" t="inlineStr">
        <is>
          <t>CARS24</t>
        </is>
      </c>
      <c r="K1850" s="20" t="inlineStr">
        <is>
          <t>Non-Captive</t>
        </is>
      </c>
      <c r="L1850" s="20" t="inlineStr">
        <is>
          <t>HUSSAIN O E</t>
        </is>
      </c>
      <c r="M1850" s="23" t="n">
        <v>8474.58</v>
      </c>
    </row>
    <row r="1851">
      <c r="A1851" s="19" t="inlineStr">
        <is>
          <t>FY26</t>
        </is>
      </c>
      <c r="B1851" s="19" t="inlineStr">
        <is>
          <t>Mar</t>
        </is>
      </c>
      <c r="C1851" s="19" t="inlineStr">
        <is>
          <t>Kerala</t>
        </is>
      </c>
      <c r="D1851" s="20" t="inlineStr">
        <is>
          <t>KL58AJ6903</t>
        </is>
      </c>
      <c r="E1851" s="20" t="inlineStr">
        <is>
          <t>RENAULT</t>
        </is>
      </c>
      <c r="F1851" s="20" t="inlineStr">
        <is>
          <t>Kwid</t>
        </is>
      </c>
      <c r="G1851" s="21" t="n"/>
      <c r="H1851" s="22" t="n">
        <v>13100</v>
      </c>
      <c r="I1851" s="22" t="n">
        <v>335000</v>
      </c>
      <c r="J1851" s="20" t="inlineStr">
        <is>
          <t>VASIL</t>
        </is>
      </c>
      <c r="K1851" s="20" t="inlineStr">
        <is>
          <t>Non-Captive</t>
        </is>
      </c>
      <c r="L1851" s="20" t="inlineStr">
        <is>
          <t>ICICI BANK</t>
        </is>
      </c>
      <c r="M1851" s="23" t="n">
        <v>8474.58</v>
      </c>
    </row>
    <row r="1852">
      <c r="A1852" s="19" t="inlineStr">
        <is>
          <t>FY26</t>
        </is>
      </c>
      <c r="B1852" s="19" t="inlineStr">
        <is>
          <t>Mar</t>
        </is>
      </c>
      <c r="C1852" s="19" t="inlineStr">
        <is>
          <t>Kerala</t>
        </is>
      </c>
      <c r="D1852" s="20" t="inlineStr">
        <is>
          <t>KL11BD5650</t>
        </is>
      </c>
      <c r="E1852" s="20" t="inlineStr">
        <is>
          <t>MAHINDRA</t>
        </is>
      </c>
      <c r="F1852" s="20" t="inlineStr">
        <is>
          <t>Kuv100</t>
        </is>
      </c>
      <c r="G1852" s="21" t="n"/>
      <c r="H1852" s="22" t="n">
        <v>84000</v>
      </c>
      <c r="I1852" s="22" t="n">
        <v>215000</v>
      </c>
      <c r="J1852" s="20" t="inlineStr">
        <is>
          <t>SUNILKUMAR S</t>
        </is>
      </c>
      <c r="K1852" s="20" t="inlineStr">
        <is>
          <t>Non-Captive</t>
        </is>
      </c>
      <c r="L1852" s="20" t="inlineStr">
        <is>
          <t>PK SANTOSH UCD</t>
        </is>
      </c>
      <c r="M1852" s="23" t="n">
        <v>8474.58</v>
      </c>
    </row>
    <row r="1853">
      <c r="A1853" s="19" t="inlineStr">
        <is>
          <t>FY26</t>
        </is>
      </c>
      <c r="B1853" s="19" t="inlineStr">
        <is>
          <t>Mar</t>
        </is>
      </c>
      <c r="C1853" s="19" t="inlineStr">
        <is>
          <t>Kerala</t>
        </is>
      </c>
      <c r="D1853" s="20" t="inlineStr">
        <is>
          <t>KL597960</t>
        </is>
      </c>
      <c r="E1853" s="20" t="inlineStr">
        <is>
          <t>MARUTI SUZUKI</t>
        </is>
      </c>
      <c r="F1853" s="20" t="inlineStr">
        <is>
          <t>M800</t>
        </is>
      </c>
      <c r="G1853" s="21" t="n"/>
      <c r="H1853" s="22" t="n">
        <v>76000</v>
      </c>
      <c r="I1853" s="22" t="n">
        <v>40000</v>
      </c>
      <c r="J1853" s="20" t="inlineStr">
        <is>
          <t>PRAJOSH</t>
        </is>
      </c>
      <c r="K1853" s="20" t="inlineStr">
        <is>
          <t>Non-Captive</t>
        </is>
      </c>
      <c r="L1853" s="20" t="inlineStr">
        <is>
          <t>KVR TATA</t>
        </is>
      </c>
      <c r="M1853" s="23" t="n">
        <v>4237.29</v>
      </c>
    </row>
    <row r="1854">
      <c r="A1854" s="19" t="inlineStr">
        <is>
          <t>FY26</t>
        </is>
      </c>
      <c r="B1854" s="19" t="inlineStr">
        <is>
          <t>Mar</t>
        </is>
      </c>
      <c r="C1854" s="19" t="inlineStr">
        <is>
          <t>Kerala</t>
        </is>
      </c>
      <c r="D1854" s="20" t="inlineStr">
        <is>
          <t>KL59AC1605</t>
        </is>
      </c>
      <c r="E1854" s="20" t="inlineStr">
        <is>
          <t>RENAULT</t>
        </is>
      </c>
      <c r="F1854" s="20" t="inlineStr">
        <is>
          <t>Kwid</t>
        </is>
      </c>
      <c r="G1854" s="21" t="n"/>
      <c r="H1854" s="22" t="n">
        <v>4000</v>
      </c>
      <c r="I1854" s="22" t="n">
        <v>360000</v>
      </c>
      <c r="J1854" s="20" t="inlineStr">
        <is>
          <t>Arjid</t>
        </is>
      </c>
      <c r="K1854" s="20" t="inlineStr">
        <is>
          <t>Non-Captive</t>
        </is>
      </c>
      <c r="L1854" s="20" t="inlineStr">
        <is>
          <t>CHOLA FINANCE</t>
        </is>
      </c>
      <c r="M1854" s="23" t="n">
        <v>5084.75</v>
      </c>
    </row>
    <row r="1855">
      <c r="A1855" s="19" t="inlineStr">
        <is>
          <t>FY26</t>
        </is>
      </c>
      <c r="B1855" s="19" t="inlineStr">
        <is>
          <t>Mar</t>
        </is>
      </c>
      <c r="C1855" s="19" t="inlineStr">
        <is>
          <t>Kerala</t>
        </is>
      </c>
      <c r="D1855" s="20" t="inlineStr">
        <is>
          <t>KL18D9933</t>
        </is>
      </c>
      <c r="E1855" s="20" t="inlineStr">
        <is>
          <t>CHEVROLET</t>
        </is>
      </c>
      <c r="F1855" s="20" t="inlineStr">
        <is>
          <t>Uva</t>
        </is>
      </c>
      <c r="G1855" s="21" t="n"/>
      <c r="H1855" s="22" t="n">
        <v>109000</v>
      </c>
      <c r="I1855" s="22" t="n">
        <v>14000</v>
      </c>
      <c r="J1855" s="20" t="inlineStr">
        <is>
          <t>Arjid</t>
        </is>
      </c>
      <c r="K1855" s="20" t="inlineStr">
        <is>
          <t>Non-Captive</t>
        </is>
      </c>
      <c r="L1855" s="20" t="inlineStr">
        <is>
          <t>KVR TATA</t>
        </is>
      </c>
      <c r="M1855" s="23" t="n">
        <v>5084.75</v>
      </c>
    </row>
    <row r="1856">
      <c r="A1856" s="19" t="inlineStr">
        <is>
          <t>FY26</t>
        </is>
      </c>
      <c r="B1856" s="19" t="inlineStr">
        <is>
          <t>Mar</t>
        </is>
      </c>
      <c r="C1856" s="19" t="inlineStr">
        <is>
          <t>Kerala</t>
        </is>
      </c>
      <c r="D1856" s="20" t="inlineStr">
        <is>
          <t>KL54B6926</t>
        </is>
      </c>
      <c r="E1856" s="20" t="inlineStr">
        <is>
          <t>HYUNDAI</t>
        </is>
      </c>
      <c r="F1856" s="20" t="inlineStr">
        <is>
          <t>I20</t>
        </is>
      </c>
      <c r="G1856" s="21" t="n"/>
      <c r="H1856" s="22" t="n">
        <v>200000</v>
      </c>
      <c r="I1856" s="22" t="n">
        <v>20000</v>
      </c>
      <c r="J1856" s="20" t="inlineStr">
        <is>
          <t>AUTOTRUST</t>
        </is>
      </c>
      <c r="K1856" s="20" t="inlineStr">
        <is>
          <t>Non-Captive</t>
        </is>
      </c>
      <c r="L1856" s="20" t="inlineStr">
        <is>
          <t>CERO MAHINDRA</t>
        </is>
      </c>
      <c r="M1856" s="23" t="n">
        <v>4237.29</v>
      </c>
    </row>
    <row r="1857">
      <c r="A1857" s="19" t="inlineStr">
        <is>
          <t>FY26</t>
        </is>
      </c>
      <c r="B1857" s="19" t="inlineStr">
        <is>
          <t>Mar</t>
        </is>
      </c>
      <c r="C1857" s="19" t="inlineStr">
        <is>
          <t>Kerala</t>
        </is>
      </c>
      <c r="D1857" s="20" t="inlineStr">
        <is>
          <t>KL59Q6576</t>
        </is>
      </c>
      <c r="E1857" s="20" t="inlineStr">
        <is>
          <t>TATA</t>
        </is>
      </c>
      <c r="F1857" s="20" t="inlineStr">
        <is>
          <t>Tigore</t>
        </is>
      </c>
      <c r="G1857" s="21" t="n"/>
      <c r="H1857" s="22" t="n">
        <v>70000</v>
      </c>
      <c r="I1857" s="22" t="n">
        <v>160000</v>
      </c>
      <c r="J1857" s="20" t="inlineStr">
        <is>
          <t>SHAJEE CARS</t>
        </is>
      </c>
      <c r="K1857" s="20" t="inlineStr">
        <is>
          <t>Non-Captive</t>
        </is>
      </c>
      <c r="L1857" s="20" t="inlineStr">
        <is>
          <t>SRIRAM FINANCE</t>
        </is>
      </c>
      <c r="M1857" s="23" t="n">
        <v>4237.29</v>
      </c>
    </row>
    <row r="1858">
      <c r="A1858" s="19" t="inlineStr">
        <is>
          <t>FY26</t>
        </is>
      </c>
      <c r="B1858" s="19" t="inlineStr">
        <is>
          <t>Mar</t>
        </is>
      </c>
      <c r="C1858" s="19" t="inlineStr">
        <is>
          <t>Kerala</t>
        </is>
      </c>
      <c r="D1858" s="20" t="inlineStr">
        <is>
          <t>KL78B7964</t>
        </is>
      </c>
      <c r="E1858" s="20" t="inlineStr">
        <is>
          <t>TATA</t>
        </is>
      </c>
      <c r="F1858" s="20" t="inlineStr">
        <is>
          <t>Punch</t>
        </is>
      </c>
      <c r="G1858" s="21" t="n"/>
      <c r="H1858" s="22" t="n">
        <v>66000</v>
      </c>
      <c r="I1858" s="22" t="n">
        <v>450000</v>
      </c>
      <c r="J1858" s="20" t="inlineStr">
        <is>
          <t>KANNUR PLATINUM</t>
        </is>
      </c>
      <c r="K1858" s="20" t="inlineStr">
        <is>
          <t>Non-Captive</t>
        </is>
      </c>
      <c r="L1858" s="20" t="inlineStr">
        <is>
          <t>APCO HYUNDAI</t>
        </is>
      </c>
      <c r="M1858" s="23" t="n">
        <v>4237.29</v>
      </c>
    </row>
    <row r="1859">
      <c r="A1859" s="19" t="inlineStr">
        <is>
          <t>FY26</t>
        </is>
      </c>
      <c r="B1859" s="19" t="inlineStr">
        <is>
          <t>Mar</t>
        </is>
      </c>
      <c r="C1859" s="19" t="inlineStr">
        <is>
          <t>Kerala</t>
        </is>
      </c>
      <c r="D1859" s="20" t="inlineStr">
        <is>
          <t>KL58J8563</t>
        </is>
      </c>
      <c r="E1859" s="20" t="inlineStr">
        <is>
          <t>HYUNDAI</t>
        </is>
      </c>
      <c r="F1859" s="20" t="inlineStr">
        <is>
          <t>Eon</t>
        </is>
      </c>
      <c r="G1859" s="21" t="n"/>
      <c r="H1859" s="22" t="n">
        <v>99000</v>
      </c>
      <c r="I1859" s="22" t="n">
        <v>105000</v>
      </c>
      <c r="J1859" s="20" t="inlineStr">
        <is>
          <t>PRAJOSH</t>
        </is>
      </c>
      <c r="K1859" s="20" t="inlineStr">
        <is>
          <t>Non-Captive</t>
        </is>
      </c>
      <c r="L1859" s="20" t="inlineStr">
        <is>
          <t>APCO HYUNDAI</t>
        </is>
      </c>
      <c r="M1859" s="23" t="n">
        <v>6779.66</v>
      </c>
    </row>
    <row r="1860">
      <c r="A1860" s="19" t="inlineStr">
        <is>
          <t>FY26</t>
        </is>
      </c>
      <c r="B1860" s="19" t="inlineStr">
        <is>
          <t>Mar</t>
        </is>
      </c>
      <c r="C1860" s="19" t="inlineStr">
        <is>
          <t>Kerala</t>
        </is>
      </c>
      <c r="D1860" s="20" t="inlineStr">
        <is>
          <t>KL13AD8254</t>
        </is>
      </c>
      <c r="E1860" s="20" t="inlineStr">
        <is>
          <t>MARUTI SUZUKI</t>
        </is>
      </c>
      <c r="F1860" s="20" t="inlineStr">
        <is>
          <t>Wagon R</t>
        </is>
      </c>
      <c r="G1860" s="21" t="n"/>
      <c r="H1860" s="22" t="n">
        <v>70000</v>
      </c>
      <c r="I1860" s="22" t="n">
        <v>290000</v>
      </c>
      <c r="J1860" s="20" t="inlineStr">
        <is>
          <t>MUHAMMED NIZAB</t>
        </is>
      </c>
      <c r="K1860" s="20" t="inlineStr">
        <is>
          <t>Non-Captive</t>
        </is>
      </c>
      <c r="L1860" s="20" t="inlineStr">
        <is>
          <t>SHAJEE CARS</t>
        </is>
      </c>
      <c r="M1860" s="23" t="n">
        <v>8474.58</v>
      </c>
    </row>
    <row r="1861">
      <c r="A1861" s="19" t="inlineStr">
        <is>
          <t>FY26</t>
        </is>
      </c>
      <c r="B1861" s="19" t="inlineStr">
        <is>
          <t>Mar</t>
        </is>
      </c>
      <c r="C1861" s="19" t="inlineStr">
        <is>
          <t>Kerala</t>
        </is>
      </c>
      <c r="D1861" s="20" t="inlineStr">
        <is>
          <t>KL79A4567</t>
        </is>
      </c>
      <c r="E1861" s="20" t="inlineStr">
        <is>
          <t>HYUNDAI</t>
        </is>
      </c>
      <c r="F1861" s="20" t="inlineStr">
        <is>
          <t>Alcazar</t>
        </is>
      </c>
      <c r="G1861" s="21" t="n"/>
      <c r="H1861" s="22" t="n">
        <v>107000</v>
      </c>
      <c r="I1861" s="22" t="n">
        <v>950000</v>
      </c>
      <c r="J1861" s="20" t="inlineStr">
        <is>
          <t>SANOOP KM</t>
        </is>
      </c>
      <c r="K1861" s="20" t="inlineStr">
        <is>
          <t>Non-Captive</t>
        </is>
      </c>
      <c r="L1861" s="20" t="inlineStr">
        <is>
          <t>ERAM MAHINDRA</t>
        </is>
      </c>
      <c r="M1861" s="23" t="n">
        <v>8474.58</v>
      </c>
    </row>
    <row r="1862">
      <c r="A1862" s="19" t="inlineStr">
        <is>
          <t>FY26</t>
        </is>
      </c>
      <c r="B1862" s="19" t="inlineStr">
        <is>
          <t>Mar</t>
        </is>
      </c>
      <c r="C1862" s="19" t="inlineStr">
        <is>
          <t>Kerala</t>
        </is>
      </c>
      <c r="D1862" s="20" t="inlineStr">
        <is>
          <t>KL13AC9904</t>
        </is>
      </c>
      <c r="E1862" s="20" t="inlineStr">
        <is>
          <t>MARUTI SUZUKI</t>
        </is>
      </c>
      <c r="F1862" s="20" t="inlineStr">
        <is>
          <t>Celerio</t>
        </is>
      </c>
      <c r="G1862" s="21" t="n"/>
      <c r="H1862" s="22" t="n">
        <v>35000</v>
      </c>
      <c r="I1862" s="22" t="n">
        <v>225000</v>
      </c>
      <c r="J1862" s="20" t="inlineStr">
        <is>
          <t>SANOOP KM</t>
        </is>
      </c>
      <c r="K1862" s="20" t="inlineStr">
        <is>
          <t>Non-Captive</t>
        </is>
      </c>
      <c r="L1862" s="20" t="inlineStr">
        <is>
          <t>UCD ABHILASH</t>
        </is>
      </c>
      <c r="M1862" s="23" t="n">
        <v>8474.58</v>
      </c>
    </row>
    <row r="1863">
      <c r="A1863" s="19" t="inlineStr">
        <is>
          <t>FY26</t>
        </is>
      </c>
      <c r="B1863" s="19" t="inlineStr">
        <is>
          <t>Mar</t>
        </is>
      </c>
      <c r="C1863" s="19" t="inlineStr">
        <is>
          <t>Kerala</t>
        </is>
      </c>
      <c r="D1863" s="20" t="inlineStr">
        <is>
          <t>KL01CK0561</t>
        </is>
      </c>
      <c r="E1863" s="20" t="inlineStr">
        <is>
          <t>TATA</t>
        </is>
      </c>
      <c r="F1863" s="20" t="inlineStr">
        <is>
          <t>Nexon</t>
        </is>
      </c>
      <c r="G1863" s="21" t="n"/>
      <c r="H1863" s="22" t="n">
        <v>59671</v>
      </c>
      <c r="I1863" s="22" t="n">
        <v>440000</v>
      </c>
      <c r="J1863" s="20" t="inlineStr">
        <is>
          <t>MUTHOOT HONDA</t>
        </is>
      </c>
      <c r="K1863" s="20" t="inlineStr">
        <is>
          <t>Non-Captive</t>
        </is>
      </c>
      <c r="L1863" s="20" t="inlineStr">
        <is>
          <t>AITOS CARS</t>
        </is>
      </c>
      <c r="M1863" s="23" t="n">
        <v>8474.58</v>
      </c>
    </row>
    <row r="1864">
      <c r="A1864" s="19" t="inlineStr">
        <is>
          <t>FY26</t>
        </is>
      </c>
      <c r="B1864" s="19" t="inlineStr">
        <is>
          <t>Mar</t>
        </is>
      </c>
      <c r="C1864" s="19" t="inlineStr">
        <is>
          <t>Kerala</t>
        </is>
      </c>
      <c r="D1864" s="20" t="inlineStr">
        <is>
          <t>KL64L4249</t>
        </is>
      </c>
      <c r="E1864" s="20" t="inlineStr">
        <is>
          <t>NISSAN</t>
        </is>
      </c>
      <c r="F1864" s="20" t="inlineStr">
        <is>
          <t>Magnite</t>
        </is>
      </c>
      <c r="G1864" s="21" t="n"/>
      <c r="H1864" s="22" t="n">
        <v>51874</v>
      </c>
      <c r="I1864" s="22" t="n">
        <v>450000</v>
      </c>
      <c r="J1864" s="20" t="inlineStr">
        <is>
          <t>GOKULAM TATA</t>
        </is>
      </c>
      <c r="K1864" s="20" t="inlineStr">
        <is>
          <t>Non-Captive</t>
        </is>
      </c>
      <c r="L1864" s="20" t="inlineStr">
        <is>
          <t>AITOS CARS</t>
        </is>
      </c>
      <c r="M1864" s="23" t="n">
        <v>8474.58</v>
      </c>
    </row>
    <row r="1865">
      <c r="A1865" s="19" t="inlineStr">
        <is>
          <t>FY26</t>
        </is>
      </c>
      <c r="B1865" s="19" t="inlineStr">
        <is>
          <t>Mar</t>
        </is>
      </c>
      <c r="C1865" s="19" t="inlineStr">
        <is>
          <t>Kerala</t>
        </is>
      </c>
      <c r="D1865" s="20" t="inlineStr">
        <is>
          <t>KL08BM6884</t>
        </is>
      </c>
      <c r="E1865" s="20" t="inlineStr">
        <is>
          <t>MARUTI SUZUKI</t>
        </is>
      </c>
      <c r="F1865" s="20" t="inlineStr">
        <is>
          <t>Baleno</t>
        </is>
      </c>
      <c r="G1865" s="21" t="n"/>
      <c r="H1865" s="22" t="n">
        <v>78000</v>
      </c>
      <c r="I1865" s="22" t="n">
        <v>450000</v>
      </c>
      <c r="J1865" s="20" t="inlineStr">
        <is>
          <t>PHOENIX VOLKSWAGEN</t>
        </is>
      </c>
      <c r="K1865" s="20" t="inlineStr">
        <is>
          <t>Non-Captive</t>
        </is>
      </c>
      <c r="L1865" s="20" t="inlineStr">
        <is>
          <t>UMESHKUMAR T U</t>
        </is>
      </c>
      <c r="M1865" s="23" t="n">
        <v>8474.58</v>
      </c>
    </row>
    <row r="1866">
      <c r="A1866" s="19" t="inlineStr">
        <is>
          <t>FY26</t>
        </is>
      </c>
      <c r="B1866" s="19" t="inlineStr">
        <is>
          <t>Mar</t>
        </is>
      </c>
      <c r="C1866" s="19" t="inlineStr">
        <is>
          <t>Kerala</t>
        </is>
      </c>
      <c r="D1866" s="20" t="inlineStr">
        <is>
          <t>KL390300</t>
        </is>
      </c>
      <c r="E1866" s="20" t="inlineStr">
        <is>
          <t>TATA</t>
        </is>
      </c>
      <c r="F1866" s="20" t="inlineStr">
        <is>
          <t>Indica</t>
        </is>
      </c>
      <c r="G1866" s="21" t="n"/>
      <c r="H1866" s="22" t="n">
        <v>95670</v>
      </c>
      <c r="I1866" s="22" t="n">
        <v>25000</v>
      </c>
      <c r="J1866" s="20" t="inlineStr">
        <is>
          <t>POPULAR MARUTI</t>
        </is>
      </c>
      <c r="K1866" s="20" t="inlineStr">
        <is>
          <t>Non-Captive</t>
        </is>
      </c>
      <c r="L1866" s="20" t="inlineStr">
        <is>
          <t>RAFEEK T A</t>
        </is>
      </c>
      <c r="M1866" s="23" t="n">
        <v>8474.58</v>
      </c>
    </row>
    <row r="1867">
      <c r="A1867" s="19" t="inlineStr">
        <is>
          <t>FY26</t>
        </is>
      </c>
      <c r="B1867" s="19" t="inlineStr">
        <is>
          <t>Mar</t>
        </is>
      </c>
      <c r="C1867" s="19" t="inlineStr">
        <is>
          <t>Kerala</t>
        </is>
      </c>
      <c r="D1867" s="20" t="inlineStr">
        <is>
          <t>KL63H8212</t>
        </is>
      </c>
      <c r="E1867" s="20" t="inlineStr">
        <is>
          <t>MARUTI SUZUKI</t>
        </is>
      </c>
      <c r="F1867" s="20" t="inlineStr">
        <is>
          <t>Wagon R</t>
        </is>
      </c>
      <c r="G1867" s="21" t="n"/>
      <c r="H1867" s="22" t="n">
        <v>15436</v>
      </c>
      <c r="I1867" s="22" t="n">
        <v>430000</v>
      </c>
      <c r="J1867" s="20" t="inlineStr">
        <is>
          <t>EVM CITROEN</t>
        </is>
      </c>
      <c r="K1867" s="20" t="inlineStr">
        <is>
          <t>Non-Captive</t>
        </is>
      </c>
      <c r="L1867" s="20" t="inlineStr">
        <is>
          <t>VTJ</t>
        </is>
      </c>
      <c r="M1867" s="23" t="n">
        <v>8474.58</v>
      </c>
    </row>
    <row r="1868">
      <c r="A1868" s="19" t="inlineStr">
        <is>
          <t>FY26</t>
        </is>
      </c>
      <c r="B1868" s="19" t="inlineStr">
        <is>
          <t>Mar</t>
        </is>
      </c>
      <c r="C1868" s="19" t="inlineStr">
        <is>
          <t>Kerala</t>
        </is>
      </c>
      <c r="D1868" s="20" t="inlineStr">
        <is>
          <t>KL63G1831</t>
        </is>
      </c>
      <c r="E1868" s="20" t="inlineStr">
        <is>
          <t>RENAULT</t>
        </is>
      </c>
      <c r="F1868" s="20" t="inlineStr">
        <is>
          <t>Kwid</t>
        </is>
      </c>
      <c r="G1868" s="21" t="n"/>
      <c r="H1868" s="22" t="n">
        <v>69494</v>
      </c>
      <c r="I1868" s="22" t="n">
        <v>190000</v>
      </c>
      <c r="J1868" s="20" t="inlineStr">
        <is>
          <t>POPULAR MARUTI</t>
        </is>
      </c>
      <c r="K1868" s="20" t="inlineStr">
        <is>
          <t>Non-Captive</t>
        </is>
      </c>
      <c r="L1868" s="20" t="inlineStr">
        <is>
          <t>VTJ</t>
        </is>
      </c>
      <c r="M1868" s="23" t="n">
        <v>8474.58</v>
      </c>
    </row>
    <row r="1869">
      <c r="A1869" s="19" t="inlineStr">
        <is>
          <t>FY26</t>
        </is>
      </c>
      <c r="B1869" s="19" t="inlineStr">
        <is>
          <t>Mar</t>
        </is>
      </c>
      <c r="C1869" s="19" t="inlineStr">
        <is>
          <t>Kerala</t>
        </is>
      </c>
      <c r="D1869" s="20" t="inlineStr">
        <is>
          <t>KL05R5362</t>
        </is>
      </c>
      <c r="E1869" s="20" t="inlineStr">
        <is>
          <t>MARUTI SUZUKI</t>
        </is>
      </c>
      <c r="F1869" s="20" t="inlineStr">
        <is>
          <t>Alto</t>
        </is>
      </c>
      <c r="G1869" s="21" t="n"/>
      <c r="H1869" s="22" t="n">
        <v>92000</v>
      </c>
      <c r="I1869" s="22" t="n">
        <v>45000</v>
      </c>
      <c r="J1869" s="20" t="inlineStr">
        <is>
          <t>POPULAR MARUTI</t>
        </is>
      </c>
      <c r="K1869" s="20" t="inlineStr">
        <is>
          <t>Non-Captive</t>
        </is>
      </c>
      <c r="L1869" s="20" t="inlineStr">
        <is>
          <t>RAFEEK T A</t>
        </is>
      </c>
      <c r="M1869" s="23" t="n">
        <v>8474.58</v>
      </c>
    </row>
    <row r="1870">
      <c r="A1870" s="19" t="inlineStr">
        <is>
          <t>FY26</t>
        </is>
      </c>
      <c r="B1870" s="19" t="inlineStr">
        <is>
          <t>Mar</t>
        </is>
      </c>
      <c r="C1870" s="19" t="inlineStr">
        <is>
          <t>Kerala</t>
        </is>
      </c>
      <c r="D1870" s="20" t="inlineStr">
        <is>
          <t>KL07CL5157</t>
        </is>
      </c>
      <c r="E1870" s="20" t="inlineStr">
        <is>
          <t>MARUTI SUZUKI</t>
        </is>
      </c>
      <c r="F1870" s="20" t="inlineStr">
        <is>
          <t>Baleno</t>
        </is>
      </c>
      <c r="G1870" s="21" t="n"/>
      <c r="H1870" s="22" t="n">
        <v>46800</v>
      </c>
      <c r="I1870" s="22" t="n">
        <v>325000</v>
      </c>
      <c r="J1870" s="20" t="inlineStr">
        <is>
          <t>POPULAR MARUTI</t>
        </is>
      </c>
      <c r="K1870" s="20" t="inlineStr">
        <is>
          <t>Non-Captive</t>
        </is>
      </c>
      <c r="L1870" s="20" t="inlineStr">
        <is>
          <t>RAJEEV AC</t>
        </is>
      </c>
      <c r="M1870" s="23" t="n">
        <v>8474.58</v>
      </c>
    </row>
    <row r="1871">
      <c r="A1871" s="19" t="inlineStr">
        <is>
          <t>FY26</t>
        </is>
      </c>
      <c r="B1871" s="19" t="inlineStr">
        <is>
          <t>Mar</t>
        </is>
      </c>
      <c r="C1871" s="19" t="inlineStr">
        <is>
          <t>Kerala</t>
        </is>
      </c>
      <c r="D1871" s="20" t="inlineStr">
        <is>
          <t>KL283397</t>
        </is>
      </c>
      <c r="E1871" s="20" t="inlineStr">
        <is>
          <t>MARUTI SUZUKI</t>
        </is>
      </c>
      <c r="F1871" s="20" t="inlineStr">
        <is>
          <t>Alto</t>
        </is>
      </c>
      <c r="G1871" s="21" t="n"/>
      <c r="H1871" s="22" t="n">
        <v>81000</v>
      </c>
      <c r="I1871" s="22" t="n">
        <v>20000</v>
      </c>
      <c r="J1871" s="20" t="inlineStr">
        <is>
          <t>MUTHOOT TATA</t>
        </is>
      </c>
      <c r="K1871" s="20" t="inlineStr">
        <is>
          <t>Non-Captive</t>
        </is>
      </c>
      <c r="L1871" s="20" t="inlineStr">
        <is>
          <t>SHAHAR</t>
        </is>
      </c>
      <c r="M1871" s="23" t="n">
        <v>4237.29</v>
      </c>
    </row>
    <row r="1872">
      <c r="A1872" s="19" t="inlineStr">
        <is>
          <t>FY26</t>
        </is>
      </c>
      <c r="B1872" s="19" t="inlineStr">
        <is>
          <t>Mar</t>
        </is>
      </c>
      <c r="C1872" s="19" t="inlineStr">
        <is>
          <t>Kerala</t>
        </is>
      </c>
      <c r="D1872" s="20" t="inlineStr">
        <is>
          <t>KL58N2833</t>
        </is>
      </c>
      <c r="E1872" s="20" t="inlineStr">
        <is>
          <t>MARUTI SUZUKI</t>
        </is>
      </c>
      <c r="F1872" s="20" t="inlineStr">
        <is>
          <t>Celerio</t>
        </is>
      </c>
      <c r="G1872" s="21" t="n"/>
      <c r="H1872" s="22" t="n">
        <v>130000</v>
      </c>
      <c r="I1872" s="22" t="n">
        <v>250000</v>
      </c>
      <c r="J1872" s="20" t="inlineStr">
        <is>
          <t>SREEJITH</t>
        </is>
      </c>
      <c r="K1872" s="20" t="inlineStr">
        <is>
          <t>Non-Captive</t>
        </is>
      </c>
      <c r="L1872" s="20" t="inlineStr">
        <is>
          <t>SANOOP</t>
        </is>
      </c>
      <c r="M1872" s="23" t="n">
        <v>4237.29</v>
      </c>
    </row>
    <row r="1873">
      <c r="A1873" s="19" t="inlineStr">
        <is>
          <t>FY26</t>
        </is>
      </c>
      <c r="B1873" s="19" t="inlineStr">
        <is>
          <t>Mar</t>
        </is>
      </c>
      <c r="C1873" s="19" t="inlineStr">
        <is>
          <t>Kerala</t>
        </is>
      </c>
      <c r="D1873" s="20" t="inlineStr">
        <is>
          <t>KL56T8925</t>
        </is>
      </c>
      <c r="E1873" s="20" t="inlineStr">
        <is>
          <t>DATSUN</t>
        </is>
      </c>
      <c r="F1873" s="20" t="inlineStr">
        <is>
          <t>Go</t>
        </is>
      </c>
      <c r="G1873" s="21" t="n"/>
      <c r="H1873" s="22" t="n">
        <v>70000</v>
      </c>
      <c r="I1873" s="22" t="n">
        <v>155000</v>
      </c>
      <c r="J1873" s="20" t="inlineStr">
        <is>
          <t>KANNUR PLATINUM</t>
        </is>
      </c>
      <c r="K1873" s="20" t="inlineStr">
        <is>
          <t>Non-Captive</t>
        </is>
      </c>
      <c r="L1873" s="20" t="inlineStr">
        <is>
          <t>CETRION CALICUT</t>
        </is>
      </c>
      <c r="M1873" s="23" t="n">
        <v>4237.29</v>
      </c>
    </row>
    <row r="1874">
      <c r="A1874" s="19" t="inlineStr">
        <is>
          <t>FY26</t>
        </is>
      </c>
      <c r="B1874" s="19" t="inlineStr">
        <is>
          <t>Mar</t>
        </is>
      </c>
      <c r="C1874" s="19" t="inlineStr">
        <is>
          <t>Kerala</t>
        </is>
      </c>
      <c r="D1874" s="20" t="inlineStr">
        <is>
          <t>KL11BB2328</t>
        </is>
      </c>
      <c r="E1874" s="20" t="inlineStr">
        <is>
          <t>MARUTI SUZUKI</t>
        </is>
      </c>
      <c r="F1874" s="20" t="inlineStr">
        <is>
          <t>Celerio</t>
        </is>
      </c>
      <c r="G1874" s="21" t="n"/>
      <c r="H1874" s="22" t="n">
        <v>55000</v>
      </c>
      <c r="I1874" s="22" t="n">
        <v>300000</v>
      </c>
      <c r="J1874" s="20" t="inlineStr">
        <is>
          <t>KANNUR PLATINUM</t>
        </is>
      </c>
      <c r="K1874" s="20" t="inlineStr">
        <is>
          <t>Non-Captive</t>
        </is>
      </c>
      <c r="L1874" s="20" t="inlineStr">
        <is>
          <t>UCD SANOOP</t>
        </is>
      </c>
      <c r="M1874" s="23" t="n">
        <v>4237.29</v>
      </c>
    </row>
    <row r="1875">
      <c r="A1875" s="19" t="inlineStr">
        <is>
          <t>FY26</t>
        </is>
      </c>
      <c r="B1875" s="19" t="inlineStr">
        <is>
          <t>Mar</t>
        </is>
      </c>
      <c r="C1875" s="19" t="inlineStr">
        <is>
          <t>Kerala</t>
        </is>
      </c>
      <c r="D1875" s="20" t="inlineStr">
        <is>
          <t>KL57N3753</t>
        </is>
      </c>
      <c r="E1875" s="20" t="inlineStr">
        <is>
          <t>HYUNDAI</t>
        </is>
      </c>
      <c r="F1875" s="20" t="inlineStr">
        <is>
          <t>Grand I10</t>
        </is>
      </c>
      <c r="G1875" s="21" t="n"/>
      <c r="H1875" s="22" t="n">
        <v>46000</v>
      </c>
      <c r="I1875" s="22" t="n">
        <v>265000</v>
      </c>
      <c r="J1875" s="20" t="inlineStr">
        <is>
          <t>PRAJOSH</t>
        </is>
      </c>
      <c r="K1875" s="20" t="inlineStr">
        <is>
          <t>Non-Captive</t>
        </is>
      </c>
      <c r="L1875" s="20" t="inlineStr">
        <is>
          <t>BIMAL</t>
        </is>
      </c>
      <c r="M1875" s="23" t="n">
        <v>4237.29</v>
      </c>
    </row>
    <row r="1876">
      <c r="A1876" s="19" t="inlineStr">
        <is>
          <t>FY26</t>
        </is>
      </c>
      <c r="B1876" s="19" t="inlineStr">
        <is>
          <t>Mar</t>
        </is>
      </c>
      <c r="C1876" s="19" t="inlineStr">
        <is>
          <t>Kerala</t>
        </is>
      </c>
      <c r="D1876" s="20" t="inlineStr">
        <is>
          <t>KL01BL9922</t>
        </is>
      </c>
      <c r="E1876" s="20" t="inlineStr">
        <is>
          <t>MARUTI SUZUKI</t>
        </is>
      </c>
      <c r="F1876" s="20" t="inlineStr">
        <is>
          <t>Wagon R</t>
        </is>
      </c>
      <c r="G1876" s="21" t="n"/>
      <c r="H1876" s="22" t="n">
        <v>69300</v>
      </c>
      <c r="I1876" s="22" t="n">
        <v>195000</v>
      </c>
      <c r="J1876" s="20" t="inlineStr">
        <is>
          <t>SHAHAR</t>
        </is>
      </c>
      <c r="K1876" s="20" t="inlineStr">
        <is>
          <t>Non-Captive</t>
        </is>
      </c>
      <c r="L1876" s="20" t="inlineStr">
        <is>
          <t>LUXON TATA</t>
        </is>
      </c>
      <c r="M1876" s="23" t="n">
        <v>4237.29</v>
      </c>
    </row>
    <row r="1877">
      <c r="A1877" s="19" t="inlineStr">
        <is>
          <t>FY26</t>
        </is>
      </c>
      <c r="B1877" s="19" t="inlineStr">
        <is>
          <t>Mar</t>
        </is>
      </c>
      <c r="C1877" s="19" t="inlineStr">
        <is>
          <t>Kerala</t>
        </is>
      </c>
      <c r="D1877" s="20" t="inlineStr">
        <is>
          <t>KL04W8682</t>
        </is>
      </c>
      <c r="E1877" s="20" t="inlineStr">
        <is>
          <t>MARUTI SUZUKI</t>
        </is>
      </c>
      <c r="F1877" s="20" t="inlineStr">
        <is>
          <t>Alto</t>
        </is>
      </c>
      <c r="G1877" s="21" t="n"/>
      <c r="H1877" s="22" t="n">
        <v>64000</v>
      </c>
      <c r="I1877" s="22" t="n">
        <v>42000</v>
      </c>
      <c r="J1877" s="20" t="inlineStr">
        <is>
          <t>PRAMOD</t>
        </is>
      </c>
      <c r="K1877" s="20" t="inlineStr">
        <is>
          <t>Non-Captive</t>
        </is>
      </c>
      <c r="L1877" s="20" t="inlineStr">
        <is>
          <t>PINNACLE NISSAN</t>
        </is>
      </c>
      <c r="M1877" s="23" t="n">
        <v>4237.29</v>
      </c>
    </row>
    <row r="1878">
      <c r="A1878" s="19" t="inlineStr">
        <is>
          <t>FY26</t>
        </is>
      </c>
      <c r="B1878" s="19" t="inlineStr">
        <is>
          <t>Mar</t>
        </is>
      </c>
      <c r="C1878" s="19" t="inlineStr">
        <is>
          <t>Kerala</t>
        </is>
      </c>
      <c r="D1878" s="20" t="inlineStr">
        <is>
          <t>KL07AE9663</t>
        </is>
      </c>
      <c r="E1878" s="20" t="inlineStr">
        <is>
          <t>MARUTI SUZUKI</t>
        </is>
      </c>
      <c r="F1878" s="20" t="inlineStr">
        <is>
          <t>M800</t>
        </is>
      </c>
      <c r="G1878" s="21" t="n"/>
      <c r="H1878" s="22" t="n">
        <v>92000</v>
      </c>
      <c r="I1878" s="22" t="n">
        <v>15000</v>
      </c>
      <c r="J1878" s="20" t="inlineStr">
        <is>
          <t>SETHUNATH</t>
        </is>
      </c>
      <c r="K1878" s="20" t="inlineStr">
        <is>
          <t>Non-Captive</t>
        </is>
      </c>
      <c r="L1878" s="20" t="inlineStr">
        <is>
          <t>LUXON TATA</t>
        </is>
      </c>
      <c r="M1878" s="23" t="n">
        <v>4237.29</v>
      </c>
    </row>
    <row r="1879">
      <c r="A1879" s="19" t="inlineStr">
        <is>
          <t>FY26</t>
        </is>
      </c>
      <c r="B1879" s="19" t="inlineStr">
        <is>
          <t>Mar</t>
        </is>
      </c>
      <c r="C1879" s="19" t="inlineStr">
        <is>
          <t>Kerala</t>
        </is>
      </c>
      <c r="D1879" s="20" t="inlineStr">
        <is>
          <t>KL02AW3991</t>
        </is>
      </c>
      <c r="E1879" s="20" t="inlineStr">
        <is>
          <t>HYUNDAI</t>
        </is>
      </c>
      <c r="F1879" s="20" t="inlineStr">
        <is>
          <t>Grand I10</t>
        </is>
      </c>
      <c r="G1879" s="21" t="n"/>
      <c r="H1879" s="22" t="n">
        <v>36538</v>
      </c>
      <c r="I1879" s="22" t="n">
        <v>285000</v>
      </c>
      <c r="J1879" s="20" t="inlineStr">
        <is>
          <t>AKHILNATH</t>
        </is>
      </c>
      <c r="K1879" s="20" t="inlineStr">
        <is>
          <t>Non-Captive</t>
        </is>
      </c>
      <c r="L1879" s="20" t="inlineStr">
        <is>
          <t>PINNACLE NISSAN</t>
        </is>
      </c>
      <c r="M1879" s="23" t="n">
        <v>4237.29</v>
      </c>
    </row>
    <row r="1880">
      <c r="A1880" s="19" t="inlineStr">
        <is>
          <t>FY26</t>
        </is>
      </c>
      <c r="B1880" s="19" t="inlineStr">
        <is>
          <t>Mar</t>
        </is>
      </c>
      <c r="C1880" s="19" t="inlineStr">
        <is>
          <t>Kerala</t>
        </is>
      </c>
      <c r="D1880" s="20" t="inlineStr">
        <is>
          <t>KL02AM8111</t>
        </is>
      </c>
      <c r="E1880" s="20" t="inlineStr">
        <is>
          <t>VOLKSWAGEN</t>
        </is>
      </c>
      <c r="F1880" s="20" t="inlineStr">
        <is>
          <t>Vento</t>
        </is>
      </c>
      <c r="G1880" s="21" t="n"/>
      <c r="H1880" s="22" t="n">
        <v>123000</v>
      </c>
      <c r="I1880" s="22" t="n">
        <v>225000</v>
      </c>
      <c r="J1880" s="20" t="inlineStr">
        <is>
          <t>SHIBU</t>
        </is>
      </c>
      <c r="K1880" s="20" t="inlineStr">
        <is>
          <t>Non-Captive</t>
        </is>
      </c>
      <c r="L1880" s="20" t="inlineStr">
        <is>
          <t>REFERENCE</t>
        </is>
      </c>
      <c r="M1880" s="23" t="n">
        <v>4237.29</v>
      </c>
    </row>
    <row r="1881">
      <c r="A1881" s="19" t="inlineStr">
        <is>
          <t>FY26</t>
        </is>
      </c>
      <c r="B1881" s="19" t="inlineStr">
        <is>
          <t>Mar</t>
        </is>
      </c>
      <c r="C1881" s="19" t="inlineStr">
        <is>
          <t>Kerala</t>
        </is>
      </c>
      <c r="D1881" s="20" t="inlineStr">
        <is>
          <t>KL07BL0181</t>
        </is>
      </c>
      <c r="E1881" s="20" t="inlineStr">
        <is>
          <t>HYUNDAI</t>
        </is>
      </c>
      <c r="F1881" s="20" t="inlineStr">
        <is>
          <t>I10</t>
        </is>
      </c>
      <c r="G1881" s="21" t="n"/>
      <c r="H1881" s="22" t="n">
        <v>59500</v>
      </c>
      <c r="I1881" s="22" t="n">
        <v>155000</v>
      </c>
      <c r="J1881" s="20" t="inlineStr">
        <is>
          <t>JOHNS HONDA CARS</t>
        </is>
      </c>
      <c r="K1881" s="20" t="inlineStr">
        <is>
          <t>Non-Captive</t>
        </is>
      </c>
      <c r="L1881" s="20" t="inlineStr">
        <is>
          <t>AITOS CARS</t>
        </is>
      </c>
      <c r="M1881" s="23" t="n">
        <v>8474.58</v>
      </c>
    </row>
    <row r="1882">
      <c r="A1882" s="19" t="inlineStr">
        <is>
          <t>FY26</t>
        </is>
      </c>
      <c r="B1882" s="19" t="inlineStr">
        <is>
          <t>Mar</t>
        </is>
      </c>
      <c r="C1882" s="19" t="inlineStr">
        <is>
          <t>Kerala</t>
        </is>
      </c>
      <c r="D1882" s="20" t="inlineStr">
        <is>
          <t>KL08BQ1636</t>
        </is>
      </c>
      <c r="E1882" s="20" t="inlineStr">
        <is>
          <t>RENAULT</t>
        </is>
      </c>
      <c r="F1882" s="20" t="inlineStr">
        <is>
          <t>Kwid</t>
        </is>
      </c>
      <c r="G1882" s="21" t="n"/>
      <c r="H1882" s="22" t="n">
        <v>30000</v>
      </c>
      <c r="I1882" s="22" t="n">
        <v>200000</v>
      </c>
      <c r="J1882" s="20" t="inlineStr">
        <is>
          <t>JOHNS HONDA CARS</t>
        </is>
      </c>
      <c r="K1882" s="20" t="inlineStr">
        <is>
          <t>Non-Captive</t>
        </is>
      </c>
      <c r="L1882" s="20" t="inlineStr">
        <is>
          <t>AITOS CARS</t>
        </is>
      </c>
      <c r="M1882" s="23" t="n">
        <v>8474.58</v>
      </c>
    </row>
    <row r="1883">
      <c r="A1883" s="19" t="inlineStr">
        <is>
          <t>FY26</t>
        </is>
      </c>
      <c r="B1883" s="19" t="inlineStr">
        <is>
          <t>Mar</t>
        </is>
      </c>
      <c r="C1883" s="19" t="inlineStr">
        <is>
          <t>Kerala</t>
        </is>
      </c>
      <c r="D1883" s="20" t="inlineStr">
        <is>
          <t>KL35K8029</t>
        </is>
      </c>
      <c r="E1883" s="20" t="inlineStr">
        <is>
          <t>HONDA</t>
        </is>
      </c>
      <c r="F1883" s="20" t="inlineStr">
        <is>
          <t>Amaze</t>
        </is>
      </c>
      <c r="G1883" s="21" t="n"/>
      <c r="H1883" s="22" t="n">
        <v>39777</v>
      </c>
      <c r="I1883" s="22" t="n">
        <v>585000</v>
      </c>
      <c r="J1883" s="20" t="inlineStr">
        <is>
          <t>EVM SKODA</t>
        </is>
      </c>
      <c r="K1883" s="20" t="inlineStr">
        <is>
          <t>Non-Captive</t>
        </is>
      </c>
      <c r="L1883" s="20" t="inlineStr">
        <is>
          <t>VTJ</t>
        </is>
      </c>
      <c r="M1883" s="23" t="n">
        <v>8474.58</v>
      </c>
    </row>
    <row r="1884">
      <c r="A1884" s="19" t="inlineStr">
        <is>
          <t>FY26</t>
        </is>
      </c>
      <c r="B1884" s="19" t="inlineStr">
        <is>
          <t>Mar</t>
        </is>
      </c>
      <c r="C1884" s="19" t="inlineStr">
        <is>
          <t>Kerala</t>
        </is>
      </c>
      <c r="D1884" s="20" t="inlineStr">
        <is>
          <t>KL69A0755</t>
        </is>
      </c>
      <c r="E1884" s="20" t="inlineStr">
        <is>
          <t>FIAT</t>
        </is>
      </c>
      <c r="F1884" s="20" t="inlineStr">
        <is>
          <t>Avventura</t>
        </is>
      </c>
      <c r="G1884" s="21" t="n"/>
      <c r="H1884" s="22" t="n">
        <v>68238</v>
      </c>
      <c r="I1884" s="22" t="n">
        <v>200000</v>
      </c>
      <c r="J1884" s="20" t="inlineStr">
        <is>
          <t>CARS24</t>
        </is>
      </c>
      <c r="K1884" s="20" t="inlineStr">
        <is>
          <t>Non-Captive</t>
        </is>
      </c>
      <c r="L1884" s="20" t="inlineStr">
        <is>
          <t>ASHRAF T A</t>
        </is>
      </c>
      <c r="M1884" s="23" t="n">
        <v>8474.58</v>
      </c>
    </row>
    <row r="1885">
      <c r="A1885" s="19" t="inlineStr">
        <is>
          <t>FY26</t>
        </is>
      </c>
      <c r="B1885" s="19" t="inlineStr">
        <is>
          <t>Mar</t>
        </is>
      </c>
      <c r="C1885" s="19" t="inlineStr">
        <is>
          <t>Kerala</t>
        </is>
      </c>
      <c r="D1885" s="20" t="inlineStr">
        <is>
          <t>KL43P6758</t>
        </is>
      </c>
      <c r="E1885" s="20" t="inlineStr">
        <is>
          <t>RENAULT</t>
        </is>
      </c>
      <c r="F1885" s="20" t="inlineStr">
        <is>
          <t>Kiger</t>
        </is>
      </c>
      <c r="G1885" s="21" t="n"/>
      <c r="H1885" s="22" t="n">
        <v>23000</v>
      </c>
      <c r="I1885" s="22" t="n">
        <v>540000</v>
      </c>
      <c r="J1885" s="20" t="inlineStr">
        <is>
          <t>HASEENA</t>
        </is>
      </c>
      <c r="K1885" s="20" t="inlineStr">
        <is>
          <t>Non-Captive</t>
        </is>
      </c>
      <c r="L1885" s="20" t="inlineStr">
        <is>
          <t>UCD SANTHOSH</t>
        </is>
      </c>
      <c r="M1885" s="23" t="n">
        <v>8474.58</v>
      </c>
    </row>
    <row r="1886">
      <c r="A1886" s="19" t="inlineStr">
        <is>
          <t>FY26</t>
        </is>
      </c>
      <c r="B1886" s="19" t="inlineStr">
        <is>
          <t>Mar</t>
        </is>
      </c>
      <c r="C1886" s="19" t="inlineStr">
        <is>
          <t>Kerala</t>
        </is>
      </c>
      <c r="D1886" s="20" t="inlineStr">
        <is>
          <t>KL56T4060</t>
        </is>
      </c>
      <c r="E1886" s="20" t="inlineStr">
        <is>
          <t>MARUTI SUZUKI</t>
        </is>
      </c>
      <c r="F1886" s="20" t="inlineStr">
        <is>
          <t>Baleno</t>
        </is>
      </c>
      <c r="G1886" s="21" t="n"/>
      <c r="H1886" s="22" t="n">
        <v>46000</v>
      </c>
      <c r="I1886" s="22" t="n">
        <v>470000</v>
      </c>
      <c r="J1886" s="20" t="inlineStr">
        <is>
          <t>SIRAJ K V</t>
        </is>
      </c>
      <c r="K1886" s="20" t="inlineStr">
        <is>
          <t>Non-Captive</t>
        </is>
      </c>
      <c r="L1886" s="20" t="inlineStr">
        <is>
          <t>KVR TATA</t>
        </is>
      </c>
      <c r="M1886" s="23" t="n">
        <v>8474.58</v>
      </c>
    </row>
    <row r="1887">
      <c r="A1887" s="19" t="inlineStr">
        <is>
          <t>FY26</t>
        </is>
      </c>
      <c r="B1887" s="19" t="inlineStr">
        <is>
          <t>Mar</t>
        </is>
      </c>
      <c r="C1887" s="19" t="inlineStr">
        <is>
          <t>Kerala</t>
        </is>
      </c>
      <c r="D1887" s="20" t="inlineStr">
        <is>
          <t>KL11BX2700</t>
        </is>
      </c>
      <c r="E1887" s="20" t="inlineStr">
        <is>
          <t>NISSAN</t>
        </is>
      </c>
      <c r="F1887" s="20" t="inlineStr">
        <is>
          <t>Terrano</t>
        </is>
      </c>
      <c r="G1887" s="21" t="n"/>
      <c r="H1887" s="22" t="n">
        <v>88000</v>
      </c>
      <c r="I1887" s="22" t="n">
        <v>280000</v>
      </c>
      <c r="J1887" s="20" t="inlineStr">
        <is>
          <t>SANOOP</t>
        </is>
      </c>
      <c r="K1887" s="20" t="inlineStr">
        <is>
          <t>Non-Captive</t>
        </is>
      </c>
      <c r="L1887" s="20" t="inlineStr">
        <is>
          <t>HARIS</t>
        </is>
      </c>
      <c r="M1887" s="23" t="n">
        <v>8474.58</v>
      </c>
    </row>
    <row r="1888">
      <c r="A1888" s="19" t="inlineStr">
        <is>
          <t>FY26</t>
        </is>
      </c>
      <c r="B1888" s="19" t="inlineStr">
        <is>
          <t>Mar</t>
        </is>
      </c>
      <c r="C1888" s="19" t="inlineStr">
        <is>
          <t>Kerala</t>
        </is>
      </c>
      <c r="D1888" s="20" t="inlineStr">
        <is>
          <t>KL57D8282</t>
        </is>
      </c>
      <c r="E1888" s="20" t="inlineStr">
        <is>
          <t>MARUTI SUZUKI</t>
        </is>
      </c>
      <c r="F1888" s="20" t="inlineStr">
        <is>
          <t>Ritz</t>
        </is>
      </c>
      <c r="G1888" s="21" t="n"/>
      <c r="H1888" s="22" t="n">
        <v>100000</v>
      </c>
      <c r="I1888" s="22" t="n">
        <v>80000</v>
      </c>
      <c r="J1888" s="20" t="inlineStr">
        <is>
          <t>PRAJOSH</t>
        </is>
      </c>
      <c r="K1888" s="20" t="inlineStr">
        <is>
          <t>Non-Captive</t>
        </is>
      </c>
      <c r="L1888" s="20" t="inlineStr">
        <is>
          <t>DKH KIA</t>
        </is>
      </c>
      <c r="M1888" s="23" t="n">
        <v>4237.29</v>
      </c>
    </row>
    <row r="1889">
      <c r="A1889" s="19" t="inlineStr">
        <is>
          <t>FY26</t>
        </is>
      </c>
      <c r="B1889" s="19" t="inlineStr">
        <is>
          <t>Mar</t>
        </is>
      </c>
      <c r="C1889" s="19" t="inlineStr">
        <is>
          <t>Kerala</t>
        </is>
      </c>
      <c r="D1889" s="20" t="inlineStr">
        <is>
          <t>KL07DD6932</t>
        </is>
      </c>
      <c r="E1889" s="20" t="inlineStr">
        <is>
          <t>MAHINDRA</t>
        </is>
      </c>
      <c r="F1889" s="20" t="inlineStr">
        <is>
          <t>Optimo</t>
        </is>
      </c>
      <c r="G1889" s="21" t="n"/>
      <c r="H1889" s="22" t="n">
        <v>16000</v>
      </c>
      <c r="I1889" s="22" t="n">
        <v>900000</v>
      </c>
      <c r="J1889" s="20" t="inlineStr">
        <is>
          <t>MTBL</t>
        </is>
      </c>
      <c r="K1889" s="20" t="inlineStr">
        <is>
          <t>Non-Captive</t>
        </is>
      </c>
      <c r="L1889" s="20" t="inlineStr">
        <is>
          <t>GARUDA TRUCKS</t>
        </is>
      </c>
      <c r="M1889" s="23" t="n">
        <v>8474.58</v>
      </c>
    </row>
    <row r="1890">
      <c r="A1890" s="19" t="inlineStr">
        <is>
          <t>FY26</t>
        </is>
      </c>
      <c r="B1890" s="19" t="inlineStr">
        <is>
          <t>Mar</t>
        </is>
      </c>
      <c r="C1890" s="19" t="inlineStr">
        <is>
          <t>Kerala</t>
        </is>
      </c>
      <c r="D1890" s="20" t="inlineStr">
        <is>
          <t>KL20F2154</t>
        </is>
      </c>
      <c r="E1890" s="20" t="inlineStr">
        <is>
          <t>CHEVROLET</t>
        </is>
      </c>
      <c r="F1890" s="20" t="inlineStr">
        <is>
          <t>Beat</t>
        </is>
      </c>
      <c r="G1890" s="21" t="n"/>
      <c r="H1890" s="22" t="n">
        <v>55800</v>
      </c>
      <c r="I1890" s="22" t="n">
        <v>70000</v>
      </c>
      <c r="J1890" s="20" t="inlineStr">
        <is>
          <t>LUXON TATA</t>
        </is>
      </c>
      <c r="K1890" s="20" t="inlineStr">
        <is>
          <t>Non-Captive</t>
        </is>
      </c>
      <c r="L1890" s="20" t="inlineStr">
        <is>
          <t>ABHISHEK</t>
        </is>
      </c>
      <c r="M1890" s="23" t="n">
        <v>5084.75</v>
      </c>
    </row>
    <row r="1891">
      <c r="A1891" s="19" t="inlineStr">
        <is>
          <t>FY26</t>
        </is>
      </c>
      <c r="B1891" s="19" t="inlineStr">
        <is>
          <t>Mar</t>
        </is>
      </c>
      <c r="C1891" s="19" t="inlineStr">
        <is>
          <t>Kerala</t>
        </is>
      </c>
      <c r="D1891" s="20" t="inlineStr">
        <is>
          <t>KL58S9485</t>
        </is>
      </c>
      <c r="E1891" s="20" t="inlineStr">
        <is>
          <t>HYUNDAI</t>
        </is>
      </c>
      <c r="F1891" s="20" t="inlineStr">
        <is>
          <t>I10</t>
        </is>
      </c>
      <c r="G1891" s="21" t="n"/>
      <c r="H1891" s="22" t="n">
        <v>78000</v>
      </c>
      <c r="I1891" s="22" t="n">
        <v>230000</v>
      </c>
      <c r="J1891" s="20" t="inlineStr">
        <is>
          <t>KANNUR PLATINUM</t>
        </is>
      </c>
      <c r="K1891" s="20" t="inlineStr">
        <is>
          <t>Non-Captive</t>
        </is>
      </c>
      <c r="L1891" s="20" t="inlineStr">
        <is>
          <t>KVR TATA</t>
        </is>
      </c>
      <c r="M1891" s="23" t="n">
        <v>4237.29</v>
      </c>
    </row>
    <row r="1892">
      <c r="A1892" s="19" t="inlineStr">
        <is>
          <t>FY26</t>
        </is>
      </c>
      <c r="B1892" s="19" t="inlineStr">
        <is>
          <t>Mar</t>
        </is>
      </c>
      <c r="C1892" s="19" t="inlineStr">
        <is>
          <t>Kerala</t>
        </is>
      </c>
      <c r="D1892" s="20" t="inlineStr">
        <is>
          <t>KL20J9239</t>
        </is>
      </c>
      <c r="E1892" s="20" t="inlineStr">
        <is>
          <t>HONDA</t>
        </is>
      </c>
      <c r="F1892" s="20" t="inlineStr">
        <is>
          <t>Jazz</t>
        </is>
      </c>
      <c r="G1892" s="21" t="n"/>
      <c r="H1892" s="22" t="n">
        <v>145000</v>
      </c>
      <c r="I1892" s="22" t="n">
        <v>240000</v>
      </c>
      <c r="J1892" s="20" t="inlineStr">
        <is>
          <t>POPULAR HYUNDAI</t>
        </is>
      </c>
      <c r="K1892" s="20" t="inlineStr">
        <is>
          <t>Non-Captive</t>
        </is>
      </c>
      <c r="L1892" s="20" t="inlineStr">
        <is>
          <t>ARAVIND</t>
        </is>
      </c>
      <c r="M1892" s="23" t="n">
        <v>5084.75</v>
      </c>
    </row>
    <row r="1893">
      <c r="A1893" s="19" t="inlineStr">
        <is>
          <t>FY26</t>
        </is>
      </c>
      <c r="B1893" s="19" t="inlineStr">
        <is>
          <t>Mar</t>
        </is>
      </c>
      <c r="C1893" s="19" t="inlineStr">
        <is>
          <t>Kerala</t>
        </is>
      </c>
      <c r="D1893" s="20" t="inlineStr">
        <is>
          <t>KL43L0196</t>
        </is>
      </c>
      <c r="E1893" s="20" t="inlineStr">
        <is>
          <t>TOYOTA</t>
        </is>
      </c>
      <c r="F1893" s="20" t="inlineStr">
        <is>
          <t>Yaris</t>
        </is>
      </c>
      <c r="G1893" s="21" t="n"/>
      <c r="H1893" s="22" t="n">
        <v>52000</v>
      </c>
      <c r="I1893" s="22" t="n">
        <v>520000</v>
      </c>
      <c r="J1893" s="20" t="inlineStr">
        <is>
          <t>EVM CITROEN</t>
        </is>
      </c>
      <c r="K1893" s="20" t="inlineStr">
        <is>
          <t>Non-Captive</t>
        </is>
      </c>
      <c r="L1893" s="20" t="inlineStr">
        <is>
          <t>HAVEN MOTORS</t>
        </is>
      </c>
      <c r="M1893" s="23" t="n">
        <v>8474.58</v>
      </c>
    </row>
    <row r="1894">
      <c r="A1894" s="19" t="inlineStr">
        <is>
          <t>FY26</t>
        </is>
      </c>
      <c r="B1894" s="19" t="inlineStr">
        <is>
          <t>Mar</t>
        </is>
      </c>
      <c r="C1894" s="19" t="inlineStr">
        <is>
          <t>Kerala</t>
        </is>
      </c>
      <c r="D1894" s="20" t="inlineStr">
        <is>
          <t>KL38J7590</t>
        </is>
      </c>
      <c r="E1894" s="20" t="inlineStr">
        <is>
          <t>HYUNDAI</t>
        </is>
      </c>
      <c r="F1894" s="20" t="inlineStr">
        <is>
          <t>I10</t>
        </is>
      </c>
      <c r="G1894" s="21" t="n"/>
      <c r="H1894" s="22" t="n">
        <v>70000</v>
      </c>
      <c r="I1894" s="22" t="n">
        <v>220000</v>
      </c>
      <c r="J1894" s="20" t="inlineStr">
        <is>
          <t>KANNUR PLATINUM</t>
        </is>
      </c>
      <c r="K1894" s="20" t="inlineStr">
        <is>
          <t>Non-Captive</t>
        </is>
      </c>
      <c r="L1894" s="20" t="inlineStr">
        <is>
          <t>ERAM MOTORS</t>
        </is>
      </c>
      <c r="M1894" s="23" t="n">
        <v>4237.29</v>
      </c>
    </row>
    <row r="1895">
      <c r="A1895" s="19" t="inlineStr">
        <is>
          <t>FY26</t>
        </is>
      </c>
      <c r="B1895" s="19" t="inlineStr">
        <is>
          <t>Mar</t>
        </is>
      </c>
      <c r="C1895" s="19" t="inlineStr">
        <is>
          <t>Kerala</t>
        </is>
      </c>
      <c r="D1895" s="20" t="inlineStr">
        <is>
          <t>KL08BF2662</t>
        </is>
      </c>
      <c r="E1895" s="20" t="inlineStr">
        <is>
          <t>DATSUN</t>
        </is>
      </c>
      <c r="F1895" s="20" t="inlineStr">
        <is>
          <t>Go Plus</t>
        </is>
      </c>
      <c r="G1895" s="21" t="n"/>
      <c r="H1895" s="22" t="n">
        <v>74572</v>
      </c>
      <c r="I1895" s="22" t="n">
        <v>140000</v>
      </c>
      <c r="J1895" s="20" t="inlineStr">
        <is>
          <t>PINNACLE NISSAN</t>
        </is>
      </c>
      <c r="K1895" s="20" t="inlineStr">
        <is>
          <t>Non-Captive</t>
        </is>
      </c>
      <c r="L1895" s="20" t="inlineStr">
        <is>
          <t>UMESHKUMAR T U</t>
        </is>
      </c>
      <c r="M1895" s="23" t="n">
        <v>8474.58</v>
      </c>
    </row>
    <row r="1896">
      <c r="A1896" s="19" t="inlineStr">
        <is>
          <t>FY26</t>
        </is>
      </c>
      <c r="B1896" s="19" t="inlineStr">
        <is>
          <t>Mar</t>
        </is>
      </c>
      <c r="C1896" s="19" t="inlineStr">
        <is>
          <t>Kerala</t>
        </is>
      </c>
      <c r="D1896" s="20" t="inlineStr">
        <is>
          <t>KL33G9508</t>
        </is>
      </c>
      <c r="E1896" s="20" t="inlineStr">
        <is>
          <t>MARUTI SUZUKI</t>
        </is>
      </c>
      <c r="F1896" s="20" t="inlineStr">
        <is>
          <t>Celerio</t>
        </is>
      </c>
      <c r="G1896" s="21" t="n"/>
      <c r="H1896" s="22" t="n">
        <v>161433</v>
      </c>
      <c r="I1896" s="22" t="n">
        <v>180000</v>
      </c>
      <c r="J1896" s="20" t="inlineStr">
        <is>
          <t>POPULAR MARUTI</t>
        </is>
      </c>
      <c r="K1896" s="20" t="inlineStr">
        <is>
          <t>Non-Captive</t>
        </is>
      </c>
      <c r="L1896" s="20" t="inlineStr">
        <is>
          <t>4 WHEEL DRIVE</t>
        </is>
      </c>
      <c r="M1896" s="23" t="n">
        <v>8474.58</v>
      </c>
    </row>
    <row r="1897">
      <c r="A1897" s="19" t="inlineStr">
        <is>
          <t>FY26</t>
        </is>
      </c>
      <c r="B1897" s="19" t="inlineStr">
        <is>
          <t>Mar</t>
        </is>
      </c>
      <c r="C1897" s="19" t="inlineStr">
        <is>
          <t>Kerala</t>
        </is>
      </c>
      <c r="D1897" s="20" t="inlineStr">
        <is>
          <t>KL41M3068</t>
        </is>
      </c>
      <c r="E1897" s="20" t="inlineStr">
        <is>
          <t>MARUTI SUZUKI</t>
        </is>
      </c>
      <c r="F1897" s="20" t="inlineStr">
        <is>
          <t>Celerio</t>
        </is>
      </c>
      <c r="G1897" s="21" t="n"/>
      <c r="H1897" s="22" t="n">
        <v>81115</v>
      </c>
      <c r="I1897" s="22" t="n">
        <v>300000</v>
      </c>
      <c r="J1897" s="20" t="inlineStr">
        <is>
          <t>MAIJO MARUTI</t>
        </is>
      </c>
      <c r="K1897" s="20" t="inlineStr">
        <is>
          <t>Non-Captive</t>
        </is>
      </c>
      <c r="L1897" s="20" t="inlineStr">
        <is>
          <t>RAFEEK T A</t>
        </is>
      </c>
      <c r="M1897" s="23" t="n">
        <v>8474.58</v>
      </c>
    </row>
    <row r="1898">
      <c r="A1898" s="19" t="inlineStr">
        <is>
          <t>FY26</t>
        </is>
      </c>
      <c r="B1898" s="19" t="inlineStr">
        <is>
          <t>Mar</t>
        </is>
      </c>
      <c r="C1898" s="19" t="inlineStr">
        <is>
          <t>Kerala</t>
        </is>
      </c>
      <c r="D1898" s="20" t="inlineStr">
        <is>
          <t>KL12H4422</t>
        </is>
      </c>
      <c r="E1898" s="20" t="inlineStr">
        <is>
          <t>HYUNDAI</t>
        </is>
      </c>
      <c r="F1898" s="20" t="inlineStr">
        <is>
          <t>Eon</t>
        </is>
      </c>
      <c r="G1898" s="21" t="n"/>
      <c r="H1898" s="22" t="n">
        <v>90000</v>
      </c>
      <c r="I1898" s="22" t="n">
        <v>120000</v>
      </c>
      <c r="J1898" s="20" t="inlineStr">
        <is>
          <t>VASIL</t>
        </is>
      </c>
      <c r="K1898" s="20" t="inlineStr">
        <is>
          <t>Non-Captive</t>
        </is>
      </c>
      <c r="L1898" s="20" t="inlineStr">
        <is>
          <t>AM MOTORS</t>
        </is>
      </c>
      <c r="M1898" s="23" t="n">
        <v>8474.58</v>
      </c>
    </row>
    <row r="1899">
      <c r="A1899" s="19" t="inlineStr">
        <is>
          <t>FY26</t>
        </is>
      </c>
      <c r="B1899" s="19" t="inlineStr">
        <is>
          <t>Mar</t>
        </is>
      </c>
      <c r="C1899" s="19" t="inlineStr">
        <is>
          <t>Kerala</t>
        </is>
      </c>
      <c r="D1899" s="20" t="inlineStr">
        <is>
          <t>KL13AW6601</t>
        </is>
      </c>
      <c r="E1899" s="20" t="inlineStr">
        <is>
          <t>MARUTI SUZUKI</t>
        </is>
      </c>
      <c r="F1899" s="20" t="inlineStr">
        <is>
          <t>Baleno</t>
        </is>
      </c>
      <c r="G1899" s="21" t="n"/>
      <c r="H1899" s="22" t="n">
        <v>77890</v>
      </c>
      <c r="I1899" s="22" t="n">
        <v>350000</v>
      </c>
      <c r="J1899" s="20" t="inlineStr">
        <is>
          <t>PRAJOSH</t>
        </is>
      </c>
      <c r="K1899" s="20" t="inlineStr">
        <is>
          <t>Non-Captive</t>
        </is>
      </c>
      <c r="L1899" s="20" t="inlineStr">
        <is>
          <t>APCO HYUNDAI</t>
        </is>
      </c>
      <c r="M1899" s="23" t="n">
        <v>4237.29</v>
      </c>
    </row>
    <row r="1900">
      <c r="A1900" s="19" t="inlineStr">
        <is>
          <t>FY26</t>
        </is>
      </c>
      <c r="B1900" s="19" t="inlineStr">
        <is>
          <t>Mar</t>
        </is>
      </c>
      <c r="C1900" s="19" t="inlineStr">
        <is>
          <t>Kerala</t>
        </is>
      </c>
      <c r="D1900" s="20" t="inlineStr">
        <is>
          <t>KL11AV2300</t>
        </is>
      </c>
      <c r="E1900" s="20" t="inlineStr">
        <is>
          <t>FORD</t>
        </is>
      </c>
      <c r="F1900" s="20" t="inlineStr">
        <is>
          <t>Ecosport</t>
        </is>
      </c>
      <c r="G1900" s="21" t="n"/>
      <c r="H1900" s="22" t="n">
        <v>120000</v>
      </c>
      <c r="I1900" s="22" t="n">
        <v>350000</v>
      </c>
      <c r="J1900" s="20" t="inlineStr">
        <is>
          <t>UNAISE</t>
        </is>
      </c>
      <c r="K1900" s="20" t="inlineStr">
        <is>
          <t>Non-Captive</t>
        </is>
      </c>
      <c r="L1900" s="20" t="inlineStr">
        <is>
          <t>BIMAL</t>
        </is>
      </c>
      <c r="M1900" s="23" t="n">
        <v>8474.58</v>
      </c>
    </row>
    <row r="1901">
      <c r="A1901" s="19" t="inlineStr">
        <is>
          <t>FY26</t>
        </is>
      </c>
      <c r="B1901" s="19" t="inlineStr">
        <is>
          <t>Mar</t>
        </is>
      </c>
      <c r="C1901" s="19" t="inlineStr">
        <is>
          <t>Kerala</t>
        </is>
      </c>
      <c r="D1901" s="20" t="inlineStr">
        <is>
          <t>KL859348</t>
        </is>
      </c>
      <c r="E1901" s="20" t="inlineStr">
        <is>
          <t>RENAULT</t>
        </is>
      </c>
      <c r="F1901" s="20" t="inlineStr">
        <is>
          <t>Kiger</t>
        </is>
      </c>
      <c r="G1901" s="21" t="n"/>
      <c r="H1901" s="22" t="n">
        <v>46321</v>
      </c>
      <c r="I1901" s="22" t="n">
        <v>380000</v>
      </c>
      <c r="J1901" s="20" t="inlineStr">
        <is>
          <t>SANU</t>
        </is>
      </c>
      <c r="K1901" s="20" t="inlineStr">
        <is>
          <t>Non-Captive</t>
        </is>
      </c>
      <c r="L1901" s="20" t="inlineStr">
        <is>
          <t>EVM NISSAN</t>
        </is>
      </c>
      <c r="M1901" s="23" t="n">
        <v>8474.58</v>
      </c>
    </row>
    <row r="1902">
      <c r="A1902" s="19" t="inlineStr">
        <is>
          <t>FY26</t>
        </is>
      </c>
      <c r="B1902" s="19" t="inlineStr">
        <is>
          <t>Mar</t>
        </is>
      </c>
      <c r="C1902" s="19" t="inlineStr">
        <is>
          <t>Kerala</t>
        </is>
      </c>
      <c r="D1902" s="20" t="inlineStr">
        <is>
          <t>KL07BN7180</t>
        </is>
      </c>
      <c r="E1902" s="20" t="inlineStr">
        <is>
          <t>MARUTI SUZUKI</t>
        </is>
      </c>
      <c r="F1902" s="20" t="inlineStr">
        <is>
          <t>Zen</t>
        </is>
      </c>
      <c r="G1902" s="21" t="n"/>
      <c r="H1902" s="22" t="n">
        <v>45303</v>
      </c>
      <c r="I1902" s="22" t="n">
        <v>50000</v>
      </c>
      <c r="J1902" s="20" t="inlineStr">
        <is>
          <t>POPULAR MARUTI</t>
        </is>
      </c>
      <c r="K1902" s="20" t="inlineStr">
        <is>
          <t>Non-Captive</t>
        </is>
      </c>
      <c r="L1902" s="20" t="inlineStr">
        <is>
          <t>HUSSAIN O E</t>
        </is>
      </c>
      <c r="M1902" s="23" t="n">
        <v>8474.58</v>
      </c>
    </row>
    <row r="1903">
      <c r="A1903" s="19" t="inlineStr">
        <is>
          <t>FY26</t>
        </is>
      </c>
      <c r="B1903" s="19" t="inlineStr">
        <is>
          <t>Mar</t>
        </is>
      </c>
      <c r="C1903" s="19" t="inlineStr">
        <is>
          <t>Kerala</t>
        </is>
      </c>
      <c r="D1903" s="20" t="inlineStr">
        <is>
          <t>KL41Q3839</t>
        </is>
      </c>
      <c r="E1903" s="20" t="inlineStr">
        <is>
          <t>TOYOTA</t>
        </is>
      </c>
      <c r="F1903" s="20" t="inlineStr">
        <is>
          <t>Etios</t>
        </is>
      </c>
      <c r="G1903" s="21" t="n"/>
      <c r="H1903" s="22" t="n">
        <v>67011</v>
      </c>
      <c r="I1903" s="22" t="n">
        <v>440000</v>
      </c>
      <c r="J1903" s="20" t="inlineStr">
        <is>
          <t>EVM SKODA</t>
        </is>
      </c>
      <c r="K1903" s="20" t="inlineStr">
        <is>
          <t>Non-Captive</t>
        </is>
      </c>
      <c r="L1903" s="20" t="inlineStr">
        <is>
          <t>FABITH</t>
        </is>
      </c>
      <c r="M1903" s="23" t="n">
        <v>8474.58</v>
      </c>
    </row>
    <row r="1904">
      <c r="A1904" s="19" t="inlineStr">
        <is>
          <t>FY26</t>
        </is>
      </c>
      <c r="B1904" s="19" t="inlineStr">
        <is>
          <t>Mar</t>
        </is>
      </c>
      <c r="C1904" s="19" t="inlineStr">
        <is>
          <t>Kerala</t>
        </is>
      </c>
      <c r="D1904" s="20" t="inlineStr">
        <is>
          <t>KL65F5035</t>
        </is>
      </c>
      <c r="E1904" s="20" t="inlineStr">
        <is>
          <t>MARUTI SUZUKI</t>
        </is>
      </c>
      <c r="F1904" s="20" t="inlineStr">
        <is>
          <t>Swift</t>
        </is>
      </c>
      <c r="G1904" s="21" t="n"/>
      <c r="H1904" s="22" t="n">
        <v>27708</v>
      </c>
      <c r="I1904" s="22" t="n">
        <v>290000</v>
      </c>
      <c r="J1904" s="20" t="inlineStr">
        <is>
          <t>RAYON JOY</t>
        </is>
      </c>
      <c r="K1904" s="20" t="inlineStr">
        <is>
          <t>Non-Captive</t>
        </is>
      </c>
      <c r="L1904" s="20" t="inlineStr">
        <is>
          <t>DKH KIA</t>
        </is>
      </c>
      <c r="M1904" s="23" t="n">
        <v>4237.29</v>
      </c>
    </row>
    <row r="1905">
      <c r="A1905" s="19" t="inlineStr">
        <is>
          <t>FY26</t>
        </is>
      </c>
      <c r="B1905" s="19" t="inlineStr">
        <is>
          <t>Mar</t>
        </is>
      </c>
      <c r="C1905" s="19" t="inlineStr">
        <is>
          <t>Kerala</t>
        </is>
      </c>
      <c r="D1905" s="20" t="inlineStr">
        <is>
          <t>KL59E3031</t>
        </is>
      </c>
      <c r="E1905" s="20" t="inlineStr">
        <is>
          <t>MARUTI SUZUKI</t>
        </is>
      </c>
      <c r="F1905" s="20" t="inlineStr">
        <is>
          <t>Celerio</t>
        </is>
      </c>
      <c r="G1905" s="21" t="n"/>
      <c r="H1905" s="22" t="n">
        <v>35000</v>
      </c>
      <c r="I1905" s="22" t="n">
        <v>215000</v>
      </c>
      <c r="J1905" s="20" t="inlineStr">
        <is>
          <t>NIDEESH MOHAN</t>
        </is>
      </c>
      <c r="K1905" s="20" t="inlineStr">
        <is>
          <t>Non-Captive</t>
        </is>
      </c>
      <c r="L1905" s="20" t="inlineStr">
        <is>
          <t>BIMAL</t>
        </is>
      </c>
      <c r="M1905" s="23" t="n">
        <v>4237.29</v>
      </c>
    </row>
    <row r="1906">
      <c r="A1906" s="19" t="inlineStr">
        <is>
          <t>FY26</t>
        </is>
      </c>
      <c r="B1906" s="19" t="inlineStr">
        <is>
          <t>Mar</t>
        </is>
      </c>
      <c r="C1906" s="19" t="inlineStr">
        <is>
          <t>Kerala</t>
        </is>
      </c>
      <c r="D1906" s="20" t="inlineStr">
        <is>
          <t>KL60V2537</t>
        </is>
      </c>
      <c r="E1906" s="20" t="inlineStr">
        <is>
          <t>TATA</t>
        </is>
      </c>
      <c r="F1906" s="20" t="inlineStr">
        <is>
          <t>Tiago</t>
        </is>
      </c>
      <c r="G1906" s="21" t="n"/>
      <c r="H1906" s="22" t="n">
        <v>27000</v>
      </c>
      <c r="I1906" s="22" t="n">
        <v>555000</v>
      </c>
      <c r="J1906" s="20" t="inlineStr">
        <is>
          <t>NIDEESH MOHAN</t>
        </is>
      </c>
      <c r="K1906" s="20" t="inlineStr">
        <is>
          <t>Non-Captive</t>
        </is>
      </c>
      <c r="L1906" s="20" t="inlineStr">
        <is>
          <t>KVR TATA</t>
        </is>
      </c>
      <c r="M1906" s="23" t="n">
        <v>4237.29</v>
      </c>
    </row>
    <row r="1907">
      <c r="A1907" s="19" t="inlineStr">
        <is>
          <t>FY26</t>
        </is>
      </c>
      <c r="B1907" s="19" t="inlineStr">
        <is>
          <t>Mar</t>
        </is>
      </c>
      <c r="C1907" s="19" t="inlineStr">
        <is>
          <t>Kerala</t>
        </is>
      </c>
      <c r="D1907" s="20" t="inlineStr">
        <is>
          <t>KL57K6370</t>
        </is>
      </c>
      <c r="E1907" s="20" t="inlineStr">
        <is>
          <t>HYUNDAI</t>
        </is>
      </c>
      <c r="F1907" s="20" t="inlineStr">
        <is>
          <t>Xcent</t>
        </is>
      </c>
      <c r="G1907" s="21" t="n"/>
      <c r="H1907" s="22" t="n">
        <v>75000</v>
      </c>
      <c r="I1907" s="22" t="n">
        <v>335000</v>
      </c>
      <c r="J1907" s="20" t="inlineStr">
        <is>
          <t>AUTOBOT</t>
        </is>
      </c>
      <c r="K1907" s="20" t="inlineStr">
        <is>
          <t>Non-Captive</t>
        </is>
      </c>
      <c r="L1907" s="20" t="inlineStr">
        <is>
          <t>ERAM MAHINDRA</t>
        </is>
      </c>
      <c r="M1907" s="23" t="n">
        <v>4237.29</v>
      </c>
    </row>
    <row r="1908">
      <c r="A1908" s="19" t="inlineStr">
        <is>
          <t>FY26</t>
        </is>
      </c>
      <c r="B1908" s="19" t="inlineStr">
        <is>
          <t>Mar</t>
        </is>
      </c>
      <c r="C1908" s="19" t="inlineStr">
        <is>
          <t>Kerala</t>
        </is>
      </c>
      <c r="D1908" s="20" t="inlineStr">
        <is>
          <t>KL59B8094</t>
        </is>
      </c>
      <c r="E1908" s="20" t="inlineStr">
        <is>
          <t>MAHINDRA</t>
        </is>
      </c>
      <c r="F1908" s="20" t="inlineStr">
        <is>
          <t>Bolero</t>
        </is>
      </c>
      <c r="G1908" s="21" t="n"/>
      <c r="H1908" s="22" t="n">
        <v>136000</v>
      </c>
      <c r="I1908" s="22" t="n">
        <v>125000</v>
      </c>
      <c r="J1908" s="20" t="inlineStr">
        <is>
          <t>SARITH</t>
        </is>
      </c>
      <c r="K1908" s="20" t="inlineStr">
        <is>
          <t>Non-Captive</t>
        </is>
      </c>
      <c r="L1908" s="20" t="inlineStr">
        <is>
          <t>BIMAL</t>
        </is>
      </c>
      <c r="M1908" s="23" t="n">
        <v>4237.29</v>
      </c>
    </row>
    <row r="1909">
      <c r="A1909" s="19" t="inlineStr">
        <is>
          <t>FY26</t>
        </is>
      </c>
      <c r="B1909" s="19" t="inlineStr">
        <is>
          <t>Mar</t>
        </is>
      </c>
      <c r="C1909" s="19" t="inlineStr">
        <is>
          <t>Kerala</t>
        </is>
      </c>
      <c r="D1909" s="20" t="inlineStr">
        <is>
          <t>KL65B2399</t>
        </is>
      </c>
      <c r="E1909" s="20" t="inlineStr">
        <is>
          <t>HYUNDAI</t>
        </is>
      </c>
      <c r="F1909" s="20" t="inlineStr">
        <is>
          <t>Eon</t>
        </is>
      </c>
      <c r="G1909" s="21" t="n"/>
      <c r="H1909" s="22" t="n">
        <v>198000</v>
      </c>
      <c r="I1909" s="22" t="n">
        <v>60000</v>
      </c>
      <c r="J1909" s="20" t="inlineStr">
        <is>
          <t>RAYON JOY</t>
        </is>
      </c>
      <c r="K1909" s="20" t="inlineStr">
        <is>
          <t>Non-Captive</t>
        </is>
      </c>
      <c r="L1909" s="20" t="inlineStr">
        <is>
          <t>ROTANA TATA</t>
        </is>
      </c>
      <c r="M1909" s="23" t="n">
        <v>4237.29</v>
      </c>
    </row>
    <row r="1910">
      <c r="A1910" s="19" t="inlineStr">
        <is>
          <t>FY27</t>
        </is>
      </c>
      <c r="B1910" s="19" t="inlineStr">
        <is>
          <t>Apr</t>
        </is>
      </c>
      <c r="C1910" s="19" t="inlineStr">
        <is>
          <t>Kerala</t>
        </is>
      </c>
      <c r="D1910" s="20" t="inlineStr">
        <is>
          <t>KL59T9455</t>
        </is>
      </c>
      <c r="E1910" s="20" t="inlineStr">
        <is>
          <t>MAHINDRA</t>
        </is>
      </c>
      <c r="F1910" s="20" t="inlineStr">
        <is>
          <t>Xuv300</t>
        </is>
      </c>
      <c r="G1910" s="21" t="n">
        <v>2019</v>
      </c>
      <c r="H1910" s="22" t="n">
        <v>99000</v>
      </c>
      <c r="I1910" s="22" t="n">
        <v>565000</v>
      </c>
      <c r="J1910" s="20" t="inlineStr">
        <is>
          <t>SIRAJ</t>
        </is>
      </c>
      <c r="K1910" s="20" t="inlineStr">
        <is>
          <t>Non-Captive</t>
        </is>
      </c>
      <c r="L1910" s="20" t="inlineStr">
        <is>
          <t>ERAM MAHINDRA</t>
        </is>
      </c>
      <c r="M1910" s="23" t="n">
        <v>8474.58</v>
      </c>
    </row>
    <row r="1911">
      <c r="A1911" s="19" t="inlineStr">
        <is>
          <t>FY27</t>
        </is>
      </c>
      <c r="B1911" s="19" t="inlineStr">
        <is>
          <t>Apr</t>
        </is>
      </c>
      <c r="C1911" s="19" t="inlineStr">
        <is>
          <t>Kerala</t>
        </is>
      </c>
      <c r="D1911" s="20" t="inlineStr">
        <is>
          <t>KL59L2150</t>
        </is>
      </c>
      <c r="E1911" s="20" t="inlineStr">
        <is>
          <t>HYUNDAI</t>
        </is>
      </c>
      <c r="F1911" s="20" t="inlineStr">
        <is>
          <t>Grand I10</t>
        </is>
      </c>
      <c r="G1911" s="21" t="n">
        <v>2015</v>
      </c>
      <c r="H1911" s="22" t="n">
        <v>70000</v>
      </c>
      <c r="I1911" s="22" t="n">
        <v>260000</v>
      </c>
      <c r="J1911" s="20" t="inlineStr">
        <is>
          <t>SIRAJ</t>
        </is>
      </c>
      <c r="K1911" s="20" t="inlineStr">
        <is>
          <t>Non-Captive</t>
        </is>
      </c>
      <c r="L1911" s="20" t="inlineStr">
        <is>
          <t>ERAM MAHINDRA</t>
        </is>
      </c>
      <c r="M1911" s="23" t="n">
        <v>8474.58</v>
      </c>
    </row>
    <row r="1912">
      <c r="A1912" s="19" t="inlineStr">
        <is>
          <t>FY27</t>
        </is>
      </c>
      <c r="B1912" s="19" t="inlineStr">
        <is>
          <t>Apr</t>
        </is>
      </c>
      <c r="C1912" s="19" t="inlineStr">
        <is>
          <t>Kerala</t>
        </is>
      </c>
      <c r="D1912" s="20" t="inlineStr">
        <is>
          <t>KL13X8740</t>
        </is>
      </c>
      <c r="E1912" s="20" t="inlineStr">
        <is>
          <t>MARUTI SUZUKI</t>
        </is>
      </c>
      <c r="F1912" s="20" t="inlineStr">
        <is>
          <t>Alto</t>
        </is>
      </c>
      <c r="G1912" s="21" t="n">
        <v>2012</v>
      </c>
      <c r="H1912" s="22" t="n">
        <v>110000</v>
      </c>
      <c r="I1912" s="22" t="n">
        <v>100000</v>
      </c>
      <c r="J1912" s="20" t="inlineStr">
        <is>
          <t>RATHEESH</t>
        </is>
      </c>
      <c r="K1912" s="20" t="inlineStr">
        <is>
          <t>Non-Captive</t>
        </is>
      </c>
      <c r="L1912" s="20" t="inlineStr">
        <is>
          <t>MARVEL CARS</t>
        </is>
      </c>
      <c r="M1912" s="23" t="n">
        <v>4237.29</v>
      </c>
    </row>
    <row r="1913">
      <c r="A1913" s="19" t="inlineStr">
        <is>
          <t>FY27</t>
        </is>
      </c>
      <c r="B1913" s="19" t="inlineStr">
        <is>
          <t>Apr</t>
        </is>
      </c>
      <c r="C1913" s="19" t="inlineStr">
        <is>
          <t>Kerala</t>
        </is>
      </c>
      <c r="D1913" s="20" t="inlineStr">
        <is>
          <t>KL10AK8334</t>
        </is>
      </c>
      <c r="E1913" s="20" t="inlineStr">
        <is>
          <t>HYUNDAI</t>
        </is>
      </c>
      <c r="F1913" s="20" t="inlineStr">
        <is>
          <t>Verna</t>
        </is>
      </c>
      <c r="G1913" s="21" t="n">
        <v>2012</v>
      </c>
      <c r="H1913" s="22" t="n">
        <v>100000</v>
      </c>
      <c r="I1913" s="22" t="n">
        <v>310000</v>
      </c>
      <c r="J1913" s="20" t="inlineStr">
        <is>
          <t>BIRAJU RAJ</t>
        </is>
      </c>
      <c r="K1913" s="20" t="inlineStr">
        <is>
          <t>Non-Captive</t>
        </is>
      </c>
      <c r="L1913" s="20" t="inlineStr">
        <is>
          <t>UCD ASOKAN</t>
        </is>
      </c>
      <c r="M1913" s="23" t="n">
        <v>4237.29</v>
      </c>
    </row>
    <row r="1914">
      <c r="A1914" s="19" t="inlineStr">
        <is>
          <t>FY27</t>
        </is>
      </c>
      <c r="B1914" s="19" t="inlineStr">
        <is>
          <t>Apr</t>
        </is>
      </c>
      <c r="C1914" s="19" t="inlineStr">
        <is>
          <t>Kerala</t>
        </is>
      </c>
      <c r="D1914" s="20" t="inlineStr">
        <is>
          <t>KL60U3962</t>
        </is>
      </c>
      <c r="E1914" s="20" t="inlineStr">
        <is>
          <t>MARUTI SUZUKI</t>
        </is>
      </c>
      <c r="F1914" s="20" t="inlineStr">
        <is>
          <t>Ignis</t>
        </is>
      </c>
      <c r="G1914" s="21" t="n">
        <v>2022</v>
      </c>
      <c r="H1914" s="22" t="n">
        <v>55000</v>
      </c>
      <c r="I1914" s="22" t="n">
        <v>513000</v>
      </c>
      <c r="J1914" s="20" t="inlineStr">
        <is>
          <t>PRAJOSH</t>
        </is>
      </c>
      <c r="K1914" s="20" t="inlineStr">
        <is>
          <t>Non-Captive</t>
        </is>
      </c>
      <c r="L1914" s="20" t="inlineStr">
        <is>
          <t>APCO HYUNDAI</t>
        </is>
      </c>
      <c r="M1914" s="23" t="n">
        <v>5932.2</v>
      </c>
    </row>
    <row r="1915">
      <c r="A1915" s="19" t="inlineStr">
        <is>
          <t>FY27</t>
        </is>
      </c>
      <c r="B1915" s="19" t="inlineStr">
        <is>
          <t>Apr</t>
        </is>
      </c>
      <c r="C1915" s="19" t="inlineStr">
        <is>
          <t>Kerala</t>
        </is>
      </c>
      <c r="D1915" s="20" t="inlineStr">
        <is>
          <t>KL55AG8352</t>
        </is>
      </c>
      <c r="E1915" s="20" t="inlineStr">
        <is>
          <t>MARUTI SUZUKI</t>
        </is>
      </c>
      <c r="F1915" s="20" t="inlineStr">
        <is>
          <t>Ciaz</t>
        </is>
      </c>
      <c r="G1915" s="21" t="n">
        <v>2017</v>
      </c>
      <c r="H1915" s="22" t="n">
        <v>100600</v>
      </c>
      <c r="I1915" s="22" t="n">
        <v>350000</v>
      </c>
      <c r="J1915" s="20" t="inlineStr">
        <is>
          <t>MAHESH</t>
        </is>
      </c>
      <c r="K1915" s="20" t="inlineStr">
        <is>
          <t>Non-Captive</t>
        </is>
      </c>
      <c r="L1915" s="20" t="inlineStr">
        <is>
          <t>SHIVAN MAXX MOTORS</t>
        </is>
      </c>
      <c r="M1915" s="23" t="n">
        <v>8474.58</v>
      </c>
    </row>
    <row r="1916">
      <c r="A1916" s="19" t="inlineStr">
        <is>
          <t>FY27</t>
        </is>
      </c>
      <c r="B1916" s="19" t="inlineStr">
        <is>
          <t>Apr</t>
        </is>
      </c>
      <c r="C1916" s="19" t="inlineStr">
        <is>
          <t>Kerala</t>
        </is>
      </c>
      <c r="D1916" s="20" t="inlineStr">
        <is>
          <t>KL01BR4041</t>
        </is>
      </c>
      <c r="E1916" s="20" t="inlineStr">
        <is>
          <t>HYUNDAI</t>
        </is>
      </c>
      <c r="F1916" s="20" t="inlineStr">
        <is>
          <t>Accent</t>
        </is>
      </c>
      <c r="G1916" s="21" t="n">
        <v>2014</v>
      </c>
      <c r="H1916" s="22" t="n">
        <v>98900</v>
      </c>
      <c r="I1916" s="22" t="n">
        <v>240000</v>
      </c>
      <c r="J1916" s="20" t="inlineStr">
        <is>
          <t>PRAJOD</t>
        </is>
      </c>
      <c r="K1916" s="20" t="inlineStr">
        <is>
          <t>Non-Captive</t>
        </is>
      </c>
      <c r="L1916" s="20" t="inlineStr">
        <is>
          <t>KAIRALI TOYOTA</t>
        </is>
      </c>
      <c r="M1916" s="23" t="n">
        <v>8474.58</v>
      </c>
    </row>
    <row r="1917">
      <c r="A1917" s="19" t="inlineStr">
        <is>
          <t>FY27</t>
        </is>
      </c>
      <c r="B1917" s="19" t="inlineStr">
        <is>
          <t>Apr</t>
        </is>
      </c>
      <c r="C1917" s="19" t="inlineStr">
        <is>
          <t>Kerala</t>
        </is>
      </c>
      <c r="D1917" s="20" t="inlineStr">
        <is>
          <t>KL01AT4014</t>
        </is>
      </c>
      <c r="E1917" s="20" t="inlineStr">
        <is>
          <t>HYUNDAI</t>
        </is>
      </c>
      <c r="F1917" s="20" t="inlineStr">
        <is>
          <t>Santro</t>
        </is>
      </c>
      <c r="G1917" s="21" t="n">
        <v>2008</v>
      </c>
      <c r="H1917" s="22" t="n">
        <v>90000</v>
      </c>
      <c r="I1917" s="22" t="n">
        <v>40000</v>
      </c>
      <c r="J1917" s="20" t="inlineStr">
        <is>
          <t>ABHISHEK</t>
        </is>
      </c>
      <c r="K1917" s="20" t="inlineStr">
        <is>
          <t>Non-Captive</t>
        </is>
      </c>
      <c r="L1917" s="20" t="inlineStr">
        <is>
          <t>TRIVANDRUM MOTORS</t>
        </is>
      </c>
      <c r="M1917" s="23" t="n">
        <v>5932.2</v>
      </c>
    </row>
    <row r="1918">
      <c r="A1918" s="19" t="inlineStr">
        <is>
          <t>FY27</t>
        </is>
      </c>
      <c r="B1918" s="19" t="inlineStr">
        <is>
          <t>Apr</t>
        </is>
      </c>
      <c r="C1918" s="19" t="inlineStr">
        <is>
          <t>Kerala</t>
        </is>
      </c>
      <c r="D1918" s="20" t="inlineStr">
        <is>
          <t>KL02AR3312</t>
        </is>
      </c>
      <c r="E1918" s="20" t="inlineStr">
        <is>
          <t>HYUNDAI</t>
        </is>
      </c>
      <c r="F1918" s="20" t="inlineStr">
        <is>
          <t>I20</t>
        </is>
      </c>
      <c r="G1918" s="21" t="n">
        <v>2014</v>
      </c>
      <c r="H1918" s="22" t="n">
        <v>68000</v>
      </c>
      <c r="I1918" s="22" t="n">
        <v>320000</v>
      </c>
      <c r="J1918" s="20" t="inlineStr">
        <is>
          <t>MUHANNED NASIM</t>
        </is>
      </c>
      <c r="K1918" s="20" t="inlineStr">
        <is>
          <t>Non-Captive</t>
        </is>
      </c>
      <c r="L1918" s="20" t="inlineStr">
        <is>
          <t>SHIBU BABU</t>
        </is>
      </c>
      <c r="M1918" s="23" t="n">
        <v>6779.66</v>
      </c>
    </row>
    <row r="1919">
      <c r="A1919" s="19" t="inlineStr">
        <is>
          <t>FY27</t>
        </is>
      </c>
      <c r="B1919" s="19" t="inlineStr">
        <is>
          <t>Apr</t>
        </is>
      </c>
      <c r="C1919" s="19" t="inlineStr">
        <is>
          <t>Kerala</t>
        </is>
      </c>
      <c r="D1919" s="20" t="inlineStr">
        <is>
          <t>KL05Z1771</t>
        </is>
      </c>
      <c r="E1919" s="20" t="inlineStr">
        <is>
          <t>MARUTI SUZUKI</t>
        </is>
      </c>
      <c r="F1919" s="20" t="inlineStr">
        <is>
          <t>Swift</t>
        </is>
      </c>
      <c r="G1919" s="21" t="n"/>
      <c r="H1919" s="22" t="n">
        <v>184594</v>
      </c>
      <c r="I1919" s="22" t="n">
        <v>113500</v>
      </c>
      <c r="J1919" s="20" t="inlineStr">
        <is>
          <t>POPULAR MARUTI</t>
        </is>
      </c>
      <c r="K1919" s="20" t="inlineStr">
        <is>
          <t>Non-Captive</t>
        </is>
      </c>
      <c r="L1919" s="20" t="inlineStr">
        <is>
          <t>RAFEEK T A</t>
        </is>
      </c>
      <c r="M1919" s="23" t="n">
        <v>8474.58</v>
      </c>
    </row>
    <row r="1920">
      <c r="A1920" s="19" t="inlineStr">
        <is>
          <t>FY27</t>
        </is>
      </c>
      <c r="B1920" s="19" t="inlineStr">
        <is>
          <t>Apr</t>
        </is>
      </c>
      <c r="C1920" s="19" t="inlineStr">
        <is>
          <t>Kerala</t>
        </is>
      </c>
      <c r="D1920" s="20" t="inlineStr">
        <is>
          <t>KL07CA6996</t>
        </is>
      </c>
      <c r="E1920" s="20" t="inlineStr">
        <is>
          <t>RENAULT</t>
        </is>
      </c>
      <c r="F1920" s="20" t="inlineStr">
        <is>
          <t>Scala</t>
        </is>
      </c>
      <c r="G1920" s="21" t="n"/>
      <c r="H1920" s="22" t="n">
        <v>70800</v>
      </c>
      <c r="I1920" s="22" t="n">
        <v>210000</v>
      </c>
      <c r="J1920" s="20" t="inlineStr">
        <is>
          <t>EVM CITROEN</t>
        </is>
      </c>
      <c r="K1920" s="20" t="inlineStr">
        <is>
          <t>Non-Captive</t>
        </is>
      </c>
      <c r="L1920" s="20" t="inlineStr">
        <is>
          <t>VISHNU M S</t>
        </is>
      </c>
      <c r="M1920" s="23" t="n">
        <v>8474.58</v>
      </c>
    </row>
    <row r="1921">
      <c r="A1921" s="19" t="inlineStr">
        <is>
          <t>FY27</t>
        </is>
      </c>
      <c r="B1921" s="19" t="inlineStr">
        <is>
          <t>Apr</t>
        </is>
      </c>
      <c r="C1921" s="19" t="inlineStr">
        <is>
          <t>Kerala</t>
        </is>
      </c>
      <c r="D1921" s="20" t="inlineStr">
        <is>
          <t>KL759366</t>
        </is>
      </c>
      <c r="E1921" s="20" t="inlineStr">
        <is>
          <t>FORD</t>
        </is>
      </c>
      <c r="F1921" s="20" t="inlineStr">
        <is>
          <t>Ecosport</t>
        </is>
      </c>
      <c r="G1921" s="21" t="n"/>
      <c r="H1921" s="22" t="n">
        <v>30500</v>
      </c>
      <c r="I1921" s="22" t="n">
        <v>645000</v>
      </c>
      <c r="J1921" s="20" t="inlineStr">
        <is>
          <t>JOHNS HONDA CARS</t>
        </is>
      </c>
      <c r="K1921" s="20" t="inlineStr">
        <is>
          <t>Non-Captive</t>
        </is>
      </c>
      <c r="L1921" s="20" t="inlineStr">
        <is>
          <t>HAVEN MOTORS</t>
        </is>
      </c>
      <c r="M1921" s="23" t="n">
        <v>8474.58</v>
      </c>
    </row>
    <row r="1922">
      <c r="A1922" s="19" t="inlineStr">
        <is>
          <t>FY27</t>
        </is>
      </c>
      <c r="B1922" s="19" t="inlineStr">
        <is>
          <t>Apr</t>
        </is>
      </c>
      <c r="C1922" s="19" t="inlineStr">
        <is>
          <t>Kerala</t>
        </is>
      </c>
      <c r="D1922" s="20" t="inlineStr">
        <is>
          <t>KL07CR9102</t>
        </is>
      </c>
      <c r="E1922" s="20" t="inlineStr">
        <is>
          <t>HONDA</t>
        </is>
      </c>
      <c r="F1922" s="20" t="inlineStr">
        <is>
          <t>Amaze</t>
        </is>
      </c>
      <c r="G1922" s="21" t="n"/>
      <c r="H1922" s="22" t="n">
        <v>61297</v>
      </c>
      <c r="I1922" s="22" t="n">
        <v>410000</v>
      </c>
      <c r="J1922" s="20" t="inlineStr">
        <is>
          <t>POPULAR MARUTI</t>
        </is>
      </c>
      <c r="K1922" s="20" t="inlineStr">
        <is>
          <t>Non-Captive</t>
        </is>
      </c>
      <c r="L1922" s="20" t="inlineStr">
        <is>
          <t>CARNIVAL CARS</t>
        </is>
      </c>
      <c r="M1922" s="23" t="n">
        <v>8474.58</v>
      </c>
    </row>
    <row r="1923">
      <c r="A1923" s="19" t="inlineStr">
        <is>
          <t>FY27</t>
        </is>
      </c>
      <c r="B1923" s="19" t="inlineStr">
        <is>
          <t>Apr</t>
        </is>
      </c>
      <c r="C1923" s="19" t="inlineStr">
        <is>
          <t>Kerala</t>
        </is>
      </c>
      <c r="D1923" s="20" t="inlineStr">
        <is>
          <t>KL75E2054</t>
        </is>
      </c>
      <c r="E1923" s="20" t="inlineStr">
        <is>
          <t>MARUTI SUZUKI</t>
        </is>
      </c>
      <c r="F1923" s="20" t="inlineStr">
        <is>
          <t>Jimny</t>
        </is>
      </c>
      <c r="G1923" s="21" t="n"/>
      <c r="H1923" s="22" t="n">
        <v>14000</v>
      </c>
      <c r="I1923" s="22" t="n">
        <v>940000</v>
      </c>
      <c r="J1923" s="20" t="inlineStr">
        <is>
          <t>POPULAR MARUTI</t>
        </is>
      </c>
      <c r="K1923" s="20" t="inlineStr">
        <is>
          <t>Non-Captive</t>
        </is>
      </c>
      <c r="L1923" s="20" t="inlineStr">
        <is>
          <t>KAPS CARS</t>
        </is>
      </c>
      <c r="M1923" s="23" t="n">
        <v>8474.58</v>
      </c>
    </row>
    <row r="1924">
      <c r="A1924" s="19" t="inlineStr">
        <is>
          <t>FY27</t>
        </is>
      </c>
      <c r="B1924" s="19" t="inlineStr">
        <is>
          <t>Apr</t>
        </is>
      </c>
      <c r="C1924" s="19" t="inlineStr">
        <is>
          <t>Kerala</t>
        </is>
      </c>
      <c r="D1924" s="20" t="inlineStr">
        <is>
          <t>KL23L9292</t>
        </is>
      </c>
      <c r="E1924" s="20" t="inlineStr">
        <is>
          <t>MARUTI SUZUKI</t>
        </is>
      </c>
      <c r="F1924" s="20" t="inlineStr">
        <is>
          <t>Wagon R</t>
        </is>
      </c>
      <c r="G1924" s="21" t="n"/>
      <c r="H1924" s="22" t="n">
        <v>58687</v>
      </c>
      <c r="I1924" s="22" t="n">
        <v>350000</v>
      </c>
      <c r="J1924" s="20" t="inlineStr">
        <is>
          <t>MUHAMMED SHAJI</t>
        </is>
      </c>
      <c r="K1924" s="20" t="inlineStr">
        <is>
          <t>Non-Captive</t>
        </is>
      </c>
      <c r="L1924" s="20" t="inlineStr">
        <is>
          <t>ASHRAF T A</t>
        </is>
      </c>
      <c r="M1924" s="23" t="n">
        <v>8474.58</v>
      </c>
    </row>
    <row r="1925">
      <c r="A1925" s="19" t="inlineStr">
        <is>
          <t>FY27</t>
        </is>
      </c>
      <c r="B1925" s="19" t="inlineStr">
        <is>
          <t>Apr</t>
        </is>
      </c>
      <c r="C1925" s="19" t="inlineStr">
        <is>
          <t>Kerala</t>
        </is>
      </c>
      <c r="D1925" s="20" t="inlineStr">
        <is>
          <t>KL11BW9704</t>
        </is>
      </c>
      <c r="E1925" s="20" t="inlineStr">
        <is>
          <t>MAHINDRA</t>
        </is>
      </c>
      <c r="F1925" s="20" t="inlineStr">
        <is>
          <t>Scorpio</t>
        </is>
      </c>
      <c r="G1925" s="21" t="n">
        <v>2022</v>
      </c>
      <c r="H1925" s="22" t="n">
        <v>89000</v>
      </c>
      <c r="I1925" s="22" t="n">
        <v>500000</v>
      </c>
      <c r="J1925" s="20" t="inlineStr">
        <is>
          <t>SHIMJITH</t>
        </is>
      </c>
      <c r="K1925" s="20" t="inlineStr">
        <is>
          <t>Non-Captive</t>
        </is>
      </c>
      <c r="L1925" s="20" t="inlineStr">
        <is>
          <t>SHAHARIYAD</t>
        </is>
      </c>
      <c r="M1925" s="23" t="n">
        <v>8474.58</v>
      </c>
    </row>
    <row r="1926">
      <c r="A1926" s="19" t="inlineStr">
        <is>
          <t>FY27</t>
        </is>
      </c>
      <c r="B1926" s="19" t="inlineStr">
        <is>
          <t>Apr</t>
        </is>
      </c>
      <c r="C1926" s="19" t="inlineStr">
        <is>
          <t>Kerala</t>
        </is>
      </c>
      <c r="D1926" s="20" t="inlineStr">
        <is>
          <t>KL18AD6385</t>
        </is>
      </c>
      <c r="E1926" s="20" t="inlineStr">
        <is>
          <t>RENAULT</t>
        </is>
      </c>
      <c r="F1926" s="20" t="inlineStr">
        <is>
          <t>Kwid</t>
        </is>
      </c>
      <c r="G1926" s="21" t="n">
        <v>2020</v>
      </c>
      <c r="H1926" s="22" t="n">
        <v>28000</v>
      </c>
      <c r="I1926" s="22" t="n">
        <v>295000</v>
      </c>
      <c r="J1926" s="20" t="inlineStr">
        <is>
          <t>PALMS ASSOCIATES</t>
        </is>
      </c>
      <c r="K1926" s="20" t="inlineStr">
        <is>
          <t>Non-Captive</t>
        </is>
      </c>
      <c r="L1926" s="20" t="inlineStr">
        <is>
          <t>SHAJEE CARS</t>
        </is>
      </c>
      <c r="M1926" s="23" t="n">
        <v>5084.75</v>
      </c>
    </row>
    <row r="1927">
      <c r="A1927" s="19" t="inlineStr">
        <is>
          <t>FY27</t>
        </is>
      </c>
      <c r="B1927" s="19" t="inlineStr">
        <is>
          <t>Apr</t>
        </is>
      </c>
      <c r="C1927" s="19" t="inlineStr">
        <is>
          <t>Kerala</t>
        </is>
      </c>
      <c r="D1927" s="20" t="inlineStr">
        <is>
          <t>KL26G8384</t>
        </is>
      </c>
      <c r="E1927" s="20" t="inlineStr">
        <is>
          <t>MARUTI SUZUKI</t>
        </is>
      </c>
      <c r="F1927" s="20" t="inlineStr">
        <is>
          <t>Swift</t>
        </is>
      </c>
      <c r="G1927" s="21" t="n">
        <v>2016</v>
      </c>
      <c r="H1927" s="22" t="n">
        <v>149665</v>
      </c>
      <c r="I1927" s="22" t="n">
        <v>250000</v>
      </c>
      <c r="J1927" s="20" t="inlineStr">
        <is>
          <t>AKHILNATH</t>
        </is>
      </c>
      <c r="K1927" s="20" t="inlineStr">
        <is>
          <t>Non-Captive</t>
        </is>
      </c>
      <c r="L1927" s="20" t="inlineStr">
        <is>
          <t>LUXON TATA</t>
        </is>
      </c>
      <c r="M1927" s="23" t="n">
        <v>5932.2</v>
      </c>
    </row>
    <row r="1928">
      <c r="A1928" s="19" t="inlineStr">
        <is>
          <t>FY27</t>
        </is>
      </c>
      <c r="B1928" s="19" t="inlineStr">
        <is>
          <t>Apr</t>
        </is>
      </c>
      <c r="C1928" s="19" t="inlineStr">
        <is>
          <t>Kerala</t>
        </is>
      </c>
      <c r="D1928" s="20" t="inlineStr">
        <is>
          <t>KL41E8267</t>
        </is>
      </c>
      <c r="E1928" s="20" t="inlineStr">
        <is>
          <t>CHEVROLET</t>
        </is>
      </c>
      <c r="F1928" s="20" t="inlineStr">
        <is>
          <t>Spark</t>
        </is>
      </c>
      <c r="G1928" s="21" t="n"/>
      <c r="H1928" s="22" t="n">
        <v>60893</v>
      </c>
      <c r="I1928" s="22" t="n">
        <v>30000</v>
      </c>
      <c r="J1928" s="20" t="inlineStr">
        <is>
          <t>POPULAR MARUTI</t>
        </is>
      </c>
      <c r="K1928" s="20" t="inlineStr">
        <is>
          <t>Non-Captive</t>
        </is>
      </c>
      <c r="L1928" s="20" t="inlineStr">
        <is>
          <t>HUSSAIN O E</t>
        </is>
      </c>
      <c r="M1928" s="23" t="n">
        <v>8474.58</v>
      </c>
    </row>
    <row r="1929">
      <c r="A1929" s="19" t="inlineStr">
        <is>
          <t>FY27</t>
        </is>
      </c>
      <c r="B1929" s="19" t="inlineStr">
        <is>
          <t>Apr</t>
        </is>
      </c>
      <c r="C1929" s="19" t="inlineStr">
        <is>
          <t>Kerala</t>
        </is>
      </c>
      <c r="D1929" s="20" t="inlineStr">
        <is>
          <t>KL43L6805</t>
        </is>
      </c>
      <c r="E1929" s="20" t="inlineStr">
        <is>
          <t>MARUTI SUZUKI</t>
        </is>
      </c>
      <c r="F1929" s="20" t="inlineStr">
        <is>
          <t>Zen</t>
        </is>
      </c>
      <c r="G1929" s="21" t="n"/>
      <c r="H1929" s="22" t="n">
        <v>107865</v>
      </c>
      <c r="I1929" s="22" t="n">
        <v>20000</v>
      </c>
      <c r="J1929" s="20" t="inlineStr">
        <is>
          <t>MAIJO MARUTI</t>
        </is>
      </c>
      <c r="K1929" s="20" t="inlineStr">
        <is>
          <t>Non-Captive</t>
        </is>
      </c>
      <c r="L1929" s="20" t="inlineStr">
        <is>
          <t>HUSSAIN O E</t>
        </is>
      </c>
      <c r="M1929" s="23" t="n">
        <v>8474.58</v>
      </c>
    </row>
    <row r="1930">
      <c r="A1930" s="19" t="inlineStr">
        <is>
          <t>FY27</t>
        </is>
      </c>
      <c r="B1930" s="19" t="inlineStr">
        <is>
          <t>Apr</t>
        </is>
      </c>
      <c r="C1930" s="19" t="inlineStr">
        <is>
          <t>Kerala</t>
        </is>
      </c>
      <c r="D1930" s="20" t="inlineStr">
        <is>
          <t>KL41K2939</t>
        </is>
      </c>
      <c r="E1930" s="20" t="inlineStr">
        <is>
          <t>RENAULT</t>
        </is>
      </c>
      <c r="F1930" s="20" t="inlineStr">
        <is>
          <t>Duster</t>
        </is>
      </c>
      <c r="G1930" s="21" t="n"/>
      <c r="H1930" s="22" t="n">
        <v>184947</v>
      </c>
      <c r="I1930" s="22" t="n">
        <v>300000</v>
      </c>
      <c r="J1930" s="20" t="inlineStr">
        <is>
          <t>JISHNU PRIYAN</t>
        </is>
      </c>
      <c r="K1930" s="20" t="inlineStr">
        <is>
          <t>Non-Captive</t>
        </is>
      </c>
      <c r="L1930" s="20" t="inlineStr">
        <is>
          <t>HUSSAIN O E</t>
        </is>
      </c>
      <c r="M1930" s="23" t="n">
        <v>8474.58</v>
      </c>
    </row>
    <row r="1931">
      <c r="A1931" s="19" t="inlineStr">
        <is>
          <t>FY27</t>
        </is>
      </c>
      <c r="B1931" s="19" t="inlineStr">
        <is>
          <t>Apr</t>
        </is>
      </c>
      <c r="C1931" s="19" t="inlineStr">
        <is>
          <t>Kerala</t>
        </is>
      </c>
      <c r="D1931" s="20" t="inlineStr">
        <is>
          <t>KL07BT9243</t>
        </is>
      </c>
      <c r="E1931" s="20" t="inlineStr">
        <is>
          <t>TOYOTA</t>
        </is>
      </c>
      <c r="F1931" s="20" t="inlineStr">
        <is>
          <t>Innova</t>
        </is>
      </c>
      <c r="G1931" s="21" t="n"/>
      <c r="H1931" s="22" t="n">
        <v>113000</v>
      </c>
      <c r="I1931" s="22" t="n">
        <v>680000</v>
      </c>
      <c r="J1931" s="20" t="inlineStr">
        <is>
          <t>AUTOMOTIVE MAHINDRA</t>
        </is>
      </c>
      <c r="K1931" s="20" t="inlineStr">
        <is>
          <t>Non-Captive</t>
        </is>
      </c>
      <c r="L1931" s="20" t="inlineStr">
        <is>
          <t>VTJ</t>
        </is>
      </c>
      <c r="M1931" s="23" t="n">
        <v>8474.58</v>
      </c>
    </row>
    <row r="1932">
      <c r="A1932" s="19" t="inlineStr">
        <is>
          <t>FY27</t>
        </is>
      </c>
      <c r="B1932" s="19" t="inlineStr">
        <is>
          <t>Apr</t>
        </is>
      </c>
      <c r="C1932" s="19" t="inlineStr">
        <is>
          <t>Kerala</t>
        </is>
      </c>
      <c r="D1932" s="20" t="inlineStr">
        <is>
          <t>KL04X9757</t>
        </is>
      </c>
      <c r="E1932" s="20" t="inlineStr">
        <is>
          <t>MARUTI SUZUKI</t>
        </is>
      </c>
      <c r="F1932" s="20" t="inlineStr">
        <is>
          <t>Estilo</t>
        </is>
      </c>
      <c r="G1932" s="21" t="n"/>
      <c r="H1932" s="22" t="n">
        <v>90898</v>
      </c>
      <c r="I1932" s="22" t="n">
        <v>65000</v>
      </c>
      <c r="J1932" s="20" t="inlineStr">
        <is>
          <t>AMRITH V CHANDY</t>
        </is>
      </c>
      <c r="K1932" s="20" t="inlineStr">
        <is>
          <t>Non-Captive</t>
        </is>
      </c>
      <c r="L1932" s="20" t="inlineStr">
        <is>
          <t>ASHRAF T A</t>
        </is>
      </c>
      <c r="M1932" s="23" t="n">
        <v>8474.58</v>
      </c>
    </row>
    <row r="1933">
      <c r="A1933" s="19" t="inlineStr">
        <is>
          <t>FY27</t>
        </is>
      </c>
      <c r="B1933" s="19" t="inlineStr">
        <is>
          <t>Apr</t>
        </is>
      </c>
      <c r="C1933" s="19" t="inlineStr">
        <is>
          <t>Kerala</t>
        </is>
      </c>
      <c r="D1933" s="20" t="inlineStr">
        <is>
          <t>KL03U1993</t>
        </is>
      </c>
      <c r="E1933" s="20" t="inlineStr">
        <is>
          <t>MARUTI SUZUKI</t>
        </is>
      </c>
      <c r="F1933" s="20" t="inlineStr">
        <is>
          <t>Zen</t>
        </is>
      </c>
      <c r="G1933" s="21" t="n"/>
      <c r="H1933" s="22" t="n">
        <v>140000</v>
      </c>
      <c r="I1933" s="22" t="n">
        <v>45000</v>
      </c>
      <c r="J1933" s="20" t="inlineStr">
        <is>
          <t>EVM SKODA</t>
        </is>
      </c>
      <c r="K1933" s="20" t="inlineStr">
        <is>
          <t>Non-Captive</t>
        </is>
      </c>
      <c r="L1933" s="20" t="inlineStr">
        <is>
          <t>HUSSAIN O E</t>
        </is>
      </c>
      <c r="M1933" s="23" t="n">
        <v>8474.58</v>
      </c>
    </row>
    <row r="1934">
      <c r="A1934" s="19" t="inlineStr">
        <is>
          <t>FY27</t>
        </is>
      </c>
      <c r="B1934" s="19" t="inlineStr">
        <is>
          <t>Apr</t>
        </is>
      </c>
      <c r="C1934" s="19" t="inlineStr">
        <is>
          <t>Kerala</t>
        </is>
      </c>
      <c r="D1934" s="20" t="inlineStr">
        <is>
          <t>KL40T4157</t>
        </is>
      </c>
      <c r="E1934" s="20" t="inlineStr">
        <is>
          <t>RENAULT</t>
        </is>
      </c>
      <c r="F1934" s="20" t="inlineStr">
        <is>
          <t>Kiger</t>
        </is>
      </c>
      <c r="G1934" s="21" t="n"/>
      <c r="H1934" s="22" t="n">
        <v>56139</v>
      </c>
      <c r="I1934" s="22" t="n">
        <v>415000</v>
      </c>
      <c r="J1934" s="20" t="inlineStr">
        <is>
          <t>EVM JEEP</t>
        </is>
      </c>
      <c r="K1934" s="20" t="inlineStr">
        <is>
          <t>Non-Captive</t>
        </is>
      </c>
      <c r="L1934" s="20" t="inlineStr">
        <is>
          <t>RASIK RAHIM</t>
        </is>
      </c>
      <c r="M1934" s="23" t="n">
        <v>8474.58</v>
      </c>
    </row>
    <row r="1935">
      <c r="A1935" s="19" t="inlineStr">
        <is>
          <t>FY27</t>
        </is>
      </c>
      <c r="B1935" s="19" t="inlineStr">
        <is>
          <t>Apr</t>
        </is>
      </c>
      <c r="C1935" s="19" t="inlineStr">
        <is>
          <t>Kerala</t>
        </is>
      </c>
      <c r="D1935" s="20" t="inlineStr">
        <is>
          <t>KL02BV4262</t>
        </is>
      </c>
      <c r="E1935" s="20" t="inlineStr">
        <is>
          <t>HYUNDAI</t>
        </is>
      </c>
      <c r="F1935" s="20" t="inlineStr">
        <is>
          <t>Venue</t>
        </is>
      </c>
      <c r="G1935" s="21" t="n"/>
      <c r="H1935" s="22" t="n">
        <v>15800</v>
      </c>
      <c r="I1935" s="22" t="n">
        <v>700000</v>
      </c>
      <c r="J1935" s="20" t="inlineStr">
        <is>
          <t>TRIVANDRUM MOTORS</t>
        </is>
      </c>
      <c r="K1935" s="20" t="inlineStr">
        <is>
          <t>Non-Captive</t>
        </is>
      </c>
      <c r="L1935" s="20" t="inlineStr">
        <is>
          <t>RIYAS</t>
        </is>
      </c>
      <c r="M1935" s="23" t="n">
        <v>8474.58</v>
      </c>
    </row>
    <row r="1936">
      <c r="A1936" s="19" t="inlineStr">
        <is>
          <t>FY27</t>
        </is>
      </c>
      <c r="B1936" s="19" t="inlineStr">
        <is>
          <t>Apr</t>
        </is>
      </c>
      <c r="C1936" s="19" t="inlineStr">
        <is>
          <t>Kerala</t>
        </is>
      </c>
      <c r="D1936" s="20" t="inlineStr">
        <is>
          <t>KL01BH6206</t>
        </is>
      </c>
      <c r="E1936" s="20" t="inlineStr">
        <is>
          <t>FORD</t>
        </is>
      </c>
      <c r="F1936" s="20" t="inlineStr">
        <is>
          <t>Figo</t>
        </is>
      </c>
      <c r="G1936" s="21" t="n"/>
      <c r="H1936" s="22" t="n">
        <v>168000</v>
      </c>
      <c r="I1936" s="22" t="n">
        <v>50000</v>
      </c>
      <c r="J1936" s="20" t="inlineStr">
        <is>
          <t>POPULAR MARUTI</t>
        </is>
      </c>
      <c r="K1936" s="20" t="inlineStr">
        <is>
          <t>Non-Captive</t>
        </is>
      </c>
      <c r="L1936" s="20" t="inlineStr">
        <is>
          <t>SANTHOSH</t>
        </is>
      </c>
      <c r="M1936" s="23" t="n">
        <v>5932.2</v>
      </c>
    </row>
    <row r="1937">
      <c r="A1937" s="19" t="inlineStr">
        <is>
          <t>FY27</t>
        </is>
      </c>
      <c r="B1937" s="19" t="inlineStr">
        <is>
          <t>Apr</t>
        </is>
      </c>
      <c r="C1937" s="19" t="inlineStr">
        <is>
          <t>Kerala</t>
        </is>
      </c>
      <c r="D1937" s="20" t="inlineStr">
        <is>
          <t>KL02AZ6059</t>
        </is>
      </c>
      <c r="E1937" s="20" t="inlineStr">
        <is>
          <t>HYUNDAI</t>
        </is>
      </c>
      <c r="F1937" s="20" t="inlineStr">
        <is>
          <t>Eon</t>
        </is>
      </c>
      <c r="G1937" s="21" t="n"/>
      <c r="H1937" s="22" t="n">
        <v>69756</v>
      </c>
      <c r="I1937" s="22" t="n">
        <v>194000</v>
      </c>
      <c r="J1937" s="20" t="inlineStr">
        <is>
          <t>PINNACLE NISSAN</t>
        </is>
      </c>
      <c r="K1937" s="20" t="inlineStr">
        <is>
          <t>Non-Captive</t>
        </is>
      </c>
      <c r="L1937" s="20" t="inlineStr">
        <is>
          <t>SHAHAR</t>
        </is>
      </c>
      <c r="M1937" s="23" t="n">
        <v>5084.75</v>
      </c>
    </row>
    <row r="1938">
      <c r="A1938" s="19" t="inlineStr">
        <is>
          <t>FY27</t>
        </is>
      </c>
      <c r="B1938" s="19" t="inlineStr">
        <is>
          <t>Apr</t>
        </is>
      </c>
      <c r="C1938" s="19" t="inlineStr">
        <is>
          <t>Kerala</t>
        </is>
      </c>
      <c r="D1938" s="20" t="inlineStr">
        <is>
          <t>KL58G5578</t>
        </is>
      </c>
      <c r="E1938" s="20" t="inlineStr">
        <is>
          <t>HYUNDAI</t>
        </is>
      </c>
      <c r="F1938" s="20" t="inlineStr">
        <is>
          <t>Eon</t>
        </is>
      </c>
      <c r="G1938" s="21" t="n"/>
      <c r="H1938" s="22" t="n">
        <v>116000</v>
      </c>
      <c r="I1938" s="22" t="n">
        <v>95000</v>
      </c>
      <c r="J1938" s="20" t="inlineStr">
        <is>
          <t>ABILASH CHANDRAN</t>
        </is>
      </c>
      <c r="K1938" s="20" t="inlineStr">
        <is>
          <t>Non-Captive</t>
        </is>
      </c>
      <c r="L1938" s="20" t="inlineStr">
        <is>
          <t>KVR TATA</t>
        </is>
      </c>
      <c r="M1938" s="23" t="n">
        <v>4237.29</v>
      </c>
    </row>
    <row r="1939">
      <c r="A1939" s="19" t="inlineStr">
        <is>
          <t>FY27</t>
        </is>
      </c>
      <c r="B1939" s="19" t="inlineStr">
        <is>
          <t>Apr</t>
        </is>
      </c>
      <c r="C1939" s="19" t="inlineStr">
        <is>
          <t>Kerala</t>
        </is>
      </c>
      <c r="D1939" s="20" t="inlineStr">
        <is>
          <t>KL58AF3006</t>
        </is>
      </c>
      <c r="E1939" s="20" t="inlineStr">
        <is>
          <t>MARUTI SUZUKI</t>
        </is>
      </c>
      <c r="F1939" s="20" t="inlineStr">
        <is>
          <t>Brezza</t>
        </is>
      </c>
      <c r="G1939" s="21" t="n">
        <v>2021</v>
      </c>
      <c r="H1939" s="22" t="n">
        <v>50000</v>
      </c>
      <c r="I1939" s="22" t="n">
        <v>280000</v>
      </c>
      <c r="J1939" s="20" t="inlineStr">
        <is>
          <t>NIDEESH MOHAN</t>
        </is>
      </c>
      <c r="K1939" s="20" t="inlineStr">
        <is>
          <t>Non-Captive</t>
        </is>
      </c>
      <c r="L1939" s="20" t="inlineStr">
        <is>
          <t>SAP MAHINDRA</t>
        </is>
      </c>
      <c r="M1939" s="23" t="n">
        <v>5932.2</v>
      </c>
    </row>
    <row r="1940">
      <c r="A1940" s="19" t="inlineStr">
        <is>
          <t>FY27</t>
        </is>
      </c>
      <c r="B1940" s="19" t="inlineStr">
        <is>
          <t>Apr</t>
        </is>
      </c>
      <c r="C1940" s="19" t="inlineStr">
        <is>
          <t>Kerala</t>
        </is>
      </c>
      <c r="D1940" s="20" t="inlineStr">
        <is>
          <t>KL56M0627</t>
        </is>
      </c>
      <c r="E1940" s="20" t="inlineStr">
        <is>
          <t>DATSUN</t>
        </is>
      </c>
      <c r="F1940" s="20" t="inlineStr">
        <is>
          <t>Datson</t>
        </is>
      </c>
      <c r="G1940" s="21" t="n">
        <v>2015</v>
      </c>
      <c r="H1940" s="22" t="n">
        <v>83000</v>
      </c>
      <c r="I1940" s="22" t="n">
        <v>120000</v>
      </c>
      <c r="J1940" s="20" t="inlineStr">
        <is>
          <t>NIDEESH MOHAN</t>
        </is>
      </c>
      <c r="K1940" s="20" t="inlineStr">
        <is>
          <t>Non-Captive</t>
        </is>
      </c>
      <c r="L1940" s="20" t="inlineStr">
        <is>
          <t>BIMAL</t>
        </is>
      </c>
      <c r="M1940" s="23" t="n">
        <v>5932.2</v>
      </c>
    </row>
    <row r="1941">
      <c r="A1941" s="19" t="inlineStr">
        <is>
          <t>FY27</t>
        </is>
      </c>
      <c r="B1941" s="19" t="inlineStr">
        <is>
          <t>Apr</t>
        </is>
      </c>
      <c r="C1941" s="19" t="inlineStr">
        <is>
          <t>Kerala</t>
        </is>
      </c>
      <c r="D1941" s="20" t="inlineStr">
        <is>
          <t>KL10AJ1863</t>
        </is>
      </c>
      <c r="E1941" s="20" t="inlineStr">
        <is>
          <t>MARUTI SUZUKI</t>
        </is>
      </c>
      <c r="F1941" s="20" t="inlineStr">
        <is>
          <t>Ritz</t>
        </is>
      </c>
      <c r="G1941" s="21" t="n">
        <v>2011</v>
      </c>
      <c r="H1941" s="22" t="n">
        <v>151000</v>
      </c>
      <c r="I1941" s="22" t="n">
        <v>145000</v>
      </c>
      <c r="J1941" s="20" t="inlineStr">
        <is>
          <t>HAMSA</t>
        </is>
      </c>
      <c r="K1941" s="20" t="inlineStr">
        <is>
          <t>Non-Captive</t>
        </is>
      </c>
      <c r="L1941" s="20" t="inlineStr">
        <is>
          <t>BIMAL</t>
        </is>
      </c>
      <c r="M1941" s="23" t="n">
        <v>4237.29</v>
      </c>
    </row>
    <row r="1942">
      <c r="A1942" s="19" t="inlineStr">
        <is>
          <t>FY27</t>
        </is>
      </c>
      <c r="B1942" s="19" t="inlineStr">
        <is>
          <t>Apr</t>
        </is>
      </c>
      <c r="C1942" s="19" t="inlineStr">
        <is>
          <t>Kerala</t>
        </is>
      </c>
      <c r="D1942" s="20" t="inlineStr">
        <is>
          <t>KL38D4621</t>
        </is>
      </c>
      <c r="E1942" s="20" t="inlineStr">
        <is>
          <t>HYUNDAI</t>
        </is>
      </c>
      <c r="F1942" s="20" t="inlineStr">
        <is>
          <t>Eon</t>
        </is>
      </c>
      <c r="G1942" s="21" t="n">
        <v>2013</v>
      </c>
      <c r="H1942" s="22" t="n">
        <v>28000</v>
      </c>
      <c r="I1942" s="22" t="n">
        <v>120000</v>
      </c>
      <c r="J1942" s="20" t="inlineStr">
        <is>
          <t>SARITH AUTOBOT</t>
        </is>
      </c>
      <c r="K1942" s="20" t="inlineStr">
        <is>
          <t>Non-Captive</t>
        </is>
      </c>
      <c r="L1942" s="20" t="inlineStr">
        <is>
          <t>BIMAL</t>
        </is>
      </c>
      <c r="M1942" s="23" t="n">
        <v>5084.75</v>
      </c>
    </row>
    <row r="1943">
      <c r="A1943" s="19" t="inlineStr">
        <is>
          <t>FY27</t>
        </is>
      </c>
      <c r="B1943" s="19" t="inlineStr">
        <is>
          <t>Apr</t>
        </is>
      </c>
      <c r="C1943" s="19" t="inlineStr">
        <is>
          <t>Kerala</t>
        </is>
      </c>
      <c r="D1943" s="20" t="inlineStr">
        <is>
          <t>KL18S7048</t>
        </is>
      </c>
      <c r="E1943" s="20" t="inlineStr">
        <is>
          <t>DATSUN</t>
        </is>
      </c>
      <c r="F1943" s="20" t="inlineStr">
        <is>
          <t>Redi-Go</t>
        </is>
      </c>
      <c r="G1943" s="21" t="n"/>
      <c r="H1943" s="22" t="n">
        <v>84100</v>
      </c>
      <c r="I1943" s="22" t="n">
        <v>90000</v>
      </c>
      <c r="J1943" s="20" t="inlineStr">
        <is>
          <t>EVM CITROEN</t>
        </is>
      </c>
      <c r="K1943" s="20" t="inlineStr">
        <is>
          <t>Non-Captive</t>
        </is>
      </c>
      <c r="L1943" s="20" t="inlineStr">
        <is>
          <t>VTJ</t>
        </is>
      </c>
      <c r="M1943" s="23" t="n">
        <v>8474.58</v>
      </c>
    </row>
    <row r="1944">
      <c r="A1944" s="19" t="inlineStr">
        <is>
          <t>FY27</t>
        </is>
      </c>
      <c r="B1944" s="19" t="inlineStr">
        <is>
          <t>Apr</t>
        </is>
      </c>
      <c r="C1944" s="19" t="inlineStr">
        <is>
          <t>Kerala</t>
        </is>
      </c>
      <c r="D1944" s="20" t="inlineStr">
        <is>
          <t>KL35E9561</t>
        </is>
      </c>
      <c r="E1944" s="20" t="inlineStr">
        <is>
          <t>MARUTI SUZUKI</t>
        </is>
      </c>
      <c r="F1944" s="20" t="inlineStr">
        <is>
          <t>Wagon R</t>
        </is>
      </c>
      <c r="G1944" s="21" t="n"/>
      <c r="H1944" s="22" t="n">
        <v>82000</v>
      </c>
      <c r="I1944" s="22" t="n">
        <v>230000</v>
      </c>
      <c r="J1944" s="20" t="inlineStr">
        <is>
          <t>AMRITH V CHANDY</t>
        </is>
      </c>
      <c r="K1944" s="20" t="inlineStr">
        <is>
          <t>Non-Captive</t>
        </is>
      </c>
      <c r="L1944" s="20" t="inlineStr">
        <is>
          <t>TINU P SOMAN</t>
        </is>
      </c>
      <c r="M1944" s="23" t="n">
        <v>8474.58</v>
      </c>
    </row>
    <row r="1945">
      <c r="A1945" s="19" t="inlineStr">
        <is>
          <t>FY27</t>
        </is>
      </c>
      <c r="B1945" s="19" t="inlineStr">
        <is>
          <t>Apr</t>
        </is>
      </c>
      <c r="C1945" s="19" t="inlineStr">
        <is>
          <t>Kerala</t>
        </is>
      </c>
      <c r="D1945" s="20" t="inlineStr">
        <is>
          <t>KL49H8453</t>
        </is>
      </c>
      <c r="E1945" s="20" t="inlineStr">
        <is>
          <t>RENAULT</t>
        </is>
      </c>
      <c r="F1945" s="20" t="inlineStr">
        <is>
          <t>Kwid</t>
        </is>
      </c>
      <c r="G1945" s="21" t="n"/>
      <c r="H1945" s="22" t="n">
        <v>22500</v>
      </c>
      <c r="I1945" s="22" t="n">
        <v>230000</v>
      </c>
      <c r="J1945" s="20" t="inlineStr">
        <is>
          <t>PHOENIX VOLKSWAGEN</t>
        </is>
      </c>
      <c r="K1945" s="20" t="inlineStr">
        <is>
          <t>Non-Captive</t>
        </is>
      </c>
      <c r="L1945" s="20" t="inlineStr">
        <is>
          <t>GREEN LIGHT PRE OWNED CARS</t>
        </is>
      </c>
      <c r="M1945" s="23" t="n">
        <v>8474.58</v>
      </c>
    </row>
    <row r="1946">
      <c r="A1946" s="19" t="inlineStr">
        <is>
          <t>FY27</t>
        </is>
      </c>
      <c r="B1946" s="19" t="inlineStr">
        <is>
          <t>Apr</t>
        </is>
      </c>
      <c r="C1946" s="19" t="inlineStr">
        <is>
          <t>Kerala</t>
        </is>
      </c>
      <c r="D1946" s="20" t="inlineStr">
        <is>
          <t>KL67B4296</t>
        </is>
      </c>
      <c r="E1946" s="20" t="inlineStr">
        <is>
          <t>MARUTI SUZUKI</t>
        </is>
      </c>
      <c r="F1946" s="20" t="inlineStr">
        <is>
          <t>Alto</t>
        </is>
      </c>
      <c r="G1946" s="21" t="n"/>
      <c r="H1946" s="22" t="n">
        <v>25664</v>
      </c>
      <c r="I1946" s="22" t="n">
        <v>270000</v>
      </c>
      <c r="J1946" s="20" t="inlineStr">
        <is>
          <t>AMRITH V CHANDY</t>
        </is>
      </c>
      <c r="K1946" s="20" t="inlineStr">
        <is>
          <t>Non-Captive</t>
        </is>
      </c>
      <c r="L1946" s="20" t="inlineStr">
        <is>
          <t>SUDHEESH K SATHEESH</t>
        </is>
      </c>
      <c r="M1946" s="23" t="n">
        <v>8474.58</v>
      </c>
    </row>
    <row r="1947">
      <c r="A1947" s="19" t="inlineStr">
        <is>
          <t>FY27</t>
        </is>
      </c>
      <c r="B1947" s="19" t="inlineStr">
        <is>
          <t>Apr</t>
        </is>
      </c>
      <c r="C1947" s="19" t="inlineStr">
        <is>
          <t>Kerala</t>
        </is>
      </c>
      <c r="D1947" s="20" t="inlineStr">
        <is>
          <t>KL02BF2227</t>
        </is>
      </c>
      <c r="E1947" s="20" t="inlineStr">
        <is>
          <t>MAHINDRA</t>
        </is>
      </c>
      <c r="F1947" s="20" t="inlineStr">
        <is>
          <t>Tuv300</t>
        </is>
      </c>
      <c r="G1947" s="21" t="n"/>
      <c r="H1947" s="22" t="n">
        <v>57631</v>
      </c>
      <c r="I1947" s="22" t="n">
        <v>415000</v>
      </c>
      <c r="J1947" s="20" t="inlineStr">
        <is>
          <t>MAXX MOTORS</t>
        </is>
      </c>
      <c r="K1947" s="20" t="inlineStr">
        <is>
          <t>Non-Captive</t>
        </is>
      </c>
      <c r="L1947" s="20" t="inlineStr">
        <is>
          <t>PINNACLE NISSAN</t>
        </is>
      </c>
      <c r="M1947" s="23" t="n">
        <v>8474.58</v>
      </c>
    </row>
    <row r="1948">
      <c r="A1948" s="19" t="inlineStr">
        <is>
          <t>FY27</t>
        </is>
      </c>
      <c r="B1948" s="19" t="inlineStr">
        <is>
          <t>Apr</t>
        </is>
      </c>
      <c r="C1948" s="19" t="inlineStr">
        <is>
          <t>Kerala</t>
        </is>
      </c>
      <c r="D1948" s="20" t="inlineStr">
        <is>
          <t>KL43M5149</t>
        </is>
      </c>
      <c r="E1948" s="20" t="inlineStr">
        <is>
          <t>MARUTI SUZUKI</t>
        </is>
      </c>
      <c r="F1948" s="20" t="inlineStr">
        <is>
          <t>Swift</t>
        </is>
      </c>
      <c r="G1948" s="21" t="n"/>
      <c r="H1948" s="22" t="n">
        <v>33450</v>
      </c>
      <c r="I1948" s="22" t="n">
        <v>410000</v>
      </c>
      <c r="J1948" s="20" t="inlineStr">
        <is>
          <t>MAIJO MARUTI</t>
        </is>
      </c>
      <c r="K1948" s="20" t="inlineStr">
        <is>
          <t>Non-Captive</t>
        </is>
      </c>
      <c r="L1948" s="20" t="inlineStr">
        <is>
          <t>ABDUL SALAM K K</t>
        </is>
      </c>
      <c r="M1948" s="23" t="n">
        <v>8474.58</v>
      </c>
    </row>
    <row r="1949">
      <c r="A1949" s="19" t="inlineStr">
        <is>
          <t>FY27</t>
        </is>
      </c>
      <c r="B1949" s="19" t="inlineStr">
        <is>
          <t>Apr</t>
        </is>
      </c>
      <c r="C1949" s="19" t="inlineStr">
        <is>
          <t>Kerala</t>
        </is>
      </c>
      <c r="D1949" s="20" t="inlineStr">
        <is>
          <t>KL01BE7810</t>
        </is>
      </c>
      <c r="E1949" s="20" t="inlineStr">
        <is>
          <t>HYUNDAI</t>
        </is>
      </c>
      <c r="F1949" s="20" t="inlineStr">
        <is>
          <t>Eon</t>
        </is>
      </c>
      <c r="G1949" s="21" t="n"/>
      <c r="H1949" s="22" t="n">
        <v>55570</v>
      </c>
      <c r="I1949" s="22" t="n">
        <v>90000</v>
      </c>
      <c r="J1949" s="20" t="inlineStr">
        <is>
          <t>JISHNU PRIYAN</t>
        </is>
      </c>
      <c r="K1949" s="20" t="inlineStr">
        <is>
          <t>Non-Captive</t>
        </is>
      </c>
      <c r="L1949" s="20" t="inlineStr">
        <is>
          <t>DINESH P S</t>
        </is>
      </c>
      <c r="M1949" s="23" t="n">
        <v>8474.58</v>
      </c>
    </row>
    <row r="1950">
      <c r="A1950" s="19" t="inlineStr">
        <is>
          <t>FY27</t>
        </is>
      </c>
      <c r="B1950" s="19" t="inlineStr">
        <is>
          <t>Apr</t>
        </is>
      </c>
      <c r="C1950" s="19" t="inlineStr">
        <is>
          <t>Kerala</t>
        </is>
      </c>
      <c r="D1950" s="20" t="inlineStr">
        <is>
          <t>KL42M6147</t>
        </is>
      </c>
      <c r="E1950" s="20" t="inlineStr">
        <is>
          <t>MARUTI SUZUKI</t>
        </is>
      </c>
      <c r="F1950" s="20" t="inlineStr">
        <is>
          <t>Swift</t>
        </is>
      </c>
      <c r="G1950" s="21" t="n"/>
      <c r="H1950" s="22" t="n">
        <v>60893</v>
      </c>
      <c r="I1950" s="22" t="n">
        <v>325000</v>
      </c>
      <c r="J1950" s="20" t="inlineStr">
        <is>
          <t>POPULAR MARUTI</t>
        </is>
      </c>
      <c r="K1950" s="20" t="inlineStr">
        <is>
          <t>Non-Captive</t>
        </is>
      </c>
      <c r="L1950" s="20" t="inlineStr">
        <is>
          <t>FABITH</t>
        </is>
      </c>
      <c r="M1950" s="23" t="n">
        <v>8474.58</v>
      </c>
    </row>
    <row r="1951">
      <c r="A1951" s="19" t="inlineStr">
        <is>
          <t>FY27</t>
        </is>
      </c>
      <c r="B1951" s="19" t="inlineStr">
        <is>
          <t>Apr</t>
        </is>
      </c>
      <c r="C1951" s="19" t="inlineStr">
        <is>
          <t>Kerala</t>
        </is>
      </c>
      <c r="D1951" s="20" t="inlineStr">
        <is>
          <t>KL32F0961</t>
        </is>
      </c>
      <c r="E1951" s="20" t="inlineStr">
        <is>
          <t>HYUNDAI</t>
        </is>
      </c>
      <c r="F1951" s="20" t="inlineStr">
        <is>
          <t>Eon</t>
        </is>
      </c>
      <c r="G1951" s="21" t="n"/>
      <c r="H1951" s="22" t="n">
        <v>49700</v>
      </c>
      <c r="I1951" s="22" t="n">
        <v>91000</v>
      </c>
      <c r="J1951" s="20" t="inlineStr">
        <is>
          <t>VTJ</t>
        </is>
      </c>
      <c r="K1951" s="20" t="inlineStr">
        <is>
          <t>Non-Captive</t>
        </is>
      </c>
      <c r="L1951" s="20" t="inlineStr">
        <is>
          <t>ABDUL SALAM K K</t>
        </is>
      </c>
      <c r="M1951" s="23" t="n">
        <v>8474.58</v>
      </c>
    </row>
    <row r="1952">
      <c r="A1952" s="19" t="inlineStr">
        <is>
          <t>FY27</t>
        </is>
      </c>
      <c r="B1952" s="19" t="inlineStr">
        <is>
          <t>Apr</t>
        </is>
      </c>
      <c r="C1952" s="19" t="inlineStr">
        <is>
          <t>Kerala</t>
        </is>
      </c>
      <c r="D1952" s="20" t="inlineStr">
        <is>
          <t>KL05M5665</t>
        </is>
      </c>
      <c r="E1952" s="20" t="inlineStr">
        <is>
          <t>HONDA</t>
        </is>
      </c>
      <c r="F1952" s="20" t="inlineStr">
        <is>
          <t>City</t>
        </is>
      </c>
      <c r="G1952" s="21" t="n"/>
      <c r="H1952" s="22" t="n">
        <v>187978</v>
      </c>
      <c r="I1952" s="22" t="n">
        <v>142000</v>
      </c>
      <c r="J1952" s="20" t="inlineStr">
        <is>
          <t>POPULAR MARUTI</t>
        </is>
      </c>
      <c r="K1952" s="20" t="inlineStr">
        <is>
          <t>Non-Captive</t>
        </is>
      </c>
      <c r="L1952" s="20" t="inlineStr">
        <is>
          <t>ROBIN MATHEW</t>
        </is>
      </c>
      <c r="M1952" s="23" t="n">
        <v>6779.66</v>
      </c>
    </row>
    <row r="1953">
      <c r="A1953" s="19" t="inlineStr">
        <is>
          <t>FY27</t>
        </is>
      </c>
      <c r="B1953" s="19" t="inlineStr">
        <is>
          <t>Apr</t>
        </is>
      </c>
      <c r="C1953" s="19" t="inlineStr">
        <is>
          <t>Kerala</t>
        </is>
      </c>
      <c r="D1953" s="20" t="inlineStr">
        <is>
          <t>KL43R5780</t>
        </is>
      </c>
      <c r="E1953" s="20" t="inlineStr">
        <is>
          <t>MARUTI SUZUKI</t>
        </is>
      </c>
      <c r="F1953" s="20" t="inlineStr">
        <is>
          <t>Alto</t>
        </is>
      </c>
      <c r="G1953" s="21" t="n"/>
      <c r="H1953" s="22" t="n">
        <v>5041</v>
      </c>
      <c r="I1953" s="22" t="n">
        <v>330000</v>
      </c>
      <c r="J1953" s="20" t="inlineStr">
        <is>
          <t>EVM NISSAN</t>
        </is>
      </c>
      <c r="K1953" s="20" t="inlineStr">
        <is>
          <t>Non-Captive</t>
        </is>
      </c>
      <c r="L1953" s="20" t="inlineStr">
        <is>
          <t>VTJ</t>
        </is>
      </c>
      <c r="M1953" s="23" t="n">
        <v>8474.58</v>
      </c>
    </row>
    <row r="1954">
      <c r="A1954" s="19" t="inlineStr">
        <is>
          <t>FY27</t>
        </is>
      </c>
      <c r="B1954" s="19" t="inlineStr">
        <is>
          <t>Apr</t>
        </is>
      </c>
      <c r="C1954" s="19" t="inlineStr">
        <is>
          <t>Kerala</t>
        </is>
      </c>
      <c r="D1954" s="20" t="inlineStr">
        <is>
          <t>KL07DC7060</t>
        </is>
      </c>
      <c r="E1954" s="20" t="inlineStr">
        <is>
          <t>MAHINDRA</t>
        </is>
      </c>
      <c r="F1954" s="20" t="inlineStr">
        <is>
          <t>Xuv400</t>
        </is>
      </c>
      <c r="G1954" s="21" t="n"/>
      <c r="H1954" s="22" t="n">
        <v>33600</v>
      </c>
      <c r="I1954" s="22" t="n">
        <v>965000</v>
      </c>
      <c r="J1954" s="20" t="inlineStr">
        <is>
          <t>ERAM MOTORS</t>
        </is>
      </c>
      <c r="K1954" s="20" t="inlineStr">
        <is>
          <t>Non-Captive</t>
        </is>
      </c>
      <c r="L1954" s="20" t="inlineStr">
        <is>
          <t>FABITH</t>
        </is>
      </c>
      <c r="M1954" s="23" t="n">
        <v>8474.58</v>
      </c>
    </row>
    <row r="1955">
      <c r="A1955" s="19" t="inlineStr">
        <is>
          <t>FY27</t>
        </is>
      </c>
      <c r="B1955" s="19" t="inlineStr">
        <is>
          <t>Apr</t>
        </is>
      </c>
      <c r="C1955" s="19" t="inlineStr">
        <is>
          <t>Kerala</t>
        </is>
      </c>
      <c r="D1955" s="20" t="inlineStr">
        <is>
          <t>KL08AV3989</t>
        </is>
      </c>
      <c r="E1955" s="20" t="inlineStr">
        <is>
          <t>TOYOTA</t>
        </is>
      </c>
      <c r="F1955" s="20" t="inlineStr">
        <is>
          <t>Etios</t>
        </is>
      </c>
      <c r="G1955" s="21" t="n"/>
      <c r="H1955" s="22" t="n">
        <v>89000</v>
      </c>
      <c r="I1955" s="22" t="n">
        <v>155000</v>
      </c>
      <c r="J1955" s="20" t="inlineStr">
        <is>
          <t>EVM CITROEN</t>
        </is>
      </c>
      <c r="K1955" s="20" t="inlineStr">
        <is>
          <t>Non-Captive</t>
        </is>
      </c>
      <c r="L1955" s="20" t="inlineStr">
        <is>
          <t>AITOS CARS</t>
        </is>
      </c>
      <c r="M1955" s="23" t="n">
        <v>8474.58</v>
      </c>
    </row>
    <row r="1956">
      <c r="A1956" s="19" t="inlineStr">
        <is>
          <t>FY27</t>
        </is>
      </c>
      <c r="B1956" s="19" t="inlineStr">
        <is>
          <t>Apr</t>
        </is>
      </c>
      <c r="C1956" s="19" t="inlineStr">
        <is>
          <t>Kerala</t>
        </is>
      </c>
      <c r="D1956" s="20" t="inlineStr">
        <is>
          <t>KL05AH7804</t>
        </is>
      </c>
      <c r="E1956" s="20" t="inlineStr">
        <is>
          <t>MARUTI SUZUKI</t>
        </is>
      </c>
      <c r="F1956" s="20" t="inlineStr">
        <is>
          <t>A-Star</t>
        </is>
      </c>
      <c r="G1956" s="21" t="n"/>
      <c r="H1956" s="22" t="n">
        <v>53656</v>
      </c>
      <c r="I1956" s="22" t="n">
        <v>215000</v>
      </c>
      <c r="J1956" s="20" t="inlineStr">
        <is>
          <t>AMRITH V CHANDY</t>
        </is>
      </c>
      <c r="K1956" s="20" t="inlineStr">
        <is>
          <t>Non-Captive</t>
        </is>
      </c>
      <c r="L1956" s="20" t="inlineStr">
        <is>
          <t>ROBIN MATHEW</t>
        </is>
      </c>
      <c r="M1956" s="23" t="n">
        <v>8474.58</v>
      </c>
    </row>
    <row r="1957">
      <c r="A1957" s="19" t="inlineStr">
        <is>
          <t>FY27</t>
        </is>
      </c>
      <c r="B1957" s="19" t="inlineStr">
        <is>
          <t>Apr</t>
        </is>
      </c>
      <c r="C1957" s="19" t="inlineStr">
        <is>
          <t>Kerala</t>
        </is>
      </c>
      <c r="D1957" s="20" t="inlineStr">
        <is>
          <t>KL14U7488</t>
        </is>
      </c>
      <c r="E1957" s="20" t="inlineStr">
        <is>
          <t>HYUNDAI</t>
        </is>
      </c>
      <c r="F1957" s="20" t="inlineStr">
        <is>
          <t>Eon</t>
        </is>
      </c>
      <c r="G1957" s="21" t="n"/>
      <c r="H1957" s="22" t="n">
        <v>90000</v>
      </c>
      <c r="I1957" s="22" t="n">
        <v>120000</v>
      </c>
      <c r="J1957" s="20" t="inlineStr">
        <is>
          <t>MARVEL MOTORS</t>
        </is>
      </c>
      <c r="K1957" s="20" t="inlineStr">
        <is>
          <t>Non-Captive</t>
        </is>
      </c>
      <c r="L1957" s="20" t="inlineStr">
        <is>
          <t>POPULAR</t>
        </is>
      </c>
      <c r="M1957" s="23" t="n">
        <v>4237.29</v>
      </c>
    </row>
    <row r="1958">
      <c r="A1958" s="19" t="inlineStr">
        <is>
          <t>FY27</t>
        </is>
      </c>
      <c r="B1958" s="19" t="inlineStr">
        <is>
          <t>Apr</t>
        </is>
      </c>
      <c r="C1958" s="19" t="inlineStr">
        <is>
          <t>Kerala</t>
        </is>
      </c>
      <c r="D1958" s="20" t="inlineStr">
        <is>
          <t>KL13Z0062</t>
        </is>
      </c>
      <c r="E1958" s="20" t="inlineStr">
        <is>
          <t>MARUTI SUZUKI</t>
        </is>
      </c>
      <c r="F1958" s="20" t="inlineStr">
        <is>
          <t>Wagon R</t>
        </is>
      </c>
      <c r="G1958" s="21" t="n">
        <v>2012</v>
      </c>
      <c r="H1958" s="22" t="n">
        <v>66180</v>
      </c>
      <c r="I1958" s="22" t="n">
        <v>150000</v>
      </c>
      <c r="J1958" s="20" t="inlineStr">
        <is>
          <t>MARVEL MOTORS</t>
        </is>
      </c>
      <c r="K1958" s="20" t="inlineStr">
        <is>
          <t>Non-Captive</t>
        </is>
      </c>
      <c r="L1958" s="20" t="inlineStr">
        <is>
          <t>POPULAR</t>
        </is>
      </c>
      <c r="M1958" s="23" t="n">
        <v>4237.29</v>
      </c>
    </row>
    <row r="1959">
      <c r="A1959" s="19" t="inlineStr">
        <is>
          <t>FY27</t>
        </is>
      </c>
      <c r="B1959" s="19" t="inlineStr">
        <is>
          <t>Apr</t>
        </is>
      </c>
      <c r="C1959" s="19" t="inlineStr">
        <is>
          <t>Kerala</t>
        </is>
      </c>
      <c r="D1959" s="20" t="inlineStr">
        <is>
          <t>KL09K4185</t>
        </is>
      </c>
      <c r="E1959" s="20" t="inlineStr">
        <is>
          <t>MARUTI SUZUKI</t>
        </is>
      </c>
      <c r="F1959" s="20" t="inlineStr">
        <is>
          <t>Alto</t>
        </is>
      </c>
      <c r="G1959" s="21" t="n">
        <v>2002</v>
      </c>
      <c r="H1959" s="22" t="n">
        <v>168000</v>
      </c>
      <c r="I1959" s="22" t="n">
        <v>14000</v>
      </c>
      <c r="J1959" s="20" t="inlineStr">
        <is>
          <t>AUTOTRUST</t>
        </is>
      </c>
      <c r="K1959" s="20" t="inlineStr">
        <is>
          <t>Non-Captive</t>
        </is>
      </c>
      <c r="L1959" s="20" t="inlineStr">
        <is>
          <t>INDUS MARUTI</t>
        </is>
      </c>
      <c r="M1959" s="23" t="n">
        <v>4237.29</v>
      </c>
    </row>
    <row r="1960">
      <c r="A1960" s="19" t="inlineStr">
        <is>
          <t>FY27</t>
        </is>
      </c>
      <c r="B1960" s="19" t="inlineStr">
        <is>
          <t>Apr</t>
        </is>
      </c>
      <c r="C1960" s="19" t="inlineStr">
        <is>
          <t>Kerala</t>
        </is>
      </c>
      <c r="D1960" s="20" t="inlineStr">
        <is>
          <t>KL13E8289</t>
        </is>
      </c>
      <c r="E1960" s="20" t="inlineStr">
        <is>
          <t>MARUTI SUZUKI</t>
        </is>
      </c>
      <c r="F1960" s="20" t="inlineStr">
        <is>
          <t>Esteem</t>
        </is>
      </c>
      <c r="G1960" s="21" t="n">
        <v>1999</v>
      </c>
      <c r="H1960" s="22" t="n">
        <v>230000</v>
      </c>
      <c r="I1960" s="22" t="n">
        <v>10000</v>
      </c>
      <c r="J1960" s="20" t="inlineStr">
        <is>
          <t>AUTOTRUST</t>
        </is>
      </c>
      <c r="K1960" s="20" t="inlineStr">
        <is>
          <t>Non-Captive</t>
        </is>
      </c>
      <c r="L1960" s="20" t="inlineStr">
        <is>
          <t>INDUS MARUTI</t>
        </is>
      </c>
      <c r="M1960" s="23" t="n">
        <v>4237.29</v>
      </c>
    </row>
    <row r="1961">
      <c r="A1961" s="19" t="inlineStr">
        <is>
          <t>FY27</t>
        </is>
      </c>
      <c r="B1961" s="19" t="inlineStr">
        <is>
          <t>Apr</t>
        </is>
      </c>
      <c r="C1961" s="19" t="inlineStr">
        <is>
          <t>Kerala</t>
        </is>
      </c>
      <c r="D1961" s="20" t="inlineStr">
        <is>
          <t>KL60J5387</t>
        </is>
      </c>
      <c r="E1961" s="20" t="inlineStr">
        <is>
          <t>HYUNDAI</t>
        </is>
      </c>
      <c r="F1961" s="20" t="inlineStr">
        <is>
          <t>Eon</t>
        </is>
      </c>
      <c r="G1961" s="21" t="n">
        <v>2015</v>
      </c>
      <c r="H1961" s="22" t="n">
        <v>98000</v>
      </c>
      <c r="I1961" s="22" t="n">
        <v>75000</v>
      </c>
      <c r="J1961" s="20" t="inlineStr">
        <is>
          <t>VASIL AUTOBOT</t>
        </is>
      </c>
      <c r="K1961" s="20" t="inlineStr">
        <is>
          <t>Non-Captive</t>
        </is>
      </c>
      <c r="L1961" s="20" t="inlineStr">
        <is>
          <t>APCO HYUNDAI</t>
        </is>
      </c>
      <c r="M1961" s="23" t="n">
        <v>5084.75</v>
      </c>
    </row>
    <row r="1962">
      <c r="A1962" s="19" t="inlineStr">
        <is>
          <t>FY27</t>
        </is>
      </c>
      <c r="B1962" s="19" t="inlineStr">
        <is>
          <t>Apr</t>
        </is>
      </c>
      <c r="C1962" s="19" t="inlineStr">
        <is>
          <t>Kerala</t>
        </is>
      </c>
      <c r="D1962" s="20" t="inlineStr">
        <is>
          <t>KL14H5906</t>
        </is>
      </c>
      <c r="E1962" s="20" t="inlineStr">
        <is>
          <t>HYUNDAI</t>
        </is>
      </c>
      <c r="F1962" s="20" t="inlineStr">
        <is>
          <t>Santro</t>
        </is>
      </c>
      <c r="G1962" s="21" t="n">
        <v>2009</v>
      </c>
      <c r="H1962" s="22" t="n">
        <v>120000</v>
      </c>
      <c r="I1962" s="22" t="n">
        <v>70000</v>
      </c>
      <c r="J1962" s="20" t="inlineStr">
        <is>
          <t>VASIL AUTOBOT</t>
        </is>
      </c>
      <c r="K1962" s="20" t="inlineStr">
        <is>
          <t>Non-Captive</t>
        </is>
      </c>
      <c r="L1962" s="20" t="inlineStr">
        <is>
          <t>APCO HYUNDAI</t>
        </is>
      </c>
      <c r="M1962" s="23" t="n">
        <v>4237.29</v>
      </c>
    </row>
    <row r="1963">
      <c r="A1963" s="19" t="inlineStr">
        <is>
          <t>FY27</t>
        </is>
      </c>
      <c r="B1963" s="19" t="inlineStr">
        <is>
          <t>Apr</t>
        </is>
      </c>
      <c r="C1963" s="19" t="inlineStr">
        <is>
          <t>Kerala</t>
        </is>
      </c>
      <c r="D1963" s="20" t="inlineStr">
        <is>
          <t>KL14V9215</t>
        </is>
      </c>
      <c r="E1963" s="20" t="inlineStr">
        <is>
          <t>MAHINDRA</t>
        </is>
      </c>
      <c r="F1963" s="20" t="inlineStr">
        <is>
          <t>Kuv100</t>
        </is>
      </c>
      <c r="G1963" s="21" t="n">
        <v>2018</v>
      </c>
      <c r="H1963" s="22" t="n">
        <v>55000</v>
      </c>
      <c r="I1963" s="22" t="n">
        <v>195000</v>
      </c>
      <c r="J1963" s="20" t="inlineStr">
        <is>
          <t>SARITH AUTOBOT</t>
        </is>
      </c>
      <c r="K1963" s="20" t="inlineStr">
        <is>
          <t>Non-Captive</t>
        </is>
      </c>
      <c r="L1963" s="20" t="inlineStr">
        <is>
          <t>KVR TATA KASEGODE</t>
        </is>
      </c>
      <c r="M1963" s="23" t="n">
        <v>5932.2</v>
      </c>
    </row>
    <row r="1964">
      <c r="A1964" s="19" t="inlineStr">
        <is>
          <t>FY27</t>
        </is>
      </c>
      <c r="B1964" s="19" t="inlineStr">
        <is>
          <t>Apr</t>
        </is>
      </c>
      <c r="C1964" s="19" t="inlineStr">
        <is>
          <t>Kerala</t>
        </is>
      </c>
      <c r="D1964" s="20" t="inlineStr">
        <is>
          <t>KL24D1308</t>
        </is>
      </c>
      <c r="E1964" s="20" t="inlineStr">
        <is>
          <t>HYUNDAI</t>
        </is>
      </c>
      <c r="F1964" s="20" t="inlineStr">
        <is>
          <t>I10</t>
        </is>
      </c>
      <c r="G1964" s="21" t="n">
        <v>2011</v>
      </c>
      <c r="H1964" s="22" t="n">
        <v>106000</v>
      </c>
      <c r="I1964" s="22" t="n">
        <v>50000</v>
      </c>
      <c r="J1964" s="20" t="inlineStr">
        <is>
          <t>PRAJOSH P</t>
        </is>
      </c>
      <c r="K1964" s="20" t="inlineStr">
        <is>
          <t>Non-Captive</t>
        </is>
      </c>
      <c r="L1964" s="20" t="inlineStr">
        <is>
          <t>EVM CETRION</t>
        </is>
      </c>
      <c r="M1964" s="23" t="n">
        <v>4237.29</v>
      </c>
    </row>
    <row r="1965">
      <c r="A1965" s="19" t="inlineStr">
        <is>
          <t>FY27</t>
        </is>
      </c>
      <c r="B1965" s="19" t="inlineStr">
        <is>
          <t>Apr</t>
        </is>
      </c>
      <c r="C1965" s="19" t="inlineStr">
        <is>
          <t>Kerala</t>
        </is>
      </c>
      <c r="D1965" s="20" t="inlineStr">
        <is>
          <t>KL20L7575</t>
        </is>
      </c>
      <c r="E1965" s="20" t="inlineStr">
        <is>
          <t>VOLKSWAGEN</t>
        </is>
      </c>
      <c r="F1965" s="20" t="inlineStr">
        <is>
          <t>Ameo</t>
        </is>
      </c>
      <c r="G1965" s="21" t="n">
        <v>2017</v>
      </c>
      <c r="H1965" s="22" t="n">
        <v>67000</v>
      </c>
      <c r="I1965" s="22" t="n">
        <v>275000</v>
      </c>
      <c r="J1965" s="20" t="inlineStr">
        <is>
          <t>HAMSA</t>
        </is>
      </c>
      <c r="K1965" s="20" t="inlineStr">
        <is>
          <t>Non-Captive</t>
        </is>
      </c>
      <c r="L1965" s="20" t="inlineStr">
        <is>
          <t>DKH KIA</t>
        </is>
      </c>
      <c r="M1965" s="23" t="n">
        <v>4237.29</v>
      </c>
    </row>
    <row r="1966">
      <c r="A1966" s="19" t="inlineStr">
        <is>
          <t>FY27</t>
        </is>
      </c>
      <c r="B1966" s="19" t="inlineStr">
        <is>
          <t>Apr</t>
        </is>
      </c>
      <c r="C1966" s="19" t="inlineStr">
        <is>
          <t>Kerala</t>
        </is>
      </c>
      <c r="D1966" s="20" t="inlineStr">
        <is>
          <t>KL59G6672</t>
        </is>
      </c>
      <c r="E1966" s="20" t="inlineStr">
        <is>
          <t>MARUTI SUZUKI</t>
        </is>
      </c>
      <c r="F1966" s="20" t="inlineStr">
        <is>
          <t>Bolero</t>
        </is>
      </c>
      <c r="G1966" s="21" t="n">
        <v>2013</v>
      </c>
      <c r="H1966" s="22" t="n">
        <v>130000</v>
      </c>
      <c r="I1966" s="22" t="n">
        <v>275000</v>
      </c>
      <c r="J1966" s="20" t="inlineStr">
        <is>
          <t>NIDEESH MOHAN</t>
        </is>
      </c>
      <c r="K1966" s="20" t="inlineStr">
        <is>
          <t>Non-Captive</t>
        </is>
      </c>
      <c r="L1966" s="20" t="inlineStr">
        <is>
          <t>VEER MAHINDRA</t>
        </is>
      </c>
      <c r="M1966" s="23" t="n">
        <v>4237.29</v>
      </c>
    </row>
    <row r="1967">
      <c r="A1967" s="19" t="inlineStr">
        <is>
          <t>FY27</t>
        </is>
      </c>
      <c r="B1967" s="19" t="inlineStr">
        <is>
          <t>Apr</t>
        </is>
      </c>
      <c r="C1967" s="19" t="inlineStr">
        <is>
          <t>Kerala</t>
        </is>
      </c>
      <c r="D1967" s="20" t="inlineStr">
        <is>
          <t>KL11BM0789</t>
        </is>
      </c>
      <c r="E1967" s="20" t="inlineStr">
        <is>
          <t>TATA</t>
        </is>
      </c>
      <c r="F1967" s="20" t="inlineStr">
        <is>
          <t>Tiago</t>
        </is>
      </c>
      <c r="G1967" s="21" t="n">
        <v>2018</v>
      </c>
      <c r="H1967" s="22" t="n">
        <v>60000</v>
      </c>
      <c r="I1967" s="22" t="n">
        <v>295000</v>
      </c>
      <c r="J1967" s="20" t="inlineStr">
        <is>
          <t>CAR ZONE</t>
        </is>
      </c>
      <c r="K1967" s="20" t="inlineStr">
        <is>
          <t>Non-Captive</t>
        </is>
      </c>
      <c r="L1967" s="20" t="inlineStr">
        <is>
          <t>BIMAL</t>
        </is>
      </c>
      <c r="M1967" s="23" t="n">
        <v>4237.29</v>
      </c>
    </row>
    <row r="1968">
      <c r="A1968" s="19" t="inlineStr">
        <is>
          <t>FY27</t>
        </is>
      </c>
      <c r="B1968" s="19" t="inlineStr">
        <is>
          <t>Apr</t>
        </is>
      </c>
      <c r="C1968" s="19" t="inlineStr">
        <is>
          <t>Kerala</t>
        </is>
      </c>
      <c r="D1968" s="20" t="inlineStr">
        <is>
          <t>KL60L7095</t>
        </is>
      </c>
      <c r="E1968" s="20" t="inlineStr">
        <is>
          <t>RENAULT</t>
        </is>
      </c>
      <c r="F1968" s="20" t="inlineStr">
        <is>
          <t>Kwid</t>
        </is>
      </c>
      <c r="G1968" s="21" t="n">
        <v>2016</v>
      </c>
      <c r="H1968" s="22" t="n">
        <v>73000</v>
      </c>
      <c r="I1968" s="22" t="n">
        <v>137000</v>
      </c>
      <c r="J1968" s="20" t="inlineStr">
        <is>
          <t>Prajosh</t>
        </is>
      </c>
      <c r="K1968" s="20" t="inlineStr">
        <is>
          <t>Non-Captive</t>
        </is>
      </c>
      <c r="L1968" s="20" t="inlineStr">
        <is>
          <t>BIMAL</t>
        </is>
      </c>
      <c r="M1968" s="23" t="n">
        <v>4237.29</v>
      </c>
    </row>
    <row r="1969">
      <c r="A1969" s="19" t="inlineStr">
        <is>
          <t>FY27</t>
        </is>
      </c>
      <c r="B1969" s="19" t="inlineStr">
        <is>
          <t>Apr</t>
        </is>
      </c>
      <c r="C1969" s="19" t="inlineStr">
        <is>
          <t>Kerala</t>
        </is>
      </c>
      <c r="D1969" s="20" t="inlineStr">
        <is>
          <t>KL11BU2380</t>
        </is>
      </c>
      <c r="E1969" s="20" t="inlineStr">
        <is>
          <t>RENAULT</t>
        </is>
      </c>
      <c r="F1969" s="20" t="inlineStr">
        <is>
          <t>Kwid</t>
        </is>
      </c>
      <c r="G1969" s="21" t="n">
        <v>2021</v>
      </c>
      <c r="H1969" s="22" t="n">
        <v>26000</v>
      </c>
      <c r="I1969" s="22" t="n">
        <v>325000</v>
      </c>
      <c r="J1969" s="20" t="inlineStr">
        <is>
          <t>ABDUL SAMAD</t>
        </is>
      </c>
      <c r="K1969" s="20" t="inlineStr">
        <is>
          <t>Non-Captive</t>
        </is>
      </c>
      <c r="L1969" s="20" t="inlineStr">
        <is>
          <t>APCO HONDA</t>
        </is>
      </c>
      <c r="M1969" s="23" t="n">
        <v>8474.58</v>
      </c>
    </row>
    <row r="1970">
      <c r="A1970" s="19" t="inlineStr">
        <is>
          <t>FY27</t>
        </is>
      </c>
      <c r="B1970" s="19" t="inlineStr">
        <is>
          <t>Apr</t>
        </is>
      </c>
      <c r="C1970" s="19" t="inlineStr">
        <is>
          <t>Kerala</t>
        </is>
      </c>
      <c r="D1970" s="20" t="inlineStr">
        <is>
          <t>KL45L2364</t>
        </is>
      </c>
      <c r="E1970" s="20" t="inlineStr">
        <is>
          <t>SKODA</t>
        </is>
      </c>
      <c r="F1970" s="20" t="inlineStr">
        <is>
          <t>Rapid</t>
        </is>
      </c>
      <c r="G1970" s="21" t="n"/>
      <c r="H1970" s="22" t="n">
        <v>148941</v>
      </c>
      <c r="I1970" s="22" t="n">
        <v>200000</v>
      </c>
      <c r="J1970" s="20" t="inlineStr">
        <is>
          <t>PHOENIX VOLKSWAGEN</t>
        </is>
      </c>
      <c r="K1970" s="20" t="inlineStr">
        <is>
          <t>Non-Captive</t>
        </is>
      </c>
      <c r="L1970" s="20" t="inlineStr">
        <is>
          <t>MUHAMMED SHAJI</t>
        </is>
      </c>
      <c r="M1970" s="23" t="n">
        <v>8474.58</v>
      </c>
    </row>
    <row r="1971">
      <c r="A1971" s="19" t="inlineStr">
        <is>
          <t>FY27</t>
        </is>
      </c>
      <c r="B1971" s="19" t="inlineStr">
        <is>
          <t>Apr</t>
        </is>
      </c>
      <c r="C1971" s="19" t="inlineStr">
        <is>
          <t>Kerala</t>
        </is>
      </c>
      <c r="D1971" s="20" t="inlineStr">
        <is>
          <t>KL39D7804</t>
        </is>
      </c>
      <c r="E1971" s="20" t="inlineStr">
        <is>
          <t>MARUTI SUZUKI</t>
        </is>
      </c>
      <c r="F1971" s="20" t="inlineStr">
        <is>
          <t>Swift</t>
        </is>
      </c>
      <c r="G1971" s="21" t="n"/>
      <c r="H1971" s="22" t="n">
        <v>144966</v>
      </c>
      <c r="I1971" s="22" t="n">
        <v>225000</v>
      </c>
      <c r="J1971" s="20" t="inlineStr">
        <is>
          <t>INDUS MARUTI</t>
        </is>
      </c>
      <c r="K1971" s="20" t="inlineStr">
        <is>
          <t>Non-Captive</t>
        </is>
      </c>
      <c r="L1971" s="20" t="inlineStr">
        <is>
          <t>HUSSAIN O E</t>
        </is>
      </c>
      <c r="M1971" s="23" t="n">
        <v>8474.58</v>
      </c>
    </row>
    <row r="1972">
      <c r="A1972" s="19" t="inlineStr">
        <is>
          <t>FY27</t>
        </is>
      </c>
      <c r="B1972" s="19" t="inlineStr">
        <is>
          <t>Apr</t>
        </is>
      </c>
      <c r="C1972" s="19" t="inlineStr">
        <is>
          <t>Kerala</t>
        </is>
      </c>
      <c r="D1972" s="20" t="inlineStr">
        <is>
          <t>KL07CV1873</t>
        </is>
      </c>
      <c r="E1972" s="20" t="inlineStr">
        <is>
          <t>KIA</t>
        </is>
      </c>
      <c r="F1972" s="20" t="inlineStr">
        <is>
          <t>Seltos</t>
        </is>
      </c>
      <c r="G1972" s="21" t="n"/>
      <c r="H1972" s="22" t="n">
        <v>48056</v>
      </c>
      <c r="I1972" s="22" t="n">
        <v>950000</v>
      </c>
      <c r="J1972" s="20" t="inlineStr">
        <is>
          <t>EVM SKODA</t>
        </is>
      </c>
      <c r="K1972" s="20" t="inlineStr">
        <is>
          <t>Non-Captive</t>
        </is>
      </c>
      <c r="L1972" s="20" t="inlineStr">
        <is>
          <t>VISHNU M S</t>
        </is>
      </c>
      <c r="M1972" s="23" t="n">
        <v>8474.58</v>
      </c>
    </row>
    <row r="1973">
      <c r="A1973" s="19" t="inlineStr">
        <is>
          <t>FY27</t>
        </is>
      </c>
      <c r="B1973" s="19" t="inlineStr">
        <is>
          <t>Apr</t>
        </is>
      </c>
      <c r="C1973" s="19" t="inlineStr">
        <is>
          <t>Kerala</t>
        </is>
      </c>
      <c r="D1973" s="20" t="inlineStr">
        <is>
          <t>KL67B1800</t>
        </is>
      </c>
      <c r="E1973" s="20" t="inlineStr">
        <is>
          <t>HYUNDAI</t>
        </is>
      </c>
      <c r="F1973" s="20" t="inlineStr">
        <is>
          <t>Verna</t>
        </is>
      </c>
      <c r="G1973" s="21" t="n"/>
      <c r="H1973" s="22" t="n">
        <v>88281</v>
      </c>
      <c r="I1973" s="22" t="n">
        <v>440000</v>
      </c>
      <c r="J1973" s="20" t="inlineStr">
        <is>
          <t>KESHVIN HYUNDAI</t>
        </is>
      </c>
      <c r="K1973" s="20" t="inlineStr">
        <is>
          <t>Non-Captive</t>
        </is>
      </c>
      <c r="L1973" s="20" t="inlineStr">
        <is>
          <t>HUSSAIN O E</t>
        </is>
      </c>
      <c r="M1973" s="23" t="n">
        <v>8474.58</v>
      </c>
    </row>
    <row r="1974">
      <c r="A1974" s="19" t="inlineStr">
        <is>
          <t>FY27</t>
        </is>
      </c>
      <c r="B1974" s="19" t="inlineStr">
        <is>
          <t>Apr</t>
        </is>
      </c>
      <c r="C1974" s="19" t="inlineStr">
        <is>
          <t>Kerala</t>
        </is>
      </c>
      <c r="D1974" s="20" t="inlineStr">
        <is>
          <t>KL315638</t>
        </is>
      </c>
      <c r="E1974" s="20" t="inlineStr">
        <is>
          <t>nan</t>
        </is>
      </c>
      <c r="F1974" s="20" t="inlineStr">
        <is>
          <t>nan</t>
        </is>
      </c>
      <c r="G1974" s="21" t="n"/>
      <c r="H1974" s="22" t="n">
        <v>300000</v>
      </c>
      <c r="I1974" s="22" t="n">
        <v>170000</v>
      </c>
      <c r="J1974" s="20" t="inlineStr"/>
      <c r="K1974" s="20" t="inlineStr">
        <is>
          <t>Non-Captive</t>
        </is>
      </c>
      <c r="L1974" s="20" t="inlineStr">
        <is>
          <t>SAJITH.LEAPS TRUACKS</t>
        </is>
      </c>
      <c r="M1974" s="23" t="n">
        <v>5084.75</v>
      </c>
    </row>
    <row r="1975">
      <c r="A1975" s="19" t="inlineStr">
        <is>
          <t>FY27</t>
        </is>
      </c>
      <c r="B1975" s="19" t="inlineStr">
        <is>
          <t>Apr</t>
        </is>
      </c>
      <c r="C1975" s="19" t="inlineStr">
        <is>
          <t>Kerala</t>
        </is>
      </c>
      <c r="D1975" s="20" t="inlineStr">
        <is>
          <t>KL16Q5004</t>
        </is>
      </c>
      <c r="E1975" s="20" t="inlineStr">
        <is>
          <t>NISSAN</t>
        </is>
      </c>
      <c r="F1975" s="20" t="inlineStr">
        <is>
          <t>Terrano</t>
        </is>
      </c>
      <c r="G1975" s="21" t="n"/>
      <c r="H1975" s="22" t="n">
        <v>147905</v>
      </c>
      <c r="I1975" s="22" t="n">
        <v>365000</v>
      </c>
      <c r="J1975" s="20" t="inlineStr">
        <is>
          <t>ALBIN</t>
        </is>
      </c>
      <c r="K1975" s="20" t="inlineStr">
        <is>
          <t>Non-Captive</t>
        </is>
      </c>
      <c r="L1975" s="20" t="inlineStr">
        <is>
          <t>RAFEEK T A</t>
        </is>
      </c>
      <c r="M1975" s="23" t="n">
        <v>8474.58</v>
      </c>
    </row>
    <row r="1976">
      <c r="A1976" s="19" t="inlineStr">
        <is>
          <t>FY27</t>
        </is>
      </c>
      <c r="B1976" s="19" t="inlineStr">
        <is>
          <t>Apr</t>
        </is>
      </c>
      <c r="C1976" s="19" t="inlineStr">
        <is>
          <t>Kerala</t>
        </is>
      </c>
      <c r="D1976" s="20" t="inlineStr">
        <is>
          <t>KL08BK5112</t>
        </is>
      </c>
      <c r="E1976" s="20" t="inlineStr">
        <is>
          <t>FORD</t>
        </is>
      </c>
      <c r="F1976" s="20" t="inlineStr">
        <is>
          <t>Ecosport</t>
        </is>
      </c>
      <c r="G1976" s="21" t="n"/>
      <c r="H1976" s="22" t="n">
        <v>61566</v>
      </c>
      <c r="I1976" s="22" t="n">
        <v>450000</v>
      </c>
      <c r="J1976" s="20" t="inlineStr">
        <is>
          <t>POPULAR MARUTI</t>
        </is>
      </c>
      <c r="K1976" s="20" t="inlineStr">
        <is>
          <t>Non-Captive</t>
        </is>
      </c>
      <c r="L1976" s="20" t="inlineStr">
        <is>
          <t>AITOS CARS</t>
        </is>
      </c>
      <c r="M1976" s="23" t="n">
        <v>8474.58</v>
      </c>
    </row>
    <row r="1977">
      <c r="A1977" s="19" t="inlineStr">
        <is>
          <t>FY27</t>
        </is>
      </c>
      <c r="B1977" s="19" t="inlineStr">
        <is>
          <t>Apr</t>
        </is>
      </c>
      <c r="C1977" s="19" t="inlineStr">
        <is>
          <t>Kerala</t>
        </is>
      </c>
      <c r="D1977" s="20" t="inlineStr">
        <is>
          <t>KL43N1212</t>
        </is>
      </c>
      <c r="E1977" s="20" t="inlineStr">
        <is>
          <t>KIA</t>
        </is>
      </c>
      <c r="F1977" s="20" t="inlineStr">
        <is>
          <t>Seltos</t>
        </is>
      </c>
      <c r="G1977" s="21" t="n"/>
      <c r="H1977" s="22" t="n">
        <v>49000</v>
      </c>
      <c r="I1977" s="22" t="n">
        <v>813000</v>
      </c>
      <c r="J1977" s="20" t="inlineStr">
        <is>
          <t>LUXON TATA</t>
        </is>
      </c>
      <c r="K1977" s="20" t="inlineStr">
        <is>
          <t>Non-Captive</t>
        </is>
      </c>
      <c r="L1977" s="20" t="inlineStr">
        <is>
          <t>HAVEN MOTORS</t>
        </is>
      </c>
      <c r="M1977" s="23" t="n">
        <v>8474.58</v>
      </c>
    </row>
    <row r="1978">
      <c r="A1978" s="19" t="inlineStr">
        <is>
          <t>FY27</t>
        </is>
      </c>
      <c r="B1978" s="19" t="inlineStr">
        <is>
          <t>Apr</t>
        </is>
      </c>
      <c r="C1978" s="19" t="inlineStr">
        <is>
          <t>Kerala</t>
        </is>
      </c>
      <c r="D1978" s="20" t="inlineStr">
        <is>
          <t>KL07BG9678</t>
        </is>
      </c>
      <c r="E1978" s="20" t="inlineStr">
        <is>
          <t>MARUTI SUZUKI</t>
        </is>
      </c>
      <c r="F1978" s="20" t="inlineStr">
        <is>
          <t>Estilo</t>
        </is>
      </c>
      <c r="G1978" s="21" t="n"/>
      <c r="H1978" s="22" t="n">
        <v>424552</v>
      </c>
      <c r="I1978" s="22" t="n">
        <v>55000</v>
      </c>
      <c r="J1978" s="20" t="inlineStr">
        <is>
          <t>POPULAR MARUTI</t>
        </is>
      </c>
      <c r="K1978" s="20" t="inlineStr">
        <is>
          <t>Non-Captive</t>
        </is>
      </c>
      <c r="L1978" s="20" t="inlineStr">
        <is>
          <t>ANAS VH</t>
        </is>
      </c>
      <c r="M1978" s="23" t="n">
        <v>8474.58</v>
      </c>
    </row>
    <row r="1979">
      <c r="A1979" s="19" t="inlineStr">
        <is>
          <t>FY27</t>
        </is>
      </c>
      <c r="B1979" s="19" t="inlineStr">
        <is>
          <t>Apr</t>
        </is>
      </c>
      <c r="C1979" s="19" t="inlineStr">
        <is>
          <t>Kerala</t>
        </is>
      </c>
      <c r="D1979" s="20" t="inlineStr">
        <is>
          <t>KL07CR9102</t>
        </is>
      </c>
      <c r="E1979" s="20" t="inlineStr">
        <is>
          <t>HONDA</t>
        </is>
      </c>
      <c r="F1979" s="20" t="inlineStr">
        <is>
          <t>Amaze</t>
        </is>
      </c>
      <c r="G1979" s="21" t="n"/>
      <c r="H1979" s="22" t="n">
        <v>62000</v>
      </c>
      <c r="I1979" s="22" t="n">
        <v>420000</v>
      </c>
      <c r="J1979" s="20" t="inlineStr">
        <is>
          <t>CARNIVAL CARS</t>
        </is>
      </c>
      <c r="K1979" s="20" t="inlineStr">
        <is>
          <t>Non-Captive</t>
        </is>
      </c>
      <c r="L1979" s="20" t="inlineStr">
        <is>
          <t>VTJ</t>
        </is>
      </c>
      <c r="M1979" s="23" t="n">
        <v>8474.58</v>
      </c>
    </row>
    <row r="1980">
      <c r="A1980" s="19" t="inlineStr">
        <is>
          <t>FY27</t>
        </is>
      </c>
      <c r="B1980" s="19" t="inlineStr">
        <is>
          <t>Apr</t>
        </is>
      </c>
      <c r="C1980" s="19" t="inlineStr">
        <is>
          <t>Kerala</t>
        </is>
      </c>
      <c r="D1980" s="20" t="inlineStr">
        <is>
          <t>KL58J8563</t>
        </is>
      </c>
      <c r="E1980" s="20" t="inlineStr">
        <is>
          <t>HYUNDAI</t>
        </is>
      </c>
      <c r="F1980" s="20" t="inlineStr">
        <is>
          <t>Eon</t>
        </is>
      </c>
      <c r="G1980" s="21" t="n">
        <v>2013</v>
      </c>
      <c r="H1980" s="22" t="n">
        <v>63000</v>
      </c>
      <c r="I1980" s="22" t="n">
        <v>135000</v>
      </c>
      <c r="J1980" s="20" t="inlineStr">
        <is>
          <t>KANNUR PLATINUM</t>
        </is>
      </c>
      <c r="K1980" s="20" t="inlineStr">
        <is>
          <t>Non-Captive</t>
        </is>
      </c>
      <c r="L1980" s="20" t="inlineStr">
        <is>
          <t>PRJOSH</t>
        </is>
      </c>
      <c r="M1980" s="23" t="n">
        <v>4237.29</v>
      </c>
    </row>
    <row r="1981">
      <c r="A1981" s="19" t="inlineStr">
        <is>
          <t>FY27</t>
        </is>
      </c>
      <c r="B1981" s="19" t="inlineStr">
        <is>
          <t>Apr</t>
        </is>
      </c>
      <c r="C1981" s="19" t="inlineStr">
        <is>
          <t>Kerala</t>
        </is>
      </c>
      <c r="D1981" s="20" t="inlineStr">
        <is>
          <t>KL58Q5944</t>
        </is>
      </c>
      <c r="E1981" s="20" t="inlineStr">
        <is>
          <t>MARUTI SUZUKI</t>
        </is>
      </c>
      <c r="F1981" s="20" t="inlineStr">
        <is>
          <t>Swift</t>
        </is>
      </c>
      <c r="G1981" s="21" t="n">
        <v>2015</v>
      </c>
      <c r="H1981" s="22" t="n">
        <v>51000</v>
      </c>
      <c r="I1981" s="22" t="n">
        <v>325000</v>
      </c>
      <c r="J1981" s="20" t="inlineStr">
        <is>
          <t>SARITH AUTOBOT</t>
        </is>
      </c>
      <c r="K1981" s="20" t="inlineStr">
        <is>
          <t>Non-Captive</t>
        </is>
      </c>
      <c r="L1981" s="20" t="inlineStr">
        <is>
          <t>APCO HYUNDAI</t>
        </is>
      </c>
      <c r="M1981" s="23" t="n">
        <v>5932.2</v>
      </c>
    </row>
    <row r="1982">
      <c r="A1982" s="19" t="inlineStr">
        <is>
          <t>FY27</t>
        </is>
      </c>
      <c r="B1982" s="19" t="inlineStr">
        <is>
          <t>Apr</t>
        </is>
      </c>
      <c r="C1982" s="19" t="inlineStr">
        <is>
          <t>Kerala</t>
        </is>
      </c>
      <c r="D1982" s="20" t="inlineStr">
        <is>
          <t>KL58X7315</t>
        </is>
      </c>
      <c r="E1982" s="20" t="inlineStr">
        <is>
          <t>MARUTI SUZUKI</t>
        </is>
      </c>
      <c r="F1982" s="20" t="inlineStr">
        <is>
          <t>Ignis</t>
        </is>
      </c>
      <c r="G1982" s="21" t="n">
        <v>2018</v>
      </c>
      <c r="H1982" s="22" t="n">
        <v>55000</v>
      </c>
      <c r="I1982" s="22" t="n">
        <v>390000</v>
      </c>
      <c r="J1982" s="20" t="inlineStr">
        <is>
          <t>PRAJOSH</t>
        </is>
      </c>
      <c r="K1982" s="20" t="inlineStr">
        <is>
          <t>Non-Captive</t>
        </is>
      </c>
      <c r="L1982" s="20" t="inlineStr">
        <is>
          <t>TOYOTA FINANCE</t>
        </is>
      </c>
      <c r="M1982" s="23" t="n">
        <v>4237.29</v>
      </c>
    </row>
    <row r="1983">
      <c r="A1983" s="19" t="inlineStr">
        <is>
          <t>FY27</t>
        </is>
      </c>
      <c r="B1983" s="19" t="inlineStr">
        <is>
          <t>Apr</t>
        </is>
      </c>
      <c r="C1983" s="19" t="inlineStr">
        <is>
          <t>Kerala</t>
        </is>
      </c>
      <c r="D1983" s="20" t="inlineStr">
        <is>
          <t>KL60P4478</t>
        </is>
      </c>
      <c r="E1983" s="20" t="inlineStr">
        <is>
          <t>TATA</t>
        </is>
      </c>
      <c r="F1983" s="20" t="inlineStr">
        <is>
          <t>Tiago</t>
        </is>
      </c>
      <c r="G1983" s="21" t="n">
        <v>2018</v>
      </c>
      <c r="H1983" s="22" t="n">
        <v>65000</v>
      </c>
      <c r="I1983" s="22" t="n">
        <v>255000</v>
      </c>
      <c r="J1983" s="20" t="inlineStr">
        <is>
          <t>PRAJOSH</t>
        </is>
      </c>
      <c r="K1983" s="20" t="inlineStr">
        <is>
          <t>Non-Captive</t>
        </is>
      </c>
      <c r="L1983" s="20" t="inlineStr">
        <is>
          <t>KVR TATA</t>
        </is>
      </c>
      <c r="M1983" s="23" t="n">
        <v>4237.29</v>
      </c>
    </row>
    <row r="1984">
      <c r="A1984" s="19" t="inlineStr">
        <is>
          <t>FY27</t>
        </is>
      </c>
      <c r="B1984" s="19" t="inlineStr">
        <is>
          <t>Apr</t>
        </is>
      </c>
      <c r="C1984" s="19" t="inlineStr">
        <is>
          <t>Kerala</t>
        </is>
      </c>
      <c r="D1984" s="20" t="inlineStr">
        <is>
          <t>KL266452</t>
        </is>
      </c>
      <c r="E1984" s="20" t="inlineStr">
        <is>
          <t>MARUTI SUZUKI</t>
        </is>
      </c>
      <c r="F1984" s="20" t="inlineStr">
        <is>
          <t>Alto</t>
        </is>
      </c>
      <c r="G1984" s="21" t="n"/>
      <c r="H1984" s="22" t="n">
        <v>102000</v>
      </c>
      <c r="I1984" s="22" t="n">
        <v>30000</v>
      </c>
      <c r="J1984" s="20" t="inlineStr">
        <is>
          <t>SANTHOSH</t>
        </is>
      </c>
      <c r="K1984" s="20" t="inlineStr">
        <is>
          <t>Non-Captive</t>
        </is>
      </c>
      <c r="L1984" s="20" t="inlineStr">
        <is>
          <t>POPULAR MARUTI</t>
        </is>
      </c>
      <c r="M1984" s="23" t="n">
        <v>4237.29</v>
      </c>
    </row>
    <row r="1985">
      <c r="A1985" s="19" t="inlineStr">
        <is>
          <t>FY27</t>
        </is>
      </c>
      <c r="B1985" s="19" t="inlineStr">
        <is>
          <t>Apr</t>
        </is>
      </c>
      <c r="C1985" s="19" t="inlineStr">
        <is>
          <t>Kerala</t>
        </is>
      </c>
      <c r="D1985" s="20" t="inlineStr">
        <is>
          <t>KL195397</t>
        </is>
      </c>
      <c r="E1985" s="20" t="inlineStr">
        <is>
          <t>MARUTI SUZUKI</t>
        </is>
      </c>
      <c r="F1985" s="20" t="inlineStr">
        <is>
          <t>Wagon R</t>
        </is>
      </c>
      <c r="G1985" s="21" t="n"/>
      <c r="H1985" s="22" t="n">
        <v>100300</v>
      </c>
      <c r="I1985" s="22" t="n">
        <v>55000</v>
      </c>
      <c r="J1985" s="20" t="inlineStr">
        <is>
          <t>MUHSIN</t>
        </is>
      </c>
      <c r="K1985" s="20" t="inlineStr">
        <is>
          <t>Non-Captive</t>
        </is>
      </c>
      <c r="L1985" s="20" t="inlineStr">
        <is>
          <t>PPS KIA</t>
        </is>
      </c>
      <c r="M1985" s="23" t="n">
        <v>4237.29</v>
      </c>
    </row>
    <row r="1986">
      <c r="A1986" s="19" t="inlineStr">
        <is>
          <t>FY27</t>
        </is>
      </c>
      <c r="B1986" s="19" t="inlineStr">
        <is>
          <t>Apr</t>
        </is>
      </c>
      <c r="C1986" s="19" t="inlineStr">
        <is>
          <t>Kerala</t>
        </is>
      </c>
      <c r="D1986" s="20" t="inlineStr">
        <is>
          <t>KL24U8812</t>
        </is>
      </c>
      <c r="E1986" s="20" t="inlineStr">
        <is>
          <t>HYUNDAI</t>
        </is>
      </c>
      <c r="F1986" s="20" t="inlineStr">
        <is>
          <t>Venue</t>
        </is>
      </c>
      <c r="G1986" s="21" t="n"/>
      <c r="H1986" s="22" t="n">
        <v>39887</v>
      </c>
      <c r="I1986" s="22" t="n">
        <v>650000</v>
      </c>
      <c r="J1986" s="20" t="inlineStr">
        <is>
          <t>SAIDALI</t>
        </is>
      </c>
      <c r="K1986" s="20" t="inlineStr">
        <is>
          <t>Non-Captive</t>
        </is>
      </c>
      <c r="L1986" s="20" t="inlineStr">
        <is>
          <t>INDUS MARUTI</t>
        </is>
      </c>
      <c r="M1986" s="23" t="n">
        <v>5932.2</v>
      </c>
    </row>
    <row r="1987">
      <c r="A1987" s="19" t="inlineStr">
        <is>
          <t>FY27</t>
        </is>
      </c>
      <c r="B1987" s="19" t="inlineStr">
        <is>
          <t>Apr</t>
        </is>
      </c>
      <c r="C1987" s="19" t="inlineStr">
        <is>
          <t>Kerala</t>
        </is>
      </c>
      <c r="D1987" s="20" t="inlineStr">
        <is>
          <t>KL16J8335</t>
        </is>
      </c>
      <c r="E1987" s="20" t="inlineStr">
        <is>
          <t>VOLKSWAGEN</t>
        </is>
      </c>
      <c r="F1987" s="20" t="inlineStr">
        <is>
          <t>Polo</t>
        </is>
      </c>
      <c r="G1987" s="21" t="n"/>
      <c r="H1987" s="22" t="n">
        <v>87993</v>
      </c>
      <c r="I1987" s="22" t="n">
        <v>175000</v>
      </c>
      <c r="J1987" s="20" t="inlineStr">
        <is>
          <t>VARUN</t>
        </is>
      </c>
      <c r="K1987" s="20" t="inlineStr">
        <is>
          <t>Non-Captive</t>
        </is>
      </c>
      <c r="L1987" s="20" t="inlineStr">
        <is>
          <t>ANOOP</t>
        </is>
      </c>
      <c r="M1987" s="23" t="n">
        <v>5932.2</v>
      </c>
    </row>
    <row r="1988">
      <c r="A1988" s="19" t="inlineStr">
        <is>
          <t>FY27</t>
        </is>
      </c>
      <c r="B1988" s="19" t="inlineStr">
        <is>
          <t>Apr</t>
        </is>
      </c>
      <c r="C1988" s="19" t="inlineStr">
        <is>
          <t>Kerala</t>
        </is>
      </c>
      <c r="D1988" s="20" t="inlineStr">
        <is>
          <t>KL02S3932</t>
        </is>
      </c>
      <c r="E1988" s="20" t="inlineStr">
        <is>
          <t>MARUTI SUZUKI</t>
        </is>
      </c>
      <c r="F1988" s="20" t="inlineStr">
        <is>
          <t>Alto</t>
        </is>
      </c>
      <c r="G1988" s="21" t="n"/>
      <c r="H1988" s="22" t="n">
        <v>87012</v>
      </c>
      <c r="I1988" s="22" t="n">
        <v>35000</v>
      </c>
      <c r="J1988" s="20" t="inlineStr">
        <is>
          <t>MITHUN BABU</t>
        </is>
      </c>
      <c r="K1988" s="20" t="inlineStr">
        <is>
          <t>Non-Captive</t>
        </is>
      </c>
      <c r="L1988" s="20" t="inlineStr">
        <is>
          <t>AKHILNATH</t>
        </is>
      </c>
      <c r="M1988" s="23" t="n">
        <v>4237.29</v>
      </c>
    </row>
    <row r="1989">
      <c r="A1989" s="19" t="inlineStr">
        <is>
          <t>FY27</t>
        </is>
      </c>
      <c r="B1989" s="19" t="inlineStr">
        <is>
          <t>Apr</t>
        </is>
      </c>
      <c r="C1989" s="19" t="inlineStr">
        <is>
          <t>Kerala</t>
        </is>
      </c>
      <c r="D1989" s="20" t="inlineStr">
        <is>
          <t>KL18X0919</t>
        </is>
      </c>
      <c r="E1989" s="20" t="inlineStr">
        <is>
          <t>MARUTI SUZUKI</t>
        </is>
      </c>
      <c r="F1989" s="20" t="inlineStr">
        <is>
          <t>Brezza</t>
        </is>
      </c>
      <c r="G1989" s="21" t="n">
        <v>2019</v>
      </c>
      <c r="H1989" s="22" t="n">
        <v>130000</v>
      </c>
      <c r="I1989" s="22" t="n">
        <v>610000</v>
      </c>
      <c r="J1989" s="20" t="inlineStr">
        <is>
          <t>FAHAD TOKYO CARS</t>
        </is>
      </c>
      <c r="K1989" s="20" t="inlineStr">
        <is>
          <t>Non-Captive</t>
        </is>
      </c>
      <c r="L1989" s="20" t="inlineStr">
        <is>
          <t>AMANA TOYOTA</t>
        </is>
      </c>
      <c r="M1989" s="23" t="n">
        <v>6779.66</v>
      </c>
    </row>
    <row r="1990">
      <c r="A1990" s="19" t="inlineStr">
        <is>
          <t>FY27</t>
        </is>
      </c>
      <c r="B1990" s="19" t="inlineStr">
        <is>
          <t>Apr</t>
        </is>
      </c>
      <c r="C1990" s="19" t="inlineStr">
        <is>
          <t>Kerala</t>
        </is>
      </c>
      <c r="D1990" s="20" t="inlineStr">
        <is>
          <t>KL60S4874</t>
        </is>
      </c>
      <c r="E1990" s="20" t="inlineStr">
        <is>
          <t>MARUTI SUZUKI</t>
        </is>
      </c>
      <c r="F1990" s="20" t="inlineStr">
        <is>
          <t>Alto</t>
        </is>
      </c>
      <c r="G1990" s="21" t="n">
        <v>2021</v>
      </c>
      <c r="H1990" s="22" t="n">
        <v>52000</v>
      </c>
      <c r="I1990" s="22" t="n">
        <v>280000</v>
      </c>
      <c r="J1990" s="20" t="inlineStr">
        <is>
          <t>FAHAD TOKYO CARS</t>
        </is>
      </c>
      <c r="K1990" s="20" t="inlineStr">
        <is>
          <t>Non-Captive</t>
        </is>
      </c>
      <c r="L1990" s="20" t="inlineStr">
        <is>
          <t>SHAJEE CARS</t>
        </is>
      </c>
      <c r="M1990" s="23" t="n">
        <v>5932.2</v>
      </c>
    </row>
    <row r="1991">
      <c r="A1991" s="19" t="inlineStr">
        <is>
          <t>FY27</t>
        </is>
      </c>
      <c r="B1991" s="19" t="inlineStr">
        <is>
          <t>Apr</t>
        </is>
      </c>
      <c r="C1991" s="19" t="inlineStr">
        <is>
          <t>Kerala</t>
        </is>
      </c>
      <c r="D1991" s="20" t="inlineStr">
        <is>
          <t>KL42N2145</t>
        </is>
      </c>
      <c r="E1991" s="20" t="inlineStr">
        <is>
          <t>HONDA</t>
        </is>
      </c>
      <c r="F1991" s="20" t="inlineStr">
        <is>
          <t>Jazz</t>
        </is>
      </c>
      <c r="G1991" s="21" t="n">
        <v>2017</v>
      </c>
      <c r="H1991" s="22" t="n">
        <v>57000</v>
      </c>
      <c r="I1991" s="22" t="n">
        <v>390000</v>
      </c>
      <c r="J1991" s="20" t="inlineStr">
        <is>
          <t>SANOOP KM</t>
        </is>
      </c>
      <c r="K1991" s="20" t="inlineStr">
        <is>
          <t>Non-Captive</t>
        </is>
      </c>
      <c r="L1991" s="20" t="inlineStr">
        <is>
          <t>UCD SANTHOSH</t>
        </is>
      </c>
      <c r="M1991" s="23" t="n">
        <v>8474.58</v>
      </c>
    </row>
    <row r="1992">
      <c r="A1992" s="19" t="inlineStr">
        <is>
          <t>FY27</t>
        </is>
      </c>
      <c r="B1992" s="19" t="inlineStr">
        <is>
          <t>Apr</t>
        </is>
      </c>
      <c r="C1992" s="19" t="inlineStr">
        <is>
          <t>Kerala</t>
        </is>
      </c>
      <c r="D1992" s="20" t="inlineStr">
        <is>
          <t>KL64D9669</t>
        </is>
      </c>
      <c r="E1992" s="20" t="inlineStr">
        <is>
          <t>HYUNDAI</t>
        </is>
      </c>
      <c r="F1992" s="20" t="inlineStr">
        <is>
          <t>I20</t>
        </is>
      </c>
      <c r="G1992" s="21" t="n"/>
      <c r="H1992" s="22" t="n">
        <v>77000</v>
      </c>
      <c r="I1992" s="22" t="n">
        <v>390000</v>
      </c>
      <c r="J1992" s="20" t="inlineStr">
        <is>
          <t>POPULAR HYUNDAI</t>
        </is>
      </c>
      <c r="K1992" s="20" t="inlineStr">
        <is>
          <t>Non-Captive</t>
        </is>
      </c>
      <c r="L1992" s="20" t="inlineStr">
        <is>
          <t>AITOS CARS</t>
        </is>
      </c>
      <c r="M1992" s="23" t="n">
        <v>8474.58</v>
      </c>
    </row>
    <row r="1993">
      <c r="A1993" s="19" t="inlineStr">
        <is>
          <t>FY27</t>
        </is>
      </c>
      <c r="B1993" s="19" t="inlineStr">
        <is>
          <t>Apr</t>
        </is>
      </c>
      <c r="C1993" s="19" t="inlineStr">
        <is>
          <t>Kerala</t>
        </is>
      </c>
      <c r="D1993" s="20" t="inlineStr">
        <is>
          <t>KL45N0567</t>
        </is>
      </c>
      <c r="E1993" s="20" t="inlineStr">
        <is>
          <t>MARUTI SUZUKI</t>
        </is>
      </c>
      <c r="F1993" s="20" t="inlineStr">
        <is>
          <t>Baleno</t>
        </is>
      </c>
      <c r="G1993" s="21" t="n"/>
      <c r="H1993" s="22" t="n">
        <v>111066</v>
      </c>
      <c r="I1993" s="22" t="n">
        <v>390000</v>
      </c>
      <c r="J1993" s="20" t="inlineStr">
        <is>
          <t>POPULAR MARUTI</t>
        </is>
      </c>
      <c r="K1993" s="20" t="inlineStr">
        <is>
          <t>Non-Captive</t>
        </is>
      </c>
      <c r="L1993" s="20" t="inlineStr">
        <is>
          <t>AITOS CARS</t>
        </is>
      </c>
      <c r="M1993" s="23" t="n">
        <v>8474.58</v>
      </c>
    </row>
    <row r="1994">
      <c r="A1994" s="19" t="inlineStr">
        <is>
          <t>FY27</t>
        </is>
      </c>
      <c r="B1994" s="19" t="inlineStr">
        <is>
          <t>Apr</t>
        </is>
      </c>
      <c r="C1994" s="19" t="inlineStr">
        <is>
          <t>Kerala</t>
        </is>
      </c>
      <c r="D1994" s="20" t="inlineStr">
        <is>
          <t>KL69A6226</t>
        </is>
      </c>
      <c r="E1994" s="20" t="inlineStr">
        <is>
          <t>MARUTI SUZUKI</t>
        </is>
      </c>
      <c r="F1994" s="20" t="inlineStr">
        <is>
          <t>Baleno</t>
        </is>
      </c>
      <c r="G1994" s="21" t="n"/>
      <c r="H1994" s="22" t="n">
        <v>138000</v>
      </c>
      <c r="I1994" s="22" t="n">
        <v>390000</v>
      </c>
      <c r="J1994" s="20" t="inlineStr">
        <is>
          <t>AUTOMOTIVE MAHINDRA</t>
        </is>
      </c>
      <c r="K1994" s="20" t="inlineStr">
        <is>
          <t>Non-Captive</t>
        </is>
      </c>
      <c r="L1994" s="20" t="inlineStr">
        <is>
          <t>AITOS CARS</t>
        </is>
      </c>
      <c r="M1994" s="23" t="n">
        <v>8474.58</v>
      </c>
    </row>
    <row r="1995">
      <c r="A1995" s="19" t="inlineStr">
        <is>
          <t>FY27</t>
        </is>
      </c>
      <c r="B1995" s="19" t="inlineStr">
        <is>
          <t>Apr</t>
        </is>
      </c>
      <c r="C1995" s="19" t="inlineStr">
        <is>
          <t>Kerala</t>
        </is>
      </c>
      <c r="D1995" s="20" t="inlineStr">
        <is>
          <t>KL48F8181</t>
        </is>
      </c>
      <c r="E1995" s="20" t="inlineStr">
        <is>
          <t>FORD</t>
        </is>
      </c>
      <c r="F1995" s="20" t="inlineStr">
        <is>
          <t>Aspire</t>
        </is>
      </c>
      <c r="G1995" s="21" t="n"/>
      <c r="H1995" s="22" t="n">
        <v>93500</v>
      </c>
      <c r="I1995" s="22" t="n">
        <v>350000</v>
      </c>
      <c r="J1995" s="20" t="inlineStr">
        <is>
          <t>PHOENIX VOLKSWAGEN</t>
        </is>
      </c>
      <c r="K1995" s="20" t="inlineStr">
        <is>
          <t>Non-Captive</t>
        </is>
      </c>
      <c r="L1995" s="20" t="inlineStr">
        <is>
          <t>UMESHKUMAR T U</t>
        </is>
      </c>
      <c r="M1995" s="23" t="n">
        <v>8474.58</v>
      </c>
    </row>
    <row r="1996">
      <c r="A1996" s="19" t="inlineStr">
        <is>
          <t>FY27</t>
        </is>
      </c>
      <c r="B1996" s="19" t="inlineStr">
        <is>
          <t>Apr</t>
        </is>
      </c>
      <c r="C1996" s="19" t="inlineStr">
        <is>
          <t>Kerala</t>
        </is>
      </c>
      <c r="D1996" s="20" t="inlineStr">
        <is>
          <t>KL01AV9428</t>
        </is>
      </c>
      <c r="E1996" s="20" t="inlineStr">
        <is>
          <t>MARUTI SUZUKI</t>
        </is>
      </c>
      <c r="F1996" s="20" t="inlineStr">
        <is>
          <t>Estilo</t>
        </is>
      </c>
      <c r="G1996" s="21" t="n"/>
      <c r="H1996" s="22" t="n">
        <v>40000</v>
      </c>
      <c r="I1996" s="22" t="n">
        <v>20000</v>
      </c>
      <c r="J1996" s="20" t="inlineStr">
        <is>
          <t>ABHISHEK</t>
        </is>
      </c>
      <c r="K1996" s="20" t="inlineStr">
        <is>
          <t>Non-Captive</t>
        </is>
      </c>
      <c r="L1996" s="20" t="inlineStr">
        <is>
          <t>TOYOTA FINANCE</t>
        </is>
      </c>
      <c r="M1996" s="23" t="n">
        <v>4237.29</v>
      </c>
    </row>
    <row r="1997">
      <c r="A1997" s="19" t="inlineStr">
        <is>
          <t>FY27</t>
        </is>
      </c>
      <c r="B1997" s="19" t="inlineStr">
        <is>
          <t>Apr</t>
        </is>
      </c>
      <c r="C1997" s="19" t="inlineStr">
        <is>
          <t>Kerala</t>
        </is>
      </c>
      <c r="D1997" s="20" t="inlineStr">
        <is>
          <t>KL01W9612</t>
        </is>
      </c>
      <c r="E1997" s="20" t="inlineStr">
        <is>
          <t>MARUTI SUZUKI</t>
        </is>
      </c>
      <c r="F1997" s="20" t="inlineStr">
        <is>
          <t>Alto</t>
        </is>
      </c>
      <c r="G1997" s="21" t="n"/>
      <c r="H1997" s="22" t="n">
        <v>50000</v>
      </c>
      <c r="I1997" s="22" t="n">
        <v>15000</v>
      </c>
      <c r="J1997" s="20" t="inlineStr">
        <is>
          <t>KISHORE</t>
        </is>
      </c>
      <c r="K1997" s="20" t="inlineStr">
        <is>
          <t>Non-Captive</t>
        </is>
      </c>
      <c r="L1997" s="20" t="inlineStr">
        <is>
          <t>POPULAR MARUTI</t>
        </is>
      </c>
      <c r="M1997" s="23" t="n">
        <v>4237.29</v>
      </c>
    </row>
    <row r="1998">
      <c r="A1998" s="19" t="inlineStr">
        <is>
          <t>FY27</t>
        </is>
      </c>
      <c r="B1998" s="19" t="inlineStr">
        <is>
          <t>Apr</t>
        </is>
      </c>
      <c r="C1998" s="19" t="inlineStr">
        <is>
          <t>Kerala</t>
        </is>
      </c>
      <c r="D1998" s="20" t="inlineStr">
        <is>
          <t>KL42L4225</t>
        </is>
      </c>
      <c r="E1998" s="20" t="inlineStr">
        <is>
          <t>HYUNDAI</t>
        </is>
      </c>
      <c r="F1998" s="20" t="inlineStr">
        <is>
          <t>Eon</t>
        </is>
      </c>
      <c r="G1998" s="21" t="n"/>
      <c r="H1998" s="22" t="n">
        <v>92078</v>
      </c>
      <c r="I1998" s="22" t="n">
        <v>120000</v>
      </c>
      <c r="J1998" s="20" t="inlineStr">
        <is>
          <t>POPULAR MARUTI</t>
        </is>
      </c>
      <c r="K1998" s="20" t="inlineStr">
        <is>
          <t>Non-Captive</t>
        </is>
      </c>
      <c r="L1998" s="20" t="inlineStr">
        <is>
          <t>SHAMEER V H</t>
        </is>
      </c>
      <c r="M1998" s="23" t="n">
        <v>8474.58</v>
      </c>
    </row>
    <row r="1999">
      <c r="A1999" s="19" t="inlineStr">
        <is>
          <t>FY27</t>
        </is>
      </c>
      <c r="B1999" s="19" t="inlineStr">
        <is>
          <t>Apr</t>
        </is>
      </c>
      <c r="C1999" s="19" t="inlineStr">
        <is>
          <t>Kerala</t>
        </is>
      </c>
      <c r="D1999" s="20" t="inlineStr">
        <is>
          <t>KL40V5629</t>
        </is>
      </c>
      <c r="E1999" s="20" t="inlineStr">
        <is>
          <t>TATA</t>
        </is>
      </c>
      <c r="F1999" s="20" t="inlineStr">
        <is>
          <t>Nexon</t>
        </is>
      </c>
      <c r="G1999" s="21" t="n"/>
      <c r="H1999" s="22" t="n">
        <v>6500</v>
      </c>
      <c r="I1999" s="22" t="n">
        <v>740000</v>
      </c>
      <c r="J1999" s="20" t="inlineStr">
        <is>
          <t>GOKULAM TATA</t>
        </is>
      </c>
      <c r="K1999" s="20" t="inlineStr">
        <is>
          <t>Non-Captive</t>
        </is>
      </c>
      <c r="L1999" s="20" t="inlineStr">
        <is>
          <t>AITOS CARS</t>
        </is>
      </c>
      <c r="M1999" s="23" t="n">
        <v>8474.58</v>
      </c>
    </row>
    <row r="2000">
      <c r="A2000" s="19" t="inlineStr">
        <is>
          <t>FY27</t>
        </is>
      </c>
      <c r="B2000" s="19" t="inlineStr">
        <is>
          <t>Apr</t>
        </is>
      </c>
      <c r="C2000" s="19" t="inlineStr">
        <is>
          <t>Kerala</t>
        </is>
      </c>
      <c r="D2000" s="20" t="inlineStr">
        <is>
          <t>KL07BS0732</t>
        </is>
      </c>
      <c r="E2000" s="20" t="inlineStr">
        <is>
          <t>MARUTI SUZUKI</t>
        </is>
      </c>
      <c r="F2000" s="20" t="inlineStr">
        <is>
          <t>Eeco</t>
        </is>
      </c>
      <c r="G2000" s="21" t="n"/>
      <c r="H2000" s="22" t="n">
        <v>176000</v>
      </c>
      <c r="I2000" s="22" t="n">
        <v>70000</v>
      </c>
      <c r="J2000" s="20" t="inlineStr">
        <is>
          <t>POPULAR MARUTI</t>
        </is>
      </c>
      <c r="K2000" s="20" t="inlineStr">
        <is>
          <t>Non-Captive</t>
        </is>
      </c>
      <c r="L2000" s="20" t="inlineStr">
        <is>
          <t>HUSSAIN O E</t>
        </is>
      </c>
      <c r="M2000" s="23" t="n">
        <v>8474.58</v>
      </c>
    </row>
    <row r="2001">
      <c r="A2001" s="19" t="inlineStr">
        <is>
          <t>FY27</t>
        </is>
      </c>
      <c r="B2001" s="19" t="inlineStr">
        <is>
          <t>Apr</t>
        </is>
      </c>
      <c r="C2001" s="19" t="inlineStr">
        <is>
          <t>Kerala</t>
        </is>
      </c>
      <c r="D2001" s="20" t="inlineStr">
        <is>
          <t>KL04AV7697</t>
        </is>
      </c>
      <c r="E2001" s="20" t="inlineStr">
        <is>
          <t>MARUTI SUZUKI</t>
        </is>
      </c>
      <c r="F2001" s="20" t="inlineStr">
        <is>
          <t>Swift</t>
        </is>
      </c>
      <c r="G2001" s="21" t="n"/>
      <c r="H2001" s="22" t="n">
        <v>16771</v>
      </c>
      <c r="I2001" s="22" t="n">
        <v>675000</v>
      </c>
      <c r="J2001" s="20" t="inlineStr">
        <is>
          <t>MAIJO MARUTI</t>
        </is>
      </c>
      <c r="K2001" s="20" t="inlineStr">
        <is>
          <t>Non-Captive</t>
        </is>
      </c>
      <c r="L2001" s="20" t="inlineStr">
        <is>
          <t>HUSSAIN O E</t>
        </is>
      </c>
      <c r="M2001" s="23" t="n">
        <v>8474.58</v>
      </c>
    </row>
    <row r="2002">
      <c r="A2002" s="19" t="inlineStr">
        <is>
          <t>FY27</t>
        </is>
      </c>
      <c r="B2002" s="19" t="inlineStr">
        <is>
          <t>Apr</t>
        </is>
      </c>
      <c r="C2002" s="19" t="inlineStr">
        <is>
          <t>Kerala</t>
        </is>
      </c>
      <c r="D2002" s="20" t="inlineStr">
        <is>
          <t>KL41J1449</t>
        </is>
      </c>
      <c r="E2002" s="20" t="inlineStr">
        <is>
          <t>MARUTI SUZUKI</t>
        </is>
      </c>
      <c r="F2002" s="20" t="inlineStr">
        <is>
          <t>Alto</t>
        </is>
      </c>
      <c r="G2002" s="21" t="n"/>
      <c r="H2002" s="22" t="n">
        <v>81000</v>
      </c>
      <c r="I2002" s="22" t="n">
        <v>137000</v>
      </c>
      <c r="J2002" s="20" t="inlineStr">
        <is>
          <t>POPULAR MARUTI</t>
        </is>
      </c>
      <c r="K2002" s="20" t="inlineStr">
        <is>
          <t>Non-Captive</t>
        </is>
      </c>
      <c r="L2002" s="20" t="inlineStr">
        <is>
          <t>HUSSAIN O E</t>
        </is>
      </c>
      <c r="M2002" s="23" t="n">
        <v>8474.58</v>
      </c>
    </row>
    <row r="2003">
      <c r="A2003" s="19" t="inlineStr">
        <is>
          <t>FY27</t>
        </is>
      </c>
      <c r="B2003" s="19" t="inlineStr">
        <is>
          <t>Apr</t>
        </is>
      </c>
      <c r="C2003" s="19" t="inlineStr">
        <is>
          <t>Kerala</t>
        </is>
      </c>
      <c r="D2003" s="20" t="inlineStr">
        <is>
          <t>KL60R8996</t>
        </is>
      </c>
      <c r="E2003" s="20" t="inlineStr">
        <is>
          <t>RENAULT</t>
        </is>
      </c>
      <c r="F2003" s="20" t="inlineStr">
        <is>
          <t>Triber</t>
        </is>
      </c>
      <c r="G2003" s="21" t="n"/>
      <c r="H2003" s="22" t="n">
        <v>64000</v>
      </c>
      <c r="I2003" s="22" t="n">
        <v>390000</v>
      </c>
      <c r="J2003" s="20" t="inlineStr">
        <is>
          <t>ISMAIL FARHAN</t>
        </is>
      </c>
      <c r="K2003" s="20" t="inlineStr">
        <is>
          <t>Non-Captive</t>
        </is>
      </c>
      <c r="L2003" s="20" t="inlineStr">
        <is>
          <t>SHAJEE CARS</t>
        </is>
      </c>
      <c r="M2003" s="23" t="n">
        <v>8474.58</v>
      </c>
    </row>
    <row r="2004">
      <c r="A2004" s="19" t="inlineStr">
        <is>
          <t>FY27</t>
        </is>
      </c>
      <c r="B2004" s="19" t="inlineStr">
        <is>
          <t>Apr</t>
        </is>
      </c>
      <c r="C2004" s="19" t="inlineStr">
        <is>
          <t>Kerala</t>
        </is>
      </c>
      <c r="D2004" s="20" t="inlineStr">
        <is>
          <t>KL55P1919</t>
        </is>
      </c>
      <c r="E2004" s="20" t="inlineStr">
        <is>
          <t>NISSAN</t>
        </is>
      </c>
      <c r="F2004" s="20" t="inlineStr">
        <is>
          <t>Sunny</t>
        </is>
      </c>
      <c r="G2004" s="21" t="n"/>
      <c r="H2004" s="22" t="n">
        <v>135000</v>
      </c>
      <c r="I2004" s="22" t="n">
        <v>210000</v>
      </c>
      <c r="J2004" s="20" t="inlineStr">
        <is>
          <t>SHAHIL NK</t>
        </is>
      </c>
      <c r="K2004" s="20" t="inlineStr">
        <is>
          <t>Non-Captive</t>
        </is>
      </c>
      <c r="L2004" s="20" t="inlineStr">
        <is>
          <t>UCD BKR NASAR</t>
        </is>
      </c>
      <c r="M2004" s="23" t="n">
        <v>8474.58</v>
      </c>
    </row>
    <row r="2005">
      <c r="A2005" s="19" t="inlineStr">
        <is>
          <t>FY27</t>
        </is>
      </c>
      <c r="B2005" s="19" t="inlineStr">
        <is>
          <t>Apr</t>
        </is>
      </c>
      <c r="C2005" s="19" t="inlineStr">
        <is>
          <t>Kerala</t>
        </is>
      </c>
      <c r="D2005" s="20" t="inlineStr">
        <is>
          <t>KL10AE0642</t>
        </is>
      </c>
      <c r="E2005" s="20" t="inlineStr">
        <is>
          <t>MARUTI SUZUKI</t>
        </is>
      </c>
      <c r="F2005" s="20" t="inlineStr">
        <is>
          <t>Alto</t>
        </is>
      </c>
      <c r="G2005" s="21" t="n"/>
      <c r="H2005" s="22" t="n">
        <v>94000</v>
      </c>
      <c r="I2005" s="22" t="n">
        <v>50000</v>
      </c>
      <c r="J2005" s="20" t="inlineStr">
        <is>
          <t>VIMAL</t>
        </is>
      </c>
      <c r="K2005" s="20" t="inlineStr">
        <is>
          <t>Non-Captive</t>
        </is>
      </c>
      <c r="L2005" s="20" t="inlineStr">
        <is>
          <t>CETREION</t>
        </is>
      </c>
      <c r="M2005" s="23" t="n">
        <v>4237.29</v>
      </c>
    </row>
    <row r="2006">
      <c r="A2006" s="19" t="inlineStr">
        <is>
          <t>FY27</t>
        </is>
      </c>
      <c r="B2006" s="19" t="inlineStr">
        <is>
          <t>Apr</t>
        </is>
      </c>
      <c r="C2006" s="19" t="inlineStr">
        <is>
          <t>Kerala</t>
        </is>
      </c>
      <c r="D2006" s="20" t="inlineStr">
        <is>
          <t>KL58S4696</t>
        </is>
      </c>
      <c r="E2006" s="20" t="inlineStr">
        <is>
          <t>DATSUN</t>
        </is>
      </c>
      <c r="F2006" s="20" t="inlineStr">
        <is>
          <t>Go</t>
        </is>
      </c>
      <c r="G2006" s="21" t="n"/>
      <c r="H2006" s="22" t="n">
        <v>66000</v>
      </c>
      <c r="I2006" s="22" t="n">
        <v>140000</v>
      </c>
      <c r="J2006" s="20" t="inlineStr">
        <is>
          <t>SANOOP</t>
        </is>
      </c>
      <c r="K2006" s="20" t="inlineStr">
        <is>
          <t>Non-Captive</t>
        </is>
      </c>
      <c r="L2006" s="20" t="inlineStr">
        <is>
          <t>BIMAL</t>
        </is>
      </c>
      <c r="M2006" s="23" t="n">
        <v>6779.66</v>
      </c>
    </row>
    <row r="2007">
      <c r="A2007" s="19" t="inlineStr">
        <is>
          <t>FY27</t>
        </is>
      </c>
      <c r="B2007" s="19" t="inlineStr">
        <is>
          <t>Apr</t>
        </is>
      </c>
      <c r="C2007" s="19" t="inlineStr">
        <is>
          <t>Kerala</t>
        </is>
      </c>
      <c r="D2007" s="20" t="inlineStr">
        <is>
          <t>KA04MD9968</t>
        </is>
      </c>
      <c r="E2007" s="20" t="inlineStr">
        <is>
          <t>FORD</t>
        </is>
      </c>
      <c r="F2007" s="20" t="inlineStr">
        <is>
          <t>Fiesta</t>
        </is>
      </c>
      <c r="G2007" s="21" t="n"/>
      <c r="H2007" s="22" t="n">
        <v>105000</v>
      </c>
      <c r="I2007" s="22" t="n">
        <v>25000</v>
      </c>
      <c r="J2007" s="20" t="inlineStr">
        <is>
          <t>JISHNU PRIYAN</t>
        </is>
      </c>
      <c r="K2007" s="20" t="inlineStr">
        <is>
          <t>Non-Captive</t>
        </is>
      </c>
      <c r="L2007" s="20" t="inlineStr">
        <is>
          <t>RAFEEK T A</t>
        </is>
      </c>
      <c r="M2007" s="23" t="n">
        <v>8474.58</v>
      </c>
    </row>
    <row r="2008">
      <c r="A2008" s="19" t="inlineStr">
        <is>
          <t>FY27</t>
        </is>
      </c>
      <c r="B2008" s="19" t="inlineStr">
        <is>
          <t>Apr</t>
        </is>
      </c>
      <c r="C2008" s="19" t="inlineStr">
        <is>
          <t>Kerala</t>
        </is>
      </c>
      <c r="D2008" s="20" t="inlineStr">
        <is>
          <t>KL57D8282</t>
        </is>
      </c>
      <c r="E2008" s="20" t="inlineStr">
        <is>
          <t>MARUTI SUZUKI</t>
        </is>
      </c>
      <c r="F2008" s="20" t="inlineStr">
        <is>
          <t>Ritz</t>
        </is>
      </c>
      <c r="G2008" s="21" t="n"/>
      <c r="H2008" s="22" t="n">
        <v>180000</v>
      </c>
      <c r="I2008" s="22" t="n">
        <v>100000</v>
      </c>
      <c r="J2008" s="20" t="inlineStr">
        <is>
          <t>SARITH AUTOBOT</t>
        </is>
      </c>
      <c r="K2008" s="20" t="inlineStr">
        <is>
          <t>Non-Captive</t>
        </is>
      </c>
      <c r="L2008" s="20" t="inlineStr">
        <is>
          <t>ROTANA TATA</t>
        </is>
      </c>
      <c r="M2008" s="23" t="n">
        <v>5932.2</v>
      </c>
    </row>
    <row r="2009">
      <c r="A2009" s="19" t="inlineStr">
        <is>
          <t>FY27</t>
        </is>
      </c>
      <c r="B2009" s="19" t="inlineStr">
        <is>
          <t>Apr</t>
        </is>
      </c>
      <c r="C2009" s="19" t="inlineStr">
        <is>
          <t>Kerala</t>
        </is>
      </c>
      <c r="D2009" s="20" t="inlineStr">
        <is>
          <t>KL59D2237</t>
        </is>
      </c>
      <c r="E2009" s="20" t="inlineStr">
        <is>
          <t>HYUNDAI</t>
        </is>
      </c>
      <c r="F2009" s="20" t="inlineStr">
        <is>
          <t>I10</t>
        </is>
      </c>
      <c r="G2009" s="21" t="n"/>
      <c r="H2009" s="22" t="n">
        <v>78000</v>
      </c>
      <c r="I2009" s="22" t="n">
        <v>70000</v>
      </c>
      <c r="J2009" s="20" t="inlineStr">
        <is>
          <t>SARITH AUTOBOT</t>
        </is>
      </c>
      <c r="K2009" s="20" t="inlineStr">
        <is>
          <t>Non-Captive</t>
        </is>
      </c>
      <c r="L2009" s="20" t="inlineStr">
        <is>
          <t>APCO KANJAGAD</t>
        </is>
      </c>
      <c r="M2009" s="23" t="n">
        <v>5932.2</v>
      </c>
    </row>
    <row r="2010">
      <c r="A2010" s="19" t="inlineStr">
        <is>
          <t>FY27</t>
        </is>
      </c>
      <c r="B2010" s="19" t="inlineStr">
        <is>
          <t>Apr</t>
        </is>
      </c>
      <c r="C2010" s="19" t="inlineStr">
        <is>
          <t>Kerala</t>
        </is>
      </c>
      <c r="D2010" s="20" t="inlineStr">
        <is>
          <t>KL25L9868</t>
        </is>
      </c>
      <c r="E2010" s="20" t="inlineStr">
        <is>
          <t>TATA</t>
        </is>
      </c>
      <c r="F2010" s="20" t="inlineStr">
        <is>
          <t>Hexa</t>
        </is>
      </c>
      <c r="G2010" s="21" t="n"/>
      <c r="H2010" s="22" t="n">
        <v>130000</v>
      </c>
      <c r="I2010" s="22" t="n">
        <v>750000</v>
      </c>
      <c r="J2010" s="20" t="inlineStr">
        <is>
          <t>SIRAJ</t>
        </is>
      </c>
      <c r="K2010" s="20" t="inlineStr">
        <is>
          <t>Non-Captive</t>
        </is>
      </c>
      <c r="L2010" s="20" t="inlineStr">
        <is>
          <t>TATA KVR</t>
        </is>
      </c>
      <c r="M2010" s="23" t="n">
        <v>12711.86</v>
      </c>
    </row>
    <row r="2011">
      <c r="A2011" s="19" t="inlineStr">
        <is>
          <t>FY27</t>
        </is>
      </c>
      <c r="B2011" s="19" t="inlineStr">
        <is>
          <t>Apr</t>
        </is>
      </c>
      <c r="C2011" s="19" t="inlineStr">
        <is>
          <t>Kerala</t>
        </is>
      </c>
      <c r="D2011" s="20" t="inlineStr">
        <is>
          <t>KL794517</t>
        </is>
      </c>
      <c r="E2011" s="20" t="inlineStr">
        <is>
          <t>HYUNDAI</t>
        </is>
      </c>
      <c r="F2011" s="20" t="inlineStr">
        <is>
          <t>Santro</t>
        </is>
      </c>
      <c r="G2011" s="21" t="n"/>
      <c r="H2011" s="22" t="n">
        <v>78000</v>
      </c>
      <c r="I2011" s="22" t="n">
        <v>255000</v>
      </c>
      <c r="J2011" s="20" t="inlineStr">
        <is>
          <t>MARVEL MOTORS</t>
        </is>
      </c>
      <c r="K2011" s="20" t="inlineStr">
        <is>
          <t>Non-Captive</t>
        </is>
      </c>
      <c r="L2011" s="20" t="inlineStr">
        <is>
          <t>SANOOP</t>
        </is>
      </c>
      <c r="M2011" s="23" t="n">
        <v>5084.75</v>
      </c>
    </row>
    <row r="2012">
      <c r="A2012" s="19" t="inlineStr">
        <is>
          <t>FY27</t>
        </is>
      </c>
      <c r="B2012" s="19" t="inlineStr">
        <is>
          <t>Apr</t>
        </is>
      </c>
      <c r="C2012" s="19" t="inlineStr">
        <is>
          <t>Kerala</t>
        </is>
      </c>
      <c r="D2012" s="20" t="inlineStr">
        <is>
          <t>KL58B6344</t>
        </is>
      </c>
      <c r="E2012" s="20" t="inlineStr">
        <is>
          <t>MARUTI SUZUKI</t>
        </is>
      </c>
      <c r="F2012" s="20" t="inlineStr">
        <is>
          <t>Wagon R</t>
        </is>
      </c>
      <c r="G2012" s="21" t="n"/>
      <c r="H2012" s="22" t="n">
        <v>61000</v>
      </c>
      <c r="I2012" s="22" t="n">
        <v>95000</v>
      </c>
      <c r="J2012" s="20" t="inlineStr">
        <is>
          <t>NIDEESH MOHAN</t>
        </is>
      </c>
      <c r="K2012" s="20" t="inlineStr">
        <is>
          <t>Non-Captive</t>
        </is>
      </c>
      <c r="L2012" s="20" t="inlineStr">
        <is>
          <t>INDUS MARUTI</t>
        </is>
      </c>
      <c r="M2012" s="23" t="n">
        <v>4237.29</v>
      </c>
    </row>
    <row r="2013">
      <c r="A2013" s="19" t="inlineStr">
        <is>
          <t>FY27</t>
        </is>
      </c>
      <c r="B2013" s="19" t="inlineStr">
        <is>
          <t>Apr</t>
        </is>
      </c>
      <c r="C2013" s="19" t="inlineStr">
        <is>
          <t>Kerala</t>
        </is>
      </c>
      <c r="D2013" s="20" t="inlineStr">
        <is>
          <t>KL13X7347</t>
        </is>
      </c>
      <c r="E2013" s="20" t="inlineStr">
        <is>
          <t>HYUNDAI</t>
        </is>
      </c>
      <c r="F2013" s="20" t="inlineStr">
        <is>
          <t>Eon</t>
        </is>
      </c>
      <c r="G2013" s="21" t="n"/>
      <c r="H2013" s="22" t="n">
        <v>90000</v>
      </c>
      <c r="I2013" s="22" t="n">
        <v>90000</v>
      </c>
      <c r="J2013" s="20" t="inlineStr">
        <is>
          <t>MARVEL MOTORS</t>
        </is>
      </c>
      <c r="K2013" s="20" t="inlineStr">
        <is>
          <t>Non-Captive</t>
        </is>
      </c>
      <c r="L2013" s="20" t="inlineStr">
        <is>
          <t>SAP MAHINDRA</t>
        </is>
      </c>
      <c r="M2013" s="23" t="n">
        <v>5084.75</v>
      </c>
    </row>
    <row r="2014">
      <c r="A2014" s="19" t="inlineStr">
        <is>
          <t>FY27</t>
        </is>
      </c>
      <c r="B2014" s="19" t="inlineStr">
        <is>
          <t>Apr</t>
        </is>
      </c>
      <c r="C2014" s="19" t="inlineStr">
        <is>
          <t>Kerala</t>
        </is>
      </c>
      <c r="D2014" s="20" t="inlineStr">
        <is>
          <t>KL11BN0554</t>
        </is>
      </c>
      <c r="E2014" s="20" t="inlineStr">
        <is>
          <t>HYUNDAI</t>
        </is>
      </c>
      <c r="F2014" s="20" t="inlineStr">
        <is>
          <t>Santro</t>
        </is>
      </c>
      <c r="G2014" s="21" t="n"/>
      <c r="H2014" s="22" t="n">
        <v>33000</v>
      </c>
      <c r="I2014" s="22" t="n">
        <v>335000</v>
      </c>
      <c r="J2014" s="20" t="inlineStr">
        <is>
          <t>SHAHIL NK</t>
        </is>
      </c>
      <c r="K2014" s="20" t="inlineStr">
        <is>
          <t>Non-Captive</t>
        </is>
      </c>
      <c r="L2014" s="20" t="inlineStr">
        <is>
          <t>EVM SKODA</t>
        </is>
      </c>
      <c r="M2014" s="23" t="n">
        <v>4237.29</v>
      </c>
    </row>
    <row r="2015">
      <c r="A2015" s="19" t="inlineStr">
        <is>
          <t>FY27</t>
        </is>
      </c>
      <c r="B2015" s="19" t="inlineStr">
        <is>
          <t>Apr</t>
        </is>
      </c>
      <c r="C2015" s="19" t="inlineStr">
        <is>
          <t>Kerala</t>
        </is>
      </c>
      <c r="D2015" s="20" t="inlineStr">
        <is>
          <t>KL01AN3853</t>
        </is>
      </c>
      <c r="E2015" s="20" t="inlineStr">
        <is>
          <t>MARUTI SUZUKI</t>
        </is>
      </c>
      <c r="F2015" s="20" t="inlineStr">
        <is>
          <t>Swift</t>
        </is>
      </c>
      <c r="G2015" s="21" t="n"/>
      <c r="H2015" s="22" t="n">
        <v>94000</v>
      </c>
      <c r="I2015" s="22" t="n">
        <v>75000</v>
      </c>
      <c r="J2015" s="20" t="inlineStr">
        <is>
          <t>ABHISHEK</t>
        </is>
      </c>
      <c r="K2015" s="20" t="inlineStr">
        <is>
          <t>Non-Captive</t>
        </is>
      </c>
      <c r="L2015" s="20" t="inlineStr">
        <is>
          <t>TRIVANDRUM MOTORS</t>
        </is>
      </c>
      <c r="M2015" s="23" t="n">
        <v>4237.29</v>
      </c>
    </row>
    <row r="2016">
      <c r="A2016" s="19" t="inlineStr">
        <is>
          <t>FY27</t>
        </is>
      </c>
      <c r="B2016" s="19" t="inlineStr">
        <is>
          <t>Apr</t>
        </is>
      </c>
      <c r="C2016" s="19" t="inlineStr">
        <is>
          <t>Kerala</t>
        </is>
      </c>
      <c r="D2016" s="20" t="inlineStr">
        <is>
          <t>KL39N5652</t>
        </is>
      </c>
      <c r="E2016" s="20" t="inlineStr">
        <is>
          <t>RENAULT</t>
        </is>
      </c>
      <c r="F2016" s="20" t="inlineStr">
        <is>
          <t>Captur</t>
        </is>
      </c>
      <c r="G2016" s="21" t="n"/>
      <c r="H2016" s="22" t="n">
        <v>31000</v>
      </c>
      <c r="I2016" s="22" t="n">
        <v>420000</v>
      </c>
      <c r="J2016" s="20" t="inlineStr">
        <is>
          <t>EVM JEEP</t>
        </is>
      </c>
      <c r="K2016" s="20" t="inlineStr">
        <is>
          <t>Non-Captive</t>
        </is>
      </c>
      <c r="L2016" s="20" t="inlineStr">
        <is>
          <t>HAVEN MOTORS</t>
        </is>
      </c>
      <c r="M2016" s="23" t="n">
        <v>8474.58</v>
      </c>
    </row>
    <row r="2017">
      <c r="A2017" s="19" t="inlineStr">
        <is>
          <t>FY27</t>
        </is>
      </c>
      <c r="B2017" s="19" t="inlineStr">
        <is>
          <t>Apr</t>
        </is>
      </c>
      <c r="C2017" s="19" t="inlineStr">
        <is>
          <t>Kerala</t>
        </is>
      </c>
      <c r="D2017" s="20" t="inlineStr">
        <is>
          <t>KL43M4411</t>
        </is>
      </c>
      <c r="E2017" s="20" t="inlineStr">
        <is>
          <t>MARUTI SUZUKI</t>
        </is>
      </c>
      <c r="F2017" s="20" t="inlineStr">
        <is>
          <t>Baleno</t>
        </is>
      </c>
      <c r="G2017" s="21" t="n"/>
      <c r="H2017" s="22" t="n">
        <v>103252</v>
      </c>
      <c r="I2017" s="22" t="n">
        <v>440000</v>
      </c>
      <c r="J2017" s="20" t="inlineStr">
        <is>
          <t>POPULAR MARUTI</t>
        </is>
      </c>
      <c r="K2017" s="20" t="inlineStr">
        <is>
          <t>Non-Captive</t>
        </is>
      </c>
      <c r="L2017" s="20" t="inlineStr">
        <is>
          <t>ASHRAF T A</t>
        </is>
      </c>
      <c r="M2017" s="23" t="n">
        <v>8474.58</v>
      </c>
    </row>
    <row r="2018">
      <c r="A2018" s="19" t="inlineStr">
        <is>
          <t>FY27</t>
        </is>
      </c>
      <c r="B2018" s="19" t="inlineStr">
        <is>
          <t>Apr</t>
        </is>
      </c>
      <c r="C2018" s="19" t="inlineStr">
        <is>
          <t>Kerala</t>
        </is>
      </c>
      <c r="D2018" s="20" t="inlineStr">
        <is>
          <t>KL03AJ4656</t>
        </is>
      </c>
      <c r="E2018" s="20" t="inlineStr">
        <is>
          <t>HYUNDAI</t>
        </is>
      </c>
      <c r="F2018" s="20" t="inlineStr">
        <is>
          <t>Creta</t>
        </is>
      </c>
      <c r="G2018" s="21" t="n"/>
      <c r="H2018" s="22" t="n">
        <v>89462</v>
      </c>
      <c r="I2018" s="22" t="n">
        <v>565000</v>
      </c>
      <c r="J2018" s="20" t="inlineStr">
        <is>
          <t>KESHVIN HYUNDAI</t>
        </is>
      </c>
      <c r="K2018" s="20" t="inlineStr">
        <is>
          <t>Non-Captive</t>
        </is>
      </c>
      <c r="L2018" s="20" t="inlineStr">
        <is>
          <t>HAVEN MOTORS</t>
        </is>
      </c>
      <c r="M2018" s="23" t="n">
        <v>8474.58</v>
      </c>
    </row>
    <row r="2019">
      <c r="A2019" s="19" t="inlineStr">
        <is>
          <t>FY27</t>
        </is>
      </c>
      <c r="B2019" s="19" t="inlineStr">
        <is>
          <t>Apr</t>
        </is>
      </c>
      <c r="C2019" s="19" t="inlineStr">
        <is>
          <t>Kerala</t>
        </is>
      </c>
      <c r="D2019" s="20" t="inlineStr">
        <is>
          <t>KL05AB8106</t>
        </is>
      </c>
      <c r="E2019" s="20" t="inlineStr">
        <is>
          <t>MARUTI SUZUKI</t>
        </is>
      </c>
      <c r="F2019" s="20" t="inlineStr">
        <is>
          <t>A-Star</t>
        </is>
      </c>
      <c r="G2019" s="21" t="n"/>
      <c r="H2019" s="22" t="n">
        <v>83000</v>
      </c>
      <c r="I2019" s="22" t="n">
        <v>70000</v>
      </c>
      <c r="J2019" s="20" t="inlineStr">
        <is>
          <t>MUHAMMED SHAJI</t>
        </is>
      </c>
      <c r="K2019" s="20" t="inlineStr">
        <is>
          <t>Non-Captive</t>
        </is>
      </c>
      <c r="L2019" s="20" t="inlineStr">
        <is>
          <t>TINU P SOMAN</t>
        </is>
      </c>
      <c r="M2019" s="23" t="n">
        <v>8474.58</v>
      </c>
    </row>
    <row r="2020">
      <c r="A2020" s="19" t="inlineStr">
        <is>
          <t>FY27</t>
        </is>
      </c>
      <c r="B2020" s="19" t="inlineStr">
        <is>
          <t>Apr</t>
        </is>
      </c>
      <c r="C2020" s="19" t="inlineStr">
        <is>
          <t>Kerala</t>
        </is>
      </c>
      <c r="D2020" s="20" t="inlineStr">
        <is>
          <t>KL05AE2392</t>
        </is>
      </c>
      <c r="E2020" s="20" t="inlineStr">
        <is>
          <t>FORD</t>
        </is>
      </c>
      <c r="F2020" s="20" t="inlineStr">
        <is>
          <t>Figo</t>
        </is>
      </c>
      <c r="G2020" s="21" t="n"/>
      <c r="H2020" s="22" t="n">
        <v>58990</v>
      </c>
      <c r="I2020" s="22" t="n">
        <v>65000</v>
      </c>
      <c r="J2020" s="20" t="inlineStr">
        <is>
          <t>ANAS HAMEED</t>
        </is>
      </c>
      <c r="K2020" s="20" t="inlineStr">
        <is>
          <t>Non-Captive</t>
        </is>
      </c>
      <c r="L2020" s="20" t="inlineStr">
        <is>
          <t>VTJ</t>
        </is>
      </c>
      <c r="M2020" s="23" t="n">
        <v>8474.58</v>
      </c>
    </row>
    <row r="2021">
      <c r="A2021" s="19" t="inlineStr">
        <is>
          <t>FY27</t>
        </is>
      </c>
      <c r="B2021" s="19" t="inlineStr">
        <is>
          <t>Apr</t>
        </is>
      </c>
      <c r="C2021" s="19" t="inlineStr">
        <is>
          <t>Kerala</t>
        </is>
      </c>
      <c r="D2021" s="20" t="inlineStr">
        <is>
          <t>KL05AF4030</t>
        </is>
      </c>
      <c r="E2021" s="20" t="inlineStr">
        <is>
          <t>MARUTI SUZUKI</t>
        </is>
      </c>
      <c r="F2021" s="20" t="inlineStr">
        <is>
          <t>Alto</t>
        </is>
      </c>
      <c r="G2021" s="21" t="n"/>
      <c r="H2021" s="22" t="n">
        <v>120890</v>
      </c>
      <c r="I2021" s="22" t="n">
        <v>85000</v>
      </c>
      <c r="J2021" s="20" t="inlineStr">
        <is>
          <t>POPULAR MARUTI</t>
        </is>
      </c>
      <c r="K2021" s="20" t="inlineStr">
        <is>
          <t>Non-Captive</t>
        </is>
      </c>
      <c r="L2021" s="20" t="inlineStr">
        <is>
          <t>VTJ</t>
        </is>
      </c>
      <c r="M2021" s="23" t="n">
        <v>8474.58</v>
      </c>
    </row>
    <row r="2022">
      <c r="A2022" s="19" t="inlineStr">
        <is>
          <t>FY27</t>
        </is>
      </c>
      <c r="B2022" s="19" t="inlineStr">
        <is>
          <t>Apr</t>
        </is>
      </c>
      <c r="C2022" s="19" t="inlineStr">
        <is>
          <t>Kerala</t>
        </is>
      </c>
      <c r="D2022" s="20" t="inlineStr">
        <is>
          <t>KL16U4959</t>
        </is>
      </c>
      <c r="E2022" s="20" t="inlineStr">
        <is>
          <t>HONDA</t>
        </is>
      </c>
      <c r="F2022" s="20" t="inlineStr">
        <is>
          <t>Amaze</t>
        </is>
      </c>
      <c r="G2022" s="21" t="n"/>
      <c r="H2022" s="22" t="n">
        <v>58787</v>
      </c>
      <c r="I2022" s="22" t="n">
        <v>545000</v>
      </c>
      <c r="J2022" s="20" t="inlineStr">
        <is>
          <t>MUHAMMED SHAJI</t>
        </is>
      </c>
      <c r="K2022" s="20" t="inlineStr">
        <is>
          <t>Non-Captive</t>
        </is>
      </c>
      <c r="L2022" s="20" t="inlineStr">
        <is>
          <t>VTJ</t>
        </is>
      </c>
      <c r="M2022" s="23" t="n">
        <v>8474.58</v>
      </c>
    </row>
    <row r="2023">
      <c r="A2023" s="19" t="inlineStr">
        <is>
          <t>FY27</t>
        </is>
      </c>
      <c r="B2023" s="19" t="inlineStr">
        <is>
          <t>Apr</t>
        </is>
      </c>
      <c r="C2023" s="19" t="inlineStr">
        <is>
          <t>Kerala</t>
        </is>
      </c>
      <c r="D2023" s="20" t="inlineStr">
        <is>
          <t>KL01CN7173</t>
        </is>
      </c>
      <c r="E2023" s="20" t="inlineStr">
        <is>
          <t>RENAULT</t>
        </is>
      </c>
      <c r="F2023" s="20" t="inlineStr">
        <is>
          <t>Triber</t>
        </is>
      </c>
      <c r="G2023" s="21" t="n"/>
      <c r="H2023" s="22" t="n">
        <v>37800</v>
      </c>
      <c r="I2023" s="22" t="n">
        <v>375000</v>
      </c>
      <c r="J2023" s="20" t="inlineStr">
        <is>
          <t>KISHORE</t>
        </is>
      </c>
      <c r="K2023" s="20" t="inlineStr">
        <is>
          <t>Non-Captive</t>
        </is>
      </c>
      <c r="L2023" s="20" t="inlineStr">
        <is>
          <t>SS MAHINDRA</t>
        </is>
      </c>
      <c r="M2023" s="23" t="n">
        <v>4237.29</v>
      </c>
    </row>
    <row r="2024">
      <c r="A2024" s="19" t="inlineStr">
        <is>
          <t>FY27</t>
        </is>
      </c>
      <c r="B2024" s="19" t="inlineStr">
        <is>
          <t>Apr</t>
        </is>
      </c>
      <c r="C2024" s="19" t="inlineStr">
        <is>
          <t>Kerala</t>
        </is>
      </c>
      <c r="D2024" s="20" t="inlineStr">
        <is>
          <t>KL30A0577</t>
        </is>
      </c>
      <c r="E2024" s="20" t="inlineStr">
        <is>
          <t>MARUTI SUZUKI</t>
        </is>
      </c>
      <c r="F2024" s="20" t="inlineStr">
        <is>
          <t>A-Star</t>
        </is>
      </c>
      <c r="G2024" s="21" t="n"/>
      <c r="H2024" s="22" t="n">
        <v>75645</v>
      </c>
      <c r="I2024" s="22" t="n">
        <v>100000</v>
      </c>
      <c r="J2024" s="20" t="inlineStr">
        <is>
          <t>AKHILNATH</t>
        </is>
      </c>
      <c r="K2024" s="20" t="inlineStr">
        <is>
          <t>Non-Captive</t>
        </is>
      </c>
      <c r="L2024" s="20" t="inlineStr">
        <is>
          <t>MITHUN BABU</t>
        </is>
      </c>
      <c r="M2024" s="23" t="n">
        <v>4237.29</v>
      </c>
    </row>
    <row r="2025">
      <c r="A2025" s="19" t="inlineStr">
        <is>
          <t>FY27</t>
        </is>
      </c>
      <c r="B2025" s="19" t="inlineStr">
        <is>
          <t>Apr</t>
        </is>
      </c>
      <c r="C2025" s="19" t="inlineStr">
        <is>
          <t>Kerala</t>
        </is>
      </c>
      <c r="D2025" s="20" t="inlineStr">
        <is>
          <t>KL77A6017</t>
        </is>
      </c>
      <c r="E2025" s="20" t="inlineStr">
        <is>
          <t>HYUNDAI</t>
        </is>
      </c>
      <c r="F2025" s="20" t="inlineStr">
        <is>
          <t>I10</t>
        </is>
      </c>
      <c r="G2025" s="21" t="n"/>
      <c r="H2025" s="22" t="n">
        <v>84000</v>
      </c>
      <c r="I2025" s="22" t="n">
        <v>390000</v>
      </c>
      <c r="J2025" s="20" t="inlineStr">
        <is>
          <t>VASIL</t>
        </is>
      </c>
      <c r="K2025" s="20" t="inlineStr">
        <is>
          <t>Non-Captive</t>
        </is>
      </c>
      <c r="L2025" s="20" t="inlineStr">
        <is>
          <t>SANOOP</t>
        </is>
      </c>
      <c r="M2025" s="23" t="n">
        <v>8474.58</v>
      </c>
    </row>
    <row r="2026">
      <c r="A2026" s="19" t="inlineStr">
        <is>
          <t>FY27</t>
        </is>
      </c>
      <c r="B2026" s="19" t="inlineStr">
        <is>
          <t>Apr</t>
        </is>
      </c>
      <c r="C2026" s="19" t="inlineStr">
        <is>
          <t>Kerala</t>
        </is>
      </c>
      <c r="D2026" s="20" t="inlineStr">
        <is>
          <t>KL13AT0234</t>
        </is>
      </c>
      <c r="E2026" s="20" t="inlineStr">
        <is>
          <t>KIA</t>
        </is>
      </c>
      <c r="F2026" s="20" t="inlineStr">
        <is>
          <t>Sonnet</t>
        </is>
      </c>
      <c r="G2026" s="21" t="n"/>
      <c r="H2026" s="22" t="n">
        <v>84000</v>
      </c>
      <c r="I2026" s="22" t="n">
        <v>700000</v>
      </c>
      <c r="J2026" s="20" t="inlineStr">
        <is>
          <t>CARZONE</t>
        </is>
      </c>
      <c r="K2026" s="20" t="inlineStr">
        <is>
          <t>Non-Captive</t>
        </is>
      </c>
      <c r="L2026" s="20" t="inlineStr">
        <is>
          <t>DKH KIA</t>
        </is>
      </c>
      <c r="M2026" s="23" t="n">
        <v>8474.58</v>
      </c>
    </row>
    <row r="2027">
      <c r="A2027" s="19" t="inlineStr">
        <is>
          <t>FY27</t>
        </is>
      </c>
      <c r="B2027" s="19" t="inlineStr">
        <is>
          <t>Apr</t>
        </is>
      </c>
      <c r="C2027" s="19" t="inlineStr">
        <is>
          <t>Kerala</t>
        </is>
      </c>
      <c r="D2027" s="20" t="inlineStr">
        <is>
          <t>KL02V3821</t>
        </is>
      </c>
      <c r="E2027" s="20" t="inlineStr">
        <is>
          <t>MARUTI SUZUKI</t>
        </is>
      </c>
      <c r="F2027" s="20" t="inlineStr">
        <is>
          <t>Alto</t>
        </is>
      </c>
      <c r="G2027" s="21" t="n"/>
      <c r="H2027" s="22" t="n">
        <v>112356</v>
      </c>
      <c r="I2027" s="22" t="n">
        <v>25000</v>
      </c>
      <c r="J2027" s="20" t="inlineStr">
        <is>
          <t>MUTHOOT HONDA</t>
        </is>
      </c>
      <c r="K2027" s="20" t="inlineStr">
        <is>
          <t>Non-Captive</t>
        </is>
      </c>
      <c r="L2027" s="20" t="inlineStr">
        <is>
          <t>SHAHAR</t>
        </is>
      </c>
      <c r="M2027" s="23" t="n">
        <v>4237.29</v>
      </c>
    </row>
    <row r="2028">
      <c r="A2028" s="19" t="inlineStr">
        <is>
          <t>FY27</t>
        </is>
      </c>
      <c r="B2028" s="19" t="inlineStr">
        <is>
          <t>Apr</t>
        </is>
      </c>
      <c r="C2028" s="19" t="inlineStr">
        <is>
          <t>Kerala</t>
        </is>
      </c>
      <c r="D2028" s="20" t="inlineStr">
        <is>
          <t>KL45W0968</t>
        </is>
      </c>
      <c r="E2028" s="20" t="inlineStr">
        <is>
          <t>MARUTI SUZUKI</t>
        </is>
      </c>
      <c r="F2028" s="20" t="inlineStr">
        <is>
          <t>Alto</t>
        </is>
      </c>
      <c r="G2028" s="21" t="n"/>
      <c r="H2028" s="22" t="n">
        <v>16800</v>
      </c>
      <c r="I2028" s="22" t="n">
        <v>303000</v>
      </c>
      <c r="J2028" s="20" t="inlineStr">
        <is>
          <t>JOHNS HONDA CARS</t>
        </is>
      </c>
      <c r="K2028" s="20" t="inlineStr">
        <is>
          <t>Non-Captive</t>
        </is>
      </c>
      <c r="L2028" s="20" t="inlineStr">
        <is>
          <t>VTJ</t>
        </is>
      </c>
      <c r="M2028" s="23" t="n">
        <v>8474.58</v>
      </c>
    </row>
    <row r="2029">
      <c r="A2029" s="19" t="inlineStr">
        <is>
          <t>FY27</t>
        </is>
      </c>
      <c r="B2029" s="19" t="inlineStr">
        <is>
          <t>Apr</t>
        </is>
      </c>
      <c r="C2029" s="19" t="inlineStr">
        <is>
          <t>Kerala</t>
        </is>
      </c>
      <c r="D2029" s="20" t="inlineStr">
        <is>
          <t>KL05BA5525</t>
        </is>
      </c>
      <c r="E2029" s="20" t="inlineStr">
        <is>
          <t>TOYOTA</t>
        </is>
      </c>
      <c r="F2029" s="20" t="inlineStr">
        <is>
          <t>Glanza</t>
        </is>
      </c>
      <c r="G2029" s="21" t="n"/>
      <c r="H2029" s="22" t="n">
        <v>38787</v>
      </c>
      <c r="I2029" s="22" t="n">
        <v>740000</v>
      </c>
      <c r="J2029" s="20" t="inlineStr">
        <is>
          <t>VYSHAKH RAJESH</t>
        </is>
      </c>
      <c r="K2029" s="20" t="inlineStr">
        <is>
          <t>Non-Captive</t>
        </is>
      </c>
      <c r="L2029" s="20" t="inlineStr">
        <is>
          <t>SHAMSUDHEEN</t>
        </is>
      </c>
      <c r="M2029" s="23" t="n">
        <v>8474.58</v>
      </c>
    </row>
    <row r="2030">
      <c r="A2030" s="19" t="inlineStr">
        <is>
          <t>FY27</t>
        </is>
      </c>
      <c r="B2030" s="19" t="inlineStr">
        <is>
          <t>May</t>
        </is>
      </c>
      <c r="C2030" s="19" t="inlineStr">
        <is>
          <t>Kerala</t>
        </is>
      </c>
      <c r="D2030" s="20" t="inlineStr">
        <is>
          <t>KL05AT6778</t>
        </is>
      </c>
      <c r="E2030" s="20" t="inlineStr">
        <is>
          <t>HYUNDAI</t>
        </is>
      </c>
      <c r="F2030" s="20" t="inlineStr">
        <is>
          <t>Santro</t>
        </is>
      </c>
      <c r="G2030" s="21" t="n"/>
      <c r="H2030" s="22" t="n">
        <v>83000</v>
      </c>
      <c r="I2030" s="22" t="n">
        <v>380000</v>
      </c>
      <c r="J2030" s="20" t="inlineStr">
        <is>
          <t>MUHAMMED NAFEED T</t>
        </is>
      </c>
      <c r="K2030" s="20" t="inlineStr">
        <is>
          <t>Non-Captive</t>
        </is>
      </c>
      <c r="L2030" s="20" t="inlineStr">
        <is>
          <t>PK SANTOSH UCD</t>
        </is>
      </c>
      <c r="M2030" s="23" t="n">
        <v>8474.58</v>
      </c>
    </row>
    <row r="2031">
      <c r="A2031" s="19" t="inlineStr">
        <is>
          <t>FY27</t>
        </is>
      </c>
      <c r="B2031" s="19" t="inlineStr">
        <is>
          <t>May</t>
        </is>
      </c>
      <c r="C2031" s="19" t="inlineStr">
        <is>
          <t>Kerala</t>
        </is>
      </c>
      <c r="D2031" s="20" t="inlineStr">
        <is>
          <t>KL11BD5650</t>
        </is>
      </c>
      <c r="E2031" s="20" t="inlineStr">
        <is>
          <t>MAHINDRA</t>
        </is>
      </c>
      <c r="F2031" s="20" t="inlineStr">
        <is>
          <t>Kuv100</t>
        </is>
      </c>
      <c r="G2031" s="21" t="n"/>
      <c r="H2031" s="22" t="n">
        <v>80000</v>
      </c>
      <c r="I2031" s="22" t="n">
        <v>215000</v>
      </c>
      <c r="J2031" s="20" t="inlineStr">
        <is>
          <t>MK MAMMOOTTY</t>
        </is>
      </c>
      <c r="K2031" s="20" t="inlineStr">
        <is>
          <t>Non-Captive</t>
        </is>
      </c>
      <c r="L2031" s="20" t="inlineStr">
        <is>
          <t>PK SANTOSH UCD</t>
        </is>
      </c>
      <c r="M2031" s="23" t="n">
        <v>8474.58</v>
      </c>
    </row>
    <row r="2032">
      <c r="A2032" s="19" t="inlineStr">
        <is>
          <t>FY27</t>
        </is>
      </c>
      <c r="B2032" s="19" t="inlineStr">
        <is>
          <t>May</t>
        </is>
      </c>
      <c r="C2032" s="19" t="inlineStr">
        <is>
          <t>Kerala</t>
        </is>
      </c>
      <c r="D2032" s="20" t="inlineStr">
        <is>
          <t>KL13AL6637</t>
        </is>
      </c>
      <c r="E2032" s="20" t="inlineStr">
        <is>
          <t>MARUTI SUZUKI</t>
        </is>
      </c>
      <c r="F2032" s="20" t="inlineStr">
        <is>
          <t>Baleno</t>
        </is>
      </c>
      <c r="G2032" s="21" t="n"/>
      <c r="H2032" s="22" t="n">
        <v>63000</v>
      </c>
      <c r="I2032" s="22" t="n">
        <v>480000</v>
      </c>
      <c r="J2032" s="20" t="inlineStr">
        <is>
          <t>MARVEL MOTORS</t>
        </is>
      </c>
      <c r="K2032" s="20" t="inlineStr">
        <is>
          <t>Non-Captive</t>
        </is>
      </c>
      <c r="L2032" s="20" t="inlineStr">
        <is>
          <t>APCO HYUNDAI</t>
        </is>
      </c>
      <c r="M2032" s="23" t="n">
        <v>4237.29</v>
      </c>
    </row>
    <row r="2033">
      <c r="A2033" s="19" t="inlineStr">
        <is>
          <t>FY27</t>
        </is>
      </c>
      <c r="B2033" s="19" t="inlineStr">
        <is>
          <t>May</t>
        </is>
      </c>
      <c r="C2033" s="19" t="inlineStr">
        <is>
          <t>Kerala</t>
        </is>
      </c>
      <c r="D2033" s="20" t="inlineStr">
        <is>
          <t>KL18S8035</t>
        </is>
      </c>
      <c r="E2033" s="20" t="inlineStr">
        <is>
          <t>MARUTI SUZUKI</t>
        </is>
      </c>
      <c r="F2033" s="20" t="inlineStr">
        <is>
          <t>Wagon R</t>
        </is>
      </c>
      <c r="G2033" s="21" t="n"/>
      <c r="H2033" s="22" t="n">
        <v>124000</v>
      </c>
      <c r="I2033" s="22" t="n">
        <v>265000</v>
      </c>
      <c r="J2033" s="20" t="inlineStr">
        <is>
          <t>SANOOP</t>
        </is>
      </c>
      <c r="K2033" s="20" t="inlineStr">
        <is>
          <t>Non-Captive</t>
        </is>
      </c>
      <c r="L2033" s="20" t="inlineStr">
        <is>
          <t>INDUS MARUTI</t>
        </is>
      </c>
      <c r="M2033" s="23" t="n">
        <v>4237.29</v>
      </c>
    </row>
    <row r="2034">
      <c r="A2034" s="19" t="inlineStr">
        <is>
          <t>FY27</t>
        </is>
      </c>
      <c r="B2034" s="19" t="inlineStr">
        <is>
          <t>May</t>
        </is>
      </c>
      <c r="C2034" s="19" t="inlineStr">
        <is>
          <t>Kerala</t>
        </is>
      </c>
      <c r="D2034" s="20" t="inlineStr">
        <is>
          <t>KL58X9251</t>
        </is>
      </c>
      <c r="E2034" s="20" t="inlineStr">
        <is>
          <t>MARUTI SUZUKI</t>
        </is>
      </c>
      <c r="F2034" s="20" t="inlineStr">
        <is>
          <t>Alto</t>
        </is>
      </c>
      <c r="G2034" s="21" t="n"/>
      <c r="H2034" s="22" t="n">
        <v>40000</v>
      </c>
      <c r="I2034" s="22" t="n">
        <v>250000</v>
      </c>
      <c r="J2034" s="20" t="inlineStr">
        <is>
          <t>SANOOP</t>
        </is>
      </c>
      <c r="K2034" s="20" t="inlineStr">
        <is>
          <t>Non-Captive</t>
        </is>
      </c>
      <c r="L2034" s="20" t="inlineStr">
        <is>
          <t>UCD MITHUN</t>
        </is>
      </c>
      <c r="M2034" s="23" t="n">
        <v>4237.29</v>
      </c>
    </row>
    <row r="2035">
      <c r="A2035" s="19" t="inlineStr">
        <is>
          <t>FY27</t>
        </is>
      </c>
      <c r="B2035" s="19" t="inlineStr">
        <is>
          <t>May</t>
        </is>
      </c>
      <c r="C2035" s="19" t="inlineStr">
        <is>
          <t>Kerala</t>
        </is>
      </c>
      <c r="D2035" s="20" t="inlineStr">
        <is>
          <t>KL14T6473</t>
        </is>
      </c>
      <c r="E2035" s="20" t="inlineStr">
        <is>
          <t>RENAULT</t>
        </is>
      </c>
      <c r="F2035" s="20" t="inlineStr">
        <is>
          <t>Kwid</t>
        </is>
      </c>
      <c r="G2035" s="21" t="n"/>
      <c r="H2035" s="22" t="n">
        <v>117000</v>
      </c>
      <c r="I2035" s="22" t="n">
        <v>90000</v>
      </c>
      <c r="J2035" s="20" t="inlineStr">
        <is>
          <t>SANOOP</t>
        </is>
      </c>
      <c r="K2035" s="20" t="inlineStr">
        <is>
          <t>Non-Captive</t>
        </is>
      </c>
      <c r="L2035" s="20" t="inlineStr">
        <is>
          <t>UCD PRAJU</t>
        </is>
      </c>
      <c r="M2035" s="23" t="n">
        <v>8474.58</v>
      </c>
    </row>
    <row r="2036">
      <c r="A2036" s="19" t="inlineStr">
        <is>
          <t>FY27</t>
        </is>
      </c>
      <c r="B2036" s="19" t="inlineStr">
        <is>
          <t>May</t>
        </is>
      </c>
      <c r="C2036" s="19" t="inlineStr">
        <is>
          <t>Kerala</t>
        </is>
      </c>
      <c r="D2036" s="20" t="inlineStr">
        <is>
          <t>KL43F2744</t>
        </is>
      </c>
      <c r="E2036" s="20" t="inlineStr">
        <is>
          <t>MARUTI SUZUKI</t>
        </is>
      </c>
      <c r="F2036" s="20" t="inlineStr">
        <is>
          <t>Wagon R</t>
        </is>
      </c>
      <c r="G2036" s="21" t="n"/>
      <c r="H2036" s="22" t="n">
        <v>119074</v>
      </c>
      <c r="I2036" s="22" t="n">
        <v>90000</v>
      </c>
      <c r="J2036" s="20" t="inlineStr">
        <is>
          <t>CARS24</t>
        </is>
      </c>
      <c r="K2036" s="20" t="inlineStr">
        <is>
          <t>Non-Captive</t>
        </is>
      </c>
      <c r="L2036" s="20" t="inlineStr">
        <is>
          <t>RAFEEK T A</t>
        </is>
      </c>
      <c r="M2036" s="23" t="n">
        <v>8474.58</v>
      </c>
    </row>
    <row r="2037">
      <c r="A2037" s="19" t="inlineStr">
        <is>
          <t>FY27</t>
        </is>
      </c>
      <c r="B2037" s="19" t="inlineStr">
        <is>
          <t>May</t>
        </is>
      </c>
      <c r="C2037" s="19" t="inlineStr">
        <is>
          <t>Kerala</t>
        </is>
      </c>
      <c r="D2037" s="20" t="inlineStr">
        <is>
          <t>KL43P2784</t>
        </is>
      </c>
      <c r="E2037" s="20" t="inlineStr">
        <is>
          <t>MARUTI SUZUKI</t>
        </is>
      </c>
      <c r="F2037" s="20" t="inlineStr">
        <is>
          <t>Wagon R</t>
        </is>
      </c>
      <c r="G2037" s="21" t="n"/>
      <c r="H2037" s="22" t="n">
        <v>69800</v>
      </c>
      <c r="I2037" s="22" t="n">
        <v>460000</v>
      </c>
      <c r="J2037" s="20" t="inlineStr">
        <is>
          <t>CARS24</t>
        </is>
      </c>
      <c r="K2037" s="20" t="inlineStr">
        <is>
          <t>Non-Captive</t>
        </is>
      </c>
      <c r="L2037" s="20" t="inlineStr">
        <is>
          <t>HAVEN MOTORS</t>
        </is>
      </c>
      <c r="M2037" s="23" t="n">
        <v>8474.58</v>
      </c>
    </row>
    <row r="2038">
      <c r="A2038" s="19" t="inlineStr">
        <is>
          <t>FY27</t>
        </is>
      </c>
      <c r="B2038" s="19" t="inlineStr">
        <is>
          <t>May</t>
        </is>
      </c>
      <c r="C2038" s="19" t="inlineStr">
        <is>
          <t>Kerala</t>
        </is>
      </c>
      <c r="D2038" s="20" t="inlineStr">
        <is>
          <t>KL04AU9238</t>
        </is>
      </c>
      <c r="E2038" s="20" t="inlineStr">
        <is>
          <t>NISSAN</t>
        </is>
      </c>
      <c r="F2038" s="20" t="inlineStr">
        <is>
          <t>Terrano</t>
        </is>
      </c>
      <c r="G2038" s="21" t="n"/>
      <c r="H2038" s="22" t="n">
        <v>129020</v>
      </c>
      <c r="I2038" s="22" t="n">
        <v>150000</v>
      </c>
      <c r="J2038" s="20" t="inlineStr">
        <is>
          <t>POPULAR MARUTI</t>
        </is>
      </c>
      <c r="K2038" s="20" t="inlineStr">
        <is>
          <t>Non-Captive</t>
        </is>
      </c>
      <c r="L2038" s="20" t="inlineStr">
        <is>
          <t>PRAVEEN KUMAR</t>
        </is>
      </c>
      <c r="M2038" s="23" t="n">
        <v>8474.58</v>
      </c>
    </row>
    <row r="2039">
      <c r="A2039" s="19" t="inlineStr">
        <is>
          <t>FY27</t>
        </is>
      </c>
      <c r="B2039" s="19" t="inlineStr">
        <is>
          <t>May</t>
        </is>
      </c>
      <c r="C2039" s="19" t="inlineStr">
        <is>
          <t>Kerala</t>
        </is>
      </c>
      <c r="D2039" s="20" t="inlineStr">
        <is>
          <t>KL03N5200</t>
        </is>
      </c>
      <c r="E2039" s="20" t="inlineStr">
        <is>
          <t>HONDA</t>
        </is>
      </c>
      <c r="F2039" s="20" t="inlineStr">
        <is>
          <t>City</t>
        </is>
      </c>
      <c r="G2039" s="21" t="n"/>
      <c r="H2039" s="22" t="n">
        <v>182345</v>
      </c>
      <c r="I2039" s="22" t="n">
        <v>100000</v>
      </c>
      <c r="J2039" s="20" t="inlineStr">
        <is>
          <t>MUHAMMED SHAJI</t>
        </is>
      </c>
      <c r="K2039" s="20" t="inlineStr">
        <is>
          <t>Non-Captive</t>
        </is>
      </c>
      <c r="L2039" s="20" t="inlineStr">
        <is>
          <t>ANAS VH</t>
        </is>
      </c>
      <c r="M2039" s="23" t="n">
        <v>8474.58</v>
      </c>
    </row>
    <row r="2040">
      <c r="A2040" s="19" t="inlineStr">
        <is>
          <t>FY27</t>
        </is>
      </c>
      <c r="B2040" s="19" t="inlineStr">
        <is>
          <t>May</t>
        </is>
      </c>
      <c r="C2040" s="19" t="inlineStr">
        <is>
          <t>Kerala</t>
        </is>
      </c>
      <c r="D2040" s="20" t="inlineStr">
        <is>
          <t>KL28B5032</t>
        </is>
      </c>
      <c r="E2040" s="20" t="inlineStr">
        <is>
          <t>HYUNDAI</t>
        </is>
      </c>
      <c r="F2040" s="20" t="inlineStr">
        <is>
          <t>Grand I10</t>
        </is>
      </c>
      <c r="G2040" s="21" t="n"/>
      <c r="H2040" s="22" t="n">
        <v>96757</v>
      </c>
      <c r="I2040" s="22" t="n">
        <v>260000</v>
      </c>
      <c r="J2040" s="20" t="inlineStr">
        <is>
          <t>AMRITH V CHANDY</t>
        </is>
      </c>
      <c r="K2040" s="20" t="inlineStr">
        <is>
          <t>Non-Captive</t>
        </is>
      </c>
      <c r="L2040" s="20" t="inlineStr">
        <is>
          <t>DREAM DRIVE</t>
        </is>
      </c>
      <c r="M2040" s="23" t="n">
        <v>8474.58</v>
      </c>
    </row>
    <row r="2041">
      <c r="A2041" s="19" t="inlineStr">
        <is>
          <t>FY27</t>
        </is>
      </c>
      <c r="B2041" s="19" t="inlineStr">
        <is>
          <t>May</t>
        </is>
      </c>
      <c r="C2041" s="19" t="inlineStr">
        <is>
          <t>Kerala</t>
        </is>
      </c>
      <c r="D2041" s="20" t="inlineStr">
        <is>
          <t>KL05X1309</t>
        </is>
      </c>
      <c r="E2041" s="20" t="inlineStr">
        <is>
          <t>MARUTI SUZUKI</t>
        </is>
      </c>
      <c r="F2041" s="20" t="inlineStr">
        <is>
          <t>Wagon R</t>
        </is>
      </c>
      <c r="G2041" s="21" t="n"/>
      <c r="H2041" s="22" t="n">
        <v>130927</v>
      </c>
      <c r="I2041" s="22" t="n">
        <v>20000</v>
      </c>
      <c r="J2041" s="20" t="inlineStr">
        <is>
          <t>AMRITH V CHANDY</t>
        </is>
      </c>
      <c r="K2041" s="20" t="inlineStr">
        <is>
          <t>Non-Captive</t>
        </is>
      </c>
      <c r="L2041" s="20" t="inlineStr">
        <is>
          <t>DREAM DRIVE</t>
        </is>
      </c>
      <c r="M2041" s="23" t="n">
        <v>8474.58</v>
      </c>
    </row>
    <row r="2042">
      <c r="A2042" s="19" t="inlineStr">
        <is>
          <t>FY27</t>
        </is>
      </c>
      <c r="B2042" s="19" t="inlineStr">
        <is>
          <t>May</t>
        </is>
      </c>
      <c r="C2042" s="19" t="inlineStr">
        <is>
          <t>Kerala</t>
        </is>
      </c>
      <c r="D2042" s="20" t="inlineStr">
        <is>
          <t>KL07CA0989</t>
        </is>
      </c>
      <c r="E2042" s="20" t="inlineStr">
        <is>
          <t>HYUNDAI</t>
        </is>
      </c>
      <c r="F2042" s="20" t="inlineStr">
        <is>
          <t>Grand I10</t>
        </is>
      </c>
      <c r="G2042" s="21" t="n"/>
      <c r="H2042" s="22" t="n">
        <v>61971</v>
      </c>
      <c r="I2042" s="22" t="n">
        <v>190000</v>
      </c>
      <c r="J2042" s="20" t="inlineStr">
        <is>
          <t>POPULAR HYUNDAI</t>
        </is>
      </c>
      <c r="K2042" s="20" t="inlineStr">
        <is>
          <t>Non-Captive</t>
        </is>
      </c>
      <c r="L2042" s="20" t="inlineStr">
        <is>
          <t>VISHNU M S</t>
        </is>
      </c>
      <c r="M2042" s="23" t="n">
        <v>8474.58</v>
      </c>
    </row>
    <row r="2043">
      <c r="A2043" s="19" t="inlineStr">
        <is>
          <t>FY27</t>
        </is>
      </c>
      <c r="B2043" s="19" t="inlineStr">
        <is>
          <t>May</t>
        </is>
      </c>
      <c r="C2043" s="19" t="inlineStr">
        <is>
          <t>Kerala</t>
        </is>
      </c>
      <c r="D2043" s="20" t="inlineStr">
        <is>
          <t>KL01CM8954</t>
        </is>
      </c>
      <c r="E2043" s="20" t="inlineStr">
        <is>
          <t>FORD</t>
        </is>
      </c>
      <c r="F2043" s="20" t="inlineStr">
        <is>
          <t>Ecosport</t>
        </is>
      </c>
      <c r="G2043" s="21" t="n"/>
      <c r="H2043" s="22" t="n">
        <v>47000</v>
      </c>
      <c r="I2043" s="22" t="n">
        <v>550000</v>
      </c>
      <c r="J2043" s="20" t="inlineStr">
        <is>
          <t>POPULAR MARUTI</t>
        </is>
      </c>
      <c r="K2043" s="20" t="inlineStr">
        <is>
          <t>Non-Captive</t>
        </is>
      </c>
      <c r="L2043" s="20" t="inlineStr">
        <is>
          <t>CARLINK</t>
        </is>
      </c>
      <c r="M2043" s="23" t="n">
        <v>11016.95</v>
      </c>
    </row>
    <row r="2044">
      <c r="A2044" s="19" t="inlineStr">
        <is>
          <t>FY27</t>
        </is>
      </c>
      <c r="B2044" s="19" t="inlineStr">
        <is>
          <t>May</t>
        </is>
      </c>
      <c r="C2044" s="19" t="inlineStr">
        <is>
          <t>Kerala</t>
        </is>
      </c>
      <c r="D2044" s="20" t="inlineStr">
        <is>
          <t>KL07CJ7840</t>
        </is>
      </c>
      <c r="E2044" s="20" t="inlineStr">
        <is>
          <t>MARUTI SUZUKI</t>
        </is>
      </c>
      <c r="F2044" s="20" t="inlineStr">
        <is>
          <t>Celerio</t>
        </is>
      </c>
      <c r="G2044" s="21" t="n"/>
      <c r="H2044" s="22" t="n">
        <v>33290</v>
      </c>
      <c r="I2044" s="22" t="n">
        <v>280000</v>
      </c>
      <c r="J2044" s="20" t="inlineStr">
        <is>
          <t>MAIJO MARUTI</t>
        </is>
      </c>
      <c r="K2044" s="20" t="inlineStr">
        <is>
          <t>Non-Captive</t>
        </is>
      </c>
      <c r="L2044" s="20" t="inlineStr">
        <is>
          <t>SANOOB V A</t>
        </is>
      </c>
      <c r="M2044" s="23" t="n">
        <v>8474.58</v>
      </c>
    </row>
    <row r="2045">
      <c r="A2045" s="19" t="inlineStr">
        <is>
          <t>FY27</t>
        </is>
      </c>
      <c r="B2045" s="19" t="inlineStr">
        <is>
          <t>May</t>
        </is>
      </c>
      <c r="C2045" s="19" t="inlineStr">
        <is>
          <t>Kerala</t>
        </is>
      </c>
      <c r="D2045" s="20" t="inlineStr">
        <is>
          <t>KL08BJ2680</t>
        </is>
      </c>
      <c r="E2045" s="20" t="inlineStr">
        <is>
          <t>MAHINDRA</t>
        </is>
      </c>
      <c r="F2045" s="20" t="inlineStr">
        <is>
          <t>Xuv500</t>
        </is>
      </c>
      <c r="G2045" s="21" t="n"/>
      <c r="H2045" s="22" t="n">
        <v>151000</v>
      </c>
      <c r="I2045" s="22" t="n">
        <v>485000</v>
      </c>
      <c r="J2045" s="20" t="inlineStr">
        <is>
          <t>INCHEON KIA</t>
        </is>
      </c>
      <c r="K2045" s="20" t="inlineStr">
        <is>
          <t>Non-Captive</t>
        </is>
      </c>
      <c r="L2045" s="20" t="inlineStr">
        <is>
          <t>AITOS CARS</t>
        </is>
      </c>
      <c r="M2045" s="23" t="n">
        <v>8474.58</v>
      </c>
    </row>
    <row r="2046">
      <c r="A2046" s="19" t="inlineStr">
        <is>
          <t>FY27</t>
        </is>
      </c>
      <c r="B2046" s="19" t="inlineStr">
        <is>
          <t>May</t>
        </is>
      </c>
      <c r="C2046" s="19" t="inlineStr">
        <is>
          <t>Kerala</t>
        </is>
      </c>
      <c r="D2046" s="20" t="inlineStr">
        <is>
          <t>KL08BL3836</t>
        </is>
      </c>
      <c r="E2046" s="20" t="inlineStr">
        <is>
          <t>HYUNDAI</t>
        </is>
      </c>
      <c r="F2046" s="20" t="inlineStr">
        <is>
          <t>Eon</t>
        </is>
      </c>
      <c r="G2046" s="21" t="n"/>
      <c r="H2046" s="22" t="n">
        <v>82000</v>
      </c>
      <c r="I2046" s="22" t="n">
        <v>120000</v>
      </c>
      <c r="J2046" s="20" t="inlineStr">
        <is>
          <t>POPULAR MARUTI</t>
        </is>
      </c>
      <c r="K2046" s="20" t="inlineStr">
        <is>
          <t>Non-Captive</t>
        </is>
      </c>
      <c r="L2046" s="20" t="inlineStr">
        <is>
          <t>AITOS CARS</t>
        </is>
      </c>
      <c r="M2046" s="23" t="n">
        <v>12711.86</v>
      </c>
    </row>
    <row r="2047">
      <c r="A2047" s="19" t="inlineStr">
        <is>
          <t>FY27</t>
        </is>
      </c>
      <c r="B2047" s="19" t="inlineStr">
        <is>
          <t>May</t>
        </is>
      </c>
      <c r="C2047" s="19" t="inlineStr">
        <is>
          <t>Kerala</t>
        </is>
      </c>
      <c r="D2047" s="20" t="inlineStr">
        <is>
          <t>KL01BW0013</t>
        </is>
      </c>
      <c r="E2047" s="20" t="inlineStr">
        <is>
          <t>HONDA</t>
        </is>
      </c>
      <c r="F2047" s="20" t="inlineStr">
        <is>
          <t>Jazz</t>
        </is>
      </c>
      <c r="G2047" s="21" t="n"/>
      <c r="H2047" s="22" t="n">
        <v>61863</v>
      </c>
      <c r="I2047" s="22" t="n">
        <v>365000</v>
      </c>
      <c r="J2047" s="20" t="inlineStr">
        <is>
          <t>INCHEON KIA</t>
        </is>
      </c>
      <c r="K2047" s="20" t="inlineStr">
        <is>
          <t>Non-Captive</t>
        </is>
      </c>
      <c r="L2047" s="20" t="inlineStr">
        <is>
          <t>CLIND</t>
        </is>
      </c>
      <c r="M2047" s="23" t="n">
        <v>8474.58</v>
      </c>
    </row>
    <row r="2048">
      <c r="A2048" s="19" t="inlineStr">
        <is>
          <t>FY27</t>
        </is>
      </c>
      <c r="B2048" s="19" t="inlineStr">
        <is>
          <t>May</t>
        </is>
      </c>
      <c r="C2048" s="19" t="inlineStr">
        <is>
          <t>Kerala</t>
        </is>
      </c>
      <c r="D2048" s="20" t="inlineStr">
        <is>
          <t>KL01CS2322</t>
        </is>
      </c>
      <c r="E2048" s="20" t="inlineStr">
        <is>
          <t>MARUTI SUZUKI</t>
        </is>
      </c>
      <c r="F2048" s="20" t="inlineStr">
        <is>
          <t>Eeco</t>
        </is>
      </c>
      <c r="G2048" s="21" t="n"/>
      <c r="H2048" s="22" t="n">
        <v>47665</v>
      </c>
      <c r="I2048" s="22" t="n">
        <v>340000</v>
      </c>
      <c r="J2048" s="20" t="inlineStr">
        <is>
          <t>INCHEON KIA</t>
        </is>
      </c>
      <c r="K2048" s="20" t="inlineStr">
        <is>
          <t>Non-Captive</t>
        </is>
      </c>
      <c r="L2048" s="20" t="inlineStr">
        <is>
          <t>MAXX MOTORS</t>
        </is>
      </c>
      <c r="M2048" s="23" t="n">
        <v>8474.58</v>
      </c>
    </row>
    <row r="2049">
      <c r="A2049" s="19" t="inlineStr">
        <is>
          <t>FY27</t>
        </is>
      </c>
      <c r="B2049" s="19" t="inlineStr">
        <is>
          <t>May</t>
        </is>
      </c>
      <c r="C2049" s="19" t="inlineStr">
        <is>
          <t>Kerala</t>
        </is>
      </c>
      <c r="D2049" s="20" t="inlineStr">
        <is>
          <t>KL01BJ8385</t>
        </is>
      </c>
      <c r="E2049" s="20" t="inlineStr">
        <is>
          <t>MARUTI SUZUKI</t>
        </is>
      </c>
      <c r="F2049" s="20" t="inlineStr">
        <is>
          <t>K10</t>
        </is>
      </c>
      <c r="G2049" s="21" t="n"/>
      <c r="H2049" s="22" t="n">
        <v>79195</v>
      </c>
      <c r="I2049" s="22" t="n">
        <v>110000</v>
      </c>
      <c r="J2049" s="20" t="inlineStr">
        <is>
          <t>LUXON TATA</t>
        </is>
      </c>
      <c r="K2049" s="20" t="inlineStr">
        <is>
          <t>Non-Captive</t>
        </is>
      </c>
      <c r="L2049" s="20" t="inlineStr">
        <is>
          <t>KISHORE</t>
        </is>
      </c>
      <c r="M2049" s="23" t="n">
        <v>5932.2</v>
      </c>
    </row>
    <row r="2050">
      <c r="A2050" s="19" t="inlineStr">
        <is>
          <t>FY27</t>
        </is>
      </c>
      <c r="B2050" s="19" t="inlineStr">
        <is>
          <t>May</t>
        </is>
      </c>
      <c r="C2050" s="19" t="inlineStr">
        <is>
          <t>Kerala</t>
        </is>
      </c>
      <c r="D2050" s="20" t="inlineStr">
        <is>
          <t>KL01BF8125</t>
        </is>
      </c>
      <c r="E2050" s="20" t="inlineStr">
        <is>
          <t>MARUTI SUZUKI</t>
        </is>
      </c>
      <c r="F2050" s="20" t="inlineStr">
        <is>
          <t>Alto</t>
        </is>
      </c>
      <c r="G2050" s="21" t="n"/>
      <c r="H2050" s="22" t="n">
        <v>32780</v>
      </c>
      <c r="I2050" s="22" t="n">
        <v>80000</v>
      </c>
      <c r="J2050" s="20" t="inlineStr">
        <is>
          <t>LUXON TATA</t>
        </is>
      </c>
      <c r="K2050" s="20" t="inlineStr">
        <is>
          <t>Non-Captive</t>
        </is>
      </c>
      <c r="L2050" s="20" t="inlineStr">
        <is>
          <t>PRAJOD</t>
        </is>
      </c>
      <c r="M2050" s="23" t="n">
        <v>5084.75</v>
      </c>
    </row>
    <row r="2051">
      <c r="A2051" s="19" t="inlineStr">
        <is>
          <t>FY27</t>
        </is>
      </c>
      <c r="B2051" s="19" t="inlineStr">
        <is>
          <t>May</t>
        </is>
      </c>
      <c r="C2051" s="19" t="inlineStr">
        <is>
          <t>Kerala</t>
        </is>
      </c>
      <c r="D2051" s="20" t="inlineStr">
        <is>
          <t>KL01CC7499</t>
        </is>
      </c>
      <c r="E2051" s="20" t="inlineStr">
        <is>
          <t>RENAULT</t>
        </is>
      </c>
      <c r="F2051" s="20" t="inlineStr">
        <is>
          <t>Kwid</t>
        </is>
      </c>
      <c r="G2051" s="21" t="n"/>
      <c r="H2051" s="22" t="n">
        <v>49200</v>
      </c>
      <c r="I2051" s="22" t="n">
        <v>150000</v>
      </c>
      <c r="J2051" s="20" t="inlineStr">
        <is>
          <t>INCHEON KIA</t>
        </is>
      </c>
      <c r="K2051" s="20" t="inlineStr">
        <is>
          <t>Non-Captive</t>
        </is>
      </c>
      <c r="L2051" s="20" t="inlineStr">
        <is>
          <t>KISHORE</t>
        </is>
      </c>
      <c r="M2051" s="23" t="n">
        <v>5932.2</v>
      </c>
    </row>
    <row r="2052">
      <c r="A2052" s="19" t="inlineStr">
        <is>
          <t>FY27</t>
        </is>
      </c>
      <c r="B2052" s="19" t="inlineStr">
        <is>
          <t>May</t>
        </is>
      </c>
      <c r="C2052" s="19" t="inlineStr">
        <is>
          <t>Kerala</t>
        </is>
      </c>
      <c r="D2052" s="20" t="inlineStr">
        <is>
          <t>KL05Z2324</t>
        </is>
      </c>
      <c r="E2052" s="20" t="inlineStr">
        <is>
          <t>HYUNDAI</t>
        </is>
      </c>
      <c r="F2052" s="20" t="inlineStr">
        <is>
          <t>Santro</t>
        </is>
      </c>
      <c r="G2052" s="21" t="n"/>
      <c r="H2052" s="22" t="n">
        <v>71887</v>
      </c>
      <c r="I2052" s="22" t="n">
        <v>70000</v>
      </c>
      <c r="J2052" s="20" t="inlineStr">
        <is>
          <t>POPULAR MARUTI</t>
        </is>
      </c>
      <c r="K2052" s="20" t="inlineStr">
        <is>
          <t>Non-Captive</t>
        </is>
      </c>
      <c r="L2052" s="20" t="inlineStr">
        <is>
          <t>AITOS CARS</t>
        </is>
      </c>
      <c r="M2052" s="23" t="n">
        <v>12711.86</v>
      </c>
    </row>
    <row r="2053">
      <c r="A2053" s="19" t="inlineStr">
        <is>
          <t>FY27</t>
        </is>
      </c>
      <c r="B2053" s="19" t="inlineStr">
        <is>
          <t>May</t>
        </is>
      </c>
      <c r="C2053" s="19" t="inlineStr">
        <is>
          <t>Kerala</t>
        </is>
      </c>
      <c r="D2053" s="20" t="inlineStr">
        <is>
          <t>KL11BC2309</t>
        </is>
      </c>
      <c r="E2053" s="20" t="inlineStr">
        <is>
          <t>MARUTI SUZUKI</t>
        </is>
      </c>
      <c r="F2053" s="20" t="inlineStr">
        <is>
          <t>Brezza</t>
        </is>
      </c>
      <c r="G2053" s="21" t="n"/>
      <c r="H2053" s="22" t="n">
        <v>78000</v>
      </c>
      <c r="I2053" s="22" t="n">
        <v>625000</v>
      </c>
      <c r="J2053" s="20" t="inlineStr">
        <is>
          <t>RATHEESH</t>
        </is>
      </c>
      <c r="K2053" s="20" t="inlineStr">
        <is>
          <t>Non-Captive</t>
        </is>
      </c>
      <c r="L2053" s="20" t="inlineStr">
        <is>
          <t>BIMAL</t>
        </is>
      </c>
      <c r="M2053" s="23" t="n">
        <v>8474.58</v>
      </c>
    </row>
    <row r="2054">
      <c r="A2054" s="19" t="inlineStr">
        <is>
          <t>FY27</t>
        </is>
      </c>
      <c r="B2054" s="19" t="inlineStr">
        <is>
          <t>May</t>
        </is>
      </c>
      <c r="C2054" s="19" t="inlineStr">
        <is>
          <t>Kerala</t>
        </is>
      </c>
      <c r="D2054" s="20" t="inlineStr">
        <is>
          <t>KL60R8996</t>
        </is>
      </c>
      <c r="E2054" s="20" t="inlineStr">
        <is>
          <t>RENAULT</t>
        </is>
      </c>
      <c r="F2054" s="20" t="inlineStr">
        <is>
          <t>Triber</t>
        </is>
      </c>
      <c r="G2054" s="21" t="n"/>
      <c r="H2054" s="22" t="n">
        <v>66000</v>
      </c>
      <c r="I2054" s="22" t="n">
        <v>400000</v>
      </c>
      <c r="J2054" s="20" t="inlineStr">
        <is>
          <t>ISMAIL FARHAN</t>
        </is>
      </c>
      <c r="K2054" s="20" t="inlineStr">
        <is>
          <t>Non-Captive</t>
        </is>
      </c>
      <c r="L2054" s="20" t="inlineStr">
        <is>
          <t>UCD REJU</t>
        </is>
      </c>
      <c r="M2054" s="23" t="n">
        <v>8474.58</v>
      </c>
    </row>
    <row r="2055">
      <c r="A2055" s="19" t="inlineStr">
        <is>
          <t>FY27</t>
        </is>
      </c>
      <c r="B2055" s="19" t="inlineStr">
        <is>
          <t>May</t>
        </is>
      </c>
      <c r="C2055" s="19" t="inlineStr">
        <is>
          <t>Kerala</t>
        </is>
      </c>
      <c r="D2055" s="20" t="inlineStr">
        <is>
          <t>KL56V0343</t>
        </is>
      </c>
      <c r="E2055" s="20" t="inlineStr">
        <is>
          <t>MARUTI SUZUKI</t>
        </is>
      </c>
      <c r="F2055" s="20" t="inlineStr">
        <is>
          <t>Swift</t>
        </is>
      </c>
      <c r="G2055" s="21" t="n"/>
      <c r="H2055" s="22" t="n">
        <v>55000</v>
      </c>
      <c r="I2055" s="22" t="n">
        <v>400000</v>
      </c>
      <c r="J2055" s="20" t="inlineStr">
        <is>
          <t>HAMSA</t>
        </is>
      </c>
      <c r="K2055" s="20" t="inlineStr">
        <is>
          <t>Non-Captive</t>
        </is>
      </c>
      <c r="L2055" s="20" t="inlineStr">
        <is>
          <t>BIMAL</t>
        </is>
      </c>
      <c r="M2055" s="23" t="n">
        <v>4237.29</v>
      </c>
    </row>
    <row r="2056">
      <c r="A2056" s="19" t="inlineStr">
        <is>
          <t>FY27</t>
        </is>
      </c>
      <c r="B2056" s="19" t="inlineStr">
        <is>
          <t>May</t>
        </is>
      </c>
      <c r="C2056" s="19" t="inlineStr">
        <is>
          <t>Kerala</t>
        </is>
      </c>
      <c r="D2056" s="20" t="inlineStr">
        <is>
          <t>KL57F6284</t>
        </is>
      </c>
      <c r="E2056" s="20" t="inlineStr">
        <is>
          <t>MARUTI SUZUKI</t>
        </is>
      </c>
      <c r="F2056" s="20" t="inlineStr">
        <is>
          <t>Swift Dzire</t>
        </is>
      </c>
      <c r="G2056" s="21" t="n"/>
      <c r="H2056" s="22" t="n">
        <v>142000</v>
      </c>
      <c r="I2056" s="22" t="n">
        <v>243000</v>
      </c>
      <c r="J2056" s="20" t="inlineStr">
        <is>
          <t>UNAISE</t>
        </is>
      </c>
      <c r="K2056" s="20" t="inlineStr">
        <is>
          <t>Non-Captive</t>
        </is>
      </c>
      <c r="L2056" s="20" t="inlineStr">
        <is>
          <t>UCD NOUSHAD</t>
        </is>
      </c>
      <c r="M2056" s="23" t="n">
        <v>5932.2</v>
      </c>
    </row>
    <row r="2057">
      <c r="A2057" s="19" t="inlineStr">
        <is>
          <t>FY27</t>
        </is>
      </c>
      <c r="B2057" s="19" t="inlineStr">
        <is>
          <t>May</t>
        </is>
      </c>
      <c r="C2057" s="19" t="inlineStr">
        <is>
          <t>Kerala</t>
        </is>
      </c>
      <c r="D2057" s="20" t="inlineStr">
        <is>
          <t>KL10AW0956</t>
        </is>
      </c>
      <c r="E2057" s="20" t="inlineStr">
        <is>
          <t>RENAULT</t>
        </is>
      </c>
      <c r="F2057" s="20" t="inlineStr">
        <is>
          <t>Kwid</t>
        </is>
      </c>
      <c r="G2057" s="21" t="n"/>
      <c r="H2057" s="22" t="n">
        <v>71000</v>
      </c>
      <c r="I2057" s="22" t="n">
        <v>145000</v>
      </c>
      <c r="J2057" s="20" t="inlineStr">
        <is>
          <t>SANOOP</t>
        </is>
      </c>
      <c r="K2057" s="20" t="inlineStr">
        <is>
          <t>Non-Captive</t>
        </is>
      </c>
      <c r="L2057" s="20" t="inlineStr">
        <is>
          <t>UCD ABHILASH</t>
        </is>
      </c>
      <c r="M2057" s="23" t="n">
        <v>8474.58</v>
      </c>
    </row>
    <row r="2058">
      <c r="A2058" s="19" t="inlineStr">
        <is>
          <t>FY27</t>
        </is>
      </c>
      <c r="B2058" s="19" t="inlineStr">
        <is>
          <t>May</t>
        </is>
      </c>
      <c r="C2058" s="19" t="inlineStr">
        <is>
          <t>Kerala</t>
        </is>
      </c>
      <c r="D2058" s="20" t="inlineStr">
        <is>
          <t>KL58B6344</t>
        </is>
      </c>
      <c r="E2058" s="20" t="inlineStr">
        <is>
          <t>MARUTI SUZUKI</t>
        </is>
      </c>
      <c r="F2058" s="20" t="inlineStr">
        <is>
          <t>Wagon R</t>
        </is>
      </c>
      <c r="G2058" s="21" t="n"/>
      <c r="H2058" s="22" t="n">
        <v>61000</v>
      </c>
      <c r="I2058" s="22" t="n">
        <v>105000</v>
      </c>
      <c r="J2058" s="20" t="inlineStr">
        <is>
          <t>UMARALI</t>
        </is>
      </c>
      <c r="K2058" s="20" t="inlineStr">
        <is>
          <t>Non-Captive</t>
        </is>
      </c>
      <c r="L2058" s="20" t="inlineStr">
        <is>
          <t>MARVEL</t>
        </is>
      </c>
      <c r="M2058" s="23" t="n">
        <v>4237.29</v>
      </c>
    </row>
    <row r="2059">
      <c r="A2059" s="19" t="inlineStr">
        <is>
          <t>FY27</t>
        </is>
      </c>
      <c r="B2059" s="19" t="inlineStr">
        <is>
          <t>May</t>
        </is>
      </c>
      <c r="C2059" s="19" t="inlineStr">
        <is>
          <t>Kerala</t>
        </is>
      </c>
      <c r="D2059" s="20" t="inlineStr">
        <is>
          <t>KL13AH5183</t>
        </is>
      </c>
      <c r="E2059" s="20" t="inlineStr">
        <is>
          <t>RENAULT</t>
        </is>
      </c>
      <c r="F2059" s="20" t="inlineStr">
        <is>
          <t>Kwid</t>
        </is>
      </c>
      <c r="G2059" s="21" t="n"/>
      <c r="H2059" s="22" t="n">
        <v>53000</v>
      </c>
      <c r="I2059" s="22" t="n">
        <v>275000</v>
      </c>
      <c r="J2059" s="20" t="inlineStr">
        <is>
          <t>SABITH</t>
        </is>
      </c>
      <c r="K2059" s="20" t="inlineStr">
        <is>
          <t>Non-Captive</t>
        </is>
      </c>
      <c r="L2059" s="20" t="inlineStr">
        <is>
          <t>VEER MAHINDRA</t>
        </is>
      </c>
      <c r="M2059" s="23" t="n">
        <v>8474.58</v>
      </c>
    </row>
    <row r="2060">
      <c r="A2060" s="19" t="inlineStr">
        <is>
          <t>FY27</t>
        </is>
      </c>
      <c r="B2060" s="19" t="inlineStr">
        <is>
          <t>May</t>
        </is>
      </c>
      <c r="C2060" s="19" t="inlineStr">
        <is>
          <t>Kerala</t>
        </is>
      </c>
      <c r="D2060" s="20" t="inlineStr">
        <is>
          <t>KL587329</t>
        </is>
      </c>
      <c r="E2060" s="20" t="inlineStr">
        <is>
          <t>MARUTI SUZUKI</t>
        </is>
      </c>
      <c r="F2060" s="20" t="inlineStr">
        <is>
          <t>Swift</t>
        </is>
      </c>
      <c r="G2060" s="21" t="n"/>
      <c r="H2060" s="22" t="n">
        <v>158000</v>
      </c>
      <c r="I2060" s="22" t="n">
        <v>60000</v>
      </c>
      <c r="J2060" s="20" t="inlineStr">
        <is>
          <t>NIDEESH MOHAN</t>
        </is>
      </c>
      <c r="K2060" s="20" t="inlineStr">
        <is>
          <t>Non-Captive</t>
        </is>
      </c>
      <c r="L2060" s="20" t="inlineStr">
        <is>
          <t>POPULAR</t>
        </is>
      </c>
      <c r="M2060" s="23" t="n">
        <v>4237.29</v>
      </c>
    </row>
    <row r="2061">
      <c r="A2061" s="19" t="inlineStr">
        <is>
          <t>FY27</t>
        </is>
      </c>
      <c r="B2061" s="19" t="inlineStr">
        <is>
          <t>May</t>
        </is>
      </c>
      <c r="C2061" s="19" t="inlineStr">
        <is>
          <t>Kerala</t>
        </is>
      </c>
      <c r="D2061" s="20" t="inlineStr">
        <is>
          <t>KL58AE8768</t>
        </is>
      </c>
      <c r="E2061" s="20" t="inlineStr">
        <is>
          <t>RENAULT</t>
        </is>
      </c>
      <c r="F2061" s="20" t="inlineStr">
        <is>
          <t>Kwid</t>
        </is>
      </c>
      <c r="G2061" s="21" t="n"/>
      <c r="H2061" s="22" t="n">
        <v>39000</v>
      </c>
      <c r="I2061" s="22" t="n">
        <v>315000</v>
      </c>
      <c r="J2061" s="20" t="inlineStr">
        <is>
          <t>KANNUR PLATINUM</t>
        </is>
      </c>
      <c r="K2061" s="20" t="inlineStr">
        <is>
          <t>Non-Captive</t>
        </is>
      </c>
      <c r="L2061" s="20" t="inlineStr">
        <is>
          <t>ARJID</t>
        </is>
      </c>
      <c r="M2061" s="23" t="n">
        <v>5932.2</v>
      </c>
    </row>
    <row r="2062">
      <c r="A2062" s="19" t="inlineStr">
        <is>
          <t>FY27</t>
        </is>
      </c>
      <c r="B2062" s="19" t="inlineStr">
        <is>
          <t>May</t>
        </is>
      </c>
      <c r="C2062" s="19" t="inlineStr">
        <is>
          <t>Kerala</t>
        </is>
      </c>
      <c r="D2062" s="20" t="inlineStr">
        <is>
          <t>KL08S9609</t>
        </is>
      </c>
      <c r="E2062" s="20" t="inlineStr">
        <is>
          <t>MARUTI SUZUKI</t>
        </is>
      </c>
      <c r="F2062" s="20" t="inlineStr">
        <is>
          <t>M800</t>
        </is>
      </c>
      <c r="G2062" s="21" t="n"/>
      <c r="H2062" s="22" t="n">
        <v>130000</v>
      </c>
      <c r="I2062" s="22" t="n">
        <v>8000</v>
      </c>
      <c r="J2062" s="20" t="inlineStr">
        <is>
          <t>AUTOTRUST</t>
        </is>
      </c>
      <c r="K2062" s="20" t="inlineStr">
        <is>
          <t>Non-Captive</t>
        </is>
      </c>
      <c r="L2062" s="20" t="inlineStr">
        <is>
          <t>POPULAR</t>
        </is>
      </c>
      <c r="M2062" s="23" t="n">
        <v>4237.29</v>
      </c>
    </row>
    <row r="2063">
      <c r="A2063" s="19" t="inlineStr">
        <is>
          <t>FY27</t>
        </is>
      </c>
      <c r="B2063" s="19" t="inlineStr">
        <is>
          <t>May</t>
        </is>
      </c>
      <c r="C2063" s="19" t="inlineStr">
        <is>
          <t>Kerala</t>
        </is>
      </c>
      <c r="D2063" s="20" t="inlineStr">
        <is>
          <t>KL09AH6423</t>
        </is>
      </c>
      <c r="E2063" s="20" t="inlineStr">
        <is>
          <t>HONDA</t>
        </is>
      </c>
      <c r="F2063" s="20" t="inlineStr">
        <is>
          <t>City</t>
        </is>
      </c>
      <c r="G2063" s="21" t="n"/>
      <c r="H2063" s="22" t="n">
        <v>57000</v>
      </c>
      <c r="I2063" s="22" t="n">
        <v>415000</v>
      </c>
      <c r="J2063" s="20" t="inlineStr">
        <is>
          <t>CITROEN EVM</t>
        </is>
      </c>
      <c r="K2063" s="20" t="inlineStr">
        <is>
          <t>Non-Captive</t>
        </is>
      </c>
      <c r="L2063" s="20" t="inlineStr">
        <is>
          <t>AITOS CARS</t>
        </is>
      </c>
      <c r="M2063" s="23" t="n">
        <v>8474.58</v>
      </c>
    </row>
    <row r="2064">
      <c r="A2064" s="19" t="inlineStr">
        <is>
          <t>FY27</t>
        </is>
      </c>
      <c r="B2064" s="19" t="inlineStr">
        <is>
          <t>May</t>
        </is>
      </c>
      <c r="C2064" s="19" t="inlineStr">
        <is>
          <t>Kerala</t>
        </is>
      </c>
      <c r="D2064" s="20" t="inlineStr">
        <is>
          <t>KL47L5209</t>
        </is>
      </c>
      <c r="E2064" s="20" t="inlineStr">
        <is>
          <t>TATA</t>
        </is>
      </c>
      <c r="F2064" s="20" t="inlineStr">
        <is>
          <t>Punch</t>
        </is>
      </c>
      <c r="G2064" s="21" t="n"/>
      <c r="H2064" s="22" t="n">
        <v>17800</v>
      </c>
      <c r="I2064" s="22" t="n">
        <v>570000</v>
      </c>
      <c r="J2064" s="20" t="inlineStr">
        <is>
          <t>PHOENIX VOLKSWAGEN</t>
        </is>
      </c>
      <c r="K2064" s="20" t="inlineStr">
        <is>
          <t>Non-Captive</t>
        </is>
      </c>
      <c r="L2064" s="20" t="inlineStr">
        <is>
          <t>AITOS CARS</t>
        </is>
      </c>
      <c r="M2064" s="23" t="n">
        <v>8474.58</v>
      </c>
    </row>
    <row r="2065">
      <c r="A2065" s="19" t="inlineStr">
        <is>
          <t>FY27</t>
        </is>
      </c>
      <c r="B2065" s="19" t="inlineStr">
        <is>
          <t>May</t>
        </is>
      </c>
      <c r="C2065" s="19" t="inlineStr">
        <is>
          <t>Kerala</t>
        </is>
      </c>
      <c r="D2065" s="20" t="inlineStr">
        <is>
          <t>KL46N7160</t>
        </is>
      </c>
      <c r="E2065" s="20" t="inlineStr">
        <is>
          <t>DATSUN</t>
        </is>
      </c>
      <c r="F2065" s="20" t="inlineStr">
        <is>
          <t>Go Plus</t>
        </is>
      </c>
      <c r="G2065" s="21" t="n"/>
      <c r="H2065" s="22" t="n">
        <v>44500</v>
      </c>
      <c r="I2065" s="22" t="n">
        <v>155000</v>
      </c>
      <c r="J2065" s="20" t="inlineStr">
        <is>
          <t>PINNACLE WHEELS PVT LTD</t>
        </is>
      </c>
      <c r="K2065" s="20" t="inlineStr">
        <is>
          <t>Non-Captive</t>
        </is>
      </c>
      <c r="L2065" s="20" t="inlineStr">
        <is>
          <t>UMESHKUMAR T U</t>
        </is>
      </c>
      <c r="M2065" s="23" t="n">
        <v>8474.58</v>
      </c>
    </row>
    <row r="2066">
      <c r="A2066" s="19" t="inlineStr">
        <is>
          <t>FY27</t>
        </is>
      </c>
      <c r="B2066" s="19" t="inlineStr">
        <is>
          <t>May</t>
        </is>
      </c>
      <c r="C2066" s="19" t="inlineStr">
        <is>
          <t>Kerala</t>
        </is>
      </c>
      <c r="D2066" s="20" t="inlineStr">
        <is>
          <t>KL07BD5917</t>
        </is>
      </c>
      <c r="E2066" s="20" t="inlineStr">
        <is>
          <t>MARUTI SUZUKI</t>
        </is>
      </c>
      <c r="F2066" s="20" t="inlineStr">
        <is>
          <t>Alto</t>
        </is>
      </c>
      <c r="G2066" s="21" t="n"/>
      <c r="H2066" s="22" t="n">
        <v>62083</v>
      </c>
      <c r="I2066" s="22" t="n">
        <v>30000</v>
      </c>
      <c r="J2066" s="20" t="inlineStr">
        <is>
          <t>SAI NEXA</t>
        </is>
      </c>
      <c r="K2066" s="20" t="inlineStr">
        <is>
          <t>Non-Captive</t>
        </is>
      </c>
      <c r="L2066" s="20" t="inlineStr">
        <is>
          <t>NIZAR K K</t>
        </is>
      </c>
      <c r="M2066" s="23" t="n">
        <v>8474.58</v>
      </c>
    </row>
    <row r="2067">
      <c r="A2067" s="19" t="inlineStr">
        <is>
          <t>FY27</t>
        </is>
      </c>
      <c r="B2067" s="19" t="inlineStr">
        <is>
          <t>May</t>
        </is>
      </c>
      <c r="C2067" s="19" t="inlineStr">
        <is>
          <t>Kerala</t>
        </is>
      </c>
      <c r="D2067" s="20" t="inlineStr">
        <is>
          <t>KL36D5820</t>
        </is>
      </c>
      <c r="E2067" s="20" t="inlineStr">
        <is>
          <t>MARUTI SUZUKI</t>
        </is>
      </c>
      <c r="F2067" s="20" t="inlineStr">
        <is>
          <t>Alto</t>
        </is>
      </c>
      <c r="G2067" s="21" t="n"/>
      <c r="H2067" s="22" t="n">
        <v>41900</v>
      </c>
      <c r="I2067" s="22" t="n">
        <v>105000</v>
      </c>
      <c r="J2067" s="20" t="inlineStr">
        <is>
          <t>MAIJO MARUTI</t>
        </is>
      </c>
      <c r="K2067" s="20" t="inlineStr">
        <is>
          <t>Non-Captive</t>
        </is>
      </c>
      <c r="L2067" s="20" t="inlineStr">
        <is>
          <t>HUSSAIN O E</t>
        </is>
      </c>
      <c r="M2067" s="23" t="n">
        <v>8474.58</v>
      </c>
    </row>
    <row r="2068">
      <c r="A2068" s="19" t="inlineStr">
        <is>
          <t>FY27</t>
        </is>
      </c>
      <c r="B2068" s="19" t="inlineStr">
        <is>
          <t>May</t>
        </is>
      </c>
      <c r="C2068" s="19" t="inlineStr">
        <is>
          <t>Kerala</t>
        </is>
      </c>
      <c r="D2068" s="20" t="inlineStr">
        <is>
          <t>KL07BU6608</t>
        </is>
      </c>
      <c r="E2068" s="20" t="inlineStr">
        <is>
          <t>HONDA</t>
        </is>
      </c>
      <c r="F2068" s="20" t="inlineStr">
        <is>
          <t>Brio</t>
        </is>
      </c>
      <c r="G2068" s="21" t="n"/>
      <c r="H2068" s="22" t="n">
        <v>52989</v>
      </c>
      <c r="I2068" s="22" t="n">
        <v>190000</v>
      </c>
      <c r="J2068" s="20" t="inlineStr">
        <is>
          <t>ANAS VH</t>
        </is>
      </c>
      <c r="K2068" s="20" t="inlineStr">
        <is>
          <t>Non-Captive</t>
        </is>
      </c>
      <c r="L2068" s="20" t="inlineStr">
        <is>
          <t>DREAM DRIVE</t>
        </is>
      </c>
      <c r="M2068" s="23" t="n">
        <v>8474.58</v>
      </c>
    </row>
    <row r="2069">
      <c r="A2069" s="19" t="inlineStr">
        <is>
          <t>FY27</t>
        </is>
      </c>
      <c r="B2069" s="19" t="inlineStr">
        <is>
          <t>May</t>
        </is>
      </c>
      <c r="C2069" s="19" t="inlineStr">
        <is>
          <t>Kerala</t>
        </is>
      </c>
      <c r="D2069" s="20" t="inlineStr">
        <is>
          <t>KL17E8176</t>
        </is>
      </c>
      <c r="E2069" s="20" t="inlineStr">
        <is>
          <t>MARUTI SUZUKI</t>
        </is>
      </c>
      <c r="F2069" s="20" t="inlineStr">
        <is>
          <t>Estilo</t>
        </is>
      </c>
      <c r="G2069" s="21" t="n"/>
      <c r="H2069" s="22" t="n">
        <v>78098</v>
      </c>
      <c r="I2069" s="22" t="n">
        <v>75000</v>
      </c>
      <c r="J2069" s="20" t="inlineStr">
        <is>
          <t>MUHAMMED SHAJI</t>
        </is>
      </c>
      <c r="K2069" s="20" t="inlineStr">
        <is>
          <t>Non-Captive</t>
        </is>
      </c>
      <c r="L2069" s="20" t="inlineStr">
        <is>
          <t>ANAS VH</t>
        </is>
      </c>
      <c r="M2069" s="23" t="n">
        <v>8474.58</v>
      </c>
    </row>
    <row r="2070">
      <c r="A2070" s="19" t="inlineStr">
        <is>
          <t>FY27</t>
        </is>
      </c>
      <c r="B2070" s="19" t="inlineStr">
        <is>
          <t>May</t>
        </is>
      </c>
      <c r="C2070" s="19" t="inlineStr">
        <is>
          <t>Kerala</t>
        </is>
      </c>
      <c r="D2070" s="20" t="inlineStr">
        <is>
          <t>KL34D8180</t>
        </is>
      </c>
      <c r="E2070" s="20" t="inlineStr">
        <is>
          <t>RENAULT</t>
        </is>
      </c>
      <c r="F2070" s="20" t="inlineStr">
        <is>
          <t>Kwid</t>
        </is>
      </c>
      <c r="G2070" s="21" t="n"/>
      <c r="H2070" s="22" t="n">
        <v>74000</v>
      </c>
      <c r="I2070" s="22" t="n">
        <v>130000</v>
      </c>
      <c r="J2070" s="20" t="inlineStr">
        <is>
          <t>MAIJO MARUTI</t>
        </is>
      </c>
      <c r="K2070" s="20" t="inlineStr">
        <is>
          <t>Non-Captive</t>
        </is>
      </c>
      <c r="L2070" s="20" t="inlineStr">
        <is>
          <t>ABDUL SALAM K K</t>
        </is>
      </c>
      <c r="M2070" s="23" t="n">
        <v>8474.58</v>
      </c>
    </row>
    <row r="2071">
      <c r="A2071" s="19" t="inlineStr">
        <is>
          <t>FY27</t>
        </is>
      </c>
      <c r="B2071" s="19" t="inlineStr">
        <is>
          <t>May</t>
        </is>
      </c>
      <c r="C2071" s="19" t="inlineStr">
        <is>
          <t>Kerala</t>
        </is>
      </c>
      <c r="D2071" s="20" t="inlineStr">
        <is>
          <t>KL13E3971</t>
        </is>
      </c>
      <c r="E2071" s="20" t="inlineStr">
        <is>
          <t>MARUTI SUZUKI</t>
        </is>
      </c>
      <c r="F2071" s="20" t="inlineStr">
        <is>
          <t>M800</t>
        </is>
      </c>
      <c r="G2071" s="21" t="n"/>
      <c r="H2071" s="22" t="n">
        <v>145000</v>
      </c>
      <c r="I2071" s="22" t="n">
        <v>12000</v>
      </c>
      <c r="J2071" s="20" t="inlineStr">
        <is>
          <t>ASAMS M SUNNY</t>
        </is>
      </c>
      <c r="K2071" s="20" t="inlineStr">
        <is>
          <t>Non-Captive</t>
        </is>
      </c>
      <c r="L2071" s="20" t="inlineStr">
        <is>
          <t>MARVEL</t>
        </is>
      </c>
      <c r="M2071" s="23" t="n">
        <v>4237.29</v>
      </c>
    </row>
    <row r="2072">
      <c r="A2072" s="19" t="inlineStr">
        <is>
          <t>FY27</t>
        </is>
      </c>
      <c r="B2072" s="19" t="inlineStr">
        <is>
          <t>May</t>
        </is>
      </c>
      <c r="C2072" s="19" t="inlineStr">
        <is>
          <t>Kerala</t>
        </is>
      </c>
      <c r="D2072" s="20" t="inlineStr">
        <is>
          <t>KL09S9829</t>
        </is>
      </c>
      <c r="E2072" s="20" t="inlineStr">
        <is>
          <t>MARUTI SUZUKI</t>
        </is>
      </c>
      <c r="F2072" s="20" t="inlineStr">
        <is>
          <t>Alto</t>
        </is>
      </c>
      <c r="G2072" s="21" t="n"/>
      <c r="H2072" s="22" t="n">
        <v>200000</v>
      </c>
      <c r="I2072" s="22" t="n">
        <v>14000</v>
      </c>
      <c r="J2072" s="20" t="inlineStr">
        <is>
          <t>ASAMS M SUNNY</t>
        </is>
      </c>
      <c r="K2072" s="20" t="inlineStr">
        <is>
          <t>Non-Captive</t>
        </is>
      </c>
      <c r="L2072" s="20" t="inlineStr">
        <is>
          <t>MARVEL</t>
        </is>
      </c>
      <c r="M2072" s="23" t="n">
        <v>4237.29</v>
      </c>
    </row>
    <row r="2073">
      <c r="A2073" s="19" t="inlineStr">
        <is>
          <t>FY27</t>
        </is>
      </c>
      <c r="B2073" s="19" t="inlineStr">
        <is>
          <t>May</t>
        </is>
      </c>
      <c r="C2073" s="19" t="inlineStr">
        <is>
          <t>Kerala</t>
        </is>
      </c>
      <c r="D2073" s="20" t="inlineStr">
        <is>
          <t>KL58Y314</t>
        </is>
      </c>
      <c r="E2073" s="20" t="inlineStr">
        <is>
          <t>MARUTI SUZUKI</t>
        </is>
      </c>
      <c r="F2073" s="20" t="inlineStr">
        <is>
          <t>Celerio</t>
        </is>
      </c>
      <c r="G2073" s="21" t="n"/>
      <c r="H2073" s="22" t="n">
        <v>55000</v>
      </c>
      <c r="I2073" s="22" t="n">
        <v>380000</v>
      </c>
      <c r="J2073" s="20" t="inlineStr">
        <is>
          <t>PRAJOSH</t>
        </is>
      </c>
      <c r="K2073" s="20" t="inlineStr">
        <is>
          <t>Non-Captive</t>
        </is>
      </c>
      <c r="L2073" s="20" t="inlineStr">
        <is>
          <t>BIMAL</t>
        </is>
      </c>
      <c r="M2073" s="23" t="n">
        <v>5084.75</v>
      </c>
    </row>
    <row r="2074">
      <c r="A2074" s="19" t="inlineStr">
        <is>
          <t>FY27</t>
        </is>
      </c>
      <c r="B2074" s="19" t="inlineStr">
        <is>
          <t>May</t>
        </is>
      </c>
      <c r="C2074" s="19" t="inlineStr">
        <is>
          <t>Kerala</t>
        </is>
      </c>
      <c r="D2074" s="20" t="inlineStr">
        <is>
          <t>KL60B4801</t>
        </is>
      </c>
      <c r="E2074" s="20" t="inlineStr">
        <is>
          <t>HYUNDAI</t>
        </is>
      </c>
      <c r="F2074" s="20" t="inlineStr">
        <is>
          <t>I10</t>
        </is>
      </c>
      <c r="G2074" s="21" t="n"/>
      <c r="H2074" s="22" t="n">
        <v>120000</v>
      </c>
      <c r="I2074" s="22" t="n">
        <v>80000</v>
      </c>
      <c r="J2074" s="20" t="inlineStr">
        <is>
          <t>PRAJOSH</t>
        </is>
      </c>
      <c r="K2074" s="20" t="inlineStr">
        <is>
          <t>Non-Captive</t>
        </is>
      </c>
      <c r="L2074" s="20" t="inlineStr">
        <is>
          <t>KVR TATA</t>
        </is>
      </c>
      <c r="M2074" s="23" t="n">
        <v>5932.2</v>
      </c>
    </row>
    <row r="2075">
      <c r="A2075" s="19" t="inlineStr">
        <is>
          <t>FY27</t>
        </is>
      </c>
      <c r="B2075" s="19" t="inlineStr">
        <is>
          <t>May</t>
        </is>
      </c>
      <c r="C2075" s="19" t="inlineStr">
        <is>
          <t>Kerala</t>
        </is>
      </c>
      <c r="D2075" s="20" t="inlineStr">
        <is>
          <t>KL10BJ3199</t>
        </is>
      </c>
      <c r="E2075" s="20" t="inlineStr">
        <is>
          <t>MARUTI SUZUKI</t>
        </is>
      </c>
      <c r="F2075" s="20" t="inlineStr">
        <is>
          <t>Jimny</t>
        </is>
      </c>
      <c r="G2075" s="21" t="n"/>
      <c r="H2075" s="22" t="n">
        <v>28983</v>
      </c>
      <c r="I2075" s="22" t="n">
        <v>971500</v>
      </c>
      <c r="J2075" s="20" t="inlineStr">
        <is>
          <t>MOTOXCHANGE</t>
        </is>
      </c>
      <c r="K2075" s="20" t="inlineStr">
        <is>
          <t>Non-Captive</t>
        </is>
      </c>
      <c r="L2075" s="20" t="inlineStr">
        <is>
          <t>QUEENSWAY</t>
        </is>
      </c>
      <c r="M2075" s="23" t="n">
        <v>10169.49</v>
      </c>
    </row>
    <row r="2076">
      <c r="A2076" s="19" t="inlineStr">
        <is>
          <t>FY27</t>
        </is>
      </c>
      <c r="B2076" s="19" t="inlineStr">
        <is>
          <t>May</t>
        </is>
      </c>
      <c r="C2076" s="19" t="inlineStr">
        <is>
          <t>Kerala</t>
        </is>
      </c>
      <c r="D2076" s="20" t="inlineStr">
        <is>
          <t>KL52P5976</t>
        </is>
      </c>
      <c r="E2076" s="20" t="inlineStr">
        <is>
          <t>MAHINDRA</t>
        </is>
      </c>
      <c r="F2076" s="20" t="inlineStr">
        <is>
          <t>Kuv100</t>
        </is>
      </c>
      <c r="G2076" s="21" t="n"/>
      <c r="H2076" s="22" t="n">
        <v>44241</v>
      </c>
      <c r="I2076" s="22" t="n">
        <v>205000</v>
      </c>
      <c r="J2076" s="20" t="inlineStr">
        <is>
          <t>PINNACLE WHEELS PVT LTD</t>
        </is>
      </c>
      <c r="K2076" s="20" t="inlineStr">
        <is>
          <t>Non-Captive</t>
        </is>
      </c>
      <c r="L2076" s="20" t="inlineStr">
        <is>
          <t>VTJ</t>
        </is>
      </c>
      <c r="M2076" s="23" t="n">
        <v>8474.58</v>
      </c>
    </row>
    <row r="2077">
      <c r="A2077" s="19" t="inlineStr">
        <is>
          <t>FY27</t>
        </is>
      </c>
      <c r="B2077" s="19" t="inlineStr">
        <is>
          <t>May</t>
        </is>
      </c>
      <c r="C2077" s="19" t="inlineStr">
        <is>
          <t>Kerala</t>
        </is>
      </c>
      <c r="D2077" s="20" t="inlineStr">
        <is>
          <t>KL07BZ1401</t>
        </is>
      </c>
      <c r="E2077" s="20" t="inlineStr">
        <is>
          <t>HYUNDAI</t>
        </is>
      </c>
      <c r="F2077" s="20" t="inlineStr">
        <is>
          <t>Grand I10</t>
        </is>
      </c>
      <c r="G2077" s="21" t="n"/>
      <c r="H2077" s="22" t="n">
        <v>115306</v>
      </c>
      <c r="I2077" s="22" t="n">
        <v>190000</v>
      </c>
      <c r="J2077" s="20" t="inlineStr">
        <is>
          <t>EVM MG</t>
        </is>
      </c>
      <c r="K2077" s="20" t="inlineStr">
        <is>
          <t>Non-Captive</t>
        </is>
      </c>
      <c r="L2077" s="20" t="inlineStr">
        <is>
          <t>HUSSAIN O E</t>
        </is>
      </c>
      <c r="M2077" s="23" t="n">
        <v>8474.58</v>
      </c>
    </row>
    <row r="2078">
      <c r="A2078" s="19" t="inlineStr">
        <is>
          <t>FY27</t>
        </is>
      </c>
      <c r="B2078" s="19" t="inlineStr">
        <is>
          <t>May</t>
        </is>
      </c>
      <c r="C2078" s="19" t="inlineStr">
        <is>
          <t>Kerala</t>
        </is>
      </c>
      <c r="D2078" s="20" t="inlineStr">
        <is>
          <t>KL39M2276</t>
        </is>
      </c>
      <c r="E2078" s="20" t="inlineStr">
        <is>
          <t>FORD</t>
        </is>
      </c>
      <c r="F2078" s="20" t="inlineStr">
        <is>
          <t>Ecosport</t>
        </is>
      </c>
      <c r="G2078" s="21" t="n"/>
      <c r="H2078" s="22" t="n">
        <v>92000</v>
      </c>
      <c r="I2078" s="22" t="n">
        <v>560000</v>
      </c>
      <c r="J2078" s="20" t="inlineStr">
        <is>
          <t>KVR TATA</t>
        </is>
      </c>
      <c r="K2078" s="20" t="inlineStr">
        <is>
          <t>Non-Captive</t>
        </is>
      </c>
      <c r="L2078" s="20" t="inlineStr">
        <is>
          <t>YAHIYA</t>
        </is>
      </c>
      <c r="M2078" s="23" t="n">
        <v>8474.58</v>
      </c>
    </row>
    <row r="2079">
      <c r="A2079" s="19" t="inlineStr">
        <is>
          <t>FY27</t>
        </is>
      </c>
      <c r="B2079" s="19" t="inlineStr">
        <is>
          <t>May</t>
        </is>
      </c>
      <c r="C2079" s="19" t="inlineStr">
        <is>
          <t>Kerala</t>
        </is>
      </c>
      <c r="D2079" s="20" t="inlineStr">
        <is>
          <t>KL17F8891</t>
        </is>
      </c>
      <c r="E2079" s="20" t="inlineStr">
        <is>
          <t>CHEVROLET</t>
        </is>
      </c>
      <c r="F2079" s="20" t="inlineStr">
        <is>
          <t>Spark</t>
        </is>
      </c>
      <c r="G2079" s="21" t="n"/>
      <c r="H2079" s="22" t="n">
        <v>66342</v>
      </c>
      <c r="I2079" s="22" t="n">
        <v>20000</v>
      </c>
      <c r="J2079" s="20" t="inlineStr">
        <is>
          <t>EVM MG</t>
        </is>
      </c>
      <c r="K2079" s="20" t="inlineStr">
        <is>
          <t>Non-Captive</t>
        </is>
      </c>
      <c r="L2079" s="20" t="inlineStr">
        <is>
          <t>HUSSAIN O E</t>
        </is>
      </c>
      <c r="M2079" s="23" t="n">
        <v>8474.58</v>
      </c>
    </row>
    <row r="2080">
      <c r="A2080" s="19" t="inlineStr">
        <is>
          <t>FY27</t>
        </is>
      </c>
      <c r="B2080" s="19" t="inlineStr">
        <is>
          <t>May</t>
        </is>
      </c>
      <c r="C2080" s="19" t="inlineStr">
        <is>
          <t>Kerala</t>
        </is>
      </c>
      <c r="D2080" s="20" t="inlineStr">
        <is>
          <t>KL04AG4939</t>
        </is>
      </c>
      <c r="E2080" s="20" t="inlineStr">
        <is>
          <t>TATA</t>
        </is>
      </c>
      <c r="F2080" s="20" t="inlineStr">
        <is>
          <t>Indigo</t>
        </is>
      </c>
      <c r="G2080" s="21" t="n"/>
      <c r="H2080" s="22" t="n">
        <v>238414</v>
      </c>
      <c r="I2080" s="22" t="n">
        <v>52000</v>
      </c>
      <c r="J2080" s="20" t="inlineStr">
        <is>
          <t>POPULAR HYUNDAI</t>
        </is>
      </c>
      <c r="K2080" s="20" t="inlineStr">
        <is>
          <t>Non-Captive</t>
        </is>
      </c>
      <c r="L2080" s="20" t="inlineStr">
        <is>
          <t>RAFEEK T A</t>
        </is>
      </c>
      <c r="M2080" s="23" t="n">
        <v>8474.58</v>
      </c>
    </row>
    <row r="2081">
      <c r="A2081" s="19" t="inlineStr">
        <is>
          <t>FY27</t>
        </is>
      </c>
      <c r="B2081" s="19" t="inlineStr">
        <is>
          <t>May</t>
        </is>
      </c>
      <c r="C2081" s="19" t="inlineStr">
        <is>
          <t>Kerala</t>
        </is>
      </c>
      <c r="D2081" s="20" t="inlineStr">
        <is>
          <t>KL47A5192</t>
        </is>
      </c>
      <c r="E2081" s="20" t="inlineStr">
        <is>
          <t>HYUNDAI</t>
        </is>
      </c>
      <c r="F2081" s="20" t="inlineStr">
        <is>
          <t>I10</t>
        </is>
      </c>
      <c r="G2081" s="21" t="n"/>
      <c r="H2081" s="22" t="n">
        <v>94057</v>
      </c>
      <c r="I2081" s="22" t="n">
        <v>63000</v>
      </c>
      <c r="J2081" s="20" t="inlineStr">
        <is>
          <t>POPULAR HYUNDAI</t>
        </is>
      </c>
      <c r="K2081" s="20" t="inlineStr">
        <is>
          <t>Non-Captive</t>
        </is>
      </c>
      <c r="L2081" s="20" t="inlineStr">
        <is>
          <t>RAFEEK T A</t>
        </is>
      </c>
      <c r="M2081" s="23" t="n">
        <v>8474.58</v>
      </c>
    </row>
    <row r="2082">
      <c r="A2082" s="19" t="inlineStr">
        <is>
          <t>FY27</t>
        </is>
      </c>
      <c r="B2082" s="19" t="inlineStr">
        <is>
          <t>May</t>
        </is>
      </c>
      <c r="C2082" s="19" t="inlineStr">
        <is>
          <t>Kerala</t>
        </is>
      </c>
      <c r="D2082" s="20" t="inlineStr">
        <is>
          <t>KL55AH9881</t>
        </is>
      </c>
      <c r="E2082" s="20" t="inlineStr">
        <is>
          <t>TATA</t>
        </is>
      </c>
      <c r="F2082" s="20" t="inlineStr">
        <is>
          <t>Punch</t>
        </is>
      </c>
      <c r="G2082" s="21" t="n"/>
      <c r="H2082" s="22" t="n">
        <v>23000</v>
      </c>
      <c r="I2082" s="22" t="n">
        <v>560000</v>
      </c>
      <c r="J2082" s="20" t="inlineStr">
        <is>
          <t>LUXON TATA</t>
        </is>
      </c>
      <c r="K2082" s="20" t="inlineStr">
        <is>
          <t>Non-Captive</t>
        </is>
      </c>
      <c r="L2082" s="20" t="inlineStr">
        <is>
          <t>YAHIYA</t>
        </is>
      </c>
      <c r="M2082" s="23" t="n">
        <v>8474.58</v>
      </c>
    </row>
    <row r="2083">
      <c r="A2083" s="19" t="inlineStr">
        <is>
          <t>FY27</t>
        </is>
      </c>
      <c r="B2083" s="19" t="inlineStr">
        <is>
          <t>May</t>
        </is>
      </c>
      <c r="C2083" s="19" t="inlineStr">
        <is>
          <t>Kerala</t>
        </is>
      </c>
      <c r="D2083" s="20" t="inlineStr">
        <is>
          <t>KL08AM9112</t>
        </is>
      </c>
      <c r="E2083" s="20" t="inlineStr">
        <is>
          <t>MARUTI SUZUKI</t>
        </is>
      </c>
      <c r="F2083" s="20" t="inlineStr">
        <is>
          <t>Alto</t>
        </is>
      </c>
      <c r="G2083" s="21" t="n"/>
      <c r="H2083" s="22" t="n">
        <v>100727</v>
      </c>
      <c r="I2083" s="22" t="n">
        <v>35000</v>
      </c>
      <c r="J2083" s="20" t="inlineStr">
        <is>
          <t>POPULAR MARUTI</t>
        </is>
      </c>
      <c r="K2083" s="20" t="inlineStr">
        <is>
          <t>Non-Captive</t>
        </is>
      </c>
      <c r="L2083" s="20" t="inlineStr">
        <is>
          <t>AITOS CARS</t>
        </is>
      </c>
      <c r="M2083" s="23" t="n">
        <v>12711.86</v>
      </c>
    </row>
    <row r="2084">
      <c r="A2084" s="19" t="inlineStr">
        <is>
          <t>FY27</t>
        </is>
      </c>
      <c r="B2084" s="19" t="inlineStr">
        <is>
          <t>May</t>
        </is>
      </c>
      <c r="C2084" s="19" t="inlineStr">
        <is>
          <t>Kerala</t>
        </is>
      </c>
      <c r="D2084" s="20" t="inlineStr">
        <is>
          <t>KL63J8915</t>
        </is>
      </c>
      <c r="E2084" s="20" t="inlineStr">
        <is>
          <t>TOYOTA</t>
        </is>
      </c>
      <c r="F2084" s="20" t="inlineStr">
        <is>
          <t>Glanza</t>
        </is>
      </c>
      <c r="G2084" s="21" t="n"/>
      <c r="H2084" s="22" t="n">
        <v>11000</v>
      </c>
      <c r="I2084" s="22" t="n">
        <v>840000</v>
      </c>
      <c r="J2084" s="20" t="inlineStr">
        <is>
          <t>AUTOMOTIVE</t>
        </is>
      </c>
      <c r="K2084" s="20" t="inlineStr">
        <is>
          <t>Non-Captive</t>
        </is>
      </c>
      <c r="L2084" s="20" t="inlineStr">
        <is>
          <t>AUTOBOT</t>
        </is>
      </c>
      <c r="M2084" s="23" t="n">
        <v>8474.58</v>
      </c>
    </row>
    <row r="2085">
      <c r="A2085" s="19" t="inlineStr">
        <is>
          <t>FY27</t>
        </is>
      </c>
      <c r="B2085" s="19" t="inlineStr">
        <is>
          <t>May</t>
        </is>
      </c>
      <c r="C2085" s="19" t="inlineStr">
        <is>
          <t>Kerala</t>
        </is>
      </c>
      <c r="D2085" s="20" t="inlineStr">
        <is>
          <t>KL17U8299</t>
        </is>
      </c>
      <c r="E2085" s="20" t="inlineStr">
        <is>
          <t>MARUTI SUZUKI</t>
        </is>
      </c>
      <c r="F2085" s="20" t="inlineStr">
        <is>
          <t>Swift</t>
        </is>
      </c>
      <c r="G2085" s="21" t="n"/>
      <c r="H2085" s="22" t="n">
        <v>106423</v>
      </c>
      <c r="I2085" s="22" t="n">
        <v>500000</v>
      </c>
      <c r="J2085" s="20" t="inlineStr">
        <is>
          <t>GOKULAM TATA</t>
        </is>
      </c>
      <c r="K2085" s="20" t="inlineStr">
        <is>
          <t>Non-Captive</t>
        </is>
      </c>
      <c r="L2085" s="20" t="inlineStr">
        <is>
          <t>AUTOBOT</t>
        </is>
      </c>
      <c r="M2085" s="23" t="n">
        <v>8474.58</v>
      </c>
    </row>
    <row r="2086">
      <c r="A2086" s="19" t="inlineStr">
        <is>
          <t>FY27</t>
        </is>
      </c>
      <c r="B2086" s="19" t="inlineStr">
        <is>
          <t>May</t>
        </is>
      </c>
      <c r="C2086" s="19" t="inlineStr">
        <is>
          <t>Kerala</t>
        </is>
      </c>
      <c r="D2086" s="20" t="inlineStr">
        <is>
          <t>KL07BT4839</t>
        </is>
      </c>
      <c r="E2086" s="20" t="inlineStr">
        <is>
          <t>NISSAN</t>
        </is>
      </c>
      <c r="F2086" s="20" t="inlineStr">
        <is>
          <t>Sunny</t>
        </is>
      </c>
      <c r="G2086" s="21" t="n"/>
      <c r="H2086" s="22" t="n">
        <v>156456</v>
      </c>
      <c r="I2086" s="22" t="n">
        <v>65000</v>
      </c>
      <c r="J2086" s="20" t="inlineStr">
        <is>
          <t>MUHAMMED SHAJI</t>
        </is>
      </c>
      <c r="K2086" s="20" t="inlineStr">
        <is>
          <t>Non-Captive</t>
        </is>
      </c>
      <c r="L2086" s="20" t="inlineStr">
        <is>
          <t>AJMAL ASHIQ</t>
        </is>
      </c>
      <c r="M2086" s="23" t="n">
        <v>8474.58</v>
      </c>
    </row>
    <row r="2087">
      <c r="A2087" s="19" t="inlineStr">
        <is>
          <t>FY27</t>
        </is>
      </c>
      <c r="B2087" s="19" t="inlineStr">
        <is>
          <t>May</t>
        </is>
      </c>
      <c r="C2087" s="19" t="inlineStr">
        <is>
          <t>Kerala</t>
        </is>
      </c>
      <c r="D2087" s="20" t="inlineStr">
        <is>
          <t>KL05AC9375</t>
        </is>
      </c>
      <c r="E2087" s="20" t="inlineStr">
        <is>
          <t>MARUTI SUZUKI</t>
        </is>
      </c>
      <c r="F2087" s="20" t="inlineStr">
        <is>
          <t>Alto</t>
        </is>
      </c>
      <c r="G2087" s="21" t="n"/>
      <c r="H2087" s="22" t="n">
        <v>78678</v>
      </c>
      <c r="I2087" s="22" t="n">
        <v>90000</v>
      </c>
      <c r="J2087" s="20" t="inlineStr">
        <is>
          <t>AMRITH V CHANDY</t>
        </is>
      </c>
      <c r="K2087" s="20" t="inlineStr">
        <is>
          <t>Non-Captive</t>
        </is>
      </c>
      <c r="L2087" s="20" t="inlineStr">
        <is>
          <t>MUHAMMED SHAJI</t>
        </is>
      </c>
      <c r="M2087" s="23" t="n">
        <v>8474.58</v>
      </c>
    </row>
    <row r="2088">
      <c r="A2088" s="19" t="inlineStr">
        <is>
          <t>FY27</t>
        </is>
      </c>
      <c r="B2088" s="19" t="inlineStr">
        <is>
          <t>May</t>
        </is>
      </c>
      <c r="C2088" s="19" t="inlineStr">
        <is>
          <t>Kerala</t>
        </is>
      </c>
      <c r="D2088" s="20" t="inlineStr">
        <is>
          <t>KL24R6008</t>
        </is>
      </c>
      <c r="E2088" s="20" t="inlineStr">
        <is>
          <t>HONDA</t>
        </is>
      </c>
      <c r="F2088" s="20" t="inlineStr">
        <is>
          <t>Amaze</t>
        </is>
      </c>
      <c r="G2088" s="21" t="n"/>
      <c r="H2088" s="22" t="n">
        <v>81000</v>
      </c>
      <c r="I2088" s="22" t="n">
        <v>410000</v>
      </c>
      <c r="J2088" s="20" t="inlineStr">
        <is>
          <t>INCHEON KIA</t>
        </is>
      </c>
      <c r="K2088" s="20" t="inlineStr">
        <is>
          <t>Non-Captive</t>
        </is>
      </c>
      <c r="L2088" s="20" t="inlineStr">
        <is>
          <t>RAMSHAD</t>
        </is>
      </c>
      <c r="M2088" s="23" t="n">
        <v>6779.66</v>
      </c>
    </row>
    <row r="2089">
      <c r="A2089" s="19" t="inlineStr">
        <is>
          <t>FY27</t>
        </is>
      </c>
      <c r="B2089" s="19" t="inlineStr">
        <is>
          <t>May</t>
        </is>
      </c>
      <c r="C2089" s="19" t="inlineStr">
        <is>
          <t>Kerala</t>
        </is>
      </c>
      <c r="D2089" s="20" t="inlineStr">
        <is>
          <t>KL03T6693</t>
        </is>
      </c>
      <c r="E2089" s="20" t="inlineStr">
        <is>
          <t>MARUTI SUZUKI</t>
        </is>
      </c>
      <c r="F2089" s="20" t="inlineStr">
        <is>
          <t>Alto</t>
        </is>
      </c>
      <c r="G2089" s="21" t="n"/>
      <c r="H2089" s="22" t="n">
        <v>83000</v>
      </c>
      <c r="I2089" s="22" t="n">
        <v>85000</v>
      </c>
      <c r="J2089" s="20" t="inlineStr">
        <is>
          <t>LUXON TATA</t>
        </is>
      </c>
      <c r="K2089" s="20" t="inlineStr">
        <is>
          <t>Non-Captive</t>
        </is>
      </c>
      <c r="L2089" s="20" t="inlineStr">
        <is>
          <t>SHAHAR</t>
        </is>
      </c>
      <c r="M2089" s="23" t="n">
        <v>4237.29</v>
      </c>
    </row>
    <row r="2090">
      <c r="A2090" s="19" t="inlineStr">
        <is>
          <t>FY27</t>
        </is>
      </c>
      <c r="B2090" s="19" t="inlineStr">
        <is>
          <t>May</t>
        </is>
      </c>
      <c r="C2090" s="19" t="inlineStr">
        <is>
          <t>Kerala</t>
        </is>
      </c>
      <c r="D2090" s="20" t="inlineStr">
        <is>
          <t>KL24N4000</t>
        </is>
      </c>
      <c r="E2090" s="20" t="inlineStr">
        <is>
          <t>HYUNDAI</t>
        </is>
      </c>
      <c r="F2090" s="20" t="inlineStr">
        <is>
          <t>Creta</t>
        </is>
      </c>
      <c r="G2090" s="21" t="n"/>
      <c r="H2090" s="22" t="n">
        <v>71000</v>
      </c>
      <c r="I2090" s="22" t="n">
        <v>690000</v>
      </c>
      <c r="J2090" s="20" t="inlineStr">
        <is>
          <t>INDUS MARUTI</t>
        </is>
      </c>
      <c r="K2090" s="20" t="inlineStr">
        <is>
          <t>Non-Captive</t>
        </is>
      </c>
      <c r="L2090" s="20" t="inlineStr">
        <is>
          <t>AKHILNATH</t>
        </is>
      </c>
      <c r="M2090" s="23" t="n">
        <v>8474.58</v>
      </c>
    </row>
    <row r="2091">
      <c r="A2091" s="19" t="inlineStr">
        <is>
          <t>FY27</t>
        </is>
      </c>
      <c r="B2091" s="19" t="inlineStr">
        <is>
          <t>May</t>
        </is>
      </c>
      <c r="C2091" s="19" t="inlineStr">
        <is>
          <t>Kerala</t>
        </is>
      </c>
      <c r="D2091" s="20" t="inlineStr">
        <is>
          <t>KL02BT379</t>
        </is>
      </c>
      <c r="E2091" s="20" t="inlineStr">
        <is>
          <t>MARUTI SUZUKI</t>
        </is>
      </c>
      <c r="F2091" s="20" t="inlineStr">
        <is>
          <t>S-Presso</t>
        </is>
      </c>
      <c r="G2091" s="21" t="n"/>
      <c r="H2091" s="22" t="n">
        <v>58000</v>
      </c>
      <c r="I2091" s="22" t="n">
        <v>320000</v>
      </c>
      <c r="J2091" s="20" t="inlineStr">
        <is>
          <t>LUXON TATA</t>
        </is>
      </c>
      <c r="K2091" s="20" t="inlineStr">
        <is>
          <t>Non-Captive</t>
        </is>
      </c>
      <c r="L2091" s="20" t="inlineStr">
        <is>
          <t>VARUN</t>
        </is>
      </c>
      <c r="M2091" s="23" t="n">
        <v>6779.66</v>
      </c>
    </row>
    <row r="2092">
      <c r="A2092" s="19" t="inlineStr">
        <is>
          <t>FY27</t>
        </is>
      </c>
      <c r="B2092" s="19" t="inlineStr">
        <is>
          <t>May</t>
        </is>
      </c>
      <c r="C2092" s="19" t="inlineStr">
        <is>
          <t>Kerala</t>
        </is>
      </c>
      <c r="D2092" s="20" t="inlineStr">
        <is>
          <t>KL20U0111</t>
        </is>
      </c>
      <c r="E2092" s="20" t="inlineStr">
        <is>
          <t>MARUTI SUZUKI</t>
        </is>
      </c>
      <c r="F2092" s="20" t="inlineStr">
        <is>
          <t>Swift Dzire</t>
        </is>
      </c>
      <c r="G2092" s="21" t="n"/>
      <c r="H2092" s="22" t="n">
        <v>15500</v>
      </c>
      <c r="I2092" s="22" t="n">
        <v>820000</v>
      </c>
      <c r="J2092" s="20" t="inlineStr">
        <is>
          <t>FORTUNE MG</t>
        </is>
      </c>
      <c r="K2092" s="20" t="inlineStr">
        <is>
          <t>Non-Captive</t>
        </is>
      </c>
      <c r="L2092" s="20" t="inlineStr">
        <is>
          <t>AUTOBOT</t>
        </is>
      </c>
      <c r="M2092" s="23" t="n">
        <v>8474.58</v>
      </c>
    </row>
    <row r="2093">
      <c r="A2093" s="19" t="inlineStr">
        <is>
          <t>FY27</t>
        </is>
      </c>
      <c r="B2093" s="19" t="inlineStr">
        <is>
          <t>May</t>
        </is>
      </c>
      <c r="C2093" s="19" t="inlineStr">
        <is>
          <t>Kerala</t>
        </is>
      </c>
      <c r="D2093" s="20" t="inlineStr">
        <is>
          <t>KL26M1979</t>
        </is>
      </c>
      <c r="E2093" s="20" t="inlineStr">
        <is>
          <t>TATA</t>
        </is>
      </c>
      <c r="F2093" s="20" t="inlineStr">
        <is>
          <t>Nexon</t>
        </is>
      </c>
      <c r="G2093" s="21" t="n"/>
      <c r="H2093" s="22" t="n">
        <v>75144</v>
      </c>
      <c r="I2093" s="22" t="n">
        <v>560000</v>
      </c>
      <c r="J2093" s="20" t="inlineStr">
        <is>
          <t>AUTOMOTIVE</t>
        </is>
      </c>
      <c r="K2093" s="20" t="inlineStr">
        <is>
          <t>Non-Captive</t>
        </is>
      </c>
      <c r="L2093" s="20" t="inlineStr">
        <is>
          <t>AUTOBOT</t>
        </is>
      </c>
      <c r="M2093" s="23" t="n">
        <v>8474.58</v>
      </c>
    </row>
    <row r="2094">
      <c r="A2094" s="19" t="inlineStr">
        <is>
          <t>FY27</t>
        </is>
      </c>
      <c r="B2094" s="19" t="inlineStr">
        <is>
          <t>May</t>
        </is>
      </c>
      <c r="C2094" s="19" t="inlineStr">
        <is>
          <t>Kerala</t>
        </is>
      </c>
      <c r="D2094" s="20" t="inlineStr">
        <is>
          <t>KL05AK3198</t>
        </is>
      </c>
      <c r="E2094" s="20" t="inlineStr">
        <is>
          <t>MARUTI SUZUKI</t>
        </is>
      </c>
      <c r="F2094" s="20" t="inlineStr">
        <is>
          <t>Swift</t>
        </is>
      </c>
      <c r="G2094" s="21" t="n"/>
      <c r="H2094" s="22" t="n">
        <v>106171</v>
      </c>
      <c r="I2094" s="22" t="n">
        <v>330000</v>
      </c>
      <c r="J2094" s="20" t="inlineStr">
        <is>
          <t>EVM SKODA</t>
        </is>
      </c>
      <c r="K2094" s="20" t="inlineStr">
        <is>
          <t>Non-Captive</t>
        </is>
      </c>
      <c r="L2094" s="20" t="inlineStr">
        <is>
          <t>FABITH</t>
        </is>
      </c>
      <c r="M2094" s="23" t="n">
        <v>8474.58</v>
      </c>
    </row>
    <row r="2095">
      <c r="A2095" s="19" t="inlineStr">
        <is>
          <t>FY27</t>
        </is>
      </c>
      <c r="B2095" s="19" t="inlineStr">
        <is>
          <t>May</t>
        </is>
      </c>
      <c r="C2095" s="19" t="inlineStr">
        <is>
          <t>Kerala</t>
        </is>
      </c>
      <c r="D2095" s="20" t="inlineStr">
        <is>
          <t>KL36B9175</t>
        </is>
      </c>
      <c r="E2095" s="20" t="inlineStr">
        <is>
          <t>MARUTI SUZUKI</t>
        </is>
      </c>
      <c r="F2095" s="20" t="inlineStr">
        <is>
          <t>Wagon R</t>
        </is>
      </c>
      <c r="G2095" s="21" t="n"/>
      <c r="H2095" s="22" t="n">
        <v>44789</v>
      </c>
      <c r="I2095" s="22" t="n">
        <v>135000</v>
      </c>
      <c r="J2095" s="20" t="inlineStr">
        <is>
          <t>POPULAR MARUTI</t>
        </is>
      </c>
      <c r="K2095" s="20" t="inlineStr">
        <is>
          <t>Non-Captive</t>
        </is>
      </c>
      <c r="L2095" s="20" t="inlineStr">
        <is>
          <t>SHARIK SHERIF</t>
        </is>
      </c>
      <c r="M2095" s="23" t="n">
        <v>10169.49</v>
      </c>
    </row>
    <row r="2096">
      <c r="A2096" s="19" t="inlineStr">
        <is>
          <t>FY27</t>
        </is>
      </c>
      <c r="B2096" s="19" t="inlineStr">
        <is>
          <t>May</t>
        </is>
      </c>
      <c r="C2096" s="19" t="inlineStr">
        <is>
          <t>Kerala</t>
        </is>
      </c>
      <c r="D2096" s="20" t="inlineStr">
        <is>
          <t>KL20H5085</t>
        </is>
      </c>
      <c r="E2096" s="20" t="inlineStr">
        <is>
          <t>TATA</t>
        </is>
      </c>
      <c r="F2096" s="20" t="inlineStr">
        <is>
          <t>Nano</t>
        </is>
      </c>
      <c r="G2096" s="21" t="n"/>
      <c r="H2096" s="22" t="n">
        <v>45000</v>
      </c>
      <c r="I2096" s="22" t="n">
        <v>40000</v>
      </c>
      <c r="J2096" s="20" t="inlineStr">
        <is>
          <t>ABHILASH</t>
        </is>
      </c>
      <c r="K2096" s="20" t="inlineStr">
        <is>
          <t>Non-Captive</t>
        </is>
      </c>
      <c r="L2096" s="20" t="inlineStr">
        <is>
          <t>SANTHOSH</t>
        </is>
      </c>
      <c r="M2096" s="23" t="n">
        <v>5932.2</v>
      </c>
    </row>
    <row r="2097">
      <c r="A2097" s="19" t="inlineStr">
        <is>
          <t>FY27</t>
        </is>
      </c>
      <c r="B2097" s="19" t="inlineStr">
        <is>
          <t>May</t>
        </is>
      </c>
      <c r="C2097" s="19" t="inlineStr">
        <is>
          <t>Kerala</t>
        </is>
      </c>
      <c r="D2097" s="20" t="inlineStr">
        <is>
          <t>KL20A8069</t>
        </is>
      </c>
      <c r="E2097" s="20" t="inlineStr">
        <is>
          <t>HYUNDAI</t>
        </is>
      </c>
      <c r="F2097" s="20" t="inlineStr">
        <is>
          <t>Santro</t>
        </is>
      </c>
      <c r="G2097" s="21" t="n"/>
      <c r="H2097" s="22" t="n">
        <v>58100</v>
      </c>
      <c r="I2097" s="22" t="n">
        <v>70000</v>
      </c>
      <c r="J2097" s="20" t="inlineStr">
        <is>
          <t>RAJESH</t>
        </is>
      </c>
      <c r="K2097" s="20" t="inlineStr">
        <is>
          <t>Non-Captive</t>
        </is>
      </c>
      <c r="L2097" s="20" t="inlineStr">
        <is>
          <t>KISHORE</t>
        </is>
      </c>
      <c r="M2097" s="23" t="n">
        <v>6779.66</v>
      </c>
    </row>
    <row r="2098">
      <c r="A2098" s="19" t="inlineStr">
        <is>
          <t>FY27</t>
        </is>
      </c>
      <c r="B2098" s="19" t="inlineStr">
        <is>
          <t>May</t>
        </is>
      </c>
      <c r="C2098" s="19" t="inlineStr">
        <is>
          <t>Kerala</t>
        </is>
      </c>
      <c r="D2098" s="20" t="inlineStr">
        <is>
          <t>KL22K2661</t>
        </is>
      </c>
      <c r="E2098" s="20" t="inlineStr">
        <is>
          <t>DATSUN</t>
        </is>
      </c>
      <c r="F2098" s="20" t="inlineStr">
        <is>
          <t>Redi-Go</t>
        </is>
      </c>
      <c r="G2098" s="21" t="n"/>
      <c r="H2098" s="22" t="n">
        <v>31500</v>
      </c>
      <c r="I2098" s="22" t="n">
        <v>80000</v>
      </c>
      <c r="J2098" s="20" t="inlineStr">
        <is>
          <t>SHIVAKUMAR</t>
        </is>
      </c>
      <c r="K2098" s="20" t="inlineStr">
        <is>
          <t>Non-Captive</t>
        </is>
      </c>
      <c r="L2098" s="20" t="inlineStr">
        <is>
          <t>ABHISHEK</t>
        </is>
      </c>
      <c r="M2098" s="23" t="n">
        <v>6779.66</v>
      </c>
    </row>
    <row r="2099">
      <c r="A2099" s="19" t="inlineStr">
        <is>
          <t>FY27</t>
        </is>
      </c>
      <c r="B2099" s="19" t="inlineStr">
        <is>
          <t>May</t>
        </is>
      </c>
      <c r="C2099" s="19" t="inlineStr">
        <is>
          <t>Kerala</t>
        </is>
      </c>
      <c r="D2099" s="20" t="inlineStr">
        <is>
          <t>KL01CW3287</t>
        </is>
      </c>
      <c r="E2099" s="20" t="inlineStr">
        <is>
          <t>RENAULT</t>
        </is>
      </c>
      <c r="F2099" s="20" t="inlineStr">
        <is>
          <t>Kwid</t>
        </is>
      </c>
      <c r="G2099" s="21" t="n"/>
      <c r="H2099" s="22" t="n">
        <v>20500</v>
      </c>
      <c r="I2099" s="22" t="n">
        <v>320000</v>
      </c>
      <c r="J2099" s="20" t="inlineStr">
        <is>
          <t>SARITH</t>
        </is>
      </c>
      <c r="K2099" s="20" t="inlineStr">
        <is>
          <t>Non-Captive</t>
        </is>
      </c>
      <c r="L2099" s="20" t="inlineStr">
        <is>
          <t>PRAJOD</t>
        </is>
      </c>
      <c r="M2099" s="23" t="n">
        <v>6779.66</v>
      </c>
    </row>
    <row r="2100">
      <c r="A2100" s="19" t="inlineStr">
        <is>
          <t>FY27</t>
        </is>
      </c>
      <c r="B2100" s="19" t="inlineStr">
        <is>
          <t>May</t>
        </is>
      </c>
      <c r="C2100" s="19" t="inlineStr">
        <is>
          <t>Kerala</t>
        </is>
      </c>
      <c r="D2100" s="20" t="inlineStr">
        <is>
          <t>KL32K4060</t>
        </is>
      </c>
      <c r="E2100" s="20" t="inlineStr">
        <is>
          <t>RENAULT</t>
        </is>
      </c>
      <c r="F2100" s="20" t="inlineStr">
        <is>
          <t>Duster</t>
        </is>
      </c>
      <c r="G2100" s="21" t="n"/>
      <c r="H2100" s="22" t="n">
        <v>134000</v>
      </c>
      <c r="I2100" s="22" t="n">
        <v>360000</v>
      </c>
      <c r="J2100" s="20" t="inlineStr">
        <is>
          <t>KESHVIN HYUNDAI</t>
        </is>
      </c>
      <c r="K2100" s="20" t="inlineStr">
        <is>
          <t>Non-Captive</t>
        </is>
      </c>
      <c r="L2100" s="20" t="inlineStr">
        <is>
          <t>ABDUL SALAM K K</t>
        </is>
      </c>
      <c r="M2100" s="23" t="n">
        <v>11016.95</v>
      </c>
    </row>
    <row r="2101">
      <c r="A2101" s="19" t="inlineStr">
        <is>
          <t>FY27</t>
        </is>
      </c>
      <c r="B2101" s="19" t="inlineStr">
        <is>
          <t>May</t>
        </is>
      </c>
      <c r="C2101" s="19" t="inlineStr">
        <is>
          <t>Kerala</t>
        </is>
      </c>
      <c r="D2101" s="20" t="inlineStr">
        <is>
          <t>KL45P1000</t>
        </is>
      </c>
      <c r="E2101" s="20" t="inlineStr">
        <is>
          <t>FORD</t>
        </is>
      </c>
      <c r="F2101" s="20" t="inlineStr">
        <is>
          <t>Figo</t>
        </is>
      </c>
      <c r="G2101" s="21" t="n"/>
      <c r="H2101" s="22" t="n">
        <v>75000</v>
      </c>
      <c r="I2101" s="22" t="n">
        <v>195000</v>
      </c>
      <c r="J2101" s="20" t="inlineStr">
        <is>
          <t>INCHEON KIA</t>
        </is>
      </c>
      <c r="K2101" s="20" t="inlineStr">
        <is>
          <t>Non-Captive</t>
        </is>
      </c>
      <c r="L2101" s="20" t="inlineStr">
        <is>
          <t>VTJ</t>
        </is>
      </c>
      <c r="M2101" s="23" t="n">
        <v>8474.58</v>
      </c>
    </row>
    <row r="2102">
      <c r="A2102" s="19" t="inlineStr">
        <is>
          <t>FY27</t>
        </is>
      </c>
      <c r="B2102" s="19" t="inlineStr">
        <is>
          <t>May</t>
        </is>
      </c>
      <c r="C2102" s="19" t="inlineStr">
        <is>
          <t>Kerala</t>
        </is>
      </c>
      <c r="D2102" s="20" t="inlineStr">
        <is>
          <t>KL64M2770</t>
        </is>
      </c>
      <c r="E2102" s="20" t="inlineStr">
        <is>
          <t>KIA</t>
        </is>
      </c>
      <c r="F2102" s="20" t="inlineStr">
        <is>
          <t>Seltos</t>
        </is>
      </c>
      <c r="G2102" s="21" t="n"/>
      <c r="H2102" s="22" t="n">
        <v>12000</v>
      </c>
      <c r="I2102" s="22" t="n">
        <v>1240000</v>
      </c>
      <c r="J2102" s="20" t="inlineStr">
        <is>
          <t>AUTOMOTIVE</t>
        </is>
      </c>
      <c r="K2102" s="20" t="inlineStr">
        <is>
          <t>Non-Captive</t>
        </is>
      </c>
      <c r="L2102" s="20" t="inlineStr">
        <is>
          <t>KAPS CARS</t>
        </is>
      </c>
      <c r="M2102" s="23" t="n">
        <v>8474.58</v>
      </c>
    </row>
    <row r="2103">
      <c r="A2103" s="19" t="inlineStr">
        <is>
          <t>FY27</t>
        </is>
      </c>
      <c r="B2103" s="19" t="inlineStr">
        <is>
          <t>May</t>
        </is>
      </c>
      <c r="C2103" s="19" t="inlineStr">
        <is>
          <t>Kerala</t>
        </is>
      </c>
      <c r="D2103" s="20" t="inlineStr">
        <is>
          <t>KL47C5259</t>
        </is>
      </c>
      <c r="E2103" s="20" t="inlineStr">
        <is>
          <t>MARUTI SUZUKI</t>
        </is>
      </c>
      <c r="F2103" s="20" t="inlineStr">
        <is>
          <t>Alto</t>
        </is>
      </c>
      <c r="G2103" s="21" t="n"/>
      <c r="H2103" s="22" t="n">
        <v>62000</v>
      </c>
      <c r="I2103" s="22" t="n">
        <v>120000</v>
      </c>
      <c r="J2103" s="20" t="inlineStr">
        <is>
          <t>POPULAR MARUTI</t>
        </is>
      </c>
      <c r="K2103" s="20" t="inlineStr">
        <is>
          <t>Non-Captive</t>
        </is>
      </c>
      <c r="L2103" s="20" t="inlineStr">
        <is>
          <t>RAFEEK T A</t>
        </is>
      </c>
      <c r="M2103" s="23" t="n">
        <v>8474.58</v>
      </c>
    </row>
    <row r="2104">
      <c r="A2104" s="19" t="inlineStr">
        <is>
          <t>FY27</t>
        </is>
      </c>
      <c r="B2104" s="19" t="inlineStr">
        <is>
          <t>May</t>
        </is>
      </c>
      <c r="C2104" s="19" t="inlineStr">
        <is>
          <t>Kerala</t>
        </is>
      </c>
      <c r="D2104" s="20" t="inlineStr">
        <is>
          <t>KL04AC3806</t>
        </is>
      </c>
      <c r="E2104" s="20" t="inlineStr">
        <is>
          <t>MARUTI SUZUKI</t>
        </is>
      </c>
      <c r="F2104" s="20" t="inlineStr">
        <is>
          <t>Ritz</t>
        </is>
      </c>
      <c r="G2104" s="21" t="n"/>
      <c r="H2104" s="22" t="n">
        <v>75000</v>
      </c>
      <c r="I2104" s="22" t="n">
        <v>160000</v>
      </c>
      <c r="J2104" s="20" t="inlineStr">
        <is>
          <t>POPULAR MARUTI</t>
        </is>
      </c>
      <c r="K2104" s="20" t="inlineStr">
        <is>
          <t>Non-Captive</t>
        </is>
      </c>
      <c r="L2104" s="20" t="inlineStr">
        <is>
          <t>DREAM DRIVE</t>
        </is>
      </c>
      <c r="M2104" s="23" t="n">
        <v>8474.58</v>
      </c>
    </row>
    <row r="2105">
      <c r="A2105" s="19" t="inlineStr">
        <is>
          <t>FY27</t>
        </is>
      </c>
      <c r="B2105" s="19" t="inlineStr">
        <is>
          <t>May</t>
        </is>
      </c>
      <c r="C2105" s="19" t="inlineStr">
        <is>
          <t>Kerala</t>
        </is>
      </c>
      <c r="D2105" s="20" t="inlineStr">
        <is>
          <t>KL55P9929</t>
        </is>
      </c>
      <c r="E2105" s="20" t="inlineStr">
        <is>
          <t>MARUTI SUZUKI</t>
        </is>
      </c>
      <c r="F2105" s="20" t="inlineStr">
        <is>
          <t>Alto</t>
        </is>
      </c>
      <c r="G2105" s="21" t="n"/>
      <c r="H2105" s="22" t="n">
        <v>96000</v>
      </c>
      <c r="I2105" s="22" t="n">
        <v>120000</v>
      </c>
      <c r="J2105" s="20" t="inlineStr">
        <is>
          <t>NIZAB</t>
        </is>
      </c>
      <c r="K2105" s="20" t="inlineStr">
        <is>
          <t>Non-Captive</t>
        </is>
      </c>
      <c r="L2105" s="20" t="inlineStr">
        <is>
          <t>POPULAR MARUTI</t>
        </is>
      </c>
      <c r="M2105" s="23" t="n">
        <v>12711.86</v>
      </c>
    </row>
    <row r="2106">
      <c r="A2106" s="19" t="inlineStr">
        <is>
          <t>FY27</t>
        </is>
      </c>
      <c r="B2106" s="19" t="inlineStr">
        <is>
          <t>May</t>
        </is>
      </c>
      <c r="C2106" s="19" t="inlineStr">
        <is>
          <t>Kerala</t>
        </is>
      </c>
      <c r="D2106" s="20" t="inlineStr">
        <is>
          <t>KL08BB9930</t>
        </is>
      </c>
      <c r="E2106" s="20" t="inlineStr">
        <is>
          <t>HYUNDAI</t>
        </is>
      </c>
      <c r="F2106" s="20" t="inlineStr">
        <is>
          <t>I20</t>
        </is>
      </c>
      <c r="G2106" s="21" t="n"/>
      <c r="H2106" s="22" t="n">
        <v>39000</v>
      </c>
      <c r="I2106" s="22" t="n">
        <v>565000</v>
      </c>
      <c r="J2106" s="20" t="inlineStr">
        <is>
          <t>AITO CARS</t>
        </is>
      </c>
      <c r="K2106" s="20" t="inlineStr">
        <is>
          <t>Non-Captive</t>
        </is>
      </c>
      <c r="L2106" s="20" t="inlineStr">
        <is>
          <t>UCD SANTHOSH</t>
        </is>
      </c>
      <c r="M2106" s="23" t="n">
        <v>5932.2</v>
      </c>
    </row>
    <row r="2107">
      <c r="A2107" s="19" t="inlineStr">
        <is>
          <t>FY27</t>
        </is>
      </c>
      <c r="B2107" s="19" t="inlineStr">
        <is>
          <t>May</t>
        </is>
      </c>
      <c r="C2107" s="19" t="inlineStr">
        <is>
          <t>Kerala</t>
        </is>
      </c>
      <c r="D2107" s="20" t="inlineStr">
        <is>
          <t>KL56B7485</t>
        </is>
      </c>
      <c r="E2107" s="20" t="inlineStr">
        <is>
          <t>MARUTI SUZUKI</t>
        </is>
      </c>
      <c r="F2107" s="20" t="inlineStr">
        <is>
          <t>Alto</t>
        </is>
      </c>
      <c r="G2107" s="21" t="n"/>
      <c r="H2107" s="22" t="n">
        <v>92000</v>
      </c>
      <c r="I2107" s="22" t="n">
        <v>105000</v>
      </c>
      <c r="J2107" s="20" t="inlineStr">
        <is>
          <t>HAMSA</t>
        </is>
      </c>
      <c r="K2107" s="20" t="inlineStr">
        <is>
          <t>Non-Captive</t>
        </is>
      </c>
      <c r="L2107" s="20" t="inlineStr">
        <is>
          <t>EVM</t>
        </is>
      </c>
      <c r="M2107" s="23" t="n">
        <v>4237.29</v>
      </c>
    </row>
    <row r="2108">
      <c r="A2108" s="19" t="inlineStr">
        <is>
          <t>FY27</t>
        </is>
      </c>
      <c r="B2108" s="19" t="inlineStr">
        <is>
          <t>May</t>
        </is>
      </c>
      <c r="C2108" s="19" t="inlineStr">
        <is>
          <t>Kerala</t>
        </is>
      </c>
      <c r="D2108" s="20" t="inlineStr">
        <is>
          <t>KL38D4621</t>
        </is>
      </c>
      <c r="E2108" s="20" t="inlineStr">
        <is>
          <t>HYUNDAI</t>
        </is>
      </c>
      <c r="F2108" s="20" t="inlineStr">
        <is>
          <t>Eon</t>
        </is>
      </c>
      <c r="G2108" s="21" t="n">
        <v>2013</v>
      </c>
      <c r="H2108" s="22" t="n">
        <v>56000</v>
      </c>
      <c r="I2108" s="22" t="n">
        <v>150000</v>
      </c>
      <c r="J2108" s="20" t="inlineStr">
        <is>
          <t>ABU THAHIR AITO CARS</t>
        </is>
      </c>
      <c r="K2108" s="20" t="inlineStr">
        <is>
          <t>Non-Captive</t>
        </is>
      </c>
      <c r="L2108" s="20" t="inlineStr">
        <is>
          <t>UCD NITHEESH</t>
        </is>
      </c>
      <c r="M2108" s="23" t="n">
        <v>4237.29</v>
      </c>
    </row>
    <row r="2109">
      <c r="A2109" s="19" t="inlineStr">
        <is>
          <t>FY27</t>
        </is>
      </c>
      <c r="B2109" s="19" t="inlineStr">
        <is>
          <t>May</t>
        </is>
      </c>
      <c r="C2109" s="19" t="inlineStr">
        <is>
          <t>Kerala</t>
        </is>
      </c>
      <c r="D2109" s="20" t="inlineStr">
        <is>
          <t>KL71D1677</t>
        </is>
      </c>
      <c r="E2109" s="20" t="inlineStr">
        <is>
          <t>MARUTI SUZUKI</t>
        </is>
      </c>
      <c r="F2109" s="20" t="inlineStr">
        <is>
          <t>Ritz</t>
        </is>
      </c>
      <c r="G2109" s="21" t="n"/>
      <c r="H2109" s="22" t="n">
        <v>160000</v>
      </c>
      <c r="I2109" s="22" t="n">
        <v>100000</v>
      </c>
      <c r="J2109" s="20" t="inlineStr">
        <is>
          <t>AUTOTRUST ARJID</t>
        </is>
      </c>
      <c r="K2109" s="20" t="inlineStr">
        <is>
          <t>Non-Captive</t>
        </is>
      </c>
      <c r="L2109" s="20" t="inlineStr">
        <is>
          <t>BIMAL</t>
        </is>
      </c>
      <c r="M2109" s="23" t="n">
        <v>4237.29</v>
      </c>
    </row>
    <row r="2110">
      <c r="A2110" s="19" t="inlineStr">
        <is>
          <t>FY27</t>
        </is>
      </c>
      <c r="B2110" s="19" t="inlineStr">
        <is>
          <t>May</t>
        </is>
      </c>
      <c r="C2110" s="19" t="inlineStr">
        <is>
          <t>Kerala</t>
        </is>
      </c>
      <c r="D2110" s="20" t="inlineStr">
        <is>
          <t>KL57U6373</t>
        </is>
      </c>
      <c r="E2110" s="20" t="inlineStr">
        <is>
          <t>JEEP</t>
        </is>
      </c>
      <c r="F2110" s="20" t="inlineStr">
        <is>
          <t>Compass</t>
        </is>
      </c>
      <c r="G2110" s="21" t="n"/>
      <c r="H2110" s="22" t="n">
        <v>100000</v>
      </c>
      <c r="I2110" s="22" t="n">
        <v>835000</v>
      </c>
      <c r="J2110" s="20" t="inlineStr">
        <is>
          <t>GARAGE CARS</t>
        </is>
      </c>
      <c r="K2110" s="20" t="inlineStr">
        <is>
          <t>Non-Captive</t>
        </is>
      </c>
      <c r="L2110" s="20" t="inlineStr">
        <is>
          <t>MOTOEXCHANGE</t>
        </is>
      </c>
      <c r="M2110" s="23" t="n">
        <v>4237.29</v>
      </c>
    </row>
    <row r="2111">
      <c r="A2111" s="19" t="inlineStr">
        <is>
          <t>FY27</t>
        </is>
      </c>
      <c r="B2111" s="19" t="inlineStr">
        <is>
          <t>May</t>
        </is>
      </c>
      <c r="C2111" s="19" t="inlineStr">
        <is>
          <t>Kerala</t>
        </is>
      </c>
      <c r="D2111" s="20" t="inlineStr">
        <is>
          <t>KL07BT8128</t>
        </is>
      </c>
      <c r="E2111" s="20" t="inlineStr">
        <is>
          <t>FORD</t>
        </is>
      </c>
      <c r="F2111" s="20" t="inlineStr">
        <is>
          <t>Figo</t>
        </is>
      </c>
      <c r="G2111" s="21" t="n"/>
      <c r="H2111" s="22" t="n">
        <v>100000</v>
      </c>
      <c r="I2111" s="22" t="n">
        <v>95000</v>
      </c>
      <c r="J2111" s="20" t="inlineStr">
        <is>
          <t>SAFARNAS</t>
        </is>
      </c>
      <c r="K2111" s="20" t="inlineStr">
        <is>
          <t>Non-Captive</t>
        </is>
      </c>
      <c r="L2111" s="20" t="inlineStr">
        <is>
          <t>AMANA TOYOTA</t>
        </is>
      </c>
      <c r="M2111" s="23" t="n">
        <v>8474.58</v>
      </c>
    </row>
    <row r="2112">
      <c r="A2112" s="19" t="inlineStr">
        <is>
          <t>FY27</t>
        </is>
      </c>
      <c r="B2112" s="19" t="inlineStr">
        <is>
          <t>May</t>
        </is>
      </c>
      <c r="C2112" s="19" t="inlineStr">
        <is>
          <t>Kerala</t>
        </is>
      </c>
      <c r="D2112" s="20" t="inlineStr">
        <is>
          <t>KL45C2175</t>
        </is>
      </c>
      <c r="E2112" s="20" t="inlineStr">
        <is>
          <t>TATA</t>
        </is>
      </c>
      <c r="F2112" s="20" t="inlineStr">
        <is>
          <t>Indica</t>
        </is>
      </c>
      <c r="G2112" s="21" t="n"/>
      <c r="H2112" s="22" t="n">
        <v>42000</v>
      </c>
      <c r="I2112" s="22" t="n">
        <v>50000</v>
      </c>
      <c r="J2112" s="20" t="inlineStr">
        <is>
          <t>POPULAR MARUTI</t>
        </is>
      </c>
      <c r="K2112" s="20" t="inlineStr">
        <is>
          <t>Non-Captive</t>
        </is>
      </c>
      <c r="L2112" s="20" t="inlineStr">
        <is>
          <t>AITOS CARS</t>
        </is>
      </c>
      <c r="M2112" s="23" t="n">
        <v>4237.29</v>
      </c>
    </row>
    <row r="2113">
      <c r="A2113" s="19" t="inlineStr">
        <is>
          <t>FY27</t>
        </is>
      </c>
      <c r="B2113" s="19" t="inlineStr">
        <is>
          <t>May</t>
        </is>
      </c>
      <c r="C2113" s="19" t="inlineStr">
        <is>
          <t>Kerala</t>
        </is>
      </c>
      <c r="D2113" s="20" t="inlineStr">
        <is>
          <t>KL58A4187</t>
        </is>
      </c>
      <c r="E2113" s="20" t="inlineStr">
        <is>
          <t>MARUTI SUZUKI</t>
        </is>
      </c>
      <c r="F2113" s="20" t="inlineStr">
        <is>
          <t>Wagon R</t>
        </is>
      </c>
      <c r="G2113" s="21" t="n"/>
      <c r="H2113" s="22" t="n">
        <v>124000</v>
      </c>
      <c r="I2113" s="22" t="n">
        <v>45000</v>
      </c>
      <c r="J2113" s="20" t="inlineStr">
        <is>
          <t>NITHEESH MOHAN</t>
        </is>
      </c>
      <c r="K2113" s="20" t="inlineStr">
        <is>
          <t>Non-Captive</t>
        </is>
      </c>
      <c r="L2113" s="20" t="inlineStr">
        <is>
          <t>INDUS MARUTI</t>
        </is>
      </c>
      <c r="M2113" s="23" t="n">
        <v>4237.29</v>
      </c>
    </row>
    <row r="2114">
      <c r="A2114" s="19" t="inlineStr">
        <is>
          <t>FY27</t>
        </is>
      </c>
      <c r="B2114" s="19" t="inlineStr">
        <is>
          <t>May</t>
        </is>
      </c>
      <c r="C2114" s="19" t="inlineStr">
        <is>
          <t>Kerala</t>
        </is>
      </c>
      <c r="D2114" s="20" t="inlineStr">
        <is>
          <t>KL13P6026</t>
        </is>
      </c>
      <c r="E2114" s="20" t="inlineStr">
        <is>
          <t>MARUTI SUZUKI</t>
        </is>
      </c>
      <c r="F2114" s="20" t="inlineStr">
        <is>
          <t>Omni</t>
        </is>
      </c>
      <c r="G2114" s="21" t="n"/>
      <c r="H2114" s="22" t="n">
        <v>180000</v>
      </c>
      <c r="I2114" s="22" t="n">
        <v>6000</v>
      </c>
      <c r="J2114" s="20" t="inlineStr">
        <is>
          <t>AUTOTRUST</t>
        </is>
      </c>
      <c r="K2114" s="20" t="inlineStr">
        <is>
          <t>Non-Captive</t>
        </is>
      </c>
      <c r="L2114" s="20" t="inlineStr">
        <is>
          <t>POPULAR MARUTI</t>
        </is>
      </c>
      <c r="M2114" s="23" t="n">
        <v>5084.75</v>
      </c>
    </row>
    <row r="2115">
      <c r="A2115" s="19" t="inlineStr">
        <is>
          <t>FY27</t>
        </is>
      </c>
      <c r="B2115" s="19" t="inlineStr">
        <is>
          <t>May</t>
        </is>
      </c>
      <c r="C2115" s="19" t="inlineStr">
        <is>
          <t>Kerala</t>
        </is>
      </c>
      <c r="D2115" s="20" t="inlineStr">
        <is>
          <t>KL78B7502</t>
        </is>
      </c>
      <c r="E2115" s="20" t="inlineStr">
        <is>
          <t>HYUNDAI</t>
        </is>
      </c>
      <c r="F2115" s="20" t="inlineStr">
        <is>
          <t>Nios</t>
        </is>
      </c>
      <c r="G2115" s="21" t="n"/>
      <c r="H2115" s="22" t="n">
        <v>14000</v>
      </c>
      <c r="I2115" s="22" t="n">
        <v>462000</v>
      </c>
      <c r="J2115" s="20" t="inlineStr">
        <is>
          <t>Prajosh</t>
        </is>
      </c>
      <c r="K2115" s="20" t="inlineStr">
        <is>
          <t>Non-Captive</t>
        </is>
      </c>
      <c r="L2115" s="20" t="inlineStr">
        <is>
          <t>INDUS MARUTI</t>
        </is>
      </c>
      <c r="M2115" s="23" t="n">
        <v>5932.2</v>
      </c>
    </row>
    <row r="2116">
      <c r="A2116" s="19" t="inlineStr">
        <is>
          <t>FY27</t>
        </is>
      </c>
      <c r="B2116" s="19" t="inlineStr">
        <is>
          <t>May</t>
        </is>
      </c>
      <c r="C2116" s="19" t="inlineStr">
        <is>
          <t>Kerala</t>
        </is>
      </c>
      <c r="D2116" s="20" t="inlineStr">
        <is>
          <t>KL13AW7090</t>
        </is>
      </c>
      <c r="E2116" s="20" t="inlineStr">
        <is>
          <t>TATA</t>
        </is>
      </c>
      <c r="F2116" s="20" t="inlineStr">
        <is>
          <t>Harrier</t>
        </is>
      </c>
      <c r="G2116" s="21" t="n"/>
      <c r="H2116" s="22" t="n">
        <v>43000</v>
      </c>
      <c r="I2116" s="22" t="n">
        <v>1500000</v>
      </c>
      <c r="J2116" s="20" t="inlineStr">
        <is>
          <t>VASIL AUTOBOT</t>
        </is>
      </c>
      <c r="K2116" s="20" t="inlineStr">
        <is>
          <t>Non-Captive</t>
        </is>
      </c>
      <c r="L2116" s="20" t="inlineStr">
        <is>
          <t>KVR TATA</t>
        </is>
      </c>
      <c r="M2116" s="23" t="n">
        <v>8474.58</v>
      </c>
    </row>
    <row r="2117">
      <c r="A2117" s="19" t="inlineStr">
        <is>
          <t>FY27</t>
        </is>
      </c>
      <c r="B2117" s="19" t="inlineStr">
        <is>
          <t>May</t>
        </is>
      </c>
      <c r="C2117" s="19" t="inlineStr">
        <is>
          <t>Kerala</t>
        </is>
      </c>
      <c r="D2117" s="20" t="inlineStr">
        <is>
          <t>KL58Q9263</t>
        </is>
      </c>
      <c r="E2117" s="20" t="inlineStr">
        <is>
          <t>MARUTI SUZUKI</t>
        </is>
      </c>
      <c r="F2117" s="20" t="inlineStr">
        <is>
          <t>Swift</t>
        </is>
      </c>
      <c r="G2117" s="21" t="n"/>
      <c r="H2117" s="22" t="n">
        <v>160000</v>
      </c>
      <c r="I2117" s="22" t="n">
        <v>230000</v>
      </c>
      <c r="J2117" s="20" t="inlineStr">
        <is>
          <t>NITHEESH MOHAN</t>
        </is>
      </c>
      <c r="K2117" s="20" t="inlineStr">
        <is>
          <t>Non-Captive</t>
        </is>
      </c>
      <c r="L2117" s="20" t="inlineStr">
        <is>
          <t>INDUS MARUTI</t>
        </is>
      </c>
      <c r="M2117" s="23" t="n">
        <v>8474.58</v>
      </c>
    </row>
    <row r="2118">
      <c r="A2118" s="19" t="inlineStr">
        <is>
          <t>FY27</t>
        </is>
      </c>
      <c r="B2118" s="19" t="inlineStr">
        <is>
          <t>May</t>
        </is>
      </c>
      <c r="C2118" s="19" t="inlineStr">
        <is>
          <t>Kerala</t>
        </is>
      </c>
      <c r="D2118" s="20" t="inlineStr">
        <is>
          <t>KL13T6459</t>
        </is>
      </c>
      <c r="E2118" s="20" t="inlineStr">
        <is>
          <t>MARUTI SUZUKI</t>
        </is>
      </c>
      <c r="F2118" s="20" t="inlineStr">
        <is>
          <t>Alto</t>
        </is>
      </c>
      <c r="G2118" s="21" t="n"/>
      <c r="H2118" s="22" t="n">
        <v>75000</v>
      </c>
      <c r="I2118" s="22" t="n">
        <v>55000</v>
      </c>
      <c r="J2118" s="20" t="inlineStr">
        <is>
          <t>SARANG</t>
        </is>
      </c>
      <c r="K2118" s="20" t="inlineStr">
        <is>
          <t>Non-Captive</t>
        </is>
      </c>
      <c r="L2118" s="20" t="inlineStr">
        <is>
          <t>POPULAR MARUTI</t>
        </is>
      </c>
      <c r="M2118" s="23" t="n">
        <v>8474.58</v>
      </c>
    </row>
    <row r="2119">
      <c r="A2119" s="19" t="inlineStr">
        <is>
          <t>FY27</t>
        </is>
      </c>
      <c r="B2119" s="19" t="inlineStr">
        <is>
          <t>May</t>
        </is>
      </c>
      <c r="C2119" s="19" t="inlineStr">
        <is>
          <t>Kerala</t>
        </is>
      </c>
      <c r="D2119" s="20" t="inlineStr">
        <is>
          <t>KL59G3993</t>
        </is>
      </c>
      <c r="E2119" s="20" t="inlineStr">
        <is>
          <t>MARUTI SUZUKI</t>
        </is>
      </c>
      <c r="F2119" s="20" t="inlineStr">
        <is>
          <t>Alto</t>
        </is>
      </c>
      <c r="G2119" s="21" t="n"/>
      <c r="H2119" s="22" t="n">
        <v>98000</v>
      </c>
      <c r="I2119" s="22" t="n">
        <v>125000</v>
      </c>
      <c r="J2119" s="20" t="inlineStr">
        <is>
          <t>SAJITH</t>
        </is>
      </c>
      <c r="K2119" s="20" t="inlineStr">
        <is>
          <t>Non-Captive</t>
        </is>
      </c>
      <c r="L2119" s="20" t="inlineStr">
        <is>
          <t>POPULAR MARUTI</t>
        </is>
      </c>
      <c r="M2119" s="23" t="n">
        <v>8474.58</v>
      </c>
    </row>
    <row r="2120">
      <c r="A2120" s="19" t="inlineStr">
        <is>
          <t>FY27</t>
        </is>
      </c>
      <c r="B2120" s="19" t="inlineStr">
        <is>
          <t>May</t>
        </is>
      </c>
      <c r="C2120" s="19" t="inlineStr">
        <is>
          <t>Kerala</t>
        </is>
      </c>
      <c r="D2120" s="20" t="inlineStr">
        <is>
          <t>KL33C3406</t>
        </is>
      </c>
      <c r="E2120" s="20" t="inlineStr">
        <is>
          <t>MARUTI SUZUKI</t>
        </is>
      </c>
      <c r="F2120" s="20" t="inlineStr">
        <is>
          <t>Alto</t>
        </is>
      </c>
      <c r="G2120" s="21" t="n"/>
      <c r="H2120" s="22" t="n">
        <v>135676</v>
      </c>
      <c r="I2120" s="22" t="n">
        <v>104000</v>
      </c>
      <c r="J2120" s="20" t="inlineStr">
        <is>
          <t>MUHAMMED SHAJI</t>
        </is>
      </c>
      <c r="K2120" s="20" t="inlineStr">
        <is>
          <t>Non-Captive</t>
        </is>
      </c>
      <c r="L2120" s="20" t="inlineStr">
        <is>
          <t>DREAM DRIVE</t>
        </is>
      </c>
      <c r="M2120" s="23" t="n">
        <v>8474.58</v>
      </c>
    </row>
    <row r="2121">
      <c r="A2121" s="19" t="inlineStr">
        <is>
          <t>FY27</t>
        </is>
      </c>
      <c r="B2121" s="19" t="inlineStr">
        <is>
          <t>May</t>
        </is>
      </c>
      <c r="C2121" s="19" t="inlineStr">
        <is>
          <t>Kerala</t>
        </is>
      </c>
      <c r="D2121" s="20" t="inlineStr">
        <is>
          <t>KL42E5883</t>
        </is>
      </c>
      <c r="E2121" s="20" t="inlineStr">
        <is>
          <t>FORD</t>
        </is>
      </c>
      <c r="F2121" s="20" t="inlineStr">
        <is>
          <t>Figo</t>
        </is>
      </c>
      <c r="G2121" s="21" t="n"/>
      <c r="H2121" s="22" t="n">
        <v>104954</v>
      </c>
      <c r="I2121" s="22" t="n">
        <v>55000</v>
      </c>
      <c r="J2121" s="20" t="inlineStr">
        <is>
          <t>CITROEN EVM</t>
        </is>
      </c>
      <c r="K2121" s="20" t="inlineStr">
        <is>
          <t>Non-Captive</t>
        </is>
      </c>
      <c r="L2121" s="20" t="inlineStr">
        <is>
          <t>HUSSAIN O E</t>
        </is>
      </c>
      <c r="M2121" s="23" t="n">
        <v>10169.49</v>
      </c>
    </row>
    <row r="2122">
      <c r="A2122" s="19" t="inlineStr">
        <is>
          <t>FY27</t>
        </is>
      </c>
      <c r="B2122" s="19" t="inlineStr">
        <is>
          <t>May</t>
        </is>
      </c>
      <c r="C2122" s="19" t="inlineStr">
        <is>
          <t>Kerala</t>
        </is>
      </c>
      <c r="D2122" s="20" t="inlineStr">
        <is>
          <t>KL48H9187</t>
        </is>
      </c>
      <c r="E2122" s="20" t="inlineStr">
        <is>
          <t>TATA</t>
        </is>
      </c>
      <c r="F2122" s="20" t="inlineStr">
        <is>
          <t>Nano</t>
        </is>
      </c>
      <c r="G2122" s="21" t="n"/>
      <c r="H2122" s="22" t="n">
        <v>55386</v>
      </c>
      <c r="I2122" s="22" t="n">
        <v>90000</v>
      </c>
      <c r="J2122" s="20" t="inlineStr">
        <is>
          <t>POPULAR HYUNDAI</t>
        </is>
      </c>
      <c r="K2122" s="20" t="inlineStr">
        <is>
          <t>Non-Captive</t>
        </is>
      </c>
      <c r="L2122" s="20" t="inlineStr">
        <is>
          <t>AITOS CARS</t>
        </is>
      </c>
      <c r="M2122" s="23" t="n">
        <v>8474.58</v>
      </c>
    </row>
    <row r="2123">
      <c r="A2123" s="19" t="inlineStr">
        <is>
          <t>FY27</t>
        </is>
      </c>
      <c r="B2123" s="19" t="inlineStr">
        <is>
          <t>May</t>
        </is>
      </c>
      <c r="C2123" s="19" t="inlineStr">
        <is>
          <t>Kerala</t>
        </is>
      </c>
      <c r="D2123" s="20" t="inlineStr">
        <is>
          <t>KL05Y5004</t>
        </is>
      </c>
      <c r="E2123" s="20" t="inlineStr">
        <is>
          <t>HYUNDAI</t>
        </is>
      </c>
      <c r="F2123" s="20" t="inlineStr">
        <is>
          <t>Santro</t>
        </is>
      </c>
      <c r="G2123" s="21" t="n"/>
      <c r="H2123" s="22" t="n">
        <v>151564</v>
      </c>
      <c r="I2123" s="22" t="n">
        <v>30000</v>
      </c>
      <c r="J2123" s="20" t="inlineStr">
        <is>
          <t>POPULAR MARUTI</t>
        </is>
      </c>
      <c r="K2123" s="20" t="inlineStr">
        <is>
          <t>Non-Captive</t>
        </is>
      </c>
      <c r="L2123" s="20" t="inlineStr">
        <is>
          <t>DREAM DRIVE</t>
        </is>
      </c>
      <c r="M2123" s="23" t="n">
        <v>8474.58</v>
      </c>
    </row>
    <row r="2124">
      <c r="A2124" s="19" t="inlineStr">
        <is>
          <t>FY27</t>
        </is>
      </c>
      <c r="B2124" s="19" t="inlineStr">
        <is>
          <t>May</t>
        </is>
      </c>
      <c r="C2124" s="19" t="inlineStr">
        <is>
          <t>Kerala</t>
        </is>
      </c>
      <c r="D2124" s="20" t="inlineStr">
        <is>
          <t>KL41S1117</t>
        </is>
      </c>
      <c r="E2124" s="20" t="inlineStr">
        <is>
          <t>MAHINDRA</t>
        </is>
      </c>
      <c r="F2124" s="20" t="inlineStr">
        <is>
          <t>Bolero</t>
        </is>
      </c>
      <c r="G2124" s="21" t="n"/>
      <c r="H2124" s="22" t="n">
        <v>130815</v>
      </c>
      <c r="I2124" s="22" t="n">
        <v>515000</v>
      </c>
      <c r="J2124" s="20" t="inlineStr">
        <is>
          <t>AUTOMOTIVE</t>
        </is>
      </c>
      <c r="K2124" s="20" t="inlineStr">
        <is>
          <t>Non-Captive</t>
        </is>
      </c>
      <c r="L2124" s="20" t="inlineStr">
        <is>
          <t>FABITH</t>
        </is>
      </c>
      <c r="M2124" s="23" t="n">
        <v>8474.58</v>
      </c>
    </row>
    <row r="2125">
      <c r="A2125" s="19" t="inlineStr">
        <is>
          <t>FY27</t>
        </is>
      </c>
      <c r="B2125" s="19" t="inlineStr">
        <is>
          <t>May</t>
        </is>
      </c>
      <c r="C2125" s="19" t="inlineStr">
        <is>
          <t>Kerala</t>
        </is>
      </c>
      <c r="D2125" s="20" t="inlineStr">
        <is>
          <t>KL25B1902</t>
        </is>
      </c>
      <c r="E2125" s="20" t="inlineStr">
        <is>
          <t>MARUTI SUZUKI</t>
        </is>
      </c>
      <c r="F2125" s="20" t="inlineStr">
        <is>
          <t>Estilo</t>
        </is>
      </c>
      <c r="G2125" s="21" t="n"/>
      <c r="H2125" s="22" t="n">
        <v>65461</v>
      </c>
      <c r="I2125" s="22" t="n">
        <v>45000</v>
      </c>
      <c r="J2125" s="20" t="inlineStr">
        <is>
          <t>JOHNSON</t>
        </is>
      </c>
      <c r="K2125" s="20" t="inlineStr">
        <is>
          <t>Non-Captive</t>
        </is>
      </c>
      <c r="L2125" s="20" t="inlineStr">
        <is>
          <t>INCHEON KIA</t>
        </is>
      </c>
      <c r="M2125" s="23" t="n">
        <v>5932.2</v>
      </c>
    </row>
    <row r="2126">
      <c r="A2126" s="19" t="inlineStr">
        <is>
          <t>FY27</t>
        </is>
      </c>
      <c r="B2126" s="19" t="inlineStr">
        <is>
          <t>May</t>
        </is>
      </c>
      <c r="C2126" s="19" t="inlineStr">
        <is>
          <t>Kerala</t>
        </is>
      </c>
      <c r="D2126" s="20" t="inlineStr">
        <is>
          <t>KL51E6751</t>
        </is>
      </c>
      <c r="E2126" s="20" t="inlineStr">
        <is>
          <t>HYUNDAI</t>
        </is>
      </c>
      <c r="F2126" s="20" t="inlineStr">
        <is>
          <t>Eon</t>
        </is>
      </c>
      <c r="G2126" s="21" t="n"/>
      <c r="H2126" s="22" t="n">
        <v>62247</v>
      </c>
      <c r="I2126" s="22" t="n">
        <v>65000</v>
      </c>
      <c r="J2126" s="20" t="inlineStr">
        <is>
          <t>POPULAR MARUTI</t>
        </is>
      </c>
      <c r="K2126" s="20" t="inlineStr">
        <is>
          <t>Non-Captive</t>
        </is>
      </c>
      <c r="L2126" s="20" t="inlineStr">
        <is>
          <t>PRAVEEN</t>
        </is>
      </c>
      <c r="M2126" s="23" t="n">
        <v>8474.58</v>
      </c>
    </row>
    <row r="2127">
      <c r="A2127" s="19" t="inlineStr">
        <is>
          <t>FY27</t>
        </is>
      </c>
      <c r="B2127" s="19" t="inlineStr">
        <is>
          <t>May</t>
        </is>
      </c>
      <c r="C2127" s="19" t="inlineStr">
        <is>
          <t>Kerala</t>
        </is>
      </c>
      <c r="D2127" s="20" t="inlineStr">
        <is>
          <t>KL07CJ4311</t>
        </is>
      </c>
      <c r="E2127" s="20" t="inlineStr">
        <is>
          <t>NISSAN</t>
        </is>
      </c>
      <c r="F2127" s="20" t="inlineStr">
        <is>
          <t>Terrano</t>
        </is>
      </c>
      <c r="G2127" s="21" t="n"/>
      <c r="H2127" s="22" t="n">
        <v>106000</v>
      </c>
      <c r="I2127" s="22" t="n">
        <v>440000</v>
      </c>
      <c r="J2127" s="20" t="inlineStr">
        <is>
          <t>INCHEON KIA</t>
        </is>
      </c>
      <c r="K2127" s="20" t="inlineStr">
        <is>
          <t>Non-Captive</t>
        </is>
      </c>
      <c r="L2127" s="20" t="inlineStr">
        <is>
          <t>AITOS CARS</t>
        </is>
      </c>
      <c r="M2127" s="23" t="n">
        <v>8474.58</v>
      </c>
    </row>
    <row r="2128">
      <c r="A2128" s="19" t="inlineStr">
        <is>
          <t>FY27</t>
        </is>
      </c>
      <c r="B2128" s="19" t="inlineStr">
        <is>
          <t>May</t>
        </is>
      </c>
      <c r="C2128" s="19" t="inlineStr">
        <is>
          <t>Kerala</t>
        </is>
      </c>
      <c r="D2128" s="20" t="inlineStr">
        <is>
          <t>KL08BS0450</t>
        </is>
      </c>
      <c r="E2128" s="20" t="inlineStr">
        <is>
          <t>HONDA</t>
        </is>
      </c>
      <c r="F2128" s="20" t="inlineStr">
        <is>
          <t>Amaze</t>
        </is>
      </c>
      <c r="G2128" s="21" t="n"/>
      <c r="H2128" s="22" t="n">
        <v>219760</v>
      </c>
      <c r="I2128" s="22" t="n">
        <v>450000</v>
      </c>
      <c r="J2128" s="20" t="inlineStr">
        <is>
          <t>VISION HONDA</t>
        </is>
      </c>
      <c r="K2128" s="20" t="inlineStr">
        <is>
          <t>Non-Captive</t>
        </is>
      </c>
      <c r="L2128" s="20" t="inlineStr">
        <is>
          <t>MUHAMMED SHAJI</t>
        </is>
      </c>
      <c r="M2128" s="23" t="n">
        <v>8474.58</v>
      </c>
    </row>
    <row r="2129">
      <c r="A2129" s="19" t="inlineStr">
        <is>
          <t>FY27</t>
        </is>
      </c>
      <c r="B2129" s="19" t="inlineStr">
        <is>
          <t>May</t>
        </is>
      </c>
      <c r="C2129" s="19" t="inlineStr">
        <is>
          <t>Kerala</t>
        </is>
      </c>
      <c r="D2129" s="20" t="inlineStr">
        <is>
          <t>KL627926</t>
        </is>
      </c>
      <c r="E2129" s="20" t="inlineStr">
        <is>
          <t>NISSAN</t>
        </is>
      </c>
      <c r="F2129" s="20" t="inlineStr">
        <is>
          <t>Sunny</t>
        </is>
      </c>
      <c r="G2129" s="21" t="n"/>
      <c r="H2129" s="22" t="n">
        <v>86821</v>
      </c>
      <c r="I2129" s="22" t="n">
        <v>75000</v>
      </c>
      <c r="J2129" s="20" t="inlineStr">
        <is>
          <t>POPULAR MARUTI</t>
        </is>
      </c>
      <c r="K2129" s="20" t="inlineStr">
        <is>
          <t>Non-Captive</t>
        </is>
      </c>
      <c r="L2129" s="20" t="inlineStr">
        <is>
          <t>AITOS CARS</t>
        </is>
      </c>
      <c r="M2129" s="23" t="n">
        <v>12711.86</v>
      </c>
    </row>
    <row r="2130">
      <c r="A2130" s="19" t="inlineStr">
        <is>
          <t>FY27</t>
        </is>
      </c>
      <c r="B2130" s="19" t="inlineStr">
        <is>
          <t>May</t>
        </is>
      </c>
      <c r="C2130" s="19" t="inlineStr">
        <is>
          <t>Kerala</t>
        </is>
      </c>
      <c r="D2130" s="20" t="inlineStr">
        <is>
          <t>KL39F1505</t>
        </is>
      </c>
      <c r="E2130" s="20" t="inlineStr">
        <is>
          <t>HONDA</t>
        </is>
      </c>
      <c r="F2130" s="20" t="inlineStr">
        <is>
          <t>Amaze</t>
        </is>
      </c>
      <c r="G2130" s="21" t="n"/>
      <c r="H2130" s="22" t="n">
        <v>124009</v>
      </c>
      <c r="I2130" s="22" t="n">
        <v>180000</v>
      </c>
      <c r="J2130" s="20" t="inlineStr">
        <is>
          <t>KESHVIN HYUNDAI</t>
        </is>
      </c>
      <c r="K2130" s="20" t="inlineStr">
        <is>
          <t>Non-Captive</t>
        </is>
      </c>
      <c r="L2130" s="20" t="inlineStr">
        <is>
          <t>RAFEEK T A</t>
        </is>
      </c>
      <c r="M2130" s="23" t="n">
        <v>8474.58</v>
      </c>
    </row>
    <row r="2131">
      <c r="A2131" s="19" t="inlineStr">
        <is>
          <t>FY27</t>
        </is>
      </c>
      <c r="B2131" s="19" t="inlineStr">
        <is>
          <t>May</t>
        </is>
      </c>
      <c r="C2131" s="19" t="inlineStr">
        <is>
          <t>Kerala</t>
        </is>
      </c>
      <c r="D2131" s="20" t="inlineStr">
        <is>
          <t>KL07BH7683</t>
        </is>
      </c>
      <c r="E2131" s="20" t="inlineStr">
        <is>
          <t>MARUTI SUZUKI</t>
        </is>
      </c>
      <c r="F2131" s="20" t="inlineStr">
        <is>
          <t>Alto</t>
        </is>
      </c>
      <c r="G2131" s="21" t="n"/>
      <c r="H2131" s="22" t="n">
        <v>63000</v>
      </c>
      <c r="I2131" s="22" t="n">
        <v>50000</v>
      </c>
      <c r="J2131" s="20" t="inlineStr">
        <is>
          <t>GOKULAM TATA</t>
        </is>
      </c>
      <c r="K2131" s="20" t="inlineStr">
        <is>
          <t>Non-Captive</t>
        </is>
      </c>
      <c r="L2131" s="20" t="inlineStr">
        <is>
          <t>RAFEEK T A</t>
        </is>
      </c>
      <c r="M2131" s="23" t="n">
        <v>8474.58</v>
      </c>
    </row>
    <row r="2132">
      <c r="A2132" s="19" t="inlineStr">
        <is>
          <t>FY27</t>
        </is>
      </c>
      <c r="B2132" s="19" t="inlineStr">
        <is>
          <t>May</t>
        </is>
      </c>
      <c r="C2132" s="19" t="inlineStr">
        <is>
          <t>Kerala</t>
        </is>
      </c>
      <c r="D2132" s="20" t="inlineStr">
        <is>
          <t>KL02AD3097</t>
        </is>
      </c>
      <c r="E2132" s="20" t="inlineStr">
        <is>
          <t>MARUTI SUZUKI</t>
        </is>
      </c>
      <c r="F2132" s="20" t="inlineStr">
        <is>
          <t>A-Star</t>
        </is>
      </c>
      <c r="G2132" s="21" t="n"/>
      <c r="H2132" s="22" t="n">
        <v>123000</v>
      </c>
      <c r="I2132" s="22" t="n">
        <v>60000</v>
      </c>
      <c r="J2132" s="20" t="inlineStr">
        <is>
          <t>FORTUNE MG</t>
        </is>
      </c>
      <c r="K2132" s="20" t="inlineStr">
        <is>
          <t>Non-Captive</t>
        </is>
      </c>
      <c r="L2132" s="20" t="inlineStr">
        <is>
          <t>ATHUL RAJ</t>
        </is>
      </c>
      <c r="M2132" s="23" t="n">
        <v>5932.2</v>
      </c>
    </row>
    <row r="2133">
      <c r="A2133" s="19" t="inlineStr">
        <is>
          <t>FY27</t>
        </is>
      </c>
      <c r="B2133" s="19" t="inlineStr">
        <is>
          <t>May</t>
        </is>
      </c>
      <c r="C2133" s="19" t="inlineStr">
        <is>
          <t>Kerala</t>
        </is>
      </c>
      <c r="D2133" s="20" t="inlineStr">
        <is>
          <t>KL33P3886</t>
        </is>
      </c>
      <c r="E2133" s="20" t="inlineStr">
        <is>
          <t>TATA</t>
        </is>
      </c>
      <c r="F2133" s="20" t="inlineStr">
        <is>
          <t>Tiago</t>
        </is>
      </c>
      <c r="G2133" s="21" t="n"/>
      <c r="H2133" s="22" t="n">
        <v>24000</v>
      </c>
      <c r="I2133" s="22" t="n">
        <v>417000</v>
      </c>
      <c r="J2133" s="20" t="inlineStr">
        <is>
          <t>GOKULAM TATA</t>
        </is>
      </c>
      <c r="K2133" s="20" t="inlineStr">
        <is>
          <t>Non-Captive</t>
        </is>
      </c>
      <c r="L2133" s="20" t="inlineStr">
        <is>
          <t>HORIZON CARS</t>
        </is>
      </c>
      <c r="M2133" s="23" t="n">
        <v>6779.66</v>
      </c>
    </row>
    <row r="2134">
      <c r="A2134" s="19" t="inlineStr">
        <is>
          <t>FY27</t>
        </is>
      </c>
      <c r="B2134" s="19" t="inlineStr">
        <is>
          <t>May</t>
        </is>
      </c>
      <c r="C2134" s="19" t="inlineStr">
        <is>
          <t>Kerala</t>
        </is>
      </c>
      <c r="D2134" s="20" t="inlineStr">
        <is>
          <t>KL13AD3910</t>
        </is>
      </c>
      <c r="E2134" s="20" t="inlineStr">
        <is>
          <t>TATA</t>
        </is>
      </c>
      <c r="F2134" s="20" t="inlineStr">
        <is>
          <t>Zest</t>
        </is>
      </c>
      <c r="G2134" s="21" t="n"/>
      <c r="H2134" s="22" t="n">
        <v>100000</v>
      </c>
      <c r="I2134" s="22" t="n">
        <v>130000</v>
      </c>
      <c r="J2134" s="20" t="inlineStr">
        <is>
          <t>VASIL AUTOBOT</t>
        </is>
      </c>
      <c r="K2134" s="20" t="inlineStr">
        <is>
          <t>Non-Captive</t>
        </is>
      </c>
      <c r="L2134" s="20" t="inlineStr">
        <is>
          <t>POPULAR</t>
        </is>
      </c>
      <c r="M2134" s="23" t="n">
        <v>8474.58</v>
      </c>
    </row>
    <row r="2135">
      <c r="A2135" s="19" t="inlineStr">
        <is>
          <t>FY27</t>
        </is>
      </c>
      <c r="B2135" s="19" t="inlineStr">
        <is>
          <t>May</t>
        </is>
      </c>
      <c r="C2135" s="19" t="inlineStr">
        <is>
          <t>Kerala</t>
        </is>
      </c>
      <c r="D2135" s="20" t="inlineStr">
        <is>
          <t>KL52F9121</t>
        </is>
      </c>
      <c r="E2135" s="20" t="inlineStr">
        <is>
          <t>MARUTI SUZUKI</t>
        </is>
      </c>
      <c r="F2135" s="20" t="inlineStr">
        <is>
          <t>Swift</t>
        </is>
      </c>
      <c r="G2135" s="21" t="n"/>
      <c r="H2135" s="22" t="n">
        <v>107000</v>
      </c>
      <c r="I2135" s="22" t="n">
        <v>230000</v>
      </c>
      <c r="J2135" s="20" t="inlineStr">
        <is>
          <t>RATHEESH</t>
        </is>
      </c>
      <c r="K2135" s="20" t="inlineStr">
        <is>
          <t>Non-Captive</t>
        </is>
      </c>
      <c r="L2135" s="20" t="inlineStr">
        <is>
          <t>POPULAR MARUTI</t>
        </is>
      </c>
      <c r="M2135" s="23" t="n">
        <v>8474.58</v>
      </c>
    </row>
    <row r="2136">
      <c r="A2136" s="19" t="inlineStr">
        <is>
          <t>FY27</t>
        </is>
      </c>
      <c r="B2136" s="19" t="inlineStr">
        <is>
          <t>May</t>
        </is>
      </c>
      <c r="C2136" s="19" t="inlineStr">
        <is>
          <t>Kerala</t>
        </is>
      </c>
      <c r="D2136" s="20" t="inlineStr">
        <is>
          <t>KL55E2688</t>
        </is>
      </c>
      <c r="E2136" s="20" t="inlineStr">
        <is>
          <t>MARUTI SUZUKI</t>
        </is>
      </c>
      <c r="F2136" s="20" t="inlineStr">
        <is>
          <t>Alto</t>
        </is>
      </c>
      <c r="G2136" s="21" t="n"/>
      <c r="H2136" s="22" t="n">
        <v>110000</v>
      </c>
      <c r="I2136" s="22" t="n">
        <v>45000</v>
      </c>
      <c r="J2136" s="20" t="inlineStr">
        <is>
          <t>DELUX MOTORS</t>
        </is>
      </c>
      <c r="K2136" s="20" t="inlineStr">
        <is>
          <t>Non-Captive</t>
        </is>
      </c>
      <c r="L2136" s="20" t="inlineStr">
        <is>
          <t>POPULAR MARUTI</t>
        </is>
      </c>
      <c r="M2136" s="23" t="n">
        <v>13559.32</v>
      </c>
    </row>
    <row r="2137">
      <c r="A2137" s="19" t="inlineStr">
        <is>
          <t>FY27</t>
        </is>
      </c>
      <c r="B2137" s="19" t="inlineStr">
        <is>
          <t>May</t>
        </is>
      </c>
      <c r="C2137" s="19" t="inlineStr">
        <is>
          <t>Kerala</t>
        </is>
      </c>
      <c r="D2137" s="20" t="inlineStr">
        <is>
          <t>KL57L3023</t>
        </is>
      </c>
      <c r="E2137" s="20" t="inlineStr">
        <is>
          <t>TATA</t>
        </is>
      </c>
      <c r="F2137" s="20" t="inlineStr">
        <is>
          <t>Nano</t>
        </is>
      </c>
      <c r="G2137" s="21" t="n"/>
      <c r="H2137" s="22" t="n">
        <v>100000</v>
      </c>
      <c r="I2137" s="22" t="n">
        <v>33000</v>
      </c>
      <c r="J2137" s="20" t="inlineStr">
        <is>
          <t>SAFARNAS</t>
        </is>
      </c>
      <c r="K2137" s="20" t="inlineStr">
        <is>
          <t>Non-Captive</t>
        </is>
      </c>
      <c r="L2137" s="20" t="inlineStr">
        <is>
          <t>POPULAR MARUTI</t>
        </is>
      </c>
      <c r="M2137" s="23" t="n">
        <v>4237.29</v>
      </c>
    </row>
    <row r="2138">
      <c r="A2138" s="19" t="inlineStr">
        <is>
          <t>FY27</t>
        </is>
      </c>
      <c r="B2138" s="19" t="inlineStr">
        <is>
          <t>May</t>
        </is>
      </c>
      <c r="C2138" s="19" t="inlineStr">
        <is>
          <t>Kerala</t>
        </is>
      </c>
      <c r="D2138" s="20" t="inlineStr">
        <is>
          <t>KL711677</t>
        </is>
      </c>
      <c r="E2138" s="20" t="inlineStr">
        <is>
          <t>MARUTI SUZUKI</t>
        </is>
      </c>
      <c r="F2138" s="20" t="inlineStr">
        <is>
          <t>Swift</t>
        </is>
      </c>
      <c r="G2138" s="21" t="n"/>
      <c r="H2138" s="22" t="n">
        <v>74000</v>
      </c>
      <c r="I2138" s="22" t="n">
        <v>540000</v>
      </c>
      <c r="J2138" s="20" t="inlineStr">
        <is>
          <t>VASIL AUTOBOT</t>
        </is>
      </c>
      <c r="K2138" s="20" t="inlineStr">
        <is>
          <t>Non-Captive</t>
        </is>
      </c>
      <c r="L2138" s="20" t="inlineStr">
        <is>
          <t>BIMAL</t>
        </is>
      </c>
      <c r="M2138" s="23" t="n">
        <v>8474.58</v>
      </c>
    </row>
    <row r="2139">
      <c r="A2139" s="19" t="inlineStr">
        <is>
          <t>FY27</t>
        </is>
      </c>
      <c r="B2139" s="19" t="inlineStr">
        <is>
          <t>May</t>
        </is>
      </c>
      <c r="C2139" s="19" t="inlineStr">
        <is>
          <t>Kerala</t>
        </is>
      </c>
      <c r="D2139" s="20" t="inlineStr">
        <is>
          <t>KL59G8036</t>
        </is>
      </c>
      <c r="E2139" s="20" t="inlineStr">
        <is>
          <t>MARUTI SUZUKI</t>
        </is>
      </c>
      <c r="F2139" s="20" t="inlineStr">
        <is>
          <t>Wagon R</t>
        </is>
      </c>
      <c r="G2139" s="21" t="n"/>
      <c r="H2139" s="22" t="n">
        <v>77000</v>
      </c>
      <c r="I2139" s="22" t="n">
        <v>200000</v>
      </c>
      <c r="J2139" s="20" t="inlineStr">
        <is>
          <t>SHAJEE CARS</t>
        </is>
      </c>
      <c r="K2139" s="20" t="inlineStr">
        <is>
          <t>Non-Captive</t>
        </is>
      </c>
      <c r="L2139" s="20" t="inlineStr">
        <is>
          <t>POPULAR MARUTI</t>
        </is>
      </c>
      <c r="M2139" s="23" t="n">
        <v>8474.58</v>
      </c>
    </row>
    <row r="2140">
      <c r="A2140" s="19" t="inlineStr">
        <is>
          <t>FY27</t>
        </is>
      </c>
      <c r="B2140" s="19" t="inlineStr">
        <is>
          <t>May</t>
        </is>
      </c>
      <c r="C2140" s="19" t="inlineStr">
        <is>
          <t>Kerala</t>
        </is>
      </c>
      <c r="D2140" s="20" t="inlineStr">
        <is>
          <t>KL60F3018</t>
        </is>
      </c>
      <c r="E2140" s="20" t="inlineStr">
        <is>
          <t>MARUTI SUZUKI</t>
        </is>
      </c>
      <c r="F2140" s="20" t="inlineStr">
        <is>
          <t>Alto</t>
        </is>
      </c>
      <c r="G2140" s="21" t="n"/>
      <c r="H2140" s="22" t="n">
        <v>190000</v>
      </c>
      <c r="I2140" s="22" t="n">
        <v>115000</v>
      </c>
      <c r="J2140" s="20" t="inlineStr">
        <is>
          <t>SHAJEE CARS</t>
        </is>
      </c>
      <c r="K2140" s="20" t="inlineStr">
        <is>
          <t>Non-Captive</t>
        </is>
      </c>
      <c r="L2140" s="20" t="inlineStr">
        <is>
          <t>POPULAR MARUTI</t>
        </is>
      </c>
      <c r="M2140" s="23" t="n">
        <v>10169.49</v>
      </c>
    </row>
    <row r="2141">
      <c r="A2141" s="19" t="inlineStr">
        <is>
          <t>FY27</t>
        </is>
      </c>
      <c r="B2141" s="19" t="inlineStr">
        <is>
          <t>May</t>
        </is>
      </c>
      <c r="C2141" s="19" t="inlineStr">
        <is>
          <t>Kerala</t>
        </is>
      </c>
      <c r="D2141" s="20" t="inlineStr">
        <is>
          <t>KL07CK8998</t>
        </is>
      </c>
      <c r="E2141" s="20" t="inlineStr">
        <is>
          <t>HONDA</t>
        </is>
      </c>
      <c r="F2141" s="20" t="inlineStr">
        <is>
          <t>Wr-V</t>
        </is>
      </c>
      <c r="G2141" s="21" t="n"/>
      <c r="H2141" s="22" t="n">
        <v>90569</v>
      </c>
      <c r="I2141" s="22" t="n">
        <v>410000</v>
      </c>
      <c r="J2141" s="20" t="inlineStr">
        <is>
          <t>JISHNU PRIYAN</t>
        </is>
      </c>
      <c r="K2141" s="20" t="inlineStr">
        <is>
          <t>Non-Captive</t>
        </is>
      </c>
      <c r="L2141" s="20" t="inlineStr">
        <is>
          <t>VISHNU M S</t>
        </is>
      </c>
      <c r="M2141" s="23" t="n">
        <v>10169.49</v>
      </c>
    </row>
    <row r="2142">
      <c r="A2142" s="19" t="inlineStr">
        <is>
          <t>FY27</t>
        </is>
      </c>
      <c r="B2142" s="19" t="inlineStr">
        <is>
          <t>May</t>
        </is>
      </c>
      <c r="C2142" s="19" t="inlineStr">
        <is>
          <t>Kerala</t>
        </is>
      </c>
      <c r="D2142" s="20" t="inlineStr">
        <is>
          <t>KL27D3926</t>
        </is>
      </c>
      <c r="E2142" s="20" t="inlineStr">
        <is>
          <t>MARUTI SUZUKI</t>
        </is>
      </c>
      <c r="F2142" s="20" t="inlineStr">
        <is>
          <t>Wagon R</t>
        </is>
      </c>
      <c r="G2142" s="21" t="n"/>
      <c r="H2142" s="22" t="n">
        <v>78688</v>
      </c>
      <c r="I2142" s="22" t="n">
        <v>160000</v>
      </c>
      <c r="J2142" s="20" t="inlineStr">
        <is>
          <t>AMRITH V CHANDY</t>
        </is>
      </c>
      <c r="K2142" s="20" t="inlineStr">
        <is>
          <t>Non-Captive</t>
        </is>
      </c>
      <c r="L2142" s="20" t="inlineStr">
        <is>
          <t>DREAM DRIVE</t>
        </is>
      </c>
      <c r="M2142" s="23" t="n">
        <v>9322.030000000001</v>
      </c>
    </row>
    <row r="2143">
      <c r="A2143" s="19" t="inlineStr">
        <is>
          <t>FY27</t>
        </is>
      </c>
      <c r="B2143" s="19" t="inlineStr">
        <is>
          <t>May</t>
        </is>
      </c>
      <c r="C2143" s="19" t="inlineStr">
        <is>
          <t>Kerala</t>
        </is>
      </c>
      <c r="D2143" s="20" t="inlineStr">
        <is>
          <t>KL08BQ6760</t>
        </is>
      </c>
      <c r="E2143" s="20" t="inlineStr">
        <is>
          <t>NISSAN</t>
        </is>
      </c>
      <c r="F2143" s="20" t="inlineStr">
        <is>
          <t>Redi-Go</t>
        </is>
      </c>
      <c r="G2143" s="21" t="n"/>
      <c r="H2143" s="22" t="n">
        <v>36500</v>
      </c>
      <c r="I2143" s="22" t="n">
        <v>170000</v>
      </c>
      <c r="J2143" s="20" t="inlineStr">
        <is>
          <t>PINNACLE WHEELS PVT LTD</t>
        </is>
      </c>
      <c r="K2143" s="20" t="inlineStr">
        <is>
          <t>Non-Captive</t>
        </is>
      </c>
      <c r="L2143" s="20" t="inlineStr">
        <is>
          <t>UMESHKUMAR T U</t>
        </is>
      </c>
      <c r="M2143" s="23" t="n">
        <v>8474.58</v>
      </c>
    </row>
    <row r="2144">
      <c r="A2144" s="19" t="inlineStr">
        <is>
          <t>FY27</t>
        </is>
      </c>
      <c r="B2144" s="19" t="inlineStr">
        <is>
          <t>May</t>
        </is>
      </c>
      <c r="C2144" s="19" t="inlineStr">
        <is>
          <t>Kerala</t>
        </is>
      </c>
      <c r="D2144" s="20" t="inlineStr">
        <is>
          <t>KL36B6149</t>
        </is>
      </c>
      <c r="E2144" s="20" t="inlineStr">
        <is>
          <t>HYUNDAI</t>
        </is>
      </c>
      <c r="F2144" s="20" t="inlineStr">
        <is>
          <t>I20</t>
        </is>
      </c>
      <c r="G2144" s="21" t="n"/>
      <c r="H2144" s="22" t="n">
        <v>108246</v>
      </c>
      <c r="I2144" s="22" t="n">
        <v>75000</v>
      </c>
      <c r="J2144" s="20" t="inlineStr">
        <is>
          <t>POPULAR MARUTI</t>
        </is>
      </c>
      <c r="K2144" s="20" t="inlineStr">
        <is>
          <t>Non-Captive</t>
        </is>
      </c>
      <c r="L2144" s="20" t="inlineStr">
        <is>
          <t>JOSHY K U</t>
        </is>
      </c>
      <c r="M2144" s="23" t="n">
        <v>6779.66</v>
      </c>
    </row>
    <row r="2145">
      <c r="A2145" s="19" t="inlineStr">
        <is>
          <t>FY27</t>
        </is>
      </c>
      <c r="B2145" s="19" t="inlineStr">
        <is>
          <t>May</t>
        </is>
      </c>
      <c r="C2145" s="19" t="inlineStr">
        <is>
          <t>Kerala</t>
        </is>
      </c>
      <c r="D2145" s="20" t="inlineStr">
        <is>
          <t>KL59H3826</t>
        </is>
      </c>
      <c r="E2145" s="20" t="inlineStr">
        <is>
          <t>HYUNDAI</t>
        </is>
      </c>
      <c r="F2145" s="20" t="inlineStr">
        <is>
          <t>I10</t>
        </is>
      </c>
      <c r="G2145" s="21" t="n"/>
      <c r="H2145" s="22" t="n">
        <v>100000</v>
      </c>
      <c r="I2145" s="22" t="n">
        <v>90000</v>
      </c>
      <c r="J2145" s="20" t="inlineStr">
        <is>
          <t>SABITH</t>
        </is>
      </c>
      <c r="K2145" s="20" t="inlineStr">
        <is>
          <t>Non-Captive</t>
        </is>
      </c>
      <c r="L2145" s="20" t="inlineStr">
        <is>
          <t>APCO HYUNDAI</t>
        </is>
      </c>
      <c r="M2145" s="23" t="n">
        <v>4237.29</v>
      </c>
    </row>
    <row r="2146">
      <c r="A2146" s="19" t="inlineStr">
        <is>
          <t>FY27</t>
        </is>
      </c>
      <c r="B2146" s="19" t="inlineStr">
        <is>
          <t>May</t>
        </is>
      </c>
      <c r="C2146" s="19" t="inlineStr">
        <is>
          <t>Kerala</t>
        </is>
      </c>
      <c r="D2146" s="20" t="inlineStr">
        <is>
          <t>KL13AH1360</t>
        </is>
      </c>
      <c r="E2146" s="20" t="inlineStr">
        <is>
          <t>HYUNDAI</t>
        </is>
      </c>
      <c r="F2146" s="20" t="inlineStr">
        <is>
          <t>Creta</t>
        </is>
      </c>
      <c r="G2146" s="21" t="n"/>
      <c r="H2146" s="22" t="n">
        <v>44000</v>
      </c>
      <c r="I2146" s="22" t="n">
        <v>560000</v>
      </c>
      <c r="J2146" s="20" t="inlineStr">
        <is>
          <t>VASIL AUTOBOT</t>
        </is>
      </c>
      <c r="K2146" s="20" t="inlineStr">
        <is>
          <t>Non-Captive</t>
        </is>
      </c>
      <c r="L2146" s="20" t="inlineStr">
        <is>
          <t>AMANA TOYOTA</t>
        </is>
      </c>
      <c r="M2146" s="23" t="n">
        <v>8474.58</v>
      </c>
    </row>
    <row r="2147">
      <c r="A2147" s="19" t="inlineStr">
        <is>
          <t>FY27</t>
        </is>
      </c>
      <c r="B2147" s="19" t="inlineStr">
        <is>
          <t>May</t>
        </is>
      </c>
      <c r="C2147" s="19" t="inlineStr">
        <is>
          <t>Kerala</t>
        </is>
      </c>
      <c r="D2147" s="20" t="inlineStr">
        <is>
          <t>KL08S1909</t>
        </is>
      </c>
      <c r="E2147" s="20" t="inlineStr">
        <is>
          <t>MARUTI SUZUKI</t>
        </is>
      </c>
      <c r="F2147" s="20" t="inlineStr">
        <is>
          <t>M800</t>
        </is>
      </c>
      <c r="G2147" s="21" t="n"/>
      <c r="H2147" s="22" t="n">
        <v>150000</v>
      </c>
      <c r="I2147" s="22" t="n">
        <v>25000</v>
      </c>
      <c r="J2147" s="20" t="inlineStr">
        <is>
          <t>ASAMS M SUNNY</t>
        </is>
      </c>
      <c r="K2147" s="20" t="inlineStr">
        <is>
          <t>Non-Captive</t>
        </is>
      </c>
      <c r="L2147" s="20" t="inlineStr">
        <is>
          <t>UCD NIDHEESH</t>
        </is>
      </c>
      <c r="M2147" s="23" t="n">
        <v>4237.29</v>
      </c>
    </row>
    <row r="2148">
      <c r="A2148" s="19" t="inlineStr">
        <is>
          <t>FY27</t>
        </is>
      </c>
      <c r="B2148" s="19" t="inlineStr">
        <is>
          <t>May</t>
        </is>
      </c>
      <c r="C2148" s="19" t="inlineStr">
        <is>
          <t>Kerala</t>
        </is>
      </c>
      <c r="D2148" s="20" t="inlineStr">
        <is>
          <t>KL58E0124</t>
        </is>
      </c>
      <c r="E2148" s="20" t="inlineStr">
        <is>
          <t>MARUTI SUZUKI</t>
        </is>
      </c>
      <c r="F2148" s="20" t="inlineStr">
        <is>
          <t>Wagon R</t>
        </is>
      </c>
      <c r="G2148" s="21" t="n"/>
      <c r="H2148" s="22" t="n">
        <v>59000</v>
      </c>
      <c r="I2148" s="22" t="n">
        <v>150000</v>
      </c>
      <c r="J2148" s="20" t="inlineStr">
        <is>
          <t>VASIL AUTOBOT</t>
        </is>
      </c>
      <c r="K2148" s="20" t="inlineStr">
        <is>
          <t>Non-Captive</t>
        </is>
      </c>
      <c r="L2148" s="20" t="inlineStr">
        <is>
          <t>UCD NIDIHIN</t>
        </is>
      </c>
      <c r="M2148" s="23" t="n">
        <v>8474.58</v>
      </c>
    </row>
    <row r="2149">
      <c r="A2149" s="19" t="inlineStr">
        <is>
          <t>FY27</t>
        </is>
      </c>
      <c r="B2149" s="19" t="inlineStr">
        <is>
          <t>May</t>
        </is>
      </c>
      <c r="C2149" s="19" t="inlineStr">
        <is>
          <t>Kerala</t>
        </is>
      </c>
      <c r="D2149" s="20" t="inlineStr">
        <is>
          <t>KL02AA3960</t>
        </is>
      </c>
      <c r="E2149" s="20" t="inlineStr">
        <is>
          <t>MARUTI SUZUKI</t>
        </is>
      </c>
      <c r="F2149" s="20" t="inlineStr">
        <is>
          <t>Swift</t>
        </is>
      </c>
      <c r="G2149" s="21" t="n"/>
      <c r="H2149" s="22" t="n">
        <v>195585</v>
      </c>
      <c r="I2149" s="22" t="n">
        <v>100000</v>
      </c>
      <c r="J2149" s="20" t="inlineStr">
        <is>
          <t>POPULAR MARUTI</t>
        </is>
      </c>
      <c r="K2149" s="20" t="inlineStr">
        <is>
          <t>Non-Captive</t>
        </is>
      </c>
      <c r="L2149" s="20" t="inlineStr">
        <is>
          <t>AITOS CARS</t>
        </is>
      </c>
      <c r="M2149" s="23" t="n">
        <v>8474.58</v>
      </c>
    </row>
    <row r="2150">
      <c r="A2150" s="19" t="inlineStr">
        <is>
          <t>FY27</t>
        </is>
      </c>
      <c r="B2150" s="19" t="inlineStr">
        <is>
          <t>May</t>
        </is>
      </c>
      <c r="C2150" s="19" t="inlineStr">
        <is>
          <t>Kerala</t>
        </is>
      </c>
      <c r="D2150" s="20" t="inlineStr">
        <is>
          <t>KL38K9417</t>
        </is>
      </c>
      <c r="E2150" s="20" t="inlineStr">
        <is>
          <t>TATA</t>
        </is>
      </c>
      <c r="F2150" s="20" t="inlineStr">
        <is>
          <t>Tiago Ev</t>
        </is>
      </c>
      <c r="G2150" s="21" t="n"/>
      <c r="H2150" s="22" t="n">
        <v>59775</v>
      </c>
      <c r="I2150" s="22" t="n">
        <v>613000</v>
      </c>
      <c r="J2150" s="20" t="inlineStr">
        <is>
          <t>EVM CITROEN</t>
        </is>
      </c>
      <c r="K2150" s="20" t="inlineStr">
        <is>
          <t>Non-Captive</t>
        </is>
      </c>
      <c r="L2150" s="20" t="inlineStr">
        <is>
          <t>AITOS CARS</t>
        </is>
      </c>
      <c r="M2150" s="23" t="n">
        <v>10169.49</v>
      </c>
    </row>
    <row r="2151">
      <c r="A2151" s="19" t="inlineStr">
        <is>
          <t>FY27</t>
        </is>
      </c>
      <c r="B2151" s="19" t="inlineStr">
        <is>
          <t>May</t>
        </is>
      </c>
      <c r="C2151" s="19" t="inlineStr">
        <is>
          <t>Kerala</t>
        </is>
      </c>
      <c r="D2151" s="20" t="inlineStr">
        <is>
          <t>KL41T1195</t>
        </is>
      </c>
      <c r="E2151" s="20" t="inlineStr">
        <is>
          <t>TATA</t>
        </is>
      </c>
      <c r="F2151" s="20" t="inlineStr">
        <is>
          <t>Nexon</t>
        </is>
      </c>
      <c r="G2151" s="21" t="n"/>
      <c r="H2151" s="22" t="n">
        <v>76000</v>
      </c>
      <c r="I2151" s="22" t="n">
        <v>590000</v>
      </c>
      <c r="J2151" s="20" t="inlineStr">
        <is>
          <t>VOLKSWAGEN PHOENIX</t>
        </is>
      </c>
      <c r="K2151" s="20" t="inlineStr">
        <is>
          <t>Non-Captive</t>
        </is>
      </c>
      <c r="L2151" s="20" t="inlineStr">
        <is>
          <t>HORIZON CARS</t>
        </is>
      </c>
      <c r="M2151" s="23" t="n">
        <v>8474.58</v>
      </c>
    </row>
    <row r="2152">
      <c r="A2152" s="19" t="inlineStr">
        <is>
          <t>FY27</t>
        </is>
      </c>
      <c r="B2152" s="19" t="inlineStr">
        <is>
          <t>May</t>
        </is>
      </c>
      <c r="C2152" s="19" t="inlineStr">
        <is>
          <t>Kerala</t>
        </is>
      </c>
      <c r="D2152" s="20" t="inlineStr">
        <is>
          <t>KL07CX7116</t>
        </is>
      </c>
      <c r="E2152" s="20" t="inlineStr">
        <is>
          <t>MARUTI SUZUKI</t>
        </is>
      </c>
      <c r="F2152" s="20" t="inlineStr">
        <is>
          <t>S-Presso</t>
        </is>
      </c>
      <c r="G2152" s="21" t="n"/>
      <c r="H2152" s="22" t="n">
        <v>25010</v>
      </c>
      <c r="I2152" s="22" t="n">
        <v>340000</v>
      </c>
      <c r="J2152" s="20" t="inlineStr">
        <is>
          <t>INCHEON KIA</t>
        </is>
      </c>
      <c r="K2152" s="20" t="inlineStr">
        <is>
          <t>Non-Captive</t>
        </is>
      </c>
      <c r="L2152" s="20" t="inlineStr">
        <is>
          <t>VTJ</t>
        </is>
      </c>
      <c r="M2152" s="23" t="n">
        <v>8474.58</v>
      </c>
    </row>
    <row r="2153">
      <c r="A2153" s="19" t="inlineStr">
        <is>
          <t>FY27</t>
        </is>
      </c>
      <c r="B2153" s="19" t="inlineStr">
        <is>
          <t>May</t>
        </is>
      </c>
      <c r="C2153" s="19" t="inlineStr">
        <is>
          <t>Kerala</t>
        </is>
      </c>
      <c r="D2153" s="20" t="inlineStr">
        <is>
          <t>KL01BZ0892</t>
        </is>
      </c>
      <c r="E2153" s="20" t="inlineStr">
        <is>
          <t>RENAULT</t>
        </is>
      </c>
      <c r="F2153" s="20" t="inlineStr">
        <is>
          <t>Kwid</t>
        </is>
      </c>
      <c r="G2153" s="21" t="n"/>
      <c r="H2153" s="22" t="n">
        <v>14300</v>
      </c>
      <c r="I2153" s="22" t="n">
        <v>130000</v>
      </c>
      <c r="J2153" s="20" t="inlineStr">
        <is>
          <t>KESHVIN HYUNDAI</t>
        </is>
      </c>
      <c r="K2153" s="20" t="inlineStr">
        <is>
          <t>Non-Captive</t>
        </is>
      </c>
      <c r="L2153" s="20" t="inlineStr">
        <is>
          <t>RAFEEK T A</t>
        </is>
      </c>
      <c r="M2153" s="23" t="n">
        <v>10169.49</v>
      </c>
    </row>
    <row r="2154">
      <c r="A2154" s="19" t="inlineStr">
        <is>
          <t>FY27</t>
        </is>
      </c>
      <c r="B2154" s="19" t="inlineStr">
        <is>
          <t>May</t>
        </is>
      </c>
      <c r="C2154" s="19" t="inlineStr">
        <is>
          <t>Kerala</t>
        </is>
      </c>
      <c r="D2154" s="20" t="inlineStr">
        <is>
          <t>KL45L1892</t>
        </is>
      </c>
      <c r="E2154" s="20" t="inlineStr">
        <is>
          <t>HYUNDAI</t>
        </is>
      </c>
      <c r="F2154" s="20" t="inlineStr">
        <is>
          <t>Eon</t>
        </is>
      </c>
      <c r="G2154" s="21" t="n"/>
      <c r="H2154" s="22" t="n">
        <v>84800</v>
      </c>
      <c r="I2154" s="22" t="n">
        <v>125000</v>
      </c>
      <c r="J2154" s="20" t="inlineStr">
        <is>
          <t>EVM CITROEN</t>
        </is>
      </c>
      <c r="K2154" s="20" t="inlineStr">
        <is>
          <t>Non-Captive</t>
        </is>
      </c>
      <c r="L2154" s="20" t="inlineStr">
        <is>
          <t>UMESHKUMAR T U</t>
        </is>
      </c>
      <c r="M2154" s="23" t="n">
        <v>8474.58</v>
      </c>
    </row>
    <row r="2155">
      <c r="A2155" s="19" t="inlineStr">
        <is>
          <t>FY27</t>
        </is>
      </c>
      <c r="B2155" s="19" t="inlineStr">
        <is>
          <t>May</t>
        </is>
      </c>
      <c r="C2155" s="19" t="inlineStr">
        <is>
          <t>Kerala</t>
        </is>
      </c>
      <c r="D2155" s="20" t="inlineStr">
        <is>
          <t>KL44E4315</t>
        </is>
      </c>
      <c r="E2155" s="20" t="inlineStr">
        <is>
          <t>RENAULT</t>
        </is>
      </c>
      <c r="F2155" s="20" t="inlineStr">
        <is>
          <t>Kwid</t>
        </is>
      </c>
      <c r="G2155" s="21" t="n"/>
      <c r="H2155" s="22" t="n">
        <v>56852</v>
      </c>
      <c r="I2155" s="22" t="n">
        <v>170000</v>
      </c>
      <c r="J2155" s="20" t="inlineStr">
        <is>
          <t>KESHVIN HYUNDAI</t>
        </is>
      </c>
      <c r="K2155" s="20" t="inlineStr">
        <is>
          <t>Non-Captive</t>
        </is>
      </c>
      <c r="L2155" s="20" t="inlineStr">
        <is>
          <t>ABDUL SALAM K K</t>
        </is>
      </c>
      <c r="M2155" s="23" t="n">
        <v>8474.58</v>
      </c>
    </row>
    <row r="2156">
      <c r="A2156" s="19" t="inlineStr">
        <is>
          <t>FY27</t>
        </is>
      </c>
      <c r="B2156" s="19" t="inlineStr">
        <is>
          <t>May</t>
        </is>
      </c>
      <c r="C2156" s="19" t="inlineStr">
        <is>
          <t>Kerala</t>
        </is>
      </c>
      <c r="D2156" s="20" t="inlineStr">
        <is>
          <t>KL43G9700</t>
        </is>
      </c>
      <c r="E2156" s="20" t="inlineStr">
        <is>
          <t>RENAULT</t>
        </is>
      </c>
      <c r="F2156" s="20" t="inlineStr">
        <is>
          <t>Duster</t>
        </is>
      </c>
      <c r="G2156" s="21" t="n"/>
      <c r="H2156" s="22" t="n">
        <v>221000</v>
      </c>
      <c r="I2156" s="22" t="n">
        <v>200000</v>
      </c>
      <c r="J2156" s="20" t="inlineStr">
        <is>
          <t>JISHNU PRIYAN</t>
        </is>
      </c>
      <c r="K2156" s="20" t="inlineStr">
        <is>
          <t>Non-Captive</t>
        </is>
      </c>
      <c r="L2156" s="20" t="inlineStr">
        <is>
          <t>DINESH P S</t>
        </is>
      </c>
      <c r="M2156" s="23" t="n">
        <v>10169.49</v>
      </c>
    </row>
    <row r="2157">
      <c r="A2157" s="19" t="inlineStr">
        <is>
          <t>FY27</t>
        </is>
      </c>
      <c r="B2157" s="19" t="inlineStr">
        <is>
          <t>May</t>
        </is>
      </c>
      <c r="C2157" s="19" t="inlineStr">
        <is>
          <t>Kerala</t>
        </is>
      </c>
      <c r="D2157" s="20" t="inlineStr">
        <is>
          <t>KL60G3279</t>
        </is>
      </c>
      <c r="E2157" s="20" t="inlineStr">
        <is>
          <t>MARUTI SUZUKI</t>
        </is>
      </c>
      <c r="F2157" s="20" t="inlineStr">
        <is>
          <t>Swift</t>
        </is>
      </c>
      <c r="G2157" s="21" t="n"/>
      <c r="H2157" s="22" t="n">
        <v>89000</v>
      </c>
      <c r="I2157" s="22" t="n">
        <v>250000</v>
      </c>
      <c r="J2157" s="20" t="inlineStr">
        <is>
          <t>MARVEL MOTORS</t>
        </is>
      </c>
      <c r="K2157" s="20" t="inlineStr">
        <is>
          <t>Non-Captive</t>
        </is>
      </c>
      <c r="L2157" s="20" t="inlineStr">
        <is>
          <t>POPULAR MARUTI</t>
        </is>
      </c>
      <c r="M2157" s="23" t="n">
        <v>8474.58</v>
      </c>
    </row>
    <row r="2158">
      <c r="A2158" s="19" t="inlineStr">
        <is>
          <t>FY27</t>
        </is>
      </c>
      <c r="B2158" s="19" t="inlineStr">
        <is>
          <t>May</t>
        </is>
      </c>
      <c r="C2158" s="19" t="inlineStr">
        <is>
          <t>Kerala</t>
        </is>
      </c>
      <c r="D2158" s="20" t="inlineStr">
        <is>
          <t>PY035995</t>
        </is>
      </c>
      <c r="E2158" s="20" t="inlineStr">
        <is>
          <t>HONDA</t>
        </is>
      </c>
      <c r="F2158" s="20" t="inlineStr">
        <is>
          <t>Amaze</t>
        </is>
      </c>
      <c r="G2158" s="21" t="n"/>
      <c r="H2158" s="22" t="n">
        <v>68000</v>
      </c>
      <c r="I2158" s="22" t="n">
        <v>230000</v>
      </c>
      <c r="J2158" s="20" t="inlineStr">
        <is>
          <t>SANOOP</t>
        </is>
      </c>
      <c r="K2158" s="20" t="inlineStr">
        <is>
          <t>Non-Captive</t>
        </is>
      </c>
      <c r="L2158" s="20" t="inlineStr">
        <is>
          <t>MARVEL CARS</t>
        </is>
      </c>
      <c r="M2158" s="23" t="n">
        <v>5084.75</v>
      </c>
    </row>
    <row r="2159">
      <c r="A2159" s="19" t="inlineStr">
        <is>
          <t>FY27</t>
        </is>
      </c>
      <c r="B2159" s="19" t="inlineStr">
        <is>
          <t>May</t>
        </is>
      </c>
      <c r="C2159" s="19" t="inlineStr">
        <is>
          <t>Kerala</t>
        </is>
      </c>
      <c r="D2159" s="20" t="inlineStr">
        <is>
          <t>KL58V9077</t>
        </is>
      </c>
      <c r="E2159" s="20" t="inlineStr">
        <is>
          <t>MARUTI SUZUKI</t>
        </is>
      </c>
      <c r="F2159" s="20" t="inlineStr">
        <is>
          <t>Alto</t>
        </is>
      </c>
      <c r="G2159" s="21" t="n"/>
      <c r="H2159" s="22" t="n">
        <v>68000</v>
      </c>
      <c r="I2159" s="22" t="n">
        <v>165000</v>
      </c>
      <c r="J2159" s="20" t="inlineStr">
        <is>
          <t>NITHEESH</t>
        </is>
      </c>
      <c r="K2159" s="20" t="inlineStr">
        <is>
          <t>Non-Captive</t>
        </is>
      </c>
      <c r="L2159" s="20" t="inlineStr">
        <is>
          <t>INDUS MARUTI</t>
        </is>
      </c>
      <c r="M2159" s="23" t="n">
        <v>4237.29</v>
      </c>
    </row>
    <row r="2160">
      <c r="A2160" s="19" t="inlineStr">
        <is>
          <t>FY27</t>
        </is>
      </c>
      <c r="B2160" s="19" t="inlineStr">
        <is>
          <t>May</t>
        </is>
      </c>
      <c r="C2160" s="19" t="inlineStr">
        <is>
          <t>Kerala</t>
        </is>
      </c>
      <c r="D2160" s="20" t="inlineStr">
        <is>
          <t>KL12H1796</t>
        </is>
      </c>
      <c r="E2160" s="20" t="inlineStr">
        <is>
          <t>RENAULT</t>
        </is>
      </c>
      <c r="F2160" s="20" t="inlineStr">
        <is>
          <t>Scala</t>
        </is>
      </c>
      <c r="G2160" s="21" t="n"/>
      <c r="H2160" s="22" t="n">
        <v>70000</v>
      </c>
      <c r="I2160" s="22" t="n">
        <v>200000</v>
      </c>
      <c r="J2160" s="20" t="inlineStr">
        <is>
          <t>ASAMS M SUNNY</t>
        </is>
      </c>
      <c r="K2160" s="20" t="inlineStr">
        <is>
          <t>Non-Captive</t>
        </is>
      </c>
      <c r="L2160" s="20" t="inlineStr">
        <is>
          <t>MARVEL CARS</t>
        </is>
      </c>
      <c r="M2160" s="23" t="n">
        <v>4237.29</v>
      </c>
    </row>
    <row r="2161">
      <c r="A2161" s="19" t="inlineStr">
        <is>
          <t>FY27</t>
        </is>
      </c>
      <c r="B2161" s="19" t="inlineStr">
        <is>
          <t>May</t>
        </is>
      </c>
      <c r="C2161" s="19" t="inlineStr">
        <is>
          <t>Kerala</t>
        </is>
      </c>
      <c r="D2161" s="20" t="inlineStr">
        <is>
          <t>KL63H5001</t>
        </is>
      </c>
      <c r="E2161" s="20" t="inlineStr">
        <is>
          <t>MAHINDRA</t>
        </is>
      </c>
      <c r="F2161" s="20" t="inlineStr">
        <is>
          <t>Xuv300</t>
        </is>
      </c>
      <c r="G2161" s="21" t="n"/>
      <c r="H2161" s="22" t="n">
        <v>114000</v>
      </c>
      <c r="I2161" s="22" t="n">
        <v>590000</v>
      </c>
      <c r="J2161" s="20" t="inlineStr">
        <is>
          <t>MARVEL MOTORS</t>
        </is>
      </c>
      <c r="K2161" s="20" t="inlineStr">
        <is>
          <t>Non-Captive</t>
        </is>
      </c>
      <c r="L2161" s="20" t="inlineStr">
        <is>
          <t>ERAM MAHINDRA</t>
        </is>
      </c>
      <c r="M2161" s="23" t="n">
        <v>8474.58</v>
      </c>
    </row>
    <row r="2162">
      <c r="A2162" s="19" t="inlineStr">
        <is>
          <t>FY27</t>
        </is>
      </c>
      <c r="B2162" s="19" t="inlineStr">
        <is>
          <t>May</t>
        </is>
      </c>
      <c r="C2162" s="19" t="inlineStr">
        <is>
          <t>Kerala</t>
        </is>
      </c>
      <c r="D2162" s="20" t="inlineStr">
        <is>
          <t>KL58Y9480</t>
        </is>
      </c>
      <c r="E2162" s="20" t="inlineStr">
        <is>
          <t>DATSUN</t>
        </is>
      </c>
      <c r="F2162" s="20" t="inlineStr">
        <is>
          <t>Go Plus</t>
        </is>
      </c>
      <c r="G2162" s="21" t="n"/>
      <c r="H2162" s="22" t="n">
        <v>59000</v>
      </c>
      <c r="I2162" s="22" t="n">
        <v>130000</v>
      </c>
      <c r="J2162" s="20" t="inlineStr">
        <is>
          <t>SANOOP</t>
        </is>
      </c>
      <c r="K2162" s="20" t="inlineStr">
        <is>
          <t>Non-Captive</t>
        </is>
      </c>
      <c r="L2162" s="20" t="inlineStr">
        <is>
          <t>MARVEL CARS</t>
        </is>
      </c>
      <c r="M2162" s="23" t="n">
        <v>4237.29</v>
      </c>
    </row>
    <row r="2163">
      <c r="A2163" s="19" t="inlineStr">
        <is>
          <t>FY27</t>
        </is>
      </c>
      <c r="B2163" s="19" t="inlineStr">
        <is>
          <t>May</t>
        </is>
      </c>
      <c r="C2163" s="19" t="inlineStr">
        <is>
          <t>Kerala</t>
        </is>
      </c>
      <c r="D2163" s="20" t="inlineStr">
        <is>
          <t>KL59H7542</t>
        </is>
      </c>
      <c r="E2163" s="20" t="inlineStr">
        <is>
          <t>MARUTI SUZUKI</t>
        </is>
      </c>
      <c r="F2163" s="20" t="inlineStr">
        <is>
          <t>M800</t>
        </is>
      </c>
      <c r="G2163" s="21" t="n"/>
      <c r="H2163" s="22" t="n">
        <v>85000</v>
      </c>
      <c r="I2163" s="22" t="n">
        <v>95000</v>
      </c>
      <c r="J2163" s="20" t="inlineStr">
        <is>
          <t>NADIR</t>
        </is>
      </c>
      <c r="K2163" s="20" t="inlineStr">
        <is>
          <t>Non-Captive</t>
        </is>
      </c>
      <c r="L2163" s="20" t="inlineStr">
        <is>
          <t>INDUS MARUTI</t>
        </is>
      </c>
      <c r="M2163" s="23" t="n">
        <v>4237.29</v>
      </c>
    </row>
    <row r="2164">
      <c r="A2164" s="19" t="inlineStr">
        <is>
          <t>FY27</t>
        </is>
      </c>
      <c r="B2164" s="19" t="inlineStr">
        <is>
          <t>May</t>
        </is>
      </c>
      <c r="C2164" s="19" t="inlineStr">
        <is>
          <t>Kerala</t>
        </is>
      </c>
      <c r="D2164" s="20" t="inlineStr">
        <is>
          <t>KL25C2176</t>
        </is>
      </c>
      <c r="E2164" s="20" t="inlineStr">
        <is>
          <t>MARUTI SUZUKI</t>
        </is>
      </c>
      <c r="F2164" s="20" t="inlineStr">
        <is>
          <t>Alto</t>
        </is>
      </c>
      <c r="G2164" s="21" t="n"/>
      <c r="H2164" s="22" t="n">
        <v>110000</v>
      </c>
      <c r="I2164" s="22" t="n">
        <v>60000</v>
      </c>
      <c r="J2164" s="20" t="inlineStr">
        <is>
          <t>PRAJOD</t>
        </is>
      </c>
      <c r="K2164" s="20" t="inlineStr">
        <is>
          <t>Non-Captive</t>
        </is>
      </c>
      <c r="L2164" s="20" t="inlineStr">
        <is>
          <t>SHIVAKUMAR</t>
        </is>
      </c>
      <c r="M2164" s="23" t="n">
        <v>5084.75</v>
      </c>
    </row>
    <row r="2165">
      <c r="A2165" s="19" t="inlineStr">
        <is>
          <t>FY27</t>
        </is>
      </c>
      <c r="B2165" s="19" t="inlineStr">
        <is>
          <t>May</t>
        </is>
      </c>
      <c r="C2165" s="19" t="inlineStr">
        <is>
          <t>Kerala</t>
        </is>
      </c>
      <c r="D2165" s="20" t="inlineStr">
        <is>
          <t>KL01BU5552</t>
        </is>
      </c>
      <c r="E2165" s="20" t="inlineStr">
        <is>
          <t>MARUTI SUZUKI</t>
        </is>
      </c>
      <c r="F2165" s="20" t="inlineStr">
        <is>
          <t>Alto</t>
        </is>
      </c>
      <c r="G2165" s="21" t="n"/>
      <c r="H2165" s="22" t="n">
        <v>114500</v>
      </c>
      <c r="I2165" s="22" t="n">
        <v>125000</v>
      </c>
      <c r="J2165" s="20" t="inlineStr">
        <is>
          <t>ABHILASH</t>
        </is>
      </c>
      <c r="K2165" s="20" t="inlineStr">
        <is>
          <t>Non-Captive</t>
        </is>
      </c>
      <c r="L2165" s="20" t="inlineStr">
        <is>
          <t>POPULAR MARUTI</t>
        </is>
      </c>
      <c r="M2165" s="23" t="n">
        <v>12711.86</v>
      </c>
    </row>
    <row r="2166">
      <c r="A2166" s="19" t="inlineStr">
        <is>
          <t>FY27</t>
        </is>
      </c>
      <c r="B2166" s="19" t="inlineStr">
        <is>
          <t>May</t>
        </is>
      </c>
      <c r="C2166" s="19" t="inlineStr">
        <is>
          <t>Kerala</t>
        </is>
      </c>
      <c r="D2166" s="20" t="inlineStr">
        <is>
          <t>KL21Z1614</t>
        </is>
      </c>
      <c r="E2166" s="20" t="inlineStr">
        <is>
          <t>MARUTI SUZUKI</t>
        </is>
      </c>
      <c r="F2166" s="20" t="inlineStr">
        <is>
          <t>Swift Dzire</t>
        </is>
      </c>
      <c r="G2166" s="21" t="n"/>
      <c r="H2166" s="22" t="n">
        <v>17800</v>
      </c>
      <c r="I2166" s="22" t="n">
        <v>560000</v>
      </c>
      <c r="J2166" s="20" t="inlineStr">
        <is>
          <t>VIJIL</t>
        </is>
      </c>
      <c r="K2166" s="20" t="inlineStr">
        <is>
          <t>Non-Captive</t>
        </is>
      </c>
      <c r="L2166" s="20" t="inlineStr">
        <is>
          <t>POPULAR MARUTI</t>
        </is>
      </c>
      <c r="M2166" s="23" t="n">
        <v>8474.58</v>
      </c>
    </row>
    <row r="2167">
      <c r="A2167" s="19" t="inlineStr">
        <is>
          <t>FY27</t>
        </is>
      </c>
      <c r="B2167" s="19" t="inlineStr">
        <is>
          <t>May</t>
        </is>
      </c>
      <c r="C2167" s="19" t="inlineStr">
        <is>
          <t>Kerala</t>
        </is>
      </c>
      <c r="D2167" s="20" t="inlineStr">
        <is>
          <t>KL20R0137</t>
        </is>
      </c>
      <c r="E2167" s="20" t="inlineStr">
        <is>
          <t>HYUNDAI</t>
        </is>
      </c>
      <c r="F2167" s="20" t="inlineStr">
        <is>
          <t>Neos</t>
        </is>
      </c>
      <c r="G2167" s="21" t="n"/>
      <c r="H2167" s="22" t="n">
        <v>45600</v>
      </c>
      <c r="I2167" s="22" t="n">
        <v>427000</v>
      </c>
      <c r="J2167" s="20" t="inlineStr">
        <is>
          <t>MARVEL MOTORS</t>
        </is>
      </c>
      <c r="K2167" s="20" t="inlineStr">
        <is>
          <t>Non-Captive</t>
        </is>
      </c>
      <c r="L2167" s="20" t="inlineStr">
        <is>
          <t>LUXON TATA</t>
        </is>
      </c>
      <c r="M2167" s="23" t="n">
        <v>6779.66</v>
      </c>
    </row>
    <row r="2168">
      <c r="A2168" s="19" t="inlineStr">
        <is>
          <t>FY27</t>
        </is>
      </c>
      <c r="B2168" s="19" t="inlineStr">
        <is>
          <t>May</t>
        </is>
      </c>
      <c r="C2168" s="19" t="inlineStr">
        <is>
          <t>Kerala</t>
        </is>
      </c>
      <c r="D2168" s="20" t="inlineStr">
        <is>
          <t>KL05Y4038</t>
        </is>
      </c>
      <c r="E2168" s="20" t="inlineStr">
        <is>
          <t>HYUNDAI</t>
        </is>
      </c>
      <c r="F2168" s="20" t="inlineStr">
        <is>
          <t>I10</t>
        </is>
      </c>
      <c r="G2168" s="21" t="n"/>
      <c r="H2168" s="22" t="n">
        <v>102000</v>
      </c>
      <c r="I2168" s="22" t="n">
        <v>65000</v>
      </c>
      <c r="J2168" s="20" t="inlineStr">
        <is>
          <t>KISHORE</t>
        </is>
      </c>
      <c r="K2168" s="20" t="inlineStr">
        <is>
          <t>Non-Captive</t>
        </is>
      </c>
      <c r="L2168" s="20" t="inlineStr">
        <is>
          <t>POPULAR HYUNDAI</t>
        </is>
      </c>
      <c r="M2168" s="23" t="n">
        <v>4237.29</v>
      </c>
    </row>
    <row r="2169">
      <c r="A2169" s="19" t="inlineStr">
        <is>
          <t>FY27</t>
        </is>
      </c>
      <c r="B2169" s="19" t="inlineStr">
        <is>
          <t>May</t>
        </is>
      </c>
      <c r="C2169" s="19" t="inlineStr">
        <is>
          <t>Kerala</t>
        </is>
      </c>
      <c r="D2169" s="20" t="inlineStr">
        <is>
          <t>KL64E0159</t>
        </is>
      </c>
      <c r="E2169" s="20" t="inlineStr">
        <is>
          <t>MARUTI SUZUKI</t>
        </is>
      </c>
      <c r="F2169" s="20" t="inlineStr">
        <is>
          <t>Swift Dzire</t>
        </is>
      </c>
      <c r="G2169" s="21" t="n"/>
      <c r="H2169" s="22" t="n">
        <v>60797</v>
      </c>
      <c r="I2169" s="22" t="n">
        <v>324000</v>
      </c>
      <c r="J2169" s="20" t="inlineStr">
        <is>
          <t>PINNACLE WHEELS PVT LTD</t>
        </is>
      </c>
      <c r="K2169" s="20" t="inlineStr">
        <is>
          <t>Non-Captive</t>
        </is>
      </c>
      <c r="L2169" s="20" t="inlineStr">
        <is>
          <t>AITOS CARS</t>
        </is>
      </c>
      <c r="M2169" s="23" t="n">
        <v>13559.32</v>
      </c>
    </row>
    <row r="2170">
      <c r="A2170" s="19" t="inlineStr">
        <is>
          <t>FY27</t>
        </is>
      </c>
      <c r="B2170" s="19" t="inlineStr">
        <is>
          <t>May</t>
        </is>
      </c>
      <c r="C2170" s="19" t="inlineStr">
        <is>
          <t>Kerala</t>
        </is>
      </c>
      <c r="D2170" s="20" t="inlineStr">
        <is>
          <t>KL51C4596</t>
        </is>
      </c>
      <c r="E2170" s="20" t="inlineStr">
        <is>
          <t>MARUTI SUZUKI</t>
        </is>
      </c>
      <c r="F2170" s="20" t="inlineStr">
        <is>
          <t>Swift</t>
        </is>
      </c>
      <c r="G2170" s="21" t="n"/>
      <c r="H2170" s="22" t="n">
        <v>99000</v>
      </c>
      <c r="I2170" s="22" t="n">
        <v>190000</v>
      </c>
      <c r="J2170" s="20" t="inlineStr">
        <is>
          <t>RATHEESH</t>
        </is>
      </c>
      <c r="K2170" s="20" t="inlineStr">
        <is>
          <t>Non-Captive</t>
        </is>
      </c>
      <c r="L2170" s="20" t="inlineStr">
        <is>
          <t>BIMAL</t>
        </is>
      </c>
      <c r="M2170" s="23" t="n">
        <v>8474.58</v>
      </c>
    </row>
    <row r="2171">
      <c r="A2171" s="19" t="inlineStr">
        <is>
          <t>FY27</t>
        </is>
      </c>
      <c r="B2171" s="19" t="inlineStr">
        <is>
          <t>May</t>
        </is>
      </c>
      <c r="C2171" s="19" t="inlineStr">
        <is>
          <t>Kerala</t>
        </is>
      </c>
      <c r="D2171" s="20" t="inlineStr">
        <is>
          <t>KL14F6793</t>
        </is>
      </c>
      <c r="E2171" s="20" t="inlineStr">
        <is>
          <t>MARUTI SUZUKI</t>
        </is>
      </c>
      <c r="F2171" s="20" t="inlineStr">
        <is>
          <t>A-Star</t>
        </is>
      </c>
      <c r="G2171" s="21" t="n"/>
      <c r="H2171" s="22" t="n">
        <v>132000</v>
      </c>
      <c r="I2171" s="22" t="n">
        <v>6000</v>
      </c>
      <c r="J2171" s="20" t="inlineStr">
        <is>
          <t>AUTOTRUST</t>
        </is>
      </c>
      <c r="K2171" s="20" t="inlineStr">
        <is>
          <t>Non-Captive</t>
        </is>
      </c>
      <c r="L2171" s="20" t="inlineStr">
        <is>
          <t>UCD ABHILASH</t>
        </is>
      </c>
      <c r="M2171" s="23" t="n">
        <v>5084.75</v>
      </c>
    </row>
    <row r="2172">
      <c r="A2172" s="19" t="inlineStr">
        <is>
          <t>FY27</t>
        </is>
      </c>
      <c r="B2172" s="19" t="inlineStr">
        <is>
          <t>May</t>
        </is>
      </c>
      <c r="C2172" s="19" t="inlineStr">
        <is>
          <t>Kerala</t>
        </is>
      </c>
      <c r="D2172" s="20" t="inlineStr">
        <is>
          <t>KL13J8476</t>
        </is>
      </c>
      <c r="E2172" s="20" t="inlineStr">
        <is>
          <t>MARUTI SUZUKI</t>
        </is>
      </c>
      <c r="F2172" s="20" t="inlineStr">
        <is>
          <t>M800</t>
        </is>
      </c>
      <c r="G2172" s="21" t="n"/>
      <c r="H2172" s="22" t="n">
        <v>184000</v>
      </c>
      <c r="I2172" s="22" t="n">
        <v>30000</v>
      </c>
      <c r="J2172" s="20" t="inlineStr">
        <is>
          <t>SHAJEE CARS</t>
        </is>
      </c>
      <c r="K2172" s="20" t="inlineStr">
        <is>
          <t>Non-Captive</t>
        </is>
      </c>
      <c r="L2172" s="20" t="inlineStr">
        <is>
          <t>AMANA TOYOTA</t>
        </is>
      </c>
      <c r="M2172" s="23" t="n">
        <v>4237.29</v>
      </c>
    </row>
    <row r="2173">
      <c r="A2173" s="19" t="inlineStr">
        <is>
          <t>FY27</t>
        </is>
      </c>
      <c r="B2173" s="19" t="inlineStr">
        <is>
          <t>May</t>
        </is>
      </c>
      <c r="C2173" s="19" t="inlineStr">
        <is>
          <t>Kerala</t>
        </is>
      </c>
      <c r="D2173" s="20" t="inlineStr">
        <is>
          <t>KL11AH1821</t>
        </is>
      </c>
      <c r="E2173" s="20" t="inlineStr">
        <is>
          <t>MARUTI SUZUKI</t>
        </is>
      </c>
      <c r="F2173" s="20" t="inlineStr">
        <is>
          <t>Ritz</t>
        </is>
      </c>
      <c r="G2173" s="21" t="n"/>
      <c r="H2173" s="22" t="n">
        <v>142000</v>
      </c>
      <c r="I2173" s="22" t="n">
        <v>90000</v>
      </c>
      <c r="J2173" s="20" t="inlineStr">
        <is>
          <t>RATHEESH</t>
        </is>
      </c>
      <c r="K2173" s="20" t="inlineStr">
        <is>
          <t>Non-Captive</t>
        </is>
      </c>
      <c r="L2173" s="20" t="inlineStr">
        <is>
          <t>EVM SKODA</t>
        </is>
      </c>
      <c r="M2173" s="23" t="n">
        <v>8474.58</v>
      </c>
    </row>
    <row r="2174">
      <c r="A2174" s="19" t="inlineStr">
        <is>
          <t>FY27</t>
        </is>
      </c>
      <c r="B2174" s="19" t="inlineStr">
        <is>
          <t>May</t>
        </is>
      </c>
      <c r="C2174" s="19" t="inlineStr">
        <is>
          <t>Kerala</t>
        </is>
      </c>
      <c r="D2174" s="20" t="inlineStr">
        <is>
          <t>KL33H9951</t>
        </is>
      </c>
      <c r="E2174" s="20" t="inlineStr">
        <is>
          <t>HYUNDAI</t>
        </is>
      </c>
      <c r="F2174" s="20" t="inlineStr">
        <is>
          <t>Grand I10</t>
        </is>
      </c>
      <c r="G2174" s="21" t="n"/>
      <c r="H2174" s="22" t="n">
        <v>54000</v>
      </c>
      <c r="I2174" s="22" t="n">
        <v>300000</v>
      </c>
      <c r="J2174" s="20" t="inlineStr">
        <is>
          <t>ATHUL RAJ</t>
        </is>
      </c>
      <c r="K2174" s="20" t="inlineStr">
        <is>
          <t>Non-Captive</t>
        </is>
      </c>
      <c r="L2174" s="20" t="inlineStr">
        <is>
          <t>INDUS MARUTI</t>
        </is>
      </c>
      <c r="M2174" s="23" t="n">
        <v>4237.29</v>
      </c>
    </row>
    <row r="2175">
      <c r="A2175" s="19" t="inlineStr">
        <is>
          <t>FY27</t>
        </is>
      </c>
      <c r="B2175" s="19" t="inlineStr">
        <is>
          <t>May</t>
        </is>
      </c>
      <c r="C2175" s="19" t="inlineStr">
        <is>
          <t>Kerala</t>
        </is>
      </c>
      <c r="D2175" s="20" t="inlineStr">
        <is>
          <t>KL32E8002</t>
        </is>
      </c>
      <c r="E2175" s="20" t="inlineStr">
        <is>
          <t>HYUNDAI</t>
        </is>
      </c>
      <c r="F2175" s="20" t="inlineStr">
        <is>
          <t>Verna</t>
        </is>
      </c>
      <c r="G2175" s="21" t="n"/>
      <c r="H2175" s="22" t="n">
        <v>127000</v>
      </c>
      <c r="I2175" s="22" t="n">
        <v>203000</v>
      </c>
      <c r="J2175" s="20" t="inlineStr">
        <is>
          <t>CLIND</t>
        </is>
      </c>
      <c r="K2175" s="20" t="inlineStr">
        <is>
          <t>Non-Captive</t>
        </is>
      </c>
      <c r="L2175" s="20" t="inlineStr">
        <is>
          <t>INCHEON KIA</t>
        </is>
      </c>
      <c r="M2175" s="23" t="n">
        <v>5932.2</v>
      </c>
    </row>
    <row r="2176">
      <c r="A2176" s="19" t="inlineStr">
        <is>
          <t>FY27</t>
        </is>
      </c>
      <c r="B2176" s="19" t="inlineStr">
        <is>
          <t>May</t>
        </is>
      </c>
      <c r="C2176" s="19" t="inlineStr">
        <is>
          <t>Kerala</t>
        </is>
      </c>
      <c r="D2176" s="20" t="inlineStr">
        <is>
          <t>KL58W0491</t>
        </is>
      </c>
      <c r="E2176" s="20" t="inlineStr">
        <is>
          <t>MARUTI SUZUKI</t>
        </is>
      </c>
      <c r="F2176" s="20" t="inlineStr">
        <is>
          <t>Brezza</t>
        </is>
      </c>
      <c r="G2176" s="21" t="n"/>
      <c r="H2176" s="22" t="n">
        <v>97000</v>
      </c>
      <c r="I2176" s="22" t="n">
        <v>600000</v>
      </c>
      <c r="J2176" s="20" t="inlineStr">
        <is>
          <t>SANOOP</t>
        </is>
      </c>
      <c r="K2176" s="20" t="inlineStr">
        <is>
          <t>Non-Captive</t>
        </is>
      </c>
      <c r="L2176" s="20" t="inlineStr">
        <is>
          <t>AMANA TOYOTA</t>
        </is>
      </c>
      <c r="M2176" s="23" t="n">
        <v>5084.75</v>
      </c>
    </row>
    <row r="2177">
      <c r="A2177" s="19" t="inlineStr">
        <is>
          <t>FY27</t>
        </is>
      </c>
      <c r="B2177" s="19" t="inlineStr">
        <is>
          <t>May</t>
        </is>
      </c>
      <c r="C2177" s="19" t="inlineStr">
        <is>
          <t>Kerala</t>
        </is>
      </c>
      <c r="D2177" s="20" t="inlineStr">
        <is>
          <t>KL56A1600</t>
        </is>
      </c>
      <c r="E2177" s="20" t="inlineStr">
        <is>
          <t>TOYOTA</t>
        </is>
      </c>
      <c r="F2177" s="20" t="inlineStr">
        <is>
          <t>Innova</t>
        </is>
      </c>
      <c r="G2177" s="21" t="n"/>
      <c r="H2177" s="22" t="n">
        <v>320000</v>
      </c>
      <c r="I2177" s="22" t="n">
        <v>250000</v>
      </c>
      <c r="J2177" s="20" t="inlineStr">
        <is>
          <t>SAFARNAS</t>
        </is>
      </c>
      <c r="K2177" s="20" t="inlineStr">
        <is>
          <t>Non-Captive</t>
        </is>
      </c>
      <c r="L2177" s="20" t="inlineStr">
        <is>
          <t>SANTHOSH</t>
        </is>
      </c>
      <c r="M2177" s="23" t="n">
        <v>4237.29</v>
      </c>
    </row>
    <row r="2178">
      <c r="A2178" s="19" t="inlineStr">
        <is>
          <t>FY27</t>
        </is>
      </c>
      <c r="B2178" s="19" t="inlineStr">
        <is>
          <t>May</t>
        </is>
      </c>
      <c r="C2178" s="19" t="inlineStr">
        <is>
          <t>Kerala</t>
        </is>
      </c>
      <c r="D2178" s="20" t="inlineStr">
        <is>
          <t>KL24F6737</t>
        </is>
      </c>
      <c r="E2178" s="20" t="inlineStr">
        <is>
          <t>HYUNDAI</t>
        </is>
      </c>
      <c r="F2178" s="20" t="inlineStr">
        <is>
          <t>Eon</t>
        </is>
      </c>
      <c r="G2178" s="21" t="n"/>
      <c r="H2178" s="22" t="n">
        <v>91443</v>
      </c>
      <c r="I2178" s="22" t="n">
        <v>80000</v>
      </c>
      <c r="J2178" s="20" t="inlineStr">
        <is>
          <t>RENSON</t>
        </is>
      </c>
      <c r="K2178" s="20" t="inlineStr">
        <is>
          <t>Non-Captive</t>
        </is>
      </c>
      <c r="L2178" s="20" t="inlineStr">
        <is>
          <t>LUXON TATA</t>
        </is>
      </c>
      <c r="M2178" s="23" t="n">
        <v>4237.29</v>
      </c>
    </row>
    <row r="2179">
      <c r="A2179" s="19" t="inlineStr">
        <is>
          <t>FY27</t>
        </is>
      </c>
      <c r="B2179" s="19" t="inlineStr">
        <is>
          <t>May</t>
        </is>
      </c>
      <c r="C2179" s="19" t="inlineStr">
        <is>
          <t>Kerala</t>
        </is>
      </c>
      <c r="D2179" s="20" t="inlineStr">
        <is>
          <t>KL07DB3679</t>
        </is>
      </c>
      <c r="E2179" s="20" t="inlineStr">
        <is>
          <t>TATA</t>
        </is>
      </c>
      <c r="F2179" s="20" t="inlineStr">
        <is>
          <t>Nexon Ev</t>
        </is>
      </c>
      <c r="G2179" s="21" t="n"/>
      <c r="H2179" s="22" t="n">
        <v>45000</v>
      </c>
      <c r="I2179" s="22" t="n">
        <v>740000</v>
      </c>
      <c r="J2179" s="20" t="inlineStr">
        <is>
          <t>GOKULAM TATA</t>
        </is>
      </c>
      <c r="K2179" s="20" t="inlineStr">
        <is>
          <t>Non-Captive</t>
        </is>
      </c>
      <c r="L2179" s="20" t="inlineStr">
        <is>
          <t>FABITH</t>
        </is>
      </c>
      <c r="M2179" s="23" t="n">
        <v>8474.58</v>
      </c>
    </row>
    <row r="2180">
      <c r="A2180" s="19" t="inlineStr">
        <is>
          <t>FY27</t>
        </is>
      </c>
      <c r="B2180" s="19" t="inlineStr">
        <is>
          <t>May</t>
        </is>
      </c>
      <c r="C2180" s="19" t="inlineStr">
        <is>
          <t>Kerala</t>
        </is>
      </c>
      <c r="D2180" s="20" t="inlineStr">
        <is>
          <t>KL07CH0017</t>
        </is>
      </c>
      <c r="E2180" s="20" t="inlineStr">
        <is>
          <t>RENAULT</t>
        </is>
      </c>
      <c r="F2180" s="20" t="inlineStr">
        <is>
          <t>Duster</t>
        </is>
      </c>
      <c r="G2180" s="21" t="n"/>
      <c r="H2180" s="22" t="n">
        <v>183000</v>
      </c>
      <c r="I2180" s="22" t="n">
        <v>315000</v>
      </c>
      <c r="J2180" s="20" t="inlineStr">
        <is>
          <t>KESHVIN HYUNDAI</t>
        </is>
      </c>
      <c r="K2180" s="20" t="inlineStr">
        <is>
          <t>Non-Captive</t>
        </is>
      </c>
      <c r="L2180" s="20" t="inlineStr">
        <is>
          <t>DINESH P S</t>
        </is>
      </c>
      <c r="M2180" s="23" t="n">
        <v>12711.86</v>
      </c>
    </row>
    <row r="2181">
      <c r="A2181" s="19" t="inlineStr">
        <is>
          <t>FY27</t>
        </is>
      </c>
      <c r="B2181" s="19" t="inlineStr">
        <is>
          <t>May</t>
        </is>
      </c>
      <c r="C2181" s="19" t="inlineStr">
        <is>
          <t>Kerala</t>
        </is>
      </c>
      <c r="D2181" s="20" t="inlineStr">
        <is>
          <t>KL07CV2030</t>
        </is>
      </c>
      <c r="E2181" s="20" t="inlineStr">
        <is>
          <t>TATA</t>
        </is>
      </c>
      <c r="F2181" s="20" t="inlineStr">
        <is>
          <t>Tiago</t>
        </is>
      </c>
      <c r="G2181" s="21" t="n"/>
      <c r="H2181" s="22" t="n">
        <v>42047</v>
      </c>
      <c r="I2181" s="22" t="n">
        <v>345000</v>
      </c>
      <c r="J2181" s="20" t="inlineStr">
        <is>
          <t>CARS24</t>
        </is>
      </c>
      <c r="K2181" s="20" t="inlineStr">
        <is>
          <t>Non-Captive</t>
        </is>
      </c>
      <c r="L2181" s="20" t="inlineStr">
        <is>
          <t>ABDUL SALAM K K</t>
        </is>
      </c>
      <c r="M2181" s="23" t="n">
        <v>8474.58</v>
      </c>
    </row>
    <row r="2182">
      <c r="A2182" s="19" t="inlineStr">
        <is>
          <t>FY27</t>
        </is>
      </c>
      <c r="B2182" s="19" t="inlineStr">
        <is>
          <t>May</t>
        </is>
      </c>
      <c r="C2182" s="19" t="inlineStr">
        <is>
          <t>Kerala</t>
        </is>
      </c>
      <c r="D2182" s="20" t="inlineStr">
        <is>
          <t>KL32P5849</t>
        </is>
      </c>
      <c r="E2182" s="20" t="inlineStr">
        <is>
          <t>RENAULT</t>
        </is>
      </c>
      <c r="F2182" s="20" t="inlineStr">
        <is>
          <t>Duster</t>
        </is>
      </c>
      <c r="G2182" s="21" t="n"/>
      <c r="H2182" s="22" t="n">
        <v>47088</v>
      </c>
      <c r="I2182" s="22" t="n">
        <v>540000</v>
      </c>
      <c r="J2182" s="20" t="inlineStr">
        <is>
          <t>KESHVIN HYUNDAI</t>
        </is>
      </c>
      <c r="K2182" s="20" t="inlineStr">
        <is>
          <t>Non-Captive</t>
        </is>
      </c>
      <c r="L2182" s="20" t="inlineStr">
        <is>
          <t>ABDUL SALAM K K</t>
        </is>
      </c>
      <c r="M2182" s="23" t="n">
        <v>11016.95</v>
      </c>
    </row>
    <row r="2183">
      <c r="A2183" s="19" t="inlineStr">
        <is>
          <t>FY27</t>
        </is>
      </c>
      <c r="B2183" s="19" t="inlineStr">
        <is>
          <t>May</t>
        </is>
      </c>
      <c r="C2183" s="19" t="inlineStr">
        <is>
          <t>Kerala</t>
        </is>
      </c>
      <c r="D2183" s="20" t="inlineStr">
        <is>
          <t>KL05AU7487</t>
        </is>
      </c>
      <c r="E2183" s="20" t="inlineStr">
        <is>
          <t>HYUNDAI</t>
        </is>
      </c>
      <c r="F2183" s="20" t="inlineStr">
        <is>
          <t>Grand I10</t>
        </is>
      </c>
      <c r="G2183" s="21" t="n"/>
      <c r="H2183" s="22" t="n">
        <v>90227</v>
      </c>
      <c r="I2183" s="22" t="n">
        <v>275000</v>
      </c>
      <c r="J2183" s="20" t="inlineStr">
        <is>
          <t>POPULAR HYUNDAI</t>
        </is>
      </c>
      <c r="K2183" s="20" t="inlineStr">
        <is>
          <t>Non-Captive</t>
        </is>
      </c>
      <c r="L2183" s="20" t="inlineStr">
        <is>
          <t>VISHNU M S</t>
        </is>
      </c>
      <c r="M2183" s="23" t="n">
        <v>9322.030000000001</v>
      </c>
    </row>
    <row r="2184">
      <c r="A2184" s="19" t="inlineStr">
        <is>
          <t>FY27</t>
        </is>
      </c>
      <c r="B2184" s="19" t="inlineStr">
        <is>
          <t>May</t>
        </is>
      </c>
      <c r="C2184" s="19" t="inlineStr">
        <is>
          <t>Kerala</t>
        </is>
      </c>
      <c r="D2184" s="20" t="inlineStr">
        <is>
          <t>KL05AA2887</t>
        </is>
      </c>
      <c r="E2184" s="20" t="inlineStr">
        <is>
          <t>MARUTI SUZUKI</t>
        </is>
      </c>
      <c r="F2184" s="20" t="inlineStr">
        <is>
          <t>Swift Dzire</t>
        </is>
      </c>
      <c r="G2184" s="21" t="n"/>
      <c r="H2184" s="22" t="n">
        <v>153793</v>
      </c>
      <c r="I2184" s="22" t="n">
        <v>150000</v>
      </c>
      <c r="J2184" s="20" t="inlineStr">
        <is>
          <t>INCHEON KIA</t>
        </is>
      </c>
      <c r="K2184" s="20" t="inlineStr">
        <is>
          <t>Non-Captive</t>
        </is>
      </c>
      <c r="L2184" s="20" t="inlineStr">
        <is>
          <t>HUSSAIN O E</t>
        </is>
      </c>
      <c r="M2184" s="23" t="n">
        <v>10169.49</v>
      </c>
    </row>
    <row r="2185">
      <c r="A2185" s="19" t="inlineStr">
        <is>
          <t>FY27</t>
        </is>
      </c>
      <c r="B2185" s="19" t="inlineStr">
        <is>
          <t>May</t>
        </is>
      </c>
      <c r="C2185" s="19" t="inlineStr">
        <is>
          <t>Kerala</t>
        </is>
      </c>
      <c r="D2185" s="20" t="inlineStr">
        <is>
          <t>KL39H5182</t>
        </is>
      </c>
      <c r="E2185" s="20" t="inlineStr">
        <is>
          <t>HYUNDAI</t>
        </is>
      </c>
      <c r="F2185" s="20" t="inlineStr">
        <is>
          <t>Eon</t>
        </is>
      </c>
      <c r="G2185" s="21" t="n"/>
      <c r="H2185" s="22" t="n">
        <v>105208</v>
      </c>
      <c r="I2185" s="22" t="n">
        <v>91000</v>
      </c>
      <c r="J2185" s="20" t="inlineStr">
        <is>
          <t>POPULAR HYUNDAI</t>
        </is>
      </c>
      <c r="K2185" s="20" t="inlineStr">
        <is>
          <t>Non-Captive</t>
        </is>
      </c>
      <c r="L2185" s="20" t="inlineStr">
        <is>
          <t>VTJ</t>
        </is>
      </c>
      <c r="M2185" s="23" t="n">
        <v>9322.030000000001</v>
      </c>
    </row>
    <row r="2186">
      <c r="A2186" s="19" t="inlineStr">
        <is>
          <t>FY27</t>
        </is>
      </c>
      <c r="B2186" s="19" t="inlineStr">
        <is>
          <t>May</t>
        </is>
      </c>
      <c r="C2186" s="19" t="inlineStr">
        <is>
          <t>Kerala</t>
        </is>
      </c>
      <c r="D2186" s="20" t="inlineStr">
        <is>
          <t>KL13Y3715</t>
        </is>
      </c>
      <c r="E2186" s="20" t="inlineStr">
        <is>
          <t>HYUNDAI</t>
        </is>
      </c>
      <c r="F2186" s="20" t="inlineStr">
        <is>
          <t>Eon</t>
        </is>
      </c>
      <c r="G2186" s="21" t="n"/>
      <c r="H2186" s="22" t="n">
        <v>112000</v>
      </c>
      <c r="I2186" s="22" t="n">
        <v>55000</v>
      </c>
      <c r="J2186" s="20" t="inlineStr">
        <is>
          <t>AUTOBOT</t>
        </is>
      </c>
      <c r="K2186" s="20" t="inlineStr">
        <is>
          <t>Non-Captive</t>
        </is>
      </c>
      <c r="L2186" s="20" t="inlineStr">
        <is>
          <t>POPULAR MARUTI</t>
        </is>
      </c>
      <c r="M2186" s="23" t="n">
        <v>5932.2</v>
      </c>
    </row>
    <row r="2187">
      <c r="A2187" s="19" t="inlineStr">
        <is>
          <t>FY27</t>
        </is>
      </c>
      <c r="B2187" s="19" t="inlineStr">
        <is>
          <t>May</t>
        </is>
      </c>
      <c r="C2187" s="19" t="inlineStr">
        <is>
          <t>Kerala</t>
        </is>
      </c>
      <c r="D2187" s="20" t="inlineStr">
        <is>
          <t>KL05AU0170</t>
        </is>
      </c>
      <c r="E2187" s="20" t="inlineStr">
        <is>
          <t>FORD</t>
        </is>
      </c>
      <c r="F2187" s="20" t="inlineStr">
        <is>
          <t>Freestyle</t>
        </is>
      </c>
      <c r="G2187" s="21" t="n"/>
      <c r="H2187" s="22" t="n">
        <v>73099</v>
      </c>
      <c r="I2187" s="22" t="n">
        <v>350000</v>
      </c>
      <c r="J2187" s="20" t="inlineStr">
        <is>
          <t>ANAS VH</t>
        </is>
      </c>
      <c r="K2187" s="20" t="inlineStr">
        <is>
          <t>Non-Captive</t>
        </is>
      </c>
      <c r="L2187" s="20" t="inlineStr">
        <is>
          <t>SANOOB V A</t>
        </is>
      </c>
      <c r="M2187" s="23" t="n">
        <v>12711.86</v>
      </c>
    </row>
    <row r="2188">
      <c r="A2188" s="19" t="inlineStr">
        <is>
          <t>FY27</t>
        </is>
      </c>
      <c r="B2188" s="19" t="inlineStr">
        <is>
          <t>May</t>
        </is>
      </c>
      <c r="C2188" s="19" t="inlineStr">
        <is>
          <t>Kerala</t>
        </is>
      </c>
      <c r="D2188" s="20" t="inlineStr">
        <is>
          <t>KL58G7722</t>
        </is>
      </c>
      <c r="E2188" s="20" t="inlineStr">
        <is>
          <t>HONDA</t>
        </is>
      </c>
      <c r="F2188" s="20" t="inlineStr">
        <is>
          <t>City</t>
        </is>
      </c>
      <c r="G2188" s="21" t="n"/>
      <c r="H2188" s="22" t="n">
        <v>72649</v>
      </c>
      <c r="I2188" s="22" t="n">
        <v>178000</v>
      </c>
      <c r="J2188" s="20" t="inlineStr">
        <is>
          <t>CARS24</t>
        </is>
      </c>
      <c r="K2188" s="20" t="inlineStr">
        <is>
          <t>Non-Captive</t>
        </is>
      </c>
      <c r="L2188" s="20" t="inlineStr">
        <is>
          <t>SHAMSUDEEN C E</t>
        </is>
      </c>
      <c r="M2188" s="23" t="n">
        <v>10169.49</v>
      </c>
    </row>
    <row r="2189">
      <c r="A2189" s="19" t="inlineStr">
        <is>
          <t>FY27</t>
        </is>
      </c>
      <c r="B2189" s="19" t="inlineStr">
        <is>
          <t>May</t>
        </is>
      </c>
      <c r="C2189" s="19" t="inlineStr">
        <is>
          <t>Kerala</t>
        </is>
      </c>
      <c r="D2189" s="20" t="inlineStr">
        <is>
          <t>KL27J5862</t>
        </is>
      </c>
      <c r="E2189" s="20" t="inlineStr">
        <is>
          <t>RENAULT</t>
        </is>
      </c>
      <c r="F2189" s="20" t="inlineStr">
        <is>
          <t>Kwid</t>
        </is>
      </c>
      <c r="G2189" s="21" t="n"/>
      <c r="H2189" s="22" t="n">
        <v>103127</v>
      </c>
      <c r="I2189" s="22" t="n">
        <v>170000</v>
      </c>
      <c r="J2189" s="20" t="inlineStr">
        <is>
          <t>INDUS MARUTI</t>
        </is>
      </c>
      <c r="K2189" s="20" t="inlineStr">
        <is>
          <t>Non-Captive</t>
        </is>
      </c>
      <c r="L2189" s="20" t="inlineStr">
        <is>
          <t>MUHAMMED MUKTHAR</t>
        </is>
      </c>
      <c r="M2189" s="23" t="n">
        <v>9322.030000000001</v>
      </c>
    </row>
    <row r="2190">
      <c r="A2190" s="19" t="inlineStr">
        <is>
          <t>FY27</t>
        </is>
      </c>
      <c r="B2190" s="19" t="inlineStr">
        <is>
          <t>May</t>
        </is>
      </c>
      <c r="C2190" s="19" t="inlineStr">
        <is>
          <t>Kerala</t>
        </is>
      </c>
      <c r="D2190" s="20" t="inlineStr">
        <is>
          <t>KL13AT0356</t>
        </is>
      </c>
      <c r="E2190" s="20" t="inlineStr">
        <is>
          <t>MARUTI SUZUKI</t>
        </is>
      </c>
      <c r="F2190" s="20" t="inlineStr">
        <is>
          <t>Alto</t>
        </is>
      </c>
      <c r="G2190" s="21" t="n"/>
      <c r="H2190" s="22" t="n">
        <v>41000</v>
      </c>
      <c r="I2190" s="22" t="n">
        <v>300000</v>
      </c>
      <c r="J2190" s="20" t="inlineStr">
        <is>
          <t>NIDEESH</t>
        </is>
      </c>
      <c r="K2190" s="20" t="inlineStr">
        <is>
          <t>Non-Captive</t>
        </is>
      </c>
      <c r="L2190" s="20" t="inlineStr">
        <is>
          <t>KVR TATA</t>
        </is>
      </c>
      <c r="M2190" s="23" t="n">
        <v>4237.29</v>
      </c>
    </row>
    <row r="2191">
      <c r="A2191" s="19" t="inlineStr">
        <is>
          <t>FY27</t>
        </is>
      </c>
      <c r="B2191" s="19" t="inlineStr">
        <is>
          <t>May</t>
        </is>
      </c>
      <c r="C2191" s="19" t="inlineStr">
        <is>
          <t>Kerala</t>
        </is>
      </c>
      <c r="D2191" s="20" t="inlineStr">
        <is>
          <t>KL58AH7958</t>
        </is>
      </c>
      <c r="E2191" s="20" t="inlineStr">
        <is>
          <t>MARUTI SUZUKI</t>
        </is>
      </c>
      <c r="F2191" s="20" t="inlineStr">
        <is>
          <t>Swift</t>
        </is>
      </c>
      <c r="G2191" s="21" t="n"/>
      <c r="H2191" s="22" t="n">
        <v>40000</v>
      </c>
      <c r="I2191" s="22" t="n">
        <v>615000</v>
      </c>
      <c r="J2191" s="20" t="inlineStr">
        <is>
          <t>NIDEESH</t>
        </is>
      </c>
      <c r="K2191" s="20" t="inlineStr">
        <is>
          <t>Non-Captive</t>
        </is>
      </c>
      <c r="L2191" s="20" t="inlineStr">
        <is>
          <t>KVR TATA</t>
        </is>
      </c>
      <c r="M2191" s="23" t="n">
        <v>4237.29</v>
      </c>
    </row>
    <row r="2192">
      <c r="A2192" s="19" t="inlineStr">
        <is>
          <t>FY27</t>
        </is>
      </c>
      <c r="B2192" s="19" t="inlineStr">
        <is>
          <t>Jun</t>
        </is>
      </c>
      <c r="C2192" s="19" t="inlineStr">
        <is>
          <t>AP/TS</t>
        </is>
      </c>
      <c r="D2192" s="20" t="inlineStr">
        <is>
          <t>AP39LZ8860</t>
        </is>
      </c>
      <c r="E2192" s="20" t="inlineStr">
        <is>
          <t>HONDA</t>
        </is>
      </c>
      <c r="F2192" s="20" t="inlineStr">
        <is>
          <t>Amaze</t>
        </is>
      </c>
      <c r="G2192" s="21" t="n">
        <v>2022</v>
      </c>
      <c r="H2192" s="22" t="n">
        <v>41567</v>
      </c>
      <c r="I2192" s="22" t="n">
        <v>540000</v>
      </c>
      <c r="J2192" s="20" t="inlineStr">
        <is>
          <t>Exchange</t>
        </is>
      </c>
      <c r="K2192" s="20" t="inlineStr">
        <is>
          <t>Captive</t>
        </is>
      </c>
      <c r="L2192" s="20" t="inlineStr">
        <is>
          <t>Kesireddy Saikiran</t>
        </is>
      </c>
      <c r="M2192" s="23" t="n">
        <v>16949.15</v>
      </c>
    </row>
    <row r="2193">
      <c r="A2193" s="19" t="inlineStr">
        <is>
          <t>FY27</t>
        </is>
      </c>
      <c r="B2193" s="19" t="inlineStr">
        <is>
          <t>Jun</t>
        </is>
      </c>
      <c r="C2193" s="19" t="inlineStr">
        <is>
          <t>AP/TS</t>
        </is>
      </c>
      <c r="D2193" s="20" t="inlineStr">
        <is>
          <t>TS07HR1050</t>
        </is>
      </c>
      <c r="E2193" s="20" t="inlineStr">
        <is>
          <t>MARUTI SUZUKI</t>
        </is>
      </c>
      <c r="F2193" s="20" t="inlineStr">
        <is>
          <t>Swift</t>
        </is>
      </c>
      <c r="G2193" s="21" t="n">
        <v>2021</v>
      </c>
      <c r="H2193" s="22" t="n">
        <v>44361</v>
      </c>
      <c r="I2193" s="22" t="n">
        <v>450000</v>
      </c>
      <c r="J2193" s="20" t="inlineStr">
        <is>
          <t>Exchange</t>
        </is>
      </c>
      <c r="K2193" s="20" t="inlineStr">
        <is>
          <t>Captive</t>
        </is>
      </c>
      <c r="L2193" s="20" t="inlineStr">
        <is>
          <t>K Surendra Reddy</t>
        </is>
      </c>
      <c r="M2193" s="23" t="n">
        <v>8474.58</v>
      </c>
    </row>
    <row r="2194">
      <c r="A2194" s="19" t="inlineStr">
        <is>
          <t>FY27</t>
        </is>
      </c>
      <c r="B2194" s="19" t="inlineStr">
        <is>
          <t>Jun</t>
        </is>
      </c>
      <c r="C2194" s="19" t="inlineStr">
        <is>
          <t>AP/TS</t>
        </is>
      </c>
      <c r="D2194" s="20" t="inlineStr">
        <is>
          <t>AP10AJ5168</t>
        </is>
      </c>
      <c r="E2194" s="20" t="inlineStr">
        <is>
          <t>MARUTI SUZUKI</t>
        </is>
      </c>
      <c r="F2194" s="20" t="inlineStr">
        <is>
          <t>Alto</t>
        </is>
      </c>
      <c r="G2194" s="21" t="n">
        <v>2006</v>
      </c>
      <c r="H2194" s="22" t="n">
        <v>88251</v>
      </c>
      <c r="I2194" s="22" t="n">
        <v>45000</v>
      </c>
      <c r="J2194" s="20" t="inlineStr">
        <is>
          <t>Exchange</t>
        </is>
      </c>
      <c r="K2194" s="20" t="inlineStr">
        <is>
          <t>Captive</t>
        </is>
      </c>
      <c r="L2194" s="20" t="inlineStr">
        <is>
          <t>Odapally Sandeep</t>
        </is>
      </c>
      <c r="M2194" s="23" t="n">
        <v>4237.29</v>
      </c>
    </row>
    <row r="2195">
      <c r="A2195" s="19" t="inlineStr">
        <is>
          <t>FY27</t>
        </is>
      </c>
      <c r="B2195" s="19" t="inlineStr">
        <is>
          <t>Jun</t>
        </is>
      </c>
      <c r="C2195" s="19" t="inlineStr">
        <is>
          <t>AP/TS</t>
        </is>
      </c>
      <c r="D2195" s="20" t="inlineStr">
        <is>
          <t>AP09CA8319</t>
        </is>
      </c>
      <c r="E2195" s="20" t="inlineStr">
        <is>
          <t>HONDA</t>
        </is>
      </c>
      <c r="F2195" s="20" t="inlineStr">
        <is>
          <t>City</t>
        </is>
      </c>
      <c r="G2195" s="21" t="n">
        <v>2010</v>
      </c>
      <c r="H2195" s="22" t="n">
        <v>113675</v>
      </c>
      <c r="I2195" s="22" t="n">
        <v>160000</v>
      </c>
      <c r="J2195" s="20" t="inlineStr">
        <is>
          <t>Exchange</t>
        </is>
      </c>
      <c r="K2195" s="20" t="inlineStr">
        <is>
          <t>Captive</t>
        </is>
      </c>
      <c r="L2195" s="20" t="inlineStr">
        <is>
          <t>Odapally Sandeep</t>
        </is>
      </c>
      <c r="M2195" s="23" t="n">
        <v>8474.58</v>
      </c>
    </row>
    <row r="2196">
      <c r="A2196" s="19" t="inlineStr">
        <is>
          <t>FY27</t>
        </is>
      </c>
      <c r="B2196" s="19" t="inlineStr">
        <is>
          <t>Jun</t>
        </is>
      </c>
      <c r="C2196" s="19" t="inlineStr">
        <is>
          <t>AP/TS</t>
        </is>
      </c>
      <c r="D2196" s="20" t="inlineStr">
        <is>
          <t>AP31BT6919</t>
        </is>
      </c>
      <c r="E2196" s="20" t="inlineStr">
        <is>
          <t>HYUNDAI</t>
        </is>
      </c>
      <c r="F2196" s="20" t="inlineStr">
        <is>
          <t>I10</t>
        </is>
      </c>
      <c r="G2196" s="21" t="n">
        <v>2011</v>
      </c>
      <c r="H2196" s="22" t="n">
        <v>69278</v>
      </c>
      <c r="I2196" s="22" t="n">
        <v>128000</v>
      </c>
      <c r="J2196" s="20" t="inlineStr">
        <is>
          <t>Exchange</t>
        </is>
      </c>
      <c r="K2196" s="20" t="inlineStr">
        <is>
          <t>Captive</t>
        </is>
      </c>
      <c r="L2196" s="20" t="inlineStr">
        <is>
          <t>Gadi Sri Bharathi</t>
        </is>
      </c>
      <c r="M2196" s="23" t="n">
        <v>6779.66</v>
      </c>
    </row>
    <row r="2197">
      <c r="A2197" s="19" t="inlineStr">
        <is>
          <t>FY27</t>
        </is>
      </c>
      <c r="B2197" s="19" t="inlineStr">
        <is>
          <t>Jun</t>
        </is>
      </c>
      <c r="C2197" s="19" t="inlineStr">
        <is>
          <t>AP/TS</t>
        </is>
      </c>
      <c r="D2197" s="20" t="inlineStr">
        <is>
          <t>AP09BV9038</t>
        </is>
      </c>
      <c r="E2197" s="20" t="inlineStr">
        <is>
          <t>HONDA</t>
        </is>
      </c>
      <c r="F2197" s="20" t="inlineStr">
        <is>
          <t>City</t>
        </is>
      </c>
      <c r="G2197" s="21" t="n">
        <v>2009</v>
      </c>
      <c r="H2197" s="22" t="n">
        <v>189142</v>
      </c>
      <c r="I2197" s="22" t="n">
        <v>75000</v>
      </c>
      <c r="J2197" s="20" t="inlineStr">
        <is>
          <t>Puneet Gupta</t>
        </is>
      </c>
      <c r="K2197" s="20" t="inlineStr">
        <is>
          <t>Non-Captive</t>
        </is>
      </c>
      <c r="L2197" s="20" t="inlineStr">
        <is>
          <t>Abdul Mugees</t>
        </is>
      </c>
      <c r="M2197" s="23" t="n">
        <v>4237.29</v>
      </c>
    </row>
    <row r="2198">
      <c r="A2198" s="19" t="inlineStr">
        <is>
          <t>FY27</t>
        </is>
      </c>
      <c r="B2198" s="19" t="inlineStr">
        <is>
          <t>Jun</t>
        </is>
      </c>
      <c r="C2198" s="19" t="inlineStr">
        <is>
          <t>AP/TS</t>
        </is>
      </c>
      <c r="D2198" s="20" t="inlineStr">
        <is>
          <t>AP09BJ4154</t>
        </is>
      </c>
      <c r="E2198" s="20" t="inlineStr">
        <is>
          <t>HYUNDAI</t>
        </is>
      </c>
      <c r="F2198" s="20" t="inlineStr">
        <is>
          <t>Santro</t>
        </is>
      </c>
      <c r="G2198" s="21" t="n">
        <v>2007</v>
      </c>
      <c r="H2198" s="22" t="n">
        <v>194125</v>
      </c>
      <c r="I2198" s="22" t="n">
        <v>45000</v>
      </c>
      <c r="J2198" s="20" t="inlineStr">
        <is>
          <t>Puneet Gupta</t>
        </is>
      </c>
      <c r="K2198" s="20" t="inlineStr">
        <is>
          <t>Non-Captive</t>
        </is>
      </c>
      <c r="L2198" s="20" t="inlineStr">
        <is>
          <t>Abdul Mugees</t>
        </is>
      </c>
      <c r="M2198" s="23" t="n">
        <v>4237.29</v>
      </c>
    </row>
    <row r="2199">
      <c r="A2199" s="19" t="inlineStr">
        <is>
          <t>FY27</t>
        </is>
      </c>
      <c r="B2199" s="19" t="inlineStr">
        <is>
          <t>Jun</t>
        </is>
      </c>
      <c r="C2199" s="19" t="inlineStr">
        <is>
          <t>AP/TS</t>
        </is>
      </c>
      <c r="D2199" s="20" t="inlineStr">
        <is>
          <t>AP39JD8006</t>
        </is>
      </c>
      <c r="E2199" s="20" t="inlineStr">
        <is>
          <t>HYUNDAI</t>
        </is>
      </c>
      <c r="F2199" s="20" t="inlineStr">
        <is>
          <t>I20</t>
        </is>
      </c>
      <c r="G2199" s="21" t="n">
        <v>2021</v>
      </c>
      <c r="H2199" s="22" t="n">
        <v>32101</v>
      </c>
      <c r="I2199" s="22" t="n">
        <v>380000</v>
      </c>
      <c r="J2199" s="20" t="inlineStr">
        <is>
          <t>Exchange</t>
        </is>
      </c>
      <c r="K2199" s="20" t="inlineStr">
        <is>
          <t>Captive</t>
        </is>
      </c>
      <c r="L2199" s="20" t="inlineStr">
        <is>
          <t>Shaik Rasul</t>
        </is>
      </c>
      <c r="M2199" s="23" t="n">
        <v>8474.58</v>
      </c>
    </row>
    <row r="2200">
      <c r="A2200" s="19" t="inlineStr">
        <is>
          <t>FY27</t>
        </is>
      </c>
      <c r="B2200" s="19" t="inlineStr">
        <is>
          <t>Jun</t>
        </is>
      </c>
      <c r="C2200" s="19" t="inlineStr">
        <is>
          <t>AP/TS</t>
        </is>
      </c>
      <c r="D2200" s="20" t="inlineStr">
        <is>
          <t>AP31EM6677</t>
        </is>
      </c>
      <c r="E2200" s="20" t="inlineStr">
        <is>
          <t>HONDA</t>
        </is>
      </c>
      <c r="F2200" s="20" t="inlineStr">
        <is>
          <t>Brio</t>
        </is>
      </c>
      <c r="G2200" s="21" t="n">
        <v>2018</v>
      </c>
      <c r="H2200" s="22" t="n">
        <v>29567</v>
      </c>
      <c r="I2200" s="22" t="n">
        <v>338000</v>
      </c>
      <c r="J2200" s="20" t="inlineStr">
        <is>
          <t>Exchange</t>
        </is>
      </c>
      <c r="K2200" s="20" t="inlineStr">
        <is>
          <t>Captive</t>
        </is>
      </c>
      <c r="L2200" s="20" t="inlineStr">
        <is>
          <t>Kaki Dinesh Kumar</t>
        </is>
      </c>
      <c r="M2200" s="23" t="n">
        <v>8474.58</v>
      </c>
    </row>
    <row r="2201">
      <c r="A2201" s="19" t="inlineStr">
        <is>
          <t>FY27</t>
        </is>
      </c>
      <c r="B2201" s="19" t="inlineStr">
        <is>
          <t>Jun</t>
        </is>
      </c>
      <c r="C2201" s="19" t="inlineStr">
        <is>
          <t>AP/TS</t>
        </is>
      </c>
      <c r="D2201" s="20" t="inlineStr">
        <is>
          <t>AP09CS2374</t>
        </is>
      </c>
      <c r="E2201" s="20" t="inlineStr">
        <is>
          <t>HONDA</t>
        </is>
      </c>
      <c r="F2201" s="20" t="inlineStr">
        <is>
          <t>Amaze</t>
        </is>
      </c>
      <c r="G2201" s="21" t="n">
        <v>2013</v>
      </c>
      <c r="H2201" s="22" t="n">
        <v>125802</v>
      </c>
      <c r="I2201" s="22" t="n">
        <v>251000</v>
      </c>
      <c r="J2201" s="20" t="inlineStr">
        <is>
          <t>Exchange</t>
        </is>
      </c>
      <c r="K2201" s="20" t="inlineStr">
        <is>
          <t>Captive</t>
        </is>
      </c>
      <c r="L2201" s="20" t="inlineStr">
        <is>
          <t>Abdul Mugees</t>
        </is>
      </c>
      <c r="M2201" s="23" t="n">
        <v>8474.58</v>
      </c>
    </row>
    <row r="2202">
      <c r="A2202" s="19" t="inlineStr">
        <is>
          <t>FY27</t>
        </is>
      </c>
      <c r="B2202" s="19" t="inlineStr">
        <is>
          <t>Jun</t>
        </is>
      </c>
      <c r="C2202" s="19" t="inlineStr">
        <is>
          <t>AP/TS</t>
        </is>
      </c>
      <c r="D2202" s="20" t="inlineStr">
        <is>
          <t>TS09ET3105</t>
        </is>
      </c>
      <c r="E2202" s="20" t="inlineStr">
        <is>
          <t>MARUTI SUZUKI</t>
        </is>
      </c>
      <c r="F2202" s="20" t="inlineStr">
        <is>
          <t>Baleno</t>
        </is>
      </c>
      <c r="G2202" s="21" t="n">
        <v>2017</v>
      </c>
      <c r="H2202" s="22" t="n">
        <v>55021</v>
      </c>
      <c r="I2202" s="22" t="n">
        <v>370000</v>
      </c>
      <c r="J2202" s="20" t="inlineStr">
        <is>
          <t>Exchange</t>
        </is>
      </c>
      <c r="K2202" s="20" t="inlineStr">
        <is>
          <t>Captive</t>
        </is>
      </c>
      <c r="L2202" s="20" t="inlineStr">
        <is>
          <t>Abdul Mugees</t>
        </is>
      </c>
      <c r="M2202" s="23" t="n">
        <v>8474.58</v>
      </c>
    </row>
    <row r="2203">
      <c r="A2203" s="19" t="inlineStr">
        <is>
          <t>FY27</t>
        </is>
      </c>
      <c r="B2203" s="19" t="inlineStr">
        <is>
          <t>Jun</t>
        </is>
      </c>
      <c r="C2203" s="19" t="inlineStr">
        <is>
          <t>AP/TS</t>
        </is>
      </c>
      <c r="D2203" s="20" t="inlineStr">
        <is>
          <t>AP10AM2200</t>
        </is>
      </c>
      <c r="E2203" s="20" t="inlineStr">
        <is>
          <t>SKODA</t>
        </is>
      </c>
      <c r="F2203" s="20" t="inlineStr">
        <is>
          <t>Laura</t>
        </is>
      </c>
      <c r="G2203" s="21" t="n">
        <v>2007</v>
      </c>
      <c r="H2203" s="22" t="n">
        <v>105689</v>
      </c>
      <c r="I2203" s="22" t="n">
        <v>92000</v>
      </c>
      <c r="J2203" s="20" t="inlineStr">
        <is>
          <t>Exchange</t>
        </is>
      </c>
      <c r="K2203" s="20" t="inlineStr">
        <is>
          <t>Captive</t>
        </is>
      </c>
      <c r="L2203" s="20" t="inlineStr">
        <is>
          <t>Uppari Sandeep Kumar</t>
        </is>
      </c>
      <c r="M2203" s="23" t="n">
        <v>5932.2</v>
      </c>
    </row>
    <row r="2204">
      <c r="A2204" s="19" t="inlineStr">
        <is>
          <t>FY27</t>
        </is>
      </c>
      <c r="B2204" s="19" t="inlineStr">
        <is>
          <t>Jun</t>
        </is>
      </c>
      <c r="C2204" s="19" t="inlineStr">
        <is>
          <t>AP/TS</t>
        </is>
      </c>
      <c r="D2204" s="20" t="inlineStr">
        <is>
          <t>TS07FM9848</t>
        </is>
      </c>
      <c r="E2204" s="20" t="inlineStr">
        <is>
          <t>RENAULT</t>
        </is>
      </c>
      <c r="F2204" s="20" t="inlineStr">
        <is>
          <t>Kwid</t>
        </is>
      </c>
      <c r="G2204" s="21" t="n">
        <v>2017</v>
      </c>
      <c r="H2204" s="22" t="n">
        <v>141580</v>
      </c>
      <c r="I2204" s="22" t="n">
        <v>168000</v>
      </c>
      <c r="J2204" s="20" t="inlineStr">
        <is>
          <t>Puneet Gupta</t>
        </is>
      </c>
      <c r="K2204" s="20" t="inlineStr">
        <is>
          <t>Non-Captive</t>
        </is>
      </c>
      <c r="L2204" s="20" t="inlineStr">
        <is>
          <t>Uppari Sandeep Kumar</t>
        </is>
      </c>
      <c r="M2204" s="23" t="n">
        <v>5932.2</v>
      </c>
    </row>
    <row r="2205">
      <c r="A2205" s="19" t="inlineStr">
        <is>
          <t>FY27</t>
        </is>
      </c>
      <c r="B2205" s="19" t="inlineStr">
        <is>
          <t>Jun</t>
        </is>
      </c>
      <c r="C2205" s="19" t="inlineStr">
        <is>
          <t>AP/TS</t>
        </is>
      </c>
      <c r="D2205" s="20" t="inlineStr">
        <is>
          <t>AP37TK1689</t>
        </is>
      </c>
      <c r="E2205" s="20" t="inlineStr">
        <is>
          <t>MARUTI SUZUKI</t>
        </is>
      </c>
      <c r="F2205" s="20" t="inlineStr">
        <is>
          <t>Swift Dzire</t>
        </is>
      </c>
      <c r="G2205" s="21" t="n">
        <v>2018</v>
      </c>
      <c r="H2205" s="22" t="n">
        <v>128589</v>
      </c>
      <c r="I2205" s="22" t="n">
        <v>435000</v>
      </c>
      <c r="J2205" s="20" t="inlineStr">
        <is>
          <t>Exchange</t>
        </is>
      </c>
      <c r="K2205" s="20" t="inlineStr">
        <is>
          <t>Captive</t>
        </is>
      </c>
      <c r="L2205" s="20" t="inlineStr">
        <is>
          <t>Mohammed Gouse Basha</t>
        </is>
      </c>
      <c r="M2205" s="23" t="n">
        <v>8474.58</v>
      </c>
    </row>
    <row r="2206">
      <c r="A2206" s="19" t="inlineStr">
        <is>
          <t>FY27</t>
        </is>
      </c>
      <c r="B2206" s="19" t="inlineStr">
        <is>
          <t>Jun</t>
        </is>
      </c>
      <c r="C2206" s="19" t="inlineStr">
        <is>
          <t>AP/TS</t>
        </is>
      </c>
      <c r="D2206" s="20" t="inlineStr">
        <is>
          <t>AP09CB3447</t>
        </is>
      </c>
      <c r="E2206" s="20" t="inlineStr">
        <is>
          <t>TOYOTA</t>
        </is>
      </c>
      <c r="F2206" s="20" t="inlineStr">
        <is>
          <t>Innova</t>
        </is>
      </c>
      <c r="G2206" s="21" t="n">
        <v>2010</v>
      </c>
      <c r="H2206" s="22" t="n">
        <v>281452</v>
      </c>
      <c r="I2206" s="22" t="n">
        <v>200000</v>
      </c>
      <c r="J2206" s="20" t="inlineStr">
        <is>
          <t>Vinod Kumar Murari</t>
        </is>
      </c>
      <c r="K2206" s="20" t="inlineStr">
        <is>
          <t>Non-Captive</t>
        </is>
      </c>
      <c r="L2206" s="20" t="inlineStr">
        <is>
          <t>Mohammed Gouse Basha</t>
        </is>
      </c>
      <c r="M2206" s="23" t="n">
        <v>5932.2</v>
      </c>
    </row>
    <row r="2207">
      <c r="A2207" s="19" t="inlineStr">
        <is>
          <t>FY27</t>
        </is>
      </c>
      <c r="B2207" s="19" t="inlineStr">
        <is>
          <t>Jun</t>
        </is>
      </c>
      <c r="C2207" s="19" t="inlineStr">
        <is>
          <t>AP/TS</t>
        </is>
      </c>
      <c r="D2207" s="20" t="inlineStr">
        <is>
          <t>AP37CU8559</t>
        </is>
      </c>
      <c r="E2207" s="20" t="inlineStr">
        <is>
          <t>HONDA</t>
        </is>
      </c>
      <c r="F2207" s="20" t="inlineStr">
        <is>
          <t>City</t>
        </is>
      </c>
      <c r="G2207" s="21" t="n">
        <v>2017</v>
      </c>
      <c r="H2207" s="22" t="n">
        <v>90210</v>
      </c>
      <c r="I2207" s="22" t="n">
        <v>397500</v>
      </c>
      <c r="J2207" s="20" t="inlineStr">
        <is>
          <t>Devarapalli Avinash</t>
        </is>
      </c>
      <c r="K2207" s="20" t="inlineStr">
        <is>
          <t>Non-Captive</t>
        </is>
      </c>
      <c r="L2207" s="20" t="inlineStr">
        <is>
          <t>Chittibomma Srinivasa Rao</t>
        </is>
      </c>
      <c r="M2207" s="23" t="n">
        <v>6355.93</v>
      </c>
    </row>
    <row r="2208">
      <c r="A2208" s="19" t="inlineStr">
        <is>
          <t>FY27</t>
        </is>
      </c>
      <c r="B2208" s="19" t="inlineStr">
        <is>
          <t>Jun</t>
        </is>
      </c>
      <c r="C2208" s="19" t="inlineStr">
        <is>
          <t>AP/TS</t>
        </is>
      </c>
      <c r="D2208" s="20" t="inlineStr">
        <is>
          <t>AP16EF5035</t>
        </is>
      </c>
      <c r="E2208" s="20" t="inlineStr">
        <is>
          <t>HONDA</t>
        </is>
      </c>
      <c r="F2208" s="20" t="inlineStr">
        <is>
          <t>Brio</t>
        </is>
      </c>
      <c r="G2208" s="21" t="n">
        <v>2017</v>
      </c>
      <c r="H2208" s="22" t="n">
        <v>158025</v>
      </c>
      <c r="I2208" s="22" t="n">
        <v>200000</v>
      </c>
      <c r="J2208" s="20" t="inlineStr">
        <is>
          <t>Mohammed Gouse Basha</t>
        </is>
      </c>
      <c r="K2208" s="20" t="inlineStr">
        <is>
          <t>Non-Captive</t>
        </is>
      </c>
      <c r="L2208" s="20" t="inlineStr">
        <is>
          <t>Guthi Ravi Krishna</t>
        </is>
      </c>
      <c r="M2208" s="23" t="n">
        <v>5084.75</v>
      </c>
    </row>
    <row r="2209">
      <c r="A2209" s="19" t="inlineStr">
        <is>
          <t>FY27</t>
        </is>
      </c>
      <c r="B2209" s="19" t="inlineStr">
        <is>
          <t>Jun</t>
        </is>
      </c>
      <c r="C2209" s="19" t="inlineStr">
        <is>
          <t>AP/TS</t>
        </is>
      </c>
      <c r="D2209" s="20" t="inlineStr">
        <is>
          <t>TS09EP6325</t>
        </is>
      </c>
      <c r="E2209" s="20" t="inlineStr">
        <is>
          <t>HONDA</t>
        </is>
      </c>
      <c r="F2209" s="20" t="inlineStr">
        <is>
          <t>Jazz</t>
        </is>
      </c>
      <c r="G2209" s="21" t="n">
        <v>2016</v>
      </c>
      <c r="H2209" s="22" t="n">
        <v>129952</v>
      </c>
      <c r="I2209" s="22" t="n">
        <v>190000</v>
      </c>
      <c r="J2209" s="20" t="inlineStr">
        <is>
          <t>Mohammed Gouse Basha</t>
        </is>
      </c>
      <c r="K2209" s="20" t="inlineStr">
        <is>
          <t>Non-Captive</t>
        </is>
      </c>
      <c r="L2209" s="20" t="inlineStr">
        <is>
          <t>Guthi Ravi Krishna</t>
        </is>
      </c>
      <c r="M2209" s="23" t="n">
        <v>5084.75</v>
      </c>
    </row>
    <row r="2210">
      <c r="A2210" s="19" t="inlineStr">
        <is>
          <t>FY27</t>
        </is>
      </c>
      <c r="B2210" s="19" t="inlineStr">
        <is>
          <t>Jun</t>
        </is>
      </c>
      <c r="C2210" s="19" t="inlineStr">
        <is>
          <t>AP/TS</t>
        </is>
      </c>
      <c r="D2210" s="20" t="inlineStr">
        <is>
          <t>AP05EC8976</t>
        </is>
      </c>
      <c r="E2210" s="20" t="inlineStr">
        <is>
          <t>HONDA</t>
        </is>
      </c>
      <c r="F2210" s="20" t="inlineStr">
        <is>
          <t>Amaze</t>
        </is>
      </c>
      <c r="G2210" s="21" t="n">
        <v>2017</v>
      </c>
      <c r="H2210" s="22" t="n">
        <v>111002</v>
      </c>
      <c r="I2210" s="22" t="n">
        <v>228000</v>
      </c>
      <c r="J2210" s="20" t="inlineStr">
        <is>
          <t>Devarapalli Avinash</t>
        </is>
      </c>
      <c r="K2210" s="20" t="inlineStr">
        <is>
          <t>Non-Captive</t>
        </is>
      </c>
      <c r="L2210" s="20" t="inlineStr">
        <is>
          <t>Suresh Ginjupalli</t>
        </is>
      </c>
      <c r="M2210" s="23" t="n">
        <v>6779.66</v>
      </c>
    </row>
    <row r="2211">
      <c r="A2211" s="19" t="inlineStr">
        <is>
          <t>FY27</t>
        </is>
      </c>
      <c r="B2211" s="19" t="inlineStr">
        <is>
          <t>Jun</t>
        </is>
      </c>
      <c r="C2211" s="19" t="inlineStr">
        <is>
          <t>AP/TS</t>
        </is>
      </c>
      <c r="D2211" s="20" t="inlineStr">
        <is>
          <t>AP16DG7789</t>
        </is>
      </c>
      <c r="E2211" s="20" t="inlineStr">
        <is>
          <t>HONDA</t>
        </is>
      </c>
      <c r="F2211" s="20" t="inlineStr">
        <is>
          <t>Amaze</t>
        </is>
      </c>
      <c r="G2211" s="21" t="n">
        <v>2015</v>
      </c>
      <c r="H2211" s="22" t="n">
        <v>172162</v>
      </c>
      <c r="I2211" s="22" t="n">
        <v>160000</v>
      </c>
      <c r="J2211" s="20" t="inlineStr">
        <is>
          <t>Exchange</t>
        </is>
      </c>
      <c r="K2211" s="20" t="inlineStr">
        <is>
          <t>Captive</t>
        </is>
      </c>
      <c r="L2211" s="20" t="inlineStr">
        <is>
          <t>Naga Suresh Polukonda</t>
        </is>
      </c>
      <c r="M2211" s="23" t="n">
        <v>8474.58</v>
      </c>
    </row>
    <row r="2212">
      <c r="A2212" s="19" t="inlineStr">
        <is>
          <t>FY27</t>
        </is>
      </c>
      <c r="B2212" s="19" t="inlineStr">
        <is>
          <t>Jun</t>
        </is>
      </c>
      <c r="C2212" s="19" t="inlineStr">
        <is>
          <t>AP/TS</t>
        </is>
      </c>
      <c r="D2212" s="20" t="inlineStr">
        <is>
          <t>AP16BB9000</t>
        </is>
      </c>
      <c r="E2212" s="20" t="inlineStr">
        <is>
          <t>MARUTI SUZUKI</t>
        </is>
      </c>
      <c r="F2212" s="20" t="inlineStr">
        <is>
          <t>Alto</t>
        </is>
      </c>
      <c r="G2212" s="21" t="n">
        <v>2007</v>
      </c>
      <c r="H2212" s="22" t="n">
        <v>179546</v>
      </c>
      <c r="I2212" s="22" t="n">
        <v>50000</v>
      </c>
      <c r="J2212" s="20" t="inlineStr">
        <is>
          <t>Guthi Ravi Krishna</t>
        </is>
      </c>
      <c r="K2212" s="20" t="inlineStr">
        <is>
          <t>Non-Captive</t>
        </is>
      </c>
      <c r="L2212" s="20" t="inlineStr">
        <is>
          <t>Devarapalli Avinash</t>
        </is>
      </c>
      <c r="M2212" s="23" t="n">
        <v>4237.29</v>
      </c>
    </row>
    <row r="2213">
      <c r="A2213" s="19" t="inlineStr">
        <is>
          <t>FY27</t>
        </is>
      </c>
      <c r="B2213" s="19" t="inlineStr">
        <is>
          <t>Jun</t>
        </is>
      </c>
      <c r="C2213" s="19" t="inlineStr">
        <is>
          <t>AP/TS</t>
        </is>
      </c>
      <c r="D2213" s="20" t="inlineStr">
        <is>
          <t>AP04AQ0747</t>
        </is>
      </c>
      <c r="E2213" s="20" t="inlineStr">
        <is>
          <t>MARUTI SUZUKI</t>
        </is>
      </c>
      <c r="F2213" s="20" t="inlineStr">
        <is>
          <t>Wagon R</t>
        </is>
      </c>
      <c r="G2213" s="21" t="n">
        <v>2012</v>
      </c>
      <c r="H2213" s="22" t="n">
        <v>189125</v>
      </c>
      <c r="I2213" s="22" t="n">
        <v>150000</v>
      </c>
      <c r="J2213" s="20" t="inlineStr">
        <is>
          <t>Guthi Ravi Krishna</t>
        </is>
      </c>
      <c r="K2213" s="20" t="inlineStr">
        <is>
          <t>Non-Captive</t>
        </is>
      </c>
      <c r="L2213" s="20" t="inlineStr">
        <is>
          <t>Vinod Kumar Murari</t>
        </is>
      </c>
      <c r="M2213" s="23" t="n">
        <v>5084.75</v>
      </c>
    </row>
    <row r="2214">
      <c r="A2214" s="19" t="inlineStr">
        <is>
          <t>FY27</t>
        </is>
      </c>
      <c r="B2214" s="19" t="inlineStr">
        <is>
          <t>Jun</t>
        </is>
      </c>
      <c r="C2214" s="19" t="inlineStr">
        <is>
          <t>AP/TS</t>
        </is>
      </c>
      <c r="D2214" s="20" t="inlineStr">
        <is>
          <t>AP16DP3345</t>
        </is>
      </c>
      <c r="E2214" s="20" t="inlineStr">
        <is>
          <t>HONDA</t>
        </is>
      </c>
      <c r="F2214" s="20" t="inlineStr">
        <is>
          <t>Amaze</t>
        </is>
      </c>
      <c r="G2214" s="21" t="n">
        <v>2016</v>
      </c>
      <c r="H2214" s="22" t="n">
        <v>159309</v>
      </c>
      <c r="I2214" s="22" t="n">
        <v>321000</v>
      </c>
      <c r="J2214" s="20" t="inlineStr">
        <is>
          <t>Exchange</t>
        </is>
      </c>
      <c r="K2214" s="20" t="inlineStr">
        <is>
          <t>Captive</t>
        </is>
      </c>
      <c r="L2214" s="20" t="inlineStr">
        <is>
          <t>Chittibomma Srinivasa Rao</t>
        </is>
      </c>
      <c r="M2214" s="23" t="n">
        <v>8474.58</v>
      </c>
    </row>
    <row r="2215">
      <c r="A2215" s="19" t="inlineStr">
        <is>
          <t>FY27</t>
        </is>
      </c>
      <c r="B2215" s="19" t="inlineStr">
        <is>
          <t>Jun</t>
        </is>
      </c>
      <c r="C2215" s="19" t="inlineStr">
        <is>
          <t>AP/TS</t>
        </is>
      </c>
      <c r="D2215" s="20" t="inlineStr">
        <is>
          <t>AP39DF5454</t>
        </is>
      </c>
      <c r="E2215" s="20" t="inlineStr">
        <is>
          <t>MARUTI SUZUKI</t>
        </is>
      </c>
      <c r="F2215" s="20" t="inlineStr">
        <is>
          <t>S-Cross</t>
        </is>
      </c>
      <c r="G2215" s="21" t="n">
        <v>2019</v>
      </c>
      <c r="H2215" s="22" t="n">
        <v>94558</v>
      </c>
      <c r="I2215" s="22" t="n">
        <v>357500</v>
      </c>
      <c r="J2215" s="20" t="inlineStr">
        <is>
          <t>Devarapalli Avinash</t>
        </is>
      </c>
      <c r="K2215" s="20" t="inlineStr">
        <is>
          <t>Non-Captive</t>
        </is>
      </c>
      <c r="L2215" s="20" t="inlineStr">
        <is>
          <t>Chittibomma Srinivasa Rao</t>
        </is>
      </c>
      <c r="M2215" s="23" t="n">
        <v>6355.93</v>
      </c>
    </row>
    <row r="2216">
      <c r="A2216" s="19" t="inlineStr">
        <is>
          <t>FY27</t>
        </is>
      </c>
      <c r="B2216" s="19" t="inlineStr">
        <is>
          <t>Jun</t>
        </is>
      </c>
      <c r="C2216" s="19" t="inlineStr">
        <is>
          <t>AP/TS</t>
        </is>
      </c>
      <c r="D2216" s="20" t="inlineStr">
        <is>
          <t>AP31EQ5259</t>
        </is>
      </c>
      <c r="E2216" s="20" t="inlineStr">
        <is>
          <t>MARUTI SUZUKI</t>
        </is>
      </c>
      <c r="F2216" s="20" t="inlineStr">
        <is>
          <t>V Brezza</t>
        </is>
      </c>
      <c r="G2216" s="21" t="n">
        <v>2018</v>
      </c>
      <c r="H2216" s="22" t="n">
        <v>134547</v>
      </c>
      <c r="I2216" s="22" t="n">
        <v>397500</v>
      </c>
      <c r="J2216" s="20" t="inlineStr">
        <is>
          <t>Devarapalli Avinash</t>
        </is>
      </c>
      <c r="K2216" s="20" t="inlineStr">
        <is>
          <t>Non-Captive</t>
        </is>
      </c>
      <c r="L2216" s="20" t="inlineStr">
        <is>
          <t>Chittibomma Srinivasa Rao</t>
        </is>
      </c>
      <c r="M2216" s="23" t="n">
        <v>6355.93</v>
      </c>
    </row>
    <row r="2217">
      <c r="A2217" s="19" t="inlineStr">
        <is>
          <t>FY27</t>
        </is>
      </c>
      <c r="B2217" s="19" t="inlineStr">
        <is>
          <t>Jun</t>
        </is>
      </c>
      <c r="C2217" s="19" t="inlineStr">
        <is>
          <t>AP/TS</t>
        </is>
      </c>
      <c r="D2217" s="20" t="inlineStr">
        <is>
          <t>AP09BM0311</t>
        </is>
      </c>
      <c r="E2217" s="20" t="inlineStr">
        <is>
          <t>HYUNDAI</t>
        </is>
      </c>
      <c r="F2217" s="20" t="inlineStr">
        <is>
          <t>Getz</t>
        </is>
      </c>
      <c r="G2217" s="21" t="n">
        <v>2007</v>
      </c>
      <c r="H2217" s="22" t="n">
        <v>198585</v>
      </c>
      <c r="I2217" s="22" t="n">
        <v>50000</v>
      </c>
      <c r="J2217" s="20" t="inlineStr">
        <is>
          <t>Chekkala Gangadhar Rao</t>
        </is>
      </c>
      <c r="K2217" s="20" t="inlineStr">
        <is>
          <t>Non-Captive</t>
        </is>
      </c>
      <c r="L2217" s="20" t="inlineStr">
        <is>
          <t>Tenali Srinivas</t>
        </is>
      </c>
      <c r="M2217" s="23" t="n">
        <v>5084.75</v>
      </c>
    </row>
    <row r="2218">
      <c r="A2218" s="19" t="inlineStr">
        <is>
          <t>FY27</t>
        </is>
      </c>
      <c r="B2218" s="19" t="inlineStr">
        <is>
          <t>Jun</t>
        </is>
      </c>
      <c r="C2218" s="19" t="inlineStr">
        <is>
          <t>AP/TS</t>
        </is>
      </c>
      <c r="D2218" s="20" t="inlineStr">
        <is>
          <t>AP31BN6719</t>
        </is>
      </c>
      <c r="E2218" s="20" t="inlineStr">
        <is>
          <t>HYUNDAI</t>
        </is>
      </c>
      <c r="F2218" s="20" t="inlineStr">
        <is>
          <t>I10</t>
        </is>
      </c>
      <c r="G2218" s="21" t="n">
        <v>2011</v>
      </c>
      <c r="H2218" s="22" t="n">
        <v>89585</v>
      </c>
      <c r="I2218" s="22" t="n">
        <v>130000</v>
      </c>
      <c r="J2218" s="20" t="inlineStr">
        <is>
          <t>Chekkala Gangadhar Rao</t>
        </is>
      </c>
      <c r="K2218" s="20" t="inlineStr">
        <is>
          <t>Non-Captive</t>
        </is>
      </c>
      <c r="L2218" s="20" t="inlineStr">
        <is>
          <t>Tenali Srinivas</t>
        </is>
      </c>
      <c r="M2218" s="23" t="n">
        <v>5932.2</v>
      </c>
    </row>
    <row r="2219">
      <c r="A2219" s="19" t="inlineStr">
        <is>
          <t>FY27</t>
        </is>
      </c>
      <c r="B2219" s="19" t="inlineStr">
        <is>
          <t>Jun</t>
        </is>
      </c>
      <c r="C2219" s="19" t="inlineStr">
        <is>
          <t>AP/TS</t>
        </is>
      </c>
      <c r="D2219" s="20" t="inlineStr">
        <is>
          <t>AP16CJ8453</t>
        </is>
      </c>
      <c r="E2219" s="20" t="inlineStr">
        <is>
          <t>HYUNDAI</t>
        </is>
      </c>
      <c r="F2219" s="20" t="inlineStr">
        <is>
          <t>I10</t>
        </is>
      </c>
      <c r="G2219" s="21" t="n">
        <v>2010</v>
      </c>
      <c r="H2219" s="22" t="n">
        <v>110521</v>
      </c>
      <c r="I2219" s="22" t="n">
        <v>120000</v>
      </c>
      <c r="J2219" s="20" t="inlineStr">
        <is>
          <t>Chekkala Gangadhar Rao</t>
        </is>
      </c>
      <c r="K2219" s="20" t="inlineStr">
        <is>
          <t>Non-Captive</t>
        </is>
      </c>
      <c r="L2219" s="20" t="inlineStr">
        <is>
          <t>Tenali Srinivas</t>
        </is>
      </c>
      <c r="M2219" s="23" t="n">
        <v>5932.2</v>
      </c>
    </row>
    <row r="2220">
      <c r="A2220" s="19" t="inlineStr">
        <is>
          <t>FY27</t>
        </is>
      </c>
      <c r="B2220" s="19" t="inlineStr">
        <is>
          <t>Jun</t>
        </is>
      </c>
      <c r="C2220" s="19" t="inlineStr">
        <is>
          <t>AP/TS</t>
        </is>
      </c>
      <c r="D2220" s="20" t="inlineStr">
        <is>
          <t>AP09CG2277</t>
        </is>
      </c>
      <c r="E2220" s="20" t="inlineStr">
        <is>
          <t>HYUNDAI</t>
        </is>
      </c>
      <c r="F2220" s="20" t="inlineStr">
        <is>
          <t>I20</t>
        </is>
      </c>
      <c r="G2220" s="21" t="n">
        <v>2011</v>
      </c>
      <c r="H2220" s="22" t="n">
        <v>134011</v>
      </c>
      <c r="I2220" s="22" t="n">
        <v>133000</v>
      </c>
      <c r="J2220" s="20" t="inlineStr">
        <is>
          <t>Exchange</t>
        </is>
      </c>
      <c r="K2220" s="20" t="inlineStr">
        <is>
          <t>Captive</t>
        </is>
      </c>
      <c r="L2220" s="20" t="inlineStr">
        <is>
          <t>Koppuravuri Srinivasa Rao</t>
        </is>
      </c>
      <c r="M2220" s="23" t="n">
        <v>6779.66</v>
      </c>
    </row>
    <row r="2221">
      <c r="A2221" s="19" t="inlineStr">
        <is>
          <t>FY27</t>
        </is>
      </c>
      <c r="B2221" s="19" t="inlineStr">
        <is>
          <t>Jun</t>
        </is>
      </c>
      <c r="C2221" s="19" t="inlineStr">
        <is>
          <t>AP/TS</t>
        </is>
      </c>
      <c r="D2221" s="20" t="inlineStr">
        <is>
          <t>TS07JS3369</t>
        </is>
      </c>
      <c r="E2221" s="20" t="inlineStr">
        <is>
          <t>CITROEN</t>
        </is>
      </c>
      <c r="F2221" s="20" t="inlineStr">
        <is>
          <t>C3</t>
        </is>
      </c>
      <c r="G2221" s="21" t="n">
        <v>2023</v>
      </c>
      <c r="H2221" s="22" t="n">
        <v>45459</v>
      </c>
      <c r="I2221" s="22" t="n">
        <v>270000</v>
      </c>
      <c r="J2221" s="20" t="inlineStr">
        <is>
          <t>Exchange</t>
        </is>
      </c>
      <c r="K2221" s="20" t="inlineStr">
        <is>
          <t>Captive</t>
        </is>
      </c>
      <c r="L2221" s="20" t="inlineStr">
        <is>
          <t>Addla Mithin (Sri Venkateswara Cars)</t>
        </is>
      </c>
      <c r="M2221" s="23" t="n">
        <v>8474.58</v>
      </c>
    </row>
    <row r="2222">
      <c r="A2222" s="19" t="inlineStr">
        <is>
          <t>FY27</t>
        </is>
      </c>
      <c r="B2222" s="19" t="inlineStr">
        <is>
          <t>Jun</t>
        </is>
      </c>
      <c r="C2222" s="19" t="inlineStr">
        <is>
          <t>AP/TS</t>
        </is>
      </c>
      <c r="D2222" s="20" t="inlineStr">
        <is>
          <t>AP40DB5888</t>
        </is>
      </c>
      <c r="E2222" s="20" t="inlineStr">
        <is>
          <t>HONDA</t>
        </is>
      </c>
      <c r="F2222" s="20" t="inlineStr">
        <is>
          <t>Elevate</t>
        </is>
      </c>
      <c r="G2222" s="21" t="n">
        <v>2024</v>
      </c>
      <c r="H2222" s="22" t="n">
        <v>50541</v>
      </c>
      <c r="I2222" s="22" t="n">
        <v>985000</v>
      </c>
      <c r="J2222" s="20" t="inlineStr">
        <is>
          <t>Exchange</t>
        </is>
      </c>
      <c r="K2222" s="20" t="inlineStr">
        <is>
          <t>Captive</t>
        </is>
      </c>
      <c r="L2222" s="20" t="inlineStr">
        <is>
          <t>Odapally Sandeep</t>
        </is>
      </c>
      <c r="M2222" s="23" t="n">
        <v>16949.15</v>
      </c>
    </row>
    <row r="2223">
      <c r="A2223" s="19" t="inlineStr">
        <is>
          <t>FY27</t>
        </is>
      </c>
      <c r="B2223" s="19" t="inlineStr">
        <is>
          <t>Jun</t>
        </is>
      </c>
      <c r="C2223" s="19" t="inlineStr">
        <is>
          <t>AP/TS</t>
        </is>
      </c>
      <c r="D2223" s="20" t="inlineStr">
        <is>
          <t>TS07EU2967</t>
        </is>
      </c>
      <c r="E2223" s="20" t="inlineStr">
        <is>
          <t>HYUNDAI</t>
        </is>
      </c>
      <c r="F2223" s="20" t="inlineStr">
        <is>
          <t>Eon</t>
        </is>
      </c>
      <c r="G2223" s="21" t="n">
        <v>2015</v>
      </c>
      <c r="H2223" s="22" t="n">
        <v>127894</v>
      </c>
      <c r="I2223" s="22" t="n">
        <v>126000</v>
      </c>
      <c r="J2223" s="20" t="inlineStr">
        <is>
          <t>Exchange</t>
        </is>
      </c>
      <c r="K2223" s="20" t="inlineStr">
        <is>
          <t>Captive</t>
        </is>
      </c>
      <c r="L2223" s="20" t="inlineStr">
        <is>
          <t>Odapally Sandeep</t>
        </is>
      </c>
      <c r="M2223" s="23" t="n">
        <v>5084.75</v>
      </c>
    </row>
    <row r="2224">
      <c r="A2224" s="19" t="inlineStr">
        <is>
          <t>FY27</t>
        </is>
      </c>
      <c r="B2224" s="19" t="inlineStr">
        <is>
          <t>Jun</t>
        </is>
      </c>
      <c r="C2224" s="19" t="inlineStr">
        <is>
          <t>AP/TS</t>
        </is>
      </c>
      <c r="D2224" s="20" t="inlineStr">
        <is>
          <t>AP09BX0228</t>
        </is>
      </c>
      <c r="E2224" s="20" t="inlineStr">
        <is>
          <t>TATA</t>
        </is>
      </c>
      <c r="F2224" s="20" t="inlineStr">
        <is>
          <t>Nano</t>
        </is>
      </c>
      <c r="G2224" s="21" t="n">
        <v>2009</v>
      </c>
      <c r="H2224" s="22" t="n">
        <v>32247</v>
      </c>
      <c r="I2224" s="22" t="n">
        <v>44000</v>
      </c>
      <c r="J2224" s="20" t="inlineStr">
        <is>
          <t>Exchange</t>
        </is>
      </c>
      <c r="K2224" s="20" t="inlineStr">
        <is>
          <t>Captive</t>
        </is>
      </c>
      <c r="L2224" s="20" t="inlineStr">
        <is>
          <t>Gopal</t>
        </is>
      </c>
      <c r="M2224" s="23" t="n">
        <v>5084.75</v>
      </c>
    </row>
    <row r="2225">
      <c r="A2225" s="19" t="inlineStr">
        <is>
          <t>FY27</t>
        </is>
      </c>
      <c r="B2225" s="19" t="inlineStr">
        <is>
          <t>Jun</t>
        </is>
      </c>
      <c r="C2225" s="19" t="inlineStr">
        <is>
          <t>AP/TS</t>
        </is>
      </c>
      <c r="D2225" s="20" t="inlineStr">
        <is>
          <t>AP31EM9311</t>
        </is>
      </c>
      <c r="E2225" s="20" t="inlineStr">
        <is>
          <t>TATA</t>
        </is>
      </c>
      <c r="F2225" s="20" t="inlineStr">
        <is>
          <t>Tigore</t>
        </is>
      </c>
      <c r="G2225" s="21" t="n">
        <v>2018</v>
      </c>
      <c r="H2225" s="22" t="n">
        <v>80398</v>
      </c>
      <c r="I2225" s="22" t="n">
        <v>335000</v>
      </c>
      <c r="J2225" s="20" t="inlineStr">
        <is>
          <t>Exchange</t>
        </is>
      </c>
      <c r="K2225" s="20" t="inlineStr">
        <is>
          <t>Captive</t>
        </is>
      </c>
      <c r="L2225" s="20" t="inlineStr">
        <is>
          <t>Nakka Chandrasekhar (Cs Cars)</t>
        </is>
      </c>
      <c r="M2225" s="23" t="n">
        <v>8474.58</v>
      </c>
    </row>
    <row r="2226">
      <c r="A2226" s="19" t="inlineStr">
        <is>
          <t>FY27</t>
        </is>
      </c>
      <c r="B2226" s="19" t="inlineStr">
        <is>
          <t>Jun</t>
        </is>
      </c>
      <c r="C2226" s="19" t="inlineStr">
        <is>
          <t>AP/TS</t>
        </is>
      </c>
      <c r="D2226" s="20" t="inlineStr">
        <is>
          <t>TS32B3368</t>
        </is>
      </c>
      <c r="E2226" s="20" t="inlineStr">
        <is>
          <t>RENAULT</t>
        </is>
      </c>
      <c r="F2226" s="20" t="inlineStr">
        <is>
          <t>Kwid</t>
        </is>
      </c>
      <c r="G2226" s="21" t="n">
        <v>2017</v>
      </c>
      <c r="H2226" s="22" t="n">
        <v>121589</v>
      </c>
      <c r="I2226" s="22" t="n">
        <v>148000</v>
      </c>
      <c r="J2226" s="20" t="inlineStr">
        <is>
          <t>Mohammed Ghouse</t>
        </is>
      </c>
      <c r="K2226" s="20" t="inlineStr">
        <is>
          <t>Non-Captive</t>
        </is>
      </c>
      <c r="L2226" s="20" t="inlineStr">
        <is>
          <t>Odapally Sandeep</t>
        </is>
      </c>
      <c r="M2226" s="23" t="n">
        <v>5084.75</v>
      </c>
    </row>
    <row r="2227">
      <c r="A2227" s="19" t="inlineStr">
        <is>
          <t>FY27</t>
        </is>
      </c>
      <c r="B2227" s="19" t="inlineStr">
        <is>
          <t>Jun</t>
        </is>
      </c>
      <c r="C2227" s="19" t="inlineStr">
        <is>
          <t>AP/TS</t>
        </is>
      </c>
      <c r="D2227" s="20" t="inlineStr">
        <is>
          <t>TS09ES1602</t>
        </is>
      </c>
      <c r="E2227" s="20" t="inlineStr">
        <is>
          <t>HONDA</t>
        </is>
      </c>
      <c r="F2227" s="20" t="inlineStr">
        <is>
          <t>Brio</t>
        </is>
      </c>
      <c r="G2227" s="21" t="n">
        <v>2016</v>
      </c>
      <c r="H2227" s="22" t="n">
        <v>101252</v>
      </c>
      <c r="I2227" s="22" t="n">
        <v>190000</v>
      </c>
      <c r="J2227" s="20" t="inlineStr">
        <is>
          <t>Mohammed Ghouse</t>
        </is>
      </c>
      <c r="K2227" s="20" t="inlineStr">
        <is>
          <t>Non-Captive</t>
        </is>
      </c>
      <c r="L2227" s="20" t="inlineStr">
        <is>
          <t>Odapally Sandeep</t>
        </is>
      </c>
      <c r="M2227" s="23" t="n">
        <v>5932.2</v>
      </c>
    </row>
    <row r="2228">
      <c r="A2228" s="19" t="inlineStr">
        <is>
          <t>FY27</t>
        </is>
      </c>
      <c r="B2228" s="19" t="inlineStr">
        <is>
          <t>Jun</t>
        </is>
      </c>
      <c r="C2228" s="19" t="inlineStr">
        <is>
          <t>AP/TS</t>
        </is>
      </c>
      <c r="D2228" s="20" t="inlineStr">
        <is>
          <t>TS15EX5285</t>
        </is>
      </c>
      <c r="E2228" s="20" t="inlineStr">
        <is>
          <t>MARUTI SUZUKI</t>
        </is>
      </c>
      <c r="F2228" s="20" t="inlineStr">
        <is>
          <t>Alto</t>
        </is>
      </c>
      <c r="G2228" s="21" t="n">
        <v>2019</v>
      </c>
      <c r="H2228" s="22" t="n">
        <v>105457</v>
      </c>
      <c r="I2228" s="22" t="n">
        <v>190000</v>
      </c>
      <c r="J2228" s="20" t="inlineStr">
        <is>
          <t>Mohammed Ghouse</t>
        </is>
      </c>
      <c r="K2228" s="20" t="inlineStr">
        <is>
          <t>Non-Captive</t>
        </is>
      </c>
      <c r="L2228" s="20" t="inlineStr">
        <is>
          <t>Odapally Sandeep</t>
        </is>
      </c>
      <c r="M2228" s="23" t="n">
        <v>5084.75</v>
      </c>
    </row>
    <row r="2229">
      <c r="A2229" s="19" t="inlineStr">
        <is>
          <t>FY27</t>
        </is>
      </c>
      <c r="B2229" s="19" t="inlineStr">
        <is>
          <t>Jun</t>
        </is>
      </c>
      <c r="C2229" s="19" t="inlineStr">
        <is>
          <t>AP/TS</t>
        </is>
      </c>
      <c r="D2229" s="20" t="inlineStr">
        <is>
          <t>AP28DV5467</t>
        </is>
      </c>
      <c r="E2229" s="20" t="inlineStr">
        <is>
          <t>HONDA</t>
        </is>
      </c>
      <c r="F2229" s="20" t="inlineStr">
        <is>
          <t>Brio</t>
        </is>
      </c>
      <c r="G2229" s="21" t="n">
        <v>2013</v>
      </c>
      <c r="H2229" s="22" t="n">
        <v>98565</v>
      </c>
      <c r="I2229" s="22" t="n">
        <v>172000</v>
      </c>
      <c r="J2229" s="20" t="inlineStr">
        <is>
          <t>Mohammed Ghouse</t>
        </is>
      </c>
      <c r="K2229" s="20" t="inlineStr">
        <is>
          <t>Non-Captive</t>
        </is>
      </c>
      <c r="L2229" s="20" t="inlineStr">
        <is>
          <t>Odapally Sandeep</t>
        </is>
      </c>
      <c r="M2229" s="23" t="n">
        <v>5084.75</v>
      </c>
    </row>
    <row r="2230">
      <c r="A2230" s="19" t="inlineStr">
        <is>
          <t>FY27</t>
        </is>
      </c>
      <c r="B2230" s="19" t="inlineStr">
        <is>
          <t>Jun</t>
        </is>
      </c>
      <c r="C2230" s="19" t="inlineStr">
        <is>
          <t>AP/TS</t>
        </is>
      </c>
      <c r="D2230" s="20" t="inlineStr">
        <is>
          <t>AP21BP2830</t>
        </is>
      </c>
      <c r="E2230" s="20" t="inlineStr">
        <is>
          <t>MARUTI SUZUKI</t>
        </is>
      </c>
      <c r="F2230" s="20" t="inlineStr">
        <is>
          <t>Swift</t>
        </is>
      </c>
      <c r="G2230" s="21" t="n">
        <v>2016</v>
      </c>
      <c r="H2230" s="22" t="n">
        <v>135832</v>
      </c>
      <c r="I2230" s="22" t="n">
        <v>338000</v>
      </c>
      <c r="J2230" s="20" t="inlineStr">
        <is>
          <t>Exchange</t>
        </is>
      </c>
      <c r="K2230" s="20" t="inlineStr">
        <is>
          <t>Captive</t>
        </is>
      </c>
      <c r="L2230" s="20" t="inlineStr">
        <is>
          <t>Mohammed Faiz Ur Rehman</t>
        </is>
      </c>
      <c r="M2230" s="23" t="n">
        <v>6779.66</v>
      </c>
    </row>
    <row r="2231">
      <c r="A2231" s="19" t="inlineStr">
        <is>
          <t>FY27</t>
        </is>
      </c>
      <c r="B2231" s="19" t="inlineStr">
        <is>
          <t>Jun</t>
        </is>
      </c>
      <c r="C2231" s="19" t="inlineStr">
        <is>
          <t>AP/TS</t>
        </is>
      </c>
      <c r="D2231" s="20" t="inlineStr">
        <is>
          <t>AP10AR0852</t>
        </is>
      </c>
      <c r="E2231" s="20" t="inlineStr">
        <is>
          <t>HYUNDAI</t>
        </is>
      </c>
      <c r="F2231" s="20" t="inlineStr">
        <is>
          <t>I20</t>
        </is>
      </c>
      <c r="G2231" s="21" t="n">
        <v>2009</v>
      </c>
      <c r="H2231" s="22" t="n">
        <v>44328</v>
      </c>
      <c r="I2231" s="22" t="n">
        <v>152000</v>
      </c>
      <c r="J2231" s="20" t="inlineStr">
        <is>
          <t>Exchange</t>
        </is>
      </c>
      <c r="K2231" s="20" t="inlineStr">
        <is>
          <t>Captive</t>
        </is>
      </c>
      <c r="L2231" s="20" t="inlineStr">
        <is>
          <t>Mohammed Faiz Ur Rehman</t>
        </is>
      </c>
      <c r="M2231" s="23" t="n">
        <v>5932.2</v>
      </c>
    </row>
    <row r="2232">
      <c r="A2232" s="19" t="inlineStr">
        <is>
          <t>FY27</t>
        </is>
      </c>
      <c r="B2232" s="19" t="inlineStr">
        <is>
          <t>Jun</t>
        </is>
      </c>
      <c r="C2232" s="19" t="inlineStr">
        <is>
          <t>AP/TS</t>
        </is>
      </c>
      <c r="D2232" s="20" t="inlineStr">
        <is>
          <t>AP23Q7056</t>
        </is>
      </c>
      <c r="E2232" s="20" t="inlineStr">
        <is>
          <t>HYUNDAI</t>
        </is>
      </c>
      <c r="F2232" s="20" t="inlineStr">
        <is>
          <t>Getz</t>
        </is>
      </c>
      <c r="G2232" s="21" t="n">
        <v>2008</v>
      </c>
      <c r="H2232" s="22" t="n">
        <v>134160</v>
      </c>
      <c r="I2232" s="22" t="n">
        <v>55000</v>
      </c>
      <c r="J2232" s="20" t="inlineStr">
        <is>
          <t>Puneet Gupta</t>
        </is>
      </c>
      <c r="K2232" s="20" t="inlineStr">
        <is>
          <t>Non-Captive</t>
        </is>
      </c>
      <c r="L2232" s="20" t="inlineStr">
        <is>
          <t>Mohammed Faiz Ur Rehman</t>
        </is>
      </c>
      <c r="M2232" s="23" t="n">
        <v>4237.29</v>
      </c>
    </row>
    <row r="2233">
      <c r="A2233" s="19" t="inlineStr">
        <is>
          <t>FY27</t>
        </is>
      </c>
      <c r="B2233" s="19" t="inlineStr">
        <is>
          <t>Jun</t>
        </is>
      </c>
      <c r="C2233" s="19" t="inlineStr">
        <is>
          <t>AP/TS</t>
        </is>
      </c>
      <c r="D2233" s="20" t="inlineStr">
        <is>
          <t>TS09FS1056</t>
        </is>
      </c>
      <c r="E2233" s="20" t="inlineStr">
        <is>
          <t>MARUTI SUZUKI</t>
        </is>
      </c>
      <c r="F2233" s="20" t="inlineStr">
        <is>
          <t>Ciaz</t>
        </is>
      </c>
      <c r="G2233" s="21" t="n">
        <v>2021</v>
      </c>
      <c r="H2233" s="22" t="n">
        <v>108765</v>
      </c>
      <c r="I2233" s="22" t="n">
        <v>460000</v>
      </c>
      <c r="J2233" s="20" t="inlineStr">
        <is>
          <t>Exchange</t>
        </is>
      </c>
      <c r="K2233" s="20" t="inlineStr">
        <is>
          <t>Captive</t>
        </is>
      </c>
      <c r="L2233" s="20" t="inlineStr">
        <is>
          <t>Prabjyoth Singh Wasu</t>
        </is>
      </c>
      <c r="M2233" s="23" t="n">
        <v>8474.58</v>
      </c>
    </row>
    <row r="2234">
      <c r="A2234" s="19" t="inlineStr">
        <is>
          <t>FY27</t>
        </is>
      </c>
      <c r="B2234" s="19" t="inlineStr">
        <is>
          <t>Jun</t>
        </is>
      </c>
      <c r="C2234" s="19" t="inlineStr">
        <is>
          <t>AP/TS</t>
        </is>
      </c>
      <c r="D2234" s="20" t="inlineStr">
        <is>
          <t>AP16FG2222</t>
        </is>
      </c>
      <c r="E2234" s="20" t="inlineStr">
        <is>
          <t>HONDA</t>
        </is>
      </c>
      <c r="F2234" s="20" t="inlineStr">
        <is>
          <t>Amaze</t>
        </is>
      </c>
      <c r="G2234" s="21" t="n">
        <v>2018</v>
      </c>
      <c r="H2234" s="22" t="n">
        <v>65087</v>
      </c>
      <c r="I2234" s="22" t="n">
        <v>387500</v>
      </c>
      <c r="J2234" s="20" t="inlineStr">
        <is>
          <t>Exchange</t>
        </is>
      </c>
      <c r="K2234" s="20" t="inlineStr">
        <is>
          <t>Captive</t>
        </is>
      </c>
      <c r="L2234" s="20" t="inlineStr">
        <is>
          <t>Koppuravuri Srinivasa Rao</t>
        </is>
      </c>
      <c r="M2234" s="23" t="n">
        <v>6355.93</v>
      </c>
    </row>
    <row r="2235">
      <c r="A2235" s="19" t="inlineStr">
        <is>
          <t>FY27</t>
        </is>
      </c>
      <c r="B2235" s="19" t="inlineStr">
        <is>
          <t>Jun</t>
        </is>
      </c>
      <c r="C2235" s="19" t="inlineStr">
        <is>
          <t>AP/TS</t>
        </is>
      </c>
      <c r="D2235" s="20" t="inlineStr">
        <is>
          <t>AP31AQ3301</t>
        </is>
      </c>
      <c r="E2235" s="20" t="inlineStr">
        <is>
          <t>MARUTI SUZUKI</t>
        </is>
      </c>
      <c r="F2235" s="20" t="inlineStr">
        <is>
          <t>Alto</t>
        </is>
      </c>
      <c r="G2235" s="21" t="n">
        <v>2006</v>
      </c>
      <c r="H2235" s="22" t="n">
        <v>168521</v>
      </c>
      <c r="I2235" s="22" t="n">
        <v>30000</v>
      </c>
      <c r="J2235" s="20" t="inlineStr">
        <is>
          <t>T Srinivas</t>
        </is>
      </c>
      <c r="K2235" s="20" t="inlineStr">
        <is>
          <t>Non-Captive</t>
        </is>
      </c>
      <c r="L2235" s="20" t="inlineStr">
        <is>
          <t>Koppuravuri Srinivasa Rao</t>
        </is>
      </c>
      <c r="M2235" s="23" t="n">
        <v>5932.2</v>
      </c>
    </row>
    <row r="2236">
      <c r="A2236" s="19" t="inlineStr">
        <is>
          <t>FY27</t>
        </is>
      </c>
      <c r="B2236" s="19" t="inlineStr">
        <is>
          <t>Jun</t>
        </is>
      </c>
      <c r="C2236" s="19" t="inlineStr">
        <is>
          <t>AP/TS</t>
        </is>
      </c>
      <c r="D2236" s="20" t="inlineStr">
        <is>
          <t>AP40H9819</t>
        </is>
      </c>
      <c r="E2236" s="20" t="inlineStr">
        <is>
          <t>MAHINDRA</t>
        </is>
      </c>
      <c r="F2236" s="20" t="inlineStr">
        <is>
          <t>Xuv300</t>
        </is>
      </c>
      <c r="G2236" s="21" t="n">
        <v>2023</v>
      </c>
      <c r="H2236" s="22" t="n">
        <v>70110</v>
      </c>
      <c r="I2236" s="22" t="n">
        <v>825000</v>
      </c>
      <c r="J2236" s="20" t="inlineStr">
        <is>
          <t>Exchange</t>
        </is>
      </c>
      <c r="K2236" s="20" t="inlineStr">
        <is>
          <t>Captive</t>
        </is>
      </c>
      <c r="L2236" s="20" t="inlineStr">
        <is>
          <t>Vedicherla Sudheer Reddy - VSR Cars</t>
        </is>
      </c>
      <c r="M2236" s="23" t="n">
        <v>12711.86</v>
      </c>
    </row>
    <row r="2237">
      <c r="A2237" s="19" t="inlineStr">
        <is>
          <t>FY27</t>
        </is>
      </c>
      <c r="B2237" s="19" t="inlineStr">
        <is>
          <t>Jun</t>
        </is>
      </c>
      <c r="C2237" s="19" t="inlineStr">
        <is>
          <t>AP/TS</t>
        </is>
      </c>
      <c r="D2237" s="20" t="inlineStr">
        <is>
          <t>AP07CG1361</t>
        </is>
      </c>
      <c r="E2237" s="20" t="inlineStr">
        <is>
          <t>HYUNDAI</t>
        </is>
      </c>
      <c r="F2237" s="20" t="inlineStr">
        <is>
          <t>Grand I10</t>
        </is>
      </c>
      <c r="G2237" s="21" t="n">
        <v>2014</v>
      </c>
      <c r="H2237" s="22" t="n">
        <v>254125</v>
      </c>
      <c r="I2237" s="22" t="n">
        <v>187000</v>
      </c>
      <c r="J2237" s="20" t="inlineStr">
        <is>
          <t>Exchange</t>
        </is>
      </c>
      <c r="K2237" s="20" t="inlineStr">
        <is>
          <t>Captive</t>
        </is>
      </c>
      <c r="L2237" s="20" t="inlineStr">
        <is>
          <t>Vedicherla Sudheer Reddy - VSR Cars</t>
        </is>
      </c>
      <c r="M2237" s="23" t="n">
        <v>5932.2</v>
      </c>
    </row>
    <row r="2238">
      <c r="A2238" s="19" t="inlineStr">
        <is>
          <t>FY27</t>
        </is>
      </c>
      <c r="B2238" s="19" t="inlineStr">
        <is>
          <t>Jun</t>
        </is>
      </c>
      <c r="C2238" s="19" t="inlineStr">
        <is>
          <t>AP/TS</t>
        </is>
      </c>
      <c r="D2238" s="20" t="inlineStr">
        <is>
          <t>AP39DW0459</t>
        </is>
      </c>
      <c r="E2238" s="20" t="inlineStr">
        <is>
          <t>MARUTI SUZUKI</t>
        </is>
      </c>
      <c r="F2238" s="20" t="inlineStr">
        <is>
          <t>Ignis</t>
        </is>
      </c>
      <c r="G2238" s="21" t="n">
        <v>2019</v>
      </c>
      <c r="H2238" s="22" t="n">
        <v>72520</v>
      </c>
      <c r="I2238" s="22" t="n">
        <v>287500</v>
      </c>
      <c r="J2238" s="20" t="inlineStr">
        <is>
          <t>Guthi Ravi Krishna</t>
        </is>
      </c>
      <c r="K2238" s="20" t="inlineStr">
        <is>
          <t>Non-Captive</t>
        </is>
      </c>
      <c r="L2238" s="20" t="inlineStr">
        <is>
          <t>Suresh Ginjupalli</t>
        </is>
      </c>
      <c r="M2238" s="23" t="n">
        <v>6355.93</v>
      </c>
    </row>
    <row r="2239">
      <c r="A2239" s="19" t="inlineStr">
        <is>
          <t>FY27</t>
        </is>
      </c>
      <c r="B2239" s="19" t="inlineStr">
        <is>
          <t>Jun</t>
        </is>
      </c>
      <c r="C2239" s="19" t="inlineStr">
        <is>
          <t>AP/TS</t>
        </is>
      </c>
      <c r="D2239" s="20" t="inlineStr">
        <is>
          <t>AP16DP0126</t>
        </is>
      </c>
      <c r="E2239" s="20" t="inlineStr">
        <is>
          <t>FORD</t>
        </is>
      </c>
      <c r="F2239" s="20" t="inlineStr">
        <is>
          <t>Figo</t>
        </is>
      </c>
      <c r="G2239" s="21" t="n">
        <v>2016</v>
      </c>
      <c r="H2239" s="22" t="n">
        <v>185758</v>
      </c>
      <c r="I2239" s="22" t="n">
        <v>217500</v>
      </c>
      <c r="J2239" s="20" t="inlineStr">
        <is>
          <t>Guthi Ravi Krishna</t>
        </is>
      </c>
      <c r="K2239" s="20" t="inlineStr">
        <is>
          <t>Non-Captive</t>
        </is>
      </c>
      <c r="L2239" s="20" t="inlineStr">
        <is>
          <t>Suresh Ginjupalli</t>
        </is>
      </c>
      <c r="M2239" s="23" t="n">
        <v>6355.93</v>
      </c>
    </row>
    <row r="2240">
      <c r="A2240" s="19" t="inlineStr">
        <is>
          <t>FY27</t>
        </is>
      </c>
      <c r="B2240" s="19" t="inlineStr">
        <is>
          <t>Jun</t>
        </is>
      </c>
      <c r="C2240" s="19" t="inlineStr">
        <is>
          <t>AP/TS</t>
        </is>
      </c>
      <c r="D2240" s="20" t="inlineStr">
        <is>
          <t>AP16CS0450</t>
        </is>
      </c>
      <c r="E2240" s="20" t="inlineStr">
        <is>
          <t>HONDA</t>
        </is>
      </c>
      <c r="F2240" s="20" t="inlineStr">
        <is>
          <t>City</t>
        </is>
      </c>
      <c r="G2240" s="21" t="n">
        <v>2014</v>
      </c>
      <c r="H2240" s="22" t="n">
        <v>151480</v>
      </c>
      <c r="I2240" s="22" t="n">
        <v>310000</v>
      </c>
      <c r="J2240" s="20" t="inlineStr">
        <is>
          <t>Exchange</t>
        </is>
      </c>
      <c r="K2240" s="20" t="inlineStr">
        <is>
          <t>Captive</t>
        </is>
      </c>
      <c r="L2240" s="20" t="inlineStr">
        <is>
          <t>Tenali Srinivas</t>
        </is>
      </c>
      <c r="M2240" s="23" t="n">
        <v>8474.58</v>
      </c>
    </row>
    <row r="2241">
      <c r="A2241" s="19" t="inlineStr">
        <is>
          <t>FY27</t>
        </is>
      </c>
      <c r="B2241" s="19" t="inlineStr">
        <is>
          <t>Jun</t>
        </is>
      </c>
      <c r="C2241" s="19" t="inlineStr">
        <is>
          <t>AP/TS</t>
        </is>
      </c>
      <c r="D2241" s="20" t="inlineStr">
        <is>
          <t>AP24AY4899</t>
        </is>
      </c>
      <c r="E2241" s="20" t="inlineStr">
        <is>
          <t>HONDA</t>
        </is>
      </c>
      <c r="F2241" s="20" t="inlineStr">
        <is>
          <t>City</t>
        </is>
      </c>
      <c r="G2241" s="21" t="n">
        <v>2014</v>
      </c>
      <c r="H2241" s="22" t="n">
        <v>285812</v>
      </c>
      <c r="I2241" s="22" t="n">
        <v>247500</v>
      </c>
      <c r="J2241" s="20" t="inlineStr">
        <is>
          <t>Mohammed Gouse Basha</t>
        </is>
      </c>
      <c r="K2241" s="20" t="inlineStr">
        <is>
          <t>Non-Captive</t>
        </is>
      </c>
      <c r="L2241" s="20" t="inlineStr">
        <is>
          <t>Tenali Srinivas</t>
        </is>
      </c>
      <c r="M2241" s="23" t="n">
        <v>6355.93</v>
      </c>
    </row>
    <row r="2242">
      <c r="A2242" s="19" t="inlineStr">
        <is>
          <t>FY27</t>
        </is>
      </c>
      <c r="B2242" s="19" t="inlineStr">
        <is>
          <t>Jun</t>
        </is>
      </c>
      <c r="C2242" s="19" t="inlineStr">
        <is>
          <t>AP/TS</t>
        </is>
      </c>
      <c r="D2242" s="20" t="inlineStr">
        <is>
          <t>AP16ED1423</t>
        </is>
      </c>
      <c r="E2242" s="20" t="inlineStr">
        <is>
          <t>HYUNDAI</t>
        </is>
      </c>
      <c r="F2242" s="20" t="inlineStr">
        <is>
          <t>Grand I10</t>
        </is>
      </c>
      <c r="G2242" s="21" t="n">
        <v>2016</v>
      </c>
      <c r="H2242" s="22" t="n">
        <v>125128</v>
      </c>
      <c r="I2242" s="22" t="n">
        <v>217500</v>
      </c>
      <c r="J2242" s="20" t="inlineStr">
        <is>
          <t>Mohammed Gouse Basha</t>
        </is>
      </c>
      <c r="K2242" s="20" t="inlineStr">
        <is>
          <t>Non-Captive</t>
        </is>
      </c>
      <c r="L2242" s="20" t="inlineStr">
        <is>
          <t>Tenali Srinivas</t>
        </is>
      </c>
      <c r="M2242" s="23" t="n">
        <v>6355.93</v>
      </c>
    </row>
    <row r="2243">
      <c r="A2243" s="19" t="inlineStr">
        <is>
          <t>FY27</t>
        </is>
      </c>
      <c r="B2243" s="19" t="inlineStr">
        <is>
          <t>Jun</t>
        </is>
      </c>
      <c r="C2243" s="19" t="inlineStr">
        <is>
          <t>AP/TS</t>
        </is>
      </c>
      <c r="D2243" s="20" t="inlineStr">
        <is>
          <t>AP31CP2079</t>
        </is>
      </c>
      <c r="E2243" s="20" t="inlineStr">
        <is>
          <t>CHEVROLET</t>
        </is>
      </c>
      <c r="F2243" s="20" t="inlineStr">
        <is>
          <t>Sail</t>
        </is>
      </c>
      <c r="G2243" s="21" t="n">
        <v>2013</v>
      </c>
      <c r="H2243" s="22" t="n">
        <v>179532</v>
      </c>
      <c r="I2243" s="22" t="n">
        <v>90000</v>
      </c>
      <c r="J2243" s="20" t="inlineStr">
        <is>
          <t>Siva Reddy Gudla</t>
        </is>
      </c>
      <c r="K2243" s="20" t="inlineStr">
        <is>
          <t>Non-Captive</t>
        </is>
      </c>
      <c r="L2243" s="20" t="inlineStr">
        <is>
          <t>Kesireddy Saikiran</t>
        </is>
      </c>
      <c r="M2243" s="23" t="n">
        <v>4237.29</v>
      </c>
    </row>
    <row r="2244">
      <c r="A2244" s="19" t="inlineStr">
        <is>
          <t>FY27</t>
        </is>
      </c>
      <c r="B2244" s="19" t="inlineStr">
        <is>
          <t>Jun</t>
        </is>
      </c>
      <c r="C2244" s="19" t="inlineStr">
        <is>
          <t>AP/TS</t>
        </is>
      </c>
      <c r="D2244" s="20" t="inlineStr">
        <is>
          <t>AP05BD5599</t>
        </is>
      </c>
      <c r="E2244" s="20" t="inlineStr">
        <is>
          <t>FORD</t>
        </is>
      </c>
      <c r="F2244" s="20" t="inlineStr">
        <is>
          <t>Fiesta</t>
        </is>
      </c>
      <c r="G2244" s="21" t="n">
        <v>2009</v>
      </c>
      <c r="H2244" s="22" t="n">
        <v>190714</v>
      </c>
      <c r="I2244" s="22" t="n">
        <v>95000</v>
      </c>
      <c r="J2244" s="20" t="inlineStr">
        <is>
          <t>Siva Reddy Gudla</t>
        </is>
      </c>
      <c r="K2244" s="20" t="inlineStr">
        <is>
          <t>Non-Captive</t>
        </is>
      </c>
      <c r="L2244" s="20" t="inlineStr">
        <is>
          <t>Kesireddy Saikiran</t>
        </is>
      </c>
      <c r="M2244" s="23" t="n">
        <v>4237.29</v>
      </c>
    </row>
    <row r="2245">
      <c r="A2245" s="19" t="inlineStr">
        <is>
          <t>FY27</t>
        </is>
      </c>
      <c r="B2245" s="19" t="inlineStr">
        <is>
          <t>Jun</t>
        </is>
      </c>
      <c r="C2245" s="19" t="inlineStr">
        <is>
          <t>AP/TS</t>
        </is>
      </c>
      <c r="D2245" s="20" t="inlineStr">
        <is>
          <t>TS07GZ0599</t>
        </is>
      </c>
      <c r="E2245" s="20" t="inlineStr">
        <is>
          <t>SKODA</t>
        </is>
      </c>
      <c r="F2245" s="20" t="inlineStr">
        <is>
          <t>Rapid</t>
        </is>
      </c>
      <c r="G2245" s="21" t="n">
        <v>2019</v>
      </c>
      <c r="H2245" s="22" t="n">
        <v>111023</v>
      </c>
      <c r="I2245" s="22" t="n">
        <v>394000</v>
      </c>
      <c r="J2245" s="20" t="inlineStr">
        <is>
          <t>Exchange</t>
        </is>
      </c>
      <c r="K2245" s="20" t="inlineStr">
        <is>
          <t>Captive</t>
        </is>
      </c>
      <c r="L2245" s="20" t="inlineStr">
        <is>
          <t>Kaki Dinesh Kumar</t>
        </is>
      </c>
      <c r="M2245" s="23" t="n">
        <v>8474.58</v>
      </c>
    </row>
    <row r="2246">
      <c r="A2246" s="19" t="inlineStr">
        <is>
          <t>FY27</t>
        </is>
      </c>
      <c r="B2246" s="19" t="inlineStr">
        <is>
          <t>Jun</t>
        </is>
      </c>
      <c r="C2246" s="19" t="inlineStr">
        <is>
          <t>AP/TS</t>
        </is>
      </c>
      <c r="D2246" s="20" t="inlineStr">
        <is>
          <t>AP31DL4542</t>
        </is>
      </c>
      <c r="E2246" s="20" t="inlineStr">
        <is>
          <t>NISSAN</t>
        </is>
      </c>
      <c r="F2246" s="20" t="inlineStr">
        <is>
          <t>Datsun</t>
        </is>
      </c>
      <c r="G2246" s="21" t="n">
        <v>2016</v>
      </c>
      <c r="H2246" s="22" t="n">
        <v>122511</v>
      </c>
      <c r="I2246" s="22" t="n">
        <v>127000</v>
      </c>
      <c r="J2246" s="20" t="inlineStr">
        <is>
          <t>Gadi Sri Bharathi</t>
        </is>
      </c>
      <c r="K2246" s="20" t="inlineStr">
        <is>
          <t>Non-Captive</t>
        </is>
      </c>
      <c r="L2246" s="20" t="inlineStr">
        <is>
          <t>Kaki Dinesh Kumar</t>
        </is>
      </c>
      <c r="M2246" s="23" t="n">
        <v>5932.2</v>
      </c>
    </row>
    <row r="2247">
      <c r="A2247" s="19" t="inlineStr">
        <is>
          <t>FY27</t>
        </is>
      </c>
      <c r="B2247" s="19" t="inlineStr">
        <is>
          <t>Jun</t>
        </is>
      </c>
      <c r="C2247" s="19" t="inlineStr">
        <is>
          <t>AP/TS</t>
        </is>
      </c>
      <c r="D2247" s="20" t="inlineStr">
        <is>
          <t>AP23AD5773</t>
        </is>
      </c>
      <c r="E2247" s="20" t="inlineStr">
        <is>
          <t>HONDA</t>
        </is>
      </c>
      <c r="F2247" s="20" t="inlineStr">
        <is>
          <t>Accord</t>
        </is>
      </c>
      <c r="G2247" s="21" t="n">
        <v>2011</v>
      </c>
      <c r="H2247" s="22" t="n">
        <v>72338</v>
      </c>
      <c r="I2247" s="22" t="n">
        <v>220000</v>
      </c>
      <c r="J2247" s="20" t="inlineStr">
        <is>
          <t>Exchange</t>
        </is>
      </c>
      <c r="K2247" s="20" t="inlineStr">
        <is>
          <t>Captive</t>
        </is>
      </c>
      <c r="L2247" s="20" t="inlineStr">
        <is>
          <t>Odapally Sandeep</t>
        </is>
      </c>
      <c r="M2247" s="23" t="n">
        <v>8474.58</v>
      </c>
    </row>
    <row r="2248">
      <c r="A2248" s="19" t="inlineStr">
        <is>
          <t>FY27</t>
        </is>
      </c>
      <c r="B2248" s="19" t="inlineStr">
        <is>
          <t>Jun</t>
        </is>
      </c>
      <c r="C2248" s="19" t="inlineStr">
        <is>
          <t>AP/TS</t>
        </is>
      </c>
      <c r="D2248" s="20" t="inlineStr">
        <is>
          <t>TS08GD8188</t>
        </is>
      </c>
      <c r="E2248" s="20" t="inlineStr">
        <is>
          <t>MARUTI SUZUKI</t>
        </is>
      </c>
      <c r="F2248" s="20" t="inlineStr">
        <is>
          <t>Eeco</t>
        </is>
      </c>
      <c r="G2248" s="21" t="n">
        <v>2018</v>
      </c>
      <c r="H2248" s="22" t="n">
        <v>125644</v>
      </c>
      <c r="I2248" s="22" t="n">
        <v>126000</v>
      </c>
      <c r="J2248" s="20" t="inlineStr">
        <is>
          <t>Bukya Santhosh Naik</t>
        </is>
      </c>
      <c r="K2248" s="20" t="inlineStr">
        <is>
          <t>Non-Captive</t>
        </is>
      </c>
      <c r="L2248" s="20" t="inlineStr">
        <is>
          <t>Odapally Sandeep</t>
        </is>
      </c>
      <c r="M2248" s="23" t="n">
        <v>5084.75</v>
      </c>
    </row>
    <row r="2249">
      <c r="A2249" s="19" t="inlineStr">
        <is>
          <t>FY27</t>
        </is>
      </c>
      <c r="B2249" s="19" t="inlineStr">
        <is>
          <t>Jun</t>
        </is>
      </c>
      <c r="C2249" s="19" t="inlineStr">
        <is>
          <t>AP/TS</t>
        </is>
      </c>
      <c r="D2249" s="20" t="inlineStr">
        <is>
          <t>TS09FB4820</t>
        </is>
      </c>
      <c r="E2249" s="20" t="inlineStr">
        <is>
          <t>RENAULT</t>
        </is>
      </c>
      <c r="F2249" s="20" t="inlineStr">
        <is>
          <t>Kwid</t>
        </is>
      </c>
      <c r="G2249" s="21" t="n">
        <v>2018</v>
      </c>
      <c r="H2249" s="22" t="n">
        <v>130964</v>
      </c>
      <c r="I2249" s="22" t="n">
        <v>186000</v>
      </c>
      <c r="J2249" s="20" t="inlineStr">
        <is>
          <t>Bukya Santhosh Naik</t>
        </is>
      </c>
      <c r="K2249" s="20" t="inlineStr">
        <is>
          <t>Non-Captive</t>
        </is>
      </c>
      <c r="L2249" s="20" t="inlineStr">
        <is>
          <t>Odapally Sandeep</t>
        </is>
      </c>
      <c r="M2249" s="23" t="n">
        <v>5084.75</v>
      </c>
    </row>
    <row r="2250">
      <c r="A2250" s="19" t="inlineStr">
        <is>
          <t>FY27</t>
        </is>
      </c>
      <c r="B2250" s="19" t="inlineStr">
        <is>
          <t>Jun</t>
        </is>
      </c>
      <c r="C2250" s="19" t="inlineStr">
        <is>
          <t>AP/TS</t>
        </is>
      </c>
      <c r="D2250" s="20" t="inlineStr">
        <is>
          <t>TS07EW1889</t>
        </is>
      </c>
      <c r="E2250" s="20" t="inlineStr">
        <is>
          <t>FORD</t>
        </is>
      </c>
      <c r="F2250" s="20" t="inlineStr">
        <is>
          <t>Figo</t>
        </is>
      </c>
      <c r="G2250" s="21" t="n">
        <v>2015</v>
      </c>
      <c r="H2250" s="22" t="n">
        <v>102521</v>
      </c>
      <c r="I2250" s="22" t="n">
        <v>308000</v>
      </c>
      <c r="J2250" s="20" t="inlineStr">
        <is>
          <t>Bukya Santhosh Naik</t>
        </is>
      </c>
      <c r="K2250" s="20" t="inlineStr">
        <is>
          <t>Non-Captive</t>
        </is>
      </c>
      <c r="L2250" s="20" t="inlineStr">
        <is>
          <t>Odapally Sandeep</t>
        </is>
      </c>
      <c r="M2250" s="23" t="n">
        <v>6779.66</v>
      </c>
    </row>
    <row r="2251">
      <c r="A2251" s="19" t="inlineStr">
        <is>
          <t>FY27</t>
        </is>
      </c>
      <c r="B2251" s="19" t="inlineStr">
        <is>
          <t>Jun</t>
        </is>
      </c>
      <c r="C2251" s="19" t="inlineStr">
        <is>
          <t>AP/TS</t>
        </is>
      </c>
      <c r="D2251" s="20" t="inlineStr">
        <is>
          <t>AP39LV2488</t>
        </is>
      </c>
      <c r="E2251" s="20" t="inlineStr">
        <is>
          <t>HONDA</t>
        </is>
      </c>
      <c r="F2251" s="20" t="inlineStr">
        <is>
          <t>City</t>
        </is>
      </c>
      <c r="G2251" s="21" t="n">
        <v>2021</v>
      </c>
      <c r="H2251" s="22" t="n">
        <v>54274</v>
      </c>
      <c r="I2251" s="22" t="n">
        <v>692000</v>
      </c>
      <c r="J2251" s="20" t="inlineStr">
        <is>
          <t>Exchange</t>
        </is>
      </c>
      <c r="K2251" s="20" t="inlineStr">
        <is>
          <t>Captive</t>
        </is>
      </c>
      <c r="L2251" s="20" t="inlineStr">
        <is>
          <t>Kesireddy Saikiran</t>
        </is>
      </c>
      <c r="M2251" s="23" t="n">
        <v>10169.49</v>
      </c>
    </row>
    <row r="2252">
      <c r="A2252" s="19" t="inlineStr">
        <is>
          <t>FY27</t>
        </is>
      </c>
      <c r="B2252" s="19" t="inlineStr">
        <is>
          <t>Jun</t>
        </is>
      </c>
      <c r="C2252" s="19" t="inlineStr">
        <is>
          <t>TN</t>
        </is>
      </c>
      <c r="D2252" s="20" t="inlineStr">
        <is>
          <t>TN01AV9038</t>
        </is>
      </c>
      <c r="E2252" s="20" t="inlineStr">
        <is>
          <t>HONDA</t>
        </is>
      </c>
      <c r="F2252" s="20" t="inlineStr">
        <is>
          <t>City</t>
        </is>
      </c>
      <c r="G2252" s="21" t="n">
        <v>2014</v>
      </c>
      <c r="H2252" s="22" t="n">
        <v>42013</v>
      </c>
      <c r="I2252" s="22" t="n">
        <v>390000</v>
      </c>
      <c r="J2252" s="20" t="inlineStr">
        <is>
          <t>Khivraj Motor</t>
        </is>
      </c>
      <c r="K2252" s="20" t="inlineStr">
        <is>
          <t>Non-Captive</t>
        </is>
      </c>
      <c r="L2252" s="20" t="inlineStr">
        <is>
          <t>Ramalingam Cars</t>
        </is>
      </c>
      <c r="M2252" s="23" t="n">
        <v>8474.58</v>
      </c>
    </row>
    <row r="2253">
      <c r="A2253" s="19" t="inlineStr">
        <is>
          <t>FY27</t>
        </is>
      </c>
      <c r="B2253" s="19" t="inlineStr">
        <is>
          <t>Jun</t>
        </is>
      </c>
      <c r="C2253" s="19" t="inlineStr">
        <is>
          <t>TN</t>
        </is>
      </c>
      <c r="D2253" s="20" t="inlineStr">
        <is>
          <t>TN01AV3979</t>
        </is>
      </c>
      <c r="E2253" s="20" t="inlineStr">
        <is>
          <t>MARUTI SUZUKI</t>
        </is>
      </c>
      <c r="F2253" s="20" t="inlineStr">
        <is>
          <t>Swift Dzire</t>
        </is>
      </c>
      <c r="G2253" s="21" t="n">
        <v>2013</v>
      </c>
      <c r="H2253" s="22" t="n">
        <v>96225</v>
      </c>
      <c r="I2253" s="22" t="n">
        <v>285000</v>
      </c>
      <c r="J2253" s="20" t="inlineStr">
        <is>
          <t>Khivraj Motor</t>
        </is>
      </c>
      <c r="K2253" s="20" t="inlineStr">
        <is>
          <t>Non-Captive</t>
        </is>
      </c>
      <c r="L2253" s="20" t="inlineStr">
        <is>
          <t>AAA Cars</t>
        </is>
      </c>
      <c r="M2253" s="23" t="n">
        <v>6355.93</v>
      </c>
    </row>
    <row r="2254">
      <c r="A2254" s="19" t="inlineStr">
        <is>
          <t>FY27</t>
        </is>
      </c>
      <c r="B2254" s="19" t="inlineStr">
        <is>
          <t>Jun</t>
        </is>
      </c>
      <c r="C2254" s="19" t="inlineStr">
        <is>
          <t>TN</t>
        </is>
      </c>
      <c r="D2254" s="20" t="inlineStr">
        <is>
          <t>TN07BS1374</t>
        </is>
      </c>
      <c r="E2254" s="20" t="inlineStr">
        <is>
          <t>MARUTI SUZUKI</t>
        </is>
      </c>
      <c r="F2254" s="20" t="inlineStr">
        <is>
          <t>Swift Dzire</t>
        </is>
      </c>
      <c r="G2254" s="21" t="n">
        <v>2012</v>
      </c>
      <c r="H2254" s="22" t="n">
        <v>70168</v>
      </c>
      <c r="I2254" s="22" t="n">
        <v>297000</v>
      </c>
      <c r="J2254" s="20" t="inlineStr">
        <is>
          <t>Khivraj Motor</t>
        </is>
      </c>
      <c r="K2254" s="20" t="inlineStr">
        <is>
          <t>Non-Captive</t>
        </is>
      </c>
      <c r="L2254" s="20" t="inlineStr">
        <is>
          <t>AAA Cars</t>
        </is>
      </c>
      <c r="M2254" s="23" t="n">
        <v>6355.93</v>
      </c>
    </row>
    <row r="2255">
      <c r="A2255" s="19" t="inlineStr">
        <is>
          <t>FY27</t>
        </is>
      </c>
      <c r="B2255" s="19" t="inlineStr">
        <is>
          <t>Jun</t>
        </is>
      </c>
      <c r="C2255" s="19" t="inlineStr">
        <is>
          <t>TN</t>
        </is>
      </c>
      <c r="D2255" s="20" t="inlineStr">
        <is>
          <t>TN14X8523</t>
        </is>
      </c>
      <c r="E2255" s="20" t="inlineStr">
        <is>
          <t>MARUTI SUZUKI</t>
        </is>
      </c>
      <c r="F2255" s="20" t="inlineStr">
        <is>
          <t>Celerio</t>
        </is>
      </c>
      <c r="G2255" s="21" t="n">
        <v>2021</v>
      </c>
      <c r="H2255" s="22" t="n">
        <v>15607</v>
      </c>
      <c r="I2255" s="22" t="n">
        <v>365000</v>
      </c>
      <c r="J2255" s="20" t="inlineStr">
        <is>
          <t>Khivraj Motor</t>
        </is>
      </c>
      <c r="K2255" s="20" t="inlineStr">
        <is>
          <t>Non-Captive</t>
        </is>
      </c>
      <c r="L2255" s="20" t="inlineStr">
        <is>
          <t>Trust On wheels</t>
        </is>
      </c>
      <c r="M2255" s="23" t="n">
        <v>6355.93</v>
      </c>
    </row>
    <row r="2256">
      <c r="A2256" s="19" t="inlineStr">
        <is>
          <t>FY27</t>
        </is>
      </c>
      <c r="B2256" s="19" t="inlineStr">
        <is>
          <t>Jun</t>
        </is>
      </c>
      <c r="C2256" s="19" t="inlineStr">
        <is>
          <t>TN</t>
        </is>
      </c>
      <c r="D2256" s="20" t="inlineStr">
        <is>
          <t>TN10BF8277</t>
        </is>
      </c>
      <c r="E2256" s="20" t="inlineStr">
        <is>
          <t>MARUTI SUZUKI</t>
        </is>
      </c>
      <c r="F2256" s="20" t="inlineStr">
        <is>
          <t>Wagon R</t>
        </is>
      </c>
      <c r="G2256" s="21" t="n">
        <v>2019</v>
      </c>
      <c r="H2256" s="22" t="n">
        <v>46208</v>
      </c>
      <c r="I2256" s="22" t="n">
        <v>370000</v>
      </c>
      <c r="J2256" s="20" t="inlineStr">
        <is>
          <t>Khivraj Motor</t>
        </is>
      </c>
      <c r="K2256" s="20" t="inlineStr">
        <is>
          <t>Non-Captive</t>
        </is>
      </c>
      <c r="L2256" s="20" t="inlineStr">
        <is>
          <t>TSM</t>
        </is>
      </c>
      <c r="M2256" s="23" t="n">
        <v>6779.66</v>
      </c>
    </row>
    <row r="2257">
      <c r="A2257" s="19" t="inlineStr">
        <is>
          <t>FY27</t>
        </is>
      </c>
      <c r="B2257" s="19" t="inlineStr">
        <is>
          <t>Jun</t>
        </is>
      </c>
      <c r="C2257" s="19" t="inlineStr">
        <is>
          <t>TN</t>
        </is>
      </c>
      <c r="D2257" s="20" t="inlineStr">
        <is>
          <t>TN07DQ2986</t>
        </is>
      </c>
      <c r="E2257" s="20" t="inlineStr">
        <is>
          <t>HYUNDAI</t>
        </is>
      </c>
      <c r="F2257" s="20" t="inlineStr">
        <is>
          <t>Nios</t>
        </is>
      </c>
      <c r="G2257" s="21" t="n">
        <v>2026</v>
      </c>
      <c r="H2257" s="22" t="n">
        <v>30196</v>
      </c>
      <c r="I2257" s="22" t="n">
        <v>650000</v>
      </c>
      <c r="J2257" s="20" t="inlineStr">
        <is>
          <t>Khivraj Motor</t>
        </is>
      </c>
      <c r="K2257" s="20" t="inlineStr">
        <is>
          <t>Non-Captive</t>
        </is>
      </c>
      <c r="L2257" s="20" t="inlineStr">
        <is>
          <t>TSM</t>
        </is>
      </c>
      <c r="M2257" s="23" t="n">
        <v>10169.49</v>
      </c>
    </row>
    <row r="2258">
      <c r="A2258" s="19" t="inlineStr">
        <is>
          <t>FY27</t>
        </is>
      </c>
      <c r="B2258" s="19" t="inlineStr">
        <is>
          <t>Jun</t>
        </is>
      </c>
      <c r="C2258" s="19" t="inlineStr">
        <is>
          <t>TN</t>
        </is>
      </c>
      <c r="D2258" s="20" t="inlineStr">
        <is>
          <t>TN22DD7501</t>
        </is>
      </c>
      <c r="E2258" s="20" t="inlineStr">
        <is>
          <t>MARUTI SUZUKI</t>
        </is>
      </c>
      <c r="F2258" s="20" t="inlineStr">
        <is>
          <t>Wagon R</t>
        </is>
      </c>
      <c r="G2258" s="21" t="n">
        <v>2016</v>
      </c>
      <c r="H2258" s="22" t="n">
        <v>42074</v>
      </c>
      <c r="I2258" s="22" t="n">
        <v>290000</v>
      </c>
      <c r="J2258" s="20" t="inlineStr">
        <is>
          <t>Khivraj Motor</t>
        </is>
      </c>
      <c r="K2258" s="20" t="inlineStr">
        <is>
          <t>Non-Captive</t>
        </is>
      </c>
      <c r="L2258" s="20" t="inlineStr">
        <is>
          <t>New Citi Cars</t>
        </is>
      </c>
      <c r="M2258" s="23" t="n">
        <v>8474.58</v>
      </c>
    </row>
    <row r="2259">
      <c r="A2259" s="19" t="inlineStr">
        <is>
          <t>FY27</t>
        </is>
      </c>
      <c r="B2259" s="19" t="inlineStr">
        <is>
          <t>Jun</t>
        </is>
      </c>
      <c r="C2259" s="19" t="inlineStr">
        <is>
          <t>TN</t>
        </is>
      </c>
      <c r="D2259" s="20" t="inlineStr">
        <is>
          <t>TN20CR2194</t>
        </is>
      </c>
      <c r="E2259" s="20" t="inlineStr">
        <is>
          <t>MARUTI SUZUKI</t>
        </is>
      </c>
      <c r="F2259" s="20" t="inlineStr">
        <is>
          <t>Swift Dzire</t>
        </is>
      </c>
      <c r="G2259" s="21" t="n">
        <v>2019</v>
      </c>
      <c r="H2259" s="22" t="n">
        <v>66661</v>
      </c>
      <c r="I2259" s="22" t="n">
        <v>500000</v>
      </c>
      <c r="J2259" s="20" t="inlineStr">
        <is>
          <t>Castel Traders Honda</t>
        </is>
      </c>
      <c r="K2259" s="20" t="inlineStr">
        <is>
          <t>Non-Captive</t>
        </is>
      </c>
      <c r="L2259" s="20" t="inlineStr">
        <is>
          <t>Pine Autos</t>
        </is>
      </c>
      <c r="M2259" s="23" t="n">
        <v>7627.12</v>
      </c>
    </row>
    <row r="2260">
      <c r="A2260" s="19" t="inlineStr">
        <is>
          <t>FY27</t>
        </is>
      </c>
      <c r="B2260" s="19" t="inlineStr">
        <is>
          <t>Jun</t>
        </is>
      </c>
      <c r="C2260" s="19" t="inlineStr">
        <is>
          <t>TN</t>
        </is>
      </c>
      <c r="D2260" s="20" t="inlineStr">
        <is>
          <t>TN02BM1055</t>
        </is>
      </c>
      <c r="E2260" s="20" t="inlineStr">
        <is>
          <t>HONDA</t>
        </is>
      </c>
      <c r="F2260" s="20" t="inlineStr">
        <is>
          <t>Amaze</t>
        </is>
      </c>
      <c r="G2260" s="21" t="n">
        <v>2018</v>
      </c>
      <c r="H2260" s="22" t="n">
        <v>31259</v>
      </c>
      <c r="I2260" s="22" t="n">
        <v>481000</v>
      </c>
      <c r="J2260" s="20" t="inlineStr">
        <is>
          <t>Castel Traders Honda</t>
        </is>
      </c>
      <c r="K2260" s="20" t="inlineStr">
        <is>
          <t>Non-Captive</t>
        </is>
      </c>
      <c r="L2260" s="20" t="inlineStr">
        <is>
          <t>Pine Autos</t>
        </is>
      </c>
      <c r="M2260" s="23" t="n">
        <v>7627.12</v>
      </c>
    </row>
    <row r="2261">
      <c r="A2261" s="19" t="inlineStr">
        <is>
          <t>FY27</t>
        </is>
      </c>
      <c r="B2261" s="19" t="inlineStr">
        <is>
          <t>Jun</t>
        </is>
      </c>
      <c r="C2261" s="19" t="inlineStr">
        <is>
          <t>TN</t>
        </is>
      </c>
      <c r="D2261" s="20" t="inlineStr">
        <is>
          <t>TN10AS3468</t>
        </is>
      </c>
      <c r="E2261" s="20" t="inlineStr">
        <is>
          <t>HONDA</t>
        </is>
      </c>
      <c r="F2261" s="20" t="inlineStr">
        <is>
          <t>Amaze</t>
        </is>
      </c>
      <c r="G2261" s="21" t="n">
        <v>2015</v>
      </c>
      <c r="H2261" s="22" t="n">
        <v>54328</v>
      </c>
      <c r="I2261" s="22" t="n">
        <v>274000</v>
      </c>
      <c r="J2261" s="20" t="inlineStr">
        <is>
          <t>Castel Traders Honda</t>
        </is>
      </c>
      <c r="K2261" s="20" t="inlineStr">
        <is>
          <t>Non-Captive</t>
        </is>
      </c>
      <c r="L2261" s="20" t="inlineStr">
        <is>
          <t>Aasim Motor</t>
        </is>
      </c>
      <c r="M2261" s="23" t="n">
        <v>6355.93</v>
      </c>
    </row>
    <row r="2262">
      <c r="A2262" s="19" t="inlineStr">
        <is>
          <t>FY27</t>
        </is>
      </c>
      <c r="B2262" s="19" t="inlineStr">
        <is>
          <t>Jun</t>
        </is>
      </c>
      <c r="C2262" s="19" t="inlineStr">
        <is>
          <t>TN</t>
        </is>
      </c>
      <c r="D2262" s="20" t="inlineStr">
        <is>
          <t>TN06U6987</t>
        </is>
      </c>
      <c r="E2262" s="20" t="inlineStr">
        <is>
          <t>MARUTI SUZUKI</t>
        </is>
      </c>
      <c r="F2262" s="20" t="inlineStr">
        <is>
          <t>Celerio</t>
        </is>
      </c>
      <c r="G2262" s="21" t="n">
        <v>2017</v>
      </c>
      <c r="H2262" s="22" t="n">
        <v>30196</v>
      </c>
      <c r="I2262" s="22" t="n">
        <v>280000</v>
      </c>
      <c r="J2262" s="20" t="inlineStr">
        <is>
          <t>Khivraj Motor</t>
        </is>
      </c>
      <c r="K2262" s="20" t="inlineStr">
        <is>
          <t>Non-Captive</t>
        </is>
      </c>
      <c r="L2262" s="20" t="inlineStr">
        <is>
          <t>Ramalingam Cars</t>
        </is>
      </c>
      <c r="M2262" s="23" t="n">
        <v>6355.93</v>
      </c>
    </row>
    <row r="2263">
      <c r="A2263" s="19" t="inlineStr">
        <is>
          <t>FY27</t>
        </is>
      </c>
      <c r="B2263" s="19" t="inlineStr">
        <is>
          <t>Jun</t>
        </is>
      </c>
      <c r="C2263" s="19" t="inlineStr">
        <is>
          <t>TN</t>
        </is>
      </c>
      <c r="D2263" s="20" t="inlineStr">
        <is>
          <t>TN06AJ7130</t>
        </is>
      </c>
      <c r="E2263" s="20" t="inlineStr">
        <is>
          <t>HYUNDAI</t>
        </is>
      </c>
      <c r="F2263" s="20" t="inlineStr">
        <is>
          <t>I20</t>
        </is>
      </c>
      <c r="G2263" s="21" t="n">
        <v>2025</v>
      </c>
      <c r="H2263" s="22" t="n">
        <v>5220</v>
      </c>
      <c r="I2263" s="22" t="n">
        <v>720000</v>
      </c>
      <c r="J2263" s="20" t="inlineStr">
        <is>
          <t>Khivraj Motor</t>
        </is>
      </c>
      <c r="K2263" s="20" t="inlineStr">
        <is>
          <t>Non-Captive</t>
        </is>
      </c>
      <c r="L2263" s="20" t="inlineStr">
        <is>
          <t>TSM</t>
        </is>
      </c>
      <c r="M2263" s="23" t="n">
        <v>10169.49</v>
      </c>
    </row>
    <row r="2264">
      <c r="A2264" s="19" t="inlineStr">
        <is>
          <t>FY27</t>
        </is>
      </c>
      <c r="B2264" s="19" t="inlineStr">
        <is>
          <t>Jun</t>
        </is>
      </c>
      <c r="C2264" s="19" t="inlineStr">
        <is>
          <t>TN</t>
        </is>
      </c>
      <c r="D2264" s="20" t="inlineStr">
        <is>
          <t>TN59CB8223</t>
        </is>
      </c>
      <c r="E2264" s="20" t="inlineStr">
        <is>
          <t>DATSUN</t>
        </is>
      </c>
      <c r="F2264" s="20" t="inlineStr">
        <is>
          <t>Redi-Go</t>
        </is>
      </c>
      <c r="G2264" s="21" t="n">
        <v>2018</v>
      </c>
      <c r="H2264" s="22" t="n">
        <v>48750</v>
      </c>
      <c r="I2264" s="22" t="n">
        <v>75000</v>
      </c>
      <c r="J2264" s="20" t="inlineStr">
        <is>
          <t>EXCHANGE ROTN</t>
        </is>
      </c>
      <c r="K2264" s="20" t="inlineStr">
        <is>
          <t>Captive</t>
        </is>
      </c>
      <c r="L2264" s="20" t="inlineStr">
        <is>
          <t>Rajaganapathy</t>
        </is>
      </c>
      <c r="M2264" s="23" t="n">
        <v>4237.29</v>
      </c>
    </row>
    <row r="2265">
      <c r="A2265" s="19" t="inlineStr">
        <is>
          <t>FY27</t>
        </is>
      </c>
      <c r="B2265" s="19" t="inlineStr">
        <is>
          <t>Jun</t>
        </is>
      </c>
      <c r="C2265" s="19" t="inlineStr">
        <is>
          <t>TN</t>
        </is>
      </c>
      <c r="D2265" s="20" t="inlineStr">
        <is>
          <t>TN58AM7446</t>
        </is>
      </c>
      <c r="E2265" s="20" t="inlineStr">
        <is>
          <t>DATSUN</t>
        </is>
      </c>
      <c r="F2265" s="20" t="inlineStr">
        <is>
          <t>Redi-Go</t>
        </is>
      </c>
      <c r="G2265" s="21" t="n">
        <v>2018</v>
      </c>
      <c r="H2265" s="22" t="n">
        <v>48750</v>
      </c>
      <c r="I2265" s="22" t="n">
        <v>96000</v>
      </c>
      <c r="J2265" s="20" t="inlineStr">
        <is>
          <t>EXCHANGE ROTN</t>
        </is>
      </c>
      <c r="K2265" s="20" t="inlineStr">
        <is>
          <t>Captive</t>
        </is>
      </c>
      <c r="L2265" s="20" t="inlineStr">
        <is>
          <t>Rajaganapathy</t>
        </is>
      </c>
      <c r="M2265" s="23" t="n">
        <v>4237.29</v>
      </c>
    </row>
    <row r="2266">
      <c r="A2266" s="19" t="inlineStr">
        <is>
          <t>FY27</t>
        </is>
      </c>
      <c r="B2266" s="19" t="inlineStr">
        <is>
          <t>Jun</t>
        </is>
      </c>
      <c r="C2266" s="19" t="inlineStr">
        <is>
          <t>TN</t>
        </is>
      </c>
      <c r="D2266" s="20" t="inlineStr">
        <is>
          <t>TN58P4834</t>
        </is>
      </c>
      <c r="E2266" s="20" t="inlineStr">
        <is>
          <t>MARUTI SUZUKI</t>
        </is>
      </c>
      <c r="F2266" s="20" t="inlineStr">
        <is>
          <t>Alto</t>
        </is>
      </c>
      <c r="G2266" s="21" t="n">
        <v>2006</v>
      </c>
      <c r="H2266" s="22" t="n">
        <v>79986</v>
      </c>
      <c r="I2266" s="22" t="n">
        <v>81000</v>
      </c>
      <c r="J2266" s="20" t="inlineStr">
        <is>
          <t>EXCHANGE ROTN</t>
        </is>
      </c>
      <c r="K2266" s="20" t="inlineStr">
        <is>
          <t>Captive</t>
        </is>
      </c>
      <c r="L2266" s="20" t="inlineStr">
        <is>
          <t>Rajaganapathy</t>
        </is>
      </c>
      <c r="M2266" s="23" t="n">
        <v>4237.29</v>
      </c>
    </row>
    <row r="2267">
      <c r="A2267" s="19" t="inlineStr">
        <is>
          <t>FY27</t>
        </is>
      </c>
      <c r="B2267" s="19" t="inlineStr">
        <is>
          <t>Jun</t>
        </is>
      </c>
      <c r="C2267" s="19" t="inlineStr">
        <is>
          <t>TN</t>
        </is>
      </c>
      <c r="D2267" s="20" t="inlineStr">
        <is>
          <t>TN10Q2847</t>
        </is>
      </c>
      <c r="E2267" s="20" t="inlineStr">
        <is>
          <t>MARUTI SUZUKI</t>
        </is>
      </c>
      <c r="F2267" s="20" t="inlineStr">
        <is>
          <t>Alto</t>
        </is>
      </c>
      <c r="G2267" s="21" t="n">
        <v>2006</v>
      </c>
      <c r="H2267" s="22" t="n">
        <v>110000</v>
      </c>
      <c r="I2267" s="22" t="n">
        <v>77000</v>
      </c>
      <c r="J2267" s="20" t="inlineStr">
        <is>
          <t>EXCHANGE ROTN</t>
        </is>
      </c>
      <c r="K2267" s="20" t="inlineStr">
        <is>
          <t>Captive</t>
        </is>
      </c>
      <c r="L2267" s="20" t="inlineStr">
        <is>
          <t>Rajaganapathy</t>
        </is>
      </c>
      <c r="M2267" s="23" t="n">
        <v>4237.29</v>
      </c>
    </row>
    <row r="2268">
      <c r="A2268" s="19" t="inlineStr">
        <is>
          <t>FY27</t>
        </is>
      </c>
      <c r="B2268" s="19" t="inlineStr">
        <is>
          <t>Jun</t>
        </is>
      </c>
      <c r="C2268" s="19" t="inlineStr">
        <is>
          <t>TN</t>
        </is>
      </c>
      <c r="D2268" s="20" t="inlineStr">
        <is>
          <t>TN63AZ0868</t>
        </is>
      </c>
      <c r="E2268" s="20" t="inlineStr">
        <is>
          <t>CHEVROLET</t>
        </is>
      </c>
      <c r="F2268" s="20" t="inlineStr">
        <is>
          <t>Spark</t>
        </is>
      </c>
      <c r="G2268" s="21" t="n">
        <v>2011</v>
      </c>
      <c r="H2268" s="22" t="n">
        <v>63805</v>
      </c>
      <c r="I2268" s="22" t="n">
        <v>48000</v>
      </c>
      <c r="J2268" s="20" t="inlineStr">
        <is>
          <t>EXCHANGE ROTN</t>
        </is>
      </c>
      <c r="K2268" s="20" t="inlineStr">
        <is>
          <t>Captive</t>
        </is>
      </c>
      <c r="L2268" s="20" t="inlineStr">
        <is>
          <t>Rajaganapathy</t>
        </is>
      </c>
      <c r="M2268" s="23" t="n">
        <v>4237.29</v>
      </c>
    </row>
    <row r="2269">
      <c r="A2269" s="19" t="inlineStr">
        <is>
          <t>FY27</t>
        </is>
      </c>
      <c r="B2269" s="19" t="inlineStr">
        <is>
          <t>Jun</t>
        </is>
      </c>
      <c r="C2269" s="19" t="inlineStr">
        <is>
          <t>TN</t>
        </is>
      </c>
      <c r="D2269" s="20" t="inlineStr">
        <is>
          <t>TN74R8444</t>
        </is>
      </c>
      <c r="E2269" s="20" t="inlineStr">
        <is>
          <t>CHEVROLET</t>
        </is>
      </c>
      <c r="F2269" s="20" t="inlineStr">
        <is>
          <t>Beat</t>
        </is>
      </c>
      <c r="G2269" s="21" t="n">
        <v>2010</v>
      </c>
      <c r="H2269" s="22" t="n">
        <v>77602</v>
      </c>
      <c r="I2269" s="22" t="n">
        <v>94000</v>
      </c>
      <c r="J2269" s="20" t="inlineStr">
        <is>
          <t>EXCHANGE ROTN</t>
        </is>
      </c>
      <c r="K2269" s="20" t="inlineStr">
        <is>
          <t>Captive</t>
        </is>
      </c>
      <c r="L2269" s="20" t="inlineStr">
        <is>
          <t>Rajaganapathy</t>
        </is>
      </c>
      <c r="M2269" s="23" t="n">
        <v>4237.29</v>
      </c>
    </row>
    <row r="2270">
      <c r="A2270" s="19" t="inlineStr">
        <is>
          <t>FY27</t>
        </is>
      </c>
      <c r="B2270" s="19" t="inlineStr">
        <is>
          <t>Jun</t>
        </is>
      </c>
      <c r="C2270" s="19" t="inlineStr">
        <is>
          <t>TN</t>
        </is>
      </c>
      <c r="D2270" s="20" t="inlineStr">
        <is>
          <t>TN03B8555</t>
        </is>
      </c>
      <c r="E2270" s="20" t="inlineStr">
        <is>
          <t>MAHINDRA</t>
        </is>
      </c>
      <c r="F2270" s="20" t="inlineStr">
        <is>
          <t>Xylo</t>
        </is>
      </c>
      <c r="G2270" s="21" t="n">
        <v>2009</v>
      </c>
      <c r="H2270" s="22" t="n">
        <v>178073</v>
      </c>
      <c r="I2270" s="22" t="n">
        <v>98000</v>
      </c>
      <c r="J2270" s="20" t="inlineStr">
        <is>
          <t>EXCHANGE ROTN</t>
        </is>
      </c>
      <c r="K2270" s="20" t="inlineStr">
        <is>
          <t>Captive</t>
        </is>
      </c>
      <c r="L2270" s="20" t="inlineStr">
        <is>
          <t>Rajaganapathy</t>
        </is>
      </c>
      <c r="M2270" s="23" t="n">
        <v>4237.29</v>
      </c>
    </row>
    <row r="2271">
      <c r="A2271" s="19" t="inlineStr">
        <is>
          <t>FY27</t>
        </is>
      </c>
      <c r="B2271" s="19" t="inlineStr">
        <is>
          <t>Jun</t>
        </is>
      </c>
      <c r="C2271" s="19" t="inlineStr">
        <is>
          <t>TN</t>
        </is>
      </c>
      <c r="D2271" s="20" t="inlineStr">
        <is>
          <t>TN37CK3390</t>
        </is>
      </c>
      <c r="E2271" s="20" t="inlineStr">
        <is>
          <t>FIAT</t>
        </is>
      </c>
      <c r="F2271" s="20" t="inlineStr">
        <is>
          <t>Linea</t>
        </is>
      </c>
      <c r="G2271" s="21" t="n">
        <v>2014</v>
      </c>
      <c r="H2271" s="22" t="n">
        <v>101375</v>
      </c>
      <c r="I2271" s="22" t="n">
        <v>70000</v>
      </c>
      <c r="J2271" s="20" t="inlineStr">
        <is>
          <t>EXCHANGE ROTN</t>
        </is>
      </c>
      <c r="K2271" s="20" t="inlineStr">
        <is>
          <t>Captive</t>
        </is>
      </c>
      <c r="L2271" s="20" t="inlineStr">
        <is>
          <t>Sai Cars</t>
        </is>
      </c>
      <c r="M2271" s="23" t="n">
        <v>4237.29</v>
      </c>
    </row>
    <row r="2272">
      <c r="A2272" s="19" t="inlineStr">
        <is>
          <t>FY27</t>
        </is>
      </c>
      <c r="B2272" s="19" t="inlineStr">
        <is>
          <t>Jun</t>
        </is>
      </c>
      <c r="C2272" s="19" t="inlineStr">
        <is>
          <t>TN</t>
        </is>
      </c>
      <c r="D2272" s="20" t="inlineStr">
        <is>
          <t>TN24AL1770</t>
        </is>
      </c>
      <c r="E2272" s="20" t="inlineStr">
        <is>
          <t>DATSUN</t>
        </is>
      </c>
      <c r="F2272" s="20" t="inlineStr">
        <is>
          <t>Redi-Go</t>
        </is>
      </c>
      <c r="G2272" s="21" t="n">
        <v>2017</v>
      </c>
      <c r="H2272" s="22" t="n">
        <v>58692</v>
      </c>
      <c r="I2272" s="22" t="n">
        <v>93000</v>
      </c>
      <c r="J2272" s="20" t="inlineStr">
        <is>
          <t>EXCHANGE ROTN</t>
        </is>
      </c>
      <c r="K2272" s="20" t="inlineStr">
        <is>
          <t>Captive</t>
        </is>
      </c>
      <c r="L2272" s="20" t="inlineStr">
        <is>
          <t>Sai Cars</t>
        </is>
      </c>
      <c r="M2272" s="23" t="n">
        <v>4237.29</v>
      </c>
    </row>
    <row r="2273">
      <c r="A2273" s="19" t="inlineStr">
        <is>
          <t>FY27</t>
        </is>
      </c>
      <c r="B2273" s="19" t="inlineStr">
        <is>
          <t>Jun</t>
        </is>
      </c>
      <c r="C2273" s="19" t="inlineStr">
        <is>
          <t>TN</t>
        </is>
      </c>
      <c r="D2273" s="20" t="inlineStr">
        <is>
          <t>TN38AK7818</t>
        </is>
      </c>
      <c r="E2273" s="20" t="inlineStr">
        <is>
          <t>HYUNDAI</t>
        </is>
      </c>
      <c r="F2273" s="20" t="inlineStr">
        <is>
          <t>Santro</t>
        </is>
      </c>
      <c r="G2273" s="21" t="n">
        <v>2007</v>
      </c>
      <c r="H2273" s="22" t="n">
        <v>133585</v>
      </c>
      <c r="I2273" s="22" t="n">
        <v>72000</v>
      </c>
      <c r="J2273" s="20" t="inlineStr">
        <is>
          <t>EXCHANGE ROTN</t>
        </is>
      </c>
      <c r="K2273" s="20" t="inlineStr">
        <is>
          <t>Captive</t>
        </is>
      </c>
      <c r="L2273" s="20" t="inlineStr">
        <is>
          <t>Sai Cars</t>
        </is>
      </c>
      <c r="M2273" s="23" t="n">
        <v>4237.29</v>
      </c>
    </row>
    <row r="2274">
      <c r="A2274" s="19" t="inlineStr">
        <is>
          <t>FY27</t>
        </is>
      </c>
      <c r="B2274" s="19" t="inlineStr">
        <is>
          <t>Jun</t>
        </is>
      </c>
      <c r="C2274" s="19" t="inlineStr">
        <is>
          <t>TN</t>
        </is>
      </c>
      <c r="D2274" s="20" t="inlineStr">
        <is>
          <t>TN66H0411</t>
        </is>
      </c>
      <c r="E2274" s="20" t="inlineStr">
        <is>
          <t>TATA</t>
        </is>
      </c>
      <c r="F2274" s="20" t="inlineStr">
        <is>
          <t>Nano</t>
        </is>
      </c>
      <c r="G2274" s="21" t="n">
        <v>2012</v>
      </c>
      <c r="H2274" s="22" t="n">
        <v>27934</v>
      </c>
      <c r="I2274" s="22" t="n">
        <v>40000</v>
      </c>
      <c r="J2274" s="20" t="inlineStr">
        <is>
          <t>EXCHANGE ROTN</t>
        </is>
      </c>
      <c r="K2274" s="20" t="inlineStr">
        <is>
          <t>Captive</t>
        </is>
      </c>
      <c r="L2274" s="20" t="inlineStr">
        <is>
          <t>Sai Cars</t>
        </is>
      </c>
      <c r="M2274" s="23" t="n">
        <v>4237.29</v>
      </c>
    </row>
    <row r="2275">
      <c r="A2275" s="19" t="inlineStr">
        <is>
          <t>FY27</t>
        </is>
      </c>
      <c r="B2275" s="19" t="inlineStr">
        <is>
          <t>Jun</t>
        </is>
      </c>
      <c r="C2275" s="19" t="inlineStr">
        <is>
          <t>TN</t>
        </is>
      </c>
      <c r="D2275" s="20" t="inlineStr">
        <is>
          <t>TN37BF3435</t>
        </is>
      </c>
      <c r="E2275" s="20" t="inlineStr">
        <is>
          <t>CHEVROLET</t>
        </is>
      </c>
      <c r="F2275" s="20" t="inlineStr">
        <is>
          <t>Spark</t>
        </is>
      </c>
      <c r="G2275" s="21" t="n">
        <v>2009</v>
      </c>
      <c r="H2275" s="22" t="n">
        <v>294800</v>
      </c>
      <c r="I2275" s="22" t="n">
        <v>46000</v>
      </c>
      <c r="J2275" s="20" t="inlineStr">
        <is>
          <t>EXCHANGE ROTN</t>
        </is>
      </c>
      <c r="K2275" s="20" t="inlineStr">
        <is>
          <t>Captive</t>
        </is>
      </c>
      <c r="L2275" s="20" t="inlineStr">
        <is>
          <t>Sai Cars</t>
        </is>
      </c>
      <c r="M2275" s="23" t="n">
        <v>4237.29</v>
      </c>
    </row>
    <row r="2276">
      <c r="A2276" s="19" t="inlineStr">
        <is>
          <t>FY27</t>
        </is>
      </c>
      <c r="B2276" s="19" t="inlineStr">
        <is>
          <t>Jun</t>
        </is>
      </c>
      <c r="C2276" s="19" t="inlineStr">
        <is>
          <t>TN</t>
        </is>
      </c>
      <c r="D2276" s="20" t="inlineStr">
        <is>
          <t>TN37BZ9033</t>
        </is>
      </c>
      <c r="E2276" s="20" t="inlineStr">
        <is>
          <t>HYUNDAI</t>
        </is>
      </c>
      <c r="F2276" s="20" t="inlineStr">
        <is>
          <t>I10</t>
        </is>
      </c>
      <c r="G2276" s="21" t="n">
        <v>2012</v>
      </c>
      <c r="H2276" s="22" t="n">
        <v>100870</v>
      </c>
      <c r="I2276" s="22" t="n">
        <v>86000</v>
      </c>
      <c r="J2276" s="20" t="inlineStr">
        <is>
          <t>EXCHANGE ROTN</t>
        </is>
      </c>
      <c r="K2276" s="20" t="inlineStr">
        <is>
          <t>Captive</t>
        </is>
      </c>
      <c r="L2276" s="20" t="inlineStr">
        <is>
          <t>Sai Cars</t>
        </is>
      </c>
      <c r="M2276" s="23" t="n">
        <v>4237.29</v>
      </c>
    </row>
    <row r="2277">
      <c r="A2277" s="19" t="inlineStr">
        <is>
          <t>FY27</t>
        </is>
      </c>
      <c r="B2277" s="19" t="inlineStr">
        <is>
          <t>Jun</t>
        </is>
      </c>
      <c r="C2277" s="19" t="inlineStr">
        <is>
          <t>TN</t>
        </is>
      </c>
      <c r="D2277" s="20" t="inlineStr">
        <is>
          <t>TN38T5577</t>
        </is>
      </c>
      <c r="E2277" s="20" t="inlineStr">
        <is>
          <t>HONDA</t>
        </is>
      </c>
      <c r="F2277" s="20" t="inlineStr">
        <is>
          <t>City</t>
        </is>
      </c>
      <c r="G2277" s="21" t="n">
        <v>2003</v>
      </c>
      <c r="H2277" s="22" t="n">
        <v>176666</v>
      </c>
      <c r="I2277" s="22" t="n">
        <v>60000</v>
      </c>
      <c r="J2277" s="20" t="inlineStr">
        <is>
          <t>EXCHANGE ROTN</t>
        </is>
      </c>
      <c r="K2277" s="20" t="inlineStr">
        <is>
          <t>Captive</t>
        </is>
      </c>
      <c r="L2277" s="20" t="inlineStr">
        <is>
          <t>Sai Cars</t>
        </is>
      </c>
      <c r="M2277" s="23" t="n">
        <v>4237.29</v>
      </c>
    </row>
    <row r="2278">
      <c r="A2278" s="19" t="inlineStr">
        <is>
          <t>FY27</t>
        </is>
      </c>
      <c r="B2278" s="19" t="inlineStr">
        <is>
          <t>Jun</t>
        </is>
      </c>
      <c r="C2278" s="19" t="inlineStr">
        <is>
          <t>TN</t>
        </is>
      </c>
      <c r="D2278" s="20" t="inlineStr">
        <is>
          <t>TN30M3454</t>
        </is>
      </c>
      <c r="E2278" s="20" t="inlineStr">
        <is>
          <t>MARUTI SUZUKI</t>
        </is>
      </c>
      <c r="F2278" s="20" t="inlineStr">
        <is>
          <t>Swift</t>
        </is>
      </c>
      <c r="G2278" s="21" t="n">
        <v>2006</v>
      </c>
      <c r="H2278" s="22" t="n">
        <v>105748</v>
      </c>
      <c r="I2278" s="22" t="n">
        <v>97000</v>
      </c>
      <c r="J2278" s="20" t="inlineStr">
        <is>
          <t>EXCHANGE ROTN</t>
        </is>
      </c>
      <c r="K2278" s="20" t="inlineStr">
        <is>
          <t>Captive</t>
        </is>
      </c>
      <c r="L2278" s="20" t="inlineStr">
        <is>
          <t>Sai Cars</t>
        </is>
      </c>
      <c r="M2278" s="23" t="n">
        <v>4237.29</v>
      </c>
    </row>
    <row r="2279">
      <c r="A2279" s="19" t="inlineStr">
        <is>
          <t>FY27</t>
        </is>
      </c>
      <c r="B2279" s="19" t="inlineStr">
        <is>
          <t>Jun</t>
        </is>
      </c>
      <c r="C2279" s="19" t="inlineStr">
        <is>
          <t>TN</t>
        </is>
      </c>
      <c r="D2279" s="20" t="inlineStr">
        <is>
          <t>TN37BU1035</t>
        </is>
      </c>
      <c r="E2279" s="20" t="inlineStr">
        <is>
          <t>TATA</t>
        </is>
      </c>
      <c r="F2279" s="20" t="inlineStr">
        <is>
          <t>Aria</t>
        </is>
      </c>
      <c r="G2279" s="21" t="n">
        <v>2011</v>
      </c>
      <c r="H2279" s="22" t="n">
        <v>160259</v>
      </c>
      <c r="I2279" s="22" t="n">
        <v>97000</v>
      </c>
      <c r="J2279" s="20" t="inlineStr">
        <is>
          <t>EXCHANGE ROTN</t>
        </is>
      </c>
      <c r="K2279" s="20" t="inlineStr">
        <is>
          <t>Captive</t>
        </is>
      </c>
      <c r="L2279" s="20" t="inlineStr">
        <is>
          <t>Sai Cars</t>
        </is>
      </c>
      <c r="M2279" s="23" t="n">
        <v>4237.29</v>
      </c>
    </row>
    <row r="2280">
      <c r="A2280" s="19" t="inlineStr">
        <is>
          <t>FY27</t>
        </is>
      </c>
      <c r="B2280" s="19" t="inlineStr">
        <is>
          <t>Jun</t>
        </is>
      </c>
      <c r="C2280" s="19" t="inlineStr">
        <is>
          <t>TN</t>
        </is>
      </c>
      <c r="D2280" s="20" t="inlineStr">
        <is>
          <t>TN57K7661</t>
        </is>
      </c>
      <c r="E2280" s="20" t="inlineStr">
        <is>
          <t>MARUTI SUZUKI</t>
        </is>
      </c>
      <c r="F2280" s="20" t="inlineStr">
        <is>
          <t>Swift</t>
        </is>
      </c>
      <c r="G2280" s="21" t="n">
        <v>2006</v>
      </c>
      <c r="H2280" s="22" t="n">
        <v>87777</v>
      </c>
      <c r="I2280" s="22" t="n">
        <v>95000</v>
      </c>
      <c r="J2280" s="20" t="inlineStr">
        <is>
          <t>EXCHANGE ROTN</t>
        </is>
      </c>
      <c r="K2280" s="20" t="inlineStr">
        <is>
          <t>Captive</t>
        </is>
      </c>
      <c r="L2280" s="20" t="inlineStr">
        <is>
          <t>Sai Cars</t>
        </is>
      </c>
      <c r="M2280" s="23" t="n">
        <v>4237.29</v>
      </c>
    </row>
    <row r="2281">
      <c r="A2281" s="19" t="inlineStr">
        <is>
          <t>FY27</t>
        </is>
      </c>
      <c r="B2281" s="19" t="inlineStr">
        <is>
          <t>Jun</t>
        </is>
      </c>
      <c r="C2281" s="19" t="inlineStr">
        <is>
          <t>TN</t>
        </is>
      </c>
      <c r="D2281" s="20" t="inlineStr">
        <is>
          <t>TN10X0515</t>
        </is>
      </c>
      <c r="E2281" s="20" t="inlineStr">
        <is>
          <t>MARUTI SUZUKI</t>
        </is>
      </c>
      <c r="F2281" s="20" t="inlineStr">
        <is>
          <t>Alto 800</t>
        </is>
      </c>
      <c r="G2281" s="21" t="n">
        <v>2008</v>
      </c>
      <c r="H2281" s="22" t="n">
        <v>61707</v>
      </c>
      <c r="I2281" s="22" t="n">
        <v>55000</v>
      </c>
      <c r="J2281" s="20" t="inlineStr">
        <is>
          <t>EXCHANGE ROTN</t>
        </is>
      </c>
      <c r="K2281" s="20" t="inlineStr">
        <is>
          <t>Captive</t>
        </is>
      </c>
      <c r="L2281" s="20" t="inlineStr">
        <is>
          <t>Sai Cars</t>
        </is>
      </c>
      <c r="M2281" s="23" t="n">
        <v>4237.29</v>
      </c>
    </row>
    <row r="2282">
      <c r="A2282" s="19" t="inlineStr">
        <is>
          <t>FY27</t>
        </is>
      </c>
      <c r="B2282" s="19" t="inlineStr">
        <is>
          <t>Jun</t>
        </is>
      </c>
      <c r="C2282" s="19" t="inlineStr">
        <is>
          <t>TN</t>
        </is>
      </c>
      <c r="D2282" s="20" t="inlineStr">
        <is>
          <t>TN37BH5388</t>
        </is>
      </c>
      <c r="E2282" s="20" t="inlineStr">
        <is>
          <t>MARUTI SUZUKI</t>
        </is>
      </c>
      <c r="F2282" s="20" t="inlineStr">
        <is>
          <t>Alto 800</t>
        </is>
      </c>
      <c r="G2282" s="21" t="n">
        <v>2010</v>
      </c>
      <c r="H2282" s="22" t="n">
        <v>85553</v>
      </c>
      <c r="I2282" s="22" t="n">
        <v>72000</v>
      </c>
      <c r="J2282" s="20" t="inlineStr">
        <is>
          <t>EXCHANGE ROTN</t>
        </is>
      </c>
      <c r="K2282" s="20" t="inlineStr">
        <is>
          <t>Captive</t>
        </is>
      </c>
      <c r="L2282" s="20" t="inlineStr">
        <is>
          <t>Sai Cars</t>
        </is>
      </c>
      <c r="M2282" s="23" t="n">
        <v>4237.29</v>
      </c>
    </row>
    <row r="2283">
      <c r="A2283" s="19" t="inlineStr">
        <is>
          <t>FY27</t>
        </is>
      </c>
      <c r="B2283" s="19" t="inlineStr">
        <is>
          <t>Jun</t>
        </is>
      </c>
      <c r="C2283" s="19" t="inlineStr">
        <is>
          <t>TN</t>
        </is>
      </c>
      <c r="D2283" s="20" t="inlineStr">
        <is>
          <t>TN38AU1119</t>
        </is>
      </c>
      <c r="E2283" s="20" t="inlineStr">
        <is>
          <t>MARUTI SUZUKI</t>
        </is>
      </c>
      <c r="F2283" s="20" t="inlineStr">
        <is>
          <t>Alto</t>
        </is>
      </c>
      <c r="G2283" s="21" t="n">
        <v>2008</v>
      </c>
      <c r="H2283" s="22" t="n">
        <v>46434</v>
      </c>
      <c r="I2283" s="22" t="n">
        <v>82000</v>
      </c>
      <c r="J2283" s="20" t="inlineStr">
        <is>
          <t>EXCHANGE ROTN</t>
        </is>
      </c>
      <c r="K2283" s="20" t="inlineStr">
        <is>
          <t>Captive</t>
        </is>
      </c>
      <c r="L2283" s="20" t="inlineStr">
        <is>
          <t>Sai Cars</t>
        </is>
      </c>
      <c r="M2283" s="23" t="n">
        <v>4237.29</v>
      </c>
    </row>
    <row r="2284">
      <c r="A2284" s="19" t="inlineStr">
        <is>
          <t>FY27</t>
        </is>
      </c>
      <c r="B2284" s="19" t="inlineStr">
        <is>
          <t>Jun</t>
        </is>
      </c>
      <c r="C2284" s="19" t="inlineStr">
        <is>
          <t>TN</t>
        </is>
      </c>
      <c r="D2284" s="20" t="inlineStr">
        <is>
          <t>TN19AQ7396</t>
        </is>
      </c>
      <c r="E2284" s="20" t="inlineStr">
        <is>
          <t>HONDA</t>
        </is>
      </c>
      <c r="F2284" s="20" t="inlineStr">
        <is>
          <t>Amaze</t>
        </is>
      </c>
      <c r="G2284" s="21" t="n">
        <v>2021</v>
      </c>
      <c r="H2284" s="22" t="n">
        <v>73395</v>
      </c>
      <c r="I2284" s="22" t="n">
        <v>500000</v>
      </c>
      <c r="J2284" s="20" t="inlineStr">
        <is>
          <t>EXCHANGE CHENNAI</t>
        </is>
      </c>
      <c r="K2284" s="20" t="inlineStr">
        <is>
          <t>Captive</t>
        </is>
      </c>
      <c r="L2284" s="20" t="inlineStr">
        <is>
          <t>Lanson</t>
        </is>
      </c>
      <c r="M2284" s="23" t="n">
        <v>8474.58</v>
      </c>
    </row>
    <row r="2285">
      <c r="A2285" s="19" t="inlineStr">
        <is>
          <t>FY27</t>
        </is>
      </c>
      <c r="B2285" s="19" t="inlineStr">
        <is>
          <t>Jun</t>
        </is>
      </c>
      <c r="C2285" s="19" t="inlineStr">
        <is>
          <t>TN</t>
        </is>
      </c>
      <c r="D2285" s="20" t="inlineStr">
        <is>
          <t>TN22CV8416</t>
        </is>
      </c>
      <c r="E2285" s="20" t="inlineStr">
        <is>
          <t>HYUNDAI</t>
        </is>
      </c>
      <c r="F2285" s="20" t="inlineStr">
        <is>
          <t>I10</t>
        </is>
      </c>
      <c r="G2285" s="21" t="n">
        <v>2012</v>
      </c>
      <c r="H2285" s="22" t="n">
        <v>51591</v>
      </c>
      <c r="I2285" s="22" t="n">
        <v>150000</v>
      </c>
      <c r="J2285" s="20" t="inlineStr">
        <is>
          <t>EXCHANGE CHENNAI</t>
        </is>
      </c>
      <c r="K2285" s="20" t="inlineStr">
        <is>
          <t>Captive</t>
        </is>
      </c>
      <c r="L2285" s="20" t="inlineStr">
        <is>
          <t>S2 Cars</t>
        </is>
      </c>
      <c r="M2285" s="23" t="n">
        <v>8474.58</v>
      </c>
    </row>
    <row r="2286">
      <c r="A2286" s="19" t="inlineStr">
        <is>
          <t>FY27</t>
        </is>
      </c>
      <c r="B2286" s="19" t="inlineStr">
        <is>
          <t>Jun</t>
        </is>
      </c>
      <c r="C2286" s="19" t="inlineStr">
        <is>
          <t>TN</t>
        </is>
      </c>
      <c r="D2286" s="20" t="inlineStr">
        <is>
          <t>TN06Y8511</t>
        </is>
      </c>
      <c r="E2286" s="20" t="inlineStr">
        <is>
          <t>HONDA</t>
        </is>
      </c>
      <c r="F2286" s="20" t="inlineStr">
        <is>
          <t>City</t>
        </is>
      </c>
      <c r="G2286" s="21" t="n">
        <v>2019</v>
      </c>
      <c r="H2286" s="22" t="n">
        <v>40694</v>
      </c>
      <c r="I2286" s="22" t="n">
        <v>700000</v>
      </c>
      <c r="J2286" s="20" t="inlineStr">
        <is>
          <t>EXCHANGE CHENNAI</t>
        </is>
      </c>
      <c r="K2286" s="20" t="inlineStr">
        <is>
          <t>Captive</t>
        </is>
      </c>
      <c r="L2286" s="20" t="inlineStr">
        <is>
          <t>TSM</t>
        </is>
      </c>
      <c r="M2286" s="23" t="n">
        <v>8474.58</v>
      </c>
    </row>
    <row r="2287">
      <c r="A2287" s="19" t="inlineStr">
        <is>
          <t>FY27</t>
        </is>
      </c>
      <c r="B2287" s="19" t="inlineStr">
        <is>
          <t>Jun</t>
        </is>
      </c>
      <c r="C2287" s="19" t="inlineStr">
        <is>
          <t>TN</t>
        </is>
      </c>
      <c r="D2287" s="20" t="inlineStr">
        <is>
          <t>TN02BD7285</t>
        </is>
      </c>
      <c r="E2287" s="20" t="inlineStr">
        <is>
          <t>HONDA</t>
        </is>
      </c>
      <c r="F2287" s="20" t="inlineStr">
        <is>
          <t>Amaze</t>
        </is>
      </c>
      <c r="G2287" s="21" t="n">
        <v>2015</v>
      </c>
      <c r="H2287" s="22" t="n">
        <v>85119</v>
      </c>
      <c r="I2287" s="22" t="n">
        <v>310000</v>
      </c>
      <c r="J2287" s="20" t="inlineStr">
        <is>
          <t>EXCHANGE CHENNAI</t>
        </is>
      </c>
      <c r="K2287" s="20" t="inlineStr">
        <is>
          <t>Captive</t>
        </is>
      </c>
      <c r="L2287" s="20" t="inlineStr">
        <is>
          <t>AAA Cars</t>
        </is>
      </c>
      <c r="M2287" s="23" t="n">
        <v>8474.58</v>
      </c>
    </row>
    <row r="2288">
      <c r="A2288" s="19" t="inlineStr">
        <is>
          <t>FY27</t>
        </is>
      </c>
      <c r="B2288" s="19" t="inlineStr">
        <is>
          <t>Jun</t>
        </is>
      </c>
      <c r="C2288" s="19" t="inlineStr">
        <is>
          <t>TN</t>
        </is>
      </c>
      <c r="D2288" s="20" t="inlineStr">
        <is>
          <t>TN10BK9570</t>
        </is>
      </c>
      <c r="E2288" s="20" t="inlineStr">
        <is>
          <t>MARUTI SUZUKI</t>
        </is>
      </c>
      <c r="F2288" s="20" t="inlineStr">
        <is>
          <t>Ignis</t>
        </is>
      </c>
      <c r="G2288" s="21" t="n">
        <v>2020</v>
      </c>
      <c r="H2288" s="22" t="n">
        <v>65041</v>
      </c>
      <c r="I2288" s="22" t="n">
        <v>440000</v>
      </c>
      <c r="J2288" s="20" t="inlineStr">
        <is>
          <t>CAR HUB</t>
        </is>
      </c>
      <c r="K2288" s="20" t="inlineStr">
        <is>
          <t>Non-Captive</t>
        </is>
      </c>
      <c r="L2288" s="20" t="inlineStr">
        <is>
          <t>Spinny</t>
        </is>
      </c>
      <c r="M2288" s="23" t="n">
        <v>5084.75</v>
      </c>
    </row>
    <row r="2289">
      <c r="A2289" s="19" t="inlineStr">
        <is>
          <t>FY27</t>
        </is>
      </c>
      <c r="B2289" s="19" t="inlineStr">
        <is>
          <t>Jun</t>
        </is>
      </c>
      <c r="C2289" s="19" t="inlineStr">
        <is>
          <t>TN</t>
        </is>
      </c>
      <c r="D2289" s="20" t="inlineStr">
        <is>
          <t>TN10AV4592</t>
        </is>
      </c>
      <c r="E2289" s="20" t="inlineStr">
        <is>
          <t>MARUTI SUZUKI</t>
        </is>
      </c>
      <c r="F2289" s="20" t="inlineStr">
        <is>
          <t>Alto 800</t>
        </is>
      </c>
      <c r="G2289" s="21" t="n">
        <v>2016</v>
      </c>
      <c r="H2289" s="22" t="n">
        <v>50523</v>
      </c>
      <c r="I2289" s="22" t="n">
        <v>300000</v>
      </c>
      <c r="J2289" s="20" t="inlineStr">
        <is>
          <t>POPULAR VEHICLES AND SERVICES LIMITED</t>
        </is>
      </c>
      <c r="K2289" s="20" t="inlineStr">
        <is>
          <t>Non-Captive</t>
        </is>
      </c>
      <c r="L2289" s="20" t="inlineStr">
        <is>
          <t>Car Hub</t>
        </is>
      </c>
      <c r="M2289" s="23" t="n">
        <v>4237.29</v>
      </c>
    </row>
    <row r="2290">
      <c r="A2290" s="19" t="inlineStr">
        <is>
          <t>FY27</t>
        </is>
      </c>
      <c r="B2290" s="19" t="inlineStr">
        <is>
          <t>Jun</t>
        </is>
      </c>
      <c r="C2290" s="19" t="inlineStr">
        <is>
          <t>TN</t>
        </is>
      </c>
      <c r="D2290" s="20" t="inlineStr">
        <is>
          <t>TN30BQ5064</t>
        </is>
      </c>
      <c r="E2290" s="20" t="inlineStr">
        <is>
          <t>MARUTI SUZUKI</t>
        </is>
      </c>
      <c r="F2290" s="20" t="inlineStr">
        <is>
          <t>Ciaz</t>
        </is>
      </c>
      <c r="G2290" s="21" t="n">
        <v>2020</v>
      </c>
      <c r="H2290" s="22" t="n">
        <v>67770</v>
      </c>
      <c r="I2290" s="22" t="n">
        <v>500000</v>
      </c>
      <c r="J2290" s="20" t="inlineStr">
        <is>
          <t>Castel Traders Honda</t>
        </is>
      </c>
      <c r="K2290" s="20" t="inlineStr">
        <is>
          <t>Non-Captive</t>
        </is>
      </c>
      <c r="L2290" s="20" t="inlineStr">
        <is>
          <t>S2 cars</t>
        </is>
      </c>
      <c r="M2290" s="23" t="n">
        <v>6779.66</v>
      </c>
    </row>
    <row r="2291">
      <c r="A2291" s="19" t="inlineStr">
        <is>
          <t>FY27</t>
        </is>
      </c>
      <c r="B2291" s="19" t="inlineStr">
        <is>
          <t>Jun</t>
        </is>
      </c>
      <c r="C2291" s="19" t="inlineStr">
        <is>
          <t>TN</t>
        </is>
      </c>
      <c r="D2291" s="20" t="inlineStr">
        <is>
          <t>TN05BP5447</t>
        </is>
      </c>
      <c r="E2291" s="20" t="inlineStr">
        <is>
          <t>MARUTI SUZUKI</t>
        </is>
      </c>
      <c r="F2291" s="20" t="inlineStr">
        <is>
          <t>Wagon R</t>
        </is>
      </c>
      <c r="G2291" s="21" t="n">
        <v>2017</v>
      </c>
      <c r="H2291" s="22" t="n">
        <v>45051</v>
      </c>
      <c r="I2291" s="22" t="n">
        <v>310000</v>
      </c>
      <c r="J2291" s="20" t="inlineStr">
        <is>
          <t>Khivraj Motor</t>
        </is>
      </c>
      <c r="K2291" s="20" t="inlineStr">
        <is>
          <t>Non-Captive</t>
        </is>
      </c>
      <c r="L2291" s="20" t="inlineStr">
        <is>
          <t>Prem Cars</t>
        </is>
      </c>
      <c r="M2291" s="23" t="n">
        <v>6355.93</v>
      </c>
    </row>
    <row r="2292">
      <c r="A2292" s="19" t="inlineStr">
        <is>
          <t>FY27</t>
        </is>
      </c>
      <c r="B2292" s="19" t="inlineStr">
        <is>
          <t>Jun</t>
        </is>
      </c>
      <c r="C2292" s="19" t="inlineStr">
        <is>
          <t>TN</t>
        </is>
      </c>
      <c r="D2292" s="20" t="inlineStr">
        <is>
          <t>TN57AK0405</t>
        </is>
      </c>
      <c r="E2292" s="20" t="inlineStr">
        <is>
          <t>HYUNDAI</t>
        </is>
      </c>
      <c r="F2292" s="20" t="inlineStr">
        <is>
          <t>Grand I10</t>
        </is>
      </c>
      <c r="G2292" s="21" t="n">
        <v>2015</v>
      </c>
      <c r="H2292" s="22" t="n">
        <v>91825</v>
      </c>
      <c r="I2292" s="22" t="n">
        <v>200000</v>
      </c>
      <c r="J2292" s="20" t="inlineStr">
        <is>
          <t>Khivraj Motor</t>
        </is>
      </c>
      <c r="K2292" s="20" t="inlineStr">
        <is>
          <t>Non-Captive</t>
        </is>
      </c>
      <c r="L2292" s="20" t="inlineStr">
        <is>
          <t>SRI SENTHUR CARS</t>
        </is>
      </c>
      <c r="M2292" s="23" t="n">
        <v>6355.93</v>
      </c>
    </row>
    <row r="2293">
      <c r="A2293" s="19" t="inlineStr">
        <is>
          <t>FY27</t>
        </is>
      </c>
      <c r="B2293" s="19" t="inlineStr">
        <is>
          <t>Jun</t>
        </is>
      </c>
      <c r="C2293" s="19" t="inlineStr">
        <is>
          <t>TN</t>
        </is>
      </c>
      <c r="D2293" s="20" t="inlineStr">
        <is>
          <t>TN875898</t>
        </is>
      </c>
      <c r="E2293" s="20" t="inlineStr">
        <is>
          <t>HYUNDAI</t>
        </is>
      </c>
      <c r="F2293" s="20" t="inlineStr">
        <is>
          <t>Creta</t>
        </is>
      </c>
      <c r="G2293" s="21" t="n">
        <v>2017</v>
      </c>
      <c r="H2293" s="22" t="n">
        <v>87224</v>
      </c>
      <c r="I2293" s="22" t="n">
        <v>552500</v>
      </c>
      <c r="J2293" s="20" t="inlineStr">
        <is>
          <t>Mahathi Cars</t>
        </is>
      </c>
      <c r="K2293" s="20" t="inlineStr">
        <is>
          <t>Non-Captive</t>
        </is>
      </c>
      <c r="L2293" s="20" t="inlineStr">
        <is>
          <t>Value Drive</t>
        </is>
      </c>
      <c r="M2293" s="23" t="n">
        <v>6355.93</v>
      </c>
    </row>
    <row r="2294">
      <c r="A2294" s="19" t="inlineStr">
        <is>
          <t>FY27</t>
        </is>
      </c>
      <c r="B2294" s="19" t="inlineStr">
        <is>
          <t>Jun</t>
        </is>
      </c>
      <c r="C2294" s="19" t="inlineStr">
        <is>
          <t>TN</t>
        </is>
      </c>
      <c r="D2294" s="20" t="inlineStr">
        <is>
          <t>TN18W5593</t>
        </is>
      </c>
      <c r="E2294" s="20" t="inlineStr">
        <is>
          <t>MARUTI SUZUKI</t>
        </is>
      </c>
      <c r="F2294" s="20" t="inlineStr">
        <is>
          <t>Wagon R</t>
        </is>
      </c>
      <c r="G2294" s="21" t="n">
        <v>2012</v>
      </c>
      <c r="H2294" s="22" t="n">
        <v>38742</v>
      </c>
      <c r="I2294" s="22" t="n">
        <v>145000</v>
      </c>
      <c r="J2294" s="20" t="inlineStr">
        <is>
          <t>Castel Traders Honda</t>
        </is>
      </c>
      <c r="K2294" s="20" t="inlineStr">
        <is>
          <t>Non-Captive</t>
        </is>
      </c>
      <c r="L2294" s="20" t="inlineStr">
        <is>
          <t>Grid 33</t>
        </is>
      </c>
      <c r="M2294" s="23" t="n">
        <v>4237.29</v>
      </c>
    </row>
    <row r="2295">
      <c r="A2295" s="19" t="inlineStr">
        <is>
          <t>FY27</t>
        </is>
      </c>
      <c r="B2295" s="19" t="inlineStr">
        <is>
          <t>Jun</t>
        </is>
      </c>
      <c r="C2295" s="19" t="inlineStr">
        <is>
          <t>TN</t>
        </is>
      </c>
      <c r="D2295" s="20" t="inlineStr">
        <is>
          <t>TN14K9119</t>
        </is>
      </c>
      <c r="E2295" s="20" t="inlineStr">
        <is>
          <t>MARUTI SUZUKI</t>
        </is>
      </c>
      <c r="F2295" s="20" t="inlineStr">
        <is>
          <t>Ciaz</t>
        </is>
      </c>
      <c r="G2295" s="21" t="n">
        <v>2017</v>
      </c>
      <c r="H2295" s="22" t="n">
        <v>91825</v>
      </c>
      <c r="I2295" s="22" t="n">
        <v>440000</v>
      </c>
      <c r="J2295" s="20" t="inlineStr">
        <is>
          <t>Khivraj Motor</t>
        </is>
      </c>
      <c r="K2295" s="20" t="inlineStr">
        <is>
          <t>Non-Captive</t>
        </is>
      </c>
      <c r="L2295" s="20" t="inlineStr">
        <is>
          <t>Yogeshwari Cars</t>
        </is>
      </c>
      <c r="M2295" s="23" t="n">
        <v>7627.12</v>
      </c>
    </row>
    <row r="2296">
      <c r="A2296" s="19" t="inlineStr">
        <is>
          <t>FY27</t>
        </is>
      </c>
      <c r="B2296" s="19" t="inlineStr">
        <is>
          <t>Jun</t>
        </is>
      </c>
      <c r="C2296" s="19" t="inlineStr">
        <is>
          <t>TN</t>
        </is>
      </c>
      <c r="D2296" s="20" t="inlineStr">
        <is>
          <t>TN07BB4387</t>
        </is>
      </c>
      <c r="E2296" s="20" t="inlineStr">
        <is>
          <t>HYUNDAI</t>
        </is>
      </c>
      <c r="F2296" s="20" t="inlineStr">
        <is>
          <t>I10</t>
        </is>
      </c>
      <c r="G2296" s="21" t="n">
        <v>2008</v>
      </c>
      <c r="H2296" s="22" t="n">
        <v>41459</v>
      </c>
      <c r="I2296" s="22" t="n">
        <v>95000</v>
      </c>
      <c r="J2296" s="20" t="inlineStr">
        <is>
          <t>Khivraj Motor</t>
        </is>
      </c>
      <c r="K2296" s="20" t="inlineStr">
        <is>
          <t>Non-Captive</t>
        </is>
      </c>
      <c r="L2296" s="20" t="inlineStr">
        <is>
          <t>Grid 33</t>
        </is>
      </c>
      <c r="M2296" s="23" t="n">
        <v>4237.29</v>
      </c>
    </row>
    <row r="2297">
      <c r="A2297" s="19" t="inlineStr">
        <is>
          <t>FY27</t>
        </is>
      </c>
      <c r="B2297" s="19" t="inlineStr">
        <is>
          <t>Jun</t>
        </is>
      </c>
      <c r="C2297" s="19" t="inlineStr">
        <is>
          <t>TN</t>
        </is>
      </c>
      <c r="D2297" s="20" t="inlineStr">
        <is>
          <t>TN72AL0615</t>
        </is>
      </c>
      <c r="E2297" s="20" t="inlineStr">
        <is>
          <t>MARUTI SUZUKI</t>
        </is>
      </c>
      <c r="F2297" s="20" t="inlineStr">
        <is>
          <t>K10</t>
        </is>
      </c>
      <c r="G2297" s="21" t="n">
        <v>2011</v>
      </c>
      <c r="H2297" s="22" t="n">
        <v>103240</v>
      </c>
      <c r="I2297" s="22" t="n">
        <v>155000</v>
      </c>
      <c r="J2297" s="20" t="inlineStr">
        <is>
          <t>Khivraj Motor</t>
        </is>
      </c>
      <c r="K2297" s="20" t="inlineStr">
        <is>
          <t>Non-Captive</t>
        </is>
      </c>
      <c r="L2297" s="20" t="inlineStr">
        <is>
          <t>Grid 33</t>
        </is>
      </c>
      <c r="M2297" s="23" t="n">
        <v>5084.75</v>
      </c>
    </row>
    <row r="2298">
      <c r="A2298" s="19" t="inlineStr">
        <is>
          <t>FY27</t>
        </is>
      </c>
      <c r="B2298" s="19" t="inlineStr">
        <is>
          <t>Jun</t>
        </is>
      </c>
      <c r="C2298" s="19" t="inlineStr">
        <is>
          <t>TN</t>
        </is>
      </c>
      <c r="D2298" s="20" t="inlineStr">
        <is>
          <t>TN12B5548</t>
        </is>
      </c>
      <c r="E2298" s="20" t="inlineStr">
        <is>
          <t>NISSAN</t>
        </is>
      </c>
      <c r="F2298" s="20" t="inlineStr">
        <is>
          <t>Sunny</t>
        </is>
      </c>
      <c r="G2298" s="21" t="n">
        <v>2014</v>
      </c>
      <c r="H2298" s="22" t="n">
        <v>97995</v>
      </c>
      <c r="I2298" s="22" t="n">
        <v>210000</v>
      </c>
      <c r="J2298" s="20" t="inlineStr">
        <is>
          <t>Khivraj Motor</t>
        </is>
      </c>
      <c r="K2298" s="20" t="inlineStr">
        <is>
          <t>Non-Captive</t>
        </is>
      </c>
      <c r="L2298" s="20" t="inlineStr">
        <is>
          <t>Grid 33</t>
        </is>
      </c>
      <c r="M2298" s="23" t="n">
        <v>6355.93</v>
      </c>
    </row>
    <row r="2299">
      <c r="A2299" s="19" t="inlineStr">
        <is>
          <t>FY27</t>
        </is>
      </c>
      <c r="B2299" s="19" t="inlineStr">
        <is>
          <t>Jun</t>
        </is>
      </c>
      <c r="C2299" s="19" t="inlineStr">
        <is>
          <t>TN</t>
        </is>
      </c>
      <c r="D2299" s="20" t="inlineStr">
        <is>
          <t>TN13L9032</t>
        </is>
      </c>
      <c r="E2299" s="20" t="inlineStr">
        <is>
          <t>MARUTI SUZUKI</t>
        </is>
      </c>
      <c r="F2299" s="20" t="inlineStr">
        <is>
          <t>Swift Dzire</t>
        </is>
      </c>
      <c r="G2299" s="21" t="n">
        <v>2018</v>
      </c>
      <c r="H2299" s="22" t="n">
        <v>25806</v>
      </c>
      <c r="I2299" s="22" t="n">
        <v>445000</v>
      </c>
      <c r="J2299" s="20" t="inlineStr">
        <is>
          <t>Khivraj Motor</t>
        </is>
      </c>
      <c r="K2299" s="20" t="inlineStr">
        <is>
          <t>Non-Captive</t>
        </is>
      </c>
      <c r="L2299" s="20" t="inlineStr">
        <is>
          <t>Grid 33</t>
        </is>
      </c>
      <c r="M2299" s="23" t="n">
        <v>7627.12</v>
      </c>
    </row>
    <row r="2300">
      <c r="A2300" s="19" t="inlineStr">
        <is>
          <t>FY27</t>
        </is>
      </c>
      <c r="B2300" s="19" t="inlineStr">
        <is>
          <t>Jun</t>
        </is>
      </c>
      <c r="C2300" s="19" t="inlineStr">
        <is>
          <t>TN</t>
        </is>
      </c>
      <c r="D2300" s="20" t="inlineStr">
        <is>
          <t>TN45AF1224</t>
        </is>
      </c>
      <c r="E2300" s="20" t="inlineStr">
        <is>
          <t>FORD</t>
        </is>
      </c>
      <c r="F2300" s="20" t="inlineStr">
        <is>
          <t>Fiesta</t>
        </is>
      </c>
      <c r="G2300" s="21" t="n">
        <v>2006</v>
      </c>
      <c r="H2300" s="22" t="n">
        <v>164114</v>
      </c>
      <c r="I2300" s="22" t="n">
        <v>40000</v>
      </c>
      <c r="J2300" s="20" t="inlineStr">
        <is>
          <t>EXCHANGE ROTN</t>
        </is>
      </c>
      <c r="K2300" s="20" t="inlineStr">
        <is>
          <t>Captive</t>
        </is>
      </c>
      <c r="L2300" s="20" t="inlineStr">
        <is>
          <t>Shivashankar cars</t>
        </is>
      </c>
      <c r="M2300" s="23" t="n">
        <v>4237.29</v>
      </c>
    </row>
    <row r="2301">
      <c r="A2301" s="19" t="inlineStr">
        <is>
          <t>FY27</t>
        </is>
      </c>
      <c r="B2301" s="19" t="inlineStr">
        <is>
          <t>Jun</t>
        </is>
      </c>
      <c r="C2301" s="19" t="inlineStr">
        <is>
          <t>TN</t>
        </is>
      </c>
      <c r="D2301" s="20" t="inlineStr">
        <is>
          <t>TN58AR3445</t>
        </is>
      </c>
      <c r="E2301" s="20" t="inlineStr">
        <is>
          <t>HONDA</t>
        </is>
      </c>
      <c r="F2301" s="20" t="inlineStr">
        <is>
          <t>Brio</t>
        </is>
      </c>
      <c r="G2301" s="21" t="n">
        <v>2018</v>
      </c>
      <c r="H2301" s="22" t="n">
        <v>65913</v>
      </c>
      <c r="I2301" s="22" t="n">
        <v>320000</v>
      </c>
      <c r="J2301" s="20" t="inlineStr">
        <is>
          <t>EXCHANGE ROTN</t>
        </is>
      </c>
      <c r="K2301" s="20" t="inlineStr">
        <is>
          <t>Captive</t>
        </is>
      </c>
      <c r="L2301" s="20" t="inlineStr">
        <is>
          <t>SAi cars</t>
        </is>
      </c>
      <c r="M2301" s="23" t="n">
        <v>8474.58</v>
      </c>
    </row>
    <row r="2302">
      <c r="A2302" s="19" t="inlineStr">
        <is>
          <t>FY27</t>
        </is>
      </c>
      <c r="B2302" s="19" t="inlineStr">
        <is>
          <t>Jun</t>
        </is>
      </c>
      <c r="C2302" s="19" t="inlineStr">
        <is>
          <t>TN</t>
        </is>
      </c>
      <c r="D2302" s="20" t="inlineStr">
        <is>
          <t>TN58BB0070</t>
        </is>
      </c>
      <c r="E2302" s="20" t="inlineStr">
        <is>
          <t>RENAULT</t>
        </is>
      </c>
      <c r="F2302" s="20" t="inlineStr">
        <is>
          <t>Kwid</t>
        </is>
      </c>
      <c r="G2302" s="21" t="n">
        <v>2019</v>
      </c>
      <c r="H2302" s="22" t="n">
        <v>53501</v>
      </c>
      <c r="I2302" s="22" t="n">
        <v>205000</v>
      </c>
      <c r="J2302" s="20" t="inlineStr">
        <is>
          <t>EXCHANGE ROTN</t>
        </is>
      </c>
      <c r="K2302" s="20" t="inlineStr">
        <is>
          <t>Captive</t>
        </is>
      </c>
      <c r="L2302" s="20" t="inlineStr">
        <is>
          <t>Sai Cars</t>
        </is>
      </c>
      <c r="M2302" s="23" t="n">
        <v>8474.58</v>
      </c>
    </row>
    <row r="2303">
      <c r="A2303" s="19" t="inlineStr">
        <is>
          <t>FY27</t>
        </is>
      </c>
      <c r="B2303" s="19" t="inlineStr">
        <is>
          <t>Jun</t>
        </is>
      </c>
      <c r="C2303" s="19" t="inlineStr">
        <is>
          <t>TN</t>
        </is>
      </c>
      <c r="D2303" s="20" t="inlineStr">
        <is>
          <t>TN63AX7758</t>
        </is>
      </c>
      <c r="E2303" s="20" t="inlineStr">
        <is>
          <t>MARUTI SUZUKI</t>
        </is>
      </c>
      <c r="F2303" s="20" t="inlineStr">
        <is>
          <t>Wagon R</t>
        </is>
      </c>
      <c r="G2303" s="21" t="n">
        <v>2013</v>
      </c>
      <c r="H2303" s="22" t="n">
        <v>92059</v>
      </c>
      <c r="I2303" s="22" t="n">
        <v>140000</v>
      </c>
      <c r="J2303" s="20" t="inlineStr">
        <is>
          <t>EXCHANGE ROTN</t>
        </is>
      </c>
      <c r="K2303" s="20" t="inlineStr">
        <is>
          <t>Captive</t>
        </is>
      </c>
      <c r="L2303" s="20" t="inlineStr">
        <is>
          <t>Purushotham Cars</t>
        </is>
      </c>
      <c r="M2303" s="23" t="n">
        <v>8474.58</v>
      </c>
    </row>
    <row r="2304">
      <c r="A2304" s="19" t="inlineStr">
        <is>
          <t>FY27</t>
        </is>
      </c>
      <c r="B2304" s="19" t="inlineStr">
        <is>
          <t>Jun</t>
        </is>
      </c>
      <c r="C2304" s="19" t="inlineStr">
        <is>
          <t>TN</t>
        </is>
      </c>
      <c r="D2304" s="20" t="inlineStr">
        <is>
          <t>TN63CB1985</t>
        </is>
      </c>
      <c r="E2304" s="20" t="inlineStr">
        <is>
          <t>TATA</t>
        </is>
      </c>
      <c r="F2304" s="20" t="inlineStr">
        <is>
          <t>Nexon</t>
        </is>
      </c>
      <c r="G2304" s="21" t="n">
        <v>2025</v>
      </c>
      <c r="H2304" s="22" t="n">
        <v>12794</v>
      </c>
      <c r="I2304" s="22" t="n">
        <v>690000</v>
      </c>
      <c r="J2304" s="20" t="inlineStr">
        <is>
          <t>EXCHANGE ROTN</t>
        </is>
      </c>
      <c r="K2304" s="20" t="inlineStr">
        <is>
          <t>Captive</t>
        </is>
      </c>
      <c r="L2304" s="20" t="inlineStr">
        <is>
          <t>Vivek Cars</t>
        </is>
      </c>
      <c r="M2304" s="23" t="n">
        <v>16949.15</v>
      </c>
    </row>
    <row r="2305">
      <c r="A2305" s="19" t="inlineStr">
        <is>
          <t>FY27</t>
        </is>
      </c>
      <c r="B2305" s="19" t="inlineStr">
        <is>
          <t>Jun</t>
        </is>
      </c>
      <c r="C2305" s="19" t="inlineStr">
        <is>
          <t>TN</t>
        </is>
      </c>
      <c r="D2305" s="20" t="inlineStr">
        <is>
          <t>TN34Y5519</t>
        </is>
      </c>
      <c r="E2305" s="20" t="inlineStr">
        <is>
          <t>HYUNDAI</t>
        </is>
      </c>
      <c r="F2305" s="20" t="inlineStr">
        <is>
          <t>Eon</t>
        </is>
      </c>
      <c r="G2305" s="21" t="n">
        <v>2016</v>
      </c>
      <c r="H2305" s="22" t="n">
        <v>114065</v>
      </c>
      <c r="I2305" s="22" t="n">
        <v>200000</v>
      </c>
      <c r="J2305" s="20" t="inlineStr">
        <is>
          <t>EXCHANGE ROTN</t>
        </is>
      </c>
      <c r="K2305" s="20" t="inlineStr">
        <is>
          <t>Captive</t>
        </is>
      </c>
      <c r="L2305" s="20" t="inlineStr">
        <is>
          <t>Sri Amman Cars</t>
        </is>
      </c>
      <c r="M2305" s="23" t="n">
        <v>12711.86</v>
      </c>
    </row>
    <row r="2306">
      <c r="A2306" s="19" t="inlineStr">
        <is>
          <t>FY27</t>
        </is>
      </c>
      <c r="B2306" s="19" t="inlineStr">
        <is>
          <t>Jun</t>
        </is>
      </c>
      <c r="C2306" s="19" t="inlineStr">
        <is>
          <t>TN</t>
        </is>
      </c>
      <c r="D2306" s="20" t="inlineStr">
        <is>
          <t>TN39CK1924</t>
        </is>
      </c>
      <c r="E2306" s="20" t="inlineStr">
        <is>
          <t>HONDA</t>
        </is>
      </c>
      <c r="F2306" s="20" t="inlineStr">
        <is>
          <t>Amaze</t>
        </is>
      </c>
      <c r="G2306" s="21" t="n">
        <v>2019</v>
      </c>
      <c r="H2306" s="22" t="n">
        <v>72891</v>
      </c>
      <c r="I2306" s="22" t="n">
        <v>420000</v>
      </c>
      <c r="J2306" s="20" t="inlineStr">
        <is>
          <t>EXCHANGE ROTN</t>
        </is>
      </c>
      <c r="K2306" s="20" t="inlineStr">
        <is>
          <t>Captive</t>
        </is>
      </c>
      <c r="L2306" s="20" t="inlineStr">
        <is>
          <t>Sai Cars</t>
        </is>
      </c>
      <c r="M2306" s="23" t="n">
        <v>16949.15</v>
      </c>
    </row>
    <row r="2307">
      <c r="A2307" s="19" t="inlineStr">
        <is>
          <t>FY27</t>
        </is>
      </c>
      <c r="B2307" s="19" t="inlineStr">
        <is>
          <t>Jun</t>
        </is>
      </c>
      <c r="C2307" s="19" t="inlineStr">
        <is>
          <t>TN</t>
        </is>
      </c>
      <c r="D2307" s="20" t="inlineStr">
        <is>
          <t>TN38CR2616</t>
        </is>
      </c>
      <c r="E2307" s="20" t="inlineStr">
        <is>
          <t>HYUNDAI</t>
        </is>
      </c>
      <c r="F2307" s="20" t="inlineStr">
        <is>
          <t>Santro</t>
        </is>
      </c>
      <c r="G2307" s="21" t="n">
        <v>2018</v>
      </c>
      <c r="H2307" s="22" t="n">
        <v>53205</v>
      </c>
      <c r="I2307" s="22" t="n">
        <v>350000</v>
      </c>
      <c r="J2307" s="20" t="inlineStr">
        <is>
          <t>EXCHANGE ROTN</t>
        </is>
      </c>
      <c r="K2307" s="20" t="inlineStr">
        <is>
          <t>Captive</t>
        </is>
      </c>
      <c r="L2307" s="20" t="inlineStr">
        <is>
          <t>Yugatheran cars</t>
        </is>
      </c>
      <c r="M2307" s="23" t="n">
        <v>10169.49</v>
      </c>
    </row>
    <row r="2308">
      <c r="A2308" s="19" t="inlineStr">
        <is>
          <t>FY27</t>
        </is>
      </c>
      <c r="B2308" s="19" t="inlineStr">
        <is>
          <t>Jun</t>
        </is>
      </c>
      <c r="C2308" s="19" t="inlineStr">
        <is>
          <t>TN</t>
        </is>
      </c>
      <c r="D2308" s="20" t="inlineStr">
        <is>
          <t>TN36AB0790</t>
        </is>
      </c>
      <c r="E2308" s="20" t="inlineStr">
        <is>
          <t>MARUTI SUZUKI</t>
        </is>
      </c>
      <c r="F2308" s="20" t="inlineStr">
        <is>
          <t>Alto</t>
        </is>
      </c>
      <c r="G2308" s="21" t="n">
        <v>2013</v>
      </c>
      <c r="H2308" s="22" t="n">
        <v>77516</v>
      </c>
      <c r="I2308" s="22" t="n">
        <v>210000</v>
      </c>
      <c r="J2308" s="20" t="inlineStr">
        <is>
          <t>EXCHANGE ROTN</t>
        </is>
      </c>
      <c r="K2308" s="20" t="inlineStr">
        <is>
          <t>Captive</t>
        </is>
      </c>
      <c r="L2308" s="20" t="inlineStr">
        <is>
          <t>Yugatheran cars</t>
        </is>
      </c>
      <c r="M2308" s="23" t="n">
        <v>12711.86</v>
      </c>
    </row>
    <row r="2309">
      <c r="A2309" s="19" t="inlineStr">
        <is>
          <t>FY27</t>
        </is>
      </c>
      <c r="B2309" s="19" t="inlineStr">
        <is>
          <t>Jun</t>
        </is>
      </c>
      <c r="C2309" s="19" t="inlineStr">
        <is>
          <t>TN</t>
        </is>
      </c>
      <c r="D2309" s="20" t="inlineStr">
        <is>
          <t>TN38BP0840</t>
        </is>
      </c>
      <c r="E2309" s="20" t="inlineStr">
        <is>
          <t>TATA</t>
        </is>
      </c>
      <c r="F2309" s="20" t="inlineStr">
        <is>
          <t>Indica</t>
        </is>
      </c>
      <c r="G2309" s="21" t="n">
        <v>2012</v>
      </c>
      <c r="H2309" s="22" t="n">
        <v>39421</v>
      </c>
      <c r="I2309" s="22" t="n">
        <v>240000</v>
      </c>
      <c r="J2309" s="20" t="inlineStr">
        <is>
          <t>EXCHANGE ROTN</t>
        </is>
      </c>
      <c r="K2309" s="20" t="inlineStr">
        <is>
          <t>Captive</t>
        </is>
      </c>
      <c r="L2309" s="20" t="inlineStr">
        <is>
          <t>Yugatheran cars</t>
        </is>
      </c>
      <c r="M2309" s="23" t="n">
        <v>8474.58</v>
      </c>
    </row>
    <row r="2310">
      <c r="A2310" s="19" t="inlineStr">
        <is>
          <t>FY27</t>
        </is>
      </c>
      <c r="B2310" s="19" t="inlineStr">
        <is>
          <t>Jun</t>
        </is>
      </c>
      <c r="C2310" s="19" t="inlineStr">
        <is>
          <t>TN</t>
        </is>
      </c>
      <c r="D2310" s="20" t="inlineStr">
        <is>
          <t>TN01BH9508</t>
        </is>
      </c>
      <c r="E2310" s="20" t="inlineStr">
        <is>
          <t>MARUTI SUZUKI</t>
        </is>
      </c>
      <c r="F2310" s="20" t="inlineStr">
        <is>
          <t>Swift Dzire</t>
        </is>
      </c>
      <c r="G2310" s="21" t="n">
        <v>2019</v>
      </c>
      <c r="H2310" s="22" t="n">
        <v>49528</v>
      </c>
      <c r="I2310" s="22" t="n">
        <v>510000</v>
      </c>
      <c r="J2310" s="20" t="inlineStr">
        <is>
          <t>EXCHANGE CHENNAI</t>
        </is>
      </c>
      <c r="K2310" s="20" t="inlineStr">
        <is>
          <t>Captive</t>
        </is>
      </c>
      <c r="L2310" s="20" t="inlineStr">
        <is>
          <t>NIrmal Cars</t>
        </is>
      </c>
      <c r="M2310" s="23" t="n">
        <v>8474.58</v>
      </c>
    </row>
    <row r="2311">
      <c r="A2311" s="19" t="inlineStr">
        <is>
          <t>FY27</t>
        </is>
      </c>
      <c r="B2311" s="19" t="inlineStr">
        <is>
          <t>Jun</t>
        </is>
      </c>
      <c r="C2311" s="19" t="inlineStr">
        <is>
          <t>TN</t>
        </is>
      </c>
      <c r="D2311" s="20" t="inlineStr">
        <is>
          <t>TN01AS6582</t>
        </is>
      </c>
      <c r="E2311" s="20" t="inlineStr">
        <is>
          <t>HONDA</t>
        </is>
      </c>
      <c r="F2311" s="20" t="inlineStr">
        <is>
          <t>City</t>
        </is>
      </c>
      <c r="G2311" s="21" t="n">
        <v>2012</v>
      </c>
      <c r="H2311" s="22" t="n">
        <v>110454</v>
      </c>
      <c r="I2311" s="22" t="n">
        <v>255000</v>
      </c>
      <c r="J2311" s="20" t="inlineStr">
        <is>
          <t>EXCHANGE CHENNAI</t>
        </is>
      </c>
      <c r="K2311" s="20" t="inlineStr">
        <is>
          <t>Captive</t>
        </is>
      </c>
      <c r="L2311" s="20" t="inlineStr">
        <is>
          <t>Santhosh Cars</t>
        </is>
      </c>
      <c r="M2311" s="23" t="n">
        <v>8474.58</v>
      </c>
    </row>
    <row r="2312">
      <c r="A2312" s="19" t="inlineStr">
        <is>
          <t>FY27</t>
        </is>
      </c>
      <c r="B2312" s="19" t="inlineStr">
        <is>
          <t>Jun</t>
        </is>
      </c>
      <c r="C2312" s="19" t="inlineStr">
        <is>
          <t>TN</t>
        </is>
      </c>
      <c r="D2312" s="20" t="inlineStr">
        <is>
          <t>TN12R9434</t>
        </is>
      </c>
      <c r="E2312" s="20" t="inlineStr">
        <is>
          <t>CHEVROLET</t>
        </is>
      </c>
      <c r="F2312" s="20" t="inlineStr">
        <is>
          <t>Tavera</t>
        </is>
      </c>
      <c r="G2312" s="21" t="n">
        <v>2016</v>
      </c>
      <c r="H2312" s="22" t="n">
        <v>181753</v>
      </c>
      <c r="I2312" s="22" t="n">
        <v>190000</v>
      </c>
      <c r="J2312" s="20" t="inlineStr">
        <is>
          <t>Khivraj Motor</t>
        </is>
      </c>
      <c r="K2312" s="20" t="inlineStr">
        <is>
          <t>Non-Captive</t>
        </is>
      </c>
      <c r="L2312" s="20" t="inlineStr">
        <is>
          <t>Trust On wheels</t>
        </is>
      </c>
      <c r="M2312" s="23" t="n">
        <v>5084.75</v>
      </c>
    </row>
    <row r="2313">
      <c r="A2313" s="19" t="inlineStr">
        <is>
          <t>FY27</t>
        </is>
      </c>
      <c r="B2313" s="19" t="inlineStr">
        <is>
          <t>Jun</t>
        </is>
      </c>
      <c r="C2313" s="19" t="inlineStr">
        <is>
          <t>TN</t>
        </is>
      </c>
      <c r="D2313" s="20" t="inlineStr">
        <is>
          <t>TN128184</t>
        </is>
      </c>
      <c r="E2313" s="20" t="inlineStr">
        <is>
          <t>TATA</t>
        </is>
      </c>
      <c r="F2313" s="20" t="inlineStr">
        <is>
          <t>Safari</t>
        </is>
      </c>
      <c r="G2313" s="21" t="n">
        <v>2012</v>
      </c>
      <c r="H2313" s="22" t="n">
        <v>142964</v>
      </c>
      <c r="I2313" s="22" t="n">
        <v>185000</v>
      </c>
      <c r="J2313" s="20" t="inlineStr">
        <is>
          <t>Khivraj Motor</t>
        </is>
      </c>
      <c r="K2313" s="20" t="inlineStr">
        <is>
          <t>Non-Captive</t>
        </is>
      </c>
      <c r="L2313" s="20" t="inlineStr">
        <is>
          <t>Trust On wheels</t>
        </is>
      </c>
      <c r="M2313" s="23" t="n">
        <v>5084.75</v>
      </c>
    </row>
    <row r="2314">
      <c r="A2314" s="19" t="inlineStr">
        <is>
          <t>FY27</t>
        </is>
      </c>
      <c r="B2314" s="19" t="inlineStr">
        <is>
          <t>Jun</t>
        </is>
      </c>
      <c r="C2314" s="19" t="inlineStr">
        <is>
          <t>TN</t>
        </is>
      </c>
      <c r="D2314" s="20" t="inlineStr">
        <is>
          <t>TN12Z5049</t>
        </is>
      </c>
      <c r="E2314" s="20" t="inlineStr">
        <is>
          <t>MARUTI SUZUKI</t>
        </is>
      </c>
      <c r="F2314" s="20" t="inlineStr">
        <is>
          <t>Celerio</t>
        </is>
      </c>
      <c r="G2314" s="21" t="n">
        <v>2015</v>
      </c>
      <c r="H2314" s="22" t="n">
        <v>98642</v>
      </c>
      <c r="I2314" s="22" t="n">
        <v>295000</v>
      </c>
      <c r="J2314" s="20" t="inlineStr">
        <is>
          <t>Khivraj Motor</t>
        </is>
      </c>
      <c r="K2314" s="20" t="inlineStr">
        <is>
          <t>Non-Captive</t>
        </is>
      </c>
      <c r="L2314" s="20" t="inlineStr">
        <is>
          <t>Kamal Cars</t>
        </is>
      </c>
      <c r="M2314" s="23" t="n">
        <v>6355.93</v>
      </c>
    </row>
    <row r="2315">
      <c r="A2315" s="19" t="inlineStr">
        <is>
          <t>FY27</t>
        </is>
      </c>
      <c r="B2315" s="19" t="inlineStr">
        <is>
          <t>Jun</t>
        </is>
      </c>
      <c r="C2315" s="19" t="inlineStr">
        <is>
          <t>TN</t>
        </is>
      </c>
      <c r="D2315" s="20" t="inlineStr">
        <is>
          <t>TN06K6447</t>
        </is>
      </c>
      <c r="E2315" s="20" t="inlineStr">
        <is>
          <t>MARUTI SUZUKI</t>
        </is>
      </c>
      <c r="F2315" s="20" t="inlineStr">
        <is>
          <t>Eeco</t>
        </is>
      </c>
      <c r="G2315" s="21" t="n">
        <v>2013</v>
      </c>
      <c r="H2315" s="22" t="n">
        <v>87398</v>
      </c>
      <c r="I2315" s="22" t="n">
        <v>215000</v>
      </c>
      <c r="J2315" s="20" t="inlineStr">
        <is>
          <t>Khivraj Motor</t>
        </is>
      </c>
      <c r="K2315" s="20" t="inlineStr">
        <is>
          <t>Non-Captive</t>
        </is>
      </c>
      <c r="L2315" s="20" t="inlineStr">
        <is>
          <t>Pine Autos</t>
        </is>
      </c>
      <c r="M2315" s="23" t="n">
        <v>6355.93</v>
      </c>
    </row>
    <row r="2316">
      <c r="A2316" s="19" t="inlineStr">
        <is>
          <t>FY27</t>
        </is>
      </c>
      <c r="B2316" s="19" t="inlineStr">
        <is>
          <t>Jun</t>
        </is>
      </c>
      <c r="C2316" s="19" t="inlineStr">
        <is>
          <t>TN</t>
        </is>
      </c>
      <c r="D2316" s="20" t="inlineStr">
        <is>
          <t>TN14Q1923</t>
        </is>
      </c>
      <c r="E2316" s="20" t="inlineStr">
        <is>
          <t>RENAULT</t>
        </is>
      </c>
      <c r="F2316" s="20" t="inlineStr">
        <is>
          <t>Kwid</t>
        </is>
      </c>
      <c r="G2316" s="21" t="n">
        <v>2018</v>
      </c>
      <c r="H2316" s="22" t="n">
        <v>66715</v>
      </c>
      <c r="I2316" s="22" t="n">
        <v>110000</v>
      </c>
      <c r="J2316" s="20" t="inlineStr">
        <is>
          <t>EXCHANGE CHENNAI</t>
        </is>
      </c>
      <c r="K2316" s="20" t="inlineStr">
        <is>
          <t>Captive</t>
        </is>
      </c>
      <c r="L2316" s="20" t="inlineStr">
        <is>
          <t>Santhosh Cars</t>
        </is>
      </c>
      <c r="M2316" s="23" t="n">
        <v>5084.75</v>
      </c>
    </row>
    <row r="2317">
      <c r="A2317" s="19" t="inlineStr">
        <is>
          <t>FY27</t>
        </is>
      </c>
      <c r="B2317" s="19" t="inlineStr">
        <is>
          <t>Jun</t>
        </is>
      </c>
      <c r="C2317" s="19" t="inlineStr">
        <is>
          <t>TN</t>
        </is>
      </c>
      <c r="D2317" s="20" t="inlineStr">
        <is>
          <t>TN67BD9942</t>
        </is>
      </c>
      <c r="E2317" s="20" t="inlineStr">
        <is>
          <t>MARUTI SUZUKI</t>
        </is>
      </c>
      <c r="F2317" s="20" t="inlineStr">
        <is>
          <t>Breeza</t>
        </is>
      </c>
      <c r="G2317" s="21" t="n">
        <v>2017</v>
      </c>
      <c r="H2317" s="22" t="n">
        <v>91300</v>
      </c>
      <c r="I2317" s="22" t="n">
        <v>480000</v>
      </c>
      <c r="J2317" s="20" t="inlineStr">
        <is>
          <t>EXCHANGE ROTN</t>
        </is>
      </c>
      <c r="K2317" s="20" t="inlineStr">
        <is>
          <t>Captive</t>
        </is>
      </c>
      <c r="L2317" s="20" t="inlineStr">
        <is>
          <t>Sri Visakam</t>
        </is>
      </c>
      <c r="M2317" s="23" t="n">
        <v>8474.58</v>
      </c>
    </row>
    <row r="2318">
      <c r="A2318" s="19" t="inlineStr">
        <is>
          <t>FY27</t>
        </is>
      </c>
      <c r="B2318" s="19" t="inlineStr">
        <is>
          <t>Jun</t>
        </is>
      </c>
      <c r="C2318" s="19" t="inlineStr">
        <is>
          <t>TN</t>
        </is>
      </c>
      <c r="D2318" s="20" t="inlineStr">
        <is>
          <t>TN20BP7636</t>
        </is>
      </c>
      <c r="E2318" s="20" t="inlineStr">
        <is>
          <t>MARUTI SUZUKI</t>
        </is>
      </c>
      <c r="F2318" s="20" t="inlineStr">
        <is>
          <t>Swift</t>
        </is>
      </c>
      <c r="G2318" s="21" t="n">
        <v>2011</v>
      </c>
      <c r="H2318" s="22" t="n">
        <v>133036</v>
      </c>
      <c r="I2318" s="22" t="n">
        <v>175000</v>
      </c>
      <c r="J2318" s="20" t="inlineStr">
        <is>
          <t>EXCHANGE ROTN</t>
        </is>
      </c>
      <c r="K2318" s="20" t="inlineStr">
        <is>
          <t>Captive</t>
        </is>
      </c>
      <c r="L2318" s="20" t="inlineStr">
        <is>
          <t>Balaji Cars</t>
        </is>
      </c>
      <c r="M2318" s="23" t="n">
        <v>8474.58</v>
      </c>
    </row>
    <row r="2319">
      <c r="A2319" s="19" t="inlineStr">
        <is>
          <t>FY27</t>
        </is>
      </c>
      <c r="B2319" s="19" t="inlineStr">
        <is>
          <t>Jun</t>
        </is>
      </c>
      <c r="C2319" s="19" t="inlineStr">
        <is>
          <t>TN</t>
        </is>
      </c>
      <c r="D2319" s="20" t="inlineStr">
        <is>
          <t>TN67BA9979</t>
        </is>
      </c>
      <c r="E2319" s="20" t="inlineStr">
        <is>
          <t>HONDA</t>
        </is>
      </c>
      <c r="F2319" s="20" t="inlineStr">
        <is>
          <t>Brio</t>
        </is>
      </c>
      <c r="G2319" s="21" t="n">
        <v>2014</v>
      </c>
      <c r="H2319" s="22" t="n">
        <v>117847</v>
      </c>
      <c r="I2319" s="22" t="n">
        <v>85000</v>
      </c>
      <c r="J2319" s="20" t="inlineStr">
        <is>
          <t>EXCHANGE ROTN</t>
        </is>
      </c>
      <c r="K2319" s="20" t="inlineStr">
        <is>
          <t>Captive</t>
        </is>
      </c>
      <c r="L2319" s="20" t="inlineStr">
        <is>
          <t>Paul Cars</t>
        </is>
      </c>
      <c r="M2319" s="23" t="n">
        <v>8474.58</v>
      </c>
    </row>
    <row r="2320">
      <c r="A2320" s="19" t="inlineStr">
        <is>
          <t>FY27</t>
        </is>
      </c>
      <c r="B2320" s="19" t="inlineStr">
        <is>
          <t>Jun</t>
        </is>
      </c>
      <c r="C2320" s="19" t="inlineStr">
        <is>
          <t>TN</t>
        </is>
      </c>
      <c r="D2320" s="20" t="inlineStr">
        <is>
          <t>TN64U4942</t>
        </is>
      </c>
      <c r="E2320" s="20" t="inlineStr">
        <is>
          <t>HONDA</t>
        </is>
      </c>
      <c r="F2320" s="20" t="inlineStr">
        <is>
          <t>City</t>
        </is>
      </c>
      <c r="G2320" s="21" t="n">
        <v>2019</v>
      </c>
      <c r="H2320" s="22" t="n">
        <v>210219</v>
      </c>
      <c r="I2320" s="22" t="n">
        <v>500000</v>
      </c>
      <c r="J2320" s="20" t="inlineStr">
        <is>
          <t>EXCHANGE ROTN</t>
        </is>
      </c>
      <c r="K2320" s="20" t="inlineStr">
        <is>
          <t>Captive</t>
        </is>
      </c>
      <c r="L2320" s="20" t="inlineStr">
        <is>
          <t>Rajaganapathy</t>
        </is>
      </c>
      <c r="M2320" s="23" t="n">
        <v>12711.86</v>
      </c>
    </row>
    <row r="2321">
      <c r="A2321" s="19" t="inlineStr">
        <is>
          <t>FY27</t>
        </is>
      </c>
      <c r="B2321" s="19" t="inlineStr">
        <is>
          <t>Jun</t>
        </is>
      </c>
      <c r="C2321" s="19" t="inlineStr">
        <is>
          <t>TN</t>
        </is>
      </c>
      <c r="D2321" s="20" t="inlineStr">
        <is>
          <t>TN59CS5654</t>
        </is>
      </c>
      <c r="E2321" s="20" t="inlineStr">
        <is>
          <t>TATA</t>
        </is>
      </c>
      <c r="F2321" s="20" t="inlineStr">
        <is>
          <t>Nexon</t>
        </is>
      </c>
      <c r="G2321" s="21" t="n">
        <v>2023</v>
      </c>
      <c r="H2321" s="22" t="n">
        <v>26551</v>
      </c>
      <c r="I2321" s="22" t="n">
        <v>760000</v>
      </c>
      <c r="J2321" s="20" t="inlineStr">
        <is>
          <t>EXCHANGE ROTN</t>
        </is>
      </c>
      <c r="K2321" s="20" t="inlineStr">
        <is>
          <t>Captive</t>
        </is>
      </c>
      <c r="L2321" s="20" t="inlineStr">
        <is>
          <t>Farkeen Reenu</t>
        </is>
      </c>
      <c r="M2321" s="23" t="n">
        <v>8474.58</v>
      </c>
    </row>
    <row r="2322">
      <c r="A2322" s="19" t="inlineStr">
        <is>
          <t>FY27</t>
        </is>
      </c>
      <c r="B2322" s="19" t="inlineStr">
        <is>
          <t>Jun</t>
        </is>
      </c>
      <c r="C2322" s="19" t="inlineStr">
        <is>
          <t>TN</t>
        </is>
      </c>
      <c r="D2322" s="20" t="inlineStr">
        <is>
          <t>TN01BH3567</t>
        </is>
      </c>
      <c r="E2322" s="20" t="inlineStr">
        <is>
          <t>MAHINDRA</t>
        </is>
      </c>
      <c r="F2322" s="20" t="inlineStr">
        <is>
          <t>Bolero</t>
        </is>
      </c>
      <c r="G2322" s="21" t="n">
        <v>2019</v>
      </c>
      <c r="H2322" s="22" t="n">
        <v>275762</v>
      </c>
      <c r="I2322" s="22" t="n">
        <v>475000</v>
      </c>
      <c r="J2322" s="20" t="inlineStr">
        <is>
          <t>AIE CARS PRIVATE LIMITED</t>
        </is>
      </c>
      <c r="K2322" s="20" t="inlineStr">
        <is>
          <t>Non-Captive</t>
        </is>
      </c>
      <c r="L2322" s="20" t="inlineStr">
        <is>
          <t>Balaji Cars</t>
        </is>
      </c>
      <c r="M2322" s="23" t="n">
        <v>7627.12</v>
      </c>
    </row>
    <row r="2323">
      <c r="A2323" s="19" t="inlineStr">
        <is>
          <t>FY27</t>
        </is>
      </c>
      <c r="B2323" s="19" t="inlineStr">
        <is>
          <t>Jun</t>
        </is>
      </c>
      <c r="C2323" s="19" t="inlineStr">
        <is>
          <t>TN</t>
        </is>
      </c>
      <c r="D2323" s="20" t="inlineStr">
        <is>
          <t>TN09CH9371</t>
        </is>
      </c>
      <c r="E2323" s="20" t="inlineStr">
        <is>
          <t>HYUNDAI</t>
        </is>
      </c>
      <c r="F2323" s="20" t="inlineStr">
        <is>
          <t>Xcent</t>
        </is>
      </c>
      <c r="G2323" s="21" t="n">
        <v>2017</v>
      </c>
      <c r="H2323" s="22" t="n">
        <v>133378</v>
      </c>
      <c r="I2323" s="22" t="n">
        <v>350000</v>
      </c>
      <c r="J2323" s="20" t="inlineStr">
        <is>
          <t>ABT LIMITED</t>
        </is>
      </c>
      <c r="K2323" s="20" t="inlineStr">
        <is>
          <t>Non-Captive</t>
        </is>
      </c>
      <c r="L2323" s="20" t="inlineStr">
        <is>
          <t>NIrmal Cars</t>
        </is>
      </c>
      <c r="M2323" s="23" t="n">
        <v>6016.95</v>
      </c>
    </row>
    <row r="2324">
      <c r="A2324" s="19" t="inlineStr">
        <is>
          <t>FY27</t>
        </is>
      </c>
      <c r="B2324" s="19" t="inlineStr">
        <is>
          <t>Jun</t>
        </is>
      </c>
      <c r="C2324" s="19" t="inlineStr">
        <is>
          <t>TN</t>
        </is>
      </c>
      <c r="D2324" s="20" t="inlineStr">
        <is>
          <t>TN10AS5986</t>
        </is>
      </c>
      <c r="E2324" s="20" t="inlineStr">
        <is>
          <t>MARUTI SUZUKI</t>
        </is>
      </c>
      <c r="F2324" s="20" t="inlineStr">
        <is>
          <t>Alto</t>
        </is>
      </c>
      <c r="G2324" s="21" t="n">
        <v>2015</v>
      </c>
      <c r="H2324" s="22" t="n">
        <v>23145</v>
      </c>
      <c r="I2324" s="22" t="n">
        <v>350000</v>
      </c>
      <c r="J2324" s="20" t="inlineStr">
        <is>
          <t>Khivraj Motor</t>
        </is>
      </c>
      <c r="K2324" s="20" t="inlineStr">
        <is>
          <t>Non-Captive</t>
        </is>
      </c>
      <c r="L2324" s="20" t="inlineStr">
        <is>
          <t>Pine Autos</t>
        </is>
      </c>
      <c r="M2324" s="23" t="n">
        <v>6355.93</v>
      </c>
    </row>
    <row r="2325">
      <c r="A2325" s="19" t="inlineStr">
        <is>
          <t>FY27</t>
        </is>
      </c>
      <c r="B2325" s="19" t="inlineStr">
        <is>
          <t>Jun</t>
        </is>
      </c>
      <c r="C2325" s="19" t="inlineStr">
        <is>
          <t>TN</t>
        </is>
      </c>
      <c r="D2325" s="20" t="inlineStr">
        <is>
          <t>KA03NB6172</t>
        </is>
      </c>
      <c r="E2325" s="20" t="inlineStr">
        <is>
          <t>HYUNDAI</t>
        </is>
      </c>
      <c r="F2325" s="20" t="inlineStr">
        <is>
          <t>I20</t>
        </is>
      </c>
      <c r="G2325" s="21" t="n">
        <v>2016</v>
      </c>
      <c r="H2325" s="22" t="n">
        <v>98271</v>
      </c>
      <c r="I2325" s="22" t="n">
        <v>350000</v>
      </c>
      <c r="J2325" s="20" t="inlineStr">
        <is>
          <t>Khivraj Motor</t>
        </is>
      </c>
      <c r="K2325" s="20" t="inlineStr">
        <is>
          <t>Non-Captive</t>
        </is>
      </c>
      <c r="L2325" s="20" t="inlineStr">
        <is>
          <t>Grid 33</t>
        </is>
      </c>
      <c r="M2325" s="23" t="n">
        <v>6355.93</v>
      </c>
    </row>
    <row r="2326">
      <c r="A2326" s="19" t="inlineStr">
        <is>
          <t>FY27</t>
        </is>
      </c>
      <c r="B2326" s="19" t="inlineStr">
        <is>
          <t>Jun</t>
        </is>
      </c>
      <c r="C2326" s="19" t="inlineStr">
        <is>
          <t>TN</t>
        </is>
      </c>
      <c r="D2326" s="20" t="inlineStr">
        <is>
          <t>TN13Q7672</t>
        </is>
      </c>
      <c r="E2326" s="20" t="inlineStr">
        <is>
          <t>RENAULT</t>
        </is>
      </c>
      <c r="F2326" s="20" t="inlineStr">
        <is>
          <t>Kwid</t>
        </is>
      </c>
      <c r="G2326" s="21" t="n">
        <v>2018</v>
      </c>
      <c r="H2326" s="22" t="n">
        <v>70182</v>
      </c>
      <c r="I2326" s="22" t="n">
        <v>330000</v>
      </c>
      <c r="J2326" s="20" t="inlineStr">
        <is>
          <t>LAKSHMI Hyundai</t>
        </is>
      </c>
      <c r="K2326" s="20" t="inlineStr">
        <is>
          <t>Non-Captive</t>
        </is>
      </c>
      <c r="L2326" s="20" t="inlineStr">
        <is>
          <t>Yogeshwari Cars</t>
        </is>
      </c>
      <c r="M2326" s="23" t="n">
        <v>5932.2</v>
      </c>
    </row>
    <row r="2327">
      <c r="A2327" s="19" t="inlineStr">
        <is>
          <t>FY27</t>
        </is>
      </c>
      <c r="B2327" s="19" t="inlineStr">
        <is>
          <t>Jun</t>
        </is>
      </c>
      <c r="C2327" s="19" t="inlineStr">
        <is>
          <t>TN</t>
        </is>
      </c>
      <c r="D2327" s="20" t="inlineStr">
        <is>
          <t>TN07CE7657</t>
        </is>
      </c>
      <c r="E2327" s="20" t="inlineStr">
        <is>
          <t>HYUNDAI</t>
        </is>
      </c>
      <c r="F2327" s="20" t="inlineStr">
        <is>
          <t>I10</t>
        </is>
      </c>
      <c r="G2327" s="21" t="n">
        <v>2016</v>
      </c>
      <c r="H2327" s="22" t="n">
        <v>51503</v>
      </c>
      <c r="I2327" s="22" t="n">
        <v>325000</v>
      </c>
      <c r="J2327" s="20" t="inlineStr">
        <is>
          <t>ABT LIMITED</t>
        </is>
      </c>
      <c r="K2327" s="20" t="inlineStr">
        <is>
          <t>Non-Captive</t>
        </is>
      </c>
      <c r="L2327" s="20" t="inlineStr">
        <is>
          <t>Santhosh Cars</t>
        </is>
      </c>
      <c r="M2327" s="23" t="n">
        <v>5084.75</v>
      </c>
    </row>
    <row r="2328">
      <c r="A2328" s="19" t="inlineStr">
        <is>
          <t>FY27</t>
        </is>
      </c>
      <c r="B2328" s="19" t="inlineStr">
        <is>
          <t>Jun</t>
        </is>
      </c>
      <c r="C2328" s="19" t="inlineStr">
        <is>
          <t>TN</t>
        </is>
      </c>
      <c r="D2328" s="20" t="inlineStr">
        <is>
          <t>TN18AE6315</t>
        </is>
      </c>
      <c r="E2328" s="20" t="inlineStr">
        <is>
          <t>HONDA</t>
        </is>
      </c>
      <c r="F2328" s="20" t="inlineStr">
        <is>
          <t>Jazz</t>
        </is>
      </c>
      <c r="G2328" s="21" t="n">
        <v>2015</v>
      </c>
      <c r="H2328" s="22" t="n">
        <v>95158</v>
      </c>
      <c r="I2328" s="22" t="n">
        <v>320000</v>
      </c>
      <c r="J2328" s="20" t="inlineStr">
        <is>
          <t>Shree Thiya cars</t>
        </is>
      </c>
      <c r="K2328" s="20" t="inlineStr">
        <is>
          <t>Non-Captive</t>
        </is>
      </c>
      <c r="L2328" s="20" t="inlineStr">
        <is>
          <t>NIrmal Cars</t>
        </is>
      </c>
      <c r="M2328" s="23" t="n">
        <v>5254.24</v>
      </c>
    </row>
    <row r="2329">
      <c r="A2329" s="19" t="inlineStr">
        <is>
          <t>FY27</t>
        </is>
      </c>
      <c r="B2329" s="19" t="inlineStr">
        <is>
          <t>Jun</t>
        </is>
      </c>
      <c r="C2329" s="19" t="inlineStr">
        <is>
          <t>TN</t>
        </is>
      </c>
      <c r="D2329" s="20" t="inlineStr">
        <is>
          <t>TN06J2741</t>
        </is>
      </c>
      <c r="E2329" s="20" t="inlineStr">
        <is>
          <t>HONDA</t>
        </is>
      </c>
      <c r="F2329" s="20" t="inlineStr">
        <is>
          <t>Brio</t>
        </is>
      </c>
      <c r="G2329" s="21" t="n">
        <v>2013</v>
      </c>
      <c r="H2329" s="22" t="n">
        <v>66194</v>
      </c>
      <c r="I2329" s="22" t="n">
        <v>310000</v>
      </c>
      <c r="J2329" s="20" t="inlineStr">
        <is>
          <t>GLOVIS INDIA PVT LTD</t>
        </is>
      </c>
      <c r="K2329" s="20" t="inlineStr">
        <is>
          <t>Non-Captive</t>
        </is>
      </c>
      <c r="L2329" s="20" t="inlineStr">
        <is>
          <t>Ramalingam Cars</t>
        </is>
      </c>
      <c r="M2329" s="23" t="n">
        <v>5084.75</v>
      </c>
    </row>
    <row r="2330">
      <c r="A2330" s="19" t="inlineStr">
        <is>
          <t>FY27</t>
        </is>
      </c>
      <c r="B2330" s="19" t="inlineStr">
        <is>
          <t>Jun</t>
        </is>
      </c>
      <c r="C2330" s="19" t="inlineStr">
        <is>
          <t>TN</t>
        </is>
      </c>
      <c r="D2330" s="20" t="inlineStr">
        <is>
          <t>TN11AH7128</t>
        </is>
      </c>
      <c r="E2330" s="20" t="inlineStr">
        <is>
          <t>MARUTI SUZUKI</t>
        </is>
      </c>
      <c r="F2330" s="20" t="inlineStr">
        <is>
          <t>Swift</t>
        </is>
      </c>
      <c r="G2330" s="21" t="n">
        <v>2018</v>
      </c>
      <c r="H2330" s="22" t="n">
        <v>99999</v>
      </c>
      <c r="I2330" s="22" t="n">
        <v>300000</v>
      </c>
      <c r="J2330" s="20" t="inlineStr">
        <is>
          <t>ABT LIMITED</t>
        </is>
      </c>
      <c r="K2330" s="20" t="inlineStr">
        <is>
          <t>Non-Captive</t>
        </is>
      </c>
      <c r="L2330" s="20" t="inlineStr">
        <is>
          <t>Ramalingam Cars</t>
        </is>
      </c>
      <c r="M2330" s="23" t="n">
        <v>5084.75</v>
      </c>
    </row>
    <row r="2331">
      <c r="A2331" s="19" t="inlineStr">
        <is>
          <t>FY27</t>
        </is>
      </c>
      <c r="B2331" s="19" t="inlineStr">
        <is>
          <t>Jun</t>
        </is>
      </c>
      <c r="C2331" s="19" t="inlineStr">
        <is>
          <t>TN</t>
        </is>
      </c>
      <c r="D2331" s="20" t="inlineStr">
        <is>
          <t>TN01AM2102</t>
        </is>
      </c>
      <c r="E2331" s="20" t="inlineStr">
        <is>
          <t>HYUNDAI</t>
        </is>
      </c>
      <c r="F2331" s="20" t="inlineStr">
        <is>
          <t>I20</t>
        </is>
      </c>
      <c r="G2331" s="21" t="n">
        <v>2010</v>
      </c>
      <c r="H2331" s="22" t="n">
        <v>116647</v>
      </c>
      <c r="I2331" s="22" t="n">
        <v>300000</v>
      </c>
      <c r="J2331" s="20" t="inlineStr">
        <is>
          <t>Khivraj Motor</t>
        </is>
      </c>
      <c r="K2331" s="20" t="inlineStr">
        <is>
          <t>Non-Captive</t>
        </is>
      </c>
      <c r="L2331" s="20" t="inlineStr">
        <is>
          <t>AAA Cars</t>
        </is>
      </c>
      <c r="M2331" s="23" t="n">
        <v>5084.75</v>
      </c>
    </row>
    <row r="2332">
      <c r="A2332" s="19" t="inlineStr">
        <is>
          <t>FY27</t>
        </is>
      </c>
      <c r="B2332" s="19" t="inlineStr">
        <is>
          <t>Jun</t>
        </is>
      </c>
      <c r="C2332" s="19" t="inlineStr">
        <is>
          <t>TN</t>
        </is>
      </c>
      <c r="D2332" s="20" t="inlineStr">
        <is>
          <t>TN18F5182</t>
        </is>
      </c>
      <c r="E2332" s="20" t="inlineStr">
        <is>
          <t>MARUTI SUZUKI</t>
        </is>
      </c>
      <c r="F2332" s="20" t="inlineStr">
        <is>
          <t>Swift Dzire</t>
        </is>
      </c>
      <c r="G2332" s="21" t="n">
        <v>2011</v>
      </c>
      <c r="H2332" s="22" t="n">
        <v>58733</v>
      </c>
      <c r="I2332" s="22" t="n">
        <v>300000</v>
      </c>
      <c r="J2332" s="20" t="inlineStr">
        <is>
          <t>SVM CARS PRIVATE LIMITED</t>
        </is>
      </c>
      <c r="K2332" s="20" t="inlineStr">
        <is>
          <t>Non-Captive</t>
        </is>
      </c>
      <c r="L2332" s="20" t="inlineStr">
        <is>
          <t>AAA Cars</t>
        </is>
      </c>
      <c r="M2332" s="23" t="n">
        <v>5084.75</v>
      </c>
    </row>
    <row r="2333">
      <c r="A2333" s="19" t="inlineStr">
        <is>
          <t>FY27</t>
        </is>
      </c>
      <c r="B2333" s="19" t="inlineStr">
        <is>
          <t>Jun</t>
        </is>
      </c>
      <c r="C2333" s="19" t="inlineStr">
        <is>
          <t>TN</t>
        </is>
      </c>
      <c r="D2333" s="20" t="inlineStr">
        <is>
          <t>TN879570</t>
        </is>
      </c>
      <c r="E2333" s="20" t="inlineStr">
        <is>
          <t>MAHINDRA</t>
        </is>
      </c>
      <c r="F2333" s="20" t="inlineStr">
        <is>
          <t>Xylo</t>
        </is>
      </c>
      <c r="G2333" s="21" t="n">
        <v>2018</v>
      </c>
      <c r="H2333" s="22" t="n">
        <v>138194</v>
      </c>
      <c r="I2333" s="22" t="n">
        <v>300000</v>
      </c>
      <c r="J2333" s="20" t="inlineStr">
        <is>
          <t>BHAGAVAN CARS</t>
        </is>
      </c>
      <c r="K2333" s="20" t="inlineStr">
        <is>
          <t>Non-Captive</t>
        </is>
      </c>
      <c r="L2333" s="20" t="inlineStr">
        <is>
          <t>AAA Cars</t>
        </is>
      </c>
      <c r="M2333" s="23" t="n">
        <v>5084.75</v>
      </c>
    </row>
    <row r="2334">
      <c r="A2334" s="19" t="inlineStr">
        <is>
          <t>FY27</t>
        </is>
      </c>
      <c r="B2334" s="19" t="inlineStr">
        <is>
          <t>Jun</t>
        </is>
      </c>
      <c r="C2334" s="19" t="inlineStr">
        <is>
          <t>TN</t>
        </is>
      </c>
      <c r="D2334" s="20" t="inlineStr">
        <is>
          <t>MH17BS0185</t>
        </is>
      </c>
      <c r="E2334" s="20" t="inlineStr">
        <is>
          <t>MARUTI SUZUKI</t>
        </is>
      </c>
      <c r="F2334" s="20" t="inlineStr">
        <is>
          <t>Celerio</t>
        </is>
      </c>
      <c r="G2334" s="21" t="n">
        <v>2016</v>
      </c>
      <c r="H2334" s="22" t="n">
        <v>109736</v>
      </c>
      <c r="I2334" s="22" t="n">
        <v>300000</v>
      </c>
      <c r="J2334" s="20" t="inlineStr">
        <is>
          <t>Khivraj Motor</t>
        </is>
      </c>
      <c r="K2334" s="20" t="inlineStr">
        <is>
          <t>Non-Captive</t>
        </is>
      </c>
      <c r="L2334" s="20" t="inlineStr">
        <is>
          <t>Pine Autos</t>
        </is>
      </c>
      <c r="M2334" s="23" t="n">
        <v>5084.75</v>
      </c>
    </row>
    <row r="2335">
      <c r="A2335" s="19" t="inlineStr">
        <is>
          <t>FY27</t>
        </is>
      </c>
      <c r="B2335" s="19" t="inlineStr">
        <is>
          <t>Jun</t>
        </is>
      </c>
      <c r="C2335" s="19" t="inlineStr">
        <is>
          <t>TN</t>
        </is>
      </c>
      <c r="D2335" s="20" t="inlineStr">
        <is>
          <t>TN09BH8095</t>
        </is>
      </c>
      <c r="E2335" s="20" t="inlineStr">
        <is>
          <t>MARUTI SUZUKI</t>
        </is>
      </c>
      <c r="F2335" s="20" t="inlineStr">
        <is>
          <t>Swift Dzire</t>
        </is>
      </c>
      <c r="G2335" s="21" t="n">
        <v>2011</v>
      </c>
      <c r="H2335" s="22" t="n">
        <v>70335</v>
      </c>
      <c r="I2335" s="22" t="n">
        <v>300000</v>
      </c>
      <c r="J2335" s="20" t="inlineStr">
        <is>
          <t>PRODUCTIVITY ELEMENTS PRIVATE LIMITED</t>
        </is>
      </c>
      <c r="K2335" s="20" t="inlineStr">
        <is>
          <t>Non-Captive</t>
        </is>
      </c>
      <c r="L2335" s="20" t="inlineStr">
        <is>
          <t>Balaji Cars</t>
        </is>
      </c>
      <c r="M2335" s="23" t="n">
        <v>5084.75</v>
      </c>
    </row>
    <row r="2336">
      <c r="A2336" s="19" t="inlineStr">
        <is>
          <t>FY27</t>
        </is>
      </c>
      <c r="B2336" s="19" t="inlineStr">
        <is>
          <t>Jun</t>
        </is>
      </c>
      <c r="C2336" s="19" t="inlineStr">
        <is>
          <t>TN</t>
        </is>
      </c>
      <c r="D2336" s="20" t="inlineStr">
        <is>
          <t>TN05AH8335</t>
        </is>
      </c>
      <c r="E2336" s="20" t="inlineStr">
        <is>
          <t>HYUNDAI</t>
        </is>
      </c>
      <c r="F2336" s="20" t="inlineStr">
        <is>
          <t>I10</t>
        </is>
      </c>
      <c r="G2336" s="21" t="n">
        <v>2011</v>
      </c>
      <c r="H2336" s="22" t="n">
        <v>56026</v>
      </c>
      <c r="I2336" s="22" t="n">
        <v>290000</v>
      </c>
      <c r="J2336" s="20" t="inlineStr">
        <is>
          <t>Khivraj Motor</t>
        </is>
      </c>
      <c r="K2336" s="20" t="inlineStr">
        <is>
          <t>Non-Captive</t>
        </is>
      </c>
      <c r="L2336" s="20" t="inlineStr">
        <is>
          <t>NIrmal Cars</t>
        </is>
      </c>
      <c r="M2336" s="23" t="n">
        <v>4237.29</v>
      </c>
    </row>
    <row r="2337">
      <c r="A2337" s="19" t="inlineStr">
        <is>
          <t>FY27</t>
        </is>
      </c>
      <c r="B2337" s="19" t="inlineStr">
        <is>
          <t>Jun</t>
        </is>
      </c>
      <c r="C2337" s="19" t="inlineStr">
        <is>
          <t>TN</t>
        </is>
      </c>
      <c r="D2337" s="20" t="inlineStr">
        <is>
          <t>TN144131</t>
        </is>
      </c>
      <c r="E2337" s="20" t="inlineStr">
        <is>
          <t>HONDA</t>
        </is>
      </c>
      <c r="F2337" s="20" t="inlineStr">
        <is>
          <t>Brio</t>
        </is>
      </c>
      <c r="G2337" s="21" t="n">
        <v>2014</v>
      </c>
      <c r="H2337" s="22" t="n">
        <v>121399</v>
      </c>
      <c r="I2337" s="22" t="n">
        <v>290000</v>
      </c>
      <c r="J2337" s="20" t="inlineStr">
        <is>
          <t>Khivraj Motor</t>
        </is>
      </c>
      <c r="K2337" s="20" t="inlineStr">
        <is>
          <t>Non-Captive</t>
        </is>
      </c>
      <c r="L2337" s="20" t="inlineStr">
        <is>
          <t>NIrmal Cars</t>
        </is>
      </c>
      <c r="M2337" s="23" t="n">
        <v>4237.29</v>
      </c>
    </row>
    <row r="2338">
      <c r="A2338" s="19" t="inlineStr">
        <is>
          <t>FY27</t>
        </is>
      </c>
      <c r="B2338" s="19" t="inlineStr">
        <is>
          <t>Jun</t>
        </is>
      </c>
      <c r="C2338" s="19" t="inlineStr">
        <is>
          <t>TN</t>
        </is>
      </c>
      <c r="D2338" s="20" t="inlineStr">
        <is>
          <t>TN59AV2470</t>
        </is>
      </c>
      <c r="E2338" s="20" t="inlineStr">
        <is>
          <t>HYUNDAI</t>
        </is>
      </c>
      <c r="F2338" s="20" t="inlineStr">
        <is>
          <t>I10</t>
        </is>
      </c>
      <c r="G2338" s="21" t="n">
        <v>2012</v>
      </c>
      <c r="H2338" s="22" t="n">
        <v>103395</v>
      </c>
      <c r="I2338" s="22" t="n">
        <v>290000</v>
      </c>
      <c r="J2338" s="20" t="inlineStr">
        <is>
          <t>SUN CARS</t>
        </is>
      </c>
      <c r="K2338" s="20" t="inlineStr">
        <is>
          <t>Non-Captive</t>
        </is>
      </c>
      <c r="L2338" s="20" t="inlineStr">
        <is>
          <t>NIrmal Cars</t>
        </is>
      </c>
      <c r="M2338" s="23" t="n">
        <v>4237.29</v>
      </c>
    </row>
    <row r="2339">
      <c r="A2339" s="19" t="inlineStr">
        <is>
          <t>FY27</t>
        </is>
      </c>
      <c r="B2339" s="19" t="inlineStr">
        <is>
          <t>Jun</t>
        </is>
      </c>
      <c r="C2339" s="19" t="inlineStr">
        <is>
          <t>TN</t>
        </is>
      </c>
      <c r="D2339" s="20" t="inlineStr">
        <is>
          <t>TN04AP3861</t>
        </is>
      </c>
      <c r="E2339" s="20" t="inlineStr">
        <is>
          <t>HYUNDAI</t>
        </is>
      </c>
      <c r="F2339" s="20" t="inlineStr">
        <is>
          <t>I10</t>
        </is>
      </c>
      <c r="G2339" s="21" t="n">
        <v>2014</v>
      </c>
      <c r="H2339" s="22" t="n">
        <v>69684</v>
      </c>
      <c r="I2339" s="22" t="n">
        <v>290000</v>
      </c>
      <c r="J2339" s="20" t="inlineStr">
        <is>
          <t>Cresco cars</t>
        </is>
      </c>
      <c r="K2339" s="20" t="inlineStr">
        <is>
          <t>Non-Captive</t>
        </is>
      </c>
      <c r="L2339" s="20" t="inlineStr">
        <is>
          <t>NIrmal Cars</t>
        </is>
      </c>
      <c r="M2339" s="23" t="n">
        <v>4237.29</v>
      </c>
    </row>
    <row r="2340">
      <c r="A2340" s="19" t="inlineStr">
        <is>
          <t>FY27</t>
        </is>
      </c>
      <c r="B2340" s="19" t="inlineStr">
        <is>
          <t>Jun</t>
        </is>
      </c>
      <c r="C2340" s="19" t="inlineStr">
        <is>
          <t>TN</t>
        </is>
      </c>
      <c r="D2340" s="20" t="inlineStr">
        <is>
          <t>TN92B1407</t>
        </is>
      </c>
      <c r="E2340" s="20" t="inlineStr">
        <is>
          <t>RENAULT</t>
        </is>
      </c>
      <c r="F2340" s="20" t="inlineStr">
        <is>
          <t>Kwid</t>
        </is>
      </c>
      <c r="G2340" s="21" t="n">
        <v>2017</v>
      </c>
      <c r="H2340" s="22" t="n">
        <v>121785</v>
      </c>
      <c r="I2340" s="22" t="n">
        <v>280000</v>
      </c>
      <c r="J2340" s="20" t="inlineStr">
        <is>
          <t>AADHI CARS</t>
        </is>
      </c>
      <c r="K2340" s="20" t="inlineStr">
        <is>
          <t>Non-Captive</t>
        </is>
      </c>
      <c r="L2340" s="20" t="inlineStr">
        <is>
          <t>NIrmal Cars</t>
        </is>
      </c>
      <c r="M2340" s="23" t="n">
        <v>4237.29</v>
      </c>
    </row>
    <row r="2341">
      <c r="A2341" s="19" t="inlineStr">
        <is>
          <t>FY27</t>
        </is>
      </c>
      <c r="B2341" s="19" t="inlineStr">
        <is>
          <t>Jun</t>
        </is>
      </c>
      <c r="C2341" s="19" t="inlineStr">
        <is>
          <t>TN</t>
        </is>
      </c>
      <c r="D2341" s="20" t="inlineStr">
        <is>
          <t>TN01AR8188</t>
        </is>
      </c>
      <c r="E2341" s="20" t="inlineStr">
        <is>
          <t>MARUTI SUZUKI</t>
        </is>
      </c>
      <c r="F2341" s="20" t="inlineStr">
        <is>
          <t>Wagon R</t>
        </is>
      </c>
      <c r="G2341" s="21" t="n">
        <v>2012</v>
      </c>
      <c r="H2341" s="22" t="n">
        <v>89413</v>
      </c>
      <c r="I2341" s="22" t="n">
        <v>280000</v>
      </c>
      <c r="J2341" s="20" t="inlineStr">
        <is>
          <t>Cresco cars</t>
        </is>
      </c>
      <c r="K2341" s="20" t="inlineStr">
        <is>
          <t>Non-Captive</t>
        </is>
      </c>
      <c r="L2341" s="20" t="inlineStr">
        <is>
          <t>NIrmal Cars</t>
        </is>
      </c>
      <c r="M2341" s="23" t="n">
        <v>4237.29</v>
      </c>
    </row>
    <row r="2342">
      <c r="A2342" s="19" t="inlineStr">
        <is>
          <t>FY27</t>
        </is>
      </c>
      <c r="B2342" s="19" t="inlineStr">
        <is>
          <t>Jun</t>
        </is>
      </c>
      <c r="C2342" s="19" t="inlineStr">
        <is>
          <t>TN</t>
        </is>
      </c>
      <c r="D2342" s="20" t="inlineStr">
        <is>
          <t>TN10AA9111</t>
        </is>
      </c>
      <c r="E2342" s="20" t="inlineStr">
        <is>
          <t>MARUTI SUZUKI</t>
        </is>
      </c>
      <c r="F2342" s="20" t="inlineStr">
        <is>
          <t>Swift</t>
        </is>
      </c>
      <c r="G2342" s="21" t="n">
        <v>2010</v>
      </c>
      <c r="H2342" s="22" t="n">
        <v>74048</v>
      </c>
      <c r="I2342" s="22" t="n">
        <v>280000</v>
      </c>
      <c r="J2342" s="20" t="inlineStr">
        <is>
          <t>Cresco cars</t>
        </is>
      </c>
      <c r="K2342" s="20" t="inlineStr">
        <is>
          <t>Non-Captive</t>
        </is>
      </c>
      <c r="L2342" s="20" t="inlineStr">
        <is>
          <t>NIrmal Cars</t>
        </is>
      </c>
      <c r="M2342" s="23" t="n">
        <v>4237.29</v>
      </c>
    </row>
    <row r="2343">
      <c r="A2343" s="19" t="inlineStr">
        <is>
          <t>FY27</t>
        </is>
      </c>
      <c r="B2343" s="19" t="inlineStr">
        <is>
          <t>Jun</t>
        </is>
      </c>
      <c r="C2343" s="19" t="inlineStr">
        <is>
          <t>TN</t>
        </is>
      </c>
      <c r="D2343" s="20" t="inlineStr">
        <is>
          <t>TN04AK9900</t>
        </is>
      </c>
      <c r="E2343" s="20" t="inlineStr">
        <is>
          <t>HONDA</t>
        </is>
      </c>
      <c r="F2343" s="20" t="inlineStr">
        <is>
          <t>Brio</t>
        </is>
      </c>
      <c r="G2343" s="21" t="n">
        <v>2012</v>
      </c>
      <c r="H2343" s="22" t="n">
        <v>66644</v>
      </c>
      <c r="I2343" s="22" t="n">
        <v>280000</v>
      </c>
      <c r="J2343" s="20" t="inlineStr">
        <is>
          <t>LANSON QCARS PRIVATE LIMITED</t>
        </is>
      </c>
      <c r="K2343" s="20" t="inlineStr">
        <is>
          <t>Non-Captive</t>
        </is>
      </c>
      <c r="L2343" s="20" t="inlineStr">
        <is>
          <t>TSM</t>
        </is>
      </c>
      <c r="M2343" s="23" t="n">
        <v>4237.29</v>
      </c>
    </row>
    <row r="2344">
      <c r="A2344" s="19" t="inlineStr">
        <is>
          <t>FY27</t>
        </is>
      </c>
      <c r="B2344" s="19" t="inlineStr">
        <is>
          <t>Jun</t>
        </is>
      </c>
      <c r="C2344" s="19" t="inlineStr">
        <is>
          <t>TN</t>
        </is>
      </c>
      <c r="D2344" s="20" t="inlineStr">
        <is>
          <t>TN13A4839</t>
        </is>
      </c>
      <c r="E2344" s="20" t="inlineStr">
        <is>
          <t>MARUTI SUZUKI</t>
        </is>
      </c>
      <c r="F2344" s="20" t="inlineStr">
        <is>
          <t>Ritz</t>
        </is>
      </c>
      <c r="G2344" s="21" t="n">
        <v>2014</v>
      </c>
      <c r="H2344" s="22" t="n">
        <v>180115</v>
      </c>
      <c r="I2344" s="22" t="n">
        <v>275000</v>
      </c>
      <c r="J2344" s="20" t="inlineStr">
        <is>
          <t>Cresco cars</t>
        </is>
      </c>
      <c r="K2344" s="20" t="inlineStr">
        <is>
          <t>Non-Captive</t>
        </is>
      </c>
      <c r="L2344" s="20" t="inlineStr">
        <is>
          <t>TSM</t>
        </is>
      </c>
      <c r="M2344" s="23" t="n">
        <v>4237.29</v>
      </c>
    </row>
    <row r="2345">
      <c r="A2345" s="19" t="inlineStr">
        <is>
          <t>FY27</t>
        </is>
      </c>
      <c r="B2345" s="19" t="inlineStr">
        <is>
          <t>Jun</t>
        </is>
      </c>
      <c r="C2345" s="19" t="inlineStr">
        <is>
          <t>TN</t>
        </is>
      </c>
      <c r="D2345" s="20" t="inlineStr">
        <is>
          <t>TN09CA9387</t>
        </is>
      </c>
      <c r="E2345" s="20" t="inlineStr">
        <is>
          <t>MARUTI SUZUKI</t>
        </is>
      </c>
      <c r="F2345" s="20" t="inlineStr">
        <is>
          <t>Alto K10</t>
        </is>
      </c>
      <c r="G2345" s="21" t="n">
        <v>2015</v>
      </c>
      <c r="H2345" s="22" t="n">
        <v>39411</v>
      </c>
      <c r="I2345" s="22" t="n">
        <v>275000</v>
      </c>
      <c r="J2345" s="20" t="inlineStr">
        <is>
          <t>Cresco cars</t>
        </is>
      </c>
      <c r="K2345" s="20" t="inlineStr">
        <is>
          <t>Non-Captive</t>
        </is>
      </c>
      <c r="L2345" s="20" t="inlineStr">
        <is>
          <t>Ramalingam Cars</t>
        </is>
      </c>
      <c r="M2345" s="23" t="n">
        <v>4237.29</v>
      </c>
    </row>
    <row r="2346">
      <c r="A2346" s="19" t="inlineStr">
        <is>
          <t>FY27</t>
        </is>
      </c>
      <c r="B2346" s="19" t="inlineStr">
        <is>
          <t>Jun</t>
        </is>
      </c>
      <c r="C2346" s="19" t="inlineStr">
        <is>
          <t>TN</t>
        </is>
      </c>
      <c r="D2346" s="20" t="inlineStr">
        <is>
          <t>TN22DB2137</t>
        </is>
      </c>
      <c r="E2346" s="20" t="inlineStr">
        <is>
          <t>MARUTI SUZUKI</t>
        </is>
      </c>
      <c r="F2346" s="20" t="inlineStr">
        <is>
          <t>Alto 800</t>
        </is>
      </c>
      <c r="G2346" s="21" t="n">
        <v>2015</v>
      </c>
      <c r="H2346" s="22" t="n">
        <v>32800</v>
      </c>
      <c r="I2346" s="22" t="n">
        <v>270000</v>
      </c>
      <c r="J2346" s="20" t="inlineStr">
        <is>
          <t>Khivraj Motor</t>
        </is>
      </c>
      <c r="K2346" s="20" t="inlineStr">
        <is>
          <t>Non-Captive</t>
        </is>
      </c>
      <c r="L2346" s="20" t="inlineStr">
        <is>
          <t>Ramalingam Cars</t>
        </is>
      </c>
      <c r="M2346" s="23" t="n">
        <v>4237.29</v>
      </c>
    </row>
    <row r="2347">
      <c r="A2347" s="19" t="inlineStr">
        <is>
          <t>FY27</t>
        </is>
      </c>
      <c r="B2347" s="19" t="inlineStr">
        <is>
          <t>Jun</t>
        </is>
      </c>
      <c r="C2347" s="19" t="inlineStr">
        <is>
          <t>TN</t>
        </is>
      </c>
      <c r="D2347" s="20" t="inlineStr">
        <is>
          <t>TN88Z2352</t>
        </is>
      </c>
      <c r="E2347" s="20" t="inlineStr">
        <is>
          <t>CHEVROLET</t>
        </is>
      </c>
      <c r="F2347" s="20" t="inlineStr">
        <is>
          <t>Sail</t>
        </is>
      </c>
      <c r="G2347" s="21" t="n">
        <v>2013</v>
      </c>
      <c r="H2347" s="22" t="n">
        <v>99546</v>
      </c>
      <c r="I2347" s="22" t="n">
        <v>270000</v>
      </c>
      <c r="J2347" s="20" t="inlineStr">
        <is>
          <t>THIRIVENI CARS</t>
        </is>
      </c>
      <c r="K2347" s="20" t="inlineStr">
        <is>
          <t>Non-Captive</t>
        </is>
      </c>
      <c r="L2347" s="20" t="inlineStr">
        <is>
          <t>Ramalingam Cars</t>
        </is>
      </c>
      <c r="M2347" s="23" t="n">
        <v>4237.29</v>
      </c>
    </row>
    <row r="2348">
      <c r="A2348" s="19" t="inlineStr">
        <is>
          <t>FY27</t>
        </is>
      </c>
      <c r="B2348" s="19" t="inlineStr">
        <is>
          <t>Jun</t>
        </is>
      </c>
      <c r="C2348" s="19" t="inlineStr">
        <is>
          <t>TN</t>
        </is>
      </c>
      <c r="D2348" s="20" t="inlineStr">
        <is>
          <t>TN10BB1063</t>
        </is>
      </c>
      <c r="E2348" s="20" t="inlineStr">
        <is>
          <t>RENAULT</t>
        </is>
      </c>
      <c r="F2348" s="20" t="inlineStr">
        <is>
          <t>Kwid</t>
        </is>
      </c>
      <c r="G2348" s="21" t="n">
        <v>2017</v>
      </c>
      <c r="H2348" s="22" t="n">
        <v>55369</v>
      </c>
      <c r="I2348" s="22" t="n">
        <v>270000</v>
      </c>
      <c r="J2348" s="20" t="inlineStr">
        <is>
          <t>SVM CARS PRIVATE LIMITED</t>
        </is>
      </c>
      <c r="K2348" s="20" t="inlineStr">
        <is>
          <t>Non-Captive</t>
        </is>
      </c>
      <c r="L2348" s="20" t="inlineStr">
        <is>
          <t>TSM</t>
        </is>
      </c>
      <c r="M2348" s="23" t="n">
        <v>4237.29</v>
      </c>
    </row>
    <row r="2349">
      <c r="A2349" s="19" t="inlineStr">
        <is>
          <t>FY27</t>
        </is>
      </c>
      <c r="B2349" s="19" t="inlineStr">
        <is>
          <t>Jun</t>
        </is>
      </c>
      <c r="C2349" s="19" t="inlineStr">
        <is>
          <t>TN</t>
        </is>
      </c>
      <c r="D2349" s="20" t="inlineStr">
        <is>
          <t>TN59AV0333</t>
        </is>
      </c>
      <c r="E2349" s="20" t="inlineStr">
        <is>
          <t>VOLKSWAGEN</t>
        </is>
      </c>
      <c r="F2349" s="20" t="inlineStr">
        <is>
          <t>Vento</t>
        </is>
      </c>
      <c r="G2349" s="21" t="n">
        <v>2011</v>
      </c>
      <c r="H2349" s="22" t="n">
        <v>88060</v>
      </c>
      <c r="I2349" s="22" t="n">
        <v>270000</v>
      </c>
      <c r="J2349" s="20" t="inlineStr">
        <is>
          <t>SUN CARS</t>
        </is>
      </c>
      <c r="K2349" s="20" t="inlineStr">
        <is>
          <t>Non-Captive</t>
        </is>
      </c>
      <c r="L2349" s="20" t="inlineStr">
        <is>
          <t>TSM</t>
        </is>
      </c>
      <c r="M2349" s="23" t="n">
        <v>4237.29</v>
      </c>
    </row>
    <row r="2350">
      <c r="A2350" s="19" t="inlineStr">
        <is>
          <t>FY27</t>
        </is>
      </c>
      <c r="B2350" s="19" t="inlineStr">
        <is>
          <t>Jun</t>
        </is>
      </c>
      <c r="C2350" s="19" t="inlineStr">
        <is>
          <t>TN</t>
        </is>
      </c>
      <c r="D2350" s="20" t="inlineStr">
        <is>
          <t>TN18W5857</t>
        </is>
      </c>
      <c r="E2350" s="20" t="inlineStr">
        <is>
          <t>MARUTI SUZUKI</t>
        </is>
      </c>
      <c r="F2350" s="20" t="inlineStr">
        <is>
          <t>Wagon R</t>
        </is>
      </c>
      <c r="G2350" s="21" t="n">
        <v>2012</v>
      </c>
      <c r="H2350" s="22" t="n">
        <v>72564</v>
      </c>
      <c r="I2350" s="22" t="n">
        <v>270000</v>
      </c>
      <c r="J2350" s="20" t="inlineStr">
        <is>
          <t>Khivraj Motor</t>
        </is>
      </c>
      <c r="K2350" s="20" t="inlineStr">
        <is>
          <t>Non-Captive</t>
        </is>
      </c>
      <c r="L2350" s="20" t="inlineStr">
        <is>
          <t>TSM</t>
        </is>
      </c>
      <c r="M2350" s="23" t="n">
        <v>4237.29</v>
      </c>
    </row>
    <row r="2351">
      <c r="A2351" s="19" t="inlineStr">
        <is>
          <t>FY27</t>
        </is>
      </c>
      <c r="B2351" s="19" t="inlineStr">
        <is>
          <t>Jun</t>
        </is>
      </c>
      <c r="C2351" s="19" t="inlineStr">
        <is>
          <t>TN</t>
        </is>
      </c>
      <c r="D2351" s="20" t="inlineStr">
        <is>
          <t>TN07BV6721</t>
        </is>
      </c>
      <c r="E2351" s="20" t="inlineStr">
        <is>
          <t>MARUTI SUZUKI</t>
        </is>
      </c>
      <c r="F2351" s="20" t="inlineStr">
        <is>
          <t>Wagon R</t>
        </is>
      </c>
      <c r="G2351" s="21" t="n">
        <v>2013</v>
      </c>
      <c r="H2351" s="22" t="n">
        <v>48754</v>
      </c>
      <c r="I2351" s="22" t="n">
        <v>260000</v>
      </c>
      <c r="J2351" s="20" t="inlineStr">
        <is>
          <t>Khivraj Motor</t>
        </is>
      </c>
      <c r="K2351" s="20" t="inlineStr">
        <is>
          <t>Non-Captive</t>
        </is>
      </c>
      <c r="L2351" s="20" t="inlineStr">
        <is>
          <t>TSM</t>
        </is>
      </c>
      <c r="M2351" s="23" t="n">
        <v>4237.29</v>
      </c>
    </row>
    <row r="2352">
      <c r="A2352" s="19" t="inlineStr">
        <is>
          <t>FY27</t>
        </is>
      </c>
      <c r="B2352" s="19" t="inlineStr">
        <is>
          <t>Jun</t>
        </is>
      </c>
      <c r="C2352" s="19" t="inlineStr">
        <is>
          <t>TN</t>
        </is>
      </c>
      <c r="D2352" s="20" t="inlineStr">
        <is>
          <t>TN22CU2246</t>
        </is>
      </c>
      <c r="E2352" s="20" t="inlineStr">
        <is>
          <t>HYUNDAI</t>
        </is>
      </c>
      <c r="F2352" s="20" t="inlineStr">
        <is>
          <t>I10</t>
        </is>
      </c>
      <c r="G2352" s="21" t="n">
        <v>2011</v>
      </c>
      <c r="H2352" s="22" t="n">
        <v>54408</v>
      </c>
      <c r="I2352" s="22" t="n">
        <v>260000</v>
      </c>
      <c r="J2352" s="20" t="inlineStr">
        <is>
          <t>GLOVIS INDIA PVT LTD</t>
        </is>
      </c>
      <c r="K2352" s="20" t="inlineStr">
        <is>
          <t>Non-Captive</t>
        </is>
      </c>
      <c r="L2352" s="20" t="inlineStr">
        <is>
          <t>TSM</t>
        </is>
      </c>
      <c r="M2352" s="23" t="n">
        <v>4237.29</v>
      </c>
    </row>
    <row r="2353">
      <c r="A2353" s="19" t="inlineStr">
        <is>
          <t>FY27</t>
        </is>
      </c>
      <c r="B2353" s="19" t="inlineStr">
        <is>
          <t>Jun</t>
        </is>
      </c>
      <c r="C2353" s="19" t="inlineStr">
        <is>
          <t>TN</t>
        </is>
      </c>
      <c r="D2353" s="20" t="inlineStr">
        <is>
          <t>TN13H2009</t>
        </is>
      </c>
      <c r="E2353" s="20" t="inlineStr">
        <is>
          <t>MARUTI SUZUKI</t>
        </is>
      </c>
      <c r="F2353" s="20" t="inlineStr">
        <is>
          <t>Alto</t>
        </is>
      </c>
      <c r="G2353" s="21" t="n">
        <v>2016</v>
      </c>
      <c r="H2353" s="22" t="n">
        <v>44441</v>
      </c>
      <c r="I2353" s="22" t="n">
        <v>260000</v>
      </c>
      <c r="J2353" s="20" t="inlineStr">
        <is>
          <t>AIE CARS PRIVATE LIMITED</t>
        </is>
      </c>
      <c r="K2353" s="20" t="inlineStr">
        <is>
          <t>Non-Captive</t>
        </is>
      </c>
      <c r="L2353" s="20" t="inlineStr">
        <is>
          <t>TSM</t>
        </is>
      </c>
      <c r="M2353" s="23" t="n">
        <v>4237.29</v>
      </c>
    </row>
    <row r="2354">
      <c r="A2354" s="19" t="inlineStr">
        <is>
          <t>FY27</t>
        </is>
      </c>
      <c r="B2354" s="19" t="inlineStr">
        <is>
          <t>Jun</t>
        </is>
      </c>
      <c r="C2354" s="19" t="inlineStr">
        <is>
          <t>TN</t>
        </is>
      </c>
      <c r="D2354" s="20" t="inlineStr">
        <is>
          <t>TN01AU2757</t>
        </is>
      </c>
      <c r="E2354" s="20" t="inlineStr">
        <is>
          <t>SKODA</t>
        </is>
      </c>
      <c r="F2354" s="20" t="inlineStr">
        <is>
          <t>Rapid</t>
        </is>
      </c>
      <c r="G2354" s="21" t="n">
        <v>2013</v>
      </c>
      <c r="H2354" s="22" t="n">
        <v>107786</v>
      </c>
      <c r="I2354" s="22" t="n">
        <v>260000</v>
      </c>
      <c r="J2354" s="20" t="inlineStr">
        <is>
          <t>Khivraj Motor</t>
        </is>
      </c>
      <c r="K2354" s="20" t="inlineStr">
        <is>
          <t>Non-Captive</t>
        </is>
      </c>
      <c r="L2354" s="20" t="inlineStr">
        <is>
          <t>TSM</t>
        </is>
      </c>
      <c r="M2354" s="23" t="n">
        <v>4237.29</v>
      </c>
    </row>
    <row r="2355">
      <c r="A2355" s="19" t="inlineStr">
        <is>
          <t>FY27</t>
        </is>
      </c>
      <c r="B2355" s="19" t="inlineStr">
        <is>
          <t>Jun</t>
        </is>
      </c>
      <c r="C2355" s="19" t="inlineStr">
        <is>
          <t>TN</t>
        </is>
      </c>
      <c r="D2355" s="20" t="inlineStr">
        <is>
          <t>TN13H7879</t>
        </is>
      </c>
      <c r="E2355" s="20" t="inlineStr">
        <is>
          <t>DATSUN</t>
        </is>
      </c>
      <c r="F2355" s="20" t="inlineStr">
        <is>
          <t>Redi-Go</t>
        </is>
      </c>
      <c r="G2355" s="21" t="n">
        <v>2017</v>
      </c>
      <c r="H2355" s="22" t="n">
        <v>49674</v>
      </c>
      <c r="I2355" s="22" t="n">
        <v>260000</v>
      </c>
      <c r="J2355" s="20" t="inlineStr">
        <is>
          <t>ABT LIMITED</t>
        </is>
      </c>
      <c r="K2355" s="20" t="inlineStr">
        <is>
          <t>Non-Captive</t>
        </is>
      </c>
      <c r="L2355" s="20" t="inlineStr">
        <is>
          <t>TSM</t>
        </is>
      </c>
      <c r="M2355" s="23" t="n">
        <v>4237.29</v>
      </c>
    </row>
    <row r="2356">
      <c r="A2356" s="19" t="inlineStr">
        <is>
          <t>FY27</t>
        </is>
      </c>
      <c r="B2356" s="19" t="inlineStr">
        <is>
          <t>Jun</t>
        </is>
      </c>
      <c r="C2356" s="19" t="inlineStr">
        <is>
          <t>TN</t>
        </is>
      </c>
      <c r="D2356" s="20" t="inlineStr">
        <is>
          <t>TN22CJ3258</t>
        </is>
      </c>
      <c r="E2356" s="20" t="inlineStr">
        <is>
          <t>NISSAN</t>
        </is>
      </c>
      <c r="F2356" s="20" t="inlineStr">
        <is>
          <t>Micra</t>
        </is>
      </c>
      <c r="G2356" s="21" t="n">
        <v>2012</v>
      </c>
      <c r="H2356" s="22" t="n">
        <v>13626</v>
      </c>
      <c r="I2356" s="22" t="n">
        <v>260000</v>
      </c>
      <c r="J2356" s="20" t="inlineStr">
        <is>
          <t>POPULAR VEHICLES AND SERVICES LIMITED</t>
        </is>
      </c>
      <c r="K2356" s="20" t="inlineStr">
        <is>
          <t>Non-Captive</t>
        </is>
      </c>
      <c r="L2356" s="20" t="inlineStr">
        <is>
          <t>TSM</t>
        </is>
      </c>
      <c r="M2356" s="23" t="n">
        <v>4237.29</v>
      </c>
    </row>
    <row r="2357">
      <c r="A2357" s="19" t="inlineStr">
        <is>
          <t>FY27</t>
        </is>
      </c>
      <c r="B2357" s="19" t="inlineStr">
        <is>
          <t>Jun</t>
        </is>
      </c>
      <c r="C2357" s="19" t="inlineStr">
        <is>
          <t>TN</t>
        </is>
      </c>
      <c r="D2357" s="20" t="inlineStr">
        <is>
          <t>TN01AS8286</t>
        </is>
      </c>
      <c r="E2357" s="20" t="inlineStr">
        <is>
          <t>MARUTI SUZUKI</t>
        </is>
      </c>
      <c r="F2357" s="20" t="inlineStr">
        <is>
          <t>Alto K10</t>
        </is>
      </c>
      <c r="G2357" s="21" t="n">
        <v>2012</v>
      </c>
      <c r="H2357" s="22" t="n">
        <v>36822</v>
      </c>
      <c r="I2357" s="22" t="n">
        <v>250000</v>
      </c>
      <c r="J2357" s="20" t="inlineStr">
        <is>
          <t>ABT LIMITED</t>
        </is>
      </c>
      <c r="K2357" s="20" t="inlineStr">
        <is>
          <t>Non-Captive</t>
        </is>
      </c>
      <c r="L2357" s="20" t="inlineStr">
        <is>
          <t>TSM</t>
        </is>
      </c>
      <c r="M2357" s="23" t="n">
        <v>4237.29</v>
      </c>
    </row>
    <row r="2358">
      <c r="A2358" s="19" t="inlineStr">
        <is>
          <t>FY27</t>
        </is>
      </c>
      <c r="B2358" s="19" t="inlineStr">
        <is>
          <t>Jun</t>
        </is>
      </c>
      <c r="C2358" s="19" t="inlineStr">
        <is>
          <t>TN</t>
        </is>
      </c>
      <c r="D2358" s="20" t="inlineStr">
        <is>
          <t>TN22DH6862</t>
        </is>
      </c>
      <c r="E2358" s="20" t="inlineStr">
        <is>
          <t>MARUTI SUZUKI</t>
        </is>
      </c>
      <c r="F2358" s="20" t="inlineStr">
        <is>
          <t>Alto 800</t>
        </is>
      </c>
      <c r="G2358" s="21" t="n">
        <v>2017</v>
      </c>
      <c r="H2358" s="22" t="n">
        <v>53687</v>
      </c>
      <c r="I2358" s="22" t="n">
        <v>250000</v>
      </c>
      <c r="J2358" s="20" t="inlineStr">
        <is>
          <t>THIRIVENI CARS</t>
        </is>
      </c>
      <c r="K2358" s="20" t="inlineStr">
        <is>
          <t>Non-Captive</t>
        </is>
      </c>
      <c r="L2358" s="20" t="inlineStr">
        <is>
          <t>Ramalingam Cars</t>
        </is>
      </c>
      <c r="M2358" s="23" t="n">
        <v>4449.15</v>
      </c>
    </row>
    <row r="2359">
      <c r="A2359" s="19" t="inlineStr">
        <is>
          <t>FY27</t>
        </is>
      </c>
      <c r="B2359" s="19" t="inlineStr">
        <is>
          <t>Jun</t>
        </is>
      </c>
      <c r="C2359" s="19" t="inlineStr">
        <is>
          <t>TN</t>
        </is>
      </c>
      <c r="D2359" s="20" t="inlineStr">
        <is>
          <t>TN22CX4097</t>
        </is>
      </c>
      <c r="E2359" s="20" t="inlineStr">
        <is>
          <t>MARUTI SUZUKI</t>
        </is>
      </c>
      <c r="F2359" s="20" t="inlineStr">
        <is>
          <t>Wagon R</t>
        </is>
      </c>
      <c r="G2359" s="21" t="n">
        <v>2011</v>
      </c>
      <c r="H2359" s="22" t="n">
        <v>148963</v>
      </c>
      <c r="I2359" s="22" t="n">
        <v>250000</v>
      </c>
      <c r="J2359" s="20" t="inlineStr">
        <is>
          <t>Khivraj Motor</t>
        </is>
      </c>
      <c r="K2359" s="20" t="inlineStr">
        <is>
          <t>Non-Captive</t>
        </is>
      </c>
      <c r="L2359" s="20" t="inlineStr">
        <is>
          <t>Ramalingam Cars</t>
        </is>
      </c>
      <c r="M2359" s="23" t="n">
        <v>4449.15</v>
      </c>
    </row>
    <row r="2360">
      <c r="A2360" s="19" t="inlineStr">
        <is>
          <t>FY27</t>
        </is>
      </c>
      <c r="B2360" s="19" t="inlineStr">
        <is>
          <t>Jun</t>
        </is>
      </c>
      <c r="C2360" s="19" t="inlineStr">
        <is>
          <t>TN</t>
        </is>
      </c>
      <c r="D2360" s="20" t="inlineStr">
        <is>
          <t>TN062424</t>
        </is>
      </c>
      <c r="E2360" s="20" t="inlineStr">
        <is>
          <t>HONDA</t>
        </is>
      </c>
      <c r="F2360" s="20" t="inlineStr">
        <is>
          <t>City</t>
        </is>
      </c>
      <c r="G2360" s="21" t="n">
        <v>2009</v>
      </c>
      <c r="H2360" s="22" t="n">
        <v>77996</v>
      </c>
      <c r="I2360" s="22" t="n">
        <v>250000</v>
      </c>
      <c r="J2360" s="20" t="inlineStr">
        <is>
          <t>NIRMAL</t>
        </is>
      </c>
      <c r="K2360" s="20" t="inlineStr">
        <is>
          <t>Non-Captive</t>
        </is>
      </c>
      <c r="L2360" s="20" t="inlineStr">
        <is>
          <t>TSM</t>
        </is>
      </c>
      <c r="M2360" s="23" t="n">
        <v>4237.29</v>
      </c>
    </row>
    <row r="2361">
      <c r="A2361" s="19" t="inlineStr">
        <is>
          <t>FY27</t>
        </is>
      </c>
      <c r="B2361" s="19" t="inlineStr">
        <is>
          <t>Jun</t>
        </is>
      </c>
      <c r="C2361" s="19" t="inlineStr">
        <is>
          <t>TN</t>
        </is>
      </c>
      <c r="D2361" s="20" t="inlineStr">
        <is>
          <t>TN05AR0535</t>
        </is>
      </c>
      <c r="E2361" s="20" t="inlineStr">
        <is>
          <t>VOLKSWAGEN</t>
        </is>
      </c>
      <c r="F2361" s="20" t="inlineStr">
        <is>
          <t>Polo</t>
        </is>
      </c>
      <c r="G2361" s="21" t="n">
        <v>2012</v>
      </c>
      <c r="H2361" s="22" t="n">
        <v>9999</v>
      </c>
      <c r="I2361" s="22" t="n">
        <v>250000</v>
      </c>
      <c r="J2361" s="20" t="inlineStr">
        <is>
          <t>CARS INDIA</t>
        </is>
      </c>
      <c r="K2361" s="20" t="inlineStr">
        <is>
          <t>Non-Captive</t>
        </is>
      </c>
      <c r="L2361" s="20" t="inlineStr">
        <is>
          <t>TSM</t>
        </is>
      </c>
      <c r="M2361" s="23" t="n">
        <v>4237.29</v>
      </c>
    </row>
    <row r="2362">
      <c r="A2362" s="19" t="inlineStr">
        <is>
          <t>FY27</t>
        </is>
      </c>
      <c r="B2362" s="19" t="inlineStr">
        <is>
          <t>Jun</t>
        </is>
      </c>
      <c r="C2362" s="19" t="inlineStr">
        <is>
          <t>TN</t>
        </is>
      </c>
      <c r="D2362" s="20" t="inlineStr">
        <is>
          <t>GJ05CP7816</t>
        </is>
      </c>
      <c r="E2362" s="20" t="inlineStr">
        <is>
          <t>MARUTI SUZUKI</t>
        </is>
      </c>
      <c r="F2362" s="20" t="inlineStr">
        <is>
          <t>Swift Dzire</t>
        </is>
      </c>
      <c r="G2362" s="21" t="n">
        <v>2011</v>
      </c>
      <c r="H2362" s="22" t="n">
        <v>53608</v>
      </c>
      <c r="I2362" s="22" t="n">
        <v>250000</v>
      </c>
      <c r="J2362" s="20" t="inlineStr">
        <is>
          <t>Khivraj Motor</t>
        </is>
      </c>
      <c r="K2362" s="20" t="inlineStr">
        <is>
          <t>Non-Captive</t>
        </is>
      </c>
      <c r="L2362" s="20" t="inlineStr">
        <is>
          <t>TSM</t>
        </is>
      </c>
      <c r="M2362" s="23" t="n">
        <v>4237.29</v>
      </c>
    </row>
    <row r="2363">
      <c r="A2363" s="19" t="inlineStr">
        <is>
          <t>FY27</t>
        </is>
      </c>
      <c r="B2363" s="19" t="inlineStr">
        <is>
          <t>Jun</t>
        </is>
      </c>
      <c r="C2363" s="19" t="inlineStr">
        <is>
          <t>TN</t>
        </is>
      </c>
      <c r="D2363" s="20" t="inlineStr">
        <is>
          <t>TN22BK1050</t>
        </is>
      </c>
      <c r="E2363" s="20" t="inlineStr">
        <is>
          <t>MARUTI SUZUKI</t>
        </is>
      </c>
      <c r="F2363" s="20" t="inlineStr">
        <is>
          <t>Swift</t>
        </is>
      </c>
      <c r="G2363" s="21" t="n">
        <v>2010</v>
      </c>
      <c r="H2363" s="22" t="n">
        <v>51059</v>
      </c>
      <c r="I2363" s="22" t="n">
        <v>250000</v>
      </c>
      <c r="J2363" s="20" t="inlineStr">
        <is>
          <t>AA Cars Madhurai</t>
        </is>
      </c>
      <c r="K2363" s="20" t="inlineStr">
        <is>
          <t>Non-Captive</t>
        </is>
      </c>
      <c r="L2363" s="20" t="inlineStr">
        <is>
          <t>TSM</t>
        </is>
      </c>
      <c r="M2363" s="23" t="n">
        <v>4237.29</v>
      </c>
    </row>
    <row r="2364">
      <c r="A2364" s="19" t="inlineStr">
        <is>
          <t>FY27</t>
        </is>
      </c>
      <c r="B2364" s="19" t="inlineStr">
        <is>
          <t>Jun</t>
        </is>
      </c>
      <c r="C2364" s="19" t="inlineStr">
        <is>
          <t>TN</t>
        </is>
      </c>
      <c r="D2364" s="20" t="inlineStr">
        <is>
          <t>TN02BC0339</t>
        </is>
      </c>
      <c r="E2364" s="20" t="inlineStr">
        <is>
          <t>HYUNDAI</t>
        </is>
      </c>
      <c r="F2364" s="20" t="inlineStr">
        <is>
          <t>Eon</t>
        </is>
      </c>
      <c r="G2364" s="21" t="n">
        <v>2015</v>
      </c>
      <c r="H2364" s="22" t="n">
        <v>83940</v>
      </c>
      <c r="I2364" s="22" t="n">
        <v>250000</v>
      </c>
      <c r="J2364" s="20" t="inlineStr">
        <is>
          <t>LANSON QCARS PRIVATE LIMITED</t>
        </is>
      </c>
      <c r="K2364" s="20" t="inlineStr">
        <is>
          <t>Non-Captive</t>
        </is>
      </c>
      <c r="L2364" s="20" t="inlineStr">
        <is>
          <t>TSM</t>
        </is>
      </c>
      <c r="M2364" s="23" t="n">
        <v>4237.29</v>
      </c>
    </row>
    <row r="2365">
      <c r="A2365" s="19" t="inlineStr">
        <is>
          <t>FY27</t>
        </is>
      </c>
      <c r="B2365" s="19" t="inlineStr">
        <is>
          <t>Jun</t>
        </is>
      </c>
      <c r="C2365" s="19" t="inlineStr">
        <is>
          <t>TN</t>
        </is>
      </c>
      <c r="D2365" s="20" t="inlineStr">
        <is>
          <t>TN20CW4053</t>
        </is>
      </c>
      <c r="E2365" s="20" t="inlineStr">
        <is>
          <t>MARUTI SUZUKI</t>
        </is>
      </c>
      <c r="F2365" s="20" t="inlineStr">
        <is>
          <t>A-Star</t>
        </is>
      </c>
      <c r="G2365" s="21" t="n">
        <v>2013</v>
      </c>
      <c r="H2365" s="22" t="n">
        <v>27087</v>
      </c>
      <c r="I2365" s="22" t="n">
        <v>250000</v>
      </c>
      <c r="J2365" s="20" t="inlineStr">
        <is>
          <t>SUN CARS</t>
        </is>
      </c>
      <c r="K2365" s="20" t="inlineStr">
        <is>
          <t>Non-Captive</t>
        </is>
      </c>
      <c r="L2365" s="20" t="inlineStr">
        <is>
          <t>TSM</t>
        </is>
      </c>
      <c r="M2365" s="23" t="n">
        <v>4237.29</v>
      </c>
    </row>
    <row r="2366">
      <c r="A2366" s="19" t="inlineStr">
        <is>
          <t>FY27</t>
        </is>
      </c>
      <c r="B2366" s="19" t="inlineStr">
        <is>
          <t>Jun</t>
        </is>
      </c>
      <c r="C2366" s="19" t="inlineStr">
        <is>
          <t>TN</t>
        </is>
      </c>
      <c r="D2366" s="20" t="inlineStr">
        <is>
          <t>TN09BA0123</t>
        </is>
      </c>
      <c r="E2366" s="20" t="inlineStr">
        <is>
          <t>TOYOTA</t>
        </is>
      </c>
      <c r="F2366" s="20" t="inlineStr">
        <is>
          <t>Corolla</t>
        </is>
      </c>
      <c r="G2366" s="21" t="n">
        <v>2009</v>
      </c>
      <c r="H2366" s="22" t="n">
        <v>124030</v>
      </c>
      <c r="I2366" s="22" t="n">
        <v>250000</v>
      </c>
      <c r="J2366" s="20" t="inlineStr">
        <is>
          <t>Castel Traders Honda</t>
        </is>
      </c>
      <c r="K2366" s="20" t="inlineStr">
        <is>
          <t>Non-Captive</t>
        </is>
      </c>
      <c r="L2366" s="20" t="inlineStr">
        <is>
          <t>TSM</t>
        </is>
      </c>
      <c r="M2366" s="23" t="n">
        <v>4237.29</v>
      </c>
    </row>
    <row r="2367">
      <c r="A2367" s="19" t="inlineStr">
        <is>
          <t>FY27</t>
        </is>
      </c>
      <c r="B2367" s="19" t="inlineStr">
        <is>
          <t>Jun</t>
        </is>
      </c>
      <c r="C2367" s="19" t="inlineStr">
        <is>
          <t>TN</t>
        </is>
      </c>
      <c r="D2367" s="20" t="inlineStr">
        <is>
          <t>TN03S7009</t>
        </is>
      </c>
      <c r="E2367" s="20" t="inlineStr">
        <is>
          <t>MARUTI SUZUKI</t>
        </is>
      </c>
      <c r="F2367" s="20" t="inlineStr">
        <is>
          <t>Celerio</t>
        </is>
      </c>
      <c r="G2367" s="21" t="n">
        <v>2016</v>
      </c>
      <c r="H2367" s="22" t="n">
        <v>102689</v>
      </c>
      <c r="I2367" s="22" t="n">
        <v>250000</v>
      </c>
      <c r="J2367" s="20" t="inlineStr">
        <is>
          <t>Khivraj Motor</t>
        </is>
      </c>
      <c r="K2367" s="20" t="inlineStr">
        <is>
          <t>Non-Captive</t>
        </is>
      </c>
      <c r="L2367" s="20" t="inlineStr">
        <is>
          <t>TSM</t>
        </is>
      </c>
      <c r="M2367" s="23" t="n">
        <v>4237.29</v>
      </c>
    </row>
    <row r="2368">
      <c r="A2368" s="19" t="inlineStr">
        <is>
          <t>FY27</t>
        </is>
      </c>
      <c r="B2368" s="19" t="inlineStr">
        <is>
          <t>Jun</t>
        </is>
      </c>
      <c r="C2368" s="19" t="inlineStr">
        <is>
          <t>TN</t>
        </is>
      </c>
      <c r="D2368" s="20" t="inlineStr">
        <is>
          <t>TN02AZ1600</t>
        </is>
      </c>
      <c r="E2368" s="20" t="inlineStr">
        <is>
          <t>FORD</t>
        </is>
      </c>
      <c r="F2368" s="20" t="inlineStr">
        <is>
          <t>Ecosport</t>
        </is>
      </c>
      <c r="G2368" s="21" t="n">
        <v>2014</v>
      </c>
      <c r="H2368" s="22" t="n">
        <v>99999</v>
      </c>
      <c r="I2368" s="22" t="n">
        <v>250000</v>
      </c>
      <c r="J2368" s="20" t="inlineStr">
        <is>
          <t>Khivraj Motor</t>
        </is>
      </c>
      <c r="K2368" s="20" t="inlineStr">
        <is>
          <t>Non-Captive</t>
        </is>
      </c>
      <c r="L2368" s="20" t="inlineStr">
        <is>
          <t>TSM</t>
        </is>
      </c>
      <c r="M2368" s="23" t="n">
        <v>4237.29</v>
      </c>
    </row>
    <row r="2369">
      <c r="A2369" s="19" t="inlineStr">
        <is>
          <t>FY27</t>
        </is>
      </c>
      <c r="B2369" s="19" t="inlineStr">
        <is>
          <t>Jun</t>
        </is>
      </c>
      <c r="C2369" s="19" t="inlineStr">
        <is>
          <t>TN</t>
        </is>
      </c>
      <c r="D2369" s="20" t="inlineStr">
        <is>
          <t>TN09BL9472</t>
        </is>
      </c>
      <c r="E2369" s="20" t="inlineStr">
        <is>
          <t>MARUTI SUZUKI</t>
        </is>
      </c>
      <c r="F2369" s="20" t="inlineStr">
        <is>
          <t>Swift</t>
        </is>
      </c>
      <c r="G2369" s="21" t="n">
        <v>2011</v>
      </c>
      <c r="H2369" s="22" t="n">
        <v>43481</v>
      </c>
      <c r="I2369" s="22" t="n">
        <v>250000</v>
      </c>
      <c r="J2369" s="20" t="inlineStr">
        <is>
          <t>Khivraj Motor</t>
        </is>
      </c>
      <c r="K2369" s="20" t="inlineStr">
        <is>
          <t>Non-Captive</t>
        </is>
      </c>
      <c r="L2369" s="20" t="inlineStr">
        <is>
          <t>TSM</t>
        </is>
      </c>
      <c r="M2369" s="23" t="n">
        <v>4237.29</v>
      </c>
    </row>
    <row r="2370">
      <c r="A2370" s="19" t="inlineStr">
        <is>
          <t>FY27</t>
        </is>
      </c>
      <c r="B2370" s="19" t="inlineStr">
        <is>
          <t>Jun</t>
        </is>
      </c>
      <c r="C2370" s="19" t="inlineStr">
        <is>
          <t>TN</t>
        </is>
      </c>
      <c r="D2370" s="20" t="inlineStr">
        <is>
          <t>TN02BE0698</t>
        </is>
      </c>
      <c r="E2370" s="20" t="inlineStr">
        <is>
          <t>RENAULT</t>
        </is>
      </c>
      <c r="F2370" s="20" t="inlineStr">
        <is>
          <t>Kwid</t>
        </is>
      </c>
      <c r="G2370" s="21" t="n">
        <v>2016</v>
      </c>
      <c r="H2370" s="22" t="n">
        <v>30336</v>
      </c>
      <c r="I2370" s="22" t="n">
        <v>250000</v>
      </c>
      <c r="J2370" s="20" t="inlineStr">
        <is>
          <t>SVM CARS PRIVATE LIMITED</t>
        </is>
      </c>
      <c r="K2370" s="20" t="inlineStr">
        <is>
          <t>Non-Captive</t>
        </is>
      </c>
      <c r="L2370" s="20" t="inlineStr">
        <is>
          <t>TSM</t>
        </is>
      </c>
      <c r="M2370" s="23" t="n">
        <v>4237.29</v>
      </c>
    </row>
    <row r="2371">
      <c r="A2371" s="19" t="inlineStr">
        <is>
          <t>FY27</t>
        </is>
      </c>
      <c r="B2371" s="19" t="inlineStr">
        <is>
          <t>Jun</t>
        </is>
      </c>
      <c r="C2371" s="19" t="inlineStr">
        <is>
          <t>TN</t>
        </is>
      </c>
      <c r="D2371" s="20" t="inlineStr">
        <is>
          <t>TN30AV9779</t>
        </is>
      </c>
      <c r="E2371" s="20" t="inlineStr">
        <is>
          <t>RENAULT</t>
        </is>
      </c>
      <c r="F2371" s="20" t="inlineStr">
        <is>
          <t>Scala</t>
        </is>
      </c>
      <c r="G2371" s="21" t="n">
        <v>2013</v>
      </c>
      <c r="H2371" s="22" t="n">
        <v>176900</v>
      </c>
      <c r="I2371" s="22" t="n">
        <v>250000</v>
      </c>
      <c r="J2371" s="20" t="inlineStr">
        <is>
          <t>THIRIVENI CARS</t>
        </is>
      </c>
      <c r="K2371" s="20" t="inlineStr">
        <is>
          <t>Non-Captive</t>
        </is>
      </c>
      <c r="L2371" s="20" t="inlineStr">
        <is>
          <t>Pine Autos</t>
        </is>
      </c>
      <c r="M2371" s="23" t="n">
        <v>4237.29</v>
      </c>
    </row>
    <row r="2372">
      <c r="A2372" s="19" t="inlineStr">
        <is>
          <t>FY27</t>
        </is>
      </c>
      <c r="B2372" s="19" t="inlineStr">
        <is>
          <t>Jun</t>
        </is>
      </c>
      <c r="C2372" s="19" t="inlineStr">
        <is>
          <t>TN</t>
        </is>
      </c>
      <c r="D2372" s="20" t="inlineStr">
        <is>
          <t>TN01AM9009</t>
        </is>
      </c>
      <c r="E2372" s="20" t="inlineStr">
        <is>
          <t>TOYOTA</t>
        </is>
      </c>
      <c r="F2372" s="20" t="inlineStr">
        <is>
          <t>Corolla</t>
        </is>
      </c>
      <c r="G2372" s="21" t="n">
        <v>2010</v>
      </c>
      <c r="H2372" s="22" t="n">
        <v>117640</v>
      </c>
      <c r="I2372" s="22" t="n">
        <v>250000</v>
      </c>
      <c r="J2372" s="20" t="inlineStr">
        <is>
          <t>GLOVIS INDIA PVT LTD</t>
        </is>
      </c>
      <c r="K2372" s="20" t="inlineStr">
        <is>
          <t>Non-Captive</t>
        </is>
      </c>
      <c r="L2372" s="20" t="inlineStr">
        <is>
          <t>NIrmal Cars</t>
        </is>
      </c>
      <c r="M2372" s="23" t="n">
        <v>4237.29</v>
      </c>
    </row>
    <row r="2373">
      <c r="A2373" s="19" t="inlineStr">
        <is>
          <t>FY27</t>
        </is>
      </c>
      <c r="B2373" s="19" t="inlineStr">
        <is>
          <t>Jun</t>
        </is>
      </c>
      <c r="C2373" s="19" t="inlineStr">
        <is>
          <t>TN</t>
        </is>
      </c>
      <c r="D2373" s="20" t="inlineStr">
        <is>
          <t>TN18T0572</t>
        </is>
      </c>
      <c r="E2373" s="20" t="inlineStr">
        <is>
          <t>MARUTI SUZUKI</t>
        </is>
      </c>
      <c r="F2373" s="20" t="inlineStr">
        <is>
          <t>Wagon R</t>
        </is>
      </c>
      <c r="G2373" s="21" t="n">
        <v>2013</v>
      </c>
      <c r="H2373" s="22" t="n">
        <v>89334</v>
      </c>
      <c r="I2373" s="22" t="n">
        <v>250000</v>
      </c>
      <c r="J2373" s="20" t="inlineStr">
        <is>
          <t>GURUDEV MOTORS LLP</t>
        </is>
      </c>
      <c r="K2373" s="20" t="inlineStr">
        <is>
          <t>Non-Captive</t>
        </is>
      </c>
      <c r="L2373" s="20" t="inlineStr">
        <is>
          <t>NIrmal Cars</t>
        </is>
      </c>
      <c r="M2373" s="23" t="n">
        <v>4237.29</v>
      </c>
    </row>
    <row r="2374">
      <c r="A2374" s="19" t="inlineStr">
        <is>
          <t>FY27</t>
        </is>
      </c>
      <c r="B2374" s="19" t="inlineStr">
        <is>
          <t>Jun</t>
        </is>
      </c>
      <c r="C2374" s="19" t="inlineStr">
        <is>
          <t>TN</t>
        </is>
      </c>
      <c r="D2374" s="20" t="inlineStr">
        <is>
          <t>TN01AU4028</t>
        </is>
      </c>
      <c r="E2374" s="20" t="inlineStr">
        <is>
          <t>MARUTI SUZUKI</t>
        </is>
      </c>
      <c r="F2374" s="20" t="inlineStr">
        <is>
          <t>Alto K10</t>
        </is>
      </c>
      <c r="G2374" s="21" t="n">
        <v>2012</v>
      </c>
      <c r="H2374" s="22" t="n">
        <v>82816</v>
      </c>
      <c r="I2374" s="22" t="n">
        <v>245000</v>
      </c>
      <c r="J2374" s="20" t="inlineStr">
        <is>
          <t>SUN CARS</t>
        </is>
      </c>
      <c r="K2374" s="20" t="inlineStr">
        <is>
          <t>Non-Captive</t>
        </is>
      </c>
      <c r="L2374" s="20" t="inlineStr">
        <is>
          <t>NIrmal Cars</t>
        </is>
      </c>
      <c r="M2374" s="23" t="n">
        <v>4237.29</v>
      </c>
    </row>
    <row r="2375">
      <c r="A2375" s="19" t="inlineStr">
        <is>
          <t>FY27</t>
        </is>
      </c>
      <c r="B2375" s="19" t="inlineStr">
        <is>
          <t>Jun</t>
        </is>
      </c>
      <c r="C2375" s="19" t="inlineStr">
        <is>
          <t>TN</t>
        </is>
      </c>
      <c r="D2375" s="20" t="inlineStr">
        <is>
          <t>TN05AL4561</t>
        </is>
      </c>
      <c r="E2375" s="20" t="inlineStr">
        <is>
          <t>HYUNDAI</t>
        </is>
      </c>
      <c r="F2375" s="20" t="inlineStr">
        <is>
          <t>I20</t>
        </is>
      </c>
      <c r="G2375" s="21" t="n">
        <v>2011</v>
      </c>
      <c r="H2375" s="22" t="n">
        <v>179843</v>
      </c>
      <c r="I2375" s="22" t="n">
        <v>240000</v>
      </c>
      <c r="J2375" s="20" t="inlineStr">
        <is>
          <t>PRODUCTIVITY ELEMENTS PRIVATE LIMITED</t>
        </is>
      </c>
      <c r="K2375" s="20" t="inlineStr">
        <is>
          <t>Non-Captive</t>
        </is>
      </c>
      <c r="L2375" s="20" t="inlineStr">
        <is>
          <t>NIrmal Cars</t>
        </is>
      </c>
      <c r="M2375" s="23" t="n">
        <v>4237.29</v>
      </c>
    </row>
    <row r="2376">
      <c r="A2376" s="19" t="inlineStr">
        <is>
          <t>FY27</t>
        </is>
      </c>
      <c r="B2376" s="19" t="inlineStr">
        <is>
          <t>Jun</t>
        </is>
      </c>
      <c r="C2376" s="19" t="inlineStr">
        <is>
          <t>TN</t>
        </is>
      </c>
      <c r="D2376" s="20" t="inlineStr">
        <is>
          <t>TN19L8696</t>
        </is>
      </c>
      <c r="E2376" s="20" t="inlineStr">
        <is>
          <t>HYUNDAI</t>
        </is>
      </c>
      <c r="F2376" s="20" t="inlineStr">
        <is>
          <t>I10</t>
        </is>
      </c>
      <c r="G2376" s="21" t="n">
        <v>2013</v>
      </c>
      <c r="H2376" s="22" t="n">
        <v>51471</v>
      </c>
      <c r="I2376" s="22" t="n">
        <v>240000</v>
      </c>
      <c r="J2376" s="20" t="inlineStr">
        <is>
          <t>STEER AUTO TECHNOLOGIES PRIVATE LIMITED</t>
        </is>
      </c>
      <c r="K2376" s="20" t="inlineStr">
        <is>
          <t>Non-Captive</t>
        </is>
      </c>
      <c r="L2376" s="20" t="inlineStr">
        <is>
          <t>NIrmal Cars</t>
        </is>
      </c>
      <c r="M2376" s="23" t="n">
        <v>4237.29</v>
      </c>
    </row>
    <row r="2377">
      <c r="A2377" s="19" t="inlineStr">
        <is>
          <t>FY27</t>
        </is>
      </c>
      <c r="B2377" s="19" t="inlineStr">
        <is>
          <t>Jun</t>
        </is>
      </c>
      <c r="C2377" s="19" t="inlineStr">
        <is>
          <t>TN</t>
        </is>
      </c>
      <c r="D2377" s="20" t="inlineStr">
        <is>
          <t>TN23BF3433</t>
        </is>
      </c>
      <c r="E2377" s="20" t="inlineStr">
        <is>
          <t>HYUNDAI</t>
        </is>
      </c>
      <c r="F2377" s="20" t="inlineStr">
        <is>
          <t>I20</t>
        </is>
      </c>
      <c r="G2377" s="21" t="n">
        <v>2013</v>
      </c>
      <c r="H2377" s="22" t="n">
        <v>111021</v>
      </c>
      <c r="I2377" s="22" t="n">
        <v>240000</v>
      </c>
      <c r="J2377" s="20" t="inlineStr">
        <is>
          <t>THIRIVENI CARS</t>
        </is>
      </c>
      <c r="K2377" s="20" t="inlineStr">
        <is>
          <t>Non-Captive</t>
        </is>
      </c>
      <c r="L2377" s="20" t="inlineStr">
        <is>
          <t>NIrmal Cars</t>
        </is>
      </c>
      <c r="M2377" s="23" t="n">
        <v>4237.29</v>
      </c>
    </row>
    <row r="2378">
      <c r="A2378" s="19" t="inlineStr">
        <is>
          <t>FY27</t>
        </is>
      </c>
      <c r="B2378" s="19" t="inlineStr">
        <is>
          <t>Jun</t>
        </is>
      </c>
      <c r="C2378" s="19" t="inlineStr">
        <is>
          <t>TN</t>
        </is>
      </c>
      <c r="D2378" s="20" t="inlineStr">
        <is>
          <t>TN11Y4790</t>
        </is>
      </c>
      <c r="E2378" s="20" t="inlineStr">
        <is>
          <t>VOLKSWAGEN</t>
        </is>
      </c>
      <c r="F2378" s="20" t="inlineStr">
        <is>
          <t>Vento</t>
        </is>
      </c>
      <c r="G2378" s="21" t="n">
        <v>2013</v>
      </c>
      <c r="H2378" s="22" t="n">
        <v>139595</v>
      </c>
      <c r="I2378" s="22" t="n">
        <v>240000</v>
      </c>
      <c r="J2378" s="20" t="inlineStr">
        <is>
          <t>Khivraj Motor</t>
        </is>
      </c>
      <c r="K2378" s="20" t="inlineStr">
        <is>
          <t>Non-Captive</t>
        </is>
      </c>
      <c r="L2378" s="20" t="inlineStr">
        <is>
          <t>NIrmal Cars</t>
        </is>
      </c>
      <c r="M2378" s="23" t="n">
        <v>4237.29</v>
      </c>
    </row>
    <row r="2379">
      <c r="A2379" s="19" t="inlineStr">
        <is>
          <t>FY27</t>
        </is>
      </c>
      <c r="B2379" s="19" t="inlineStr">
        <is>
          <t>Jun</t>
        </is>
      </c>
      <c r="C2379" s="19" t="inlineStr">
        <is>
          <t>TN</t>
        </is>
      </c>
      <c r="D2379" s="20" t="inlineStr">
        <is>
          <t>TN12K2824</t>
        </is>
      </c>
      <c r="E2379" s="20" t="inlineStr">
        <is>
          <t>TATA</t>
        </is>
      </c>
      <c r="F2379" s="20" t="inlineStr">
        <is>
          <t>Bolt</t>
        </is>
      </c>
      <c r="G2379" s="21" t="n">
        <v>2015</v>
      </c>
      <c r="H2379" s="22" t="n">
        <v>152245</v>
      </c>
      <c r="I2379" s="22" t="n">
        <v>240000</v>
      </c>
      <c r="J2379" s="20" t="inlineStr">
        <is>
          <t>Khivraj Motor</t>
        </is>
      </c>
      <c r="K2379" s="20" t="inlineStr">
        <is>
          <t>Non-Captive</t>
        </is>
      </c>
      <c r="L2379" s="20" t="inlineStr">
        <is>
          <t>NIrmal Cars</t>
        </is>
      </c>
      <c r="M2379" s="23" t="n">
        <v>4237.29</v>
      </c>
    </row>
    <row r="2380">
      <c r="A2380" s="19" t="inlineStr">
        <is>
          <t>FY27</t>
        </is>
      </c>
      <c r="B2380" s="19" t="inlineStr">
        <is>
          <t>Jun</t>
        </is>
      </c>
      <c r="C2380" s="19" t="inlineStr">
        <is>
          <t>TN</t>
        </is>
      </c>
      <c r="D2380" s="20" t="inlineStr">
        <is>
          <t>TN01AR5567</t>
        </is>
      </c>
      <c r="E2380" s="20" t="inlineStr">
        <is>
          <t>MARUTI SUZUKI</t>
        </is>
      </c>
      <c r="F2380" s="20" t="inlineStr">
        <is>
          <t>Wagon R</t>
        </is>
      </c>
      <c r="G2380" s="21" t="n">
        <v>2012</v>
      </c>
      <c r="H2380" s="22" t="n">
        <v>63599</v>
      </c>
      <c r="I2380" s="22" t="n">
        <v>240000</v>
      </c>
      <c r="J2380" s="20" t="inlineStr">
        <is>
          <t>A A CARS</t>
        </is>
      </c>
      <c r="K2380" s="20" t="inlineStr">
        <is>
          <t>Non-Captive</t>
        </is>
      </c>
      <c r="L2380" s="20" t="inlineStr">
        <is>
          <t>NIrmal Cars</t>
        </is>
      </c>
      <c r="M2380" s="23" t="n">
        <v>4237.29</v>
      </c>
    </row>
    <row r="2381">
      <c r="A2381" s="19" t="inlineStr">
        <is>
          <t>FY27</t>
        </is>
      </c>
      <c r="B2381" s="19" t="inlineStr">
        <is>
          <t>Jun</t>
        </is>
      </c>
      <c r="C2381" s="19" t="inlineStr">
        <is>
          <t>TN</t>
        </is>
      </c>
      <c r="D2381" s="20" t="inlineStr">
        <is>
          <t>TN43D6234</t>
        </is>
      </c>
      <c r="E2381" s="20" t="inlineStr">
        <is>
          <t>HYUNDAI</t>
        </is>
      </c>
      <c r="F2381" s="20" t="inlineStr">
        <is>
          <t>I20</t>
        </is>
      </c>
      <c r="G2381" s="21" t="n">
        <v>2011</v>
      </c>
      <c r="H2381" s="22" t="n">
        <v>107361</v>
      </c>
      <c r="I2381" s="22" t="n">
        <v>240000</v>
      </c>
      <c r="J2381" s="20" t="inlineStr">
        <is>
          <t>LANSON QCARS PRIVATE LIMITED</t>
        </is>
      </c>
      <c r="K2381" s="20" t="inlineStr">
        <is>
          <t>Non-Captive</t>
        </is>
      </c>
      <c r="L2381" s="20" t="inlineStr">
        <is>
          <t>NIrmal Cars</t>
        </is>
      </c>
      <c r="M2381" s="23" t="n">
        <v>4237.29</v>
      </c>
    </row>
    <row r="2382">
      <c r="A2382" s="19" t="inlineStr">
        <is>
          <t>FY27</t>
        </is>
      </c>
      <c r="B2382" s="19" t="inlineStr">
        <is>
          <t>Jun</t>
        </is>
      </c>
      <c r="C2382" s="19" t="inlineStr">
        <is>
          <t>TN</t>
        </is>
      </c>
      <c r="D2382" s="20" t="inlineStr">
        <is>
          <t>TN09CE7367</t>
        </is>
      </c>
      <c r="E2382" s="20" t="inlineStr">
        <is>
          <t>RENAULT</t>
        </is>
      </c>
      <c r="F2382" s="20" t="inlineStr">
        <is>
          <t>Kwid</t>
        </is>
      </c>
      <c r="G2382" s="21" t="n">
        <v>2016</v>
      </c>
      <c r="H2382" s="22" t="n">
        <v>60566</v>
      </c>
      <c r="I2382" s="22" t="n">
        <v>230000</v>
      </c>
      <c r="J2382" s="20" t="inlineStr">
        <is>
          <t>AIE CARS PRIVATE LIMITED</t>
        </is>
      </c>
      <c r="K2382" s="20" t="inlineStr">
        <is>
          <t>Non-Captive</t>
        </is>
      </c>
      <c r="L2382" s="20" t="inlineStr">
        <is>
          <t>NIrmal Cars</t>
        </is>
      </c>
      <c r="M2382" s="23" t="n">
        <v>4237.29</v>
      </c>
    </row>
    <row r="2383">
      <c r="A2383" s="19" t="inlineStr">
        <is>
          <t>FY27</t>
        </is>
      </c>
      <c r="B2383" s="19" t="inlineStr">
        <is>
          <t>Jun</t>
        </is>
      </c>
      <c r="C2383" s="19" t="inlineStr">
        <is>
          <t>TN</t>
        </is>
      </c>
      <c r="D2383" s="20" t="inlineStr">
        <is>
          <t>TN06U0842</t>
        </is>
      </c>
      <c r="E2383" s="20" t="inlineStr">
        <is>
          <t>HYUNDAI</t>
        </is>
      </c>
      <c r="F2383" s="20" t="inlineStr">
        <is>
          <t>Eon</t>
        </is>
      </c>
      <c r="G2383" s="21" t="n">
        <v>2017</v>
      </c>
      <c r="H2383" s="22" t="n">
        <v>56449</v>
      </c>
      <c r="I2383" s="22" t="n">
        <v>230000</v>
      </c>
      <c r="J2383" s="20" t="inlineStr">
        <is>
          <t>Castel Traders Honda</t>
        </is>
      </c>
      <c r="K2383" s="20" t="inlineStr">
        <is>
          <t>Non-Captive</t>
        </is>
      </c>
      <c r="L2383" s="20" t="inlineStr">
        <is>
          <t>NIrmal Cars</t>
        </is>
      </c>
      <c r="M2383" s="23" t="n">
        <v>4237.29</v>
      </c>
    </row>
    <row r="2384">
      <c r="A2384" s="19" t="inlineStr">
        <is>
          <t>FY27</t>
        </is>
      </c>
      <c r="B2384" s="19" t="inlineStr">
        <is>
          <t>Jun</t>
        </is>
      </c>
      <c r="C2384" s="19" t="inlineStr">
        <is>
          <t>TN</t>
        </is>
      </c>
      <c r="D2384" s="20" t="inlineStr">
        <is>
          <t>TN01BB5428</t>
        </is>
      </c>
      <c r="E2384" s="20" t="inlineStr">
        <is>
          <t>RENAULT</t>
        </is>
      </c>
      <c r="F2384" s="20" t="inlineStr">
        <is>
          <t>Kwid</t>
        </is>
      </c>
      <c r="G2384" s="21" t="n">
        <v>2016</v>
      </c>
      <c r="H2384" s="22" t="n">
        <v>49938</v>
      </c>
      <c r="I2384" s="22" t="n">
        <v>230000</v>
      </c>
      <c r="J2384" s="20" t="inlineStr">
        <is>
          <t>Khivraj Motor</t>
        </is>
      </c>
      <c r="K2384" s="20" t="inlineStr">
        <is>
          <t>Non-Captive</t>
        </is>
      </c>
      <c r="L2384" s="20" t="inlineStr">
        <is>
          <t>NIrmal Cars</t>
        </is>
      </c>
      <c r="M2384" s="23" t="n">
        <v>4237.29</v>
      </c>
    </row>
    <row r="2385">
      <c r="A2385" s="19" t="inlineStr">
        <is>
          <t>FY27</t>
        </is>
      </c>
      <c r="B2385" s="19" t="inlineStr">
        <is>
          <t>Jun</t>
        </is>
      </c>
      <c r="C2385" s="19" t="inlineStr">
        <is>
          <t>TN</t>
        </is>
      </c>
      <c r="D2385" s="20" t="inlineStr">
        <is>
          <t>TN09BL3844</t>
        </is>
      </c>
      <c r="E2385" s="20" t="inlineStr">
        <is>
          <t>FORD</t>
        </is>
      </c>
      <c r="F2385" s="20" t="inlineStr">
        <is>
          <t>Fiesta</t>
        </is>
      </c>
      <c r="G2385" s="21" t="n">
        <v>2011</v>
      </c>
      <c r="H2385" s="22" t="n">
        <v>77118</v>
      </c>
      <c r="I2385" s="22" t="n">
        <v>225000</v>
      </c>
      <c r="J2385" s="20" t="inlineStr">
        <is>
          <t>Khivraj Motor</t>
        </is>
      </c>
      <c r="K2385" s="20" t="inlineStr">
        <is>
          <t>Non-Captive</t>
        </is>
      </c>
      <c r="L2385" s="20" t="inlineStr">
        <is>
          <t>NIrmal Cars</t>
        </is>
      </c>
      <c r="M2385" s="23" t="n">
        <v>4237.29</v>
      </c>
    </row>
    <row r="2386">
      <c r="A2386" s="19" t="inlineStr">
        <is>
          <t>FY27</t>
        </is>
      </c>
      <c r="B2386" s="19" t="inlineStr">
        <is>
          <t>Jun</t>
        </is>
      </c>
      <c r="C2386" s="19" t="inlineStr">
        <is>
          <t>TN</t>
        </is>
      </c>
      <c r="D2386" s="20" t="inlineStr">
        <is>
          <t>TN20CF7059</t>
        </is>
      </c>
      <c r="E2386" s="20" t="inlineStr">
        <is>
          <t>MARUTI SUZUKI</t>
        </is>
      </c>
      <c r="F2386" s="20" t="inlineStr">
        <is>
          <t>Alto</t>
        </is>
      </c>
      <c r="G2386" s="21" t="n">
        <v>2015</v>
      </c>
      <c r="H2386" s="22" t="n">
        <v>124952</v>
      </c>
      <c r="I2386" s="22" t="n">
        <v>225000</v>
      </c>
      <c r="J2386" s="20" t="inlineStr">
        <is>
          <t>Khivraj Motor</t>
        </is>
      </c>
      <c r="K2386" s="20" t="inlineStr">
        <is>
          <t>Non-Captive</t>
        </is>
      </c>
      <c r="L2386" s="20" t="inlineStr">
        <is>
          <t>NIrmal Cars</t>
        </is>
      </c>
      <c r="M2386" s="23" t="n">
        <v>4237.29</v>
      </c>
    </row>
    <row r="2387">
      <c r="A2387" s="19" t="inlineStr">
        <is>
          <t>FY27</t>
        </is>
      </c>
      <c r="B2387" s="19" t="inlineStr">
        <is>
          <t>Jun</t>
        </is>
      </c>
      <c r="C2387" s="19" t="inlineStr">
        <is>
          <t>TN</t>
        </is>
      </c>
      <c r="D2387" s="20" t="inlineStr">
        <is>
          <t>TN05BF4413</t>
        </is>
      </c>
      <c r="E2387" s="20" t="inlineStr">
        <is>
          <t>MARUTI SUZUKI</t>
        </is>
      </c>
      <c r="F2387" s="20" t="inlineStr">
        <is>
          <t>Alto</t>
        </is>
      </c>
      <c r="G2387" s="21" t="n">
        <v>2016</v>
      </c>
      <c r="H2387" s="22" t="n">
        <v>59960</v>
      </c>
      <c r="I2387" s="22" t="n">
        <v>225000</v>
      </c>
      <c r="J2387" s="20" t="inlineStr">
        <is>
          <t>Cresco cars</t>
        </is>
      </c>
      <c r="K2387" s="20" t="inlineStr">
        <is>
          <t>Non-Captive</t>
        </is>
      </c>
      <c r="L2387" s="20" t="inlineStr">
        <is>
          <t>NIrmal Cars</t>
        </is>
      </c>
      <c r="M2387" s="23" t="n">
        <v>4237.29</v>
      </c>
    </row>
    <row r="2388">
      <c r="A2388" s="19" t="inlineStr">
        <is>
          <t>FY27</t>
        </is>
      </c>
      <c r="B2388" s="19" t="inlineStr">
        <is>
          <t>Jun</t>
        </is>
      </c>
      <c r="C2388" s="19" t="inlineStr">
        <is>
          <t>TN</t>
        </is>
      </c>
      <c r="D2388" s="20" t="inlineStr">
        <is>
          <t>TN18T3119</t>
        </is>
      </c>
      <c r="E2388" s="20" t="inlineStr">
        <is>
          <t>NISSAN</t>
        </is>
      </c>
      <c r="F2388" s="20" t="inlineStr">
        <is>
          <t>Micra</t>
        </is>
      </c>
      <c r="G2388" s="21" t="n">
        <v>2013</v>
      </c>
      <c r="H2388" s="22" t="n">
        <v>44184</v>
      </c>
      <c r="I2388" s="22" t="n">
        <v>220000</v>
      </c>
      <c r="J2388" s="20" t="inlineStr">
        <is>
          <t>Khivraj Motor</t>
        </is>
      </c>
      <c r="K2388" s="20" t="inlineStr">
        <is>
          <t>Non-Captive</t>
        </is>
      </c>
      <c r="L2388" s="20" t="inlineStr">
        <is>
          <t>NIrmal Cars</t>
        </is>
      </c>
      <c r="M2388" s="23" t="n">
        <v>4237.29</v>
      </c>
    </row>
    <row r="2389">
      <c r="A2389" s="19" t="inlineStr">
        <is>
          <t>FY27</t>
        </is>
      </c>
      <c r="B2389" s="19" t="inlineStr">
        <is>
          <t>Jun</t>
        </is>
      </c>
      <c r="C2389" s="19" t="inlineStr">
        <is>
          <t>TN</t>
        </is>
      </c>
      <c r="D2389" s="20" t="inlineStr">
        <is>
          <t>TN12R5205</t>
        </is>
      </c>
      <c r="E2389" s="20" t="inlineStr">
        <is>
          <t>MAHINDRA</t>
        </is>
      </c>
      <c r="F2389" s="20" t="inlineStr">
        <is>
          <t>Kuv100</t>
        </is>
      </c>
      <c r="G2389" s="21" t="n">
        <v>2016</v>
      </c>
      <c r="H2389" s="22" t="n">
        <v>87242</v>
      </c>
      <c r="I2389" s="22" t="n">
        <v>210000</v>
      </c>
      <c r="J2389" s="20" t="inlineStr">
        <is>
          <t>Khivraj Motor</t>
        </is>
      </c>
      <c r="K2389" s="20" t="inlineStr">
        <is>
          <t>Non-Captive</t>
        </is>
      </c>
      <c r="L2389" s="20" t="inlineStr">
        <is>
          <t>NIrmal Cars</t>
        </is>
      </c>
      <c r="M2389" s="23" t="n">
        <v>4237.29</v>
      </c>
    </row>
    <row r="2390">
      <c r="A2390" s="19" t="inlineStr">
        <is>
          <t>FY27</t>
        </is>
      </c>
      <c r="B2390" s="19" t="inlineStr">
        <is>
          <t>Jun</t>
        </is>
      </c>
      <c r="C2390" s="19" t="inlineStr">
        <is>
          <t>TN</t>
        </is>
      </c>
      <c r="D2390" s="20" t="inlineStr">
        <is>
          <t>TN11AE9733</t>
        </is>
      </c>
      <c r="E2390" s="20" t="inlineStr">
        <is>
          <t>MAHINDRA</t>
        </is>
      </c>
      <c r="F2390" s="20" t="inlineStr">
        <is>
          <t>Xylo</t>
        </is>
      </c>
      <c r="G2390" s="21" t="n">
        <v>2018</v>
      </c>
      <c r="H2390" s="22" t="n">
        <v>99999</v>
      </c>
      <c r="I2390" s="22" t="n">
        <v>200000</v>
      </c>
      <c r="J2390" s="20" t="inlineStr">
        <is>
          <t>ABT LIMITED</t>
        </is>
      </c>
      <c r="K2390" s="20" t="inlineStr">
        <is>
          <t>Non-Captive</t>
        </is>
      </c>
      <c r="L2390" s="20" t="inlineStr">
        <is>
          <t>NIrmal Cars</t>
        </is>
      </c>
      <c r="M2390" s="23" t="n">
        <v>4237.29</v>
      </c>
    </row>
    <row r="2391">
      <c r="A2391" s="19" t="inlineStr">
        <is>
          <t>FY27</t>
        </is>
      </c>
      <c r="B2391" s="19" t="inlineStr">
        <is>
          <t>Jun</t>
        </is>
      </c>
      <c r="C2391" s="19" t="inlineStr">
        <is>
          <t>TN</t>
        </is>
      </c>
      <c r="D2391" s="20" t="inlineStr">
        <is>
          <t>TN10AV4573</t>
        </is>
      </c>
      <c r="E2391" s="20" t="inlineStr">
        <is>
          <t>FIAT</t>
        </is>
      </c>
      <c r="F2391" s="20" t="inlineStr">
        <is>
          <t>Grand Punto</t>
        </is>
      </c>
      <c r="G2391" s="21" t="n">
        <v>2016</v>
      </c>
      <c r="H2391" s="22" t="n">
        <v>255353</v>
      </c>
      <c r="I2391" s="22" t="n">
        <v>200000</v>
      </c>
      <c r="J2391" s="20" t="inlineStr">
        <is>
          <t>Khivraj Motor</t>
        </is>
      </c>
      <c r="K2391" s="20" t="inlineStr">
        <is>
          <t>Non-Captive</t>
        </is>
      </c>
      <c r="L2391" s="20" t="inlineStr">
        <is>
          <t>NIrmal Cars</t>
        </is>
      </c>
      <c r="M2391" s="23" t="n">
        <v>4237.29</v>
      </c>
    </row>
    <row r="2392">
      <c r="A2392" s="19" t="inlineStr">
        <is>
          <t>FY27</t>
        </is>
      </c>
      <c r="B2392" s="19" t="inlineStr">
        <is>
          <t>Jun</t>
        </is>
      </c>
      <c r="C2392" s="19" t="inlineStr">
        <is>
          <t>TN</t>
        </is>
      </c>
      <c r="D2392" s="20" t="inlineStr">
        <is>
          <t>TN30AQ5595</t>
        </is>
      </c>
      <c r="E2392" s="20" t="inlineStr">
        <is>
          <t>HYUNDAI</t>
        </is>
      </c>
      <c r="F2392" s="20" t="inlineStr">
        <is>
          <t>Eon</t>
        </is>
      </c>
      <c r="G2392" s="21" t="n">
        <v>2012</v>
      </c>
      <c r="H2392" s="22" t="n">
        <v>68974</v>
      </c>
      <c r="I2392" s="22" t="n">
        <v>200000</v>
      </c>
      <c r="J2392" s="20" t="inlineStr">
        <is>
          <t>THIRIVENI CARS</t>
        </is>
      </c>
      <c r="K2392" s="20" t="inlineStr">
        <is>
          <t>Non-Captive</t>
        </is>
      </c>
      <c r="L2392" s="20" t="inlineStr">
        <is>
          <t>NIrmal Cars</t>
        </is>
      </c>
      <c r="M2392" s="23" t="n">
        <v>4237.29</v>
      </c>
    </row>
    <row r="2393">
      <c r="A2393" s="19" t="inlineStr">
        <is>
          <t>FY27</t>
        </is>
      </c>
      <c r="B2393" s="19" t="inlineStr">
        <is>
          <t>Jun</t>
        </is>
      </c>
      <c r="C2393" s="19" t="inlineStr">
        <is>
          <t>TN</t>
        </is>
      </c>
      <c r="D2393" s="20" t="inlineStr">
        <is>
          <t>TN10AJ2140</t>
        </is>
      </c>
      <c r="E2393" s="20" t="inlineStr">
        <is>
          <t>HYUNDAI</t>
        </is>
      </c>
      <c r="F2393" s="20" t="inlineStr">
        <is>
          <t>I10</t>
        </is>
      </c>
      <c r="G2393" s="21" t="n">
        <v>2012</v>
      </c>
      <c r="H2393" s="22" t="n">
        <v>107488</v>
      </c>
      <c r="I2393" s="22" t="n">
        <v>200000</v>
      </c>
      <c r="J2393" s="20" t="inlineStr">
        <is>
          <t>Khivraj Motor</t>
        </is>
      </c>
      <c r="K2393" s="20" t="inlineStr">
        <is>
          <t>Non-Captive</t>
        </is>
      </c>
      <c r="L2393" s="20" t="inlineStr">
        <is>
          <t>NIrmal Cars</t>
        </is>
      </c>
      <c r="M2393" s="23" t="n">
        <v>4237.29</v>
      </c>
    </row>
    <row r="2394">
      <c r="A2394" s="19" t="inlineStr">
        <is>
          <t>FY27</t>
        </is>
      </c>
      <c r="B2394" s="19" t="inlineStr">
        <is>
          <t>Jun</t>
        </is>
      </c>
      <c r="C2394" s="19" t="inlineStr">
        <is>
          <t>TN</t>
        </is>
      </c>
      <c r="D2394" s="20" t="inlineStr">
        <is>
          <t>TN02BC4150</t>
        </is>
      </c>
      <c r="E2394" s="20" t="inlineStr">
        <is>
          <t>HYUNDAI</t>
        </is>
      </c>
      <c r="F2394" s="20" t="inlineStr">
        <is>
          <t>Eon</t>
        </is>
      </c>
      <c r="G2394" s="21" t="n">
        <v>2015</v>
      </c>
      <c r="H2394" s="22" t="n">
        <v>67535</v>
      </c>
      <c r="I2394" s="22" t="n">
        <v>190000</v>
      </c>
      <c r="J2394" s="20" t="inlineStr">
        <is>
          <t>THIRIVENI CARS</t>
        </is>
      </c>
      <c r="K2394" s="20" t="inlineStr">
        <is>
          <t>Non-Captive</t>
        </is>
      </c>
      <c r="L2394" s="20" t="inlineStr">
        <is>
          <t>NIrmal Cars</t>
        </is>
      </c>
      <c r="M2394" s="23" t="n">
        <v>4237.29</v>
      </c>
    </row>
    <row r="2395">
      <c r="A2395" s="19" t="inlineStr">
        <is>
          <t>FY27</t>
        </is>
      </c>
      <c r="B2395" s="19" t="inlineStr">
        <is>
          <t>Jun</t>
        </is>
      </c>
      <c r="C2395" s="19" t="inlineStr">
        <is>
          <t>TN</t>
        </is>
      </c>
      <c r="D2395" s="20" t="inlineStr">
        <is>
          <t>TN92A7006</t>
        </is>
      </c>
      <c r="E2395" s="20" t="inlineStr">
        <is>
          <t>DATSUN</t>
        </is>
      </c>
      <c r="F2395" s="20" t="inlineStr">
        <is>
          <t>Redi-Go</t>
        </is>
      </c>
      <c r="G2395" s="21" t="n">
        <v>2016</v>
      </c>
      <c r="H2395" s="22" t="n">
        <v>95664</v>
      </c>
      <c r="I2395" s="22" t="n">
        <v>190000</v>
      </c>
      <c r="J2395" s="20" t="inlineStr">
        <is>
          <t>THIRIVENI CARS</t>
        </is>
      </c>
      <c r="K2395" s="20" t="inlineStr">
        <is>
          <t>Non-Captive</t>
        </is>
      </c>
      <c r="L2395" s="20" t="inlineStr">
        <is>
          <t>NIrmal Cars</t>
        </is>
      </c>
      <c r="M2395" s="23" t="n">
        <v>4237.29</v>
      </c>
    </row>
    <row r="2396">
      <c r="A2396" s="19" t="inlineStr">
        <is>
          <t>FY27</t>
        </is>
      </c>
      <c r="B2396" s="19" t="inlineStr">
        <is>
          <t>Jun</t>
        </is>
      </c>
      <c r="C2396" s="19" t="inlineStr">
        <is>
          <t>TN</t>
        </is>
      </c>
      <c r="D2396" s="20" t="inlineStr">
        <is>
          <t>TN138676</t>
        </is>
      </c>
      <c r="E2396" s="20" t="inlineStr">
        <is>
          <t>MARUTI SUZUKI</t>
        </is>
      </c>
      <c r="F2396" s="20" t="inlineStr">
        <is>
          <t>Alto</t>
        </is>
      </c>
      <c r="G2396" s="21" t="n">
        <v>2014</v>
      </c>
      <c r="H2396" s="22" t="n">
        <v>28064</v>
      </c>
      <c r="I2396" s="22" t="n">
        <v>180000</v>
      </c>
      <c r="J2396" s="20" t="inlineStr">
        <is>
          <t>Khivraj Motor</t>
        </is>
      </c>
      <c r="K2396" s="20" t="inlineStr">
        <is>
          <t>Non-Captive</t>
        </is>
      </c>
      <c r="L2396" s="20" t="inlineStr">
        <is>
          <t>NIrmal Cars</t>
        </is>
      </c>
      <c r="M2396" s="23" t="n">
        <v>4237.29</v>
      </c>
    </row>
    <row r="2397">
      <c r="A2397" s="19" t="inlineStr">
        <is>
          <t>FY27</t>
        </is>
      </c>
      <c r="B2397" s="19" t="inlineStr">
        <is>
          <t>Jun</t>
        </is>
      </c>
      <c r="C2397" s="19" t="inlineStr">
        <is>
          <t>TN</t>
        </is>
      </c>
      <c r="D2397" s="20" t="inlineStr">
        <is>
          <t>TN420909</t>
        </is>
      </c>
      <c r="E2397" s="20" t="inlineStr">
        <is>
          <t>SKODA</t>
        </is>
      </c>
      <c r="F2397" s="20" t="inlineStr">
        <is>
          <t>Fabia</t>
        </is>
      </c>
      <c r="G2397" s="21" t="n">
        <v>2008</v>
      </c>
      <c r="H2397" s="22" t="n">
        <v>290501</v>
      </c>
      <c r="I2397" s="22" t="n">
        <v>170000</v>
      </c>
      <c r="J2397" s="20" t="inlineStr">
        <is>
          <t>THIRIVENI CARS</t>
        </is>
      </c>
      <c r="K2397" s="20" t="inlineStr">
        <is>
          <t>Non-Captive</t>
        </is>
      </c>
      <c r="L2397" s="20" t="inlineStr">
        <is>
          <t>NIrmal Cars</t>
        </is>
      </c>
      <c r="M2397" s="23" t="n">
        <v>4237.29</v>
      </c>
    </row>
    <row r="2398">
      <c r="A2398" s="19" t="inlineStr">
        <is>
          <t>FY27</t>
        </is>
      </c>
      <c r="B2398" s="19" t="inlineStr">
        <is>
          <t>Jun</t>
        </is>
      </c>
      <c r="C2398" s="19" t="inlineStr">
        <is>
          <t>TN</t>
        </is>
      </c>
      <c r="D2398" s="20" t="inlineStr">
        <is>
          <t>TN52L9882</t>
        </is>
      </c>
      <c r="E2398" s="20" t="inlineStr">
        <is>
          <t>MARUTI SUZUKI</t>
        </is>
      </c>
      <c r="F2398" s="20" t="inlineStr">
        <is>
          <t>Omni</t>
        </is>
      </c>
      <c r="G2398" s="21" t="n">
        <v>2017</v>
      </c>
      <c r="H2398" s="22" t="n">
        <v>127939</v>
      </c>
      <c r="I2398" s="22" t="n">
        <v>160000</v>
      </c>
      <c r="J2398" s="20" t="inlineStr">
        <is>
          <t>THIRIVENI CARS</t>
        </is>
      </c>
      <c r="K2398" s="20" t="inlineStr">
        <is>
          <t>Non-Captive</t>
        </is>
      </c>
      <c r="L2398" s="20" t="inlineStr">
        <is>
          <t>NIrmal Cars</t>
        </is>
      </c>
      <c r="M2398" s="23" t="n">
        <v>4237.29</v>
      </c>
    </row>
    <row r="2399">
      <c r="A2399" s="19" t="inlineStr">
        <is>
          <t>FY27</t>
        </is>
      </c>
      <c r="B2399" s="19" t="inlineStr">
        <is>
          <t>Jun</t>
        </is>
      </c>
      <c r="C2399" s="19" t="inlineStr">
        <is>
          <t>TN</t>
        </is>
      </c>
      <c r="D2399" s="20" t="inlineStr">
        <is>
          <t>TN14AD1585</t>
        </is>
      </c>
      <c r="E2399" s="20" t="inlineStr">
        <is>
          <t>CITROEN</t>
        </is>
      </c>
      <c r="F2399" s="20" t="inlineStr">
        <is>
          <t>C3</t>
        </is>
      </c>
      <c r="G2399" s="21" t="n">
        <v>2022</v>
      </c>
      <c r="H2399" s="22" t="n">
        <v>32987</v>
      </c>
      <c r="I2399" s="22" t="n">
        <v>400000</v>
      </c>
      <c r="J2399" s="20" t="inlineStr">
        <is>
          <t>Santhosh</t>
        </is>
      </c>
      <c r="K2399" s="20" t="inlineStr">
        <is>
          <t>Non-Captive</t>
        </is>
      </c>
      <c r="L2399" s="20" t="inlineStr">
        <is>
          <t>NIrmal Cars</t>
        </is>
      </c>
      <c r="M2399" s="23" t="n">
        <v>4237.29</v>
      </c>
    </row>
    <row r="2400">
      <c r="A2400" s="19" t="inlineStr">
        <is>
          <t>FY27</t>
        </is>
      </c>
      <c r="B2400" s="19" t="inlineStr">
        <is>
          <t>Jun</t>
        </is>
      </c>
      <c r="C2400" s="19" t="inlineStr">
        <is>
          <t>TN</t>
        </is>
      </c>
      <c r="D2400" s="20" t="inlineStr">
        <is>
          <t>TN14AD1686</t>
        </is>
      </c>
      <c r="E2400" s="20" t="inlineStr">
        <is>
          <t>CITROEN</t>
        </is>
      </c>
      <c r="F2400" s="20" t="inlineStr">
        <is>
          <t>C3</t>
        </is>
      </c>
      <c r="G2400" s="21" t="n">
        <v>2022</v>
      </c>
      <c r="H2400" s="22" t="n">
        <v>435679</v>
      </c>
      <c r="I2400" s="22" t="n">
        <v>380000</v>
      </c>
      <c r="J2400" s="20" t="inlineStr">
        <is>
          <t>Santhosh</t>
        </is>
      </c>
      <c r="K2400" s="20" t="inlineStr">
        <is>
          <t>Non-Captive</t>
        </is>
      </c>
      <c r="L2400" s="20" t="inlineStr">
        <is>
          <t>NIrmal Cars</t>
        </is>
      </c>
      <c r="M2400" s="23" t="n">
        <v>4237.29</v>
      </c>
    </row>
    <row r="2401">
      <c r="A2401" s="19" t="inlineStr">
        <is>
          <t>FY27</t>
        </is>
      </c>
      <c r="B2401" s="19" t="inlineStr">
        <is>
          <t>Jun</t>
        </is>
      </c>
      <c r="C2401" s="19" t="inlineStr">
        <is>
          <t>TN</t>
        </is>
      </c>
      <c r="D2401" s="20" t="inlineStr">
        <is>
          <t>TN14AD1665</t>
        </is>
      </c>
      <c r="E2401" s="20" t="inlineStr">
        <is>
          <t>CITROEN</t>
        </is>
      </c>
      <c r="F2401" s="20" t="inlineStr">
        <is>
          <t>C3</t>
        </is>
      </c>
      <c r="G2401" s="21" t="n">
        <v>2022</v>
      </c>
      <c r="H2401" s="22" t="n">
        <v>217865</v>
      </c>
      <c r="I2401" s="22" t="n">
        <v>200000</v>
      </c>
      <c r="J2401" s="20" t="inlineStr">
        <is>
          <t>Santhosh</t>
        </is>
      </c>
      <c r="K2401" s="20" t="inlineStr">
        <is>
          <t>Non-Captive</t>
        </is>
      </c>
      <c r="L2401" s="20" t="inlineStr">
        <is>
          <t>NIrmal Cars</t>
        </is>
      </c>
      <c r="M2401" s="23" t="n">
        <v>4237.29</v>
      </c>
    </row>
    <row r="2402">
      <c r="A2402" s="19" t="inlineStr">
        <is>
          <t>FY27</t>
        </is>
      </c>
      <c r="B2402" s="19" t="inlineStr">
        <is>
          <t>Jun</t>
        </is>
      </c>
      <c r="C2402" s="19" t="inlineStr">
        <is>
          <t>TN</t>
        </is>
      </c>
      <c r="D2402" s="20" t="inlineStr">
        <is>
          <t>TN14AD1623</t>
        </is>
      </c>
      <c r="E2402" s="20" t="inlineStr">
        <is>
          <t>CITROEN</t>
        </is>
      </c>
      <c r="F2402" s="20" t="inlineStr">
        <is>
          <t>C3</t>
        </is>
      </c>
      <c r="G2402" s="21" t="n">
        <v>2022</v>
      </c>
      <c r="H2402" s="22" t="n">
        <v>22498</v>
      </c>
      <c r="I2402" s="22" t="n">
        <v>400000</v>
      </c>
      <c r="J2402" s="20" t="inlineStr">
        <is>
          <t>Santhosh</t>
        </is>
      </c>
      <c r="K2402" s="20" t="inlineStr">
        <is>
          <t>Non-Captive</t>
        </is>
      </c>
      <c r="L2402" s="20" t="inlineStr">
        <is>
          <t>NIrmal Cars</t>
        </is>
      </c>
      <c r="M2402" s="23" t="n">
        <v>4237.29</v>
      </c>
    </row>
    <row r="2403">
      <c r="A2403" s="19" t="inlineStr">
        <is>
          <t>FY27</t>
        </is>
      </c>
      <c r="B2403" s="19" t="inlineStr">
        <is>
          <t>Jun</t>
        </is>
      </c>
      <c r="C2403" s="19" t="inlineStr">
        <is>
          <t>TN</t>
        </is>
      </c>
      <c r="D2403" s="20" t="inlineStr">
        <is>
          <t>TN03F6676</t>
        </is>
      </c>
      <c r="E2403" s="20" t="inlineStr">
        <is>
          <t>FORD</t>
        </is>
      </c>
      <c r="F2403" s="20" t="inlineStr">
        <is>
          <t>Figo</t>
        </is>
      </c>
      <c r="G2403" s="21" t="n">
        <v>2011</v>
      </c>
      <c r="H2403" s="22" t="n">
        <v>119083</v>
      </c>
      <c r="I2403" s="22" t="n">
        <v>100000</v>
      </c>
      <c r="J2403" s="20" t="inlineStr">
        <is>
          <t>KALYANIMOTORS MARUTHI</t>
        </is>
      </c>
      <c r="K2403" s="20" t="inlineStr">
        <is>
          <t>Non-Captive</t>
        </is>
      </c>
      <c r="L2403" s="20" t="inlineStr">
        <is>
          <t>NIrmal Cars</t>
        </is>
      </c>
      <c r="M2403" s="23" t="n">
        <v>3389.83</v>
      </c>
    </row>
    <row r="2404">
      <c r="A2404" s="19" t="inlineStr">
        <is>
          <t>FY27</t>
        </is>
      </c>
      <c r="B2404" s="19" t="inlineStr">
        <is>
          <t>Jun</t>
        </is>
      </c>
      <c r="C2404" s="19" t="inlineStr">
        <is>
          <t>TN</t>
        </is>
      </c>
      <c r="D2404" s="20" t="inlineStr">
        <is>
          <t>TN07BT0904</t>
        </is>
      </c>
      <c r="E2404" s="20" t="inlineStr">
        <is>
          <t>MAHINDRA</t>
        </is>
      </c>
      <c r="F2404" s="20" t="inlineStr">
        <is>
          <t>Xuv500</t>
        </is>
      </c>
      <c r="G2404" s="21" t="n">
        <v>2012</v>
      </c>
      <c r="H2404" s="22" t="n">
        <v>140376</v>
      </c>
      <c r="I2404" s="22" t="n">
        <v>220000</v>
      </c>
      <c r="J2404" s="20" t="inlineStr">
        <is>
          <t>Nirmal</t>
        </is>
      </c>
      <c r="K2404" s="20" t="inlineStr">
        <is>
          <t>Non-Captive</t>
        </is>
      </c>
      <c r="L2404" s="20" t="inlineStr">
        <is>
          <t>Kamal Cars</t>
        </is>
      </c>
      <c r="M2404" s="23" t="n">
        <v>3813.56</v>
      </c>
    </row>
    <row r="2405">
      <c r="A2405" s="19" t="inlineStr">
        <is>
          <t>FY27</t>
        </is>
      </c>
      <c r="B2405" s="19" t="inlineStr">
        <is>
          <t>Jun</t>
        </is>
      </c>
      <c r="C2405" s="19" t="inlineStr">
        <is>
          <t>TN</t>
        </is>
      </c>
      <c r="D2405" s="20" t="inlineStr">
        <is>
          <t>TN07AS7719</t>
        </is>
      </c>
      <c r="E2405" s="20" t="inlineStr">
        <is>
          <t>MARUTI SUZUKI</t>
        </is>
      </c>
      <c r="F2405" s="20" t="inlineStr">
        <is>
          <t>Swift</t>
        </is>
      </c>
      <c r="G2405" s="21" t="n">
        <v>2007</v>
      </c>
      <c r="H2405" s="22" t="n">
        <v>71019</v>
      </c>
      <c r="I2405" s="22" t="n">
        <v>130000</v>
      </c>
      <c r="J2405" s="20" t="inlineStr">
        <is>
          <t>KALYANIMOTORS MARUTHI</t>
        </is>
      </c>
      <c r="K2405" s="20" t="inlineStr">
        <is>
          <t>Non-Captive</t>
        </is>
      </c>
      <c r="L2405" s="20" t="inlineStr">
        <is>
          <t>Pine Autos</t>
        </is>
      </c>
      <c r="M2405" s="23" t="n">
        <v>4237.29</v>
      </c>
    </row>
    <row r="2406">
      <c r="A2406" s="19" t="inlineStr">
        <is>
          <t>FY27</t>
        </is>
      </c>
      <c r="B2406" s="19" t="inlineStr">
        <is>
          <t>Jun</t>
        </is>
      </c>
      <c r="C2406" s="19" t="inlineStr">
        <is>
          <t>TN</t>
        </is>
      </c>
      <c r="D2406" s="20" t="inlineStr">
        <is>
          <t>TN02AT1408</t>
        </is>
      </c>
      <c r="E2406" s="20" t="inlineStr">
        <is>
          <t>FORD</t>
        </is>
      </c>
      <c r="F2406" s="20" t="inlineStr">
        <is>
          <t>Figo</t>
        </is>
      </c>
      <c r="G2406" s="21" t="n">
        <v>2011</v>
      </c>
      <c r="H2406" s="22" t="n">
        <v>126520</v>
      </c>
      <c r="I2406" s="22" t="n">
        <v>100000</v>
      </c>
      <c r="J2406" s="20" t="inlineStr">
        <is>
          <t>Nirmal</t>
        </is>
      </c>
      <c r="K2406" s="20" t="inlineStr">
        <is>
          <t>Non-Captive</t>
        </is>
      </c>
      <c r="L2406" s="20" t="inlineStr">
        <is>
          <t>Pine Autos</t>
        </is>
      </c>
      <c r="M2406" s="23" t="n">
        <v>4237.29</v>
      </c>
    </row>
    <row r="2407">
      <c r="A2407" s="19" t="inlineStr">
        <is>
          <t>FY27</t>
        </is>
      </c>
      <c r="B2407" s="19" t="inlineStr">
        <is>
          <t>Jun</t>
        </is>
      </c>
      <c r="C2407" s="19" t="inlineStr">
        <is>
          <t>TN</t>
        </is>
      </c>
      <c r="D2407" s="20" t="inlineStr">
        <is>
          <t>TN11E8778</t>
        </is>
      </c>
      <c r="E2407" s="20" t="inlineStr">
        <is>
          <t>MAHINDRA</t>
        </is>
      </c>
      <c r="F2407" s="20" t="inlineStr">
        <is>
          <t>Xuv500</t>
        </is>
      </c>
      <c r="G2407" s="21" t="n">
        <v>2013</v>
      </c>
      <c r="H2407" s="22" t="n">
        <v>119851</v>
      </c>
      <c r="I2407" s="22" t="n">
        <v>225000</v>
      </c>
      <c r="J2407" s="20" t="inlineStr">
        <is>
          <t>KALYANIMOTORS MARUTHI</t>
        </is>
      </c>
      <c r="K2407" s="20" t="inlineStr">
        <is>
          <t>Non-Captive</t>
        </is>
      </c>
      <c r="L2407" s="20" t="inlineStr">
        <is>
          <t>Pine Autos</t>
        </is>
      </c>
      <c r="M2407" s="23" t="n">
        <v>4237.29</v>
      </c>
    </row>
    <row r="2408">
      <c r="A2408" s="19" t="inlineStr">
        <is>
          <t>FY27</t>
        </is>
      </c>
      <c r="B2408" s="19" t="inlineStr">
        <is>
          <t>Jun</t>
        </is>
      </c>
      <c r="C2408" s="19" t="inlineStr">
        <is>
          <t>TN</t>
        </is>
      </c>
      <c r="D2408" s="20" t="inlineStr">
        <is>
          <t>TN05BH5562</t>
        </is>
      </c>
      <c r="E2408" s="20" t="inlineStr">
        <is>
          <t>MARUTI SUZUKI</t>
        </is>
      </c>
      <c r="F2408" s="20" t="inlineStr">
        <is>
          <t>Swift</t>
        </is>
      </c>
      <c r="G2408" s="21" t="n">
        <v>2016</v>
      </c>
      <c r="H2408" s="22" t="n">
        <v>77268</v>
      </c>
      <c r="I2408" s="22" t="n">
        <v>330000</v>
      </c>
      <c r="J2408" s="20" t="inlineStr">
        <is>
          <t>KALYANIMOTORS MARUTHI</t>
        </is>
      </c>
      <c r="K2408" s="20" t="inlineStr">
        <is>
          <t>Non-Captive</t>
        </is>
      </c>
      <c r="L2408" s="20" t="inlineStr">
        <is>
          <t>Pine Autos</t>
        </is>
      </c>
      <c r="M2408" s="23" t="n">
        <v>4237.29</v>
      </c>
    </row>
    <row r="2409">
      <c r="A2409" s="19" t="inlineStr">
        <is>
          <t>FY27</t>
        </is>
      </c>
      <c r="B2409" s="19" t="inlineStr">
        <is>
          <t>Jun</t>
        </is>
      </c>
      <c r="C2409" s="19" t="inlineStr">
        <is>
          <t>TN</t>
        </is>
      </c>
      <c r="D2409" s="20" t="inlineStr">
        <is>
          <t>TN06V3234</t>
        </is>
      </c>
      <c r="E2409" s="20" t="inlineStr">
        <is>
          <t>MARUTI SUZUKI</t>
        </is>
      </c>
      <c r="F2409" s="20" t="inlineStr">
        <is>
          <t>Baleno</t>
        </is>
      </c>
      <c r="G2409" s="21" t="n">
        <v>2018</v>
      </c>
      <c r="H2409" s="22" t="n">
        <v>48762</v>
      </c>
      <c r="I2409" s="22" t="n">
        <v>400000</v>
      </c>
      <c r="J2409" s="20" t="inlineStr">
        <is>
          <t>Nirmal</t>
        </is>
      </c>
      <c r="K2409" s="20" t="inlineStr">
        <is>
          <t>Non-Captive</t>
        </is>
      </c>
      <c r="L2409" s="20" t="inlineStr">
        <is>
          <t>Pine Autos</t>
        </is>
      </c>
      <c r="M2409" s="23" t="n">
        <v>4237.29</v>
      </c>
    </row>
    <row r="2410">
      <c r="A2410" s="19" t="inlineStr">
        <is>
          <t>FY27</t>
        </is>
      </c>
      <c r="B2410" s="19" t="inlineStr">
        <is>
          <t>Jun</t>
        </is>
      </c>
      <c r="C2410" s="19" t="inlineStr">
        <is>
          <t>TN</t>
        </is>
      </c>
      <c r="D2410" s="20" t="inlineStr">
        <is>
          <t>TN05AQ9364</t>
        </is>
      </c>
      <c r="E2410" s="20" t="inlineStr">
        <is>
          <t>HYUNDAI</t>
        </is>
      </c>
      <c r="F2410" s="20" t="inlineStr">
        <is>
          <t>Eon</t>
        </is>
      </c>
      <c r="G2410" s="21" t="n">
        <v>2012</v>
      </c>
      <c r="H2410" s="22" t="n">
        <v>26561</v>
      </c>
      <c r="I2410" s="22" t="n">
        <v>90000</v>
      </c>
      <c r="J2410" s="20" t="inlineStr">
        <is>
          <t>KALYANIMOTORS MARUTHI</t>
        </is>
      </c>
      <c r="K2410" s="20" t="inlineStr">
        <is>
          <t>Non-Captive</t>
        </is>
      </c>
      <c r="L2410" s="20" t="inlineStr">
        <is>
          <t>Pine Autos</t>
        </is>
      </c>
      <c r="M2410" s="23" t="n">
        <v>4237.29</v>
      </c>
    </row>
    <row r="2411">
      <c r="A2411" s="19" t="inlineStr">
        <is>
          <t>FY27</t>
        </is>
      </c>
      <c r="B2411" s="19" t="inlineStr">
        <is>
          <t>Jun</t>
        </is>
      </c>
      <c r="C2411" s="19" t="inlineStr">
        <is>
          <t>TN</t>
        </is>
      </c>
      <c r="D2411" s="20" t="inlineStr">
        <is>
          <t>TN14AD1688</t>
        </is>
      </c>
      <c r="E2411" s="20" t="inlineStr">
        <is>
          <t>CITROEN</t>
        </is>
      </c>
      <c r="F2411" s="20" t="inlineStr">
        <is>
          <t>C3</t>
        </is>
      </c>
      <c r="G2411" s="21" t="n">
        <v>2022</v>
      </c>
      <c r="H2411" s="22" t="n">
        <v>25217</v>
      </c>
      <c r="I2411" s="22" t="n">
        <v>400000</v>
      </c>
      <c r="J2411" s="20" t="inlineStr">
        <is>
          <t>Nirmal</t>
        </is>
      </c>
      <c r="K2411" s="20" t="inlineStr">
        <is>
          <t>Non-Captive</t>
        </is>
      </c>
      <c r="L2411" s="20" t="inlineStr">
        <is>
          <t>Kamal Cars</t>
        </is>
      </c>
      <c r="M2411" s="23" t="n">
        <v>4237.29</v>
      </c>
    </row>
    <row r="2412">
      <c r="A2412" s="19" t="inlineStr">
        <is>
          <t>FY27</t>
        </is>
      </c>
      <c r="B2412" s="19" t="inlineStr">
        <is>
          <t>Jun</t>
        </is>
      </c>
      <c r="C2412" s="19" t="inlineStr">
        <is>
          <t>TN</t>
        </is>
      </c>
      <c r="D2412" s="20" t="inlineStr">
        <is>
          <t>TN10AK6224</t>
        </is>
      </c>
      <c r="E2412" s="20" t="inlineStr">
        <is>
          <t>MARUTI SUZUKI</t>
        </is>
      </c>
      <c r="F2412" s="20" t="inlineStr">
        <is>
          <t>Alto 800</t>
        </is>
      </c>
      <c r="G2412" s="21" t="n">
        <v>2013</v>
      </c>
      <c r="H2412" s="22" t="n">
        <v>24387</v>
      </c>
      <c r="I2412" s="22" t="n">
        <v>160000</v>
      </c>
      <c r="J2412" s="20" t="inlineStr">
        <is>
          <t>Castel Traders Honda</t>
        </is>
      </c>
      <c r="K2412" s="20" t="inlineStr">
        <is>
          <t>Non-Captive</t>
        </is>
      </c>
      <c r="L2412" s="20" t="inlineStr">
        <is>
          <t>Varadharajan</t>
        </is>
      </c>
      <c r="M2412" s="23" t="n">
        <v>5932.2</v>
      </c>
    </row>
    <row r="2413">
      <c r="A2413" s="19" t="inlineStr">
        <is>
          <t>FY27</t>
        </is>
      </c>
      <c r="B2413" s="19" t="inlineStr">
        <is>
          <t>Jun</t>
        </is>
      </c>
      <c r="C2413" s="19" t="inlineStr">
        <is>
          <t>TN</t>
        </is>
      </c>
      <c r="D2413" s="20" t="inlineStr">
        <is>
          <t>TN20CW9307</t>
        </is>
      </c>
      <c r="E2413" s="20" t="inlineStr">
        <is>
          <t>MARUTI SUZUKI</t>
        </is>
      </c>
      <c r="F2413" s="20" t="inlineStr">
        <is>
          <t>Figo</t>
        </is>
      </c>
      <c r="G2413" s="21" t="n">
        <v>2013</v>
      </c>
      <c r="H2413" s="22" t="n">
        <v>66541</v>
      </c>
      <c r="I2413" s="22" t="n">
        <v>140000</v>
      </c>
      <c r="J2413" s="20" t="inlineStr">
        <is>
          <t>Castel Traders Honda</t>
        </is>
      </c>
      <c r="K2413" s="20" t="inlineStr">
        <is>
          <t>Non-Captive</t>
        </is>
      </c>
      <c r="L2413" s="20" t="inlineStr">
        <is>
          <t>AAA Cars</t>
        </is>
      </c>
      <c r="M2413" s="23" t="n">
        <v>3389.83</v>
      </c>
    </row>
    <row r="2414">
      <c r="A2414" s="19" t="inlineStr">
        <is>
          <t>FY27</t>
        </is>
      </c>
      <c r="B2414" s="19" t="inlineStr">
        <is>
          <t>Jun</t>
        </is>
      </c>
      <c r="C2414" s="19" t="inlineStr">
        <is>
          <t>TN</t>
        </is>
      </c>
      <c r="D2414" s="20" t="inlineStr">
        <is>
          <t>TN14L6147</t>
        </is>
      </c>
      <c r="E2414" s="20" t="inlineStr">
        <is>
          <t>HONDA</t>
        </is>
      </c>
      <c r="F2414" s="20" t="inlineStr">
        <is>
          <t>City</t>
        </is>
      </c>
      <c r="G2414" s="21" t="n">
        <v>2017</v>
      </c>
      <c r="H2414" s="22" t="n">
        <v>98763</v>
      </c>
      <c r="I2414" s="22" t="n">
        <v>430000</v>
      </c>
      <c r="J2414" s="20" t="inlineStr">
        <is>
          <t>Castel Traders Honda</t>
        </is>
      </c>
      <c r="K2414" s="20" t="inlineStr">
        <is>
          <t>Non-Captive</t>
        </is>
      </c>
      <c r="L2414" s="20" t="inlineStr">
        <is>
          <t>AAA Cars</t>
        </is>
      </c>
      <c r="M2414" s="23" t="n">
        <v>3389.83</v>
      </c>
    </row>
    <row r="2415">
      <c r="A2415" s="19" t="inlineStr">
        <is>
          <t>FY27</t>
        </is>
      </c>
      <c r="B2415" s="19" t="inlineStr">
        <is>
          <t>Jun</t>
        </is>
      </c>
      <c r="C2415" s="19" t="inlineStr">
        <is>
          <t>TN</t>
        </is>
      </c>
      <c r="D2415" s="20" t="inlineStr">
        <is>
          <t>TN18AW2928</t>
        </is>
      </c>
      <c r="E2415" s="20" t="inlineStr">
        <is>
          <t>MARUTI SUZUKI</t>
        </is>
      </c>
      <c r="F2415" s="20" t="inlineStr">
        <is>
          <t>Celerio</t>
        </is>
      </c>
      <c r="G2415" s="21" t="n">
        <v>2019</v>
      </c>
      <c r="H2415" s="22" t="n">
        <v>87821</v>
      </c>
      <c r="I2415" s="22" t="n">
        <v>315000</v>
      </c>
      <c r="J2415" s="20" t="inlineStr">
        <is>
          <t>Khivraj Motor</t>
        </is>
      </c>
      <c r="K2415" s="20" t="inlineStr">
        <is>
          <t>Non-Captive</t>
        </is>
      </c>
      <c r="L2415" s="20" t="inlineStr">
        <is>
          <t>Lanson</t>
        </is>
      </c>
      <c r="M2415" s="23" t="n">
        <v>6355.93</v>
      </c>
    </row>
    <row r="2416">
      <c r="A2416" s="19" t="inlineStr">
        <is>
          <t>FY27</t>
        </is>
      </c>
      <c r="B2416" s="19" t="inlineStr">
        <is>
          <t>Jun</t>
        </is>
      </c>
      <c r="C2416" s="19" t="inlineStr">
        <is>
          <t>TN</t>
        </is>
      </c>
      <c r="D2416" s="20" t="inlineStr">
        <is>
          <t>TN10BC9986</t>
        </is>
      </c>
      <c r="E2416" s="20" t="inlineStr">
        <is>
          <t>MARUTI SUZUKI</t>
        </is>
      </c>
      <c r="F2416" s="20" t="inlineStr">
        <is>
          <t>Swift</t>
        </is>
      </c>
      <c r="G2416" s="21" t="n">
        <v>2018</v>
      </c>
      <c r="H2416" s="22" t="n">
        <v>66661</v>
      </c>
      <c r="I2416" s="22" t="n">
        <v>435000</v>
      </c>
      <c r="J2416" s="20" t="inlineStr">
        <is>
          <t>Khivraj Motor</t>
        </is>
      </c>
      <c r="K2416" s="20" t="inlineStr">
        <is>
          <t>Non-Captive</t>
        </is>
      </c>
      <c r="L2416" s="20" t="inlineStr">
        <is>
          <t>Lanson</t>
        </is>
      </c>
      <c r="M2416" s="23" t="n">
        <v>7627.12</v>
      </c>
    </row>
    <row r="2417">
      <c r="A2417" s="19" t="inlineStr">
        <is>
          <t>FY27</t>
        </is>
      </c>
      <c r="B2417" s="19" t="inlineStr">
        <is>
          <t>Jun</t>
        </is>
      </c>
      <c r="C2417" s="19" t="inlineStr">
        <is>
          <t>TN</t>
        </is>
      </c>
      <c r="D2417" s="20" t="inlineStr">
        <is>
          <t>TN09BF0696</t>
        </is>
      </c>
      <c r="E2417" s="20" t="inlineStr">
        <is>
          <t>HYUNDAI</t>
        </is>
      </c>
      <c r="F2417" s="20" t="inlineStr">
        <is>
          <t>I10</t>
        </is>
      </c>
      <c r="G2417" s="21" t="n">
        <v>2010</v>
      </c>
      <c r="H2417" s="22" t="n">
        <v>119451</v>
      </c>
      <c r="I2417" s="22" t="n">
        <v>135000</v>
      </c>
      <c r="J2417" s="20" t="inlineStr">
        <is>
          <t>Khivraj Motor</t>
        </is>
      </c>
      <c r="K2417" s="20" t="inlineStr">
        <is>
          <t>Non-Captive</t>
        </is>
      </c>
      <c r="L2417" s="20" t="inlineStr">
        <is>
          <t>S2 cars</t>
        </is>
      </c>
      <c r="M2417" s="23" t="n">
        <v>5084.75</v>
      </c>
    </row>
    <row r="2418">
      <c r="A2418" s="19" t="inlineStr">
        <is>
          <t>FY27</t>
        </is>
      </c>
      <c r="B2418" s="19" t="inlineStr">
        <is>
          <t>Jun</t>
        </is>
      </c>
      <c r="C2418" s="19" t="inlineStr">
        <is>
          <t>TN</t>
        </is>
      </c>
      <c r="D2418" s="20" t="inlineStr">
        <is>
          <t>TN11J5544</t>
        </is>
      </c>
      <c r="E2418" s="20" t="inlineStr">
        <is>
          <t>MARUTI SUZUKI</t>
        </is>
      </c>
      <c r="F2418" s="20" t="inlineStr">
        <is>
          <t>K10</t>
        </is>
      </c>
      <c r="G2418" s="21" t="n">
        <v>2014</v>
      </c>
      <c r="H2418" s="22" t="n">
        <v>84422</v>
      </c>
      <c r="I2418" s="22" t="n">
        <v>180000</v>
      </c>
      <c r="J2418" s="20" t="inlineStr">
        <is>
          <t>Khivraj Motor</t>
        </is>
      </c>
      <c r="K2418" s="20" t="inlineStr">
        <is>
          <t>Non-Captive</t>
        </is>
      </c>
      <c r="L2418" s="20" t="inlineStr">
        <is>
          <t>S2 cars</t>
        </is>
      </c>
      <c r="M2418" s="23" t="n">
        <v>5084.75</v>
      </c>
    </row>
    <row r="2419">
      <c r="A2419" s="19" t="inlineStr">
        <is>
          <t>FY27</t>
        </is>
      </c>
      <c r="B2419" s="19" t="inlineStr">
        <is>
          <t>Jun</t>
        </is>
      </c>
      <c r="C2419" s="19" t="inlineStr">
        <is>
          <t>TN</t>
        </is>
      </c>
      <c r="D2419" s="20" t="inlineStr">
        <is>
          <t>TN60J7962</t>
        </is>
      </c>
      <c r="E2419" s="20" t="inlineStr">
        <is>
          <t>NISSAN</t>
        </is>
      </c>
      <c r="F2419" s="20" t="inlineStr">
        <is>
          <t>Sunny</t>
        </is>
      </c>
      <c r="G2419" s="21" t="n">
        <v>2012</v>
      </c>
      <c r="H2419" s="22" t="n">
        <v>207382</v>
      </c>
      <c r="I2419" s="22" t="n">
        <v>200000</v>
      </c>
      <c r="J2419" s="20" t="inlineStr">
        <is>
          <t>Khivraj Motor</t>
        </is>
      </c>
      <c r="K2419" s="20" t="inlineStr">
        <is>
          <t>Non-Captive</t>
        </is>
      </c>
      <c r="L2419" s="20" t="inlineStr">
        <is>
          <t>Senthil Cars</t>
        </is>
      </c>
      <c r="M2419" s="23" t="n">
        <v>5084.75</v>
      </c>
    </row>
    <row r="2420">
      <c r="A2420" s="19" t="inlineStr">
        <is>
          <t>FY27</t>
        </is>
      </c>
      <c r="B2420" s="19" t="inlineStr">
        <is>
          <t>Jun</t>
        </is>
      </c>
      <c r="C2420" s="19" t="inlineStr">
        <is>
          <t>TN</t>
        </is>
      </c>
      <c r="D2420" s="20" t="inlineStr">
        <is>
          <t>TN09BQ5114</t>
        </is>
      </c>
      <c r="E2420" s="20" t="inlineStr">
        <is>
          <t>HYUNDAI</t>
        </is>
      </c>
      <c r="F2420" s="20" t="inlineStr">
        <is>
          <t>I10</t>
        </is>
      </c>
      <c r="G2420" s="21" t="n">
        <v>2012</v>
      </c>
      <c r="H2420" s="22" t="n">
        <v>97990</v>
      </c>
      <c r="I2420" s="22" t="n">
        <v>135000</v>
      </c>
      <c r="J2420" s="20" t="inlineStr">
        <is>
          <t>Khivraj Motor</t>
        </is>
      </c>
      <c r="K2420" s="20" t="inlineStr">
        <is>
          <t>Non-Captive</t>
        </is>
      </c>
      <c r="L2420" s="20" t="inlineStr">
        <is>
          <t>Amarnath Cars</t>
        </is>
      </c>
      <c r="M2420" s="23" t="n">
        <v>5084.75</v>
      </c>
    </row>
    <row r="2421">
      <c r="A2421" s="19" t="inlineStr">
        <is>
          <t>FY27</t>
        </is>
      </c>
      <c r="B2421" s="19" t="inlineStr">
        <is>
          <t>Jun</t>
        </is>
      </c>
      <c r="C2421" s="19" t="inlineStr">
        <is>
          <t>TN</t>
        </is>
      </c>
      <c r="D2421" s="20" t="inlineStr">
        <is>
          <t>KL436309</t>
        </is>
      </c>
      <c r="E2421" s="20" t="inlineStr">
        <is>
          <t>MARUTI SUZUKI</t>
        </is>
      </c>
      <c r="F2421" s="20" t="inlineStr">
        <is>
          <t>Zen</t>
        </is>
      </c>
      <c r="G2421" s="21" t="n">
        <v>2006</v>
      </c>
      <c r="H2421" s="22" t="n">
        <v>56470</v>
      </c>
      <c r="I2421" s="22" t="n">
        <v>65000</v>
      </c>
      <c r="J2421" s="20" t="inlineStr">
        <is>
          <t>POPULAR MOTORWORLD PVT LTD</t>
        </is>
      </c>
      <c r="K2421" s="20" t="inlineStr">
        <is>
          <t>Non-Captive</t>
        </is>
      </c>
      <c r="L2421" s="20" t="inlineStr">
        <is>
          <t>STEVE JACKSON</t>
        </is>
      </c>
      <c r="M2421" s="23" t="n">
        <v>5932.2</v>
      </c>
    </row>
    <row r="2422">
      <c r="A2422" s="19" t="inlineStr">
        <is>
          <t>FY27</t>
        </is>
      </c>
      <c r="B2422" s="19" t="inlineStr">
        <is>
          <t>Jun</t>
        </is>
      </c>
      <c r="C2422" s="19" t="inlineStr">
        <is>
          <t>TN</t>
        </is>
      </c>
      <c r="D2422" s="20" t="inlineStr">
        <is>
          <t>KL01BS4651</t>
        </is>
      </c>
      <c r="E2422" s="20" t="inlineStr">
        <is>
          <t>HYUNDAI</t>
        </is>
      </c>
      <c r="F2422" s="20" t="inlineStr">
        <is>
          <t>Grand I10</t>
        </is>
      </c>
      <c r="G2422" s="21" t="n">
        <v>2014</v>
      </c>
      <c r="H2422" s="22" t="n">
        <v>45822</v>
      </c>
      <c r="I2422" s="22" t="n">
        <v>170000</v>
      </c>
      <c r="J2422" s="20" t="inlineStr">
        <is>
          <t>Nippon Motor Corporation Pvt Ltd</t>
        </is>
      </c>
      <c r="K2422" s="20" t="inlineStr">
        <is>
          <t>Non-Captive</t>
        </is>
      </c>
      <c r="L2422" s="20" t="inlineStr">
        <is>
          <t>POPULAR THRISSUR</t>
        </is>
      </c>
      <c r="M2422" s="23" t="n">
        <v>5000</v>
      </c>
    </row>
    <row r="2423">
      <c r="A2423" s="19" t="inlineStr">
        <is>
          <t>FY27</t>
        </is>
      </c>
      <c r="B2423" s="19" t="inlineStr">
        <is>
          <t>Jun</t>
        </is>
      </c>
      <c r="C2423" s="19" t="inlineStr">
        <is>
          <t>TN</t>
        </is>
      </c>
      <c r="D2423" s="20" t="inlineStr">
        <is>
          <t>KL16W2030</t>
        </is>
      </c>
      <c r="E2423" s="20" t="inlineStr">
        <is>
          <t>MARUTI SUZUKI</t>
        </is>
      </c>
      <c r="F2423" s="20" t="inlineStr">
        <is>
          <t>Ertiga</t>
        </is>
      </c>
      <c r="G2423" s="21" t="n">
        <v>2019</v>
      </c>
      <c r="H2423" s="22" t="n">
        <v>36565</v>
      </c>
      <c r="I2423" s="22" t="n">
        <v>190000</v>
      </c>
      <c r="J2423" s="20" t="inlineStr">
        <is>
          <t>FORTUNE MALAYALAM AUTOMOBILES PRIVATE LIMITED</t>
        </is>
      </c>
      <c r="K2423" s="20" t="inlineStr">
        <is>
          <t>Non-Captive</t>
        </is>
      </c>
      <c r="L2423" s="20" t="inlineStr">
        <is>
          <t>POPULAR ALLEPPY</t>
        </is>
      </c>
      <c r="M2423" s="23" t="n">
        <v>5000</v>
      </c>
    </row>
    <row r="2424">
      <c r="A2424" s="19" t="inlineStr">
        <is>
          <t>FY27</t>
        </is>
      </c>
      <c r="B2424" s="19" t="inlineStr">
        <is>
          <t>Jun</t>
        </is>
      </c>
      <c r="C2424" s="19" t="inlineStr">
        <is>
          <t>TN</t>
        </is>
      </c>
      <c r="D2424" s="20" t="inlineStr">
        <is>
          <t>KL21W1568</t>
        </is>
      </c>
      <c r="E2424" s="20" t="inlineStr">
        <is>
          <t>MARUTI SUZUKI</t>
        </is>
      </c>
      <c r="F2424" s="20" t="inlineStr">
        <is>
          <t>Swift</t>
        </is>
      </c>
      <c r="G2424" s="21" t="n">
        <v>2018</v>
      </c>
      <c r="H2424" s="22" t="n">
        <v>90872</v>
      </c>
      <c r="I2424" s="22" t="n">
        <v>190000</v>
      </c>
      <c r="J2424" s="20" t="inlineStr">
        <is>
          <t>Trust N DRIVE</t>
        </is>
      </c>
      <c r="K2424" s="20" t="inlineStr">
        <is>
          <t>Non-Captive</t>
        </is>
      </c>
      <c r="L2424" s="20" t="inlineStr">
        <is>
          <t>POPULAR KOTTAYAM</t>
        </is>
      </c>
      <c r="M2424" s="23" t="n">
        <v>5000</v>
      </c>
    </row>
    <row r="2425">
      <c r="A2425" s="19" t="inlineStr">
        <is>
          <t>FY27</t>
        </is>
      </c>
      <c r="B2425" s="19" t="inlineStr">
        <is>
          <t>Jun</t>
        </is>
      </c>
      <c r="C2425" s="19" t="inlineStr">
        <is>
          <t>TN</t>
        </is>
      </c>
      <c r="D2425" s="20" t="inlineStr">
        <is>
          <t>KL01CS3282</t>
        </is>
      </c>
      <c r="E2425" s="20" t="inlineStr">
        <is>
          <t>HYUNDAI</t>
        </is>
      </c>
      <c r="F2425" s="20" t="inlineStr">
        <is>
          <t>Venue</t>
        </is>
      </c>
      <c r="G2425" s="21" t="n">
        <v>2017</v>
      </c>
      <c r="H2425" s="22" t="n">
        <v>78543</v>
      </c>
      <c r="I2425" s="22" t="n">
        <v>175000</v>
      </c>
      <c r="J2425" s="20" t="inlineStr">
        <is>
          <t>EVM AUTOCRAFT CITRON</t>
        </is>
      </c>
      <c r="K2425" s="20" t="inlineStr">
        <is>
          <t>Non-Captive</t>
        </is>
      </c>
      <c r="L2425" s="20" t="inlineStr">
        <is>
          <t>SHAMNAD AH</t>
        </is>
      </c>
      <c r="M2425" s="23" t="n">
        <v>6016.95</v>
      </c>
    </row>
    <row r="2426">
      <c r="A2426" s="19" t="inlineStr">
        <is>
          <t>FY27</t>
        </is>
      </c>
      <c r="B2426" s="19" t="inlineStr">
        <is>
          <t>Jun</t>
        </is>
      </c>
      <c r="C2426" s="19" t="inlineStr">
        <is>
          <t>TN</t>
        </is>
      </c>
      <c r="D2426" s="20" t="inlineStr">
        <is>
          <t>KL20K3589</t>
        </is>
      </c>
      <c r="E2426" s="20" t="inlineStr">
        <is>
          <t>VOLKSWAGEN</t>
        </is>
      </c>
      <c r="F2426" s="20" t="inlineStr">
        <is>
          <t>Polo</t>
        </is>
      </c>
      <c r="G2426" s="21" t="n">
        <v>2016</v>
      </c>
      <c r="H2426" s="22" t="n">
        <v>76956</v>
      </c>
      <c r="I2426" s="22" t="n">
        <v>190000</v>
      </c>
      <c r="J2426" s="20" t="inlineStr">
        <is>
          <t>Nippon Motor Corporation Pvt Ltd</t>
        </is>
      </c>
      <c r="K2426" s="20" t="inlineStr">
        <is>
          <t>Non-Captive</t>
        </is>
      </c>
      <c r="L2426" s="20" t="inlineStr">
        <is>
          <t>SHAMNAD AH</t>
        </is>
      </c>
      <c r="M2426" s="23" t="n">
        <v>6016.95</v>
      </c>
    </row>
    <row r="2427">
      <c r="A2427" s="19" t="inlineStr">
        <is>
          <t>FY27</t>
        </is>
      </c>
      <c r="B2427" s="19" t="inlineStr">
        <is>
          <t>Jun</t>
        </is>
      </c>
      <c r="C2427" s="19" t="inlineStr">
        <is>
          <t>TN</t>
        </is>
      </c>
      <c r="D2427" s="20" t="inlineStr">
        <is>
          <t>KL01AS9275</t>
        </is>
      </c>
      <c r="E2427" s="20" t="inlineStr">
        <is>
          <t>HYUNDAI</t>
        </is>
      </c>
      <c r="F2427" s="20" t="inlineStr">
        <is>
          <t>Santro</t>
        </is>
      </c>
      <c r="G2427" s="21" t="n">
        <v>2008</v>
      </c>
      <c r="H2427" s="22" t="n">
        <v>117856</v>
      </c>
      <c r="I2427" s="22" t="n">
        <v>65000</v>
      </c>
      <c r="J2427" s="20" t="inlineStr">
        <is>
          <t>Nippon Motor Corporation Pvt Ltd</t>
        </is>
      </c>
      <c r="K2427" s="20" t="inlineStr">
        <is>
          <t>Non-Captive</t>
        </is>
      </c>
      <c r="L2427" s="20" t="inlineStr">
        <is>
          <t>SHAMNAD AH</t>
        </is>
      </c>
      <c r="M2427" s="23" t="n">
        <v>8474.58</v>
      </c>
    </row>
    <row r="2428">
      <c r="A2428" s="19" t="inlineStr">
        <is>
          <t>FY27</t>
        </is>
      </c>
      <c r="B2428" s="19" t="inlineStr">
        <is>
          <t>Jun</t>
        </is>
      </c>
      <c r="C2428" s="19" t="inlineStr">
        <is>
          <t>TN</t>
        </is>
      </c>
      <c r="D2428" s="20" t="inlineStr">
        <is>
          <t>KL01BV3600</t>
        </is>
      </c>
      <c r="E2428" s="20" t="inlineStr">
        <is>
          <t>MARUTI SUZUKI</t>
        </is>
      </c>
      <c r="F2428" s="20" t="inlineStr">
        <is>
          <t>Swift</t>
        </is>
      </c>
      <c r="G2428" s="21" t="n">
        <v>2015</v>
      </c>
      <c r="H2428" s="22" t="n">
        <v>88741</v>
      </c>
      <c r="I2428" s="22" t="n">
        <v>185000</v>
      </c>
      <c r="J2428" s="20" t="inlineStr">
        <is>
          <t>KIRALI TOYOTA</t>
        </is>
      </c>
      <c r="K2428" s="20" t="inlineStr">
        <is>
          <t>Non-Captive</t>
        </is>
      </c>
      <c r="L2428" s="20" t="inlineStr">
        <is>
          <t>POPULAR THRISSUR</t>
        </is>
      </c>
      <c r="M2428" s="23" t="n">
        <v>5000</v>
      </c>
    </row>
    <row r="2429">
      <c r="A2429" s="19" t="inlineStr">
        <is>
          <t>FY27</t>
        </is>
      </c>
      <c r="B2429" s="19" t="inlineStr">
        <is>
          <t>Jun</t>
        </is>
      </c>
      <c r="C2429" s="19" t="inlineStr">
        <is>
          <t>TN</t>
        </is>
      </c>
      <c r="D2429" s="20" t="inlineStr">
        <is>
          <t>KL16V0161</t>
        </is>
      </c>
      <c r="E2429" s="20" t="inlineStr">
        <is>
          <t>MARUTI SUZUKI</t>
        </is>
      </c>
      <c r="F2429" s="20" t="inlineStr">
        <is>
          <t>Ertiga</t>
        </is>
      </c>
      <c r="G2429" s="21" t="n">
        <v>2018</v>
      </c>
      <c r="H2429" s="22" t="n">
        <v>76502</v>
      </c>
      <c r="I2429" s="22" t="n">
        <v>185000</v>
      </c>
      <c r="J2429" s="20" t="inlineStr">
        <is>
          <t>Nippon Motor Corporation Pvt Ltd</t>
        </is>
      </c>
      <c r="K2429" s="20" t="inlineStr">
        <is>
          <t>Non-Captive</t>
        </is>
      </c>
      <c r="L2429" s="20" t="inlineStr">
        <is>
          <t>POPULAR THRISSUR</t>
        </is>
      </c>
      <c r="M2429" s="23" t="n">
        <v>5000</v>
      </c>
    </row>
    <row r="2430">
      <c r="A2430" s="19" t="inlineStr">
        <is>
          <t>FY27</t>
        </is>
      </c>
      <c r="B2430" s="19" t="inlineStr">
        <is>
          <t>Jun</t>
        </is>
      </c>
      <c r="C2430" s="19" t="inlineStr">
        <is>
          <t>TN</t>
        </is>
      </c>
      <c r="D2430" s="20" t="inlineStr">
        <is>
          <t>KL22D4057</t>
        </is>
      </c>
      <c r="E2430" s="20" t="inlineStr">
        <is>
          <t>MARUTI SUZUKI</t>
        </is>
      </c>
      <c r="F2430" s="20" t="inlineStr">
        <is>
          <t>Sx4</t>
        </is>
      </c>
      <c r="G2430" s="21" t="n">
        <v>2012</v>
      </c>
      <c r="H2430" s="22" t="n">
        <v>138385</v>
      </c>
      <c r="I2430" s="22" t="n">
        <v>135000</v>
      </c>
      <c r="J2430" s="20" t="inlineStr">
        <is>
          <t>DERIK MOTORS PRIVATE LIMITED</t>
        </is>
      </c>
      <c r="K2430" s="20" t="inlineStr">
        <is>
          <t>Non-Captive</t>
        </is>
      </c>
      <c r="L2430" s="20" t="inlineStr">
        <is>
          <t>SABU SALAM</t>
        </is>
      </c>
      <c r="M2430" s="23" t="n">
        <v>8474.58</v>
      </c>
    </row>
    <row r="2431">
      <c r="A2431" s="19" t="inlineStr">
        <is>
          <t>FY27</t>
        </is>
      </c>
      <c r="B2431" s="19" t="inlineStr">
        <is>
          <t>Jun</t>
        </is>
      </c>
      <c r="C2431" s="19" t="inlineStr">
        <is>
          <t>TN</t>
        </is>
      </c>
      <c r="D2431" s="20" t="inlineStr">
        <is>
          <t>KL01CH1976</t>
        </is>
      </c>
      <c r="E2431" s="20" t="inlineStr">
        <is>
          <t>MARUTI SUZUKI</t>
        </is>
      </c>
      <c r="F2431" s="20" t="inlineStr">
        <is>
          <t>Swift Dzire</t>
        </is>
      </c>
      <c r="G2431" s="21" t="n">
        <v>2018</v>
      </c>
      <c r="H2431" s="22" t="n">
        <v>120690</v>
      </c>
      <c r="I2431" s="22" t="n">
        <v>185000</v>
      </c>
      <c r="J2431" s="20" t="inlineStr">
        <is>
          <t>POPULAR MOTORWORLD PVT LTD</t>
        </is>
      </c>
      <c r="K2431" s="20" t="inlineStr">
        <is>
          <t>Non-Captive</t>
        </is>
      </c>
      <c r="L2431" s="20" t="inlineStr">
        <is>
          <t>SABU SALAM</t>
        </is>
      </c>
      <c r="M2431" s="23" t="n">
        <v>8474.58</v>
      </c>
    </row>
    <row r="2432">
      <c r="A2432" s="19" t="inlineStr">
        <is>
          <t>FY27</t>
        </is>
      </c>
      <c r="B2432" s="19" t="inlineStr">
        <is>
          <t>Jun</t>
        </is>
      </c>
      <c r="C2432" s="19" t="inlineStr">
        <is>
          <t>TN</t>
        </is>
      </c>
      <c r="D2432" s="20" t="inlineStr">
        <is>
          <t>TN02AT8898</t>
        </is>
      </c>
      <c r="E2432" s="20" t="inlineStr">
        <is>
          <t>HYUNDAI</t>
        </is>
      </c>
      <c r="F2432" s="20" t="inlineStr">
        <is>
          <t>I10</t>
        </is>
      </c>
      <c r="G2432" s="21" t="n">
        <v>2012</v>
      </c>
      <c r="H2432" s="22" t="n">
        <v>65670</v>
      </c>
      <c r="I2432" s="22" t="n">
        <v>150000</v>
      </c>
      <c r="J2432" s="20" t="inlineStr">
        <is>
          <t>PRODUCTIVITY ELEMENTS PRIVATE LIMITED</t>
        </is>
      </c>
      <c r="K2432" s="20" t="inlineStr">
        <is>
          <t>Non-Captive</t>
        </is>
      </c>
      <c r="L2432" s="20" t="inlineStr">
        <is>
          <t>NIrmal Cars</t>
        </is>
      </c>
      <c r="M2432" s="23" t="n">
        <v>4237.29</v>
      </c>
    </row>
    <row r="2433">
      <c r="A2433" s="19" t="inlineStr">
        <is>
          <t>FY27</t>
        </is>
      </c>
      <c r="B2433" s="19" t="inlineStr">
        <is>
          <t>Jun</t>
        </is>
      </c>
      <c r="C2433" s="19" t="inlineStr">
        <is>
          <t>TN</t>
        </is>
      </c>
      <c r="D2433" s="20" t="inlineStr">
        <is>
          <t>TN22DS7853</t>
        </is>
      </c>
      <c r="E2433" s="20" t="inlineStr">
        <is>
          <t>HYUNDAI</t>
        </is>
      </c>
      <c r="F2433" s="20" t="inlineStr">
        <is>
          <t>Grand I10</t>
        </is>
      </c>
      <c r="G2433" s="21" t="n">
        <v>2020</v>
      </c>
      <c r="H2433" s="22" t="n">
        <v>18740</v>
      </c>
      <c r="I2433" s="22" t="n">
        <v>420000</v>
      </c>
      <c r="J2433" s="20" t="inlineStr">
        <is>
          <t>CARS INDIA</t>
        </is>
      </c>
      <c r="K2433" s="20" t="inlineStr">
        <is>
          <t>Non-Captive</t>
        </is>
      </c>
      <c r="L2433" s="20" t="inlineStr">
        <is>
          <t>NIrmal Cars</t>
        </is>
      </c>
      <c r="M2433" s="23" t="n">
        <v>8474.58</v>
      </c>
    </row>
    <row r="2434">
      <c r="A2434" s="19" t="inlineStr">
        <is>
          <t>FY27</t>
        </is>
      </c>
      <c r="B2434" s="19" t="inlineStr">
        <is>
          <t>Jun</t>
        </is>
      </c>
      <c r="C2434" s="19" t="inlineStr">
        <is>
          <t>TN</t>
        </is>
      </c>
      <c r="D2434" s="20" t="inlineStr">
        <is>
          <t>TN48AA2952</t>
        </is>
      </c>
      <c r="E2434" s="20" t="inlineStr">
        <is>
          <t>MARUTI SUZUKI</t>
        </is>
      </c>
      <c r="F2434" s="20" t="inlineStr">
        <is>
          <t>Swift</t>
        </is>
      </c>
      <c r="G2434" s="21" t="n">
        <v>2013</v>
      </c>
      <c r="H2434" s="22" t="n">
        <v>18895</v>
      </c>
      <c r="I2434" s="22" t="n">
        <v>300000</v>
      </c>
      <c r="J2434" s="20" t="inlineStr">
        <is>
          <t>AIE CARS PRIVATE LIMITED</t>
        </is>
      </c>
      <c r="K2434" s="20" t="inlineStr">
        <is>
          <t>Non-Captive</t>
        </is>
      </c>
      <c r="L2434" s="20" t="inlineStr">
        <is>
          <t>Lanson</t>
        </is>
      </c>
      <c r="M2434" s="23" t="n">
        <v>6779.66</v>
      </c>
    </row>
    <row r="2435">
      <c r="A2435" s="19" t="inlineStr">
        <is>
          <t>FY27</t>
        </is>
      </c>
      <c r="B2435" s="19" t="inlineStr">
        <is>
          <t>Jun</t>
        </is>
      </c>
      <c r="C2435" s="19" t="inlineStr">
        <is>
          <t>TN</t>
        </is>
      </c>
      <c r="D2435" s="20" t="inlineStr">
        <is>
          <t>TN05CD0119</t>
        </is>
      </c>
      <c r="E2435" s="20" t="inlineStr">
        <is>
          <t>RENAULT</t>
        </is>
      </c>
      <c r="F2435" s="20" t="inlineStr">
        <is>
          <t>Kwid</t>
        </is>
      </c>
      <c r="G2435" s="21" t="n">
        <v>2021</v>
      </c>
      <c r="H2435" s="22" t="n">
        <v>120418</v>
      </c>
      <c r="I2435" s="22" t="n">
        <v>325000</v>
      </c>
      <c r="J2435" s="20" t="inlineStr">
        <is>
          <t>Castel Traders Honda</t>
        </is>
      </c>
      <c r="K2435" s="20" t="inlineStr">
        <is>
          <t>Non-Captive</t>
        </is>
      </c>
      <c r="L2435" s="20" t="inlineStr">
        <is>
          <t>AAA Cars</t>
        </is>
      </c>
      <c r="M2435" s="23" t="n">
        <v>8474.58</v>
      </c>
    </row>
    <row r="2436">
      <c r="A2436" s="19" t="inlineStr">
        <is>
          <t>FY27</t>
        </is>
      </c>
      <c r="B2436" s="19" t="inlineStr">
        <is>
          <t>Jun</t>
        </is>
      </c>
      <c r="C2436" s="19" t="inlineStr">
        <is>
          <t>TN</t>
        </is>
      </c>
      <c r="D2436" s="20" t="inlineStr">
        <is>
          <t>TN10AF9599</t>
        </is>
      </c>
      <c r="E2436" s="20" t="inlineStr">
        <is>
          <t>TOYOTA</t>
        </is>
      </c>
      <c r="F2436" s="20" t="inlineStr">
        <is>
          <t>Etios</t>
        </is>
      </c>
      <c r="G2436" s="21" t="n">
        <v>2011</v>
      </c>
      <c r="H2436" s="22" t="n">
        <v>86000</v>
      </c>
      <c r="I2436" s="22" t="n">
        <v>240000</v>
      </c>
      <c r="J2436" s="20" t="inlineStr">
        <is>
          <t>Castel Traders Honda</t>
        </is>
      </c>
      <c r="K2436" s="20" t="inlineStr">
        <is>
          <t>Non-Captive</t>
        </is>
      </c>
      <c r="L2436" s="20" t="inlineStr">
        <is>
          <t>Pine Autos</t>
        </is>
      </c>
      <c r="M2436" s="23" t="n">
        <v>8474.58</v>
      </c>
    </row>
    <row r="2437">
      <c r="A2437" s="19" t="inlineStr">
        <is>
          <t>FY27</t>
        </is>
      </c>
      <c r="B2437" s="19" t="inlineStr">
        <is>
          <t>Jun</t>
        </is>
      </c>
      <c r="C2437" s="19" t="inlineStr">
        <is>
          <t>TN</t>
        </is>
      </c>
      <c r="D2437" s="20" t="inlineStr">
        <is>
          <t>TN12L2208</t>
        </is>
      </c>
      <c r="E2437" s="20" t="inlineStr">
        <is>
          <t>MARUTI SUZUKI</t>
        </is>
      </c>
      <c r="F2437" s="20" t="inlineStr">
        <is>
          <t>Swift Dzire</t>
        </is>
      </c>
      <c r="G2437" s="21" t="n">
        <v>2016</v>
      </c>
      <c r="H2437" s="22" t="n">
        <v>218237</v>
      </c>
      <c r="I2437" s="22" t="n">
        <v>150000</v>
      </c>
      <c r="J2437" s="20" t="inlineStr">
        <is>
          <t>POPULAR VEHICLES AND SERVICES LIMITED</t>
        </is>
      </c>
      <c r="K2437" s="20" t="inlineStr">
        <is>
          <t>Non-Captive</t>
        </is>
      </c>
      <c r="L2437" s="20" t="inlineStr">
        <is>
          <t>Senthil Cars</t>
        </is>
      </c>
      <c r="M2437" s="23" t="n">
        <v>5084.75</v>
      </c>
    </row>
    <row r="2438">
      <c r="A2438" s="19" t="inlineStr">
        <is>
          <t>FY27</t>
        </is>
      </c>
      <c r="B2438" s="19" t="inlineStr">
        <is>
          <t>Jun</t>
        </is>
      </c>
      <c r="C2438" s="19" t="inlineStr">
        <is>
          <t>TN</t>
        </is>
      </c>
      <c r="D2438" s="20" t="inlineStr">
        <is>
          <t>TN09AZ7688</t>
        </is>
      </c>
      <c r="E2438" s="20" t="inlineStr">
        <is>
          <t>MARUTI SUZUKI</t>
        </is>
      </c>
      <c r="F2438" s="20" t="inlineStr">
        <is>
          <t>Omni</t>
        </is>
      </c>
      <c r="G2438" s="21" t="n">
        <v>2009</v>
      </c>
      <c r="H2438" s="22" t="n">
        <v>144347</v>
      </c>
      <c r="I2438" s="22" t="n">
        <v>100000</v>
      </c>
      <c r="J2438" s="20" t="inlineStr">
        <is>
          <t>PLA MOTORS</t>
        </is>
      </c>
      <c r="K2438" s="20" t="inlineStr">
        <is>
          <t>Non-Captive</t>
        </is>
      </c>
      <c r="L2438" s="20" t="inlineStr">
        <is>
          <t>Senthil Cars</t>
        </is>
      </c>
      <c r="M2438" s="23" t="n">
        <v>4237.29</v>
      </c>
    </row>
    <row r="2439">
      <c r="A2439" s="19" t="inlineStr">
        <is>
          <t>FY27</t>
        </is>
      </c>
      <c r="B2439" s="19" t="inlineStr">
        <is>
          <t>Jun</t>
        </is>
      </c>
      <c r="C2439" s="19" t="inlineStr">
        <is>
          <t>TN</t>
        </is>
      </c>
      <c r="D2439" s="20" t="inlineStr">
        <is>
          <t>TN42X5172</t>
        </is>
      </c>
      <c r="E2439" s="20" t="inlineStr">
        <is>
          <t>TATA</t>
        </is>
      </c>
      <c r="F2439" s="20" t="inlineStr">
        <is>
          <t>Indica</t>
        </is>
      </c>
      <c r="G2439" s="21" t="n">
        <v>2010</v>
      </c>
      <c r="H2439" s="22" t="n">
        <v>67786</v>
      </c>
      <c r="I2439" s="22" t="n">
        <v>80000</v>
      </c>
      <c r="J2439" s="20" t="inlineStr">
        <is>
          <t>AIE CARS PRIVATE LIMITED</t>
        </is>
      </c>
      <c r="K2439" s="20" t="inlineStr">
        <is>
          <t>Non-Captive</t>
        </is>
      </c>
      <c r="L2439" s="20" t="inlineStr">
        <is>
          <t>S2 Cars</t>
        </is>
      </c>
      <c r="M2439" s="23" t="n">
        <v>4237.29</v>
      </c>
    </row>
    <row r="2440">
      <c r="A2440" s="19" t="inlineStr">
        <is>
          <t>FY27</t>
        </is>
      </c>
      <c r="B2440" s="19" t="inlineStr">
        <is>
          <t>Jun</t>
        </is>
      </c>
      <c r="C2440" s="19" t="inlineStr">
        <is>
          <t>TN</t>
        </is>
      </c>
      <c r="D2440" s="20" t="inlineStr">
        <is>
          <t>TN04AM4482</t>
        </is>
      </c>
      <c r="E2440" s="20" t="inlineStr">
        <is>
          <t>MARUTI SUZUKI</t>
        </is>
      </c>
      <c r="F2440" s="20" t="inlineStr">
        <is>
          <t>Ritz</t>
        </is>
      </c>
      <c r="G2440" s="21" t="n">
        <v>2014</v>
      </c>
      <c r="H2440" s="22" t="n">
        <v>93374</v>
      </c>
      <c r="I2440" s="22" t="n">
        <v>96000</v>
      </c>
      <c r="J2440" s="20" t="inlineStr">
        <is>
          <t>STEER AUTO TECHNOLOGIES PRIVATE LIMITED</t>
        </is>
      </c>
      <c r="K2440" s="20" t="inlineStr">
        <is>
          <t>Non-Captive</t>
        </is>
      </c>
      <c r="L2440" s="20" t="inlineStr">
        <is>
          <t>Senthil Cars</t>
        </is>
      </c>
      <c r="M2440" s="23" t="n">
        <v>4237.29</v>
      </c>
    </row>
    <row r="2441">
      <c r="A2441" s="19" t="inlineStr">
        <is>
          <t>FY27</t>
        </is>
      </c>
      <c r="B2441" s="19" t="inlineStr">
        <is>
          <t>Jun</t>
        </is>
      </c>
      <c r="C2441" s="19" t="inlineStr">
        <is>
          <t>TN</t>
        </is>
      </c>
      <c r="D2441" s="20" t="inlineStr">
        <is>
          <t>TN23CF0761</t>
        </is>
      </c>
      <c r="E2441" s="20" t="inlineStr">
        <is>
          <t>HYUNDAI</t>
        </is>
      </c>
      <c r="F2441" s="20" t="inlineStr">
        <is>
          <t>Grand I10</t>
        </is>
      </c>
      <c r="G2441" s="21" t="n">
        <v>2017</v>
      </c>
      <c r="H2441" s="22" t="n">
        <v>89034</v>
      </c>
      <c r="I2441" s="22" t="n">
        <v>91000</v>
      </c>
      <c r="J2441" s="20" t="inlineStr">
        <is>
          <t>JAINS CAR SHOPEE</t>
        </is>
      </c>
      <c r="K2441" s="20" t="inlineStr">
        <is>
          <t>Non-Captive</t>
        </is>
      </c>
      <c r="L2441" s="20" t="inlineStr">
        <is>
          <t>Senthil Cars</t>
        </is>
      </c>
      <c r="M2441" s="23" t="n">
        <v>4237.29</v>
      </c>
    </row>
    <row r="2442">
      <c r="A2442" s="19" t="inlineStr">
        <is>
          <t>FY27</t>
        </is>
      </c>
      <c r="B2442" s="19" t="inlineStr">
        <is>
          <t>Jun</t>
        </is>
      </c>
      <c r="C2442" s="19" t="inlineStr">
        <is>
          <t>TN</t>
        </is>
      </c>
      <c r="D2442" s="20" t="inlineStr">
        <is>
          <t>TN07CP8032</t>
        </is>
      </c>
      <c r="E2442" s="20" t="inlineStr">
        <is>
          <t>FORD</t>
        </is>
      </c>
      <c r="F2442" s="20" t="inlineStr">
        <is>
          <t>Figo Aspire</t>
        </is>
      </c>
      <c r="G2442" s="21" t="n">
        <v>2018</v>
      </c>
      <c r="H2442" s="22" t="n">
        <v>89303</v>
      </c>
      <c r="I2442" s="22" t="n">
        <v>180000</v>
      </c>
      <c r="J2442" s="20" t="inlineStr">
        <is>
          <t>PEEYESYEM HK MOTORS LLP</t>
        </is>
      </c>
      <c r="K2442" s="20" t="inlineStr">
        <is>
          <t>Non-Captive</t>
        </is>
      </c>
      <c r="L2442" s="20" t="inlineStr">
        <is>
          <t>Senthil Cars</t>
        </is>
      </c>
      <c r="M2442" s="23" t="n">
        <v>5084.75</v>
      </c>
    </row>
    <row r="2443">
      <c r="A2443" s="19" t="inlineStr">
        <is>
          <t>FY27</t>
        </is>
      </c>
      <c r="B2443" s="19" t="inlineStr">
        <is>
          <t>Jun</t>
        </is>
      </c>
      <c r="C2443" s="19" t="inlineStr">
        <is>
          <t>TN</t>
        </is>
      </c>
      <c r="D2443" s="20" t="inlineStr">
        <is>
          <t>TN18U7128</t>
        </is>
      </c>
      <c r="E2443" s="20" t="inlineStr">
        <is>
          <t>HYUNDAI</t>
        </is>
      </c>
      <c r="F2443" s="20" t="inlineStr">
        <is>
          <t>Eon</t>
        </is>
      </c>
      <c r="G2443" s="21" t="n">
        <v>2013</v>
      </c>
      <c r="H2443" s="22" t="n">
        <v>111374</v>
      </c>
      <c r="I2443" s="22" t="n">
        <v>93000</v>
      </c>
      <c r="J2443" s="20" t="inlineStr">
        <is>
          <t>PEEYESYEM HK MOTORS LLP</t>
        </is>
      </c>
      <c r="K2443" s="20" t="inlineStr">
        <is>
          <t>Non-Captive</t>
        </is>
      </c>
      <c r="L2443" s="20" t="inlineStr">
        <is>
          <t>Senthil Cars</t>
        </is>
      </c>
      <c r="M2443" s="23" t="n">
        <v>4237.29</v>
      </c>
    </row>
    <row r="2444">
      <c r="A2444" s="19" t="inlineStr">
        <is>
          <t>FY27</t>
        </is>
      </c>
      <c r="B2444" s="19" t="inlineStr">
        <is>
          <t>Jun</t>
        </is>
      </c>
      <c r="C2444" s="19" t="inlineStr">
        <is>
          <t>TN</t>
        </is>
      </c>
      <c r="D2444" s="20" t="inlineStr">
        <is>
          <t>TN01AF9599</t>
        </is>
      </c>
      <c r="E2444" s="20" t="inlineStr">
        <is>
          <t>HINDUSTAN MOTOR</t>
        </is>
      </c>
      <c r="F2444" s="20" t="inlineStr">
        <is>
          <t>Ambassador</t>
        </is>
      </c>
      <c r="G2444" s="21" t="n">
        <v>2008</v>
      </c>
      <c r="H2444" s="22" t="n">
        <v>99754</v>
      </c>
      <c r="I2444" s="22" t="n">
        <v>70000</v>
      </c>
      <c r="J2444" s="20" t="inlineStr">
        <is>
          <t>Castel Traders Honda</t>
        </is>
      </c>
      <c r="K2444" s="20" t="inlineStr">
        <is>
          <t>Non-Captive</t>
        </is>
      </c>
      <c r="L2444" s="20" t="inlineStr">
        <is>
          <t>Senthil Cars</t>
        </is>
      </c>
      <c r="M2444" s="23" t="n">
        <v>4237.29</v>
      </c>
    </row>
    <row r="2445">
      <c r="A2445" s="19" t="inlineStr">
        <is>
          <t>FY27</t>
        </is>
      </c>
      <c r="B2445" s="19" t="inlineStr">
        <is>
          <t>Jun</t>
        </is>
      </c>
      <c r="C2445" s="19" t="inlineStr">
        <is>
          <t>TN</t>
        </is>
      </c>
      <c r="D2445" s="20" t="inlineStr">
        <is>
          <t>TN20AL2791</t>
        </is>
      </c>
      <c r="E2445" s="20" t="inlineStr">
        <is>
          <t>MARUTI SUZUKI</t>
        </is>
      </c>
      <c r="F2445" s="20" t="inlineStr">
        <is>
          <t>Alto</t>
        </is>
      </c>
      <c r="G2445" s="21" t="n">
        <v>2008</v>
      </c>
      <c r="H2445" s="22" t="n">
        <v>153471</v>
      </c>
      <c r="I2445" s="22" t="n">
        <v>75000</v>
      </c>
      <c r="J2445" s="20" t="inlineStr">
        <is>
          <t>Khivraj Motor</t>
        </is>
      </c>
      <c r="K2445" s="20" t="inlineStr">
        <is>
          <t>Non-Captive</t>
        </is>
      </c>
      <c r="L2445" s="20" t="inlineStr">
        <is>
          <t>Vijaya Cars</t>
        </is>
      </c>
      <c r="M2445" s="23" t="n">
        <v>4237.29</v>
      </c>
    </row>
    <row r="2446">
      <c r="A2446" s="19" t="inlineStr">
        <is>
          <t>FY27</t>
        </is>
      </c>
      <c r="B2446" s="19" t="inlineStr">
        <is>
          <t>Jun</t>
        </is>
      </c>
      <c r="C2446" s="19" t="inlineStr">
        <is>
          <t>TN</t>
        </is>
      </c>
      <c r="D2446" s="20" t="inlineStr">
        <is>
          <t>TN09CL0889</t>
        </is>
      </c>
      <c r="E2446" s="20" t="inlineStr">
        <is>
          <t>VOLKSWAGEN</t>
        </is>
      </c>
      <c r="F2446" s="20" t="inlineStr">
        <is>
          <t>Polo</t>
        </is>
      </c>
      <c r="G2446" s="21" t="n">
        <v>2017</v>
      </c>
      <c r="H2446" s="22" t="n">
        <v>201326</v>
      </c>
      <c r="I2446" s="22" t="n">
        <v>245000</v>
      </c>
      <c r="J2446" s="20" t="inlineStr">
        <is>
          <t>Khivraj Motor</t>
        </is>
      </c>
      <c r="K2446" s="20" t="inlineStr">
        <is>
          <t>Non-Captive</t>
        </is>
      </c>
      <c r="L2446" s="20" t="inlineStr">
        <is>
          <t>Senthil Cars</t>
        </is>
      </c>
      <c r="M2446" s="23" t="n">
        <v>7627.12</v>
      </c>
    </row>
    <row r="2447">
      <c r="A2447" s="19" t="inlineStr">
        <is>
          <t>FY27</t>
        </is>
      </c>
      <c r="B2447" s="19" t="inlineStr">
        <is>
          <t>Jun</t>
        </is>
      </c>
      <c r="C2447" s="19" t="inlineStr">
        <is>
          <t>TN</t>
        </is>
      </c>
      <c r="D2447" s="20" t="inlineStr">
        <is>
          <t>TN36AZ5859</t>
        </is>
      </c>
      <c r="E2447" s="20" t="inlineStr">
        <is>
          <t>HONDA</t>
        </is>
      </c>
      <c r="F2447" s="20" t="inlineStr">
        <is>
          <t>Jazz</t>
        </is>
      </c>
      <c r="G2447" s="21" t="n">
        <v>2012</v>
      </c>
      <c r="H2447" s="22" t="n">
        <v>203360</v>
      </c>
      <c r="I2447" s="22" t="n">
        <v>210000</v>
      </c>
      <c r="J2447" s="20" t="inlineStr">
        <is>
          <t>EXCHANGE ROTN</t>
        </is>
      </c>
      <c r="K2447" s="20" t="inlineStr">
        <is>
          <t>Captive</t>
        </is>
      </c>
      <c r="L2447" s="20" t="inlineStr">
        <is>
          <t>Uzhavan Entp</t>
        </is>
      </c>
      <c r="M2447" s="23" t="n">
        <v>6779.66</v>
      </c>
    </row>
    <row r="2448">
      <c r="A2448" s="19" t="inlineStr">
        <is>
          <t>FY27</t>
        </is>
      </c>
      <c r="B2448" s="19" t="inlineStr">
        <is>
          <t>Jun</t>
        </is>
      </c>
      <c r="C2448" s="19" t="inlineStr">
        <is>
          <t>TN</t>
        </is>
      </c>
      <c r="D2448" s="20" t="inlineStr">
        <is>
          <t>TN66F3376</t>
        </is>
      </c>
      <c r="E2448" s="20" t="inlineStr">
        <is>
          <t>HYUNDAI</t>
        </is>
      </c>
      <c r="F2448" s="20" t="inlineStr">
        <is>
          <t>I10</t>
        </is>
      </c>
      <c r="G2448" s="21" t="n">
        <v>2012</v>
      </c>
      <c r="H2448" s="22" t="n">
        <v>106956</v>
      </c>
      <c r="I2448" s="22" t="n">
        <v>210000</v>
      </c>
      <c r="J2448" s="20" t="inlineStr">
        <is>
          <t>EXCHANGE ROTN</t>
        </is>
      </c>
      <c r="K2448" s="20" t="inlineStr">
        <is>
          <t>Captive</t>
        </is>
      </c>
      <c r="L2448" s="20" t="inlineStr">
        <is>
          <t>Senthur Finance</t>
        </is>
      </c>
      <c r="M2448" s="23" t="n">
        <v>12711.86</v>
      </c>
    </row>
    <row r="2449">
      <c r="A2449" s="19" t="inlineStr">
        <is>
          <t>FY27</t>
        </is>
      </c>
      <c r="B2449" s="19" t="inlineStr">
        <is>
          <t>Jun</t>
        </is>
      </c>
      <c r="C2449" s="19" t="inlineStr">
        <is>
          <t>TN</t>
        </is>
      </c>
      <c r="D2449" s="20" t="inlineStr">
        <is>
          <t>TN59AA4565</t>
        </is>
      </c>
      <c r="E2449" s="20" t="inlineStr">
        <is>
          <t>MARUTI SUZUKI</t>
        </is>
      </c>
      <c r="F2449" s="20" t="inlineStr">
        <is>
          <t>Omni</t>
        </is>
      </c>
      <c r="G2449" s="21" t="n">
        <v>2005</v>
      </c>
      <c r="H2449" s="22" t="n">
        <v>187962</v>
      </c>
      <c r="I2449" s="22" t="n">
        <v>85000</v>
      </c>
      <c r="J2449" s="20" t="inlineStr">
        <is>
          <t>AUTOMOTIVATORS</t>
        </is>
      </c>
      <c r="K2449" s="20" t="inlineStr">
        <is>
          <t>Non-Captive</t>
        </is>
      </c>
      <c r="L2449" s="20" t="inlineStr">
        <is>
          <t>Purushotham Cars</t>
        </is>
      </c>
      <c r="M2449" s="23" t="n">
        <v>4237.29</v>
      </c>
    </row>
    <row r="2450">
      <c r="A2450" s="19" t="inlineStr">
        <is>
          <t>FY27</t>
        </is>
      </c>
      <c r="B2450" s="19" t="inlineStr">
        <is>
          <t>Jun</t>
        </is>
      </c>
      <c r="C2450" s="19" t="inlineStr">
        <is>
          <t>TN</t>
        </is>
      </c>
      <c r="D2450" s="20" t="inlineStr">
        <is>
          <t>TN69M5701</t>
        </is>
      </c>
      <c r="E2450" s="20" t="inlineStr">
        <is>
          <t>MARUTI SUZUKI</t>
        </is>
      </c>
      <c r="F2450" s="20" t="inlineStr">
        <is>
          <t>Omni</t>
        </is>
      </c>
      <c r="G2450" s="21" t="n">
        <v>2008</v>
      </c>
      <c r="H2450" s="22" t="n">
        <v>89332</v>
      </c>
      <c r="I2450" s="22" t="n">
        <v>93000</v>
      </c>
      <c r="J2450" s="20" t="inlineStr">
        <is>
          <t>KSM AUTO CONSULTING</t>
        </is>
      </c>
      <c r="K2450" s="20" t="inlineStr">
        <is>
          <t>Non-Captive</t>
        </is>
      </c>
      <c r="L2450" s="20" t="inlineStr">
        <is>
          <t>Purushotham Cars</t>
        </is>
      </c>
      <c r="M2450" s="23" t="n">
        <v>4237.29</v>
      </c>
    </row>
    <row r="2451">
      <c r="A2451" s="19" t="inlineStr">
        <is>
          <t>FY27</t>
        </is>
      </c>
      <c r="B2451" s="19" t="inlineStr">
        <is>
          <t>Jun</t>
        </is>
      </c>
      <c r="C2451" s="19" t="inlineStr">
        <is>
          <t>TN</t>
        </is>
      </c>
      <c r="D2451" s="20" t="inlineStr">
        <is>
          <t>TN02AK1598</t>
        </is>
      </c>
      <c r="E2451" s="20" t="inlineStr">
        <is>
          <t>CHEVROLET</t>
        </is>
      </c>
      <c r="F2451" s="20" t="inlineStr">
        <is>
          <t>Spark</t>
        </is>
      </c>
      <c r="G2451" s="21" t="n">
        <v>2009</v>
      </c>
      <c r="H2451" s="22" t="n">
        <v>84324</v>
      </c>
      <c r="I2451" s="22" t="n">
        <v>60000</v>
      </c>
      <c r="J2451" s="20" t="inlineStr">
        <is>
          <t>VIVEK CARS</t>
        </is>
      </c>
      <c r="K2451" s="20" t="inlineStr">
        <is>
          <t>Non-Captive</t>
        </is>
      </c>
      <c r="L2451" s="20" t="inlineStr">
        <is>
          <t>Purushotham Cars</t>
        </is>
      </c>
      <c r="M2451" s="23" t="n">
        <v>4237.29</v>
      </c>
    </row>
    <row r="2452">
      <c r="A2452" s="19" t="inlineStr">
        <is>
          <t>FY27</t>
        </is>
      </c>
      <c r="B2452" s="19" t="inlineStr">
        <is>
          <t>Jun</t>
        </is>
      </c>
      <c r="C2452" s="19" t="inlineStr">
        <is>
          <t>TN</t>
        </is>
      </c>
      <c r="D2452" s="20" t="inlineStr">
        <is>
          <t>TN65AH1389</t>
        </is>
      </c>
      <c r="E2452" s="20" t="inlineStr">
        <is>
          <t>DATSUN</t>
        </is>
      </c>
      <c r="F2452" s="20" t="inlineStr">
        <is>
          <t>Redi-Go</t>
        </is>
      </c>
      <c r="G2452" s="21" t="n">
        <v>2018</v>
      </c>
      <c r="H2452" s="22" t="n">
        <v>41537</v>
      </c>
      <c r="I2452" s="22" t="n">
        <v>98000</v>
      </c>
      <c r="J2452" s="20" t="inlineStr">
        <is>
          <t>BALAJI CARS (THENI)</t>
        </is>
      </c>
      <c r="K2452" s="20" t="inlineStr">
        <is>
          <t>Non-Captive</t>
        </is>
      </c>
      <c r="L2452" s="20" t="inlineStr">
        <is>
          <t>Purushotham Cars</t>
        </is>
      </c>
      <c r="M2452" s="23" t="n">
        <v>4237.29</v>
      </c>
    </row>
    <row r="2453">
      <c r="A2453" s="19" t="inlineStr">
        <is>
          <t>FY27</t>
        </is>
      </c>
      <c r="B2453" s="19" t="inlineStr">
        <is>
          <t>Jun</t>
        </is>
      </c>
      <c r="C2453" s="19" t="inlineStr">
        <is>
          <t>TN</t>
        </is>
      </c>
      <c r="D2453" s="20" t="inlineStr">
        <is>
          <t>TN58AT1389</t>
        </is>
      </c>
      <c r="E2453" s="20" t="inlineStr">
        <is>
          <t>HYUNDAI</t>
        </is>
      </c>
      <c r="F2453" s="20" t="inlineStr">
        <is>
          <t>Eon</t>
        </is>
      </c>
      <c r="G2453" s="21" t="n">
        <v>2018</v>
      </c>
      <c r="H2453" s="22" t="n">
        <v>205290</v>
      </c>
      <c r="I2453" s="22" t="n">
        <v>95000</v>
      </c>
      <c r="J2453" s="20" t="inlineStr">
        <is>
          <t>PURUSOTHAMAN J CARS</t>
        </is>
      </c>
      <c r="K2453" s="20" t="inlineStr">
        <is>
          <t>Non-Captive</t>
        </is>
      </c>
      <c r="L2453" s="20" t="inlineStr">
        <is>
          <t>Vivek Cars</t>
        </is>
      </c>
      <c r="M2453" s="23" t="n">
        <v>4237.29</v>
      </c>
    </row>
    <row r="2454">
      <c r="A2454" s="19" t="inlineStr">
        <is>
          <t>FY27</t>
        </is>
      </c>
      <c r="B2454" s="19" t="inlineStr">
        <is>
          <t>Jun</t>
        </is>
      </c>
      <c r="C2454" s="19" t="inlineStr">
        <is>
          <t>TN</t>
        </is>
      </c>
      <c r="D2454" s="20" t="inlineStr">
        <is>
          <t>TN60AC4237</t>
        </is>
      </c>
      <c r="E2454" s="20" t="inlineStr">
        <is>
          <t>DATSUN</t>
        </is>
      </c>
      <c r="F2454" s="20" t="inlineStr">
        <is>
          <t>Redi-Go</t>
        </is>
      </c>
      <c r="G2454" s="21" t="n">
        <v>2017</v>
      </c>
      <c r="H2454" s="22" t="n">
        <v>27943</v>
      </c>
      <c r="I2454" s="22" t="n">
        <v>95000</v>
      </c>
      <c r="J2454" s="20" t="inlineStr">
        <is>
          <t>PURUSOTHAMAN J CARS</t>
        </is>
      </c>
      <c r="K2454" s="20" t="inlineStr">
        <is>
          <t>Non-Captive</t>
        </is>
      </c>
      <c r="L2454" s="20" t="inlineStr">
        <is>
          <t>Vivek Cars</t>
        </is>
      </c>
      <c r="M2454" s="23" t="n">
        <v>4237.29</v>
      </c>
    </row>
    <row r="2455">
      <c r="A2455" s="19" t="inlineStr">
        <is>
          <t>FY27</t>
        </is>
      </c>
      <c r="B2455" s="19" t="inlineStr">
        <is>
          <t>Jun</t>
        </is>
      </c>
      <c r="C2455" s="19" t="inlineStr">
        <is>
          <t>TN</t>
        </is>
      </c>
      <c r="D2455" s="20" t="inlineStr">
        <is>
          <t>TN58R6498</t>
        </is>
      </c>
      <c r="E2455" s="20" t="inlineStr">
        <is>
          <t>FORD</t>
        </is>
      </c>
      <c r="F2455" s="20" t="inlineStr">
        <is>
          <t>Fiesta</t>
        </is>
      </c>
      <c r="G2455" s="21" t="n">
        <v>2007</v>
      </c>
      <c r="H2455" s="22" t="n">
        <v>149729</v>
      </c>
      <c r="I2455" s="22" t="n">
        <v>60000</v>
      </c>
      <c r="J2455" s="20" t="inlineStr">
        <is>
          <t>AUTOMOTIVATORS</t>
        </is>
      </c>
      <c r="K2455" s="20" t="inlineStr">
        <is>
          <t>Non-Captive</t>
        </is>
      </c>
      <c r="L2455" s="20" t="inlineStr">
        <is>
          <t>Vivek Cars</t>
        </is>
      </c>
      <c r="M2455" s="23" t="n">
        <v>4237.29</v>
      </c>
    </row>
    <row r="2456">
      <c r="A2456" s="19" t="inlineStr">
        <is>
          <t>FY27</t>
        </is>
      </c>
      <c r="B2456" s="19" t="inlineStr">
        <is>
          <t>Jun</t>
        </is>
      </c>
      <c r="C2456" s="19" t="inlineStr">
        <is>
          <t>TN</t>
        </is>
      </c>
      <c r="D2456" s="20" t="inlineStr">
        <is>
          <t>TN65U5727</t>
        </is>
      </c>
      <c r="E2456" s="20" t="inlineStr">
        <is>
          <t>TATA</t>
        </is>
      </c>
      <c r="F2456" s="20" t="inlineStr">
        <is>
          <t>Indica</t>
        </is>
      </c>
      <c r="G2456" s="21" t="n">
        <v>2015</v>
      </c>
      <c r="H2456" s="22" t="n">
        <v>361599</v>
      </c>
      <c r="I2456" s="22" t="n">
        <v>45000</v>
      </c>
      <c r="J2456" s="20" t="inlineStr">
        <is>
          <t>KSM AUTO CONSULTING</t>
        </is>
      </c>
      <c r="K2456" s="20" t="inlineStr">
        <is>
          <t>Non-Captive</t>
        </is>
      </c>
      <c r="L2456" s="20" t="inlineStr">
        <is>
          <t>Vivek Cars</t>
        </is>
      </c>
      <c r="M2456" s="23" t="n">
        <v>4237.29</v>
      </c>
    </row>
    <row r="2457">
      <c r="A2457" s="19" t="inlineStr">
        <is>
          <t>FY27</t>
        </is>
      </c>
      <c r="B2457" s="19" t="inlineStr">
        <is>
          <t>Jun</t>
        </is>
      </c>
      <c r="C2457" s="19" t="inlineStr">
        <is>
          <t>TN</t>
        </is>
      </c>
      <c r="D2457" s="20" t="inlineStr">
        <is>
          <t>TN59AR5279</t>
        </is>
      </c>
      <c r="E2457" s="20" t="inlineStr">
        <is>
          <t>NISSAN</t>
        </is>
      </c>
      <c r="F2457" s="20" t="inlineStr">
        <is>
          <t>Micra</t>
        </is>
      </c>
      <c r="G2457" s="21" t="n">
        <v>2011</v>
      </c>
      <c r="H2457" s="22" t="n">
        <v>149532</v>
      </c>
      <c r="I2457" s="22" t="n">
        <v>96000</v>
      </c>
      <c r="J2457" s="20" t="inlineStr">
        <is>
          <t>DINDIGUL VALUE CAR</t>
        </is>
      </c>
      <c r="K2457" s="20" t="inlineStr">
        <is>
          <t>Non-Captive</t>
        </is>
      </c>
      <c r="L2457" s="20" t="inlineStr">
        <is>
          <t>Vivek Cars</t>
        </is>
      </c>
      <c r="M2457" s="23" t="n">
        <v>4237.29</v>
      </c>
    </row>
    <row r="2458">
      <c r="A2458" s="19" t="inlineStr">
        <is>
          <t>FY27</t>
        </is>
      </c>
      <c r="B2458" s="19" t="inlineStr">
        <is>
          <t>Jun</t>
        </is>
      </c>
      <c r="C2458" s="19" t="inlineStr">
        <is>
          <t>TN</t>
        </is>
      </c>
      <c r="D2458" s="20" t="inlineStr">
        <is>
          <t>TN64C9429</t>
        </is>
      </c>
      <c r="E2458" s="20" t="inlineStr">
        <is>
          <t>HYUNDAI</t>
        </is>
      </c>
      <c r="F2458" s="20" t="inlineStr">
        <is>
          <t>I10</t>
        </is>
      </c>
      <c r="G2458" s="21" t="n">
        <v>2010</v>
      </c>
      <c r="H2458" s="22" t="n">
        <v>118152</v>
      </c>
      <c r="I2458" s="22" t="n">
        <v>85000</v>
      </c>
      <c r="J2458" s="20" t="inlineStr">
        <is>
          <t>SIVA AUTOMOTIVE TRADING PRIVATE LIMITED</t>
        </is>
      </c>
      <c r="K2458" s="20" t="inlineStr">
        <is>
          <t>Non-Captive</t>
        </is>
      </c>
      <c r="L2458" s="20" t="inlineStr">
        <is>
          <t>Vivek Cars</t>
        </is>
      </c>
      <c r="M2458" s="23" t="n">
        <v>4237.29</v>
      </c>
    </row>
    <row r="2459">
      <c r="A2459" s="19" t="inlineStr">
        <is>
          <t>FY27</t>
        </is>
      </c>
      <c r="B2459" s="19" t="inlineStr">
        <is>
          <t>Jun</t>
        </is>
      </c>
      <c r="C2459" s="19" t="inlineStr">
        <is>
          <t>TN</t>
        </is>
      </c>
      <c r="D2459" s="20" t="inlineStr">
        <is>
          <t>TN63S1724</t>
        </is>
      </c>
      <c r="E2459" s="20" t="inlineStr">
        <is>
          <t>HYUNDAI</t>
        </is>
      </c>
      <c r="F2459" s="20" t="inlineStr">
        <is>
          <t>Santro</t>
        </is>
      </c>
      <c r="G2459" s="21" t="n">
        <v>2008</v>
      </c>
      <c r="H2459" s="22" t="n">
        <v>188449</v>
      </c>
      <c r="I2459" s="22" t="n">
        <v>70000</v>
      </c>
      <c r="J2459" s="20" t="inlineStr">
        <is>
          <t>PAUL CARS</t>
        </is>
      </c>
      <c r="K2459" s="20" t="inlineStr">
        <is>
          <t>Non-Captive</t>
        </is>
      </c>
      <c r="L2459" s="20" t="inlineStr">
        <is>
          <t>Rajaganapathy</t>
        </is>
      </c>
      <c r="M2459" s="23" t="n">
        <v>4237.29</v>
      </c>
    </row>
    <row r="2460">
      <c r="A2460" s="19" t="inlineStr">
        <is>
          <t>FY27</t>
        </is>
      </c>
      <c r="B2460" s="19" t="inlineStr">
        <is>
          <t>Jun</t>
        </is>
      </c>
      <c r="C2460" s="19" t="inlineStr">
        <is>
          <t>TN</t>
        </is>
      </c>
      <c r="D2460" s="20" t="inlineStr">
        <is>
          <t>TN60V3999</t>
        </is>
      </c>
      <c r="E2460" s="20" t="inlineStr">
        <is>
          <t>HYUNDAI</t>
        </is>
      </c>
      <c r="F2460" s="20" t="inlineStr">
        <is>
          <t>I20</t>
        </is>
      </c>
      <c r="G2460" s="21" t="n">
        <v>2010</v>
      </c>
      <c r="H2460" s="22" t="n">
        <v>131268</v>
      </c>
      <c r="I2460" s="22" t="n">
        <v>95000</v>
      </c>
      <c r="J2460" s="20" t="inlineStr">
        <is>
          <t>SABARISH CARS</t>
        </is>
      </c>
      <c r="K2460" s="20" t="inlineStr">
        <is>
          <t>Non-Captive</t>
        </is>
      </c>
      <c r="L2460" s="20" t="inlineStr">
        <is>
          <t>Rajaganapathy</t>
        </is>
      </c>
      <c r="M2460" s="23" t="n">
        <v>4237.29</v>
      </c>
    </row>
    <row r="2461">
      <c r="A2461" s="19" t="inlineStr">
        <is>
          <t>FY27</t>
        </is>
      </c>
      <c r="B2461" s="19" t="inlineStr">
        <is>
          <t>Jun</t>
        </is>
      </c>
      <c r="C2461" s="19" t="inlineStr">
        <is>
          <t>TN</t>
        </is>
      </c>
      <c r="D2461" s="20" t="inlineStr">
        <is>
          <t>TN22CD4336</t>
        </is>
      </c>
      <c r="E2461" s="20" t="inlineStr">
        <is>
          <t>HYUNDAI</t>
        </is>
      </c>
      <c r="F2461" s="20" t="inlineStr">
        <is>
          <t>I20</t>
        </is>
      </c>
      <c r="G2461" s="21" t="n">
        <v>2012</v>
      </c>
      <c r="H2461" s="22" t="n">
        <v>147401</v>
      </c>
      <c r="I2461" s="22" t="n">
        <v>93000</v>
      </c>
      <c r="J2461" s="20" t="inlineStr">
        <is>
          <t>PLA MOTORS</t>
        </is>
      </c>
      <c r="K2461" s="20" t="inlineStr">
        <is>
          <t>Non-Captive</t>
        </is>
      </c>
      <c r="L2461" s="20" t="inlineStr">
        <is>
          <t>Rajaganapathy</t>
        </is>
      </c>
      <c r="M2461" s="23" t="n">
        <v>4237.29</v>
      </c>
    </row>
    <row r="2462">
      <c r="A2462" s="19" t="inlineStr">
        <is>
          <t>FY27</t>
        </is>
      </c>
      <c r="B2462" s="19" t="inlineStr">
        <is>
          <t>Jun</t>
        </is>
      </c>
      <c r="C2462" s="19" t="inlineStr">
        <is>
          <t>TN</t>
        </is>
      </c>
      <c r="D2462" s="20" t="inlineStr">
        <is>
          <t>TN64H0081</t>
        </is>
      </c>
      <c r="E2462" s="20" t="inlineStr">
        <is>
          <t>MARUTI SUZUKI</t>
        </is>
      </c>
      <c r="F2462" s="20" t="inlineStr">
        <is>
          <t>Wagon R</t>
        </is>
      </c>
      <c r="G2462" s="21" t="n">
        <v>2014</v>
      </c>
      <c r="H2462" s="22" t="n">
        <v>87338</v>
      </c>
      <c r="I2462" s="22" t="n">
        <v>90000</v>
      </c>
      <c r="J2462" s="20" t="inlineStr">
        <is>
          <t>SUN CARS</t>
        </is>
      </c>
      <c r="K2462" s="20" t="inlineStr">
        <is>
          <t>Non-Captive</t>
        </is>
      </c>
      <c r="L2462" s="20" t="inlineStr">
        <is>
          <t>Rajaganapathy</t>
        </is>
      </c>
      <c r="M2462" s="23" t="n">
        <v>4237.29</v>
      </c>
    </row>
    <row r="2463">
      <c r="A2463" s="19" t="inlineStr">
        <is>
          <t>FY27</t>
        </is>
      </c>
      <c r="B2463" s="19" t="inlineStr">
        <is>
          <t>Jun</t>
        </is>
      </c>
      <c r="C2463" s="19" t="inlineStr">
        <is>
          <t>TN</t>
        </is>
      </c>
      <c r="D2463" s="20" t="inlineStr">
        <is>
          <t>TN86B5673</t>
        </is>
      </c>
      <c r="E2463" s="20" t="inlineStr">
        <is>
          <t>MARUTI SUZUKI</t>
        </is>
      </c>
      <c r="F2463" s="20" t="inlineStr">
        <is>
          <t>Swift</t>
        </is>
      </c>
      <c r="G2463" s="21" t="n">
        <v>2016</v>
      </c>
      <c r="H2463" s="22" t="n">
        <v>86784</v>
      </c>
      <c r="I2463" s="22" t="n">
        <v>490000</v>
      </c>
      <c r="J2463" s="20" t="inlineStr">
        <is>
          <t>COIMBATORE ANAMALLAIS AGENCIES PRIVATE LIMITED</t>
        </is>
      </c>
      <c r="K2463" s="20" t="inlineStr">
        <is>
          <t>Non-Captive</t>
        </is>
      </c>
      <c r="L2463" s="20" t="inlineStr">
        <is>
          <t>Srimurugan Cars</t>
        </is>
      </c>
      <c r="M2463" s="23" t="n">
        <v>8474.58</v>
      </c>
    </row>
    <row r="2464">
      <c r="A2464" s="19" t="inlineStr">
        <is>
          <t>FY27</t>
        </is>
      </c>
      <c r="B2464" s="19" t="inlineStr">
        <is>
          <t>Jun</t>
        </is>
      </c>
      <c r="C2464" s="19" t="inlineStr">
        <is>
          <t>TN</t>
        </is>
      </c>
      <c r="D2464" s="20" t="inlineStr">
        <is>
          <t>TN60J3868</t>
        </is>
      </c>
      <c r="E2464" s="20" t="inlineStr">
        <is>
          <t>TATA</t>
        </is>
      </c>
      <c r="F2464" s="20" t="inlineStr">
        <is>
          <t>Nano</t>
        </is>
      </c>
      <c r="G2464" s="21" t="n">
        <v>2011</v>
      </c>
      <c r="H2464" s="22" t="n">
        <v>110050</v>
      </c>
      <c r="I2464" s="22" t="n">
        <v>40000</v>
      </c>
      <c r="J2464" s="20" t="inlineStr">
        <is>
          <t>M R MOTORS</t>
        </is>
      </c>
      <c r="K2464" s="20" t="inlineStr">
        <is>
          <t>Non-Captive</t>
        </is>
      </c>
      <c r="L2464" s="20" t="inlineStr">
        <is>
          <t>Rajaganapathy</t>
        </is>
      </c>
      <c r="M2464" s="23" t="n">
        <v>4237.29</v>
      </c>
    </row>
    <row r="2465">
      <c r="A2465" s="19" t="inlineStr">
        <is>
          <t>FY27</t>
        </is>
      </c>
      <c r="B2465" s="19" t="inlineStr">
        <is>
          <t>Jun</t>
        </is>
      </c>
      <c r="C2465" s="19" t="inlineStr">
        <is>
          <t>TN</t>
        </is>
      </c>
      <c r="D2465" s="20" t="inlineStr">
        <is>
          <t>TN58AM5061</t>
        </is>
      </c>
      <c r="E2465" s="20" t="inlineStr">
        <is>
          <t>MARUTI SUZUKI</t>
        </is>
      </c>
      <c r="F2465" s="20" t="inlineStr">
        <is>
          <t>Celerio</t>
        </is>
      </c>
      <c r="G2465" s="21" t="n">
        <v>2016</v>
      </c>
      <c r="H2465" s="22" t="n">
        <v>108868</v>
      </c>
      <c r="I2465" s="22" t="n">
        <v>275000</v>
      </c>
      <c r="J2465" s="20" t="inlineStr">
        <is>
          <t>Khivraj Motor</t>
        </is>
      </c>
      <c r="K2465" s="20" t="inlineStr">
        <is>
          <t>Non-Captive</t>
        </is>
      </c>
      <c r="L2465" s="20" t="inlineStr">
        <is>
          <t>SRI SENTHUR CARS</t>
        </is>
      </c>
      <c r="M2465" s="23" t="n">
        <v>8627.120000000001</v>
      </c>
    </row>
    <row r="2466">
      <c r="A2466" s="19" t="inlineStr">
        <is>
          <t>FY27</t>
        </is>
      </c>
      <c r="B2466" s="19" t="inlineStr">
        <is>
          <t>Jun</t>
        </is>
      </c>
      <c r="C2466" s="19" t="inlineStr">
        <is>
          <t>TN</t>
        </is>
      </c>
      <c r="D2466" s="20" t="inlineStr">
        <is>
          <t>TN18BF7547</t>
        </is>
      </c>
      <c r="E2466" s="20" t="inlineStr">
        <is>
          <t>MARUTI SUZUKI</t>
        </is>
      </c>
      <c r="F2466" s="20" t="inlineStr">
        <is>
          <t>Swift</t>
        </is>
      </c>
      <c r="G2466" s="21" t="n">
        <v>2022</v>
      </c>
      <c r="H2466" s="22" t="n">
        <v>78555</v>
      </c>
      <c r="I2466" s="22" t="n">
        <v>550000</v>
      </c>
      <c r="J2466" s="20" t="inlineStr">
        <is>
          <t>Khivraj Motor</t>
        </is>
      </c>
      <c r="K2466" s="20" t="inlineStr">
        <is>
          <t>Non-Captive</t>
        </is>
      </c>
      <c r="L2466" s="20" t="inlineStr">
        <is>
          <t>Lanson</t>
        </is>
      </c>
      <c r="M2466" s="23" t="n">
        <v>7627.12</v>
      </c>
    </row>
    <row r="2467">
      <c r="A2467" s="19" t="inlineStr">
        <is>
          <t>FY27</t>
        </is>
      </c>
      <c r="B2467" s="19" t="inlineStr">
        <is>
          <t>Jun</t>
        </is>
      </c>
      <c r="C2467" s="19" t="inlineStr">
        <is>
          <t>TN</t>
        </is>
      </c>
      <c r="D2467" s="20" t="inlineStr">
        <is>
          <t>TN18AU2590</t>
        </is>
      </c>
      <c r="E2467" s="20" t="inlineStr">
        <is>
          <t>MARUTI SUZUKI</t>
        </is>
      </c>
      <c r="F2467" s="20" t="inlineStr">
        <is>
          <t>Swift</t>
        </is>
      </c>
      <c r="G2467" s="21" t="n">
        <v>2019</v>
      </c>
      <c r="H2467" s="22" t="n">
        <v>43300</v>
      </c>
      <c r="I2467" s="22" t="n">
        <v>425000</v>
      </c>
      <c r="J2467" s="20" t="inlineStr">
        <is>
          <t>Khivraj Motor</t>
        </is>
      </c>
      <c r="K2467" s="20" t="inlineStr">
        <is>
          <t>Non-Captive</t>
        </is>
      </c>
      <c r="L2467" s="20" t="inlineStr">
        <is>
          <t>Lanson</t>
        </is>
      </c>
      <c r="M2467" s="23" t="n">
        <v>7627.12</v>
      </c>
    </row>
    <row r="2468">
      <c r="A2468" s="19" t="inlineStr">
        <is>
          <t>FY27</t>
        </is>
      </c>
      <c r="B2468" s="19" t="inlineStr">
        <is>
          <t>Jun</t>
        </is>
      </c>
      <c r="C2468" s="19" t="inlineStr">
        <is>
          <t>TN</t>
        </is>
      </c>
      <c r="D2468" s="20" t="inlineStr">
        <is>
          <t>TN136453</t>
        </is>
      </c>
      <c r="E2468" s="20" t="inlineStr">
        <is>
          <t>MAHINDRA</t>
        </is>
      </c>
      <c r="F2468" s="20" t="inlineStr">
        <is>
          <t>Bolero</t>
        </is>
      </c>
      <c r="G2468" s="21" t="n">
        <v>2014</v>
      </c>
      <c r="H2468" s="22" t="n">
        <v>190518</v>
      </c>
      <c r="I2468" s="22" t="n">
        <v>185000</v>
      </c>
      <c r="J2468" s="20" t="inlineStr">
        <is>
          <t>Khivraj Motor</t>
        </is>
      </c>
      <c r="K2468" s="20" t="inlineStr">
        <is>
          <t>Non-Captive</t>
        </is>
      </c>
      <c r="L2468" s="20" t="inlineStr">
        <is>
          <t>Trust On Wheels</t>
        </is>
      </c>
      <c r="M2468" s="23" t="n">
        <v>5084.75</v>
      </c>
    </row>
    <row r="2469">
      <c r="A2469" s="19" t="inlineStr">
        <is>
          <t>FY27</t>
        </is>
      </c>
      <c r="B2469" s="19" t="inlineStr">
        <is>
          <t>Jun</t>
        </is>
      </c>
      <c r="C2469" s="19" t="inlineStr">
        <is>
          <t>TN</t>
        </is>
      </c>
      <c r="D2469" s="20" t="inlineStr">
        <is>
          <t>TN14AA6305</t>
        </is>
      </c>
      <c r="E2469" s="20" t="inlineStr">
        <is>
          <t>TATA</t>
        </is>
      </c>
      <c r="F2469" s="20" t="inlineStr">
        <is>
          <t>Tigore</t>
        </is>
      </c>
      <c r="G2469" s="21" t="n">
        <v>2022</v>
      </c>
      <c r="H2469" s="22" t="n">
        <v>48782</v>
      </c>
      <c r="I2469" s="22" t="n">
        <v>520000</v>
      </c>
      <c r="J2469" s="20" t="inlineStr">
        <is>
          <t>EXCHANGE CHENNAI</t>
        </is>
      </c>
      <c r="K2469" s="20" t="inlineStr">
        <is>
          <t>Captive</t>
        </is>
      </c>
      <c r="L2469" s="20" t="inlineStr">
        <is>
          <t>Sreeshan</t>
        </is>
      </c>
      <c r="M2469" s="23" t="n">
        <v>8474.58</v>
      </c>
    </row>
    <row r="2470">
      <c r="A2470" s="19" t="inlineStr">
        <is>
          <t>FY27</t>
        </is>
      </c>
      <c r="B2470" s="19" t="inlineStr">
        <is>
          <t>Jun</t>
        </is>
      </c>
      <c r="C2470" s="19" t="inlineStr">
        <is>
          <t>TN</t>
        </is>
      </c>
      <c r="D2470" s="20" t="inlineStr">
        <is>
          <t>TN13E9927</t>
        </is>
      </c>
      <c r="E2470" s="20" t="inlineStr">
        <is>
          <t>MARUTI SUZUKI</t>
        </is>
      </c>
      <c r="F2470" s="20" t="inlineStr">
        <is>
          <t>Celerio</t>
        </is>
      </c>
      <c r="G2470" s="21" t="n">
        <v>2016</v>
      </c>
      <c r="H2470" s="22" t="n">
        <v>87455</v>
      </c>
      <c r="I2470" s="22" t="n">
        <v>270000</v>
      </c>
      <c r="J2470" s="20" t="inlineStr">
        <is>
          <t>Khivraj Motor</t>
        </is>
      </c>
      <c r="K2470" s="20" t="inlineStr">
        <is>
          <t>Non-Captive</t>
        </is>
      </c>
      <c r="L2470" s="20" t="inlineStr">
        <is>
          <t>AAA Cars</t>
        </is>
      </c>
      <c r="M2470" s="23" t="n">
        <v>8474.58</v>
      </c>
    </row>
    <row r="2471">
      <c r="A2471" s="19" t="inlineStr">
        <is>
          <t>FY27</t>
        </is>
      </c>
      <c r="B2471" s="19" t="inlineStr">
        <is>
          <t>Jun</t>
        </is>
      </c>
      <c r="C2471" s="19" t="inlineStr">
        <is>
          <t>TN</t>
        </is>
      </c>
      <c r="D2471" s="20" t="inlineStr">
        <is>
          <t>TN64L1237</t>
        </is>
      </c>
      <c r="E2471" s="20" t="inlineStr">
        <is>
          <t>HONDA</t>
        </is>
      </c>
      <c r="F2471" s="20" t="inlineStr">
        <is>
          <t>City</t>
        </is>
      </c>
      <c r="G2471" s="21" t="n">
        <v>2015</v>
      </c>
      <c r="H2471" s="22" t="n">
        <v>46030</v>
      </c>
      <c r="I2471" s="22" t="n">
        <v>460000</v>
      </c>
      <c r="J2471" s="20" t="inlineStr">
        <is>
          <t>EXCHANGE ROTN</t>
        </is>
      </c>
      <c r="K2471" s="20" t="inlineStr">
        <is>
          <t>Captive</t>
        </is>
      </c>
      <c r="L2471" s="20" t="inlineStr">
        <is>
          <t>GGEE Autocare</t>
        </is>
      </c>
      <c r="M2471" s="23" t="n">
        <v>12711.86</v>
      </c>
    </row>
    <row r="2472">
      <c r="A2472" s="19" t="inlineStr">
        <is>
          <t>FY27</t>
        </is>
      </c>
      <c r="B2472" s="19" t="inlineStr">
        <is>
          <t>Jun</t>
        </is>
      </c>
      <c r="C2472" s="19" t="inlineStr">
        <is>
          <t>TN</t>
        </is>
      </c>
      <c r="D2472" s="20" t="inlineStr">
        <is>
          <t>TN37BF1678</t>
        </is>
      </c>
      <c r="E2472" s="20" t="inlineStr">
        <is>
          <t>MARUTI SUZUKI</t>
        </is>
      </c>
      <c r="F2472" s="20" t="inlineStr">
        <is>
          <t>Alto</t>
        </is>
      </c>
      <c r="G2472" s="21" t="n">
        <v>2009</v>
      </c>
      <c r="H2472" s="22" t="n">
        <v>61675</v>
      </c>
      <c r="I2472" s="22" t="n">
        <v>140000</v>
      </c>
      <c r="J2472" s="20" t="inlineStr">
        <is>
          <t>EXCHANGE ROTN</t>
        </is>
      </c>
      <c r="K2472" s="20" t="inlineStr">
        <is>
          <t>Captive</t>
        </is>
      </c>
      <c r="L2472" s="20" t="inlineStr">
        <is>
          <t>Senthur Finance</t>
        </is>
      </c>
      <c r="M2472" s="23" t="n">
        <v>8474.58</v>
      </c>
    </row>
    <row r="2473">
      <c r="A2473" s="19" t="inlineStr">
        <is>
          <t>FY27</t>
        </is>
      </c>
      <c r="B2473" s="19" t="inlineStr">
        <is>
          <t>Jun</t>
        </is>
      </c>
      <c r="C2473" s="19" t="inlineStr">
        <is>
          <t>TN</t>
        </is>
      </c>
      <c r="D2473" s="20" t="inlineStr">
        <is>
          <t>TN22BY2665</t>
        </is>
      </c>
      <c r="E2473" s="20" t="inlineStr">
        <is>
          <t>FORD</t>
        </is>
      </c>
      <c r="F2473" s="20" t="inlineStr">
        <is>
          <t>Fiesta</t>
        </is>
      </c>
      <c r="G2473" s="21" t="n">
        <v>2008</v>
      </c>
      <c r="H2473" s="22" t="n">
        <v>147291</v>
      </c>
      <c r="I2473" s="22" t="n">
        <v>60000</v>
      </c>
      <c r="J2473" s="20" t="inlineStr">
        <is>
          <t>EXCHANGE ROTN</t>
        </is>
      </c>
      <c r="K2473" s="20" t="inlineStr">
        <is>
          <t>Captive</t>
        </is>
      </c>
      <c r="L2473" s="20" t="inlineStr">
        <is>
          <t>Shivashankar cars</t>
        </is>
      </c>
      <c r="M2473" s="23" t="n">
        <v>4237.29</v>
      </c>
    </row>
    <row r="2474">
      <c r="A2474" s="19" t="inlineStr">
        <is>
          <t>FY27</t>
        </is>
      </c>
      <c r="B2474" s="19" t="inlineStr">
        <is>
          <t>Jun</t>
        </is>
      </c>
      <c r="C2474" s="19" t="inlineStr">
        <is>
          <t>TN</t>
        </is>
      </c>
      <c r="D2474" s="20" t="inlineStr">
        <is>
          <t>TN36F5969</t>
        </is>
      </c>
      <c r="E2474" s="20" t="inlineStr">
        <is>
          <t>MARUTI SUZUKI</t>
        </is>
      </c>
      <c r="F2474" s="20" t="inlineStr">
        <is>
          <t>Alto 800</t>
        </is>
      </c>
      <c r="G2474" s="21" t="n">
        <v>2003</v>
      </c>
      <c r="H2474" s="22" t="n">
        <v>97056</v>
      </c>
      <c r="I2474" s="22" t="n">
        <v>45000</v>
      </c>
      <c r="J2474" s="20" t="inlineStr">
        <is>
          <t>LOTUS HYUNDAI (TEJAS CARS PRIVATE LIMITED)</t>
        </is>
      </c>
      <c r="K2474" s="20" t="inlineStr">
        <is>
          <t>Non-Captive</t>
        </is>
      </c>
      <c r="L2474" s="20" t="inlineStr">
        <is>
          <t>Shivashankar cars</t>
        </is>
      </c>
      <c r="M2474" s="23" t="n">
        <v>4237.29</v>
      </c>
    </row>
    <row r="2475">
      <c r="A2475" s="19" t="inlineStr">
        <is>
          <t>FY27</t>
        </is>
      </c>
      <c r="B2475" s="19" t="inlineStr">
        <is>
          <t>Jun</t>
        </is>
      </c>
      <c r="C2475" s="19" t="inlineStr">
        <is>
          <t>TN</t>
        </is>
      </c>
      <c r="D2475" s="20" t="inlineStr">
        <is>
          <t>TN37V1600</t>
        </is>
      </c>
      <c r="E2475" s="20" t="inlineStr">
        <is>
          <t>MARUTI SUZUKI</t>
        </is>
      </c>
      <c r="F2475" s="20" t="inlineStr">
        <is>
          <t>Zen</t>
        </is>
      </c>
      <c r="G2475" s="21" t="n">
        <v>2000</v>
      </c>
      <c r="H2475" s="22" t="n">
        <v>177007</v>
      </c>
      <c r="I2475" s="22" t="n">
        <v>35000</v>
      </c>
      <c r="J2475" s="20" t="inlineStr">
        <is>
          <t>EXCHANGE ROTN</t>
        </is>
      </c>
      <c r="K2475" s="20" t="inlineStr">
        <is>
          <t>Captive</t>
        </is>
      </c>
      <c r="L2475" s="20" t="inlineStr">
        <is>
          <t>Shivashankar cars</t>
        </is>
      </c>
      <c r="M2475" s="23" t="n">
        <v>4237.29</v>
      </c>
    </row>
    <row r="2476">
      <c r="A2476" s="19" t="inlineStr">
        <is>
          <t>FY27</t>
        </is>
      </c>
      <c r="B2476" s="19" t="inlineStr">
        <is>
          <t>Jun</t>
        </is>
      </c>
      <c r="C2476" s="19" t="inlineStr">
        <is>
          <t>TN</t>
        </is>
      </c>
      <c r="D2476" s="20" t="inlineStr">
        <is>
          <t>TN59CE0943</t>
        </is>
      </c>
      <c r="E2476" s="20" t="inlineStr">
        <is>
          <t>TATA</t>
        </is>
      </c>
      <c r="F2476" s="20" t="inlineStr">
        <is>
          <t>Nexon</t>
        </is>
      </c>
      <c r="G2476" s="21" t="n">
        <v>2019</v>
      </c>
      <c r="H2476" s="22" t="n">
        <v>36280</v>
      </c>
      <c r="I2476" s="22" t="n">
        <v>440000</v>
      </c>
      <c r="J2476" s="20" t="inlineStr">
        <is>
          <t>EXCHANGE ROTN</t>
        </is>
      </c>
      <c r="K2476" s="20" t="inlineStr">
        <is>
          <t>Captive</t>
        </is>
      </c>
      <c r="L2476" s="20" t="inlineStr">
        <is>
          <t>Paul Cars</t>
        </is>
      </c>
      <c r="M2476" s="23" t="n">
        <v>8474.58</v>
      </c>
    </row>
    <row r="2477">
      <c r="A2477" s="19" t="inlineStr">
        <is>
          <t>FY27</t>
        </is>
      </c>
      <c r="B2477" s="19" t="inlineStr">
        <is>
          <t>Jun</t>
        </is>
      </c>
      <c r="C2477" s="19" t="inlineStr">
        <is>
          <t>TN</t>
        </is>
      </c>
      <c r="D2477" s="20" t="inlineStr">
        <is>
          <t>TN07BM3649</t>
        </is>
      </c>
      <c r="E2477" s="20" t="inlineStr">
        <is>
          <t>TATA</t>
        </is>
      </c>
      <c r="F2477" s="20" t="inlineStr">
        <is>
          <t>Indica</t>
        </is>
      </c>
      <c r="G2477" s="21" t="n">
        <v>2011</v>
      </c>
      <c r="H2477" s="22" t="n">
        <v>99999</v>
      </c>
      <c r="I2477" s="22" t="n">
        <v>80000</v>
      </c>
      <c r="J2477" s="20" t="inlineStr">
        <is>
          <t>AIE CARS PRIVATE LIMITED</t>
        </is>
      </c>
      <c r="K2477" s="20" t="inlineStr">
        <is>
          <t>Non-Captive</t>
        </is>
      </c>
      <c r="L2477" s="20" t="inlineStr">
        <is>
          <t>Lanson</t>
        </is>
      </c>
      <c r="M2477" s="23" t="n">
        <v>4237.29</v>
      </c>
    </row>
    <row r="2478">
      <c r="A2478" s="19" t="inlineStr">
        <is>
          <t>FY27</t>
        </is>
      </c>
      <c r="B2478" s="19" t="inlineStr">
        <is>
          <t>Jun</t>
        </is>
      </c>
      <c r="C2478" s="19" t="inlineStr">
        <is>
          <t>TN</t>
        </is>
      </c>
      <c r="D2478" s="20" t="inlineStr">
        <is>
          <t>TN09BQ5221</t>
        </is>
      </c>
      <c r="E2478" s="20" t="inlineStr">
        <is>
          <t>HONDA</t>
        </is>
      </c>
      <c r="F2478" s="20" t="inlineStr">
        <is>
          <t>Brio</t>
        </is>
      </c>
      <c r="G2478" s="21" t="n">
        <v>2012</v>
      </c>
      <c r="H2478" s="22" t="n">
        <v>66137</v>
      </c>
      <c r="I2478" s="22" t="n">
        <v>100000</v>
      </c>
      <c r="J2478" s="20" t="inlineStr">
        <is>
          <t>Maansarovar Honda Cars</t>
        </is>
      </c>
      <c r="K2478" s="20" t="inlineStr">
        <is>
          <t>Non-Captive</t>
        </is>
      </c>
      <c r="L2478" s="20" t="inlineStr">
        <is>
          <t>Lanson</t>
        </is>
      </c>
      <c r="M2478" s="23" t="n">
        <v>4237.29</v>
      </c>
    </row>
    <row r="2479">
      <c r="A2479" s="19" t="inlineStr">
        <is>
          <t>FY27</t>
        </is>
      </c>
      <c r="B2479" s="19" t="inlineStr">
        <is>
          <t>Jun</t>
        </is>
      </c>
      <c r="C2479" s="19" t="inlineStr">
        <is>
          <t>TN</t>
        </is>
      </c>
      <c r="D2479" s="20" t="inlineStr">
        <is>
          <t>TN22CU3592</t>
        </is>
      </c>
      <c r="E2479" s="20" t="inlineStr">
        <is>
          <t>MARUTI SUZUKI</t>
        </is>
      </c>
      <c r="F2479" s="20" t="inlineStr">
        <is>
          <t>Alto K10</t>
        </is>
      </c>
      <c r="G2479" s="21" t="n">
        <v>2012</v>
      </c>
      <c r="H2479" s="22" t="n">
        <v>59008</v>
      </c>
      <c r="I2479" s="22" t="n">
        <v>120000</v>
      </c>
      <c r="J2479" s="20" t="inlineStr">
        <is>
          <t>AIE CARS PRIVATE LIMITED</t>
        </is>
      </c>
      <c r="K2479" s="20" t="inlineStr">
        <is>
          <t>Non-Captive</t>
        </is>
      </c>
      <c r="L2479" s="20" t="inlineStr">
        <is>
          <t>Lanson</t>
        </is>
      </c>
      <c r="M2479" s="23" t="n">
        <v>4237.29</v>
      </c>
    </row>
    <row r="2480">
      <c r="A2480" s="19" t="inlineStr">
        <is>
          <t>FY27</t>
        </is>
      </c>
      <c r="B2480" s="19" t="inlineStr">
        <is>
          <t>Jun</t>
        </is>
      </c>
      <c r="C2480" s="19" t="inlineStr">
        <is>
          <t>TN</t>
        </is>
      </c>
      <c r="D2480" s="20" t="inlineStr">
        <is>
          <t>TN09BA1400</t>
        </is>
      </c>
      <c r="E2480" s="20" t="inlineStr">
        <is>
          <t>HYUNDAI</t>
        </is>
      </c>
      <c r="F2480" s="20" t="inlineStr">
        <is>
          <t>I20</t>
        </is>
      </c>
      <c r="G2480" s="21" t="n">
        <v>2009</v>
      </c>
      <c r="H2480" s="22" t="n">
        <v>103202</v>
      </c>
      <c r="I2480" s="22" t="n">
        <v>130000</v>
      </c>
      <c r="J2480" s="20" t="inlineStr">
        <is>
          <t>PEEYESYEM HK MOTORS LLP</t>
        </is>
      </c>
      <c r="K2480" s="20" t="inlineStr">
        <is>
          <t>Non-Captive</t>
        </is>
      </c>
      <c r="L2480" s="20" t="inlineStr">
        <is>
          <t>Lanson</t>
        </is>
      </c>
      <c r="M2480" s="23" t="n">
        <v>4237.29</v>
      </c>
    </row>
    <row r="2481">
      <c r="A2481" s="19" t="inlineStr">
        <is>
          <t>FY27</t>
        </is>
      </c>
      <c r="B2481" s="19" t="inlineStr">
        <is>
          <t>Jun</t>
        </is>
      </c>
      <c r="C2481" s="19" t="inlineStr">
        <is>
          <t>TN</t>
        </is>
      </c>
      <c r="D2481" s="20" t="inlineStr">
        <is>
          <t>TN09BU3992</t>
        </is>
      </c>
      <c r="E2481" s="20" t="inlineStr">
        <is>
          <t>NISSAN</t>
        </is>
      </c>
      <c r="F2481" s="20" t="inlineStr">
        <is>
          <t>Micra</t>
        </is>
      </c>
      <c r="G2481" s="21" t="n">
        <v>2013</v>
      </c>
      <c r="H2481" s="22" t="n">
        <v>77141</v>
      </c>
      <c r="I2481" s="22" t="n">
        <v>150000</v>
      </c>
      <c r="J2481" s="20" t="inlineStr">
        <is>
          <t>STEER AUTO TECHNOLOGIES PRIVATE LIMITED</t>
        </is>
      </c>
      <c r="K2481" s="20" t="inlineStr">
        <is>
          <t>Non-Captive</t>
        </is>
      </c>
      <c r="L2481" s="20" t="inlineStr">
        <is>
          <t>Lanson</t>
        </is>
      </c>
      <c r="M2481" s="23" t="n">
        <v>4237.29</v>
      </c>
    </row>
    <row r="2482">
      <c r="A2482" s="19" t="inlineStr">
        <is>
          <t>FY27</t>
        </is>
      </c>
      <c r="B2482" s="19" t="inlineStr">
        <is>
          <t>Jun</t>
        </is>
      </c>
      <c r="C2482" s="19" t="inlineStr">
        <is>
          <t>TN</t>
        </is>
      </c>
      <c r="D2482" s="20" t="inlineStr">
        <is>
          <t>TN20CZ6303</t>
        </is>
      </c>
      <c r="E2482" s="20" t="inlineStr">
        <is>
          <t>VOLKSWAGEN</t>
        </is>
      </c>
      <c r="F2482" s="20" t="inlineStr">
        <is>
          <t>Polo</t>
        </is>
      </c>
      <c r="G2482" s="21" t="n">
        <v>2012</v>
      </c>
      <c r="H2482" s="22" t="n">
        <v>157774</v>
      </c>
      <c r="I2482" s="22" t="n">
        <v>170000</v>
      </c>
      <c r="J2482" s="20" t="inlineStr">
        <is>
          <t>STEER AUTO TECHNOLOGIES PRIVATE LIMITED</t>
        </is>
      </c>
      <c r="K2482" s="20" t="inlineStr">
        <is>
          <t>Non-Captive</t>
        </is>
      </c>
      <c r="L2482" s="20" t="inlineStr">
        <is>
          <t>Lanson</t>
        </is>
      </c>
      <c r="M2482" s="23" t="n">
        <v>4237.29</v>
      </c>
    </row>
    <row r="2483">
      <c r="A2483" s="19" t="inlineStr">
        <is>
          <t>FY27</t>
        </is>
      </c>
      <c r="B2483" s="19" t="inlineStr">
        <is>
          <t>Jun</t>
        </is>
      </c>
      <c r="C2483" s="19" t="inlineStr">
        <is>
          <t>TN</t>
        </is>
      </c>
      <c r="D2483" s="20" t="inlineStr">
        <is>
          <t>TN10AQ2914</t>
        </is>
      </c>
      <c r="E2483" s="20" t="inlineStr">
        <is>
          <t>HYUNDAI</t>
        </is>
      </c>
      <c r="F2483" s="20" t="inlineStr">
        <is>
          <t>Xcent</t>
        </is>
      </c>
      <c r="G2483" s="21" t="n">
        <v>2014</v>
      </c>
      <c r="H2483" s="22" t="n">
        <v>106981</v>
      </c>
      <c r="I2483" s="22" t="n">
        <v>200000</v>
      </c>
      <c r="J2483" s="20" t="inlineStr">
        <is>
          <t>STEER AUTO TECHNOLOGIES PRIVATE LIMITED</t>
        </is>
      </c>
      <c r="K2483" s="20" t="inlineStr">
        <is>
          <t>Non-Captive</t>
        </is>
      </c>
      <c r="L2483" s="20" t="inlineStr">
        <is>
          <t>Lanson</t>
        </is>
      </c>
      <c r="M2483" s="23" t="n">
        <v>4237.29</v>
      </c>
    </row>
    <row r="2484">
      <c r="A2484" s="19" t="inlineStr">
        <is>
          <t>FY27</t>
        </is>
      </c>
      <c r="B2484" s="19" t="inlineStr">
        <is>
          <t>Jun</t>
        </is>
      </c>
      <c r="C2484" s="19" t="inlineStr">
        <is>
          <t>TN</t>
        </is>
      </c>
      <c r="D2484" s="20" t="inlineStr">
        <is>
          <t>TN13K5441</t>
        </is>
      </c>
      <c r="E2484" s="20" t="inlineStr">
        <is>
          <t>HYUNDAI</t>
        </is>
      </c>
      <c r="F2484" s="20" t="inlineStr">
        <is>
          <t>Grand I10</t>
        </is>
      </c>
      <c r="G2484" s="21" t="n">
        <v>2017</v>
      </c>
      <c r="H2484" s="22" t="n">
        <v>61669</v>
      </c>
      <c r="I2484" s="22" t="n">
        <v>270000</v>
      </c>
      <c r="J2484" s="20" t="inlineStr">
        <is>
          <t>STEER AUTO TECHNOLOGIES PRIVATE LIMITED</t>
        </is>
      </c>
      <c r="K2484" s="20" t="inlineStr">
        <is>
          <t>Non-Captive</t>
        </is>
      </c>
      <c r="L2484" s="20" t="inlineStr">
        <is>
          <t>Lanson</t>
        </is>
      </c>
      <c r="M2484" s="23" t="n">
        <v>4237.29</v>
      </c>
    </row>
    <row r="2485">
      <c r="A2485" s="19" t="inlineStr">
        <is>
          <t>FY27</t>
        </is>
      </c>
      <c r="B2485" s="19" t="inlineStr">
        <is>
          <t>Jun</t>
        </is>
      </c>
      <c r="C2485" s="19" t="inlineStr">
        <is>
          <t>TN</t>
        </is>
      </c>
      <c r="D2485" s="20" t="inlineStr">
        <is>
          <t>TN22CQ8217</t>
        </is>
      </c>
      <c r="E2485" s="20" t="inlineStr">
        <is>
          <t>HYUNDAI</t>
        </is>
      </c>
      <c r="F2485" s="20" t="inlineStr">
        <is>
          <t>I10</t>
        </is>
      </c>
      <c r="G2485" s="21" t="n">
        <v>2014</v>
      </c>
      <c r="H2485" s="22" t="n">
        <v>47875</v>
      </c>
      <c r="I2485" s="22" t="n">
        <v>300000</v>
      </c>
      <c r="J2485" s="20" t="inlineStr">
        <is>
          <t>STEER AUTO TECHNOLOGIES PRIVATE LIMITED</t>
        </is>
      </c>
      <c r="K2485" s="20" t="inlineStr">
        <is>
          <t>Non-Captive</t>
        </is>
      </c>
      <c r="L2485" s="20" t="inlineStr">
        <is>
          <t>Lanson</t>
        </is>
      </c>
      <c r="M2485" s="23" t="n">
        <v>4237.29</v>
      </c>
    </row>
    <row r="2486">
      <c r="A2486" s="19" t="inlineStr">
        <is>
          <t>FY27</t>
        </is>
      </c>
      <c r="B2486" s="19" t="inlineStr">
        <is>
          <t>Jun</t>
        </is>
      </c>
      <c r="C2486" s="19" t="inlineStr">
        <is>
          <t>TN</t>
        </is>
      </c>
      <c r="D2486" s="20" t="inlineStr">
        <is>
          <t>TN11X9689</t>
        </is>
      </c>
      <c r="E2486" s="20" t="inlineStr">
        <is>
          <t>NISSAN</t>
        </is>
      </c>
      <c r="F2486" s="20" t="inlineStr">
        <is>
          <t>Terrano</t>
        </is>
      </c>
      <c r="G2486" s="21" t="n">
        <v>2013</v>
      </c>
      <c r="H2486" s="22" t="n">
        <v>128350</v>
      </c>
      <c r="I2486" s="22" t="n">
        <v>300000</v>
      </c>
      <c r="J2486" s="20" t="inlineStr">
        <is>
          <t>STEER AUTO TECHNOLOGIES PRIVATE LIMITED</t>
        </is>
      </c>
      <c r="K2486" s="20" t="inlineStr">
        <is>
          <t>Non-Captive</t>
        </is>
      </c>
      <c r="L2486" s="20" t="inlineStr">
        <is>
          <t>Lanson</t>
        </is>
      </c>
      <c r="M2486" s="23" t="n">
        <v>4237.29</v>
      </c>
    </row>
    <row r="2487">
      <c r="A2487" s="19" t="inlineStr">
        <is>
          <t>FY27</t>
        </is>
      </c>
      <c r="B2487" s="19" t="inlineStr">
        <is>
          <t>Jun</t>
        </is>
      </c>
      <c r="C2487" s="19" t="inlineStr">
        <is>
          <t>TN</t>
        </is>
      </c>
      <c r="D2487" s="20" t="inlineStr">
        <is>
          <t>TN10AT0652</t>
        </is>
      </c>
      <c r="E2487" s="20" t="inlineStr">
        <is>
          <t>HYUNDAI</t>
        </is>
      </c>
      <c r="F2487" s="20" t="inlineStr">
        <is>
          <t>I20</t>
        </is>
      </c>
      <c r="G2487" s="21" t="n">
        <v>2015</v>
      </c>
      <c r="H2487" s="22" t="n">
        <v>111835</v>
      </c>
      <c r="I2487" s="22" t="n">
        <v>300000</v>
      </c>
      <c r="J2487" s="20" t="inlineStr">
        <is>
          <t>STEER AUTO TECHNOLOGIES PRIVATE LIMITED</t>
        </is>
      </c>
      <c r="K2487" s="20" t="inlineStr">
        <is>
          <t>Non-Captive</t>
        </is>
      </c>
      <c r="L2487" s="20" t="inlineStr">
        <is>
          <t>Lanson</t>
        </is>
      </c>
      <c r="M2487" s="23" t="n">
        <v>4237.29</v>
      </c>
    </row>
    <row r="2488">
      <c r="A2488" s="19" t="inlineStr">
        <is>
          <t>FY27</t>
        </is>
      </c>
      <c r="B2488" s="19" t="inlineStr">
        <is>
          <t>Jun</t>
        </is>
      </c>
      <c r="C2488" s="19" t="inlineStr">
        <is>
          <t>TN</t>
        </is>
      </c>
      <c r="D2488" s="20" t="inlineStr">
        <is>
          <t>TN07CP8031</t>
        </is>
      </c>
      <c r="E2488" s="20" t="inlineStr">
        <is>
          <t>HONDA</t>
        </is>
      </c>
      <c r="F2488" s="20" t="inlineStr">
        <is>
          <t>Jazz</t>
        </is>
      </c>
      <c r="G2488" s="21" t="n">
        <v>2018</v>
      </c>
      <c r="H2488" s="22" t="n">
        <v>75752</v>
      </c>
      <c r="I2488" s="22" t="n">
        <v>350000</v>
      </c>
      <c r="J2488" s="20" t="inlineStr">
        <is>
          <t>PEEYESYEM HK MOTORS LLP</t>
        </is>
      </c>
      <c r="K2488" s="20" t="inlineStr">
        <is>
          <t>Non-Captive</t>
        </is>
      </c>
      <c r="L2488" s="20" t="inlineStr">
        <is>
          <t>Santhosh Cars</t>
        </is>
      </c>
      <c r="M2488" s="23" t="n">
        <v>4237.29</v>
      </c>
    </row>
    <row r="2489">
      <c r="A2489" s="19" t="inlineStr">
        <is>
          <t>FY27</t>
        </is>
      </c>
      <c r="B2489" s="19" t="inlineStr">
        <is>
          <t>Jun</t>
        </is>
      </c>
      <c r="C2489" s="19" t="inlineStr">
        <is>
          <t>TN</t>
        </is>
      </c>
      <c r="D2489" s="20" t="inlineStr">
        <is>
          <t>TN14M4343</t>
        </is>
      </c>
      <c r="E2489" s="20" t="inlineStr">
        <is>
          <t>VOLKSWAGEN</t>
        </is>
      </c>
      <c r="F2489" s="20" t="inlineStr">
        <is>
          <t>Vento</t>
        </is>
      </c>
      <c r="G2489" s="21" t="n">
        <v>2017</v>
      </c>
      <c r="H2489" s="22" t="n">
        <v>58730</v>
      </c>
      <c r="I2489" s="22" t="n">
        <v>350000</v>
      </c>
      <c r="J2489" s="20" t="inlineStr">
        <is>
          <t>AIE CARS PRIVATE LIMITED</t>
        </is>
      </c>
      <c r="K2489" s="20" t="inlineStr">
        <is>
          <t>Non-Captive</t>
        </is>
      </c>
      <c r="L2489" s="20" t="inlineStr">
        <is>
          <t>Santhosh Cars</t>
        </is>
      </c>
      <c r="M2489" s="23" t="n">
        <v>4237.29</v>
      </c>
    </row>
    <row r="2490">
      <c r="A2490" s="19" t="inlineStr">
        <is>
          <t>FY27</t>
        </is>
      </c>
      <c r="B2490" s="19" t="inlineStr">
        <is>
          <t>Jun</t>
        </is>
      </c>
      <c r="C2490" s="19" t="inlineStr">
        <is>
          <t>TN</t>
        </is>
      </c>
      <c r="D2490" s="20" t="inlineStr">
        <is>
          <t>TN07CD1525</t>
        </is>
      </c>
      <c r="E2490" s="20" t="inlineStr">
        <is>
          <t>HONDA</t>
        </is>
      </c>
      <c r="F2490" s="20" t="inlineStr">
        <is>
          <t>Jazz</t>
        </is>
      </c>
      <c r="G2490" s="21" t="n">
        <v>2015</v>
      </c>
      <c r="H2490" s="22" t="n">
        <v>23631</v>
      </c>
      <c r="I2490" s="22" t="n">
        <v>360000</v>
      </c>
      <c r="J2490" s="20" t="inlineStr">
        <is>
          <t>STEER AUTO TECHNOLOGIES PRIVATE LIMITED</t>
        </is>
      </c>
      <c r="K2490" s="20" t="inlineStr">
        <is>
          <t>Non-Captive</t>
        </is>
      </c>
      <c r="L2490" s="20" t="inlineStr">
        <is>
          <t>Santhosh Cars</t>
        </is>
      </c>
      <c r="M2490" s="23" t="n">
        <v>4237.29</v>
      </c>
    </row>
    <row r="2491">
      <c r="A2491" s="19" t="inlineStr">
        <is>
          <t>FY27</t>
        </is>
      </c>
      <c r="B2491" s="19" t="inlineStr">
        <is>
          <t>Jun</t>
        </is>
      </c>
      <c r="C2491" s="19" t="inlineStr">
        <is>
          <t>TN</t>
        </is>
      </c>
      <c r="D2491" s="20" t="inlineStr">
        <is>
          <t>TN19AZ3894</t>
        </is>
      </c>
      <c r="E2491" s="20" t="inlineStr">
        <is>
          <t>MARUTI SUZUKI</t>
        </is>
      </c>
      <c r="F2491" s="20" t="inlineStr">
        <is>
          <t>Swift</t>
        </is>
      </c>
      <c r="G2491" s="21" t="n">
        <v>2017</v>
      </c>
      <c r="H2491" s="22" t="n">
        <v>152641</v>
      </c>
      <c r="I2491" s="22" t="n">
        <v>380000</v>
      </c>
      <c r="J2491" s="20" t="inlineStr">
        <is>
          <t>AIE CARS PRIVATE LIMITED</t>
        </is>
      </c>
      <c r="K2491" s="20" t="inlineStr">
        <is>
          <t>Non-Captive</t>
        </is>
      </c>
      <c r="L2491" s="20" t="inlineStr">
        <is>
          <t>Santhosh Cars</t>
        </is>
      </c>
      <c r="M2491" s="23" t="n">
        <v>4237.29</v>
      </c>
    </row>
    <row r="2492">
      <c r="A2492" s="19" t="inlineStr">
        <is>
          <t>FY27</t>
        </is>
      </c>
      <c r="B2492" s="19" t="inlineStr">
        <is>
          <t>Jun</t>
        </is>
      </c>
      <c r="C2492" s="19" t="inlineStr">
        <is>
          <t>TN</t>
        </is>
      </c>
      <c r="D2492" s="20" t="inlineStr">
        <is>
          <t>TN02BQ4731</t>
        </is>
      </c>
      <c r="E2492" s="20" t="inlineStr">
        <is>
          <t>MAHINDRA</t>
        </is>
      </c>
      <c r="F2492" s="20" t="inlineStr">
        <is>
          <t>Xuv300</t>
        </is>
      </c>
      <c r="G2492" s="21" t="n">
        <v>2019</v>
      </c>
      <c r="H2492" s="22" t="n">
        <v>46297</v>
      </c>
      <c r="I2492" s="22" t="n">
        <v>400000</v>
      </c>
      <c r="J2492" s="20" t="inlineStr">
        <is>
          <t>AIE CARS PRIVATE LIMITED</t>
        </is>
      </c>
      <c r="K2492" s="20" t="inlineStr">
        <is>
          <t>Non-Captive</t>
        </is>
      </c>
      <c r="L2492" s="20" t="inlineStr">
        <is>
          <t>Santhosh Cars</t>
        </is>
      </c>
      <c r="M2492" s="23" t="n">
        <v>4237.29</v>
      </c>
    </row>
    <row r="2493">
      <c r="A2493" s="19" t="inlineStr">
        <is>
          <t>FY27</t>
        </is>
      </c>
      <c r="B2493" s="19" t="inlineStr">
        <is>
          <t>Jun</t>
        </is>
      </c>
      <c r="C2493" s="19" t="inlineStr">
        <is>
          <t>TN</t>
        </is>
      </c>
      <c r="D2493" s="20" t="inlineStr">
        <is>
          <t>TN19AS2527</t>
        </is>
      </c>
      <c r="E2493" s="20" t="inlineStr">
        <is>
          <t>MARUTI SUZUKI</t>
        </is>
      </c>
      <c r="F2493" s="20" t="inlineStr">
        <is>
          <t>Celerio</t>
        </is>
      </c>
      <c r="G2493" s="21" t="n">
        <v>2022</v>
      </c>
      <c r="H2493" s="22" t="n">
        <v>134202</v>
      </c>
      <c r="I2493" s="22" t="n">
        <v>400000</v>
      </c>
      <c r="J2493" s="20" t="inlineStr">
        <is>
          <t>AIE CARS PRIVATE LIMITED</t>
        </is>
      </c>
      <c r="K2493" s="20" t="inlineStr">
        <is>
          <t>Non-Captive</t>
        </is>
      </c>
      <c r="L2493" s="20" t="inlineStr">
        <is>
          <t>Santhosh Cars</t>
        </is>
      </c>
      <c r="M2493" s="23" t="n">
        <v>4237.29</v>
      </c>
    </row>
    <row r="2494">
      <c r="A2494" s="19" t="inlineStr">
        <is>
          <t>FY27</t>
        </is>
      </c>
      <c r="B2494" s="19" t="inlineStr">
        <is>
          <t>Jun</t>
        </is>
      </c>
      <c r="C2494" s="19" t="inlineStr">
        <is>
          <t>TN</t>
        </is>
      </c>
      <c r="D2494" s="20" t="inlineStr">
        <is>
          <t>TN07CB6662</t>
        </is>
      </c>
      <c r="E2494" s="20" t="inlineStr">
        <is>
          <t>HONDA</t>
        </is>
      </c>
      <c r="F2494" s="20" t="inlineStr">
        <is>
          <t>City</t>
        </is>
      </c>
      <c r="G2494" s="21" t="n">
        <v>2015</v>
      </c>
      <c r="H2494" s="22" t="n">
        <v>72202</v>
      </c>
      <c r="I2494" s="22" t="n">
        <v>480000</v>
      </c>
      <c r="J2494" s="20" t="inlineStr">
        <is>
          <t>PEEYESYEM HK MOTORS LLP</t>
        </is>
      </c>
      <c r="K2494" s="20" t="inlineStr">
        <is>
          <t>Non-Captive</t>
        </is>
      </c>
      <c r="L2494" s="20" t="inlineStr">
        <is>
          <t>Santhosh Cars</t>
        </is>
      </c>
      <c r="M2494" s="23" t="n">
        <v>4237.29</v>
      </c>
    </row>
    <row r="2495">
      <c r="A2495" s="19" t="inlineStr">
        <is>
          <t>FY27</t>
        </is>
      </c>
      <c r="B2495" s="19" t="inlineStr">
        <is>
          <t>Jun</t>
        </is>
      </c>
      <c r="C2495" s="19" t="inlineStr">
        <is>
          <t>TN</t>
        </is>
      </c>
      <c r="D2495" s="20" t="inlineStr">
        <is>
          <t>TN05BK0580</t>
        </is>
      </c>
      <c r="E2495" s="20" t="inlineStr">
        <is>
          <t>MARUTI SUZUKI</t>
        </is>
      </c>
      <c r="F2495" s="20" t="inlineStr">
        <is>
          <t>Swift</t>
        </is>
      </c>
      <c r="G2495" s="21" t="n">
        <v>2017</v>
      </c>
      <c r="H2495" s="22" t="n">
        <v>62249</v>
      </c>
      <c r="I2495" s="22" t="n">
        <v>300000</v>
      </c>
      <c r="J2495" s="20" t="inlineStr">
        <is>
          <t>Castel Traders Honda</t>
        </is>
      </c>
      <c r="K2495" s="20" t="inlineStr">
        <is>
          <t>Non-Captive</t>
        </is>
      </c>
      <c r="L2495" s="20" t="inlineStr">
        <is>
          <t>Thiya Cars</t>
        </is>
      </c>
      <c r="M2495" s="23" t="n">
        <v>5932.2</v>
      </c>
    </row>
    <row r="2496">
      <c r="A2496" s="19" t="inlineStr">
        <is>
          <t>FY27</t>
        </is>
      </c>
      <c r="B2496" s="19" t="inlineStr">
        <is>
          <t>Jun</t>
        </is>
      </c>
      <c r="C2496" s="19" t="inlineStr">
        <is>
          <t>TN</t>
        </is>
      </c>
      <c r="D2496" s="20" t="inlineStr">
        <is>
          <t>TN02BT5875</t>
        </is>
      </c>
      <c r="E2496" s="20" t="inlineStr">
        <is>
          <t>HYUNDAI</t>
        </is>
      </c>
      <c r="F2496" s="20" t="inlineStr">
        <is>
          <t>Venue</t>
        </is>
      </c>
      <c r="G2496" s="21" t="n">
        <v>2020</v>
      </c>
      <c r="H2496" s="22" t="n">
        <v>82143</v>
      </c>
      <c r="I2496" s="22" t="n">
        <v>580000</v>
      </c>
      <c r="J2496" s="20" t="inlineStr">
        <is>
          <t>Castel Traders Honda</t>
        </is>
      </c>
      <c r="K2496" s="20" t="inlineStr">
        <is>
          <t>Non-Captive</t>
        </is>
      </c>
      <c r="L2496" s="20" t="inlineStr">
        <is>
          <t>Car Hub</t>
        </is>
      </c>
      <c r="M2496" s="23" t="n">
        <v>4237.29</v>
      </c>
    </row>
    <row r="2497">
      <c r="A2497" s="19" t="inlineStr">
        <is>
          <t>FY27</t>
        </is>
      </c>
      <c r="B2497" s="19" t="inlineStr">
        <is>
          <t>Jun</t>
        </is>
      </c>
      <c r="C2497" s="19" t="inlineStr">
        <is>
          <t>TN</t>
        </is>
      </c>
      <c r="D2497" s="20" t="inlineStr">
        <is>
          <t>KL22Q8827</t>
        </is>
      </c>
      <c r="E2497" s="20" t="inlineStr">
        <is>
          <t>MARUTI SUZUKI</t>
        </is>
      </c>
      <c r="F2497" s="20" t="inlineStr">
        <is>
          <t>Breeza</t>
        </is>
      </c>
      <c r="G2497" s="21" t="n">
        <v>2018</v>
      </c>
      <c r="H2497" s="22" t="n">
        <v>34291</v>
      </c>
      <c r="I2497" s="22" t="n">
        <v>185000</v>
      </c>
      <c r="J2497" s="20" t="inlineStr">
        <is>
          <t>Trust N DRIVE</t>
        </is>
      </c>
      <c r="K2497" s="20" t="inlineStr">
        <is>
          <t>Non-Captive</t>
        </is>
      </c>
      <c r="L2497" s="20" t="inlineStr">
        <is>
          <t>Popular Kottayam</t>
        </is>
      </c>
      <c r="M2497" s="23" t="n">
        <v>5000</v>
      </c>
    </row>
    <row r="2498">
      <c r="A2498" s="19" t="inlineStr">
        <is>
          <t>FY27</t>
        </is>
      </c>
      <c r="B2498" s="19" t="inlineStr">
        <is>
          <t>Jun</t>
        </is>
      </c>
      <c r="C2498" s="19" t="inlineStr">
        <is>
          <t>TN</t>
        </is>
      </c>
      <c r="D2498" s="20" t="inlineStr">
        <is>
          <t>TN47AB4141</t>
        </is>
      </c>
      <c r="E2498" s="20" t="inlineStr">
        <is>
          <t>VOLKSWAGEN</t>
        </is>
      </c>
      <c r="F2498" s="20" t="inlineStr">
        <is>
          <t>Vento</t>
        </is>
      </c>
      <c r="G2498" s="21" t="n">
        <v>2012</v>
      </c>
      <c r="H2498" s="22" t="n">
        <v>203326</v>
      </c>
      <c r="I2498" s="22" t="n">
        <v>260000</v>
      </c>
      <c r="J2498" s="20" t="inlineStr">
        <is>
          <t>EXCHANGE ROTN</t>
        </is>
      </c>
      <c r="K2498" s="20" t="inlineStr">
        <is>
          <t>Captive</t>
        </is>
      </c>
      <c r="L2498" s="20" t="inlineStr"/>
      <c r="M2498" s="23" t="n">
        <v>8474.58</v>
      </c>
    </row>
    <row r="2499">
      <c r="A2499" s="19" t="inlineStr">
        <is>
          <t>FY27</t>
        </is>
      </c>
      <c r="B2499" s="19" t="inlineStr">
        <is>
          <t>Jun</t>
        </is>
      </c>
      <c r="C2499" s="19" t="inlineStr">
        <is>
          <t>TN</t>
        </is>
      </c>
      <c r="D2499" s="20" t="inlineStr">
        <is>
          <t>TN06U6079</t>
        </is>
      </c>
      <c r="E2499" s="20" t="inlineStr">
        <is>
          <t>MARUTI SUZUKI</t>
        </is>
      </c>
      <c r="F2499" s="20" t="inlineStr">
        <is>
          <t>Alto 800</t>
        </is>
      </c>
      <c r="G2499" s="21" t="n">
        <v>2017</v>
      </c>
      <c r="H2499" s="22" t="n">
        <v>30506</v>
      </c>
      <c r="I2499" s="22" t="n">
        <v>200000</v>
      </c>
      <c r="J2499" s="20" t="inlineStr">
        <is>
          <t>EXCHANGE CHENNAI</t>
        </is>
      </c>
      <c r="K2499" s="20" t="inlineStr">
        <is>
          <t>Captive</t>
        </is>
      </c>
      <c r="L2499" s="20" t="inlineStr"/>
      <c r="M2499" s="23" t="n">
        <v>4237.29</v>
      </c>
    </row>
    <row r="2500">
      <c r="A2500" s="19" t="inlineStr">
        <is>
          <t>FY27</t>
        </is>
      </c>
      <c r="B2500" s="19" t="inlineStr">
        <is>
          <t>Jun</t>
        </is>
      </c>
      <c r="C2500" s="19" t="inlineStr">
        <is>
          <t>TN</t>
        </is>
      </c>
      <c r="D2500" s="20" t="inlineStr">
        <is>
          <t>TN06A5778</t>
        </is>
      </c>
      <c r="E2500" s="20" t="inlineStr">
        <is>
          <t>HONDA</t>
        </is>
      </c>
      <c r="F2500" s="20" t="inlineStr">
        <is>
          <t>Jazz</t>
        </is>
      </c>
      <c r="G2500" s="21" t="n">
        <v>2009</v>
      </c>
      <c r="H2500" s="22" t="n">
        <v>97422</v>
      </c>
      <c r="I2500" s="22" t="n">
        <v>170000</v>
      </c>
      <c r="J2500" s="20" t="inlineStr">
        <is>
          <t>EXCHANGE CHENNAI</t>
        </is>
      </c>
      <c r="K2500" s="20" t="inlineStr">
        <is>
          <t>Captive</t>
        </is>
      </c>
      <c r="L2500" s="20" t="inlineStr"/>
      <c r="M2500" s="23" t="n">
        <v>8474.58</v>
      </c>
    </row>
    <row r="2501">
      <c r="A2501" s="19" t="inlineStr">
        <is>
          <t>FY27</t>
        </is>
      </c>
      <c r="B2501" s="19" t="inlineStr">
        <is>
          <t>Jun</t>
        </is>
      </c>
      <c r="C2501" s="19" t="inlineStr">
        <is>
          <t>TN</t>
        </is>
      </c>
      <c r="D2501" s="20" t="inlineStr">
        <is>
          <t>TN23AU7376</t>
        </is>
      </c>
      <c r="E2501" s="20" t="inlineStr">
        <is>
          <t>HYUNDAI</t>
        </is>
      </c>
      <c r="F2501" s="20" t="inlineStr">
        <is>
          <t>I10</t>
        </is>
      </c>
      <c r="G2501" s="21" t="n">
        <v>2008</v>
      </c>
      <c r="H2501" s="22" t="n">
        <v>124793</v>
      </c>
      <c r="I2501" s="22" t="n">
        <v>110000</v>
      </c>
      <c r="J2501" s="20" t="inlineStr">
        <is>
          <t>EXCHANGE CHENNAI</t>
        </is>
      </c>
      <c r="K2501" s="20" t="inlineStr">
        <is>
          <t>Captive</t>
        </is>
      </c>
      <c r="L2501" s="20" t="inlineStr"/>
      <c r="M2501" s="23" t="n">
        <v>4237.29</v>
      </c>
    </row>
    <row r="2502">
      <c r="A2502" s="19" t="inlineStr">
        <is>
          <t>FY27</t>
        </is>
      </c>
      <c r="B2502" s="19" t="inlineStr">
        <is>
          <t>Jun</t>
        </is>
      </c>
      <c r="C2502" s="19" t="inlineStr">
        <is>
          <t>TN</t>
        </is>
      </c>
      <c r="D2502" s="20" t="inlineStr">
        <is>
          <t>TN07BM1994</t>
        </is>
      </c>
      <c r="E2502" s="20" t="inlineStr">
        <is>
          <t>HONDA</t>
        </is>
      </c>
      <c r="F2502" s="20" t="inlineStr">
        <is>
          <t>City</t>
        </is>
      </c>
      <c r="G2502" s="21" t="n">
        <v>2011</v>
      </c>
      <c r="H2502" s="22" t="n">
        <v>97114</v>
      </c>
      <c r="I2502" s="22" t="n">
        <v>190000</v>
      </c>
      <c r="J2502" s="20" t="inlineStr">
        <is>
          <t>EXCHANGE CHENNAI</t>
        </is>
      </c>
      <c r="K2502" s="20" t="inlineStr">
        <is>
          <t>Captive</t>
        </is>
      </c>
      <c r="L2502" s="20" t="inlineStr"/>
      <c r="M2502" s="23" t="n">
        <v>8474.58</v>
      </c>
    </row>
    <row r="2503">
      <c r="A2503" s="19" t="inlineStr">
        <is>
          <t>FY27</t>
        </is>
      </c>
      <c r="B2503" s="19" t="inlineStr">
        <is>
          <t>Jun</t>
        </is>
      </c>
      <c r="C2503" s="19" t="inlineStr">
        <is>
          <t>TN</t>
        </is>
      </c>
      <c r="D2503" s="20" t="inlineStr">
        <is>
          <t>TN23CP2599</t>
        </is>
      </c>
      <c r="E2503" s="20" t="inlineStr">
        <is>
          <t>VOLKSWAGEN</t>
        </is>
      </c>
      <c r="F2503" s="20" t="inlineStr">
        <is>
          <t>Polo</t>
        </is>
      </c>
      <c r="G2503" s="21" t="n">
        <v>2019</v>
      </c>
      <c r="H2503" s="22" t="n">
        <v>102681</v>
      </c>
      <c r="I2503" s="22" t="n">
        <v>525000</v>
      </c>
      <c r="J2503" s="20" t="inlineStr">
        <is>
          <t>EXCHANGE CHENNAI</t>
        </is>
      </c>
      <c r="K2503" s="20" t="inlineStr">
        <is>
          <t>Captive</t>
        </is>
      </c>
      <c r="L2503" s="20" t="inlineStr"/>
      <c r="M2503" s="23" t="n">
        <v>8474.58</v>
      </c>
    </row>
    <row r="2504">
      <c r="A2504" s="19" t="inlineStr">
        <is>
          <t>FY27</t>
        </is>
      </c>
      <c r="B2504" s="19" t="inlineStr">
        <is>
          <t>Jun</t>
        </is>
      </c>
      <c r="C2504" s="19" t="inlineStr">
        <is>
          <t>TN</t>
        </is>
      </c>
      <c r="D2504" s="20" t="inlineStr">
        <is>
          <t>TN01AX2793</t>
        </is>
      </c>
      <c r="E2504" s="20" t="inlineStr">
        <is>
          <t>HONDA</t>
        </is>
      </c>
      <c r="F2504" s="20" t="inlineStr">
        <is>
          <t>Amaze</t>
        </is>
      </c>
      <c r="G2504" s="21" t="n">
        <v>2014</v>
      </c>
      <c r="H2504" s="22" t="n">
        <v>88712</v>
      </c>
      <c r="I2504" s="22" t="n">
        <v>300000</v>
      </c>
      <c r="J2504" s="20" t="inlineStr">
        <is>
          <t>EXCHANGE CHENNAI</t>
        </is>
      </c>
      <c r="K2504" s="20" t="inlineStr">
        <is>
          <t>Captive</t>
        </is>
      </c>
      <c r="L2504" s="20" t="inlineStr"/>
      <c r="M2504" s="23" t="n">
        <v>8474.58</v>
      </c>
    </row>
    <row r="2505">
      <c r="A2505" s="19" t="inlineStr">
        <is>
          <t>FY27</t>
        </is>
      </c>
      <c r="B2505" s="19" t="inlineStr">
        <is>
          <t>Jun</t>
        </is>
      </c>
      <c r="C2505" s="19" t="inlineStr">
        <is>
          <t>TN</t>
        </is>
      </c>
      <c r="D2505" s="20" t="inlineStr">
        <is>
          <t>TN04AW5353</t>
        </is>
      </c>
      <c r="E2505" s="20" t="inlineStr">
        <is>
          <t>VOLKSWAGEN</t>
        </is>
      </c>
      <c r="F2505" s="20" t="inlineStr">
        <is>
          <t>Polo</t>
        </is>
      </c>
      <c r="G2505" s="21" t="n">
        <v>2019</v>
      </c>
      <c r="H2505" s="22" t="n">
        <v>94123</v>
      </c>
      <c r="I2505" s="22" t="n">
        <v>475000</v>
      </c>
      <c r="J2505" s="20" t="inlineStr">
        <is>
          <t>EXCHANGE CHENNAI</t>
        </is>
      </c>
      <c r="K2505" s="20" t="inlineStr">
        <is>
          <t>Captive</t>
        </is>
      </c>
      <c r="L2505" s="20" t="inlineStr"/>
      <c r="M2505" s="23" t="n">
        <v>4237.29</v>
      </c>
    </row>
    <row r="2506">
      <c r="A2506" s="19" t="inlineStr">
        <is>
          <t>FY27</t>
        </is>
      </c>
      <c r="B2506" s="19" t="inlineStr">
        <is>
          <t>Jun</t>
        </is>
      </c>
      <c r="C2506" s="19" t="inlineStr">
        <is>
          <t>TN</t>
        </is>
      </c>
      <c r="D2506" s="20" t="inlineStr">
        <is>
          <t>TN34K8989</t>
        </is>
      </c>
      <c r="E2506" s="20" t="inlineStr">
        <is>
          <t>MAHINDRA</t>
        </is>
      </c>
      <c r="F2506" s="20" t="inlineStr">
        <is>
          <t>Scorpio</t>
        </is>
      </c>
      <c r="G2506" s="21" t="n">
        <v>2010</v>
      </c>
      <c r="H2506" s="22" t="n">
        <v>168504</v>
      </c>
      <c r="I2506" s="22" t="n">
        <v>475000</v>
      </c>
      <c r="J2506" s="20" t="inlineStr">
        <is>
          <t>EXCHANGE ROTN</t>
        </is>
      </c>
      <c r="K2506" s="20" t="inlineStr">
        <is>
          <t>Captive</t>
        </is>
      </c>
      <c r="L2506" s="20" t="inlineStr"/>
      <c r="M2506" s="23" t="n">
        <v>4237.29</v>
      </c>
    </row>
    <row r="2507">
      <c r="A2507" s="19" t="inlineStr">
        <is>
          <t>FY27</t>
        </is>
      </c>
      <c r="B2507" s="19" t="inlineStr">
        <is>
          <t>Jun</t>
        </is>
      </c>
      <c r="C2507" s="19" t="inlineStr">
        <is>
          <t>TN</t>
        </is>
      </c>
      <c r="D2507" s="20" t="inlineStr">
        <is>
          <t>TN38CM3988</t>
        </is>
      </c>
      <c r="E2507" s="20" t="inlineStr">
        <is>
          <t>DATSUN</t>
        </is>
      </c>
      <c r="F2507" s="20" t="inlineStr">
        <is>
          <t>Redi-Go</t>
        </is>
      </c>
      <c r="G2507" s="21" t="n">
        <v>2017</v>
      </c>
      <c r="H2507" s="22" t="n">
        <v>77848</v>
      </c>
      <c r="I2507" s="22" t="n">
        <v>200000</v>
      </c>
      <c r="J2507" s="20" t="inlineStr">
        <is>
          <t>EXCHANGE ROTN</t>
        </is>
      </c>
      <c r="K2507" s="20" t="inlineStr">
        <is>
          <t>Captive</t>
        </is>
      </c>
      <c r="L2507" s="20" t="inlineStr"/>
      <c r="M2507" s="23" t="n">
        <v>4237.29</v>
      </c>
    </row>
    <row r="2508">
      <c r="A2508" s="19" t="inlineStr">
        <is>
          <t>FY27</t>
        </is>
      </c>
      <c r="B2508" s="19" t="inlineStr">
        <is>
          <t>Jun</t>
        </is>
      </c>
      <c r="C2508" s="19" t="inlineStr">
        <is>
          <t>TN</t>
        </is>
      </c>
      <c r="D2508" s="20" t="inlineStr">
        <is>
          <t>TN66S5716</t>
        </is>
      </c>
      <c r="E2508" s="20" t="inlineStr">
        <is>
          <t>HONDA</t>
        </is>
      </c>
      <c r="F2508" s="20" t="inlineStr">
        <is>
          <t>City</t>
        </is>
      </c>
      <c r="G2508" s="21" t="n">
        <v>2016</v>
      </c>
      <c r="H2508" s="22" t="n">
        <v>190744</v>
      </c>
      <c r="I2508" s="22" t="n">
        <v>375000</v>
      </c>
      <c r="J2508" s="20" t="inlineStr">
        <is>
          <t>EXCHANGE ROTN</t>
        </is>
      </c>
      <c r="K2508" s="20" t="inlineStr">
        <is>
          <t>Captive</t>
        </is>
      </c>
      <c r="L2508" s="20" t="inlineStr"/>
      <c r="M2508" s="23" t="n">
        <v>8474.58</v>
      </c>
    </row>
    <row r="2509">
      <c r="A2509" s="19" t="inlineStr">
        <is>
          <t>FY27</t>
        </is>
      </c>
      <c r="B2509" s="19" t="inlineStr">
        <is>
          <t>Jun</t>
        </is>
      </c>
      <c r="C2509" s="19" t="inlineStr">
        <is>
          <t>TN</t>
        </is>
      </c>
      <c r="D2509" s="20" t="inlineStr">
        <is>
          <t>TN30AL3069</t>
        </is>
      </c>
      <c r="E2509" s="20" t="inlineStr">
        <is>
          <t>TATA</t>
        </is>
      </c>
      <c r="F2509" s="20" t="inlineStr">
        <is>
          <t>Indigo</t>
        </is>
      </c>
      <c r="G2509" s="21" t="n">
        <v>2011</v>
      </c>
      <c r="H2509" s="22" t="n">
        <v>146841</v>
      </c>
      <c r="I2509" s="22" t="n">
        <v>145000</v>
      </c>
      <c r="J2509" s="20" t="inlineStr">
        <is>
          <t>EXCHANGE ROTN</t>
        </is>
      </c>
      <c r="K2509" s="20" t="inlineStr">
        <is>
          <t>Captive</t>
        </is>
      </c>
      <c r="L2509" s="20" t="inlineStr"/>
      <c r="M2509" s="23" t="n">
        <v>4237.29</v>
      </c>
    </row>
    <row r="2510">
      <c r="A2510" s="19" t="inlineStr">
        <is>
          <t>FY27</t>
        </is>
      </c>
      <c r="B2510" s="19" t="inlineStr">
        <is>
          <t>Jun</t>
        </is>
      </c>
      <c r="C2510" s="19" t="inlineStr">
        <is>
          <t>TN</t>
        </is>
      </c>
      <c r="D2510" s="20" t="inlineStr">
        <is>
          <t>TN30AB2265</t>
        </is>
      </c>
      <c r="E2510" s="20" t="inlineStr">
        <is>
          <t>TATA</t>
        </is>
      </c>
      <c r="F2510" s="20" t="inlineStr">
        <is>
          <t>Indica</t>
        </is>
      </c>
      <c r="G2510" s="21" t="n">
        <v>2007</v>
      </c>
      <c r="H2510" s="22" t="n">
        <v>159605</v>
      </c>
      <c r="I2510" s="22" t="n">
        <v>30000</v>
      </c>
      <c r="J2510" s="20" t="inlineStr">
        <is>
          <t>EXCHANGE ROTN</t>
        </is>
      </c>
      <c r="K2510" s="20" t="inlineStr">
        <is>
          <t>Captive</t>
        </is>
      </c>
      <c r="L2510" s="20" t="inlineStr"/>
      <c r="M2510" s="23" t="n">
        <v>4237.29</v>
      </c>
    </row>
    <row r="2511">
      <c r="A2511" s="19" t="inlineStr">
        <is>
          <t>FY27</t>
        </is>
      </c>
      <c r="B2511" s="19" t="inlineStr">
        <is>
          <t>Jun</t>
        </is>
      </c>
      <c r="C2511" s="19" t="inlineStr">
        <is>
          <t>TN</t>
        </is>
      </c>
      <c r="D2511" s="20" t="inlineStr">
        <is>
          <t>TN06B1563</t>
        </is>
      </c>
      <c r="E2511" s="20" t="inlineStr">
        <is>
          <t>TATA</t>
        </is>
      </c>
      <c r="F2511" s="20" t="inlineStr">
        <is>
          <t>Indica</t>
        </is>
      </c>
      <c r="G2511" s="21" t="n">
        <v>2010</v>
      </c>
      <c r="H2511" s="22" t="n">
        <v>149407</v>
      </c>
      <c r="I2511" s="22" t="n">
        <v>30000</v>
      </c>
      <c r="J2511" s="20" t="inlineStr">
        <is>
          <t>EXCHANGE ROTN</t>
        </is>
      </c>
      <c r="K2511" s="20" t="inlineStr">
        <is>
          <t>Captive</t>
        </is>
      </c>
      <c r="L2511" s="20" t="inlineStr"/>
      <c r="M2511" s="23" t="n">
        <v>4237.29</v>
      </c>
    </row>
    <row r="2512">
      <c r="A2512" s="19" t="inlineStr">
        <is>
          <t>FY27</t>
        </is>
      </c>
      <c r="B2512" s="19" t="inlineStr">
        <is>
          <t>Jun</t>
        </is>
      </c>
      <c r="C2512" s="19" t="inlineStr">
        <is>
          <t>TN</t>
        </is>
      </c>
      <c r="D2512" s="20" t="inlineStr">
        <is>
          <t>TN45BB6176</t>
        </is>
      </c>
      <c r="E2512" s="20" t="inlineStr">
        <is>
          <t>HYUNDAI</t>
        </is>
      </c>
      <c r="F2512" s="20" t="inlineStr">
        <is>
          <t>I10</t>
        </is>
      </c>
      <c r="G2512" s="21" t="n">
        <v>2012</v>
      </c>
      <c r="H2512" s="22" t="n">
        <v>55005</v>
      </c>
      <c r="I2512" s="22" t="n">
        <v>247000</v>
      </c>
      <c r="J2512" s="20" t="inlineStr">
        <is>
          <t>EXCHANGE ROTN</t>
        </is>
      </c>
      <c r="K2512" s="20" t="inlineStr">
        <is>
          <t>Captive</t>
        </is>
      </c>
      <c r="L2512" s="20" t="inlineStr"/>
      <c r="M2512" s="23" t="n">
        <v>4237.29</v>
      </c>
    </row>
    <row r="2513">
      <c r="A2513" s="19" t="inlineStr">
        <is>
          <t>FY27</t>
        </is>
      </c>
      <c r="B2513" s="19" t="inlineStr">
        <is>
          <t>Jun</t>
        </is>
      </c>
      <c r="C2513" s="19" t="inlineStr">
        <is>
          <t>TN</t>
        </is>
      </c>
      <c r="D2513" s="20" t="inlineStr">
        <is>
          <t>TN56M5346</t>
        </is>
      </c>
      <c r="E2513" s="20" t="inlineStr">
        <is>
          <t>FORD</t>
        </is>
      </c>
      <c r="F2513" s="20" t="inlineStr">
        <is>
          <t>Figo</t>
        </is>
      </c>
      <c r="G2513" s="21" t="n">
        <v>2019</v>
      </c>
      <c r="H2513" s="22" t="n">
        <v>181691</v>
      </c>
      <c r="I2513" s="22" t="n">
        <v>300000</v>
      </c>
      <c r="J2513" s="20" t="inlineStr">
        <is>
          <t>EXCHANGE ROTN</t>
        </is>
      </c>
      <c r="K2513" s="20" t="inlineStr">
        <is>
          <t>Captive</t>
        </is>
      </c>
      <c r="L2513" s="20" t="inlineStr"/>
      <c r="M2513" s="23" t="n">
        <v>8474.58</v>
      </c>
    </row>
    <row r="2514">
      <c r="A2514" s="19" t="inlineStr">
        <is>
          <t>FY27</t>
        </is>
      </c>
      <c r="B2514" s="19" t="inlineStr">
        <is>
          <t>Jun</t>
        </is>
      </c>
      <c r="C2514" s="19" t="inlineStr">
        <is>
          <t>TN</t>
        </is>
      </c>
      <c r="D2514" s="20" t="inlineStr">
        <is>
          <t>TN66B2641</t>
        </is>
      </c>
      <c r="E2514" s="20" t="inlineStr">
        <is>
          <t>MARUTI SUZUKI</t>
        </is>
      </c>
      <c r="F2514" s="20" t="inlineStr">
        <is>
          <t>Swift</t>
        </is>
      </c>
      <c r="G2514" s="21" t="n">
        <v>2010</v>
      </c>
      <c r="H2514" s="22" t="n">
        <v>110869</v>
      </c>
      <c r="I2514" s="22" t="n">
        <v>98000</v>
      </c>
      <c r="J2514" s="20" t="inlineStr">
        <is>
          <t>EXCHANGE ROTN</t>
        </is>
      </c>
      <c r="K2514" s="20" t="inlineStr">
        <is>
          <t>Captive</t>
        </is>
      </c>
      <c r="L2514" s="20" t="inlineStr"/>
      <c r="M2514" s="23" t="n">
        <v>4237.29</v>
      </c>
    </row>
    <row r="2515">
      <c r="A2515" s="19" t="inlineStr">
        <is>
          <t>FY27</t>
        </is>
      </c>
      <c r="B2515" s="19" t="inlineStr">
        <is>
          <t>Jun</t>
        </is>
      </c>
      <c r="C2515" s="19" t="inlineStr">
        <is>
          <t>TN</t>
        </is>
      </c>
      <c r="D2515" s="20" t="inlineStr">
        <is>
          <t>TN38AY5940</t>
        </is>
      </c>
      <c r="E2515" s="20" t="inlineStr">
        <is>
          <t>MARUTI SUZUKI</t>
        </is>
      </c>
      <c r="F2515" s="20" t="inlineStr">
        <is>
          <t>Alto</t>
        </is>
      </c>
      <c r="G2515" s="21" t="n">
        <v>2009</v>
      </c>
      <c r="H2515" s="22" t="n">
        <v>198918</v>
      </c>
      <c r="I2515" s="22" t="n">
        <v>86000</v>
      </c>
      <c r="J2515" s="20" t="inlineStr">
        <is>
          <t>EXCHANGE ROTN</t>
        </is>
      </c>
      <c r="K2515" s="20" t="inlineStr">
        <is>
          <t>Captive</t>
        </is>
      </c>
      <c r="L2515" s="20" t="inlineStr"/>
      <c r="M2515" s="23" t="n">
        <v>4237.29</v>
      </c>
    </row>
    <row r="2516">
      <c r="A2516" s="19" t="inlineStr">
        <is>
          <t>FY27</t>
        </is>
      </c>
      <c r="B2516" s="19" t="inlineStr">
        <is>
          <t>Jun</t>
        </is>
      </c>
      <c r="C2516" s="19" t="inlineStr">
        <is>
          <t>TN</t>
        </is>
      </c>
      <c r="D2516" s="20" t="inlineStr">
        <is>
          <t>TN01AQ1778</t>
        </is>
      </c>
      <c r="E2516" s="20" t="inlineStr">
        <is>
          <t>HYUNDAI</t>
        </is>
      </c>
      <c r="F2516" s="20" t="inlineStr">
        <is>
          <t>I10</t>
        </is>
      </c>
      <c r="G2516" s="21" t="n">
        <v>2011</v>
      </c>
      <c r="H2516" s="22" t="n">
        <v>89034</v>
      </c>
      <c r="I2516" s="22" t="n">
        <v>130000</v>
      </c>
      <c r="J2516" s="20" t="inlineStr">
        <is>
          <t>EXCHANGE CHENNAI</t>
        </is>
      </c>
      <c r="K2516" s="20" t="inlineStr">
        <is>
          <t>Captive</t>
        </is>
      </c>
      <c r="L2516" s="20" t="inlineStr"/>
      <c r="M2516" s="23" t="n">
        <v>4237.29</v>
      </c>
    </row>
    <row r="2517">
      <c r="A2517" s="19" t="inlineStr">
        <is>
          <t>FY27</t>
        </is>
      </c>
      <c r="B2517" s="19" t="inlineStr">
        <is>
          <t>Jun</t>
        </is>
      </c>
      <c r="C2517" s="19" t="inlineStr">
        <is>
          <t>TN</t>
        </is>
      </c>
      <c r="D2517" s="20" t="inlineStr">
        <is>
          <t>TN07BZ6937</t>
        </is>
      </c>
      <c r="E2517" s="20" t="inlineStr">
        <is>
          <t>MARUTI SUZUKI</t>
        </is>
      </c>
      <c r="F2517" s="20" t="inlineStr">
        <is>
          <t>Swift</t>
        </is>
      </c>
      <c r="G2517" s="21" t="n">
        <v>2008</v>
      </c>
      <c r="H2517" s="22" t="n">
        <v>171207</v>
      </c>
      <c r="I2517" s="22" t="n">
        <v>120000</v>
      </c>
      <c r="J2517" s="20" t="inlineStr">
        <is>
          <t>EXCHANGE CHENNAI</t>
        </is>
      </c>
      <c r="K2517" s="20" t="inlineStr">
        <is>
          <t>Captive</t>
        </is>
      </c>
      <c r="L2517" s="20" t="inlineStr"/>
      <c r="M2517" s="23" t="n">
        <v>4237.29</v>
      </c>
    </row>
    <row r="2518">
      <c r="A2518" s="19" t="inlineStr">
        <is>
          <t>FY27</t>
        </is>
      </c>
      <c r="B2518" s="19" t="inlineStr">
        <is>
          <t>Jun</t>
        </is>
      </c>
      <c r="C2518" s="19" t="inlineStr">
        <is>
          <t>TN</t>
        </is>
      </c>
      <c r="D2518" s="20" t="inlineStr">
        <is>
          <t>TN04AZ2536</t>
        </is>
      </c>
      <c r="E2518" s="20" t="inlineStr">
        <is>
          <t>HONDA</t>
        </is>
      </c>
      <c r="F2518" s="20" t="inlineStr">
        <is>
          <t>Amaze</t>
        </is>
      </c>
      <c r="G2518" s="21" t="n">
        <v>2021</v>
      </c>
      <c r="H2518" s="22" t="n">
        <v>30158</v>
      </c>
      <c r="I2518" s="22" t="n">
        <v>550000</v>
      </c>
      <c r="J2518" s="20" t="inlineStr">
        <is>
          <t>EXCHANGE CHENNAI</t>
        </is>
      </c>
      <c r="K2518" s="20" t="inlineStr">
        <is>
          <t>Captive</t>
        </is>
      </c>
      <c r="L2518" s="20" t="inlineStr"/>
      <c r="M2518" s="23" t="n">
        <v>8474.58</v>
      </c>
    </row>
    <row r="2519">
      <c r="A2519" s="19" t="inlineStr">
        <is>
          <t>FY27</t>
        </is>
      </c>
      <c r="B2519" s="19" t="inlineStr">
        <is>
          <t>Jun</t>
        </is>
      </c>
      <c r="C2519" s="19" t="inlineStr">
        <is>
          <t>TN</t>
        </is>
      </c>
      <c r="D2519" s="20" t="inlineStr">
        <is>
          <t>TN09CL8895</t>
        </is>
      </c>
      <c r="E2519" s="20" t="inlineStr">
        <is>
          <t>HONDA</t>
        </is>
      </c>
      <c r="F2519" s="20" t="inlineStr">
        <is>
          <t>Jazz</t>
        </is>
      </c>
      <c r="G2519" s="21" t="n">
        <v>2018</v>
      </c>
      <c r="H2519" s="22" t="n">
        <v>97411</v>
      </c>
      <c r="I2519" s="22" t="n">
        <v>400000</v>
      </c>
      <c r="J2519" s="20" t="inlineStr">
        <is>
          <t>EXCHANGE CHENNAI</t>
        </is>
      </c>
      <c r="K2519" s="20" t="inlineStr">
        <is>
          <t>Captive</t>
        </is>
      </c>
      <c r="L2519" s="20" t="inlineStr"/>
      <c r="M2519" s="23" t="n">
        <v>8474.58</v>
      </c>
    </row>
    <row r="2520">
      <c r="A2520" s="19" t="inlineStr">
        <is>
          <t>FY27</t>
        </is>
      </c>
      <c r="B2520" s="19" t="inlineStr">
        <is>
          <t>Jun</t>
        </is>
      </c>
      <c r="C2520" s="19" t="inlineStr">
        <is>
          <t>TN</t>
        </is>
      </c>
      <c r="D2520" s="20" t="inlineStr">
        <is>
          <t>TN19AL5196</t>
        </is>
      </c>
      <c r="E2520" s="20" t="inlineStr">
        <is>
          <t>DATSUN</t>
        </is>
      </c>
      <c r="F2520" s="20" t="inlineStr">
        <is>
          <t>Redi-Go</t>
        </is>
      </c>
      <c r="G2520" s="21" t="n">
        <v>2018</v>
      </c>
      <c r="H2520" s="22" t="n">
        <v>50337</v>
      </c>
      <c r="I2520" s="22" t="n">
        <v>130000</v>
      </c>
      <c r="J2520" s="20" t="inlineStr">
        <is>
          <t>EXCHANGE CHENNAI</t>
        </is>
      </c>
      <c r="K2520" s="20" t="inlineStr">
        <is>
          <t>Captive</t>
        </is>
      </c>
      <c r="L2520" s="20" t="inlineStr"/>
      <c r="M2520" s="23" t="n">
        <v>4237.29</v>
      </c>
    </row>
    <row r="2521">
      <c r="A2521" s="19" t="inlineStr">
        <is>
          <t>FY27</t>
        </is>
      </c>
      <c r="B2521" s="19" t="inlineStr">
        <is>
          <t>Jun</t>
        </is>
      </c>
      <c r="C2521" s="19" t="inlineStr">
        <is>
          <t>TN</t>
        </is>
      </c>
      <c r="D2521" s="20" t="inlineStr">
        <is>
          <t>TN04AC2679</t>
        </is>
      </c>
      <c r="E2521" s="20" t="inlineStr">
        <is>
          <t>HYUNDAI</t>
        </is>
      </c>
      <c r="F2521" s="20" t="inlineStr">
        <is>
          <t>I10</t>
        </is>
      </c>
      <c r="G2521" s="21" t="n">
        <v>2008</v>
      </c>
      <c r="H2521" s="22" t="n">
        <v>100782</v>
      </c>
      <c r="I2521" s="22" t="n">
        <v>110000</v>
      </c>
      <c r="J2521" s="20" t="inlineStr">
        <is>
          <t>EXCHANGE ROTN</t>
        </is>
      </c>
      <c r="K2521" s="20" t="inlineStr">
        <is>
          <t>Captive</t>
        </is>
      </c>
      <c r="L2521" s="20" t="inlineStr"/>
      <c r="M2521" s="23" t="n">
        <v>4237.29</v>
      </c>
    </row>
    <row r="2522">
      <c r="A2522" s="19" t="inlineStr">
        <is>
          <t>FY27</t>
        </is>
      </c>
      <c r="B2522" s="19" t="inlineStr">
        <is>
          <t>Jun</t>
        </is>
      </c>
      <c r="C2522" s="19" t="inlineStr">
        <is>
          <t>TN</t>
        </is>
      </c>
      <c r="D2522" s="20" t="inlineStr">
        <is>
          <t>TN66F9164</t>
        </is>
      </c>
      <c r="E2522" s="20" t="inlineStr">
        <is>
          <t>FORD</t>
        </is>
      </c>
      <c r="F2522" s="20" t="inlineStr">
        <is>
          <t>Figo</t>
        </is>
      </c>
      <c r="G2522" s="21" t="n">
        <v>2012</v>
      </c>
      <c r="H2522" s="22" t="n">
        <v>176931</v>
      </c>
      <c r="I2522" s="22" t="n">
        <v>135000</v>
      </c>
      <c r="J2522" s="20" t="inlineStr">
        <is>
          <t>EXCHANGE ROTN</t>
        </is>
      </c>
      <c r="K2522" s="20" t="inlineStr">
        <is>
          <t>Captive</t>
        </is>
      </c>
      <c r="L2522" s="20" t="inlineStr"/>
      <c r="M2522" s="23" t="n">
        <v>4237.29</v>
      </c>
    </row>
    <row r="2523">
      <c r="A2523" s="19" t="inlineStr">
        <is>
          <t>FY27</t>
        </is>
      </c>
      <c r="B2523" s="19" t="inlineStr">
        <is>
          <t>Jun</t>
        </is>
      </c>
      <c r="C2523" s="19" t="inlineStr">
        <is>
          <t>TN</t>
        </is>
      </c>
      <c r="D2523" s="20" t="inlineStr">
        <is>
          <t>TN47AD6572</t>
        </is>
      </c>
      <c r="E2523" s="20" t="inlineStr">
        <is>
          <t>HONDA</t>
        </is>
      </c>
      <c r="F2523" s="20" t="inlineStr">
        <is>
          <t>City</t>
        </is>
      </c>
      <c r="G2523" s="21" t="n">
        <v>2013</v>
      </c>
      <c r="H2523" s="22" t="n">
        <v>177823</v>
      </c>
      <c r="I2523" s="22" t="n">
        <v>310000</v>
      </c>
      <c r="J2523" s="20" t="inlineStr">
        <is>
          <t>EXCHANGE ROTN</t>
        </is>
      </c>
      <c r="K2523" s="20" t="inlineStr">
        <is>
          <t>Captive</t>
        </is>
      </c>
      <c r="L2523" s="20" t="inlineStr"/>
      <c r="M2523" s="23" t="n">
        <v>4237.29</v>
      </c>
    </row>
    <row r="2524">
      <c r="A2524" s="19" t="inlineStr">
        <is>
          <t>FY27</t>
        </is>
      </c>
      <c r="B2524" s="19" t="inlineStr">
        <is>
          <t>Jun</t>
        </is>
      </c>
      <c r="C2524" s="19" t="inlineStr">
        <is>
          <t>TN</t>
        </is>
      </c>
      <c r="D2524" s="20" t="inlineStr">
        <is>
          <t>TN07BS9642</t>
        </is>
      </c>
      <c r="E2524" s="20" t="inlineStr">
        <is>
          <t>HYUNDAI</t>
        </is>
      </c>
      <c r="F2524" s="20" t="inlineStr">
        <is>
          <t>Eon</t>
        </is>
      </c>
      <c r="G2524" s="21" t="n">
        <v>2012</v>
      </c>
      <c r="H2524" s="22" t="n">
        <v>162263</v>
      </c>
      <c r="I2524" s="22" t="n">
        <v>135000</v>
      </c>
      <c r="J2524" s="20" t="inlineStr">
        <is>
          <t>EXCHANGE ROTN</t>
        </is>
      </c>
      <c r="K2524" s="20" t="inlineStr">
        <is>
          <t>Captive</t>
        </is>
      </c>
      <c r="L2524" s="20" t="inlineStr"/>
      <c r="M2524" s="23" t="n">
        <v>4237.29</v>
      </c>
    </row>
    <row r="2525">
      <c r="A2525" s="19" t="inlineStr">
        <is>
          <t>FY27</t>
        </is>
      </c>
      <c r="B2525" s="19" t="inlineStr">
        <is>
          <t>Jun</t>
        </is>
      </c>
      <c r="C2525" s="19" t="inlineStr">
        <is>
          <t>TN</t>
        </is>
      </c>
      <c r="D2525" s="20" t="inlineStr">
        <is>
          <t>TN33BA8595</t>
        </is>
      </c>
      <c r="E2525" s="20" t="inlineStr">
        <is>
          <t>FORD</t>
        </is>
      </c>
      <c r="F2525" s="20" t="inlineStr">
        <is>
          <t>Figo</t>
        </is>
      </c>
      <c r="G2525" s="21" t="n">
        <v>2012</v>
      </c>
      <c r="H2525" s="22" t="n">
        <v>110054</v>
      </c>
      <c r="I2525" s="22" t="n">
        <v>165000</v>
      </c>
      <c r="J2525" s="20" t="inlineStr">
        <is>
          <t>EXCHANGE ROTN</t>
        </is>
      </c>
      <c r="K2525" s="20" t="inlineStr">
        <is>
          <t>Captive</t>
        </is>
      </c>
      <c r="L2525" s="20" t="inlineStr"/>
      <c r="M2525" s="23" t="n">
        <v>4237.29</v>
      </c>
    </row>
    <row r="2526">
      <c r="A2526" s="19" t="inlineStr">
        <is>
          <t>FY27</t>
        </is>
      </c>
      <c r="B2526" s="19" t="inlineStr">
        <is>
          <t>Jun</t>
        </is>
      </c>
      <c r="C2526" s="19" t="inlineStr">
        <is>
          <t>TN</t>
        </is>
      </c>
      <c r="D2526" s="20" t="inlineStr">
        <is>
          <t>TN20BX1111</t>
        </is>
      </c>
      <c r="E2526" s="20" t="inlineStr">
        <is>
          <t>MARUTI SUZUKI</t>
        </is>
      </c>
      <c r="F2526" s="20" t="inlineStr">
        <is>
          <t>Sx4</t>
        </is>
      </c>
      <c r="G2526" s="21" t="n">
        <v>2008</v>
      </c>
      <c r="H2526" s="22" t="n">
        <v>108128</v>
      </c>
      <c r="I2526" s="22" t="n">
        <v>150000</v>
      </c>
      <c r="J2526" s="20" t="inlineStr">
        <is>
          <t>EXCHANGE ROTN</t>
        </is>
      </c>
      <c r="K2526" s="20" t="inlineStr">
        <is>
          <t>Captive</t>
        </is>
      </c>
      <c r="L2526" s="20" t="inlineStr"/>
      <c r="M2526" s="23" t="n">
        <v>4237.29</v>
      </c>
    </row>
    <row r="2527">
      <c r="A2527" s="19" t="inlineStr">
        <is>
          <t>FY27</t>
        </is>
      </c>
      <c r="B2527" s="19" t="inlineStr">
        <is>
          <t>Jun</t>
        </is>
      </c>
      <c r="C2527" s="19" t="inlineStr">
        <is>
          <t>TN</t>
        </is>
      </c>
      <c r="D2527" s="20" t="inlineStr">
        <is>
          <t>TN09CQ3595</t>
        </is>
      </c>
      <c r="E2527" s="20" t="inlineStr">
        <is>
          <t>HONDA</t>
        </is>
      </c>
      <c r="F2527" s="20" t="inlineStr">
        <is>
          <t>Wr-V</t>
        </is>
      </c>
      <c r="G2527" s="21" t="n">
        <v>2018</v>
      </c>
      <c r="H2527" s="22" t="n">
        <v>59547</v>
      </c>
      <c r="I2527" s="22" t="n">
        <v>440000</v>
      </c>
      <c r="J2527" s="20" t="inlineStr">
        <is>
          <t>EXCHANGE ROTN</t>
        </is>
      </c>
      <c r="K2527" s="20" t="inlineStr">
        <is>
          <t>Captive</t>
        </is>
      </c>
      <c r="L2527" s="20" t="inlineStr"/>
      <c r="M2527" s="23" t="n">
        <v>8474.58</v>
      </c>
    </row>
    <row r="2528">
      <c r="A2528" s="19" t="inlineStr">
        <is>
          <t>FY27</t>
        </is>
      </c>
      <c r="B2528" s="19" t="inlineStr">
        <is>
          <t>Jun</t>
        </is>
      </c>
      <c r="C2528" s="19" t="inlineStr">
        <is>
          <t>TN</t>
        </is>
      </c>
      <c r="D2528" s="20" t="inlineStr">
        <is>
          <t>TN55BA3434</t>
        </is>
      </c>
      <c r="E2528" s="20" t="inlineStr">
        <is>
          <t>HONDA</t>
        </is>
      </c>
      <c r="F2528" s="20" t="inlineStr">
        <is>
          <t>City</t>
        </is>
      </c>
      <c r="G2528" s="21" t="n">
        <v>2017</v>
      </c>
      <c r="H2528" s="22" t="n">
        <v>91493</v>
      </c>
      <c r="I2528" s="22" t="n">
        <v>470000</v>
      </c>
      <c r="J2528" s="20" t="inlineStr">
        <is>
          <t>EXCHANGE ROTN</t>
        </is>
      </c>
      <c r="K2528" s="20" t="inlineStr">
        <is>
          <t>Captive</t>
        </is>
      </c>
      <c r="L2528" s="20" t="inlineStr"/>
      <c r="M2528" s="23" t="n">
        <v>8474.58</v>
      </c>
    </row>
    <row r="2529">
      <c r="A2529" s="19" t="inlineStr">
        <is>
          <t>FY27</t>
        </is>
      </c>
      <c r="B2529" s="19" t="inlineStr">
        <is>
          <t>Jun</t>
        </is>
      </c>
      <c r="C2529" s="19" t="inlineStr">
        <is>
          <t>TN</t>
        </is>
      </c>
      <c r="D2529" s="20" t="inlineStr">
        <is>
          <t>TN33Q9995</t>
        </is>
      </c>
      <c r="E2529" s="20" t="inlineStr">
        <is>
          <t>FIAT</t>
        </is>
      </c>
      <c r="F2529" s="20" t="inlineStr">
        <is>
          <t>Palio</t>
        </is>
      </c>
      <c r="G2529" s="21" t="n">
        <v>2002</v>
      </c>
      <c r="H2529" s="22" t="n">
        <v>88747</v>
      </c>
      <c r="I2529" s="22" t="n">
        <v>30000</v>
      </c>
      <c r="J2529" s="20" t="inlineStr">
        <is>
          <t>EXCHANGE ROTN</t>
        </is>
      </c>
      <c r="K2529" s="20" t="inlineStr">
        <is>
          <t>Captive</t>
        </is>
      </c>
      <c r="L2529" s="20" t="inlineStr"/>
      <c r="M2529" s="23" t="n">
        <v>4237.29</v>
      </c>
    </row>
    <row r="2530">
      <c r="A2530" s="19" t="inlineStr">
        <is>
          <t>FY27</t>
        </is>
      </c>
      <c r="B2530" s="19" t="inlineStr">
        <is>
          <t>Jun</t>
        </is>
      </c>
      <c r="C2530" s="19" t="inlineStr">
        <is>
          <t>TN</t>
        </is>
      </c>
      <c r="D2530" s="20" t="inlineStr">
        <is>
          <t>TN18T2548</t>
        </is>
      </c>
      <c r="E2530" s="20" t="inlineStr">
        <is>
          <t>HYUNDAI</t>
        </is>
      </c>
      <c r="F2530" s="20" t="inlineStr">
        <is>
          <t>I20</t>
        </is>
      </c>
      <c r="G2530" s="21" t="n">
        <v>2013</v>
      </c>
      <c r="H2530" s="22" t="n">
        <v>113639</v>
      </c>
      <c r="I2530" s="22" t="n">
        <v>100000</v>
      </c>
      <c r="J2530" s="20" t="inlineStr">
        <is>
          <t>SGA MOTORS INDIA PRIVATE LIMITED</t>
        </is>
      </c>
      <c r="K2530" s="20" t="inlineStr">
        <is>
          <t>Non-Captive</t>
        </is>
      </c>
      <c r="L2530" s="20" t="inlineStr"/>
      <c r="M2530" s="23" t="n">
        <v>4237.29</v>
      </c>
    </row>
    <row r="2531">
      <c r="A2531" s="19" t="inlineStr">
        <is>
          <t>FY27</t>
        </is>
      </c>
      <c r="B2531" s="19" t="inlineStr">
        <is>
          <t>Jun</t>
        </is>
      </c>
      <c r="C2531" s="19" t="inlineStr">
        <is>
          <t>TN</t>
        </is>
      </c>
      <c r="D2531" s="20" t="inlineStr">
        <is>
          <t>TN11W2856</t>
        </is>
      </c>
      <c r="E2531" s="20" t="inlineStr">
        <is>
          <t>RENAULT</t>
        </is>
      </c>
      <c r="F2531" s="20" t="inlineStr">
        <is>
          <t>Duster</t>
        </is>
      </c>
      <c r="G2531" s="21" t="n">
        <v>2013</v>
      </c>
      <c r="H2531" s="22" t="n">
        <v>103347</v>
      </c>
      <c r="I2531" s="22" t="n">
        <v>250000</v>
      </c>
      <c r="J2531" s="20" t="inlineStr">
        <is>
          <t>EXCHANGE ROTN</t>
        </is>
      </c>
      <c r="K2531" s="20" t="inlineStr">
        <is>
          <t>Captive</t>
        </is>
      </c>
      <c r="L2531" s="20" t="inlineStr"/>
      <c r="M2531" s="23" t="n">
        <v>8474.58</v>
      </c>
    </row>
    <row r="2532">
      <c r="A2532" s="19" t="inlineStr">
        <is>
          <t>FY27</t>
        </is>
      </c>
      <c r="B2532" s="19" t="inlineStr">
        <is>
          <t>Jun</t>
        </is>
      </c>
      <c r="C2532" s="19" t="inlineStr">
        <is>
          <t>TN</t>
        </is>
      </c>
      <c r="D2532" s="20" t="inlineStr">
        <is>
          <t>TN45BD7007</t>
        </is>
      </c>
      <c r="E2532" s="20" t="inlineStr">
        <is>
          <t>HONDA</t>
        </is>
      </c>
      <c r="F2532" s="20" t="inlineStr">
        <is>
          <t>Brio</t>
        </is>
      </c>
      <c r="G2532" s="21" t="n">
        <v>2013</v>
      </c>
      <c r="H2532" s="22" t="n">
        <v>130275</v>
      </c>
      <c r="I2532" s="22" t="n">
        <v>200000</v>
      </c>
      <c r="J2532" s="20" t="inlineStr">
        <is>
          <t>EXCHANGE ROTN</t>
        </is>
      </c>
      <c r="K2532" s="20" t="inlineStr">
        <is>
          <t>Captive</t>
        </is>
      </c>
      <c r="L2532" s="20" t="inlineStr"/>
      <c r="M2532" s="23" t="n">
        <v>4237.29</v>
      </c>
    </row>
    <row r="2533">
      <c r="A2533" s="19" t="inlineStr">
        <is>
          <t>FY27</t>
        </is>
      </c>
      <c r="B2533" s="19" t="inlineStr">
        <is>
          <t>Jun</t>
        </is>
      </c>
      <c r="C2533" s="19" t="inlineStr">
        <is>
          <t>TN</t>
        </is>
      </c>
      <c r="D2533" s="20" t="inlineStr">
        <is>
          <t>TN39BA2298</t>
        </is>
      </c>
      <c r="E2533" s="20" t="inlineStr">
        <is>
          <t>HYUNDAI</t>
        </is>
      </c>
      <c r="F2533" s="20" t="inlineStr">
        <is>
          <t>I10</t>
        </is>
      </c>
      <c r="G2533" s="21" t="n">
        <v>2010</v>
      </c>
      <c r="H2533" s="22" t="n">
        <v>130752</v>
      </c>
      <c r="I2533" s="22" t="n">
        <v>93000</v>
      </c>
      <c r="J2533" s="20" t="inlineStr">
        <is>
          <t>SREE SARADHAMBAL AUTOMOBILES PRIVATE LIMITED</t>
        </is>
      </c>
      <c r="K2533" s="20" t="inlineStr">
        <is>
          <t>Non-Captive</t>
        </is>
      </c>
      <c r="L2533" s="20" t="inlineStr"/>
      <c r="M2533" s="23" t="n">
        <v>4237.29</v>
      </c>
    </row>
    <row r="2534">
      <c r="A2534" s="19" t="inlineStr">
        <is>
          <t>FY27</t>
        </is>
      </c>
      <c r="B2534" s="19" t="inlineStr">
        <is>
          <t>Jun</t>
        </is>
      </c>
      <c r="C2534" s="19" t="inlineStr">
        <is>
          <t>TN</t>
        </is>
      </c>
      <c r="D2534" s="20" t="inlineStr">
        <is>
          <t>TN34K0823</t>
        </is>
      </c>
      <c r="E2534" s="20" t="inlineStr">
        <is>
          <t>MARUTI SUZUKI</t>
        </is>
      </c>
      <c r="F2534" s="20" t="inlineStr">
        <is>
          <t>Zen Estilo</t>
        </is>
      </c>
      <c r="G2534" s="21" t="n">
        <v>2009</v>
      </c>
      <c r="H2534" s="22" t="n">
        <v>237903</v>
      </c>
      <c r="I2534" s="22" t="n">
        <v>45000</v>
      </c>
      <c r="J2534" s="20" t="inlineStr">
        <is>
          <t>SREE SARADHAMBAL AUTOMOBILES PRIVATE LIMITED</t>
        </is>
      </c>
      <c r="K2534" s="20" t="inlineStr">
        <is>
          <t>Non-Captive</t>
        </is>
      </c>
      <c r="L2534" s="20" t="inlineStr"/>
      <c r="M2534" s="23" t="n">
        <v>4237.29</v>
      </c>
    </row>
    <row r="2535">
      <c r="A2535" s="19" t="inlineStr">
        <is>
          <t>FY27</t>
        </is>
      </c>
      <c r="B2535" s="19" t="inlineStr">
        <is>
          <t>Jun</t>
        </is>
      </c>
      <c r="C2535" s="19" t="inlineStr">
        <is>
          <t>TN</t>
        </is>
      </c>
      <c r="D2535" s="20" t="inlineStr">
        <is>
          <t>TN36F2459</t>
        </is>
      </c>
      <c r="E2535" s="20" t="inlineStr">
        <is>
          <t>MARUTI SUZUKI</t>
        </is>
      </c>
      <c r="F2535" s="20" t="inlineStr">
        <is>
          <t>Alto 800</t>
        </is>
      </c>
      <c r="G2535" s="21" t="n">
        <v>2003</v>
      </c>
      <c r="H2535" s="22" t="n">
        <v>80177</v>
      </c>
      <c r="I2535" s="22" t="n">
        <v>35000</v>
      </c>
      <c r="J2535" s="20" t="inlineStr">
        <is>
          <t>TAFE ACCESS LIMITED</t>
        </is>
      </c>
      <c r="K2535" s="20" t="inlineStr">
        <is>
          <t>Non-Captive</t>
        </is>
      </c>
      <c r="L2535" s="20" t="inlineStr"/>
      <c r="M2535" s="23" t="n">
        <v>4237.29</v>
      </c>
    </row>
    <row r="2536">
      <c r="A2536" s="19" t="inlineStr">
        <is>
          <t>FY27</t>
        </is>
      </c>
      <c r="B2536" s="19" t="inlineStr">
        <is>
          <t>Jun</t>
        </is>
      </c>
      <c r="C2536" s="19" t="inlineStr">
        <is>
          <t>TN</t>
        </is>
      </c>
      <c r="D2536" s="20" t="inlineStr">
        <is>
          <t>TN43A5231</t>
        </is>
      </c>
      <c r="E2536" s="20" t="inlineStr">
        <is>
          <t>TATA</t>
        </is>
      </c>
      <c r="F2536" s="20" t="inlineStr">
        <is>
          <t>Indica</t>
        </is>
      </c>
      <c r="G2536" s="21" t="n">
        <v>2002</v>
      </c>
      <c r="H2536" s="22" t="n">
        <v>17421</v>
      </c>
      <c r="I2536" s="22" t="n">
        <v>54000</v>
      </c>
      <c r="J2536" s="20" t="inlineStr">
        <is>
          <t>LOTUS HYUNDAI (TEJAS CARS PRIVATE LIMITED)</t>
        </is>
      </c>
      <c r="K2536" s="20" t="inlineStr">
        <is>
          <t>Non-Captive</t>
        </is>
      </c>
      <c r="L2536" s="20" t="inlineStr"/>
      <c r="M2536" s="23" t="n">
        <v>4237.29</v>
      </c>
    </row>
    <row r="2537">
      <c r="A2537" s="19" t="inlineStr">
        <is>
          <t>FY27</t>
        </is>
      </c>
      <c r="B2537" s="19" t="inlineStr">
        <is>
          <t>Jun</t>
        </is>
      </c>
      <c r="C2537" s="19" t="inlineStr">
        <is>
          <t>TN</t>
        </is>
      </c>
      <c r="D2537" s="20" t="inlineStr">
        <is>
          <t>TN07CA4081</t>
        </is>
      </c>
      <c r="E2537" s="20" t="inlineStr">
        <is>
          <t>MARUTI SUZUKI</t>
        </is>
      </c>
      <c r="F2537" s="20" t="inlineStr">
        <is>
          <t>Swift</t>
        </is>
      </c>
      <c r="G2537" s="21" t="n">
        <v>2014</v>
      </c>
      <c r="H2537" s="22" t="n">
        <v>89303</v>
      </c>
      <c r="I2537" s="22" t="n">
        <v>385000</v>
      </c>
      <c r="J2537" s="20" t="inlineStr">
        <is>
          <t>EXCHANGE CHENNAI</t>
        </is>
      </c>
      <c r="K2537" s="20" t="inlineStr">
        <is>
          <t>Captive</t>
        </is>
      </c>
      <c r="L2537" s="20" t="inlineStr"/>
      <c r="M2537" s="23" t="n">
        <v>8474.58</v>
      </c>
    </row>
    <row r="2538">
      <c r="A2538" s="19" t="inlineStr">
        <is>
          <t>FY27</t>
        </is>
      </c>
      <c r="B2538" s="19" t="inlineStr">
        <is>
          <t>Jun</t>
        </is>
      </c>
      <c r="C2538" s="19" t="inlineStr">
        <is>
          <t>TN</t>
        </is>
      </c>
      <c r="D2538" s="20" t="inlineStr">
        <is>
          <t>TN99B7502</t>
        </is>
      </c>
      <c r="E2538" s="20" t="inlineStr">
        <is>
          <t>MARUTI SUZUKI</t>
        </is>
      </c>
      <c r="F2538" s="20" t="inlineStr">
        <is>
          <t>Alto</t>
        </is>
      </c>
      <c r="G2538" s="21" t="n">
        <v>2009</v>
      </c>
      <c r="H2538" s="22" t="n">
        <v>61675</v>
      </c>
      <c r="I2538" s="22" t="n">
        <v>340000</v>
      </c>
      <c r="J2538" s="20" t="inlineStr">
        <is>
          <t>EXCHANGE ROTN</t>
        </is>
      </c>
      <c r="K2538" s="20" t="inlineStr">
        <is>
          <t>Captive</t>
        </is>
      </c>
      <c r="L2538" s="20" t="inlineStr"/>
      <c r="M2538" s="23" t="n">
        <v>8474.58</v>
      </c>
    </row>
    <row r="2539">
      <c r="A2539" s="19" t="inlineStr">
        <is>
          <t>FY27</t>
        </is>
      </c>
      <c r="B2539" s="19" t="inlineStr">
        <is>
          <t>Jun</t>
        </is>
      </c>
      <c r="C2539" s="19" t="inlineStr">
        <is>
          <t>TN</t>
        </is>
      </c>
      <c r="D2539" s="20" t="inlineStr">
        <is>
          <t>TN50F2243</t>
        </is>
      </c>
      <c r="E2539" s="20" t="inlineStr">
        <is>
          <t>MARUTI SUZUKI</t>
        </is>
      </c>
      <c r="F2539" s="20" t="inlineStr">
        <is>
          <t>Alto</t>
        </is>
      </c>
      <c r="G2539" s="21" t="n">
        <v>2008</v>
      </c>
      <c r="H2539" s="22" t="n">
        <v>162474</v>
      </c>
      <c r="I2539" s="22" t="n">
        <v>80000</v>
      </c>
      <c r="J2539" s="20" t="inlineStr">
        <is>
          <t>TAFE ACCESS LIMITED</t>
        </is>
      </c>
      <c r="K2539" s="20" t="inlineStr">
        <is>
          <t>Non-Captive</t>
        </is>
      </c>
      <c r="L2539" s="20" t="inlineStr"/>
      <c r="M2539" s="23" t="n">
        <v>4237.29</v>
      </c>
    </row>
    <row r="2540">
      <c r="A2540" s="19" t="inlineStr">
        <is>
          <t>FY27</t>
        </is>
      </c>
      <c r="B2540" s="19" t="inlineStr">
        <is>
          <t>Jun</t>
        </is>
      </c>
      <c r="C2540" s="19" t="inlineStr">
        <is>
          <t>TN</t>
        </is>
      </c>
      <c r="D2540" s="20" t="inlineStr">
        <is>
          <t>TN33AP7367</t>
        </is>
      </c>
      <c r="E2540" s="20" t="inlineStr">
        <is>
          <t>TATA</t>
        </is>
      </c>
      <c r="F2540" s="20" t="inlineStr">
        <is>
          <t>Indica</t>
        </is>
      </c>
      <c r="G2540" s="21" t="n">
        <v>2009</v>
      </c>
      <c r="H2540" s="22" t="n">
        <v>186970</v>
      </c>
      <c r="I2540" s="22" t="n">
        <v>67000</v>
      </c>
      <c r="J2540" s="20" t="inlineStr">
        <is>
          <t>LOTUS HYUNDAI (TEJAS CARS PRIVATE LIMITED)</t>
        </is>
      </c>
      <c r="K2540" s="20" t="inlineStr">
        <is>
          <t>Non-Captive</t>
        </is>
      </c>
      <c r="L2540" s="20" t="inlineStr"/>
      <c r="M2540" s="23" t="n">
        <v>4237.29</v>
      </c>
    </row>
    <row r="2541">
      <c r="A2541" s="19" t="inlineStr">
        <is>
          <t>FY27</t>
        </is>
      </c>
      <c r="B2541" s="19" t="inlineStr">
        <is>
          <t>Jun</t>
        </is>
      </c>
      <c r="C2541" s="19" t="inlineStr">
        <is>
          <t>TN</t>
        </is>
      </c>
      <c r="D2541" s="20" t="inlineStr">
        <is>
          <t>TN30AL4521</t>
        </is>
      </c>
      <c r="E2541" s="20" t="inlineStr">
        <is>
          <t>MARUTI SUZUKI</t>
        </is>
      </c>
      <c r="F2541" s="20" t="inlineStr">
        <is>
          <t>Alto</t>
        </is>
      </c>
      <c r="G2541" s="21" t="n">
        <v>2011</v>
      </c>
      <c r="H2541" s="22" t="n">
        <v>156306</v>
      </c>
      <c r="I2541" s="22" t="n">
        <v>75000</v>
      </c>
      <c r="J2541" s="20" t="inlineStr">
        <is>
          <t>SGA MOTORS INDIA PRIVATE LIMITED</t>
        </is>
      </c>
      <c r="K2541" s="20" t="inlineStr">
        <is>
          <t>Non-Captive</t>
        </is>
      </c>
      <c r="L2541" s="20" t="inlineStr"/>
      <c r="M2541" s="23" t="n">
        <v>4237.29</v>
      </c>
    </row>
    <row r="2542">
      <c r="A2542" s="19" t="inlineStr">
        <is>
          <t>FY27</t>
        </is>
      </c>
      <c r="B2542" s="19" t="inlineStr">
        <is>
          <t>Jun</t>
        </is>
      </c>
      <c r="C2542" s="19" t="inlineStr">
        <is>
          <t>TN</t>
        </is>
      </c>
      <c r="D2542" s="20" t="inlineStr">
        <is>
          <t>TN30AX5919</t>
        </is>
      </c>
      <c r="E2542" s="20" t="inlineStr">
        <is>
          <t>TATA</t>
        </is>
      </c>
      <c r="F2542" s="20" t="inlineStr">
        <is>
          <t>Indica</t>
        </is>
      </c>
      <c r="G2542" s="21" t="n">
        <v>2011</v>
      </c>
      <c r="H2542" s="22" t="n">
        <v>289815</v>
      </c>
      <c r="I2542" s="22" t="n">
        <v>40000</v>
      </c>
      <c r="J2542" s="20" t="inlineStr">
        <is>
          <t>SGA MOTORS INDIA PRIVATE LIMITED</t>
        </is>
      </c>
      <c r="K2542" s="20" t="inlineStr">
        <is>
          <t>Non-Captive</t>
        </is>
      </c>
      <c r="L2542" s="20" t="inlineStr"/>
      <c r="M2542" s="23" t="n">
        <v>4237.29</v>
      </c>
    </row>
    <row r="2543">
      <c r="A2543" s="19" t="inlineStr">
        <is>
          <t>FY27</t>
        </is>
      </c>
      <c r="B2543" s="19" t="inlineStr">
        <is>
          <t>Jun</t>
        </is>
      </c>
      <c r="C2543" s="19" t="inlineStr">
        <is>
          <t>TN</t>
        </is>
      </c>
      <c r="D2543" s="20" t="inlineStr">
        <is>
          <t>TN09AH3699</t>
        </is>
      </c>
      <c r="E2543" s="20" t="inlineStr">
        <is>
          <t>MARUTI SUZUKI</t>
        </is>
      </c>
      <c r="F2543" s="20" t="inlineStr">
        <is>
          <t>Alto</t>
        </is>
      </c>
      <c r="G2543" s="21" t="n">
        <v>2004</v>
      </c>
      <c r="H2543" s="22" t="n">
        <v>156306</v>
      </c>
      <c r="I2543" s="22" t="n">
        <v>70000</v>
      </c>
      <c r="J2543" s="20" t="inlineStr">
        <is>
          <t>SGA MOTORS INDIA PRIVATE LIMITED</t>
        </is>
      </c>
      <c r="K2543" s="20" t="inlineStr">
        <is>
          <t>Non-Captive</t>
        </is>
      </c>
      <c r="L2543" s="20" t="inlineStr"/>
      <c r="M2543" s="23" t="n">
        <v>4237.29</v>
      </c>
    </row>
    <row r="2544">
      <c r="A2544" s="19" t="inlineStr">
        <is>
          <t>FY27</t>
        </is>
      </c>
      <c r="B2544" s="19" t="inlineStr">
        <is>
          <t>Jun</t>
        </is>
      </c>
      <c r="C2544" s="19" t="inlineStr">
        <is>
          <t>TN</t>
        </is>
      </c>
      <c r="D2544" s="20" t="inlineStr">
        <is>
          <t>TN54D4959</t>
        </is>
      </c>
      <c r="E2544" s="20" t="inlineStr">
        <is>
          <t>CHEVROLET</t>
        </is>
      </c>
      <c r="F2544" s="20" t="inlineStr">
        <is>
          <t>Spark</t>
        </is>
      </c>
      <c r="G2544" s="21" t="n">
        <v>2011</v>
      </c>
      <c r="H2544" s="22" t="n">
        <v>68191</v>
      </c>
      <c r="I2544" s="22" t="n">
        <v>30000</v>
      </c>
      <c r="J2544" s="20" t="inlineStr">
        <is>
          <t>SM CARS</t>
        </is>
      </c>
      <c r="K2544" s="20" t="inlineStr">
        <is>
          <t>Non-Captive</t>
        </is>
      </c>
      <c r="L2544" s="20" t="inlineStr"/>
      <c r="M2544" s="23" t="n">
        <v>4237.29</v>
      </c>
    </row>
    <row r="2545">
      <c r="A2545" s="19" t="inlineStr">
        <is>
          <t>FY27</t>
        </is>
      </c>
      <c r="B2545" s="19" t="inlineStr">
        <is>
          <t>Jun</t>
        </is>
      </c>
      <c r="C2545" s="19" t="inlineStr">
        <is>
          <t>TN</t>
        </is>
      </c>
      <c r="D2545" s="20" t="inlineStr">
        <is>
          <t>TN37CU0167</t>
        </is>
      </c>
      <c r="E2545" s="20" t="inlineStr">
        <is>
          <t>HONDA</t>
        </is>
      </c>
      <c r="F2545" s="20" t="inlineStr">
        <is>
          <t>Brio</t>
        </is>
      </c>
      <c r="G2545" s="21" t="n">
        <v>2016</v>
      </c>
      <c r="H2545" s="22" t="n">
        <v>102924</v>
      </c>
      <c r="I2545" s="22" t="n">
        <v>280000</v>
      </c>
      <c r="J2545" s="20" t="inlineStr">
        <is>
          <t>EXCHANGE ROTN</t>
        </is>
      </c>
      <c r="K2545" s="20" t="inlineStr">
        <is>
          <t>Captive</t>
        </is>
      </c>
      <c r="L2545" s="20" t="inlineStr"/>
      <c r="M2545" s="23" t="n">
        <v>8474.58</v>
      </c>
    </row>
    <row r="2546">
      <c r="A2546" s="19" t="inlineStr">
        <is>
          <t>FY27</t>
        </is>
      </c>
      <c r="B2546" s="19" t="inlineStr">
        <is>
          <t>Jun</t>
        </is>
      </c>
      <c r="C2546" s="19" t="inlineStr">
        <is>
          <t>TN</t>
        </is>
      </c>
      <c r="D2546" s="20" t="inlineStr">
        <is>
          <t>TN99Q9894</t>
        </is>
      </c>
      <c r="E2546" s="20" t="inlineStr">
        <is>
          <t>SKODA</t>
        </is>
      </c>
      <c r="F2546" s="20" t="inlineStr">
        <is>
          <t>Rapid</t>
        </is>
      </c>
      <c r="G2546" s="21" t="n">
        <v>2019</v>
      </c>
      <c r="H2546" s="22" t="n">
        <v>108129</v>
      </c>
      <c r="I2546" s="22" t="n">
        <v>575000</v>
      </c>
      <c r="J2546" s="20" t="inlineStr">
        <is>
          <t>N R GARAGE</t>
        </is>
      </c>
      <c r="K2546" s="20" t="inlineStr">
        <is>
          <t>Non-Captive</t>
        </is>
      </c>
      <c r="L2546" s="20" t="inlineStr"/>
      <c r="M2546" s="23" t="n">
        <v>4237.29</v>
      </c>
    </row>
    <row r="2547">
      <c r="A2547" s="19" t="inlineStr">
        <is>
          <t>FY27</t>
        </is>
      </c>
      <c r="B2547" s="19" t="inlineStr">
        <is>
          <t>Jun</t>
        </is>
      </c>
      <c r="C2547" s="19" t="inlineStr">
        <is>
          <t>TN</t>
        </is>
      </c>
      <c r="D2547" s="20" t="inlineStr">
        <is>
          <t>TN67BM4978</t>
        </is>
      </c>
      <c r="E2547" s="20" t="inlineStr">
        <is>
          <t>RENAULT</t>
        </is>
      </c>
      <c r="F2547" s="20" t="inlineStr">
        <is>
          <t>Triber</t>
        </is>
      </c>
      <c r="G2547" s="21" t="n">
        <v>2021</v>
      </c>
      <c r="H2547" s="22" t="n">
        <v>65728</v>
      </c>
      <c r="I2547" s="22" t="n">
        <v>450000</v>
      </c>
      <c r="J2547" s="20" t="inlineStr">
        <is>
          <t>EXCHANGE ROTN</t>
        </is>
      </c>
      <c r="K2547" s="20" t="inlineStr">
        <is>
          <t>Captive</t>
        </is>
      </c>
      <c r="L2547" s="20" t="inlineStr"/>
      <c r="M2547" s="23" t="n">
        <v>8474.58</v>
      </c>
    </row>
    <row r="2548">
      <c r="A2548" s="19" t="inlineStr">
        <is>
          <t>FY27</t>
        </is>
      </c>
      <c r="B2548" s="19" t="inlineStr">
        <is>
          <t>Jun</t>
        </is>
      </c>
      <c r="C2548" s="19" t="inlineStr">
        <is>
          <t>Kerala</t>
        </is>
      </c>
      <c r="D2548" s="20" t="inlineStr">
        <is>
          <t>KL13AP2737</t>
        </is>
      </c>
      <c r="E2548" s="20" t="inlineStr">
        <is>
          <t>MARUTI SUZUKI</t>
        </is>
      </c>
      <c r="F2548" s="20" t="inlineStr">
        <is>
          <t>Breeza</t>
        </is>
      </c>
      <c r="G2548" s="21" t="n">
        <v>2019</v>
      </c>
      <c r="H2548" s="22" t="n">
        <v>160000</v>
      </c>
      <c r="I2548" s="22" t="n">
        <v>410000</v>
      </c>
      <c r="J2548" s="20" t="inlineStr">
        <is>
          <t>POPULAR MARUTI</t>
        </is>
      </c>
      <c r="K2548" s="20" t="inlineStr">
        <is>
          <t>Non-Captive</t>
        </is>
      </c>
      <c r="L2548" s="20" t="inlineStr">
        <is>
          <t>HASNA</t>
        </is>
      </c>
      <c r="M2548" s="23" t="n">
        <v>8474.58</v>
      </c>
    </row>
    <row r="2549">
      <c r="A2549" s="19" t="inlineStr">
        <is>
          <t>FY27</t>
        </is>
      </c>
      <c r="B2549" s="19" t="inlineStr">
        <is>
          <t>Jun</t>
        </is>
      </c>
      <c r="C2549" s="19" t="inlineStr">
        <is>
          <t>Kerala</t>
        </is>
      </c>
      <c r="D2549" s="20" t="inlineStr">
        <is>
          <t>KL01BF3550</t>
        </is>
      </c>
      <c r="E2549" s="20" t="inlineStr">
        <is>
          <t>MARUTI SUZUKI</t>
        </is>
      </c>
      <c r="F2549" s="20" t="inlineStr">
        <is>
          <t>Wagon R</t>
        </is>
      </c>
      <c r="G2549" s="21" t="n">
        <v>2012</v>
      </c>
      <c r="H2549" s="22" t="n">
        <v>145400</v>
      </c>
      <c r="I2549" s="22" t="n">
        <v>120000</v>
      </c>
      <c r="J2549" s="20" t="inlineStr">
        <is>
          <t>POPULAR MARUTI</t>
        </is>
      </c>
      <c r="K2549" s="20" t="inlineStr">
        <is>
          <t>Non-Captive</t>
        </is>
      </c>
      <c r="L2549" s="20" t="inlineStr">
        <is>
          <t>PRAJOD</t>
        </is>
      </c>
      <c r="M2549" s="23" t="n">
        <v>12711.86</v>
      </c>
    </row>
    <row r="2550">
      <c r="A2550" s="19" t="inlineStr">
        <is>
          <t>FY27</t>
        </is>
      </c>
      <c r="B2550" s="19" t="inlineStr">
        <is>
          <t>Jun</t>
        </is>
      </c>
      <c r="C2550" s="19" t="inlineStr">
        <is>
          <t>Kerala</t>
        </is>
      </c>
      <c r="D2550" s="20" t="inlineStr">
        <is>
          <t>KL03AF1626</t>
        </is>
      </c>
      <c r="E2550" s="20" t="inlineStr">
        <is>
          <t>MARUTI SUZUKI</t>
        </is>
      </c>
      <c r="F2550" s="20" t="inlineStr">
        <is>
          <t>Wagon R</t>
        </is>
      </c>
      <c r="G2550" s="21" t="n">
        <v>2020</v>
      </c>
      <c r="H2550" s="22" t="n">
        <v>170768</v>
      </c>
      <c r="I2550" s="22" t="n">
        <v>300000</v>
      </c>
      <c r="J2550" s="20" t="inlineStr">
        <is>
          <t>POPULAR MARUTI</t>
        </is>
      </c>
      <c r="K2550" s="20" t="inlineStr">
        <is>
          <t>Non-Captive</t>
        </is>
      </c>
      <c r="L2550" s="20" t="inlineStr">
        <is>
          <t>MUHAMMAD SHAJI</t>
        </is>
      </c>
      <c r="M2550" s="23" t="n">
        <v>12711.86</v>
      </c>
    </row>
    <row r="2551">
      <c r="A2551" s="19" t="inlineStr">
        <is>
          <t>FY27</t>
        </is>
      </c>
      <c r="B2551" s="19" t="inlineStr">
        <is>
          <t>Jun</t>
        </is>
      </c>
      <c r="C2551" s="19" t="inlineStr">
        <is>
          <t>Kerala</t>
        </is>
      </c>
      <c r="D2551" s="20" t="inlineStr">
        <is>
          <t>KL580716</t>
        </is>
      </c>
      <c r="E2551" s="20" t="inlineStr">
        <is>
          <t>MARUTI SUZUKI</t>
        </is>
      </c>
      <c r="F2551" s="20" t="inlineStr">
        <is>
          <t>M800</t>
        </is>
      </c>
      <c r="G2551" s="21" t="n">
        <v>2006</v>
      </c>
      <c r="H2551" s="22" t="n">
        <v>126536</v>
      </c>
      <c r="I2551" s="22" t="n">
        <v>16000</v>
      </c>
      <c r="J2551" s="20" t="inlineStr">
        <is>
          <t>POPULAR MARUTI</t>
        </is>
      </c>
      <c r="K2551" s="20" t="inlineStr">
        <is>
          <t>Non-Captive</t>
        </is>
      </c>
      <c r="L2551" s="20" t="inlineStr">
        <is>
          <t>ANAS VH</t>
        </is>
      </c>
      <c r="M2551" s="23" t="n">
        <v>4237.29</v>
      </c>
    </row>
    <row r="2552">
      <c r="A2552" s="19" t="inlineStr">
        <is>
          <t>FY27</t>
        </is>
      </c>
      <c r="B2552" s="19" t="inlineStr">
        <is>
          <t>Jun</t>
        </is>
      </c>
      <c r="C2552" s="19" t="inlineStr">
        <is>
          <t>Kerala</t>
        </is>
      </c>
      <c r="D2552" s="20" t="inlineStr">
        <is>
          <t>KL05AC8627</t>
        </is>
      </c>
      <c r="E2552" s="20" t="inlineStr">
        <is>
          <t>MARUTI SUZUKI</t>
        </is>
      </c>
      <c r="F2552" s="20" t="inlineStr">
        <is>
          <t>Alto</t>
        </is>
      </c>
      <c r="G2552" s="21" t="n">
        <v>2011</v>
      </c>
      <c r="H2552" s="22" t="n">
        <v>100276</v>
      </c>
      <c r="I2552" s="22" t="n">
        <v>51500</v>
      </c>
      <c r="J2552" s="20" t="inlineStr">
        <is>
          <t>POPULAR MARUTI</t>
        </is>
      </c>
      <c r="K2552" s="20" t="inlineStr">
        <is>
          <t>Non-Captive</t>
        </is>
      </c>
      <c r="L2552" s="20" t="inlineStr">
        <is>
          <t>ANAS VH</t>
        </is>
      </c>
      <c r="M2552" s="23" t="n">
        <v>9745.76</v>
      </c>
    </row>
    <row r="2553">
      <c r="A2553" s="19" t="inlineStr">
        <is>
          <t>FY27</t>
        </is>
      </c>
      <c r="B2553" s="19" t="inlineStr">
        <is>
          <t>Jun</t>
        </is>
      </c>
      <c r="C2553" s="19" t="inlineStr">
        <is>
          <t>Kerala</t>
        </is>
      </c>
      <c r="D2553" s="20" t="inlineStr">
        <is>
          <t>KL46C5856</t>
        </is>
      </c>
      <c r="E2553" s="20" t="inlineStr">
        <is>
          <t>HYUNDAI</t>
        </is>
      </c>
      <c r="F2553" s="20" t="inlineStr">
        <is>
          <t>I20</t>
        </is>
      </c>
      <c r="G2553" s="21" t="n">
        <v>2010</v>
      </c>
      <c r="H2553" s="22" t="n">
        <v>132000</v>
      </c>
      <c r="I2553" s="22" t="n">
        <v>114000</v>
      </c>
      <c r="J2553" s="20" t="inlineStr">
        <is>
          <t>POPULAR MARUTI</t>
        </is>
      </c>
      <c r="K2553" s="20" t="inlineStr">
        <is>
          <t>Non-Captive</t>
        </is>
      </c>
      <c r="L2553" s="20" t="inlineStr">
        <is>
          <t>DEAMS CARS-ARNOLD</t>
        </is>
      </c>
      <c r="M2553" s="23" t="n">
        <v>8474.58</v>
      </c>
    </row>
    <row r="2554">
      <c r="A2554" s="19" t="inlineStr">
        <is>
          <t>FY27</t>
        </is>
      </c>
      <c r="B2554" s="19" t="inlineStr">
        <is>
          <t>Jun</t>
        </is>
      </c>
      <c r="C2554" s="19" t="inlineStr">
        <is>
          <t>Kerala</t>
        </is>
      </c>
      <c r="D2554" s="20" t="inlineStr">
        <is>
          <t>KL08AC8323</t>
        </is>
      </c>
      <c r="E2554" s="20" t="inlineStr">
        <is>
          <t>MARUTI SUZUKI</t>
        </is>
      </c>
      <c r="F2554" s="20" t="inlineStr">
        <is>
          <t>Alto 800</t>
        </is>
      </c>
      <c r="G2554" s="21" t="n">
        <v>2005</v>
      </c>
      <c r="H2554" s="22" t="n">
        <v>48814</v>
      </c>
      <c r="I2554" s="22" t="n">
        <v>51000</v>
      </c>
      <c r="J2554" s="20" t="inlineStr">
        <is>
          <t>POPULAR MARUTI</t>
        </is>
      </c>
      <c r="K2554" s="20" t="inlineStr">
        <is>
          <t>Non-Captive</t>
        </is>
      </c>
      <c r="L2554" s="20" t="inlineStr">
        <is>
          <t>DEAMS CARS-ARNOLD</t>
        </is>
      </c>
      <c r="M2554" s="23" t="n">
        <v>8474.58</v>
      </c>
    </row>
    <row r="2555">
      <c r="A2555" s="19" t="inlineStr">
        <is>
          <t>FY27</t>
        </is>
      </c>
      <c r="B2555" s="19" t="inlineStr">
        <is>
          <t>Jun</t>
        </is>
      </c>
      <c r="C2555" s="19" t="inlineStr">
        <is>
          <t>Kerala</t>
        </is>
      </c>
      <c r="D2555" s="20" t="inlineStr">
        <is>
          <t>KL39A5739</t>
        </is>
      </c>
      <c r="E2555" s="20" t="inlineStr">
        <is>
          <t>HYUNDAI</t>
        </is>
      </c>
      <c r="F2555" s="20" t="inlineStr">
        <is>
          <t>Santro</t>
        </is>
      </c>
      <c r="G2555" s="21" t="n">
        <v>2008</v>
      </c>
      <c r="H2555" s="22" t="n">
        <v>57000</v>
      </c>
      <c r="I2555" s="22" t="n">
        <v>65000</v>
      </c>
      <c r="J2555" s="20" t="inlineStr">
        <is>
          <t>POPULAR MARUTI</t>
        </is>
      </c>
      <c r="K2555" s="20" t="inlineStr">
        <is>
          <t>Non-Captive</t>
        </is>
      </c>
      <c r="L2555" s="20" t="inlineStr">
        <is>
          <t>PRAVEEN KUMAR</t>
        </is>
      </c>
      <c r="M2555" s="23" t="n">
        <v>12711.86</v>
      </c>
    </row>
    <row r="2556">
      <c r="A2556" s="19" t="inlineStr">
        <is>
          <t>FY27</t>
        </is>
      </c>
      <c r="B2556" s="19" t="inlineStr">
        <is>
          <t>Jun</t>
        </is>
      </c>
      <c r="C2556" s="19" t="inlineStr">
        <is>
          <t>Kerala</t>
        </is>
      </c>
      <c r="D2556" s="20" t="inlineStr">
        <is>
          <t>KL07U3009</t>
        </is>
      </c>
      <c r="E2556" s="20" t="inlineStr">
        <is>
          <t>MARUTI SUZUKI</t>
        </is>
      </c>
      <c r="F2556" s="20" t="inlineStr">
        <is>
          <t>Alto 800</t>
        </is>
      </c>
      <c r="G2556" s="21" t="n">
        <v>1998</v>
      </c>
      <c r="H2556" s="22" t="n">
        <v>83000</v>
      </c>
      <c r="I2556" s="22" t="n">
        <v>20000</v>
      </c>
      <c r="J2556" s="20" t="inlineStr">
        <is>
          <t>POPULAR MARUTI</t>
        </is>
      </c>
      <c r="K2556" s="20" t="inlineStr">
        <is>
          <t>Non-Captive</t>
        </is>
      </c>
      <c r="L2556" s="20" t="inlineStr">
        <is>
          <t>RAFEEK T A</t>
        </is>
      </c>
      <c r="M2556" s="23" t="n">
        <v>4237.29</v>
      </c>
    </row>
    <row r="2557">
      <c r="A2557" s="19" t="inlineStr">
        <is>
          <t>FY27</t>
        </is>
      </c>
      <c r="B2557" s="19" t="inlineStr">
        <is>
          <t>Jun</t>
        </is>
      </c>
      <c r="C2557" s="19" t="inlineStr">
        <is>
          <t>Kerala</t>
        </is>
      </c>
      <c r="D2557" s="20" t="inlineStr">
        <is>
          <t>KL37B2122</t>
        </is>
      </c>
      <c r="E2557" s="20" t="inlineStr">
        <is>
          <t>MARUTI SUZUKI</t>
        </is>
      </c>
      <c r="F2557" s="20" t="inlineStr">
        <is>
          <t>Sx4</t>
        </is>
      </c>
      <c r="G2557" s="21" t="n">
        <v>2012</v>
      </c>
      <c r="H2557" s="22" t="n">
        <v>184373</v>
      </c>
      <c r="I2557" s="22" t="n">
        <v>102000</v>
      </c>
      <c r="J2557" s="20" t="inlineStr">
        <is>
          <t>POPULAR MARUTI</t>
        </is>
      </c>
      <c r="K2557" s="20" t="inlineStr">
        <is>
          <t>Non-Captive</t>
        </is>
      </c>
      <c r="L2557" s="20" t="inlineStr">
        <is>
          <t>DEREAM DRIVE</t>
        </is>
      </c>
      <c r="M2557" s="23" t="n">
        <v>10169.49</v>
      </c>
    </row>
    <row r="2558">
      <c r="A2558" s="19" t="inlineStr">
        <is>
          <t>FY27</t>
        </is>
      </c>
      <c r="B2558" s="19" t="inlineStr">
        <is>
          <t>Jun</t>
        </is>
      </c>
      <c r="C2558" s="19" t="inlineStr">
        <is>
          <t>Kerala</t>
        </is>
      </c>
      <c r="D2558" s="20" t="inlineStr">
        <is>
          <t>KL23B8269</t>
        </is>
      </c>
      <c r="E2558" s="20" t="inlineStr">
        <is>
          <t>MARUTI SUZUKI</t>
        </is>
      </c>
      <c r="F2558" s="20" t="inlineStr">
        <is>
          <t>Alto</t>
        </is>
      </c>
      <c r="G2558" s="21" t="n">
        <v>2010</v>
      </c>
      <c r="H2558" s="22" t="n">
        <v>76867</v>
      </c>
      <c r="I2558" s="22" t="n">
        <v>90000</v>
      </c>
      <c r="J2558" s="20" t="inlineStr">
        <is>
          <t>EVM</t>
        </is>
      </c>
      <c r="K2558" s="20" t="inlineStr">
        <is>
          <t>Non-Captive</t>
        </is>
      </c>
      <c r="L2558" s="20" t="inlineStr">
        <is>
          <t>SANOOB V A</t>
        </is>
      </c>
      <c r="M2558" s="23" t="n">
        <v>12711.86</v>
      </c>
    </row>
    <row r="2559">
      <c r="A2559" s="19" t="inlineStr">
        <is>
          <t>FY27</t>
        </is>
      </c>
      <c r="B2559" s="19" t="inlineStr">
        <is>
          <t>Jun</t>
        </is>
      </c>
      <c r="C2559" s="19" t="inlineStr">
        <is>
          <t>Kerala</t>
        </is>
      </c>
      <c r="D2559" s="20" t="inlineStr">
        <is>
          <t>KL14P5143</t>
        </is>
      </c>
      <c r="E2559" s="20" t="inlineStr">
        <is>
          <t>MARUTI SUZUKI</t>
        </is>
      </c>
      <c r="F2559" s="20" t="inlineStr">
        <is>
          <t>Alto</t>
        </is>
      </c>
      <c r="G2559" s="21" t="n">
        <v>2014</v>
      </c>
      <c r="H2559" s="22" t="n">
        <v>81000</v>
      </c>
      <c r="I2559" s="22" t="n">
        <v>130000</v>
      </c>
      <c r="J2559" s="20" t="inlineStr">
        <is>
          <t>POPULAR MARUTI</t>
        </is>
      </c>
      <c r="K2559" s="20" t="inlineStr">
        <is>
          <t>Non-Captive</t>
        </is>
      </c>
      <c r="L2559" s="20" t="inlineStr">
        <is>
          <t>ANEEFA</t>
        </is>
      </c>
      <c r="M2559" s="23" t="n">
        <v>5932.2</v>
      </c>
    </row>
    <row r="2560">
      <c r="A2560" s="19" t="inlineStr">
        <is>
          <t>FY27</t>
        </is>
      </c>
      <c r="B2560" s="19" t="inlineStr">
        <is>
          <t>Jun</t>
        </is>
      </c>
      <c r="C2560" s="19" t="inlineStr">
        <is>
          <t>Kerala</t>
        </is>
      </c>
      <c r="D2560" s="20" t="inlineStr">
        <is>
          <t>KL11AT0120</t>
        </is>
      </c>
      <c r="E2560" s="20" t="inlineStr">
        <is>
          <t>MARUTI SUZUKI</t>
        </is>
      </c>
      <c r="F2560" s="20" t="inlineStr">
        <is>
          <t>Alto K10</t>
        </is>
      </c>
      <c r="G2560" s="21" t="n">
        <v>2013</v>
      </c>
      <c r="H2560" s="22" t="n">
        <v>89000</v>
      </c>
      <c r="I2560" s="22" t="n">
        <v>101000</v>
      </c>
      <c r="J2560" s="20" t="inlineStr">
        <is>
          <t>POPULAR MARUTI</t>
        </is>
      </c>
      <c r="K2560" s="20" t="inlineStr">
        <is>
          <t>Non-Captive</t>
        </is>
      </c>
      <c r="L2560" s="20" t="inlineStr">
        <is>
          <t>TOKYO CARS</t>
        </is>
      </c>
      <c r="M2560" s="23" t="n">
        <v>5084.75</v>
      </c>
    </row>
    <row r="2561">
      <c r="A2561" s="19" t="inlineStr">
        <is>
          <t>FY27</t>
        </is>
      </c>
      <c r="B2561" s="19" t="inlineStr">
        <is>
          <t>Jun</t>
        </is>
      </c>
      <c r="C2561" s="19" t="inlineStr">
        <is>
          <t>Kerala</t>
        </is>
      </c>
      <c r="D2561" s="20" t="inlineStr">
        <is>
          <t>KL65D0869</t>
        </is>
      </c>
      <c r="E2561" s="20" t="inlineStr">
        <is>
          <t>MARUTI SUZUKI</t>
        </is>
      </c>
      <c r="F2561" s="20" t="inlineStr">
        <is>
          <t>Alto 800</t>
        </is>
      </c>
      <c r="G2561" s="21" t="n">
        <v>2013</v>
      </c>
      <c r="H2561" s="22" t="n">
        <v>71000</v>
      </c>
      <c r="I2561" s="22" t="n">
        <v>152000</v>
      </c>
      <c r="J2561" s="20" t="inlineStr">
        <is>
          <t>POPULAR MARUTI</t>
        </is>
      </c>
      <c r="K2561" s="20" t="inlineStr">
        <is>
          <t>Non-Captive</t>
        </is>
      </c>
      <c r="L2561" s="20" t="inlineStr">
        <is>
          <t>SUMESH</t>
        </is>
      </c>
      <c r="M2561" s="23" t="n">
        <v>5932.2</v>
      </c>
    </row>
    <row r="2562">
      <c r="A2562" s="19" t="inlineStr">
        <is>
          <t>FY27</t>
        </is>
      </c>
      <c r="B2562" s="19" t="inlineStr">
        <is>
          <t>Jun</t>
        </is>
      </c>
      <c r="C2562" s="19" t="inlineStr">
        <is>
          <t>Kerala</t>
        </is>
      </c>
      <c r="D2562" s="20" t="inlineStr">
        <is>
          <t>KL44A9071</t>
        </is>
      </c>
      <c r="E2562" s="20" t="inlineStr">
        <is>
          <t>MARUTI SUZUKI</t>
        </is>
      </c>
      <c r="F2562" s="20" t="inlineStr">
        <is>
          <t>Swift Dzire</t>
        </is>
      </c>
      <c r="G2562" s="21" t="n">
        <v>2011</v>
      </c>
      <c r="H2562" s="22" t="n">
        <v>144000</v>
      </c>
      <c r="I2562" s="22" t="n">
        <v>122500</v>
      </c>
      <c r="J2562" s="20" t="inlineStr">
        <is>
          <t>POPULAR MARUTI</t>
        </is>
      </c>
      <c r="K2562" s="20" t="inlineStr">
        <is>
          <t>Non-Captive</t>
        </is>
      </c>
      <c r="L2562" s="20" t="inlineStr">
        <is>
          <t>AITOS CARS</t>
        </is>
      </c>
      <c r="M2562" s="23" t="n">
        <v>10593.22</v>
      </c>
    </row>
    <row r="2563">
      <c r="A2563" s="19" t="inlineStr">
        <is>
          <t>FY27</t>
        </is>
      </c>
      <c r="B2563" s="19" t="inlineStr">
        <is>
          <t>Jun</t>
        </is>
      </c>
      <c r="C2563" s="19" t="inlineStr">
        <is>
          <t>Kerala</t>
        </is>
      </c>
      <c r="D2563" s="20" t="inlineStr">
        <is>
          <t>KL02V4666</t>
        </is>
      </c>
      <c r="E2563" s="20" t="inlineStr">
        <is>
          <t>MARUTI SUZUKI</t>
        </is>
      </c>
      <c r="F2563" s="20" t="inlineStr">
        <is>
          <t>Wagon R</t>
        </is>
      </c>
      <c r="G2563" s="21" t="n">
        <v>2005</v>
      </c>
      <c r="H2563" s="22" t="n">
        <v>105272</v>
      </c>
      <c r="I2563" s="22" t="n">
        <v>23000</v>
      </c>
      <c r="J2563" s="20" t="inlineStr">
        <is>
          <t>INCHEON KIA</t>
        </is>
      </c>
      <c r="K2563" s="20" t="inlineStr">
        <is>
          <t>Non-Captive</t>
        </is>
      </c>
      <c r="L2563" s="20" t="inlineStr">
        <is>
          <t>SHAHAR</t>
        </is>
      </c>
      <c r="M2563" s="23" t="n">
        <v>6779.66</v>
      </c>
    </row>
    <row r="2564">
      <c r="A2564" s="19" t="inlineStr">
        <is>
          <t>FY27</t>
        </is>
      </c>
      <c r="B2564" s="19" t="inlineStr">
        <is>
          <t>Jun</t>
        </is>
      </c>
      <c r="C2564" s="19" t="inlineStr">
        <is>
          <t>Kerala</t>
        </is>
      </c>
      <c r="D2564" s="20" t="inlineStr">
        <is>
          <t>KL05AA7236</t>
        </is>
      </c>
      <c r="E2564" s="20" t="inlineStr">
        <is>
          <t>MARUTI SUZUKI</t>
        </is>
      </c>
      <c r="F2564" s="20" t="inlineStr">
        <is>
          <t>Alto</t>
        </is>
      </c>
      <c r="G2564" s="21" t="n">
        <v>2010</v>
      </c>
      <c r="H2564" s="22" t="n">
        <v>67000</v>
      </c>
      <c r="I2564" s="22" t="n">
        <v>60000</v>
      </c>
      <c r="J2564" s="20" t="inlineStr">
        <is>
          <t>MUTHOOT TATA</t>
        </is>
      </c>
      <c r="K2564" s="20" t="inlineStr">
        <is>
          <t>Non-Captive</t>
        </is>
      </c>
      <c r="L2564" s="20" t="inlineStr">
        <is>
          <t>ATHUL RAJ</t>
        </is>
      </c>
      <c r="M2564" s="23" t="n">
        <v>5084.75</v>
      </c>
    </row>
    <row r="2565">
      <c r="A2565" s="19" t="inlineStr">
        <is>
          <t>FY27</t>
        </is>
      </c>
      <c r="B2565" s="19" t="inlineStr">
        <is>
          <t>Jun</t>
        </is>
      </c>
      <c r="C2565" s="19" t="inlineStr">
        <is>
          <t>Kerala</t>
        </is>
      </c>
      <c r="D2565" s="20" t="inlineStr">
        <is>
          <t>KL02BD1219</t>
        </is>
      </c>
      <c r="E2565" s="20" t="inlineStr">
        <is>
          <t>MAHINDRA</t>
        </is>
      </c>
      <c r="F2565" s="20" t="inlineStr">
        <is>
          <t>Kuv100</t>
        </is>
      </c>
      <c r="G2565" s="21" t="n">
        <v>2017</v>
      </c>
      <c r="H2565" s="22" t="n">
        <v>67554</v>
      </c>
      <c r="I2565" s="22" t="n">
        <v>150000</v>
      </c>
      <c r="J2565" s="20" t="inlineStr">
        <is>
          <t>INCHEON KIA</t>
        </is>
      </c>
      <c r="K2565" s="20" t="inlineStr">
        <is>
          <t>Non-Captive</t>
        </is>
      </c>
      <c r="L2565" s="20" t="inlineStr">
        <is>
          <t>NASIM</t>
        </is>
      </c>
      <c r="M2565" s="23" t="n">
        <v>5932.2</v>
      </c>
    </row>
    <row r="2566">
      <c r="A2566" s="19" t="inlineStr">
        <is>
          <t>FY27</t>
        </is>
      </c>
      <c r="B2566" s="19" t="inlineStr">
        <is>
          <t>Jun</t>
        </is>
      </c>
      <c r="C2566" s="19" t="inlineStr">
        <is>
          <t>Kerala</t>
        </is>
      </c>
      <c r="D2566" s="20" t="inlineStr">
        <is>
          <t>KL654521</t>
        </is>
      </c>
      <c r="E2566" s="20" t="inlineStr">
        <is>
          <t>MARUTI SUZUKI</t>
        </is>
      </c>
      <c r="F2566" s="20" t="inlineStr">
        <is>
          <t>Alto</t>
        </is>
      </c>
      <c r="G2566" s="21" t="n">
        <v>2011</v>
      </c>
      <c r="H2566" s="22" t="n">
        <v>71000</v>
      </c>
      <c r="I2566" s="22" t="n">
        <v>86000</v>
      </c>
      <c r="J2566" s="20" t="inlineStr">
        <is>
          <t>POPULAR MARUTI</t>
        </is>
      </c>
      <c r="K2566" s="20" t="inlineStr">
        <is>
          <t>Non-Captive</t>
        </is>
      </c>
      <c r="L2566" s="20" t="inlineStr">
        <is>
          <t>TOKYO CARS</t>
        </is>
      </c>
      <c r="M2566" s="23" t="n">
        <v>5084.75</v>
      </c>
    </row>
    <row r="2567">
      <c r="A2567" s="19" t="inlineStr">
        <is>
          <t>FY27</t>
        </is>
      </c>
      <c r="B2567" s="19" t="inlineStr">
        <is>
          <t>Jun</t>
        </is>
      </c>
      <c r="C2567" s="19" t="inlineStr">
        <is>
          <t>Kerala</t>
        </is>
      </c>
      <c r="D2567" s="20" t="inlineStr">
        <is>
          <t>KL13Y6105</t>
        </is>
      </c>
      <c r="E2567" s="20" t="inlineStr">
        <is>
          <t>MARUTI SUZUKI</t>
        </is>
      </c>
      <c r="F2567" s="20" t="inlineStr">
        <is>
          <t>Wagon R</t>
        </is>
      </c>
      <c r="G2567" s="21" t="n">
        <v>2012</v>
      </c>
      <c r="H2567" s="22" t="n">
        <v>63000</v>
      </c>
      <c r="I2567" s="22" t="n">
        <v>202000</v>
      </c>
      <c r="J2567" s="20" t="inlineStr">
        <is>
          <t>POPULAR MARUTI</t>
        </is>
      </c>
      <c r="K2567" s="20" t="inlineStr">
        <is>
          <t>Non-Captive</t>
        </is>
      </c>
      <c r="L2567" s="20" t="inlineStr">
        <is>
          <t>UNAIS CARS</t>
        </is>
      </c>
      <c r="M2567" s="23" t="n">
        <v>5932.2</v>
      </c>
    </row>
    <row r="2568">
      <c r="A2568" s="19" t="inlineStr">
        <is>
          <t>FY27</t>
        </is>
      </c>
      <c r="B2568" s="19" t="inlineStr">
        <is>
          <t>Jun</t>
        </is>
      </c>
      <c r="C2568" s="19" t="inlineStr">
        <is>
          <t>Kerala</t>
        </is>
      </c>
      <c r="D2568" s="20" t="inlineStr">
        <is>
          <t>KL10AL1795</t>
        </is>
      </c>
      <c r="E2568" s="20" t="inlineStr">
        <is>
          <t>MARUTI SUZUKI</t>
        </is>
      </c>
      <c r="F2568" s="20" t="inlineStr">
        <is>
          <t>Swift</t>
        </is>
      </c>
      <c r="G2568" s="21" t="n">
        <v>2012</v>
      </c>
      <c r="H2568" s="22" t="n">
        <v>128000</v>
      </c>
      <c r="I2568" s="22" t="n">
        <v>256000</v>
      </c>
      <c r="J2568" s="20" t="inlineStr">
        <is>
          <t>POPULAR MARUTI</t>
        </is>
      </c>
      <c r="K2568" s="20" t="inlineStr">
        <is>
          <t>Non-Captive</t>
        </is>
      </c>
      <c r="L2568" s="20" t="inlineStr">
        <is>
          <t>UNAIS CARS</t>
        </is>
      </c>
      <c r="M2568" s="23" t="n">
        <v>5084.75</v>
      </c>
    </row>
    <row r="2569">
      <c r="A2569" s="19" t="inlineStr">
        <is>
          <t>FY27</t>
        </is>
      </c>
      <c r="B2569" s="19" t="inlineStr">
        <is>
          <t>Jun</t>
        </is>
      </c>
      <c r="C2569" s="19" t="inlineStr">
        <is>
          <t>Kerala</t>
        </is>
      </c>
      <c r="D2569" s="20" t="inlineStr">
        <is>
          <t>KL11BF3827</t>
        </is>
      </c>
      <c r="E2569" s="20" t="inlineStr">
        <is>
          <t>MARUTI SUZUKI</t>
        </is>
      </c>
      <c r="F2569" s="20" t="inlineStr">
        <is>
          <t>Ignis</t>
        </is>
      </c>
      <c r="G2569" s="21" t="n">
        <v>2017</v>
      </c>
      <c r="H2569" s="22" t="n">
        <v>74000</v>
      </c>
      <c r="I2569" s="22" t="n">
        <v>368000</v>
      </c>
      <c r="J2569" s="20" t="inlineStr">
        <is>
          <t>APCO HYUNDAI</t>
        </is>
      </c>
      <c r="K2569" s="20" t="inlineStr">
        <is>
          <t>Non-Captive</t>
        </is>
      </c>
      <c r="L2569" s="20" t="inlineStr">
        <is>
          <t>SANOOP</t>
        </is>
      </c>
      <c r="M2569" s="23" t="n">
        <v>5084.75</v>
      </c>
    </row>
    <row r="2570">
      <c r="A2570" s="19" t="inlineStr">
        <is>
          <t>FY27</t>
        </is>
      </c>
      <c r="B2570" s="19" t="inlineStr">
        <is>
          <t>Jun</t>
        </is>
      </c>
      <c r="C2570" s="19" t="inlineStr">
        <is>
          <t>Kerala</t>
        </is>
      </c>
      <c r="D2570" s="20" t="inlineStr">
        <is>
          <t>KL58C3021</t>
        </is>
      </c>
      <c r="E2570" s="20" t="inlineStr">
        <is>
          <t>MARUTI SUZUKI</t>
        </is>
      </c>
      <c r="F2570" s="20" t="inlineStr">
        <is>
          <t>Wagon R</t>
        </is>
      </c>
      <c r="G2570" s="21" t="n">
        <v>2010</v>
      </c>
      <c r="H2570" s="22" t="n">
        <v>85000</v>
      </c>
      <c r="I2570" s="22" t="n">
        <v>100000</v>
      </c>
      <c r="J2570" s="20" t="inlineStr">
        <is>
          <t>DKH KIA</t>
        </is>
      </c>
      <c r="K2570" s="20" t="inlineStr">
        <is>
          <t>Non-Captive</t>
        </is>
      </c>
      <c r="L2570" s="20" t="inlineStr">
        <is>
          <t>ABDUL SALAM K K</t>
        </is>
      </c>
      <c r="M2570" s="23" t="n">
        <v>4237.29</v>
      </c>
    </row>
    <row r="2571">
      <c r="A2571" s="19" t="inlineStr">
        <is>
          <t>FY27</t>
        </is>
      </c>
      <c r="B2571" s="19" t="inlineStr">
        <is>
          <t>Jun</t>
        </is>
      </c>
      <c r="C2571" s="19" t="inlineStr">
        <is>
          <t>Kerala</t>
        </is>
      </c>
      <c r="D2571" s="20" t="inlineStr">
        <is>
          <t>KL58S8549</t>
        </is>
      </c>
      <c r="E2571" s="20" t="inlineStr">
        <is>
          <t>NISSAN</t>
        </is>
      </c>
      <c r="F2571" s="20" t="inlineStr">
        <is>
          <t>Terrano</t>
        </is>
      </c>
      <c r="G2571" s="21" t="n">
        <v>2015</v>
      </c>
      <c r="H2571" s="22" t="n">
        <v>259000</v>
      </c>
      <c r="I2571" s="22" t="n">
        <v>210000</v>
      </c>
      <c r="J2571" s="20" t="inlineStr">
        <is>
          <t>UCD SANTHOSH</t>
        </is>
      </c>
      <c r="K2571" s="20" t="inlineStr">
        <is>
          <t>Non-Captive</t>
        </is>
      </c>
      <c r="L2571" s="20" t="inlineStr">
        <is>
          <t>AUTOTRUST</t>
        </is>
      </c>
      <c r="M2571" s="23" t="n">
        <v>8474.58</v>
      </c>
    </row>
    <row r="2572">
      <c r="A2572" s="19" t="inlineStr">
        <is>
          <t>FY27</t>
        </is>
      </c>
      <c r="B2572" s="19" t="inlineStr">
        <is>
          <t>Jun</t>
        </is>
      </c>
      <c r="C2572" s="19" t="inlineStr">
        <is>
          <t>Kerala</t>
        </is>
      </c>
      <c r="D2572" s="20" t="inlineStr">
        <is>
          <t>KL13Q9183</t>
        </is>
      </c>
      <c r="E2572" s="20" t="inlineStr">
        <is>
          <t>HYUNDAI</t>
        </is>
      </c>
      <c r="F2572" s="20" t="inlineStr">
        <is>
          <t>Santro</t>
        </is>
      </c>
      <c r="G2572" s="21" t="n">
        <v>2006</v>
      </c>
      <c r="H2572" s="22" t="n">
        <v>135000</v>
      </c>
      <c r="I2572" s="22" t="n">
        <v>12000</v>
      </c>
      <c r="J2572" s="20" t="inlineStr">
        <is>
          <t>POPULAR MARUTI</t>
        </is>
      </c>
      <c r="K2572" s="20" t="inlineStr">
        <is>
          <t>Non-Captive</t>
        </is>
      </c>
      <c r="L2572" s="20" t="inlineStr">
        <is>
          <t>AUTOTRUST</t>
        </is>
      </c>
      <c r="M2572" s="23" t="n">
        <v>5084.75</v>
      </c>
    </row>
    <row r="2573">
      <c r="A2573" s="19" t="inlineStr">
        <is>
          <t>FY27</t>
        </is>
      </c>
      <c r="B2573" s="19" t="inlineStr">
        <is>
          <t>Jun</t>
        </is>
      </c>
      <c r="C2573" s="19" t="inlineStr">
        <is>
          <t>Kerala</t>
        </is>
      </c>
      <c r="D2573" s="20" t="inlineStr">
        <is>
          <t>KL43C6969</t>
        </is>
      </c>
      <c r="E2573" s="20" t="inlineStr">
        <is>
          <t>CHEVROLET</t>
        </is>
      </c>
      <c r="F2573" s="20" t="inlineStr">
        <is>
          <t>Beat</t>
        </is>
      </c>
      <c r="G2573" s="21" t="n">
        <v>2011</v>
      </c>
      <c r="H2573" s="22" t="n">
        <v>57426</v>
      </c>
      <c r="I2573" s="22" t="n">
        <v>47000</v>
      </c>
      <c r="J2573" s="20" t="inlineStr">
        <is>
          <t>MAIJO MARUTI</t>
        </is>
      </c>
      <c r="K2573" s="20" t="inlineStr">
        <is>
          <t>Non-Captive</t>
        </is>
      </c>
      <c r="L2573" s="20" t="inlineStr">
        <is>
          <t>HUSSAIN O E</t>
        </is>
      </c>
      <c r="M2573" s="23" t="n">
        <v>8474.58</v>
      </c>
    </row>
    <row r="2574">
      <c r="A2574" s="19" t="inlineStr">
        <is>
          <t>FY27</t>
        </is>
      </c>
      <c r="B2574" s="19" t="inlineStr">
        <is>
          <t>Jun</t>
        </is>
      </c>
      <c r="C2574" s="19" t="inlineStr">
        <is>
          <t>Kerala</t>
        </is>
      </c>
      <c r="D2574" s="20" t="inlineStr">
        <is>
          <t>KL41R5173</t>
        </is>
      </c>
      <c r="E2574" s="20" t="inlineStr">
        <is>
          <t>MARUTI SUZUKI</t>
        </is>
      </c>
      <c r="F2574" s="20" t="inlineStr">
        <is>
          <t>Ignis</t>
        </is>
      </c>
      <c r="G2574" s="21" t="n">
        <v>2020</v>
      </c>
      <c r="H2574" s="22" t="n">
        <v>85500</v>
      </c>
      <c r="I2574" s="22" t="n">
        <v>480000</v>
      </c>
      <c r="J2574" s="20" t="inlineStr">
        <is>
          <t>EVM CITROEN</t>
        </is>
      </c>
      <c r="K2574" s="20" t="inlineStr">
        <is>
          <t>Non-Captive</t>
        </is>
      </c>
      <c r="L2574" s="20" t="inlineStr">
        <is>
          <t>YAHIYA</t>
        </is>
      </c>
      <c r="M2574" s="23" t="n">
        <v>8474.58</v>
      </c>
    </row>
    <row r="2575">
      <c r="A2575" s="19" t="inlineStr">
        <is>
          <t>FY27</t>
        </is>
      </c>
      <c r="B2575" s="19" t="inlineStr">
        <is>
          <t>Jun</t>
        </is>
      </c>
      <c r="C2575" s="19" t="inlineStr">
        <is>
          <t>Kerala</t>
        </is>
      </c>
      <c r="D2575" s="20" t="inlineStr">
        <is>
          <t>KL46Y3600</t>
        </is>
      </c>
      <c r="E2575" s="20" t="inlineStr">
        <is>
          <t>CITROEN</t>
        </is>
      </c>
      <c r="F2575" s="20" t="inlineStr">
        <is>
          <t>C3</t>
        </is>
      </c>
      <c r="G2575" s="21" t="n">
        <v>2023</v>
      </c>
      <c r="H2575" s="22" t="n">
        <v>24500</v>
      </c>
      <c r="I2575" s="22" t="n">
        <v>460000</v>
      </c>
      <c r="J2575" s="20" t="inlineStr">
        <is>
          <t>INCHEON KIA</t>
        </is>
      </c>
      <c r="K2575" s="20" t="inlineStr">
        <is>
          <t>Non-Captive</t>
        </is>
      </c>
      <c r="L2575" s="20" t="inlineStr">
        <is>
          <t>AITOS CARS</t>
        </is>
      </c>
      <c r="M2575" s="23" t="n">
        <v>8474.58</v>
      </c>
    </row>
    <row r="2576">
      <c r="A2576" s="19" t="inlineStr">
        <is>
          <t>FY27</t>
        </is>
      </c>
      <c r="B2576" s="19" t="inlineStr">
        <is>
          <t>Jun</t>
        </is>
      </c>
      <c r="C2576" s="19" t="inlineStr">
        <is>
          <t>Kerala</t>
        </is>
      </c>
      <c r="D2576" s="20" t="inlineStr">
        <is>
          <t>KL45Z1973</t>
        </is>
      </c>
      <c r="E2576" s="20" t="inlineStr">
        <is>
          <t>KIA</t>
        </is>
      </c>
      <c r="F2576" s="20" t="inlineStr">
        <is>
          <t>Sonnet</t>
        </is>
      </c>
      <c r="G2576" s="21" t="n">
        <v>2025</v>
      </c>
      <c r="H2576" s="22" t="n">
        <v>25000</v>
      </c>
      <c r="I2576" s="22" t="n">
        <v>1110000</v>
      </c>
      <c r="J2576" s="20" t="inlineStr">
        <is>
          <t>KVR TATA</t>
        </is>
      </c>
      <c r="K2576" s="20" t="inlineStr">
        <is>
          <t>Non-Captive</t>
        </is>
      </c>
      <c r="L2576" s="20" t="inlineStr">
        <is>
          <t>UMESHKUMAR T U</t>
        </is>
      </c>
      <c r="M2576" s="23" t="n">
        <v>8474.58</v>
      </c>
    </row>
    <row r="2577">
      <c r="A2577" s="19" t="inlineStr">
        <is>
          <t>FY27</t>
        </is>
      </c>
      <c r="B2577" s="19" t="inlineStr">
        <is>
          <t>Jun</t>
        </is>
      </c>
      <c r="C2577" s="19" t="inlineStr">
        <is>
          <t>Kerala</t>
        </is>
      </c>
      <c r="D2577" s="20" t="inlineStr">
        <is>
          <t>KL07BU7788</t>
        </is>
      </c>
      <c r="E2577" s="20" t="inlineStr">
        <is>
          <t>FORD</t>
        </is>
      </c>
      <c r="F2577" s="20" t="inlineStr">
        <is>
          <t>Figo</t>
        </is>
      </c>
      <c r="G2577" s="21" t="n">
        <v>2012</v>
      </c>
      <c r="H2577" s="22" t="n">
        <v>169000</v>
      </c>
      <c r="I2577" s="22" t="n">
        <v>54000</v>
      </c>
      <c r="J2577" s="20" t="inlineStr">
        <is>
          <t>POPULAR MARUTI</t>
        </is>
      </c>
      <c r="K2577" s="20" t="inlineStr">
        <is>
          <t>Non-Captive</t>
        </is>
      </c>
      <c r="L2577" s="20" t="inlineStr">
        <is>
          <t>VTJ</t>
        </is>
      </c>
      <c r="M2577" s="23" t="n">
        <v>10169.49</v>
      </c>
    </row>
    <row r="2578">
      <c r="A2578" s="19" t="inlineStr">
        <is>
          <t>FY27</t>
        </is>
      </c>
      <c r="B2578" s="19" t="inlineStr">
        <is>
          <t>Jun</t>
        </is>
      </c>
      <c r="C2578" s="19" t="inlineStr">
        <is>
          <t>Kerala</t>
        </is>
      </c>
      <c r="D2578" s="20" t="inlineStr">
        <is>
          <t>KL07CP2721</t>
        </is>
      </c>
      <c r="E2578" s="20" t="inlineStr">
        <is>
          <t>MARUTI SUZUKI</t>
        </is>
      </c>
      <c r="F2578" s="20" t="inlineStr">
        <is>
          <t>Omni</t>
        </is>
      </c>
      <c r="G2578" s="21" t="n">
        <v>2018</v>
      </c>
      <c r="H2578" s="22" t="n">
        <v>101800</v>
      </c>
      <c r="I2578" s="22" t="n">
        <v>112000</v>
      </c>
      <c r="J2578" s="20" t="inlineStr">
        <is>
          <t>POPULAR MARUTI</t>
        </is>
      </c>
      <c r="K2578" s="20" t="inlineStr">
        <is>
          <t>Non-Captive</t>
        </is>
      </c>
      <c r="L2578" s="20" t="inlineStr">
        <is>
          <t>VTJ</t>
        </is>
      </c>
      <c r="M2578" s="23" t="n">
        <v>10169.49</v>
      </c>
    </row>
    <row r="2579">
      <c r="A2579" s="19" t="inlineStr">
        <is>
          <t>FY27</t>
        </is>
      </c>
      <c r="B2579" s="19" t="inlineStr">
        <is>
          <t>Jun</t>
        </is>
      </c>
      <c r="C2579" s="19" t="inlineStr">
        <is>
          <t>Kerala</t>
        </is>
      </c>
      <c r="D2579" s="20" t="inlineStr">
        <is>
          <t>KL43A5006</t>
        </is>
      </c>
      <c r="E2579" s="20" t="inlineStr">
        <is>
          <t>MARUTI SUZUKI</t>
        </is>
      </c>
      <c r="F2579" s="20" t="inlineStr">
        <is>
          <t>Wagon R</t>
        </is>
      </c>
      <c r="G2579" s="21" t="n">
        <v>2008</v>
      </c>
      <c r="H2579" s="22" t="n">
        <v>88992</v>
      </c>
      <c r="I2579" s="22" t="n">
        <v>77000</v>
      </c>
      <c r="J2579" s="20" t="inlineStr">
        <is>
          <t>POPULAR MARUTI</t>
        </is>
      </c>
      <c r="K2579" s="20" t="inlineStr">
        <is>
          <t>Non-Captive</t>
        </is>
      </c>
      <c r="L2579" s="20" t="inlineStr">
        <is>
          <t>AKHIL KT</t>
        </is>
      </c>
      <c r="M2579" s="23" t="n">
        <v>10169.49</v>
      </c>
    </row>
    <row r="2580">
      <c r="A2580" s="19" t="inlineStr">
        <is>
          <t>FY27</t>
        </is>
      </c>
      <c r="B2580" s="19" t="inlineStr">
        <is>
          <t>Jun</t>
        </is>
      </c>
      <c r="C2580" s="19" t="inlineStr">
        <is>
          <t>Kerala</t>
        </is>
      </c>
      <c r="D2580" s="20" t="inlineStr">
        <is>
          <t>KL32J3566</t>
        </is>
      </c>
      <c r="E2580" s="20" t="inlineStr">
        <is>
          <t>HYUNDAI</t>
        </is>
      </c>
      <c r="F2580" s="20" t="inlineStr">
        <is>
          <t>Verna</t>
        </is>
      </c>
      <c r="G2580" s="21" t="n">
        <v>2016</v>
      </c>
      <c r="H2580" s="22" t="n">
        <v>69878</v>
      </c>
      <c r="I2580" s="22" t="n">
        <v>360000</v>
      </c>
      <c r="J2580" s="20" t="inlineStr">
        <is>
          <t>ANAS HAMEED</t>
        </is>
      </c>
      <c r="K2580" s="20" t="inlineStr">
        <is>
          <t>Non-Captive</t>
        </is>
      </c>
      <c r="L2580" s="20" t="inlineStr">
        <is>
          <t>HAVEN MOTORS</t>
        </is>
      </c>
      <c r="M2580" s="23" t="n">
        <v>16949.15</v>
      </c>
    </row>
    <row r="2581">
      <c r="A2581" s="19" t="inlineStr">
        <is>
          <t>FY27</t>
        </is>
      </c>
      <c r="B2581" s="19" t="inlineStr">
        <is>
          <t>Jun</t>
        </is>
      </c>
      <c r="C2581" s="19" t="inlineStr">
        <is>
          <t>Kerala</t>
        </is>
      </c>
      <c r="D2581" s="20" t="inlineStr">
        <is>
          <t>KL33N0864</t>
        </is>
      </c>
      <c r="E2581" s="20" t="inlineStr">
        <is>
          <t>nan</t>
        </is>
      </c>
      <c r="F2581" s="20" t="inlineStr">
        <is>
          <t>Samrat</t>
        </is>
      </c>
      <c r="G2581" s="21" t="n">
        <v>2021</v>
      </c>
      <c r="H2581" s="22" t="n">
        <v>120000</v>
      </c>
      <c r="I2581" s="22" t="n">
        <v>860000</v>
      </c>
      <c r="J2581" s="20" t="inlineStr">
        <is>
          <t>REFERENCE</t>
        </is>
      </c>
      <c r="K2581" s="20" t="inlineStr">
        <is>
          <t>Non-Captive</t>
        </is>
      </c>
      <c r="L2581" s="20" t="inlineStr">
        <is>
          <t>ALI,HAPPY DRIVE</t>
        </is>
      </c>
      <c r="M2581" s="23" t="n">
        <v>8474.58</v>
      </c>
    </row>
    <row r="2582">
      <c r="A2582" s="19" t="inlineStr">
        <is>
          <t>FY27</t>
        </is>
      </c>
      <c r="B2582" s="19" t="inlineStr">
        <is>
          <t>Jun</t>
        </is>
      </c>
      <c r="C2582" s="19" t="inlineStr">
        <is>
          <t>Kerala</t>
        </is>
      </c>
      <c r="D2582" s="20" t="inlineStr">
        <is>
          <t>KL05AX0604</t>
        </is>
      </c>
      <c r="E2582" s="20" t="inlineStr">
        <is>
          <t>MARUTI SUZUKI</t>
        </is>
      </c>
      <c r="F2582" s="20" t="inlineStr">
        <is>
          <t>S-Presso</t>
        </is>
      </c>
      <c r="G2582" s="21" t="n">
        <v>2021</v>
      </c>
      <c r="H2582" s="22" t="n">
        <v>123243</v>
      </c>
      <c r="I2582" s="22" t="n">
        <v>240000</v>
      </c>
      <c r="J2582" s="20" t="inlineStr">
        <is>
          <t>POPULAR MARUTI</t>
        </is>
      </c>
      <c r="K2582" s="20" t="inlineStr">
        <is>
          <t>Non-Captive</t>
        </is>
      </c>
      <c r="L2582" s="20" t="inlineStr">
        <is>
          <t>MAXX DRIVE</t>
        </is>
      </c>
      <c r="M2582" s="23" t="n">
        <v>12711.86</v>
      </c>
    </row>
    <row r="2583">
      <c r="A2583" s="19" t="inlineStr">
        <is>
          <t>FY27</t>
        </is>
      </c>
      <c r="B2583" s="19" t="inlineStr">
        <is>
          <t>Jun</t>
        </is>
      </c>
      <c r="C2583" s="19" t="inlineStr">
        <is>
          <t>Kerala</t>
        </is>
      </c>
      <c r="D2583" s="20" t="inlineStr">
        <is>
          <t>KL07BT9081</t>
        </is>
      </c>
      <c r="E2583" s="20" t="inlineStr">
        <is>
          <t>MARUTI SUZUKI</t>
        </is>
      </c>
      <c r="F2583" s="20" t="inlineStr">
        <is>
          <t>Ritz</t>
        </is>
      </c>
      <c r="G2583" s="21" t="n">
        <v>2012</v>
      </c>
      <c r="H2583" s="22" t="n">
        <v>170987</v>
      </c>
      <c r="I2583" s="22" t="n">
        <v>140000</v>
      </c>
      <c r="J2583" s="20" t="inlineStr">
        <is>
          <t>POPULAR MARUTI</t>
        </is>
      </c>
      <c r="K2583" s="20" t="inlineStr">
        <is>
          <t>Non-Captive</t>
        </is>
      </c>
      <c r="L2583" s="20" t="inlineStr">
        <is>
          <t>RAJEEV O C</t>
        </is>
      </c>
      <c r="M2583" s="23" t="n">
        <v>8474.58</v>
      </c>
    </row>
    <row r="2584">
      <c r="A2584" s="19" t="inlineStr">
        <is>
          <t>FY27</t>
        </is>
      </c>
      <c r="B2584" s="19" t="inlineStr">
        <is>
          <t>Jun</t>
        </is>
      </c>
      <c r="C2584" s="19" t="inlineStr">
        <is>
          <t>Kerala</t>
        </is>
      </c>
      <c r="D2584" s="20" t="inlineStr">
        <is>
          <t>KL245155</t>
        </is>
      </c>
      <c r="E2584" s="20" t="inlineStr">
        <is>
          <t>MARUTI SUZUKI</t>
        </is>
      </c>
      <c r="F2584" s="20" t="inlineStr">
        <is>
          <t>Alto</t>
        </is>
      </c>
      <c r="G2584" s="21" t="n">
        <v>2007</v>
      </c>
      <c r="H2584" s="22" t="n">
        <v>45764</v>
      </c>
      <c r="I2584" s="22" t="n">
        <v>55000</v>
      </c>
      <c r="J2584" s="20" t="inlineStr">
        <is>
          <t>POPULAR MARUTI</t>
        </is>
      </c>
      <c r="K2584" s="20" t="inlineStr">
        <is>
          <t>Non-Captive</t>
        </is>
      </c>
      <c r="L2584" s="20" t="inlineStr">
        <is>
          <t>SANTHOSH</t>
        </is>
      </c>
      <c r="M2584" s="23" t="n">
        <v>8474.58</v>
      </c>
    </row>
    <row r="2585">
      <c r="A2585" s="19" t="inlineStr">
        <is>
          <t>FY27</t>
        </is>
      </c>
      <c r="B2585" s="19" t="inlineStr">
        <is>
          <t>Jun</t>
        </is>
      </c>
      <c r="C2585" s="19" t="inlineStr">
        <is>
          <t>Kerala</t>
        </is>
      </c>
      <c r="D2585" s="20" t="inlineStr">
        <is>
          <t>KL02AV5619</t>
        </is>
      </c>
      <c r="E2585" s="20" t="inlineStr">
        <is>
          <t>HYUNDAI</t>
        </is>
      </c>
      <c r="F2585" s="20" t="inlineStr">
        <is>
          <t>I10</t>
        </is>
      </c>
      <c r="G2585" s="21" t="n">
        <v>2015</v>
      </c>
      <c r="H2585" s="22" t="n">
        <v>70506</v>
      </c>
      <c r="I2585" s="22" t="n">
        <v>258000</v>
      </c>
      <c r="J2585" s="20" t="inlineStr">
        <is>
          <t>MUTHOOT HONDA</t>
        </is>
      </c>
      <c r="K2585" s="20" t="inlineStr">
        <is>
          <t>Non-Captive</t>
        </is>
      </c>
      <c r="L2585" s="20" t="inlineStr">
        <is>
          <t>SAIDALI</t>
        </is>
      </c>
      <c r="M2585" s="23" t="n">
        <v>6779.66</v>
      </c>
    </row>
    <row r="2586">
      <c r="A2586" s="19" t="inlineStr">
        <is>
          <t>FY27</t>
        </is>
      </c>
      <c r="B2586" s="19" t="inlineStr">
        <is>
          <t>Jun</t>
        </is>
      </c>
      <c r="C2586" s="19" t="inlineStr">
        <is>
          <t>Kerala</t>
        </is>
      </c>
      <c r="D2586" s="20" t="inlineStr">
        <is>
          <t>KL13S0094</t>
        </is>
      </c>
      <c r="E2586" s="20" t="inlineStr">
        <is>
          <t>MARUTI SUZUKI</t>
        </is>
      </c>
      <c r="F2586" s="20" t="inlineStr">
        <is>
          <t>Omni</t>
        </is>
      </c>
      <c r="G2586" s="21" t="n">
        <v>2007</v>
      </c>
      <c r="H2586" s="22" t="n">
        <v>130000</v>
      </c>
      <c r="I2586" s="22" t="n">
        <v>45000</v>
      </c>
      <c r="J2586" s="20" t="inlineStr">
        <is>
          <t>POPULAR MARUTI</t>
        </is>
      </c>
      <c r="K2586" s="20" t="inlineStr">
        <is>
          <t>Non-Captive</t>
        </is>
      </c>
      <c r="L2586" s="20" t="inlineStr">
        <is>
          <t>AYSHA</t>
        </is>
      </c>
      <c r="M2586" s="23" t="n">
        <v>8474.58</v>
      </c>
    </row>
    <row r="2587">
      <c r="A2587" s="19" t="inlineStr">
        <is>
          <t>FY27</t>
        </is>
      </c>
      <c r="B2587" s="19" t="inlineStr">
        <is>
          <t>Jun</t>
        </is>
      </c>
      <c r="C2587" s="19" t="inlineStr">
        <is>
          <t>Kerala</t>
        </is>
      </c>
      <c r="D2587" s="20" t="inlineStr">
        <is>
          <t>KL13Z3455</t>
        </is>
      </c>
      <c r="E2587" s="20" t="inlineStr">
        <is>
          <t>MARUTI SUZUKI</t>
        </is>
      </c>
      <c r="F2587" s="20" t="inlineStr">
        <is>
          <t>Swift</t>
        </is>
      </c>
      <c r="G2587" s="21" t="n">
        <v>2012</v>
      </c>
      <c r="H2587" s="22" t="n">
        <v>110000</v>
      </c>
      <c r="I2587" s="22" t="n">
        <v>225000</v>
      </c>
      <c r="J2587" s="20" t="inlineStr">
        <is>
          <t>POPULAR MARUTI</t>
        </is>
      </c>
      <c r="K2587" s="20" t="inlineStr">
        <is>
          <t>Non-Captive</t>
        </is>
      </c>
      <c r="L2587" s="20" t="inlineStr">
        <is>
          <t>THANSEER CARS</t>
        </is>
      </c>
      <c r="M2587" s="23" t="n">
        <v>8474.58</v>
      </c>
    </row>
    <row r="2588">
      <c r="A2588" s="19" t="inlineStr">
        <is>
          <t>FY27</t>
        </is>
      </c>
      <c r="B2588" s="19" t="inlineStr">
        <is>
          <t>Jun</t>
        </is>
      </c>
      <c r="C2588" s="19" t="inlineStr">
        <is>
          <t>Kerala</t>
        </is>
      </c>
      <c r="D2588" s="20" t="inlineStr">
        <is>
          <t>KL59H8028</t>
        </is>
      </c>
      <c r="E2588" s="20" t="inlineStr">
        <is>
          <t>MARUTI SUZUKI</t>
        </is>
      </c>
      <c r="F2588" s="20" t="inlineStr">
        <is>
          <t>Swift</t>
        </is>
      </c>
      <c r="G2588" s="21" t="n">
        <v>2013</v>
      </c>
      <c r="H2588" s="22" t="n">
        <v>106000</v>
      </c>
      <c r="I2588" s="22" t="n">
        <v>220000</v>
      </c>
      <c r="J2588" s="20" t="inlineStr">
        <is>
          <t>POPULAR MARUTI</t>
        </is>
      </c>
      <c r="K2588" s="20" t="inlineStr">
        <is>
          <t>Non-Captive</t>
        </is>
      </c>
      <c r="L2588" s="20" t="inlineStr">
        <is>
          <t>RATHEESH</t>
        </is>
      </c>
      <c r="M2588" s="23" t="n">
        <v>8474.58</v>
      </c>
    </row>
    <row r="2589">
      <c r="A2589" s="19" t="inlineStr">
        <is>
          <t>FY27</t>
        </is>
      </c>
      <c r="B2589" s="19" t="inlineStr">
        <is>
          <t>Jun</t>
        </is>
      </c>
      <c r="C2589" s="19" t="inlineStr">
        <is>
          <t>Kerala</t>
        </is>
      </c>
      <c r="D2589" s="20" t="inlineStr">
        <is>
          <t>KL39R4921</t>
        </is>
      </c>
      <c r="E2589" s="20" t="inlineStr">
        <is>
          <t>NISSAN</t>
        </is>
      </c>
      <c r="F2589" s="20" t="inlineStr">
        <is>
          <t>Magnite</t>
        </is>
      </c>
      <c r="G2589" s="21" t="n">
        <v>2021</v>
      </c>
      <c r="H2589" s="22" t="n">
        <v>38000</v>
      </c>
      <c r="I2589" s="22" t="n">
        <v>430000</v>
      </c>
      <c r="J2589" s="20" t="inlineStr">
        <is>
          <t>UCD SANTHOSH</t>
        </is>
      </c>
      <c r="K2589" s="20" t="inlineStr">
        <is>
          <t>Non-Captive</t>
        </is>
      </c>
      <c r="L2589" s="20" t="inlineStr">
        <is>
          <t>HARSHAD</t>
        </is>
      </c>
      <c r="M2589" s="23" t="n">
        <v>8474.58</v>
      </c>
    </row>
    <row r="2590">
      <c r="A2590" s="19" t="inlineStr">
        <is>
          <t>FY27</t>
        </is>
      </c>
      <c r="B2590" s="19" t="inlineStr">
        <is>
          <t>Jun</t>
        </is>
      </c>
      <c r="C2590" s="19" t="inlineStr">
        <is>
          <t>Kerala</t>
        </is>
      </c>
      <c r="D2590" s="20" t="inlineStr">
        <is>
          <t>KL54D3218</t>
        </is>
      </c>
      <c r="E2590" s="20" t="inlineStr">
        <is>
          <t>MARUTI SUZUKI</t>
        </is>
      </c>
      <c r="F2590" s="20" t="inlineStr">
        <is>
          <t>Swift</t>
        </is>
      </c>
      <c r="G2590" s="21" t="n">
        <v>2012</v>
      </c>
      <c r="H2590" s="22" t="n">
        <v>150000</v>
      </c>
      <c r="I2590" s="22" t="n">
        <v>264000</v>
      </c>
      <c r="J2590" s="20" t="inlineStr">
        <is>
          <t>POPULAR MARUTI</t>
        </is>
      </c>
      <c r="K2590" s="20" t="inlineStr">
        <is>
          <t>Non-Captive</t>
        </is>
      </c>
      <c r="L2590" s="20" t="inlineStr">
        <is>
          <t>RUKSANA CARS</t>
        </is>
      </c>
      <c r="M2590" s="23" t="n">
        <v>7627.12</v>
      </c>
    </row>
    <row r="2591">
      <c r="A2591" s="19" t="inlineStr">
        <is>
          <t>FY27</t>
        </is>
      </c>
      <c r="B2591" s="19" t="inlineStr">
        <is>
          <t>Jun</t>
        </is>
      </c>
      <c r="C2591" s="19" t="inlineStr">
        <is>
          <t>Kerala</t>
        </is>
      </c>
      <c r="D2591" s="20" t="inlineStr">
        <is>
          <t>KL23S6607</t>
        </is>
      </c>
      <c r="E2591" s="20" t="inlineStr">
        <is>
          <t>HYUNDAI</t>
        </is>
      </c>
      <c r="F2591" s="20" t="inlineStr">
        <is>
          <t>I20</t>
        </is>
      </c>
      <c r="G2591" s="21" t="n">
        <v>2020</v>
      </c>
      <c r="H2591" s="22" t="n">
        <v>21334</v>
      </c>
      <c r="I2591" s="22" t="n">
        <v>495000</v>
      </c>
      <c r="J2591" s="20" t="inlineStr">
        <is>
          <t>INCHEON KIA</t>
        </is>
      </c>
      <c r="K2591" s="20" t="inlineStr">
        <is>
          <t>Non-Captive</t>
        </is>
      </c>
      <c r="L2591" s="20" t="inlineStr">
        <is>
          <t>HAREESH</t>
        </is>
      </c>
      <c r="M2591" s="23" t="n">
        <v>8474.58</v>
      </c>
    </row>
    <row r="2592">
      <c r="A2592" s="19" t="inlineStr">
        <is>
          <t>FY27</t>
        </is>
      </c>
      <c r="B2592" s="19" t="inlineStr">
        <is>
          <t>Jun</t>
        </is>
      </c>
      <c r="C2592" s="19" t="inlineStr">
        <is>
          <t>Kerala</t>
        </is>
      </c>
      <c r="D2592" s="20" t="inlineStr">
        <is>
          <t>KL25L7266</t>
        </is>
      </c>
      <c r="E2592" s="20" t="inlineStr">
        <is>
          <t>MARUTI SUZUKI</t>
        </is>
      </c>
      <c r="F2592" s="20" t="inlineStr">
        <is>
          <t>Ertiga</t>
        </is>
      </c>
      <c r="G2592" s="21" t="n">
        <v>2018</v>
      </c>
      <c r="H2592" s="22" t="n">
        <v>102000</v>
      </c>
      <c r="I2592" s="22" t="n">
        <v>640000</v>
      </c>
      <c r="J2592" s="20" t="inlineStr">
        <is>
          <t>POPULAR MARUTI</t>
        </is>
      </c>
      <c r="K2592" s="20" t="inlineStr">
        <is>
          <t>Non-Captive</t>
        </is>
      </c>
      <c r="L2592" s="20" t="inlineStr">
        <is>
          <t>RAMSHAD</t>
        </is>
      </c>
      <c r="M2592" s="23" t="n">
        <v>8474.58</v>
      </c>
    </row>
    <row r="2593">
      <c r="A2593" s="19" t="inlineStr">
        <is>
          <t>FY27</t>
        </is>
      </c>
      <c r="B2593" s="19" t="inlineStr">
        <is>
          <t>Jun</t>
        </is>
      </c>
      <c r="C2593" s="19" t="inlineStr">
        <is>
          <t>Kerala</t>
        </is>
      </c>
      <c r="D2593" s="20" t="inlineStr">
        <is>
          <t>KL01AK2417</t>
        </is>
      </c>
      <c r="E2593" s="20" t="inlineStr">
        <is>
          <t>MARUTI SUZUKI</t>
        </is>
      </c>
      <c r="F2593" s="20" t="inlineStr">
        <is>
          <t>Wagon R</t>
        </is>
      </c>
      <c r="G2593" s="21" t="n">
        <v>2005</v>
      </c>
      <c r="H2593" s="22" t="n">
        <v>120000</v>
      </c>
      <c r="I2593" s="22" t="n">
        <v>60000</v>
      </c>
      <c r="J2593" s="20" t="inlineStr">
        <is>
          <t>POPULAR MARUTI</t>
        </is>
      </c>
      <c r="K2593" s="20" t="inlineStr">
        <is>
          <t>Non-Captive</t>
        </is>
      </c>
      <c r="L2593" s="20" t="inlineStr">
        <is>
          <t>SANTHOSH</t>
        </is>
      </c>
      <c r="M2593" s="23" t="n">
        <v>8474.58</v>
      </c>
    </row>
    <row r="2594">
      <c r="A2594" s="19" t="inlineStr">
        <is>
          <t>FY27</t>
        </is>
      </c>
      <c r="B2594" s="19" t="inlineStr">
        <is>
          <t>Jun</t>
        </is>
      </c>
      <c r="C2594" s="19" t="inlineStr">
        <is>
          <t>Kerala</t>
        </is>
      </c>
      <c r="D2594" s="20" t="inlineStr">
        <is>
          <t>KL01AT8175</t>
        </is>
      </c>
      <c r="E2594" s="20" t="inlineStr">
        <is>
          <t>HYUNDAI</t>
        </is>
      </c>
      <c r="F2594" s="20" t="inlineStr">
        <is>
          <t>Santro</t>
        </is>
      </c>
      <c r="G2594" s="21" t="n">
        <v>2000</v>
      </c>
      <c r="H2594" s="22" t="n">
        <v>85000</v>
      </c>
      <c r="I2594" s="22" t="n">
        <v>26000</v>
      </c>
      <c r="J2594" s="20" t="inlineStr">
        <is>
          <t>POPULAR MARUTI</t>
        </is>
      </c>
      <c r="K2594" s="20" t="inlineStr">
        <is>
          <t>Non-Captive</t>
        </is>
      </c>
      <c r="L2594" s="20" t="inlineStr">
        <is>
          <t>MAHESH</t>
        </is>
      </c>
      <c r="M2594" s="23" t="n">
        <v>5084.75</v>
      </c>
    </row>
    <row r="2595">
      <c r="A2595" s="19" t="inlineStr">
        <is>
          <t>FY27</t>
        </is>
      </c>
      <c r="B2595" s="19" t="inlineStr">
        <is>
          <t>Jun</t>
        </is>
      </c>
      <c r="C2595" s="19" t="inlineStr">
        <is>
          <t>Kerala</t>
        </is>
      </c>
      <c r="D2595" s="20" t="inlineStr">
        <is>
          <t>KL08AQ6896</t>
        </is>
      </c>
      <c r="E2595" s="20" t="inlineStr">
        <is>
          <t>MARUTI SUZUKI</t>
        </is>
      </c>
      <c r="F2595" s="20" t="inlineStr">
        <is>
          <t>Omni</t>
        </is>
      </c>
      <c r="G2595" s="21" t="n">
        <v>2009</v>
      </c>
      <c r="H2595" s="22" t="n">
        <v>108936</v>
      </c>
      <c r="I2595" s="22" t="n">
        <v>31000</v>
      </c>
      <c r="J2595" s="20" t="inlineStr">
        <is>
          <t>POPULAR MARUTI</t>
        </is>
      </c>
      <c r="K2595" s="20" t="inlineStr">
        <is>
          <t>Non-Captive</t>
        </is>
      </c>
      <c r="L2595" s="20" t="inlineStr">
        <is>
          <t>RAJEEV A C</t>
        </is>
      </c>
      <c r="M2595" s="23" t="n">
        <v>9322.030000000001</v>
      </c>
    </row>
    <row r="2596">
      <c r="A2596" s="19" t="inlineStr">
        <is>
          <t>FY27</t>
        </is>
      </c>
      <c r="B2596" s="19" t="inlineStr">
        <is>
          <t>Jun</t>
        </is>
      </c>
      <c r="C2596" s="19" t="inlineStr">
        <is>
          <t>Kerala</t>
        </is>
      </c>
      <c r="D2596" s="20" t="inlineStr">
        <is>
          <t>KL07BS3220</t>
        </is>
      </c>
      <c r="E2596" s="20" t="inlineStr">
        <is>
          <t>MARUTI SUZUKI</t>
        </is>
      </c>
      <c r="F2596" s="20" t="inlineStr">
        <is>
          <t>Alto</t>
        </is>
      </c>
      <c r="G2596" s="21" t="n">
        <v>2011</v>
      </c>
      <c r="H2596" s="22" t="n">
        <v>30166</v>
      </c>
      <c r="I2596" s="22" t="n">
        <v>90000</v>
      </c>
      <c r="J2596" s="20" t="inlineStr">
        <is>
          <t>POPULAR MARUTI</t>
        </is>
      </c>
      <c r="K2596" s="20" t="inlineStr">
        <is>
          <t>Non-Captive</t>
        </is>
      </c>
      <c r="L2596" s="20" t="inlineStr">
        <is>
          <t>RAFEEK T A</t>
        </is>
      </c>
      <c r="M2596" s="23" t="n">
        <v>8474.58</v>
      </c>
    </row>
    <row r="2597">
      <c r="A2597" s="19" t="inlineStr">
        <is>
          <t>FY27</t>
        </is>
      </c>
      <c r="B2597" s="19" t="inlineStr">
        <is>
          <t>Jun</t>
        </is>
      </c>
      <c r="C2597" s="19" t="inlineStr">
        <is>
          <t>Kerala</t>
        </is>
      </c>
      <c r="D2597" s="20" t="inlineStr">
        <is>
          <t>KL16H6697</t>
        </is>
      </c>
      <c r="E2597" s="20" t="inlineStr">
        <is>
          <t>HYUNDAI</t>
        </is>
      </c>
      <c r="F2597" s="20" t="inlineStr">
        <is>
          <t>I10</t>
        </is>
      </c>
      <c r="G2597" s="21" t="n">
        <v>2012</v>
      </c>
      <c r="H2597" s="22" t="n">
        <v>115767</v>
      </c>
      <c r="I2597" s="22" t="n">
        <v>130000</v>
      </c>
      <c r="J2597" s="20" t="inlineStr">
        <is>
          <t>AMRITH V CHANDY</t>
        </is>
      </c>
      <c r="K2597" s="20" t="inlineStr">
        <is>
          <t>Non-Captive</t>
        </is>
      </c>
      <c r="L2597" s="20" t="inlineStr">
        <is>
          <t>MAXX DRIVE</t>
        </is>
      </c>
      <c r="M2597" s="23" t="n">
        <v>8474.58</v>
      </c>
    </row>
    <row r="2598">
      <c r="A2598" s="19" t="inlineStr">
        <is>
          <t>FY27</t>
        </is>
      </c>
      <c r="B2598" s="19" t="inlineStr">
        <is>
          <t>Jun</t>
        </is>
      </c>
      <c r="C2598" s="19" t="inlineStr">
        <is>
          <t>Kerala</t>
        </is>
      </c>
      <c r="D2598" s="20" t="inlineStr">
        <is>
          <t>KL27M7417</t>
        </is>
      </c>
      <c r="E2598" s="20" t="inlineStr">
        <is>
          <t>NISSAN</t>
        </is>
      </c>
      <c r="F2598" s="20" t="inlineStr">
        <is>
          <t>Magnite</t>
        </is>
      </c>
      <c r="G2598" s="21" t="n">
        <v>2024</v>
      </c>
      <c r="H2598" s="22" t="n">
        <v>13500</v>
      </c>
      <c r="I2598" s="22" t="n">
        <v>625000</v>
      </c>
      <c r="J2598" s="20" t="inlineStr">
        <is>
          <t>AUTOMOTIVE</t>
        </is>
      </c>
      <c r="K2598" s="20" t="inlineStr">
        <is>
          <t>Non-Captive</t>
        </is>
      </c>
      <c r="L2598" s="20" t="inlineStr">
        <is>
          <t>HAVEN MOTORS</t>
        </is>
      </c>
      <c r="M2598" s="23" t="n">
        <v>8474.58</v>
      </c>
    </row>
    <row r="2599">
      <c r="A2599" s="19" t="inlineStr">
        <is>
          <t>FY27</t>
        </is>
      </c>
      <c r="B2599" s="19" t="inlineStr">
        <is>
          <t>Jun</t>
        </is>
      </c>
      <c r="C2599" s="19" t="inlineStr">
        <is>
          <t>Kerala</t>
        </is>
      </c>
      <c r="D2599" s="20" t="inlineStr">
        <is>
          <t>KL08BN9182</t>
        </is>
      </c>
      <c r="E2599" s="20" t="inlineStr">
        <is>
          <t>MARUTI SUZUKI</t>
        </is>
      </c>
      <c r="F2599" s="20" t="inlineStr">
        <is>
          <t>Brezza</t>
        </is>
      </c>
      <c r="G2599" s="21" t="n">
        <v>2017</v>
      </c>
      <c r="H2599" s="22" t="n">
        <v>37000</v>
      </c>
      <c r="I2599" s="22" t="n">
        <v>630000</v>
      </c>
      <c r="J2599" s="20" t="inlineStr">
        <is>
          <t>EVM CITROEN</t>
        </is>
      </c>
      <c r="K2599" s="20" t="inlineStr">
        <is>
          <t>Non-Captive</t>
        </is>
      </c>
      <c r="L2599" s="20" t="inlineStr">
        <is>
          <t>HAVEN MOTORS</t>
        </is>
      </c>
      <c r="M2599" s="23" t="n">
        <v>8474.58</v>
      </c>
    </row>
    <row r="2600">
      <c r="A2600" s="19" t="inlineStr">
        <is>
          <t>FY27</t>
        </is>
      </c>
      <c r="B2600" s="19" t="inlineStr">
        <is>
          <t>Jun</t>
        </is>
      </c>
      <c r="C2600" s="19" t="inlineStr">
        <is>
          <t>Kerala</t>
        </is>
      </c>
      <c r="D2600" s="20" t="inlineStr">
        <is>
          <t>KL63B7641</t>
        </is>
      </c>
      <c r="E2600" s="20" t="inlineStr">
        <is>
          <t>TATA</t>
        </is>
      </c>
      <c r="F2600" s="20" t="inlineStr">
        <is>
          <t>Nano</t>
        </is>
      </c>
      <c r="G2600" s="21" t="n">
        <v>2014</v>
      </c>
      <c r="H2600" s="22" t="n">
        <v>78390</v>
      </c>
      <c r="I2600" s="22" t="n">
        <v>35000</v>
      </c>
      <c r="J2600" s="20" t="inlineStr">
        <is>
          <t>POPULAR MARUTI</t>
        </is>
      </c>
      <c r="K2600" s="20" t="inlineStr">
        <is>
          <t>Non-Captive</t>
        </is>
      </c>
      <c r="L2600" s="20" t="inlineStr">
        <is>
          <t>RAFEEK T A</t>
        </is>
      </c>
      <c r="M2600" s="23" t="n">
        <v>8474.58</v>
      </c>
    </row>
    <row r="2601">
      <c r="A2601" s="19" t="inlineStr">
        <is>
          <t>FY27</t>
        </is>
      </c>
      <c r="B2601" s="19" t="inlineStr">
        <is>
          <t>Jun</t>
        </is>
      </c>
      <c r="C2601" s="19" t="inlineStr">
        <is>
          <t>Kerala</t>
        </is>
      </c>
      <c r="D2601" s="20" t="inlineStr">
        <is>
          <t>KL07AH4199</t>
        </is>
      </c>
      <c r="E2601" s="20" t="inlineStr">
        <is>
          <t>MARUTI SUZUKI</t>
        </is>
      </c>
      <c r="F2601" s="20" t="inlineStr">
        <is>
          <t>M800</t>
        </is>
      </c>
      <c r="G2601" s="21" t="n">
        <v>2002</v>
      </c>
      <c r="H2601" s="22" t="n">
        <v>132432</v>
      </c>
      <c r="I2601" s="22" t="n">
        <v>25000</v>
      </c>
      <c r="J2601" s="20" t="inlineStr">
        <is>
          <t>POPULAR MARUTI</t>
        </is>
      </c>
      <c r="K2601" s="20" t="inlineStr">
        <is>
          <t>Non-Captive</t>
        </is>
      </c>
      <c r="L2601" s="20" t="inlineStr">
        <is>
          <t>ABHINASH P V</t>
        </is>
      </c>
      <c r="M2601" s="23" t="n">
        <v>8474.58</v>
      </c>
    </row>
    <row r="2602">
      <c r="A2602" s="19" t="inlineStr">
        <is>
          <t>FY27</t>
        </is>
      </c>
      <c r="B2602" s="19" t="inlineStr">
        <is>
          <t>Jun</t>
        </is>
      </c>
      <c r="C2602" s="19" t="inlineStr">
        <is>
          <t>Kerala</t>
        </is>
      </c>
      <c r="D2602" s="20" t="inlineStr">
        <is>
          <t>KL24J1157</t>
        </is>
      </c>
      <c r="E2602" s="20" t="inlineStr">
        <is>
          <t>MARUTI SUZUKI</t>
        </is>
      </c>
      <c r="F2602" s="20" t="inlineStr">
        <is>
          <t>Ertiga</t>
        </is>
      </c>
      <c r="G2602" s="21" t="n">
        <v>2014</v>
      </c>
      <c r="H2602" s="22" t="n">
        <v>93000</v>
      </c>
      <c r="I2602" s="22" t="n">
        <v>300000</v>
      </c>
      <c r="J2602" s="20" t="inlineStr">
        <is>
          <t>AKHILNATH</t>
        </is>
      </c>
      <c r="K2602" s="20" t="inlineStr">
        <is>
          <t>Non-Captive</t>
        </is>
      </c>
      <c r="L2602" s="20" t="inlineStr">
        <is>
          <t>RATHEESH V</t>
        </is>
      </c>
      <c r="M2602" s="23" t="n">
        <v>5932.2</v>
      </c>
    </row>
    <row r="2603">
      <c r="A2603" s="19" t="inlineStr">
        <is>
          <t>FY27</t>
        </is>
      </c>
      <c r="B2603" s="19" t="inlineStr">
        <is>
          <t>Jun</t>
        </is>
      </c>
      <c r="C2603" s="19" t="inlineStr">
        <is>
          <t>Kerala</t>
        </is>
      </c>
      <c r="D2603" s="20" t="inlineStr">
        <is>
          <t>KL06H0250</t>
        </is>
      </c>
      <c r="E2603" s="20" t="inlineStr">
        <is>
          <t>MARUTI SUZUKI</t>
        </is>
      </c>
      <c r="F2603" s="20" t="inlineStr">
        <is>
          <t>Swift</t>
        </is>
      </c>
      <c r="G2603" s="21" t="n">
        <v>2014</v>
      </c>
      <c r="H2603" s="22" t="n">
        <v>164252</v>
      </c>
      <c r="I2603" s="22" t="n">
        <v>220000</v>
      </c>
      <c r="J2603" s="20" t="inlineStr">
        <is>
          <t>POPULAR MARUTI</t>
        </is>
      </c>
      <c r="K2603" s="20" t="inlineStr">
        <is>
          <t>Non-Captive</t>
        </is>
      </c>
      <c r="L2603" s="20" t="inlineStr">
        <is>
          <t>MUHAMMAD SHAJI</t>
        </is>
      </c>
      <c r="M2603" s="23" t="n">
        <v>12711.86</v>
      </c>
    </row>
    <row r="2604">
      <c r="A2604" s="19" t="inlineStr">
        <is>
          <t>FY27</t>
        </is>
      </c>
      <c r="B2604" s="19" t="inlineStr">
        <is>
          <t>Jun</t>
        </is>
      </c>
      <c r="C2604" s="19" t="inlineStr">
        <is>
          <t>Kerala</t>
        </is>
      </c>
      <c r="D2604" s="20" t="inlineStr">
        <is>
          <t>KL59D7869</t>
        </is>
      </c>
      <c r="E2604" s="20" t="inlineStr">
        <is>
          <t>MAHINDRA</t>
        </is>
      </c>
      <c r="F2604" s="20" t="inlineStr">
        <is>
          <t>Verito</t>
        </is>
      </c>
      <c r="G2604" s="21" t="n">
        <v>2011</v>
      </c>
      <c r="H2604" s="22" t="n">
        <v>160000</v>
      </c>
      <c r="I2604" s="22" t="n">
        <v>68000</v>
      </c>
      <c r="J2604" s="20" t="inlineStr">
        <is>
          <t>POPULAR MARUTI</t>
        </is>
      </c>
      <c r="K2604" s="20" t="inlineStr">
        <is>
          <t>Non-Captive</t>
        </is>
      </c>
      <c r="L2604" s="20" t="inlineStr">
        <is>
          <t>SARITH</t>
        </is>
      </c>
      <c r="M2604" s="23" t="n">
        <v>6779.66</v>
      </c>
    </row>
    <row r="2605">
      <c r="A2605" s="19" t="inlineStr">
        <is>
          <t>FY27</t>
        </is>
      </c>
      <c r="B2605" s="19" t="inlineStr">
        <is>
          <t>Jun</t>
        </is>
      </c>
      <c r="C2605" s="19" t="inlineStr">
        <is>
          <t>Kerala</t>
        </is>
      </c>
      <c r="D2605" s="20" t="inlineStr">
        <is>
          <t>KL540980</t>
        </is>
      </c>
      <c r="E2605" s="20" t="inlineStr">
        <is>
          <t>MARUTI SUZUKI</t>
        </is>
      </c>
      <c r="F2605" s="20" t="inlineStr">
        <is>
          <t>M800</t>
        </is>
      </c>
      <c r="G2605" s="21" t="n">
        <v>2006</v>
      </c>
      <c r="H2605" s="22" t="n">
        <v>208000</v>
      </c>
      <c r="I2605" s="22" t="n">
        <v>14000</v>
      </c>
      <c r="J2605" s="20" t="inlineStr">
        <is>
          <t>UCD ADVAITH</t>
        </is>
      </c>
      <c r="K2605" s="20" t="inlineStr">
        <is>
          <t>Non-Captive</t>
        </is>
      </c>
      <c r="L2605" s="20" t="inlineStr">
        <is>
          <t>AUTOTRUST</t>
        </is>
      </c>
      <c r="M2605" s="23" t="n">
        <v>5084.75</v>
      </c>
    </row>
    <row r="2606">
      <c r="A2606" s="19" t="inlineStr">
        <is>
          <t>FY27</t>
        </is>
      </c>
      <c r="B2606" s="19" t="inlineStr">
        <is>
          <t>Jun</t>
        </is>
      </c>
      <c r="C2606" s="19" t="inlineStr">
        <is>
          <t>Kerala</t>
        </is>
      </c>
      <c r="D2606" s="20" t="inlineStr">
        <is>
          <t>KL57D8257</t>
        </is>
      </c>
      <c r="E2606" s="20" t="inlineStr">
        <is>
          <t>MARUTI SUZUKI</t>
        </is>
      </c>
      <c r="F2606" s="20" t="inlineStr">
        <is>
          <t>Ritz</t>
        </is>
      </c>
      <c r="G2606" s="21" t="n">
        <v>2011</v>
      </c>
      <c r="H2606" s="22" t="n">
        <v>95000</v>
      </c>
      <c r="I2606" s="22" t="n">
        <v>105000</v>
      </c>
      <c r="J2606" s="20" t="inlineStr">
        <is>
          <t>UCD NITHEESH</t>
        </is>
      </c>
      <c r="K2606" s="20" t="inlineStr">
        <is>
          <t>Non-Captive</t>
        </is>
      </c>
      <c r="L2606" s="20" t="inlineStr">
        <is>
          <t>RATHEESH</t>
        </is>
      </c>
      <c r="M2606" s="23" t="n">
        <v>4237.29</v>
      </c>
    </row>
    <row r="2607">
      <c r="A2607" s="19" t="inlineStr">
        <is>
          <t>FY27</t>
        </is>
      </c>
      <c r="B2607" s="19" t="inlineStr">
        <is>
          <t>Jun</t>
        </is>
      </c>
      <c r="C2607" s="19" t="inlineStr">
        <is>
          <t>Kerala</t>
        </is>
      </c>
      <c r="D2607" s="20" t="inlineStr">
        <is>
          <t>KL51J5500</t>
        </is>
      </c>
      <c r="E2607" s="20" t="inlineStr">
        <is>
          <t>MAHINDRA</t>
        </is>
      </c>
      <c r="F2607" s="20" t="inlineStr">
        <is>
          <t>Xuv500</t>
        </is>
      </c>
      <c r="G2607" s="21" t="n">
        <v>2018</v>
      </c>
      <c r="H2607" s="22" t="n">
        <v>77000</v>
      </c>
      <c r="I2607" s="22" t="n">
        <v>810000</v>
      </c>
      <c r="J2607" s="20" t="inlineStr">
        <is>
          <t>MARVEL</t>
        </is>
      </c>
      <c r="K2607" s="20" t="inlineStr">
        <is>
          <t>Non-Captive</t>
        </is>
      </c>
      <c r="L2607" s="20" t="inlineStr">
        <is>
          <t>SHAROOQUE ANAS</t>
        </is>
      </c>
      <c r="M2607" s="23" t="n">
        <v>8474.58</v>
      </c>
    </row>
    <row r="2608">
      <c r="A2608" s="19" t="inlineStr">
        <is>
          <t>FY27</t>
        </is>
      </c>
      <c r="B2608" s="19" t="inlineStr">
        <is>
          <t>Jun</t>
        </is>
      </c>
      <c r="C2608" s="19" t="inlineStr">
        <is>
          <t>Kerala</t>
        </is>
      </c>
      <c r="D2608" s="20" t="inlineStr">
        <is>
          <t>KL56F5335</t>
        </is>
      </c>
      <c r="E2608" s="20" t="inlineStr">
        <is>
          <t>FIAT</t>
        </is>
      </c>
      <c r="F2608" s="20" t="inlineStr">
        <is>
          <t>Punto</t>
        </is>
      </c>
      <c r="G2608" s="21" t="n">
        <v>2012</v>
      </c>
      <c r="H2608" s="22" t="n">
        <v>80000</v>
      </c>
      <c r="I2608" s="22" t="n">
        <v>110000</v>
      </c>
      <c r="J2608" s="20" t="inlineStr">
        <is>
          <t>APCO HONDA</t>
        </is>
      </c>
      <c r="K2608" s="20" t="inlineStr">
        <is>
          <t>Non-Captive</t>
        </is>
      </c>
      <c r="L2608" s="20" t="inlineStr">
        <is>
          <t>RUKSANA CARS</t>
        </is>
      </c>
      <c r="M2608" s="23" t="n">
        <v>8474.58</v>
      </c>
    </row>
    <row r="2609">
      <c r="A2609" s="19" t="inlineStr">
        <is>
          <t>FY27</t>
        </is>
      </c>
      <c r="B2609" s="19" t="inlineStr">
        <is>
          <t>Jun</t>
        </is>
      </c>
      <c r="C2609" s="19" t="inlineStr">
        <is>
          <t>Kerala</t>
        </is>
      </c>
      <c r="D2609" s="20" t="inlineStr">
        <is>
          <t>KL31J9894</t>
        </is>
      </c>
      <c r="E2609" s="20" t="inlineStr">
        <is>
          <t>MARUTI SUZUKI</t>
        </is>
      </c>
      <c r="F2609" s="20" t="inlineStr">
        <is>
          <t>Swift Dzire</t>
        </is>
      </c>
      <c r="G2609" s="21" t="n">
        <v>2016</v>
      </c>
      <c r="H2609" s="22" t="n">
        <v>59000</v>
      </c>
      <c r="I2609" s="22" t="n">
        <v>310000</v>
      </c>
      <c r="J2609" s="20" t="inlineStr">
        <is>
          <t>AMANA TOYOTA</t>
        </is>
      </c>
      <c r="K2609" s="20" t="inlineStr">
        <is>
          <t>Non-Captive</t>
        </is>
      </c>
      <c r="L2609" s="20" t="inlineStr">
        <is>
          <t>THANSEER CARS</t>
        </is>
      </c>
      <c r="M2609" s="23" t="n">
        <v>8474.58</v>
      </c>
    </row>
    <row r="2610">
      <c r="A2610" s="19" t="inlineStr">
        <is>
          <t>FY27</t>
        </is>
      </c>
      <c r="B2610" s="19" t="inlineStr">
        <is>
          <t>Jun</t>
        </is>
      </c>
      <c r="C2610" s="19" t="inlineStr">
        <is>
          <t>Kerala</t>
        </is>
      </c>
      <c r="D2610" s="20" t="inlineStr">
        <is>
          <t>KL59L1096</t>
        </is>
      </c>
      <c r="E2610" s="20" t="inlineStr">
        <is>
          <t>MARUTI SUZUKI</t>
        </is>
      </c>
      <c r="F2610" s="20" t="inlineStr">
        <is>
          <t>Swift</t>
        </is>
      </c>
      <c r="G2610" s="21" t="n">
        <v>2015</v>
      </c>
      <c r="H2610" s="22" t="n">
        <v>152000</v>
      </c>
      <c r="I2610" s="22" t="n">
        <v>235000</v>
      </c>
      <c r="J2610" s="20" t="inlineStr">
        <is>
          <t>MARVEL CARS</t>
        </is>
      </c>
      <c r="K2610" s="20" t="inlineStr">
        <is>
          <t>Non-Captive</t>
        </is>
      </c>
      <c r="L2610" s="20" t="inlineStr">
        <is>
          <t>RATHEESH V</t>
        </is>
      </c>
      <c r="M2610" s="23" t="n">
        <v>12711.86</v>
      </c>
    </row>
    <row r="2611">
      <c r="A2611" s="19" t="inlineStr">
        <is>
          <t>FY27</t>
        </is>
      </c>
      <c r="B2611" s="19" t="inlineStr">
        <is>
          <t>Jun</t>
        </is>
      </c>
      <c r="C2611" s="19" t="inlineStr">
        <is>
          <t>Kerala</t>
        </is>
      </c>
      <c r="D2611" s="20" t="inlineStr">
        <is>
          <t>KL18AD0975</t>
        </is>
      </c>
      <c r="E2611" s="20" t="inlineStr">
        <is>
          <t>MARUTI SUZUKI</t>
        </is>
      </c>
      <c r="F2611" s="20" t="inlineStr">
        <is>
          <t>Swift</t>
        </is>
      </c>
      <c r="G2611" s="21" t="n">
        <v>2023</v>
      </c>
      <c r="H2611" s="22" t="n">
        <v>40000</v>
      </c>
      <c r="I2611" s="22" t="n">
        <v>607000</v>
      </c>
      <c r="J2611" s="20" t="inlineStr">
        <is>
          <t>BIMAL</t>
        </is>
      </c>
      <c r="K2611" s="20" t="inlineStr">
        <is>
          <t>Non-Captive</t>
        </is>
      </c>
      <c r="L2611" s="20" t="inlineStr">
        <is>
          <t>SARITH</t>
        </is>
      </c>
      <c r="M2611" s="23" t="n">
        <v>5932.2</v>
      </c>
    </row>
    <row r="2612">
      <c r="A2612" s="19" t="inlineStr">
        <is>
          <t>FY27</t>
        </is>
      </c>
      <c r="B2612" s="19" t="inlineStr">
        <is>
          <t>Jun</t>
        </is>
      </c>
      <c r="C2612" s="19" t="inlineStr">
        <is>
          <t>Kerala</t>
        </is>
      </c>
      <c r="D2612" s="20" t="inlineStr">
        <is>
          <t>KL18U0592</t>
        </is>
      </c>
      <c r="E2612" s="20" t="inlineStr">
        <is>
          <t>RENAULT</t>
        </is>
      </c>
      <c r="F2612" s="20" t="inlineStr">
        <is>
          <t>Kwid</t>
        </is>
      </c>
      <c r="G2612" s="21" t="n">
        <v>2017</v>
      </c>
      <c r="H2612" s="22" t="n">
        <v>120000</v>
      </c>
      <c r="I2612" s="22" t="n">
        <v>110000</v>
      </c>
      <c r="J2612" s="20" t="inlineStr">
        <is>
          <t>BIMAL</t>
        </is>
      </c>
      <c r="K2612" s="20" t="inlineStr">
        <is>
          <t>Non-Captive</t>
        </is>
      </c>
      <c r="L2612" s="20" t="inlineStr">
        <is>
          <t>RUKSANA CARS</t>
        </is>
      </c>
      <c r="M2612" s="23" t="n">
        <v>8474.58</v>
      </c>
    </row>
    <row r="2613">
      <c r="A2613" s="19" t="inlineStr">
        <is>
          <t>FY27</t>
        </is>
      </c>
      <c r="B2613" s="19" t="inlineStr">
        <is>
          <t>Jun</t>
        </is>
      </c>
      <c r="C2613" s="19" t="inlineStr">
        <is>
          <t>Kerala</t>
        </is>
      </c>
      <c r="D2613" s="20" t="inlineStr">
        <is>
          <t>KL08AN0023</t>
        </is>
      </c>
      <c r="E2613" s="20" t="inlineStr">
        <is>
          <t>TATA</t>
        </is>
      </c>
      <c r="F2613" s="20" t="inlineStr">
        <is>
          <t>Indica</t>
        </is>
      </c>
      <c r="G2613" s="21" t="n">
        <v>2007</v>
      </c>
      <c r="H2613" s="22" t="n">
        <v>101138</v>
      </c>
      <c r="I2613" s="22" t="n">
        <v>35000</v>
      </c>
      <c r="J2613" s="20" t="inlineStr">
        <is>
          <t>POPULAR MARUTI</t>
        </is>
      </c>
      <c r="K2613" s="20" t="inlineStr">
        <is>
          <t>Non-Captive</t>
        </is>
      </c>
      <c r="L2613" s="20" t="inlineStr">
        <is>
          <t>RAFEEK T A</t>
        </is>
      </c>
      <c r="M2613" s="23" t="n">
        <v>8474.58</v>
      </c>
    </row>
    <row r="2614">
      <c r="A2614" s="19" t="inlineStr">
        <is>
          <t>FY27</t>
        </is>
      </c>
      <c r="B2614" s="19" t="inlineStr">
        <is>
          <t>Jun</t>
        </is>
      </c>
      <c r="C2614" s="19" t="inlineStr">
        <is>
          <t>Kerala</t>
        </is>
      </c>
      <c r="D2614" s="20" t="inlineStr">
        <is>
          <t>KL620336</t>
        </is>
      </c>
      <c r="E2614" s="20" t="inlineStr">
        <is>
          <t>HYUNDAI</t>
        </is>
      </c>
      <c r="F2614" s="20" t="inlineStr">
        <is>
          <t>Santro</t>
        </is>
      </c>
      <c r="G2614" s="21" t="n">
        <v>2011</v>
      </c>
      <c r="H2614" s="22" t="n">
        <v>81890</v>
      </c>
      <c r="I2614" s="22" t="n">
        <v>93000</v>
      </c>
      <c r="J2614" s="20" t="inlineStr">
        <is>
          <t>GOKULAM TATA</t>
        </is>
      </c>
      <c r="K2614" s="20" t="inlineStr">
        <is>
          <t>Non-Captive</t>
        </is>
      </c>
      <c r="L2614" s="20" t="inlineStr">
        <is>
          <t>HUSSAIN O E</t>
        </is>
      </c>
      <c r="M2614" s="23" t="n">
        <v>8474.58</v>
      </c>
    </row>
    <row r="2615">
      <c r="A2615" s="19" t="inlineStr">
        <is>
          <t>FY27</t>
        </is>
      </c>
      <c r="B2615" s="19" t="inlineStr">
        <is>
          <t>Jun</t>
        </is>
      </c>
      <c r="C2615" s="19" t="inlineStr">
        <is>
          <t>Kerala</t>
        </is>
      </c>
      <c r="D2615" s="20" t="inlineStr">
        <is>
          <t>KL32M1717</t>
        </is>
      </c>
      <c r="E2615" s="20" t="inlineStr">
        <is>
          <t>MARUTI SUZUKI</t>
        </is>
      </c>
      <c r="F2615" s="20" t="inlineStr">
        <is>
          <t>Swift</t>
        </is>
      </c>
      <c r="G2615" s="21" t="n">
        <v>2018</v>
      </c>
      <c r="H2615" s="22" t="n">
        <v>90000</v>
      </c>
      <c r="I2615" s="22" t="n">
        <v>502000</v>
      </c>
      <c r="J2615" s="20" t="inlineStr">
        <is>
          <t>ERAM MOTORS</t>
        </is>
      </c>
      <c r="K2615" s="20" t="inlineStr">
        <is>
          <t>Non-Captive</t>
        </is>
      </c>
      <c r="L2615" s="20" t="inlineStr">
        <is>
          <t>HAVEN MOTORS</t>
        </is>
      </c>
      <c r="M2615" s="23" t="n">
        <v>8474.58</v>
      </c>
    </row>
    <row r="2616">
      <c r="A2616" s="19" t="inlineStr">
        <is>
          <t>FY27</t>
        </is>
      </c>
      <c r="B2616" s="19" t="inlineStr">
        <is>
          <t>Jun</t>
        </is>
      </c>
      <c r="C2616" s="19" t="inlineStr">
        <is>
          <t>Kerala</t>
        </is>
      </c>
      <c r="D2616" s="20" t="inlineStr">
        <is>
          <t>KL04AT5471</t>
        </is>
      </c>
      <c r="E2616" s="20" t="inlineStr">
        <is>
          <t>TATA</t>
        </is>
      </c>
      <c r="F2616" s="20" t="inlineStr">
        <is>
          <t>Punch</t>
        </is>
      </c>
      <c r="G2616" s="21" t="n">
        <v>2023</v>
      </c>
      <c r="H2616" s="22" t="n">
        <v>18456</v>
      </c>
      <c r="I2616" s="22" t="n">
        <v>510000</v>
      </c>
      <c r="J2616" s="20" t="inlineStr">
        <is>
          <t>KESHVIN HYUNDAI</t>
        </is>
      </c>
      <c r="K2616" s="20" t="inlineStr">
        <is>
          <t>Non-Captive</t>
        </is>
      </c>
      <c r="L2616" s="20" t="inlineStr">
        <is>
          <t>AITOS CARS</t>
        </is>
      </c>
      <c r="M2616" s="23" t="n">
        <v>8474.58</v>
      </c>
    </row>
    <row r="2617">
      <c r="A2617" s="19" t="inlineStr">
        <is>
          <t>FY27</t>
        </is>
      </c>
      <c r="B2617" s="19" t="inlineStr">
        <is>
          <t>Jun</t>
        </is>
      </c>
      <c r="C2617" s="19" t="inlineStr">
        <is>
          <t>Kerala</t>
        </is>
      </c>
      <c r="D2617" s="20" t="inlineStr">
        <is>
          <t>KL60D7693</t>
        </is>
      </c>
      <c r="E2617" s="20" t="inlineStr">
        <is>
          <t>MARUTI SUZUKI</t>
        </is>
      </c>
      <c r="F2617" s="20" t="inlineStr">
        <is>
          <t>Swift</t>
        </is>
      </c>
      <c r="G2617" s="21" t="n">
        <v>2012</v>
      </c>
      <c r="H2617" s="22" t="n">
        <v>84300</v>
      </c>
      <c r="I2617" s="22" t="n">
        <v>200000</v>
      </c>
      <c r="J2617" s="20" t="inlineStr">
        <is>
          <t>KVR TATA</t>
        </is>
      </c>
      <c r="K2617" s="20" t="inlineStr">
        <is>
          <t>Non-Captive</t>
        </is>
      </c>
      <c r="L2617" s="20" t="inlineStr">
        <is>
          <t>VISHNU M S</t>
        </is>
      </c>
      <c r="M2617" s="23" t="n">
        <v>8474.58</v>
      </c>
    </row>
    <row r="2618">
      <c r="A2618" s="19" t="inlineStr">
        <is>
          <t>FY27</t>
        </is>
      </c>
      <c r="B2618" s="19" t="inlineStr">
        <is>
          <t>Jun</t>
        </is>
      </c>
      <c r="C2618" s="19" t="inlineStr">
        <is>
          <t>Kerala</t>
        </is>
      </c>
      <c r="D2618" s="20" t="inlineStr">
        <is>
          <t>KL48A2108</t>
        </is>
      </c>
      <c r="E2618" s="20" t="inlineStr">
        <is>
          <t>MARUTI SUZUKI</t>
        </is>
      </c>
      <c r="F2618" s="20" t="inlineStr">
        <is>
          <t>Alto</t>
        </is>
      </c>
      <c r="G2618" s="21" t="n">
        <v>2008</v>
      </c>
      <c r="H2618" s="22" t="n">
        <v>66537</v>
      </c>
      <c r="I2618" s="22" t="n">
        <v>80000</v>
      </c>
      <c r="J2618" s="20" t="inlineStr">
        <is>
          <t>POPULAR MARUTI</t>
        </is>
      </c>
      <c r="K2618" s="20" t="inlineStr">
        <is>
          <t>Non-Captive</t>
        </is>
      </c>
      <c r="L2618" s="20" t="inlineStr">
        <is>
          <t>HONEY</t>
        </is>
      </c>
      <c r="M2618" s="23" t="n">
        <v>8474.58</v>
      </c>
    </row>
    <row r="2619">
      <c r="A2619" s="19" t="inlineStr">
        <is>
          <t>FY27</t>
        </is>
      </c>
      <c r="B2619" s="19" t="inlineStr">
        <is>
          <t>Jun</t>
        </is>
      </c>
      <c r="C2619" s="19" t="inlineStr">
        <is>
          <t>Kerala</t>
        </is>
      </c>
      <c r="D2619" s="20" t="inlineStr">
        <is>
          <t>KL23P6390</t>
        </is>
      </c>
      <c r="E2619" s="20" t="inlineStr">
        <is>
          <t>TATA</t>
        </is>
      </c>
      <c r="F2619" s="20" t="inlineStr">
        <is>
          <t>Tigore</t>
        </is>
      </c>
      <c r="G2619" s="21" t="n">
        <v>2017</v>
      </c>
      <c r="H2619" s="22" t="n">
        <v>98755</v>
      </c>
      <c r="I2619" s="22" t="n">
        <v>275000</v>
      </c>
      <c r="J2619" s="20" t="inlineStr">
        <is>
          <t>POPULAR MARUTI</t>
        </is>
      </c>
      <c r="K2619" s="20" t="inlineStr">
        <is>
          <t>Non-Captive</t>
        </is>
      </c>
      <c r="L2619" s="20" t="inlineStr">
        <is>
          <t>FAHAD (Auto Bot Kannur)</t>
        </is>
      </c>
      <c r="M2619" s="23" t="n">
        <v>21186.44</v>
      </c>
    </row>
    <row r="2620">
      <c r="A2620" s="19" t="inlineStr">
        <is>
          <t>FY27</t>
        </is>
      </c>
      <c r="B2620" s="19" t="inlineStr">
        <is>
          <t>Jun</t>
        </is>
      </c>
      <c r="C2620" s="19" t="inlineStr">
        <is>
          <t>Kerala</t>
        </is>
      </c>
      <c r="D2620" s="20" t="inlineStr">
        <is>
          <t>KL07BZ3376</t>
        </is>
      </c>
      <c r="E2620" s="20" t="inlineStr">
        <is>
          <t>MAHINDRA</t>
        </is>
      </c>
      <c r="F2620" s="20" t="inlineStr">
        <is>
          <t>Verito</t>
        </is>
      </c>
      <c r="G2620" s="21" t="n">
        <v>2013</v>
      </c>
      <c r="H2620" s="22" t="n">
        <v>256000</v>
      </c>
      <c r="I2620" s="22" t="n">
        <v>60000</v>
      </c>
      <c r="J2620" s="20" t="inlineStr">
        <is>
          <t>SAI MARUTI</t>
        </is>
      </c>
      <c r="K2620" s="20" t="inlineStr">
        <is>
          <t>Non-Captive</t>
        </is>
      </c>
      <c r="L2620" s="20" t="inlineStr">
        <is>
          <t>RAFEEK T A</t>
        </is>
      </c>
      <c r="M2620" s="23" t="n">
        <v>8474.58</v>
      </c>
    </row>
    <row r="2621">
      <c r="A2621" s="19" t="inlineStr">
        <is>
          <t>FY27</t>
        </is>
      </c>
      <c r="B2621" s="19" t="inlineStr">
        <is>
          <t>Jun</t>
        </is>
      </c>
      <c r="C2621" s="19" t="inlineStr">
        <is>
          <t>Kerala</t>
        </is>
      </c>
      <c r="D2621" s="20" t="inlineStr">
        <is>
          <t>KL42N5612</t>
        </is>
      </c>
      <c r="E2621" s="20" t="inlineStr">
        <is>
          <t>TOYOTA</t>
        </is>
      </c>
      <c r="F2621" s="20" t="inlineStr">
        <is>
          <t>Corolla</t>
        </is>
      </c>
      <c r="G2621" s="21" t="n">
        <v>2006</v>
      </c>
      <c r="H2621" s="22" t="n">
        <v>97400</v>
      </c>
      <c r="I2621" s="22" t="n">
        <v>110000</v>
      </c>
      <c r="J2621" s="20" t="inlineStr">
        <is>
          <t>EVM SKODA</t>
        </is>
      </c>
      <c r="K2621" s="20" t="inlineStr">
        <is>
          <t>Non-Captive</t>
        </is>
      </c>
      <c r="L2621" s="20" t="inlineStr">
        <is>
          <t>DINESH P S</t>
        </is>
      </c>
      <c r="M2621" s="23" t="n">
        <v>8474.58</v>
      </c>
    </row>
    <row r="2622">
      <c r="A2622" s="19" t="inlineStr">
        <is>
          <t>FY27</t>
        </is>
      </c>
      <c r="B2622" s="19" t="inlineStr">
        <is>
          <t>Jun</t>
        </is>
      </c>
      <c r="C2622" s="19" t="inlineStr">
        <is>
          <t>Kerala</t>
        </is>
      </c>
      <c r="D2622" s="20" t="inlineStr">
        <is>
          <t>KL05AP5775</t>
        </is>
      </c>
      <c r="E2622" s="20" t="inlineStr">
        <is>
          <t>FORD</t>
        </is>
      </c>
      <c r="F2622" s="20" t="inlineStr">
        <is>
          <t>Figo</t>
        </is>
      </c>
      <c r="G2622" s="21" t="n">
        <v>2017</v>
      </c>
      <c r="H2622" s="22" t="n">
        <v>99547</v>
      </c>
      <c r="I2622" s="22" t="n">
        <v>235000</v>
      </c>
      <c r="J2622" s="20" t="inlineStr">
        <is>
          <t>PHOENIX VOLKSWAGEN</t>
        </is>
      </c>
      <c r="K2622" s="20" t="inlineStr">
        <is>
          <t>Non-Captive</t>
        </is>
      </c>
      <c r="L2622" s="20" t="inlineStr">
        <is>
          <t>AITOS CARS</t>
        </is>
      </c>
      <c r="M2622" s="23" t="n">
        <v>8474.58</v>
      </c>
    </row>
    <row r="2623">
      <c r="A2623" s="19" t="inlineStr">
        <is>
          <t>FY27</t>
        </is>
      </c>
      <c r="B2623" s="19" t="inlineStr">
        <is>
          <t>Jun</t>
        </is>
      </c>
      <c r="C2623" s="19" t="inlineStr">
        <is>
          <t>Kerala</t>
        </is>
      </c>
      <c r="D2623" s="20" t="inlineStr">
        <is>
          <t>KL04AH4379</t>
        </is>
      </c>
      <c r="E2623" s="20" t="inlineStr">
        <is>
          <t>VOLKSWAGEN</t>
        </is>
      </c>
      <c r="F2623" s="20" t="inlineStr">
        <is>
          <t>Polo</t>
        </is>
      </c>
      <c r="G2623" s="21" t="n">
        <v>2015</v>
      </c>
      <c r="H2623" s="22" t="n">
        <v>89864</v>
      </c>
      <c r="I2623" s="22" t="n">
        <v>268000</v>
      </c>
      <c r="J2623" s="20" t="inlineStr">
        <is>
          <t>POPULAR MARUTI</t>
        </is>
      </c>
      <c r="K2623" s="20" t="inlineStr">
        <is>
          <t>Non-Captive</t>
        </is>
      </c>
      <c r="L2623" s="20" t="inlineStr">
        <is>
          <t>SANOOB V A</t>
        </is>
      </c>
      <c r="M2623" s="23" t="n">
        <v>8813.559999999999</v>
      </c>
    </row>
    <row r="2624">
      <c r="A2624" s="19" t="inlineStr">
        <is>
          <t>FY27</t>
        </is>
      </c>
      <c r="B2624" s="19" t="inlineStr">
        <is>
          <t>Jun</t>
        </is>
      </c>
      <c r="C2624" s="19" t="inlineStr">
        <is>
          <t>Kerala</t>
        </is>
      </c>
      <c r="D2624" s="20" t="inlineStr">
        <is>
          <t>KL468858</t>
        </is>
      </c>
      <c r="E2624" s="20" t="inlineStr">
        <is>
          <t>MARUTI SUZUKI</t>
        </is>
      </c>
      <c r="F2624" s="20" t="inlineStr">
        <is>
          <t>Omni</t>
        </is>
      </c>
      <c r="G2624" s="21" t="n">
        <v>2007</v>
      </c>
      <c r="H2624" s="22" t="n">
        <v>74234</v>
      </c>
      <c r="I2624" s="22" t="n">
        <v>40000</v>
      </c>
      <c r="J2624" s="20" t="inlineStr">
        <is>
          <t>POPULAR MARUTI</t>
        </is>
      </c>
      <c r="K2624" s="20" t="inlineStr">
        <is>
          <t>Non-Captive</t>
        </is>
      </c>
      <c r="L2624" s="20" t="inlineStr">
        <is>
          <t>UMESHKUMAR T U</t>
        </is>
      </c>
      <c r="M2624" s="23" t="n">
        <v>8474.58</v>
      </c>
    </row>
    <row r="2625">
      <c r="A2625" s="19" t="inlineStr">
        <is>
          <t>FY27</t>
        </is>
      </c>
      <c r="B2625" s="19" t="inlineStr">
        <is>
          <t>Jun</t>
        </is>
      </c>
      <c r="C2625" s="19" t="inlineStr">
        <is>
          <t>Kerala</t>
        </is>
      </c>
      <c r="D2625" s="20" t="inlineStr">
        <is>
          <t>KL14Z2695</t>
        </is>
      </c>
      <c r="E2625" s="20" t="inlineStr">
        <is>
          <t>HYUNDAI</t>
        </is>
      </c>
      <c r="F2625" s="20" t="inlineStr">
        <is>
          <t>I10</t>
        </is>
      </c>
      <c r="G2625" s="21" t="n">
        <v>2020</v>
      </c>
      <c r="H2625" s="22" t="n">
        <v>76000</v>
      </c>
      <c r="I2625" s="22" t="n">
        <v>380000</v>
      </c>
      <c r="J2625" s="20" t="inlineStr">
        <is>
          <t>APCO HYUNDAI</t>
        </is>
      </c>
      <c r="K2625" s="20" t="inlineStr">
        <is>
          <t>Non-Captive</t>
        </is>
      </c>
      <c r="L2625" s="20" t="inlineStr">
        <is>
          <t>SARITH</t>
        </is>
      </c>
      <c r="M2625" s="23" t="n">
        <v>8474.58</v>
      </c>
    </row>
    <row r="2626">
      <c r="A2626" s="19" t="inlineStr">
        <is>
          <t>FY27</t>
        </is>
      </c>
      <c r="B2626" s="19" t="inlineStr">
        <is>
          <t>Jun</t>
        </is>
      </c>
      <c r="C2626" s="19" t="inlineStr">
        <is>
          <t>Kerala</t>
        </is>
      </c>
      <c r="D2626" s="20" t="inlineStr">
        <is>
          <t>KL07BL8854</t>
        </is>
      </c>
      <c r="E2626" s="20" t="inlineStr">
        <is>
          <t>MARUTI SUZUKI</t>
        </is>
      </c>
      <c r="F2626" s="20" t="inlineStr">
        <is>
          <t>Alto</t>
        </is>
      </c>
      <c r="G2626" s="21" t="n">
        <v>2009</v>
      </c>
      <c r="H2626" s="22" t="n">
        <v>90000</v>
      </c>
      <c r="I2626" s="22" t="n">
        <v>80000</v>
      </c>
      <c r="J2626" s="20" t="inlineStr">
        <is>
          <t>POPULAR MARUTI</t>
        </is>
      </c>
      <c r="K2626" s="20" t="inlineStr">
        <is>
          <t>Non-Captive</t>
        </is>
      </c>
      <c r="L2626" s="20" t="inlineStr">
        <is>
          <t>SUMESH CHOYS CARS</t>
        </is>
      </c>
      <c r="M2626" s="23" t="n">
        <v>8474.58</v>
      </c>
    </row>
    <row r="2627">
      <c r="A2627" s="19" t="inlineStr">
        <is>
          <t>FY27</t>
        </is>
      </c>
      <c r="B2627" s="19" t="inlineStr">
        <is>
          <t>Jun</t>
        </is>
      </c>
      <c r="C2627" s="19" t="inlineStr">
        <is>
          <t>Kerala</t>
        </is>
      </c>
      <c r="D2627" s="20" t="inlineStr">
        <is>
          <t>KL13AG3334</t>
        </is>
      </c>
      <c r="E2627" s="20" t="inlineStr">
        <is>
          <t>HONDA</t>
        </is>
      </c>
      <c r="F2627" s="20" t="inlineStr">
        <is>
          <t>Jazz</t>
        </is>
      </c>
      <c r="G2627" s="21" t="n">
        <v>2016</v>
      </c>
      <c r="H2627" s="22" t="n">
        <v>77000</v>
      </c>
      <c r="I2627" s="22" t="n">
        <v>375000</v>
      </c>
      <c r="J2627" s="20" t="inlineStr">
        <is>
          <t>DKH KIA</t>
        </is>
      </c>
      <c r="K2627" s="20" t="inlineStr">
        <is>
          <t>Non-Captive</t>
        </is>
      </c>
      <c r="L2627" s="20" t="inlineStr">
        <is>
          <t>NADIR</t>
        </is>
      </c>
      <c r="M2627" s="23" t="n">
        <v>8474.58</v>
      </c>
    </row>
    <row r="2628">
      <c r="A2628" s="19" t="inlineStr">
        <is>
          <t>FY27</t>
        </is>
      </c>
      <c r="B2628" s="19" t="inlineStr">
        <is>
          <t>Jun</t>
        </is>
      </c>
      <c r="C2628" s="19" t="inlineStr">
        <is>
          <t>Kerala</t>
        </is>
      </c>
      <c r="D2628" s="20" t="inlineStr">
        <is>
          <t>KL10AN1022</t>
        </is>
      </c>
      <c r="E2628" s="20" t="inlineStr">
        <is>
          <t>HYUNDAI</t>
        </is>
      </c>
      <c r="F2628" s="20" t="inlineStr">
        <is>
          <t>Eon</t>
        </is>
      </c>
      <c r="G2628" s="21" t="n">
        <v>2012</v>
      </c>
      <c r="H2628" s="22" t="n">
        <v>90000</v>
      </c>
      <c r="I2628" s="22" t="n">
        <v>100000</v>
      </c>
      <c r="J2628" s="20" t="inlineStr">
        <is>
          <t>POPULAR MARUTI</t>
        </is>
      </c>
      <c r="K2628" s="20" t="inlineStr">
        <is>
          <t>Non-Captive</t>
        </is>
      </c>
      <c r="L2628" s="20" t="inlineStr">
        <is>
          <t>HAMSA</t>
        </is>
      </c>
      <c r="M2628" s="23" t="n">
        <v>8474.58</v>
      </c>
    </row>
    <row r="2629">
      <c r="A2629" s="19" t="inlineStr">
        <is>
          <t>FY27</t>
        </is>
      </c>
      <c r="B2629" s="19" t="inlineStr">
        <is>
          <t>Jun</t>
        </is>
      </c>
      <c r="C2629" s="19" t="inlineStr">
        <is>
          <t>Kerala</t>
        </is>
      </c>
      <c r="D2629" s="20" t="inlineStr">
        <is>
          <t>KL55G0510</t>
        </is>
      </c>
      <c r="E2629" s="20" t="inlineStr">
        <is>
          <t>HYUNDAI</t>
        </is>
      </c>
      <c r="F2629" s="20" t="inlineStr">
        <is>
          <t>I10</t>
        </is>
      </c>
      <c r="G2629" s="21" t="n">
        <v>2010</v>
      </c>
      <c r="H2629" s="22" t="n">
        <v>130000</v>
      </c>
      <c r="I2629" s="22" t="n">
        <v>117000</v>
      </c>
      <c r="J2629" s="20" t="inlineStr">
        <is>
          <t>AMANA TOYOTA</t>
        </is>
      </c>
      <c r="K2629" s="20" t="inlineStr">
        <is>
          <t>Non-Captive</t>
        </is>
      </c>
      <c r="L2629" s="20" t="inlineStr">
        <is>
          <t>SARITH R</t>
        </is>
      </c>
      <c r="M2629" s="23" t="n">
        <v>5932.2</v>
      </c>
    </row>
    <row r="2630">
      <c r="A2630" s="19" t="inlineStr">
        <is>
          <t>FY27</t>
        </is>
      </c>
      <c r="B2630" s="19" t="inlineStr">
        <is>
          <t>Jun</t>
        </is>
      </c>
      <c r="C2630" s="19" t="inlineStr">
        <is>
          <t>Kerala</t>
        </is>
      </c>
      <c r="D2630" s="20" t="inlineStr">
        <is>
          <t>KL18C2449</t>
        </is>
      </c>
      <c r="E2630" s="20" t="inlineStr">
        <is>
          <t>MARUTI SUZUKI</t>
        </is>
      </c>
      <c r="F2630" s="20" t="inlineStr">
        <is>
          <t>Alto</t>
        </is>
      </c>
      <c r="G2630" s="21" t="n">
        <v>2006</v>
      </c>
      <c r="H2630" s="22" t="n">
        <v>200000</v>
      </c>
      <c r="I2630" s="22" t="n">
        <v>6000</v>
      </c>
      <c r="J2630" s="20" t="inlineStr">
        <is>
          <t>POPULAR MARUTI</t>
        </is>
      </c>
      <c r="K2630" s="20" t="inlineStr">
        <is>
          <t>Non-Captive</t>
        </is>
      </c>
      <c r="L2630" s="20" t="inlineStr">
        <is>
          <t>AUTOTRUST</t>
        </is>
      </c>
      <c r="M2630" s="23" t="n">
        <v>5084.75</v>
      </c>
    </row>
    <row r="2631">
      <c r="A2631" s="19" t="inlineStr">
        <is>
          <t>FY27</t>
        </is>
      </c>
      <c r="B2631" s="19" t="inlineStr">
        <is>
          <t>Jun</t>
        </is>
      </c>
      <c r="C2631" s="19" t="inlineStr">
        <is>
          <t>Kerala</t>
        </is>
      </c>
      <c r="D2631" s="20" t="inlineStr">
        <is>
          <t>KL01CQ4227</t>
        </is>
      </c>
      <c r="E2631" s="20" t="inlineStr">
        <is>
          <t>RENAULT</t>
        </is>
      </c>
      <c r="F2631" s="20" t="inlineStr">
        <is>
          <t>Triber</t>
        </is>
      </c>
      <c r="G2631" s="21" t="n">
        <v>2020</v>
      </c>
      <c r="H2631" s="22" t="n">
        <v>65951</v>
      </c>
      <c r="I2631" s="22" t="n">
        <v>390000</v>
      </c>
      <c r="J2631" s="20" t="inlineStr">
        <is>
          <t>INCHEON KIA</t>
        </is>
      </c>
      <c r="K2631" s="20" t="inlineStr">
        <is>
          <t>Non-Captive</t>
        </is>
      </c>
      <c r="L2631" s="20" t="inlineStr">
        <is>
          <t>UMESHKUMAR T U</t>
        </is>
      </c>
      <c r="M2631" s="23" t="n">
        <v>8474.58</v>
      </c>
    </row>
    <row r="2632">
      <c r="A2632" s="19" t="inlineStr">
        <is>
          <t>FY27</t>
        </is>
      </c>
      <c r="B2632" s="19" t="inlineStr">
        <is>
          <t>Jun</t>
        </is>
      </c>
      <c r="C2632" s="19" t="inlineStr">
        <is>
          <t>Kerala</t>
        </is>
      </c>
      <c r="D2632" s="20" t="inlineStr">
        <is>
          <t>KL07CF6157</t>
        </is>
      </c>
      <c r="E2632" s="20" t="inlineStr">
        <is>
          <t>MARUTI SUZUKI</t>
        </is>
      </c>
      <c r="F2632" s="20" t="inlineStr">
        <is>
          <t>Wagon R</t>
        </is>
      </c>
      <c r="G2632" s="21" t="n">
        <v>2016</v>
      </c>
      <c r="H2632" s="22" t="n">
        <v>43500</v>
      </c>
      <c r="I2632" s="22" t="n">
        <v>340000</v>
      </c>
      <c r="J2632" s="20" t="inlineStr">
        <is>
          <t>KESHVIN HYUNDAI</t>
        </is>
      </c>
      <c r="K2632" s="20" t="inlineStr">
        <is>
          <t>Non-Captive</t>
        </is>
      </c>
      <c r="L2632" s="20" t="inlineStr">
        <is>
          <t>4 wheel drive</t>
        </is>
      </c>
      <c r="M2632" s="23" t="n">
        <v>8474.58</v>
      </c>
    </row>
    <row r="2633">
      <c r="A2633" s="19" t="inlineStr">
        <is>
          <t>FY27</t>
        </is>
      </c>
      <c r="B2633" s="19" t="inlineStr">
        <is>
          <t>Jun</t>
        </is>
      </c>
      <c r="C2633" s="19" t="inlineStr">
        <is>
          <t>Kerala</t>
        </is>
      </c>
      <c r="D2633" s="20" t="inlineStr">
        <is>
          <t>KL24B2560</t>
        </is>
      </c>
      <c r="E2633" s="20" t="inlineStr">
        <is>
          <t>MARUTI SUZUKI</t>
        </is>
      </c>
      <c r="F2633" s="20" t="inlineStr">
        <is>
          <t>Wagon R</t>
        </is>
      </c>
      <c r="G2633" s="21" t="n">
        <v>2009</v>
      </c>
      <c r="H2633" s="22" t="n">
        <v>106554</v>
      </c>
      <c r="I2633" s="22" t="n">
        <v>105000</v>
      </c>
      <c r="J2633" s="20" t="inlineStr">
        <is>
          <t>POPULAR MARUTI</t>
        </is>
      </c>
      <c r="K2633" s="20" t="inlineStr">
        <is>
          <t>Non-Captive</t>
        </is>
      </c>
      <c r="L2633" s="20" t="inlineStr">
        <is>
          <t>MAXX MOTORS</t>
        </is>
      </c>
      <c r="M2633" s="23" t="n">
        <v>8474.58</v>
      </c>
    </row>
    <row r="2634">
      <c r="A2634" s="19" t="inlineStr">
        <is>
          <t>FY27</t>
        </is>
      </c>
      <c r="B2634" s="19" t="inlineStr">
        <is>
          <t>Jun</t>
        </is>
      </c>
      <c r="C2634" s="19" t="inlineStr">
        <is>
          <t>Kerala</t>
        </is>
      </c>
      <c r="D2634" s="20" t="inlineStr">
        <is>
          <t>KL32Q2534</t>
        </is>
      </c>
      <c r="E2634" s="20" t="inlineStr">
        <is>
          <t>MARUTI SUZUKI</t>
        </is>
      </c>
      <c r="F2634" s="20" t="inlineStr">
        <is>
          <t>S-Presso</t>
        </is>
      </c>
      <c r="G2634" s="21" t="n">
        <v>2019</v>
      </c>
      <c r="H2634" s="22" t="n">
        <v>52434</v>
      </c>
      <c r="I2634" s="22" t="n">
        <v>375000</v>
      </c>
      <c r="J2634" s="20" t="inlineStr">
        <is>
          <t>LUXON</t>
        </is>
      </c>
      <c r="K2634" s="20" t="inlineStr">
        <is>
          <t>Non-Captive</t>
        </is>
      </c>
      <c r="L2634" s="20" t="inlineStr">
        <is>
          <t>4 wheel drive</t>
        </is>
      </c>
      <c r="M2634" s="23" t="n">
        <v>12711.86</v>
      </c>
    </row>
    <row r="2635">
      <c r="A2635" s="19" t="inlineStr">
        <is>
          <t>FY27</t>
        </is>
      </c>
      <c r="B2635" s="19" t="inlineStr">
        <is>
          <t>Jun</t>
        </is>
      </c>
      <c r="C2635" s="19" t="inlineStr">
        <is>
          <t>Kerala</t>
        </is>
      </c>
      <c r="D2635" s="20" t="inlineStr">
        <is>
          <t>KL07CY9107</t>
        </is>
      </c>
      <c r="E2635" s="20" t="inlineStr">
        <is>
          <t>TATA</t>
        </is>
      </c>
      <c r="F2635" s="20" t="inlineStr">
        <is>
          <t>Nexon</t>
        </is>
      </c>
      <c r="G2635" s="21" t="n">
        <v>2022</v>
      </c>
      <c r="H2635" s="22" t="n">
        <v>25673</v>
      </c>
      <c r="I2635" s="22" t="n">
        <v>940000</v>
      </c>
      <c r="J2635" s="20" t="inlineStr">
        <is>
          <t>PHOENIX VOLKSWAGEN</t>
        </is>
      </c>
      <c r="K2635" s="20" t="inlineStr">
        <is>
          <t>Non-Captive</t>
        </is>
      </c>
      <c r="L2635" s="20" t="inlineStr">
        <is>
          <t>UMESHKUMAR T U</t>
        </is>
      </c>
      <c r="M2635" s="23" t="n">
        <v>8474.58</v>
      </c>
    </row>
    <row r="2636">
      <c r="A2636" s="19" t="inlineStr">
        <is>
          <t>FY27</t>
        </is>
      </c>
      <c r="B2636" s="19" t="inlineStr">
        <is>
          <t>Jun</t>
        </is>
      </c>
      <c r="C2636" s="19" t="inlineStr">
        <is>
          <t>Kerala</t>
        </is>
      </c>
      <c r="D2636" s="20" t="inlineStr">
        <is>
          <t>KL42F8686</t>
        </is>
      </c>
      <c r="E2636" s="20" t="inlineStr">
        <is>
          <t>VW</t>
        </is>
      </c>
      <c r="F2636" s="20" t="inlineStr">
        <is>
          <t>Polo</t>
        </is>
      </c>
      <c r="G2636" s="21" t="n">
        <v>2012</v>
      </c>
      <c r="H2636" s="22" t="n">
        <v>92800</v>
      </c>
      <c r="I2636" s="22" t="n">
        <v>95000</v>
      </c>
      <c r="J2636" s="20" t="inlineStr">
        <is>
          <t>CBC MAHINDRA</t>
        </is>
      </c>
      <c r="K2636" s="20" t="inlineStr">
        <is>
          <t>Non-Captive</t>
        </is>
      </c>
      <c r="L2636" s="20" t="inlineStr">
        <is>
          <t>KISHORE</t>
        </is>
      </c>
      <c r="M2636" s="23" t="n">
        <v>4237.29</v>
      </c>
    </row>
    <row r="2637">
      <c r="A2637" s="19" t="inlineStr">
        <is>
          <t>FY27</t>
        </is>
      </c>
      <c r="B2637" s="19" t="inlineStr">
        <is>
          <t>Jun</t>
        </is>
      </c>
      <c r="C2637" s="19" t="inlineStr">
        <is>
          <t>Kerala</t>
        </is>
      </c>
      <c r="D2637" s="20" t="inlineStr">
        <is>
          <t>KL24J3001</t>
        </is>
      </c>
      <c r="E2637" s="20" t="inlineStr">
        <is>
          <t>HONDA</t>
        </is>
      </c>
      <c r="F2637" s="20" t="inlineStr">
        <is>
          <t>City</t>
        </is>
      </c>
      <c r="G2637" s="21" t="n">
        <v>2014</v>
      </c>
      <c r="H2637" s="22" t="n">
        <v>181000</v>
      </c>
      <c r="I2637" s="22" t="n">
        <v>281000</v>
      </c>
      <c r="J2637" s="20" t="inlineStr">
        <is>
          <t>CBC MAHINDRA</t>
        </is>
      </c>
      <c r="K2637" s="20" t="inlineStr">
        <is>
          <t>Non-Captive</t>
        </is>
      </c>
      <c r="L2637" s="20" t="inlineStr">
        <is>
          <t>Dileep S</t>
        </is>
      </c>
      <c r="M2637" s="23" t="n">
        <v>5084.75</v>
      </c>
    </row>
    <row r="2638">
      <c r="A2638" s="19" t="inlineStr">
        <is>
          <t>FY27</t>
        </is>
      </c>
      <c r="B2638" s="19" t="inlineStr">
        <is>
          <t>Jun</t>
        </is>
      </c>
      <c r="C2638" s="19" t="inlineStr">
        <is>
          <t>Kerala</t>
        </is>
      </c>
      <c r="D2638" s="20" t="inlineStr">
        <is>
          <t>KL58AA8135</t>
        </is>
      </c>
      <c r="E2638" s="20" t="inlineStr">
        <is>
          <t>DATSUN</t>
        </is>
      </c>
      <c r="F2638" s="20" t="inlineStr">
        <is>
          <t>Go</t>
        </is>
      </c>
      <c r="G2638" s="21" t="n">
        <v>2019</v>
      </c>
      <c r="H2638" s="22" t="n">
        <v>23000</v>
      </c>
      <c r="I2638" s="22" t="n">
        <v>165000</v>
      </c>
      <c r="J2638" s="20" t="inlineStr">
        <is>
          <t>INDUS MARUTI</t>
        </is>
      </c>
      <c r="K2638" s="20" t="inlineStr">
        <is>
          <t>Non-Captive</t>
        </is>
      </c>
      <c r="L2638" s="20" t="inlineStr">
        <is>
          <t>THANSIR</t>
        </is>
      </c>
      <c r="M2638" s="23" t="n">
        <v>4237.29</v>
      </c>
    </row>
    <row r="2639">
      <c r="A2639" s="19" t="inlineStr">
        <is>
          <t>FY27</t>
        </is>
      </c>
      <c r="B2639" s="19" t="inlineStr">
        <is>
          <t>Jun</t>
        </is>
      </c>
      <c r="C2639" s="19" t="inlineStr">
        <is>
          <t>Kerala</t>
        </is>
      </c>
      <c r="D2639" s="20" t="inlineStr">
        <is>
          <t>KL58AE0064</t>
        </is>
      </c>
      <c r="E2639" s="20" t="inlineStr">
        <is>
          <t>KIA</t>
        </is>
      </c>
      <c r="F2639" s="20" t="inlineStr">
        <is>
          <t>Seltos</t>
        </is>
      </c>
      <c r="G2639" s="21" t="n">
        <v>2021</v>
      </c>
      <c r="H2639" s="22" t="n">
        <v>60000</v>
      </c>
      <c r="I2639" s="22" t="n">
        <v>870000</v>
      </c>
      <c r="J2639" s="20" t="inlineStr">
        <is>
          <t>DKH KIA</t>
        </is>
      </c>
      <c r="K2639" s="20" t="inlineStr">
        <is>
          <t>Non-Captive</t>
        </is>
      </c>
      <c r="L2639" s="20" t="inlineStr">
        <is>
          <t>ATTASSERY THABSHEER</t>
        </is>
      </c>
      <c r="M2639" s="23" t="n">
        <v>8474.58</v>
      </c>
    </row>
    <row r="2640">
      <c r="A2640" s="19" t="inlineStr">
        <is>
          <t>FY27</t>
        </is>
      </c>
      <c r="B2640" s="19" t="inlineStr">
        <is>
          <t>Jun</t>
        </is>
      </c>
      <c r="C2640" s="19" t="inlineStr">
        <is>
          <t>Kerala</t>
        </is>
      </c>
      <c r="D2640" s="20" t="inlineStr">
        <is>
          <t>KL21W9317</t>
        </is>
      </c>
      <c r="E2640" s="20" t="inlineStr">
        <is>
          <t>MARUTI SUZUKI</t>
        </is>
      </c>
      <c r="F2640" s="20" t="inlineStr">
        <is>
          <t>Swift Dzire</t>
        </is>
      </c>
      <c r="G2640" s="21" t="n">
        <v>2021</v>
      </c>
      <c r="H2640" s="22" t="n">
        <v>67885</v>
      </c>
      <c r="I2640" s="22" t="n">
        <v>448000</v>
      </c>
      <c r="J2640" s="20" t="inlineStr">
        <is>
          <t>POPULAR MARUTI</t>
        </is>
      </c>
      <c r="K2640" s="20" t="inlineStr">
        <is>
          <t>Non-Captive</t>
        </is>
      </c>
      <c r="L2640" s="20" t="inlineStr">
        <is>
          <t>RATHEESH</t>
        </is>
      </c>
      <c r="M2640" s="23" t="n">
        <v>6779.66</v>
      </c>
    </row>
    <row r="2641">
      <c r="A2641" s="19" t="inlineStr">
        <is>
          <t>FY27</t>
        </is>
      </c>
      <c r="B2641" s="19" t="inlineStr">
        <is>
          <t>Jun</t>
        </is>
      </c>
      <c r="C2641" s="19" t="inlineStr">
        <is>
          <t>Kerala</t>
        </is>
      </c>
      <c r="D2641" s="20" t="inlineStr">
        <is>
          <t>KL01BJ5173</t>
        </is>
      </c>
      <c r="E2641" s="20" t="inlineStr">
        <is>
          <t>MARUTI SUZUKI</t>
        </is>
      </c>
      <c r="F2641" s="20" t="inlineStr">
        <is>
          <t>Alto K10</t>
        </is>
      </c>
      <c r="G2641" s="21" t="n">
        <v>2012</v>
      </c>
      <c r="H2641" s="22" t="n">
        <v>88994</v>
      </c>
      <c r="I2641" s="22" t="n">
        <v>92000</v>
      </c>
      <c r="J2641" s="20" t="inlineStr">
        <is>
          <t>POPULAR MARUTI</t>
        </is>
      </c>
      <c r="K2641" s="20" t="inlineStr">
        <is>
          <t>Non-Captive</t>
        </is>
      </c>
      <c r="L2641" s="20" t="inlineStr">
        <is>
          <t>RATHEESH</t>
        </is>
      </c>
      <c r="M2641" s="23" t="n">
        <v>5932.2</v>
      </c>
    </row>
    <row r="2642">
      <c r="A2642" s="19" t="inlineStr">
        <is>
          <t>FY27</t>
        </is>
      </c>
      <c r="B2642" s="19" t="inlineStr">
        <is>
          <t>Jun</t>
        </is>
      </c>
      <c r="C2642" s="19" t="inlineStr">
        <is>
          <t>Kerala</t>
        </is>
      </c>
      <c r="D2642" s="20" t="inlineStr">
        <is>
          <t>KL01BD7133</t>
        </is>
      </c>
      <c r="E2642" s="20" t="inlineStr">
        <is>
          <t>NISSAN</t>
        </is>
      </c>
      <c r="F2642" s="20" t="inlineStr">
        <is>
          <t>Magnite</t>
        </is>
      </c>
      <c r="G2642" s="21" t="n">
        <v>2011</v>
      </c>
      <c r="H2642" s="22" t="n">
        <v>19800</v>
      </c>
      <c r="I2642" s="22" t="n">
        <v>407000</v>
      </c>
      <c r="J2642" s="20" t="inlineStr">
        <is>
          <t>INCHEON KIA</t>
        </is>
      </c>
      <c r="K2642" s="20" t="inlineStr">
        <is>
          <t>Non-Captive</t>
        </is>
      </c>
      <c r="L2642" s="20" t="inlineStr">
        <is>
          <t>ABHISHEK</t>
        </is>
      </c>
      <c r="M2642" s="23" t="n">
        <v>5932.2</v>
      </c>
    </row>
    <row r="2643">
      <c r="A2643" s="19" t="inlineStr">
        <is>
          <t>FY27</t>
        </is>
      </c>
      <c r="B2643" s="19" t="inlineStr">
        <is>
          <t>Jun</t>
        </is>
      </c>
      <c r="C2643" s="19" t="inlineStr">
        <is>
          <t>Kerala</t>
        </is>
      </c>
      <c r="D2643" s="20" t="inlineStr">
        <is>
          <t>KL01BN4901</t>
        </is>
      </c>
      <c r="E2643" s="20" t="inlineStr">
        <is>
          <t>MARUTI SUZUKI</t>
        </is>
      </c>
      <c r="F2643" s="20" t="inlineStr">
        <is>
          <t>Ritz</t>
        </is>
      </c>
      <c r="G2643" s="21" t="n">
        <v>2013</v>
      </c>
      <c r="H2643" s="22" t="n">
        <v>93882</v>
      </c>
      <c r="I2643" s="22" t="n">
        <v>195000</v>
      </c>
      <c r="J2643" s="20" t="inlineStr">
        <is>
          <t>POPULAR MARUTI</t>
        </is>
      </c>
      <c r="K2643" s="20" t="inlineStr">
        <is>
          <t>Non-Captive</t>
        </is>
      </c>
      <c r="L2643" s="20" t="inlineStr">
        <is>
          <t>RATHEESH</t>
        </is>
      </c>
      <c r="M2643" s="23" t="n">
        <v>8474.58</v>
      </c>
    </row>
    <row r="2644">
      <c r="A2644" s="19" t="inlineStr">
        <is>
          <t>FY27</t>
        </is>
      </c>
      <c r="B2644" s="19" t="inlineStr">
        <is>
          <t>Jun</t>
        </is>
      </c>
      <c r="C2644" s="19" t="inlineStr">
        <is>
          <t>Kerala</t>
        </is>
      </c>
      <c r="D2644" s="20" t="inlineStr">
        <is>
          <t>KL85A4196</t>
        </is>
      </c>
      <c r="E2644" s="20" t="inlineStr">
        <is>
          <t>RENAULT</t>
        </is>
      </c>
      <c r="F2644" s="20" t="inlineStr">
        <is>
          <t>Kwid</t>
        </is>
      </c>
      <c r="G2644" s="21" t="n">
        <v>2022</v>
      </c>
      <c r="H2644" s="22" t="n">
        <v>65000</v>
      </c>
      <c r="I2644" s="22" t="n">
        <v>320000</v>
      </c>
      <c r="J2644" s="20" t="inlineStr">
        <is>
          <t>UCD JISHNU</t>
        </is>
      </c>
      <c r="K2644" s="20" t="inlineStr">
        <is>
          <t>Non-Captive</t>
        </is>
      </c>
      <c r="L2644" s="20" t="inlineStr">
        <is>
          <t>VASIL</t>
        </is>
      </c>
      <c r="M2644" s="23" t="n">
        <v>5932.2</v>
      </c>
    </row>
    <row r="2645">
      <c r="A2645" s="19" t="inlineStr">
        <is>
          <t>FY27</t>
        </is>
      </c>
      <c r="B2645" s="19" t="inlineStr">
        <is>
          <t>Jun</t>
        </is>
      </c>
      <c r="C2645" s="19" t="inlineStr">
        <is>
          <t>Kerala</t>
        </is>
      </c>
      <c r="D2645" s="20" t="inlineStr">
        <is>
          <t>KL58AF9993</t>
        </is>
      </c>
      <c r="E2645" s="20" t="inlineStr">
        <is>
          <t>HYUNDAI</t>
        </is>
      </c>
      <c r="F2645" s="20" t="inlineStr">
        <is>
          <t>I20</t>
        </is>
      </c>
      <c r="G2645" s="21" t="n">
        <v>2022</v>
      </c>
      <c r="H2645" s="22" t="n">
        <v>55000</v>
      </c>
      <c r="I2645" s="22" t="n">
        <v>510000</v>
      </c>
      <c r="J2645" s="20" t="inlineStr">
        <is>
          <t>YESBANK</t>
        </is>
      </c>
      <c r="K2645" s="20" t="inlineStr">
        <is>
          <t>Non-Captive</t>
        </is>
      </c>
      <c r="L2645" s="20" t="inlineStr">
        <is>
          <t>MARVEL CARS</t>
        </is>
      </c>
      <c r="M2645" s="23" t="n">
        <v>8474.58</v>
      </c>
    </row>
    <row r="2646">
      <c r="A2646" s="19" t="inlineStr">
        <is>
          <t>FY27</t>
        </is>
      </c>
      <c r="B2646" s="19" t="inlineStr">
        <is>
          <t>Jun</t>
        </is>
      </c>
      <c r="C2646" s="19" t="inlineStr">
        <is>
          <t>Kerala</t>
        </is>
      </c>
      <c r="D2646" s="20" t="inlineStr">
        <is>
          <t>KL11BU3142</t>
        </is>
      </c>
      <c r="E2646" s="20" t="inlineStr">
        <is>
          <t>TATA</t>
        </is>
      </c>
      <c r="F2646" s="20" t="inlineStr">
        <is>
          <t>Altroz</t>
        </is>
      </c>
      <c r="G2646" s="21" t="n">
        <v>2021</v>
      </c>
      <c r="H2646" s="22" t="n">
        <v>15000</v>
      </c>
      <c r="I2646" s="22" t="n">
        <v>392000</v>
      </c>
      <c r="J2646" s="20" t="inlineStr">
        <is>
          <t>BIMAL</t>
        </is>
      </c>
      <c r="K2646" s="20" t="inlineStr">
        <is>
          <t>Non-Captive</t>
        </is>
      </c>
      <c r="L2646" s="20" t="inlineStr">
        <is>
          <t>VASIL</t>
        </is>
      </c>
      <c r="M2646" s="23" t="n">
        <v>5932.2</v>
      </c>
    </row>
    <row r="2647">
      <c r="A2647" s="19" t="inlineStr">
        <is>
          <t>FY27</t>
        </is>
      </c>
      <c r="B2647" s="19" t="inlineStr">
        <is>
          <t>Jun</t>
        </is>
      </c>
      <c r="C2647" s="19" t="inlineStr">
        <is>
          <t>Kerala</t>
        </is>
      </c>
      <c r="D2647" s="20" t="inlineStr">
        <is>
          <t>KL13AU8739</t>
        </is>
      </c>
      <c r="E2647" s="20" t="inlineStr">
        <is>
          <t>MARUTI SUZUKI</t>
        </is>
      </c>
      <c r="F2647" s="20" t="inlineStr">
        <is>
          <t>S-Presso</t>
        </is>
      </c>
      <c r="G2647" s="21" t="n">
        <v>2022</v>
      </c>
      <c r="H2647" s="22" t="n">
        <v>10000</v>
      </c>
      <c r="I2647" s="22" t="n">
        <v>317000</v>
      </c>
      <c r="J2647" s="20" t="inlineStr">
        <is>
          <t>KVR TATA</t>
        </is>
      </c>
      <c r="K2647" s="20" t="inlineStr">
        <is>
          <t>Non-Captive</t>
        </is>
      </c>
      <c r="L2647" s="20" t="inlineStr">
        <is>
          <t>VASIL</t>
        </is>
      </c>
      <c r="M2647" s="23" t="n">
        <v>5932.2</v>
      </c>
    </row>
    <row r="2648">
      <c r="A2648" s="19" t="inlineStr">
        <is>
          <t>FY27</t>
        </is>
      </c>
      <c r="B2648" s="19" t="inlineStr">
        <is>
          <t>Jun</t>
        </is>
      </c>
      <c r="C2648" s="19" t="inlineStr">
        <is>
          <t>Kerala</t>
        </is>
      </c>
      <c r="D2648" s="20" t="inlineStr">
        <is>
          <t>KL59M4325</t>
        </is>
      </c>
      <c r="E2648" s="20" t="inlineStr">
        <is>
          <t>MARUTI SUZUKI</t>
        </is>
      </c>
      <c r="F2648" s="20" t="inlineStr">
        <is>
          <t>Baleno</t>
        </is>
      </c>
      <c r="G2648" s="21" t="n">
        <v>2015</v>
      </c>
      <c r="H2648" s="22" t="n">
        <v>80000</v>
      </c>
      <c r="I2648" s="22" t="n">
        <v>385000</v>
      </c>
      <c r="J2648" s="20" t="inlineStr">
        <is>
          <t>UCD SANTHOSH</t>
        </is>
      </c>
      <c r="K2648" s="20" t="inlineStr">
        <is>
          <t>Non-Captive</t>
        </is>
      </c>
      <c r="L2648" s="20" t="inlineStr">
        <is>
          <t>RUKSANA</t>
        </is>
      </c>
      <c r="M2648" s="23" t="n">
        <v>8474.58</v>
      </c>
    </row>
    <row r="2649">
      <c r="A2649" s="19" t="inlineStr">
        <is>
          <t>FY27</t>
        </is>
      </c>
      <c r="B2649" s="19" t="inlineStr">
        <is>
          <t>Jun</t>
        </is>
      </c>
      <c r="C2649" s="19" t="inlineStr">
        <is>
          <t>Kerala</t>
        </is>
      </c>
      <c r="D2649" s="20" t="inlineStr">
        <is>
          <t>KL58R0540</t>
        </is>
      </c>
      <c r="E2649" s="20" t="inlineStr">
        <is>
          <t>MARUTI SUZUKI</t>
        </is>
      </c>
      <c r="F2649" s="20" t="inlineStr">
        <is>
          <t>Celerio</t>
        </is>
      </c>
      <c r="G2649" s="21" t="n">
        <v>2015</v>
      </c>
      <c r="H2649" s="22" t="n">
        <v>40000</v>
      </c>
      <c r="I2649" s="22" t="n">
        <v>232000</v>
      </c>
      <c r="J2649" s="20" t="inlineStr">
        <is>
          <t>CARBAZAR</t>
        </is>
      </c>
      <c r="K2649" s="20" t="inlineStr">
        <is>
          <t>Non-Captive</t>
        </is>
      </c>
      <c r="L2649" s="20" t="inlineStr">
        <is>
          <t>Vasil</t>
        </is>
      </c>
      <c r="M2649" s="23" t="n">
        <v>5932.2</v>
      </c>
    </row>
    <row r="2650">
      <c r="A2650" s="19" t="inlineStr">
        <is>
          <t>FY27</t>
        </is>
      </c>
      <c r="B2650" s="19" t="inlineStr">
        <is>
          <t>Jun</t>
        </is>
      </c>
      <c r="C2650" s="19" t="inlineStr">
        <is>
          <t>Kerala</t>
        </is>
      </c>
      <c r="D2650" s="20" t="inlineStr">
        <is>
          <t>KL13AA2544</t>
        </is>
      </c>
      <c r="E2650" s="20" t="inlineStr">
        <is>
          <t>MARUTI SUZUKI</t>
        </is>
      </c>
      <c r="F2650" s="20" t="inlineStr">
        <is>
          <t>A-Star</t>
        </is>
      </c>
      <c r="G2650" s="21" t="n">
        <v>2013</v>
      </c>
      <c r="H2650" s="22" t="n">
        <v>95000</v>
      </c>
      <c r="I2650" s="22" t="n">
        <v>95000</v>
      </c>
      <c r="J2650" s="20" t="inlineStr">
        <is>
          <t>POPULAR MARUTI</t>
        </is>
      </c>
      <c r="K2650" s="20" t="inlineStr">
        <is>
          <t>Non-Captive</t>
        </is>
      </c>
      <c r="L2650" s="20" t="inlineStr">
        <is>
          <t>SANOOP K M</t>
        </is>
      </c>
      <c r="M2650" s="23" t="n">
        <v>8474.58</v>
      </c>
    </row>
    <row r="2651">
      <c r="A2651" s="19" t="inlineStr">
        <is>
          <t>FY27</t>
        </is>
      </c>
      <c r="B2651" s="19" t="inlineStr">
        <is>
          <t>Jun</t>
        </is>
      </c>
      <c r="C2651" s="19" t="inlineStr">
        <is>
          <t>Kerala</t>
        </is>
      </c>
      <c r="D2651" s="20" t="inlineStr">
        <is>
          <t>KL26H8821</t>
        </is>
      </c>
      <c r="E2651" s="20" t="inlineStr">
        <is>
          <t>RENAULT</t>
        </is>
      </c>
      <c r="F2651" s="20" t="inlineStr">
        <is>
          <t>Kwid</t>
        </is>
      </c>
      <c r="G2651" s="21" t="n">
        <v>2016</v>
      </c>
      <c r="H2651" s="22" t="n">
        <v>90000</v>
      </c>
      <c r="I2651" s="22" t="n">
        <v>120000</v>
      </c>
      <c r="J2651" s="20" t="inlineStr">
        <is>
          <t>INCHEON KIA</t>
        </is>
      </c>
      <c r="K2651" s="20" t="inlineStr">
        <is>
          <t>Non-Captive</t>
        </is>
      </c>
      <c r="L2651" s="20" t="inlineStr">
        <is>
          <t>RENJITH</t>
        </is>
      </c>
      <c r="M2651" s="23" t="n">
        <v>5084.75</v>
      </c>
    </row>
    <row r="2652">
      <c r="A2652" s="19" t="inlineStr">
        <is>
          <t>FY27</t>
        </is>
      </c>
      <c r="B2652" s="19" t="inlineStr">
        <is>
          <t>Jun</t>
        </is>
      </c>
      <c r="C2652" s="19" t="inlineStr">
        <is>
          <t>Kerala</t>
        </is>
      </c>
      <c r="D2652" s="20" t="inlineStr">
        <is>
          <t>KL02AD8256</t>
        </is>
      </c>
      <c r="E2652" s="20" t="inlineStr">
        <is>
          <t>MARUTI SUZUKI</t>
        </is>
      </c>
      <c r="F2652" s="20" t="inlineStr">
        <is>
          <t>A-Star</t>
        </is>
      </c>
      <c r="G2652" s="21" t="n">
        <v>2009</v>
      </c>
      <c r="H2652" s="22" t="n">
        <v>86783</v>
      </c>
      <c r="I2652" s="22" t="n">
        <v>90000</v>
      </c>
      <c r="J2652" s="20" t="inlineStr">
        <is>
          <t>LUXON TATA</t>
        </is>
      </c>
      <c r="K2652" s="20" t="inlineStr">
        <is>
          <t>Non-Captive</t>
        </is>
      </c>
      <c r="L2652" s="20" t="inlineStr">
        <is>
          <t>VARUN BABU</t>
        </is>
      </c>
      <c r="M2652" s="23" t="n">
        <v>5932.2</v>
      </c>
    </row>
    <row r="2653">
      <c r="A2653" s="19" t="inlineStr">
        <is>
          <t>FY27</t>
        </is>
      </c>
      <c r="B2653" s="19" t="inlineStr">
        <is>
          <t>Jun</t>
        </is>
      </c>
      <c r="C2653" s="19" t="inlineStr">
        <is>
          <t>Kerala</t>
        </is>
      </c>
      <c r="D2653" s="20" t="inlineStr">
        <is>
          <t>KL31C6667</t>
        </is>
      </c>
      <c r="E2653" s="20" t="inlineStr">
        <is>
          <t>MARUTI SUZUKI</t>
        </is>
      </c>
      <c r="F2653" s="20" t="inlineStr">
        <is>
          <t>Fronx</t>
        </is>
      </c>
      <c r="G2653" s="21" t="n">
        <v>2011</v>
      </c>
      <c r="H2653" s="22" t="n">
        <v>12966</v>
      </c>
      <c r="I2653" s="22" t="n">
        <v>473145</v>
      </c>
      <c r="J2653" s="20" t="inlineStr">
        <is>
          <t>MG FORTUNE</t>
        </is>
      </c>
      <c r="K2653" s="20" t="inlineStr">
        <is>
          <t>Non-Captive</t>
        </is>
      </c>
      <c r="L2653" s="20" t="inlineStr">
        <is>
          <t>INDUS MARUTI</t>
        </is>
      </c>
      <c r="M2653" s="23" t="n">
        <v>9529.66</v>
      </c>
    </row>
    <row r="2654">
      <c r="A2654" s="19" t="inlineStr">
        <is>
          <t>FY27</t>
        </is>
      </c>
      <c r="B2654" s="19" t="inlineStr">
        <is>
          <t>Jun</t>
        </is>
      </c>
      <c r="C2654" s="19" t="inlineStr">
        <is>
          <t>Kerala</t>
        </is>
      </c>
      <c r="D2654" s="20" t="inlineStr">
        <is>
          <t>KL25D5211</t>
        </is>
      </c>
      <c r="E2654" s="20" t="inlineStr">
        <is>
          <t>TATA</t>
        </is>
      </c>
      <c r="F2654" s="20" t="inlineStr">
        <is>
          <t>Nano</t>
        </is>
      </c>
      <c r="G2654" s="21" t="n">
        <v>2012</v>
      </c>
      <c r="H2654" s="22" t="n">
        <v>110000</v>
      </c>
      <c r="I2654" s="22" t="n">
        <v>20000</v>
      </c>
      <c r="J2654" s="20" t="inlineStr">
        <is>
          <t>POPULAR MAHINDRA</t>
        </is>
      </c>
      <c r="K2654" s="20" t="inlineStr">
        <is>
          <t>Non-Captive</t>
        </is>
      </c>
      <c r="L2654" s="20" t="inlineStr">
        <is>
          <t>ANOOP</t>
        </is>
      </c>
      <c r="M2654" s="23" t="n">
        <v>4237.29</v>
      </c>
    </row>
    <row r="2655">
      <c r="A2655" s="19" t="inlineStr">
        <is>
          <t>FY27</t>
        </is>
      </c>
      <c r="B2655" s="19" t="inlineStr">
        <is>
          <t>Jun</t>
        </is>
      </c>
      <c r="C2655" s="19" t="inlineStr">
        <is>
          <t>Kerala</t>
        </is>
      </c>
      <c r="D2655" s="20" t="inlineStr">
        <is>
          <t>KL21R7438</t>
        </is>
      </c>
      <c r="E2655" s="20" t="inlineStr">
        <is>
          <t>MARUTI SUZUKI</t>
        </is>
      </c>
      <c r="F2655" s="20" t="inlineStr">
        <is>
          <t>Alto 800</t>
        </is>
      </c>
      <c r="G2655" s="21" t="n">
        <v>2018</v>
      </c>
      <c r="H2655" s="22" t="n">
        <v>71663</v>
      </c>
      <c r="I2655" s="22" t="n">
        <v>200000</v>
      </c>
      <c r="J2655" s="20" t="inlineStr">
        <is>
          <t>TRIVANDRUM MOTORS</t>
        </is>
      </c>
      <c r="K2655" s="20" t="inlineStr">
        <is>
          <t>Non-Captive</t>
        </is>
      </c>
      <c r="L2655" s="20" t="inlineStr">
        <is>
          <t>ABHISHEK</t>
        </is>
      </c>
      <c r="M2655" s="23" t="n">
        <v>8474.58</v>
      </c>
    </row>
    <row r="2656">
      <c r="A2656" s="19" t="inlineStr">
        <is>
          <t>FY27</t>
        </is>
      </c>
      <c r="B2656" s="19" t="inlineStr">
        <is>
          <t>Jun</t>
        </is>
      </c>
      <c r="C2656" s="19" t="inlineStr">
        <is>
          <t>Kerala</t>
        </is>
      </c>
      <c r="D2656" s="20" t="inlineStr">
        <is>
          <t>KL02AZ2147</t>
        </is>
      </c>
      <c r="E2656" s="20" t="inlineStr">
        <is>
          <t>MARUTI SUZUKI</t>
        </is>
      </c>
      <c r="F2656" s="20" t="inlineStr">
        <is>
          <t>Swift Dzire</t>
        </is>
      </c>
      <c r="G2656" s="21" t="n">
        <v>2018</v>
      </c>
      <c r="H2656" s="22" t="n">
        <v>69600</v>
      </c>
      <c r="I2656" s="22" t="n">
        <v>420000</v>
      </c>
      <c r="J2656" s="20" t="inlineStr">
        <is>
          <t>INCHEON KIA</t>
        </is>
      </c>
      <c r="K2656" s="20" t="inlineStr">
        <is>
          <t>Non-Captive</t>
        </is>
      </c>
      <c r="L2656" s="20" t="inlineStr">
        <is>
          <t>RATHEESH</t>
        </is>
      </c>
      <c r="M2656" s="23" t="n">
        <v>4237.29</v>
      </c>
    </row>
    <row r="2657">
      <c r="A2657" s="19" t="inlineStr">
        <is>
          <t>FY27</t>
        </is>
      </c>
      <c r="B2657" s="19" t="inlineStr">
        <is>
          <t>Jun</t>
        </is>
      </c>
      <c r="C2657" s="19" t="inlineStr">
        <is>
          <t>Kerala</t>
        </is>
      </c>
      <c r="D2657" s="20" t="inlineStr">
        <is>
          <t>KL01BQ2626</t>
        </is>
      </c>
      <c r="E2657" s="20" t="inlineStr">
        <is>
          <t>RENAULT</t>
        </is>
      </c>
      <c r="F2657" s="20" t="inlineStr">
        <is>
          <t>Duster</t>
        </is>
      </c>
      <c r="G2657" s="21" t="n">
        <v>2014</v>
      </c>
      <c r="H2657" s="22" t="n">
        <v>155233</v>
      </c>
      <c r="I2657" s="22" t="n">
        <v>190000</v>
      </c>
      <c r="J2657" s="20" t="inlineStr">
        <is>
          <t>SABU MATHEW</t>
        </is>
      </c>
      <c r="K2657" s="20" t="inlineStr">
        <is>
          <t>Non-Captive</t>
        </is>
      </c>
      <c r="L2657" s="20" t="inlineStr">
        <is>
          <t>HUSSAIN O E</t>
        </is>
      </c>
      <c r="M2657" s="23" t="n">
        <v>8474.58</v>
      </c>
    </row>
    <row r="2658">
      <c r="A2658" s="19" t="inlineStr">
        <is>
          <t>FY27</t>
        </is>
      </c>
      <c r="B2658" s="19" t="inlineStr">
        <is>
          <t>Jun</t>
        </is>
      </c>
      <c r="C2658" s="19" t="inlineStr">
        <is>
          <t>Kerala</t>
        </is>
      </c>
      <c r="D2658" s="20" t="inlineStr">
        <is>
          <t>KL07BX3312</t>
        </is>
      </c>
      <c r="E2658" s="20" t="inlineStr">
        <is>
          <t>MARUTI SUZUKI</t>
        </is>
      </c>
      <c r="F2658" s="20" t="inlineStr">
        <is>
          <t>Alto 800</t>
        </is>
      </c>
      <c r="G2658" s="21" t="n">
        <v>2013</v>
      </c>
      <c r="H2658" s="22" t="n">
        <v>84718</v>
      </c>
      <c r="I2658" s="22" t="n">
        <v>100000</v>
      </c>
      <c r="J2658" s="20" t="inlineStr">
        <is>
          <t>SAI MARUTI</t>
        </is>
      </c>
      <c r="K2658" s="20" t="inlineStr">
        <is>
          <t>Non-Captive</t>
        </is>
      </c>
      <c r="L2658" s="20" t="inlineStr">
        <is>
          <t>SANOOB</t>
        </is>
      </c>
      <c r="M2658" s="23" t="n">
        <v>8474.58</v>
      </c>
    </row>
    <row r="2659">
      <c r="A2659" s="19" t="inlineStr">
        <is>
          <t>FY27</t>
        </is>
      </c>
      <c r="B2659" s="19" t="inlineStr">
        <is>
          <t>Jun</t>
        </is>
      </c>
      <c r="C2659" s="19" t="inlineStr">
        <is>
          <t>Kerala</t>
        </is>
      </c>
      <c r="D2659" s="20" t="inlineStr">
        <is>
          <t>KL05AU3382</t>
        </is>
      </c>
      <c r="E2659" s="20" t="inlineStr">
        <is>
          <t>TOYOTA</t>
        </is>
      </c>
      <c r="F2659" s="20" t="inlineStr">
        <is>
          <t>Crysta</t>
        </is>
      </c>
      <c r="G2659" s="21" t="n">
        <v>2019</v>
      </c>
      <c r="H2659" s="22" t="n">
        <v>135454</v>
      </c>
      <c r="I2659" s="22" t="n">
        <v>1540000</v>
      </c>
      <c r="J2659" s="20" t="inlineStr">
        <is>
          <t>ANAS HAMEED</t>
        </is>
      </c>
      <c r="K2659" s="20" t="inlineStr">
        <is>
          <t>Non-Captive</t>
        </is>
      </c>
      <c r="L2659" s="20" t="inlineStr">
        <is>
          <t>HUSSAIN O E</t>
        </is>
      </c>
      <c r="M2659" s="23" t="n">
        <v>12711.86</v>
      </c>
    </row>
    <row r="2660">
      <c r="A2660" s="19" t="inlineStr">
        <is>
          <t>FY27</t>
        </is>
      </c>
      <c r="B2660" s="19" t="inlineStr">
        <is>
          <t>Jun</t>
        </is>
      </c>
      <c r="C2660" s="19" t="inlineStr">
        <is>
          <t>Kerala</t>
        </is>
      </c>
      <c r="D2660" s="20" t="inlineStr">
        <is>
          <t>KL66A8674</t>
        </is>
      </c>
      <c r="E2660" s="20" t="inlineStr">
        <is>
          <t>RENAULT</t>
        </is>
      </c>
      <c r="F2660" s="20" t="inlineStr">
        <is>
          <t>Kwid</t>
        </is>
      </c>
      <c r="G2660" s="21" t="n">
        <v>2017</v>
      </c>
      <c r="H2660" s="22" t="n">
        <v>142434</v>
      </c>
      <c r="I2660" s="22" t="n">
        <v>195000</v>
      </c>
      <c r="J2660" s="20" t="inlineStr">
        <is>
          <t>ANAS</t>
        </is>
      </c>
      <c r="K2660" s="20" t="inlineStr">
        <is>
          <t>Non-Captive</t>
        </is>
      </c>
      <c r="L2660" s="20" t="inlineStr">
        <is>
          <t>SUDHEESH K SATHEESH</t>
        </is>
      </c>
      <c r="M2660" s="23" t="n">
        <v>10169.49</v>
      </c>
    </row>
    <row r="2661">
      <c r="A2661" s="19" t="inlineStr">
        <is>
          <t>FY27</t>
        </is>
      </c>
      <c r="B2661" s="19" t="inlineStr">
        <is>
          <t>Jun</t>
        </is>
      </c>
      <c r="C2661" s="19" t="inlineStr">
        <is>
          <t>Kerala</t>
        </is>
      </c>
      <c r="D2661" s="20" t="inlineStr">
        <is>
          <t>KL24T3539</t>
        </is>
      </c>
      <c r="E2661" s="20" t="inlineStr">
        <is>
          <t>RENAULT</t>
        </is>
      </c>
      <c r="F2661" s="20" t="inlineStr">
        <is>
          <t>Kwid</t>
        </is>
      </c>
      <c r="G2661" s="21" t="n">
        <v>2019</v>
      </c>
      <c r="H2661" s="22" t="n">
        <v>64500</v>
      </c>
      <c r="I2661" s="22" t="n">
        <v>269000</v>
      </c>
      <c r="J2661" s="20" t="inlineStr">
        <is>
          <t>KESHVIN HYUNDAI</t>
        </is>
      </c>
      <c r="K2661" s="20" t="inlineStr">
        <is>
          <t>Non-Captive</t>
        </is>
      </c>
      <c r="L2661" s="20" t="inlineStr">
        <is>
          <t>AITOS CARS</t>
        </is>
      </c>
      <c r="M2661" s="23" t="n">
        <v>8474.58</v>
      </c>
    </row>
    <row r="2662">
      <c r="A2662" s="19" t="inlineStr">
        <is>
          <t>FY27</t>
        </is>
      </c>
      <c r="B2662" s="19" t="inlineStr">
        <is>
          <t>Jun</t>
        </is>
      </c>
      <c r="C2662" s="19" t="inlineStr">
        <is>
          <t>Kerala</t>
        </is>
      </c>
      <c r="D2662" s="20" t="inlineStr">
        <is>
          <t>KL28D7329</t>
        </is>
      </c>
      <c r="E2662" s="20" t="inlineStr">
        <is>
          <t>MARUTI SUZUKI</t>
        </is>
      </c>
      <c r="F2662" s="20" t="inlineStr">
        <is>
          <t>Wagon R</t>
        </is>
      </c>
      <c r="G2662" s="21" t="n">
        <v>2019</v>
      </c>
      <c r="H2662" s="22" t="n">
        <v>57954</v>
      </c>
      <c r="I2662" s="22" t="n">
        <v>430000</v>
      </c>
      <c r="J2662" s="20" t="inlineStr">
        <is>
          <t>GOKULAM TATA</t>
        </is>
      </c>
      <c r="K2662" s="20" t="inlineStr">
        <is>
          <t>Non-Captive</t>
        </is>
      </c>
      <c r="L2662" s="20" t="inlineStr">
        <is>
          <t>SHAMSUDEEN C E</t>
        </is>
      </c>
      <c r="M2662" s="23" t="n">
        <v>8474.58</v>
      </c>
    </row>
    <row r="2663">
      <c r="A2663" s="19" t="inlineStr">
        <is>
          <t>FY27</t>
        </is>
      </c>
      <c r="B2663" s="19" t="inlineStr">
        <is>
          <t>Jun</t>
        </is>
      </c>
      <c r="C2663" s="19" t="inlineStr">
        <is>
          <t>Kerala</t>
        </is>
      </c>
      <c r="D2663" s="20" t="inlineStr">
        <is>
          <t>KL46S3974</t>
        </is>
      </c>
      <c r="E2663" s="20" t="inlineStr">
        <is>
          <t>MARUTI SUZUKI</t>
        </is>
      </c>
      <c r="F2663" s="20" t="inlineStr">
        <is>
          <t>Alto K10</t>
        </is>
      </c>
      <c r="G2663" s="21" t="n">
        <v>2018</v>
      </c>
      <c r="H2663" s="22" t="n">
        <v>36167</v>
      </c>
      <c r="I2663" s="22" t="n">
        <v>310000</v>
      </c>
      <c r="J2663" s="20" t="inlineStr">
        <is>
          <t>PINNACLE MOTOR WORKS</t>
        </is>
      </c>
      <c r="K2663" s="20" t="inlineStr">
        <is>
          <t>Non-Captive</t>
        </is>
      </c>
      <c r="L2663" s="20" t="inlineStr">
        <is>
          <t>AITOS CARS</t>
        </is>
      </c>
      <c r="M2663" s="23" t="n">
        <v>8474.58</v>
      </c>
    </row>
    <row r="2664">
      <c r="A2664" s="19" t="inlineStr">
        <is>
          <t>FY27</t>
        </is>
      </c>
      <c r="B2664" s="19" t="inlineStr">
        <is>
          <t>Jun</t>
        </is>
      </c>
      <c r="C2664" s="19" t="inlineStr">
        <is>
          <t>Kerala</t>
        </is>
      </c>
      <c r="D2664" s="20" t="inlineStr">
        <is>
          <t>KL46Y4107</t>
        </is>
      </c>
      <c r="E2664" s="20" t="inlineStr">
        <is>
          <t>MARUTI SUZUKI</t>
        </is>
      </c>
      <c r="F2664" s="20" t="inlineStr">
        <is>
          <t>Wagon R</t>
        </is>
      </c>
      <c r="G2664" s="21" t="n">
        <v>2023</v>
      </c>
      <c r="H2664" s="22" t="n">
        <v>54962</v>
      </c>
      <c r="I2664" s="22" t="n">
        <v>500000</v>
      </c>
      <c r="J2664" s="20" t="inlineStr">
        <is>
          <t>PHOENIX VOLKSWAGEN</t>
        </is>
      </c>
      <c r="K2664" s="20" t="inlineStr">
        <is>
          <t>Non-Captive</t>
        </is>
      </c>
      <c r="L2664" s="20" t="inlineStr">
        <is>
          <t>AITOS CARS</t>
        </is>
      </c>
      <c r="M2664" s="23" t="n">
        <v>8474.58</v>
      </c>
    </row>
    <row r="2665">
      <c r="A2665" s="19" t="inlineStr">
        <is>
          <t>FY27</t>
        </is>
      </c>
      <c r="B2665" s="19" t="inlineStr">
        <is>
          <t>Jun</t>
        </is>
      </c>
      <c r="C2665" s="19" t="inlineStr">
        <is>
          <t>Kerala</t>
        </is>
      </c>
      <c r="D2665" s="20" t="inlineStr">
        <is>
          <t>KL59W1483</t>
        </is>
      </c>
      <c r="E2665" s="20" t="inlineStr">
        <is>
          <t>FORD</t>
        </is>
      </c>
      <c r="F2665" s="20" t="inlineStr">
        <is>
          <t>Ecosport</t>
        </is>
      </c>
      <c r="G2665" s="21" t="n">
        <v>2020</v>
      </c>
      <c r="H2665" s="22" t="n">
        <v>110000</v>
      </c>
      <c r="I2665" s="22" t="n">
        <v>620000</v>
      </c>
      <c r="J2665" s="20" t="inlineStr">
        <is>
          <t>SAI MARUTI</t>
        </is>
      </c>
      <c r="K2665" s="20" t="inlineStr">
        <is>
          <t>Non-Captive</t>
        </is>
      </c>
      <c r="L2665" s="20" t="inlineStr">
        <is>
          <t>CARNIVAL CARS Althaf</t>
        </is>
      </c>
      <c r="M2665" s="23" t="n">
        <v>8474.58</v>
      </c>
    </row>
    <row r="2666">
      <c r="A2666" s="19" t="inlineStr">
        <is>
          <t>FY27</t>
        </is>
      </c>
      <c r="B2666" s="19" t="inlineStr">
        <is>
          <t>Jun</t>
        </is>
      </c>
      <c r="C2666" s="19" t="inlineStr">
        <is>
          <t>Kerala</t>
        </is>
      </c>
      <c r="D2666" s="20" t="inlineStr">
        <is>
          <t>KL07CS9215</t>
        </is>
      </c>
      <c r="E2666" s="20" t="inlineStr">
        <is>
          <t>HYUNDAI</t>
        </is>
      </c>
      <c r="F2666" s="20" t="inlineStr">
        <is>
          <t>Nios</t>
        </is>
      </c>
      <c r="G2666" s="21" t="n">
        <v>2019</v>
      </c>
      <c r="H2666" s="22" t="n">
        <v>57300</v>
      </c>
      <c r="I2666" s="22" t="n">
        <v>435000</v>
      </c>
      <c r="J2666" s="20" t="inlineStr">
        <is>
          <t>INCHEON KIA</t>
        </is>
      </c>
      <c r="K2666" s="20" t="inlineStr">
        <is>
          <t>Non-Captive</t>
        </is>
      </c>
      <c r="L2666" s="20" t="inlineStr">
        <is>
          <t>HAVEN MOTORS</t>
        </is>
      </c>
      <c r="M2666" s="23" t="n">
        <v>8474.58</v>
      </c>
    </row>
    <row r="2667">
      <c r="A2667" s="19" t="inlineStr">
        <is>
          <t>FY27</t>
        </is>
      </c>
      <c r="B2667" s="19" t="inlineStr">
        <is>
          <t>Jun</t>
        </is>
      </c>
      <c r="C2667" s="19" t="inlineStr">
        <is>
          <t>Kerala</t>
        </is>
      </c>
      <c r="D2667" s="20" t="inlineStr">
        <is>
          <t>KL33P9697</t>
        </is>
      </c>
      <c r="E2667" s="20" t="inlineStr">
        <is>
          <t>RENAULT</t>
        </is>
      </c>
      <c r="F2667" s="20" t="inlineStr">
        <is>
          <t>Triber</t>
        </is>
      </c>
      <c r="G2667" s="21" t="n">
        <v>2023</v>
      </c>
      <c r="H2667" s="22" t="n">
        <v>13000</v>
      </c>
      <c r="I2667" s="22" t="n">
        <v>490000</v>
      </c>
      <c r="J2667" s="20" t="inlineStr">
        <is>
          <t>FAHAD</t>
        </is>
      </c>
      <c r="K2667" s="20" t="inlineStr">
        <is>
          <t>Non-Captive</t>
        </is>
      </c>
      <c r="L2667" s="20" t="inlineStr">
        <is>
          <t>AITOS CARS</t>
        </is>
      </c>
      <c r="M2667" s="23" t="n">
        <v>12711.86</v>
      </c>
    </row>
    <row r="2668">
      <c r="A2668" s="19" t="inlineStr">
        <is>
          <t>FY27</t>
        </is>
      </c>
      <c r="B2668" s="19" t="inlineStr">
        <is>
          <t>Jun</t>
        </is>
      </c>
      <c r="C2668" s="19" t="inlineStr">
        <is>
          <t>Kerala</t>
        </is>
      </c>
      <c r="D2668" s="20" t="inlineStr">
        <is>
          <t>KL40M5220</t>
        </is>
      </c>
      <c r="E2668" s="20" t="inlineStr">
        <is>
          <t>MARUTI SUZUKI</t>
        </is>
      </c>
      <c r="F2668" s="20" t="inlineStr">
        <is>
          <t>Baleno</t>
        </is>
      </c>
      <c r="G2668" s="21" t="n">
        <v>2016</v>
      </c>
      <c r="H2668" s="22" t="n">
        <v>55000</v>
      </c>
      <c r="I2668" s="22" t="n">
        <v>485000</v>
      </c>
      <c r="J2668" s="20" t="inlineStr">
        <is>
          <t>CITROEN EVM</t>
        </is>
      </c>
      <c r="K2668" s="20" t="inlineStr">
        <is>
          <t>Non-Captive</t>
        </is>
      </c>
      <c r="L2668" s="20" t="inlineStr">
        <is>
          <t>UMESHKUMAR T U</t>
        </is>
      </c>
      <c r="M2668" s="23" t="n">
        <v>8474.58</v>
      </c>
    </row>
    <row r="2669">
      <c r="A2669" s="19" t="inlineStr">
        <is>
          <t>FY27</t>
        </is>
      </c>
      <c r="B2669" s="19" t="inlineStr">
        <is>
          <t>Jun</t>
        </is>
      </c>
      <c r="C2669" s="19" t="inlineStr">
        <is>
          <t>Kerala</t>
        </is>
      </c>
      <c r="D2669" s="20" t="inlineStr">
        <is>
          <t>KL08AP7825</t>
        </is>
      </c>
      <c r="E2669" s="20" t="inlineStr">
        <is>
          <t>HYUNDAI</t>
        </is>
      </c>
      <c r="F2669" s="20" t="inlineStr">
        <is>
          <t>I10</t>
        </is>
      </c>
      <c r="G2669" s="21" t="n">
        <v>2008</v>
      </c>
      <c r="H2669" s="22" t="n">
        <v>106000</v>
      </c>
      <c r="I2669" s="22" t="n">
        <v>80000</v>
      </c>
      <c r="J2669" s="20" t="inlineStr">
        <is>
          <t>KVR TATA</t>
        </is>
      </c>
      <c r="K2669" s="20" t="inlineStr">
        <is>
          <t>Non-Captive</t>
        </is>
      </c>
      <c r="L2669" s="20" t="inlineStr">
        <is>
          <t>Rafeek</t>
        </is>
      </c>
      <c r="M2669" s="23" t="n">
        <v>8474.58</v>
      </c>
    </row>
    <row r="2670">
      <c r="A2670" s="19" t="inlineStr">
        <is>
          <t>FY27</t>
        </is>
      </c>
      <c r="B2670" s="19" t="inlineStr">
        <is>
          <t>Jun</t>
        </is>
      </c>
      <c r="C2670" s="19" t="inlineStr">
        <is>
          <t>Kerala</t>
        </is>
      </c>
      <c r="D2670" s="20" t="inlineStr">
        <is>
          <t>KL40C3090</t>
        </is>
      </c>
      <c r="E2670" s="20" t="inlineStr">
        <is>
          <t>TOYOTA</t>
        </is>
      </c>
      <c r="F2670" s="20" t="inlineStr">
        <is>
          <t>Innova</t>
        </is>
      </c>
      <c r="G2670" s="21" t="n">
        <v>2009</v>
      </c>
      <c r="H2670" s="22" t="n">
        <v>198318</v>
      </c>
      <c r="I2670" s="22" t="n">
        <v>435000</v>
      </c>
      <c r="J2670" s="20" t="inlineStr">
        <is>
          <t>AUTOMOTIVE MAHINDRA</t>
        </is>
      </c>
      <c r="K2670" s="20" t="inlineStr">
        <is>
          <t>Non-Captive</t>
        </is>
      </c>
      <c r="L2670" s="20" t="inlineStr">
        <is>
          <t>HUSSAIN O E</t>
        </is>
      </c>
      <c r="M2670" s="23" t="n">
        <v>8474.58</v>
      </c>
    </row>
    <row r="2671">
      <c r="A2671" s="19" t="inlineStr">
        <is>
          <t>FY27</t>
        </is>
      </c>
      <c r="B2671" s="19" t="inlineStr">
        <is>
          <t>Jun</t>
        </is>
      </c>
      <c r="C2671" s="19" t="inlineStr">
        <is>
          <t>Kerala</t>
        </is>
      </c>
      <c r="D2671" s="20" t="inlineStr">
        <is>
          <t>KL04AG2466</t>
        </is>
      </c>
      <c r="E2671" s="20" t="inlineStr">
        <is>
          <t>TOYOTA</t>
        </is>
      </c>
      <c r="F2671" s="20" t="inlineStr">
        <is>
          <t>Etios</t>
        </is>
      </c>
      <c r="G2671" s="21" t="n">
        <v>2014</v>
      </c>
      <c r="H2671" s="22" t="n">
        <v>98000</v>
      </c>
      <c r="I2671" s="22" t="n">
        <v>375000</v>
      </c>
      <c r="J2671" s="20" t="inlineStr">
        <is>
          <t>POPULAR MARUTI</t>
        </is>
      </c>
      <c r="K2671" s="20" t="inlineStr">
        <is>
          <t>Non-Captive</t>
        </is>
      </c>
      <c r="L2671" s="20" t="inlineStr">
        <is>
          <t>AITOS CARS</t>
        </is>
      </c>
      <c r="M2671" s="23" t="n">
        <v>12711.86</v>
      </c>
    </row>
    <row r="2672">
      <c r="A2672" s="19" t="inlineStr">
        <is>
          <t>FY27</t>
        </is>
      </c>
      <c r="B2672" s="19" t="inlineStr">
        <is>
          <t>Jun</t>
        </is>
      </c>
      <c r="C2672" s="19" t="inlineStr">
        <is>
          <t>Kerala</t>
        </is>
      </c>
      <c r="D2672" s="20" t="inlineStr">
        <is>
          <t>KL05V4126</t>
        </is>
      </c>
      <c r="E2672" s="20" t="inlineStr">
        <is>
          <t>MARUTI SUZUKI</t>
        </is>
      </c>
      <c r="F2672" s="20" t="inlineStr">
        <is>
          <t>Alto</t>
        </is>
      </c>
      <c r="G2672" s="21" t="n">
        <v>2006</v>
      </c>
      <c r="H2672" s="22" t="n">
        <v>74565</v>
      </c>
      <c r="I2672" s="22" t="n">
        <v>55000</v>
      </c>
      <c r="J2672" s="20" t="inlineStr">
        <is>
          <t>POPULAR MARUTI</t>
        </is>
      </c>
      <c r="K2672" s="20" t="inlineStr">
        <is>
          <t>Non-Captive</t>
        </is>
      </c>
      <c r="L2672" s="20" t="inlineStr">
        <is>
          <t>AKHIL KT</t>
        </is>
      </c>
      <c r="M2672" s="23" t="n">
        <v>8474.58</v>
      </c>
    </row>
    <row r="2673">
      <c r="A2673" s="19" t="inlineStr">
        <is>
          <t>FY27</t>
        </is>
      </c>
      <c r="B2673" s="19" t="inlineStr">
        <is>
          <t>Jun</t>
        </is>
      </c>
      <c r="C2673" s="19" t="inlineStr">
        <is>
          <t>Kerala</t>
        </is>
      </c>
      <c r="D2673" s="20" t="inlineStr">
        <is>
          <t>KL04X8744</t>
        </is>
      </c>
      <c r="E2673" s="20" t="inlineStr">
        <is>
          <t>MARUTI SUZUKI</t>
        </is>
      </c>
      <c r="F2673" s="20" t="inlineStr">
        <is>
          <t>Sx4</t>
        </is>
      </c>
      <c r="G2673" s="21" t="n">
        <v>2008</v>
      </c>
      <c r="H2673" s="22" t="n">
        <v>102170</v>
      </c>
      <c r="I2673" s="22" t="n">
        <v>65000</v>
      </c>
      <c r="J2673" s="20" t="inlineStr">
        <is>
          <t>POPULAR MARUTI</t>
        </is>
      </c>
      <c r="K2673" s="20" t="inlineStr">
        <is>
          <t>Non-Captive</t>
        </is>
      </c>
      <c r="L2673" s="20" t="inlineStr">
        <is>
          <t>JOSHY</t>
        </is>
      </c>
      <c r="M2673" s="23" t="n">
        <v>12711.86</v>
      </c>
    </row>
    <row r="2674">
      <c r="A2674" s="19" t="inlineStr">
        <is>
          <t>FY27</t>
        </is>
      </c>
      <c r="B2674" s="19" t="inlineStr">
        <is>
          <t>Jun</t>
        </is>
      </c>
      <c r="C2674" s="19" t="inlineStr">
        <is>
          <t>Kerala</t>
        </is>
      </c>
      <c r="D2674" s="20" t="inlineStr">
        <is>
          <t>KL30E5044</t>
        </is>
      </c>
      <c r="E2674" s="20" t="inlineStr">
        <is>
          <t>TATA</t>
        </is>
      </c>
      <c r="F2674" s="20" t="inlineStr">
        <is>
          <t>Nano</t>
        </is>
      </c>
      <c r="G2674" s="21" t="n">
        <v>2016</v>
      </c>
      <c r="H2674" s="22" t="n">
        <v>92737</v>
      </c>
      <c r="I2674" s="22" t="n">
        <v>110000</v>
      </c>
      <c r="J2674" s="20" t="inlineStr">
        <is>
          <t>POPULAR MARUTI</t>
        </is>
      </c>
      <c r="K2674" s="20" t="inlineStr">
        <is>
          <t>Non-Captive</t>
        </is>
      </c>
      <c r="L2674" s="20" t="inlineStr">
        <is>
          <t>DREAM DRIVE</t>
        </is>
      </c>
      <c r="M2674" s="23" t="n">
        <v>12711.86</v>
      </c>
    </row>
    <row r="2675">
      <c r="A2675" s="19" t="inlineStr">
        <is>
          <t>FY27</t>
        </is>
      </c>
      <c r="B2675" s="19" t="inlineStr">
        <is>
          <t>Jun</t>
        </is>
      </c>
      <c r="C2675" s="19" t="inlineStr">
        <is>
          <t>Kerala</t>
        </is>
      </c>
      <c r="D2675" s="20" t="inlineStr">
        <is>
          <t>KL02AZ3386</t>
        </is>
      </c>
      <c r="E2675" s="20" t="inlineStr">
        <is>
          <t>HONDA</t>
        </is>
      </c>
      <c r="F2675" s="20" t="inlineStr">
        <is>
          <t>Br-V</t>
        </is>
      </c>
      <c r="G2675" s="21" t="n">
        <v>2016</v>
      </c>
      <c r="H2675" s="22" t="n">
        <v>136005</v>
      </c>
      <c r="I2675" s="22" t="n">
        <v>347000</v>
      </c>
      <c r="J2675" s="20" t="inlineStr">
        <is>
          <t>AKHILNATH</t>
        </is>
      </c>
      <c r="K2675" s="20" t="inlineStr">
        <is>
          <t>Non-Captive</t>
        </is>
      </c>
      <c r="L2675" s="20" t="inlineStr">
        <is>
          <t>ATHUL RAJ</t>
        </is>
      </c>
      <c r="M2675" s="23" t="n">
        <v>5932.2</v>
      </c>
    </row>
    <row r="2676">
      <c r="A2676" s="19" t="inlineStr">
        <is>
          <t>FY27</t>
        </is>
      </c>
      <c r="B2676" s="19" t="inlineStr">
        <is>
          <t>Jun</t>
        </is>
      </c>
      <c r="C2676" s="19" t="inlineStr">
        <is>
          <t>Kerala</t>
        </is>
      </c>
      <c r="D2676" s="20" t="inlineStr">
        <is>
          <t>KL56M7241</t>
        </is>
      </c>
      <c r="E2676" s="20" t="inlineStr">
        <is>
          <t>TATA</t>
        </is>
      </c>
      <c r="F2676" s="20" t="inlineStr">
        <is>
          <t>Bolt</t>
        </is>
      </c>
      <c r="G2676" s="21" t="n">
        <v>2015</v>
      </c>
      <c r="H2676" s="22" t="n">
        <v>56000</v>
      </c>
      <c r="I2676" s="22" t="n">
        <v>135000</v>
      </c>
      <c r="J2676" s="20" t="inlineStr">
        <is>
          <t>KVR TATA</t>
        </is>
      </c>
      <c r="K2676" s="20" t="inlineStr">
        <is>
          <t>Non-Captive</t>
        </is>
      </c>
      <c r="L2676" s="20" t="inlineStr">
        <is>
          <t>SAYOOJ</t>
        </is>
      </c>
      <c r="M2676" s="23" t="n">
        <v>4237.29</v>
      </c>
    </row>
    <row r="2677">
      <c r="A2677" s="19" t="inlineStr">
        <is>
          <t>FY27</t>
        </is>
      </c>
      <c r="B2677" s="19" t="inlineStr">
        <is>
          <t>Jun</t>
        </is>
      </c>
      <c r="C2677" s="19" t="inlineStr">
        <is>
          <t>Kerala</t>
        </is>
      </c>
      <c r="D2677" s="20" t="inlineStr">
        <is>
          <t>KL16D2941</t>
        </is>
      </c>
      <c r="E2677" s="20" t="inlineStr">
        <is>
          <t>MARUTI SUZUKI</t>
        </is>
      </c>
      <c r="F2677" s="20" t="inlineStr">
        <is>
          <t>Swift</t>
        </is>
      </c>
      <c r="G2677" s="21" t="n">
        <v>2006</v>
      </c>
      <c r="H2677" s="22" t="n">
        <v>90000</v>
      </c>
      <c r="I2677" s="22" t="n">
        <v>36000</v>
      </c>
      <c r="J2677" s="20" t="inlineStr">
        <is>
          <t>POPULAR MARUTI</t>
        </is>
      </c>
      <c r="K2677" s="20" t="inlineStr">
        <is>
          <t>Non-Captive</t>
        </is>
      </c>
      <c r="L2677" s="20" t="inlineStr">
        <is>
          <t>SARITH R</t>
        </is>
      </c>
      <c r="M2677" s="23" t="n">
        <v>5084.75</v>
      </c>
    </row>
    <row r="2678">
      <c r="A2678" s="19" t="inlineStr">
        <is>
          <t>FY27</t>
        </is>
      </c>
      <c r="B2678" s="19" t="inlineStr">
        <is>
          <t>Jun</t>
        </is>
      </c>
      <c r="C2678" s="19" t="inlineStr">
        <is>
          <t>Kerala</t>
        </is>
      </c>
      <c r="D2678" s="20" t="inlineStr">
        <is>
          <t>KL59B5271</t>
        </is>
      </c>
      <c r="E2678" s="20" t="inlineStr">
        <is>
          <t>MARUTI SUZUKI</t>
        </is>
      </c>
      <c r="F2678" s="20" t="inlineStr">
        <is>
          <t>Alto</t>
        </is>
      </c>
      <c r="G2678" s="21" t="n">
        <v>2010</v>
      </c>
      <c r="H2678" s="22" t="n">
        <v>89000</v>
      </c>
      <c r="I2678" s="22" t="n">
        <v>53000</v>
      </c>
      <c r="J2678" s="20" t="inlineStr">
        <is>
          <t>POPULAR MARUTI</t>
        </is>
      </c>
      <c r="K2678" s="20" t="inlineStr">
        <is>
          <t>Non-Captive</t>
        </is>
      </c>
      <c r="L2678" s="20" t="inlineStr">
        <is>
          <t>SARITH R</t>
        </is>
      </c>
      <c r="M2678" s="23" t="n">
        <v>6779.66</v>
      </c>
    </row>
    <row r="2679">
      <c r="A2679" s="19" t="inlineStr">
        <is>
          <t>FY27</t>
        </is>
      </c>
      <c r="B2679" s="19" t="inlineStr">
        <is>
          <t>Jun</t>
        </is>
      </c>
      <c r="C2679" s="19" t="inlineStr">
        <is>
          <t>Kerala</t>
        </is>
      </c>
      <c r="D2679" s="20" t="inlineStr">
        <is>
          <t>KL11Z8845</t>
        </is>
      </c>
      <c r="E2679" s="20" t="inlineStr">
        <is>
          <t>MARUTI SUZUKI</t>
        </is>
      </c>
      <c r="F2679" s="20" t="inlineStr">
        <is>
          <t>M800</t>
        </is>
      </c>
      <c r="G2679" s="21" t="n">
        <v>2007</v>
      </c>
      <c r="H2679" s="22" t="n">
        <v>190000</v>
      </c>
      <c r="I2679" s="22" t="n">
        <v>32000</v>
      </c>
      <c r="J2679" s="20" t="inlineStr">
        <is>
          <t>POPULAR MARUTI</t>
        </is>
      </c>
      <c r="K2679" s="20" t="inlineStr">
        <is>
          <t>Non-Captive</t>
        </is>
      </c>
      <c r="L2679" s="20" t="inlineStr">
        <is>
          <t>AUTOTRUST</t>
        </is>
      </c>
      <c r="M2679" s="23" t="n">
        <v>5932.2</v>
      </c>
    </row>
    <row r="2680">
      <c r="A2680" s="19" t="inlineStr">
        <is>
          <t>FY27</t>
        </is>
      </c>
      <c r="B2680" s="19" t="inlineStr">
        <is>
          <t>Jun</t>
        </is>
      </c>
      <c r="C2680" s="19" t="inlineStr">
        <is>
          <t>Kerala</t>
        </is>
      </c>
      <c r="D2680" s="20" t="inlineStr">
        <is>
          <t>KL14K8154</t>
        </is>
      </c>
      <c r="E2680" s="20" t="inlineStr">
        <is>
          <t>MARUTI SUZUKI</t>
        </is>
      </c>
      <c r="F2680" s="20" t="inlineStr">
        <is>
          <t>Alto</t>
        </is>
      </c>
      <c r="G2680" s="21" t="n">
        <v>2011</v>
      </c>
      <c r="H2680" s="22" t="n">
        <v>200000</v>
      </c>
      <c r="I2680" s="22" t="n">
        <v>6000</v>
      </c>
      <c r="J2680" s="20" t="inlineStr">
        <is>
          <t>POPULAR MARUTI</t>
        </is>
      </c>
      <c r="K2680" s="20" t="inlineStr">
        <is>
          <t>Non-Captive</t>
        </is>
      </c>
      <c r="L2680" s="20" t="inlineStr">
        <is>
          <t>AUTOTRUST</t>
        </is>
      </c>
      <c r="M2680" s="23" t="n">
        <v>5084.75</v>
      </c>
    </row>
    <row r="2681">
      <c r="A2681" s="19" t="inlineStr">
        <is>
          <t>FY27</t>
        </is>
      </c>
      <c r="B2681" s="19" t="inlineStr">
        <is>
          <t>Jun</t>
        </is>
      </c>
      <c r="C2681" s="19" t="inlineStr">
        <is>
          <t>Kerala</t>
        </is>
      </c>
      <c r="D2681" s="20" t="inlineStr">
        <is>
          <t>KL05AX6989</t>
        </is>
      </c>
      <c r="E2681" s="20" t="inlineStr">
        <is>
          <t>RENAULT</t>
        </is>
      </c>
      <c r="F2681" s="20" t="inlineStr">
        <is>
          <t>Kwid</t>
        </is>
      </c>
      <c r="G2681" s="21" t="n">
        <v>2021</v>
      </c>
      <c r="H2681" s="22" t="n">
        <v>51232</v>
      </c>
      <c r="I2681" s="22" t="n">
        <v>350000</v>
      </c>
      <c r="J2681" s="20" t="inlineStr">
        <is>
          <t>DREAM DRIVE</t>
        </is>
      </c>
      <c r="K2681" s="20" t="inlineStr">
        <is>
          <t>Non-Captive</t>
        </is>
      </c>
      <c r="L2681" s="20" t="inlineStr">
        <is>
          <t>SUDHEESH K SATHEESH</t>
        </is>
      </c>
      <c r="M2681" s="23" t="n">
        <v>8474.58</v>
      </c>
    </row>
    <row r="2682">
      <c r="A2682" s="19" t="inlineStr">
        <is>
          <t>FY27</t>
        </is>
      </c>
      <c r="B2682" s="19" t="inlineStr">
        <is>
          <t>Jun</t>
        </is>
      </c>
      <c r="C2682" s="19" t="inlineStr">
        <is>
          <t>Kerala</t>
        </is>
      </c>
      <c r="D2682" s="20" t="inlineStr">
        <is>
          <t>KL35M8259</t>
        </is>
      </c>
      <c r="E2682" s="20" t="inlineStr">
        <is>
          <t>RENAULT</t>
        </is>
      </c>
      <c r="F2682" s="20" t="inlineStr">
        <is>
          <t>Kwid</t>
        </is>
      </c>
      <c r="G2682" s="21" t="n">
        <v>2024</v>
      </c>
      <c r="H2682" s="22" t="n">
        <v>17383</v>
      </c>
      <c r="I2682" s="22" t="n">
        <v>360000</v>
      </c>
      <c r="J2682" s="20" t="inlineStr">
        <is>
          <t>SAI MARUTI</t>
        </is>
      </c>
      <c r="K2682" s="20" t="inlineStr">
        <is>
          <t>Non-Captive</t>
        </is>
      </c>
      <c r="L2682" s="20" t="inlineStr">
        <is>
          <t>AITOS CARS</t>
        </is>
      </c>
      <c r="M2682" s="23" t="n">
        <v>8474.58</v>
      </c>
    </row>
    <row r="2683">
      <c r="A2683" s="19" t="inlineStr">
        <is>
          <t>FY27</t>
        </is>
      </c>
      <c r="B2683" s="19" t="inlineStr">
        <is>
          <t>Jun</t>
        </is>
      </c>
      <c r="C2683" s="19" t="inlineStr">
        <is>
          <t>Kerala</t>
        </is>
      </c>
      <c r="D2683" s="20" t="inlineStr">
        <is>
          <t>KL22L7036</t>
        </is>
      </c>
      <c r="E2683" s="20" t="inlineStr">
        <is>
          <t>MARUTI SUZUKI</t>
        </is>
      </c>
      <c r="F2683" s="20" t="inlineStr">
        <is>
          <t>K10</t>
        </is>
      </c>
      <c r="G2683" s="21" t="n">
        <v>2018</v>
      </c>
      <c r="H2683" s="22" t="n">
        <v>17656</v>
      </c>
      <c r="I2683" s="22" t="n">
        <v>370000</v>
      </c>
      <c r="J2683" s="20" t="inlineStr">
        <is>
          <t>MUHAMMED SHAJI</t>
        </is>
      </c>
      <c r="K2683" s="20" t="inlineStr">
        <is>
          <t>Non-Captive</t>
        </is>
      </c>
      <c r="L2683" s="20" t="inlineStr">
        <is>
          <t>SUDHEESH K SATHEESH</t>
        </is>
      </c>
      <c r="M2683" s="23" t="n">
        <v>8474.58</v>
      </c>
    </row>
    <row r="2684">
      <c r="A2684" s="19" t="inlineStr">
        <is>
          <t>FY27</t>
        </is>
      </c>
      <c r="B2684" s="19" t="inlineStr">
        <is>
          <t>Jun</t>
        </is>
      </c>
      <c r="C2684" s="19" t="inlineStr">
        <is>
          <t>Kerala</t>
        </is>
      </c>
      <c r="D2684" s="20" t="inlineStr">
        <is>
          <t>KL53T9538</t>
        </is>
      </c>
      <c r="E2684" s="20" t="inlineStr">
        <is>
          <t>RENAULT</t>
        </is>
      </c>
      <c r="F2684" s="20" t="inlineStr">
        <is>
          <t>Triber</t>
        </is>
      </c>
      <c r="G2684" s="21" t="n">
        <v>2022</v>
      </c>
      <c r="H2684" s="22" t="n">
        <v>10080</v>
      </c>
      <c r="I2684" s="22" t="n">
        <v>500000</v>
      </c>
      <c r="J2684" s="20" t="inlineStr">
        <is>
          <t>SAI MARUTI</t>
        </is>
      </c>
      <c r="K2684" s="20" t="inlineStr">
        <is>
          <t>Non-Captive</t>
        </is>
      </c>
      <c r="L2684" s="20" t="inlineStr">
        <is>
          <t>AITOS CARS</t>
        </is>
      </c>
      <c r="M2684" s="23" t="n">
        <v>8474.58</v>
      </c>
    </row>
    <row r="2685">
      <c r="A2685" s="19" t="inlineStr">
        <is>
          <t>FY27</t>
        </is>
      </c>
      <c r="B2685" s="19" t="inlineStr">
        <is>
          <t>Jun</t>
        </is>
      </c>
      <c r="C2685" s="19" t="inlineStr">
        <is>
          <t>Kerala</t>
        </is>
      </c>
      <c r="D2685" s="20" t="inlineStr">
        <is>
          <t>KL31G2480</t>
        </is>
      </c>
      <c r="E2685" s="20" t="inlineStr">
        <is>
          <t>MARUTI SUZUKI</t>
        </is>
      </c>
      <c r="F2685" s="20" t="inlineStr">
        <is>
          <t>Swift Dzire</t>
        </is>
      </c>
      <c r="G2685" s="21" t="n">
        <v>2014</v>
      </c>
      <c r="H2685" s="22" t="n">
        <v>88978</v>
      </c>
      <c r="I2685" s="22" t="n">
        <v>340000</v>
      </c>
      <c r="J2685" s="20" t="inlineStr">
        <is>
          <t>AMRITH V CHANDY</t>
        </is>
      </c>
      <c r="K2685" s="20" t="inlineStr">
        <is>
          <t>Non-Captive</t>
        </is>
      </c>
      <c r="L2685" s="20" t="inlineStr">
        <is>
          <t>ANAS HAMEED</t>
        </is>
      </c>
      <c r="M2685" s="23" t="n">
        <v>12711.86</v>
      </c>
    </row>
    <row r="2686">
      <c r="A2686" s="19" t="inlineStr">
        <is>
          <t>FY27</t>
        </is>
      </c>
      <c r="B2686" s="19" t="inlineStr">
        <is>
          <t>Jun</t>
        </is>
      </c>
      <c r="C2686" s="19" t="inlineStr">
        <is>
          <t>Kerala</t>
        </is>
      </c>
      <c r="D2686" s="20" t="inlineStr">
        <is>
          <t>KL460635</t>
        </is>
      </c>
      <c r="E2686" s="20" t="inlineStr">
        <is>
          <t>MARUTI SUZUKI</t>
        </is>
      </c>
      <c r="F2686" s="20" t="inlineStr">
        <is>
          <t>Wagon R</t>
        </is>
      </c>
      <c r="G2686" s="21" t="n">
        <v>2006</v>
      </c>
      <c r="H2686" s="22" t="n">
        <v>98000</v>
      </c>
      <c r="I2686" s="22" t="n">
        <v>110000</v>
      </c>
      <c r="J2686" s="20" t="inlineStr">
        <is>
          <t>POPULAR MARUTI</t>
        </is>
      </c>
      <c r="K2686" s="20" t="inlineStr">
        <is>
          <t>Non-Captive</t>
        </is>
      </c>
      <c r="L2686" s="20" t="inlineStr">
        <is>
          <t>AITOS CARS</t>
        </is>
      </c>
      <c r="M2686" s="23" t="n">
        <v>12711.86</v>
      </c>
    </row>
    <row r="2687">
      <c r="A2687" s="19" t="inlineStr">
        <is>
          <t>FY27</t>
        </is>
      </c>
      <c r="B2687" s="19" t="inlineStr">
        <is>
          <t>Jun</t>
        </is>
      </c>
      <c r="C2687" s="19" t="inlineStr">
        <is>
          <t>Kerala</t>
        </is>
      </c>
      <c r="D2687" s="20" t="inlineStr">
        <is>
          <t>KL35G3962</t>
        </is>
      </c>
      <c r="E2687" s="20" t="inlineStr">
        <is>
          <t>HONDA</t>
        </is>
      </c>
      <c r="F2687" s="20" t="inlineStr">
        <is>
          <t>City</t>
        </is>
      </c>
      <c r="G2687" s="21" t="n">
        <v>2016</v>
      </c>
      <c r="H2687" s="22" t="n">
        <v>11900</v>
      </c>
      <c r="I2687" s="22" t="n">
        <v>450000</v>
      </c>
      <c r="J2687" s="20" t="inlineStr">
        <is>
          <t>PHOENIX VOLKSWAGEN</t>
        </is>
      </c>
      <c r="K2687" s="20" t="inlineStr">
        <is>
          <t>Non-Captive</t>
        </is>
      </c>
      <c r="L2687" s="20" t="inlineStr">
        <is>
          <t>JAMSHEER</t>
        </is>
      </c>
      <c r="M2687" s="23" t="n">
        <v>8474.58</v>
      </c>
    </row>
    <row r="2688">
      <c r="A2688" s="19" t="inlineStr">
        <is>
          <t>FY27</t>
        </is>
      </c>
      <c r="B2688" s="19" t="inlineStr">
        <is>
          <t>Jun</t>
        </is>
      </c>
      <c r="C2688" s="19" t="inlineStr">
        <is>
          <t>Kerala</t>
        </is>
      </c>
      <c r="D2688" s="20" t="inlineStr">
        <is>
          <t>KL11BA8734</t>
        </is>
      </c>
      <c r="E2688" s="20" t="inlineStr">
        <is>
          <t>MARUTI SUZUKI</t>
        </is>
      </c>
      <c r="F2688" s="20" t="inlineStr">
        <is>
          <t>Wagon R</t>
        </is>
      </c>
      <c r="G2688" s="21" t="n">
        <v>2015</v>
      </c>
      <c r="H2688" s="22" t="n">
        <v>57000</v>
      </c>
      <c r="I2688" s="22" t="n">
        <v>320000</v>
      </c>
      <c r="J2688" s="20" t="inlineStr">
        <is>
          <t>BIMAL</t>
        </is>
      </c>
      <c r="K2688" s="20" t="inlineStr">
        <is>
          <t>Non-Captive</t>
        </is>
      </c>
      <c r="L2688" s="20" t="inlineStr">
        <is>
          <t>MUHAMMED NISAB</t>
        </is>
      </c>
      <c r="M2688" s="23" t="n">
        <v>8474.58</v>
      </c>
    </row>
    <row r="2689">
      <c r="A2689" s="19" t="inlineStr">
        <is>
          <t>FY27</t>
        </is>
      </c>
      <c r="B2689" s="19" t="inlineStr">
        <is>
          <t>Jun</t>
        </is>
      </c>
      <c r="C2689" s="19" t="inlineStr">
        <is>
          <t>Kerala</t>
        </is>
      </c>
      <c r="D2689" s="20" t="inlineStr">
        <is>
          <t>KL58M7384</t>
        </is>
      </c>
      <c r="E2689" s="20" t="inlineStr">
        <is>
          <t>DATSUN</t>
        </is>
      </c>
      <c r="F2689" s="20" t="inlineStr">
        <is>
          <t>Go</t>
        </is>
      </c>
      <c r="G2689" s="21" t="n">
        <v>2014</v>
      </c>
      <c r="H2689" s="22" t="n">
        <v>87000</v>
      </c>
      <c r="I2689" s="22" t="n">
        <v>39007</v>
      </c>
      <c r="J2689" s="20" t="inlineStr">
        <is>
          <t>UCD DIAZ</t>
        </is>
      </c>
      <c r="K2689" s="20" t="inlineStr">
        <is>
          <t>Non-Captive</t>
        </is>
      </c>
      <c r="L2689" s="20" t="inlineStr">
        <is>
          <t>AUTOTRUST</t>
        </is>
      </c>
      <c r="M2689" s="23" t="n">
        <v>5090.68</v>
      </c>
    </row>
    <row r="2690">
      <c r="A2690" s="19" t="inlineStr">
        <is>
          <t>FY27</t>
        </is>
      </c>
      <c r="B2690" s="19" t="inlineStr">
        <is>
          <t>Jun</t>
        </is>
      </c>
      <c r="C2690" s="19" t="inlineStr">
        <is>
          <t>Kerala</t>
        </is>
      </c>
      <c r="D2690" s="20" t="inlineStr">
        <is>
          <t>KL45P6622</t>
        </is>
      </c>
      <c r="E2690" s="20" t="inlineStr">
        <is>
          <t>MAHINDRA</t>
        </is>
      </c>
      <c r="F2690" s="20" t="inlineStr">
        <is>
          <t>Kuv100</t>
        </is>
      </c>
      <c r="G2690" s="21" t="n">
        <v>2017</v>
      </c>
      <c r="H2690" s="22" t="n">
        <v>35000</v>
      </c>
      <c r="I2690" s="22" t="n">
        <v>250000</v>
      </c>
      <c r="J2690" s="20" t="inlineStr">
        <is>
          <t>EVM CITROEN</t>
        </is>
      </c>
      <c r="K2690" s="20" t="inlineStr">
        <is>
          <t>Non-Captive</t>
        </is>
      </c>
      <c r="L2690" s="20" t="inlineStr">
        <is>
          <t>UMESHKUMAR T U</t>
        </is>
      </c>
      <c r="M2690" s="23" t="n">
        <v>10169.49</v>
      </c>
    </row>
    <row r="2691">
      <c r="A2691" s="19" t="inlineStr">
        <is>
          <t>FY27</t>
        </is>
      </c>
      <c r="B2691" s="19" t="inlineStr">
        <is>
          <t>Jun</t>
        </is>
      </c>
      <c r="C2691" s="19" t="inlineStr">
        <is>
          <t>Kerala</t>
        </is>
      </c>
      <c r="D2691" s="20" t="inlineStr">
        <is>
          <t>KL07BT4317</t>
        </is>
      </c>
      <c r="E2691" s="20" t="inlineStr">
        <is>
          <t>MARUTI SUZUKI</t>
        </is>
      </c>
      <c r="F2691" s="20" t="inlineStr">
        <is>
          <t>Ritz</t>
        </is>
      </c>
      <c r="G2691" s="21" t="n">
        <v>2011</v>
      </c>
      <c r="H2691" s="22" t="n">
        <v>70134</v>
      </c>
      <c r="I2691" s="22" t="n">
        <v>180000</v>
      </c>
      <c r="J2691" s="20" t="inlineStr">
        <is>
          <t>INDUS MARUTI</t>
        </is>
      </c>
      <c r="K2691" s="20" t="inlineStr">
        <is>
          <t>Non-Captive</t>
        </is>
      </c>
      <c r="L2691" s="20" t="inlineStr">
        <is>
          <t>VTJ</t>
        </is>
      </c>
      <c r="M2691" s="23" t="n">
        <v>8474.58</v>
      </c>
    </row>
    <row r="2692">
      <c r="A2692" s="19" t="inlineStr">
        <is>
          <t>FY27</t>
        </is>
      </c>
      <c r="B2692" s="19" t="inlineStr">
        <is>
          <t>Jun</t>
        </is>
      </c>
      <c r="C2692" s="19" t="inlineStr">
        <is>
          <t>Kerala</t>
        </is>
      </c>
      <c r="D2692" s="20" t="inlineStr">
        <is>
          <t>KL38L0347</t>
        </is>
      </c>
      <c r="E2692" s="20" t="inlineStr">
        <is>
          <t>TATA</t>
        </is>
      </c>
      <c r="F2692" s="20" t="inlineStr">
        <is>
          <t>Altroz</t>
        </is>
      </c>
      <c r="G2692" s="21" t="n">
        <v>2023</v>
      </c>
      <c r="H2692" s="22" t="n">
        <v>21789</v>
      </c>
      <c r="I2692" s="22" t="n">
        <v>330000</v>
      </c>
      <c r="J2692" s="20" t="inlineStr">
        <is>
          <t>CARS24</t>
        </is>
      </c>
      <c r="K2692" s="20" t="inlineStr">
        <is>
          <t>Non-Captive</t>
        </is>
      </c>
      <c r="L2692" s="20" t="inlineStr">
        <is>
          <t>DINESH P S</t>
        </is>
      </c>
      <c r="M2692" s="23" t="n">
        <v>8474.58</v>
      </c>
    </row>
    <row r="2693">
      <c r="A2693" s="19" t="inlineStr">
        <is>
          <t>FY27</t>
        </is>
      </c>
      <c r="B2693" s="19" t="inlineStr">
        <is>
          <t>Jun</t>
        </is>
      </c>
      <c r="C2693" s="19" t="inlineStr">
        <is>
          <t>Kerala</t>
        </is>
      </c>
      <c r="D2693" s="20" t="inlineStr">
        <is>
          <t>KL13AE8873</t>
        </is>
      </c>
      <c r="E2693" s="20" t="inlineStr">
        <is>
          <t>HYUNDAI</t>
        </is>
      </c>
      <c r="F2693" s="20" t="inlineStr">
        <is>
          <t>Xcent</t>
        </is>
      </c>
      <c r="G2693" s="21" t="n">
        <v>2015</v>
      </c>
      <c r="H2693" s="22" t="n">
        <v>58500</v>
      </c>
      <c r="I2693" s="22" t="n">
        <v>255000</v>
      </c>
      <c r="J2693" s="20" t="inlineStr">
        <is>
          <t>LUXON TATA</t>
        </is>
      </c>
      <c r="K2693" s="20" t="inlineStr">
        <is>
          <t>Non-Captive</t>
        </is>
      </c>
      <c r="L2693" s="20" t="inlineStr">
        <is>
          <t>SANTHOSH</t>
        </is>
      </c>
      <c r="M2693" s="23" t="n">
        <v>4237.29</v>
      </c>
    </row>
    <row r="2694">
      <c r="A2694" s="19" t="inlineStr">
        <is>
          <t>FY27</t>
        </is>
      </c>
      <c r="B2694" s="19" t="inlineStr">
        <is>
          <t>Jun</t>
        </is>
      </c>
      <c r="C2694" s="19" t="inlineStr">
        <is>
          <t>Kerala</t>
        </is>
      </c>
      <c r="D2694" s="20" t="inlineStr">
        <is>
          <t>KL01AQ1603</t>
        </is>
      </c>
      <c r="E2694" s="20" t="inlineStr">
        <is>
          <t>MARUTI SUZUKI</t>
        </is>
      </c>
      <c r="F2694" s="20" t="inlineStr">
        <is>
          <t>Wagon R</t>
        </is>
      </c>
      <c r="G2694" s="21" t="n">
        <v>2007</v>
      </c>
      <c r="H2694" s="22" t="n">
        <v>110000</v>
      </c>
      <c r="I2694" s="22" t="n">
        <v>65000</v>
      </c>
      <c r="J2694" s="20" t="inlineStr">
        <is>
          <t>MAXX MOTORS</t>
        </is>
      </c>
      <c r="K2694" s="20" t="inlineStr">
        <is>
          <t>Non-Captive</t>
        </is>
      </c>
      <c r="L2694" s="20" t="inlineStr">
        <is>
          <t>KISHORE</t>
        </is>
      </c>
      <c r="M2694" s="23" t="n">
        <v>4237.29</v>
      </c>
    </row>
    <row r="2695">
      <c r="A2695" s="19" t="inlineStr">
        <is>
          <t>FY27</t>
        </is>
      </c>
      <c r="B2695" s="19" t="inlineStr">
        <is>
          <t>Jun</t>
        </is>
      </c>
      <c r="C2695" s="19" t="inlineStr">
        <is>
          <t>Kerala</t>
        </is>
      </c>
      <c r="D2695" s="20" t="inlineStr">
        <is>
          <t>KL01AR2999</t>
        </is>
      </c>
      <c r="E2695" s="20" t="inlineStr">
        <is>
          <t>FORD</t>
        </is>
      </c>
      <c r="F2695" s="20" t="inlineStr">
        <is>
          <t>Ikon</t>
        </is>
      </c>
      <c r="G2695" s="21" t="n">
        <v>2007</v>
      </c>
      <c r="H2695" s="22" t="n">
        <v>85000</v>
      </c>
      <c r="I2695" s="22" t="n">
        <v>35000</v>
      </c>
      <c r="J2695" s="20" t="inlineStr">
        <is>
          <t>LUXON TATA</t>
        </is>
      </c>
      <c r="K2695" s="20" t="inlineStr">
        <is>
          <t>Non-Captive</t>
        </is>
      </c>
      <c r="L2695" s="20" t="inlineStr">
        <is>
          <t>ABHISHEK</t>
        </is>
      </c>
      <c r="M2695" s="23" t="n">
        <v>4237.29</v>
      </c>
    </row>
    <row r="2696">
      <c r="A2696" s="19" t="inlineStr">
        <is>
          <t>FY27</t>
        </is>
      </c>
      <c r="B2696" s="19" t="inlineStr">
        <is>
          <t>Jun</t>
        </is>
      </c>
      <c r="C2696" s="19" t="inlineStr">
        <is>
          <t>Kerala</t>
        </is>
      </c>
      <c r="D2696" s="20" t="inlineStr">
        <is>
          <t>KL02BC2353</t>
        </is>
      </c>
      <c r="E2696" s="20" t="inlineStr">
        <is>
          <t>HYUNDAI</t>
        </is>
      </c>
      <c r="F2696" s="20" t="inlineStr">
        <is>
          <t>Grand I10</t>
        </is>
      </c>
      <c r="G2696" s="21" t="n">
        <v>2017</v>
      </c>
      <c r="H2696" s="22" t="n">
        <v>51662</v>
      </c>
      <c r="I2696" s="22" t="n">
        <v>286000</v>
      </c>
      <c r="J2696" s="20" t="inlineStr">
        <is>
          <t>FORTUNE MG</t>
        </is>
      </c>
      <c r="K2696" s="20" t="inlineStr">
        <is>
          <t>Non-Captive</t>
        </is>
      </c>
      <c r="L2696" s="20" t="inlineStr">
        <is>
          <t>RAMSHAD</t>
        </is>
      </c>
      <c r="M2696" s="23" t="n">
        <v>5084.75</v>
      </c>
    </row>
    <row r="2697">
      <c r="A2697" s="19" t="inlineStr">
        <is>
          <t>FY27</t>
        </is>
      </c>
      <c r="B2697" s="19" t="inlineStr">
        <is>
          <t>Jun</t>
        </is>
      </c>
      <c r="C2697" s="19" t="inlineStr">
        <is>
          <t>Kerala</t>
        </is>
      </c>
      <c r="D2697" s="20" t="inlineStr">
        <is>
          <t>KL24K3388</t>
        </is>
      </c>
      <c r="E2697" s="20" t="inlineStr">
        <is>
          <t>MARUTI SUZUKI</t>
        </is>
      </c>
      <c r="F2697" s="20" t="inlineStr">
        <is>
          <t>Alto</t>
        </is>
      </c>
      <c r="G2697" s="21" t="n">
        <v>2015</v>
      </c>
      <c r="H2697" s="22" t="n">
        <v>50000</v>
      </c>
      <c r="I2697" s="22" t="n">
        <v>200000</v>
      </c>
      <c r="J2697" s="20" t="inlineStr">
        <is>
          <t>INCHEON KIA</t>
        </is>
      </c>
      <c r="K2697" s="20" t="inlineStr">
        <is>
          <t>Non-Captive</t>
        </is>
      </c>
      <c r="L2697" s="20" t="inlineStr">
        <is>
          <t>ANANDHU</t>
        </is>
      </c>
      <c r="M2697" s="23" t="n">
        <v>4237.29</v>
      </c>
    </row>
    <row r="2698">
      <c r="A2698" s="19" t="inlineStr">
        <is>
          <t>FY27</t>
        </is>
      </c>
      <c r="B2698" s="19" t="inlineStr">
        <is>
          <t>Jun</t>
        </is>
      </c>
      <c r="C2698" s="19" t="inlineStr">
        <is>
          <t>Kerala</t>
        </is>
      </c>
      <c r="D2698" s="20" t="inlineStr">
        <is>
          <t>KL60F6339</t>
        </is>
      </c>
      <c r="E2698" s="20" t="inlineStr">
        <is>
          <t>MARUTI SUZUKI</t>
        </is>
      </c>
      <c r="F2698" s="20" t="inlineStr">
        <is>
          <t>Swift</t>
        </is>
      </c>
      <c r="G2698" s="21" t="n">
        <v>2013</v>
      </c>
      <c r="H2698" s="22" t="n">
        <v>138000</v>
      </c>
      <c r="I2698" s="22" t="n">
        <v>212000</v>
      </c>
      <c r="J2698" s="20" t="inlineStr">
        <is>
          <t>POPULAR MARUTI</t>
        </is>
      </c>
      <c r="K2698" s="20" t="inlineStr">
        <is>
          <t>Non-Captive</t>
        </is>
      </c>
      <c r="L2698" s="20" t="inlineStr">
        <is>
          <t>JIMMY</t>
        </is>
      </c>
      <c r="M2698" s="23" t="n">
        <v>5932.2</v>
      </c>
    </row>
    <row r="2699">
      <c r="A2699" s="19" t="inlineStr">
        <is>
          <t>FY27</t>
        </is>
      </c>
      <c r="B2699" s="19" t="inlineStr">
        <is>
          <t>Jun</t>
        </is>
      </c>
      <c r="C2699" s="19" t="inlineStr">
        <is>
          <t>Kerala</t>
        </is>
      </c>
      <c r="D2699" s="20" t="inlineStr">
        <is>
          <t>KL22G1848</t>
        </is>
      </c>
      <c r="E2699" s="20" t="inlineStr">
        <is>
          <t>MARUTI SUZUKI</t>
        </is>
      </c>
      <c r="F2699" s="20" t="inlineStr">
        <is>
          <t>Ritz</t>
        </is>
      </c>
      <c r="G2699" s="21" t="n">
        <v>2014</v>
      </c>
      <c r="H2699" s="22" t="n">
        <v>100000</v>
      </c>
      <c r="I2699" s="22" t="n">
        <v>130000</v>
      </c>
      <c r="J2699" s="20" t="inlineStr">
        <is>
          <t>POPULAR MARUTI</t>
        </is>
      </c>
      <c r="K2699" s="20" t="inlineStr">
        <is>
          <t>Non-Captive</t>
        </is>
      </c>
      <c r="L2699" s="20" t="inlineStr">
        <is>
          <t>AUTOBOT</t>
        </is>
      </c>
      <c r="M2699" s="23" t="n">
        <v>25423.73</v>
      </c>
    </row>
    <row r="2700">
      <c r="A2700" s="19" t="inlineStr">
        <is>
          <t>FY27</t>
        </is>
      </c>
      <c r="B2700" s="19" t="inlineStr">
        <is>
          <t>Jun</t>
        </is>
      </c>
      <c r="C2700" s="19" t="inlineStr">
        <is>
          <t>Kerala</t>
        </is>
      </c>
      <c r="D2700" s="20" t="inlineStr">
        <is>
          <t>KL11AG7164</t>
        </is>
      </c>
      <c r="E2700" s="20" t="inlineStr">
        <is>
          <t>FORD</t>
        </is>
      </c>
      <c r="F2700" s="20" t="inlineStr">
        <is>
          <t>Figo</t>
        </is>
      </c>
      <c r="G2700" s="21" t="n">
        <v>2010</v>
      </c>
      <c r="H2700" s="22" t="n">
        <v>139000</v>
      </c>
      <c r="I2700" s="22" t="n">
        <v>75000</v>
      </c>
      <c r="J2700" s="20" t="inlineStr">
        <is>
          <t>BIMAL</t>
        </is>
      </c>
      <c r="K2700" s="20" t="inlineStr">
        <is>
          <t>Non-Captive</t>
        </is>
      </c>
      <c r="L2700" s="20" t="inlineStr">
        <is>
          <t>JIMMY</t>
        </is>
      </c>
      <c r="M2700" s="23" t="n">
        <v>4237.29</v>
      </c>
    </row>
    <row r="2701">
      <c r="A2701" s="19" t="inlineStr">
        <is>
          <t>FY27</t>
        </is>
      </c>
      <c r="B2701" s="19" t="inlineStr">
        <is>
          <t>Jun</t>
        </is>
      </c>
      <c r="C2701" s="19" t="inlineStr">
        <is>
          <t>Kerala</t>
        </is>
      </c>
      <c r="D2701" s="20" t="inlineStr">
        <is>
          <t>KL193067</t>
        </is>
      </c>
      <c r="E2701" s="20" t="inlineStr">
        <is>
          <t>MARUTI SUZUKI</t>
        </is>
      </c>
      <c r="F2701" s="20" t="inlineStr">
        <is>
          <t>Zen</t>
        </is>
      </c>
      <c r="G2701" s="21" t="n">
        <v>2007</v>
      </c>
      <c r="H2701" s="22" t="n">
        <v>87900</v>
      </c>
      <c r="I2701" s="22" t="n">
        <v>46000</v>
      </c>
      <c r="J2701" s="20" t="inlineStr">
        <is>
          <t>INCHEON KIA</t>
        </is>
      </c>
      <c r="K2701" s="20" t="inlineStr">
        <is>
          <t>Non-Captive</t>
        </is>
      </c>
      <c r="L2701" s="20" t="inlineStr">
        <is>
          <t>KISHORE</t>
        </is>
      </c>
      <c r="M2701" s="23" t="n">
        <v>5084.75</v>
      </c>
    </row>
    <row r="2702">
      <c r="A2702" s="19" t="inlineStr">
        <is>
          <t>FY27</t>
        </is>
      </c>
      <c r="B2702" s="19" t="inlineStr">
        <is>
          <t>Jun</t>
        </is>
      </c>
      <c r="C2702" s="19" t="inlineStr">
        <is>
          <t>Kerala</t>
        </is>
      </c>
      <c r="D2702" s="20" t="inlineStr">
        <is>
          <t>KL69B4433</t>
        </is>
      </c>
      <c r="E2702" s="20" t="inlineStr">
        <is>
          <t>MARUTI SUZUKI</t>
        </is>
      </c>
      <c r="F2702" s="20" t="inlineStr">
        <is>
          <t>Swift Dzire</t>
        </is>
      </c>
      <c r="G2702" s="21" t="n">
        <v>2018</v>
      </c>
      <c r="H2702" s="22" t="n">
        <v>90000</v>
      </c>
      <c r="I2702" s="22" t="n">
        <v>510000</v>
      </c>
      <c r="J2702" s="20" t="inlineStr">
        <is>
          <t>INDUS MARUTI</t>
        </is>
      </c>
      <c r="K2702" s="20" t="inlineStr">
        <is>
          <t>Non-Captive</t>
        </is>
      </c>
      <c r="L2702" s="20" t="inlineStr">
        <is>
          <t>NIDHEESH</t>
        </is>
      </c>
      <c r="M2702" s="23" t="n">
        <v>8474.58</v>
      </c>
    </row>
    <row r="2703">
      <c r="A2703" s="19" t="inlineStr">
        <is>
          <t>FY27</t>
        </is>
      </c>
      <c r="B2703" s="19" t="inlineStr">
        <is>
          <t>Jun</t>
        </is>
      </c>
      <c r="C2703" s="19" t="inlineStr">
        <is>
          <t>Kerala</t>
        </is>
      </c>
      <c r="D2703" s="20" t="inlineStr">
        <is>
          <t>KL58AD1916</t>
        </is>
      </c>
      <c r="E2703" s="20" t="inlineStr">
        <is>
          <t>MARUTI SUZUKI</t>
        </is>
      </c>
      <c r="F2703" s="20" t="inlineStr">
        <is>
          <t>Alto</t>
        </is>
      </c>
      <c r="G2703" s="21" t="n">
        <v>2020</v>
      </c>
      <c r="H2703" s="22" t="n">
        <v>89000</v>
      </c>
      <c r="I2703" s="22" t="n">
        <v>215000</v>
      </c>
      <c r="J2703" s="20" t="inlineStr">
        <is>
          <t>INDUS MARUTI</t>
        </is>
      </c>
      <c r="K2703" s="20" t="inlineStr">
        <is>
          <t>Non-Captive</t>
        </is>
      </c>
      <c r="L2703" s="20" t="inlineStr">
        <is>
          <t>NIDHEESH</t>
        </is>
      </c>
      <c r="M2703" s="23" t="n">
        <v>4237.29</v>
      </c>
    </row>
    <row r="2704">
      <c r="A2704" s="19" t="inlineStr">
        <is>
          <t>FY27</t>
        </is>
      </c>
      <c r="B2704" s="19" t="inlineStr">
        <is>
          <t>Jun</t>
        </is>
      </c>
      <c r="C2704" s="19" t="inlineStr">
        <is>
          <t>Kerala</t>
        </is>
      </c>
      <c r="D2704" s="20" t="inlineStr">
        <is>
          <t>KL18J7686</t>
        </is>
      </c>
      <c r="E2704" s="20" t="inlineStr">
        <is>
          <t>MARUTI SUZUKI</t>
        </is>
      </c>
      <c r="F2704" s="20" t="inlineStr">
        <is>
          <t>Alto</t>
        </is>
      </c>
      <c r="G2704" s="21" t="n">
        <v>2012</v>
      </c>
      <c r="H2704" s="22" t="n">
        <v>103000</v>
      </c>
      <c r="I2704" s="22" t="n">
        <v>110000</v>
      </c>
      <c r="J2704" s="20" t="inlineStr">
        <is>
          <t>POPULAR MARUTI</t>
        </is>
      </c>
      <c r="K2704" s="20" t="inlineStr">
        <is>
          <t>Non-Captive</t>
        </is>
      </c>
      <c r="L2704" s="20" t="inlineStr">
        <is>
          <t>SANOOP K M</t>
        </is>
      </c>
      <c r="M2704" s="23" t="n">
        <v>5932.2</v>
      </c>
    </row>
    <row r="2705">
      <c r="A2705" s="19" t="inlineStr">
        <is>
          <t>FY27</t>
        </is>
      </c>
      <c r="B2705" s="19" t="inlineStr">
        <is>
          <t>Jun</t>
        </is>
      </c>
      <c r="C2705" s="19" t="inlineStr">
        <is>
          <t>Kerala</t>
        </is>
      </c>
      <c r="D2705" s="20" t="inlineStr">
        <is>
          <t>KL65D0524</t>
        </is>
      </c>
      <c r="E2705" s="20" t="inlineStr">
        <is>
          <t>MARUTI SUZUKI</t>
        </is>
      </c>
      <c r="F2705" s="20" t="inlineStr">
        <is>
          <t>Alto</t>
        </is>
      </c>
      <c r="G2705" s="21" t="n">
        <v>2013</v>
      </c>
      <c r="H2705" s="22" t="n">
        <v>88000</v>
      </c>
      <c r="I2705" s="22" t="n">
        <v>140000</v>
      </c>
      <c r="J2705" s="20" t="inlineStr">
        <is>
          <t>POPULAR MARUTI</t>
        </is>
      </c>
      <c r="K2705" s="20" t="inlineStr">
        <is>
          <t>Non-Captive</t>
        </is>
      </c>
      <c r="L2705" s="20" t="inlineStr">
        <is>
          <t>FAHAD</t>
        </is>
      </c>
      <c r="M2705" s="23" t="n">
        <v>8474.58</v>
      </c>
    </row>
    <row r="2706">
      <c r="A2706" s="19" t="inlineStr">
        <is>
          <t>FY27</t>
        </is>
      </c>
      <c r="B2706" s="19" t="inlineStr">
        <is>
          <t>Jun</t>
        </is>
      </c>
      <c r="C2706" s="19" t="inlineStr">
        <is>
          <t>Kerala</t>
        </is>
      </c>
      <c r="D2706" s="20" t="inlineStr">
        <is>
          <t>KL35F3657</t>
        </is>
      </c>
      <c r="E2706" s="20" t="inlineStr">
        <is>
          <t>MARUTI SUZUKI</t>
        </is>
      </c>
      <c r="F2706" s="20" t="inlineStr">
        <is>
          <t>Celerio</t>
        </is>
      </c>
      <c r="G2706" s="21" t="n">
        <v>2014</v>
      </c>
      <c r="H2706" s="22" t="n">
        <v>76883</v>
      </c>
      <c r="I2706" s="22" t="n">
        <v>200000</v>
      </c>
      <c r="J2706" s="20" t="inlineStr">
        <is>
          <t>PINNACLE NISSAN</t>
        </is>
      </c>
      <c r="K2706" s="20" t="inlineStr">
        <is>
          <t>Non-Captive</t>
        </is>
      </c>
      <c r="L2706" s="20" t="inlineStr">
        <is>
          <t>INDUS MOTORS</t>
        </is>
      </c>
      <c r="M2706" s="23" t="n">
        <v>8474.58</v>
      </c>
    </row>
    <row r="2707">
      <c r="A2707" s="19" t="inlineStr">
        <is>
          <t>FY27</t>
        </is>
      </c>
      <c r="B2707" s="19" t="inlineStr">
        <is>
          <t>Jun</t>
        </is>
      </c>
      <c r="C2707" s="19" t="inlineStr">
        <is>
          <t>Kerala</t>
        </is>
      </c>
      <c r="D2707" s="20" t="inlineStr">
        <is>
          <t>KL749814</t>
        </is>
      </c>
      <c r="E2707" s="20" t="inlineStr">
        <is>
          <t>MARUTI SUZUKI</t>
        </is>
      </c>
      <c r="F2707" s="20" t="inlineStr">
        <is>
          <t>Swift Dzire</t>
        </is>
      </c>
      <c r="G2707" s="21" t="n">
        <v>2019</v>
      </c>
      <c r="H2707" s="22" t="n">
        <v>90000</v>
      </c>
      <c r="I2707" s="22" t="n">
        <v>490000</v>
      </c>
      <c r="J2707" s="20" t="inlineStr">
        <is>
          <t>AUTOTRUST</t>
        </is>
      </c>
      <c r="K2707" s="20" t="inlineStr">
        <is>
          <t>Non-Captive</t>
        </is>
      </c>
      <c r="L2707" s="20" t="inlineStr">
        <is>
          <t>SARITH R</t>
        </is>
      </c>
      <c r="M2707" s="23" t="n">
        <v>8474.58</v>
      </c>
    </row>
    <row r="2708">
      <c r="A2708" s="19" t="inlineStr">
        <is>
          <t>FY27</t>
        </is>
      </c>
      <c r="B2708" s="19" t="inlineStr">
        <is>
          <t>Jun</t>
        </is>
      </c>
      <c r="C2708" s="19" t="inlineStr">
        <is>
          <t>Kerala</t>
        </is>
      </c>
      <c r="D2708" s="20" t="inlineStr">
        <is>
          <t>KL02AT1367</t>
        </is>
      </c>
      <c r="E2708" s="20" t="inlineStr">
        <is>
          <t>MARUTI SUZUKI</t>
        </is>
      </c>
      <c r="F2708" s="20" t="inlineStr">
        <is>
          <t>Celerio</t>
        </is>
      </c>
      <c r="G2708" s="21" t="n">
        <v>2014</v>
      </c>
      <c r="H2708" s="22" t="n">
        <v>37900</v>
      </c>
      <c r="I2708" s="22" t="n">
        <v>230000</v>
      </c>
      <c r="J2708" s="20" t="inlineStr">
        <is>
          <t>POPULAR MARUTI</t>
        </is>
      </c>
      <c r="K2708" s="20" t="inlineStr">
        <is>
          <t>Non-Captive</t>
        </is>
      </c>
      <c r="L2708" s="20" t="inlineStr">
        <is>
          <t>INDUS MOTORS</t>
        </is>
      </c>
      <c r="M2708" s="23" t="n">
        <v>8474.58</v>
      </c>
    </row>
    <row r="2709">
      <c r="A2709" s="19" t="inlineStr">
        <is>
          <t>FY27</t>
        </is>
      </c>
      <c r="B2709" s="19" t="inlineStr">
        <is>
          <t>Jun</t>
        </is>
      </c>
      <c r="C2709" s="19" t="inlineStr">
        <is>
          <t>Kerala</t>
        </is>
      </c>
      <c r="D2709" s="20" t="inlineStr">
        <is>
          <t>KL25M3083</t>
        </is>
      </c>
      <c r="E2709" s="20" t="inlineStr">
        <is>
          <t>MAHINDRA</t>
        </is>
      </c>
      <c r="F2709" s="20" t="inlineStr">
        <is>
          <t>Kuv100</t>
        </is>
      </c>
      <c r="G2709" s="21" t="n">
        <v>2018</v>
      </c>
      <c r="H2709" s="22" t="n">
        <v>39065</v>
      </c>
      <c r="I2709" s="22" t="n">
        <v>225000</v>
      </c>
      <c r="J2709" s="20" t="inlineStr">
        <is>
          <t>POPULAR MAHINDRA</t>
        </is>
      </c>
      <c r="K2709" s="20" t="inlineStr">
        <is>
          <t>Non-Captive</t>
        </is>
      </c>
      <c r="L2709" s="20" t="inlineStr">
        <is>
          <t>AKHILNATH</t>
        </is>
      </c>
      <c r="M2709" s="23" t="n">
        <v>4237.29</v>
      </c>
    </row>
    <row r="2710">
      <c r="A2710" s="19" t="inlineStr">
        <is>
          <t>FY27</t>
        </is>
      </c>
      <c r="B2710" s="19" t="inlineStr">
        <is>
          <t>Jun</t>
        </is>
      </c>
      <c r="C2710" s="19" t="inlineStr">
        <is>
          <t>Kerala</t>
        </is>
      </c>
      <c r="D2710" s="20" t="inlineStr">
        <is>
          <t>KL231007</t>
        </is>
      </c>
      <c r="E2710" s="20" t="inlineStr">
        <is>
          <t>MARUTI SUZUKI</t>
        </is>
      </c>
      <c r="F2710" s="20" t="inlineStr">
        <is>
          <t>Alto</t>
        </is>
      </c>
      <c r="G2710" s="21" t="n">
        <v>2006</v>
      </c>
      <c r="H2710" s="22" t="n">
        <v>158938</v>
      </c>
      <c r="I2710" s="22" t="n">
        <v>32000</v>
      </c>
      <c r="J2710" s="20" t="inlineStr">
        <is>
          <t>POPULAR MARUTI</t>
        </is>
      </c>
      <c r="K2710" s="20" t="inlineStr">
        <is>
          <t>Non-Captive</t>
        </is>
      </c>
      <c r="L2710" s="20" t="inlineStr">
        <is>
          <t>RAFEEK T A</t>
        </is>
      </c>
      <c r="M2710" s="23" t="n">
        <v>8474.58</v>
      </c>
    </row>
    <row r="2711">
      <c r="A2711" s="19" t="inlineStr">
        <is>
          <t>FY27</t>
        </is>
      </c>
      <c r="B2711" s="19" t="inlineStr">
        <is>
          <t>Jun</t>
        </is>
      </c>
      <c r="C2711" s="19" t="inlineStr">
        <is>
          <t>Kerala</t>
        </is>
      </c>
      <c r="D2711" s="20" t="inlineStr">
        <is>
          <t>KL13AF2123</t>
        </is>
      </c>
      <c r="E2711" s="20" t="inlineStr">
        <is>
          <t>FORD</t>
        </is>
      </c>
      <c r="F2711" s="20" t="inlineStr">
        <is>
          <t>Ecosport</t>
        </is>
      </c>
      <c r="G2711" s="21" t="n">
        <v>2015</v>
      </c>
      <c r="H2711" s="22" t="n">
        <v>89797</v>
      </c>
      <c r="I2711" s="22" t="n">
        <v>464000</v>
      </c>
      <c r="J2711" s="20" t="inlineStr">
        <is>
          <t>ANAS HAMEED</t>
        </is>
      </c>
      <c r="K2711" s="20" t="inlineStr">
        <is>
          <t>Non-Captive</t>
        </is>
      </c>
      <c r="L2711" s="20" t="inlineStr">
        <is>
          <t>DREAM DRIVE</t>
        </is>
      </c>
      <c r="M2711" s="23" t="n">
        <v>10169.49</v>
      </c>
    </row>
    <row r="2712">
      <c r="A2712" s="19" t="inlineStr">
        <is>
          <t>FY27</t>
        </is>
      </c>
      <c r="B2712" s="19" t="inlineStr">
        <is>
          <t>Jun</t>
        </is>
      </c>
      <c r="C2712" s="19" t="inlineStr">
        <is>
          <t>Kerala</t>
        </is>
      </c>
      <c r="D2712" s="20" t="inlineStr">
        <is>
          <t>KL72B9874</t>
        </is>
      </c>
      <c r="E2712" s="20" t="inlineStr">
        <is>
          <t>MARUTI SUZUKI</t>
        </is>
      </c>
      <c r="F2712" s="20" t="inlineStr">
        <is>
          <t>Baleno</t>
        </is>
      </c>
      <c r="G2712" s="21" t="n">
        <v>2018</v>
      </c>
      <c r="H2712" s="22" t="n">
        <v>137613</v>
      </c>
      <c r="I2712" s="22" t="n">
        <v>385000</v>
      </c>
      <c r="J2712" s="20" t="inlineStr">
        <is>
          <t>INDUS MARUTI</t>
        </is>
      </c>
      <c r="K2712" s="20" t="inlineStr">
        <is>
          <t>Non-Captive</t>
        </is>
      </c>
      <c r="L2712" s="20" t="inlineStr">
        <is>
          <t>4 WHEEL DRIVE</t>
        </is>
      </c>
      <c r="M2712" s="23" t="n">
        <v>8474.58</v>
      </c>
    </row>
    <row r="2713">
      <c r="A2713" s="19" t="inlineStr">
        <is>
          <t>FY27</t>
        </is>
      </c>
      <c r="B2713" s="19" t="inlineStr">
        <is>
          <t>Jun</t>
        </is>
      </c>
      <c r="C2713" s="19" t="inlineStr">
        <is>
          <t>Kerala</t>
        </is>
      </c>
      <c r="D2713" s="20" t="inlineStr">
        <is>
          <t>KL41R5744</t>
        </is>
      </c>
      <c r="E2713" s="20" t="inlineStr">
        <is>
          <t>RENAULT</t>
        </is>
      </c>
      <c r="F2713" s="20" t="inlineStr">
        <is>
          <t>Triber</t>
        </is>
      </c>
      <c r="G2713" s="21" t="n">
        <v>2020</v>
      </c>
      <c r="H2713" s="22" t="n">
        <v>43067</v>
      </c>
      <c r="I2713" s="22" t="n">
        <v>450000</v>
      </c>
      <c r="J2713" s="20" t="inlineStr">
        <is>
          <t>ERAM MOTORS</t>
        </is>
      </c>
      <c r="K2713" s="20" t="inlineStr">
        <is>
          <t>Non-Captive</t>
        </is>
      </c>
      <c r="L2713" s="20" t="inlineStr">
        <is>
          <t>UMESHKUMAR T U</t>
        </is>
      </c>
      <c r="M2713" s="23" t="n">
        <v>10169.49</v>
      </c>
    </row>
    <row r="2714">
      <c r="A2714" s="19" t="inlineStr">
        <is>
          <t>FY27</t>
        </is>
      </c>
      <c r="B2714" s="19" t="inlineStr">
        <is>
          <t>Jun</t>
        </is>
      </c>
      <c r="C2714" s="19" t="inlineStr">
        <is>
          <t>Kerala</t>
        </is>
      </c>
      <c r="D2714" s="20" t="inlineStr">
        <is>
          <t>KL32J9515</t>
        </is>
      </c>
      <c r="E2714" s="20" t="inlineStr">
        <is>
          <t>HYUNDAI</t>
        </is>
      </c>
      <c r="F2714" s="20" t="inlineStr">
        <is>
          <t>Grand I10</t>
        </is>
      </c>
      <c r="G2714" s="21" t="n">
        <v>2016</v>
      </c>
      <c r="H2714" s="22" t="n">
        <v>49000</v>
      </c>
      <c r="I2714" s="22" t="n">
        <v>220000</v>
      </c>
      <c r="J2714" s="20" t="inlineStr">
        <is>
          <t>CARS24</t>
        </is>
      </c>
      <c r="K2714" s="20" t="inlineStr">
        <is>
          <t>Non-Captive</t>
        </is>
      </c>
      <c r="L2714" s="20" t="inlineStr">
        <is>
          <t>ABDUL SALAM K K</t>
        </is>
      </c>
      <c r="M2714" s="23" t="n">
        <v>8474.58</v>
      </c>
    </row>
    <row r="2715">
      <c r="A2715" s="19" t="inlineStr">
        <is>
          <t>FY27</t>
        </is>
      </c>
      <c r="B2715" s="19" t="inlineStr">
        <is>
          <t>Jun</t>
        </is>
      </c>
      <c r="C2715" s="19" t="inlineStr">
        <is>
          <t>Kerala</t>
        </is>
      </c>
      <c r="D2715" s="20" t="inlineStr">
        <is>
          <t>KL59AB6654</t>
        </is>
      </c>
      <c r="E2715" s="20" t="inlineStr">
        <is>
          <t>MARUTI SUZUKI</t>
        </is>
      </c>
      <c r="F2715" s="20" t="inlineStr">
        <is>
          <t>Swift</t>
        </is>
      </c>
      <c r="G2715" s="21" t="n">
        <v>2025</v>
      </c>
      <c r="H2715" s="22" t="n">
        <v>15000</v>
      </c>
      <c r="I2715" s="22" t="n">
        <v>620000</v>
      </c>
      <c r="J2715" s="20" t="inlineStr">
        <is>
          <t>KVR TATA</t>
        </is>
      </c>
      <c r="K2715" s="20" t="inlineStr">
        <is>
          <t>Non-Captive</t>
        </is>
      </c>
      <c r="L2715" s="20" t="inlineStr">
        <is>
          <t>VARUN PRAKASH</t>
        </is>
      </c>
      <c r="M2715" s="23" t="n">
        <v>8474.58</v>
      </c>
    </row>
    <row r="2716">
      <c r="A2716" s="19" t="inlineStr">
        <is>
          <t>FY27</t>
        </is>
      </c>
      <c r="B2716" s="19" t="inlineStr">
        <is>
          <t>Jun</t>
        </is>
      </c>
      <c r="C2716" s="19" t="inlineStr">
        <is>
          <t>Kerala</t>
        </is>
      </c>
      <c r="D2716" s="20" t="inlineStr">
        <is>
          <t>KL60J7319</t>
        </is>
      </c>
      <c r="E2716" s="20" t="inlineStr">
        <is>
          <t>MARUTI SUZUKI</t>
        </is>
      </c>
      <c r="F2716" s="20" t="inlineStr">
        <is>
          <t>Celerio</t>
        </is>
      </c>
      <c r="G2716" s="21" t="n">
        <v>2015</v>
      </c>
      <c r="H2716" s="22" t="n">
        <v>115000</v>
      </c>
      <c r="I2716" s="22" t="n">
        <v>215000</v>
      </c>
      <c r="J2716" s="20" t="inlineStr">
        <is>
          <t>KVR TATA</t>
        </is>
      </c>
      <c r="K2716" s="20" t="inlineStr">
        <is>
          <t>Non-Captive</t>
        </is>
      </c>
      <c r="L2716" s="20" t="inlineStr">
        <is>
          <t>ANSHWAL P ANIL</t>
        </is>
      </c>
      <c r="M2716" s="23" t="n">
        <v>4237.29</v>
      </c>
    </row>
    <row r="2717">
      <c r="A2717" s="19" t="inlineStr">
        <is>
          <t>FY27</t>
        </is>
      </c>
      <c r="B2717" s="19" t="inlineStr">
        <is>
          <t>Jun</t>
        </is>
      </c>
      <c r="C2717" s="19" t="inlineStr">
        <is>
          <t>Kerala</t>
        </is>
      </c>
      <c r="D2717" s="20" t="inlineStr">
        <is>
          <t>KL01CC7884</t>
        </is>
      </c>
      <c r="E2717" s="20" t="inlineStr">
        <is>
          <t>HYUNDAI</t>
        </is>
      </c>
      <c r="F2717" s="20" t="inlineStr">
        <is>
          <t>I10</t>
        </is>
      </c>
      <c r="G2717" s="21" t="n">
        <v>2017</v>
      </c>
      <c r="H2717" s="22" t="n">
        <v>82000</v>
      </c>
      <c r="I2717" s="22" t="n">
        <v>215000</v>
      </c>
      <c r="J2717" s="20" t="inlineStr">
        <is>
          <t>KVR TATA</t>
        </is>
      </c>
      <c r="K2717" s="20" t="inlineStr">
        <is>
          <t>Non-Captive</t>
        </is>
      </c>
      <c r="L2717" s="20" t="inlineStr">
        <is>
          <t>ANSHWAL P ANIL</t>
        </is>
      </c>
      <c r="M2717" s="23" t="n">
        <v>4237.29</v>
      </c>
    </row>
    <row r="2718">
      <c r="A2718" s="19" t="inlineStr">
        <is>
          <t>FY27</t>
        </is>
      </c>
      <c r="B2718" s="19" t="inlineStr">
        <is>
          <t>Jun</t>
        </is>
      </c>
      <c r="C2718" s="19" t="inlineStr">
        <is>
          <t>Kerala</t>
        </is>
      </c>
      <c r="D2718" s="20" t="inlineStr">
        <is>
          <t>KL13T5377</t>
        </is>
      </c>
      <c r="E2718" s="20" t="inlineStr">
        <is>
          <t>MARUTI SUZUKI</t>
        </is>
      </c>
      <c r="F2718" s="20" t="inlineStr">
        <is>
          <t>A-Star</t>
        </is>
      </c>
      <c r="G2718" s="21" t="n">
        <v>2009</v>
      </c>
      <c r="H2718" s="22" t="n">
        <v>52000</v>
      </c>
      <c r="I2718" s="22" t="n">
        <v>80000</v>
      </c>
      <c r="J2718" s="20" t="inlineStr">
        <is>
          <t>POPULAR MARUTI</t>
        </is>
      </c>
      <c r="K2718" s="20" t="inlineStr">
        <is>
          <t>Non-Captive</t>
        </is>
      </c>
      <c r="L2718" s="20" t="inlineStr">
        <is>
          <t>ANEES</t>
        </is>
      </c>
      <c r="M2718" s="23" t="n">
        <v>8474.58</v>
      </c>
    </row>
    <row r="2719">
      <c r="A2719" s="19" t="inlineStr">
        <is>
          <t>FY27</t>
        </is>
      </c>
      <c r="B2719" s="19" t="inlineStr">
        <is>
          <t>Jun</t>
        </is>
      </c>
      <c r="C2719" s="19" t="inlineStr">
        <is>
          <t>Kerala</t>
        </is>
      </c>
      <c r="D2719" s="20" t="inlineStr">
        <is>
          <t>KL11BV0440</t>
        </is>
      </c>
      <c r="E2719" s="20" t="inlineStr">
        <is>
          <t>MAHINDRA</t>
        </is>
      </c>
      <c r="F2719" s="20" t="inlineStr">
        <is>
          <t>Thar</t>
        </is>
      </c>
      <c r="G2719" s="21" t="n">
        <v>2021</v>
      </c>
      <c r="H2719" s="22" t="n">
        <v>100000</v>
      </c>
      <c r="I2719" s="22" t="n">
        <v>1010000</v>
      </c>
      <c r="J2719" s="20" t="inlineStr">
        <is>
          <t>NIDHEESH UCD</t>
        </is>
      </c>
      <c r="K2719" s="20" t="inlineStr">
        <is>
          <t>Non-Captive</t>
        </is>
      </c>
      <c r="L2719" s="20" t="inlineStr">
        <is>
          <t>ASHIN P</t>
        </is>
      </c>
      <c r="M2719" s="23" t="n">
        <v>8474.58</v>
      </c>
    </row>
    <row r="2720">
      <c r="A2720" s="19" t="inlineStr">
        <is>
          <t>FY27</t>
        </is>
      </c>
      <c r="B2720" s="19" t="inlineStr">
        <is>
          <t>Jun</t>
        </is>
      </c>
      <c r="C2720" s="19" t="inlineStr">
        <is>
          <t>Kerala</t>
        </is>
      </c>
      <c r="D2720" s="20" t="inlineStr">
        <is>
          <t>KL597554</t>
        </is>
      </c>
      <c r="E2720" s="20" t="inlineStr">
        <is>
          <t>MARUTI SUZUKI</t>
        </is>
      </c>
      <c r="F2720" s="20" t="inlineStr">
        <is>
          <t>Alto</t>
        </is>
      </c>
      <c r="G2720" s="21" t="n">
        <v>2007</v>
      </c>
      <c r="H2720" s="22" t="n">
        <v>100000</v>
      </c>
      <c r="I2720" s="22" t="n">
        <v>40000</v>
      </c>
      <c r="J2720" s="20" t="inlineStr">
        <is>
          <t>POPULAR MARUTI</t>
        </is>
      </c>
      <c r="K2720" s="20" t="inlineStr">
        <is>
          <t>Non-Captive</t>
        </is>
      </c>
      <c r="L2720" s="20" t="inlineStr">
        <is>
          <t>RIYAS</t>
        </is>
      </c>
      <c r="M2720" s="23" t="n">
        <v>8474.58</v>
      </c>
    </row>
    <row r="2721">
      <c r="A2721" s="19" t="inlineStr">
        <is>
          <t>FY27</t>
        </is>
      </c>
      <c r="B2721" s="19" t="inlineStr">
        <is>
          <t>Jun</t>
        </is>
      </c>
      <c r="C2721" s="19" t="inlineStr">
        <is>
          <t>Kerala</t>
        </is>
      </c>
      <c r="D2721" s="20" t="inlineStr">
        <is>
          <t>KL58L5954</t>
        </is>
      </c>
      <c r="E2721" s="20" t="inlineStr">
        <is>
          <t>NISSAN</t>
        </is>
      </c>
      <c r="F2721" s="20" t="inlineStr">
        <is>
          <t>Evalia</t>
        </is>
      </c>
      <c r="G2721" s="21" t="n">
        <v>2013</v>
      </c>
      <c r="H2721" s="22" t="n">
        <v>200000</v>
      </c>
      <c r="I2721" s="22" t="n">
        <v>225000</v>
      </c>
      <c r="J2721" s="20" t="inlineStr">
        <is>
          <t>ERAM MOTORS</t>
        </is>
      </c>
      <c r="K2721" s="20" t="inlineStr">
        <is>
          <t>Non-Captive</t>
        </is>
      </c>
      <c r="L2721" s="20" t="inlineStr">
        <is>
          <t>NIDHEESH</t>
        </is>
      </c>
      <c r="M2721" s="23" t="n">
        <v>4237.29</v>
      </c>
    </row>
    <row r="2722">
      <c r="A2722" s="19" t="inlineStr">
        <is>
          <t>FY27</t>
        </is>
      </c>
      <c r="B2722" s="19" t="inlineStr">
        <is>
          <t>Jun</t>
        </is>
      </c>
      <c r="C2722" s="19" t="inlineStr">
        <is>
          <t>Kerala</t>
        </is>
      </c>
      <c r="D2722" s="20" t="inlineStr">
        <is>
          <t>KL58U4464</t>
        </is>
      </c>
      <c r="E2722" s="20" t="inlineStr">
        <is>
          <t>MARUTI SUZUKI</t>
        </is>
      </c>
      <c r="F2722" s="20" t="inlineStr">
        <is>
          <t>Wagon R</t>
        </is>
      </c>
      <c r="G2722" s="21" t="n">
        <v>2016</v>
      </c>
      <c r="H2722" s="22" t="n">
        <v>105000</v>
      </c>
      <c r="I2722" s="22" t="n">
        <v>285000</v>
      </c>
      <c r="J2722" s="20" t="inlineStr">
        <is>
          <t>ERAM MOTORS</t>
        </is>
      </c>
      <c r="K2722" s="20" t="inlineStr">
        <is>
          <t>Non-Captive</t>
        </is>
      </c>
      <c r="L2722" s="20" t="inlineStr">
        <is>
          <t>VARUN</t>
        </is>
      </c>
      <c r="M2722" s="23" t="n">
        <v>4237.29</v>
      </c>
    </row>
    <row r="2723">
      <c r="A2723" s="19" t="inlineStr">
        <is>
          <t>FY27</t>
        </is>
      </c>
      <c r="B2723" s="19" t="inlineStr">
        <is>
          <t>Jun</t>
        </is>
      </c>
      <c r="C2723" s="19" t="inlineStr">
        <is>
          <t>Kerala</t>
        </is>
      </c>
      <c r="D2723" s="20" t="inlineStr">
        <is>
          <t>KL60H5503</t>
        </is>
      </c>
      <c r="E2723" s="20" t="inlineStr">
        <is>
          <t>FIAT</t>
        </is>
      </c>
      <c r="F2723" s="20" t="inlineStr">
        <is>
          <t>Punto</t>
        </is>
      </c>
      <c r="G2723" s="21" t="n">
        <v>2014</v>
      </c>
      <c r="H2723" s="22" t="n">
        <v>159000</v>
      </c>
      <c r="I2723" s="22" t="n">
        <v>155000</v>
      </c>
      <c r="J2723" s="20" t="inlineStr">
        <is>
          <t>VEER</t>
        </is>
      </c>
      <c r="K2723" s="20" t="inlineStr">
        <is>
          <t>Non-Captive</t>
        </is>
      </c>
      <c r="L2723" s="20" t="inlineStr">
        <is>
          <t>VARUN</t>
        </is>
      </c>
      <c r="M2723" s="23" t="n">
        <v>4237.29</v>
      </c>
    </row>
    <row r="2724">
      <c r="A2724" s="19" t="inlineStr">
        <is>
          <t>FY27</t>
        </is>
      </c>
      <c r="B2724" s="19" t="inlineStr">
        <is>
          <t>Jun</t>
        </is>
      </c>
      <c r="C2724" s="19" t="inlineStr">
        <is>
          <t>Kerala</t>
        </is>
      </c>
      <c r="D2724" s="20" t="inlineStr">
        <is>
          <t>KL07BT4296</t>
        </is>
      </c>
      <c r="E2724" s="20" t="inlineStr">
        <is>
          <t>MAHINDRA</t>
        </is>
      </c>
      <c r="F2724" s="20" t="inlineStr">
        <is>
          <t>Xuv500</t>
        </is>
      </c>
      <c r="G2724" s="21" t="n">
        <v>2012</v>
      </c>
      <c r="H2724" s="22" t="n">
        <v>124000</v>
      </c>
      <c r="I2724" s="22" t="n">
        <v>270000</v>
      </c>
      <c r="J2724" s="20" t="inlineStr">
        <is>
          <t>POPULAR MARUTI</t>
        </is>
      </c>
      <c r="K2724" s="20" t="inlineStr">
        <is>
          <t>Non-Captive</t>
        </is>
      </c>
      <c r="L2724" s="20" t="inlineStr">
        <is>
          <t>VARUN</t>
        </is>
      </c>
      <c r="M2724" s="23" t="n">
        <v>8474.58</v>
      </c>
    </row>
    <row r="2725">
      <c r="A2725" s="19" t="inlineStr">
        <is>
          <t>FY27</t>
        </is>
      </c>
      <c r="B2725" s="19" t="inlineStr">
        <is>
          <t>Jun</t>
        </is>
      </c>
      <c r="C2725" s="19" t="inlineStr">
        <is>
          <t>Kerala</t>
        </is>
      </c>
      <c r="D2725" s="20" t="inlineStr">
        <is>
          <t>KL58AJ4564</t>
        </is>
      </c>
      <c r="E2725" s="20" t="inlineStr">
        <is>
          <t>TATA</t>
        </is>
      </c>
      <c r="F2725" s="20" t="inlineStr">
        <is>
          <t>Tiago</t>
        </is>
      </c>
      <c r="G2725" s="21" t="n">
        <v>2023</v>
      </c>
      <c r="H2725" s="22" t="n">
        <v>70000</v>
      </c>
      <c r="I2725" s="22" t="n">
        <v>277000</v>
      </c>
      <c r="J2725" s="20" t="inlineStr">
        <is>
          <t>KVR TATA</t>
        </is>
      </c>
      <c r="K2725" s="20" t="inlineStr">
        <is>
          <t>Non-Captive</t>
        </is>
      </c>
      <c r="L2725" s="20" t="inlineStr">
        <is>
          <t>SARITH R</t>
        </is>
      </c>
      <c r="M2725" s="23" t="n">
        <v>5932.2</v>
      </c>
    </row>
    <row r="2726">
      <c r="A2726" s="19" t="inlineStr">
        <is>
          <t>FY27</t>
        </is>
      </c>
      <c r="B2726" s="19" t="inlineStr">
        <is>
          <t>Jun</t>
        </is>
      </c>
      <c r="C2726" s="19" t="inlineStr">
        <is>
          <t>Kerala</t>
        </is>
      </c>
      <c r="D2726" s="20" t="inlineStr">
        <is>
          <t>KL59E6434</t>
        </is>
      </c>
      <c r="E2726" s="20" t="inlineStr">
        <is>
          <t>TATA</t>
        </is>
      </c>
      <c r="F2726" s="20" t="inlineStr">
        <is>
          <t>Nano</t>
        </is>
      </c>
      <c r="G2726" s="21" t="n">
        <v>2012</v>
      </c>
      <c r="H2726" s="22" t="n">
        <v>76000</v>
      </c>
      <c r="I2726" s="22" t="n">
        <v>25000</v>
      </c>
      <c r="J2726" s="20" t="inlineStr">
        <is>
          <t>AUTOTRUST</t>
        </is>
      </c>
      <c r="K2726" s="20" t="inlineStr">
        <is>
          <t>Non-Captive</t>
        </is>
      </c>
      <c r="L2726" s="20" t="inlineStr">
        <is>
          <t>SARITH R</t>
        </is>
      </c>
      <c r="M2726" s="23" t="n">
        <v>8474.58</v>
      </c>
    </row>
    <row r="2727">
      <c r="A2727" s="19" t="inlineStr">
        <is>
          <t>FY27</t>
        </is>
      </c>
      <c r="B2727" s="19" t="inlineStr">
        <is>
          <t>Jul</t>
        </is>
      </c>
      <c r="C2727" s="19" t="inlineStr">
        <is>
          <t>AP/TS</t>
        </is>
      </c>
      <c r="D2727" s="20" t="inlineStr">
        <is>
          <t>AP16FL1292</t>
        </is>
      </c>
      <c r="E2727" s="20" t="inlineStr">
        <is>
          <t>MARUTI</t>
        </is>
      </c>
      <c r="F2727" s="20" t="inlineStr">
        <is>
          <t>Swift</t>
        </is>
      </c>
      <c r="G2727" s="21" t="n">
        <v>2018</v>
      </c>
      <c r="H2727" s="22" t="n">
        <v>127705</v>
      </c>
      <c r="I2727" s="22" t="n">
        <v>317500</v>
      </c>
      <c r="J2727" s="20" t="inlineStr">
        <is>
          <t>Vinod Kumar Murari</t>
        </is>
      </c>
      <c r="K2727" s="20" t="inlineStr">
        <is>
          <t>Non-Captive</t>
        </is>
      </c>
      <c r="L2727" s="20" t="inlineStr">
        <is>
          <t>Mohammed Gouse Basha</t>
        </is>
      </c>
      <c r="M2727" s="23" t="n">
        <v>6355.93</v>
      </c>
    </row>
    <row r="2728">
      <c r="A2728" s="19" t="inlineStr">
        <is>
          <t>FY27</t>
        </is>
      </c>
      <c r="B2728" s="19" t="inlineStr">
        <is>
          <t>Jul</t>
        </is>
      </c>
      <c r="C2728" s="19" t="inlineStr">
        <is>
          <t>AP/TS</t>
        </is>
      </c>
      <c r="D2728" s="20" t="inlineStr">
        <is>
          <t>AP03CS2961</t>
        </is>
      </c>
      <c r="E2728" s="20" t="inlineStr">
        <is>
          <t>HONDA</t>
        </is>
      </c>
      <c r="F2728" s="20" t="inlineStr">
        <is>
          <t>Wr-V</t>
        </is>
      </c>
      <c r="G2728" s="21" t="n">
        <v>2018</v>
      </c>
      <c r="H2728" s="22" t="n">
        <v>171025</v>
      </c>
      <c r="I2728" s="22" t="n">
        <v>265000</v>
      </c>
      <c r="J2728" s="20" t="inlineStr">
        <is>
          <t>Exchange</t>
        </is>
      </c>
      <c r="K2728" s="20" t="inlineStr">
        <is>
          <t>Captive</t>
        </is>
      </c>
      <c r="L2728" s="20" t="inlineStr">
        <is>
          <t>Chekuri Chandra Shekar Satyanarayana Raju</t>
        </is>
      </c>
      <c r="M2728" s="23" t="n">
        <v>8474.58</v>
      </c>
    </row>
    <row r="2729">
      <c r="A2729" s="19" t="inlineStr">
        <is>
          <t>FY27</t>
        </is>
      </c>
      <c r="B2729" s="19" t="inlineStr">
        <is>
          <t>Jul</t>
        </is>
      </c>
      <c r="C2729" s="19" t="inlineStr">
        <is>
          <t>AP/TS</t>
        </is>
      </c>
      <c r="D2729" s="20" t="inlineStr">
        <is>
          <t>TS07ED2599</t>
        </is>
      </c>
      <c r="E2729" s="20" t="inlineStr">
        <is>
          <t>FORD</t>
        </is>
      </c>
      <c r="F2729" s="20" t="inlineStr">
        <is>
          <t>Ecosport</t>
        </is>
      </c>
      <c r="G2729" s="21" t="n">
        <v>2014</v>
      </c>
      <c r="H2729" s="22" t="n">
        <v>140251</v>
      </c>
      <c r="I2729" s="22" t="n">
        <v>287500</v>
      </c>
      <c r="J2729" s="20" t="inlineStr">
        <is>
          <t>Puneet Gupta</t>
        </is>
      </c>
      <c r="K2729" s="20" t="inlineStr">
        <is>
          <t>Non-Captive</t>
        </is>
      </c>
      <c r="L2729" s="20" t="inlineStr">
        <is>
          <t>Chekuri Chandra Shekar Satyanarayana Raju</t>
        </is>
      </c>
      <c r="M2729" s="23" t="n">
        <v>6355.93</v>
      </c>
    </row>
    <row r="2730">
      <c r="A2730" s="19" t="inlineStr">
        <is>
          <t>FY27</t>
        </is>
      </c>
      <c r="B2730" s="19" t="inlineStr">
        <is>
          <t>Jul</t>
        </is>
      </c>
      <c r="C2730" s="19" t="inlineStr">
        <is>
          <t>AP/TS</t>
        </is>
      </c>
      <c r="D2730" s="20" t="inlineStr">
        <is>
          <t>TS07FS8253</t>
        </is>
      </c>
      <c r="E2730" s="20" t="inlineStr">
        <is>
          <t>HYUNDAI</t>
        </is>
      </c>
      <c r="F2730" s="20" t="inlineStr">
        <is>
          <t>Grand I10</t>
        </is>
      </c>
      <c r="G2730" s="21" t="n">
        <v>2017</v>
      </c>
      <c r="H2730" s="22" t="n">
        <v>124613</v>
      </c>
      <c r="I2730" s="22" t="n">
        <v>277500</v>
      </c>
      <c r="J2730" s="20" t="inlineStr">
        <is>
          <t>Puneet Gupta</t>
        </is>
      </c>
      <c r="K2730" s="20" t="inlineStr">
        <is>
          <t>Non-Captive</t>
        </is>
      </c>
      <c r="L2730" s="20" t="inlineStr">
        <is>
          <t>Chekuri Chandra Shekar Satyanarayana Raju</t>
        </is>
      </c>
      <c r="M2730" s="23" t="n">
        <v>6355.93</v>
      </c>
    </row>
    <row r="2731">
      <c r="A2731" s="19" t="inlineStr">
        <is>
          <t>FY27</t>
        </is>
      </c>
      <c r="B2731" s="19" t="inlineStr">
        <is>
          <t>Jul</t>
        </is>
      </c>
      <c r="C2731" s="19" t="inlineStr">
        <is>
          <t>AP/TS</t>
        </is>
      </c>
      <c r="D2731" s="20" t="inlineStr">
        <is>
          <t>AP28DK5306</t>
        </is>
      </c>
      <c r="E2731" s="20" t="inlineStr">
        <is>
          <t>HONDA</t>
        </is>
      </c>
      <c r="F2731" s="20" t="inlineStr">
        <is>
          <t>City</t>
        </is>
      </c>
      <c r="G2731" s="21" t="n">
        <v>2011</v>
      </c>
      <c r="H2731" s="22" t="n">
        <v>71587</v>
      </c>
      <c r="I2731" s="22" t="n">
        <v>177000</v>
      </c>
      <c r="J2731" s="20" t="inlineStr">
        <is>
          <t>Exchange</t>
        </is>
      </c>
      <c r="K2731" s="20" t="inlineStr">
        <is>
          <t>Captive</t>
        </is>
      </c>
      <c r="L2731" s="20" t="inlineStr">
        <is>
          <t>Abdul Razzaq</t>
        </is>
      </c>
      <c r="M2731" s="23" t="n">
        <v>5932.2</v>
      </c>
    </row>
    <row r="2732">
      <c r="A2732" s="19" t="inlineStr">
        <is>
          <t>FY27</t>
        </is>
      </c>
      <c r="B2732" s="19" t="inlineStr">
        <is>
          <t>Jul</t>
        </is>
      </c>
      <c r="C2732" s="19" t="inlineStr">
        <is>
          <t>AP/TS</t>
        </is>
      </c>
      <c r="D2732" s="20" t="inlineStr">
        <is>
          <t>TS09EL4677</t>
        </is>
      </c>
      <c r="E2732" s="20" t="inlineStr">
        <is>
          <t>MARUTI</t>
        </is>
      </c>
      <c r="F2732" s="20" t="inlineStr">
        <is>
          <t>Baleno</t>
        </is>
      </c>
      <c r="G2732" s="21" t="n">
        <v>2016</v>
      </c>
      <c r="H2732" s="22" t="n">
        <v>65338</v>
      </c>
      <c r="I2732" s="22" t="n">
        <v>308000</v>
      </c>
      <c r="J2732" s="20" t="inlineStr">
        <is>
          <t>Puneet Gupta</t>
        </is>
      </c>
      <c r="K2732" s="20" t="inlineStr">
        <is>
          <t>Non-Captive</t>
        </is>
      </c>
      <c r="L2732" s="20" t="inlineStr">
        <is>
          <t>Abdul Razzaq</t>
        </is>
      </c>
      <c r="M2732" s="23" t="n">
        <v>6779.66</v>
      </c>
    </row>
    <row r="2733">
      <c r="A2733" s="19" t="inlineStr">
        <is>
          <t>FY27</t>
        </is>
      </c>
      <c r="B2733" s="19" t="inlineStr">
        <is>
          <t>Jul</t>
        </is>
      </c>
      <c r="C2733" s="19" t="inlineStr">
        <is>
          <t>AP/TS</t>
        </is>
      </c>
      <c r="D2733" s="20" t="inlineStr">
        <is>
          <t>AP39DE4559</t>
        </is>
      </c>
      <c r="E2733" s="20" t="inlineStr">
        <is>
          <t>HYUNDAI</t>
        </is>
      </c>
      <c r="F2733" s="20" t="inlineStr">
        <is>
          <t>I20</t>
        </is>
      </c>
      <c r="G2733" s="21" t="n">
        <v>2019</v>
      </c>
      <c r="H2733" s="22" t="n">
        <v>117553</v>
      </c>
      <c r="I2733" s="22" t="n">
        <v>417000</v>
      </c>
      <c r="J2733" s="20" t="inlineStr">
        <is>
          <t>Exchange</t>
        </is>
      </c>
      <c r="K2733" s="20" t="inlineStr">
        <is>
          <t>Captive</t>
        </is>
      </c>
      <c r="L2733" s="20" t="inlineStr">
        <is>
          <t>Guthi Ravi Krishna</t>
        </is>
      </c>
      <c r="M2733" s="23" t="n">
        <v>10169.49</v>
      </c>
    </row>
    <row r="2734">
      <c r="A2734" s="19" t="inlineStr">
        <is>
          <t>FY27</t>
        </is>
      </c>
      <c r="B2734" s="19" t="inlineStr">
        <is>
          <t>Jul</t>
        </is>
      </c>
      <c r="C2734" s="19" t="inlineStr">
        <is>
          <t>AP/TS</t>
        </is>
      </c>
      <c r="D2734" s="20" t="inlineStr">
        <is>
          <t>MH12PZ1248</t>
        </is>
      </c>
      <c r="E2734" s="20" t="inlineStr">
        <is>
          <t>FORD</t>
        </is>
      </c>
      <c r="F2734" s="20" t="inlineStr">
        <is>
          <t>Ecosport</t>
        </is>
      </c>
      <c r="G2734" s="21" t="n">
        <v>2017</v>
      </c>
      <c r="H2734" s="22" t="n">
        <v>44951</v>
      </c>
      <c r="I2734" s="22" t="n">
        <v>240000</v>
      </c>
      <c r="J2734" s="20" t="inlineStr">
        <is>
          <t>Exchange</t>
        </is>
      </c>
      <c r="K2734" s="20" t="inlineStr">
        <is>
          <t>Captive</t>
        </is>
      </c>
      <c r="L2734" s="20" t="inlineStr">
        <is>
          <t>Polukonda Naga Suresh</t>
        </is>
      </c>
      <c r="M2734" s="23" t="n">
        <v>8474.58</v>
      </c>
    </row>
    <row r="2735">
      <c r="A2735" s="19" t="inlineStr">
        <is>
          <t>FY27</t>
        </is>
      </c>
      <c r="B2735" s="19" t="inlineStr">
        <is>
          <t>Jul</t>
        </is>
      </c>
      <c r="C2735" s="19" t="inlineStr">
        <is>
          <t>AP/TS</t>
        </is>
      </c>
      <c r="D2735" s="20" t="inlineStr">
        <is>
          <t>AP37DE9196</t>
        </is>
      </c>
      <c r="E2735" s="20" t="inlineStr">
        <is>
          <t>HONDA</t>
        </is>
      </c>
      <c r="F2735" s="20" t="inlineStr">
        <is>
          <t>City</t>
        </is>
      </c>
      <c r="G2735" s="21" t="n">
        <v>2018</v>
      </c>
      <c r="H2735" s="22" t="n">
        <v>83809</v>
      </c>
      <c r="I2735" s="22" t="n">
        <v>357500</v>
      </c>
      <c r="J2735" s="20" t="inlineStr">
        <is>
          <t>Exchange</t>
        </is>
      </c>
      <c r="K2735" s="20" t="inlineStr">
        <is>
          <t>Captive</t>
        </is>
      </c>
      <c r="L2735" s="20" t="inlineStr">
        <is>
          <t>D Avinash</t>
        </is>
      </c>
      <c r="M2735" s="23" t="n">
        <v>6355.93</v>
      </c>
    </row>
    <row r="2736">
      <c r="A2736" s="19" t="inlineStr">
        <is>
          <t>FY27</t>
        </is>
      </c>
      <c r="B2736" s="19" t="inlineStr">
        <is>
          <t>Jul</t>
        </is>
      </c>
      <c r="C2736" s="19" t="inlineStr">
        <is>
          <t>AP/TS</t>
        </is>
      </c>
      <c r="D2736" s="20" t="inlineStr">
        <is>
          <t>AP16BQ5232</t>
        </is>
      </c>
      <c r="E2736" s="20" t="inlineStr">
        <is>
          <t>HYUNDAI</t>
        </is>
      </c>
      <c r="F2736" s="20" t="inlineStr">
        <is>
          <t>Santro</t>
        </is>
      </c>
      <c r="G2736" s="21" t="n">
        <v>2010</v>
      </c>
      <c r="H2736" s="22" t="n">
        <v>88320</v>
      </c>
      <c r="I2736" s="22" t="n">
        <v>66000</v>
      </c>
      <c r="J2736" s="20" t="inlineStr">
        <is>
          <t>Tenali Srinivas</t>
        </is>
      </c>
      <c r="K2736" s="20" t="inlineStr">
        <is>
          <t>Non-Captive</t>
        </is>
      </c>
      <c r="L2736" s="20" t="inlineStr">
        <is>
          <t>Guthi Ravi Krishna</t>
        </is>
      </c>
      <c r="M2736" s="23" t="n">
        <v>5084.75</v>
      </c>
    </row>
    <row r="2737">
      <c r="A2737" s="19" t="inlineStr">
        <is>
          <t>FY27</t>
        </is>
      </c>
      <c r="B2737" s="19" t="inlineStr">
        <is>
          <t>Jul</t>
        </is>
      </c>
      <c r="C2737" s="19" t="inlineStr">
        <is>
          <t>AP/TS</t>
        </is>
      </c>
      <c r="D2737" s="20" t="inlineStr">
        <is>
          <t>AP16CU6588</t>
        </is>
      </c>
      <c r="E2737" s="20" t="inlineStr">
        <is>
          <t>HONDA</t>
        </is>
      </c>
      <c r="F2737" s="20" t="inlineStr">
        <is>
          <t>Mobilio</t>
        </is>
      </c>
      <c r="G2737" s="21" t="n">
        <v>2014</v>
      </c>
      <c r="H2737" s="22" t="n">
        <v>125263</v>
      </c>
      <c r="I2737" s="22" t="n">
        <v>327500</v>
      </c>
      <c r="J2737" s="20" t="inlineStr">
        <is>
          <t>Gopi Nagaraju</t>
        </is>
      </c>
      <c r="K2737" s="20" t="inlineStr">
        <is>
          <t>Non-Captive</t>
        </is>
      </c>
      <c r="L2737" s="20" t="inlineStr">
        <is>
          <t>Tenali Srinivas</t>
        </is>
      </c>
      <c r="M2737" s="23" t="n">
        <v>6355.93</v>
      </c>
    </row>
    <row r="2738">
      <c r="A2738" s="19" t="inlineStr">
        <is>
          <t>FY27</t>
        </is>
      </c>
      <c r="B2738" s="19" t="inlineStr">
        <is>
          <t>Jul</t>
        </is>
      </c>
      <c r="C2738" s="19" t="inlineStr">
        <is>
          <t>AP/TS</t>
        </is>
      </c>
      <c r="D2738" s="20" t="inlineStr">
        <is>
          <t>AP16DC2538</t>
        </is>
      </c>
      <c r="E2738" s="20" t="inlineStr">
        <is>
          <t>VOLKSWAGEN</t>
        </is>
      </c>
      <c r="F2738" s="20" t="inlineStr">
        <is>
          <t>Vento</t>
        </is>
      </c>
      <c r="G2738" s="21" t="n">
        <v>2015</v>
      </c>
      <c r="H2738" s="22" t="n">
        <v>95452</v>
      </c>
      <c r="I2738" s="22" t="n">
        <v>327500</v>
      </c>
      <c r="J2738" s="20" t="inlineStr">
        <is>
          <t>Gopi Nagaraju</t>
        </is>
      </c>
      <c r="K2738" s="20" t="inlineStr">
        <is>
          <t>Non-Captive</t>
        </is>
      </c>
      <c r="L2738" s="20" t="inlineStr">
        <is>
          <t>Tenali Srinivas</t>
        </is>
      </c>
      <c r="M2738" s="23" t="n">
        <v>6355.93</v>
      </c>
    </row>
    <row r="2739">
      <c r="A2739" s="19" t="inlineStr">
        <is>
          <t>FY27</t>
        </is>
      </c>
      <c r="B2739" s="19" t="inlineStr">
        <is>
          <t>Jul</t>
        </is>
      </c>
      <c r="C2739" s="19" t="inlineStr">
        <is>
          <t>AP/TS</t>
        </is>
      </c>
      <c r="D2739" s="20" t="inlineStr">
        <is>
          <t>AP09CC9090</t>
        </is>
      </c>
      <c r="E2739" s="20" t="inlineStr">
        <is>
          <t>HONDA</t>
        </is>
      </c>
      <c r="F2739" s="20" t="inlineStr">
        <is>
          <t>Accord</t>
        </is>
      </c>
      <c r="G2739" s="21" t="n">
        <v>2011</v>
      </c>
      <c r="H2739" s="22" t="n">
        <v>90286</v>
      </c>
      <c r="I2739" s="22" t="n">
        <v>207500</v>
      </c>
      <c r="J2739" s="20" t="inlineStr">
        <is>
          <t>Bukya Santhosh Naik</t>
        </is>
      </c>
      <c r="K2739" s="20" t="inlineStr">
        <is>
          <t>Non-Captive</t>
        </is>
      </c>
      <c r="L2739" s="20" t="inlineStr">
        <is>
          <t>K Surendra Reddy (KSR Enterprises)</t>
        </is>
      </c>
      <c r="M2739" s="23" t="n">
        <v>6355.93</v>
      </c>
    </row>
    <row r="2740">
      <c r="A2740" s="19" t="inlineStr">
        <is>
          <t>FY27</t>
        </is>
      </c>
      <c r="B2740" s="19" t="inlineStr">
        <is>
          <t>Jul</t>
        </is>
      </c>
      <c r="C2740" s="19" t="inlineStr">
        <is>
          <t>AP/TS</t>
        </is>
      </c>
      <c r="D2740" s="20" t="inlineStr">
        <is>
          <t>TS15EV1921</t>
        </is>
      </c>
      <c r="E2740" s="20" t="inlineStr">
        <is>
          <t>TOYOTA</t>
        </is>
      </c>
      <c r="F2740" s="20" t="inlineStr">
        <is>
          <t>Etios</t>
        </is>
      </c>
      <c r="G2740" s="21" t="n">
        <v>2018</v>
      </c>
      <c r="H2740" s="22" t="n">
        <v>142251</v>
      </c>
      <c r="I2740" s="22" t="n">
        <v>247500</v>
      </c>
      <c r="J2740" s="20" t="inlineStr">
        <is>
          <t>Bukya Santhosh Naik</t>
        </is>
      </c>
      <c r="K2740" s="20" t="inlineStr">
        <is>
          <t>Non-Captive</t>
        </is>
      </c>
      <c r="L2740" s="20" t="inlineStr">
        <is>
          <t>K Surendra Reddy (KSR Enterprises)</t>
        </is>
      </c>
      <c r="M2740" s="23" t="n">
        <v>6355.93</v>
      </c>
    </row>
    <row r="2741">
      <c r="A2741" s="19" t="inlineStr">
        <is>
          <t>FY27</t>
        </is>
      </c>
      <c r="B2741" s="19" t="inlineStr">
        <is>
          <t>Jul</t>
        </is>
      </c>
      <c r="C2741" s="19" t="inlineStr">
        <is>
          <t>AP/TS</t>
        </is>
      </c>
      <c r="D2741" s="20" t="inlineStr">
        <is>
          <t>AP16DP0879</t>
        </is>
      </c>
      <c r="E2741" s="20" t="inlineStr">
        <is>
          <t>HONDA</t>
        </is>
      </c>
      <c r="F2741" s="20" t="inlineStr">
        <is>
          <t>Jazz</t>
        </is>
      </c>
      <c r="G2741" s="21" t="n">
        <v>2016</v>
      </c>
      <c r="H2741" s="22" t="n">
        <v>68049</v>
      </c>
      <c r="I2741" s="22" t="n">
        <v>261000</v>
      </c>
      <c r="J2741" s="20" t="inlineStr">
        <is>
          <t>Exchange</t>
        </is>
      </c>
      <c r="K2741" s="20" t="inlineStr">
        <is>
          <t>Captive</t>
        </is>
      </c>
      <c r="L2741" s="20" t="inlineStr">
        <is>
          <t>Mittisila Jeevan Kumar</t>
        </is>
      </c>
      <c r="M2741" s="23" t="n">
        <v>12711.86</v>
      </c>
    </row>
    <row r="2742">
      <c r="A2742" s="19" t="inlineStr">
        <is>
          <t>FY27</t>
        </is>
      </c>
      <c r="B2742" s="19" t="inlineStr">
        <is>
          <t>Jul</t>
        </is>
      </c>
      <c r="C2742" s="19" t="inlineStr">
        <is>
          <t>AP/TS</t>
        </is>
      </c>
      <c r="D2742" s="20" t="inlineStr">
        <is>
          <t>AP31TV7513</t>
        </is>
      </c>
      <c r="E2742" s="20" t="inlineStr">
        <is>
          <t>MARUTI</t>
        </is>
      </c>
      <c r="F2742" s="20" t="inlineStr">
        <is>
          <t>Swift Dzire</t>
        </is>
      </c>
      <c r="G2742" s="21" t="n">
        <v>2016</v>
      </c>
      <c r="H2742" s="22" t="n">
        <v>124855</v>
      </c>
      <c r="I2742" s="22" t="n">
        <v>196000</v>
      </c>
      <c r="J2742" s="20" t="inlineStr">
        <is>
          <t>Tenali Srinivas</t>
        </is>
      </c>
      <c r="K2742" s="20" t="inlineStr">
        <is>
          <t>Non-Captive</t>
        </is>
      </c>
      <c r="L2742" s="20" t="inlineStr">
        <is>
          <t>Shaik Naseer Basha</t>
        </is>
      </c>
      <c r="M2742" s="23" t="n">
        <v>5084.75</v>
      </c>
    </row>
    <row r="2743">
      <c r="A2743" s="19" t="inlineStr">
        <is>
          <t>FY27</t>
        </is>
      </c>
      <c r="B2743" s="19" t="inlineStr">
        <is>
          <t>Jul</t>
        </is>
      </c>
      <c r="C2743" s="19" t="inlineStr">
        <is>
          <t>AP/TS</t>
        </is>
      </c>
      <c r="D2743" s="20" t="inlineStr">
        <is>
          <t>AP16AP4099</t>
        </is>
      </c>
      <c r="E2743" s="20" t="inlineStr">
        <is>
          <t>MARUTI</t>
        </is>
      </c>
      <c r="F2743" s="20" t="inlineStr">
        <is>
          <t>Alto</t>
        </is>
      </c>
      <c r="G2743" s="21" t="n">
        <v>2006</v>
      </c>
      <c r="H2743" s="22" t="n">
        <v>130023</v>
      </c>
      <c r="I2743" s="22" t="n">
        <v>66500</v>
      </c>
      <c r="J2743" s="20" t="inlineStr">
        <is>
          <t>Tenali Srinivas</t>
        </is>
      </c>
      <c r="K2743" s="20" t="inlineStr">
        <is>
          <t>Non-Captive</t>
        </is>
      </c>
      <c r="L2743" s="20" t="inlineStr">
        <is>
          <t>Shaik Naseer Basha</t>
        </is>
      </c>
      <c r="M2743" s="23" t="n">
        <v>5508.47</v>
      </c>
    </row>
    <row r="2744">
      <c r="A2744" s="19" t="inlineStr">
        <is>
          <t>FY27</t>
        </is>
      </c>
      <c r="B2744" s="19" t="inlineStr">
        <is>
          <t>Jul</t>
        </is>
      </c>
      <c r="C2744" s="19" t="inlineStr">
        <is>
          <t>AP/TS</t>
        </is>
      </c>
      <c r="D2744" s="20" t="inlineStr">
        <is>
          <t>AP16AX6129</t>
        </is>
      </c>
      <c r="E2744" s="20" t="inlineStr">
        <is>
          <t>HONDA</t>
        </is>
      </c>
      <c r="F2744" s="20" t="inlineStr">
        <is>
          <t>City</t>
        </is>
      </c>
      <c r="G2744" s="21" t="n">
        <v>2013</v>
      </c>
      <c r="H2744" s="22" t="n">
        <v>147623</v>
      </c>
      <c r="I2744" s="22" t="n">
        <v>237500</v>
      </c>
      <c r="J2744" s="20" t="inlineStr">
        <is>
          <t>Tenali Srinivas</t>
        </is>
      </c>
      <c r="K2744" s="20" t="inlineStr">
        <is>
          <t>Non-Captive</t>
        </is>
      </c>
      <c r="L2744" s="20" t="inlineStr">
        <is>
          <t>Sireesha Kodali</t>
        </is>
      </c>
      <c r="M2744" s="23" t="n">
        <v>6355.93</v>
      </c>
    </row>
    <row r="2745">
      <c r="A2745" s="19" t="inlineStr">
        <is>
          <t>FY27</t>
        </is>
      </c>
      <c r="B2745" s="19" t="inlineStr">
        <is>
          <t>Jul</t>
        </is>
      </c>
      <c r="C2745" s="19" t="inlineStr">
        <is>
          <t>AP/TS</t>
        </is>
      </c>
      <c r="D2745" s="20" t="inlineStr">
        <is>
          <t>AP16CW4786</t>
        </is>
      </c>
      <c r="E2745" s="20" t="inlineStr">
        <is>
          <t>HONDA</t>
        </is>
      </c>
      <c r="F2745" s="20" t="inlineStr">
        <is>
          <t>Amaze</t>
        </is>
      </c>
      <c r="G2745" s="21" t="n">
        <v>2014</v>
      </c>
      <c r="H2745" s="22" t="n">
        <v>126680</v>
      </c>
      <c r="I2745" s="22" t="n">
        <v>222500</v>
      </c>
      <c r="J2745" s="20" t="inlineStr">
        <is>
          <t>Tenali Srinivas</t>
        </is>
      </c>
      <c r="K2745" s="20" t="inlineStr">
        <is>
          <t>Non-Captive</t>
        </is>
      </c>
      <c r="L2745" s="20" t="inlineStr">
        <is>
          <t>Sireesha Kodali</t>
        </is>
      </c>
      <c r="M2745" s="23" t="n">
        <v>6355.93</v>
      </c>
    </row>
    <row r="2746">
      <c r="A2746" s="19" t="inlineStr">
        <is>
          <t>FY27</t>
        </is>
      </c>
      <c r="B2746" s="19" t="inlineStr">
        <is>
          <t>Jul</t>
        </is>
      </c>
      <c r="C2746" s="19" t="inlineStr">
        <is>
          <t>AP/TS</t>
        </is>
      </c>
      <c r="D2746" s="20" t="inlineStr">
        <is>
          <t>TS09EB2998</t>
        </is>
      </c>
      <c r="E2746" s="20" t="inlineStr">
        <is>
          <t>HONDA</t>
        </is>
      </c>
      <c r="F2746" s="20" t="inlineStr">
        <is>
          <t>Brio</t>
        </is>
      </c>
      <c r="G2746" s="21" t="n">
        <v>2014</v>
      </c>
      <c r="H2746" s="22" t="n">
        <v>108256</v>
      </c>
      <c r="I2746" s="22" t="n">
        <v>210000</v>
      </c>
      <c r="J2746" s="20" t="inlineStr">
        <is>
          <t>Puneet Gupta</t>
        </is>
      </c>
      <c r="K2746" s="20" t="inlineStr">
        <is>
          <t>Non-Captive</t>
        </is>
      </c>
      <c r="L2746" s="20" t="inlineStr">
        <is>
          <t>Bukya Santhosh Naik</t>
        </is>
      </c>
      <c r="M2746" s="23" t="n">
        <v>8474.58</v>
      </c>
    </row>
    <row r="2747">
      <c r="A2747" s="19" t="inlineStr">
        <is>
          <t>FY27</t>
        </is>
      </c>
      <c r="B2747" s="19" t="inlineStr">
        <is>
          <t>Jul</t>
        </is>
      </c>
      <c r="C2747" s="19" t="inlineStr">
        <is>
          <t>AP/TS</t>
        </is>
      </c>
      <c r="D2747" s="20" t="inlineStr">
        <is>
          <t>AP15BE4757</t>
        </is>
      </c>
      <c r="E2747" s="20" t="inlineStr">
        <is>
          <t>HYUNDAI</t>
        </is>
      </c>
      <c r="F2747" s="20" t="inlineStr">
        <is>
          <t>I20</t>
        </is>
      </c>
      <c r="G2747" s="21" t="n">
        <v>2012</v>
      </c>
      <c r="H2747" s="22" t="n">
        <v>89420</v>
      </c>
      <c r="I2747" s="22" t="n">
        <v>126500</v>
      </c>
      <c r="J2747" s="20" t="inlineStr">
        <is>
          <t>Tenali Srinivas</t>
        </is>
      </c>
      <c r="K2747" s="20" t="inlineStr">
        <is>
          <t>Non-Captive</t>
        </is>
      </c>
      <c r="L2747" s="20" t="inlineStr">
        <is>
          <t>Shaik Salim</t>
        </is>
      </c>
      <c r="M2747" s="23" t="n">
        <v>5508.47</v>
      </c>
    </row>
    <row r="2748">
      <c r="A2748" s="19" t="inlineStr">
        <is>
          <t>FY27</t>
        </is>
      </c>
      <c r="B2748" s="19" t="inlineStr">
        <is>
          <t>Jul</t>
        </is>
      </c>
      <c r="C2748" s="19" t="inlineStr">
        <is>
          <t>AP/TS</t>
        </is>
      </c>
      <c r="D2748" s="20" t="inlineStr">
        <is>
          <t>AP16EF3967</t>
        </is>
      </c>
      <c r="E2748" s="20" t="inlineStr">
        <is>
          <t>HONDA</t>
        </is>
      </c>
      <c r="F2748" s="20" t="inlineStr">
        <is>
          <t>City</t>
        </is>
      </c>
      <c r="G2748" s="21" t="n">
        <v>2017</v>
      </c>
      <c r="H2748" s="22" t="n">
        <v>47400</v>
      </c>
      <c r="I2748" s="22" t="n">
        <v>410000</v>
      </c>
      <c r="J2748" s="20" t="inlineStr">
        <is>
          <t>Exchange</t>
        </is>
      </c>
      <c r="K2748" s="20" t="inlineStr">
        <is>
          <t>Captive</t>
        </is>
      </c>
      <c r="L2748" s="20" t="inlineStr">
        <is>
          <t>Vedicherla Sudheer Reddy - VSR Cars</t>
        </is>
      </c>
      <c r="M2748" s="23" t="n">
        <v>8474.58</v>
      </c>
    </row>
    <row r="2749">
      <c r="A2749" s="19" t="inlineStr">
        <is>
          <t>FY27</t>
        </is>
      </c>
      <c r="B2749" s="19" t="inlineStr">
        <is>
          <t>Jul</t>
        </is>
      </c>
      <c r="C2749" s="19" t="inlineStr">
        <is>
          <t>AP/TS</t>
        </is>
      </c>
      <c r="D2749" s="20" t="inlineStr">
        <is>
          <t>TS08GS0984</t>
        </is>
      </c>
      <c r="E2749" s="20" t="inlineStr">
        <is>
          <t>MARUTI</t>
        </is>
      </c>
      <c r="F2749" s="20" t="inlineStr">
        <is>
          <t>Swift</t>
        </is>
      </c>
      <c r="G2749" s="21" t="n">
        <v>2019</v>
      </c>
      <c r="H2749" s="22" t="n">
        <v>94476</v>
      </c>
      <c r="I2749" s="22" t="n">
        <v>378000</v>
      </c>
      <c r="J2749" s="20" t="inlineStr">
        <is>
          <t>Exchange</t>
        </is>
      </c>
      <c r="K2749" s="20" t="inlineStr">
        <is>
          <t>Captive</t>
        </is>
      </c>
      <c r="L2749" s="20" t="inlineStr">
        <is>
          <t>Ramesh Palley</t>
        </is>
      </c>
      <c r="M2749" s="23" t="n">
        <v>6779.66</v>
      </c>
    </row>
    <row r="2750">
      <c r="A2750" s="19" t="inlineStr">
        <is>
          <t>FY27</t>
        </is>
      </c>
      <c r="B2750" s="19" t="inlineStr">
        <is>
          <t>Jul</t>
        </is>
      </c>
      <c r="C2750" s="19" t="inlineStr">
        <is>
          <t>AP/TS</t>
        </is>
      </c>
      <c r="D2750" s="20" t="inlineStr">
        <is>
          <t>AP09BR9891</t>
        </is>
      </c>
      <c r="E2750" s="20" t="inlineStr">
        <is>
          <t>HONDA</t>
        </is>
      </c>
      <c r="F2750" s="20" t="inlineStr">
        <is>
          <t>City</t>
        </is>
      </c>
      <c r="G2750" s="21" t="n">
        <v>2008</v>
      </c>
      <c r="H2750" s="22" t="n">
        <v>146767</v>
      </c>
      <c r="I2750" s="22" t="n">
        <v>96000</v>
      </c>
      <c r="J2750" s="20" t="inlineStr">
        <is>
          <t>Prabjyoth Singh Wasu</t>
        </is>
      </c>
      <c r="K2750" s="20" t="inlineStr">
        <is>
          <t>Non-Captive</t>
        </is>
      </c>
      <c r="L2750" s="20" t="inlineStr">
        <is>
          <t>Ramesh Palley</t>
        </is>
      </c>
      <c r="M2750" s="23" t="n">
        <v>5084.75</v>
      </c>
    </row>
    <row r="2751">
      <c r="A2751" s="19" t="inlineStr">
        <is>
          <t>FY27</t>
        </is>
      </c>
      <c r="B2751" s="19" t="inlineStr">
        <is>
          <t>Jul</t>
        </is>
      </c>
      <c r="C2751" s="19" t="inlineStr">
        <is>
          <t>AP/TS</t>
        </is>
      </c>
      <c r="D2751" s="20" t="inlineStr">
        <is>
          <t>AP09CW6770</t>
        </is>
      </c>
      <c r="E2751" s="20" t="inlineStr">
        <is>
          <t>MARUTI</t>
        </is>
      </c>
      <c r="F2751" s="20" t="inlineStr">
        <is>
          <t>Swift Dzire</t>
        </is>
      </c>
      <c r="G2751" s="21" t="n">
        <v>2014</v>
      </c>
      <c r="H2751" s="22" t="n">
        <v>162850</v>
      </c>
      <c r="I2751" s="22" t="n">
        <v>136000</v>
      </c>
      <c r="J2751" s="20" t="inlineStr">
        <is>
          <t>Prabjyoth Singh Wasu</t>
        </is>
      </c>
      <c r="K2751" s="20" t="inlineStr">
        <is>
          <t>Non-Captive</t>
        </is>
      </c>
      <c r="L2751" s="20" t="inlineStr">
        <is>
          <t>Ramesh Palley</t>
        </is>
      </c>
      <c r="M2751" s="23" t="n">
        <v>5084.75</v>
      </c>
    </row>
    <row r="2752">
      <c r="A2752" s="19" t="inlineStr">
        <is>
          <t>FY27</t>
        </is>
      </c>
      <c r="B2752" s="19" t="inlineStr">
        <is>
          <t>Jul</t>
        </is>
      </c>
      <c r="C2752" s="19" t="inlineStr">
        <is>
          <t>AP/TS</t>
        </is>
      </c>
      <c r="D2752" s="20" t="inlineStr">
        <is>
          <t>TS08GK9365</t>
        </is>
      </c>
      <c r="E2752" s="20" t="inlineStr">
        <is>
          <t>HONDA</t>
        </is>
      </c>
      <c r="F2752" s="20" t="inlineStr">
        <is>
          <t>Amaze</t>
        </is>
      </c>
      <c r="G2752" s="21" t="n">
        <v>2019</v>
      </c>
      <c r="H2752" s="22" t="n">
        <v>68689</v>
      </c>
      <c r="I2752" s="22" t="n">
        <v>400000</v>
      </c>
      <c r="J2752" s="20" t="inlineStr">
        <is>
          <t>Exchange</t>
        </is>
      </c>
      <c r="K2752" s="20" t="inlineStr">
        <is>
          <t>Captive</t>
        </is>
      </c>
      <c r="L2752" s="20" t="inlineStr">
        <is>
          <t>Abdul Aziz</t>
        </is>
      </c>
      <c r="M2752" s="23" t="n">
        <v>8474.58</v>
      </c>
    </row>
    <row r="2753">
      <c r="A2753" s="19" t="inlineStr">
        <is>
          <t>FY27</t>
        </is>
      </c>
      <c r="B2753" s="19" t="inlineStr">
        <is>
          <t>Jul</t>
        </is>
      </c>
      <c r="C2753" s="19" t="inlineStr">
        <is>
          <t>AP/TS</t>
        </is>
      </c>
      <c r="D2753" s="20" t="inlineStr">
        <is>
          <t>AP10AY0023</t>
        </is>
      </c>
      <c r="E2753" s="20" t="inlineStr">
        <is>
          <t>TOYOTA</t>
        </is>
      </c>
      <c r="F2753" s="20" t="inlineStr">
        <is>
          <t>Corolla</t>
        </is>
      </c>
      <c r="G2753" s="21" t="n">
        <v>2011</v>
      </c>
      <c r="H2753" s="22" t="n">
        <v>121016</v>
      </c>
      <c r="I2753" s="22" t="n">
        <v>90000</v>
      </c>
      <c r="J2753" s="20" t="inlineStr">
        <is>
          <t>Prabjyoth Singh Wasu</t>
        </is>
      </c>
      <c r="K2753" s="20" t="inlineStr">
        <is>
          <t>Non-Captive</t>
        </is>
      </c>
      <c r="L2753" s="20" t="inlineStr">
        <is>
          <t>Abdul Aziz</t>
        </is>
      </c>
      <c r="M2753" s="23" t="n">
        <v>4237.29</v>
      </c>
    </row>
    <row r="2754">
      <c r="A2754" s="19" t="inlineStr">
        <is>
          <t>FY27</t>
        </is>
      </c>
      <c r="B2754" s="19" t="inlineStr">
        <is>
          <t>Jul</t>
        </is>
      </c>
      <c r="C2754" s="19" t="inlineStr">
        <is>
          <t>AP/TS</t>
        </is>
      </c>
      <c r="D2754" s="20" t="inlineStr">
        <is>
          <t>AP11AP6006</t>
        </is>
      </c>
      <c r="E2754" s="20" t="inlineStr">
        <is>
          <t>FORD</t>
        </is>
      </c>
      <c r="F2754" s="20" t="inlineStr">
        <is>
          <t>Figo</t>
        </is>
      </c>
      <c r="G2754" s="21" t="n">
        <v>2012</v>
      </c>
      <c r="H2754" s="22" t="n">
        <v>113050</v>
      </c>
      <c r="I2754" s="22" t="n">
        <v>90000</v>
      </c>
      <c r="J2754" s="20" t="inlineStr">
        <is>
          <t>Prabjyoth Singh Wasu</t>
        </is>
      </c>
      <c r="K2754" s="20" t="inlineStr">
        <is>
          <t>Non-Captive</t>
        </is>
      </c>
      <c r="L2754" s="20" t="inlineStr">
        <is>
          <t>Abdul Aziz</t>
        </is>
      </c>
      <c r="M2754" s="23" t="n">
        <v>4237.29</v>
      </c>
    </row>
    <row r="2755">
      <c r="A2755" s="19" t="inlineStr">
        <is>
          <t>FY27</t>
        </is>
      </c>
      <c r="B2755" s="19" t="inlineStr">
        <is>
          <t>Jul</t>
        </is>
      </c>
      <c r="C2755" s="19" t="inlineStr">
        <is>
          <t>AP/TS</t>
        </is>
      </c>
      <c r="D2755" s="20" t="inlineStr">
        <is>
          <t>AP16FB5361</t>
        </is>
      </c>
      <c r="E2755" s="20" t="inlineStr">
        <is>
          <t>MARUTI</t>
        </is>
      </c>
      <c r="F2755" s="20" t="inlineStr">
        <is>
          <t>Celerio</t>
        </is>
      </c>
      <c r="G2755" s="21" t="n">
        <v>2018</v>
      </c>
      <c r="H2755" s="22" t="n">
        <v>143041</v>
      </c>
      <c r="I2755" s="22" t="n">
        <v>197000</v>
      </c>
      <c r="J2755" s="20" t="inlineStr">
        <is>
          <t>Gopi Nagaraju</t>
        </is>
      </c>
      <c r="K2755" s="20" t="inlineStr">
        <is>
          <t>Non-Captive</t>
        </is>
      </c>
      <c r="L2755" s="20" t="inlineStr">
        <is>
          <t>Mohammed Riyaz</t>
        </is>
      </c>
      <c r="M2755" s="23" t="n">
        <v>5932.2</v>
      </c>
    </row>
    <row r="2756">
      <c r="A2756" s="19" t="inlineStr">
        <is>
          <t>FY27</t>
        </is>
      </c>
      <c r="B2756" s="19" t="inlineStr">
        <is>
          <t>Jul</t>
        </is>
      </c>
      <c r="C2756" s="19" t="inlineStr">
        <is>
          <t>AP/TS</t>
        </is>
      </c>
      <c r="D2756" s="20" t="inlineStr">
        <is>
          <t>AP39BC8466</t>
        </is>
      </c>
      <c r="E2756" s="20" t="inlineStr">
        <is>
          <t>VOLKSWAGEN</t>
        </is>
      </c>
      <c r="F2756" s="20" t="inlineStr">
        <is>
          <t>Ameo</t>
        </is>
      </c>
      <c r="G2756" s="21" t="n">
        <v>2018</v>
      </c>
      <c r="H2756" s="22" t="n">
        <v>142010</v>
      </c>
      <c r="I2756" s="22" t="n">
        <v>197000</v>
      </c>
      <c r="J2756" s="20" t="inlineStr">
        <is>
          <t>Gopi Nagaraju</t>
        </is>
      </c>
      <c r="K2756" s="20" t="inlineStr">
        <is>
          <t>Non-Captive</t>
        </is>
      </c>
      <c r="L2756" s="20" t="inlineStr">
        <is>
          <t>Mohammed Riyaz</t>
        </is>
      </c>
      <c r="M2756" s="23" t="n">
        <v>5932.2</v>
      </c>
    </row>
    <row r="2757">
      <c r="A2757" s="19" t="inlineStr">
        <is>
          <t>FY27</t>
        </is>
      </c>
      <c r="B2757" s="19" t="inlineStr">
        <is>
          <t>Jul</t>
        </is>
      </c>
      <c r="C2757" s="19" t="inlineStr">
        <is>
          <t>AP/TS</t>
        </is>
      </c>
      <c r="D2757" s="20" t="inlineStr">
        <is>
          <t>AP16EW2265</t>
        </is>
      </c>
      <c r="E2757" s="20" t="inlineStr">
        <is>
          <t>MARUTI</t>
        </is>
      </c>
      <c r="F2757" s="20" t="inlineStr">
        <is>
          <t>Celerio</t>
        </is>
      </c>
      <c r="G2757" s="21" t="n">
        <v>2018</v>
      </c>
      <c r="H2757" s="22" t="n">
        <v>139181</v>
      </c>
      <c r="I2757" s="22" t="n">
        <v>195500</v>
      </c>
      <c r="J2757" s="20" t="inlineStr">
        <is>
          <t>Sesetti Manoj Kumar</t>
        </is>
      </c>
      <c r="K2757" s="20" t="inlineStr">
        <is>
          <t>Non-Captive</t>
        </is>
      </c>
      <c r="L2757" s="20" t="inlineStr">
        <is>
          <t>Suresh Ginjupalli</t>
        </is>
      </c>
      <c r="M2757" s="23" t="n">
        <v>6355.93</v>
      </c>
    </row>
    <row r="2758">
      <c r="A2758" s="19" t="inlineStr">
        <is>
          <t>FY27</t>
        </is>
      </c>
      <c r="B2758" s="19" t="inlineStr">
        <is>
          <t>Jul</t>
        </is>
      </c>
      <c r="C2758" s="19" t="inlineStr">
        <is>
          <t>AP/TS</t>
        </is>
      </c>
      <c r="D2758" s="20" t="inlineStr">
        <is>
          <t>AP16FD1458</t>
        </is>
      </c>
      <c r="E2758" s="20" t="inlineStr">
        <is>
          <t>FORD</t>
        </is>
      </c>
      <c r="F2758" s="20" t="inlineStr">
        <is>
          <t>Figo</t>
        </is>
      </c>
      <c r="G2758" s="21" t="n">
        <v>2018</v>
      </c>
      <c r="H2758" s="22" t="n">
        <v>156334</v>
      </c>
      <c r="I2758" s="22" t="n">
        <v>195500</v>
      </c>
      <c r="J2758" s="20" t="inlineStr">
        <is>
          <t>Sesetti Manoj Kumar</t>
        </is>
      </c>
      <c r="K2758" s="20" t="inlineStr">
        <is>
          <t>Non-Captive</t>
        </is>
      </c>
      <c r="L2758" s="20" t="inlineStr">
        <is>
          <t>Suresh Ginjupalli</t>
        </is>
      </c>
      <c r="M2758" s="23" t="n">
        <v>6355.93</v>
      </c>
    </row>
    <row r="2759">
      <c r="A2759" s="19" t="inlineStr">
        <is>
          <t>FY27</t>
        </is>
      </c>
      <c r="B2759" s="19" t="inlineStr">
        <is>
          <t>Jul</t>
        </is>
      </c>
      <c r="C2759" s="19" t="inlineStr">
        <is>
          <t>AP/TS</t>
        </is>
      </c>
      <c r="D2759" s="20" t="inlineStr">
        <is>
          <t>AP16CJ5564</t>
        </is>
      </c>
      <c r="E2759" s="20" t="inlineStr">
        <is>
          <t>MARUTI</t>
        </is>
      </c>
      <c r="F2759" s="20" t="inlineStr">
        <is>
          <t>Swift Dzire</t>
        </is>
      </c>
      <c r="G2759" s="21" t="n">
        <v>2013</v>
      </c>
      <c r="H2759" s="22" t="n">
        <v>126013</v>
      </c>
      <c r="I2759" s="22" t="n">
        <v>210000</v>
      </c>
      <c r="J2759" s="20" t="inlineStr">
        <is>
          <t>Exchange</t>
        </is>
      </c>
      <c r="K2759" s="20" t="inlineStr">
        <is>
          <t>Captive</t>
        </is>
      </c>
      <c r="L2759" s="20" t="inlineStr">
        <is>
          <t>Devarapalli Avinash</t>
        </is>
      </c>
      <c r="M2759" s="23" t="n">
        <v>8474.58</v>
      </c>
    </row>
    <row r="2760">
      <c r="A2760" s="19" t="inlineStr">
        <is>
          <t>FY27</t>
        </is>
      </c>
      <c r="B2760" s="19" t="inlineStr">
        <is>
          <t>Jul</t>
        </is>
      </c>
      <c r="C2760" s="19" t="inlineStr">
        <is>
          <t>AP/TS</t>
        </is>
      </c>
      <c r="D2760" s="20" t="inlineStr">
        <is>
          <t>AP39CG7475</t>
        </is>
      </c>
      <c r="E2760" s="20" t="inlineStr">
        <is>
          <t>HONDA</t>
        </is>
      </c>
      <c r="F2760" s="20" t="inlineStr">
        <is>
          <t>Jazz</t>
        </is>
      </c>
      <c r="G2760" s="21" t="n">
        <v>2019</v>
      </c>
      <c r="H2760" s="22" t="n">
        <v>56411</v>
      </c>
      <c r="I2760" s="22" t="n">
        <v>378000</v>
      </c>
      <c r="J2760" s="20" t="inlineStr">
        <is>
          <t>Exchange</t>
        </is>
      </c>
      <c r="K2760" s="20" t="inlineStr">
        <is>
          <t>Captive</t>
        </is>
      </c>
      <c r="L2760" s="20" t="inlineStr">
        <is>
          <t>Tenali Srinivas</t>
        </is>
      </c>
      <c r="M2760" s="23" t="n">
        <v>6779.66</v>
      </c>
    </row>
    <row r="2761">
      <c r="A2761" s="19" t="inlineStr">
        <is>
          <t>FY27</t>
        </is>
      </c>
      <c r="B2761" s="19" t="inlineStr">
        <is>
          <t>Jul</t>
        </is>
      </c>
      <c r="C2761" s="19" t="inlineStr">
        <is>
          <t>AP/TS</t>
        </is>
      </c>
      <c r="D2761" s="20" t="inlineStr">
        <is>
          <t>AP39NH1729</t>
        </is>
      </c>
      <c r="E2761" s="20" t="inlineStr">
        <is>
          <t>KIA</t>
        </is>
      </c>
      <c r="F2761" s="20" t="inlineStr">
        <is>
          <t>Seltos</t>
        </is>
      </c>
      <c r="G2761" s="21" t="n">
        <v>2022</v>
      </c>
      <c r="H2761" s="22" t="n">
        <v>67411</v>
      </c>
      <c r="I2761" s="22" t="n">
        <v>857000</v>
      </c>
      <c r="J2761" s="20" t="inlineStr">
        <is>
          <t>Exchange</t>
        </is>
      </c>
      <c r="K2761" s="20" t="inlineStr">
        <is>
          <t>Captive</t>
        </is>
      </c>
      <c r="L2761" s="20" t="inlineStr">
        <is>
          <t>Mohammed Riyaz</t>
        </is>
      </c>
      <c r="M2761" s="23" t="n">
        <v>14406.78</v>
      </c>
    </row>
    <row r="2762">
      <c r="A2762" s="19" t="inlineStr">
        <is>
          <t>FY27</t>
        </is>
      </c>
      <c r="B2762" s="19" t="inlineStr">
        <is>
          <t>Jul</t>
        </is>
      </c>
      <c r="C2762" s="19" t="inlineStr">
        <is>
          <t>AP/TS</t>
        </is>
      </c>
      <c r="D2762" s="20" t="inlineStr">
        <is>
          <t>AP26BH6969</t>
        </is>
      </c>
      <c r="E2762" s="20" t="inlineStr">
        <is>
          <t>FORD</t>
        </is>
      </c>
      <c r="F2762" s="20" t="inlineStr">
        <is>
          <t>Ecosport</t>
        </is>
      </c>
      <c r="G2762" s="21" t="n">
        <v>2016</v>
      </c>
      <c r="H2762" s="22" t="n">
        <v>142566</v>
      </c>
      <c r="I2762" s="22" t="n">
        <v>338000</v>
      </c>
      <c r="J2762" s="20" t="inlineStr">
        <is>
          <t>Gopi Nagaraju</t>
        </is>
      </c>
      <c r="K2762" s="20" t="inlineStr">
        <is>
          <t>Non-Captive</t>
        </is>
      </c>
      <c r="L2762" s="20" t="inlineStr">
        <is>
          <t>Mohammed Riyaz</t>
        </is>
      </c>
      <c r="M2762" s="23" t="n">
        <v>6779.66</v>
      </c>
    </row>
    <row r="2763">
      <c r="A2763" s="19" t="inlineStr">
        <is>
          <t>FY27</t>
        </is>
      </c>
      <c r="B2763" s="19" t="inlineStr">
        <is>
          <t>Jul</t>
        </is>
      </c>
      <c r="C2763" s="19" t="inlineStr">
        <is>
          <t>AP/TS</t>
        </is>
      </c>
      <c r="D2763" s="20" t="inlineStr">
        <is>
          <t>AP10BF9402</t>
        </is>
      </c>
      <c r="E2763" s="20" t="inlineStr">
        <is>
          <t>HONDA</t>
        </is>
      </c>
      <c r="F2763" s="20" t="inlineStr">
        <is>
          <t>Amaze</t>
        </is>
      </c>
      <c r="G2763" s="21" t="n">
        <v>2014</v>
      </c>
      <c r="H2763" s="22" t="n">
        <v>85452</v>
      </c>
      <c r="I2763" s="22" t="n">
        <v>187000</v>
      </c>
      <c r="J2763" s="20" t="inlineStr">
        <is>
          <t>Exchange</t>
        </is>
      </c>
      <c r="K2763" s="20" t="inlineStr">
        <is>
          <t>Captive</t>
        </is>
      </c>
      <c r="L2763" s="20" t="inlineStr">
        <is>
          <t>Koppulapelli Anand Goud (Anand Cars)</t>
        </is>
      </c>
      <c r="M2763" s="23" t="n">
        <v>5932.2</v>
      </c>
    </row>
    <row r="2764">
      <c r="A2764" s="19" t="inlineStr">
        <is>
          <t>FY27</t>
        </is>
      </c>
      <c r="B2764" s="19" t="inlineStr">
        <is>
          <t>Jul</t>
        </is>
      </c>
      <c r="C2764" s="19" t="inlineStr">
        <is>
          <t>AP/TS</t>
        </is>
      </c>
      <c r="D2764" s="20" t="inlineStr">
        <is>
          <t>AP29AZ2596</t>
        </is>
      </c>
      <c r="E2764" s="20" t="inlineStr">
        <is>
          <t>HONDA</t>
        </is>
      </c>
      <c r="F2764" s="20" t="inlineStr">
        <is>
          <t>City</t>
        </is>
      </c>
      <c r="G2764" s="21" t="n">
        <v>2013</v>
      </c>
      <c r="H2764" s="22" t="n">
        <v>145236</v>
      </c>
      <c r="I2764" s="22" t="n">
        <v>190000</v>
      </c>
      <c r="J2764" s="20" t="inlineStr">
        <is>
          <t>Puneet Gupta</t>
        </is>
      </c>
      <c r="K2764" s="20" t="inlineStr">
        <is>
          <t>Non-Captive</t>
        </is>
      </c>
      <c r="L2764" s="20" t="inlineStr">
        <is>
          <t>Koppulapelli Anand Goud (Anand Cars)</t>
        </is>
      </c>
      <c r="M2764" s="23" t="n">
        <v>5932.2</v>
      </c>
    </row>
    <row r="2765">
      <c r="A2765" s="19" t="inlineStr">
        <is>
          <t>FY27</t>
        </is>
      </c>
      <c r="B2765" s="19" t="inlineStr">
        <is>
          <t>Jul</t>
        </is>
      </c>
      <c r="C2765" s="19" t="inlineStr">
        <is>
          <t>AP/TS</t>
        </is>
      </c>
      <c r="D2765" s="20" t="inlineStr">
        <is>
          <t>AP09CK2300</t>
        </is>
      </c>
      <c r="E2765" s="20" t="inlineStr">
        <is>
          <t>HONDA</t>
        </is>
      </c>
      <c r="F2765" s="20" t="inlineStr">
        <is>
          <t>City</t>
        </is>
      </c>
      <c r="G2765" s="21" t="n">
        <v>2012</v>
      </c>
      <c r="H2765" s="22" t="n">
        <v>173125</v>
      </c>
      <c r="I2765" s="22" t="n">
        <v>180000</v>
      </c>
      <c r="J2765" s="20" t="inlineStr">
        <is>
          <t>Puneet Gupta</t>
        </is>
      </c>
      <c r="K2765" s="20" t="inlineStr">
        <is>
          <t>Non-Captive</t>
        </is>
      </c>
      <c r="L2765" s="20" t="inlineStr">
        <is>
          <t>Koppulapelli Anand Goud (Anand Cars)</t>
        </is>
      </c>
      <c r="M2765" s="23" t="n">
        <v>5932.2</v>
      </c>
    </row>
    <row r="2766">
      <c r="A2766" s="19" t="inlineStr">
        <is>
          <t>FY27</t>
        </is>
      </c>
      <c r="B2766" s="19" t="inlineStr">
        <is>
          <t>Jul</t>
        </is>
      </c>
      <c r="C2766" s="19" t="inlineStr">
        <is>
          <t>AP/TS</t>
        </is>
      </c>
      <c r="D2766" s="20" t="inlineStr">
        <is>
          <t>TS10EM1511</t>
        </is>
      </c>
      <c r="E2766" s="20" t="inlineStr">
        <is>
          <t>NISSAN</t>
        </is>
      </c>
      <c r="F2766" s="20" t="inlineStr">
        <is>
          <t>Terrano</t>
        </is>
      </c>
      <c r="G2766" s="21" t="n">
        <v>2017</v>
      </c>
      <c r="H2766" s="22" t="n">
        <v>159967</v>
      </c>
      <c r="I2766" s="22" t="n">
        <v>297000</v>
      </c>
      <c r="J2766" s="20" t="inlineStr">
        <is>
          <t>Exchange</t>
        </is>
      </c>
      <c r="K2766" s="20" t="inlineStr">
        <is>
          <t>Captive</t>
        </is>
      </c>
      <c r="L2766" s="20" t="inlineStr">
        <is>
          <t>Vara Rajendra Varma</t>
        </is>
      </c>
      <c r="M2766" s="23" t="n">
        <v>8474.58</v>
      </c>
    </row>
    <row r="2767">
      <c r="A2767" s="19" t="inlineStr">
        <is>
          <t>FY27</t>
        </is>
      </c>
      <c r="B2767" s="19" t="inlineStr">
        <is>
          <t>Jul</t>
        </is>
      </c>
      <c r="C2767" s="19" t="inlineStr">
        <is>
          <t>AP/TS</t>
        </is>
      </c>
      <c r="D2767" s="20" t="inlineStr">
        <is>
          <t>TS10EP2960</t>
        </is>
      </c>
      <c r="E2767" s="20" t="inlineStr">
        <is>
          <t>MARUTI</t>
        </is>
      </c>
      <c r="F2767" s="20" t="inlineStr">
        <is>
          <t>Celerio-X</t>
        </is>
      </c>
      <c r="G2767" s="21" t="n">
        <v>2018</v>
      </c>
      <c r="H2767" s="22" t="n">
        <v>12601</v>
      </c>
      <c r="I2767" s="22" t="n">
        <v>293000</v>
      </c>
      <c r="J2767" s="20" t="inlineStr">
        <is>
          <t>Exchange</t>
        </is>
      </c>
      <c r="K2767" s="20" t="inlineStr">
        <is>
          <t>Captive</t>
        </is>
      </c>
      <c r="L2767" s="20" t="inlineStr">
        <is>
          <t>Vara Rajendra Varma</t>
        </is>
      </c>
      <c r="M2767" s="23" t="n">
        <v>6779.66</v>
      </c>
    </row>
    <row r="2768">
      <c r="A2768" s="19" t="inlineStr">
        <is>
          <t>FY27</t>
        </is>
      </c>
      <c r="B2768" s="19" t="inlineStr">
        <is>
          <t>Jul</t>
        </is>
      </c>
      <c r="C2768" s="19" t="inlineStr">
        <is>
          <t>AP/TS</t>
        </is>
      </c>
      <c r="D2768" s="20" t="inlineStr">
        <is>
          <t>TS10ED2425</t>
        </is>
      </c>
      <c r="E2768" s="20" t="inlineStr">
        <is>
          <t>FORD</t>
        </is>
      </c>
      <c r="F2768" s="20" t="inlineStr">
        <is>
          <t>Ecosport</t>
        </is>
      </c>
      <c r="G2768" s="21" t="n">
        <v>2015</v>
      </c>
      <c r="H2768" s="22" t="n">
        <v>105224</v>
      </c>
      <c r="I2768" s="22" t="n">
        <v>297000</v>
      </c>
      <c r="J2768" s="20" t="inlineStr">
        <is>
          <t>Exchange</t>
        </is>
      </c>
      <c r="K2768" s="20" t="inlineStr">
        <is>
          <t>Captive</t>
        </is>
      </c>
      <c r="L2768" s="20" t="inlineStr">
        <is>
          <t>Koppulapelli Anand Goud (Anand Cars)</t>
        </is>
      </c>
      <c r="M2768" s="23" t="n">
        <v>10169.49</v>
      </c>
    </row>
    <row r="2769">
      <c r="A2769" s="19" t="inlineStr">
        <is>
          <t>FY27</t>
        </is>
      </c>
      <c r="B2769" s="19" t="inlineStr">
        <is>
          <t>Jul</t>
        </is>
      </c>
      <c r="C2769" s="19" t="inlineStr">
        <is>
          <t>AP/TS</t>
        </is>
      </c>
      <c r="D2769" s="20" t="inlineStr">
        <is>
          <t>AP09CR3003</t>
        </is>
      </c>
      <c r="E2769" s="20" t="inlineStr">
        <is>
          <t>MAHINDRA</t>
        </is>
      </c>
      <c r="F2769" s="20" t="inlineStr">
        <is>
          <t>Xuv500</t>
        </is>
      </c>
      <c r="G2769" s="21" t="n">
        <v>2013</v>
      </c>
      <c r="H2769" s="22" t="n">
        <v>160986</v>
      </c>
      <c r="I2769" s="22" t="n">
        <v>358000</v>
      </c>
      <c r="J2769" s="20" t="inlineStr">
        <is>
          <t>Puneet Gupta</t>
        </is>
      </c>
      <c r="K2769" s="20" t="inlineStr">
        <is>
          <t>Non-Captive</t>
        </is>
      </c>
      <c r="L2769" s="20" t="inlineStr">
        <is>
          <t>Koppulapelli Anand Goud (Anand Cars)</t>
        </is>
      </c>
      <c r="M2769" s="23" t="n">
        <v>6779.66</v>
      </c>
    </row>
    <row r="2770">
      <c r="A2770" s="19" t="inlineStr">
        <is>
          <t>FY27</t>
        </is>
      </c>
      <c r="B2770" s="19" t="inlineStr">
        <is>
          <t>Jul</t>
        </is>
      </c>
      <c r="C2770" s="19" t="inlineStr">
        <is>
          <t>AP/TS</t>
        </is>
      </c>
      <c r="D2770" s="20" t="inlineStr">
        <is>
          <t>AP07CY2366</t>
        </is>
      </c>
      <c r="E2770" s="20" t="inlineStr">
        <is>
          <t>HYUNDAI</t>
        </is>
      </c>
      <c r="F2770" s="20" t="inlineStr">
        <is>
          <t>Grand I10</t>
        </is>
      </c>
      <c r="G2770" s="21" t="n">
        <v>2016</v>
      </c>
      <c r="H2770" s="22" t="n">
        <v>61438</v>
      </c>
      <c r="I2770" s="22" t="n">
        <v>258000</v>
      </c>
      <c r="J2770" s="20" t="inlineStr">
        <is>
          <t>Exchange</t>
        </is>
      </c>
      <c r="K2770" s="20" t="inlineStr">
        <is>
          <t>Captive</t>
        </is>
      </c>
      <c r="L2770" s="20" t="inlineStr">
        <is>
          <t>Devarakonda Siva Durga Prasad</t>
        </is>
      </c>
      <c r="M2770" s="23" t="n">
        <v>6779.66</v>
      </c>
    </row>
    <row r="2771">
      <c r="A2771" s="19" t="inlineStr">
        <is>
          <t>FY27</t>
        </is>
      </c>
      <c r="B2771" s="19" t="inlineStr">
        <is>
          <t>Jul</t>
        </is>
      </c>
      <c r="C2771" s="19" t="inlineStr">
        <is>
          <t>AP/TS</t>
        </is>
      </c>
      <c r="D2771" s="20" t="inlineStr">
        <is>
          <t>AP16CZ1242</t>
        </is>
      </c>
      <c r="E2771" s="20" t="inlineStr">
        <is>
          <t>HONDA</t>
        </is>
      </c>
      <c r="F2771" s="20" t="inlineStr">
        <is>
          <t>City</t>
        </is>
      </c>
      <c r="G2771" s="21" t="n">
        <v>2014</v>
      </c>
      <c r="H2771" s="22" t="n">
        <v>158253</v>
      </c>
      <c r="I2771" s="22" t="n">
        <v>197000</v>
      </c>
      <c r="J2771" s="20" t="inlineStr">
        <is>
          <t>Tenali Srinivas</t>
        </is>
      </c>
      <c r="K2771" s="20" t="inlineStr">
        <is>
          <t>Non-Captive</t>
        </is>
      </c>
      <c r="L2771" s="20" t="inlineStr">
        <is>
          <t>Devarakonda Siva Durga Prasad</t>
        </is>
      </c>
      <c r="M2771" s="23" t="n">
        <v>5932.2</v>
      </c>
    </row>
    <row r="2772">
      <c r="A2772" s="19" t="inlineStr">
        <is>
          <t>FY27</t>
        </is>
      </c>
      <c r="B2772" s="19" t="inlineStr">
        <is>
          <t>Jul</t>
        </is>
      </c>
      <c r="C2772" s="19" t="inlineStr">
        <is>
          <t>AP/TS</t>
        </is>
      </c>
      <c r="D2772" s="20" t="inlineStr">
        <is>
          <t>AP16CX2949</t>
        </is>
      </c>
      <c r="E2772" s="20" t="inlineStr">
        <is>
          <t>HONDA</t>
        </is>
      </c>
      <c r="F2772" s="20" t="inlineStr">
        <is>
          <t>Amaze</t>
        </is>
      </c>
      <c r="G2772" s="21" t="n">
        <v>2015</v>
      </c>
      <c r="H2772" s="22" t="n">
        <v>160452</v>
      </c>
      <c r="I2772" s="22" t="n">
        <v>187000</v>
      </c>
      <c r="J2772" s="20" t="inlineStr">
        <is>
          <t>Tenali Srinivas</t>
        </is>
      </c>
      <c r="K2772" s="20" t="inlineStr">
        <is>
          <t>Non-Captive</t>
        </is>
      </c>
      <c r="L2772" s="20" t="inlineStr">
        <is>
          <t>Devarakonda Siva Durga Prasad</t>
        </is>
      </c>
      <c r="M2772" s="23" t="n">
        <v>5932.2</v>
      </c>
    </row>
    <row r="2773">
      <c r="A2773" s="19" t="inlineStr">
        <is>
          <t>FY27</t>
        </is>
      </c>
      <c r="B2773" s="19" t="inlineStr">
        <is>
          <t>Jul</t>
        </is>
      </c>
      <c r="C2773" s="19" t="inlineStr">
        <is>
          <t>AP/TS</t>
        </is>
      </c>
      <c r="D2773" s="20" t="inlineStr">
        <is>
          <t>AP31TV7821</t>
        </is>
      </c>
      <c r="E2773" s="20" t="inlineStr">
        <is>
          <t>HONDA</t>
        </is>
      </c>
      <c r="F2773" s="20" t="inlineStr">
        <is>
          <t>Amaze</t>
        </is>
      </c>
      <c r="G2773" s="21" t="n">
        <v>2017</v>
      </c>
      <c r="H2773" s="22" t="n">
        <v>249567</v>
      </c>
      <c r="I2773" s="22" t="n">
        <v>177000</v>
      </c>
      <c r="J2773" s="20" t="inlineStr">
        <is>
          <t>Exchange</t>
        </is>
      </c>
      <c r="K2773" s="20" t="inlineStr">
        <is>
          <t>Captive</t>
        </is>
      </c>
      <c r="L2773" s="20" t="inlineStr">
        <is>
          <t>Behara Ramu</t>
        </is>
      </c>
      <c r="M2773" s="23" t="n">
        <v>10169.49</v>
      </c>
    </row>
    <row r="2774">
      <c r="A2774" s="19" t="inlineStr">
        <is>
          <t>FY27</t>
        </is>
      </c>
      <c r="B2774" s="19" t="inlineStr">
        <is>
          <t>Jul</t>
        </is>
      </c>
      <c r="C2774" s="19" t="inlineStr">
        <is>
          <t>AP/TS</t>
        </is>
      </c>
      <c r="D2774" s="20" t="inlineStr">
        <is>
          <t>AP16DK3323</t>
        </is>
      </c>
      <c r="E2774" s="20" t="inlineStr">
        <is>
          <t>MARUTI</t>
        </is>
      </c>
      <c r="F2774" s="20" t="inlineStr">
        <is>
          <t>Wagon-R</t>
        </is>
      </c>
      <c r="G2774" s="21" t="n">
        <v>2016</v>
      </c>
      <c r="H2774" s="22" t="n">
        <v>78049</v>
      </c>
      <c r="I2774" s="22" t="n">
        <v>236000</v>
      </c>
      <c r="J2774" s="20" t="inlineStr">
        <is>
          <t>Exchange</t>
        </is>
      </c>
      <c r="K2774" s="20" t="inlineStr">
        <is>
          <t>Captive</t>
        </is>
      </c>
      <c r="L2774" s="20" t="inlineStr">
        <is>
          <t>Guthi Ravi Krishna</t>
        </is>
      </c>
      <c r="M2774" s="23" t="n">
        <v>8474.58</v>
      </c>
    </row>
    <row r="2775">
      <c r="A2775" s="19" t="inlineStr">
        <is>
          <t>FY27</t>
        </is>
      </c>
      <c r="B2775" s="19" t="inlineStr">
        <is>
          <t>Jul</t>
        </is>
      </c>
      <c r="C2775" s="19" t="inlineStr">
        <is>
          <t>AP/TS</t>
        </is>
      </c>
      <c r="D2775" s="20" t="inlineStr">
        <is>
          <t>AP16FJ1988</t>
        </is>
      </c>
      <c r="E2775" s="20" t="inlineStr">
        <is>
          <t>MARUTI</t>
        </is>
      </c>
      <c r="F2775" s="20" t="inlineStr">
        <is>
          <t>Ignis</t>
        </is>
      </c>
      <c r="G2775" s="21" t="n">
        <v>2018</v>
      </c>
      <c r="H2775" s="22" t="n">
        <v>106538</v>
      </c>
      <c r="I2775" s="22" t="n">
        <v>170000</v>
      </c>
      <c r="J2775" s="20" t="inlineStr">
        <is>
          <t>Exchange</t>
        </is>
      </c>
      <c r="K2775" s="20" t="inlineStr">
        <is>
          <t>Captive</t>
        </is>
      </c>
      <c r="L2775" s="20" t="inlineStr">
        <is>
          <t>Mohammed Gouse Basha</t>
        </is>
      </c>
      <c r="M2775" s="23" t="n">
        <v>8474.58</v>
      </c>
    </row>
    <row r="2776">
      <c r="A2776" s="19" t="inlineStr">
        <is>
          <t>FY27</t>
        </is>
      </c>
      <c r="B2776" s="19" t="inlineStr">
        <is>
          <t>Jul</t>
        </is>
      </c>
      <c r="C2776" s="19" t="inlineStr">
        <is>
          <t>AP/TS</t>
        </is>
      </c>
      <c r="D2776" s="20" t="inlineStr">
        <is>
          <t>AP16DF4818</t>
        </is>
      </c>
      <c r="E2776" s="20" t="inlineStr">
        <is>
          <t>HONDA</t>
        </is>
      </c>
      <c r="F2776" s="20" t="inlineStr">
        <is>
          <t>Amaze</t>
        </is>
      </c>
      <c r="G2776" s="21" t="n">
        <v>2015</v>
      </c>
      <c r="H2776" s="22" t="n">
        <v>45175</v>
      </c>
      <c r="I2776" s="22" t="n">
        <v>321000</v>
      </c>
      <c r="J2776" s="20" t="inlineStr">
        <is>
          <t>Exchange</t>
        </is>
      </c>
      <c r="K2776" s="20" t="inlineStr">
        <is>
          <t>Captive</t>
        </is>
      </c>
      <c r="L2776" s="20" t="inlineStr">
        <is>
          <t>Kanakaprasad Koutharapu</t>
        </is>
      </c>
      <c r="M2776" s="23" t="n">
        <v>9322.030000000001</v>
      </c>
    </row>
    <row r="2777">
      <c r="A2777" s="19" t="inlineStr">
        <is>
          <t>FY27</t>
        </is>
      </c>
      <c r="B2777" s="19" t="inlineStr">
        <is>
          <t>Jul</t>
        </is>
      </c>
      <c r="C2777" s="19" t="inlineStr">
        <is>
          <t>AP/TS</t>
        </is>
      </c>
      <c r="D2777" s="20" t="inlineStr">
        <is>
          <t>AP07DD2939</t>
        </is>
      </c>
      <c r="E2777" s="20" t="inlineStr">
        <is>
          <t>HONDA</t>
        </is>
      </c>
      <c r="F2777" s="20" t="inlineStr">
        <is>
          <t>Brio</t>
        </is>
      </c>
      <c r="G2777" s="21" t="n">
        <v>2016</v>
      </c>
      <c r="H2777" s="22" t="n">
        <v>115882</v>
      </c>
      <c r="I2777" s="22" t="n">
        <v>258000</v>
      </c>
      <c r="J2777" s="20" t="inlineStr">
        <is>
          <t>Mohammed Gouse Basha</t>
        </is>
      </c>
      <c r="K2777" s="20" t="inlineStr">
        <is>
          <t>Non-Captive</t>
        </is>
      </c>
      <c r="L2777" s="20" t="inlineStr">
        <is>
          <t>Guthi Ravi Krishna</t>
        </is>
      </c>
      <c r="M2777" s="23" t="n">
        <v>6779.66</v>
      </c>
    </row>
    <row r="2778">
      <c r="A2778" s="19" t="inlineStr">
        <is>
          <t>FY27</t>
        </is>
      </c>
      <c r="B2778" s="19" t="inlineStr">
        <is>
          <t>Jul</t>
        </is>
      </c>
      <c r="C2778" s="19" t="inlineStr">
        <is>
          <t>AP/TS</t>
        </is>
      </c>
      <c r="D2778" s="20" t="inlineStr">
        <is>
          <t>AP37CP3465</t>
        </is>
      </c>
      <c r="E2778" s="20" t="inlineStr">
        <is>
          <t>HYUNDAI</t>
        </is>
      </c>
      <c r="F2778" s="20" t="inlineStr">
        <is>
          <t>I10</t>
        </is>
      </c>
      <c r="G2778" s="21" t="n">
        <v>2015</v>
      </c>
      <c r="H2778" s="22" t="n">
        <v>128668</v>
      </c>
      <c r="I2778" s="22" t="n">
        <v>187000</v>
      </c>
      <c r="J2778" s="20" t="inlineStr">
        <is>
          <t>Mohammed Gouse Basha</t>
        </is>
      </c>
      <c r="K2778" s="20" t="inlineStr">
        <is>
          <t>Non-Captive</t>
        </is>
      </c>
      <c r="L2778" s="20" t="inlineStr">
        <is>
          <t>Somanadhi Mahalaxmi Venkatesh</t>
        </is>
      </c>
      <c r="M2778" s="23" t="n">
        <v>5932.2</v>
      </c>
    </row>
    <row r="2779">
      <c r="A2779" s="19" t="inlineStr">
        <is>
          <t>FY27</t>
        </is>
      </c>
      <c r="B2779" s="19" t="inlineStr">
        <is>
          <t>Jul</t>
        </is>
      </c>
      <c r="C2779" s="19" t="inlineStr">
        <is>
          <t>AP/TS</t>
        </is>
      </c>
      <c r="D2779" s="20" t="inlineStr">
        <is>
          <t>AP16BU7806</t>
        </is>
      </c>
      <c r="E2779" s="20" t="inlineStr">
        <is>
          <t>HYUNDAI</t>
        </is>
      </c>
      <c r="F2779" s="20" t="inlineStr">
        <is>
          <t>Wagon-R</t>
        </is>
      </c>
      <c r="G2779" s="21" t="n">
        <v>2010</v>
      </c>
      <c r="H2779" s="22" t="n">
        <v>121061</v>
      </c>
      <c r="I2779" s="22" t="n">
        <v>75000</v>
      </c>
      <c r="J2779" s="20" t="inlineStr">
        <is>
          <t>Mohammed Gouse Basha</t>
        </is>
      </c>
      <c r="K2779" s="20" t="inlineStr">
        <is>
          <t>Non-Captive</t>
        </is>
      </c>
      <c r="L2779" s="20" t="inlineStr">
        <is>
          <t>Kanakaprasad Koutharapu</t>
        </is>
      </c>
      <c r="M2779" s="23" t="n">
        <v>4237.29</v>
      </c>
    </row>
    <row r="2780">
      <c r="A2780" s="19" t="inlineStr">
        <is>
          <t>FY27</t>
        </is>
      </c>
      <c r="B2780" s="19" t="inlineStr">
        <is>
          <t>Jul</t>
        </is>
      </c>
      <c r="C2780" s="19" t="inlineStr">
        <is>
          <t>AP/TS</t>
        </is>
      </c>
      <c r="D2780" s="20" t="inlineStr">
        <is>
          <t>AP07AR2239</t>
        </is>
      </c>
      <c r="E2780" s="20" t="inlineStr">
        <is>
          <t>MARUTI</t>
        </is>
      </c>
      <c r="F2780" s="20" t="inlineStr">
        <is>
          <t>Alto</t>
        </is>
      </c>
      <c r="G2780" s="21" t="n">
        <v>2008</v>
      </c>
      <c r="H2780" s="22" t="n">
        <v>136735</v>
      </c>
      <c r="I2780" s="22" t="n">
        <v>66000</v>
      </c>
      <c r="J2780" s="20" t="inlineStr">
        <is>
          <t>Guthi Ravi Krishna</t>
        </is>
      </c>
      <c r="K2780" s="20" t="inlineStr">
        <is>
          <t>Non-Captive</t>
        </is>
      </c>
      <c r="L2780" s="20" t="inlineStr">
        <is>
          <t>Yarlagadda Sai Phanindra</t>
        </is>
      </c>
      <c r="M2780" s="23" t="n">
        <v>5084.75</v>
      </c>
    </row>
    <row r="2781">
      <c r="A2781" s="19" t="inlineStr">
        <is>
          <t>FY27</t>
        </is>
      </c>
      <c r="B2781" s="19" t="inlineStr">
        <is>
          <t>Jul</t>
        </is>
      </c>
      <c r="C2781" s="19" t="inlineStr">
        <is>
          <t>AP/TS</t>
        </is>
      </c>
      <c r="D2781" s="20" t="inlineStr">
        <is>
          <t>AP16CL3969</t>
        </is>
      </c>
      <c r="E2781" s="20" t="inlineStr">
        <is>
          <t>HONDA</t>
        </is>
      </c>
      <c r="F2781" s="20" t="inlineStr">
        <is>
          <t>City</t>
        </is>
      </c>
      <c r="G2781" s="21" t="n">
        <v>2013</v>
      </c>
      <c r="H2781" s="22" t="n">
        <v>109041</v>
      </c>
      <c r="I2781" s="22" t="n">
        <v>207000</v>
      </c>
      <c r="J2781" s="20" t="inlineStr">
        <is>
          <t>Guthi Ravi Krishna</t>
        </is>
      </c>
      <c r="K2781" s="20" t="inlineStr">
        <is>
          <t>Non-Captive</t>
        </is>
      </c>
      <c r="L2781" s="20" t="inlineStr">
        <is>
          <t>Suresh Ginjupalli</t>
        </is>
      </c>
      <c r="M2781" s="23" t="n">
        <v>5932.2</v>
      </c>
    </row>
    <row r="2782">
      <c r="A2782" s="19" t="inlineStr">
        <is>
          <t>FY27</t>
        </is>
      </c>
      <c r="B2782" s="19" t="inlineStr">
        <is>
          <t>Jul</t>
        </is>
      </c>
      <c r="C2782" s="19" t="inlineStr">
        <is>
          <t>AP/TS</t>
        </is>
      </c>
      <c r="D2782" s="20" t="inlineStr">
        <is>
          <t>AP15AE8341</t>
        </is>
      </c>
      <c r="E2782" s="20" t="inlineStr">
        <is>
          <t>HYUNDAI</t>
        </is>
      </c>
      <c r="F2782" s="20" t="inlineStr">
        <is>
          <t>Santro</t>
        </is>
      </c>
      <c r="G2782" s="21" t="n">
        <v>2007</v>
      </c>
      <c r="H2782" s="22" t="n">
        <v>130010</v>
      </c>
      <c r="I2782" s="22" t="n">
        <v>55000</v>
      </c>
      <c r="J2782" s="20" t="inlineStr">
        <is>
          <t>Guthi Ravi Krishna</t>
        </is>
      </c>
      <c r="K2782" s="20" t="inlineStr">
        <is>
          <t>Non-Captive</t>
        </is>
      </c>
      <c r="L2782" s="20" t="inlineStr">
        <is>
          <t>Mohammed Gouse Basha</t>
        </is>
      </c>
      <c r="M2782" s="23" t="n">
        <v>4237.29</v>
      </c>
    </row>
    <row r="2783">
      <c r="A2783" s="19" t="inlineStr">
        <is>
          <t>FY27</t>
        </is>
      </c>
      <c r="B2783" s="19" t="inlineStr">
        <is>
          <t>Jul</t>
        </is>
      </c>
      <c r="C2783" s="19" t="inlineStr">
        <is>
          <t>AP/TS</t>
        </is>
      </c>
      <c r="D2783" s="20" t="inlineStr">
        <is>
          <t>AP37CM5000</t>
        </is>
      </c>
      <c r="E2783" s="20" t="inlineStr">
        <is>
          <t>HONDA</t>
        </is>
      </c>
      <c r="F2783" s="20" t="inlineStr">
        <is>
          <t>Jazz</t>
        </is>
      </c>
      <c r="G2783" s="21" t="n">
        <v>2015</v>
      </c>
      <c r="H2783" s="22" t="n">
        <v>99123</v>
      </c>
      <c r="I2783" s="22" t="n">
        <v>278000</v>
      </c>
      <c r="J2783" s="20" t="inlineStr">
        <is>
          <t>Exchange</t>
        </is>
      </c>
      <c r="K2783" s="20" t="inlineStr">
        <is>
          <t>Captive</t>
        </is>
      </c>
      <c r="L2783" s="20" t="inlineStr">
        <is>
          <t>Kaki Dinesh Kumar</t>
        </is>
      </c>
      <c r="M2783" s="23" t="n">
        <v>10169.49</v>
      </c>
    </row>
    <row r="2784">
      <c r="A2784" s="19" t="inlineStr">
        <is>
          <t>FY27</t>
        </is>
      </c>
      <c r="B2784" s="19" t="inlineStr">
        <is>
          <t>Jul</t>
        </is>
      </c>
      <c r="C2784" s="19" t="inlineStr">
        <is>
          <t>AP/TS</t>
        </is>
      </c>
      <c r="D2784" s="20" t="inlineStr">
        <is>
          <t>AP31CD8348</t>
        </is>
      </c>
      <c r="E2784" s="20" t="inlineStr">
        <is>
          <t>MARUTI</t>
        </is>
      </c>
      <c r="F2784" s="20" t="inlineStr">
        <is>
          <t>Alto 800</t>
        </is>
      </c>
      <c r="G2784" s="21" t="n">
        <v>2013</v>
      </c>
      <c r="H2784" s="22" t="n">
        <v>95762</v>
      </c>
      <c r="I2784" s="22" t="n">
        <v>123000</v>
      </c>
      <c r="J2784" s="20" t="inlineStr">
        <is>
          <t>Exchange</t>
        </is>
      </c>
      <c r="K2784" s="20" t="inlineStr">
        <is>
          <t>Captive</t>
        </is>
      </c>
      <c r="L2784" s="20" t="inlineStr">
        <is>
          <t>Kaki Dinesh Kumar</t>
        </is>
      </c>
      <c r="M2784" s="23" t="n">
        <v>6779.66</v>
      </c>
    </row>
    <row r="2785">
      <c r="A2785" s="19" t="inlineStr">
        <is>
          <t>FY27</t>
        </is>
      </c>
      <c r="B2785" s="19" t="inlineStr">
        <is>
          <t>Jul</t>
        </is>
      </c>
      <c r="C2785" s="19" t="inlineStr">
        <is>
          <t>AP/TS</t>
        </is>
      </c>
      <c r="D2785" s="20" t="inlineStr">
        <is>
          <t>AP31DD6369</t>
        </is>
      </c>
      <c r="E2785" s="20" t="inlineStr">
        <is>
          <t>HONDA</t>
        </is>
      </c>
      <c r="F2785" s="20" t="inlineStr">
        <is>
          <t>City</t>
        </is>
      </c>
      <c r="G2785" s="21" t="n">
        <v>2016</v>
      </c>
      <c r="H2785" s="22" t="n">
        <v>132475</v>
      </c>
      <c r="I2785" s="22" t="n">
        <v>355000</v>
      </c>
      <c r="J2785" s="20" t="inlineStr">
        <is>
          <t>Exchange</t>
        </is>
      </c>
      <c r="K2785" s="20" t="inlineStr">
        <is>
          <t>Captive</t>
        </is>
      </c>
      <c r="L2785" s="20" t="inlineStr">
        <is>
          <t>Kaki Dinesh Kumar</t>
        </is>
      </c>
      <c r="M2785" s="23" t="n">
        <v>12711.86</v>
      </c>
    </row>
    <row r="2786">
      <c r="A2786" s="19" t="inlineStr">
        <is>
          <t>FY27</t>
        </is>
      </c>
      <c r="B2786" s="19" t="inlineStr">
        <is>
          <t>Jul</t>
        </is>
      </c>
      <c r="C2786" s="19" t="inlineStr">
        <is>
          <t>AP/TS</t>
        </is>
      </c>
      <c r="D2786" s="20" t="inlineStr">
        <is>
          <t>AP31CS3345</t>
        </is>
      </c>
      <c r="E2786" s="20" t="inlineStr">
        <is>
          <t>HONDA</t>
        </is>
      </c>
      <c r="F2786" s="20" t="inlineStr">
        <is>
          <t>Mobilio</t>
        </is>
      </c>
      <c r="G2786" s="21" t="n">
        <v>2014</v>
      </c>
      <c r="H2786" s="22" t="n">
        <v>289675</v>
      </c>
      <c r="I2786" s="22" t="n">
        <v>120000</v>
      </c>
      <c r="J2786" s="20" t="inlineStr">
        <is>
          <t>Exchange</t>
        </is>
      </c>
      <c r="K2786" s="20" t="inlineStr">
        <is>
          <t>Captive</t>
        </is>
      </c>
      <c r="L2786" s="20" t="inlineStr">
        <is>
          <t>Kaki Dinesh Kumar</t>
        </is>
      </c>
      <c r="M2786" s="23" t="n">
        <v>8474.58</v>
      </c>
    </row>
    <row r="2787">
      <c r="A2787" s="19" t="inlineStr">
        <is>
          <t>FY27</t>
        </is>
      </c>
      <c r="B2787" s="19" t="inlineStr">
        <is>
          <t>Jul</t>
        </is>
      </c>
      <c r="C2787" s="19" t="inlineStr">
        <is>
          <t>Kerala</t>
        </is>
      </c>
      <c r="D2787" s="20" t="inlineStr">
        <is>
          <t>KL11BG8602</t>
        </is>
      </c>
      <c r="E2787" s="20" t="inlineStr">
        <is>
          <t>RENAULT</t>
        </is>
      </c>
      <c r="F2787" s="20" t="inlineStr">
        <is>
          <t>Kwid</t>
        </is>
      </c>
      <c r="G2787" s="21" t="n">
        <v>2017</v>
      </c>
      <c r="H2787" s="22" t="n">
        <v>28000</v>
      </c>
      <c r="I2787" s="22" t="n">
        <v>250000</v>
      </c>
      <c r="J2787" s="20" t="inlineStr">
        <is>
          <t>EVM MG</t>
        </is>
      </c>
      <c r="K2787" s="20" t="inlineStr">
        <is>
          <t>Non-Captive</t>
        </is>
      </c>
      <c r="L2787" s="20" t="inlineStr">
        <is>
          <t>LATHEESH K</t>
        </is>
      </c>
      <c r="M2787" s="23" t="n">
        <v>8474.58</v>
      </c>
    </row>
    <row r="2788">
      <c r="A2788" s="19" t="inlineStr">
        <is>
          <t>FY27</t>
        </is>
      </c>
      <c r="B2788" s="19" t="inlineStr">
        <is>
          <t>Jul</t>
        </is>
      </c>
      <c r="C2788" s="19" t="inlineStr">
        <is>
          <t>Kerala</t>
        </is>
      </c>
      <c r="D2788" s="20" t="inlineStr">
        <is>
          <t>KL60K7137</t>
        </is>
      </c>
      <c r="E2788" s="20" t="inlineStr">
        <is>
          <t>MARUTI</t>
        </is>
      </c>
      <c r="F2788" s="20" t="inlineStr">
        <is>
          <t>Swift</t>
        </is>
      </c>
      <c r="G2788" s="21" t="n">
        <v>2016</v>
      </c>
      <c r="H2788" s="22" t="n">
        <v>87000</v>
      </c>
      <c r="I2788" s="22" t="n">
        <v>400000</v>
      </c>
      <c r="J2788" s="20" t="inlineStr">
        <is>
          <t>UCD SANTHOSH</t>
        </is>
      </c>
      <c r="K2788" s="20" t="inlineStr">
        <is>
          <t>Non-Captive</t>
        </is>
      </c>
      <c r="L2788" s="20" t="inlineStr">
        <is>
          <t>NISAB</t>
        </is>
      </c>
      <c r="M2788" s="23" t="n">
        <v>8474.58</v>
      </c>
    </row>
    <row r="2789">
      <c r="A2789" s="19" t="inlineStr">
        <is>
          <t>FY27</t>
        </is>
      </c>
      <c r="B2789" s="19" t="inlineStr">
        <is>
          <t>Jul</t>
        </is>
      </c>
      <c r="C2789" s="19" t="inlineStr">
        <is>
          <t>Kerala</t>
        </is>
      </c>
      <c r="D2789" s="20" t="inlineStr">
        <is>
          <t>KL18L9224</t>
        </is>
      </c>
      <c r="E2789" s="20" t="inlineStr">
        <is>
          <t>MARUTI</t>
        </is>
      </c>
      <c r="F2789" s="20" t="inlineStr">
        <is>
          <t>Wagonr</t>
        </is>
      </c>
      <c r="G2789" s="21" t="n">
        <v>2013</v>
      </c>
      <c r="H2789" s="22" t="n">
        <v>61000</v>
      </c>
      <c r="I2789" s="22" t="n">
        <v>240000</v>
      </c>
      <c r="J2789" s="20" t="inlineStr">
        <is>
          <t>POPULAR MARUTI</t>
        </is>
      </c>
      <c r="K2789" s="20" t="inlineStr">
        <is>
          <t>Non-Captive</t>
        </is>
      </c>
      <c r="L2789" s="20" t="inlineStr">
        <is>
          <t>NISAB</t>
        </is>
      </c>
      <c r="M2789" s="23" t="n">
        <v>8474.58</v>
      </c>
    </row>
    <row r="2790">
      <c r="A2790" s="19" t="inlineStr">
        <is>
          <t>FY27</t>
        </is>
      </c>
      <c r="B2790" s="19" t="inlineStr">
        <is>
          <t>Jul</t>
        </is>
      </c>
      <c r="C2790" s="19" t="inlineStr">
        <is>
          <t>Kerala</t>
        </is>
      </c>
      <c r="D2790" s="20" t="inlineStr">
        <is>
          <t>KL58J6969</t>
        </is>
      </c>
      <c r="E2790" s="20" t="inlineStr">
        <is>
          <t>HONDA</t>
        </is>
      </c>
      <c r="F2790" s="20" t="inlineStr">
        <is>
          <t>Civic</t>
        </is>
      </c>
      <c r="G2790" s="21" t="n">
        <v>2013</v>
      </c>
      <c r="H2790" s="22" t="n">
        <v>41463</v>
      </c>
      <c r="I2790" s="22" t="n">
        <v>275000</v>
      </c>
      <c r="J2790" s="20" t="inlineStr">
        <is>
          <t>POPULAR MARUTI</t>
        </is>
      </c>
      <c r="K2790" s="20" t="inlineStr">
        <is>
          <t>Non-Captive</t>
        </is>
      </c>
      <c r="L2790" s="20" t="inlineStr">
        <is>
          <t>CARNIVAL CARS</t>
        </is>
      </c>
      <c r="M2790" s="23" t="n">
        <v>12711.86</v>
      </c>
    </row>
    <row r="2791">
      <c r="A2791" s="19" t="inlineStr">
        <is>
          <t>FY27</t>
        </is>
      </c>
      <c r="B2791" s="19" t="inlineStr">
        <is>
          <t>Jul</t>
        </is>
      </c>
      <c r="C2791" s="19" t="inlineStr">
        <is>
          <t>Kerala</t>
        </is>
      </c>
      <c r="D2791" s="20" t="inlineStr">
        <is>
          <t>KL42J2536</t>
        </is>
      </c>
      <c r="E2791" s="20" t="inlineStr">
        <is>
          <t>DATSUN</t>
        </is>
      </c>
      <c r="F2791" s="20" t="inlineStr">
        <is>
          <t>Go</t>
        </is>
      </c>
      <c r="G2791" s="21" t="n">
        <v>2014</v>
      </c>
      <c r="H2791" s="22" t="n">
        <v>109808</v>
      </c>
      <c r="I2791" s="22" t="n">
        <v>85000</v>
      </c>
      <c r="J2791" s="20" t="inlineStr">
        <is>
          <t>POPULAR MARUTI</t>
        </is>
      </c>
      <c r="K2791" s="20" t="inlineStr">
        <is>
          <t>Non-Captive</t>
        </is>
      </c>
      <c r="L2791" s="20" t="inlineStr">
        <is>
          <t>CARNIVAL CARS</t>
        </is>
      </c>
      <c r="M2791" s="23" t="n">
        <v>12711.86</v>
      </c>
    </row>
    <row r="2792">
      <c r="A2792" s="19" t="inlineStr">
        <is>
          <t>FY27</t>
        </is>
      </c>
      <c r="B2792" s="19" t="inlineStr">
        <is>
          <t>Jul</t>
        </is>
      </c>
      <c r="C2792" s="19" t="inlineStr">
        <is>
          <t>Kerala</t>
        </is>
      </c>
      <c r="D2792" s="20" t="inlineStr">
        <is>
          <t>KL62B0479</t>
        </is>
      </c>
      <c r="E2792" s="20" t="inlineStr">
        <is>
          <t>MARUTI</t>
        </is>
      </c>
      <c r="F2792" s="20" t="inlineStr">
        <is>
          <t>Wagon R</t>
        </is>
      </c>
      <c r="G2792" s="21" t="n">
        <v>2014</v>
      </c>
      <c r="H2792" s="22" t="n">
        <v>48627</v>
      </c>
      <c r="I2792" s="22" t="n">
        <v>225000</v>
      </c>
      <c r="J2792" s="20" t="inlineStr">
        <is>
          <t>POPULAR MARUTI</t>
        </is>
      </c>
      <c r="K2792" s="20" t="inlineStr">
        <is>
          <t>Non-Captive</t>
        </is>
      </c>
      <c r="L2792" s="20" t="inlineStr">
        <is>
          <t>SIJO THOMAS</t>
        </is>
      </c>
      <c r="M2792" s="23" t="n">
        <v>12711.86</v>
      </c>
    </row>
    <row r="2793">
      <c r="A2793" s="19" t="inlineStr">
        <is>
          <t>FY27</t>
        </is>
      </c>
      <c r="B2793" s="19" t="inlineStr">
        <is>
          <t>Jul</t>
        </is>
      </c>
      <c r="C2793" s="19" t="inlineStr">
        <is>
          <t>Kerala</t>
        </is>
      </c>
      <c r="D2793" s="20" t="inlineStr">
        <is>
          <t>KL05X3212</t>
        </is>
      </c>
      <c r="E2793" s="20" t="inlineStr">
        <is>
          <t>MARUTI</t>
        </is>
      </c>
      <c r="F2793" s="20" t="inlineStr">
        <is>
          <t>800</t>
        </is>
      </c>
      <c r="G2793" s="21" t="n">
        <v>2006</v>
      </c>
      <c r="H2793" s="22" t="n">
        <v>139000</v>
      </c>
      <c r="I2793" s="22" t="n">
        <v>23000</v>
      </c>
      <c r="J2793" s="20" t="inlineStr">
        <is>
          <t>POPULAR MARUTI</t>
        </is>
      </c>
      <c r="K2793" s="20" t="inlineStr">
        <is>
          <t>Non-Captive</t>
        </is>
      </c>
      <c r="L2793" s="20" t="inlineStr">
        <is>
          <t>HUSSAIN O E</t>
        </is>
      </c>
      <c r="M2793" s="23" t="n">
        <v>8898.309999999999</v>
      </c>
    </row>
    <row r="2794">
      <c r="A2794" s="19" t="inlineStr">
        <is>
          <t>FY27</t>
        </is>
      </c>
      <c r="B2794" s="19" t="inlineStr">
        <is>
          <t>Jul</t>
        </is>
      </c>
      <c r="C2794" s="19" t="inlineStr">
        <is>
          <t>Kerala</t>
        </is>
      </c>
      <c r="D2794" s="20" t="inlineStr">
        <is>
          <t>KL08AL5533</t>
        </is>
      </c>
      <c r="E2794" s="20" t="inlineStr">
        <is>
          <t>HYUNDAI</t>
        </is>
      </c>
      <c r="F2794" s="20" t="inlineStr">
        <is>
          <t>Santro</t>
        </is>
      </c>
      <c r="G2794" s="21" t="n">
        <v>2006</v>
      </c>
      <c r="H2794" s="22" t="n">
        <v>145000</v>
      </c>
      <c r="I2794" s="22" t="n">
        <v>45000</v>
      </c>
      <c r="J2794" s="20" t="inlineStr">
        <is>
          <t>POPULAR MARUTI</t>
        </is>
      </c>
      <c r="K2794" s="20" t="inlineStr">
        <is>
          <t>Non-Captive</t>
        </is>
      </c>
      <c r="L2794" s="20" t="inlineStr">
        <is>
          <t>AFSAL A</t>
        </is>
      </c>
      <c r="M2794" s="23" t="n">
        <v>8474.58</v>
      </c>
    </row>
    <row r="2795">
      <c r="A2795" s="19" t="inlineStr">
        <is>
          <t>FY27</t>
        </is>
      </c>
      <c r="B2795" s="19" t="inlineStr">
        <is>
          <t>Jul</t>
        </is>
      </c>
      <c r="C2795" s="19" t="inlineStr">
        <is>
          <t>Kerala</t>
        </is>
      </c>
      <c r="D2795" s="20" t="inlineStr">
        <is>
          <t>KL16J5696</t>
        </is>
      </c>
      <c r="E2795" s="20" t="inlineStr">
        <is>
          <t>MAHINDRA</t>
        </is>
      </c>
      <c r="F2795" s="20" t="inlineStr">
        <is>
          <t>Xuv</t>
        </is>
      </c>
      <c r="G2795" s="21" t="n">
        <v>2012</v>
      </c>
      <c r="H2795" s="22" t="n">
        <v>155000</v>
      </c>
      <c r="I2795" s="22" t="n">
        <v>260000</v>
      </c>
      <c r="J2795" s="20" t="inlineStr">
        <is>
          <t>POPULAR MARUTI</t>
        </is>
      </c>
      <c r="K2795" s="20" t="inlineStr">
        <is>
          <t>Non-Captive</t>
        </is>
      </c>
      <c r="L2795" s="20" t="inlineStr">
        <is>
          <t>CARLINK</t>
        </is>
      </c>
      <c r="M2795" s="23" t="n">
        <v>8474.58</v>
      </c>
    </row>
    <row r="2796">
      <c r="A2796" s="19" t="inlineStr">
        <is>
          <t>FY27</t>
        </is>
      </c>
      <c r="B2796" s="19" t="inlineStr">
        <is>
          <t>Jul</t>
        </is>
      </c>
      <c r="C2796" s="19" t="inlineStr">
        <is>
          <t>Kerala</t>
        </is>
      </c>
      <c r="D2796" s="20" t="inlineStr">
        <is>
          <t>KL02BC5127</t>
        </is>
      </c>
      <c r="E2796" s="20" t="inlineStr">
        <is>
          <t>MARUTI</t>
        </is>
      </c>
      <c r="F2796" s="20" t="inlineStr">
        <is>
          <t>Alto</t>
        </is>
      </c>
      <c r="G2796" s="21" t="n">
        <v>2017</v>
      </c>
      <c r="H2796" s="22" t="n">
        <v>16250</v>
      </c>
      <c r="I2796" s="22" t="n">
        <v>255000</v>
      </c>
      <c r="J2796" s="20" t="inlineStr">
        <is>
          <t>INCHIEON KIA</t>
        </is>
      </c>
      <c r="K2796" s="20" t="inlineStr">
        <is>
          <t>Non-Captive</t>
        </is>
      </c>
      <c r="L2796" s="20" t="inlineStr">
        <is>
          <t>ARUN GOPI</t>
        </is>
      </c>
      <c r="M2796" s="23" t="n">
        <v>8474.58</v>
      </c>
    </row>
    <row r="2797">
      <c r="A2797" s="19" t="inlineStr">
        <is>
          <t>FY27</t>
        </is>
      </c>
      <c r="B2797" s="19" t="inlineStr">
        <is>
          <t>Jul</t>
        </is>
      </c>
      <c r="C2797" s="19" t="inlineStr">
        <is>
          <t>Kerala</t>
        </is>
      </c>
      <c r="D2797" s="20" t="inlineStr">
        <is>
          <t>KL818016</t>
        </is>
      </c>
      <c r="E2797" s="20" t="inlineStr">
        <is>
          <t>HYUNDAI</t>
        </is>
      </c>
      <c r="F2797" s="20" t="inlineStr">
        <is>
          <t>Santro</t>
        </is>
      </c>
      <c r="G2797" s="21" t="n">
        <v>2021</v>
      </c>
      <c r="H2797" s="22" t="n">
        <v>7400</v>
      </c>
      <c r="I2797" s="22" t="n">
        <v>340000</v>
      </c>
      <c r="J2797" s="20" t="inlineStr">
        <is>
          <t>LUXON TATA</t>
        </is>
      </c>
      <c r="K2797" s="20" t="inlineStr">
        <is>
          <t>Non-Captive</t>
        </is>
      </c>
      <c r="L2797" s="20" t="inlineStr">
        <is>
          <t>Hashir Sharafudeen</t>
        </is>
      </c>
      <c r="M2797" s="23" t="n">
        <v>5932.2</v>
      </c>
    </row>
    <row r="2798">
      <c r="A2798" s="19" t="inlineStr">
        <is>
          <t>FY27</t>
        </is>
      </c>
      <c r="B2798" s="19" t="inlineStr">
        <is>
          <t>Jul</t>
        </is>
      </c>
      <c r="C2798" s="19" t="inlineStr">
        <is>
          <t>Kerala</t>
        </is>
      </c>
      <c r="D2798" s="20" t="inlineStr">
        <is>
          <t>KL02AN4554</t>
        </is>
      </c>
      <c r="E2798" s="20" t="inlineStr">
        <is>
          <t>MAHINDRA</t>
        </is>
      </c>
      <c r="F2798" s="20" t="inlineStr">
        <is>
          <t>Verito</t>
        </is>
      </c>
      <c r="G2798" s="21" t="n">
        <v>2013</v>
      </c>
      <c r="H2798" s="22" t="n">
        <v>153000</v>
      </c>
      <c r="I2798" s="22" t="n">
        <v>77000</v>
      </c>
      <c r="J2798" s="20" t="inlineStr">
        <is>
          <t>LUXON TATA</t>
        </is>
      </c>
      <c r="K2798" s="20" t="inlineStr">
        <is>
          <t>Non-Captive</t>
        </is>
      </c>
      <c r="L2798" s="20" t="inlineStr">
        <is>
          <t>MUHAMMED NASIM</t>
        </is>
      </c>
      <c r="M2798" s="23" t="n">
        <v>5932.2</v>
      </c>
    </row>
    <row r="2799">
      <c r="A2799" s="19" t="inlineStr">
        <is>
          <t>FY27</t>
        </is>
      </c>
      <c r="B2799" s="19" t="inlineStr">
        <is>
          <t>Jul</t>
        </is>
      </c>
      <c r="C2799" s="19" t="inlineStr">
        <is>
          <t>Kerala</t>
        </is>
      </c>
      <c r="D2799" s="20" t="inlineStr">
        <is>
          <t>KL02AV0942</t>
        </is>
      </c>
      <c r="E2799" s="20" t="inlineStr">
        <is>
          <t>MARUTI</t>
        </is>
      </c>
      <c r="F2799" s="20" t="inlineStr">
        <is>
          <t>Swift</t>
        </is>
      </c>
      <c r="G2799" s="21" t="n">
        <v>2015</v>
      </c>
      <c r="H2799" s="22" t="n">
        <v>88000</v>
      </c>
      <c r="I2799" s="22" t="n">
        <v>320000</v>
      </c>
      <c r="J2799" s="20" t="inlineStr">
        <is>
          <t>INCHEON KIA</t>
        </is>
      </c>
      <c r="K2799" s="20" t="inlineStr">
        <is>
          <t>Non-Captive</t>
        </is>
      </c>
      <c r="L2799" s="20" t="inlineStr">
        <is>
          <t>FIROZ I</t>
        </is>
      </c>
      <c r="M2799" s="23" t="n">
        <v>5932.2</v>
      </c>
    </row>
    <row r="2800">
      <c r="A2800" s="19" t="inlineStr">
        <is>
          <t>FY27</t>
        </is>
      </c>
      <c r="B2800" s="19" t="inlineStr">
        <is>
          <t>Jul</t>
        </is>
      </c>
      <c r="C2800" s="19" t="inlineStr">
        <is>
          <t>Kerala</t>
        </is>
      </c>
      <c r="D2800" s="20" t="inlineStr">
        <is>
          <t>KL07CA9845</t>
        </is>
      </c>
      <c r="E2800" s="20" t="inlineStr">
        <is>
          <t>FORD</t>
        </is>
      </c>
      <c r="F2800" s="20" t="inlineStr">
        <is>
          <t>Ecosport</t>
        </is>
      </c>
      <c r="G2800" s="21" t="n">
        <v>2014</v>
      </c>
      <c r="H2800" s="22" t="n">
        <v>185000</v>
      </c>
      <c r="I2800" s="22" t="n">
        <v>260000</v>
      </c>
      <c r="J2800" s="20" t="inlineStr">
        <is>
          <t>POPULAR HYUNDAI</t>
        </is>
      </c>
      <c r="K2800" s="20" t="inlineStr">
        <is>
          <t>Non-Captive</t>
        </is>
      </c>
      <c r="L2800" s="20" t="inlineStr">
        <is>
          <t>HUSSAIN O E</t>
        </is>
      </c>
      <c r="M2800" s="23" t="n">
        <v>8474.58</v>
      </c>
    </row>
    <row r="2801">
      <c r="A2801" s="19" t="inlineStr">
        <is>
          <t>FY27</t>
        </is>
      </c>
      <c r="B2801" s="19" t="inlineStr">
        <is>
          <t>Jul</t>
        </is>
      </c>
      <c r="C2801" s="19" t="inlineStr">
        <is>
          <t>Kerala</t>
        </is>
      </c>
      <c r="D2801" s="20" t="inlineStr">
        <is>
          <t>KL41E6611</t>
        </is>
      </c>
      <c r="E2801" s="20" t="inlineStr">
        <is>
          <t>HYUNDAI</t>
        </is>
      </c>
      <c r="F2801" s="20" t="inlineStr">
        <is>
          <t>Eon</t>
        </is>
      </c>
      <c r="G2801" s="21" t="n">
        <v>2011</v>
      </c>
      <c r="H2801" s="22" t="n">
        <v>70845</v>
      </c>
      <c r="I2801" s="22" t="n">
        <v>85000</v>
      </c>
      <c r="J2801" s="20" t="inlineStr">
        <is>
          <t>POPULAR HYUNDAI</t>
        </is>
      </c>
      <c r="K2801" s="20" t="inlineStr">
        <is>
          <t>Non-Captive</t>
        </is>
      </c>
      <c r="L2801" s="20" t="inlineStr">
        <is>
          <t>VTJ</t>
        </is>
      </c>
      <c r="M2801" s="23" t="n">
        <v>8474.58</v>
      </c>
    </row>
    <row r="2802">
      <c r="A2802" s="19" t="inlineStr">
        <is>
          <t>FY27</t>
        </is>
      </c>
      <c r="B2802" s="19" t="inlineStr">
        <is>
          <t>Jul</t>
        </is>
      </c>
      <c r="C2802" s="19" t="inlineStr">
        <is>
          <t>Kerala</t>
        </is>
      </c>
      <c r="D2802" s="20" t="inlineStr">
        <is>
          <t>KL27L6033</t>
        </is>
      </c>
      <c r="E2802" s="20" t="inlineStr">
        <is>
          <t>MARUTI</t>
        </is>
      </c>
      <c r="F2802" s="20" t="inlineStr">
        <is>
          <t>S-Presso</t>
        </is>
      </c>
      <c r="G2802" s="21" t="n">
        <v>2022</v>
      </c>
      <c r="H2802" s="22" t="n">
        <v>58000</v>
      </c>
      <c r="I2802" s="22" t="n">
        <v>350000</v>
      </c>
      <c r="J2802" s="20" t="inlineStr">
        <is>
          <t>INCHEON KIA</t>
        </is>
      </c>
      <c r="K2802" s="20" t="inlineStr">
        <is>
          <t>Non-Captive</t>
        </is>
      </c>
      <c r="L2802" s="20" t="inlineStr">
        <is>
          <t>AUTOBOT</t>
        </is>
      </c>
      <c r="M2802" s="23" t="n">
        <v>8474.58</v>
      </c>
    </row>
    <row r="2803">
      <c r="A2803" s="19" t="inlineStr">
        <is>
          <t>FY27</t>
        </is>
      </c>
      <c r="B2803" s="19" t="inlineStr">
        <is>
          <t>Jul</t>
        </is>
      </c>
      <c r="C2803" s="19" t="inlineStr">
        <is>
          <t>Kerala</t>
        </is>
      </c>
      <c r="D2803" s="20" t="inlineStr">
        <is>
          <t>KL05AY7677</t>
        </is>
      </c>
      <c r="E2803" s="20" t="inlineStr">
        <is>
          <t>TATA</t>
        </is>
      </c>
      <c r="F2803" s="20" t="inlineStr">
        <is>
          <t>Punch</t>
        </is>
      </c>
      <c r="G2803" s="21" t="n">
        <v>2022</v>
      </c>
      <c r="H2803" s="22" t="n">
        <v>72752</v>
      </c>
      <c r="I2803" s="22" t="n">
        <v>533000</v>
      </c>
      <c r="J2803" s="20" t="inlineStr">
        <is>
          <t>DREAM DRIVE</t>
        </is>
      </c>
      <c r="K2803" s="20" t="inlineStr">
        <is>
          <t>Non-Captive</t>
        </is>
      </c>
      <c r="L2803" s="20" t="inlineStr">
        <is>
          <t>ALBIN</t>
        </is>
      </c>
      <c r="M2803" s="23" t="n">
        <v>11016.95</v>
      </c>
    </row>
    <row r="2804">
      <c r="A2804" s="19" t="inlineStr">
        <is>
          <t>FY27</t>
        </is>
      </c>
      <c r="B2804" s="19" t="inlineStr">
        <is>
          <t>Jul</t>
        </is>
      </c>
      <c r="C2804" s="19" t="inlineStr">
        <is>
          <t>Kerala</t>
        </is>
      </c>
      <c r="D2804" s="20" t="inlineStr">
        <is>
          <t>KL59H4619</t>
        </is>
      </c>
      <c r="E2804" s="20" t="inlineStr">
        <is>
          <t>HYUNDAI</t>
        </is>
      </c>
      <c r="F2804" s="20" t="inlineStr">
        <is>
          <t>I20</t>
        </is>
      </c>
      <c r="G2804" s="21" t="n">
        <v>2013</v>
      </c>
      <c r="H2804" s="22" t="n">
        <v>172000</v>
      </c>
      <c r="I2804" s="22" t="n">
        <v>215000</v>
      </c>
      <c r="J2804" s="20" t="inlineStr">
        <is>
          <t>MG KAIRALI</t>
        </is>
      </c>
      <c r="K2804" s="20" t="inlineStr">
        <is>
          <t>Non-Captive</t>
        </is>
      </c>
      <c r="L2804" s="20" t="inlineStr">
        <is>
          <t>ANSHWAL</t>
        </is>
      </c>
      <c r="M2804" s="23" t="n">
        <v>4237.29</v>
      </c>
    </row>
    <row r="2805">
      <c r="A2805" s="19" t="inlineStr">
        <is>
          <t>FY27</t>
        </is>
      </c>
      <c r="B2805" s="19" t="inlineStr">
        <is>
          <t>Jul</t>
        </is>
      </c>
      <c r="C2805" s="19" t="inlineStr">
        <is>
          <t>Kerala</t>
        </is>
      </c>
      <c r="D2805" s="20" t="inlineStr">
        <is>
          <t>KL14N8255</t>
        </is>
      </c>
      <c r="E2805" s="20" t="inlineStr">
        <is>
          <t>HONDA</t>
        </is>
      </c>
      <c r="F2805" s="20" t="inlineStr">
        <is>
          <t>Ameze</t>
        </is>
      </c>
      <c r="G2805" s="21" t="n">
        <v>2013</v>
      </c>
      <c r="H2805" s="22" t="n">
        <v>141000</v>
      </c>
      <c r="I2805" s="22" t="n">
        <v>280000</v>
      </c>
      <c r="J2805" s="20" t="inlineStr">
        <is>
          <t>KVR</t>
        </is>
      </c>
      <c r="K2805" s="20" t="inlineStr">
        <is>
          <t>Non-Captive</t>
        </is>
      </c>
      <c r="L2805" s="20" t="inlineStr">
        <is>
          <t>BIMAL</t>
        </is>
      </c>
      <c r="M2805" s="23" t="n">
        <v>8474.58</v>
      </c>
    </row>
    <row r="2806">
      <c r="A2806" s="19" t="inlineStr">
        <is>
          <t>FY27</t>
        </is>
      </c>
      <c r="B2806" s="19" t="inlineStr">
        <is>
          <t>Jul</t>
        </is>
      </c>
      <c r="C2806" s="19" t="inlineStr">
        <is>
          <t>Kerala</t>
        </is>
      </c>
      <c r="D2806" s="20" t="inlineStr">
        <is>
          <t>KL79A2987</t>
        </is>
      </c>
      <c r="E2806" s="20" t="inlineStr">
        <is>
          <t>KIA</t>
        </is>
      </c>
      <c r="F2806" s="20" t="inlineStr">
        <is>
          <t>Sonet</t>
        </is>
      </c>
      <c r="G2806" s="21" t="n">
        <v>2022</v>
      </c>
      <c r="H2806" s="22" t="n">
        <v>40000</v>
      </c>
      <c r="I2806" s="22" t="n">
        <v>645000</v>
      </c>
      <c r="J2806" s="20" t="inlineStr">
        <is>
          <t>ERAM</t>
        </is>
      </c>
      <c r="K2806" s="20" t="inlineStr">
        <is>
          <t>Non-Captive</t>
        </is>
      </c>
      <c r="L2806" s="20" t="inlineStr">
        <is>
          <t>BASHEER</t>
        </is>
      </c>
      <c r="M2806" s="23" t="n">
        <v>8474.58</v>
      </c>
    </row>
    <row r="2807">
      <c r="A2807" s="19" t="inlineStr">
        <is>
          <t>FY27</t>
        </is>
      </c>
      <c r="B2807" s="19" t="inlineStr">
        <is>
          <t>Jul</t>
        </is>
      </c>
      <c r="C2807" s="19" t="inlineStr">
        <is>
          <t>Kerala</t>
        </is>
      </c>
      <c r="D2807" s="20" t="inlineStr">
        <is>
          <t>KL600597</t>
        </is>
      </c>
      <c r="E2807" s="20" t="inlineStr">
        <is>
          <t>MAHINDRA</t>
        </is>
      </c>
      <c r="F2807" s="20" t="inlineStr">
        <is>
          <t>Scorpio</t>
        </is>
      </c>
      <c r="G2807" s="21" t="n">
        <v>2006</v>
      </c>
      <c r="H2807" s="22" t="n">
        <v>190000</v>
      </c>
      <c r="I2807" s="22" t="n">
        <v>140000</v>
      </c>
      <c r="J2807" s="20" t="inlineStr">
        <is>
          <t>UCD KAILAS</t>
        </is>
      </c>
      <c r="K2807" s="20" t="inlineStr">
        <is>
          <t>Non-Captive</t>
        </is>
      </c>
      <c r="L2807" s="20" t="inlineStr">
        <is>
          <t>MARVEL VIJIL</t>
        </is>
      </c>
      <c r="M2807" s="23" t="n">
        <v>8474.58</v>
      </c>
    </row>
    <row r="2808">
      <c r="A2808" s="19" t="inlineStr">
        <is>
          <t>FY27</t>
        </is>
      </c>
      <c r="B2808" s="19" t="inlineStr">
        <is>
          <t>Jul</t>
        </is>
      </c>
      <c r="C2808" s="19" t="inlineStr">
        <is>
          <t>Kerala</t>
        </is>
      </c>
      <c r="D2808" s="20" t="inlineStr">
        <is>
          <t>KL11AB3087</t>
        </is>
      </c>
      <c r="E2808" s="20" t="inlineStr">
        <is>
          <t>HYUNDAI</t>
        </is>
      </c>
      <c r="F2808" s="20" t="inlineStr">
        <is>
          <t>I10</t>
        </is>
      </c>
      <c r="G2808" s="21" t="n">
        <v>2008</v>
      </c>
      <c r="H2808" s="22" t="n">
        <v>68000</v>
      </c>
      <c r="I2808" s="22" t="n">
        <v>52000</v>
      </c>
      <c r="J2808" s="20" t="inlineStr">
        <is>
          <t>EVM CETREON</t>
        </is>
      </c>
      <c r="K2808" s="20" t="inlineStr">
        <is>
          <t>Non-Captive</t>
        </is>
      </c>
      <c r="L2808" s="20" t="inlineStr">
        <is>
          <t>HAMSA</t>
        </is>
      </c>
      <c r="M2808" s="23" t="n">
        <v>5932.2</v>
      </c>
    </row>
    <row r="2809">
      <c r="A2809" s="19" t="inlineStr">
        <is>
          <t>FY27</t>
        </is>
      </c>
      <c r="B2809" s="19" t="inlineStr">
        <is>
          <t>Jul</t>
        </is>
      </c>
      <c r="C2809" s="19" t="inlineStr">
        <is>
          <t>Kerala</t>
        </is>
      </c>
      <c r="D2809" s="20" t="inlineStr">
        <is>
          <t>KL41E4581</t>
        </is>
      </c>
      <c r="E2809" s="20" t="inlineStr">
        <is>
          <t>MARUTI</t>
        </is>
      </c>
      <c r="F2809" s="20" t="inlineStr">
        <is>
          <t>Alto</t>
        </is>
      </c>
      <c r="G2809" s="21" t="n">
        <v>2011</v>
      </c>
      <c r="H2809" s="22" t="n">
        <v>129000</v>
      </c>
      <c r="I2809" s="22" t="n">
        <v>50000</v>
      </c>
      <c r="J2809" s="20" t="inlineStr">
        <is>
          <t>POPULAR MARUTI</t>
        </is>
      </c>
      <c r="K2809" s="20" t="inlineStr">
        <is>
          <t>Non-Captive</t>
        </is>
      </c>
      <c r="L2809" s="20" t="inlineStr">
        <is>
          <t>JIMMY</t>
        </is>
      </c>
      <c r="M2809" s="23" t="n">
        <v>8474.58</v>
      </c>
    </row>
    <row r="2810">
      <c r="A2810" s="19" t="inlineStr">
        <is>
          <t>FY27</t>
        </is>
      </c>
      <c r="B2810" s="19" t="inlineStr">
        <is>
          <t>Jul</t>
        </is>
      </c>
      <c r="C2810" s="19" t="inlineStr">
        <is>
          <t>Kerala</t>
        </is>
      </c>
      <c r="D2810" s="20" t="inlineStr">
        <is>
          <t>KL13S0183</t>
        </is>
      </c>
      <c r="E2810" s="20" t="inlineStr">
        <is>
          <t>MARUTI</t>
        </is>
      </c>
      <c r="F2810" s="20" t="inlineStr">
        <is>
          <t>Alto</t>
        </is>
      </c>
      <c r="G2810" s="21" t="n">
        <v>2007</v>
      </c>
      <c r="H2810" s="22" t="n">
        <v>189000</v>
      </c>
      <c r="I2810" s="22" t="n">
        <v>20000</v>
      </c>
      <c r="J2810" s="20" t="inlineStr">
        <is>
          <t>POPULAR MARUTI</t>
        </is>
      </c>
      <c r="K2810" s="20" t="inlineStr">
        <is>
          <t>Non-Captive</t>
        </is>
      </c>
      <c r="L2810" s="20" t="inlineStr">
        <is>
          <t>ABDUL BASHEER</t>
        </is>
      </c>
      <c r="M2810" s="23" t="n">
        <v>8474.58</v>
      </c>
    </row>
    <row r="2811">
      <c r="A2811" s="19" t="inlineStr">
        <is>
          <t>FY27</t>
        </is>
      </c>
      <c r="B2811" s="19" t="inlineStr">
        <is>
          <t>Jul</t>
        </is>
      </c>
      <c r="C2811" s="19" t="inlineStr">
        <is>
          <t>Kerala</t>
        </is>
      </c>
      <c r="D2811" s="20" t="inlineStr">
        <is>
          <t>KL13S0524</t>
        </is>
      </c>
      <c r="E2811" s="20" t="inlineStr">
        <is>
          <t>MARUTI</t>
        </is>
      </c>
      <c r="F2811" s="20" t="inlineStr">
        <is>
          <t>Alto</t>
        </is>
      </c>
      <c r="G2811" s="21" t="n">
        <v>2007</v>
      </c>
      <c r="H2811" s="22" t="n">
        <v>45000</v>
      </c>
      <c r="I2811" s="22" t="n">
        <v>55000</v>
      </c>
      <c r="J2811" s="20" t="inlineStr">
        <is>
          <t>POPULAR MARUTI</t>
        </is>
      </c>
      <c r="K2811" s="20" t="inlineStr">
        <is>
          <t>Non-Captive</t>
        </is>
      </c>
      <c r="L2811" s="20" t="inlineStr">
        <is>
          <t>ABDUL BASHEER</t>
        </is>
      </c>
      <c r="M2811" s="23" t="n">
        <v>8474.58</v>
      </c>
    </row>
    <row r="2812">
      <c r="A2812" s="19" t="inlineStr">
        <is>
          <t>FY27</t>
        </is>
      </c>
      <c r="B2812" s="19" t="inlineStr">
        <is>
          <t>Jul</t>
        </is>
      </c>
      <c r="C2812" s="19" t="inlineStr">
        <is>
          <t>Kerala</t>
        </is>
      </c>
      <c r="D2812" s="20" t="inlineStr">
        <is>
          <t>KL33F1371</t>
        </is>
      </c>
      <c r="E2812" s="20" t="inlineStr">
        <is>
          <t>HYUNDAI</t>
        </is>
      </c>
      <c r="F2812" s="20" t="inlineStr">
        <is>
          <t>Grand I10</t>
        </is>
      </c>
      <c r="G2812" s="21" t="n">
        <v>2014</v>
      </c>
      <c r="H2812" s="22" t="n">
        <v>193543</v>
      </c>
      <c r="I2812" s="22" t="n">
        <v>162000</v>
      </c>
      <c r="J2812" s="20" t="inlineStr">
        <is>
          <t>POPULAR MARUTI</t>
        </is>
      </c>
      <c r="K2812" s="20" t="inlineStr">
        <is>
          <t>Non-Captive</t>
        </is>
      </c>
      <c r="L2812" s="20" t="inlineStr">
        <is>
          <t>SAIF RASHEED</t>
        </is>
      </c>
      <c r="M2812" s="23" t="n">
        <v>10169.49</v>
      </c>
    </row>
    <row r="2813">
      <c r="A2813" s="19" t="inlineStr">
        <is>
          <t>FY27</t>
        </is>
      </c>
      <c r="B2813" s="19" t="inlineStr">
        <is>
          <t>Jul</t>
        </is>
      </c>
      <c r="C2813" s="19" t="inlineStr">
        <is>
          <t>Kerala</t>
        </is>
      </c>
      <c r="D2813" s="20" t="inlineStr">
        <is>
          <t>KL05X8822</t>
        </is>
      </c>
      <c r="E2813" s="20" t="inlineStr">
        <is>
          <t>MARUTI</t>
        </is>
      </c>
      <c r="F2813" s="20" t="inlineStr">
        <is>
          <t>Zen Estilo</t>
        </is>
      </c>
      <c r="G2813" s="21" t="n">
        <v>2007</v>
      </c>
      <c r="H2813" s="22" t="n">
        <v>56636</v>
      </c>
      <c r="I2813" s="22" t="n">
        <v>57000</v>
      </c>
      <c r="J2813" s="20" t="inlineStr">
        <is>
          <t>POPULAR MARUTI</t>
        </is>
      </c>
      <c r="K2813" s="20" t="inlineStr">
        <is>
          <t>Non-Captive</t>
        </is>
      </c>
      <c r="L2813" s="20" t="inlineStr">
        <is>
          <t>SUDHEESH K SATHEESH</t>
        </is>
      </c>
      <c r="M2813" s="23" t="n">
        <v>10169.49</v>
      </c>
    </row>
    <row r="2814">
      <c r="A2814" s="19" t="inlineStr">
        <is>
          <t>FY27</t>
        </is>
      </c>
      <c r="B2814" s="19" t="inlineStr">
        <is>
          <t>Jul</t>
        </is>
      </c>
      <c r="C2814" s="19" t="inlineStr">
        <is>
          <t>Kerala</t>
        </is>
      </c>
      <c r="D2814" s="20" t="inlineStr">
        <is>
          <t>KL12G7850</t>
        </is>
      </c>
      <c r="E2814" s="20" t="inlineStr">
        <is>
          <t>MARUTI</t>
        </is>
      </c>
      <c r="F2814" s="20" t="inlineStr">
        <is>
          <t>Swift Desire</t>
        </is>
      </c>
      <c r="G2814" s="21" t="n">
        <v>2012</v>
      </c>
      <c r="H2814" s="22" t="n">
        <v>128976</v>
      </c>
      <c r="I2814" s="22" t="n">
        <v>230000</v>
      </c>
      <c r="J2814" s="20" t="inlineStr">
        <is>
          <t>POPULAR HUNDAI</t>
        </is>
      </c>
      <c r="K2814" s="20" t="inlineStr">
        <is>
          <t>Non-Captive</t>
        </is>
      </c>
      <c r="L2814" s="20" t="inlineStr">
        <is>
          <t>ASHARAF T A</t>
        </is>
      </c>
      <c r="M2814" s="23" t="n">
        <v>8474.58</v>
      </c>
    </row>
    <row r="2815">
      <c r="A2815" s="19" t="inlineStr">
        <is>
          <t>FY27</t>
        </is>
      </c>
      <c r="B2815" s="19" t="inlineStr">
        <is>
          <t>Jul</t>
        </is>
      </c>
      <c r="C2815" s="19" t="inlineStr">
        <is>
          <t>Kerala</t>
        </is>
      </c>
      <c r="D2815" s="20" t="inlineStr">
        <is>
          <t>KL07DA2340</t>
        </is>
      </c>
      <c r="E2815" s="20" t="inlineStr">
        <is>
          <t>HONDA</t>
        </is>
      </c>
      <c r="F2815" s="20" t="inlineStr">
        <is>
          <t>Amaze</t>
        </is>
      </c>
      <c r="G2815" s="21" t="n">
        <v>2023</v>
      </c>
      <c r="H2815" s="22" t="n">
        <v>49221</v>
      </c>
      <c r="I2815" s="22" t="n">
        <v>630000</v>
      </c>
      <c r="J2815" s="20" t="inlineStr">
        <is>
          <t>INDUS MARUTI</t>
        </is>
      </c>
      <c r="K2815" s="20" t="inlineStr">
        <is>
          <t>Non-Captive</t>
        </is>
      </c>
      <c r="L2815" s="20" t="inlineStr">
        <is>
          <t>SHAMSUDEEN C E</t>
        </is>
      </c>
      <c r="M2815" s="23" t="n">
        <v>12711.86</v>
      </c>
    </row>
    <row r="2816">
      <c r="A2816" s="19" t="inlineStr">
        <is>
          <t>FY27</t>
        </is>
      </c>
      <c r="B2816" s="19" t="inlineStr">
        <is>
          <t>Jul</t>
        </is>
      </c>
      <c r="C2816" s="19" t="inlineStr">
        <is>
          <t>Kerala</t>
        </is>
      </c>
      <c r="D2816" s="20" t="inlineStr">
        <is>
          <t>KL08AT2809</t>
        </is>
      </c>
      <c r="E2816" s="20" t="inlineStr">
        <is>
          <t>MARUTI</t>
        </is>
      </c>
      <c r="F2816" s="20" t="inlineStr">
        <is>
          <t>Wagon R</t>
        </is>
      </c>
      <c r="G2816" s="21" t="n">
        <v>2010</v>
      </c>
      <c r="H2816" s="22" t="n">
        <v>48838</v>
      </c>
      <c r="I2816" s="22" t="n">
        <v>170000</v>
      </c>
      <c r="J2816" s="20" t="inlineStr">
        <is>
          <t>POPULAR MARUTI</t>
        </is>
      </c>
      <c r="K2816" s="20" t="inlineStr">
        <is>
          <t>Non-Captive</t>
        </is>
      </c>
      <c r="L2816" s="20" t="inlineStr">
        <is>
          <t>AITO CARS</t>
        </is>
      </c>
      <c r="M2816" s="23" t="n">
        <v>8474.58</v>
      </c>
    </row>
    <row r="2817">
      <c r="A2817" s="19" t="inlineStr">
        <is>
          <t>FY27</t>
        </is>
      </c>
      <c r="B2817" s="19" t="inlineStr">
        <is>
          <t>Jul</t>
        </is>
      </c>
      <c r="C2817" s="19" t="inlineStr">
        <is>
          <t>Kerala</t>
        </is>
      </c>
      <c r="D2817" s="20" t="inlineStr">
        <is>
          <t>KL02AJ7835</t>
        </is>
      </c>
      <c r="E2817" s="20" t="inlineStr">
        <is>
          <t>HYUNDAI</t>
        </is>
      </c>
      <c r="F2817" s="20" t="inlineStr">
        <is>
          <t>I20</t>
        </is>
      </c>
      <c r="G2817" s="21" t="n">
        <v>2012</v>
      </c>
      <c r="H2817" s="22" t="n">
        <v>184000</v>
      </c>
      <c r="I2817" s="22" t="n">
        <v>130000</v>
      </c>
      <c r="J2817" s="20" t="inlineStr">
        <is>
          <t>POPULAR MARUTI</t>
        </is>
      </c>
      <c r="K2817" s="20" t="inlineStr">
        <is>
          <t>Non-Captive</t>
        </is>
      </c>
      <c r="L2817" s="20" t="inlineStr">
        <is>
          <t>AITO CARS</t>
        </is>
      </c>
      <c r="M2817" s="23" t="n">
        <v>8474.58</v>
      </c>
    </row>
    <row r="2818">
      <c r="A2818" s="19" t="inlineStr">
        <is>
          <t>FY27</t>
        </is>
      </c>
      <c r="B2818" s="19" t="inlineStr">
        <is>
          <t>Jul</t>
        </is>
      </c>
      <c r="C2818" s="19" t="inlineStr">
        <is>
          <t>Kerala</t>
        </is>
      </c>
      <c r="D2818" s="20" t="inlineStr">
        <is>
          <t>KL08AM5898</t>
        </is>
      </c>
      <c r="E2818" s="20" t="inlineStr">
        <is>
          <t>TATA</t>
        </is>
      </c>
      <c r="F2818" s="20" t="inlineStr">
        <is>
          <t>Indica</t>
        </is>
      </c>
      <c r="G2818" s="21" t="n">
        <v>2007</v>
      </c>
      <c r="H2818" s="22" t="n">
        <v>132372</v>
      </c>
      <c r="I2818" s="22" t="n">
        <v>30000</v>
      </c>
      <c r="J2818" s="20" t="inlineStr">
        <is>
          <t>POPULAR MARUTI</t>
        </is>
      </c>
      <c r="K2818" s="20" t="inlineStr">
        <is>
          <t>Non-Captive</t>
        </is>
      </c>
      <c r="L2818" s="20" t="inlineStr">
        <is>
          <t>AFSAL A(SUDHEER K H)</t>
        </is>
      </c>
      <c r="M2818" s="23" t="n">
        <v>8474.58</v>
      </c>
    </row>
    <row r="2819">
      <c r="A2819" s="19" t="inlineStr">
        <is>
          <t>FY27</t>
        </is>
      </c>
      <c r="B2819" s="19" t="inlineStr">
        <is>
          <t>Jul</t>
        </is>
      </c>
      <c r="C2819" s="19" t="inlineStr">
        <is>
          <t>Kerala</t>
        </is>
      </c>
      <c r="D2819" s="20" t="inlineStr">
        <is>
          <t>KL07AK8512</t>
        </is>
      </c>
      <c r="E2819" s="20" t="inlineStr">
        <is>
          <t>MARUTI</t>
        </is>
      </c>
      <c r="F2819" s="20" t="inlineStr">
        <is>
          <t>800</t>
        </is>
      </c>
      <c r="G2819" s="21" t="n">
        <v>2002</v>
      </c>
      <c r="H2819" s="22" t="n">
        <v>36455</v>
      </c>
      <c r="I2819" s="22" t="n">
        <v>30000</v>
      </c>
      <c r="J2819" s="20" t="inlineStr">
        <is>
          <t>POPULAR MARUTI</t>
        </is>
      </c>
      <c r="K2819" s="20" t="inlineStr">
        <is>
          <t>Non-Captive</t>
        </is>
      </c>
      <c r="L2819" s="20" t="inlineStr">
        <is>
          <t>AFSAL A(SUDHEER K H)</t>
        </is>
      </c>
      <c r="M2819" s="23" t="n">
        <v>8474.58</v>
      </c>
    </row>
    <row r="2820">
      <c r="A2820" s="19" t="inlineStr">
        <is>
          <t>FY27</t>
        </is>
      </c>
      <c r="B2820" s="19" t="inlineStr">
        <is>
          <t>Jul</t>
        </is>
      </c>
      <c r="C2820" s="19" t="inlineStr">
        <is>
          <t>Kerala</t>
        </is>
      </c>
      <c r="D2820" s="20" t="inlineStr">
        <is>
          <t>KL46J1117</t>
        </is>
      </c>
      <c r="E2820" s="20" t="inlineStr">
        <is>
          <t>NISSAN</t>
        </is>
      </c>
      <c r="F2820" s="20" t="inlineStr">
        <is>
          <t>Sunny</t>
        </is>
      </c>
      <c r="G2820" s="21" t="n">
        <v>2013</v>
      </c>
      <c r="H2820" s="22" t="n">
        <v>108371</v>
      </c>
      <c r="I2820" s="22" t="n">
        <v>160000</v>
      </c>
      <c r="J2820" s="20" t="inlineStr">
        <is>
          <t>POPULAR MARUTI</t>
        </is>
      </c>
      <c r="K2820" s="20" t="inlineStr">
        <is>
          <t>Non-Captive</t>
        </is>
      </c>
      <c r="L2820" s="20" t="inlineStr">
        <is>
          <t>AITO CARS</t>
        </is>
      </c>
      <c r="M2820" s="23" t="n">
        <v>8474.58</v>
      </c>
    </row>
    <row r="2821">
      <c r="A2821" s="19" t="inlineStr">
        <is>
          <t>FY27</t>
        </is>
      </c>
      <c r="B2821" s="19" t="inlineStr">
        <is>
          <t>Jul</t>
        </is>
      </c>
      <c r="C2821" s="19" t="inlineStr">
        <is>
          <t>Kerala</t>
        </is>
      </c>
      <c r="D2821" s="20" t="inlineStr">
        <is>
          <t>KL32D3062</t>
        </is>
      </c>
      <c r="E2821" s="20" t="inlineStr">
        <is>
          <t>MARUTI</t>
        </is>
      </c>
      <c r="F2821" s="20" t="inlineStr">
        <is>
          <t>Alto</t>
        </is>
      </c>
      <c r="G2821" s="21" t="n">
        <v>2012</v>
      </c>
      <c r="H2821" s="22" t="n">
        <v>10533</v>
      </c>
      <c r="I2821" s="22" t="n">
        <v>50000</v>
      </c>
      <c r="J2821" s="20" t="inlineStr">
        <is>
          <t>POPULAR MARUTI</t>
        </is>
      </c>
      <c r="K2821" s="20" t="inlineStr">
        <is>
          <t>Non-Captive</t>
        </is>
      </c>
      <c r="L2821" s="20" t="inlineStr">
        <is>
          <t>HUSSAIN O E</t>
        </is>
      </c>
      <c r="M2821" s="23" t="n">
        <v>11016.95</v>
      </c>
    </row>
    <row r="2822">
      <c r="A2822" s="19" t="inlineStr">
        <is>
          <t>FY27</t>
        </is>
      </c>
      <c r="B2822" s="19" t="inlineStr">
        <is>
          <t>Jul</t>
        </is>
      </c>
      <c r="C2822" s="19" t="inlineStr">
        <is>
          <t>Kerala</t>
        </is>
      </c>
      <c r="D2822" s="20" t="inlineStr">
        <is>
          <t>KL01CE2488</t>
        </is>
      </c>
      <c r="E2822" s="20" t="inlineStr">
        <is>
          <t>HYUNDAI</t>
        </is>
      </c>
      <c r="F2822" s="20" t="inlineStr">
        <is>
          <t>I 10</t>
        </is>
      </c>
      <c r="G2822" s="21" t="n">
        <v>2014</v>
      </c>
      <c r="H2822" s="22" t="n">
        <v>84000</v>
      </c>
      <c r="I2822" s="22" t="n">
        <v>138000</v>
      </c>
      <c r="J2822" s="20" t="inlineStr">
        <is>
          <t>PINNACLE NISSAN</t>
        </is>
      </c>
      <c r="K2822" s="20" t="inlineStr">
        <is>
          <t>Non-Captive</t>
        </is>
      </c>
      <c r="L2822" s="20" t="inlineStr">
        <is>
          <t>SHAHAR</t>
        </is>
      </c>
      <c r="M2822" s="23" t="n">
        <v>6779.66</v>
      </c>
    </row>
    <row r="2823">
      <c r="A2823" s="19" t="inlineStr">
        <is>
          <t>FY27</t>
        </is>
      </c>
      <c r="B2823" s="19" t="inlineStr">
        <is>
          <t>Jul</t>
        </is>
      </c>
      <c r="C2823" s="19" t="inlineStr">
        <is>
          <t>Kerala</t>
        </is>
      </c>
      <c r="D2823" s="20" t="inlineStr">
        <is>
          <t>KL64L7129</t>
        </is>
      </c>
      <c r="E2823" s="20" t="inlineStr">
        <is>
          <t>KIA</t>
        </is>
      </c>
      <c r="F2823" s="20" t="inlineStr">
        <is>
          <t>Carens</t>
        </is>
      </c>
      <c r="G2823" s="21" t="n">
        <v>2023</v>
      </c>
      <c r="H2823" s="22" t="n">
        <v>27719</v>
      </c>
      <c r="I2823" s="22" t="n">
        <v>832000</v>
      </c>
      <c r="J2823" s="20" t="inlineStr">
        <is>
          <t>JOHNS HONDA CARS</t>
        </is>
      </c>
      <c r="K2823" s="20" t="inlineStr">
        <is>
          <t>Non-Captive</t>
        </is>
      </c>
      <c r="L2823" s="20" t="inlineStr">
        <is>
          <t>KAPS CARS</t>
        </is>
      </c>
      <c r="M2823" s="23" t="n">
        <v>10169.49</v>
      </c>
    </row>
    <row r="2824">
      <c r="A2824" s="19" t="inlineStr">
        <is>
          <t>FY27</t>
        </is>
      </c>
      <c r="B2824" s="19" t="inlineStr">
        <is>
          <t>Jul</t>
        </is>
      </c>
      <c r="C2824" s="19" t="inlineStr">
        <is>
          <t>Kerala</t>
        </is>
      </c>
      <c r="D2824" s="20" t="inlineStr">
        <is>
          <t>KL34H0873</t>
        </is>
      </c>
      <c r="E2824" s="20" t="inlineStr">
        <is>
          <t>HYUNDAI</t>
        </is>
      </c>
      <c r="F2824" s="20" t="inlineStr">
        <is>
          <t>Santro</t>
        </is>
      </c>
      <c r="G2824" s="21" t="n">
        <v>2022</v>
      </c>
      <c r="H2824" s="22" t="n">
        <v>12987</v>
      </c>
      <c r="I2824" s="22" t="n">
        <v>350000</v>
      </c>
      <c r="J2824" s="20" t="inlineStr">
        <is>
          <t>EVM NISSAN</t>
        </is>
      </c>
      <c r="K2824" s="20" t="inlineStr">
        <is>
          <t>Non-Captive</t>
        </is>
      </c>
      <c r="L2824" s="20" t="inlineStr">
        <is>
          <t>DREAM DRIVE</t>
        </is>
      </c>
      <c r="M2824" s="23" t="n">
        <v>8474.58</v>
      </c>
    </row>
    <row r="2825">
      <c r="A2825" s="19" t="inlineStr">
        <is>
          <t>FY27</t>
        </is>
      </c>
      <c r="B2825" s="19" t="inlineStr">
        <is>
          <t>Jul</t>
        </is>
      </c>
      <c r="C2825" s="19" t="inlineStr">
        <is>
          <t>Kerala</t>
        </is>
      </c>
      <c r="D2825" s="20" t="inlineStr">
        <is>
          <t>KL31M1598</t>
        </is>
      </c>
      <c r="E2825" s="20" t="inlineStr">
        <is>
          <t>MARUTI</t>
        </is>
      </c>
      <c r="F2825" s="20" t="inlineStr">
        <is>
          <t>Wagon R</t>
        </is>
      </c>
      <c r="G2825" s="21" t="n">
        <v>2018</v>
      </c>
      <c r="H2825" s="22" t="n">
        <v>48000</v>
      </c>
      <c r="I2825" s="22" t="n">
        <v>345000</v>
      </c>
      <c r="J2825" s="20" t="inlineStr">
        <is>
          <t>JISHNU PRIYAN</t>
        </is>
      </c>
      <c r="K2825" s="20" t="inlineStr">
        <is>
          <t>Non-Captive</t>
        </is>
      </c>
      <c r="L2825" s="20" t="inlineStr">
        <is>
          <t>AITO CARS</t>
        </is>
      </c>
      <c r="M2825" s="23" t="n">
        <v>8474.58</v>
      </c>
    </row>
    <row r="2826">
      <c r="A2826" s="19" t="inlineStr">
        <is>
          <t>FY27</t>
        </is>
      </c>
      <c r="B2826" s="19" t="inlineStr">
        <is>
          <t>Jul</t>
        </is>
      </c>
      <c r="C2826" s="19" t="inlineStr">
        <is>
          <t>Kerala</t>
        </is>
      </c>
      <c r="D2826" s="20" t="inlineStr">
        <is>
          <t>KL67A9510</t>
        </is>
      </c>
      <c r="E2826" s="20" t="inlineStr">
        <is>
          <t>RENAULT</t>
        </is>
      </c>
      <c r="F2826" s="20" t="inlineStr">
        <is>
          <t>Kwid</t>
        </is>
      </c>
      <c r="G2826" s="21" t="n">
        <v>2017</v>
      </c>
      <c r="H2826" s="22" t="n">
        <v>59000</v>
      </c>
      <c r="I2826" s="22" t="n">
        <v>230000</v>
      </c>
      <c r="J2826" s="20" t="inlineStr">
        <is>
          <t>KESHVIN HYUNDAI</t>
        </is>
      </c>
      <c r="K2826" s="20" t="inlineStr">
        <is>
          <t>Non-Captive</t>
        </is>
      </c>
      <c r="L2826" s="20" t="inlineStr">
        <is>
          <t>ABDUL SALAM K K</t>
        </is>
      </c>
      <c r="M2826" s="23" t="n">
        <v>8474.58</v>
      </c>
    </row>
    <row r="2827">
      <c r="A2827" s="19" t="inlineStr">
        <is>
          <t>FY27</t>
        </is>
      </c>
      <c r="B2827" s="19" t="inlineStr">
        <is>
          <t>Jul</t>
        </is>
      </c>
      <c r="C2827" s="19" t="inlineStr">
        <is>
          <t>Kerala</t>
        </is>
      </c>
      <c r="D2827" s="20" t="inlineStr">
        <is>
          <t>KL45R5121</t>
        </is>
      </c>
      <c r="E2827" s="20" t="inlineStr">
        <is>
          <t>TATA</t>
        </is>
      </c>
      <c r="F2827" s="20" t="inlineStr">
        <is>
          <t>Tiago</t>
        </is>
      </c>
      <c r="G2827" s="21" t="n">
        <v>2018</v>
      </c>
      <c r="H2827" s="22" t="n">
        <v>72000</v>
      </c>
      <c r="I2827" s="22" t="n">
        <v>305000</v>
      </c>
      <c r="J2827" s="20" t="inlineStr">
        <is>
          <t>ERAM MOTORS</t>
        </is>
      </c>
      <c r="K2827" s="20" t="inlineStr">
        <is>
          <t>Non-Captive</t>
        </is>
      </c>
      <c r="L2827" s="20" t="inlineStr">
        <is>
          <t>JAMSHEER</t>
        </is>
      </c>
      <c r="M2827" s="23" t="n">
        <v>8474.58</v>
      </c>
    </row>
    <row r="2828">
      <c r="A2828" s="19" t="inlineStr">
        <is>
          <t>FY27</t>
        </is>
      </c>
      <c r="B2828" s="19" t="inlineStr">
        <is>
          <t>Jul</t>
        </is>
      </c>
      <c r="C2828" s="19" t="inlineStr">
        <is>
          <t>Kerala</t>
        </is>
      </c>
      <c r="D2828" s="20" t="inlineStr">
        <is>
          <t>KL07CV0988</t>
        </is>
      </c>
      <c r="E2828" s="20" t="inlineStr">
        <is>
          <t>TATA</t>
        </is>
      </c>
      <c r="F2828" s="20" t="inlineStr">
        <is>
          <t>1112</t>
        </is>
      </c>
      <c r="G2828" s="21" t="n">
        <v>2020</v>
      </c>
      <c r="H2828" s="22" t="n">
        <v>360000</v>
      </c>
      <c r="I2828" s="22" t="n">
        <v>607000</v>
      </c>
      <c r="J2828" s="20" t="inlineStr">
        <is>
          <t>ANWAR SADATH</t>
        </is>
      </c>
      <c r="K2828" s="20" t="inlineStr">
        <is>
          <t>Non-Captive</t>
        </is>
      </c>
      <c r="L2828" s="20" t="inlineStr">
        <is>
          <t>ALI .HAPPY DRIVE</t>
        </is>
      </c>
      <c r="M2828" s="23" t="n">
        <v>5932.2</v>
      </c>
    </row>
    <row r="2829">
      <c r="A2829" s="19" t="inlineStr">
        <is>
          <t>FY27</t>
        </is>
      </c>
      <c r="B2829" s="19" t="inlineStr">
        <is>
          <t>Jul</t>
        </is>
      </c>
      <c r="C2829" s="19" t="inlineStr">
        <is>
          <t>Kerala</t>
        </is>
      </c>
      <c r="D2829" s="20" t="inlineStr">
        <is>
          <t>KL05X2433</t>
        </is>
      </c>
      <c r="E2829" s="20" t="inlineStr">
        <is>
          <t>HYUNDAI</t>
        </is>
      </c>
      <c r="F2829" s="20" t="inlineStr">
        <is>
          <t>Santro</t>
        </is>
      </c>
      <c r="G2829" s="21" t="n">
        <v>2006</v>
      </c>
      <c r="H2829" s="22" t="n">
        <v>139779</v>
      </c>
      <c r="I2829" s="22" t="n">
        <v>27000</v>
      </c>
      <c r="J2829" s="20" t="inlineStr">
        <is>
          <t>KUNJU MOIDEEN</t>
        </is>
      </c>
      <c r="K2829" s="20" t="inlineStr">
        <is>
          <t>Non-Captive</t>
        </is>
      </c>
      <c r="L2829" s="20" t="inlineStr">
        <is>
          <t>ANAS HAMEEDKUTTY</t>
        </is>
      </c>
      <c r="M2829" s="23" t="n">
        <v>10169.49</v>
      </c>
    </row>
    <row r="2830">
      <c r="A2830" s="19" t="inlineStr">
        <is>
          <t>FY27</t>
        </is>
      </c>
      <c r="B2830" s="19" t="inlineStr">
        <is>
          <t>Jul</t>
        </is>
      </c>
      <c r="C2830" s="19" t="inlineStr">
        <is>
          <t>Kerala</t>
        </is>
      </c>
      <c r="D2830" s="20" t="inlineStr">
        <is>
          <t>KL08AN2830</t>
        </is>
      </c>
      <c r="E2830" s="20" t="inlineStr">
        <is>
          <t>MARUTI</t>
        </is>
      </c>
      <c r="F2830" s="20" t="inlineStr">
        <is>
          <t>Wagonr</t>
        </is>
      </c>
      <c r="G2830" s="21" t="n">
        <v>2007</v>
      </c>
      <c r="H2830" s="22" t="n">
        <v>119687</v>
      </c>
      <c r="I2830" s="22" t="n">
        <v>60000</v>
      </c>
      <c r="J2830" s="20" t="inlineStr">
        <is>
          <t>POPULAR MARUTI</t>
        </is>
      </c>
      <c r="K2830" s="20" t="inlineStr">
        <is>
          <t>Non-Captive</t>
        </is>
      </c>
      <c r="L2830" s="20" t="inlineStr">
        <is>
          <t>FATHIMA HUSSAIN</t>
        </is>
      </c>
      <c r="M2830" s="23" t="n">
        <v>8474.58</v>
      </c>
    </row>
    <row r="2831">
      <c r="A2831" s="19" t="inlineStr">
        <is>
          <t>FY27</t>
        </is>
      </c>
      <c r="B2831" s="19" t="inlineStr">
        <is>
          <t>Jul</t>
        </is>
      </c>
      <c r="C2831" s="19" t="inlineStr">
        <is>
          <t>Kerala</t>
        </is>
      </c>
      <c r="D2831" s="20" t="inlineStr">
        <is>
          <t>KL45C1124</t>
        </is>
      </c>
      <c r="E2831" s="20" t="inlineStr">
        <is>
          <t>HYUNDAI</t>
        </is>
      </c>
      <c r="F2831" s="20" t="inlineStr">
        <is>
          <t>I 10</t>
        </is>
      </c>
      <c r="G2831" s="21" t="n">
        <v>2008</v>
      </c>
      <c r="H2831" s="22" t="n">
        <v>140000</v>
      </c>
      <c r="I2831" s="22" t="n">
        <v>55000</v>
      </c>
      <c r="J2831" s="20" t="inlineStr">
        <is>
          <t>RATHEESH</t>
        </is>
      </c>
      <c r="K2831" s="20" t="inlineStr">
        <is>
          <t>Non-Captive</t>
        </is>
      </c>
      <c r="L2831" s="20" t="inlineStr">
        <is>
          <t>SANTHOSH</t>
        </is>
      </c>
      <c r="M2831" s="23" t="n">
        <v>4237.29</v>
      </c>
    </row>
    <row r="2832">
      <c r="A2832" s="19" t="inlineStr">
        <is>
          <t>FY27</t>
        </is>
      </c>
      <c r="B2832" s="19" t="inlineStr">
        <is>
          <t>Jul</t>
        </is>
      </c>
      <c r="C2832" s="19" t="inlineStr">
        <is>
          <t>Kerala</t>
        </is>
      </c>
      <c r="D2832" s="20" t="inlineStr">
        <is>
          <t>KL60L7575</t>
        </is>
      </c>
      <c r="E2832" s="20" t="inlineStr">
        <is>
          <t>HONDA</t>
        </is>
      </c>
      <c r="F2832" s="20" t="inlineStr">
        <is>
          <t>Brv</t>
        </is>
      </c>
      <c r="G2832" s="21" t="n">
        <v>2016</v>
      </c>
      <c r="H2832" s="22" t="n">
        <v>112000</v>
      </c>
      <c r="I2832" s="22" t="n">
        <v>520000</v>
      </c>
      <c r="J2832" s="20" t="inlineStr">
        <is>
          <t>ERAM MAHINDRA</t>
        </is>
      </c>
      <c r="K2832" s="20" t="inlineStr">
        <is>
          <t>Non-Captive</t>
        </is>
      </c>
      <c r="L2832" s="20" t="inlineStr">
        <is>
          <t>HARIS</t>
        </is>
      </c>
      <c r="M2832" s="23" t="n">
        <v>8474.58</v>
      </c>
    </row>
    <row r="2833">
      <c r="A2833" s="19" t="inlineStr">
        <is>
          <t>FY27</t>
        </is>
      </c>
      <c r="B2833" s="19" t="inlineStr">
        <is>
          <t>Jul</t>
        </is>
      </c>
      <c r="C2833" s="19" t="inlineStr">
        <is>
          <t>Kerala</t>
        </is>
      </c>
      <c r="D2833" s="20" t="inlineStr">
        <is>
          <t>KL22M3049</t>
        </is>
      </c>
      <c r="E2833" s="20" t="inlineStr">
        <is>
          <t>MAHINDRA</t>
        </is>
      </c>
      <c r="F2833" s="20" t="inlineStr">
        <is>
          <t>Kuv</t>
        </is>
      </c>
      <c r="G2833" s="21" t="n">
        <v>2018</v>
      </c>
      <c r="H2833" s="22" t="n">
        <v>122500</v>
      </c>
      <c r="I2833" s="22" t="n">
        <v>195000</v>
      </c>
      <c r="J2833" s="20" t="inlineStr">
        <is>
          <t>MAXXMOTORS</t>
        </is>
      </c>
      <c r="K2833" s="20" t="inlineStr">
        <is>
          <t>Non-Captive</t>
        </is>
      </c>
      <c r="L2833" s="20" t="inlineStr">
        <is>
          <t>SANTHOSH</t>
        </is>
      </c>
      <c r="M2833" s="23" t="n">
        <v>4237.29</v>
      </c>
    </row>
    <row r="2834">
      <c r="A2834" s="19" t="inlineStr">
        <is>
          <t>FY27</t>
        </is>
      </c>
      <c r="B2834" s="19" t="inlineStr">
        <is>
          <t>Jul</t>
        </is>
      </c>
      <c r="C2834" s="19" t="inlineStr">
        <is>
          <t>Kerala</t>
        </is>
      </c>
      <c r="D2834" s="20" t="inlineStr">
        <is>
          <t>KL21F5587</t>
        </is>
      </c>
      <c r="E2834" s="20" t="inlineStr">
        <is>
          <t>MARUTI</t>
        </is>
      </c>
      <c r="F2834" s="20" t="inlineStr">
        <is>
          <t>K 10</t>
        </is>
      </c>
      <c r="G2834" s="21" t="n">
        <v>2012</v>
      </c>
      <c r="H2834" s="22" t="n">
        <v>58200</v>
      </c>
      <c r="I2834" s="22" t="n">
        <v>108000</v>
      </c>
      <c r="J2834" s="20" t="inlineStr">
        <is>
          <t>POPULAR MARUTI</t>
        </is>
      </c>
      <c r="K2834" s="20" t="inlineStr">
        <is>
          <t>Non-Captive</t>
        </is>
      </c>
      <c r="L2834" s="20" t="inlineStr">
        <is>
          <t>GS USED CAR</t>
        </is>
      </c>
      <c r="M2834" s="23" t="n">
        <v>6779.66</v>
      </c>
    </row>
    <row r="2835">
      <c r="A2835" s="19" t="inlineStr">
        <is>
          <t>FY27</t>
        </is>
      </c>
      <c r="B2835" s="19" t="inlineStr">
        <is>
          <t>Jul</t>
        </is>
      </c>
      <c r="C2835" s="19" t="inlineStr">
        <is>
          <t>Kerala</t>
        </is>
      </c>
      <c r="D2835" s="20" t="inlineStr">
        <is>
          <t>KL14R0721</t>
        </is>
      </c>
      <c r="E2835" s="20" t="inlineStr">
        <is>
          <t>MARUTI</t>
        </is>
      </c>
      <c r="F2835" s="20" t="inlineStr">
        <is>
          <t>Altok10</t>
        </is>
      </c>
      <c r="G2835" s="21" t="n">
        <v>2015</v>
      </c>
      <c r="H2835" s="22" t="n">
        <v>70000</v>
      </c>
      <c r="I2835" s="22" t="n">
        <v>170000</v>
      </c>
      <c r="J2835" s="20" t="inlineStr">
        <is>
          <t>POPULAR MARUTI</t>
        </is>
      </c>
      <c r="K2835" s="20" t="inlineStr">
        <is>
          <t>Non-Captive</t>
        </is>
      </c>
      <c r="L2835" s="20" t="inlineStr">
        <is>
          <t>Muhammed Ashique K</t>
        </is>
      </c>
      <c r="M2835" s="23" t="n">
        <v>8474.58</v>
      </c>
    </row>
    <row r="2836">
      <c r="A2836" s="19" t="inlineStr">
        <is>
          <t>FY27</t>
        </is>
      </c>
      <c r="B2836" s="19" t="inlineStr">
        <is>
          <t>Jul</t>
        </is>
      </c>
      <c r="C2836" s="19" t="inlineStr">
        <is>
          <t>Kerala</t>
        </is>
      </c>
      <c r="D2836" s="20" t="inlineStr">
        <is>
          <t>KL21D2962</t>
        </is>
      </c>
      <c r="E2836" s="20" t="inlineStr">
        <is>
          <t>MARUTI</t>
        </is>
      </c>
      <c r="F2836" s="20" t="inlineStr">
        <is>
          <t>Altok10</t>
        </is>
      </c>
      <c r="G2836" s="21" t="n">
        <v>2011</v>
      </c>
      <c r="H2836" s="22" t="n">
        <v>108000</v>
      </c>
      <c r="I2836" s="22" t="n">
        <v>92000</v>
      </c>
      <c r="J2836" s="20" t="inlineStr">
        <is>
          <t>POPULAR MARUTI</t>
        </is>
      </c>
      <c r="K2836" s="20" t="inlineStr">
        <is>
          <t>Non-Captive</t>
        </is>
      </c>
      <c r="L2836" s="20" t="inlineStr">
        <is>
          <t>GS USED CAR</t>
        </is>
      </c>
      <c r="M2836" s="23" t="n">
        <v>5932.2</v>
      </c>
    </row>
    <row r="2837">
      <c r="A2837" s="19" t="inlineStr">
        <is>
          <t>FY27</t>
        </is>
      </c>
      <c r="B2837" s="19" t="inlineStr">
        <is>
          <t>Jul</t>
        </is>
      </c>
      <c r="C2837" s="19" t="inlineStr">
        <is>
          <t>Kerala</t>
        </is>
      </c>
      <c r="D2837" s="20" t="inlineStr">
        <is>
          <t>KL26L9267</t>
        </is>
      </c>
      <c r="E2837" s="20" t="inlineStr">
        <is>
          <t>MARUTI</t>
        </is>
      </c>
      <c r="F2837" s="20" t="inlineStr">
        <is>
          <t>Alto</t>
        </is>
      </c>
      <c r="G2837" s="21" t="n">
        <v>2021</v>
      </c>
      <c r="H2837" s="22" t="n">
        <v>43000</v>
      </c>
      <c r="I2837" s="22" t="n">
        <v>324000</v>
      </c>
      <c r="J2837" s="20" t="inlineStr">
        <is>
          <t>BIMAL</t>
        </is>
      </c>
      <c r="K2837" s="20" t="inlineStr">
        <is>
          <t>Non-Captive</t>
        </is>
      </c>
      <c r="L2837" s="20" t="inlineStr">
        <is>
          <t>ANEESH</t>
        </is>
      </c>
      <c r="M2837" s="23" t="n">
        <v>8474.58</v>
      </c>
    </row>
    <row r="2838">
      <c r="A2838" s="19" t="inlineStr">
        <is>
          <t>FY27</t>
        </is>
      </c>
      <c r="B2838" s="19" t="inlineStr">
        <is>
          <t>Jul</t>
        </is>
      </c>
      <c r="C2838" s="19" t="inlineStr">
        <is>
          <t>Kerala</t>
        </is>
      </c>
      <c r="D2838" s="20" t="inlineStr">
        <is>
          <t>KL205359</t>
        </is>
      </c>
      <c r="E2838" s="20" t="inlineStr">
        <is>
          <t>MARUTI</t>
        </is>
      </c>
      <c r="F2838" s="20" t="inlineStr">
        <is>
          <t>Alto Std</t>
        </is>
      </c>
      <c r="G2838" s="21" t="n">
        <v>2007</v>
      </c>
      <c r="H2838" s="22" t="n">
        <v>110000</v>
      </c>
      <c r="I2838" s="22" t="n">
        <v>25000</v>
      </c>
      <c r="J2838" s="20" t="inlineStr">
        <is>
          <t>POPULAR MARUTI</t>
        </is>
      </c>
      <c r="K2838" s="20" t="inlineStr">
        <is>
          <t>Non-Captive</t>
        </is>
      </c>
      <c r="L2838" s="20" t="inlineStr">
        <is>
          <t>PRAJOD</t>
        </is>
      </c>
      <c r="M2838" s="23" t="n">
        <v>4237.29</v>
      </c>
    </row>
    <row r="2839">
      <c r="A2839" s="19" t="inlineStr">
        <is>
          <t>FY27</t>
        </is>
      </c>
      <c r="B2839" s="19" t="inlineStr">
        <is>
          <t>Jul</t>
        </is>
      </c>
      <c r="C2839" s="19" t="inlineStr">
        <is>
          <t>Kerala</t>
        </is>
      </c>
      <c r="D2839" s="20" t="inlineStr">
        <is>
          <t>KL10AA2775</t>
        </is>
      </c>
      <c r="E2839" s="20" t="inlineStr">
        <is>
          <t>MARUTI</t>
        </is>
      </c>
      <c r="F2839" s="20" t="inlineStr">
        <is>
          <t>M800</t>
        </is>
      </c>
      <c r="G2839" s="21" t="n">
        <v>2007</v>
      </c>
      <c r="H2839" s="22" t="n">
        <v>200000</v>
      </c>
      <c r="I2839" s="22" t="n">
        <v>14000</v>
      </c>
      <c r="J2839" s="20" t="inlineStr">
        <is>
          <t>POPULAR MARUTI</t>
        </is>
      </c>
      <c r="K2839" s="20" t="inlineStr">
        <is>
          <t>Non-Captive</t>
        </is>
      </c>
      <c r="L2839" s="20" t="inlineStr">
        <is>
          <t>AUTOTRUST</t>
        </is>
      </c>
      <c r="M2839" s="23" t="n">
        <v>5084.75</v>
      </c>
    </row>
    <row r="2840">
      <c r="A2840" s="19" t="inlineStr">
        <is>
          <t>FY27</t>
        </is>
      </c>
      <c r="B2840" s="19" t="inlineStr">
        <is>
          <t>Jul</t>
        </is>
      </c>
      <c r="C2840" s="19" t="inlineStr">
        <is>
          <t>Kerala</t>
        </is>
      </c>
      <c r="D2840" s="20" t="inlineStr">
        <is>
          <t>KL60E1603</t>
        </is>
      </c>
      <c r="E2840" s="20" t="inlineStr">
        <is>
          <t>HYUNDAI</t>
        </is>
      </c>
      <c r="F2840" s="20" t="inlineStr">
        <is>
          <t>Eon</t>
        </is>
      </c>
      <c r="G2840" s="21" t="n">
        <v>2012</v>
      </c>
      <c r="H2840" s="22" t="n">
        <v>76000</v>
      </c>
      <c r="I2840" s="22" t="n">
        <v>91000</v>
      </c>
      <c r="J2840" s="20" t="inlineStr">
        <is>
          <t>UCD FARIS</t>
        </is>
      </c>
      <c r="K2840" s="20" t="inlineStr">
        <is>
          <t>Non-Captive</t>
        </is>
      </c>
      <c r="L2840" s="20" t="inlineStr">
        <is>
          <t>Muhammed Vasil MK</t>
        </is>
      </c>
      <c r="M2840" s="23" t="n">
        <v>5084.75</v>
      </c>
    </row>
    <row r="2841">
      <c r="A2841" s="19" t="inlineStr">
        <is>
          <t>FY27</t>
        </is>
      </c>
      <c r="B2841" s="19" t="inlineStr">
        <is>
          <t>Jul</t>
        </is>
      </c>
      <c r="C2841" s="19" t="inlineStr">
        <is>
          <t>Kerala</t>
        </is>
      </c>
      <c r="D2841" s="20" t="inlineStr">
        <is>
          <t>KL59G3350</t>
        </is>
      </c>
      <c r="E2841" s="20" t="inlineStr">
        <is>
          <t>MARUTI</t>
        </is>
      </c>
      <c r="F2841" s="20" t="inlineStr">
        <is>
          <t>Ertiga</t>
        </is>
      </c>
      <c r="G2841" s="21" t="n">
        <v>2013</v>
      </c>
      <c r="H2841" s="22" t="n">
        <v>149000</v>
      </c>
      <c r="I2841" s="22" t="n">
        <v>305000</v>
      </c>
      <c r="J2841" s="20" t="inlineStr">
        <is>
          <t>MARVEL CARS</t>
        </is>
      </c>
      <c r="K2841" s="20" t="inlineStr">
        <is>
          <t>Non-Captive</t>
        </is>
      </c>
      <c r="L2841" s="20" t="inlineStr">
        <is>
          <t>SOORAJ POPULAR CARS</t>
        </is>
      </c>
      <c r="M2841" s="23" t="n">
        <v>8474.58</v>
      </c>
    </row>
    <row r="2842">
      <c r="A2842" s="19" t="inlineStr">
        <is>
          <t>FY27</t>
        </is>
      </c>
      <c r="B2842" s="19" t="inlineStr">
        <is>
          <t>Jul</t>
        </is>
      </c>
      <c r="C2842" s="19" t="inlineStr">
        <is>
          <t>Kerala</t>
        </is>
      </c>
      <c r="D2842" s="20" t="inlineStr">
        <is>
          <t>KL24V2533</t>
        </is>
      </c>
      <c r="E2842" s="20" t="inlineStr">
        <is>
          <t>VW</t>
        </is>
      </c>
      <c r="F2842" s="20" t="inlineStr">
        <is>
          <t>Taigun</t>
        </is>
      </c>
      <c r="G2842" s="21" t="n">
        <v>2021</v>
      </c>
      <c r="H2842" s="22" t="n">
        <v>74232</v>
      </c>
      <c r="I2842" s="22" t="n">
        <v>745000</v>
      </c>
      <c r="J2842" s="20" t="inlineStr">
        <is>
          <t>POPULAR MAHINDRA</t>
        </is>
      </c>
      <c r="K2842" s="20" t="inlineStr">
        <is>
          <t>Non-Captive</t>
        </is>
      </c>
      <c r="L2842" s="20" t="inlineStr">
        <is>
          <t>SANOOB VA</t>
        </is>
      </c>
      <c r="M2842" s="23" t="n">
        <v>8474.58</v>
      </c>
    </row>
    <row r="2843">
      <c r="A2843" s="19" t="inlineStr">
        <is>
          <t>FY27</t>
        </is>
      </c>
      <c r="B2843" s="19" t="inlineStr">
        <is>
          <t>Jul</t>
        </is>
      </c>
      <c r="C2843" s="19" t="inlineStr">
        <is>
          <t>Kerala</t>
        </is>
      </c>
      <c r="D2843" s="20" t="inlineStr">
        <is>
          <t>KL16H8433</t>
        </is>
      </c>
      <c r="E2843" s="20" t="inlineStr">
        <is>
          <t>MARUTI</t>
        </is>
      </c>
      <c r="F2843" s="20" t="inlineStr">
        <is>
          <t>Alto</t>
        </is>
      </c>
      <c r="G2843" s="21" t="n">
        <v>2012</v>
      </c>
      <c r="H2843" s="22" t="n">
        <v>70765</v>
      </c>
      <c r="I2843" s="22" t="n">
        <v>78000</v>
      </c>
      <c r="J2843" s="20" t="inlineStr">
        <is>
          <t>LUXON TATA</t>
        </is>
      </c>
      <c r="K2843" s="20" t="inlineStr">
        <is>
          <t>Non-Captive</t>
        </is>
      </c>
      <c r="L2843" s="20" t="inlineStr">
        <is>
          <t>ATHUL RAJ</t>
        </is>
      </c>
      <c r="M2843" s="23" t="n">
        <v>6779.66</v>
      </c>
    </row>
    <row r="2844">
      <c r="A2844" s="19" t="inlineStr">
        <is>
          <t>FY27</t>
        </is>
      </c>
      <c r="B2844" s="19" t="inlineStr">
        <is>
          <t>Jul</t>
        </is>
      </c>
      <c r="C2844" s="19" t="inlineStr">
        <is>
          <t>Kerala</t>
        </is>
      </c>
      <c r="D2844" s="20" t="inlineStr">
        <is>
          <t>KL02BK7349</t>
        </is>
      </c>
      <c r="E2844" s="20" t="inlineStr">
        <is>
          <t>RENAULT</t>
        </is>
      </c>
      <c r="F2844" s="20" t="inlineStr">
        <is>
          <t>Triber</t>
        </is>
      </c>
      <c r="G2844" s="21" t="n">
        <v>2019</v>
      </c>
      <c r="H2844" s="22" t="n">
        <v>63445</v>
      </c>
      <c r="I2844" s="22" t="n">
        <v>300000</v>
      </c>
      <c r="J2844" s="20" t="inlineStr">
        <is>
          <t>SARATHY NEXA</t>
        </is>
      </c>
      <c r="K2844" s="20" t="inlineStr">
        <is>
          <t>Non-Captive</t>
        </is>
      </c>
      <c r="L2844" s="20" t="inlineStr">
        <is>
          <t>CLIND</t>
        </is>
      </c>
      <c r="M2844" s="23" t="n">
        <v>6779.66</v>
      </c>
    </row>
    <row r="2845">
      <c r="A2845" s="19" t="inlineStr">
        <is>
          <t>FY27</t>
        </is>
      </c>
      <c r="B2845" s="19" t="inlineStr">
        <is>
          <t>Jul</t>
        </is>
      </c>
      <c r="C2845" s="19" t="inlineStr">
        <is>
          <t>Kerala</t>
        </is>
      </c>
      <c r="D2845" s="20" t="inlineStr">
        <is>
          <t>KL45X8811</t>
        </is>
      </c>
      <c r="E2845" s="20" t="inlineStr">
        <is>
          <t>MARUTI</t>
        </is>
      </c>
      <c r="F2845" s="20" t="inlineStr">
        <is>
          <t>Swift</t>
        </is>
      </c>
      <c r="G2845" s="21" t="n">
        <v>2024</v>
      </c>
      <c r="H2845" s="22" t="n">
        <v>43368</v>
      </c>
      <c r="I2845" s="22" t="n">
        <v>712500</v>
      </c>
      <c r="J2845" s="20" t="inlineStr">
        <is>
          <t>ERAM MOTORS</t>
        </is>
      </c>
      <c r="K2845" s="20" t="inlineStr">
        <is>
          <t>Non-Captive</t>
        </is>
      </c>
      <c r="L2845" s="20" t="inlineStr">
        <is>
          <t>AUTOBOT</t>
        </is>
      </c>
      <c r="M2845" s="23" t="n">
        <v>10593.22</v>
      </c>
    </row>
    <row r="2846">
      <c r="A2846" s="19" t="inlineStr">
        <is>
          <t>FY27</t>
        </is>
      </c>
      <c r="B2846" s="19" t="inlineStr">
        <is>
          <t>Jul</t>
        </is>
      </c>
      <c r="C2846" s="19" t="inlineStr">
        <is>
          <t>Kerala</t>
        </is>
      </c>
      <c r="D2846" s="20" t="inlineStr">
        <is>
          <t>KL08BZ9881</t>
        </is>
      </c>
      <c r="E2846" s="20" t="inlineStr">
        <is>
          <t>MARUTI</t>
        </is>
      </c>
      <c r="F2846" s="20" t="inlineStr">
        <is>
          <t>Brezza</t>
        </is>
      </c>
      <c r="G2846" s="21" t="n">
        <v>2023</v>
      </c>
      <c r="H2846" s="22" t="n">
        <v>48546</v>
      </c>
      <c r="I2846" s="22" t="n">
        <v>860000</v>
      </c>
      <c r="J2846" s="20" t="inlineStr">
        <is>
          <t>INCHEON KIA</t>
        </is>
      </c>
      <c r="K2846" s="20" t="inlineStr">
        <is>
          <t>Non-Captive</t>
        </is>
      </c>
      <c r="L2846" s="20" t="inlineStr">
        <is>
          <t>AITO CARS</t>
        </is>
      </c>
      <c r="M2846" s="23" t="n">
        <v>8474.58</v>
      </c>
    </row>
    <row r="2847">
      <c r="A2847" s="19" t="inlineStr">
        <is>
          <t>FY27</t>
        </is>
      </c>
      <c r="B2847" s="19" t="inlineStr">
        <is>
          <t>Jul</t>
        </is>
      </c>
      <c r="C2847" s="19" t="inlineStr">
        <is>
          <t>Kerala</t>
        </is>
      </c>
      <c r="D2847" s="20" t="inlineStr">
        <is>
          <t>KL07CB5642</t>
        </is>
      </c>
      <c r="E2847" s="20" t="inlineStr">
        <is>
          <t>HYUNDAI</t>
        </is>
      </c>
      <c r="F2847" s="20" t="inlineStr">
        <is>
          <t>Eon</t>
        </is>
      </c>
      <c r="G2847" s="21" t="n">
        <v>2014</v>
      </c>
      <c r="H2847" s="22" t="n">
        <v>49677</v>
      </c>
      <c r="I2847" s="22" t="n">
        <v>130000</v>
      </c>
      <c r="J2847" s="20" t="inlineStr">
        <is>
          <t>POPULAR HUNDAI</t>
        </is>
      </c>
      <c r="K2847" s="20" t="inlineStr">
        <is>
          <t>Non-Captive</t>
        </is>
      </c>
      <c r="L2847" s="20" t="inlineStr">
        <is>
          <t>RAFEEK T A</t>
        </is>
      </c>
      <c r="M2847" s="23" t="n">
        <v>8474.58</v>
      </c>
    </row>
    <row r="2848">
      <c r="A2848" s="19" t="inlineStr">
        <is>
          <t>FY27</t>
        </is>
      </c>
      <c r="B2848" s="19" t="inlineStr">
        <is>
          <t>Jul</t>
        </is>
      </c>
      <c r="C2848" s="19" t="inlineStr">
        <is>
          <t>Kerala</t>
        </is>
      </c>
      <c r="D2848" s="20" t="inlineStr">
        <is>
          <t>KL53K2118</t>
        </is>
      </c>
      <c r="E2848" s="20" t="inlineStr">
        <is>
          <t>MARUTI</t>
        </is>
      </c>
      <c r="F2848" s="20" t="inlineStr">
        <is>
          <t>Celerio</t>
        </is>
      </c>
      <c r="G2848" s="21" t="n">
        <v>2016</v>
      </c>
      <c r="H2848" s="22" t="n">
        <v>48924</v>
      </c>
      <c r="I2848" s="22" t="n">
        <v>375000</v>
      </c>
      <c r="J2848" s="20" t="inlineStr">
        <is>
          <t>POPULAR HYUNDAI</t>
        </is>
      </c>
      <c r="K2848" s="20" t="inlineStr">
        <is>
          <t>Non-Captive</t>
        </is>
      </c>
      <c r="L2848" s="20" t="inlineStr">
        <is>
          <t>UMESHKUMAR T U</t>
        </is>
      </c>
      <c r="M2848" s="23" t="n">
        <v>8474.58</v>
      </c>
    </row>
    <row r="2849">
      <c r="A2849" s="19" t="inlineStr">
        <is>
          <t>FY27</t>
        </is>
      </c>
      <c r="B2849" s="19" t="inlineStr">
        <is>
          <t>Jul</t>
        </is>
      </c>
      <c r="C2849" s="19" t="inlineStr">
        <is>
          <t>Kerala</t>
        </is>
      </c>
      <c r="D2849" s="20" t="inlineStr">
        <is>
          <t>KL39T6945</t>
        </is>
      </c>
      <c r="E2849" s="20" t="inlineStr">
        <is>
          <t>MARUTI</t>
        </is>
      </c>
      <c r="F2849" s="20" t="inlineStr">
        <is>
          <t>Swift</t>
        </is>
      </c>
      <c r="G2849" s="21" t="n">
        <v>2023</v>
      </c>
      <c r="H2849" s="22" t="n">
        <v>27000</v>
      </c>
      <c r="I2849" s="22" t="n">
        <v>670000</v>
      </c>
      <c r="J2849" s="20" t="inlineStr">
        <is>
          <t>INDUS MARUTI</t>
        </is>
      </c>
      <c r="K2849" s="20" t="inlineStr">
        <is>
          <t>Non-Captive</t>
        </is>
      </c>
      <c r="L2849" s="20" t="inlineStr">
        <is>
          <t>HAVEN MOTORS</t>
        </is>
      </c>
      <c r="M2849" s="23" t="n">
        <v>16949.15</v>
      </c>
    </row>
    <row r="2850">
      <c r="A2850" s="19" t="inlineStr">
        <is>
          <t>FY27</t>
        </is>
      </c>
      <c r="B2850" s="19" t="inlineStr">
        <is>
          <t>Jul</t>
        </is>
      </c>
      <c r="C2850" s="19" t="inlineStr">
        <is>
          <t>Kerala</t>
        </is>
      </c>
      <c r="D2850" s="20" t="inlineStr">
        <is>
          <t>KL39T9199</t>
        </is>
      </c>
      <c r="E2850" s="20" t="inlineStr">
        <is>
          <t>NISSAN</t>
        </is>
      </c>
      <c r="F2850" s="20" t="inlineStr">
        <is>
          <t>Magnite</t>
        </is>
      </c>
      <c r="G2850" s="21" t="n">
        <v>2023</v>
      </c>
      <c r="H2850" s="22" t="n">
        <v>36269</v>
      </c>
      <c r="I2850" s="22" t="n">
        <v>670000</v>
      </c>
      <c r="J2850" s="20" t="inlineStr">
        <is>
          <t>EVM NISSAN</t>
        </is>
      </c>
      <c r="K2850" s="20" t="inlineStr">
        <is>
          <t>Non-Captive</t>
        </is>
      </c>
      <c r="L2850" s="20" t="inlineStr">
        <is>
          <t>HAVEN MOTORS</t>
        </is>
      </c>
      <c r="M2850" s="23" t="n">
        <v>16949.15</v>
      </c>
    </row>
    <row r="2851">
      <c r="A2851" s="19" t="inlineStr">
        <is>
          <t>FY27</t>
        </is>
      </c>
      <c r="B2851" s="19" t="inlineStr">
        <is>
          <t>Jul</t>
        </is>
      </c>
      <c r="C2851" s="19" t="inlineStr">
        <is>
          <t>Kerala</t>
        </is>
      </c>
      <c r="D2851" s="20" t="inlineStr">
        <is>
          <t>KL11AK9779</t>
        </is>
      </c>
      <c r="E2851" s="20" t="inlineStr">
        <is>
          <t>HYUNDAI</t>
        </is>
      </c>
      <c r="F2851" s="20" t="inlineStr">
        <is>
          <t>I20</t>
        </is>
      </c>
      <c r="G2851" s="21" t="n">
        <v>2012</v>
      </c>
      <c r="H2851" s="22" t="n">
        <v>131655</v>
      </c>
      <c r="I2851" s="22" t="n">
        <v>90000</v>
      </c>
      <c r="J2851" s="20" t="inlineStr">
        <is>
          <t>POPULAR MARUTI</t>
        </is>
      </c>
      <c r="K2851" s="20" t="inlineStr">
        <is>
          <t>Non-Captive</t>
        </is>
      </c>
      <c r="L2851" s="20" t="inlineStr">
        <is>
          <t>HUSSAIN O E</t>
        </is>
      </c>
      <c r="M2851" s="23" t="n">
        <v>12711.86</v>
      </c>
    </row>
    <row r="2852">
      <c r="A2852" s="19" t="inlineStr">
        <is>
          <t>FY27</t>
        </is>
      </c>
      <c r="B2852" s="19" t="inlineStr">
        <is>
          <t>Jul</t>
        </is>
      </c>
      <c r="C2852" s="19" t="inlineStr">
        <is>
          <t>Kerala</t>
        </is>
      </c>
      <c r="D2852" s="20" t="inlineStr">
        <is>
          <t>KL41D0980</t>
        </is>
      </c>
      <c r="E2852" s="20" t="inlineStr">
        <is>
          <t>MARUTI</t>
        </is>
      </c>
      <c r="F2852" s="20" t="inlineStr">
        <is>
          <t>Wagonr</t>
        </is>
      </c>
      <c r="G2852" s="21" t="n">
        <v>2010</v>
      </c>
      <c r="H2852" s="22" t="n">
        <v>190000</v>
      </c>
      <c r="I2852" s="22" t="n">
        <v>115000</v>
      </c>
      <c r="J2852" s="20" t="inlineStr">
        <is>
          <t>POPULAR MARUTI</t>
        </is>
      </c>
      <c r="K2852" s="20" t="inlineStr">
        <is>
          <t>Non-Captive</t>
        </is>
      </c>
      <c r="L2852" s="20" t="inlineStr">
        <is>
          <t>HUSSAIN O E</t>
        </is>
      </c>
      <c r="M2852" s="23" t="n">
        <v>12711.86</v>
      </c>
    </row>
    <row r="2853">
      <c r="A2853" s="19" t="inlineStr">
        <is>
          <t>FY27</t>
        </is>
      </c>
      <c r="B2853" s="19" t="inlineStr">
        <is>
          <t>Jul</t>
        </is>
      </c>
      <c r="C2853" s="19" t="inlineStr">
        <is>
          <t>Kerala</t>
        </is>
      </c>
      <c r="D2853" s="20" t="inlineStr">
        <is>
          <t>KL01CV2325</t>
        </is>
      </c>
      <c r="E2853" s="20" t="inlineStr">
        <is>
          <t>RENAULT</t>
        </is>
      </c>
      <c r="F2853" s="20" t="inlineStr">
        <is>
          <t>Kiger</t>
        </is>
      </c>
      <c r="G2853" s="21" t="n">
        <v>2022</v>
      </c>
      <c r="H2853" s="22" t="n">
        <v>35000</v>
      </c>
      <c r="I2853" s="22" t="n">
        <v>495000</v>
      </c>
      <c r="J2853" s="20" t="inlineStr">
        <is>
          <t>UCD HARIS</t>
        </is>
      </c>
      <c r="K2853" s="20" t="inlineStr">
        <is>
          <t>Non-Captive</t>
        </is>
      </c>
      <c r="L2853" s="20" t="inlineStr">
        <is>
          <t>Varun B Prakash</t>
        </is>
      </c>
      <c r="M2853" s="23" t="n">
        <v>8474.58</v>
      </c>
    </row>
    <row r="2854">
      <c r="A2854" s="19" t="inlineStr">
        <is>
          <t>FY27</t>
        </is>
      </c>
      <c r="B2854" s="19" t="inlineStr">
        <is>
          <t>Jul</t>
        </is>
      </c>
      <c r="C2854" s="19" t="inlineStr">
        <is>
          <t>Kerala</t>
        </is>
      </c>
      <c r="D2854" s="20" t="inlineStr">
        <is>
          <t>KL13AR2516</t>
        </is>
      </c>
      <c r="E2854" s="20" t="inlineStr">
        <is>
          <t>RENAULT</t>
        </is>
      </c>
      <c r="F2854" s="20" t="inlineStr">
        <is>
          <t>Kwid</t>
        </is>
      </c>
      <c r="G2854" s="21" t="n">
        <v>2020</v>
      </c>
      <c r="H2854" s="22" t="n">
        <v>14000</v>
      </c>
      <c r="I2854" s="22" t="n">
        <v>225000</v>
      </c>
      <c r="J2854" s="20" t="inlineStr">
        <is>
          <t>VARUN UCD</t>
        </is>
      </c>
      <c r="K2854" s="20" t="inlineStr">
        <is>
          <t>Non-Captive</t>
        </is>
      </c>
      <c r="L2854" s="20" t="inlineStr">
        <is>
          <t>SANOOP</t>
        </is>
      </c>
      <c r="M2854" s="23" t="n">
        <v>4237.29</v>
      </c>
    </row>
    <row r="2855">
      <c r="A2855" s="19" t="inlineStr">
        <is>
          <t>FY27</t>
        </is>
      </c>
      <c r="B2855" s="19" t="inlineStr">
        <is>
          <t>Jul</t>
        </is>
      </c>
      <c r="C2855" s="19" t="inlineStr">
        <is>
          <t>Kerala</t>
        </is>
      </c>
      <c r="D2855" s="20" t="inlineStr">
        <is>
          <t>KL60L2325</t>
        </is>
      </c>
      <c r="E2855" s="20" t="inlineStr">
        <is>
          <t>FORD</t>
        </is>
      </c>
      <c r="F2855" s="20" t="inlineStr">
        <is>
          <t>Aspire</t>
        </is>
      </c>
      <c r="G2855" s="21" t="n">
        <v>2016</v>
      </c>
      <c r="H2855" s="22" t="n">
        <v>99000</v>
      </c>
      <c r="I2855" s="22" t="n">
        <v>180000</v>
      </c>
      <c r="J2855" s="20" t="inlineStr">
        <is>
          <t>UCD HARIS</t>
        </is>
      </c>
      <c r="K2855" s="20" t="inlineStr">
        <is>
          <t>Non-Captive</t>
        </is>
      </c>
      <c r="L2855" s="20" t="inlineStr">
        <is>
          <t>SANOOP</t>
        </is>
      </c>
      <c r="M2855" s="23" t="n">
        <v>4237.29</v>
      </c>
    </row>
    <row r="2856">
      <c r="A2856" s="19" t="inlineStr">
        <is>
          <t>FY27</t>
        </is>
      </c>
      <c r="B2856" s="19" t="inlineStr">
        <is>
          <t>Jul</t>
        </is>
      </c>
      <c r="C2856" s="19" t="inlineStr">
        <is>
          <t>Kerala</t>
        </is>
      </c>
      <c r="D2856" s="20" t="inlineStr">
        <is>
          <t>KL11AX3449</t>
        </is>
      </c>
      <c r="E2856" s="20" t="inlineStr">
        <is>
          <t>MARUTI</t>
        </is>
      </c>
      <c r="F2856" s="20" t="inlineStr">
        <is>
          <t>Wagonr</t>
        </is>
      </c>
      <c r="G2856" s="21" t="n">
        <v>2014</v>
      </c>
      <c r="H2856" s="22" t="n">
        <v>102000</v>
      </c>
      <c r="I2856" s="22" t="n">
        <v>222000</v>
      </c>
      <c r="J2856" s="20" t="inlineStr">
        <is>
          <t>POPULAR MARUTI</t>
        </is>
      </c>
      <c r="K2856" s="20" t="inlineStr">
        <is>
          <t>Non-Captive</t>
        </is>
      </c>
      <c r="L2856" s="20" t="inlineStr">
        <is>
          <t>MUHAMMED NISAB</t>
        </is>
      </c>
      <c r="M2856" s="23" t="n">
        <v>5932.2</v>
      </c>
    </row>
    <row r="2857">
      <c r="A2857" s="19" t="inlineStr">
        <is>
          <t>FY27</t>
        </is>
      </c>
      <c r="B2857" s="19" t="inlineStr">
        <is>
          <t>Jul</t>
        </is>
      </c>
      <c r="C2857" s="19" t="inlineStr">
        <is>
          <t>Kerala</t>
        </is>
      </c>
      <c r="D2857" s="20" t="inlineStr">
        <is>
          <t>KL11AY9733</t>
        </is>
      </c>
      <c r="E2857" s="20" t="inlineStr">
        <is>
          <t>MARUTI</t>
        </is>
      </c>
      <c r="F2857" s="20" t="inlineStr">
        <is>
          <t>Celerio</t>
        </is>
      </c>
      <c r="G2857" s="21" t="n">
        <v>2015</v>
      </c>
      <c r="H2857" s="22" t="n">
        <v>56000</v>
      </c>
      <c r="I2857" s="22" t="n">
        <v>290000</v>
      </c>
      <c r="J2857" s="20" t="inlineStr">
        <is>
          <t>AMANA TOYOTA</t>
        </is>
      </c>
      <c r="K2857" s="20" t="inlineStr">
        <is>
          <t>Non-Captive</t>
        </is>
      </c>
      <c r="L2857" s="20" t="inlineStr">
        <is>
          <t>MUHAMMED NISAB</t>
        </is>
      </c>
      <c r="M2857" s="23" t="n">
        <v>4237.29</v>
      </c>
    </row>
    <row r="2858">
      <c r="A2858" s="19" t="inlineStr">
        <is>
          <t>FY27</t>
        </is>
      </c>
      <c r="B2858" s="19" t="inlineStr">
        <is>
          <t>Jul</t>
        </is>
      </c>
      <c r="C2858" s="19" t="inlineStr">
        <is>
          <t>Kerala</t>
        </is>
      </c>
      <c r="D2858" s="20" t="inlineStr">
        <is>
          <t>KL13S5953</t>
        </is>
      </c>
      <c r="E2858" s="20" t="inlineStr">
        <is>
          <t>HYUNDAI</t>
        </is>
      </c>
      <c r="F2858" s="20" t="inlineStr">
        <is>
          <t>Santro</t>
        </is>
      </c>
      <c r="G2858" s="21" t="n">
        <v>2008</v>
      </c>
      <c r="H2858" s="22" t="n">
        <v>86000</v>
      </c>
      <c r="I2858" s="22" t="n">
        <v>60000</v>
      </c>
      <c r="J2858" s="20" t="inlineStr">
        <is>
          <t>APCO HYUNDAI</t>
        </is>
      </c>
      <c r="K2858" s="20" t="inlineStr">
        <is>
          <t>Non-Captive</t>
        </is>
      </c>
      <c r="L2858" s="20" t="inlineStr">
        <is>
          <t>ANOOP AUGUSTINE</t>
        </is>
      </c>
      <c r="M2858" s="23" t="n">
        <v>4237.29</v>
      </c>
    </row>
    <row r="2859">
      <c r="A2859" s="19" t="inlineStr">
        <is>
          <t>FY27</t>
        </is>
      </c>
      <c r="B2859" s="19" t="inlineStr">
        <is>
          <t>Jul</t>
        </is>
      </c>
      <c r="C2859" s="19" t="inlineStr">
        <is>
          <t>Kerala</t>
        </is>
      </c>
      <c r="D2859" s="20" t="inlineStr">
        <is>
          <t>KL59S9879</t>
        </is>
      </c>
      <c r="E2859" s="20" t="inlineStr">
        <is>
          <t>TATA</t>
        </is>
      </c>
      <c r="F2859" s="20" t="inlineStr">
        <is>
          <t>Tiago</t>
        </is>
      </c>
      <c r="G2859" s="21" t="n">
        <v>2018</v>
      </c>
      <c r="H2859" s="22" t="n">
        <v>120000</v>
      </c>
      <c r="I2859" s="22" t="n">
        <v>260000</v>
      </c>
      <c r="J2859" s="20" t="inlineStr">
        <is>
          <t>KVR TATA</t>
        </is>
      </c>
      <c r="K2859" s="20" t="inlineStr">
        <is>
          <t>Non-Captive</t>
        </is>
      </c>
      <c r="L2859" s="20" t="inlineStr">
        <is>
          <t>PRAJOSH AM</t>
        </is>
      </c>
      <c r="M2859" s="23" t="n">
        <v>4237.29</v>
      </c>
    </row>
    <row r="2860">
      <c r="A2860" s="19" t="inlineStr">
        <is>
          <t>FY27</t>
        </is>
      </c>
      <c r="B2860" s="19" t="inlineStr">
        <is>
          <t>Jul</t>
        </is>
      </c>
      <c r="C2860" s="19" t="inlineStr">
        <is>
          <t>Kerala</t>
        </is>
      </c>
      <c r="D2860" s="20" t="inlineStr">
        <is>
          <t>KL607190</t>
        </is>
      </c>
      <c r="E2860" s="20" t="inlineStr">
        <is>
          <t>MARUTI</t>
        </is>
      </c>
      <c r="F2860" s="20" t="inlineStr">
        <is>
          <t>Swift</t>
        </is>
      </c>
      <c r="G2860" s="21" t="n">
        <v>2007</v>
      </c>
      <c r="H2860" s="22" t="n">
        <v>190000</v>
      </c>
      <c r="I2860" s="22" t="n">
        <v>60000</v>
      </c>
      <c r="J2860" s="20" t="inlineStr">
        <is>
          <t>BIMAL</t>
        </is>
      </c>
      <c r="K2860" s="20" t="inlineStr">
        <is>
          <t>Non-Captive</t>
        </is>
      </c>
      <c r="L2860" s="20" t="inlineStr">
        <is>
          <t>JIMMY</t>
        </is>
      </c>
      <c r="M2860" s="23" t="n">
        <v>4237.29</v>
      </c>
    </row>
    <row r="2861">
      <c r="A2861" s="19" t="inlineStr">
        <is>
          <t>FY27</t>
        </is>
      </c>
      <c r="B2861" s="19" t="inlineStr">
        <is>
          <t>Jul</t>
        </is>
      </c>
      <c r="C2861" s="19" t="inlineStr">
        <is>
          <t>Kerala</t>
        </is>
      </c>
      <c r="D2861" s="20" t="inlineStr">
        <is>
          <t>KL86B6134</t>
        </is>
      </c>
      <c r="E2861" s="20" t="inlineStr">
        <is>
          <t>RENAULT</t>
        </is>
      </c>
      <c r="F2861" s="20" t="inlineStr">
        <is>
          <t>Kiger</t>
        </is>
      </c>
      <c r="G2861" s="21" t="n">
        <v>2023</v>
      </c>
      <c r="H2861" s="22" t="n">
        <v>45000</v>
      </c>
      <c r="I2861" s="22" t="n">
        <v>455000</v>
      </c>
      <c r="J2861" s="20" t="inlineStr">
        <is>
          <t>APCO HYUNDAI</t>
        </is>
      </c>
      <c r="K2861" s="20" t="inlineStr">
        <is>
          <t>Non-Captive</t>
        </is>
      </c>
      <c r="L2861" s="20" t="inlineStr">
        <is>
          <t>Varun B Prakash</t>
        </is>
      </c>
      <c r="M2861" s="23" t="n">
        <v>4237.29</v>
      </c>
    </row>
    <row r="2862">
      <c r="A2862" s="19" t="inlineStr">
        <is>
          <t>FY27</t>
        </is>
      </c>
      <c r="B2862" s="19" t="inlineStr">
        <is>
          <t>Jul</t>
        </is>
      </c>
      <c r="C2862" s="19" t="inlineStr">
        <is>
          <t>Kerala</t>
        </is>
      </c>
      <c r="D2862" s="20" t="inlineStr">
        <is>
          <t>KL73C6458</t>
        </is>
      </c>
      <c r="E2862" s="20" t="inlineStr">
        <is>
          <t>RENAULT</t>
        </is>
      </c>
      <c r="F2862" s="20" t="inlineStr">
        <is>
          <t>Duster</t>
        </is>
      </c>
      <c r="G2862" s="21" t="n">
        <v>2019</v>
      </c>
      <c r="H2862" s="22" t="n">
        <v>137000</v>
      </c>
      <c r="I2862" s="22" t="n">
        <v>505000</v>
      </c>
      <c r="J2862" s="20" t="inlineStr">
        <is>
          <t>ERAM MAHINDRA</t>
        </is>
      </c>
      <c r="K2862" s="20" t="inlineStr">
        <is>
          <t>Non-Captive</t>
        </is>
      </c>
      <c r="L2862" s="20" t="inlineStr">
        <is>
          <t>RAYON</t>
        </is>
      </c>
      <c r="M2862" s="23" t="n">
        <v>8474.58</v>
      </c>
    </row>
    <row r="2863">
      <c r="A2863" s="19" t="inlineStr">
        <is>
          <t>FY27</t>
        </is>
      </c>
      <c r="B2863" s="19" t="inlineStr">
        <is>
          <t>Jul</t>
        </is>
      </c>
      <c r="C2863" s="19" t="inlineStr">
        <is>
          <t>Kerala</t>
        </is>
      </c>
      <c r="D2863" s="20" t="inlineStr">
        <is>
          <t>KL13BW8304</t>
        </is>
      </c>
      <c r="E2863" s="20" t="inlineStr">
        <is>
          <t>MAHINDRA</t>
        </is>
      </c>
      <c r="F2863" s="20" t="inlineStr">
        <is>
          <t>Xuv</t>
        </is>
      </c>
      <c r="G2863" s="21" t="n">
        <v>2022</v>
      </c>
      <c r="H2863" s="22" t="n">
        <v>89000</v>
      </c>
      <c r="I2863" s="22" t="n">
        <v>990000</v>
      </c>
      <c r="J2863" s="20" t="inlineStr">
        <is>
          <t>EVM</t>
        </is>
      </c>
      <c r="K2863" s="20" t="inlineStr">
        <is>
          <t>Non-Captive</t>
        </is>
      </c>
      <c r="L2863" s="20" t="inlineStr">
        <is>
          <t>ADERSH MAY BACK MOTORS</t>
        </is>
      </c>
      <c r="M2863" s="23" t="n">
        <v>8474.58</v>
      </c>
    </row>
    <row r="2864">
      <c r="A2864" s="19" t="inlineStr">
        <is>
          <t>FY27</t>
        </is>
      </c>
      <c r="B2864" s="19" t="inlineStr">
        <is>
          <t>Jul</t>
        </is>
      </c>
      <c r="C2864" s="19" t="inlineStr">
        <is>
          <t>Kerala</t>
        </is>
      </c>
      <c r="D2864" s="20" t="inlineStr">
        <is>
          <t>KL11Y8689</t>
        </is>
      </c>
      <c r="E2864" s="20" t="inlineStr">
        <is>
          <t>MARUTI</t>
        </is>
      </c>
      <c r="F2864" s="20" t="inlineStr">
        <is>
          <t>Alto</t>
        </is>
      </c>
      <c r="G2864" s="21" t="n">
        <v>2006</v>
      </c>
      <c r="H2864" s="22" t="n">
        <v>75458</v>
      </c>
      <c r="I2864" s="22" t="n">
        <v>35000</v>
      </c>
      <c r="J2864" s="20" t="inlineStr">
        <is>
          <t>EVM CITROEN</t>
        </is>
      </c>
      <c r="K2864" s="20" t="inlineStr">
        <is>
          <t>Non-Captive</t>
        </is>
      </c>
      <c r="L2864" s="20" t="inlineStr">
        <is>
          <t>AFSAL A</t>
        </is>
      </c>
      <c r="M2864" s="23" t="n">
        <v>8474.58</v>
      </c>
    </row>
    <row r="2865">
      <c r="A2865" s="19" t="inlineStr">
        <is>
          <t>FY27</t>
        </is>
      </c>
      <c r="B2865" s="19" t="inlineStr">
        <is>
          <t>Jul</t>
        </is>
      </c>
      <c r="C2865" s="19" t="inlineStr">
        <is>
          <t>Kerala</t>
        </is>
      </c>
      <c r="D2865" s="20" t="inlineStr">
        <is>
          <t>KL467277</t>
        </is>
      </c>
      <c r="E2865" s="20" t="inlineStr">
        <is>
          <t>MARUTI</t>
        </is>
      </c>
      <c r="F2865" s="20" t="inlineStr">
        <is>
          <t>Alto</t>
        </is>
      </c>
      <c r="G2865" s="21" t="n">
        <v>2007</v>
      </c>
      <c r="H2865" s="22" t="n">
        <v>96463</v>
      </c>
      <c r="I2865" s="22" t="n">
        <v>42500</v>
      </c>
      <c r="J2865" s="20" t="inlineStr">
        <is>
          <t>POPULAR MARUTI</t>
        </is>
      </c>
      <c r="K2865" s="20" t="inlineStr">
        <is>
          <t>Non-Captive</t>
        </is>
      </c>
      <c r="L2865" s="20" t="inlineStr">
        <is>
          <t>AFSAL A</t>
        </is>
      </c>
      <c r="M2865" s="23" t="n">
        <v>10593.22</v>
      </c>
    </row>
    <row r="2866">
      <c r="A2866" s="19" t="inlineStr">
        <is>
          <t>FY27</t>
        </is>
      </c>
      <c r="B2866" s="19" t="inlineStr">
        <is>
          <t>Jul</t>
        </is>
      </c>
      <c r="C2866" s="19" t="inlineStr">
        <is>
          <t>Kerala</t>
        </is>
      </c>
      <c r="D2866" s="20" t="inlineStr">
        <is>
          <t>KL43M8844</t>
        </is>
      </c>
      <c r="E2866" s="20" t="inlineStr">
        <is>
          <t>HONDA</t>
        </is>
      </c>
      <c r="F2866" s="20" t="inlineStr">
        <is>
          <t>Amaze</t>
        </is>
      </c>
      <c r="G2866" s="21" t="n">
        <v>2020</v>
      </c>
      <c r="H2866" s="22" t="n">
        <v>35890</v>
      </c>
      <c r="I2866" s="22" t="n">
        <v>435000</v>
      </c>
      <c r="J2866" s="20" t="inlineStr">
        <is>
          <t>MAIJO MARUTI</t>
        </is>
      </c>
      <c r="K2866" s="20" t="inlineStr">
        <is>
          <t>Non-Captive</t>
        </is>
      </c>
      <c r="L2866" s="20" t="inlineStr">
        <is>
          <t>VTJ</t>
        </is>
      </c>
      <c r="M2866" s="23" t="n">
        <v>12711.86</v>
      </c>
    </row>
    <row r="2867">
      <c r="A2867" s="19" t="inlineStr">
        <is>
          <t>FY27</t>
        </is>
      </c>
      <c r="B2867" s="19" t="inlineStr">
        <is>
          <t>Jul</t>
        </is>
      </c>
      <c r="C2867" s="19" t="inlineStr">
        <is>
          <t>Kerala</t>
        </is>
      </c>
      <c r="D2867" s="20" t="inlineStr">
        <is>
          <t>KL07CW7942</t>
        </is>
      </c>
      <c r="E2867" s="20" t="inlineStr">
        <is>
          <t>TATA</t>
        </is>
      </c>
      <c r="F2867" s="20" t="inlineStr">
        <is>
          <t>Tiago</t>
        </is>
      </c>
      <c r="G2867" s="21" t="n">
        <v>2021</v>
      </c>
      <c r="H2867" s="22" t="n">
        <v>26832</v>
      </c>
      <c r="I2867" s="22" t="n">
        <v>430000</v>
      </c>
      <c r="J2867" s="20" t="inlineStr">
        <is>
          <t>EVM SKODA</t>
        </is>
      </c>
      <c r="K2867" s="20" t="inlineStr">
        <is>
          <t>Non-Captive</t>
        </is>
      </c>
      <c r="L2867" s="20" t="inlineStr">
        <is>
          <t>AITO CARS</t>
        </is>
      </c>
      <c r="M2867" s="23" t="n">
        <v>8474.58</v>
      </c>
    </row>
    <row r="2868">
      <c r="A2868" s="19" t="inlineStr">
        <is>
          <t>FY27</t>
        </is>
      </c>
      <c r="B2868" s="19" t="inlineStr">
        <is>
          <t>Jul</t>
        </is>
      </c>
      <c r="C2868" s="19" t="inlineStr">
        <is>
          <t>Kerala</t>
        </is>
      </c>
      <c r="D2868" s="20" t="inlineStr">
        <is>
          <t>KL40X0721</t>
        </is>
      </c>
      <c r="E2868" s="20" t="inlineStr">
        <is>
          <t>TOYOTA</t>
        </is>
      </c>
      <c r="F2868" s="20" t="inlineStr">
        <is>
          <t>Glanza</t>
        </is>
      </c>
      <c r="G2868" s="21" t="n">
        <v>2025</v>
      </c>
      <c r="H2868" s="22" t="n">
        <v>12689</v>
      </c>
      <c r="I2868" s="22" t="n">
        <v>910000</v>
      </c>
      <c r="J2868" s="20" t="inlineStr">
        <is>
          <t>GOKULAM TATA</t>
        </is>
      </c>
      <c r="K2868" s="20" t="inlineStr">
        <is>
          <t>Non-Captive</t>
        </is>
      </c>
      <c r="L2868" s="20" t="inlineStr">
        <is>
          <t>AUTO BOT</t>
        </is>
      </c>
      <c r="M2868" s="23" t="n">
        <v>8474.58</v>
      </c>
    </row>
    <row r="2869">
      <c r="A2869" s="19" t="inlineStr">
        <is>
          <t>FY27</t>
        </is>
      </c>
      <c r="B2869" s="19" t="inlineStr">
        <is>
          <t>Jul</t>
        </is>
      </c>
      <c r="C2869" s="19" t="inlineStr">
        <is>
          <t>Kerala</t>
        </is>
      </c>
      <c r="D2869" s="20" t="inlineStr">
        <is>
          <t>KL04Y8457</t>
        </is>
      </c>
      <c r="E2869" s="20" t="inlineStr">
        <is>
          <t>HYUNDAI</t>
        </is>
      </c>
      <c r="F2869" s="20" t="inlineStr">
        <is>
          <t>Santro</t>
        </is>
      </c>
      <c r="G2869" s="21" t="n">
        <v>2009</v>
      </c>
      <c r="H2869" s="22" t="n">
        <v>109730</v>
      </c>
      <c r="I2869" s="22" t="n">
        <v>70000</v>
      </c>
      <c r="J2869" s="20" t="inlineStr">
        <is>
          <t>POPULAR HYUNDAI</t>
        </is>
      </c>
      <c r="K2869" s="20" t="inlineStr">
        <is>
          <t>Non-Captive</t>
        </is>
      </c>
      <c r="L2869" s="20" t="inlineStr">
        <is>
          <t>HUSSAIN O E</t>
        </is>
      </c>
      <c r="M2869" s="23" t="n">
        <v>8474.58</v>
      </c>
    </row>
    <row r="2870">
      <c r="A2870" s="19" t="inlineStr">
        <is>
          <t>FY27</t>
        </is>
      </c>
      <c r="B2870" s="19" t="inlineStr">
        <is>
          <t>Jul</t>
        </is>
      </c>
      <c r="C2870" s="19" t="inlineStr">
        <is>
          <t>Kerala</t>
        </is>
      </c>
      <c r="D2870" s="20" t="inlineStr">
        <is>
          <t>KL05AE1535</t>
        </is>
      </c>
      <c r="E2870" s="20" t="inlineStr">
        <is>
          <t>MARUTI</t>
        </is>
      </c>
      <c r="F2870" s="20" t="inlineStr">
        <is>
          <t>Dzire</t>
        </is>
      </c>
      <c r="G2870" s="21" t="n">
        <v>2012</v>
      </c>
      <c r="H2870" s="22" t="n">
        <v>189768</v>
      </c>
      <c r="I2870" s="22" t="n">
        <v>190000</v>
      </c>
      <c r="J2870" s="20" t="inlineStr">
        <is>
          <t>POPULAR MARUTI</t>
        </is>
      </c>
      <c r="K2870" s="20" t="inlineStr">
        <is>
          <t>Non-Captive</t>
        </is>
      </c>
      <c r="L2870" s="20" t="inlineStr">
        <is>
          <t>SIJO THOMAS</t>
        </is>
      </c>
      <c r="M2870" s="23" t="n">
        <v>12711.86</v>
      </c>
    </row>
    <row r="2871">
      <c r="A2871" s="19" t="inlineStr">
        <is>
          <t>FY27</t>
        </is>
      </c>
      <c r="B2871" s="19" t="inlineStr">
        <is>
          <t>Jul</t>
        </is>
      </c>
      <c r="C2871" s="19" t="inlineStr">
        <is>
          <t>Kerala</t>
        </is>
      </c>
      <c r="D2871" s="20" t="inlineStr">
        <is>
          <t>KL13Z1718</t>
        </is>
      </c>
      <c r="E2871" s="20" t="inlineStr">
        <is>
          <t>RENAULT</t>
        </is>
      </c>
      <c r="F2871" s="20" t="inlineStr">
        <is>
          <t>Duster</t>
        </is>
      </c>
      <c r="G2871" s="21" t="n">
        <v>2012</v>
      </c>
      <c r="H2871" s="22" t="n">
        <v>171000</v>
      </c>
      <c r="I2871" s="22" t="n">
        <v>165000</v>
      </c>
      <c r="J2871" s="20" t="inlineStr">
        <is>
          <t>EVM SKODA</t>
        </is>
      </c>
      <c r="K2871" s="20" t="inlineStr">
        <is>
          <t>Non-Captive</t>
        </is>
      </c>
      <c r="L2871" s="20" t="inlineStr">
        <is>
          <t>Illiyas Aboobacker</t>
        </is>
      </c>
      <c r="M2871" s="23" t="n">
        <v>4237.29</v>
      </c>
    </row>
    <row r="2872">
      <c r="A2872" s="19" t="inlineStr">
        <is>
          <t>FY27</t>
        </is>
      </c>
      <c r="B2872" s="19" t="inlineStr">
        <is>
          <t>Jul</t>
        </is>
      </c>
      <c r="C2872" s="19" t="inlineStr">
        <is>
          <t>Kerala</t>
        </is>
      </c>
      <c r="D2872" s="20" t="inlineStr">
        <is>
          <t>KL02AA6406</t>
        </is>
      </c>
      <c r="E2872" s="20" t="inlineStr">
        <is>
          <t>MARUTI</t>
        </is>
      </c>
      <c r="F2872" s="20" t="inlineStr">
        <is>
          <t>Wagonr</t>
        </is>
      </c>
      <c r="G2872" s="21" t="n">
        <v>2007</v>
      </c>
      <c r="H2872" s="22" t="n">
        <v>188000</v>
      </c>
      <c r="I2872" s="22" t="n">
        <v>60000</v>
      </c>
      <c r="J2872" s="20" t="inlineStr">
        <is>
          <t>LUXON TATA</t>
        </is>
      </c>
      <c r="K2872" s="20" t="inlineStr">
        <is>
          <t>Non-Captive</t>
        </is>
      </c>
      <c r="L2872" s="20" t="inlineStr">
        <is>
          <t>AKHILNATH</t>
        </is>
      </c>
      <c r="M2872" s="23" t="n">
        <v>5932.2</v>
      </c>
    </row>
    <row r="2873">
      <c r="A2873" s="19" t="inlineStr">
        <is>
          <t>FY27</t>
        </is>
      </c>
      <c r="B2873" s="19" t="inlineStr">
        <is>
          <t>Jul</t>
        </is>
      </c>
      <c r="C2873" s="19" t="inlineStr">
        <is>
          <t>Kerala</t>
        </is>
      </c>
      <c r="D2873" s="20" t="inlineStr">
        <is>
          <t>KL24F1272</t>
        </is>
      </c>
      <c r="E2873" s="20" t="inlineStr">
        <is>
          <t>HYUNDAI</t>
        </is>
      </c>
      <c r="F2873" s="20" t="inlineStr">
        <is>
          <t>I 10</t>
        </is>
      </c>
      <c r="G2873" s="21" t="n">
        <v>2012</v>
      </c>
      <c r="H2873" s="22" t="n">
        <v>84000</v>
      </c>
      <c r="I2873" s="22" t="n">
        <v>76000</v>
      </c>
      <c r="J2873" s="20" t="inlineStr">
        <is>
          <t>INDUS MARUTI</t>
        </is>
      </c>
      <c r="K2873" s="20" t="inlineStr">
        <is>
          <t>Non-Captive</t>
        </is>
      </c>
      <c r="L2873" s="20" t="inlineStr">
        <is>
          <t>Renjith SJ</t>
        </is>
      </c>
      <c r="M2873" s="23" t="n">
        <v>5084.75</v>
      </c>
    </row>
    <row r="2874">
      <c r="A2874" s="19" t="inlineStr">
        <is>
          <t>FY27</t>
        </is>
      </c>
      <c r="B2874" s="19" t="inlineStr">
        <is>
          <t>Jul</t>
        </is>
      </c>
      <c r="C2874" s="19" t="inlineStr">
        <is>
          <t>Kerala</t>
        </is>
      </c>
      <c r="D2874" s="20" t="inlineStr">
        <is>
          <t>KL38J5463</t>
        </is>
      </c>
      <c r="E2874" s="20" t="inlineStr">
        <is>
          <t>TATA</t>
        </is>
      </c>
      <c r="F2874" s="20" t="inlineStr">
        <is>
          <t>Nexon</t>
        </is>
      </c>
      <c r="G2874" s="21" t="n">
        <v>2021</v>
      </c>
      <c r="H2874" s="22" t="n">
        <v>1183101</v>
      </c>
      <c r="I2874" s="22" t="n">
        <v>510000</v>
      </c>
      <c r="J2874" s="20" t="inlineStr">
        <is>
          <t>INCHEON KIA</t>
        </is>
      </c>
      <c r="K2874" s="20" t="inlineStr">
        <is>
          <t>Non-Captive</t>
        </is>
      </c>
      <c r="L2874" s="20" t="inlineStr">
        <is>
          <t>RASIK RAHIM</t>
        </is>
      </c>
      <c r="M2874" s="23" t="n">
        <v>8474.58</v>
      </c>
    </row>
    <row r="2875">
      <c r="A2875" s="19" t="inlineStr">
        <is>
          <t>FY27</t>
        </is>
      </c>
      <c r="B2875" s="19" t="inlineStr">
        <is>
          <t>Jul</t>
        </is>
      </c>
      <c r="C2875" s="19" t="inlineStr">
        <is>
          <t>Kerala</t>
        </is>
      </c>
      <c r="D2875" s="20" t="inlineStr">
        <is>
          <t>KL34H5945</t>
        </is>
      </c>
      <c r="E2875" s="20" t="inlineStr">
        <is>
          <t>KIA</t>
        </is>
      </c>
      <c r="F2875" s="20" t="inlineStr">
        <is>
          <t>Sonet</t>
        </is>
      </c>
      <c r="G2875" s="21" t="n">
        <v>2023</v>
      </c>
      <c r="H2875" s="22" t="n">
        <v>105000</v>
      </c>
      <c r="I2875" s="22" t="n">
        <v>720000</v>
      </c>
      <c r="J2875" s="20" t="inlineStr">
        <is>
          <t>ALBIN</t>
        </is>
      </c>
      <c r="K2875" s="20" t="inlineStr">
        <is>
          <t>Non-Captive</t>
        </is>
      </c>
      <c r="L2875" s="20" t="inlineStr">
        <is>
          <t>SANOOB V A</t>
        </is>
      </c>
      <c r="M2875" s="23" t="n">
        <v>8474.58</v>
      </c>
    </row>
    <row r="2876">
      <c r="A2876" s="19" t="inlineStr">
        <is>
          <t>FY27</t>
        </is>
      </c>
      <c r="B2876" s="19" t="inlineStr">
        <is>
          <t>Jul</t>
        </is>
      </c>
      <c r="C2876" s="19" t="inlineStr">
        <is>
          <t>Kerala</t>
        </is>
      </c>
      <c r="D2876" s="20" t="inlineStr">
        <is>
          <t>KL75B1454</t>
        </is>
      </c>
      <c r="E2876" s="20" t="inlineStr">
        <is>
          <t>MARUTI</t>
        </is>
      </c>
      <c r="F2876" s="20" t="inlineStr">
        <is>
          <t>Ignis</t>
        </is>
      </c>
      <c r="G2876" s="21" t="n">
        <v>2021</v>
      </c>
      <c r="H2876" s="22" t="n">
        <v>96402</v>
      </c>
      <c r="I2876" s="22" t="n">
        <v>410000</v>
      </c>
      <c r="J2876" s="20" t="inlineStr">
        <is>
          <t>KVR TATA</t>
        </is>
      </c>
      <c r="K2876" s="20" t="inlineStr">
        <is>
          <t>Non-Captive</t>
        </is>
      </c>
      <c r="L2876" s="20" t="inlineStr">
        <is>
          <t>JAMSHEER</t>
        </is>
      </c>
      <c r="M2876" s="23" t="n">
        <v>8474.58</v>
      </c>
    </row>
    <row r="2877">
      <c r="A2877" s="19" t="inlineStr">
        <is>
          <t>FY27</t>
        </is>
      </c>
      <c r="B2877" s="19" t="inlineStr">
        <is>
          <t>Jul</t>
        </is>
      </c>
      <c r="C2877" s="19" t="inlineStr">
        <is>
          <t>Kerala</t>
        </is>
      </c>
      <c r="D2877" s="20" t="inlineStr">
        <is>
          <t>KL346813</t>
        </is>
      </c>
      <c r="E2877" s="20" t="inlineStr">
        <is>
          <t>FORD</t>
        </is>
      </c>
      <c r="F2877" s="20" t="inlineStr">
        <is>
          <t>Fiesta</t>
        </is>
      </c>
      <c r="G2877" s="21" t="n">
        <v>2008</v>
      </c>
      <c r="H2877" s="22" t="n">
        <v>161890</v>
      </c>
      <c r="I2877" s="22" t="n">
        <v>70000</v>
      </c>
      <c r="J2877" s="20" t="inlineStr">
        <is>
          <t>OLX</t>
        </is>
      </c>
      <c r="K2877" s="20" t="inlineStr">
        <is>
          <t>Non-Captive</t>
        </is>
      </c>
      <c r="L2877" s="20" t="inlineStr">
        <is>
          <t>DINESH P S</t>
        </is>
      </c>
      <c r="M2877" s="23" t="n">
        <v>12711.86</v>
      </c>
    </row>
    <row r="2878">
      <c r="A2878" s="19" t="inlineStr">
        <is>
          <t>FY27</t>
        </is>
      </c>
      <c r="B2878" s="19" t="inlineStr">
        <is>
          <t>Jul</t>
        </is>
      </c>
      <c r="C2878" s="19" t="inlineStr">
        <is>
          <t>Kerala</t>
        </is>
      </c>
      <c r="D2878" s="20" t="inlineStr">
        <is>
          <t>KL39E7013</t>
        </is>
      </c>
      <c r="E2878" s="20" t="inlineStr">
        <is>
          <t>FORD</t>
        </is>
      </c>
      <c r="F2878" s="20" t="inlineStr">
        <is>
          <t>Figo</t>
        </is>
      </c>
      <c r="G2878" s="21" t="n">
        <v>2013</v>
      </c>
      <c r="H2878" s="22" t="n">
        <v>75570</v>
      </c>
      <c r="I2878" s="22" t="n">
        <v>110000</v>
      </c>
      <c r="J2878" s="20" t="inlineStr">
        <is>
          <t>CARS24</t>
        </is>
      </c>
      <c r="K2878" s="20" t="inlineStr">
        <is>
          <t>Non-Captive</t>
        </is>
      </c>
      <c r="L2878" s="20" t="inlineStr">
        <is>
          <t>RAFEEK T A</t>
        </is>
      </c>
      <c r="M2878" s="23" t="n">
        <v>8474.58</v>
      </c>
    </row>
    <row r="2879">
      <c r="A2879" s="19" t="inlineStr">
        <is>
          <t>FY27</t>
        </is>
      </c>
      <c r="B2879" s="19" t="inlineStr">
        <is>
          <t>Jul</t>
        </is>
      </c>
      <c r="C2879" s="19" t="inlineStr">
        <is>
          <t>Kerala</t>
        </is>
      </c>
      <c r="D2879" s="20" t="inlineStr">
        <is>
          <t>KL59U8787</t>
        </is>
      </c>
      <c r="E2879" s="20" t="inlineStr">
        <is>
          <t>TATA</t>
        </is>
      </c>
      <c r="F2879" s="20" t="inlineStr">
        <is>
          <t>Nexon</t>
        </is>
      </c>
      <c r="G2879" s="21" t="n">
        <v>2019</v>
      </c>
      <c r="H2879" s="22" t="n">
        <v>62000</v>
      </c>
      <c r="I2879" s="22" t="n">
        <v>485000</v>
      </c>
      <c r="J2879" s="20" t="inlineStr">
        <is>
          <t>KVR TATA</t>
        </is>
      </c>
      <c r="K2879" s="20" t="inlineStr">
        <is>
          <t>Non-Captive</t>
        </is>
      </c>
      <c r="L2879" s="20" t="inlineStr">
        <is>
          <t>SAJEEVAN CARZONE</t>
        </is>
      </c>
      <c r="M2879" s="23" t="n">
        <v>8474.58</v>
      </c>
    </row>
    <row r="2880">
      <c r="A2880" s="19" t="inlineStr">
        <is>
          <t>FY27</t>
        </is>
      </c>
      <c r="B2880" s="19" t="inlineStr">
        <is>
          <t>Jul</t>
        </is>
      </c>
      <c r="C2880" s="19" t="inlineStr">
        <is>
          <t>Kerala</t>
        </is>
      </c>
      <c r="D2880" s="20" t="inlineStr">
        <is>
          <t>KL618433</t>
        </is>
      </c>
      <c r="E2880" s="20" t="inlineStr">
        <is>
          <t>MARUTI</t>
        </is>
      </c>
      <c r="F2880" s="20" t="inlineStr">
        <is>
          <t>Wagon R</t>
        </is>
      </c>
      <c r="G2880" s="21" t="n">
        <v>2013</v>
      </c>
      <c r="H2880" s="22" t="n">
        <v>195000</v>
      </c>
      <c r="I2880" s="22" t="n">
        <v>140000</v>
      </c>
      <c r="J2880" s="20" t="inlineStr">
        <is>
          <t>POPULAR MARUTI</t>
        </is>
      </c>
      <c r="K2880" s="20" t="inlineStr">
        <is>
          <t>Non-Captive</t>
        </is>
      </c>
      <c r="L2880" s="20" t="inlineStr">
        <is>
          <t>GS USED CAR</t>
        </is>
      </c>
      <c r="M2880" s="23" t="n">
        <v>8474.58</v>
      </c>
    </row>
    <row r="2881">
      <c r="A2881" s="19" t="inlineStr">
        <is>
          <t>FY27</t>
        </is>
      </c>
      <c r="B2881" s="19" t="inlineStr">
        <is>
          <t>Jul</t>
        </is>
      </c>
      <c r="C2881" s="19" t="inlineStr">
        <is>
          <t>Kerala</t>
        </is>
      </c>
      <c r="D2881" s="20" t="inlineStr">
        <is>
          <t>KL01BF4051</t>
        </is>
      </c>
      <c r="E2881" s="20" t="inlineStr">
        <is>
          <t>MARUTI</t>
        </is>
      </c>
      <c r="F2881" s="20" t="inlineStr">
        <is>
          <t>Estilo</t>
        </is>
      </c>
      <c r="G2881" s="21" t="n">
        <v>2012</v>
      </c>
      <c r="H2881" s="22" t="n">
        <v>39000</v>
      </c>
      <c r="I2881" s="22" t="n">
        <v>120000</v>
      </c>
      <c r="J2881" s="20" t="inlineStr">
        <is>
          <t>POPULAR MARUTI</t>
        </is>
      </c>
      <c r="K2881" s="20" t="inlineStr">
        <is>
          <t>Non-Captive</t>
        </is>
      </c>
      <c r="L2881" s="20" t="inlineStr">
        <is>
          <t>GS USED CAR</t>
        </is>
      </c>
      <c r="M2881" s="23" t="n">
        <v>12711.86</v>
      </c>
    </row>
    <row r="2882">
      <c r="A2882" s="19" t="inlineStr">
        <is>
          <t>FY27</t>
        </is>
      </c>
      <c r="B2882" s="19" t="inlineStr">
        <is>
          <t>Jul</t>
        </is>
      </c>
      <c r="C2882" s="19" t="inlineStr">
        <is>
          <t>Kerala</t>
        </is>
      </c>
      <c r="D2882" s="20" t="inlineStr">
        <is>
          <t>KL23B1578</t>
        </is>
      </c>
      <c r="E2882" s="20" t="inlineStr">
        <is>
          <t>MARUTI</t>
        </is>
      </c>
      <c r="F2882" s="20" t="inlineStr">
        <is>
          <t>Alto</t>
        </is>
      </c>
      <c r="G2882" s="21" t="n">
        <v>2009</v>
      </c>
      <c r="H2882" s="22" t="n">
        <v>101154</v>
      </c>
      <c r="I2882" s="22" t="n">
        <v>65000</v>
      </c>
      <c r="J2882" s="20" t="inlineStr">
        <is>
          <t>POPULAR MARUTI</t>
        </is>
      </c>
      <c r="K2882" s="20" t="inlineStr">
        <is>
          <t>Non-Captive</t>
        </is>
      </c>
      <c r="L2882" s="20" t="inlineStr">
        <is>
          <t>Arun Sugunan</t>
        </is>
      </c>
      <c r="M2882" s="23" t="n">
        <v>8474.58</v>
      </c>
    </row>
    <row r="2883">
      <c r="A2883" s="19" t="inlineStr">
        <is>
          <t>FY27</t>
        </is>
      </c>
      <c r="B2883" s="19" t="inlineStr">
        <is>
          <t>Jul</t>
        </is>
      </c>
      <c r="C2883" s="19" t="inlineStr">
        <is>
          <t>Kerala</t>
        </is>
      </c>
      <c r="D2883" s="20" t="inlineStr">
        <is>
          <t>KL23G2785</t>
        </is>
      </c>
      <c r="E2883" s="20" t="inlineStr">
        <is>
          <t>MARUTI</t>
        </is>
      </c>
      <c r="F2883" s="20" t="inlineStr">
        <is>
          <t>Dzire</t>
        </is>
      </c>
      <c r="G2883" s="21" t="n">
        <v>2012</v>
      </c>
      <c r="H2883" s="22" t="n">
        <v>51332</v>
      </c>
      <c r="I2883" s="22" t="n">
        <v>295000</v>
      </c>
      <c r="J2883" s="20" t="inlineStr">
        <is>
          <t>POPULAR MARUTI</t>
        </is>
      </c>
      <c r="K2883" s="20" t="inlineStr">
        <is>
          <t>Non-Captive</t>
        </is>
      </c>
      <c r="L2883" s="20" t="inlineStr">
        <is>
          <t>MAXX MOTORS</t>
        </is>
      </c>
      <c r="M2883" s="23" t="n">
        <v>8474.58</v>
      </c>
    </row>
    <row r="2884">
      <c r="A2884" s="19" t="inlineStr">
        <is>
          <t>FY27</t>
        </is>
      </c>
      <c r="B2884" s="19" t="inlineStr">
        <is>
          <t>Jul</t>
        </is>
      </c>
      <c r="C2884" s="19" t="inlineStr">
        <is>
          <t>Kerala</t>
        </is>
      </c>
      <c r="D2884" s="20" t="inlineStr">
        <is>
          <t>KL02BN7929</t>
        </is>
      </c>
      <c r="E2884" s="20" t="inlineStr">
        <is>
          <t>RENAULT</t>
        </is>
      </c>
      <c r="F2884" s="20" t="inlineStr">
        <is>
          <t>Kiger</t>
        </is>
      </c>
      <c r="G2884" s="21" t="n">
        <v>2021</v>
      </c>
      <c r="H2884" s="22" t="n">
        <v>15743</v>
      </c>
      <c r="I2884" s="22" t="n">
        <v>500000</v>
      </c>
      <c r="J2884" s="20" t="inlineStr">
        <is>
          <t>INCHEON KIA</t>
        </is>
      </c>
      <c r="K2884" s="20" t="inlineStr">
        <is>
          <t>Non-Captive</t>
        </is>
      </c>
      <c r="L2884" s="20" t="inlineStr">
        <is>
          <t>MAXX MOTORS</t>
        </is>
      </c>
      <c r="M2884" s="23" t="n">
        <v>8474.58</v>
      </c>
    </row>
    <row r="2885">
      <c r="A2885" s="19" t="inlineStr">
        <is>
          <t>FY27</t>
        </is>
      </c>
      <c r="B2885" s="19" t="inlineStr">
        <is>
          <t>Jul</t>
        </is>
      </c>
      <c r="C2885" s="19" t="inlineStr">
        <is>
          <t>Kerala</t>
        </is>
      </c>
      <c r="D2885" s="20" t="inlineStr">
        <is>
          <t>KL16W8477</t>
        </is>
      </c>
      <c r="E2885" s="20" t="inlineStr">
        <is>
          <t>HYUNDAI</t>
        </is>
      </c>
      <c r="F2885" s="20" t="inlineStr">
        <is>
          <t>I 10</t>
        </is>
      </c>
      <c r="G2885" s="21" t="n">
        <v>2019</v>
      </c>
      <c r="H2885" s="22" t="n">
        <v>17000</v>
      </c>
      <c r="I2885" s="22" t="n">
        <v>370000</v>
      </c>
      <c r="J2885" s="20" t="inlineStr">
        <is>
          <t>LUXON TATA</t>
        </is>
      </c>
      <c r="K2885" s="20" t="inlineStr">
        <is>
          <t>Non-Captive</t>
        </is>
      </c>
      <c r="L2885" s="20" t="inlineStr">
        <is>
          <t>MAXX MOTORS</t>
        </is>
      </c>
      <c r="M2885" s="23" t="n">
        <v>8474.58</v>
      </c>
    </row>
    <row r="2886">
      <c r="A2886" s="19" t="inlineStr">
        <is>
          <t>FY27</t>
        </is>
      </c>
      <c r="B2886" s="19" t="inlineStr">
        <is>
          <t>Jul</t>
        </is>
      </c>
      <c r="C2886" s="19" t="inlineStr">
        <is>
          <t>Kerala</t>
        </is>
      </c>
      <c r="D2886" s="20" t="inlineStr">
        <is>
          <t>KL54M8401</t>
        </is>
      </c>
      <c r="E2886" s="20" t="inlineStr">
        <is>
          <t>MARUTI</t>
        </is>
      </c>
      <c r="F2886" s="20" t="inlineStr">
        <is>
          <t>Ritz</t>
        </is>
      </c>
      <c r="G2886" s="21" t="n">
        <v>2010</v>
      </c>
      <c r="H2886" s="22" t="n">
        <v>95039</v>
      </c>
      <c r="I2886" s="22" t="n">
        <v>162500</v>
      </c>
      <c r="J2886" s="20" t="inlineStr">
        <is>
          <t>KVR TATA</t>
        </is>
      </c>
      <c r="K2886" s="20" t="inlineStr">
        <is>
          <t>Non-Captive</t>
        </is>
      </c>
      <c r="L2886" s="20" t="inlineStr">
        <is>
          <t>AITO CARS</t>
        </is>
      </c>
      <c r="M2886" s="23" t="n">
        <v>10593.22</v>
      </c>
    </row>
    <row r="2887">
      <c r="A2887" s="19" t="inlineStr">
        <is>
          <t>FY27</t>
        </is>
      </c>
      <c r="B2887" s="19" t="inlineStr">
        <is>
          <t>Jul</t>
        </is>
      </c>
      <c r="C2887" s="19" t="inlineStr">
        <is>
          <t>Kerala</t>
        </is>
      </c>
      <c r="D2887" s="20" t="inlineStr">
        <is>
          <t>KL07DG4625</t>
        </is>
      </c>
      <c r="E2887" s="20" t="inlineStr">
        <is>
          <t>TOYOTA</t>
        </is>
      </c>
      <c r="F2887" s="20" t="inlineStr">
        <is>
          <t>Glanza</t>
        </is>
      </c>
      <c r="G2887" s="21" t="n">
        <v>2025</v>
      </c>
      <c r="H2887" s="22" t="n">
        <v>10000</v>
      </c>
      <c r="I2887" s="22" t="n">
        <v>865000</v>
      </c>
      <c r="J2887" s="20" t="inlineStr">
        <is>
          <t>GOKULAM TATA</t>
        </is>
      </c>
      <c r="K2887" s="20" t="inlineStr">
        <is>
          <t>Non-Captive</t>
        </is>
      </c>
      <c r="L2887" s="20" t="inlineStr">
        <is>
          <t>SHAMSUDEEN C E</t>
        </is>
      </c>
      <c r="M2887" s="23" t="n">
        <v>12711.86</v>
      </c>
    </row>
    <row r="2888">
      <c r="A2888" s="19" t="inlineStr">
        <is>
          <t>FY27</t>
        </is>
      </c>
      <c r="B2888" s="19" t="inlineStr">
        <is>
          <t>Jul</t>
        </is>
      </c>
      <c r="C2888" s="19" t="inlineStr">
        <is>
          <t>Kerala</t>
        </is>
      </c>
      <c r="D2888" s="20" t="inlineStr">
        <is>
          <t>KL45R1575</t>
        </is>
      </c>
      <c r="E2888" s="20" t="inlineStr">
        <is>
          <t>RENAULT</t>
        </is>
      </c>
      <c r="F2888" s="20" t="inlineStr">
        <is>
          <t>Kwid</t>
        </is>
      </c>
      <c r="G2888" s="21" t="n">
        <v>2018</v>
      </c>
      <c r="H2888" s="22" t="n">
        <v>36264</v>
      </c>
      <c r="I2888" s="22" t="n">
        <v>262500</v>
      </c>
      <c r="J2888" s="20" t="inlineStr">
        <is>
          <t>POPULAR HYUNDAI</t>
        </is>
      </c>
      <c r="K2888" s="20" t="inlineStr">
        <is>
          <t>Non-Captive</t>
        </is>
      </c>
      <c r="L2888" s="20" t="inlineStr">
        <is>
          <t>UMESHKUMAR T U</t>
        </is>
      </c>
      <c r="M2888" s="23" t="n">
        <v>10593.22</v>
      </c>
    </row>
    <row r="2889">
      <c r="A2889" s="19" t="inlineStr">
        <is>
          <t>FY27</t>
        </is>
      </c>
      <c r="B2889" s="19" t="inlineStr">
        <is>
          <t>Jul</t>
        </is>
      </c>
      <c r="C2889" s="19" t="inlineStr">
        <is>
          <t>Kerala</t>
        </is>
      </c>
      <c r="D2889" s="20" t="inlineStr">
        <is>
          <t>KL07DC8227</t>
        </is>
      </c>
      <c r="E2889" s="20" t="inlineStr">
        <is>
          <t>MARUTI</t>
        </is>
      </c>
      <c r="F2889" s="20" t="inlineStr">
        <is>
          <t>G Vitara</t>
        </is>
      </c>
      <c r="G2889" s="21" t="n">
        <v>2024</v>
      </c>
      <c r="H2889" s="22" t="n">
        <v>26578</v>
      </c>
      <c r="I2889" s="22" t="n">
        <v>1215000</v>
      </c>
      <c r="J2889" s="20" t="inlineStr">
        <is>
          <t>POPULAR HYUNDAI</t>
        </is>
      </c>
      <c r="K2889" s="20" t="inlineStr">
        <is>
          <t>Non-Captive</t>
        </is>
      </c>
      <c r="L2889" s="20" t="inlineStr">
        <is>
          <t>4 WHEEL DRIVE</t>
        </is>
      </c>
      <c r="M2889" s="23" t="n">
        <v>12711.86</v>
      </c>
    </row>
    <row r="2890">
      <c r="A2890" s="19" t="inlineStr">
        <is>
          <t>FY27</t>
        </is>
      </c>
      <c r="B2890" s="19" t="inlineStr">
        <is>
          <t>Jul</t>
        </is>
      </c>
      <c r="C2890" s="19" t="inlineStr">
        <is>
          <t>Kerala</t>
        </is>
      </c>
      <c r="D2890" s="20" t="inlineStr">
        <is>
          <t>KL48P4824</t>
        </is>
      </c>
      <c r="E2890" s="20" t="inlineStr">
        <is>
          <t>TATA</t>
        </is>
      </c>
      <c r="F2890" s="20" t="inlineStr">
        <is>
          <t>Nexon</t>
        </is>
      </c>
      <c r="G2890" s="21" t="n">
        <v>2023</v>
      </c>
      <c r="H2890" s="22" t="n">
        <v>66243</v>
      </c>
      <c r="I2890" s="22" t="n">
        <v>487500</v>
      </c>
      <c r="J2890" s="20" t="inlineStr">
        <is>
          <t>POPULAR HYUNDAI</t>
        </is>
      </c>
      <c r="K2890" s="20" t="inlineStr">
        <is>
          <t>Non-Captive</t>
        </is>
      </c>
      <c r="L2890" s="20" t="inlineStr">
        <is>
          <t>AITO CARS</t>
        </is>
      </c>
      <c r="M2890" s="23" t="n">
        <v>10593.22</v>
      </c>
    </row>
    <row r="2891">
      <c r="A2891" s="19" t="inlineStr">
        <is>
          <t>FY27</t>
        </is>
      </c>
      <c r="B2891" s="19" t="inlineStr">
        <is>
          <t>Jul</t>
        </is>
      </c>
      <c r="C2891" s="19" t="inlineStr">
        <is>
          <t>Kerala</t>
        </is>
      </c>
      <c r="D2891" s="20" t="inlineStr">
        <is>
          <t>KL59E3511</t>
        </is>
      </c>
      <c r="E2891" s="20" t="inlineStr">
        <is>
          <t>MARUTI</t>
        </is>
      </c>
      <c r="F2891" s="20" t="inlineStr">
        <is>
          <t>Alto</t>
        </is>
      </c>
      <c r="G2891" s="21" t="n">
        <v>2008</v>
      </c>
      <c r="H2891" s="22" t="n">
        <v>134000</v>
      </c>
      <c r="I2891" s="22" t="n">
        <v>13000</v>
      </c>
      <c r="J2891" s="20" t="inlineStr">
        <is>
          <t>POPULAR MARUTI</t>
        </is>
      </c>
      <c r="K2891" s="20" t="inlineStr">
        <is>
          <t>Non-Captive</t>
        </is>
      </c>
      <c r="L2891" s="20" t="inlineStr">
        <is>
          <t>AUTOTRUST</t>
        </is>
      </c>
      <c r="M2891" s="23" t="n">
        <v>5084.75</v>
      </c>
    </row>
    <row r="2892">
      <c r="A2892" s="19" t="inlineStr">
        <is>
          <t>FY27</t>
        </is>
      </c>
      <c r="B2892" s="19" t="inlineStr">
        <is>
          <t>Jul</t>
        </is>
      </c>
      <c r="C2892" s="19" t="inlineStr">
        <is>
          <t>Kerala</t>
        </is>
      </c>
      <c r="D2892" s="20" t="inlineStr">
        <is>
          <t>KL55Y2930</t>
        </is>
      </c>
      <c r="E2892" s="20" t="inlineStr">
        <is>
          <t>RENAULT</t>
        </is>
      </c>
      <c r="F2892" s="20" t="inlineStr">
        <is>
          <t>Kwid</t>
        </is>
      </c>
      <c r="G2892" s="21" t="n">
        <v>2018</v>
      </c>
      <c r="H2892" s="22" t="n">
        <v>21000</v>
      </c>
      <c r="I2892" s="22" t="n">
        <v>267000</v>
      </c>
      <c r="J2892" s="20" t="inlineStr">
        <is>
          <t>BIMAL</t>
        </is>
      </c>
      <c r="K2892" s="20" t="inlineStr">
        <is>
          <t>Non-Captive</t>
        </is>
      </c>
      <c r="L2892" s="20" t="inlineStr">
        <is>
          <t>KANNUR PLATINUM</t>
        </is>
      </c>
      <c r="M2892" s="23" t="n">
        <v>5932.2</v>
      </c>
    </row>
    <row r="2893">
      <c r="A2893" s="19" t="inlineStr">
        <is>
          <t>FY27</t>
        </is>
      </c>
      <c r="B2893" s="19" t="inlineStr">
        <is>
          <t>Jul</t>
        </is>
      </c>
      <c r="C2893" s="19" t="inlineStr">
        <is>
          <t>Kerala</t>
        </is>
      </c>
      <c r="D2893" s="20" t="inlineStr">
        <is>
          <t>KL57F7789</t>
        </is>
      </c>
      <c r="E2893" s="20" t="inlineStr">
        <is>
          <t>MARUTI</t>
        </is>
      </c>
      <c r="F2893" s="20" t="inlineStr">
        <is>
          <t>Dezire</t>
        </is>
      </c>
      <c r="G2893" s="21" t="n">
        <v>2012</v>
      </c>
      <c r="H2893" s="22" t="n">
        <v>87000</v>
      </c>
      <c r="I2893" s="22" t="n">
        <v>291500</v>
      </c>
      <c r="J2893" s="20" t="inlineStr">
        <is>
          <t>POPULAR MARUTI</t>
        </is>
      </c>
      <c r="K2893" s="20" t="inlineStr">
        <is>
          <t>Non-Captive</t>
        </is>
      </c>
      <c r="L2893" s="20" t="inlineStr">
        <is>
          <t>Mahesh Shankar</t>
        </is>
      </c>
      <c r="M2893" s="23" t="n">
        <v>9745.76</v>
      </c>
    </row>
    <row r="2894">
      <c r="A2894" s="19" t="inlineStr">
        <is>
          <t>FY27</t>
        </is>
      </c>
      <c r="B2894" s="19" t="inlineStr">
        <is>
          <t>Jul</t>
        </is>
      </c>
      <c r="C2894" s="19" t="inlineStr">
        <is>
          <t>Kerala</t>
        </is>
      </c>
      <c r="D2894" s="20" t="inlineStr">
        <is>
          <t>KL13AJ155</t>
        </is>
      </c>
      <c r="E2894" s="20" t="inlineStr">
        <is>
          <t>TOYOTA</t>
        </is>
      </c>
      <c r="F2894" s="20" t="inlineStr">
        <is>
          <t>Etios Liva</t>
        </is>
      </c>
      <c r="G2894" s="21" t="n">
        <v>2017</v>
      </c>
      <c r="H2894" s="22" t="n">
        <v>77000</v>
      </c>
      <c r="I2894" s="22" t="n">
        <v>425000</v>
      </c>
      <c r="J2894" s="20" t="inlineStr">
        <is>
          <t>ERAM MAHINDRA</t>
        </is>
      </c>
      <c r="K2894" s="20" t="inlineStr">
        <is>
          <t>Non-Captive</t>
        </is>
      </c>
      <c r="L2894" s="20" t="inlineStr">
        <is>
          <t>Varun B Prakash</t>
        </is>
      </c>
      <c r="M2894" s="23" t="n">
        <v>5932.2</v>
      </c>
    </row>
    <row r="2895">
      <c r="A2895" s="19" t="inlineStr">
        <is>
          <t>FY27</t>
        </is>
      </c>
      <c r="B2895" s="19" t="inlineStr">
        <is>
          <t>Jul</t>
        </is>
      </c>
      <c r="C2895" s="19" t="inlineStr">
        <is>
          <t>Kerala</t>
        </is>
      </c>
      <c r="D2895" s="20" t="inlineStr">
        <is>
          <t>KL18N1771</t>
        </is>
      </c>
      <c r="E2895" s="20" t="inlineStr">
        <is>
          <t>MARUTI</t>
        </is>
      </c>
      <c r="F2895" s="20" t="inlineStr">
        <is>
          <t>Celerio</t>
        </is>
      </c>
      <c r="G2895" s="21" t="n">
        <v>2014</v>
      </c>
      <c r="H2895" s="22" t="n">
        <v>88000</v>
      </c>
      <c r="I2895" s="22" t="n">
        <v>273000</v>
      </c>
      <c r="J2895" s="20" t="inlineStr">
        <is>
          <t>POPULAR MARUTI</t>
        </is>
      </c>
      <c r="K2895" s="20" t="inlineStr">
        <is>
          <t>Non-Captive</t>
        </is>
      </c>
      <c r="L2895" s="20" t="inlineStr">
        <is>
          <t>ARSHEENA TV</t>
        </is>
      </c>
      <c r="M2895" s="23" t="n">
        <v>6779.66</v>
      </c>
    </row>
    <row r="2896">
      <c r="A2896" s="19" t="inlineStr">
        <is>
          <t>FY27</t>
        </is>
      </c>
      <c r="B2896" s="19" t="inlineStr">
        <is>
          <t>Jul</t>
        </is>
      </c>
      <c r="C2896" s="19" t="inlineStr">
        <is>
          <t>Kerala</t>
        </is>
      </c>
      <c r="D2896" s="20" t="inlineStr">
        <is>
          <t>KL14G1970</t>
        </is>
      </c>
      <c r="E2896" s="20" t="inlineStr">
        <is>
          <t>HYUNDAI</t>
        </is>
      </c>
      <c r="F2896" s="20" t="inlineStr">
        <is>
          <t>Santro</t>
        </is>
      </c>
      <c r="G2896" s="21" t="n">
        <v>2006</v>
      </c>
      <c r="H2896" s="22" t="n">
        <v>126739</v>
      </c>
      <c r="I2896" s="22" t="n">
        <v>40000</v>
      </c>
      <c r="J2896" s="20" t="inlineStr">
        <is>
          <t>MAIJO MARUTI</t>
        </is>
      </c>
      <c r="K2896" s="20" t="inlineStr">
        <is>
          <t>Non-Captive</t>
        </is>
      </c>
      <c r="L2896" s="20" t="inlineStr">
        <is>
          <t>HUSSAIN O E</t>
        </is>
      </c>
      <c r="M2896" s="23" t="n">
        <v>8474.58</v>
      </c>
    </row>
    <row r="2897">
      <c r="A2897" s="19" t="inlineStr">
        <is>
          <t>FY27</t>
        </is>
      </c>
      <c r="B2897" s="19" t="inlineStr">
        <is>
          <t>Jul</t>
        </is>
      </c>
      <c r="C2897" s="19" t="inlineStr">
        <is>
          <t>Kerala</t>
        </is>
      </c>
      <c r="D2897" s="20" t="inlineStr">
        <is>
          <t>KL05AJ6027</t>
        </is>
      </c>
      <c r="E2897" s="20" t="inlineStr">
        <is>
          <t>HYUNDAI</t>
        </is>
      </c>
      <c r="F2897" s="20" t="inlineStr">
        <is>
          <t>Eon</t>
        </is>
      </c>
      <c r="G2897" s="21" t="n">
        <v>2014</v>
      </c>
      <c r="H2897" s="22" t="n">
        <v>86767</v>
      </c>
      <c r="I2897" s="22" t="n">
        <v>135000</v>
      </c>
      <c r="J2897" s="20" t="inlineStr">
        <is>
          <t>AMRITH V CHANDY</t>
        </is>
      </c>
      <c r="K2897" s="20" t="inlineStr">
        <is>
          <t>Non-Captive</t>
        </is>
      </c>
      <c r="L2897" s="20" t="inlineStr">
        <is>
          <t>ALBIN JOSE</t>
        </is>
      </c>
      <c r="M2897" s="23" t="n">
        <v>8474.58</v>
      </c>
    </row>
    <row r="2898">
      <c r="A2898" s="19" t="inlineStr">
        <is>
          <t>FY27</t>
        </is>
      </c>
      <c r="B2898" s="19" t="inlineStr">
        <is>
          <t>Jul</t>
        </is>
      </c>
      <c r="C2898" s="19" t="inlineStr">
        <is>
          <t>Kerala</t>
        </is>
      </c>
      <c r="D2898" s="20" t="inlineStr">
        <is>
          <t>KL67A9702</t>
        </is>
      </c>
      <c r="E2898" s="20" t="inlineStr">
        <is>
          <t>RENAULT</t>
        </is>
      </c>
      <c r="F2898" s="20" t="inlineStr">
        <is>
          <t>Kwid</t>
        </is>
      </c>
      <c r="G2898" s="21" t="n">
        <v>2017</v>
      </c>
      <c r="H2898" s="22" t="n">
        <v>61762</v>
      </c>
      <c r="I2898" s="22" t="n">
        <v>185000</v>
      </c>
      <c r="J2898" s="20" t="inlineStr">
        <is>
          <t>POPULAR HYUNDAI</t>
        </is>
      </c>
      <c r="K2898" s="20" t="inlineStr">
        <is>
          <t>Non-Captive</t>
        </is>
      </c>
      <c r="L2898" s="20" t="inlineStr">
        <is>
          <t>GOOD CHOICE</t>
        </is>
      </c>
      <c r="M2898" s="23" t="n">
        <v>8474.58</v>
      </c>
    </row>
    <row r="2899">
      <c r="A2899" s="19" t="inlineStr">
        <is>
          <t>FY27</t>
        </is>
      </c>
      <c r="B2899" s="19" t="inlineStr">
        <is>
          <t>Jul</t>
        </is>
      </c>
      <c r="C2899" s="19" t="inlineStr">
        <is>
          <t>Kerala</t>
        </is>
      </c>
      <c r="D2899" s="20" t="inlineStr">
        <is>
          <t>KL43A3536</t>
        </is>
      </c>
      <c r="E2899" s="20" t="inlineStr">
        <is>
          <t>TATA</t>
        </is>
      </c>
      <c r="F2899" s="20" t="inlineStr">
        <is>
          <t>Indica</t>
        </is>
      </c>
      <c r="G2899" s="21" t="n">
        <v>2008</v>
      </c>
      <c r="H2899" s="22" t="n">
        <v>116450</v>
      </c>
      <c r="I2899" s="22" t="n">
        <v>185000</v>
      </c>
      <c r="J2899" s="20" t="inlineStr">
        <is>
          <t>POPULAR MARUTI</t>
        </is>
      </c>
      <c r="K2899" s="20" t="inlineStr">
        <is>
          <t>Non-Captive</t>
        </is>
      </c>
      <c r="L2899" s="20" t="inlineStr">
        <is>
          <t>RAFEEK T A</t>
        </is>
      </c>
      <c r="M2899" s="23" t="n">
        <v>8474.58</v>
      </c>
    </row>
    <row r="2900">
      <c r="A2900" s="19" t="inlineStr">
        <is>
          <t>FY27</t>
        </is>
      </c>
      <c r="B2900" s="19" t="inlineStr">
        <is>
          <t>Jul</t>
        </is>
      </c>
      <c r="C2900" s="19" t="inlineStr">
        <is>
          <t>Kerala</t>
        </is>
      </c>
      <c r="D2900" s="20" t="inlineStr">
        <is>
          <t>KL01AV2701</t>
        </is>
      </c>
      <c r="E2900" s="20" t="inlineStr">
        <is>
          <t>MARUTI</t>
        </is>
      </c>
      <c r="F2900" s="20" t="inlineStr">
        <is>
          <t>Sx4</t>
        </is>
      </c>
      <c r="G2900" s="21" t="n">
        <v>2009</v>
      </c>
      <c r="H2900" s="22" t="n">
        <v>96578</v>
      </c>
      <c r="I2900" s="22" t="n">
        <v>70000</v>
      </c>
      <c r="J2900" s="20" t="inlineStr">
        <is>
          <t>POPULAR MARUTI</t>
        </is>
      </c>
      <c r="K2900" s="20" t="inlineStr">
        <is>
          <t>Non-Captive</t>
        </is>
      </c>
      <c r="L2900" s="20" t="inlineStr">
        <is>
          <t>RAFEEK T A</t>
        </is>
      </c>
      <c r="M2900" s="23" t="n">
        <v>8474.58</v>
      </c>
    </row>
    <row r="2901">
      <c r="A2901" s="19" t="inlineStr">
        <is>
          <t>FY27</t>
        </is>
      </c>
      <c r="B2901" s="19" t="inlineStr">
        <is>
          <t>Jul</t>
        </is>
      </c>
      <c r="C2901" s="19" t="inlineStr">
        <is>
          <t>Kerala</t>
        </is>
      </c>
      <c r="D2901" s="20" t="inlineStr">
        <is>
          <t>KL271349</t>
        </is>
      </c>
      <c r="E2901" s="20" t="inlineStr">
        <is>
          <t>HYUNDAI</t>
        </is>
      </c>
      <c r="F2901" s="20" t="inlineStr">
        <is>
          <t>Santro</t>
        </is>
      </c>
      <c r="G2901" s="21" t="n">
        <v>2006</v>
      </c>
      <c r="H2901" s="22" t="n">
        <v>154667</v>
      </c>
      <c r="I2901" s="22" t="n">
        <v>25000</v>
      </c>
      <c r="J2901" s="20" t="inlineStr">
        <is>
          <t>AMRITH V CHANDY</t>
        </is>
      </c>
      <c r="K2901" s="20" t="inlineStr">
        <is>
          <t>Non-Captive</t>
        </is>
      </c>
      <c r="L2901" s="20" t="inlineStr">
        <is>
          <t>ANAS HAMEEDKUTTY</t>
        </is>
      </c>
      <c r="M2901" s="23" t="n">
        <v>8474.58</v>
      </c>
    </row>
    <row r="2902">
      <c r="A2902" s="19" t="inlineStr">
        <is>
          <t>FY27</t>
        </is>
      </c>
      <c r="B2902" s="19" t="inlineStr">
        <is>
          <t>Jul</t>
        </is>
      </c>
      <c r="C2902" s="19" t="inlineStr">
        <is>
          <t>Kerala</t>
        </is>
      </c>
      <c r="D2902" s="20" t="inlineStr">
        <is>
          <t>KL48G7160</t>
        </is>
      </c>
      <c r="E2902" s="20" t="inlineStr">
        <is>
          <t>MAHINDRA</t>
        </is>
      </c>
      <c r="F2902" s="20" t="inlineStr">
        <is>
          <t>Load King</t>
        </is>
      </c>
      <c r="G2902" s="21" t="n">
        <v>2015</v>
      </c>
      <c r="H2902" s="22" t="n">
        <v>230000</v>
      </c>
      <c r="I2902" s="22" t="n">
        <v>406000</v>
      </c>
      <c r="J2902" s="20" t="inlineStr">
        <is>
          <t>KUNJU MOIDEEN</t>
        </is>
      </c>
      <c r="K2902" s="20" t="inlineStr">
        <is>
          <t>Non-Captive</t>
        </is>
      </c>
      <c r="L2902" s="20" t="inlineStr">
        <is>
          <t>Alikunju Happy Drive</t>
        </is>
      </c>
      <c r="M2902" s="23" t="n">
        <v>5084.75</v>
      </c>
    </row>
    <row r="2903">
      <c r="A2903" s="19" t="inlineStr">
        <is>
          <t>FY27</t>
        </is>
      </c>
      <c r="B2903" s="19" t="inlineStr">
        <is>
          <t>Jul</t>
        </is>
      </c>
      <c r="C2903" s="19" t="inlineStr">
        <is>
          <t>Kerala</t>
        </is>
      </c>
      <c r="D2903" s="20" t="inlineStr">
        <is>
          <t>KL45D0472</t>
        </is>
      </c>
      <c r="E2903" s="20" t="inlineStr">
        <is>
          <t>CHEVROLET</t>
        </is>
      </c>
      <c r="F2903" s="20" t="inlineStr">
        <is>
          <t>Spark</t>
        </is>
      </c>
      <c r="G2903" s="21" t="n">
        <v>2009</v>
      </c>
      <c r="H2903" s="22" t="n">
        <v>79107</v>
      </c>
      <c r="I2903" s="22" t="n">
        <v>45000</v>
      </c>
      <c r="J2903" s="20" t="inlineStr">
        <is>
          <t>POPULAR MARUTI</t>
        </is>
      </c>
      <c r="K2903" s="20" t="inlineStr">
        <is>
          <t>Non-Captive</t>
        </is>
      </c>
      <c r="L2903" s="20" t="inlineStr">
        <is>
          <t>AFSAL A</t>
        </is>
      </c>
      <c r="M2903" s="23" t="n">
        <v>8474.58</v>
      </c>
    </row>
    <row r="2904">
      <c r="A2904" s="19" t="inlineStr">
        <is>
          <t>FY27</t>
        </is>
      </c>
      <c r="B2904" s="19" t="inlineStr">
        <is>
          <t>Jul</t>
        </is>
      </c>
      <c r="C2904" s="19" t="inlineStr">
        <is>
          <t>Kerala</t>
        </is>
      </c>
      <c r="D2904" s="20" t="inlineStr">
        <is>
          <t>KL13AH022</t>
        </is>
      </c>
      <c r="E2904" s="20" t="inlineStr">
        <is>
          <t>MARUTI</t>
        </is>
      </c>
      <c r="F2904" s="20" t="inlineStr">
        <is>
          <t>Baleno</t>
        </is>
      </c>
      <c r="G2904" s="21" t="n">
        <v>2016</v>
      </c>
      <c r="H2904" s="22" t="n">
        <v>21000</v>
      </c>
      <c r="I2904" s="22" t="n">
        <v>466000</v>
      </c>
      <c r="J2904" s="20" t="inlineStr">
        <is>
          <t>KVR MARUTI</t>
        </is>
      </c>
      <c r="K2904" s="20" t="inlineStr">
        <is>
          <t>Non-Captive</t>
        </is>
      </c>
      <c r="L2904" s="20" t="inlineStr">
        <is>
          <t>SURAJ PK</t>
        </is>
      </c>
      <c r="M2904" s="23" t="n">
        <v>5084.75</v>
      </c>
    </row>
    <row r="2905">
      <c r="A2905" s="19" t="inlineStr">
        <is>
          <t>FY27</t>
        </is>
      </c>
      <c r="B2905" s="19" t="inlineStr">
        <is>
          <t>Jul</t>
        </is>
      </c>
      <c r="C2905" s="19" t="inlineStr">
        <is>
          <t>Kerala</t>
        </is>
      </c>
      <c r="D2905" s="20" t="inlineStr">
        <is>
          <t>KL59G6434</t>
        </is>
      </c>
      <c r="E2905" s="20" t="inlineStr">
        <is>
          <t>MARUTI</t>
        </is>
      </c>
      <c r="F2905" s="20" t="inlineStr">
        <is>
          <t>Omni</t>
        </is>
      </c>
      <c r="G2905" s="21" t="n">
        <v>2013</v>
      </c>
      <c r="H2905" s="22" t="n">
        <v>170003</v>
      </c>
      <c r="I2905" s="22" t="n">
        <v>86000</v>
      </c>
      <c r="J2905" s="20" t="inlineStr">
        <is>
          <t>BM CARS</t>
        </is>
      </c>
      <c r="K2905" s="20" t="inlineStr">
        <is>
          <t>Non-Captive</t>
        </is>
      </c>
      <c r="L2905" s="20" t="inlineStr">
        <is>
          <t>AUTOBOT</t>
        </is>
      </c>
      <c r="M2905" s="23" t="n">
        <v>5084.75</v>
      </c>
    </row>
    <row r="2906">
      <c r="A2906" s="19" t="inlineStr">
        <is>
          <t>FY27</t>
        </is>
      </c>
      <c r="B2906" s="19" t="inlineStr">
        <is>
          <t>Jul</t>
        </is>
      </c>
      <c r="C2906" s="19" t="inlineStr">
        <is>
          <t>Kerala</t>
        </is>
      </c>
      <c r="D2906" s="20" t="inlineStr">
        <is>
          <t>KL18C0223</t>
        </is>
      </c>
      <c r="E2906" s="20" t="inlineStr">
        <is>
          <t>MARUTI</t>
        </is>
      </c>
      <c r="F2906" s="20" t="inlineStr">
        <is>
          <t>800 Std</t>
        </is>
      </c>
      <c r="G2906" s="21" t="n">
        <v>2006</v>
      </c>
      <c r="H2906" s="22" t="n">
        <v>200671</v>
      </c>
      <c r="I2906" s="22" t="n">
        <v>30000</v>
      </c>
      <c r="J2906" s="20" t="inlineStr">
        <is>
          <t>UCD MUHAMMED</t>
        </is>
      </c>
      <c r="K2906" s="20" t="inlineStr">
        <is>
          <t>Non-Captive</t>
        </is>
      </c>
      <c r="L2906" s="20" t="inlineStr">
        <is>
          <t>AUTOTRUST</t>
        </is>
      </c>
      <c r="M2906" s="23" t="n">
        <v>6779.66</v>
      </c>
    </row>
    <row r="2907">
      <c r="A2907" s="19" t="inlineStr">
        <is>
          <t>FY27</t>
        </is>
      </c>
      <c r="B2907" s="19" t="inlineStr">
        <is>
          <t>Jul</t>
        </is>
      </c>
      <c r="C2907" s="19" t="inlineStr">
        <is>
          <t>Kerala</t>
        </is>
      </c>
      <c r="D2907" s="20" t="inlineStr">
        <is>
          <t>KL13AA2604</t>
        </is>
      </c>
      <c r="E2907" s="20" t="inlineStr">
        <is>
          <t>MARUTI</t>
        </is>
      </c>
      <c r="F2907" s="20" t="inlineStr">
        <is>
          <t>Dezire</t>
        </is>
      </c>
      <c r="G2907" s="21" t="n">
        <v>2013</v>
      </c>
      <c r="H2907" s="22" t="n">
        <v>176000</v>
      </c>
      <c r="I2907" s="22" t="n">
        <v>220000</v>
      </c>
      <c r="J2907" s="20" t="inlineStr">
        <is>
          <t>POPULAR MARUTI</t>
        </is>
      </c>
      <c r="K2907" s="20" t="inlineStr">
        <is>
          <t>Non-Captive</t>
        </is>
      </c>
      <c r="L2907" s="20" t="inlineStr">
        <is>
          <t>AFSAL P ASARAF</t>
        </is>
      </c>
      <c r="M2907" s="23" t="n">
        <v>8474.58</v>
      </c>
    </row>
    <row r="2908">
      <c r="A2908" s="19" t="inlineStr">
        <is>
          <t>FY27</t>
        </is>
      </c>
      <c r="B2908" s="19" t="inlineStr">
        <is>
          <t>Jul</t>
        </is>
      </c>
      <c r="C2908" s="19" t="inlineStr">
        <is>
          <t>Kerala</t>
        </is>
      </c>
      <c r="D2908" s="20" t="inlineStr">
        <is>
          <t>KL39M0124</t>
        </is>
      </c>
      <c r="E2908" s="20" t="inlineStr">
        <is>
          <t>MARUTI</t>
        </is>
      </c>
      <c r="F2908" s="20" t="inlineStr">
        <is>
          <t>Dzire</t>
        </is>
      </c>
      <c r="G2908" s="21" t="n">
        <v>2017</v>
      </c>
      <c r="H2908" s="22" t="n">
        <v>142344</v>
      </c>
      <c r="I2908" s="22" t="n">
        <v>410000</v>
      </c>
      <c r="J2908" s="20" t="inlineStr">
        <is>
          <t>AMRUTH V CHANDY</t>
        </is>
      </c>
      <c r="K2908" s="20" t="inlineStr">
        <is>
          <t>Non-Captive</t>
        </is>
      </c>
      <c r="L2908" s="20" t="inlineStr">
        <is>
          <t>Ananthu Suneesh</t>
        </is>
      </c>
      <c r="M2908" s="23" t="n">
        <v>12711.86</v>
      </c>
    </row>
    <row r="2909">
      <c r="A2909" s="19" t="inlineStr">
        <is>
          <t>FY27</t>
        </is>
      </c>
      <c r="B2909" s="19" t="inlineStr">
        <is>
          <t>Jul</t>
        </is>
      </c>
      <c r="C2909" s="19" t="inlineStr">
        <is>
          <t>Kerala</t>
        </is>
      </c>
      <c r="D2909" s="20" t="inlineStr">
        <is>
          <t>KL39B4640</t>
        </is>
      </c>
      <c r="E2909" s="20" t="inlineStr">
        <is>
          <t>MARUTI</t>
        </is>
      </c>
      <c r="F2909" s="20" t="inlineStr">
        <is>
          <t>Dzire</t>
        </is>
      </c>
      <c r="G2909" s="21" t="n">
        <v>2009</v>
      </c>
      <c r="H2909" s="22" t="n">
        <v>112300</v>
      </c>
      <c r="I2909" s="22" t="n">
        <v>125000</v>
      </c>
      <c r="J2909" s="20" t="inlineStr">
        <is>
          <t>POPULAR MARUTI</t>
        </is>
      </c>
      <c r="K2909" s="20" t="inlineStr">
        <is>
          <t>Non-Captive</t>
        </is>
      </c>
      <c r="L2909" s="20" t="inlineStr">
        <is>
          <t>DREAM DRIVE</t>
        </is>
      </c>
      <c r="M2909" s="23" t="n">
        <v>12711.86</v>
      </c>
    </row>
    <row r="2910">
      <c r="A2910" s="19" t="inlineStr">
        <is>
          <t>FY27</t>
        </is>
      </c>
      <c r="B2910" s="19" t="inlineStr">
        <is>
          <t>Jul</t>
        </is>
      </c>
      <c r="C2910" s="19" t="inlineStr">
        <is>
          <t>Kerala</t>
        </is>
      </c>
      <c r="D2910" s="20" t="inlineStr">
        <is>
          <t>KL61F7170</t>
        </is>
      </c>
      <c r="E2910" s="20" t="inlineStr">
        <is>
          <t>TATA</t>
        </is>
      </c>
      <c r="F2910" s="20" t="inlineStr">
        <is>
          <t>Tiago</t>
        </is>
      </c>
      <c r="G2910" s="21" t="n">
        <v>2022</v>
      </c>
      <c r="H2910" s="22" t="n">
        <v>37800</v>
      </c>
      <c r="I2910" s="22" t="n">
        <v>467000</v>
      </c>
      <c r="J2910" s="20" t="inlineStr">
        <is>
          <t>LUXON TATA</t>
        </is>
      </c>
      <c r="K2910" s="20" t="inlineStr">
        <is>
          <t>Non-Captive</t>
        </is>
      </c>
      <c r="L2910" s="20" t="inlineStr">
        <is>
          <t>VIJIL</t>
        </is>
      </c>
      <c r="M2910" s="23" t="n">
        <v>5933.05</v>
      </c>
    </row>
    <row r="2911">
      <c r="A2911" s="19" t="inlineStr">
        <is>
          <t>FY27</t>
        </is>
      </c>
      <c r="B2911" s="19" t="inlineStr">
        <is>
          <t>Jul</t>
        </is>
      </c>
      <c r="C2911" s="19" t="inlineStr">
        <is>
          <t>Kerala</t>
        </is>
      </c>
      <c r="D2911" s="20" t="inlineStr">
        <is>
          <t>KL22E8839</t>
        </is>
      </c>
      <c r="E2911" s="20" t="inlineStr">
        <is>
          <t>MARUTI</t>
        </is>
      </c>
      <c r="F2911" s="20" t="inlineStr">
        <is>
          <t>Alto</t>
        </is>
      </c>
      <c r="G2911" s="21" t="n">
        <v>2013</v>
      </c>
      <c r="H2911" s="22" t="n">
        <v>89776</v>
      </c>
      <c r="I2911" s="22" t="n">
        <v>82000</v>
      </c>
      <c r="J2911" s="20" t="inlineStr">
        <is>
          <t>INCHEON KIA</t>
        </is>
      </c>
      <c r="K2911" s="20" t="inlineStr">
        <is>
          <t>Non-Captive</t>
        </is>
      </c>
      <c r="L2911" s="20" t="inlineStr">
        <is>
          <t>SUDINA</t>
        </is>
      </c>
      <c r="M2911" s="23" t="n">
        <v>5932.2</v>
      </c>
    </row>
    <row r="2912">
      <c r="A2912" s="19" t="inlineStr">
        <is>
          <t>FY27</t>
        </is>
      </c>
      <c r="B2912" s="19" t="inlineStr">
        <is>
          <t>Jul</t>
        </is>
      </c>
      <c r="C2912" s="19" t="inlineStr">
        <is>
          <t>Kerala</t>
        </is>
      </c>
      <c r="D2912" s="20" t="inlineStr">
        <is>
          <t>KL02AH8523</t>
        </is>
      </c>
      <c r="E2912" s="20" t="inlineStr">
        <is>
          <t>HYUNDAI</t>
        </is>
      </c>
      <c r="F2912" s="20" t="inlineStr">
        <is>
          <t>I 10</t>
        </is>
      </c>
      <c r="G2912" s="21" t="n">
        <v>2011</v>
      </c>
      <c r="H2912" s="22" t="n">
        <v>92266</v>
      </c>
      <c r="I2912" s="22" t="n">
        <v>87000</v>
      </c>
      <c r="J2912" s="20" t="inlineStr">
        <is>
          <t>LUXON TATA</t>
        </is>
      </c>
      <c r="K2912" s="20" t="inlineStr">
        <is>
          <t>Non-Captive</t>
        </is>
      </c>
      <c r="L2912" s="20" t="inlineStr">
        <is>
          <t>SAJIN</t>
        </is>
      </c>
      <c r="M2912" s="23" t="n">
        <v>5932.2</v>
      </c>
    </row>
    <row r="2913">
      <c r="A2913" s="19" t="inlineStr">
        <is>
          <t>FY27</t>
        </is>
      </c>
      <c r="B2913" s="19" t="inlineStr">
        <is>
          <t>Jul</t>
        </is>
      </c>
      <c r="C2913" s="19" t="inlineStr">
        <is>
          <t>Kerala</t>
        </is>
      </c>
      <c r="D2913" s="20" t="inlineStr">
        <is>
          <t>KL06F0053</t>
        </is>
      </c>
      <c r="E2913" s="20" t="inlineStr">
        <is>
          <t>MARUTI</t>
        </is>
      </c>
      <c r="F2913" s="20" t="inlineStr">
        <is>
          <t>Zen Estilo</t>
        </is>
      </c>
      <c r="G2913" s="21" t="n">
        <v>2011</v>
      </c>
      <c r="H2913" s="22" t="n">
        <v>138233</v>
      </c>
      <c r="I2913" s="22" t="n">
        <v>100000</v>
      </c>
      <c r="J2913" s="20" t="inlineStr">
        <is>
          <t>POPULAR MARUTI</t>
        </is>
      </c>
      <c r="K2913" s="20" t="inlineStr">
        <is>
          <t>Non-Captive</t>
        </is>
      </c>
      <c r="L2913" s="20" t="inlineStr">
        <is>
          <t>4 Wheel Drive</t>
        </is>
      </c>
      <c r="M2913" s="23" t="n">
        <v>8474.58</v>
      </c>
    </row>
    <row r="2914">
      <c r="A2914" s="19" t="inlineStr">
        <is>
          <t>FY27</t>
        </is>
      </c>
      <c r="B2914" s="19" t="inlineStr">
        <is>
          <t>Jul</t>
        </is>
      </c>
      <c r="C2914" s="19" t="inlineStr">
        <is>
          <t>Kerala</t>
        </is>
      </c>
      <c r="D2914" s="20" t="inlineStr">
        <is>
          <t>KL07CY7682</t>
        </is>
      </c>
      <c r="E2914" s="20" t="inlineStr">
        <is>
          <t>KIA</t>
        </is>
      </c>
      <c r="F2914" s="20" t="inlineStr">
        <is>
          <t>Sonet</t>
        </is>
      </c>
      <c r="G2914" s="21" t="n">
        <v>2022</v>
      </c>
      <c r="H2914" s="22" t="n">
        <v>59684</v>
      </c>
      <c r="I2914" s="22" t="n">
        <v>650000</v>
      </c>
      <c r="J2914" s="20" t="inlineStr">
        <is>
          <t>AMPL MAHINDRA</t>
        </is>
      </c>
      <c r="K2914" s="20" t="inlineStr">
        <is>
          <t>Non-Captive</t>
        </is>
      </c>
      <c r="L2914" s="20" t="inlineStr">
        <is>
          <t>VTJ MOTORS</t>
        </is>
      </c>
      <c r="M2914" s="23" t="n">
        <v>8474.58</v>
      </c>
    </row>
    <row r="2915">
      <c r="A2915" s="19" t="inlineStr">
        <is>
          <t>FY27</t>
        </is>
      </c>
      <c r="B2915" s="19" t="inlineStr">
        <is>
          <t>Jul</t>
        </is>
      </c>
      <c r="C2915" s="19" t="inlineStr">
        <is>
          <t>Kerala</t>
        </is>
      </c>
      <c r="D2915" s="20" t="inlineStr">
        <is>
          <t>KL01BG5614</t>
        </is>
      </c>
      <c r="E2915" s="20" t="inlineStr">
        <is>
          <t>SKODA</t>
        </is>
      </c>
      <c r="F2915" s="20" t="inlineStr">
        <is>
          <t>Fabia</t>
        </is>
      </c>
      <c r="G2915" s="21" t="n">
        <v>2012</v>
      </c>
      <c r="H2915" s="22" t="n">
        <v>179000</v>
      </c>
      <c r="I2915" s="22" t="n">
        <v>57000</v>
      </c>
      <c r="J2915" s="20" t="inlineStr">
        <is>
          <t>EVM CITRON</t>
        </is>
      </c>
      <c r="K2915" s="20" t="inlineStr">
        <is>
          <t>Non-Captive</t>
        </is>
      </c>
      <c r="L2915" s="20" t="inlineStr">
        <is>
          <t>PRAJOD</t>
        </is>
      </c>
      <c r="M2915" s="23" t="n">
        <v>5932.2</v>
      </c>
    </row>
    <row r="2916">
      <c r="A2916" s="19" t="inlineStr">
        <is>
          <t>FY27</t>
        </is>
      </c>
      <c r="B2916" s="19" t="inlineStr">
        <is>
          <t>Jul</t>
        </is>
      </c>
      <c r="C2916" s="19" t="inlineStr">
        <is>
          <t>Kerala</t>
        </is>
      </c>
      <c r="D2916" s="20" t="inlineStr">
        <is>
          <t>KL26C3999</t>
        </is>
      </c>
      <c r="E2916" s="20" t="inlineStr">
        <is>
          <t>TOYOTA</t>
        </is>
      </c>
      <c r="F2916" s="20" t="inlineStr">
        <is>
          <t>Ethios</t>
        </is>
      </c>
      <c r="G2916" s="21" t="n">
        <v>2012</v>
      </c>
      <c r="H2916" s="22" t="n">
        <v>144000</v>
      </c>
      <c r="I2916" s="22" t="n">
        <v>130000</v>
      </c>
      <c r="J2916" s="20" t="inlineStr">
        <is>
          <t>EVM CITRON</t>
        </is>
      </c>
      <c r="K2916" s="20" t="inlineStr">
        <is>
          <t>Non-Captive</t>
        </is>
      </c>
      <c r="L2916" s="20" t="inlineStr">
        <is>
          <t>PRAJOD</t>
        </is>
      </c>
      <c r="M2916" s="23" t="n">
        <v>8474.58</v>
      </c>
    </row>
    <row r="2917">
      <c r="A2917" s="19" t="inlineStr">
        <is>
          <t>FY27</t>
        </is>
      </c>
      <c r="B2917" s="19" t="inlineStr">
        <is>
          <t>Jul</t>
        </is>
      </c>
      <c r="C2917" s="19" t="inlineStr">
        <is>
          <t>Kerala</t>
        </is>
      </c>
      <c r="D2917" s="20" t="inlineStr">
        <is>
          <t>KL01BU1758</t>
        </is>
      </c>
      <c r="E2917" s="20" t="inlineStr">
        <is>
          <t>TATA</t>
        </is>
      </c>
      <c r="F2917" s="20" t="inlineStr">
        <is>
          <t>Nano</t>
        </is>
      </c>
      <c r="G2917" s="21" t="n">
        <v>2015</v>
      </c>
      <c r="H2917" s="22" t="n">
        <v>89000</v>
      </c>
      <c r="I2917" s="22" t="n">
        <v>47000</v>
      </c>
      <c r="J2917" s="20" t="inlineStr">
        <is>
          <t>DERIK TATA</t>
        </is>
      </c>
      <c r="K2917" s="20" t="inlineStr">
        <is>
          <t>Non-Captive</t>
        </is>
      </c>
      <c r="L2917" s="20" t="inlineStr">
        <is>
          <t>KISHORE</t>
        </is>
      </c>
      <c r="M2917" s="23" t="n">
        <v>5932.2</v>
      </c>
    </row>
    <row r="2918">
      <c r="A2918" s="19" t="inlineStr">
        <is>
          <t>FY27</t>
        </is>
      </c>
      <c r="B2918" s="19" t="inlineStr">
        <is>
          <t>Jul</t>
        </is>
      </c>
      <c r="C2918" s="19" t="inlineStr">
        <is>
          <t>Kerala</t>
        </is>
      </c>
      <c r="D2918" s="20" t="inlineStr">
        <is>
          <t>KL01BQ3104</t>
        </is>
      </c>
      <c r="E2918" s="20" t="inlineStr">
        <is>
          <t>HYUNDAI</t>
        </is>
      </c>
      <c r="F2918" s="20" t="inlineStr">
        <is>
          <t>I 10</t>
        </is>
      </c>
      <c r="G2918" s="21" t="n">
        <v>2014</v>
      </c>
      <c r="H2918" s="22" t="n">
        <v>31000</v>
      </c>
      <c r="I2918" s="22" t="n">
        <v>208000</v>
      </c>
      <c r="J2918" s="20" t="inlineStr">
        <is>
          <t>NIPPON TOYOTA</t>
        </is>
      </c>
      <c r="K2918" s="20" t="inlineStr">
        <is>
          <t>Non-Captive</t>
        </is>
      </c>
      <c r="L2918" s="20" t="inlineStr">
        <is>
          <t>KISHORE</t>
        </is>
      </c>
      <c r="M2918" s="23" t="n">
        <v>6779.66</v>
      </c>
    </row>
    <row r="2919">
      <c r="A2919" s="19" t="inlineStr">
        <is>
          <t>FY27</t>
        </is>
      </c>
      <c r="B2919" s="19" t="inlineStr">
        <is>
          <t>Jul</t>
        </is>
      </c>
      <c r="C2919" s="19" t="inlineStr">
        <is>
          <t>Kerala</t>
        </is>
      </c>
      <c r="D2919" s="20" t="inlineStr">
        <is>
          <t>KL16F3924</t>
        </is>
      </c>
      <c r="E2919" s="20" t="inlineStr">
        <is>
          <t>MARUTI</t>
        </is>
      </c>
      <c r="F2919" s="20" t="inlineStr">
        <is>
          <t>Alto</t>
        </is>
      </c>
      <c r="G2919" s="21" t="n">
        <v>2010</v>
      </c>
      <c r="H2919" s="22" t="n">
        <v>58772</v>
      </c>
      <c r="I2919" s="22" t="n">
        <v>117000</v>
      </c>
      <c r="J2919" s="20" t="inlineStr">
        <is>
          <t>POPULAR MARUTI</t>
        </is>
      </c>
      <c r="K2919" s="20" t="inlineStr">
        <is>
          <t>Non-Captive</t>
        </is>
      </c>
      <c r="L2919" s="20" t="inlineStr">
        <is>
          <t>MAXX MOTORS</t>
        </is>
      </c>
      <c r="M2919" s="23" t="n">
        <v>10169.49</v>
      </c>
    </row>
    <row r="2920">
      <c r="A2920" s="19" t="inlineStr">
        <is>
          <t>FY27</t>
        </is>
      </c>
      <c r="B2920" s="19" t="inlineStr">
        <is>
          <t>Jul</t>
        </is>
      </c>
      <c r="C2920" s="19" t="inlineStr">
        <is>
          <t>Kerala</t>
        </is>
      </c>
      <c r="D2920" s="20" t="inlineStr">
        <is>
          <t>KL13V0376</t>
        </is>
      </c>
      <c r="E2920" s="20" t="inlineStr">
        <is>
          <t>TATA</t>
        </is>
      </c>
      <c r="F2920" s="20" t="inlineStr">
        <is>
          <t>Indigo</t>
        </is>
      </c>
      <c r="G2920" s="21" t="n">
        <v>2010</v>
      </c>
      <c r="H2920" s="22" t="n">
        <v>83000</v>
      </c>
      <c r="I2920" s="22" t="n">
        <v>40000</v>
      </c>
      <c r="J2920" s="20" t="inlineStr">
        <is>
          <t>APCO HYUNDAI</t>
        </is>
      </c>
      <c r="K2920" s="20" t="inlineStr">
        <is>
          <t>Non-Captive</t>
        </is>
      </c>
      <c r="L2920" s="20" t="inlineStr">
        <is>
          <t>AUTOTRUST</t>
        </is>
      </c>
      <c r="M2920" s="23" t="n">
        <v>5932.2</v>
      </c>
    </row>
    <row r="2921">
      <c r="A2921" s="19" t="inlineStr">
        <is>
          <t>FY27</t>
        </is>
      </c>
      <c r="B2921" s="19" t="inlineStr">
        <is>
          <t>Jul</t>
        </is>
      </c>
      <c r="C2921" s="19" t="inlineStr">
        <is>
          <t>Kerala</t>
        </is>
      </c>
      <c r="D2921" s="20" t="inlineStr">
        <is>
          <t>KL57N3753</t>
        </is>
      </c>
      <c r="E2921" s="20" t="inlineStr">
        <is>
          <t>HYUNDAI</t>
        </is>
      </c>
      <c r="F2921" s="20" t="inlineStr">
        <is>
          <t>Grand I10</t>
        </is>
      </c>
      <c r="G2921" s="21" t="n">
        <v>2016</v>
      </c>
      <c r="H2921" s="22" t="n">
        <v>48000</v>
      </c>
      <c r="I2921" s="22" t="n">
        <v>260000</v>
      </c>
      <c r="J2921" s="20" t="inlineStr">
        <is>
          <t>UCD PRAJOSH</t>
        </is>
      </c>
      <c r="K2921" s="20" t="inlineStr">
        <is>
          <t>Non-Captive</t>
        </is>
      </c>
      <c r="L2921" s="20" t="inlineStr">
        <is>
          <t>IRFAN</t>
        </is>
      </c>
      <c r="M2921" s="23" t="n">
        <v>4237.29</v>
      </c>
    </row>
    <row r="2922">
      <c r="A2922" s="19" t="inlineStr">
        <is>
          <t>FY27</t>
        </is>
      </c>
      <c r="B2922" s="19" t="inlineStr">
        <is>
          <t>Jul</t>
        </is>
      </c>
      <c r="C2922" s="19" t="inlineStr">
        <is>
          <t>Kerala</t>
        </is>
      </c>
      <c r="D2922" s="20" t="inlineStr">
        <is>
          <t>KL58AE3108</t>
        </is>
      </c>
      <c r="E2922" s="20" t="inlineStr">
        <is>
          <t>TATA</t>
        </is>
      </c>
      <c r="F2922" s="20" t="inlineStr">
        <is>
          <t>Tiago</t>
        </is>
      </c>
      <c r="G2922" s="21" t="n">
        <v>2021</v>
      </c>
      <c r="H2922" s="22" t="n">
        <v>52000</v>
      </c>
      <c r="I2922" s="22" t="n">
        <v>255000</v>
      </c>
      <c r="J2922" s="20" t="inlineStr">
        <is>
          <t>KVR TATA</t>
        </is>
      </c>
      <c r="K2922" s="20" t="inlineStr">
        <is>
          <t>Non-Captive</t>
        </is>
      </c>
      <c r="L2922" s="20" t="inlineStr">
        <is>
          <t>Muhammed Yasin</t>
        </is>
      </c>
      <c r="M2922" s="23" t="n">
        <v>4237.29</v>
      </c>
    </row>
    <row r="2923">
      <c r="A2923" s="19" t="inlineStr">
        <is>
          <t>FY27</t>
        </is>
      </c>
      <c r="B2923" s="19" t="inlineStr">
        <is>
          <t>Jul</t>
        </is>
      </c>
      <c r="C2923" s="19" t="inlineStr">
        <is>
          <t>Kerala</t>
        </is>
      </c>
      <c r="D2923" s="20" t="inlineStr">
        <is>
          <t>KL58S2682</t>
        </is>
      </c>
      <c r="E2923" s="20" t="inlineStr">
        <is>
          <t>HYUNDAI</t>
        </is>
      </c>
      <c r="F2923" s="20" t="inlineStr">
        <is>
          <t>I10</t>
        </is>
      </c>
      <c r="G2923" s="21" t="n">
        <v>2016</v>
      </c>
      <c r="H2923" s="22" t="n">
        <v>92000</v>
      </c>
      <c r="I2923" s="22" t="n">
        <v>215000</v>
      </c>
      <c r="J2923" s="20" t="inlineStr">
        <is>
          <t>AUTOTRUST</t>
        </is>
      </c>
      <c r="K2923" s="20" t="inlineStr">
        <is>
          <t>Non-Captive</t>
        </is>
      </c>
      <c r="L2923" s="20" t="inlineStr">
        <is>
          <t>MUHAMMED NISAB</t>
        </is>
      </c>
      <c r="M2923" s="23" t="n">
        <v>4237.29</v>
      </c>
    </row>
    <row r="2924">
      <c r="A2924" s="19" t="inlineStr">
        <is>
          <t>FY27</t>
        </is>
      </c>
      <c r="B2924" s="19" t="inlineStr">
        <is>
          <t>Jul</t>
        </is>
      </c>
      <c r="C2924" s="19" t="inlineStr">
        <is>
          <t>Kerala</t>
        </is>
      </c>
      <c r="D2924" s="20" t="inlineStr">
        <is>
          <t>KL59B5105</t>
        </is>
      </c>
      <c r="E2924" s="20" t="inlineStr">
        <is>
          <t>MARUTI</t>
        </is>
      </c>
      <c r="F2924" s="20" t="inlineStr">
        <is>
          <t>Alto</t>
        </is>
      </c>
      <c r="G2924" s="21" t="n">
        <v>2009</v>
      </c>
      <c r="H2924" s="22" t="n">
        <v>85000</v>
      </c>
      <c r="I2924" s="22" t="n">
        <v>70000</v>
      </c>
      <c r="J2924" s="20" t="inlineStr">
        <is>
          <t>POPULAR MARUTI</t>
        </is>
      </c>
      <c r="K2924" s="20" t="inlineStr">
        <is>
          <t>Non-Captive</t>
        </is>
      </c>
      <c r="L2924" s="20" t="inlineStr">
        <is>
          <t>KC SHUKUR</t>
        </is>
      </c>
      <c r="M2924" s="23" t="n">
        <v>8474.58</v>
      </c>
    </row>
    <row r="2925">
      <c r="A2925" s="19" t="inlineStr">
        <is>
          <t>FY27</t>
        </is>
      </c>
      <c r="B2925" s="19" t="inlineStr">
        <is>
          <t>Jul</t>
        </is>
      </c>
      <c r="C2925" s="19" t="inlineStr">
        <is>
          <t>Kerala</t>
        </is>
      </c>
      <c r="D2925" s="20" t="inlineStr">
        <is>
          <t>KL13Y0324</t>
        </is>
      </c>
      <c r="E2925" s="20" t="inlineStr">
        <is>
          <t>MARUTI</t>
        </is>
      </c>
      <c r="F2925" s="20" t="inlineStr">
        <is>
          <t>Alto</t>
        </is>
      </c>
      <c r="G2925" s="21" t="n">
        <v>2012</v>
      </c>
      <c r="H2925" s="22" t="n">
        <v>95000</v>
      </c>
      <c r="I2925" s="22" t="n">
        <v>60000</v>
      </c>
      <c r="J2925" s="20" t="inlineStr">
        <is>
          <t>POPULAR MARUTI</t>
        </is>
      </c>
      <c r="K2925" s="20" t="inlineStr">
        <is>
          <t>Non-Captive</t>
        </is>
      </c>
      <c r="L2925" s="20" t="inlineStr">
        <is>
          <t>KC SHUKUR</t>
        </is>
      </c>
      <c r="M2925" s="23" t="n">
        <v>8474.58</v>
      </c>
    </row>
    <row r="2926">
      <c r="A2926" s="19" t="inlineStr">
        <is>
          <t>FY27</t>
        </is>
      </c>
      <c r="B2926" s="19" t="inlineStr">
        <is>
          <t>Jul</t>
        </is>
      </c>
      <c r="C2926" s="19" t="inlineStr">
        <is>
          <t>Kerala</t>
        </is>
      </c>
      <c r="D2926" s="20" t="inlineStr">
        <is>
          <t>KL50E5722</t>
        </is>
      </c>
      <c r="E2926" s="20" t="inlineStr">
        <is>
          <t>MARUTI</t>
        </is>
      </c>
      <c r="F2926" s="20" t="inlineStr">
        <is>
          <t>Alto800</t>
        </is>
      </c>
      <c r="G2926" s="21" t="n">
        <v>2016</v>
      </c>
      <c r="H2926" s="22" t="n">
        <v>51000</v>
      </c>
      <c r="I2926" s="22" t="n">
        <v>190000</v>
      </c>
      <c r="J2926" s="20" t="inlineStr">
        <is>
          <t>UCD ANSIL</t>
        </is>
      </c>
      <c r="K2926" s="20" t="inlineStr">
        <is>
          <t>Non-Captive</t>
        </is>
      </c>
      <c r="L2926" s="20" t="inlineStr">
        <is>
          <t>VARUN</t>
        </is>
      </c>
      <c r="M2926" s="23" t="n">
        <v>5932.2</v>
      </c>
    </row>
    <row r="2927">
      <c r="A2927" s="19" t="inlineStr">
        <is>
          <t>FY27</t>
        </is>
      </c>
      <c r="B2927" s="19" t="inlineStr">
        <is>
          <t>Jul</t>
        </is>
      </c>
      <c r="C2927" s="19" t="inlineStr">
        <is>
          <t>Kerala</t>
        </is>
      </c>
      <c r="D2927" s="20" t="inlineStr">
        <is>
          <t>KL52B8421</t>
        </is>
      </c>
      <c r="E2927" s="20" t="inlineStr">
        <is>
          <t>MARUTI</t>
        </is>
      </c>
      <c r="F2927" s="20" t="inlineStr">
        <is>
          <t>Wagonr</t>
        </is>
      </c>
      <c r="G2927" s="21" t="n">
        <v>2010</v>
      </c>
      <c r="H2927" s="22" t="n">
        <v>120000</v>
      </c>
      <c r="I2927" s="22" t="n">
        <v>132000</v>
      </c>
      <c r="J2927" s="20" t="inlineStr">
        <is>
          <t>POPULAR MARUTI</t>
        </is>
      </c>
      <c r="K2927" s="20" t="inlineStr">
        <is>
          <t>Non-Captive</t>
        </is>
      </c>
      <c r="L2927" s="20" t="inlineStr">
        <is>
          <t>TOKYO CARS</t>
        </is>
      </c>
      <c r="M2927" s="23" t="n">
        <v>5932.2</v>
      </c>
    </row>
    <row r="2928">
      <c r="A2928" s="19" t="inlineStr">
        <is>
          <t>FY27</t>
        </is>
      </c>
      <c r="B2928" s="19" t="inlineStr">
        <is>
          <t>Jul</t>
        </is>
      </c>
      <c r="C2928" s="19" t="inlineStr">
        <is>
          <t>Kerala</t>
        </is>
      </c>
      <c r="D2928" s="20" t="inlineStr">
        <is>
          <t>KL53G5084</t>
        </is>
      </c>
      <c r="E2928" s="20" t="inlineStr">
        <is>
          <t>MARUTI</t>
        </is>
      </c>
      <c r="F2928" s="20" t="inlineStr">
        <is>
          <t>K10</t>
        </is>
      </c>
      <c r="G2928" s="21" t="n">
        <v>2014</v>
      </c>
      <c r="H2928" s="22" t="n">
        <v>88954</v>
      </c>
      <c r="I2928" s="22" t="n">
        <v>135000</v>
      </c>
      <c r="J2928" s="20" t="inlineStr">
        <is>
          <t>ANANDHU SURESH</t>
        </is>
      </c>
      <c r="K2928" s="20" t="inlineStr">
        <is>
          <t>Non-Captive</t>
        </is>
      </c>
      <c r="L2928" s="20" t="inlineStr">
        <is>
          <t>DREAM DRIVE</t>
        </is>
      </c>
      <c r="M2928" s="23" t="n">
        <v>8474.58</v>
      </c>
    </row>
    <row r="2929">
      <c r="A2929" s="19" t="inlineStr">
        <is>
          <t>FY27</t>
        </is>
      </c>
      <c r="B2929" s="19" t="inlineStr">
        <is>
          <t>Jul</t>
        </is>
      </c>
      <c r="C2929" s="19" t="inlineStr">
        <is>
          <t>Kerala</t>
        </is>
      </c>
      <c r="D2929" s="20" t="inlineStr">
        <is>
          <t>KL42C0007</t>
        </is>
      </c>
      <c r="E2929" s="20" t="inlineStr">
        <is>
          <t>MARUTI</t>
        </is>
      </c>
      <c r="F2929" s="20" t="inlineStr">
        <is>
          <t>Swift</t>
        </is>
      </c>
      <c r="G2929" s="21" t="n">
        <v>2009</v>
      </c>
      <c r="H2929" s="22" t="n">
        <v>147403</v>
      </c>
      <c r="I2929" s="22" t="n">
        <v>125000</v>
      </c>
      <c r="J2929" s="20" t="inlineStr">
        <is>
          <t>EVM CITROEN</t>
        </is>
      </c>
      <c r="K2929" s="20" t="inlineStr">
        <is>
          <t>Non-Captive</t>
        </is>
      </c>
      <c r="L2929" s="20" t="inlineStr">
        <is>
          <t>DREAM DRIVE</t>
        </is>
      </c>
      <c r="M2929" s="23" t="n">
        <v>8474.58</v>
      </c>
    </row>
    <row r="2930">
      <c r="A2930" s="19" t="inlineStr">
        <is>
          <t>FY27</t>
        </is>
      </c>
      <c r="B2930" s="19" t="inlineStr">
        <is>
          <t>Jul</t>
        </is>
      </c>
      <c r="C2930" s="19" t="inlineStr">
        <is>
          <t>Kerala</t>
        </is>
      </c>
      <c r="D2930" s="20" t="inlineStr">
        <is>
          <t>KL33G3965</t>
        </is>
      </c>
      <c r="E2930" s="20" t="inlineStr">
        <is>
          <t>MARUTI</t>
        </is>
      </c>
      <c r="F2930" s="20" t="inlineStr">
        <is>
          <t>Ritz</t>
        </is>
      </c>
      <c r="G2930" s="21" t="n">
        <v>2015</v>
      </c>
      <c r="H2930" s="22" t="n">
        <v>85591</v>
      </c>
      <c r="I2930" s="22" t="n">
        <v>245000</v>
      </c>
      <c r="J2930" s="20" t="inlineStr">
        <is>
          <t>INDUS MARUTI</t>
        </is>
      </c>
      <c r="K2930" s="20" t="inlineStr">
        <is>
          <t>Non-Captive</t>
        </is>
      </c>
      <c r="L2930" s="20" t="inlineStr">
        <is>
          <t>RAJEEV A C</t>
        </is>
      </c>
      <c r="M2930" s="23" t="n">
        <v>12711.86</v>
      </c>
    </row>
    <row r="2931">
      <c r="A2931" s="19" t="inlineStr">
        <is>
          <t>FY27</t>
        </is>
      </c>
      <c r="B2931" s="19" t="inlineStr">
        <is>
          <t>Jul</t>
        </is>
      </c>
      <c r="C2931" s="19" t="inlineStr">
        <is>
          <t>Kerala</t>
        </is>
      </c>
      <c r="D2931" s="20" t="inlineStr">
        <is>
          <t>KL41J2993</t>
        </is>
      </c>
      <c r="E2931" s="20" t="inlineStr">
        <is>
          <t>MARUTI</t>
        </is>
      </c>
      <c r="F2931" s="20" t="inlineStr">
        <is>
          <t>Wagonr</t>
        </is>
      </c>
      <c r="G2931" s="21" t="n">
        <v>2014</v>
      </c>
      <c r="H2931" s="22" t="n">
        <v>123713</v>
      </c>
      <c r="I2931" s="22" t="n">
        <v>215000</v>
      </c>
      <c r="J2931" s="20" t="inlineStr">
        <is>
          <t>POPULAR MARUTI</t>
        </is>
      </c>
      <c r="K2931" s="20" t="inlineStr">
        <is>
          <t>Non-Captive</t>
        </is>
      </c>
      <c r="L2931" s="20" t="inlineStr">
        <is>
          <t>JAYAPRAKSH</t>
        </is>
      </c>
      <c r="M2931" s="23" t="n">
        <v>12711.86</v>
      </c>
    </row>
    <row r="2932">
      <c r="A2932" s="19" t="inlineStr">
        <is>
          <t>FY27</t>
        </is>
      </c>
      <c r="B2932" s="19" t="inlineStr">
        <is>
          <t>Jul</t>
        </is>
      </c>
      <c r="C2932" s="19" t="inlineStr">
        <is>
          <t>Kerala</t>
        </is>
      </c>
      <c r="D2932" s="20" t="inlineStr">
        <is>
          <t>KL41U2030</t>
        </is>
      </c>
      <c r="E2932" s="20" t="inlineStr">
        <is>
          <t>TOYOTA</t>
        </is>
      </c>
      <c r="F2932" s="20" t="inlineStr">
        <is>
          <t>Glanza</t>
        </is>
      </c>
      <c r="G2932" s="21" t="n">
        <v>2023</v>
      </c>
      <c r="H2932" s="22" t="n">
        <v>33081</v>
      </c>
      <c r="I2932" s="22" t="n">
        <v>547500</v>
      </c>
      <c r="J2932" s="20" t="inlineStr">
        <is>
          <t>ERAM MOTORS</t>
        </is>
      </c>
      <c r="K2932" s="20" t="inlineStr">
        <is>
          <t>Non-Captive</t>
        </is>
      </c>
      <c r="L2932" s="20" t="inlineStr">
        <is>
          <t>AITO CARS</t>
        </is>
      </c>
      <c r="M2932" s="23" t="n">
        <v>10593.22</v>
      </c>
    </row>
    <row r="2933">
      <c r="A2933" s="19" t="inlineStr">
        <is>
          <t>FY27</t>
        </is>
      </c>
      <c r="B2933" s="19" t="inlineStr">
        <is>
          <t>Jul</t>
        </is>
      </c>
      <c r="C2933" s="19" t="inlineStr">
        <is>
          <t>Kerala</t>
        </is>
      </c>
      <c r="D2933" s="20" t="inlineStr">
        <is>
          <t>KL05X6348</t>
        </is>
      </c>
      <c r="E2933" s="20" t="inlineStr">
        <is>
          <t>FORD</t>
        </is>
      </c>
      <c r="F2933" s="20" t="inlineStr">
        <is>
          <t>Fiesta</t>
        </is>
      </c>
      <c r="G2933" s="21" t="n">
        <v>2007</v>
      </c>
      <c r="H2933" s="22" t="n">
        <v>85000</v>
      </c>
      <c r="I2933" s="22" t="n">
        <v>135000</v>
      </c>
      <c r="J2933" s="20" t="inlineStr">
        <is>
          <t>POPULAR HYUNDAI</t>
        </is>
      </c>
      <c r="K2933" s="20" t="inlineStr">
        <is>
          <t>Non-Captive</t>
        </is>
      </c>
      <c r="L2933" s="20" t="inlineStr">
        <is>
          <t>Clind C</t>
        </is>
      </c>
      <c r="M2933" s="23" t="n">
        <v>8474.58</v>
      </c>
    </row>
    <row r="2934">
      <c r="A2934" s="19" t="inlineStr">
        <is>
          <t>FY27</t>
        </is>
      </c>
      <c r="B2934" s="19" t="inlineStr">
        <is>
          <t>Jul</t>
        </is>
      </c>
      <c r="C2934" s="19" t="inlineStr">
        <is>
          <t>Kerala</t>
        </is>
      </c>
      <c r="D2934" s="20" t="inlineStr">
        <is>
          <t>KL58T1465</t>
        </is>
      </c>
      <c r="E2934" s="20" t="inlineStr">
        <is>
          <t>MARUTI</t>
        </is>
      </c>
      <c r="F2934" s="20" t="inlineStr">
        <is>
          <t>Alto</t>
        </is>
      </c>
      <c r="G2934" s="21" t="n">
        <v>2016</v>
      </c>
      <c r="H2934" s="22" t="n">
        <v>115000</v>
      </c>
      <c r="I2934" s="22" t="n">
        <v>189000</v>
      </c>
      <c r="J2934" s="20" t="inlineStr">
        <is>
          <t>KVR TATA</t>
        </is>
      </c>
      <c r="K2934" s="20" t="inlineStr">
        <is>
          <t>Non-Captive</t>
        </is>
      </c>
      <c r="L2934" s="20" t="inlineStr">
        <is>
          <t>Varun B Prakash</t>
        </is>
      </c>
      <c r="M2934" s="23" t="n">
        <v>5084.75</v>
      </c>
    </row>
    <row r="2935">
      <c r="A2935" s="19" t="inlineStr">
        <is>
          <t>FY27</t>
        </is>
      </c>
      <c r="B2935" s="19" t="inlineStr">
        <is>
          <t>Jul</t>
        </is>
      </c>
      <c r="C2935" s="19" t="inlineStr">
        <is>
          <t>Kerala</t>
        </is>
      </c>
      <c r="D2935" s="20" t="inlineStr">
        <is>
          <t>KL58J405</t>
        </is>
      </c>
      <c r="E2935" s="20" t="inlineStr">
        <is>
          <t>MARUTI</t>
        </is>
      </c>
      <c r="F2935" s="20" t="inlineStr">
        <is>
          <t>Zen Estilo</t>
        </is>
      </c>
      <c r="G2935" s="21" t="n">
        <v>2012</v>
      </c>
      <c r="H2935" s="22" t="n">
        <v>207651</v>
      </c>
      <c r="I2935" s="22" t="n">
        <v>80000</v>
      </c>
      <c r="J2935" s="20" t="inlineStr">
        <is>
          <t>KVR TATA</t>
        </is>
      </c>
      <c r="K2935" s="20" t="inlineStr">
        <is>
          <t>Non-Captive</t>
        </is>
      </c>
      <c r="L2935" s="20" t="inlineStr">
        <is>
          <t>JIMMY THOMAS</t>
        </is>
      </c>
      <c r="M2935" s="23" t="n">
        <v>8474.58</v>
      </c>
    </row>
    <row r="2936">
      <c r="A2936" s="19" t="inlineStr">
        <is>
          <t>FY27</t>
        </is>
      </c>
      <c r="B2936" s="19" t="inlineStr">
        <is>
          <t>Jul</t>
        </is>
      </c>
      <c r="C2936" s="19" t="inlineStr">
        <is>
          <t>Kerala</t>
        </is>
      </c>
      <c r="D2936" s="20" t="inlineStr">
        <is>
          <t>KL13AM9805</t>
        </is>
      </c>
      <c r="E2936" s="20" t="inlineStr">
        <is>
          <t>MARUTI</t>
        </is>
      </c>
      <c r="F2936" s="20" t="inlineStr">
        <is>
          <t>Wagonr</t>
        </is>
      </c>
      <c r="G2936" s="21" t="n">
        <v>2018</v>
      </c>
      <c r="H2936" s="22" t="n">
        <v>67000</v>
      </c>
      <c r="I2936" s="22" t="n">
        <v>306000</v>
      </c>
      <c r="J2936" s="20" t="inlineStr">
        <is>
          <t>AUTOBOT</t>
        </is>
      </c>
      <c r="K2936" s="20" t="inlineStr">
        <is>
          <t>Non-Captive</t>
        </is>
      </c>
      <c r="L2936" s="20" t="inlineStr">
        <is>
          <t>Varun B Prakash</t>
        </is>
      </c>
      <c r="M2936" s="23" t="n">
        <v>4237.29</v>
      </c>
    </row>
    <row r="2937">
      <c r="A2937" s="19" t="inlineStr">
        <is>
          <t>FY27</t>
        </is>
      </c>
      <c r="B2937" s="19" t="inlineStr">
        <is>
          <t>Jul</t>
        </is>
      </c>
      <c r="C2937" s="19" t="inlineStr">
        <is>
          <t>Kerala</t>
        </is>
      </c>
      <c r="D2937" s="20" t="inlineStr">
        <is>
          <t>KL58Q5887</t>
        </is>
      </c>
      <c r="E2937" s="20" t="inlineStr">
        <is>
          <t>MARUTI</t>
        </is>
      </c>
      <c r="F2937" s="20" t="inlineStr">
        <is>
          <t>Wagonr</t>
        </is>
      </c>
      <c r="G2937" s="21" t="n">
        <v>2015</v>
      </c>
      <c r="H2937" s="22" t="n">
        <v>80000</v>
      </c>
      <c r="I2937" s="22" t="n">
        <v>245000</v>
      </c>
      <c r="J2937" s="20" t="inlineStr">
        <is>
          <t>APCO HYUNDAI</t>
        </is>
      </c>
      <c r="K2937" s="20" t="inlineStr">
        <is>
          <t>Non-Captive</t>
        </is>
      </c>
      <c r="L2937" s="20" t="inlineStr">
        <is>
          <t>PRAJOSH AM</t>
        </is>
      </c>
      <c r="M2937" s="23" t="n">
        <v>4237.29</v>
      </c>
    </row>
    <row r="2938">
      <c r="A2938" s="19" t="inlineStr">
        <is>
          <t>FY27</t>
        </is>
      </c>
      <c r="B2938" s="19" t="inlineStr">
        <is>
          <t>Jul</t>
        </is>
      </c>
      <c r="C2938" s="19" t="inlineStr">
        <is>
          <t>Kerala</t>
        </is>
      </c>
      <c r="D2938" s="20" t="inlineStr">
        <is>
          <t>KL10AR5599</t>
        </is>
      </c>
      <c r="E2938" s="20" t="inlineStr">
        <is>
          <t>MARUTI</t>
        </is>
      </c>
      <c r="F2938" s="20" t="inlineStr">
        <is>
          <t>Alto800</t>
        </is>
      </c>
      <c r="G2938" s="21" t="n">
        <v>2014</v>
      </c>
      <c r="H2938" s="22" t="n">
        <v>51200</v>
      </c>
      <c r="I2938" s="22" t="n">
        <v>165000</v>
      </c>
      <c r="J2938" s="20" t="inlineStr">
        <is>
          <t>KVR TATA</t>
        </is>
      </c>
      <c r="K2938" s="20" t="inlineStr">
        <is>
          <t>Non-Captive</t>
        </is>
      </c>
      <c r="L2938" s="20" t="inlineStr">
        <is>
          <t>AFSAL P ASARAF</t>
        </is>
      </c>
      <c r="M2938" s="23" t="n">
        <v>4237.29</v>
      </c>
    </row>
    <row r="2939">
      <c r="A2939" s="19" t="inlineStr">
        <is>
          <t>FY27</t>
        </is>
      </c>
      <c r="B2939" s="19" t="inlineStr">
        <is>
          <t>Jul</t>
        </is>
      </c>
      <c r="C2939" s="19" t="inlineStr">
        <is>
          <t>Kerala</t>
        </is>
      </c>
      <c r="D2939" s="20" t="inlineStr">
        <is>
          <t>KL41N0044</t>
        </is>
      </c>
      <c r="E2939" s="20" t="inlineStr">
        <is>
          <t>RENAULT</t>
        </is>
      </c>
      <c r="F2939" s="20" t="inlineStr">
        <is>
          <t>Kwid</t>
        </is>
      </c>
      <c r="G2939" s="21" t="n">
        <v>2017</v>
      </c>
      <c r="H2939" s="22" t="n">
        <v>80000</v>
      </c>
      <c r="I2939" s="22" t="n">
        <v>180000</v>
      </c>
      <c r="J2939" s="20" t="inlineStr">
        <is>
          <t>INDUS MARUTI</t>
        </is>
      </c>
      <c r="K2939" s="20" t="inlineStr">
        <is>
          <t>Non-Captive</t>
        </is>
      </c>
      <c r="L2939" s="20" t="inlineStr">
        <is>
          <t>RASIK RAHIM</t>
        </is>
      </c>
      <c r="M2939" s="23" t="n">
        <v>11016.95</v>
      </c>
    </row>
    <row r="2940">
      <c r="A2940" s="19" t="inlineStr">
        <is>
          <t>FY27</t>
        </is>
      </c>
      <c r="B2940" s="19" t="inlineStr">
        <is>
          <t>Jul</t>
        </is>
      </c>
      <c r="C2940" s="19" t="inlineStr">
        <is>
          <t>Kerala</t>
        </is>
      </c>
      <c r="D2940" s="20" t="inlineStr">
        <is>
          <t>KL22N3055</t>
        </is>
      </c>
      <c r="E2940" s="20" t="inlineStr">
        <is>
          <t>TATA</t>
        </is>
      </c>
      <c r="F2940" s="20" t="inlineStr">
        <is>
          <t>Tiago</t>
        </is>
      </c>
      <c r="G2940" s="21" t="n">
        <v>2019</v>
      </c>
      <c r="H2940" s="22" t="n">
        <v>63787</v>
      </c>
      <c r="I2940" s="22" t="n">
        <v>250000</v>
      </c>
      <c r="J2940" s="20" t="inlineStr">
        <is>
          <t>GOKULAM TATA</t>
        </is>
      </c>
      <c r="K2940" s="20" t="inlineStr">
        <is>
          <t>Non-Captive</t>
        </is>
      </c>
      <c r="L2940" s="20" t="inlineStr">
        <is>
          <t>RASIK RAHIM</t>
        </is>
      </c>
      <c r="M2940" s="23" t="n">
        <v>8474.58</v>
      </c>
    </row>
    <row r="2941">
      <c r="A2941" s="19" t="inlineStr">
        <is>
          <t>FY27</t>
        </is>
      </c>
      <c r="B2941" s="19" t="inlineStr">
        <is>
          <t>Jul</t>
        </is>
      </c>
      <c r="C2941" s="19" t="inlineStr">
        <is>
          <t>Kerala</t>
        </is>
      </c>
      <c r="D2941" s="20" t="inlineStr">
        <is>
          <t>KL58T6048</t>
        </is>
      </c>
      <c r="E2941" s="20" t="inlineStr">
        <is>
          <t>MARUTI</t>
        </is>
      </c>
      <c r="F2941" s="20" t="inlineStr">
        <is>
          <t>Celerio</t>
        </is>
      </c>
      <c r="G2941" s="21" t="n">
        <v>2016</v>
      </c>
      <c r="H2941" s="22" t="n">
        <v>68144</v>
      </c>
      <c r="I2941" s="22" t="n">
        <v>310000</v>
      </c>
      <c r="J2941" s="20" t="inlineStr">
        <is>
          <t>KESHVIN HYUNDAI</t>
        </is>
      </c>
      <c r="K2941" s="20" t="inlineStr">
        <is>
          <t>Non-Captive</t>
        </is>
      </c>
      <c r="L2941" s="20" t="inlineStr">
        <is>
          <t>VISHNU M S</t>
        </is>
      </c>
      <c r="M2941" s="23" t="n">
        <v>8474.58</v>
      </c>
    </row>
    <row r="2942">
      <c r="A2942" s="19" t="inlineStr">
        <is>
          <t>FY27</t>
        </is>
      </c>
      <c r="B2942" s="19" t="inlineStr">
        <is>
          <t>Jul</t>
        </is>
      </c>
      <c r="C2942" s="19" t="inlineStr">
        <is>
          <t>Kerala</t>
        </is>
      </c>
      <c r="D2942" s="20" t="inlineStr">
        <is>
          <t>KL07DC8041</t>
        </is>
      </c>
      <c r="E2942" s="20" t="inlineStr">
        <is>
          <t>TATA</t>
        </is>
      </c>
      <c r="F2942" s="20" t="inlineStr">
        <is>
          <t>Punch</t>
        </is>
      </c>
      <c r="G2942" s="21" t="n">
        <v>2024</v>
      </c>
      <c r="H2942" s="22" t="n">
        <v>49500</v>
      </c>
      <c r="I2942" s="22" t="n">
        <v>860000</v>
      </c>
      <c r="J2942" s="20" t="inlineStr">
        <is>
          <t>GOKULAM TATA</t>
        </is>
      </c>
      <c r="K2942" s="20" t="inlineStr">
        <is>
          <t>Non-Captive</t>
        </is>
      </c>
      <c r="L2942" s="20" t="inlineStr">
        <is>
          <t>FABITH</t>
        </is>
      </c>
      <c r="M2942" s="23" t="n">
        <v>8474.58</v>
      </c>
    </row>
    <row r="2943">
      <c r="A2943" s="19" t="inlineStr">
        <is>
          <t>FY27</t>
        </is>
      </c>
      <c r="B2943" s="19" t="inlineStr">
        <is>
          <t>Jul</t>
        </is>
      </c>
      <c r="C2943" s="19" t="inlineStr">
        <is>
          <t>Kerala</t>
        </is>
      </c>
      <c r="D2943" s="20" t="inlineStr">
        <is>
          <t>KL02Z0287</t>
        </is>
      </c>
      <c r="E2943" s="20" t="inlineStr">
        <is>
          <t>MARUTI</t>
        </is>
      </c>
      <c r="F2943" s="20" t="inlineStr">
        <is>
          <t>Alto</t>
        </is>
      </c>
      <c r="G2943" s="21" t="n">
        <v>2006</v>
      </c>
      <c r="H2943" s="22" t="n">
        <v>65000</v>
      </c>
      <c r="I2943" s="22" t="n">
        <v>40000</v>
      </c>
      <c r="J2943" s="20" t="inlineStr">
        <is>
          <t>MUTHOOT HONDA</t>
        </is>
      </c>
      <c r="K2943" s="20" t="inlineStr">
        <is>
          <t>Non-Captive</t>
        </is>
      </c>
      <c r="L2943" s="20" t="inlineStr">
        <is>
          <t>SHAHAR</t>
        </is>
      </c>
      <c r="M2943" s="23" t="n">
        <v>8474.58</v>
      </c>
    </row>
    <row r="2944">
      <c r="A2944" s="19" t="inlineStr">
        <is>
          <t>FY27</t>
        </is>
      </c>
      <c r="B2944" s="19" t="inlineStr">
        <is>
          <t>Jul</t>
        </is>
      </c>
      <c r="C2944" s="19" t="inlineStr">
        <is>
          <t>Kerala</t>
        </is>
      </c>
      <c r="D2944" s="20" t="inlineStr">
        <is>
          <t>KL25F5739</t>
        </is>
      </c>
      <c r="E2944" s="20" t="inlineStr">
        <is>
          <t>HONDA</t>
        </is>
      </c>
      <c r="F2944" s="20" t="inlineStr">
        <is>
          <t>City</t>
        </is>
      </c>
      <c r="G2944" s="21" t="n">
        <v>2014</v>
      </c>
      <c r="H2944" s="22" t="n">
        <v>101435</v>
      </c>
      <c r="I2944" s="22" t="n">
        <v>418500</v>
      </c>
      <c r="J2944" s="20" t="inlineStr">
        <is>
          <t>SARATHY NEXA</t>
        </is>
      </c>
      <c r="K2944" s="20" t="inlineStr">
        <is>
          <t>Non-Captive</t>
        </is>
      </c>
      <c r="L2944" s="20" t="inlineStr">
        <is>
          <t>Renjith SJ</t>
        </is>
      </c>
      <c r="M2944" s="23" t="n">
        <v>7203.39</v>
      </c>
    </row>
    <row r="2945">
      <c r="A2945" s="19" t="inlineStr">
        <is>
          <t>FY27</t>
        </is>
      </c>
      <c r="B2945" s="19" t="inlineStr">
        <is>
          <t>Jul</t>
        </is>
      </c>
      <c r="C2945" s="19" t="inlineStr">
        <is>
          <t>Kerala</t>
        </is>
      </c>
      <c r="D2945" s="20" t="inlineStr">
        <is>
          <t>KL20J7855</t>
        </is>
      </c>
      <c r="E2945" s="20" t="inlineStr">
        <is>
          <t>FORD</t>
        </is>
      </c>
      <c r="F2945" s="20" t="inlineStr">
        <is>
          <t>Figo</t>
        </is>
      </c>
      <c r="G2945" s="21" t="n">
        <v>2016</v>
      </c>
      <c r="H2945" s="22" t="n">
        <v>125984</v>
      </c>
      <c r="I2945" s="22" t="n">
        <v>260000</v>
      </c>
      <c r="J2945" s="20" t="inlineStr">
        <is>
          <t>OLX</t>
        </is>
      </c>
      <c r="K2945" s="20" t="inlineStr">
        <is>
          <t>Non-Captive</t>
        </is>
      </c>
      <c r="L2945" s="20" t="inlineStr">
        <is>
          <t>DINESH P S</t>
        </is>
      </c>
      <c r="M2945" s="23" t="n">
        <v>8474.58</v>
      </c>
    </row>
    <row r="2946">
      <c r="A2946" s="19" t="inlineStr">
        <is>
          <t>FY27</t>
        </is>
      </c>
      <c r="B2946" s="19" t="inlineStr">
        <is>
          <t>Jul</t>
        </is>
      </c>
      <c r="C2946" s="19" t="inlineStr">
        <is>
          <t>Kerala</t>
        </is>
      </c>
      <c r="D2946" s="20" t="inlineStr">
        <is>
          <t>KL07CF9756</t>
        </is>
      </c>
      <c r="E2946" s="20" t="inlineStr">
        <is>
          <t>MARUTI</t>
        </is>
      </c>
      <c r="F2946" s="20" t="inlineStr">
        <is>
          <t>Baleno</t>
        </is>
      </c>
      <c r="G2946" s="21" t="n">
        <v>2016</v>
      </c>
      <c r="H2946" s="22" t="n">
        <v>31771</v>
      </c>
      <c r="I2946" s="22" t="n">
        <v>435000</v>
      </c>
      <c r="J2946" s="20" t="inlineStr">
        <is>
          <t>INDUS MARUTI</t>
        </is>
      </c>
      <c r="K2946" s="20" t="inlineStr">
        <is>
          <t>Non-Captive</t>
        </is>
      </c>
      <c r="L2946" s="20" t="inlineStr">
        <is>
          <t>RASIK RAHIM</t>
        </is>
      </c>
      <c r="M2946" s="23" t="n">
        <v>8474.58</v>
      </c>
    </row>
    <row r="2947">
      <c r="A2947" s="19" t="inlineStr">
        <is>
          <t>FY27</t>
        </is>
      </c>
      <c r="B2947" s="19" t="inlineStr">
        <is>
          <t>Jul</t>
        </is>
      </c>
      <c r="C2947" s="19" t="inlineStr">
        <is>
          <t>Kerala</t>
        </is>
      </c>
      <c r="D2947" s="20" t="inlineStr">
        <is>
          <t>KL31B7587</t>
        </is>
      </c>
      <c r="E2947" s="20" t="inlineStr">
        <is>
          <t>MARUTI</t>
        </is>
      </c>
      <c r="F2947" s="20" t="inlineStr">
        <is>
          <t>Wgr</t>
        </is>
      </c>
      <c r="G2947" s="21" t="n">
        <v>2010</v>
      </c>
      <c r="H2947" s="22" t="n">
        <v>79830</v>
      </c>
      <c r="I2947" s="22" t="n">
        <v>116000</v>
      </c>
      <c r="J2947" s="20" t="inlineStr">
        <is>
          <t>MAXX MOTORS</t>
        </is>
      </c>
      <c r="K2947" s="20" t="inlineStr">
        <is>
          <t>Non-Captive</t>
        </is>
      </c>
      <c r="L2947" s="20" t="inlineStr">
        <is>
          <t>KISHORE</t>
        </is>
      </c>
      <c r="M2947" s="23" t="n">
        <v>5084.75</v>
      </c>
    </row>
    <row r="2948">
      <c r="A2948" s="19" t="inlineStr">
        <is>
          <t>FY27</t>
        </is>
      </c>
      <c r="B2948" s="19" t="inlineStr">
        <is>
          <t>Jul</t>
        </is>
      </c>
      <c r="C2948" s="19" t="inlineStr">
        <is>
          <t>Kerala</t>
        </is>
      </c>
      <c r="D2948" s="20" t="inlineStr">
        <is>
          <t>KL20L9663</t>
        </is>
      </c>
      <c r="E2948" s="20" t="inlineStr">
        <is>
          <t>RENAULT</t>
        </is>
      </c>
      <c r="F2948" s="20" t="inlineStr">
        <is>
          <t>Kwid</t>
        </is>
      </c>
      <c r="G2948" s="21" t="n">
        <v>2017</v>
      </c>
      <c r="H2948" s="22" t="n">
        <v>58200</v>
      </c>
      <c r="I2948" s="22" t="n">
        <v>176000</v>
      </c>
      <c r="J2948" s="20" t="inlineStr">
        <is>
          <t>LUXON MOTORS</t>
        </is>
      </c>
      <c r="K2948" s="20" t="inlineStr">
        <is>
          <t>Non-Captive</t>
        </is>
      </c>
      <c r="L2948" s="20" t="inlineStr">
        <is>
          <t>ABHISHEK</t>
        </is>
      </c>
      <c r="M2948" s="23" t="n">
        <v>5084.75</v>
      </c>
    </row>
    <row r="2949">
      <c r="A2949" s="19" t="inlineStr">
        <is>
          <t>FY27</t>
        </is>
      </c>
      <c r="B2949" s="19" t="inlineStr">
        <is>
          <t>Jul</t>
        </is>
      </c>
      <c r="C2949" s="19" t="inlineStr">
        <is>
          <t>Kerala</t>
        </is>
      </c>
      <c r="D2949" s="20" t="inlineStr">
        <is>
          <t>KL46V4688</t>
        </is>
      </c>
      <c r="E2949" s="20" t="inlineStr">
        <is>
          <t>MARUTI</t>
        </is>
      </c>
      <c r="F2949" s="20" t="inlineStr">
        <is>
          <t>Swift</t>
        </is>
      </c>
      <c r="G2949" s="21" t="n">
        <v>2020</v>
      </c>
      <c r="H2949" s="22" t="n">
        <v>71354</v>
      </c>
      <c r="I2949" s="22" t="n">
        <v>462500</v>
      </c>
      <c r="J2949" s="20" t="inlineStr">
        <is>
          <t>POPULAR HYUNDAI</t>
        </is>
      </c>
      <c r="K2949" s="20" t="inlineStr">
        <is>
          <t>Non-Captive</t>
        </is>
      </c>
      <c r="L2949" s="20" t="inlineStr">
        <is>
          <t>AITO CARS</t>
        </is>
      </c>
      <c r="M2949" s="23" t="n">
        <v>10593.22</v>
      </c>
    </row>
    <row r="2950">
      <c r="A2950" s="19" t="inlineStr">
        <is>
          <t>FY27</t>
        </is>
      </c>
      <c r="B2950" s="19" t="inlineStr">
        <is>
          <t>Jul</t>
        </is>
      </c>
      <c r="C2950" s="19" t="inlineStr">
        <is>
          <t>Kerala</t>
        </is>
      </c>
      <c r="D2950" s="20" t="inlineStr">
        <is>
          <t>KL11X8727</t>
        </is>
      </c>
      <c r="E2950" s="20" t="inlineStr">
        <is>
          <t>HYUNDAI</t>
        </is>
      </c>
      <c r="F2950" s="20" t="inlineStr">
        <is>
          <t>Santro</t>
        </is>
      </c>
      <c r="G2950" s="21" t="n">
        <v>2006</v>
      </c>
      <c r="H2950" s="22" t="n">
        <v>88000</v>
      </c>
      <c r="I2950" s="22" t="n">
        <v>56000</v>
      </c>
      <c r="J2950" s="20" t="inlineStr">
        <is>
          <t>BIMAL</t>
        </is>
      </c>
      <c r="K2950" s="20" t="inlineStr">
        <is>
          <t>Non-Captive</t>
        </is>
      </c>
      <c r="L2950" s="20" t="inlineStr">
        <is>
          <t>SOORAJ PK</t>
        </is>
      </c>
      <c r="M2950" s="23" t="n">
        <v>5084.75</v>
      </c>
    </row>
    <row r="2951">
      <c r="A2951" s="19" t="inlineStr">
        <is>
          <t>FY27</t>
        </is>
      </c>
      <c r="B2951" s="19" t="inlineStr">
        <is>
          <t>Jul</t>
        </is>
      </c>
      <c r="C2951" s="19" t="inlineStr">
        <is>
          <t>Kerala</t>
        </is>
      </c>
      <c r="D2951" s="20" t="inlineStr">
        <is>
          <t>KL48D0395</t>
        </is>
      </c>
      <c r="E2951" s="20" t="inlineStr">
        <is>
          <t>HYUNDAI</t>
        </is>
      </c>
      <c r="F2951" s="20" t="inlineStr">
        <is>
          <t>Eon</t>
        </is>
      </c>
      <c r="G2951" s="21" t="n">
        <v>2011</v>
      </c>
      <c r="H2951" s="22" t="n">
        <v>89000</v>
      </c>
      <c r="I2951" s="22" t="n">
        <v>68000</v>
      </c>
      <c r="J2951" s="20" t="inlineStr">
        <is>
          <t>POPULAR MARUTI</t>
        </is>
      </c>
      <c r="K2951" s="20" t="inlineStr">
        <is>
          <t>Non-Captive</t>
        </is>
      </c>
      <c r="L2951" s="20" t="inlineStr">
        <is>
          <t>SOORAJ PK</t>
        </is>
      </c>
      <c r="M2951" s="23" t="n">
        <v>6779.66</v>
      </c>
    </row>
    <row r="2952">
      <c r="A2952" s="19" t="inlineStr">
        <is>
          <t>FY27</t>
        </is>
      </c>
      <c r="B2952" s="19" t="inlineStr">
        <is>
          <t>Jul</t>
        </is>
      </c>
      <c r="C2952" s="19" t="inlineStr">
        <is>
          <t>Kerala</t>
        </is>
      </c>
      <c r="D2952" s="20" t="inlineStr">
        <is>
          <t>KL11AE7538</t>
        </is>
      </c>
      <c r="E2952" s="20" t="inlineStr">
        <is>
          <t>MARUTI</t>
        </is>
      </c>
      <c r="F2952" s="20" t="inlineStr">
        <is>
          <t>Swift</t>
        </is>
      </c>
      <c r="G2952" s="21" t="n">
        <v>2010</v>
      </c>
      <c r="H2952" s="22" t="n">
        <v>120000</v>
      </c>
      <c r="I2952" s="22" t="n">
        <v>132000</v>
      </c>
      <c r="J2952" s="20" t="inlineStr">
        <is>
          <t>POPULAR MARUTI</t>
        </is>
      </c>
      <c r="K2952" s="20" t="inlineStr">
        <is>
          <t>Non-Captive</t>
        </is>
      </c>
      <c r="L2952" s="20" t="inlineStr">
        <is>
          <t>P M Hakkeem</t>
        </is>
      </c>
      <c r="M2952" s="23" t="n">
        <v>5932.2</v>
      </c>
    </row>
    <row r="2953">
      <c r="A2953" s="19" t="inlineStr">
        <is>
          <t>FY27</t>
        </is>
      </c>
      <c r="B2953" s="19" t="inlineStr">
        <is>
          <t>Jul</t>
        </is>
      </c>
      <c r="C2953" s="19" t="inlineStr">
        <is>
          <t>Kerala</t>
        </is>
      </c>
      <c r="D2953" s="20" t="inlineStr">
        <is>
          <t>KL01CG4936</t>
        </is>
      </c>
      <c r="E2953" s="20" t="inlineStr">
        <is>
          <t>MARUTI</t>
        </is>
      </c>
      <c r="F2953" s="20" t="inlineStr">
        <is>
          <t>Wagonr</t>
        </is>
      </c>
      <c r="G2953" s="21" t="n">
        <v>2018</v>
      </c>
      <c r="H2953" s="22" t="n">
        <v>99000</v>
      </c>
      <c r="I2953" s="22" t="n">
        <v>227000</v>
      </c>
      <c r="J2953" s="20" t="inlineStr">
        <is>
          <t>POPULAR MARUTI</t>
        </is>
      </c>
      <c r="K2953" s="20" t="inlineStr">
        <is>
          <t>Non-Captive</t>
        </is>
      </c>
      <c r="L2953" s="20" t="inlineStr">
        <is>
          <t>Varun Prakash</t>
        </is>
      </c>
      <c r="M2953" s="23" t="n">
        <v>5932.2</v>
      </c>
    </row>
    <row r="2954">
      <c r="A2954" s="19" t="inlineStr">
        <is>
          <t>FY27</t>
        </is>
      </c>
      <c r="B2954" s="19" t="inlineStr">
        <is>
          <t>Jul</t>
        </is>
      </c>
      <c r="C2954" s="19" t="inlineStr">
        <is>
          <t>Kerala</t>
        </is>
      </c>
      <c r="D2954" s="20" t="inlineStr">
        <is>
          <t>KL58X9981</t>
        </is>
      </c>
      <c r="E2954" s="20" t="inlineStr">
        <is>
          <t>NISSAN</t>
        </is>
      </c>
      <c r="F2954" s="20" t="inlineStr">
        <is>
          <t>Terrano</t>
        </is>
      </c>
      <c r="G2954" s="21" t="n">
        <v>2014</v>
      </c>
      <c r="H2954" s="22" t="n">
        <v>77000</v>
      </c>
      <c r="I2954" s="22" t="n">
        <v>186000</v>
      </c>
      <c r="J2954" s="20" t="inlineStr">
        <is>
          <t>KANNUR PLATINUM</t>
        </is>
      </c>
      <c r="K2954" s="20" t="inlineStr">
        <is>
          <t>Non-Captive</t>
        </is>
      </c>
      <c r="L2954" s="20" t="inlineStr">
        <is>
          <t>RATHEESH V</t>
        </is>
      </c>
      <c r="M2954" s="23" t="n">
        <v>6779.66</v>
      </c>
    </row>
    <row r="2955">
      <c r="A2955" s="19" t="inlineStr">
        <is>
          <t>FY27</t>
        </is>
      </c>
      <c r="B2955" s="19" t="inlineStr">
        <is>
          <t>Jul</t>
        </is>
      </c>
      <c r="C2955" s="19" t="inlineStr">
        <is>
          <t>Kerala</t>
        </is>
      </c>
      <c r="D2955" s="20" t="inlineStr">
        <is>
          <t>KL58K9644</t>
        </is>
      </c>
      <c r="E2955" s="20" t="inlineStr">
        <is>
          <t>HYUNDAI</t>
        </is>
      </c>
      <c r="F2955" s="20" t="inlineStr">
        <is>
          <t>Eon</t>
        </is>
      </c>
      <c r="G2955" s="21" t="n">
        <v>2013</v>
      </c>
      <c r="H2955" s="22" t="n">
        <v>99000</v>
      </c>
      <c r="I2955" s="22" t="n">
        <v>85000</v>
      </c>
      <c r="J2955" s="20" t="inlineStr">
        <is>
          <t>UCD VARUN</t>
        </is>
      </c>
      <c r="K2955" s="20" t="inlineStr">
        <is>
          <t>Non-Captive</t>
        </is>
      </c>
      <c r="L2955" s="20" t="inlineStr">
        <is>
          <t>RATHEESH V</t>
        </is>
      </c>
      <c r="M2955" s="23" t="n">
        <v>5932.2</v>
      </c>
    </row>
    <row r="2956">
      <c r="A2956" s="19" t="inlineStr">
        <is>
          <t>FY27</t>
        </is>
      </c>
      <c r="B2956" s="19" t="inlineStr">
        <is>
          <t>Jul</t>
        </is>
      </c>
      <c r="C2956" s="19" t="inlineStr">
        <is>
          <t>Kerala</t>
        </is>
      </c>
      <c r="D2956" s="20" t="inlineStr">
        <is>
          <t>KL58L8592</t>
        </is>
      </c>
      <c r="E2956" s="20" t="inlineStr">
        <is>
          <t>TATA</t>
        </is>
      </c>
      <c r="F2956" s="20" t="inlineStr">
        <is>
          <t>Indica</t>
        </is>
      </c>
      <c r="G2956" s="21" t="n">
        <v>2014</v>
      </c>
      <c r="H2956" s="22" t="n">
        <v>67000</v>
      </c>
      <c r="I2956" s="22" t="n">
        <v>122000</v>
      </c>
      <c r="J2956" s="20" t="inlineStr">
        <is>
          <t>POPULAR MARUTI</t>
        </is>
      </c>
      <c r="K2956" s="20" t="inlineStr">
        <is>
          <t>Non-Captive</t>
        </is>
      </c>
      <c r="L2956" s="20" t="inlineStr">
        <is>
          <t>RATEESH V</t>
        </is>
      </c>
      <c r="M2956" s="23" t="n">
        <v>5932.2</v>
      </c>
    </row>
    <row r="2957">
      <c r="A2957" s="19" t="inlineStr">
        <is>
          <t>FY27</t>
        </is>
      </c>
      <c r="B2957" s="19" t="inlineStr">
        <is>
          <t>Jul</t>
        </is>
      </c>
      <c r="C2957" s="19" t="inlineStr">
        <is>
          <t>Kerala</t>
        </is>
      </c>
      <c r="D2957" s="20" t="inlineStr">
        <is>
          <t>KL56A4544</t>
        </is>
      </c>
      <c r="E2957" s="20" t="inlineStr">
        <is>
          <t>MARUTI</t>
        </is>
      </c>
      <c r="F2957" s="20" t="inlineStr">
        <is>
          <t>Wagonr</t>
        </is>
      </c>
      <c r="G2957" s="21" t="n">
        <v>2008</v>
      </c>
      <c r="H2957" s="22" t="n">
        <v>105000</v>
      </c>
      <c r="I2957" s="22" t="n">
        <v>65000</v>
      </c>
      <c r="J2957" s="20" t="inlineStr">
        <is>
          <t>EVM SKODA</t>
        </is>
      </c>
      <c r="K2957" s="20" t="inlineStr">
        <is>
          <t>Non-Captive</t>
        </is>
      </c>
      <c r="L2957" s="20" t="inlineStr">
        <is>
          <t>TOKYO CARS</t>
        </is>
      </c>
      <c r="M2957" s="23" t="n">
        <v>4237.29</v>
      </c>
    </row>
    <row r="2958">
      <c r="A2958" s="19" t="inlineStr">
        <is>
          <t>FY27</t>
        </is>
      </c>
      <c r="B2958" s="19" t="inlineStr">
        <is>
          <t>Jul</t>
        </is>
      </c>
      <c r="C2958" s="19" t="inlineStr">
        <is>
          <t>Kerala</t>
        </is>
      </c>
      <c r="D2958" s="20" t="inlineStr">
        <is>
          <t>KL58AD183</t>
        </is>
      </c>
      <c r="E2958" s="20" t="inlineStr">
        <is>
          <t>MARUTI</t>
        </is>
      </c>
      <c r="F2958" s="20" t="inlineStr">
        <is>
          <t>Alto</t>
        </is>
      </c>
      <c r="G2958" s="21" t="n">
        <v>2007</v>
      </c>
      <c r="H2958" s="22" t="n">
        <v>135000</v>
      </c>
      <c r="I2958" s="22" t="n">
        <v>55000</v>
      </c>
      <c r="J2958" s="20" t="inlineStr">
        <is>
          <t>INDUS MARUTI</t>
        </is>
      </c>
      <c r="K2958" s="20" t="inlineStr">
        <is>
          <t>Non-Captive</t>
        </is>
      </c>
      <c r="L2958" s="20" t="inlineStr">
        <is>
          <t>HIBA NASRIN</t>
        </is>
      </c>
      <c r="M2958" s="23" t="n">
        <v>4237.29</v>
      </c>
    </row>
    <row r="2959">
      <c r="A2959" s="19" t="inlineStr">
        <is>
          <t>FY27</t>
        </is>
      </c>
      <c r="B2959" s="19" t="inlineStr">
        <is>
          <t>Jul</t>
        </is>
      </c>
      <c r="C2959" s="19" t="inlineStr">
        <is>
          <t>TN</t>
        </is>
      </c>
      <c r="D2959" s="20" t="inlineStr">
        <is>
          <t>TN20CE5359</t>
        </is>
      </c>
      <c r="E2959" s="20" t="inlineStr">
        <is>
          <t>MARUTI</t>
        </is>
      </c>
      <c r="F2959" s="20" t="inlineStr">
        <is>
          <t>Eeco</t>
        </is>
      </c>
      <c r="G2959" s="21" t="n">
        <v>2014</v>
      </c>
      <c r="H2959" s="22" t="n">
        <v>88307</v>
      </c>
      <c r="I2959" s="22" t="n">
        <v>234000</v>
      </c>
      <c r="J2959" s="20" t="inlineStr">
        <is>
          <t>CASTLE TRADERS Maruti</t>
        </is>
      </c>
      <c r="K2959" s="20" t="inlineStr">
        <is>
          <t>Non-Captive</t>
        </is>
      </c>
      <c r="L2959" s="20" t="inlineStr">
        <is>
          <t>S2 MOTORZ</t>
        </is>
      </c>
      <c r="M2959" s="23" t="n">
        <v>6355.93</v>
      </c>
    </row>
    <row r="2960">
      <c r="A2960" s="19" t="inlineStr">
        <is>
          <t>FY27</t>
        </is>
      </c>
      <c r="B2960" s="19" t="inlineStr">
        <is>
          <t>Jul</t>
        </is>
      </c>
      <c r="C2960" s="19" t="inlineStr">
        <is>
          <t>TN</t>
        </is>
      </c>
      <c r="D2960" s="20" t="inlineStr">
        <is>
          <t>TN09DJ0308</t>
        </is>
      </c>
      <c r="E2960" s="20" t="inlineStr">
        <is>
          <t>MARUTI</t>
        </is>
      </c>
      <c r="F2960" s="20" t="inlineStr">
        <is>
          <t>Baleno</t>
        </is>
      </c>
      <c r="G2960" s="21" t="n">
        <v>2024</v>
      </c>
      <c r="H2960" s="22" t="n">
        <v>21905</v>
      </c>
      <c r="I2960" s="22" t="n">
        <v>641000</v>
      </c>
      <c r="J2960" s="20" t="inlineStr">
        <is>
          <t>CASTLE TRADERS Maruti</t>
        </is>
      </c>
      <c r="K2960" s="20" t="inlineStr">
        <is>
          <t>Non-Captive</t>
        </is>
      </c>
      <c r="L2960" s="20" t="inlineStr">
        <is>
          <t>LANSON QCARS PRIVATE LIMITED</t>
        </is>
      </c>
      <c r="M2960" s="23" t="n">
        <v>7627.12</v>
      </c>
    </row>
    <row r="2961">
      <c r="A2961" s="19" t="inlineStr">
        <is>
          <t>FY27</t>
        </is>
      </c>
      <c r="B2961" s="19" t="inlineStr">
        <is>
          <t>Jul</t>
        </is>
      </c>
      <c r="C2961" s="19" t="inlineStr">
        <is>
          <t>TN</t>
        </is>
      </c>
      <c r="D2961" s="20" t="inlineStr">
        <is>
          <t>TN06E0365</t>
        </is>
      </c>
      <c r="E2961" s="20" t="inlineStr">
        <is>
          <t>TOYOTA</t>
        </is>
      </c>
      <c r="F2961" s="20" t="inlineStr">
        <is>
          <t>Etios Liva</t>
        </is>
      </c>
      <c r="G2961" s="21" t="n">
        <v>2011</v>
      </c>
      <c r="H2961" s="22" t="n">
        <v>42285</v>
      </c>
      <c r="I2961" s="22" t="n">
        <v>215000</v>
      </c>
      <c r="J2961" s="20" t="inlineStr">
        <is>
          <t>CASTLE TRADERS Maruti</t>
        </is>
      </c>
      <c r="K2961" s="20" t="inlineStr">
        <is>
          <t>Non-Captive</t>
        </is>
      </c>
      <c r="L2961" s="20" t="inlineStr">
        <is>
          <t>PINE AUTOS</t>
        </is>
      </c>
      <c r="M2961" s="23" t="n">
        <v>6355.93</v>
      </c>
    </row>
    <row r="2962">
      <c r="A2962" s="19" t="inlineStr">
        <is>
          <t>FY27</t>
        </is>
      </c>
      <c r="B2962" s="19" t="inlineStr">
        <is>
          <t>Jul</t>
        </is>
      </c>
      <c r="C2962" s="19" t="inlineStr">
        <is>
          <t>TN</t>
        </is>
      </c>
      <c r="D2962" s="20" t="inlineStr">
        <is>
          <t>TN11A9378</t>
        </is>
      </c>
      <c r="E2962" s="20" t="inlineStr">
        <is>
          <t>HYUNDAI</t>
        </is>
      </c>
      <c r="F2962" s="20" t="inlineStr">
        <is>
          <t>I10</t>
        </is>
      </c>
      <c r="G2962" s="21" t="n">
        <v>2012</v>
      </c>
      <c r="H2962" s="22" t="n">
        <v>88439</v>
      </c>
      <c r="I2962" s="22" t="n">
        <v>181000</v>
      </c>
      <c r="J2962" s="20" t="inlineStr">
        <is>
          <t>Castel Traders HONADA</t>
        </is>
      </c>
      <c r="K2962" s="20" t="inlineStr">
        <is>
          <t>Non-Captive</t>
        </is>
      </c>
      <c r="L2962" s="20" t="inlineStr">
        <is>
          <t>S2 MOTORZ</t>
        </is>
      </c>
      <c r="M2962" s="23" t="n">
        <v>5084.75</v>
      </c>
    </row>
    <row r="2963">
      <c r="A2963" s="19" t="inlineStr">
        <is>
          <t>FY27</t>
        </is>
      </c>
      <c r="B2963" s="19" t="inlineStr">
        <is>
          <t>Jul</t>
        </is>
      </c>
      <c r="C2963" s="19" t="inlineStr">
        <is>
          <t>TN</t>
        </is>
      </c>
      <c r="D2963" s="20" t="inlineStr">
        <is>
          <t>TN09CC0142</t>
        </is>
      </c>
      <c r="E2963" s="20" t="inlineStr">
        <is>
          <t>HYUNDAI</t>
        </is>
      </c>
      <c r="F2963" s="20" t="inlineStr">
        <is>
          <t>Grand I10</t>
        </is>
      </c>
      <c r="G2963" s="21" t="n">
        <v>2015</v>
      </c>
      <c r="H2963" s="22" t="n">
        <v>59358</v>
      </c>
      <c r="I2963" s="22" t="n">
        <v>260000</v>
      </c>
      <c r="J2963" s="20" t="inlineStr">
        <is>
          <t>EXCHANGE CHENNAI</t>
        </is>
      </c>
      <c r="K2963" s="20" t="inlineStr">
        <is>
          <t>Captive</t>
        </is>
      </c>
      <c r="L2963" s="20" t="inlineStr">
        <is>
          <t>SANTHOSH CARS</t>
        </is>
      </c>
      <c r="M2963" s="23" t="n">
        <v>8474.58</v>
      </c>
    </row>
    <row r="2964">
      <c r="A2964" s="19" t="inlineStr">
        <is>
          <t>FY27</t>
        </is>
      </c>
      <c r="B2964" s="19" t="inlineStr">
        <is>
          <t>Jul</t>
        </is>
      </c>
      <c r="C2964" s="19" t="inlineStr">
        <is>
          <t>TN</t>
        </is>
      </c>
      <c r="D2964" s="20" t="inlineStr">
        <is>
          <t>TN07BM1994</t>
        </is>
      </c>
      <c r="E2964" s="20" t="inlineStr">
        <is>
          <t>HONDA</t>
        </is>
      </c>
      <c r="F2964" s="20" t="inlineStr">
        <is>
          <t>City</t>
        </is>
      </c>
      <c r="G2964" s="21" t="n">
        <v>2011</v>
      </c>
      <c r="H2964" s="22" t="n">
        <v>97114</v>
      </c>
      <c r="I2964" s="22" t="n">
        <v>190000</v>
      </c>
      <c r="J2964" s="20" t="inlineStr">
        <is>
          <t>EXCHANGE CHENNAI</t>
        </is>
      </c>
      <c r="K2964" s="20" t="inlineStr">
        <is>
          <t>Captive</t>
        </is>
      </c>
      <c r="L2964" s="20" t="inlineStr">
        <is>
          <t>SANTHOSH CARS</t>
        </is>
      </c>
      <c r="M2964" s="23" t="n">
        <v>8474.58</v>
      </c>
    </row>
    <row r="2965">
      <c r="A2965" s="19" t="inlineStr">
        <is>
          <t>FY27</t>
        </is>
      </c>
      <c r="B2965" s="19" t="inlineStr">
        <is>
          <t>Jul</t>
        </is>
      </c>
      <c r="C2965" s="19" t="inlineStr">
        <is>
          <t>TN</t>
        </is>
      </c>
      <c r="D2965" s="20" t="inlineStr">
        <is>
          <t>TN23CP2599</t>
        </is>
      </c>
      <c r="E2965" s="20" t="inlineStr">
        <is>
          <t>VOLKSWAGEN</t>
        </is>
      </c>
      <c r="F2965" s="20" t="inlineStr">
        <is>
          <t>Polo</t>
        </is>
      </c>
      <c r="G2965" s="21" t="n">
        <v>2019</v>
      </c>
      <c r="H2965" s="22" t="n">
        <v>102681</v>
      </c>
      <c r="I2965" s="22" t="n">
        <v>550000</v>
      </c>
      <c r="J2965" s="20" t="inlineStr">
        <is>
          <t>EXCHANGE CHENNAI</t>
        </is>
      </c>
      <c r="K2965" s="20" t="inlineStr">
        <is>
          <t>Captive</t>
        </is>
      </c>
      <c r="L2965" s="20" t="inlineStr">
        <is>
          <t>Senthil Cars</t>
        </is>
      </c>
      <c r="M2965" s="23" t="n">
        <v>8474.58</v>
      </c>
    </row>
    <row r="2966">
      <c r="A2966" s="19" t="inlineStr">
        <is>
          <t>FY27</t>
        </is>
      </c>
      <c r="B2966" s="19" t="inlineStr">
        <is>
          <t>Jul</t>
        </is>
      </c>
      <c r="C2966" s="19" t="inlineStr">
        <is>
          <t>TN</t>
        </is>
      </c>
      <c r="D2966" s="20" t="inlineStr">
        <is>
          <t>TN06R1399</t>
        </is>
      </c>
      <c r="E2966" s="20" t="inlineStr">
        <is>
          <t>HONDA</t>
        </is>
      </c>
      <c r="F2966" s="20" t="inlineStr">
        <is>
          <t>Amaze</t>
        </is>
      </c>
      <c r="G2966" s="21" t="n">
        <v>2016</v>
      </c>
      <c r="H2966" s="22" t="n">
        <v>79710</v>
      </c>
      <c r="I2966" s="22" t="n">
        <v>320000</v>
      </c>
      <c r="J2966" s="20" t="inlineStr">
        <is>
          <t>EXCHANGE CHENNAI</t>
        </is>
      </c>
      <c r="K2966" s="20" t="inlineStr">
        <is>
          <t>Captive</t>
        </is>
      </c>
      <c r="L2966" s="20" t="inlineStr">
        <is>
          <t>Aasim Motors</t>
        </is>
      </c>
      <c r="M2966" s="23" t="n">
        <v>8474.58</v>
      </c>
    </row>
    <row r="2967">
      <c r="A2967" s="19" t="inlineStr">
        <is>
          <t>FY27</t>
        </is>
      </c>
      <c r="B2967" s="19" t="inlineStr">
        <is>
          <t>Jul</t>
        </is>
      </c>
      <c r="C2967" s="19" t="inlineStr">
        <is>
          <t>TN</t>
        </is>
      </c>
      <c r="D2967" s="20" t="inlineStr">
        <is>
          <t>TN85T3477</t>
        </is>
      </c>
      <c r="E2967" s="20" t="inlineStr">
        <is>
          <t>TATA</t>
        </is>
      </c>
      <c r="F2967" s="20" t="inlineStr">
        <is>
          <t>Punch</t>
        </is>
      </c>
      <c r="G2967" s="21" t="n">
        <v>2023</v>
      </c>
      <c r="H2967" s="22" t="n">
        <v>16925</v>
      </c>
      <c r="I2967" s="22" t="n">
        <v>480000</v>
      </c>
      <c r="J2967" s="20" t="inlineStr">
        <is>
          <t>EXCHANGE CHENNAI</t>
        </is>
      </c>
      <c r="K2967" s="20" t="inlineStr">
        <is>
          <t>Captive</t>
        </is>
      </c>
      <c r="L2967" s="20" t="inlineStr">
        <is>
          <t>S2 MOTORZ</t>
        </is>
      </c>
      <c r="M2967" s="23" t="n">
        <v>8474.58</v>
      </c>
    </row>
    <row r="2968">
      <c r="A2968" s="19" t="inlineStr">
        <is>
          <t>FY27</t>
        </is>
      </c>
      <c r="B2968" s="19" t="inlineStr">
        <is>
          <t>Jul</t>
        </is>
      </c>
      <c r="C2968" s="19" t="inlineStr">
        <is>
          <t>TN</t>
        </is>
      </c>
      <c r="D2968" s="20" t="inlineStr">
        <is>
          <t>TN20CP2560</t>
        </is>
      </c>
      <c r="E2968" s="20" t="inlineStr">
        <is>
          <t>HYUNDAI</t>
        </is>
      </c>
      <c r="F2968" s="20" t="inlineStr">
        <is>
          <t>Eon</t>
        </is>
      </c>
      <c r="G2968" s="21" t="n">
        <v>2018</v>
      </c>
      <c r="H2968" s="22" t="n">
        <v>40328</v>
      </c>
      <c r="I2968" s="22" t="n">
        <v>225000</v>
      </c>
      <c r="J2968" s="20" t="inlineStr">
        <is>
          <t>CASTLE TRADERS Maruti</t>
        </is>
      </c>
      <c r="K2968" s="20" t="inlineStr">
        <is>
          <t>Non-Captive</t>
        </is>
      </c>
      <c r="L2968" s="20" t="inlineStr">
        <is>
          <t>S2 MOTORZ</t>
        </is>
      </c>
      <c r="M2968" s="23" t="n">
        <v>6355.93</v>
      </c>
    </row>
    <row r="2969">
      <c r="A2969" s="19" t="inlineStr">
        <is>
          <t>FY27</t>
        </is>
      </c>
      <c r="B2969" s="19" t="inlineStr">
        <is>
          <t>Jul</t>
        </is>
      </c>
      <c r="C2969" s="19" t="inlineStr">
        <is>
          <t>TN</t>
        </is>
      </c>
      <c r="D2969" s="20" t="inlineStr">
        <is>
          <t>TN04AP5142</t>
        </is>
      </c>
      <c r="E2969" s="20" t="inlineStr">
        <is>
          <t>MARUTI</t>
        </is>
      </c>
      <c r="F2969" s="20" t="inlineStr">
        <is>
          <t>Alto 800</t>
        </is>
      </c>
      <c r="G2969" s="21" t="n">
        <v>2014</v>
      </c>
      <c r="H2969" s="22" t="n">
        <v>44710</v>
      </c>
      <c r="I2969" s="22" t="n">
        <v>175000</v>
      </c>
      <c r="J2969" s="20" t="inlineStr">
        <is>
          <t>CASTLE TRADERS Maruti</t>
        </is>
      </c>
      <c r="K2969" s="20" t="inlineStr">
        <is>
          <t>Non-Captive</t>
        </is>
      </c>
      <c r="L2969" s="20" t="inlineStr">
        <is>
          <t>hahahashini cars</t>
        </is>
      </c>
      <c r="M2969" s="23" t="n">
        <v>4237.29</v>
      </c>
    </row>
    <row r="2970">
      <c r="A2970" s="19" t="inlineStr">
        <is>
          <t>FY27</t>
        </is>
      </c>
      <c r="B2970" s="19" t="inlineStr">
        <is>
          <t>Jul</t>
        </is>
      </c>
      <c r="C2970" s="19" t="inlineStr">
        <is>
          <t>TN</t>
        </is>
      </c>
      <c r="D2970" s="20" t="inlineStr">
        <is>
          <t>TN85U5259</t>
        </is>
      </c>
      <c r="E2970" s="20" t="inlineStr">
        <is>
          <t>SKODA</t>
        </is>
      </c>
      <c r="F2970" s="20" t="inlineStr">
        <is>
          <t>Kushaq</t>
        </is>
      </c>
      <c r="G2970" s="21" t="n">
        <v>2023</v>
      </c>
      <c r="H2970" s="22" t="n">
        <v>31454</v>
      </c>
      <c r="I2970" s="22" t="n">
        <v>400000</v>
      </c>
      <c r="J2970" s="20" t="inlineStr">
        <is>
          <t>GURUDEV MOTORS LLP</t>
        </is>
      </c>
      <c r="K2970" s="20" t="inlineStr">
        <is>
          <t>Non-Captive</t>
        </is>
      </c>
      <c r="L2970" s="20" t="inlineStr">
        <is>
          <t>NIRMAL CARS</t>
        </is>
      </c>
      <c r="M2970" s="23" t="n">
        <v>6355.93</v>
      </c>
    </row>
    <row r="2971">
      <c r="A2971" s="19" t="inlineStr">
        <is>
          <t>FY27</t>
        </is>
      </c>
      <c r="B2971" s="19" t="inlineStr">
        <is>
          <t>Jul</t>
        </is>
      </c>
      <c r="C2971" s="19" t="inlineStr">
        <is>
          <t>TN</t>
        </is>
      </c>
      <c r="D2971" s="20" t="inlineStr">
        <is>
          <t>TN10BU2099</t>
        </is>
      </c>
      <c r="E2971" s="20" t="inlineStr">
        <is>
          <t>KIA</t>
        </is>
      </c>
      <c r="F2971" s="20" t="inlineStr">
        <is>
          <t>Seltos</t>
        </is>
      </c>
      <c r="G2971" s="21" t="n">
        <v>2023</v>
      </c>
      <c r="H2971" s="22" t="n">
        <v>46828</v>
      </c>
      <c r="I2971" s="22" t="n">
        <v>400000</v>
      </c>
      <c r="J2971" s="20" t="inlineStr">
        <is>
          <t>GURUDEV MOTORS LLP</t>
        </is>
      </c>
      <c r="K2971" s="20" t="inlineStr">
        <is>
          <t>Non-Captive</t>
        </is>
      </c>
      <c r="L2971" s="20" t="inlineStr">
        <is>
          <t>NIRMAL CARS</t>
        </is>
      </c>
      <c r="M2971" s="23" t="n">
        <v>6355.93</v>
      </c>
    </row>
    <row r="2972">
      <c r="A2972" s="19" t="inlineStr">
        <is>
          <t>FY27</t>
        </is>
      </c>
      <c r="B2972" s="19" t="inlineStr">
        <is>
          <t>Jul</t>
        </is>
      </c>
      <c r="C2972" s="19" t="inlineStr">
        <is>
          <t>TN</t>
        </is>
      </c>
      <c r="D2972" s="20" t="inlineStr">
        <is>
          <t>TN09CP2776</t>
        </is>
      </c>
      <c r="E2972" s="20" t="inlineStr">
        <is>
          <t>HYUNDAI</t>
        </is>
      </c>
      <c r="F2972" s="20" t="inlineStr">
        <is>
          <t>Creta</t>
        </is>
      </c>
      <c r="G2972" s="21" t="n">
        <v>2019</v>
      </c>
      <c r="H2972" s="22" t="n">
        <v>109567</v>
      </c>
      <c r="I2972" s="22" t="n">
        <v>620000</v>
      </c>
      <c r="J2972" s="20" t="inlineStr">
        <is>
          <t>CASTLE TRADERS Maruti</t>
        </is>
      </c>
      <c r="K2972" s="20" t="inlineStr">
        <is>
          <t>Non-Captive</t>
        </is>
      </c>
      <c r="L2972" s="20" t="inlineStr">
        <is>
          <t>Suresh cars</t>
        </is>
      </c>
      <c r="M2972" s="23" t="n">
        <v>10169.49</v>
      </c>
    </row>
    <row r="2973">
      <c r="A2973" s="19" t="inlineStr">
        <is>
          <t>FY27</t>
        </is>
      </c>
      <c r="B2973" s="19" t="inlineStr">
        <is>
          <t>Jul</t>
        </is>
      </c>
      <c r="C2973" s="19" t="inlineStr">
        <is>
          <t>TN</t>
        </is>
      </c>
      <c r="D2973" s="20" t="inlineStr">
        <is>
          <t>TN29BM4646</t>
        </is>
      </c>
      <c r="E2973" s="20" t="inlineStr">
        <is>
          <t>HYUNDAI</t>
        </is>
      </c>
      <c r="F2973" s="20" t="inlineStr">
        <is>
          <t>Creta</t>
        </is>
      </c>
      <c r="G2973" s="21" t="n">
        <v>2020</v>
      </c>
      <c r="H2973" s="22" t="n">
        <v>56936</v>
      </c>
      <c r="I2973" s="22" t="n">
        <v>600000</v>
      </c>
      <c r="J2973" s="20" t="inlineStr">
        <is>
          <t>AUTOMOTIVE MANUFACTURES PRIVATE LIMITED</t>
        </is>
      </c>
      <c r="K2973" s="20" t="inlineStr">
        <is>
          <t>Non-Captive</t>
        </is>
      </c>
      <c r="L2973" s="20" t="inlineStr">
        <is>
          <t>NIRMAL CARS</t>
        </is>
      </c>
      <c r="M2973" s="23" t="n">
        <v>10169.49</v>
      </c>
    </row>
    <row r="2974">
      <c r="A2974" s="19" t="inlineStr">
        <is>
          <t>FY27</t>
        </is>
      </c>
      <c r="B2974" s="19" t="inlineStr">
        <is>
          <t>Jul</t>
        </is>
      </c>
      <c r="C2974" s="19" t="inlineStr">
        <is>
          <t>TN</t>
        </is>
      </c>
      <c r="D2974" s="20" t="inlineStr">
        <is>
          <t>TN14U6741</t>
        </is>
      </c>
      <c r="E2974" s="20" t="inlineStr">
        <is>
          <t>HYUNDAI</t>
        </is>
      </c>
      <c r="F2974" s="20" t="inlineStr">
        <is>
          <t>Venue</t>
        </is>
      </c>
      <c r="G2974" s="21" t="n">
        <v>2019</v>
      </c>
      <c r="H2974" s="22" t="n">
        <v>96356</v>
      </c>
      <c r="I2974" s="22" t="n">
        <v>505000</v>
      </c>
      <c r="J2974" s="20" t="inlineStr">
        <is>
          <t>CASTLE TRADERS Maruti</t>
        </is>
      </c>
      <c r="K2974" s="20" t="inlineStr">
        <is>
          <t>Non-Captive</t>
        </is>
      </c>
      <c r="L2974" s="20" t="inlineStr">
        <is>
          <t>PINE AUTOS</t>
        </is>
      </c>
      <c r="M2974" s="23" t="n">
        <v>7627.12</v>
      </c>
    </row>
    <row r="2975">
      <c r="A2975" s="19" t="inlineStr">
        <is>
          <t>FY27</t>
        </is>
      </c>
      <c r="B2975" s="19" t="inlineStr">
        <is>
          <t>Jul</t>
        </is>
      </c>
      <c r="C2975" s="19" t="inlineStr">
        <is>
          <t>TN</t>
        </is>
      </c>
      <c r="D2975" s="20" t="inlineStr">
        <is>
          <t>TN13M9442</t>
        </is>
      </c>
      <c r="E2975" s="20" t="inlineStr">
        <is>
          <t>MARUTI</t>
        </is>
      </c>
      <c r="F2975" s="20" t="inlineStr">
        <is>
          <t>Baleno</t>
        </is>
      </c>
      <c r="G2975" s="21" t="n">
        <v>2018</v>
      </c>
      <c r="H2975" s="22" t="n">
        <v>71553</v>
      </c>
      <c r="I2975" s="22" t="n">
        <v>380000</v>
      </c>
      <c r="J2975" s="20" t="inlineStr">
        <is>
          <t>CASTLE TRADERS Maruti</t>
        </is>
      </c>
      <c r="K2975" s="20" t="inlineStr">
        <is>
          <t>Non-Captive</t>
        </is>
      </c>
      <c r="L2975" s="20" t="inlineStr">
        <is>
          <t>Vijaya cars</t>
        </is>
      </c>
      <c r="M2975" s="23" t="n">
        <v>6355.93</v>
      </c>
    </row>
    <row r="2976">
      <c r="A2976" s="19" t="inlineStr">
        <is>
          <t>FY27</t>
        </is>
      </c>
      <c r="B2976" s="19" t="inlineStr">
        <is>
          <t>Jul</t>
        </is>
      </c>
      <c r="C2976" s="19" t="inlineStr">
        <is>
          <t>TN</t>
        </is>
      </c>
      <c r="D2976" s="20" t="inlineStr">
        <is>
          <t>TN01BC0317</t>
        </is>
      </c>
      <c r="E2976" s="20" t="inlineStr">
        <is>
          <t>MAHINDRA</t>
        </is>
      </c>
      <c r="F2976" s="20" t="inlineStr">
        <is>
          <t>Kuv 100</t>
        </is>
      </c>
      <c r="G2976" s="21" t="n">
        <v>2017</v>
      </c>
      <c r="H2976" s="22" t="n">
        <v>52776</v>
      </c>
      <c r="I2976" s="22" t="n">
        <v>215000</v>
      </c>
      <c r="J2976" s="20" t="inlineStr">
        <is>
          <t>CASTLE TRADERS Maruti</t>
        </is>
      </c>
      <c r="K2976" s="20" t="inlineStr">
        <is>
          <t>Non-Captive</t>
        </is>
      </c>
      <c r="L2976" s="20" t="inlineStr">
        <is>
          <t>Aasim Motors</t>
        </is>
      </c>
      <c r="M2976" s="23" t="n">
        <v>6355.93</v>
      </c>
    </row>
    <row r="2977">
      <c r="A2977" s="19" t="inlineStr">
        <is>
          <t>FY27</t>
        </is>
      </c>
      <c r="B2977" s="19" t="inlineStr">
        <is>
          <t>Jul</t>
        </is>
      </c>
      <c r="C2977" s="19" t="inlineStr">
        <is>
          <t>TN</t>
        </is>
      </c>
      <c r="D2977" s="20" t="inlineStr">
        <is>
          <t>TN18BE5748</t>
        </is>
      </c>
      <c r="E2977" s="20" t="inlineStr">
        <is>
          <t>MARUTI</t>
        </is>
      </c>
      <c r="F2977" s="20" t="inlineStr">
        <is>
          <t>Dzire</t>
        </is>
      </c>
      <c r="G2977" s="21" t="n">
        <v>2021</v>
      </c>
      <c r="H2977" s="22" t="n">
        <v>93265</v>
      </c>
      <c r="I2977" s="22" t="n">
        <v>495000</v>
      </c>
      <c r="J2977" s="20" t="inlineStr">
        <is>
          <t>CASTLE TRADERS Maruti</t>
        </is>
      </c>
      <c r="K2977" s="20" t="inlineStr">
        <is>
          <t>Non-Captive</t>
        </is>
      </c>
      <c r="L2977" s="20" t="inlineStr">
        <is>
          <t>KAMAL CARS</t>
        </is>
      </c>
      <c r="M2977" s="23" t="n">
        <v>7627.12</v>
      </c>
    </row>
    <row r="2978">
      <c r="A2978" s="19" t="inlineStr">
        <is>
          <t>FY27</t>
        </is>
      </c>
      <c r="B2978" s="19" t="inlineStr">
        <is>
          <t>Jul</t>
        </is>
      </c>
      <c r="C2978" s="19" t="inlineStr">
        <is>
          <t>TN</t>
        </is>
      </c>
      <c r="D2978" s="20" t="inlineStr">
        <is>
          <t>TN06U7281</t>
        </is>
      </c>
      <c r="E2978" s="20" t="inlineStr">
        <is>
          <t>HONDA</t>
        </is>
      </c>
      <c r="F2978" s="20" t="inlineStr">
        <is>
          <t>Brv</t>
        </is>
      </c>
      <c r="G2978" s="21" t="n">
        <v>2017</v>
      </c>
      <c r="H2978" s="22" t="n">
        <v>965413</v>
      </c>
      <c r="I2978" s="22" t="n">
        <v>560000</v>
      </c>
      <c r="J2978" s="20" t="inlineStr">
        <is>
          <t>Castel Traders HONADA</t>
        </is>
      </c>
      <c r="K2978" s="20" t="inlineStr">
        <is>
          <t>Non-Captive</t>
        </is>
      </c>
      <c r="L2978" s="20" t="inlineStr">
        <is>
          <t>M/S YES CARS</t>
        </is>
      </c>
      <c r="M2978" s="23" t="n">
        <v>4237.29</v>
      </c>
    </row>
    <row r="2979">
      <c r="A2979" s="19" t="inlineStr">
        <is>
          <t>FY27</t>
        </is>
      </c>
      <c r="B2979" s="19" t="inlineStr">
        <is>
          <t>Jul</t>
        </is>
      </c>
      <c r="C2979" s="19" t="inlineStr">
        <is>
          <t>TN</t>
        </is>
      </c>
      <c r="D2979" s="20" t="inlineStr">
        <is>
          <t>TN02BR5407</t>
        </is>
      </c>
      <c r="E2979" s="20" t="inlineStr">
        <is>
          <t>HYUNDAI</t>
        </is>
      </c>
      <c r="F2979" s="20" t="inlineStr">
        <is>
          <t>Grand I10</t>
        </is>
      </c>
      <c r="G2979" s="21" t="n">
        <v>2019</v>
      </c>
      <c r="H2979" s="22" t="n">
        <v>86238</v>
      </c>
      <c r="I2979" s="22" t="n">
        <v>355000</v>
      </c>
      <c r="J2979" s="20" t="inlineStr">
        <is>
          <t>Castel Traders HONADA</t>
        </is>
      </c>
      <c r="K2979" s="20" t="inlineStr">
        <is>
          <t>Non-Captive</t>
        </is>
      </c>
      <c r="L2979" s="20" t="inlineStr">
        <is>
          <t>M/S YES CARS</t>
        </is>
      </c>
      <c r="M2979" s="23" t="n">
        <v>4237.29</v>
      </c>
    </row>
    <row r="2980">
      <c r="A2980" s="19" t="inlineStr">
        <is>
          <t>FY27</t>
        </is>
      </c>
      <c r="B2980" s="19" t="inlineStr">
        <is>
          <t>Jul</t>
        </is>
      </c>
      <c r="C2980" s="19" t="inlineStr">
        <is>
          <t>TN</t>
        </is>
      </c>
      <c r="D2980" s="20" t="inlineStr">
        <is>
          <t>TN07BL5949</t>
        </is>
      </c>
      <c r="E2980" s="20" t="inlineStr">
        <is>
          <t>NISSAN</t>
        </is>
      </c>
      <c r="F2980" s="20" t="inlineStr">
        <is>
          <t>Micra</t>
        </is>
      </c>
      <c r="G2980" s="21" t="n">
        <v>2011</v>
      </c>
      <c r="H2980" s="22" t="n">
        <v>45157</v>
      </c>
      <c r="I2980" s="22" t="n">
        <v>165000</v>
      </c>
      <c r="J2980" s="20" t="inlineStr">
        <is>
          <t>CASTLE TRADERS Maruti</t>
        </is>
      </c>
      <c r="K2980" s="20" t="inlineStr">
        <is>
          <t>Non-Captive</t>
        </is>
      </c>
      <c r="L2980" s="20" t="inlineStr">
        <is>
          <t>PINE AUTOS</t>
        </is>
      </c>
      <c r="M2980" s="23" t="n">
        <v>5084.75</v>
      </c>
    </row>
    <row r="2981">
      <c r="A2981" s="19" t="inlineStr">
        <is>
          <t>FY27</t>
        </is>
      </c>
      <c r="B2981" s="19" t="inlineStr">
        <is>
          <t>Jul</t>
        </is>
      </c>
      <c r="C2981" s="19" t="inlineStr">
        <is>
          <t>TN</t>
        </is>
      </c>
      <c r="D2981" s="20" t="inlineStr">
        <is>
          <t>TN01BA5542</t>
        </is>
      </c>
      <c r="E2981" s="20" t="inlineStr">
        <is>
          <t>MAHINDRA</t>
        </is>
      </c>
      <c r="F2981" s="20" t="inlineStr">
        <is>
          <t>Kuv 100</t>
        </is>
      </c>
      <c r="G2981" s="21" t="n">
        <v>2016</v>
      </c>
      <c r="H2981" s="22" t="n">
        <v>120740</v>
      </c>
      <c r="I2981" s="22" t="n">
        <v>205000</v>
      </c>
      <c r="J2981" s="20" t="inlineStr">
        <is>
          <t>CASTLE TRADERS Maruti</t>
        </is>
      </c>
      <c r="K2981" s="20" t="inlineStr">
        <is>
          <t>Non-Captive</t>
        </is>
      </c>
      <c r="L2981" s="20" t="inlineStr">
        <is>
          <t>AAA CARS</t>
        </is>
      </c>
      <c r="M2981" s="23" t="n">
        <v>8627.120000000001</v>
      </c>
    </row>
    <row r="2982">
      <c r="A2982" s="19" t="inlineStr">
        <is>
          <t>FY27</t>
        </is>
      </c>
      <c r="B2982" s="19" t="inlineStr">
        <is>
          <t>Jul</t>
        </is>
      </c>
      <c r="C2982" s="19" t="inlineStr">
        <is>
          <t>TN</t>
        </is>
      </c>
      <c r="D2982" s="20" t="inlineStr">
        <is>
          <t>TN20CJ7058</t>
        </is>
      </c>
      <c r="E2982" s="20" t="inlineStr">
        <is>
          <t>MARUTI</t>
        </is>
      </c>
      <c r="F2982" s="20" t="inlineStr">
        <is>
          <t>Wagonr</t>
        </is>
      </c>
      <c r="G2982" s="21" t="n">
        <v>2016</v>
      </c>
      <c r="H2982" s="22" t="n">
        <v>54751</v>
      </c>
      <c r="I2982" s="22" t="n">
        <v>285000</v>
      </c>
      <c r="J2982" s="20" t="inlineStr">
        <is>
          <t>CASTLE TRADERS Maruti</t>
        </is>
      </c>
      <c r="K2982" s="20" t="inlineStr">
        <is>
          <t>Non-Captive</t>
        </is>
      </c>
      <c r="L2982" s="20" t="inlineStr">
        <is>
          <t>Value Drive Tech</t>
        </is>
      </c>
      <c r="M2982" s="23" t="n">
        <v>5084.75</v>
      </c>
    </row>
    <row r="2983">
      <c r="A2983" s="19" t="inlineStr">
        <is>
          <t>FY27</t>
        </is>
      </c>
      <c r="B2983" s="19" t="inlineStr">
        <is>
          <t>Jul</t>
        </is>
      </c>
      <c r="C2983" s="19" t="inlineStr">
        <is>
          <t>TN</t>
        </is>
      </c>
      <c r="D2983" s="20" t="inlineStr">
        <is>
          <t>TN09CV2538</t>
        </is>
      </c>
      <c r="E2983" s="20" t="inlineStr">
        <is>
          <t>MARUTI</t>
        </is>
      </c>
      <c r="F2983" s="20" t="inlineStr">
        <is>
          <t>Ignis</t>
        </is>
      </c>
      <c r="G2983" s="21" t="n">
        <v>2020</v>
      </c>
      <c r="H2983" s="22" t="n">
        <v>24202</v>
      </c>
      <c r="I2983" s="22" t="n">
        <v>345000</v>
      </c>
      <c r="J2983" s="20" t="inlineStr">
        <is>
          <t>CAR HUB</t>
        </is>
      </c>
      <c r="K2983" s="20" t="inlineStr">
        <is>
          <t>Non-Captive</t>
        </is>
      </c>
      <c r="L2983" s="20" t="inlineStr">
        <is>
          <t>Value Drive Tech</t>
        </is>
      </c>
      <c r="M2983" s="23" t="n">
        <v>6355.93</v>
      </c>
    </row>
    <row r="2984">
      <c r="A2984" s="19" t="inlineStr">
        <is>
          <t>FY27</t>
        </is>
      </c>
      <c r="B2984" s="19" t="inlineStr">
        <is>
          <t>Jul</t>
        </is>
      </c>
      <c r="C2984" s="19" t="inlineStr">
        <is>
          <t>TN</t>
        </is>
      </c>
      <c r="D2984" s="20" t="inlineStr">
        <is>
          <t>TN01AV6018</t>
        </is>
      </c>
      <c r="E2984" s="20" t="inlineStr">
        <is>
          <t>HONDA</t>
        </is>
      </c>
      <c r="F2984" s="20" t="inlineStr">
        <is>
          <t>Brio</t>
        </is>
      </c>
      <c r="G2984" s="21" t="n">
        <v>2014</v>
      </c>
      <c r="H2984" s="22" t="n">
        <v>68178</v>
      </c>
      <c r="I2984" s="22" t="n">
        <v>200000</v>
      </c>
      <c r="J2984" s="20" t="inlineStr">
        <is>
          <t>CAR HUB</t>
        </is>
      </c>
      <c r="K2984" s="20" t="inlineStr">
        <is>
          <t>Non-Captive</t>
        </is>
      </c>
      <c r="L2984" s="20" t="inlineStr">
        <is>
          <t>S2 MOTORZ</t>
        </is>
      </c>
      <c r="M2984" s="23" t="n">
        <v>5084.75</v>
      </c>
    </row>
    <row r="2985">
      <c r="A2985" s="19" t="inlineStr">
        <is>
          <t>FY27</t>
        </is>
      </c>
      <c r="B2985" s="19" t="inlineStr">
        <is>
          <t>Jul</t>
        </is>
      </c>
      <c r="C2985" s="19" t="inlineStr">
        <is>
          <t>TN</t>
        </is>
      </c>
      <c r="D2985" s="20" t="inlineStr">
        <is>
          <t>TN18AM4570</t>
        </is>
      </c>
      <c r="E2985" s="20" t="inlineStr">
        <is>
          <t>DATSUN</t>
        </is>
      </c>
      <c r="F2985" s="20" t="inlineStr">
        <is>
          <t>Redi-Go</t>
        </is>
      </c>
      <c r="G2985" s="21" t="n">
        <v>2017</v>
      </c>
      <c r="H2985" s="22" t="n">
        <v>86029</v>
      </c>
      <c r="I2985" s="22" t="n">
        <v>180000</v>
      </c>
      <c r="J2985" s="20" t="inlineStr">
        <is>
          <t>CAR HUB</t>
        </is>
      </c>
      <c r="K2985" s="20" t="inlineStr">
        <is>
          <t>Non-Captive</t>
        </is>
      </c>
      <c r="L2985" s="20" t="inlineStr">
        <is>
          <t>S2 MOTORZ</t>
        </is>
      </c>
      <c r="M2985" s="23" t="n">
        <v>5084.75</v>
      </c>
    </row>
    <row r="2986">
      <c r="A2986" s="19" t="inlineStr">
        <is>
          <t>FY27</t>
        </is>
      </c>
      <c r="B2986" s="19" t="inlineStr">
        <is>
          <t>Jul</t>
        </is>
      </c>
      <c r="C2986" s="19" t="inlineStr">
        <is>
          <t>TN</t>
        </is>
      </c>
      <c r="D2986" s="20" t="inlineStr">
        <is>
          <t>TN09BP0995</t>
        </is>
      </c>
      <c r="E2986" s="20" t="inlineStr">
        <is>
          <t>NISSAN</t>
        </is>
      </c>
      <c r="F2986" s="20" t="inlineStr">
        <is>
          <t>Micra</t>
        </is>
      </c>
      <c r="G2986" s="21" t="n">
        <v>2012</v>
      </c>
      <c r="H2986" s="22" t="n">
        <v>70558</v>
      </c>
      <c r="I2986" s="22" t="n">
        <v>110000</v>
      </c>
      <c r="J2986" s="20" t="inlineStr">
        <is>
          <t>CAR HUB</t>
        </is>
      </c>
      <c r="K2986" s="20" t="inlineStr">
        <is>
          <t>Non-Captive</t>
        </is>
      </c>
      <c r="L2986" s="20" t="inlineStr">
        <is>
          <t>S2 MOTORZ</t>
        </is>
      </c>
      <c r="M2986" s="23" t="n">
        <v>4661.02</v>
      </c>
    </row>
    <row r="2987">
      <c r="A2987" s="19" t="inlineStr">
        <is>
          <t>FY27</t>
        </is>
      </c>
      <c r="B2987" s="19" t="inlineStr">
        <is>
          <t>Jul</t>
        </is>
      </c>
      <c r="C2987" s="19" t="inlineStr">
        <is>
          <t>TN</t>
        </is>
      </c>
      <c r="D2987" s="20" t="inlineStr">
        <is>
          <t>TN14K3952</t>
        </is>
      </c>
      <c r="E2987" s="20" t="inlineStr">
        <is>
          <t>HYUNDAI</t>
        </is>
      </c>
      <c r="F2987" s="20" t="inlineStr">
        <is>
          <t>Grand I10</t>
        </is>
      </c>
      <c r="G2987" s="21" t="n">
        <v>2017</v>
      </c>
      <c r="H2987" s="22" t="n">
        <v>78787</v>
      </c>
      <c r="I2987" s="22" t="n">
        <v>230000</v>
      </c>
      <c r="J2987" s="20" t="inlineStr">
        <is>
          <t>CAR HUB</t>
        </is>
      </c>
      <c r="K2987" s="20" t="inlineStr">
        <is>
          <t>Non-Captive</t>
        </is>
      </c>
      <c r="L2987" s="20" t="inlineStr">
        <is>
          <t>S2 MOTORZ</t>
        </is>
      </c>
      <c r="M2987" s="23" t="n">
        <v>7203.39</v>
      </c>
    </row>
    <row r="2988">
      <c r="A2988" s="19" t="inlineStr">
        <is>
          <t>FY27</t>
        </is>
      </c>
      <c r="B2988" s="19" t="inlineStr">
        <is>
          <t>Jul</t>
        </is>
      </c>
      <c r="C2988" s="19" t="inlineStr">
        <is>
          <t>TN</t>
        </is>
      </c>
      <c r="D2988" s="20" t="inlineStr">
        <is>
          <t>TN10AM1113</t>
        </is>
      </c>
      <c r="E2988" s="20" t="inlineStr">
        <is>
          <t>VOLKSWAGEN</t>
        </is>
      </c>
      <c r="F2988" s="20" t="inlineStr">
        <is>
          <t>Vento</t>
        </is>
      </c>
      <c r="G2988" s="21" t="n">
        <v>2013</v>
      </c>
      <c r="H2988" s="22" t="n">
        <v>99289</v>
      </c>
      <c r="I2988" s="22" t="n">
        <v>178000</v>
      </c>
      <c r="J2988" s="20" t="inlineStr">
        <is>
          <t>NIRMAL CARS</t>
        </is>
      </c>
      <c r="K2988" s="20" t="inlineStr">
        <is>
          <t>Non-Captive</t>
        </is>
      </c>
      <c r="L2988" s="20" t="inlineStr">
        <is>
          <t>Vijaya cars</t>
        </is>
      </c>
      <c r="M2988" s="23" t="n">
        <v>5084.75</v>
      </c>
    </row>
    <row r="2989">
      <c r="A2989" s="19" t="inlineStr">
        <is>
          <t>FY27</t>
        </is>
      </c>
      <c r="B2989" s="19" t="inlineStr">
        <is>
          <t>Jul</t>
        </is>
      </c>
      <c r="C2989" s="19" t="inlineStr">
        <is>
          <t>TN</t>
        </is>
      </c>
      <c r="D2989" s="20" t="inlineStr">
        <is>
          <t>TN05BQ2968</t>
        </is>
      </c>
      <c r="E2989" s="20" t="inlineStr">
        <is>
          <t>RENAULT</t>
        </is>
      </c>
      <c r="F2989" s="20" t="inlineStr">
        <is>
          <t>Kwid</t>
        </is>
      </c>
      <c r="G2989" s="21" t="n">
        <v>2017</v>
      </c>
      <c r="H2989" s="22" t="n">
        <v>77603</v>
      </c>
      <c r="I2989" s="22" t="n">
        <v>190000</v>
      </c>
      <c r="J2989" s="20" t="inlineStr">
        <is>
          <t>NIRMAL CARS</t>
        </is>
      </c>
      <c r="K2989" s="20" t="inlineStr">
        <is>
          <t>Non-Captive</t>
        </is>
      </c>
      <c r="L2989" s="20" t="inlineStr">
        <is>
          <t>Vijaya cars</t>
        </is>
      </c>
      <c r="M2989" s="23" t="n">
        <v>5509.32</v>
      </c>
    </row>
    <row r="2990">
      <c r="A2990" s="19" t="inlineStr">
        <is>
          <t>FY27</t>
        </is>
      </c>
      <c r="B2990" s="19" t="inlineStr">
        <is>
          <t>Jul</t>
        </is>
      </c>
      <c r="C2990" s="19" t="inlineStr">
        <is>
          <t>TN</t>
        </is>
      </c>
      <c r="D2990" s="20" t="inlineStr">
        <is>
          <t>TN20AJ4231</t>
        </is>
      </c>
      <c r="E2990" s="20" t="inlineStr">
        <is>
          <t>HYUNDAI</t>
        </is>
      </c>
      <c r="F2990" s="20" t="inlineStr">
        <is>
          <t>I10</t>
        </is>
      </c>
      <c r="G2990" s="21" t="n">
        <v>2008</v>
      </c>
      <c r="H2990" s="22" t="n">
        <v>34932</v>
      </c>
      <c r="I2990" s="22" t="n">
        <v>180000</v>
      </c>
      <c r="J2990" s="20" t="inlineStr">
        <is>
          <t>Thiya Cars</t>
        </is>
      </c>
      <c r="K2990" s="20" t="inlineStr">
        <is>
          <t>Non-Captive</t>
        </is>
      </c>
      <c r="L2990" s="20" t="inlineStr">
        <is>
          <t>KAMAL CARS</t>
        </is>
      </c>
      <c r="M2990" s="23" t="n">
        <v>5084.75</v>
      </c>
    </row>
    <row r="2991">
      <c r="A2991" s="19" t="inlineStr">
        <is>
          <t>FY27</t>
        </is>
      </c>
      <c r="B2991" s="19" t="inlineStr">
        <is>
          <t>Jul</t>
        </is>
      </c>
      <c r="C2991" s="19" t="inlineStr">
        <is>
          <t>TN</t>
        </is>
      </c>
      <c r="D2991" s="20" t="inlineStr">
        <is>
          <t>KA51MG3191</t>
        </is>
      </c>
      <c r="E2991" s="20" t="inlineStr">
        <is>
          <t>DATSUN</t>
        </is>
      </c>
      <c r="F2991" s="20" t="inlineStr">
        <is>
          <t>Redi-Go</t>
        </is>
      </c>
      <c r="G2991" s="21" t="n">
        <v>2014</v>
      </c>
      <c r="H2991" s="22" t="n">
        <v>61074</v>
      </c>
      <c r="I2991" s="22" t="n">
        <v>120000</v>
      </c>
      <c r="J2991" s="20" t="inlineStr">
        <is>
          <t>Thiya Cars</t>
        </is>
      </c>
      <c r="K2991" s="20" t="inlineStr">
        <is>
          <t>Non-Captive</t>
        </is>
      </c>
      <c r="L2991" s="20" t="inlineStr">
        <is>
          <t>KAMAL CARS</t>
        </is>
      </c>
      <c r="M2991" s="23" t="n">
        <v>4237.29</v>
      </c>
    </row>
    <row r="2992">
      <c r="A2992" s="19" t="inlineStr">
        <is>
          <t>FY27</t>
        </is>
      </c>
      <c r="B2992" s="19" t="inlineStr">
        <is>
          <t>Jul</t>
        </is>
      </c>
      <c r="C2992" s="19" t="inlineStr">
        <is>
          <t>TN</t>
        </is>
      </c>
      <c r="D2992" s="20" t="inlineStr">
        <is>
          <t>TN09AY7035</t>
        </is>
      </c>
      <c r="E2992" s="20" t="inlineStr">
        <is>
          <t>FORD</t>
        </is>
      </c>
      <c r="F2992" s="20" t="inlineStr">
        <is>
          <t>Fiesta</t>
        </is>
      </c>
      <c r="G2992" s="21" t="n">
        <v>2008</v>
      </c>
      <c r="H2992" s="22" t="n">
        <v>65503</v>
      </c>
      <c r="I2992" s="22" t="n">
        <v>78000</v>
      </c>
      <c r="J2992" s="20" t="inlineStr">
        <is>
          <t>EXCHANGE CHENNAI</t>
        </is>
      </c>
      <c r="K2992" s="20" t="inlineStr">
        <is>
          <t>Captive</t>
        </is>
      </c>
      <c r="L2992" s="20" t="inlineStr">
        <is>
          <t>SANTHOSH CARS</t>
        </is>
      </c>
      <c r="M2992" s="23" t="n">
        <v>4237.29</v>
      </c>
    </row>
    <row r="2993">
      <c r="A2993" s="19" t="inlineStr">
        <is>
          <t>FY27</t>
        </is>
      </c>
      <c r="B2993" s="19" t="inlineStr">
        <is>
          <t>Jul</t>
        </is>
      </c>
      <c r="C2993" s="19" t="inlineStr">
        <is>
          <t>TN</t>
        </is>
      </c>
      <c r="D2993" s="20" t="inlineStr">
        <is>
          <t>TN04AJ6487</t>
        </is>
      </c>
      <c r="E2993" s="20" t="inlineStr">
        <is>
          <t>HONDA</t>
        </is>
      </c>
      <c r="F2993" s="20" t="inlineStr">
        <is>
          <t>City</t>
        </is>
      </c>
      <c r="G2993" s="21" t="n">
        <v>2012</v>
      </c>
      <c r="H2993" s="22" t="n">
        <v>12259</v>
      </c>
      <c r="I2993" s="22" t="n">
        <v>245000</v>
      </c>
      <c r="J2993" s="20" t="inlineStr">
        <is>
          <t>EXCHANGE CHENNAI</t>
        </is>
      </c>
      <c r="K2993" s="20" t="inlineStr">
        <is>
          <t>Captive</t>
        </is>
      </c>
      <c r="L2993" s="20" t="inlineStr">
        <is>
          <t>SANTHOSH CARS</t>
        </is>
      </c>
      <c r="M2993" s="23" t="n">
        <v>4237.29</v>
      </c>
    </row>
    <row r="2994">
      <c r="A2994" s="19" t="inlineStr">
        <is>
          <t>FY27</t>
        </is>
      </c>
      <c r="B2994" s="19" t="inlineStr">
        <is>
          <t>Jul</t>
        </is>
      </c>
      <c r="C2994" s="19" t="inlineStr">
        <is>
          <t>TN</t>
        </is>
      </c>
      <c r="D2994" s="20" t="inlineStr">
        <is>
          <t>TN09BJ4837</t>
        </is>
      </c>
      <c r="E2994" s="20" t="inlineStr">
        <is>
          <t>HONDA</t>
        </is>
      </c>
      <c r="F2994" s="20" t="inlineStr">
        <is>
          <t>Jazz</t>
        </is>
      </c>
      <c r="G2994" s="21" t="n">
        <v>2011</v>
      </c>
      <c r="H2994" s="22" t="n">
        <v>41563</v>
      </c>
      <c r="I2994" s="22" t="n">
        <v>170000</v>
      </c>
      <c r="J2994" s="20" t="inlineStr">
        <is>
          <t>EXCHANGE CHENNAI</t>
        </is>
      </c>
      <c r="K2994" s="20" t="inlineStr">
        <is>
          <t>Captive</t>
        </is>
      </c>
      <c r="L2994" s="20" t="inlineStr">
        <is>
          <t>SANTHOSH CARS</t>
        </is>
      </c>
      <c r="M2994" s="23" t="n">
        <v>4237.29</v>
      </c>
    </row>
    <row r="2995">
      <c r="A2995" s="19" t="inlineStr">
        <is>
          <t>FY27</t>
        </is>
      </c>
      <c r="B2995" s="19" t="inlineStr">
        <is>
          <t>Jul</t>
        </is>
      </c>
      <c r="C2995" s="19" t="inlineStr">
        <is>
          <t>TN</t>
        </is>
      </c>
      <c r="D2995" s="20" t="inlineStr">
        <is>
          <t>TN22CB6586</t>
        </is>
      </c>
      <c r="E2995" s="20" t="inlineStr">
        <is>
          <t>HYUNDAI</t>
        </is>
      </c>
      <c r="F2995" s="20" t="inlineStr">
        <is>
          <t>I10</t>
        </is>
      </c>
      <c r="G2995" s="21" t="n">
        <v>2011</v>
      </c>
      <c r="H2995" s="22" t="n">
        <v>93374</v>
      </c>
      <c r="I2995" s="22" t="n">
        <v>130000</v>
      </c>
      <c r="J2995" s="20" t="inlineStr">
        <is>
          <t>EXCHANGE CHENNAI</t>
        </is>
      </c>
      <c r="K2995" s="20" t="inlineStr">
        <is>
          <t>Captive</t>
        </is>
      </c>
      <c r="L2995" s="20" t="inlineStr">
        <is>
          <t>SANTHOSH CARS</t>
        </is>
      </c>
      <c r="M2995" s="23" t="n">
        <v>4237.29</v>
      </c>
    </row>
    <row r="2996">
      <c r="A2996" s="19" t="inlineStr">
        <is>
          <t>FY27</t>
        </is>
      </c>
      <c r="B2996" s="19" t="inlineStr">
        <is>
          <t>Jul</t>
        </is>
      </c>
      <c r="C2996" s="19" t="inlineStr">
        <is>
          <t>TN</t>
        </is>
      </c>
      <c r="D2996" s="20" t="inlineStr">
        <is>
          <t>TN07CY5008</t>
        </is>
      </c>
      <c r="E2996" s="20" t="inlineStr">
        <is>
          <t>RENAULT</t>
        </is>
      </c>
      <c r="F2996" s="20" t="inlineStr">
        <is>
          <t>Kwid</t>
        </is>
      </c>
      <c r="G2996" s="21" t="n">
        <v>2021</v>
      </c>
      <c r="H2996" s="22" t="n">
        <v>46578</v>
      </c>
      <c r="I2996" s="22" t="n">
        <v>350000</v>
      </c>
      <c r="J2996" s="20" t="inlineStr">
        <is>
          <t>EXCHANGE CHENNAI</t>
        </is>
      </c>
      <c r="K2996" s="20" t="inlineStr">
        <is>
          <t>Captive</t>
        </is>
      </c>
      <c r="L2996" s="20" t="inlineStr">
        <is>
          <t>Thiya Cars</t>
        </is>
      </c>
      <c r="M2996" s="23" t="n">
        <v>8474.58</v>
      </c>
    </row>
    <row r="2997">
      <c r="A2997" s="19" t="inlineStr">
        <is>
          <t>FY27</t>
        </is>
      </c>
      <c r="B2997" s="19" t="inlineStr">
        <is>
          <t>Jul</t>
        </is>
      </c>
      <c r="C2997" s="19" t="inlineStr">
        <is>
          <t>TN</t>
        </is>
      </c>
      <c r="D2997" s="20" t="inlineStr">
        <is>
          <t>TN07BC8005</t>
        </is>
      </c>
      <c r="E2997" s="20" t="inlineStr">
        <is>
          <t>HONDA</t>
        </is>
      </c>
      <c r="F2997" s="20" t="inlineStr">
        <is>
          <t>City</t>
        </is>
      </c>
      <c r="G2997" s="21" t="n">
        <v>2009</v>
      </c>
      <c r="H2997" s="22" t="n">
        <v>87591</v>
      </c>
      <c r="I2997" s="22" t="n">
        <v>165000</v>
      </c>
      <c r="J2997" s="20" t="inlineStr">
        <is>
          <t>EXCHANGE CHENNAI</t>
        </is>
      </c>
      <c r="K2997" s="20" t="inlineStr">
        <is>
          <t>Captive</t>
        </is>
      </c>
      <c r="L2997" s="20" t="inlineStr">
        <is>
          <t>SANTHOSH CARS</t>
        </is>
      </c>
      <c r="M2997" s="23" t="n">
        <v>8474.58</v>
      </c>
    </row>
    <row r="2998">
      <c r="A2998" s="19" t="inlineStr">
        <is>
          <t>FY27</t>
        </is>
      </c>
      <c r="B2998" s="19" t="inlineStr">
        <is>
          <t>Jul</t>
        </is>
      </c>
      <c r="C2998" s="19" t="inlineStr">
        <is>
          <t>TN</t>
        </is>
      </c>
      <c r="D2998" s="20" t="inlineStr">
        <is>
          <t>TN30AT7490</t>
        </is>
      </c>
      <c r="E2998" s="20" t="inlineStr">
        <is>
          <t>RENAULT</t>
        </is>
      </c>
      <c r="F2998" s="20" t="inlineStr">
        <is>
          <t>Pulse</t>
        </is>
      </c>
      <c r="G2998" s="21" t="n">
        <v>2013</v>
      </c>
      <c r="H2998" s="22" t="n">
        <v>108487</v>
      </c>
      <c r="I2998" s="22" t="n">
        <v>75000</v>
      </c>
      <c r="J2998" s="20" t="inlineStr">
        <is>
          <t>EXCHANGE ROTN</t>
        </is>
      </c>
      <c r="K2998" s="20" t="inlineStr">
        <is>
          <t>Captive</t>
        </is>
      </c>
      <c r="L2998" s="20" t="inlineStr">
        <is>
          <t>SRI RAJA KANAPATHY CARS</t>
        </is>
      </c>
      <c r="M2998" s="23" t="n">
        <v>4237.29</v>
      </c>
    </row>
    <row r="2999">
      <c r="A2999" s="19" t="inlineStr">
        <is>
          <t>FY27</t>
        </is>
      </c>
      <c r="B2999" s="19" t="inlineStr">
        <is>
          <t>Jul</t>
        </is>
      </c>
      <c r="C2999" s="19" t="inlineStr">
        <is>
          <t>TN</t>
        </is>
      </c>
      <c r="D2999" s="20" t="inlineStr">
        <is>
          <t>TN01AC8572</t>
        </is>
      </c>
      <c r="E2999" s="20" t="inlineStr">
        <is>
          <t>HYUNDAI</t>
        </is>
      </c>
      <c r="F2999" s="20" t="inlineStr">
        <is>
          <t>Verna</t>
        </is>
      </c>
      <c r="G2999" s="21" t="n">
        <v>2007</v>
      </c>
      <c r="H2999" s="22" t="n">
        <v>164142</v>
      </c>
      <c r="I2999" s="22" t="n">
        <v>70000</v>
      </c>
      <c r="J2999" s="20" t="inlineStr">
        <is>
          <t>SGA MOTORS INDIA PRIVATE LIMITED</t>
        </is>
      </c>
      <c r="K2999" s="20" t="inlineStr">
        <is>
          <t>Non-Captive</t>
        </is>
      </c>
      <c r="L2999" s="20" t="inlineStr">
        <is>
          <t>SRI RAJA KANAPATHY CARS</t>
        </is>
      </c>
      <c r="M2999" s="23" t="n">
        <v>4237.29</v>
      </c>
    </row>
    <row r="3000">
      <c r="A3000" s="19" t="inlineStr">
        <is>
          <t>FY27</t>
        </is>
      </c>
      <c r="B3000" s="19" t="inlineStr">
        <is>
          <t>Jul</t>
        </is>
      </c>
      <c r="C3000" s="19" t="inlineStr">
        <is>
          <t>TN</t>
        </is>
      </c>
      <c r="D3000" s="20" t="inlineStr">
        <is>
          <t>TN54A8471</t>
        </is>
      </c>
      <c r="E3000" s="20" t="inlineStr">
        <is>
          <t>MARUTI</t>
        </is>
      </c>
      <c r="F3000" s="20" t="inlineStr">
        <is>
          <t>Ritz</t>
        </is>
      </c>
      <c r="G3000" s="21" t="n">
        <v>2009</v>
      </c>
      <c r="H3000" s="22" t="n">
        <v>180649</v>
      </c>
      <c r="I3000" s="22" t="n">
        <v>98000</v>
      </c>
      <c r="J3000" s="20" t="inlineStr">
        <is>
          <t>EXCHANGE ROTN</t>
        </is>
      </c>
      <c r="K3000" s="20" t="inlineStr">
        <is>
          <t>Captive</t>
        </is>
      </c>
      <c r="L3000" s="20" t="inlineStr">
        <is>
          <t>SRI RAJA KANAPATHY CARS</t>
        </is>
      </c>
      <c r="M3000" s="23" t="n">
        <v>4237.29</v>
      </c>
    </row>
    <row r="3001">
      <c r="A3001" s="19" t="inlineStr">
        <is>
          <t>FY27</t>
        </is>
      </c>
      <c r="B3001" s="19" t="inlineStr">
        <is>
          <t>Jul</t>
        </is>
      </c>
      <c r="C3001" s="19" t="inlineStr">
        <is>
          <t>TN</t>
        </is>
      </c>
      <c r="D3001" s="20" t="inlineStr">
        <is>
          <t>TN41AR2000</t>
        </is>
      </c>
      <c r="E3001" s="20" t="inlineStr">
        <is>
          <t>VOLKSWAGEN</t>
        </is>
      </c>
      <c r="F3001" s="20" t="inlineStr">
        <is>
          <t>Vento</t>
        </is>
      </c>
      <c r="G3001" s="21" t="n">
        <v>2016</v>
      </c>
      <c r="H3001" s="22" t="n">
        <v>211374</v>
      </c>
      <c r="I3001" s="22" t="n">
        <v>300000</v>
      </c>
      <c r="J3001" s="20" t="inlineStr">
        <is>
          <t>EXCHANGE ROTN</t>
        </is>
      </c>
      <c r="K3001" s="20" t="inlineStr">
        <is>
          <t>Captive</t>
        </is>
      </c>
      <c r="L3001" s="20" t="inlineStr">
        <is>
          <t>Ulavan Enterprises</t>
        </is>
      </c>
      <c r="M3001" s="23" t="n">
        <v>12711.86</v>
      </c>
    </row>
    <row r="3002">
      <c r="A3002" s="19" t="inlineStr">
        <is>
          <t>FY27</t>
        </is>
      </c>
      <c r="B3002" s="19" t="inlineStr">
        <is>
          <t>Jul</t>
        </is>
      </c>
      <c r="C3002" s="19" t="inlineStr">
        <is>
          <t>TN</t>
        </is>
      </c>
      <c r="D3002" s="20" t="inlineStr">
        <is>
          <t>TN38CC5550</t>
        </is>
      </c>
      <c r="E3002" s="20" t="inlineStr">
        <is>
          <t>FORD</t>
        </is>
      </c>
      <c r="F3002" s="20" t="inlineStr">
        <is>
          <t>Figo</t>
        </is>
      </c>
      <c r="G3002" s="21" t="n">
        <v>2015</v>
      </c>
      <c r="H3002" s="22" t="n">
        <v>142153</v>
      </c>
      <c r="I3002" s="22" t="n">
        <v>275000</v>
      </c>
      <c r="J3002" s="20" t="inlineStr">
        <is>
          <t>EXCHANGE ROTN</t>
        </is>
      </c>
      <c r="K3002" s="20" t="inlineStr">
        <is>
          <t>Captive</t>
        </is>
      </c>
      <c r="L3002" s="20" t="inlineStr">
        <is>
          <t>Ulavan Enterprises</t>
        </is>
      </c>
      <c r="M3002" s="23" t="n">
        <v>10169.49</v>
      </c>
    </row>
    <row r="3003">
      <c r="A3003" s="19" t="inlineStr">
        <is>
          <t>FY27</t>
        </is>
      </c>
      <c r="B3003" s="19" t="inlineStr">
        <is>
          <t>Jul</t>
        </is>
      </c>
      <c r="C3003" s="19" t="inlineStr">
        <is>
          <t>TN</t>
        </is>
      </c>
      <c r="D3003" s="20" t="inlineStr">
        <is>
          <t>TN56U5644</t>
        </is>
      </c>
      <c r="E3003" s="20" t="inlineStr">
        <is>
          <t>TOYOTA</t>
        </is>
      </c>
      <c r="F3003" s="20" t="inlineStr">
        <is>
          <t>Glanza</t>
        </is>
      </c>
      <c r="G3003" s="21" t="n">
        <v>2025</v>
      </c>
      <c r="H3003" s="22" t="n">
        <v>6094</v>
      </c>
      <c r="I3003" s="22" t="n">
        <v>800000</v>
      </c>
      <c r="J3003" s="20" t="inlineStr">
        <is>
          <t>EXCHANGE ROTN</t>
        </is>
      </c>
      <c r="K3003" s="20" t="inlineStr">
        <is>
          <t>Captive</t>
        </is>
      </c>
      <c r="L3003" s="20" t="inlineStr">
        <is>
          <t>SAI CARS</t>
        </is>
      </c>
      <c r="M3003" s="23" t="n">
        <v>12711.86</v>
      </c>
    </row>
    <row r="3004">
      <c r="A3004" s="19" t="inlineStr">
        <is>
          <t>FY27</t>
        </is>
      </c>
      <c r="B3004" s="19" t="inlineStr">
        <is>
          <t>Jul</t>
        </is>
      </c>
      <c r="C3004" s="19" t="inlineStr">
        <is>
          <t>TN</t>
        </is>
      </c>
      <c r="D3004" s="20" t="inlineStr">
        <is>
          <t>TN14K2574</t>
        </is>
      </c>
      <c r="E3004" s="20" t="inlineStr">
        <is>
          <t>HONDA</t>
        </is>
      </c>
      <c r="F3004" s="20" t="inlineStr">
        <is>
          <t>City</t>
        </is>
      </c>
      <c r="G3004" s="21" t="n">
        <v>2017</v>
      </c>
      <c r="H3004" s="22" t="n">
        <v>78888</v>
      </c>
      <c r="I3004" s="22" t="n">
        <v>432000</v>
      </c>
      <c r="J3004" s="20" t="inlineStr">
        <is>
          <t>EXCHANGE ROTN</t>
        </is>
      </c>
      <c r="K3004" s="20" t="inlineStr">
        <is>
          <t>Captive</t>
        </is>
      </c>
      <c r="L3004" s="20" t="inlineStr">
        <is>
          <t>Maruthi Industries</t>
        </is>
      </c>
      <c r="M3004" s="23" t="n">
        <v>16949.15</v>
      </c>
    </row>
    <row r="3005">
      <c r="A3005" s="19" t="inlineStr">
        <is>
          <t>FY27</t>
        </is>
      </c>
      <c r="B3005" s="19" t="inlineStr">
        <is>
          <t>Jul</t>
        </is>
      </c>
      <c r="C3005" s="19" t="inlineStr">
        <is>
          <t>TN</t>
        </is>
      </c>
      <c r="D3005" s="20" t="inlineStr">
        <is>
          <t>TN57BM9396</t>
        </is>
      </c>
      <c r="E3005" s="20" t="inlineStr">
        <is>
          <t>HONDA</t>
        </is>
      </c>
      <c r="F3005" s="20" t="inlineStr">
        <is>
          <t>Amaze</t>
        </is>
      </c>
      <c r="G3005" s="21" t="n">
        <v>2021</v>
      </c>
      <c r="H3005" s="22" t="n">
        <v>82212</v>
      </c>
      <c r="I3005" s="22" t="n">
        <v>510000</v>
      </c>
      <c r="J3005" s="20" t="inlineStr">
        <is>
          <t>EXCHANGE ROTN</t>
        </is>
      </c>
      <c r="K3005" s="20" t="inlineStr">
        <is>
          <t>Captive</t>
        </is>
      </c>
      <c r="L3005" s="20" t="inlineStr">
        <is>
          <t>GGEE Cars</t>
        </is>
      </c>
      <c r="M3005" s="23" t="n">
        <v>16949.15</v>
      </c>
    </row>
    <row r="3006">
      <c r="A3006" s="19" t="inlineStr">
        <is>
          <t>FY27</t>
        </is>
      </c>
      <c r="B3006" s="19" t="inlineStr">
        <is>
          <t>Jul</t>
        </is>
      </c>
      <c r="C3006" s="19" t="inlineStr">
        <is>
          <t>TN</t>
        </is>
      </c>
      <c r="D3006" s="20" t="inlineStr">
        <is>
          <t>TN37BF5308</t>
        </is>
      </c>
      <c r="E3006" s="20" t="inlineStr">
        <is>
          <t>MARUTI</t>
        </is>
      </c>
      <c r="F3006" s="20" t="inlineStr">
        <is>
          <t>Wagonr</t>
        </is>
      </c>
      <c r="G3006" s="21" t="n">
        <v>2010</v>
      </c>
      <c r="H3006" s="22" t="n">
        <v>131624</v>
      </c>
      <c r="I3006" s="22" t="n">
        <v>72000</v>
      </c>
      <c r="J3006" s="20" t="inlineStr">
        <is>
          <t>AADHI CARS PRIVATE LIMITED</t>
        </is>
      </c>
      <c r="K3006" s="20" t="inlineStr">
        <is>
          <t>Non-Captive</t>
        </is>
      </c>
      <c r="L3006" s="20" t="inlineStr">
        <is>
          <t>MADHURA CARS</t>
        </is>
      </c>
      <c r="M3006" s="23" t="n">
        <v>4237.29</v>
      </c>
    </row>
    <row r="3007">
      <c r="A3007" s="19" t="inlineStr">
        <is>
          <t>FY27</t>
        </is>
      </c>
      <c r="B3007" s="19" t="inlineStr">
        <is>
          <t>Jul</t>
        </is>
      </c>
      <c r="C3007" s="19" t="inlineStr">
        <is>
          <t>TN</t>
        </is>
      </c>
      <c r="D3007" s="20" t="inlineStr">
        <is>
          <t>TN39AD0361</t>
        </is>
      </c>
      <c r="E3007" s="20" t="inlineStr">
        <is>
          <t>HYUNDAI</t>
        </is>
      </c>
      <c r="F3007" s="20" t="inlineStr">
        <is>
          <t>I10</t>
        </is>
      </c>
      <c r="G3007" s="21" t="n">
        <v>2005</v>
      </c>
      <c r="H3007" s="22" t="n">
        <v>138948</v>
      </c>
      <c r="I3007" s="22" t="n">
        <v>62000</v>
      </c>
      <c r="J3007" s="20" t="inlineStr">
        <is>
          <t>AADHI CARS PRIVATE LIMITED</t>
        </is>
      </c>
      <c r="K3007" s="20" t="inlineStr">
        <is>
          <t>Non-Captive</t>
        </is>
      </c>
      <c r="L3007" s="20" t="inlineStr">
        <is>
          <t>MADHURA CARS</t>
        </is>
      </c>
      <c r="M3007" s="23" t="n">
        <v>4237.29</v>
      </c>
    </row>
    <row r="3008">
      <c r="A3008" s="19" t="inlineStr">
        <is>
          <t>FY27</t>
        </is>
      </c>
      <c r="B3008" s="19" t="inlineStr">
        <is>
          <t>Jul</t>
        </is>
      </c>
      <c r="C3008" s="19" t="inlineStr">
        <is>
          <t>TN</t>
        </is>
      </c>
      <c r="D3008" s="20" t="inlineStr">
        <is>
          <t>TN42P2309</t>
        </is>
      </c>
      <c r="E3008" s="20" t="inlineStr">
        <is>
          <t>CHEVROLET</t>
        </is>
      </c>
      <c r="F3008" s="20" t="inlineStr">
        <is>
          <t>Enjoy</t>
        </is>
      </c>
      <c r="G3008" s="21" t="n">
        <v>2015</v>
      </c>
      <c r="H3008" s="22" t="n">
        <v>90134</v>
      </c>
      <c r="I3008" s="22" t="n">
        <v>98000</v>
      </c>
      <c r="J3008" s="20" t="inlineStr">
        <is>
          <t>EXCHANGE ROTN</t>
        </is>
      </c>
      <c r="K3008" s="20" t="inlineStr">
        <is>
          <t>Captive</t>
        </is>
      </c>
      <c r="L3008" s="20" t="inlineStr">
        <is>
          <t>MADHURA CARS</t>
        </is>
      </c>
      <c r="M3008" s="23" t="n">
        <v>4237.29</v>
      </c>
    </row>
    <row r="3009">
      <c r="A3009" s="19" t="inlineStr">
        <is>
          <t>FY27</t>
        </is>
      </c>
      <c r="B3009" s="19" t="inlineStr">
        <is>
          <t>Jul</t>
        </is>
      </c>
      <c r="C3009" s="19" t="inlineStr">
        <is>
          <t>TN</t>
        </is>
      </c>
      <c r="D3009" s="20" t="inlineStr">
        <is>
          <t>TN45BP2865</t>
        </is>
      </c>
      <c r="E3009" s="20" t="inlineStr">
        <is>
          <t>MARUTI</t>
        </is>
      </c>
      <c r="F3009" s="20" t="inlineStr">
        <is>
          <t>Alto 800</t>
        </is>
      </c>
      <c r="G3009" s="21" t="n">
        <v>2018</v>
      </c>
      <c r="H3009" s="22" t="n">
        <v>52495</v>
      </c>
      <c r="I3009" s="22" t="n">
        <v>85000</v>
      </c>
      <c r="J3009" s="20" t="inlineStr">
        <is>
          <t>PLA MOTORS</t>
        </is>
      </c>
      <c r="K3009" s="20" t="inlineStr">
        <is>
          <t>Non-Captive</t>
        </is>
      </c>
      <c r="L3009" s="20" t="inlineStr">
        <is>
          <t>MADHURA CARS</t>
        </is>
      </c>
      <c r="M3009" s="23" t="n">
        <v>4237.29</v>
      </c>
    </row>
    <row r="3010">
      <c r="A3010" s="19" t="inlineStr">
        <is>
          <t>FY27</t>
        </is>
      </c>
      <c r="B3010" s="19" t="inlineStr">
        <is>
          <t>Jul</t>
        </is>
      </c>
      <c r="C3010" s="19" t="inlineStr">
        <is>
          <t>TN</t>
        </is>
      </c>
      <c r="D3010" s="20" t="inlineStr">
        <is>
          <t>TN48AF9121</t>
        </is>
      </c>
      <c r="E3010" s="20" t="inlineStr">
        <is>
          <t>MARUTI</t>
        </is>
      </c>
      <c r="F3010" s="20" t="inlineStr">
        <is>
          <t>Alto 800</t>
        </is>
      </c>
      <c r="G3010" s="21" t="n">
        <v>2017</v>
      </c>
      <c r="H3010" s="22" t="n">
        <v>78276</v>
      </c>
      <c r="I3010" s="22" t="n">
        <v>92000</v>
      </c>
      <c r="J3010" s="20" t="inlineStr">
        <is>
          <t>PLA MOTORS</t>
        </is>
      </c>
      <c r="K3010" s="20" t="inlineStr">
        <is>
          <t>Non-Captive</t>
        </is>
      </c>
      <c r="L3010" s="20" t="inlineStr">
        <is>
          <t>MADHURA CARS</t>
        </is>
      </c>
      <c r="M3010" s="23" t="n">
        <v>4237.29</v>
      </c>
    </row>
    <row r="3011">
      <c r="A3011" s="19" t="inlineStr">
        <is>
          <t>FY27</t>
        </is>
      </c>
      <c r="B3011" s="19" t="inlineStr">
        <is>
          <t>Jul</t>
        </is>
      </c>
      <c r="C3011" s="19" t="inlineStr">
        <is>
          <t>TN</t>
        </is>
      </c>
      <c r="D3011" s="20" t="inlineStr">
        <is>
          <t>TN09BZ9514</t>
        </is>
      </c>
      <c r="E3011" s="20" t="inlineStr">
        <is>
          <t>VOLKSWAGEN</t>
        </is>
      </c>
      <c r="F3011" s="20" t="inlineStr">
        <is>
          <t>Vento</t>
        </is>
      </c>
      <c r="G3011" s="21" t="n">
        <v>2015</v>
      </c>
      <c r="H3011" s="22" t="n">
        <v>132799</v>
      </c>
      <c r="I3011" s="22" t="n">
        <v>90000</v>
      </c>
      <c r="J3011" s="20" t="inlineStr">
        <is>
          <t>PLA MOTORS</t>
        </is>
      </c>
      <c r="K3011" s="20" t="inlineStr">
        <is>
          <t>Non-Captive</t>
        </is>
      </c>
      <c r="L3011" s="20" t="inlineStr">
        <is>
          <t>MADHURA CARS</t>
        </is>
      </c>
      <c r="M3011" s="23" t="n">
        <v>4237.29</v>
      </c>
    </row>
    <row r="3012">
      <c r="A3012" s="19" t="inlineStr">
        <is>
          <t>FY27</t>
        </is>
      </c>
      <c r="B3012" s="19" t="inlineStr">
        <is>
          <t>Jul</t>
        </is>
      </c>
      <c r="C3012" s="19" t="inlineStr">
        <is>
          <t>TN</t>
        </is>
      </c>
      <c r="D3012" s="20" t="inlineStr">
        <is>
          <t>TN38AZ8586</t>
        </is>
      </c>
      <c r="E3012" s="20" t="inlineStr">
        <is>
          <t>TATA</t>
        </is>
      </c>
      <c r="F3012" s="20" t="inlineStr">
        <is>
          <t>Indica</t>
        </is>
      </c>
      <c r="G3012" s="21" t="n">
        <v>2009</v>
      </c>
      <c r="H3012" s="22" t="n">
        <v>177185</v>
      </c>
      <c r="I3012" s="22" t="n">
        <v>110000</v>
      </c>
      <c r="J3012" s="20" t="inlineStr">
        <is>
          <t>EXCHANGE ROTN</t>
        </is>
      </c>
      <c r="K3012" s="20" t="inlineStr">
        <is>
          <t>Captive</t>
        </is>
      </c>
      <c r="L3012" s="20" t="inlineStr">
        <is>
          <t>SRI MURUGAN CARS</t>
        </is>
      </c>
      <c r="M3012" s="23" t="n">
        <v>8474.58</v>
      </c>
    </row>
    <row r="3013">
      <c r="A3013" s="19" t="inlineStr">
        <is>
          <t>FY27</t>
        </is>
      </c>
      <c r="B3013" s="19" t="inlineStr">
        <is>
          <t>Jul</t>
        </is>
      </c>
      <c r="C3013" s="19" t="inlineStr">
        <is>
          <t>TN</t>
        </is>
      </c>
      <c r="D3013" s="20" t="inlineStr">
        <is>
          <t>TN23BB1170</t>
        </is>
      </c>
      <c r="E3013" s="20" t="inlineStr">
        <is>
          <t>HONDA</t>
        </is>
      </c>
      <c r="F3013" s="20" t="inlineStr">
        <is>
          <t>City</t>
        </is>
      </c>
      <c r="G3013" s="21" t="n">
        <v>2012</v>
      </c>
      <c r="H3013" s="22" t="n">
        <v>221167</v>
      </c>
      <c r="I3013" s="22" t="n">
        <v>200000</v>
      </c>
      <c r="J3013" s="20" t="inlineStr">
        <is>
          <t>EXCHANGE ROTN</t>
        </is>
      </c>
      <c r="K3013" s="20" t="inlineStr">
        <is>
          <t>Captive</t>
        </is>
      </c>
      <c r="L3013" s="20" t="inlineStr">
        <is>
          <t>SIVASHANKAR CARS</t>
        </is>
      </c>
      <c r="M3013" s="23" t="n">
        <v>6355.93</v>
      </c>
    </row>
    <row r="3014">
      <c r="A3014" s="19" t="inlineStr">
        <is>
          <t>FY27</t>
        </is>
      </c>
      <c r="B3014" s="19" t="inlineStr">
        <is>
          <t>Jul</t>
        </is>
      </c>
      <c r="C3014" s="19" t="inlineStr">
        <is>
          <t>TN</t>
        </is>
      </c>
      <c r="D3014" s="20" t="inlineStr">
        <is>
          <t>TN64M9105</t>
        </is>
      </c>
      <c r="E3014" s="20" t="inlineStr">
        <is>
          <t>MARUTI</t>
        </is>
      </c>
      <c r="F3014" s="20" t="inlineStr">
        <is>
          <t>Swift</t>
        </is>
      </c>
      <c r="G3014" s="21" t="n">
        <v>2016</v>
      </c>
      <c r="H3014" s="22" t="n">
        <v>110066</v>
      </c>
      <c r="I3014" s="22" t="n">
        <v>320000</v>
      </c>
      <c r="J3014" s="20" t="inlineStr">
        <is>
          <t>EXCHANGE ROTN</t>
        </is>
      </c>
      <c r="K3014" s="20" t="inlineStr">
        <is>
          <t>Captive</t>
        </is>
      </c>
      <c r="L3014" s="20" t="inlineStr">
        <is>
          <t>READY TO RIDE CARS</t>
        </is>
      </c>
      <c r="M3014" s="23" t="n">
        <v>25423.73</v>
      </c>
    </row>
    <row r="3015">
      <c r="A3015" s="19" t="inlineStr">
        <is>
          <t>FY27</t>
        </is>
      </c>
      <c r="B3015" s="19" t="inlineStr">
        <is>
          <t>Jul</t>
        </is>
      </c>
      <c r="C3015" s="19" t="inlineStr">
        <is>
          <t>TN</t>
        </is>
      </c>
      <c r="D3015" s="20" t="inlineStr">
        <is>
          <t>TN64X1398</t>
        </is>
      </c>
      <c r="E3015" s="20" t="inlineStr">
        <is>
          <t>HYUNDAI</t>
        </is>
      </c>
      <c r="F3015" s="20" t="inlineStr">
        <is>
          <t>I20</t>
        </is>
      </c>
      <c r="G3015" s="21" t="n">
        <v>2021</v>
      </c>
      <c r="H3015" s="22" t="n">
        <v>77911</v>
      </c>
      <c r="I3015" s="22" t="n">
        <v>550000</v>
      </c>
      <c r="J3015" s="20" t="inlineStr">
        <is>
          <t>EXCHANGE ROTN</t>
        </is>
      </c>
      <c r="K3015" s="20" t="inlineStr">
        <is>
          <t>Captive</t>
        </is>
      </c>
      <c r="L3015" s="20" t="inlineStr">
        <is>
          <t>GGEE Cars</t>
        </is>
      </c>
      <c r="M3015" s="23" t="n">
        <v>16949.15</v>
      </c>
    </row>
    <row r="3016">
      <c r="A3016" s="19" t="inlineStr">
        <is>
          <t>FY27</t>
        </is>
      </c>
      <c r="B3016" s="19" t="inlineStr">
        <is>
          <t>Jul</t>
        </is>
      </c>
      <c r="C3016" s="19" t="inlineStr">
        <is>
          <t>TN</t>
        </is>
      </c>
      <c r="D3016" s="20" t="inlineStr">
        <is>
          <t>TN10C3835</t>
        </is>
      </c>
      <c r="E3016" s="20" t="inlineStr">
        <is>
          <t>MARUTI</t>
        </is>
      </c>
      <c r="F3016" s="20" t="inlineStr">
        <is>
          <t>Alto 800</t>
        </is>
      </c>
      <c r="G3016" s="21" t="n">
        <v>2001</v>
      </c>
      <c r="H3016" s="22" t="n">
        <v>28439</v>
      </c>
      <c r="I3016" s="22" t="n">
        <v>45000</v>
      </c>
      <c r="J3016" s="20" t="inlineStr">
        <is>
          <t>EXCHANGE ROTN</t>
        </is>
      </c>
      <c r="K3016" s="20" t="inlineStr">
        <is>
          <t>Captive</t>
        </is>
      </c>
      <c r="L3016" s="20" t="inlineStr">
        <is>
          <t>SAI CARS</t>
        </is>
      </c>
      <c r="M3016" s="23" t="n">
        <v>4237.29</v>
      </c>
    </row>
    <row r="3017">
      <c r="A3017" s="19" t="inlineStr">
        <is>
          <t>FY27</t>
        </is>
      </c>
      <c r="B3017" s="19" t="inlineStr">
        <is>
          <t>Jul</t>
        </is>
      </c>
      <c r="C3017" s="19" t="inlineStr">
        <is>
          <t>TN</t>
        </is>
      </c>
      <c r="D3017" s="20" t="inlineStr">
        <is>
          <t>TN01AZ2588</t>
        </is>
      </c>
      <c r="E3017" s="20" t="inlineStr">
        <is>
          <t>CHEVROLET</t>
        </is>
      </c>
      <c r="F3017" s="20" t="inlineStr">
        <is>
          <t>Enjoy</t>
        </is>
      </c>
      <c r="G3017" s="21" t="n">
        <v>2015</v>
      </c>
      <c r="H3017" s="22" t="n">
        <v>264852</v>
      </c>
      <c r="I3017" s="22" t="n">
        <v>90000</v>
      </c>
      <c r="J3017" s="20" t="inlineStr">
        <is>
          <t>CASTLE TRADERS Maruti</t>
        </is>
      </c>
      <c r="K3017" s="20" t="inlineStr">
        <is>
          <t>Non-Captive</t>
        </is>
      </c>
      <c r="L3017" s="20" t="inlineStr">
        <is>
          <t>Senthil Cars</t>
        </is>
      </c>
      <c r="M3017" s="23" t="n">
        <v>4237.29</v>
      </c>
    </row>
    <row r="3018">
      <c r="A3018" s="19" t="inlineStr">
        <is>
          <t>FY27</t>
        </is>
      </c>
      <c r="B3018" s="19" t="inlineStr">
        <is>
          <t>Jul</t>
        </is>
      </c>
      <c r="C3018" s="19" t="inlineStr">
        <is>
          <t>TN</t>
        </is>
      </c>
      <c r="D3018" s="20" t="inlineStr">
        <is>
          <t>TN21BD3016</t>
        </is>
      </c>
      <c r="E3018" s="20" t="inlineStr">
        <is>
          <t>MARUTI</t>
        </is>
      </c>
      <c r="F3018" s="20" t="inlineStr">
        <is>
          <t>Eeco</t>
        </is>
      </c>
      <c r="G3018" s="21" t="n">
        <v>2017</v>
      </c>
      <c r="H3018" s="22" t="n">
        <v>46231</v>
      </c>
      <c r="I3018" s="22" t="n">
        <v>185000</v>
      </c>
      <c r="J3018" s="20" t="inlineStr">
        <is>
          <t>NIRMAL CARS</t>
        </is>
      </c>
      <c r="K3018" s="20" t="inlineStr">
        <is>
          <t>Non-Captive</t>
        </is>
      </c>
      <c r="L3018" s="20" t="inlineStr">
        <is>
          <t>PINE AUTOS</t>
        </is>
      </c>
      <c r="M3018" s="23" t="n">
        <v>5084.75</v>
      </c>
    </row>
    <row r="3019">
      <c r="A3019" s="19" t="inlineStr">
        <is>
          <t>FY27</t>
        </is>
      </c>
      <c r="B3019" s="19" t="inlineStr">
        <is>
          <t>Jul</t>
        </is>
      </c>
      <c r="C3019" s="19" t="inlineStr">
        <is>
          <t>TN</t>
        </is>
      </c>
      <c r="D3019" s="20" t="inlineStr">
        <is>
          <t>TN06K3082</t>
        </is>
      </c>
      <c r="E3019" s="20" t="inlineStr">
        <is>
          <t>FORD</t>
        </is>
      </c>
      <c r="F3019" s="20" t="inlineStr">
        <is>
          <t>Ikon</t>
        </is>
      </c>
      <c r="G3019" s="21" t="n">
        <v>2009</v>
      </c>
      <c r="H3019" s="22" t="n">
        <v>100044</v>
      </c>
      <c r="I3019" s="22" t="n">
        <v>135000</v>
      </c>
      <c r="J3019" s="20" t="inlineStr">
        <is>
          <t>NIRMAL CARS</t>
        </is>
      </c>
      <c r="K3019" s="20" t="inlineStr">
        <is>
          <t>Non-Captive</t>
        </is>
      </c>
      <c r="L3019" s="20" t="inlineStr">
        <is>
          <t>PINE AUTOS</t>
        </is>
      </c>
      <c r="M3019" s="23" t="n">
        <v>4238.14</v>
      </c>
    </row>
    <row r="3020">
      <c r="A3020" s="19" t="inlineStr">
        <is>
          <t>FY27</t>
        </is>
      </c>
      <c r="B3020" s="19" t="inlineStr">
        <is>
          <t>Jul</t>
        </is>
      </c>
      <c r="C3020" s="19" t="inlineStr">
        <is>
          <t>TN</t>
        </is>
      </c>
      <c r="D3020" s="20" t="inlineStr">
        <is>
          <t>TN05AC0925</t>
        </is>
      </c>
      <c r="E3020" s="20" t="inlineStr">
        <is>
          <t>CHEVROLET</t>
        </is>
      </c>
      <c r="F3020" s="20" t="inlineStr">
        <is>
          <t>Spark</t>
        </is>
      </c>
      <c r="G3020" s="21" t="n">
        <v>2009</v>
      </c>
      <c r="H3020" s="22" t="n">
        <v>69451</v>
      </c>
      <c r="I3020" s="22" t="n">
        <v>125000</v>
      </c>
      <c r="J3020" s="20" t="inlineStr">
        <is>
          <t>NIRMAL CARS</t>
        </is>
      </c>
      <c r="K3020" s="20" t="inlineStr">
        <is>
          <t>Non-Captive</t>
        </is>
      </c>
      <c r="L3020" s="20" t="inlineStr">
        <is>
          <t>PINE AUTOS</t>
        </is>
      </c>
      <c r="M3020" s="23" t="n">
        <v>4238.14</v>
      </c>
    </row>
    <row r="3021">
      <c r="A3021" s="19" t="inlineStr">
        <is>
          <t>FY27</t>
        </is>
      </c>
      <c r="B3021" s="19" t="inlineStr">
        <is>
          <t>Jul</t>
        </is>
      </c>
      <c r="C3021" s="19" t="inlineStr">
        <is>
          <t>TN</t>
        </is>
      </c>
      <c r="D3021" s="20" t="inlineStr">
        <is>
          <t>TN12AA7068</t>
        </is>
      </c>
      <c r="E3021" s="20" t="inlineStr">
        <is>
          <t>HYUNDAI</t>
        </is>
      </c>
      <c r="F3021" s="20" t="inlineStr">
        <is>
          <t>Eon</t>
        </is>
      </c>
      <c r="G3021" s="21" t="n">
        <v>2018</v>
      </c>
      <c r="H3021" s="22" t="n">
        <v>31346</v>
      </c>
      <c r="I3021" s="22" t="n">
        <v>115000</v>
      </c>
      <c r="J3021" s="20" t="inlineStr">
        <is>
          <t>PRODUCTIVITY ELEMENTS PRIVATE LIMITED</t>
        </is>
      </c>
      <c r="K3021" s="20" t="inlineStr">
        <is>
          <t>Non-Captive</t>
        </is>
      </c>
      <c r="L3021" s="20" t="inlineStr">
        <is>
          <t>PINE AUTOS</t>
        </is>
      </c>
      <c r="M3021" s="23" t="n">
        <v>4238.14</v>
      </c>
    </row>
    <row r="3022">
      <c r="A3022" s="19" t="inlineStr">
        <is>
          <t>FY27</t>
        </is>
      </c>
      <c r="B3022" s="19" t="inlineStr">
        <is>
          <t>Jul</t>
        </is>
      </c>
      <c r="C3022" s="19" t="inlineStr">
        <is>
          <t>TN</t>
        </is>
      </c>
      <c r="D3022" s="20" t="inlineStr">
        <is>
          <t>TN22CA4833</t>
        </is>
      </c>
      <c r="E3022" s="20" t="inlineStr">
        <is>
          <t>MARUTI</t>
        </is>
      </c>
      <c r="F3022" s="20" t="inlineStr">
        <is>
          <t>Eeco</t>
        </is>
      </c>
      <c r="G3022" s="21" t="n">
        <v>2011</v>
      </c>
      <c r="H3022" s="22" t="n">
        <v>82644</v>
      </c>
      <c r="I3022" s="22" t="n">
        <v>130000</v>
      </c>
      <c r="J3022" s="20" t="inlineStr">
        <is>
          <t>PRODUCTIVITY ELEMENTS PRIVATE LIMITED</t>
        </is>
      </c>
      <c r="K3022" s="20" t="inlineStr">
        <is>
          <t>Non-Captive</t>
        </is>
      </c>
      <c r="L3022" s="20" t="inlineStr">
        <is>
          <t>SK Cars Prasana</t>
        </is>
      </c>
      <c r="M3022" s="23" t="n">
        <v>4238.14</v>
      </c>
    </row>
    <row r="3023">
      <c r="A3023" s="19" t="inlineStr">
        <is>
          <t>FY27</t>
        </is>
      </c>
      <c r="B3023" s="19" t="inlineStr">
        <is>
          <t>Jul</t>
        </is>
      </c>
      <c r="C3023" s="19" t="inlineStr">
        <is>
          <t>TN</t>
        </is>
      </c>
      <c r="D3023" s="20" t="inlineStr">
        <is>
          <t>TN20DK1299</t>
        </is>
      </c>
      <c r="E3023" s="20" t="inlineStr">
        <is>
          <t>MARUTI</t>
        </is>
      </c>
      <c r="F3023" s="20" t="inlineStr">
        <is>
          <t>Brezza</t>
        </is>
      </c>
      <c r="G3023" s="21" t="n">
        <v>2025</v>
      </c>
      <c r="H3023" s="22" t="n">
        <v>33426</v>
      </c>
      <c r="I3023" s="22" t="n">
        <v>670000</v>
      </c>
      <c r="J3023" s="20" t="inlineStr">
        <is>
          <t>CASTLE TRADERS Maruti</t>
        </is>
      </c>
      <c r="K3023" s="20" t="inlineStr">
        <is>
          <t>Non-Captive</t>
        </is>
      </c>
      <c r="L3023" s="20" t="inlineStr">
        <is>
          <t>SK Cars Prasana</t>
        </is>
      </c>
      <c r="M3023" s="23" t="n">
        <v>10169.49</v>
      </c>
    </row>
    <row r="3024">
      <c r="A3024" s="19" t="inlineStr">
        <is>
          <t>FY27</t>
        </is>
      </c>
      <c r="B3024" s="19" t="inlineStr">
        <is>
          <t>Jul</t>
        </is>
      </c>
      <c r="C3024" s="19" t="inlineStr">
        <is>
          <t>TN</t>
        </is>
      </c>
      <c r="D3024" s="20" t="inlineStr">
        <is>
          <t>TN20DH1191</t>
        </is>
      </c>
      <c r="E3024" s="20" t="inlineStr">
        <is>
          <t>MARUTI</t>
        </is>
      </c>
      <c r="F3024" s="20" t="inlineStr">
        <is>
          <t>Espresso</t>
        </is>
      </c>
      <c r="G3024" s="21" t="n">
        <v>2023</v>
      </c>
      <c r="H3024" s="22" t="n">
        <v>59890</v>
      </c>
      <c r="I3024" s="22" t="n">
        <v>355000</v>
      </c>
      <c r="J3024" s="20" t="inlineStr">
        <is>
          <t>CASTLE TRADERS Maruti</t>
        </is>
      </c>
      <c r="K3024" s="20" t="inlineStr">
        <is>
          <t>Non-Captive</t>
        </is>
      </c>
      <c r="L3024" s="20" t="inlineStr">
        <is>
          <t>SK Cars Prasana</t>
        </is>
      </c>
      <c r="M3024" s="23" t="n">
        <v>6355.93</v>
      </c>
    </row>
    <row r="3025">
      <c r="A3025" s="19" t="inlineStr">
        <is>
          <t>FY27</t>
        </is>
      </c>
      <c r="B3025" s="19" t="inlineStr">
        <is>
          <t>Jul</t>
        </is>
      </c>
      <c r="C3025" s="19" t="inlineStr">
        <is>
          <t>TN</t>
        </is>
      </c>
      <c r="D3025" s="20" t="inlineStr">
        <is>
          <t>TN20BC6197</t>
        </is>
      </c>
      <c r="E3025" s="20" t="inlineStr">
        <is>
          <t>MARUTI</t>
        </is>
      </c>
      <c r="F3025" s="20" t="inlineStr">
        <is>
          <t>Alto</t>
        </is>
      </c>
      <c r="G3025" s="21" t="n">
        <v>2010</v>
      </c>
      <c r="H3025" s="22" t="n">
        <v>105115</v>
      </c>
      <c r="I3025" s="22" t="n">
        <v>110000</v>
      </c>
      <c r="J3025" s="20" t="inlineStr">
        <is>
          <t>CASTLE TRADERS Maruti</t>
        </is>
      </c>
      <c r="K3025" s="20" t="inlineStr">
        <is>
          <t>Non-Captive</t>
        </is>
      </c>
      <c r="L3025" s="20" t="inlineStr">
        <is>
          <t>Vijaya cars</t>
        </is>
      </c>
      <c r="M3025" s="23" t="n">
        <v>5084.75</v>
      </c>
    </row>
    <row r="3026">
      <c r="A3026" s="19" t="inlineStr">
        <is>
          <t>FY27</t>
        </is>
      </c>
      <c r="B3026" s="19" t="inlineStr">
        <is>
          <t>Jul</t>
        </is>
      </c>
      <c r="C3026" s="19" t="inlineStr">
        <is>
          <t>TN</t>
        </is>
      </c>
      <c r="D3026" s="20" t="inlineStr">
        <is>
          <t>TN22DW5043</t>
        </is>
      </c>
      <c r="E3026" s="20" t="inlineStr">
        <is>
          <t>TATA</t>
        </is>
      </c>
      <c r="F3026" s="20" t="inlineStr">
        <is>
          <t>Tiago</t>
        </is>
      </c>
      <c r="G3026" s="21" t="n">
        <v>2022</v>
      </c>
      <c r="H3026" s="22" t="n">
        <v>52673</v>
      </c>
      <c r="I3026" s="22" t="n">
        <v>198000</v>
      </c>
      <c r="J3026" s="20" t="inlineStr">
        <is>
          <t>AUTOMOTIVE MANUFACTURES PRIVATE LIMITED</t>
        </is>
      </c>
      <c r="K3026" s="20" t="inlineStr">
        <is>
          <t>Non-Captive</t>
        </is>
      </c>
      <c r="L3026" s="20" t="inlineStr">
        <is>
          <t>Thiyagarajan Raja Cars</t>
        </is>
      </c>
      <c r="M3026" s="23" t="n">
        <v>5084.75</v>
      </c>
    </row>
    <row r="3027">
      <c r="A3027" s="19" t="inlineStr">
        <is>
          <t>FY27</t>
        </is>
      </c>
      <c r="B3027" s="19" t="inlineStr">
        <is>
          <t>Jul</t>
        </is>
      </c>
      <c r="C3027" s="19" t="inlineStr">
        <is>
          <t>TN</t>
        </is>
      </c>
      <c r="D3027" s="20" t="inlineStr">
        <is>
          <t>TN09CF5312</t>
        </is>
      </c>
      <c r="E3027" s="20" t="inlineStr">
        <is>
          <t>MARUTI</t>
        </is>
      </c>
      <c r="F3027" s="20" t="inlineStr">
        <is>
          <t>Wagonr</t>
        </is>
      </c>
      <c r="G3027" s="21" t="n">
        <v>2016</v>
      </c>
      <c r="H3027" s="22" t="n">
        <v>59429</v>
      </c>
      <c r="I3027" s="22" t="n">
        <v>87000</v>
      </c>
      <c r="J3027" s="20" t="inlineStr">
        <is>
          <t>Rajalakshmi Cars</t>
        </is>
      </c>
      <c r="K3027" s="20" t="inlineStr">
        <is>
          <t>Non-Captive</t>
        </is>
      </c>
      <c r="L3027" s="20" t="inlineStr">
        <is>
          <t>PINE AUTOS</t>
        </is>
      </c>
      <c r="M3027" s="23" t="n">
        <v>4237.29</v>
      </c>
    </row>
    <row r="3028">
      <c r="A3028" s="19" t="inlineStr">
        <is>
          <t>FY27</t>
        </is>
      </c>
      <c r="B3028" s="19" t="inlineStr">
        <is>
          <t>Jul</t>
        </is>
      </c>
      <c r="C3028" s="19" t="inlineStr">
        <is>
          <t>TN</t>
        </is>
      </c>
      <c r="D3028" s="20" t="inlineStr">
        <is>
          <t>TN24U6194</t>
        </is>
      </c>
      <c r="E3028" s="20" t="inlineStr">
        <is>
          <t>MARUTI</t>
        </is>
      </c>
      <c r="F3028" s="20" t="inlineStr">
        <is>
          <t>Alto</t>
        </is>
      </c>
      <c r="G3028" s="21" t="n">
        <v>2008</v>
      </c>
      <c r="H3028" s="22" t="n">
        <v>10774</v>
      </c>
      <c r="I3028" s="22" t="n">
        <v>70000</v>
      </c>
      <c r="J3028" s="20" t="inlineStr">
        <is>
          <t>STEER AUTO TECHNOLOGIES PRIVATE LIMITED</t>
        </is>
      </c>
      <c r="K3028" s="20" t="inlineStr">
        <is>
          <t>Non-Captive</t>
        </is>
      </c>
      <c r="L3028" s="20" t="inlineStr">
        <is>
          <t>KAMAL CARS</t>
        </is>
      </c>
      <c r="M3028" s="23" t="n">
        <v>4237.29</v>
      </c>
    </row>
    <row r="3029">
      <c r="A3029" s="19" t="inlineStr">
        <is>
          <t>FY27</t>
        </is>
      </c>
      <c r="B3029" s="19" t="inlineStr">
        <is>
          <t>Jul</t>
        </is>
      </c>
      <c r="C3029" s="19" t="inlineStr">
        <is>
          <t>TN</t>
        </is>
      </c>
      <c r="D3029" s="20" t="inlineStr">
        <is>
          <t>TN01BM4802</t>
        </is>
      </c>
      <c r="E3029" s="20" t="inlineStr">
        <is>
          <t>DATSUN</t>
        </is>
      </c>
      <c r="F3029" s="20" t="inlineStr">
        <is>
          <t>Redi-Go</t>
        </is>
      </c>
      <c r="G3029" s="21" t="n">
        <v>2021</v>
      </c>
      <c r="H3029" s="22" t="n">
        <v>24596</v>
      </c>
      <c r="I3029" s="22" t="n">
        <v>90000</v>
      </c>
      <c r="J3029" s="20" t="inlineStr">
        <is>
          <t>Rajalakshmi Cars</t>
        </is>
      </c>
      <c r="K3029" s="20" t="inlineStr">
        <is>
          <t>Non-Captive</t>
        </is>
      </c>
      <c r="L3029" s="20" t="inlineStr">
        <is>
          <t>PINE AUTOS</t>
        </is>
      </c>
      <c r="M3029" s="23" t="n">
        <v>4661.02</v>
      </c>
    </row>
    <row r="3030">
      <c r="A3030" s="19" t="inlineStr">
        <is>
          <t>FY27</t>
        </is>
      </c>
      <c r="B3030" s="19" t="inlineStr">
        <is>
          <t>Jul</t>
        </is>
      </c>
      <c r="C3030" s="19" t="inlineStr">
        <is>
          <t>TN</t>
        </is>
      </c>
      <c r="D3030" s="20" t="inlineStr">
        <is>
          <t>TN05AV3863</t>
        </is>
      </c>
      <c r="E3030" s="20" t="inlineStr">
        <is>
          <t>TOYOTA</t>
        </is>
      </c>
      <c r="F3030" s="20" t="inlineStr">
        <is>
          <t>Etios Liva</t>
        </is>
      </c>
      <c r="G3030" s="21" t="n">
        <v>2013</v>
      </c>
      <c r="H3030" s="22" t="n">
        <v>128430</v>
      </c>
      <c r="I3030" s="22" t="n">
        <v>198000</v>
      </c>
      <c r="J3030" s="20" t="inlineStr">
        <is>
          <t>Rajalakshmi Cars</t>
        </is>
      </c>
      <c r="K3030" s="20" t="inlineStr">
        <is>
          <t>Non-Captive</t>
        </is>
      </c>
      <c r="L3030" s="20" t="inlineStr">
        <is>
          <t>PINE AUTOS</t>
        </is>
      </c>
      <c r="M3030" s="23" t="n">
        <v>5084.75</v>
      </c>
    </row>
    <row r="3031">
      <c r="A3031" s="19" t="inlineStr">
        <is>
          <t>FY27</t>
        </is>
      </c>
      <c r="B3031" s="19" t="inlineStr">
        <is>
          <t>Jul</t>
        </is>
      </c>
      <c r="C3031" s="19" t="inlineStr">
        <is>
          <t>TN</t>
        </is>
      </c>
      <c r="D3031" s="20" t="inlineStr">
        <is>
          <t>TN10AH8949</t>
        </is>
      </c>
      <c r="E3031" s="20" t="inlineStr">
        <is>
          <t>HONDA</t>
        </is>
      </c>
      <c r="F3031" s="20" t="inlineStr">
        <is>
          <t>City</t>
        </is>
      </c>
      <c r="G3031" s="21" t="n">
        <v>2012</v>
      </c>
      <c r="H3031" s="22" t="n">
        <v>87044</v>
      </c>
      <c r="I3031" s="22" t="n">
        <v>100000</v>
      </c>
      <c r="J3031" s="20" t="inlineStr">
        <is>
          <t>STEER AUTO TECHNOLOGIES PRIVATE LIMITED</t>
        </is>
      </c>
      <c r="K3031" s="20" t="inlineStr">
        <is>
          <t>Non-Captive</t>
        </is>
      </c>
      <c r="L3031" s="20" t="inlineStr">
        <is>
          <t>KAMAL CARS</t>
        </is>
      </c>
      <c r="M3031" s="23" t="n">
        <v>4237.29</v>
      </c>
    </row>
    <row r="3032">
      <c r="A3032" s="19" t="inlineStr">
        <is>
          <t>FY27</t>
        </is>
      </c>
      <c r="B3032" s="19" t="inlineStr">
        <is>
          <t>Jul</t>
        </is>
      </c>
      <c r="C3032" s="19" t="inlineStr">
        <is>
          <t>TN</t>
        </is>
      </c>
      <c r="D3032" s="20" t="inlineStr">
        <is>
          <t>TN05BJ5369</t>
        </is>
      </c>
      <c r="E3032" s="20" t="inlineStr">
        <is>
          <t>HONDA</t>
        </is>
      </c>
      <c r="F3032" s="20" t="inlineStr">
        <is>
          <t>Amaze</t>
        </is>
      </c>
      <c r="G3032" s="21" t="n">
        <v>2016</v>
      </c>
      <c r="H3032" s="22" t="n">
        <v>37374</v>
      </c>
      <c r="I3032" s="22" t="n">
        <v>180000</v>
      </c>
      <c r="J3032" s="20" t="inlineStr">
        <is>
          <t>Rajalakshmi Cars</t>
        </is>
      </c>
      <c r="K3032" s="20" t="inlineStr">
        <is>
          <t>Non-Captive</t>
        </is>
      </c>
      <c r="L3032" s="20" t="inlineStr">
        <is>
          <t>PINE AUTOS</t>
        </is>
      </c>
      <c r="M3032" s="23" t="n">
        <v>5084.75</v>
      </c>
    </row>
    <row r="3033">
      <c r="A3033" s="19" t="inlineStr">
        <is>
          <t>FY27</t>
        </is>
      </c>
      <c r="B3033" s="19" t="inlineStr">
        <is>
          <t>Jul</t>
        </is>
      </c>
      <c r="C3033" s="19" t="inlineStr">
        <is>
          <t>TN</t>
        </is>
      </c>
      <c r="D3033" s="20" t="inlineStr">
        <is>
          <t>TN04R0745</t>
        </is>
      </c>
      <c r="E3033" s="20" t="inlineStr">
        <is>
          <t>HYUNDAI</t>
        </is>
      </c>
      <c r="F3033" s="20" t="inlineStr">
        <is>
          <t>Santro</t>
        </is>
      </c>
      <c r="G3033" s="21" t="n">
        <v>2006</v>
      </c>
      <c r="H3033" s="22" t="n">
        <v>55456</v>
      </c>
      <c r="I3033" s="22" t="n">
        <v>95000</v>
      </c>
      <c r="J3033" s="20" t="inlineStr">
        <is>
          <t>STEER AUTO TECHNOLOGIES PRIVATE LIMITED</t>
        </is>
      </c>
      <c r="K3033" s="20" t="inlineStr">
        <is>
          <t>Non-Captive</t>
        </is>
      </c>
      <c r="L3033" s="20" t="inlineStr">
        <is>
          <t>SK Cars Prasana</t>
        </is>
      </c>
      <c r="M3033" s="23" t="n">
        <v>4238.14</v>
      </c>
    </row>
    <row r="3034">
      <c r="A3034" s="19" t="inlineStr">
        <is>
          <t>FY27</t>
        </is>
      </c>
      <c r="B3034" s="19" t="inlineStr">
        <is>
          <t>Jul</t>
        </is>
      </c>
      <c r="C3034" s="19" t="inlineStr">
        <is>
          <t>TN</t>
        </is>
      </c>
      <c r="D3034" s="20" t="inlineStr">
        <is>
          <t>TN05CC9960</t>
        </is>
      </c>
      <c r="E3034" s="20" t="inlineStr">
        <is>
          <t>TOYOTA</t>
        </is>
      </c>
      <c r="F3034" s="20" t="inlineStr">
        <is>
          <t>Glanza</t>
        </is>
      </c>
      <c r="G3034" s="21" t="n">
        <v>2021</v>
      </c>
      <c r="H3034" s="22" t="n">
        <v>43040</v>
      </c>
      <c r="I3034" s="22" t="n">
        <v>96000</v>
      </c>
      <c r="J3034" s="20" t="inlineStr">
        <is>
          <t>GURUDEV MOTORS LLP</t>
        </is>
      </c>
      <c r="K3034" s="20" t="inlineStr">
        <is>
          <t>Non-Captive</t>
        </is>
      </c>
      <c r="L3034" s="20" t="inlineStr">
        <is>
          <t>Vellore Vathiyar</t>
        </is>
      </c>
      <c r="M3034" s="23" t="n">
        <v>4237.29</v>
      </c>
    </row>
    <row r="3035">
      <c r="A3035" s="19" t="inlineStr">
        <is>
          <t>FY27</t>
        </is>
      </c>
      <c r="B3035" s="19" t="inlineStr">
        <is>
          <t>Jul</t>
        </is>
      </c>
      <c r="C3035" s="19" t="inlineStr">
        <is>
          <t>TN</t>
        </is>
      </c>
      <c r="D3035" s="20" t="inlineStr">
        <is>
          <t>TN05AU9803</t>
        </is>
      </c>
      <c r="E3035" s="20" t="inlineStr">
        <is>
          <t>MARUTI</t>
        </is>
      </c>
      <c r="F3035" s="20" t="inlineStr">
        <is>
          <t>Swiftdzire</t>
        </is>
      </c>
      <c r="G3035" s="21" t="n">
        <v>2013</v>
      </c>
      <c r="H3035" s="22" t="n">
        <v>123632</v>
      </c>
      <c r="I3035" s="22" t="n">
        <v>80000</v>
      </c>
      <c r="J3035" s="20" t="inlineStr">
        <is>
          <t>STEER AUTO TECHNOLOGIES PRIVATE LIMITED</t>
        </is>
      </c>
      <c r="K3035" s="20" t="inlineStr">
        <is>
          <t>Non-Captive</t>
        </is>
      </c>
      <c r="L3035" s="20" t="inlineStr">
        <is>
          <t>SK Cars Prasana</t>
        </is>
      </c>
      <c r="M3035" s="23" t="n">
        <v>4238.14</v>
      </c>
    </row>
    <row r="3036">
      <c r="A3036" s="19" t="inlineStr">
        <is>
          <t>FY27</t>
        </is>
      </c>
      <c r="B3036" s="19" t="inlineStr">
        <is>
          <t>Jul</t>
        </is>
      </c>
      <c r="C3036" s="19" t="inlineStr">
        <is>
          <t>TN</t>
        </is>
      </c>
      <c r="D3036" s="20" t="inlineStr">
        <is>
          <t>TN20BD8218</t>
        </is>
      </c>
      <c r="E3036" s="20" t="inlineStr">
        <is>
          <t>MARUTI</t>
        </is>
      </c>
      <c r="F3036" s="20" t="inlineStr">
        <is>
          <t>Wagonr</t>
        </is>
      </c>
      <c r="G3036" s="21" t="n">
        <v>2010</v>
      </c>
      <c r="H3036" s="22" t="n">
        <v>61420</v>
      </c>
      <c r="I3036" s="22" t="n">
        <v>78000</v>
      </c>
      <c r="J3036" s="20" t="inlineStr">
        <is>
          <t>STEER AUTO TECHNOLOGIES PRIVATE LIMITED</t>
        </is>
      </c>
      <c r="K3036" s="20" t="inlineStr">
        <is>
          <t>Non-Captive</t>
        </is>
      </c>
      <c r="L3036" s="20" t="inlineStr">
        <is>
          <t>SK Cars Prasana</t>
        </is>
      </c>
      <c r="M3036" s="23" t="n">
        <v>4238.14</v>
      </c>
    </row>
    <row r="3037">
      <c r="A3037" s="19" t="inlineStr">
        <is>
          <t>FY27</t>
        </is>
      </c>
      <c r="B3037" s="19" t="inlineStr">
        <is>
          <t>Jul</t>
        </is>
      </c>
      <c r="C3037" s="19" t="inlineStr">
        <is>
          <t>TN</t>
        </is>
      </c>
      <c r="D3037" s="20" t="inlineStr">
        <is>
          <t>TN07CA7909</t>
        </is>
      </c>
      <c r="E3037" s="20" t="inlineStr">
        <is>
          <t>HYUNDAI</t>
        </is>
      </c>
      <c r="F3037" s="20" t="inlineStr">
        <is>
          <t>Grand I10</t>
        </is>
      </c>
      <c r="G3037" s="21" t="n">
        <v>2014</v>
      </c>
      <c r="H3037" s="22" t="n">
        <v>161076</v>
      </c>
      <c r="I3037" s="22" t="n">
        <v>85000</v>
      </c>
      <c r="J3037" s="20" t="inlineStr">
        <is>
          <t>STEER AUTO TECHNOLOGIES PRIVATE LIMITED</t>
        </is>
      </c>
      <c r="K3037" s="20" t="inlineStr">
        <is>
          <t>Non-Captive</t>
        </is>
      </c>
      <c r="L3037" s="20" t="inlineStr">
        <is>
          <t>SK Cars Prasana</t>
        </is>
      </c>
      <c r="M3037" s="23" t="n">
        <v>4238.14</v>
      </c>
    </row>
    <row r="3038">
      <c r="A3038" s="19" t="inlineStr">
        <is>
          <t>FY27</t>
        </is>
      </c>
      <c r="B3038" s="19" t="inlineStr">
        <is>
          <t>Jul</t>
        </is>
      </c>
      <c r="C3038" s="19" t="inlineStr">
        <is>
          <t>TN</t>
        </is>
      </c>
      <c r="D3038" s="20" t="inlineStr">
        <is>
          <t>TN05BE4520</t>
        </is>
      </c>
      <c r="E3038" s="20" t="inlineStr">
        <is>
          <t>MARUTI</t>
        </is>
      </c>
      <c r="F3038" s="20" t="inlineStr">
        <is>
          <t>Wagonr</t>
        </is>
      </c>
      <c r="G3038" s="21" t="n">
        <v>2016</v>
      </c>
      <c r="H3038" s="22" t="n">
        <v>31572</v>
      </c>
      <c r="I3038" s="22" t="n">
        <v>250000</v>
      </c>
      <c r="J3038" s="20" t="inlineStr">
        <is>
          <t>STEER AUTO TECHNOLOGIES PRIVATE LIMITED</t>
        </is>
      </c>
      <c r="K3038" s="20" t="inlineStr">
        <is>
          <t>Non-Captive</t>
        </is>
      </c>
      <c r="L3038" s="20" t="inlineStr">
        <is>
          <t>SK Cars Prasana</t>
        </is>
      </c>
      <c r="M3038" s="23" t="n">
        <v>6355.93</v>
      </c>
    </row>
    <row r="3039">
      <c r="A3039" s="19" t="inlineStr">
        <is>
          <t>FY27</t>
        </is>
      </c>
      <c r="B3039" s="19" t="inlineStr">
        <is>
          <t>Jul</t>
        </is>
      </c>
      <c r="C3039" s="19" t="inlineStr">
        <is>
          <t>TN</t>
        </is>
      </c>
      <c r="D3039" s="20" t="inlineStr">
        <is>
          <t>GJ05JN4881</t>
        </is>
      </c>
      <c r="E3039" s="20" t="inlineStr">
        <is>
          <t>HYUNDAI</t>
        </is>
      </c>
      <c r="F3039" s="20" t="inlineStr">
        <is>
          <t>Grand I10</t>
        </is>
      </c>
      <c r="G3039" s="21" t="n">
        <v>2015</v>
      </c>
      <c r="H3039" s="22" t="n">
        <v>68535</v>
      </c>
      <c r="I3039" s="22" t="n">
        <v>100000</v>
      </c>
      <c r="J3039" s="20" t="inlineStr">
        <is>
          <t>STEER AUTO TECHNOLOGIES PRIVATE LIMITED</t>
        </is>
      </c>
      <c r="K3039" s="20" t="inlineStr">
        <is>
          <t>Non-Captive</t>
        </is>
      </c>
      <c r="L3039" s="20" t="inlineStr">
        <is>
          <t>SK Cars Prasana</t>
        </is>
      </c>
      <c r="M3039" s="23" t="n">
        <v>4238.14</v>
      </c>
    </row>
    <row r="3040">
      <c r="A3040" s="19" t="inlineStr">
        <is>
          <t>FY27</t>
        </is>
      </c>
      <c r="B3040" s="19" t="inlineStr">
        <is>
          <t>Jul</t>
        </is>
      </c>
      <c r="C3040" s="19" t="inlineStr">
        <is>
          <t>TN</t>
        </is>
      </c>
      <c r="D3040" s="20" t="inlineStr">
        <is>
          <t>TN31AX7699</t>
        </is>
      </c>
      <c r="E3040" s="20" t="inlineStr">
        <is>
          <t>MARUTI</t>
        </is>
      </c>
      <c r="F3040" s="20" t="inlineStr">
        <is>
          <t>Swift</t>
        </is>
      </c>
      <c r="G3040" s="21" t="n">
        <v>2008</v>
      </c>
      <c r="H3040" s="22" t="n">
        <v>178859</v>
      </c>
      <c r="I3040" s="22" t="n">
        <v>95000</v>
      </c>
      <c r="J3040" s="20" t="inlineStr">
        <is>
          <t>CAR HUB</t>
        </is>
      </c>
      <c r="K3040" s="20" t="inlineStr">
        <is>
          <t>Non-Captive</t>
        </is>
      </c>
      <c r="L3040" s="20" t="inlineStr">
        <is>
          <t>KAMAL CARS</t>
        </is>
      </c>
      <c r="M3040" s="23" t="n">
        <v>4237.29</v>
      </c>
    </row>
    <row r="3041">
      <c r="A3041" s="19" t="inlineStr">
        <is>
          <t>FY27</t>
        </is>
      </c>
      <c r="B3041" s="19" t="inlineStr">
        <is>
          <t>Jul</t>
        </is>
      </c>
      <c r="C3041" s="19" t="inlineStr">
        <is>
          <t>TN</t>
        </is>
      </c>
      <c r="D3041" s="20" t="inlineStr">
        <is>
          <t>TN07AT6066</t>
        </is>
      </c>
      <c r="E3041" s="20" t="inlineStr">
        <is>
          <t>HONDA</t>
        </is>
      </c>
      <c r="F3041" s="20" t="inlineStr">
        <is>
          <t>City</t>
        </is>
      </c>
      <c r="G3041" s="21" t="n">
        <v>2007</v>
      </c>
      <c r="H3041" s="22" t="n">
        <v>240307</v>
      </c>
      <c r="I3041" s="22" t="n">
        <v>94000</v>
      </c>
      <c r="J3041" s="20" t="inlineStr">
        <is>
          <t>VISHNU CARS PRIVATE LIMITED</t>
        </is>
      </c>
      <c r="K3041" s="20" t="inlineStr">
        <is>
          <t>Non-Captive</t>
        </is>
      </c>
      <c r="L3041" s="20" t="inlineStr">
        <is>
          <t>Thiya Cars</t>
        </is>
      </c>
      <c r="M3041" s="23" t="n">
        <v>4237.29</v>
      </c>
    </row>
    <row r="3042">
      <c r="A3042" s="19" t="inlineStr">
        <is>
          <t>FY27</t>
        </is>
      </c>
      <c r="B3042" s="19" t="inlineStr">
        <is>
          <t>Jul</t>
        </is>
      </c>
      <c r="C3042" s="19" t="inlineStr">
        <is>
          <t>TN</t>
        </is>
      </c>
      <c r="D3042" s="20" t="inlineStr">
        <is>
          <t>TN02BA9210</t>
        </is>
      </c>
      <c r="E3042" s="20" t="inlineStr">
        <is>
          <t>HYUNDAI</t>
        </is>
      </c>
      <c r="F3042" s="20" t="inlineStr">
        <is>
          <t>Eon</t>
        </is>
      </c>
      <c r="G3042" s="21" t="n">
        <v>2014</v>
      </c>
      <c r="H3042" s="22" t="n">
        <v>112699</v>
      </c>
      <c r="I3042" s="22" t="n">
        <v>88000</v>
      </c>
      <c r="J3042" s="20" t="inlineStr">
        <is>
          <t>VISHNU CARS PRIVATE LIMITED</t>
        </is>
      </c>
      <c r="K3042" s="20" t="inlineStr">
        <is>
          <t>Non-Captive</t>
        </is>
      </c>
      <c r="L3042" s="20" t="inlineStr">
        <is>
          <t>LIAKATHCARS</t>
        </is>
      </c>
      <c r="M3042" s="23" t="n">
        <v>4237.29</v>
      </c>
    </row>
    <row r="3043">
      <c r="A3043" s="19" t="inlineStr">
        <is>
          <t>FY27</t>
        </is>
      </c>
      <c r="B3043" s="19" t="inlineStr">
        <is>
          <t>Jul</t>
        </is>
      </c>
      <c r="C3043" s="19" t="inlineStr">
        <is>
          <t>TN</t>
        </is>
      </c>
      <c r="D3043" s="20" t="inlineStr">
        <is>
          <t>TN22BE2334</t>
        </is>
      </c>
      <c r="E3043" s="20" t="inlineStr">
        <is>
          <t>HYUNDAI</t>
        </is>
      </c>
      <c r="F3043" s="20" t="inlineStr">
        <is>
          <t>Santro</t>
        </is>
      </c>
      <c r="G3043" s="21" t="n">
        <v>2009</v>
      </c>
      <c r="H3043" s="22" t="n">
        <v>74825</v>
      </c>
      <c r="I3043" s="22" t="n">
        <v>99000</v>
      </c>
      <c r="J3043" s="20" t="inlineStr">
        <is>
          <t>VISHNU CARS PRIVATE LIMITED</t>
        </is>
      </c>
      <c r="K3043" s="20" t="inlineStr">
        <is>
          <t>Non-Captive</t>
        </is>
      </c>
      <c r="L3043" s="20" t="inlineStr">
        <is>
          <t>LIAKATHCARS</t>
        </is>
      </c>
      <c r="M3043" s="23" t="n">
        <v>4237.29</v>
      </c>
    </row>
    <row r="3044">
      <c r="A3044" s="19" t="inlineStr">
        <is>
          <t>FY27</t>
        </is>
      </c>
      <c r="B3044" s="19" t="inlineStr">
        <is>
          <t>Jul</t>
        </is>
      </c>
      <c r="C3044" s="19" t="inlineStr">
        <is>
          <t>TN</t>
        </is>
      </c>
      <c r="D3044" s="20" t="inlineStr">
        <is>
          <t>TN07AP5429</t>
        </is>
      </c>
      <c r="E3044" s="20" t="inlineStr">
        <is>
          <t>HYUNDAI</t>
        </is>
      </c>
      <c r="F3044" s="20" t="inlineStr">
        <is>
          <t>Santro</t>
        </is>
      </c>
      <c r="G3044" s="21" t="n">
        <v>2007</v>
      </c>
      <c r="H3044" s="22" t="n">
        <v>108269</v>
      </c>
      <c r="I3044" s="22" t="n">
        <v>98000</v>
      </c>
      <c r="J3044" s="20" t="inlineStr">
        <is>
          <t>VISHNU CARS PRIVATE LIMITED</t>
        </is>
      </c>
      <c r="K3044" s="20" t="inlineStr">
        <is>
          <t>Non-Captive</t>
        </is>
      </c>
      <c r="L3044" s="20" t="inlineStr">
        <is>
          <t>LIAKATHCARS</t>
        </is>
      </c>
      <c r="M3044" s="23" t="n">
        <v>4237.29</v>
      </c>
    </row>
    <row r="3045">
      <c r="A3045" s="19" t="inlineStr">
        <is>
          <t>FY27</t>
        </is>
      </c>
      <c r="B3045" s="19" t="inlineStr">
        <is>
          <t>Jul</t>
        </is>
      </c>
      <c r="C3045" s="19" t="inlineStr">
        <is>
          <t>TN</t>
        </is>
      </c>
      <c r="D3045" s="20" t="inlineStr">
        <is>
          <t>TN05AK8822</t>
        </is>
      </c>
      <c r="E3045" s="20" t="inlineStr">
        <is>
          <t>HYUNDAI</t>
        </is>
      </c>
      <c r="F3045" s="20" t="inlineStr">
        <is>
          <t>I10</t>
        </is>
      </c>
      <c r="G3045" s="21" t="n">
        <v>2011</v>
      </c>
      <c r="H3045" s="22" t="n">
        <v>92735</v>
      </c>
      <c r="I3045" s="22" t="n">
        <v>91000</v>
      </c>
      <c r="J3045" s="20" t="inlineStr">
        <is>
          <t>AIE CARS PRIVATE LIMITED</t>
        </is>
      </c>
      <c r="K3045" s="20" t="inlineStr">
        <is>
          <t>Non-Captive</t>
        </is>
      </c>
      <c r="L3045" s="20" t="inlineStr">
        <is>
          <t>S2 MOTORZ</t>
        </is>
      </c>
      <c r="M3045" s="23" t="n">
        <v>4237.29</v>
      </c>
    </row>
    <row r="3046">
      <c r="A3046" s="19" t="inlineStr">
        <is>
          <t>FY27</t>
        </is>
      </c>
      <c r="B3046" s="19" t="inlineStr">
        <is>
          <t>Jul</t>
        </is>
      </c>
      <c r="C3046" s="19" t="inlineStr">
        <is>
          <t>TN</t>
        </is>
      </c>
      <c r="D3046" s="20" t="inlineStr">
        <is>
          <t>TN01AD0712</t>
        </is>
      </c>
      <c r="E3046" s="20" t="inlineStr">
        <is>
          <t>FORD</t>
        </is>
      </c>
      <c r="F3046" s="20" t="inlineStr">
        <is>
          <t>Ikon</t>
        </is>
      </c>
      <c r="G3046" s="21" t="n">
        <v>2007</v>
      </c>
      <c r="H3046" s="22" t="n">
        <v>87847</v>
      </c>
      <c r="I3046" s="22" t="n">
        <v>86000</v>
      </c>
      <c r="J3046" s="20" t="inlineStr">
        <is>
          <t>AIE CARS PRIVATE LIMITED</t>
        </is>
      </c>
      <c r="K3046" s="20" t="inlineStr">
        <is>
          <t>Non-Captive</t>
        </is>
      </c>
      <c r="L3046" s="20" t="inlineStr">
        <is>
          <t>S2 MOTORZ</t>
        </is>
      </c>
      <c r="M3046" s="23" t="n">
        <v>4237.29</v>
      </c>
    </row>
    <row r="3047">
      <c r="A3047" s="19" t="inlineStr">
        <is>
          <t>FY27</t>
        </is>
      </c>
      <c r="B3047" s="19" t="inlineStr">
        <is>
          <t>Jul</t>
        </is>
      </c>
      <c r="C3047" s="19" t="inlineStr">
        <is>
          <t>TN</t>
        </is>
      </c>
      <c r="D3047" s="20" t="inlineStr">
        <is>
          <t>TN31AH4189</t>
        </is>
      </c>
      <c r="E3047" s="20" t="inlineStr">
        <is>
          <t>TATA</t>
        </is>
      </c>
      <c r="F3047" s="20" t="inlineStr">
        <is>
          <t>Nano</t>
        </is>
      </c>
      <c r="G3047" s="21" t="n">
        <v>2012</v>
      </c>
      <c r="H3047" s="22" t="n">
        <v>28603</v>
      </c>
      <c r="I3047" s="22" t="n">
        <v>89000</v>
      </c>
      <c r="J3047" s="20" t="inlineStr">
        <is>
          <t>AIE CARS PRIVATE LIMITED</t>
        </is>
      </c>
      <c r="K3047" s="20" t="inlineStr">
        <is>
          <t>Non-Captive</t>
        </is>
      </c>
      <c r="L3047" s="20" t="inlineStr">
        <is>
          <t>S2 MOTORZ</t>
        </is>
      </c>
      <c r="M3047" s="23" t="n">
        <v>4237.29</v>
      </c>
    </row>
    <row r="3048">
      <c r="A3048" s="19" t="inlineStr">
        <is>
          <t>FY27</t>
        </is>
      </c>
      <c r="B3048" s="19" t="inlineStr">
        <is>
          <t>Jul</t>
        </is>
      </c>
      <c r="C3048" s="19" t="inlineStr">
        <is>
          <t>TN</t>
        </is>
      </c>
      <c r="D3048" s="20" t="inlineStr">
        <is>
          <t>TN01R0594</t>
        </is>
      </c>
      <c r="E3048" s="20" t="inlineStr">
        <is>
          <t>HONDA</t>
        </is>
      </c>
      <c r="F3048" s="20" t="inlineStr">
        <is>
          <t>City</t>
        </is>
      </c>
      <c r="G3048" s="21" t="n">
        <v>2000</v>
      </c>
      <c r="H3048" s="22" t="n">
        <v>129411</v>
      </c>
      <c r="I3048" s="22" t="n">
        <v>92000</v>
      </c>
      <c r="J3048" s="20" t="inlineStr">
        <is>
          <t>AIE CARS PRIVATE LIMITED</t>
        </is>
      </c>
      <c r="K3048" s="20" t="inlineStr">
        <is>
          <t>Non-Captive</t>
        </is>
      </c>
      <c r="L3048" s="20" t="inlineStr">
        <is>
          <t>S2 MOTORZ</t>
        </is>
      </c>
      <c r="M3048" s="23" t="n">
        <v>4237.29</v>
      </c>
    </row>
    <row r="3049">
      <c r="A3049" s="19" t="inlineStr">
        <is>
          <t>FY27</t>
        </is>
      </c>
      <c r="B3049" s="19" t="inlineStr">
        <is>
          <t>Jul</t>
        </is>
      </c>
      <c r="C3049" s="19" t="inlineStr">
        <is>
          <t>TN</t>
        </is>
      </c>
      <c r="D3049" s="20" t="inlineStr">
        <is>
          <t>TN19K4551</t>
        </is>
      </c>
      <c r="E3049" s="20" t="inlineStr">
        <is>
          <t>MARUTI</t>
        </is>
      </c>
      <c r="F3049" s="20" t="inlineStr">
        <is>
          <t>Wagonr</t>
        </is>
      </c>
      <c r="G3049" s="21" t="n">
        <v>2013</v>
      </c>
      <c r="H3049" s="22" t="n">
        <v>58269</v>
      </c>
      <c r="I3049" s="22" t="n">
        <v>186000</v>
      </c>
      <c r="J3049" s="20" t="inlineStr">
        <is>
          <t>Rajalakshmi Cars</t>
        </is>
      </c>
      <c r="K3049" s="20" t="inlineStr">
        <is>
          <t>Non-Captive</t>
        </is>
      </c>
      <c r="L3049" s="20" t="inlineStr">
        <is>
          <t>PINE AUTOS</t>
        </is>
      </c>
      <c r="M3049" s="23" t="n">
        <v>5084.75</v>
      </c>
    </row>
    <row r="3050">
      <c r="A3050" s="19" t="inlineStr">
        <is>
          <t>FY27</t>
        </is>
      </c>
      <c r="B3050" s="19" t="inlineStr">
        <is>
          <t>Jul</t>
        </is>
      </c>
      <c r="C3050" s="19" t="inlineStr">
        <is>
          <t>TN</t>
        </is>
      </c>
      <c r="D3050" s="20" t="inlineStr">
        <is>
          <t>TN18AM5223</t>
        </is>
      </c>
      <c r="E3050" s="20" t="inlineStr">
        <is>
          <t>MARUTI</t>
        </is>
      </c>
      <c r="F3050" s="20" t="inlineStr">
        <is>
          <t>Swiftdzire</t>
        </is>
      </c>
      <c r="G3050" s="21" t="n">
        <v>2017</v>
      </c>
      <c r="H3050" s="22" t="n">
        <v>179935</v>
      </c>
      <c r="I3050" s="22" t="n">
        <v>390000</v>
      </c>
      <c r="J3050" s="20" t="inlineStr">
        <is>
          <t>Rajalakshmi Cars</t>
        </is>
      </c>
      <c r="K3050" s="20" t="inlineStr">
        <is>
          <t>Non-Captive</t>
        </is>
      </c>
      <c r="L3050" s="20" t="inlineStr">
        <is>
          <t>S2 MOTORZ</t>
        </is>
      </c>
      <c r="M3050" s="23" t="n">
        <v>6779.66</v>
      </c>
    </row>
    <row r="3051">
      <c r="A3051" s="19" t="inlineStr">
        <is>
          <t>FY27</t>
        </is>
      </c>
      <c r="B3051" s="19" t="inlineStr">
        <is>
          <t>Jul</t>
        </is>
      </c>
      <c r="C3051" s="19" t="inlineStr">
        <is>
          <t>TN</t>
        </is>
      </c>
      <c r="D3051" s="20" t="inlineStr">
        <is>
          <t>TN05AH9401</t>
        </is>
      </c>
      <c r="E3051" s="20" t="inlineStr">
        <is>
          <t>MARUTI</t>
        </is>
      </c>
      <c r="F3051" s="20" t="inlineStr">
        <is>
          <t>Alto K10</t>
        </is>
      </c>
      <c r="G3051" s="21" t="n">
        <v>2011</v>
      </c>
      <c r="H3051" s="22" t="n">
        <v>42559</v>
      </c>
      <c r="I3051" s="22" t="n">
        <v>194000</v>
      </c>
      <c r="J3051" s="20" t="inlineStr">
        <is>
          <t>Rajalakshmi Cars</t>
        </is>
      </c>
      <c r="K3051" s="20" t="inlineStr">
        <is>
          <t>Non-Captive</t>
        </is>
      </c>
      <c r="L3051" s="20" t="inlineStr">
        <is>
          <t>PINE AUTOS</t>
        </is>
      </c>
      <c r="M3051" s="23" t="n">
        <v>5084.75</v>
      </c>
    </row>
    <row r="3052">
      <c r="A3052" s="19" t="inlineStr">
        <is>
          <t>FY27</t>
        </is>
      </c>
      <c r="B3052" s="19" t="inlineStr">
        <is>
          <t>Jul</t>
        </is>
      </c>
      <c r="C3052" s="19" t="inlineStr">
        <is>
          <t>TN</t>
        </is>
      </c>
      <c r="D3052" s="20" t="inlineStr">
        <is>
          <t>TN29AE9545</t>
        </is>
      </c>
      <c r="E3052" s="20" t="inlineStr">
        <is>
          <t>TATA</t>
        </is>
      </c>
      <c r="F3052" s="20" t="inlineStr">
        <is>
          <t>Indica</t>
        </is>
      </c>
      <c r="G3052" s="21" t="n">
        <v>2010</v>
      </c>
      <c r="H3052" s="22" t="n">
        <v>125760</v>
      </c>
      <c r="I3052" s="22" t="n">
        <v>93000</v>
      </c>
      <c r="J3052" s="20" t="inlineStr">
        <is>
          <t>Rajalakshmi Cars</t>
        </is>
      </c>
      <c r="K3052" s="20" t="inlineStr">
        <is>
          <t>Non-Captive</t>
        </is>
      </c>
      <c r="L3052" s="20" t="inlineStr">
        <is>
          <t>SK Cars Prasana</t>
        </is>
      </c>
      <c r="M3052" s="23" t="n">
        <v>4237.29</v>
      </c>
    </row>
    <row r="3053">
      <c r="A3053" s="19" t="inlineStr">
        <is>
          <t>FY27</t>
        </is>
      </c>
      <c r="B3053" s="19" t="inlineStr">
        <is>
          <t>Jul</t>
        </is>
      </c>
      <c r="C3053" s="19" t="inlineStr">
        <is>
          <t>TN</t>
        </is>
      </c>
      <c r="D3053" s="20" t="inlineStr">
        <is>
          <t>TN10AA5442</t>
        </is>
      </c>
      <c r="E3053" s="20" t="inlineStr">
        <is>
          <t>HYUNDAI</t>
        </is>
      </c>
      <c r="F3053" s="20" t="inlineStr">
        <is>
          <t>I10</t>
        </is>
      </c>
      <c r="G3053" s="21" t="n">
        <v>2010</v>
      </c>
      <c r="H3053" s="22" t="n">
        <v>57427</v>
      </c>
      <c r="I3053" s="22" t="n">
        <v>193500</v>
      </c>
      <c r="J3053" s="20" t="inlineStr">
        <is>
          <t>Rajalakshmi Cars</t>
        </is>
      </c>
      <c r="K3053" s="20" t="inlineStr">
        <is>
          <t>Non-Captive</t>
        </is>
      </c>
      <c r="L3053" s="20" t="inlineStr">
        <is>
          <t>SK Cars Prasana</t>
        </is>
      </c>
      <c r="M3053" s="23" t="n">
        <v>5084.75</v>
      </c>
    </row>
    <row r="3054">
      <c r="A3054" s="19" t="inlineStr">
        <is>
          <t>FY27</t>
        </is>
      </c>
      <c r="B3054" s="19" t="inlineStr">
        <is>
          <t>Jul</t>
        </is>
      </c>
      <c r="C3054" s="19" t="inlineStr">
        <is>
          <t>TN</t>
        </is>
      </c>
      <c r="D3054" s="20" t="inlineStr">
        <is>
          <t>TN09BY9021</t>
        </is>
      </c>
      <c r="E3054" s="20" t="inlineStr">
        <is>
          <t>TATA</t>
        </is>
      </c>
      <c r="F3054" s="20" t="inlineStr">
        <is>
          <t>Zest</t>
        </is>
      </c>
      <c r="G3054" s="21" t="n">
        <v>2015</v>
      </c>
      <c r="H3054" s="22" t="n">
        <v>105891</v>
      </c>
      <c r="I3054" s="22" t="n">
        <v>99000</v>
      </c>
      <c r="J3054" s="20" t="inlineStr">
        <is>
          <t>VISHNU CARS PRIVATE LIMITED</t>
        </is>
      </c>
      <c r="K3054" s="20" t="inlineStr">
        <is>
          <t>Non-Captive</t>
        </is>
      </c>
      <c r="L3054" s="20" t="inlineStr">
        <is>
          <t>S2 MOTORZ</t>
        </is>
      </c>
      <c r="M3054" s="23" t="n">
        <v>4237.29</v>
      </c>
    </row>
    <row r="3055">
      <c r="A3055" s="19" t="inlineStr">
        <is>
          <t>FY27</t>
        </is>
      </c>
      <c r="B3055" s="19" t="inlineStr">
        <is>
          <t>Jul</t>
        </is>
      </c>
      <c r="C3055" s="19" t="inlineStr">
        <is>
          <t>TN</t>
        </is>
      </c>
      <c r="D3055" s="20" t="inlineStr">
        <is>
          <t>TN13M8404</t>
        </is>
      </c>
      <c r="E3055" s="20" t="inlineStr">
        <is>
          <t>HYUNDAI</t>
        </is>
      </c>
      <c r="F3055" s="20" t="inlineStr">
        <is>
          <t>Eon</t>
        </is>
      </c>
      <c r="G3055" s="21" t="n">
        <v>2018</v>
      </c>
      <c r="H3055" s="22" t="n">
        <v>15738</v>
      </c>
      <c r="I3055" s="22" t="n">
        <v>100000</v>
      </c>
      <c r="J3055" s="20" t="inlineStr">
        <is>
          <t>VISHNU CARS PRIVATE LIMITED</t>
        </is>
      </c>
      <c r="K3055" s="20" t="inlineStr">
        <is>
          <t>Non-Captive</t>
        </is>
      </c>
      <c r="L3055" s="20" t="inlineStr">
        <is>
          <t>S2 MOTORZ</t>
        </is>
      </c>
      <c r="M3055" s="23" t="n">
        <v>4237.29</v>
      </c>
    </row>
    <row r="3056">
      <c r="A3056" s="19" t="inlineStr">
        <is>
          <t>FY27</t>
        </is>
      </c>
      <c r="B3056" s="19" t="inlineStr">
        <is>
          <t>Jul</t>
        </is>
      </c>
      <c r="C3056" s="19" t="inlineStr">
        <is>
          <t>TN</t>
        </is>
      </c>
      <c r="D3056" s="20" t="inlineStr">
        <is>
          <t>TN01BF3558</t>
        </is>
      </c>
      <c r="E3056" s="20" t="inlineStr">
        <is>
          <t>HYUNDAI</t>
        </is>
      </c>
      <c r="F3056" s="20" t="inlineStr">
        <is>
          <t>I20</t>
        </is>
      </c>
      <c r="G3056" s="21" t="n">
        <v>2018</v>
      </c>
      <c r="H3056" s="22" t="n">
        <v>40840</v>
      </c>
      <c r="I3056" s="22" t="n">
        <v>98000</v>
      </c>
      <c r="J3056" s="20" t="inlineStr">
        <is>
          <t>VISHNU CARS PRIVATE LIMITED</t>
        </is>
      </c>
      <c r="K3056" s="20" t="inlineStr">
        <is>
          <t>Non-Captive</t>
        </is>
      </c>
      <c r="L3056" s="20" t="inlineStr">
        <is>
          <t>Senthil Cars</t>
        </is>
      </c>
      <c r="M3056" s="23" t="n">
        <v>4237.29</v>
      </c>
    </row>
    <row r="3057">
      <c r="A3057" s="19" t="inlineStr">
        <is>
          <t>FY27</t>
        </is>
      </c>
      <c r="B3057" s="19" t="inlineStr">
        <is>
          <t>Jul</t>
        </is>
      </c>
      <c r="C3057" s="19" t="inlineStr">
        <is>
          <t>TN</t>
        </is>
      </c>
      <c r="D3057" s="20" t="inlineStr">
        <is>
          <t>TN01BF3964</t>
        </is>
      </c>
      <c r="E3057" s="20" t="inlineStr">
        <is>
          <t>MARUTI</t>
        </is>
      </c>
      <c r="F3057" s="20" t="inlineStr">
        <is>
          <t>Baleno</t>
        </is>
      </c>
      <c r="G3057" s="21" t="n">
        <v>2018</v>
      </c>
      <c r="H3057" s="22" t="n">
        <v>60155</v>
      </c>
      <c r="I3057" s="22" t="n">
        <v>89700</v>
      </c>
      <c r="J3057" s="20" t="inlineStr">
        <is>
          <t>VISHNU CARS PRIVATE LIMITED</t>
        </is>
      </c>
      <c r="K3057" s="20" t="inlineStr">
        <is>
          <t>Non-Captive</t>
        </is>
      </c>
      <c r="L3057" s="20" t="inlineStr">
        <is>
          <t>Senthil Cars</t>
        </is>
      </c>
      <c r="M3057" s="23" t="n">
        <v>4237.29</v>
      </c>
    </row>
    <row r="3058">
      <c r="A3058" s="19" t="inlineStr">
        <is>
          <t>FY27</t>
        </is>
      </c>
      <c r="B3058" s="19" t="inlineStr">
        <is>
          <t>Jul</t>
        </is>
      </c>
      <c r="C3058" s="19" t="inlineStr">
        <is>
          <t>TN</t>
        </is>
      </c>
      <c r="D3058" s="20" t="inlineStr">
        <is>
          <t>TN22CC7943</t>
        </is>
      </c>
      <c r="E3058" s="20" t="inlineStr">
        <is>
          <t>MARUTI</t>
        </is>
      </c>
      <c r="F3058" s="20" t="inlineStr">
        <is>
          <t>Astar</t>
        </is>
      </c>
      <c r="G3058" s="21" t="n">
        <v>2012</v>
      </c>
      <c r="H3058" s="22" t="n">
        <v>57517</v>
      </c>
      <c r="I3058" s="22" t="n">
        <v>197000</v>
      </c>
      <c r="J3058" s="20" t="inlineStr">
        <is>
          <t>Rajalakshmi Cars</t>
        </is>
      </c>
      <c r="K3058" s="20" t="inlineStr">
        <is>
          <t>Non-Captive</t>
        </is>
      </c>
      <c r="L3058" s="20" t="inlineStr">
        <is>
          <t>PINE AUTOS</t>
        </is>
      </c>
      <c r="M3058" s="23" t="n">
        <v>5084.75</v>
      </c>
    </row>
    <row r="3059">
      <c r="A3059" s="19" t="inlineStr">
        <is>
          <t>FY27</t>
        </is>
      </c>
      <c r="B3059" s="19" t="inlineStr">
        <is>
          <t>Jul</t>
        </is>
      </c>
      <c r="C3059" s="19" t="inlineStr">
        <is>
          <t>TN</t>
        </is>
      </c>
      <c r="D3059" s="20" t="inlineStr">
        <is>
          <t>TN59AQ9100</t>
        </is>
      </c>
      <c r="E3059" s="20" t="inlineStr">
        <is>
          <t>FIAT</t>
        </is>
      </c>
      <c r="F3059" s="20" t="inlineStr">
        <is>
          <t>Linea</t>
        </is>
      </c>
      <c r="G3059" s="21" t="n">
        <v>2010</v>
      </c>
      <c r="H3059" s="22" t="n">
        <v>116423</v>
      </c>
      <c r="I3059" s="22" t="n">
        <v>98000</v>
      </c>
      <c r="J3059" s="20" t="inlineStr">
        <is>
          <t>Cresco cars</t>
        </is>
      </c>
      <c r="K3059" s="20" t="inlineStr">
        <is>
          <t>Non-Captive</t>
        </is>
      </c>
      <c r="L3059" s="20" t="inlineStr">
        <is>
          <t>SK Cars Prasana</t>
        </is>
      </c>
      <c r="M3059" s="23" t="n">
        <v>4237.29</v>
      </c>
    </row>
    <row r="3060">
      <c r="A3060" s="19" t="inlineStr">
        <is>
          <t>FY27</t>
        </is>
      </c>
      <c r="B3060" s="19" t="inlineStr">
        <is>
          <t>Jul</t>
        </is>
      </c>
      <c r="C3060" s="19" t="inlineStr">
        <is>
          <t>TN</t>
        </is>
      </c>
      <c r="D3060" s="20" t="inlineStr">
        <is>
          <t>TN07BE7508</t>
        </is>
      </c>
      <c r="E3060" s="20" t="inlineStr">
        <is>
          <t>MARUTI</t>
        </is>
      </c>
      <c r="F3060" s="20" t="inlineStr">
        <is>
          <t>Sx4</t>
        </is>
      </c>
      <c r="G3060" s="21" t="n">
        <v>2009</v>
      </c>
      <c r="H3060" s="22" t="n">
        <v>216223</v>
      </c>
      <c r="I3060" s="22" t="n">
        <v>95000</v>
      </c>
      <c r="J3060" s="20" t="inlineStr">
        <is>
          <t>Cresco cars</t>
        </is>
      </c>
      <c r="K3060" s="20" t="inlineStr">
        <is>
          <t>Non-Captive</t>
        </is>
      </c>
      <c r="L3060" s="20" t="inlineStr">
        <is>
          <t>PINE AUTOS</t>
        </is>
      </c>
      <c r="M3060" s="23" t="n">
        <v>4237.29</v>
      </c>
    </row>
    <row r="3061">
      <c r="A3061" s="19" t="inlineStr">
        <is>
          <t>FY27</t>
        </is>
      </c>
      <c r="B3061" s="19" t="inlineStr">
        <is>
          <t>Jul</t>
        </is>
      </c>
      <c r="C3061" s="19" t="inlineStr">
        <is>
          <t>TN</t>
        </is>
      </c>
      <c r="D3061" s="20" t="inlineStr">
        <is>
          <t>TN06H2020</t>
        </is>
      </c>
      <c r="E3061" s="20" t="inlineStr">
        <is>
          <t>HONDA</t>
        </is>
      </c>
      <c r="F3061" s="20" t="inlineStr">
        <is>
          <t>Brio</t>
        </is>
      </c>
      <c r="G3061" s="21" t="n">
        <v>2012</v>
      </c>
      <c r="H3061" s="22" t="n">
        <v>66249</v>
      </c>
      <c r="I3061" s="22" t="n">
        <v>199000</v>
      </c>
      <c r="J3061" s="20" t="inlineStr">
        <is>
          <t>Cresco cars</t>
        </is>
      </c>
      <c r="K3061" s="20" t="inlineStr">
        <is>
          <t>Non-Captive</t>
        </is>
      </c>
      <c r="L3061" s="20" t="inlineStr">
        <is>
          <t>PINE AUTOS</t>
        </is>
      </c>
      <c r="M3061" s="23" t="n">
        <v>5084.75</v>
      </c>
    </row>
    <row r="3062">
      <c r="A3062" s="19" t="inlineStr">
        <is>
          <t>FY27</t>
        </is>
      </c>
      <c r="B3062" s="19" t="inlineStr">
        <is>
          <t>Jul</t>
        </is>
      </c>
      <c r="C3062" s="19" t="inlineStr">
        <is>
          <t>TN</t>
        </is>
      </c>
      <c r="D3062" s="20" t="inlineStr">
        <is>
          <t>TN10AQ4590</t>
        </is>
      </c>
      <c r="E3062" s="20" t="inlineStr">
        <is>
          <t>MARUTI</t>
        </is>
      </c>
      <c r="F3062" s="20" t="inlineStr">
        <is>
          <t>Alto K10</t>
        </is>
      </c>
      <c r="G3062" s="21" t="n">
        <v>2014</v>
      </c>
      <c r="H3062" s="22" t="n">
        <v>21667</v>
      </c>
      <c r="I3062" s="22" t="n">
        <v>190000</v>
      </c>
      <c r="J3062" s="20" t="inlineStr">
        <is>
          <t>Cresco cars</t>
        </is>
      </c>
      <c r="K3062" s="20" t="inlineStr">
        <is>
          <t>Non-Captive</t>
        </is>
      </c>
      <c r="L3062" s="20" t="inlineStr">
        <is>
          <t>SK Cars Prasana</t>
        </is>
      </c>
      <c r="M3062" s="23" t="n">
        <v>5084.75</v>
      </c>
    </row>
    <row r="3063">
      <c r="A3063" s="19" t="inlineStr">
        <is>
          <t>FY27</t>
        </is>
      </c>
      <c r="B3063" s="19" t="inlineStr">
        <is>
          <t>Jul</t>
        </is>
      </c>
      <c r="C3063" s="19" t="inlineStr">
        <is>
          <t>TN</t>
        </is>
      </c>
      <c r="D3063" s="20" t="inlineStr">
        <is>
          <t>TN22DD2970</t>
        </is>
      </c>
      <c r="E3063" s="20" t="inlineStr">
        <is>
          <t>TATA</t>
        </is>
      </c>
      <c r="F3063" s="20" t="inlineStr">
        <is>
          <t>Indica</t>
        </is>
      </c>
      <c r="G3063" s="21" t="n">
        <v>2016</v>
      </c>
      <c r="H3063" s="22" t="n">
        <v>82391</v>
      </c>
      <c r="I3063" s="22" t="n">
        <v>199000</v>
      </c>
      <c r="J3063" s="20" t="inlineStr">
        <is>
          <t>Cresco cars</t>
        </is>
      </c>
      <c r="K3063" s="20" t="inlineStr">
        <is>
          <t>Non-Captive</t>
        </is>
      </c>
      <c r="L3063" s="20" t="inlineStr">
        <is>
          <t>SK Cars Prasana</t>
        </is>
      </c>
      <c r="M3063" s="23" t="n">
        <v>5084.75</v>
      </c>
    </row>
    <row r="3064">
      <c r="A3064" s="19" t="inlineStr">
        <is>
          <t>FY27</t>
        </is>
      </c>
      <c r="B3064" s="19" t="inlineStr">
        <is>
          <t>Jul</t>
        </is>
      </c>
      <c r="C3064" s="19" t="inlineStr">
        <is>
          <t>TN</t>
        </is>
      </c>
      <c r="D3064" s="20" t="inlineStr">
        <is>
          <t>TN22CV4035</t>
        </is>
      </c>
      <c r="E3064" s="20" t="inlineStr">
        <is>
          <t>FORD</t>
        </is>
      </c>
      <c r="F3064" s="20" t="inlineStr">
        <is>
          <t>Fiestaclassic</t>
        </is>
      </c>
      <c r="G3064" s="21" t="n">
        <v>2012</v>
      </c>
      <c r="H3064" s="22" t="n">
        <v>128736</v>
      </c>
      <c r="I3064" s="22" t="n">
        <v>89000</v>
      </c>
      <c r="J3064" s="20" t="inlineStr">
        <is>
          <t>Cresco cars</t>
        </is>
      </c>
      <c r="K3064" s="20" t="inlineStr">
        <is>
          <t>Non-Captive</t>
        </is>
      </c>
      <c r="L3064" s="20" t="inlineStr">
        <is>
          <t>AAA CARS</t>
        </is>
      </c>
      <c r="M3064" s="23" t="n">
        <v>4237.29</v>
      </c>
    </row>
    <row r="3065">
      <c r="A3065" s="19" t="inlineStr">
        <is>
          <t>FY27</t>
        </is>
      </c>
      <c r="B3065" s="19" t="inlineStr">
        <is>
          <t>Jul</t>
        </is>
      </c>
      <c r="C3065" s="19" t="inlineStr">
        <is>
          <t>TN</t>
        </is>
      </c>
      <c r="D3065" s="20" t="inlineStr">
        <is>
          <t>TN28AP6496</t>
        </is>
      </c>
      <c r="E3065" s="20" t="inlineStr">
        <is>
          <t>CHEVROLET</t>
        </is>
      </c>
      <c r="F3065" s="20" t="inlineStr">
        <is>
          <t>Spark</t>
        </is>
      </c>
      <c r="G3065" s="21" t="n">
        <v>2013</v>
      </c>
      <c r="H3065" s="22" t="n">
        <v>69451</v>
      </c>
      <c r="I3065" s="22" t="n">
        <v>194000</v>
      </c>
      <c r="J3065" s="20" t="inlineStr">
        <is>
          <t>Cresco cars</t>
        </is>
      </c>
      <c r="K3065" s="20" t="inlineStr">
        <is>
          <t>Non-Captive</t>
        </is>
      </c>
      <c r="L3065" s="20" t="inlineStr">
        <is>
          <t>PINE AUTOS</t>
        </is>
      </c>
      <c r="M3065" s="23" t="n">
        <v>5508.47</v>
      </c>
    </row>
    <row r="3066">
      <c r="A3066" s="19" t="inlineStr">
        <is>
          <t>FY27</t>
        </is>
      </c>
      <c r="B3066" s="19" t="inlineStr">
        <is>
          <t>Jul</t>
        </is>
      </c>
      <c r="C3066" s="19" t="inlineStr">
        <is>
          <t>TN</t>
        </is>
      </c>
      <c r="D3066" s="20" t="inlineStr">
        <is>
          <t>TN05AP4405</t>
        </is>
      </c>
      <c r="E3066" s="20" t="inlineStr">
        <is>
          <t>CHEVROLET</t>
        </is>
      </c>
      <c r="F3066" s="20" t="inlineStr">
        <is>
          <t>Beat</t>
        </is>
      </c>
      <c r="G3066" s="21" t="n">
        <v>2012</v>
      </c>
      <c r="H3066" s="22" t="n">
        <v>33666</v>
      </c>
      <c r="I3066" s="22" t="n">
        <v>193000</v>
      </c>
      <c r="J3066" s="20" t="inlineStr">
        <is>
          <t>Cresco cars</t>
        </is>
      </c>
      <c r="K3066" s="20" t="inlineStr">
        <is>
          <t>Non-Captive</t>
        </is>
      </c>
      <c r="L3066" s="20" t="inlineStr">
        <is>
          <t>PINE AUTOS</t>
        </is>
      </c>
      <c r="M3066" s="23" t="n">
        <v>5508.47</v>
      </c>
    </row>
    <row r="3067">
      <c r="A3067" s="19" t="inlineStr">
        <is>
          <t>FY27</t>
        </is>
      </c>
      <c r="B3067" s="19" t="inlineStr">
        <is>
          <t>Jul</t>
        </is>
      </c>
      <c r="C3067" s="19" t="inlineStr">
        <is>
          <t>TN</t>
        </is>
      </c>
      <c r="D3067" s="20" t="inlineStr">
        <is>
          <t>TN38CH7602</t>
        </is>
      </c>
      <c r="E3067" s="20" t="inlineStr">
        <is>
          <t>VOLKSWAGEN</t>
        </is>
      </c>
      <c r="F3067" s="20" t="inlineStr">
        <is>
          <t>Ameo</t>
        </is>
      </c>
      <c r="G3067" s="21" t="n">
        <v>2016</v>
      </c>
      <c r="H3067" s="22" t="n">
        <v>129590</v>
      </c>
      <c r="I3067" s="22" t="n">
        <v>92000</v>
      </c>
      <c r="J3067" s="20" t="inlineStr">
        <is>
          <t>GURUDEV MOTORS LLP</t>
        </is>
      </c>
      <c r="K3067" s="20" t="inlineStr">
        <is>
          <t>Non-Captive</t>
        </is>
      </c>
      <c r="L3067" s="20" t="inlineStr">
        <is>
          <t>PINE AUTOS</t>
        </is>
      </c>
      <c r="M3067" s="23" t="n">
        <v>4237.29</v>
      </c>
    </row>
    <row r="3068">
      <c r="A3068" s="19" t="inlineStr">
        <is>
          <t>FY27</t>
        </is>
      </c>
      <c r="B3068" s="19" t="inlineStr">
        <is>
          <t>Jul</t>
        </is>
      </c>
      <c r="C3068" s="19" t="inlineStr">
        <is>
          <t>TN</t>
        </is>
      </c>
      <c r="D3068" s="20" t="inlineStr">
        <is>
          <t>TN18AE1071</t>
        </is>
      </c>
      <c r="E3068" s="20" t="inlineStr">
        <is>
          <t>HYUNDAI</t>
        </is>
      </c>
      <c r="F3068" s="20" t="inlineStr">
        <is>
          <t>Eon</t>
        </is>
      </c>
      <c r="G3068" s="21" t="n">
        <v>2015</v>
      </c>
      <c r="H3068" s="22" t="n">
        <v>27574</v>
      </c>
      <c r="I3068" s="22" t="n">
        <v>99000</v>
      </c>
      <c r="J3068" s="20" t="inlineStr">
        <is>
          <t>Cresco cars</t>
        </is>
      </c>
      <c r="K3068" s="20" t="inlineStr">
        <is>
          <t>Non-Captive</t>
        </is>
      </c>
      <c r="L3068" s="20" t="inlineStr">
        <is>
          <t>AAA CARS</t>
        </is>
      </c>
      <c r="M3068" s="23" t="n">
        <v>4237.29</v>
      </c>
    </row>
    <row r="3069">
      <c r="A3069" s="19" t="inlineStr">
        <is>
          <t>FY27</t>
        </is>
      </c>
      <c r="B3069" s="19" t="inlineStr">
        <is>
          <t>Jul</t>
        </is>
      </c>
      <c r="C3069" s="19" t="inlineStr">
        <is>
          <t>TN</t>
        </is>
      </c>
      <c r="D3069" s="20" t="inlineStr">
        <is>
          <t>TN05AH1462</t>
        </is>
      </c>
      <c r="E3069" s="20" t="inlineStr">
        <is>
          <t>MARUTI</t>
        </is>
      </c>
      <c r="F3069" s="20" t="inlineStr">
        <is>
          <t>Wagonr</t>
        </is>
      </c>
      <c r="G3069" s="21" t="n">
        <v>2010</v>
      </c>
      <c r="H3069" s="22" t="n">
        <v>77483</v>
      </c>
      <c r="I3069" s="22" t="n">
        <v>97000</v>
      </c>
      <c r="J3069" s="20" t="inlineStr">
        <is>
          <t>Cresco cars</t>
        </is>
      </c>
      <c r="K3069" s="20" t="inlineStr">
        <is>
          <t>Non-Captive</t>
        </is>
      </c>
      <c r="L3069" s="20" t="inlineStr">
        <is>
          <t>AAA CARS</t>
        </is>
      </c>
      <c r="M3069" s="23" t="n">
        <v>4237.29</v>
      </c>
    </row>
    <row r="3070">
      <c r="A3070" s="19" t="inlineStr">
        <is>
          <t>FY27</t>
        </is>
      </c>
      <c r="B3070" s="19" t="inlineStr">
        <is>
          <t>Jul</t>
        </is>
      </c>
      <c r="C3070" s="19" t="inlineStr">
        <is>
          <t>TN</t>
        </is>
      </c>
      <c r="D3070" s="20" t="inlineStr">
        <is>
          <t>TN10AH5996</t>
        </is>
      </c>
      <c r="E3070" s="20" t="inlineStr">
        <is>
          <t>TATA</t>
        </is>
      </c>
      <c r="F3070" s="20" t="inlineStr">
        <is>
          <t>Nano</t>
        </is>
      </c>
      <c r="G3070" s="21" t="n">
        <v>2012</v>
      </c>
      <c r="H3070" s="22" t="n">
        <v>88325</v>
      </c>
      <c r="I3070" s="22" t="n">
        <v>94000</v>
      </c>
      <c r="J3070" s="20" t="inlineStr">
        <is>
          <t>Cresco cars</t>
        </is>
      </c>
      <c r="K3070" s="20" t="inlineStr">
        <is>
          <t>Non-Captive</t>
        </is>
      </c>
      <c r="L3070" s="20" t="inlineStr">
        <is>
          <t>AAA CARS</t>
        </is>
      </c>
      <c r="M3070" s="23" t="n">
        <v>4237.29</v>
      </c>
    </row>
    <row r="3071">
      <c r="A3071" s="19" t="inlineStr">
        <is>
          <t>FY27</t>
        </is>
      </c>
      <c r="B3071" s="19" t="inlineStr">
        <is>
          <t>Jul</t>
        </is>
      </c>
      <c r="C3071" s="19" t="inlineStr">
        <is>
          <t>TN</t>
        </is>
      </c>
      <c r="D3071" s="20" t="inlineStr">
        <is>
          <t>TN05AT3192</t>
        </is>
      </c>
      <c r="E3071" s="20" t="inlineStr">
        <is>
          <t>HYUNDAI</t>
        </is>
      </c>
      <c r="F3071" s="20" t="inlineStr">
        <is>
          <t>I10</t>
        </is>
      </c>
      <c r="G3071" s="21" t="n">
        <v>2013</v>
      </c>
      <c r="H3071" s="22" t="n">
        <v>79912</v>
      </c>
      <c r="I3071" s="22" t="n">
        <v>98000</v>
      </c>
      <c r="J3071" s="20" t="inlineStr">
        <is>
          <t>Cresco cars</t>
        </is>
      </c>
      <c r="K3071" s="20" t="inlineStr">
        <is>
          <t>Non-Captive</t>
        </is>
      </c>
      <c r="L3071" s="20" t="inlineStr">
        <is>
          <t>GRID 33</t>
        </is>
      </c>
      <c r="M3071" s="23" t="n">
        <v>4237.29</v>
      </c>
    </row>
    <row r="3072">
      <c r="A3072" s="19" t="inlineStr">
        <is>
          <t>FY27</t>
        </is>
      </c>
      <c r="B3072" s="19" t="inlineStr">
        <is>
          <t>Jul</t>
        </is>
      </c>
      <c r="C3072" s="19" t="inlineStr">
        <is>
          <t>TN</t>
        </is>
      </c>
      <c r="D3072" s="20" t="inlineStr">
        <is>
          <t>TN22CX0711</t>
        </is>
      </c>
      <c r="E3072" s="20" t="inlineStr">
        <is>
          <t>TOYOTA</t>
        </is>
      </c>
      <c r="F3072" s="20" t="inlineStr">
        <is>
          <t>Etios</t>
        </is>
      </c>
      <c r="G3072" s="21" t="n">
        <v>2011</v>
      </c>
      <c r="H3072" s="22" t="n">
        <v>129690</v>
      </c>
      <c r="I3072" s="22" t="n">
        <v>89000</v>
      </c>
      <c r="J3072" s="20" t="inlineStr">
        <is>
          <t>PRODUCTIVITY ELEMENTS PRIVATE LIMITED</t>
        </is>
      </c>
      <c r="K3072" s="20" t="inlineStr">
        <is>
          <t>Non-Captive</t>
        </is>
      </c>
      <c r="L3072" s="20" t="inlineStr">
        <is>
          <t>Senthil Cars</t>
        </is>
      </c>
      <c r="M3072" s="23" t="n">
        <v>4237.29</v>
      </c>
    </row>
    <row r="3073">
      <c r="A3073" s="19" t="inlineStr">
        <is>
          <t>FY27</t>
        </is>
      </c>
      <c r="B3073" s="19" t="inlineStr">
        <is>
          <t>Jul</t>
        </is>
      </c>
      <c r="C3073" s="19" t="inlineStr">
        <is>
          <t>TN</t>
        </is>
      </c>
      <c r="D3073" s="20" t="inlineStr">
        <is>
          <t>TN09BC3315</t>
        </is>
      </c>
      <c r="E3073" s="20" t="inlineStr">
        <is>
          <t>TATA</t>
        </is>
      </c>
      <c r="F3073" s="20" t="inlineStr">
        <is>
          <t>Nano</t>
        </is>
      </c>
      <c r="G3073" s="21" t="n">
        <v>2009</v>
      </c>
      <c r="H3073" s="22" t="n">
        <v>65623</v>
      </c>
      <c r="I3073" s="22" t="n">
        <v>97000</v>
      </c>
      <c r="J3073" s="20" t="inlineStr">
        <is>
          <t>PRODUCTIVITY ELEMENTS PRIVATE LIMITED</t>
        </is>
      </c>
      <c r="K3073" s="20" t="inlineStr">
        <is>
          <t>Non-Captive</t>
        </is>
      </c>
      <c r="L3073" s="20" t="inlineStr">
        <is>
          <t>Senthil Cars</t>
        </is>
      </c>
      <c r="M3073" s="23" t="n">
        <v>4237.29</v>
      </c>
    </row>
    <row r="3074">
      <c r="A3074" s="19" t="inlineStr">
        <is>
          <t>FY27</t>
        </is>
      </c>
      <c r="B3074" s="19" t="inlineStr">
        <is>
          <t>Jul</t>
        </is>
      </c>
      <c r="C3074" s="19" t="inlineStr">
        <is>
          <t>TN</t>
        </is>
      </c>
      <c r="D3074" s="20" t="inlineStr">
        <is>
          <t>TN11AF8524</t>
        </is>
      </c>
      <c r="E3074" s="20" t="inlineStr">
        <is>
          <t>RENAULT</t>
        </is>
      </c>
      <c r="F3074" s="20" t="inlineStr">
        <is>
          <t>Kwid</t>
        </is>
      </c>
      <c r="G3074" s="21" t="n">
        <v>2018</v>
      </c>
      <c r="H3074" s="22" t="n">
        <v>60250</v>
      </c>
      <c r="I3074" s="22" t="n">
        <v>92000</v>
      </c>
      <c r="J3074" s="20" t="inlineStr">
        <is>
          <t>PRODUCTIVITY ELEMENTS PRIVATE LIMITED</t>
        </is>
      </c>
      <c r="K3074" s="20" t="inlineStr">
        <is>
          <t>Non-Captive</t>
        </is>
      </c>
      <c r="L3074" s="20" t="inlineStr">
        <is>
          <t>Senthil Cars</t>
        </is>
      </c>
      <c r="M3074" s="23" t="n">
        <v>4237.29</v>
      </c>
    </row>
    <row r="3075">
      <c r="A3075" s="19" t="inlineStr">
        <is>
          <t>FY27</t>
        </is>
      </c>
      <c r="B3075" s="19" t="inlineStr">
        <is>
          <t>Jul</t>
        </is>
      </c>
      <c r="C3075" s="19" t="inlineStr">
        <is>
          <t>TN</t>
        </is>
      </c>
      <c r="D3075" s="20" t="inlineStr">
        <is>
          <t>TN05AW6478</t>
        </is>
      </c>
      <c r="E3075" s="20" t="inlineStr">
        <is>
          <t>HONDA</t>
        </is>
      </c>
      <c r="F3075" s="20" t="inlineStr">
        <is>
          <t>Brio</t>
        </is>
      </c>
      <c r="G3075" s="21" t="n">
        <v>2014</v>
      </c>
      <c r="H3075" s="22" t="n">
        <v>89521</v>
      </c>
      <c r="I3075" s="22" t="n">
        <v>100000</v>
      </c>
      <c r="J3075" s="20" t="inlineStr">
        <is>
          <t>PRODUCTIVITY ELEMENTS PRIVATE LIMITED</t>
        </is>
      </c>
      <c r="K3075" s="20" t="inlineStr">
        <is>
          <t>Non-Captive</t>
        </is>
      </c>
      <c r="L3075" s="20" t="inlineStr">
        <is>
          <t>Senthil Cars</t>
        </is>
      </c>
      <c r="M3075" s="23" t="n">
        <v>4237.29</v>
      </c>
    </row>
    <row r="3076">
      <c r="A3076" s="19" t="inlineStr">
        <is>
          <t>FY27</t>
        </is>
      </c>
      <c r="B3076" s="19" t="inlineStr">
        <is>
          <t>Jul</t>
        </is>
      </c>
      <c r="C3076" s="19" t="inlineStr">
        <is>
          <t>TN</t>
        </is>
      </c>
      <c r="D3076" s="20" t="inlineStr">
        <is>
          <t>TN22BQ8626</t>
        </is>
      </c>
      <c r="E3076" s="20" t="inlineStr">
        <is>
          <t>MARUTI</t>
        </is>
      </c>
      <c r="F3076" s="20" t="inlineStr">
        <is>
          <t>Alto</t>
        </is>
      </c>
      <c r="G3076" s="21" t="n">
        <v>2011</v>
      </c>
      <c r="H3076" s="22" t="n">
        <v>29253</v>
      </c>
      <c r="I3076" s="22" t="n">
        <v>99500</v>
      </c>
      <c r="J3076" s="20" t="inlineStr">
        <is>
          <t>PRODUCTIVITY ELEMENTS PRIVATE LIMITED</t>
        </is>
      </c>
      <c r="K3076" s="20" t="inlineStr">
        <is>
          <t>Non-Captive</t>
        </is>
      </c>
      <c r="L3076" s="20" t="inlineStr">
        <is>
          <t>Senthil Cars</t>
        </is>
      </c>
      <c r="M3076" s="23" t="n">
        <v>4237.29</v>
      </c>
    </row>
    <row r="3077">
      <c r="A3077" s="19" t="inlineStr">
        <is>
          <t>FY27</t>
        </is>
      </c>
      <c r="B3077" s="19" t="inlineStr">
        <is>
          <t>Jul</t>
        </is>
      </c>
      <c r="C3077" s="19" t="inlineStr">
        <is>
          <t>TN</t>
        </is>
      </c>
      <c r="D3077" s="20" t="inlineStr">
        <is>
          <t>TN10X8334</t>
        </is>
      </c>
      <c r="E3077" s="20" t="inlineStr">
        <is>
          <t>MARUTI</t>
        </is>
      </c>
      <c r="F3077" s="20" t="inlineStr">
        <is>
          <t>Zen</t>
        </is>
      </c>
      <c r="G3077" s="21" t="n">
        <v>2009</v>
      </c>
      <c r="H3077" s="22" t="n">
        <v>79002</v>
      </c>
      <c r="I3077" s="22" t="n">
        <v>89000</v>
      </c>
      <c r="J3077" s="20" t="inlineStr">
        <is>
          <t>PRODUCTIVITY ELEMENTS PRIVATE LIMITED</t>
        </is>
      </c>
      <c r="K3077" s="20" t="inlineStr">
        <is>
          <t>Non-Captive</t>
        </is>
      </c>
      <c r="L3077" s="20" t="inlineStr">
        <is>
          <t>Senthil Cars</t>
        </is>
      </c>
      <c r="M3077" s="23" t="n">
        <v>4237.29</v>
      </c>
    </row>
    <row r="3078">
      <c r="A3078" s="19" t="inlineStr">
        <is>
          <t>FY27</t>
        </is>
      </c>
      <c r="B3078" s="19" t="inlineStr">
        <is>
          <t>Jul</t>
        </is>
      </c>
      <c r="C3078" s="19" t="inlineStr">
        <is>
          <t>TN</t>
        </is>
      </c>
      <c r="D3078" s="20" t="inlineStr">
        <is>
          <t>TN04AP5589</t>
        </is>
      </c>
      <c r="E3078" s="20" t="inlineStr">
        <is>
          <t>HONDA</t>
        </is>
      </c>
      <c r="F3078" s="20" t="inlineStr">
        <is>
          <t>City</t>
        </is>
      </c>
      <c r="G3078" s="21" t="n">
        <v>2015</v>
      </c>
      <c r="H3078" s="22" t="n">
        <v>96671</v>
      </c>
      <c r="I3078" s="22" t="n">
        <v>359000</v>
      </c>
      <c r="J3078" s="20" t="inlineStr">
        <is>
          <t>CASTLE TRADERS Maruti</t>
        </is>
      </c>
      <c r="K3078" s="20" t="inlineStr">
        <is>
          <t>Non-Captive</t>
        </is>
      </c>
      <c r="L3078" s="20" t="inlineStr">
        <is>
          <t>Cars 24</t>
        </is>
      </c>
      <c r="M3078" s="23" t="n">
        <v>4237.29</v>
      </c>
    </row>
    <row r="3079">
      <c r="A3079" s="19" t="inlineStr">
        <is>
          <t>FY27</t>
        </is>
      </c>
      <c r="B3079" s="19" t="inlineStr">
        <is>
          <t>Jul</t>
        </is>
      </c>
      <c r="C3079" s="19" t="inlineStr">
        <is>
          <t>TN</t>
        </is>
      </c>
      <c r="D3079" s="20" t="inlineStr">
        <is>
          <t>TN22DD9118</t>
        </is>
      </c>
      <c r="E3079" s="20" t="inlineStr">
        <is>
          <t>TATA</t>
        </is>
      </c>
      <c r="F3079" s="20" t="inlineStr">
        <is>
          <t>Indica</t>
        </is>
      </c>
      <c r="G3079" s="21" t="n">
        <v>2016</v>
      </c>
      <c r="H3079" s="22" t="n">
        <v>156721</v>
      </c>
      <c r="I3079" s="22" t="n">
        <v>95000</v>
      </c>
      <c r="J3079" s="20" t="inlineStr">
        <is>
          <t>PRODUCTIVITY ELEMENTS PRIVATE LIMITED</t>
        </is>
      </c>
      <c r="K3079" s="20" t="inlineStr">
        <is>
          <t>Non-Captive</t>
        </is>
      </c>
      <c r="L3079" s="20" t="inlineStr">
        <is>
          <t>Senthil Cars</t>
        </is>
      </c>
      <c r="M3079" s="23" t="n">
        <v>4237.29</v>
      </c>
    </row>
    <row r="3080">
      <c r="A3080" s="19" t="inlineStr">
        <is>
          <t>FY27</t>
        </is>
      </c>
      <c r="B3080" s="19" t="inlineStr">
        <is>
          <t>Jul</t>
        </is>
      </c>
      <c r="C3080" s="19" t="inlineStr">
        <is>
          <t>TN</t>
        </is>
      </c>
      <c r="D3080" s="20" t="inlineStr">
        <is>
          <t>TN07BS1972</t>
        </is>
      </c>
      <c r="E3080" s="20" t="inlineStr">
        <is>
          <t>HYUNDAI</t>
        </is>
      </c>
      <c r="F3080" s="20" t="inlineStr">
        <is>
          <t>I20</t>
        </is>
      </c>
      <c r="G3080" s="21" t="n">
        <v>2012</v>
      </c>
      <c r="H3080" s="22" t="n">
        <v>131874</v>
      </c>
      <c r="I3080" s="22" t="n">
        <v>93000</v>
      </c>
      <c r="J3080" s="20" t="inlineStr">
        <is>
          <t>PRODUCTIVITY ELEMENTS PRIVATE LIMITED</t>
        </is>
      </c>
      <c r="K3080" s="20" t="inlineStr">
        <is>
          <t>Non-Captive</t>
        </is>
      </c>
      <c r="L3080" s="20" t="inlineStr">
        <is>
          <t>Senthil Cars</t>
        </is>
      </c>
      <c r="M3080" s="23" t="n">
        <v>4237.29</v>
      </c>
    </row>
    <row r="3081">
      <c r="A3081" s="19" t="inlineStr">
        <is>
          <t>FY27</t>
        </is>
      </c>
      <c r="B3081" s="19" t="inlineStr">
        <is>
          <t>Jul</t>
        </is>
      </c>
      <c r="C3081" s="19" t="inlineStr">
        <is>
          <t>TN</t>
        </is>
      </c>
      <c r="D3081" s="20" t="inlineStr">
        <is>
          <t>TN03P3821</t>
        </is>
      </c>
      <c r="E3081" s="20" t="inlineStr">
        <is>
          <t>VOLKSWAGEN</t>
        </is>
      </c>
      <c r="F3081" s="20" t="inlineStr">
        <is>
          <t>Vento</t>
        </is>
      </c>
      <c r="G3081" s="21" t="n">
        <v>2014</v>
      </c>
      <c r="H3081" s="22" t="n">
        <v>104089</v>
      </c>
      <c r="I3081" s="22" t="n">
        <v>97000</v>
      </c>
      <c r="J3081" s="20" t="inlineStr">
        <is>
          <t>AUTOMOTIVE MANUFACTURES PRIVATE LIMITED</t>
        </is>
      </c>
      <c r="K3081" s="20" t="inlineStr">
        <is>
          <t>Non-Captive</t>
        </is>
      </c>
      <c r="L3081" s="20" t="inlineStr">
        <is>
          <t>Vellore Vathiyar</t>
        </is>
      </c>
      <c r="M3081" s="23" t="n">
        <v>4237.29</v>
      </c>
    </row>
    <row r="3082">
      <c r="A3082" s="19" t="inlineStr">
        <is>
          <t>FY27</t>
        </is>
      </c>
      <c r="B3082" s="19" t="inlineStr">
        <is>
          <t>Jul</t>
        </is>
      </c>
      <c r="C3082" s="19" t="inlineStr">
        <is>
          <t>TN</t>
        </is>
      </c>
      <c r="D3082" s="20" t="inlineStr">
        <is>
          <t>TN38CD4686</t>
        </is>
      </c>
      <c r="E3082" s="20" t="inlineStr">
        <is>
          <t>HONDA</t>
        </is>
      </c>
      <c r="F3082" s="20" t="inlineStr">
        <is>
          <t>Brio</t>
        </is>
      </c>
      <c r="G3082" s="21" t="n">
        <v>2015</v>
      </c>
      <c r="H3082" s="22" t="n">
        <v>23467</v>
      </c>
      <c r="I3082" s="22" t="n">
        <v>400000</v>
      </c>
      <c r="J3082" s="20" t="inlineStr">
        <is>
          <t>EXCHANGE ROTN</t>
        </is>
      </c>
      <c r="K3082" s="20" t="inlineStr">
        <is>
          <t>Captive</t>
        </is>
      </c>
      <c r="L3082" s="20" t="inlineStr">
        <is>
          <t>YUGA DHEERAN CARS</t>
        </is>
      </c>
      <c r="M3082" s="23" t="n">
        <v>8474.58</v>
      </c>
    </row>
    <row r="3083">
      <c r="A3083" s="19" t="inlineStr">
        <is>
          <t>FY27</t>
        </is>
      </c>
      <c r="B3083" s="19" t="inlineStr">
        <is>
          <t>Jul</t>
        </is>
      </c>
      <c r="C3083" s="19" t="inlineStr">
        <is>
          <t>TN</t>
        </is>
      </c>
      <c r="D3083" s="20" t="inlineStr">
        <is>
          <t>TN11AM3939</t>
        </is>
      </c>
      <c r="E3083" s="20" t="inlineStr">
        <is>
          <t>HYUNDAI</t>
        </is>
      </c>
      <c r="F3083" s="20" t="inlineStr">
        <is>
          <t>Creta</t>
        </is>
      </c>
      <c r="G3083" s="21" t="n">
        <v>2019</v>
      </c>
      <c r="H3083" s="22" t="n">
        <v>136829</v>
      </c>
      <c r="I3083" s="22" t="n">
        <v>93000</v>
      </c>
      <c r="J3083" s="20" t="inlineStr">
        <is>
          <t>AUTOMOTIVE MANUFACTURES PRIVATE LIMITED</t>
        </is>
      </c>
      <c r="K3083" s="20" t="inlineStr">
        <is>
          <t>Non-Captive</t>
        </is>
      </c>
      <c r="L3083" s="20" t="inlineStr">
        <is>
          <t>Vellore Vathiyar</t>
        </is>
      </c>
      <c r="M3083" s="23" t="n">
        <v>4237.29</v>
      </c>
    </row>
    <row r="3084">
      <c r="A3084" s="19" t="inlineStr">
        <is>
          <t>FY27</t>
        </is>
      </c>
      <c r="B3084" s="19" t="inlineStr">
        <is>
          <t>Jul</t>
        </is>
      </c>
      <c r="C3084" s="19" t="inlineStr">
        <is>
          <t>TN</t>
        </is>
      </c>
      <c r="D3084" s="20" t="inlineStr">
        <is>
          <t>TN66Y2263</t>
        </is>
      </c>
      <c r="E3084" s="20" t="inlineStr">
        <is>
          <t>RENAULT</t>
        </is>
      </c>
      <c r="F3084" s="20" t="inlineStr">
        <is>
          <t>Kwid</t>
        </is>
      </c>
      <c r="G3084" s="21" t="n">
        <v>2018</v>
      </c>
      <c r="H3084" s="22" t="n">
        <v>99999</v>
      </c>
      <c r="I3084" s="22" t="n">
        <v>97000</v>
      </c>
      <c r="J3084" s="20" t="inlineStr">
        <is>
          <t>Cresco cars</t>
        </is>
      </c>
      <c r="K3084" s="20" t="inlineStr">
        <is>
          <t>Non-Captive</t>
        </is>
      </c>
      <c r="L3084" s="20" t="inlineStr">
        <is>
          <t>PINE AUTOS</t>
        </is>
      </c>
      <c r="M3084" s="23" t="n">
        <v>4237.29</v>
      </c>
    </row>
    <row r="3085">
      <c r="A3085" s="19" t="inlineStr">
        <is>
          <t>FY27</t>
        </is>
      </c>
      <c r="B3085" s="19" t="inlineStr">
        <is>
          <t>Jul</t>
        </is>
      </c>
      <c r="C3085" s="19" t="inlineStr">
        <is>
          <t>TN</t>
        </is>
      </c>
      <c r="D3085" s="20" t="inlineStr">
        <is>
          <t>TN13C2846</t>
        </is>
      </c>
      <c r="E3085" s="20" t="inlineStr">
        <is>
          <t>MARUTI</t>
        </is>
      </c>
      <c r="F3085" s="20" t="inlineStr">
        <is>
          <t>Alto 800</t>
        </is>
      </c>
      <c r="G3085" s="21" t="n">
        <v>2015</v>
      </c>
      <c r="H3085" s="22" t="n">
        <v>110620</v>
      </c>
      <c r="I3085" s="22" t="n">
        <v>97000</v>
      </c>
      <c r="J3085" s="20" t="inlineStr">
        <is>
          <t>Cresco cars</t>
        </is>
      </c>
      <c r="K3085" s="20" t="inlineStr">
        <is>
          <t>Non-Captive</t>
        </is>
      </c>
      <c r="L3085" s="20" t="inlineStr">
        <is>
          <t>NIRMAL CARS</t>
        </is>
      </c>
      <c r="M3085" s="23" t="n">
        <v>4237.29</v>
      </c>
    </row>
    <row r="3086">
      <c r="A3086" s="19" t="inlineStr">
        <is>
          <t>FY27</t>
        </is>
      </c>
      <c r="B3086" s="19" t="inlineStr">
        <is>
          <t>Jul</t>
        </is>
      </c>
      <c r="C3086" s="19" t="inlineStr">
        <is>
          <t>TN</t>
        </is>
      </c>
      <c r="D3086" s="20" t="inlineStr">
        <is>
          <t>TN11AW9496</t>
        </is>
      </c>
      <c r="E3086" s="20" t="inlineStr">
        <is>
          <t>TATA</t>
        </is>
      </c>
      <c r="F3086" s="20" t="inlineStr">
        <is>
          <t>Altroz</t>
        </is>
      </c>
      <c r="G3086" s="21" t="n">
        <v>2021</v>
      </c>
      <c r="H3086" s="22" t="n">
        <v>82393</v>
      </c>
      <c r="I3086" s="22" t="n">
        <v>98000</v>
      </c>
      <c r="J3086" s="20" t="inlineStr">
        <is>
          <t>Cresco cars</t>
        </is>
      </c>
      <c r="K3086" s="20" t="inlineStr">
        <is>
          <t>Non-Captive</t>
        </is>
      </c>
      <c r="L3086" s="20" t="inlineStr">
        <is>
          <t>Vellore Vathiyar</t>
        </is>
      </c>
      <c r="M3086" s="23" t="n">
        <v>4237.29</v>
      </c>
    </row>
    <row r="3087">
      <c r="A3087" s="19" t="inlineStr">
        <is>
          <t>FY27</t>
        </is>
      </c>
      <c r="B3087" s="19" t="inlineStr">
        <is>
          <t>Jul</t>
        </is>
      </c>
      <c r="C3087" s="19" t="inlineStr">
        <is>
          <t>TN</t>
        </is>
      </c>
      <c r="D3087" s="20" t="inlineStr">
        <is>
          <t>TN07CE9963</t>
        </is>
      </c>
      <c r="E3087" s="20" t="inlineStr">
        <is>
          <t>MARUTI</t>
        </is>
      </c>
      <c r="F3087" s="20" t="inlineStr">
        <is>
          <t>Scross</t>
        </is>
      </c>
      <c r="G3087" s="21" t="n">
        <v>2016</v>
      </c>
      <c r="H3087" s="22" t="n">
        <v>129865</v>
      </c>
      <c r="I3087" s="22" t="n">
        <v>590000</v>
      </c>
      <c r="J3087" s="20" t="inlineStr">
        <is>
          <t>Cresco cars</t>
        </is>
      </c>
      <c r="K3087" s="20" t="inlineStr">
        <is>
          <t>Non-Captive</t>
        </is>
      </c>
      <c r="L3087" s="20" t="inlineStr">
        <is>
          <t>NIRMAL CARS</t>
        </is>
      </c>
      <c r="M3087" s="23" t="n">
        <v>8474.58</v>
      </c>
    </row>
    <row r="3088">
      <c r="A3088" s="19" t="inlineStr">
        <is>
          <t>FY27</t>
        </is>
      </c>
      <c r="B3088" s="19" t="inlineStr">
        <is>
          <t>Jul</t>
        </is>
      </c>
      <c r="C3088" s="19" t="inlineStr">
        <is>
          <t>TN</t>
        </is>
      </c>
      <c r="D3088" s="20" t="inlineStr">
        <is>
          <t>TN02BW5708</t>
        </is>
      </c>
      <c r="E3088" s="20" t="inlineStr">
        <is>
          <t>MARUTI</t>
        </is>
      </c>
      <c r="F3088" s="20" t="inlineStr">
        <is>
          <t>Brezza</t>
        </is>
      </c>
      <c r="G3088" s="21" t="n">
        <v>2022</v>
      </c>
      <c r="H3088" s="22" t="n">
        <v>70760</v>
      </c>
      <c r="I3088" s="22" t="n">
        <v>93000</v>
      </c>
      <c r="J3088" s="20" t="inlineStr">
        <is>
          <t>Cresco cars</t>
        </is>
      </c>
      <c r="K3088" s="20" t="inlineStr">
        <is>
          <t>Non-Captive</t>
        </is>
      </c>
      <c r="L3088" s="20" t="inlineStr">
        <is>
          <t>Maruthi Industries</t>
        </is>
      </c>
      <c r="M3088" s="23" t="n">
        <v>4237.29</v>
      </c>
    </row>
    <row r="3089">
      <c r="A3089" s="19" t="inlineStr">
        <is>
          <t>FY27</t>
        </is>
      </c>
      <c r="B3089" s="19" t="inlineStr">
        <is>
          <t>Jul</t>
        </is>
      </c>
      <c r="C3089" s="19" t="inlineStr">
        <is>
          <t>TN</t>
        </is>
      </c>
      <c r="D3089" s="20" t="inlineStr">
        <is>
          <t>TN12P5269</t>
        </is>
      </c>
      <c r="E3089" s="20" t="inlineStr">
        <is>
          <t>MARUTI</t>
        </is>
      </c>
      <c r="F3089" s="20" t="inlineStr">
        <is>
          <t>Celerio</t>
        </is>
      </c>
      <c r="G3089" s="21" t="n">
        <v>2016</v>
      </c>
      <c r="H3089" s="22" t="n">
        <v>31483</v>
      </c>
      <c r="I3089" s="22" t="n">
        <v>292000</v>
      </c>
      <c r="J3089" s="20" t="inlineStr">
        <is>
          <t>CASTLE TRADERS Maruti</t>
        </is>
      </c>
      <c r="K3089" s="20" t="inlineStr">
        <is>
          <t>Non-Captive</t>
        </is>
      </c>
      <c r="L3089" s="20" t="inlineStr">
        <is>
          <t>AAA CARS</t>
        </is>
      </c>
      <c r="M3089" s="23" t="n">
        <v>6779.66</v>
      </c>
    </row>
    <row r="3090">
      <c r="A3090" s="19" t="inlineStr">
        <is>
          <t>FY27</t>
        </is>
      </c>
      <c r="B3090" s="19" t="inlineStr">
        <is>
          <t>Jul</t>
        </is>
      </c>
      <c r="C3090" s="19" t="inlineStr">
        <is>
          <t>TN</t>
        </is>
      </c>
      <c r="D3090" s="20" t="inlineStr">
        <is>
          <t>TN59CH9228</t>
        </is>
      </c>
      <c r="E3090" s="20" t="inlineStr">
        <is>
          <t>MARUTI</t>
        </is>
      </c>
      <c r="F3090" s="20" t="inlineStr">
        <is>
          <t>Baleno</t>
        </is>
      </c>
      <c r="G3090" s="21" t="n">
        <v>2020</v>
      </c>
      <c r="H3090" s="22" t="n">
        <v>47180</v>
      </c>
      <c r="I3090" s="22" t="n">
        <v>480000</v>
      </c>
      <c r="J3090" s="20" t="inlineStr">
        <is>
          <t>CASTLE TRADERS Maruti</t>
        </is>
      </c>
      <c r="K3090" s="20" t="inlineStr">
        <is>
          <t>Non-Captive</t>
        </is>
      </c>
      <c r="L3090" s="20" t="inlineStr">
        <is>
          <t>PINE AUTOS</t>
        </is>
      </c>
      <c r="M3090" s="23" t="n">
        <v>6355.93</v>
      </c>
    </row>
    <row r="3091">
      <c r="A3091" s="19" t="inlineStr">
        <is>
          <t>FY27</t>
        </is>
      </c>
      <c r="B3091" s="19" t="inlineStr">
        <is>
          <t>Jul</t>
        </is>
      </c>
      <c r="C3091" s="19" t="inlineStr">
        <is>
          <t>TN</t>
        </is>
      </c>
      <c r="D3091" s="20" t="inlineStr">
        <is>
          <t>TN10BS0724</t>
        </is>
      </c>
      <c r="E3091" s="20" t="inlineStr">
        <is>
          <t>MARUTI</t>
        </is>
      </c>
      <c r="F3091" s="20" t="inlineStr">
        <is>
          <t>Baleno</t>
        </is>
      </c>
      <c r="G3091" s="21" t="n">
        <v>2022</v>
      </c>
      <c r="H3091" s="22" t="n">
        <v>33893</v>
      </c>
      <c r="I3091" s="22" t="n">
        <v>500000</v>
      </c>
      <c r="J3091" s="20" t="inlineStr">
        <is>
          <t>CASTLE TRADERS Maruti</t>
        </is>
      </c>
      <c r="K3091" s="20" t="inlineStr">
        <is>
          <t>Non-Captive</t>
        </is>
      </c>
      <c r="L3091" s="20" t="inlineStr">
        <is>
          <t>GRID 33</t>
        </is>
      </c>
      <c r="M3091" s="23" t="n">
        <v>8474.58</v>
      </c>
    </row>
    <row r="3092">
      <c r="A3092" s="19" t="inlineStr">
        <is>
          <t>FY27</t>
        </is>
      </c>
      <c r="B3092" s="19" t="inlineStr">
        <is>
          <t>Jul</t>
        </is>
      </c>
      <c r="C3092" s="19" t="inlineStr">
        <is>
          <t>TN</t>
        </is>
      </c>
      <c r="D3092" s="20" t="inlineStr">
        <is>
          <t>TN07BE2864</t>
        </is>
      </c>
      <c r="E3092" s="20" t="inlineStr">
        <is>
          <t>HYUNDAI</t>
        </is>
      </c>
      <c r="F3092" s="20" t="inlineStr">
        <is>
          <t>I10</t>
        </is>
      </c>
      <c r="G3092" s="21" t="n">
        <v>2009</v>
      </c>
      <c r="H3092" s="22" t="n">
        <v>277268</v>
      </c>
      <c r="I3092" s="22" t="n">
        <v>90000</v>
      </c>
      <c r="J3092" s="20" t="inlineStr">
        <is>
          <t>CASTLE TRADERS Maruti</t>
        </is>
      </c>
      <c r="K3092" s="20" t="inlineStr">
        <is>
          <t>Non-Captive</t>
        </is>
      </c>
      <c r="L3092" s="20" t="inlineStr">
        <is>
          <t>AAA CARS</t>
        </is>
      </c>
      <c r="M3092" s="23" t="n">
        <v>4237.29</v>
      </c>
    </row>
    <row r="3093">
      <c r="A3093" s="19" t="inlineStr">
        <is>
          <t>FY27</t>
        </is>
      </c>
      <c r="B3093" s="19" t="inlineStr">
        <is>
          <t>Jul</t>
        </is>
      </c>
      <c r="C3093" s="19" t="inlineStr">
        <is>
          <t>TN</t>
        </is>
      </c>
      <c r="D3093" s="20" t="inlineStr">
        <is>
          <t>TN18X5152</t>
        </is>
      </c>
      <c r="E3093" s="20" t="inlineStr">
        <is>
          <t>NISSAN</t>
        </is>
      </c>
      <c r="F3093" s="20" t="inlineStr">
        <is>
          <t>Micra</t>
        </is>
      </c>
      <c r="G3093" s="21" t="n">
        <v>2012</v>
      </c>
      <c r="H3093" s="22" t="n">
        <v>106434</v>
      </c>
      <c r="I3093" s="22" t="n">
        <v>130000</v>
      </c>
      <c r="J3093" s="20" t="inlineStr">
        <is>
          <t>EXCHANGE CHENNAI</t>
        </is>
      </c>
      <c r="K3093" s="20" t="inlineStr">
        <is>
          <t>Captive</t>
        </is>
      </c>
      <c r="L3093" s="20" t="inlineStr">
        <is>
          <t>AAA CARS</t>
        </is>
      </c>
      <c r="M3093" s="23" t="n">
        <v>8474.58</v>
      </c>
    </row>
    <row r="3094">
      <c r="A3094" s="19" t="inlineStr">
        <is>
          <t>FY27</t>
        </is>
      </c>
      <c r="B3094" s="19" t="inlineStr">
        <is>
          <t>Jul</t>
        </is>
      </c>
      <c r="C3094" s="19" t="inlineStr">
        <is>
          <t>TN</t>
        </is>
      </c>
      <c r="D3094" s="20" t="inlineStr">
        <is>
          <t>TN14J0043</t>
        </is>
      </c>
      <c r="E3094" s="20" t="inlineStr">
        <is>
          <t>NISSAN</t>
        </is>
      </c>
      <c r="F3094" s="20" t="inlineStr">
        <is>
          <t>Micra</t>
        </is>
      </c>
      <c r="G3094" s="21" t="n">
        <v>2016</v>
      </c>
      <c r="H3094" s="22" t="n">
        <v>67924</v>
      </c>
      <c r="I3094" s="22" t="n">
        <v>190000</v>
      </c>
      <c r="J3094" s="20" t="inlineStr">
        <is>
          <t>EXCHANGE CHENNAI</t>
        </is>
      </c>
      <c r="K3094" s="20" t="inlineStr">
        <is>
          <t>Captive</t>
        </is>
      </c>
      <c r="L3094" s="20" t="inlineStr">
        <is>
          <t>SANTHOSH CARS</t>
        </is>
      </c>
      <c r="M3094" s="23" t="n">
        <v>8474.58</v>
      </c>
    </row>
    <row r="3095">
      <c r="A3095" s="19" t="inlineStr">
        <is>
          <t>FY27</t>
        </is>
      </c>
      <c r="B3095" s="19" t="inlineStr">
        <is>
          <t>Jul</t>
        </is>
      </c>
      <c r="C3095" s="19" t="inlineStr">
        <is>
          <t>TN</t>
        </is>
      </c>
      <c r="D3095" s="20" t="inlineStr">
        <is>
          <t>TN07CE0958</t>
        </is>
      </c>
      <c r="E3095" s="20" t="inlineStr">
        <is>
          <t>HONDA</t>
        </is>
      </c>
      <c r="F3095" s="20" t="inlineStr">
        <is>
          <t>Amaze</t>
        </is>
      </c>
      <c r="G3095" s="21" t="n">
        <v>2015</v>
      </c>
      <c r="H3095" s="22" t="n">
        <v>70540</v>
      </c>
      <c r="I3095" s="22" t="n">
        <v>300000</v>
      </c>
      <c r="J3095" s="20" t="inlineStr">
        <is>
          <t>EXCHANGE CHENNAI</t>
        </is>
      </c>
      <c r="K3095" s="20" t="inlineStr">
        <is>
          <t>Captive</t>
        </is>
      </c>
      <c r="L3095" s="20" t="inlineStr">
        <is>
          <t>SANTHOSH CARS</t>
        </is>
      </c>
      <c r="M3095" s="23" t="n">
        <v>8474.58</v>
      </c>
    </row>
    <row r="3096">
      <c r="A3096" s="19" t="inlineStr">
        <is>
          <t>FY27</t>
        </is>
      </c>
      <c r="B3096" s="19" t="inlineStr">
        <is>
          <t>Jul</t>
        </is>
      </c>
      <c r="C3096" s="19" t="inlineStr">
        <is>
          <t>TN</t>
        </is>
      </c>
      <c r="D3096" s="20" t="inlineStr">
        <is>
          <t>TN10BQ3828</t>
        </is>
      </c>
      <c r="E3096" s="20" t="inlineStr">
        <is>
          <t>HYUNDAI</t>
        </is>
      </c>
      <c r="F3096" s="20" t="inlineStr">
        <is>
          <t>Grand I10</t>
        </is>
      </c>
      <c r="G3096" s="21" t="n">
        <v>2022</v>
      </c>
      <c r="H3096" s="22" t="n">
        <v>99703</v>
      </c>
      <c r="I3096" s="22" t="n">
        <v>430000</v>
      </c>
      <c r="J3096" s="20" t="inlineStr">
        <is>
          <t>EXCHANGE CHENNAI</t>
        </is>
      </c>
      <c r="K3096" s="20" t="inlineStr">
        <is>
          <t>Captive</t>
        </is>
      </c>
      <c r="L3096" s="20" t="inlineStr">
        <is>
          <t>Thiya Cars</t>
        </is>
      </c>
      <c r="M3096" s="23" t="n">
        <v>8474.58</v>
      </c>
    </row>
    <row r="3097">
      <c r="A3097" s="19" t="inlineStr">
        <is>
          <t>FY27</t>
        </is>
      </c>
      <c r="B3097" s="19" t="inlineStr">
        <is>
          <t>Jul</t>
        </is>
      </c>
      <c r="C3097" s="19" t="inlineStr">
        <is>
          <t>TN</t>
        </is>
      </c>
      <c r="D3097" s="20" t="inlineStr">
        <is>
          <t>TN10AT9471</t>
        </is>
      </c>
      <c r="E3097" s="20" t="inlineStr">
        <is>
          <t>HONDA</t>
        </is>
      </c>
      <c r="F3097" s="20" t="inlineStr">
        <is>
          <t>City</t>
        </is>
      </c>
      <c r="G3097" s="21" t="n">
        <v>2015</v>
      </c>
      <c r="H3097" s="22" t="n">
        <v>110651</v>
      </c>
      <c r="I3097" s="22" t="n">
        <v>310000</v>
      </c>
      <c r="J3097" s="20" t="inlineStr">
        <is>
          <t>EXCHANGE CHENNAI</t>
        </is>
      </c>
      <c r="K3097" s="20" t="inlineStr">
        <is>
          <t>Captive</t>
        </is>
      </c>
      <c r="L3097" s="20" t="inlineStr">
        <is>
          <t>SANTHOSH CARS</t>
        </is>
      </c>
      <c r="M3097" s="23" t="n">
        <v>8474.58</v>
      </c>
    </row>
    <row r="3098">
      <c r="A3098" s="19" t="inlineStr">
        <is>
          <t>FY27</t>
        </is>
      </c>
      <c r="B3098" s="19" t="inlineStr">
        <is>
          <t>Jul</t>
        </is>
      </c>
      <c r="C3098" s="19" t="inlineStr">
        <is>
          <t>TN</t>
        </is>
      </c>
      <c r="D3098" s="20" t="inlineStr">
        <is>
          <t>TN56H0700</t>
        </is>
      </c>
      <c r="E3098" s="20" t="inlineStr">
        <is>
          <t>SKODA</t>
        </is>
      </c>
      <c r="F3098" s="20" t="inlineStr">
        <is>
          <t>Rapid</t>
        </is>
      </c>
      <c r="G3098" s="21" t="n">
        <v>2015</v>
      </c>
      <c r="H3098" s="22" t="n">
        <v>204666</v>
      </c>
      <c r="I3098" s="22" t="n">
        <v>285000</v>
      </c>
      <c r="J3098" s="20" t="inlineStr">
        <is>
          <t>EXCHANGE ROTN</t>
        </is>
      </c>
      <c r="K3098" s="20" t="inlineStr">
        <is>
          <t>Captive</t>
        </is>
      </c>
      <c r="L3098" s="20" t="inlineStr">
        <is>
          <t>VIJAY CARS ERODE</t>
        </is>
      </c>
      <c r="M3098" s="23" t="n">
        <v>10169.49</v>
      </c>
    </row>
    <row r="3099">
      <c r="A3099" s="19" t="inlineStr">
        <is>
          <t>FY27</t>
        </is>
      </c>
      <c r="B3099" s="19" t="inlineStr">
        <is>
          <t>Jul</t>
        </is>
      </c>
      <c r="C3099" s="19" t="inlineStr">
        <is>
          <t>TN</t>
        </is>
      </c>
      <c r="D3099" s="20" t="inlineStr">
        <is>
          <t>KL63G3184</t>
        </is>
      </c>
      <c r="E3099" s="20" t="inlineStr">
        <is>
          <t>HYUNDAI</t>
        </is>
      </c>
      <c r="F3099" s="20" t="inlineStr">
        <is>
          <t>Grand I10</t>
        </is>
      </c>
      <c r="G3099" s="21" t="n">
        <v>2019</v>
      </c>
      <c r="H3099" s="22" t="n">
        <v>52766</v>
      </c>
      <c r="I3099" s="22" t="n">
        <v>200000</v>
      </c>
      <c r="J3099" s="20" t="inlineStr">
        <is>
          <t>EXCHANGE ROTN</t>
        </is>
      </c>
      <c r="K3099" s="20" t="inlineStr">
        <is>
          <t>Captive</t>
        </is>
      </c>
      <c r="L3099" s="20" t="inlineStr">
        <is>
          <t>LIAKATHCARS</t>
        </is>
      </c>
      <c r="M3099" s="23" t="n">
        <v>12711.86</v>
      </c>
    </row>
    <row r="3100">
      <c r="A3100" s="19" t="inlineStr">
        <is>
          <t>FY27</t>
        </is>
      </c>
      <c r="B3100" s="19" t="inlineStr">
        <is>
          <t>Jul</t>
        </is>
      </c>
      <c r="C3100" s="19" t="inlineStr">
        <is>
          <t>TN</t>
        </is>
      </c>
      <c r="D3100" s="20" t="inlineStr">
        <is>
          <t>TN30BR7678</t>
        </is>
      </c>
      <c r="E3100" s="20" t="inlineStr">
        <is>
          <t>MARUTI</t>
        </is>
      </c>
      <c r="F3100" s="20" t="inlineStr">
        <is>
          <t>Swift</t>
        </is>
      </c>
      <c r="G3100" s="21" t="n">
        <v>2021</v>
      </c>
      <c r="H3100" s="22" t="n">
        <v>81302</v>
      </c>
      <c r="I3100" s="22" t="n">
        <v>475000</v>
      </c>
      <c r="J3100" s="20" t="inlineStr">
        <is>
          <t>EXCHANGE ROTN</t>
        </is>
      </c>
      <c r="K3100" s="20" t="inlineStr">
        <is>
          <t>Captive</t>
        </is>
      </c>
      <c r="L3100" s="20" t="inlineStr">
        <is>
          <t>STALIN CARS</t>
        </is>
      </c>
      <c r="M3100" s="23" t="n">
        <v>12711.86</v>
      </c>
    </row>
    <row r="3101">
      <c r="A3101" s="19" t="inlineStr">
        <is>
          <t>FY27</t>
        </is>
      </c>
      <c r="B3101" s="19" t="inlineStr">
        <is>
          <t>Jul</t>
        </is>
      </c>
      <c r="C3101" s="19" t="inlineStr">
        <is>
          <t>TN</t>
        </is>
      </c>
      <c r="D3101" s="20" t="inlineStr">
        <is>
          <t>TN59AW8885</t>
        </is>
      </c>
      <c r="E3101" s="20" t="inlineStr">
        <is>
          <t>HONDA</t>
        </is>
      </c>
      <c r="F3101" s="20" t="inlineStr">
        <is>
          <t>Brio</t>
        </is>
      </c>
      <c r="G3101" s="21" t="n">
        <v>2013</v>
      </c>
      <c r="H3101" s="22" t="n">
        <v>89837</v>
      </c>
      <c r="I3101" s="22" t="n">
        <v>194000</v>
      </c>
      <c r="J3101" s="20" t="inlineStr">
        <is>
          <t>EXCHANGE ROTN</t>
        </is>
      </c>
      <c r="K3101" s="20" t="inlineStr">
        <is>
          <t>Captive</t>
        </is>
      </c>
      <c r="L3101" s="20" t="inlineStr">
        <is>
          <t>PAUL CARS</t>
        </is>
      </c>
      <c r="M3101" s="23" t="n">
        <v>13559.32</v>
      </c>
    </row>
    <row r="3102">
      <c r="A3102" s="19" t="inlineStr">
        <is>
          <t>FY27</t>
        </is>
      </c>
      <c r="B3102" s="19" t="inlineStr">
        <is>
          <t>Jul</t>
        </is>
      </c>
      <c r="C3102" s="19" t="inlineStr">
        <is>
          <t>TN</t>
        </is>
      </c>
      <c r="D3102" s="20" t="inlineStr">
        <is>
          <t>TN38BK8655</t>
        </is>
      </c>
      <c r="E3102" s="20" t="inlineStr">
        <is>
          <t>VOLKSWAGEN</t>
        </is>
      </c>
      <c r="F3102" s="20" t="inlineStr">
        <is>
          <t>Vento</t>
        </is>
      </c>
      <c r="G3102" s="21" t="n">
        <v>2011</v>
      </c>
      <c r="H3102" s="22" t="n">
        <v>114386</v>
      </c>
      <c r="I3102" s="22" t="n">
        <v>192000</v>
      </c>
      <c r="J3102" s="20" t="inlineStr">
        <is>
          <t>EXCHANGE ROTN</t>
        </is>
      </c>
      <c r="K3102" s="20" t="inlineStr">
        <is>
          <t>Captive</t>
        </is>
      </c>
      <c r="L3102" s="20" t="inlineStr">
        <is>
          <t>SRI VIGNESH PRE OWNED CARS</t>
        </is>
      </c>
      <c r="M3102" s="23" t="n">
        <v>6779.66</v>
      </c>
    </row>
    <row r="3103">
      <c r="A3103" s="19" t="inlineStr">
        <is>
          <t>FY27</t>
        </is>
      </c>
      <c r="B3103" s="19" t="inlineStr">
        <is>
          <t>Jul</t>
        </is>
      </c>
      <c r="C3103" s="19" t="inlineStr">
        <is>
          <t>TN</t>
        </is>
      </c>
      <c r="D3103" s="20" t="inlineStr">
        <is>
          <t>TN37CQ0679</t>
        </is>
      </c>
      <c r="E3103" s="20" t="inlineStr">
        <is>
          <t>HYUNDAI</t>
        </is>
      </c>
      <c r="F3103" s="20" t="inlineStr">
        <is>
          <t>Eon</t>
        </is>
      </c>
      <c r="G3103" s="21" t="n">
        <v>2016</v>
      </c>
      <c r="H3103" s="22" t="n">
        <v>73283</v>
      </c>
      <c r="I3103" s="22" t="n">
        <v>125000</v>
      </c>
      <c r="J3103" s="20" t="inlineStr">
        <is>
          <t>EXCHANGE ROTN</t>
        </is>
      </c>
      <c r="K3103" s="20" t="inlineStr">
        <is>
          <t>Captive</t>
        </is>
      </c>
      <c r="L3103" s="20" t="inlineStr">
        <is>
          <t>SRI VIGNESH PRE OWNED CARS</t>
        </is>
      </c>
      <c r="M3103" s="23" t="n">
        <v>8474.58</v>
      </c>
    </row>
    <row r="3104">
      <c r="A3104" s="19" t="inlineStr">
        <is>
          <t>FY27</t>
        </is>
      </c>
      <c r="B3104" s="19" t="inlineStr">
        <is>
          <t>Jul</t>
        </is>
      </c>
      <c r="C3104" s="19" t="inlineStr">
        <is>
          <t>TN</t>
        </is>
      </c>
      <c r="D3104" s="20" t="inlineStr">
        <is>
          <t>TN59AA9624</t>
        </is>
      </c>
      <c r="E3104" s="20" t="inlineStr">
        <is>
          <t>TATA</t>
        </is>
      </c>
      <c r="F3104" s="20" t="inlineStr">
        <is>
          <t>Indica</t>
        </is>
      </c>
      <c r="G3104" s="21" t="n">
        <v>2005</v>
      </c>
      <c r="H3104" s="22" t="n">
        <v>87100</v>
      </c>
      <c r="I3104" s="22" t="n">
        <v>45000</v>
      </c>
      <c r="J3104" s="20" t="inlineStr">
        <is>
          <t>EXCHANGE ROTN</t>
        </is>
      </c>
      <c r="K3104" s="20" t="inlineStr">
        <is>
          <t>Captive</t>
        </is>
      </c>
      <c r="L3104" s="20" t="inlineStr">
        <is>
          <t>SAI CARS</t>
        </is>
      </c>
      <c r="M3104" s="23" t="n">
        <v>4237.29</v>
      </c>
    </row>
    <row r="3105">
      <c r="A3105" s="19" t="inlineStr">
        <is>
          <t>FY27</t>
        </is>
      </c>
      <c r="B3105" s="19" t="inlineStr">
        <is>
          <t>Jul</t>
        </is>
      </c>
      <c r="C3105" s="19" t="inlineStr">
        <is>
          <t>TN</t>
        </is>
      </c>
      <c r="D3105" s="20" t="inlineStr">
        <is>
          <t>TN58L4493</t>
        </is>
      </c>
      <c r="E3105" s="20" t="inlineStr">
        <is>
          <t>HYUNDAI</t>
        </is>
      </c>
      <c r="F3105" s="20" t="inlineStr">
        <is>
          <t>Santro</t>
        </is>
      </c>
      <c r="G3105" s="21" t="n">
        <v>2005</v>
      </c>
      <c r="H3105" s="22" t="n">
        <v>194200</v>
      </c>
      <c r="I3105" s="22" t="n">
        <v>55000</v>
      </c>
      <c r="J3105" s="20" t="inlineStr">
        <is>
          <t>EXCHANGE ROTN</t>
        </is>
      </c>
      <c r="K3105" s="20" t="inlineStr">
        <is>
          <t>Captive</t>
        </is>
      </c>
      <c r="L3105" s="20" t="inlineStr">
        <is>
          <t>SAI CARS</t>
        </is>
      </c>
      <c r="M3105" s="23" t="n">
        <v>4237.29</v>
      </c>
    </row>
    <row r="3106">
      <c r="A3106" s="19" t="inlineStr">
        <is>
          <t>FY27</t>
        </is>
      </c>
      <c r="B3106" s="19" t="inlineStr">
        <is>
          <t>Jul</t>
        </is>
      </c>
      <c r="C3106" s="19" t="inlineStr">
        <is>
          <t>TN</t>
        </is>
      </c>
      <c r="D3106" s="20" t="inlineStr">
        <is>
          <t>TN83X8543</t>
        </is>
      </c>
      <c r="E3106" s="20" t="inlineStr">
        <is>
          <t>MARUTI</t>
        </is>
      </c>
      <c r="F3106" s="20" t="inlineStr">
        <is>
          <t>Alto 800</t>
        </is>
      </c>
      <c r="G3106" s="21" t="n">
        <v>2015</v>
      </c>
      <c r="H3106" s="22" t="n">
        <v>77156</v>
      </c>
      <c r="I3106" s="22" t="n">
        <v>88000</v>
      </c>
      <c r="J3106" s="20" t="inlineStr">
        <is>
          <t>EXCHANGE ROTN</t>
        </is>
      </c>
      <c r="K3106" s="20" t="inlineStr">
        <is>
          <t>Captive</t>
        </is>
      </c>
      <c r="L3106" s="20" t="inlineStr">
        <is>
          <t>READY TO RIDE CARS</t>
        </is>
      </c>
      <c r="M3106" s="23" t="n">
        <v>4237.29</v>
      </c>
    </row>
    <row r="3107">
      <c r="A3107" s="19" t="inlineStr">
        <is>
          <t>FY27</t>
        </is>
      </c>
      <c r="B3107" s="19" t="inlineStr">
        <is>
          <t>Jul</t>
        </is>
      </c>
      <c r="C3107" s="19" t="inlineStr">
        <is>
          <t>TN</t>
        </is>
      </c>
      <c r="D3107" s="20" t="inlineStr">
        <is>
          <t>TN57AH5152</t>
        </is>
      </c>
      <c r="E3107" s="20" t="inlineStr">
        <is>
          <t>MARUTI</t>
        </is>
      </c>
      <c r="F3107" s="20" t="inlineStr">
        <is>
          <t>Alto 800</t>
        </is>
      </c>
      <c r="G3107" s="21" t="n">
        <v>2012</v>
      </c>
      <c r="H3107" s="22" t="n">
        <v>80178</v>
      </c>
      <c r="I3107" s="22" t="n">
        <v>91000</v>
      </c>
      <c r="J3107" s="20" t="inlineStr">
        <is>
          <t>EXCHANGE ROTN</t>
        </is>
      </c>
      <c r="K3107" s="20" t="inlineStr">
        <is>
          <t>Captive</t>
        </is>
      </c>
      <c r="L3107" s="20" t="inlineStr">
        <is>
          <t>READY TO RIDE CARS</t>
        </is>
      </c>
      <c r="M3107" s="23" t="n">
        <v>4237.29</v>
      </c>
    </row>
    <row r="3108">
      <c r="A3108" s="19" t="inlineStr">
        <is>
          <t>FY27</t>
        </is>
      </c>
      <c r="B3108" s="19" t="inlineStr">
        <is>
          <t>Jul</t>
        </is>
      </c>
      <c r="C3108" s="19" t="inlineStr">
        <is>
          <t>TN</t>
        </is>
      </c>
      <c r="D3108" s="20" t="inlineStr">
        <is>
          <t>TN02AF1414</t>
        </is>
      </c>
      <c r="E3108" s="20" t="inlineStr">
        <is>
          <t>MARUTI</t>
        </is>
      </c>
      <c r="F3108" s="20" t="inlineStr">
        <is>
          <t>Swift</t>
        </is>
      </c>
      <c r="G3108" s="21" t="n">
        <v>2008</v>
      </c>
      <c r="H3108" s="22" t="n">
        <v>148232</v>
      </c>
      <c r="I3108" s="22" t="n">
        <v>98000</v>
      </c>
      <c r="J3108" s="20" t="inlineStr">
        <is>
          <t>EXCHANGE ROTN</t>
        </is>
      </c>
      <c r="K3108" s="20" t="inlineStr">
        <is>
          <t>Captive</t>
        </is>
      </c>
      <c r="L3108" s="20" t="inlineStr">
        <is>
          <t>READY TO RIDE CARS</t>
        </is>
      </c>
      <c r="M3108" s="23" t="n">
        <v>4237.29</v>
      </c>
    </row>
    <row r="3109">
      <c r="A3109" s="19" t="inlineStr">
        <is>
          <t>FY27</t>
        </is>
      </c>
      <c r="B3109" s="19" t="inlineStr">
        <is>
          <t>Jul</t>
        </is>
      </c>
      <c r="C3109" s="19" t="inlineStr">
        <is>
          <t>TN</t>
        </is>
      </c>
      <c r="D3109" s="20" t="inlineStr">
        <is>
          <t>TN57AF1123</t>
        </is>
      </c>
      <c r="E3109" s="20" t="inlineStr">
        <is>
          <t>MARUTI</t>
        </is>
      </c>
      <c r="F3109" s="20" t="inlineStr">
        <is>
          <t>Swiftdzire</t>
        </is>
      </c>
      <c r="G3109" s="21" t="n">
        <v>2012</v>
      </c>
      <c r="H3109" s="22" t="n">
        <v>174132</v>
      </c>
      <c r="I3109" s="22" t="n">
        <v>89000</v>
      </c>
      <c r="J3109" s="20" t="inlineStr">
        <is>
          <t>EXCHANGE ROTN</t>
        </is>
      </c>
      <c r="K3109" s="20" t="inlineStr">
        <is>
          <t>Captive</t>
        </is>
      </c>
      <c r="L3109" s="20" t="inlineStr">
        <is>
          <t>READY TO RIDE CARS</t>
        </is>
      </c>
      <c r="M3109" s="23" t="n">
        <v>4237.29</v>
      </c>
    </row>
    <row r="3110">
      <c r="A3110" s="19" t="inlineStr">
        <is>
          <t>FY27</t>
        </is>
      </c>
      <c r="B3110" s="19" t="inlineStr">
        <is>
          <t>Jul</t>
        </is>
      </c>
      <c r="C3110" s="19" t="inlineStr">
        <is>
          <t>TN</t>
        </is>
      </c>
      <c r="D3110" s="20" t="inlineStr">
        <is>
          <t>TN45BP8724</t>
        </is>
      </c>
      <c r="E3110" s="20" t="inlineStr">
        <is>
          <t>MARUTI</t>
        </is>
      </c>
      <c r="F3110" s="20" t="inlineStr">
        <is>
          <t>Alto 800</t>
        </is>
      </c>
      <c r="G3110" s="21" t="n">
        <v>2018</v>
      </c>
      <c r="H3110" s="22" t="n">
        <v>65398</v>
      </c>
      <c r="I3110" s="22" t="n">
        <v>73000</v>
      </c>
      <c r="J3110" s="20" t="inlineStr">
        <is>
          <t>EXCHANGE ROTN</t>
        </is>
      </c>
      <c r="K3110" s="20" t="inlineStr">
        <is>
          <t>Captive</t>
        </is>
      </c>
      <c r="L3110" s="20" t="inlineStr">
        <is>
          <t>READY TO RIDE CARS</t>
        </is>
      </c>
      <c r="M3110" s="23" t="n">
        <v>4237.29</v>
      </c>
    </row>
    <row r="3111">
      <c r="A3111" s="19" t="inlineStr">
        <is>
          <t>FY27</t>
        </is>
      </c>
      <c r="B3111" s="19" t="inlineStr">
        <is>
          <t>Jul</t>
        </is>
      </c>
      <c r="C3111" s="19" t="inlineStr">
        <is>
          <t>TN</t>
        </is>
      </c>
      <c r="D3111" s="20" t="inlineStr">
        <is>
          <t>TN63AR5954</t>
        </is>
      </c>
      <c r="E3111" s="20" t="inlineStr">
        <is>
          <t>HYUNDAI</t>
        </is>
      </c>
      <c r="F3111" s="20" t="inlineStr">
        <is>
          <t>Xcent</t>
        </is>
      </c>
      <c r="G3111" s="21" t="n">
        <v>2017</v>
      </c>
      <c r="H3111" s="22" t="n">
        <v>137771</v>
      </c>
      <c r="I3111" s="22" t="n">
        <v>65000</v>
      </c>
      <c r="J3111" s="20" t="inlineStr">
        <is>
          <t>EXCHANGE ROTN</t>
        </is>
      </c>
      <c r="K3111" s="20" t="inlineStr">
        <is>
          <t>Captive</t>
        </is>
      </c>
      <c r="L3111" s="20" t="inlineStr">
        <is>
          <t>READY TO RIDE CARS</t>
        </is>
      </c>
      <c r="M3111" s="23" t="n">
        <v>4237.29</v>
      </c>
    </row>
    <row r="3112">
      <c r="A3112" s="19" t="inlineStr">
        <is>
          <t>FY27</t>
        </is>
      </c>
      <c r="B3112" s="19" t="inlineStr">
        <is>
          <t>Jul</t>
        </is>
      </c>
      <c r="C3112" s="19" t="inlineStr">
        <is>
          <t>TN</t>
        </is>
      </c>
      <c r="D3112" s="20" t="inlineStr">
        <is>
          <t>TN37Y3838</t>
        </is>
      </c>
      <c r="E3112" s="20" t="inlineStr">
        <is>
          <t>TOYOTA</t>
        </is>
      </c>
      <c r="F3112" s="20" t="inlineStr">
        <is>
          <t>Qualis</t>
        </is>
      </c>
      <c r="G3112" s="21" t="n">
        <v>2001</v>
      </c>
      <c r="H3112" s="22" t="n">
        <v>220198</v>
      </c>
      <c r="I3112" s="22" t="n">
        <v>90000</v>
      </c>
      <c r="J3112" s="20" t="inlineStr">
        <is>
          <t>EXCHANGE ROTN</t>
        </is>
      </c>
      <c r="K3112" s="20" t="inlineStr">
        <is>
          <t>Captive</t>
        </is>
      </c>
      <c r="L3112" s="20" t="inlineStr">
        <is>
          <t>READY TO RIDE CARS</t>
        </is>
      </c>
      <c r="M3112" s="23" t="n">
        <v>4237.29</v>
      </c>
    </row>
    <row r="3113">
      <c r="A3113" s="19" t="inlineStr">
        <is>
          <t>FY27</t>
        </is>
      </c>
      <c r="B3113" s="19" t="inlineStr">
        <is>
          <t>Jul</t>
        </is>
      </c>
      <c r="C3113" s="19" t="inlineStr">
        <is>
          <t>TN</t>
        </is>
      </c>
      <c r="D3113" s="20" t="inlineStr">
        <is>
          <t>TN22AZ1654</t>
        </is>
      </c>
      <c r="E3113" s="20" t="inlineStr">
        <is>
          <t>MARUTI</t>
        </is>
      </c>
      <c r="F3113" s="20" t="inlineStr">
        <is>
          <t>Swift</t>
        </is>
      </c>
      <c r="G3113" s="21" t="n">
        <v>2007</v>
      </c>
      <c r="H3113" s="22" t="n">
        <v>71064</v>
      </c>
      <c r="I3113" s="22" t="n">
        <v>85000</v>
      </c>
      <c r="J3113" s="20" t="inlineStr">
        <is>
          <t>EXCHANGE ROTN</t>
        </is>
      </c>
      <c r="K3113" s="20" t="inlineStr">
        <is>
          <t>Captive</t>
        </is>
      </c>
      <c r="L3113" s="20" t="inlineStr">
        <is>
          <t>9miles</t>
        </is>
      </c>
      <c r="M3113" s="23" t="n">
        <v>7627.12</v>
      </c>
    </row>
    <row r="3114">
      <c r="A3114" s="19" t="inlineStr">
        <is>
          <t>FY27</t>
        </is>
      </c>
      <c r="B3114" s="19" t="inlineStr">
        <is>
          <t>Jul</t>
        </is>
      </c>
      <c r="C3114" s="19" t="inlineStr">
        <is>
          <t>TN</t>
        </is>
      </c>
      <c r="D3114" s="20" t="inlineStr">
        <is>
          <t>TN36U9375</t>
        </is>
      </c>
      <c r="E3114" s="20" t="inlineStr">
        <is>
          <t>HYUNDAI</t>
        </is>
      </c>
      <c r="F3114" s="20" t="inlineStr">
        <is>
          <t>Santro</t>
        </is>
      </c>
      <c r="G3114" s="21" t="n">
        <v>2010</v>
      </c>
      <c r="H3114" s="22" t="n">
        <v>70627</v>
      </c>
      <c r="I3114" s="22" t="n">
        <v>98000</v>
      </c>
      <c r="J3114" s="20" t="inlineStr">
        <is>
          <t>EXCHANGE ROTN</t>
        </is>
      </c>
      <c r="K3114" s="20" t="inlineStr">
        <is>
          <t>Captive</t>
        </is>
      </c>
      <c r="L3114" s="20" t="inlineStr">
        <is>
          <t>9miles</t>
        </is>
      </c>
      <c r="M3114" s="23" t="n">
        <v>4237.29</v>
      </c>
    </row>
    <row r="3115">
      <c r="A3115" s="19" t="inlineStr">
        <is>
          <t>FY27</t>
        </is>
      </c>
      <c r="B3115" s="19" t="inlineStr">
        <is>
          <t>Jul</t>
        </is>
      </c>
      <c r="C3115" s="19" t="inlineStr">
        <is>
          <t>TN</t>
        </is>
      </c>
      <c r="D3115" s="20" t="inlineStr">
        <is>
          <t>TN33AM9798</t>
        </is>
      </c>
      <c r="E3115" s="20" t="inlineStr">
        <is>
          <t>TATA</t>
        </is>
      </c>
      <c r="F3115" s="20" t="inlineStr">
        <is>
          <t>Indica</t>
        </is>
      </c>
      <c r="G3115" s="21" t="n">
        <v>2009</v>
      </c>
      <c r="H3115" s="22" t="n">
        <v>59441</v>
      </c>
      <c r="I3115" s="22" t="n">
        <v>55000</v>
      </c>
      <c r="J3115" s="20" t="inlineStr">
        <is>
          <t>EXCHANGE ROTN</t>
        </is>
      </c>
      <c r="K3115" s="20" t="inlineStr">
        <is>
          <t>Captive</t>
        </is>
      </c>
      <c r="L3115" s="20" t="inlineStr">
        <is>
          <t>9miles</t>
        </is>
      </c>
      <c r="M3115" s="23" t="n">
        <v>4237.29</v>
      </c>
    </row>
    <row r="3116">
      <c r="A3116" s="19" t="inlineStr">
        <is>
          <t>FY27</t>
        </is>
      </c>
      <c r="B3116" s="19" t="inlineStr">
        <is>
          <t>Jul</t>
        </is>
      </c>
      <c r="C3116" s="19" t="inlineStr">
        <is>
          <t>TN</t>
        </is>
      </c>
      <c r="D3116" s="20" t="inlineStr">
        <is>
          <t>TN22F6955</t>
        </is>
      </c>
      <c r="E3116" s="20" t="inlineStr">
        <is>
          <t>MARUTI</t>
        </is>
      </c>
      <c r="F3116" s="20" t="inlineStr">
        <is>
          <t>Alto 800</t>
        </is>
      </c>
      <c r="G3116" s="21" t="n">
        <v>1998</v>
      </c>
      <c r="H3116" s="22" t="n">
        <v>51645</v>
      </c>
      <c r="I3116" s="22" t="n">
        <v>38000</v>
      </c>
      <c r="J3116" s="20" t="inlineStr">
        <is>
          <t>EXCHANGE ROTN</t>
        </is>
      </c>
      <c r="K3116" s="20" t="inlineStr">
        <is>
          <t>Captive</t>
        </is>
      </c>
      <c r="L3116" s="20" t="inlineStr">
        <is>
          <t>9miles</t>
        </is>
      </c>
      <c r="M3116" s="23" t="n">
        <v>4237.29</v>
      </c>
    </row>
    <row r="3117">
      <c r="A3117" s="19" t="inlineStr">
        <is>
          <t>FY27</t>
        </is>
      </c>
      <c r="B3117" s="19" t="inlineStr">
        <is>
          <t>Jul</t>
        </is>
      </c>
      <c r="C3117" s="19" t="inlineStr">
        <is>
          <t>TN</t>
        </is>
      </c>
      <c r="D3117" s="20" t="inlineStr">
        <is>
          <t>TN38AX1656</t>
        </is>
      </c>
      <c r="E3117" s="20" t="inlineStr">
        <is>
          <t>MARUTI</t>
        </is>
      </c>
      <c r="F3117" s="20" t="inlineStr">
        <is>
          <t>Alto</t>
        </is>
      </c>
      <c r="G3117" s="21" t="n">
        <v>2009</v>
      </c>
      <c r="H3117" s="22" t="n">
        <v>131643</v>
      </c>
      <c r="I3117" s="22" t="n">
        <v>85000</v>
      </c>
      <c r="J3117" s="20" t="inlineStr">
        <is>
          <t>EXCHANGE ROTN</t>
        </is>
      </c>
      <c r="K3117" s="20" t="inlineStr">
        <is>
          <t>Captive</t>
        </is>
      </c>
      <c r="L3117" s="20" t="inlineStr">
        <is>
          <t>9miles</t>
        </is>
      </c>
      <c r="M3117" s="23" t="n">
        <v>4237.29</v>
      </c>
    </row>
    <row r="3118">
      <c r="A3118" s="19" t="inlineStr">
        <is>
          <t>FY27</t>
        </is>
      </c>
      <c r="B3118" s="19" t="inlineStr">
        <is>
          <t>Jul</t>
        </is>
      </c>
      <c r="C3118" s="19" t="inlineStr">
        <is>
          <t>TN</t>
        </is>
      </c>
      <c r="D3118" s="20" t="inlineStr">
        <is>
          <t>TN58R4641</t>
        </is>
      </c>
      <c r="E3118" s="20" t="inlineStr">
        <is>
          <t>MARUTI</t>
        </is>
      </c>
      <c r="F3118" s="20" t="inlineStr">
        <is>
          <t>Omni</t>
        </is>
      </c>
      <c r="G3118" s="21" t="n">
        <v>2007</v>
      </c>
      <c r="H3118" s="22" t="n">
        <v>127130</v>
      </c>
      <c r="I3118" s="22" t="n">
        <v>80000</v>
      </c>
      <c r="J3118" s="20" t="inlineStr">
        <is>
          <t>EXCHANGE ROTN</t>
        </is>
      </c>
      <c r="K3118" s="20" t="inlineStr">
        <is>
          <t>Captive</t>
        </is>
      </c>
      <c r="L3118" s="20" t="inlineStr">
        <is>
          <t>PAUL CARS</t>
        </is>
      </c>
      <c r="M3118" s="23" t="n">
        <v>4237.29</v>
      </c>
    </row>
    <row r="3119">
      <c r="A3119" s="19" t="inlineStr">
        <is>
          <t>FY27</t>
        </is>
      </c>
      <c r="B3119" s="19" t="inlineStr">
        <is>
          <t>Jul</t>
        </is>
      </c>
      <c r="C3119" s="19" t="inlineStr">
        <is>
          <t>TN</t>
        </is>
      </c>
      <c r="D3119" s="20" t="inlineStr">
        <is>
          <t>TN59AK8617</t>
        </is>
      </c>
      <c r="E3119" s="20" t="inlineStr">
        <is>
          <t>HYUNDAI</t>
        </is>
      </c>
      <c r="F3119" s="20" t="inlineStr">
        <is>
          <t>Santro</t>
        </is>
      </c>
      <c r="G3119" s="21" t="n">
        <v>2009</v>
      </c>
      <c r="H3119" s="22" t="n">
        <v>69999</v>
      </c>
      <c r="I3119" s="22" t="n">
        <v>95000</v>
      </c>
      <c r="J3119" s="20" t="inlineStr">
        <is>
          <t>EXCHANGE ROTN</t>
        </is>
      </c>
      <c r="K3119" s="20" t="inlineStr">
        <is>
          <t>Captive</t>
        </is>
      </c>
      <c r="L3119" s="20" t="inlineStr">
        <is>
          <t>PAUL CARS</t>
        </is>
      </c>
      <c r="M3119" s="23" t="n">
        <v>4237.29</v>
      </c>
    </row>
    <row r="3120">
      <c r="A3120" s="19" t="inlineStr">
        <is>
          <t>FY27</t>
        </is>
      </c>
      <c r="B3120" s="19" t="inlineStr">
        <is>
          <t>Jul</t>
        </is>
      </c>
      <c r="C3120" s="19" t="inlineStr">
        <is>
          <t>TN</t>
        </is>
      </c>
      <c r="D3120" s="20" t="inlineStr">
        <is>
          <t>TN40T1113</t>
        </is>
      </c>
      <c r="E3120" s="20" t="inlineStr">
        <is>
          <t>FORD</t>
        </is>
      </c>
      <c r="F3120" s="20" t="inlineStr">
        <is>
          <t>Freestyle</t>
        </is>
      </c>
      <c r="G3120" s="21" t="n">
        <v>2019</v>
      </c>
      <c r="H3120" s="22" t="n">
        <v>126806</v>
      </c>
      <c r="I3120" s="22" t="n">
        <v>325000</v>
      </c>
      <c r="J3120" s="20" t="inlineStr">
        <is>
          <t>EXCHANGE ROTN</t>
        </is>
      </c>
      <c r="K3120" s="20" t="inlineStr">
        <is>
          <t>Captive</t>
        </is>
      </c>
      <c r="L3120" s="20" t="inlineStr">
        <is>
          <t>Ulavan Enterprises</t>
        </is>
      </c>
      <c r="M3120" s="23" t="n">
        <v>12711.86</v>
      </c>
    </row>
    <row r="3121">
      <c r="A3121" s="19" t="inlineStr">
        <is>
          <t>FY27</t>
        </is>
      </c>
      <c r="B3121" s="19" t="inlineStr">
        <is>
          <t>Jul</t>
        </is>
      </c>
      <c r="C3121" s="19" t="inlineStr">
        <is>
          <t>TN</t>
        </is>
      </c>
      <c r="D3121" s="20" t="inlineStr">
        <is>
          <t>TN38CZ4891</t>
        </is>
      </c>
      <c r="E3121" s="20" t="inlineStr">
        <is>
          <t>NISSAN</t>
        </is>
      </c>
      <c r="F3121" s="20" t="inlineStr">
        <is>
          <t>Magnite</t>
        </is>
      </c>
      <c r="G3121" s="21" t="n">
        <v>2021</v>
      </c>
      <c r="H3121" s="22" t="n">
        <v>57874</v>
      </c>
      <c r="I3121" s="22" t="n">
        <v>450000</v>
      </c>
      <c r="J3121" s="20" t="inlineStr">
        <is>
          <t>EXCHANGE ROTN</t>
        </is>
      </c>
      <c r="K3121" s="20" t="inlineStr">
        <is>
          <t>Captive</t>
        </is>
      </c>
      <c r="L3121" s="20" t="inlineStr">
        <is>
          <t>GUGHAA CARS</t>
        </is>
      </c>
      <c r="M3121" s="23" t="n">
        <v>8474.58</v>
      </c>
    </row>
    <row r="3122">
      <c r="A3122" s="19" t="inlineStr">
        <is>
          <t>FY27</t>
        </is>
      </c>
      <c r="B3122" s="19" t="inlineStr">
        <is>
          <t>Jul</t>
        </is>
      </c>
      <c r="C3122" s="19" t="inlineStr">
        <is>
          <t>TN</t>
        </is>
      </c>
      <c r="D3122" s="20" t="inlineStr">
        <is>
          <t>TN01BK3004</t>
        </is>
      </c>
      <c r="E3122" s="20" t="inlineStr">
        <is>
          <t>MARUTI</t>
        </is>
      </c>
      <c r="F3122" s="20" t="inlineStr">
        <is>
          <t>Swift</t>
        </is>
      </c>
      <c r="G3122" s="21" t="n">
        <v>2020</v>
      </c>
      <c r="H3122" s="22" t="n">
        <v>174231</v>
      </c>
      <c r="I3122" s="22" t="n">
        <v>315000</v>
      </c>
      <c r="J3122" s="20" t="inlineStr">
        <is>
          <t>EXCHANGE ROTN</t>
        </is>
      </c>
      <c r="K3122" s="20" t="inlineStr">
        <is>
          <t>Captive</t>
        </is>
      </c>
      <c r="L3122" s="20" t="inlineStr">
        <is>
          <t>SRI RAJA KANAPATHY CARS</t>
        </is>
      </c>
      <c r="M3122" s="23" t="n">
        <v>12711.86</v>
      </c>
    </row>
    <row r="3123">
      <c r="A3123" s="19" t="inlineStr">
        <is>
          <t>FY27</t>
        </is>
      </c>
      <c r="B3123" s="19" t="inlineStr">
        <is>
          <t>Jul</t>
        </is>
      </c>
      <c r="C3123" s="19" t="inlineStr">
        <is>
          <t>TN</t>
        </is>
      </c>
      <c r="D3123" s="20" t="inlineStr">
        <is>
          <t>TN11W6932</t>
        </is>
      </c>
      <c r="E3123" s="20" t="inlineStr">
        <is>
          <t>TATA</t>
        </is>
      </c>
      <c r="F3123" s="20" t="inlineStr">
        <is>
          <t>Indica</t>
        </is>
      </c>
      <c r="G3123" s="21" t="n">
        <v>2017</v>
      </c>
      <c r="H3123" s="22" t="n">
        <v>103881</v>
      </c>
      <c r="I3123" s="22" t="n">
        <v>63000</v>
      </c>
      <c r="J3123" s="20" t="inlineStr">
        <is>
          <t>EXCHANGE ROTN</t>
        </is>
      </c>
      <c r="K3123" s="20" t="inlineStr">
        <is>
          <t>Captive</t>
        </is>
      </c>
      <c r="L3123" s="20" t="inlineStr">
        <is>
          <t>PAUL CARS</t>
        </is>
      </c>
      <c r="M3123" s="23" t="n">
        <v>4237.29</v>
      </c>
    </row>
    <row r="3124">
      <c r="A3124" s="19" t="inlineStr">
        <is>
          <t>FY27</t>
        </is>
      </c>
      <c r="B3124" s="19" t="inlineStr">
        <is>
          <t>Jul</t>
        </is>
      </c>
      <c r="C3124" s="19" t="inlineStr">
        <is>
          <t>TN</t>
        </is>
      </c>
      <c r="D3124" s="20" t="inlineStr">
        <is>
          <t>TN28AH0123</t>
        </is>
      </c>
      <c r="E3124" s="20" t="inlineStr">
        <is>
          <t>HYUNDAI</t>
        </is>
      </c>
      <c r="F3124" s="20" t="inlineStr">
        <is>
          <t>Santro</t>
        </is>
      </c>
      <c r="G3124" s="21" t="n">
        <v>2010</v>
      </c>
      <c r="H3124" s="22" t="n">
        <v>124695</v>
      </c>
      <c r="I3124" s="22" t="n">
        <v>95000</v>
      </c>
      <c r="J3124" s="20" t="inlineStr">
        <is>
          <t>EXCHANGE ROTN</t>
        </is>
      </c>
      <c r="K3124" s="20" t="inlineStr">
        <is>
          <t>Captive</t>
        </is>
      </c>
      <c r="L3124" s="20" t="inlineStr">
        <is>
          <t>PAUL CARS</t>
        </is>
      </c>
      <c r="M3124" s="23" t="n">
        <v>4237.29</v>
      </c>
    </row>
    <row r="3125">
      <c r="A3125" s="19" t="inlineStr">
        <is>
          <t>FY27</t>
        </is>
      </c>
      <c r="B3125" s="19" t="inlineStr">
        <is>
          <t>Jul</t>
        </is>
      </c>
      <c r="C3125" s="19" t="inlineStr">
        <is>
          <t>TN</t>
        </is>
      </c>
      <c r="D3125" s="20" t="inlineStr">
        <is>
          <t>TN05AP1696</t>
        </is>
      </c>
      <c r="E3125" s="20" t="inlineStr">
        <is>
          <t>FORD</t>
        </is>
      </c>
      <c r="F3125" s="20" t="inlineStr">
        <is>
          <t>Fiestaclassic</t>
        </is>
      </c>
      <c r="G3125" s="21" t="n">
        <v>2012</v>
      </c>
      <c r="H3125" s="22" t="n">
        <v>33867</v>
      </c>
      <c r="I3125" s="22" t="n">
        <v>98000</v>
      </c>
      <c r="J3125" s="20" t="inlineStr">
        <is>
          <t>PRODUCTIVITY ELEMENTS PRIVATE LIMITED</t>
        </is>
      </c>
      <c r="K3125" s="20" t="inlineStr">
        <is>
          <t>Non-Captive</t>
        </is>
      </c>
      <c r="L3125" s="20" t="inlineStr">
        <is>
          <t>PINE AUTOS</t>
        </is>
      </c>
      <c r="M3125" s="23" t="n">
        <v>4237.29</v>
      </c>
    </row>
    <row r="3126">
      <c r="A3126" s="19" t="inlineStr">
        <is>
          <t>FY27</t>
        </is>
      </c>
      <c r="B3126" s="19" t="inlineStr">
        <is>
          <t>Jul</t>
        </is>
      </c>
      <c r="C3126" s="19" t="inlineStr">
        <is>
          <t>TN</t>
        </is>
      </c>
      <c r="D3126" s="20" t="inlineStr">
        <is>
          <t>TN02BY9015</t>
        </is>
      </c>
      <c r="E3126" s="20" t="inlineStr">
        <is>
          <t>MAHINDRA</t>
        </is>
      </c>
      <c r="F3126" s="20" t="inlineStr">
        <is>
          <t>Thar</t>
        </is>
      </c>
      <c r="G3126" s="21" t="n">
        <v>2020</v>
      </c>
      <c r="H3126" s="22" t="n">
        <v>36893</v>
      </c>
      <c r="I3126" s="22" t="n">
        <v>98000</v>
      </c>
      <c r="J3126" s="20" t="inlineStr">
        <is>
          <t>AUTOMOTIVE MANUFACTURES PRIVATE LIMITED</t>
        </is>
      </c>
      <c r="K3126" s="20" t="inlineStr">
        <is>
          <t>Non-Captive</t>
        </is>
      </c>
      <c r="L3126" s="20" t="inlineStr">
        <is>
          <t>Maruthi Industries</t>
        </is>
      </c>
      <c r="M3126" s="23" t="n">
        <v>4237.29</v>
      </c>
    </row>
    <row r="3127">
      <c r="A3127" s="19" t="inlineStr">
        <is>
          <t>FY27</t>
        </is>
      </c>
      <c r="B3127" s="19" t="inlineStr">
        <is>
          <t>Jul</t>
        </is>
      </c>
      <c r="C3127" s="19" t="inlineStr">
        <is>
          <t>TN</t>
        </is>
      </c>
      <c r="D3127" s="20" t="inlineStr">
        <is>
          <t>TN20DC0772</t>
        </is>
      </c>
      <c r="E3127" s="20" t="inlineStr">
        <is>
          <t>MARUTI</t>
        </is>
      </c>
      <c r="F3127" s="20" t="inlineStr">
        <is>
          <t>Espresso</t>
        </is>
      </c>
      <c r="G3127" s="21" t="n">
        <v>2020</v>
      </c>
      <c r="H3127" s="22" t="n">
        <v>27187</v>
      </c>
      <c r="I3127" s="22" t="n">
        <v>320000</v>
      </c>
      <c r="J3127" s="20" t="inlineStr">
        <is>
          <t>CASTLE TRADERS Maruti</t>
        </is>
      </c>
      <c r="K3127" s="20" t="inlineStr">
        <is>
          <t>Non-Captive</t>
        </is>
      </c>
      <c r="L3127" s="20" t="inlineStr">
        <is>
          <t>AAA CARS</t>
        </is>
      </c>
      <c r="M3127" s="23" t="n">
        <v>6355.93</v>
      </c>
    </row>
    <row r="3128">
      <c r="A3128" s="19" t="inlineStr">
        <is>
          <t>FY27</t>
        </is>
      </c>
      <c r="B3128" s="19" t="inlineStr">
        <is>
          <t>Jul</t>
        </is>
      </c>
      <c r="C3128" s="19" t="inlineStr">
        <is>
          <t>TN</t>
        </is>
      </c>
      <c r="D3128" s="20" t="inlineStr">
        <is>
          <t>TN14W4656</t>
        </is>
      </c>
      <c r="E3128" s="20" t="inlineStr">
        <is>
          <t>VOLKSWAGEN</t>
        </is>
      </c>
      <c r="F3128" s="20" t="inlineStr">
        <is>
          <t>Polo</t>
        </is>
      </c>
      <c r="G3128" s="21" t="n">
        <v>2020</v>
      </c>
      <c r="H3128" s="22" t="n">
        <v>47010</v>
      </c>
      <c r="I3128" s="22" t="n">
        <v>390000</v>
      </c>
      <c r="J3128" s="20" t="inlineStr">
        <is>
          <t>CASTLE TRADERS Maruti</t>
        </is>
      </c>
      <c r="K3128" s="20" t="inlineStr">
        <is>
          <t>Non-Captive</t>
        </is>
      </c>
      <c r="L3128" s="20" t="inlineStr">
        <is>
          <t>GRID 33</t>
        </is>
      </c>
      <c r="M3128" s="23" t="n">
        <v>6355.93</v>
      </c>
    </row>
    <row r="3129">
      <c r="A3129" s="19" t="inlineStr">
        <is>
          <t>FY27</t>
        </is>
      </c>
      <c r="B3129" s="19" t="inlineStr">
        <is>
          <t>Jul</t>
        </is>
      </c>
      <c r="C3129" s="19" t="inlineStr">
        <is>
          <t>TN</t>
        </is>
      </c>
      <c r="D3129" s="20" t="inlineStr">
        <is>
          <t>TN10BK8979</t>
        </is>
      </c>
      <c r="E3129" s="20" t="inlineStr">
        <is>
          <t>MARUTI</t>
        </is>
      </c>
      <c r="F3129" s="20" t="inlineStr">
        <is>
          <t>Baleno</t>
        </is>
      </c>
      <c r="G3129" s="21" t="n">
        <v>2020</v>
      </c>
      <c r="H3129" s="22" t="n">
        <v>120496</v>
      </c>
      <c r="I3129" s="22" t="n">
        <v>93000</v>
      </c>
      <c r="J3129" s="20" t="inlineStr">
        <is>
          <t>VISHNU CARS PRIVATE LIMITED</t>
        </is>
      </c>
      <c r="K3129" s="20" t="inlineStr">
        <is>
          <t>Non-Captive</t>
        </is>
      </c>
      <c r="L3129" s="20" t="inlineStr">
        <is>
          <t>Senthil Cars</t>
        </is>
      </c>
      <c r="M3129" s="23" t="n">
        <v>4237.29</v>
      </c>
    </row>
    <row r="3130">
      <c r="A3130" s="19" t="inlineStr">
        <is>
          <t>FY27</t>
        </is>
      </c>
      <c r="B3130" s="19" t="inlineStr">
        <is>
          <t>Jul</t>
        </is>
      </c>
      <c r="C3130" s="19" t="inlineStr">
        <is>
          <t>TN</t>
        </is>
      </c>
      <c r="D3130" s="20" t="inlineStr">
        <is>
          <t>TN07BF1839</t>
        </is>
      </c>
      <c r="E3130" s="20" t="inlineStr">
        <is>
          <t>FIAT</t>
        </is>
      </c>
      <c r="F3130" s="20" t="inlineStr">
        <is>
          <t>Punto</t>
        </is>
      </c>
      <c r="G3130" s="21" t="n">
        <v>2010</v>
      </c>
      <c r="H3130" s="22" t="n">
        <v>154000</v>
      </c>
      <c r="I3130" s="22" t="n">
        <v>95000</v>
      </c>
      <c r="J3130" s="20" t="inlineStr">
        <is>
          <t>VISHNU CARS PRIVATE LIMITED</t>
        </is>
      </c>
      <c r="K3130" s="20" t="inlineStr">
        <is>
          <t>Non-Captive</t>
        </is>
      </c>
      <c r="L3130" s="20" t="inlineStr">
        <is>
          <t>LIAKATHCARS</t>
        </is>
      </c>
      <c r="M3130" s="23" t="n">
        <v>4237.29</v>
      </c>
    </row>
    <row r="3131">
      <c r="A3131" s="19" t="inlineStr">
        <is>
          <t>FY27</t>
        </is>
      </c>
      <c r="B3131" s="19" t="inlineStr">
        <is>
          <t>Jul</t>
        </is>
      </c>
      <c r="C3131" s="19" t="inlineStr">
        <is>
          <t>TN</t>
        </is>
      </c>
      <c r="D3131" s="20" t="inlineStr">
        <is>
          <t>TN07BV4882</t>
        </is>
      </c>
      <c r="E3131" s="20" t="inlineStr">
        <is>
          <t>MARUTI</t>
        </is>
      </c>
      <c r="F3131" s="20" t="inlineStr">
        <is>
          <t>Zen Estilo</t>
        </is>
      </c>
      <c r="G3131" s="21" t="n">
        <v>2013</v>
      </c>
      <c r="H3131" s="22" t="n">
        <v>57973</v>
      </c>
      <c r="I3131" s="22" t="n">
        <v>97000</v>
      </c>
      <c r="J3131" s="20" t="inlineStr">
        <is>
          <t>VISHNU CARS PRIVATE LIMITED</t>
        </is>
      </c>
      <c r="K3131" s="20" t="inlineStr">
        <is>
          <t>Non-Captive</t>
        </is>
      </c>
      <c r="L3131" s="20" t="inlineStr">
        <is>
          <t>LIAKATHCARS</t>
        </is>
      </c>
      <c r="M3131" s="23" t="n">
        <v>4237.29</v>
      </c>
    </row>
    <row r="3132">
      <c r="A3132" s="19" t="inlineStr">
        <is>
          <t>FY27</t>
        </is>
      </c>
      <c r="B3132" s="19" t="inlineStr">
        <is>
          <t>Jul</t>
        </is>
      </c>
      <c r="C3132" s="19" t="inlineStr">
        <is>
          <t>TN</t>
        </is>
      </c>
      <c r="D3132" s="20" t="inlineStr">
        <is>
          <t>TN22CV3529</t>
        </is>
      </c>
      <c r="E3132" s="20" t="inlineStr">
        <is>
          <t>FORD</t>
        </is>
      </c>
      <c r="F3132" s="20" t="inlineStr">
        <is>
          <t>Figo</t>
        </is>
      </c>
      <c r="G3132" s="21" t="n">
        <v>2011</v>
      </c>
      <c r="H3132" s="22" t="n">
        <v>56006</v>
      </c>
      <c r="I3132" s="22" t="n">
        <v>89000</v>
      </c>
      <c r="J3132" s="20" t="inlineStr">
        <is>
          <t>VISHNU CARS PRIVATE LIMITED</t>
        </is>
      </c>
      <c r="K3132" s="20" t="inlineStr">
        <is>
          <t>Non-Captive</t>
        </is>
      </c>
      <c r="L3132" s="20" t="inlineStr">
        <is>
          <t>LIAKATHCARS</t>
        </is>
      </c>
      <c r="M3132" s="23" t="n">
        <v>4237.29</v>
      </c>
    </row>
    <row r="3133">
      <c r="A3133" s="19" t="inlineStr">
        <is>
          <t>FY27</t>
        </is>
      </c>
      <c r="B3133" s="19" t="inlineStr">
        <is>
          <t>Jul</t>
        </is>
      </c>
      <c r="C3133" s="19" t="inlineStr">
        <is>
          <t>TN</t>
        </is>
      </c>
      <c r="D3133" s="20" t="inlineStr">
        <is>
          <t>TN03D3295</t>
        </is>
      </c>
      <c r="E3133" s="20" t="inlineStr">
        <is>
          <t>FIAT</t>
        </is>
      </c>
      <c r="F3133" s="20" t="inlineStr">
        <is>
          <t>Linea</t>
        </is>
      </c>
      <c r="G3133" s="21" t="n">
        <v>2010</v>
      </c>
      <c r="H3133" s="22" t="n">
        <v>135697</v>
      </c>
      <c r="I3133" s="22" t="n">
        <v>96000</v>
      </c>
      <c r="J3133" s="20" t="inlineStr">
        <is>
          <t>VISHNU CARS PRIVATE LIMITED</t>
        </is>
      </c>
      <c r="K3133" s="20" t="inlineStr">
        <is>
          <t>Non-Captive</t>
        </is>
      </c>
      <c r="L3133" s="20" t="inlineStr">
        <is>
          <t>LIAKATHCARS</t>
        </is>
      </c>
      <c r="M3133" s="23" t="n">
        <v>4237.29</v>
      </c>
    </row>
    <row r="3134">
      <c r="A3134" s="19" t="inlineStr">
        <is>
          <t>FY27</t>
        </is>
      </c>
      <c r="B3134" s="19" t="inlineStr">
        <is>
          <t>Jul</t>
        </is>
      </c>
      <c r="C3134" s="19" t="inlineStr">
        <is>
          <t>TN</t>
        </is>
      </c>
      <c r="D3134" s="20" t="inlineStr">
        <is>
          <t>TN10W4297</t>
        </is>
      </c>
      <c r="E3134" s="20" t="inlineStr">
        <is>
          <t>MARUTI</t>
        </is>
      </c>
      <c r="F3134" s="20" t="inlineStr">
        <is>
          <t>Wagonr</t>
        </is>
      </c>
      <c r="G3134" s="21" t="n">
        <v>2009</v>
      </c>
      <c r="H3134" s="22" t="n">
        <v>133132</v>
      </c>
      <c r="I3134" s="22" t="n">
        <v>98000</v>
      </c>
      <c r="J3134" s="20" t="inlineStr">
        <is>
          <t>AIE CARS PRIVATE LIMITED</t>
        </is>
      </c>
      <c r="K3134" s="20" t="inlineStr">
        <is>
          <t>Non-Captive</t>
        </is>
      </c>
      <c r="L3134" s="20" t="inlineStr">
        <is>
          <t>LIAKATHCARS</t>
        </is>
      </c>
      <c r="M3134" s="23" t="n">
        <v>4237.29</v>
      </c>
    </row>
    <row r="3135">
      <c r="A3135" s="19" t="inlineStr">
        <is>
          <t>FY27</t>
        </is>
      </c>
      <c r="B3135" s="19" t="inlineStr">
        <is>
          <t>Jul</t>
        </is>
      </c>
      <c r="C3135" s="19" t="inlineStr">
        <is>
          <t>TN</t>
        </is>
      </c>
      <c r="D3135" s="20" t="inlineStr">
        <is>
          <t>TN01AP8649</t>
        </is>
      </c>
      <c r="E3135" s="20" t="inlineStr">
        <is>
          <t>MARUTI</t>
        </is>
      </c>
      <c r="F3135" s="20" t="inlineStr">
        <is>
          <t>Astar</t>
        </is>
      </c>
      <c r="G3135" s="21" t="n">
        <v>2010</v>
      </c>
      <c r="H3135" s="22" t="n">
        <v>25234</v>
      </c>
      <c r="I3135" s="22" t="n">
        <v>99000</v>
      </c>
      <c r="J3135" s="20" t="inlineStr">
        <is>
          <t>AIE CARS PRIVATE LIMITED</t>
        </is>
      </c>
      <c r="K3135" s="20" t="inlineStr">
        <is>
          <t>Non-Captive</t>
        </is>
      </c>
      <c r="L3135" s="20" t="inlineStr">
        <is>
          <t>LIAKATHCARS</t>
        </is>
      </c>
      <c r="M3135" s="23" t="n">
        <v>4237.29</v>
      </c>
    </row>
    <row r="3136">
      <c r="A3136" s="19" t="inlineStr">
        <is>
          <t>FY27</t>
        </is>
      </c>
      <c r="B3136" s="19" t="inlineStr">
        <is>
          <t>Jul</t>
        </is>
      </c>
      <c r="C3136" s="19" t="inlineStr">
        <is>
          <t>TN</t>
        </is>
      </c>
      <c r="D3136" s="20" t="inlineStr">
        <is>
          <t>TN07BM7330</t>
        </is>
      </c>
      <c r="E3136" s="20" t="inlineStr">
        <is>
          <t>HYUNDAI</t>
        </is>
      </c>
      <c r="F3136" s="20" t="inlineStr">
        <is>
          <t>I10</t>
        </is>
      </c>
      <c r="G3136" s="21" t="n">
        <v>2011</v>
      </c>
      <c r="H3136" s="22" t="n">
        <v>26674</v>
      </c>
      <c r="I3136" s="22" t="n">
        <v>87000</v>
      </c>
      <c r="J3136" s="20" t="inlineStr">
        <is>
          <t>AIE CARS PRIVATE LIMITED</t>
        </is>
      </c>
      <c r="K3136" s="20" t="inlineStr">
        <is>
          <t>Non-Captive</t>
        </is>
      </c>
      <c r="L3136" s="20" t="inlineStr">
        <is>
          <t>LIAKATHCARS</t>
        </is>
      </c>
      <c r="M3136" s="23" t="n">
        <v>4237.29</v>
      </c>
    </row>
    <row r="3137">
      <c r="A3137" s="19" t="inlineStr">
        <is>
          <t>FY27</t>
        </is>
      </c>
      <c r="B3137" s="19" t="inlineStr">
        <is>
          <t>Jul</t>
        </is>
      </c>
      <c r="C3137" s="19" t="inlineStr">
        <is>
          <t>TN</t>
        </is>
      </c>
      <c r="D3137" s="20" t="inlineStr">
        <is>
          <t>TN22BM1948</t>
        </is>
      </c>
      <c r="E3137" s="20" t="inlineStr">
        <is>
          <t>CHEVROLET</t>
        </is>
      </c>
      <c r="F3137" s="20" t="inlineStr">
        <is>
          <t>Beat</t>
        </is>
      </c>
      <c r="G3137" s="21" t="n">
        <v>2010</v>
      </c>
      <c r="H3137" s="22" t="n">
        <v>91825</v>
      </c>
      <c r="I3137" s="22" t="n">
        <v>97000</v>
      </c>
      <c r="J3137" s="20" t="inlineStr">
        <is>
          <t>PRODUCTIVITY ELEMENTS PRIVATE LIMITED</t>
        </is>
      </c>
      <c r="K3137" s="20" t="inlineStr">
        <is>
          <t>Non-Captive</t>
        </is>
      </c>
      <c r="L3137" s="20" t="inlineStr">
        <is>
          <t>GRID 33</t>
        </is>
      </c>
      <c r="M3137" s="23" t="n">
        <v>4237.29</v>
      </c>
    </row>
    <row r="3138">
      <c r="A3138" s="19" t="inlineStr">
        <is>
          <t>FY27</t>
        </is>
      </c>
      <c r="B3138" s="19" t="inlineStr">
        <is>
          <t>Jul</t>
        </is>
      </c>
      <c r="C3138" s="19" t="inlineStr">
        <is>
          <t>TN</t>
        </is>
      </c>
      <c r="D3138" s="20" t="inlineStr">
        <is>
          <t>TN07BV5775</t>
        </is>
      </c>
      <c r="E3138" s="20" t="inlineStr">
        <is>
          <t>RENAULT</t>
        </is>
      </c>
      <c r="F3138" s="20" t="inlineStr">
        <is>
          <t>Scala</t>
        </is>
      </c>
      <c r="G3138" s="21" t="n">
        <v>2013</v>
      </c>
      <c r="H3138" s="22" t="n">
        <v>89846</v>
      </c>
      <c r="I3138" s="22" t="n">
        <v>93000</v>
      </c>
      <c r="J3138" s="20" t="inlineStr">
        <is>
          <t>PRODUCTIVITY ELEMENTS PRIVATE LIMITED</t>
        </is>
      </c>
      <c r="K3138" s="20" t="inlineStr">
        <is>
          <t>Non-Captive</t>
        </is>
      </c>
      <c r="L3138" s="20" t="inlineStr">
        <is>
          <t>GRID 33</t>
        </is>
      </c>
      <c r="M3138" s="23" t="n">
        <v>4237.29</v>
      </c>
    </row>
    <row r="3139">
      <c r="A3139" s="19" t="inlineStr">
        <is>
          <t>FY27</t>
        </is>
      </c>
      <c r="B3139" s="19" t="inlineStr">
        <is>
          <t>Jul</t>
        </is>
      </c>
      <c r="C3139" s="19" t="inlineStr">
        <is>
          <t>TN</t>
        </is>
      </c>
      <c r="D3139" s="20" t="inlineStr">
        <is>
          <t>TN42P1775</t>
        </is>
      </c>
      <c r="E3139" s="20" t="inlineStr">
        <is>
          <t>MARUTI</t>
        </is>
      </c>
      <c r="F3139" s="20" t="inlineStr">
        <is>
          <t>Alto K10</t>
        </is>
      </c>
      <c r="G3139" s="21" t="n">
        <v>2015</v>
      </c>
      <c r="H3139" s="22" t="n">
        <v>161025</v>
      </c>
      <c r="I3139" s="22" t="n">
        <v>195000</v>
      </c>
      <c r="J3139" s="20" t="inlineStr">
        <is>
          <t>EXCHANGE ROTN</t>
        </is>
      </c>
      <c r="K3139" s="20" t="inlineStr">
        <is>
          <t>Captive</t>
        </is>
      </c>
      <c r="L3139" s="20" t="inlineStr">
        <is>
          <t>MR Cars</t>
        </is>
      </c>
      <c r="M3139" s="23" t="n">
        <v>8474.58</v>
      </c>
    </row>
    <row r="3140">
      <c r="A3140" s="19" t="inlineStr">
        <is>
          <t>FY27</t>
        </is>
      </c>
      <c r="B3140" s="19" t="inlineStr">
        <is>
          <t>Jul</t>
        </is>
      </c>
      <c r="C3140" s="19" t="inlineStr">
        <is>
          <t>TN</t>
        </is>
      </c>
      <c r="D3140" s="20" t="inlineStr">
        <is>
          <t>TN42E3072</t>
        </is>
      </c>
      <c r="E3140" s="20" t="inlineStr">
        <is>
          <t>TATA</t>
        </is>
      </c>
      <c r="F3140" s="20" t="inlineStr">
        <is>
          <t>Indica</t>
        </is>
      </c>
      <c r="G3140" s="21" t="n">
        <v>2011</v>
      </c>
      <c r="H3140" s="22" t="n">
        <v>137665</v>
      </c>
      <c r="I3140" s="22" t="n">
        <v>155000</v>
      </c>
      <c r="J3140" s="20" t="inlineStr">
        <is>
          <t>EXCHANGE ROTN</t>
        </is>
      </c>
      <c r="K3140" s="20" t="inlineStr">
        <is>
          <t>Captive</t>
        </is>
      </c>
      <c r="L3140" s="20" t="inlineStr">
        <is>
          <t>MR Cars</t>
        </is>
      </c>
      <c r="M3140" s="23" t="n">
        <v>8474.58</v>
      </c>
    </row>
    <row r="3141">
      <c r="A3141" s="19" t="inlineStr">
        <is>
          <t>FY27</t>
        </is>
      </c>
      <c r="B3141" s="19" t="inlineStr">
        <is>
          <t>Jul</t>
        </is>
      </c>
      <c r="C3141" s="19" t="inlineStr">
        <is>
          <t>TN</t>
        </is>
      </c>
      <c r="D3141" s="20" t="inlineStr">
        <is>
          <t>TN11F0925</t>
        </is>
      </c>
      <c r="E3141" s="20" t="inlineStr">
        <is>
          <t>FORD</t>
        </is>
      </c>
      <c r="F3141" s="20" t="inlineStr">
        <is>
          <t>Figo</t>
        </is>
      </c>
      <c r="G3141" s="21" t="n">
        <v>2013</v>
      </c>
      <c r="H3141" s="22" t="n">
        <v>233564</v>
      </c>
      <c r="I3141" s="22" t="n">
        <v>95000</v>
      </c>
      <c r="J3141" s="20" t="inlineStr">
        <is>
          <t>EXCHANGE ROTN</t>
        </is>
      </c>
      <c r="K3141" s="20" t="inlineStr">
        <is>
          <t>Captive</t>
        </is>
      </c>
      <c r="L3141" s="20" t="inlineStr">
        <is>
          <t>VIJAY CARS ERODE</t>
        </is>
      </c>
      <c r="M3141" s="23" t="n">
        <v>4237.29</v>
      </c>
    </row>
    <row r="3142">
      <c r="A3142" s="19" t="inlineStr">
        <is>
          <t>FY27</t>
        </is>
      </c>
      <c r="B3142" s="19" t="inlineStr">
        <is>
          <t>Jul</t>
        </is>
      </c>
      <c r="C3142" s="19" t="inlineStr">
        <is>
          <t>TN</t>
        </is>
      </c>
      <c r="D3142" s="20" t="inlineStr">
        <is>
          <t>TN63AV8175</t>
        </is>
      </c>
      <c r="E3142" s="20" t="inlineStr">
        <is>
          <t>HYUNDAI</t>
        </is>
      </c>
      <c r="F3142" s="20" t="inlineStr">
        <is>
          <t>Eon</t>
        </is>
      </c>
      <c r="G3142" s="21" t="n">
        <v>2014</v>
      </c>
      <c r="H3142" s="22" t="n">
        <v>143173</v>
      </c>
      <c r="I3142" s="22" t="n">
        <v>87000</v>
      </c>
      <c r="J3142" s="20" t="inlineStr">
        <is>
          <t>ABT ROTN</t>
        </is>
      </c>
      <c r="K3142" s="20" t="inlineStr">
        <is>
          <t>Non-Captive</t>
        </is>
      </c>
      <c r="L3142" s="20" t="inlineStr">
        <is>
          <t>SRI VIGNESH PRE OWNED CARS</t>
        </is>
      </c>
      <c r="M3142" s="23" t="n">
        <v>4237.29</v>
      </c>
    </row>
    <row r="3143">
      <c r="A3143" s="19" t="inlineStr">
        <is>
          <t>FY27</t>
        </is>
      </c>
      <c r="B3143" s="19" t="inlineStr">
        <is>
          <t>Jul</t>
        </is>
      </c>
      <c r="C3143" s="19" t="inlineStr">
        <is>
          <t>TN</t>
        </is>
      </c>
      <c r="D3143" s="20" t="inlineStr">
        <is>
          <t>TN18W7291</t>
        </is>
      </c>
      <c r="E3143" s="20" t="inlineStr">
        <is>
          <t>FORD</t>
        </is>
      </c>
      <c r="F3143" s="20" t="inlineStr">
        <is>
          <t>Figo</t>
        </is>
      </c>
      <c r="G3143" s="21" t="n">
        <v>2012</v>
      </c>
      <c r="H3143" s="22" t="n">
        <v>150596</v>
      </c>
      <c r="I3143" s="22" t="n">
        <v>90000</v>
      </c>
      <c r="J3143" s="20" t="inlineStr">
        <is>
          <t>ABT ROTN</t>
        </is>
      </c>
      <c r="K3143" s="20" t="inlineStr">
        <is>
          <t>Non-Captive</t>
        </is>
      </c>
      <c r="L3143" s="20" t="inlineStr">
        <is>
          <t>SRI VIGNESH PRE OWNED CARS</t>
        </is>
      </c>
      <c r="M3143" s="23" t="n">
        <v>4237.29</v>
      </c>
    </row>
    <row r="3144">
      <c r="A3144" s="19" t="inlineStr">
        <is>
          <t>FY27</t>
        </is>
      </c>
      <c r="B3144" s="19" t="inlineStr">
        <is>
          <t>Jul</t>
        </is>
      </c>
      <c r="C3144" s="19" t="inlineStr">
        <is>
          <t>TN</t>
        </is>
      </c>
      <c r="D3144" s="20" t="inlineStr">
        <is>
          <t>TN41AE6068</t>
        </is>
      </c>
      <c r="E3144" s="20" t="inlineStr">
        <is>
          <t>MARUTI</t>
        </is>
      </c>
      <c r="F3144" s="20" t="inlineStr">
        <is>
          <t>Alto</t>
        </is>
      </c>
      <c r="G3144" s="21" t="n">
        <v>2012</v>
      </c>
      <c r="H3144" s="22" t="n">
        <v>127612</v>
      </c>
      <c r="I3144" s="22" t="n">
        <v>76000</v>
      </c>
      <c r="J3144" s="20" t="inlineStr">
        <is>
          <t>ABT ROTN</t>
        </is>
      </c>
      <c r="K3144" s="20" t="inlineStr">
        <is>
          <t>Non-Captive</t>
        </is>
      </c>
      <c r="L3144" s="20" t="inlineStr">
        <is>
          <t>SRI VIGNESH PRE OWNED CARS</t>
        </is>
      </c>
      <c r="M3144" s="23" t="n">
        <v>4237.29</v>
      </c>
    </row>
    <row r="3145">
      <c r="A3145" s="19" t="inlineStr">
        <is>
          <t>FY27</t>
        </is>
      </c>
      <c r="B3145" s="19" t="inlineStr">
        <is>
          <t>Jul</t>
        </is>
      </c>
      <c r="C3145" s="19" t="inlineStr">
        <is>
          <t>TN</t>
        </is>
      </c>
      <c r="D3145" s="20" t="inlineStr">
        <is>
          <t>TN64L7644</t>
        </is>
      </c>
      <c r="E3145" s="20" t="inlineStr">
        <is>
          <t>HONDA</t>
        </is>
      </c>
      <c r="F3145" s="20" t="inlineStr">
        <is>
          <t>Brio</t>
        </is>
      </c>
      <c r="G3145" s="21" t="n">
        <v>2015</v>
      </c>
      <c r="H3145" s="22" t="n">
        <v>17919</v>
      </c>
      <c r="I3145" s="22" t="n">
        <v>270000</v>
      </c>
      <c r="J3145" s="20" t="inlineStr">
        <is>
          <t>EXCHANGE ROTN</t>
        </is>
      </c>
      <c r="K3145" s="20" t="inlineStr">
        <is>
          <t>Captive</t>
        </is>
      </c>
      <c r="L3145" s="20" t="inlineStr">
        <is>
          <t>PURUSOTHAMAN J CARS</t>
        </is>
      </c>
      <c r="M3145" s="23" t="n">
        <v>8474.58</v>
      </c>
    </row>
    <row r="3146">
      <c r="A3146" s="19" t="inlineStr">
        <is>
          <t>FY27</t>
        </is>
      </c>
      <c r="B3146" s="19" t="inlineStr">
        <is>
          <t>Jul</t>
        </is>
      </c>
      <c r="C3146" s="19" t="inlineStr">
        <is>
          <t>TN</t>
        </is>
      </c>
      <c r="D3146" s="20" t="inlineStr">
        <is>
          <t>TN60AB6859</t>
        </is>
      </c>
      <c r="E3146" s="20" t="inlineStr">
        <is>
          <t>HONDA</t>
        </is>
      </c>
      <c r="F3146" s="20" t="inlineStr">
        <is>
          <t>City</t>
        </is>
      </c>
      <c r="G3146" s="21" t="n">
        <v>2017</v>
      </c>
      <c r="H3146" s="22" t="n">
        <v>110791</v>
      </c>
      <c r="I3146" s="22" t="n">
        <v>515000</v>
      </c>
      <c r="J3146" s="20" t="inlineStr">
        <is>
          <t>EXCHANGE ROTN</t>
        </is>
      </c>
      <c r="K3146" s="20" t="inlineStr">
        <is>
          <t>Captive</t>
        </is>
      </c>
      <c r="L3146" s="20" t="inlineStr">
        <is>
          <t>READY TO RIDE CARS</t>
        </is>
      </c>
      <c r="M3146" s="23" t="n">
        <v>16949.15</v>
      </c>
    </row>
    <row r="3147">
      <c r="A3147" s="19" t="inlineStr">
        <is>
          <t>FY27</t>
        </is>
      </c>
      <c r="B3147" s="19" t="inlineStr">
        <is>
          <t>Jul</t>
        </is>
      </c>
      <c r="C3147" s="19" t="inlineStr">
        <is>
          <t>TN</t>
        </is>
      </c>
      <c r="D3147" s="20" t="inlineStr">
        <is>
          <t>TN02AQ7889</t>
        </is>
      </c>
      <c r="E3147" s="20" t="inlineStr">
        <is>
          <t>SKODA</t>
        </is>
      </c>
      <c r="F3147" s="20" t="inlineStr">
        <is>
          <t>Fabia</t>
        </is>
      </c>
      <c r="G3147" s="21" t="n">
        <v>2011</v>
      </c>
      <c r="H3147" s="22" t="n">
        <v>115995</v>
      </c>
      <c r="I3147" s="22" t="n">
        <v>60000</v>
      </c>
      <c r="J3147" s="20" t="inlineStr">
        <is>
          <t>EXCHANGE ROTN</t>
        </is>
      </c>
      <c r="K3147" s="20" t="inlineStr">
        <is>
          <t>Captive</t>
        </is>
      </c>
      <c r="L3147" s="20" t="inlineStr">
        <is>
          <t>AYYAPPA CARS</t>
        </is>
      </c>
      <c r="M3147" s="23" t="n">
        <v>4237.29</v>
      </c>
    </row>
    <row r="3148">
      <c r="A3148" s="19" t="inlineStr">
        <is>
          <t>FY27</t>
        </is>
      </c>
      <c r="B3148" s="19" t="inlineStr">
        <is>
          <t>Jul</t>
        </is>
      </c>
      <c r="C3148" s="19" t="inlineStr">
        <is>
          <t>TN</t>
        </is>
      </c>
      <c r="D3148" s="20" t="inlineStr">
        <is>
          <t>TN69T0123</t>
        </is>
      </c>
      <c r="E3148" s="20" t="inlineStr">
        <is>
          <t>MARUTI</t>
        </is>
      </c>
      <c r="F3148" s="20" t="inlineStr">
        <is>
          <t>Alto</t>
        </is>
      </c>
      <c r="G3148" s="21" t="n">
        <v>2008</v>
      </c>
      <c r="H3148" s="22" t="n">
        <v>141215</v>
      </c>
      <c r="I3148" s="22" t="n">
        <v>60000</v>
      </c>
      <c r="J3148" s="20" t="inlineStr">
        <is>
          <t>PURUSOTHAMAN J CARS</t>
        </is>
      </c>
      <c r="K3148" s="20" t="inlineStr">
        <is>
          <t>Non-Captive</t>
        </is>
      </c>
      <c r="L3148" s="20" t="inlineStr">
        <is>
          <t>DINDIGUL VALUE CAR</t>
        </is>
      </c>
      <c r="M3148" s="23" t="n">
        <v>4237.29</v>
      </c>
    </row>
    <row r="3149">
      <c r="A3149" s="19" t="inlineStr">
        <is>
          <t>FY27</t>
        </is>
      </c>
      <c r="B3149" s="19" t="inlineStr">
        <is>
          <t>Jul</t>
        </is>
      </c>
      <c r="C3149" s="19" t="inlineStr">
        <is>
          <t>TN</t>
        </is>
      </c>
      <c r="D3149" s="20" t="inlineStr">
        <is>
          <t>TN63L7047</t>
        </is>
      </c>
      <c r="E3149" s="20" t="inlineStr">
        <is>
          <t>MARUTI</t>
        </is>
      </c>
      <c r="F3149" s="20" t="inlineStr">
        <is>
          <t>Omni</t>
        </is>
      </c>
      <c r="G3149" s="21" t="n">
        <v>2010</v>
      </c>
      <c r="H3149" s="22" t="n">
        <v>127130</v>
      </c>
      <c r="I3149" s="22" t="n">
        <v>85000</v>
      </c>
      <c r="J3149" s="20" t="inlineStr">
        <is>
          <t>SIVA AUTOMOTIVE</t>
        </is>
      </c>
      <c r="K3149" s="20" t="inlineStr">
        <is>
          <t>Non-Captive</t>
        </is>
      </c>
      <c r="L3149" s="20" t="inlineStr">
        <is>
          <t>DINDIGUL VALUE CAR</t>
        </is>
      </c>
      <c r="M3149" s="23" t="n">
        <v>4237.29</v>
      </c>
    </row>
    <row r="3150">
      <c r="A3150" s="19" t="inlineStr">
        <is>
          <t>FY27</t>
        </is>
      </c>
      <c r="B3150" s="19" t="inlineStr">
        <is>
          <t>Jul</t>
        </is>
      </c>
      <c r="C3150" s="19" t="inlineStr">
        <is>
          <t>TN</t>
        </is>
      </c>
      <c r="D3150" s="20" t="inlineStr">
        <is>
          <t>TN07BY6049</t>
        </is>
      </c>
      <c r="E3150" s="20" t="inlineStr">
        <is>
          <t>HONDA</t>
        </is>
      </c>
      <c r="F3150" s="20" t="inlineStr">
        <is>
          <t>City</t>
        </is>
      </c>
      <c r="G3150" s="21" t="n">
        <v>2014</v>
      </c>
      <c r="H3150" s="22" t="n">
        <v>171290</v>
      </c>
      <c r="I3150" s="22" t="n">
        <v>140000</v>
      </c>
      <c r="J3150" s="20" t="inlineStr">
        <is>
          <t>EXCHANGE ROTN</t>
        </is>
      </c>
      <c r="K3150" s="20" t="inlineStr">
        <is>
          <t>Captive</t>
        </is>
      </c>
      <c r="L3150" s="20" t="inlineStr">
        <is>
          <t>VIJAY CARS ERODE</t>
        </is>
      </c>
      <c r="M3150" s="23" t="n">
        <v>5932.2</v>
      </c>
    </row>
    <row r="3151">
      <c r="A3151" s="19" t="inlineStr">
        <is>
          <t>FY27</t>
        </is>
      </c>
      <c r="B3151" s="19" t="inlineStr">
        <is>
          <t>Jul</t>
        </is>
      </c>
      <c r="C3151" s="19" t="inlineStr">
        <is>
          <t>TN</t>
        </is>
      </c>
      <c r="D3151" s="20" t="inlineStr">
        <is>
          <t>TN37BB6976</t>
        </is>
      </c>
      <c r="E3151" s="20" t="inlineStr">
        <is>
          <t>TATA</t>
        </is>
      </c>
      <c r="F3151" s="20" t="inlineStr">
        <is>
          <t>Indica</t>
        </is>
      </c>
      <c r="G3151" s="21" t="n">
        <v>2009</v>
      </c>
      <c r="H3151" s="22" t="n">
        <v>80005</v>
      </c>
      <c r="I3151" s="22" t="n">
        <v>50000</v>
      </c>
      <c r="J3151" s="20" t="inlineStr">
        <is>
          <t>EXCHANGE ROTN</t>
        </is>
      </c>
      <c r="K3151" s="20" t="inlineStr">
        <is>
          <t>Captive</t>
        </is>
      </c>
      <c r="L3151" s="20" t="inlineStr">
        <is>
          <t>SENTHUR FINANCE</t>
        </is>
      </c>
      <c r="M3151" s="23" t="n">
        <v>4237.29</v>
      </c>
    </row>
    <row r="3152">
      <c r="A3152" s="19" t="inlineStr">
        <is>
          <t>FY27</t>
        </is>
      </c>
      <c r="B3152" s="19" t="inlineStr">
        <is>
          <t>Jul</t>
        </is>
      </c>
      <c r="C3152" s="19" t="inlineStr">
        <is>
          <t>TN</t>
        </is>
      </c>
      <c r="D3152" s="20" t="inlineStr">
        <is>
          <t>TN09CH8943</t>
        </is>
      </c>
      <c r="E3152" s="20" t="inlineStr">
        <is>
          <t>HONDA</t>
        </is>
      </c>
      <c r="F3152" s="20" t="inlineStr">
        <is>
          <t>Wr-V</t>
        </is>
      </c>
      <c r="G3152" s="21" t="n">
        <v>2017</v>
      </c>
      <c r="H3152" s="22" t="n">
        <v>120435</v>
      </c>
      <c r="I3152" s="22" t="n">
        <v>330000</v>
      </c>
      <c r="J3152" s="20" t="inlineStr">
        <is>
          <t>EXCHANGE ROTN</t>
        </is>
      </c>
      <c r="K3152" s="20" t="inlineStr">
        <is>
          <t>Captive</t>
        </is>
      </c>
      <c r="L3152" s="20" t="inlineStr">
        <is>
          <t>GUGHAA CARS</t>
        </is>
      </c>
      <c r="M3152" s="23" t="n">
        <v>12711.86</v>
      </c>
    </row>
    <row r="3153">
      <c r="A3153" s="19" t="inlineStr">
        <is>
          <t>FY27</t>
        </is>
      </c>
      <c r="B3153" s="19" t="inlineStr">
        <is>
          <t>Jul</t>
        </is>
      </c>
      <c r="C3153" s="19" t="inlineStr">
        <is>
          <t>TN</t>
        </is>
      </c>
      <c r="D3153" s="20" t="inlineStr">
        <is>
          <t>TN23BQ4712</t>
        </is>
      </c>
      <c r="E3153" s="20" t="inlineStr">
        <is>
          <t>HYUNDAI</t>
        </is>
      </c>
      <c r="F3153" s="20" t="inlineStr">
        <is>
          <t>I10</t>
        </is>
      </c>
      <c r="G3153" s="21" t="n">
        <v>2013</v>
      </c>
      <c r="H3153" s="22" t="n">
        <v>73072</v>
      </c>
      <c r="I3153" s="22" t="n">
        <v>96000</v>
      </c>
      <c r="J3153" s="20" t="inlineStr">
        <is>
          <t>AUTO DRIVE</t>
        </is>
      </c>
      <c r="K3153" s="20" t="inlineStr">
        <is>
          <t>Non-Captive</t>
        </is>
      </c>
      <c r="L3153" s="20" t="inlineStr">
        <is>
          <t>SRI VIGNESH PRE OWNED CARS</t>
        </is>
      </c>
      <c r="M3153" s="23" t="n">
        <v>4237.29</v>
      </c>
    </row>
    <row r="3154">
      <c r="A3154" s="19" t="inlineStr">
        <is>
          <t>FY27</t>
        </is>
      </c>
      <c r="B3154" s="19" t="inlineStr">
        <is>
          <t>Jul</t>
        </is>
      </c>
      <c r="C3154" s="19" t="inlineStr">
        <is>
          <t>TN</t>
        </is>
      </c>
      <c r="D3154" s="20" t="inlineStr">
        <is>
          <t>TN37BK1039</t>
        </is>
      </c>
      <c r="E3154" s="20" t="inlineStr">
        <is>
          <t>FORD</t>
        </is>
      </c>
      <c r="F3154" s="20" t="inlineStr">
        <is>
          <t>Figo</t>
        </is>
      </c>
      <c r="G3154" s="21" t="n">
        <v>2010</v>
      </c>
      <c r="H3154" s="22" t="n">
        <v>105617</v>
      </c>
      <c r="I3154" s="22" t="n">
        <v>86000</v>
      </c>
      <c r="J3154" s="20" t="inlineStr">
        <is>
          <t>AADHI CARS PRIVATE LIMITED</t>
        </is>
      </c>
      <c r="K3154" s="20" t="inlineStr">
        <is>
          <t>Non-Captive</t>
        </is>
      </c>
      <c r="L3154" s="20" t="inlineStr">
        <is>
          <t>SRI VIGNESH PRE OWNED CARS</t>
        </is>
      </c>
      <c r="M3154" s="23" t="n">
        <v>4237.29</v>
      </c>
    </row>
    <row r="3155">
      <c r="A3155" s="19" t="inlineStr">
        <is>
          <t>FY27</t>
        </is>
      </c>
      <c r="B3155" s="19" t="inlineStr">
        <is>
          <t>Jul</t>
        </is>
      </c>
      <c r="C3155" s="19" t="inlineStr">
        <is>
          <t>TN</t>
        </is>
      </c>
      <c r="D3155" s="20" t="inlineStr">
        <is>
          <t>TN38BZ6507</t>
        </is>
      </c>
      <c r="E3155" s="20" t="inlineStr">
        <is>
          <t>CHEVROLET</t>
        </is>
      </c>
      <c r="F3155" s="20" t="inlineStr">
        <is>
          <t>Beat</t>
        </is>
      </c>
      <c r="G3155" s="21" t="n">
        <v>2015</v>
      </c>
      <c r="H3155" s="22" t="n">
        <v>56328</v>
      </c>
      <c r="I3155" s="22" t="n">
        <v>92000</v>
      </c>
      <c r="J3155" s="20" t="inlineStr">
        <is>
          <t>FUTURE AUTOMOTIVE</t>
        </is>
      </c>
      <c r="K3155" s="20" t="inlineStr">
        <is>
          <t>Non-Captive</t>
        </is>
      </c>
      <c r="L3155" s="20" t="inlineStr">
        <is>
          <t>SRI VIGNESH PRE OWNED CARS</t>
        </is>
      </c>
      <c r="M3155" s="23" t="n">
        <v>4237.29</v>
      </c>
    </row>
    <row r="3156">
      <c r="A3156" s="19" t="inlineStr">
        <is>
          <t>FY27</t>
        </is>
      </c>
      <c r="B3156" s="19" t="inlineStr">
        <is>
          <t>Jul</t>
        </is>
      </c>
      <c r="C3156" s="19" t="inlineStr">
        <is>
          <t>TN</t>
        </is>
      </c>
      <c r="D3156" s="20" t="inlineStr">
        <is>
          <t>KL21Y5043</t>
        </is>
      </c>
      <c r="E3156" s="20" t="inlineStr">
        <is>
          <t>RENAULT</t>
        </is>
      </c>
      <c r="F3156" s="20" t="inlineStr">
        <is>
          <t>Triber</t>
        </is>
      </c>
      <c r="G3156" s="21" t="n">
        <v>2023</v>
      </c>
      <c r="H3156" s="22" t="n">
        <v>36125</v>
      </c>
      <c r="I3156" s="22" t="n">
        <v>190000</v>
      </c>
      <c r="J3156" s="20" t="inlineStr">
        <is>
          <t>KAIRALI TOYOTA</t>
        </is>
      </c>
      <c r="K3156" s="20" t="inlineStr">
        <is>
          <t>Non-Captive</t>
        </is>
      </c>
      <c r="L3156" s="20" t="inlineStr">
        <is>
          <t>POPULAR ALLEPPY</t>
        </is>
      </c>
      <c r="M3156" s="23" t="n">
        <v>5000</v>
      </c>
    </row>
    <row r="3157">
      <c r="A3157" s="19" t="inlineStr">
        <is>
          <t>FY27</t>
        </is>
      </c>
      <c r="B3157" s="19" t="inlineStr">
        <is>
          <t>Jul</t>
        </is>
      </c>
      <c r="C3157" s="19" t="inlineStr">
        <is>
          <t>TN</t>
        </is>
      </c>
      <c r="D3157" s="20" t="inlineStr">
        <is>
          <t>KL16Q7456</t>
        </is>
      </c>
      <c r="E3157" s="20" t="inlineStr">
        <is>
          <t>HYUNDAI</t>
        </is>
      </c>
      <c r="F3157" s="20" t="inlineStr">
        <is>
          <t>Grand I10</t>
        </is>
      </c>
      <c r="G3157" s="21" t="n">
        <v>2016</v>
      </c>
      <c r="H3157" s="22" t="n">
        <v>47586</v>
      </c>
      <c r="I3157" s="22" t="n">
        <v>155000</v>
      </c>
      <c r="J3157" s="20" t="inlineStr">
        <is>
          <t>POPULAR MOTOR WORLD</t>
        </is>
      </c>
      <c r="K3157" s="20" t="inlineStr">
        <is>
          <t>Non-Captive</t>
        </is>
      </c>
      <c r="L3157" s="20" t="inlineStr">
        <is>
          <t>POPULAR ALLEPPY</t>
        </is>
      </c>
      <c r="M3157" s="23" t="n">
        <v>5000</v>
      </c>
    </row>
    <row r="3158">
      <c r="A3158" s="19" t="inlineStr">
        <is>
          <t>FY27</t>
        </is>
      </c>
      <c r="B3158" s="19" t="inlineStr">
        <is>
          <t>Jul</t>
        </is>
      </c>
      <c r="C3158" s="19" t="inlineStr">
        <is>
          <t>TN</t>
        </is>
      </c>
      <c r="D3158" s="20" t="inlineStr">
        <is>
          <t>KL05AT8889</t>
        </is>
      </c>
      <c r="E3158" s="20" t="inlineStr">
        <is>
          <t>HYUNDAI</t>
        </is>
      </c>
      <c r="F3158" s="20" t="inlineStr">
        <is>
          <t>I20</t>
        </is>
      </c>
      <c r="G3158" s="21" t="n">
        <v>2018</v>
      </c>
      <c r="H3158" s="22" t="n">
        <v>67421</v>
      </c>
      <c r="I3158" s="22" t="n">
        <v>190000</v>
      </c>
      <c r="J3158" s="20" t="inlineStr">
        <is>
          <t>TANIYA BASTIN</t>
        </is>
      </c>
      <c r="K3158" s="20" t="inlineStr">
        <is>
          <t>Non-Captive</t>
        </is>
      </c>
      <c r="L3158" s="20" t="inlineStr">
        <is>
          <t>SHAMNAD AH</t>
        </is>
      </c>
      <c r="M3158" s="23" t="n">
        <v>6779.66</v>
      </c>
    </row>
    <row r="3159">
      <c r="A3159" s="19" t="inlineStr">
        <is>
          <t>FY27</t>
        </is>
      </c>
      <c r="B3159" s="19" t="inlineStr">
        <is>
          <t>Jul</t>
        </is>
      </c>
      <c r="C3159" s="19" t="inlineStr">
        <is>
          <t>TN</t>
        </is>
      </c>
      <c r="D3159" s="20" t="inlineStr">
        <is>
          <t>KL14V0039</t>
        </is>
      </c>
      <c r="E3159" s="20" t="inlineStr">
        <is>
          <t>MARUTI</t>
        </is>
      </c>
      <c r="F3159" s="20" t="inlineStr">
        <is>
          <t>Brezza</t>
        </is>
      </c>
      <c r="G3159" s="21" t="n">
        <v>2017</v>
      </c>
      <c r="H3159" s="22" t="n">
        <v>156826</v>
      </c>
      <c r="I3159" s="22" t="n">
        <v>155000</v>
      </c>
      <c r="J3159" s="20" t="inlineStr">
        <is>
          <t>NIPPON TOYOTA</t>
        </is>
      </c>
      <c r="K3159" s="20" t="inlineStr">
        <is>
          <t>Non-Captive</t>
        </is>
      </c>
      <c r="L3159" s="20" t="inlineStr">
        <is>
          <t>SHAMNAD AH</t>
        </is>
      </c>
      <c r="M3159" s="23" t="n">
        <v>6779.66</v>
      </c>
    </row>
    <row r="3160">
      <c r="A3160" s="19" t="inlineStr">
        <is>
          <t>FY27</t>
        </is>
      </c>
      <c r="B3160" s="19" t="inlineStr">
        <is>
          <t>Jul</t>
        </is>
      </c>
      <c r="C3160" s="19" t="inlineStr">
        <is>
          <t>TN</t>
        </is>
      </c>
      <c r="D3160" s="20" t="inlineStr">
        <is>
          <t>KL01CH2061</t>
        </is>
      </c>
      <c r="E3160" s="20" t="inlineStr">
        <is>
          <t>HONDA</t>
        </is>
      </c>
      <c r="F3160" s="20" t="inlineStr">
        <is>
          <t>Amaze</t>
        </is>
      </c>
      <c r="G3160" s="21" t="n">
        <v>2018</v>
      </c>
      <c r="H3160" s="22" t="n">
        <v>120986</v>
      </c>
      <c r="I3160" s="22" t="n">
        <v>180000</v>
      </c>
      <c r="J3160" s="20" t="inlineStr">
        <is>
          <t>NIPPON TOYOTA</t>
        </is>
      </c>
      <c r="K3160" s="20" t="inlineStr">
        <is>
          <t>Non-Captive</t>
        </is>
      </c>
      <c r="L3160" s="20" t="inlineStr">
        <is>
          <t>SHAMNAD AH</t>
        </is>
      </c>
      <c r="M3160" s="23" t="n">
        <v>6779.66</v>
      </c>
    </row>
    <row r="3161">
      <c r="A3161" s="19" t="inlineStr">
        <is>
          <t>FY27</t>
        </is>
      </c>
      <c r="B3161" s="19" t="inlineStr">
        <is>
          <t>Jul</t>
        </is>
      </c>
      <c r="C3161" s="19" t="inlineStr">
        <is>
          <t>TN</t>
        </is>
      </c>
      <c r="D3161" s="20" t="inlineStr">
        <is>
          <t>KL22J5661</t>
        </is>
      </c>
      <c r="E3161" s="20" t="inlineStr">
        <is>
          <t>MARUTI</t>
        </is>
      </c>
      <c r="F3161" s="20" t="inlineStr">
        <is>
          <t>Eon</t>
        </is>
      </c>
      <c r="G3161" s="21" t="n">
        <v>2016</v>
      </c>
      <c r="H3161" s="22" t="n">
        <v>36851</v>
      </c>
      <c r="I3161" s="22" t="n">
        <v>190000</v>
      </c>
      <c r="J3161" s="20" t="inlineStr">
        <is>
          <t>NIPPON TOYOTA</t>
        </is>
      </c>
      <c r="K3161" s="20" t="inlineStr">
        <is>
          <t>Non-Captive</t>
        </is>
      </c>
      <c r="L3161" s="20" t="inlineStr">
        <is>
          <t>POPULAR THRISSUR</t>
        </is>
      </c>
      <c r="M3161" s="23" t="n">
        <v>5000</v>
      </c>
    </row>
    <row r="3162">
      <c r="A3162" s="19" t="inlineStr">
        <is>
          <t>FY27</t>
        </is>
      </c>
      <c r="B3162" s="19" t="inlineStr">
        <is>
          <t>Jul</t>
        </is>
      </c>
      <c r="C3162" s="19" t="inlineStr">
        <is>
          <t>TN</t>
        </is>
      </c>
      <c r="D3162" s="20" t="inlineStr">
        <is>
          <t>KL13R0347</t>
        </is>
      </c>
      <c r="E3162" s="20" t="inlineStr">
        <is>
          <t>MARUTI</t>
        </is>
      </c>
      <c r="F3162" s="20" t="inlineStr">
        <is>
          <t>Innova</t>
        </is>
      </c>
      <c r="G3162" s="21" t="n">
        <v>2006</v>
      </c>
      <c r="H3162" s="22" t="n">
        <v>300000</v>
      </c>
      <c r="I3162" s="22" t="n">
        <v>190000</v>
      </c>
      <c r="J3162" s="20" t="inlineStr">
        <is>
          <t>POPULAR ALLEPPY</t>
        </is>
      </c>
      <c r="K3162" s="20" t="inlineStr">
        <is>
          <t>Non-Captive</t>
        </is>
      </c>
      <c r="L3162" s="20" t="inlineStr">
        <is>
          <t>SHAMNAD AH</t>
        </is>
      </c>
      <c r="M3162" s="23" t="n">
        <v>6779.66</v>
      </c>
    </row>
    <row r="3163">
      <c r="A3163" s="19" t="inlineStr">
        <is>
          <t>FY27</t>
        </is>
      </c>
      <c r="B3163" s="19" t="inlineStr">
        <is>
          <t>Jul</t>
        </is>
      </c>
      <c r="C3163" s="19" t="inlineStr">
        <is>
          <t>TN</t>
        </is>
      </c>
      <c r="D3163" s="20" t="inlineStr">
        <is>
          <t>KL24G7573</t>
        </is>
      </c>
      <c r="E3163" s="20" t="inlineStr">
        <is>
          <t>MARUTI</t>
        </is>
      </c>
      <c r="F3163" s="20" t="inlineStr">
        <is>
          <t>Dzire</t>
        </is>
      </c>
      <c r="G3163" s="21" t="n">
        <v>2013</v>
      </c>
      <c r="H3163" s="22" t="n">
        <v>170565</v>
      </c>
      <c r="I3163" s="22" t="n">
        <v>155000</v>
      </c>
      <c r="J3163" s="20" t="inlineStr">
        <is>
          <t>NIPPON TOYOTA</t>
        </is>
      </c>
      <c r="K3163" s="20" t="inlineStr">
        <is>
          <t>Non-Captive</t>
        </is>
      </c>
      <c r="L3163" s="20" t="inlineStr">
        <is>
          <t>SHAMNAD AH</t>
        </is>
      </c>
      <c r="M3163" s="23" t="n">
        <v>6016.95</v>
      </c>
    </row>
    <row r="3164">
      <c r="A3164" s="19" t="inlineStr">
        <is>
          <t>FY27</t>
        </is>
      </c>
      <c r="B3164" s="19" t="inlineStr">
        <is>
          <t>Jul</t>
        </is>
      </c>
      <c r="C3164" s="19" t="inlineStr">
        <is>
          <t>TN</t>
        </is>
      </c>
      <c r="D3164" s="20" t="inlineStr">
        <is>
          <t>KL61E3780</t>
        </is>
      </c>
      <c r="E3164" s="20" t="inlineStr">
        <is>
          <t>MARUTI</t>
        </is>
      </c>
      <c r="F3164" s="20" t="inlineStr">
        <is>
          <t>Spresso</t>
        </is>
      </c>
      <c r="G3164" s="21" t="n">
        <v>2019</v>
      </c>
      <c r="H3164" s="22" t="n">
        <v>40990</v>
      </c>
      <c r="I3164" s="22" t="n">
        <v>180000</v>
      </c>
      <c r="J3164" s="20" t="inlineStr">
        <is>
          <t>NIPPON TOYOTA</t>
        </is>
      </c>
      <c r="K3164" s="20" t="inlineStr">
        <is>
          <t>Non-Captive</t>
        </is>
      </c>
      <c r="L3164" s="20" t="inlineStr">
        <is>
          <t>GENUINE CARS</t>
        </is>
      </c>
      <c r="M3164" s="23" t="n">
        <v>8474.58</v>
      </c>
    </row>
    <row r="3165">
      <c r="A3165" s="19" t="inlineStr">
        <is>
          <t>FY27</t>
        </is>
      </c>
      <c r="B3165" s="19" t="inlineStr">
        <is>
          <t>Jul</t>
        </is>
      </c>
      <c r="C3165" s="19" t="inlineStr">
        <is>
          <t>TN</t>
        </is>
      </c>
      <c r="D3165" s="20" t="inlineStr">
        <is>
          <t>KL21X7063</t>
        </is>
      </c>
      <c r="E3165" s="20" t="inlineStr">
        <is>
          <t>MARUTI</t>
        </is>
      </c>
      <c r="F3165" s="20" t="inlineStr">
        <is>
          <t>Wagonr</t>
        </is>
      </c>
      <c r="G3165" s="21" t="n">
        <v>2022</v>
      </c>
      <c r="H3165" s="22" t="n">
        <v>30701</v>
      </c>
      <c r="I3165" s="22" t="n">
        <v>190000</v>
      </c>
      <c r="J3165" s="20" t="inlineStr">
        <is>
          <t>KAIRALI TOYOTA</t>
        </is>
      </c>
      <c r="K3165" s="20" t="inlineStr">
        <is>
          <t>Non-Captive</t>
        </is>
      </c>
      <c r="L3165" s="20" t="inlineStr">
        <is>
          <t>SHAMNAD AH</t>
        </is>
      </c>
      <c r="M3165" s="23" t="n">
        <v>8474.58</v>
      </c>
    </row>
    <row r="3166">
      <c r="A3166" s="19" t="inlineStr">
        <is>
          <t>FY27</t>
        </is>
      </c>
      <c r="B3166" s="19" t="inlineStr">
        <is>
          <t>Jul</t>
        </is>
      </c>
      <c r="C3166" s="19" t="inlineStr">
        <is>
          <t>TN</t>
        </is>
      </c>
      <c r="D3166" s="20" t="inlineStr">
        <is>
          <t>KL01CM6699</t>
        </is>
      </c>
      <c r="E3166" s="20" t="inlineStr">
        <is>
          <t>MARUTI</t>
        </is>
      </c>
      <c r="F3166" s="20" t="inlineStr">
        <is>
          <t>Dzire</t>
        </is>
      </c>
      <c r="G3166" s="21" t="n">
        <v>2019</v>
      </c>
      <c r="H3166" s="22" t="n">
        <v>68430</v>
      </c>
      <c r="I3166" s="22" t="n">
        <v>190000</v>
      </c>
      <c r="J3166" s="20" t="inlineStr">
        <is>
          <t>NIPPON TOYOTA</t>
        </is>
      </c>
      <c r="K3166" s="20" t="inlineStr">
        <is>
          <t>Non-Captive</t>
        </is>
      </c>
      <c r="L3166" s="20" t="inlineStr">
        <is>
          <t>GENUINE CARS</t>
        </is>
      </c>
      <c r="M3166" s="23" t="n">
        <v>8474.58</v>
      </c>
    </row>
    <row r="3167">
      <c r="A3167" s="19" t="inlineStr">
        <is>
          <t>FY27</t>
        </is>
      </c>
      <c r="B3167" s="19" t="inlineStr">
        <is>
          <t>Jul</t>
        </is>
      </c>
      <c r="C3167" s="19" t="inlineStr">
        <is>
          <t>TN</t>
        </is>
      </c>
      <c r="D3167" s="20" t="inlineStr">
        <is>
          <t>KL01CF5171</t>
        </is>
      </c>
      <c r="E3167" s="20" t="inlineStr">
        <is>
          <t>MARUTI</t>
        </is>
      </c>
      <c r="F3167" s="20" t="inlineStr">
        <is>
          <t>Ertiga</t>
        </is>
      </c>
      <c r="G3167" s="21" t="n">
        <v>2018</v>
      </c>
      <c r="H3167" s="22" t="n">
        <v>198564</v>
      </c>
      <c r="I3167" s="22" t="n">
        <v>180000</v>
      </c>
      <c r="J3167" s="20" t="inlineStr">
        <is>
          <t>NIPPON TOYOTA</t>
        </is>
      </c>
      <c r="K3167" s="20" t="inlineStr">
        <is>
          <t>Non-Captive</t>
        </is>
      </c>
      <c r="L3167" s="20" t="inlineStr">
        <is>
          <t>SHAMNAD AH</t>
        </is>
      </c>
      <c r="M3167" s="23" t="n">
        <v>6016.95</v>
      </c>
    </row>
    <row r="3168">
      <c r="A3168" s="19" t="inlineStr">
        <is>
          <t>FY27</t>
        </is>
      </c>
      <c r="B3168" s="19" t="inlineStr">
        <is>
          <t>Jul</t>
        </is>
      </c>
      <c r="C3168" s="19" t="inlineStr">
        <is>
          <t>TN</t>
        </is>
      </c>
      <c r="D3168" s="20" t="inlineStr">
        <is>
          <t>KL01CW5415</t>
        </is>
      </c>
      <c r="E3168" s="20" t="inlineStr">
        <is>
          <t>MARUTI</t>
        </is>
      </c>
      <c r="F3168" s="20" t="inlineStr">
        <is>
          <t>Baleno</t>
        </is>
      </c>
      <c r="G3168" s="21" t="n">
        <v>2022</v>
      </c>
      <c r="H3168" s="22" t="n">
        <v>46858</v>
      </c>
      <c r="I3168" s="22" t="n">
        <v>190000</v>
      </c>
      <c r="J3168" s="20" t="inlineStr">
        <is>
          <t>NIPPON TOYOTA</t>
        </is>
      </c>
      <c r="K3168" s="20" t="inlineStr">
        <is>
          <t>Non-Captive</t>
        </is>
      </c>
      <c r="L3168" s="20" t="inlineStr">
        <is>
          <t>POPULAR KOTTAYAM</t>
        </is>
      </c>
      <c r="M3168" s="23" t="n">
        <v>5000</v>
      </c>
    </row>
    <row r="3169">
      <c r="A3169" s="19" t="inlineStr">
        <is>
          <t>FY27</t>
        </is>
      </c>
      <c r="B3169" s="19" t="inlineStr">
        <is>
          <t>Jul</t>
        </is>
      </c>
      <c r="C3169" s="19" t="inlineStr">
        <is>
          <t>TN</t>
        </is>
      </c>
      <c r="D3169" s="20" t="inlineStr">
        <is>
          <t>KL23H0045</t>
        </is>
      </c>
      <c r="E3169" s="20" t="inlineStr">
        <is>
          <t>MARUTI</t>
        </is>
      </c>
      <c r="F3169" s="20" t="inlineStr">
        <is>
          <t>Ertiga</t>
        </is>
      </c>
      <c r="G3169" s="21" t="n">
        <v>2016</v>
      </c>
      <c r="H3169" s="22" t="n">
        <v>67432</v>
      </c>
      <c r="I3169" s="22" t="n">
        <v>190000</v>
      </c>
      <c r="J3169" s="20" t="inlineStr">
        <is>
          <t>LATHA CARS</t>
        </is>
      </c>
      <c r="K3169" s="20" t="inlineStr">
        <is>
          <t>Non-Captive</t>
        </is>
      </c>
      <c r="L3169" s="20" t="inlineStr">
        <is>
          <t>GENUINE CARS</t>
        </is>
      </c>
      <c r="M3169" s="23" t="n">
        <v>8474.58</v>
      </c>
    </row>
    <row r="3170">
      <c r="A3170" s="19" t="inlineStr">
        <is>
          <t>FY27</t>
        </is>
      </c>
      <c r="B3170" s="19" t="inlineStr">
        <is>
          <t>Jul</t>
        </is>
      </c>
      <c r="C3170" s="19" t="inlineStr">
        <is>
          <t>TN</t>
        </is>
      </c>
      <c r="D3170" s="20" t="inlineStr">
        <is>
          <t>KL21N2222</t>
        </is>
      </c>
      <c r="E3170" s="20" t="inlineStr">
        <is>
          <t>MARUTI</t>
        </is>
      </c>
      <c r="F3170" s="20" t="inlineStr">
        <is>
          <t>Ciaz</t>
        </is>
      </c>
      <c r="G3170" s="21" t="n">
        <v>2017</v>
      </c>
      <c r="H3170" s="22" t="n">
        <v>57014</v>
      </c>
      <c r="I3170" s="22" t="n">
        <v>155000</v>
      </c>
      <c r="J3170" s="20" t="inlineStr">
        <is>
          <t>NIPPON TOYOTA</t>
        </is>
      </c>
      <c r="K3170" s="20" t="inlineStr">
        <is>
          <t>Non-Captive</t>
        </is>
      </c>
      <c r="L3170" s="20" t="inlineStr">
        <is>
          <t>SHAMNAD AH</t>
        </is>
      </c>
      <c r="M3170" s="23" t="n">
        <v>6016.95</v>
      </c>
    </row>
    <row r="3171">
      <c r="A3171" s="19" t="inlineStr">
        <is>
          <t>FY27</t>
        </is>
      </c>
      <c r="B3171" s="19" t="inlineStr">
        <is>
          <t>Jul</t>
        </is>
      </c>
      <c r="C3171" s="19" t="inlineStr">
        <is>
          <t>TN</t>
        </is>
      </c>
      <c r="D3171" s="20" t="inlineStr">
        <is>
          <t>TN01AR4519</t>
        </is>
      </c>
      <c r="E3171" s="20" t="inlineStr">
        <is>
          <t>HONDA</t>
        </is>
      </c>
      <c r="F3171" s="20" t="inlineStr">
        <is>
          <t>City</t>
        </is>
      </c>
      <c r="G3171" s="21" t="n">
        <v>2012</v>
      </c>
      <c r="H3171" s="22" t="n">
        <v>65176</v>
      </c>
      <c r="I3171" s="22" t="n">
        <v>245000</v>
      </c>
      <c r="J3171" s="20" t="inlineStr">
        <is>
          <t>CASTLE TRADERS Maruti</t>
        </is>
      </c>
      <c r="K3171" s="20" t="inlineStr">
        <is>
          <t>Non-Captive</t>
        </is>
      </c>
      <c r="L3171" s="20" t="inlineStr">
        <is>
          <t>Suganya Cars</t>
        </is>
      </c>
      <c r="M3171" s="23" t="n">
        <v>6355.93</v>
      </c>
    </row>
    <row r="3172">
      <c r="A3172" s="19" t="inlineStr">
        <is>
          <t>FY27</t>
        </is>
      </c>
      <c r="B3172" s="19" t="inlineStr">
        <is>
          <t>Jul</t>
        </is>
      </c>
      <c r="C3172" s="19" t="inlineStr">
        <is>
          <t>TN</t>
        </is>
      </c>
      <c r="D3172" s="20" t="inlineStr">
        <is>
          <t>TN20DD9173</t>
        </is>
      </c>
      <c r="E3172" s="20" t="inlineStr">
        <is>
          <t>MARUTI</t>
        </is>
      </c>
      <c r="F3172" s="20" t="inlineStr">
        <is>
          <t>Dzire</t>
        </is>
      </c>
      <c r="G3172" s="21" t="n">
        <v>2022</v>
      </c>
      <c r="H3172" s="22" t="n">
        <v>44539</v>
      </c>
      <c r="I3172" s="22" t="n">
        <v>605000</v>
      </c>
      <c r="J3172" s="20" t="inlineStr">
        <is>
          <t>CASTLE TRADERS Maruti</t>
        </is>
      </c>
      <c r="K3172" s="20" t="inlineStr">
        <is>
          <t>Non-Captive</t>
        </is>
      </c>
      <c r="L3172" s="20" t="inlineStr">
        <is>
          <t>T S Mahalingam and Sons</t>
        </is>
      </c>
      <c r="M3172" s="23" t="n">
        <v>6355.93</v>
      </c>
    </row>
    <row r="3173">
      <c r="A3173" s="19" t="inlineStr">
        <is>
          <t>FY27</t>
        </is>
      </c>
      <c r="B3173" s="19" t="inlineStr">
        <is>
          <t>Jul</t>
        </is>
      </c>
      <c r="C3173" s="19" t="inlineStr">
        <is>
          <t>TN</t>
        </is>
      </c>
      <c r="D3173" s="20" t="inlineStr">
        <is>
          <t>TN09CW2036</t>
        </is>
      </c>
      <c r="E3173" s="20" t="inlineStr">
        <is>
          <t>HONDA</t>
        </is>
      </c>
      <c r="F3173" s="20" t="inlineStr">
        <is>
          <t>City</t>
        </is>
      </c>
      <c r="G3173" s="21" t="n">
        <v>2020</v>
      </c>
      <c r="H3173" s="22" t="n">
        <v>100900</v>
      </c>
      <c r="I3173" s="22" t="n">
        <v>734380</v>
      </c>
      <c r="J3173" s="20" t="inlineStr">
        <is>
          <t>SMAS</t>
        </is>
      </c>
      <c r="K3173" s="20" t="inlineStr">
        <is>
          <t>Non-Captive</t>
        </is>
      </c>
      <c r="L3173" s="20" t="inlineStr">
        <is>
          <t>AAA CARS</t>
        </is>
      </c>
      <c r="M3173" s="23" t="n">
        <v>7627.12</v>
      </c>
    </row>
    <row r="3174">
      <c r="A3174" s="19" t="inlineStr">
        <is>
          <t>FY27</t>
        </is>
      </c>
      <c r="B3174" s="19" t="inlineStr">
        <is>
          <t>Jul</t>
        </is>
      </c>
      <c r="C3174" s="19" t="inlineStr">
        <is>
          <t>TN</t>
        </is>
      </c>
      <c r="D3174" s="20" t="inlineStr">
        <is>
          <t>TN18J4848</t>
        </is>
      </c>
      <c r="E3174" s="20" t="inlineStr">
        <is>
          <t>MARUTI</t>
        </is>
      </c>
      <c r="F3174" s="20" t="inlineStr">
        <is>
          <t>Swiftdzire</t>
        </is>
      </c>
      <c r="G3174" s="21" t="n">
        <v>2011</v>
      </c>
      <c r="H3174" s="22" t="n">
        <v>112245</v>
      </c>
      <c r="I3174" s="22" t="n">
        <v>240000</v>
      </c>
      <c r="J3174" s="20" t="inlineStr">
        <is>
          <t>EXCHANGE CHENNAI</t>
        </is>
      </c>
      <c r="K3174" s="20" t="inlineStr">
        <is>
          <t>Captive</t>
        </is>
      </c>
      <c r="L3174" s="20" t="inlineStr">
        <is>
          <t>Thiya Cars</t>
        </is>
      </c>
      <c r="M3174" s="23" t="n">
        <v>5084.75</v>
      </c>
    </row>
    <row r="3175">
      <c r="A3175" s="19" t="inlineStr">
        <is>
          <t>FY27</t>
        </is>
      </c>
      <c r="B3175" s="19" t="inlineStr">
        <is>
          <t>Jul</t>
        </is>
      </c>
      <c r="C3175" s="19" t="inlineStr">
        <is>
          <t>TN</t>
        </is>
      </c>
      <c r="D3175" s="20" t="inlineStr">
        <is>
          <t>TN07CT9828</t>
        </is>
      </c>
      <c r="E3175" s="20" t="inlineStr">
        <is>
          <t>MARUTI</t>
        </is>
      </c>
      <c r="F3175" s="20" t="inlineStr">
        <is>
          <t>Xl6</t>
        </is>
      </c>
      <c r="G3175" s="21" t="n">
        <v>2019</v>
      </c>
      <c r="H3175" s="22" t="n">
        <v>86043</v>
      </c>
      <c r="I3175" s="22" t="n">
        <v>680000</v>
      </c>
      <c r="J3175" s="20" t="inlineStr">
        <is>
          <t>EXCHANGE CHENNAI</t>
        </is>
      </c>
      <c r="K3175" s="20" t="inlineStr">
        <is>
          <t>Captive</t>
        </is>
      </c>
      <c r="L3175" s="20" t="inlineStr">
        <is>
          <t>Maruthi Industries</t>
        </is>
      </c>
      <c r="M3175" s="23" t="n">
        <v>12711.86</v>
      </c>
    </row>
    <row r="3176">
      <c r="A3176" s="19" t="inlineStr">
        <is>
          <t>FY27</t>
        </is>
      </c>
      <c r="B3176" s="19" t="inlineStr">
        <is>
          <t>Jul</t>
        </is>
      </c>
      <c r="C3176" s="19" t="inlineStr">
        <is>
          <t>TN</t>
        </is>
      </c>
      <c r="D3176" s="20" t="inlineStr">
        <is>
          <t>TN11E8120</t>
        </is>
      </c>
      <c r="E3176" s="20" t="inlineStr">
        <is>
          <t>HONDA</t>
        </is>
      </c>
      <c r="F3176" s="20" t="inlineStr">
        <is>
          <t>City</t>
        </is>
      </c>
      <c r="G3176" s="21" t="n">
        <v>2013</v>
      </c>
      <c r="H3176" s="22" t="n">
        <v>194902</v>
      </c>
      <c r="I3176" s="22" t="n">
        <v>225000</v>
      </c>
      <c r="J3176" s="20" t="inlineStr">
        <is>
          <t>EXCHANGE CHENNAI</t>
        </is>
      </c>
      <c r="K3176" s="20" t="inlineStr">
        <is>
          <t>Captive</t>
        </is>
      </c>
      <c r="L3176" s="20" t="inlineStr">
        <is>
          <t>NIRMAL CARS</t>
        </is>
      </c>
      <c r="M3176" s="23" t="n">
        <v>8474.58</v>
      </c>
    </row>
    <row r="3177">
      <c r="A3177" s="19" t="inlineStr">
        <is>
          <t>FY27</t>
        </is>
      </c>
      <c r="B3177" s="19" t="inlineStr">
        <is>
          <t>Jul</t>
        </is>
      </c>
      <c r="C3177" s="19" t="inlineStr">
        <is>
          <t>TN</t>
        </is>
      </c>
      <c r="D3177" s="20" t="inlineStr">
        <is>
          <t>TN07CH1598</t>
        </is>
      </c>
      <c r="E3177" s="20" t="inlineStr">
        <is>
          <t>HONDA</t>
        </is>
      </c>
      <c r="F3177" s="20" t="inlineStr">
        <is>
          <t>Amaze</t>
        </is>
      </c>
      <c r="G3177" s="21" t="n">
        <v>2016</v>
      </c>
      <c r="H3177" s="22" t="n">
        <v>143095</v>
      </c>
      <c r="I3177" s="22" t="n">
        <v>210000</v>
      </c>
      <c r="J3177" s="20" t="inlineStr">
        <is>
          <t>EXCHANGE CHENNAI</t>
        </is>
      </c>
      <c r="K3177" s="20" t="inlineStr">
        <is>
          <t>Captive</t>
        </is>
      </c>
      <c r="L3177" s="20" t="inlineStr">
        <is>
          <t>SANTHOSH CARS</t>
        </is>
      </c>
      <c r="M3177" s="23" t="n">
        <v>4237.29</v>
      </c>
    </row>
    <row r="3178">
      <c r="A3178" s="19" t="inlineStr">
        <is>
          <t>FY27</t>
        </is>
      </c>
      <c r="B3178" s="19" t="inlineStr">
        <is>
          <t>Jul</t>
        </is>
      </c>
      <c r="C3178" s="19" t="inlineStr">
        <is>
          <t>TN</t>
        </is>
      </c>
      <c r="D3178" s="20" t="inlineStr">
        <is>
          <t>TN13AD2581</t>
        </is>
      </c>
      <c r="E3178" s="20" t="inlineStr">
        <is>
          <t>TATA</t>
        </is>
      </c>
      <c r="F3178" s="20" t="inlineStr">
        <is>
          <t>Punch</t>
        </is>
      </c>
      <c r="G3178" s="21" t="n">
        <v>2024</v>
      </c>
      <c r="H3178" s="22" t="n">
        <v>12931</v>
      </c>
      <c r="I3178" s="22" t="n">
        <v>670000</v>
      </c>
      <c r="J3178" s="20" t="inlineStr">
        <is>
          <t>EXCHANGE CHENNAI</t>
        </is>
      </c>
      <c r="K3178" s="20" t="inlineStr">
        <is>
          <t>Captive</t>
        </is>
      </c>
      <c r="L3178" s="20" t="inlineStr">
        <is>
          <t>Value Drive Tech</t>
        </is>
      </c>
      <c r="M3178" s="23" t="n">
        <v>8474.58</v>
      </c>
    </row>
    <row r="3179">
      <c r="A3179" s="19" t="inlineStr">
        <is>
          <t>FY27</t>
        </is>
      </c>
      <c r="B3179" s="19" t="inlineStr">
        <is>
          <t>Jul</t>
        </is>
      </c>
      <c r="C3179" s="19" t="inlineStr">
        <is>
          <t>TN</t>
        </is>
      </c>
      <c r="D3179" s="20" t="inlineStr">
        <is>
          <t>KA16M6012</t>
        </is>
      </c>
      <c r="E3179" s="20" t="inlineStr">
        <is>
          <t>TATA</t>
        </is>
      </c>
      <c r="F3179" s="20" t="inlineStr">
        <is>
          <t>Nano</t>
        </is>
      </c>
      <c r="G3179" s="21" t="n">
        <v>2010</v>
      </c>
      <c r="H3179" s="22" t="n">
        <v>32784</v>
      </c>
      <c r="I3179" s="22" t="n">
        <v>20000</v>
      </c>
      <c r="J3179" s="20" t="inlineStr">
        <is>
          <t>EXCHANGE CHENNAI</t>
        </is>
      </c>
      <c r="K3179" s="20" t="inlineStr">
        <is>
          <t>Captive</t>
        </is>
      </c>
      <c r="L3179" s="20" t="inlineStr">
        <is>
          <t>SANTHOSH CARS</t>
        </is>
      </c>
      <c r="M3179" s="23" t="n">
        <v>4237.29</v>
      </c>
    </row>
    <row r="3180">
      <c r="A3180" s="19" t="inlineStr">
        <is>
          <t>FY27</t>
        </is>
      </c>
      <c r="B3180" s="19" t="inlineStr">
        <is>
          <t>Jul</t>
        </is>
      </c>
      <c r="C3180" s="19" t="inlineStr">
        <is>
          <t>TN</t>
        </is>
      </c>
      <c r="D3180" s="20" t="inlineStr">
        <is>
          <t>TN07BY6997</t>
        </is>
      </c>
      <c r="E3180" s="20" t="inlineStr">
        <is>
          <t>HONDA</t>
        </is>
      </c>
      <c r="F3180" s="20" t="inlineStr">
        <is>
          <t>Amaze</t>
        </is>
      </c>
      <c r="G3180" s="21" t="n">
        <v>2014</v>
      </c>
      <c r="H3180" s="22" t="n">
        <v>56060</v>
      </c>
      <c r="I3180" s="22" t="n">
        <v>265000</v>
      </c>
      <c r="J3180" s="20" t="inlineStr">
        <is>
          <t>EXCHANGE CHENNAI</t>
        </is>
      </c>
      <c r="K3180" s="20" t="inlineStr">
        <is>
          <t>Captive</t>
        </is>
      </c>
      <c r="L3180" s="20" t="inlineStr">
        <is>
          <t>PINE AUTOS</t>
        </is>
      </c>
      <c r="M3180" s="23" t="n">
        <v>8474.58</v>
      </c>
    </row>
    <row r="3181">
      <c r="A3181" s="19" t="inlineStr">
        <is>
          <t>FY27</t>
        </is>
      </c>
      <c r="B3181" s="19" t="inlineStr">
        <is>
          <t>Jul</t>
        </is>
      </c>
      <c r="C3181" s="19" t="inlineStr">
        <is>
          <t>TN</t>
        </is>
      </c>
      <c r="D3181" s="20" t="inlineStr">
        <is>
          <t>TN09DE7335</t>
        </is>
      </c>
      <c r="E3181" s="20" t="inlineStr">
        <is>
          <t>SKODA</t>
        </is>
      </c>
      <c r="F3181" s="20" t="inlineStr">
        <is>
          <t>Kushaq</t>
        </is>
      </c>
      <c r="G3181" s="21" t="n">
        <v>2023</v>
      </c>
      <c r="H3181" s="22" t="n">
        <v>26958</v>
      </c>
      <c r="I3181" s="22" t="n">
        <v>595000</v>
      </c>
      <c r="J3181" s="20" t="inlineStr">
        <is>
          <t>Harsha Toyota</t>
        </is>
      </c>
      <c r="K3181" s="20" t="inlineStr">
        <is>
          <t>Non-Captive</t>
        </is>
      </c>
      <c r="L3181" s="20" t="inlineStr">
        <is>
          <t>Thiyagarajan Raja Cars</t>
        </is>
      </c>
      <c r="M3181" s="23" t="n">
        <v>7627.12</v>
      </c>
    </row>
    <row r="3182">
      <c r="A3182" s="19" t="inlineStr">
        <is>
          <t>FY27</t>
        </is>
      </c>
      <c r="B3182" s="19" t="inlineStr">
        <is>
          <t>Jul</t>
        </is>
      </c>
      <c r="C3182" s="19" t="inlineStr">
        <is>
          <t>TN</t>
        </is>
      </c>
      <c r="D3182" s="20" t="inlineStr">
        <is>
          <t>TN10BL6212</t>
        </is>
      </c>
      <c r="E3182" s="20" t="inlineStr">
        <is>
          <t>MARUTI</t>
        </is>
      </c>
      <c r="F3182" s="20" t="inlineStr">
        <is>
          <t>Dzire</t>
        </is>
      </c>
      <c r="G3182" s="21" t="n">
        <v>2020</v>
      </c>
      <c r="H3182" s="22" t="n">
        <v>58739</v>
      </c>
      <c r="I3182" s="22" t="n">
        <v>96000</v>
      </c>
      <c r="J3182" s="20" t="inlineStr">
        <is>
          <t>AUTOMOTIVE MANUFACTURES PRIVATE LIMITED</t>
        </is>
      </c>
      <c r="K3182" s="20" t="inlineStr">
        <is>
          <t>Non-Captive</t>
        </is>
      </c>
      <c r="L3182" s="20" t="inlineStr">
        <is>
          <t>Senthil Cars</t>
        </is>
      </c>
      <c r="M3182" s="23" t="n">
        <v>4237.29</v>
      </c>
    </row>
    <row r="3183">
      <c r="A3183" s="19" t="inlineStr">
        <is>
          <t>FY27</t>
        </is>
      </c>
      <c r="B3183" s="19" t="inlineStr">
        <is>
          <t>Jul</t>
        </is>
      </c>
      <c r="C3183" s="19" t="inlineStr">
        <is>
          <t>TN</t>
        </is>
      </c>
      <c r="D3183" s="20" t="inlineStr">
        <is>
          <t>TN12J6886</t>
        </is>
      </c>
      <c r="E3183" s="20" t="inlineStr">
        <is>
          <t>MARUTI</t>
        </is>
      </c>
      <c r="F3183" s="20" t="inlineStr">
        <is>
          <t>Swift</t>
        </is>
      </c>
      <c r="G3183" s="21" t="n">
        <v>2015</v>
      </c>
      <c r="H3183" s="22" t="n">
        <v>105673</v>
      </c>
      <c r="I3183" s="22" t="n">
        <v>365000</v>
      </c>
      <c r="J3183" s="20" t="inlineStr">
        <is>
          <t>CASTLE TRADERS Maruti</t>
        </is>
      </c>
      <c r="K3183" s="20" t="inlineStr">
        <is>
          <t>Non-Captive</t>
        </is>
      </c>
      <c r="L3183" s="20" t="inlineStr">
        <is>
          <t>33cars</t>
        </is>
      </c>
      <c r="M3183" s="23" t="n">
        <v>8474.58</v>
      </c>
    </row>
    <row r="3184">
      <c r="A3184" s="19" t="inlineStr">
        <is>
          <t>FY27</t>
        </is>
      </c>
      <c r="B3184" s="19" t="inlineStr">
        <is>
          <t>Jul</t>
        </is>
      </c>
      <c r="C3184" s="19" t="inlineStr">
        <is>
          <t>TN</t>
        </is>
      </c>
      <c r="D3184" s="20" t="inlineStr">
        <is>
          <t>TN01AW2671</t>
        </is>
      </c>
      <c r="E3184" s="20" t="inlineStr">
        <is>
          <t>HONDA</t>
        </is>
      </c>
      <c r="F3184" s="20" t="inlineStr">
        <is>
          <t>City</t>
        </is>
      </c>
      <c r="G3184" s="21" t="n">
        <v>2014</v>
      </c>
      <c r="H3184" s="22" t="n">
        <v>93755</v>
      </c>
      <c r="I3184" s="22" t="n">
        <v>360000</v>
      </c>
      <c r="J3184" s="20" t="inlineStr">
        <is>
          <t>EXCHANGE CHENNAI</t>
        </is>
      </c>
      <c r="K3184" s="20" t="inlineStr">
        <is>
          <t>Captive</t>
        </is>
      </c>
      <c r="L3184" s="20" t="inlineStr">
        <is>
          <t>Maruthi Industries</t>
        </is>
      </c>
      <c r="M3184" s="23" t="n">
        <v>6779.66</v>
      </c>
    </row>
    <row r="3185">
      <c r="A3185" s="19" t="inlineStr">
        <is>
          <t>FY27</t>
        </is>
      </c>
      <c r="B3185" s="19" t="inlineStr">
        <is>
          <t>Jul</t>
        </is>
      </c>
      <c r="C3185" s="19" t="inlineStr">
        <is>
          <t>TN</t>
        </is>
      </c>
      <c r="D3185" s="20" t="inlineStr">
        <is>
          <t>TN06AE6322</t>
        </is>
      </c>
      <c r="E3185" s="20" t="inlineStr">
        <is>
          <t>TATA</t>
        </is>
      </c>
      <c r="F3185" s="20" t="inlineStr">
        <is>
          <t>Nexon</t>
        </is>
      </c>
      <c r="G3185" s="21" t="n">
        <v>2023</v>
      </c>
      <c r="H3185" s="22" t="n">
        <v>31154</v>
      </c>
      <c r="I3185" s="22" t="n">
        <v>630000</v>
      </c>
      <c r="J3185" s="20" t="inlineStr">
        <is>
          <t>EXCHANGE CHENNAI</t>
        </is>
      </c>
      <c r="K3185" s="20" t="inlineStr">
        <is>
          <t>Captive</t>
        </is>
      </c>
      <c r="L3185" s="20" t="inlineStr">
        <is>
          <t>SANTHOSH CARS</t>
        </is>
      </c>
      <c r="M3185" s="23" t="n">
        <v>7627.12</v>
      </c>
    </row>
    <row r="3186">
      <c r="A3186" s="19" t="inlineStr">
        <is>
          <t>FY27</t>
        </is>
      </c>
      <c r="B3186" s="19" t="inlineStr">
        <is>
          <t>Jul</t>
        </is>
      </c>
      <c r="C3186" s="19" t="inlineStr">
        <is>
          <t>TN</t>
        </is>
      </c>
      <c r="D3186" s="20" t="inlineStr">
        <is>
          <t>TN10K9686</t>
        </is>
      </c>
      <c r="E3186" s="20" t="inlineStr">
        <is>
          <t>MARUTI</t>
        </is>
      </c>
      <c r="F3186" s="20" t="inlineStr">
        <is>
          <t>Alto</t>
        </is>
      </c>
      <c r="G3186" s="21" t="n">
        <v>2007</v>
      </c>
      <c r="H3186" s="22" t="n">
        <v>124965</v>
      </c>
      <c r="I3186" s="22" t="n">
        <v>50000</v>
      </c>
      <c r="J3186" s="20" t="inlineStr">
        <is>
          <t>EXCHANGE CHENNAI</t>
        </is>
      </c>
      <c r="K3186" s="20" t="inlineStr">
        <is>
          <t>Captive</t>
        </is>
      </c>
      <c r="L3186" s="20" t="inlineStr">
        <is>
          <t>SANTHOSH CARS</t>
        </is>
      </c>
      <c r="M3186" s="23" t="n">
        <v>4237.29</v>
      </c>
    </row>
    <row r="3187">
      <c r="A3187" s="19" t="inlineStr">
        <is>
          <t>FY27</t>
        </is>
      </c>
      <c r="B3187" s="19" t="inlineStr">
        <is>
          <t>Jul</t>
        </is>
      </c>
      <c r="C3187" s="19" t="inlineStr">
        <is>
          <t>TN</t>
        </is>
      </c>
      <c r="D3187" s="20" t="inlineStr">
        <is>
          <t>TN02BK3573</t>
        </is>
      </c>
      <c r="E3187" s="20" t="inlineStr">
        <is>
          <t>HYUNDAI</t>
        </is>
      </c>
      <c r="F3187" s="20" t="inlineStr">
        <is>
          <t>I20</t>
        </is>
      </c>
      <c r="G3187" s="21" t="n">
        <v>2017</v>
      </c>
      <c r="H3187" s="22" t="n">
        <v>98244</v>
      </c>
      <c r="I3187" s="22" t="n">
        <v>450000</v>
      </c>
      <c r="J3187" s="20" t="inlineStr">
        <is>
          <t>EXCHANGE CHENNAI</t>
        </is>
      </c>
      <c r="K3187" s="20" t="inlineStr">
        <is>
          <t>Captive</t>
        </is>
      </c>
      <c r="L3187" s="20" t="inlineStr">
        <is>
          <t>NIRMAL CARS</t>
        </is>
      </c>
      <c r="M3187" s="23" t="n">
        <v>8474.58</v>
      </c>
    </row>
    <row r="3188">
      <c r="A3188" s="19" t="inlineStr">
        <is>
          <t>FY27</t>
        </is>
      </c>
      <c r="B3188" s="19" t="inlineStr">
        <is>
          <t>Jul</t>
        </is>
      </c>
      <c r="C3188" s="19" t="inlineStr">
        <is>
          <t>TN</t>
        </is>
      </c>
      <c r="D3188" s="20" t="inlineStr">
        <is>
          <t>TN10AQ5845</t>
        </is>
      </c>
      <c r="E3188" s="20" t="inlineStr">
        <is>
          <t>HONDA</t>
        </is>
      </c>
      <c r="F3188" s="20" t="inlineStr">
        <is>
          <t>City</t>
        </is>
      </c>
      <c r="G3188" s="21" t="n">
        <v>2014</v>
      </c>
      <c r="H3188" s="22" t="n">
        <v>102084</v>
      </c>
      <c r="I3188" s="22" t="n">
        <v>400000</v>
      </c>
      <c r="J3188" s="20" t="inlineStr">
        <is>
          <t>EXCHANGE CHENNAI</t>
        </is>
      </c>
      <c r="K3188" s="20" t="inlineStr">
        <is>
          <t>Captive</t>
        </is>
      </c>
      <c r="L3188" s="20" t="inlineStr">
        <is>
          <t>Maruthi Industries</t>
        </is>
      </c>
      <c r="M3188" s="23" t="n">
        <v>8474.58</v>
      </c>
    </row>
    <row r="3189">
      <c r="A3189" s="19" t="inlineStr">
        <is>
          <t>FY27</t>
        </is>
      </c>
      <c r="B3189" s="19" t="inlineStr">
        <is>
          <t>Jul</t>
        </is>
      </c>
      <c r="C3189" s="19" t="inlineStr">
        <is>
          <t>TN</t>
        </is>
      </c>
      <c r="D3189" s="20" t="inlineStr">
        <is>
          <t>TN14AD5187</t>
        </is>
      </c>
      <c r="E3189" s="20" t="inlineStr">
        <is>
          <t>MARUTI</t>
        </is>
      </c>
      <c r="F3189" s="20" t="inlineStr">
        <is>
          <t>Baleno</t>
        </is>
      </c>
      <c r="G3189" s="21" t="n">
        <v>2023</v>
      </c>
      <c r="H3189" s="22" t="n">
        <v>38403</v>
      </c>
      <c r="I3189" s="22" t="n">
        <v>92000</v>
      </c>
      <c r="J3189" s="20" t="inlineStr">
        <is>
          <t>GURUDEV MOTORS LLP</t>
        </is>
      </c>
      <c r="K3189" s="20" t="inlineStr">
        <is>
          <t>Non-Captive</t>
        </is>
      </c>
      <c r="L3189" s="20" t="inlineStr">
        <is>
          <t>GRID 33</t>
        </is>
      </c>
      <c r="M3189" s="23" t="n">
        <v>4237.29</v>
      </c>
    </row>
    <row r="3190">
      <c r="A3190" s="19" t="inlineStr">
        <is>
          <t>FY27</t>
        </is>
      </c>
      <c r="B3190" s="19" t="inlineStr">
        <is>
          <t>Jul</t>
        </is>
      </c>
      <c r="C3190" s="19" t="inlineStr">
        <is>
          <t>TN</t>
        </is>
      </c>
      <c r="D3190" s="20" t="inlineStr">
        <is>
          <t>TN05BC2814</t>
        </is>
      </c>
      <c r="E3190" s="20" t="inlineStr">
        <is>
          <t>MARUTI</t>
        </is>
      </c>
      <c r="F3190" s="20" t="inlineStr">
        <is>
          <t>Eeco</t>
        </is>
      </c>
      <c r="G3190" s="21" t="n">
        <v>2015</v>
      </c>
      <c r="H3190" s="22" t="n">
        <v>114219</v>
      </c>
      <c r="I3190" s="22" t="n">
        <v>97000</v>
      </c>
      <c r="J3190" s="20" t="inlineStr">
        <is>
          <t>STEER AUTO TECHNOLOGIES PRIVATE LIMITED</t>
        </is>
      </c>
      <c r="K3190" s="20" t="inlineStr">
        <is>
          <t>Non-Captive</t>
        </is>
      </c>
      <c r="L3190" s="20" t="inlineStr">
        <is>
          <t>Senthil Cars</t>
        </is>
      </c>
      <c r="M3190" s="23" t="n">
        <v>4237.29</v>
      </c>
    </row>
    <row r="3191">
      <c r="A3191" s="19" t="inlineStr">
        <is>
          <t>FY27</t>
        </is>
      </c>
      <c r="B3191" s="19" t="inlineStr">
        <is>
          <t>Jul</t>
        </is>
      </c>
      <c r="C3191" s="19" t="inlineStr">
        <is>
          <t>TN</t>
        </is>
      </c>
      <c r="D3191" s="20" t="inlineStr">
        <is>
          <t>TN02BA4987</t>
        </is>
      </c>
      <c r="E3191" s="20" t="inlineStr">
        <is>
          <t>HONDA</t>
        </is>
      </c>
      <c r="F3191" s="20" t="inlineStr">
        <is>
          <t>Amaze</t>
        </is>
      </c>
      <c r="G3191" s="21" t="n">
        <v>2014</v>
      </c>
      <c r="H3191" s="22" t="n">
        <v>23490</v>
      </c>
      <c r="I3191" s="22" t="n">
        <v>98000</v>
      </c>
      <c r="J3191" s="20" t="inlineStr">
        <is>
          <t>CAR HUB</t>
        </is>
      </c>
      <c r="K3191" s="20" t="inlineStr">
        <is>
          <t>Non-Captive</t>
        </is>
      </c>
      <c r="L3191" s="20" t="inlineStr">
        <is>
          <t>NIRMAL CARS</t>
        </is>
      </c>
      <c r="M3191" s="23" t="n">
        <v>4237.29</v>
      </c>
    </row>
    <row r="3192">
      <c r="A3192" s="19" t="inlineStr">
        <is>
          <t>FY27</t>
        </is>
      </c>
      <c r="B3192" s="19" t="inlineStr">
        <is>
          <t>Jul</t>
        </is>
      </c>
      <c r="C3192" s="19" t="inlineStr">
        <is>
          <t>TN</t>
        </is>
      </c>
      <c r="D3192" s="20" t="inlineStr">
        <is>
          <t>TN20DD5494</t>
        </is>
      </c>
      <c r="E3192" s="20" t="inlineStr">
        <is>
          <t>MARUTI</t>
        </is>
      </c>
      <c r="F3192" s="20" t="inlineStr">
        <is>
          <t>Xl6</t>
        </is>
      </c>
      <c r="G3192" s="21" t="n">
        <v>2022</v>
      </c>
      <c r="H3192" s="22" t="n">
        <v>38895</v>
      </c>
      <c r="I3192" s="22" t="n">
        <v>95000</v>
      </c>
      <c r="J3192" s="20" t="inlineStr">
        <is>
          <t>KALYANIMOTORS MARUTHI</t>
        </is>
      </c>
      <c r="K3192" s="20" t="inlineStr">
        <is>
          <t>Non-Captive</t>
        </is>
      </c>
      <c r="L3192" s="20" t="inlineStr">
        <is>
          <t>GRID 33</t>
        </is>
      </c>
      <c r="M3192" s="23" t="n">
        <v>4237.29</v>
      </c>
    </row>
    <row r="3193">
      <c r="A3193" s="19" t="inlineStr">
        <is>
          <t>FY27</t>
        </is>
      </c>
      <c r="B3193" s="19" t="inlineStr">
        <is>
          <t>Jul</t>
        </is>
      </c>
      <c r="C3193" s="19" t="inlineStr">
        <is>
          <t>TN</t>
        </is>
      </c>
      <c r="D3193" s="20" t="inlineStr">
        <is>
          <t>TN20DC1676</t>
        </is>
      </c>
      <c r="E3193" s="20" t="inlineStr">
        <is>
          <t>MARUTI</t>
        </is>
      </c>
      <c r="F3193" s="20" t="inlineStr">
        <is>
          <t>Spresso</t>
        </is>
      </c>
      <c r="G3193" s="21" t="n">
        <v>2021</v>
      </c>
      <c r="H3193" s="22" t="n">
        <v>129559</v>
      </c>
      <c r="I3193" s="22" t="n">
        <v>99000</v>
      </c>
      <c r="J3193" s="20" t="inlineStr">
        <is>
          <t>Rajalakshmi Cars</t>
        </is>
      </c>
      <c r="K3193" s="20" t="inlineStr">
        <is>
          <t>Non-Captive</t>
        </is>
      </c>
      <c r="L3193" s="20" t="inlineStr">
        <is>
          <t>Senthil Cars</t>
        </is>
      </c>
      <c r="M3193" s="23" t="n">
        <v>4237.29</v>
      </c>
    </row>
    <row r="3194">
      <c r="A3194" s="19" t="inlineStr">
        <is>
          <t>FY27</t>
        </is>
      </c>
      <c r="B3194" s="19" t="inlineStr">
        <is>
          <t>Jul</t>
        </is>
      </c>
      <c r="C3194" s="19" t="inlineStr">
        <is>
          <t>TN</t>
        </is>
      </c>
      <c r="D3194" s="20" t="inlineStr">
        <is>
          <t>TN18AL3693</t>
        </is>
      </c>
      <c r="E3194" s="20" t="inlineStr">
        <is>
          <t>MARUTI</t>
        </is>
      </c>
      <c r="F3194" s="20" t="inlineStr">
        <is>
          <t>Celerio</t>
        </is>
      </c>
      <c r="G3194" s="21" t="n">
        <v>2017</v>
      </c>
      <c r="H3194" s="22" t="n">
        <v>88502</v>
      </c>
      <c r="I3194" s="22" t="n">
        <v>97000</v>
      </c>
      <c r="J3194" s="20" t="inlineStr">
        <is>
          <t>Cresco cars</t>
        </is>
      </c>
      <c r="K3194" s="20" t="inlineStr">
        <is>
          <t>Non-Captive</t>
        </is>
      </c>
      <c r="L3194" s="20" t="inlineStr">
        <is>
          <t>Senthil Cars</t>
        </is>
      </c>
      <c r="M3194" s="23" t="n">
        <v>4237.29</v>
      </c>
    </row>
    <row r="3195">
      <c r="A3195" s="19" t="inlineStr">
        <is>
          <t>FY27</t>
        </is>
      </c>
      <c r="B3195" s="19" t="inlineStr">
        <is>
          <t>Jul</t>
        </is>
      </c>
      <c r="C3195" s="19" t="inlineStr">
        <is>
          <t>TN</t>
        </is>
      </c>
      <c r="D3195" s="20" t="inlineStr">
        <is>
          <t>TN04AL5721</t>
        </is>
      </c>
      <c r="E3195" s="20" t="inlineStr">
        <is>
          <t>FIAT</t>
        </is>
      </c>
      <c r="F3195" s="20" t="inlineStr">
        <is>
          <t>Punto</t>
        </is>
      </c>
      <c r="G3195" s="21" t="n">
        <v>2013</v>
      </c>
      <c r="H3195" s="22" t="n">
        <v>108706</v>
      </c>
      <c r="I3195" s="22" t="n">
        <v>93000</v>
      </c>
      <c r="J3195" s="20" t="inlineStr">
        <is>
          <t>NIRMAL CARS</t>
        </is>
      </c>
      <c r="K3195" s="20" t="inlineStr">
        <is>
          <t>Non-Captive</t>
        </is>
      </c>
      <c r="L3195" s="20" t="inlineStr">
        <is>
          <t>Senthil Cars</t>
        </is>
      </c>
      <c r="M3195" s="23" t="n">
        <v>4237.29</v>
      </c>
    </row>
    <row r="3196">
      <c r="A3196" s="19" t="inlineStr">
        <is>
          <t>FY27</t>
        </is>
      </c>
      <c r="B3196" s="19" t="inlineStr">
        <is>
          <t>Jul</t>
        </is>
      </c>
      <c r="C3196" s="19" t="inlineStr">
        <is>
          <t>TN</t>
        </is>
      </c>
      <c r="D3196" s="20" t="inlineStr">
        <is>
          <t>TN10U0936</t>
        </is>
      </c>
      <c r="E3196" s="20" t="inlineStr">
        <is>
          <t>HYUNDAI</t>
        </is>
      </c>
      <c r="F3196" s="20" t="inlineStr">
        <is>
          <t>I10</t>
        </is>
      </c>
      <c r="G3196" s="21" t="n">
        <v>2008</v>
      </c>
      <c r="H3196" s="22" t="n">
        <v>110063</v>
      </c>
      <c r="I3196" s="22" t="n">
        <v>97000</v>
      </c>
      <c r="J3196" s="20" t="inlineStr">
        <is>
          <t>CAR HUB</t>
        </is>
      </c>
      <c r="K3196" s="20" t="inlineStr">
        <is>
          <t>Non-Captive</t>
        </is>
      </c>
      <c r="L3196" s="20" t="inlineStr">
        <is>
          <t>NIRMAL CARS</t>
        </is>
      </c>
      <c r="M3196" s="23" t="n">
        <v>4237.29</v>
      </c>
    </row>
    <row r="3197">
      <c r="A3197" s="19" t="inlineStr">
        <is>
          <t>FY27</t>
        </is>
      </c>
      <c r="B3197" s="19" t="inlineStr">
        <is>
          <t>Jul</t>
        </is>
      </c>
      <c r="C3197" s="19" t="inlineStr">
        <is>
          <t>TN</t>
        </is>
      </c>
      <c r="D3197" s="20" t="inlineStr">
        <is>
          <t>TN36S8898</t>
        </is>
      </c>
      <c r="E3197" s="20" t="inlineStr">
        <is>
          <t>CHEVROLET</t>
        </is>
      </c>
      <c r="F3197" s="20" t="inlineStr">
        <is>
          <t>Spark</t>
        </is>
      </c>
      <c r="G3197" s="21" t="n">
        <v>2011</v>
      </c>
      <c r="H3197" s="22" t="n">
        <v>69451</v>
      </c>
      <c r="I3197" s="22" t="n">
        <v>96000</v>
      </c>
      <c r="J3197" s="20" t="inlineStr">
        <is>
          <t>CAR HUB</t>
        </is>
      </c>
      <c r="K3197" s="20" t="inlineStr">
        <is>
          <t>Non-Captive</t>
        </is>
      </c>
      <c r="L3197" s="20" t="inlineStr">
        <is>
          <t>Trust On Wheels</t>
        </is>
      </c>
      <c r="M3197" s="23" t="n">
        <v>4237.29</v>
      </c>
    </row>
    <row r="3198">
      <c r="A3198" s="19" t="inlineStr">
        <is>
          <t>FY27</t>
        </is>
      </c>
      <c r="B3198" s="19" t="inlineStr">
        <is>
          <t>Jul</t>
        </is>
      </c>
      <c r="C3198" s="19" t="inlineStr">
        <is>
          <t>TN</t>
        </is>
      </c>
      <c r="D3198" s="20" t="inlineStr">
        <is>
          <t>TN02W7938</t>
        </is>
      </c>
      <c r="E3198" s="20" t="inlineStr">
        <is>
          <t>MARUTI</t>
        </is>
      </c>
      <c r="F3198" s="20" t="inlineStr">
        <is>
          <t>Zen</t>
        </is>
      </c>
      <c r="G3198" s="21" t="n">
        <v>2006</v>
      </c>
      <c r="H3198" s="22" t="n">
        <v>52033</v>
      </c>
      <c r="I3198" s="22" t="n">
        <v>94000</v>
      </c>
      <c r="J3198" s="20" t="inlineStr">
        <is>
          <t>Rajalakshmi Cars</t>
        </is>
      </c>
      <c r="K3198" s="20" t="inlineStr">
        <is>
          <t>Non-Captive</t>
        </is>
      </c>
      <c r="L3198" s="20" t="inlineStr">
        <is>
          <t>Senthil Cars</t>
        </is>
      </c>
      <c r="M3198" s="23" t="n">
        <v>4237.29</v>
      </c>
    </row>
    <row r="3199">
      <c r="A3199" s="19" t="inlineStr">
        <is>
          <t>FY27</t>
        </is>
      </c>
      <c r="B3199" s="19" t="inlineStr">
        <is>
          <t>Jul</t>
        </is>
      </c>
      <c r="C3199" s="19" t="inlineStr">
        <is>
          <t>TN</t>
        </is>
      </c>
      <c r="D3199" s="20" t="inlineStr">
        <is>
          <t>TN18H9096</t>
        </is>
      </c>
      <c r="E3199" s="20" t="inlineStr">
        <is>
          <t>TATA</t>
        </is>
      </c>
      <c r="F3199" s="20" t="inlineStr">
        <is>
          <t>Indica</t>
        </is>
      </c>
      <c r="G3199" s="21" t="n">
        <v>2011</v>
      </c>
      <c r="H3199" s="22" t="n">
        <v>121852</v>
      </c>
      <c r="I3199" s="22" t="n">
        <v>98000</v>
      </c>
      <c r="J3199" s="20" t="inlineStr">
        <is>
          <t>Rajalakshmi Cars</t>
        </is>
      </c>
      <c r="K3199" s="20" t="inlineStr">
        <is>
          <t>Non-Captive</t>
        </is>
      </c>
      <c r="L3199" s="20" t="inlineStr">
        <is>
          <t>Senthil Cars</t>
        </is>
      </c>
      <c r="M3199" s="23" t="n">
        <v>4237.29</v>
      </c>
    </row>
    <row r="3200">
      <c r="A3200" s="19" t="inlineStr">
        <is>
          <t>FY27</t>
        </is>
      </c>
      <c r="B3200" s="19" t="inlineStr">
        <is>
          <t>Jul</t>
        </is>
      </c>
      <c r="C3200" s="19" t="inlineStr">
        <is>
          <t>TN</t>
        </is>
      </c>
      <c r="D3200" s="20" t="inlineStr">
        <is>
          <t>TN02AP4052</t>
        </is>
      </c>
      <c r="E3200" s="20" t="inlineStr">
        <is>
          <t>MARUTI</t>
        </is>
      </c>
      <c r="F3200" s="20" t="inlineStr">
        <is>
          <t>Alto</t>
        </is>
      </c>
      <c r="G3200" s="21" t="n">
        <v>2010</v>
      </c>
      <c r="H3200" s="22" t="n">
        <v>91311</v>
      </c>
      <c r="I3200" s="22" t="n">
        <v>99000</v>
      </c>
      <c r="J3200" s="20" t="inlineStr">
        <is>
          <t>CARS INDIA</t>
        </is>
      </c>
      <c r="K3200" s="20" t="inlineStr">
        <is>
          <t>Non-Captive</t>
        </is>
      </c>
      <c r="L3200" s="20" t="inlineStr">
        <is>
          <t>AAA CARS</t>
        </is>
      </c>
      <c r="M3200" s="23" t="n">
        <v>4237.29</v>
      </c>
    </row>
    <row r="3201">
      <c r="A3201" s="19" t="inlineStr">
        <is>
          <t>FY27</t>
        </is>
      </c>
      <c r="B3201" s="19" t="inlineStr">
        <is>
          <t>Jul</t>
        </is>
      </c>
      <c r="C3201" s="19" t="inlineStr">
        <is>
          <t>TN</t>
        </is>
      </c>
      <c r="D3201" s="20" t="inlineStr">
        <is>
          <t>TN20BT3060</t>
        </is>
      </c>
      <c r="E3201" s="20" t="inlineStr">
        <is>
          <t>CHEVROLET</t>
        </is>
      </c>
      <c r="F3201" s="20" t="inlineStr">
        <is>
          <t>Beat</t>
        </is>
      </c>
      <c r="G3201" s="21" t="n">
        <v>2010</v>
      </c>
      <c r="H3201" s="22" t="n">
        <v>93860</v>
      </c>
      <c r="I3201" s="22" t="n">
        <v>93500</v>
      </c>
      <c r="J3201" s="20" t="inlineStr">
        <is>
          <t>CARS INDIA</t>
        </is>
      </c>
      <c r="K3201" s="20" t="inlineStr">
        <is>
          <t>Non-Captive</t>
        </is>
      </c>
      <c r="L3201" s="20" t="inlineStr">
        <is>
          <t>AAA CARS</t>
        </is>
      </c>
      <c r="M3201" s="23" t="n">
        <v>4237.29</v>
      </c>
    </row>
    <row r="3202">
      <c r="A3202" s="19" t="inlineStr">
        <is>
          <t>FY27</t>
        </is>
      </c>
      <c r="B3202" s="19" t="inlineStr">
        <is>
          <t>Jul</t>
        </is>
      </c>
      <c r="C3202" s="19" t="inlineStr">
        <is>
          <t>TN</t>
        </is>
      </c>
      <c r="D3202" s="20" t="inlineStr">
        <is>
          <t>TN31BZ6363</t>
        </is>
      </c>
      <c r="E3202" s="20" t="inlineStr">
        <is>
          <t>CHEVROLET</t>
        </is>
      </c>
      <c r="F3202" s="20" t="inlineStr">
        <is>
          <t>Spark</t>
        </is>
      </c>
      <c r="G3202" s="21" t="n">
        <v>2009</v>
      </c>
      <c r="H3202" s="22" t="n">
        <v>69451</v>
      </c>
      <c r="I3202" s="22" t="n">
        <v>92000</v>
      </c>
      <c r="J3202" s="20" t="inlineStr">
        <is>
          <t>STEER AUTO TECHNOLOGIES PRIVATE LIMITED</t>
        </is>
      </c>
      <c r="K3202" s="20" t="inlineStr">
        <is>
          <t>Non-Captive</t>
        </is>
      </c>
      <c r="L3202" s="20" t="inlineStr">
        <is>
          <t>AAA CARS</t>
        </is>
      </c>
      <c r="M3202" s="23" t="n">
        <v>4237.29</v>
      </c>
    </row>
    <row r="3203">
      <c r="A3203" s="19" t="inlineStr">
        <is>
          <t>FY27</t>
        </is>
      </c>
      <c r="B3203" s="19" t="inlineStr">
        <is>
          <t>Jul</t>
        </is>
      </c>
      <c r="C3203" s="19" t="inlineStr">
        <is>
          <t>TN</t>
        </is>
      </c>
      <c r="D3203" s="20" t="inlineStr">
        <is>
          <t>TN04AH9538</t>
        </is>
      </c>
      <c r="E3203" s="20" t="inlineStr">
        <is>
          <t>MARUTI</t>
        </is>
      </c>
      <c r="F3203" s="20" t="inlineStr">
        <is>
          <t>Eeco</t>
        </is>
      </c>
      <c r="G3203" s="21" t="n">
        <v>2011</v>
      </c>
      <c r="H3203" s="22" t="n">
        <v>20314</v>
      </c>
      <c r="I3203" s="22" t="n">
        <v>398000</v>
      </c>
      <c r="J3203" s="20" t="inlineStr">
        <is>
          <t>STEER AUTO TECHNOLOGIES PRIVATE LIMITED</t>
        </is>
      </c>
      <c r="K3203" s="20" t="inlineStr">
        <is>
          <t>Non-Captive</t>
        </is>
      </c>
      <c r="L3203" s="20" t="inlineStr">
        <is>
          <t>NIRMAL CARS</t>
        </is>
      </c>
      <c r="M3203" s="23" t="n">
        <v>6779.66</v>
      </c>
    </row>
    <row r="3204">
      <c r="A3204" s="19" t="inlineStr">
        <is>
          <t>FY27</t>
        </is>
      </c>
      <c r="B3204" s="19" t="inlineStr">
        <is>
          <t>Jul</t>
        </is>
      </c>
      <c r="C3204" s="19" t="inlineStr">
        <is>
          <t>TN</t>
        </is>
      </c>
      <c r="D3204" s="20" t="inlineStr">
        <is>
          <t>TN01AE7062</t>
        </is>
      </c>
      <c r="E3204" s="20" t="inlineStr">
        <is>
          <t>MARUTI</t>
        </is>
      </c>
      <c r="F3204" s="20" t="inlineStr">
        <is>
          <t>Alto</t>
        </is>
      </c>
      <c r="G3204" s="21" t="n">
        <v>2007</v>
      </c>
      <c r="H3204" s="22" t="n">
        <v>126715</v>
      </c>
      <c r="I3204" s="22" t="n">
        <v>92000</v>
      </c>
      <c r="J3204" s="20" t="inlineStr">
        <is>
          <t>KALYANIMOTORS MARUTHI</t>
        </is>
      </c>
      <c r="K3204" s="20" t="inlineStr">
        <is>
          <t>Non-Captive</t>
        </is>
      </c>
      <c r="L3204" s="20" t="inlineStr">
        <is>
          <t>Senthil Cars</t>
        </is>
      </c>
      <c r="M3204" s="23" t="n">
        <v>4237.29</v>
      </c>
    </row>
    <row r="3205">
      <c r="A3205" s="19" t="inlineStr">
        <is>
          <t>FY27</t>
        </is>
      </c>
      <c r="B3205" s="19" t="inlineStr">
        <is>
          <t>Jul</t>
        </is>
      </c>
      <c r="C3205" s="19" t="inlineStr">
        <is>
          <t>TN</t>
        </is>
      </c>
      <c r="D3205" s="20" t="inlineStr">
        <is>
          <t>TN06C0912</t>
        </is>
      </c>
      <c r="E3205" s="20" t="inlineStr">
        <is>
          <t>MARUTI</t>
        </is>
      </c>
      <c r="F3205" s="20" t="inlineStr">
        <is>
          <t>Swift</t>
        </is>
      </c>
      <c r="G3205" s="21" t="n">
        <v>2010</v>
      </c>
      <c r="H3205" s="22" t="n">
        <v>137153</v>
      </c>
      <c r="I3205" s="22" t="n">
        <v>95000</v>
      </c>
      <c r="J3205" s="20" t="inlineStr">
        <is>
          <t>Cresco cars</t>
        </is>
      </c>
      <c r="K3205" s="20" t="inlineStr">
        <is>
          <t>Non-Captive</t>
        </is>
      </c>
      <c r="L3205" s="20" t="inlineStr">
        <is>
          <t>Senthil Cars</t>
        </is>
      </c>
      <c r="M3205" s="23" t="n">
        <v>4237.29</v>
      </c>
    </row>
    <row r="3206">
      <c r="A3206" s="19" t="inlineStr">
        <is>
          <t>FY27</t>
        </is>
      </c>
      <c r="B3206" s="19" t="inlineStr">
        <is>
          <t>Jul</t>
        </is>
      </c>
      <c r="C3206" s="19" t="inlineStr">
        <is>
          <t>TN</t>
        </is>
      </c>
      <c r="D3206" s="20" t="inlineStr">
        <is>
          <t>TN09BD6867</t>
        </is>
      </c>
      <c r="E3206" s="20" t="inlineStr">
        <is>
          <t>HYUNDAI</t>
        </is>
      </c>
      <c r="F3206" s="20" t="inlineStr">
        <is>
          <t>I10</t>
        </is>
      </c>
      <c r="G3206" s="21" t="n">
        <v>2010</v>
      </c>
      <c r="H3206" s="22" t="n">
        <v>49413</v>
      </c>
      <c r="I3206" s="22" t="n">
        <v>98000</v>
      </c>
      <c r="J3206" s="20" t="inlineStr">
        <is>
          <t>VISHNU CARS PRIVATE LIMITED</t>
        </is>
      </c>
      <c r="K3206" s="20" t="inlineStr">
        <is>
          <t>Non-Captive</t>
        </is>
      </c>
      <c r="L3206" s="20" t="inlineStr">
        <is>
          <t>AAA CARS</t>
        </is>
      </c>
      <c r="M3206" s="23" t="n">
        <v>4237.29</v>
      </c>
    </row>
    <row r="3207">
      <c r="A3207" s="19" t="inlineStr">
        <is>
          <t>FY27</t>
        </is>
      </c>
      <c r="B3207" s="19" t="inlineStr">
        <is>
          <t>Jul</t>
        </is>
      </c>
      <c r="C3207" s="19" t="inlineStr">
        <is>
          <t>TN</t>
        </is>
      </c>
      <c r="D3207" s="20" t="inlineStr">
        <is>
          <t>TN09AF9977</t>
        </is>
      </c>
      <c r="E3207" s="20" t="inlineStr">
        <is>
          <t>HONDA</t>
        </is>
      </c>
      <c r="F3207" s="20" t="inlineStr">
        <is>
          <t>City</t>
        </is>
      </c>
      <c r="G3207" s="21" t="n">
        <v>2004</v>
      </c>
      <c r="H3207" s="22" t="n">
        <v>31768</v>
      </c>
      <c r="I3207" s="22" t="n">
        <v>97000</v>
      </c>
      <c r="J3207" s="20" t="inlineStr">
        <is>
          <t>VISHNU CARS PRIVATE LIMITED</t>
        </is>
      </c>
      <c r="K3207" s="20" t="inlineStr">
        <is>
          <t>Non-Captive</t>
        </is>
      </c>
      <c r="L3207" s="20" t="inlineStr">
        <is>
          <t>AAA CARS</t>
        </is>
      </c>
      <c r="M3207" s="23" t="n">
        <v>4237.29</v>
      </c>
    </row>
    <row r="3208">
      <c r="A3208" s="19" t="inlineStr">
        <is>
          <t>FY27</t>
        </is>
      </c>
      <c r="B3208" s="19" t="inlineStr">
        <is>
          <t>Jul</t>
        </is>
      </c>
      <c r="C3208" s="19" t="inlineStr">
        <is>
          <t>TN</t>
        </is>
      </c>
      <c r="D3208" s="20" t="inlineStr">
        <is>
          <t>TN07AR7655</t>
        </is>
      </c>
      <c r="E3208" s="20" t="inlineStr">
        <is>
          <t>HYUNDAI</t>
        </is>
      </c>
      <c r="F3208" s="20" t="inlineStr">
        <is>
          <t>Santro</t>
        </is>
      </c>
      <c r="G3208" s="21" t="n">
        <v>2008</v>
      </c>
      <c r="H3208" s="22" t="n">
        <v>63299</v>
      </c>
      <c r="I3208" s="22" t="n">
        <v>99000</v>
      </c>
      <c r="J3208" s="20" t="inlineStr">
        <is>
          <t>AIE CARS PRIVATE LIMITED</t>
        </is>
      </c>
      <c r="K3208" s="20" t="inlineStr">
        <is>
          <t>Non-Captive</t>
        </is>
      </c>
      <c r="L3208" s="20" t="inlineStr">
        <is>
          <t>AAA CARS</t>
        </is>
      </c>
      <c r="M3208" s="23" t="n">
        <v>4237.29</v>
      </c>
    </row>
    <row r="3209">
      <c r="A3209" s="19" t="inlineStr">
        <is>
          <t>FY27</t>
        </is>
      </c>
      <c r="B3209" s="19" t="inlineStr">
        <is>
          <t>Jul</t>
        </is>
      </c>
      <c r="C3209" s="19" t="inlineStr">
        <is>
          <t>TN</t>
        </is>
      </c>
      <c r="D3209" s="20" t="inlineStr">
        <is>
          <t>TN03E9482</t>
        </is>
      </c>
      <c r="E3209" s="20" t="inlineStr">
        <is>
          <t>MARUTI</t>
        </is>
      </c>
      <c r="F3209" s="20" t="inlineStr">
        <is>
          <t>Swiftdzire</t>
        </is>
      </c>
      <c r="G3209" s="21" t="n">
        <v>2011</v>
      </c>
      <c r="H3209" s="22" t="n">
        <v>100283</v>
      </c>
      <c r="I3209" s="22" t="n">
        <v>93500</v>
      </c>
      <c r="J3209" s="20" t="inlineStr">
        <is>
          <t>AIE CARS PRIVATE LIMITED</t>
        </is>
      </c>
      <c r="K3209" s="20" t="inlineStr">
        <is>
          <t>Non-Captive</t>
        </is>
      </c>
      <c r="L3209" s="20" t="inlineStr">
        <is>
          <t>AAA CARS</t>
        </is>
      </c>
      <c r="M3209" s="23" t="n">
        <v>4237.29</v>
      </c>
    </row>
    <row r="3210">
      <c r="A3210" s="19" t="inlineStr">
        <is>
          <t>FY27</t>
        </is>
      </c>
      <c r="B3210" s="19" t="inlineStr">
        <is>
          <t>Jul</t>
        </is>
      </c>
      <c r="C3210" s="19" t="inlineStr">
        <is>
          <t>TN</t>
        </is>
      </c>
      <c r="D3210" s="20" t="inlineStr">
        <is>
          <t>KL69B4013</t>
        </is>
      </c>
      <c r="E3210" s="20" t="inlineStr">
        <is>
          <t>MARUTI</t>
        </is>
      </c>
      <c r="F3210" s="20" t="inlineStr">
        <is>
          <t>Ertiga</t>
        </is>
      </c>
      <c r="G3210" s="21" t="n">
        <v>2019</v>
      </c>
      <c r="H3210" s="22" t="n">
        <v>44337</v>
      </c>
      <c r="I3210" s="22" t="n">
        <v>180000</v>
      </c>
      <c r="J3210" s="20" t="inlineStr">
        <is>
          <t>TRUST N DRIVE</t>
        </is>
      </c>
      <c r="K3210" s="20" t="inlineStr">
        <is>
          <t>Non-Captive</t>
        </is>
      </c>
      <c r="L3210" s="20" t="inlineStr">
        <is>
          <t>POPULAR ALLEPPY</t>
        </is>
      </c>
      <c r="M3210" s="23" t="n">
        <v>5000</v>
      </c>
    </row>
    <row r="3211">
      <c r="A3211" s="19" t="inlineStr">
        <is>
          <t>FY27</t>
        </is>
      </c>
      <c r="B3211" s="19" t="inlineStr">
        <is>
          <t>Jul</t>
        </is>
      </c>
      <c r="C3211" s="19" t="inlineStr">
        <is>
          <t>TN</t>
        </is>
      </c>
      <c r="D3211" s="20" t="inlineStr">
        <is>
          <t>KL74D3700</t>
        </is>
      </c>
      <c r="E3211" s="20" t="inlineStr">
        <is>
          <t>HYUNDAI</t>
        </is>
      </c>
      <c r="F3211" s="20" t="inlineStr">
        <is>
          <t>Grand I10</t>
        </is>
      </c>
      <c r="G3211" s="21" t="n">
        <v>2023</v>
      </c>
      <c r="H3211" s="22" t="n">
        <v>16747</v>
      </c>
      <c r="I3211" s="22" t="n">
        <v>180000</v>
      </c>
      <c r="J3211" s="20" t="inlineStr">
        <is>
          <t>TRUST N DRIVE</t>
        </is>
      </c>
      <c r="K3211" s="20" t="inlineStr">
        <is>
          <t>Non-Captive</t>
        </is>
      </c>
      <c r="L3211" s="20" t="inlineStr">
        <is>
          <t>SHAMNAD AH</t>
        </is>
      </c>
      <c r="M3211" s="23" t="n">
        <v>8474.58</v>
      </c>
    </row>
    <row r="3212">
      <c r="A3212" s="19" t="inlineStr">
        <is>
          <t>FY27</t>
        </is>
      </c>
      <c r="B3212" s="19" t="inlineStr">
        <is>
          <t>Jul</t>
        </is>
      </c>
      <c r="C3212" s="19" t="inlineStr">
        <is>
          <t>TN</t>
        </is>
      </c>
      <c r="D3212" s="20" t="inlineStr">
        <is>
          <t>KL01CW9690</t>
        </is>
      </c>
      <c r="E3212" s="20" t="inlineStr">
        <is>
          <t>TATA</t>
        </is>
      </c>
      <c r="F3212" s="20" t="inlineStr">
        <is>
          <t>Punch</t>
        </is>
      </c>
      <c r="G3212" s="21" t="n">
        <v>2022</v>
      </c>
      <c r="H3212" s="22" t="n">
        <v>18221</v>
      </c>
      <c r="I3212" s="22" t="n">
        <v>155000</v>
      </c>
      <c r="J3212" s="20" t="inlineStr">
        <is>
          <t>NIPPON TOYOTA</t>
        </is>
      </c>
      <c r="K3212" s="20" t="inlineStr">
        <is>
          <t>Non-Captive</t>
        </is>
      </c>
      <c r="L3212" s="20" t="inlineStr">
        <is>
          <t>POPULAR THRISSUR</t>
        </is>
      </c>
      <c r="M3212" s="23" t="n">
        <v>5000</v>
      </c>
    </row>
    <row r="3213">
      <c r="A3213" s="19" t="inlineStr">
        <is>
          <t>FY27</t>
        </is>
      </c>
      <c r="B3213" s="19" t="inlineStr">
        <is>
          <t>Jul</t>
        </is>
      </c>
      <c r="C3213" s="19" t="inlineStr">
        <is>
          <t>TN</t>
        </is>
      </c>
      <c r="D3213" s="20" t="inlineStr">
        <is>
          <t>TN01AM0546</t>
        </is>
      </c>
      <c r="E3213" s="20" t="inlineStr">
        <is>
          <t>NISSAN</t>
        </is>
      </c>
      <c r="F3213" s="20" t="inlineStr">
        <is>
          <t>Micra</t>
        </is>
      </c>
      <c r="G3213" s="21" t="n">
        <v>2010</v>
      </c>
      <c r="H3213" s="22" t="n">
        <v>83214</v>
      </c>
      <c r="I3213" s="22" t="n">
        <v>98000</v>
      </c>
      <c r="J3213" s="20" t="inlineStr">
        <is>
          <t>VISHNU CARS PRIVATE LIMITED</t>
        </is>
      </c>
      <c r="K3213" s="20" t="inlineStr">
        <is>
          <t>Non-Captive</t>
        </is>
      </c>
      <c r="L3213" s="20" t="inlineStr">
        <is>
          <t>PINE AUTOS</t>
        </is>
      </c>
      <c r="M3213" s="23" t="n">
        <v>4237.29</v>
      </c>
    </row>
    <row r="3214">
      <c r="A3214" s="19" t="inlineStr">
        <is>
          <t>FY27</t>
        </is>
      </c>
      <c r="B3214" s="19" t="inlineStr">
        <is>
          <t>Jul</t>
        </is>
      </c>
      <c r="C3214" s="19" t="inlineStr">
        <is>
          <t>TN</t>
        </is>
      </c>
      <c r="D3214" s="20" t="inlineStr">
        <is>
          <t>TN21K2625</t>
        </is>
      </c>
      <c r="E3214" s="20" t="inlineStr">
        <is>
          <t>MARUTI</t>
        </is>
      </c>
      <c r="F3214" s="20" t="inlineStr">
        <is>
          <t>Wagonr</t>
        </is>
      </c>
      <c r="G3214" s="21" t="n">
        <v>2006</v>
      </c>
      <c r="H3214" s="22" t="n">
        <v>121648</v>
      </c>
      <c r="I3214" s="22" t="n">
        <v>97000</v>
      </c>
      <c r="J3214" s="20" t="inlineStr">
        <is>
          <t>VISHNU CARS PRIVATE LIMITED</t>
        </is>
      </c>
      <c r="K3214" s="20" t="inlineStr">
        <is>
          <t>Non-Captive</t>
        </is>
      </c>
      <c r="L3214" s="20" t="inlineStr">
        <is>
          <t>PINE AUTOS</t>
        </is>
      </c>
      <c r="M3214" s="23" t="n">
        <v>4237.29</v>
      </c>
    </row>
    <row r="3215">
      <c r="A3215" s="19" t="inlineStr">
        <is>
          <t>FY27</t>
        </is>
      </c>
      <c r="B3215" s="19" t="inlineStr">
        <is>
          <t>Jul</t>
        </is>
      </c>
      <c r="C3215" s="19" t="inlineStr">
        <is>
          <t>TN</t>
        </is>
      </c>
      <c r="D3215" s="20" t="inlineStr">
        <is>
          <t>TN02AV7974</t>
        </is>
      </c>
      <c r="E3215" s="20" t="inlineStr">
        <is>
          <t>MARUTI</t>
        </is>
      </c>
      <c r="F3215" s="20" t="inlineStr">
        <is>
          <t>Ritz</t>
        </is>
      </c>
      <c r="G3215" s="21" t="n">
        <v>2012</v>
      </c>
      <c r="H3215" s="22" t="n">
        <v>229984</v>
      </c>
      <c r="I3215" s="22" t="n">
        <v>93000</v>
      </c>
      <c r="J3215" s="20" t="inlineStr">
        <is>
          <t>VISHNU CARS PRIVATE LIMITED</t>
        </is>
      </c>
      <c r="K3215" s="20" t="inlineStr">
        <is>
          <t>Non-Captive</t>
        </is>
      </c>
      <c r="L3215" s="20" t="inlineStr">
        <is>
          <t>PINE AUTOS</t>
        </is>
      </c>
      <c r="M3215" s="23" t="n">
        <v>4237.29</v>
      </c>
    </row>
    <row r="3216">
      <c r="A3216" s="19" t="inlineStr">
        <is>
          <t>FY27</t>
        </is>
      </c>
      <c r="B3216" s="19" t="inlineStr">
        <is>
          <t>Jul</t>
        </is>
      </c>
      <c r="C3216" s="19" t="inlineStr">
        <is>
          <t>TN</t>
        </is>
      </c>
      <c r="D3216" s="20" t="inlineStr">
        <is>
          <t>TN851650</t>
        </is>
      </c>
      <c r="E3216" s="20" t="inlineStr">
        <is>
          <t>MARUTI</t>
        </is>
      </c>
      <c r="F3216" s="20" t="inlineStr">
        <is>
          <t>Alto 800</t>
        </is>
      </c>
      <c r="G3216" s="21" t="n">
        <v>2014</v>
      </c>
      <c r="H3216" s="22" t="n">
        <v>85164</v>
      </c>
      <c r="I3216" s="22" t="n">
        <v>99000</v>
      </c>
      <c r="J3216" s="20" t="inlineStr">
        <is>
          <t>VISHNU CARS PRIVATE LIMITED</t>
        </is>
      </c>
      <c r="K3216" s="20" t="inlineStr">
        <is>
          <t>Non-Captive</t>
        </is>
      </c>
      <c r="L3216" s="20" t="inlineStr">
        <is>
          <t>PINE AUTOS</t>
        </is>
      </c>
      <c r="M3216" s="23" t="n">
        <v>4237.29</v>
      </c>
    </row>
    <row r="3217">
      <c r="A3217" s="19" t="inlineStr">
        <is>
          <t>FY27</t>
        </is>
      </c>
      <c r="B3217" s="19" t="inlineStr">
        <is>
          <t>Jul</t>
        </is>
      </c>
      <c r="C3217" s="19" t="inlineStr">
        <is>
          <t>TN</t>
        </is>
      </c>
      <c r="D3217" s="20" t="inlineStr">
        <is>
          <t>TN07CL0402</t>
        </is>
      </c>
      <c r="E3217" s="20" t="inlineStr">
        <is>
          <t>HYUNDAI</t>
        </is>
      </c>
      <c r="F3217" s="20" t="inlineStr">
        <is>
          <t>I20</t>
        </is>
      </c>
      <c r="G3217" s="21" t="n">
        <v>2017</v>
      </c>
      <c r="H3217" s="22" t="n">
        <v>116474</v>
      </c>
      <c r="I3217" s="22" t="n">
        <v>92000</v>
      </c>
      <c r="J3217" s="20" t="inlineStr">
        <is>
          <t>VISHNU CARS PRIVATE LIMITED</t>
        </is>
      </c>
      <c r="K3217" s="20" t="inlineStr">
        <is>
          <t>Non-Captive</t>
        </is>
      </c>
      <c r="L3217" s="20" t="inlineStr">
        <is>
          <t>PINE AUTOS</t>
        </is>
      </c>
      <c r="M3217" s="23" t="n">
        <v>4237.29</v>
      </c>
    </row>
    <row r="3218">
      <c r="A3218" s="19" t="inlineStr">
        <is>
          <t>FY27</t>
        </is>
      </c>
      <c r="B3218" s="19" t="inlineStr">
        <is>
          <t>Jul</t>
        </is>
      </c>
      <c r="C3218" s="19" t="inlineStr">
        <is>
          <t>TN</t>
        </is>
      </c>
      <c r="D3218" s="20" t="inlineStr">
        <is>
          <t>TN04AS5186</t>
        </is>
      </c>
      <c r="E3218" s="20" t="inlineStr">
        <is>
          <t>HYUNDAI</t>
        </is>
      </c>
      <c r="F3218" s="20" t="inlineStr">
        <is>
          <t>Creta</t>
        </is>
      </c>
      <c r="G3218" s="21" t="n">
        <v>2017</v>
      </c>
      <c r="H3218" s="22" t="n">
        <v>41407</v>
      </c>
      <c r="I3218" s="22" t="n">
        <v>98000</v>
      </c>
      <c r="J3218" s="20" t="inlineStr">
        <is>
          <t>VISHNU CARS PRIVATE LIMITED</t>
        </is>
      </c>
      <c r="K3218" s="20" t="inlineStr">
        <is>
          <t>Non-Captive</t>
        </is>
      </c>
      <c r="L3218" s="20" t="inlineStr">
        <is>
          <t>PINE AUTOS</t>
        </is>
      </c>
      <c r="M3218" s="23" t="n">
        <v>4237.29</v>
      </c>
    </row>
    <row r="3219">
      <c r="A3219" s="19" t="inlineStr">
        <is>
          <t>FY27</t>
        </is>
      </c>
      <c r="B3219" s="19" t="inlineStr">
        <is>
          <t>Jul</t>
        </is>
      </c>
      <c r="C3219" s="19" t="inlineStr">
        <is>
          <t>TN</t>
        </is>
      </c>
      <c r="D3219" s="20" t="inlineStr">
        <is>
          <t>TN14J4449</t>
        </is>
      </c>
      <c r="E3219" s="20" t="inlineStr">
        <is>
          <t>RENAULT</t>
        </is>
      </c>
      <c r="F3219" s="20" t="inlineStr">
        <is>
          <t>Kwid</t>
        </is>
      </c>
      <c r="G3219" s="21" t="n">
        <v>2016</v>
      </c>
      <c r="H3219" s="22" t="n">
        <v>43680</v>
      </c>
      <c r="I3219" s="22" t="n">
        <v>96000</v>
      </c>
      <c r="J3219" s="20" t="inlineStr">
        <is>
          <t>VISHNU CARS PRIVATE LIMITED</t>
        </is>
      </c>
      <c r="K3219" s="20" t="inlineStr">
        <is>
          <t>Non-Captive</t>
        </is>
      </c>
      <c r="L3219" s="20" t="inlineStr">
        <is>
          <t>PINE AUTOS</t>
        </is>
      </c>
      <c r="M3219" s="23" t="n">
        <v>4237.29</v>
      </c>
    </row>
    <row r="3220">
      <c r="A3220" s="19" t="inlineStr">
        <is>
          <t>FY27</t>
        </is>
      </c>
      <c r="B3220" s="19" t="inlineStr">
        <is>
          <t>Jul</t>
        </is>
      </c>
      <c r="C3220" s="19" t="inlineStr">
        <is>
          <t>TN</t>
        </is>
      </c>
      <c r="D3220" s="20" t="inlineStr">
        <is>
          <t>TN06A6800</t>
        </is>
      </c>
      <c r="E3220" s="20" t="inlineStr">
        <is>
          <t>TOYOTA</t>
        </is>
      </c>
      <c r="F3220" s="20" t="inlineStr">
        <is>
          <t>Innova</t>
        </is>
      </c>
      <c r="G3220" s="21" t="n">
        <v>2010</v>
      </c>
      <c r="H3220" s="22" t="n">
        <v>205203</v>
      </c>
      <c r="I3220" s="22" t="n">
        <v>97000</v>
      </c>
      <c r="J3220" s="20" t="inlineStr">
        <is>
          <t>VISHNU CARS PRIVATE LIMITED</t>
        </is>
      </c>
      <c r="K3220" s="20" t="inlineStr">
        <is>
          <t>Non-Captive</t>
        </is>
      </c>
      <c r="L3220" s="20" t="inlineStr">
        <is>
          <t>PINE AUTOS</t>
        </is>
      </c>
      <c r="M3220" s="23" t="n">
        <v>4237.29</v>
      </c>
    </row>
    <row r="3221">
      <c r="A3221" s="19" t="inlineStr">
        <is>
          <t>FY27</t>
        </is>
      </c>
      <c r="B3221" s="19" t="inlineStr">
        <is>
          <t>Jul</t>
        </is>
      </c>
      <c r="C3221" s="19" t="inlineStr">
        <is>
          <t>TN</t>
        </is>
      </c>
      <c r="D3221" s="20" t="inlineStr">
        <is>
          <t>TN05AV8838</t>
        </is>
      </c>
      <c r="E3221" s="20" t="inlineStr">
        <is>
          <t>MARUTI</t>
        </is>
      </c>
      <c r="F3221" s="20" t="inlineStr">
        <is>
          <t>Alto 800</t>
        </is>
      </c>
      <c r="G3221" s="21" t="n">
        <v>2013</v>
      </c>
      <c r="H3221" s="22" t="n">
        <v>36729</v>
      </c>
      <c r="I3221" s="22" t="n">
        <v>105000</v>
      </c>
      <c r="J3221" s="20" t="inlineStr">
        <is>
          <t>CASTLE TRADERS Maruti</t>
        </is>
      </c>
      <c r="K3221" s="20" t="inlineStr">
        <is>
          <t>Non-Captive</t>
        </is>
      </c>
      <c r="L3221" s="20" t="inlineStr">
        <is>
          <t>Aasim Motors</t>
        </is>
      </c>
      <c r="M3221" s="23" t="n">
        <v>4237.29</v>
      </c>
    </row>
    <row r="3222">
      <c r="A3222" s="19" t="inlineStr">
        <is>
          <t>FY27</t>
        </is>
      </c>
      <c r="B3222" s="19" t="inlineStr">
        <is>
          <t>Jul</t>
        </is>
      </c>
      <c r="C3222" s="19" t="inlineStr">
        <is>
          <t>TN</t>
        </is>
      </c>
      <c r="D3222" s="20" t="inlineStr">
        <is>
          <t>TN12AH3947</t>
        </is>
      </c>
      <c r="E3222" s="20" t="inlineStr">
        <is>
          <t>HYUNDAI</t>
        </is>
      </c>
      <c r="F3222" s="20" t="inlineStr">
        <is>
          <t>Grand I10 Nios</t>
        </is>
      </c>
      <c r="G3222" s="21" t="n">
        <v>2019</v>
      </c>
      <c r="H3222" s="22" t="n">
        <v>64041</v>
      </c>
      <c r="I3222" s="22" t="n">
        <v>395000</v>
      </c>
      <c r="J3222" s="20" t="inlineStr">
        <is>
          <t>CASTLE TRADERS Maruti</t>
        </is>
      </c>
      <c r="K3222" s="20" t="inlineStr">
        <is>
          <t>Non-Captive</t>
        </is>
      </c>
      <c r="L3222" s="20" t="inlineStr">
        <is>
          <t>Senthil Cars</t>
        </is>
      </c>
      <c r="M3222" s="23" t="n">
        <v>7627.12</v>
      </c>
    </row>
    <row r="3223">
      <c r="A3223" s="19" t="inlineStr">
        <is>
          <t>FY27</t>
        </is>
      </c>
      <c r="B3223" s="19" t="inlineStr">
        <is>
          <t>Jul</t>
        </is>
      </c>
      <c r="C3223" s="19" t="inlineStr">
        <is>
          <t>TN</t>
        </is>
      </c>
      <c r="D3223" s="20" t="inlineStr">
        <is>
          <t>TN02BR0756</t>
        </is>
      </c>
      <c r="E3223" s="20" t="inlineStr">
        <is>
          <t>HYUNDAI</t>
        </is>
      </c>
      <c r="F3223" s="20" t="inlineStr">
        <is>
          <t>Creta</t>
        </is>
      </c>
      <c r="G3223" s="21" t="n">
        <v>2019</v>
      </c>
      <c r="H3223" s="22" t="n">
        <v>71588</v>
      </c>
      <c r="I3223" s="22" t="n">
        <v>710000</v>
      </c>
      <c r="J3223" s="20" t="inlineStr">
        <is>
          <t>CASTLE TRADERS Maruti</t>
        </is>
      </c>
      <c r="K3223" s="20" t="inlineStr">
        <is>
          <t>Non-Captive</t>
        </is>
      </c>
      <c r="L3223" s="20" t="inlineStr">
        <is>
          <t>Value Drive Tech</t>
        </is>
      </c>
      <c r="M3223" s="23" t="n">
        <v>10169.49</v>
      </c>
    </row>
    <row r="3224">
      <c r="A3224" s="19" t="inlineStr">
        <is>
          <t>FY27</t>
        </is>
      </c>
      <c r="B3224" s="19" t="inlineStr">
        <is>
          <t>Jul</t>
        </is>
      </c>
      <c r="C3224" s="19" t="inlineStr">
        <is>
          <t>TN</t>
        </is>
      </c>
      <c r="D3224" s="20" t="inlineStr">
        <is>
          <t>TN37BT5360</t>
        </is>
      </c>
      <c r="E3224" s="20" t="inlineStr">
        <is>
          <t>MARUTI</t>
        </is>
      </c>
      <c r="F3224" s="20" t="inlineStr">
        <is>
          <t>Swift</t>
        </is>
      </c>
      <c r="G3224" s="21" t="n">
        <v>2011</v>
      </c>
      <c r="H3224" s="22" t="n">
        <v>92386</v>
      </c>
      <c r="I3224" s="22" t="n">
        <v>290000</v>
      </c>
      <c r="J3224" s="20" t="inlineStr">
        <is>
          <t>EXCHANGE ROTN</t>
        </is>
      </c>
      <c r="K3224" s="20" t="inlineStr">
        <is>
          <t>Captive</t>
        </is>
      </c>
      <c r="L3224" s="20" t="inlineStr">
        <is>
          <t>SENTHUR FINANCE</t>
        </is>
      </c>
      <c r="M3224" s="23" t="n">
        <v>8474.58</v>
      </c>
    </row>
    <row r="3225">
      <c r="A3225" s="19" t="inlineStr">
        <is>
          <t>FY27</t>
        </is>
      </c>
      <c r="B3225" s="19" t="inlineStr">
        <is>
          <t>Jul</t>
        </is>
      </c>
      <c r="C3225" s="19" t="inlineStr">
        <is>
          <t>TN</t>
        </is>
      </c>
      <c r="D3225" s="20" t="inlineStr">
        <is>
          <t>TN33AA6143</t>
        </is>
      </c>
      <c r="E3225" s="20" t="inlineStr">
        <is>
          <t>HYUNDAI</t>
        </is>
      </c>
      <c r="F3225" s="20" t="inlineStr">
        <is>
          <t>Santro</t>
        </is>
      </c>
      <c r="G3225" s="21" t="n">
        <v>2003</v>
      </c>
      <c r="H3225" s="22" t="n">
        <v>210815</v>
      </c>
      <c r="I3225" s="22" t="n">
        <v>50000</v>
      </c>
      <c r="J3225" s="20" t="inlineStr">
        <is>
          <t>EXCHANGE ROTN</t>
        </is>
      </c>
      <c r="K3225" s="20" t="inlineStr">
        <is>
          <t>Captive</t>
        </is>
      </c>
      <c r="L3225" s="20" t="inlineStr">
        <is>
          <t>VIJAY CARS ERODE</t>
        </is>
      </c>
      <c r="M3225" s="23" t="n">
        <v>4237.29</v>
      </c>
    </row>
    <row r="3226">
      <c r="A3226" s="19" t="inlineStr">
        <is>
          <t>FY27</t>
        </is>
      </c>
      <c r="B3226" s="19" t="inlineStr">
        <is>
          <t>Jul</t>
        </is>
      </c>
      <c r="C3226" s="19" t="inlineStr">
        <is>
          <t>TN</t>
        </is>
      </c>
      <c r="D3226" s="20" t="inlineStr">
        <is>
          <t>TN09AH1782</t>
        </is>
      </c>
      <c r="E3226" s="20" t="inlineStr">
        <is>
          <t>FORD</t>
        </is>
      </c>
      <c r="F3226" s="20" t="inlineStr">
        <is>
          <t>Ikon</t>
        </is>
      </c>
      <c r="G3226" s="21" t="n">
        <v>2004</v>
      </c>
      <c r="H3226" s="22" t="n">
        <v>47805</v>
      </c>
      <c r="I3226" s="22" t="n">
        <v>30000</v>
      </c>
      <c r="J3226" s="20" t="inlineStr">
        <is>
          <t>EXCHANGE ROTN</t>
        </is>
      </c>
      <c r="K3226" s="20" t="inlineStr">
        <is>
          <t>Captive</t>
        </is>
      </c>
      <c r="L3226" s="20" t="inlineStr">
        <is>
          <t>VIJAY CARS ERODE</t>
        </is>
      </c>
      <c r="M3226" s="23" t="n">
        <v>4237.29</v>
      </c>
    </row>
    <row r="3227">
      <c r="A3227" s="19" t="inlineStr">
        <is>
          <t>FY27</t>
        </is>
      </c>
      <c r="B3227" s="19" t="inlineStr">
        <is>
          <t>Jul</t>
        </is>
      </c>
      <c r="C3227" s="19" t="inlineStr">
        <is>
          <t>TN</t>
        </is>
      </c>
      <c r="D3227" s="20" t="inlineStr">
        <is>
          <t>TN27H6337</t>
        </is>
      </c>
      <c r="E3227" s="20" t="inlineStr">
        <is>
          <t>MARUTI</t>
        </is>
      </c>
      <c r="F3227" s="20" t="inlineStr">
        <is>
          <t>800</t>
        </is>
      </c>
      <c r="G3227" s="21" t="n">
        <v>1997</v>
      </c>
      <c r="H3227" s="22" t="n">
        <v>96041</v>
      </c>
      <c r="I3227" s="22" t="n">
        <v>25000</v>
      </c>
      <c r="J3227" s="20" t="inlineStr">
        <is>
          <t>EXCHANGE ROTN</t>
        </is>
      </c>
      <c r="K3227" s="20" t="inlineStr">
        <is>
          <t>Captive</t>
        </is>
      </c>
      <c r="L3227" s="20" t="inlineStr">
        <is>
          <t>VIJAY CARS ERODE</t>
        </is>
      </c>
      <c r="M3227" s="23" t="n">
        <v>4237.29</v>
      </c>
    </row>
    <row r="3228">
      <c r="A3228" s="19" t="inlineStr">
        <is>
          <t>FY27</t>
        </is>
      </c>
      <c r="B3228" s="19" t="inlineStr">
        <is>
          <t>Jul</t>
        </is>
      </c>
      <c r="C3228" s="19" t="inlineStr">
        <is>
          <t>TN</t>
        </is>
      </c>
      <c r="D3228" s="20" t="inlineStr">
        <is>
          <t>TN66D6914</t>
        </is>
      </c>
      <c r="E3228" s="20" t="inlineStr">
        <is>
          <t>HONDA</t>
        </is>
      </c>
      <c r="F3228" s="20" t="inlineStr">
        <is>
          <t>City</t>
        </is>
      </c>
      <c r="G3228" s="21" t="n">
        <v>2011</v>
      </c>
      <c r="H3228" s="22" t="n">
        <v>138803</v>
      </c>
      <c r="I3228" s="22" t="n">
        <v>260000</v>
      </c>
      <c r="J3228" s="20" t="inlineStr">
        <is>
          <t>EXCHANGE ROTN</t>
        </is>
      </c>
      <c r="K3228" s="20" t="inlineStr">
        <is>
          <t>Captive</t>
        </is>
      </c>
      <c r="L3228" s="20" t="inlineStr">
        <is>
          <t>DEERAA CARS</t>
        </is>
      </c>
      <c r="M3228" s="23" t="n">
        <v>8474.58</v>
      </c>
    </row>
    <row r="3229">
      <c r="A3229" s="19" t="inlineStr">
        <is>
          <t>FY27</t>
        </is>
      </c>
      <c r="B3229" s="19" t="inlineStr">
        <is>
          <t>Jul</t>
        </is>
      </c>
      <c r="C3229" s="19" t="inlineStr">
        <is>
          <t>TN</t>
        </is>
      </c>
      <c r="D3229" s="20" t="inlineStr">
        <is>
          <t>TN38CP3462</t>
        </is>
      </c>
      <c r="E3229" s="20" t="inlineStr">
        <is>
          <t>RENAULT</t>
        </is>
      </c>
      <c r="F3229" s="20" t="inlineStr">
        <is>
          <t>Kwid</t>
        </is>
      </c>
      <c r="G3229" s="21" t="n">
        <v>2018</v>
      </c>
      <c r="H3229" s="22" t="n">
        <v>88884</v>
      </c>
      <c r="I3229" s="22" t="n">
        <v>270000</v>
      </c>
      <c r="J3229" s="20" t="inlineStr">
        <is>
          <t>EXCHANGE ROTN</t>
        </is>
      </c>
      <c r="K3229" s="20" t="inlineStr">
        <is>
          <t>Captive</t>
        </is>
      </c>
      <c r="L3229" s="20" t="inlineStr">
        <is>
          <t>GUGHAA CARS</t>
        </is>
      </c>
      <c r="M3229" s="23" t="n">
        <v>8474.58</v>
      </c>
    </row>
    <row r="3230">
      <c r="A3230" s="19" t="inlineStr">
        <is>
          <t>FY27</t>
        </is>
      </c>
      <c r="B3230" s="19" t="inlineStr">
        <is>
          <t>Jul</t>
        </is>
      </c>
      <c r="C3230" s="19" t="inlineStr">
        <is>
          <t>TN</t>
        </is>
      </c>
      <c r="D3230" s="20" t="inlineStr">
        <is>
          <t>TN37BJ5089</t>
        </is>
      </c>
      <c r="E3230" s="20" t="inlineStr">
        <is>
          <t>MARUTI</t>
        </is>
      </c>
      <c r="F3230" s="20" t="inlineStr">
        <is>
          <t>Zen Estilo</t>
        </is>
      </c>
      <c r="G3230" s="21" t="n">
        <v>2010</v>
      </c>
      <c r="H3230" s="22" t="n">
        <v>133063</v>
      </c>
      <c r="I3230" s="22" t="n">
        <v>130000</v>
      </c>
      <c r="J3230" s="20" t="inlineStr">
        <is>
          <t>EXCHANGE ROTN</t>
        </is>
      </c>
      <c r="K3230" s="20" t="inlineStr">
        <is>
          <t>Captive</t>
        </is>
      </c>
      <c r="L3230" s="20" t="inlineStr">
        <is>
          <t>SARVESH CAARS</t>
        </is>
      </c>
      <c r="M3230" s="23" t="n">
        <v>8474.58</v>
      </c>
    </row>
    <row r="3231">
      <c r="A3231" s="19" t="inlineStr">
        <is>
          <t>FY27</t>
        </is>
      </c>
      <c r="B3231" s="19" t="inlineStr">
        <is>
          <t>Jul</t>
        </is>
      </c>
      <c r="C3231" s="19" t="inlineStr">
        <is>
          <t>TN</t>
        </is>
      </c>
      <c r="D3231" s="20" t="inlineStr">
        <is>
          <t>TN66M3150</t>
        </is>
      </c>
      <c r="E3231" s="20" t="inlineStr">
        <is>
          <t>TOYOTA</t>
        </is>
      </c>
      <c r="F3231" s="20" t="inlineStr">
        <is>
          <t>Etios</t>
        </is>
      </c>
      <c r="G3231" s="21" t="n">
        <v>2014</v>
      </c>
      <c r="H3231" s="22" t="n">
        <v>185890</v>
      </c>
      <c r="I3231" s="22" t="n">
        <v>335000</v>
      </c>
      <c r="J3231" s="20" t="inlineStr">
        <is>
          <t>EXCHANGE ROTN</t>
        </is>
      </c>
      <c r="K3231" s="20" t="inlineStr">
        <is>
          <t>Captive</t>
        </is>
      </c>
      <c r="L3231" s="20" t="inlineStr">
        <is>
          <t>MADHURA CARS</t>
        </is>
      </c>
      <c r="M3231" s="23" t="n">
        <v>8474.58</v>
      </c>
    </row>
    <row r="3232">
      <c r="A3232" s="19" t="inlineStr">
        <is>
          <t>FY27</t>
        </is>
      </c>
      <c r="B3232" s="19" t="inlineStr">
        <is>
          <t>Jul</t>
        </is>
      </c>
      <c r="C3232" s="19" t="inlineStr">
        <is>
          <t>TN</t>
        </is>
      </c>
      <c r="D3232" s="20" t="inlineStr">
        <is>
          <t>TN02R2536</t>
        </is>
      </c>
      <c r="E3232" s="20" t="inlineStr">
        <is>
          <t>MARUTI</t>
        </is>
      </c>
      <c r="F3232" s="20" t="inlineStr">
        <is>
          <t>Wagonr</t>
        </is>
      </c>
      <c r="G3232" s="21" t="n">
        <v>2004</v>
      </c>
      <c r="H3232" s="22" t="n">
        <v>147960</v>
      </c>
      <c r="I3232" s="22" t="n">
        <v>50000</v>
      </c>
      <c r="J3232" s="20" t="inlineStr">
        <is>
          <t>EXCHANGE ROTN</t>
        </is>
      </c>
      <c r="K3232" s="20" t="inlineStr">
        <is>
          <t>Captive</t>
        </is>
      </c>
      <c r="L3232" s="20" t="inlineStr">
        <is>
          <t>SRI RAJA KANAPATHY CARS</t>
        </is>
      </c>
      <c r="M3232" s="23" t="n">
        <v>4237.29</v>
      </c>
    </row>
    <row r="3233">
      <c r="A3233" s="19" t="inlineStr">
        <is>
          <t>FY27</t>
        </is>
      </c>
      <c r="B3233" s="19" t="inlineStr">
        <is>
          <t>Jul</t>
        </is>
      </c>
      <c r="C3233" s="19" t="inlineStr">
        <is>
          <t>TN</t>
        </is>
      </c>
      <c r="D3233" s="20" t="inlineStr">
        <is>
          <t>TN28D6060</t>
        </is>
      </c>
      <c r="E3233" s="20" t="inlineStr">
        <is>
          <t>MARUTI</t>
        </is>
      </c>
      <c r="F3233" s="20" t="inlineStr">
        <is>
          <t>800</t>
        </is>
      </c>
      <c r="G3233" s="21" t="n">
        <v>1998</v>
      </c>
      <c r="H3233" s="22" t="n">
        <v>89578</v>
      </c>
      <c r="I3233" s="22" t="n">
        <v>30000</v>
      </c>
      <c r="J3233" s="20" t="inlineStr">
        <is>
          <t>EXCHANGE ROTN</t>
        </is>
      </c>
      <c r="K3233" s="20" t="inlineStr">
        <is>
          <t>Captive</t>
        </is>
      </c>
      <c r="L3233" s="20" t="inlineStr">
        <is>
          <t>SRI RAJA KANAPATHY CARS</t>
        </is>
      </c>
      <c r="M3233" s="23" t="n">
        <v>4237.29</v>
      </c>
    </row>
    <row r="3234">
      <c r="A3234" s="19" t="inlineStr">
        <is>
          <t>FY27</t>
        </is>
      </c>
      <c r="B3234" s="19" t="inlineStr">
        <is>
          <t>Jul</t>
        </is>
      </c>
      <c r="C3234" s="19" t="inlineStr">
        <is>
          <t>TN</t>
        </is>
      </c>
      <c r="D3234" s="20" t="inlineStr">
        <is>
          <t>TN20AS5802</t>
        </is>
      </c>
      <c r="E3234" s="20" t="inlineStr">
        <is>
          <t>MARUTI</t>
        </is>
      </c>
      <c r="F3234" s="20" t="inlineStr">
        <is>
          <t>Alto</t>
        </is>
      </c>
      <c r="G3234" s="21" t="n">
        <v>2007</v>
      </c>
      <c r="H3234" s="22" t="n">
        <v>147960</v>
      </c>
      <c r="I3234" s="22" t="n">
        <v>60000</v>
      </c>
      <c r="J3234" s="20" t="inlineStr">
        <is>
          <t>EXCHANGE ROTN</t>
        </is>
      </c>
      <c r="K3234" s="20" t="inlineStr">
        <is>
          <t>Captive</t>
        </is>
      </c>
      <c r="L3234" s="20" t="inlineStr">
        <is>
          <t>STALIN CARS</t>
        </is>
      </c>
      <c r="M3234" s="23" t="n">
        <v>4237.29</v>
      </c>
    </row>
    <row r="3235">
      <c r="A3235" s="19" t="inlineStr">
        <is>
          <t>FY27</t>
        </is>
      </c>
      <c r="B3235" s="19" t="inlineStr">
        <is>
          <t>Jul</t>
        </is>
      </c>
      <c r="C3235" s="19" t="inlineStr">
        <is>
          <t>TN</t>
        </is>
      </c>
      <c r="D3235" s="20" t="inlineStr">
        <is>
          <t>TN54A2597</t>
        </is>
      </c>
      <c r="E3235" s="20" t="inlineStr">
        <is>
          <t>MARUTI</t>
        </is>
      </c>
      <c r="F3235" s="20" t="inlineStr">
        <is>
          <t>800</t>
        </is>
      </c>
      <c r="G3235" s="21" t="n">
        <v>2009</v>
      </c>
      <c r="H3235" s="22" t="n">
        <v>77294</v>
      </c>
      <c r="I3235" s="22" t="n">
        <v>40000</v>
      </c>
      <c r="J3235" s="20" t="inlineStr">
        <is>
          <t>EXCHANGE ROTN</t>
        </is>
      </c>
      <c r="K3235" s="20" t="inlineStr">
        <is>
          <t>Captive</t>
        </is>
      </c>
      <c r="L3235" s="20" t="inlineStr">
        <is>
          <t>STALIN CARS</t>
        </is>
      </c>
      <c r="M3235" s="23" t="n">
        <v>4237.29</v>
      </c>
    </row>
    <row r="3236">
      <c r="A3236" s="19" t="inlineStr">
        <is>
          <t>FY27</t>
        </is>
      </c>
      <c r="B3236" s="19" t="inlineStr">
        <is>
          <t>Jul</t>
        </is>
      </c>
      <c r="C3236" s="19" t="inlineStr">
        <is>
          <t>TN</t>
        </is>
      </c>
      <c r="D3236" s="20" t="inlineStr">
        <is>
          <t>TN23BJ6864</t>
        </is>
      </c>
      <c r="E3236" s="20" t="inlineStr">
        <is>
          <t>MARUTI</t>
        </is>
      </c>
      <c r="F3236" s="20" t="inlineStr">
        <is>
          <t>Omni</t>
        </is>
      </c>
      <c r="G3236" s="21" t="n">
        <v>2014</v>
      </c>
      <c r="H3236" s="22" t="n">
        <v>120871</v>
      </c>
      <c r="I3236" s="22" t="n">
        <v>60000</v>
      </c>
      <c r="J3236" s="20" t="inlineStr">
        <is>
          <t>EXCHANGE ROTN</t>
        </is>
      </c>
      <c r="K3236" s="20" t="inlineStr">
        <is>
          <t>Captive</t>
        </is>
      </c>
      <c r="L3236" s="20" t="inlineStr">
        <is>
          <t>STALIN CARS</t>
        </is>
      </c>
      <c r="M3236" s="23" t="n">
        <v>4237.29</v>
      </c>
    </row>
    <row r="3237">
      <c r="A3237" s="19" t="inlineStr">
        <is>
          <t>FY27</t>
        </is>
      </c>
      <c r="B3237" s="19" t="inlineStr">
        <is>
          <t>Jul</t>
        </is>
      </c>
      <c r="C3237" s="19" t="inlineStr">
        <is>
          <t>TN</t>
        </is>
      </c>
      <c r="D3237" s="20" t="inlineStr">
        <is>
          <t>TN54B8624</t>
        </is>
      </c>
      <c r="E3237" s="20" t="inlineStr">
        <is>
          <t>TATA</t>
        </is>
      </c>
      <c r="F3237" s="20" t="inlineStr">
        <is>
          <t>Indica</t>
        </is>
      </c>
      <c r="G3237" s="21" t="n">
        <v>2010</v>
      </c>
      <c r="H3237" s="22" t="n">
        <v>149097</v>
      </c>
      <c r="I3237" s="22" t="n">
        <v>40000</v>
      </c>
      <c r="J3237" s="20" t="inlineStr">
        <is>
          <t>EXCHANGE ROTN</t>
        </is>
      </c>
      <c r="K3237" s="20" t="inlineStr">
        <is>
          <t>Captive</t>
        </is>
      </c>
      <c r="L3237" s="20" t="inlineStr">
        <is>
          <t>STALIN CARS</t>
        </is>
      </c>
      <c r="M3237" s="23" t="n">
        <v>4237.29</v>
      </c>
    </row>
    <row r="3238">
      <c r="A3238" s="19" t="inlineStr">
        <is>
          <t>FY27</t>
        </is>
      </c>
      <c r="B3238" s="19" t="inlineStr">
        <is>
          <t>Jul</t>
        </is>
      </c>
      <c r="C3238" s="19" t="inlineStr">
        <is>
          <t>TN</t>
        </is>
      </c>
      <c r="D3238" s="20" t="inlineStr">
        <is>
          <t>TN58BJ5818</t>
        </is>
      </c>
      <c r="E3238" s="20" t="inlineStr">
        <is>
          <t>HONDA</t>
        </is>
      </c>
      <c r="F3238" s="20" t="inlineStr">
        <is>
          <t>Amaze</t>
        </is>
      </c>
      <c r="G3238" s="21" t="n">
        <v>2023</v>
      </c>
      <c r="H3238" s="22" t="n">
        <v>64012</v>
      </c>
      <c r="I3238" s="22" t="n">
        <v>636000</v>
      </c>
      <c r="J3238" s="20" t="inlineStr">
        <is>
          <t>EXCHANGE ROTN</t>
        </is>
      </c>
      <c r="K3238" s="20" t="inlineStr">
        <is>
          <t>Captive</t>
        </is>
      </c>
      <c r="L3238" s="20" t="inlineStr">
        <is>
          <t>FRIENDS CARS</t>
        </is>
      </c>
      <c r="M3238" s="23" t="n">
        <v>16949.15</v>
      </c>
    </row>
    <row r="3239">
      <c r="A3239" s="19" t="inlineStr">
        <is>
          <t>FY27</t>
        </is>
      </c>
      <c r="B3239" s="19" t="inlineStr">
        <is>
          <t>Jul</t>
        </is>
      </c>
      <c r="C3239" s="19" t="inlineStr">
        <is>
          <t>TN</t>
        </is>
      </c>
      <c r="D3239" s="20" t="inlineStr">
        <is>
          <t>TN64R9055</t>
        </is>
      </c>
      <c r="E3239" s="20" t="inlineStr">
        <is>
          <t>HONDA</t>
        </is>
      </c>
      <c r="F3239" s="20" t="inlineStr">
        <is>
          <t>Wr-V</t>
        </is>
      </c>
      <c r="G3239" s="21" t="n">
        <v>2018</v>
      </c>
      <c r="H3239" s="22" t="n">
        <v>156752</v>
      </c>
      <c r="I3239" s="22" t="n">
        <v>400000</v>
      </c>
      <c r="J3239" s="20" t="inlineStr">
        <is>
          <t>EXCHANGE ROTN</t>
        </is>
      </c>
      <c r="K3239" s="20" t="inlineStr">
        <is>
          <t>Captive</t>
        </is>
      </c>
      <c r="L3239" s="20" t="inlineStr">
        <is>
          <t>DINDIGUL VALUE CAR</t>
        </is>
      </c>
      <c r="M3239" s="23" t="n">
        <v>12711.86</v>
      </c>
    </row>
    <row r="3240">
      <c r="A3240" s="19" t="inlineStr">
        <is>
          <t>FY27</t>
        </is>
      </c>
      <c r="B3240" s="19" t="inlineStr">
        <is>
          <t>Jul</t>
        </is>
      </c>
      <c r="C3240" s="19" t="inlineStr">
        <is>
          <t>TN</t>
        </is>
      </c>
      <c r="D3240" s="20" t="inlineStr">
        <is>
          <t>TN58AL7558</t>
        </is>
      </c>
      <c r="E3240" s="20" t="inlineStr">
        <is>
          <t>HONDA</t>
        </is>
      </c>
      <c r="F3240" s="20" t="inlineStr">
        <is>
          <t>Amaze</t>
        </is>
      </c>
      <c r="G3240" s="21" t="n">
        <v>2016</v>
      </c>
      <c r="H3240" s="22" t="n">
        <v>80896</v>
      </c>
      <c r="I3240" s="22" t="n">
        <v>320000</v>
      </c>
      <c r="J3240" s="20" t="inlineStr">
        <is>
          <t>EXCHANGE ROTN</t>
        </is>
      </c>
      <c r="K3240" s="20" t="inlineStr">
        <is>
          <t>Captive</t>
        </is>
      </c>
      <c r="L3240" s="20" t="inlineStr">
        <is>
          <t>BALAJI CARS (THENI)</t>
        </is>
      </c>
      <c r="M3240" s="23" t="n">
        <v>16949.15</v>
      </c>
    </row>
    <row r="3241">
      <c r="A3241" s="19" t="inlineStr">
        <is>
          <t>FY27</t>
        </is>
      </c>
      <c r="B3241" s="19" t="inlineStr">
        <is>
          <t>Jul</t>
        </is>
      </c>
      <c r="C3241" s="19" t="inlineStr">
        <is>
          <t>TN</t>
        </is>
      </c>
      <c r="D3241" s="20" t="inlineStr">
        <is>
          <t>TN63AY1807</t>
        </is>
      </c>
      <c r="E3241" s="20" t="inlineStr">
        <is>
          <t>MARUTI</t>
        </is>
      </c>
      <c r="F3241" s="20" t="inlineStr">
        <is>
          <t>Alto K10</t>
        </is>
      </c>
      <c r="G3241" s="21" t="n">
        <v>2011</v>
      </c>
      <c r="H3241" s="22" t="n">
        <v>80714</v>
      </c>
      <c r="I3241" s="22" t="n">
        <v>140000</v>
      </c>
      <c r="J3241" s="20" t="inlineStr">
        <is>
          <t>EXCHANGE ROTN</t>
        </is>
      </c>
      <c r="K3241" s="20" t="inlineStr">
        <is>
          <t>Captive</t>
        </is>
      </c>
      <c r="L3241" s="20" t="inlineStr">
        <is>
          <t>GGEE Cars</t>
        </is>
      </c>
      <c r="M3241" s="23" t="n">
        <v>8474.58</v>
      </c>
    </row>
    <row r="3242">
      <c r="A3242" s="19" t="inlineStr">
        <is>
          <t>FY27</t>
        </is>
      </c>
      <c r="B3242" s="19" t="inlineStr">
        <is>
          <t>Jul</t>
        </is>
      </c>
      <c r="C3242" s="19" t="inlineStr">
        <is>
          <t>TN</t>
        </is>
      </c>
      <c r="D3242" s="20" t="inlineStr">
        <is>
          <t>TN02AU9104</t>
        </is>
      </c>
      <c r="E3242" s="20" t="inlineStr">
        <is>
          <t>HYUNDAI</t>
        </is>
      </c>
      <c r="F3242" s="20" t="inlineStr">
        <is>
          <t>Eon</t>
        </is>
      </c>
      <c r="G3242" s="21" t="n">
        <v>2012</v>
      </c>
      <c r="H3242" s="22" t="n">
        <v>181117</v>
      </c>
      <c r="I3242" s="22" t="n">
        <v>100000</v>
      </c>
      <c r="J3242" s="20" t="inlineStr">
        <is>
          <t>EXCHANGE ROTN</t>
        </is>
      </c>
      <c r="K3242" s="20" t="inlineStr">
        <is>
          <t>Captive</t>
        </is>
      </c>
      <c r="L3242" s="20" t="inlineStr">
        <is>
          <t>READY TO RIDE CARS</t>
        </is>
      </c>
      <c r="M3242" s="23" t="n">
        <v>12711.86</v>
      </c>
    </row>
    <row r="3243">
      <c r="A3243" s="19" t="inlineStr">
        <is>
          <t>FY27</t>
        </is>
      </c>
      <c r="B3243" s="19" t="inlineStr">
        <is>
          <t>Jul</t>
        </is>
      </c>
      <c r="C3243" s="19" t="inlineStr">
        <is>
          <t>TN</t>
        </is>
      </c>
      <c r="D3243" s="20" t="inlineStr">
        <is>
          <t>TN38CW3903</t>
        </is>
      </c>
      <c r="E3243" s="20" t="inlineStr">
        <is>
          <t>HONDA</t>
        </is>
      </c>
      <c r="F3243" s="20" t="inlineStr">
        <is>
          <t>Amaze</t>
        </is>
      </c>
      <c r="G3243" s="21" t="n">
        <v>2020</v>
      </c>
      <c r="H3243" s="22" t="n">
        <v>58246</v>
      </c>
      <c r="I3243" s="22" t="n">
        <v>560000</v>
      </c>
      <c r="J3243" s="20" t="inlineStr">
        <is>
          <t>EXCHANGE ROTN</t>
        </is>
      </c>
      <c r="K3243" s="20" t="inlineStr">
        <is>
          <t>Captive</t>
        </is>
      </c>
      <c r="L3243" s="20" t="inlineStr">
        <is>
          <t>YUGA DHEERAN CARS</t>
        </is>
      </c>
      <c r="M3243" s="23" t="n">
        <v>15254.24</v>
      </c>
    </row>
    <row r="3244">
      <c r="A3244" s="19" t="inlineStr">
        <is>
          <t>FY27</t>
        </is>
      </c>
      <c r="B3244" s="19" t="inlineStr">
        <is>
          <t>Jul</t>
        </is>
      </c>
      <c r="C3244" s="19" t="inlineStr">
        <is>
          <t>TN</t>
        </is>
      </c>
      <c r="D3244" s="20" t="inlineStr">
        <is>
          <t>TN38X9777</t>
        </is>
      </c>
      <c r="E3244" s="20" t="inlineStr">
        <is>
          <t>MARUTI</t>
        </is>
      </c>
      <c r="F3244" s="20" t="inlineStr">
        <is>
          <t>Wagonr</t>
        </is>
      </c>
      <c r="G3244" s="21" t="n">
        <v>2004</v>
      </c>
      <c r="H3244" s="22" t="n">
        <v>80729</v>
      </c>
      <c r="I3244" s="22" t="n">
        <v>50000</v>
      </c>
      <c r="J3244" s="20" t="inlineStr">
        <is>
          <t>EXCHANGE ROTN</t>
        </is>
      </c>
      <c r="K3244" s="20" t="inlineStr">
        <is>
          <t>Captive</t>
        </is>
      </c>
      <c r="L3244" s="20" t="inlineStr">
        <is>
          <t>SENTHUR FINANCE</t>
        </is>
      </c>
      <c r="M3244" s="23" t="n">
        <v>4237.29</v>
      </c>
    </row>
    <row r="3245">
      <c r="A3245" s="19" t="inlineStr">
        <is>
          <t>FY27</t>
        </is>
      </c>
      <c r="B3245" s="19" t="inlineStr">
        <is>
          <t>Jul</t>
        </is>
      </c>
      <c r="C3245" s="19" t="inlineStr">
        <is>
          <t>TN</t>
        </is>
      </c>
      <c r="D3245" s="20" t="inlineStr">
        <is>
          <t>TN66AL9232</t>
        </is>
      </c>
      <c r="E3245" s="20" t="inlineStr">
        <is>
          <t>VOLKSWAGEN</t>
        </is>
      </c>
      <c r="F3245" s="20" t="inlineStr">
        <is>
          <t>Taigun</t>
        </is>
      </c>
      <c r="G3245" s="21" t="n">
        <v>2022</v>
      </c>
      <c r="H3245" s="22" t="n">
        <v>26230</v>
      </c>
      <c r="I3245" s="22" t="n">
        <v>970000</v>
      </c>
      <c r="J3245" s="20" t="inlineStr">
        <is>
          <t>EXCHANGE ROTN</t>
        </is>
      </c>
      <c r="K3245" s="20" t="inlineStr">
        <is>
          <t>Captive</t>
        </is>
      </c>
      <c r="L3245" s="20" t="inlineStr">
        <is>
          <t>SAI CARS</t>
        </is>
      </c>
      <c r="M3245" s="23" t="n">
        <v>16949.15</v>
      </c>
    </row>
    <row r="3246">
      <c r="A3246" s="19" t="inlineStr">
        <is>
          <t>FY27</t>
        </is>
      </c>
      <c r="B3246" s="19" t="inlineStr">
        <is>
          <t>Jul</t>
        </is>
      </c>
      <c r="C3246" s="19" t="inlineStr">
        <is>
          <t>TN</t>
        </is>
      </c>
      <c r="D3246" s="20" t="inlineStr">
        <is>
          <t>TN38CQ9634</t>
        </is>
      </c>
      <c r="E3246" s="20" t="inlineStr">
        <is>
          <t>FORD</t>
        </is>
      </c>
      <c r="F3246" s="20" t="inlineStr">
        <is>
          <t>Figo</t>
        </is>
      </c>
      <c r="G3246" s="21" t="n">
        <v>2018</v>
      </c>
      <c r="H3246" s="22" t="n">
        <v>54454</v>
      </c>
      <c r="I3246" s="22" t="n">
        <v>290000</v>
      </c>
      <c r="J3246" s="20" t="inlineStr">
        <is>
          <t>EXCHANGE ROTN</t>
        </is>
      </c>
      <c r="K3246" s="20" t="inlineStr">
        <is>
          <t>Captive</t>
        </is>
      </c>
      <c r="L3246" s="20" t="inlineStr">
        <is>
          <t>GUGHAA CARS</t>
        </is>
      </c>
      <c r="M3246" s="23" t="n">
        <v>12711.86</v>
      </c>
    </row>
    <row r="3247">
      <c r="A3247" s="19" t="inlineStr">
        <is>
          <t>FY27</t>
        </is>
      </c>
      <c r="B3247" s="19" t="inlineStr">
        <is>
          <t>Jul</t>
        </is>
      </c>
      <c r="C3247" s="19" t="inlineStr">
        <is>
          <t>TN</t>
        </is>
      </c>
      <c r="D3247" s="20" t="inlineStr">
        <is>
          <t>TN41AF5403</t>
        </is>
      </c>
      <c r="E3247" s="20" t="inlineStr">
        <is>
          <t>HYUNDAI</t>
        </is>
      </c>
      <c r="F3247" s="20" t="inlineStr">
        <is>
          <t>Eon</t>
        </is>
      </c>
      <c r="G3247" s="21" t="n">
        <v>2012</v>
      </c>
      <c r="H3247" s="22" t="n">
        <v>169846</v>
      </c>
      <c r="I3247" s="22" t="n">
        <v>125000</v>
      </c>
      <c r="J3247" s="20" t="inlineStr">
        <is>
          <t>EXCHANGE ROTN</t>
        </is>
      </c>
      <c r="K3247" s="20" t="inlineStr">
        <is>
          <t>Captive</t>
        </is>
      </c>
      <c r="L3247" s="20" t="inlineStr">
        <is>
          <t>SIVASHANKAR CARS</t>
        </is>
      </c>
      <c r="M3247" s="23" t="n">
        <v>5084.75</v>
      </c>
    </row>
    <row r="3248">
      <c r="A3248" s="19" t="inlineStr">
        <is>
          <t>FY27</t>
        </is>
      </c>
      <c r="B3248" s="19" t="inlineStr">
        <is>
          <t>Jul</t>
        </is>
      </c>
      <c r="C3248" s="19" t="inlineStr">
        <is>
          <t>TN</t>
        </is>
      </c>
      <c r="D3248" s="20" t="inlineStr">
        <is>
          <t>TN43M5630</t>
        </is>
      </c>
      <c r="E3248" s="20" t="inlineStr">
        <is>
          <t>TATA</t>
        </is>
      </c>
      <c r="F3248" s="20" t="inlineStr">
        <is>
          <t>Tiago</t>
        </is>
      </c>
      <c r="G3248" s="21" t="n">
        <v>2022</v>
      </c>
      <c r="H3248" s="22" t="n">
        <v>37702</v>
      </c>
      <c r="I3248" s="22" t="n">
        <v>440000</v>
      </c>
      <c r="J3248" s="20" t="inlineStr">
        <is>
          <t>EXCHANGE ROTN</t>
        </is>
      </c>
      <c r="K3248" s="20" t="inlineStr">
        <is>
          <t>Captive</t>
        </is>
      </c>
      <c r="L3248" s="20" t="inlineStr">
        <is>
          <t>DEERAA CARS</t>
        </is>
      </c>
      <c r="M3248" s="23" t="n">
        <v>8474.58</v>
      </c>
    </row>
    <row r="3249">
      <c r="A3249" s="19" t="inlineStr">
        <is>
          <t>FY27</t>
        </is>
      </c>
      <c r="B3249" s="19" t="inlineStr">
        <is>
          <t>Jul</t>
        </is>
      </c>
      <c r="C3249" s="19" t="inlineStr">
        <is>
          <t>TN</t>
        </is>
      </c>
      <c r="D3249" s="20" t="inlineStr">
        <is>
          <t>TN21BM7387</t>
        </is>
      </c>
      <c r="E3249" s="20" t="inlineStr">
        <is>
          <t>RENAULT</t>
        </is>
      </c>
      <c r="F3249" s="20" t="inlineStr">
        <is>
          <t>Kwid</t>
        </is>
      </c>
      <c r="G3249" s="21" t="n">
        <v>2021</v>
      </c>
      <c r="H3249" s="22" t="n">
        <v>52381</v>
      </c>
      <c r="I3249" s="22" t="n">
        <v>98000</v>
      </c>
      <c r="J3249" s="20" t="inlineStr">
        <is>
          <t>CAR HUB</t>
        </is>
      </c>
      <c r="K3249" s="20" t="inlineStr">
        <is>
          <t>Non-Captive</t>
        </is>
      </c>
      <c r="L3249" s="20" t="inlineStr">
        <is>
          <t>AAA CARS</t>
        </is>
      </c>
      <c r="M3249" s="23" t="n">
        <v>4237.29</v>
      </c>
    </row>
    <row r="3250">
      <c r="A3250" s="19" t="inlineStr">
        <is>
          <t>FY27</t>
        </is>
      </c>
      <c r="B3250" s="19" t="inlineStr">
        <is>
          <t>Jul</t>
        </is>
      </c>
      <c r="C3250" s="19" t="inlineStr">
        <is>
          <t>TN</t>
        </is>
      </c>
      <c r="D3250" s="20" t="inlineStr">
        <is>
          <t>TN04AD7511</t>
        </is>
      </c>
      <c r="E3250" s="20" t="inlineStr">
        <is>
          <t>HYUNDAI</t>
        </is>
      </c>
      <c r="F3250" s="20" t="inlineStr">
        <is>
          <t>I20</t>
        </is>
      </c>
      <c r="G3250" s="21" t="n">
        <v>2009</v>
      </c>
      <c r="H3250" s="22" t="n">
        <v>43501</v>
      </c>
      <c r="I3250" s="22" t="n">
        <v>92000</v>
      </c>
      <c r="J3250" s="20" t="inlineStr">
        <is>
          <t>VISHNU CARS PRIVATE LIMITED</t>
        </is>
      </c>
      <c r="K3250" s="20" t="inlineStr">
        <is>
          <t>Non-Captive</t>
        </is>
      </c>
      <c r="L3250" s="20" t="inlineStr">
        <is>
          <t>SAI CARS</t>
        </is>
      </c>
      <c r="M3250" s="23" t="n">
        <v>4237.29</v>
      </c>
    </row>
    <row r="3251">
      <c r="A3251" s="19" t="inlineStr">
        <is>
          <t>FY27</t>
        </is>
      </c>
      <c r="B3251" s="19" t="inlineStr">
        <is>
          <t>Jul</t>
        </is>
      </c>
      <c r="C3251" s="19" t="inlineStr">
        <is>
          <t>TN</t>
        </is>
      </c>
      <c r="D3251" s="20" t="inlineStr">
        <is>
          <t>TN07BK3225</t>
        </is>
      </c>
      <c r="E3251" s="20" t="inlineStr">
        <is>
          <t>MARUTI</t>
        </is>
      </c>
      <c r="F3251" s="20" t="inlineStr">
        <is>
          <t>Eeco</t>
        </is>
      </c>
      <c r="G3251" s="21" t="n">
        <v>2010</v>
      </c>
      <c r="H3251" s="22" t="n">
        <v>46231</v>
      </c>
      <c r="I3251" s="22" t="n">
        <v>77000</v>
      </c>
      <c r="J3251" s="20" t="inlineStr">
        <is>
          <t>PRODUCTIVITY ELEMENTS PRIVATE LIMITED</t>
        </is>
      </c>
      <c r="K3251" s="20" t="inlineStr">
        <is>
          <t>Non-Captive</t>
        </is>
      </c>
      <c r="L3251" s="20" t="inlineStr">
        <is>
          <t>READY TO RIDE CARS</t>
        </is>
      </c>
      <c r="M3251" s="23" t="n">
        <v>4237.29</v>
      </c>
    </row>
    <row r="3252">
      <c r="A3252" s="19" t="inlineStr">
        <is>
          <t>FY27</t>
        </is>
      </c>
      <c r="B3252" s="19" t="inlineStr">
        <is>
          <t>Jul</t>
        </is>
      </c>
      <c r="C3252" s="19" t="inlineStr">
        <is>
          <t>TN</t>
        </is>
      </c>
      <c r="D3252" s="20" t="inlineStr">
        <is>
          <t>TN01BL9165</t>
        </is>
      </c>
      <c r="E3252" s="20" t="inlineStr">
        <is>
          <t>HONDA</t>
        </is>
      </c>
      <c r="F3252" s="20" t="inlineStr">
        <is>
          <t>City</t>
        </is>
      </c>
      <c r="G3252" s="21" t="n">
        <v>2021</v>
      </c>
      <c r="H3252" s="22" t="n">
        <v>78882</v>
      </c>
      <c r="I3252" s="22" t="n">
        <v>775000</v>
      </c>
      <c r="J3252" s="20" t="inlineStr">
        <is>
          <t>EXCHANGE CHENNAI</t>
        </is>
      </c>
      <c r="K3252" s="20" t="inlineStr">
        <is>
          <t>Captive</t>
        </is>
      </c>
      <c r="L3252" s="20" t="inlineStr"/>
      <c r="M3252" s="23" t="n">
        <v>8474.58</v>
      </c>
    </row>
    <row r="3253">
      <c r="A3253" s="19" t="inlineStr">
        <is>
          <t>FY27</t>
        </is>
      </c>
      <c r="B3253" s="19" t="inlineStr">
        <is>
          <t>Jul</t>
        </is>
      </c>
      <c r="C3253" s="19" t="inlineStr">
        <is>
          <t>TN</t>
        </is>
      </c>
      <c r="D3253" s="20" t="inlineStr">
        <is>
          <t>TN01AV6868</t>
        </is>
      </c>
      <c r="E3253" s="20" t="inlineStr">
        <is>
          <t>HONDA</t>
        </is>
      </c>
      <c r="F3253" s="20" t="inlineStr">
        <is>
          <t>City</t>
        </is>
      </c>
      <c r="G3253" s="21" t="n">
        <v>2014</v>
      </c>
      <c r="H3253" s="22" t="n">
        <v>124417</v>
      </c>
      <c r="I3253" s="22" t="n">
        <v>450000</v>
      </c>
      <c r="J3253" s="20" t="inlineStr">
        <is>
          <t>EXCHANGE CHENNAI</t>
        </is>
      </c>
      <c r="K3253" s="20" t="inlineStr">
        <is>
          <t>Captive</t>
        </is>
      </c>
      <c r="L3253" s="20" t="inlineStr"/>
      <c r="M3253" s="23" t="n">
        <v>8474.58</v>
      </c>
    </row>
    <row r="3254">
      <c r="A3254" s="19" t="inlineStr">
        <is>
          <t>FY27</t>
        </is>
      </c>
      <c r="B3254" s="19" t="inlineStr">
        <is>
          <t>Jul</t>
        </is>
      </c>
      <c r="C3254" s="19" t="inlineStr">
        <is>
          <t>TN</t>
        </is>
      </c>
      <c r="D3254" s="20" t="inlineStr">
        <is>
          <t>TN36S8898</t>
        </is>
      </c>
      <c r="E3254" s="20" t="inlineStr">
        <is>
          <t>CHEVROLET</t>
        </is>
      </c>
      <c r="F3254" s="20" t="inlineStr">
        <is>
          <t>Spark</t>
        </is>
      </c>
      <c r="G3254" s="21" t="n">
        <v>2011</v>
      </c>
      <c r="H3254" s="22" t="n">
        <v>102247</v>
      </c>
      <c r="I3254" s="22" t="n">
        <v>65000</v>
      </c>
      <c r="J3254" s="20" t="inlineStr">
        <is>
          <t>EXCHANGE ROTN</t>
        </is>
      </c>
      <c r="K3254" s="20" t="inlineStr">
        <is>
          <t>Captive</t>
        </is>
      </c>
      <c r="L3254" s="20" t="inlineStr"/>
      <c r="M3254" s="23" t="n">
        <v>4237.29</v>
      </c>
    </row>
    <row r="3255">
      <c r="A3255" s="19" t="inlineStr">
        <is>
          <t>FY27</t>
        </is>
      </c>
      <c r="B3255" s="19" t="inlineStr">
        <is>
          <t>Jul</t>
        </is>
      </c>
      <c r="C3255" s="19" t="inlineStr">
        <is>
          <t>TN</t>
        </is>
      </c>
      <c r="D3255" s="20" t="inlineStr">
        <is>
          <t>TN06R4104</t>
        </is>
      </c>
      <c r="E3255" s="20" t="inlineStr">
        <is>
          <t>HONDA</t>
        </is>
      </c>
      <c r="F3255" s="20" t="inlineStr">
        <is>
          <t>City</t>
        </is>
      </c>
      <c r="G3255" s="21" t="n">
        <v>2016</v>
      </c>
      <c r="H3255" s="22" t="n">
        <v>55244</v>
      </c>
      <c r="I3255" s="22" t="n">
        <v>460000</v>
      </c>
      <c r="J3255" s="20" t="inlineStr">
        <is>
          <t>EXCHANGE CHENNAI</t>
        </is>
      </c>
      <c r="K3255" s="20" t="inlineStr">
        <is>
          <t>Captive</t>
        </is>
      </c>
      <c r="L3255" s="20" t="inlineStr"/>
      <c r="M3255" s="23" t="n">
        <v>8474.58</v>
      </c>
    </row>
    <row r="3256">
      <c r="A3256" s="19" t="inlineStr">
        <is>
          <t>FY27</t>
        </is>
      </c>
      <c r="B3256" s="19" t="inlineStr">
        <is>
          <t>Jul</t>
        </is>
      </c>
      <c r="C3256" s="19" t="inlineStr">
        <is>
          <t>TN</t>
        </is>
      </c>
      <c r="D3256" s="20" t="inlineStr">
        <is>
          <t>TN01AU4088</t>
        </is>
      </c>
      <c r="E3256" s="20" t="inlineStr">
        <is>
          <t>NISSAN</t>
        </is>
      </c>
      <c r="F3256" s="20" t="inlineStr">
        <is>
          <t>Sunny</t>
        </is>
      </c>
      <c r="G3256" s="21" t="n">
        <v>2013</v>
      </c>
      <c r="H3256" s="22" t="n">
        <v>21264</v>
      </c>
      <c r="I3256" s="22" t="n">
        <v>240000</v>
      </c>
      <c r="J3256" s="20" t="inlineStr">
        <is>
          <t>EXCHANGE CHENNAI</t>
        </is>
      </c>
      <c r="K3256" s="20" t="inlineStr">
        <is>
          <t>Captive</t>
        </is>
      </c>
      <c r="L3256" s="20" t="inlineStr"/>
      <c r="M3256" s="23" t="n">
        <v>8474.58</v>
      </c>
    </row>
    <row r="3257">
      <c r="A3257" s="19" t="inlineStr">
        <is>
          <t>FY27</t>
        </is>
      </c>
      <c r="B3257" s="19" t="inlineStr">
        <is>
          <t>Jul</t>
        </is>
      </c>
      <c r="C3257" s="19" t="inlineStr">
        <is>
          <t>TN</t>
        </is>
      </c>
      <c r="D3257" s="20" t="inlineStr">
        <is>
          <t>TN14P0508</t>
        </is>
      </c>
      <c r="E3257" s="20" t="inlineStr">
        <is>
          <t>HONDA</t>
        </is>
      </c>
      <c r="F3257" s="20" t="inlineStr">
        <is>
          <t>City</t>
        </is>
      </c>
      <c r="G3257" s="21" t="n">
        <v>2018</v>
      </c>
      <c r="H3257" s="22" t="n">
        <v>88537</v>
      </c>
      <c r="I3257" s="22" t="n">
        <v>575000</v>
      </c>
      <c r="J3257" s="20" t="inlineStr">
        <is>
          <t>EXCHANGE CHENNAI</t>
        </is>
      </c>
      <c r="K3257" s="20" t="inlineStr">
        <is>
          <t>Captive</t>
        </is>
      </c>
      <c r="L3257" s="20" t="inlineStr"/>
      <c r="M3257" s="23" t="n">
        <v>8474.58</v>
      </c>
    </row>
    <row r="3258">
      <c r="A3258" s="19" t="inlineStr">
        <is>
          <t>FY27</t>
        </is>
      </c>
      <c r="B3258" s="19" t="inlineStr">
        <is>
          <t>Jul</t>
        </is>
      </c>
      <c r="C3258" s="19" t="inlineStr">
        <is>
          <t>TN</t>
        </is>
      </c>
      <c r="D3258" s="20" t="inlineStr">
        <is>
          <t>TN10AX3000</t>
        </is>
      </c>
      <c r="E3258" s="20" t="inlineStr">
        <is>
          <t>HONDA</t>
        </is>
      </c>
      <c r="F3258" s="20" t="inlineStr">
        <is>
          <t>City</t>
        </is>
      </c>
      <c r="G3258" s="21" t="n">
        <v>2016</v>
      </c>
      <c r="H3258" s="22" t="n">
        <v>87753</v>
      </c>
      <c r="I3258" s="22" t="n">
        <v>550000</v>
      </c>
      <c r="J3258" s="20" t="inlineStr">
        <is>
          <t>EXCHANGE CHENNAI</t>
        </is>
      </c>
      <c r="K3258" s="20" t="inlineStr">
        <is>
          <t>Captive</t>
        </is>
      </c>
      <c r="L3258" s="20" t="inlineStr"/>
      <c r="M3258" s="23" t="n">
        <v>8474.58</v>
      </c>
    </row>
    <row r="3259">
      <c r="A3259" s="19" t="inlineStr">
        <is>
          <t>FY27</t>
        </is>
      </c>
      <c r="B3259" s="19" t="inlineStr">
        <is>
          <t>Jul</t>
        </is>
      </c>
      <c r="C3259" s="19" t="inlineStr">
        <is>
          <t>TN</t>
        </is>
      </c>
      <c r="D3259" s="20" t="inlineStr">
        <is>
          <t>TN07CB5995</t>
        </is>
      </c>
      <c r="E3259" s="20" t="inlineStr">
        <is>
          <t>HONDA</t>
        </is>
      </c>
      <c r="F3259" s="20" t="inlineStr">
        <is>
          <t>City</t>
        </is>
      </c>
      <c r="G3259" s="21" t="n">
        <v>2015</v>
      </c>
      <c r="H3259" s="22" t="n">
        <v>86356</v>
      </c>
      <c r="I3259" s="22" t="n">
        <v>310000</v>
      </c>
      <c r="J3259" s="20" t="inlineStr">
        <is>
          <t>EXCHANGE CHENNAI</t>
        </is>
      </c>
      <c r="K3259" s="20" t="inlineStr">
        <is>
          <t>Captive</t>
        </is>
      </c>
      <c r="L3259" s="20" t="inlineStr"/>
      <c r="M3259" s="23" t="n">
        <v>8474.58</v>
      </c>
    </row>
    <row r="3260">
      <c r="A3260" s="19" t="inlineStr">
        <is>
          <t>FY27</t>
        </is>
      </c>
      <c r="B3260" s="19" t="inlineStr">
        <is>
          <t>Jul</t>
        </is>
      </c>
      <c r="C3260" s="19" t="inlineStr">
        <is>
          <t>TN</t>
        </is>
      </c>
      <c r="D3260" s="20" t="inlineStr">
        <is>
          <t>TN30BE6349</t>
        </is>
      </c>
      <c r="E3260" s="20" t="inlineStr">
        <is>
          <t>TATA</t>
        </is>
      </c>
      <c r="F3260" s="20" t="inlineStr">
        <is>
          <t>Indica</t>
        </is>
      </c>
      <c r="G3260" s="21" t="n">
        <v>2016</v>
      </c>
      <c r="H3260" s="22" t="n">
        <v>289815</v>
      </c>
      <c r="I3260" s="22" t="n">
        <v>115000</v>
      </c>
      <c r="J3260" s="20" t="inlineStr">
        <is>
          <t>EXCHANGE ROTN</t>
        </is>
      </c>
      <c r="K3260" s="20" t="inlineStr">
        <is>
          <t>Captive</t>
        </is>
      </c>
      <c r="L3260" s="20" t="inlineStr"/>
      <c r="M3260" s="23" t="n">
        <v>4237.29</v>
      </c>
    </row>
    <row r="3261">
      <c r="A3261" s="19" t="inlineStr">
        <is>
          <t>FY27</t>
        </is>
      </c>
      <c r="B3261" s="19" t="inlineStr">
        <is>
          <t>Jul</t>
        </is>
      </c>
      <c r="C3261" s="19" t="inlineStr">
        <is>
          <t>TN</t>
        </is>
      </c>
      <c r="D3261" s="20" t="inlineStr">
        <is>
          <t>TN42S9121</t>
        </is>
      </c>
      <c r="E3261" s="20" t="inlineStr">
        <is>
          <t>NISSAN</t>
        </is>
      </c>
      <c r="F3261" s="20" t="inlineStr">
        <is>
          <t>Terrano</t>
        </is>
      </c>
      <c r="G3261" s="21" t="n">
        <v>2017</v>
      </c>
      <c r="H3261" s="22" t="n">
        <v>323938</v>
      </c>
      <c r="I3261" s="22" t="n">
        <v>300000</v>
      </c>
      <c r="J3261" s="20" t="inlineStr">
        <is>
          <t>EXCHANGE ROTN</t>
        </is>
      </c>
      <c r="K3261" s="20" t="inlineStr">
        <is>
          <t>Captive</t>
        </is>
      </c>
      <c r="L3261" s="20" t="inlineStr"/>
      <c r="M3261" s="23" t="n">
        <v>8474.58</v>
      </c>
    </row>
    <row r="3262">
      <c r="A3262" s="19" t="inlineStr">
        <is>
          <t>FY27</t>
        </is>
      </c>
      <c r="B3262" s="19" t="inlineStr">
        <is>
          <t>Jul</t>
        </is>
      </c>
      <c r="C3262" s="19" t="inlineStr">
        <is>
          <t>TN</t>
        </is>
      </c>
      <c r="D3262" s="20" t="inlineStr">
        <is>
          <t>KA51MG1502</t>
        </is>
      </c>
      <c r="E3262" s="20" t="inlineStr">
        <is>
          <t>HONDA</t>
        </is>
      </c>
      <c r="F3262" s="20" t="inlineStr">
        <is>
          <t>City</t>
        </is>
      </c>
      <c r="G3262" s="21" t="n">
        <v>2014</v>
      </c>
      <c r="H3262" s="22" t="n">
        <v>127346</v>
      </c>
      <c r="I3262" s="22" t="n">
        <v>325000</v>
      </c>
      <c r="J3262" s="20" t="inlineStr">
        <is>
          <t>EXCHANGE ROTN</t>
        </is>
      </c>
      <c r="K3262" s="20" t="inlineStr">
        <is>
          <t>Captive</t>
        </is>
      </c>
      <c r="L3262" s="20" t="inlineStr"/>
      <c r="M3262" s="23" t="n">
        <v>8474.58</v>
      </c>
    </row>
    <row r="3263">
      <c r="A3263" s="19" t="inlineStr">
        <is>
          <t>FY27</t>
        </is>
      </c>
      <c r="B3263" s="19" t="inlineStr">
        <is>
          <t>Jul</t>
        </is>
      </c>
      <c r="C3263" s="19" t="inlineStr">
        <is>
          <t>TN</t>
        </is>
      </c>
      <c r="D3263" s="20" t="inlineStr">
        <is>
          <t>TN27M7077</t>
        </is>
      </c>
      <c r="E3263" s="20" t="inlineStr">
        <is>
          <t>HYUNDAI</t>
        </is>
      </c>
      <c r="F3263" s="20" t="inlineStr">
        <is>
          <t>Santro</t>
        </is>
      </c>
      <c r="G3263" s="21" t="n">
        <v>1999</v>
      </c>
      <c r="H3263" s="22" t="n">
        <v>161271</v>
      </c>
      <c r="I3263" s="22" t="n">
        <v>30000</v>
      </c>
      <c r="J3263" s="20" t="inlineStr">
        <is>
          <t>EXCHANGE ROTN</t>
        </is>
      </c>
      <c r="K3263" s="20" t="inlineStr">
        <is>
          <t>Captive</t>
        </is>
      </c>
      <c r="L3263" s="20" t="inlineStr"/>
      <c r="M3263" s="23" t="n">
        <v>4237.29</v>
      </c>
    </row>
    <row r="3264">
      <c r="A3264" s="19" t="inlineStr">
        <is>
          <t>FY27</t>
        </is>
      </c>
      <c r="B3264" s="19" t="inlineStr">
        <is>
          <t>Jul</t>
        </is>
      </c>
      <c r="C3264" s="19" t="inlineStr">
        <is>
          <t>TN</t>
        </is>
      </c>
      <c r="D3264" s="20" t="inlineStr">
        <is>
          <t>TN47U3098</t>
        </is>
      </c>
      <c r="E3264" s="20" t="inlineStr">
        <is>
          <t>MARUTI</t>
        </is>
      </c>
      <c r="F3264" s="20" t="inlineStr">
        <is>
          <t>Alto</t>
        </is>
      </c>
      <c r="G3264" s="21" t="n">
        <v>2009</v>
      </c>
      <c r="H3264" s="22" t="n">
        <v>56415</v>
      </c>
      <c r="I3264" s="22" t="n">
        <v>70000</v>
      </c>
      <c r="J3264" s="20" t="inlineStr">
        <is>
          <t>EXCHANGE ROTN</t>
        </is>
      </c>
      <c r="K3264" s="20" t="inlineStr">
        <is>
          <t>Captive</t>
        </is>
      </c>
      <c r="L3264" s="20" t="inlineStr"/>
      <c r="M3264" s="23" t="n">
        <v>4237.29</v>
      </c>
    </row>
    <row r="3265">
      <c r="A3265" s="19" t="inlineStr">
        <is>
          <t>FY27</t>
        </is>
      </c>
      <c r="B3265" s="19" t="inlineStr">
        <is>
          <t>Jul</t>
        </is>
      </c>
      <c r="C3265" s="19" t="inlineStr">
        <is>
          <t>TN</t>
        </is>
      </c>
      <c r="D3265" s="20" t="inlineStr">
        <is>
          <t>TN07AR0138</t>
        </is>
      </c>
      <c r="E3265" s="20" t="inlineStr">
        <is>
          <t>MARUTI</t>
        </is>
      </c>
      <c r="F3265" s="20" t="inlineStr">
        <is>
          <t>Alto</t>
        </is>
      </c>
      <c r="G3265" s="21" t="n">
        <v>2007</v>
      </c>
      <c r="H3265" s="22" t="n">
        <v>136385</v>
      </c>
      <c r="I3265" s="22" t="n">
        <v>60000</v>
      </c>
      <c r="J3265" s="20" t="inlineStr">
        <is>
          <t>EXCHANGE ROTN</t>
        </is>
      </c>
      <c r="K3265" s="20" t="inlineStr">
        <is>
          <t>Captive</t>
        </is>
      </c>
      <c r="L3265" s="20" t="inlineStr"/>
      <c r="M3265" s="23" t="n">
        <v>4237.29</v>
      </c>
    </row>
    <row r="3266">
      <c r="A3266" s="19" t="inlineStr">
        <is>
          <t>FY27</t>
        </is>
      </c>
      <c r="B3266" s="19" t="inlineStr">
        <is>
          <t>Jul</t>
        </is>
      </c>
      <c r="C3266" s="19" t="inlineStr">
        <is>
          <t>TN</t>
        </is>
      </c>
      <c r="D3266" s="20" t="inlineStr">
        <is>
          <t>TN22CH3558</t>
        </is>
      </c>
      <c r="E3266" s="20" t="inlineStr">
        <is>
          <t>MARUTI</t>
        </is>
      </c>
      <c r="F3266" s="20" t="inlineStr">
        <is>
          <t>Alto 800</t>
        </is>
      </c>
      <c r="G3266" s="21" t="n">
        <v>2012</v>
      </c>
      <c r="H3266" s="22" t="n">
        <v>96173</v>
      </c>
      <c r="I3266" s="22" t="n">
        <v>122000</v>
      </c>
      <c r="J3266" s="20" t="inlineStr">
        <is>
          <t>EXCHANGE ROTN</t>
        </is>
      </c>
      <c r="K3266" s="20" t="inlineStr">
        <is>
          <t>Captive</t>
        </is>
      </c>
      <c r="L3266" s="20" t="inlineStr"/>
      <c r="M3266" s="23" t="n">
        <v>4237.29</v>
      </c>
    </row>
    <row r="3267">
      <c r="A3267" s="19" t="inlineStr">
        <is>
          <t>FY27</t>
        </is>
      </c>
      <c r="B3267" s="19" t="inlineStr">
        <is>
          <t>Jul</t>
        </is>
      </c>
      <c r="C3267" s="19" t="inlineStr">
        <is>
          <t>TN</t>
        </is>
      </c>
      <c r="D3267" s="20" t="inlineStr">
        <is>
          <t>TN30AK5445</t>
        </is>
      </c>
      <c r="E3267" s="20" t="inlineStr">
        <is>
          <t>FORD</t>
        </is>
      </c>
      <c r="F3267" s="20" t="inlineStr">
        <is>
          <t>Fiesta</t>
        </is>
      </c>
      <c r="G3267" s="21" t="n">
        <v>2011</v>
      </c>
      <c r="H3267" s="22" t="n">
        <v>110559</v>
      </c>
      <c r="I3267" s="22" t="n">
        <v>50000</v>
      </c>
      <c r="J3267" s="20" t="inlineStr">
        <is>
          <t>EXCHANGE ROTN</t>
        </is>
      </c>
      <c r="K3267" s="20" t="inlineStr">
        <is>
          <t>Captive</t>
        </is>
      </c>
      <c r="L3267" s="20" t="inlineStr"/>
      <c r="M3267" s="23" t="n">
        <v>4237.29</v>
      </c>
    </row>
    <row r="3268">
      <c r="A3268" s="19" t="inlineStr">
        <is>
          <t>FY27</t>
        </is>
      </c>
      <c r="B3268" s="19" t="inlineStr">
        <is>
          <t>Jul</t>
        </is>
      </c>
      <c r="C3268" s="19" t="inlineStr">
        <is>
          <t>TN</t>
        </is>
      </c>
      <c r="D3268" s="20" t="inlineStr">
        <is>
          <t>TN02BP1991</t>
        </is>
      </c>
      <c r="E3268" s="20" t="inlineStr">
        <is>
          <t>HONDA</t>
        </is>
      </c>
      <c r="F3268" s="20" t="inlineStr">
        <is>
          <t>City</t>
        </is>
      </c>
      <c r="G3268" s="21" t="n">
        <v>2018</v>
      </c>
      <c r="H3268" s="22" t="n">
        <v>48752</v>
      </c>
      <c r="I3268" s="22" t="n">
        <v>565000</v>
      </c>
      <c r="J3268" s="20" t="inlineStr">
        <is>
          <t>EXCHANGE CHENNAI</t>
        </is>
      </c>
      <c r="K3268" s="20" t="inlineStr">
        <is>
          <t>Captive</t>
        </is>
      </c>
      <c r="L3268" s="20" t="inlineStr"/>
      <c r="M3268" s="23" t="n">
        <v>8474.58</v>
      </c>
    </row>
    <row r="3269">
      <c r="A3269" s="19" t="inlineStr">
        <is>
          <t>FY27</t>
        </is>
      </c>
      <c r="B3269" s="19" t="inlineStr">
        <is>
          <t>Jul</t>
        </is>
      </c>
      <c r="C3269" s="19" t="inlineStr">
        <is>
          <t>TN</t>
        </is>
      </c>
      <c r="D3269" s="20" t="inlineStr">
        <is>
          <t>TN25BW7866</t>
        </is>
      </c>
      <c r="E3269" s="20" t="inlineStr">
        <is>
          <t>HONDA</t>
        </is>
      </c>
      <c r="F3269" s="20" t="inlineStr">
        <is>
          <t>Jazz</t>
        </is>
      </c>
      <c r="G3269" s="21" t="n">
        <v>2018</v>
      </c>
      <c r="H3269" s="22" t="n">
        <v>65989</v>
      </c>
      <c r="I3269" s="22" t="n">
        <v>150000</v>
      </c>
      <c r="J3269" s="20" t="inlineStr">
        <is>
          <t>EXCHANGE CHENNAI</t>
        </is>
      </c>
      <c r="K3269" s="20" t="inlineStr">
        <is>
          <t>Captive</t>
        </is>
      </c>
      <c r="L3269" s="20" t="inlineStr"/>
      <c r="M3269" s="23" t="n">
        <v>4237.29</v>
      </c>
    </row>
    <row r="3270">
      <c r="A3270" s="19" t="inlineStr">
        <is>
          <t>FY27</t>
        </is>
      </c>
      <c r="B3270" s="19" t="inlineStr">
        <is>
          <t>Jul</t>
        </is>
      </c>
      <c r="C3270" s="19" t="inlineStr">
        <is>
          <t>TN</t>
        </is>
      </c>
      <c r="D3270" s="20" t="inlineStr">
        <is>
          <t>TN11C0679</t>
        </is>
      </c>
      <c r="E3270" s="20" t="inlineStr">
        <is>
          <t>MARUTI</t>
        </is>
      </c>
      <c r="F3270" s="20" t="inlineStr">
        <is>
          <t>Alto 800</t>
        </is>
      </c>
      <c r="G3270" s="21" t="n">
        <v>2013</v>
      </c>
      <c r="H3270" s="22" t="n">
        <v>64249</v>
      </c>
      <c r="I3270" s="22" t="n">
        <v>150000</v>
      </c>
      <c r="J3270" s="20" t="inlineStr">
        <is>
          <t>EXCHANGE CHENNAI</t>
        </is>
      </c>
      <c r="K3270" s="20" t="inlineStr">
        <is>
          <t>Captive</t>
        </is>
      </c>
      <c r="L3270" s="20" t="inlineStr"/>
      <c r="M3270" s="23" t="n">
        <v>8474.58</v>
      </c>
    </row>
    <row r="3271">
      <c r="A3271" s="19" t="inlineStr">
        <is>
          <t>FY27</t>
        </is>
      </c>
      <c r="B3271" s="19" t="inlineStr">
        <is>
          <t>Jul</t>
        </is>
      </c>
      <c r="C3271" s="19" t="inlineStr">
        <is>
          <t>TN</t>
        </is>
      </c>
      <c r="D3271" s="20" t="inlineStr">
        <is>
          <t>TN02BJ0795</t>
        </is>
      </c>
      <c r="E3271" s="20" t="inlineStr">
        <is>
          <t>HONDA</t>
        </is>
      </c>
      <c r="F3271" s="20" t="inlineStr">
        <is>
          <t>Brio</t>
        </is>
      </c>
      <c r="G3271" s="21" t="n">
        <v>2017</v>
      </c>
      <c r="H3271" s="22" t="n">
        <v>100594</v>
      </c>
      <c r="I3271" s="22" t="n">
        <v>310000</v>
      </c>
      <c r="J3271" s="20" t="inlineStr">
        <is>
          <t>EXCHANGE CHENNAI</t>
        </is>
      </c>
      <c r="K3271" s="20" t="inlineStr">
        <is>
          <t>Captive</t>
        </is>
      </c>
      <c r="L3271" s="20" t="inlineStr"/>
      <c r="M3271" s="23" t="n">
        <v>8474.58</v>
      </c>
    </row>
    <row r="3272">
      <c r="A3272" s="19" t="inlineStr">
        <is>
          <t>FY27</t>
        </is>
      </c>
      <c r="B3272" s="19" t="inlineStr">
        <is>
          <t>Jul</t>
        </is>
      </c>
      <c r="C3272" s="19" t="inlineStr">
        <is>
          <t>TN</t>
        </is>
      </c>
      <c r="D3272" s="20" t="inlineStr">
        <is>
          <t>TN02BC7945</t>
        </is>
      </c>
      <c r="E3272" s="20" t="inlineStr">
        <is>
          <t>HONDA</t>
        </is>
      </c>
      <c r="F3272" s="20" t="inlineStr">
        <is>
          <t>Jazz</t>
        </is>
      </c>
      <c r="G3272" s="21" t="n">
        <v>2015</v>
      </c>
      <c r="H3272" s="22" t="n">
        <v>49492</v>
      </c>
      <c r="I3272" s="22" t="n">
        <v>325000</v>
      </c>
      <c r="J3272" s="20" t="inlineStr">
        <is>
          <t>EXCHANGE CHENNAI</t>
        </is>
      </c>
      <c r="K3272" s="20" t="inlineStr">
        <is>
          <t>Captive</t>
        </is>
      </c>
      <c r="L3272" s="20" t="inlineStr"/>
      <c r="M3272" s="23" t="n">
        <v>8474.58</v>
      </c>
    </row>
    <row r="3273">
      <c r="A3273" s="19" t="inlineStr">
        <is>
          <t>FY27</t>
        </is>
      </c>
      <c r="B3273" s="19" t="inlineStr">
        <is>
          <t>Jul</t>
        </is>
      </c>
      <c r="C3273" s="19" t="inlineStr">
        <is>
          <t>TN</t>
        </is>
      </c>
      <c r="D3273" s="20" t="inlineStr">
        <is>
          <t>WB06J1563</t>
        </is>
      </c>
      <c r="E3273" s="20" t="inlineStr">
        <is>
          <t>MARUTI</t>
        </is>
      </c>
      <c r="F3273" s="20" t="inlineStr">
        <is>
          <t>Swift</t>
        </is>
      </c>
      <c r="G3273" s="21" t="n">
        <v>2011</v>
      </c>
      <c r="H3273" s="22" t="n">
        <v>104621</v>
      </c>
      <c r="I3273" s="22" t="n">
        <v>120000</v>
      </c>
      <c r="J3273" s="20" t="inlineStr">
        <is>
          <t>EXCHANGE CHENNAI</t>
        </is>
      </c>
      <c r="K3273" s="20" t="inlineStr">
        <is>
          <t>Captive</t>
        </is>
      </c>
      <c r="L3273" s="20" t="inlineStr"/>
      <c r="M3273" s="23" t="n">
        <v>4237.29</v>
      </c>
    </row>
    <row r="3274">
      <c r="A3274" s="19" t="inlineStr">
        <is>
          <t>FY27</t>
        </is>
      </c>
      <c r="B3274" s="19" t="inlineStr">
        <is>
          <t>Jul</t>
        </is>
      </c>
      <c r="C3274" s="19" t="inlineStr">
        <is>
          <t>TN</t>
        </is>
      </c>
      <c r="D3274" s="20" t="inlineStr">
        <is>
          <t>WB26BX6669</t>
        </is>
      </c>
      <c r="E3274" s="20" t="inlineStr">
        <is>
          <t>MARUTI</t>
        </is>
      </c>
      <c r="F3274" s="20" t="inlineStr">
        <is>
          <t>Alto K10</t>
        </is>
      </c>
      <c r="G3274" s="21" t="n">
        <v>2023</v>
      </c>
      <c r="H3274" s="22" t="n">
        <v>122765</v>
      </c>
      <c r="I3274" s="22" t="n">
        <v>320000</v>
      </c>
      <c r="J3274" s="20" t="inlineStr">
        <is>
          <t>EXCHANGE CHENNAI</t>
        </is>
      </c>
      <c r="K3274" s="20" t="inlineStr">
        <is>
          <t>Captive</t>
        </is>
      </c>
      <c r="L3274" s="20" t="inlineStr"/>
      <c r="M3274" s="23" t="n">
        <v>8474.58</v>
      </c>
    </row>
    <row r="3275">
      <c r="A3275" s="19" t="inlineStr">
        <is>
          <t>FY27</t>
        </is>
      </c>
      <c r="B3275" s="19" t="inlineStr">
        <is>
          <t>Jul</t>
        </is>
      </c>
      <c r="C3275" s="19" t="inlineStr">
        <is>
          <t>TN</t>
        </is>
      </c>
      <c r="D3275" s="20" t="inlineStr">
        <is>
          <t>TN38AY8287</t>
        </is>
      </c>
      <c r="E3275" s="20" t="inlineStr">
        <is>
          <t>TATA</t>
        </is>
      </c>
      <c r="F3275" s="20" t="inlineStr">
        <is>
          <t>Indica</t>
        </is>
      </c>
      <c r="G3275" s="21" t="n">
        <v>2009</v>
      </c>
      <c r="H3275" s="22" t="n">
        <v>149642</v>
      </c>
      <c r="I3275" s="22" t="n">
        <v>80000</v>
      </c>
      <c r="J3275" s="20" t="inlineStr">
        <is>
          <t>EXCHANGE ROTN</t>
        </is>
      </c>
      <c r="K3275" s="20" t="inlineStr">
        <is>
          <t>Captive</t>
        </is>
      </c>
      <c r="L3275" s="20" t="inlineStr"/>
      <c r="M3275" s="23" t="n">
        <v>4237.29</v>
      </c>
    </row>
    <row r="3276">
      <c r="A3276" s="19" t="inlineStr">
        <is>
          <t>FY27</t>
        </is>
      </c>
      <c r="B3276" s="19" t="inlineStr">
        <is>
          <t>Aug</t>
        </is>
      </c>
      <c r="C3276" s="19" t="inlineStr">
        <is>
          <t>AP/TS</t>
        </is>
      </c>
      <c r="D3276" s="20" t="inlineStr">
        <is>
          <t>AP07BC3336</t>
        </is>
      </c>
      <c r="E3276" s="20" t="inlineStr">
        <is>
          <t>MARUTI SUZUKI</t>
        </is>
      </c>
      <c r="F3276" s="20" t="inlineStr">
        <is>
          <t>Swift</t>
        </is>
      </c>
      <c r="G3276" s="21" t="n">
        <v>2011</v>
      </c>
      <c r="H3276" s="22" t="n">
        <v>167028</v>
      </c>
      <c r="I3276" s="22" t="n">
        <v>157500</v>
      </c>
      <c r="J3276" s="20" t="inlineStr">
        <is>
          <t>Tenali Srinivas</t>
        </is>
      </c>
      <c r="K3276" s="20" t="inlineStr">
        <is>
          <t>Non-Captive</t>
        </is>
      </c>
      <c r="L3276" s="20" t="inlineStr">
        <is>
          <t>Vinod Kumar Murari</t>
        </is>
      </c>
      <c r="M3276" s="23" t="n">
        <v>6356</v>
      </c>
    </row>
    <row r="3277">
      <c r="A3277" s="19" t="inlineStr">
        <is>
          <t>FY27</t>
        </is>
      </c>
      <c r="B3277" s="19" t="inlineStr">
        <is>
          <t>Aug</t>
        </is>
      </c>
      <c r="C3277" s="19" t="inlineStr">
        <is>
          <t>AP/TS</t>
        </is>
      </c>
      <c r="D3277" s="20" t="inlineStr">
        <is>
          <t>AP31TV6377</t>
        </is>
      </c>
      <c r="E3277" s="20" t="inlineStr">
        <is>
          <t>TOYOTA</t>
        </is>
      </c>
      <c r="F3277" s="20" t="inlineStr">
        <is>
          <t>Etios</t>
        </is>
      </c>
      <c r="G3277" s="21" t="n">
        <v>2014</v>
      </c>
      <c r="H3277" s="22" t="n">
        <v>163411</v>
      </c>
      <c r="I3277" s="22" t="n">
        <v>232500</v>
      </c>
      <c r="J3277" s="20" t="inlineStr">
        <is>
          <t>Tenali Srinivas</t>
        </is>
      </c>
      <c r="K3277" s="20" t="inlineStr">
        <is>
          <t>Non-Captive</t>
        </is>
      </c>
      <c r="L3277" s="20" t="inlineStr">
        <is>
          <t>Exchange</t>
        </is>
      </c>
      <c r="M3277" s="23" t="n">
        <v>6356</v>
      </c>
    </row>
    <row r="3278">
      <c r="A3278" s="19" t="inlineStr">
        <is>
          <t>FY27</t>
        </is>
      </c>
      <c r="B3278" s="19" t="inlineStr">
        <is>
          <t>Aug</t>
        </is>
      </c>
      <c r="C3278" s="19" t="inlineStr">
        <is>
          <t>AP/TS</t>
        </is>
      </c>
      <c r="D3278" s="20" t="inlineStr">
        <is>
          <t>AP39KG4959</t>
        </is>
      </c>
      <c r="E3278" s="20" t="inlineStr">
        <is>
          <t>HONDA</t>
        </is>
      </c>
      <c r="F3278" s="20" t="inlineStr">
        <is>
          <t>City</t>
        </is>
      </c>
      <c r="G3278" s="21" t="n">
        <v>2021</v>
      </c>
      <c r="H3278" s="22" t="n">
        <v>65383</v>
      </c>
      <c r="I3278" s="22" t="n">
        <v>540000</v>
      </c>
      <c r="J3278" s="20" t="inlineStr">
        <is>
          <t>Yekkalurugooty Mustak</t>
        </is>
      </c>
      <c r="K3278" s="20" t="inlineStr">
        <is>
          <t>Non-Captive</t>
        </is>
      </c>
      <c r="L3278" s="20" t="inlineStr">
        <is>
          <t>Exchange</t>
        </is>
      </c>
      <c r="M3278" s="23" t="n">
        <v>8475</v>
      </c>
    </row>
    <row r="3279">
      <c r="A3279" s="19" t="inlineStr">
        <is>
          <t>FY27</t>
        </is>
      </c>
      <c r="B3279" s="19" t="inlineStr">
        <is>
          <t>Aug</t>
        </is>
      </c>
      <c r="C3279" s="19" t="inlineStr">
        <is>
          <t>AP/TS</t>
        </is>
      </c>
      <c r="D3279" s="20" t="inlineStr">
        <is>
          <t>AP16FF0345</t>
        </is>
      </c>
      <c r="E3279" s="20" t="inlineStr">
        <is>
          <t>HONDA</t>
        </is>
      </c>
      <c r="F3279" s="20" t="inlineStr">
        <is>
          <t>Amaze</t>
        </is>
      </c>
      <c r="G3279" s="21" t="n">
        <v>2018</v>
      </c>
      <c r="H3279" s="22" t="n">
        <v>117594</v>
      </c>
      <c r="I3279" s="22" t="n">
        <v>515000</v>
      </c>
      <c r="J3279" s="20" t="inlineStr">
        <is>
          <t>Vedicherla Sudheer Reddy</t>
        </is>
      </c>
      <c r="K3279" s="20" t="inlineStr">
        <is>
          <t>Non-Captive</t>
        </is>
      </c>
      <c r="L3279" s="20" t="inlineStr">
        <is>
          <t>Exchange</t>
        </is>
      </c>
      <c r="M3279" s="23" t="n">
        <v>12712</v>
      </c>
    </row>
    <row r="3280">
      <c r="A3280" s="19" t="inlineStr">
        <is>
          <t>FY27</t>
        </is>
      </c>
      <c r="B3280" s="19" t="inlineStr">
        <is>
          <t>Aug</t>
        </is>
      </c>
      <c r="C3280" s="19" t="inlineStr">
        <is>
          <t>AP/TS</t>
        </is>
      </c>
      <c r="D3280" s="20" t="inlineStr">
        <is>
          <t>AP16FE6457</t>
        </is>
      </c>
      <c r="E3280" s="20" t="inlineStr">
        <is>
          <t>HONDA</t>
        </is>
      </c>
      <c r="F3280" s="20" t="inlineStr">
        <is>
          <t>Amaze</t>
        </is>
      </c>
      <c r="G3280" s="21" t="n">
        <v>2018</v>
      </c>
      <c r="H3280" s="22" t="n">
        <v>144414</v>
      </c>
      <c r="I3280" s="22" t="n">
        <v>277500</v>
      </c>
      <c r="J3280" s="20" t="inlineStr">
        <is>
          <t>Polukonda Naga Suresh</t>
        </is>
      </c>
      <c r="K3280" s="20" t="inlineStr">
        <is>
          <t>Non-Captive</t>
        </is>
      </c>
      <c r="L3280" s="20" t="inlineStr">
        <is>
          <t>Tenali Srinivas</t>
        </is>
      </c>
      <c r="M3280" s="23" t="n">
        <v>6356</v>
      </c>
    </row>
    <row r="3281">
      <c r="A3281" s="19" t="inlineStr">
        <is>
          <t>FY27</t>
        </is>
      </c>
      <c r="B3281" s="19" t="inlineStr">
        <is>
          <t>Aug</t>
        </is>
      </c>
      <c r="C3281" s="19" t="inlineStr">
        <is>
          <t>AP/TS</t>
        </is>
      </c>
      <c r="D3281" s="20" t="inlineStr">
        <is>
          <t>AP40H3536</t>
        </is>
      </c>
      <c r="E3281" s="20" t="inlineStr">
        <is>
          <t>HONDA</t>
        </is>
      </c>
      <c r="F3281" s="20" t="inlineStr">
        <is>
          <t>Amaze</t>
        </is>
      </c>
      <c r="G3281" s="21" t="n">
        <v>2023</v>
      </c>
      <c r="H3281" s="22" t="n">
        <v>22969</v>
      </c>
      <c r="I3281" s="22" t="n">
        <v>510000</v>
      </c>
      <c r="J3281" s="20" t="inlineStr">
        <is>
          <t>Gandrapu Raja Ratnam</t>
        </is>
      </c>
      <c r="K3281" s="20" t="inlineStr">
        <is>
          <t>Non-Captive</t>
        </is>
      </c>
      <c r="L3281" s="20" t="inlineStr">
        <is>
          <t>Exchange</t>
        </is>
      </c>
      <c r="M3281" s="23" t="n">
        <v>8475</v>
      </c>
    </row>
    <row r="3282">
      <c r="A3282" s="19" t="inlineStr">
        <is>
          <t>FY27</t>
        </is>
      </c>
      <c r="B3282" s="19" t="inlineStr">
        <is>
          <t>Aug</t>
        </is>
      </c>
      <c r="C3282" s="19" t="inlineStr">
        <is>
          <t>AP/TS</t>
        </is>
      </c>
      <c r="D3282" s="20" t="inlineStr">
        <is>
          <t>TS10EF1279</t>
        </is>
      </c>
      <c r="E3282" s="20" t="inlineStr">
        <is>
          <t>MARUTI SUZUKI</t>
        </is>
      </c>
      <c r="F3282" s="20" t="inlineStr">
        <is>
          <t>Ciaz</t>
        </is>
      </c>
      <c r="G3282" s="21" t="n">
        <v>2015</v>
      </c>
      <c r="H3282" s="22" t="n">
        <v>115823</v>
      </c>
      <c r="I3282" s="22" t="n">
        <v>355000</v>
      </c>
      <c r="J3282" s="20" t="inlineStr">
        <is>
          <t>Gorenka Bhavani Prasad</t>
        </is>
      </c>
      <c r="K3282" s="20" t="inlineStr">
        <is>
          <t>Non-Captive</t>
        </is>
      </c>
      <c r="L3282" s="20" t="inlineStr">
        <is>
          <t>Exchange</t>
        </is>
      </c>
      <c r="M3282" s="23" t="n">
        <v>12712</v>
      </c>
    </row>
    <row r="3283">
      <c r="A3283" s="19" t="inlineStr">
        <is>
          <t>FY27</t>
        </is>
      </c>
      <c r="B3283" s="19" t="inlineStr">
        <is>
          <t>Aug</t>
        </is>
      </c>
      <c r="C3283" s="19" t="inlineStr">
        <is>
          <t>AP/TS</t>
        </is>
      </c>
      <c r="D3283" s="20" t="inlineStr">
        <is>
          <t>TS09EH7429</t>
        </is>
      </c>
      <c r="E3283" s="20" t="inlineStr">
        <is>
          <t>HONDA</t>
        </is>
      </c>
      <c r="F3283" s="20" t="inlineStr">
        <is>
          <t>Mobilio</t>
        </is>
      </c>
      <c r="G3283" s="21" t="n">
        <v>2015</v>
      </c>
      <c r="H3283" s="22" t="n">
        <v>182125</v>
      </c>
      <c r="I3283" s="22" t="n">
        <v>283000</v>
      </c>
      <c r="J3283" s="20" t="inlineStr">
        <is>
          <t>Gorenka Bhavani Prasad</t>
        </is>
      </c>
      <c r="K3283" s="20" t="inlineStr">
        <is>
          <t>Non-Captive</t>
        </is>
      </c>
      <c r="L3283" s="20" t="inlineStr">
        <is>
          <t>Puneet Gupta</t>
        </is>
      </c>
      <c r="M3283" s="23" t="n">
        <v>6780</v>
      </c>
    </row>
    <row r="3284">
      <c r="A3284" s="19" t="inlineStr">
        <is>
          <t>FY27</t>
        </is>
      </c>
      <c r="B3284" s="19" t="inlineStr">
        <is>
          <t>Aug</t>
        </is>
      </c>
      <c r="C3284" s="19" t="inlineStr">
        <is>
          <t>AP/TS</t>
        </is>
      </c>
      <c r="D3284" s="20" t="inlineStr">
        <is>
          <t>TS09EB2605</t>
        </is>
      </c>
      <c r="E3284" s="20" t="inlineStr">
        <is>
          <t>HONDA</t>
        </is>
      </c>
      <c r="F3284" s="20" t="inlineStr">
        <is>
          <t>City</t>
        </is>
      </c>
      <c r="G3284" s="21" t="n">
        <v>2014</v>
      </c>
      <c r="H3284" s="22" t="n">
        <v>93520</v>
      </c>
      <c r="I3284" s="22" t="n">
        <v>330000</v>
      </c>
      <c r="J3284" s="20" t="inlineStr">
        <is>
          <t>Uppari Sandeep Kumar</t>
        </is>
      </c>
      <c r="K3284" s="20" t="inlineStr">
        <is>
          <t>Non-Captive</t>
        </is>
      </c>
      <c r="L3284" s="20" t="inlineStr">
        <is>
          <t>Exchange</t>
        </is>
      </c>
      <c r="M3284" s="23" t="n">
        <v>8475</v>
      </c>
    </row>
    <row r="3285">
      <c r="A3285" s="19" t="inlineStr">
        <is>
          <t>FY27</t>
        </is>
      </c>
      <c r="B3285" s="19" t="inlineStr">
        <is>
          <t>Aug</t>
        </is>
      </c>
      <c r="C3285" s="19" t="inlineStr">
        <is>
          <t>AP/TS</t>
        </is>
      </c>
      <c r="D3285" s="20" t="inlineStr">
        <is>
          <t>AP31CQ2772</t>
        </is>
      </c>
      <c r="E3285" s="20" t="inlineStr">
        <is>
          <t>HYUNDAI</t>
        </is>
      </c>
      <c r="F3285" s="20" t="inlineStr">
        <is>
          <t>Verna</t>
        </is>
      </c>
      <c r="G3285" s="21" t="n">
        <v>2014</v>
      </c>
      <c r="H3285" s="22" t="n">
        <v>234567</v>
      </c>
      <c r="I3285" s="22" t="n">
        <v>270000</v>
      </c>
      <c r="J3285" s="20" t="inlineStr">
        <is>
          <t>Sunil Kumar Botta</t>
        </is>
      </c>
      <c r="K3285" s="20" t="inlineStr">
        <is>
          <t>Non-Captive</t>
        </is>
      </c>
      <c r="L3285" s="20" t="inlineStr">
        <is>
          <t>Exchange</t>
        </is>
      </c>
      <c r="M3285" s="23" t="n">
        <v>12712</v>
      </c>
    </row>
    <row r="3286">
      <c r="A3286" s="19" t="inlineStr">
        <is>
          <t>FY27</t>
        </is>
      </c>
      <c r="B3286" s="19" t="inlineStr">
        <is>
          <t>Aug</t>
        </is>
      </c>
      <c r="C3286" s="19" t="inlineStr">
        <is>
          <t>AP/TS</t>
        </is>
      </c>
      <c r="D3286" s="20" t="inlineStr">
        <is>
          <t>AP31CH2439</t>
        </is>
      </c>
      <c r="E3286" s="20" t="inlineStr">
        <is>
          <t>HONDA</t>
        </is>
      </c>
      <c r="F3286" s="20" t="inlineStr">
        <is>
          <t>Amaze</t>
        </is>
      </c>
      <c r="G3286" s="21" t="n">
        <v>2013</v>
      </c>
      <c r="H3286" s="22" t="n">
        <v>30254</v>
      </c>
      <c r="I3286" s="22" t="n">
        <v>267000</v>
      </c>
      <c r="J3286" s="20" t="inlineStr">
        <is>
          <t>Kesireddi Saikiran</t>
        </is>
      </c>
      <c r="K3286" s="20" t="inlineStr">
        <is>
          <t>Non-Captive</t>
        </is>
      </c>
      <c r="L3286" s="20" t="inlineStr">
        <is>
          <t>Exchange</t>
        </is>
      </c>
      <c r="M3286" s="23" t="n">
        <v>14407</v>
      </c>
    </row>
    <row r="3287">
      <c r="A3287" s="19" t="inlineStr">
        <is>
          <t>FY27</t>
        </is>
      </c>
      <c r="B3287" s="19" t="inlineStr">
        <is>
          <t>Aug</t>
        </is>
      </c>
      <c r="C3287" s="19" t="inlineStr">
        <is>
          <t>AP/TS</t>
        </is>
      </c>
      <c r="D3287" s="20" t="inlineStr">
        <is>
          <t>AP37DE4995</t>
        </is>
      </c>
      <c r="E3287" s="20" t="inlineStr">
        <is>
          <t>HYUNDAI</t>
        </is>
      </c>
      <c r="F3287" s="20" t="inlineStr">
        <is>
          <t>Vento</t>
        </is>
      </c>
      <c r="G3287" s="21" t="n">
        <v>2016</v>
      </c>
      <c r="H3287" s="22" t="n">
        <v>124396</v>
      </c>
      <c r="I3287" s="22" t="n">
        <v>357500</v>
      </c>
      <c r="J3287" s="20" t="inlineStr">
        <is>
          <t>Tenali Srinivas</t>
        </is>
      </c>
      <c r="K3287" s="20" t="inlineStr">
        <is>
          <t>Non-Captive</t>
        </is>
      </c>
      <c r="L3287" s="20" t="inlineStr">
        <is>
          <t>Vinod Kumar Murari</t>
        </is>
      </c>
      <c r="M3287" s="23" t="n">
        <v>6356</v>
      </c>
    </row>
    <row r="3288">
      <c r="A3288" s="19" t="inlineStr">
        <is>
          <t>FY27</t>
        </is>
      </c>
      <c r="B3288" s="19" t="inlineStr">
        <is>
          <t>Aug</t>
        </is>
      </c>
      <c r="C3288" s="19" t="inlineStr">
        <is>
          <t>AP/TS</t>
        </is>
      </c>
      <c r="D3288" s="20" t="inlineStr">
        <is>
          <t>AP39AZ1589</t>
        </is>
      </c>
      <c r="E3288" s="20" t="inlineStr">
        <is>
          <t>HONDA</t>
        </is>
      </c>
      <c r="F3288" s="20" t="inlineStr">
        <is>
          <t>Jazz</t>
        </is>
      </c>
      <c r="G3288" s="21" t="n">
        <v>2019</v>
      </c>
      <c r="H3288" s="22" t="n">
        <v>105435</v>
      </c>
      <c r="I3288" s="22" t="n">
        <v>387500</v>
      </c>
      <c r="J3288" s="20" t="inlineStr">
        <is>
          <t>Tenali Srinivas</t>
        </is>
      </c>
      <c r="K3288" s="20" t="inlineStr">
        <is>
          <t>Non-Captive</t>
        </is>
      </c>
      <c r="L3288" s="20" t="inlineStr">
        <is>
          <t>Vinod Kumar Murari</t>
        </is>
      </c>
      <c r="M3288" s="23" t="n">
        <v>6356</v>
      </c>
    </row>
    <row r="3289">
      <c r="A3289" s="19" t="inlineStr">
        <is>
          <t>FY27</t>
        </is>
      </c>
      <c r="B3289" s="19" t="inlineStr">
        <is>
          <t>Aug</t>
        </is>
      </c>
      <c r="C3289" s="19" t="inlineStr">
        <is>
          <t>AP/TS</t>
        </is>
      </c>
      <c r="D3289" s="20" t="inlineStr">
        <is>
          <t>AP16EW1122</t>
        </is>
      </c>
      <c r="E3289" s="20" t="inlineStr">
        <is>
          <t>MARUTI SUZUKI</t>
        </is>
      </c>
      <c r="F3289" s="20" t="inlineStr">
        <is>
          <t>Vitara Brezza</t>
        </is>
      </c>
      <c r="G3289" s="21" t="n">
        <v>2018</v>
      </c>
      <c r="H3289" s="22" t="n">
        <v>249427</v>
      </c>
      <c r="I3289" s="22" t="n">
        <v>443000</v>
      </c>
      <c r="J3289" s="20" t="inlineStr">
        <is>
          <t>Mohammed Gouse Basha</t>
        </is>
      </c>
      <c r="K3289" s="20" t="inlineStr">
        <is>
          <t>Non-Captive</t>
        </is>
      </c>
      <c r="L3289" s="20" t="inlineStr">
        <is>
          <t>Exchange</t>
        </is>
      </c>
      <c r="M3289" s="23" t="n">
        <v>11017</v>
      </c>
    </row>
    <row r="3290">
      <c r="A3290" s="19" t="inlineStr">
        <is>
          <t>FY27</t>
        </is>
      </c>
      <c r="B3290" s="19" t="inlineStr">
        <is>
          <t>Aug</t>
        </is>
      </c>
      <c r="C3290" s="19" t="inlineStr">
        <is>
          <t>AP/TS</t>
        </is>
      </c>
      <c r="D3290" s="20" t="inlineStr">
        <is>
          <t>AP39HV0505</t>
        </is>
      </c>
      <c r="E3290" s="20" t="inlineStr">
        <is>
          <t>HYUNDAI</t>
        </is>
      </c>
      <c r="F3290" s="20" t="inlineStr">
        <is>
          <t>Creta</t>
        </is>
      </c>
      <c r="G3290" s="21" t="n">
        <v>2021</v>
      </c>
      <c r="H3290" s="22" t="n">
        <v>173575</v>
      </c>
      <c r="I3290" s="22" t="n">
        <v>795000</v>
      </c>
      <c r="J3290" s="20" t="inlineStr">
        <is>
          <t>Suresh Ginjupalli</t>
        </is>
      </c>
      <c r="K3290" s="20" t="inlineStr">
        <is>
          <t>Non-Captive</t>
        </is>
      </c>
      <c r="L3290" s="20" t="inlineStr">
        <is>
          <t>Exchange</t>
        </is>
      </c>
      <c r="M3290" s="23" t="n">
        <v>12712</v>
      </c>
    </row>
    <row r="3291">
      <c r="A3291" s="19" t="inlineStr">
        <is>
          <t>FY27</t>
        </is>
      </c>
      <c r="B3291" s="19" t="inlineStr">
        <is>
          <t>Aug</t>
        </is>
      </c>
      <c r="C3291" s="19" t="inlineStr">
        <is>
          <t>AP/TS</t>
        </is>
      </c>
      <c r="D3291" s="20" t="inlineStr">
        <is>
          <t>TG08G7002</t>
        </is>
      </c>
      <c r="E3291" s="20" t="inlineStr">
        <is>
          <t>MARUTI SUZUKI</t>
        </is>
      </c>
      <c r="F3291" s="20" t="inlineStr">
        <is>
          <t>Wagon-R</t>
        </is>
      </c>
      <c r="G3291" s="21" t="n">
        <v>2024</v>
      </c>
      <c r="H3291" s="22" t="n">
        <v>24094</v>
      </c>
      <c r="I3291" s="22" t="n">
        <v>440000</v>
      </c>
      <c r="J3291" s="20" t="inlineStr">
        <is>
          <t>Vishnukant Heda (Sub5 Cars)</t>
        </is>
      </c>
      <c r="K3291" s="20" t="inlineStr">
        <is>
          <t>Non-Captive</t>
        </is>
      </c>
      <c r="L3291" s="20" t="inlineStr">
        <is>
          <t>Exchange</t>
        </is>
      </c>
      <c r="M3291" s="23" t="n">
        <v>8475</v>
      </c>
    </row>
    <row r="3292">
      <c r="A3292" s="19" t="inlineStr">
        <is>
          <t>FY27</t>
        </is>
      </c>
      <c r="B3292" s="19" t="inlineStr">
        <is>
          <t>Aug</t>
        </is>
      </c>
      <c r="C3292" s="19" t="inlineStr">
        <is>
          <t>AP/TS</t>
        </is>
      </c>
      <c r="D3292" s="20" t="inlineStr">
        <is>
          <t>TS08FV4500</t>
        </is>
      </c>
      <c r="E3292" s="20" t="inlineStr">
        <is>
          <t>HYUNDAI</t>
        </is>
      </c>
      <c r="F3292" s="20" t="inlineStr">
        <is>
          <t>Creta</t>
        </is>
      </c>
      <c r="G3292" s="21" t="n">
        <v>2018</v>
      </c>
      <c r="H3292" s="22" t="n">
        <v>94283</v>
      </c>
      <c r="I3292" s="22" t="n">
        <v>207500</v>
      </c>
      <c r="J3292" s="20" t="inlineStr">
        <is>
          <t>Vishnukant Heda (Sub5 Cars)</t>
        </is>
      </c>
      <c r="K3292" s="20" t="inlineStr">
        <is>
          <t>Non-Captive</t>
        </is>
      </c>
      <c r="L3292" s="20" t="inlineStr">
        <is>
          <t>Puneet Gupta</t>
        </is>
      </c>
      <c r="M3292" s="23" t="n">
        <v>6356</v>
      </c>
    </row>
    <row r="3293">
      <c r="A3293" s="19" t="inlineStr">
        <is>
          <t>FY27</t>
        </is>
      </c>
      <c r="B3293" s="19" t="inlineStr">
        <is>
          <t>Aug</t>
        </is>
      </c>
      <c r="C3293" s="19" t="inlineStr">
        <is>
          <t>AP/TS</t>
        </is>
      </c>
      <c r="D3293" s="20" t="inlineStr">
        <is>
          <t>TS07GL5859</t>
        </is>
      </c>
      <c r="E3293" s="20" t="inlineStr">
        <is>
          <t>MARUTI SUZUKI</t>
        </is>
      </c>
      <c r="F3293" s="20" t="inlineStr">
        <is>
          <t>Swift</t>
        </is>
      </c>
      <c r="G3293" s="21" t="n">
        <v>2018</v>
      </c>
      <c r="H3293" s="22" t="n">
        <v>142264</v>
      </c>
      <c r="I3293" s="22" t="n">
        <v>207500</v>
      </c>
      <c r="J3293" s="20" t="inlineStr">
        <is>
          <t>Vishnukant Heda (Sub5 Cars)</t>
        </is>
      </c>
      <c r="K3293" s="20" t="inlineStr">
        <is>
          <t>Non-Captive</t>
        </is>
      </c>
      <c r="L3293" s="20" t="inlineStr">
        <is>
          <t>Puneet Gupta</t>
        </is>
      </c>
      <c r="M3293" s="23" t="n">
        <v>6356</v>
      </c>
    </row>
    <row r="3294">
      <c r="A3294" s="19" t="inlineStr">
        <is>
          <t>FY27</t>
        </is>
      </c>
      <c r="B3294" s="19" t="inlineStr">
        <is>
          <t>Aug</t>
        </is>
      </c>
      <c r="C3294" s="19" t="inlineStr">
        <is>
          <t>AP/TS</t>
        </is>
      </c>
      <c r="D3294" s="20" t="inlineStr">
        <is>
          <t>AP16DE2226</t>
        </is>
      </c>
      <c r="E3294" s="20" t="inlineStr">
        <is>
          <t>VOLKSWAGEN</t>
        </is>
      </c>
      <c r="F3294" s="20" t="inlineStr">
        <is>
          <t>Vento</t>
        </is>
      </c>
      <c r="G3294" s="21" t="n">
        <v>2015</v>
      </c>
      <c r="H3294" s="22" t="n">
        <v>190453</v>
      </c>
      <c r="I3294" s="22" t="n">
        <v>365000</v>
      </c>
      <c r="J3294" s="20" t="inlineStr">
        <is>
          <t>Meerza Gaffor Baig</t>
        </is>
      </c>
      <c r="K3294" s="20" t="inlineStr">
        <is>
          <t>Non-Captive</t>
        </is>
      </c>
      <c r="L3294" s="20" t="inlineStr">
        <is>
          <t>Exchange</t>
        </is>
      </c>
      <c r="M3294" s="23" t="n">
        <v>12712</v>
      </c>
    </row>
    <row r="3295">
      <c r="A3295" s="19" t="inlineStr">
        <is>
          <t>FY27</t>
        </is>
      </c>
      <c r="B3295" s="19" t="inlineStr">
        <is>
          <t>Aug</t>
        </is>
      </c>
      <c r="C3295" s="19" t="inlineStr">
        <is>
          <t>AP/TS</t>
        </is>
      </c>
      <c r="D3295" s="20" t="inlineStr">
        <is>
          <t>AP16DN3457</t>
        </is>
      </c>
      <c r="E3295" s="20" t="inlineStr">
        <is>
          <t>MARUTI SUZUKI</t>
        </is>
      </c>
      <c r="F3295" s="20" t="inlineStr">
        <is>
          <t>Wagon-R</t>
        </is>
      </c>
      <c r="G3295" s="21" t="n">
        <v>2017</v>
      </c>
      <c r="H3295" s="22" t="n">
        <v>91820</v>
      </c>
      <c r="I3295" s="22" t="n">
        <v>242500</v>
      </c>
      <c r="J3295" s="20" t="inlineStr">
        <is>
          <t>Mohammed Gouse Basha</t>
        </is>
      </c>
      <c r="K3295" s="20" t="inlineStr">
        <is>
          <t>Non-Captive</t>
        </is>
      </c>
      <c r="L3295" s="20" t="inlineStr">
        <is>
          <t>Vinod Kumar Murari</t>
        </is>
      </c>
      <c r="M3295" s="23" t="n">
        <v>6356</v>
      </c>
    </row>
    <row r="3296">
      <c r="A3296" s="19" t="inlineStr">
        <is>
          <t>FY27</t>
        </is>
      </c>
      <c r="B3296" s="19" t="inlineStr">
        <is>
          <t>Aug</t>
        </is>
      </c>
      <c r="C3296" s="19" t="inlineStr">
        <is>
          <t>AP/TS</t>
        </is>
      </c>
      <c r="D3296" s="20" t="inlineStr">
        <is>
          <t>AP40CR3633</t>
        </is>
      </c>
      <c r="E3296" s="20" t="inlineStr">
        <is>
          <t>HYUNDAI</t>
        </is>
      </c>
      <c r="F3296" s="20" t="inlineStr">
        <is>
          <t>Aura</t>
        </is>
      </c>
      <c r="G3296" s="21" t="n">
        <v>2024</v>
      </c>
      <c r="H3296" s="22" t="n">
        <v>23265</v>
      </c>
      <c r="I3296" s="22" t="n">
        <v>287500</v>
      </c>
      <c r="J3296" s="20" t="inlineStr">
        <is>
          <t>Mohammed Gouse Basha</t>
        </is>
      </c>
      <c r="K3296" s="20" t="inlineStr">
        <is>
          <t>Non-Captive</t>
        </is>
      </c>
      <c r="L3296" s="20" t="inlineStr">
        <is>
          <t>Vinod Kumar Murari</t>
        </is>
      </c>
      <c r="M3296" s="23" t="n">
        <v>6356</v>
      </c>
    </row>
    <row r="3297">
      <c r="A3297" s="19" t="inlineStr">
        <is>
          <t>FY27</t>
        </is>
      </c>
      <c r="B3297" s="19" t="inlineStr">
        <is>
          <t>Aug</t>
        </is>
      </c>
      <c r="C3297" s="19" t="inlineStr">
        <is>
          <t>AP/TS</t>
        </is>
      </c>
      <c r="D3297" s="20" t="inlineStr">
        <is>
          <t>AP16CZ0116</t>
        </is>
      </c>
      <c r="E3297" s="20" t="inlineStr">
        <is>
          <t>NISSAN</t>
        </is>
      </c>
      <c r="F3297" s="20" t="inlineStr">
        <is>
          <t>Terrano</t>
        </is>
      </c>
      <c r="G3297" s="21" t="n">
        <v>2014</v>
      </c>
      <c r="H3297" s="22" t="n">
        <v>145011</v>
      </c>
      <c r="I3297" s="22" t="n">
        <v>265000</v>
      </c>
      <c r="J3297" s="20" t="inlineStr">
        <is>
          <t>Sivaprasad Relangi</t>
        </is>
      </c>
      <c r="K3297" s="20" t="inlineStr">
        <is>
          <t>Non-Captive</t>
        </is>
      </c>
      <c r="L3297" s="20" t="inlineStr">
        <is>
          <t>Exchange</t>
        </is>
      </c>
      <c r="M3297" s="23" t="n">
        <v>12712</v>
      </c>
    </row>
    <row r="3298">
      <c r="A3298" s="19" t="inlineStr">
        <is>
          <t>FY27</t>
        </is>
      </c>
      <c r="B3298" s="19" t="inlineStr">
        <is>
          <t>Aug</t>
        </is>
      </c>
      <c r="C3298" s="19" t="inlineStr">
        <is>
          <t>AP/TS</t>
        </is>
      </c>
      <c r="D3298" s="20" t="inlineStr">
        <is>
          <t>AP10AW7929</t>
        </is>
      </c>
      <c r="E3298" s="20" t="inlineStr">
        <is>
          <t>HONDA</t>
        </is>
      </c>
      <c r="F3298" s="20" t="inlineStr">
        <is>
          <t>City</t>
        </is>
      </c>
      <c r="G3298" s="21" t="n">
        <v>2011</v>
      </c>
      <c r="H3298" s="22" t="n">
        <v>71707</v>
      </c>
      <c r="I3298" s="22" t="n">
        <v>137000</v>
      </c>
      <c r="J3298" s="20" t="inlineStr">
        <is>
          <t>Gorenka Bhavani Prasad</t>
        </is>
      </c>
      <c r="K3298" s="20" t="inlineStr">
        <is>
          <t>Non-Captive</t>
        </is>
      </c>
      <c r="L3298" s="20" t="inlineStr">
        <is>
          <t>Puneet Gupta</t>
        </is>
      </c>
      <c r="M3298" s="23" t="n">
        <v>5932</v>
      </c>
    </row>
    <row r="3299">
      <c r="A3299" s="19" t="inlineStr">
        <is>
          <t>FY27</t>
        </is>
      </c>
      <c r="B3299" s="19" t="inlineStr">
        <is>
          <t>Aug</t>
        </is>
      </c>
      <c r="C3299" s="19" t="inlineStr">
        <is>
          <t>AP/TS</t>
        </is>
      </c>
      <c r="D3299" s="20" t="inlineStr">
        <is>
          <t>AP28DC0785</t>
        </is>
      </c>
      <c r="E3299" s="20" t="inlineStr">
        <is>
          <t>HYUNDAI</t>
        </is>
      </c>
      <c r="F3299" s="20" t="inlineStr">
        <is>
          <t>Santro</t>
        </is>
      </c>
      <c r="G3299" s="21" t="n">
        <v>2009</v>
      </c>
      <c r="H3299" s="22" t="n">
        <v>110428</v>
      </c>
      <c r="I3299" s="22" t="n">
        <v>70000</v>
      </c>
      <c r="J3299" s="20" t="inlineStr">
        <is>
          <t>Uppari Sandeep Kumar</t>
        </is>
      </c>
      <c r="K3299" s="20" t="inlineStr">
        <is>
          <t>Non-Captive</t>
        </is>
      </c>
      <c r="L3299" s="20" t="inlineStr">
        <is>
          <t>Puneet Gupta</t>
        </is>
      </c>
      <c r="M3299" s="23" t="n">
        <v>4237</v>
      </c>
    </row>
    <row r="3300">
      <c r="A3300" s="19" t="inlineStr">
        <is>
          <t>FY27</t>
        </is>
      </c>
      <c r="B3300" s="19" t="inlineStr">
        <is>
          <t>Aug</t>
        </is>
      </c>
      <c r="C3300" s="19" t="inlineStr">
        <is>
          <t>AP/TS</t>
        </is>
      </c>
      <c r="D3300" s="20" t="inlineStr">
        <is>
          <t>AP09CC8134</t>
        </is>
      </c>
      <c r="E3300" s="20" t="inlineStr">
        <is>
          <t>MARUTI SUZUKI</t>
        </is>
      </c>
      <c r="F3300" s="20" t="inlineStr">
        <is>
          <t>Swift</t>
        </is>
      </c>
      <c r="G3300" s="21" t="n">
        <v>2011</v>
      </c>
      <c r="H3300" s="22" t="n">
        <v>122111</v>
      </c>
      <c r="I3300" s="22" t="n">
        <v>167000</v>
      </c>
      <c r="J3300" s="20" t="inlineStr">
        <is>
          <t>Mohd Riyazuddin Ansari</t>
        </is>
      </c>
      <c r="K3300" s="20" t="inlineStr">
        <is>
          <t>Non-Captive</t>
        </is>
      </c>
      <c r="L3300" s="20" t="inlineStr">
        <is>
          <t>Puneet Gupta</t>
        </is>
      </c>
      <c r="M3300" s="23" t="n">
        <v>5932</v>
      </c>
    </row>
    <row r="3301">
      <c r="A3301" s="19" t="inlineStr">
        <is>
          <t>FY27</t>
        </is>
      </c>
      <c r="B3301" s="19" t="inlineStr">
        <is>
          <t>Aug</t>
        </is>
      </c>
      <c r="C3301" s="19" t="inlineStr">
        <is>
          <t>AP/TS</t>
        </is>
      </c>
      <c r="D3301" s="20" t="inlineStr">
        <is>
          <t>AP09CF2867</t>
        </is>
      </c>
      <c r="E3301" s="20" t="inlineStr">
        <is>
          <t>HONDA</t>
        </is>
      </c>
      <c r="F3301" s="20" t="inlineStr">
        <is>
          <t>City</t>
        </is>
      </c>
      <c r="G3301" s="21" t="n">
        <v>2011</v>
      </c>
      <c r="H3301" s="22" t="n">
        <v>114359</v>
      </c>
      <c r="I3301" s="22" t="n">
        <v>178000</v>
      </c>
      <c r="J3301" s="20" t="inlineStr">
        <is>
          <t>Mohd Riyazuddin Ansari</t>
        </is>
      </c>
      <c r="K3301" s="20" t="inlineStr">
        <is>
          <t>Non-Captive</t>
        </is>
      </c>
      <c r="L3301" s="20" t="inlineStr">
        <is>
          <t>Puneet Gupta</t>
        </is>
      </c>
      <c r="M3301" s="23" t="n">
        <v>6780</v>
      </c>
    </row>
    <row r="3302">
      <c r="A3302" s="19" t="inlineStr">
        <is>
          <t>FY27</t>
        </is>
      </c>
      <c r="B3302" s="19" t="inlineStr">
        <is>
          <t>Aug</t>
        </is>
      </c>
      <c r="C3302" s="19" t="inlineStr">
        <is>
          <t>AP/TS</t>
        </is>
      </c>
      <c r="D3302" s="20" t="inlineStr">
        <is>
          <t>AP10BG3941</t>
        </is>
      </c>
      <c r="E3302" s="20" t="inlineStr">
        <is>
          <t>MARUTI SUZUKI</t>
        </is>
      </c>
      <c r="F3302" s="20" t="inlineStr">
        <is>
          <t>Swift</t>
        </is>
      </c>
      <c r="G3302" s="21" t="n">
        <v>2014</v>
      </c>
      <c r="H3302" s="22" t="n">
        <v>18501</v>
      </c>
      <c r="I3302" s="22" t="n">
        <v>260000</v>
      </c>
      <c r="J3302" s="20" t="inlineStr">
        <is>
          <t>Mohd Riyazuddin Ansari</t>
        </is>
      </c>
      <c r="K3302" s="20" t="inlineStr">
        <is>
          <t>Non-Captive</t>
        </is>
      </c>
      <c r="L3302" s="20" t="inlineStr">
        <is>
          <t>Puneet Gupta</t>
        </is>
      </c>
      <c r="M3302" s="23" t="n">
        <v>8475</v>
      </c>
    </row>
    <row r="3303">
      <c r="A3303" s="19" t="inlineStr">
        <is>
          <t>FY27</t>
        </is>
      </c>
      <c r="B3303" s="19" t="inlineStr">
        <is>
          <t>Aug</t>
        </is>
      </c>
      <c r="C3303" s="19" t="inlineStr">
        <is>
          <t>AP/TS</t>
        </is>
      </c>
      <c r="D3303" s="20" t="inlineStr">
        <is>
          <t>AP16AS7898</t>
        </is>
      </c>
      <c r="E3303" s="20" t="inlineStr">
        <is>
          <t>MARUTI SUZUKI</t>
        </is>
      </c>
      <c r="F3303" s="20" t="inlineStr">
        <is>
          <t>Wagon-R</t>
        </is>
      </c>
      <c r="G3303" s="21" t="n">
        <v>2008</v>
      </c>
      <c r="H3303" s="22" t="n">
        <v>98565</v>
      </c>
      <c r="I3303" s="22" t="n">
        <v>75000</v>
      </c>
      <c r="J3303" s="20" t="inlineStr">
        <is>
          <t>Guthi Ravi Krishna</t>
        </is>
      </c>
      <c r="K3303" s="20" t="inlineStr">
        <is>
          <t>Non-Captive</t>
        </is>
      </c>
      <c r="L3303" s="20" t="inlineStr">
        <is>
          <t>Gopi Nagaraju</t>
        </is>
      </c>
      <c r="M3303" s="23" t="n">
        <v>4237</v>
      </c>
    </row>
    <row r="3304">
      <c r="A3304" s="19" t="inlineStr">
        <is>
          <t>FY27</t>
        </is>
      </c>
      <c r="B3304" s="19" t="inlineStr">
        <is>
          <t>Aug</t>
        </is>
      </c>
      <c r="C3304" s="19" t="inlineStr">
        <is>
          <t>AP/TS</t>
        </is>
      </c>
      <c r="D3304" s="20" t="inlineStr">
        <is>
          <t>AP16BG2369</t>
        </is>
      </c>
      <c r="E3304" s="20" t="inlineStr">
        <is>
          <t>HYUNDAI</t>
        </is>
      </c>
      <c r="F3304" s="20" t="inlineStr">
        <is>
          <t>Santro</t>
        </is>
      </c>
      <c r="G3304" s="21" t="n">
        <v>2007</v>
      </c>
      <c r="H3304" s="22" t="n">
        <v>99419</v>
      </c>
      <c r="I3304" s="22" t="n">
        <v>65000</v>
      </c>
      <c r="J3304" s="20" t="inlineStr">
        <is>
          <t>Chandu Ram Sai</t>
        </is>
      </c>
      <c r="K3304" s="20" t="inlineStr">
        <is>
          <t>Non-Captive</t>
        </is>
      </c>
      <c r="L3304" s="20" t="inlineStr">
        <is>
          <t>Gopi Nagaraju</t>
        </is>
      </c>
      <c r="M3304" s="23" t="n">
        <v>4237</v>
      </c>
    </row>
    <row r="3305">
      <c r="A3305" s="19" t="inlineStr">
        <is>
          <t>FY27</t>
        </is>
      </c>
      <c r="B3305" s="19" t="inlineStr">
        <is>
          <t>Aug</t>
        </is>
      </c>
      <c r="C3305" s="19" t="inlineStr">
        <is>
          <t>AP/TS</t>
        </is>
      </c>
      <c r="D3305" s="20" t="inlineStr">
        <is>
          <t>AP07BL4725</t>
        </is>
      </c>
      <c r="E3305" s="20" t="inlineStr">
        <is>
          <t>MARUTI SUZUKI</t>
        </is>
      </c>
      <c r="F3305" s="20" t="inlineStr">
        <is>
          <t>Wagon-R</t>
        </is>
      </c>
      <c r="G3305" s="21" t="n">
        <v>2012</v>
      </c>
      <c r="H3305" s="22" t="n">
        <v>96453</v>
      </c>
      <c r="I3305" s="22" t="n">
        <v>176000</v>
      </c>
      <c r="J3305" s="20" t="inlineStr">
        <is>
          <t>Mohammed Gouse Basha</t>
        </is>
      </c>
      <c r="K3305" s="20" t="inlineStr">
        <is>
          <t>Non-Captive</t>
        </is>
      </c>
      <c r="L3305" s="20" t="inlineStr">
        <is>
          <t>Gopi Nagaraju</t>
        </is>
      </c>
      <c r="M3305" s="23" t="n">
        <v>5085</v>
      </c>
    </row>
    <row r="3306">
      <c r="A3306" s="19" t="inlineStr">
        <is>
          <t>FY27</t>
        </is>
      </c>
      <c r="B3306" s="19" t="inlineStr">
        <is>
          <t>Aug</t>
        </is>
      </c>
      <c r="C3306" s="19" t="inlineStr">
        <is>
          <t>AP/TS</t>
        </is>
      </c>
      <c r="D3306" s="20" t="inlineStr">
        <is>
          <t>AP16FC0666</t>
        </is>
      </c>
      <c r="E3306" s="20" t="inlineStr">
        <is>
          <t>HONDA</t>
        </is>
      </c>
      <c r="F3306" s="20" t="inlineStr">
        <is>
          <t>City</t>
        </is>
      </c>
      <c r="G3306" s="21" t="n">
        <v>2018</v>
      </c>
      <c r="H3306" s="22" t="n">
        <v>106099</v>
      </c>
      <c r="I3306" s="22" t="n">
        <v>540000</v>
      </c>
      <c r="J3306" s="20" t="inlineStr">
        <is>
          <t>P Kiran Babu</t>
        </is>
      </c>
      <c r="K3306" s="20" t="inlineStr">
        <is>
          <t>Non-Captive</t>
        </is>
      </c>
      <c r="L3306" s="20" t="inlineStr">
        <is>
          <t>Exchange</t>
        </is>
      </c>
      <c r="M3306" s="23" t="n">
        <v>8475</v>
      </c>
    </row>
    <row r="3307">
      <c r="A3307" s="19" t="inlineStr">
        <is>
          <t>FY27</t>
        </is>
      </c>
      <c r="B3307" s="19" t="inlineStr">
        <is>
          <t>Aug</t>
        </is>
      </c>
      <c r="C3307" s="19" t="inlineStr">
        <is>
          <t>AP/TS</t>
        </is>
      </c>
      <c r="D3307" s="20" t="inlineStr">
        <is>
          <t>AP10AW4070</t>
        </is>
      </c>
      <c r="E3307" s="20" t="inlineStr">
        <is>
          <t>HONDA</t>
        </is>
      </c>
      <c r="F3307" s="20" t="inlineStr">
        <is>
          <t>Civic</t>
        </is>
      </c>
      <c r="G3307" s="21" t="n">
        <v>2011</v>
      </c>
      <c r="H3307" s="22" t="n">
        <v>77909</v>
      </c>
      <c r="I3307" s="22" t="n">
        <v>108000</v>
      </c>
      <c r="J3307" s="20" t="inlineStr">
        <is>
          <t>Palamarasetti Ram Kumar</t>
        </is>
      </c>
      <c r="K3307" s="20" t="inlineStr">
        <is>
          <t>Non-Captive</t>
        </is>
      </c>
      <c r="L3307" s="20" t="inlineStr">
        <is>
          <t>Ramesh Palley</t>
        </is>
      </c>
      <c r="M3307" s="23" t="n">
        <v>6780</v>
      </c>
    </row>
    <row r="3308">
      <c r="A3308" s="19" t="inlineStr">
        <is>
          <t>FY27</t>
        </is>
      </c>
      <c r="B3308" s="19" t="inlineStr">
        <is>
          <t>Aug</t>
        </is>
      </c>
      <c r="C3308" s="19" t="inlineStr">
        <is>
          <t>AP/TS</t>
        </is>
      </c>
      <c r="D3308" s="20" t="inlineStr">
        <is>
          <t>AP36AR9779</t>
        </is>
      </c>
      <c r="E3308" s="20" t="inlineStr">
        <is>
          <t>HONDA</t>
        </is>
      </c>
      <c r="F3308" s="20" t="inlineStr">
        <is>
          <t>Brio</t>
        </is>
      </c>
      <c r="G3308" s="21" t="n">
        <v>2012</v>
      </c>
      <c r="H3308" s="22" t="n">
        <v>120583</v>
      </c>
      <c r="I3308" s="22" t="n">
        <v>101000</v>
      </c>
      <c r="J3308" s="20" t="inlineStr">
        <is>
          <t>Palamarasetti Ram Kumar</t>
        </is>
      </c>
      <c r="K3308" s="20" t="inlineStr">
        <is>
          <t>Non-Captive</t>
        </is>
      </c>
      <c r="L3308" s="20" t="inlineStr">
        <is>
          <t>Ramesh Palley</t>
        </is>
      </c>
      <c r="M3308" s="23" t="n">
        <v>5085</v>
      </c>
    </row>
    <row r="3309">
      <c r="A3309" s="19" t="inlineStr">
        <is>
          <t>FY27</t>
        </is>
      </c>
      <c r="B3309" s="19" t="inlineStr">
        <is>
          <t>Aug</t>
        </is>
      </c>
      <c r="C3309" s="19" t="inlineStr">
        <is>
          <t>AP/TS</t>
        </is>
      </c>
      <c r="D3309" s="20" t="inlineStr">
        <is>
          <t>AP09BX6816</t>
        </is>
      </c>
      <c r="E3309" s="20" t="inlineStr">
        <is>
          <t>MARUTI SUZUKI</t>
        </is>
      </c>
      <c r="F3309" s="20" t="inlineStr">
        <is>
          <t>Sx4</t>
        </is>
      </c>
      <c r="G3309" s="21" t="n">
        <v>2010</v>
      </c>
      <c r="H3309" s="22" t="n">
        <v>120568</v>
      </c>
      <c r="I3309" s="22" t="n">
        <v>90000</v>
      </c>
      <c r="J3309" s="20" t="inlineStr">
        <is>
          <t>Palamarasetti Ram Kumar</t>
        </is>
      </c>
      <c r="K3309" s="20" t="inlineStr">
        <is>
          <t>Non-Captive</t>
        </is>
      </c>
      <c r="L3309" s="20" t="inlineStr">
        <is>
          <t>Ramesh Palley</t>
        </is>
      </c>
      <c r="M3309" s="23" t="n">
        <v>4237</v>
      </c>
    </row>
    <row r="3310">
      <c r="A3310" s="19" t="inlineStr">
        <is>
          <t>FY27</t>
        </is>
      </c>
      <c r="B3310" s="19" t="inlineStr">
        <is>
          <t>Aug</t>
        </is>
      </c>
      <c r="C3310" s="19" t="inlineStr">
        <is>
          <t>AP/TS</t>
        </is>
      </c>
      <c r="D3310" s="20" t="inlineStr">
        <is>
          <t>TS09FK2761</t>
        </is>
      </c>
      <c r="E3310" s="20" t="inlineStr">
        <is>
          <t>HONDA</t>
        </is>
      </c>
      <c r="F3310" s="20" t="inlineStr">
        <is>
          <t>City</t>
        </is>
      </c>
      <c r="G3310" s="21" t="n">
        <v>2004</v>
      </c>
      <c r="H3310" s="22" t="n">
        <v>145263</v>
      </c>
      <c r="I3310" s="22" t="n">
        <v>71000</v>
      </c>
      <c r="J3310" s="20" t="inlineStr">
        <is>
          <t>Palamarasetti Ram Kumar</t>
        </is>
      </c>
      <c r="K3310" s="20" t="inlineStr">
        <is>
          <t>Non-Captive</t>
        </is>
      </c>
      <c r="L3310" s="20" t="inlineStr">
        <is>
          <t>Ramesh Palley</t>
        </is>
      </c>
      <c r="M3310" s="23" t="n">
        <v>5085</v>
      </c>
    </row>
    <row r="3311">
      <c r="A3311" s="19" t="inlineStr">
        <is>
          <t>FY27</t>
        </is>
      </c>
      <c r="B3311" s="19" t="inlineStr">
        <is>
          <t>Aug</t>
        </is>
      </c>
      <c r="C3311" s="19" t="inlineStr">
        <is>
          <t>AP/TS</t>
        </is>
      </c>
      <c r="D3311" s="20" t="inlineStr">
        <is>
          <t>AP09BK8794</t>
        </is>
      </c>
      <c r="E3311" s="20" t="inlineStr">
        <is>
          <t>HYUNDAI</t>
        </is>
      </c>
      <c r="F3311" s="20" t="inlineStr">
        <is>
          <t>Santro</t>
        </is>
      </c>
      <c r="G3311" s="21" t="n">
        <v>2007</v>
      </c>
      <c r="H3311" s="22" t="n">
        <v>115943</v>
      </c>
      <c r="I3311" s="22" t="n">
        <v>55000</v>
      </c>
      <c r="J3311" s="20" t="inlineStr">
        <is>
          <t>Prabjyoth Singh Wasu</t>
        </is>
      </c>
      <c r="K3311" s="20" t="inlineStr">
        <is>
          <t>Non-Captive</t>
        </is>
      </c>
      <c r="L3311" s="20" t="inlineStr">
        <is>
          <t>Exchange</t>
        </is>
      </c>
      <c r="M3311" s="23" t="n">
        <v>4237</v>
      </c>
    </row>
    <row r="3312">
      <c r="A3312" s="19" t="inlineStr">
        <is>
          <t>FY27</t>
        </is>
      </c>
      <c r="B3312" s="19" t="inlineStr">
        <is>
          <t>Aug</t>
        </is>
      </c>
      <c r="C3312" s="19" t="inlineStr">
        <is>
          <t>AP/TS</t>
        </is>
      </c>
      <c r="D3312" s="20" t="inlineStr">
        <is>
          <t>AP09BC7859</t>
        </is>
      </c>
      <c r="E3312" s="20" t="inlineStr">
        <is>
          <t>MARUTI SUZUKI</t>
        </is>
      </c>
      <c r="F3312" s="20" t="inlineStr">
        <is>
          <t>Wagon-R</t>
        </is>
      </c>
      <c r="G3312" s="21" t="n">
        <v>2006</v>
      </c>
      <c r="H3312" s="22" t="n">
        <v>132542</v>
      </c>
      <c r="I3312" s="22" t="n">
        <v>50000</v>
      </c>
      <c r="J3312" s="20" t="inlineStr">
        <is>
          <t>Prabjyoth Singh Wasu</t>
        </is>
      </c>
      <c r="K3312" s="20" t="inlineStr">
        <is>
          <t>Non-Captive</t>
        </is>
      </c>
      <c r="L3312" s="20" t="inlineStr">
        <is>
          <t>Ramesh Palley</t>
        </is>
      </c>
      <c r="M3312" s="23" t="n">
        <v>4237</v>
      </c>
    </row>
    <row r="3313">
      <c r="A3313" s="19" t="inlineStr">
        <is>
          <t>FY27</t>
        </is>
      </c>
      <c r="B3313" s="19" t="inlineStr">
        <is>
          <t>Aug</t>
        </is>
      </c>
      <c r="C3313" s="19" t="inlineStr">
        <is>
          <t>AP/TS</t>
        </is>
      </c>
      <c r="D3313" s="20" t="inlineStr">
        <is>
          <t>AP16DF9449</t>
        </is>
      </c>
      <c r="E3313" s="20" t="inlineStr">
        <is>
          <t>MARUTI SUZUKI</t>
        </is>
      </c>
      <c r="F3313" s="20" t="inlineStr">
        <is>
          <t>Alto</t>
        </is>
      </c>
      <c r="G3313" s="21" t="n">
        <v>2015</v>
      </c>
      <c r="H3313" s="22" t="n">
        <v>86945</v>
      </c>
      <c r="I3313" s="22" t="n">
        <v>90000</v>
      </c>
      <c r="J3313" s="20" t="inlineStr">
        <is>
          <t>Tenali Srinivas</t>
        </is>
      </c>
      <c r="K3313" s="20" t="inlineStr">
        <is>
          <t>Non-Captive</t>
        </is>
      </c>
      <c r="L3313" s="20" t="inlineStr">
        <is>
          <t>Chittibomma Srinivasa Rao</t>
        </is>
      </c>
      <c r="M3313" s="23" t="n">
        <v>4237</v>
      </c>
    </row>
    <row r="3314">
      <c r="A3314" s="19" t="inlineStr">
        <is>
          <t>FY27</t>
        </is>
      </c>
      <c r="B3314" s="19" t="inlineStr">
        <is>
          <t>Aug</t>
        </is>
      </c>
      <c r="C3314" s="19" t="inlineStr">
        <is>
          <t>AP/TS</t>
        </is>
      </c>
      <c r="D3314" s="20" t="inlineStr">
        <is>
          <t>AP16DP5967</t>
        </is>
      </c>
      <c r="E3314" s="20" t="inlineStr">
        <is>
          <t>MARUTI SUZUKI</t>
        </is>
      </c>
      <c r="F3314" s="20" t="inlineStr">
        <is>
          <t>Swift Dzire</t>
        </is>
      </c>
      <c r="G3314" s="21" t="n">
        <v>2016</v>
      </c>
      <c r="H3314" s="22" t="n">
        <v>98590</v>
      </c>
      <c r="I3314" s="22" t="n">
        <v>95000</v>
      </c>
      <c r="J3314" s="20" t="inlineStr">
        <is>
          <t>Mohammed Gouse Basha</t>
        </is>
      </c>
      <c r="K3314" s="20" t="inlineStr">
        <is>
          <t>Non-Captive</t>
        </is>
      </c>
      <c r="L3314" s="20" t="inlineStr">
        <is>
          <t>Chittibomma Srinivasa Rao</t>
        </is>
      </c>
      <c r="M3314" s="23" t="n">
        <v>4237</v>
      </c>
    </row>
    <row r="3315">
      <c r="A3315" s="19" t="inlineStr">
        <is>
          <t>FY27</t>
        </is>
      </c>
      <c r="B3315" s="19" t="inlineStr">
        <is>
          <t>Aug</t>
        </is>
      </c>
      <c r="C3315" s="19" t="inlineStr">
        <is>
          <t>AP/TS</t>
        </is>
      </c>
      <c r="D3315" s="20" t="inlineStr">
        <is>
          <t>TS08GQ4270</t>
        </is>
      </c>
      <c r="E3315" s="20" t="inlineStr">
        <is>
          <t>HONDA</t>
        </is>
      </c>
      <c r="F3315" s="20" t="inlineStr">
        <is>
          <t>Amaze</t>
        </is>
      </c>
      <c r="G3315" s="21" t="n">
        <v>2019</v>
      </c>
      <c r="H3315" s="22" t="n">
        <v>41083</v>
      </c>
      <c r="I3315" s="22" t="n">
        <v>455000</v>
      </c>
      <c r="J3315" s="20" t="inlineStr">
        <is>
          <t>Odapally Sandeep</t>
        </is>
      </c>
      <c r="K3315" s="20" t="inlineStr">
        <is>
          <t>Non-Captive</t>
        </is>
      </c>
      <c r="L3315" s="20" t="inlineStr">
        <is>
          <t>Exchange</t>
        </is>
      </c>
      <c r="M3315" s="23" t="n">
        <v>8475</v>
      </c>
    </row>
    <row r="3316">
      <c r="A3316" s="19" t="inlineStr">
        <is>
          <t>FY27</t>
        </is>
      </c>
      <c r="B3316" s="19" t="inlineStr">
        <is>
          <t>Aug</t>
        </is>
      </c>
      <c r="C3316" s="19" t="inlineStr">
        <is>
          <t>AP/TS</t>
        </is>
      </c>
      <c r="D3316" s="20" t="inlineStr">
        <is>
          <t>TS07EM2910</t>
        </is>
      </c>
      <c r="E3316" s="20" t="inlineStr">
        <is>
          <t>HYUNDAI</t>
        </is>
      </c>
      <c r="F3316" s="20" t="inlineStr">
        <is>
          <t>Eon</t>
        </is>
      </c>
      <c r="G3316" s="21" t="n">
        <v>2015</v>
      </c>
      <c r="H3316" s="22" t="n">
        <v>69287</v>
      </c>
      <c r="I3316" s="22" t="n">
        <v>95000</v>
      </c>
      <c r="J3316" s="20" t="inlineStr">
        <is>
          <t>Odapally Sandeep</t>
        </is>
      </c>
      <c r="K3316" s="20" t="inlineStr">
        <is>
          <t>Non-Captive</t>
        </is>
      </c>
      <c r="L3316" s="20" t="inlineStr">
        <is>
          <t>Puneet Gupta</t>
        </is>
      </c>
      <c r="M3316" s="23" t="n">
        <v>4237</v>
      </c>
    </row>
    <row r="3317">
      <c r="A3317" s="19" t="inlineStr">
        <is>
          <t>FY27</t>
        </is>
      </c>
      <c r="B3317" s="19" t="inlineStr">
        <is>
          <t>Aug</t>
        </is>
      </c>
      <c r="C3317" s="19" t="inlineStr">
        <is>
          <t>AP/TS</t>
        </is>
      </c>
      <c r="D3317" s="20" t="inlineStr">
        <is>
          <t>AP07DJ3225</t>
        </is>
      </c>
      <c r="E3317" s="20" t="inlineStr">
        <is>
          <t>MARUTI SUZUKI</t>
        </is>
      </c>
      <c r="F3317" s="20" t="inlineStr">
        <is>
          <t>S-Cross</t>
        </is>
      </c>
      <c r="G3317" s="21" t="n">
        <v>2017</v>
      </c>
      <c r="H3317" s="22" t="n">
        <v>82566</v>
      </c>
      <c r="I3317" s="22" t="n">
        <v>257500</v>
      </c>
      <c r="J3317" s="20" t="inlineStr">
        <is>
          <t>Suresh Ginjupalli</t>
        </is>
      </c>
      <c r="K3317" s="20" t="inlineStr">
        <is>
          <t>Non-Captive</t>
        </is>
      </c>
      <c r="L3317" s="20" t="inlineStr">
        <is>
          <t>Devarapalli Avinash</t>
        </is>
      </c>
      <c r="M3317" s="23" t="n">
        <v>6356</v>
      </c>
    </row>
    <row r="3318">
      <c r="A3318" s="19" t="inlineStr">
        <is>
          <t>FY27</t>
        </is>
      </c>
      <c r="B3318" s="19" t="inlineStr">
        <is>
          <t>Aug</t>
        </is>
      </c>
      <c r="C3318" s="19" t="inlineStr">
        <is>
          <t>AP/TS</t>
        </is>
      </c>
      <c r="D3318" s="20" t="inlineStr">
        <is>
          <t>TS09FG8731</t>
        </is>
      </c>
      <c r="E3318" s="20" t="inlineStr">
        <is>
          <t>HYUNDAI</t>
        </is>
      </c>
      <c r="F3318" s="20" t="inlineStr">
        <is>
          <t>Grand I10</t>
        </is>
      </c>
      <c r="G3318" s="21" t="n">
        <v>2019</v>
      </c>
      <c r="H3318" s="22" t="n">
        <v>49380</v>
      </c>
      <c r="I3318" s="22" t="n">
        <v>350000</v>
      </c>
      <c r="J3318" s="20" t="inlineStr">
        <is>
          <t>Vishnukant Heda (Sub5 Cars)</t>
        </is>
      </c>
      <c r="K3318" s="20" t="inlineStr">
        <is>
          <t>Non-Captive</t>
        </is>
      </c>
      <c r="L3318" s="20" t="inlineStr">
        <is>
          <t>Exchange</t>
        </is>
      </c>
      <c r="M3318" s="23" t="n">
        <v>8475</v>
      </c>
    </row>
    <row r="3319">
      <c r="A3319" s="19" t="inlineStr">
        <is>
          <t>FY27</t>
        </is>
      </c>
      <c r="B3319" s="19" t="inlineStr">
        <is>
          <t>Aug</t>
        </is>
      </c>
      <c r="C3319" s="19" t="inlineStr">
        <is>
          <t>AP/TS</t>
        </is>
      </c>
      <c r="D3319" s="20" t="inlineStr">
        <is>
          <t>AP28DN9807</t>
        </is>
      </c>
      <c r="E3319" s="20" t="inlineStr">
        <is>
          <t>MARUTI SUZUKI</t>
        </is>
      </c>
      <c r="F3319" s="20" t="inlineStr">
        <is>
          <t>Alto K10</t>
        </is>
      </c>
      <c r="G3319" s="21" t="n">
        <v>2012</v>
      </c>
      <c r="H3319" s="22" t="n">
        <v>57098</v>
      </c>
      <c r="I3319" s="22" t="n">
        <v>65000</v>
      </c>
      <c r="J3319" s="20" t="inlineStr">
        <is>
          <t>Vishnukant Heda (Sub5 Cars)</t>
        </is>
      </c>
      <c r="K3319" s="20" t="inlineStr">
        <is>
          <t>Non-Captive</t>
        </is>
      </c>
      <c r="L3319" s="20" t="inlineStr">
        <is>
          <t>Pudari Babu</t>
        </is>
      </c>
      <c r="M3319" s="23" t="n">
        <v>4237</v>
      </c>
    </row>
    <row r="3320">
      <c r="A3320" s="19" t="inlineStr">
        <is>
          <t>FY27</t>
        </is>
      </c>
      <c r="B3320" s="19" t="inlineStr">
        <is>
          <t>Aug</t>
        </is>
      </c>
      <c r="C3320" s="19" t="inlineStr">
        <is>
          <t>AP/TS</t>
        </is>
      </c>
      <c r="D3320" s="20" t="inlineStr">
        <is>
          <t>TS07ES0250</t>
        </is>
      </c>
      <c r="E3320" s="20" t="inlineStr">
        <is>
          <t>MARUTI SUZUKI</t>
        </is>
      </c>
      <c r="F3320" s="20" t="inlineStr">
        <is>
          <t>Alto K10</t>
        </is>
      </c>
      <c r="G3320" s="21" t="n">
        <v>2015</v>
      </c>
      <c r="H3320" s="22" t="n">
        <v>80608</v>
      </c>
      <c r="I3320" s="22" t="n">
        <v>90000</v>
      </c>
      <c r="J3320" s="20" t="inlineStr">
        <is>
          <t>Vishnukant Heda (Sub5 Cars)</t>
        </is>
      </c>
      <c r="K3320" s="20" t="inlineStr">
        <is>
          <t>Non-Captive</t>
        </is>
      </c>
      <c r="L3320" s="20" t="inlineStr">
        <is>
          <t>Pudari Babu</t>
        </is>
      </c>
      <c r="M3320" s="23" t="n">
        <v>4237</v>
      </c>
    </row>
    <row r="3321">
      <c r="A3321" s="19" t="inlineStr">
        <is>
          <t>FY27</t>
        </is>
      </c>
      <c r="B3321" s="19" t="inlineStr">
        <is>
          <t>Aug</t>
        </is>
      </c>
      <c r="C3321" s="19" t="inlineStr">
        <is>
          <t>AP/TS</t>
        </is>
      </c>
      <c r="D3321" s="20" t="inlineStr">
        <is>
          <t>AP10BA2844</t>
        </is>
      </c>
      <c r="E3321" s="20" t="inlineStr">
        <is>
          <t>HYUNDAI</t>
        </is>
      </c>
      <c r="F3321" s="20" t="inlineStr">
        <is>
          <t>I20</t>
        </is>
      </c>
      <c r="G3321" s="21" t="n">
        <v>2012</v>
      </c>
      <c r="H3321" s="22" t="n">
        <v>160170</v>
      </c>
      <c r="I3321" s="22" t="n">
        <v>146000</v>
      </c>
      <c r="J3321" s="20" t="inlineStr">
        <is>
          <t>Vishnukant Heda (Sub5 Cars)</t>
        </is>
      </c>
      <c r="K3321" s="20" t="inlineStr">
        <is>
          <t>Non-Captive</t>
        </is>
      </c>
      <c r="L3321" s="20" t="inlineStr">
        <is>
          <t>Exchange</t>
        </is>
      </c>
      <c r="M3321" s="23" t="n">
        <v>5085</v>
      </c>
    </row>
    <row r="3322">
      <c r="A3322" s="19" t="inlineStr">
        <is>
          <t>FY27</t>
        </is>
      </c>
      <c r="B3322" s="19" t="inlineStr">
        <is>
          <t>Aug</t>
        </is>
      </c>
      <c r="C3322" s="19" t="inlineStr">
        <is>
          <t>AP/TS</t>
        </is>
      </c>
      <c r="D3322" s="20" t="inlineStr">
        <is>
          <t>AP10AY9763</t>
        </is>
      </c>
      <c r="E3322" s="20" t="inlineStr">
        <is>
          <t>HYUNDAI</t>
        </is>
      </c>
      <c r="F3322" s="20" t="inlineStr">
        <is>
          <t>I20</t>
        </is>
      </c>
      <c r="G3322" s="21" t="n">
        <v>2011</v>
      </c>
      <c r="H3322" s="22" t="n">
        <v>91845</v>
      </c>
      <c r="I3322" s="22" t="n">
        <v>100000</v>
      </c>
      <c r="J3322" s="20" t="inlineStr">
        <is>
          <t>Vishnukant Heda (Sub5 Cars)</t>
        </is>
      </c>
      <c r="K3322" s="20" t="inlineStr">
        <is>
          <t>Non-Captive</t>
        </is>
      </c>
      <c r="L3322" s="20" t="inlineStr">
        <is>
          <t>Pudari Babu</t>
        </is>
      </c>
      <c r="M3322" s="23" t="n">
        <v>4237</v>
      </c>
    </row>
    <row r="3323">
      <c r="A3323" s="19" t="inlineStr">
        <is>
          <t>FY27</t>
        </is>
      </c>
      <c r="B3323" s="19" t="inlineStr">
        <is>
          <t>Aug</t>
        </is>
      </c>
      <c r="C3323" s="19" t="inlineStr">
        <is>
          <t>AP/TS</t>
        </is>
      </c>
      <c r="D3323" s="20" t="inlineStr">
        <is>
          <t>TS09FA5947</t>
        </is>
      </c>
      <c r="E3323" s="20" t="inlineStr">
        <is>
          <t>HONDA</t>
        </is>
      </c>
      <c r="F3323" s="20" t="inlineStr">
        <is>
          <t>Wr-V</t>
        </is>
      </c>
      <c r="G3323" s="21" t="n">
        <v>2022</v>
      </c>
      <c r="H3323" s="22" t="n">
        <v>75473</v>
      </c>
      <c r="I3323" s="22" t="n">
        <v>555000</v>
      </c>
      <c r="J3323" s="20" t="inlineStr">
        <is>
          <t>Odapally Sandeep</t>
        </is>
      </c>
      <c r="K3323" s="20" t="inlineStr">
        <is>
          <t>Non-Captive</t>
        </is>
      </c>
      <c r="L3323" s="20" t="inlineStr">
        <is>
          <t>Exchange</t>
        </is>
      </c>
      <c r="M3323" s="23" t="n">
        <v>12712</v>
      </c>
    </row>
    <row r="3324">
      <c r="A3324" s="19" t="inlineStr">
        <is>
          <t>FY27</t>
        </is>
      </c>
      <c r="B3324" s="19" t="inlineStr">
        <is>
          <t>Aug</t>
        </is>
      </c>
      <c r="C3324" s="19" t="inlineStr">
        <is>
          <t>AP/TS</t>
        </is>
      </c>
      <c r="D3324" s="20" t="inlineStr">
        <is>
          <t>TS11ES7178</t>
        </is>
      </c>
      <c r="E3324" s="20" t="inlineStr">
        <is>
          <t>RENAULT</t>
        </is>
      </c>
      <c r="F3324" s="20" t="inlineStr">
        <is>
          <t>Kwid</t>
        </is>
      </c>
      <c r="G3324" s="21" t="n">
        <v>2019</v>
      </c>
      <c r="H3324" s="22" t="n">
        <v>38701</v>
      </c>
      <c r="I3324" s="22" t="n">
        <v>186000</v>
      </c>
      <c r="J3324" s="20" t="inlineStr">
        <is>
          <t>Odapally Sandeep</t>
        </is>
      </c>
      <c r="K3324" s="20" t="inlineStr">
        <is>
          <t>Non-Captive</t>
        </is>
      </c>
      <c r="L3324" s="20" t="inlineStr">
        <is>
          <t>Pudari Babu</t>
        </is>
      </c>
      <c r="M3324" s="23" t="n">
        <v>5085</v>
      </c>
    </row>
    <row r="3325">
      <c r="A3325" s="19" t="inlineStr">
        <is>
          <t>FY27</t>
        </is>
      </c>
      <c r="B3325" s="19" t="inlineStr">
        <is>
          <t>Aug</t>
        </is>
      </c>
      <c r="C3325" s="19" t="inlineStr">
        <is>
          <t>AP/TS</t>
        </is>
      </c>
      <c r="D3325" s="20" t="inlineStr">
        <is>
          <t>AP09CH5624</t>
        </is>
      </c>
      <c r="E3325" s="20" t="inlineStr">
        <is>
          <t>SKODA</t>
        </is>
      </c>
      <c r="F3325" s="20" t="inlineStr">
        <is>
          <t>Fabia</t>
        </is>
      </c>
      <c r="G3325" s="21" t="n">
        <v>2011</v>
      </c>
      <c r="H3325" s="22" t="n">
        <v>102589</v>
      </c>
      <c r="I3325" s="22" t="n">
        <v>85000</v>
      </c>
      <c r="J3325" s="20" t="inlineStr">
        <is>
          <t>Odapally Sandeep</t>
        </is>
      </c>
      <c r="K3325" s="20" t="inlineStr">
        <is>
          <t>Non-Captive</t>
        </is>
      </c>
      <c r="L3325" s="20" t="inlineStr">
        <is>
          <t>Pudari Babu</t>
        </is>
      </c>
      <c r="M3325" s="23" t="n">
        <v>4237</v>
      </c>
    </row>
    <row r="3326">
      <c r="A3326" s="19" t="inlineStr">
        <is>
          <t>FY27</t>
        </is>
      </c>
      <c r="B3326" s="19" t="inlineStr">
        <is>
          <t>Aug</t>
        </is>
      </c>
      <c r="C3326" s="19" t="inlineStr">
        <is>
          <t>AP/TS</t>
        </is>
      </c>
      <c r="D3326" s="20" t="inlineStr">
        <is>
          <t>TS06EL1111</t>
        </is>
      </c>
      <c r="E3326" s="20" t="inlineStr">
        <is>
          <t>VOLKSWAGEN</t>
        </is>
      </c>
      <c r="F3326" s="20" t="inlineStr">
        <is>
          <t>Vento</t>
        </is>
      </c>
      <c r="G3326" s="21" t="n">
        <v>2015</v>
      </c>
      <c r="H3326" s="22" t="n">
        <v>146715</v>
      </c>
      <c r="I3326" s="22" t="n">
        <v>156000</v>
      </c>
      <c r="J3326" s="20" t="inlineStr">
        <is>
          <t>Odapally Sandeep</t>
        </is>
      </c>
      <c r="K3326" s="20" t="inlineStr">
        <is>
          <t>Non-Captive</t>
        </is>
      </c>
      <c r="L3326" s="20" t="inlineStr">
        <is>
          <t>Pudari Babu</t>
        </is>
      </c>
      <c r="M3326" s="23" t="n">
        <v>5085</v>
      </c>
    </row>
    <row r="3327">
      <c r="A3327" s="19" t="inlineStr">
        <is>
          <t>FY27</t>
        </is>
      </c>
      <c r="B3327" s="19" t="inlineStr">
        <is>
          <t>Aug</t>
        </is>
      </c>
      <c r="C3327" s="19" t="inlineStr">
        <is>
          <t>AP/TS</t>
        </is>
      </c>
      <c r="D3327" s="20" t="inlineStr">
        <is>
          <t>TS07FY9449</t>
        </is>
      </c>
      <c r="E3327" s="20" t="inlineStr">
        <is>
          <t>MARUTI SUZUKI</t>
        </is>
      </c>
      <c r="F3327" s="20" t="inlineStr">
        <is>
          <t>Vitara Brezza</t>
        </is>
      </c>
      <c r="G3327" s="21" t="n">
        <v>2017</v>
      </c>
      <c r="H3327" s="22" t="n">
        <v>38700</v>
      </c>
      <c r="I3327" s="22" t="n">
        <v>198000</v>
      </c>
      <c r="J3327" s="20" t="inlineStr">
        <is>
          <t>Odapally Sandeep</t>
        </is>
      </c>
      <c r="K3327" s="20" t="inlineStr">
        <is>
          <t>Non-Captive</t>
        </is>
      </c>
      <c r="L3327" s="20" t="inlineStr">
        <is>
          <t>Pudari Babu</t>
        </is>
      </c>
      <c r="M3327" s="23" t="n">
        <v>6780</v>
      </c>
    </row>
    <row r="3328">
      <c r="A3328" s="19" t="inlineStr">
        <is>
          <t>FY27</t>
        </is>
      </c>
      <c r="B3328" s="19" t="inlineStr">
        <is>
          <t>Aug</t>
        </is>
      </c>
      <c r="C3328" s="19" t="inlineStr">
        <is>
          <t>AP/TS</t>
        </is>
      </c>
      <c r="D3328" s="20" t="inlineStr">
        <is>
          <t>AP05DS8264</t>
        </is>
      </c>
      <c r="E3328" s="20" t="inlineStr">
        <is>
          <t>MARUTI SUZUKI</t>
        </is>
      </c>
      <c r="F3328" s="20" t="inlineStr">
        <is>
          <t>Alto 800</t>
        </is>
      </c>
      <c r="G3328" s="21" t="n">
        <v>2017</v>
      </c>
      <c r="H3328" s="22" t="n">
        <v>63484</v>
      </c>
      <c r="I3328" s="22" t="n">
        <v>100000</v>
      </c>
      <c r="J3328" s="20" t="inlineStr">
        <is>
          <t>Tenali Srinivas</t>
        </is>
      </c>
      <c r="K3328" s="20" t="inlineStr">
        <is>
          <t>Non-Captive</t>
        </is>
      </c>
      <c r="L3328" s="20" t="inlineStr">
        <is>
          <t>Guthi Ravi Krishna</t>
        </is>
      </c>
      <c r="M3328" s="23" t="n">
        <v>4237</v>
      </c>
    </row>
    <row r="3329">
      <c r="A3329" s="19" t="inlineStr">
        <is>
          <t>FY27</t>
        </is>
      </c>
      <c r="B3329" s="19" t="inlineStr">
        <is>
          <t>Aug</t>
        </is>
      </c>
      <c r="C3329" s="19" t="inlineStr">
        <is>
          <t>AP/TS</t>
        </is>
      </c>
      <c r="D3329" s="20" t="inlineStr">
        <is>
          <t>AP28CB7767</t>
        </is>
      </c>
      <c r="E3329" s="20" t="inlineStr">
        <is>
          <t>FORD</t>
        </is>
      </c>
      <c r="F3329" s="20" t="inlineStr">
        <is>
          <t>Ikon</t>
        </is>
      </c>
      <c r="G3329" s="21" t="n">
        <v>2009</v>
      </c>
      <c r="H3329" s="22" t="n">
        <v>210105</v>
      </c>
      <c r="I3329" s="22" t="n">
        <v>40000</v>
      </c>
      <c r="J3329" s="20" t="inlineStr">
        <is>
          <t>Koppuravuri Srinivasa Rao</t>
        </is>
      </c>
      <c r="K3329" s="20" t="inlineStr">
        <is>
          <t>Non-Captive</t>
        </is>
      </c>
      <c r="L3329" s="20" t="inlineStr">
        <is>
          <t>Exchange</t>
        </is>
      </c>
      <c r="M3329" s="23" t="n">
        <v>4237</v>
      </c>
    </row>
    <row r="3330">
      <c r="A3330" s="19" t="inlineStr">
        <is>
          <t>FY27</t>
        </is>
      </c>
      <c r="B3330" s="19" t="inlineStr">
        <is>
          <t>Aug</t>
        </is>
      </c>
      <c r="C3330" s="19" t="inlineStr">
        <is>
          <t>AP/TS</t>
        </is>
      </c>
      <c r="D3330" s="20" t="inlineStr">
        <is>
          <t>AP09BH9495</t>
        </is>
      </c>
      <c r="E3330" s="20" t="inlineStr">
        <is>
          <t>HONDA</t>
        </is>
      </c>
      <c r="F3330" s="20" t="inlineStr">
        <is>
          <t>Cr-V</t>
        </is>
      </c>
      <c r="G3330" s="21" t="n">
        <v>2007</v>
      </c>
      <c r="H3330" s="22" t="n">
        <v>162336</v>
      </c>
      <c r="I3330" s="22" t="n">
        <v>85000</v>
      </c>
      <c r="J3330" s="20" t="inlineStr">
        <is>
          <t>Mohammed Gouse Basha</t>
        </is>
      </c>
      <c r="K3330" s="20" t="inlineStr">
        <is>
          <t>Non-Captive</t>
        </is>
      </c>
      <c r="L3330" s="20" t="inlineStr">
        <is>
          <t>Guthi Ravi Krishna</t>
        </is>
      </c>
      <c r="M3330" s="23" t="n">
        <v>4237</v>
      </c>
    </row>
    <row r="3331">
      <c r="A3331" s="19" t="inlineStr">
        <is>
          <t>FY27</t>
        </is>
      </c>
      <c r="B3331" s="19" t="inlineStr">
        <is>
          <t>Aug</t>
        </is>
      </c>
      <c r="C3331" s="19" t="inlineStr">
        <is>
          <t>AP/TS</t>
        </is>
      </c>
      <c r="D3331" s="20" t="inlineStr">
        <is>
          <t>AP16DY1314</t>
        </is>
      </c>
      <c r="E3331" s="20" t="inlineStr">
        <is>
          <t>MARUTI SUZUKI</t>
        </is>
      </c>
      <c r="F3331" s="20" t="inlineStr">
        <is>
          <t>Baleno</t>
        </is>
      </c>
      <c r="G3331" s="21" t="n">
        <v>2017</v>
      </c>
      <c r="H3331" s="22" t="n">
        <v>43104</v>
      </c>
      <c r="I3331" s="22" t="n">
        <v>100000</v>
      </c>
      <c r="J3331" s="20" t="inlineStr">
        <is>
          <t>Mohammed Gouse Basha</t>
        </is>
      </c>
      <c r="K3331" s="20" t="inlineStr">
        <is>
          <t>Non-Captive</t>
        </is>
      </c>
      <c r="L3331" s="20" t="inlineStr">
        <is>
          <t>Guthi Ravi Krishna</t>
        </is>
      </c>
      <c r="M3331" s="23" t="n">
        <v>4237</v>
      </c>
    </row>
    <row r="3332">
      <c r="A3332" s="19" t="inlineStr">
        <is>
          <t>FY27</t>
        </is>
      </c>
      <c r="B3332" s="19" t="inlineStr">
        <is>
          <t>Aug</t>
        </is>
      </c>
      <c r="C3332" s="19" t="inlineStr">
        <is>
          <t>AP/TS</t>
        </is>
      </c>
      <c r="D3332" s="20" t="inlineStr">
        <is>
          <t>AP39CK5137</t>
        </is>
      </c>
      <c r="E3332" s="20" t="inlineStr">
        <is>
          <t>HONDA</t>
        </is>
      </c>
      <c r="F3332" s="20" t="inlineStr">
        <is>
          <t>Amaze</t>
        </is>
      </c>
      <c r="G3332" s="21" t="n">
        <v>2019</v>
      </c>
      <c r="H3332" s="22" t="n">
        <v>59084</v>
      </c>
      <c r="I3332" s="22" t="n">
        <v>427000</v>
      </c>
      <c r="J3332" s="20" t="inlineStr">
        <is>
          <t>Kaki Dinesh Kumar</t>
        </is>
      </c>
      <c r="K3332" s="20" t="inlineStr">
        <is>
          <t>Non-Captive</t>
        </is>
      </c>
      <c r="L3332" s="20" t="inlineStr">
        <is>
          <t>Exchange</t>
        </is>
      </c>
      <c r="M3332" s="23" t="n">
        <v>10169</v>
      </c>
    </row>
    <row r="3333">
      <c r="A3333" s="19" t="inlineStr">
        <is>
          <t>FY27</t>
        </is>
      </c>
      <c r="B3333" s="19" t="inlineStr">
        <is>
          <t>Aug</t>
        </is>
      </c>
      <c r="C3333" s="19" t="inlineStr">
        <is>
          <t>AP/TS</t>
        </is>
      </c>
      <c r="D3333" s="20" t="inlineStr">
        <is>
          <t>AP31AY0599</t>
        </is>
      </c>
      <c r="E3333" s="20" t="inlineStr">
        <is>
          <t>HONDA</t>
        </is>
      </c>
      <c r="F3333" s="20" t="inlineStr">
        <is>
          <t>City</t>
        </is>
      </c>
      <c r="G3333" s="21" t="n">
        <v>2008</v>
      </c>
      <c r="H3333" s="22" t="n">
        <v>184751</v>
      </c>
      <c r="I3333" s="22" t="n">
        <v>96000</v>
      </c>
      <c r="J3333" s="20" t="inlineStr">
        <is>
          <t>Gadi Sri Bharathi</t>
        </is>
      </c>
      <c r="K3333" s="20" t="inlineStr">
        <is>
          <t>Non-Captive</t>
        </is>
      </c>
      <c r="L3333" s="20" t="inlineStr">
        <is>
          <t>Mohammed Adil</t>
        </is>
      </c>
      <c r="M3333" s="23" t="n">
        <v>5085</v>
      </c>
    </row>
    <row r="3334">
      <c r="A3334" s="19" t="inlineStr">
        <is>
          <t>FY27</t>
        </is>
      </c>
      <c r="B3334" s="19" t="inlineStr">
        <is>
          <t>Aug</t>
        </is>
      </c>
      <c r="C3334" s="19" t="inlineStr">
        <is>
          <t>AP/TS</t>
        </is>
      </c>
      <c r="D3334" s="20" t="inlineStr">
        <is>
          <t>AP31CP0356</t>
        </is>
      </c>
      <c r="E3334" s="20" t="inlineStr">
        <is>
          <t>HONDA</t>
        </is>
      </c>
      <c r="F3334" s="20" t="inlineStr">
        <is>
          <t>Amaze</t>
        </is>
      </c>
      <c r="G3334" s="21" t="n">
        <v>2014</v>
      </c>
      <c r="H3334" s="22" t="n">
        <v>90154</v>
      </c>
      <c r="I3334" s="22" t="n">
        <v>210000</v>
      </c>
      <c r="J3334" s="20" t="inlineStr">
        <is>
          <t>Gadi Sri Bharathi</t>
        </is>
      </c>
      <c r="K3334" s="20" t="inlineStr">
        <is>
          <t>Non-Captive</t>
        </is>
      </c>
      <c r="L3334" s="20" t="inlineStr">
        <is>
          <t>Exchange</t>
        </is>
      </c>
      <c r="M3334" s="23" t="n">
        <v>8475</v>
      </c>
    </row>
    <row r="3335">
      <c r="A3335" s="19" t="inlineStr">
        <is>
          <t>FY27</t>
        </is>
      </c>
      <c r="B3335" s="19" t="inlineStr">
        <is>
          <t>Aug</t>
        </is>
      </c>
      <c r="C3335" s="19" t="inlineStr">
        <is>
          <t>AP/TS</t>
        </is>
      </c>
      <c r="D3335" s="20" t="inlineStr">
        <is>
          <t>AP16FL1769</t>
        </is>
      </c>
      <c r="E3335" s="20" t="inlineStr">
        <is>
          <t>MARUTI SUZUKI</t>
        </is>
      </c>
      <c r="F3335" s="20" t="inlineStr">
        <is>
          <t>Alto 800</t>
        </is>
      </c>
      <c r="G3335" s="21" t="n">
        <v>2018</v>
      </c>
      <c r="H3335" s="22" t="n">
        <v>200012</v>
      </c>
      <c r="I3335" s="22" t="n">
        <v>95000</v>
      </c>
      <c r="J3335" s="20" t="inlineStr">
        <is>
          <t>Mohammed Gouse Basha</t>
        </is>
      </c>
      <c r="K3335" s="20" t="inlineStr">
        <is>
          <t>Non-Captive</t>
        </is>
      </c>
      <c r="L3335" s="20" t="inlineStr">
        <is>
          <t>Guthi Ravi Krishna</t>
        </is>
      </c>
      <c r="M3335" s="23" t="n">
        <v>4237</v>
      </c>
    </row>
    <row r="3336">
      <c r="A3336" s="19" t="inlineStr">
        <is>
          <t>FY26</t>
        </is>
      </c>
      <c r="B3336" s="19" t="inlineStr">
        <is>
          <t>Aug</t>
        </is>
      </c>
      <c r="C3336" s="19" t="inlineStr">
        <is>
          <t>Kerala</t>
        </is>
      </c>
      <c r="D3336" s="20" t="inlineStr">
        <is>
          <t>KL59K6635</t>
        </is>
      </c>
      <c r="E3336" s="20" t="inlineStr">
        <is>
          <t>MARUTI SUZUKI</t>
        </is>
      </c>
      <c r="F3336" s="20" t="inlineStr">
        <is>
          <t>Celerio</t>
        </is>
      </c>
      <c r="G3336" s="21" t="n">
        <v>2014</v>
      </c>
      <c r="H3336" s="22" t="n">
        <v>88000</v>
      </c>
      <c r="I3336" s="22" t="n">
        <v>240000</v>
      </c>
      <c r="J3336" s="20" t="inlineStr">
        <is>
          <t>POPULAR MARUTI</t>
        </is>
      </c>
      <c r="K3336" s="20" t="inlineStr">
        <is>
          <t>Non-Captive</t>
        </is>
      </c>
      <c r="L3336" s="20" t="inlineStr">
        <is>
          <t>MUHAMMED ANEES T C</t>
        </is>
      </c>
      <c r="M3336" s="23" t="n">
        <v>8475</v>
      </c>
    </row>
    <row r="3337">
      <c r="A3337" s="19" t="inlineStr">
        <is>
          <t>FY26</t>
        </is>
      </c>
      <c r="B3337" s="19" t="inlineStr">
        <is>
          <t>Aug</t>
        </is>
      </c>
      <c r="C3337" s="19" t="inlineStr">
        <is>
          <t>Kerala</t>
        </is>
      </c>
      <c r="D3337" s="20" t="inlineStr">
        <is>
          <t>KL56Q5411</t>
        </is>
      </c>
      <c r="E3337" s="20" t="inlineStr">
        <is>
          <t>MARUTI SUZUKI</t>
        </is>
      </c>
      <c r="F3337" s="20" t="inlineStr">
        <is>
          <t>Celerio</t>
        </is>
      </c>
      <c r="G3337" s="21" t="n">
        <v>2017</v>
      </c>
      <c r="H3337" s="22" t="n">
        <v>56000</v>
      </c>
      <c r="I3337" s="22" t="n">
        <v>315000</v>
      </c>
      <c r="J3337" s="20" t="inlineStr">
        <is>
          <t>VW</t>
        </is>
      </c>
      <c r="K3337" s="20" t="inlineStr">
        <is>
          <t>Non-Captive</t>
        </is>
      </c>
      <c r="L3337" s="20" t="inlineStr">
        <is>
          <t>DELUXE MOTORS</t>
        </is>
      </c>
      <c r="M3337" s="23" t="n">
        <v>12712</v>
      </c>
    </row>
    <row r="3338">
      <c r="A3338" s="19" t="inlineStr">
        <is>
          <t>FY26</t>
        </is>
      </c>
      <c r="B3338" s="19" t="inlineStr">
        <is>
          <t>Aug</t>
        </is>
      </c>
      <c r="C3338" s="19" t="inlineStr">
        <is>
          <t>Kerala</t>
        </is>
      </c>
      <c r="D3338" s="20" t="inlineStr">
        <is>
          <t>KL07CB3897</t>
        </is>
      </c>
      <c r="E3338" s="20" t="inlineStr">
        <is>
          <t>MARUTI SUZUKI</t>
        </is>
      </c>
      <c r="F3338" s="20" t="inlineStr">
        <is>
          <t>Celerio</t>
        </is>
      </c>
      <c r="G3338" s="21" t="n">
        <v>2014</v>
      </c>
      <c r="H3338" s="22" t="n">
        <v>150000</v>
      </c>
      <c r="I3338" s="22" t="n">
        <v>180000</v>
      </c>
      <c r="J3338" s="20" t="inlineStr">
        <is>
          <t>POPULAR MARUTI</t>
        </is>
      </c>
      <c r="K3338" s="20" t="inlineStr">
        <is>
          <t>Non-Captive</t>
        </is>
      </c>
      <c r="L3338" s="20" t="inlineStr">
        <is>
          <t>DELUXE MOTORS</t>
        </is>
      </c>
      <c r="M3338" s="23" t="n">
        <v>8475</v>
      </c>
    </row>
    <row r="3339">
      <c r="A3339" s="19" t="inlineStr">
        <is>
          <t>FY26</t>
        </is>
      </c>
      <c r="B3339" s="19" t="inlineStr">
        <is>
          <t>Aug</t>
        </is>
      </c>
      <c r="C3339" s="19" t="inlineStr">
        <is>
          <t>Kerala</t>
        </is>
      </c>
      <c r="D3339" s="20" t="inlineStr">
        <is>
          <t>KL13N2101</t>
        </is>
      </c>
      <c r="E3339" s="20" t="inlineStr">
        <is>
          <t>MARUTI SUZUKI</t>
        </is>
      </c>
      <c r="F3339" s="20" t="inlineStr">
        <is>
          <t>Alto</t>
        </is>
      </c>
      <c r="G3339" s="21" t="n">
        <v>2005</v>
      </c>
      <c r="H3339" s="22" t="n">
        <v>134000</v>
      </c>
      <c r="I3339" s="22" t="n">
        <v>45000</v>
      </c>
      <c r="J3339" s="20" t="inlineStr">
        <is>
          <t>POPULAR MARUTI</t>
        </is>
      </c>
      <c r="K3339" s="20" t="inlineStr">
        <is>
          <t>Non-Captive</t>
        </is>
      </c>
      <c r="L3339" s="20" t="inlineStr">
        <is>
          <t>ABDUL BASHEER</t>
        </is>
      </c>
      <c r="M3339" s="23" t="n">
        <v>8475</v>
      </c>
    </row>
    <row r="3340">
      <c r="A3340" s="19" t="inlineStr">
        <is>
          <t>FY26</t>
        </is>
      </c>
      <c r="B3340" s="19" t="inlineStr">
        <is>
          <t>Aug</t>
        </is>
      </c>
      <c r="C3340" s="19" t="inlineStr">
        <is>
          <t>Kerala</t>
        </is>
      </c>
      <c r="D3340" s="20" t="inlineStr">
        <is>
          <t>KL08CA8182</t>
        </is>
      </c>
      <c r="E3340" s="20" t="inlineStr">
        <is>
          <t>MAHINDRA</t>
        </is>
      </c>
      <c r="F3340" s="20" t="inlineStr">
        <is>
          <t>Scorpio</t>
        </is>
      </c>
      <c r="G3340" s="21" t="n">
        <v>2023</v>
      </c>
      <c r="H3340" s="22" t="n">
        <v>38000</v>
      </c>
      <c r="I3340" s="22" t="n">
        <v>1407500</v>
      </c>
      <c r="J3340" s="20" t="inlineStr">
        <is>
          <t>ERAM MOTORS</t>
        </is>
      </c>
      <c r="K3340" s="20" t="inlineStr">
        <is>
          <t>Non-Captive</t>
        </is>
      </c>
      <c r="L3340" s="20" t="inlineStr">
        <is>
          <t>T G 7 CARS 4 U</t>
        </is>
      </c>
      <c r="M3340" s="23" t="n">
        <v>10593</v>
      </c>
    </row>
    <row r="3341">
      <c r="A3341" s="19" t="inlineStr">
        <is>
          <t>FY26</t>
        </is>
      </c>
      <c r="B3341" s="19" t="inlineStr">
        <is>
          <t>Aug</t>
        </is>
      </c>
      <c r="C3341" s="19" t="inlineStr">
        <is>
          <t>Kerala</t>
        </is>
      </c>
      <c r="D3341" s="20" t="inlineStr">
        <is>
          <t>KL41C7206</t>
        </is>
      </c>
      <c r="E3341" s="20" t="inlineStr">
        <is>
          <t>MARUTI SUZUKI</t>
        </is>
      </c>
      <c r="F3341" s="20" t="inlineStr">
        <is>
          <t>Swift</t>
        </is>
      </c>
      <c r="G3341" s="21" t="n">
        <v>2010</v>
      </c>
      <c r="H3341" s="22" t="n">
        <v>123951</v>
      </c>
      <c r="I3341" s="22" t="n">
        <v>147000</v>
      </c>
      <c r="J3341" s="20" t="inlineStr">
        <is>
          <t>POPULAR MARUTI</t>
        </is>
      </c>
      <c r="K3341" s="20" t="inlineStr">
        <is>
          <t>Non-Captive</t>
        </is>
      </c>
      <c r="L3341" s="20" t="inlineStr">
        <is>
          <t>HUSSAIN O E</t>
        </is>
      </c>
      <c r="M3341" s="23" t="n">
        <v>10169</v>
      </c>
    </row>
    <row r="3342">
      <c r="A3342" s="19" t="inlineStr">
        <is>
          <t>FY26</t>
        </is>
      </c>
      <c r="B3342" s="19" t="inlineStr">
        <is>
          <t>Aug</t>
        </is>
      </c>
      <c r="C3342" s="19" t="inlineStr">
        <is>
          <t>Kerala</t>
        </is>
      </c>
      <c r="D3342" s="20" t="inlineStr">
        <is>
          <t>KL45P4136</t>
        </is>
      </c>
      <c r="E3342" s="20" t="inlineStr">
        <is>
          <t>HYUNDAI</t>
        </is>
      </c>
      <c r="F3342" s="20" t="inlineStr">
        <is>
          <t>Eon</t>
        </is>
      </c>
      <c r="G3342" s="21" t="n">
        <v>2017</v>
      </c>
      <c r="H3342" s="22" t="n">
        <v>29050</v>
      </c>
      <c r="I3342" s="22" t="n">
        <v>212500</v>
      </c>
      <c r="J3342" s="20" t="inlineStr">
        <is>
          <t>POPULAR HYUNDAI</t>
        </is>
      </c>
      <c r="K3342" s="20" t="inlineStr">
        <is>
          <t>Non-Captive</t>
        </is>
      </c>
      <c r="L3342" s="20" t="inlineStr">
        <is>
          <t>UMESH KUMAR TU</t>
        </is>
      </c>
      <c r="M3342" s="23" t="n">
        <v>10593</v>
      </c>
    </row>
    <row r="3343">
      <c r="A3343" s="19" t="inlineStr">
        <is>
          <t>FY26</t>
        </is>
      </c>
      <c r="B3343" s="19" t="inlineStr">
        <is>
          <t>Aug</t>
        </is>
      </c>
      <c r="C3343" s="19" t="inlineStr">
        <is>
          <t>Kerala</t>
        </is>
      </c>
      <c r="D3343" s="20" t="inlineStr">
        <is>
          <t>KL08AB4811</t>
        </is>
      </c>
      <c r="E3343" s="20" t="inlineStr">
        <is>
          <t>MARUTI SUZUKI</t>
        </is>
      </c>
      <c r="F3343" s="20" t="inlineStr">
        <is>
          <t>Zen</t>
        </is>
      </c>
      <c r="G3343" s="21" t="n">
        <v>2004</v>
      </c>
      <c r="H3343" s="22" t="n">
        <v>52517</v>
      </c>
      <c r="I3343" s="22" t="n">
        <v>60000</v>
      </c>
      <c r="J3343" s="20" t="inlineStr">
        <is>
          <t>POPULAR MARUTI</t>
        </is>
      </c>
      <c r="K3343" s="20" t="inlineStr">
        <is>
          <t>Non-Captive</t>
        </is>
      </c>
      <c r="L3343" s="20" t="inlineStr">
        <is>
          <t>AFSAL</t>
        </is>
      </c>
      <c r="M3343" s="23" t="n">
        <v>8475</v>
      </c>
    </row>
    <row r="3344">
      <c r="A3344" s="19" t="inlineStr">
        <is>
          <t>FY26</t>
        </is>
      </c>
      <c r="B3344" s="19" t="inlineStr">
        <is>
          <t>Aug</t>
        </is>
      </c>
      <c r="C3344" s="19" t="inlineStr">
        <is>
          <t>Kerala</t>
        </is>
      </c>
      <c r="D3344" s="20" t="inlineStr">
        <is>
          <t>KL05AD3666</t>
        </is>
      </c>
      <c r="E3344" s="20" t="inlineStr">
        <is>
          <t>MARUTI SUZUKI</t>
        </is>
      </c>
      <c r="F3344" s="20" t="inlineStr">
        <is>
          <t>Alto</t>
        </is>
      </c>
      <c r="G3344" s="21" t="n">
        <v>2011</v>
      </c>
      <c r="H3344" s="22" t="n">
        <v>65632</v>
      </c>
      <c r="I3344" s="22" t="n">
        <v>65000</v>
      </c>
      <c r="J3344" s="20" t="inlineStr">
        <is>
          <t>POPULAR MARUTI</t>
        </is>
      </c>
      <c r="K3344" s="20" t="inlineStr">
        <is>
          <t>Non-Captive</t>
        </is>
      </c>
      <c r="L3344" s="20" t="inlineStr">
        <is>
          <t>AKHIL K T</t>
        </is>
      </c>
      <c r="M3344" s="23" t="n">
        <v>12712</v>
      </c>
    </row>
    <row r="3345">
      <c r="A3345" s="19" t="inlineStr">
        <is>
          <t>FY26</t>
        </is>
      </c>
      <c r="B3345" s="19" t="inlineStr">
        <is>
          <t>Aug</t>
        </is>
      </c>
      <c r="C3345" s="19" t="inlineStr">
        <is>
          <t>Kerala</t>
        </is>
      </c>
      <c r="D3345" s="20" t="inlineStr">
        <is>
          <t>KL01CH1323</t>
        </is>
      </c>
      <c r="E3345" s="20" t="inlineStr">
        <is>
          <t>MARUTI SUZUKI</t>
        </is>
      </c>
      <c r="F3345" s="20" t="inlineStr">
        <is>
          <t>Swift</t>
        </is>
      </c>
      <c r="G3345" s="21" t="n">
        <v>2018</v>
      </c>
      <c r="H3345" s="22" t="n">
        <v>118800</v>
      </c>
      <c r="I3345" s="22" t="n">
        <v>410000</v>
      </c>
      <c r="J3345" s="20" t="inlineStr">
        <is>
          <t>POPULAR MARUTI</t>
        </is>
      </c>
      <c r="K3345" s="20" t="inlineStr">
        <is>
          <t>Non-Captive</t>
        </is>
      </c>
      <c r="L3345" s="20" t="inlineStr">
        <is>
          <t>BINU VARGHESE</t>
        </is>
      </c>
      <c r="M3345" s="23" t="n">
        <v>8475</v>
      </c>
    </row>
    <row r="3346">
      <c r="A3346" s="19" t="inlineStr">
        <is>
          <t>FY26</t>
        </is>
      </c>
      <c r="B3346" s="19" t="inlineStr">
        <is>
          <t>Aug</t>
        </is>
      </c>
      <c r="C3346" s="19" t="inlineStr">
        <is>
          <t>Kerala</t>
        </is>
      </c>
      <c r="D3346" s="20" t="inlineStr">
        <is>
          <t>KL61B0231</t>
        </is>
      </c>
      <c r="E3346" s="20" t="inlineStr">
        <is>
          <t>MARUTI SUZUKI</t>
        </is>
      </c>
      <c r="F3346" s="20" t="inlineStr">
        <is>
          <t>Alto</t>
        </is>
      </c>
      <c r="G3346" s="21" t="n">
        <v>2014</v>
      </c>
      <c r="H3346" s="22" t="n">
        <v>104526</v>
      </c>
      <c r="I3346" s="22" t="n">
        <v>150000</v>
      </c>
      <c r="J3346" s="20" t="inlineStr">
        <is>
          <t>POPULAR MARUTI</t>
        </is>
      </c>
      <c r="K3346" s="20" t="inlineStr">
        <is>
          <t>Non-Captive</t>
        </is>
      </c>
      <c r="L3346" s="20" t="inlineStr">
        <is>
          <t>MARVEL MOTORS</t>
        </is>
      </c>
      <c r="M3346" s="23" t="n">
        <v>8475</v>
      </c>
    </row>
    <row r="3347">
      <c r="A3347" s="19" t="inlineStr">
        <is>
          <t>FY26</t>
        </is>
      </c>
      <c r="B3347" s="19" t="inlineStr">
        <is>
          <t>Aug</t>
        </is>
      </c>
      <c r="C3347" s="19" t="inlineStr">
        <is>
          <t>Kerala</t>
        </is>
      </c>
      <c r="D3347" s="20" t="inlineStr">
        <is>
          <t>KL23A4333</t>
        </is>
      </c>
      <c r="E3347" s="20" t="inlineStr">
        <is>
          <t>MARUTI SUZUKI</t>
        </is>
      </c>
      <c r="F3347" s="20" t="inlineStr">
        <is>
          <t>Wagon R</t>
        </is>
      </c>
      <c r="G3347" s="21" t="n">
        <v>2008</v>
      </c>
      <c r="H3347" s="22" t="n">
        <v>65000</v>
      </c>
      <c r="I3347" s="22" t="n">
        <v>90000</v>
      </c>
      <c r="J3347" s="20" t="inlineStr">
        <is>
          <t>POPULAR MAHINDRA</t>
        </is>
      </c>
      <c r="K3347" s="20" t="inlineStr">
        <is>
          <t>Non-Captive</t>
        </is>
      </c>
      <c r="L3347" s="20" t="inlineStr">
        <is>
          <t>HONEY RAJ</t>
        </is>
      </c>
      <c r="M3347" s="23" t="n">
        <v>5932</v>
      </c>
    </row>
    <row r="3348">
      <c r="A3348" s="19" t="inlineStr">
        <is>
          <t>FY27</t>
        </is>
      </c>
      <c r="B3348" s="19" t="inlineStr">
        <is>
          <t>Aug</t>
        </is>
      </c>
      <c r="C3348" s="19" t="inlineStr">
        <is>
          <t>Kerala</t>
        </is>
      </c>
      <c r="D3348" s="20" t="inlineStr">
        <is>
          <t>KL08AP4539</t>
        </is>
      </c>
      <c r="E3348" s="20" t="inlineStr">
        <is>
          <t>TATA</t>
        </is>
      </c>
      <c r="F3348" s="20" t="inlineStr">
        <is>
          <t>Indica</t>
        </is>
      </c>
      <c r="G3348" s="21" t="n">
        <v>2008</v>
      </c>
      <c r="H3348" s="22" t="n">
        <v>83282</v>
      </c>
      <c r="I3348" s="22" t="n">
        <v>40000</v>
      </c>
      <c r="J3348" s="20" t="inlineStr">
        <is>
          <t>POPULAR MARUTI</t>
        </is>
      </c>
      <c r="K3348" s="20" t="inlineStr">
        <is>
          <t>Non-Captive</t>
        </is>
      </c>
      <c r="L3348" s="20" t="inlineStr">
        <is>
          <t>AFSAL</t>
        </is>
      </c>
      <c r="M3348" s="23" t="n">
        <v>8475</v>
      </c>
    </row>
    <row r="3349">
      <c r="A3349" s="19" t="inlineStr">
        <is>
          <t>FY27</t>
        </is>
      </c>
      <c r="B3349" s="19" t="inlineStr">
        <is>
          <t>Aug</t>
        </is>
      </c>
      <c r="C3349" s="19" t="inlineStr">
        <is>
          <t>Kerala</t>
        </is>
      </c>
      <c r="D3349" s="20" t="inlineStr">
        <is>
          <t>KL07BT9617</t>
        </is>
      </c>
      <c r="E3349" s="20" t="inlineStr">
        <is>
          <t>HYUNDAI</t>
        </is>
      </c>
      <c r="F3349" s="20" t="inlineStr">
        <is>
          <t>I10</t>
        </is>
      </c>
      <c r="G3349" s="21" t="n">
        <v>2012</v>
      </c>
      <c r="H3349" s="22" t="n">
        <v>93215</v>
      </c>
      <c r="I3349" s="22" t="n">
        <v>125000</v>
      </c>
      <c r="J3349" s="20" t="inlineStr">
        <is>
          <t>POPULAR MARUTI</t>
        </is>
      </c>
      <c r="K3349" s="20" t="inlineStr">
        <is>
          <t>Non-Captive</t>
        </is>
      </c>
      <c r="L3349" s="20" t="inlineStr">
        <is>
          <t>ASALAM</t>
        </is>
      </c>
      <c r="M3349" s="23" t="n">
        <v>12712</v>
      </c>
    </row>
    <row r="3350">
      <c r="A3350" s="19" t="inlineStr">
        <is>
          <t>FY27</t>
        </is>
      </c>
      <c r="B3350" s="19" t="inlineStr">
        <is>
          <t>Aug</t>
        </is>
      </c>
      <c r="C3350" s="19" t="inlineStr">
        <is>
          <t>Kerala</t>
        </is>
      </c>
      <c r="D3350" s="20" t="inlineStr">
        <is>
          <t>KL26C1109</t>
        </is>
      </c>
      <c r="E3350" s="20" t="inlineStr">
        <is>
          <t>MARUTI SUZUKI</t>
        </is>
      </c>
      <c r="F3350" s="20" t="inlineStr">
        <is>
          <t>Eeco</t>
        </is>
      </c>
      <c r="G3350" s="21" t="n">
        <v>2011</v>
      </c>
      <c r="H3350" s="22" t="n">
        <v>128794</v>
      </c>
      <c r="I3350" s="22" t="n">
        <v>115000</v>
      </c>
      <c r="J3350" s="20" t="inlineStr">
        <is>
          <t>POPULAR MARUTI</t>
        </is>
      </c>
      <c r="K3350" s="20" t="inlineStr">
        <is>
          <t>Non-Captive</t>
        </is>
      </c>
      <c r="L3350" s="20" t="inlineStr">
        <is>
          <t>ARUN K NARAYANAN</t>
        </is>
      </c>
      <c r="M3350" s="23" t="n">
        <v>12712</v>
      </c>
    </row>
    <row r="3351">
      <c r="A3351" s="19" t="inlineStr">
        <is>
          <t>FY27</t>
        </is>
      </c>
      <c r="B3351" s="19" t="inlineStr">
        <is>
          <t>Aug</t>
        </is>
      </c>
      <c r="C3351" s="19" t="inlineStr">
        <is>
          <t>Kerala</t>
        </is>
      </c>
      <c r="D3351" s="20" t="inlineStr">
        <is>
          <t>KL05AJ1672</t>
        </is>
      </c>
      <c r="E3351" s="20" t="inlineStr">
        <is>
          <t>MARUTI SUZUKI</t>
        </is>
      </c>
      <c r="F3351" s="20" t="inlineStr">
        <is>
          <t>Eeco</t>
        </is>
      </c>
      <c r="G3351" s="21" t="n">
        <v>2013</v>
      </c>
      <c r="H3351" s="22" t="n">
        <v>344786</v>
      </c>
      <c r="I3351" s="22" t="n">
        <v>100000</v>
      </c>
      <c r="J3351" s="20" t="inlineStr">
        <is>
          <t>POPULAR MARUTI</t>
        </is>
      </c>
      <c r="K3351" s="20" t="inlineStr">
        <is>
          <t>Non-Captive</t>
        </is>
      </c>
      <c r="L3351" s="20" t="inlineStr">
        <is>
          <t>SAIF RASHEED</t>
        </is>
      </c>
      <c r="M3351" s="23" t="n">
        <v>12712</v>
      </c>
    </row>
    <row r="3352">
      <c r="A3352" s="19" t="inlineStr">
        <is>
          <t>FY27</t>
        </is>
      </c>
      <c r="B3352" s="19" t="inlineStr">
        <is>
          <t>Aug</t>
        </is>
      </c>
      <c r="C3352" s="19" t="inlineStr">
        <is>
          <t>Kerala</t>
        </is>
      </c>
      <c r="D3352" s="20" t="inlineStr">
        <is>
          <t>KL13W9221</t>
        </is>
      </c>
      <c r="E3352" s="20" t="inlineStr">
        <is>
          <t>MARUTI SUZUKI</t>
        </is>
      </c>
      <c r="F3352" s="20" t="inlineStr">
        <is>
          <t>Alto</t>
        </is>
      </c>
      <c r="G3352" s="21" t="n">
        <v>2011</v>
      </c>
      <c r="H3352" s="22" t="n">
        <v>123000</v>
      </c>
      <c r="I3352" s="22" t="n">
        <v>75000</v>
      </c>
      <c r="J3352" s="20" t="inlineStr">
        <is>
          <t>POPULAR MARUTI</t>
        </is>
      </c>
      <c r="K3352" s="20" t="inlineStr">
        <is>
          <t>Non-Captive</t>
        </is>
      </c>
      <c r="L3352" s="20" t="inlineStr">
        <is>
          <t>FAREEDA BHANU</t>
        </is>
      </c>
      <c r="M3352" s="23" t="n">
        <v>5932</v>
      </c>
    </row>
    <row r="3353">
      <c r="A3353" s="19" t="inlineStr">
        <is>
          <t>FY27</t>
        </is>
      </c>
      <c r="B3353" s="19" t="inlineStr">
        <is>
          <t>Aug</t>
        </is>
      </c>
      <c r="C3353" s="19" t="inlineStr">
        <is>
          <t>Kerala</t>
        </is>
      </c>
      <c r="D3353" s="20" t="inlineStr">
        <is>
          <t>KL18L2625</t>
        </is>
      </c>
      <c r="E3353" s="20" t="inlineStr">
        <is>
          <t>MARUTI SUZUKI</t>
        </is>
      </c>
      <c r="F3353" s="20" t="inlineStr">
        <is>
          <t>Wagonr</t>
        </is>
      </c>
      <c r="G3353" s="21" t="n"/>
      <c r="H3353" s="22" t="n">
        <v>90000</v>
      </c>
      <c r="I3353" s="22" t="n">
        <v>185000</v>
      </c>
      <c r="J3353" s="20" t="inlineStr">
        <is>
          <t>APCO HYUNDAI</t>
        </is>
      </c>
      <c r="K3353" s="20" t="inlineStr">
        <is>
          <t>Non-Captive</t>
        </is>
      </c>
      <c r="L3353" s="20" t="inlineStr">
        <is>
          <t>KC SHUKUR</t>
        </is>
      </c>
      <c r="M3353" s="23" t="n">
        <v>4237</v>
      </c>
    </row>
    <row r="3354">
      <c r="A3354" s="19" t="inlineStr">
        <is>
          <t>FY27</t>
        </is>
      </c>
      <c r="B3354" s="19" t="inlineStr">
        <is>
          <t>Aug</t>
        </is>
      </c>
      <c r="C3354" s="19" t="inlineStr">
        <is>
          <t>Kerala</t>
        </is>
      </c>
      <c r="D3354" s="20" t="inlineStr">
        <is>
          <t>KL60G5547</t>
        </is>
      </c>
      <c r="E3354" s="20" t="inlineStr">
        <is>
          <t>MARUTI SUZUKI</t>
        </is>
      </c>
      <c r="F3354" s="20" t="inlineStr">
        <is>
          <t>Ritz</t>
        </is>
      </c>
      <c r="G3354" s="21" t="n">
        <v>2014</v>
      </c>
      <c r="H3354" s="22" t="n">
        <v>115000</v>
      </c>
      <c r="I3354" s="22" t="n">
        <v>240000</v>
      </c>
      <c r="J3354" s="20" t="inlineStr">
        <is>
          <t>POPULAR MARUTI</t>
        </is>
      </c>
      <c r="K3354" s="20" t="inlineStr">
        <is>
          <t>Non-Captive</t>
        </is>
      </c>
      <c r="L3354" s="20" t="inlineStr">
        <is>
          <t>SHANMUKHADAS C</t>
        </is>
      </c>
      <c r="M3354" s="23" t="n">
        <v>8475</v>
      </c>
    </row>
    <row r="3355">
      <c r="A3355" s="19" t="inlineStr">
        <is>
          <t>FY27</t>
        </is>
      </c>
      <c r="B3355" s="19" t="inlineStr">
        <is>
          <t>Aug</t>
        </is>
      </c>
      <c r="C3355" s="19" t="inlineStr">
        <is>
          <t>Kerala</t>
        </is>
      </c>
      <c r="D3355" s="20" t="inlineStr">
        <is>
          <t>KL11AT4400</t>
        </is>
      </c>
      <c r="E3355" s="20" t="inlineStr">
        <is>
          <t>MARUTI SUZUKI</t>
        </is>
      </c>
      <c r="F3355" s="20" t="inlineStr">
        <is>
          <t>Alto800</t>
        </is>
      </c>
      <c r="G3355" s="21" t="n">
        <v>2013</v>
      </c>
      <c r="H3355" s="22" t="n">
        <v>110005</v>
      </c>
      <c r="I3355" s="22" t="n">
        <v>120000</v>
      </c>
      <c r="J3355" s="20" t="inlineStr">
        <is>
          <t>POPULAR MARUTI</t>
        </is>
      </c>
      <c r="K3355" s="20" t="inlineStr">
        <is>
          <t>Non-Captive</t>
        </is>
      </c>
      <c r="L3355" s="20" t="inlineStr">
        <is>
          <t>MUNEER</t>
        </is>
      </c>
      <c r="M3355" s="23" t="n">
        <v>8475</v>
      </c>
    </row>
    <row r="3356">
      <c r="A3356" s="19" t="inlineStr">
        <is>
          <t>FY27</t>
        </is>
      </c>
      <c r="B3356" s="19" t="inlineStr">
        <is>
          <t>Aug</t>
        </is>
      </c>
      <c r="C3356" s="19" t="inlineStr">
        <is>
          <t>Kerala</t>
        </is>
      </c>
      <c r="D3356" s="20" t="inlineStr">
        <is>
          <t>KL10AN6663</t>
        </is>
      </c>
      <c r="E3356" s="20" t="inlineStr">
        <is>
          <t>HYUNDAI</t>
        </is>
      </c>
      <c r="F3356" s="20" t="inlineStr">
        <is>
          <t>Eon</t>
        </is>
      </c>
      <c r="G3356" s="21" t="n">
        <v>2013</v>
      </c>
      <c r="H3356" s="22" t="n">
        <v>120000</v>
      </c>
      <c r="I3356" s="22" t="n">
        <v>105000</v>
      </c>
      <c r="J3356" s="20" t="inlineStr">
        <is>
          <t>POPULAR MARUTI</t>
        </is>
      </c>
      <c r="K3356" s="20" t="inlineStr">
        <is>
          <t>Non-Captive</t>
        </is>
      </c>
      <c r="L3356" s="20" t="inlineStr">
        <is>
          <t>UNAIS</t>
        </is>
      </c>
      <c r="M3356" s="23" t="n">
        <v>8475</v>
      </c>
    </row>
    <row r="3357">
      <c r="A3357" s="19" t="inlineStr">
        <is>
          <t>FY27</t>
        </is>
      </c>
      <c r="B3357" s="19" t="inlineStr">
        <is>
          <t>Aug</t>
        </is>
      </c>
      <c r="C3357" s="19" t="inlineStr">
        <is>
          <t>Kerala</t>
        </is>
      </c>
      <c r="D3357" s="20" t="inlineStr">
        <is>
          <t>KL56D8358</t>
        </is>
      </c>
      <c r="E3357" s="20" t="inlineStr">
        <is>
          <t>MARUTI SUZUKI</t>
        </is>
      </c>
      <c r="F3357" s="20" t="inlineStr">
        <is>
          <t>Alto</t>
        </is>
      </c>
      <c r="G3357" s="21" t="n">
        <v>2011</v>
      </c>
      <c r="H3357" s="22" t="n">
        <v>147000</v>
      </c>
      <c r="I3357" s="22" t="n">
        <v>80000</v>
      </c>
      <c r="J3357" s="20" t="inlineStr">
        <is>
          <t>POIPULAR MARUTI</t>
        </is>
      </c>
      <c r="K3357" s="20" t="inlineStr">
        <is>
          <t>Non-Captive</t>
        </is>
      </c>
      <c r="L3357" s="20" t="inlineStr">
        <is>
          <t>UNAIS</t>
        </is>
      </c>
      <c r="M3357" s="23" t="n">
        <v>8475</v>
      </c>
    </row>
    <row r="3358">
      <c r="A3358" s="19" t="inlineStr">
        <is>
          <t>FY27</t>
        </is>
      </c>
      <c r="B3358" s="19" t="inlineStr">
        <is>
          <t>Aug</t>
        </is>
      </c>
      <c r="C3358" s="19" t="inlineStr">
        <is>
          <t>Kerala</t>
        </is>
      </c>
      <c r="D3358" s="20" t="inlineStr">
        <is>
          <t>KL59J7247</t>
        </is>
      </c>
      <c r="E3358" s="20" t="inlineStr">
        <is>
          <t>MARUTI SUZUKI</t>
        </is>
      </c>
      <c r="F3358" s="20" t="inlineStr">
        <is>
          <t>Alto800</t>
        </is>
      </c>
      <c r="G3358" s="21" t="n">
        <v>2014</v>
      </c>
      <c r="H3358" s="22" t="n">
        <v>178000</v>
      </c>
      <c r="I3358" s="22" t="n">
        <v>95000</v>
      </c>
      <c r="J3358" s="20" t="inlineStr">
        <is>
          <t>KVR TATA</t>
        </is>
      </c>
      <c r="K3358" s="20" t="inlineStr">
        <is>
          <t>Non-Captive</t>
        </is>
      </c>
      <c r="L3358" s="20" t="inlineStr">
        <is>
          <t>SABITH</t>
        </is>
      </c>
      <c r="M3358" s="23" t="n">
        <v>4237</v>
      </c>
    </row>
    <row r="3359">
      <c r="A3359" s="19" t="inlineStr">
        <is>
          <t>FY27</t>
        </is>
      </c>
      <c r="B3359" s="19" t="inlineStr">
        <is>
          <t>Aug</t>
        </is>
      </c>
      <c r="C3359" s="19" t="inlineStr">
        <is>
          <t>Kerala</t>
        </is>
      </c>
      <c r="D3359" s="20" t="inlineStr">
        <is>
          <t>KL05AP2393</t>
        </is>
      </c>
      <c r="E3359" s="20" t="inlineStr">
        <is>
          <t>MARUTI SUZUKI</t>
        </is>
      </c>
      <c r="F3359" s="20" t="inlineStr">
        <is>
          <t>Alto800</t>
        </is>
      </c>
      <c r="G3359" s="21" t="n">
        <v>2016</v>
      </c>
      <c r="H3359" s="22" t="n">
        <v>65365</v>
      </c>
      <c r="I3359" s="22" t="n">
        <v>195000</v>
      </c>
      <c r="J3359" s="20" t="inlineStr">
        <is>
          <t>AMRUTH V CHANDY</t>
        </is>
      </c>
      <c r="K3359" s="20" t="inlineStr">
        <is>
          <t>Non-Captive</t>
        </is>
      </c>
      <c r="L3359" s="20" t="inlineStr">
        <is>
          <t>SIJO</t>
        </is>
      </c>
      <c r="M3359" s="23" t="n">
        <v>8475</v>
      </c>
    </row>
    <row r="3360">
      <c r="A3360" s="19" t="inlineStr">
        <is>
          <t>FY27</t>
        </is>
      </c>
      <c r="B3360" s="19" t="inlineStr">
        <is>
          <t>Aug</t>
        </is>
      </c>
      <c r="C3360" s="19" t="inlineStr">
        <is>
          <t>Kerala</t>
        </is>
      </c>
      <c r="D3360" s="20" t="inlineStr">
        <is>
          <t>KL02AT5079</t>
        </is>
      </c>
      <c r="E3360" s="20" t="inlineStr">
        <is>
          <t>RENAULT</t>
        </is>
      </c>
      <c r="F3360" s="20" t="inlineStr">
        <is>
          <t>Duster</t>
        </is>
      </c>
      <c r="G3360" s="21" t="n">
        <v>2014</v>
      </c>
      <c r="H3360" s="22" t="n">
        <v>66411</v>
      </c>
      <c r="I3360" s="22" t="n">
        <v>260000</v>
      </c>
      <c r="J3360" s="20" t="inlineStr">
        <is>
          <t>SAI NEXA</t>
        </is>
      </c>
      <c r="K3360" s="20" t="inlineStr">
        <is>
          <t>Non-Captive</t>
        </is>
      </c>
      <c r="L3360" s="20" t="inlineStr">
        <is>
          <t>DINESH P S</t>
        </is>
      </c>
      <c r="M3360" s="23" t="n">
        <v>8475</v>
      </c>
    </row>
    <row r="3361">
      <c r="A3361" s="19" t="inlineStr">
        <is>
          <t>FY27</t>
        </is>
      </c>
      <c r="B3361" s="19" t="inlineStr">
        <is>
          <t>Aug</t>
        </is>
      </c>
      <c r="C3361" s="19" t="inlineStr">
        <is>
          <t>Kerala</t>
        </is>
      </c>
      <c r="D3361" s="20" t="inlineStr">
        <is>
          <t>KL42T7195</t>
        </is>
      </c>
      <c r="E3361" s="20" t="inlineStr">
        <is>
          <t>FORD</t>
        </is>
      </c>
      <c r="F3361" s="20" t="inlineStr">
        <is>
          <t>Ecosport</t>
        </is>
      </c>
      <c r="G3361" s="21" t="n">
        <v>2021</v>
      </c>
      <c r="H3361" s="22" t="n">
        <v>68280</v>
      </c>
      <c r="I3361" s="22" t="n">
        <v>640000</v>
      </c>
      <c r="J3361" s="20" t="inlineStr">
        <is>
          <t>KESHVIN HYUNDAI</t>
        </is>
      </c>
      <c r="K3361" s="20" t="inlineStr">
        <is>
          <t>Non-Captive</t>
        </is>
      </c>
      <c r="L3361" s="20" t="inlineStr">
        <is>
          <t>ABDUL SALAM K K</t>
        </is>
      </c>
      <c r="M3361" s="23" t="n">
        <v>8475</v>
      </c>
    </row>
    <row r="3362">
      <c r="A3362" s="19" t="inlineStr">
        <is>
          <t>FY27</t>
        </is>
      </c>
      <c r="B3362" s="19" t="inlineStr">
        <is>
          <t>Aug</t>
        </is>
      </c>
      <c r="C3362" s="19" t="inlineStr">
        <is>
          <t>Kerala</t>
        </is>
      </c>
      <c r="D3362" s="20" t="inlineStr">
        <is>
          <t>KL40R7232</t>
        </is>
      </c>
      <c r="E3362" s="20" t="inlineStr">
        <is>
          <t>HYUNDAI</t>
        </is>
      </c>
      <c r="F3362" s="20" t="inlineStr">
        <is>
          <t>Grand I10</t>
        </is>
      </c>
      <c r="G3362" s="21" t="n">
        <v>2019</v>
      </c>
      <c r="H3362" s="22" t="n">
        <v>53561</v>
      </c>
      <c r="I3362" s="22" t="n">
        <v>375000</v>
      </c>
      <c r="J3362" s="20" t="inlineStr">
        <is>
          <t>EVM SKODA</t>
        </is>
      </c>
      <c r="K3362" s="20" t="inlineStr">
        <is>
          <t>Non-Captive</t>
        </is>
      </c>
      <c r="L3362" s="20" t="inlineStr">
        <is>
          <t>AITOS CARS</t>
        </is>
      </c>
      <c r="M3362" s="23" t="n">
        <v>8475</v>
      </c>
    </row>
    <row r="3363">
      <c r="A3363" s="19" t="inlineStr">
        <is>
          <t>FY27</t>
        </is>
      </c>
      <c r="B3363" s="19" t="inlineStr">
        <is>
          <t>Aug</t>
        </is>
      </c>
      <c r="C3363" s="19" t="inlineStr">
        <is>
          <t>Kerala</t>
        </is>
      </c>
      <c r="D3363" s="20" t="inlineStr">
        <is>
          <t>KL07CK8084</t>
        </is>
      </c>
      <c r="E3363" s="20" t="inlineStr">
        <is>
          <t>MARUTI SUZUKI</t>
        </is>
      </c>
      <c r="F3363" s="20" t="inlineStr">
        <is>
          <t>Dzire</t>
        </is>
      </c>
      <c r="G3363" s="21" t="n">
        <v>2017</v>
      </c>
      <c r="H3363" s="22" t="n">
        <v>204900</v>
      </c>
      <c r="I3363" s="22" t="n">
        <v>210000</v>
      </c>
      <c r="J3363" s="20" t="inlineStr">
        <is>
          <t>INCHEION KIA</t>
        </is>
      </c>
      <c r="K3363" s="20" t="inlineStr">
        <is>
          <t>Non-Captive</t>
        </is>
      </c>
      <c r="L3363" s="20" t="inlineStr">
        <is>
          <t>PRAJOD</t>
        </is>
      </c>
      <c r="M3363" s="23" t="n">
        <v>8475</v>
      </c>
    </row>
    <row r="3364">
      <c r="A3364" s="19" t="inlineStr">
        <is>
          <t>FY27</t>
        </is>
      </c>
      <c r="B3364" s="19" t="inlineStr">
        <is>
          <t>Aug</t>
        </is>
      </c>
      <c r="C3364" s="19" t="inlineStr">
        <is>
          <t>Kerala</t>
        </is>
      </c>
      <c r="D3364" s="20" t="inlineStr">
        <is>
          <t>KL38C4437</t>
        </is>
      </c>
      <c r="E3364" s="20" t="inlineStr">
        <is>
          <t>MARUTI SUZUKI</t>
        </is>
      </c>
      <c r="F3364" s="20" t="inlineStr">
        <is>
          <t>Alto K10</t>
        </is>
      </c>
      <c r="G3364" s="21" t="n">
        <v>2012</v>
      </c>
      <c r="H3364" s="22" t="n">
        <v>224902</v>
      </c>
      <c r="I3364" s="22" t="n">
        <v>110000</v>
      </c>
      <c r="J3364" s="20" t="inlineStr">
        <is>
          <t>POPULAR MARUTI</t>
        </is>
      </c>
      <c r="K3364" s="20" t="inlineStr">
        <is>
          <t>Non-Captive</t>
        </is>
      </c>
      <c r="L3364" s="20" t="inlineStr">
        <is>
          <t>HUSSIAN O E</t>
        </is>
      </c>
      <c r="M3364" s="23" t="n">
        <v>10169</v>
      </c>
    </row>
    <row r="3365">
      <c r="A3365" s="19" t="inlineStr">
        <is>
          <t>FY27</t>
        </is>
      </c>
      <c r="B3365" s="19" t="inlineStr">
        <is>
          <t>Aug</t>
        </is>
      </c>
      <c r="C3365" s="19" t="inlineStr">
        <is>
          <t>Kerala</t>
        </is>
      </c>
      <c r="D3365" s="20" t="inlineStr">
        <is>
          <t>KL07BK3248</t>
        </is>
      </c>
      <c r="E3365" s="20" t="inlineStr">
        <is>
          <t>HYUNDAI</t>
        </is>
      </c>
      <c r="F3365" s="20" t="inlineStr">
        <is>
          <t>I10</t>
        </is>
      </c>
      <c r="G3365" s="21" t="n">
        <v>2008</v>
      </c>
      <c r="H3365" s="22" t="n">
        <v>69949</v>
      </c>
      <c r="I3365" s="22" t="n">
        <v>90000</v>
      </c>
      <c r="J3365" s="20" t="inlineStr">
        <is>
          <t>POPULAR MARUTI</t>
        </is>
      </c>
      <c r="K3365" s="20" t="inlineStr">
        <is>
          <t>Non-Captive</t>
        </is>
      </c>
      <c r="L3365" s="20" t="inlineStr">
        <is>
          <t>RAFEEK T A</t>
        </is>
      </c>
      <c r="M3365" s="23" t="n">
        <v>11017</v>
      </c>
    </row>
    <row r="3366">
      <c r="A3366" s="19" t="inlineStr">
        <is>
          <t>FY27</t>
        </is>
      </c>
      <c r="B3366" s="19" t="inlineStr">
        <is>
          <t>Aug</t>
        </is>
      </c>
      <c r="C3366" s="19" t="inlineStr">
        <is>
          <t>Kerala</t>
        </is>
      </c>
      <c r="D3366" s="20" t="inlineStr">
        <is>
          <t>KL341618</t>
        </is>
      </c>
      <c r="E3366" s="20" t="inlineStr">
        <is>
          <t>MARUTI SUZUKI</t>
        </is>
      </c>
      <c r="F3366" s="20" t="inlineStr">
        <is>
          <t>Wagon R</t>
        </is>
      </c>
      <c r="G3366" s="21" t="n">
        <v>2006</v>
      </c>
      <c r="H3366" s="22" t="n">
        <v>175232</v>
      </c>
      <c r="I3366" s="22" t="n">
        <v>40000</v>
      </c>
      <c r="J3366" s="20" t="inlineStr">
        <is>
          <t>POPULAR MARUTI</t>
        </is>
      </c>
      <c r="K3366" s="20" t="inlineStr">
        <is>
          <t>Non-Captive</t>
        </is>
      </c>
      <c r="L3366" s="20" t="inlineStr">
        <is>
          <t>RAFEEK T A</t>
        </is>
      </c>
      <c r="M3366" s="23" t="n">
        <v>8475</v>
      </c>
    </row>
    <row r="3367">
      <c r="A3367" s="19" t="inlineStr">
        <is>
          <t>FY27</t>
        </is>
      </c>
      <c r="B3367" s="19" t="inlineStr">
        <is>
          <t>Aug</t>
        </is>
      </c>
      <c r="C3367" s="19" t="inlineStr">
        <is>
          <t>Kerala</t>
        </is>
      </c>
      <c r="D3367" s="20" t="inlineStr">
        <is>
          <t>KL35D6598</t>
        </is>
      </c>
      <c r="E3367" s="20" t="inlineStr">
        <is>
          <t>HYUNDAI</t>
        </is>
      </c>
      <c r="F3367" s="20" t="inlineStr">
        <is>
          <t>Eon</t>
        </is>
      </c>
      <c r="G3367" s="21" t="n">
        <v>2012</v>
      </c>
      <c r="H3367" s="22" t="n">
        <v>91579</v>
      </c>
      <c r="I3367" s="22" t="n">
        <v>90000</v>
      </c>
      <c r="J3367" s="20" t="inlineStr">
        <is>
          <t>POPULAR MARUTI</t>
        </is>
      </c>
      <c r="K3367" s="20" t="inlineStr">
        <is>
          <t>Non-Captive</t>
        </is>
      </c>
      <c r="L3367" s="20" t="inlineStr">
        <is>
          <t>SAMEER V H</t>
        </is>
      </c>
      <c r="M3367" s="23" t="n">
        <v>16949</v>
      </c>
    </row>
    <row r="3368">
      <c r="A3368" s="19" t="inlineStr">
        <is>
          <t>FY27</t>
        </is>
      </c>
      <c r="B3368" s="19" t="inlineStr">
        <is>
          <t>Aug</t>
        </is>
      </c>
      <c r="C3368" s="19" t="inlineStr">
        <is>
          <t>Kerala</t>
        </is>
      </c>
      <c r="D3368" s="20" t="inlineStr">
        <is>
          <t>KL35F4755</t>
        </is>
      </c>
      <c r="E3368" s="20" t="inlineStr">
        <is>
          <t>MARUTI SUZUKI</t>
        </is>
      </c>
      <c r="F3368" s="20" t="inlineStr">
        <is>
          <t>K10</t>
        </is>
      </c>
      <c r="G3368" s="21" t="n">
        <v>2014</v>
      </c>
      <c r="H3368" s="22" t="n">
        <v>106867</v>
      </c>
      <c r="I3368" s="22" t="n">
        <v>160000</v>
      </c>
      <c r="J3368" s="20" t="inlineStr">
        <is>
          <t>POPULAR MARUTI</t>
        </is>
      </c>
      <c r="K3368" s="20" t="inlineStr">
        <is>
          <t>Non-Captive</t>
        </is>
      </c>
      <c r="L3368" s="20" t="inlineStr">
        <is>
          <t>DREAM DRIVE</t>
        </is>
      </c>
      <c r="M3368" s="23" t="n">
        <v>12712</v>
      </c>
    </row>
    <row r="3369">
      <c r="A3369" s="19" t="inlineStr">
        <is>
          <t>FY27</t>
        </is>
      </c>
      <c r="B3369" s="19" t="inlineStr">
        <is>
          <t>Aug</t>
        </is>
      </c>
      <c r="C3369" s="19" t="inlineStr">
        <is>
          <t>Kerala</t>
        </is>
      </c>
      <c r="D3369" s="20" t="inlineStr">
        <is>
          <t>KL39N7595</t>
        </is>
      </c>
      <c r="E3369" s="20" t="inlineStr">
        <is>
          <t>MARUTI SUZUKI</t>
        </is>
      </c>
      <c r="F3369" s="20" t="inlineStr">
        <is>
          <t>Alto K10</t>
        </is>
      </c>
      <c r="G3369" s="21" t="n">
        <v>2012</v>
      </c>
      <c r="H3369" s="22" t="n">
        <v>22844</v>
      </c>
      <c r="I3369" s="22" t="n">
        <v>100000</v>
      </c>
      <c r="J3369" s="20" t="inlineStr">
        <is>
          <t>CARS24</t>
        </is>
      </c>
      <c r="K3369" s="20" t="inlineStr">
        <is>
          <t>Non-Captive</t>
        </is>
      </c>
      <c r="L3369" s="20" t="inlineStr">
        <is>
          <t>VISHNU M S</t>
        </is>
      </c>
      <c r="M3369" s="23" t="n">
        <v>8475</v>
      </c>
    </row>
    <row r="3370">
      <c r="A3370" s="19" t="inlineStr">
        <is>
          <t>FY27</t>
        </is>
      </c>
      <c r="B3370" s="19" t="inlineStr">
        <is>
          <t>Aug</t>
        </is>
      </c>
      <c r="C3370" s="19" t="inlineStr">
        <is>
          <t>Kerala</t>
        </is>
      </c>
      <c r="D3370" s="20" t="inlineStr">
        <is>
          <t>KL38K3636</t>
        </is>
      </c>
      <c r="E3370" s="20" t="inlineStr">
        <is>
          <t>TATA</t>
        </is>
      </c>
      <c r="F3370" s="20" t="inlineStr">
        <is>
          <t>Nexon</t>
        </is>
      </c>
      <c r="G3370" s="21" t="n">
        <v>2022</v>
      </c>
      <c r="H3370" s="22" t="n">
        <v>56000</v>
      </c>
      <c r="I3370" s="22" t="n">
        <v>740000</v>
      </c>
      <c r="J3370" s="20" t="inlineStr">
        <is>
          <t>GOKULAM TATA</t>
        </is>
      </c>
      <c r="K3370" s="20" t="inlineStr">
        <is>
          <t>Non-Captive</t>
        </is>
      </c>
      <c r="L3370" s="20" t="inlineStr">
        <is>
          <t>AITOS CARS</t>
        </is>
      </c>
      <c r="M3370" s="23" t="n">
        <v>8475</v>
      </c>
    </row>
    <row r="3371">
      <c r="A3371" s="19" t="inlineStr">
        <is>
          <t>FY27</t>
        </is>
      </c>
      <c r="B3371" s="19" t="inlineStr">
        <is>
          <t>Aug</t>
        </is>
      </c>
      <c r="C3371" s="19" t="inlineStr">
        <is>
          <t>Kerala</t>
        </is>
      </c>
      <c r="D3371" s="20" t="inlineStr">
        <is>
          <t>KL28B0379</t>
        </is>
      </c>
      <c r="E3371" s="20" t="inlineStr">
        <is>
          <t>MARUTI SUZUKI</t>
        </is>
      </c>
      <c r="F3371" s="20" t="inlineStr">
        <is>
          <t>Wagon R</t>
        </is>
      </c>
      <c r="G3371" s="21" t="n">
        <v>2013</v>
      </c>
      <c r="H3371" s="22" t="n">
        <v>98970</v>
      </c>
      <c r="I3371" s="22" t="n">
        <v>140000</v>
      </c>
      <c r="J3371" s="20" t="inlineStr">
        <is>
          <t>ANAS VH</t>
        </is>
      </c>
      <c r="K3371" s="20" t="inlineStr">
        <is>
          <t>Non-Captive</t>
        </is>
      </c>
      <c r="L3371" s="20" t="inlineStr">
        <is>
          <t>AKHIL KT</t>
        </is>
      </c>
      <c r="M3371" s="23" t="n">
        <v>8475</v>
      </c>
    </row>
    <row r="3372">
      <c r="A3372" s="19" t="inlineStr">
        <is>
          <t>FY27</t>
        </is>
      </c>
      <c r="B3372" s="19" t="inlineStr">
        <is>
          <t>Aug</t>
        </is>
      </c>
      <c r="C3372" s="19" t="inlineStr">
        <is>
          <t>Kerala</t>
        </is>
      </c>
      <c r="D3372" s="20" t="inlineStr">
        <is>
          <t>KL44H3366</t>
        </is>
      </c>
      <c r="E3372" s="20" t="inlineStr">
        <is>
          <t>TOYOTA</t>
        </is>
      </c>
      <c r="F3372" s="20" t="inlineStr">
        <is>
          <t>Glanza</t>
        </is>
      </c>
      <c r="G3372" s="21" t="n">
        <v>2022</v>
      </c>
      <c r="H3372" s="22" t="n">
        <v>22000</v>
      </c>
      <c r="I3372" s="22" t="n">
        <v>745000</v>
      </c>
      <c r="J3372" s="20" t="inlineStr">
        <is>
          <t>AUTOMOTIVE</t>
        </is>
      </c>
      <c r="K3372" s="20" t="inlineStr">
        <is>
          <t>Non-Captive</t>
        </is>
      </c>
      <c r="L3372" s="20" t="inlineStr">
        <is>
          <t>AUTOBOT</t>
        </is>
      </c>
      <c r="M3372" s="23" t="n">
        <v>8475</v>
      </c>
    </row>
    <row r="3373">
      <c r="A3373" s="19" t="inlineStr">
        <is>
          <t>FY27</t>
        </is>
      </c>
      <c r="B3373" s="19" t="inlineStr">
        <is>
          <t>Aug</t>
        </is>
      </c>
      <c r="C3373" s="19" t="inlineStr">
        <is>
          <t>Kerala</t>
        </is>
      </c>
      <c r="D3373" s="20" t="inlineStr">
        <is>
          <t>KL39H1301</t>
        </is>
      </c>
      <c r="E3373" s="20" t="inlineStr">
        <is>
          <t>HYUNDAI</t>
        </is>
      </c>
      <c r="F3373" s="20" t="inlineStr">
        <is>
          <t>I20</t>
        </is>
      </c>
      <c r="G3373" s="21" t="n">
        <v>2015</v>
      </c>
      <c r="H3373" s="22" t="n">
        <v>78647</v>
      </c>
      <c r="I3373" s="22" t="n">
        <v>335000</v>
      </c>
      <c r="J3373" s="20" t="inlineStr">
        <is>
          <t>DREAM DRIVE</t>
        </is>
      </c>
      <c r="K3373" s="20" t="inlineStr">
        <is>
          <t>Non-Captive</t>
        </is>
      </c>
      <c r="L3373" s="20" t="inlineStr">
        <is>
          <t>ALBIN</t>
        </is>
      </c>
      <c r="M3373" s="23" t="n">
        <v>8475</v>
      </c>
    </row>
    <row r="3374">
      <c r="A3374" s="19" t="inlineStr">
        <is>
          <t>FY27</t>
        </is>
      </c>
      <c r="B3374" s="19" t="inlineStr">
        <is>
          <t>Aug</t>
        </is>
      </c>
      <c r="C3374" s="19" t="inlineStr">
        <is>
          <t>Kerala</t>
        </is>
      </c>
      <c r="D3374" s="20" t="inlineStr">
        <is>
          <t>KL01CV3406</t>
        </is>
      </c>
      <c r="E3374" s="20" t="inlineStr">
        <is>
          <t>TATA</t>
        </is>
      </c>
      <c r="F3374" s="20" t="inlineStr">
        <is>
          <t>Punch</t>
        </is>
      </c>
      <c r="G3374" s="21" t="n">
        <v>2022</v>
      </c>
      <c r="H3374" s="22" t="n">
        <v>18000</v>
      </c>
      <c r="I3374" s="22" t="n">
        <v>578000</v>
      </c>
      <c r="J3374" s="20" t="inlineStr">
        <is>
          <t>MARIKAR NISSAN</t>
        </is>
      </c>
      <c r="K3374" s="20" t="inlineStr">
        <is>
          <t>Non-Captive</t>
        </is>
      </c>
      <c r="L3374" s="20" t="inlineStr">
        <is>
          <t>AUTOBOOT</t>
        </is>
      </c>
      <c r="M3374" s="23" t="n">
        <v>6780</v>
      </c>
    </row>
    <row r="3375">
      <c r="A3375" s="19" t="inlineStr">
        <is>
          <t>FY27</t>
        </is>
      </c>
      <c r="B3375" s="19" t="inlineStr">
        <is>
          <t>Aug</t>
        </is>
      </c>
      <c r="C3375" s="19" t="inlineStr">
        <is>
          <t>Kerala</t>
        </is>
      </c>
      <c r="D3375" s="20" t="inlineStr">
        <is>
          <t>KL01AU1985</t>
        </is>
      </c>
      <c r="E3375" s="20" t="inlineStr">
        <is>
          <t>MARUTI SUZUKI</t>
        </is>
      </c>
      <c r="F3375" s="20" t="inlineStr">
        <is>
          <t>Wagon R</t>
        </is>
      </c>
      <c r="G3375" s="21" t="n">
        <v>2008</v>
      </c>
      <c r="H3375" s="22" t="n">
        <v>107500</v>
      </c>
      <c r="I3375" s="22" t="n">
        <v>90000</v>
      </c>
      <c r="J3375" s="20" t="inlineStr">
        <is>
          <t>POPULAR MARUTI</t>
        </is>
      </c>
      <c r="K3375" s="20" t="inlineStr">
        <is>
          <t>Non-Captive</t>
        </is>
      </c>
      <c r="L3375" s="20" t="inlineStr">
        <is>
          <t>Muhammed Rasin R</t>
        </is>
      </c>
      <c r="M3375" s="23" t="n">
        <v>8475</v>
      </c>
    </row>
    <row r="3376">
      <c r="A3376" s="19" t="inlineStr">
        <is>
          <t>FY27</t>
        </is>
      </c>
      <c r="B3376" s="19" t="inlineStr">
        <is>
          <t>Aug</t>
        </is>
      </c>
      <c r="C3376" s="19" t="inlineStr">
        <is>
          <t>Kerala</t>
        </is>
      </c>
      <c r="D3376" s="20" t="inlineStr">
        <is>
          <t>KL02AK1400</t>
        </is>
      </c>
      <c r="E3376" s="20" t="inlineStr">
        <is>
          <t>MARUTI SUZUKI</t>
        </is>
      </c>
      <c r="F3376" s="20" t="inlineStr">
        <is>
          <t>Dzire</t>
        </is>
      </c>
      <c r="G3376" s="21" t="n">
        <v>2012</v>
      </c>
      <c r="H3376" s="22" t="n">
        <v>240000</v>
      </c>
      <c r="I3376" s="22" t="n">
        <v>182000</v>
      </c>
      <c r="J3376" s="20" t="inlineStr">
        <is>
          <t>MUTHOOT TATA</t>
        </is>
      </c>
      <c r="K3376" s="20" t="inlineStr">
        <is>
          <t>Non-Captive</t>
        </is>
      </c>
      <c r="L3376" s="20" t="inlineStr">
        <is>
          <t>Muhammed Nasim PM</t>
        </is>
      </c>
      <c r="M3376" s="23" t="n">
        <v>5932</v>
      </c>
    </row>
    <row r="3377">
      <c r="A3377" s="19" t="inlineStr">
        <is>
          <t>FY27</t>
        </is>
      </c>
      <c r="B3377" s="19" t="inlineStr">
        <is>
          <t>Aug</t>
        </is>
      </c>
      <c r="C3377" s="19" t="inlineStr">
        <is>
          <t>Kerala</t>
        </is>
      </c>
      <c r="D3377" s="20" t="inlineStr">
        <is>
          <t>KL24L9639</t>
        </is>
      </c>
      <c r="E3377" s="20" t="inlineStr">
        <is>
          <t>MARUTI SUZUKI</t>
        </is>
      </c>
      <c r="F3377" s="20" t="inlineStr">
        <is>
          <t>Wagonr</t>
        </is>
      </c>
      <c r="G3377" s="21" t="n">
        <v>2016</v>
      </c>
      <c r="H3377" s="22" t="n">
        <v>86000</v>
      </c>
      <c r="I3377" s="22" t="n">
        <v>228000</v>
      </c>
      <c r="J3377" s="20" t="inlineStr">
        <is>
          <t>SPRICE HYUNDAI</t>
        </is>
      </c>
      <c r="K3377" s="20" t="inlineStr">
        <is>
          <t>Non-Captive</t>
        </is>
      </c>
      <c r="L3377" s="20" t="inlineStr">
        <is>
          <t>MUJEEB RAHUMAN</t>
        </is>
      </c>
      <c r="M3377" s="23" t="n">
        <v>6780</v>
      </c>
    </row>
    <row r="3378">
      <c r="A3378" s="19" t="inlineStr">
        <is>
          <t>FY27</t>
        </is>
      </c>
      <c r="B3378" s="19" t="inlineStr">
        <is>
          <t>Aug</t>
        </is>
      </c>
      <c r="C3378" s="19" t="inlineStr">
        <is>
          <t>Kerala</t>
        </is>
      </c>
      <c r="D3378" s="20" t="inlineStr">
        <is>
          <t>KL08BT5759</t>
        </is>
      </c>
      <c r="E3378" s="20" t="inlineStr">
        <is>
          <t>ASHOK LEYLAND</t>
        </is>
      </c>
      <c r="F3378" s="20" t="inlineStr">
        <is>
          <t>Dosth</t>
        </is>
      </c>
      <c r="G3378" s="21" t="n"/>
      <c r="H3378" s="22" t="n">
        <v>175000</v>
      </c>
      <c r="I3378" s="22" t="n">
        <v>356000</v>
      </c>
      <c r="J3378" s="20" t="inlineStr">
        <is>
          <t>VINESH</t>
        </is>
      </c>
      <c r="K3378" s="20" t="inlineStr">
        <is>
          <t>Non-Captive</t>
        </is>
      </c>
      <c r="L3378" s="20" t="inlineStr">
        <is>
          <t>SAJITH LEAPS TRUCKS</t>
        </is>
      </c>
      <c r="M3378" s="23" t="n">
        <v>5085</v>
      </c>
    </row>
    <row r="3379">
      <c r="A3379" s="19" t="inlineStr">
        <is>
          <t>FY27</t>
        </is>
      </c>
      <c r="B3379" s="19" t="inlineStr">
        <is>
          <t>Aug</t>
        </is>
      </c>
      <c r="C3379" s="19" t="inlineStr">
        <is>
          <t>Kerala</t>
        </is>
      </c>
      <c r="D3379" s="20" t="inlineStr">
        <is>
          <t>KL07BR7600</t>
        </is>
      </c>
      <c r="E3379" s="20" t="inlineStr">
        <is>
          <t>MAHINDRA</t>
        </is>
      </c>
      <c r="F3379" s="20" t="inlineStr">
        <is>
          <t>Verito</t>
        </is>
      </c>
      <c r="G3379" s="21" t="n">
        <v>2011</v>
      </c>
      <c r="H3379" s="22" t="n">
        <v>65000</v>
      </c>
      <c r="I3379" s="22" t="n">
        <v>110000</v>
      </c>
      <c r="J3379" s="20" t="inlineStr">
        <is>
          <t>POPULAR MARUTI</t>
        </is>
      </c>
      <c r="K3379" s="20" t="inlineStr">
        <is>
          <t>Non-Captive</t>
        </is>
      </c>
      <c r="L3379" s="20" t="inlineStr">
        <is>
          <t>UMESH KUMAR TU</t>
        </is>
      </c>
      <c r="M3379" s="23" t="n">
        <v>8475</v>
      </c>
    </row>
    <row r="3380">
      <c r="A3380" s="19" t="inlineStr">
        <is>
          <t>FY27</t>
        </is>
      </c>
      <c r="B3380" s="19" t="inlineStr">
        <is>
          <t>Aug</t>
        </is>
      </c>
      <c r="C3380" s="19" t="inlineStr">
        <is>
          <t>Kerala</t>
        </is>
      </c>
      <c r="D3380" s="20" t="inlineStr">
        <is>
          <t>KL58B3563</t>
        </is>
      </c>
      <c r="E3380" s="20" t="inlineStr">
        <is>
          <t>MARUTI SUZUKI</t>
        </is>
      </c>
      <c r="F3380" s="20" t="inlineStr">
        <is>
          <t>Alto</t>
        </is>
      </c>
      <c r="G3380" s="21" t="n">
        <v>2008</v>
      </c>
      <c r="H3380" s="22" t="n">
        <v>80000</v>
      </c>
      <c r="I3380" s="22" t="n">
        <v>88000</v>
      </c>
      <c r="J3380" s="20" t="inlineStr">
        <is>
          <t>POPULAR MARUTI</t>
        </is>
      </c>
      <c r="K3380" s="20" t="inlineStr">
        <is>
          <t>Non-Captive</t>
        </is>
      </c>
      <c r="L3380" s="20" t="inlineStr">
        <is>
          <t>SHANMUKHADAS C</t>
        </is>
      </c>
      <c r="M3380" s="23" t="n">
        <v>6780</v>
      </c>
    </row>
    <row r="3381">
      <c r="A3381" s="19" t="inlineStr">
        <is>
          <t>FY27</t>
        </is>
      </c>
      <c r="B3381" s="19" t="inlineStr">
        <is>
          <t>Aug</t>
        </is>
      </c>
      <c r="C3381" s="19" t="inlineStr">
        <is>
          <t>Kerala</t>
        </is>
      </c>
      <c r="D3381" s="20" t="inlineStr">
        <is>
          <t>KL13U1735</t>
        </is>
      </c>
      <c r="E3381" s="20" t="inlineStr">
        <is>
          <t>HYUNDAI</t>
        </is>
      </c>
      <c r="F3381" s="20" t="inlineStr">
        <is>
          <t>I10</t>
        </is>
      </c>
      <c r="G3381" s="21" t="n">
        <v>2009</v>
      </c>
      <c r="H3381" s="22" t="n">
        <v>71000</v>
      </c>
      <c r="I3381" s="22" t="n">
        <v>77000</v>
      </c>
      <c r="J3381" s="20" t="inlineStr">
        <is>
          <t>POPULAR MARUTI</t>
        </is>
      </c>
      <c r="K3381" s="20" t="inlineStr">
        <is>
          <t>Non-Captive</t>
        </is>
      </c>
      <c r="L3381" s="20" t="inlineStr">
        <is>
          <t>NIZAMUDEEN P K</t>
        </is>
      </c>
      <c r="M3381" s="23" t="n">
        <v>5932</v>
      </c>
    </row>
    <row r="3382">
      <c r="A3382" s="19" t="inlineStr">
        <is>
          <t>FY27</t>
        </is>
      </c>
      <c r="B3382" s="19" t="inlineStr">
        <is>
          <t>Aug</t>
        </is>
      </c>
      <c r="C3382" s="19" t="inlineStr">
        <is>
          <t>Kerala</t>
        </is>
      </c>
      <c r="D3382" s="20" t="inlineStr">
        <is>
          <t>KL11AK3022</t>
        </is>
      </c>
      <c r="E3382" s="20" t="inlineStr">
        <is>
          <t>MARUTI SUZUKI</t>
        </is>
      </c>
      <c r="F3382" s="20" t="inlineStr">
        <is>
          <t>Swiftlxi</t>
        </is>
      </c>
      <c r="G3382" s="21" t="n">
        <v>2011</v>
      </c>
      <c r="H3382" s="22" t="n">
        <v>42000</v>
      </c>
      <c r="I3382" s="22" t="n">
        <v>145000</v>
      </c>
      <c r="J3382" s="20" t="inlineStr">
        <is>
          <t>POPULAR MARUTI</t>
        </is>
      </c>
      <c r="K3382" s="20" t="inlineStr">
        <is>
          <t>Non-Captive</t>
        </is>
      </c>
      <c r="L3382" s="20" t="inlineStr">
        <is>
          <t>MOHAMMED ASLAM K</t>
        </is>
      </c>
      <c r="M3382" s="23" t="n">
        <v>8475</v>
      </c>
    </row>
    <row r="3383">
      <c r="A3383" s="19" t="inlineStr">
        <is>
          <t>FY27</t>
        </is>
      </c>
      <c r="B3383" s="19" t="inlineStr">
        <is>
          <t>Aug</t>
        </is>
      </c>
      <c r="C3383" s="19" t="inlineStr">
        <is>
          <t>Kerala</t>
        </is>
      </c>
      <c r="D3383" s="20" t="inlineStr">
        <is>
          <t>KL58M2069</t>
        </is>
      </c>
      <c r="E3383" s="20" t="inlineStr">
        <is>
          <t>MARUTI SUZUKI</t>
        </is>
      </c>
      <c r="F3383" s="20" t="inlineStr">
        <is>
          <t>Alto800</t>
        </is>
      </c>
      <c r="G3383" s="21" t="n">
        <v>2013</v>
      </c>
      <c r="H3383" s="22" t="n">
        <v>150000</v>
      </c>
      <c r="I3383" s="22" t="n">
        <v>125000</v>
      </c>
      <c r="J3383" s="20" t="inlineStr">
        <is>
          <t>POPULAR MARUTI</t>
        </is>
      </c>
      <c r="K3383" s="20" t="inlineStr">
        <is>
          <t>Non-Captive</t>
        </is>
      </c>
      <c r="L3383" s="20" t="inlineStr">
        <is>
          <t>MAHESH CARBAZAR</t>
        </is>
      </c>
      <c r="M3383" s="23" t="n">
        <v>8475</v>
      </c>
    </row>
    <row r="3384">
      <c r="A3384" s="19" t="inlineStr">
        <is>
          <t>FY27</t>
        </is>
      </c>
      <c r="B3384" s="19" t="inlineStr">
        <is>
          <t>Aug</t>
        </is>
      </c>
      <c r="C3384" s="19" t="inlineStr">
        <is>
          <t>Kerala</t>
        </is>
      </c>
      <c r="D3384" s="20" t="inlineStr">
        <is>
          <t>KL60E9392</t>
        </is>
      </c>
      <c r="E3384" s="20" t="inlineStr">
        <is>
          <t>MARUTI SUZUKI</t>
        </is>
      </c>
      <c r="F3384" s="20" t="inlineStr">
        <is>
          <t>Alto800</t>
        </is>
      </c>
      <c r="G3384" s="21" t="n">
        <v>2012</v>
      </c>
      <c r="H3384" s="22" t="n">
        <v>123000</v>
      </c>
      <c r="I3384" s="22" t="n">
        <v>115000</v>
      </c>
      <c r="J3384" s="20" t="inlineStr">
        <is>
          <t>POPULAR MARUTI</t>
        </is>
      </c>
      <c r="K3384" s="20" t="inlineStr">
        <is>
          <t>Non-Captive</t>
        </is>
      </c>
      <c r="L3384" s="20" t="inlineStr">
        <is>
          <t>FAREEDA CARS</t>
        </is>
      </c>
      <c r="M3384" s="23" t="n">
        <v>8475</v>
      </c>
    </row>
    <row r="3385">
      <c r="A3385" s="19" t="inlineStr">
        <is>
          <t>FY27</t>
        </is>
      </c>
      <c r="B3385" s="19" t="inlineStr">
        <is>
          <t>Aug</t>
        </is>
      </c>
      <c r="C3385" s="19" t="inlineStr">
        <is>
          <t>Kerala</t>
        </is>
      </c>
      <c r="D3385" s="20" t="inlineStr">
        <is>
          <t>KL60B2199</t>
        </is>
      </c>
      <c r="E3385" s="20" t="inlineStr">
        <is>
          <t>MARUTI SUZUKI</t>
        </is>
      </c>
      <c r="F3385" s="20" t="inlineStr">
        <is>
          <t>Alto</t>
        </is>
      </c>
      <c r="G3385" s="21" t="n">
        <v>2009</v>
      </c>
      <c r="H3385" s="22" t="n">
        <v>104000</v>
      </c>
      <c r="I3385" s="22" t="n">
        <v>78000</v>
      </c>
      <c r="J3385" s="20" t="inlineStr">
        <is>
          <t>POPULAR MARUTI</t>
        </is>
      </c>
      <c r="K3385" s="20" t="inlineStr">
        <is>
          <t>Non-Captive</t>
        </is>
      </c>
      <c r="L3385" s="20" t="inlineStr">
        <is>
          <t>HIBA NAZRIN</t>
        </is>
      </c>
      <c r="M3385" s="23" t="n">
        <v>6780</v>
      </c>
    </row>
    <row r="3386">
      <c r="A3386" s="19" t="inlineStr">
        <is>
          <t>FY27</t>
        </is>
      </c>
      <c r="B3386" s="19" t="inlineStr">
        <is>
          <t>Aug</t>
        </is>
      </c>
      <c r="C3386" s="19" t="inlineStr">
        <is>
          <t>Kerala</t>
        </is>
      </c>
      <c r="D3386" s="20" t="inlineStr">
        <is>
          <t>KL60C4953</t>
        </is>
      </c>
      <c r="E3386" s="20" t="inlineStr">
        <is>
          <t>MARUTI SUZUKI</t>
        </is>
      </c>
      <c r="F3386" s="20" t="inlineStr">
        <is>
          <t>Alto</t>
        </is>
      </c>
      <c r="G3386" s="21" t="n">
        <v>2011</v>
      </c>
      <c r="H3386" s="22" t="n">
        <v>90000</v>
      </c>
      <c r="I3386" s="22" t="n">
        <v>85000</v>
      </c>
      <c r="J3386" s="20" t="inlineStr">
        <is>
          <t>POPULAR MARUTI</t>
        </is>
      </c>
      <c r="K3386" s="20" t="inlineStr">
        <is>
          <t>Non-Captive</t>
        </is>
      </c>
      <c r="L3386" s="20" t="inlineStr">
        <is>
          <t>BASHEER</t>
        </is>
      </c>
      <c r="M3386" s="23" t="n">
        <v>8475</v>
      </c>
    </row>
    <row r="3387">
      <c r="A3387" s="19" t="inlineStr">
        <is>
          <t>FY27</t>
        </is>
      </c>
      <c r="B3387" s="19" t="inlineStr">
        <is>
          <t>Aug</t>
        </is>
      </c>
      <c r="C3387" s="19" t="inlineStr">
        <is>
          <t>Kerala</t>
        </is>
      </c>
      <c r="D3387" s="20" t="inlineStr">
        <is>
          <t>KL13AS4720</t>
        </is>
      </c>
      <c r="E3387" s="20" t="inlineStr">
        <is>
          <t>TOYOTA</t>
        </is>
      </c>
      <c r="F3387" s="20" t="inlineStr">
        <is>
          <t>Glanza</t>
        </is>
      </c>
      <c r="G3387" s="21" t="n">
        <v>2020</v>
      </c>
      <c r="H3387" s="22" t="n">
        <v>56000</v>
      </c>
      <c r="I3387" s="22" t="n">
        <v>517000</v>
      </c>
      <c r="J3387" s="20" t="inlineStr">
        <is>
          <t>APCO HYUNDAI</t>
        </is>
      </c>
      <c r="K3387" s="20" t="inlineStr">
        <is>
          <t>Non-Captive</t>
        </is>
      </c>
      <c r="L3387" s="20" t="inlineStr">
        <is>
          <t>VASIL AUTOBOT</t>
        </is>
      </c>
      <c r="M3387" s="23" t="n">
        <v>5932</v>
      </c>
    </row>
    <row r="3388">
      <c r="A3388" s="19" t="inlineStr">
        <is>
          <t>FY27</t>
        </is>
      </c>
      <c r="B3388" s="19" t="inlineStr">
        <is>
          <t>Aug</t>
        </is>
      </c>
      <c r="C3388" s="19" t="inlineStr">
        <is>
          <t>Kerala</t>
        </is>
      </c>
      <c r="D3388" s="20" t="inlineStr">
        <is>
          <t>KL13X9301</t>
        </is>
      </c>
      <c r="E3388" s="20" t="inlineStr">
        <is>
          <t>MARUTI SUZUKI</t>
        </is>
      </c>
      <c r="F3388" s="20" t="inlineStr">
        <is>
          <t>Alto</t>
        </is>
      </c>
      <c r="G3388" s="21" t="n">
        <v>2012</v>
      </c>
      <c r="H3388" s="22" t="n">
        <v>71000</v>
      </c>
      <c r="I3388" s="22" t="n">
        <v>100000</v>
      </c>
      <c r="J3388" s="20" t="inlineStr">
        <is>
          <t>POPULAR MARUTI</t>
        </is>
      </c>
      <c r="K3388" s="20" t="inlineStr">
        <is>
          <t>Non-Captive</t>
        </is>
      </c>
      <c r="L3388" s="20" t="inlineStr">
        <is>
          <t>Non Stop Motors-MUJEEB KOMBAN</t>
        </is>
      </c>
      <c r="M3388" s="23" t="n">
        <v>8475</v>
      </c>
    </row>
    <row r="3389">
      <c r="A3389" s="19" t="inlineStr">
        <is>
          <t>FY27</t>
        </is>
      </c>
      <c r="B3389" s="19" t="inlineStr">
        <is>
          <t>Aug</t>
        </is>
      </c>
      <c r="C3389" s="19" t="inlineStr">
        <is>
          <t>Kerala</t>
        </is>
      </c>
      <c r="D3389" s="20" t="inlineStr">
        <is>
          <t>KL13X4943</t>
        </is>
      </c>
      <c r="E3389" s="20" t="inlineStr">
        <is>
          <t>HYUNDAI</t>
        </is>
      </c>
      <c r="F3389" s="20" t="inlineStr">
        <is>
          <t>Eon</t>
        </is>
      </c>
      <c r="G3389" s="21" t="n">
        <v>2011</v>
      </c>
      <c r="H3389" s="22" t="n">
        <v>99000</v>
      </c>
      <c r="I3389" s="22" t="n">
        <v>57000</v>
      </c>
      <c r="J3389" s="20" t="inlineStr">
        <is>
          <t>POPULAR MARUTI</t>
        </is>
      </c>
      <c r="K3389" s="20" t="inlineStr">
        <is>
          <t>Non-Captive</t>
        </is>
      </c>
      <c r="L3389" s="20" t="inlineStr">
        <is>
          <t>NIZAMUDEEN P K</t>
        </is>
      </c>
      <c r="M3389" s="23" t="n">
        <v>5932</v>
      </c>
    </row>
    <row r="3390">
      <c r="A3390" s="19" t="inlineStr">
        <is>
          <t>FY27</t>
        </is>
      </c>
      <c r="B3390" s="19" t="inlineStr">
        <is>
          <t>Aug</t>
        </is>
      </c>
      <c r="C3390" s="19" t="inlineStr">
        <is>
          <t>Kerala</t>
        </is>
      </c>
      <c r="D3390" s="20" t="inlineStr">
        <is>
          <t>KL45H5656</t>
        </is>
      </c>
      <c r="E3390" s="20" t="inlineStr">
        <is>
          <t>MARUTI SUZUKI</t>
        </is>
      </c>
      <c r="F3390" s="20" t="inlineStr">
        <is>
          <t>Swift</t>
        </is>
      </c>
      <c r="G3390" s="21" t="n">
        <v>2012</v>
      </c>
      <c r="H3390" s="22" t="n">
        <v>143000</v>
      </c>
      <c r="I3390" s="22" t="n">
        <v>210000</v>
      </c>
      <c r="J3390" s="20" t="inlineStr">
        <is>
          <t>POPULAR MARUTI</t>
        </is>
      </c>
      <c r="K3390" s="20" t="inlineStr">
        <is>
          <t>Non-Captive</t>
        </is>
      </c>
      <c r="L3390" s="20" t="inlineStr">
        <is>
          <t>FABITH</t>
        </is>
      </c>
      <c r="M3390" s="23" t="n">
        <v>8475</v>
      </c>
    </row>
    <row r="3391">
      <c r="A3391" s="19" t="inlineStr">
        <is>
          <t>FY27</t>
        </is>
      </c>
      <c r="B3391" s="19" t="inlineStr">
        <is>
          <t>Aug</t>
        </is>
      </c>
      <c r="C3391" s="19" t="inlineStr">
        <is>
          <t>Kerala</t>
        </is>
      </c>
      <c r="D3391" s="20" t="inlineStr">
        <is>
          <t>KL41S4128</t>
        </is>
      </c>
      <c r="E3391" s="20" t="inlineStr">
        <is>
          <t>VOLKSWAGEN</t>
        </is>
      </c>
      <c r="F3391" s="20" t="inlineStr">
        <is>
          <t>Taigun</t>
        </is>
      </c>
      <c r="G3391" s="21" t="n">
        <v>2021</v>
      </c>
      <c r="H3391" s="22" t="n">
        <v>42221</v>
      </c>
      <c r="I3391" s="22" t="n">
        <v>780000</v>
      </c>
      <c r="J3391" s="20" t="inlineStr">
        <is>
          <t>AUTOMOTIVE</t>
        </is>
      </c>
      <c r="K3391" s="20" t="inlineStr">
        <is>
          <t>Non-Captive</t>
        </is>
      </c>
      <c r="L3391" s="20" t="inlineStr">
        <is>
          <t>YAHIYA</t>
        </is>
      </c>
      <c r="M3391" s="23" t="n">
        <v>8475</v>
      </c>
    </row>
    <row r="3392">
      <c r="A3392" s="19" t="inlineStr">
        <is>
          <t>FY27</t>
        </is>
      </c>
      <c r="B3392" s="19" t="inlineStr">
        <is>
          <t>Aug</t>
        </is>
      </c>
      <c r="C3392" s="19" t="inlineStr">
        <is>
          <t>Kerala</t>
        </is>
      </c>
      <c r="D3392" s="20" t="inlineStr">
        <is>
          <t>KL38F5590</t>
        </is>
      </c>
      <c r="E3392" s="20" t="inlineStr">
        <is>
          <t>RENAULT</t>
        </is>
      </c>
      <c r="F3392" s="20" t="inlineStr">
        <is>
          <t>Kwid</t>
        </is>
      </c>
      <c r="G3392" s="21" t="n">
        <v>2017</v>
      </c>
      <c r="H3392" s="22" t="n">
        <v>128310</v>
      </c>
      <c r="I3392" s="22" t="n">
        <v>110000</v>
      </c>
      <c r="J3392" s="20" t="inlineStr">
        <is>
          <t>INDUS MARUTI</t>
        </is>
      </c>
      <c r="K3392" s="20" t="inlineStr">
        <is>
          <t>Non-Captive</t>
        </is>
      </c>
      <c r="L3392" s="20" t="inlineStr">
        <is>
          <t>SAIF RASHEED</t>
        </is>
      </c>
      <c r="M3392" s="23" t="n">
        <v>8475</v>
      </c>
    </row>
    <row r="3393">
      <c r="A3393" s="19" t="inlineStr">
        <is>
          <t>FY27</t>
        </is>
      </c>
      <c r="B3393" s="19" t="inlineStr">
        <is>
          <t>Aug</t>
        </is>
      </c>
      <c r="C3393" s="19" t="inlineStr">
        <is>
          <t>Kerala</t>
        </is>
      </c>
      <c r="D3393" s="20" t="inlineStr">
        <is>
          <t>KL01BG5671</t>
        </is>
      </c>
      <c r="E3393" s="20" t="inlineStr">
        <is>
          <t>HYUNDAI</t>
        </is>
      </c>
      <c r="F3393" s="20" t="inlineStr">
        <is>
          <t>I10</t>
        </is>
      </c>
      <c r="G3393" s="21" t="n">
        <v>2012</v>
      </c>
      <c r="H3393" s="22" t="n">
        <v>37340</v>
      </c>
      <c r="I3393" s="22" t="n">
        <v>160000</v>
      </c>
      <c r="J3393" s="20" t="inlineStr">
        <is>
          <t>POPULAR HYUNDAI</t>
        </is>
      </c>
      <c r="K3393" s="20" t="inlineStr">
        <is>
          <t>Non-Captive</t>
        </is>
      </c>
      <c r="L3393" s="20" t="inlineStr">
        <is>
          <t>ABDUL SALAM P U</t>
        </is>
      </c>
      <c r="M3393" s="23" t="n">
        <v>8475</v>
      </c>
    </row>
    <row r="3394">
      <c r="A3394" s="19" t="inlineStr">
        <is>
          <t>FY27</t>
        </is>
      </c>
      <c r="B3394" s="19" t="inlineStr">
        <is>
          <t>Aug</t>
        </is>
      </c>
      <c r="C3394" s="19" t="inlineStr">
        <is>
          <t>Kerala</t>
        </is>
      </c>
      <c r="D3394" s="20" t="inlineStr">
        <is>
          <t>KL08AT0347</t>
        </is>
      </c>
      <c r="E3394" s="20" t="inlineStr">
        <is>
          <t>CHEVROLET</t>
        </is>
      </c>
      <c r="F3394" s="20" t="inlineStr">
        <is>
          <t>Beat</t>
        </is>
      </c>
      <c r="G3394" s="21" t="n">
        <v>2010</v>
      </c>
      <c r="H3394" s="22" t="n">
        <v>110000</v>
      </c>
      <c r="I3394" s="22" t="n">
        <v>60000</v>
      </c>
      <c r="J3394" s="20" t="inlineStr">
        <is>
          <t>POPULAR MARUTI</t>
        </is>
      </c>
      <c r="K3394" s="20" t="inlineStr">
        <is>
          <t>Non-Captive</t>
        </is>
      </c>
      <c r="L3394" s="20" t="inlineStr">
        <is>
          <t>RajendranS</t>
        </is>
      </c>
      <c r="M3394" s="23" t="n">
        <v>8475</v>
      </c>
    </row>
    <row r="3395">
      <c r="A3395" s="19" t="inlineStr">
        <is>
          <t>FY27</t>
        </is>
      </c>
      <c r="B3395" s="19" t="inlineStr">
        <is>
          <t>Aug</t>
        </is>
      </c>
      <c r="C3395" s="19" t="inlineStr">
        <is>
          <t>Kerala</t>
        </is>
      </c>
      <c r="D3395" s="20" t="inlineStr">
        <is>
          <t>KL01AR4509</t>
        </is>
      </c>
      <c r="E3395" s="20" t="inlineStr">
        <is>
          <t>MARUTI SUZUKI</t>
        </is>
      </c>
      <c r="F3395" s="20" t="inlineStr">
        <is>
          <t>Alto</t>
        </is>
      </c>
      <c r="G3395" s="21" t="n">
        <v>2007</v>
      </c>
      <c r="H3395" s="22" t="n">
        <v>112000</v>
      </c>
      <c r="I3395" s="22" t="n">
        <v>37000</v>
      </c>
      <c r="J3395" s="20" t="inlineStr">
        <is>
          <t>POPULAR MARUTI</t>
        </is>
      </c>
      <c r="K3395" s="20" t="inlineStr">
        <is>
          <t>Non-Captive</t>
        </is>
      </c>
      <c r="L3395" s="20" t="inlineStr">
        <is>
          <t>MAHESH KUMAR</t>
        </is>
      </c>
      <c r="M3395" s="23" t="n">
        <v>5932</v>
      </c>
    </row>
    <row r="3396">
      <c r="A3396" s="19" t="inlineStr">
        <is>
          <t>FY27</t>
        </is>
      </c>
      <c r="B3396" s="19" t="inlineStr">
        <is>
          <t>Aug</t>
        </is>
      </c>
      <c r="C3396" s="19" t="inlineStr">
        <is>
          <t>Kerala</t>
        </is>
      </c>
      <c r="D3396" s="20" t="inlineStr">
        <is>
          <t>KL01BL3539</t>
        </is>
      </c>
      <c r="E3396" s="20" t="inlineStr">
        <is>
          <t>TATA</t>
        </is>
      </c>
      <c r="F3396" s="20" t="inlineStr">
        <is>
          <t>Nano</t>
        </is>
      </c>
      <c r="G3396" s="21" t="n">
        <v>2012</v>
      </c>
      <c r="H3396" s="22" t="n">
        <v>50887</v>
      </c>
      <c r="I3396" s="22" t="n">
        <v>27000</v>
      </c>
      <c r="J3396" s="20" t="inlineStr">
        <is>
          <t>POPULAR MARUTI</t>
        </is>
      </c>
      <c r="K3396" s="20" t="inlineStr">
        <is>
          <t>Non-Captive</t>
        </is>
      </c>
      <c r="L3396" s="20" t="inlineStr">
        <is>
          <t>SAJIN</t>
        </is>
      </c>
      <c r="M3396" s="23" t="n">
        <v>8051</v>
      </c>
    </row>
    <row r="3397">
      <c r="A3397" s="19" t="inlineStr">
        <is>
          <t>FY27</t>
        </is>
      </c>
      <c r="B3397" s="19" t="inlineStr">
        <is>
          <t>Aug</t>
        </is>
      </c>
      <c r="C3397" s="19" t="inlineStr">
        <is>
          <t>Kerala</t>
        </is>
      </c>
      <c r="D3397" s="20" t="inlineStr">
        <is>
          <t>KL02BU8931</t>
        </is>
      </c>
      <c r="E3397" s="20" t="inlineStr">
        <is>
          <t>MARUTI SUZUKI</t>
        </is>
      </c>
      <c r="F3397" s="20" t="inlineStr">
        <is>
          <t>Breeza</t>
        </is>
      </c>
      <c r="G3397" s="21" t="n">
        <v>2023</v>
      </c>
      <c r="H3397" s="22" t="n">
        <v>28132</v>
      </c>
      <c r="I3397" s="22" t="n">
        <v>990000</v>
      </c>
      <c r="J3397" s="20" t="inlineStr">
        <is>
          <t>INCHEON KIA</t>
        </is>
      </c>
      <c r="K3397" s="20" t="inlineStr">
        <is>
          <t>Non-Captive</t>
        </is>
      </c>
      <c r="L3397" s="20" t="inlineStr">
        <is>
          <t>Rohan Joseph Vijuline</t>
        </is>
      </c>
      <c r="M3397" s="23" t="n">
        <v>8475</v>
      </c>
    </row>
    <row r="3398">
      <c r="A3398" s="19" t="inlineStr">
        <is>
          <t>FY27</t>
        </is>
      </c>
      <c r="B3398" s="19" t="inlineStr">
        <is>
          <t>Aug</t>
        </is>
      </c>
      <c r="C3398" s="19" t="inlineStr">
        <is>
          <t>Kerala</t>
        </is>
      </c>
      <c r="D3398" s="20" t="inlineStr">
        <is>
          <t>KL02AB3864</t>
        </is>
      </c>
      <c r="E3398" s="20" t="inlineStr">
        <is>
          <t>MARUTI SUZUKI</t>
        </is>
      </c>
      <c r="F3398" s="20" t="inlineStr">
        <is>
          <t>M 800</t>
        </is>
      </c>
      <c r="G3398" s="21" t="n">
        <v>2007</v>
      </c>
      <c r="H3398" s="22" t="n">
        <v>65000</v>
      </c>
      <c r="I3398" s="22" t="n">
        <v>37000</v>
      </c>
      <c r="J3398" s="20" t="inlineStr">
        <is>
          <t>LUXON TATA</t>
        </is>
      </c>
      <c r="K3398" s="20" t="inlineStr">
        <is>
          <t>Non-Captive</t>
        </is>
      </c>
      <c r="L3398" s="20" t="inlineStr">
        <is>
          <t>ATHULRAJ</t>
        </is>
      </c>
      <c r="M3398" s="23" t="n">
        <v>5932</v>
      </c>
    </row>
    <row r="3399">
      <c r="A3399" s="19" t="inlineStr">
        <is>
          <t>FY27</t>
        </is>
      </c>
      <c r="B3399" s="19" t="inlineStr">
        <is>
          <t>Aug</t>
        </is>
      </c>
      <c r="C3399" s="19" t="inlineStr">
        <is>
          <t>Kerala</t>
        </is>
      </c>
      <c r="D3399" s="20" t="inlineStr">
        <is>
          <t>KL02AF4005</t>
        </is>
      </c>
      <c r="E3399" s="20" t="inlineStr">
        <is>
          <t>MARUTI SUZUKI</t>
        </is>
      </c>
      <c r="F3399" s="20" t="inlineStr">
        <is>
          <t>Swift</t>
        </is>
      </c>
      <c r="G3399" s="21" t="n">
        <v>2010</v>
      </c>
      <c r="H3399" s="22" t="n">
        <v>102554</v>
      </c>
      <c r="I3399" s="22" t="n">
        <v>87000</v>
      </c>
      <c r="J3399" s="20" t="inlineStr">
        <is>
          <t>INDUS MARUTI</t>
        </is>
      </c>
      <c r="K3399" s="20" t="inlineStr">
        <is>
          <t>Non-Captive</t>
        </is>
      </c>
      <c r="L3399" s="20" t="inlineStr">
        <is>
          <t>RENJITH</t>
        </is>
      </c>
      <c r="M3399" s="23" t="n">
        <v>5932</v>
      </c>
    </row>
    <row r="3400">
      <c r="A3400" s="19" t="inlineStr">
        <is>
          <t>FY27</t>
        </is>
      </c>
      <c r="B3400" s="19" t="inlineStr">
        <is>
          <t>Aug</t>
        </is>
      </c>
      <c r="C3400" s="19" t="inlineStr">
        <is>
          <t>Kerala</t>
        </is>
      </c>
      <c r="D3400" s="20" t="inlineStr">
        <is>
          <t>KL61D4843</t>
        </is>
      </c>
      <c r="E3400" s="20" t="inlineStr">
        <is>
          <t>HYUNDAI</t>
        </is>
      </c>
      <c r="F3400" s="20" t="inlineStr">
        <is>
          <t>Eon</t>
        </is>
      </c>
      <c r="G3400" s="21" t="n">
        <v>2018</v>
      </c>
      <c r="H3400" s="22" t="n">
        <v>54777</v>
      </c>
      <c r="I3400" s="22" t="n">
        <v>187500</v>
      </c>
      <c r="J3400" s="20" t="inlineStr">
        <is>
          <t>MG FORTUNE</t>
        </is>
      </c>
      <c r="K3400" s="20" t="inlineStr">
        <is>
          <t>Non-Captive</t>
        </is>
      </c>
      <c r="L3400" s="20" t="inlineStr">
        <is>
          <t>AKHILNATH</t>
        </is>
      </c>
      <c r="M3400" s="23" t="n">
        <v>6356</v>
      </c>
    </row>
    <row r="3401">
      <c r="A3401" s="19" t="inlineStr">
        <is>
          <t>FY27</t>
        </is>
      </c>
      <c r="B3401" s="19" t="inlineStr">
        <is>
          <t>Aug</t>
        </is>
      </c>
      <c r="C3401" s="19" t="inlineStr">
        <is>
          <t>Kerala</t>
        </is>
      </c>
      <c r="D3401" s="20" t="inlineStr">
        <is>
          <t>KL01BY1666</t>
        </is>
      </c>
      <c r="E3401" s="20" t="inlineStr">
        <is>
          <t>HYUNDAI</t>
        </is>
      </c>
      <c r="F3401" s="20" t="inlineStr">
        <is>
          <t>I 20</t>
        </is>
      </c>
      <c r="G3401" s="21" t="n">
        <v>2016</v>
      </c>
      <c r="H3401" s="22" t="n">
        <v>71582</v>
      </c>
      <c r="I3401" s="22" t="n">
        <v>340000</v>
      </c>
      <c r="J3401" s="20" t="inlineStr">
        <is>
          <t>INDUS MARUTI</t>
        </is>
      </c>
      <c r="K3401" s="20" t="inlineStr">
        <is>
          <t>Non-Captive</t>
        </is>
      </c>
      <c r="L3401" s="20" t="inlineStr">
        <is>
          <t>Muhammed  Hassan S</t>
        </is>
      </c>
      <c r="M3401" s="23" t="n">
        <v>8475</v>
      </c>
    </row>
    <row r="3402">
      <c r="A3402" s="19" t="inlineStr">
        <is>
          <t>FY27</t>
        </is>
      </c>
      <c r="B3402" s="19" t="inlineStr">
        <is>
          <t>Aug</t>
        </is>
      </c>
      <c r="C3402" s="19" t="inlineStr">
        <is>
          <t>Kerala</t>
        </is>
      </c>
      <c r="D3402" s="20" t="inlineStr">
        <is>
          <t>KL16E3792</t>
        </is>
      </c>
      <c r="E3402" s="20" t="inlineStr">
        <is>
          <t>MARUTI SUZUKI</t>
        </is>
      </c>
      <c r="F3402" s="20" t="inlineStr">
        <is>
          <t>Wagon R</t>
        </is>
      </c>
      <c r="G3402" s="21" t="n">
        <v>2008</v>
      </c>
      <c r="H3402" s="22" t="n">
        <v>173000</v>
      </c>
      <c r="I3402" s="22" t="n">
        <v>46000</v>
      </c>
      <c r="J3402" s="20" t="inlineStr">
        <is>
          <t>INDUS MARUTI</t>
        </is>
      </c>
      <c r="K3402" s="20" t="inlineStr">
        <is>
          <t>Non-Captive</t>
        </is>
      </c>
      <c r="L3402" s="20" t="inlineStr">
        <is>
          <t>SHAHAR</t>
        </is>
      </c>
      <c r="M3402" s="23" t="n">
        <v>5085</v>
      </c>
    </row>
    <row r="3403">
      <c r="A3403" s="19" t="inlineStr">
        <is>
          <t>FY27</t>
        </is>
      </c>
      <c r="B3403" s="19" t="inlineStr">
        <is>
          <t>Aug</t>
        </is>
      </c>
      <c r="C3403" s="19" t="inlineStr">
        <is>
          <t>Kerala</t>
        </is>
      </c>
      <c r="D3403" s="20" t="inlineStr">
        <is>
          <t>KL02AS1141</t>
        </is>
      </c>
      <c r="E3403" s="20" t="inlineStr">
        <is>
          <t>HYUNDAI</t>
        </is>
      </c>
      <c r="F3403" s="20" t="inlineStr">
        <is>
          <t>Eon</t>
        </is>
      </c>
      <c r="G3403" s="21" t="n">
        <v>2014</v>
      </c>
      <c r="H3403" s="22" t="n">
        <v>57228</v>
      </c>
      <c r="I3403" s="22" t="n">
        <v>132000</v>
      </c>
      <c r="J3403" s="20" t="inlineStr">
        <is>
          <t>POPULAR HYUNDAI</t>
        </is>
      </c>
      <c r="K3403" s="20" t="inlineStr">
        <is>
          <t>Non-Captive</t>
        </is>
      </c>
      <c r="L3403" s="20" t="inlineStr">
        <is>
          <t>MAXX MOTORS</t>
        </is>
      </c>
      <c r="M3403" s="23" t="n">
        <v>6780</v>
      </c>
    </row>
    <row r="3404">
      <c r="A3404" s="19" t="inlineStr">
        <is>
          <t>FY27</t>
        </is>
      </c>
      <c r="B3404" s="19" t="inlineStr">
        <is>
          <t>Aug</t>
        </is>
      </c>
      <c r="C3404" s="19" t="inlineStr">
        <is>
          <t>Kerala</t>
        </is>
      </c>
      <c r="D3404" s="20" t="inlineStr">
        <is>
          <t>KL06F3470</t>
        </is>
      </c>
      <c r="E3404" s="20" t="inlineStr">
        <is>
          <t>MARUTI SUZUKI</t>
        </is>
      </c>
      <c r="F3404" s="20" t="inlineStr">
        <is>
          <t>Swift</t>
        </is>
      </c>
      <c r="G3404" s="21" t="n">
        <v>2012</v>
      </c>
      <c r="H3404" s="22" t="n">
        <v>299000</v>
      </c>
      <c r="I3404" s="22" t="n">
        <v>130000</v>
      </c>
      <c r="J3404" s="20" t="inlineStr">
        <is>
          <t>CARS24</t>
        </is>
      </c>
      <c r="K3404" s="20" t="inlineStr">
        <is>
          <t>Non-Captive</t>
        </is>
      </c>
      <c r="L3404" s="20" t="inlineStr">
        <is>
          <t>VTJ</t>
        </is>
      </c>
      <c r="M3404" s="23" t="n">
        <v>8475</v>
      </c>
    </row>
    <row r="3405">
      <c r="A3405" s="19" t="inlineStr">
        <is>
          <t>FY27</t>
        </is>
      </c>
      <c r="B3405" s="19" t="inlineStr">
        <is>
          <t>Aug</t>
        </is>
      </c>
      <c r="C3405" s="19" t="inlineStr">
        <is>
          <t>Kerala</t>
        </is>
      </c>
      <c r="D3405" s="20" t="inlineStr">
        <is>
          <t>KL46X3888</t>
        </is>
      </c>
      <c r="E3405" s="20" t="inlineStr">
        <is>
          <t>TATA</t>
        </is>
      </c>
      <c r="F3405" s="20" t="inlineStr">
        <is>
          <t>Punch</t>
        </is>
      </c>
      <c r="G3405" s="21" t="n">
        <v>2022</v>
      </c>
      <c r="H3405" s="22" t="n">
        <v>27342</v>
      </c>
      <c r="I3405" s="22" t="n">
        <v>535000</v>
      </c>
      <c r="J3405" s="20" t="inlineStr">
        <is>
          <t>AUTOMOTIVE</t>
        </is>
      </c>
      <c r="K3405" s="20" t="inlineStr">
        <is>
          <t>Non-Captive</t>
        </is>
      </c>
      <c r="L3405" s="20" t="inlineStr">
        <is>
          <t>AITOS CARS</t>
        </is>
      </c>
      <c r="M3405" s="23" t="n">
        <v>8475</v>
      </c>
    </row>
    <row r="3406">
      <c r="A3406" s="19" t="inlineStr">
        <is>
          <t>FY27</t>
        </is>
      </c>
      <c r="B3406" s="19" t="inlineStr">
        <is>
          <t>Aug</t>
        </is>
      </c>
      <c r="C3406" s="19" t="inlineStr">
        <is>
          <t>Kerala</t>
        </is>
      </c>
      <c r="D3406" s="20" t="inlineStr">
        <is>
          <t>KL08CB0140</t>
        </is>
      </c>
      <c r="E3406" s="20" t="inlineStr">
        <is>
          <t>MARUTI SUZUKI</t>
        </is>
      </c>
      <c r="F3406" s="20" t="inlineStr">
        <is>
          <t>Wagon R</t>
        </is>
      </c>
      <c r="G3406" s="21" t="n">
        <v>2023</v>
      </c>
      <c r="H3406" s="22" t="n">
        <v>16911</v>
      </c>
      <c r="I3406" s="22" t="n">
        <v>582500</v>
      </c>
      <c r="J3406" s="20" t="inlineStr">
        <is>
          <t>AMANA TOYOTA</t>
        </is>
      </c>
      <c r="K3406" s="20" t="inlineStr">
        <is>
          <t>Non-Captive</t>
        </is>
      </c>
      <c r="L3406" s="20" t="inlineStr">
        <is>
          <t>AITOS CARS</t>
        </is>
      </c>
      <c r="M3406" s="23" t="n">
        <v>10593</v>
      </c>
    </row>
    <row r="3407">
      <c r="A3407" s="19" t="inlineStr">
        <is>
          <t>FY27</t>
        </is>
      </c>
      <c r="B3407" s="19" t="inlineStr">
        <is>
          <t>Aug</t>
        </is>
      </c>
      <c r="C3407" s="19" t="inlineStr">
        <is>
          <t>Kerala</t>
        </is>
      </c>
      <c r="D3407" s="20" t="inlineStr">
        <is>
          <t>KL07DE6364</t>
        </is>
      </c>
      <c r="E3407" s="20" t="inlineStr">
        <is>
          <t>TOYOTA</t>
        </is>
      </c>
      <c r="F3407" s="20" t="inlineStr">
        <is>
          <t>Hyryder</t>
        </is>
      </c>
      <c r="G3407" s="21" t="n">
        <v>2024</v>
      </c>
      <c r="H3407" s="22" t="n">
        <v>17189</v>
      </c>
      <c r="I3407" s="22" t="n">
        <v>1790000</v>
      </c>
      <c r="J3407" s="20" t="inlineStr">
        <is>
          <t>KESHVIN HYUNDAI</t>
        </is>
      </c>
      <c r="K3407" s="20" t="inlineStr">
        <is>
          <t>Non-Captive</t>
        </is>
      </c>
      <c r="L3407" s="20" t="inlineStr">
        <is>
          <t>ABDUL SALAM P U</t>
        </is>
      </c>
      <c r="M3407" s="23" t="n">
        <v>16949</v>
      </c>
    </row>
    <row r="3408">
      <c r="A3408" s="19" t="inlineStr">
        <is>
          <t>FY27</t>
        </is>
      </c>
      <c r="B3408" s="19" t="inlineStr">
        <is>
          <t>Aug</t>
        </is>
      </c>
      <c r="C3408" s="19" t="inlineStr">
        <is>
          <t>Kerala</t>
        </is>
      </c>
      <c r="D3408" s="20" t="inlineStr">
        <is>
          <t>KL06J8686</t>
        </is>
      </c>
      <c r="E3408" s="20" t="inlineStr">
        <is>
          <t>RENAULT</t>
        </is>
      </c>
      <c r="F3408" s="20" t="inlineStr">
        <is>
          <t>Kwid</t>
        </is>
      </c>
      <c r="G3408" s="21" t="n">
        <v>2018</v>
      </c>
      <c r="H3408" s="22" t="n">
        <v>43158</v>
      </c>
      <c r="I3408" s="22" t="n">
        <v>285000</v>
      </c>
      <c r="J3408" s="20" t="inlineStr">
        <is>
          <t>POPULAR HYUNDAI</t>
        </is>
      </c>
      <c r="K3408" s="20" t="inlineStr">
        <is>
          <t>Non-Captive</t>
        </is>
      </c>
      <c r="L3408" s="20" t="inlineStr">
        <is>
          <t>GREEN LIGHT PRE OWNED CARS-MANOJ K</t>
        </is>
      </c>
      <c r="M3408" s="23" t="n">
        <v>8475</v>
      </c>
    </row>
    <row r="3409">
      <c r="A3409" s="19" t="inlineStr">
        <is>
          <t>FY27</t>
        </is>
      </c>
      <c r="B3409" s="19" t="inlineStr">
        <is>
          <t>Aug</t>
        </is>
      </c>
      <c r="C3409" s="19" t="inlineStr">
        <is>
          <t>Kerala</t>
        </is>
      </c>
      <c r="D3409" s="20" t="inlineStr">
        <is>
          <t>KL05AZ6325</t>
        </is>
      </c>
      <c r="E3409" s="20" t="inlineStr">
        <is>
          <t>HYUNDAI</t>
        </is>
      </c>
      <c r="F3409" s="20" t="inlineStr">
        <is>
          <t>Neos</t>
        </is>
      </c>
      <c r="G3409" s="21" t="n">
        <v>2022</v>
      </c>
      <c r="H3409" s="22" t="n">
        <v>66545</v>
      </c>
      <c r="I3409" s="22" t="n">
        <v>455800</v>
      </c>
      <c r="J3409" s="20" t="inlineStr">
        <is>
          <t>ANAS VH</t>
        </is>
      </c>
      <c r="K3409" s="20" t="inlineStr">
        <is>
          <t>Non-Captive</t>
        </is>
      </c>
      <c r="L3409" s="20" t="inlineStr">
        <is>
          <t>POPULAR MARUTI KTM</t>
        </is>
      </c>
      <c r="M3409" s="23" t="n">
        <v>5000</v>
      </c>
    </row>
    <row r="3410">
      <c r="A3410" s="19" t="inlineStr">
        <is>
          <t>FY27</t>
        </is>
      </c>
      <c r="B3410" s="19" t="inlineStr">
        <is>
          <t>Aug</t>
        </is>
      </c>
      <c r="C3410" s="19" t="inlineStr">
        <is>
          <t>Kerala</t>
        </is>
      </c>
      <c r="D3410" s="20" t="inlineStr">
        <is>
          <t>KL16F6979</t>
        </is>
      </c>
      <c r="E3410" s="20" t="inlineStr">
        <is>
          <t>HONDA</t>
        </is>
      </c>
      <c r="F3410" s="20" t="inlineStr">
        <is>
          <t>City</t>
        </is>
      </c>
      <c r="G3410" s="21" t="n">
        <v>2010</v>
      </c>
      <c r="H3410" s="22" t="n">
        <v>1654435</v>
      </c>
      <c r="I3410" s="22" t="n">
        <v>90000</v>
      </c>
      <c r="J3410" s="20" t="inlineStr">
        <is>
          <t>POPULAR MARUTI</t>
        </is>
      </c>
      <c r="K3410" s="20" t="inlineStr">
        <is>
          <t>Non-Captive</t>
        </is>
      </c>
      <c r="L3410" s="20" t="inlineStr">
        <is>
          <t>SAIF RASHEED</t>
        </is>
      </c>
      <c r="M3410" s="23" t="n">
        <v>12712</v>
      </c>
    </row>
    <row r="3411">
      <c r="A3411" s="19" t="inlineStr">
        <is>
          <t>FY27</t>
        </is>
      </c>
      <c r="B3411" s="19" t="inlineStr">
        <is>
          <t>Aug</t>
        </is>
      </c>
      <c r="C3411" s="19" t="inlineStr">
        <is>
          <t>Kerala</t>
        </is>
      </c>
      <c r="D3411" s="20" t="inlineStr">
        <is>
          <t>KL11AB8791</t>
        </is>
      </c>
      <c r="E3411" s="20" t="inlineStr">
        <is>
          <t>HYUNDAI</t>
        </is>
      </c>
      <c r="F3411" s="20" t="inlineStr">
        <is>
          <t>Santro</t>
        </is>
      </c>
      <c r="G3411" s="21" t="n"/>
      <c r="H3411" s="22" t="n">
        <v>122000</v>
      </c>
      <c r="I3411" s="22" t="n">
        <v>55000</v>
      </c>
      <c r="J3411" s="20" t="inlineStr">
        <is>
          <t>BIMAL</t>
        </is>
      </c>
      <c r="K3411" s="20" t="inlineStr">
        <is>
          <t>Non-Captive</t>
        </is>
      </c>
      <c r="L3411" s="20" t="inlineStr">
        <is>
          <t>Binillal M P</t>
        </is>
      </c>
      <c r="M3411" s="23" t="n">
        <v>4237</v>
      </c>
    </row>
    <row r="3412">
      <c r="A3412" s="19" t="inlineStr">
        <is>
          <t>FY27</t>
        </is>
      </c>
      <c r="B3412" s="19" t="inlineStr">
        <is>
          <t>Aug</t>
        </is>
      </c>
      <c r="C3412" s="19" t="inlineStr">
        <is>
          <t>Kerala</t>
        </is>
      </c>
      <c r="D3412" s="20" t="inlineStr">
        <is>
          <t>KL57L8628</t>
        </is>
      </c>
      <c r="E3412" s="20" t="inlineStr">
        <is>
          <t>MARUTI SUZUKI</t>
        </is>
      </c>
      <c r="F3412" s="20" t="inlineStr">
        <is>
          <t>Wagonr</t>
        </is>
      </c>
      <c r="G3412" s="21" t="n"/>
      <c r="H3412" s="22" t="n">
        <v>71900</v>
      </c>
      <c r="I3412" s="22" t="n">
        <v>285000</v>
      </c>
      <c r="J3412" s="20" t="inlineStr">
        <is>
          <t>BIMAL</t>
        </is>
      </c>
      <c r="K3412" s="20" t="inlineStr">
        <is>
          <t>Non-Captive</t>
        </is>
      </c>
      <c r="L3412" s="20" t="inlineStr">
        <is>
          <t>Muhammed Nisab</t>
        </is>
      </c>
      <c r="M3412" s="23" t="n">
        <v>8475</v>
      </c>
    </row>
    <row r="3413">
      <c r="A3413" s="19" t="inlineStr">
        <is>
          <t>FY27</t>
        </is>
      </c>
      <c r="B3413" s="19" t="inlineStr">
        <is>
          <t>Aug</t>
        </is>
      </c>
      <c r="C3413" s="19" t="inlineStr">
        <is>
          <t>Kerala</t>
        </is>
      </c>
      <c r="D3413" s="20" t="inlineStr">
        <is>
          <t>KL11AB3312</t>
        </is>
      </c>
      <c r="E3413" s="20" t="inlineStr">
        <is>
          <t>CHEVROLET</t>
        </is>
      </c>
      <c r="F3413" s="20" t="inlineStr">
        <is>
          <t>Spark</t>
        </is>
      </c>
      <c r="G3413" s="21" t="n"/>
      <c r="H3413" s="22" t="n">
        <v>130000</v>
      </c>
      <c r="I3413" s="22" t="n">
        <v>13000</v>
      </c>
      <c r="J3413" s="20" t="inlineStr">
        <is>
          <t>POPULAR</t>
        </is>
      </c>
      <c r="K3413" s="20" t="inlineStr">
        <is>
          <t>Non-Captive</t>
        </is>
      </c>
      <c r="L3413" s="20" t="inlineStr">
        <is>
          <t>AUTOTRUST</t>
        </is>
      </c>
      <c r="M3413" s="23" t="n">
        <v>5085</v>
      </c>
    </row>
    <row r="3414">
      <c r="A3414" s="19" t="inlineStr">
        <is>
          <t>FY27</t>
        </is>
      </c>
      <c r="B3414" s="19" t="inlineStr">
        <is>
          <t>Aug</t>
        </is>
      </c>
      <c r="C3414" s="19" t="inlineStr">
        <is>
          <t>Kerala</t>
        </is>
      </c>
      <c r="D3414" s="20" t="inlineStr">
        <is>
          <t>KL11H8408</t>
        </is>
      </c>
      <c r="E3414" s="20" t="inlineStr">
        <is>
          <t>MARUTI SUZUKI</t>
        </is>
      </c>
      <c r="F3414" s="20" t="inlineStr">
        <is>
          <t>M800</t>
        </is>
      </c>
      <c r="G3414" s="21" t="n"/>
      <c r="H3414" s="22" t="n">
        <v>150000</v>
      </c>
      <c r="I3414" s="22" t="n">
        <v>13000</v>
      </c>
      <c r="J3414" s="20" t="inlineStr">
        <is>
          <t>POPULAR</t>
        </is>
      </c>
      <c r="K3414" s="20" t="inlineStr">
        <is>
          <t>Non-Captive</t>
        </is>
      </c>
      <c r="L3414" s="20" t="inlineStr">
        <is>
          <t>AUTOTRUST</t>
        </is>
      </c>
      <c r="M3414" s="23" t="n">
        <v>5085</v>
      </c>
    </row>
    <row r="3415">
      <c r="A3415" s="19" t="inlineStr">
        <is>
          <t>FY27</t>
        </is>
      </c>
      <c r="B3415" s="19" t="inlineStr">
        <is>
          <t>Aug</t>
        </is>
      </c>
      <c r="C3415" s="19" t="inlineStr">
        <is>
          <t>Kerala</t>
        </is>
      </c>
      <c r="D3415" s="20" t="inlineStr">
        <is>
          <t>KL56E2645</t>
        </is>
      </c>
      <c r="E3415" s="20" t="inlineStr">
        <is>
          <t>HYUNDAI</t>
        </is>
      </c>
      <c r="F3415" s="20" t="inlineStr">
        <is>
          <t>Eon</t>
        </is>
      </c>
      <c r="G3415" s="21" t="n">
        <v>2012</v>
      </c>
      <c r="H3415" s="22" t="n">
        <v>65000</v>
      </c>
      <c r="I3415" s="22" t="n">
        <v>75000</v>
      </c>
      <c r="J3415" s="20" t="inlineStr">
        <is>
          <t>POPULAR MARUTI</t>
        </is>
      </c>
      <c r="K3415" s="20" t="inlineStr">
        <is>
          <t>Non-Captive</t>
        </is>
      </c>
      <c r="L3415" s="20" t="inlineStr">
        <is>
          <t>SANOOP K M</t>
        </is>
      </c>
      <c r="M3415" s="23" t="n">
        <v>8475</v>
      </c>
    </row>
    <row r="3416">
      <c r="A3416" s="19" t="inlineStr">
        <is>
          <t>FY27</t>
        </is>
      </c>
      <c r="B3416" s="19" t="inlineStr">
        <is>
          <t>Aug</t>
        </is>
      </c>
      <c r="C3416" s="19" t="inlineStr">
        <is>
          <t>Kerala</t>
        </is>
      </c>
      <c r="D3416" s="20" t="inlineStr">
        <is>
          <t>KL11BK1144</t>
        </is>
      </c>
      <c r="E3416" s="20" t="inlineStr">
        <is>
          <t>RENAULT</t>
        </is>
      </c>
      <c r="F3416" s="20" t="inlineStr">
        <is>
          <t>Duster</t>
        </is>
      </c>
      <c r="G3416" s="21" t="n">
        <v>2017</v>
      </c>
      <c r="H3416" s="22" t="n">
        <v>64000</v>
      </c>
      <c r="I3416" s="22" t="n">
        <v>553000</v>
      </c>
      <c r="J3416" s="20" t="inlineStr">
        <is>
          <t>ERAM MAHINDRA</t>
        </is>
      </c>
      <c r="K3416" s="20" t="inlineStr">
        <is>
          <t>Non-Captive</t>
        </is>
      </c>
      <c r="L3416" s="20" t="inlineStr">
        <is>
          <t>SANOOP K M</t>
        </is>
      </c>
      <c r="M3416" s="23" t="n">
        <v>6780</v>
      </c>
    </row>
    <row r="3417">
      <c r="A3417" s="19" t="inlineStr">
        <is>
          <t>FY27</t>
        </is>
      </c>
      <c r="B3417" s="19" t="inlineStr">
        <is>
          <t>Aug</t>
        </is>
      </c>
      <c r="C3417" s="19" t="inlineStr">
        <is>
          <t>Kerala</t>
        </is>
      </c>
      <c r="D3417" s="20" t="inlineStr">
        <is>
          <t>KL11AN5206</t>
        </is>
      </c>
      <c r="E3417" s="20" t="inlineStr">
        <is>
          <t>MARUTI SUZUKI</t>
        </is>
      </c>
      <c r="F3417" s="20" t="inlineStr">
        <is>
          <t>Alto</t>
        </is>
      </c>
      <c r="G3417" s="21" t="n">
        <v>2012</v>
      </c>
      <c r="H3417" s="22" t="n">
        <v>92000</v>
      </c>
      <c r="I3417" s="22" t="n">
        <v>101000</v>
      </c>
      <c r="J3417" s="20" t="inlineStr">
        <is>
          <t>POPULAR MARUTI</t>
        </is>
      </c>
      <c r="K3417" s="20" t="inlineStr">
        <is>
          <t>Non-Captive</t>
        </is>
      </c>
      <c r="L3417" s="20" t="inlineStr">
        <is>
          <t>Mohammed Asalam K</t>
        </is>
      </c>
      <c r="M3417" s="23" t="n">
        <v>9322</v>
      </c>
    </row>
    <row r="3418">
      <c r="A3418" s="19" t="inlineStr">
        <is>
          <t>FY27</t>
        </is>
      </c>
      <c r="B3418" s="19" t="inlineStr">
        <is>
          <t>Aug</t>
        </is>
      </c>
      <c r="C3418" s="19" t="inlineStr">
        <is>
          <t>Kerala</t>
        </is>
      </c>
      <c r="D3418" s="20" t="inlineStr">
        <is>
          <t>KL11AU1320</t>
        </is>
      </c>
      <c r="E3418" s="20" t="inlineStr">
        <is>
          <t>MARUTI SUZUKI</t>
        </is>
      </c>
      <c r="F3418" s="20" t="inlineStr">
        <is>
          <t>Alto800</t>
        </is>
      </c>
      <c r="G3418" s="21" t="n">
        <v>2013</v>
      </c>
      <c r="H3418" s="22" t="n">
        <v>67000</v>
      </c>
      <c r="I3418" s="22" t="n">
        <v>144400</v>
      </c>
      <c r="J3418" s="20" t="inlineStr">
        <is>
          <t>POPULAR MARUTI</t>
        </is>
      </c>
      <c r="K3418" s="20" t="inlineStr">
        <is>
          <t>Non-Captive</t>
        </is>
      </c>
      <c r="L3418" s="20" t="inlineStr">
        <is>
          <t>CAR ONE USED CARS-LATHEEF</t>
        </is>
      </c>
      <c r="M3418" s="23" t="n">
        <v>7966</v>
      </c>
    </row>
    <row r="3419">
      <c r="A3419" s="19" t="inlineStr">
        <is>
          <t>FY27</t>
        </is>
      </c>
      <c r="B3419" s="19" t="inlineStr">
        <is>
          <t>Aug</t>
        </is>
      </c>
      <c r="C3419" s="19" t="inlineStr">
        <is>
          <t>Kerala</t>
        </is>
      </c>
      <c r="D3419" s="20" t="inlineStr">
        <is>
          <t>KL59Q8815</t>
        </is>
      </c>
      <c r="E3419" s="20" t="inlineStr">
        <is>
          <t>MARUTI SUZUKI</t>
        </is>
      </c>
      <c r="F3419" s="20" t="inlineStr">
        <is>
          <t>Swiftlxi</t>
        </is>
      </c>
      <c r="G3419" s="21" t="n">
        <v>2017</v>
      </c>
      <c r="H3419" s="22" t="n">
        <v>99000</v>
      </c>
      <c r="I3419" s="22" t="n">
        <v>385000</v>
      </c>
      <c r="J3419" s="20" t="inlineStr">
        <is>
          <t>DKH KIA</t>
        </is>
      </c>
      <c r="K3419" s="20" t="inlineStr">
        <is>
          <t>Non-Captive</t>
        </is>
      </c>
      <c r="L3419" s="20" t="inlineStr">
        <is>
          <t>AKHIL K</t>
        </is>
      </c>
      <c r="M3419" s="23" t="n">
        <v>4237</v>
      </c>
    </row>
    <row r="3420">
      <c r="A3420" s="19" t="inlineStr">
        <is>
          <t>FY27</t>
        </is>
      </c>
      <c r="B3420" s="19" t="inlineStr">
        <is>
          <t>Aug</t>
        </is>
      </c>
      <c r="C3420" s="19" t="inlineStr">
        <is>
          <t>Kerala</t>
        </is>
      </c>
      <c r="D3420" s="20" t="inlineStr">
        <is>
          <t>KL13AE7594</t>
        </is>
      </c>
      <c r="E3420" s="20" t="inlineStr">
        <is>
          <t>MARUTI SUZUKI</t>
        </is>
      </c>
      <c r="F3420" s="20" t="inlineStr">
        <is>
          <t>Wagonr</t>
        </is>
      </c>
      <c r="G3420" s="21" t="n">
        <v>2015</v>
      </c>
      <c r="H3420" s="22" t="n">
        <v>102000</v>
      </c>
      <c r="I3420" s="22" t="n">
        <v>240000</v>
      </c>
      <c r="J3420" s="20" t="inlineStr">
        <is>
          <t>KVR TATA</t>
        </is>
      </c>
      <c r="K3420" s="20" t="inlineStr">
        <is>
          <t>Non-Captive</t>
        </is>
      </c>
      <c r="L3420" s="20" t="inlineStr">
        <is>
          <t>ABIJITH V K</t>
        </is>
      </c>
      <c r="M3420" s="23" t="n">
        <v>4237</v>
      </c>
    </row>
    <row r="3421">
      <c r="A3421" s="19" t="inlineStr">
        <is>
          <t>FY27</t>
        </is>
      </c>
      <c r="B3421" s="19" t="inlineStr">
        <is>
          <t>Aug</t>
        </is>
      </c>
      <c r="C3421" s="19" t="inlineStr">
        <is>
          <t>Kerala</t>
        </is>
      </c>
      <c r="D3421" s="20" t="inlineStr">
        <is>
          <t>KL11AE5833</t>
        </is>
      </c>
      <c r="E3421" s="20" t="inlineStr">
        <is>
          <t>MARUTI SUZUKI</t>
        </is>
      </c>
      <c r="F3421" s="20" t="inlineStr">
        <is>
          <t>Alto</t>
        </is>
      </c>
      <c r="G3421" s="21" t="n">
        <v>2010</v>
      </c>
      <c r="H3421" s="22" t="n">
        <v>80000</v>
      </c>
      <c r="I3421" s="22" t="n">
        <v>88000</v>
      </c>
      <c r="J3421" s="20" t="inlineStr">
        <is>
          <t>POPULAR MARUTI</t>
        </is>
      </c>
      <c r="K3421" s="20" t="inlineStr">
        <is>
          <t>Non-Captive</t>
        </is>
      </c>
      <c r="L3421" s="20" t="inlineStr">
        <is>
          <t>NIZAMUDEEN P K</t>
        </is>
      </c>
      <c r="M3421" s="23" t="n">
        <v>6780</v>
      </c>
    </row>
    <row r="3422">
      <c r="A3422" s="19" t="inlineStr">
        <is>
          <t>FY27</t>
        </is>
      </c>
      <c r="B3422" s="19" t="inlineStr">
        <is>
          <t>Aug</t>
        </is>
      </c>
      <c r="C3422" s="19" t="inlineStr">
        <is>
          <t>Kerala</t>
        </is>
      </c>
      <c r="D3422" s="20" t="inlineStr">
        <is>
          <t>KL70E8465</t>
        </is>
      </c>
      <c r="E3422" s="20" t="inlineStr">
        <is>
          <t>HYUNDAI</t>
        </is>
      </c>
      <c r="F3422" s="20" t="inlineStr">
        <is>
          <t>Venue</t>
        </is>
      </c>
      <c r="G3422" s="21" t="n">
        <v>2019</v>
      </c>
      <c r="H3422" s="22" t="n">
        <v>109000</v>
      </c>
      <c r="I3422" s="22" t="n">
        <v>460000</v>
      </c>
      <c r="J3422" s="20" t="inlineStr">
        <is>
          <t>PINNACLE MOTORS</t>
        </is>
      </c>
      <c r="K3422" s="20" t="inlineStr">
        <is>
          <t>Non-Captive</t>
        </is>
      </c>
      <c r="L3422" s="20" t="inlineStr">
        <is>
          <t>JAMSHEER</t>
        </is>
      </c>
      <c r="M3422" s="23" t="n">
        <v>8475</v>
      </c>
    </row>
    <row r="3423">
      <c r="A3423" s="19" t="inlineStr">
        <is>
          <t>FY27</t>
        </is>
      </c>
      <c r="B3423" s="19" t="inlineStr">
        <is>
          <t>Aug</t>
        </is>
      </c>
      <c r="C3423" s="19" t="inlineStr">
        <is>
          <t>Kerala</t>
        </is>
      </c>
      <c r="D3423" s="20" t="inlineStr">
        <is>
          <t>KL632343</t>
        </is>
      </c>
      <c r="E3423" s="20" t="inlineStr">
        <is>
          <t>FORD</t>
        </is>
      </c>
      <c r="F3423" s="20" t="inlineStr">
        <is>
          <t>Figo</t>
        </is>
      </c>
      <c r="G3423" s="21" t="n">
        <v>2011</v>
      </c>
      <c r="H3423" s="22" t="n">
        <v>167910</v>
      </c>
      <c r="I3423" s="22" t="n">
        <v>100000</v>
      </c>
      <c r="J3423" s="20" t="inlineStr">
        <is>
          <t>CARS24</t>
        </is>
      </c>
      <c r="K3423" s="20" t="inlineStr">
        <is>
          <t>Non-Captive</t>
        </is>
      </c>
      <c r="L3423" s="20" t="inlineStr">
        <is>
          <t>VTJ</t>
        </is>
      </c>
      <c r="M3423" s="23" t="n">
        <v>8475</v>
      </c>
    </row>
    <row r="3424">
      <c r="A3424" s="19" t="inlineStr">
        <is>
          <t>FY27</t>
        </is>
      </c>
      <c r="B3424" s="19" t="inlineStr">
        <is>
          <t>Aug</t>
        </is>
      </c>
      <c r="C3424" s="19" t="inlineStr">
        <is>
          <t>Kerala</t>
        </is>
      </c>
      <c r="D3424" s="20" t="inlineStr">
        <is>
          <t>KL40Q0815</t>
        </is>
      </c>
      <c r="E3424" s="20" t="inlineStr">
        <is>
          <t>RENAULT</t>
        </is>
      </c>
      <c r="F3424" s="20" t="inlineStr">
        <is>
          <t>Kwid</t>
        </is>
      </c>
      <c r="G3424" s="21" t="n">
        <v>2018</v>
      </c>
      <c r="H3424" s="22" t="n">
        <v>69543</v>
      </c>
      <c r="I3424" s="22" t="n">
        <v>190000</v>
      </c>
      <c r="J3424" s="20" t="inlineStr">
        <is>
          <t>EVM SKODA</t>
        </is>
      </c>
      <c r="K3424" s="20" t="inlineStr">
        <is>
          <t>Non-Captive</t>
        </is>
      </c>
      <c r="L3424" s="20" t="inlineStr">
        <is>
          <t>RAFEEK T A</t>
        </is>
      </c>
      <c r="M3424" s="23" t="n">
        <v>8475</v>
      </c>
    </row>
    <row r="3425">
      <c r="A3425" s="19" t="inlineStr">
        <is>
          <t>FY27</t>
        </is>
      </c>
      <c r="B3425" s="19" t="inlineStr">
        <is>
          <t>Aug</t>
        </is>
      </c>
      <c r="C3425" s="19" t="inlineStr">
        <is>
          <t>Kerala</t>
        </is>
      </c>
      <c r="D3425" s="20" t="inlineStr">
        <is>
          <t>KL34C7579</t>
        </is>
      </c>
      <c r="E3425" s="20" t="inlineStr">
        <is>
          <t>MARUTI SUZUKI</t>
        </is>
      </c>
      <c r="F3425" s="20" t="inlineStr">
        <is>
          <t>Alto K10</t>
        </is>
      </c>
      <c r="G3425" s="21" t="n">
        <v>2014</v>
      </c>
      <c r="H3425" s="22" t="n">
        <v>45317</v>
      </c>
      <c r="I3425" s="22" t="n">
        <v>165000</v>
      </c>
      <c r="J3425" s="20" t="inlineStr">
        <is>
          <t>ALBIN</t>
        </is>
      </c>
      <c r="K3425" s="20" t="inlineStr">
        <is>
          <t>Non-Captive</t>
        </is>
      </c>
      <c r="L3425" s="20" t="inlineStr">
        <is>
          <t>DREAM DRIVE</t>
        </is>
      </c>
      <c r="M3425" s="23" t="n">
        <v>8475</v>
      </c>
    </row>
    <row r="3426">
      <c r="A3426" s="19" t="inlineStr">
        <is>
          <t>FY27</t>
        </is>
      </c>
      <c r="B3426" s="19" t="inlineStr">
        <is>
          <t>Aug</t>
        </is>
      </c>
      <c r="C3426" s="19" t="inlineStr">
        <is>
          <t>Kerala</t>
        </is>
      </c>
      <c r="D3426" s="20" t="inlineStr">
        <is>
          <t>KL60B9539</t>
        </is>
      </c>
      <c r="E3426" s="20" t="inlineStr">
        <is>
          <t>MARUTI SUZUKI</t>
        </is>
      </c>
      <c r="F3426" s="20" t="inlineStr">
        <is>
          <t>Alto</t>
        </is>
      </c>
      <c r="G3426" s="21" t="n">
        <v>2010</v>
      </c>
      <c r="H3426" s="22" t="n">
        <v>99000</v>
      </c>
      <c r="I3426" s="22" t="n">
        <v>70000</v>
      </c>
      <c r="J3426" s="20" t="inlineStr">
        <is>
          <t>POPULAR MARUTI</t>
        </is>
      </c>
      <c r="K3426" s="20" t="inlineStr">
        <is>
          <t>Non-Captive</t>
        </is>
      </c>
      <c r="L3426" s="20" t="inlineStr">
        <is>
          <t>JIMMY THOMAS</t>
        </is>
      </c>
      <c r="M3426" s="23" t="n">
        <v>8475</v>
      </c>
    </row>
    <row r="3427">
      <c r="A3427" s="19" t="inlineStr">
        <is>
          <t>FY27</t>
        </is>
      </c>
      <c r="B3427" s="19" t="inlineStr">
        <is>
          <t>Aug</t>
        </is>
      </c>
      <c r="C3427" s="19" t="inlineStr">
        <is>
          <t>Kerala</t>
        </is>
      </c>
      <c r="D3427" s="20" t="inlineStr">
        <is>
          <t>KL592444</t>
        </is>
      </c>
      <c r="E3427" s="20" t="inlineStr">
        <is>
          <t>MARUTI SUZUKI</t>
        </is>
      </c>
      <c r="F3427" s="20" t="inlineStr">
        <is>
          <t>Alto</t>
        </is>
      </c>
      <c r="G3427" s="21" t="n">
        <v>2006</v>
      </c>
      <c r="H3427" s="22" t="n">
        <v>139000</v>
      </c>
      <c r="I3427" s="22" t="n">
        <v>28500</v>
      </c>
      <c r="J3427" s="20" t="inlineStr">
        <is>
          <t>POPULAR MARUTI</t>
        </is>
      </c>
      <c r="K3427" s="20" t="inlineStr">
        <is>
          <t>Non-Captive</t>
        </is>
      </c>
      <c r="L3427" s="20" t="inlineStr">
        <is>
          <t>MUSTAFA POOKOYA</t>
        </is>
      </c>
      <c r="M3427" s="23" t="n">
        <v>7203</v>
      </c>
    </row>
    <row r="3428">
      <c r="A3428" s="19" t="inlineStr">
        <is>
          <t>FY26</t>
        </is>
      </c>
      <c r="B3428" s="19" t="inlineStr">
        <is>
          <t>Aug</t>
        </is>
      </c>
      <c r="C3428" s="19" t="inlineStr">
        <is>
          <t>Kerala</t>
        </is>
      </c>
      <c r="D3428" s="20" t="inlineStr">
        <is>
          <t>KL07CY5229</t>
        </is>
      </c>
      <c r="E3428" s="20" t="inlineStr">
        <is>
          <t>HYUNDAI</t>
        </is>
      </c>
      <c r="F3428" s="20" t="inlineStr">
        <is>
          <t>Creta</t>
        </is>
      </c>
      <c r="G3428" s="21" t="n">
        <v>2022</v>
      </c>
      <c r="H3428" s="22" t="n">
        <v>18867</v>
      </c>
      <c r="I3428" s="22" t="n">
        <v>690000</v>
      </c>
      <c r="J3428" s="20" t="inlineStr">
        <is>
          <t>KESHVIN HYUNDAI</t>
        </is>
      </c>
      <c r="K3428" s="20" t="inlineStr">
        <is>
          <t>Non-Captive</t>
        </is>
      </c>
      <c r="L3428" s="20" t="inlineStr">
        <is>
          <t>SANOOB V A</t>
        </is>
      </c>
      <c r="M3428" s="23" t="n">
        <v>8475</v>
      </c>
    </row>
    <row r="3429">
      <c r="A3429" s="19" t="inlineStr">
        <is>
          <t>FY26</t>
        </is>
      </c>
      <c r="B3429" s="19" t="inlineStr">
        <is>
          <t>Aug</t>
        </is>
      </c>
      <c r="C3429" s="19" t="inlineStr">
        <is>
          <t>Kerala</t>
        </is>
      </c>
      <c r="D3429" s="20" t="inlineStr">
        <is>
          <t>KL05AG2652</t>
        </is>
      </c>
      <c r="E3429" s="20" t="inlineStr">
        <is>
          <t>RENAULT</t>
        </is>
      </c>
      <c r="F3429" s="20" t="inlineStr">
        <is>
          <t>Duster</t>
        </is>
      </c>
      <c r="G3429" s="21" t="n">
        <v>2013</v>
      </c>
      <c r="H3429" s="22" t="n">
        <v>122011</v>
      </c>
      <c r="I3429" s="22" t="n">
        <v>190000</v>
      </c>
      <c r="J3429" s="20" t="inlineStr">
        <is>
          <t>POPULAR HYUNDAI</t>
        </is>
      </c>
      <c r="K3429" s="20" t="inlineStr">
        <is>
          <t>Non-Captive</t>
        </is>
      </c>
      <c r="L3429" s="20" t="inlineStr">
        <is>
          <t>RAJEEV A C</t>
        </is>
      </c>
      <c r="M3429" s="23" t="n">
        <v>8475</v>
      </c>
    </row>
    <row r="3430">
      <c r="A3430" s="19" t="inlineStr">
        <is>
          <t>FY26</t>
        </is>
      </c>
      <c r="B3430" s="19" t="inlineStr">
        <is>
          <t>Aug</t>
        </is>
      </c>
      <c r="C3430" s="19" t="inlineStr">
        <is>
          <t>Kerala</t>
        </is>
      </c>
      <c r="D3430" s="20" t="inlineStr">
        <is>
          <t>KL39F5047</t>
        </is>
      </c>
      <c r="E3430" s="20" t="inlineStr">
        <is>
          <t>HONDA</t>
        </is>
      </c>
      <c r="F3430" s="20" t="inlineStr">
        <is>
          <t>Amaze</t>
        </is>
      </c>
      <c r="G3430" s="21" t="n">
        <v>2013</v>
      </c>
      <c r="H3430" s="22" t="n">
        <v>198865</v>
      </c>
      <c r="I3430" s="22" t="n">
        <v>150000</v>
      </c>
      <c r="J3430" s="20" t="inlineStr">
        <is>
          <t>MAIJO MARUTI</t>
        </is>
      </c>
      <c r="K3430" s="20" t="inlineStr">
        <is>
          <t>Non-Captive</t>
        </is>
      </c>
      <c r="L3430" s="20" t="inlineStr">
        <is>
          <t>HUSSAIN O E</t>
        </is>
      </c>
      <c r="M3430" s="23" t="n">
        <v>8475</v>
      </c>
    </row>
    <row r="3431">
      <c r="A3431" s="19" t="inlineStr">
        <is>
          <t>FY26</t>
        </is>
      </c>
      <c r="B3431" s="19" t="inlineStr">
        <is>
          <t>Aug</t>
        </is>
      </c>
      <c r="C3431" s="19" t="inlineStr">
        <is>
          <t>Kerala</t>
        </is>
      </c>
      <c r="D3431" s="20" t="inlineStr">
        <is>
          <t>KL35A6390</t>
        </is>
      </c>
      <c r="E3431" s="20" t="inlineStr">
        <is>
          <t>MARUTI SUZUKI</t>
        </is>
      </c>
      <c r="F3431" s="20" t="inlineStr">
        <is>
          <t>Alto</t>
        </is>
      </c>
      <c r="G3431" s="21" t="n">
        <v>2009</v>
      </c>
      <c r="H3431" s="22" t="n">
        <v>101348</v>
      </c>
      <c r="I3431" s="22" t="n">
        <v>65000</v>
      </c>
      <c r="J3431" s="20" t="inlineStr">
        <is>
          <t>POPULAR MARUTI</t>
        </is>
      </c>
      <c r="K3431" s="20" t="inlineStr">
        <is>
          <t>Non-Captive</t>
        </is>
      </c>
      <c r="L3431" s="20" t="inlineStr">
        <is>
          <t>DREAM DRIVE</t>
        </is>
      </c>
      <c r="M3431" s="23" t="n">
        <v>8475</v>
      </c>
    </row>
    <row r="3432">
      <c r="A3432" s="19" t="inlineStr">
        <is>
          <t>FY26</t>
        </is>
      </c>
      <c r="B3432" s="19" t="inlineStr">
        <is>
          <t>Aug</t>
        </is>
      </c>
      <c r="C3432" s="19" t="inlineStr">
        <is>
          <t>Kerala</t>
        </is>
      </c>
      <c r="D3432" s="20" t="inlineStr">
        <is>
          <t>KL07BY2002</t>
        </is>
      </c>
      <c r="E3432" s="20" t="inlineStr">
        <is>
          <t>MARUTI SUZUKI</t>
        </is>
      </c>
      <c r="F3432" s="20" t="inlineStr">
        <is>
          <t>Wagon R</t>
        </is>
      </c>
      <c r="G3432" s="21" t="n">
        <v>2013</v>
      </c>
      <c r="H3432" s="22" t="n">
        <v>114962</v>
      </c>
      <c r="I3432" s="22" t="n">
        <v>195000</v>
      </c>
      <c r="J3432" s="20" t="inlineStr">
        <is>
          <t>POPULAR MARUTI</t>
        </is>
      </c>
      <c r="K3432" s="20" t="inlineStr">
        <is>
          <t>Non-Captive</t>
        </is>
      </c>
      <c r="L3432" s="20" t="inlineStr">
        <is>
          <t>VARUN P M</t>
        </is>
      </c>
      <c r="M3432" s="23" t="n">
        <v>8475</v>
      </c>
    </row>
    <row r="3433">
      <c r="A3433" s="19" t="inlineStr">
        <is>
          <t>FY26</t>
        </is>
      </c>
      <c r="B3433" s="19" t="inlineStr">
        <is>
          <t>Aug</t>
        </is>
      </c>
      <c r="C3433" s="19" t="inlineStr">
        <is>
          <t>Kerala</t>
        </is>
      </c>
      <c r="D3433" s="20" t="inlineStr">
        <is>
          <t>KL434031</t>
        </is>
      </c>
      <c r="E3433" s="20" t="inlineStr">
        <is>
          <t>MARUTI SUZUKI</t>
        </is>
      </c>
      <c r="F3433" s="20" t="inlineStr">
        <is>
          <t>Wagon R</t>
        </is>
      </c>
      <c r="G3433" s="21" t="n">
        <v>2006</v>
      </c>
      <c r="H3433" s="22" t="n">
        <v>86229</v>
      </c>
      <c r="I3433" s="22" t="n">
        <v>40000</v>
      </c>
      <c r="J3433" s="20" t="inlineStr">
        <is>
          <t>POPULAR MARUTI</t>
        </is>
      </c>
      <c r="K3433" s="20" t="inlineStr">
        <is>
          <t>Non-Captive</t>
        </is>
      </c>
      <c r="L3433" s="20" t="inlineStr">
        <is>
          <t>RAFEEK</t>
        </is>
      </c>
      <c r="M3433" s="23" t="n">
        <v>8475</v>
      </c>
    </row>
    <row r="3434">
      <c r="A3434" s="19" t="inlineStr">
        <is>
          <t>FY26</t>
        </is>
      </c>
      <c r="B3434" s="19" t="inlineStr">
        <is>
          <t>Aug</t>
        </is>
      </c>
      <c r="C3434" s="19" t="inlineStr">
        <is>
          <t>Kerala</t>
        </is>
      </c>
      <c r="D3434" s="20" t="inlineStr">
        <is>
          <t>KL13H1913</t>
        </is>
      </c>
      <c r="E3434" s="20" t="inlineStr">
        <is>
          <t>MARUTI SUZUKI</t>
        </is>
      </c>
      <c r="F3434" s="20" t="inlineStr">
        <is>
          <t>Alto</t>
        </is>
      </c>
      <c r="G3434" s="21" t="n">
        <v>2001</v>
      </c>
      <c r="H3434" s="22" t="n">
        <v>234531</v>
      </c>
      <c r="I3434" s="22" t="n">
        <v>11000</v>
      </c>
      <c r="J3434" s="20" t="inlineStr">
        <is>
          <t>POPULAR MARUTI</t>
        </is>
      </c>
      <c r="K3434" s="20" t="inlineStr">
        <is>
          <t>Non-Captive</t>
        </is>
      </c>
      <c r="L3434" s="20" t="inlineStr">
        <is>
          <t>ASHAMS</t>
        </is>
      </c>
      <c r="M3434" s="23" t="n">
        <v>4237</v>
      </c>
    </row>
    <row r="3435">
      <c r="A3435" s="19" t="inlineStr">
        <is>
          <t>FY26</t>
        </is>
      </c>
      <c r="B3435" s="19" t="inlineStr">
        <is>
          <t>Aug</t>
        </is>
      </c>
      <c r="C3435" s="19" t="inlineStr">
        <is>
          <t>Kerala</t>
        </is>
      </c>
      <c r="D3435" s="20" t="inlineStr">
        <is>
          <t>KL13N4071</t>
        </is>
      </c>
      <c r="E3435" s="20" t="inlineStr">
        <is>
          <t>MARUTI SUZUKI</t>
        </is>
      </c>
      <c r="F3435" s="20" t="inlineStr">
        <is>
          <t>M800</t>
        </is>
      </c>
      <c r="G3435" s="21" t="n">
        <v>2005</v>
      </c>
      <c r="H3435" s="22" t="n">
        <v>134555</v>
      </c>
      <c r="I3435" s="22" t="n">
        <v>11000</v>
      </c>
      <c r="J3435" s="20" t="inlineStr">
        <is>
          <t>POPULAR MARUTI</t>
        </is>
      </c>
      <c r="K3435" s="20" t="inlineStr">
        <is>
          <t>Non-Captive</t>
        </is>
      </c>
      <c r="L3435" s="20" t="inlineStr">
        <is>
          <t>ASHAMS</t>
        </is>
      </c>
      <c r="M3435" s="23" t="n">
        <v>4237</v>
      </c>
    </row>
    <row r="3436">
      <c r="A3436" s="19" t="inlineStr">
        <is>
          <t>FY26</t>
        </is>
      </c>
      <c r="B3436" s="19" t="inlineStr">
        <is>
          <t>Aug</t>
        </is>
      </c>
      <c r="C3436" s="19" t="inlineStr">
        <is>
          <t>Kerala</t>
        </is>
      </c>
      <c r="D3436" s="20" t="inlineStr">
        <is>
          <t>KL41K1953</t>
        </is>
      </c>
      <c r="E3436" s="20" t="inlineStr">
        <is>
          <t>FORD</t>
        </is>
      </c>
      <c r="F3436" s="20" t="inlineStr">
        <is>
          <t>Aspire</t>
        </is>
      </c>
      <c r="G3436" s="21" t="n">
        <v>2015</v>
      </c>
      <c r="H3436" s="22" t="n">
        <v>95000</v>
      </c>
      <c r="I3436" s="22" t="n">
        <v>235000</v>
      </c>
      <c r="J3436" s="20" t="inlineStr">
        <is>
          <t>AUTOMOTIVE</t>
        </is>
      </c>
      <c r="K3436" s="20" t="inlineStr">
        <is>
          <t>Non-Captive</t>
        </is>
      </c>
      <c r="L3436" s="20" t="inlineStr">
        <is>
          <t>AITOS CARS</t>
        </is>
      </c>
      <c r="M3436" s="23" t="n">
        <v>8475</v>
      </c>
    </row>
    <row r="3437">
      <c r="A3437" s="19" t="inlineStr">
        <is>
          <t>FY26</t>
        </is>
      </c>
      <c r="B3437" s="19" t="inlineStr">
        <is>
          <t>Aug</t>
        </is>
      </c>
      <c r="C3437" s="19" t="inlineStr">
        <is>
          <t>Kerala</t>
        </is>
      </c>
      <c r="D3437" s="20" t="inlineStr">
        <is>
          <t>KL67A8647</t>
        </is>
      </c>
      <c r="E3437" s="20" t="inlineStr">
        <is>
          <t>HYUNDAI</t>
        </is>
      </c>
      <c r="F3437" s="20" t="inlineStr">
        <is>
          <t>Eon</t>
        </is>
      </c>
      <c r="G3437" s="21" t="n">
        <v>2017</v>
      </c>
      <c r="H3437" s="22" t="n">
        <v>135454</v>
      </c>
      <c r="I3437" s="22" t="n">
        <v>185000</v>
      </c>
      <c r="J3437" s="20" t="inlineStr">
        <is>
          <t>SAIF RASHEED</t>
        </is>
      </c>
      <c r="K3437" s="20" t="inlineStr">
        <is>
          <t>Non-Captive</t>
        </is>
      </c>
      <c r="L3437" s="20" t="inlineStr">
        <is>
          <t>ANAS VH</t>
        </is>
      </c>
      <c r="M3437" s="23" t="n">
        <v>8475</v>
      </c>
    </row>
    <row r="3438">
      <c r="A3438" s="19" t="inlineStr">
        <is>
          <t>FY26</t>
        </is>
      </c>
      <c r="B3438" s="19" t="inlineStr">
        <is>
          <t>Aug</t>
        </is>
      </c>
      <c r="C3438" s="19" t="inlineStr">
        <is>
          <t>Kerala</t>
        </is>
      </c>
      <c r="D3438" s="20" t="inlineStr">
        <is>
          <t>KL541964</t>
        </is>
      </c>
      <c r="E3438" s="20" t="inlineStr">
        <is>
          <t>MARUTI SUZUKI</t>
        </is>
      </c>
      <c r="F3438" s="20" t="inlineStr">
        <is>
          <t>Alto</t>
        </is>
      </c>
      <c r="G3438" s="21" t="n"/>
      <c r="H3438" s="22" t="n">
        <v>132453</v>
      </c>
      <c r="I3438" s="22" t="n">
        <v>6000</v>
      </c>
      <c r="J3438" s="20" t="inlineStr">
        <is>
          <t>POPULAR MARUTI</t>
        </is>
      </c>
      <c r="K3438" s="20" t="inlineStr">
        <is>
          <t>Non-Captive</t>
        </is>
      </c>
      <c r="L3438" s="20" t="inlineStr">
        <is>
          <t>AUTOTRUST</t>
        </is>
      </c>
      <c r="M3438" s="23" t="n">
        <v>5085</v>
      </c>
    </row>
    <row r="3439">
      <c r="A3439" s="19" t="inlineStr">
        <is>
          <t>FY26</t>
        </is>
      </c>
      <c r="B3439" s="19" t="inlineStr">
        <is>
          <t>Aug</t>
        </is>
      </c>
      <c r="C3439" s="19" t="inlineStr">
        <is>
          <t>Kerala</t>
        </is>
      </c>
      <c r="D3439" s="20" t="inlineStr">
        <is>
          <t>KL01CT0223</t>
        </is>
      </c>
      <c r="E3439" s="20" t="inlineStr">
        <is>
          <t>MARUTI SUZUKI</t>
        </is>
      </c>
      <c r="F3439" s="20" t="inlineStr">
        <is>
          <t>Spresso</t>
        </is>
      </c>
      <c r="G3439" s="21" t="n">
        <v>2021</v>
      </c>
      <c r="H3439" s="22" t="n">
        <v>37200</v>
      </c>
      <c r="I3439" s="22" t="n">
        <v>337000</v>
      </c>
      <c r="J3439" s="20" t="inlineStr">
        <is>
          <t>MG FORTUNE</t>
        </is>
      </c>
      <c r="K3439" s="20" t="inlineStr">
        <is>
          <t>Non-Captive</t>
        </is>
      </c>
      <c r="L3439" s="20" t="inlineStr">
        <is>
          <t>MARVEL MOTORS</t>
        </is>
      </c>
      <c r="M3439" s="23" t="n">
        <v>7627</v>
      </c>
    </row>
    <row r="3440">
      <c r="A3440" s="19" t="inlineStr">
        <is>
          <t>FY26</t>
        </is>
      </c>
      <c r="B3440" s="19" t="inlineStr">
        <is>
          <t>Aug</t>
        </is>
      </c>
      <c r="C3440" s="19" t="inlineStr">
        <is>
          <t>Kerala</t>
        </is>
      </c>
      <c r="D3440" s="20" t="inlineStr">
        <is>
          <t>KL22D8585</t>
        </is>
      </c>
      <c r="E3440" s="20" t="inlineStr">
        <is>
          <t>MARUTI SUZUKI</t>
        </is>
      </c>
      <c r="F3440" s="20" t="inlineStr">
        <is>
          <t>K 10</t>
        </is>
      </c>
      <c r="G3440" s="21" t="n">
        <v>2012</v>
      </c>
      <c r="H3440" s="22" t="n">
        <v>12800</v>
      </c>
      <c r="I3440" s="22" t="n">
        <v>95000</v>
      </c>
      <c r="J3440" s="20" t="inlineStr">
        <is>
          <t>POPULAR MARUTI</t>
        </is>
      </c>
      <c r="K3440" s="20" t="inlineStr">
        <is>
          <t>Non-Captive</t>
        </is>
      </c>
      <c r="L3440" s="20" t="inlineStr">
        <is>
          <t>Abraham John</t>
        </is>
      </c>
      <c r="M3440" s="23" t="n">
        <v>8475</v>
      </c>
    </row>
    <row r="3441">
      <c r="A3441" s="19" t="inlineStr">
        <is>
          <t>FY26</t>
        </is>
      </c>
      <c r="B3441" s="19" t="inlineStr">
        <is>
          <t>Aug</t>
        </is>
      </c>
      <c r="C3441" s="19" t="inlineStr">
        <is>
          <t>Kerala</t>
        </is>
      </c>
      <c r="D3441" s="20" t="inlineStr">
        <is>
          <t>KL13AG6360</t>
        </is>
      </c>
      <c r="E3441" s="20" t="inlineStr">
        <is>
          <t>HONDA</t>
        </is>
      </c>
      <c r="F3441" s="20" t="inlineStr">
        <is>
          <t>Ameze</t>
        </is>
      </c>
      <c r="G3441" s="21" t="n">
        <v>2016</v>
      </c>
      <c r="H3441" s="22" t="n">
        <v>110000</v>
      </c>
      <c r="I3441" s="22" t="n">
        <v>325000</v>
      </c>
      <c r="J3441" s="20" t="inlineStr">
        <is>
          <t>KVR MARUTI</t>
        </is>
      </c>
      <c r="K3441" s="20" t="inlineStr">
        <is>
          <t>Non-Captive</t>
        </is>
      </c>
      <c r="L3441" s="20" t="inlineStr">
        <is>
          <t>SILSHA AJAYGHOSH</t>
        </is>
      </c>
      <c r="M3441" s="23" t="n">
        <v>8475</v>
      </c>
    </row>
    <row r="3442">
      <c r="A3442" s="19" t="inlineStr">
        <is>
          <t>FY26</t>
        </is>
      </c>
      <c r="B3442" s="19" t="inlineStr">
        <is>
          <t>Aug</t>
        </is>
      </c>
      <c r="C3442" s="19" t="inlineStr">
        <is>
          <t>Kerala</t>
        </is>
      </c>
      <c r="D3442" s="20" t="inlineStr">
        <is>
          <t>KL55S3876</t>
        </is>
      </c>
      <c r="E3442" s="20" t="inlineStr">
        <is>
          <t>MARUTI SUZUKI</t>
        </is>
      </c>
      <c r="F3442" s="20" t="inlineStr">
        <is>
          <t>Wagon R</t>
        </is>
      </c>
      <c r="G3442" s="21" t="n">
        <v>2015</v>
      </c>
      <c r="H3442" s="22" t="n">
        <v>82000</v>
      </c>
      <c r="I3442" s="22" t="n">
        <v>250000</v>
      </c>
      <c r="J3442" s="20" t="inlineStr">
        <is>
          <t>BIMAL MARUTI</t>
        </is>
      </c>
      <c r="K3442" s="20" t="inlineStr">
        <is>
          <t>Non-Captive</t>
        </is>
      </c>
      <c r="L3442" s="20" t="inlineStr">
        <is>
          <t>Mohammed Asalam K</t>
        </is>
      </c>
      <c r="M3442" s="23" t="n">
        <v>8475</v>
      </c>
    </row>
    <row r="3443">
      <c r="A3443" s="19" t="inlineStr">
        <is>
          <t>FY26</t>
        </is>
      </c>
      <c r="B3443" s="19" t="inlineStr">
        <is>
          <t>Aug</t>
        </is>
      </c>
      <c r="C3443" s="19" t="inlineStr">
        <is>
          <t>Kerala</t>
        </is>
      </c>
      <c r="D3443" s="20" t="inlineStr">
        <is>
          <t>KL01AW0216</t>
        </is>
      </c>
      <c r="E3443" s="20" t="inlineStr">
        <is>
          <t>MAHINDRA</t>
        </is>
      </c>
      <c r="F3443" s="20" t="inlineStr">
        <is>
          <t>Bolero</t>
        </is>
      </c>
      <c r="G3443" s="21" t="n">
        <v>2009</v>
      </c>
      <c r="H3443" s="22" t="n">
        <v>117000</v>
      </c>
      <c r="I3443" s="22" t="n">
        <v>210000</v>
      </c>
      <c r="J3443" s="20" t="inlineStr">
        <is>
          <t>VINOD KUMAR</t>
        </is>
      </c>
      <c r="K3443" s="20" t="inlineStr">
        <is>
          <t>Non-Captive</t>
        </is>
      </c>
      <c r="L3443" s="20" t="inlineStr">
        <is>
          <t>AUTOBOOT</t>
        </is>
      </c>
      <c r="M3443" s="23" t="n">
        <v>8475</v>
      </c>
    </row>
    <row r="3444">
      <c r="A3444" s="19" t="inlineStr">
        <is>
          <t>FY26</t>
        </is>
      </c>
      <c r="B3444" s="19" t="inlineStr">
        <is>
          <t>Aug</t>
        </is>
      </c>
      <c r="C3444" s="19" t="inlineStr">
        <is>
          <t>Kerala</t>
        </is>
      </c>
      <c r="D3444" s="20" t="inlineStr">
        <is>
          <t>KL02AF8117</t>
        </is>
      </c>
      <c r="E3444" s="20" t="inlineStr">
        <is>
          <t>MARUTI SUZUKI</t>
        </is>
      </c>
      <c r="F3444" s="20" t="inlineStr">
        <is>
          <t>Alto</t>
        </is>
      </c>
      <c r="G3444" s="21" t="n">
        <v>2010</v>
      </c>
      <c r="H3444" s="22" t="n">
        <v>54000</v>
      </c>
      <c r="I3444" s="22" t="n">
        <v>128500</v>
      </c>
      <c r="J3444" s="20" t="inlineStr">
        <is>
          <t>LUXON TATA</t>
        </is>
      </c>
      <c r="K3444" s="20" t="inlineStr">
        <is>
          <t>Non-Captive</t>
        </is>
      </c>
      <c r="L3444" s="20" t="inlineStr">
        <is>
          <t>ATHUL RAJ</t>
        </is>
      </c>
      <c r="M3444" s="23" t="n">
        <v>7203</v>
      </c>
    </row>
    <row r="3445">
      <c r="A3445" s="19" t="inlineStr">
        <is>
          <t>FY26</t>
        </is>
      </c>
      <c r="B3445" s="19" t="inlineStr">
        <is>
          <t>Aug</t>
        </is>
      </c>
      <c r="C3445" s="19" t="inlineStr">
        <is>
          <t>Kerala</t>
        </is>
      </c>
      <c r="D3445" s="20" t="inlineStr">
        <is>
          <t>KL54M0411</t>
        </is>
      </c>
      <c r="E3445" s="20" t="inlineStr">
        <is>
          <t>RENAULT</t>
        </is>
      </c>
      <c r="F3445" s="20" t="inlineStr">
        <is>
          <t>Kwid</t>
        </is>
      </c>
      <c r="G3445" s="21" t="n">
        <v>2019</v>
      </c>
      <c r="H3445" s="22" t="n">
        <v>72000</v>
      </c>
      <c r="I3445" s="22" t="n">
        <v>220000</v>
      </c>
      <c r="J3445" s="20" t="inlineStr">
        <is>
          <t>ERAM MAHINDRA</t>
        </is>
      </c>
      <c r="K3445" s="20" t="inlineStr">
        <is>
          <t>Non-Captive</t>
        </is>
      </c>
      <c r="L3445" s="20" t="inlineStr">
        <is>
          <t>BASHEER</t>
        </is>
      </c>
      <c r="M3445" s="23" t="n">
        <v>8475</v>
      </c>
    </row>
    <row r="3446">
      <c r="A3446" s="19" t="inlineStr">
        <is>
          <t>FY26</t>
        </is>
      </c>
      <c r="B3446" s="19" t="inlineStr">
        <is>
          <t>Aug</t>
        </is>
      </c>
      <c r="C3446" s="19" t="inlineStr">
        <is>
          <t>Kerala</t>
        </is>
      </c>
      <c r="D3446" s="20" t="inlineStr">
        <is>
          <t>KL24J3606</t>
        </is>
      </c>
      <c r="E3446" s="20" t="inlineStr">
        <is>
          <t>MAHINDRA</t>
        </is>
      </c>
      <c r="F3446" s="20" t="inlineStr">
        <is>
          <t>Xuv 500</t>
        </is>
      </c>
      <c r="G3446" s="21" t="n">
        <v>2014</v>
      </c>
      <c r="H3446" s="22" t="n">
        <v>120059</v>
      </c>
      <c r="I3446" s="22" t="n">
        <v>435000</v>
      </c>
      <c r="J3446" s="20" t="inlineStr">
        <is>
          <t>LUXON TATA</t>
        </is>
      </c>
      <c r="K3446" s="20" t="inlineStr">
        <is>
          <t>Non-Captive</t>
        </is>
      </c>
      <c r="L3446" s="20" t="inlineStr">
        <is>
          <t>HAVEN MOTORS</t>
        </is>
      </c>
      <c r="M3446" s="23" t="n">
        <v>8475</v>
      </c>
    </row>
    <row r="3447">
      <c r="A3447" s="19" t="inlineStr">
        <is>
          <t>FY26</t>
        </is>
      </c>
      <c r="B3447" s="19" t="inlineStr">
        <is>
          <t>Aug</t>
        </is>
      </c>
      <c r="C3447" s="19" t="inlineStr">
        <is>
          <t>Kerala</t>
        </is>
      </c>
      <c r="D3447" s="20" t="inlineStr">
        <is>
          <t>KL25H5030</t>
        </is>
      </c>
      <c r="E3447" s="20" t="inlineStr">
        <is>
          <t>VOLKSWAGEN</t>
        </is>
      </c>
      <c r="F3447" s="20" t="inlineStr">
        <is>
          <t>Polo</t>
        </is>
      </c>
      <c r="G3447" s="21" t="n">
        <v>2015</v>
      </c>
      <c r="H3447" s="22" t="n">
        <v>98603</v>
      </c>
      <c r="I3447" s="22" t="n">
        <v>525000</v>
      </c>
      <c r="J3447" s="20" t="inlineStr">
        <is>
          <t>PPS SKODA</t>
        </is>
      </c>
      <c r="K3447" s="20" t="inlineStr">
        <is>
          <t>Non-Captive</t>
        </is>
      </c>
      <c r="L3447" s="20" t="inlineStr">
        <is>
          <t>SHAMSUDEEN</t>
        </is>
      </c>
      <c r="M3447" s="23" t="n">
        <v>8475</v>
      </c>
    </row>
    <row r="3448">
      <c r="A3448" s="19" t="inlineStr">
        <is>
          <t>FY26</t>
        </is>
      </c>
      <c r="B3448" s="19" t="inlineStr">
        <is>
          <t>Aug</t>
        </is>
      </c>
      <c r="C3448" s="19" t="inlineStr">
        <is>
          <t>Kerala</t>
        </is>
      </c>
      <c r="D3448" s="20" t="inlineStr">
        <is>
          <t>KL25P6282</t>
        </is>
      </c>
      <c r="E3448" s="20" t="inlineStr">
        <is>
          <t>TATA</t>
        </is>
      </c>
      <c r="F3448" s="20" t="inlineStr">
        <is>
          <t>Tiago</t>
        </is>
      </c>
      <c r="G3448" s="21" t="n">
        <v>2021</v>
      </c>
      <c r="H3448" s="22" t="n">
        <v>94000</v>
      </c>
      <c r="I3448" s="22" t="n">
        <v>432500</v>
      </c>
      <c r="J3448" s="20" t="inlineStr">
        <is>
          <t>INCHEON KIA</t>
        </is>
      </c>
      <c r="K3448" s="20" t="inlineStr">
        <is>
          <t>Non-Captive</t>
        </is>
      </c>
      <c r="L3448" s="20" t="inlineStr">
        <is>
          <t>RENJITH</t>
        </is>
      </c>
      <c r="M3448" s="23" t="n">
        <v>10593</v>
      </c>
    </row>
    <row r="3449">
      <c r="A3449" s="19" t="inlineStr">
        <is>
          <t>FY26</t>
        </is>
      </c>
      <c r="B3449" s="19" t="inlineStr">
        <is>
          <t>Aug</t>
        </is>
      </c>
      <c r="C3449" s="19" t="inlineStr">
        <is>
          <t>Kerala</t>
        </is>
      </c>
      <c r="D3449" s="20" t="inlineStr">
        <is>
          <t>KL07BX7854</t>
        </is>
      </c>
      <c r="E3449" s="20" t="inlineStr">
        <is>
          <t>HYUNDAI</t>
        </is>
      </c>
      <c r="F3449" s="20" t="inlineStr">
        <is>
          <t>I 10</t>
        </is>
      </c>
      <c r="G3449" s="21" t="n">
        <v>2013</v>
      </c>
      <c r="H3449" s="22" t="n">
        <v>80997</v>
      </c>
      <c r="I3449" s="22" t="n">
        <v>137500</v>
      </c>
      <c r="J3449" s="20" t="inlineStr">
        <is>
          <t>MG FORTUNE</t>
        </is>
      </c>
      <c r="K3449" s="20" t="inlineStr">
        <is>
          <t>Non-Captive</t>
        </is>
      </c>
      <c r="L3449" s="20" t="inlineStr">
        <is>
          <t>RENJITH</t>
        </is>
      </c>
      <c r="M3449" s="23" t="n">
        <v>10593</v>
      </c>
    </row>
    <row r="3450">
      <c r="A3450" s="19" t="inlineStr">
        <is>
          <t>FY26</t>
        </is>
      </c>
      <c r="B3450" s="19" t="inlineStr">
        <is>
          <t>Aug</t>
        </is>
      </c>
      <c r="C3450" s="19" t="inlineStr">
        <is>
          <t>Kerala</t>
        </is>
      </c>
      <c r="D3450" s="20" t="inlineStr">
        <is>
          <t>KL43H6054</t>
        </is>
      </c>
      <c r="E3450" s="20" t="inlineStr">
        <is>
          <t>MARUTI SUZUKI</t>
        </is>
      </c>
      <c r="F3450" s="20" t="inlineStr">
        <is>
          <t>Swift Dzire</t>
        </is>
      </c>
      <c r="G3450" s="21" t="n">
        <v>2016</v>
      </c>
      <c r="H3450" s="22" t="n">
        <v>180905</v>
      </c>
      <c r="I3450" s="22" t="n">
        <v>160000</v>
      </c>
      <c r="J3450" s="20" t="inlineStr">
        <is>
          <t>POPULAR HYUNDAI</t>
        </is>
      </c>
      <c r="K3450" s="20" t="inlineStr">
        <is>
          <t>Non-Captive</t>
        </is>
      </c>
      <c r="L3450" s="20" t="inlineStr">
        <is>
          <t>ABDUL SALAM P U</t>
        </is>
      </c>
      <c r="M3450" s="23" t="n">
        <v>8475</v>
      </c>
    </row>
    <row r="3451">
      <c r="A3451" s="19" t="inlineStr">
        <is>
          <t>FY26</t>
        </is>
      </c>
      <c r="B3451" s="19" t="inlineStr">
        <is>
          <t>Aug</t>
        </is>
      </c>
      <c r="C3451" s="19" t="inlineStr">
        <is>
          <t>Kerala</t>
        </is>
      </c>
      <c r="D3451" s="20" t="inlineStr">
        <is>
          <t>KL48G7160</t>
        </is>
      </c>
      <c r="E3451" s="20" t="inlineStr">
        <is>
          <t>MAHINDRA</t>
        </is>
      </c>
      <c r="F3451" s="20" t="inlineStr">
        <is>
          <t>Loadking</t>
        </is>
      </c>
      <c r="G3451" s="21" t="n"/>
      <c r="H3451" s="22" t="n">
        <v>160000</v>
      </c>
      <c r="I3451" s="22" t="n">
        <v>506000</v>
      </c>
      <c r="J3451" s="20" t="inlineStr">
        <is>
          <t>ALI HAPPY DRIVE</t>
        </is>
      </c>
      <c r="K3451" s="20" t="inlineStr">
        <is>
          <t>Non-Captive</t>
        </is>
      </c>
      <c r="L3451" s="20" t="inlineStr">
        <is>
          <t>Kunjumon</t>
        </is>
      </c>
      <c r="M3451" s="23" t="n">
        <v>5085</v>
      </c>
    </row>
    <row r="3452">
      <c r="A3452" s="19" t="inlineStr">
        <is>
          <t>FY26</t>
        </is>
      </c>
      <c r="B3452" s="19" t="inlineStr">
        <is>
          <t>Aug</t>
        </is>
      </c>
      <c r="C3452" s="19" t="inlineStr">
        <is>
          <t>Kerala</t>
        </is>
      </c>
      <c r="D3452" s="20" t="inlineStr">
        <is>
          <t>KL59H5931</t>
        </is>
      </c>
      <c r="E3452" s="20" t="inlineStr">
        <is>
          <t>MARUTI SUZUKI</t>
        </is>
      </c>
      <c r="F3452" s="20" t="inlineStr">
        <is>
          <t>Alto800</t>
        </is>
      </c>
      <c r="G3452" s="21" t="n">
        <v>2013</v>
      </c>
      <c r="H3452" s="22" t="n">
        <v>77000</v>
      </c>
      <c r="I3452" s="22" t="n">
        <v>140000</v>
      </c>
      <c r="J3452" s="20" t="inlineStr">
        <is>
          <t>POPULAR MARUTI</t>
        </is>
      </c>
      <c r="K3452" s="20" t="inlineStr">
        <is>
          <t>Non-Captive</t>
        </is>
      </c>
      <c r="L3452" s="20" t="inlineStr">
        <is>
          <t>KANNUR PLATINUM  DRIVE</t>
        </is>
      </c>
      <c r="M3452" s="23" t="n">
        <v>8475</v>
      </c>
    </row>
    <row r="3453">
      <c r="A3453" s="19" t="inlineStr">
        <is>
          <t>FY26</t>
        </is>
      </c>
      <c r="B3453" s="19" t="inlineStr">
        <is>
          <t>Aug</t>
        </is>
      </c>
      <c r="C3453" s="19" t="inlineStr">
        <is>
          <t>Kerala</t>
        </is>
      </c>
      <c r="D3453" s="20" t="inlineStr">
        <is>
          <t>KL13Y9322</t>
        </is>
      </c>
      <c r="E3453" s="20" t="inlineStr">
        <is>
          <t>HONDA</t>
        </is>
      </c>
      <c r="F3453" s="20" t="inlineStr">
        <is>
          <t>Brio</t>
        </is>
      </c>
      <c r="G3453" s="21" t="n">
        <v>2012</v>
      </c>
      <c r="H3453" s="22" t="n">
        <v>130000</v>
      </c>
      <c r="I3453" s="22" t="n">
        <v>150000</v>
      </c>
      <c r="J3453" s="20" t="inlineStr">
        <is>
          <t>POPULAR MARUTI</t>
        </is>
      </c>
      <c r="K3453" s="20" t="inlineStr">
        <is>
          <t>Non-Captive</t>
        </is>
      </c>
      <c r="L3453" s="20" t="inlineStr">
        <is>
          <t>Basheer P K</t>
        </is>
      </c>
      <c r="M3453" s="23" t="n">
        <v>8475</v>
      </c>
    </row>
    <row r="3454">
      <c r="A3454" s="19" t="inlineStr">
        <is>
          <t>FY26</t>
        </is>
      </c>
      <c r="B3454" s="19" t="inlineStr">
        <is>
          <t>Aug</t>
        </is>
      </c>
      <c r="C3454" s="19" t="inlineStr">
        <is>
          <t>Kerala</t>
        </is>
      </c>
      <c r="D3454" s="20" t="inlineStr">
        <is>
          <t>KL03V2573</t>
        </is>
      </c>
      <c r="E3454" s="20" t="inlineStr">
        <is>
          <t>TATA</t>
        </is>
      </c>
      <c r="F3454" s="20" t="inlineStr">
        <is>
          <t>Indica</t>
        </is>
      </c>
      <c r="G3454" s="21" t="n"/>
      <c r="H3454" s="22" t="n">
        <v>120000</v>
      </c>
      <c r="I3454" s="22" t="n">
        <v>47000</v>
      </c>
      <c r="J3454" s="20" t="inlineStr">
        <is>
          <t>EVM MG</t>
        </is>
      </c>
      <c r="K3454" s="20" t="inlineStr">
        <is>
          <t>Non-Captive</t>
        </is>
      </c>
      <c r="L3454" s="20" t="inlineStr">
        <is>
          <t>Sanoop KM</t>
        </is>
      </c>
      <c r="M3454" s="23" t="n">
        <v>5932</v>
      </c>
    </row>
    <row r="3455">
      <c r="A3455" s="19" t="inlineStr">
        <is>
          <t>FY26</t>
        </is>
      </c>
      <c r="B3455" s="19" t="inlineStr">
        <is>
          <t>Aug</t>
        </is>
      </c>
      <c r="C3455" s="19" t="inlineStr">
        <is>
          <t>Kerala</t>
        </is>
      </c>
      <c r="D3455" s="20" t="inlineStr">
        <is>
          <t>KL25A9192</t>
        </is>
      </c>
      <c r="E3455" s="20" t="inlineStr">
        <is>
          <t>HYUNDAI</t>
        </is>
      </c>
      <c r="F3455" s="20" t="inlineStr">
        <is>
          <t>Santro</t>
        </is>
      </c>
      <c r="G3455" s="21" t="n">
        <v>2010</v>
      </c>
      <c r="H3455" s="22" t="n">
        <v>85000</v>
      </c>
      <c r="I3455" s="22" t="n">
        <v>75000</v>
      </c>
      <c r="J3455" s="20" t="inlineStr">
        <is>
          <t>POPULAR MARUTI</t>
        </is>
      </c>
      <c r="K3455" s="20" t="inlineStr">
        <is>
          <t>Non-Captive</t>
        </is>
      </c>
      <c r="L3455" s="20" t="inlineStr">
        <is>
          <t>RAFEEK</t>
        </is>
      </c>
      <c r="M3455" s="23" t="n">
        <v>8475</v>
      </c>
    </row>
    <row r="3456">
      <c r="A3456" s="19" t="inlineStr">
        <is>
          <t>FY26</t>
        </is>
      </c>
      <c r="B3456" s="19" t="inlineStr">
        <is>
          <t>Aug</t>
        </is>
      </c>
      <c r="C3456" s="19" t="inlineStr">
        <is>
          <t>Kerala</t>
        </is>
      </c>
      <c r="D3456" s="20" t="inlineStr">
        <is>
          <t>KL02AL2917</t>
        </is>
      </c>
      <c r="E3456" s="20" t="inlineStr">
        <is>
          <t>MARUTI SUZUKI</t>
        </is>
      </c>
      <c r="F3456" s="20" t="inlineStr">
        <is>
          <t>Alto</t>
        </is>
      </c>
      <c r="G3456" s="21" t="n">
        <v>2012</v>
      </c>
      <c r="H3456" s="22" t="n">
        <v>84000</v>
      </c>
      <c r="I3456" s="22" t="n">
        <v>85000</v>
      </c>
      <c r="J3456" s="20" t="inlineStr">
        <is>
          <t>POPULAR MARUTI</t>
        </is>
      </c>
      <c r="K3456" s="20" t="inlineStr">
        <is>
          <t>Non-Captive</t>
        </is>
      </c>
      <c r="L3456" s="20" t="inlineStr">
        <is>
          <t>MAXXMOTORS</t>
        </is>
      </c>
      <c r="M3456" s="23" t="n">
        <v>8475</v>
      </c>
    </row>
    <row r="3457">
      <c r="A3457" s="19" t="inlineStr">
        <is>
          <t>FY26</t>
        </is>
      </c>
      <c r="B3457" s="19" t="inlineStr">
        <is>
          <t>Aug</t>
        </is>
      </c>
      <c r="C3457" s="19" t="inlineStr">
        <is>
          <t>Kerala</t>
        </is>
      </c>
      <c r="D3457" s="20" t="inlineStr">
        <is>
          <t>KL03X486</t>
        </is>
      </c>
      <c r="E3457" s="20" t="inlineStr">
        <is>
          <t>MARUTI SUZUKI</t>
        </is>
      </c>
      <c r="F3457" s="20" t="inlineStr">
        <is>
          <t>Alto</t>
        </is>
      </c>
      <c r="G3457" s="21" t="n"/>
      <c r="H3457" s="22" t="n">
        <v>91280</v>
      </c>
      <c r="I3457" s="22" t="n">
        <v>130000</v>
      </c>
      <c r="J3457" s="20" t="inlineStr">
        <is>
          <t>POPULAR MARUTI</t>
        </is>
      </c>
      <c r="K3457" s="20" t="inlineStr">
        <is>
          <t>Non-Captive</t>
        </is>
      </c>
      <c r="L3457" s="20" t="inlineStr">
        <is>
          <t>MAXXMOTORS</t>
        </is>
      </c>
      <c r="M3457" s="23" t="n">
        <v>8475</v>
      </c>
    </row>
    <row r="3458">
      <c r="A3458" s="19" t="inlineStr">
        <is>
          <t>FY26</t>
        </is>
      </c>
      <c r="B3458" s="19" t="inlineStr">
        <is>
          <t>Aug</t>
        </is>
      </c>
      <c r="C3458" s="19" t="inlineStr">
        <is>
          <t>Kerala</t>
        </is>
      </c>
      <c r="D3458" s="20" t="inlineStr">
        <is>
          <t>KL24K7093</t>
        </is>
      </c>
      <c r="E3458" s="20" t="inlineStr">
        <is>
          <t>MARUTI SUZUKI</t>
        </is>
      </c>
      <c r="F3458" s="20" t="inlineStr">
        <is>
          <t>Alto</t>
        </is>
      </c>
      <c r="G3458" s="21" t="n">
        <v>2015</v>
      </c>
      <c r="H3458" s="22" t="n">
        <v>59400</v>
      </c>
      <c r="I3458" s="22" t="n">
        <v>160000</v>
      </c>
      <c r="J3458" s="20" t="inlineStr">
        <is>
          <t>ANJEL MOTORS</t>
        </is>
      </c>
      <c r="K3458" s="20" t="inlineStr">
        <is>
          <t>Non-Captive</t>
        </is>
      </c>
      <c r="L3458" s="20" t="inlineStr">
        <is>
          <t>ABHISHEK</t>
        </is>
      </c>
      <c r="M3458" s="23" t="n">
        <v>8475</v>
      </c>
    </row>
    <row r="3459">
      <c r="A3459" s="19" t="inlineStr">
        <is>
          <t>FY26</t>
        </is>
      </c>
      <c r="B3459" s="19" t="inlineStr">
        <is>
          <t>Aug</t>
        </is>
      </c>
      <c r="C3459" s="19" t="inlineStr">
        <is>
          <t>Kerala</t>
        </is>
      </c>
      <c r="D3459" s="20" t="inlineStr">
        <is>
          <t>KL02AG4106</t>
        </is>
      </c>
      <c r="E3459" s="20" t="inlineStr">
        <is>
          <t>TATA</t>
        </is>
      </c>
      <c r="F3459" s="20" t="inlineStr">
        <is>
          <t>Ingigo</t>
        </is>
      </c>
      <c r="G3459" s="21" t="n">
        <v>2011</v>
      </c>
      <c r="H3459" s="22" t="n">
        <v>240000</v>
      </c>
      <c r="I3459" s="22" t="n">
        <v>55000</v>
      </c>
      <c r="J3459" s="20" t="inlineStr">
        <is>
          <t>PPS SKODA</t>
        </is>
      </c>
      <c r="K3459" s="20" t="inlineStr">
        <is>
          <t>Non-Captive</t>
        </is>
      </c>
      <c r="L3459" s="20" t="inlineStr">
        <is>
          <t>Shahar T</t>
        </is>
      </c>
      <c r="M3459" s="23" t="n">
        <v>4237</v>
      </c>
    </row>
    <row r="3460">
      <c r="A3460" s="19" t="inlineStr">
        <is>
          <t>FY26</t>
        </is>
      </c>
      <c r="B3460" s="19" t="inlineStr">
        <is>
          <t>Aug</t>
        </is>
      </c>
      <c r="C3460" s="19" t="inlineStr">
        <is>
          <t>Kerala</t>
        </is>
      </c>
      <c r="D3460" s="20" t="inlineStr">
        <is>
          <t>KL02BS0310</t>
        </is>
      </c>
      <c r="E3460" s="20" t="inlineStr">
        <is>
          <t>RENAULT</t>
        </is>
      </c>
      <c r="F3460" s="20" t="inlineStr">
        <is>
          <t>Kiger</t>
        </is>
      </c>
      <c r="G3460" s="21" t="n">
        <v>2022</v>
      </c>
      <c r="H3460" s="22" t="n">
        <v>36182</v>
      </c>
      <c r="I3460" s="22" t="n">
        <v>410000</v>
      </c>
      <c r="J3460" s="20" t="inlineStr">
        <is>
          <t>KESHVIN HYUNDAI</t>
        </is>
      </c>
      <c r="K3460" s="20" t="inlineStr">
        <is>
          <t>Non-Captive</t>
        </is>
      </c>
      <c r="L3460" s="20" t="inlineStr">
        <is>
          <t>ABDUL KAHAR</t>
        </is>
      </c>
      <c r="M3460" s="23" t="n">
        <v>8475</v>
      </c>
    </row>
    <row r="3461">
      <c r="A3461" s="19" t="inlineStr">
        <is>
          <t>FY26</t>
        </is>
      </c>
      <c r="B3461" s="19" t="inlineStr">
        <is>
          <t>Aug</t>
        </is>
      </c>
      <c r="C3461" s="19" t="inlineStr">
        <is>
          <t>Kerala</t>
        </is>
      </c>
      <c r="D3461" s="20" t="inlineStr">
        <is>
          <t>KL07CT8772</t>
        </is>
      </c>
      <c r="E3461" s="20" t="inlineStr">
        <is>
          <t>HYUNDAI</t>
        </is>
      </c>
      <c r="F3461" s="20" t="inlineStr">
        <is>
          <t>Venue</t>
        </is>
      </c>
      <c r="G3461" s="21" t="n">
        <v>2020</v>
      </c>
      <c r="H3461" s="22" t="n">
        <v>51216</v>
      </c>
      <c r="I3461" s="22" t="n">
        <v>405000</v>
      </c>
      <c r="J3461" s="20" t="inlineStr">
        <is>
          <t>EVM NISSAN</t>
        </is>
      </c>
      <c r="K3461" s="20" t="inlineStr">
        <is>
          <t>Non-Captive</t>
        </is>
      </c>
      <c r="L3461" s="20" t="inlineStr">
        <is>
          <t>ABDUL KAHAR</t>
        </is>
      </c>
      <c r="M3461" s="23" t="n">
        <v>12712</v>
      </c>
    </row>
    <row r="3462">
      <c r="A3462" s="19" t="inlineStr">
        <is>
          <t>FY26</t>
        </is>
      </c>
      <c r="B3462" s="19" t="inlineStr">
        <is>
          <t>Aug</t>
        </is>
      </c>
      <c r="C3462" s="19" t="inlineStr">
        <is>
          <t>Kerala</t>
        </is>
      </c>
      <c r="D3462" s="20" t="inlineStr">
        <is>
          <t>KL14AA2527</t>
        </is>
      </c>
      <c r="E3462" s="20" t="inlineStr">
        <is>
          <t>TOYOTA</t>
        </is>
      </c>
      <c r="F3462" s="20" t="inlineStr">
        <is>
          <t>Etios</t>
        </is>
      </c>
      <c r="G3462" s="21" t="n">
        <v>2011</v>
      </c>
      <c r="H3462" s="22" t="n">
        <v>74000</v>
      </c>
      <c r="I3462" s="22" t="n">
        <v>185000</v>
      </c>
      <c r="J3462" s="20" t="inlineStr">
        <is>
          <t>KVR TATA</t>
        </is>
      </c>
      <c r="K3462" s="20" t="inlineStr">
        <is>
          <t>Non-Captive</t>
        </is>
      </c>
      <c r="L3462" s="20" t="inlineStr">
        <is>
          <t>KANNUR PLATINUM DRIVE</t>
        </is>
      </c>
      <c r="M3462" s="23" t="n">
        <v>4237</v>
      </c>
    </row>
    <row r="3463">
      <c r="A3463" s="19" t="inlineStr">
        <is>
          <t>FY26</t>
        </is>
      </c>
      <c r="B3463" s="19" t="inlineStr">
        <is>
          <t>Aug</t>
        </is>
      </c>
      <c r="C3463" s="19" t="inlineStr">
        <is>
          <t>Kerala</t>
        </is>
      </c>
      <c r="D3463" s="20" t="inlineStr">
        <is>
          <t>KL13AR9509</t>
        </is>
      </c>
      <c r="E3463" s="20" t="inlineStr">
        <is>
          <t>TATA</t>
        </is>
      </c>
      <c r="F3463" s="20" t="inlineStr">
        <is>
          <t>Nexon</t>
        </is>
      </c>
      <c r="G3463" s="21" t="n">
        <v>2020</v>
      </c>
      <c r="H3463" s="22" t="n">
        <v>69000</v>
      </c>
      <c r="I3463" s="22" t="n">
        <v>587000</v>
      </c>
      <c r="J3463" s="20" t="inlineStr">
        <is>
          <t>KVR TATA</t>
        </is>
      </c>
      <c r="K3463" s="20" t="inlineStr">
        <is>
          <t>Non-Captive</t>
        </is>
      </c>
      <c r="L3463" s="20" t="inlineStr">
        <is>
          <t>KANNUR PLATINUM DRIVE</t>
        </is>
      </c>
      <c r="M3463" s="23" t="n">
        <v>5932</v>
      </c>
    </row>
    <row r="3464">
      <c r="A3464" s="19" t="inlineStr">
        <is>
          <t>FY26</t>
        </is>
      </c>
      <c r="B3464" s="19" t="inlineStr">
        <is>
          <t>Aug</t>
        </is>
      </c>
      <c r="C3464" s="19" t="inlineStr">
        <is>
          <t>Kerala</t>
        </is>
      </c>
      <c r="D3464" s="20" t="inlineStr">
        <is>
          <t>KL40Q0223</t>
        </is>
      </c>
      <c r="E3464" s="20" t="inlineStr">
        <is>
          <t>MARUTI SUZUKI</t>
        </is>
      </c>
      <c r="F3464" s="20" t="inlineStr">
        <is>
          <t>S-Cross</t>
        </is>
      </c>
      <c r="G3464" s="21" t="n">
        <v>2018</v>
      </c>
      <c r="H3464" s="22" t="n">
        <v>148866</v>
      </c>
      <c r="I3464" s="22" t="n">
        <v>385000</v>
      </c>
      <c r="J3464" s="20" t="inlineStr">
        <is>
          <t>ABDUL SALAM P U</t>
        </is>
      </c>
      <c r="K3464" s="20" t="inlineStr">
        <is>
          <t>Non-Captive</t>
        </is>
      </c>
      <c r="L3464" s="20" t="inlineStr">
        <is>
          <t>HUSSAIN O E</t>
        </is>
      </c>
      <c r="M3464" s="23" t="n">
        <v>8475</v>
      </c>
    </row>
    <row r="3465">
      <c r="A3465" s="19" t="inlineStr">
        <is>
          <t>FY27</t>
        </is>
      </c>
      <c r="B3465" s="19" t="inlineStr">
        <is>
          <t>Aug</t>
        </is>
      </c>
      <c r="C3465" s="19" t="inlineStr">
        <is>
          <t>TN</t>
        </is>
      </c>
      <c r="D3465" s="20" t="inlineStr">
        <is>
          <t>TN07BV5080</t>
        </is>
      </c>
      <c r="E3465" s="20" t="inlineStr">
        <is>
          <t>TOYOTA</t>
        </is>
      </c>
      <c r="F3465" s="20" t="inlineStr">
        <is>
          <t>Etios</t>
        </is>
      </c>
      <c r="G3465" s="21" t="n">
        <v>2013</v>
      </c>
      <c r="H3465" s="22" t="n">
        <v>163667</v>
      </c>
      <c r="I3465" s="22" t="n">
        <v>330000</v>
      </c>
      <c r="J3465" s="20" t="inlineStr">
        <is>
          <t>EXCHANGE CHENNAI</t>
        </is>
      </c>
      <c r="K3465" s="20" t="inlineStr">
        <is>
          <t>Captive</t>
        </is>
      </c>
      <c r="L3465" s="20" t="inlineStr"/>
      <c r="M3465" s="23" t="n">
        <v>8474.58</v>
      </c>
    </row>
    <row r="3466">
      <c r="A3466" s="19" t="inlineStr">
        <is>
          <t>FY27</t>
        </is>
      </c>
      <c r="B3466" s="19" t="inlineStr">
        <is>
          <t>Aug</t>
        </is>
      </c>
      <c r="C3466" s="19" t="inlineStr">
        <is>
          <t>TN</t>
        </is>
      </c>
      <c r="D3466" s="20" t="inlineStr">
        <is>
          <t>TN03CZ6435</t>
        </is>
      </c>
      <c r="E3466" s="20" t="inlineStr">
        <is>
          <t>HONDA</t>
        </is>
      </c>
      <c r="F3466" s="20" t="inlineStr">
        <is>
          <t>City</t>
        </is>
      </c>
      <c r="G3466" s="21" t="n">
        <v>2019</v>
      </c>
      <c r="H3466" s="22" t="n">
        <v>109620</v>
      </c>
      <c r="I3466" s="22" t="n">
        <v>450000</v>
      </c>
      <c r="J3466" s="20" t="inlineStr"/>
      <c r="K3466" s="20" t="inlineStr">
        <is>
          <t>Non-Captive</t>
        </is>
      </c>
      <c r="L3466" s="20" t="inlineStr"/>
      <c r="M3466" s="23" t="n">
        <v>8474.58</v>
      </c>
    </row>
    <row r="3467">
      <c r="A3467" s="19" t="inlineStr">
        <is>
          <t>FY27</t>
        </is>
      </c>
      <c r="B3467" s="19" t="inlineStr">
        <is>
          <t>Aug</t>
        </is>
      </c>
      <c r="C3467" s="19" t="inlineStr">
        <is>
          <t>TN</t>
        </is>
      </c>
      <c r="D3467" s="20" t="inlineStr">
        <is>
          <t>TN07F2304</t>
        </is>
      </c>
      <c r="E3467" s="20" t="inlineStr">
        <is>
          <t>MARUTI SUZUKI</t>
        </is>
      </c>
      <c r="F3467" s="20" t="inlineStr">
        <is>
          <t>Esteem</t>
        </is>
      </c>
      <c r="G3467" s="21" t="n">
        <v>1996</v>
      </c>
      <c r="H3467" s="22" t="n"/>
      <c r="I3467" s="22" t="n">
        <v>10000</v>
      </c>
      <c r="J3467" s="20" t="inlineStr"/>
      <c r="K3467" s="20" t="inlineStr">
        <is>
          <t>Non-Captive</t>
        </is>
      </c>
      <c r="L3467" s="20" t="inlineStr"/>
      <c r="M3467" s="23" t="n">
        <v>4237.29</v>
      </c>
    </row>
    <row r="3468">
      <c r="A3468" s="19" t="inlineStr">
        <is>
          <t>FY27</t>
        </is>
      </c>
      <c r="B3468" s="19" t="inlineStr">
        <is>
          <t>Aug</t>
        </is>
      </c>
      <c r="C3468" s="19" t="inlineStr">
        <is>
          <t>TN</t>
        </is>
      </c>
      <c r="D3468" s="20" t="inlineStr">
        <is>
          <t>TN09CB1171</t>
        </is>
      </c>
      <c r="E3468" s="20" t="inlineStr">
        <is>
          <t>HONDA</t>
        </is>
      </c>
      <c r="F3468" s="20" t="inlineStr">
        <is>
          <t>Amaze</t>
        </is>
      </c>
      <c r="G3468" s="21" t="n">
        <v>2015</v>
      </c>
      <c r="H3468" s="22" t="n">
        <v>46271</v>
      </c>
      <c r="I3468" s="22" t="n">
        <v>300000</v>
      </c>
      <c r="J3468" s="20" t="inlineStr">
        <is>
          <t>EXCHANGE CHENNAI</t>
        </is>
      </c>
      <c r="K3468" s="20" t="inlineStr">
        <is>
          <t>Captive</t>
        </is>
      </c>
      <c r="L3468" s="20" t="inlineStr">
        <is>
          <t>Superior Cars</t>
        </is>
      </c>
      <c r="M3468" s="23" t="n">
        <v>8474.58</v>
      </c>
    </row>
    <row r="3469">
      <c r="A3469" s="19" t="inlineStr">
        <is>
          <t>FY27</t>
        </is>
      </c>
      <c r="B3469" s="19" t="inlineStr">
        <is>
          <t>Aug</t>
        </is>
      </c>
      <c r="C3469" s="19" t="inlineStr">
        <is>
          <t>TN</t>
        </is>
      </c>
      <c r="D3469" s="20" t="inlineStr">
        <is>
          <t>TN09CQ7333</t>
        </is>
      </c>
      <c r="E3469" s="20" t="inlineStr">
        <is>
          <t>MARUTI SUZUKI</t>
        </is>
      </c>
      <c r="F3469" s="20" t="inlineStr">
        <is>
          <t>Baleno</t>
        </is>
      </c>
      <c r="G3469" s="21" t="n">
        <v>2018</v>
      </c>
      <c r="H3469" s="22" t="n">
        <v>52659</v>
      </c>
      <c r="I3469" s="22" t="n">
        <v>485000</v>
      </c>
      <c r="J3469" s="20" t="inlineStr">
        <is>
          <t>EXCHANGE CHENNAI</t>
        </is>
      </c>
      <c r="K3469" s="20" t="inlineStr">
        <is>
          <t>Captive</t>
        </is>
      </c>
      <c r="L3469" s="20" t="inlineStr">
        <is>
          <t>SAFIYA TRADERS</t>
        </is>
      </c>
      <c r="M3469" s="23" t="n">
        <v>8474.58</v>
      </c>
    </row>
    <row r="3470">
      <c r="A3470" s="19" t="inlineStr">
        <is>
          <t>FY27</t>
        </is>
      </c>
      <c r="B3470" s="19" t="inlineStr">
        <is>
          <t>Aug</t>
        </is>
      </c>
      <c r="C3470" s="19" t="inlineStr">
        <is>
          <t>TN</t>
        </is>
      </c>
      <c r="D3470" s="20" t="inlineStr">
        <is>
          <t>TN06T9864</t>
        </is>
      </c>
      <c r="E3470" s="20" t="inlineStr">
        <is>
          <t>HYUNDAI</t>
        </is>
      </c>
      <c r="F3470" s="20" t="inlineStr">
        <is>
          <t>Xcent</t>
        </is>
      </c>
      <c r="G3470" s="21" t="n">
        <v>2017</v>
      </c>
      <c r="H3470" s="22" t="n">
        <v>53209</v>
      </c>
      <c r="I3470" s="22" t="n">
        <v>325000</v>
      </c>
      <c r="J3470" s="20" t="inlineStr">
        <is>
          <t>EXCHANGE CHENNAI</t>
        </is>
      </c>
      <c r="K3470" s="20" t="inlineStr">
        <is>
          <t>Captive</t>
        </is>
      </c>
      <c r="L3470" s="20" t="inlineStr"/>
      <c r="M3470" s="23" t="n">
        <v>8474.58</v>
      </c>
    </row>
    <row r="3471">
      <c r="A3471" s="19" t="inlineStr">
        <is>
          <t>FY27</t>
        </is>
      </c>
      <c r="B3471" s="19" t="inlineStr">
        <is>
          <t>Aug</t>
        </is>
      </c>
      <c r="C3471" s="19" t="inlineStr">
        <is>
          <t>TN</t>
        </is>
      </c>
      <c r="D3471" s="20" t="inlineStr">
        <is>
          <t>TN09CD2182</t>
        </is>
      </c>
      <c r="E3471" s="20" t="inlineStr">
        <is>
          <t>HONDA</t>
        </is>
      </c>
      <c r="F3471" s="20" t="inlineStr">
        <is>
          <t>Amaze</t>
        </is>
      </c>
      <c r="G3471" s="21" t="n">
        <v>2016</v>
      </c>
      <c r="H3471" s="22" t="n">
        <v>51416</v>
      </c>
      <c r="I3471" s="22" t="n">
        <v>380000</v>
      </c>
      <c r="J3471" s="20" t="inlineStr">
        <is>
          <t>EXCHANGE CHENNAI</t>
        </is>
      </c>
      <c r="K3471" s="20" t="inlineStr">
        <is>
          <t>Captive</t>
        </is>
      </c>
      <c r="L3471" s="20" t="inlineStr"/>
      <c r="M3471" s="23" t="n">
        <v>8474.58</v>
      </c>
    </row>
    <row r="3472">
      <c r="A3472" s="19" t="inlineStr">
        <is>
          <t>FY27</t>
        </is>
      </c>
      <c r="B3472" s="19" t="inlineStr">
        <is>
          <t>Aug</t>
        </is>
      </c>
      <c r="C3472" s="19" t="inlineStr">
        <is>
          <t>TN</t>
        </is>
      </c>
      <c r="D3472" s="20" t="inlineStr">
        <is>
          <t>TN09CT0866</t>
        </is>
      </c>
      <c r="E3472" s="20" t="inlineStr">
        <is>
          <t>HONDA</t>
        </is>
      </c>
      <c r="F3472" s="20" t="inlineStr">
        <is>
          <t>City</t>
        </is>
      </c>
      <c r="G3472" s="21" t="n">
        <v>2019</v>
      </c>
      <c r="H3472" s="22" t="n">
        <v>81436</v>
      </c>
      <c r="I3472" s="22" t="n">
        <v>580000</v>
      </c>
      <c r="J3472" s="20" t="inlineStr">
        <is>
          <t>EXCHANGE CHENNAI</t>
        </is>
      </c>
      <c r="K3472" s="20" t="inlineStr">
        <is>
          <t>Captive</t>
        </is>
      </c>
      <c r="L3472" s="20" t="inlineStr">
        <is>
          <t>VARSHA CARS</t>
        </is>
      </c>
      <c r="M3472" s="23" t="n">
        <v>8474.58</v>
      </c>
    </row>
    <row r="3473">
      <c r="A3473" s="19" t="inlineStr">
        <is>
          <t>FY27</t>
        </is>
      </c>
      <c r="B3473" s="19" t="inlineStr">
        <is>
          <t>Aug</t>
        </is>
      </c>
      <c r="C3473" s="19" t="inlineStr">
        <is>
          <t>TN</t>
        </is>
      </c>
      <c r="D3473" s="20" t="inlineStr">
        <is>
          <t>TN09CP9851</t>
        </is>
      </c>
      <c r="E3473" s="20" t="inlineStr">
        <is>
          <t>HYUNDAI</t>
        </is>
      </c>
      <c r="F3473" s="20" t="inlineStr">
        <is>
          <t>Verna</t>
        </is>
      </c>
      <c r="G3473" s="21" t="n">
        <v>2018</v>
      </c>
      <c r="H3473" s="22" t="n">
        <v>52042</v>
      </c>
      <c r="I3473" s="22" t="n">
        <v>510000</v>
      </c>
      <c r="J3473" s="20" t="inlineStr">
        <is>
          <t>EXCHANGE CHENNAI</t>
        </is>
      </c>
      <c r="K3473" s="20" t="inlineStr">
        <is>
          <t>Captive</t>
        </is>
      </c>
      <c r="L3473" s="20" t="inlineStr">
        <is>
          <t>DEEPIKA TRADERS</t>
        </is>
      </c>
      <c r="M3473" s="23" t="n">
        <v>8474.58</v>
      </c>
    </row>
    <row r="3474">
      <c r="A3474" s="19" t="inlineStr">
        <is>
          <t>FY27</t>
        </is>
      </c>
      <c r="B3474" s="19" t="inlineStr">
        <is>
          <t>Aug</t>
        </is>
      </c>
      <c r="C3474" s="19" t="inlineStr">
        <is>
          <t>TN</t>
        </is>
      </c>
      <c r="D3474" s="20" t="inlineStr">
        <is>
          <t>TN07CQ2597</t>
        </is>
      </c>
      <c r="E3474" s="20" t="inlineStr">
        <is>
          <t>MARUTI SUZUKI</t>
        </is>
      </c>
      <c r="F3474" s="20" t="inlineStr">
        <is>
          <t>Swift</t>
        </is>
      </c>
      <c r="G3474" s="21" t="n">
        <v>2018</v>
      </c>
      <c r="H3474" s="22" t="n">
        <v>86647</v>
      </c>
      <c r="I3474" s="22" t="n">
        <v>450000</v>
      </c>
      <c r="J3474" s="20" t="inlineStr">
        <is>
          <t>EXCHANGE CHENNAI</t>
        </is>
      </c>
      <c r="K3474" s="20" t="inlineStr">
        <is>
          <t>Captive</t>
        </is>
      </c>
      <c r="L3474" s="20" t="inlineStr">
        <is>
          <t>Murali Cars</t>
        </is>
      </c>
      <c r="M3474" s="23" t="n">
        <v>8474.58</v>
      </c>
    </row>
    <row r="3475">
      <c r="A3475" s="19" t="inlineStr">
        <is>
          <t>FY27</t>
        </is>
      </c>
      <c r="B3475" s="19" t="inlineStr">
        <is>
          <t>Aug</t>
        </is>
      </c>
      <c r="C3475" s="19" t="inlineStr">
        <is>
          <t>TN</t>
        </is>
      </c>
      <c r="D3475" s="20" t="inlineStr">
        <is>
          <t>TN09CA1793</t>
        </is>
      </c>
      <c r="E3475" s="20" t="inlineStr">
        <is>
          <t>HONDA</t>
        </is>
      </c>
      <c r="F3475" s="20" t="inlineStr">
        <is>
          <t>Amaze</t>
        </is>
      </c>
      <c r="G3475" s="21" t="n">
        <v>2015</v>
      </c>
      <c r="H3475" s="22" t="n">
        <v>26203</v>
      </c>
      <c r="I3475" s="22" t="n">
        <v>300000</v>
      </c>
      <c r="J3475" s="20" t="inlineStr">
        <is>
          <t>EXCHANGE CHENNAI</t>
        </is>
      </c>
      <c r="K3475" s="20" t="inlineStr">
        <is>
          <t>Captive</t>
        </is>
      </c>
      <c r="L3475" s="20" t="inlineStr">
        <is>
          <t>SHENBAGAMOORTHI CARS</t>
        </is>
      </c>
      <c r="M3475" s="23" t="n">
        <v>8474.58</v>
      </c>
    </row>
    <row r="3476">
      <c r="A3476" s="19" t="inlineStr">
        <is>
          <t>FY27</t>
        </is>
      </c>
      <c r="B3476" s="19" t="inlineStr">
        <is>
          <t>Aug</t>
        </is>
      </c>
      <c r="C3476" s="19" t="inlineStr">
        <is>
          <t>TN</t>
        </is>
      </c>
      <c r="D3476" s="20" t="inlineStr">
        <is>
          <t>TN13D7355</t>
        </is>
      </c>
      <c r="E3476" s="20" t="inlineStr">
        <is>
          <t>HONDA</t>
        </is>
      </c>
      <c r="F3476" s="20" t="inlineStr">
        <is>
          <t>Jazz</t>
        </is>
      </c>
      <c r="G3476" s="21" t="n">
        <v>2015</v>
      </c>
      <c r="H3476" s="22" t="n">
        <v>112419</v>
      </c>
      <c r="I3476" s="22" t="n">
        <v>290000</v>
      </c>
      <c r="J3476" s="20" t="inlineStr">
        <is>
          <t>EXCHANGE CHENNAI</t>
        </is>
      </c>
      <c r="K3476" s="20" t="inlineStr">
        <is>
          <t>Captive</t>
        </is>
      </c>
      <c r="L3476" s="20" t="inlineStr"/>
      <c r="M3476" s="23" t="n">
        <v>8474.58</v>
      </c>
    </row>
    <row r="3477">
      <c r="A3477" s="19" t="inlineStr">
        <is>
          <t>FY27</t>
        </is>
      </c>
      <c r="B3477" s="19" t="inlineStr">
        <is>
          <t>Aug</t>
        </is>
      </c>
      <c r="C3477" s="19" t="inlineStr">
        <is>
          <t>TN</t>
        </is>
      </c>
      <c r="D3477" s="20" t="inlineStr">
        <is>
          <t>TN10AV8930</t>
        </is>
      </c>
      <c r="E3477" s="20" t="inlineStr">
        <is>
          <t>HONDA</t>
        </is>
      </c>
      <c r="F3477" s="20" t="inlineStr">
        <is>
          <t>City</t>
        </is>
      </c>
      <c r="G3477" s="21" t="n">
        <v>2016</v>
      </c>
      <c r="H3477" s="22" t="n">
        <v>91513</v>
      </c>
      <c r="I3477" s="22" t="n">
        <v>498000</v>
      </c>
      <c r="J3477" s="20" t="inlineStr"/>
      <c r="K3477" s="20" t="inlineStr">
        <is>
          <t>Non-Captive</t>
        </is>
      </c>
      <c r="L3477" s="20" t="inlineStr"/>
      <c r="M3477" s="23" t="n">
        <v>10169.49</v>
      </c>
    </row>
    <row r="3478">
      <c r="A3478" s="19" t="inlineStr">
        <is>
          <t>FY27</t>
        </is>
      </c>
      <c r="B3478" s="19" t="inlineStr">
        <is>
          <t>Aug</t>
        </is>
      </c>
      <c r="C3478" s="19" t="inlineStr">
        <is>
          <t>TN</t>
        </is>
      </c>
      <c r="D3478" s="20" t="inlineStr">
        <is>
          <t>TN04AS8181</t>
        </is>
      </c>
      <c r="E3478" s="20" t="inlineStr">
        <is>
          <t>HONDA</t>
        </is>
      </c>
      <c r="F3478" s="20" t="inlineStr">
        <is>
          <t>City</t>
        </is>
      </c>
      <c r="G3478" s="21" t="n">
        <v>2017</v>
      </c>
      <c r="H3478" s="22" t="n">
        <v>74247</v>
      </c>
      <c r="I3478" s="22" t="n">
        <v>525000</v>
      </c>
      <c r="J3478" s="20" t="inlineStr"/>
      <c r="K3478" s="20" t="inlineStr">
        <is>
          <t>Non-Captive</t>
        </is>
      </c>
      <c r="L3478" s="20" t="inlineStr"/>
      <c r="M3478" s="23" t="n">
        <v>8474.58</v>
      </c>
    </row>
    <row r="3479">
      <c r="A3479" s="19" t="inlineStr">
        <is>
          <t>FY27</t>
        </is>
      </c>
      <c r="B3479" s="19" t="inlineStr">
        <is>
          <t>Aug</t>
        </is>
      </c>
      <c r="C3479" s="19" t="inlineStr">
        <is>
          <t>TN</t>
        </is>
      </c>
      <c r="D3479" s="20" t="inlineStr">
        <is>
          <t>TN09BE0056</t>
        </is>
      </c>
      <c r="E3479" s="20" t="inlineStr">
        <is>
          <t>TOYOTA</t>
        </is>
      </c>
      <c r="F3479" s="20" t="inlineStr">
        <is>
          <t>Corolla</t>
        </is>
      </c>
      <c r="G3479" s="21" t="n">
        <v>2010</v>
      </c>
      <c r="H3479" s="22" t="n">
        <v>138308</v>
      </c>
      <c r="I3479" s="22" t="n">
        <v>170000</v>
      </c>
      <c r="J3479" s="20" t="inlineStr">
        <is>
          <t>EXCHANGE CHENNAI</t>
        </is>
      </c>
      <c r="K3479" s="20" t="inlineStr">
        <is>
          <t>Captive</t>
        </is>
      </c>
      <c r="L3479" s="20" t="inlineStr">
        <is>
          <t>Murali Cars</t>
        </is>
      </c>
      <c r="M3479" s="23" t="n">
        <v>8474.58</v>
      </c>
    </row>
    <row r="3480">
      <c r="A3480" s="19" t="inlineStr">
        <is>
          <t>FY27</t>
        </is>
      </c>
      <c r="B3480" s="19" t="inlineStr">
        <is>
          <t>Aug</t>
        </is>
      </c>
      <c r="C3480" s="19" t="inlineStr">
        <is>
          <t>TN</t>
        </is>
      </c>
      <c r="D3480" s="20" t="inlineStr">
        <is>
          <t>TN09CX7233</t>
        </is>
      </c>
      <c r="E3480" s="20" t="inlineStr">
        <is>
          <t>MARUTI SUZUKI</t>
        </is>
      </c>
      <c r="F3480" s="20" t="inlineStr">
        <is>
          <t>Breeza</t>
        </is>
      </c>
      <c r="G3480" s="21" t="n">
        <v>2021</v>
      </c>
      <c r="H3480" s="22" t="n">
        <v>81456</v>
      </c>
      <c r="I3480" s="22" t="n">
        <v>560000</v>
      </c>
      <c r="J3480" s="20" t="inlineStr">
        <is>
          <t>EXCHANGE CHENNAI</t>
        </is>
      </c>
      <c r="K3480" s="20" t="inlineStr">
        <is>
          <t>Captive</t>
        </is>
      </c>
      <c r="L3480" s="20" t="inlineStr">
        <is>
          <t>DEEPIKA TRADERS</t>
        </is>
      </c>
      <c r="M3480" s="23" t="n">
        <v>8474.58</v>
      </c>
    </row>
    <row r="3481">
      <c r="A3481" s="19" t="inlineStr">
        <is>
          <t>FY27</t>
        </is>
      </c>
      <c r="B3481" s="19" t="inlineStr">
        <is>
          <t>Aug</t>
        </is>
      </c>
      <c r="C3481" s="19" t="inlineStr">
        <is>
          <t>TN</t>
        </is>
      </c>
      <c r="D3481" s="20" t="inlineStr">
        <is>
          <t>TN59AH7445</t>
        </is>
      </c>
      <c r="E3481" s="20" t="inlineStr">
        <is>
          <t>HYUNDAI</t>
        </is>
      </c>
      <c r="F3481" s="20" t="inlineStr">
        <is>
          <t>Santro</t>
        </is>
      </c>
      <c r="G3481" s="21" t="n">
        <v>2008</v>
      </c>
      <c r="H3481" s="22" t="n">
        <v>156458</v>
      </c>
      <c r="I3481" s="22" t="n">
        <v>85000</v>
      </c>
      <c r="J3481" s="20" t="inlineStr">
        <is>
          <t>EXCHANGE ROTN</t>
        </is>
      </c>
      <c r="K3481" s="20" t="inlineStr">
        <is>
          <t>Captive</t>
        </is>
      </c>
      <c r="L3481" s="20" t="inlineStr">
        <is>
          <t>MAK CARS</t>
        </is>
      </c>
      <c r="M3481" s="23" t="n">
        <v>4237.29</v>
      </c>
    </row>
    <row r="3482">
      <c r="A3482" s="19" t="inlineStr">
        <is>
          <t>FY27</t>
        </is>
      </c>
      <c r="B3482" s="19" t="inlineStr">
        <is>
          <t>Aug</t>
        </is>
      </c>
      <c r="C3482" s="19" t="inlineStr">
        <is>
          <t>TN</t>
        </is>
      </c>
      <c r="D3482" s="20" t="inlineStr">
        <is>
          <t>TN77E1399</t>
        </is>
      </c>
      <c r="E3482" s="20" t="inlineStr">
        <is>
          <t>HONDA</t>
        </is>
      </c>
      <c r="F3482" s="20" t="inlineStr">
        <is>
          <t>Amaze</t>
        </is>
      </c>
      <c r="G3482" s="21" t="n">
        <v>2014</v>
      </c>
      <c r="H3482" s="22" t="n">
        <v>297067</v>
      </c>
      <c r="I3482" s="22" t="n">
        <v>230000</v>
      </c>
      <c r="J3482" s="20" t="inlineStr">
        <is>
          <t>EXCHANGE ROTN</t>
        </is>
      </c>
      <c r="K3482" s="20" t="inlineStr">
        <is>
          <t>Captive</t>
        </is>
      </c>
      <c r="L3482" s="20" t="inlineStr">
        <is>
          <t>Hasini Cars</t>
        </is>
      </c>
      <c r="M3482" s="23" t="n">
        <v>4237.29</v>
      </c>
    </row>
    <row r="3483">
      <c r="A3483" s="19" t="inlineStr">
        <is>
          <t>FY27</t>
        </is>
      </c>
      <c r="B3483" s="19" t="inlineStr">
        <is>
          <t>Aug</t>
        </is>
      </c>
      <c r="C3483" s="19" t="inlineStr">
        <is>
          <t>TN</t>
        </is>
      </c>
      <c r="D3483" s="20" t="inlineStr">
        <is>
          <t>TN39CF6999</t>
        </is>
      </c>
      <c r="E3483" s="20" t="inlineStr">
        <is>
          <t>HONDA</t>
        </is>
      </c>
      <c r="F3483" s="20" t="inlineStr">
        <is>
          <t>Amaze</t>
        </is>
      </c>
      <c r="G3483" s="21" t="n">
        <v>2018</v>
      </c>
      <c r="H3483" s="22" t="n">
        <v>96565</v>
      </c>
      <c r="I3483" s="22" t="n">
        <v>275000</v>
      </c>
      <c r="J3483" s="20" t="inlineStr">
        <is>
          <t>EXCHANGE ROTN</t>
        </is>
      </c>
      <c r="K3483" s="20" t="inlineStr">
        <is>
          <t>Captive</t>
        </is>
      </c>
      <c r="L3483" s="20" t="inlineStr">
        <is>
          <t>Chanakya Cars</t>
        </is>
      </c>
      <c r="M3483" s="23" t="n">
        <v>8474.58</v>
      </c>
    </row>
    <row r="3484">
      <c r="A3484" s="19" t="inlineStr">
        <is>
          <t>FY27</t>
        </is>
      </c>
      <c r="B3484" s="19" t="inlineStr">
        <is>
          <t>Aug</t>
        </is>
      </c>
      <c r="C3484" s="19" t="inlineStr">
        <is>
          <t>TN</t>
        </is>
      </c>
      <c r="D3484" s="20" t="inlineStr">
        <is>
          <t>TN42AJ6241</t>
        </is>
      </c>
      <c r="E3484" s="20" t="inlineStr">
        <is>
          <t>HONDA</t>
        </is>
      </c>
      <c r="F3484" s="20" t="inlineStr">
        <is>
          <t>Amaze</t>
        </is>
      </c>
      <c r="G3484" s="21" t="n">
        <v>2022</v>
      </c>
      <c r="H3484" s="22" t="n">
        <v>54422</v>
      </c>
      <c r="I3484" s="22" t="n">
        <v>475000</v>
      </c>
      <c r="J3484" s="20" t="inlineStr">
        <is>
          <t>EXCHANGE ROTN</t>
        </is>
      </c>
      <c r="K3484" s="20" t="inlineStr">
        <is>
          <t>Captive</t>
        </is>
      </c>
      <c r="L3484" s="20" t="inlineStr">
        <is>
          <t>Chanakya Cars</t>
        </is>
      </c>
      <c r="M3484" s="23" t="n">
        <v>8474.58</v>
      </c>
    </row>
    <row r="3485">
      <c r="A3485" s="19" t="inlineStr">
        <is>
          <t>FY27</t>
        </is>
      </c>
      <c r="B3485" s="19" t="inlineStr">
        <is>
          <t>Aug</t>
        </is>
      </c>
      <c r="C3485" s="19" t="inlineStr">
        <is>
          <t>TN</t>
        </is>
      </c>
      <c r="D3485" s="20" t="inlineStr">
        <is>
          <t>TN66A1051</t>
        </is>
      </c>
      <c r="E3485" s="20" t="inlineStr">
        <is>
          <t>MARUTI SUZUKI</t>
        </is>
      </c>
      <c r="F3485" s="20" t="inlineStr">
        <is>
          <t>Ritz</t>
        </is>
      </c>
      <c r="G3485" s="21" t="n">
        <v>2009</v>
      </c>
      <c r="H3485" s="22" t="n">
        <v>135197</v>
      </c>
      <c r="I3485" s="22" t="n">
        <v>175000</v>
      </c>
      <c r="J3485" s="20" t="inlineStr">
        <is>
          <t>EXCHANGE ROTN</t>
        </is>
      </c>
      <c r="K3485" s="20" t="inlineStr">
        <is>
          <t>Captive</t>
        </is>
      </c>
      <c r="L3485" s="20" t="inlineStr"/>
      <c r="M3485" s="23" t="n">
        <v>4237.29</v>
      </c>
    </row>
    <row r="3486">
      <c r="A3486" s="19" t="inlineStr">
        <is>
          <t>FY27</t>
        </is>
      </c>
      <c r="B3486" s="19" t="inlineStr">
        <is>
          <t>Aug</t>
        </is>
      </c>
      <c r="C3486" s="19" t="inlineStr">
        <is>
          <t>TN</t>
        </is>
      </c>
      <c r="D3486" s="20" t="inlineStr">
        <is>
          <t>TN03K2179</t>
        </is>
      </c>
      <c r="E3486" s="20" t="inlineStr">
        <is>
          <t>MARUTI SUZUKI</t>
        </is>
      </c>
      <c r="F3486" s="20" t="inlineStr">
        <is>
          <t>Alto</t>
        </is>
      </c>
      <c r="G3486" s="21" t="n">
        <v>2012</v>
      </c>
      <c r="H3486" s="22" t="n">
        <v>55255</v>
      </c>
      <c r="I3486" s="22" t="n">
        <v>180000</v>
      </c>
      <c r="J3486" s="20" t="inlineStr"/>
      <c r="K3486" s="20" t="inlineStr">
        <is>
          <t>Non-Captive</t>
        </is>
      </c>
      <c r="L3486" s="20" t="inlineStr">
        <is>
          <t>DEERAA CARS</t>
        </is>
      </c>
      <c r="M3486" s="23" t="n">
        <v>4237.29</v>
      </c>
    </row>
    <row r="3487">
      <c r="A3487" s="19" t="inlineStr">
        <is>
          <t>FY27</t>
        </is>
      </c>
      <c r="B3487" s="19" t="inlineStr">
        <is>
          <t>Aug</t>
        </is>
      </c>
      <c r="C3487" s="19" t="inlineStr">
        <is>
          <t>TN</t>
        </is>
      </c>
      <c r="D3487" s="20" t="inlineStr">
        <is>
          <t>TN39AX5166</t>
        </is>
      </c>
      <c r="E3487" s="20" t="inlineStr">
        <is>
          <t>TATA</t>
        </is>
      </c>
      <c r="F3487" s="20" t="inlineStr">
        <is>
          <t>Manza</t>
        </is>
      </c>
      <c r="G3487" s="21" t="n">
        <v>2010</v>
      </c>
      <c r="H3487" s="22" t="n">
        <v>223246</v>
      </c>
      <c r="I3487" s="22" t="n">
        <v>90000</v>
      </c>
      <c r="J3487" s="20" t="inlineStr">
        <is>
          <t>S M CAR PRIVATE LIMITED</t>
        </is>
      </c>
      <c r="K3487" s="20" t="inlineStr">
        <is>
          <t>Non-Captive</t>
        </is>
      </c>
      <c r="L3487" s="20" t="inlineStr">
        <is>
          <t>Chanakya Cars</t>
        </is>
      </c>
      <c r="M3487" s="23" t="n">
        <v>4237.29</v>
      </c>
    </row>
    <row r="3488">
      <c r="A3488" s="19" t="inlineStr">
        <is>
          <t>FY27</t>
        </is>
      </c>
      <c r="B3488" s="19" t="inlineStr">
        <is>
          <t>Aug</t>
        </is>
      </c>
      <c r="C3488" s="19" t="inlineStr">
        <is>
          <t>TN</t>
        </is>
      </c>
      <c r="D3488" s="20" t="inlineStr">
        <is>
          <t>TN23BH9586</t>
        </is>
      </c>
      <c r="E3488" s="20" t="inlineStr">
        <is>
          <t>FORD</t>
        </is>
      </c>
      <c r="F3488" s="20" t="inlineStr">
        <is>
          <t>Figo</t>
        </is>
      </c>
      <c r="G3488" s="21" t="n">
        <v>2014</v>
      </c>
      <c r="H3488" s="22" t="n">
        <v>140090</v>
      </c>
      <c r="I3488" s="22" t="n">
        <v>110000</v>
      </c>
      <c r="J3488" s="20" t="inlineStr">
        <is>
          <t>S M CAR PRIVATE LIMITED</t>
        </is>
      </c>
      <c r="K3488" s="20" t="inlineStr">
        <is>
          <t>Non-Captive</t>
        </is>
      </c>
      <c r="L3488" s="20" t="inlineStr">
        <is>
          <t>Murali Cars</t>
        </is>
      </c>
      <c r="M3488" s="23" t="n">
        <v>4237.29</v>
      </c>
    </row>
    <row r="3489">
      <c r="A3489" s="19" t="inlineStr">
        <is>
          <t>FY27</t>
        </is>
      </c>
      <c r="B3489" s="19" t="inlineStr">
        <is>
          <t>Aug</t>
        </is>
      </c>
      <c r="C3489" s="19" t="inlineStr">
        <is>
          <t>TN</t>
        </is>
      </c>
      <c r="D3489" s="20" t="inlineStr">
        <is>
          <t>TN30AH6633</t>
        </is>
      </c>
      <c r="E3489" s="20" t="inlineStr">
        <is>
          <t>FIAT</t>
        </is>
      </c>
      <c r="F3489" s="20" t="inlineStr">
        <is>
          <t>Linea</t>
        </is>
      </c>
      <c r="G3489" s="21" t="n">
        <v>2010</v>
      </c>
      <c r="H3489" s="22" t="n">
        <v>144905</v>
      </c>
      <c r="I3489" s="22" t="n">
        <v>90000</v>
      </c>
      <c r="J3489" s="20" t="inlineStr">
        <is>
          <t>S M CAR PRIVATE LIMITED</t>
        </is>
      </c>
      <c r="K3489" s="20" t="inlineStr">
        <is>
          <t>Non-Captive</t>
        </is>
      </c>
      <c r="L3489" s="20" t="inlineStr">
        <is>
          <t>CAR VAULT</t>
        </is>
      </c>
      <c r="M3489" s="23" t="n">
        <v>4237.29</v>
      </c>
    </row>
    <row r="3490">
      <c r="A3490" s="19" t="inlineStr">
        <is>
          <t>FY27</t>
        </is>
      </c>
      <c r="B3490" s="19" t="inlineStr">
        <is>
          <t>Aug</t>
        </is>
      </c>
      <c r="C3490" s="19" t="inlineStr">
        <is>
          <t>TN</t>
        </is>
      </c>
      <c r="D3490" s="20" t="inlineStr">
        <is>
          <t>TN55U8822</t>
        </is>
      </c>
      <c r="E3490" s="20" t="inlineStr">
        <is>
          <t>TATA</t>
        </is>
      </c>
      <c r="F3490" s="20" t="inlineStr">
        <is>
          <t>Vista</t>
        </is>
      </c>
      <c r="G3490" s="21" t="n">
        <v>2010</v>
      </c>
      <c r="H3490" s="22" t="n">
        <v>150297</v>
      </c>
      <c r="I3490" s="22" t="n">
        <v>80000</v>
      </c>
      <c r="J3490" s="20" t="inlineStr">
        <is>
          <t>SGA MOTORS INDIA PRIVATE LIMITED</t>
        </is>
      </c>
      <c r="K3490" s="20" t="inlineStr">
        <is>
          <t>Non-Captive</t>
        </is>
      </c>
      <c r="L3490" s="20" t="inlineStr">
        <is>
          <t>AAA CARS</t>
        </is>
      </c>
      <c r="M3490" s="23" t="n">
        <v>4237.29</v>
      </c>
    </row>
    <row r="3491">
      <c r="A3491" s="19" t="inlineStr">
        <is>
          <t>FY27</t>
        </is>
      </c>
      <c r="B3491" s="19" t="inlineStr">
        <is>
          <t>Aug</t>
        </is>
      </c>
      <c r="C3491" s="19" t="inlineStr">
        <is>
          <t>TN</t>
        </is>
      </c>
      <c r="D3491" s="20" t="inlineStr">
        <is>
          <t>TN02BK8408</t>
        </is>
      </c>
      <c r="E3491" s="20" t="inlineStr">
        <is>
          <t>HONDA</t>
        </is>
      </c>
      <c r="F3491" s="20" t="inlineStr">
        <is>
          <t>City</t>
        </is>
      </c>
      <c r="G3491" s="21" t="n">
        <v>2017</v>
      </c>
      <c r="H3491" s="22" t="n">
        <v>131510</v>
      </c>
      <c r="I3491" s="22" t="n">
        <v>490000</v>
      </c>
      <c r="J3491" s="20" t="inlineStr">
        <is>
          <t>EXCHANGE ROTN</t>
        </is>
      </c>
      <c r="K3491" s="20" t="inlineStr">
        <is>
          <t>Captive</t>
        </is>
      </c>
      <c r="L3491" s="20" t="inlineStr"/>
      <c r="M3491" s="23" t="n">
        <v>8474.58</v>
      </c>
    </row>
    <row r="3492">
      <c r="A3492" s="19" t="inlineStr">
        <is>
          <t>FY27</t>
        </is>
      </c>
      <c r="B3492" s="19" t="inlineStr">
        <is>
          <t>Aug</t>
        </is>
      </c>
      <c r="C3492" s="19" t="inlineStr">
        <is>
          <t>TN</t>
        </is>
      </c>
      <c r="D3492" s="20" t="inlineStr">
        <is>
          <t>TN30F6465</t>
        </is>
      </c>
      <c r="E3492" s="20" t="inlineStr">
        <is>
          <t>MARUTI SUZUKI</t>
        </is>
      </c>
      <c r="F3492" s="20" t="inlineStr">
        <is>
          <t>Alto</t>
        </is>
      </c>
      <c r="G3492" s="21" t="n">
        <v>2004</v>
      </c>
      <c r="H3492" s="22" t="n">
        <v>69209</v>
      </c>
      <c r="I3492" s="22" t="n">
        <v>60000</v>
      </c>
      <c r="J3492" s="20" t="inlineStr">
        <is>
          <t>S M CAR PRIVATE LIMITED</t>
        </is>
      </c>
      <c r="K3492" s="20" t="inlineStr">
        <is>
          <t>Non-Captive</t>
        </is>
      </c>
      <c r="L3492" s="20" t="inlineStr"/>
      <c r="M3492" s="23" t="n">
        <v>4237.29</v>
      </c>
    </row>
    <row r="3493">
      <c r="A3493" s="19" t="inlineStr">
        <is>
          <t>FY27</t>
        </is>
      </c>
      <c r="B3493" s="19" t="inlineStr">
        <is>
          <t>Aug</t>
        </is>
      </c>
      <c r="C3493" s="19" t="inlineStr">
        <is>
          <t>TN</t>
        </is>
      </c>
      <c r="D3493" s="20" t="inlineStr">
        <is>
          <t>TN28AM3832</t>
        </is>
      </c>
      <c r="E3493" s="20" t="inlineStr">
        <is>
          <t>TATA</t>
        </is>
      </c>
      <c r="F3493" s="20" t="inlineStr">
        <is>
          <t>Indica</t>
        </is>
      </c>
      <c r="G3493" s="21" t="n">
        <v>2012</v>
      </c>
      <c r="H3493" s="22" t="n">
        <v>318011</v>
      </c>
      <c r="I3493" s="22" t="n">
        <v>75000</v>
      </c>
      <c r="J3493" s="20" t="inlineStr">
        <is>
          <t>S M CAR PRIVATE LIMITED</t>
        </is>
      </c>
      <c r="K3493" s="20" t="inlineStr">
        <is>
          <t>Non-Captive</t>
        </is>
      </c>
      <c r="L3493" s="20" t="inlineStr">
        <is>
          <t>AAA CARS</t>
        </is>
      </c>
      <c r="M3493" s="23" t="n">
        <v>4237.29</v>
      </c>
    </row>
    <row r="3494">
      <c r="A3494" s="19" t="inlineStr">
        <is>
          <t>FY27</t>
        </is>
      </c>
      <c r="B3494" s="19" t="inlineStr">
        <is>
          <t>Aug</t>
        </is>
      </c>
      <c r="C3494" s="19" t="inlineStr">
        <is>
          <t>TN</t>
        </is>
      </c>
      <c r="D3494" s="20" t="inlineStr">
        <is>
          <t>TN10AD7381</t>
        </is>
      </c>
      <c r="E3494" s="20" t="inlineStr">
        <is>
          <t>HYUNDAI</t>
        </is>
      </c>
      <c r="F3494" s="20" t="inlineStr">
        <is>
          <t>I 20</t>
        </is>
      </c>
      <c r="G3494" s="21" t="n">
        <v>2011</v>
      </c>
      <c r="H3494" s="22" t="n">
        <v>170142</v>
      </c>
      <c r="I3494" s="22" t="n">
        <v>95000</v>
      </c>
      <c r="J3494" s="20" t="inlineStr">
        <is>
          <t>SGA MOTORS INDIA PRIVATE LIMITED</t>
        </is>
      </c>
      <c r="K3494" s="20" t="inlineStr">
        <is>
          <t>Non-Captive</t>
        </is>
      </c>
      <c r="L3494" s="20" t="inlineStr">
        <is>
          <t>A A CARS</t>
        </is>
      </c>
      <c r="M3494" s="23" t="n">
        <v>4237.29</v>
      </c>
    </row>
    <row r="3495">
      <c r="A3495" s="19" t="inlineStr">
        <is>
          <t>FY27</t>
        </is>
      </c>
      <c r="B3495" s="19" t="inlineStr">
        <is>
          <t>Aug</t>
        </is>
      </c>
      <c r="C3495" s="19" t="inlineStr">
        <is>
          <t>TN</t>
        </is>
      </c>
      <c r="D3495" s="20" t="inlineStr">
        <is>
          <t>TN13T5653</t>
        </is>
      </c>
      <c r="E3495" s="20" t="inlineStr">
        <is>
          <t>MARUTI SUZUKI</t>
        </is>
      </c>
      <c r="F3495" s="20" t="inlineStr">
        <is>
          <t>Xl6</t>
        </is>
      </c>
      <c r="G3495" s="21" t="n">
        <v>2019</v>
      </c>
      <c r="H3495" s="22" t="n">
        <v>171595</v>
      </c>
      <c r="I3495" s="22" t="n">
        <v>530000</v>
      </c>
      <c r="J3495" s="20" t="inlineStr">
        <is>
          <t>CASTLE TRADERS Maruti</t>
        </is>
      </c>
      <c r="K3495" s="20" t="inlineStr">
        <is>
          <t>Non-Captive</t>
        </is>
      </c>
      <c r="L3495" s="20" t="inlineStr">
        <is>
          <t>AS CARS</t>
        </is>
      </c>
      <c r="M3495" s="23" t="n">
        <v>8474.58</v>
      </c>
    </row>
    <row r="3496">
      <c r="A3496" s="19" t="inlineStr">
        <is>
          <t>FY27</t>
        </is>
      </c>
      <c r="B3496" s="19" t="inlineStr">
        <is>
          <t>Aug</t>
        </is>
      </c>
      <c r="C3496" s="19" t="inlineStr">
        <is>
          <t>TN</t>
        </is>
      </c>
      <c r="D3496" s="20" t="inlineStr">
        <is>
          <t>TN13T0193</t>
        </is>
      </c>
      <c r="E3496" s="20" t="inlineStr">
        <is>
          <t>MARUTI SUZUKI</t>
        </is>
      </c>
      <c r="F3496" s="20" t="inlineStr">
        <is>
          <t>Spresso</t>
        </is>
      </c>
      <c r="G3496" s="21" t="n">
        <v>2019</v>
      </c>
      <c r="H3496" s="22" t="n">
        <v>113132</v>
      </c>
      <c r="I3496" s="22" t="n">
        <v>250000</v>
      </c>
      <c r="J3496" s="20" t="inlineStr">
        <is>
          <t>CASTLE TRADERS Maruti</t>
        </is>
      </c>
      <c r="K3496" s="20" t="inlineStr">
        <is>
          <t>Non-Captive</t>
        </is>
      </c>
      <c r="L3496" s="20" t="inlineStr">
        <is>
          <t>AAA CARS</t>
        </is>
      </c>
      <c r="M3496" s="23" t="n">
        <v>6355.93</v>
      </c>
    </row>
    <row r="3497">
      <c r="A3497" s="19" t="inlineStr">
        <is>
          <t>FY27</t>
        </is>
      </c>
      <c r="B3497" s="19" t="inlineStr">
        <is>
          <t>Aug</t>
        </is>
      </c>
      <c r="C3497" s="19" t="inlineStr">
        <is>
          <t>TN</t>
        </is>
      </c>
      <c r="D3497" s="20" t="inlineStr">
        <is>
          <t>TN09BL0645</t>
        </is>
      </c>
      <c r="E3497" s="20" t="inlineStr">
        <is>
          <t>HYUNDAI</t>
        </is>
      </c>
      <c r="F3497" s="20" t="inlineStr">
        <is>
          <t>I10</t>
        </is>
      </c>
      <c r="G3497" s="21" t="n">
        <v>2011</v>
      </c>
      <c r="H3497" s="22" t="n">
        <v>78082</v>
      </c>
      <c r="I3497" s="22" t="n">
        <v>96000</v>
      </c>
      <c r="J3497" s="20" t="inlineStr">
        <is>
          <t>PRODUCTIVITY ELEMENTS PRIVATE LIMITED</t>
        </is>
      </c>
      <c r="K3497" s="20" t="inlineStr">
        <is>
          <t>Non-Captive</t>
        </is>
      </c>
      <c r="L3497" s="20" t="inlineStr">
        <is>
          <t>NIRMAL CARS</t>
        </is>
      </c>
      <c r="M3497" s="23" t="n">
        <v>4237.29</v>
      </c>
    </row>
    <row r="3498">
      <c r="A3498" s="19" t="inlineStr">
        <is>
          <t>FY27</t>
        </is>
      </c>
      <c r="B3498" s="19" t="inlineStr">
        <is>
          <t>Aug</t>
        </is>
      </c>
      <c r="C3498" s="19" t="inlineStr">
        <is>
          <t>TN</t>
        </is>
      </c>
      <c r="D3498" s="20" t="inlineStr">
        <is>
          <t>TN09BD0256</t>
        </is>
      </c>
      <c r="E3498" s="20" t="inlineStr">
        <is>
          <t>TOYOTA</t>
        </is>
      </c>
      <c r="F3498" s="20" t="inlineStr">
        <is>
          <t>Corolla</t>
        </is>
      </c>
      <c r="G3498" s="21" t="n">
        <v>2010</v>
      </c>
      <c r="H3498" s="22" t="n">
        <v>193995</v>
      </c>
      <c r="I3498" s="22" t="n">
        <v>88000</v>
      </c>
      <c r="J3498" s="20" t="inlineStr">
        <is>
          <t>VISHNU CARS PRIVATE LIMITED</t>
        </is>
      </c>
      <c r="K3498" s="20" t="inlineStr">
        <is>
          <t>Non-Captive</t>
        </is>
      </c>
      <c r="L3498" s="20" t="inlineStr">
        <is>
          <t>GRID 33</t>
        </is>
      </c>
      <c r="M3498" s="23" t="n">
        <v>4237.29</v>
      </c>
    </row>
    <row r="3499">
      <c r="A3499" s="19" t="inlineStr">
        <is>
          <t>FY27</t>
        </is>
      </c>
      <c r="B3499" s="19" t="inlineStr">
        <is>
          <t>Aug</t>
        </is>
      </c>
      <c r="C3499" s="19" t="inlineStr">
        <is>
          <t>TN</t>
        </is>
      </c>
      <c r="D3499" s="20" t="inlineStr">
        <is>
          <t>TN07DE1765</t>
        </is>
      </c>
      <c r="E3499" s="20" t="inlineStr">
        <is>
          <t>HYUNDAI</t>
        </is>
      </c>
      <c r="F3499" s="20" t="inlineStr">
        <is>
          <t>I10</t>
        </is>
      </c>
      <c r="G3499" s="21" t="n">
        <v>2009</v>
      </c>
      <c r="H3499" s="22" t="n">
        <v>95762</v>
      </c>
      <c r="I3499" s="22" t="n">
        <v>198000</v>
      </c>
      <c r="J3499" s="20" t="inlineStr">
        <is>
          <t>PRODUCTIVITY ELEMENTS PRIVATE LIMITED</t>
        </is>
      </c>
      <c r="K3499" s="20" t="inlineStr">
        <is>
          <t>Non-Captive</t>
        </is>
      </c>
      <c r="L3499" s="20" t="inlineStr">
        <is>
          <t>Ram Manohar</t>
        </is>
      </c>
      <c r="M3499" s="23" t="n">
        <v>5932.2</v>
      </c>
    </row>
    <row r="3500">
      <c r="A3500" s="19" t="inlineStr">
        <is>
          <t>FY27</t>
        </is>
      </c>
      <c r="B3500" s="19" t="inlineStr">
        <is>
          <t>Aug</t>
        </is>
      </c>
      <c r="C3500" s="19" t="inlineStr">
        <is>
          <t>TN</t>
        </is>
      </c>
      <c r="D3500" s="20" t="inlineStr">
        <is>
          <t>TN02AJ5990</t>
        </is>
      </c>
      <c r="E3500" s="20" t="inlineStr">
        <is>
          <t>HONDA</t>
        </is>
      </c>
      <c r="F3500" s="20" t="inlineStr">
        <is>
          <t>City</t>
        </is>
      </c>
      <c r="G3500" s="21" t="n">
        <v>2009</v>
      </c>
      <c r="H3500" s="22" t="n">
        <v>90110</v>
      </c>
      <c r="I3500" s="22" t="n">
        <v>97000</v>
      </c>
      <c r="J3500" s="20" t="inlineStr">
        <is>
          <t>CAR HUB</t>
        </is>
      </c>
      <c r="K3500" s="20" t="inlineStr">
        <is>
          <t>Non-Captive</t>
        </is>
      </c>
      <c r="L3500" s="20" t="inlineStr">
        <is>
          <t>Thiya Cars</t>
        </is>
      </c>
      <c r="M3500" s="23" t="n">
        <v>4237.29</v>
      </c>
    </row>
    <row r="3501">
      <c r="A3501" s="19" t="inlineStr">
        <is>
          <t>FY27</t>
        </is>
      </c>
      <c r="B3501" s="19" t="inlineStr">
        <is>
          <t>Aug</t>
        </is>
      </c>
      <c r="C3501" s="19" t="inlineStr">
        <is>
          <t>TN</t>
        </is>
      </c>
      <c r="D3501" s="20" t="inlineStr">
        <is>
          <t>TN20AL2791</t>
        </is>
      </c>
      <c r="E3501" s="20" t="inlineStr">
        <is>
          <t>MARUTI SUZUKI</t>
        </is>
      </c>
      <c r="F3501" s="20" t="inlineStr">
        <is>
          <t>Alto</t>
        </is>
      </c>
      <c r="G3501" s="21" t="n">
        <v>2008</v>
      </c>
      <c r="H3501" s="22" t="n">
        <v>18292</v>
      </c>
      <c r="I3501" s="22" t="n">
        <v>96000</v>
      </c>
      <c r="J3501" s="20" t="inlineStr">
        <is>
          <t>PRODUCTIVITY ELEMENTS PRIVATE LIMITED</t>
        </is>
      </c>
      <c r="K3501" s="20" t="inlineStr">
        <is>
          <t>Non-Captive</t>
        </is>
      </c>
      <c r="L3501" s="20" t="inlineStr">
        <is>
          <t>Harsha Cars Porur</t>
        </is>
      </c>
      <c r="M3501" s="23" t="n">
        <v>4237.29</v>
      </c>
    </row>
    <row r="3502">
      <c r="A3502" s="19" t="inlineStr">
        <is>
          <t>FY27</t>
        </is>
      </c>
      <c r="B3502" s="19" t="inlineStr">
        <is>
          <t>Aug</t>
        </is>
      </c>
      <c r="C3502" s="19" t="inlineStr">
        <is>
          <t>TN</t>
        </is>
      </c>
      <c r="D3502" s="20" t="inlineStr">
        <is>
          <t>TN22AS7896</t>
        </is>
      </c>
      <c r="E3502" s="20" t="inlineStr">
        <is>
          <t>MARUTI SUZUKI</t>
        </is>
      </c>
      <c r="F3502" s="20" t="inlineStr">
        <is>
          <t>Wagonr</t>
        </is>
      </c>
      <c r="G3502" s="21" t="n">
        <v>2006</v>
      </c>
      <c r="H3502" s="22" t="n">
        <v>123337</v>
      </c>
      <c r="I3502" s="22" t="n">
        <v>188000</v>
      </c>
      <c r="J3502" s="20" t="inlineStr">
        <is>
          <t>Shree Thiya cars</t>
        </is>
      </c>
      <c r="K3502" s="20" t="inlineStr">
        <is>
          <t>Non-Captive</t>
        </is>
      </c>
      <c r="L3502" s="20" t="inlineStr">
        <is>
          <t>SRI KARUPPAIYA CARS</t>
        </is>
      </c>
      <c r="M3502" s="23" t="n">
        <v>5084.75</v>
      </c>
    </row>
    <row r="3503">
      <c r="A3503" s="19" t="inlineStr">
        <is>
          <t>FY27</t>
        </is>
      </c>
      <c r="B3503" s="19" t="inlineStr">
        <is>
          <t>Aug</t>
        </is>
      </c>
      <c r="C3503" s="19" t="inlineStr">
        <is>
          <t>TN</t>
        </is>
      </c>
      <c r="D3503" s="20" t="inlineStr">
        <is>
          <t>TN143594</t>
        </is>
      </c>
      <c r="E3503" s="20" t="inlineStr">
        <is>
          <t>CHEVROLET</t>
        </is>
      </c>
      <c r="F3503" s="20" t="inlineStr">
        <is>
          <t>Beat</t>
        </is>
      </c>
      <c r="G3503" s="21" t="n">
        <v>2014</v>
      </c>
      <c r="H3503" s="22" t="n">
        <v>93860</v>
      </c>
      <c r="I3503" s="22" t="n">
        <v>96000</v>
      </c>
      <c r="J3503" s="20" t="inlineStr">
        <is>
          <t>CASTLE TRADERS Maruti</t>
        </is>
      </c>
      <c r="K3503" s="20" t="inlineStr">
        <is>
          <t>Non-Captive</t>
        </is>
      </c>
      <c r="L3503" s="20" t="inlineStr">
        <is>
          <t>Harsha Cars Porur</t>
        </is>
      </c>
      <c r="M3503" s="23" t="n">
        <v>4237.29</v>
      </c>
    </row>
    <row r="3504">
      <c r="A3504" s="19" t="inlineStr">
        <is>
          <t>FY27</t>
        </is>
      </c>
      <c r="B3504" s="19" t="inlineStr">
        <is>
          <t>Aug</t>
        </is>
      </c>
      <c r="C3504" s="19" t="inlineStr">
        <is>
          <t>TN</t>
        </is>
      </c>
      <c r="D3504" s="20" t="inlineStr">
        <is>
          <t>TN02AJ8859</t>
        </is>
      </c>
      <c r="E3504" s="20" t="inlineStr">
        <is>
          <t>HYUNDAI</t>
        </is>
      </c>
      <c r="F3504" s="20" t="inlineStr">
        <is>
          <t>I10</t>
        </is>
      </c>
      <c r="G3504" s="21" t="n">
        <v>2009</v>
      </c>
      <c r="H3504" s="22" t="n">
        <v>85869</v>
      </c>
      <c r="I3504" s="22" t="n">
        <v>98000</v>
      </c>
      <c r="J3504" s="20" t="inlineStr">
        <is>
          <t>PEEYESYEM HK MOTORS LLP</t>
        </is>
      </c>
      <c r="K3504" s="20" t="inlineStr">
        <is>
          <t>Non-Captive</t>
        </is>
      </c>
      <c r="L3504" s="20" t="inlineStr">
        <is>
          <t>Value Drive Tech</t>
        </is>
      </c>
      <c r="M3504" s="23" t="n">
        <v>4237.29</v>
      </c>
    </row>
    <row r="3505">
      <c r="A3505" s="19" t="inlineStr">
        <is>
          <t>FY27</t>
        </is>
      </c>
      <c r="B3505" s="19" t="inlineStr">
        <is>
          <t>Aug</t>
        </is>
      </c>
      <c r="C3505" s="19" t="inlineStr">
        <is>
          <t>TN</t>
        </is>
      </c>
      <c r="D3505" s="20" t="inlineStr">
        <is>
          <t>TN13L2010</t>
        </is>
      </c>
      <c r="E3505" s="20" t="inlineStr">
        <is>
          <t>MARUTI SUZUKI</t>
        </is>
      </c>
      <c r="F3505" s="20" t="inlineStr">
        <is>
          <t>Cargo</t>
        </is>
      </c>
      <c r="G3505" s="21" t="n">
        <v>2017</v>
      </c>
      <c r="H3505" s="22" t="n">
        <v>99999</v>
      </c>
      <c r="I3505" s="22" t="n">
        <v>122000</v>
      </c>
      <c r="J3505" s="20" t="inlineStr">
        <is>
          <t>CASTLE TRADERS Maruti</t>
        </is>
      </c>
      <c r="K3505" s="20" t="inlineStr">
        <is>
          <t>Non-Captive</t>
        </is>
      </c>
      <c r="L3505" s="20" t="inlineStr">
        <is>
          <t>Hasini Cars</t>
        </is>
      </c>
      <c r="M3505" s="23" t="n">
        <v>5084.75</v>
      </c>
    </row>
    <row r="3506">
      <c r="A3506" s="19" t="inlineStr">
        <is>
          <t>FY27</t>
        </is>
      </c>
      <c r="B3506" s="19" t="inlineStr">
        <is>
          <t>Aug</t>
        </is>
      </c>
      <c r="C3506" s="19" t="inlineStr">
        <is>
          <t>TN</t>
        </is>
      </c>
      <c r="D3506" s="20" t="inlineStr">
        <is>
          <t>TN10BR5317</t>
        </is>
      </c>
      <c r="E3506" s="20" t="inlineStr">
        <is>
          <t>MARUTI SUZUKI</t>
        </is>
      </c>
      <c r="F3506" s="20" t="inlineStr">
        <is>
          <t>Celerio</t>
        </is>
      </c>
      <c r="G3506" s="21" t="n">
        <v>2022</v>
      </c>
      <c r="H3506" s="22" t="n">
        <v>112342</v>
      </c>
      <c r="I3506" s="22" t="n">
        <v>386500</v>
      </c>
      <c r="J3506" s="20" t="inlineStr">
        <is>
          <t>NIRMAL</t>
        </is>
      </c>
      <c r="K3506" s="20" t="inlineStr">
        <is>
          <t>Non-Captive</t>
        </is>
      </c>
      <c r="L3506" s="20" t="inlineStr">
        <is>
          <t>Value Drive Tech</t>
        </is>
      </c>
      <c r="M3506" s="23" t="n">
        <v>6355.93</v>
      </c>
    </row>
    <row r="3507">
      <c r="A3507" s="19" t="inlineStr">
        <is>
          <t>FY27</t>
        </is>
      </c>
      <c r="B3507" s="19" t="inlineStr">
        <is>
          <t>Aug</t>
        </is>
      </c>
      <c r="C3507" s="19" t="inlineStr">
        <is>
          <t>TN</t>
        </is>
      </c>
      <c r="D3507" s="20" t="inlineStr">
        <is>
          <t>TN37CJ9726</t>
        </is>
      </c>
      <c r="E3507" s="20" t="inlineStr">
        <is>
          <t>HONDA</t>
        </is>
      </c>
      <c r="F3507" s="20" t="inlineStr">
        <is>
          <t>Brio</t>
        </is>
      </c>
      <c r="G3507" s="21" t="n">
        <v>2014</v>
      </c>
      <c r="H3507" s="22" t="n">
        <v>141857</v>
      </c>
      <c r="I3507" s="22" t="n">
        <v>220000</v>
      </c>
      <c r="J3507" s="20" t="inlineStr">
        <is>
          <t>SREE SARADHAMBAL AUTOMOBILES PRIVATE LIMITED</t>
        </is>
      </c>
      <c r="K3507" s="20" t="inlineStr">
        <is>
          <t>Non-Captive</t>
        </is>
      </c>
      <c r="L3507" s="20" t="inlineStr">
        <is>
          <t>Ulavan Enterprises</t>
        </is>
      </c>
      <c r="M3507" s="23" t="n">
        <v>8474.58</v>
      </c>
    </row>
    <row r="3508">
      <c r="A3508" s="19" t="inlineStr">
        <is>
          <t>FY27</t>
        </is>
      </c>
      <c r="B3508" s="19" t="inlineStr">
        <is>
          <t>Aug</t>
        </is>
      </c>
      <c r="C3508" s="19" t="inlineStr">
        <is>
          <t>TN</t>
        </is>
      </c>
      <c r="D3508" s="20" t="inlineStr">
        <is>
          <t>TN38BY3964</t>
        </is>
      </c>
      <c r="E3508" s="20" t="inlineStr">
        <is>
          <t>MARUTI SUZUKI</t>
        </is>
      </c>
      <c r="F3508" s="20" t="inlineStr">
        <is>
          <t>Alto 800</t>
        </is>
      </c>
      <c r="G3508" s="21" t="n">
        <v>2014</v>
      </c>
      <c r="H3508" s="22" t="n">
        <v>83437</v>
      </c>
      <c r="I3508" s="22" t="n">
        <v>200000</v>
      </c>
      <c r="J3508" s="20" t="inlineStr">
        <is>
          <t>SREE SARADHAMBAL AUTOMOBILES PRIVATE LIMITED</t>
        </is>
      </c>
      <c r="K3508" s="20" t="inlineStr">
        <is>
          <t>Non-Captive</t>
        </is>
      </c>
      <c r="L3508" s="20" t="inlineStr">
        <is>
          <t>Ulavan Enterprises</t>
        </is>
      </c>
      <c r="M3508" s="23" t="n">
        <v>5932.2</v>
      </c>
    </row>
    <row r="3509">
      <c r="A3509" s="19" t="inlineStr">
        <is>
          <t>FY27</t>
        </is>
      </c>
      <c r="B3509" s="19" t="inlineStr">
        <is>
          <t>Aug</t>
        </is>
      </c>
      <c r="C3509" s="19" t="inlineStr">
        <is>
          <t>TN</t>
        </is>
      </c>
      <c r="D3509" s="20" t="inlineStr">
        <is>
          <t>TN20BT0714</t>
        </is>
      </c>
      <c r="E3509" s="20" t="inlineStr">
        <is>
          <t>MARUTI SUZUKI</t>
        </is>
      </c>
      <c r="F3509" s="20" t="inlineStr">
        <is>
          <t>Astar</t>
        </is>
      </c>
      <c r="G3509" s="21" t="n">
        <v>2010</v>
      </c>
      <c r="H3509" s="22" t="n">
        <v>109362</v>
      </c>
      <c r="I3509" s="22" t="n">
        <v>112000</v>
      </c>
      <c r="J3509" s="20" t="inlineStr">
        <is>
          <t>CASTLE TRADERS Maruti</t>
        </is>
      </c>
      <c r="K3509" s="20" t="inlineStr">
        <is>
          <t>Non-Captive</t>
        </is>
      </c>
      <c r="L3509" s="20" t="inlineStr">
        <is>
          <t>AS CARS</t>
        </is>
      </c>
      <c r="M3509" s="23" t="n">
        <v>5084.75</v>
      </c>
    </row>
    <row r="3510">
      <c r="A3510" s="19" t="inlineStr">
        <is>
          <t>FY27</t>
        </is>
      </c>
      <c r="B3510" s="19" t="inlineStr">
        <is>
          <t>Aug</t>
        </is>
      </c>
      <c r="C3510" s="19" t="inlineStr">
        <is>
          <t>TN</t>
        </is>
      </c>
      <c r="D3510" s="20" t="inlineStr">
        <is>
          <t>TN04AS0940</t>
        </is>
      </c>
      <c r="E3510" s="20" t="inlineStr">
        <is>
          <t>MARUTI SUZUKI</t>
        </is>
      </c>
      <c r="F3510" s="20" t="inlineStr">
        <is>
          <t>Wagonr</t>
        </is>
      </c>
      <c r="G3510" s="21" t="n">
        <v>2016</v>
      </c>
      <c r="H3510" s="22" t="n">
        <v>147784</v>
      </c>
      <c r="I3510" s="22" t="n">
        <v>254000</v>
      </c>
      <c r="J3510" s="20" t="inlineStr">
        <is>
          <t>CASTLE TRADERS Maruti</t>
        </is>
      </c>
      <c r="K3510" s="20" t="inlineStr">
        <is>
          <t>Non-Captive</t>
        </is>
      </c>
      <c r="L3510" s="20" t="inlineStr">
        <is>
          <t>AS CARS</t>
        </is>
      </c>
      <c r="M3510" s="23" t="n">
        <v>5084.75</v>
      </c>
    </row>
    <row r="3511">
      <c r="A3511" s="19" t="inlineStr">
        <is>
          <t>FY27</t>
        </is>
      </c>
      <c r="B3511" s="19" t="inlineStr">
        <is>
          <t>Aug</t>
        </is>
      </c>
      <c r="C3511" s="19" t="inlineStr">
        <is>
          <t>TN</t>
        </is>
      </c>
      <c r="D3511" s="20" t="inlineStr">
        <is>
          <t>TN730095</t>
        </is>
      </c>
      <c r="E3511" s="20" t="inlineStr">
        <is>
          <t>MARUTI SUZUKI</t>
        </is>
      </c>
      <c r="F3511" s="20" t="inlineStr">
        <is>
          <t>Swift</t>
        </is>
      </c>
      <c r="G3511" s="21" t="n"/>
      <c r="H3511" s="22" t="n">
        <v>226936</v>
      </c>
      <c r="I3511" s="22" t="n">
        <v>234000</v>
      </c>
      <c r="J3511" s="20" t="inlineStr"/>
      <c r="K3511" s="20" t="inlineStr">
        <is>
          <t>Non-Captive</t>
        </is>
      </c>
      <c r="L3511" s="20" t="inlineStr">
        <is>
          <t>AS CARS</t>
        </is>
      </c>
      <c r="M3511" s="23" t="n">
        <v>5084.75</v>
      </c>
    </row>
    <row r="3512">
      <c r="A3512" s="19" t="inlineStr">
        <is>
          <t>FY27</t>
        </is>
      </c>
      <c r="B3512" s="19" t="inlineStr">
        <is>
          <t>Aug</t>
        </is>
      </c>
      <c r="C3512" s="19" t="inlineStr">
        <is>
          <t>TN</t>
        </is>
      </c>
      <c r="D3512" s="20" t="inlineStr">
        <is>
          <t>TN18AJ6041</t>
        </is>
      </c>
      <c r="E3512" s="20" t="inlineStr">
        <is>
          <t>MARUTI SUZUKI</t>
        </is>
      </c>
      <c r="F3512" s="20" t="inlineStr">
        <is>
          <t>Baleno</t>
        </is>
      </c>
      <c r="G3512" s="21" t="n">
        <v>2016</v>
      </c>
      <c r="H3512" s="22" t="n">
        <v>186101</v>
      </c>
      <c r="I3512" s="22" t="n">
        <v>304500</v>
      </c>
      <c r="J3512" s="20" t="inlineStr">
        <is>
          <t>CASTLE TRADERS Maruti</t>
        </is>
      </c>
      <c r="K3512" s="20" t="inlineStr">
        <is>
          <t>Non-Captive</t>
        </is>
      </c>
      <c r="L3512" s="20" t="inlineStr">
        <is>
          <t>CARS24</t>
        </is>
      </c>
      <c r="M3512" s="23" t="n">
        <v>6355.93</v>
      </c>
    </row>
    <row r="3513">
      <c r="A3513" s="19" t="inlineStr">
        <is>
          <t>FY27</t>
        </is>
      </c>
      <c r="B3513" s="19" t="inlineStr">
        <is>
          <t>Aug</t>
        </is>
      </c>
      <c r="C3513" s="19" t="inlineStr">
        <is>
          <t>TN</t>
        </is>
      </c>
      <c r="D3513" s="20" t="inlineStr">
        <is>
          <t>TN10AL2127</t>
        </is>
      </c>
      <c r="E3513" s="20" t="inlineStr">
        <is>
          <t>HYUNDAI</t>
        </is>
      </c>
      <c r="F3513" s="20" t="inlineStr">
        <is>
          <t>Eon</t>
        </is>
      </c>
      <c r="G3513" s="21" t="n">
        <v>2013</v>
      </c>
      <c r="H3513" s="22" t="n">
        <v>58694</v>
      </c>
      <c r="I3513" s="22" t="n">
        <v>175000</v>
      </c>
      <c r="J3513" s="20" t="inlineStr">
        <is>
          <t>CASTLE TRADERS Maruti</t>
        </is>
      </c>
      <c r="K3513" s="20" t="inlineStr">
        <is>
          <t>Non-Captive</t>
        </is>
      </c>
      <c r="L3513" s="20" t="inlineStr">
        <is>
          <t>CAR HUB</t>
        </is>
      </c>
      <c r="M3513" s="23" t="n">
        <v>5084.75</v>
      </c>
    </row>
    <row r="3514">
      <c r="A3514" s="19" t="inlineStr">
        <is>
          <t>FY27</t>
        </is>
      </c>
      <c r="B3514" s="19" t="inlineStr">
        <is>
          <t>Aug</t>
        </is>
      </c>
      <c r="C3514" s="19" t="inlineStr">
        <is>
          <t>TN</t>
        </is>
      </c>
      <c r="D3514" s="20" t="inlineStr">
        <is>
          <t>TN18BU4605</t>
        </is>
      </c>
      <c r="E3514" s="20" t="inlineStr">
        <is>
          <t>RENAULT</t>
        </is>
      </c>
      <c r="F3514" s="20" t="inlineStr">
        <is>
          <t>Kiger</t>
        </is>
      </c>
      <c r="G3514" s="21" t="n">
        <v>2024</v>
      </c>
      <c r="H3514" s="22" t="n">
        <v>21230</v>
      </c>
      <c r="I3514" s="22" t="n">
        <v>535000</v>
      </c>
      <c r="J3514" s="20" t="inlineStr">
        <is>
          <t>CASTLE TRADERS Maruti</t>
        </is>
      </c>
      <c r="K3514" s="20" t="inlineStr">
        <is>
          <t>Non-Captive</t>
        </is>
      </c>
      <c r="L3514" s="20" t="inlineStr">
        <is>
          <t>CAR HUB</t>
        </is>
      </c>
      <c r="M3514" s="23" t="n">
        <v>7627.12</v>
      </c>
    </row>
    <row r="3515">
      <c r="A3515" s="19" t="inlineStr">
        <is>
          <t>FY27</t>
        </is>
      </c>
      <c r="B3515" s="19" t="inlineStr">
        <is>
          <t>Aug</t>
        </is>
      </c>
      <c r="C3515" s="19" t="inlineStr">
        <is>
          <t>TN</t>
        </is>
      </c>
      <c r="D3515" s="20" t="inlineStr">
        <is>
          <t>TN37DR9464</t>
        </is>
      </c>
      <c r="E3515" s="20" t="inlineStr">
        <is>
          <t>NISSAN</t>
        </is>
      </c>
      <c r="F3515" s="20" t="inlineStr">
        <is>
          <t>Magnite</t>
        </is>
      </c>
      <c r="G3515" s="21" t="n">
        <v>2023</v>
      </c>
      <c r="H3515" s="22" t="n">
        <v>47397</v>
      </c>
      <c r="I3515" s="22" t="n">
        <v>525000</v>
      </c>
      <c r="J3515" s="20" t="inlineStr">
        <is>
          <t>SREE SARADHAMBAL AUTOMOBILES PRIVATE LIMITED</t>
        </is>
      </c>
      <c r="K3515" s="20" t="inlineStr">
        <is>
          <t>Non-Captive</t>
        </is>
      </c>
      <c r="L3515" s="20" t="inlineStr">
        <is>
          <t>Ulavan Enterprises</t>
        </is>
      </c>
      <c r="M3515" s="23" t="n">
        <v>8474.58</v>
      </c>
    </row>
    <row r="3516">
      <c r="A3516" s="19" t="inlineStr">
        <is>
          <t>FY27</t>
        </is>
      </c>
      <c r="B3516" s="19" t="inlineStr">
        <is>
          <t>Aug</t>
        </is>
      </c>
      <c r="C3516" s="19" t="inlineStr">
        <is>
          <t>TN</t>
        </is>
      </c>
      <c r="D3516" s="20" t="inlineStr">
        <is>
          <t>TN42S4118</t>
        </is>
      </c>
      <c r="E3516" s="20" t="inlineStr">
        <is>
          <t>TATA</t>
        </is>
      </c>
      <c r="F3516" s="20" t="inlineStr">
        <is>
          <t>Bolt</t>
        </is>
      </c>
      <c r="G3516" s="21" t="n">
        <v>2017</v>
      </c>
      <c r="H3516" s="22" t="n">
        <v>88829</v>
      </c>
      <c r="I3516" s="22" t="n">
        <v>200000</v>
      </c>
      <c r="J3516" s="20" t="inlineStr">
        <is>
          <t>EXCHANGE ROTN</t>
        </is>
      </c>
      <c r="K3516" s="20" t="inlineStr">
        <is>
          <t>Captive</t>
        </is>
      </c>
      <c r="L3516" s="20" t="inlineStr">
        <is>
          <t>Suganya Cars</t>
        </is>
      </c>
      <c r="M3516" s="23" t="n">
        <v>12711.86</v>
      </c>
    </row>
    <row r="3517">
      <c r="A3517" s="19" t="inlineStr">
        <is>
          <t>FY27</t>
        </is>
      </c>
      <c r="B3517" s="19" t="inlineStr">
        <is>
          <t>Aug</t>
        </is>
      </c>
      <c r="C3517" s="19" t="inlineStr">
        <is>
          <t>TN</t>
        </is>
      </c>
      <c r="D3517" s="20" t="inlineStr">
        <is>
          <t>TN55AQ5509</t>
        </is>
      </c>
      <c r="E3517" s="20" t="inlineStr">
        <is>
          <t>HONDA</t>
        </is>
      </c>
      <c r="F3517" s="20" t="inlineStr">
        <is>
          <t>Jazz</t>
        </is>
      </c>
      <c r="G3517" s="21" t="n">
        <v>2016</v>
      </c>
      <c r="H3517" s="22" t="n">
        <v>194548</v>
      </c>
      <c r="I3517" s="22" t="n">
        <v>320000</v>
      </c>
      <c r="J3517" s="20" t="inlineStr">
        <is>
          <t>EXCHANGE ROTN</t>
        </is>
      </c>
      <c r="K3517" s="20" t="inlineStr">
        <is>
          <t>Captive</t>
        </is>
      </c>
      <c r="L3517" s="20" t="inlineStr">
        <is>
          <t>SRI RAJA KANAPATHY CARS</t>
        </is>
      </c>
      <c r="M3517" s="23" t="n">
        <v>10169.49</v>
      </c>
    </row>
    <row r="3518">
      <c r="A3518" s="19" t="inlineStr">
        <is>
          <t>FY27</t>
        </is>
      </c>
      <c r="B3518" s="19" t="inlineStr">
        <is>
          <t>Aug</t>
        </is>
      </c>
      <c r="C3518" s="19" t="inlineStr">
        <is>
          <t>TN</t>
        </is>
      </c>
      <c r="D3518" s="20" t="inlineStr">
        <is>
          <t>TN68F0900</t>
        </is>
      </c>
      <c r="E3518" s="20" t="inlineStr">
        <is>
          <t>MARUTI SUZUKI</t>
        </is>
      </c>
      <c r="F3518" s="20" t="inlineStr">
        <is>
          <t>Sx4</t>
        </is>
      </c>
      <c r="G3518" s="21" t="n">
        <v>2012</v>
      </c>
      <c r="H3518" s="22" t="n">
        <v>220215</v>
      </c>
      <c r="I3518" s="22" t="n">
        <v>95000</v>
      </c>
      <c r="J3518" s="20" t="inlineStr">
        <is>
          <t>SIVASHANKAR CARS</t>
        </is>
      </c>
      <c r="K3518" s="20" t="inlineStr">
        <is>
          <t>Non-Captive</t>
        </is>
      </c>
      <c r="L3518" s="20" t="inlineStr">
        <is>
          <t>Suganya Cars</t>
        </is>
      </c>
      <c r="M3518" s="23" t="n">
        <v>4237.29</v>
      </c>
    </row>
    <row r="3519">
      <c r="A3519" s="19" t="inlineStr">
        <is>
          <t>FY27</t>
        </is>
      </c>
      <c r="B3519" s="19" t="inlineStr">
        <is>
          <t>Aug</t>
        </is>
      </c>
      <c r="C3519" s="19" t="inlineStr">
        <is>
          <t>TN</t>
        </is>
      </c>
      <c r="D3519" s="20" t="inlineStr">
        <is>
          <t>TN66X3474</t>
        </is>
      </c>
      <c r="E3519" s="20" t="inlineStr">
        <is>
          <t>HONDA</t>
        </is>
      </c>
      <c r="F3519" s="20" t="inlineStr">
        <is>
          <t>Jazz</t>
        </is>
      </c>
      <c r="G3519" s="21" t="n">
        <v>2017</v>
      </c>
      <c r="H3519" s="22" t="n">
        <v>134535</v>
      </c>
      <c r="I3519" s="22" t="n">
        <v>460000</v>
      </c>
      <c r="J3519" s="20" t="inlineStr">
        <is>
          <t>EXCHANGE ROTN</t>
        </is>
      </c>
      <c r="K3519" s="20" t="inlineStr">
        <is>
          <t>Captive</t>
        </is>
      </c>
      <c r="L3519" s="20" t="inlineStr">
        <is>
          <t>VASUNDHARA CARS</t>
        </is>
      </c>
      <c r="M3519" s="23" t="n">
        <v>12711.86</v>
      </c>
    </row>
    <row r="3520">
      <c r="A3520" s="19" t="inlineStr">
        <is>
          <t>FY27</t>
        </is>
      </c>
      <c r="B3520" s="19" t="inlineStr">
        <is>
          <t>Aug</t>
        </is>
      </c>
      <c r="C3520" s="19" t="inlineStr">
        <is>
          <t>TN</t>
        </is>
      </c>
      <c r="D3520" s="20" t="inlineStr">
        <is>
          <t>TN66Q5121</t>
        </is>
      </c>
      <c r="E3520" s="20" t="inlineStr">
        <is>
          <t>HONDA</t>
        </is>
      </c>
      <c r="F3520" s="20" t="inlineStr">
        <is>
          <t>City</t>
        </is>
      </c>
      <c r="G3520" s="21" t="n">
        <v>2015</v>
      </c>
      <c r="H3520" s="22" t="n">
        <v>124017</v>
      </c>
      <c r="I3520" s="22" t="n">
        <v>460000</v>
      </c>
      <c r="J3520" s="20" t="inlineStr">
        <is>
          <t>EXCHANGE ROTN</t>
        </is>
      </c>
      <c r="K3520" s="20" t="inlineStr">
        <is>
          <t>Captive</t>
        </is>
      </c>
      <c r="L3520" s="20" t="inlineStr">
        <is>
          <t>SENTHUR FINANCE</t>
        </is>
      </c>
      <c r="M3520" s="23" t="n">
        <v>8474.58</v>
      </c>
    </row>
    <row r="3521">
      <c r="A3521" s="19" t="inlineStr">
        <is>
          <t>FY27</t>
        </is>
      </c>
      <c r="B3521" s="19" t="inlineStr">
        <is>
          <t>Aug</t>
        </is>
      </c>
      <c r="C3521" s="19" t="inlineStr">
        <is>
          <t>TN</t>
        </is>
      </c>
      <c r="D3521" s="20" t="inlineStr">
        <is>
          <t>TN59BM3433</t>
        </is>
      </c>
      <c r="E3521" s="20" t="inlineStr">
        <is>
          <t>HONDA</t>
        </is>
      </c>
      <c r="F3521" s="20" t="inlineStr">
        <is>
          <t>Jazz</t>
        </is>
      </c>
      <c r="G3521" s="21" t="n">
        <v>2017</v>
      </c>
      <c r="H3521" s="22" t="n">
        <v>123902</v>
      </c>
      <c r="I3521" s="22" t="n">
        <v>330000</v>
      </c>
      <c r="J3521" s="20" t="inlineStr">
        <is>
          <t>EXCHANGE ROTN</t>
        </is>
      </c>
      <c r="K3521" s="20" t="inlineStr">
        <is>
          <t>Captive</t>
        </is>
      </c>
      <c r="L3521" s="20" t="inlineStr">
        <is>
          <t>SRI RAJA KANAPATHY CARS</t>
        </is>
      </c>
      <c r="M3521" s="23" t="n">
        <v>8474.58</v>
      </c>
    </row>
    <row r="3522">
      <c r="A3522" s="19" t="inlineStr">
        <is>
          <t>FY27</t>
        </is>
      </c>
      <c r="B3522" s="19" t="inlineStr">
        <is>
          <t>Aug</t>
        </is>
      </c>
      <c r="C3522" s="19" t="inlineStr">
        <is>
          <t>TN</t>
        </is>
      </c>
      <c r="D3522" s="20" t="inlineStr">
        <is>
          <t>TN59CD2255</t>
        </is>
      </c>
      <c r="E3522" s="20" t="inlineStr">
        <is>
          <t>SKODA</t>
        </is>
      </c>
      <c r="F3522" s="20" t="inlineStr">
        <is>
          <t>Rapid</t>
        </is>
      </c>
      <c r="G3522" s="21" t="n">
        <v>2018</v>
      </c>
      <c r="H3522" s="22" t="n">
        <v>172995</v>
      </c>
      <c r="I3522" s="22" t="n">
        <v>480000</v>
      </c>
      <c r="J3522" s="20" t="inlineStr">
        <is>
          <t>EXCHANGE ROTN</t>
        </is>
      </c>
      <c r="K3522" s="20" t="inlineStr">
        <is>
          <t>Captive</t>
        </is>
      </c>
      <c r="L3522" s="20" t="inlineStr">
        <is>
          <t>READY TO RIDE CARS</t>
        </is>
      </c>
      <c r="M3522" s="23" t="n">
        <v>16949.15</v>
      </c>
    </row>
    <row r="3523">
      <c r="A3523" s="19" t="inlineStr">
        <is>
          <t>FY27</t>
        </is>
      </c>
      <c r="B3523" s="19" t="inlineStr">
        <is>
          <t>Aug</t>
        </is>
      </c>
      <c r="C3523" s="19" t="inlineStr">
        <is>
          <t>TN</t>
        </is>
      </c>
      <c r="D3523" s="20" t="inlineStr">
        <is>
          <t>TN30BB9230</t>
        </is>
      </c>
      <c r="E3523" s="20" t="inlineStr">
        <is>
          <t>FIAT</t>
        </is>
      </c>
      <c r="F3523" s="20" t="inlineStr">
        <is>
          <t>Linea</t>
        </is>
      </c>
      <c r="G3523" s="21" t="n">
        <v>2014</v>
      </c>
      <c r="H3523" s="22" t="n">
        <v>104447</v>
      </c>
      <c r="I3523" s="22" t="n">
        <v>210000</v>
      </c>
      <c r="J3523" s="20" t="inlineStr">
        <is>
          <t>EXCHANGE ROTN</t>
        </is>
      </c>
      <c r="K3523" s="20" t="inlineStr">
        <is>
          <t>Captive</t>
        </is>
      </c>
      <c r="L3523" s="20" t="inlineStr">
        <is>
          <t>Sterlin Cars</t>
        </is>
      </c>
      <c r="M3523" s="23" t="n">
        <v>8474.58</v>
      </c>
    </row>
    <row r="3524">
      <c r="A3524" s="19" t="inlineStr">
        <is>
          <t>FY27</t>
        </is>
      </c>
      <c r="B3524" s="19" t="inlineStr">
        <is>
          <t>Aug</t>
        </is>
      </c>
      <c r="C3524" s="19" t="inlineStr">
        <is>
          <t>TN</t>
        </is>
      </c>
      <c r="D3524" s="20" t="inlineStr">
        <is>
          <t>TN22BT0564</t>
        </is>
      </c>
      <c r="E3524" s="20" t="inlineStr">
        <is>
          <t>TATA</t>
        </is>
      </c>
      <c r="F3524" s="20" t="inlineStr">
        <is>
          <t>Indica</t>
        </is>
      </c>
      <c r="G3524" s="21" t="n">
        <v>2010</v>
      </c>
      <c r="H3524" s="22" t="n">
        <v>149097</v>
      </c>
      <c r="I3524" s="22" t="n">
        <v>60000</v>
      </c>
      <c r="J3524" s="20" t="inlineStr">
        <is>
          <t>S M CAR PRIVATE LIMITED</t>
        </is>
      </c>
      <c r="K3524" s="20" t="inlineStr">
        <is>
          <t>Non-Captive</t>
        </is>
      </c>
      <c r="L3524" s="20" t="inlineStr">
        <is>
          <t>APM cars</t>
        </is>
      </c>
      <c r="M3524" s="23" t="n">
        <v>4237.29</v>
      </c>
    </row>
    <row r="3525">
      <c r="A3525" s="19" t="inlineStr">
        <is>
          <t>FY27</t>
        </is>
      </c>
      <c r="B3525" s="19" t="inlineStr">
        <is>
          <t>Aug</t>
        </is>
      </c>
      <c r="C3525" s="19" t="inlineStr">
        <is>
          <t>TN</t>
        </is>
      </c>
      <c r="D3525" s="20" t="inlineStr">
        <is>
          <t>TN58AQ7836</t>
        </is>
      </c>
      <c r="E3525" s="20" t="inlineStr">
        <is>
          <t>MARUTI SUZUKI</t>
        </is>
      </c>
      <c r="F3525" s="20" t="inlineStr">
        <is>
          <t>Baleno</t>
        </is>
      </c>
      <c r="G3525" s="21" t="n">
        <v>2018</v>
      </c>
      <c r="H3525" s="22" t="n">
        <v>65999</v>
      </c>
      <c r="I3525" s="22" t="n">
        <v>440000</v>
      </c>
      <c r="J3525" s="20" t="inlineStr">
        <is>
          <t>EXCHANGE ROTN</t>
        </is>
      </c>
      <c r="K3525" s="20" t="inlineStr">
        <is>
          <t>Captive</t>
        </is>
      </c>
      <c r="L3525" s="20" t="inlineStr">
        <is>
          <t>PAUL CARS</t>
        </is>
      </c>
      <c r="M3525" s="23" t="n">
        <v>16950</v>
      </c>
    </row>
    <row r="3526">
      <c r="A3526" s="19" t="inlineStr">
        <is>
          <t>FY27</t>
        </is>
      </c>
      <c r="B3526" s="19" t="inlineStr">
        <is>
          <t>Aug</t>
        </is>
      </c>
      <c r="C3526" s="19" t="inlineStr">
        <is>
          <t>TN</t>
        </is>
      </c>
      <c r="D3526" s="20" t="inlineStr">
        <is>
          <t>AP28BV8283</t>
        </is>
      </c>
      <c r="E3526" s="20" t="inlineStr">
        <is>
          <t>HONDA</t>
        </is>
      </c>
      <c r="F3526" s="20" t="inlineStr">
        <is>
          <t>Amaze</t>
        </is>
      </c>
      <c r="G3526" s="21" t="n">
        <v>2013</v>
      </c>
      <c r="H3526" s="22" t="n">
        <v>120764</v>
      </c>
      <c r="I3526" s="22" t="n">
        <v>138830</v>
      </c>
      <c r="J3526" s="20" t="inlineStr">
        <is>
          <t>EXCHANGE ROTN</t>
        </is>
      </c>
      <c r="K3526" s="20" t="inlineStr">
        <is>
          <t>Captive</t>
        </is>
      </c>
      <c r="L3526" s="20" t="inlineStr">
        <is>
          <t>KSM AUTO CONSULTING</t>
        </is>
      </c>
      <c r="M3526" s="23" t="n">
        <v>16949.15</v>
      </c>
    </row>
    <row r="3527">
      <c r="A3527" s="19" t="inlineStr">
        <is>
          <t>FY27</t>
        </is>
      </c>
      <c r="B3527" s="19" t="inlineStr">
        <is>
          <t>Aug</t>
        </is>
      </c>
      <c r="C3527" s="19" t="inlineStr">
        <is>
          <t>TN</t>
        </is>
      </c>
      <c r="D3527" s="20" t="inlineStr">
        <is>
          <t>TN59BC0648</t>
        </is>
      </c>
      <c r="E3527" s="20" t="inlineStr">
        <is>
          <t>HONDA</t>
        </is>
      </c>
      <c r="F3527" s="20" t="inlineStr">
        <is>
          <t>City</t>
        </is>
      </c>
      <c r="G3527" s="21" t="n">
        <v>2013</v>
      </c>
      <c r="H3527" s="22" t="n">
        <v>162295</v>
      </c>
      <c r="I3527" s="22" t="n">
        <v>260000</v>
      </c>
      <c r="J3527" s="20" t="inlineStr">
        <is>
          <t>EXCHANGE ROTN</t>
        </is>
      </c>
      <c r="K3527" s="20" t="inlineStr">
        <is>
          <t>Captive</t>
        </is>
      </c>
      <c r="L3527" s="20" t="inlineStr">
        <is>
          <t>THIRUMALAI CARS (MADURAI)</t>
        </is>
      </c>
      <c r="M3527" s="23" t="n">
        <v>8474.58</v>
      </c>
    </row>
    <row r="3528">
      <c r="A3528" s="19" t="inlineStr">
        <is>
          <t>FY27</t>
        </is>
      </c>
      <c r="B3528" s="19" t="inlineStr">
        <is>
          <t>Aug</t>
        </is>
      </c>
      <c r="C3528" s="19" t="inlineStr">
        <is>
          <t>TN</t>
        </is>
      </c>
      <c r="D3528" s="20" t="inlineStr">
        <is>
          <t>TN60L8312</t>
        </is>
      </c>
      <c r="E3528" s="20" t="inlineStr">
        <is>
          <t>MARUTI SUZUKI</t>
        </is>
      </c>
      <c r="F3528" s="20" t="inlineStr">
        <is>
          <t>Swiftdzire</t>
        </is>
      </c>
      <c r="G3528" s="21" t="n">
        <v>2013</v>
      </c>
      <c r="H3528" s="22" t="n">
        <v>115749</v>
      </c>
      <c r="I3528" s="22" t="n">
        <v>200000</v>
      </c>
      <c r="J3528" s="20" t="inlineStr">
        <is>
          <t>EXCHANGE ROTN</t>
        </is>
      </c>
      <c r="K3528" s="20" t="inlineStr">
        <is>
          <t>Captive</t>
        </is>
      </c>
      <c r="L3528" s="20" t="inlineStr">
        <is>
          <t>BALAJI CARS (THENI)</t>
        </is>
      </c>
      <c r="M3528" s="23" t="n">
        <v>12711.86</v>
      </c>
    </row>
    <row r="3529">
      <c r="A3529" s="19" t="inlineStr">
        <is>
          <t>FY27</t>
        </is>
      </c>
      <c r="B3529" s="19" t="inlineStr">
        <is>
          <t>Aug</t>
        </is>
      </c>
      <c r="C3529" s="19" t="inlineStr">
        <is>
          <t>TN</t>
        </is>
      </c>
      <c r="D3529" s="20" t="inlineStr">
        <is>
          <t>TN38AZ2805</t>
        </is>
      </c>
      <c r="E3529" s="20" t="inlineStr">
        <is>
          <t>HYUNDAI</t>
        </is>
      </c>
      <c r="F3529" s="20" t="inlineStr">
        <is>
          <t>I10</t>
        </is>
      </c>
      <c r="G3529" s="21" t="n">
        <v>2009</v>
      </c>
      <c r="H3529" s="22" t="n">
        <v>62407</v>
      </c>
      <c r="I3529" s="22" t="n">
        <v>95000</v>
      </c>
      <c r="J3529" s="20" t="inlineStr">
        <is>
          <t>SREE SARADHAMBAL AUTOMOBILES PRIVATE LIMITED</t>
        </is>
      </c>
      <c r="K3529" s="20" t="inlineStr">
        <is>
          <t>Non-Captive</t>
        </is>
      </c>
      <c r="L3529" s="20" t="inlineStr">
        <is>
          <t>SARVESH CAARS</t>
        </is>
      </c>
      <c r="M3529" s="23" t="n">
        <v>4237.29</v>
      </c>
    </row>
    <row r="3530">
      <c r="A3530" s="19" t="inlineStr">
        <is>
          <t>FY27</t>
        </is>
      </c>
      <c r="B3530" s="19" t="inlineStr">
        <is>
          <t>Aug</t>
        </is>
      </c>
      <c r="C3530" s="19" t="inlineStr">
        <is>
          <t>TN</t>
        </is>
      </c>
      <c r="D3530" s="20" t="inlineStr">
        <is>
          <t>TN37BX9138</t>
        </is>
      </c>
      <c r="E3530" s="20" t="inlineStr">
        <is>
          <t>MARUTI SUZUKI</t>
        </is>
      </c>
      <c r="F3530" s="20" t="inlineStr">
        <is>
          <t>Alto</t>
        </is>
      </c>
      <c r="G3530" s="21" t="n">
        <v>2012</v>
      </c>
      <c r="H3530" s="22" t="n">
        <v>111098</v>
      </c>
      <c r="I3530" s="22" t="n">
        <v>97000</v>
      </c>
      <c r="J3530" s="20" t="inlineStr">
        <is>
          <t>SREE SARADHAMBAL AUTOMOBILES PRIVATE LIMITED</t>
        </is>
      </c>
      <c r="K3530" s="20" t="inlineStr">
        <is>
          <t>Non-Captive</t>
        </is>
      </c>
      <c r="L3530" s="20" t="inlineStr">
        <is>
          <t>SARVESH CAARS</t>
        </is>
      </c>
      <c r="M3530" s="23" t="n">
        <v>4237.29</v>
      </c>
    </row>
    <row r="3531">
      <c r="A3531" s="19" t="inlineStr">
        <is>
          <t>FY27</t>
        </is>
      </c>
      <c r="B3531" s="19" t="inlineStr">
        <is>
          <t>Aug</t>
        </is>
      </c>
      <c r="C3531" s="19" t="inlineStr">
        <is>
          <t>TN</t>
        </is>
      </c>
      <c r="D3531" s="20" t="inlineStr">
        <is>
          <t>TN37EX0925</t>
        </is>
      </c>
      <c r="E3531" s="20" t="inlineStr">
        <is>
          <t>HONDA</t>
        </is>
      </c>
      <c r="F3531" s="20" t="inlineStr">
        <is>
          <t>City</t>
        </is>
      </c>
      <c r="G3531" s="21" t="n">
        <v>2022</v>
      </c>
      <c r="H3531" s="22" t="n">
        <v>158720</v>
      </c>
      <c r="I3531" s="22" t="n">
        <v>700000</v>
      </c>
      <c r="J3531" s="20" t="inlineStr">
        <is>
          <t>KRISH TOYOTA - COIMBATORE</t>
        </is>
      </c>
      <c r="K3531" s="20" t="inlineStr">
        <is>
          <t>Non-Captive</t>
        </is>
      </c>
      <c r="L3531" s="20" t="inlineStr">
        <is>
          <t>SRI VIGNESH PRE OWNED CARS</t>
        </is>
      </c>
      <c r="M3531" s="23" t="n">
        <v>8474.58</v>
      </c>
    </row>
    <row r="3532">
      <c r="A3532" s="19" t="inlineStr">
        <is>
          <t>FY27</t>
        </is>
      </c>
      <c r="B3532" s="19" t="inlineStr">
        <is>
          <t>Aug</t>
        </is>
      </c>
      <c r="C3532" s="19" t="inlineStr">
        <is>
          <t>TN</t>
        </is>
      </c>
      <c r="D3532" s="20" t="inlineStr">
        <is>
          <t>TN07AU9369</t>
        </is>
      </c>
      <c r="E3532" s="20" t="inlineStr">
        <is>
          <t>HONDA</t>
        </is>
      </c>
      <c r="F3532" s="20" t="inlineStr">
        <is>
          <t>City</t>
        </is>
      </c>
      <c r="G3532" s="21" t="n"/>
      <c r="H3532" s="22" t="n">
        <v>92645</v>
      </c>
      <c r="I3532" s="22" t="n">
        <v>50000</v>
      </c>
      <c r="J3532" s="20" t="inlineStr"/>
      <c r="K3532" s="20" t="inlineStr">
        <is>
          <t>Non-Captive</t>
        </is>
      </c>
      <c r="L3532" s="20" t="inlineStr">
        <is>
          <t>SANTHOSH CARS</t>
        </is>
      </c>
      <c r="M3532" s="23" t="n">
        <v>4237.29</v>
      </c>
    </row>
    <row r="3533">
      <c r="A3533" s="19" t="inlineStr">
        <is>
          <t>FY27</t>
        </is>
      </c>
      <c r="B3533" s="19" t="inlineStr">
        <is>
          <t>Aug</t>
        </is>
      </c>
      <c r="C3533" s="19" t="inlineStr">
        <is>
          <t>TN</t>
        </is>
      </c>
      <c r="D3533" s="20" t="inlineStr">
        <is>
          <t>TN07BE6172</t>
        </is>
      </c>
      <c r="E3533" s="20" t="inlineStr">
        <is>
          <t>HONDA</t>
        </is>
      </c>
      <c r="F3533" s="20" t="inlineStr">
        <is>
          <t>City</t>
        </is>
      </c>
      <c r="G3533" s="21" t="n">
        <v>2009</v>
      </c>
      <c r="H3533" s="22" t="n">
        <v>46780</v>
      </c>
      <c r="I3533" s="22" t="n">
        <v>200000</v>
      </c>
      <c r="J3533" s="20" t="inlineStr">
        <is>
          <t>EXCHANGE CHENNAI</t>
        </is>
      </c>
      <c r="K3533" s="20" t="inlineStr">
        <is>
          <t>Captive</t>
        </is>
      </c>
      <c r="L3533" s="20" t="inlineStr">
        <is>
          <t>SANTHOSH CARS</t>
        </is>
      </c>
      <c r="M3533" s="23" t="n">
        <v>8474.58</v>
      </c>
    </row>
    <row r="3534">
      <c r="A3534" s="19" t="inlineStr">
        <is>
          <t>FY27</t>
        </is>
      </c>
      <c r="B3534" s="19" t="inlineStr">
        <is>
          <t>Aug</t>
        </is>
      </c>
      <c r="C3534" s="19" t="inlineStr">
        <is>
          <t>TN</t>
        </is>
      </c>
      <c r="D3534" s="20" t="inlineStr">
        <is>
          <t>TN01AL0211</t>
        </is>
      </c>
      <c r="E3534" s="20" t="inlineStr">
        <is>
          <t>MARUTI SUZUKI</t>
        </is>
      </c>
      <c r="F3534" s="20" t="inlineStr">
        <is>
          <t>Swift</t>
        </is>
      </c>
      <c r="G3534" s="21" t="n">
        <v>2010</v>
      </c>
      <c r="H3534" s="22" t="n">
        <v>81265</v>
      </c>
      <c r="I3534" s="22" t="n">
        <v>99000</v>
      </c>
      <c r="J3534" s="20" t="inlineStr">
        <is>
          <t>VISHNU CARS PRIVATE LIMITED</t>
        </is>
      </c>
      <c r="K3534" s="20" t="inlineStr">
        <is>
          <t>Non-Captive</t>
        </is>
      </c>
      <c r="L3534" s="20" t="inlineStr">
        <is>
          <t>Value Drive Tech</t>
        </is>
      </c>
      <c r="M3534" s="23" t="n">
        <v>5084.75</v>
      </c>
    </row>
    <row r="3535">
      <c r="A3535" s="19" t="inlineStr">
        <is>
          <t>FY27</t>
        </is>
      </c>
      <c r="B3535" s="19" t="inlineStr">
        <is>
          <t>Aug</t>
        </is>
      </c>
      <c r="C3535" s="19" t="inlineStr">
        <is>
          <t>TN</t>
        </is>
      </c>
      <c r="D3535" s="20" t="inlineStr">
        <is>
          <t>TN01AY9952</t>
        </is>
      </c>
      <c r="E3535" s="20" t="inlineStr">
        <is>
          <t>HYUNDAI</t>
        </is>
      </c>
      <c r="F3535" s="20" t="inlineStr">
        <is>
          <t>Grand I10</t>
        </is>
      </c>
      <c r="G3535" s="21" t="n">
        <v>2015</v>
      </c>
      <c r="H3535" s="22" t="n">
        <v>90280</v>
      </c>
      <c r="I3535" s="22" t="n">
        <v>93000</v>
      </c>
      <c r="J3535" s="20" t="inlineStr">
        <is>
          <t>VISHNU CARS PRIVATE LIMITED</t>
        </is>
      </c>
      <c r="K3535" s="20" t="inlineStr">
        <is>
          <t>Non-Captive</t>
        </is>
      </c>
      <c r="L3535" s="20" t="inlineStr">
        <is>
          <t>Value Drive Tech</t>
        </is>
      </c>
      <c r="M3535" s="23" t="n">
        <v>4237.29</v>
      </c>
    </row>
    <row r="3536">
      <c r="A3536" s="19" t="inlineStr">
        <is>
          <t>FY27</t>
        </is>
      </c>
      <c r="B3536" s="19" t="inlineStr">
        <is>
          <t>Aug</t>
        </is>
      </c>
      <c r="C3536" s="19" t="inlineStr">
        <is>
          <t>TN</t>
        </is>
      </c>
      <c r="D3536" s="20" t="inlineStr">
        <is>
          <t>TN12AC6588</t>
        </is>
      </c>
      <c r="E3536" s="20" t="inlineStr">
        <is>
          <t>FORD</t>
        </is>
      </c>
      <c r="F3536" s="20" t="inlineStr">
        <is>
          <t>Freestyle</t>
        </is>
      </c>
      <c r="G3536" s="21" t="n"/>
      <c r="H3536" s="22" t="n">
        <v>65429</v>
      </c>
      <c r="I3536" s="22" t="n">
        <v>430000</v>
      </c>
      <c r="J3536" s="20" t="inlineStr"/>
      <c r="K3536" s="20" t="inlineStr">
        <is>
          <t>Non-Captive</t>
        </is>
      </c>
      <c r="L3536" s="20" t="inlineStr">
        <is>
          <t>CARS24</t>
        </is>
      </c>
      <c r="M3536" s="23" t="n">
        <v>8474.58</v>
      </c>
    </row>
    <row r="3537">
      <c r="A3537" s="19" t="inlineStr">
        <is>
          <t>FY27</t>
        </is>
      </c>
      <c r="B3537" s="19" t="inlineStr">
        <is>
          <t>Aug</t>
        </is>
      </c>
      <c r="C3537" s="19" t="inlineStr">
        <is>
          <t>TN</t>
        </is>
      </c>
      <c r="D3537" s="20" t="inlineStr">
        <is>
          <t>TN05BE3334</t>
        </is>
      </c>
      <c r="E3537" s="20" t="inlineStr">
        <is>
          <t>HONDA</t>
        </is>
      </c>
      <c r="F3537" s="20" t="inlineStr">
        <is>
          <t>City</t>
        </is>
      </c>
      <c r="G3537" s="21" t="n">
        <v>2016</v>
      </c>
      <c r="H3537" s="22" t="n">
        <v>184470</v>
      </c>
      <c r="I3537" s="22" t="n">
        <v>98000</v>
      </c>
      <c r="J3537" s="20" t="inlineStr">
        <is>
          <t>Castel Traders HONADA</t>
        </is>
      </c>
      <c r="K3537" s="20" t="inlineStr">
        <is>
          <t>Non-Captive</t>
        </is>
      </c>
      <c r="L3537" s="20" t="inlineStr">
        <is>
          <t>Thiya Cars</t>
        </is>
      </c>
      <c r="M3537" s="23" t="n">
        <v>4237.29</v>
      </c>
    </row>
    <row r="3538">
      <c r="A3538" s="19" t="inlineStr">
        <is>
          <t>FY27</t>
        </is>
      </c>
      <c r="B3538" s="19" t="inlineStr">
        <is>
          <t>Aug</t>
        </is>
      </c>
      <c r="C3538" s="19" t="inlineStr">
        <is>
          <t>TN</t>
        </is>
      </c>
      <c r="D3538" s="20" t="inlineStr">
        <is>
          <t>TN11X3002</t>
        </is>
      </c>
      <c r="E3538" s="20" t="inlineStr">
        <is>
          <t>FORD</t>
        </is>
      </c>
      <c r="F3538" s="20" t="inlineStr">
        <is>
          <t>Fiestaclassic</t>
        </is>
      </c>
      <c r="G3538" s="21" t="n">
        <v>2013</v>
      </c>
      <c r="H3538" s="22" t="n">
        <v>140428</v>
      </c>
      <c r="I3538" s="22" t="n">
        <v>100000</v>
      </c>
      <c r="J3538" s="20" t="inlineStr">
        <is>
          <t>LANSON QCARS PRIVATE LIMITED</t>
        </is>
      </c>
      <c r="K3538" s="20" t="inlineStr">
        <is>
          <t>Non-Captive</t>
        </is>
      </c>
      <c r="L3538" s="20" t="inlineStr">
        <is>
          <t>Thiyagarajan Raja Cars</t>
        </is>
      </c>
      <c r="M3538" s="23" t="n">
        <v>4237.29</v>
      </c>
    </row>
    <row r="3539">
      <c r="A3539" s="19" t="inlineStr">
        <is>
          <t>FY27</t>
        </is>
      </c>
      <c r="B3539" s="19" t="inlineStr">
        <is>
          <t>Aug</t>
        </is>
      </c>
      <c r="C3539" s="19" t="inlineStr">
        <is>
          <t>TN</t>
        </is>
      </c>
      <c r="D3539" s="20" t="inlineStr">
        <is>
          <t>TN02AY5888</t>
        </is>
      </c>
      <c r="E3539" s="20" t="inlineStr">
        <is>
          <t>FORD</t>
        </is>
      </c>
      <c r="F3539" s="20" t="inlineStr">
        <is>
          <t>Fiesta</t>
        </is>
      </c>
      <c r="G3539" s="21" t="n">
        <v>2013</v>
      </c>
      <c r="H3539" s="22" t="n">
        <v>99673</v>
      </c>
      <c r="I3539" s="22" t="n">
        <v>97000</v>
      </c>
      <c r="J3539" s="20" t="inlineStr">
        <is>
          <t>LANSON QCARS PRIVATE LIMITED</t>
        </is>
      </c>
      <c r="K3539" s="20" t="inlineStr">
        <is>
          <t>Non-Captive</t>
        </is>
      </c>
      <c r="L3539" s="20" t="inlineStr">
        <is>
          <t>Thiyagarajan Raja Cars</t>
        </is>
      </c>
      <c r="M3539" s="23" t="n">
        <v>4237.29</v>
      </c>
    </row>
    <row r="3540">
      <c r="A3540" s="19" t="inlineStr">
        <is>
          <t>FY27</t>
        </is>
      </c>
      <c r="B3540" s="19" t="inlineStr">
        <is>
          <t>Aug</t>
        </is>
      </c>
      <c r="C3540" s="19" t="inlineStr">
        <is>
          <t>TN</t>
        </is>
      </c>
      <c r="D3540" s="20" t="inlineStr">
        <is>
          <t>TN07DD4666</t>
        </is>
      </c>
      <c r="E3540" s="20" t="inlineStr">
        <is>
          <t>MG</t>
        </is>
      </c>
      <c r="F3540" s="20" t="inlineStr">
        <is>
          <t>Hector</t>
        </is>
      </c>
      <c r="G3540" s="21" t="n">
        <v>2022</v>
      </c>
      <c r="H3540" s="22" t="n">
        <v>65400</v>
      </c>
      <c r="I3540" s="22" t="n">
        <v>98000</v>
      </c>
      <c r="J3540" s="20" t="inlineStr">
        <is>
          <t>LANSON QCARS PRIVATE LIMITED</t>
        </is>
      </c>
      <c r="K3540" s="20" t="inlineStr">
        <is>
          <t>Non-Captive</t>
        </is>
      </c>
      <c r="L3540" s="20" t="inlineStr">
        <is>
          <t>S2 MOTORZ</t>
        </is>
      </c>
      <c r="M3540" s="23" t="n">
        <v>4237.29</v>
      </c>
    </row>
    <row r="3541">
      <c r="A3541" s="19" t="inlineStr">
        <is>
          <t>FY27</t>
        </is>
      </c>
      <c r="B3541" s="19" t="inlineStr">
        <is>
          <t>Aug</t>
        </is>
      </c>
      <c r="C3541" s="19" t="inlineStr">
        <is>
          <t>TN</t>
        </is>
      </c>
      <c r="D3541" s="20" t="inlineStr">
        <is>
          <t>KL16Z9193</t>
        </is>
      </c>
      <c r="E3541" s="20" t="inlineStr">
        <is>
          <t>MARUTI SUZUKI</t>
        </is>
      </c>
      <c r="F3541" s="20" t="inlineStr">
        <is>
          <t>Spresso</t>
        </is>
      </c>
      <c r="G3541" s="21" t="n">
        <v>2022</v>
      </c>
      <c r="H3541" s="22" t="n">
        <v>28490</v>
      </c>
      <c r="I3541" s="22" t="n">
        <v>180000</v>
      </c>
      <c r="J3541" s="20" t="inlineStr">
        <is>
          <t>TRUST N DRIVE</t>
        </is>
      </c>
      <c r="K3541" s="20" t="inlineStr">
        <is>
          <t>Non-Captive</t>
        </is>
      </c>
      <c r="L3541" s="20" t="inlineStr">
        <is>
          <t>POPULAR THRISSUR</t>
        </is>
      </c>
      <c r="M3541" s="23" t="n">
        <v>5000</v>
      </c>
    </row>
    <row r="3542">
      <c r="A3542" s="19" t="inlineStr">
        <is>
          <t>FY27</t>
        </is>
      </c>
      <c r="B3542" s="19" t="inlineStr">
        <is>
          <t>Aug</t>
        </is>
      </c>
      <c r="C3542" s="19" t="inlineStr">
        <is>
          <t>TN</t>
        </is>
      </c>
      <c r="D3542" s="20" t="inlineStr">
        <is>
          <t>KL01CZ7262</t>
        </is>
      </c>
      <c r="E3542" s="20" t="inlineStr">
        <is>
          <t>MARUTI SUZUKI</t>
        </is>
      </c>
      <c r="F3542" s="20" t="inlineStr">
        <is>
          <t>Spresso</t>
        </is>
      </c>
      <c r="G3542" s="21" t="n"/>
      <c r="H3542" s="22" t="n">
        <v>37651</v>
      </c>
      <c r="I3542" s="22" t="n">
        <v>165000</v>
      </c>
      <c r="J3542" s="20" t="inlineStr"/>
      <c r="K3542" s="20" t="inlineStr">
        <is>
          <t>Non-Captive</t>
        </is>
      </c>
      <c r="L3542" s="20" t="inlineStr">
        <is>
          <t>POPULAR THRISSUR</t>
        </is>
      </c>
      <c r="M3542" s="23" t="n">
        <v>5000</v>
      </c>
    </row>
    <row r="3543">
      <c r="A3543" s="19" t="inlineStr">
        <is>
          <t>FY27</t>
        </is>
      </c>
      <c r="B3543" s="19" t="inlineStr">
        <is>
          <t>Aug</t>
        </is>
      </c>
      <c r="C3543" s="19" t="inlineStr">
        <is>
          <t>TN</t>
        </is>
      </c>
      <c r="D3543" s="20" t="inlineStr">
        <is>
          <t>KL01BZ8100</t>
        </is>
      </c>
      <c r="E3543" s="20" t="inlineStr">
        <is>
          <t>HYUNDAI</t>
        </is>
      </c>
      <c r="F3543" s="20" t="inlineStr">
        <is>
          <t>Grand I10</t>
        </is>
      </c>
      <c r="G3543" s="21" t="n">
        <v>2016</v>
      </c>
      <c r="H3543" s="22" t="n">
        <v>99518</v>
      </c>
      <c r="I3543" s="22" t="n">
        <v>155000</v>
      </c>
      <c r="J3543" s="20" t="inlineStr">
        <is>
          <t>SABU MATHEW</t>
        </is>
      </c>
      <c r="K3543" s="20" t="inlineStr">
        <is>
          <t>Non-Captive</t>
        </is>
      </c>
      <c r="L3543" s="20" t="inlineStr">
        <is>
          <t>POPULAR THRISSUR</t>
        </is>
      </c>
      <c r="M3543" s="23" t="n">
        <v>5000</v>
      </c>
    </row>
    <row r="3544">
      <c r="A3544" s="19" t="inlineStr">
        <is>
          <t>FY27</t>
        </is>
      </c>
      <c r="B3544" s="19" t="inlineStr">
        <is>
          <t>Aug</t>
        </is>
      </c>
      <c r="C3544" s="19" t="inlineStr">
        <is>
          <t>TN</t>
        </is>
      </c>
      <c r="D3544" s="20" t="inlineStr">
        <is>
          <t>KL20P8565</t>
        </is>
      </c>
      <c r="E3544" s="20" t="inlineStr">
        <is>
          <t>MARUTI SUZUKI</t>
        </is>
      </c>
      <c r="F3544" s="20" t="inlineStr">
        <is>
          <t>Baleno</t>
        </is>
      </c>
      <c r="G3544" s="21" t="n">
        <v>2019</v>
      </c>
      <c r="H3544" s="22" t="n">
        <v>11938</v>
      </c>
      <c r="I3544" s="22" t="n">
        <v>170000</v>
      </c>
      <c r="J3544" s="20" t="inlineStr">
        <is>
          <t>Nippon Motor Corporation Pvt Ltd</t>
        </is>
      </c>
      <c r="K3544" s="20" t="inlineStr">
        <is>
          <t>Non-Captive</t>
        </is>
      </c>
      <c r="L3544" s="20" t="inlineStr">
        <is>
          <t>POPULAR THRISSUR</t>
        </is>
      </c>
      <c r="M3544" s="23" t="n">
        <v>5000</v>
      </c>
    </row>
    <row r="3545">
      <c r="A3545" s="19" t="inlineStr">
        <is>
          <t>FY27</t>
        </is>
      </c>
      <c r="B3545" s="19" t="inlineStr">
        <is>
          <t>Aug</t>
        </is>
      </c>
      <c r="C3545" s="19" t="inlineStr">
        <is>
          <t>TN</t>
        </is>
      </c>
      <c r="D3545" s="20" t="inlineStr">
        <is>
          <t>TN87B5558</t>
        </is>
      </c>
      <c r="E3545" s="20" t="inlineStr">
        <is>
          <t>NISSAN</t>
        </is>
      </c>
      <c r="F3545" s="20" t="inlineStr">
        <is>
          <t>Kicks</t>
        </is>
      </c>
      <c r="G3545" s="21" t="n">
        <v>2019</v>
      </c>
      <c r="H3545" s="22" t="n">
        <v>99999</v>
      </c>
      <c r="I3545" s="22" t="n">
        <v>275000</v>
      </c>
      <c r="J3545" s="20" t="inlineStr"/>
      <c r="K3545" s="20" t="inlineStr">
        <is>
          <t>Non-Captive</t>
        </is>
      </c>
      <c r="L3545" s="20" t="inlineStr">
        <is>
          <t>SRI KARUPPAIYA CARS</t>
        </is>
      </c>
      <c r="M3545" s="23" t="n">
        <v>7627.12</v>
      </c>
    </row>
    <row r="3546">
      <c r="A3546" s="19" t="inlineStr">
        <is>
          <t>FY27</t>
        </is>
      </c>
      <c r="B3546" s="19" t="inlineStr">
        <is>
          <t>Aug</t>
        </is>
      </c>
      <c r="C3546" s="19" t="inlineStr">
        <is>
          <t>TN</t>
        </is>
      </c>
      <c r="D3546" s="20" t="inlineStr">
        <is>
          <t>TN87A7056</t>
        </is>
      </c>
      <c r="E3546" s="20" t="inlineStr">
        <is>
          <t>NISSAN</t>
        </is>
      </c>
      <c r="F3546" s="20" t="inlineStr">
        <is>
          <t>Kicks</t>
        </is>
      </c>
      <c r="G3546" s="21" t="n">
        <v>2018</v>
      </c>
      <c r="H3546" s="22" t="n">
        <v>99999</v>
      </c>
      <c r="I3546" s="22" t="n">
        <v>330000</v>
      </c>
      <c r="J3546" s="20" t="inlineStr"/>
      <c r="K3546" s="20" t="inlineStr">
        <is>
          <t>Non-Captive</t>
        </is>
      </c>
      <c r="L3546" s="20" t="inlineStr">
        <is>
          <t>SRI KARUPPAIYA CARS</t>
        </is>
      </c>
      <c r="M3546" s="23" t="n">
        <v>7627.12</v>
      </c>
    </row>
    <row r="3547">
      <c r="A3547" s="19" t="inlineStr">
        <is>
          <t>FY27</t>
        </is>
      </c>
      <c r="B3547" s="19" t="inlineStr">
        <is>
          <t>Aug</t>
        </is>
      </c>
      <c r="C3547" s="19" t="inlineStr">
        <is>
          <t>TN</t>
        </is>
      </c>
      <c r="D3547" s="20" t="inlineStr">
        <is>
          <t>TN87B2176</t>
        </is>
      </c>
      <c r="E3547" s="20" t="inlineStr">
        <is>
          <t>NISSAN</t>
        </is>
      </c>
      <c r="F3547" s="20" t="inlineStr">
        <is>
          <t>Kicks</t>
        </is>
      </c>
      <c r="G3547" s="21" t="n">
        <v>2018</v>
      </c>
      <c r="H3547" s="22" t="n">
        <v>110723</v>
      </c>
      <c r="I3547" s="22" t="n">
        <v>330000</v>
      </c>
      <c r="J3547" s="20" t="inlineStr"/>
      <c r="K3547" s="20" t="inlineStr">
        <is>
          <t>Non-Captive</t>
        </is>
      </c>
      <c r="L3547" s="20" t="inlineStr">
        <is>
          <t>SRI KARUPPAIYA CARS</t>
        </is>
      </c>
      <c r="M3547" s="23" t="n">
        <v>7627.12</v>
      </c>
    </row>
    <row r="3548">
      <c r="A3548" s="19" t="inlineStr">
        <is>
          <t>FY27</t>
        </is>
      </c>
      <c r="B3548" s="19" t="inlineStr">
        <is>
          <t>Aug</t>
        </is>
      </c>
      <c r="C3548" s="19" t="inlineStr">
        <is>
          <t>TN</t>
        </is>
      </c>
      <c r="D3548" s="20" t="inlineStr">
        <is>
          <t>TN01BC1650</t>
        </is>
      </c>
      <c r="E3548" s="20" t="inlineStr">
        <is>
          <t>HYUNDAI</t>
        </is>
      </c>
      <c r="F3548" s="20" t="inlineStr">
        <is>
          <t>Creta</t>
        </is>
      </c>
      <c r="G3548" s="21" t="n">
        <v>2017</v>
      </c>
      <c r="H3548" s="22" t="n">
        <v>100822</v>
      </c>
      <c r="I3548" s="22" t="n">
        <v>515000</v>
      </c>
      <c r="J3548" s="20" t="inlineStr">
        <is>
          <t>EXCHANGE CHENNAI</t>
        </is>
      </c>
      <c r="K3548" s="20" t="inlineStr">
        <is>
          <t>Captive</t>
        </is>
      </c>
      <c r="L3548" s="20" t="inlineStr">
        <is>
          <t>SANTHOSH CARS</t>
        </is>
      </c>
      <c r="M3548" s="23" t="n">
        <v>8474.58</v>
      </c>
    </row>
    <row r="3549">
      <c r="A3549" s="19" t="inlineStr">
        <is>
          <t>FY27</t>
        </is>
      </c>
      <c r="B3549" s="19" t="inlineStr">
        <is>
          <t>Aug</t>
        </is>
      </c>
      <c r="C3549" s="19" t="inlineStr">
        <is>
          <t>TN</t>
        </is>
      </c>
      <c r="D3549" s="20" t="inlineStr">
        <is>
          <t>TN22DK0137</t>
        </is>
      </c>
      <c r="E3549" s="20" t="inlineStr">
        <is>
          <t>FORD</t>
        </is>
      </c>
      <c r="F3549" s="20" t="inlineStr">
        <is>
          <t>Aspire</t>
        </is>
      </c>
      <c r="G3549" s="21" t="n">
        <v>2017</v>
      </c>
      <c r="H3549" s="22" t="n">
        <v>56418</v>
      </c>
      <c r="I3549" s="22" t="n">
        <v>360000</v>
      </c>
      <c r="J3549" s="20" t="inlineStr">
        <is>
          <t>EXCHANGE CHENNAI</t>
        </is>
      </c>
      <c r="K3549" s="20" t="inlineStr">
        <is>
          <t>Captive</t>
        </is>
      </c>
      <c r="L3549" s="20" t="inlineStr">
        <is>
          <t>NIRMAL CARS</t>
        </is>
      </c>
      <c r="M3549" s="23" t="n">
        <v>8474.58</v>
      </c>
    </row>
    <row r="3550">
      <c r="A3550" s="19" t="inlineStr">
        <is>
          <t>FY27</t>
        </is>
      </c>
      <c r="B3550" s="19" t="inlineStr">
        <is>
          <t>Aug</t>
        </is>
      </c>
      <c r="C3550" s="19" t="inlineStr">
        <is>
          <t>TN</t>
        </is>
      </c>
      <c r="D3550" s="20" t="inlineStr">
        <is>
          <t>TN02BR5284</t>
        </is>
      </c>
      <c r="E3550" s="20" t="inlineStr">
        <is>
          <t>HONDA</t>
        </is>
      </c>
      <c r="F3550" s="20" t="inlineStr">
        <is>
          <t>City</t>
        </is>
      </c>
      <c r="G3550" s="21" t="n">
        <v>2019</v>
      </c>
      <c r="H3550" s="22" t="n">
        <v>24668</v>
      </c>
      <c r="I3550" s="22" t="n">
        <v>570000</v>
      </c>
      <c r="J3550" s="20" t="inlineStr">
        <is>
          <t>EXCHANGE CHENNAI</t>
        </is>
      </c>
      <c r="K3550" s="20" t="inlineStr">
        <is>
          <t>Captive</t>
        </is>
      </c>
      <c r="L3550" s="20" t="inlineStr">
        <is>
          <t>SANTHOSH CARS</t>
        </is>
      </c>
      <c r="M3550" s="23" t="n">
        <v>8474.58</v>
      </c>
    </row>
    <row r="3551">
      <c r="A3551" s="19" t="inlineStr">
        <is>
          <t>FY27</t>
        </is>
      </c>
      <c r="B3551" s="19" t="inlineStr">
        <is>
          <t>Aug</t>
        </is>
      </c>
      <c r="C3551" s="19" t="inlineStr">
        <is>
          <t>TN</t>
        </is>
      </c>
      <c r="D3551" s="20" t="inlineStr">
        <is>
          <t>TN10AX8767</t>
        </is>
      </c>
      <c r="E3551" s="20" t="inlineStr">
        <is>
          <t>HONDA</t>
        </is>
      </c>
      <c r="F3551" s="20" t="inlineStr">
        <is>
          <t>City</t>
        </is>
      </c>
      <c r="G3551" s="21" t="n">
        <v>2016</v>
      </c>
      <c r="H3551" s="22" t="n">
        <v>82144</v>
      </c>
      <c r="I3551" s="22" t="n">
        <v>425000</v>
      </c>
      <c r="J3551" s="20" t="inlineStr">
        <is>
          <t>EXCHANGE CHENNAI</t>
        </is>
      </c>
      <c r="K3551" s="20" t="inlineStr">
        <is>
          <t>Captive</t>
        </is>
      </c>
      <c r="L3551" s="20" t="inlineStr">
        <is>
          <t>Maruthi Industries</t>
        </is>
      </c>
      <c r="M3551" s="23" t="n">
        <v>8474.58</v>
      </c>
    </row>
    <row r="3552">
      <c r="A3552" s="19" t="inlineStr">
        <is>
          <t>FY27</t>
        </is>
      </c>
      <c r="B3552" s="19" t="inlineStr">
        <is>
          <t>Aug</t>
        </is>
      </c>
      <c r="C3552" s="19" t="inlineStr">
        <is>
          <t>TN</t>
        </is>
      </c>
      <c r="D3552" s="20" t="inlineStr">
        <is>
          <t>TN18AV6039</t>
        </is>
      </c>
      <c r="E3552" s="20" t="inlineStr">
        <is>
          <t>TATA</t>
        </is>
      </c>
      <c r="F3552" s="20" t="inlineStr">
        <is>
          <t>Tigor</t>
        </is>
      </c>
      <c r="G3552" s="21" t="n">
        <v>2019</v>
      </c>
      <c r="H3552" s="22" t="n">
        <v>95898</v>
      </c>
      <c r="I3552" s="22" t="n">
        <v>340000</v>
      </c>
      <c r="J3552" s="20" t="inlineStr">
        <is>
          <t>EXCHANGE CHENNAI</t>
        </is>
      </c>
      <c r="K3552" s="20" t="inlineStr">
        <is>
          <t>Captive</t>
        </is>
      </c>
      <c r="L3552" s="20" t="inlineStr">
        <is>
          <t>NIRMAL CARS</t>
        </is>
      </c>
      <c r="M3552" s="23" t="n">
        <v>8474.58</v>
      </c>
    </row>
    <row r="3553">
      <c r="A3553" s="19" t="inlineStr">
        <is>
          <t>FY27</t>
        </is>
      </c>
      <c r="B3553" s="19" t="inlineStr">
        <is>
          <t>Aug</t>
        </is>
      </c>
      <c r="C3553" s="19" t="inlineStr">
        <is>
          <t>TN</t>
        </is>
      </c>
      <c r="D3553" s="20" t="inlineStr">
        <is>
          <t>TN39AY2080</t>
        </is>
      </c>
      <c r="E3553" s="20" t="inlineStr">
        <is>
          <t>MARUTI SUZUKI</t>
        </is>
      </c>
      <c r="F3553" s="20" t="inlineStr">
        <is>
          <t>Omni</t>
        </is>
      </c>
      <c r="G3553" s="21" t="n">
        <v>2010</v>
      </c>
      <c r="H3553" s="22" t="n">
        <v>110359</v>
      </c>
      <c r="I3553" s="22" t="n">
        <v>115000</v>
      </c>
      <c r="J3553" s="20" t="inlineStr">
        <is>
          <t>EXCHANGE ROTN</t>
        </is>
      </c>
      <c r="K3553" s="20" t="inlineStr">
        <is>
          <t>Captive</t>
        </is>
      </c>
      <c r="L3553" s="20" t="inlineStr">
        <is>
          <t>Chakrabani Auto Consulting</t>
        </is>
      </c>
      <c r="M3553" s="23" t="n">
        <v>16949.15</v>
      </c>
    </row>
    <row r="3554">
      <c r="A3554" s="19" t="inlineStr">
        <is>
          <t>FY27</t>
        </is>
      </c>
      <c r="B3554" s="19" t="inlineStr">
        <is>
          <t>Aug</t>
        </is>
      </c>
      <c r="C3554" s="19" t="inlineStr">
        <is>
          <t>TN</t>
        </is>
      </c>
      <c r="D3554" s="20" t="inlineStr">
        <is>
          <t>TN34AX0810</t>
        </is>
      </c>
      <c r="E3554" s="20" t="inlineStr">
        <is>
          <t>KIA</t>
        </is>
      </c>
      <c r="F3554" s="20" t="inlineStr">
        <is>
          <t>Seltos</t>
        </is>
      </c>
      <c r="G3554" s="21" t="n">
        <v>2020</v>
      </c>
      <c r="H3554" s="22" t="n">
        <v>82264</v>
      </c>
      <c r="I3554" s="22" t="n">
        <v>975000</v>
      </c>
      <c r="J3554" s="20" t="inlineStr">
        <is>
          <t>EXCHANGE ROTN</t>
        </is>
      </c>
      <c r="K3554" s="20" t="inlineStr">
        <is>
          <t>Captive</t>
        </is>
      </c>
      <c r="L3554" s="20" t="inlineStr">
        <is>
          <t>SIVASHANKAR CARS</t>
        </is>
      </c>
      <c r="M3554" s="23" t="n">
        <v>21186.44</v>
      </c>
    </row>
    <row r="3555">
      <c r="A3555" s="19" t="inlineStr">
        <is>
          <t>FY27</t>
        </is>
      </c>
      <c r="B3555" s="19" t="inlineStr">
        <is>
          <t>Aug</t>
        </is>
      </c>
      <c r="C3555" s="19" t="inlineStr">
        <is>
          <t>TN</t>
        </is>
      </c>
      <c r="D3555" s="20" t="inlineStr">
        <is>
          <t>TN39BH0254</t>
        </is>
      </c>
      <c r="E3555" s="20" t="inlineStr">
        <is>
          <t>RENAULT</t>
        </is>
      </c>
      <c r="F3555" s="20" t="inlineStr">
        <is>
          <t>Pulse</t>
        </is>
      </c>
      <c r="G3555" s="21" t="n">
        <v>2012</v>
      </c>
      <c r="H3555" s="22" t="n">
        <v>87095</v>
      </c>
      <c r="I3555" s="22" t="n">
        <v>180000</v>
      </c>
      <c r="J3555" s="20" t="inlineStr">
        <is>
          <t>EXCHANGE ROTN</t>
        </is>
      </c>
      <c r="K3555" s="20" t="inlineStr">
        <is>
          <t>Captive</t>
        </is>
      </c>
      <c r="L3555" s="20" t="inlineStr">
        <is>
          <t>Chakrabani Auto Consulting</t>
        </is>
      </c>
      <c r="M3555" s="23" t="n">
        <v>16949.15</v>
      </c>
    </row>
    <row r="3556">
      <c r="A3556" s="19" t="inlineStr">
        <is>
          <t>FY27</t>
        </is>
      </c>
      <c r="B3556" s="19" t="inlineStr">
        <is>
          <t>Aug</t>
        </is>
      </c>
      <c r="C3556" s="19" t="inlineStr">
        <is>
          <t>TN</t>
        </is>
      </c>
      <c r="D3556" s="20" t="inlineStr">
        <is>
          <t>TN52Z6754</t>
        </is>
      </c>
      <c r="E3556" s="20" t="inlineStr">
        <is>
          <t>MARUTI SUZUKI</t>
        </is>
      </c>
      <c r="F3556" s="20" t="inlineStr">
        <is>
          <t>Astar</t>
        </is>
      </c>
      <c r="G3556" s="21" t="n">
        <v>2009</v>
      </c>
      <c r="H3556" s="22" t="n">
        <v>146413</v>
      </c>
      <c r="I3556" s="22" t="n">
        <v>95000</v>
      </c>
      <c r="J3556" s="20" t="inlineStr">
        <is>
          <t>SREE SARADHAMBAL AUTOMOBILES PRIVATE LIMITED</t>
        </is>
      </c>
      <c r="K3556" s="20" t="inlineStr">
        <is>
          <t>Non-Captive</t>
        </is>
      </c>
      <c r="L3556" s="20" t="inlineStr">
        <is>
          <t>MADHURA CARS</t>
        </is>
      </c>
      <c r="M3556" s="23" t="n">
        <v>4237.29</v>
      </c>
    </row>
    <row r="3557">
      <c r="A3557" s="19" t="inlineStr">
        <is>
          <t>FY27</t>
        </is>
      </c>
      <c r="B3557" s="19" t="inlineStr">
        <is>
          <t>Aug</t>
        </is>
      </c>
      <c r="C3557" s="19" t="inlineStr">
        <is>
          <t>TN</t>
        </is>
      </c>
      <c r="D3557" s="20" t="inlineStr">
        <is>
          <t>TN48AB8209</t>
        </is>
      </c>
      <c r="E3557" s="20" t="inlineStr">
        <is>
          <t>DATSUN</t>
        </is>
      </c>
      <c r="F3557" s="20" t="inlineStr">
        <is>
          <t>Redi-Go</t>
        </is>
      </c>
      <c r="G3557" s="21" t="n">
        <v>2014</v>
      </c>
      <c r="H3557" s="22" t="n">
        <v>85109</v>
      </c>
      <c r="I3557" s="22" t="n">
        <v>80000</v>
      </c>
      <c r="J3557" s="20" t="inlineStr">
        <is>
          <t>SREE SARADHAMBAL AUTOMOBILES PRIVATE LIMITED</t>
        </is>
      </c>
      <c r="K3557" s="20" t="inlineStr">
        <is>
          <t>Non-Captive</t>
        </is>
      </c>
      <c r="L3557" s="20" t="inlineStr">
        <is>
          <t>MADHURA CARS</t>
        </is>
      </c>
      <c r="M3557" s="23" t="n">
        <v>4237.29</v>
      </c>
    </row>
    <row r="3558">
      <c r="A3558" s="19" t="inlineStr">
        <is>
          <t>FY27</t>
        </is>
      </c>
      <c r="B3558" s="19" t="inlineStr">
        <is>
          <t>Aug</t>
        </is>
      </c>
      <c r="C3558" s="19" t="inlineStr">
        <is>
          <t>TN</t>
        </is>
      </c>
      <c r="D3558" s="20" t="inlineStr">
        <is>
          <t>TN04AK3052</t>
        </is>
      </c>
      <c r="E3558" s="20" t="inlineStr">
        <is>
          <t>NISSAN</t>
        </is>
      </c>
      <c r="F3558" s="20" t="inlineStr">
        <is>
          <t>Micra</t>
        </is>
      </c>
      <c r="G3558" s="21" t="n">
        <v>2012</v>
      </c>
      <c r="H3558" s="22" t="n">
        <v>59084</v>
      </c>
      <c r="I3558" s="22" t="n">
        <v>95000</v>
      </c>
      <c r="J3558" s="20" t="inlineStr">
        <is>
          <t>SREE SARADHAMBAL AUTOMOBILES PRIVATE LIMITED</t>
        </is>
      </c>
      <c r="K3558" s="20" t="inlineStr">
        <is>
          <t>Non-Captive</t>
        </is>
      </c>
      <c r="L3558" s="20" t="inlineStr">
        <is>
          <t>MADHURA CARS</t>
        </is>
      </c>
      <c r="M3558" s="23" t="n">
        <v>4237.29</v>
      </c>
    </row>
    <row r="3559">
      <c r="A3559" s="19" t="inlineStr">
        <is>
          <t>FY27</t>
        </is>
      </c>
      <c r="B3559" s="19" t="inlineStr">
        <is>
          <t>Aug</t>
        </is>
      </c>
      <c r="C3559" s="19" t="inlineStr">
        <is>
          <t>TN</t>
        </is>
      </c>
      <c r="D3559" s="20" t="inlineStr">
        <is>
          <t>TN66C7202</t>
        </is>
      </c>
      <c r="E3559" s="20" t="inlineStr">
        <is>
          <t>MARUTI SUZUKI</t>
        </is>
      </c>
      <c r="F3559" s="20" t="inlineStr">
        <is>
          <t>Wagonr</t>
        </is>
      </c>
      <c r="G3559" s="21" t="n">
        <v>2011</v>
      </c>
      <c r="H3559" s="22" t="n">
        <v>99651</v>
      </c>
      <c r="I3559" s="22" t="n">
        <v>93000</v>
      </c>
      <c r="J3559" s="20" t="inlineStr">
        <is>
          <t>ABT LIMITED</t>
        </is>
      </c>
      <c r="K3559" s="20" t="inlineStr">
        <is>
          <t>Non-Captive</t>
        </is>
      </c>
      <c r="L3559" s="20" t="inlineStr">
        <is>
          <t>MADHURA CARS</t>
        </is>
      </c>
      <c r="M3559" s="23" t="n">
        <v>4237.29</v>
      </c>
    </row>
    <row r="3560">
      <c r="A3560" s="19" t="inlineStr">
        <is>
          <t>FY27</t>
        </is>
      </c>
      <c r="B3560" s="19" t="inlineStr">
        <is>
          <t>Aug</t>
        </is>
      </c>
      <c r="C3560" s="19" t="inlineStr">
        <is>
          <t>TN</t>
        </is>
      </c>
      <c r="D3560" s="20" t="inlineStr">
        <is>
          <t>TN66M9841</t>
        </is>
      </c>
      <c r="E3560" s="20" t="inlineStr">
        <is>
          <t>HONDA</t>
        </is>
      </c>
      <c r="F3560" s="20" t="inlineStr">
        <is>
          <t>City</t>
        </is>
      </c>
      <c r="G3560" s="21" t="n">
        <v>2015</v>
      </c>
      <c r="H3560" s="22" t="n">
        <v>210081</v>
      </c>
      <c r="I3560" s="22" t="n">
        <v>315100</v>
      </c>
      <c r="J3560" s="20" t="inlineStr">
        <is>
          <t>EXCHANGE ROTN</t>
        </is>
      </c>
      <c r="K3560" s="20" t="inlineStr">
        <is>
          <t>Captive</t>
        </is>
      </c>
      <c r="L3560" s="20" t="inlineStr">
        <is>
          <t>SRI VIGNESH PRE OWNED CARS</t>
        </is>
      </c>
      <c r="M3560" s="23" t="n">
        <v>33898.31</v>
      </c>
    </row>
    <row r="3561">
      <c r="A3561" s="19" t="inlineStr">
        <is>
          <t>FY27</t>
        </is>
      </c>
      <c r="B3561" s="19" t="inlineStr">
        <is>
          <t>Aug</t>
        </is>
      </c>
      <c r="C3561" s="19" t="inlineStr">
        <is>
          <t>TN</t>
        </is>
      </c>
      <c r="D3561" s="20" t="inlineStr">
        <is>
          <t>TN67F7979</t>
        </is>
      </c>
      <c r="E3561" s="20" t="inlineStr">
        <is>
          <t>HONDA</t>
        </is>
      </c>
      <c r="F3561" s="20" t="inlineStr">
        <is>
          <t>Civic</t>
        </is>
      </c>
      <c r="G3561" s="21" t="n">
        <v>2006</v>
      </c>
      <c r="H3561" s="22" t="n">
        <v>108668</v>
      </c>
      <c r="I3561" s="22" t="n">
        <v>180000</v>
      </c>
      <c r="J3561" s="20" t="inlineStr">
        <is>
          <t>EXCHANGE ROTN</t>
        </is>
      </c>
      <c r="K3561" s="20" t="inlineStr">
        <is>
          <t>Captive</t>
        </is>
      </c>
      <c r="L3561" s="20" t="inlineStr">
        <is>
          <t>KSM AUTO CONSULTING</t>
        </is>
      </c>
      <c r="M3561" s="23" t="n">
        <v>12711.86</v>
      </c>
    </row>
    <row r="3562">
      <c r="A3562" s="19" t="inlineStr">
        <is>
          <t>FY27</t>
        </is>
      </c>
      <c r="B3562" s="19" t="inlineStr">
        <is>
          <t>Aug</t>
        </is>
      </c>
      <c r="C3562" s="19" t="inlineStr">
        <is>
          <t>TN</t>
        </is>
      </c>
      <c r="D3562" s="20" t="inlineStr">
        <is>
          <t>TN30B5292</t>
        </is>
      </c>
      <c r="E3562" s="20" t="inlineStr">
        <is>
          <t>TATA</t>
        </is>
      </c>
      <c r="F3562" s="20" t="inlineStr">
        <is>
          <t>Indica</t>
        </is>
      </c>
      <c r="G3562" s="21" t="n">
        <v>2002</v>
      </c>
      <c r="H3562" s="22" t="n">
        <v>170451</v>
      </c>
      <c r="I3562" s="22" t="n">
        <v>25000</v>
      </c>
      <c r="J3562" s="20" t="inlineStr">
        <is>
          <t>S M CAR PRIVATE LIMITED</t>
        </is>
      </c>
      <c r="K3562" s="20" t="inlineStr">
        <is>
          <t>Non-Captive</t>
        </is>
      </c>
      <c r="L3562" s="20" t="inlineStr">
        <is>
          <t>APM cars</t>
        </is>
      </c>
      <c r="M3562" s="23" t="n">
        <v>4237.29</v>
      </c>
    </row>
    <row r="3563">
      <c r="A3563" s="19" t="inlineStr">
        <is>
          <t>FY27</t>
        </is>
      </c>
      <c r="B3563" s="19" t="inlineStr">
        <is>
          <t>Aug</t>
        </is>
      </c>
      <c r="C3563" s="19" t="inlineStr">
        <is>
          <t>TN</t>
        </is>
      </c>
      <c r="D3563" s="20" t="inlineStr">
        <is>
          <t>MH14EU4059</t>
        </is>
      </c>
      <c r="E3563" s="20" t="inlineStr">
        <is>
          <t>HYUNDAI</t>
        </is>
      </c>
      <c r="F3563" s="20" t="inlineStr">
        <is>
          <t>I10</t>
        </is>
      </c>
      <c r="G3563" s="21" t="n">
        <v>2014</v>
      </c>
      <c r="H3563" s="22" t="n">
        <v>49995</v>
      </c>
      <c r="I3563" s="22" t="n">
        <v>75000</v>
      </c>
      <c r="J3563" s="20" t="inlineStr">
        <is>
          <t>S M CAR PRIVATE LIMITED</t>
        </is>
      </c>
      <c r="K3563" s="20" t="inlineStr">
        <is>
          <t>Non-Captive</t>
        </is>
      </c>
      <c r="L3563" s="20" t="inlineStr">
        <is>
          <t>APM cars</t>
        </is>
      </c>
      <c r="M3563" s="23" t="n">
        <v>4237.29</v>
      </c>
    </row>
    <row r="3564">
      <c r="A3564" s="19" t="inlineStr">
        <is>
          <t>FY27</t>
        </is>
      </c>
      <c r="B3564" s="19" t="inlineStr">
        <is>
          <t>Aug</t>
        </is>
      </c>
      <c r="C3564" s="19" t="inlineStr">
        <is>
          <t>TN</t>
        </is>
      </c>
      <c r="D3564" s="20" t="inlineStr">
        <is>
          <t>TN30AH1603</t>
        </is>
      </c>
      <c r="E3564" s="20" t="inlineStr">
        <is>
          <t>HYUNDAI</t>
        </is>
      </c>
      <c r="F3564" s="20" t="inlineStr">
        <is>
          <t>Santro</t>
        </is>
      </c>
      <c r="G3564" s="21" t="n">
        <v>2010</v>
      </c>
      <c r="H3564" s="22" t="n">
        <v>101933</v>
      </c>
      <c r="I3564" s="22" t="n">
        <v>80000</v>
      </c>
      <c r="J3564" s="20" t="inlineStr">
        <is>
          <t>S M CAR PRIVATE LIMITED</t>
        </is>
      </c>
      <c r="K3564" s="20" t="inlineStr">
        <is>
          <t>Non-Captive</t>
        </is>
      </c>
      <c r="L3564" s="20" t="inlineStr">
        <is>
          <t>APM cars</t>
        </is>
      </c>
      <c r="M3564" s="23" t="n">
        <v>4237.29</v>
      </c>
    </row>
    <row r="3565">
      <c r="A3565" s="19" t="inlineStr">
        <is>
          <t>FY27</t>
        </is>
      </c>
      <c r="B3565" s="19" t="inlineStr">
        <is>
          <t>Aug</t>
        </is>
      </c>
      <c r="C3565" s="19" t="inlineStr">
        <is>
          <t>TN</t>
        </is>
      </c>
      <c r="D3565" s="20" t="inlineStr">
        <is>
          <t>TN58BE1656</t>
        </is>
      </c>
      <c r="E3565" s="20" t="inlineStr">
        <is>
          <t>HONDA</t>
        </is>
      </c>
      <c r="F3565" s="20" t="inlineStr">
        <is>
          <t>Amaze</t>
        </is>
      </c>
      <c r="G3565" s="21" t="n">
        <v>2021</v>
      </c>
      <c r="H3565" s="22" t="n">
        <v>87084</v>
      </c>
      <c r="I3565" s="22" t="n">
        <v>450000</v>
      </c>
      <c r="J3565" s="20" t="inlineStr">
        <is>
          <t>EXCHANGE ROTN</t>
        </is>
      </c>
      <c r="K3565" s="20" t="inlineStr">
        <is>
          <t>Captive</t>
        </is>
      </c>
      <c r="L3565" s="20" t="inlineStr">
        <is>
          <t>GGEE Cars</t>
        </is>
      </c>
      <c r="M3565" s="23" t="n">
        <v>25423.73</v>
      </c>
    </row>
    <row r="3566">
      <c r="A3566" s="19" t="inlineStr">
        <is>
          <t>FY27</t>
        </is>
      </c>
      <c r="B3566" s="19" t="inlineStr">
        <is>
          <t>Aug</t>
        </is>
      </c>
      <c r="C3566" s="19" t="inlineStr">
        <is>
          <t>TN</t>
        </is>
      </c>
      <c r="D3566" s="20" t="inlineStr">
        <is>
          <t>TN59CL4794</t>
        </is>
      </c>
      <c r="E3566" s="20" t="inlineStr">
        <is>
          <t>JEEP</t>
        </is>
      </c>
      <c r="F3566" s="20" t="inlineStr">
        <is>
          <t>Compass</t>
        </is>
      </c>
      <c r="G3566" s="21" t="n">
        <v>2021</v>
      </c>
      <c r="H3566" s="22" t="n">
        <v>59495</v>
      </c>
      <c r="I3566" s="22" t="n">
        <v>810000</v>
      </c>
      <c r="J3566" s="20" t="inlineStr">
        <is>
          <t>EXCHANGE ROTN</t>
        </is>
      </c>
      <c r="K3566" s="20" t="inlineStr">
        <is>
          <t>Captive</t>
        </is>
      </c>
      <c r="L3566" s="20" t="inlineStr">
        <is>
          <t>READY TO RIDE CARS</t>
        </is>
      </c>
      <c r="M3566" s="23" t="n">
        <v>25423.73</v>
      </c>
    </row>
    <row r="3567">
      <c r="A3567" s="19" t="inlineStr">
        <is>
          <t>FY27</t>
        </is>
      </c>
      <c r="B3567" s="19" t="inlineStr">
        <is>
          <t>Aug</t>
        </is>
      </c>
      <c r="C3567" s="19" t="inlineStr">
        <is>
          <t>TN</t>
        </is>
      </c>
      <c r="D3567" s="20" t="inlineStr">
        <is>
          <t>TN69AJ5824</t>
        </is>
      </c>
      <c r="E3567" s="20" t="inlineStr">
        <is>
          <t>HONDA</t>
        </is>
      </c>
      <c r="F3567" s="20" t="inlineStr">
        <is>
          <t>Amaze</t>
        </is>
      </c>
      <c r="G3567" s="21" t="n">
        <v>2013</v>
      </c>
      <c r="H3567" s="22" t="n">
        <v>138940</v>
      </c>
      <c r="I3567" s="22" t="n">
        <v>220000</v>
      </c>
      <c r="J3567" s="20" t="inlineStr">
        <is>
          <t>EXCHANGE ROTN</t>
        </is>
      </c>
      <c r="K3567" s="20" t="inlineStr">
        <is>
          <t>Captive</t>
        </is>
      </c>
      <c r="L3567" s="20" t="inlineStr">
        <is>
          <t>SIVASHANKAR CARS</t>
        </is>
      </c>
      <c r="M3567" s="23" t="n">
        <v>12711.86</v>
      </c>
    </row>
    <row r="3568">
      <c r="A3568" s="19" t="inlineStr">
        <is>
          <t>FY27</t>
        </is>
      </c>
      <c r="B3568" s="19" t="inlineStr">
        <is>
          <t>Aug</t>
        </is>
      </c>
      <c r="C3568" s="19" t="inlineStr">
        <is>
          <t>TN</t>
        </is>
      </c>
      <c r="D3568" s="20" t="inlineStr">
        <is>
          <t>TN38CJ8437</t>
        </is>
      </c>
      <c r="E3568" s="20" t="inlineStr">
        <is>
          <t>MARUTI SUZUKI</t>
        </is>
      </c>
      <c r="F3568" s="20" t="inlineStr">
        <is>
          <t>Ciaz</t>
        </is>
      </c>
      <c r="G3568" s="21" t="n">
        <v>2017</v>
      </c>
      <c r="H3568" s="22" t="n">
        <v>80768</v>
      </c>
      <c r="I3568" s="22" t="n">
        <v>620000</v>
      </c>
      <c r="J3568" s="20" t="inlineStr">
        <is>
          <t>EXCHANGE ROTN</t>
        </is>
      </c>
      <c r="K3568" s="20" t="inlineStr">
        <is>
          <t>Captive</t>
        </is>
      </c>
      <c r="L3568" s="20" t="inlineStr">
        <is>
          <t>YUGA DHEERAN CARS</t>
        </is>
      </c>
      <c r="M3568" s="23" t="n">
        <v>12711.86</v>
      </c>
    </row>
    <row r="3569">
      <c r="A3569" s="19" t="inlineStr">
        <is>
          <t>FY27</t>
        </is>
      </c>
      <c r="B3569" s="19" t="inlineStr">
        <is>
          <t>Aug</t>
        </is>
      </c>
      <c r="C3569" s="19" t="inlineStr">
        <is>
          <t>TN</t>
        </is>
      </c>
      <c r="D3569" s="20" t="inlineStr">
        <is>
          <t>TN66P1899</t>
        </is>
      </c>
      <c r="E3569" s="20" t="inlineStr">
        <is>
          <t>HONDA</t>
        </is>
      </c>
      <c r="F3569" s="20" t="inlineStr">
        <is>
          <t>Amaze</t>
        </is>
      </c>
      <c r="G3569" s="21" t="n">
        <v>2015</v>
      </c>
      <c r="H3569" s="22" t="n">
        <v>92713</v>
      </c>
      <c r="I3569" s="22" t="n">
        <v>275000</v>
      </c>
      <c r="J3569" s="20" t="inlineStr">
        <is>
          <t>EXCHANGE ROTN</t>
        </is>
      </c>
      <c r="K3569" s="20" t="inlineStr">
        <is>
          <t>Captive</t>
        </is>
      </c>
      <c r="L3569" s="20" t="inlineStr">
        <is>
          <t>SR AUTO CONSULTING</t>
        </is>
      </c>
      <c r="M3569" s="23" t="n">
        <v>12711.86</v>
      </c>
    </row>
    <row r="3570">
      <c r="A3570" s="19" t="inlineStr">
        <is>
          <t>FY27</t>
        </is>
      </c>
      <c r="B3570" s="19" t="inlineStr">
        <is>
          <t>Aug</t>
        </is>
      </c>
      <c r="C3570" s="19" t="inlineStr">
        <is>
          <t>TN</t>
        </is>
      </c>
      <c r="D3570" s="20" t="inlineStr">
        <is>
          <t>TN30AB2273</t>
        </is>
      </c>
      <c r="E3570" s="20" t="inlineStr">
        <is>
          <t>MARUTI SUZUKI</t>
        </is>
      </c>
      <c r="F3570" s="20" t="inlineStr">
        <is>
          <t>Alto</t>
        </is>
      </c>
      <c r="G3570" s="21" t="n">
        <v>2007</v>
      </c>
      <c r="H3570" s="22" t="n">
        <v>299273</v>
      </c>
      <c r="I3570" s="22" t="n">
        <v>55000</v>
      </c>
      <c r="J3570" s="20" t="inlineStr">
        <is>
          <t>SREE SARADHAMBAL AUTOMOBILES PRIVATE LIMITED</t>
        </is>
      </c>
      <c r="K3570" s="20" t="inlineStr">
        <is>
          <t>Non-Captive</t>
        </is>
      </c>
      <c r="L3570" s="20" t="inlineStr">
        <is>
          <t>SARVESH CAARS</t>
        </is>
      </c>
      <c r="M3570" s="23" t="n">
        <v>4237.29</v>
      </c>
    </row>
    <row r="3571">
      <c r="A3571" s="19" t="inlineStr">
        <is>
          <t>FY27</t>
        </is>
      </c>
      <c r="B3571" s="19" t="inlineStr">
        <is>
          <t>Aug</t>
        </is>
      </c>
      <c r="C3571" s="19" t="inlineStr">
        <is>
          <t>TN</t>
        </is>
      </c>
      <c r="D3571" s="20" t="inlineStr">
        <is>
          <t>TN30BH3402</t>
        </is>
      </c>
      <c r="E3571" s="20" t="inlineStr">
        <is>
          <t>TATA</t>
        </is>
      </c>
      <c r="F3571" s="20" t="inlineStr">
        <is>
          <t>Nano</t>
        </is>
      </c>
      <c r="G3571" s="21" t="n">
        <v>2016</v>
      </c>
      <c r="H3571" s="22" t="n">
        <v>60659</v>
      </c>
      <c r="I3571" s="22" t="n">
        <v>78000</v>
      </c>
      <c r="J3571" s="20" t="inlineStr"/>
      <c r="K3571" s="20" t="inlineStr">
        <is>
          <t>Non-Captive</t>
        </is>
      </c>
      <c r="L3571" s="20" t="inlineStr">
        <is>
          <t>SARVESH CAARS</t>
        </is>
      </c>
      <c r="M3571" s="23" t="n">
        <v>4237.29</v>
      </c>
    </row>
    <row r="3572">
      <c r="A3572" s="19" t="inlineStr">
        <is>
          <t>FY27</t>
        </is>
      </c>
      <c r="B3572" s="19" t="inlineStr">
        <is>
          <t>Aug</t>
        </is>
      </c>
      <c r="C3572" s="19" t="inlineStr">
        <is>
          <t>TN</t>
        </is>
      </c>
      <c r="D3572" s="20" t="inlineStr">
        <is>
          <t>TN09AV6950</t>
        </is>
      </c>
      <c r="E3572" s="20" t="inlineStr">
        <is>
          <t>TATA</t>
        </is>
      </c>
      <c r="F3572" s="20" t="inlineStr">
        <is>
          <t>Indigo</t>
        </is>
      </c>
      <c r="G3572" s="21" t="n">
        <v>2007</v>
      </c>
      <c r="H3572" s="22" t="n">
        <v>139359</v>
      </c>
      <c r="I3572" s="22" t="n">
        <v>80000</v>
      </c>
      <c r="J3572" s="20" t="inlineStr">
        <is>
          <t>SREE SARADHAMBAL AUTOMOBILES PRIVATE LIMITED</t>
        </is>
      </c>
      <c r="K3572" s="20" t="inlineStr">
        <is>
          <t>Non-Captive</t>
        </is>
      </c>
      <c r="L3572" s="20" t="inlineStr">
        <is>
          <t>SARVESH CAARS</t>
        </is>
      </c>
      <c r="M3572" s="23" t="n">
        <v>4237.29</v>
      </c>
    </row>
    <row r="3573">
      <c r="A3573" s="19" t="inlineStr">
        <is>
          <t>FY27</t>
        </is>
      </c>
      <c r="B3573" s="19" t="inlineStr">
        <is>
          <t>Aug</t>
        </is>
      </c>
      <c r="C3573" s="19" t="inlineStr">
        <is>
          <t>TN</t>
        </is>
      </c>
      <c r="D3573" s="20" t="inlineStr">
        <is>
          <t>TN18U1859</t>
        </is>
      </c>
      <c r="E3573" s="20" t="inlineStr">
        <is>
          <t>HONDA</t>
        </is>
      </c>
      <c r="F3573" s="20" t="inlineStr">
        <is>
          <t>Amaze</t>
        </is>
      </c>
      <c r="G3573" s="21" t="n">
        <v>2013</v>
      </c>
      <c r="H3573" s="22" t="n">
        <v>99999</v>
      </c>
      <c r="I3573" s="22" t="n">
        <v>125000</v>
      </c>
      <c r="J3573" s="20" t="inlineStr">
        <is>
          <t>Castel Traders HONADA</t>
        </is>
      </c>
      <c r="K3573" s="20" t="inlineStr">
        <is>
          <t>Non-Captive</t>
        </is>
      </c>
      <c r="L3573" s="20" t="inlineStr">
        <is>
          <t>Aasim Motors</t>
        </is>
      </c>
      <c r="M3573" s="23" t="n">
        <v>4237.29</v>
      </c>
    </row>
    <row r="3574">
      <c r="A3574" s="19" t="inlineStr">
        <is>
          <t>FY27</t>
        </is>
      </c>
      <c r="B3574" s="19" t="inlineStr">
        <is>
          <t>Aug</t>
        </is>
      </c>
      <c r="C3574" s="19" t="inlineStr">
        <is>
          <t>TN</t>
        </is>
      </c>
      <c r="D3574" s="20" t="inlineStr">
        <is>
          <t>TN05AU0708</t>
        </is>
      </c>
      <c r="E3574" s="20" t="inlineStr">
        <is>
          <t>MARUTI SUZUKI</t>
        </is>
      </c>
      <c r="F3574" s="20" t="inlineStr">
        <is>
          <t>Alto K10</t>
        </is>
      </c>
      <c r="G3574" s="21" t="n">
        <v>2013</v>
      </c>
      <c r="H3574" s="22" t="n">
        <v>85563</v>
      </c>
      <c r="I3574" s="22" t="n">
        <v>170000</v>
      </c>
      <c r="J3574" s="20" t="inlineStr">
        <is>
          <t>CASTLE TRADERS Maruti</t>
        </is>
      </c>
      <c r="K3574" s="20" t="inlineStr">
        <is>
          <t>Non-Captive</t>
        </is>
      </c>
      <c r="L3574" s="20" t="inlineStr">
        <is>
          <t>AS CARS</t>
        </is>
      </c>
      <c r="M3574" s="23" t="n">
        <v>5932.2</v>
      </c>
    </row>
    <row r="3575">
      <c r="A3575" s="19" t="inlineStr">
        <is>
          <t>FY27</t>
        </is>
      </c>
      <c r="B3575" s="19" t="inlineStr">
        <is>
          <t>Aug</t>
        </is>
      </c>
      <c r="C3575" s="19" t="inlineStr">
        <is>
          <t>TN</t>
        </is>
      </c>
      <c r="D3575" s="20" t="inlineStr">
        <is>
          <t>TN01BC7971</t>
        </is>
      </c>
      <c r="E3575" s="20" t="inlineStr">
        <is>
          <t>MARUTI SUZUKI</t>
        </is>
      </c>
      <c r="F3575" s="20" t="inlineStr">
        <is>
          <t>Baleno</t>
        </is>
      </c>
      <c r="G3575" s="21" t="n">
        <v>2017</v>
      </c>
      <c r="H3575" s="22" t="n">
        <v>51305</v>
      </c>
      <c r="I3575" s="22" t="n">
        <v>99000</v>
      </c>
      <c r="J3575" s="20" t="inlineStr">
        <is>
          <t>Indus</t>
        </is>
      </c>
      <c r="K3575" s="20" t="inlineStr">
        <is>
          <t>Non-Captive</t>
        </is>
      </c>
      <c r="L3575" s="20" t="inlineStr">
        <is>
          <t>CARS24</t>
        </is>
      </c>
      <c r="M3575" s="23" t="n">
        <v>3389.83</v>
      </c>
    </row>
    <row r="3576">
      <c r="A3576" s="19" t="inlineStr">
        <is>
          <t>FY27</t>
        </is>
      </c>
      <c r="B3576" s="19" t="inlineStr">
        <is>
          <t>Aug</t>
        </is>
      </c>
      <c r="C3576" s="19" t="inlineStr">
        <is>
          <t>TN</t>
        </is>
      </c>
      <c r="D3576" s="20" t="inlineStr">
        <is>
          <t>TN19AD2800</t>
        </is>
      </c>
      <c r="E3576" s="20" t="inlineStr">
        <is>
          <t>HONDA</t>
        </is>
      </c>
      <c r="F3576" s="20" t="inlineStr">
        <is>
          <t>City</t>
        </is>
      </c>
      <c r="G3576" s="21" t="n">
        <v>2017</v>
      </c>
      <c r="H3576" s="22" t="n">
        <v>99354</v>
      </c>
      <c r="I3576" s="22" t="n">
        <v>98000</v>
      </c>
      <c r="J3576" s="20" t="inlineStr">
        <is>
          <t>Indus</t>
        </is>
      </c>
      <c r="K3576" s="20" t="inlineStr">
        <is>
          <t>Non-Captive</t>
        </is>
      </c>
      <c r="L3576" s="20" t="inlineStr">
        <is>
          <t>CARS24</t>
        </is>
      </c>
      <c r="M3576" s="23" t="n">
        <v>4237.29</v>
      </c>
    </row>
    <row r="3577">
      <c r="A3577" s="19" t="inlineStr">
        <is>
          <t>FY27</t>
        </is>
      </c>
      <c r="B3577" s="19" t="inlineStr">
        <is>
          <t>Aug</t>
        </is>
      </c>
      <c r="C3577" s="19" t="inlineStr">
        <is>
          <t>TN</t>
        </is>
      </c>
      <c r="D3577" s="20" t="inlineStr">
        <is>
          <t>TN22EF1986</t>
        </is>
      </c>
      <c r="E3577" s="20" t="inlineStr">
        <is>
          <t>MARUTI SUZUKI</t>
        </is>
      </c>
      <c r="F3577" s="20" t="inlineStr">
        <is>
          <t>Swift</t>
        </is>
      </c>
      <c r="G3577" s="21" t="n">
        <v>2025</v>
      </c>
      <c r="H3577" s="22" t="n">
        <v>71028</v>
      </c>
      <c r="I3577" s="22" t="n">
        <v>99000</v>
      </c>
      <c r="J3577" s="20" t="inlineStr">
        <is>
          <t>Indus</t>
        </is>
      </c>
      <c r="K3577" s="20" t="inlineStr">
        <is>
          <t>Non-Captive</t>
        </is>
      </c>
      <c r="L3577" s="20" t="inlineStr">
        <is>
          <t>CARS24</t>
        </is>
      </c>
      <c r="M3577" s="23" t="n">
        <v>4237.29</v>
      </c>
    </row>
    <row r="3578">
      <c r="A3578" s="19" t="inlineStr">
        <is>
          <t>FY27</t>
        </is>
      </c>
      <c r="B3578" s="19" t="inlineStr">
        <is>
          <t>Aug</t>
        </is>
      </c>
      <c r="C3578" s="19" t="inlineStr">
        <is>
          <t>TN</t>
        </is>
      </c>
      <c r="D3578" s="20" t="inlineStr">
        <is>
          <t>TN03E8105</t>
        </is>
      </c>
      <c r="E3578" s="20" t="inlineStr">
        <is>
          <t>MARUTI SUZUKI</t>
        </is>
      </c>
      <c r="F3578" s="20" t="inlineStr">
        <is>
          <t>Swift</t>
        </is>
      </c>
      <c r="G3578" s="21" t="n">
        <v>2011</v>
      </c>
      <c r="H3578" s="22" t="n">
        <v>60101</v>
      </c>
      <c r="I3578" s="22" t="n">
        <v>78000</v>
      </c>
      <c r="J3578" s="20" t="inlineStr">
        <is>
          <t>AIE CARS PRIVATE LIMITED</t>
        </is>
      </c>
      <c r="K3578" s="20" t="inlineStr">
        <is>
          <t>Non-Captive</t>
        </is>
      </c>
      <c r="L3578" s="20" t="inlineStr">
        <is>
          <t>GRID 33</t>
        </is>
      </c>
      <c r="M3578" s="23" t="n">
        <v>4237.29</v>
      </c>
    </row>
    <row r="3579">
      <c r="A3579" s="19" t="inlineStr">
        <is>
          <t>FY27</t>
        </is>
      </c>
      <c r="B3579" s="19" t="inlineStr">
        <is>
          <t>Aug</t>
        </is>
      </c>
      <c r="C3579" s="19" t="inlineStr">
        <is>
          <t>TN</t>
        </is>
      </c>
      <c r="D3579" s="20" t="inlineStr">
        <is>
          <t>TN38CU1153</t>
        </is>
      </c>
      <c r="E3579" s="20" t="inlineStr">
        <is>
          <t>RENAULT</t>
        </is>
      </c>
      <c r="F3579" s="20" t="inlineStr">
        <is>
          <t>Kwid</t>
        </is>
      </c>
      <c r="G3579" s="21" t="n">
        <v>2019</v>
      </c>
      <c r="H3579" s="22" t="n">
        <v>37223</v>
      </c>
      <c r="I3579" s="22" t="n">
        <v>89000</v>
      </c>
      <c r="J3579" s="20" t="inlineStr">
        <is>
          <t>PRODUCTIVITY ELEMENTS PRIVATE LIMITED</t>
        </is>
      </c>
      <c r="K3579" s="20" t="inlineStr">
        <is>
          <t>Non-Captive</t>
        </is>
      </c>
      <c r="L3579" s="20" t="inlineStr">
        <is>
          <t>GRID 33</t>
        </is>
      </c>
      <c r="M3579" s="23" t="n">
        <v>4237.29</v>
      </c>
    </row>
    <row r="3580">
      <c r="A3580" s="19" t="inlineStr">
        <is>
          <t>FY27</t>
        </is>
      </c>
      <c r="B3580" s="19" t="inlineStr">
        <is>
          <t>Aug</t>
        </is>
      </c>
      <c r="C3580" s="19" t="inlineStr">
        <is>
          <t>TN</t>
        </is>
      </c>
      <c r="D3580" s="20" t="inlineStr">
        <is>
          <t>TN30AM0702</t>
        </is>
      </c>
      <c r="E3580" s="20" t="inlineStr">
        <is>
          <t>TATA</t>
        </is>
      </c>
      <c r="F3580" s="20" t="inlineStr">
        <is>
          <t>Indica</t>
        </is>
      </c>
      <c r="G3580" s="21" t="n">
        <v>2011</v>
      </c>
      <c r="H3580" s="22" t="n">
        <v>99999</v>
      </c>
      <c r="I3580" s="22" t="n">
        <v>195000</v>
      </c>
      <c r="J3580" s="20" t="inlineStr">
        <is>
          <t>NIRMAL</t>
        </is>
      </c>
      <c r="K3580" s="20" t="inlineStr">
        <is>
          <t>Non-Captive</t>
        </is>
      </c>
      <c r="L3580" s="20" t="inlineStr">
        <is>
          <t>SRI KARUPPAIYA CARS</t>
        </is>
      </c>
      <c r="M3580" s="23" t="n">
        <v>5084.75</v>
      </c>
    </row>
    <row r="3581">
      <c r="A3581" s="19" t="inlineStr">
        <is>
          <t>FY27</t>
        </is>
      </c>
      <c r="B3581" s="19" t="inlineStr">
        <is>
          <t>Aug</t>
        </is>
      </c>
      <c r="C3581" s="19" t="inlineStr">
        <is>
          <t>TN</t>
        </is>
      </c>
      <c r="D3581" s="20" t="inlineStr">
        <is>
          <t>TN22AW4559</t>
        </is>
      </c>
      <c r="E3581" s="20" t="inlineStr">
        <is>
          <t>TATA</t>
        </is>
      </c>
      <c r="F3581" s="20" t="inlineStr">
        <is>
          <t>Indica</t>
        </is>
      </c>
      <c r="G3581" s="21" t="n">
        <v>2007</v>
      </c>
      <c r="H3581" s="22" t="n">
        <v>74878</v>
      </c>
      <c r="I3581" s="22" t="n">
        <v>194000</v>
      </c>
      <c r="J3581" s="20" t="inlineStr">
        <is>
          <t>Shree Thiya cars</t>
        </is>
      </c>
      <c r="K3581" s="20" t="inlineStr">
        <is>
          <t>Non-Captive</t>
        </is>
      </c>
      <c r="L3581" s="20" t="inlineStr">
        <is>
          <t>SRI KARUPPAIYA CARS</t>
        </is>
      </c>
      <c r="M3581" s="23" t="n">
        <v>5084.75</v>
      </c>
    </row>
    <row r="3582">
      <c r="A3582" s="19" t="inlineStr">
        <is>
          <t>FY27</t>
        </is>
      </c>
      <c r="B3582" s="19" t="inlineStr">
        <is>
          <t>Aug</t>
        </is>
      </c>
      <c r="C3582" s="19" t="inlineStr">
        <is>
          <t>TN</t>
        </is>
      </c>
      <c r="D3582" s="20" t="inlineStr">
        <is>
          <t>TN43C5960</t>
        </is>
      </c>
      <c r="E3582" s="20" t="inlineStr">
        <is>
          <t>MARUTI SUZUKI</t>
        </is>
      </c>
      <c r="F3582" s="20" t="inlineStr">
        <is>
          <t>Swift</t>
        </is>
      </c>
      <c r="G3582" s="21" t="n">
        <v>2009</v>
      </c>
      <c r="H3582" s="22" t="n">
        <v>93423</v>
      </c>
      <c r="I3582" s="22" t="n">
        <v>98000</v>
      </c>
      <c r="J3582" s="20" t="inlineStr">
        <is>
          <t>Lakshmi Tata</t>
        </is>
      </c>
      <c r="K3582" s="20" t="inlineStr">
        <is>
          <t>Non-Captive</t>
        </is>
      </c>
      <c r="L3582" s="20" t="inlineStr">
        <is>
          <t>SRI KARUPPAIYA CARS</t>
        </is>
      </c>
      <c r="M3582" s="23" t="n">
        <v>4237.29</v>
      </c>
    </row>
    <row r="3583">
      <c r="A3583" s="19" t="inlineStr">
        <is>
          <t>FY27</t>
        </is>
      </c>
      <c r="B3583" s="19" t="inlineStr">
        <is>
          <t>Aug</t>
        </is>
      </c>
      <c r="C3583" s="19" t="inlineStr">
        <is>
          <t>TN</t>
        </is>
      </c>
      <c r="D3583" s="20" t="inlineStr">
        <is>
          <t>TN43F7472</t>
        </is>
      </c>
      <c r="E3583" s="20" t="inlineStr">
        <is>
          <t>MARUTI SUZUKI</t>
        </is>
      </c>
      <c r="F3583" s="20" t="inlineStr">
        <is>
          <t>Celerio</t>
        </is>
      </c>
      <c r="G3583" s="21" t="n">
        <v>2015</v>
      </c>
      <c r="H3583" s="22" t="n">
        <v>135665</v>
      </c>
      <c r="I3583" s="22" t="n">
        <v>398000</v>
      </c>
      <c r="J3583" s="20" t="inlineStr">
        <is>
          <t>STEER AUTO TECHNOLOGIES PRIVATE LIMITED</t>
        </is>
      </c>
      <c r="K3583" s="20" t="inlineStr">
        <is>
          <t>Non-Captive</t>
        </is>
      </c>
      <c r="L3583" s="20" t="inlineStr">
        <is>
          <t>SRI KARUPPAIYA CARS</t>
        </is>
      </c>
      <c r="M3583" s="23" t="n">
        <v>6779.66</v>
      </c>
    </row>
    <row r="3584">
      <c r="A3584" s="19" t="inlineStr">
        <is>
          <t>FY27</t>
        </is>
      </c>
      <c r="B3584" s="19" t="inlineStr">
        <is>
          <t>Aug</t>
        </is>
      </c>
      <c r="C3584" s="19" t="inlineStr">
        <is>
          <t>TN</t>
        </is>
      </c>
      <c r="D3584" s="20" t="inlineStr">
        <is>
          <t>TN01AB6376</t>
        </is>
      </c>
      <c r="E3584" s="20" t="inlineStr">
        <is>
          <t>MARUTI SUZUKI</t>
        </is>
      </c>
      <c r="F3584" s="20" t="inlineStr">
        <is>
          <t>Wagonr</t>
        </is>
      </c>
      <c r="G3584" s="21" t="n">
        <v>2006</v>
      </c>
      <c r="H3584" s="22" t="n">
        <v>25781</v>
      </c>
      <c r="I3584" s="22" t="n">
        <v>97000</v>
      </c>
      <c r="J3584" s="20" t="inlineStr">
        <is>
          <t>POPULAR VEHICLES AND SERVICES LIMITED</t>
        </is>
      </c>
      <c r="K3584" s="20" t="inlineStr">
        <is>
          <t>Non-Captive</t>
        </is>
      </c>
      <c r="L3584" s="20" t="inlineStr">
        <is>
          <t>Value Drive Tech</t>
        </is>
      </c>
      <c r="M3584" s="23" t="n">
        <v>4237.29</v>
      </c>
    </row>
    <row r="3585">
      <c r="A3585" s="19" t="inlineStr">
        <is>
          <t>FY27</t>
        </is>
      </c>
      <c r="B3585" s="19" t="inlineStr">
        <is>
          <t>Aug</t>
        </is>
      </c>
      <c r="C3585" s="19" t="inlineStr">
        <is>
          <t>TN</t>
        </is>
      </c>
      <c r="D3585" s="20" t="inlineStr">
        <is>
          <t>TN68AE2940</t>
        </is>
      </c>
      <c r="E3585" s="20" t="inlineStr">
        <is>
          <t>DATSUN</t>
        </is>
      </c>
      <c r="F3585" s="20" t="inlineStr">
        <is>
          <t>Redi-Go</t>
        </is>
      </c>
      <c r="G3585" s="21" t="n">
        <v>2021</v>
      </c>
      <c r="H3585" s="22" t="n">
        <v>58372</v>
      </c>
      <c r="I3585" s="22" t="n">
        <v>95000</v>
      </c>
      <c r="J3585" s="20" t="inlineStr">
        <is>
          <t>NIRMAL</t>
        </is>
      </c>
      <c r="K3585" s="20" t="inlineStr">
        <is>
          <t>Non-Captive</t>
        </is>
      </c>
      <c r="L3585" s="20" t="inlineStr">
        <is>
          <t>SRI KARUPPAIYA CARS</t>
        </is>
      </c>
      <c r="M3585" s="23" t="n">
        <v>4237.29</v>
      </c>
    </row>
    <row r="3586">
      <c r="A3586" s="19" t="inlineStr">
        <is>
          <t>FY27</t>
        </is>
      </c>
      <c r="B3586" s="19" t="inlineStr">
        <is>
          <t>Aug</t>
        </is>
      </c>
      <c r="C3586" s="19" t="inlineStr">
        <is>
          <t>TN</t>
        </is>
      </c>
      <c r="D3586" s="20" t="inlineStr">
        <is>
          <t>TN12AH8700</t>
        </is>
      </c>
      <c r="E3586" s="20" t="inlineStr">
        <is>
          <t>DATSUN</t>
        </is>
      </c>
      <c r="F3586" s="20" t="inlineStr">
        <is>
          <t>Redi-Go</t>
        </is>
      </c>
      <c r="G3586" s="21" t="n">
        <v>2019</v>
      </c>
      <c r="H3586" s="22" t="n">
        <v>37364</v>
      </c>
      <c r="I3586" s="22" t="n">
        <v>97000</v>
      </c>
      <c r="J3586" s="20" t="inlineStr">
        <is>
          <t>Lakshmi Tata</t>
        </is>
      </c>
      <c r="K3586" s="20" t="inlineStr">
        <is>
          <t>Non-Captive</t>
        </is>
      </c>
      <c r="L3586" s="20" t="inlineStr">
        <is>
          <t>SRI KARUPPAIYA CARS</t>
        </is>
      </c>
      <c r="M3586" s="23" t="n">
        <v>4237.29</v>
      </c>
    </row>
    <row r="3587">
      <c r="A3587" s="19" t="inlineStr">
        <is>
          <t>FY27</t>
        </is>
      </c>
      <c r="B3587" s="19" t="inlineStr">
        <is>
          <t>Aug</t>
        </is>
      </c>
      <c r="C3587" s="19" t="inlineStr">
        <is>
          <t>TN</t>
        </is>
      </c>
      <c r="D3587" s="20" t="inlineStr">
        <is>
          <t>TN20BH2005</t>
        </is>
      </c>
      <c r="E3587" s="20" t="inlineStr">
        <is>
          <t>HYUNDAI</t>
        </is>
      </c>
      <c r="F3587" s="20" t="inlineStr">
        <is>
          <t>I10</t>
        </is>
      </c>
      <c r="G3587" s="21" t="n">
        <v>2011</v>
      </c>
      <c r="H3587" s="22" t="n">
        <v>55132</v>
      </c>
      <c r="I3587" s="22" t="n">
        <v>93000</v>
      </c>
      <c r="J3587" s="20" t="inlineStr">
        <is>
          <t>Shree Thiya cars</t>
        </is>
      </c>
      <c r="K3587" s="20" t="inlineStr">
        <is>
          <t>Non-Captive</t>
        </is>
      </c>
      <c r="L3587" s="20" t="inlineStr">
        <is>
          <t>SRI KARUPPAIYA CARS</t>
        </is>
      </c>
      <c r="M3587" s="23" t="n">
        <v>4237.29</v>
      </c>
    </row>
    <row r="3588">
      <c r="A3588" s="19" t="inlineStr">
        <is>
          <t>FY27</t>
        </is>
      </c>
      <c r="B3588" s="19" t="inlineStr">
        <is>
          <t>Aug</t>
        </is>
      </c>
      <c r="C3588" s="19" t="inlineStr">
        <is>
          <t>TN</t>
        </is>
      </c>
      <c r="D3588" s="20" t="inlineStr">
        <is>
          <t>TN02BA7588</t>
        </is>
      </c>
      <c r="E3588" s="20" t="inlineStr">
        <is>
          <t>MARUTI SUZUKI</t>
        </is>
      </c>
      <c r="F3588" s="20" t="inlineStr">
        <is>
          <t>Alto K10</t>
        </is>
      </c>
      <c r="G3588" s="21" t="n">
        <v>2014</v>
      </c>
      <c r="H3588" s="22" t="n">
        <v>70427</v>
      </c>
      <c r="I3588" s="22" t="n">
        <v>94000</v>
      </c>
      <c r="J3588" s="20" t="inlineStr">
        <is>
          <t>CASTLE TRADERS Maruti</t>
        </is>
      </c>
      <c r="K3588" s="20" t="inlineStr">
        <is>
          <t>Non-Captive</t>
        </is>
      </c>
      <c r="L3588" s="20" t="inlineStr">
        <is>
          <t>Value Drive Tech</t>
        </is>
      </c>
      <c r="M3588" s="23" t="n">
        <v>4237.29</v>
      </c>
    </row>
    <row r="3589">
      <c r="A3589" s="19" t="inlineStr">
        <is>
          <t>FY27</t>
        </is>
      </c>
      <c r="B3589" s="19" t="inlineStr">
        <is>
          <t>Aug</t>
        </is>
      </c>
      <c r="C3589" s="19" t="inlineStr">
        <is>
          <t>TN</t>
        </is>
      </c>
      <c r="D3589" s="20" t="inlineStr">
        <is>
          <t>TN09CE4747</t>
        </is>
      </c>
      <c r="E3589" s="20" t="inlineStr">
        <is>
          <t>HYUNDAI</t>
        </is>
      </c>
      <c r="F3589" s="20" t="inlineStr">
        <is>
          <t>Grand I10</t>
        </is>
      </c>
      <c r="G3589" s="21" t="n">
        <v>2016</v>
      </c>
      <c r="H3589" s="22" t="n">
        <v>73873</v>
      </c>
      <c r="I3589" s="22" t="n">
        <v>97000</v>
      </c>
      <c r="J3589" s="20" t="inlineStr">
        <is>
          <t>NIRMAL</t>
        </is>
      </c>
      <c r="K3589" s="20" t="inlineStr">
        <is>
          <t>Non-Captive</t>
        </is>
      </c>
      <c r="L3589" s="20" t="inlineStr">
        <is>
          <t>Manoj B Cars</t>
        </is>
      </c>
      <c r="M3589" s="23" t="n">
        <v>4237.29</v>
      </c>
    </row>
    <row r="3590">
      <c r="A3590" s="19" t="inlineStr">
        <is>
          <t>FY27</t>
        </is>
      </c>
      <c r="B3590" s="19" t="inlineStr">
        <is>
          <t>Aug</t>
        </is>
      </c>
      <c r="C3590" s="19" t="inlineStr">
        <is>
          <t>TN</t>
        </is>
      </c>
      <c r="D3590" s="20" t="inlineStr">
        <is>
          <t>TN09DB0041</t>
        </is>
      </c>
      <c r="E3590" s="20" t="inlineStr">
        <is>
          <t>MARUTI SUZUKI</t>
        </is>
      </c>
      <c r="F3590" s="20" t="inlineStr">
        <is>
          <t>Alto K10</t>
        </is>
      </c>
      <c r="G3590" s="21" t="n">
        <v>2022</v>
      </c>
      <c r="H3590" s="22" t="n">
        <v>52391</v>
      </c>
      <c r="I3590" s="22" t="n">
        <v>99000</v>
      </c>
      <c r="J3590" s="20" t="inlineStr">
        <is>
          <t>Shree Thiya cars</t>
        </is>
      </c>
      <c r="K3590" s="20" t="inlineStr">
        <is>
          <t>Non-Captive</t>
        </is>
      </c>
      <c r="L3590" s="20" t="inlineStr">
        <is>
          <t>Manoj B Cars</t>
        </is>
      </c>
      <c r="M3590" s="23" t="n">
        <v>4237.29</v>
      </c>
    </row>
    <row r="3591">
      <c r="A3591" s="19" t="inlineStr">
        <is>
          <t>FY27</t>
        </is>
      </c>
      <c r="B3591" s="19" t="inlineStr">
        <is>
          <t>Aug</t>
        </is>
      </c>
      <c r="C3591" s="19" t="inlineStr">
        <is>
          <t>TN</t>
        </is>
      </c>
      <c r="D3591" s="20" t="inlineStr">
        <is>
          <t>TN19H8850</t>
        </is>
      </c>
      <c r="E3591" s="20" t="inlineStr">
        <is>
          <t>FORD</t>
        </is>
      </c>
      <c r="F3591" s="20" t="inlineStr">
        <is>
          <t>Ecosport</t>
        </is>
      </c>
      <c r="G3591" s="21" t="n">
        <v>2012</v>
      </c>
      <c r="H3591" s="22" t="n">
        <v>123674</v>
      </c>
      <c r="I3591" s="22" t="n">
        <v>98000</v>
      </c>
      <c r="J3591" s="20" t="inlineStr">
        <is>
          <t>Rajalakshmi Cars</t>
        </is>
      </c>
      <c r="K3591" s="20" t="inlineStr">
        <is>
          <t>Non-Captive</t>
        </is>
      </c>
      <c r="L3591" s="20" t="inlineStr">
        <is>
          <t>Value Drive Tech</t>
        </is>
      </c>
      <c r="M3591" s="23" t="n">
        <v>4237.29</v>
      </c>
    </row>
    <row r="3592">
      <c r="A3592" s="19" t="inlineStr">
        <is>
          <t>FY27</t>
        </is>
      </c>
      <c r="B3592" s="19" t="inlineStr">
        <is>
          <t>Aug</t>
        </is>
      </c>
      <c r="C3592" s="19" t="inlineStr">
        <is>
          <t>TN</t>
        </is>
      </c>
      <c r="D3592" s="20" t="inlineStr">
        <is>
          <t>TN11AV7507</t>
        </is>
      </c>
      <c r="E3592" s="20" t="inlineStr">
        <is>
          <t>MARUTI SUZUKI</t>
        </is>
      </c>
      <c r="F3592" s="20" t="inlineStr">
        <is>
          <t>Ritz</t>
        </is>
      </c>
      <c r="G3592" s="21" t="n">
        <v>2010</v>
      </c>
      <c r="H3592" s="22" t="n">
        <v>145668</v>
      </c>
      <c r="I3592" s="22" t="n">
        <v>96000</v>
      </c>
      <c r="J3592" s="20" t="inlineStr">
        <is>
          <t>Lakshmi Tata</t>
        </is>
      </c>
      <c r="K3592" s="20" t="inlineStr">
        <is>
          <t>Non-Captive</t>
        </is>
      </c>
      <c r="L3592" s="20" t="inlineStr">
        <is>
          <t>Aasim Motors</t>
        </is>
      </c>
      <c r="M3592" s="23" t="n">
        <v>4237.29</v>
      </c>
    </row>
    <row r="3593">
      <c r="A3593" s="19" t="inlineStr">
        <is>
          <t>FY27</t>
        </is>
      </c>
      <c r="B3593" s="19" t="inlineStr">
        <is>
          <t>Aug</t>
        </is>
      </c>
      <c r="C3593" s="19" t="inlineStr">
        <is>
          <t>TN</t>
        </is>
      </c>
      <c r="D3593" s="20" t="inlineStr">
        <is>
          <t>TN12AY7853</t>
        </is>
      </c>
      <c r="E3593" s="20" t="inlineStr">
        <is>
          <t>MARUTI SUZUKI</t>
        </is>
      </c>
      <c r="F3593" s="20" t="inlineStr">
        <is>
          <t>Celerio</t>
        </is>
      </c>
      <c r="G3593" s="21" t="n">
        <v>2023</v>
      </c>
      <c r="H3593" s="22" t="n">
        <v>26770</v>
      </c>
      <c r="I3593" s="22" t="n">
        <v>198000</v>
      </c>
      <c r="J3593" s="20" t="inlineStr">
        <is>
          <t>Cresco cars</t>
        </is>
      </c>
      <c r="K3593" s="20" t="inlineStr">
        <is>
          <t>Non-Captive</t>
        </is>
      </c>
      <c r="L3593" s="20" t="inlineStr">
        <is>
          <t>Senthil Cars</t>
        </is>
      </c>
      <c r="M3593" s="23" t="n">
        <v>5084.75</v>
      </c>
    </row>
    <row r="3594">
      <c r="A3594" s="19" t="inlineStr">
        <is>
          <t>FY27</t>
        </is>
      </c>
      <c r="B3594" s="19" t="inlineStr">
        <is>
          <t>Aug</t>
        </is>
      </c>
      <c r="C3594" s="19" t="inlineStr">
        <is>
          <t>TN</t>
        </is>
      </c>
      <c r="D3594" s="20" t="inlineStr">
        <is>
          <t>TN09BR5897</t>
        </is>
      </c>
      <c r="E3594" s="20" t="inlineStr">
        <is>
          <t>MARUTI SUZUKI</t>
        </is>
      </c>
      <c r="F3594" s="20" t="inlineStr">
        <is>
          <t>800</t>
        </is>
      </c>
      <c r="G3594" s="21" t="n">
        <v>2012</v>
      </c>
      <c r="H3594" s="22" t="n">
        <v>87485</v>
      </c>
      <c r="I3594" s="22" t="n">
        <v>92000</v>
      </c>
      <c r="J3594" s="20" t="inlineStr">
        <is>
          <t>Cresco cars</t>
        </is>
      </c>
      <c r="K3594" s="20" t="inlineStr">
        <is>
          <t>Non-Captive</t>
        </is>
      </c>
      <c r="L3594" s="20" t="inlineStr">
        <is>
          <t>Aasim Motors</t>
        </is>
      </c>
      <c r="M3594" s="23" t="n">
        <v>4237.29</v>
      </c>
    </row>
    <row r="3595">
      <c r="A3595" s="19" t="inlineStr">
        <is>
          <t>FY27</t>
        </is>
      </c>
      <c r="B3595" s="19" t="inlineStr">
        <is>
          <t>Aug</t>
        </is>
      </c>
      <c r="C3595" s="19" t="inlineStr">
        <is>
          <t>TN</t>
        </is>
      </c>
      <c r="D3595" s="20" t="inlineStr">
        <is>
          <t>TN09BH5465</t>
        </is>
      </c>
      <c r="E3595" s="20" t="inlineStr">
        <is>
          <t>HYUNDAI</t>
        </is>
      </c>
      <c r="F3595" s="20" t="inlineStr">
        <is>
          <t>I10</t>
        </is>
      </c>
      <c r="G3595" s="21" t="n">
        <v>2011</v>
      </c>
      <c r="H3595" s="22" t="n">
        <v>135575</v>
      </c>
      <c r="I3595" s="22" t="n">
        <v>93000</v>
      </c>
      <c r="J3595" s="20" t="inlineStr">
        <is>
          <t>Cresco cars</t>
        </is>
      </c>
      <c r="K3595" s="20" t="inlineStr">
        <is>
          <t>Non-Captive</t>
        </is>
      </c>
      <c r="L3595" s="20" t="inlineStr">
        <is>
          <t>Aasim Motors</t>
        </is>
      </c>
      <c r="M3595" s="23" t="n">
        <v>4237.29</v>
      </c>
    </row>
    <row r="3596">
      <c r="A3596" s="19" t="inlineStr">
        <is>
          <t>FY27</t>
        </is>
      </c>
      <c r="B3596" s="19" t="inlineStr">
        <is>
          <t>Aug</t>
        </is>
      </c>
      <c r="C3596" s="19" t="inlineStr">
        <is>
          <t>TN</t>
        </is>
      </c>
      <c r="D3596" s="20" t="inlineStr">
        <is>
          <t>TN59BX9967</t>
        </is>
      </c>
      <c r="E3596" s="20" t="inlineStr">
        <is>
          <t>FORD</t>
        </is>
      </c>
      <c r="F3596" s="20" t="inlineStr">
        <is>
          <t>Figo</t>
        </is>
      </c>
      <c r="G3596" s="21" t="n">
        <v>2013</v>
      </c>
      <c r="H3596" s="22" t="n">
        <v>66239</v>
      </c>
      <c r="I3596" s="22" t="n">
        <v>99000</v>
      </c>
      <c r="J3596" s="20" t="inlineStr">
        <is>
          <t>CASTLE TRADERS Maruti</t>
        </is>
      </c>
      <c r="K3596" s="20" t="inlineStr">
        <is>
          <t>Non-Captive</t>
        </is>
      </c>
      <c r="L3596" s="20" t="inlineStr">
        <is>
          <t>Value Drive Tech</t>
        </is>
      </c>
      <c r="M3596" s="23" t="n">
        <v>4237.29</v>
      </c>
    </row>
    <row r="3597">
      <c r="A3597" s="19" t="inlineStr">
        <is>
          <t>FY27</t>
        </is>
      </c>
      <c r="B3597" s="19" t="inlineStr">
        <is>
          <t>Aug</t>
        </is>
      </c>
      <c r="C3597" s="19" t="inlineStr">
        <is>
          <t>TN</t>
        </is>
      </c>
      <c r="D3597" s="20" t="inlineStr">
        <is>
          <t>TN22CZ2850</t>
        </is>
      </c>
      <c r="E3597" s="20" t="inlineStr">
        <is>
          <t>MARUTI SUZUKI</t>
        </is>
      </c>
      <c r="F3597" s="20" t="inlineStr">
        <is>
          <t>Alto</t>
        </is>
      </c>
      <c r="G3597" s="21" t="n">
        <v>2011</v>
      </c>
      <c r="H3597" s="22" t="n">
        <v>43545</v>
      </c>
      <c r="I3597" s="22" t="n">
        <v>98000</v>
      </c>
      <c r="J3597" s="20" t="inlineStr">
        <is>
          <t>Cresco cars</t>
        </is>
      </c>
      <c r="K3597" s="20" t="inlineStr">
        <is>
          <t>Non-Captive</t>
        </is>
      </c>
      <c r="L3597" s="20" t="inlineStr">
        <is>
          <t>Aasim Motors</t>
        </is>
      </c>
      <c r="M3597" s="23" t="n">
        <v>4237.29</v>
      </c>
    </row>
    <row r="3598">
      <c r="A3598" s="19" t="inlineStr">
        <is>
          <t>FY27</t>
        </is>
      </c>
      <c r="B3598" s="19" t="inlineStr">
        <is>
          <t>Aug</t>
        </is>
      </c>
      <c r="C3598" s="19" t="inlineStr">
        <is>
          <t>TN</t>
        </is>
      </c>
      <c r="D3598" s="20" t="inlineStr">
        <is>
          <t>TN02BM4407</t>
        </is>
      </c>
      <c r="E3598" s="20" t="inlineStr">
        <is>
          <t>HYUNDAI</t>
        </is>
      </c>
      <c r="F3598" s="20" t="inlineStr">
        <is>
          <t>Xcent</t>
        </is>
      </c>
      <c r="G3598" s="21" t="n"/>
      <c r="H3598" s="22" t="n">
        <v>78923</v>
      </c>
      <c r="I3598" s="22" t="n">
        <v>300000</v>
      </c>
      <c r="J3598" s="20" t="inlineStr"/>
      <c r="K3598" s="20" t="inlineStr">
        <is>
          <t>Non-Captive</t>
        </is>
      </c>
      <c r="L3598" s="20" t="inlineStr">
        <is>
          <t>Thiya Cars</t>
        </is>
      </c>
      <c r="M3598" s="23" t="n">
        <v>7627.12</v>
      </c>
    </row>
    <row r="3599">
      <c r="A3599" s="19" t="inlineStr">
        <is>
          <t>FY27</t>
        </is>
      </c>
      <c r="B3599" s="19" t="inlineStr">
        <is>
          <t>Aug</t>
        </is>
      </c>
      <c r="C3599" s="19" t="inlineStr">
        <is>
          <t>TN</t>
        </is>
      </c>
      <c r="D3599" s="20" t="inlineStr">
        <is>
          <t>TN07AV8505</t>
        </is>
      </c>
      <c r="E3599" s="20" t="inlineStr">
        <is>
          <t>HYUNDAI</t>
        </is>
      </c>
      <c r="F3599" s="20" t="inlineStr">
        <is>
          <t>Santro</t>
        </is>
      </c>
      <c r="G3599" s="21" t="n">
        <v>2006</v>
      </c>
      <c r="H3599" s="22" t="n">
        <v>126715</v>
      </c>
      <c r="I3599" s="22" t="n">
        <v>98000</v>
      </c>
      <c r="J3599" s="20" t="inlineStr">
        <is>
          <t>POPULAR VEHICLES AND SERVICES LIMITED</t>
        </is>
      </c>
      <c r="K3599" s="20" t="inlineStr">
        <is>
          <t>Non-Captive</t>
        </is>
      </c>
      <c r="L3599" s="20" t="inlineStr">
        <is>
          <t>Senthil Cars</t>
        </is>
      </c>
      <c r="M3599" s="23" t="n">
        <v>4661.02</v>
      </c>
    </row>
    <row r="3600">
      <c r="A3600" s="19" t="inlineStr">
        <is>
          <t>FY27</t>
        </is>
      </c>
      <c r="B3600" s="19" t="inlineStr">
        <is>
          <t>Aug</t>
        </is>
      </c>
      <c r="C3600" s="19" t="inlineStr">
        <is>
          <t>TN</t>
        </is>
      </c>
      <c r="D3600" s="20" t="inlineStr">
        <is>
          <t>TN05AU6098</t>
        </is>
      </c>
      <c r="E3600" s="20" t="inlineStr">
        <is>
          <t>NISSAN</t>
        </is>
      </c>
      <c r="F3600" s="20" t="inlineStr">
        <is>
          <t>Micra</t>
        </is>
      </c>
      <c r="G3600" s="21" t="n">
        <v>2013</v>
      </c>
      <c r="H3600" s="22" t="n">
        <v>87378</v>
      </c>
      <c r="I3600" s="22" t="n">
        <v>94000</v>
      </c>
      <c r="J3600" s="20" t="inlineStr">
        <is>
          <t>VISHNU CARS PRIVATE LIMITED</t>
        </is>
      </c>
      <c r="K3600" s="20" t="inlineStr">
        <is>
          <t>Non-Captive</t>
        </is>
      </c>
      <c r="L3600" s="20" t="inlineStr">
        <is>
          <t>9miles</t>
        </is>
      </c>
      <c r="M3600" s="23" t="n">
        <v>4237.29</v>
      </c>
    </row>
    <row r="3601">
      <c r="A3601" s="19" t="inlineStr">
        <is>
          <t>FY27</t>
        </is>
      </c>
      <c r="B3601" s="19" t="inlineStr">
        <is>
          <t>Aug</t>
        </is>
      </c>
      <c r="C3601" s="19" t="inlineStr">
        <is>
          <t>TN</t>
        </is>
      </c>
      <c r="D3601" s="20" t="inlineStr">
        <is>
          <t>TN13Y3576</t>
        </is>
      </c>
      <c r="E3601" s="20" t="inlineStr">
        <is>
          <t>MARUTI SUZUKI</t>
        </is>
      </c>
      <c r="F3601" s="20" t="inlineStr">
        <is>
          <t>Alto</t>
        </is>
      </c>
      <c r="G3601" s="21" t="n">
        <v>2022</v>
      </c>
      <c r="H3601" s="22" t="n">
        <v>25765</v>
      </c>
      <c r="I3601" s="22" t="n">
        <v>98000</v>
      </c>
      <c r="J3601" s="20" t="inlineStr">
        <is>
          <t>VISHNU CARS PRIVATE LIMITED</t>
        </is>
      </c>
      <c r="K3601" s="20" t="inlineStr">
        <is>
          <t>Non-Captive</t>
        </is>
      </c>
      <c r="L3601" s="20" t="inlineStr">
        <is>
          <t>Maruthi Industries</t>
        </is>
      </c>
      <c r="M3601" s="23" t="n">
        <v>3389.83</v>
      </c>
    </row>
    <row r="3602">
      <c r="A3602" s="19" t="inlineStr">
        <is>
          <t>FY27</t>
        </is>
      </c>
      <c r="B3602" s="19" t="inlineStr">
        <is>
          <t>Aug</t>
        </is>
      </c>
      <c r="C3602" s="19" t="inlineStr">
        <is>
          <t>TN</t>
        </is>
      </c>
      <c r="D3602" s="20" t="inlineStr">
        <is>
          <t>TN01BE5125</t>
        </is>
      </c>
      <c r="E3602" s="20" t="inlineStr">
        <is>
          <t>HYUNDAI</t>
        </is>
      </c>
      <c r="F3602" s="20" t="inlineStr">
        <is>
          <t>Grand I10</t>
        </is>
      </c>
      <c r="G3602" s="21" t="n">
        <v>2018</v>
      </c>
      <c r="H3602" s="22" t="n">
        <v>19837</v>
      </c>
      <c r="I3602" s="22" t="n">
        <v>99000</v>
      </c>
      <c r="J3602" s="20" t="inlineStr">
        <is>
          <t>VISHNU CARS PRIVATE LIMITED</t>
        </is>
      </c>
      <c r="K3602" s="20" t="inlineStr">
        <is>
          <t>Non-Captive</t>
        </is>
      </c>
      <c r="L3602" s="20" t="inlineStr">
        <is>
          <t>GRID 33</t>
        </is>
      </c>
      <c r="M3602" s="23" t="n">
        <v>2542.37</v>
      </c>
    </row>
    <row r="3603">
      <c r="A3603" s="19" t="inlineStr">
        <is>
          <t>FY27</t>
        </is>
      </c>
      <c r="B3603" s="19" t="inlineStr">
        <is>
          <t>Aug</t>
        </is>
      </c>
      <c r="C3603" s="19" t="inlineStr">
        <is>
          <t>TN</t>
        </is>
      </c>
      <c r="D3603" s="20" t="inlineStr">
        <is>
          <t>TN10BV3216</t>
        </is>
      </c>
      <c r="E3603" s="20" t="inlineStr">
        <is>
          <t>NISSAN</t>
        </is>
      </c>
      <c r="F3603" s="20" t="inlineStr">
        <is>
          <t>Magnite</t>
        </is>
      </c>
      <c r="G3603" s="21" t="n">
        <v>2023</v>
      </c>
      <c r="H3603" s="22" t="n">
        <v>109258</v>
      </c>
      <c r="I3603" s="22" t="n">
        <v>89000</v>
      </c>
      <c r="J3603" s="20" t="inlineStr">
        <is>
          <t>VISHNU CARS PRIVATE LIMITED</t>
        </is>
      </c>
      <c r="K3603" s="20" t="inlineStr">
        <is>
          <t>Non-Captive</t>
        </is>
      </c>
      <c r="L3603" s="20" t="inlineStr">
        <is>
          <t>GRID 33</t>
        </is>
      </c>
      <c r="M3603" s="23" t="n">
        <v>2542.37</v>
      </c>
    </row>
    <row r="3604">
      <c r="A3604" s="19" t="inlineStr">
        <is>
          <t>FY27</t>
        </is>
      </c>
      <c r="B3604" s="19" t="inlineStr">
        <is>
          <t>Aug</t>
        </is>
      </c>
      <c r="C3604" s="19" t="inlineStr">
        <is>
          <t>TN</t>
        </is>
      </c>
      <c r="D3604" s="20" t="inlineStr">
        <is>
          <t>TN25AX1581</t>
        </is>
      </c>
      <c r="E3604" s="20" t="inlineStr">
        <is>
          <t>MARUTI SUZUKI</t>
        </is>
      </c>
      <c r="F3604" s="20" t="inlineStr">
        <is>
          <t>Swiftdzire</t>
        </is>
      </c>
      <c r="G3604" s="21" t="n">
        <v>2012</v>
      </c>
      <c r="H3604" s="22" t="n">
        <v>174639</v>
      </c>
      <c r="I3604" s="22" t="n">
        <v>91000</v>
      </c>
      <c r="J3604" s="20" t="inlineStr">
        <is>
          <t>VISHNU CARS PRIVATE LIMITED</t>
        </is>
      </c>
      <c r="K3604" s="20" t="inlineStr">
        <is>
          <t>Non-Captive</t>
        </is>
      </c>
      <c r="L3604" s="20" t="inlineStr">
        <is>
          <t>GRID 33</t>
        </is>
      </c>
      <c r="M3604" s="23" t="n">
        <v>2542.37</v>
      </c>
    </row>
    <row r="3605">
      <c r="A3605" s="19" t="inlineStr">
        <is>
          <t>FY27</t>
        </is>
      </c>
      <c r="B3605" s="19" t="inlineStr">
        <is>
          <t>Aug</t>
        </is>
      </c>
      <c r="C3605" s="19" t="inlineStr">
        <is>
          <t>TN</t>
        </is>
      </c>
      <c r="D3605" s="20" t="inlineStr">
        <is>
          <t>TN12R2787</t>
        </is>
      </c>
      <c r="E3605" s="20" t="inlineStr">
        <is>
          <t>DATSUN</t>
        </is>
      </c>
      <c r="F3605" s="20" t="inlineStr">
        <is>
          <t>Redi-Go</t>
        </is>
      </c>
      <c r="G3605" s="21" t="n">
        <v>2016</v>
      </c>
      <c r="H3605" s="22" t="n">
        <v>32027</v>
      </c>
      <c r="I3605" s="22" t="n">
        <v>92000</v>
      </c>
      <c r="J3605" s="20" t="inlineStr">
        <is>
          <t>VISHNU CARS PRIVATE LIMITED</t>
        </is>
      </c>
      <c r="K3605" s="20" t="inlineStr">
        <is>
          <t>Non-Captive</t>
        </is>
      </c>
      <c r="L3605" s="20" t="inlineStr">
        <is>
          <t>GRID 33</t>
        </is>
      </c>
      <c r="M3605" s="23" t="n">
        <v>2542.37</v>
      </c>
    </row>
    <row r="3606">
      <c r="A3606" s="19" t="inlineStr">
        <is>
          <t>FY27</t>
        </is>
      </c>
      <c r="B3606" s="19" t="inlineStr">
        <is>
          <t>Aug</t>
        </is>
      </c>
      <c r="C3606" s="19" t="inlineStr">
        <is>
          <t>TN</t>
        </is>
      </c>
      <c r="D3606" s="20" t="inlineStr">
        <is>
          <t>TN05CJ4716</t>
        </is>
      </c>
      <c r="E3606" s="20" t="inlineStr">
        <is>
          <t>MARUTI SUZUKI</t>
        </is>
      </c>
      <c r="F3606" s="20" t="inlineStr">
        <is>
          <t>Celerio</t>
        </is>
      </c>
      <c r="G3606" s="21" t="n">
        <v>2022</v>
      </c>
      <c r="H3606" s="22" t="n">
        <v>32457</v>
      </c>
      <c r="I3606" s="22" t="n">
        <v>96000</v>
      </c>
      <c r="J3606" s="20" t="inlineStr">
        <is>
          <t>VISHNU CARS PRIVATE LIMITED</t>
        </is>
      </c>
      <c r="K3606" s="20" t="inlineStr">
        <is>
          <t>Non-Captive</t>
        </is>
      </c>
      <c r="L3606" s="20" t="inlineStr">
        <is>
          <t>GRID 33</t>
        </is>
      </c>
      <c r="M3606" s="23" t="n">
        <v>2542.37</v>
      </c>
    </row>
    <row r="3607">
      <c r="A3607" s="19" t="inlineStr">
        <is>
          <t>FY27</t>
        </is>
      </c>
      <c r="B3607" s="19" t="inlineStr">
        <is>
          <t>Aug</t>
        </is>
      </c>
      <c r="C3607" s="19" t="inlineStr">
        <is>
          <t>TN</t>
        </is>
      </c>
      <c r="D3607" s="20" t="inlineStr">
        <is>
          <t>KL22P1511</t>
        </is>
      </c>
      <c r="E3607" s="20" t="inlineStr">
        <is>
          <t>HYUNDAI</t>
        </is>
      </c>
      <c r="F3607" s="20" t="inlineStr">
        <is>
          <t>Venue</t>
        </is>
      </c>
      <c r="G3607" s="21" t="n">
        <v>2020</v>
      </c>
      <c r="H3607" s="22" t="n">
        <v>38702</v>
      </c>
      <c r="I3607" s="22" t="n">
        <v>155000</v>
      </c>
      <c r="J3607" s="20" t="inlineStr">
        <is>
          <t>POPULAR MOTORWORLD PVT LTD</t>
        </is>
      </c>
      <c r="K3607" s="20" t="inlineStr">
        <is>
          <t>Non-Captive</t>
        </is>
      </c>
      <c r="L3607" s="20" t="inlineStr">
        <is>
          <t>SHAMNAD AH</t>
        </is>
      </c>
      <c r="M3607" s="23" t="n">
        <v>8474.58</v>
      </c>
    </row>
    <row r="3608">
      <c r="A3608" s="19" t="inlineStr">
        <is>
          <t>FY27</t>
        </is>
      </c>
      <c r="B3608" s="19" t="inlineStr">
        <is>
          <t>Aug</t>
        </is>
      </c>
      <c r="C3608" s="19" t="inlineStr">
        <is>
          <t>TN</t>
        </is>
      </c>
      <c r="D3608" s="20" t="inlineStr">
        <is>
          <t>KL40T2987</t>
        </is>
      </c>
      <c r="E3608" s="20" t="inlineStr">
        <is>
          <t>TATA</t>
        </is>
      </c>
      <c r="F3608" s="20" t="inlineStr">
        <is>
          <t>Nexon</t>
        </is>
      </c>
      <c r="G3608" s="21" t="n">
        <v>2021</v>
      </c>
      <c r="H3608" s="22" t="n">
        <v>34585</v>
      </c>
      <c r="I3608" s="22" t="n">
        <v>170000</v>
      </c>
      <c r="J3608" s="20" t="inlineStr">
        <is>
          <t>POPULAR MOTORWORLD PVT LTD</t>
        </is>
      </c>
      <c r="K3608" s="20" t="inlineStr">
        <is>
          <t>Non-Captive</t>
        </is>
      </c>
      <c r="L3608" s="20" t="inlineStr">
        <is>
          <t>SHAMNAD AH</t>
        </is>
      </c>
      <c r="M3608" s="23" t="n">
        <v>8474.58</v>
      </c>
    </row>
    <row r="3609">
      <c r="A3609" s="19" t="inlineStr">
        <is>
          <t>FY27</t>
        </is>
      </c>
      <c r="B3609" s="19" t="inlineStr">
        <is>
          <t>Aug</t>
        </is>
      </c>
      <c r="C3609" s="19" t="inlineStr">
        <is>
          <t>TN</t>
        </is>
      </c>
      <c r="D3609" s="20" t="inlineStr">
        <is>
          <t>KL01CA593</t>
        </is>
      </c>
      <c r="E3609" s="20" t="inlineStr">
        <is>
          <t>MARUTI SUZUKI</t>
        </is>
      </c>
      <c r="F3609" s="20" t="inlineStr">
        <is>
          <t>Wagonr</t>
        </is>
      </c>
      <c r="G3609" s="21" t="n"/>
      <c r="H3609" s="22" t="n">
        <v>30875</v>
      </c>
      <c r="I3609" s="22" t="n">
        <v>150000</v>
      </c>
      <c r="J3609" s="20" t="inlineStr"/>
      <c r="K3609" s="20" t="inlineStr">
        <is>
          <t>Non-Captive</t>
        </is>
      </c>
      <c r="L3609" s="20" t="inlineStr">
        <is>
          <t>SHAMNAD AH</t>
        </is>
      </c>
      <c r="M3609" s="23" t="n">
        <v>8474.58</v>
      </c>
    </row>
    <row r="3610">
      <c r="A3610" s="19" t="inlineStr">
        <is>
          <t>FY27</t>
        </is>
      </c>
      <c r="B3610" s="19" t="inlineStr">
        <is>
          <t>Aug</t>
        </is>
      </c>
      <c r="C3610" s="19" t="inlineStr">
        <is>
          <t>TN</t>
        </is>
      </c>
      <c r="D3610" s="20" t="inlineStr">
        <is>
          <t>KL25F1188</t>
        </is>
      </c>
      <c r="E3610" s="20" t="inlineStr">
        <is>
          <t>MARUTI SUZUKI</t>
        </is>
      </c>
      <c r="F3610" s="20" t="inlineStr">
        <is>
          <t>Ritz</t>
        </is>
      </c>
      <c r="G3610" s="21" t="n"/>
      <c r="H3610" s="22" t="n">
        <v>75231</v>
      </c>
      <c r="I3610" s="22" t="n">
        <v>188000</v>
      </c>
      <c r="J3610" s="20" t="inlineStr"/>
      <c r="K3610" s="20" t="inlineStr">
        <is>
          <t>Non-Captive</t>
        </is>
      </c>
      <c r="L3610" s="20" t="inlineStr">
        <is>
          <t>GENUINE CARS</t>
        </is>
      </c>
      <c r="M3610" s="23" t="n">
        <v>8474.58</v>
      </c>
    </row>
    <row r="3611">
      <c r="A3611" s="19" t="inlineStr">
        <is>
          <t>FY27</t>
        </is>
      </c>
      <c r="B3611" s="19" t="inlineStr">
        <is>
          <t>Aug</t>
        </is>
      </c>
      <c r="C3611" s="19" t="inlineStr">
        <is>
          <t>TN</t>
        </is>
      </c>
      <c r="D3611" s="20" t="inlineStr">
        <is>
          <t>KL16AC0900</t>
        </is>
      </c>
      <c r="E3611" s="20" t="inlineStr">
        <is>
          <t>TOYOTA</t>
        </is>
      </c>
      <c r="F3611" s="20" t="inlineStr">
        <is>
          <t>Taisor</t>
        </is>
      </c>
      <c r="G3611" s="21" t="n">
        <v>2024</v>
      </c>
      <c r="H3611" s="22" t="n">
        <v>94102</v>
      </c>
      <c r="I3611" s="22" t="n">
        <v>160000</v>
      </c>
      <c r="J3611" s="20" t="inlineStr">
        <is>
          <t>Nippon Motor Corporation Pvt Ltd</t>
        </is>
      </c>
      <c r="K3611" s="20" t="inlineStr">
        <is>
          <t>Non-Captive</t>
        </is>
      </c>
      <c r="L3611" s="20" t="inlineStr">
        <is>
          <t>SHAMNAD AH</t>
        </is>
      </c>
      <c r="M3611" s="23" t="n">
        <v>6016.95</v>
      </c>
    </row>
    <row r="3612">
      <c r="A3612" s="19" t="inlineStr">
        <is>
          <t>FY27</t>
        </is>
      </c>
      <c r="B3612" s="19" t="inlineStr">
        <is>
          <t>Aug</t>
        </is>
      </c>
      <c r="C3612" s="19" t="inlineStr">
        <is>
          <t>TN</t>
        </is>
      </c>
      <c r="D3612" s="20" t="inlineStr">
        <is>
          <t>KL01BR9042</t>
        </is>
      </c>
      <c r="E3612" s="20" t="inlineStr">
        <is>
          <t>MARUTI SUZUKI</t>
        </is>
      </c>
      <c r="F3612" s="20" t="inlineStr">
        <is>
          <t>Dzire</t>
        </is>
      </c>
      <c r="G3612" s="21" t="n">
        <v>2014</v>
      </c>
      <c r="H3612" s="22" t="n">
        <v>175084</v>
      </c>
      <c r="I3612" s="22" t="n">
        <v>155000</v>
      </c>
      <c r="J3612" s="20" t="inlineStr">
        <is>
          <t>Nippon Motor Corporation Pvt Ltd</t>
        </is>
      </c>
      <c r="K3612" s="20" t="inlineStr">
        <is>
          <t>Non-Captive</t>
        </is>
      </c>
      <c r="L3612" s="20" t="inlineStr">
        <is>
          <t>SHAMNAD AH</t>
        </is>
      </c>
      <c r="M3612" s="23" t="n">
        <v>6016.95</v>
      </c>
    </row>
    <row r="3613">
      <c r="A3613" s="19" t="inlineStr">
        <is>
          <t>FY27</t>
        </is>
      </c>
      <c r="B3613" s="19" t="inlineStr">
        <is>
          <t>Aug</t>
        </is>
      </c>
      <c r="C3613" s="19" t="inlineStr">
        <is>
          <t>TN</t>
        </is>
      </c>
      <c r="D3613" s="20" t="inlineStr">
        <is>
          <t>KL61F7087</t>
        </is>
      </c>
      <c r="E3613" s="20" t="inlineStr">
        <is>
          <t>MAHINDRA</t>
        </is>
      </c>
      <c r="F3613" s="20" t="inlineStr">
        <is>
          <t>Xuv300</t>
        </is>
      </c>
      <c r="G3613" s="21" t="n">
        <v>2022</v>
      </c>
      <c r="H3613" s="22" t="n">
        <v>78000</v>
      </c>
      <c r="I3613" s="22" t="n">
        <v>180000</v>
      </c>
      <c r="J3613" s="20" t="inlineStr">
        <is>
          <t>Nippon Motor Corporation Pvt Ltd</t>
        </is>
      </c>
      <c r="K3613" s="20" t="inlineStr">
        <is>
          <t>Non-Captive</t>
        </is>
      </c>
      <c r="L3613" s="20" t="inlineStr">
        <is>
          <t>SHAMNAD AH</t>
        </is>
      </c>
      <c r="M3613" s="23" t="n">
        <v>6016.95</v>
      </c>
    </row>
    <row r="3614">
      <c r="A3614" s="19" t="inlineStr">
        <is>
          <t>FY27</t>
        </is>
      </c>
      <c r="B3614" s="19" t="inlineStr">
        <is>
          <t>Aug</t>
        </is>
      </c>
      <c r="C3614" s="19" t="inlineStr">
        <is>
          <t>TN</t>
        </is>
      </c>
      <c r="D3614" s="20" t="inlineStr">
        <is>
          <t>KL02BN8429</t>
        </is>
      </c>
      <c r="E3614" s="20" t="inlineStr">
        <is>
          <t>MARUTI SUZUKI</t>
        </is>
      </c>
      <c r="F3614" s="20" t="inlineStr">
        <is>
          <t>Spresso</t>
        </is>
      </c>
      <c r="G3614" s="21" t="n"/>
      <c r="H3614" s="22" t="n">
        <v>67192</v>
      </c>
      <c r="I3614" s="22" t="n">
        <v>180000</v>
      </c>
      <c r="J3614" s="20" t="inlineStr"/>
      <c r="K3614" s="20" t="inlineStr">
        <is>
          <t>Non-Captive</t>
        </is>
      </c>
      <c r="L3614" s="20" t="inlineStr">
        <is>
          <t>GENUINE CARS</t>
        </is>
      </c>
      <c r="M3614" s="23" t="n">
        <v>8474.58</v>
      </c>
    </row>
    <row r="3615">
      <c r="A3615" s="19" t="inlineStr">
        <is>
          <t>FY27</t>
        </is>
      </c>
      <c r="B3615" s="19" t="inlineStr">
        <is>
          <t>Aug</t>
        </is>
      </c>
      <c r="C3615" s="19" t="inlineStr">
        <is>
          <t>TN</t>
        </is>
      </c>
      <c r="D3615" s="20" t="inlineStr">
        <is>
          <t>TN09CJ0497</t>
        </is>
      </c>
      <c r="E3615" s="20" t="inlineStr">
        <is>
          <t>HYUNDAI</t>
        </is>
      </c>
      <c r="F3615" s="20" t="inlineStr">
        <is>
          <t>Creta</t>
        </is>
      </c>
      <c r="G3615" s="21" t="n">
        <v>2017</v>
      </c>
      <c r="H3615" s="22" t="n">
        <v>104819</v>
      </c>
      <c r="I3615" s="22" t="n">
        <v>578000</v>
      </c>
      <c r="J3615" s="20" t="inlineStr">
        <is>
          <t>CASTLE TRADERS Maruti</t>
        </is>
      </c>
      <c r="K3615" s="20" t="inlineStr">
        <is>
          <t>Non-Captive</t>
        </is>
      </c>
      <c r="L3615" s="20" t="inlineStr">
        <is>
          <t>S2 MOTORZ</t>
        </is>
      </c>
      <c r="M3615" s="23" t="n">
        <v>5932.2</v>
      </c>
    </row>
    <row r="3616">
      <c r="A3616" s="19" t="inlineStr">
        <is>
          <t>FY27</t>
        </is>
      </c>
      <c r="B3616" s="19" t="inlineStr">
        <is>
          <t>Aug</t>
        </is>
      </c>
      <c r="C3616" s="19" t="inlineStr">
        <is>
          <t>TN</t>
        </is>
      </c>
      <c r="D3616" s="20" t="inlineStr">
        <is>
          <t>TN01AT9811</t>
        </is>
      </c>
      <c r="E3616" s="20" t="inlineStr">
        <is>
          <t>MARUTI SUZUKI</t>
        </is>
      </c>
      <c r="F3616" s="20" t="inlineStr">
        <is>
          <t>Swift</t>
        </is>
      </c>
      <c r="G3616" s="21" t="n">
        <v>2013</v>
      </c>
      <c r="H3616" s="22" t="n">
        <v>94262</v>
      </c>
      <c r="I3616" s="22" t="n">
        <v>308000</v>
      </c>
      <c r="J3616" s="20" t="inlineStr">
        <is>
          <t>CASTLE TRADERS Maruti</t>
        </is>
      </c>
      <c r="K3616" s="20" t="inlineStr">
        <is>
          <t>Non-Captive</t>
        </is>
      </c>
      <c r="L3616" s="20" t="inlineStr">
        <is>
          <t>AAA CARS</t>
        </is>
      </c>
      <c r="M3616" s="23" t="n">
        <v>5932.2</v>
      </c>
    </row>
    <row r="3617">
      <c r="A3617" s="19" t="inlineStr">
        <is>
          <t>FY27</t>
        </is>
      </c>
      <c r="B3617" s="19" t="inlineStr">
        <is>
          <t>Aug</t>
        </is>
      </c>
      <c r="C3617" s="19" t="inlineStr">
        <is>
          <t>TN</t>
        </is>
      </c>
      <c r="D3617" s="20" t="inlineStr">
        <is>
          <t>TN06P5270</t>
        </is>
      </c>
      <c r="E3617" s="20" t="inlineStr">
        <is>
          <t>MITSUBISHI</t>
        </is>
      </c>
      <c r="F3617" s="20" t="inlineStr">
        <is>
          <t>Pajeero</t>
        </is>
      </c>
      <c r="G3617" s="21" t="n">
        <v>2015</v>
      </c>
      <c r="H3617" s="22" t="n">
        <v>76097</v>
      </c>
      <c r="I3617" s="22" t="n">
        <v>695000</v>
      </c>
      <c r="J3617" s="20" t="inlineStr">
        <is>
          <t>EXCHANGE CHENNAI</t>
        </is>
      </c>
      <c r="K3617" s="20" t="inlineStr">
        <is>
          <t>Captive</t>
        </is>
      </c>
      <c r="L3617" s="20" t="inlineStr">
        <is>
          <t>GRID 33</t>
        </is>
      </c>
      <c r="M3617" s="23" t="n">
        <v>8474.58</v>
      </c>
    </row>
    <row r="3618">
      <c r="A3618" s="19" t="inlineStr">
        <is>
          <t>FY27</t>
        </is>
      </c>
      <c r="B3618" s="19" t="inlineStr">
        <is>
          <t>Aug</t>
        </is>
      </c>
      <c r="C3618" s="19" t="inlineStr">
        <is>
          <t>TN</t>
        </is>
      </c>
      <c r="D3618" s="20" t="inlineStr">
        <is>
          <t>MH46X4671</t>
        </is>
      </c>
      <c r="E3618" s="20" t="inlineStr">
        <is>
          <t>TOYOTA</t>
        </is>
      </c>
      <c r="F3618" s="20" t="inlineStr">
        <is>
          <t>Etios</t>
        </is>
      </c>
      <c r="G3618" s="21" t="n">
        <v>2013</v>
      </c>
      <c r="H3618" s="22" t="n">
        <v>111523</v>
      </c>
      <c r="I3618" s="22" t="n">
        <v>157000</v>
      </c>
      <c r="J3618" s="20" t="inlineStr">
        <is>
          <t>CASTLE TRADERS Maruti</t>
        </is>
      </c>
      <c r="K3618" s="20" t="inlineStr">
        <is>
          <t>Non-Captive</t>
        </is>
      </c>
      <c r="L3618" s="20" t="inlineStr">
        <is>
          <t>9miles</t>
        </is>
      </c>
      <c r="M3618" s="23" t="n">
        <v>4237.29</v>
      </c>
    </row>
    <row r="3619">
      <c r="A3619" s="19" t="inlineStr">
        <is>
          <t>FY27</t>
        </is>
      </c>
      <c r="B3619" s="19" t="inlineStr">
        <is>
          <t>Aug</t>
        </is>
      </c>
      <c r="C3619" s="19" t="inlineStr">
        <is>
          <t>TN</t>
        </is>
      </c>
      <c r="D3619" s="20" t="inlineStr">
        <is>
          <t>TN09CW8572</t>
        </is>
      </c>
      <c r="E3619" s="20" t="inlineStr">
        <is>
          <t>TATA</t>
        </is>
      </c>
      <c r="F3619" s="20" t="inlineStr">
        <is>
          <t>Altroz</t>
        </is>
      </c>
      <c r="G3619" s="21" t="n">
        <v>2021</v>
      </c>
      <c r="H3619" s="22" t="n">
        <v>58176</v>
      </c>
      <c r="I3619" s="22" t="n">
        <v>430000</v>
      </c>
      <c r="J3619" s="20" t="inlineStr">
        <is>
          <t>CASTLE TRADERS Maruti</t>
        </is>
      </c>
      <c r="K3619" s="20" t="inlineStr">
        <is>
          <t>Non-Captive</t>
        </is>
      </c>
      <c r="L3619" s="20" t="inlineStr">
        <is>
          <t>GRID 33</t>
        </is>
      </c>
      <c r="M3619" s="23" t="n">
        <v>8474.58</v>
      </c>
    </row>
    <row r="3620">
      <c r="A3620" s="19" t="inlineStr">
        <is>
          <t>FY27</t>
        </is>
      </c>
      <c r="B3620" s="19" t="inlineStr">
        <is>
          <t>Aug</t>
        </is>
      </c>
      <c r="C3620" s="19" t="inlineStr">
        <is>
          <t>TN</t>
        </is>
      </c>
      <c r="D3620" s="20" t="inlineStr">
        <is>
          <t>TN07CU7279</t>
        </is>
      </c>
      <c r="E3620" s="20" t="inlineStr">
        <is>
          <t>MARUTI SUZUKI</t>
        </is>
      </c>
      <c r="F3620" s="20" t="inlineStr">
        <is>
          <t>Alto 800</t>
        </is>
      </c>
      <c r="G3620" s="21" t="n">
        <v>2019</v>
      </c>
      <c r="H3620" s="22" t="n">
        <v>57891</v>
      </c>
      <c r="I3620" s="22" t="n">
        <v>240000</v>
      </c>
      <c r="J3620" s="20" t="inlineStr">
        <is>
          <t>EXCHANGE CHENNAI</t>
        </is>
      </c>
      <c r="K3620" s="20" t="inlineStr">
        <is>
          <t>Captive</t>
        </is>
      </c>
      <c r="L3620" s="20" t="inlineStr">
        <is>
          <t>Senthil Cars</t>
        </is>
      </c>
      <c r="M3620" s="23" t="n">
        <v>6355.93</v>
      </c>
    </row>
    <row r="3621">
      <c r="A3621" s="19" t="inlineStr">
        <is>
          <t>FY27</t>
        </is>
      </c>
      <c r="B3621" s="19" t="inlineStr">
        <is>
          <t>Aug</t>
        </is>
      </c>
      <c r="C3621" s="19" t="inlineStr">
        <is>
          <t>TN</t>
        </is>
      </c>
      <c r="D3621" s="20" t="inlineStr">
        <is>
          <t>TN11AC2997</t>
        </is>
      </c>
      <c r="E3621" s="20" t="inlineStr">
        <is>
          <t>MARUTI SUZUKI</t>
        </is>
      </c>
      <c r="F3621" s="20" t="inlineStr">
        <is>
          <t>Alto 800</t>
        </is>
      </c>
      <c r="G3621" s="21" t="n">
        <v>2017</v>
      </c>
      <c r="H3621" s="22" t="n">
        <v>64587</v>
      </c>
      <c r="I3621" s="22" t="n">
        <v>165000</v>
      </c>
      <c r="J3621" s="20" t="inlineStr">
        <is>
          <t>CASTLE TRADERS Maruti</t>
        </is>
      </c>
      <c r="K3621" s="20" t="inlineStr">
        <is>
          <t>Non-Captive</t>
        </is>
      </c>
      <c r="L3621" s="20" t="inlineStr">
        <is>
          <t>Senthil Cars</t>
        </is>
      </c>
      <c r="M3621" s="23" t="n">
        <v>5084.75</v>
      </c>
    </row>
    <row r="3622">
      <c r="A3622" s="19" t="inlineStr">
        <is>
          <t>FY27</t>
        </is>
      </c>
      <c r="B3622" s="19" t="inlineStr">
        <is>
          <t>Aug</t>
        </is>
      </c>
      <c r="C3622" s="19" t="inlineStr">
        <is>
          <t>TN</t>
        </is>
      </c>
      <c r="D3622" s="20" t="inlineStr">
        <is>
          <t>TN18AW3240</t>
        </is>
      </c>
      <c r="E3622" s="20" t="inlineStr">
        <is>
          <t>HONDA</t>
        </is>
      </c>
      <c r="F3622" s="20" t="inlineStr">
        <is>
          <t>Brv</t>
        </is>
      </c>
      <c r="G3622" s="21" t="n">
        <v>2019</v>
      </c>
      <c r="H3622" s="22" t="n">
        <v>54571</v>
      </c>
      <c r="I3622" s="22" t="n">
        <v>620000</v>
      </c>
      <c r="J3622" s="20" t="inlineStr">
        <is>
          <t>CASTLE TRADERS Maruti</t>
        </is>
      </c>
      <c r="K3622" s="20" t="inlineStr">
        <is>
          <t>Non-Captive</t>
        </is>
      </c>
      <c r="L3622" s="20" t="inlineStr">
        <is>
          <t>PINE AUTOS</t>
        </is>
      </c>
      <c r="M3622" s="23" t="n">
        <v>8474.58</v>
      </c>
    </row>
    <row r="3623">
      <c r="A3623" s="19" t="inlineStr">
        <is>
          <t>FY27</t>
        </is>
      </c>
      <c r="B3623" s="19" t="inlineStr">
        <is>
          <t>Aug</t>
        </is>
      </c>
      <c r="C3623" s="19" t="inlineStr">
        <is>
          <t>TN</t>
        </is>
      </c>
      <c r="D3623" s="20" t="inlineStr">
        <is>
          <t>TN09DC9343</t>
        </is>
      </c>
      <c r="E3623" s="20" t="inlineStr">
        <is>
          <t>HONDA</t>
        </is>
      </c>
      <c r="F3623" s="20" t="inlineStr">
        <is>
          <t>Amaze</t>
        </is>
      </c>
      <c r="G3623" s="21" t="n">
        <v>2023</v>
      </c>
      <c r="H3623" s="22" t="n">
        <v>29114</v>
      </c>
      <c r="I3623" s="22" t="n">
        <v>1300000</v>
      </c>
      <c r="J3623" s="20" t="inlineStr">
        <is>
          <t>NIRMAL</t>
        </is>
      </c>
      <c r="K3623" s="20" t="inlineStr">
        <is>
          <t>Non-Captive</t>
        </is>
      </c>
      <c r="L3623" s="20" t="inlineStr">
        <is>
          <t>LANSON QCARS PRIVATE LIMITED</t>
        </is>
      </c>
      <c r="M3623" s="23" t="n">
        <v>8474.58</v>
      </c>
    </row>
    <row r="3624">
      <c r="A3624" s="19" t="inlineStr">
        <is>
          <t>FY27</t>
        </is>
      </c>
      <c r="B3624" s="19" t="inlineStr">
        <is>
          <t>Aug</t>
        </is>
      </c>
      <c r="C3624" s="19" t="inlineStr">
        <is>
          <t>TN</t>
        </is>
      </c>
      <c r="D3624" s="20" t="inlineStr">
        <is>
          <t>TN70K7943</t>
        </is>
      </c>
      <c r="E3624" s="20" t="inlineStr">
        <is>
          <t>MARUTI SUZUKI</t>
        </is>
      </c>
      <c r="F3624" s="20" t="inlineStr">
        <is>
          <t>Swift</t>
        </is>
      </c>
      <c r="G3624" s="21" t="n">
        <v>2013</v>
      </c>
      <c r="H3624" s="22" t="n">
        <v>130813</v>
      </c>
      <c r="I3624" s="22" t="n">
        <v>180000</v>
      </c>
      <c r="J3624" s="20" t="inlineStr">
        <is>
          <t>NIRMAL</t>
        </is>
      </c>
      <c r="K3624" s="20" t="inlineStr">
        <is>
          <t>Non-Captive</t>
        </is>
      </c>
      <c r="L3624" s="20" t="inlineStr">
        <is>
          <t>Maruthi Industries</t>
        </is>
      </c>
      <c r="M3624" s="23" t="n">
        <v>5084.75</v>
      </c>
    </row>
    <row r="3625">
      <c r="A3625" s="19" t="inlineStr">
        <is>
          <t>FY27</t>
        </is>
      </c>
      <c r="B3625" s="19" t="inlineStr">
        <is>
          <t>Aug</t>
        </is>
      </c>
      <c r="C3625" s="19" t="inlineStr">
        <is>
          <t>TN</t>
        </is>
      </c>
      <c r="D3625" s="20" t="inlineStr">
        <is>
          <t>TN70F9594</t>
        </is>
      </c>
      <c r="E3625" s="20" t="inlineStr">
        <is>
          <t>HYUNDAI</t>
        </is>
      </c>
      <c r="F3625" s="20" t="inlineStr">
        <is>
          <t>Eon</t>
        </is>
      </c>
      <c r="G3625" s="21" t="n">
        <v>2012</v>
      </c>
      <c r="H3625" s="22" t="n">
        <v>104464</v>
      </c>
      <c r="I3625" s="22" t="n">
        <v>95000</v>
      </c>
      <c r="J3625" s="20" t="inlineStr">
        <is>
          <t>PRODUCTIVITY ELEMENTS PRIVATE LIMITED</t>
        </is>
      </c>
      <c r="K3625" s="20" t="inlineStr">
        <is>
          <t>Non-Captive</t>
        </is>
      </c>
      <c r="L3625" s="20" t="inlineStr">
        <is>
          <t>Thiyagarajan Raja Cars</t>
        </is>
      </c>
      <c r="M3625" s="23" t="n">
        <v>2542.37</v>
      </c>
    </row>
    <row r="3626">
      <c r="A3626" s="19" t="inlineStr">
        <is>
          <t>FY27</t>
        </is>
      </c>
      <c r="B3626" s="19" t="inlineStr">
        <is>
          <t>Aug</t>
        </is>
      </c>
      <c r="C3626" s="19" t="inlineStr">
        <is>
          <t>TN</t>
        </is>
      </c>
      <c r="D3626" s="20" t="inlineStr">
        <is>
          <t>TN14C5436</t>
        </is>
      </c>
      <c r="E3626" s="20" t="inlineStr">
        <is>
          <t>TATA</t>
        </is>
      </c>
      <c r="F3626" s="20" t="inlineStr">
        <is>
          <t>Indica</t>
        </is>
      </c>
      <c r="G3626" s="21" t="n">
        <v>2015</v>
      </c>
      <c r="H3626" s="22" t="n">
        <v>74878</v>
      </c>
      <c r="I3626" s="22" t="n">
        <v>99000</v>
      </c>
      <c r="J3626" s="20" t="inlineStr">
        <is>
          <t>Lakshmi Tata</t>
        </is>
      </c>
      <c r="K3626" s="20" t="inlineStr">
        <is>
          <t>Non-Captive</t>
        </is>
      </c>
      <c r="L3626" s="20" t="inlineStr">
        <is>
          <t>Thiyagarajan Raja Cars</t>
        </is>
      </c>
      <c r="M3626" s="23" t="n">
        <v>2542.37</v>
      </c>
    </row>
    <row r="3627">
      <c r="A3627" s="19" t="inlineStr">
        <is>
          <t>FY27</t>
        </is>
      </c>
      <c r="B3627" s="19" t="inlineStr">
        <is>
          <t>Aug</t>
        </is>
      </c>
      <c r="C3627" s="19" t="inlineStr">
        <is>
          <t>TN</t>
        </is>
      </c>
      <c r="D3627" s="20" t="inlineStr">
        <is>
          <t>TN09CA7536</t>
        </is>
      </c>
      <c r="E3627" s="20" t="inlineStr">
        <is>
          <t>MARUTI SUZUKI</t>
        </is>
      </c>
      <c r="F3627" s="20" t="inlineStr">
        <is>
          <t>Swift</t>
        </is>
      </c>
      <c r="G3627" s="21" t="n">
        <v>2015</v>
      </c>
      <c r="H3627" s="22" t="n">
        <v>108898</v>
      </c>
      <c r="I3627" s="22" t="n">
        <v>99000</v>
      </c>
      <c r="J3627" s="20" t="inlineStr">
        <is>
          <t>CARS INDIA</t>
        </is>
      </c>
      <c r="K3627" s="20" t="inlineStr">
        <is>
          <t>Non-Captive</t>
        </is>
      </c>
      <c r="L3627" s="20" t="inlineStr">
        <is>
          <t>GRID 33</t>
        </is>
      </c>
      <c r="M3627" s="23" t="n">
        <v>4237.29</v>
      </c>
    </row>
    <row r="3628">
      <c r="A3628" s="19" t="inlineStr">
        <is>
          <t>FY27</t>
        </is>
      </c>
      <c r="B3628" s="19" t="inlineStr">
        <is>
          <t>Aug</t>
        </is>
      </c>
      <c r="C3628" s="19" t="inlineStr">
        <is>
          <t>TN</t>
        </is>
      </c>
      <c r="D3628" s="20" t="inlineStr">
        <is>
          <t>TN11B8326</t>
        </is>
      </c>
      <c r="E3628" s="20" t="inlineStr">
        <is>
          <t>HYUNDAI</t>
        </is>
      </c>
      <c r="F3628" s="20" t="inlineStr">
        <is>
          <t>Eon</t>
        </is>
      </c>
      <c r="G3628" s="21" t="n">
        <v>2013</v>
      </c>
      <c r="H3628" s="22" t="n">
        <v>104464</v>
      </c>
      <c r="I3628" s="22" t="n">
        <v>95000</v>
      </c>
      <c r="J3628" s="20" t="inlineStr">
        <is>
          <t>FPL AUTOMOBILES PRIVATE LIMITED</t>
        </is>
      </c>
      <c r="K3628" s="20" t="inlineStr">
        <is>
          <t>Non-Captive</t>
        </is>
      </c>
      <c r="L3628" s="20" t="inlineStr">
        <is>
          <t>NIRMAL CARS</t>
        </is>
      </c>
      <c r="M3628" s="23" t="n">
        <v>2542.37</v>
      </c>
    </row>
    <row r="3629">
      <c r="A3629" s="19" t="inlineStr">
        <is>
          <t>FY27</t>
        </is>
      </c>
      <c r="B3629" s="19" t="inlineStr">
        <is>
          <t>Aug</t>
        </is>
      </c>
      <c r="C3629" s="19" t="inlineStr">
        <is>
          <t>TN</t>
        </is>
      </c>
      <c r="D3629" s="20" t="inlineStr">
        <is>
          <t>TN02BD0560</t>
        </is>
      </c>
      <c r="E3629" s="20" t="inlineStr">
        <is>
          <t>MARUTI SUZUKI</t>
        </is>
      </c>
      <c r="F3629" s="20" t="inlineStr">
        <is>
          <t>Celerio</t>
        </is>
      </c>
      <c r="G3629" s="21" t="n">
        <v>2015</v>
      </c>
      <c r="H3629" s="22" t="n">
        <v>42199</v>
      </c>
      <c r="I3629" s="22" t="n">
        <v>97000</v>
      </c>
      <c r="J3629" s="20" t="inlineStr">
        <is>
          <t>CARS INDIA</t>
        </is>
      </c>
      <c r="K3629" s="20" t="inlineStr">
        <is>
          <t>Non-Captive</t>
        </is>
      </c>
      <c r="L3629" s="20" t="inlineStr">
        <is>
          <t>GRID 33</t>
        </is>
      </c>
      <c r="M3629" s="23" t="n">
        <v>4237.29</v>
      </c>
    </row>
    <row r="3630">
      <c r="A3630" s="19" t="inlineStr">
        <is>
          <t>FY27</t>
        </is>
      </c>
      <c r="B3630" s="19" t="inlineStr">
        <is>
          <t>Aug</t>
        </is>
      </c>
      <c r="C3630" s="19" t="inlineStr">
        <is>
          <t>TN</t>
        </is>
      </c>
      <c r="D3630" s="20" t="inlineStr">
        <is>
          <t>TN02AY7459</t>
        </is>
      </c>
      <c r="E3630" s="20" t="inlineStr">
        <is>
          <t>HYUNDAI</t>
        </is>
      </c>
      <c r="F3630" s="20" t="inlineStr">
        <is>
          <t>Grand I10</t>
        </is>
      </c>
      <c r="G3630" s="21" t="n">
        <v>2013</v>
      </c>
      <c r="H3630" s="22" t="n">
        <v>113041</v>
      </c>
      <c r="I3630" s="22" t="n">
        <v>174500</v>
      </c>
      <c r="J3630" s="20" t="inlineStr">
        <is>
          <t>CAR HUB</t>
        </is>
      </c>
      <c r="K3630" s="20" t="inlineStr">
        <is>
          <t>Non-Captive</t>
        </is>
      </c>
      <c r="L3630" s="20" t="inlineStr">
        <is>
          <t>CARS24</t>
        </is>
      </c>
      <c r="M3630" s="23" t="n">
        <v>5084.75</v>
      </c>
    </row>
    <row r="3631">
      <c r="A3631" s="19" t="inlineStr">
        <is>
          <t>FY27</t>
        </is>
      </c>
      <c r="B3631" s="19" t="inlineStr">
        <is>
          <t>Aug</t>
        </is>
      </c>
      <c r="C3631" s="19" t="inlineStr">
        <is>
          <t>TN</t>
        </is>
      </c>
      <c r="D3631" s="20" t="inlineStr">
        <is>
          <t>TN47AF5665</t>
        </is>
      </c>
      <c r="E3631" s="20" t="inlineStr">
        <is>
          <t>HONDA</t>
        </is>
      </c>
      <c r="F3631" s="20" t="inlineStr">
        <is>
          <t>Mobilio</t>
        </is>
      </c>
      <c r="G3631" s="21" t="n">
        <v>2014</v>
      </c>
      <c r="H3631" s="22" t="n">
        <v>121198</v>
      </c>
      <c r="I3631" s="22" t="n">
        <v>310000</v>
      </c>
      <c r="J3631" s="20" t="inlineStr">
        <is>
          <t>EXCHANGE ROTN</t>
        </is>
      </c>
      <c r="K3631" s="20" t="inlineStr">
        <is>
          <t>Captive</t>
        </is>
      </c>
      <c r="L3631" s="20" t="inlineStr">
        <is>
          <t>SIVASHANKAR CARS</t>
        </is>
      </c>
      <c r="M3631" s="23" t="n">
        <v>8474.58</v>
      </c>
    </row>
    <row r="3632">
      <c r="A3632" s="19" t="inlineStr">
        <is>
          <t>FY27</t>
        </is>
      </c>
      <c r="B3632" s="19" t="inlineStr">
        <is>
          <t>Aug</t>
        </is>
      </c>
      <c r="C3632" s="19" t="inlineStr">
        <is>
          <t>TN</t>
        </is>
      </c>
      <c r="D3632" s="20" t="inlineStr">
        <is>
          <t>TN48Q5657</t>
        </is>
      </c>
      <c r="E3632" s="20" t="inlineStr">
        <is>
          <t>FORD</t>
        </is>
      </c>
      <c r="F3632" s="20" t="inlineStr">
        <is>
          <t>Figo</t>
        </is>
      </c>
      <c r="G3632" s="21" t="n">
        <v>2010</v>
      </c>
      <c r="H3632" s="22" t="n">
        <v>113098</v>
      </c>
      <c r="I3632" s="22" t="n">
        <v>125000</v>
      </c>
      <c r="J3632" s="20" t="inlineStr">
        <is>
          <t>EXCHANGE ROTN</t>
        </is>
      </c>
      <c r="K3632" s="20" t="inlineStr">
        <is>
          <t>Captive</t>
        </is>
      </c>
      <c r="L3632" s="20" t="inlineStr">
        <is>
          <t>SIVASHANKAR CARS</t>
        </is>
      </c>
      <c r="M3632" s="23" t="n">
        <v>8474.58</v>
      </c>
    </row>
    <row r="3633">
      <c r="A3633" s="19" t="inlineStr">
        <is>
          <t>FY27</t>
        </is>
      </c>
      <c r="B3633" s="19" t="inlineStr">
        <is>
          <t>Aug</t>
        </is>
      </c>
      <c r="C3633" s="19" t="inlineStr">
        <is>
          <t>TN</t>
        </is>
      </c>
      <c r="D3633" s="20" t="inlineStr">
        <is>
          <t>TN47AD5799</t>
        </is>
      </c>
      <c r="E3633" s="20" t="inlineStr">
        <is>
          <t>TATA</t>
        </is>
      </c>
      <c r="F3633" s="20" t="inlineStr">
        <is>
          <t>Manza</t>
        </is>
      </c>
      <c r="G3633" s="21" t="n">
        <v>2013</v>
      </c>
      <c r="H3633" s="22" t="n">
        <v>94577</v>
      </c>
      <c r="I3633" s="22" t="n">
        <v>175000</v>
      </c>
      <c r="J3633" s="20" t="inlineStr">
        <is>
          <t>EXCHANGE ROTN</t>
        </is>
      </c>
      <c r="K3633" s="20" t="inlineStr">
        <is>
          <t>Captive</t>
        </is>
      </c>
      <c r="L3633" s="20" t="inlineStr">
        <is>
          <t>SIVASHANKAR CARS</t>
        </is>
      </c>
      <c r="M3633" s="23" t="n">
        <v>8474.58</v>
      </c>
    </row>
    <row r="3634">
      <c r="A3634" s="19" t="inlineStr">
        <is>
          <t>FY27</t>
        </is>
      </c>
      <c r="B3634" s="19" t="inlineStr">
        <is>
          <t>Aug</t>
        </is>
      </c>
      <c r="C3634" s="19" t="inlineStr">
        <is>
          <t>TN</t>
        </is>
      </c>
      <c r="D3634" s="20" t="inlineStr">
        <is>
          <t>TN66R7117</t>
        </is>
      </c>
      <c r="E3634" s="20" t="inlineStr">
        <is>
          <t>HONDA</t>
        </is>
      </c>
      <c r="F3634" s="20" t="inlineStr">
        <is>
          <t>City</t>
        </is>
      </c>
      <c r="G3634" s="21" t="n">
        <v>2016</v>
      </c>
      <c r="H3634" s="22" t="n">
        <v>86891</v>
      </c>
      <c r="I3634" s="22" t="n">
        <v>535000</v>
      </c>
      <c r="J3634" s="20" t="inlineStr">
        <is>
          <t>EXCHANGE ROTN</t>
        </is>
      </c>
      <c r="K3634" s="20" t="inlineStr">
        <is>
          <t>Captive</t>
        </is>
      </c>
      <c r="L3634" s="20" t="inlineStr">
        <is>
          <t>DEERAA CARS</t>
        </is>
      </c>
      <c r="M3634" s="23" t="n">
        <v>21186.44</v>
      </c>
    </row>
    <row r="3635">
      <c r="A3635" s="19" t="inlineStr">
        <is>
          <t>FY27</t>
        </is>
      </c>
      <c r="B3635" s="19" t="inlineStr">
        <is>
          <t>Aug</t>
        </is>
      </c>
      <c r="C3635" s="19" t="inlineStr">
        <is>
          <t>TN</t>
        </is>
      </c>
      <c r="D3635" s="20" t="inlineStr">
        <is>
          <t>TN66S6219</t>
        </is>
      </c>
      <c r="E3635" s="20" t="inlineStr">
        <is>
          <t>HONDA</t>
        </is>
      </c>
      <c r="F3635" s="20" t="inlineStr">
        <is>
          <t>Jazz</t>
        </is>
      </c>
      <c r="G3635" s="21" t="n">
        <v>2016</v>
      </c>
      <c r="H3635" s="22" t="n">
        <v>96666</v>
      </c>
      <c r="I3635" s="22" t="n">
        <v>370000</v>
      </c>
      <c r="J3635" s="20" t="inlineStr">
        <is>
          <t>EXCHANGE ROTN</t>
        </is>
      </c>
      <c r="K3635" s="20" t="inlineStr">
        <is>
          <t>Captive</t>
        </is>
      </c>
      <c r="L3635" s="20" t="inlineStr">
        <is>
          <t>SRI VIGNESH PRE OWNED CARS</t>
        </is>
      </c>
      <c r="M3635" s="23" t="n">
        <v>8474.58</v>
      </c>
    </row>
    <row r="3636">
      <c r="A3636" s="19" t="inlineStr">
        <is>
          <t>FY27</t>
        </is>
      </c>
      <c r="B3636" s="19" t="inlineStr">
        <is>
          <t>Aug</t>
        </is>
      </c>
      <c r="C3636" s="19" t="inlineStr">
        <is>
          <t>TN</t>
        </is>
      </c>
      <c r="D3636" s="20" t="inlineStr">
        <is>
          <t>TN59AP9964</t>
        </is>
      </c>
      <c r="E3636" s="20" t="inlineStr">
        <is>
          <t>MARUTI SUZUKI</t>
        </is>
      </c>
      <c r="F3636" s="20" t="inlineStr">
        <is>
          <t>Swift</t>
        </is>
      </c>
      <c r="G3636" s="21" t="n">
        <v>2010</v>
      </c>
      <c r="H3636" s="22" t="n">
        <v>114146</v>
      </c>
      <c r="I3636" s="22" t="n">
        <v>180000</v>
      </c>
      <c r="J3636" s="20" t="inlineStr">
        <is>
          <t>EXCHANGE ROTN</t>
        </is>
      </c>
      <c r="K3636" s="20" t="inlineStr">
        <is>
          <t>Captive</t>
        </is>
      </c>
      <c r="L3636" s="20" t="inlineStr">
        <is>
          <t>AUTOMOTIVATORS</t>
        </is>
      </c>
      <c r="M3636" s="23" t="n">
        <v>8474.58</v>
      </c>
    </row>
    <row r="3637">
      <c r="A3637" s="19" t="inlineStr">
        <is>
          <t>FY27</t>
        </is>
      </c>
      <c r="B3637" s="19" t="inlineStr">
        <is>
          <t>Aug</t>
        </is>
      </c>
      <c r="C3637" s="19" t="inlineStr">
        <is>
          <t>TN</t>
        </is>
      </c>
      <c r="D3637" s="20" t="inlineStr">
        <is>
          <t>TN03J1666</t>
        </is>
      </c>
      <c r="E3637" s="20" t="inlineStr">
        <is>
          <t>CHEVROLET</t>
        </is>
      </c>
      <c r="F3637" s="20" t="inlineStr">
        <is>
          <t>Beat</t>
        </is>
      </c>
      <c r="G3637" s="21" t="n">
        <v>2012</v>
      </c>
      <c r="H3637" s="22" t="n">
        <v>150000</v>
      </c>
      <c r="I3637" s="22" t="n">
        <v>50000</v>
      </c>
      <c r="J3637" s="20" t="inlineStr">
        <is>
          <t>PLA MOTORS</t>
        </is>
      </c>
      <c r="K3637" s="20" t="inlineStr">
        <is>
          <t>Non-Captive</t>
        </is>
      </c>
      <c r="L3637" s="20" t="inlineStr">
        <is>
          <t>GGEE Cars</t>
        </is>
      </c>
      <c r="M3637" s="23" t="n">
        <v>4237.29</v>
      </c>
    </row>
    <row r="3638">
      <c r="A3638" s="19" t="inlineStr">
        <is>
          <t>FY27</t>
        </is>
      </c>
      <c r="B3638" s="19" t="inlineStr">
        <is>
          <t>Aug</t>
        </is>
      </c>
      <c r="C3638" s="19" t="inlineStr">
        <is>
          <t>TN</t>
        </is>
      </c>
      <c r="D3638" s="20" t="inlineStr">
        <is>
          <t>TN58AB9736</t>
        </is>
      </c>
      <c r="E3638" s="20" t="inlineStr">
        <is>
          <t>HYUNDAI</t>
        </is>
      </c>
      <c r="F3638" s="20" t="inlineStr">
        <is>
          <t>I10</t>
        </is>
      </c>
      <c r="G3638" s="21" t="n">
        <v>2012</v>
      </c>
      <c r="H3638" s="22" t="n">
        <v>229103</v>
      </c>
      <c r="I3638" s="22" t="n">
        <v>80000</v>
      </c>
      <c r="J3638" s="20" t="inlineStr">
        <is>
          <t>PLA MOTORS</t>
        </is>
      </c>
      <c r="K3638" s="20" t="inlineStr">
        <is>
          <t>Non-Captive</t>
        </is>
      </c>
      <c r="L3638" s="20" t="inlineStr">
        <is>
          <t>GGEE Cars</t>
        </is>
      </c>
      <c r="M3638" s="23" t="n">
        <v>4237.29</v>
      </c>
    </row>
    <row r="3639">
      <c r="A3639" s="19" t="inlineStr">
        <is>
          <t>FY27</t>
        </is>
      </c>
      <c r="B3639" s="19" t="inlineStr">
        <is>
          <t>Aug</t>
        </is>
      </c>
      <c r="C3639" s="19" t="inlineStr">
        <is>
          <t>TN</t>
        </is>
      </c>
      <c r="D3639" s="20" t="inlineStr">
        <is>
          <t>TN34Z3785</t>
        </is>
      </c>
      <c r="E3639" s="20" t="inlineStr">
        <is>
          <t>MARUTI SUZUKI</t>
        </is>
      </c>
      <c r="F3639" s="20" t="inlineStr">
        <is>
          <t>Swift</t>
        </is>
      </c>
      <c r="G3639" s="21" t="n">
        <v>2017</v>
      </c>
      <c r="H3639" s="22" t="n">
        <v>100403</v>
      </c>
      <c r="I3639" s="22" t="n">
        <v>385000</v>
      </c>
      <c r="J3639" s="20" t="inlineStr">
        <is>
          <t>EXCHANGE ROTN</t>
        </is>
      </c>
      <c r="K3639" s="20" t="inlineStr">
        <is>
          <t>Captive</t>
        </is>
      </c>
      <c r="L3639" s="20" t="inlineStr">
        <is>
          <t>STALIN CARS</t>
        </is>
      </c>
      <c r="M3639" s="23" t="n">
        <v>12711.86</v>
      </c>
    </row>
    <row r="3640">
      <c r="A3640" s="19" t="inlineStr">
        <is>
          <t>FY27</t>
        </is>
      </c>
      <c r="B3640" s="19" t="inlineStr">
        <is>
          <t>Aug</t>
        </is>
      </c>
      <c r="C3640" s="19" t="inlineStr">
        <is>
          <t>TN</t>
        </is>
      </c>
      <c r="D3640" s="20" t="inlineStr">
        <is>
          <t>TN22CU6177</t>
        </is>
      </c>
      <c r="E3640" s="20" t="inlineStr">
        <is>
          <t>TOYOTA</t>
        </is>
      </c>
      <c r="F3640" s="20" t="inlineStr">
        <is>
          <t>Etios</t>
        </is>
      </c>
      <c r="G3640" s="21" t="n">
        <v>2011</v>
      </c>
      <c r="H3640" s="22" t="n">
        <v>84713</v>
      </c>
      <c r="I3640" s="22" t="n">
        <v>200000</v>
      </c>
      <c r="J3640" s="20" t="inlineStr">
        <is>
          <t>EXCHANGE ROTN</t>
        </is>
      </c>
      <c r="K3640" s="20" t="inlineStr">
        <is>
          <t>Captive</t>
        </is>
      </c>
      <c r="L3640" s="20" t="inlineStr">
        <is>
          <t>PURUSOTHAMAN J CARS</t>
        </is>
      </c>
      <c r="M3640" s="23" t="n">
        <v>14406.78</v>
      </c>
    </row>
    <row r="3641">
      <c r="A3641" s="19" t="inlineStr">
        <is>
          <t>FY27</t>
        </is>
      </c>
      <c r="B3641" s="19" t="inlineStr">
        <is>
          <t>Aug</t>
        </is>
      </c>
      <c r="C3641" s="19" t="inlineStr">
        <is>
          <t>TN</t>
        </is>
      </c>
      <c r="D3641" s="20" t="inlineStr">
        <is>
          <t>TN65H6916</t>
        </is>
      </c>
      <c r="E3641" s="20" t="inlineStr">
        <is>
          <t>MARUTI SUZUKI</t>
        </is>
      </c>
      <c r="F3641" s="20" t="inlineStr">
        <is>
          <t>Alto</t>
        </is>
      </c>
      <c r="G3641" s="21" t="n">
        <v>2007</v>
      </c>
      <c r="H3641" s="22" t="n">
        <v>118622</v>
      </c>
      <c r="I3641" s="22" t="n">
        <v>65000</v>
      </c>
      <c r="J3641" s="20" t="inlineStr">
        <is>
          <t>EXCHANGE ROTN</t>
        </is>
      </c>
      <c r="K3641" s="20" t="inlineStr">
        <is>
          <t>Captive</t>
        </is>
      </c>
      <c r="L3641" s="20" t="inlineStr">
        <is>
          <t>AUTOMOTIVATORS</t>
        </is>
      </c>
      <c r="M3641" s="23" t="n">
        <v>12711.86</v>
      </c>
    </row>
    <row r="3642">
      <c r="A3642" s="19" t="inlineStr">
        <is>
          <t>FY27</t>
        </is>
      </c>
      <c r="B3642" s="19" t="inlineStr">
        <is>
          <t>Aug</t>
        </is>
      </c>
      <c r="C3642" s="19" t="inlineStr">
        <is>
          <t>TN</t>
        </is>
      </c>
      <c r="D3642" s="20" t="inlineStr">
        <is>
          <t>TN81D4167</t>
        </is>
      </c>
      <c r="E3642" s="20" t="inlineStr">
        <is>
          <t>MARUTI SUZUKI</t>
        </is>
      </c>
      <c r="F3642" s="20" t="inlineStr">
        <is>
          <t>Wagonr</t>
        </is>
      </c>
      <c r="G3642" s="21" t="n">
        <v>2018</v>
      </c>
      <c r="H3642" s="22" t="n">
        <v>40653</v>
      </c>
      <c r="I3642" s="22" t="n">
        <v>363000</v>
      </c>
      <c r="J3642" s="20" t="inlineStr">
        <is>
          <t>PLA MOTORS</t>
        </is>
      </c>
      <c r="K3642" s="20" t="inlineStr">
        <is>
          <t>Non-Captive</t>
        </is>
      </c>
      <c r="L3642" s="20" t="inlineStr">
        <is>
          <t>ASWIN CARS</t>
        </is>
      </c>
      <c r="M3642" s="23" t="n">
        <v>10169.49</v>
      </c>
    </row>
    <row r="3643">
      <c r="A3643" s="19" t="inlineStr">
        <is>
          <t>FY27</t>
        </is>
      </c>
      <c r="B3643" s="19" t="inlineStr">
        <is>
          <t>Aug</t>
        </is>
      </c>
      <c r="C3643" s="19" t="inlineStr">
        <is>
          <t>TN</t>
        </is>
      </c>
      <c r="D3643" s="20" t="inlineStr">
        <is>
          <t>TN58AQ2835</t>
        </is>
      </c>
      <c r="E3643" s="20" t="inlineStr">
        <is>
          <t>VOLKSWAGEN</t>
        </is>
      </c>
      <c r="F3643" s="20" t="inlineStr">
        <is>
          <t>Polo</t>
        </is>
      </c>
      <c r="G3643" s="21" t="n">
        <v>2017</v>
      </c>
      <c r="H3643" s="22" t="n">
        <v>91353</v>
      </c>
      <c r="I3643" s="22" t="n">
        <v>355000</v>
      </c>
      <c r="J3643" s="20" t="inlineStr">
        <is>
          <t>EXCHANGE ROTN</t>
        </is>
      </c>
      <c r="K3643" s="20" t="inlineStr">
        <is>
          <t>Captive</t>
        </is>
      </c>
      <c r="L3643" s="20" t="inlineStr">
        <is>
          <t>Gokul Cars</t>
        </is>
      </c>
      <c r="M3643" s="23" t="n">
        <v>16949.15</v>
      </c>
    </row>
    <row r="3644">
      <c r="A3644" s="19" t="inlineStr">
        <is>
          <t>FY27</t>
        </is>
      </c>
      <c r="B3644" s="19" t="inlineStr">
        <is>
          <t>Aug</t>
        </is>
      </c>
      <c r="C3644" s="19" t="inlineStr">
        <is>
          <t>TN</t>
        </is>
      </c>
      <c r="D3644" s="20" t="inlineStr">
        <is>
          <t>TN02AF7407</t>
        </is>
      </c>
      <c r="E3644" s="20" t="inlineStr">
        <is>
          <t>MARUTI SUZUKI</t>
        </is>
      </c>
      <c r="F3644" s="20" t="inlineStr">
        <is>
          <t>Alto</t>
        </is>
      </c>
      <c r="G3644" s="21" t="n">
        <v>2008</v>
      </c>
      <c r="H3644" s="22" t="n">
        <v>118920</v>
      </c>
      <c r="I3644" s="22" t="n">
        <v>70000</v>
      </c>
      <c r="J3644" s="20" t="inlineStr">
        <is>
          <t>SIVA AUTOMOTIVE TRADING PRIVATE LIMITED</t>
        </is>
      </c>
      <c r="K3644" s="20" t="inlineStr">
        <is>
          <t>Non-Captive</t>
        </is>
      </c>
      <c r="L3644" s="20" t="inlineStr">
        <is>
          <t>Gokul Cars</t>
        </is>
      </c>
      <c r="M3644" s="23" t="n">
        <v>4237.29</v>
      </c>
    </row>
    <row r="3645">
      <c r="A3645" s="19" t="inlineStr">
        <is>
          <t>FY27</t>
        </is>
      </c>
      <c r="B3645" s="19" t="inlineStr">
        <is>
          <t>Aug</t>
        </is>
      </c>
      <c r="C3645" s="19" t="inlineStr">
        <is>
          <t>TN</t>
        </is>
      </c>
      <c r="D3645" s="20" t="inlineStr">
        <is>
          <t>TN33AY5758</t>
        </is>
      </c>
      <c r="E3645" s="20" t="inlineStr">
        <is>
          <t>MARUTI SUZUKI</t>
        </is>
      </c>
      <c r="F3645" s="20" t="inlineStr">
        <is>
          <t>Zen</t>
        </is>
      </c>
      <c r="G3645" s="21" t="n">
        <v>2005</v>
      </c>
      <c r="H3645" s="22" t="n">
        <v>229525</v>
      </c>
      <c r="I3645" s="22" t="n">
        <v>55000</v>
      </c>
      <c r="J3645" s="20" t="inlineStr">
        <is>
          <t>EXCHANGE ROTN</t>
        </is>
      </c>
      <c r="K3645" s="20" t="inlineStr">
        <is>
          <t>Captive</t>
        </is>
      </c>
      <c r="L3645" s="20" t="inlineStr">
        <is>
          <t>SIVASHANKAR CARS</t>
        </is>
      </c>
      <c r="M3645" s="23" t="n">
        <v>4237.29</v>
      </c>
    </row>
    <row r="3646">
      <c r="A3646" s="19" t="inlineStr">
        <is>
          <t>FY27</t>
        </is>
      </c>
      <c r="B3646" s="19" t="inlineStr">
        <is>
          <t>Aug</t>
        </is>
      </c>
      <c r="C3646" s="19" t="inlineStr">
        <is>
          <t>TN</t>
        </is>
      </c>
      <c r="D3646" s="20" t="inlineStr">
        <is>
          <t>TN37DM5449</t>
        </is>
      </c>
      <c r="E3646" s="20" t="inlineStr">
        <is>
          <t>HYUNDAI</t>
        </is>
      </c>
      <c r="F3646" s="20" t="inlineStr">
        <is>
          <t>I20</t>
        </is>
      </c>
      <c r="G3646" s="21" t="n">
        <v>2022</v>
      </c>
      <c r="H3646" s="22" t="n">
        <v>40307</v>
      </c>
      <c r="I3646" s="22" t="n">
        <v>710000</v>
      </c>
      <c r="J3646" s="20" t="inlineStr">
        <is>
          <t>EXCHANGE ROTN</t>
        </is>
      </c>
      <c r="K3646" s="20" t="inlineStr">
        <is>
          <t>Captive</t>
        </is>
      </c>
      <c r="L3646" s="20" t="inlineStr">
        <is>
          <t>AUTO SOLUTION</t>
        </is>
      </c>
      <c r="M3646" s="23" t="n">
        <v>12711.86</v>
      </c>
    </row>
    <row r="3647">
      <c r="A3647" s="19" t="inlineStr">
        <is>
          <t>FY27</t>
        </is>
      </c>
      <c r="B3647" s="19" t="inlineStr">
        <is>
          <t>Aug</t>
        </is>
      </c>
      <c r="C3647" s="19" t="inlineStr">
        <is>
          <t>TN</t>
        </is>
      </c>
      <c r="D3647" s="20" t="inlineStr">
        <is>
          <t>TN66AA5223</t>
        </is>
      </c>
      <c r="E3647" s="20" t="inlineStr">
        <is>
          <t>MARUTI SUZUKI</t>
        </is>
      </c>
      <c r="F3647" s="20" t="inlineStr">
        <is>
          <t>Alto K10</t>
        </is>
      </c>
      <c r="G3647" s="21" t="n">
        <v>2018</v>
      </c>
      <c r="H3647" s="22" t="n">
        <v>7581</v>
      </c>
      <c r="I3647" s="22" t="n">
        <v>295000</v>
      </c>
      <c r="J3647" s="20" t="inlineStr">
        <is>
          <t>EXCHANGE ROTN</t>
        </is>
      </c>
      <c r="K3647" s="20" t="inlineStr">
        <is>
          <t>Captive</t>
        </is>
      </c>
      <c r="L3647" s="20" t="inlineStr">
        <is>
          <t>YUGA DHEERAN CARS</t>
        </is>
      </c>
      <c r="M3647" s="23" t="n">
        <v>12711.86</v>
      </c>
    </row>
    <row r="3648">
      <c r="A3648" s="19" t="inlineStr">
        <is>
          <t>FY27</t>
        </is>
      </c>
      <c r="B3648" s="19" t="inlineStr">
        <is>
          <t>Aug</t>
        </is>
      </c>
      <c r="C3648" s="19" t="inlineStr">
        <is>
          <t>TN</t>
        </is>
      </c>
      <c r="D3648" s="20" t="inlineStr">
        <is>
          <t>TN10AZ1852</t>
        </is>
      </c>
      <c r="E3648" s="20" t="inlineStr">
        <is>
          <t>MARUTI SUZUKI</t>
        </is>
      </c>
      <c r="F3648" s="20" t="inlineStr">
        <is>
          <t>Swiftdzire</t>
        </is>
      </c>
      <c r="G3648" s="21" t="n">
        <v>2017</v>
      </c>
      <c r="H3648" s="22" t="n">
        <v>87321</v>
      </c>
      <c r="I3648" s="22" t="n">
        <v>400000</v>
      </c>
      <c r="J3648" s="20" t="inlineStr">
        <is>
          <t>EXCHANGE CHENNAI</t>
        </is>
      </c>
      <c r="K3648" s="20" t="inlineStr">
        <is>
          <t>Captive</t>
        </is>
      </c>
      <c r="L3648" s="20" t="inlineStr">
        <is>
          <t>SANTHOSH CARS</t>
        </is>
      </c>
      <c r="M3648" s="23" t="n">
        <v>8474.58</v>
      </c>
    </row>
    <row r="3649">
      <c r="A3649" s="19" t="inlineStr">
        <is>
          <t>FY27</t>
        </is>
      </c>
      <c r="B3649" s="19" t="inlineStr">
        <is>
          <t>Aug</t>
        </is>
      </c>
      <c r="C3649" s="19" t="inlineStr">
        <is>
          <t>TN</t>
        </is>
      </c>
      <c r="D3649" s="20" t="inlineStr">
        <is>
          <t>TN06M7432</t>
        </is>
      </c>
      <c r="E3649" s="20" t="inlineStr">
        <is>
          <t>HONDA</t>
        </is>
      </c>
      <c r="F3649" s="20" t="inlineStr">
        <is>
          <t>Brio</t>
        </is>
      </c>
      <c r="G3649" s="21" t="n">
        <v>2014</v>
      </c>
      <c r="H3649" s="22" t="n">
        <v>60913</v>
      </c>
      <c r="I3649" s="22" t="n">
        <v>260000</v>
      </c>
      <c r="J3649" s="20" t="inlineStr">
        <is>
          <t>EXCHANGE CHENNAI</t>
        </is>
      </c>
      <c r="K3649" s="20" t="inlineStr">
        <is>
          <t>Captive</t>
        </is>
      </c>
      <c r="L3649" s="20" t="inlineStr">
        <is>
          <t>NIRMAL CARS</t>
        </is>
      </c>
      <c r="M3649" s="23" t="n">
        <v>8474.58</v>
      </c>
    </row>
    <row r="3650">
      <c r="A3650" s="19" t="inlineStr">
        <is>
          <t>FY27</t>
        </is>
      </c>
      <c r="B3650" s="19" t="inlineStr">
        <is>
          <t>Aug</t>
        </is>
      </c>
      <c r="C3650" s="19" t="inlineStr">
        <is>
          <t>TN</t>
        </is>
      </c>
      <c r="D3650" s="20" t="inlineStr">
        <is>
          <t>TN245859</t>
        </is>
      </c>
      <c r="E3650" s="20" t="inlineStr">
        <is>
          <t>HONDA</t>
        </is>
      </c>
      <c r="F3650" s="20" t="inlineStr">
        <is>
          <t>City</t>
        </is>
      </c>
      <c r="G3650" s="21" t="n">
        <v>2004</v>
      </c>
      <c r="H3650" s="22" t="n">
        <v>175296</v>
      </c>
      <c r="I3650" s="22" t="n">
        <v>50000</v>
      </c>
      <c r="J3650" s="20" t="inlineStr">
        <is>
          <t>EXCHANGE CHENNAI</t>
        </is>
      </c>
      <c r="K3650" s="20" t="inlineStr">
        <is>
          <t>Captive</t>
        </is>
      </c>
      <c r="L3650" s="20" t="inlineStr">
        <is>
          <t>SANTHOSH CARS</t>
        </is>
      </c>
      <c r="M3650" s="23" t="n">
        <v>8474.58</v>
      </c>
    </row>
    <row r="3651">
      <c r="A3651" s="19" t="inlineStr">
        <is>
          <t>FY27</t>
        </is>
      </c>
      <c r="B3651" s="19" t="inlineStr">
        <is>
          <t>Aug</t>
        </is>
      </c>
      <c r="C3651" s="19" t="inlineStr">
        <is>
          <t>TN</t>
        </is>
      </c>
      <c r="D3651" s="20" t="inlineStr">
        <is>
          <t>TN02BW7340</t>
        </is>
      </c>
      <c r="E3651" s="20" t="inlineStr">
        <is>
          <t>MG</t>
        </is>
      </c>
      <c r="F3651" s="20" t="inlineStr">
        <is>
          <t>Astor</t>
        </is>
      </c>
      <c r="G3651" s="21" t="n">
        <v>2022</v>
      </c>
      <c r="H3651" s="22" t="n">
        <v>45290</v>
      </c>
      <c r="I3651" s="22" t="n">
        <v>625000</v>
      </c>
      <c r="J3651" s="20" t="inlineStr">
        <is>
          <t>EXCHANGE CHENNAI</t>
        </is>
      </c>
      <c r="K3651" s="20" t="inlineStr">
        <is>
          <t>Captive</t>
        </is>
      </c>
      <c r="L3651" s="20" t="inlineStr">
        <is>
          <t>NIRMAL CARS</t>
        </is>
      </c>
      <c r="M3651" s="23" t="n">
        <v>8474.58</v>
      </c>
    </row>
    <row r="3652">
      <c r="A3652" s="19" t="inlineStr">
        <is>
          <t>FY27</t>
        </is>
      </c>
      <c r="B3652" s="19" t="inlineStr">
        <is>
          <t>Aug</t>
        </is>
      </c>
      <c r="C3652" s="19" t="inlineStr">
        <is>
          <t>TN</t>
        </is>
      </c>
      <c r="D3652" s="20" t="inlineStr">
        <is>
          <t>TN22DB1240</t>
        </is>
      </c>
      <c r="E3652" s="20" t="inlineStr">
        <is>
          <t>MAHINDRA</t>
        </is>
      </c>
      <c r="F3652" s="20" t="inlineStr">
        <is>
          <t>Bolero</t>
        </is>
      </c>
      <c r="G3652" s="21" t="n">
        <v>2015</v>
      </c>
      <c r="H3652" s="22" t="n">
        <v>146078</v>
      </c>
      <c r="I3652" s="22" t="n">
        <v>460000</v>
      </c>
      <c r="J3652" s="20" t="inlineStr">
        <is>
          <t>CASTLE TRADERS Mahindra)</t>
        </is>
      </c>
      <c r="K3652" s="20" t="inlineStr">
        <is>
          <t>Non-Captive</t>
        </is>
      </c>
      <c r="L3652" s="20" t="inlineStr">
        <is>
          <t>Senthur Cars</t>
        </is>
      </c>
      <c r="M3652" s="23" t="n">
        <v>7627.12</v>
      </c>
    </row>
    <row r="3653">
      <c r="A3653" s="19" t="inlineStr">
        <is>
          <t>FY27</t>
        </is>
      </c>
      <c r="B3653" s="19" t="inlineStr">
        <is>
          <t>Aug</t>
        </is>
      </c>
      <c r="C3653" s="19" t="inlineStr">
        <is>
          <t>TN</t>
        </is>
      </c>
      <c r="D3653" s="20" t="inlineStr">
        <is>
          <t>TN01AP0756</t>
        </is>
      </c>
      <c r="E3653" s="20" t="inlineStr">
        <is>
          <t>VOLKSWAGEN</t>
        </is>
      </c>
      <c r="F3653" s="20" t="inlineStr">
        <is>
          <t>Vento</t>
        </is>
      </c>
      <c r="G3653" s="21" t="n">
        <v>2011</v>
      </c>
      <c r="H3653" s="22" t="n">
        <v>207976</v>
      </c>
      <c r="I3653" s="22" t="n">
        <v>136000</v>
      </c>
      <c r="J3653" s="20" t="inlineStr">
        <is>
          <t>BRAKES INDIA PRIVATE LIMITED</t>
        </is>
      </c>
      <c r="K3653" s="20" t="inlineStr">
        <is>
          <t>Non-Captive</t>
        </is>
      </c>
      <c r="L3653" s="20" t="inlineStr">
        <is>
          <t>SRI KARUPPAIYA CARS</t>
        </is>
      </c>
      <c r="M3653" s="23" t="n">
        <v>5084.75</v>
      </c>
    </row>
    <row r="3654">
      <c r="A3654" s="19" t="inlineStr">
        <is>
          <t>FY27</t>
        </is>
      </c>
      <c r="B3654" s="19" t="inlineStr">
        <is>
          <t>Aug</t>
        </is>
      </c>
      <c r="C3654" s="19" t="inlineStr">
        <is>
          <t>TN</t>
        </is>
      </c>
      <c r="D3654" s="20" t="inlineStr">
        <is>
          <t>TN18D5536</t>
        </is>
      </c>
      <c r="E3654" s="20" t="inlineStr">
        <is>
          <t>HONDA</t>
        </is>
      </c>
      <c r="F3654" s="20" t="inlineStr">
        <is>
          <t>Civic</t>
        </is>
      </c>
      <c r="G3654" s="21" t="n">
        <v>2010</v>
      </c>
      <c r="H3654" s="22" t="n">
        <v>86800</v>
      </c>
      <c r="I3654" s="22" t="n">
        <v>98000</v>
      </c>
      <c r="J3654" s="20" t="inlineStr">
        <is>
          <t>Shree Thiya cars</t>
        </is>
      </c>
      <c r="K3654" s="20" t="inlineStr">
        <is>
          <t>Non-Captive</t>
        </is>
      </c>
      <c r="L3654" s="20" t="inlineStr">
        <is>
          <t>CARS24</t>
        </is>
      </c>
      <c r="M3654" s="23" t="n">
        <v>4237.29</v>
      </c>
    </row>
    <row r="3655">
      <c r="A3655" s="19" t="inlineStr">
        <is>
          <t>FY27</t>
        </is>
      </c>
      <c r="B3655" s="19" t="inlineStr">
        <is>
          <t>Aug</t>
        </is>
      </c>
      <c r="C3655" s="19" t="inlineStr">
        <is>
          <t>TN</t>
        </is>
      </c>
      <c r="D3655" s="20" t="inlineStr">
        <is>
          <t>TN04AT9349</t>
        </is>
      </c>
      <c r="E3655" s="20" t="inlineStr">
        <is>
          <t>MAHINDRA</t>
        </is>
      </c>
      <c r="F3655" s="20" t="inlineStr">
        <is>
          <t>Kuv 100</t>
        </is>
      </c>
      <c r="G3655" s="21" t="n">
        <v>2018</v>
      </c>
      <c r="H3655" s="22" t="n">
        <v>125827</v>
      </c>
      <c r="I3655" s="22" t="n">
        <v>96000</v>
      </c>
      <c r="J3655" s="20" t="inlineStr">
        <is>
          <t>CARS INDIA</t>
        </is>
      </c>
      <c r="K3655" s="20" t="inlineStr">
        <is>
          <t>Non-Captive</t>
        </is>
      </c>
      <c r="L3655" s="20" t="inlineStr">
        <is>
          <t>GRID 33</t>
        </is>
      </c>
      <c r="M3655" s="23" t="n">
        <v>4237.29</v>
      </c>
    </row>
    <row r="3656">
      <c r="A3656" s="19" t="inlineStr">
        <is>
          <t>FY27</t>
        </is>
      </c>
      <c r="B3656" s="19" t="inlineStr">
        <is>
          <t>Aug</t>
        </is>
      </c>
      <c r="C3656" s="19" t="inlineStr">
        <is>
          <t>TN</t>
        </is>
      </c>
      <c r="D3656" s="20" t="inlineStr">
        <is>
          <t>TN38BV1777</t>
        </is>
      </c>
      <c r="E3656" s="20" t="inlineStr">
        <is>
          <t>HYUNDAI</t>
        </is>
      </c>
      <c r="F3656" s="20" t="inlineStr">
        <is>
          <t>I10</t>
        </is>
      </c>
      <c r="G3656" s="21" t="n">
        <v>2013</v>
      </c>
      <c r="H3656" s="22" t="n">
        <v>75277</v>
      </c>
      <c r="I3656" s="22" t="n">
        <v>91000</v>
      </c>
      <c r="J3656" s="20" t="inlineStr">
        <is>
          <t>STEER AUTO TECHNOLOGIES PRIVATE LIMITED</t>
        </is>
      </c>
      <c r="K3656" s="20" t="inlineStr">
        <is>
          <t>Non-Captive</t>
        </is>
      </c>
      <c r="L3656" s="20" t="inlineStr">
        <is>
          <t>NIRMAL CARS</t>
        </is>
      </c>
      <c r="M3656" s="23" t="n">
        <v>2542.37</v>
      </c>
    </row>
    <row r="3657">
      <c r="A3657" s="19" t="inlineStr">
        <is>
          <t>FY27</t>
        </is>
      </c>
      <c r="B3657" s="19" t="inlineStr">
        <is>
          <t>Aug</t>
        </is>
      </c>
      <c r="C3657" s="19" t="inlineStr">
        <is>
          <t>TN</t>
        </is>
      </c>
      <c r="D3657" s="20" t="inlineStr">
        <is>
          <t>TN19R0217</t>
        </is>
      </c>
      <c r="E3657" s="20" t="inlineStr">
        <is>
          <t>HYUNDAI</t>
        </is>
      </c>
      <c r="F3657" s="20" t="inlineStr">
        <is>
          <t>Eon</t>
        </is>
      </c>
      <c r="G3657" s="21" t="n">
        <v>2015</v>
      </c>
      <c r="H3657" s="22" t="n">
        <v>98476</v>
      </c>
      <c r="I3657" s="22" t="n">
        <v>98000</v>
      </c>
      <c r="J3657" s="20" t="inlineStr">
        <is>
          <t>CARS INDIA</t>
        </is>
      </c>
      <c r="K3657" s="20" t="inlineStr">
        <is>
          <t>Non-Captive</t>
        </is>
      </c>
      <c r="L3657" s="20" t="inlineStr">
        <is>
          <t>GRID 33</t>
        </is>
      </c>
      <c r="M3657" s="23" t="n">
        <v>4237.29</v>
      </c>
    </row>
    <row r="3658">
      <c r="A3658" s="19" t="inlineStr">
        <is>
          <t>FY27</t>
        </is>
      </c>
      <c r="B3658" s="19" t="inlineStr">
        <is>
          <t>Aug</t>
        </is>
      </c>
      <c r="C3658" s="19" t="inlineStr">
        <is>
          <t>TN</t>
        </is>
      </c>
      <c r="D3658" s="20" t="inlineStr">
        <is>
          <t>TN37AL8966</t>
        </is>
      </c>
      <c r="E3658" s="20" t="inlineStr">
        <is>
          <t>HYUNDAI</t>
        </is>
      </c>
      <c r="F3658" s="20" t="inlineStr">
        <is>
          <t>Getz</t>
        </is>
      </c>
      <c r="G3658" s="21" t="n">
        <v>2005</v>
      </c>
      <c r="H3658" s="22" t="n">
        <v>48958</v>
      </c>
      <c r="I3658" s="22" t="n">
        <v>99000</v>
      </c>
      <c r="J3658" s="20" t="inlineStr">
        <is>
          <t>VISHNU CARS PRIVATE LIMITED</t>
        </is>
      </c>
      <c r="K3658" s="20" t="inlineStr">
        <is>
          <t>Non-Captive</t>
        </is>
      </c>
      <c r="L3658" s="20" t="inlineStr">
        <is>
          <t>CARS24</t>
        </is>
      </c>
      <c r="M3658" s="23" t="n">
        <v>4237.29</v>
      </c>
    </row>
    <row r="3659">
      <c r="A3659" s="19" t="inlineStr">
        <is>
          <t>FY27</t>
        </is>
      </c>
      <c r="B3659" s="19" t="inlineStr">
        <is>
          <t>Aug</t>
        </is>
      </c>
      <c r="C3659" s="19" t="inlineStr">
        <is>
          <t>TN</t>
        </is>
      </c>
      <c r="D3659" s="20" t="inlineStr">
        <is>
          <t>TN07CX7211</t>
        </is>
      </c>
      <c r="E3659" s="20" t="inlineStr">
        <is>
          <t>MARUTI SUZUKI</t>
        </is>
      </c>
      <c r="F3659" s="20" t="inlineStr">
        <is>
          <t>Swift</t>
        </is>
      </c>
      <c r="G3659" s="21" t="n">
        <v>2021</v>
      </c>
      <c r="H3659" s="22" t="n">
        <v>60122</v>
      </c>
      <c r="I3659" s="22" t="n">
        <v>97000</v>
      </c>
      <c r="J3659" s="20" t="inlineStr">
        <is>
          <t>CARS INDIA</t>
        </is>
      </c>
      <c r="K3659" s="20" t="inlineStr">
        <is>
          <t>Non-Captive</t>
        </is>
      </c>
      <c r="L3659" s="20" t="inlineStr">
        <is>
          <t>GRID 33</t>
        </is>
      </c>
      <c r="M3659" s="23" t="n">
        <v>4237.29</v>
      </c>
    </row>
    <row r="3660">
      <c r="A3660" s="19" t="inlineStr">
        <is>
          <t>FY27</t>
        </is>
      </c>
      <c r="B3660" s="19" t="inlineStr">
        <is>
          <t>Aug</t>
        </is>
      </c>
      <c r="C3660" s="19" t="inlineStr">
        <is>
          <t>TN</t>
        </is>
      </c>
      <c r="D3660" s="20" t="inlineStr">
        <is>
          <t>TN38BV4360</t>
        </is>
      </c>
      <c r="E3660" s="20" t="inlineStr">
        <is>
          <t>TATA</t>
        </is>
      </c>
      <c r="F3660" s="20" t="inlineStr">
        <is>
          <t>Nano</t>
        </is>
      </c>
      <c r="G3660" s="21" t="n">
        <v>2012</v>
      </c>
      <c r="H3660" s="22" t="n">
        <v>45895</v>
      </c>
      <c r="I3660" s="22" t="n">
        <v>89000</v>
      </c>
      <c r="J3660" s="20" t="inlineStr">
        <is>
          <t>POPULAR VEHICLES AND SERVICES LIMITED</t>
        </is>
      </c>
      <c r="K3660" s="20" t="inlineStr">
        <is>
          <t>Non-Captive</t>
        </is>
      </c>
      <c r="L3660" s="20" t="inlineStr">
        <is>
          <t>Senthur Cars</t>
        </is>
      </c>
      <c r="M3660" s="23" t="n">
        <v>4237.29</v>
      </c>
    </row>
    <row r="3661">
      <c r="A3661" s="19" t="inlineStr">
        <is>
          <t>FY27</t>
        </is>
      </c>
      <c r="B3661" s="19" t="inlineStr">
        <is>
          <t>Aug</t>
        </is>
      </c>
      <c r="C3661" s="19" t="inlineStr">
        <is>
          <t>TN</t>
        </is>
      </c>
      <c r="D3661" s="20" t="inlineStr">
        <is>
          <t>TN10BP7435</t>
        </is>
      </c>
      <c r="E3661" s="20" t="inlineStr">
        <is>
          <t>RENAULT</t>
        </is>
      </c>
      <c r="F3661" s="20" t="inlineStr">
        <is>
          <t>Triber</t>
        </is>
      </c>
      <c r="G3661" s="21" t="n">
        <v>2021</v>
      </c>
      <c r="H3661" s="22" t="n">
        <v>18246</v>
      </c>
      <c r="I3661" s="22" t="n">
        <v>92000</v>
      </c>
      <c r="J3661" s="20" t="inlineStr">
        <is>
          <t>CARS INDIA</t>
        </is>
      </c>
      <c r="K3661" s="20" t="inlineStr">
        <is>
          <t>Non-Captive</t>
        </is>
      </c>
      <c r="L3661" s="20" t="inlineStr">
        <is>
          <t>GRID 33</t>
        </is>
      </c>
      <c r="M3661" s="23" t="n">
        <v>4237.29</v>
      </c>
    </row>
    <row r="3662">
      <c r="A3662" s="19" t="inlineStr">
        <is>
          <t>FY27</t>
        </is>
      </c>
      <c r="B3662" s="19" t="inlineStr">
        <is>
          <t>Aug</t>
        </is>
      </c>
      <c r="C3662" s="19" t="inlineStr">
        <is>
          <t>TN</t>
        </is>
      </c>
      <c r="D3662" s="20" t="inlineStr">
        <is>
          <t>TN97W4974</t>
        </is>
      </c>
      <c r="E3662" s="20" t="inlineStr">
        <is>
          <t>MARUTI SUZUKI</t>
        </is>
      </c>
      <c r="F3662" s="20" t="inlineStr">
        <is>
          <t>Celerio</t>
        </is>
      </c>
      <c r="G3662" s="21" t="n">
        <v>2022</v>
      </c>
      <c r="H3662" s="22" t="n">
        <v>32236</v>
      </c>
      <c r="I3662" s="22" t="n">
        <v>940000</v>
      </c>
      <c r="J3662" s="20" t="inlineStr">
        <is>
          <t>CARS INDIA</t>
        </is>
      </c>
      <c r="K3662" s="20" t="inlineStr">
        <is>
          <t>Non-Captive</t>
        </is>
      </c>
      <c r="L3662" s="20" t="inlineStr">
        <is>
          <t>GRID 33</t>
        </is>
      </c>
      <c r="M3662" s="23" t="n">
        <v>4237.29</v>
      </c>
    </row>
    <row r="3663">
      <c r="A3663" s="19" t="inlineStr">
        <is>
          <t>FY27</t>
        </is>
      </c>
      <c r="B3663" s="19" t="inlineStr">
        <is>
          <t>Aug</t>
        </is>
      </c>
      <c r="C3663" s="19" t="inlineStr">
        <is>
          <t>TN</t>
        </is>
      </c>
      <c r="D3663" s="20" t="inlineStr">
        <is>
          <t>TN82X9077</t>
        </is>
      </c>
      <c r="E3663" s="20" t="inlineStr">
        <is>
          <t>MARUTI SUZUKI</t>
        </is>
      </c>
      <c r="F3663" s="20" t="inlineStr">
        <is>
          <t>Alto 800</t>
        </is>
      </c>
      <c r="G3663" s="21" t="n">
        <v>2018</v>
      </c>
      <c r="H3663" s="22" t="n">
        <v>69936</v>
      </c>
      <c r="I3663" s="22" t="n">
        <v>96000</v>
      </c>
      <c r="J3663" s="20" t="inlineStr">
        <is>
          <t>Cresco cars</t>
        </is>
      </c>
      <c r="K3663" s="20" t="inlineStr">
        <is>
          <t>Non-Captive</t>
        </is>
      </c>
      <c r="L3663" s="20" t="inlineStr">
        <is>
          <t>Senthur Cars</t>
        </is>
      </c>
      <c r="M3663" s="23" t="n">
        <v>4237.29</v>
      </c>
    </row>
    <row r="3664">
      <c r="A3664" s="19" t="inlineStr">
        <is>
          <t>FY27</t>
        </is>
      </c>
      <c r="B3664" s="19" t="inlineStr">
        <is>
          <t>Aug</t>
        </is>
      </c>
      <c r="C3664" s="19" t="inlineStr">
        <is>
          <t>TN</t>
        </is>
      </c>
      <c r="D3664" s="20" t="inlineStr">
        <is>
          <t>TN99E1109</t>
        </is>
      </c>
      <c r="E3664" s="20" t="inlineStr">
        <is>
          <t>CHEVROLET</t>
        </is>
      </c>
      <c r="F3664" s="20" t="inlineStr">
        <is>
          <t>Beat</t>
        </is>
      </c>
      <c r="G3664" s="21" t="n">
        <v>2015</v>
      </c>
      <c r="H3664" s="22" t="n">
        <v>93860</v>
      </c>
      <c r="I3664" s="22" t="n">
        <v>89000</v>
      </c>
      <c r="J3664" s="20" t="inlineStr">
        <is>
          <t>LANSON QCARS PRIVATE LIMITED</t>
        </is>
      </c>
      <c r="K3664" s="20" t="inlineStr">
        <is>
          <t>Non-Captive</t>
        </is>
      </c>
      <c r="L3664" s="20" t="inlineStr">
        <is>
          <t>NIRMAL CARS</t>
        </is>
      </c>
      <c r="M3664" s="23" t="n">
        <v>2542.37</v>
      </c>
    </row>
    <row r="3665">
      <c r="A3665" s="19" t="inlineStr">
        <is>
          <t>FY27</t>
        </is>
      </c>
      <c r="B3665" s="19" t="inlineStr">
        <is>
          <t>Aug</t>
        </is>
      </c>
      <c r="C3665" s="19" t="inlineStr">
        <is>
          <t>TN</t>
        </is>
      </c>
      <c r="D3665" s="20" t="inlineStr">
        <is>
          <t>TN123319</t>
        </is>
      </c>
      <c r="E3665" s="20" t="inlineStr">
        <is>
          <t>HYUNDAI</t>
        </is>
      </c>
      <c r="F3665" s="20" t="inlineStr">
        <is>
          <t>I20</t>
        </is>
      </c>
      <c r="G3665" s="21" t="n">
        <v>2013</v>
      </c>
      <c r="H3665" s="22" t="n">
        <v>79800</v>
      </c>
      <c r="I3665" s="22" t="n">
        <v>94500</v>
      </c>
      <c r="J3665" s="20" t="inlineStr">
        <is>
          <t>SVM CARS PRIVATE LIMITED</t>
        </is>
      </c>
      <c r="K3665" s="20" t="inlineStr">
        <is>
          <t>Non-Captive</t>
        </is>
      </c>
      <c r="L3665" s="20" t="inlineStr">
        <is>
          <t>GRID 33</t>
        </is>
      </c>
      <c r="M3665" s="23" t="n">
        <v>4237.29</v>
      </c>
    </row>
    <row r="3666">
      <c r="A3666" s="19" t="inlineStr">
        <is>
          <t>FY27</t>
        </is>
      </c>
      <c r="B3666" s="19" t="inlineStr">
        <is>
          <t>Aug</t>
        </is>
      </c>
      <c r="C3666" s="19" t="inlineStr">
        <is>
          <t>TN</t>
        </is>
      </c>
      <c r="D3666" s="20" t="inlineStr">
        <is>
          <t>TN05BC1872</t>
        </is>
      </c>
      <c r="E3666" s="20" t="inlineStr">
        <is>
          <t>HONDA</t>
        </is>
      </c>
      <c r="F3666" s="20" t="inlineStr">
        <is>
          <t>Jazz</t>
        </is>
      </c>
      <c r="G3666" s="21" t="n">
        <v>2015</v>
      </c>
      <c r="H3666" s="22" t="n">
        <v>117847</v>
      </c>
      <c r="I3666" s="22" t="n">
        <v>98000</v>
      </c>
      <c r="J3666" s="20" t="inlineStr">
        <is>
          <t>SVM CARS PRIVATE LIMITED</t>
        </is>
      </c>
      <c r="K3666" s="20" t="inlineStr">
        <is>
          <t>Non-Captive</t>
        </is>
      </c>
      <c r="L3666" s="20" t="inlineStr">
        <is>
          <t>Rithika cars</t>
        </is>
      </c>
      <c r="M3666" s="23" t="n">
        <v>2542.37</v>
      </c>
    </row>
    <row r="3667">
      <c r="A3667" s="19" t="inlineStr">
        <is>
          <t>FY27</t>
        </is>
      </c>
      <c r="B3667" s="19" t="inlineStr">
        <is>
          <t>Aug</t>
        </is>
      </c>
      <c r="C3667" s="19" t="inlineStr">
        <is>
          <t>TN</t>
        </is>
      </c>
      <c r="D3667" s="20" t="inlineStr">
        <is>
          <t>TN22DM2345</t>
        </is>
      </c>
      <c r="E3667" s="20" t="inlineStr">
        <is>
          <t>MARUTI SUZUKI</t>
        </is>
      </c>
      <c r="F3667" s="20" t="inlineStr">
        <is>
          <t>Swift</t>
        </is>
      </c>
      <c r="G3667" s="21" t="n">
        <v>2018</v>
      </c>
      <c r="H3667" s="22" t="n">
        <v>133576</v>
      </c>
      <c r="I3667" s="22" t="n">
        <v>96000</v>
      </c>
      <c r="J3667" s="20" t="inlineStr">
        <is>
          <t>SVM CARS PRIVATE LIMITED</t>
        </is>
      </c>
      <c r="K3667" s="20" t="inlineStr">
        <is>
          <t>Non-Captive</t>
        </is>
      </c>
      <c r="L3667" s="20" t="inlineStr">
        <is>
          <t>Rithika cars</t>
        </is>
      </c>
      <c r="M3667" s="23" t="n">
        <v>2542.37</v>
      </c>
    </row>
    <row r="3668">
      <c r="A3668" s="19" t="inlineStr">
        <is>
          <t>FY27</t>
        </is>
      </c>
      <c r="B3668" s="19" t="inlineStr">
        <is>
          <t>Aug</t>
        </is>
      </c>
      <c r="C3668" s="19" t="inlineStr">
        <is>
          <t>TN</t>
        </is>
      </c>
      <c r="D3668" s="20" t="inlineStr">
        <is>
          <t>TN84Z5580</t>
        </is>
      </c>
      <c r="E3668" s="20" t="inlineStr">
        <is>
          <t>MARUTI SUZUKI</t>
        </is>
      </c>
      <c r="F3668" s="20" t="inlineStr">
        <is>
          <t>Ritz</t>
        </is>
      </c>
      <c r="G3668" s="21" t="n">
        <v>2013</v>
      </c>
      <c r="H3668" s="22" t="n">
        <v>102430</v>
      </c>
      <c r="I3668" s="22" t="n">
        <v>100000</v>
      </c>
      <c r="J3668" s="20" t="inlineStr">
        <is>
          <t>Rajalakshmi Cars</t>
        </is>
      </c>
      <c r="K3668" s="20" t="inlineStr">
        <is>
          <t>Non-Captive</t>
        </is>
      </c>
      <c r="L3668" s="20" t="inlineStr">
        <is>
          <t>Senthil Cars</t>
        </is>
      </c>
      <c r="M3668" s="23" t="n">
        <v>4237.29</v>
      </c>
    </row>
    <row r="3669">
      <c r="A3669" s="19" t="inlineStr">
        <is>
          <t>FY27</t>
        </is>
      </c>
      <c r="B3669" s="19" t="inlineStr">
        <is>
          <t>Aug</t>
        </is>
      </c>
      <c r="C3669" s="19" t="inlineStr">
        <is>
          <t>TN</t>
        </is>
      </c>
      <c r="D3669" s="20" t="inlineStr">
        <is>
          <t>TN07CM9006</t>
        </is>
      </c>
      <c r="E3669" s="20" t="inlineStr">
        <is>
          <t>MARUTI SUZUKI</t>
        </is>
      </c>
      <c r="F3669" s="20" t="inlineStr">
        <is>
          <t>Swift</t>
        </is>
      </c>
      <c r="G3669" s="21" t="n">
        <v>2018</v>
      </c>
      <c r="H3669" s="22" t="n">
        <v>38443</v>
      </c>
      <c r="I3669" s="22" t="n">
        <v>97000</v>
      </c>
      <c r="J3669" s="20" t="inlineStr">
        <is>
          <t>Rajalakshmi Cars</t>
        </is>
      </c>
      <c r="K3669" s="20" t="inlineStr">
        <is>
          <t>Non-Captive</t>
        </is>
      </c>
      <c r="L3669" s="20" t="inlineStr">
        <is>
          <t>PINE AUTOS</t>
        </is>
      </c>
      <c r="M3669" s="23" t="n">
        <v>4237.29</v>
      </c>
    </row>
    <row r="3670">
      <c r="A3670" s="19" t="inlineStr">
        <is>
          <t>FY27</t>
        </is>
      </c>
      <c r="B3670" s="19" t="inlineStr">
        <is>
          <t>Aug</t>
        </is>
      </c>
      <c r="C3670" s="19" t="inlineStr">
        <is>
          <t>TN</t>
        </is>
      </c>
      <c r="D3670" s="20" t="inlineStr">
        <is>
          <t>TN18AC1174</t>
        </is>
      </c>
      <c r="E3670" s="20" t="inlineStr">
        <is>
          <t>FORD</t>
        </is>
      </c>
      <c r="F3670" s="20" t="inlineStr">
        <is>
          <t>Figo</t>
        </is>
      </c>
      <c r="G3670" s="21" t="n">
        <v>2014</v>
      </c>
      <c r="H3670" s="22" t="n">
        <v>43996</v>
      </c>
      <c r="I3670" s="22" t="n">
        <v>94000</v>
      </c>
      <c r="J3670" s="20" t="inlineStr">
        <is>
          <t>Rajalakshmi Cars</t>
        </is>
      </c>
      <c r="K3670" s="20" t="inlineStr">
        <is>
          <t>Non-Captive</t>
        </is>
      </c>
      <c r="L3670" s="20" t="inlineStr">
        <is>
          <t>PINE AUTOS</t>
        </is>
      </c>
      <c r="M3670" s="23" t="n">
        <v>4237.29</v>
      </c>
    </row>
    <row r="3671">
      <c r="A3671" s="19" t="inlineStr">
        <is>
          <t>FY27</t>
        </is>
      </c>
      <c r="B3671" s="19" t="inlineStr">
        <is>
          <t>Aug</t>
        </is>
      </c>
      <c r="C3671" s="19" t="inlineStr">
        <is>
          <t>TN</t>
        </is>
      </c>
      <c r="D3671" s="20" t="inlineStr">
        <is>
          <t>TN01AH9234</t>
        </is>
      </c>
      <c r="E3671" s="20" t="inlineStr">
        <is>
          <t>MARUTI SUZUKI</t>
        </is>
      </c>
      <c r="F3671" s="20" t="inlineStr">
        <is>
          <t>Omni</t>
        </is>
      </c>
      <c r="G3671" s="21" t="n">
        <v>2009</v>
      </c>
      <c r="H3671" s="22" t="n">
        <v>31879</v>
      </c>
      <c r="I3671" s="22" t="n">
        <v>96000</v>
      </c>
      <c r="J3671" s="20" t="inlineStr">
        <is>
          <t>Cresco cars</t>
        </is>
      </c>
      <c r="K3671" s="20" t="inlineStr">
        <is>
          <t>Non-Captive</t>
        </is>
      </c>
      <c r="L3671" s="20" t="inlineStr">
        <is>
          <t>PINE AUTOS</t>
        </is>
      </c>
      <c r="M3671" s="23" t="n">
        <v>4237.29</v>
      </c>
    </row>
    <row r="3672">
      <c r="A3672" s="19" t="inlineStr">
        <is>
          <t>FY27</t>
        </is>
      </c>
      <c r="B3672" s="19" t="inlineStr">
        <is>
          <t>Aug</t>
        </is>
      </c>
      <c r="C3672" s="19" t="inlineStr">
        <is>
          <t>TN</t>
        </is>
      </c>
      <c r="D3672" s="20" t="inlineStr">
        <is>
          <t>TN57BZ0981</t>
        </is>
      </c>
      <c r="E3672" s="20" t="inlineStr">
        <is>
          <t>MARUTI SUZUKI</t>
        </is>
      </c>
      <c r="F3672" s="20" t="inlineStr">
        <is>
          <t>Omni</t>
        </is>
      </c>
      <c r="G3672" s="21" t="n">
        <v>2016</v>
      </c>
      <c r="H3672" s="22" t="n">
        <v>44206</v>
      </c>
      <c r="I3672" s="22" t="n">
        <v>99000</v>
      </c>
      <c r="J3672" s="20" t="inlineStr">
        <is>
          <t>Cresco cars</t>
        </is>
      </c>
      <c r="K3672" s="20" t="inlineStr">
        <is>
          <t>Non-Captive</t>
        </is>
      </c>
      <c r="L3672" s="20" t="inlineStr">
        <is>
          <t>PINE AUTOS</t>
        </is>
      </c>
      <c r="M3672" s="23" t="n">
        <v>4237.29</v>
      </c>
    </row>
    <row r="3673">
      <c r="A3673" s="19" t="inlineStr">
        <is>
          <t>FY27</t>
        </is>
      </c>
      <c r="B3673" s="19" t="inlineStr">
        <is>
          <t>Aug</t>
        </is>
      </c>
      <c r="C3673" s="19" t="inlineStr">
        <is>
          <t>TN</t>
        </is>
      </c>
      <c r="D3673" s="20" t="inlineStr">
        <is>
          <t>TN02BW9048</t>
        </is>
      </c>
      <c r="E3673" s="20" t="inlineStr">
        <is>
          <t>MARUTI SUZUKI</t>
        </is>
      </c>
      <c r="F3673" s="20" t="inlineStr">
        <is>
          <t>Celerio</t>
        </is>
      </c>
      <c r="G3673" s="21" t="n">
        <v>2022</v>
      </c>
      <c r="H3673" s="22" t="n">
        <v>39719</v>
      </c>
      <c r="I3673" s="22" t="n">
        <v>97000</v>
      </c>
      <c r="J3673" s="20" t="inlineStr">
        <is>
          <t>ABT LIMITED</t>
        </is>
      </c>
      <c r="K3673" s="20" t="inlineStr">
        <is>
          <t>Non-Captive</t>
        </is>
      </c>
      <c r="L3673" s="20" t="inlineStr">
        <is>
          <t>PINE AUTOS</t>
        </is>
      </c>
      <c r="M3673" s="23" t="n">
        <v>4237.29</v>
      </c>
    </row>
    <row r="3674">
      <c r="A3674" s="19" t="inlineStr">
        <is>
          <t>FY27</t>
        </is>
      </c>
      <c r="B3674" s="19" t="inlineStr">
        <is>
          <t>Aug</t>
        </is>
      </c>
      <c r="C3674" s="19" t="inlineStr">
        <is>
          <t>TN</t>
        </is>
      </c>
      <c r="D3674" s="20" t="inlineStr">
        <is>
          <t>TN18BJ5140</t>
        </is>
      </c>
      <c r="E3674" s="20" t="inlineStr">
        <is>
          <t>MARUTI SUZUKI</t>
        </is>
      </c>
      <c r="F3674" s="20" t="inlineStr">
        <is>
          <t>Spresso</t>
        </is>
      </c>
      <c r="G3674" s="21" t="n">
        <v>2022</v>
      </c>
      <c r="H3674" s="22" t="n">
        <v>14866</v>
      </c>
      <c r="I3674" s="22" t="n">
        <v>95000</v>
      </c>
      <c r="J3674" s="20" t="inlineStr">
        <is>
          <t>ABT LIMITED</t>
        </is>
      </c>
      <c r="K3674" s="20" t="inlineStr">
        <is>
          <t>Non-Captive</t>
        </is>
      </c>
      <c r="L3674" s="20" t="inlineStr">
        <is>
          <t>PINE AUTOS</t>
        </is>
      </c>
      <c r="M3674" s="23" t="n">
        <v>4237.29</v>
      </c>
    </row>
    <row r="3675">
      <c r="A3675" s="19" t="inlineStr">
        <is>
          <t>FY27</t>
        </is>
      </c>
      <c r="B3675" s="19" t="inlineStr">
        <is>
          <t>Aug</t>
        </is>
      </c>
      <c r="C3675" s="19" t="inlineStr">
        <is>
          <t>TN</t>
        </is>
      </c>
      <c r="D3675" s="20" t="inlineStr">
        <is>
          <t>TN04AR0047</t>
        </is>
      </c>
      <c r="E3675" s="20" t="inlineStr">
        <is>
          <t>HYUNDAI</t>
        </is>
      </c>
      <c r="F3675" s="20" t="inlineStr">
        <is>
          <t>I20</t>
        </is>
      </c>
      <c r="G3675" s="21" t="n">
        <v>2016</v>
      </c>
      <c r="H3675" s="22" t="n">
        <v>36181</v>
      </c>
      <c r="I3675" s="22" t="n">
        <v>87000</v>
      </c>
      <c r="J3675" s="20" t="inlineStr">
        <is>
          <t>POPULAR VEHICLES AND SERVICES LIMITED</t>
        </is>
      </c>
      <c r="K3675" s="20" t="inlineStr">
        <is>
          <t>Non-Captive</t>
        </is>
      </c>
      <c r="L3675" s="20" t="inlineStr">
        <is>
          <t>Thiyagarajan Raja Cars</t>
        </is>
      </c>
      <c r="M3675" s="23" t="n">
        <v>4237.29</v>
      </c>
    </row>
    <row r="3676">
      <c r="A3676" s="19" t="inlineStr">
        <is>
          <t>FY27</t>
        </is>
      </c>
      <c r="B3676" s="19" t="inlineStr">
        <is>
          <t>Aug</t>
        </is>
      </c>
      <c r="C3676" s="19" t="inlineStr">
        <is>
          <t>TN</t>
        </is>
      </c>
      <c r="D3676" s="20" t="inlineStr">
        <is>
          <t>TN09DL4308</t>
        </is>
      </c>
      <c r="E3676" s="20" t="inlineStr">
        <is>
          <t>MARUTI SUZUKI</t>
        </is>
      </c>
      <c r="F3676" s="20" t="inlineStr">
        <is>
          <t>Swift</t>
        </is>
      </c>
      <c r="G3676" s="21" t="n">
        <v>2010</v>
      </c>
      <c r="H3676" s="22" t="n">
        <v>70349</v>
      </c>
      <c r="I3676" s="22" t="n">
        <v>89000</v>
      </c>
      <c r="J3676" s="20" t="inlineStr">
        <is>
          <t>POPULAR VEHICLES AND SERVICES LIMITED</t>
        </is>
      </c>
      <c r="K3676" s="20" t="inlineStr">
        <is>
          <t>Non-Captive</t>
        </is>
      </c>
      <c r="L3676" s="20" t="inlineStr">
        <is>
          <t>Thiyagarajan Raja Cars</t>
        </is>
      </c>
      <c r="M3676" s="23" t="n">
        <v>4237.29</v>
      </c>
    </row>
    <row r="3677">
      <c r="A3677" s="19" t="inlineStr">
        <is>
          <t>FY27</t>
        </is>
      </c>
      <c r="B3677" s="19" t="inlineStr">
        <is>
          <t>Aug</t>
        </is>
      </c>
      <c r="C3677" s="19" t="inlineStr">
        <is>
          <t>TN</t>
        </is>
      </c>
      <c r="D3677" s="20" t="inlineStr">
        <is>
          <t>TN01AD5511</t>
        </is>
      </c>
      <c r="E3677" s="20" t="inlineStr">
        <is>
          <t>HONDA</t>
        </is>
      </c>
      <c r="F3677" s="20" t="inlineStr">
        <is>
          <t>City</t>
        </is>
      </c>
      <c r="G3677" s="21" t="n">
        <v>2007</v>
      </c>
      <c r="H3677" s="22" t="n">
        <v>114216</v>
      </c>
      <c r="I3677" s="22" t="n">
        <v>95000</v>
      </c>
      <c r="J3677" s="20" t="inlineStr">
        <is>
          <t>VISHNU CARS PRIVATE LIMITED</t>
        </is>
      </c>
      <c r="K3677" s="20" t="inlineStr">
        <is>
          <t>Non-Captive</t>
        </is>
      </c>
      <c r="L3677" s="20" t="inlineStr">
        <is>
          <t>GRID 33</t>
        </is>
      </c>
      <c r="M3677" s="23" t="n">
        <v>4237.29</v>
      </c>
    </row>
    <row r="3678">
      <c r="A3678" s="19" t="inlineStr">
        <is>
          <t>FY27</t>
        </is>
      </c>
      <c r="B3678" s="19" t="inlineStr">
        <is>
          <t>Aug</t>
        </is>
      </c>
      <c r="C3678" s="19" t="inlineStr">
        <is>
          <t>TN</t>
        </is>
      </c>
      <c r="D3678" s="20" t="inlineStr">
        <is>
          <t>TN11Z3016</t>
        </is>
      </c>
      <c r="E3678" s="20" t="inlineStr">
        <is>
          <t>NISSAN</t>
        </is>
      </c>
      <c r="F3678" s="20" t="inlineStr">
        <is>
          <t>Sunny</t>
        </is>
      </c>
      <c r="G3678" s="21" t="n"/>
      <c r="H3678" s="22" t="n">
        <v>110000</v>
      </c>
      <c r="I3678" s="22" t="n">
        <v>130000</v>
      </c>
      <c r="J3678" s="20" t="inlineStr"/>
      <c r="K3678" s="20" t="inlineStr">
        <is>
          <t>Non-Captive</t>
        </is>
      </c>
      <c r="L3678" s="20" t="inlineStr">
        <is>
          <t>Thiya Cars</t>
        </is>
      </c>
      <c r="M3678" s="23" t="n">
        <v>5084.75</v>
      </c>
    </row>
    <row r="3679">
      <c r="A3679" s="19" t="inlineStr">
        <is>
          <t>FY27</t>
        </is>
      </c>
      <c r="B3679" s="19" t="inlineStr">
        <is>
          <t>Aug</t>
        </is>
      </c>
      <c r="C3679" s="19" t="inlineStr">
        <is>
          <t>TN</t>
        </is>
      </c>
      <c r="D3679" s="20" t="inlineStr">
        <is>
          <t>TN18T3406</t>
        </is>
      </c>
      <c r="E3679" s="20" t="inlineStr">
        <is>
          <t>NISSAN</t>
        </is>
      </c>
      <c r="F3679" s="20" t="inlineStr">
        <is>
          <t>Micra</t>
        </is>
      </c>
      <c r="G3679" s="21" t="n">
        <v>2013</v>
      </c>
      <c r="H3679" s="22" t="n">
        <v>187737</v>
      </c>
      <c r="I3679" s="22" t="n">
        <v>120000</v>
      </c>
      <c r="J3679" s="20" t="inlineStr">
        <is>
          <t>CASTLE TRADERS Maruti</t>
        </is>
      </c>
      <c r="K3679" s="20" t="inlineStr">
        <is>
          <t>Non-Captive</t>
        </is>
      </c>
      <c r="L3679" s="20" t="inlineStr">
        <is>
          <t>S2 MOTORZ</t>
        </is>
      </c>
      <c r="M3679" s="23" t="n">
        <v>5084.75</v>
      </c>
    </row>
    <row r="3680">
      <c r="A3680" s="19" t="inlineStr">
        <is>
          <t>FY27</t>
        </is>
      </c>
      <c r="B3680" s="19" t="inlineStr">
        <is>
          <t>Aug</t>
        </is>
      </c>
      <c r="C3680" s="19" t="inlineStr">
        <is>
          <t>TN</t>
        </is>
      </c>
      <c r="D3680" s="20" t="inlineStr">
        <is>
          <t>TN18BC5434</t>
        </is>
      </c>
      <c r="E3680" s="20" t="inlineStr">
        <is>
          <t>MARUTI SUZUKI</t>
        </is>
      </c>
      <c r="F3680" s="20" t="inlineStr">
        <is>
          <t>Eeco</t>
        </is>
      </c>
      <c r="G3680" s="21" t="n">
        <v>2020</v>
      </c>
      <c r="H3680" s="22" t="n">
        <v>28395</v>
      </c>
      <c r="I3680" s="22" t="n">
        <v>360000</v>
      </c>
      <c r="J3680" s="20" t="inlineStr">
        <is>
          <t>CASTLE TRADERS Maruti</t>
        </is>
      </c>
      <c r="K3680" s="20" t="inlineStr">
        <is>
          <t>Non-Captive</t>
        </is>
      </c>
      <c r="L3680" s="20" t="inlineStr">
        <is>
          <t>AAA CARS</t>
        </is>
      </c>
      <c r="M3680" s="23" t="n">
        <v>6355.93</v>
      </c>
    </row>
    <row r="3681">
      <c r="A3681" s="19" t="inlineStr">
        <is>
          <t>FY27</t>
        </is>
      </c>
      <c r="B3681" s="19" t="inlineStr">
        <is>
          <t>Aug</t>
        </is>
      </c>
      <c r="C3681" s="19" t="inlineStr">
        <is>
          <t>TN</t>
        </is>
      </c>
      <c r="D3681" s="20" t="inlineStr">
        <is>
          <t>TN09CK5286</t>
        </is>
      </c>
      <c r="E3681" s="20" t="inlineStr">
        <is>
          <t>MARUTI SUZUKI</t>
        </is>
      </c>
      <c r="F3681" s="20" t="inlineStr">
        <is>
          <t>Baleno</t>
        </is>
      </c>
      <c r="G3681" s="21" t="n">
        <v>2017</v>
      </c>
      <c r="H3681" s="22" t="n">
        <v>59848</v>
      </c>
      <c r="I3681" s="22" t="n">
        <v>443000</v>
      </c>
      <c r="J3681" s="20" t="inlineStr">
        <is>
          <t>CASTLE TRADERS Maruti</t>
        </is>
      </c>
      <c r="K3681" s="20" t="inlineStr">
        <is>
          <t>Non-Captive</t>
        </is>
      </c>
      <c r="L3681" s="20" t="inlineStr">
        <is>
          <t>Value Drive Tech</t>
        </is>
      </c>
      <c r="M3681" s="23" t="n">
        <v>7627.12</v>
      </c>
    </row>
    <row r="3682">
      <c r="A3682" s="19" t="inlineStr">
        <is>
          <t>FY27</t>
        </is>
      </c>
      <c r="B3682" s="19" t="inlineStr">
        <is>
          <t>Aug</t>
        </is>
      </c>
      <c r="C3682" s="19" t="inlineStr">
        <is>
          <t>TN</t>
        </is>
      </c>
      <c r="D3682" s="20" t="inlineStr">
        <is>
          <t>TN07AE5890</t>
        </is>
      </c>
      <c r="E3682" s="20" t="inlineStr">
        <is>
          <t>TOYOTA</t>
        </is>
      </c>
      <c r="F3682" s="20" t="inlineStr">
        <is>
          <t>Corolla</t>
        </is>
      </c>
      <c r="G3682" s="21" t="n">
        <v>2005</v>
      </c>
      <c r="H3682" s="22" t="n">
        <v>123823</v>
      </c>
      <c r="I3682" s="22" t="n">
        <v>98000</v>
      </c>
      <c r="J3682" s="20" t="inlineStr">
        <is>
          <t>VISHNU CARS PRIVATE LIMITED</t>
        </is>
      </c>
      <c r="K3682" s="20" t="inlineStr">
        <is>
          <t>Non-Captive</t>
        </is>
      </c>
      <c r="L3682" s="20" t="inlineStr">
        <is>
          <t>SANTHOSH CARS</t>
        </is>
      </c>
      <c r="M3682" s="23" t="n">
        <v>2542.37</v>
      </c>
    </row>
    <row r="3683">
      <c r="A3683" s="19" t="inlineStr">
        <is>
          <t>FY27</t>
        </is>
      </c>
      <c r="B3683" s="19" t="inlineStr">
        <is>
          <t>Aug</t>
        </is>
      </c>
      <c r="C3683" s="19" t="inlineStr">
        <is>
          <t>TN</t>
        </is>
      </c>
      <c r="D3683" s="20" t="inlineStr">
        <is>
          <t>TN01AB9696</t>
        </is>
      </c>
      <c r="E3683" s="20" t="inlineStr">
        <is>
          <t>HONDA</t>
        </is>
      </c>
      <c r="F3683" s="20" t="inlineStr">
        <is>
          <t>City</t>
        </is>
      </c>
      <c r="G3683" s="21" t="n">
        <v>2006</v>
      </c>
      <c r="H3683" s="22" t="n">
        <v>52358</v>
      </c>
      <c r="I3683" s="22" t="n">
        <v>93000</v>
      </c>
      <c r="J3683" s="20" t="inlineStr">
        <is>
          <t>VISHNU CARS PRIVATE LIMITED</t>
        </is>
      </c>
      <c r="K3683" s="20" t="inlineStr">
        <is>
          <t>Non-Captive</t>
        </is>
      </c>
      <c r="L3683" s="20" t="inlineStr">
        <is>
          <t>SANTHOSH CARS</t>
        </is>
      </c>
      <c r="M3683" s="23" t="n">
        <v>2542.37</v>
      </c>
    </row>
    <row r="3684">
      <c r="A3684" s="19" t="inlineStr">
        <is>
          <t>FY27</t>
        </is>
      </c>
      <c r="B3684" s="19" t="inlineStr">
        <is>
          <t>Aug</t>
        </is>
      </c>
      <c r="C3684" s="19" t="inlineStr">
        <is>
          <t>TN</t>
        </is>
      </c>
      <c r="D3684" s="20" t="inlineStr">
        <is>
          <t>TN07BA4182</t>
        </is>
      </c>
      <c r="E3684" s="20" t="inlineStr">
        <is>
          <t>MARUTI SUZUKI</t>
        </is>
      </c>
      <c r="F3684" s="20" t="inlineStr">
        <is>
          <t>Wagonr</t>
        </is>
      </c>
      <c r="G3684" s="21" t="n">
        <v>2008</v>
      </c>
      <c r="H3684" s="22" t="n">
        <v>37098</v>
      </c>
      <c r="I3684" s="22" t="n">
        <v>92000</v>
      </c>
      <c r="J3684" s="20" t="inlineStr">
        <is>
          <t>VISHNU CARS PRIVATE LIMITED</t>
        </is>
      </c>
      <c r="K3684" s="20" t="inlineStr">
        <is>
          <t>Non-Captive</t>
        </is>
      </c>
      <c r="L3684" s="20" t="inlineStr">
        <is>
          <t>SANTHOSH CARS</t>
        </is>
      </c>
      <c r="M3684" s="23" t="n">
        <v>2542.37</v>
      </c>
    </row>
    <row r="3685">
      <c r="A3685" s="19" t="inlineStr">
        <is>
          <t>FY27</t>
        </is>
      </c>
      <c r="B3685" s="19" t="inlineStr">
        <is>
          <t>Aug</t>
        </is>
      </c>
      <c r="C3685" s="19" t="inlineStr">
        <is>
          <t>TN</t>
        </is>
      </c>
      <c r="D3685" s="20" t="inlineStr">
        <is>
          <t>TN01AF7686</t>
        </is>
      </c>
      <c r="E3685" s="20" t="inlineStr">
        <is>
          <t>HONDA</t>
        </is>
      </c>
      <c r="F3685" s="20" t="inlineStr">
        <is>
          <t>City</t>
        </is>
      </c>
      <c r="G3685" s="21" t="n">
        <v>2008</v>
      </c>
      <c r="H3685" s="22" t="n">
        <v>143818</v>
      </c>
      <c r="I3685" s="22" t="n">
        <v>97000</v>
      </c>
      <c r="J3685" s="20" t="inlineStr">
        <is>
          <t>VISHNU CARS PRIVATE LIMITED</t>
        </is>
      </c>
      <c r="K3685" s="20" t="inlineStr">
        <is>
          <t>Non-Captive</t>
        </is>
      </c>
      <c r="L3685" s="20" t="inlineStr">
        <is>
          <t>SANTHOSH CARS</t>
        </is>
      </c>
      <c r="M3685" s="23" t="n">
        <v>2542.37</v>
      </c>
    </row>
    <row r="3686">
      <c r="A3686" s="19" t="inlineStr">
        <is>
          <t>FY27</t>
        </is>
      </c>
      <c r="B3686" s="19" t="inlineStr">
        <is>
          <t>Aug</t>
        </is>
      </c>
      <c r="C3686" s="19" t="inlineStr">
        <is>
          <t>TN</t>
        </is>
      </c>
      <c r="D3686" s="20" t="inlineStr">
        <is>
          <t>TN01AR8439</t>
        </is>
      </c>
      <c r="E3686" s="20" t="inlineStr">
        <is>
          <t>FORD</t>
        </is>
      </c>
      <c r="F3686" s="20" t="inlineStr">
        <is>
          <t>Fiestaclassic</t>
        </is>
      </c>
      <c r="G3686" s="21" t="n">
        <v>2012</v>
      </c>
      <c r="H3686" s="22" t="n">
        <v>106972</v>
      </c>
      <c r="I3686" s="22" t="n">
        <v>95000</v>
      </c>
      <c r="J3686" s="20" t="inlineStr">
        <is>
          <t>AIE CARS PRIVATE LIMITED</t>
        </is>
      </c>
      <c r="K3686" s="20" t="inlineStr">
        <is>
          <t>Non-Captive</t>
        </is>
      </c>
      <c r="L3686" s="20" t="inlineStr">
        <is>
          <t>SANTHOSH CARS</t>
        </is>
      </c>
      <c r="M3686" s="23" t="n">
        <v>2542.37</v>
      </c>
    </row>
    <row r="3687">
      <c r="A3687" s="19" t="inlineStr">
        <is>
          <t>FY27</t>
        </is>
      </c>
      <c r="B3687" s="19" t="inlineStr">
        <is>
          <t>Aug</t>
        </is>
      </c>
      <c r="C3687" s="19" t="inlineStr">
        <is>
          <t>TN</t>
        </is>
      </c>
      <c r="D3687" s="20" t="inlineStr">
        <is>
          <t>TN22BZ2748</t>
        </is>
      </c>
      <c r="E3687" s="20" t="inlineStr">
        <is>
          <t>MARUTI SUZUKI</t>
        </is>
      </c>
      <c r="F3687" s="20" t="inlineStr">
        <is>
          <t>Alto</t>
        </is>
      </c>
      <c r="G3687" s="21" t="n">
        <v>2007</v>
      </c>
      <c r="H3687" s="22" t="n">
        <v>64120</v>
      </c>
      <c r="I3687" s="22" t="n">
        <v>94000</v>
      </c>
      <c r="J3687" s="20" t="inlineStr">
        <is>
          <t>AIE CARS PRIVATE LIMITED</t>
        </is>
      </c>
      <c r="K3687" s="20" t="inlineStr">
        <is>
          <t>Non-Captive</t>
        </is>
      </c>
      <c r="L3687" s="20" t="inlineStr">
        <is>
          <t>SANTHOSH CARS</t>
        </is>
      </c>
      <c r="M3687" s="23" t="n">
        <v>2542.37</v>
      </c>
    </row>
    <row r="3688">
      <c r="A3688" s="19" t="inlineStr">
        <is>
          <t>FY27</t>
        </is>
      </c>
      <c r="B3688" s="19" t="inlineStr">
        <is>
          <t>Aug</t>
        </is>
      </c>
      <c r="C3688" s="19" t="inlineStr">
        <is>
          <t>TN</t>
        </is>
      </c>
      <c r="D3688" s="20" t="inlineStr">
        <is>
          <t>TN09BQ3244</t>
        </is>
      </c>
      <c r="E3688" s="20" t="inlineStr">
        <is>
          <t>TATA</t>
        </is>
      </c>
      <c r="F3688" s="20" t="inlineStr">
        <is>
          <t>Indigo</t>
        </is>
      </c>
      <c r="G3688" s="21" t="n">
        <v>2012</v>
      </c>
      <c r="H3688" s="22" t="n">
        <v>97175</v>
      </c>
      <c r="I3688" s="22" t="n">
        <v>98000</v>
      </c>
      <c r="J3688" s="20" t="inlineStr">
        <is>
          <t>AIE CARS PRIVATE LIMITED</t>
        </is>
      </c>
      <c r="K3688" s="20" t="inlineStr">
        <is>
          <t>Non-Captive</t>
        </is>
      </c>
      <c r="L3688" s="20" t="inlineStr">
        <is>
          <t>SANTHOSH CARS</t>
        </is>
      </c>
      <c r="M3688" s="23" t="n">
        <v>2542.37</v>
      </c>
    </row>
    <row r="3689">
      <c r="A3689" s="19" t="inlineStr">
        <is>
          <t>FY27</t>
        </is>
      </c>
      <c r="B3689" s="19" t="inlineStr">
        <is>
          <t>Aug</t>
        </is>
      </c>
      <c r="C3689" s="19" t="inlineStr">
        <is>
          <t>TN</t>
        </is>
      </c>
      <c r="D3689" s="20" t="inlineStr">
        <is>
          <t>TN02Y5434</t>
        </is>
      </c>
      <c r="E3689" s="20" t="inlineStr">
        <is>
          <t>HONDA</t>
        </is>
      </c>
      <c r="F3689" s="20" t="inlineStr">
        <is>
          <t>City</t>
        </is>
      </c>
      <c r="G3689" s="21" t="n">
        <v>2006</v>
      </c>
      <c r="H3689" s="22" t="n">
        <v>64261</v>
      </c>
      <c r="I3689" s="22" t="n">
        <v>99000</v>
      </c>
      <c r="J3689" s="20" t="inlineStr">
        <is>
          <t>AIE CARS PRIVATE LIMITED</t>
        </is>
      </c>
      <c r="K3689" s="20" t="inlineStr">
        <is>
          <t>Non-Captive</t>
        </is>
      </c>
      <c r="L3689" s="20" t="inlineStr">
        <is>
          <t>SANTHOSH CARS</t>
        </is>
      </c>
      <c r="M3689" s="23" t="n">
        <v>2542.37</v>
      </c>
    </row>
    <row r="3690">
      <c r="A3690" s="19" t="inlineStr">
        <is>
          <t>FY27</t>
        </is>
      </c>
      <c r="B3690" s="19" t="inlineStr">
        <is>
          <t>Aug</t>
        </is>
      </c>
      <c r="C3690" s="19" t="inlineStr">
        <is>
          <t>TN</t>
        </is>
      </c>
      <c r="D3690" s="20" t="inlineStr">
        <is>
          <t>TN73V0970</t>
        </is>
      </c>
      <c r="E3690" s="20" t="inlineStr">
        <is>
          <t>MARUTI SUZUKI</t>
        </is>
      </c>
      <c r="F3690" s="20" t="inlineStr">
        <is>
          <t>Zen</t>
        </is>
      </c>
      <c r="G3690" s="21" t="n">
        <v>2013</v>
      </c>
      <c r="H3690" s="22" t="n">
        <v>138806</v>
      </c>
      <c r="I3690" s="22" t="n">
        <v>99000</v>
      </c>
      <c r="J3690" s="20" t="inlineStr">
        <is>
          <t>CARS INDIA</t>
        </is>
      </c>
      <c r="K3690" s="20" t="inlineStr">
        <is>
          <t>Non-Captive</t>
        </is>
      </c>
      <c r="L3690" s="20" t="inlineStr">
        <is>
          <t>S2 MOTORZ</t>
        </is>
      </c>
      <c r="M3690" s="23" t="n">
        <v>4237.29</v>
      </c>
    </row>
    <row r="3691">
      <c r="A3691" s="19" t="inlineStr">
        <is>
          <t>FY27</t>
        </is>
      </c>
      <c r="B3691" s="19" t="inlineStr">
        <is>
          <t>Aug</t>
        </is>
      </c>
      <c r="C3691" s="19" t="inlineStr">
        <is>
          <t>TN</t>
        </is>
      </c>
      <c r="D3691" s="20" t="inlineStr">
        <is>
          <t>TN12A7521</t>
        </is>
      </c>
      <c r="E3691" s="20" t="inlineStr">
        <is>
          <t>MARUTI SUZUKI</t>
        </is>
      </c>
      <c r="F3691" s="20" t="inlineStr">
        <is>
          <t>Swiftdzire</t>
        </is>
      </c>
      <c r="G3691" s="21" t="n">
        <v>2013</v>
      </c>
      <c r="H3691" s="22" t="n">
        <v>55640</v>
      </c>
      <c r="I3691" s="22" t="n">
        <v>89000</v>
      </c>
      <c r="J3691" s="20" t="inlineStr">
        <is>
          <t>CARS INDIA</t>
        </is>
      </c>
      <c r="K3691" s="20" t="inlineStr">
        <is>
          <t>Non-Captive</t>
        </is>
      </c>
      <c r="L3691" s="20" t="inlineStr">
        <is>
          <t>AB CAR ZONE</t>
        </is>
      </c>
      <c r="M3691" s="23" t="n">
        <v>3389.83</v>
      </c>
    </row>
    <row r="3692">
      <c r="A3692" s="19" t="inlineStr">
        <is>
          <t>FY27</t>
        </is>
      </c>
      <c r="B3692" s="19" t="inlineStr">
        <is>
          <t>Aug</t>
        </is>
      </c>
      <c r="C3692" s="19" t="inlineStr">
        <is>
          <t>TN</t>
        </is>
      </c>
      <c r="D3692" s="20" t="inlineStr">
        <is>
          <t>TN05BF2145</t>
        </is>
      </c>
      <c r="E3692" s="20" t="inlineStr">
        <is>
          <t>HONDA</t>
        </is>
      </c>
      <c r="F3692" s="20" t="inlineStr">
        <is>
          <t>City</t>
        </is>
      </c>
      <c r="G3692" s="21" t="n">
        <v>2016</v>
      </c>
      <c r="H3692" s="22" t="n">
        <v>91568</v>
      </c>
      <c r="I3692" s="22" t="n">
        <v>93000</v>
      </c>
      <c r="J3692" s="20" t="inlineStr">
        <is>
          <t>MM Motor</t>
        </is>
      </c>
      <c r="K3692" s="20" t="inlineStr">
        <is>
          <t>Non-Captive</t>
        </is>
      </c>
      <c r="L3692" s="20" t="inlineStr">
        <is>
          <t>AB CAR ZONE</t>
        </is>
      </c>
      <c r="M3692" s="23" t="n">
        <v>2542.37</v>
      </c>
    </row>
    <row r="3693">
      <c r="A3693" s="19" t="inlineStr">
        <is>
          <t>FY27</t>
        </is>
      </c>
      <c r="B3693" s="19" t="inlineStr">
        <is>
          <t>Aug</t>
        </is>
      </c>
      <c r="C3693" s="19" t="inlineStr">
        <is>
          <t>TN</t>
        </is>
      </c>
      <c r="D3693" s="20" t="inlineStr">
        <is>
          <t>TN01BM3940</t>
        </is>
      </c>
      <c r="E3693" s="20" t="inlineStr">
        <is>
          <t>MARUTI SUZUKI</t>
        </is>
      </c>
      <c r="F3693" s="20" t="inlineStr">
        <is>
          <t>Swift</t>
        </is>
      </c>
      <c r="G3693" s="21" t="n">
        <v>2021</v>
      </c>
      <c r="H3693" s="22" t="n">
        <v>38088</v>
      </c>
      <c r="I3693" s="22" t="n">
        <v>98000</v>
      </c>
      <c r="J3693" s="20" t="inlineStr">
        <is>
          <t>MM Motor</t>
        </is>
      </c>
      <c r="K3693" s="20" t="inlineStr">
        <is>
          <t>Non-Captive</t>
        </is>
      </c>
      <c r="L3693" s="20" t="inlineStr">
        <is>
          <t>AB CAR ZONE</t>
        </is>
      </c>
      <c r="M3693" s="23" t="n">
        <v>2542.37</v>
      </c>
    </row>
    <row r="3694">
      <c r="A3694" s="19" t="inlineStr">
        <is>
          <t>FY27</t>
        </is>
      </c>
      <c r="B3694" s="19" t="inlineStr">
        <is>
          <t>Aug</t>
        </is>
      </c>
      <c r="C3694" s="19" t="inlineStr">
        <is>
          <t>TN</t>
        </is>
      </c>
      <c r="D3694" s="20" t="inlineStr">
        <is>
          <t>TN04AV4282</t>
        </is>
      </c>
      <c r="E3694" s="20" t="inlineStr">
        <is>
          <t>HONDA</t>
        </is>
      </c>
      <c r="F3694" s="20" t="inlineStr">
        <is>
          <t>City</t>
        </is>
      </c>
      <c r="G3694" s="21" t="n">
        <v>2018</v>
      </c>
      <c r="H3694" s="22" t="n">
        <v>103910</v>
      </c>
      <c r="I3694" s="22" t="n">
        <v>180000</v>
      </c>
      <c r="J3694" s="20" t="inlineStr">
        <is>
          <t>MM Motor</t>
        </is>
      </c>
      <c r="K3694" s="20" t="inlineStr">
        <is>
          <t>Non-Captive</t>
        </is>
      </c>
      <c r="L3694" s="20" t="inlineStr">
        <is>
          <t>AAA CARS</t>
        </is>
      </c>
      <c r="M3694" s="23" t="n">
        <v>5084.75</v>
      </c>
    </row>
    <row r="3695">
      <c r="A3695" s="19" t="inlineStr">
        <is>
          <t>FY27</t>
        </is>
      </c>
      <c r="B3695" s="19" t="inlineStr">
        <is>
          <t>Aug</t>
        </is>
      </c>
      <c r="C3695" s="19" t="inlineStr">
        <is>
          <t>TN</t>
        </is>
      </c>
      <c r="D3695" s="20" t="inlineStr">
        <is>
          <t>TN01AR7783</t>
        </is>
      </c>
      <c r="E3695" s="20" t="inlineStr">
        <is>
          <t>HONDA</t>
        </is>
      </c>
      <c r="F3695" s="20" t="inlineStr">
        <is>
          <t>Brio</t>
        </is>
      </c>
      <c r="G3695" s="21" t="n">
        <v>2012</v>
      </c>
      <c r="H3695" s="22" t="n">
        <v>48794</v>
      </c>
      <c r="I3695" s="22" t="n">
        <v>155000</v>
      </c>
      <c r="J3695" s="20" t="inlineStr">
        <is>
          <t>SIVASHANKAR CARS</t>
        </is>
      </c>
      <c r="K3695" s="20" t="inlineStr">
        <is>
          <t>Non-Captive</t>
        </is>
      </c>
      <c r="L3695" s="20" t="inlineStr">
        <is>
          <t>VIJAY CARS ERODE</t>
        </is>
      </c>
      <c r="M3695" s="23" t="n">
        <v>847.46</v>
      </c>
    </row>
    <row r="3696">
      <c r="A3696" s="19" t="inlineStr">
        <is>
          <t>FY27</t>
        </is>
      </c>
      <c r="B3696" s="19" t="inlineStr">
        <is>
          <t>Aug</t>
        </is>
      </c>
      <c r="C3696" s="19" t="inlineStr">
        <is>
          <t>TN</t>
        </is>
      </c>
      <c r="D3696" s="20" t="inlineStr">
        <is>
          <t>TN78MA7826</t>
        </is>
      </c>
      <c r="E3696" s="20" t="inlineStr">
        <is>
          <t>KIA</t>
        </is>
      </c>
      <c r="F3696" s="20" t="inlineStr">
        <is>
          <t>Sonet</t>
        </is>
      </c>
      <c r="G3696" s="21" t="n">
        <v>2022</v>
      </c>
      <c r="H3696" s="22" t="n">
        <v>52474</v>
      </c>
      <c r="I3696" s="22" t="n">
        <v>660000</v>
      </c>
      <c r="J3696" s="20" t="inlineStr">
        <is>
          <t>EXCHANGE ROTN</t>
        </is>
      </c>
      <c r="K3696" s="20" t="inlineStr">
        <is>
          <t>Captive</t>
        </is>
      </c>
      <c r="L3696" s="20" t="inlineStr">
        <is>
          <t>SAI CARS</t>
        </is>
      </c>
      <c r="M3696" s="23" t="n">
        <v>12711.86</v>
      </c>
    </row>
    <row r="3697">
      <c r="A3697" s="19" t="inlineStr">
        <is>
          <t>FY27</t>
        </is>
      </c>
      <c r="B3697" s="19" t="inlineStr">
        <is>
          <t>Aug</t>
        </is>
      </c>
      <c r="C3697" s="19" t="inlineStr">
        <is>
          <t>TN</t>
        </is>
      </c>
      <c r="D3697" s="20" t="inlineStr">
        <is>
          <t>TN68AF1717</t>
        </is>
      </c>
      <c r="E3697" s="20" t="inlineStr">
        <is>
          <t>HONDA</t>
        </is>
      </c>
      <c r="F3697" s="20" t="inlineStr">
        <is>
          <t>City</t>
        </is>
      </c>
      <c r="G3697" s="21" t="n">
        <v>2021</v>
      </c>
      <c r="H3697" s="22" t="n">
        <v>54205</v>
      </c>
      <c r="I3697" s="22" t="n">
        <v>510000</v>
      </c>
      <c r="J3697" s="20" t="inlineStr">
        <is>
          <t>TAFE ACCESS LIMITED</t>
        </is>
      </c>
      <c r="K3697" s="20" t="inlineStr">
        <is>
          <t>Non-Captive</t>
        </is>
      </c>
      <c r="L3697" s="20" t="inlineStr">
        <is>
          <t>SIVASHANKAR CARS</t>
        </is>
      </c>
      <c r="M3697" s="23" t="n">
        <v>8474.58</v>
      </c>
    </row>
    <row r="3698">
      <c r="A3698" s="19" t="inlineStr">
        <is>
          <t>FY27</t>
        </is>
      </c>
      <c r="B3698" s="19" t="inlineStr">
        <is>
          <t>Aug</t>
        </is>
      </c>
      <c r="C3698" s="19" t="inlineStr">
        <is>
          <t>TN</t>
        </is>
      </c>
      <c r="D3698" s="20" t="inlineStr">
        <is>
          <t>TN38BV6364</t>
        </is>
      </c>
      <c r="E3698" s="20" t="inlineStr">
        <is>
          <t>TOYOTA</t>
        </is>
      </c>
      <c r="F3698" s="20" t="inlineStr">
        <is>
          <t>Etios</t>
        </is>
      </c>
      <c r="G3698" s="21" t="n">
        <v>2013</v>
      </c>
      <c r="H3698" s="22" t="n">
        <v>215971</v>
      </c>
      <c r="I3698" s="22" t="n">
        <v>265000</v>
      </c>
      <c r="J3698" s="20" t="inlineStr">
        <is>
          <t>EXCHANGE ROTN</t>
        </is>
      </c>
      <c r="K3698" s="20" t="inlineStr">
        <is>
          <t>Captive</t>
        </is>
      </c>
      <c r="L3698" s="20" t="inlineStr">
        <is>
          <t>SRI MURUGAN CARS</t>
        </is>
      </c>
      <c r="M3698" s="23" t="n">
        <v>8474.58</v>
      </c>
    </row>
    <row r="3699">
      <c r="A3699" s="19" t="inlineStr">
        <is>
          <t>FY27</t>
        </is>
      </c>
      <c r="B3699" s="19" t="inlineStr">
        <is>
          <t>Aug</t>
        </is>
      </c>
      <c r="C3699" s="19" t="inlineStr">
        <is>
          <t>TN</t>
        </is>
      </c>
      <c r="D3699" s="20" t="inlineStr">
        <is>
          <t>TN38CX2840</t>
        </is>
      </c>
      <c r="E3699" s="20" t="inlineStr">
        <is>
          <t>FORD</t>
        </is>
      </c>
      <c r="F3699" s="20" t="inlineStr">
        <is>
          <t>Ecosport</t>
        </is>
      </c>
      <c r="G3699" s="21" t="n">
        <v>2021</v>
      </c>
      <c r="H3699" s="22" t="n">
        <v>30315</v>
      </c>
      <c r="I3699" s="22" t="n">
        <v>710000</v>
      </c>
      <c r="J3699" s="20" t="inlineStr">
        <is>
          <t>MG MOTOR (RAMANI AUTO PRIVATE LIMITED)</t>
        </is>
      </c>
      <c r="K3699" s="20" t="inlineStr">
        <is>
          <t>Non-Captive</t>
        </is>
      </c>
      <c r="L3699" s="20" t="inlineStr">
        <is>
          <t>SAI CARS</t>
        </is>
      </c>
      <c r="M3699" s="23" t="n">
        <v>12711.86</v>
      </c>
    </row>
    <row r="3700">
      <c r="A3700" s="19" t="inlineStr">
        <is>
          <t>FY27</t>
        </is>
      </c>
      <c r="B3700" s="19" t="inlineStr">
        <is>
          <t>Aug</t>
        </is>
      </c>
      <c r="C3700" s="19" t="inlineStr">
        <is>
          <t>TN</t>
        </is>
      </c>
      <c r="D3700" s="20" t="inlineStr">
        <is>
          <t>TN10AW8065</t>
        </is>
      </c>
      <c r="E3700" s="20" t="inlineStr">
        <is>
          <t>HONDA</t>
        </is>
      </c>
      <c r="F3700" s="20" t="inlineStr">
        <is>
          <t>City</t>
        </is>
      </c>
      <c r="G3700" s="21" t="n">
        <v>2016</v>
      </c>
      <c r="H3700" s="22" t="n">
        <v>78198</v>
      </c>
      <c r="I3700" s="22" t="n">
        <v>500000</v>
      </c>
      <c r="J3700" s="20" t="inlineStr">
        <is>
          <t>EXCHANGE ROTN</t>
        </is>
      </c>
      <c r="K3700" s="20" t="inlineStr">
        <is>
          <t>Captive</t>
        </is>
      </c>
      <c r="L3700" s="20" t="inlineStr">
        <is>
          <t>GUGHAA CARS</t>
        </is>
      </c>
      <c r="M3700" s="23" t="n">
        <v>12711.86</v>
      </c>
    </row>
    <row r="3701">
      <c r="A3701" s="19" t="inlineStr">
        <is>
          <t>FY27</t>
        </is>
      </c>
      <c r="B3701" s="19" t="inlineStr">
        <is>
          <t>Aug</t>
        </is>
      </c>
      <c r="C3701" s="19" t="inlineStr">
        <is>
          <t>TN</t>
        </is>
      </c>
      <c r="D3701" s="20" t="inlineStr">
        <is>
          <t>TN58BP7428</t>
        </is>
      </c>
      <c r="E3701" s="20" t="inlineStr">
        <is>
          <t>MARUTI SUZUKI</t>
        </is>
      </c>
      <c r="F3701" s="20" t="inlineStr">
        <is>
          <t>Wagonr</t>
        </is>
      </c>
      <c r="G3701" s="21" t="n">
        <v>2025</v>
      </c>
      <c r="H3701" s="22" t="n">
        <v>19611</v>
      </c>
      <c r="I3701" s="22" t="n">
        <v>547500</v>
      </c>
      <c r="J3701" s="20" t="inlineStr">
        <is>
          <t>EXCHANGE ROTN</t>
        </is>
      </c>
      <c r="K3701" s="20" t="inlineStr">
        <is>
          <t>Captive</t>
        </is>
      </c>
      <c r="L3701" s="20" t="inlineStr">
        <is>
          <t>KSM AUTO CONSULTING</t>
        </is>
      </c>
      <c r="M3701" s="23" t="n">
        <v>12711.86</v>
      </c>
    </row>
    <row r="3702">
      <c r="A3702" s="19" t="inlineStr">
        <is>
          <t>FY27</t>
        </is>
      </c>
      <c r="B3702" s="19" t="inlineStr">
        <is>
          <t>Aug</t>
        </is>
      </c>
      <c r="C3702" s="19" t="inlineStr">
        <is>
          <t>TN</t>
        </is>
      </c>
      <c r="D3702" s="20" t="inlineStr">
        <is>
          <t>TN59DC7787</t>
        </is>
      </c>
      <c r="E3702" s="20" t="inlineStr">
        <is>
          <t>TOYOTA</t>
        </is>
      </c>
      <c r="F3702" s="20" t="inlineStr">
        <is>
          <t>Glanza</t>
        </is>
      </c>
      <c r="G3702" s="21" t="n">
        <v>2024</v>
      </c>
      <c r="H3702" s="22" t="n">
        <v>18312</v>
      </c>
      <c r="I3702" s="22" t="n">
        <v>740000</v>
      </c>
      <c r="J3702" s="20" t="inlineStr">
        <is>
          <t>EXCHANGE ROTN</t>
        </is>
      </c>
      <c r="K3702" s="20" t="inlineStr">
        <is>
          <t>Captive</t>
        </is>
      </c>
      <c r="L3702" s="20" t="inlineStr">
        <is>
          <t>SUN Cars</t>
        </is>
      </c>
      <c r="M3702" s="23" t="n">
        <v>8474.58</v>
      </c>
    </row>
    <row r="3703">
      <c r="A3703" s="19" t="inlineStr">
        <is>
          <t>FY27</t>
        </is>
      </c>
      <c r="B3703" s="19" t="inlineStr">
        <is>
          <t>Aug</t>
        </is>
      </c>
      <c r="C3703" s="19" t="inlineStr">
        <is>
          <t>TN</t>
        </is>
      </c>
      <c r="D3703" s="20" t="inlineStr">
        <is>
          <t>TN55AJ0869</t>
        </is>
      </c>
      <c r="E3703" s="20" t="inlineStr">
        <is>
          <t>MARUTI SUZUKI</t>
        </is>
      </c>
      <c r="F3703" s="20" t="inlineStr">
        <is>
          <t>Omni</t>
        </is>
      </c>
      <c r="G3703" s="21" t="n">
        <v>2013</v>
      </c>
      <c r="H3703" s="22" t="n">
        <v>63282</v>
      </c>
      <c r="I3703" s="22" t="n">
        <v>80000</v>
      </c>
      <c r="J3703" s="20" t="inlineStr">
        <is>
          <t>PLA MOTORS</t>
        </is>
      </c>
      <c r="K3703" s="20" t="inlineStr">
        <is>
          <t>Non-Captive</t>
        </is>
      </c>
      <c r="L3703" s="20" t="inlineStr">
        <is>
          <t>READY TO RIDE CARS</t>
        </is>
      </c>
      <c r="M3703" s="23" t="n">
        <v>4237.29</v>
      </c>
    </row>
    <row r="3704">
      <c r="A3704" s="19" t="inlineStr">
        <is>
          <t>FY27</t>
        </is>
      </c>
      <c r="B3704" s="19" t="inlineStr">
        <is>
          <t>Aug</t>
        </is>
      </c>
      <c r="C3704" s="19" t="inlineStr">
        <is>
          <t>TN</t>
        </is>
      </c>
      <c r="D3704" s="20" t="inlineStr">
        <is>
          <t>TN38BF3606</t>
        </is>
      </c>
      <c r="E3704" s="20" t="inlineStr">
        <is>
          <t>MARUTI SUZUKI</t>
        </is>
      </c>
      <c r="F3704" s="20" t="inlineStr">
        <is>
          <t>Swift</t>
        </is>
      </c>
      <c r="G3704" s="21" t="n">
        <v>2011</v>
      </c>
      <c r="H3704" s="22" t="n">
        <v>153758</v>
      </c>
      <c r="I3704" s="22" t="n">
        <v>90000</v>
      </c>
      <c r="J3704" s="20" t="inlineStr"/>
      <c r="K3704" s="20" t="inlineStr">
        <is>
          <t>Non-Captive</t>
        </is>
      </c>
      <c r="L3704" s="20" t="inlineStr">
        <is>
          <t>READY TO RIDE CARS</t>
        </is>
      </c>
      <c r="M3704" s="23" t="n">
        <v>4237.29</v>
      </c>
    </row>
    <row r="3705">
      <c r="A3705" s="19" t="inlineStr">
        <is>
          <t>FY27</t>
        </is>
      </c>
      <c r="B3705" s="19" t="inlineStr">
        <is>
          <t>Aug</t>
        </is>
      </c>
      <c r="C3705" s="19" t="inlineStr">
        <is>
          <t>TN</t>
        </is>
      </c>
      <c r="D3705" s="20" t="inlineStr">
        <is>
          <t>TN69M8488</t>
        </is>
      </c>
      <c r="E3705" s="20" t="inlineStr">
        <is>
          <t>FORD</t>
        </is>
      </c>
      <c r="F3705" s="20" t="inlineStr">
        <is>
          <t>Fiesta</t>
        </is>
      </c>
      <c r="G3705" s="21" t="n">
        <v>2008</v>
      </c>
      <c r="H3705" s="22" t="n">
        <v>177000</v>
      </c>
      <c r="I3705" s="22" t="n">
        <v>70000</v>
      </c>
      <c r="J3705" s="20" t="inlineStr">
        <is>
          <t>SIVA AUTOMOTIVE TRADING PRIVATE LIMITED</t>
        </is>
      </c>
      <c r="K3705" s="20" t="inlineStr">
        <is>
          <t>Non-Captive</t>
        </is>
      </c>
      <c r="L3705" s="20" t="inlineStr">
        <is>
          <t>THIRUMALAI CARS (MADURAI)</t>
        </is>
      </c>
      <c r="M3705" s="23" t="n">
        <v>4237.29</v>
      </c>
    </row>
    <row r="3706">
      <c r="A3706" s="19" t="inlineStr">
        <is>
          <t>FY27</t>
        </is>
      </c>
      <c r="B3706" s="19" t="inlineStr">
        <is>
          <t>Aug</t>
        </is>
      </c>
      <c r="C3706" s="19" t="inlineStr">
        <is>
          <t>TN</t>
        </is>
      </c>
      <c r="D3706" s="20" t="inlineStr">
        <is>
          <t>TN22BL9270</t>
        </is>
      </c>
      <c r="E3706" s="20" t="inlineStr">
        <is>
          <t>MARUTI SUZUKI</t>
        </is>
      </c>
      <c r="F3706" s="20" t="inlineStr">
        <is>
          <t>Wagonr</t>
        </is>
      </c>
      <c r="G3706" s="21" t="n">
        <v>2010</v>
      </c>
      <c r="H3706" s="22" t="n">
        <v>108548</v>
      </c>
      <c r="I3706" s="22" t="n">
        <v>90000</v>
      </c>
      <c r="J3706" s="20" t="inlineStr">
        <is>
          <t>KSM AUTO CONSULTING</t>
        </is>
      </c>
      <c r="K3706" s="20" t="inlineStr">
        <is>
          <t>Non-Captive</t>
        </is>
      </c>
      <c r="L3706" s="20" t="inlineStr">
        <is>
          <t>BALAJI CARS (THENI)</t>
        </is>
      </c>
      <c r="M3706" s="23" t="n">
        <v>4237.29</v>
      </c>
    </row>
    <row r="3707">
      <c r="A3707" s="19" t="inlineStr">
        <is>
          <t>FY27</t>
        </is>
      </c>
      <c r="B3707" s="19" t="inlineStr">
        <is>
          <t>Aug</t>
        </is>
      </c>
      <c r="C3707" s="19" t="inlineStr">
        <is>
          <t>TN</t>
        </is>
      </c>
      <c r="D3707" s="20" t="inlineStr">
        <is>
          <t>TN59BP1621</t>
        </is>
      </c>
      <c r="E3707" s="20" t="inlineStr">
        <is>
          <t>MARUTI SUZUKI</t>
        </is>
      </c>
      <c r="F3707" s="20" t="inlineStr">
        <is>
          <t>Celerio</t>
        </is>
      </c>
      <c r="G3707" s="21" t="n">
        <v>2017</v>
      </c>
      <c r="H3707" s="22" t="n">
        <v>79498</v>
      </c>
      <c r="I3707" s="22" t="n">
        <v>310000</v>
      </c>
      <c r="J3707" s="20" t="inlineStr">
        <is>
          <t>THIRUMALAI CARS (MADURAI)</t>
        </is>
      </c>
      <c r="K3707" s="20" t="inlineStr">
        <is>
          <t>Non-Captive</t>
        </is>
      </c>
      <c r="L3707" s="20" t="inlineStr">
        <is>
          <t>KSM AUTO CONSULTING</t>
        </is>
      </c>
      <c r="M3707" s="23" t="n">
        <v>8474.58</v>
      </c>
    </row>
    <row r="3708">
      <c r="A3708" s="19" t="inlineStr">
        <is>
          <t>FY27</t>
        </is>
      </c>
      <c r="B3708" s="19" t="inlineStr">
        <is>
          <t>Aug</t>
        </is>
      </c>
      <c r="C3708" s="19" t="inlineStr">
        <is>
          <t>TN</t>
        </is>
      </c>
      <c r="D3708" s="20" t="inlineStr">
        <is>
          <t>TN07CF0585</t>
        </is>
      </c>
      <c r="E3708" s="20" t="inlineStr">
        <is>
          <t>CHEVROLET</t>
        </is>
      </c>
      <c r="F3708" s="20" t="inlineStr">
        <is>
          <t>Beat</t>
        </is>
      </c>
      <c r="G3708" s="21" t="n">
        <v>2016</v>
      </c>
      <c r="H3708" s="22" t="n">
        <v>71130</v>
      </c>
      <c r="I3708" s="22" t="n">
        <v>60000</v>
      </c>
      <c r="J3708" s="20" t="inlineStr">
        <is>
          <t>PLA MOTORS</t>
        </is>
      </c>
      <c r="K3708" s="20" t="inlineStr">
        <is>
          <t>Non-Captive</t>
        </is>
      </c>
      <c r="L3708" s="20" t="inlineStr">
        <is>
          <t>ASHOKAUTOMAX</t>
        </is>
      </c>
      <c r="M3708" s="23" t="n">
        <v>4237.29</v>
      </c>
    </row>
    <row r="3709">
      <c r="A3709" s="19" t="inlineStr">
        <is>
          <t>FY27</t>
        </is>
      </c>
      <c r="B3709" s="19" t="inlineStr">
        <is>
          <t>Aug</t>
        </is>
      </c>
      <c r="C3709" s="19" t="inlineStr">
        <is>
          <t>TN</t>
        </is>
      </c>
      <c r="D3709" s="20" t="inlineStr">
        <is>
          <t>TN45BB9617</t>
        </is>
      </c>
      <c r="E3709" s="20" t="inlineStr">
        <is>
          <t>HYUNDAI</t>
        </is>
      </c>
      <c r="F3709" s="20" t="inlineStr">
        <is>
          <t>Eon</t>
        </is>
      </c>
      <c r="G3709" s="21" t="n">
        <v>2012</v>
      </c>
      <c r="H3709" s="22" t="n">
        <v>53009</v>
      </c>
      <c r="I3709" s="22" t="n">
        <v>90000</v>
      </c>
      <c r="J3709" s="20" t="inlineStr">
        <is>
          <t>PLA MOTORS</t>
        </is>
      </c>
      <c r="K3709" s="20" t="inlineStr">
        <is>
          <t>Non-Captive</t>
        </is>
      </c>
      <c r="L3709" s="20" t="inlineStr">
        <is>
          <t>ASHOKAUTOMAX</t>
        </is>
      </c>
      <c r="M3709" s="23" t="n">
        <v>4237.29</v>
      </c>
    </row>
    <row r="3710">
      <c r="A3710" s="19" t="inlineStr">
        <is>
          <t>FY27</t>
        </is>
      </c>
      <c r="B3710" s="19" t="inlineStr">
        <is>
          <t>Aug</t>
        </is>
      </c>
      <c r="C3710" s="19" t="inlineStr">
        <is>
          <t>TN</t>
        </is>
      </c>
      <c r="D3710" s="20" t="inlineStr">
        <is>
          <t>TN59AU6694</t>
        </is>
      </c>
      <c r="E3710" s="20" t="inlineStr">
        <is>
          <t>CHEVROLET</t>
        </is>
      </c>
      <c r="F3710" s="20" t="inlineStr">
        <is>
          <t>Spark</t>
        </is>
      </c>
      <c r="G3710" s="21" t="n">
        <v>2012</v>
      </c>
      <c r="H3710" s="22" t="n">
        <v>54650</v>
      </c>
      <c r="I3710" s="22" t="n">
        <v>80000</v>
      </c>
      <c r="J3710" s="20" t="inlineStr">
        <is>
          <t>SIVA AUTOMOTIVE TRADING PRIVATE LIMITED</t>
        </is>
      </c>
      <c r="K3710" s="20" t="inlineStr">
        <is>
          <t>Non-Captive</t>
        </is>
      </c>
      <c r="L3710" s="20" t="inlineStr">
        <is>
          <t>READY TO RIDE CARS</t>
        </is>
      </c>
      <c r="M3710" s="23" t="n">
        <v>4237.29</v>
      </c>
    </row>
    <row r="3711">
      <c r="A3711" s="19" t="inlineStr">
        <is>
          <t>FY27</t>
        </is>
      </c>
      <c r="B3711" s="19" t="inlineStr">
        <is>
          <t>Aug</t>
        </is>
      </c>
      <c r="C3711" s="19" t="inlineStr">
        <is>
          <t>TN</t>
        </is>
      </c>
      <c r="D3711" s="20" t="inlineStr">
        <is>
          <t>TN55AP7081</t>
        </is>
      </c>
      <c r="E3711" s="20" t="inlineStr">
        <is>
          <t>RENAULT</t>
        </is>
      </c>
      <c r="F3711" s="20" t="inlineStr">
        <is>
          <t>Kwid</t>
        </is>
      </c>
      <c r="G3711" s="21" t="n">
        <v>2016</v>
      </c>
      <c r="H3711" s="22" t="n">
        <v>117040</v>
      </c>
      <c r="I3711" s="22" t="n">
        <v>96000</v>
      </c>
      <c r="J3711" s="20" t="inlineStr">
        <is>
          <t>PLA MOTORS</t>
        </is>
      </c>
      <c r="K3711" s="20" t="inlineStr">
        <is>
          <t>Non-Captive</t>
        </is>
      </c>
      <c r="L3711" s="20" t="inlineStr">
        <is>
          <t>READY TO RIDE CARS</t>
        </is>
      </c>
      <c r="M3711" s="23" t="n">
        <v>4237.29</v>
      </c>
    </row>
    <row r="3712">
      <c r="A3712" s="19" t="inlineStr">
        <is>
          <t>FY27</t>
        </is>
      </c>
      <c r="B3712" s="19" t="inlineStr">
        <is>
          <t>Aug</t>
        </is>
      </c>
      <c r="C3712" s="19" t="inlineStr">
        <is>
          <t>TN</t>
        </is>
      </c>
      <c r="D3712" s="20" t="inlineStr">
        <is>
          <t>TN63AU4260</t>
        </is>
      </c>
      <c r="E3712" s="20" t="inlineStr">
        <is>
          <t>MARUTI SUZUKI</t>
        </is>
      </c>
      <c r="F3712" s="20" t="inlineStr">
        <is>
          <t>Celerio</t>
        </is>
      </c>
      <c r="G3712" s="21" t="n">
        <v>2014</v>
      </c>
      <c r="H3712" s="22" t="n">
        <v>7944</v>
      </c>
      <c r="I3712" s="22" t="n">
        <v>262000</v>
      </c>
      <c r="J3712" s="20" t="inlineStr">
        <is>
          <t>MEENAKSHI AUTO ZONE PRIVATE LIMITED (MARUTI)</t>
        </is>
      </c>
      <c r="K3712" s="20" t="inlineStr">
        <is>
          <t>Non-Captive</t>
        </is>
      </c>
      <c r="L3712" s="20" t="inlineStr">
        <is>
          <t>GGEE Cars</t>
        </is>
      </c>
      <c r="M3712" s="23" t="n">
        <v>8474.58</v>
      </c>
    </row>
    <row r="3713">
      <c r="A3713" s="19" t="inlineStr">
        <is>
          <t>FY27</t>
        </is>
      </c>
      <c r="B3713" s="19" t="inlineStr">
        <is>
          <t>Aug</t>
        </is>
      </c>
      <c r="C3713" s="19" t="inlineStr">
        <is>
          <t>TN</t>
        </is>
      </c>
      <c r="D3713" s="20" t="inlineStr">
        <is>
          <t>TN55AA2968</t>
        </is>
      </c>
      <c r="E3713" s="20" t="inlineStr">
        <is>
          <t>CHEVROLET</t>
        </is>
      </c>
      <c r="F3713" s="20" t="inlineStr">
        <is>
          <t>Spark</t>
        </is>
      </c>
      <c r="G3713" s="21" t="n">
        <v>2011</v>
      </c>
      <c r="H3713" s="22" t="n">
        <v>132588</v>
      </c>
      <c r="I3713" s="22" t="n">
        <v>35000</v>
      </c>
      <c r="J3713" s="20" t="inlineStr">
        <is>
          <t>GOKUL CARS</t>
        </is>
      </c>
      <c r="K3713" s="20" t="inlineStr">
        <is>
          <t>Non-Captive</t>
        </is>
      </c>
      <c r="L3713" s="20" t="inlineStr">
        <is>
          <t>PURUSOTHAMAN J CARS</t>
        </is>
      </c>
      <c r="M3713" s="23" t="n">
        <v>4237.29</v>
      </c>
    </row>
    <row r="3714">
      <c r="A3714" s="19" t="inlineStr">
        <is>
          <t>FY27</t>
        </is>
      </c>
      <c r="B3714" s="19" t="inlineStr">
        <is>
          <t>Aug</t>
        </is>
      </c>
      <c r="C3714" s="19" t="inlineStr">
        <is>
          <t>TN</t>
        </is>
      </c>
      <c r="D3714" s="20" t="inlineStr">
        <is>
          <t>TN01AA8487</t>
        </is>
      </c>
      <c r="E3714" s="20" t="inlineStr">
        <is>
          <t>MARUTI SUZUKI</t>
        </is>
      </c>
      <c r="F3714" s="20" t="inlineStr">
        <is>
          <t>Alto</t>
        </is>
      </c>
      <c r="G3714" s="21" t="n">
        <v>2006</v>
      </c>
      <c r="H3714" s="22" t="n">
        <v>117898</v>
      </c>
      <c r="I3714" s="22" t="n">
        <v>55000</v>
      </c>
      <c r="J3714" s="20" t="inlineStr">
        <is>
          <t>GOKUL CARS</t>
        </is>
      </c>
      <c r="K3714" s="20" t="inlineStr">
        <is>
          <t>Non-Captive</t>
        </is>
      </c>
      <c r="L3714" s="20" t="inlineStr">
        <is>
          <t>PURUSOTHAMAN J CARS</t>
        </is>
      </c>
      <c r="M3714" s="23" t="n">
        <v>4237.29</v>
      </c>
    </row>
    <row r="3715">
      <c r="A3715" s="19" t="inlineStr">
        <is>
          <t>FY27</t>
        </is>
      </c>
      <c r="B3715" s="19" t="inlineStr">
        <is>
          <t>Aug</t>
        </is>
      </c>
      <c r="C3715" s="19" t="inlineStr">
        <is>
          <t>TN</t>
        </is>
      </c>
      <c r="D3715" s="20" t="inlineStr">
        <is>
          <t>TN33AZ5100</t>
        </is>
      </c>
      <c r="E3715" s="20" t="inlineStr">
        <is>
          <t>HYUNDAI</t>
        </is>
      </c>
      <c r="F3715" s="20" t="inlineStr">
        <is>
          <t>Santro</t>
        </is>
      </c>
      <c r="G3715" s="21" t="n">
        <v>2005</v>
      </c>
      <c r="H3715" s="22" t="n">
        <v>153523</v>
      </c>
      <c r="I3715" s="22" t="n">
        <v>103000</v>
      </c>
      <c r="J3715" s="20" t="inlineStr">
        <is>
          <t>EXCHANGE ROTN</t>
        </is>
      </c>
      <c r="K3715" s="20" t="inlineStr">
        <is>
          <t>Captive</t>
        </is>
      </c>
      <c r="L3715" s="20" t="inlineStr">
        <is>
          <t>SAKARAPANI AUTO CONSULTING</t>
        </is>
      </c>
      <c r="M3715" s="23" t="n">
        <v>5084.75</v>
      </c>
    </row>
    <row r="3716">
      <c r="A3716" s="19" t="inlineStr">
        <is>
          <t>FY27</t>
        </is>
      </c>
      <c r="B3716" s="19" t="inlineStr">
        <is>
          <t>Aug</t>
        </is>
      </c>
      <c r="C3716" s="19" t="inlineStr">
        <is>
          <t>TN</t>
        </is>
      </c>
      <c r="D3716" s="20" t="inlineStr">
        <is>
          <t>TN33AP0070</t>
        </is>
      </c>
      <c r="E3716" s="20" t="inlineStr">
        <is>
          <t>MARUTI SUZUKI</t>
        </is>
      </c>
      <c r="F3716" s="20" t="inlineStr">
        <is>
          <t>Swift</t>
        </is>
      </c>
      <c r="G3716" s="21" t="n">
        <v>2009</v>
      </c>
      <c r="H3716" s="22" t="n">
        <v>225671</v>
      </c>
      <c r="I3716" s="22" t="n">
        <v>95000</v>
      </c>
      <c r="J3716" s="20" t="inlineStr">
        <is>
          <t>SREE SARADHAMBAL AUTOMOBILES PRIVATE LIMITED</t>
        </is>
      </c>
      <c r="K3716" s="20" t="inlineStr">
        <is>
          <t>Non-Captive</t>
        </is>
      </c>
      <c r="L3716" s="20" t="inlineStr">
        <is>
          <t>SIVASHANKAR CARS</t>
        </is>
      </c>
      <c r="M3716" s="23" t="n">
        <v>4237.29</v>
      </c>
    </row>
    <row r="3717">
      <c r="A3717" s="19" t="inlineStr">
        <is>
          <t>FY27</t>
        </is>
      </c>
      <c r="B3717" s="19" t="inlineStr">
        <is>
          <t>Aug</t>
        </is>
      </c>
      <c r="C3717" s="19" t="inlineStr">
        <is>
          <t>TN</t>
        </is>
      </c>
      <c r="D3717" s="20" t="inlineStr">
        <is>
          <t>TN07AD9540</t>
        </is>
      </c>
      <c r="E3717" s="20" t="inlineStr">
        <is>
          <t>MARUTI SUZUKI</t>
        </is>
      </c>
      <c r="F3717" s="20" t="inlineStr">
        <is>
          <t>800</t>
        </is>
      </c>
      <c r="G3717" s="21" t="n">
        <v>2005</v>
      </c>
      <c r="H3717" s="22" t="n">
        <v>52614</v>
      </c>
      <c r="I3717" s="22" t="n">
        <v>65000</v>
      </c>
      <c r="J3717" s="20" t="inlineStr">
        <is>
          <t>SREE SARADHAMBAL AUTOMOBILES PRIVATE LIMITED</t>
        </is>
      </c>
      <c r="K3717" s="20" t="inlineStr">
        <is>
          <t>Non-Captive</t>
        </is>
      </c>
      <c r="L3717" s="20" t="inlineStr">
        <is>
          <t>SIVASHANKAR CARS</t>
        </is>
      </c>
      <c r="M3717" s="23" t="n">
        <v>4237.29</v>
      </c>
    </row>
    <row r="3718">
      <c r="A3718" s="19" t="inlineStr">
        <is>
          <t>FY27</t>
        </is>
      </c>
      <c r="B3718" s="19" t="inlineStr">
        <is>
          <t>Aug</t>
        </is>
      </c>
      <c r="C3718" s="19" t="inlineStr">
        <is>
          <t>TN</t>
        </is>
      </c>
      <c r="D3718" s="20" t="inlineStr">
        <is>
          <t>TN07AD3616</t>
        </is>
      </c>
      <c r="E3718" s="20" t="inlineStr">
        <is>
          <t>MARUTI SUZUKI</t>
        </is>
      </c>
      <c r="F3718" s="20" t="inlineStr">
        <is>
          <t>Esteem</t>
        </is>
      </c>
      <c r="G3718" s="21" t="n">
        <v>2004</v>
      </c>
      <c r="H3718" s="22" t="n">
        <v>26481</v>
      </c>
      <c r="I3718" s="22" t="n">
        <v>70000</v>
      </c>
      <c r="J3718" s="20" t="inlineStr">
        <is>
          <t>SREE SARADHAMBAL AUTOMOBILES PRIVATE LIMITED</t>
        </is>
      </c>
      <c r="K3718" s="20" t="inlineStr">
        <is>
          <t>Non-Captive</t>
        </is>
      </c>
      <c r="L3718" s="20" t="inlineStr">
        <is>
          <t>SIVASHANKAR CARS</t>
        </is>
      </c>
      <c r="M3718" s="23" t="n">
        <v>4237.29</v>
      </c>
    </row>
    <row r="3719">
      <c r="A3719" s="19" t="inlineStr">
        <is>
          <t>FY27</t>
        </is>
      </c>
      <c r="B3719" s="19" t="inlineStr">
        <is>
          <t>Aug</t>
        </is>
      </c>
      <c r="C3719" s="19" t="inlineStr">
        <is>
          <t>TN</t>
        </is>
      </c>
      <c r="D3719" s="20" t="inlineStr">
        <is>
          <t>TN66AP5319</t>
        </is>
      </c>
      <c r="E3719" s="20" t="inlineStr">
        <is>
          <t>NISSAN</t>
        </is>
      </c>
      <c r="F3719" s="20" t="inlineStr">
        <is>
          <t>Magnite</t>
        </is>
      </c>
      <c r="G3719" s="21" t="n">
        <v>2023</v>
      </c>
      <c r="H3719" s="22" t="n">
        <v>12382</v>
      </c>
      <c r="I3719" s="22" t="n">
        <v>430000</v>
      </c>
      <c r="J3719" s="20" t="inlineStr">
        <is>
          <t>EXCHANGE ROTN</t>
        </is>
      </c>
      <c r="K3719" s="20" t="inlineStr">
        <is>
          <t>Captive</t>
        </is>
      </c>
      <c r="L3719" s="20" t="inlineStr">
        <is>
          <t>GUGHAA CARS</t>
        </is>
      </c>
      <c r="M3719" s="23" t="n">
        <v>12711.86</v>
      </c>
    </row>
    <row r="3720">
      <c r="A3720" s="19" t="inlineStr">
        <is>
          <t>FY27</t>
        </is>
      </c>
      <c r="B3720" s="19" t="inlineStr">
        <is>
          <t>Aug</t>
        </is>
      </c>
      <c r="C3720" s="19" t="inlineStr">
        <is>
          <t>TN</t>
        </is>
      </c>
      <c r="D3720" s="20" t="inlineStr">
        <is>
          <t>TN43D4582</t>
        </is>
      </c>
      <c r="E3720" s="20" t="inlineStr">
        <is>
          <t>MARUTI SUZUKI</t>
        </is>
      </c>
      <c r="F3720" s="20" t="inlineStr">
        <is>
          <t>Alto</t>
        </is>
      </c>
      <c r="G3720" s="21" t="n">
        <v>2011</v>
      </c>
      <c r="H3720" s="22" t="n">
        <v>51693</v>
      </c>
      <c r="I3720" s="22" t="n">
        <v>95000</v>
      </c>
      <c r="J3720" s="20" t="inlineStr">
        <is>
          <t>ABT LIMITED - COIMBATORE</t>
        </is>
      </c>
      <c r="K3720" s="20" t="inlineStr">
        <is>
          <t>Non-Captive</t>
        </is>
      </c>
      <c r="L3720" s="20" t="inlineStr">
        <is>
          <t>SRI VIGNESH PRE OWNED CARS</t>
        </is>
      </c>
      <c r="M3720" s="23" t="n">
        <v>4237.29</v>
      </c>
    </row>
    <row r="3721">
      <c r="A3721" s="19" t="inlineStr">
        <is>
          <t>FY27</t>
        </is>
      </c>
      <c r="B3721" s="19" t="inlineStr">
        <is>
          <t>Aug</t>
        </is>
      </c>
      <c r="C3721" s="19" t="inlineStr">
        <is>
          <t>TN</t>
        </is>
      </c>
      <c r="D3721" s="20" t="inlineStr">
        <is>
          <t>TN38J0123</t>
        </is>
      </c>
      <c r="E3721" s="20" t="inlineStr">
        <is>
          <t>MARUTI SUZUKI</t>
        </is>
      </c>
      <c r="F3721" s="20" t="inlineStr">
        <is>
          <t>Zen</t>
        </is>
      </c>
      <c r="G3721" s="21" t="n">
        <v>2000</v>
      </c>
      <c r="H3721" s="22" t="n">
        <v>83981</v>
      </c>
      <c r="I3721" s="22" t="n">
        <v>72000</v>
      </c>
      <c r="J3721" s="20" t="inlineStr">
        <is>
          <t>ABT LIMITED - COIMBATORE</t>
        </is>
      </c>
      <c r="K3721" s="20" t="inlineStr">
        <is>
          <t>Non-Captive</t>
        </is>
      </c>
      <c r="L3721" s="20" t="inlineStr">
        <is>
          <t>SRI VIGNESH PRE OWNED CARS</t>
        </is>
      </c>
      <c r="M3721" s="23" t="n">
        <v>4237.29</v>
      </c>
    </row>
    <row r="3722">
      <c r="A3722" s="19" t="inlineStr">
        <is>
          <t>FY27</t>
        </is>
      </c>
      <c r="B3722" s="19" t="inlineStr">
        <is>
          <t>Aug</t>
        </is>
      </c>
      <c r="C3722" s="19" t="inlineStr">
        <is>
          <t>TN</t>
        </is>
      </c>
      <c r="D3722" s="20" t="inlineStr">
        <is>
          <t>TN38AM3090</t>
        </is>
      </c>
      <c r="E3722" s="20" t="inlineStr">
        <is>
          <t>MARUTI SUZUKI</t>
        </is>
      </c>
      <c r="F3722" s="20" t="inlineStr">
        <is>
          <t>Swift</t>
        </is>
      </c>
      <c r="G3722" s="21" t="n">
        <v>2007</v>
      </c>
      <c r="H3722" s="22" t="n">
        <v>59560</v>
      </c>
      <c r="I3722" s="22" t="n">
        <v>96000</v>
      </c>
      <c r="J3722" s="20" t="inlineStr"/>
      <c r="K3722" s="20" t="inlineStr">
        <is>
          <t>Non-Captive</t>
        </is>
      </c>
      <c r="L3722" s="20" t="inlineStr">
        <is>
          <t>SRI VIGNESH PRE OWNED CARS</t>
        </is>
      </c>
      <c r="M3722" s="23" t="n">
        <v>4237.29</v>
      </c>
    </row>
    <row r="3723">
      <c r="A3723" s="19" t="inlineStr">
        <is>
          <t>FY27</t>
        </is>
      </c>
      <c r="B3723" s="19" t="inlineStr">
        <is>
          <t>Aug</t>
        </is>
      </c>
      <c r="C3723" s="19" t="inlineStr">
        <is>
          <t>TN</t>
        </is>
      </c>
      <c r="D3723" s="20" t="inlineStr">
        <is>
          <t>TN07BL2170</t>
        </is>
      </c>
      <c r="E3723" s="20" t="inlineStr">
        <is>
          <t>HONDA</t>
        </is>
      </c>
      <c r="F3723" s="20" t="inlineStr">
        <is>
          <t>City</t>
        </is>
      </c>
      <c r="G3723" s="21" t="n">
        <v>2011</v>
      </c>
      <c r="H3723" s="22" t="n">
        <v>41827</v>
      </c>
      <c r="I3723" s="22" t="n">
        <v>240000</v>
      </c>
      <c r="J3723" s="20" t="inlineStr">
        <is>
          <t>EXCHANGE CHENNAI</t>
        </is>
      </c>
      <c r="K3723" s="20" t="inlineStr">
        <is>
          <t>Captive</t>
        </is>
      </c>
      <c r="L3723" s="20" t="inlineStr">
        <is>
          <t>SANTHOSH CARS</t>
        </is>
      </c>
      <c r="M3723" s="23" t="n">
        <v>5932.2</v>
      </c>
    </row>
    <row r="3724">
      <c r="A3724" s="19" t="inlineStr">
        <is>
          <t>FY27</t>
        </is>
      </c>
      <c r="B3724" s="19" t="inlineStr">
        <is>
          <t>Aug</t>
        </is>
      </c>
      <c r="C3724" s="19" t="inlineStr">
        <is>
          <t>TN</t>
        </is>
      </c>
      <c r="D3724" s="20" t="inlineStr">
        <is>
          <t>TN22BJ8100</t>
        </is>
      </c>
      <c r="E3724" s="20" t="inlineStr">
        <is>
          <t>HONDA</t>
        </is>
      </c>
      <c r="F3724" s="20" t="inlineStr">
        <is>
          <t>Na</t>
        </is>
      </c>
      <c r="G3724" s="21" t="n">
        <v>2010</v>
      </c>
      <c r="H3724" s="22" t="n"/>
      <c r="I3724" s="22" t="n">
        <v>80000</v>
      </c>
      <c r="J3724" s="20" t="inlineStr">
        <is>
          <t>EXCHANGE CHENNAI</t>
        </is>
      </c>
      <c r="K3724" s="20" t="inlineStr">
        <is>
          <t>Captive</t>
        </is>
      </c>
      <c r="L3724" s="20" t="inlineStr">
        <is>
          <t>SANTHOSH CARS</t>
        </is>
      </c>
      <c r="M3724" s="23" t="n">
        <v>4237.29</v>
      </c>
    </row>
    <row r="3725">
      <c r="A3725" s="19" t="inlineStr">
        <is>
          <t>FY27</t>
        </is>
      </c>
      <c r="B3725" s="19" t="inlineStr">
        <is>
          <t>Aug</t>
        </is>
      </c>
      <c r="C3725" s="19" t="inlineStr">
        <is>
          <t>TN</t>
        </is>
      </c>
      <c r="D3725" s="20" t="inlineStr">
        <is>
          <t>TN02AS2436</t>
        </is>
      </c>
      <c r="E3725" s="20" t="inlineStr">
        <is>
          <t>HYUNDAI</t>
        </is>
      </c>
      <c r="F3725" s="20" t="inlineStr">
        <is>
          <t>I10</t>
        </is>
      </c>
      <c r="G3725" s="21" t="n">
        <v>2011</v>
      </c>
      <c r="H3725" s="22" t="n">
        <v>87924</v>
      </c>
      <c r="I3725" s="22" t="n">
        <v>150000</v>
      </c>
      <c r="J3725" s="20" t="inlineStr">
        <is>
          <t>EXCHANGE CHENNAI</t>
        </is>
      </c>
      <c r="K3725" s="20" t="inlineStr">
        <is>
          <t>Captive</t>
        </is>
      </c>
      <c r="L3725" s="20" t="inlineStr">
        <is>
          <t>SANTHOSH CARS</t>
        </is>
      </c>
      <c r="M3725" s="23" t="n">
        <v>8474.58</v>
      </c>
    </row>
    <row r="3726">
      <c r="A3726" s="19" t="inlineStr">
        <is>
          <t>FY27</t>
        </is>
      </c>
      <c r="B3726" s="19" t="inlineStr">
        <is>
          <t>Aug</t>
        </is>
      </c>
      <c r="C3726" s="19" t="inlineStr">
        <is>
          <t>TN</t>
        </is>
      </c>
      <c r="D3726" s="20" t="inlineStr">
        <is>
          <t>TN04AT9290</t>
        </is>
      </c>
      <c r="E3726" s="20" t="inlineStr">
        <is>
          <t>HYUNDAI</t>
        </is>
      </c>
      <c r="F3726" s="20" t="inlineStr">
        <is>
          <t>Grand I10</t>
        </is>
      </c>
      <c r="G3726" s="21" t="n">
        <v>2017</v>
      </c>
      <c r="H3726" s="22" t="n">
        <v>57642</v>
      </c>
      <c r="I3726" s="22" t="n">
        <v>260000</v>
      </c>
      <c r="J3726" s="20" t="inlineStr">
        <is>
          <t>EXCHANGE CHENNAI</t>
        </is>
      </c>
      <c r="K3726" s="20" t="inlineStr">
        <is>
          <t>Captive</t>
        </is>
      </c>
      <c r="L3726" s="20" t="inlineStr">
        <is>
          <t>NIRMAL CARS</t>
        </is>
      </c>
      <c r="M3726" s="23" t="n">
        <v>8474.58</v>
      </c>
    </row>
    <row r="3727">
      <c r="A3727" s="19" t="inlineStr">
        <is>
          <t>FY27</t>
        </is>
      </c>
      <c r="B3727" s="19" t="inlineStr">
        <is>
          <t>Aug</t>
        </is>
      </c>
      <c r="C3727" s="19" t="inlineStr">
        <is>
          <t>TN</t>
        </is>
      </c>
      <c r="D3727" s="20" t="inlineStr">
        <is>
          <t>TN02BD1657</t>
        </is>
      </c>
      <c r="E3727" s="20" t="inlineStr">
        <is>
          <t>MARUTI SUZUKI</t>
        </is>
      </c>
      <c r="F3727" s="20" t="inlineStr">
        <is>
          <t>Dzire</t>
        </is>
      </c>
      <c r="G3727" s="21" t="n">
        <v>2015</v>
      </c>
      <c r="H3727" s="22" t="n">
        <v>83720</v>
      </c>
      <c r="I3727" s="22" t="n">
        <v>310000</v>
      </c>
      <c r="J3727" s="20" t="inlineStr">
        <is>
          <t>EXCHANGE CHENNAI</t>
        </is>
      </c>
      <c r="K3727" s="20" t="inlineStr">
        <is>
          <t>Captive</t>
        </is>
      </c>
      <c r="L3727" s="20" t="inlineStr">
        <is>
          <t>SANTHOSH CARS</t>
        </is>
      </c>
      <c r="M3727" s="23" t="n">
        <v>8474.58</v>
      </c>
    </row>
    <row r="3728">
      <c r="A3728" s="19" t="inlineStr">
        <is>
          <t>FY27</t>
        </is>
      </c>
      <c r="B3728" s="19" t="inlineStr">
        <is>
          <t>Aug</t>
        </is>
      </c>
      <c r="C3728" s="19" t="inlineStr">
        <is>
          <t>TN</t>
        </is>
      </c>
      <c r="D3728" s="20" t="inlineStr">
        <is>
          <t>TN91A2693</t>
        </is>
      </c>
      <c r="E3728" s="20" t="inlineStr">
        <is>
          <t>HONDA</t>
        </is>
      </c>
      <c r="F3728" s="20" t="inlineStr">
        <is>
          <t>Amaze</t>
        </is>
      </c>
      <c r="G3728" s="21" t="n">
        <v>2015</v>
      </c>
      <c r="H3728" s="22" t="n">
        <v>160036</v>
      </c>
      <c r="I3728" s="22" t="n">
        <v>170000</v>
      </c>
      <c r="J3728" s="20" t="inlineStr">
        <is>
          <t>EXCHANGE CHENNAI</t>
        </is>
      </c>
      <c r="K3728" s="20" t="inlineStr">
        <is>
          <t>Captive</t>
        </is>
      </c>
      <c r="L3728" s="20" t="inlineStr">
        <is>
          <t>SANTHOSH CARS</t>
        </is>
      </c>
      <c r="M3728" s="23" t="n">
        <v>8474.58</v>
      </c>
    </row>
    <row r="3729">
      <c r="A3729" s="19" t="inlineStr">
        <is>
          <t>FY27</t>
        </is>
      </c>
      <c r="B3729" s="19" t="inlineStr">
        <is>
          <t>Aug</t>
        </is>
      </c>
      <c r="C3729" s="19" t="inlineStr">
        <is>
          <t>TN</t>
        </is>
      </c>
      <c r="D3729" s="20" t="inlineStr">
        <is>
          <t>TN01AJ6798</t>
        </is>
      </c>
      <c r="E3729" s="20" t="inlineStr">
        <is>
          <t>MARUTI SUZUKI</t>
        </is>
      </c>
      <c r="F3729" s="20" t="inlineStr">
        <is>
          <t>Wagonr</t>
        </is>
      </c>
      <c r="G3729" s="21" t="n">
        <v>2009</v>
      </c>
      <c r="H3729" s="22" t="n">
        <v>78373</v>
      </c>
      <c r="I3729" s="22" t="n">
        <v>90000</v>
      </c>
      <c r="J3729" s="20" t="inlineStr">
        <is>
          <t>CASTLE TRADERS Maruti</t>
        </is>
      </c>
      <c r="K3729" s="20" t="inlineStr">
        <is>
          <t>Non-Captive</t>
        </is>
      </c>
      <c r="L3729" s="20" t="inlineStr">
        <is>
          <t>S2 MOTORZ</t>
        </is>
      </c>
      <c r="M3729" s="23" t="n">
        <v>4237.29</v>
      </c>
    </row>
    <row r="3730">
      <c r="A3730" s="19" t="inlineStr">
        <is>
          <t>FY27</t>
        </is>
      </c>
      <c r="B3730" s="19" t="inlineStr">
        <is>
          <t>Aug</t>
        </is>
      </c>
      <c r="C3730" s="19" t="inlineStr">
        <is>
          <t>TN</t>
        </is>
      </c>
      <c r="D3730" s="20" t="inlineStr">
        <is>
          <t>TN87F0705</t>
        </is>
      </c>
      <c r="E3730" s="20" t="inlineStr">
        <is>
          <t>MARUTI SUZUKI</t>
        </is>
      </c>
      <c r="F3730" s="20" t="inlineStr">
        <is>
          <t>Ignis</t>
        </is>
      </c>
      <c r="G3730" s="21" t="n">
        <v>2023</v>
      </c>
      <c r="H3730" s="22" t="n">
        <v>57804</v>
      </c>
      <c r="I3730" s="22" t="n">
        <v>493000</v>
      </c>
      <c r="J3730" s="20" t="inlineStr">
        <is>
          <t>CASTLE TRADERS Maruti</t>
        </is>
      </c>
      <c r="K3730" s="20" t="inlineStr">
        <is>
          <t>Non-Captive</t>
        </is>
      </c>
      <c r="L3730" s="20" t="inlineStr">
        <is>
          <t>Value Drive Tech</t>
        </is>
      </c>
      <c r="M3730" s="23" t="n">
        <v>5084.75</v>
      </c>
    </row>
    <row r="3731">
      <c r="A3731" s="19" t="inlineStr">
        <is>
          <t>FY27</t>
        </is>
      </c>
      <c r="B3731" s="19" t="inlineStr">
        <is>
          <t>Aug</t>
        </is>
      </c>
      <c r="C3731" s="19" t="inlineStr">
        <is>
          <t>TN</t>
        </is>
      </c>
      <c r="D3731" s="20" t="inlineStr">
        <is>
          <t>TN04AK6648</t>
        </is>
      </c>
      <c r="E3731" s="20" t="inlineStr">
        <is>
          <t>HYUNDAI</t>
        </is>
      </c>
      <c r="F3731" s="20" t="inlineStr">
        <is>
          <t>I10</t>
        </is>
      </c>
      <c r="G3731" s="21" t="n">
        <v>2012</v>
      </c>
      <c r="H3731" s="22" t="n">
        <v>96742</v>
      </c>
      <c r="I3731" s="22" t="n">
        <v>152000</v>
      </c>
      <c r="J3731" s="20" t="inlineStr">
        <is>
          <t>CASTLE TRADERS Maruti</t>
        </is>
      </c>
      <c r="K3731" s="20" t="inlineStr">
        <is>
          <t>Non-Captive</t>
        </is>
      </c>
      <c r="L3731" s="20" t="inlineStr">
        <is>
          <t>AAA CARS</t>
        </is>
      </c>
      <c r="M3731" s="23" t="n">
        <v>5084.75</v>
      </c>
    </row>
    <row r="3732">
      <c r="A3732" s="19" t="inlineStr">
        <is>
          <t>FY27</t>
        </is>
      </c>
      <c r="B3732" s="19" t="inlineStr">
        <is>
          <t>Aug</t>
        </is>
      </c>
      <c r="C3732" s="19" t="inlineStr">
        <is>
          <t>TN</t>
        </is>
      </c>
      <c r="D3732" s="20" t="inlineStr">
        <is>
          <t>TN09CB6168</t>
        </is>
      </c>
      <c r="E3732" s="20" t="inlineStr">
        <is>
          <t>MARUTI SUZUKI</t>
        </is>
      </c>
      <c r="F3732" s="20" t="inlineStr">
        <is>
          <t>Ertiga</t>
        </is>
      </c>
      <c r="G3732" s="21" t="n">
        <v>2015</v>
      </c>
      <c r="H3732" s="22" t="n">
        <v>92213</v>
      </c>
      <c r="I3732" s="22" t="n">
        <v>480000</v>
      </c>
      <c r="J3732" s="20" t="inlineStr">
        <is>
          <t>CASTLE TRADERS Maruti</t>
        </is>
      </c>
      <c r="K3732" s="20" t="inlineStr">
        <is>
          <t>Non-Captive</t>
        </is>
      </c>
      <c r="L3732" s="20" t="inlineStr">
        <is>
          <t>PINE AUTOS</t>
        </is>
      </c>
      <c r="M3732" s="23" t="n">
        <v>5084.75</v>
      </c>
    </row>
    <row r="3733">
      <c r="A3733" s="19" t="inlineStr">
        <is>
          <t>FY27</t>
        </is>
      </c>
      <c r="B3733" s="19" t="inlineStr">
        <is>
          <t>Aug</t>
        </is>
      </c>
      <c r="C3733" s="19" t="inlineStr">
        <is>
          <t>TN</t>
        </is>
      </c>
      <c r="D3733" s="20" t="inlineStr">
        <is>
          <t>TN14AD9088</t>
        </is>
      </c>
      <c r="E3733" s="20" t="inlineStr">
        <is>
          <t>MARUTI SUZUKI</t>
        </is>
      </c>
      <c r="F3733" s="20" t="inlineStr">
        <is>
          <t>Baleno</t>
        </is>
      </c>
      <c r="G3733" s="21" t="n">
        <v>2023</v>
      </c>
      <c r="H3733" s="22" t="n">
        <v>99999</v>
      </c>
      <c r="I3733" s="22" t="n">
        <v>480000</v>
      </c>
      <c r="J3733" s="20" t="inlineStr">
        <is>
          <t>CASTLE TRADERS Maruti</t>
        </is>
      </c>
      <c r="K3733" s="20" t="inlineStr">
        <is>
          <t>Non-Captive</t>
        </is>
      </c>
      <c r="L3733" s="20" t="inlineStr">
        <is>
          <t>Rithika cars</t>
        </is>
      </c>
      <c r="M3733" s="23" t="n">
        <v>5084.75</v>
      </c>
    </row>
    <row r="3734">
      <c r="A3734" s="19" t="inlineStr">
        <is>
          <t>FY27</t>
        </is>
      </c>
      <c r="B3734" s="19" t="inlineStr">
        <is>
          <t>Aug</t>
        </is>
      </c>
      <c r="C3734" s="19" t="inlineStr">
        <is>
          <t>TN</t>
        </is>
      </c>
      <c r="D3734" s="20" t="inlineStr">
        <is>
          <t>TN22BR3616</t>
        </is>
      </c>
      <c r="E3734" s="20" t="inlineStr">
        <is>
          <t>FORD</t>
        </is>
      </c>
      <c r="F3734" s="20" t="inlineStr">
        <is>
          <t>Figo</t>
        </is>
      </c>
      <c r="G3734" s="21" t="n">
        <v>2010</v>
      </c>
      <c r="H3734" s="22" t="n">
        <v>56334</v>
      </c>
      <c r="I3734" s="22" t="n">
        <v>95000</v>
      </c>
      <c r="J3734" s="20" t="inlineStr">
        <is>
          <t>CASTLE TRADERS Maruti</t>
        </is>
      </c>
      <c r="K3734" s="20" t="inlineStr">
        <is>
          <t>Non-Captive</t>
        </is>
      </c>
      <c r="L3734" s="20" t="inlineStr">
        <is>
          <t>PINE AUTOS</t>
        </is>
      </c>
      <c r="M3734" s="23" t="n">
        <v>4237.29</v>
      </c>
    </row>
    <row r="3735">
      <c r="A3735" s="19" t="inlineStr">
        <is>
          <t>FY27</t>
        </is>
      </c>
      <c r="B3735" s="19" t="inlineStr">
        <is>
          <t>Aug</t>
        </is>
      </c>
      <c r="C3735" s="19" t="inlineStr">
        <is>
          <t>TN</t>
        </is>
      </c>
      <c r="D3735" s="20" t="inlineStr">
        <is>
          <t>TN73AW2102</t>
        </is>
      </c>
      <c r="E3735" s="20" t="inlineStr">
        <is>
          <t>MARUTI SUZUKI</t>
        </is>
      </c>
      <c r="F3735" s="20" t="inlineStr">
        <is>
          <t>Wagonr</t>
        </is>
      </c>
      <c r="G3735" s="21" t="n">
        <v>2021</v>
      </c>
      <c r="H3735" s="22" t="n">
        <v>98665</v>
      </c>
      <c r="I3735" s="22" t="n">
        <v>370000</v>
      </c>
      <c r="J3735" s="20" t="inlineStr">
        <is>
          <t>CASTLE TRADERS Maruti</t>
        </is>
      </c>
      <c r="K3735" s="20" t="inlineStr">
        <is>
          <t>Non-Captive</t>
        </is>
      </c>
      <c r="L3735" s="20" t="inlineStr">
        <is>
          <t>LANSON QCARS PRIVATE LIMITED</t>
        </is>
      </c>
      <c r="M3735" s="23" t="n">
        <v>4237.29</v>
      </c>
    </row>
    <row r="3736">
      <c r="A3736" s="19" t="inlineStr">
        <is>
          <t>FY27</t>
        </is>
      </c>
      <c r="B3736" s="19" t="inlineStr">
        <is>
          <t>Aug</t>
        </is>
      </c>
      <c r="C3736" s="19" t="inlineStr">
        <is>
          <t>TN</t>
        </is>
      </c>
      <c r="D3736" s="20" t="inlineStr">
        <is>
          <t>TN37AQ8008</t>
        </is>
      </c>
      <c r="E3736" s="20" t="inlineStr">
        <is>
          <t>HONDA</t>
        </is>
      </c>
      <c r="F3736" s="20" t="inlineStr">
        <is>
          <t>City</t>
        </is>
      </c>
      <c r="G3736" s="21" t="n">
        <v>2006</v>
      </c>
      <c r="H3736" s="22" t="n">
        <v>115060</v>
      </c>
      <c r="I3736" s="22" t="n">
        <v>97000</v>
      </c>
      <c r="J3736" s="20" t="inlineStr">
        <is>
          <t>STEER AUTO TECHNOLOGIES PRIVATE LIMITED</t>
        </is>
      </c>
      <c r="K3736" s="20" t="inlineStr">
        <is>
          <t>Non-Captive</t>
        </is>
      </c>
      <c r="L3736" s="20" t="inlineStr">
        <is>
          <t>NIRMAL CARS</t>
        </is>
      </c>
      <c r="M3736" s="23" t="n">
        <v>2542.37</v>
      </c>
    </row>
    <row r="3737">
      <c r="A3737" s="19" t="inlineStr">
        <is>
          <t>FY27</t>
        </is>
      </c>
      <c r="B3737" s="19" t="inlineStr">
        <is>
          <t>Aug</t>
        </is>
      </c>
      <c r="C3737" s="19" t="inlineStr">
        <is>
          <t>TN</t>
        </is>
      </c>
      <c r="D3737" s="20" t="inlineStr">
        <is>
          <t>TN22DH6888</t>
        </is>
      </c>
      <c r="E3737" s="20" t="inlineStr">
        <is>
          <t>TATA</t>
        </is>
      </c>
      <c r="F3737" s="20" t="inlineStr">
        <is>
          <t>Safari</t>
        </is>
      </c>
      <c r="G3737" s="21" t="n">
        <v>2017</v>
      </c>
      <c r="H3737" s="22" t="n">
        <v>153238</v>
      </c>
      <c r="I3737" s="22" t="n">
        <v>95000</v>
      </c>
      <c r="J3737" s="20" t="inlineStr">
        <is>
          <t>NIRMAL</t>
        </is>
      </c>
      <c r="K3737" s="20" t="inlineStr">
        <is>
          <t>Non-Captive</t>
        </is>
      </c>
      <c r="L3737" s="20" t="inlineStr">
        <is>
          <t>ESSARPREOWNEDCARS</t>
        </is>
      </c>
      <c r="M3737" s="23" t="n">
        <v>4237.29</v>
      </c>
    </row>
    <row r="3738">
      <c r="A3738" s="19" t="inlineStr">
        <is>
          <t>FY27</t>
        </is>
      </c>
      <c r="B3738" s="19" t="inlineStr">
        <is>
          <t>Aug</t>
        </is>
      </c>
      <c r="C3738" s="19" t="inlineStr">
        <is>
          <t>TN</t>
        </is>
      </c>
      <c r="D3738" s="20" t="inlineStr">
        <is>
          <t>TN143388</t>
        </is>
      </c>
      <c r="E3738" s="20" t="inlineStr">
        <is>
          <t>HONDA</t>
        </is>
      </c>
      <c r="F3738" s="20" t="inlineStr">
        <is>
          <t>Brio</t>
        </is>
      </c>
      <c r="G3738" s="21" t="n">
        <v>2014</v>
      </c>
      <c r="H3738" s="22" t="n">
        <v>103256</v>
      </c>
      <c r="I3738" s="22" t="n">
        <v>87000</v>
      </c>
      <c r="J3738" s="20" t="inlineStr">
        <is>
          <t>Shree Thiya cars</t>
        </is>
      </c>
      <c r="K3738" s="20" t="inlineStr">
        <is>
          <t>Non-Captive</t>
        </is>
      </c>
      <c r="L3738" s="20" t="inlineStr">
        <is>
          <t>GRID 33</t>
        </is>
      </c>
      <c r="M3738" s="23" t="n">
        <v>2542.37</v>
      </c>
    </row>
    <row r="3739">
      <c r="A3739" s="19" t="inlineStr">
        <is>
          <t>FY27</t>
        </is>
      </c>
      <c r="B3739" s="19" t="inlineStr">
        <is>
          <t>Aug</t>
        </is>
      </c>
      <c r="C3739" s="19" t="inlineStr">
        <is>
          <t>TN</t>
        </is>
      </c>
      <c r="D3739" s="20" t="inlineStr">
        <is>
          <t>TN10X6536</t>
        </is>
      </c>
      <c r="E3739" s="20" t="inlineStr">
        <is>
          <t>HYUNDAI</t>
        </is>
      </c>
      <c r="F3739" s="20" t="inlineStr">
        <is>
          <t>Santro</t>
        </is>
      </c>
      <c r="G3739" s="21" t="n">
        <v>2009</v>
      </c>
      <c r="H3739" s="22" t="n">
        <v>62092</v>
      </c>
      <c r="I3739" s="22" t="n">
        <v>90000</v>
      </c>
      <c r="J3739" s="20" t="inlineStr">
        <is>
          <t>VISHNU CARS PRIVATE LIMITED</t>
        </is>
      </c>
      <c r="K3739" s="20" t="inlineStr">
        <is>
          <t>Non-Captive</t>
        </is>
      </c>
      <c r="L3739" s="20" t="inlineStr">
        <is>
          <t>GRID 33</t>
        </is>
      </c>
      <c r="M3739" s="23" t="n">
        <v>3389.83</v>
      </c>
    </row>
    <row r="3740">
      <c r="A3740" s="19" t="inlineStr">
        <is>
          <t>FY27</t>
        </is>
      </c>
      <c r="B3740" s="19" t="inlineStr">
        <is>
          <t>Aug</t>
        </is>
      </c>
      <c r="C3740" s="19" t="inlineStr">
        <is>
          <t>TN</t>
        </is>
      </c>
      <c r="D3740" s="20" t="inlineStr">
        <is>
          <t>TN40X2488</t>
        </is>
      </c>
      <c r="E3740" s="20" t="inlineStr">
        <is>
          <t>HYUNDAI</t>
        </is>
      </c>
      <c r="F3740" s="20" t="inlineStr">
        <is>
          <t>Santro</t>
        </is>
      </c>
      <c r="G3740" s="21" t="n">
        <v>2005</v>
      </c>
      <c r="H3740" s="22" t="n">
        <v>61987</v>
      </c>
      <c r="I3740" s="22" t="n">
        <v>92000</v>
      </c>
      <c r="J3740" s="20" t="inlineStr">
        <is>
          <t>POPULAR VEHICLES AND SERVICES LIMITED</t>
        </is>
      </c>
      <c r="K3740" s="20" t="inlineStr">
        <is>
          <t>Non-Captive</t>
        </is>
      </c>
      <c r="L3740" s="20" t="inlineStr">
        <is>
          <t>GRID 33</t>
        </is>
      </c>
      <c r="M3740" s="23" t="n">
        <v>2542.37</v>
      </c>
    </row>
    <row r="3741">
      <c r="A3741" s="19" t="inlineStr">
        <is>
          <t>FY27</t>
        </is>
      </c>
      <c r="B3741" s="19" t="inlineStr">
        <is>
          <t>Aug</t>
        </is>
      </c>
      <c r="C3741" s="19" t="inlineStr">
        <is>
          <t>TN</t>
        </is>
      </c>
      <c r="D3741" s="20" t="inlineStr">
        <is>
          <t>TN22CK5189</t>
        </is>
      </c>
      <c r="E3741" s="20" t="inlineStr">
        <is>
          <t>HONDA</t>
        </is>
      </c>
      <c r="F3741" s="20" t="inlineStr">
        <is>
          <t>Amaze</t>
        </is>
      </c>
      <c r="G3741" s="21" t="n">
        <v>2013</v>
      </c>
      <c r="H3741" s="22" t="n">
        <v>107570</v>
      </c>
      <c r="I3741" s="22" t="n">
        <v>96000</v>
      </c>
      <c r="J3741" s="20" t="inlineStr">
        <is>
          <t>FPL AUTOMOBILES PRIVATE LIMITED</t>
        </is>
      </c>
      <c r="K3741" s="20" t="inlineStr">
        <is>
          <t>Non-Captive</t>
        </is>
      </c>
      <c r="L3741" s="20" t="inlineStr">
        <is>
          <t>NIRMAL CARS</t>
        </is>
      </c>
      <c r="M3741" s="23" t="n">
        <v>4237.29</v>
      </c>
    </row>
    <row r="3742">
      <c r="A3742" s="19" t="inlineStr">
        <is>
          <t>FY27</t>
        </is>
      </c>
      <c r="B3742" s="19" t="inlineStr">
        <is>
          <t>Aug</t>
        </is>
      </c>
      <c r="C3742" s="19" t="inlineStr">
        <is>
          <t>TN</t>
        </is>
      </c>
      <c r="D3742" s="20" t="inlineStr">
        <is>
          <t>TN07BE4077</t>
        </is>
      </c>
      <c r="E3742" s="20" t="inlineStr">
        <is>
          <t>TATA</t>
        </is>
      </c>
      <c r="F3742" s="20" t="inlineStr">
        <is>
          <t>Indica</t>
        </is>
      </c>
      <c r="G3742" s="21" t="n">
        <v>2009</v>
      </c>
      <c r="H3742" s="22" t="n">
        <v>43683</v>
      </c>
      <c r="I3742" s="22" t="n">
        <v>87000</v>
      </c>
      <c r="J3742" s="20" t="inlineStr">
        <is>
          <t>VISHNU CARS PRIVATE LIMITED</t>
        </is>
      </c>
      <c r="K3742" s="20" t="inlineStr">
        <is>
          <t>Non-Captive</t>
        </is>
      </c>
      <c r="L3742" s="20" t="inlineStr">
        <is>
          <t>SANTHOSH CARS</t>
        </is>
      </c>
      <c r="M3742" s="23" t="n">
        <v>2542.37</v>
      </c>
    </row>
    <row r="3743">
      <c r="A3743" s="19" t="inlineStr">
        <is>
          <t>FY27</t>
        </is>
      </c>
      <c r="B3743" s="19" t="inlineStr">
        <is>
          <t>Aug</t>
        </is>
      </c>
      <c r="C3743" s="19" t="inlineStr">
        <is>
          <t>TN</t>
        </is>
      </c>
      <c r="D3743" s="20" t="inlineStr">
        <is>
          <t>TN10AZ7114</t>
        </is>
      </c>
      <c r="E3743" s="20" t="inlineStr">
        <is>
          <t>HYUNDAI</t>
        </is>
      </c>
      <c r="F3743" s="20" t="inlineStr">
        <is>
          <t>I20</t>
        </is>
      </c>
      <c r="G3743" s="21" t="n">
        <v>2017</v>
      </c>
      <c r="H3743" s="22" t="n">
        <v>74247</v>
      </c>
      <c r="I3743" s="22" t="n">
        <v>97000</v>
      </c>
      <c r="J3743" s="20" t="inlineStr">
        <is>
          <t>CARS INDIA</t>
        </is>
      </c>
      <c r="K3743" s="20" t="inlineStr">
        <is>
          <t>Non-Captive</t>
        </is>
      </c>
      <c r="L3743" s="20" t="inlineStr">
        <is>
          <t>Rithika cars</t>
        </is>
      </c>
      <c r="M3743" s="23" t="n">
        <v>2542.37</v>
      </c>
    </row>
    <row r="3744">
      <c r="A3744" s="19" t="inlineStr">
        <is>
          <t>FY27</t>
        </is>
      </c>
      <c r="B3744" s="19" t="inlineStr">
        <is>
          <t>Aug</t>
        </is>
      </c>
      <c r="C3744" s="19" t="inlineStr">
        <is>
          <t>TN</t>
        </is>
      </c>
      <c r="D3744" s="20" t="inlineStr">
        <is>
          <t>TN07AT5788</t>
        </is>
      </c>
      <c r="E3744" s="20" t="inlineStr">
        <is>
          <t>MARUTI SUZUKI</t>
        </is>
      </c>
      <c r="F3744" s="20" t="inlineStr">
        <is>
          <t>Alto</t>
        </is>
      </c>
      <c r="G3744" s="21" t="n">
        <v>2007</v>
      </c>
      <c r="H3744" s="22" t="n">
        <v>61450</v>
      </c>
      <c r="I3744" s="22" t="n">
        <v>89000</v>
      </c>
      <c r="J3744" s="20" t="inlineStr">
        <is>
          <t>VISHNU CARS PRIVATE LIMITED</t>
        </is>
      </c>
      <c r="K3744" s="20" t="inlineStr">
        <is>
          <t>Non-Captive</t>
        </is>
      </c>
      <c r="L3744" s="20" t="inlineStr">
        <is>
          <t>SANTHOSH CARS</t>
        </is>
      </c>
      <c r="M3744" s="23" t="n">
        <v>2542.37</v>
      </c>
    </row>
    <row r="3745">
      <c r="A3745" s="19" t="inlineStr">
        <is>
          <t>FY27</t>
        </is>
      </c>
      <c r="B3745" s="19" t="inlineStr">
        <is>
          <t>Aug</t>
        </is>
      </c>
      <c r="C3745" s="19" t="inlineStr">
        <is>
          <t>TN</t>
        </is>
      </c>
      <c r="D3745" s="20" t="inlineStr">
        <is>
          <t>TN05U4786</t>
        </is>
      </c>
      <c r="E3745" s="20" t="inlineStr">
        <is>
          <t>HYUNDAI</t>
        </is>
      </c>
      <c r="F3745" s="20" t="inlineStr">
        <is>
          <t>Santro</t>
        </is>
      </c>
      <c r="G3745" s="21" t="n">
        <v>2007</v>
      </c>
      <c r="H3745" s="22" t="n">
        <v>156018</v>
      </c>
      <c r="I3745" s="22" t="n">
        <v>92000</v>
      </c>
      <c r="J3745" s="20" t="inlineStr">
        <is>
          <t>VISHNU CARS PRIVATE LIMITED</t>
        </is>
      </c>
      <c r="K3745" s="20" t="inlineStr">
        <is>
          <t>Non-Captive</t>
        </is>
      </c>
      <c r="L3745" s="20" t="inlineStr">
        <is>
          <t>SANTHOSH CARS</t>
        </is>
      </c>
      <c r="M3745" s="23" t="n">
        <v>2542.37</v>
      </c>
    </row>
    <row r="3746">
      <c r="A3746" s="19" t="inlineStr">
        <is>
          <t>FY27</t>
        </is>
      </c>
      <c r="B3746" s="19" t="inlineStr">
        <is>
          <t>Aug</t>
        </is>
      </c>
      <c r="C3746" s="19" t="inlineStr">
        <is>
          <t>TN</t>
        </is>
      </c>
      <c r="D3746" s="20" t="inlineStr">
        <is>
          <t>TN06K4339</t>
        </is>
      </c>
      <c r="E3746" s="20" t="inlineStr">
        <is>
          <t>HYUNDAI</t>
        </is>
      </c>
      <c r="F3746" s="20" t="inlineStr">
        <is>
          <t>I10</t>
        </is>
      </c>
      <c r="G3746" s="21" t="n">
        <v>2013</v>
      </c>
      <c r="H3746" s="22" t="n">
        <v>21014</v>
      </c>
      <c r="I3746" s="22" t="n">
        <v>96000</v>
      </c>
      <c r="J3746" s="20" t="inlineStr">
        <is>
          <t>VISHNU CARS PRIVATE LIMITED</t>
        </is>
      </c>
      <c r="K3746" s="20" t="inlineStr">
        <is>
          <t>Non-Captive</t>
        </is>
      </c>
      <c r="L3746" s="20" t="inlineStr">
        <is>
          <t>SANTHOSH CARS</t>
        </is>
      </c>
      <c r="M3746" s="23" t="n">
        <v>2542.37</v>
      </c>
    </row>
    <row r="3747">
      <c r="A3747" s="19" t="inlineStr">
        <is>
          <t>FY27</t>
        </is>
      </c>
      <c r="B3747" s="19" t="inlineStr">
        <is>
          <t>Aug</t>
        </is>
      </c>
      <c r="C3747" s="19" t="inlineStr">
        <is>
          <t>TN</t>
        </is>
      </c>
      <c r="D3747" s="20" t="inlineStr">
        <is>
          <t>TN06S6546</t>
        </is>
      </c>
      <c r="E3747" s="20" t="inlineStr">
        <is>
          <t>MARUTI SUZUKI</t>
        </is>
      </c>
      <c r="F3747" s="20" t="inlineStr">
        <is>
          <t>Swift</t>
        </is>
      </c>
      <c r="G3747" s="21" t="n">
        <v>2016</v>
      </c>
      <c r="H3747" s="22" t="n">
        <v>16662</v>
      </c>
      <c r="I3747" s="22" t="n">
        <v>94000</v>
      </c>
      <c r="J3747" s="20" t="inlineStr">
        <is>
          <t>CARS INDIA</t>
        </is>
      </c>
      <c r="K3747" s="20" t="inlineStr">
        <is>
          <t>Non-Captive</t>
        </is>
      </c>
      <c r="L3747" s="20" t="inlineStr">
        <is>
          <t>PINE AUTOS</t>
        </is>
      </c>
      <c r="M3747" s="23" t="n">
        <v>2542.37</v>
      </c>
    </row>
    <row r="3748">
      <c r="A3748" s="19" t="inlineStr">
        <is>
          <t>FY27</t>
        </is>
      </c>
      <c r="B3748" s="19" t="inlineStr">
        <is>
          <t>Aug</t>
        </is>
      </c>
      <c r="C3748" s="19" t="inlineStr">
        <is>
          <t>TN</t>
        </is>
      </c>
      <c r="D3748" s="20" t="inlineStr">
        <is>
          <t>PY05P1951</t>
        </is>
      </c>
      <c r="E3748" s="20" t="inlineStr">
        <is>
          <t>HONDA</t>
        </is>
      </c>
      <c r="F3748" s="20" t="inlineStr">
        <is>
          <t>City</t>
        </is>
      </c>
      <c r="G3748" s="21" t="n">
        <v>2008</v>
      </c>
      <c r="H3748" s="22" t="n">
        <v>114431</v>
      </c>
      <c r="I3748" s="22" t="n">
        <v>94000</v>
      </c>
      <c r="J3748" s="20" t="inlineStr">
        <is>
          <t>VISHNU CARS PRIVATE LIMITED</t>
        </is>
      </c>
      <c r="K3748" s="20" t="inlineStr">
        <is>
          <t>Non-Captive</t>
        </is>
      </c>
      <c r="L3748" s="20" t="inlineStr">
        <is>
          <t>SANTHOSH CARS</t>
        </is>
      </c>
      <c r="M3748" s="23" t="n">
        <v>2542.37</v>
      </c>
    </row>
    <row r="3749">
      <c r="A3749" s="19" t="inlineStr">
        <is>
          <t>FY27</t>
        </is>
      </c>
      <c r="B3749" s="19" t="inlineStr">
        <is>
          <t>Aug</t>
        </is>
      </c>
      <c r="C3749" s="19" t="inlineStr">
        <is>
          <t>TN</t>
        </is>
      </c>
      <c r="D3749" s="20" t="inlineStr">
        <is>
          <t>TN46V7104</t>
        </is>
      </c>
      <c r="E3749" s="20" t="inlineStr">
        <is>
          <t>MARUTI SUZUKI</t>
        </is>
      </c>
      <c r="F3749" s="20" t="inlineStr">
        <is>
          <t>Alto 800</t>
        </is>
      </c>
      <c r="G3749" s="21" t="n">
        <v>2017</v>
      </c>
      <c r="H3749" s="22" t="n">
        <v>149941</v>
      </c>
      <c r="I3749" s="22" t="n">
        <v>92000</v>
      </c>
      <c r="J3749" s="20" t="inlineStr">
        <is>
          <t>PRODUCTIVITY ELEMENTS PRIVATE LIMITED</t>
        </is>
      </c>
      <c r="K3749" s="20" t="inlineStr">
        <is>
          <t>Non-Captive</t>
        </is>
      </c>
      <c r="L3749" s="20" t="inlineStr">
        <is>
          <t>Rithika cars</t>
        </is>
      </c>
      <c r="M3749" s="23" t="n">
        <v>2542.37</v>
      </c>
    </row>
    <row r="3750">
      <c r="A3750" s="19" t="inlineStr">
        <is>
          <t>FY27</t>
        </is>
      </c>
      <c r="B3750" s="19" t="inlineStr">
        <is>
          <t>Aug</t>
        </is>
      </c>
      <c r="C3750" s="19" t="inlineStr">
        <is>
          <t>TN</t>
        </is>
      </c>
      <c r="D3750" s="20" t="inlineStr">
        <is>
          <t>TN07CT0203</t>
        </is>
      </c>
      <c r="E3750" s="20" t="inlineStr">
        <is>
          <t>HYUNDAI</t>
        </is>
      </c>
      <c r="F3750" s="20" t="inlineStr">
        <is>
          <t>Grand I10</t>
        </is>
      </c>
      <c r="G3750" s="21" t="n">
        <v>2019</v>
      </c>
      <c r="H3750" s="22" t="n">
        <v>65755</v>
      </c>
      <c r="I3750" s="22" t="n">
        <v>99000</v>
      </c>
      <c r="J3750" s="20" t="inlineStr">
        <is>
          <t>PRODUCTIVITY ELEMENTS PRIVATE LIMITED</t>
        </is>
      </c>
      <c r="K3750" s="20" t="inlineStr">
        <is>
          <t>Non-Captive</t>
        </is>
      </c>
      <c r="L3750" s="20" t="inlineStr">
        <is>
          <t>PINE AUTOS</t>
        </is>
      </c>
      <c r="M3750" s="23" t="n">
        <v>2542.37</v>
      </c>
    </row>
    <row r="3751">
      <c r="A3751" s="19" t="inlineStr">
        <is>
          <t>FY27</t>
        </is>
      </c>
      <c r="B3751" s="19" t="inlineStr">
        <is>
          <t>Aug</t>
        </is>
      </c>
      <c r="C3751" s="19" t="inlineStr">
        <is>
          <t>TN</t>
        </is>
      </c>
      <c r="D3751" s="20" t="inlineStr">
        <is>
          <t>TN18BX1668</t>
        </is>
      </c>
      <c r="E3751" s="20" t="inlineStr">
        <is>
          <t>HYUNDAI</t>
        </is>
      </c>
      <c r="F3751" s="20" t="inlineStr">
        <is>
          <t>Verna</t>
        </is>
      </c>
      <c r="G3751" s="21" t="n">
        <v>2025</v>
      </c>
      <c r="H3751" s="22" t="n">
        <v>29074</v>
      </c>
      <c r="I3751" s="22" t="n">
        <v>89000</v>
      </c>
      <c r="J3751" s="20" t="inlineStr">
        <is>
          <t>PRODUCTIVITY ELEMENTS PRIVATE LIMITED</t>
        </is>
      </c>
      <c r="K3751" s="20" t="inlineStr">
        <is>
          <t>Non-Captive</t>
        </is>
      </c>
      <c r="L3751" s="20" t="inlineStr">
        <is>
          <t>PINE AUTOS</t>
        </is>
      </c>
      <c r="M3751" s="23" t="n">
        <v>2542.37</v>
      </c>
    </row>
    <row r="3752">
      <c r="A3752" s="19" t="inlineStr">
        <is>
          <t>FY27</t>
        </is>
      </c>
      <c r="B3752" s="19" t="inlineStr">
        <is>
          <t>Aug</t>
        </is>
      </c>
      <c r="C3752" s="19" t="inlineStr">
        <is>
          <t>TN</t>
        </is>
      </c>
      <c r="D3752" s="20" t="inlineStr">
        <is>
          <t>TN05CD4398</t>
        </is>
      </c>
      <c r="E3752" s="20" t="inlineStr">
        <is>
          <t>HYUNDAI</t>
        </is>
      </c>
      <c r="F3752" s="20" t="inlineStr">
        <is>
          <t>Grand I10 Nios</t>
        </is>
      </c>
      <c r="G3752" s="21" t="n">
        <v>2021</v>
      </c>
      <c r="H3752" s="22" t="n">
        <v>50063</v>
      </c>
      <c r="I3752" s="22" t="n">
        <v>79000</v>
      </c>
      <c r="J3752" s="20" t="inlineStr">
        <is>
          <t>SVM CARS PRIVATE LIMITED</t>
        </is>
      </c>
      <c r="K3752" s="20" t="inlineStr">
        <is>
          <t>Non-Captive</t>
        </is>
      </c>
      <c r="L3752" s="20" t="inlineStr">
        <is>
          <t>PINE AUTOS</t>
        </is>
      </c>
      <c r="M3752" s="23" t="n">
        <v>2542.37</v>
      </c>
    </row>
    <row r="3753">
      <c r="A3753" s="19" t="inlineStr">
        <is>
          <t>FY27</t>
        </is>
      </c>
      <c r="B3753" s="19" t="inlineStr">
        <is>
          <t>Aug</t>
        </is>
      </c>
      <c r="C3753" s="19" t="inlineStr">
        <is>
          <t>TN</t>
        </is>
      </c>
      <c r="D3753" s="20" t="inlineStr">
        <is>
          <t>TN10AV7134</t>
        </is>
      </c>
      <c r="E3753" s="20" t="inlineStr">
        <is>
          <t>HYUNDAI</t>
        </is>
      </c>
      <c r="F3753" s="20" t="inlineStr">
        <is>
          <t>I20</t>
        </is>
      </c>
      <c r="G3753" s="21" t="n">
        <v>2016</v>
      </c>
      <c r="H3753" s="22" t="n">
        <v>103091</v>
      </c>
      <c r="I3753" s="22" t="n">
        <v>92000</v>
      </c>
      <c r="J3753" s="20" t="inlineStr">
        <is>
          <t>Rajalakshmi Cars</t>
        </is>
      </c>
      <c r="K3753" s="20" t="inlineStr">
        <is>
          <t>Non-Captive</t>
        </is>
      </c>
      <c r="L3753" s="20" t="inlineStr">
        <is>
          <t>PINE AUTOS</t>
        </is>
      </c>
      <c r="M3753" s="23" t="n">
        <v>2542.37</v>
      </c>
    </row>
    <row r="3754">
      <c r="A3754" s="19" t="inlineStr">
        <is>
          <t>FY27</t>
        </is>
      </c>
      <c r="B3754" s="19" t="inlineStr">
        <is>
          <t>Aug</t>
        </is>
      </c>
      <c r="C3754" s="19" t="inlineStr">
        <is>
          <t>TN</t>
        </is>
      </c>
      <c r="D3754" s="20" t="inlineStr">
        <is>
          <t>TN01BD0515</t>
        </is>
      </c>
      <c r="E3754" s="20" t="inlineStr">
        <is>
          <t>RENAULT</t>
        </is>
      </c>
      <c r="F3754" s="20" t="inlineStr">
        <is>
          <t>Kwid</t>
        </is>
      </c>
      <c r="G3754" s="21" t="n">
        <v>2017</v>
      </c>
      <c r="H3754" s="22" t="n">
        <v>31961</v>
      </c>
      <c r="I3754" s="22" t="n">
        <v>99000</v>
      </c>
      <c r="J3754" s="20" t="inlineStr">
        <is>
          <t>Rajalakshmi Cars</t>
        </is>
      </c>
      <c r="K3754" s="20" t="inlineStr">
        <is>
          <t>Non-Captive</t>
        </is>
      </c>
      <c r="L3754" s="20" t="inlineStr">
        <is>
          <t>PINE AUTOS</t>
        </is>
      </c>
      <c r="M3754" s="23" t="n">
        <v>2542.37</v>
      </c>
    </row>
    <row r="3755">
      <c r="A3755" s="19" t="inlineStr">
        <is>
          <t>FY27</t>
        </is>
      </c>
      <c r="B3755" s="19" t="inlineStr">
        <is>
          <t>Aug</t>
        </is>
      </c>
      <c r="C3755" s="19" t="inlineStr">
        <is>
          <t>TN</t>
        </is>
      </c>
      <c r="D3755" s="20" t="inlineStr">
        <is>
          <t>TN39AD7080</t>
        </is>
      </c>
      <c r="E3755" s="20" t="inlineStr">
        <is>
          <t>HYUNDAI</t>
        </is>
      </c>
      <c r="F3755" s="20" t="inlineStr">
        <is>
          <t>Santro</t>
        </is>
      </c>
      <c r="G3755" s="21" t="n">
        <v>2005</v>
      </c>
      <c r="H3755" s="22" t="n">
        <v>71534</v>
      </c>
      <c r="I3755" s="22" t="n">
        <v>87000</v>
      </c>
      <c r="J3755" s="20" t="inlineStr">
        <is>
          <t>PRODUCTIVITY ELEMENTS PRIVATE LIMITED</t>
        </is>
      </c>
      <c r="K3755" s="20" t="inlineStr">
        <is>
          <t>Non-Captive</t>
        </is>
      </c>
      <c r="L3755" s="20" t="inlineStr">
        <is>
          <t>PINE AUTOS</t>
        </is>
      </c>
      <c r="M3755" s="23" t="n">
        <v>2542.37</v>
      </c>
    </row>
    <row r="3756">
      <c r="A3756" s="19" t="inlineStr">
        <is>
          <t>FY27</t>
        </is>
      </c>
      <c r="B3756" s="19" t="inlineStr">
        <is>
          <t>Aug</t>
        </is>
      </c>
      <c r="C3756" s="19" t="inlineStr">
        <is>
          <t>TN</t>
        </is>
      </c>
      <c r="D3756" s="20" t="inlineStr">
        <is>
          <t>TN12AF4001</t>
        </is>
      </c>
      <c r="E3756" s="20" t="inlineStr">
        <is>
          <t>MARUTI SUZUKI</t>
        </is>
      </c>
      <c r="F3756" s="20" t="inlineStr">
        <is>
          <t>Celerio</t>
        </is>
      </c>
      <c r="G3756" s="21" t="n">
        <v>2019</v>
      </c>
      <c r="H3756" s="22" t="n">
        <v>38226</v>
      </c>
      <c r="I3756" s="22" t="n">
        <v>85000</v>
      </c>
      <c r="J3756" s="20" t="inlineStr">
        <is>
          <t>Rajalakshmi Cars</t>
        </is>
      </c>
      <c r="K3756" s="20" t="inlineStr">
        <is>
          <t>Non-Captive</t>
        </is>
      </c>
      <c r="L3756" s="20" t="inlineStr">
        <is>
          <t>PINE AUTOS</t>
        </is>
      </c>
      <c r="M3756" s="23" t="n">
        <v>2542.37</v>
      </c>
    </row>
    <row r="3757">
      <c r="A3757" s="19" t="inlineStr">
        <is>
          <t>FY27</t>
        </is>
      </c>
      <c r="B3757" s="19" t="inlineStr">
        <is>
          <t>Aug</t>
        </is>
      </c>
      <c r="C3757" s="19" t="inlineStr">
        <is>
          <t>TN</t>
        </is>
      </c>
      <c r="D3757" s="20" t="inlineStr">
        <is>
          <t>TN20CT4506</t>
        </is>
      </c>
      <c r="E3757" s="20" t="inlineStr">
        <is>
          <t>MARUTI SUZUKI</t>
        </is>
      </c>
      <c r="F3757" s="20" t="inlineStr">
        <is>
          <t>Eeco</t>
        </is>
      </c>
      <c r="G3757" s="21" t="n">
        <v>2017</v>
      </c>
      <c r="H3757" s="22" t="n">
        <v>168219</v>
      </c>
      <c r="I3757" s="22" t="n">
        <v>99000</v>
      </c>
      <c r="J3757" s="20" t="inlineStr">
        <is>
          <t>CARS INDIA</t>
        </is>
      </c>
      <c r="K3757" s="20" t="inlineStr">
        <is>
          <t>Non-Captive</t>
        </is>
      </c>
      <c r="L3757" s="20" t="inlineStr">
        <is>
          <t>PINE AUTOS</t>
        </is>
      </c>
      <c r="M3757" s="23" t="n">
        <v>2542.37</v>
      </c>
    </row>
    <row r="3758">
      <c r="A3758" s="19" t="inlineStr">
        <is>
          <t>FY27</t>
        </is>
      </c>
      <c r="B3758" s="19" t="inlineStr">
        <is>
          <t>Aug</t>
        </is>
      </c>
      <c r="C3758" s="19" t="inlineStr">
        <is>
          <t>TN</t>
        </is>
      </c>
      <c r="D3758" s="20" t="inlineStr">
        <is>
          <t>TN09AX7389</t>
        </is>
      </c>
      <c r="E3758" s="20" t="inlineStr">
        <is>
          <t>HYUNDAI</t>
        </is>
      </c>
      <c r="F3758" s="20" t="inlineStr">
        <is>
          <t>I10</t>
        </is>
      </c>
      <c r="G3758" s="21" t="n">
        <v>2008</v>
      </c>
      <c r="H3758" s="22" t="n">
        <v>86506</v>
      </c>
      <c r="I3758" s="22" t="n">
        <v>88000</v>
      </c>
      <c r="J3758" s="20" t="inlineStr">
        <is>
          <t>STEER AUTO TECHNOLOGIES PRIVATE LIMITED</t>
        </is>
      </c>
      <c r="K3758" s="20" t="inlineStr">
        <is>
          <t>Non-Captive</t>
        </is>
      </c>
      <c r="L3758" s="20" t="inlineStr">
        <is>
          <t>PINE AUTOS</t>
        </is>
      </c>
      <c r="M3758" s="23" t="n">
        <v>2542.37</v>
      </c>
    </row>
    <row r="3759">
      <c r="A3759" s="19" t="inlineStr">
        <is>
          <t>FY27</t>
        </is>
      </c>
      <c r="B3759" s="19" t="inlineStr">
        <is>
          <t>Aug</t>
        </is>
      </c>
      <c r="C3759" s="19" t="inlineStr">
        <is>
          <t>TN</t>
        </is>
      </c>
      <c r="D3759" s="20" t="inlineStr">
        <is>
          <t>TN14C2640</t>
        </is>
      </c>
      <c r="E3759" s="20" t="inlineStr">
        <is>
          <t>FIAT</t>
        </is>
      </c>
      <c r="F3759" s="20" t="inlineStr">
        <is>
          <t>Grand Punto</t>
        </is>
      </c>
      <c r="G3759" s="21" t="n">
        <v>2015</v>
      </c>
      <c r="H3759" s="22" t="n">
        <v>122798</v>
      </c>
      <c r="I3759" s="22" t="n">
        <v>97000</v>
      </c>
      <c r="J3759" s="20" t="inlineStr">
        <is>
          <t>CASTLE TRADERS Maruti</t>
        </is>
      </c>
      <c r="K3759" s="20" t="inlineStr">
        <is>
          <t>Non-Captive</t>
        </is>
      </c>
      <c r="L3759" s="20" t="inlineStr">
        <is>
          <t>PINE AUTOS</t>
        </is>
      </c>
      <c r="M3759" s="23" t="n">
        <v>2542.37</v>
      </c>
    </row>
    <row r="3760">
      <c r="A3760" s="19" t="inlineStr">
        <is>
          <t>FY27</t>
        </is>
      </c>
      <c r="B3760" s="19" t="inlineStr">
        <is>
          <t>Aug</t>
        </is>
      </c>
      <c r="C3760" s="19" t="inlineStr">
        <is>
          <t>TN</t>
        </is>
      </c>
      <c r="D3760" s="20" t="inlineStr">
        <is>
          <t>TN04AM6900</t>
        </is>
      </c>
      <c r="E3760" s="20" t="inlineStr">
        <is>
          <t>HYUNDAI</t>
        </is>
      </c>
      <c r="F3760" s="20" t="inlineStr">
        <is>
          <t>Grand I10</t>
        </is>
      </c>
      <c r="G3760" s="21" t="n">
        <v>2014</v>
      </c>
      <c r="H3760" s="22" t="n">
        <v>40954</v>
      </c>
      <c r="I3760" s="22" t="n">
        <v>91000</v>
      </c>
      <c r="J3760" s="20" t="inlineStr">
        <is>
          <t>Cresco cars</t>
        </is>
      </c>
      <c r="K3760" s="20" t="inlineStr">
        <is>
          <t>Non-Captive</t>
        </is>
      </c>
      <c r="L3760" s="20" t="inlineStr">
        <is>
          <t>PINE AUTOS</t>
        </is>
      </c>
      <c r="M3760" s="23" t="n">
        <v>3389.83</v>
      </c>
    </row>
    <row r="3761">
      <c r="A3761" s="19" t="inlineStr">
        <is>
          <t>FY27</t>
        </is>
      </c>
      <c r="B3761" s="19" t="inlineStr">
        <is>
          <t>Aug</t>
        </is>
      </c>
      <c r="C3761" s="19" t="inlineStr">
        <is>
          <t>TN</t>
        </is>
      </c>
      <c r="D3761" s="20" t="inlineStr">
        <is>
          <t>TN09AS4984</t>
        </is>
      </c>
      <c r="E3761" s="20" t="inlineStr">
        <is>
          <t>HONDA</t>
        </is>
      </c>
      <c r="F3761" s="20" t="inlineStr">
        <is>
          <t>City</t>
        </is>
      </c>
      <c r="G3761" s="21" t="n">
        <v>2007</v>
      </c>
      <c r="H3761" s="22" t="n">
        <v>93634</v>
      </c>
      <c r="I3761" s="22" t="n">
        <v>96000</v>
      </c>
      <c r="J3761" s="20" t="inlineStr">
        <is>
          <t>VISHNU CARS PRIVATE LIMITED</t>
        </is>
      </c>
      <c r="K3761" s="20" t="inlineStr">
        <is>
          <t>Non-Captive</t>
        </is>
      </c>
      <c r="L3761" s="20" t="inlineStr">
        <is>
          <t>NIRMAL CARS</t>
        </is>
      </c>
      <c r="M3761" s="23" t="n">
        <v>2542.37</v>
      </c>
    </row>
    <row r="3762">
      <c r="A3762" s="19" t="inlineStr">
        <is>
          <t>FY27</t>
        </is>
      </c>
      <c r="B3762" s="19" t="inlineStr">
        <is>
          <t>Aug</t>
        </is>
      </c>
      <c r="C3762" s="19" t="inlineStr">
        <is>
          <t>TN</t>
        </is>
      </c>
      <c r="D3762" s="20" t="inlineStr">
        <is>
          <t>TN10BB5820</t>
        </is>
      </c>
      <c r="E3762" s="20" t="inlineStr">
        <is>
          <t>MARUTI SUZUKI</t>
        </is>
      </c>
      <c r="F3762" s="20" t="inlineStr">
        <is>
          <t>Dzire</t>
        </is>
      </c>
      <c r="G3762" s="21" t="n">
        <v>2017</v>
      </c>
      <c r="H3762" s="22" t="n">
        <v>55442</v>
      </c>
      <c r="I3762" s="22" t="n">
        <v>93000</v>
      </c>
      <c r="J3762" s="20" t="inlineStr">
        <is>
          <t>SVM CARS PRIVATE LIMITED</t>
        </is>
      </c>
      <c r="K3762" s="20" t="inlineStr">
        <is>
          <t>Non-Captive</t>
        </is>
      </c>
      <c r="L3762" s="20" t="inlineStr">
        <is>
          <t>PINE AUTOS</t>
        </is>
      </c>
      <c r="M3762" s="23" t="n">
        <v>2542.37</v>
      </c>
    </row>
    <row r="3763">
      <c r="A3763" s="19" t="inlineStr">
        <is>
          <t>FY27</t>
        </is>
      </c>
      <c r="B3763" s="19" t="inlineStr">
        <is>
          <t>Aug</t>
        </is>
      </c>
      <c r="C3763" s="19" t="inlineStr">
        <is>
          <t>TN</t>
        </is>
      </c>
      <c r="D3763" s="20" t="inlineStr">
        <is>
          <t>TN85Z3724</t>
        </is>
      </c>
      <c r="E3763" s="20" t="inlineStr">
        <is>
          <t>HYUNDAI</t>
        </is>
      </c>
      <c r="F3763" s="20" t="inlineStr">
        <is>
          <t>I10</t>
        </is>
      </c>
      <c r="G3763" s="21" t="n">
        <v>2026</v>
      </c>
      <c r="H3763" s="22" t="n">
        <v>8524</v>
      </c>
      <c r="I3763" s="22" t="n">
        <v>95000</v>
      </c>
      <c r="J3763" s="20" t="inlineStr">
        <is>
          <t>CASTLE TRADERS Maruti</t>
        </is>
      </c>
      <c r="K3763" s="20" t="inlineStr">
        <is>
          <t>Non-Captive</t>
        </is>
      </c>
      <c r="L3763" s="20" t="inlineStr">
        <is>
          <t>PINE AUTOS</t>
        </is>
      </c>
      <c r="M3763" s="23" t="n">
        <v>2542.37</v>
      </c>
    </row>
    <row r="3764">
      <c r="A3764" s="19" t="inlineStr">
        <is>
          <t>FY27</t>
        </is>
      </c>
      <c r="B3764" s="19" t="inlineStr">
        <is>
          <t>Aug</t>
        </is>
      </c>
      <c r="C3764" s="19" t="inlineStr">
        <is>
          <t>TN</t>
        </is>
      </c>
      <c r="D3764" s="20" t="inlineStr">
        <is>
          <t>TN01W4601</t>
        </is>
      </c>
      <c r="E3764" s="20" t="inlineStr">
        <is>
          <t>HYUNDAI</t>
        </is>
      </c>
      <c r="F3764" s="20" t="inlineStr">
        <is>
          <t>Santro</t>
        </is>
      </c>
      <c r="G3764" s="21" t="n">
        <v>2003</v>
      </c>
      <c r="H3764" s="22" t="n">
        <v>31742</v>
      </c>
      <c r="I3764" s="22" t="n">
        <v>94000</v>
      </c>
      <c r="J3764" s="20" t="inlineStr">
        <is>
          <t>VISHNU CARS PRIVATE LIMITED</t>
        </is>
      </c>
      <c r="K3764" s="20" t="inlineStr">
        <is>
          <t>Non-Captive</t>
        </is>
      </c>
      <c r="L3764" s="20" t="inlineStr">
        <is>
          <t>SANTHOSH CARS</t>
        </is>
      </c>
      <c r="M3764" s="23" t="n">
        <v>4237.29</v>
      </c>
    </row>
    <row r="3765">
      <c r="A3765" s="19" t="inlineStr">
        <is>
          <t>FY27</t>
        </is>
      </c>
      <c r="B3765" s="19" t="inlineStr">
        <is>
          <t>Aug</t>
        </is>
      </c>
      <c r="C3765" s="19" t="inlineStr">
        <is>
          <t>TN</t>
        </is>
      </c>
      <c r="D3765" s="20" t="inlineStr">
        <is>
          <t>TN02BS5601</t>
        </is>
      </c>
      <c r="E3765" s="20" t="inlineStr">
        <is>
          <t>KIA</t>
        </is>
      </c>
      <c r="F3765" s="20" t="inlineStr">
        <is>
          <t>Seltos</t>
        </is>
      </c>
      <c r="G3765" s="21" t="n">
        <v>2020</v>
      </c>
      <c r="H3765" s="22" t="n">
        <v>70798</v>
      </c>
      <c r="I3765" s="22" t="n">
        <v>98000</v>
      </c>
      <c r="J3765" s="20" t="inlineStr">
        <is>
          <t>CARS INDIA</t>
        </is>
      </c>
      <c r="K3765" s="20" t="inlineStr">
        <is>
          <t>Non-Captive</t>
        </is>
      </c>
      <c r="L3765" s="20" t="inlineStr">
        <is>
          <t>Value Drive Tech</t>
        </is>
      </c>
      <c r="M3765" s="23" t="n">
        <v>4237.29</v>
      </c>
    </row>
    <row r="3766">
      <c r="A3766" s="19" t="inlineStr">
        <is>
          <t>FY27</t>
        </is>
      </c>
      <c r="B3766" s="19" t="inlineStr">
        <is>
          <t>Aug</t>
        </is>
      </c>
      <c r="C3766" s="19" t="inlineStr">
        <is>
          <t>TN</t>
        </is>
      </c>
      <c r="D3766" s="20" t="inlineStr">
        <is>
          <t>TN13AA9285</t>
        </is>
      </c>
      <c r="E3766" s="20" t="inlineStr">
        <is>
          <t>MARUTI SUZUKI</t>
        </is>
      </c>
      <c r="F3766" s="20" t="inlineStr">
        <is>
          <t>Swift</t>
        </is>
      </c>
      <c r="G3766" s="21" t="n">
        <v>2023</v>
      </c>
      <c r="H3766" s="22" t="n">
        <v>11687</v>
      </c>
      <c r="I3766" s="22" t="n">
        <v>95000</v>
      </c>
      <c r="J3766" s="20" t="inlineStr">
        <is>
          <t>AIE CARS PRIVATE LIMITED</t>
        </is>
      </c>
      <c r="K3766" s="20" t="inlineStr">
        <is>
          <t>Non-Captive</t>
        </is>
      </c>
      <c r="L3766" s="20" t="inlineStr">
        <is>
          <t>NIRMAL CARS</t>
        </is>
      </c>
      <c r="M3766" s="23" t="n">
        <v>2542.37</v>
      </c>
    </row>
    <row r="3767">
      <c r="A3767" s="19" t="inlineStr">
        <is>
          <t>FY27</t>
        </is>
      </c>
      <c r="B3767" s="19" t="inlineStr">
        <is>
          <t>Aug</t>
        </is>
      </c>
      <c r="C3767" s="19" t="inlineStr">
        <is>
          <t>TN</t>
        </is>
      </c>
      <c r="D3767" s="20" t="inlineStr">
        <is>
          <t>TN05CF6338</t>
        </is>
      </c>
      <c r="E3767" s="20" t="inlineStr">
        <is>
          <t>HYUNDAI</t>
        </is>
      </c>
      <c r="F3767" s="20" t="inlineStr">
        <is>
          <t>Grand I10 Nios</t>
        </is>
      </c>
      <c r="G3767" s="21" t="n">
        <v>2022</v>
      </c>
      <c r="H3767" s="22" t="n">
        <v>37017</v>
      </c>
      <c r="I3767" s="22" t="n">
        <v>89000</v>
      </c>
      <c r="J3767" s="20" t="inlineStr">
        <is>
          <t>Cresco cars</t>
        </is>
      </c>
      <c r="K3767" s="20" t="inlineStr">
        <is>
          <t>Non-Captive</t>
        </is>
      </c>
      <c r="L3767" s="20" t="inlineStr">
        <is>
          <t>Value Drive Tech</t>
        </is>
      </c>
      <c r="M3767" s="23" t="n">
        <v>2542.37</v>
      </c>
    </row>
    <row r="3768">
      <c r="A3768" s="19" t="inlineStr">
        <is>
          <t>FY27</t>
        </is>
      </c>
      <c r="B3768" s="19" t="inlineStr">
        <is>
          <t>Aug</t>
        </is>
      </c>
      <c r="C3768" s="19" t="inlineStr">
        <is>
          <t>TN</t>
        </is>
      </c>
      <c r="D3768" s="20" t="inlineStr">
        <is>
          <t>TN02AT6766</t>
        </is>
      </c>
      <c r="E3768" s="20" t="inlineStr">
        <is>
          <t>MAHINDRA</t>
        </is>
      </c>
      <c r="F3768" s="20" t="inlineStr">
        <is>
          <t>Scorpio</t>
        </is>
      </c>
      <c r="G3768" s="21" t="n">
        <v>2012</v>
      </c>
      <c r="H3768" s="22" t="n">
        <v>164757</v>
      </c>
      <c r="I3768" s="22" t="n">
        <v>96000</v>
      </c>
      <c r="J3768" s="20" t="inlineStr">
        <is>
          <t>AIE CARS PRIVATE LIMITED</t>
        </is>
      </c>
      <c r="K3768" s="20" t="inlineStr">
        <is>
          <t>Non-Captive</t>
        </is>
      </c>
      <c r="L3768" s="20" t="inlineStr">
        <is>
          <t>NIRMAL CARS</t>
        </is>
      </c>
      <c r="M3768" s="23" t="n">
        <v>2542.37</v>
      </c>
    </row>
    <row r="3769">
      <c r="A3769" s="19" t="inlineStr">
        <is>
          <t>FY27</t>
        </is>
      </c>
      <c r="B3769" s="19" t="inlineStr">
        <is>
          <t>Aug</t>
        </is>
      </c>
      <c r="C3769" s="19" t="inlineStr">
        <is>
          <t>TN</t>
        </is>
      </c>
      <c r="D3769" s="20" t="inlineStr">
        <is>
          <t>TN125649</t>
        </is>
      </c>
      <c r="E3769" s="20" t="inlineStr">
        <is>
          <t>NISSAN</t>
        </is>
      </c>
      <c r="F3769" s="20" t="inlineStr">
        <is>
          <t>Micra</t>
        </is>
      </c>
      <c r="G3769" s="21" t="n">
        <v>2013</v>
      </c>
      <c r="H3769" s="22" t="n">
        <v>77195</v>
      </c>
      <c r="I3769" s="22" t="n">
        <v>99000</v>
      </c>
      <c r="J3769" s="20" t="inlineStr">
        <is>
          <t>AIE CARS PRIVATE LIMITED</t>
        </is>
      </c>
      <c r="K3769" s="20" t="inlineStr">
        <is>
          <t>Non-Captive</t>
        </is>
      </c>
      <c r="L3769" s="20" t="inlineStr">
        <is>
          <t>NIRMAL CARS</t>
        </is>
      </c>
      <c r="M3769" s="23" t="n">
        <v>2542.37</v>
      </c>
    </row>
    <row r="3770">
      <c r="A3770" s="19" t="inlineStr">
        <is>
          <t>FY27</t>
        </is>
      </c>
      <c r="B3770" s="19" t="inlineStr">
        <is>
          <t>Aug</t>
        </is>
      </c>
      <c r="C3770" s="19" t="inlineStr">
        <is>
          <t>TN</t>
        </is>
      </c>
      <c r="D3770" s="20" t="inlineStr">
        <is>
          <t>TN01BM4119</t>
        </is>
      </c>
      <c r="E3770" s="20" t="inlineStr">
        <is>
          <t>TATA</t>
        </is>
      </c>
      <c r="F3770" s="20" t="inlineStr">
        <is>
          <t>Nexon</t>
        </is>
      </c>
      <c r="G3770" s="21" t="n">
        <v>2021</v>
      </c>
      <c r="H3770" s="22" t="n">
        <v>32324</v>
      </c>
      <c r="I3770" s="22" t="n">
        <v>97000</v>
      </c>
      <c r="J3770" s="20" t="inlineStr">
        <is>
          <t>AIE CARS PRIVATE LIMITED</t>
        </is>
      </c>
      <c r="K3770" s="20" t="inlineStr">
        <is>
          <t>Non-Captive</t>
        </is>
      </c>
      <c r="L3770" s="20" t="inlineStr">
        <is>
          <t>NIRMAL CARS</t>
        </is>
      </c>
      <c r="M3770" s="23" t="n">
        <v>2542.37</v>
      </c>
    </row>
    <row r="3771">
      <c r="A3771" s="19" t="inlineStr">
        <is>
          <t>FY27</t>
        </is>
      </c>
      <c r="B3771" s="19" t="inlineStr">
        <is>
          <t>Aug</t>
        </is>
      </c>
      <c r="C3771" s="19" t="inlineStr">
        <is>
          <t>TN</t>
        </is>
      </c>
      <c r="D3771" s="20" t="inlineStr">
        <is>
          <t>TN07AQ3241</t>
        </is>
      </c>
      <c r="E3771" s="20" t="inlineStr">
        <is>
          <t>FORD</t>
        </is>
      </c>
      <c r="F3771" s="20" t="inlineStr">
        <is>
          <t>Fiesta</t>
        </is>
      </c>
      <c r="G3771" s="21" t="n">
        <v>2007</v>
      </c>
      <c r="H3771" s="22" t="n">
        <v>106942</v>
      </c>
      <c r="I3771" s="22" t="n">
        <v>92000</v>
      </c>
      <c r="J3771" s="20" t="inlineStr">
        <is>
          <t>AIE CARS PRIVATE LIMITED</t>
        </is>
      </c>
      <c r="K3771" s="20" t="inlineStr">
        <is>
          <t>Non-Captive</t>
        </is>
      </c>
      <c r="L3771" s="20" t="inlineStr">
        <is>
          <t>NIRMAL CARS</t>
        </is>
      </c>
      <c r="M3771" s="23" t="n">
        <v>2542.37</v>
      </c>
    </row>
    <row r="3772">
      <c r="A3772" s="19" t="inlineStr">
        <is>
          <t>FY27</t>
        </is>
      </c>
      <c r="B3772" s="19" t="inlineStr">
        <is>
          <t>Aug</t>
        </is>
      </c>
      <c r="C3772" s="19" t="inlineStr">
        <is>
          <t>TN</t>
        </is>
      </c>
      <c r="D3772" s="20" t="inlineStr">
        <is>
          <t>TN02BP4330</t>
        </is>
      </c>
      <c r="E3772" s="20" t="inlineStr">
        <is>
          <t>MARUTI SUZUKI</t>
        </is>
      </c>
      <c r="F3772" s="20" t="inlineStr">
        <is>
          <t>Swift</t>
        </is>
      </c>
      <c r="G3772" s="21" t="n">
        <v>2018</v>
      </c>
      <c r="H3772" s="22" t="n">
        <v>64564</v>
      </c>
      <c r="I3772" s="22" t="n">
        <v>89000</v>
      </c>
      <c r="J3772" s="20" t="inlineStr">
        <is>
          <t>AIE CARS PRIVATE LIMITED</t>
        </is>
      </c>
      <c r="K3772" s="20" t="inlineStr">
        <is>
          <t>Non-Captive</t>
        </is>
      </c>
      <c r="L3772" s="20" t="inlineStr">
        <is>
          <t>NIRMAL CARS</t>
        </is>
      </c>
      <c r="M3772" s="23" t="n">
        <v>2542.37</v>
      </c>
    </row>
    <row r="3773">
      <c r="A3773" s="19" t="inlineStr">
        <is>
          <t>FY27</t>
        </is>
      </c>
      <c r="B3773" s="19" t="inlineStr">
        <is>
          <t>Aug</t>
        </is>
      </c>
      <c r="C3773" s="19" t="inlineStr">
        <is>
          <t>TN</t>
        </is>
      </c>
      <c r="D3773" s="20" t="inlineStr">
        <is>
          <t>TN18Y3206</t>
        </is>
      </c>
      <c r="E3773" s="20" t="inlineStr">
        <is>
          <t>MARUTI SUZUKI</t>
        </is>
      </c>
      <c r="F3773" s="20" t="inlineStr">
        <is>
          <t>Swift</t>
        </is>
      </c>
      <c r="G3773" s="21" t="n">
        <v>2011</v>
      </c>
      <c r="H3773" s="22" t="n">
        <v>98564</v>
      </c>
      <c r="I3773" s="22" t="n">
        <v>87000</v>
      </c>
      <c r="J3773" s="20" t="inlineStr">
        <is>
          <t>AIE CARS PRIVATE LIMITED</t>
        </is>
      </c>
      <c r="K3773" s="20" t="inlineStr">
        <is>
          <t>Non-Captive</t>
        </is>
      </c>
      <c r="L3773" s="20" t="inlineStr">
        <is>
          <t>NIRMAL CARS</t>
        </is>
      </c>
      <c r="M3773" s="23" t="n">
        <v>2542.37</v>
      </c>
    </row>
    <row r="3774">
      <c r="A3774" s="19" t="inlineStr">
        <is>
          <t>FY27</t>
        </is>
      </c>
      <c r="B3774" s="19" t="inlineStr">
        <is>
          <t>Aug</t>
        </is>
      </c>
      <c r="C3774" s="19" t="inlineStr">
        <is>
          <t>TN</t>
        </is>
      </c>
      <c r="D3774" s="20" t="inlineStr">
        <is>
          <t>TN12AK3471</t>
        </is>
      </c>
      <c r="E3774" s="20" t="inlineStr">
        <is>
          <t>HYUNDAI</t>
        </is>
      </c>
      <c r="F3774" s="20" t="inlineStr">
        <is>
          <t>Venue</t>
        </is>
      </c>
      <c r="G3774" s="21" t="n">
        <v>2020</v>
      </c>
      <c r="H3774" s="22" t="n">
        <v>52041</v>
      </c>
      <c r="I3774" s="22" t="n">
        <v>99000</v>
      </c>
      <c r="J3774" s="20" t="inlineStr">
        <is>
          <t>AIE CARS PRIVATE LIMITED</t>
        </is>
      </c>
      <c r="K3774" s="20" t="inlineStr">
        <is>
          <t>Non-Captive</t>
        </is>
      </c>
      <c r="L3774" s="20" t="inlineStr">
        <is>
          <t>NIRMAL CARS</t>
        </is>
      </c>
      <c r="M3774" s="23" t="n">
        <v>2542.37</v>
      </c>
    </row>
    <row r="3775">
      <c r="A3775" s="19" t="inlineStr">
        <is>
          <t>FY27</t>
        </is>
      </c>
      <c r="B3775" s="19" t="inlineStr">
        <is>
          <t>Aug</t>
        </is>
      </c>
      <c r="C3775" s="19" t="inlineStr">
        <is>
          <t>TN</t>
        </is>
      </c>
      <c r="D3775" s="20" t="inlineStr">
        <is>
          <t>TN02CB3942</t>
        </is>
      </c>
      <c r="E3775" s="20" t="inlineStr">
        <is>
          <t>NISSAN</t>
        </is>
      </c>
      <c r="F3775" s="20" t="inlineStr">
        <is>
          <t>Magnite</t>
        </is>
      </c>
      <c r="G3775" s="21" t="n">
        <v>2024</v>
      </c>
      <c r="H3775" s="22" t="n">
        <v>27071</v>
      </c>
      <c r="I3775" s="22" t="n">
        <v>96000</v>
      </c>
      <c r="J3775" s="20" t="inlineStr">
        <is>
          <t>AIE CARS PRIVATE LIMITED</t>
        </is>
      </c>
      <c r="K3775" s="20" t="inlineStr">
        <is>
          <t>Non-Captive</t>
        </is>
      </c>
      <c r="L3775" s="20" t="inlineStr">
        <is>
          <t>NIRMAL CARS</t>
        </is>
      </c>
      <c r="M3775" s="23" t="n">
        <v>2542.37</v>
      </c>
    </row>
    <row r="3776">
      <c r="A3776" s="19" t="inlineStr">
        <is>
          <t>FY27</t>
        </is>
      </c>
      <c r="B3776" s="19" t="inlineStr">
        <is>
          <t>Aug</t>
        </is>
      </c>
      <c r="C3776" s="19" t="inlineStr">
        <is>
          <t>TN</t>
        </is>
      </c>
      <c r="D3776" s="20" t="inlineStr">
        <is>
          <t>KL02CA8787</t>
        </is>
      </c>
      <c r="E3776" s="20" t="inlineStr">
        <is>
          <t>MARUTI SUZUKI</t>
        </is>
      </c>
      <c r="F3776" s="20" t="inlineStr">
        <is>
          <t>Swift</t>
        </is>
      </c>
      <c r="G3776" s="21" t="n"/>
      <c r="H3776" s="22" t="n"/>
      <c r="I3776" s="22" t="n">
        <v>170000</v>
      </c>
      <c r="J3776" s="20" t="inlineStr"/>
      <c r="K3776" s="20" t="inlineStr">
        <is>
          <t>Non-Captive</t>
        </is>
      </c>
      <c r="L3776" s="20" t="inlineStr">
        <is>
          <t>SHAMNAD AH</t>
        </is>
      </c>
      <c r="M3776" s="23" t="n">
        <v>8474.58</v>
      </c>
    </row>
    <row r="3777">
      <c r="A3777" s="19" t="inlineStr">
        <is>
          <t>FY27</t>
        </is>
      </c>
      <c r="B3777" s="19" t="inlineStr">
        <is>
          <t>Aug</t>
        </is>
      </c>
      <c r="C3777" s="19" t="inlineStr">
        <is>
          <t>TN</t>
        </is>
      </c>
      <c r="D3777" s="20" t="inlineStr">
        <is>
          <t>KL22S4556</t>
        </is>
      </c>
      <c r="E3777" s="20" t="inlineStr">
        <is>
          <t>MARUTI SUZUKI</t>
        </is>
      </c>
      <c r="F3777" s="20" t="inlineStr">
        <is>
          <t>Swift</t>
        </is>
      </c>
      <c r="G3777" s="21" t="n"/>
      <c r="H3777" s="22" t="n"/>
      <c r="I3777" s="22" t="n">
        <v>170000</v>
      </c>
      <c r="J3777" s="20" t="inlineStr"/>
      <c r="K3777" s="20" t="inlineStr">
        <is>
          <t>Non-Captive</t>
        </is>
      </c>
      <c r="L3777" s="20" t="inlineStr">
        <is>
          <t>POPULAR KOTTAYAM</t>
        </is>
      </c>
      <c r="M3777" s="23" t="n">
        <v>5000</v>
      </c>
    </row>
    <row r="3778">
      <c r="A3778" s="19" t="inlineStr">
        <is>
          <t>FY27</t>
        </is>
      </c>
      <c r="B3778" s="19" t="inlineStr">
        <is>
          <t>Aug</t>
        </is>
      </c>
      <c r="C3778" s="19" t="inlineStr">
        <is>
          <t>TN</t>
        </is>
      </c>
      <c r="D3778" s="20" t="inlineStr">
        <is>
          <t>KL20L3040</t>
        </is>
      </c>
      <c r="E3778" s="20" t="inlineStr">
        <is>
          <t>MARUTI SUZUKI</t>
        </is>
      </c>
      <c r="F3778" s="20" t="inlineStr">
        <is>
          <t>Baleno</t>
        </is>
      </c>
      <c r="G3778" s="21" t="n"/>
      <c r="H3778" s="22" t="n"/>
      <c r="I3778" s="22" t="n">
        <v>180000</v>
      </c>
      <c r="J3778" s="20" t="inlineStr"/>
      <c r="K3778" s="20" t="inlineStr">
        <is>
          <t>Non-Captive</t>
        </is>
      </c>
      <c r="L3778" s="20" t="inlineStr">
        <is>
          <t>POPULAR KOTTAYAM</t>
        </is>
      </c>
      <c r="M3778" s="23" t="n">
        <v>5000</v>
      </c>
    </row>
    <row r="3779">
      <c r="A3779" s="19" t="inlineStr">
        <is>
          <t>FY27</t>
        </is>
      </c>
      <c r="B3779" s="19" t="inlineStr">
        <is>
          <t>Aug</t>
        </is>
      </c>
      <c r="C3779" s="19" t="inlineStr">
        <is>
          <t>TN</t>
        </is>
      </c>
      <c r="D3779" s="20" t="inlineStr">
        <is>
          <t>KL21P9573</t>
        </is>
      </c>
      <c r="E3779" s="20" t="inlineStr">
        <is>
          <t>MARUTI SUZUKI</t>
        </is>
      </c>
      <c r="F3779" s="20" t="inlineStr">
        <is>
          <t>Swift</t>
        </is>
      </c>
      <c r="G3779" s="21" t="n"/>
      <c r="H3779" s="22" t="n"/>
      <c r="I3779" s="22" t="n">
        <v>180000</v>
      </c>
      <c r="J3779" s="20" t="inlineStr"/>
      <c r="K3779" s="20" t="inlineStr">
        <is>
          <t>Non-Captive</t>
        </is>
      </c>
      <c r="L3779" s="20" t="inlineStr">
        <is>
          <t>POPULAR ALLEPPY</t>
        </is>
      </c>
      <c r="M3779" s="23" t="n">
        <v>5000</v>
      </c>
    </row>
    <row r="3780">
      <c r="A3780" s="19" t="inlineStr">
        <is>
          <t>FY27</t>
        </is>
      </c>
      <c r="B3780" s="19" t="inlineStr">
        <is>
          <t>Aug</t>
        </is>
      </c>
      <c r="C3780" s="19" t="inlineStr">
        <is>
          <t>TN</t>
        </is>
      </c>
      <c r="D3780" s="20" t="inlineStr">
        <is>
          <t>KL02AU7723</t>
        </is>
      </c>
      <c r="E3780" s="20" t="inlineStr">
        <is>
          <t>MARUTI SUZUKI</t>
        </is>
      </c>
      <c r="F3780" s="20" t="inlineStr">
        <is>
          <t>Wagonr</t>
        </is>
      </c>
      <c r="G3780" s="21" t="n"/>
      <c r="H3780" s="22" t="n"/>
      <c r="I3780" s="22" t="n">
        <v>135000</v>
      </c>
      <c r="J3780" s="20" t="inlineStr"/>
      <c r="K3780" s="20" t="inlineStr">
        <is>
          <t>Non-Captive</t>
        </is>
      </c>
      <c r="L3780" s="20" t="inlineStr">
        <is>
          <t>POPULAR THRISSUR</t>
        </is>
      </c>
      <c r="M3780" s="23" t="n">
        <v>5000</v>
      </c>
    </row>
    <row r="3781">
      <c r="A3781" s="19" t="inlineStr">
        <is>
          <t>FY27</t>
        </is>
      </c>
      <c r="B3781" s="19" t="inlineStr">
        <is>
          <t>Aug</t>
        </is>
      </c>
      <c r="C3781" s="19" t="inlineStr">
        <is>
          <t>TN</t>
        </is>
      </c>
      <c r="D3781" s="20" t="inlineStr">
        <is>
          <t>KL81A9496</t>
        </is>
      </c>
      <c r="E3781" s="20" t="inlineStr">
        <is>
          <t>MARUTI SUZUKI</t>
        </is>
      </c>
      <c r="F3781" s="20" t="inlineStr">
        <is>
          <t>Celerio</t>
        </is>
      </c>
      <c r="G3781" s="21" t="n"/>
      <c r="H3781" s="22" t="n"/>
      <c r="I3781" s="22" t="n">
        <v>140000</v>
      </c>
      <c r="J3781" s="20" t="inlineStr"/>
      <c r="K3781" s="20" t="inlineStr">
        <is>
          <t>Non-Captive</t>
        </is>
      </c>
      <c r="L3781" s="20" t="inlineStr">
        <is>
          <t>POPULAR THRISSUR</t>
        </is>
      </c>
      <c r="M3781" s="23" t="n">
        <v>5000</v>
      </c>
    </row>
    <row r="3782">
      <c r="A3782" s="19" t="inlineStr">
        <is>
          <t>FY27</t>
        </is>
      </c>
      <c r="B3782" s="19" t="inlineStr">
        <is>
          <t>Aug</t>
        </is>
      </c>
      <c r="C3782" s="19" t="inlineStr">
        <is>
          <t>TN</t>
        </is>
      </c>
      <c r="D3782" s="20" t="inlineStr">
        <is>
          <t>TN38BQ6154</t>
        </is>
      </c>
      <c r="E3782" s="20" t="inlineStr">
        <is>
          <t>TATA</t>
        </is>
      </c>
      <c r="F3782" s="20" t="inlineStr">
        <is>
          <t>Indica</t>
        </is>
      </c>
      <c r="G3782" s="21" t="n">
        <v>2012</v>
      </c>
      <c r="H3782" s="22" t="n">
        <v>176566</v>
      </c>
      <c r="I3782" s="22" t="n">
        <v>115000</v>
      </c>
      <c r="J3782" s="20" t="inlineStr">
        <is>
          <t>AADHI CARS PRIVATE LIMITED</t>
        </is>
      </c>
      <c r="K3782" s="20" t="inlineStr">
        <is>
          <t>Non-Captive</t>
        </is>
      </c>
      <c r="L3782" s="20" t="inlineStr">
        <is>
          <t>SRI RAJA KANAPATHY CARS</t>
        </is>
      </c>
      <c r="M3782" s="23" t="n">
        <v>4237.29</v>
      </c>
    </row>
    <row r="3783">
      <c r="A3783" s="19" t="inlineStr">
        <is>
          <t>FY27</t>
        </is>
      </c>
      <c r="B3783" s="19" t="inlineStr">
        <is>
          <t>Aug</t>
        </is>
      </c>
      <c r="C3783" s="19" t="inlineStr">
        <is>
          <t>TN</t>
        </is>
      </c>
      <c r="D3783" s="20" t="inlineStr">
        <is>
          <t>TN60AF1568</t>
        </is>
      </c>
      <c r="E3783" s="20" t="inlineStr">
        <is>
          <t>DATSUN</t>
        </is>
      </c>
      <c r="F3783" s="20" t="inlineStr">
        <is>
          <t>Redi-Go</t>
        </is>
      </c>
      <c r="G3783" s="21" t="n">
        <v>2019</v>
      </c>
      <c r="H3783" s="22" t="n">
        <v>34801</v>
      </c>
      <c r="I3783" s="22" t="n">
        <v>168000</v>
      </c>
      <c r="J3783" s="20" t="inlineStr">
        <is>
          <t>EXCHANGE ROTN</t>
        </is>
      </c>
      <c r="K3783" s="20" t="inlineStr">
        <is>
          <t>Captive</t>
        </is>
      </c>
      <c r="L3783" s="20" t="inlineStr">
        <is>
          <t>BALAJI CARS (THENI)</t>
        </is>
      </c>
      <c r="M3783" s="23" t="n">
        <v>10169.49</v>
      </c>
    </row>
    <row r="3784">
      <c r="A3784" s="19" t="inlineStr">
        <is>
          <t>FY27</t>
        </is>
      </c>
      <c r="B3784" s="19" t="inlineStr">
        <is>
          <t>Aug</t>
        </is>
      </c>
      <c r="C3784" s="19" t="inlineStr">
        <is>
          <t>TN</t>
        </is>
      </c>
      <c r="D3784" s="20" t="inlineStr">
        <is>
          <t>KL01R8228</t>
        </is>
      </c>
      <c r="E3784" s="20" t="inlineStr">
        <is>
          <t>nan</t>
        </is>
      </c>
      <c r="F3784" s="20" t="inlineStr">
        <is>
          <t>nan</t>
        </is>
      </c>
      <c r="G3784" s="21" t="n"/>
      <c r="H3784" s="22" t="n"/>
      <c r="I3784" s="22" t="n">
        <v>15000</v>
      </c>
      <c r="J3784" s="20" t="inlineStr"/>
      <c r="K3784" s="20" t="inlineStr">
        <is>
          <t>Non-Captive</t>
        </is>
      </c>
      <c r="L3784" s="20" t="inlineStr">
        <is>
          <t>SIVASHANKAR CARS</t>
        </is>
      </c>
      <c r="M3784" s="23" t="n">
        <v>4237.29</v>
      </c>
    </row>
    <row r="3785">
      <c r="A3785" s="19" t="inlineStr">
        <is>
          <t>FY27</t>
        </is>
      </c>
      <c r="B3785" s="19" t="inlineStr">
        <is>
          <t>Aug</t>
        </is>
      </c>
      <c r="C3785" s="19" t="inlineStr">
        <is>
          <t>TN</t>
        </is>
      </c>
      <c r="D3785" s="20" t="inlineStr">
        <is>
          <t>TN38AQ2592</t>
        </is>
      </c>
      <c r="E3785" s="20" t="inlineStr">
        <is>
          <t>MARUTI SUZUKI</t>
        </is>
      </c>
      <c r="F3785" s="20" t="inlineStr">
        <is>
          <t>800</t>
        </is>
      </c>
      <c r="G3785" s="21" t="n">
        <v>2007</v>
      </c>
      <c r="H3785" s="22" t="n">
        <v>87349</v>
      </c>
      <c r="I3785" s="22" t="n">
        <v>70000</v>
      </c>
      <c r="J3785" s="20" t="inlineStr">
        <is>
          <t>EXCHANGE ROTN</t>
        </is>
      </c>
      <c r="K3785" s="20" t="inlineStr">
        <is>
          <t>Captive</t>
        </is>
      </c>
      <c r="L3785" s="20" t="inlineStr">
        <is>
          <t>SAKARAPANI AUTO CONSULTING</t>
        </is>
      </c>
      <c r="M3785" s="23" t="n">
        <v>4237.29</v>
      </c>
    </row>
    <row r="3786">
      <c r="A3786" s="19" t="inlineStr">
        <is>
          <t>FY27</t>
        </is>
      </c>
      <c r="B3786" s="19" t="inlineStr">
        <is>
          <t>Aug</t>
        </is>
      </c>
      <c r="C3786" s="19" t="inlineStr">
        <is>
          <t>TN</t>
        </is>
      </c>
      <c r="D3786" s="20" t="inlineStr">
        <is>
          <t>TN36U2410</t>
        </is>
      </c>
      <c r="E3786" s="20" t="inlineStr">
        <is>
          <t>MARUTI SUZUKI</t>
        </is>
      </c>
      <c r="F3786" s="20" t="inlineStr">
        <is>
          <t>Alto</t>
        </is>
      </c>
      <c r="G3786" s="21" t="n">
        <v>2009</v>
      </c>
      <c r="H3786" s="22" t="n">
        <v>281351</v>
      </c>
      <c r="I3786" s="22" t="n">
        <v>160000</v>
      </c>
      <c r="J3786" s="20" t="inlineStr">
        <is>
          <t>EXCHANGE ROTN</t>
        </is>
      </c>
      <c r="K3786" s="20" t="inlineStr">
        <is>
          <t>Captive</t>
        </is>
      </c>
      <c r="L3786" s="20" t="inlineStr">
        <is>
          <t>SRI MURUGAN CARS</t>
        </is>
      </c>
      <c r="M3786" s="23" t="n">
        <v>5084.75</v>
      </c>
    </row>
    <row r="3787">
      <c r="A3787" s="19" t="inlineStr">
        <is>
          <t>FY27</t>
        </is>
      </c>
      <c r="B3787" s="19" t="inlineStr">
        <is>
          <t>Aug</t>
        </is>
      </c>
      <c r="C3787" s="19" t="inlineStr">
        <is>
          <t>TN</t>
        </is>
      </c>
      <c r="D3787" s="20" t="inlineStr">
        <is>
          <t>TN30BW6621</t>
        </is>
      </c>
      <c r="E3787" s="20" t="inlineStr">
        <is>
          <t>TOYOTA</t>
        </is>
      </c>
      <c r="F3787" s="20" t="inlineStr">
        <is>
          <t>Etios</t>
        </is>
      </c>
      <c r="G3787" s="21" t="n">
        <v>2016</v>
      </c>
      <c r="H3787" s="22" t="n">
        <v>140304</v>
      </c>
      <c r="I3787" s="22" t="n">
        <v>495000</v>
      </c>
      <c r="J3787" s="20" t="inlineStr">
        <is>
          <t>EXCHANGE ROTN</t>
        </is>
      </c>
      <c r="K3787" s="20" t="inlineStr">
        <is>
          <t>Captive</t>
        </is>
      </c>
      <c r="L3787" s="20" t="inlineStr">
        <is>
          <t>STALIN CARS</t>
        </is>
      </c>
      <c r="M3787" s="23" t="n">
        <v>12711.86</v>
      </c>
    </row>
    <row r="3788">
      <c r="A3788" s="19" t="inlineStr">
        <is>
          <t>FY27</t>
        </is>
      </c>
      <c r="B3788" s="19" t="inlineStr">
        <is>
          <t>Aug</t>
        </is>
      </c>
      <c r="C3788" s="19" t="inlineStr">
        <is>
          <t>TN</t>
        </is>
      </c>
      <c r="D3788" s="20" t="inlineStr">
        <is>
          <t>TN67BM3460</t>
        </is>
      </c>
      <c r="E3788" s="20" t="inlineStr">
        <is>
          <t>TATA</t>
        </is>
      </c>
      <c r="F3788" s="20" t="inlineStr">
        <is>
          <t>Tiago</t>
        </is>
      </c>
      <c r="G3788" s="21" t="n">
        <v>2021</v>
      </c>
      <c r="H3788" s="22" t="n">
        <v>50144</v>
      </c>
      <c r="I3788" s="22" t="n">
        <v>375000</v>
      </c>
      <c r="J3788" s="20" t="inlineStr">
        <is>
          <t>EXCHANGE ROTN</t>
        </is>
      </c>
      <c r="K3788" s="20" t="inlineStr">
        <is>
          <t>Captive</t>
        </is>
      </c>
      <c r="L3788" s="20" t="inlineStr">
        <is>
          <t>ASHOKAUTOMAX</t>
        </is>
      </c>
      <c r="M3788" s="23" t="n">
        <v>8474.58</v>
      </c>
    </row>
    <row r="3789">
      <c r="A3789" s="19" t="inlineStr">
        <is>
          <t>FY27</t>
        </is>
      </c>
      <c r="B3789" s="19" t="inlineStr">
        <is>
          <t>Aug</t>
        </is>
      </c>
      <c r="C3789" s="19" t="inlineStr">
        <is>
          <t>TN</t>
        </is>
      </c>
      <c r="D3789" s="20" t="inlineStr">
        <is>
          <t>TN37DZ4833</t>
        </is>
      </c>
      <c r="E3789" s="20" t="inlineStr">
        <is>
          <t>SKODA</t>
        </is>
      </c>
      <c r="F3789" s="20" t="inlineStr">
        <is>
          <t>Rapid</t>
        </is>
      </c>
      <c r="G3789" s="21" t="n">
        <v>2017</v>
      </c>
      <c r="H3789" s="22" t="n">
        <v>110924</v>
      </c>
      <c r="I3789" s="22" t="n">
        <v>370000</v>
      </c>
      <c r="J3789" s="20" t="inlineStr">
        <is>
          <t>EXCHANGE ROTN</t>
        </is>
      </c>
      <c r="K3789" s="20" t="inlineStr">
        <is>
          <t>Captive</t>
        </is>
      </c>
      <c r="L3789" s="20" t="inlineStr">
        <is>
          <t>READY TO RIDE CARS</t>
        </is>
      </c>
      <c r="M3789" s="23" t="n">
        <v>8474.58</v>
      </c>
    </row>
    <row r="3790">
      <c r="A3790" s="19" t="inlineStr">
        <is>
          <t>FY27</t>
        </is>
      </c>
      <c r="B3790" s="19" t="inlineStr">
        <is>
          <t>Aug</t>
        </is>
      </c>
      <c r="C3790" s="19" t="inlineStr">
        <is>
          <t>TN</t>
        </is>
      </c>
      <c r="D3790" s="20" t="inlineStr">
        <is>
          <t>TN05AA6276</t>
        </is>
      </c>
      <c r="E3790" s="20" t="inlineStr">
        <is>
          <t>HYUNDAI</t>
        </is>
      </c>
      <c r="F3790" s="20" t="inlineStr">
        <is>
          <t>I20</t>
        </is>
      </c>
      <c r="G3790" s="21" t="n">
        <v>2009</v>
      </c>
      <c r="H3790" s="22" t="n">
        <v>120304</v>
      </c>
      <c r="I3790" s="22" t="n">
        <v>80000</v>
      </c>
      <c r="J3790" s="20" t="inlineStr">
        <is>
          <t>PLA MOTORS</t>
        </is>
      </c>
      <c r="K3790" s="20" t="inlineStr">
        <is>
          <t>Non-Captive</t>
        </is>
      </c>
      <c r="L3790" s="20" t="inlineStr">
        <is>
          <t>ASHOKAUTOMAX</t>
        </is>
      </c>
      <c r="M3790" s="23" t="n">
        <v>4237.29</v>
      </c>
    </row>
    <row r="3791">
      <c r="A3791" s="19" t="inlineStr">
        <is>
          <t>FY27</t>
        </is>
      </c>
      <c r="B3791" s="19" t="inlineStr">
        <is>
          <t>Aug</t>
        </is>
      </c>
      <c r="C3791" s="19" t="inlineStr">
        <is>
          <t>TN</t>
        </is>
      </c>
      <c r="D3791" s="20" t="inlineStr">
        <is>
          <t>TN38CJ4438</t>
        </is>
      </c>
      <c r="E3791" s="20" t="inlineStr">
        <is>
          <t>MARUTI SUZUKI</t>
        </is>
      </c>
      <c r="F3791" s="20" t="inlineStr">
        <is>
          <t>Celerio</t>
        </is>
      </c>
      <c r="G3791" s="21" t="n">
        <v>2017</v>
      </c>
      <c r="H3791" s="22" t="n">
        <v>87399</v>
      </c>
      <c r="I3791" s="22" t="n">
        <v>362500</v>
      </c>
      <c r="J3791" s="20" t="inlineStr">
        <is>
          <t>AADHI CARS PRIVATE LIMITED</t>
        </is>
      </c>
      <c r="K3791" s="20" t="inlineStr">
        <is>
          <t>Non-Captive</t>
        </is>
      </c>
      <c r="L3791" s="20" t="inlineStr">
        <is>
          <t>AUTO SOLUTION</t>
        </is>
      </c>
      <c r="M3791" s="23" t="n">
        <v>6355.93</v>
      </c>
    </row>
    <row r="3792">
      <c r="A3792" s="19" t="inlineStr">
        <is>
          <t>FY27</t>
        </is>
      </c>
      <c r="B3792" s="19" t="inlineStr">
        <is>
          <t>Aug</t>
        </is>
      </c>
      <c r="C3792" s="19" t="inlineStr">
        <is>
          <t>TN</t>
        </is>
      </c>
      <c r="D3792" s="20" t="inlineStr">
        <is>
          <t>TN66D5494</t>
        </is>
      </c>
      <c r="E3792" s="20" t="inlineStr">
        <is>
          <t>VOLKSWAGEN</t>
        </is>
      </c>
      <c r="F3792" s="20" t="inlineStr">
        <is>
          <t>Polo</t>
        </is>
      </c>
      <c r="G3792" s="21" t="n">
        <v>2011</v>
      </c>
      <c r="H3792" s="22" t="n">
        <v>82682</v>
      </c>
      <c r="I3792" s="22" t="n">
        <v>255000</v>
      </c>
      <c r="J3792" s="20" t="inlineStr">
        <is>
          <t>EXCHANGE ROTN</t>
        </is>
      </c>
      <c r="K3792" s="20" t="inlineStr">
        <is>
          <t>Captive</t>
        </is>
      </c>
      <c r="L3792" s="20" t="inlineStr">
        <is>
          <t>AUTO SOLUTION</t>
        </is>
      </c>
      <c r="M3792" s="23" t="n">
        <v>8474.58</v>
      </c>
    </row>
    <row r="3793">
      <c r="A3793" s="19" t="inlineStr">
        <is>
          <t>FY27</t>
        </is>
      </c>
      <c r="B3793" s="19" t="inlineStr">
        <is>
          <t>Aug</t>
        </is>
      </c>
      <c r="C3793" s="19" t="inlineStr">
        <is>
          <t>TN</t>
        </is>
      </c>
      <c r="D3793" s="20" t="inlineStr">
        <is>
          <t>TN38S7799</t>
        </is>
      </c>
      <c r="E3793" s="20" t="inlineStr">
        <is>
          <t>HONDA</t>
        </is>
      </c>
      <c r="F3793" s="20" t="inlineStr">
        <is>
          <t>City</t>
        </is>
      </c>
      <c r="G3793" s="21" t="n">
        <v>2001</v>
      </c>
      <c r="H3793" s="22" t="n">
        <v>152145</v>
      </c>
      <c r="I3793" s="22" t="n">
        <v>80000</v>
      </c>
      <c r="J3793" s="20" t="inlineStr">
        <is>
          <t>EXCHANGE ROTN</t>
        </is>
      </c>
      <c r="K3793" s="20" t="inlineStr">
        <is>
          <t>Captive</t>
        </is>
      </c>
      <c r="L3793" s="20" t="inlineStr">
        <is>
          <t>Ulavan Enterprises</t>
        </is>
      </c>
      <c r="M3793" s="23" t="n">
        <v>4237.29</v>
      </c>
    </row>
    <row r="3794">
      <c r="A3794" s="19" t="inlineStr">
        <is>
          <t>FY27</t>
        </is>
      </c>
      <c r="B3794" s="19" t="inlineStr">
        <is>
          <t>Aug</t>
        </is>
      </c>
      <c r="C3794" s="19" t="inlineStr">
        <is>
          <t>TN</t>
        </is>
      </c>
      <c r="D3794" s="20" t="inlineStr">
        <is>
          <t>TN49BE9009</t>
        </is>
      </c>
      <c r="E3794" s="20" t="inlineStr">
        <is>
          <t>MARUTI SUZUKI</t>
        </is>
      </c>
      <c r="F3794" s="20" t="inlineStr">
        <is>
          <t>Scross</t>
        </is>
      </c>
      <c r="G3794" s="21" t="n">
        <v>2015</v>
      </c>
      <c r="H3794" s="22" t="n">
        <v>224565</v>
      </c>
      <c r="I3794" s="22" t="n">
        <v>320000</v>
      </c>
      <c r="J3794" s="20" t="inlineStr">
        <is>
          <t>EXCHANGE ROTN</t>
        </is>
      </c>
      <c r="K3794" s="20" t="inlineStr">
        <is>
          <t>Captive</t>
        </is>
      </c>
      <c r="L3794" s="20" t="inlineStr">
        <is>
          <t>SRI VIGNESH PRE OWNED CARS</t>
        </is>
      </c>
      <c r="M3794" s="23" t="n">
        <v>8474.58</v>
      </c>
    </row>
    <row r="3795">
      <c r="A3795" s="19" t="inlineStr">
        <is>
          <t>FY27</t>
        </is>
      </c>
      <c r="B3795" s="19" t="inlineStr">
        <is>
          <t>Sep</t>
        </is>
      </c>
      <c r="C3795" s="19" t="inlineStr">
        <is>
          <t>AP/TS</t>
        </is>
      </c>
      <c r="D3795" s="20" t="inlineStr">
        <is>
          <t>AP05CP1677</t>
        </is>
      </c>
      <c r="E3795" s="20" t="inlineStr">
        <is>
          <t>TATA</t>
        </is>
      </c>
      <c r="F3795" s="20" t="inlineStr">
        <is>
          <t>Nano</t>
        </is>
      </c>
      <c r="G3795" s="21" t="n">
        <v>2012</v>
      </c>
      <c r="H3795" s="22" t="n">
        <v>50280</v>
      </c>
      <c r="I3795" s="22" t="n">
        <v>46000</v>
      </c>
      <c r="J3795" s="20" t="inlineStr">
        <is>
          <t>KESIREDDY SAIKIRAN</t>
        </is>
      </c>
      <c r="K3795" s="20" t="inlineStr">
        <is>
          <t>Non-Captive</t>
        </is>
      </c>
      <c r="L3795" s="20" t="inlineStr">
        <is>
          <t>B Venkata Rao</t>
        </is>
      </c>
      <c r="M3795" s="23" t="n">
        <v>4920</v>
      </c>
    </row>
    <row r="3796">
      <c r="A3796" s="19" t="inlineStr">
        <is>
          <t>FY27</t>
        </is>
      </c>
      <c r="B3796" s="19" t="inlineStr">
        <is>
          <t>Sep</t>
        </is>
      </c>
      <c r="C3796" s="19" t="inlineStr">
        <is>
          <t>AP/TS</t>
        </is>
      </c>
      <c r="D3796" s="20" t="inlineStr">
        <is>
          <t>AP05CR6969</t>
        </is>
      </c>
      <c r="E3796" s="20" t="inlineStr">
        <is>
          <t>NISSAN</t>
        </is>
      </c>
      <c r="F3796" s="20" t="inlineStr">
        <is>
          <t>Terrano</t>
        </is>
      </c>
      <c r="G3796" s="21" t="n">
        <v>2014</v>
      </c>
      <c r="H3796" s="22" t="n">
        <v>275290</v>
      </c>
      <c r="I3796" s="22" t="n">
        <v>95000</v>
      </c>
      <c r="J3796" s="20" t="inlineStr">
        <is>
          <t>MOHAMMED GOUSE BASHA</t>
        </is>
      </c>
      <c r="K3796" s="20" t="inlineStr">
        <is>
          <t>Non-Captive</t>
        </is>
      </c>
      <c r="L3796" s="20" t="inlineStr">
        <is>
          <t>Chandu Ram Sai</t>
        </is>
      </c>
      <c r="M3796" s="23" t="n">
        <v>4100</v>
      </c>
    </row>
    <row r="3797">
      <c r="A3797" s="19" t="inlineStr">
        <is>
          <t>FY27</t>
        </is>
      </c>
      <c r="B3797" s="19" t="inlineStr">
        <is>
          <t>Sep</t>
        </is>
      </c>
      <c r="C3797" s="19" t="inlineStr">
        <is>
          <t>AP/TS</t>
        </is>
      </c>
      <c r="D3797" s="20" t="inlineStr">
        <is>
          <t>AP09BS5058</t>
        </is>
      </c>
      <c r="E3797" s="20" t="inlineStr">
        <is>
          <t>HONDA</t>
        </is>
      </c>
      <c r="F3797" s="20" t="inlineStr">
        <is>
          <t>City</t>
        </is>
      </c>
      <c r="G3797" s="21" t="n">
        <v>2008</v>
      </c>
      <c r="H3797" s="22" t="n">
        <v>107989</v>
      </c>
      <c r="I3797" s="22" t="n">
        <v>116000</v>
      </c>
      <c r="J3797" s="20" t="inlineStr">
        <is>
          <t>PUNEET GUPTA</t>
        </is>
      </c>
      <c r="K3797" s="20" t="inlineStr">
        <is>
          <t>Non-Captive</t>
        </is>
      </c>
      <c r="L3797" s="20" t="inlineStr">
        <is>
          <t>Zaki Ahmed Khan</t>
        </is>
      </c>
      <c r="M3797" s="23" t="n">
        <v>4920</v>
      </c>
    </row>
    <row r="3798">
      <c r="A3798" s="19" t="inlineStr">
        <is>
          <t>FY27</t>
        </is>
      </c>
      <c r="B3798" s="19" t="inlineStr">
        <is>
          <t>Sep</t>
        </is>
      </c>
      <c r="C3798" s="19" t="inlineStr">
        <is>
          <t>AP/TS</t>
        </is>
      </c>
      <c r="D3798" s="20" t="inlineStr">
        <is>
          <t>AP09BW0636</t>
        </is>
      </c>
      <c r="E3798" s="20" t="inlineStr">
        <is>
          <t>HYUNDAI</t>
        </is>
      </c>
      <c r="F3798" s="20" t="inlineStr">
        <is>
          <t>i10</t>
        </is>
      </c>
      <c r="G3798" s="21" t="n">
        <v>2009</v>
      </c>
      <c r="H3798" s="22" t="n">
        <v>62759</v>
      </c>
      <c r="I3798" s="22" t="n">
        <v>65000</v>
      </c>
      <c r="J3798" s="20" t="inlineStr">
        <is>
          <t>BUKYA SANTHOSH NAIK</t>
        </is>
      </c>
      <c r="K3798" s="20" t="inlineStr">
        <is>
          <t>Non-Captive</t>
        </is>
      </c>
      <c r="L3798" s="20" t="inlineStr">
        <is>
          <t>Vara Rajendra Varma</t>
        </is>
      </c>
      <c r="M3798" s="23" t="n">
        <v>4100</v>
      </c>
    </row>
    <row r="3799">
      <c r="A3799" s="19" t="inlineStr">
        <is>
          <t>FY27</t>
        </is>
      </c>
      <c r="B3799" s="19" t="inlineStr">
        <is>
          <t>Sep</t>
        </is>
      </c>
      <c r="C3799" s="19" t="inlineStr">
        <is>
          <t>AP/TS</t>
        </is>
      </c>
      <c r="D3799" s="20" t="inlineStr">
        <is>
          <t>AP09BZ6453</t>
        </is>
      </c>
      <c r="E3799" s="20" t="inlineStr">
        <is>
          <t>CHEVROLET</t>
        </is>
      </c>
      <c r="F3799" s="20" t="inlineStr">
        <is>
          <t>Spark</t>
        </is>
      </c>
      <c r="G3799" s="21" t="n">
        <v>2010</v>
      </c>
      <c r="H3799" s="22" t="n">
        <v>24511</v>
      </c>
      <c r="I3799" s="22" t="n">
        <v>86000</v>
      </c>
      <c r="J3799" s="20" t="inlineStr">
        <is>
          <t>EXCHANGE</t>
        </is>
      </c>
      <c r="K3799" s="20" t="inlineStr">
        <is>
          <t>Captive</t>
        </is>
      </c>
      <c r="L3799" s="20" t="inlineStr">
        <is>
          <t>Janagama Srinivas</t>
        </is>
      </c>
      <c r="M3799" s="23" t="n">
        <v>4920</v>
      </c>
    </row>
    <row r="3800">
      <c r="A3800" s="19" t="inlineStr">
        <is>
          <t>FY27</t>
        </is>
      </c>
      <c r="B3800" s="19" t="inlineStr">
        <is>
          <t>Sep</t>
        </is>
      </c>
      <c r="C3800" s="19" t="inlineStr">
        <is>
          <t>AP/TS</t>
        </is>
      </c>
      <c r="D3800" s="20" t="inlineStr">
        <is>
          <t>AP09CH0648</t>
        </is>
      </c>
      <c r="E3800" s="20" t="inlineStr">
        <is>
          <t>HONDA</t>
        </is>
      </c>
      <c r="F3800" s="20" t="inlineStr">
        <is>
          <t>City</t>
        </is>
      </c>
      <c r="G3800" s="21" t="n">
        <v>2011</v>
      </c>
      <c r="H3800" s="22" t="n">
        <v>56602</v>
      </c>
      <c r="I3800" s="22" t="n">
        <v>149000</v>
      </c>
      <c r="J3800" s="20" t="inlineStr">
        <is>
          <t>EXCHANGE</t>
        </is>
      </c>
      <c r="K3800" s="20" t="inlineStr">
        <is>
          <t>Captive</t>
        </is>
      </c>
      <c r="L3800" s="20" t="inlineStr">
        <is>
          <t>Abdul Razzaq</t>
        </is>
      </c>
      <c r="M3800" s="23" t="n">
        <v>7380</v>
      </c>
    </row>
    <row r="3801">
      <c r="A3801" s="19" t="inlineStr">
        <is>
          <t>FY27</t>
        </is>
      </c>
      <c r="B3801" s="19" t="inlineStr">
        <is>
          <t>Sep</t>
        </is>
      </c>
      <c r="C3801" s="19" t="inlineStr">
        <is>
          <t>AP/TS</t>
        </is>
      </c>
      <c r="D3801" s="20" t="inlineStr">
        <is>
          <t>AP10AZ2662</t>
        </is>
      </c>
      <c r="E3801" s="20" t="inlineStr">
        <is>
          <t>MARUTI SUZUKI</t>
        </is>
      </c>
      <c r="F3801" s="20" t="inlineStr">
        <is>
          <t>Alto K10</t>
        </is>
      </c>
      <c r="G3801" s="21" t="n">
        <v>2011</v>
      </c>
      <c r="H3801" s="22" t="n">
        <v>134690</v>
      </c>
      <c r="I3801" s="22" t="n">
        <v>85000</v>
      </c>
      <c r="J3801" s="20" t="inlineStr">
        <is>
          <t>MOHAMMED GOUSE BASHA</t>
        </is>
      </c>
      <c r="K3801" s="20" t="inlineStr">
        <is>
          <t>Non-Captive</t>
        </is>
      </c>
      <c r="L3801" s="20" t="inlineStr">
        <is>
          <t>Chandu Ram Sai</t>
        </is>
      </c>
      <c r="M3801" s="23" t="n">
        <v>4100</v>
      </c>
    </row>
    <row r="3802">
      <c r="A3802" s="19" t="inlineStr">
        <is>
          <t>FY27</t>
        </is>
      </c>
      <c r="B3802" s="19" t="inlineStr">
        <is>
          <t>Sep</t>
        </is>
      </c>
      <c r="C3802" s="19" t="inlineStr">
        <is>
          <t>AP/TS</t>
        </is>
      </c>
      <c r="D3802" s="20" t="inlineStr">
        <is>
          <t>AP10BB9536</t>
        </is>
      </c>
      <c r="E3802" s="20" t="inlineStr">
        <is>
          <t>MARUTI SUZUKI</t>
        </is>
      </c>
      <c r="F3802" s="20" t="inlineStr">
        <is>
          <t>Swift</t>
        </is>
      </c>
      <c r="G3802" s="21" t="n">
        <v>2012</v>
      </c>
      <c r="H3802" s="22" t="n">
        <v>197850</v>
      </c>
      <c r="I3802" s="22" t="n">
        <v>106000</v>
      </c>
      <c r="J3802" s="20" t="inlineStr">
        <is>
          <t>MOHAMMED GOUSE BASHA</t>
        </is>
      </c>
      <c r="K3802" s="20" t="inlineStr">
        <is>
          <t>Non-Captive</t>
        </is>
      </c>
      <c r="L3802" s="20" t="inlineStr">
        <is>
          <t>Tenali Srinivas</t>
        </is>
      </c>
      <c r="M3802" s="23" t="n">
        <v>4920</v>
      </c>
    </row>
    <row r="3803">
      <c r="A3803" s="19" t="inlineStr">
        <is>
          <t>FY27</t>
        </is>
      </c>
      <c r="B3803" s="19" t="inlineStr">
        <is>
          <t>Sep</t>
        </is>
      </c>
      <c r="C3803" s="19" t="inlineStr">
        <is>
          <t>AP/TS</t>
        </is>
      </c>
      <c r="D3803" s="20" t="inlineStr">
        <is>
          <t>AP10BG1515</t>
        </is>
      </c>
      <c r="E3803" s="20" t="inlineStr">
        <is>
          <t>HONDA</t>
        </is>
      </c>
      <c r="F3803" s="20" t="inlineStr">
        <is>
          <t>Amaze</t>
        </is>
      </c>
      <c r="G3803" s="21" t="n">
        <v>2013</v>
      </c>
      <c r="H3803" s="22" t="n">
        <v>75852</v>
      </c>
      <c r="I3803" s="22" t="n">
        <v>197000</v>
      </c>
      <c r="J3803" s="20" t="inlineStr">
        <is>
          <t>EXCHANGE</t>
        </is>
      </c>
      <c r="K3803" s="20" t="inlineStr">
        <is>
          <t>Captive</t>
        </is>
      </c>
      <c r="L3803" s="20" t="inlineStr">
        <is>
          <t>Abdul Razzaq</t>
        </is>
      </c>
      <c r="M3803" s="23" t="n">
        <v>5740</v>
      </c>
    </row>
    <row r="3804">
      <c r="A3804" s="19" t="inlineStr">
        <is>
          <t>FY27</t>
        </is>
      </c>
      <c r="B3804" s="19" t="inlineStr">
        <is>
          <t>Sep</t>
        </is>
      </c>
      <c r="C3804" s="19" t="inlineStr">
        <is>
          <t>AP/TS</t>
        </is>
      </c>
      <c r="D3804" s="20" t="inlineStr">
        <is>
          <t>AP16BJ2229</t>
        </is>
      </c>
      <c r="E3804" s="20" t="inlineStr">
        <is>
          <t>MARUTI SUZUKI</t>
        </is>
      </c>
      <c r="F3804" s="20" t="inlineStr">
        <is>
          <t>Swift</t>
        </is>
      </c>
      <c r="G3804" s="21" t="n">
        <v>2008</v>
      </c>
      <c r="H3804" s="22" t="n">
        <v>99013</v>
      </c>
      <c r="I3804" s="22" t="n">
        <v>105000</v>
      </c>
      <c r="J3804" s="20" t="inlineStr">
        <is>
          <t>EXCHANGE</t>
        </is>
      </c>
      <c r="K3804" s="20" t="inlineStr">
        <is>
          <t>Captive</t>
        </is>
      </c>
      <c r="L3804" s="20" t="inlineStr">
        <is>
          <t>Suresh Ginjupalli</t>
        </is>
      </c>
      <c r="M3804" s="23" t="n">
        <v>12300</v>
      </c>
    </row>
    <row r="3805">
      <c r="A3805" s="19" t="inlineStr">
        <is>
          <t>FY27</t>
        </is>
      </c>
      <c r="B3805" s="19" t="inlineStr">
        <is>
          <t>Sep</t>
        </is>
      </c>
      <c r="C3805" s="19" t="inlineStr">
        <is>
          <t>AP/TS</t>
        </is>
      </c>
      <c r="D3805" s="20" t="inlineStr">
        <is>
          <t>AP16CJ2616</t>
        </is>
      </c>
      <c r="E3805" s="20" t="inlineStr">
        <is>
          <t>MARUTI SUZUKI</t>
        </is>
      </c>
      <c r="F3805" s="20" t="inlineStr">
        <is>
          <t>Dzire</t>
        </is>
      </c>
      <c r="G3805" s="21" t="n">
        <v>2013</v>
      </c>
      <c r="H3805" s="22" t="n">
        <v>95208</v>
      </c>
      <c r="I3805" s="22" t="n">
        <v>100000</v>
      </c>
      <c r="J3805" s="20" t="inlineStr">
        <is>
          <t>MOHAMMED GOUSE BASHA</t>
        </is>
      </c>
      <c r="K3805" s="20" t="inlineStr">
        <is>
          <t>Non-Captive</t>
        </is>
      </c>
      <c r="L3805" s="20" t="inlineStr">
        <is>
          <t>Gopi Nagaraju</t>
        </is>
      </c>
      <c r="M3805" s="23" t="n">
        <v>4100</v>
      </c>
    </row>
    <row r="3806">
      <c r="A3806" s="19" t="inlineStr">
        <is>
          <t>FY27</t>
        </is>
      </c>
      <c r="B3806" s="19" t="inlineStr">
        <is>
          <t>Sep</t>
        </is>
      </c>
      <c r="C3806" s="19" t="inlineStr">
        <is>
          <t>AP/TS</t>
        </is>
      </c>
      <c r="D3806" s="20" t="inlineStr">
        <is>
          <t>AP16CW9366</t>
        </is>
      </c>
      <c r="E3806" s="20" t="inlineStr">
        <is>
          <t>MARUTI SUZUKI</t>
        </is>
      </c>
      <c r="F3806" s="20" t="inlineStr">
        <is>
          <t>Celerio</t>
        </is>
      </c>
      <c r="G3806" s="21" t="n">
        <v>2014</v>
      </c>
      <c r="H3806" s="22" t="n">
        <v>82998</v>
      </c>
      <c r="I3806" s="22" t="n">
        <v>100000</v>
      </c>
      <c r="J3806" s="20" t="inlineStr">
        <is>
          <t>MOHAMMED GOUSE BASHA</t>
        </is>
      </c>
      <c r="K3806" s="20" t="inlineStr">
        <is>
          <t>Non-Captive</t>
        </is>
      </c>
      <c r="L3806" s="20" t="inlineStr">
        <is>
          <t>Naga Suresh Polukonda</t>
        </is>
      </c>
      <c r="M3806" s="23" t="n">
        <v>4100</v>
      </c>
    </row>
    <row r="3807">
      <c r="A3807" s="19" t="inlineStr">
        <is>
          <t>FY27</t>
        </is>
      </c>
      <c r="B3807" s="19" t="inlineStr">
        <is>
          <t>Sep</t>
        </is>
      </c>
      <c r="C3807" s="19" t="inlineStr">
        <is>
          <t>AP/TS</t>
        </is>
      </c>
      <c r="D3807" s="20" t="inlineStr">
        <is>
          <t>AP16CY5787</t>
        </is>
      </c>
      <c r="E3807" s="20" t="inlineStr">
        <is>
          <t>MARUTI SUZUKI</t>
        </is>
      </c>
      <c r="F3807" s="20" t="inlineStr">
        <is>
          <t>Wagon R</t>
        </is>
      </c>
      <c r="G3807" s="21" t="n">
        <v>2015</v>
      </c>
      <c r="H3807" s="22" t="n">
        <v>148960</v>
      </c>
      <c r="I3807" s="22" t="n">
        <v>90000</v>
      </c>
      <c r="J3807" s="20" t="inlineStr">
        <is>
          <t>MOHAMMED GOUSE BASHA</t>
        </is>
      </c>
      <c r="K3807" s="20" t="inlineStr">
        <is>
          <t>Non-Captive</t>
        </is>
      </c>
      <c r="L3807" s="20" t="inlineStr">
        <is>
          <t>Guthi Ravi Krishna</t>
        </is>
      </c>
      <c r="M3807" s="23" t="n">
        <v>4100</v>
      </c>
    </row>
    <row r="3808">
      <c r="A3808" s="19" t="inlineStr">
        <is>
          <t>FY27</t>
        </is>
      </c>
      <c r="B3808" s="19" t="inlineStr">
        <is>
          <t>Sep</t>
        </is>
      </c>
      <c r="C3808" s="19" t="inlineStr">
        <is>
          <t>AP/TS</t>
        </is>
      </c>
      <c r="D3808" s="20" t="inlineStr">
        <is>
          <t>AP16DM7059</t>
        </is>
      </c>
      <c r="E3808" s="20" t="inlineStr">
        <is>
          <t>HYUNDAI</t>
        </is>
      </c>
      <c r="F3808" s="20" t="inlineStr">
        <is>
          <t>Grand i10</t>
        </is>
      </c>
      <c r="G3808" s="21" t="n">
        <v>2016</v>
      </c>
      <c r="H3808" s="22" t="n">
        <v>58286</v>
      </c>
      <c r="I3808" s="22" t="n">
        <v>280500</v>
      </c>
      <c r="J3808" s="20" t="inlineStr">
        <is>
          <t>EXCHANGE</t>
        </is>
      </c>
      <c r="K3808" s="20" t="inlineStr">
        <is>
          <t>Captive</t>
        </is>
      </c>
      <c r="L3808" s="20" t="inlineStr">
        <is>
          <t>Mohammed Gouse Basha</t>
        </is>
      </c>
      <c r="M3808" s="23" t="n">
        <v>6560</v>
      </c>
    </row>
    <row r="3809">
      <c r="A3809" s="19" t="inlineStr">
        <is>
          <t>FY27</t>
        </is>
      </c>
      <c r="B3809" s="19" t="inlineStr">
        <is>
          <t>Sep</t>
        </is>
      </c>
      <c r="C3809" s="19" t="inlineStr">
        <is>
          <t>AP/TS</t>
        </is>
      </c>
      <c r="D3809" s="20" t="inlineStr">
        <is>
          <t>AP21CJ7576</t>
        </is>
      </c>
      <c r="E3809" s="20" t="inlineStr">
        <is>
          <t>RENAULT</t>
        </is>
      </c>
      <c r="F3809" s="20" t="inlineStr">
        <is>
          <t>Kwid</t>
        </is>
      </c>
      <c r="G3809" s="21" t="n">
        <v>2018</v>
      </c>
      <c r="H3809" s="22" t="n">
        <v>69820</v>
      </c>
      <c r="I3809" s="22" t="n">
        <v>196000</v>
      </c>
      <c r="J3809" s="20" t="inlineStr">
        <is>
          <t>MOHAMMED GOUSE BASHA</t>
        </is>
      </c>
      <c r="K3809" s="20" t="inlineStr">
        <is>
          <t>Non-Captive</t>
        </is>
      </c>
      <c r="L3809" s="20" t="inlineStr">
        <is>
          <t>Tenali Srinivas</t>
        </is>
      </c>
      <c r="M3809" s="23" t="n">
        <v>4920</v>
      </c>
    </row>
    <row r="3810">
      <c r="A3810" s="19" t="inlineStr">
        <is>
          <t>FY27</t>
        </is>
      </c>
      <c r="B3810" s="19" t="inlineStr">
        <is>
          <t>Sep</t>
        </is>
      </c>
      <c r="C3810" s="19" t="inlineStr">
        <is>
          <t>AP/TS</t>
        </is>
      </c>
      <c r="D3810" s="20" t="inlineStr">
        <is>
          <t>AP24AV3278</t>
        </is>
      </c>
      <c r="E3810" s="20" t="inlineStr">
        <is>
          <t>HYUNDAI</t>
        </is>
      </c>
      <c r="F3810" s="20" t="inlineStr">
        <is>
          <t>i10</t>
        </is>
      </c>
      <c r="G3810" s="21" t="n">
        <v>2013</v>
      </c>
      <c r="H3810" s="22" t="n">
        <v>90082</v>
      </c>
      <c r="I3810" s="22" t="n">
        <v>161000</v>
      </c>
      <c r="J3810" s="20" t="inlineStr">
        <is>
          <t>EXCHANGE</t>
        </is>
      </c>
      <c r="K3810" s="20" t="inlineStr">
        <is>
          <t>Captive</t>
        </is>
      </c>
      <c r="L3810" s="20" t="inlineStr">
        <is>
          <t>Odapally Sandeep</t>
        </is>
      </c>
      <c r="M3810" s="23" t="n">
        <v>4920</v>
      </c>
    </row>
    <row r="3811">
      <c r="A3811" s="19" t="inlineStr">
        <is>
          <t>FY27</t>
        </is>
      </c>
      <c r="B3811" s="19" t="inlineStr">
        <is>
          <t>Sep</t>
        </is>
      </c>
      <c r="C3811" s="19" t="inlineStr">
        <is>
          <t>AP/TS</t>
        </is>
      </c>
      <c r="D3811" s="20" t="inlineStr">
        <is>
          <t>AP25AD6252</t>
        </is>
      </c>
      <c r="E3811" s="20" t="inlineStr">
        <is>
          <t>MARUTI SUZUKI</t>
        </is>
      </c>
      <c r="F3811" s="20" t="inlineStr">
        <is>
          <t>Alto K10</t>
        </is>
      </c>
      <c r="G3811" s="21" t="n">
        <v>2010</v>
      </c>
      <c r="H3811" s="22" t="n">
        <v>155405</v>
      </c>
      <c r="I3811" s="22" t="n">
        <v>72000</v>
      </c>
      <c r="J3811" s="20" t="inlineStr">
        <is>
          <t>BUKYA SANTHOSH NAIK</t>
        </is>
      </c>
      <c r="K3811" s="20" t="inlineStr">
        <is>
          <t>Non-Captive</t>
        </is>
      </c>
      <c r="L3811" s="20" t="inlineStr">
        <is>
          <t>Janagama Srinivas</t>
        </is>
      </c>
      <c r="M3811" s="23" t="n">
        <v>5740</v>
      </c>
    </row>
    <row r="3812">
      <c r="A3812" s="19" t="inlineStr">
        <is>
          <t>FY27</t>
        </is>
      </c>
      <c r="B3812" s="19" t="inlineStr">
        <is>
          <t>Sep</t>
        </is>
      </c>
      <c r="C3812" s="19" t="inlineStr">
        <is>
          <t>AP/TS</t>
        </is>
      </c>
      <c r="D3812" s="20" t="inlineStr">
        <is>
          <t>AP28BC0959</t>
        </is>
      </c>
      <c r="E3812" s="20" t="inlineStr">
        <is>
          <t>HONDA</t>
        </is>
      </c>
      <c r="F3812" s="20" t="inlineStr">
        <is>
          <t>Accord</t>
        </is>
      </c>
      <c r="G3812" s="21" t="n">
        <v>2005</v>
      </c>
      <c r="H3812" s="22" t="n">
        <v>131525</v>
      </c>
      <c r="I3812" s="22" t="n">
        <v>81000</v>
      </c>
      <c r="J3812" s="20" t="inlineStr">
        <is>
          <t>EXCHANGE</t>
        </is>
      </c>
      <c r="K3812" s="20" t="inlineStr">
        <is>
          <t>Captive</t>
        </is>
      </c>
      <c r="L3812" s="20" t="inlineStr">
        <is>
          <t>Abdul Razzaq</t>
        </is>
      </c>
      <c r="M3812" s="23" t="n">
        <v>4920</v>
      </c>
    </row>
    <row r="3813">
      <c r="A3813" s="19" t="inlineStr">
        <is>
          <t>FY27</t>
        </is>
      </c>
      <c r="B3813" s="19" t="inlineStr">
        <is>
          <t>Sep</t>
        </is>
      </c>
      <c r="C3813" s="19" t="inlineStr">
        <is>
          <t>AP/TS</t>
        </is>
      </c>
      <c r="D3813" s="20" t="inlineStr">
        <is>
          <t>AP28CB5045</t>
        </is>
      </c>
      <c r="E3813" s="20" t="inlineStr">
        <is>
          <t>HYUNDAI</t>
        </is>
      </c>
      <c r="F3813" s="20" t="inlineStr">
        <is>
          <t>i10</t>
        </is>
      </c>
      <c r="G3813" s="21" t="n">
        <v>2008</v>
      </c>
      <c r="H3813" s="22" t="n">
        <v>153280</v>
      </c>
      <c r="I3813" s="22" t="n">
        <v>77000</v>
      </c>
      <c r="J3813" s="20" t="inlineStr">
        <is>
          <t>BUKYA SANTHOSH NAIK</t>
        </is>
      </c>
      <c r="K3813" s="20" t="inlineStr">
        <is>
          <t>Non-Captive</t>
        </is>
      </c>
      <c r="L3813" s="20" t="inlineStr">
        <is>
          <t>Janagama Srinivas</t>
        </is>
      </c>
      <c r="M3813" s="23" t="n">
        <v>5740</v>
      </c>
    </row>
    <row r="3814">
      <c r="A3814" s="19" t="inlineStr">
        <is>
          <t>FY27</t>
        </is>
      </c>
      <c r="B3814" s="19" t="inlineStr">
        <is>
          <t>Sep</t>
        </is>
      </c>
      <c r="C3814" s="19" t="inlineStr">
        <is>
          <t>AP/TS</t>
        </is>
      </c>
      <c r="D3814" s="20" t="inlineStr">
        <is>
          <t>AP28CG3180</t>
        </is>
      </c>
      <c r="E3814" s="20" t="inlineStr">
        <is>
          <t>MARUTI SUZUKI</t>
        </is>
      </c>
      <c r="F3814" s="20" t="inlineStr">
        <is>
          <t>Ritz</t>
        </is>
      </c>
      <c r="G3814" s="21" t="n">
        <v>2011</v>
      </c>
      <c r="H3814" s="22" t="n">
        <v>85691</v>
      </c>
      <c r="I3814" s="22" t="n">
        <v>96000</v>
      </c>
      <c r="J3814" s="20" t="inlineStr">
        <is>
          <t>EXCHANGE</t>
        </is>
      </c>
      <c r="K3814" s="20" t="inlineStr">
        <is>
          <t>Captive</t>
        </is>
      </c>
      <c r="L3814" s="20" t="inlineStr">
        <is>
          <t>B Venkata Rao</t>
        </is>
      </c>
      <c r="M3814" s="23" t="n">
        <v>4920</v>
      </c>
    </row>
    <row r="3815">
      <c r="A3815" s="19" t="inlineStr">
        <is>
          <t>FY27</t>
        </is>
      </c>
      <c r="B3815" s="19" t="inlineStr">
        <is>
          <t>Sep</t>
        </is>
      </c>
      <c r="C3815" s="19" t="inlineStr">
        <is>
          <t>AP/TS</t>
        </is>
      </c>
      <c r="D3815" s="20" t="inlineStr">
        <is>
          <t>AP28DJ2172</t>
        </is>
      </c>
      <c r="E3815" s="20" t="inlineStr">
        <is>
          <t>HYUNDAI</t>
        </is>
      </c>
      <c r="F3815" s="20" t="inlineStr">
        <is>
          <t>i10</t>
        </is>
      </c>
      <c r="G3815" s="21" t="n">
        <v>2011</v>
      </c>
      <c r="H3815" s="22" t="n">
        <v>98253</v>
      </c>
      <c r="I3815" s="22" t="n">
        <v>93000</v>
      </c>
      <c r="J3815" s="20" t="inlineStr">
        <is>
          <t>PRABJYOTH SINGH WASU</t>
        </is>
      </c>
      <c r="K3815" s="20" t="inlineStr">
        <is>
          <t>Non-Captive</t>
        </is>
      </c>
      <c r="L3815" s="20" t="inlineStr">
        <is>
          <t>Abdul Razzaq</t>
        </is>
      </c>
      <c r="M3815" s="23" t="n">
        <v>6560</v>
      </c>
    </row>
    <row r="3816">
      <c r="A3816" s="19" t="inlineStr">
        <is>
          <t>FY27</t>
        </is>
      </c>
      <c r="B3816" s="19" t="inlineStr">
        <is>
          <t>Sep</t>
        </is>
      </c>
      <c r="C3816" s="19" t="inlineStr">
        <is>
          <t>AP/TS</t>
        </is>
      </c>
      <c r="D3816" s="20" t="inlineStr">
        <is>
          <t>AP28DS9236</t>
        </is>
      </c>
      <c r="E3816" s="20" t="inlineStr">
        <is>
          <t>HYUNDAI</t>
        </is>
      </c>
      <c r="F3816" s="20" t="inlineStr">
        <is>
          <t>Eon</t>
        </is>
      </c>
      <c r="G3816" s="21" t="n">
        <v>2013</v>
      </c>
      <c r="H3816" s="22" t="n">
        <v>48523</v>
      </c>
      <c r="I3816" s="22" t="n">
        <v>106000</v>
      </c>
      <c r="J3816" s="20" t="inlineStr">
        <is>
          <t>PUNEET GUPTA</t>
        </is>
      </c>
      <c r="K3816" s="20" t="inlineStr">
        <is>
          <t>Non-Captive</t>
        </is>
      </c>
      <c r="L3816" s="20" t="inlineStr">
        <is>
          <t>Zaki Ahmed Khan</t>
        </is>
      </c>
      <c r="M3816" s="23" t="n">
        <v>4920</v>
      </c>
    </row>
    <row r="3817">
      <c r="A3817" s="19" t="inlineStr">
        <is>
          <t>FY27</t>
        </is>
      </c>
      <c r="B3817" s="19" t="inlineStr">
        <is>
          <t>Sep</t>
        </is>
      </c>
      <c r="C3817" s="19" t="inlineStr">
        <is>
          <t>AP/TS</t>
        </is>
      </c>
      <c r="D3817" s="20" t="inlineStr">
        <is>
          <t>AP29AZ7297</t>
        </is>
      </c>
      <c r="E3817" s="20" t="inlineStr">
        <is>
          <t>HONDA</t>
        </is>
      </c>
      <c r="F3817" s="20" t="inlineStr">
        <is>
          <t>Amaze</t>
        </is>
      </c>
      <c r="G3817" s="21" t="n">
        <v>2013</v>
      </c>
      <c r="H3817" s="22" t="n">
        <v>55086</v>
      </c>
      <c r="I3817" s="22" t="n">
        <v>188000</v>
      </c>
      <c r="J3817" s="20" t="inlineStr">
        <is>
          <t>PUNEET GUPTA</t>
        </is>
      </c>
      <c r="K3817" s="20" t="inlineStr">
        <is>
          <t>Non-Captive</t>
        </is>
      </c>
      <c r="L3817" s="20" t="inlineStr">
        <is>
          <t>Zaki Ahmed Khan</t>
        </is>
      </c>
      <c r="M3817" s="23" t="n">
        <v>6560</v>
      </c>
    </row>
    <row r="3818">
      <c r="A3818" s="19" t="inlineStr">
        <is>
          <t>FY27</t>
        </is>
      </c>
      <c r="B3818" s="19" t="inlineStr">
        <is>
          <t>Sep</t>
        </is>
      </c>
      <c r="C3818" s="19" t="inlineStr">
        <is>
          <t>AP/TS</t>
        </is>
      </c>
      <c r="D3818" s="20" t="inlineStr">
        <is>
          <t>AP29BE7339</t>
        </is>
      </c>
      <c r="E3818" s="20" t="inlineStr">
        <is>
          <t>HYUNDAI</t>
        </is>
      </c>
      <c r="F3818" s="20" t="inlineStr">
        <is>
          <t>i10</t>
        </is>
      </c>
      <c r="G3818" s="21" t="n">
        <v>2008</v>
      </c>
      <c r="H3818" s="22" t="n">
        <v>95811</v>
      </c>
      <c r="I3818" s="22" t="n">
        <v>55000</v>
      </c>
      <c r="J3818" s="20" t="inlineStr">
        <is>
          <t>EXCHANGE</t>
        </is>
      </c>
      <c r="K3818" s="20" t="inlineStr">
        <is>
          <t>Captive</t>
        </is>
      </c>
      <c r="L3818" s="20" t="inlineStr">
        <is>
          <t>Vara Rajendra Varma</t>
        </is>
      </c>
      <c r="M3818" s="23" t="n">
        <v>4100</v>
      </c>
    </row>
    <row r="3819">
      <c r="A3819" s="19" t="inlineStr">
        <is>
          <t>FY27</t>
        </is>
      </c>
      <c r="B3819" s="19" t="inlineStr">
        <is>
          <t>Sep</t>
        </is>
      </c>
      <c r="C3819" s="19" t="inlineStr">
        <is>
          <t>AP/TS</t>
        </is>
      </c>
      <c r="D3819" s="20" t="inlineStr">
        <is>
          <t>AP31BK6226</t>
        </is>
      </c>
      <c r="E3819" s="20" t="inlineStr">
        <is>
          <t>MARUTI SUZUKI</t>
        </is>
      </c>
      <c r="F3819" s="20" t="inlineStr">
        <is>
          <t>Swift</t>
        </is>
      </c>
      <c r="G3819" s="21" t="n">
        <v>2010</v>
      </c>
      <c r="H3819" s="22" t="n">
        <v>101248</v>
      </c>
      <c r="I3819" s="22" t="n">
        <v>96050</v>
      </c>
      <c r="J3819" s="20" t="inlineStr">
        <is>
          <t>KESIREDDY SAIKIRAN</t>
        </is>
      </c>
      <c r="K3819" s="20" t="inlineStr">
        <is>
          <t>Non-Captive</t>
        </is>
      </c>
      <c r="L3819" s="20" t="inlineStr">
        <is>
          <t>Kasarapu Bhagyasri</t>
        </is>
      </c>
      <c r="M3819" s="23" t="n">
        <v>4961</v>
      </c>
    </row>
    <row r="3820">
      <c r="A3820" s="19" t="inlineStr">
        <is>
          <t>FY27</t>
        </is>
      </c>
      <c r="B3820" s="19" t="inlineStr">
        <is>
          <t>Sep</t>
        </is>
      </c>
      <c r="C3820" s="19" t="inlineStr">
        <is>
          <t>AP/TS</t>
        </is>
      </c>
      <c r="D3820" s="20" t="inlineStr">
        <is>
          <t>AP31CC0369</t>
        </is>
      </c>
      <c r="E3820" s="20" t="inlineStr">
        <is>
          <t>VOLKSWAGEN</t>
        </is>
      </c>
      <c r="F3820" s="20" t="inlineStr">
        <is>
          <t>Vento</t>
        </is>
      </c>
      <c r="G3820" s="21" t="n">
        <v>2012</v>
      </c>
      <c r="H3820" s="22" t="n">
        <v>160521</v>
      </c>
      <c r="I3820" s="22" t="n">
        <v>166000</v>
      </c>
      <c r="J3820" s="20" t="inlineStr">
        <is>
          <t>EXCHANGE</t>
        </is>
      </c>
      <c r="K3820" s="20" t="inlineStr">
        <is>
          <t>Captive</t>
        </is>
      </c>
      <c r="L3820" s="20" t="inlineStr">
        <is>
          <t>B Venkata Rao</t>
        </is>
      </c>
      <c r="M3820" s="23" t="n">
        <v>4920</v>
      </c>
    </row>
    <row r="3821">
      <c r="A3821" s="19" t="inlineStr">
        <is>
          <t>FY27</t>
        </is>
      </c>
      <c r="B3821" s="19" t="inlineStr">
        <is>
          <t>Sep</t>
        </is>
      </c>
      <c r="C3821" s="19" t="inlineStr">
        <is>
          <t>AP/TS</t>
        </is>
      </c>
      <c r="D3821" s="20" t="inlineStr">
        <is>
          <t>AP31CC7092</t>
        </is>
      </c>
      <c r="E3821" s="20" t="inlineStr">
        <is>
          <t>CHEVROLET</t>
        </is>
      </c>
      <c r="F3821" s="20" t="inlineStr">
        <is>
          <t>Beat</t>
        </is>
      </c>
      <c r="G3821" s="21" t="n">
        <v>2012</v>
      </c>
      <c r="H3821" s="22" t="n">
        <v>97915</v>
      </c>
      <c r="I3821" s="22" t="n">
        <v>51000</v>
      </c>
      <c r="J3821" s="20" t="inlineStr">
        <is>
          <t>MOHAMMED ADIL</t>
        </is>
      </c>
      <c r="K3821" s="20" t="inlineStr">
        <is>
          <t>Non-Captive</t>
        </is>
      </c>
      <c r="L3821" s="20" t="inlineStr">
        <is>
          <t>Gadi Sri Bharathi</t>
        </is>
      </c>
      <c r="M3821" s="23" t="n">
        <v>4920</v>
      </c>
    </row>
    <row r="3822">
      <c r="A3822" s="19" t="inlineStr">
        <is>
          <t>FY27</t>
        </is>
      </c>
      <c r="B3822" s="19" t="inlineStr">
        <is>
          <t>Sep</t>
        </is>
      </c>
      <c r="C3822" s="19" t="inlineStr">
        <is>
          <t>AP/TS</t>
        </is>
      </c>
      <c r="D3822" s="20" t="inlineStr">
        <is>
          <t>AP37AQ1188</t>
        </is>
      </c>
      <c r="E3822" s="20" t="inlineStr">
        <is>
          <t>HYUNDAI</t>
        </is>
      </c>
      <c r="F3822" s="20" t="inlineStr">
        <is>
          <t>Santro</t>
        </is>
      </c>
      <c r="G3822" s="21" t="n">
        <v>2007</v>
      </c>
      <c r="H3822" s="22" t="n">
        <v>125425</v>
      </c>
      <c r="I3822" s="22" t="n">
        <v>81000</v>
      </c>
      <c r="J3822" s="20" t="inlineStr">
        <is>
          <t>MOHAMMED GOUSE BASHA</t>
        </is>
      </c>
      <c r="K3822" s="20" t="inlineStr">
        <is>
          <t>Non-Captive</t>
        </is>
      </c>
      <c r="L3822" s="20" t="inlineStr">
        <is>
          <t>Tenali Srinivas</t>
        </is>
      </c>
      <c r="M3822" s="23" t="n">
        <v>4920</v>
      </c>
    </row>
    <row r="3823">
      <c r="A3823" s="19" t="inlineStr">
        <is>
          <t>FY27</t>
        </is>
      </c>
      <c r="B3823" s="19" t="inlineStr">
        <is>
          <t>Sep</t>
        </is>
      </c>
      <c r="C3823" s="19" t="inlineStr">
        <is>
          <t>AP/TS</t>
        </is>
      </c>
      <c r="D3823" s="20" t="inlineStr">
        <is>
          <t>AP39AQ6999</t>
        </is>
      </c>
      <c r="E3823" s="20" t="inlineStr">
        <is>
          <t>HONDA</t>
        </is>
      </c>
      <c r="F3823" s="20" t="inlineStr">
        <is>
          <t>WR-V</t>
        </is>
      </c>
      <c r="G3823" s="21" t="n">
        <v>2019</v>
      </c>
      <c r="H3823" s="22" t="n">
        <v>64463</v>
      </c>
      <c r="I3823" s="22" t="n">
        <v>200000</v>
      </c>
      <c r="J3823" s="20" t="inlineStr">
        <is>
          <t>TENALI SRINIVAS</t>
        </is>
      </c>
      <c r="K3823" s="20" t="inlineStr">
        <is>
          <t>Non-Captive</t>
        </is>
      </c>
      <c r="L3823" s="20" t="inlineStr">
        <is>
          <t>Mohammed Gouse Basha</t>
        </is>
      </c>
      <c r="M3823" s="23" t="n">
        <v>5740</v>
      </c>
    </row>
    <row r="3824">
      <c r="A3824" s="19" t="inlineStr">
        <is>
          <t>FY27</t>
        </is>
      </c>
      <c r="B3824" s="19" t="inlineStr">
        <is>
          <t>Sep</t>
        </is>
      </c>
      <c r="C3824" s="19" t="inlineStr">
        <is>
          <t>AP/TS</t>
        </is>
      </c>
      <c r="D3824" s="20" t="inlineStr">
        <is>
          <t>AP39AW2689</t>
        </is>
      </c>
      <c r="E3824" s="20" t="inlineStr">
        <is>
          <t>HYUNDAI</t>
        </is>
      </c>
      <c r="F3824" s="20" t="inlineStr">
        <is>
          <t>i20</t>
        </is>
      </c>
      <c r="G3824" s="21" t="n">
        <v>2019</v>
      </c>
      <c r="H3824" s="22" t="n">
        <v>77846</v>
      </c>
      <c r="I3824" s="22" t="n">
        <v>430000</v>
      </c>
      <c r="J3824" s="20" t="inlineStr">
        <is>
          <t>EXCHANGE</t>
        </is>
      </c>
      <c r="K3824" s="20" t="inlineStr">
        <is>
          <t>Captive</t>
        </is>
      </c>
      <c r="L3824" s="20" t="inlineStr">
        <is>
          <t>B Venkata Rao</t>
        </is>
      </c>
      <c r="M3824" s="23" t="n">
        <v>8200</v>
      </c>
    </row>
    <row r="3825">
      <c r="A3825" s="19" t="inlineStr">
        <is>
          <t>FY27</t>
        </is>
      </c>
      <c r="B3825" s="19" t="inlineStr">
        <is>
          <t>Sep</t>
        </is>
      </c>
      <c r="C3825" s="19" t="inlineStr">
        <is>
          <t>AP/TS</t>
        </is>
      </c>
      <c r="D3825" s="20" t="inlineStr">
        <is>
          <t>AP39LU4009</t>
        </is>
      </c>
      <c r="E3825" s="20" t="inlineStr">
        <is>
          <t>MARUTI SUZUKI</t>
        </is>
      </c>
      <c r="F3825" s="20" t="inlineStr">
        <is>
          <t>XL6</t>
        </is>
      </c>
      <c r="G3825" s="21" t="n">
        <v>2021</v>
      </c>
      <c r="H3825" s="22" t="n">
        <v>68301</v>
      </c>
      <c r="I3825" s="22" t="n">
        <v>515000</v>
      </c>
      <c r="J3825" s="20" t="inlineStr">
        <is>
          <t>EXCHANGE</t>
        </is>
      </c>
      <c r="K3825" s="20" t="inlineStr">
        <is>
          <t>Captive</t>
        </is>
      </c>
      <c r="L3825" s="20" t="inlineStr">
        <is>
          <t>Manku Tharaka Rama Rao</t>
        </is>
      </c>
      <c r="M3825" s="23" t="n">
        <v>12300</v>
      </c>
    </row>
    <row r="3826">
      <c r="A3826" s="19" t="inlineStr">
        <is>
          <t>FY27</t>
        </is>
      </c>
      <c r="B3826" s="19" t="inlineStr">
        <is>
          <t>Sep</t>
        </is>
      </c>
      <c r="C3826" s="19" t="inlineStr">
        <is>
          <t>AP/TS</t>
        </is>
      </c>
      <c r="D3826" s="20" t="inlineStr">
        <is>
          <t>AP39NQ8364</t>
        </is>
      </c>
      <c r="E3826" s="20" t="inlineStr">
        <is>
          <t>MARUTI SUZUKI</t>
        </is>
      </c>
      <c r="F3826" s="20" t="inlineStr">
        <is>
          <t>Eeco</t>
        </is>
      </c>
      <c r="G3826" s="21" t="n">
        <v>2021</v>
      </c>
      <c r="H3826" s="22" t="n">
        <v>41970</v>
      </c>
      <c r="I3826" s="22" t="n">
        <v>196000</v>
      </c>
      <c r="J3826" s="20" t="inlineStr">
        <is>
          <t>KESIREDDY SAIKIRAN</t>
        </is>
      </c>
      <c r="K3826" s="20" t="inlineStr">
        <is>
          <t>Non-Captive</t>
        </is>
      </c>
      <c r="L3826" s="20" t="inlineStr">
        <is>
          <t>B Venkata Rao</t>
        </is>
      </c>
      <c r="M3826" s="23" t="n">
        <v>4920</v>
      </c>
    </row>
    <row r="3827">
      <c r="A3827" s="19" t="inlineStr">
        <is>
          <t>FY27</t>
        </is>
      </c>
      <c r="B3827" s="19" t="inlineStr">
        <is>
          <t>Sep</t>
        </is>
      </c>
      <c r="C3827" s="19" t="inlineStr">
        <is>
          <t>AP/TS</t>
        </is>
      </c>
      <c r="D3827" s="20" t="inlineStr">
        <is>
          <t>TS07GV2665</t>
        </is>
      </c>
      <c r="E3827" s="20" t="inlineStr">
        <is>
          <t>MARUTI SUZUKI</t>
        </is>
      </c>
      <c r="F3827" s="20" t="inlineStr">
        <is>
          <t>Baleno</t>
        </is>
      </c>
      <c r="G3827" s="21" t="n">
        <v>2019</v>
      </c>
      <c r="H3827" s="22" t="n">
        <v>97986</v>
      </c>
      <c r="I3827" s="22" t="n">
        <v>355000</v>
      </c>
      <c r="J3827" s="20" t="inlineStr">
        <is>
          <t>DODDI VIDYA SRI</t>
        </is>
      </c>
      <c r="K3827" s="20" t="inlineStr">
        <is>
          <t>Non-Captive</t>
        </is>
      </c>
      <c r="L3827" s="20" t="inlineStr">
        <is>
          <t>Zaheed Mohiuddin</t>
        </is>
      </c>
      <c r="M3827" s="23" t="n">
        <v>4100</v>
      </c>
    </row>
    <row r="3828">
      <c r="A3828" s="19" t="inlineStr">
        <is>
          <t>FY27</t>
        </is>
      </c>
      <c r="B3828" s="19" t="inlineStr">
        <is>
          <t>Sep</t>
        </is>
      </c>
      <c r="C3828" s="19" t="inlineStr">
        <is>
          <t>AP/TS</t>
        </is>
      </c>
      <c r="D3828" s="20" t="inlineStr">
        <is>
          <t>TS08EN9738</t>
        </is>
      </c>
      <c r="E3828" s="20" t="inlineStr">
        <is>
          <t>NISSAN</t>
        </is>
      </c>
      <c r="F3828" s="20" t="inlineStr">
        <is>
          <t>Go</t>
        </is>
      </c>
      <c r="G3828" s="21" t="n">
        <v>2015</v>
      </c>
      <c r="H3828" s="22" t="n">
        <v>53375</v>
      </c>
      <c r="I3828" s="22" t="n">
        <v>90000</v>
      </c>
      <c r="J3828" s="20" t="inlineStr">
        <is>
          <t>PUDARI BABU</t>
        </is>
      </c>
      <c r="K3828" s="20" t="inlineStr">
        <is>
          <t>Non-Captive</t>
        </is>
      </c>
      <c r="L3828" s="20" t="inlineStr">
        <is>
          <t>Odapally Sandeep</t>
        </is>
      </c>
      <c r="M3828" s="23" t="n">
        <v>4100</v>
      </c>
    </row>
    <row r="3829">
      <c r="A3829" s="19" t="inlineStr">
        <is>
          <t>FY27</t>
        </is>
      </c>
      <c r="B3829" s="19" t="inlineStr">
        <is>
          <t>Sep</t>
        </is>
      </c>
      <c r="C3829" s="19" t="inlineStr">
        <is>
          <t>AP/TS</t>
        </is>
      </c>
      <c r="D3829" s="20" t="inlineStr">
        <is>
          <t>TS08HP3069</t>
        </is>
      </c>
      <c r="E3829" s="20" t="inlineStr">
        <is>
          <t>JEEP</t>
        </is>
      </c>
      <c r="F3829" s="20" t="inlineStr">
        <is>
          <t>Compass</t>
        </is>
      </c>
      <c r="G3829" s="21" t="n">
        <v>2021</v>
      </c>
      <c r="H3829" s="22" t="n">
        <v>91000</v>
      </c>
      <c r="I3829" s="22" t="n">
        <v>860000</v>
      </c>
      <c r="J3829" s="20" t="inlineStr">
        <is>
          <t>GUDAPATI SURESH KUMAR</t>
        </is>
      </c>
      <c r="K3829" s="20" t="inlineStr">
        <is>
          <t>Non-Captive</t>
        </is>
      </c>
      <c r="L3829" s="20" t="inlineStr">
        <is>
          <t>Prestige Carz</t>
        </is>
      </c>
      <c r="M3829" s="23" t="n">
        <v>8200</v>
      </c>
    </row>
    <row r="3830">
      <c r="A3830" s="19" t="inlineStr">
        <is>
          <t>FY27</t>
        </is>
      </c>
      <c r="B3830" s="19" t="inlineStr">
        <is>
          <t>Sep</t>
        </is>
      </c>
      <c r="C3830" s="19" t="inlineStr">
        <is>
          <t>AP/TS</t>
        </is>
      </c>
      <c r="D3830" s="20" t="inlineStr">
        <is>
          <t>TS08JR0236</t>
        </is>
      </c>
      <c r="E3830" s="20" t="inlineStr">
        <is>
          <t>MAHINDRA</t>
        </is>
      </c>
      <c r="F3830" s="20" t="inlineStr">
        <is>
          <t>XUV700</t>
        </is>
      </c>
      <c r="G3830" s="21" t="n">
        <v>2023</v>
      </c>
      <c r="H3830" s="22" t="n">
        <v>46789</v>
      </c>
      <c r="I3830" s="22" t="n">
        <v>1700000</v>
      </c>
      <c r="J3830" s="20" t="inlineStr">
        <is>
          <t>SAI ROSHAN</t>
        </is>
      </c>
      <c r="K3830" s="20" t="inlineStr">
        <is>
          <t>Non-Captive</t>
        </is>
      </c>
      <c r="L3830" s="20" t="inlineStr">
        <is>
          <t>Umahesh</t>
        </is>
      </c>
      <c r="M3830" s="23" t="n">
        <v>8200</v>
      </c>
    </row>
    <row r="3831">
      <c r="A3831" s="19" t="inlineStr">
        <is>
          <t>FY27</t>
        </is>
      </c>
      <c r="B3831" s="19" t="inlineStr">
        <is>
          <t>Sep</t>
        </is>
      </c>
      <c r="C3831" s="19" t="inlineStr">
        <is>
          <t>AP/TS</t>
        </is>
      </c>
      <c r="D3831" s="20" t="inlineStr">
        <is>
          <t>TS09EE3617</t>
        </is>
      </c>
      <c r="E3831" s="20" t="inlineStr">
        <is>
          <t>HYUNDAI</t>
        </is>
      </c>
      <c r="F3831" s="20" t="inlineStr">
        <is>
          <t>i20</t>
        </is>
      </c>
      <c r="G3831" s="21" t="n">
        <v>2015</v>
      </c>
      <c r="H3831" s="22" t="n">
        <v>37053</v>
      </c>
      <c r="I3831" s="22" t="n">
        <v>325000</v>
      </c>
      <c r="J3831" s="20" t="inlineStr">
        <is>
          <t>EXCHANGE</t>
        </is>
      </c>
      <c r="K3831" s="20" t="inlineStr">
        <is>
          <t>Captive</t>
        </is>
      </c>
      <c r="L3831" s="20" t="inlineStr">
        <is>
          <t>Prabjyoth Singh Wasu</t>
        </is>
      </c>
      <c r="M3831" s="23" t="n">
        <v>8200</v>
      </c>
    </row>
    <row r="3832">
      <c r="A3832" s="19" t="inlineStr">
        <is>
          <t>FY27</t>
        </is>
      </c>
      <c r="B3832" s="19" t="inlineStr">
        <is>
          <t>Sep</t>
        </is>
      </c>
      <c r="C3832" s="19" t="inlineStr">
        <is>
          <t>AP/TS</t>
        </is>
      </c>
      <c r="D3832" s="20" t="inlineStr">
        <is>
          <t>TS09EM1006</t>
        </is>
      </c>
      <c r="E3832" s="20" t="inlineStr">
        <is>
          <t>MARUTI SUZUKI</t>
        </is>
      </c>
      <c r="F3832" s="20" t="inlineStr">
        <is>
          <t>Dzire</t>
        </is>
      </c>
      <c r="G3832" s="21" t="n">
        <v>2016</v>
      </c>
      <c r="H3832" s="22" t="n">
        <v>104567</v>
      </c>
      <c r="I3832" s="22" t="n">
        <v>310000</v>
      </c>
      <c r="J3832" s="20" t="inlineStr">
        <is>
          <t>EXCHANGE</t>
        </is>
      </c>
      <c r="K3832" s="20" t="inlineStr">
        <is>
          <t>Captive</t>
        </is>
      </c>
      <c r="L3832" s="20" t="inlineStr">
        <is>
          <t>Janagama Srinivas</t>
        </is>
      </c>
      <c r="M3832" s="23" t="n">
        <v>8200</v>
      </c>
    </row>
    <row r="3833">
      <c r="A3833" s="19" t="inlineStr">
        <is>
          <t>FY27</t>
        </is>
      </c>
      <c r="B3833" s="19" t="inlineStr">
        <is>
          <t>Sep</t>
        </is>
      </c>
      <c r="C3833" s="19" t="inlineStr">
        <is>
          <t>AP/TS</t>
        </is>
      </c>
      <c r="D3833" s="20" t="inlineStr">
        <is>
          <t>TS10ED1263</t>
        </is>
      </c>
      <c r="E3833" s="20" t="inlineStr">
        <is>
          <t>RENAULT</t>
        </is>
      </c>
      <c r="F3833" s="20" t="inlineStr">
        <is>
          <t>Pulse</t>
        </is>
      </c>
      <c r="G3833" s="21" t="n">
        <v>2015</v>
      </c>
      <c r="H3833" s="22" t="n">
        <v>76815</v>
      </c>
      <c r="I3833" s="22" t="n">
        <v>85000</v>
      </c>
      <c r="J3833" s="20" t="inlineStr">
        <is>
          <t>PUDARI BABU</t>
        </is>
      </c>
      <c r="K3833" s="20" t="inlineStr">
        <is>
          <t>Non-Captive</t>
        </is>
      </c>
      <c r="L3833" s="20" t="inlineStr">
        <is>
          <t>Odapally Sandeep</t>
        </is>
      </c>
      <c r="M3833" s="23" t="n">
        <v>4100</v>
      </c>
    </row>
    <row r="3834">
      <c r="A3834" s="19" t="inlineStr">
        <is>
          <t>FY27</t>
        </is>
      </c>
      <c r="B3834" s="19" t="inlineStr">
        <is>
          <t>Sep</t>
        </is>
      </c>
      <c r="C3834" s="19" t="inlineStr">
        <is>
          <t>AP/TS</t>
        </is>
      </c>
      <c r="D3834" s="20" t="inlineStr">
        <is>
          <t>TS11EQ1468</t>
        </is>
      </c>
      <c r="E3834" s="20" t="inlineStr">
        <is>
          <t>MAHINDRA</t>
        </is>
      </c>
      <c r="F3834" s="20" t="inlineStr">
        <is>
          <t>XUV500</t>
        </is>
      </c>
      <c r="G3834" s="21" t="n">
        <v>2018</v>
      </c>
      <c r="H3834" s="22" t="n">
        <v>167890</v>
      </c>
      <c r="I3834" s="22" t="n">
        <v>540000</v>
      </c>
      <c r="J3834" s="20" t="inlineStr">
        <is>
          <t>ZAHEED MOHIUDDIN</t>
        </is>
      </c>
      <c r="K3834" s="20" t="inlineStr">
        <is>
          <t>Non-Captive</t>
        </is>
      </c>
      <c r="L3834" s="20" t="inlineStr">
        <is>
          <t>A Surya Vidya Devi</t>
        </is>
      </c>
      <c r="M3834" s="23" t="n">
        <v>8200</v>
      </c>
    </row>
    <row r="3835">
      <c r="A3835" s="19" t="inlineStr">
        <is>
          <t>FY27</t>
        </is>
      </c>
      <c r="B3835" s="19" t="inlineStr">
        <is>
          <t>Sep</t>
        </is>
      </c>
      <c r="C3835" s="19" t="inlineStr">
        <is>
          <t>Kerala</t>
        </is>
      </c>
      <c r="D3835" s="20" t="inlineStr">
        <is>
          <t>KL01AU2590</t>
        </is>
      </c>
      <c r="E3835" s="20" t="inlineStr">
        <is>
          <t>CHEVROLET</t>
        </is>
      </c>
      <c r="F3835" s="20" t="inlineStr">
        <is>
          <t>Spark</t>
        </is>
      </c>
      <c r="G3835" s="21" t="n"/>
      <c r="H3835" s="22" t="n">
        <v>66728</v>
      </c>
      <c r="I3835" s="22" t="n">
        <v>30000</v>
      </c>
      <c r="J3835" s="20" t="inlineStr">
        <is>
          <t>POPULAR MARUTI</t>
        </is>
      </c>
      <c r="K3835" s="20" t="inlineStr">
        <is>
          <t>Non-Captive</t>
        </is>
      </c>
      <c r="L3835" s="20" t="inlineStr">
        <is>
          <t>Abhilash</t>
        </is>
      </c>
      <c r="M3835" s="23" t="n">
        <v>8474.58</v>
      </c>
    </row>
    <row r="3836">
      <c r="A3836" s="19" t="inlineStr">
        <is>
          <t>FY27</t>
        </is>
      </c>
      <c r="B3836" s="19" t="inlineStr">
        <is>
          <t>Sep</t>
        </is>
      </c>
      <c r="C3836" s="19" t="inlineStr">
        <is>
          <t>Kerala</t>
        </is>
      </c>
      <c r="D3836" s="20" t="inlineStr">
        <is>
          <t>KL01AY4410</t>
        </is>
      </c>
      <c r="E3836" s="20" t="inlineStr">
        <is>
          <t>MARUTI SUZUKI</t>
        </is>
      </c>
      <c r="F3836" s="20" t="inlineStr">
        <is>
          <t>Dzire</t>
        </is>
      </c>
      <c r="G3836" s="21" t="n"/>
      <c r="H3836" s="22" t="n">
        <v>170000</v>
      </c>
      <c r="I3836" s="22" t="n">
        <v>115000</v>
      </c>
      <c r="J3836" s="20" t="inlineStr">
        <is>
          <t>POPULAR MARUTI</t>
        </is>
      </c>
      <c r="K3836" s="20" t="inlineStr">
        <is>
          <t>Non-Captive</t>
        </is>
      </c>
      <c r="L3836" s="20" t="inlineStr">
        <is>
          <t>Prajod</t>
        </is>
      </c>
      <c r="M3836" s="23" t="n">
        <v>8474.58</v>
      </c>
    </row>
    <row r="3837">
      <c r="A3837" s="19" t="inlineStr">
        <is>
          <t>FY27</t>
        </is>
      </c>
      <c r="B3837" s="19" t="inlineStr">
        <is>
          <t>Sep</t>
        </is>
      </c>
      <c r="C3837" s="19" t="inlineStr">
        <is>
          <t>Kerala</t>
        </is>
      </c>
      <c r="D3837" s="20" t="inlineStr">
        <is>
          <t>KL01BM7073</t>
        </is>
      </c>
      <c r="E3837" s="20" t="inlineStr">
        <is>
          <t>MARUTI SUZUKI</t>
        </is>
      </c>
      <c r="F3837" s="20" t="inlineStr">
        <is>
          <t>Wagon R</t>
        </is>
      </c>
      <c r="G3837" s="21" t="n"/>
      <c r="H3837" s="22" t="n">
        <v>81200</v>
      </c>
      <c r="I3837" s="22" t="n">
        <v>190000</v>
      </c>
      <c r="J3837" s="20" t="inlineStr">
        <is>
          <t>LUXON TATA</t>
        </is>
      </c>
      <c r="K3837" s="20" t="inlineStr">
        <is>
          <t>Non-Captive</t>
        </is>
      </c>
      <c r="L3837" s="20" t="inlineStr">
        <is>
          <t>Kishore</t>
        </is>
      </c>
      <c r="M3837" s="23" t="n">
        <v>8474.58</v>
      </c>
    </row>
    <row r="3838">
      <c r="A3838" s="19" t="inlineStr">
        <is>
          <t>FY27</t>
        </is>
      </c>
      <c r="B3838" s="19" t="inlineStr">
        <is>
          <t>Sep</t>
        </is>
      </c>
      <c r="C3838" s="19" t="inlineStr">
        <is>
          <t>Kerala</t>
        </is>
      </c>
      <c r="D3838" s="20" t="inlineStr">
        <is>
          <t>KL01BM7329</t>
        </is>
      </c>
      <c r="E3838" s="20" t="inlineStr">
        <is>
          <t>MARUTI SUZUKI</t>
        </is>
      </c>
      <c r="F3838" s="20" t="inlineStr">
        <is>
          <t>Wagon R</t>
        </is>
      </c>
      <c r="G3838" s="21" t="n"/>
      <c r="H3838" s="22" t="n">
        <v>110000</v>
      </c>
      <c r="I3838" s="22" t="n">
        <v>192000</v>
      </c>
      <c r="J3838" s="20" t="inlineStr">
        <is>
          <t>POPULAR MARUTI</t>
        </is>
      </c>
      <c r="K3838" s="20" t="inlineStr">
        <is>
          <t>Non-Captive</t>
        </is>
      </c>
      <c r="L3838" s="20" t="inlineStr">
        <is>
          <t>Muhammed Nasim</t>
        </is>
      </c>
      <c r="M3838" s="23" t="n">
        <v>5932.2</v>
      </c>
    </row>
    <row r="3839">
      <c r="A3839" s="19" t="inlineStr">
        <is>
          <t>FY27</t>
        </is>
      </c>
      <c r="B3839" s="19" t="inlineStr">
        <is>
          <t>Sep</t>
        </is>
      </c>
      <c r="C3839" s="19" t="inlineStr">
        <is>
          <t>Kerala</t>
        </is>
      </c>
      <c r="D3839" s="20" t="inlineStr">
        <is>
          <t>KL01BN5277</t>
        </is>
      </c>
      <c r="E3839" s="20" t="inlineStr">
        <is>
          <t>HYUNDAI</t>
        </is>
      </c>
      <c r="F3839" s="20" t="inlineStr">
        <is>
          <t>Grand i10</t>
        </is>
      </c>
      <c r="G3839" s="21" t="n"/>
      <c r="H3839" s="22" t="n">
        <v>59333</v>
      </c>
      <c r="I3839" s="22" t="n">
        <v>235000</v>
      </c>
      <c r="J3839" s="20" t="inlineStr">
        <is>
          <t>POPULAR HYUNDAI</t>
        </is>
      </c>
      <c r="K3839" s="20" t="inlineStr">
        <is>
          <t>Non-Captive</t>
        </is>
      </c>
      <c r="L3839" s="20" t="inlineStr">
        <is>
          <t>Manoj-Green Light Pre Owned Cars</t>
        </is>
      </c>
      <c r="M3839" s="23" t="n">
        <v>8474.58</v>
      </c>
    </row>
    <row r="3840">
      <c r="A3840" s="19" t="inlineStr">
        <is>
          <t>FY27</t>
        </is>
      </c>
      <c r="B3840" s="19" t="inlineStr">
        <is>
          <t>Sep</t>
        </is>
      </c>
      <c r="C3840" s="19" t="inlineStr">
        <is>
          <t>Kerala</t>
        </is>
      </c>
      <c r="D3840" s="20" t="inlineStr">
        <is>
          <t>KL01BU3593</t>
        </is>
      </c>
      <c r="E3840" s="20" t="inlineStr">
        <is>
          <t>MARUTI SUZUKI</t>
        </is>
      </c>
      <c r="F3840" s="20" t="inlineStr">
        <is>
          <t>Alto K10</t>
        </is>
      </c>
      <c r="G3840" s="21" t="n"/>
      <c r="H3840" s="22" t="n">
        <v>102000</v>
      </c>
      <c r="I3840" s="22" t="n">
        <v>150000</v>
      </c>
      <c r="J3840" s="20" t="inlineStr">
        <is>
          <t>LUXON TATA</t>
        </is>
      </c>
      <c r="K3840" s="20" t="inlineStr">
        <is>
          <t>Non-Captive</t>
        </is>
      </c>
      <c r="L3840" s="20" t="inlineStr">
        <is>
          <t>Prajod</t>
        </is>
      </c>
      <c r="M3840" s="23" t="n">
        <v>8474.58</v>
      </c>
    </row>
    <row r="3841">
      <c r="A3841" s="19" t="inlineStr">
        <is>
          <t>FY27</t>
        </is>
      </c>
      <c r="B3841" s="19" t="inlineStr">
        <is>
          <t>Sep</t>
        </is>
      </c>
      <c r="C3841" s="19" t="inlineStr">
        <is>
          <t>Kerala</t>
        </is>
      </c>
      <c r="D3841" s="20" t="inlineStr">
        <is>
          <t>KL01CV5037</t>
        </is>
      </c>
      <c r="E3841" s="20" t="inlineStr">
        <is>
          <t>RENAULT</t>
        </is>
      </c>
      <c r="F3841" s="20" t="inlineStr">
        <is>
          <t>Kiger</t>
        </is>
      </c>
      <c r="G3841" s="21" t="n"/>
      <c r="H3841" s="22" t="n">
        <v>35000</v>
      </c>
      <c r="I3841" s="22" t="n">
        <v>610000</v>
      </c>
      <c r="J3841" s="20" t="inlineStr">
        <is>
          <t>UCD VARUN</t>
        </is>
      </c>
      <c r="K3841" s="20" t="inlineStr">
        <is>
          <t>Non-Captive</t>
        </is>
      </c>
      <c r="L3841" s="20" t="inlineStr">
        <is>
          <t>Ligesh P M</t>
        </is>
      </c>
      <c r="M3841" s="23" t="n">
        <v>8474.58</v>
      </c>
    </row>
    <row r="3842">
      <c r="A3842" s="19" t="inlineStr">
        <is>
          <t>FY27</t>
        </is>
      </c>
      <c r="B3842" s="19" t="inlineStr">
        <is>
          <t>Sep</t>
        </is>
      </c>
      <c r="C3842" s="19" t="inlineStr">
        <is>
          <t>Kerala</t>
        </is>
      </c>
      <c r="D3842" s="20" t="inlineStr">
        <is>
          <t>KL01DA0184</t>
        </is>
      </c>
      <c r="E3842" s="20" t="inlineStr">
        <is>
          <t>MARUTI SUZUKI</t>
        </is>
      </c>
      <c r="F3842" s="20" t="inlineStr">
        <is>
          <t>Vitara Brezza</t>
        </is>
      </c>
      <c r="G3842" s="21" t="n"/>
      <c r="H3842" s="22" t="n">
        <v>23300</v>
      </c>
      <c r="I3842" s="22" t="n">
        <v>710000</v>
      </c>
      <c r="J3842" s="20" t="inlineStr">
        <is>
          <t>ABHISHEK</t>
        </is>
      </c>
      <c r="K3842" s="20" t="inlineStr">
        <is>
          <t>Non-Captive</t>
        </is>
      </c>
      <c r="L3842" s="20" t="inlineStr">
        <is>
          <t>Sunil A</t>
        </is>
      </c>
      <c r="M3842" s="23" t="n">
        <v>8474.58</v>
      </c>
    </row>
    <row r="3843">
      <c r="A3843" s="19" t="inlineStr">
        <is>
          <t>FY27</t>
        </is>
      </c>
      <c r="B3843" s="19" t="inlineStr">
        <is>
          <t>Sep</t>
        </is>
      </c>
      <c r="C3843" s="19" t="inlineStr">
        <is>
          <t>Kerala</t>
        </is>
      </c>
      <c r="D3843" s="20" t="inlineStr">
        <is>
          <t>KL01W0019</t>
        </is>
      </c>
      <c r="E3843" s="20" t="inlineStr">
        <is>
          <t>MARUTI SUZUKI</t>
        </is>
      </c>
      <c r="F3843" s="20" t="inlineStr">
        <is>
          <t>800</t>
        </is>
      </c>
      <c r="G3843" s="21" t="n"/>
      <c r="H3843" s="22" t="n">
        <v>120000</v>
      </c>
      <c r="I3843" s="22" t="n">
        <v>25000</v>
      </c>
      <c r="J3843" s="20" t="inlineStr">
        <is>
          <t>POPULAR MARUTI</t>
        </is>
      </c>
      <c r="K3843" s="20" t="inlineStr">
        <is>
          <t>Non-Captive</t>
        </is>
      </c>
      <c r="L3843" s="20" t="inlineStr">
        <is>
          <t>Abhilash G</t>
        </is>
      </c>
      <c r="M3843" s="23" t="n">
        <v>8474.58</v>
      </c>
    </row>
    <row r="3844">
      <c r="A3844" s="19" t="inlineStr">
        <is>
          <t>FY27</t>
        </is>
      </c>
      <c r="B3844" s="19" t="inlineStr">
        <is>
          <t>Sep</t>
        </is>
      </c>
      <c r="C3844" s="19" t="inlineStr">
        <is>
          <t>Kerala</t>
        </is>
      </c>
      <c r="D3844" s="20" t="inlineStr">
        <is>
          <t>KL02AD2571</t>
        </is>
      </c>
      <c r="E3844" s="20" t="inlineStr">
        <is>
          <t>HYUNDAI</t>
        </is>
      </c>
      <c r="F3844" s="20" t="inlineStr">
        <is>
          <t>Santro</t>
        </is>
      </c>
      <c r="G3844" s="21" t="n"/>
      <c r="H3844" s="22" t="n">
        <v>83000</v>
      </c>
      <c r="I3844" s="22" t="n">
        <v>60000</v>
      </c>
      <c r="J3844" s="20" t="inlineStr">
        <is>
          <t>LUXON TATA</t>
        </is>
      </c>
      <c r="K3844" s="20" t="inlineStr">
        <is>
          <t>Non-Captive</t>
        </is>
      </c>
      <c r="L3844" s="20" t="inlineStr">
        <is>
          <t>Shahar</t>
        </is>
      </c>
      <c r="M3844" s="23" t="n">
        <v>6779.66</v>
      </c>
    </row>
    <row r="3845">
      <c r="A3845" s="19" t="inlineStr">
        <is>
          <t>FY27</t>
        </is>
      </c>
      <c r="B3845" s="19" t="inlineStr">
        <is>
          <t>Sep</t>
        </is>
      </c>
      <c r="C3845" s="19" t="inlineStr">
        <is>
          <t>Kerala</t>
        </is>
      </c>
      <c r="D3845" s="20" t="inlineStr">
        <is>
          <t>KL02BD5182</t>
        </is>
      </c>
      <c r="E3845" s="20" t="inlineStr">
        <is>
          <t>RENAULT</t>
        </is>
      </c>
      <c r="F3845" s="20" t="inlineStr">
        <is>
          <t>Duster</t>
        </is>
      </c>
      <c r="G3845" s="21" t="n"/>
      <c r="H3845" s="22" t="n">
        <v>133000</v>
      </c>
      <c r="I3845" s="22" t="n">
        <v>380000</v>
      </c>
      <c r="J3845" s="20" t="inlineStr">
        <is>
          <t>MOTOXCHANGE</t>
        </is>
      </c>
      <c r="K3845" s="20" t="inlineStr">
        <is>
          <t>Non-Captive</t>
        </is>
      </c>
      <c r="L3845" s="20" t="inlineStr">
        <is>
          <t>Hussain O E</t>
        </is>
      </c>
      <c r="M3845" s="23" t="n">
        <v>8474.58</v>
      </c>
    </row>
    <row r="3846">
      <c r="A3846" s="19" t="inlineStr">
        <is>
          <t>FY27</t>
        </is>
      </c>
      <c r="B3846" s="19" t="inlineStr">
        <is>
          <t>Sep</t>
        </is>
      </c>
      <c r="C3846" s="19" t="inlineStr">
        <is>
          <t>Kerala</t>
        </is>
      </c>
      <c r="D3846" s="20" t="inlineStr">
        <is>
          <t>KL02BQ8457</t>
        </is>
      </c>
      <c r="E3846" s="20" t="inlineStr">
        <is>
          <t>TATA</t>
        </is>
      </c>
      <c r="F3846" s="20" t="inlineStr">
        <is>
          <t>Punch</t>
        </is>
      </c>
      <c r="G3846" s="21" t="n"/>
      <c r="H3846" s="22" t="n">
        <v>80000</v>
      </c>
      <c r="I3846" s="22" t="n">
        <v>428000</v>
      </c>
      <c r="J3846" s="20" t="inlineStr">
        <is>
          <t>PINNACLE NISSAN</t>
        </is>
      </c>
      <c r="K3846" s="20" t="inlineStr">
        <is>
          <t>Non-Captive</t>
        </is>
      </c>
      <c r="L3846" s="20" t="inlineStr">
        <is>
          <t>Arnold</t>
        </is>
      </c>
      <c r="M3846" s="23" t="n">
        <v>6779.66</v>
      </c>
    </row>
    <row r="3847">
      <c r="A3847" s="19" t="inlineStr">
        <is>
          <t>FY27</t>
        </is>
      </c>
      <c r="B3847" s="19" t="inlineStr">
        <is>
          <t>Sep</t>
        </is>
      </c>
      <c r="C3847" s="19" t="inlineStr">
        <is>
          <t>Kerala</t>
        </is>
      </c>
      <c r="D3847" s="20" t="inlineStr">
        <is>
          <t>KL03U8683</t>
        </is>
      </c>
      <c r="E3847" s="20" t="inlineStr">
        <is>
          <t>VOLKSWAGEN</t>
        </is>
      </c>
      <c r="F3847" s="20" t="inlineStr">
        <is>
          <t>Polo</t>
        </is>
      </c>
      <c r="G3847" s="21" t="n"/>
      <c r="H3847" s="22" t="n">
        <v>140000</v>
      </c>
      <c r="I3847" s="22" t="n">
        <v>82000</v>
      </c>
      <c r="J3847" s="20" t="inlineStr">
        <is>
          <t>LUXON TATA</t>
        </is>
      </c>
      <c r="K3847" s="20" t="inlineStr">
        <is>
          <t>Non-Captive</t>
        </is>
      </c>
      <c r="L3847" s="20" t="inlineStr">
        <is>
          <t>Athulraj</t>
        </is>
      </c>
      <c r="M3847" s="23" t="n">
        <v>5932.2</v>
      </c>
    </row>
    <row r="3848">
      <c r="A3848" s="19" t="inlineStr">
        <is>
          <t>FY27</t>
        </is>
      </c>
      <c r="B3848" s="19" t="inlineStr">
        <is>
          <t>Sep</t>
        </is>
      </c>
      <c r="C3848" s="19" t="inlineStr">
        <is>
          <t>Kerala</t>
        </is>
      </c>
      <c r="D3848" s="20" t="inlineStr">
        <is>
          <t>KL04AB3683</t>
        </is>
      </c>
      <c r="E3848" s="20" t="inlineStr">
        <is>
          <t>MARUTI SUZUKI</t>
        </is>
      </c>
      <c r="F3848" s="20" t="inlineStr">
        <is>
          <t>Dzire</t>
        </is>
      </c>
      <c r="G3848" s="21" t="n"/>
      <c r="H3848" s="22" t="n">
        <v>55443</v>
      </c>
      <c r="I3848" s="22" t="n">
        <v>110000</v>
      </c>
      <c r="J3848" s="20" t="inlineStr">
        <is>
          <t>POPULAR MARUTI</t>
        </is>
      </c>
      <c r="K3848" s="20" t="inlineStr">
        <is>
          <t>Non-Captive</t>
        </is>
      </c>
      <c r="L3848" s="20" t="inlineStr">
        <is>
          <t>Dream Drive</t>
        </is>
      </c>
      <c r="M3848" s="23" t="n">
        <v>8474.58</v>
      </c>
    </row>
    <row r="3849">
      <c r="A3849" s="19" t="inlineStr">
        <is>
          <t>FY27</t>
        </is>
      </c>
      <c r="B3849" s="19" t="inlineStr">
        <is>
          <t>Sep</t>
        </is>
      </c>
      <c r="C3849" s="19" t="inlineStr">
        <is>
          <t>Kerala</t>
        </is>
      </c>
      <c r="D3849" s="20" t="inlineStr">
        <is>
          <t>KL04AG2280</t>
        </is>
      </c>
      <c r="E3849" s="20" t="inlineStr">
        <is>
          <t>MARUTI SUZUKI</t>
        </is>
      </c>
      <c r="F3849" s="20" t="inlineStr">
        <is>
          <t>Swift</t>
        </is>
      </c>
      <c r="G3849" s="21" t="n"/>
      <c r="H3849" s="22" t="n">
        <v>115000</v>
      </c>
      <c r="I3849" s="22" t="n">
        <v>285000</v>
      </c>
      <c r="J3849" s="20" t="inlineStr">
        <is>
          <t>POPULAR MARUTI</t>
        </is>
      </c>
      <c r="K3849" s="20" t="inlineStr">
        <is>
          <t>Non-Captive</t>
        </is>
      </c>
      <c r="L3849" s="20" t="inlineStr">
        <is>
          <t>Rafeek T A</t>
        </is>
      </c>
      <c r="M3849" s="23" t="n">
        <v>12711.86</v>
      </c>
    </row>
    <row r="3850">
      <c r="A3850" s="19" t="inlineStr">
        <is>
          <t>FY27</t>
        </is>
      </c>
      <c r="B3850" s="19" t="inlineStr">
        <is>
          <t>Sep</t>
        </is>
      </c>
      <c r="C3850" s="19" t="inlineStr">
        <is>
          <t>Kerala</t>
        </is>
      </c>
      <c r="D3850" s="20" t="inlineStr">
        <is>
          <t>KL04L6652</t>
        </is>
      </c>
      <c r="E3850" s="20" t="inlineStr">
        <is>
          <t>MARUTI SUZUKI</t>
        </is>
      </c>
      <c r="F3850" s="20" t="inlineStr">
        <is>
          <t>800</t>
        </is>
      </c>
      <c r="G3850" s="21" t="n"/>
      <c r="H3850" s="22" t="n">
        <v>156057</v>
      </c>
      <c r="I3850" s="22" t="n">
        <v>22500</v>
      </c>
      <c r="J3850" s="20" t="inlineStr">
        <is>
          <t>POPULAR MARUTI</t>
        </is>
      </c>
      <c r="K3850" s="20" t="inlineStr">
        <is>
          <t>Non-Captive</t>
        </is>
      </c>
      <c r="L3850" s="20" t="inlineStr">
        <is>
          <t>Afsal</t>
        </is>
      </c>
      <c r="M3850" s="23" t="n">
        <v>6355.93</v>
      </c>
    </row>
    <row r="3851">
      <c r="A3851" s="19" t="inlineStr">
        <is>
          <t>FY27</t>
        </is>
      </c>
      <c r="B3851" s="19" t="inlineStr">
        <is>
          <t>Sep</t>
        </is>
      </c>
      <c r="C3851" s="19" t="inlineStr">
        <is>
          <t>Kerala</t>
        </is>
      </c>
      <c r="D3851" s="20" t="inlineStr">
        <is>
          <t>KL04M3633</t>
        </is>
      </c>
      <c r="E3851" s="20" t="inlineStr">
        <is>
          <t>MARUTI SUZUKI</t>
        </is>
      </c>
      <c r="F3851" s="20" t="inlineStr">
        <is>
          <t>800</t>
        </is>
      </c>
      <c r="G3851" s="21" t="n"/>
      <c r="H3851" s="22" t="n">
        <v>84425</v>
      </c>
      <c r="I3851" s="22" t="n">
        <v>26000</v>
      </c>
      <c r="J3851" s="20" t="inlineStr">
        <is>
          <t>FORTUNE MG</t>
        </is>
      </c>
      <c r="K3851" s="20" t="inlineStr">
        <is>
          <t>Non-Captive</t>
        </is>
      </c>
      <c r="L3851" s="20" t="inlineStr">
        <is>
          <t>Bijeshlal</t>
        </is>
      </c>
      <c r="M3851" s="23" t="n">
        <v>5084.75</v>
      </c>
    </row>
    <row r="3852">
      <c r="A3852" s="19" t="inlineStr">
        <is>
          <t>FY27</t>
        </is>
      </c>
      <c r="B3852" s="19" t="inlineStr">
        <is>
          <t>Sep</t>
        </is>
      </c>
      <c r="C3852" s="19" t="inlineStr">
        <is>
          <t>Kerala</t>
        </is>
      </c>
      <c r="D3852" s="20" t="inlineStr">
        <is>
          <t>KL05AG0977</t>
        </is>
      </c>
      <c r="E3852" s="20" t="inlineStr">
        <is>
          <t>HYUNDAI</t>
        </is>
      </c>
      <c r="F3852" s="20" t="inlineStr">
        <is>
          <t>Eon</t>
        </is>
      </c>
      <c r="G3852" s="21" t="n"/>
      <c r="H3852" s="22" t="n">
        <v>55464</v>
      </c>
      <c r="I3852" s="22" t="n">
        <v>135000</v>
      </c>
      <c r="J3852" s="20" t="inlineStr">
        <is>
          <t>AMRITH V CHANDY</t>
        </is>
      </c>
      <c r="K3852" s="20" t="inlineStr">
        <is>
          <t>Non-Captive</t>
        </is>
      </c>
      <c r="L3852" s="20" t="inlineStr">
        <is>
          <t>Albin Jose</t>
        </is>
      </c>
      <c r="M3852" s="23" t="n">
        <v>8474.58</v>
      </c>
    </row>
    <row r="3853">
      <c r="A3853" s="19" t="inlineStr">
        <is>
          <t>FY27</t>
        </is>
      </c>
      <c r="B3853" s="19" t="inlineStr">
        <is>
          <t>Sep</t>
        </is>
      </c>
      <c r="C3853" s="19" t="inlineStr">
        <is>
          <t>Kerala</t>
        </is>
      </c>
      <c r="D3853" s="20" t="inlineStr">
        <is>
          <t>KL05AL8497</t>
        </is>
      </c>
      <c r="E3853" s="20" t="inlineStr">
        <is>
          <t>RENAULT</t>
        </is>
      </c>
      <c r="F3853" s="20" t="inlineStr">
        <is>
          <t>Duster</t>
        </is>
      </c>
      <c r="G3853" s="21" t="n"/>
      <c r="H3853" s="22" t="n">
        <v>141894</v>
      </c>
      <c r="I3853" s="22" t="n">
        <v>275000</v>
      </c>
      <c r="J3853" s="20" t="inlineStr">
        <is>
          <t>POPULAR MARUTI</t>
        </is>
      </c>
      <c r="K3853" s="20" t="inlineStr">
        <is>
          <t>Non-Captive</t>
        </is>
      </c>
      <c r="L3853" s="20" t="inlineStr">
        <is>
          <t>Hussain O E</t>
        </is>
      </c>
      <c r="M3853" s="23" t="n">
        <v>8474.58</v>
      </c>
    </row>
    <row r="3854">
      <c r="A3854" s="19" t="inlineStr">
        <is>
          <t>FY27</t>
        </is>
      </c>
      <c r="B3854" s="19" t="inlineStr">
        <is>
          <t>Sep</t>
        </is>
      </c>
      <c r="C3854" s="19" t="inlineStr">
        <is>
          <t>Kerala</t>
        </is>
      </c>
      <c r="D3854" s="20" t="inlineStr">
        <is>
          <t>KL05AR4381</t>
        </is>
      </c>
      <c r="E3854" s="20" t="inlineStr">
        <is>
          <t>MARUTI SUZUKI</t>
        </is>
      </c>
      <c r="F3854" s="20" t="inlineStr">
        <is>
          <t>Zen Estilo</t>
        </is>
      </c>
      <c r="G3854" s="21" t="n"/>
      <c r="H3854" s="22" t="n">
        <v>94546</v>
      </c>
      <c r="I3854" s="22" t="n">
        <v>55000</v>
      </c>
      <c r="J3854" s="20" t="inlineStr">
        <is>
          <t>POPULAR VEHICLES</t>
        </is>
      </c>
      <c r="K3854" s="20" t="inlineStr">
        <is>
          <t>Non-Captive</t>
        </is>
      </c>
      <c r="L3854" s="20" t="inlineStr">
        <is>
          <t>Anas Hameed</t>
        </is>
      </c>
      <c r="M3854" s="23" t="n">
        <v>8474.58</v>
      </c>
    </row>
    <row r="3855">
      <c r="A3855" s="19" t="inlineStr">
        <is>
          <t>FY27</t>
        </is>
      </c>
      <c r="B3855" s="19" t="inlineStr">
        <is>
          <t>Sep</t>
        </is>
      </c>
      <c r="C3855" s="19" t="inlineStr">
        <is>
          <t>Kerala</t>
        </is>
      </c>
      <c r="D3855" s="20" t="inlineStr">
        <is>
          <t>KL05AS0907</t>
        </is>
      </c>
      <c r="E3855" s="20" t="inlineStr">
        <is>
          <t>MARUTI SUZUKI</t>
        </is>
      </c>
      <c r="F3855" s="20" t="inlineStr">
        <is>
          <t>Ignis</t>
        </is>
      </c>
      <c r="G3855" s="21" t="n"/>
      <c r="H3855" s="22" t="n">
        <v>61867</v>
      </c>
      <c r="I3855" s="22" t="n">
        <v>365000</v>
      </c>
      <c r="J3855" s="20" t="inlineStr">
        <is>
          <t>KIA</t>
        </is>
      </c>
      <c r="K3855" s="20" t="inlineStr">
        <is>
          <t>Non-Captive</t>
        </is>
      </c>
      <c r="L3855" s="20" t="inlineStr">
        <is>
          <t>4 Wheel Drive-Rafeek T A</t>
        </is>
      </c>
      <c r="M3855" s="23" t="n">
        <v>8474.58</v>
      </c>
    </row>
    <row r="3856">
      <c r="A3856" s="19" t="inlineStr">
        <is>
          <t>FY27</t>
        </is>
      </c>
      <c r="B3856" s="19" t="inlineStr">
        <is>
          <t>Sep</t>
        </is>
      </c>
      <c r="C3856" s="19" t="inlineStr">
        <is>
          <t>Kerala</t>
        </is>
      </c>
      <c r="D3856" s="20" t="inlineStr">
        <is>
          <t>KL05AT0310</t>
        </is>
      </c>
      <c r="E3856" s="20" t="inlineStr">
        <is>
          <t>MAHINDRA</t>
        </is>
      </c>
      <c r="F3856" s="20" t="inlineStr">
        <is>
          <t>Bolero</t>
        </is>
      </c>
      <c r="G3856" s="21" t="n"/>
      <c r="H3856" s="22" t="n">
        <v>169093</v>
      </c>
      <c r="I3856" s="22" t="n">
        <v>445000</v>
      </c>
      <c r="J3856" s="20" t="inlineStr">
        <is>
          <t>AUTOMOTIVE</t>
        </is>
      </c>
      <c r="K3856" s="20" t="inlineStr">
        <is>
          <t>Non-Captive</t>
        </is>
      </c>
      <c r="L3856" s="20" t="inlineStr">
        <is>
          <t>Williams Varghese-(Horizon Cars)</t>
        </is>
      </c>
      <c r="M3856" s="23" t="n">
        <v>8474.58</v>
      </c>
    </row>
    <row r="3857">
      <c r="A3857" s="19" t="inlineStr">
        <is>
          <t>FY27</t>
        </is>
      </c>
      <c r="B3857" s="19" t="inlineStr">
        <is>
          <t>Sep</t>
        </is>
      </c>
      <c r="C3857" s="19" t="inlineStr">
        <is>
          <t>Kerala</t>
        </is>
      </c>
      <c r="D3857" s="20" t="inlineStr">
        <is>
          <t>KL05BA6656</t>
        </is>
      </c>
      <c r="E3857" s="20" t="inlineStr">
        <is>
          <t>HYUNDAI</t>
        </is>
      </c>
      <c r="F3857" s="20" t="inlineStr">
        <is>
          <t>Venue</t>
        </is>
      </c>
      <c r="G3857" s="21" t="n"/>
      <c r="H3857" s="22" t="n">
        <v>35529</v>
      </c>
      <c r="I3857" s="22" t="n">
        <v>810000</v>
      </c>
      <c r="J3857" s="20" t="inlineStr">
        <is>
          <t>INCHEON KIA</t>
        </is>
      </c>
      <c r="K3857" s="20" t="inlineStr">
        <is>
          <t>Non-Captive</t>
        </is>
      </c>
      <c r="L3857" s="20" t="inlineStr">
        <is>
          <t>Vtj</t>
        </is>
      </c>
      <c r="M3857" s="23" t="n">
        <v>8474.58</v>
      </c>
    </row>
    <row r="3858">
      <c r="A3858" s="19" t="inlineStr">
        <is>
          <t>FY27</t>
        </is>
      </c>
      <c r="B3858" s="19" t="inlineStr">
        <is>
          <t>Sep</t>
        </is>
      </c>
      <c r="C3858" s="19" t="inlineStr">
        <is>
          <t>Kerala</t>
        </is>
      </c>
      <c r="D3858" s="20" t="inlineStr">
        <is>
          <t>KL05P1004</t>
        </is>
      </c>
      <c r="E3858" s="20" t="inlineStr">
        <is>
          <t>MARUTI SUZUKI</t>
        </is>
      </c>
      <c r="F3858" s="20" t="inlineStr">
        <is>
          <t>800</t>
        </is>
      </c>
      <c r="G3858" s="21" t="n"/>
      <c r="H3858" s="22" t="n">
        <v>192838</v>
      </c>
      <c r="I3858" s="22" t="n">
        <v>34000</v>
      </c>
      <c r="J3858" s="20" t="inlineStr">
        <is>
          <t>ALBIN JOSE</t>
        </is>
      </c>
      <c r="K3858" s="20" t="inlineStr">
        <is>
          <t>Non-Captive</t>
        </is>
      </c>
      <c r="L3858" s="20" t="inlineStr">
        <is>
          <t>Anas Hameed</t>
        </is>
      </c>
      <c r="M3858" s="23" t="n">
        <v>8474.58</v>
      </c>
    </row>
    <row r="3859">
      <c r="A3859" s="19" t="inlineStr">
        <is>
          <t>FY27</t>
        </is>
      </c>
      <c r="B3859" s="19" t="inlineStr">
        <is>
          <t>Sep</t>
        </is>
      </c>
      <c r="C3859" s="19" t="inlineStr">
        <is>
          <t>Kerala</t>
        </is>
      </c>
      <c r="D3859" s="20" t="inlineStr">
        <is>
          <t>KL07BG1636</t>
        </is>
      </c>
      <c r="E3859" s="20" t="inlineStr">
        <is>
          <t>MARUTI SUZUKI</t>
        </is>
      </c>
      <c r="F3859" s="20" t="inlineStr">
        <is>
          <t>Wagon R</t>
        </is>
      </c>
      <c r="G3859" s="21" t="n"/>
      <c r="H3859" s="22" t="n">
        <v>145000</v>
      </c>
      <c r="I3859" s="22" t="n">
        <v>55000</v>
      </c>
      <c r="J3859" s="20" t="inlineStr">
        <is>
          <t>INCHEON KIA</t>
        </is>
      </c>
      <c r="K3859" s="20" t="inlineStr">
        <is>
          <t>Non-Captive</t>
        </is>
      </c>
      <c r="L3859" s="20" t="inlineStr">
        <is>
          <t>Desanth</t>
        </is>
      </c>
      <c r="M3859" s="23" t="n">
        <v>6779.66</v>
      </c>
    </row>
    <row r="3860">
      <c r="A3860" s="19" t="inlineStr">
        <is>
          <t>FY27</t>
        </is>
      </c>
      <c r="B3860" s="19" t="inlineStr">
        <is>
          <t>Sep</t>
        </is>
      </c>
      <c r="C3860" s="19" t="inlineStr">
        <is>
          <t>Kerala</t>
        </is>
      </c>
      <c r="D3860" s="20" t="inlineStr">
        <is>
          <t>KL07BS4748</t>
        </is>
      </c>
      <c r="E3860" s="20" t="inlineStr">
        <is>
          <t>HYUNDAI</t>
        </is>
      </c>
      <c r="F3860" s="20" t="inlineStr">
        <is>
          <t>i10</t>
        </is>
      </c>
      <c r="G3860" s="21" t="n"/>
      <c r="H3860" s="22" t="n">
        <v>52891</v>
      </c>
      <c r="I3860" s="22" t="n">
        <v>75000</v>
      </c>
      <c r="J3860" s="20" t="inlineStr">
        <is>
          <t>MOTOXCHANGE</t>
        </is>
      </c>
      <c r="K3860" s="20" t="inlineStr">
        <is>
          <t>Non-Captive</t>
        </is>
      </c>
      <c r="L3860" s="20" t="inlineStr">
        <is>
          <t>Anson</t>
        </is>
      </c>
      <c r="M3860" s="23" t="n">
        <v>8474.58</v>
      </c>
    </row>
    <row r="3861">
      <c r="A3861" s="19" t="inlineStr">
        <is>
          <t>FY27</t>
        </is>
      </c>
      <c r="B3861" s="19" t="inlineStr">
        <is>
          <t>Sep</t>
        </is>
      </c>
      <c r="C3861" s="19" t="inlineStr">
        <is>
          <t>Kerala</t>
        </is>
      </c>
      <c r="D3861" s="20" t="inlineStr">
        <is>
          <t>KL07BS5865</t>
        </is>
      </c>
      <c r="E3861" s="20" t="inlineStr">
        <is>
          <t>MARUTI SUZUKI</t>
        </is>
      </c>
      <c r="F3861" s="20" t="inlineStr">
        <is>
          <t>Alto</t>
        </is>
      </c>
      <c r="G3861" s="21" t="n"/>
      <c r="H3861" s="22" t="n">
        <v>54760</v>
      </c>
      <c r="I3861" s="22" t="n">
        <v>95000</v>
      </c>
      <c r="J3861" s="20" t="inlineStr">
        <is>
          <t>POPULAR MARUTI</t>
        </is>
      </c>
      <c r="K3861" s="20" t="inlineStr">
        <is>
          <t>Non-Captive</t>
        </is>
      </c>
      <c r="L3861" s="20" t="inlineStr">
        <is>
          <t>Hussain O E</t>
        </is>
      </c>
      <c r="M3861" s="23" t="n">
        <v>8474.58</v>
      </c>
    </row>
    <row r="3862">
      <c r="A3862" s="19" t="inlineStr">
        <is>
          <t>FY27</t>
        </is>
      </c>
      <c r="B3862" s="19" t="inlineStr">
        <is>
          <t>Sep</t>
        </is>
      </c>
      <c r="C3862" s="19" t="inlineStr">
        <is>
          <t>Kerala</t>
        </is>
      </c>
      <c r="D3862" s="20" t="inlineStr">
        <is>
          <t>KL07BX3316</t>
        </is>
      </c>
      <c r="E3862" s="20" t="inlineStr">
        <is>
          <t>FORD</t>
        </is>
      </c>
      <c r="F3862" s="20" t="inlineStr">
        <is>
          <t>Figo</t>
        </is>
      </c>
      <c r="G3862" s="21" t="n"/>
      <c r="H3862" s="22" t="n">
        <v>96500</v>
      </c>
      <c r="I3862" s="22" t="n">
        <v>120000</v>
      </c>
      <c r="J3862" s="20" t="inlineStr">
        <is>
          <t>POPULAR MARUTI</t>
        </is>
      </c>
      <c r="K3862" s="20" t="inlineStr">
        <is>
          <t>Non-Captive</t>
        </is>
      </c>
      <c r="L3862" s="20" t="inlineStr">
        <is>
          <t>Hussain O E</t>
        </is>
      </c>
      <c r="M3862" s="23" t="n">
        <v>8474.58</v>
      </c>
    </row>
    <row r="3863">
      <c r="A3863" s="19" t="inlineStr">
        <is>
          <t>FY27</t>
        </is>
      </c>
      <c r="B3863" s="19" t="inlineStr">
        <is>
          <t>Sep</t>
        </is>
      </c>
      <c r="C3863" s="19" t="inlineStr">
        <is>
          <t>Kerala</t>
        </is>
      </c>
      <c r="D3863" s="20" t="inlineStr">
        <is>
          <t>KL07CD8865</t>
        </is>
      </c>
      <c r="E3863" s="20" t="inlineStr">
        <is>
          <t>HYUNDAI</t>
        </is>
      </c>
      <c r="F3863" s="20" t="inlineStr">
        <is>
          <t>i20 Active</t>
        </is>
      </c>
      <c r="G3863" s="21" t="n"/>
      <c r="H3863" s="22" t="n">
        <v>52882</v>
      </c>
      <c r="I3863" s="22" t="n">
        <v>330000</v>
      </c>
      <c r="J3863" s="20" t="inlineStr">
        <is>
          <t>INCHEON KIA</t>
        </is>
      </c>
      <c r="K3863" s="20" t="inlineStr">
        <is>
          <t>Non-Captive</t>
        </is>
      </c>
      <c r="L3863" s="20" t="inlineStr">
        <is>
          <t>Abdul Salam K K</t>
        </is>
      </c>
      <c r="M3863" s="23" t="n">
        <v>8474.58</v>
      </c>
    </row>
    <row r="3864">
      <c r="A3864" s="19" t="inlineStr">
        <is>
          <t>FY27</t>
        </is>
      </c>
      <c r="B3864" s="19" t="inlineStr">
        <is>
          <t>Sep</t>
        </is>
      </c>
      <c r="C3864" s="19" t="inlineStr">
        <is>
          <t>Kerala</t>
        </is>
      </c>
      <c r="D3864" s="20" t="inlineStr">
        <is>
          <t>KL07CF0359</t>
        </is>
      </c>
      <c r="E3864" s="20" t="inlineStr">
        <is>
          <t>TATA</t>
        </is>
      </c>
      <c r="F3864" s="20" t="inlineStr">
        <is>
          <t>Nano</t>
        </is>
      </c>
      <c r="G3864" s="21" t="n"/>
      <c r="H3864" s="22" t="n">
        <v>31453</v>
      </c>
      <c r="I3864" s="22" t="n">
        <v>145000</v>
      </c>
      <c r="J3864" s="20" t="inlineStr">
        <is>
          <t>ANAS HAMEED</t>
        </is>
      </c>
      <c r="K3864" s="20" t="inlineStr">
        <is>
          <t>Non-Captive</t>
        </is>
      </c>
      <c r="L3864" s="20" t="inlineStr">
        <is>
          <t>Albin Jose</t>
        </is>
      </c>
      <c r="M3864" s="23" t="n">
        <v>8474.58</v>
      </c>
    </row>
    <row r="3865">
      <c r="A3865" s="19" t="inlineStr">
        <is>
          <t>FY27</t>
        </is>
      </c>
      <c r="B3865" s="19" t="inlineStr">
        <is>
          <t>Sep</t>
        </is>
      </c>
      <c r="C3865" s="19" t="inlineStr">
        <is>
          <t>Kerala</t>
        </is>
      </c>
      <c r="D3865" s="20" t="inlineStr">
        <is>
          <t>KL07CM4892</t>
        </is>
      </c>
      <c r="E3865" s="20" t="inlineStr">
        <is>
          <t>FORD</t>
        </is>
      </c>
      <c r="F3865" s="20" t="inlineStr">
        <is>
          <t>EcoSport</t>
        </is>
      </c>
      <c r="G3865" s="21" t="n"/>
      <c r="H3865" s="22" t="n">
        <v>72363</v>
      </c>
      <c r="I3865" s="22" t="n">
        <v>420000</v>
      </c>
      <c r="J3865" s="20" t="inlineStr">
        <is>
          <t>AUTOMOTIVE</t>
        </is>
      </c>
      <c r="K3865" s="20" t="inlineStr">
        <is>
          <t>Non-Captive</t>
        </is>
      </c>
      <c r="L3865" s="20" t="inlineStr">
        <is>
          <t>Sabir</t>
        </is>
      </c>
      <c r="M3865" s="23" t="n">
        <v>8474.58</v>
      </c>
    </row>
    <row r="3866">
      <c r="A3866" s="19" t="inlineStr">
        <is>
          <t>FY27</t>
        </is>
      </c>
      <c r="B3866" s="19" t="inlineStr">
        <is>
          <t>Sep</t>
        </is>
      </c>
      <c r="C3866" s="19" t="inlineStr">
        <is>
          <t>Kerala</t>
        </is>
      </c>
      <c r="D3866" s="20" t="inlineStr">
        <is>
          <t>KL07CQ6333</t>
        </is>
      </c>
      <c r="E3866" s="20" t="inlineStr">
        <is>
          <t>TATA</t>
        </is>
      </c>
      <c r="F3866" s="20" t="inlineStr">
        <is>
          <t>Nexon</t>
        </is>
      </c>
      <c r="G3866" s="21" t="n"/>
      <c r="H3866" s="22" t="n">
        <v>31447</v>
      </c>
      <c r="I3866" s="22" t="n">
        <v>465000</v>
      </c>
      <c r="J3866" s="20" t="inlineStr">
        <is>
          <t>GOKULAM TATA</t>
        </is>
      </c>
      <c r="K3866" s="20" t="inlineStr">
        <is>
          <t>Non-Captive</t>
        </is>
      </c>
      <c r="L3866" s="20" t="inlineStr">
        <is>
          <t>Dream Cars</t>
        </is>
      </c>
      <c r="M3866" s="23" t="n">
        <v>8474.58</v>
      </c>
    </row>
    <row r="3867">
      <c r="A3867" s="19" t="inlineStr">
        <is>
          <t>FY27</t>
        </is>
      </c>
      <c r="B3867" s="19" t="inlineStr">
        <is>
          <t>Sep</t>
        </is>
      </c>
      <c r="C3867" s="19" t="inlineStr">
        <is>
          <t>Kerala</t>
        </is>
      </c>
      <c r="D3867" s="20" t="inlineStr">
        <is>
          <t>KL07DA6858</t>
        </is>
      </c>
      <c r="E3867" s="20" t="inlineStr">
        <is>
          <t>TOYOTA</t>
        </is>
      </c>
      <c r="F3867" s="20" t="inlineStr">
        <is>
          <t>Hyryder</t>
        </is>
      </c>
      <c r="G3867" s="21" t="n"/>
      <c r="H3867" s="22" t="n">
        <v>35000</v>
      </c>
      <c r="I3867" s="22" t="n">
        <v>1615000</v>
      </c>
      <c r="J3867" s="20" t="inlineStr">
        <is>
          <t>INDUS MARUTI</t>
        </is>
      </c>
      <c r="K3867" s="20" t="inlineStr">
        <is>
          <t>Non-Captive</t>
        </is>
      </c>
      <c r="L3867" s="20" t="inlineStr">
        <is>
          <t>Abdul Salam P U</t>
        </is>
      </c>
      <c r="M3867" s="23" t="n">
        <v>8474.58</v>
      </c>
    </row>
    <row r="3868">
      <c r="A3868" s="19" t="inlineStr">
        <is>
          <t>FY27</t>
        </is>
      </c>
      <c r="B3868" s="19" t="inlineStr">
        <is>
          <t>Sep</t>
        </is>
      </c>
      <c r="C3868" s="19" t="inlineStr">
        <is>
          <t>Kerala</t>
        </is>
      </c>
      <c r="D3868" s="20" t="inlineStr">
        <is>
          <t>KL08BY5440</t>
        </is>
      </c>
      <c r="E3868" s="20" t="inlineStr">
        <is>
          <t>SKODA</t>
        </is>
      </c>
      <c r="F3868" s="20" t="inlineStr">
        <is>
          <t>Slavia</t>
        </is>
      </c>
      <c r="G3868" s="21" t="n"/>
      <c r="H3868" s="22" t="n">
        <v>34255</v>
      </c>
      <c r="I3868" s="22" t="n">
        <v>760000</v>
      </c>
      <c r="J3868" s="20" t="inlineStr">
        <is>
          <t>PHOENIX VOLKSWAGEN</t>
        </is>
      </c>
      <c r="K3868" s="20" t="inlineStr">
        <is>
          <t>Non-Captive</t>
        </is>
      </c>
      <c r="L3868" s="20" t="inlineStr">
        <is>
          <t>Tg7(Reswin)</t>
        </is>
      </c>
      <c r="M3868" s="23" t="n">
        <v>8474.58</v>
      </c>
    </row>
    <row r="3869">
      <c r="A3869" s="19" t="inlineStr">
        <is>
          <t>FY27</t>
        </is>
      </c>
      <c r="B3869" s="19" t="inlineStr">
        <is>
          <t>Sep</t>
        </is>
      </c>
      <c r="C3869" s="19" t="inlineStr">
        <is>
          <t>Kerala</t>
        </is>
      </c>
      <c r="D3869" s="20" t="inlineStr">
        <is>
          <t>KL11AC2647</t>
        </is>
      </c>
      <c r="E3869" s="20" t="inlineStr">
        <is>
          <t>HYUNDAI</t>
        </is>
      </c>
      <c r="F3869" s="20" t="inlineStr">
        <is>
          <t>i10</t>
        </is>
      </c>
      <c r="G3869" s="21" t="n"/>
      <c r="H3869" s="22" t="n">
        <v>66000</v>
      </c>
      <c r="I3869" s="22" t="n">
        <v>55000</v>
      </c>
      <c r="J3869" s="20" t="inlineStr">
        <is>
          <t>EVM CITROEN</t>
        </is>
      </c>
      <c r="K3869" s="20" t="inlineStr">
        <is>
          <t>Non-Captive</t>
        </is>
      </c>
      <c r="L3869" s="20" t="inlineStr">
        <is>
          <t>Dinesh V</t>
        </is>
      </c>
      <c r="M3869" s="23" t="n">
        <v>4237.29</v>
      </c>
    </row>
    <row r="3870">
      <c r="A3870" s="19" t="inlineStr">
        <is>
          <t>FY27</t>
        </is>
      </c>
      <c r="B3870" s="19" t="inlineStr">
        <is>
          <t>Sep</t>
        </is>
      </c>
      <c r="C3870" s="19" t="inlineStr">
        <is>
          <t>Kerala</t>
        </is>
      </c>
      <c r="D3870" s="20" t="inlineStr">
        <is>
          <t>KL11BC0769</t>
        </is>
      </c>
      <c r="E3870" s="20" t="inlineStr">
        <is>
          <t>MARUTI SUZUKI</t>
        </is>
      </c>
      <c r="F3870" s="20" t="inlineStr">
        <is>
          <t>Swift</t>
        </is>
      </c>
      <c r="G3870" s="21" t="n"/>
      <c r="H3870" s="22" t="n">
        <v>69000</v>
      </c>
      <c r="I3870" s="22" t="n">
        <v>356000</v>
      </c>
      <c r="J3870" s="20" t="inlineStr">
        <is>
          <t>KVR TATA</t>
        </is>
      </c>
      <c r="K3870" s="20" t="inlineStr">
        <is>
          <t>Non-Captive</t>
        </is>
      </c>
      <c r="L3870" s="20" t="inlineStr">
        <is>
          <t>Suraj P K</t>
        </is>
      </c>
      <c r="M3870" s="23" t="n">
        <v>5084.75</v>
      </c>
    </row>
    <row r="3871">
      <c r="A3871" s="19" t="inlineStr">
        <is>
          <t>FY27</t>
        </is>
      </c>
      <c r="B3871" s="19" t="inlineStr">
        <is>
          <t>Sep</t>
        </is>
      </c>
      <c r="C3871" s="19" t="inlineStr">
        <is>
          <t>Kerala</t>
        </is>
      </c>
      <c r="D3871" s="20" t="inlineStr">
        <is>
          <t>KL11BL7968</t>
        </is>
      </c>
      <c r="E3871" s="20" t="inlineStr">
        <is>
          <t>HYUNDAI</t>
        </is>
      </c>
      <c r="F3871" s="20" t="inlineStr">
        <is>
          <t>Grand i10</t>
        </is>
      </c>
      <c r="G3871" s="21" t="n"/>
      <c r="H3871" s="22" t="n">
        <v>54000</v>
      </c>
      <c r="I3871" s="22" t="n">
        <v>310000</v>
      </c>
      <c r="J3871" s="20" t="inlineStr">
        <is>
          <t>EVM SKODA</t>
        </is>
      </c>
      <c r="K3871" s="20" t="inlineStr">
        <is>
          <t>Non-Captive</t>
        </is>
      </c>
      <c r="L3871" s="20" t="inlineStr">
        <is>
          <t>Nisha Mary Mathew</t>
        </is>
      </c>
      <c r="M3871" s="23" t="n">
        <v>8474.58</v>
      </c>
    </row>
    <row r="3872">
      <c r="A3872" s="19" t="inlineStr">
        <is>
          <t>FY27</t>
        </is>
      </c>
      <c r="B3872" s="19" t="inlineStr">
        <is>
          <t>Sep</t>
        </is>
      </c>
      <c r="C3872" s="19" t="inlineStr">
        <is>
          <t>Kerala</t>
        </is>
      </c>
      <c r="D3872" s="20" t="inlineStr">
        <is>
          <t>KL12F7794</t>
        </is>
      </c>
      <c r="E3872" s="20" t="inlineStr">
        <is>
          <t>MARUTI SUZUKI</t>
        </is>
      </c>
      <c r="F3872" s="20" t="inlineStr">
        <is>
          <t>Eeco</t>
        </is>
      </c>
      <c r="G3872" s="21" t="n"/>
      <c r="H3872" s="22" t="n">
        <v>178000</v>
      </c>
      <c r="I3872" s="22" t="n">
        <v>115000</v>
      </c>
      <c r="J3872" s="20" t="inlineStr">
        <is>
          <t>AM MOTORS</t>
        </is>
      </c>
      <c r="K3872" s="20" t="inlineStr">
        <is>
          <t>Non-Captive</t>
        </is>
      </c>
      <c r="L3872" s="20" t="inlineStr">
        <is>
          <t>Vidin Raj K</t>
        </is>
      </c>
      <c r="M3872" s="23" t="n">
        <v>4237.29</v>
      </c>
    </row>
    <row r="3873">
      <c r="A3873" s="19" t="inlineStr">
        <is>
          <t>FY27</t>
        </is>
      </c>
      <c r="B3873" s="19" t="inlineStr">
        <is>
          <t>Sep</t>
        </is>
      </c>
      <c r="C3873" s="19" t="inlineStr">
        <is>
          <t>Kerala</t>
        </is>
      </c>
      <c r="D3873" s="20" t="inlineStr">
        <is>
          <t>KL13AR1279</t>
        </is>
      </c>
      <c r="E3873" s="20" t="inlineStr">
        <is>
          <t>RENAULT</t>
        </is>
      </c>
      <c r="F3873" s="20" t="inlineStr">
        <is>
          <t>Triber</t>
        </is>
      </c>
      <c r="G3873" s="21" t="n"/>
      <c r="H3873" s="22" t="n">
        <v>65111</v>
      </c>
      <c r="I3873" s="22" t="n">
        <v>285000</v>
      </c>
      <c r="J3873" s="20" t="inlineStr">
        <is>
          <t>OLX</t>
        </is>
      </c>
      <c r="K3873" s="20" t="inlineStr">
        <is>
          <t>Non-Captive</t>
        </is>
      </c>
      <c r="L3873" s="20" t="inlineStr">
        <is>
          <t>Abdul Salam P U</t>
        </is>
      </c>
      <c r="M3873" s="23" t="n">
        <v>8474.58</v>
      </c>
    </row>
    <row r="3874">
      <c r="A3874" s="19" t="inlineStr">
        <is>
          <t>FY27</t>
        </is>
      </c>
      <c r="B3874" s="19" t="inlineStr">
        <is>
          <t>Sep</t>
        </is>
      </c>
      <c r="C3874" s="19" t="inlineStr">
        <is>
          <t>Kerala</t>
        </is>
      </c>
      <c r="D3874" s="20" t="inlineStr">
        <is>
          <t>KL13AR5609</t>
        </is>
      </c>
      <c r="E3874" s="20" t="inlineStr">
        <is>
          <t>TATA</t>
        </is>
      </c>
      <c r="F3874" s="20" t="inlineStr">
        <is>
          <t>Tiago</t>
        </is>
      </c>
      <c r="G3874" s="21" t="n"/>
      <c r="H3874" s="22" t="n">
        <v>9200</v>
      </c>
      <c r="I3874" s="22" t="n">
        <v>445000</v>
      </c>
      <c r="J3874" s="20" t="inlineStr">
        <is>
          <t>KVR TATA</t>
        </is>
      </c>
      <c r="K3874" s="20" t="inlineStr">
        <is>
          <t>Non-Captive</t>
        </is>
      </c>
      <c r="L3874" s="20" t="inlineStr">
        <is>
          <t>Muhammed Vasil Mk</t>
        </is>
      </c>
      <c r="M3874" s="23" t="n">
        <v>4237.29</v>
      </c>
    </row>
    <row r="3875">
      <c r="A3875" s="19" t="inlineStr">
        <is>
          <t>FY27</t>
        </is>
      </c>
      <c r="B3875" s="19" t="inlineStr">
        <is>
          <t>Sep</t>
        </is>
      </c>
      <c r="C3875" s="19" t="inlineStr">
        <is>
          <t>Kerala</t>
        </is>
      </c>
      <c r="D3875" s="20" t="inlineStr">
        <is>
          <t>KL13AX0627</t>
        </is>
      </c>
      <c r="E3875" s="20" t="inlineStr">
        <is>
          <t>MARUTI SUZUKI</t>
        </is>
      </c>
      <c r="F3875" s="20" t="inlineStr">
        <is>
          <t>Wagon R</t>
        </is>
      </c>
      <c r="G3875" s="21" t="n"/>
      <c r="H3875" s="22" t="n">
        <v>34000</v>
      </c>
      <c r="I3875" s="22" t="n">
        <v>551000</v>
      </c>
      <c r="J3875" s="20" t="inlineStr">
        <is>
          <t>APCO HYUNDAI</t>
        </is>
      </c>
      <c r="K3875" s="20" t="inlineStr">
        <is>
          <t>Non-Captive</t>
        </is>
      </c>
      <c r="L3875" s="20" t="inlineStr">
        <is>
          <t>Shinoj Kk</t>
        </is>
      </c>
      <c r="M3875" s="23" t="n">
        <v>5084.75</v>
      </c>
    </row>
    <row r="3876">
      <c r="A3876" s="19" t="inlineStr">
        <is>
          <t>FY27</t>
        </is>
      </c>
      <c r="B3876" s="19" t="inlineStr">
        <is>
          <t>Sep</t>
        </is>
      </c>
      <c r="C3876" s="19" t="inlineStr">
        <is>
          <t>Kerala</t>
        </is>
      </c>
      <c r="D3876" s="20" t="inlineStr">
        <is>
          <t>KL13R9787</t>
        </is>
      </c>
      <c r="E3876" s="20" t="inlineStr">
        <is>
          <t>MARUTI SUZUKI</t>
        </is>
      </c>
      <c r="F3876" s="20" t="inlineStr">
        <is>
          <t>Wagon R</t>
        </is>
      </c>
      <c r="G3876" s="21" t="n"/>
      <c r="H3876" s="22" t="n">
        <v>200000</v>
      </c>
      <c r="I3876" s="22" t="n">
        <v>6000</v>
      </c>
      <c r="J3876" s="20" t="inlineStr">
        <is>
          <t>POPULAR MARUTI</t>
        </is>
      </c>
      <c r="K3876" s="20" t="inlineStr">
        <is>
          <t>Non-Captive</t>
        </is>
      </c>
      <c r="L3876" s="20" t="inlineStr">
        <is>
          <t>Autotrust</t>
        </is>
      </c>
      <c r="M3876" s="23" t="n">
        <v>5084.75</v>
      </c>
    </row>
    <row r="3877">
      <c r="A3877" s="19" t="inlineStr">
        <is>
          <t>FY27</t>
        </is>
      </c>
      <c r="B3877" s="19" t="inlineStr">
        <is>
          <t>Sep</t>
        </is>
      </c>
      <c r="C3877" s="19" t="inlineStr">
        <is>
          <t>Kerala</t>
        </is>
      </c>
      <c r="D3877" s="20" t="inlineStr">
        <is>
          <t>KL13Z2325</t>
        </is>
      </c>
      <c r="E3877" s="20" t="inlineStr">
        <is>
          <t>MARUTI SUZUKI</t>
        </is>
      </c>
      <c r="F3877" s="20" t="inlineStr">
        <is>
          <t>Alto</t>
        </is>
      </c>
      <c r="G3877" s="21" t="n"/>
      <c r="H3877" s="22" t="n">
        <v>52000</v>
      </c>
      <c r="I3877" s="22" t="n">
        <v>120000</v>
      </c>
      <c r="J3877" s="20" t="inlineStr">
        <is>
          <t>POPULAR MARUTI</t>
        </is>
      </c>
      <c r="K3877" s="20" t="inlineStr">
        <is>
          <t>Non-Captive</t>
        </is>
      </c>
      <c r="L3877" s="20" t="inlineStr">
        <is>
          <t>Fareeda Bhanu</t>
        </is>
      </c>
      <c r="M3877" s="23" t="n">
        <v>8474.58</v>
      </c>
    </row>
    <row r="3878">
      <c r="A3878" s="19" t="inlineStr">
        <is>
          <t>FY27</t>
        </is>
      </c>
      <c r="B3878" s="19" t="inlineStr">
        <is>
          <t>Sep</t>
        </is>
      </c>
      <c r="C3878" s="19" t="inlineStr">
        <is>
          <t>Kerala</t>
        </is>
      </c>
      <c r="D3878" s="20" t="inlineStr">
        <is>
          <t>KL14P6710</t>
        </is>
      </c>
      <c r="E3878" s="20" t="inlineStr">
        <is>
          <t>HYUNDAI</t>
        </is>
      </c>
      <c r="F3878" s="20" t="inlineStr">
        <is>
          <t>Grand i10</t>
        </is>
      </c>
      <c r="G3878" s="21" t="n"/>
      <c r="H3878" s="22" t="n">
        <v>79000</v>
      </c>
      <c r="I3878" s="22" t="n">
        <v>215000</v>
      </c>
      <c r="J3878" s="20" t="inlineStr">
        <is>
          <t>APCO HYUNDAI</t>
        </is>
      </c>
      <c r="K3878" s="20" t="inlineStr">
        <is>
          <t>Non-Captive</t>
        </is>
      </c>
      <c r="L3878" s="20" t="inlineStr">
        <is>
          <t>Kannur Platinum Drive</t>
        </is>
      </c>
      <c r="M3878" s="23" t="n">
        <v>4237.29</v>
      </c>
    </row>
    <row r="3879">
      <c r="A3879" s="19" t="inlineStr">
        <is>
          <t>FY27</t>
        </is>
      </c>
      <c r="B3879" s="19" t="inlineStr">
        <is>
          <t>Sep</t>
        </is>
      </c>
      <c r="C3879" s="19" t="inlineStr">
        <is>
          <t>Kerala</t>
        </is>
      </c>
      <c r="D3879" s="20" t="inlineStr">
        <is>
          <t>KL14V9215</t>
        </is>
      </c>
      <c r="E3879" s="20" t="inlineStr">
        <is>
          <t>MAHINDRA</t>
        </is>
      </c>
      <c r="F3879" s="20" t="inlineStr">
        <is>
          <t>KUV100</t>
        </is>
      </c>
      <c r="G3879" s="21" t="n"/>
      <c r="H3879" s="22" t="n">
        <v>58000</v>
      </c>
      <c r="I3879" s="22" t="n">
        <v>205000</v>
      </c>
      <c r="J3879" s="20" t="inlineStr">
        <is>
          <t>SARITH UCD</t>
        </is>
      </c>
      <c r="K3879" s="20" t="inlineStr">
        <is>
          <t>Non-Captive</t>
        </is>
      </c>
      <c r="L3879" s="20" t="inlineStr">
        <is>
          <t>Vidin Raj K</t>
        </is>
      </c>
      <c r="M3879" s="23" t="n">
        <v>4237.29</v>
      </c>
    </row>
    <row r="3880">
      <c r="A3880" s="19" t="inlineStr">
        <is>
          <t>FY27</t>
        </is>
      </c>
      <c r="B3880" s="19" t="inlineStr">
        <is>
          <t>Sep</t>
        </is>
      </c>
      <c r="C3880" s="19" t="inlineStr">
        <is>
          <t>Kerala</t>
        </is>
      </c>
      <c r="D3880" s="20" t="inlineStr">
        <is>
          <t>KL16E3668</t>
        </is>
      </c>
      <c r="E3880" s="20" t="inlineStr">
        <is>
          <t>CHEVROLET</t>
        </is>
      </c>
      <c r="F3880" s="20" t="inlineStr">
        <is>
          <t>Spark</t>
        </is>
      </c>
      <c r="G3880" s="21" t="n"/>
      <c r="H3880" s="22" t="n">
        <v>56500</v>
      </c>
      <c r="I3880" s="22" t="n">
        <v>25000</v>
      </c>
      <c r="J3880" s="20" t="inlineStr">
        <is>
          <t>LUXON TATA</t>
        </is>
      </c>
      <c r="K3880" s="20" t="inlineStr">
        <is>
          <t>Non-Captive</t>
        </is>
      </c>
      <c r="L3880" s="20" t="inlineStr">
        <is>
          <t>Abhishek M</t>
        </is>
      </c>
      <c r="M3880" s="23" t="n">
        <v>4237.29</v>
      </c>
    </row>
    <row r="3881">
      <c r="A3881" s="19" t="inlineStr">
        <is>
          <t>FY27</t>
        </is>
      </c>
      <c r="B3881" s="19" t="inlineStr">
        <is>
          <t>Sep</t>
        </is>
      </c>
      <c r="C3881" s="19" t="inlineStr">
        <is>
          <t>Kerala</t>
        </is>
      </c>
      <c r="D3881" s="20" t="inlineStr">
        <is>
          <t>KL16R7655</t>
        </is>
      </c>
      <c r="E3881" s="20" t="inlineStr">
        <is>
          <t>RENAULT</t>
        </is>
      </c>
      <c r="F3881" s="20" t="inlineStr">
        <is>
          <t>Kwid</t>
        </is>
      </c>
      <c r="G3881" s="21" t="n"/>
      <c r="H3881" s="22" t="n">
        <v>53000</v>
      </c>
      <c r="I3881" s="22" t="n">
        <v>208000</v>
      </c>
      <c r="J3881" s="20" t="inlineStr">
        <is>
          <t>SARATHY NEXA</t>
        </is>
      </c>
      <c r="K3881" s="20" t="inlineStr">
        <is>
          <t>Non-Captive</t>
        </is>
      </c>
      <c r="L3881" s="20" t="inlineStr">
        <is>
          <t>Sajin Satheesan</t>
        </is>
      </c>
      <c r="M3881" s="23" t="n">
        <v>6779.66</v>
      </c>
    </row>
    <row r="3882">
      <c r="A3882" s="19" t="inlineStr">
        <is>
          <t>FY27</t>
        </is>
      </c>
      <c r="B3882" s="19" t="inlineStr">
        <is>
          <t>Sep</t>
        </is>
      </c>
      <c r="C3882" s="19" t="inlineStr">
        <is>
          <t>Kerala</t>
        </is>
      </c>
      <c r="D3882" s="20" t="inlineStr">
        <is>
          <t>KL17F2083</t>
        </is>
      </c>
      <c r="E3882" s="20" t="inlineStr">
        <is>
          <t>TATA</t>
        </is>
      </c>
      <c r="F3882" s="20" t="inlineStr">
        <is>
          <t>Indigo</t>
        </is>
      </c>
      <c r="G3882" s="21" t="n"/>
      <c r="H3882" s="22" t="n">
        <v>79918</v>
      </c>
      <c r="I3882" s="22" t="n">
        <v>32000</v>
      </c>
      <c r="J3882" s="20" t="inlineStr">
        <is>
          <t>POPULAR MARUTI</t>
        </is>
      </c>
      <c r="K3882" s="20" t="inlineStr">
        <is>
          <t>Non-Captive</t>
        </is>
      </c>
      <c r="L3882" s="20" t="inlineStr">
        <is>
          <t>Abdul Salam P U</t>
        </is>
      </c>
      <c r="M3882" s="23" t="n">
        <v>5932.2</v>
      </c>
    </row>
    <row r="3883">
      <c r="A3883" s="19" t="inlineStr">
        <is>
          <t>FY27</t>
        </is>
      </c>
      <c r="B3883" s="19" t="inlineStr">
        <is>
          <t>Sep</t>
        </is>
      </c>
      <c r="C3883" s="19" t="inlineStr">
        <is>
          <t>Kerala</t>
        </is>
      </c>
      <c r="D3883" s="20" t="inlineStr">
        <is>
          <t>KL17P0641</t>
        </is>
      </c>
      <c r="E3883" s="20" t="inlineStr">
        <is>
          <t>RENAULT</t>
        </is>
      </c>
      <c r="F3883" s="20" t="inlineStr">
        <is>
          <t>Duster</t>
        </is>
      </c>
      <c r="G3883" s="21" t="n"/>
      <c r="H3883" s="22" t="n">
        <v>80000</v>
      </c>
      <c r="I3883" s="22" t="n">
        <v>385000</v>
      </c>
      <c r="J3883" s="20" t="inlineStr">
        <is>
          <t>ALBIN JOSE</t>
        </is>
      </c>
      <c r="K3883" s="20" t="inlineStr">
        <is>
          <t>Non-Captive</t>
        </is>
      </c>
      <c r="L3883" s="20" t="inlineStr">
        <is>
          <t>Abdul Salam P U</t>
        </is>
      </c>
      <c r="M3883" s="23" t="n">
        <v>8474.58</v>
      </c>
    </row>
    <row r="3884">
      <c r="A3884" s="19" t="inlineStr">
        <is>
          <t>FY27</t>
        </is>
      </c>
      <c r="B3884" s="19" t="inlineStr">
        <is>
          <t>Sep</t>
        </is>
      </c>
      <c r="C3884" s="19" t="inlineStr">
        <is>
          <t>Kerala</t>
        </is>
      </c>
      <c r="D3884" s="20" t="inlineStr">
        <is>
          <t>KL18AD8907</t>
        </is>
      </c>
      <c r="E3884" s="20" t="inlineStr">
        <is>
          <t>RENAULT</t>
        </is>
      </c>
      <c r="F3884" s="20" t="inlineStr">
        <is>
          <t>Kwid</t>
        </is>
      </c>
      <c r="G3884" s="21" t="n"/>
      <c r="H3884" s="22" t="n">
        <v>133000</v>
      </c>
      <c r="I3884" s="22" t="n">
        <v>260000</v>
      </c>
      <c r="J3884" s="20" t="inlineStr">
        <is>
          <t>AMANA TOYOTA</t>
        </is>
      </c>
      <c r="K3884" s="20" t="inlineStr">
        <is>
          <t>Non-Captive</t>
        </is>
      </c>
      <c r="L3884" s="20" t="inlineStr">
        <is>
          <t>Nisha Mary Mathew</t>
        </is>
      </c>
      <c r="M3884" s="23" t="n">
        <v>8474.58</v>
      </c>
    </row>
    <row r="3885">
      <c r="A3885" s="19" t="inlineStr">
        <is>
          <t>FY27</t>
        </is>
      </c>
      <c r="B3885" s="19" t="inlineStr">
        <is>
          <t>Sep</t>
        </is>
      </c>
      <c r="C3885" s="19" t="inlineStr">
        <is>
          <t>Kerala</t>
        </is>
      </c>
      <c r="D3885" s="20" t="inlineStr">
        <is>
          <t>KL18K3918</t>
        </is>
      </c>
      <c r="E3885" s="20" t="inlineStr">
        <is>
          <t>MARUTI SUZUKI</t>
        </is>
      </c>
      <c r="F3885" s="20" t="inlineStr">
        <is>
          <t>Alto</t>
        </is>
      </c>
      <c r="G3885" s="21" t="n"/>
      <c r="H3885" s="22" t="n">
        <v>77000</v>
      </c>
      <c r="I3885" s="22" t="n">
        <v>135000</v>
      </c>
      <c r="J3885" s="20" t="inlineStr">
        <is>
          <t>KVR TATA</t>
        </is>
      </c>
      <c r="K3885" s="20" t="inlineStr">
        <is>
          <t>Non-Captive</t>
        </is>
      </c>
      <c r="L3885" s="20" t="inlineStr">
        <is>
          <t>Kannur Platinum Drive</t>
        </is>
      </c>
      <c r="M3885" s="23" t="n">
        <v>5932.2</v>
      </c>
    </row>
    <row r="3886">
      <c r="A3886" s="19" t="inlineStr">
        <is>
          <t>FY27</t>
        </is>
      </c>
      <c r="B3886" s="19" t="inlineStr">
        <is>
          <t>Sep</t>
        </is>
      </c>
      <c r="C3886" s="19" t="inlineStr">
        <is>
          <t>Kerala</t>
        </is>
      </c>
      <c r="D3886" s="20" t="inlineStr">
        <is>
          <t>KL206195</t>
        </is>
      </c>
      <c r="E3886" s="20" t="inlineStr">
        <is>
          <t>MARUTI SUZUKI</t>
        </is>
      </c>
      <c r="F3886" s="20" t="inlineStr">
        <is>
          <t>Wagon R</t>
        </is>
      </c>
      <c r="G3886" s="21" t="n"/>
      <c r="H3886" s="22" t="n">
        <v>183000</v>
      </c>
      <c r="I3886" s="22" t="n">
        <v>65000</v>
      </c>
      <c r="J3886" s="20" t="inlineStr">
        <is>
          <t>ABHISHEK</t>
        </is>
      </c>
      <c r="K3886" s="20" t="inlineStr">
        <is>
          <t>Non-Captive</t>
        </is>
      </c>
      <c r="L3886" s="20" t="inlineStr">
        <is>
          <t>Prajod</t>
        </is>
      </c>
      <c r="M3886" s="23" t="n">
        <v>4237.29</v>
      </c>
    </row>
    <row r="3887">
      <c r="A3887" s="19" t="inlineStr">
        <is>
          <t>FY27</t>
        </is>
      </c>
      <c r="B3887" s="19" t="inlineStr">
        <is>
          <t>Sep</t>
        </is>
      </c>
      <c r="C3887" s="19" t="inlineStr">
        <is>
          <t>Kerala</t>
        </is>
      </c>
      <c r="D3887" s="20" t="inlineStr">
        <is>
          <t>KL21J8951</t>
        </is>
      </c>
      <c r="E3887" s="20" t="inlineStr">
        <is>
          <t>MARUTI SUZUKI</t>
        </is>
      </c>
      <c r="F3887" s="20" t="inlineStr">
        <is>
          <t>Alto</t>
        </is>
      </c>
      <c r="G3887" s="21" t="n"/>
      <c r="H3887" s="22" t="n">
        <v>74000</v>
      </c>
      <c r="I3887" s="22" t="n">
        <v>137000</v>
      </c>
      <c r="J3887" s="20" t="inlineStr">
        <is>
          <t>INCHEON KIA</t>
        </is>
      </c>
      <c r="K3887" s="20" t="inlineStr">
        <is>
          <t>Non-Captive</t>
        </is>
      </c>
      <c r="L3887" s="20" t="inlineStr">
        <is>
          <t>Clind</t>
        </is>
      </c>
      <c r="M3887" s="23" t="n">
        <v>5932.2</v>
      </c>
    </row>
    <row r="3888">
      <c r="A3888" s="19" t="inlineStr">
        <is>
          <t>FY27</t>
        </is>
      </c>
      <c r="B3888" s="19" t="inlineStr">
        <is>
          <t>Sep</t>
        </is>
      </c>
      <c r="C3888" s="19" t="inlineStr">
        <is>
          <t>Kerala</t>
        </is>
      </c>
      <c r="D3888" s="20" t="inlineStr">
        <is>
          <t>KL21P2214</t>
        </is>
      </c>
      <c r="E3888" s="20" t="inlineStr">
        <is>
          <t>MARUTI SUZUKI</t>
        </is>
      </c>
      <c r="F3888" s="20" t="inlineStr">
        <is>
          <t>Wagon R</t>
        </is>
      </c>
      <c r="G3888" s="21" t="n"/>
      <c r="H3888" s="22" t="n">
        <v>125000</v>
      </c>
      <c r="I3888" s="22" t="n">
        <v>225000</v>
      </c>
      <c r="J3888" s="20" t="inlineStr">
        <is>
          <t>POPULAR MARUTI</t>
        </is>
      </c>
      <c r="K3888" s="20" t="inlineStr">
        <is>
          <t>Non-Captive</t>
        </is>
      </c>
      <c r="L3888" s="20" t="inlineStr">
        <is>
          <t>Jobin S George</t>
        </is>
      </c>
      <c r="M3888" s="23" t="n">
        <v>8474.58</v>
      </c>
    </row>
    <row r="3889">
      <c r="A3889" s="19" t="inlineStr">
        <is>
          <t>FY27</t>
        </is>
      </c>
      <c r="B3889" s="19" t="inlineStr">
        <is>
          <t>Sep</t>
        </is>
      </c>
      <c r="C3889" s="19" t="inlineStr">
        <is>
          <t>Kerala</t>
        </is>
      </c>
      <c r="D3889" s="20" t="inlineStr">
        <is>
          <t>KL21W5365</t>
        </is>
      </c>
      <c r="E3889" s="20" t="inlineStr">
        <is>
          <t>TATA</t>
        </is>
      </c>
      <c r="F3889" s="20" t="inlineStr">
        <is>
          <t>Ultra</t>
        </is>
      </c>
      <c r="G3889" s="21" t="n"/>
      <c r="H3889" s="22" t="n">
        <v>205000</v>
      </c>
      <c r="I3889" s="22" t="n">
        <v>1170000</v>
      </c>
      <c r="J3889" s="20" t="inlineStr">
        <is>
          <t>DILEEP KUMAR(AJ ENTERPRISES)</t>
        </is>
      </c>
      <c r="K3889" s="20" t="inlineStr">
        <is>
          <t>Non-Captive</t>
        </is>
      </c>
      <c r="L3889" s="20" t="inlineStr">
        <is>
          <t>Mohith,Garuda Trucks</t>
        </is>
      </c>
      <c r="M3889" s="23" t="n">
        <v>16949.15</v>
      </c>
    </row>
    <row r="3890">
      <c r="A3890" s="19" t="inlineStr">
        <is>
          <t>FY27</t>
        </is>
      </c>
      <c r="B3890" s="19" t="inlineStr">
        <is>
          <t>Sep</t>
        </is>
      </c>
      <c r="C3890" s="19" t="inlineStr">
        <is>
          <t>Kerala</t>
        </is>
      </c>
      <c r="D3890" s="20" t="inlineStr">
        <is>
          <t>KL229714</t>
        </is>
      </c>
      <c r="E3890" s="20" t="inlineStr">
        <is>
          <t>HYUNDAI</t>
        </is>
      </c>
      <c r="F3890" s="20" t="inlineStr">
        <is>
          <t>Santro</t>
        </is>
      </c>
      <c r="G3890" s="21" t="n"/>
      <c r="H3890" s="22" t="n">
        <v>60000</v>
      </c>
      <c r="I3890" s="22" t="n">
        <v>50000</v>
      </c>
      <c r="J3890" s="20" t="inlineStr">
        <is>
          <t>POPULAR MARUTI</t>
        </is>
      </c>
      <c r="K3890" s="20" t="inlineStr">
        <is>
          <t>Non-Captive</t>
        </is>
      </c>
      <c r="L3890" s="20" t="inlineStr">
        <is>
          <t>Gireesh Kumar V</t>
        </is>
      </c>
      <c r="M3890" s="23" t="n">
        <v>8474.58</v>
      </c>
    </row>
    <row r="3891">
      <c r="A3891" s="19" t="inlineStr">
        <is>
          <t>FY27</t>
        </is>
      </c>
      <c r="B3891" s="19" t="inlineStr">
        <is>
          <t>Sep</t>
        </is>
      </c>
      <c r="C3891" s="19" t="inlineStr">
        <is>
          <t>Kerala</t>
        </is>
      </c>
      <c r="D3891" s="20" t="inlineStr">
        <is>
          <t>KL22A9324</t>
        </is>
      </c>
      <c r="E3891" s="20" t="inlineStr">
        <is>
          <t>MARUTI SUZUKI</t>
        </is>
      </c>
      <c r="F3891" s="20" t="inlineStr">
        <is>
          <t>Wagon R</t>
        </is>
      </c>
      <c r="G3891" s="21" t="n"/>
      <c r="H3891" s="22" t="n">
        <v>110000</v>
      </c>
      <c r="I3891" s="22" t="n">
        <v>81000</v>
      </c>
      <c r="J3891" s="20" t="inlineStr">
        <is>
          <t>POPULAR MARUTI</t>
        </is>
      </c>
      <c r="K3891" s="20" t="inlineStr">
        <is>
          <t>Non-Captive</t>
        </is>
      </c>
      <c r="L3891" s="20" t="inlineStr">
        <is>
          <t>Sherin P S</t>
        </is>
      </c>
      <c r="M3891" s="23" t="n">
        <v>7203.39</v>
      </c>
    </row>
    <row r="3892">
      <c r="A3892" s="19" t="inlineStr">
        <is>
          <t>FY27</t>
        </is>
      </c>
      <c r="B3892" s="19" t="inlineStr">
        <is>
          <t>Sep</t>
        </is>
      </c>
      <c r="C3892" s="19" t="inlineStr">
        <is>
          <t>Kerala</t>
        </is>
      </c>
      <c r="D3892" s="20" t="inlineStr">
        <is>
          <t>KL22E1931</t>
        </is>
      </c>
      <c r="E3892" s="20" t="inlineStr">
        <is>
          <t>MARUTI SUZUKI</t>
        </is>
      </c>
      <c r="F3892" s="20" t="inlineStr">
        <is>
          <t>Alto K10</t>
        </is>
      </c>
      <c r="G3892" s="21" t="n"/>
      <c r="H3892" s="22" t="n">
        <v>61600</v>
      </c>
      <c r="I3892" s="22" t="n">
        <v>80000</v>
      </c>
      <c r="J3892" s="20" t="inlineStr">
        <is>
          <t>INDUS MARUTI</t>
        </is>
      </c>
      <c r="K3892" s="20" t="inlineStr">
        <is>
          <t>Non-Captive</t>
        </is>
      </c>
      <c r="L3892" s="20" t="inlineStr">
        <is>
          <t>Abhishek</t>
        </is>
      </c>
      <c r="M3892" s="23" t="n">
        <v>8474.58</v>
      </c>
    </row>
    <row r="3893">
      <c r="A3893" s="19" t="inlineStr">
        <is>
          <t>FY27</t>
        </is>
      </c>
      <c r="B3893" s="19" t="inlineStr">
        <is>
          <t>Sep</t>
        </is>
      </c>
      <c r="C3893" s="19" t="inlineStr">
        <is>
          <t>Kerala</t>
        </is>
      </c>
      <c r="D3893" s="20" t="inlineStr">
        <is>
          <t>KL22E5218</t>
        </is>
      </c>
      <c r="E3893" s="20" t="inlineStr">
        <is>
          <t>HYUNDAI</t>
        </is>
      </c>
      <c r="F3893" s="20" t="inlineStr">
        <is>
          <t>Eon</t>
        </is>
      </c>
      <c r="G3893" s="21" t="n"/>
      <c r="H3893" s="22" t="n">
        <v>80220</v>
      </c>
      <c r="I3893" s="22" t="n">
        <v>95000</v>
      </c>
      <c r="J3893" s="20" t="inlineStr">
        <is>
          <t>SS MAHINDRA</t>
        </is>
      </c>
      <c r="K3893" s="20" t="inlineStr">
        <is>
          <t>Non-Captive</t>
        </is>
      </c>
      <c r="L3893" s="20" t="inlineStr">
        <is>
          <t>Maxxmotors</t>
        </is>
      </c>
      <c r="M3893" s="23" t="n">
        <v>4237.29</v>
      </c>
    </row>
    <row r="3894">
      <c r="A3894" s="19" t="inlineStr">
        <is>
          <t>FY27</t>
        </is>
      </c>
      <c r="B3894" s="19" t="inlineStr">
        <is>
          <t>Sep</t>
        </is>
      </c>
      <c r="C3894" s="19" t="inlineStr">
        <is>
          <t>Kerala</t>
        </is>
      </c>
      <c r="D3894" s="20" t="inlineStr">
        <is>
          <t>KL22G5661</t>
        </is>
      </c>
      <c r="E3894" s="20" t="inlineStr">
        <is>
          <t>CHEVROLET</t>
        </is>
      </c>
      <c r="F3894" s="20" t="inlineStr">
        <is>
          <t>Beat</t>
        </is>
      </c>
      <c r="G3894" s="21" t="n"/>
      <c r="H3894" s="22" t="n">
        <v>67662</v>
      </c>
      <c r="I3894" s="22" t="n">
        <v>110000</v>
      </c>
      <c r="J3894" s="20" t="inlineStr">
        <is>
          <t>EVM CITROEN</t>
        </is>
      </c>
      <c r="K3894" s="20" t="inlineStr">
        <is>
          <t>Non-Captive</t>
        </is>
      </c>
      <c r="L3894" s="20" t="inlineStr">
        <is>
          <t>Maxx Motors</t>
        </is>
      </c>
      <c r="M3894" s="23" t="n">
        <v>8474.58</v>
      </c>
    </row>
    <row r="3895">
      <c r="A3895" s="19" t="inlineStr">
        <is>
          <t>FY27</t>
        </is>
      </c>
      <c r="B3895" s="19" t="inlineStr">
        <is>
          <t>Sep</t>
        </is>
      </c>
      <c r="C3895" s="19" t="inlineStr">
        <is>
          <t>Kerala</t>
        </is>
      </c>
      <c r="D3895" s="20" t="inlineStr">
        <is>
          <t>KL22H4814</t>
        </is>
      </c>
      <c r="E3895" s="20" t="inlineStr">
        <is>
          <t>MARUTI SUZUKI</t>
        </is>
      </c>
      <c r="F3895" s="20" t="inlineStr">
        <is>
          <t>Wagon R</t>
        </is>
      </c>
      <c r="G3895" s="21" t="n"/>
      <c r="H3895" s="22" t="n">
        <v>70300</v>
      </c>
      <c r="I3895" s="22" t="n">
        <v>250000</v>
      </c>
      <c r="J3895" s="20" t="inlineStr">
        <is>
          <t>ABHILASH</t>
        </is>
      </c>
      <c r="K3895" s="20" t="inlineStr">
        <is>
          <t>Non-Captive</t>
        </is>
      </c>
      <c r="L3895" s="20" t="inlineStr">
        <is>
          <t>Kishore</t>
        </is>
      </c>
      <c r="M3895" s="23" t="n">
        <v>8474.58</v>
      </c>
    </row>
    <row r="3896">
      <c r="A3896" s="19" t="inlineStr">
        <is>
          <t>FY27</t>
        </is>
      </c>
      <c r="B3896" s="19" t="inlineStr">
        <is>
          <t>Sep</t>
        </is>
      </c>
      <c r="C3896" s="19" t="inlineStr">
        <is>
          <t>Kerala</t>
        </is>
      </c>
      <c r="D3896" s="20" t="inlineStr">
        <is>
          <t>KL23A9008</t>
        </is>
      </c>
      <c r="E3896" s="20" t="inlineStr">
        <is>
          <t>HYUNDAI</t>
        </is>
      </c>
      <c r="F3896" s="20" t="inlineStr">
        <is>
          <t>Santro</t>
        </is>
      </c>
      <c r="G3896" s="21" t="n"/>
      <c r="H3896" s="22" t="n">
        <v>77867</v>
      </c>
      <c r="I3896" s="22" t="n">
        <v>53000</v>
      </c>
      <c r="J3896" s="20" t="inlineStr">
        <is>
          <t>POPULAR MARUTI</t>
        </is>
      </c>
      <c r="K3896" s="20" t="inlineStr">
        <is>
          <t>Non-Captive</t>
        </is>
      </c>
      <c r="L3896" s="20" t="inlineStr">
        <is>
          <t>Arun Prasad</t>
        </is>
      </c>
      <c r="M3896" s="23" t="n">
        <v>6779.66</v>
      </c>
    </row>
    <row r="3897">
      <c r="A3897" s="19" t="inlineStr">
        <is>
          <t>FY27</t>
        </is>
      </c>
      <c r="B3897" s="19" t="inlineStr">
        <is>
          <t>Sep</t>
        </is>
      </c>
      <c r="C3897" s="19" t="inlineStr">
        <is>
          <t>Kerala</t>
        </is>
      </c>
      <c r="D3897" s="20" t="inlineStr">
        <is>
          <t>KL24A4445</t>
        </is>
      </c>
      <c r="E3897" s="20" t="inlineStr">
        <is>
          <t>MARUTI SUZUKI</t>
        </is>
      </c>
      <c r="F3897" s="20" t="inlineStr">
        <is>
          <t>Alto</t>
        </is>
      </c>
      <c r="G3897" s="21" t="n"/>
      <c r="H3897" s="22" t="n">
        <v>119887</v>
      </c>
      <c r="I3897" s="22" t="n">
        <v>70000</v>
      </c>
      <c r="J3897" s="20" t="inlineStr">
        <is>
          <t>LUXON TATA</t>
        </is>
      </c>
      <c r="K3897" s="20" t="inlineStr">
        <is>
          <t>Non-Captive</t>
        </is>
      </c>
      <c r="L3897" s="20" t="inlineStr">
        <is>
          <t>Shahar T</t>
        </is>
      </c>
      <c r="M3897" s="23" t="n">
        <v>4237.29</v>
      </c>
    </row>
    <row r="3898">
      <c r="A3898" s="19" t="inlineStr">
        <is>
          <t>FY27</t>
        </is>
      </c>
      <c r="B3898" s="19" t="inlineStr">
        <is>
          <t>Sep</t>
        </is>
      </c>
      <c r="C3898" s="19" t="inlineStr">
        <is>
          <t>Kerala</t>
        </is>
      </c>
      <c r="D3898" s="20" t="inlineStr">
        <is>
          <t>KL24G9165</t>
        </is>
      </c>
      <c r="E3898" s="20" t="inlineStr">
        <is>
          <t>MARUTI SUZUKI</t>
        </is>
      </c>
      <c r="F3898" s="20" t="inlineStr">
        <is>
          <t>Wagon R</t>
        </is>
      </c>
      <c r="G3898" s="21" t="n"/>
      <c r="H3898" s="22" t="n">
        <v>97900</v>
      </c>
      <c r="I3898" s="22" t="n">
        <v>190000</v>
      </c>
      <c r="J3898" s="20" t="inlineStr">
        <is>
          <t>POPULAR MARUTI</t>
        </is>
      </c>
      <c r="K3898" s="20" t="inlineStr">
        <is>
          <t>Non-Captive</t>
        </is>
      </c>
      <c r="L3898" s="20" t="inlineStr">
        <is>
          <t>Bijeshlal</t>
        </is>
      </c>
      <c r="M3898" s="23" t="n">
        <v>8474.58</v>
      </c>
    </row>
    <row r="3899">
      <c r="A3899" s="19" t="inlineStr">
        <is>
          <t>FY27</t>
        </is>
      </c>
      <c r="B3899" s="19" t="inlineStr">
        <is>
          <t>Sep</t>
        </is>
      </c>
      <c r="C3899" s="19" t="inlineStr">
        <is>
          <t>Kerala</t>
        </is>
      </c>
      <c r="D3899" s="20" t="inlineStr">
        <is>
          <t>KL24J1616</t>
        </is>
      </c>
      <c r="E3899" s="20" t="inlineStr">
        <is>
          <t>HONDA</t>
        </is>
      </c>
      <c r="F3899" s="20" t="inlineStr">
        <is>
          <t>Amaze</t>
        </is>
      </c>
      <c r="G3899" s="21" t="n"/>
      <c r="H3899" s="22" t="n">
        <v>123422</v>
      </c>
      <c r="I3899" s="22" t="n">
        <v>175000</v>
      </c>
      <c r="J3899" s="20" t="inlineStr">
        <is>
          <t>ALBIN JOSE</t>
        </is>
      </c>
      <c r="K3899" s="20" t="inlineStr">
        <is>
          <t>Non-Captive</t>
        </is>
      </c>
      <c r="L3899" s="20" t="inlineStr">
        <is>
          <t>Ashraf T A</t>
        </is>
      </c>
      <c r="M3899" s="23" t="n">
        <v>8474.58</v>
      </c>
    </row>
    <row r="3900">
      <c r="A3900" s="19" t="inlineStr">
        <is>
          <t>FY27</t>
        </is>
      </c>
      <c r="B3900" s="19" t="inlineStr">
        <is>
          <t>Sep</t>
        </is>
      </c>
      <c r="C3900" s="19" t="inlineStr">
        <is>
          <t>Kerala</t>
        </is>
      </c>
      <c r="D3900" s="20" t="inlineStr">
        <is>
          <t>KL24N7552</t>
        </is>
      </c>
      <c r="E3900" s="20" t="inlineStr">
        <is>
          <t>HYUNDAI</t>
        </is>
      </c>
      <c r="F3900" s="20" t="inlineStr">
        <is>
          <t>Eon</t>
        </is>
      </c>
      <c r="G3900" s="21" t="n"/>
      <c r="H3900" s="22" t="n">
        <v>141000</v>
      </c>
      <c r="I3900" s="22" t="n">
        <v>135000</v>
      </c>
      <c r="J3900" s="20" t="inlineStr">
        <is>
          <t>POPULAR MARUTI</t>
        </is>
      </c>
      <c r="K3900" s="20" t="inlineStr">
        <is>
          <t>Non-Captive</t>
        </is>
      </c>
      <c r="L3900" s="20" t="inlineStr">
        <is>
          <t>Sherin P S</t>
        </is>
      </c>
      <c r="M3900" s="23" t="n">
        <v>8474.58</v>
      </c>
    </row>
    <row r="3901">
      <c r="A3901" s="19" t="inlineStr">
        <is>
          <t>FY27</t>
        </is>
      </c>
      <c r="B3901" s="19" t="inlineStr">
        <is>
          <t>Sep</t>
        </is>
      </c>
      <c r="C3901" s="19" t="inlineStr">
        <is>
          <t>Kerala</t>
        </is>
      </c>
      <c r="D3901" s="20" t="inlineStr">
        <is>
          <t>KL25B9300</t>
        </is>
      </c>
      <c r="E3901" s="20" t="inlineStr">
        <is>
          <t>NISSAN</t>
        </is>
      </c>
      <c r="F3901" s="20" t="inlineStr">
        <is>
          <t>Micra</t>
        </is>
      </c>
      <c r="G3901" s="21" t="n"/>
      <c r="H3901" s="22" t="n">
        <v>184300</v>
      </c>
      <c r="I3901" s="22" t="n">
        <v>107000</v>
      </c>
      <c r="J3901" s="20" t="inlineStr">
        <is>
          <t>MARIKAR NISSAN</t>
        </is>
      </c>
      <c r="K3901" s="20" t="inlineStr">
        <is>
          <t>Non-Captive</t>
        </is>
      </c>
      <c r="L3901" s="20" t="inlineStr">
        <is>
          <t>Clind</t>
        </is>
      </c>
      <c r="M3901" s="23" t="n">
        <v>5932.2</v>
      </c>
    </row>
    <row r="3902">
      <c r="A3902" s="19" t="inlineStr">
        <is>
          <t>FY27</t>
        </is>
      </c>
      <c r="B3902" s="19" t="inlineStr">
        <is>
          <t>Sep</t>
        </is>
      </c>
      <c r="C3902" s="19" t="inlineStr">
        <is>
          <t>Kerala</t>
        </is>
      </c>
      <c r="D3902" s="20" t="inlineStr">
        <is>
          <t>KL26E3983</t>
        </is>
      </c>
      <c r="E3902" s="20" t="inlineStr">
        <is>
          <t>TATA</t>
        </is>
      </c>
      <c r="F3902" s="20" t="inlineStr">
        <is>
          <t>Nano</t>
        </is>
      </c>
      <c r="G3902" s="21" t="n"/>
      <c r="H3902" s="22" t="n">
        <v>72610</v>
      </c>
      <c r="I3902" s="22" t="n">
        <v>22000</v>
      </c>
      <c r="J3902" s="20" t="inlineStr">
        <is>
          <t>POPULAR MARUTI</t>
        </is>
      </c>
      <c r="K3902" s="20" t="inlineStr">
        <is>
          <t>Non-Captive</t>
        </is>
      </c>
      <c r="L3902" s="20" t="inlineStr">
        <is>
          <t>Rajeev A C</t>
        </is>
      </c>
      <c r="M3902" s="23" t="n">
        <v>5932.2</v>
      </c>
    </row>
    <row r="3903">
      <c r="A3903" s="19" t="inlineStr">
        <is>
          <t>FY27</t>
        </is>
      </c>
      <c r="B3903" s="19" t="inlineStr">
        <is>
          <t>Sep</t>
        </is>
      </c>
      <c r="C3903" s="19" t="inlineStr">
        <is>
          <t>Kerala</t>
        </is>
      </c>
      <c r="D3903" s="20" t="inlineStr">
        <is>
          <t>KL26H6349</t>
        </is>
      </c>
      <c r="E3903" s="20" t="inlineStr">
        <is>
          <t>HYUNDAI</t>
        </is>
      </c>
      <c r="F3903" s="20" t="inlineStr">
        <is>
          <t>i20</t>
        </is>
      </c>
      <c r="G3903" s="21" t="n"/>
      <c r="H3903" s="22" t="n">
        <v>59000</v>
      </c>
      <c r="I3903" s="22" t="n">
        <v>300000</v>
      </c>
      <c r="J3903" s="20" t="inlineStr">
        <is>
          <t>INDUS MARUTI</t>
        </is>
      </c>
      <c r="K3903" s="20" t="inlineStr">
        <is>
          <t>Non-Captive</t>
        </is>
      </c>
      <c r="L3903" s="20" t="inlineStr">
        <is>
          <t>Arnold</t>
        </is>
      </c>
      <c r="M3903" s="23" t="n">
        <v>8474.58</v>
      </c>
    </row>
    <row r="3904">
      <c r="A3904" s="19" t="inlineStr">
        <is>
          <t>FY27</t>
        </is>
      </c>
      <c r="B3904" s="19" t="inlineStr">
        <is>
          <t>Sep</t>
        </is>
      </c>
      <c r="C3904" s="19" t="inlineStr">
        <is>
          <t>Kerala</t>
        </is>
      </c>
      <c r="D3904" s="20" t="inlineStr">
        <is>
          <t>KL26J7566</t>
        </is>
      </c>
      <c r="E3904" s="20" t="inlineStr">
        <is>
          <t>HYUNDAI</t>
        </is>
      </c>
      <c r="F3904" s="20" t="inlineStr">
        <is>
          <t>Eon</t>
        </is>
      </c>
      <c r="G3904" s="21" t="n"/>
      <c r="H3904" s="22" t="n">
        <v>78700</v>
      </c>
      <c r="I3904" s="22" t="n">
        <v>153000</v>
      </c>
      <c r="J3904" s="20" t="inlineStr">
        <is>
          <t>POPULAR MARUTI</t>
        </is>
      </c>
      <c r="K3904" s="20" t="inlineStr">
        <is>
          <t>Non-Captive</t>
        </is>
      </c>
      <c r="L3904" s="20" t="inlineStr">
        <is>
          <t>Sabu</t>
        </is>
      </c>
      <c r="M3904" s="23" t="n">
        <v>8474.58</v>
      </c>
    </row>
    <row r="3905">
      <c r="A3905" s="19" t="inlineStr">
        <is>
          <t>FY27</t>
        </is>
      </c>
      <c r="B3905" s="19" t="inlineStr">
        <is>
          <t>Sep</t>
        </is>
      </c>
      <c r="C3905" s="19" t="inlineStr">
        <is>
          <t>Kerala</t>
        </is>
      </c>
      <c r="D3905" s="20" t="inlineStr">
        <is>
          <t>KL27D5464</t>
        </is>
      </c>
      <c r="E3905" s="20" t="inlineStr">
        <is>
          <t>MARUTI SUZUKI</t>
        </is>
      </c>
      <c r="F3905" s="20" t="inlineStr">
        <is>
          <t>Wagon R</t>
        </is>
      </c>
      <c r="G3905" s="21" t="n"/>
      <c r="H3905" s="22" t="n">
        <v>133000</v>
      </c>
      <c r="I3905" s="22" t="n">
        <v>185000</v>
      </c>
      <c r="J3905" s="20" t="inlineStr">
        <is>
          <t>KVR TATA</t>
        </is>
      </c>
      <c r="K3905" s="20" t="inlineStr">
        <is>
          <t>Non-Captive</t>
        </is>
      </c>
      <c r="L3905" s="20" t="inlineStr">
        <is>
          <t>N H Sameer</t>
        </is>
      </c>
      <c r="M3905" s="23" t="n">
        <v>8474.58</v>
      </c>
    </row>
    <row r="3906">
      <c r="A3906" s="19" t="inlineStr">
        <is>
          <t>FY27</t>
        </is>
      </c>
      <c r="B3906" s="19" t="inlineStr">
        <is>
          <t>Sep</t>
        </is>
      </c>
      <c r="C3906" s="19" t="inlineStr">
        <is>
          <t>Kerala</t>
        </is>
      </c>
      <c r="D3906" s="20" t="inlineStr">
        <is>
          <t>KL29L3924</t>
        </is>
      </c>
      <c r="E3906" s="20" t="inlineStr">
        <is>
          <t>VOLKSWAGEN</t>
        </is>
      </c>
      <c r="F3906" s="20" t="inlineStr">
        <is>
          <t>Ameo</t>
        </is>
      </c>
      <c r="G3906" s="21" t="n"/>
      <c r="H3906" s="22" t="n">
        <v>123874</v>
      </c>
      <c r="I3906" s="22" t="n">
        <v>210000</v>
      </c>
      <c r="J3906" s="20" t="inlineStr">
        <is>
          <t>POPULAR MARUTI</t>
        </is>
      </c>
      <c r="K3906" s="20" t="inlineStr">
        <is>
          <t>Non-Captive</t>
        </is>
      </c>
      <c r="L3906" s="20" t="inlineStr">
        <is>
          <t>Muhammed Rafi</t>
        </is>
      </c>
      <c r="M3906" s="23" t="n">
        <v>8474.58</v>
      </c>
    </row>
    <row r="3907">
      <c r="A3907" s="19" t="inlineStr">
        <is>
          <t>FY27</t>
        </is>
      </c>
      <c r="B3907" s="19" t="inlineStr">
        <is>
          <t>Sep</t>
        </is>
      </c>
      <c r="C3907" s="19" t="inlineStr">
        <is>
          <t>Kerala</t>
        </is>
      </c>
      <c r="D3907" s="20" t="inlineStr">
        <is>
          <t>KL30A2630</t>
        </is>
      </c>
      <c r="E3907" s="20" t="inlineStr">
        <is>
          <t>MARUTI SUZUKI</t>
        </is>
      </c>
      <c r="F3907" s="20" t="inlineStr">
        <is>
          <t>Wagon R</t>
        </is>
      </c>
      <c r="G3907" s="21" t="n"/>
      <c r="H3907" s="22" t="n">
        <v>191000</v>
      </c>
      <c r="I3907" s="22" t="n">
        <v>110000</v>
      </c>
      <c r="J3907" s="20" t="inlineStr">
        <is>
          <t>ALBIN JOSE</t>
        </is>
      </c>
      <c r="K3907" s="20" t="inlineStr">
        <is>
          <t>Non-Captive</t>
        </is>
      </c>
      <c r="L3907" s="20" t="inlineStr">
        <is>
          <t>Pramod C G</t>
        </is>
      </c>
      <c r="M3907" s="23" t="n">
        <v>8474.58</v>
      </c>
    </row>
    <row r="3908">
      <c r="A3908" s="19" t="inlineStr">
        <is>
          <t>FY27</t>
        </is>
      </c>
      <c r="B3908" s="19" t="inlineStr">
        <is>
          <t>Sep</t>
        </is>
      </c>
      <c r="C3908" s="19" t="inlineStr">
        <is>
          <t>Kerala</t>
        </is>
      </c>
      <c r="D3908" s="20" t="inlineStr">
        <is>
          <t>KL30D5536</t>
        </is>
      </c>
      <c r="E3908" s="20" t="inlineStr">
        <is>
          <t>MARUTI SUZUKI</t>
        </is>
      </c>
      <c r="F3908" s="20" t="inlineStr">
        <is>
          <t>Wagon R</t>
        </is>
      </c>
      <c r="G3908" s="21" t="n"/>
      <c r="H3908" s="22" t="n">
        <v>43624</v>
      </c>
      <c r="I3908" s="22" t="n">
        <v>235000</v>
      </c>
      <c r="J3908" s="20" t="inlineStr">
        <is>
          <t>POPULAR VEHICLES</t>
        </is>
      </c>
      <c r="K3908" s="20" t="inlineStr">
        <is>
          <t>Non-Captive</t>
        </is>
      </c>
      <c r="L3908" s="20" t="inlineStr">
        <is>
          <t>Good Choice</t>
        </is>
      </c>
      <c r="M3908" s="23" t="n">
        <v>8474.58</v>
      </c>
    </row>
    <row r="3909">
      <c r="A3909" s="19" t="inlineStr">
        <is>
          <t>FY27</t>
        </is>
      </c>
      <c r="B3909" s="19" t="inlineStr">
        <is>
          <t>Sep</t>
        </is>
      </c>
      <c r="C3909" s="19" t="inlineStr">
        <is>
          <t>Kerala</t>
        </is>
      </c>
      <c r="D3909" s="20" t="inlineStr">
        <is>
          <t>KL32F7160</t>
        </is>
      </c>
      <c r="E3909" s="20" t="inlineStr">
        <is>
          <t>HONDA</t>
        </is>
      </c>
      <c r="F3909" s="20" t="inlineStr">
        <is>
          <t>City</t>
        </is>
      </c>
      <c r="G3909" s="21" t="n"/>
      <c r="H3909" s="22" t="n">
        <v>171871</v>
      </c>
      <c r="I3909" s="22" t="n">
        <v>63000</v>
      </c>
      <c r="J3909" s="20" t="inlineStr">
        <is>
          <t>GOKULAM TATA</t>
        </is>
      </c>
      <c r="K3909" s="20" t="inlineStr">
        <is>
          <t>Non-Captive</t>
        </is>
      </c>
      <c r="L3909" s="20" t="inlineStr">
        <is>
          <t>Asharaf T A</t>
        </is>
      </c>
      <c r="M3909" s="23" t="n">
        <v>6779.66</v>
      </c>
    </row>
    <row r="3910">
      <c r="A3910" s="19" t="inlineStr">
        <is>
          <t>FY27</t>
        </is>
      </c>
      <c r="B3910" s="19" t="inlineStr">
        <is>
          <t>Sep</t>
        </is>
      </c>
      <c r="C3910" s="19" t="inlineStr">
        <is>
          <t>Kerala</t>
        </is>
      </c>
      <c r="D3910" s="20" t="inlineStr">
        <is>
          <t>KL32J2653</t>
        </is>
      </c>
      <c r="E3910" s="20" t="inlineStr">
        <is>
          <t>HYUNDAI</t>
        </is>
      </c>
      <c r="F3910" s="20" t="inlineStr">
        <is>
          <t>Eon</t>
        </is>
      </c>
      <c r="G3910" s="21" t="n"/>
      <c r="H3910" s="22" t="n">
        <v>73566</v>
      </c>
      <c r="I3910" s="22" t="n">
        <v>145000</v>
      </c>
      <c r="J3910" s="20" t="inlineStr">
        <is>
          <t>INDUS MARUTI</t>
        </is>
      </c>
      <c r="K3910" s="20" t="inlineStr">
        <is>
          <t>Non-Captive</t>
        </is>
      </c>
      <c r="L3910" s="20" t="inlineStr">
        <is>
          <t>Abdul Salam K K</t>
        </is>
      </c>
      <c r="M3910" s="23" t="n">
        <v>8474.58</v>
      </c>
    </row>
    <row r="3911">
      <c r="A3911" s="19" t="inlineStr">
        <is>
          <t>FY27</t>
        </is>
      </c>
      <c r="B3911" s="19" t="inlineStr">
        <is>
          <t>Sep</t>
        </is>
      </c>
      <c r="C3911" s="19" t="inlineStr">
        <is>
          <t>Kerala</t>
        </is>
      </c>
      <c r="D3911" s="20" t="inlineStr">
        <is>
          <t>KL32K6732</t>
        </is>
      </c>
      <c r="E3911" s="20" t="inlineStr">
        <is>
          <t>MARUTI SUZUKI</t>
        </is>
      </c>
      <c r="F3911" s="20" t="inlineStr">
        <is>
          <t>Alto 800</t>
        </is>
      </c>
      <c r="G3911" s="21" t="n"/>
      <c r="H3911" s="22" t="n">
        <v>83845</v>
      </c>
      <c r="I3911" s="22" t="n">
        <v>200000</v>
      </c>
      <c r="J3911" s="20" t="inlineStr">
        <is>
          <t>AUTOMOTIVE</t>
        </is>
      </c>
      <c r="K3911" s="20" t="inlineStr">
        <is>
          <t>Non-Captive</t>
        </is>
      </c>
      <c r="L3911" s="20" t="inlineStr">
        <is>
          <t>Umeshkumar T U</t>
        </is>
      </c>
      <c r="M3911" s="23" t="n">
        <v>8474.58</v>
      </c>
    </row>
    <row r="3912">
      <c r="A3912" s="19" t="inlineStr">
        <is>
          <t>FY27</t>
        </is>
      </c>
      <c r="B3912" s="19" t="inlineStr">
        <is>
          <t>Sep</t>
        </is>
      </c>
      <c r="C3912" s="19" t="inlineStr">
        <is>
          <t>Kerala</t>
        </is>
      </c>
      <c r="D3912" s="20" t="inlineStr">
        <is>
          <t>KL32N0147</t>
        </is>
      </c>
      <c r="E3912" s="20" t="inlineStr">
        <is>
          <t>MARUTI SUZUKI</t>
        </is>
      </c>
      <c r="F3912" s="20" t="inlineStr">
        <is>
          <t>Alto 800</t>
        </is>
      </c>
      <c r="G3912" s="21" t="n"/>
      <c r="H3912" s="22" t="n">
        <v>46297</v>
      </c>
      <c r="I3912" s="22" t="n">
        <v>215000</v>
      </c>
      <c r="J3912" s="20" t="inlineStr">
        <is>
          <t>LUXON TATA</t>
        </is>
      </c>
      <c r="K3912" s="20" t="inlineStr">
        <is>
          <t>Non-Captive</t>
        </is>
      </c>
      <c r="L3912" s="20" t="inlineStr">
        <is>
          <t>Asharaf T A</t>
        </is>
      </c>
      <c r="M3912" s="23" t="n">
        <v>8474.58</v>
      </c>
    </row>
    <row r="3913">
      <c r="A3913" s="19" t="inlineStr">
        <is>
          <t>FY27</t>
        </is>
      </c>
      <c r="B3913" s="19" t="inlineStr">
        <is>
          <t>Sep</t>
        </is>
      </c>
      <c r="C3913" s="19" t="inlineStr">
        <is>
          <t>Kerala</t>
        </is>
      </c>
      <c r="D3913" s="20" t="inlineStr">
        <is>
          <t>KL32P7009</t>
        </is>
      </c>
      <c r="E3913" s="20" t="inlineStr">
        <is>
          <t>MARUTI SUZUKI</t>
        </is>
      </c>
      <c r="F3913" s="20" t="inlineStr">
        <is>
          <t>Ertiga</t>
        </is>
      </c>
      <c r="G3913" s="21" t="n"/>
      <c r="H3913" s="22" t="n">
        <v>81406</v>
      </c>
      <c r="I3913" s="22" t="n">
        <v>720000</v>
      </c>
      <c r="J3913" s="20" t="inlineStr">
        <is>
          <t>INDUS MARUTI</t>
        </is>
      </c>
      <c r="K3913" s="20" t="inlineStr">
        <is>
          <t>Non-Captive</t>
        </is>
      </c>
      <c r="L3913" s="20" t="inlineStr">
        <is>
          <t>Haven Motors</t>
        </is>
      </c>
      <c r="M3913" s="23" t="n">
        <v>8474.58</v>
      </c>
    </row>
    <row r="3914">
      <c r="A3914" s="19" t="inlineStr">
        <is>
          <t>FY27</t>
        </is>
      </c>
      <c r="B3914" s="19" t="inlineStr">
        <is>
          <t>Sep</t>
        </is>
      </c>
      <c r="C3914" s="19" t="inlineStr">
        <is>
          <t>Kerala</t>
        </is>
      </c>
      <c r="D3914" s="20" t="inlineStr">
        <is>
          <t>KL32T1314</t>
        </is>
      </c>
      <c r="E3914" s="20" t="inlineStr">
        <is>
          <t>NISSAN</t>
        </is>
      </c>
      <c r="F3914" s="20" t="inlineStr">
        <is>
          <t>Magnite</t>
        </is>
      </c>
      <c r="G3914" s="21" t="n"/>
      <c r="H3914" s="22" t="n">
        <v>99451</v>
      </c>
      <c r="I3914" s="22" t="n">
        <v>300000</v>
      </c>
      <c r="J3914" s="20" t="inlineStr">
        <is>
          <t>INCHEON KIA</t>
        </is>
      </c>
      <c r="K3914" s="20" t="inlineStr">
        <is>
          <t>Non-Captive</t>
        </is>
      </c>
      <c r="L3914" s="20" t="inlineStr">
        <is>
          <t>Abdul Salam P U</t>
        </is>
      </c>
      <c r="M3914" s="23" t="n">
        <v>8474.58</v>
      </c>
    </row>
    <row r="3915">
      <c r="A3915" s="19" t="inlineStr">
        <is>
          <t>FY27</t>
        </is>
      </c>
      <c r="B3915" s="19" t="inlineStr">
        <is>
          <t>Sep</t>
        </is>
      </c>
      <c r="C3915" s="19" t="inlineStr">
        <is>
          <t>Kerala</t>
        </is>
      </c>
      <c r="D3915" s="20" t="inlineStr">
        <is>
          <t>KL38A2538</t>
        </is>
      </c>
      <c r="E3915" s="20" t="inlineStr">
        <is>
          <t>MARUTI SUZUKI</t>
        </is>
      </c>
      <c r="F3915" s="20" t="inlineStr">
        <is>
          <t>Omni</t>
        </is>
      </c>
      <c r="G3915" s="21" t="n"/>
      <c r="H3915" s="22" t="n">
        <v>72000</v>
      </c>
      <c r="I3915" s="22" t="n">
        <v>100000</v>
      </c>
      <c r="J3915" s="20" t="inlineStr">
        <is>
          <t>POPULAR VEHICLES</t>
        </is>
      </c>
      <c r="K3915" s="20" t="inlineStr">
        <is>
          <t>Non-Captive</t>
        </is>
      </c>
      <c r="L3915" s="20" t="inlineStr">
        <is>
          <t>Umeshkumar T U</t>
        </is>
      </c>
      <c r="M3915" s="23" t="n">
        <v>8474.58</v>
      </c>
    </row>
    <row r="3916">
      <c r="A3916" s="19" t="inlineStr">
        <is>
          <t>FY27</t>
        </is>
      </c>
      <c r="B3916" s="19" t="inlineStr">
        <is>
          <t>Sep</t>
        </is>
      </c>
      <c r="C3916" s="19" t="inlineStr">
        <is>
          <t>Kerala</t>
        </is>
      </c>
      <c r="D3916" s="20" t="inlineStr">
        <is>
          <t>KL38K1540</t>
        </is>
      </c>
      <c r="E3916" s="20" t="inlineStr">
        <is>
          <t>TATA</t>
        </is>
      </c>
      <c r="F3916" s="20" t="inlineStr">
        <is>
          <t>Punch</t>
        </is>
      </c>
      <c r="G3916" s="21" t="n"/>
      <c r="H3916" s="22" t="n">
        <v>64000</v>
      </c>
      <c r="I3916" s="22" t="n">
        <v>510000</v>
      </c>
      <c r="J3916" s="20" t="inlineStr">
        <is>
          <t>GOKULAM TATA</t>
        </is>
      </c>
      <c r="K3916" s="20" t="inlineStr">
        <is>
          <t>Non-Captive</t>
        </is>
      </c>
      <c r="L3916" s="20" t="inlineStr">
        <is>
          <t>Aitos Cars</t>
        </is>
      </c>
      <c r="M3916" s="23" t="n">
        <v>8474.58</v>
      </c>
    </row>
    <row r="3917">
      <c r="A3917" s="19" t="inlineStr">
        <is>
          <t>FY27</t>
        </is>
      </c>
      <c r="B3917" s="19" t="inlineStr">
        <is>
          <t>Sep</t>
        </is>
      </c>
      <c r="C3917" s="19" t="inlineStr">
        <is>
          <t>Kerala</t>
        </is>
      </c>
      <c r="D3917" s="20" t="inlineStr">
        <is>
          <t>KL39B0806</t>
        </is>
      </c>
      <c r="E3917" s="20" t="inlineStr">
        <is>
          <t>HYUNDAI</t>
        </is>
      </c>
      <c r="F3917" s="20" t="inlineStr">
        <is>
          <t>i10</t>
        </is>
      </c>
      <c r="G3917" s="21" t="n"/>
      <c r="H3917" s="22" t="n">
        <v>76692</v>
      </c>
      <c r="I3917" s="22" t="n">
        <v>120000</v>
      </c>
      <c r="J3917" s="20" t="inlineStr">
        <is>
          <t>LUXON TATA</t>
        </is>
      </c>
      <c r="K3917" s="20" t="inlineStr">
        <is>
          <t>Non-Captive</t>
        </is>
      </c>
      <c r="L3917" s="20" t="inlineStr">
        <is>
          <t>Dream Cars</t>
        </is>
      </c>
      <c r="M3917" s="23" t="n">
        <v>8474.58</v>
      </c>
    </row>
    <row r="3918">
      <c r="A3918" s="19" t="inlineStr">
        <is>
          <t>FY27</t>
        </is>
      </c>
      <c r="B3918" s="19" t="inlineStr">
        <is>
          <t>Sep</t>
        </is>
      </c>
      <c r="C3918" s="19" t="inlineStr">
        <is>
          <t>Kerala</t>
        </is>
      </c>
      <c r="D3918" s="20" t="inlineStr">
        <is>
          <t>KL39L6939</t>
        </is>
      </c>
      <c r="E3918" s="20" t="inlineStr">
        <is>
          <t>RENAULT</t>
        </is>
      </c>
      <c r="F3918" s="20" t="inlineStr">
        <is>
          <t>Duster</t>
        </is>
      </c>
      <c r="G3918" s="21" t="n"/>
      <c r="H3918" s="22" t="n">
        <v>155619</v>
      </c>
      <c r="I3918" s="22" t="n">
        <v>310000</v>
      </c>
      <c r="J3918" s="20" t="inlineStr">
        <is>
          <t>LUXON TATA</t>
        </is>
      </c>
      <c r="K3918" s="20" t="inlineStr">
        <is>
          <t>Non-Captive</t>
        </is>
      </c>
      <c r="L3918" s="20" t="inlineStr">
        <is>
          <t>Abdul Salam K K</t>
        </is>
      </c>
      <c r="M3918" s="23" t="n">
        <v>8474.58</v>
      </c>
    </row>
    <row r="3919">
      <c r="A3919" s="19" t="inlineStr">
        <is>
          <t>FY27</t>
        </is>
      </c>
      <c r="B3919" s="19" t="inlineStr">
        <is>
          <t>Sep</t>
        </is>
      </c>
      <c r="C3919" s="19" t="inlineStr">
        <is>
          <t>Kerala</t>
        </is>
      </c>
      <c r="D3919" s="20" t="inlineStr">
        <is>
          <t>KL39S2208</t>
        </is>
      </c>
      <c r="E3919" s="20" t="inlineStr">
        <is>
          <t>RENAULT</t>
        </is>
      </c>
      <c r="F3919" s="20" t="inlineStr">
        <is>
          <t>Kwid</t>
        </is>
      </c>
      <c r="G3919" s="21" t="n"/>
      <c r="H3919" s="22" t="n">
        <v>25960</v>
      </c>
      <c r="I3919" s="22" t="n">
        <v>315000</v>
      </c>
      <c r="J3919" s="20" t="inlineStr">
        <is>
          <t>OLX</t>
        </is>
      </c>
      <c r="K3919" s="20" t="inlineStr">
        <is>
          <t>Non-Captive</t>
        </is>
      </c>
      <c r="L3919" s="20" t="inlineStr">
        <is>
          <t>Haven Motors</t>
        </is>
      </c>
      <c r="M3919" s="23" t="n">
        <v>12711.86</v>
      </c>
    </row>
    <row r="3920">
      <c r="A3920" s="19" t="inlineStr">
        <is>
          <t>FY27</t>
        </is>
      </c>
      <c r="B3920" s="19" t="inlineStr">
        <is>
          <t>Sep</t>
        </is>
      </c>
      <c r="C3920" s="19" t="inlineStr">
        <is>
          <t>Kerala</t>
        </is>
      </c>
      <c r="D3920" s="20" t="inlineStr">
        <is>
          <t>KL400426</t>
        </is>
      </c>
      <c r="E3920" s="20" t="inlineStr">
        <is>
          <t>MARUTI SUZUKI</t>
        </is>
      </c>
      <c r="F3920" s="20" t="inlineStr">
        <is>
          <t>Omni</t>
        </is>
      </c>
      <c r="G3920" s="21" t="n"/>
      <c r="H3920" s="22" t="n">
        <v>155057</v>
      </c>
      <c r="I3920" s="22" t="n">
        <v>30000</v>
      </c>
      <c r="J3920" s="20" t="inlineStr">
        <is>
          <t>POPULAR MARUTI</t>
        </is>
      </c>
      <c r="K3920" s="20" t="inlineStr">
        <is>
          <t>Non-Captive</t>
        </is>
      </c>
      <c r="L3920" s="20" t="inlineStr">
        <is>
          <t>Afsal</t>
        </is>
      </c>
      <c r="M3920" s="23" t="n">
        <v>4237.29</v>
      </c>
    </row>
    <row r="3921">
      <c r="A3921" s="19" t="inlineStr">
        <is>
          <t>FY27</t>
        </is>
      </c>
      <c r="B3921" s="19" t="inlineStr">
        <is>
          <t>Sep</t>
        </is>
      </c>
      <c r="C3921" s="19" t="inlineStr">
        <is>
          <t>Kerala</t>
        </is>
      </c>
      <c r="D3921" s="20" t="inlineStr">
        <is>
          <t>KL40E9122</t>
        </is>
      </c>
      <c r="E3921" s="20" t="inlineStr">
        <is>
          <t>MARUTI SUZUKI</t>
        </is>
      </c>
      <c r="F3921" s="20" t="inlineStr">
        <is>
          <t>A-Star</t>
        </is>
      </c>
      <c r="G3921" s="21" t="n"/>
      <c r="H3921" s="22" t="n">
        <v>58881</v>
      </c>
      <c r="I3921" s="22" t="n">
        <v>80000</v>
      </c>
      <c r="J3921" s="20" t="inlineStr">
        <is>
          <t>INDUS MARUTI</t>
        </is>
      </c>
      <c r="K3921" s="20" t="inlineStr">
        <is>
          <t>Non-Captive</t>
        </is>
      </c>
      <c r="L3921" s="20" t="inlineStr">
        <is>
          <t>Hussain O E</t>
        </is>
      </c>
      <c r="M3921" s="23" t="n">
        <v>8474.58</v>
      </c>
    </row>
    <row r="3922">
      <c r="A3922" s="19" t="inlineStr">
        <is>
          <t>FY27</t>
        </is>
      </c>
      <c r="B3922" s="19" t="inlineStr">
        <is>
          <t>Sep</t>
        </is>
      </c>
      <c r="C3922" s="19" t="inlineStr">
        <is>
          <t>Kerala</t>
        </is>
      </c>
      <c r="D3922" s="20" t="inlineStr">
        <is>
          <t>KL40H1667</t>
        </is>
      </c>
      <c r="E3922" s="20" t="inlineStr">
        <is>
          <t>MARUTI SUZUKI</t>
        </is>
      </c>
      <c r="F3922" s="20" t="inlineStr">
        <is>
          <t>Dzire</t>
        </is>
      </c>
      <c r="G3922" s="21" t="n"/>
      <c r="H3922" s="22" t="n">
        <v>87835</v>
      </c>
      <c r="I3922" s="22" t="n">
        <v>265000</v>
      </c>
      <c r="J3922" s="20" t="inlineStr">
        <is>
          <t>ERAM MOTORS</t>
        </is>
      </c>
      <c r="K3922" s="20" t="inlineStr">
        <is>
          <t>Non-Captive</t>
        </is>
      </c>
      <c r="L3922" s="20" t="inlineStr">
        <is>
          <t>Aitos Cars</t>
        </is>
      </c>
      <c r="M3922" s="23" t="n">
        <v>8474.58</v>
      </c>
    </row>
    <row r="3923">
      <c r="A3923" s="19" t="inlineStr">
        <is>
          <t>FY27</t>
        </is>
      </c>
      <c r="B3923" s="19" t="inlineStr">
        <is>
          <t>Sep</t>
        </is>
      </c>
      <c r="C3923" s="19" t="inlineStr">
        <is>
          <t>Kerala</t>
        </is>
      </c>
      <c r="D3923" s="20" t="inlineStr">
        <is>
          <t>KL41R2564</t>
        </is>
      </c>
      <c r="E3923" s="20" t="inlineStr">
        <is>
          <t>MARUTI SUZUKI</t>
        </is>
      </c>
      <c r="F3923" s="20" t="inlineStr">
        <is>
          <t>Alto 800</t>
        </is>
      </c>
      <c r="G3923" s="21" t="n"/>
      <c r="H3923" s="22" t="n">
        <v>145000</v>
      </c>
      <c r="I3923" s="22" t="n">
        <v>220000</v>
      </c>
      <c r="J3923" s="20" t="inlineStr">
        <is>
          <t>POPULAR MARUTI</t>
        </is>
      </c>
      <c r="K3923" s="20" t="inlineStr">
        <is>
          <t>Non-Captive</t>
        </is>
      </c>
      <c r="L3923" s="20" t="inlineStr">
        <is>
          <t>Mark4</t>
        </is>
      </c>
      <c r="M3923" s="23" t="n">
        <v>8474.58</v>
      </c>
    </row>
    <row r="3924">
      <c r="A3924" s="19" t="inlineStr">
        <is>
          <t>FY27</t>
        </is>
      </c>
      <c r="B3924" s="19" t="inlineStr">
        <is>
          <t>Sep</t>
        </is>
      </c>
      <c r="C3924" s="19" t="inlineStr">
        <is>
          <t>Kerala</t>
        </is>
      </c>
      <c r="D3924" s="20" t="inlineStr">
        <is>
          <t>KL43D8176</t>
        </is>
      </c>
      <c r="E3924" s="20" t="inlineStr">
        <is>
          <t>MARUTI SUZUKI</t>
        </is>
      </c>
      <c r="F3924" s="20" t="inlineStr">
        <is>
          <t>Ertiga</t>
        </is>
      </c>
      <c r="G3924" s="21" t="n"/>
      <c r="H3924" s="22" t="n">
        <v>108357</v>
      </c>
      <c r="I3924" s="22" t="n">
        <v>180000</v>
      </c>
      <c r="J3924" s="20" t="inlineStr">
        <is>
          <t>POPULAR HYUNDAI</t>
        </is>
      </c>
      <c r="K3924" s="20" t="inlineStr">
        <is>
          <t>Non-Captive</t>
        </is>
      </c>
      <c r="L3924" s="20" t="inlineStr">
        <is>
          <t>Rafeek T A</t>
        </is>
      </c>
      <c r="M3924" s="23" t="n">
        <v>8474.58</v>
      </c>
    </row>
    <row r="3925">
      <c r="A3925" s="19" t="inlineStr">
        <is>
          <t>FY27</t>
        </is>
      </c>
      <c r="B3925" s="19" t="inlineStr">
        <is>
          <t>Sep</t>
        </is>
      </c>
      <c r="C3925" s="19" t="inlineStr">
        <is>
          <t>Kerala</t>
        </is>
      </c>
      <c r="D3925" s="20" t="inlineStr">
        <is>
          <t>KL43G4092</t>
        </is>
      </c>
      <c r="E3925" s="20" t="inlineStr">
        <is>
          <t>NISSAN</t>
        </is>
      </c>
      <c r="F3925" s="20" t="inlineStr">
        <is>
          <t>Micra</t>
        </is>
      </c>
      <c r="G3925" s="21" t="n"/>
      <c r="H3925" s="22" t="n">
        <v>139612</v>
      </c>
      <c r="I3925" s="22" t="n">
        <v>140000</v>
      </c>
      <c r="J3925" s="20" t="inlineStr">
        <is>
          <t>POPULAR MARUTI</t>
        </is>
      </c>
      <c r="K3925" s="20" t="inlineStr">
        <is>
          <t>Non-Captive</t>
        </is>
      </c>
      <c r="L3925" s="20" t="inlineStr">
        <is>
          <t>Noushad K K</t>
        </is>
      </c>
      <c r="M3925" s="23" t="n">
        <v>8474.58</v>
      </c>
    </row>
    <row r="3926">
      <c r="A3926" s="19" t="inlineStr">
        <is>
          <t>FY27</t>
        </is>
      </c>
      <c r="B3926" s="19" t="inlineStr">
        <is>
          <t>Sep</t>
        </is>
      </c>
      <c r="C3926" s="19" t="inlineStr">
        <is>
          <t>Kerala</t>
        </is>
      </c>
      <c r="D3926" s="20" t="inlineStr">
        <is>
          <t>KL44G1050</t>
        </is>
      </c>
      <c r="E3926" s="20" t="inlineStr">
        <is>
          <t>RENAULT</t>
        </is>
      </c>
      <c r="F3926" s="20" t="inlineStr">
        <is>
          <t>Kwid</t>
        </is>
      </c>
      <c r="G3926" s="21" t="n"/>
      <c r="H3926" s="22" t="n">
        <v>40142</v>
      </c>
      <c r="I3926" s="22" t="n">
        <v>220000</v>
      </c>
      <c r="J3926" s="20" t="inlineStr">
        <is>
          <t>OLX</t>
        </is>
      </c>
      <c r="K3926" s="20" t="inlineStr">
        <is>
          <t>Non-Captive</t>
        </is>
      </c>
      <c r="L3926" s="20" t="inlineStr">
        <is>
          <t>Hussain O E</t>
        </is>
      </c>
      <c r="M3926" s="23" t="n">
        <v>8474.58</v>
      </c>
    </row>
    <row r="3927">
      <c r="A3927" s="19" t="inlineStr">
        <is>
          <t>FY27</t>
        </is>
      </c>
      <c r="B3927" s="19" t="inlineStr">
        <is>
          <t>Sep</t>
        </is>
      </c>
      <c r="C3927" s="19" t="inlineStr">
        <is>
          <t>Kerala</t>
        </is>
      </c>
      <c r="D3927" s="20" t="inlineStr">
        <is>
          <t>KL45L2364</t>
        </is>
      </c>
      <c r="E3927" s="20" t="inlineStr">
        <is>
          <t>SKODA</t>
        </is>
      </c>
      <c r="F3927" s="20" t="inlineStr">
        <is>
          <t>Rapid</t>
        </is>
      </c>
      <c r="G3927" s="21" t="n"/>
      <c r="H3927" s="22" t="n">
        <v>102736</v>
      </c>
      <c r="I3927" s="22" t="n">
        <v>2900000</v>
      </c>
      <c r="J3927" s="20" t="inlineStr">
        <is>
          <t>MUHAMMED SHAJI</t>
        </is>
      </c>
      <c r="K3927" s="20" t="inlineStr">
        <is>
          <t>Non-Captive</t>
        </is>
      </c>
      <c r="L3927" s="20" t="inlineStr">
        <is>
          <t>Anas Hameed</t>
        </is>
      </c>
      <c r="M3927" s="23" t="n">
        <v>8474.58</v>
      </c>
    </row>
    <row r="3928">
      <c r="A3928" s="19" t="inlineStr">
        <is>
          <t>FY27</t>
        </is>
      </c>
      <c r="B3928" s="19" t="inlineStr">
        <is>
          <t>Sep</t>
        </is>
      </c>
      <c r="C3928" s="19" t="inlineStr">
        <is>
          <t>Kerala</t>
        </is>
      </c>
      <c r="D3928" s="20" t="inlineStr">
        <is>
          <t>KL45U2958</t>
        </is>
      </c>
      <c r="E3928" s="20" t="inlineStr">
        <is>
          <t>HONDA</t>
        </is>
      </c>
      <c r="F3928" s="20" t="inlineStr">
        <is>
          <t>Amaze</t>
        </is>
      </c>
      <c r="G3928" s="21" t="n"/>
      <c r="H3928" s="22" t="n">
        <v>94000</v>
      </c>
      <c r="I3928" s="22" t="n">
        <v>450000</v>
      </c>
      <c r="J3928" s="20" t="inlineStr">
        <is>
          <t>INCHEON KIA</t>
        </is>
      </c>
      <c r="K3928" s="20" t="inlineStr">
        <is>
          <t>Non-Captive</t>
        </is>
      </c>
      <c r="L3928" s="20" t="inlineStr">
        <is>
          <t>Haven Motors</t>
        </is>
      </c>
      <c r="M3928" s="23" t="n">
        <v>8474.58</v>
      </c>
    </row>
    <row r="3929">
      <c r="A3929" s="19" t="inlineStr">
        <is>
          <t>FY27</t>
        </is>
      </c>
      <c r="B3929" s="19" t="inlineStr">
        <is>
          <t>Sep</t>
        </is>
      </c>
      <c r="C3929" s="19" t="inlineStr">
        <is>
          <t>Kerala</t>
        </is>
      </c>
      <c r="D3929" s="20" t="inlineStr">
        <is>
          <t>KL46W3022</t>
        </is>
      </c>
      <c r="E3929" s="20" t="inlineStr">
        <is>
          <t>MG MOTORS</t>
        </is>
      </c>
      <c r="F3929" s="20" t="inlineStr">
        <is>
          <t>ZS EV</t>
        </is>
      </c>
      <c r="G3929" s="21" t="n"/>
      <c r="H3929" s="22" t="n">
        <v>83000</v>
      </c>
      <c r="I3929" s="22" t="n">
        <v>656000</v>
      </c>
      <c r="J3929" s="20" t="inlineStr">
        <is>
          <t>KANNUR PLATINUM</t>
        </is>
      </c>
      <c r="K3929" s="20" t="inlineStr">
        <is>
          <t>Non-Captive</t>
        </is>
      </c>
      <c r="L3929" s="20" t="inlineStr">
        <is>
          <t>Sarith R</t>
        </is>
      </c>
      <c r="M3929" s="23" t="n">
        <v>5084.75</v>
      </c>
    </row>
    <row r="3930">
      <c r="A3930" s="19" t="inlineStr">
        <is>
          <t>FY27</t>
        </is>
      </c>
      <c r="B3930" s="19" t="inlineStr">
        <is>
          <t>Sep</t>
        </is>
      </c>
      <c r="C3930" s="19" t="inlineStr">
        <is>
          <t>Kerala</t>
        </is>
      </c>
      <c r="D3930" s="20" t="inlineStr">
        <is>
          <t>KL47K5634</t>
        </is>
      </c>
      <c r="E3930" s="20" t="inlineStr">
        <is>
          <t>DATSUN</t>
        </is>
      </c>
      <c r="F3930" s="20" t="inlineStr">
        <is>
          <t>Redi-GO</t>
        </is>
      </c>
      <c r="G3930" s="21" t="n"/>
      <c r="H3930" s="22" t="n">
        <v>47592</v>
      </c>
      <c r="I3930" s="22" t="n">
        <v>210000</v>
      </c>
      <c r="J3930" s="20" t="inlineStr">
        <is>
          <t>PINNACLE NISSAN</t>
        </is>
      </c>
      <c r="K3930" s="20" t="inlineStr">
        <is>
          <t>Non-Captive</t>
        </is>
      </c>
      <c r="L3930" s="20" t="inlineStr">
        <is>
          <t>Autobot</t>
        </is>
      </c>
      <c r="M3930" s="23" t="n">
        <v>8474.58</v>
      </c>
    </row>
    <row r="3931">
      <c r="A3931" s="19" t="inlineStr">
        <is>
          <t>FY27</t>
        </is>
      </c>
      <c r="B3931" s="19" t="inlineStr">
        <is>
          <t>Sep</t>
        </is>
      </c>
      <c r="C3931" s="19" t="inlineStr">
        <is>
          <t>Kerala</t>
        </is>
      </c>
      <c r="D3931" s="20" t="inlineStr">
        <is>
          <t>KL48P8213</t>
        </is>
      </c>
      <c r="E3931" s="20" t="inlineStr">
        <is>
          <t>MAHINDRA</t>
        </is>
      </c>
      <c r="F3931" s="20" t="inlineStr">
        <is>
          <t>Bolero</t>
        </is>
      </c>
      <c r="G3931" s="21" t="n"/>
      <c r="H3931" s="22" t="n">
        <v>210000</v>
      </c>
      <c r="I3931" s="22" t="n">
        <v>286000</v>
      </c>
      <c r="J3931" s="20" t="inlineStr">
        <is>
          <t>RADHAKRISHNAN</t>
        </is>
      </c>
      <c r="K3931" s="20" t="inlineStr">
        <is>
          <t>Non-Captive</t>
        </is>
      </c>
      <c r="L3931" s="20" t="inlineStr">
        <is>
          <t>Sajith,Leaps Trucks</t>
        </is>
      </c>
      <c r="M3931" s="23" t="n">
        <v>5084.75</v>
      </c>
    </row>
    <row r="3932">
      <c r="A3932" s="19" t="inlineStr">
        <is>
          <t>FY27</t>
        </is>
      </c>
      <c r="B3932" s="19" t="inlineStr">
        <is>
          <t>Sep</t>
        </is>
      </c>
      <c r="C3932" s="19" t="inlineStr">
        <is>
          <t>Kerala</t>
        </is>
      </c>
      <c r="D3932" s="20" t="inlineStr">
        <is>
          <t>KL52N6554</t>
        </is>
      </c>
      <c r="E3932" s="20" t="inlineStr">
        <is>
          <t>MARUTI SUZUKI</t>
        </is>
      </c>
      <c r="F3932" s="20" t="inlineStr">
        <is>
          <t>Dzire</t>
        </is>
      </c>
      <c r="G3932" s="21" t="n"/>
      <c r="H3932" s="22" t="n">
        <v>70341</v>
      </c>
      <c r="I3932" s="22" t="n">
        <v>490000</v>
      </c>
      <c r="J3932" s="20" t="inlineStr">
        <is>
          <t>POPULAR HYUNDAI</t>
        </is>
      </c>
      <c r="K3932" s="20" t="inlineStr">
        <is>
          <t>Non-Captive</t>
        </is>
      </c>
      <c r="L3932" s="20" t="inlineStr">
        <is>
          <t>Asharaf T A</t>
        </is>
      </c>
      <c r="M3932" s="23" t="n">
        <v>8474.58</v>
      </c>
    </row>
    <row r="3933">
      <c r="A3933" s="19" t="inlineStr">
        <is>
          <t>FY27</t>
        </is>
      </c>
      <c r="B3933" s="19" t="inlineStr">
        <is>
          <t>Sep</t>
        </is>
      </c>
      <c r="C3933" s="19" t="inlineStr">
        <is>
          <t>Kerala</t>
        </is>
      </c>
      <c r="D3933" s="20" t="inlineStr">
        <is>
          <t>KL55M5013</t>
        </is>
      </c>
      <c r="E3933" s="20" t="inlineStr">
        <is>
          <t>FORD</t>
        </is>
      </c>
      <c r="F3933" s="20" t="inlineStr">
        <is>
          <t>Figo</t>
        </is>
      </c>
      <c r="G3933" s="21" t="n"/>
      <c r="H3933" s="22" t="n">
        <v>132000</v>
      </c>
      <c r="I3933" s="22" t="n">
        <v>55000</v>
      </c>
      <c r="J3933" s="20" t="inlineStr">
        <is>
          <t>KVR TATA</t>
        </is>
      </c>
      <c r="K3933" s="20" t="inlineStr">
        <is>
          <t>Non-Captive</t>
        </is>
      </c>
      <c r="L3933" s="20" t="inlineStr">
        <is>
          <t>Hiba Nasrin</t>
        </is>
      </c>
      <c r="M3933" s="23" t="n">
        <v>4237.29</v>
      </c>
    </row>
    <row r="3934">
      <c r="A3934" s="19" t="inlineStr">
        <is>
          <t>FY27</t>
        </is>
      </c>
      <c r="B3934" s="19" t="inlineStr">
        <is>
          <t>Sep</t>
        </is>
      </c>
      <c r="C3934" s="19" t="inlineStr">
        <is>
          <t>Kerala</t>
        </is>
      </c>
      <c r="D3934" s="20" t="inlineStr">
        <is>
          <t>KL56Q7346</t>
        </is>
      </c>
      <c r="E3934" s="20" t="inlineStr">
        <is>
          <t>HYUNDAI</t>
        </is>
      </c>
      <c r="F3934" s="20" t="inlineStr">
        <is>
          <t>Grand i10</t>
        </is>
      </c>
      <c r="G3934" s="21" t="n"/>
      <c r="H3934" s="22" t="n">
        <v>57000</v>
      </c>
      <c r="I3934" s="22" t="n">
        <v>260000</v>
      </c>
      <c r="J3934" s="20" t="inlineStr">
        <is>
          <t>EVM SKODA</t>
        </is>
      </c>
      <c r="K3934" s="20" t="inlineStr">
        <is>
          <t>Non-Captive</t>
        </is>
      </c>
      <c r="L3934" s="20" t="inlineStr">
        <is>
          <t>Nisha Mary Mathew</t>
        </is>
      </c>
      <c r="M3934" s="23" t="n">
        <v>8474.58</v>
      </c>
    </row>
    <row r="3935">
      <c r="A3935" s="19" t="inlineStr">
        <is>
          <t>FY27</t>
        </is>
      </c>
      <c r="B3935" s="19" t="inlineStr">
        <is>
          <t>Sep</t>
        </is>
      </c>
      <c r="C3935" s="19" t="inlineStr">
        <is>
          <t>Kerala</t>
        </is>
      </c>
      <c r="D3935" s="20" t="inlineStr">
        <is>
          <t>KL57C4041</t>
        </is>
      </c>
      <c r="E3935" s="20" t="inlineStr">
        <is>
          <t>MARUTI SUZUKI</t>
        </is>
      </c>
      <c r="F3935" s="20" t="inlineStr">
        <is>
          <t>Wagon R</t>
        </is>
      </c>
      <c r="G3935" s="21" t="n"/>
      <c r="H3935" s="22" t="n">
        <v>77000</v>
      </c>
      <c r="I3935" s="22" t="n">
        <v>110000</v>
      </c>
      <c r="J3935" s="20" t="inlineStr">
        <is>
          <t>AM MOTORS</t>
        </is>
      </c>
      <c r="K3935" s="20" t="inlineStr">
        <is>
          <t>Non-Captive</t>
        </is>
      </c>
      <c r="L3935" s="20" t="inlineStr">
        <is>
          <t>Dinesh V</t>
        </is>
      </c>
      <c r="M3935" s="23" t="n">
        <v>4237.29</v>
      </c>
    </row>
    <row r="3936">
      <c r="A3936" s="19" t="inlineStr">
        <is>
          <t>FY27</t>
        </is>
      </c>
      <c r="B3936" s="19" t="inlineStr">
        <is>
          <t>Sep</t>
        </is>
      </c>
      <c r="C3936" s="19" t="inlineStr">
        <is>
          <t>Kerala</t>
        </is>
      </c>
      <c r="D3936" s="20" t="inlineStr">
        <is>
          <t>KL57L8089</t>
        </is>
      </c>
      <c r="E3936" s="20" t="inlineStr">
        <is>
          <t>HYUNDAI</t>
        </is>
      </c>
      <c r="F3936" s="20" t="inlineStr">
        <is>
          <t>Eon</t>
        </is>
      </c>
      <c r="G3936" s="21" t="n"/>
      <c r="H3936" s="22" t="n">
        <v>88000</v>
      </c>
      <c r="I3936" s="22" t="n">
        <v>76000</v>
      </c>
      <c r="J3936" s="20" t="inlineStr">
        <is>
          <t>POPULAR MARUTI</t>
        </is>
      </c>
      <c r="K3936" s="20" t="inlineStr">
        <is>
          <t>Non-Captive</t>
        </is>
      </c>
      <c r="L3936" s="20" t="inlineStr">
        <is>
          <t>Muhammed Anees Tc</t>
        </is>
      </c>
      <c r="M3936" s="23" t="n">
        <v>5084.75</v>
      </c>
    </row>
    <row r="3937">
      <c r="A3937" s="19" t="inlineStr">
        <is>
          <t>FY27</t>
        </is>
      </c>
      <c r="B3937" s="19" t="inlineStr">
        <is>
          <t>Sep</t>
        </is>
      </c>
      <c r="C3937" s="19" t="inlineStr">
        <is>
          <t>Kerala</t>
        </is>
      </c>
      <c r="D3937" s="20" t="inlineStr">
        <is>
          <t>KL57X4096</t>
        </is>
      </c>
      <c r="E3937" s="20" t="inlineStr">
        <is>
          <t>DATSUN</t>
        </is>
      </c>
      <c r="F3937" s="20" t="inlineStr">
        <is>
          <t>Redi-GO</t>
        </is>
      </c>
      <c r="G3937" s="21" t="n"/>
      <c r="H3937" s="22" t="n">
        <v>75000</v>
      </c>
      <c r="I3937" s="22" t="n">
        <v>185000</v>
      </c>
      <c r="J3937" s="20" t="inlineStr">
        <is>
          <t>EVM NISSAN</t>
        </is>
      </c>
      <c r="K3937" s="20" t="inlineStr">
        <is>
          <t>Non-Captive</t>
        </is>
      </c>
      <c r="L3937" s="20" t="inlineStr">
        <is>
          <t>Sanoop K M</t>
        </is>
      </c>
      <c r="M3937" s="23" t="n">
        <v>4237.29</v>
      </c>
    </row>
    <row r="3938">
      <c r="A3938" s="19" t="inlineStr">
        <is>
          <t>FY27</t>
        </is>
      </c>
      <c r="B3938" s="19" t="inlineStr">
        <is>
          <t>Sep</t>
        </is>
      </c>
      <c r="C3938" s="19" t="inlineStr">
        <is>
          <t>Kerala</t>
        </is>
      </c>
      <c r="D3938" s="20" t="inlineStr">
        <is>
          <t>KL58AC2063</t>
        </is>
      </c>
      <c r="E3938" s="20" t="inlineStr">
        <is>
          <t>RENAULT</t>
        </is>
      </c>
      <c r="F3938" s="20" t="inlineStr">
        <is>
          <t>Triber</t>
        </is>
      </c>
      <c r="G3938" s="21" t="n"/>
      <c r="H3938" s="22" t="n">
        <v>64000</v>
      </c>
      <c r="I3938" s="22" t="n">
        <v>306000</v>
      </c>
      <c r="J3938" s="20" t="inlineStr">
        <is>
          <t>KVR TATA</t>
        </is>
      </c>
      <c r="K3938" s="20" t="inlineStr">
        <is>
          <t>Non-Captive</t>
        </is>
      </c>
      <c r="L3938" s="20" t="inlineStr">
        <is>
          <t>Prajosh A M</t>
        </is>
      </c>
      <c r="M3938" s="23" t="n">
        <v>5084.75</v>
      </c>
    </row>
    <row r="3939">
      <c r="A3939" s="19" t="inlineStr">
        <is>
          <t>FY27</t>
        </is>
      </c>
      <c r="B3939" s="19" t="inlineStr">
        <is>
          <t>Sep</t>
        </is>
      </c>
      <c r="C3939" s="19" t="inlineStr">
        <is>
          <t>Kerala</t>
        </is>
      </c>
      <c r="D3939" s="20" t="inlineStr">
        <is>
          <t>KL58AD0952</t>
        </is>
      </c>
      <c r="E3939" s="20" t="inlineStr">
        <is>
          <t>TATA</t>
        </is>
      </c>
      <c r="F3939" s="20" t="inlineStr">
        <is>
          <t>Tigor</t>
        </is>
      </c>
      <c r="G3939" s="21" t="n"/>
      <c r="H3939" s="22" t="n">
        <v>64000</v>
      </c>
      <c r="I3939" s="22" t="n">
        <v>427000</v>
      </c>
      <c r="J3939" s="20" t="inlineStr">
        <is>
          <t>KVR TATA</t>
        </is>
      </c>
      <c r="K3939" s="20" t="inlineStr">
        <is>
          <t>Non-Captive</t>
        </is>
      </c>
      <c r="L3939" s="20" t="inlineStr">
        <is>
          <t>Prajosh A M</t>
        </is>
      </c>
      <c r="M3939" s="23" t="n">
        <v>5932.2</v>
      </c>
    </row>
    <row r="3940">
      <c r="A3940" s="19" t="inlineStr">
        <is>
          <t>FY27</t>
        </is>
      </c>
      <c r="B3940" s="19" t="inlineStr">
        <is>
          <t>Sep</t>
        </is>
      </c>
      <c r="C3940" s="19" t="inlineStr">
        <is>
          <t>Kerala</t>
        </is>
      </c>
      <c r="D3940" s="20" t="inlineStr">
        <is>
          <t>KL58AJ7878</t>
        </is>
      </c>
      <c r="E3940" s="20" t="inlineStr">
        <is>
          <t>CITROEN</t>
        </is>
      </c>
      <c r="F3940" s="20" t="inlineStr">
        <is>
          <t>C3</t>
        </is>
      </c>
      <c r="G3940" s="21" t="n"/>
      <c r="H3940" s="22" t="n">
        <v>17000</v>
      </c>
      <c r="I3940" s="22" t="n">
        <v>405000</v>
      </c>
      <c r="J3940" s="20" t="inlineStr">
        <is>
          <t>EVM NISSAN</t>
        </is>
      </c>
      <c r="K3940" s="20" t="inlineStr">
        <is>
          <t>Non-Captive</t>
        </is>
      </c>
      <c r="L3940" s="20" t="inlineStr">
        <is>
          <t>Varun Prakash</t>
        </is>
      </c>
      <c r="M3940" s="23" t="n">
        <v>8474.58</v>
      </c>
    </row>
    <row r="3941">
      <c r="A3941" s="19" t="inlineStr">
        <is>
          <t>FY27</t>
        </is>
      </c>
      <c r="B3941" s="19" t="inlineStr">
        <is>
          <t>Sep</t>
        </is>
      </c>
      <c r="C3941" s="19" t="inlineStr">
        <is>
          <t>Kerala</t>
        </is>
      </c>
      <c r="D3941" s="20" t="inlineStr">
        <is>
          <t>KL58G3740</t>
        </is>
      </c>
      <c r="E3941" s="20" t="inlineStr">
        <is>
          <t>MARUTI SUZUKI</t>
        </is>
      </c>
      <c r="F3941" s="20" t="inlineStr">
        <is>
          <t>Swift</t>
        </is>
      </c>
      <c r="G3941" s="21" t="n"/>
      <c r="H3941" s="22" t="n">
        <v>156000</v>
      </c>
      <c r="I3941" s="22" t="n">
        <v>116000</v>
      </c>
      <c r="J3941" s="20" t="inlineStr">
        <is>
          <t>INDUS MARUTI</t>
        </is>
      </c>
      <c r="K3941" s="20" t="inlineStr">
        <is>
          <t>Non-Captive</t>
        </is>
      </c>
      <c r="L3941" s="20" t="inlineStr">
        <is>
          <t>Varun Prakash</t>
        </is>
      </c>
      <c r="M3941" s="23" t="n">
        <v>5084.75</v>
      </c>
    </row>
    <row r="3942">
      <c r="A3942" s="19" t="inlineStr">
        <is>
          <t>FY27</t>
        </is>
      </c>
      <c r="B3942" s="19" t="inlineStr">
        <is>
          <t>Sep</t>
        </is>
      </c>
      <c r="C3942" s="19" t="inlineStr">
        <is>
          <t>Kerala</t>
        </is>
      </c>
      <c r="D3942" s="20" t="inlineStr">
        <is>
          <t>KL58G8210</t>
        </is>
      </c>
      <c r="E3942" s="20" t="inlineStr">
        <is>
          <t>MARUTI SUZUKI</t>
        </is>
      </c>
      <c r="F3942" s="20" t="inlineStr">
        <is>
          <t>Wagon R</t>
        </is>
      </c>
      <c r="G3942" s="21" t="n"/>
      <c r="H3942" s="22" t="n">
        <v>115000</v>
      </c>
      <c r="I3942" s="22" t="n">
        <v>97000</v>
      </c>
      <c r="J3942" s="20" t="inlineStr">
        <is>
          <t>POPULAR MARUTI</t>
        </is>
      </c>
      <c r="K3942" s="20" t="inlineStr">
        <is>
          <t>Non-Captive</t>
        </is>
      </c>
      <c r="L3942" s="20" t="inlineStr">
        <is>
          <t>Varun Prakash</t>
        </is>
      </c>
      <c r="M3942" s="23" t="n">
        <v>5932.2</v>
      </c>
    </row>
    <row r="3943">
      <c r="A3943" s="19" t="inlineStr">
        <is>
          <t>FY27</t>
        </is>
      </c>
      <c r="B3943" s="19" t="inlineStr">
        <is>
          <t>Sep</t>
        </is>
      </c>
      <c r="C3943" s="19" t="inlineStr">
        <is>
          <t>Kerala</t>
        </is>
      </c>
      <c r="D3943" s="20" t="inlineStr">
        <is>
          <t>KL58T9526</t>
        </is>
      </c>
      <c r="E3943" s="20" t="inlineStr">
        <is>
          <t>MARUTI SUZUKI</t>
        </is>
      </c>
      <c r="F3943" s="20" t="inlineStr">
        <is>
          <t>Swift</t>
        </is>
      </c>
      <c r="G3943" s="21" t="n"/>
      <c r="H3943" s="22" t="n">
        <v>86000</v>
      </c>
      <c r="I3943" s="22" t="n">
        <v>310000</v>
      </c>
      <c r="J3943" s="20" t="inlineStr">
        <is>
          <t>BIMAL MARUTI</t>
        </is>
      </c>
      <c r="K3943" s="20" t="inlineStr">
        <is>
          <t>Non-Captive</t>
        </is>
      </c>
      <c r="L3943" s="20" t="inlineStr">
        <is>
          <t>Nisha Mary Mathew</t>
        </is>
      </c>
      <c r="M3943" s="23" t="n">
        <v>8474.58</v>
      </c>
    </row>
    <row r="3944">
      <c r="A3944" s="19" t="inlineStr">
        <is>
          <t>FY27</t>
        </is>
      </c>
      <c r="B3944" s="19" t="inlineStr">
        <is>
          <t>Sep</t>
        </is>
      </c>
      <c r="C3944" s="19" t="inlineStr">
        <is>
          <t>Kerala</t>
        </is>
      </c>
      <c r="D3944" s="20" t="inlineStr">
        <is>
          <t>KL59E6540</t>
        </is>
      </c>
      <c r="E3944" s="20" t="inlineStr">
        <is>
          <t>MARUTI SUZUKI</t>
        </is>
      </c>
      <c r="F3944" s="20" t="inlineStr">
        <is>
          <t>Swift</t>
        </is>
      </c>
      <c r="G3944" s="21" t="n"/>
      <c r="H3944" s="22" t="n">
        <v>67000</v>
      </c>
      <c r="I3944" s="22" t="n">
        <v>220000</v>
      </c>
      <c r="J3944" s="20" t="inlineStr">
        <is>
          <t>KVR TATA</t>
        </is>
      </c>
      <c r="K3944" s="20" t="inlineStr">
        <is>
          <t>Non-Captive</t>
        </is>
      </c>
      <c r="L3944" s="20" t="inlineStr">
        <is>
          <t>Akhil K</t>
        </is>
      </c>
      <c r="M3944" s="23" t="n">
        <v>8474.58</v>
      </c>
    </row>
    <row r="3945">
      <c r="A3945" s="19" t="inlineStr">
        <is>
          <t>FY27</t>
        </is>
      </c>
      <c r="B3945" s="19" t="inlineStr">
        <is>
          <t>Sep</t>
        </is>
      </c>
      <c r="C3945" s="19" t="inlineStr">
        <is>
          <t>Kerala</t>
        </is>
      </c>
      <c r="D3945" s="20" t="inlineStr">
        <is>
          <t>KL59R1348</t>
        </is>
      </c>
      <c r="E3945" s="20" t="inlineStr">
        <is>
          <t>MARUTI SUZUKI</t>
        </is>
      </c>
      <c r="F3945" s="20" t="inlineStr">
        <is>
          <t>Swift</t>
        </is>
      </c>
      <c r="G3945" s="21" t="n"/>
      <c r="H3945" s="22" t="n">
        <v>53000</v>
      </c>
      <c r="I3945" s="22" t="n">
        <v>355000</v>
      </c>
      <c r="J3945" s="20" t="inlineStr">
        <is>
          <t>MARVEL MOTORS</t>
        </is>
      </c>
      <c r="K3945" s="20" t="inlineStr">
        <is>
          <t>Non-Captive</t>
        </is>
      </c>
      <c r="L3945" s="20" t="inlineStr">
        <is>
          <t>Muhammed Ashique K</t>
        </is>
      </c>
      <c r="M3945" s="23" t="n">
        <v>4237.29</v>
      </c>
    </row>
    <row r="3946">
      <c r="A3946" s="19" t="inlineStr">
        <is>
          <t>FY27</t>
        </is>
      </c>
      <c r="B3946" s="19" t="inlineStr">
        <is>
          <t>Sep</t>
        </is>
      </c>
      <c r="C3946" s="19" t="inlineStr">
        <is>
          <t>Kerala</t>
        </is>
      </c>
      <c r="D3946" s="20" t="inlineStr">
        <is>
          <t>KL59X1084</t>
        </is>
      </c>
      <c r="E3946" s="20" t="inlineStr">
        <is>
          <t>TATA</t>
        </is>
      </c>
      <c r="F3946" s="20" t="inlineStr">
        <is>
          <t>Altroz</t>
        </is>
      </c>
      <c r="G3946" s="21" t="n"/>
      <c r="H3946" s="22" t="n">
        <v>153000</v>
      </c>
      <c r="I3946" s="22" t="n">
        <v>340000</v>
      </c>
      <c r="J3946" s="20" t="inlineStr">
        <is>
          <t>KVR TATA</t>
        </is>
      </c>
      <c r="K3946" s="20" t="inlineStr">
        <is>
          <t>Non-Captive</t>
        </is>
      </c>
      <c r="L3946" s="20" t="inlineStr">
        <is>
          <t>Sabith</t>
        </is>
      </c>
      <c r="M3946" s="23" t="n">
        <v>4237.29</v>
      </c>
    </row>
    <row r="3947">
      <c r="A3947" s="19" t="inlineStr">
        <is>
          <t>FY27</t>
        </is>
      </c>
      <c r="B3947" s="19" t="inlineStr">
        <is>
          <t>Sep</t>
        </is>
      </c>
      <c r="C3947" s="19" t="inlineStr">
        <is>
          <t>Kerala</t>
        </is>
      </c>
      <c r="D3947" s="20" t="inlineStr">
        <is>
          <t>KL59X1991</t>
        </is>
      </c>
      <c r="E3947" s="20" t="inlineStr">
        <is>
          <t>MARUTI SUZUKI</t>
        </is>
      </c>
      <c r="F3947" s="20" t="inlineStr">
        <is>
          <t>Baleno</t>
        </is>
      </c>
      <c r="G3947" s="21" t="n"/>
      <c r="H3947" s="22" t="n">
        <v>110000</v>
      </c>
      <c r="I3947" s="22" t="n">
        <v>497000</v>
      </c>
      <c r="J3947" s="20" t="inlineStr">
        <is>
          <t>AMANA TOYOTA</t>
        </is>
      </c>
      <c r="K3947" s="20" t="inlineStr">
        <is>
          <t>Non-Captive</t>
        </is>
      </c>
      <c r="L3947" s="20" t="inlineStr">
        <is>
          <t>Kannur Platinum Drive</t>
        </is>
      </c>
      <c r="M3947" s="23" t="n">
        <v>5932.2</v>
      </c>
    </row>
    <row r="3948">
      <c r="A3948" s="19" t="inlineStr">
        <is>
          <t>FY27</t>
        </is>
      </c>
      <c r="B3948" s="19" t="inlineStr">
        <is>
          <t>Sep</t>
        </is>
      </c>
      <c r="C3948" s="19" t="inlineStr">
        <is>
          <t>Kerala</t>
        </is>
      </c>
      <c r="D3948" s="20" t="inlineStr">
        <is>
          <t>KL60A9029</t>
        </is>
      </c>
      <c r="E3948" s="20" t="inlineStr">
        <is>
          <t>MARUTI SUZUKI</t>
        </is>
      </c>
      <c r="F3948" s="20" t="inlineStr">
        <is>
          <t>Alto</t>
        </is>
      </c>
      <c r="G3948" s="21" t="n"/>
      <c r="H3948" s="22" t="n">
        <v>123000</v>
      </c>
      <c r="I3948" s="22" t="n">
        <v>63000</v>
      </c>
      <c r="J3948" s="20" t="inlineStr">
        <is>
          <t>POPULAR MARUTI</t>
        </is>
      </c>
      <c r="K3948" s="20" t="inlineStr">
        <is>
          <t>Non-Captive</t>
        </is>
      </c>
      <c r="L3948" s="20" t="inlineStr">
        <is>
          <t>Basheer</t>
        </is>
      </c>
      <c r="M3948" s="23" t="n">
        <v>6779.66</v>
      </c>
    </row>
    <row r="3949">
      <c r="A3949" s="19" t="inlineStr">
        <is>
          <t>FY27</t>
        </is>
      </c>
      <c r="B3949" s="19" t="inlineStr">
        <is>
          <t>Sep</t>
        </is>
      </c>
      <c r="C3949" s="19" t="inlineStr">
        <is>
          <t>Kerala</t>
        </is>
      </c>
      <c r="D3949" s="20" t="inlineStr">
        <is>
          <t>KL60B7660</t>
        </is>
      </c>
      <c r="E3949" s="20" t="inlineStr">
        <is>
          <t>MARUTI SUZUKI</t>
        </is>
      </c>
      <c r="F3949" s="20" t="inlineStr">
        <is>
          <t>Alto</t>
        </is>
      </c>
      <c r="G3949" s="21" t="n"/>
      <c r="H3949" s="22" t="n">
        <v>225000</v>
      </c>
      <c r="I3949" s="22" t="n">
        <v>45000</v>
      </c>
      <c r="J3949" s="20" t="inlineStr">
        <is>
          <t>POPULAR MARUTI</t>
        </is>
      </c>
      <c r="K3949" s="20" t="inlineStr">
        <is>
          <t>Non-Captive</t>
        </is>
      </c>
      <c r="L3949" s="20" t="inlineStr">
        <is>
          <t>Hiba Nasarin</t>
        </is>
      </c>
      <c r="M3949" s="23" t="n">
        <v>8474.58</v>
      </c>
    </row>
    <row r="3950">
      <c r="A3950" s="19" t="inlineStr">
        <is>
          <t>FY27</t>
        </is>
      </c>
      <c r="B3950" s="19" t="inlineStr">
        <is>
          <t>Sep</t>
        </is>
      </c>
      <c r="C3950" s="19" t="inlineStr">
        <is>
          <t>Kerala</t>
        </is>
      </c>
      <c r="D3950" s="20" t="inlineStr">
        <is>
          <t>KL60E2969</t>
        </is>
      </c>
      <c r="E3950" s="20" t="inlineStr">
        <is>
          <t>HYUNDAI</t>
        </is>
      </c>
      <c r="F3950" s="20" t="inlineStr">
        <is>
          <t>Eon</t>
        </is>
      </c>
      <c r="G3950" s="21" t="n"/>
      <c r="H3950" s="22" t="n">
        <v>135000</v>
      </c>
      <c r="I3950" s="22" t="n">
        <v>71000</v>
      </c>
      <c r="J3950" s="20" t="inlineStr">
        <is>
          <t>UCD FARIS</t>
        </is>
      </c>
      <c r="K3950" s="20" t="inlineStr">
        <is>
          <t>Non-Captive</t>
        </is>
      </c>
      <c r="L3950" s="20" t="inlineStr">
        <is>
          <t>Varun Prakash</t>
        </is>
      </c>
      <c r="M3950" s="23" t="n">
        <v>5084.75</v>
      </c>
    </row>
    <row r="3951">
      <c r="A3951" s="19" t="inlineStr">
        <is>
          <t>FY27</t>
        </is>
      </c>
      <c r="B3951" s="19" t="inlineStr">
        <is>
          <t>Sep</t>
        </is>
      </c>
      <c r="C3951" s="19" t="inlineStr">
        <is>
          <t>Kerala</t>
        </is>
      </c>
      <c r="D3951" s="20" t="inlineStr">
        <is>
          <t>KL60H4040</t>
        </is>
      </c>
      <c r="E3951" s="20" t="inlineStr">
        <is>
          <t>HYUNDAI</t>
        </is>
      </c>
      <c r="F3951" s="20" t="inlineStr">
        <is>
          <t>i20</t>
        </is>
      </c>
      <c r="G3951" s="21" t="n"/>
      <c r="H3951" s="22" t="n">
        <v>120000</v>
      </c>
      <c r="I3951" s="22" t="n">
        <v>296000</v>
      </c>
      <c r="J3951" s="20" t="inlineStr">
        <is>
          <t>INDUS MARUTI</t>
        </is>
      </c>
      <c r="K3951" s="20" t="inlineStr">
        <is>
          <t>Non-Captive</t>
        </is>
      </c>
      <c r="L3951" s="20" t="inlineStr">
        <is>
          <t>Mohammed Danish K</t>
        </is>
      </c>
      <c r="M3951" s="23" t="n">
        <v>5084.75</v>
      </c>
    </row>
    <row r="3952">
      <c r="A3952" s="19" t="inlineStr">
        <is>
          <t>FY27</t>
        </is>
      </c>
      <c r="B3952" s="19" t="inlineStr">
        <is>
          <t>Sep</t>
        </is>
      </c>
      <c r="C3952" s="19" t="inlineStr">
        <is>
          <t>Kerala</t>
        </is>
      </c>
      <c r="D3952" s="20" t="inlineStr">
        <is>
          <t>KL60R1485</t>
        </is>
      </c>
      <c r="E3952" s="20" t="inlineStr">
        <is>
          <t>HYUNDAI</t>
        </is>
      </c>
      <c r="F3952" s="20" t="inlineStr">
        <is>
          <t>Santro</t>
        </is>
      </c>
      <c r="G3952" s="21" t="n"/>
      <c r="H3952" s="22" t="n">
        <v>54000</v>
      </c>
      <c r="I3952" s="22" t="n">
        <v>277000</v>
      </c>
      <c r="J3952" s="20" t="inlineStr">
        <is>
          <t>APCO HYUNDAI</t>
        </is>
      </c>
      <c r="K3952" s="20" t="inlineStr">
        <is>
          <t>Non-Captive</t>
        </is>
      </c>
      <c r="L3952" s="20" t="inlineStr">
        <is>
          <t>Suraj Pk</t>
        </is>
      </c>
      <c r="M3952" s="23" t="n">
        <v>4237.29</v>
      </c>
    </row>
    <row r="3953">
      <c r="A3953" s="19" t="inlineStr">
        <is>
          <t>FY27</t>
        </is>
      </c>
      <c r="B3953" s="19" t="inlineStr">
        <is>
          <t>Sep</t>
        </is>
      </c>
      <c r="C3953" s="19" t="inlineStr">
        <is>
          <t>Kerala</t>
        </is>
      </c>
      <c r="D3953" s="20" t="inlineStr">
        <is>
          <t>KL60R4829</t>
        </is>
      </c>
      <c r="E3953" s="20" t="inlineStr">
        <is>
          <t>FORD</t>
        </is>
      </c>
      <c r="F3953" s="20" t="inlineStr">
        <is>
          <t>EcoSport</t>
        </is>
      </c>
      <c r="G3953" s="21" t="n"/>
      <c r="H3953" s="22" t="n">
        <v>103000</v>
      </c>
      <c r="I3953" s="22" t="n">
        <v>460000</v>
      </c>
      <c r="J3953" s="20" t="inlineStr">
        <is>
          <t>UCD FARIS</t>
        </is>
      </c>
      <c r="K3953" s="20" t="inlineStr">
        <is>
          <t>Non-Captive</t>
        </is>
      </c>
      <c r="L3953" s="20" t="inlineStr">
        <is>
          <t>Muhammed Vasil Mk</t>
        </is>
      </c>
      <c r="M3953" s="23" t="n">
        <v>8474.58</v>
      </c>
    </row>
    <row r="3954">
      <c r="A3954" s="19" t="inlineStr">
        <is>
          <t>FY27</t>
        </is>
      </c>
      <c r="B3954" s="19" t="inlineStr">
        <is>
          <t>Sep</t>
        </is>
      </c>
      <c r="C3954" s="19" t="inlineStr">
        <is>
          <t>Kerala</t>
        </is>
      </c>
      <c r="D3954" s="20" t="inlineStr">
        <is>
          <t>KL63J5713</t>
        </is>
      </c>
      <c r="E3954" s="20" t="inlineStr">
        <is>
          <t>MARUTI SUZUKI</t>
        </is>
      </c>
      <c r="F3954" s="20" t="inlineStr">
        <is>
          <t>Fronx</t>
        </is>
      </c>
      <c r="G3954" s="21" t="n"/>
      <c r="H3954" s="22" t="n">
        <v>24874</v>
      </c>
      <c r="I3954" s="22" t="n">
        <v>575000</v>
      </c>
      <c r="J3954" s="20" t="inlineStr">
        <is>
          <t>POPULAR MARUTI</t>
        </is>
      </c>
      <c r="K3954" s="20" t="inlineStr">
        <is>
          <t>Non-Captive</t>
        </is>
      </c>
      <c r="L3954" s="20" t="inlineStr">
        <is>
          <t>Abin Jose</t>
        </is>
      </c>
      <c r="M3954" s="23" t="n">
        <v>12711.86</v>
      </c>
    </row>
    <row r="3955">
      <c r="A3955" s="19" t="inlineStr">
        <is>
          <t>FY27</t>
        </is>
      </c>
      <c r="B3955" s="19" t="inlineStr">
        <is>
          <t>Sep</t>
        </is>
      </c>
      <c r="C3955" s="19" t="inlineStr">
        <is>
          <t>Kerala</t>
        </is>
      </c>
      <c r="D3955" s="20" t="inlineStr">
        <is>
          <t>KL64J3017</t>
        </is>
      </c>
      <c r="E3955" s="20" t="inlineStr">
        <is>
          <t>DATSUN</t>
        </is>
      </c>
      <c r="F3955" s="20" t="inlineStr">
        <is>
          <t>Redi-GO</t>
        </is>
      </c>
      <c r="G3955" s="21" t="n"/>
      <c r="H3955" s="22" t="n">
        <v>20022</v>
      </c>
      <c r="I3955" s="22" t="n">
        <v>210000</v>
      </c>
      <c r="J3955" s="20" t="inlineStr">
        <is>
          <t>PINNACLE NISSAN</t>
        </is>
      </c>
      <c r="K3955" s="20" t="inlineStr">
        <is>
          <t>Non-Captive</t>
        </is>
      </c>
      <c r="L3955" s="20" t="inlineStr">
        <is>
          <t>Aitos Cars</t>
        </is>
      </c>
      <c r="M3955" s="23" t="n">
        <v>8474.58</v>
      </c>
    </row>
    <row r="3956">
      <c r="A3956" s="19" t="inlineStr">
        <is>
          <t>FY27</t>
        </is>
      </c>
      <c r="B3956" s="19" t="inlineStr">
        <is>
          <t>Sep</t>
        </is>
      </c>
      <c r="C3956" s="19" t="inlineStr">
        <is>
          <t>Kerala</t>
        </is>
      </c>
      <c r="D3956" s="20" t="inlineStr">
        <is>
          <t>KL65H1444</t>
        </is>
      </c>
      <c r="E3956" s="20" t="inlineStr">
        <is>
          <t>MARUTI SUZUKI</t>
        </is>
      </c>
      <c r="F3956" s="20" t="inlineStr">
        <is>
          <t>Swift</t>
        </is>
      </c>
      <c r="G3956" s="21" t="n"/>
      <c r="H3956" s="22" t="n">
        <v>89000</v>
      </c>
      <c r="I3956" s="22" t="n">
        <v>460000</v>
      </c>
      <c r="J3956" s="20" t="inlineStr">
        <is>
          <t>BIMAL MARUTI</t>
        </is>
      </c>
      <c r="K3956" s="20" t="inlineStr">
        <is>
          <t>Non-Captive</t>
        </is>
      </c>
      <c r="L3956" s="20" t="inlineStr">
        <is>
          <t>Fasalurahman A C</t>
        </is>
      </c>
      <c r="M3956" s="23" t="n">
        <v>8474.58</v>
      </c>
    </row>
    <row r="3957">
      <c r="A3957" s="19" t="inlineStr">
        <is>
          <t>FY27</t>
        </is>
      </c>
      <c r="B3957" s="19" t="inlineStr">
        <is>
          <t>Sep</t>
        </is>
      </c>
      <c r="C3957" s="19" t="inlineStr">
        <is>
          <t>Kerala</t>
        </is>
      </c>
      <c r="D3957" s="20" t="inlineStr">
        <is>
          <t>KL65L7004</t>
        </is>
      </c>
      <c r="E3957" s="20" t="inlineStr">
        <is>
          <t>HYUNDAI</t>
        </is>
      </c>
      <c r="F3957" s="20" t="inlineStr">
        <is>
          <t>i20</t>
        </is>
      </c>
      <c r="G3957" s="21" t="n"/>
      <c r="H3957" s="22" t="n">
        <v>35000</v>
      </c>
      <c r="I3957" s="22" t="n">
        <v>410000</v>
      </c>
      <c r="J3957" s="20" t="inlineStr">
        <is>
          <t>KVR TATA</t>
        </is>
      </c>
      <c r="K3957" s="20" t="inlineStr">
        <is>
          <t>Non-Captive</t>
        </is>
      </c>
      <c r="L3957" s="20" t="inlineStr">
        <is>
          <t>Sanoop K M</t>
        </is>
      </c>
      <c r="M3957" s="23" t="n">
        <v>8474.58</v>
      </c>
    </row>
    <row r="3958">
      <c r="A3958" s="19" t="inlineStr">
        <is>
          <t>FY27</t>
        </is>
      </c>
      <c r="B3958" s="19" t="inlineStr">
        <is>
          <t>Sep</t>
        </is>
      </c>
      <c r="C3958" s="19" t="inlineStr">
        <is>
          <t>Kerala</t>
        </is>
      </c>
      <c r="D3958" s="20" t="inlineStr">
        <is>
          <t>KL753962</t>
        </is>
      </c>
      <c r="E3958" s="20" t="inlineStr">
        <is>
          <t>HYUNDAI</t>
        </is>
      </c>
      <c r="F3958" s="20" t="inlineStr">
        <is>
          <t>Creta</t>
        </is>
      </c>
      <c r="G3958" s="21" t="n"/>
      <c r="H3958" s="22" t="n">
        <v>51494</v>
      </c>
      <c r="I3958" s="22" t="n">
        <v>835000</v>
      </c>
      <c r="J3958" s="20" t="inlineStr">
        <is>
          <t>EVM CITROEN</t>
        </is>
      </c>
      <c r="K3958" s="20" t="inlineStr">
        <is>
          <t>Non-Captive</t>
        </is>
      </c>
      <c r="L3958" s="20" t="inlineStr">
        <is>
          <t>Tg7(Reswin)</t>
        </is>
      </c>
      <c r="M3958" s="23" t="n">
        <v>8474.58</v>
      </c>
    </row>
    <row r="3959">
      <c r="A3959" s="19" t="inlineStr">
        <is>
          <t>FY27</t>
        </is>
      </c>
      <c r="B3959" s="19" t="inlineStr">
        <is>
          <t>Sep</t>
        </is>
      </c>
      <c r="C3959" s="19" t="inlineStr">
        <is>
          <t>Kerala</t>
        </is>
      </c>
      <c r="D3959" s="20" t="inlineStr">
        <is>
          <t>KL781864</t>
        </is>
      </c>
      <c r="E3959" s="20" t="inlineStr">
        <is>
          <t>MAHINDRA</t>
        </is>
      </c>
      <c r="F3959" s="20" t="inlineStr">
        <is>
          <t>Marazzo</t>
        </is>
      </c>
      <c r="G3959" s="21" t="n"/>
      <c r="H3959" s="22" t="n">
        <v>61000</v>
      </c>
      <c r="I3959" s="22" t="n">
        <v>500000</v>
      </c>
      <c r="J3959" s="20" t="inlineStr">
        <is>
          <t>SAP MAHINDRA</t>
        </is>
      </c>
      <c r="K3959" s="20" t="inlineStr">
        <is>
          <t>Non-Captive</t>
        </is>
      </c>
      <c r="L3959" s="20" t="inlineStr">
        <is>
          <t>Autobot</t>
        </is>
      </c>
      <c r="M3959" s="23" t="n">
        <v>8474.58</v>
      </c>
    </row>
    <row r="3960">
      <c r="A3960" s="19" t="inlineStr">
        <is>
          <t>FY27</t>
        </is>
      </c>
      <c r="B3960" s="19" t="inlineStr">
        <is>
          <t>Sep</t>
        </is>
      </c>
      <c r="C3960" s="19" t="inlineStr">
        <is>
          <t>Kerala</t>
        </is>
      </c>
      <c r="D3960" s="20" t="inlineStr">
        <is>
          <t>KL78A7234</t>
        </is>
      </c>
      <c r="E3960" s="20" t="inlineStr">
        <is>
          <t>TATA</t>
        </is>
      </c>
      <c r="F3960" s="20" t="inlineStr">
        <is>
          <t>Altroz</t>
        </is>
      </c>
      <c r="G3960" s="21" t="n"/>
      <c r="H3960" s="22" t="n">
        <v>68000</v>
      </c>
      <c r="I3960" s="22" t="n">
        <v>290000</v>
      </c>
      <c r="J3960" s="20" t="inlineStr">
        <is>
          <t>POPULAR MARUTI</t>
        </is>
      </c>
      <c r="K3960" s="20" t="inlineStr">
        <is>
          <t>Non-Captive</t>
        </is>
      </c>
      <c r="L3960" s="20" t="inlineStr">
        <is>
          <t>P Muhammed Fayis</t>
        </is>
      </c>
      <c r="M3960" s="23" t="n">
        <v>8474.58</v>
      </c>
    </row>
    <row r="3961">
      <c r="A3961" s="19" t="inlineStr">
        <is>
          <t>FY27</t>
        </is>
      </c>
      <c r="B3961" s="19" t="inlineStr">
        <is>
          <t>Sep</t>
        </is>
      </c>
      <c r="C3961" s="19" t="inlineStr">
        <is>
          <t>Kerala</t>
        </is>
      </c>
      <c r="D3961" s="20" t="inlineStr">
        <is>
          <t>KL78B8091</t>
        </is>
      </c>
      <c r="E3961" s="20" t="inlineStr">
        <is>
          <t>HYUNDAI</t>
        </is>
      </c>
      <c r="F3961" s="20" t="inlineStr">
        <is>
          <t>Venue</t>
        </is>
      </c>
      <c r="G3961" s="21" t="n"/>
      <c r="H3961" s="22" t="n">
        <v>57000</v>
      </c>
      <c r="I3961" s="22" t="n">
        <v>656000</v>
      </c>
      <c r="J3961" s="20" t="inlineStr">
        <is>
          <t>AMANA TOYOTA</t>
        </is>
      </c>
      <c r="K3961" s="20" t="inlineStr">
        <is>
          <t>Non-Captive</t>
        </is>
      </c>
      <c r="L3961" s="20" t="inlineStr">
        <is>
          <t>Prajosh A M</t>
        </is>
      </c>
      <c r="M3961" s="23" t="n">
        <v>5084.75</v>
      </c>
    </row>
    <row r="3962">
      <c r="A3962" s="19" t="inlineStr">
        <is>
          <t>FY27</t>
        </is>
      </c>
      <c r="B3962" s="19" t="inlineStr">
        <is>
          <t>Sep</t>
        </is>
      </c>
      <c r="C3962" s="19" t="inlineStr">
        <is>
          <t>Kerala</t>
        </is>
      </c>
      <c r="D3962" s="20" t="inlineStr">
        <is>
          <t>KL794554</t>
        </is>
      </c>
      <c r="E3962" s="20" t="inlineStr">
        <is>
          <t>MARUTI SUZUKI</t>
        </is>
      </c>
      <c r="F3962" s="20" t="inlineStr">
        <is>
          <t>S-Cross</t>
        </is>
      </c>
      <c r="G3962" s="21" t="n"/>
      <c r="H3962" s="22" t="n">
        <v>123400</v>
      </c>
      <c r="I3962" s="22" t="n">
        <v>640000</v>
      </c>
      <c r="J3962" s="20" t="inlineStr">
        <is>
          <t>KVR TATA</t>
        </is>
      </c>
      <c r="K3962" s="20" t="inlineStr">
        <is>
          <t>Non-Captive</t>
        </is>
      </c>
      <c r="L3962" s="20" t="inlineStr">
        <is>
          <t>Shafras K</t>
        </is>
      </c>
      <c r="M3962" s="23" t="n">
        <v>4237.29</v>
      </c>
    </row>
    <row r="3963">
      <c r="A3963" s="19" t="inlineStr">
        <is>
          <t>FY27</t>
        </is>
      </c>
      <c r="B3963" s="19" t="inlineStr">
        <is>
          <t>Sep</t>
        </is>
      </c>
      <c r="C3963" s="19" t="inlineStr">
        <is>
          <t>Kerala</t>
        </is>
      </c>
      <c r="D3963" s="20" t="inlineStr">
        <is>
          <t>KL797247</t>
        </is>
      </c>
      <c r="E3963" s="20" t="inlineStr">
        <is>
          <t>MARUTI SUZUKI</t>
        </is>
      </c>
      <c r="F3963" s="20" t="inlineStr">
        <is>
          <t>Alto</t>
        </is>
      </c>
      <c r="G3963" s="21" t="n"/>
      <c r="H3963" s="22" t="n">
        <v>54000</v>
      </c>
      <c r="I3963" s="22" t="n">
        <v>265000</v>
      </c>
      <c r="J3963" s="20" t="inlineStr">
        <is>
          <t>MAHINDRA FINANCE</t>
        </is>
      </c>
      <c r="K3963" s="20" t="inlineStr">
        <is>
          <t>Non-Captive</t>
        </is>
      </c>
      <c r="L3963" s="20" t="inlineStr">
        <is>
          <t>Varun Prakash</t>
        </is>
      </c>
      <c r="M3963" s="23" t="n">
        <v>4237.29</v>
      </c>
    </row>
    <row r="3964">
      <c r="A3964" s="19" t="inlineStr">
        <is>
          <t>FY27</t>
        </is>
      </c>
      <c r="B3964" s="19" t="inlineStr">
        <is>
          <t>Sep</t>
        </is>
      </c>
      <c r="C3964" s="19" t="inlineStr">
        <is>
          <t>TN</t>
        </is>
      </c>
      <c r="D3964" s="20" t="inlineStr">
        <is>
          <t>KL01BM6644</t>
        </is>
      </c>
      <c r="E3964" s="20" t="inlineStr">
        <is>
          <t>HYUNDAI</t>
        </is>
      </c>
      <c r="F3964" s="20" t="inlineStr">
        <is>
          <t>Santro</t>
        </is>
      </c>
      <c r="G3964" s="21" t="n">
        <v>2013</v>
      </c>
      <c r="H3964" s="22" t="n">
        <v>82694</v>
      </c>
      <c r="I3964" s="22" t="n">
        <v>70000</v>
      </c>
      <c r="J3964" s="20" t="inlineStr">
        <is>
          <t>POPULAR MOTORWORLD PVT LTD</t>
        </is>
      </c>
      <c r="K3964" s="20" t="inlineStr">
        <is>
          <t>Non-Captive</t>
        </is>
      </c>
      <c r="L3964" s="20" t="inlineStr">
        <is>
          <t>Shamnad Ah</t>
        </is>
      </c>
      <c r="M3964" s="23" t="n">
        <v>8474.58</v>
      </c>
    </row>
    <row r="3965">
      <c r="A3965" s="19" t="inlineStr">
        <is>
          <t>FY27</t>
        </is>
      </c>
      <c r="B3965" s="19" t="inlineStr">
        <is>
          <t>Sep</t>
        </is>
      </c>
      <c r="C3965" s="19" t="inlineStr">
        <is>
          <t>TN</t>
        </is>
      </c>
      <c r="D3965" s="20" t="inlineStr">
        <is>
          <t>KL01BT4955</t>
        </is>
      </c>
      <c r="E3965" s="20" t="inlineStr">
        <is>
          <t>HONDA</t>
        </is>
      </c>
      <c r="F3965" s="20" t="inlineStr">
        <is>
          <t>City</t>
        </is>
      </c>
      <c r="G3965" s="21" t="n">
        <v>2015</v>
      </c>
      <c r="H3965" s="22" t="n">
        <v>105723</v>
      </c>
      <c r="I3965" s="22" t="n">
        <v>380000</v>
      </c>
      <c r="J3965" s="20" t="inlineStr">
        <is>
          <t>DERIK MOTORS PRIVATE LIMITED</t>
        </is>
      </c>
      <c r="K3965" s="20" t="inlineStr">
        <is>
          <t>Non-Captive</t>
        </is>
      </c>
      <c r="L3965" s="20" t="inlineStr">
        <is>
          <t>True Choise</t>
        </is>
      </c>
      <c r="M3965" s="23" t="n">
        <v>6016.95</v>
      </c>
    </row>
    <row r="3966">
      <c r="A3966" s="19" t="inlineStr">
        <is>
          <t>FY27</t>
        </is>
      </c>
      <c r="B3966" s="19" t="inlineStr">
        <is>
          <t>Sep</t>
        </is>
      </c>
      <c r="C3966" s="19" t="inlineStr">
        <is>
          <t>TN</t>
        </is>
      </c>
      <c r="D3966" s="20" t="inlineStr">
        <is>
          <t>KL01BU9640</t>
        </is>
      </c>
      <c r="E3966" s="20" t="inlineStr">
        <is>
          <t>MARUTI SUZUKI</t>
        </is>
      </c>
      <c r="F3966" s="20" t="inlineStr">
        <is>
          <t>Ciaz</t>
        </is>
      </c>
      <c r="G3966" s="21" t="n">
        <v>2015</v>
      </c>
      <c r="H3966" s="22" t="n"/>
      <c r="I3966" s="22" t="n">
        <v>360000</v>
      </c>
      <c r="J3966" s="20" t="inlineStr">
        <is>
          <t>DERIK MOTORS PRIVATE LIMITED</t>
        </is>
      </c>
      <c r="K3966" s="20" t="inlineStr">
        <is>
          <t>Non-Captive</t>
        </is>
      </c>
      <c r="L3966" s="20" t="inlineStr">
        <is>
          <t>True Choise</t>
        </is>
      </c>
      <c r="M3966" s="23" t="n">
        <v>6016.95</v>
      </c>
    </row>
    <row r="3967">
      <c r="A3967" s="19" t="inlineStr">
        <is>
          <t>FY27</t>
        </is>
      </c>
      <c r="B3967" s="19" t="inlineStr">
        <is>
          <t>Sep</t>
        </is>
      </c>
      <c r="C3967" s="19" t="inlineStr">
        <is>
          <t>TN</t>
        </is>
      </c>
      <c r="D3967" s="20" t="inlineStr">
        <is>
          <t>KL01CJ2721</t>
        </is>
      </c>
      <c r="E3967" s="20" t="inlineStr">
        <is>
          <t>TATA</t>
        </is>
      </c>
      <c r="F3967" s="20" t="inlineStr">
        <is>
          <t>Tiago</t>
        </is>
      </c>
      <c r="G3967" s="21" t="n">
        <v>2018</v>
      </c>
      <c r="H3967" s="22" t="n">
        <v>8000</v>
      </c>
      <c r="I3967" s="22" t="n">
        <v>369000</v>
      </c>
      <c r="J3967" s="20" t="inlineStr">
        <is>
          <t>POPULAR MOTORWORLD PVT LTD</t>
        </is>
      </c>
      <c r="K3967" s="20" t="inlineStr">
        <is>
          <t>Non-Captive</t>
        </is>
      </c>
      <c r="L3967" s="20" t="inlineStr">
        <is>
          <t>Popular Vehicles And Services Limited</t>
        </is>
      </c>
      <c r="M3967" s="23" t="n">
        <v>10084.75</v>
      </c>
    </row>
    <row r="3968">
      <c r="A3968" s="19" t="inlineStr">
        <is>
          <t>FY27</t>
        </is>
      </c>
      <c r="B3968" s="19" t="inlineStr">
        <is>
          <t>Sep</t>
        </is>
      </c>
      <c r="C3968" s="19" t="inlineStr">
        <is>
          <t>TN</t>
        </is>
      </c>
      <c r="D3968" s="20" t="inlineStr">
        <is>
          <t>KL21L4141</t>
        </is>
      </c>
      <c r="E3968" s="20" t="inlineStr">
        <is>
          <t>MARUTI SUZUKI</t>
        </is>
      </c>
      <c r="F3968" s="20" t="inlineStr">
        <is>
          <t>Ciaz</t>
        </is>
      </c>
      <c r="G3968" s="21" t="n">
        <v>2015</v>
      </c>
      <c r="H3968" s="22" t="n">
        <v>107137</v>
      </c>
      <c r="I3968" s="22" t="n">
        <v>180000</v>
      </c>
      <c r="J3968" s="20" t="inlineStr">
        <is>
          <t>NIPPON TOYOTA</t>
        </is>
      </c>
      <c r="K3968" s="20" t="inlineStr">
        <is>
          <t>Non-Captive</t>
        </is>
      </c>
      <c r="L3968" s="20" t="inlineStr">
        <is>
          <t>Shamnad Ah</t>
        </is>
      </c>
      <c r="M3968" s="23" t="n">
        <v>6016.95</v>
      </c>
    </row>
    <row r="3969">
      <c r="A3969" s="19" t="inlineStr">
        <is>
          <t>FY27</t>
        </is>
      </c>
      <c r="B3969" s="19" t="inlineStr">
        <is>
          <t>Sep</t>
        </is>
      </c>
      <c r="C3969" s="19" t="inlineStr">
        <is>
          <t>TN</t>
        </is>
      </c>
      <c r="D3969" s="20" t="inlineStr">
        <is>
          <t>KL21S3470</t>
        </is>
      </c>
      <c r="E3969" s="20" t="inlineStr">
        <is>
          <t>HYUNDAI</t>
        </is>
      </c>
      <c r="F3969" s="20" t="inlineStr">
        <is>
          <t>Eon</t>
        </is>
      </c>
      <c r="G3969" s="21" t="n">
        <v>2018</v>
      </c>
      <c r="H3969" s="22" t="n">
        <v>35706</v>
      </c>
      <c r="I3969" s="22" t="n">
        <v>175000</v>
      </c>
      <c r="J3969" s="20" t="inlineStr">
        <is>
          <t>KAIRALI TOYOTA</t>
        </is>
      </c>
      <c r="K3969" s="20" t="inlineStr">
        <is>
          <t>Non-Captive</t>
        </is>
      </c>
      <c r="L3969" s="20" t="inlineStr">
        <is>
          <t>Popular Thrissur</t>
        </is>
      </c>
      <c r="M3969" s="23" t="n">
        <v>5000</v>
      </c>
    </row>
    <row r="3970">
      <c r="A3970" s="19" t="inlineStr">
        <is>
          <t>FY27</t>
        </is>
      </c>
      <c r="B3970" s="19" t="inlineStr">
        <is>
          <t>Sep</t>
        </is>
      </c>
      <c r="C3970" s="19" t="inlineStr">
        <is>
          <t>TN</t>
        </is>
      </c>
      <c r="D3970" s="20" t="inlineStr">
        <is>
          <t>KL21S5933</t>
        </is>
      </c>
      <c r="E3970" s="20" t="inlineStr">
        <is>
          <t>HYUNDAI</t>
        </is>
      </c>
      <c r="F3970" s="20" t="inlineStr">
        <is>
          <t>i20</t>
        </is>
      </c>
      <c r="G3970" s="21" t="n">
        <v>2019</v>
      </c>
      <c r="H3970" s="22" t="n">
        <v>66215</v>
      </c>
      <c r="I3970" s="22" t="n">
        <v>175000</v>
      </c>
      <c r="J3970" s="20" t="inlineStr">
        <is>
          <t>POPULAR MOTORWORLD PVT LTD</t>
        </is>
      </c>
      <c r="K3970" s="20" t="inlineStr">
        <is>
          <t>Non-Captive</t>
        </is>
      </c>
      <c r="L3970" s="20" t="inlineStr">
        <is>
          <t>Popular Alleppy</t>
        </is>
      </c>
      <c r="M3970" s="23" t="n">
        <v>5000</v>
      </c>
    </row>
    <row r="3971">
      <c r="A3971" s="19" t="inlineStr">
        <is>
          <t>FY27</t>
        </is>
      </c>
      <c r="B3971" s="19" t="inlineStr">
        <is>
          <t>Sep</t>
        </is>
      </c>
      <c r="C3971" s="19" t="inlineStr">
        <is>
          <t>TN</t>
        </is>
      </c>
      <c r="D3971" s="20" t="inlineStr">
        <is>
          <t>KL21U6393</t>
        </is>
      </c>
      <c r="E3971" s="20" t="inlineStr">
        <is>
          <t>MARUTI SUZUKI</t>
        </is>
      </c>
      <c r="F3971" s="20" t="inlineStr">
        <is>
          <t>Celerio</t>
        </is>
      </c>
      <c r="G3971" s="21" t="n">
        <v>2019</v>
      </c>
      <c r="H3971" s="22" t="n">
        <v>8000</v>
      </c>
      <c r="I3971" s="22" t="n">
        <v>369000</v>
      </c>
      <c r="J3971" s="20" t="inlineStr">
        <is>
          <t>POPULAR MOTORWORLD PVT LTD</t>
        </is>
      </c>
      <c r="K3971" s="20" t="inlineStr">
        <is>
          <t>Non-Captive</t>
        </is>
      </c>
      <c r="L3971" s="20" t="inlineStr">
        <is>
          <t>Popular Vehicles And Services Limited</t>
        </is>
      </c>
      <c r="M3971" s="23" t="n">
        <v>10084.75</v>
      </c>
    </row>
    <row r="3972">
      <c r="A3972" s="19" t="inlineStr">
        <is>
          <t>FY27</t>
        </is>
      </c>
      <c r="B3972" s="19" t="inlineStr">
        <is>
          <t>Sep</t>
        </is>
      </c>
      <c r="C3972" s="19" t="inlineStr">
        <is>
          <t>TN</t>
        </is>
      </c>
      <c r="D3972" s="20" t="inlineStr">
        <is>
          <t>KL22N1267</t>
        </is>
      </c>
      <c r="E3972" s="20" t="inlineStr">
        <is>
          <t>MARUTI SUZUKI</t>
        </is>
      </c>
      <c r="F3972" s="20" t="inlineStr">
        <is>
          <t>Wagon R</t>
        </is>
      </c>
      <c r="G3972" s="21" t="n">
        <v>2019</v>
      </c>
      <c r="H3972" s="22" t="n">
        <v>30867</v>
      </c>
      <c r="I3972" s="22" t="n">
        <v>175000</v>
      </c>
      <c r="J3972" s="20" t="inlineStr">
        <is>
          <t>NIPPON TOYOTA</t>
        </is>
      </c>
      <c r="K3972" s="20" t="inlineStr">
        <is>
          <t>Non-Captive</t>
        </is>
      </c>
      <c r="L3972" s="20" t="inlineStr">
        <is>
          <t>Popular Kottayam</t>
        </is>
      </c>
      <c r="M3972" s="23" t="n">
        <v>5000</v>
      </c>
    </row>
    <row r="3973">
      <c r="A3973" s="19" t="inlineStr">
        <is>
          <t>FY27</t>
        </is>
      </c>
      <c r="B3973" s="19" t="inlineStr">
        <is>
          <t>Sep</t>
        </is>
      </c>
      <c r="C3973" s="19" t="inlineStr">
        <is>
          <t>TN</t>
        </is>
      </c>
      <c r="D3973" s="20" t="inlineStr">
        <is>
          <t>KL22P1290</t>
        </is>
      </c>
      <c r="E3973" s="20" t="inlineStr">
        <is>
          <t>MARUTI SUZUKI</t>
        </is>
      </c>
      <c r="F3973" s="20" t="inlineStr">
        <is>
          <t>Vitara Brezza</t>
        </is>
      </c>
      <c r="G3973" s="21" t="n">
        <v>2020</v>
      </c>
      <c r="H3973" s="22" t="n">
        <v>84872</v>
      </c>
      <c r="I3973" s="22" t="n">
        <v>180000</v>
      </c>
      <c r="J3973" s="20" t="inlineStr">
        <is>
          <t>NIPPON TOYOTA</t>
        </is>
      </c>
      <c r="K3973" s="20" t="inlineStr">
        <is>
          <t>Non-Captive</t>
        </is>
      </c>
      <c r="L3973" s="20" t="inlineStr">
        <is>
          <t>Genuine Cars</t>
        </is>
      </c>
      <c r="M3973" s="23" t="n">
        <v>8474.58</v>
      </c>
    </row>
    <row r="3974">
      <c r="A3974" s="19" t="inlineStr">
        <is>
          <t>FY27</t>
        </is>
      </c>
      <c r="B3974" s="19" t="inlineStr">
        <is>
          <t>Sep</t>
        </is>
      </c>
      <c r="C3974" s="19" t="inlineStr">
        <is>
          <t>TN</t>
        </is>
      </c>
      <c r="D3974" s="20" t="inlineStr">
        <is>
          <t>KL22Q2843</t>
        </is>
      </c>
      <c r="E3974" s="20" t="inlineStr">
        <is>
          <t>MARUTI SUZUKI</t>
        </is>
      </c>
      <c r="F3974" s="20" t="inlineStr">
        <is>
          <t>Wagon R</t>
        </is>
      </c>
      <c r="G3974" s="21" t="n">
        <v>2021</v>
      </c>
      <c r="H3974" s="22" t="n">
        <v>53444</v>
      </c>
      <c r="I3974" s="22" t="n">
        <v>180000</v>
      </c>
      <c r="J3974" s="20" t="inlineStr">
        <is>
          <t>TRUST N DRIVE</t>
        </is>
      </c>
      <c r="K3974" s="20" t="inlineStr">
        <is>
          <t>Non-Captive</t>
        </is>
      </c>
      <c r="L3974" s="20" t="inlineStr">
        <is>
          <t>Popular Alleppy</t>
        </is>
      </c>
      <c r="M3974" s="23" t="n">
        <v>5000</v>
      </c>
    </row>
    <row r="3975">
      <c r="A3975" s="19" t="inlineStr">
        <is>
          <t>FY27</t>
        </is>
      </c>
      <c r="B3975" s="19" t="inlineStr">
        <is>
          <t>Sep</t>
        </is>
      </c>
      <c r="C3975" s="19" t="inlineStr">
        <is>
          <t>TN</t>
        </is>
      </c>
      <c r="D3975" s="20" t="inlineStr">
        <is>
          <t>KL23W3850</t>
        </is>
      </c>
      <c r="E3975" s="20" t="inlineStr">
        <is>
          <t>NISSAN</t>
        </is>
      </c>
      <c r="F3975" s="20" t="inlineStr">
        <is>
          <t>Magnite</t>
        </is>
      </c>
      <c r="G3975" s="21" t="n">
        <v>2023</v>
      </c>
      <c r="H3975" s="22" t="n">
        <v>41562</v>
      </c>
      <c r="I3975" s="22" t="n">
        <v>180000</v>
      </c>
      <c r="J3975" s="20" t="inlineStr">
        <is>
          <t>EVM NISSAN (EVM AUTOMOBILES PRIVATE LIMITED)</t>
        </is>
      </c>
      <c r="K3975" s="20" t="inlineStr">
        <is>
          <t>Non-Captive</t>
        </is>
      </c>
      <c r="L3975" s="20" t="inlineStr">
        <is>
          <t>Popular Alleppy</t>
        </is>
      </c>
      <c r="M3975" s="23" t="n">
        <v>5000</v>
      </c>
    </row>
    <row r="3976">
      <c r="A3976" s="19" t="inlineStr">
        <is>
          <t>FY27</t>
        </is>
      </c>
      <c r="B3976" s="19" t="inlineStr">
        <is>
          <t>Sep</t>
        </is>
      </c>
      <c r="C3976" s="19" t="inlineStr">
        <is>
          <t>TN</t>
        </is>
      </c>
      <c r="D3976" s="20" t="inlineStr">
        <is>
          <t>KL26K5191</t>
        </is>
      </c>
      <c r="E3976" s="20" t="inlineStr">
        <is>
          <t>MARUTI SUZUKI</t>
        </is>
      </c>
      <c r="F3976" s="20" t="inlineStr">
        <is>
          <t>Wagon R</t>
        </is>
      </c>
      <c r="G3976" s="21" t="n">
        <v>2019</v>
      </c>
      <c r="H3976" s="22" t="n">
        <v>71639</v>
      </c>
      <c r="I3976" s="22" t="n">
        <v>180000</v>
      </c>
      <c r="J3976" s="20" t="inlineStr">
        <is>
          <t>POPULAR MOTORWORLD PVT LTD</t>
        </is>
      </c>
      <c r="K3976" s="20" t="inlineStr">
        <is>
          <t>Non-Captive</t>
        </is>
      </c>
      <c r="L3976" s="20" t="inlineStr">
        <is>
          <t>Popular Kottayam</t>
        </is>
      </c>
      <c r="M3976" s="23" t="n">
        <v>5000</v>
      </c>
    </row>
    <row r="3977">
      <c r="A3977" s="19" t="inlineStr">
        <is>
          <t>FY27</t>
        </is>
      </c>
      <c r="B3977" s="19" t="inlineStr">
        <is>
          <t>Sep</t>
        </is>
      </c>
      <c r="C3977" s="19" t="inlineStr">
        <is>
          <t>TN</t>
        </is>
      </c>
      <c r="D3977" s="20" t="inlineStr">
        <is>
          <t>KL41N8552</t>
        </is>
      </c>
      <c r="E3977" s="20" t="inlineStr">
        <is>
          <t>HONDA</t>
        </is>
      </c>
      <c r="F3977" s="20" t="inlineStr">
        <is>
          <t>Amaze</t>
        </is>
      </c>
      <c r="G3977" s="21" t="n">
        <v>2018</v>
      </c>
      <c r="H3977" s="22" t="n">
        <v>39877</v>
      </c>
      <c r="I3977" s="22" t="n">
        <v>475000</v>
      </c>
      <c r="J3977" s="20" t="inlineStr">
        <is>
          <t>EXCHANGE ROTN</t>
        </is>
      </c>
      <c r="K3977" s="20" t="inlineStr">
        <is>
          <t>Captive</t>
        </is>
      </c>
      <c r="L3977" s="20" t="inlineStr"/>
      <c r="M3977" s="23" t="n">
        <v>8474.58</v>
      </c>
    </row>
    <row r="3978">
      <c r="A3978" s="19" t="inlineStr">
        <is>
          <t>FY27</t>
        </is>
      </c>
      <c r="B3978" s="19" t="inlineStr">
        <is>
          <t>Sep</t>
        </is>
      </c>
      <c r="C3978" s="19" t="inlineStr">
        <is>
          <t>TN</t>
        </is>
      </c>
      <c r="D3978" s="20" t="inlineStr">
        <is>
          <t>KL74C0543</t>
        </is>
      </c>
      <c r="E3978" s="20" t="inlineStr">
        <is>
          <t>HYUNDAI</t>
        </is>
      </c>
      <c r="F3978" s="20" t="inlineStr">
        <is>
          <t>Grand i10 Nios</t>
        </is>
      </c>
      <c r="G3978" s="21" t="n">
        <v>2022</v>
      </c>
      <c r="H3978" s="22" t="n">
        <v>28319</v>
      </c>
      <c r="I3978" s="22" t="n">
        <v>410000</v>
      </c>
      <c r="J3978" s="20" t="inlineStr">
        <is>
          <t>DERIK MOTORS PRIVATE LIMITED</t>
        </is>
      </c>
      <c r="K3978" s="20" t="inlineStr">
        <is>
          <t>Non-Captive</t>
        </is>
      </c>
      <c r="L3978" s="20" t="inlineStr">
        <is>
          <t>Popular Vehicles And Services Limited</t>
        </is>
      </c>
      <c r="M3978" s="23" t="n">
        <v>13474.58</v>
      </c>
    </row>
    <row r="3979">
      <c r="A3979" s="19" t="inlineStr">
        <is>
          <t>FY27</t>
        </is>
      </c>
      <c r="B3979" s="19" t="inlineStr">
        <is>
          <t>Sep</t>
        </is>
      </c>
      <c r="C3979" s="19" t="inlineStr">
        <is>
          <t>TN</t>
        </is>
      </c>
      <c r="D3979" s="20" t="inlineStr">
        <is>
          <t>KL818959</t>
        </is>
      </c>
      <c r="E3979" s="20" t="inlineStr">
        <is>
          <t>TATA</t>
        </is>
      </c>
      <c r="F3979" s="20" t="inlineStr">
        <is>
          <t>Punch</t>
        </is>
      </c>
      <c r="G3979" s="21" t="n">
        <v>2021</v>
      </c>
      <c r="H3979" s="22" t="n">
        <v>20122</v>
      </c>
      <c r="I3979" s="22" t="n">
        <v>480000</v>
      </c>
      <c r="J3979" s="20" t="inlineStr">
        <is>
          <t>DERIK MOTORS PRIVATE LIMITED</t>
        </is>
      </c>
      <c r="K3979" s="20" t="inlineStr">
        <is>
          <t>Non-Captive</t>
        </is>
      </c>
      <c r="L3979" s="20" t="inlineStr">
        <is>
          <t>Popular Vehicles And Services Limited</t>
        </is>
      </c>
      <c r="M3979" s="23" t="n">
        <v>13474.58</v>
      </c>
    </row>
    <row r="3980">
      <c r="A3980" s="19" t="inlineStr">
        <is>
          <t>FY27</t>
        </is>
      </c>
      <c r="B3980" s="19" t="inlineStr">
        <is>
          <t>Sep</t>
        </is>
      </c>
      <c r="C3980" s="19" t="inlineStr">
        <is>
          <t>TN</t>
        </is>
      </c>
      <c r="D3980" s="20" t="inlineStr">
        <is>
          <t>PY01BR2288</t>
        </is>
      </c>
      <c r="E3980" s="20" t="inlineStr">
        <is>
          <t>FIAT</t>
        </is>
      </c>
      <c r="F3980" s="20" t="inlineStr">
        <is>
          <t>Punto</t>
        </is>
      </c>
      <c r="G3980" s="21" t="n">
        <v>2012</v>
      </c>
      <c r="H3980" s="22" t="n">
        <v>90000</v>
      </c>
      <c r="I3980" s="22" t="n">
        <v>100000</v>
      </c>
      <c r="J3980" s="20" t="inlineStr">
        <is>
          <t>EXCHANGE CHENNAI</t>
        </is>
      </c>
      <c r="K3980" s="20" t="inlineStr">
        <is>
          <t>Captive</t>
        </is>
      </c>
      <c r="L3980" s="20" t="inlineStr">
        <is>
          <t>Santhosh Cars</t>
        </is>
      </c>
      <c r="M3980" s="23" t="n">
        <v>4237.29</v>
      </c>
    </row>
    <row r="3981">
      <c r="A3981" s="19" t="inlineStr">
        <is>
          <t>FY27</t>
        </is>
      </c>
      <c r="B3981" s="19" t="inlineStr">
        <is>
          <t>Sep</t>
        </is>
      </c>
      <c r="C3981" s="19" t="inlineStr">
        <is>
          <t>TN</t>
        </is>
      </c>
      <c r="D3981" s="20" t="inlineStr">
        <is>
          <t>PY01BY8770</t>
        </is>
      </c>
      <c r="E3981" s="20" t="inlineStr">
        <is>
          <t>RENAULT</t>
        </is>
      </c>
      <c r="F3981" s="20" t="inlineStr">
        <is>
          <t>Scala</t>
        </is>
      </c>
      <c r="G3981" s="21" t="n">
        <v>2013</v>
      </c>
      <c r="H3981" s="22" t="n">
        <v>101177</v>
      </c>
      <c r="I3981" s="22" t="n">
        <v>94000</v>
      </c>
      <c r="J3981" s="20" t="inlineStr">
        <is>
          <t>CASTLE TRADERS MARUTI</t>
        </is>
      </c>
      <c r="K3981" s="20" t="inlineStr">
        <is>
          <t>Non-Captive</t>
        </is>
      </c>
      <c r="L3981" s="20" t="inlineStr">
        <is>
          <t>Senthil Cars</t>
        </is>
      </c>
      <c r="M3981" s="23" t="n">
        <v>3389.83</v>
      </c>
    </row>
    <row r="3982">
      <c r="A3982" s="19" t="inlineStr">
        <is>
          <t>FY27</t>
        </is>
      </c>
      <c r="B3982" s="19" t="inlineStr">
        <is>
          <t>Sep</t>
        </is>
      </c>
      <c r="C3982" s="19" t="inlineStr">
        <is>
          <t>TN</t>
        </is>
      </c>
      <c r="D3982" s="20" t="inlineStr">
        <is>
          <t>PY01DD3612</t>
        </is>
      </c>
      <c r="E3982" s="20" t="inlineStr">
        <is>
          <t>HONDA</t>
        </is>
      </c>
      <c r="F3982" s="20" t="inlineStr">
        <is>
          <t>Amaze</t>
        </is>
      </c>
      <c r="G3982" s="21" t="n"/>
      <c r="H3982" s="22" t="n"/>
      <c r="I3982" s="22" t="n">
        <v>710000</v>
      </c>
      <c r="J3982" s="20" t="inlineStr">
        <is>
          <t>EXCHANGE CHENNAI</t>
        </is>
      </c>
      <c r="K3982" s="20" t="inlineStr">
        <is>
          <t>Captive</t>
        </is>
      </c>
      <c r="L3982" s="20" t="inlineStr"/>
      <c r="M3982" s="23" t="n">
        <v>8474.58</v>
      </c>
    </row>
    <row r="3983">
      <c r="A3983" s="19" t="inlineStr">
        <is>
          <t>FY27</t>
        </is>
      </c>
      <c r="B3983" s="19" t="inlineStr">
        <is>
          <t>Sep</t>
        </is>
      </c>
      <c r="C3983" s="19" t="inlineStr">
        <is>
          <t>TN</t>
        </is>
      </c>
      <c r="D3983" s="20" t="inlineStr">
        <is>
          <t>TN01AC3596</t>
        </is>
      </c>
      <c r="E3983" s="20" t="inlineStr">
        <is>
          <t>HONDA</t>
        </is>
      </c>
      <c r="F3983" s="20" t="inlineStr">
        <is>
          <t>City</t>
        </is>
      </c>
      <c r="G3983" s="21" t="n">
        <v>2006</v>
      </c>
      <c r="H3983" s="22" t="n">
        <v>68357</v>
      </c>
      <c r="I3983" s="22" t="n">
        <v>98000</v>
      </c>
      <c r="J3983" s="20" t="inlineStr">
        <is>
          <t>VISHNU CARS PRIVATE LIMITED</t>
        </is>
      </c>
      <c r="K3983" s="20" t="inlineStr">
        <is>
          <t>Non-Captive</t>
        </is>
      </c>
      <c r="L3983" s="20" t="inlineStr">
        <is>
          <t>Santhosh Cars</t>
        </is>
      </c>
      <c r="M3983" s="23" t="n">
        <v>4237.29</v>
      </c>
    </row>
    <row r="3984">
      <c r="A3984" s="19" t="inlineStr">
        <is>
          <t>FY27</t>
        </is>
      </c>
      <c r="B3984" s="19" t="inlineStr">
        <is>
          <t>Sep</t>
        </is>
      </c>
      <c r="C3984" s="19" t="inlineStr">
        <is>
          <t>TN</t>
        </is>
      </c>
      <c r="D3984" s="20" t="inlineStr">
        <is>
          <t>TN01AH6305</t>
        </is>
      </c>
      <c r="E3984" s="20" t="inlineStr">
        <is>
          <t>HYUNDAI</t>
        </is>
      </c>
      <c r="F3984" s="20" t="inlineStr">
        <is>
          <t>i20</t>
        </is>
      </c>
      <c r="G3984" s="21" t="n">
        <v>2009</v>
      </c>
      <c r="H3984" s="22" t="n">
        <v>87107</v>
      </c>
      <c r="I3984" s="22" t="n">
        <v>152500</v>
      </c>
      <c r="J3984" s="20" t="inlineStr">
        <is>
          <t>CASTLE TRADERS MARUTI</t>
        </is>
      </c>
      <c r="K3984" s="20" t="inlineStr">
        <is>
          <t>Non-Captive</t>
        </is>
      </c>
      <c r="L3984" s="20" t="inlineStr">
        <is>
          <t>Aaa Cars</t>
        </is>
      </c>
      <c r="M3984" s="23" t="n">
        <v>6355.93</v>
      </c>
    </row>
    <row r="3985">
      <c r="A3985" s="19" t="inlineStr">
        <is>
          <t>FY27</t>
        </is>
      </c>
      <c r="B3985" s="19" t="inlineStr">
        <is>
          <t>Sep</t>
        </is>
      </c>
      <c r="C3985" s="19" t="inlineStr">
        <is>
          <t>TN</t>
        </is>
      </c>
      <c r="D3985" s="20" t="inlineStr">
        <is>
          <t>TN01AP5707</t>
        </is>
      </c>
      <c r="E3985" s="20" t="inlineStr">
        <is>
          <t>MARUTI SUZUKI</t>
        </is>
      </c>
      <c r="F3985" s="20" t="inlineStr">
        <is>
          <t>Dzire</t>
        </is>
      </c>
      <c r="G3985" s="21" t="n">
        <v>2011</v>
      </c>
      <c r="H3985" s="22" t="n">
        <v>73945</v>
      </c>
      <c r="I3985" s="22" t="n">
        <v>89000</v>
      </c>
      <c r="J3985" s="20" t="inlineStr">
        <is>
          <t>NIRMAL CARS</t>
        </is>
      </c>
      <c r="K3985" s="20" t="inlineStr">
        <is>
          <t>Non-Captive</t>
        </is>
      </c>
      <c r="L3985" s="20" t="inlineStr">
        <is>
          <t>Srijja Travels</t>
        </is>
      </c>
      <c r="M3985" s="23" t="n">
        <v>4237.29</v>
      </c>
    </row>
    <row r="3986">
      <c r="A3986" s="19" t="inlineStr">
        <is>
          <t>FY27</t>
        </is>
      </c>
      <c r="B3986" s="19" t="inlineStr">
        <is>
          <t>Sep</t>
        </is>
      </c>
      <c r="C3986" s="19" t="inlineStr">
        <is>
          <t>TN</t>
        </is>
      </c>
      <c r="D3986" s="20" t="inlineStr">
        <is>
          <t>TN01AS8877</t>
        </is>
      </c>
      <c r="E3986" s="20" t="inlineStr">
        <is>
          <t>NISSAN</t>
        </is>
      </c>
      <c r="F3986" s="20" t="inlineStr">
        <is>
          <t>Sunny</t>
        </is>
      </c>
      <c r="G3986" s="21" t="n">
        <v>2012</v>
      </c>
      <c r="H3986" s="22" t="n">
        <v>138371</v>
      </c>
      <c r="I3986" s="22" t="n">
        <v>93000</v>
      </c>
      <c r="J3986" s="20" t="inlineStr">
        <is>
          <t>CARS INDIA</t>
        </is>
      </c>
      <c r="K3986" s="20" t="inlineStr">
        <is>
          <t>Non-Captive</t>
        </is>
      </c>
      <c r="L3986" s="20" t="inlineStr">
        <is>
          <t>Grid 33</t>
        </is>
      </c>
      <c r="M3986" s="23" t="n">
        <v>4237.29</v>
      </c>
    </row>
    <row r="3987">
      <c r="A3987" s="19" t="inlineStr">
        <is>
          <t>FY27</t>
        </is>
      </c>
      <c r="B3987" s="19" t="inlineStr">
        <is>
          <t>Sep</t>
        </is>
      </c>
      <c r="C3987" s="19" t="inlineStr">
        <is>
          <t>TN</t>
        </is>
      </c>
      <c r="D3987" s="20" t="inlineStr">
        <is>
          <t>TN01AU2172</t>
        </is>
      </c>
      <c r="E3987" s="20" t="inlineStr">
        <is>
          <t>HONDA</t>
        </is>
      </c>
      <c r="F3987" s="20" t="inlineStr">
        <is>
          <t>Amaze</t>
        </is>
      </c>
      <c r="G3987" s="21" t="n">
        <v>2013</v>
      </c>
      <c r="H3987" s="22" t="n">
        <v>196109</v>
      </c>
      <c r="I3987" s="22" t="n">
        <v>99000</v>
      </c>
      <c r="J3987" s="20" t="inlineStr">
        <is>
          <t>AIE CARS PRIVATE LIMITED</t>
        </is>
      </c>
      <c r="K3987" s="20" t="inlineStr">
        <is>
          <t>Non-Captive</t>
        </is>
      </c>
      <c r="L3987" s="20" t="inlineStr">
        <is>
          <t>Aaa Cars</t>
        </is>
      </c>
      <c r="M3987" s="23" t="n">
        <v>4237.29</v>
      </c>
    </row>
    <row r="3988">
      <c r="A3988" s="19" t="inlineStr">
        <is>
          <t>FY27</t>
        </is>
      </c>
      <c r="B3988" s="19" t="inlineStr">
        <is>
          <t>Sep</t>
        </is>
      </c>
      <c r="C3988" s="19" t="inlineStr">
        <is>
          <t>TN</t>
        </is>
      </c>
      <c r="D3988" s="20" t="inlineStr">
        <is>
          <t>TN01AU2422</t>
        </is>
      </c>
      <c r="E3988" s="20" t="inlineStr">
        <is>
          <t>HONDA</t>
        </is>
      </c>
      <c r="F3988" s="20" t="inlineStr">
        <is>
          <t>Amaze</t>
        </is>
      </c>
      <c r="G3988" s="21" t="n">
        <v>2013</v>
      </c>
      <c r="H3988" s="22" t="n">
        <v>95582</v>
      </c>
      <c r="I3988" s="22" t="n">
        <v>97000</v>
      </c>
      <c r="J3988" s="20" t="inlineStr">
        <is>
          <t>AIE CARS PRIVATE LIMITED</t>
        </is>
      </c>
      <c r="K3988" s="20" t="inlineStr">
        <is>
          <t>Non-Captive</t>
        </is>
      </c>
      <c r="L3988" s="20" t="inlineStr">
        <is>
          <t>Pine Autos</t>
        </is>
      </c>
      <c r="M3988" s="23" t="n">
        <v>4237.29</v>
      </c>
    </row>
    <row r="3989">
      <c r="A3989" s="19" t="inlineStr">
        <is>
          <t>FY27</t>
        </is>
      </c>
      <c r="B3989" s="19" t="inlineStr">
        <is>
          <t>Sep</t>
        </is>
      </c>
      <c r="C3989" s="19" t="inlineStr">
        <is>
          <t>TN</t>
        </is>
      </c>
      <c r="D3989" s="20" t="inlineStr">
        <is>
          <t>TN01AU7755</t>
        </is>
      </c>
      <c r="E3989" s="20" t="inlineStr">
        <is>
          <t>HONDA</t>
        </is>
      </c>
      <c r="F3989" s="20" t="inlineStr">
        <is>
          <t>Amaze</t>
        </is>
      </c>
      <c r="G3989" s="21" t="n"/>
      <c r="H3989" s="22" t="n"/>
      <c r="I3989" s="22" t="n">
        <v>300000</v>
      </c>
      <c r="J3989" s="20" t="inlineStr">
        <is>
          <t>EXCHANGE CHENNAI</t>
        </is>
      </c>
      <c r="K3989" s="20" t="inlineStr">
        <is>
          <t>Captive</t>
        </is>
      </c>
      <c r="L3989" s="20" t="inlineStr">
        <is>
          <t>Santhosh Cars</t>
        </is>
      </c>
      <c r="M3989" s="23" t="n">
        <v>8474.58</v>
      </c>
    </row>
    <row r="3990">
      <c r="A3990" s="19" t="inlineStr">
        <is>
          <t>FY27</t>
        </is>
      </c>
      <c r="B3990" s="19" t="inlineStr">
        <is>
          <t>Sep</t>
        </is>
      </c>
      <c r="C3990" s="19" t="inlineStr">
        <is>
          <t>TN</t>
        </is>
      </c>
      <c r="D3990" s="20" t="inlineStr">
        <is>
          <t>TN01AV7410</t>
        </is>
      </c>
      <c r="E3990" s="20" t="inlineStr">
        <is>
          <t>HONDA</t>
        </is>
      </c>
      <c r="F3990" s="20" t="inlineStr">
        <is>
          <t>Amaze</t>
        </is>
      </c>
      <c r="G3990" s="21" t="n"/>
      <c r="H3990" s="22" t="n"/>
      <c r="I3990" s="22" t="n">
        <v>230000</v>
      </c>
      <c r="J3990" s="20" t="inlineStr">
        <is>
          <t>EXCHANGE CHENNAI</t>
        </is>
      </c>
      <c r="K3990" s="20" t="inlineStr">
        <is>
          <t>Captive</t>
        </is>
      </c>
      <c r="L3990" s="20" t="inlineStr">
        <is>
          <t>Santhosh Cars</t>
        </is>
      </c>
      <c r="M3990" s="23" t="n">
        <v>8474.58</v>
      </c>
    </row>
    <row r="3991">
      <c r="A3991" s="19" t="inlineStr">
        <is>
          <t>FY27</t>
        </is>
      </c>
      <c r="B3991" s="19" t="inlineStr">
        <is>
          <t>Sep</t>
        </is>
      </c>
      <c r="C3991" s="19" t="inlineStr">
        <is>
          <t>TN</t>
        </is>
      </c>
      <c r="D3991" s="20" t="inlineStr">
        <is>
          <t>TN01BC5369</t>
        </is>
      </c>
      <c r="E3991" s="20" t="inlineStr">
        <is>
          <t>TATA</t>
        </is>
      </c>
      <c r="F3991" s="20" t="inlineStr">
        <is>
          <t>Tiago</t>
        </is>
      </c>
      <c r="G3991" s="21" t="n">
        <v>2017</v>
      </c>
      <c r="H3991" s="22" t="n">
        <v>80258</v>
      </c>
      <c r="I3991" s="22" t="n">
        <v>250000</v>
      </c>
      <c r="J3991" s="20" t="inlineStr">
        <is>
          <t>EXCHANGE ROTN</t>
        </is>
      </c>
      <c r="K3991" s="20" t="inlineStr">
        <is>
          <t>Captive</t>
        </is>
      </c>
      <c r="L3991" s="20" t="inlineStr"/>
      <c r="M3991" s="23" t="n">
        <v>8474.58</v>
      </c>
    </row>
    <row r="3992">
      <c r="A3992" s="19" t="inlineStr">
        <is>
          <t>FY27</t>
        </is>
      </c>
      <c r="B3992" s="19" t="inlineStr">
        <is>
          <t>Sep</t>
        </is>
      </c>
      <c r="C3992" s="19" t="inlineStr">
        <is>
          <t>TN</t>
        </is>
      </c>
      <c r="D3992" s="20" t="inlineStr">
        <is>
          <t>TN01BD0515</t>
        </is>
      </c>
      <c r="E3992" s="20" t="inlineStr">
        <is>
          <t>RENAULT</t>
        </is>
      </c>
      <c r="F3992" s="20" t="inlineStr">
        <is>
          <t>Kwid</t>
        </is>
      </c>
      <c r="G3992" s="21" t="n">
        <v>2017</v>
      </c>
      <c r="H3992" s="22" t="n">
        <v>31961</v>
      </c>
      <c r="I3992" s="22" t="n">
        <v>140000</v>
      </c>
      <c r="J3992" s="20" t="inlineStr">
        <is>
          <t>CASTLE TRADERS MARUTI</t>
        </is>
      </c>
      <c r="K3992" s="20" t="inlineStr">
        <is>
          <t>Non-Captive</t>
        </is>
      </c>
      <c r="L3992" s="20" t="inlineStr">
        <is>
          <t>Senthil Cars</t>
        </is>
      </c>
      <c r="M3992" s="23" t="n">
        <v>5084.75</v>
      </c>
    </row>
    <row r="3993">
      <c r="A3993" s="19" t="inlineStr">
        <is>
          <t>FY27</t>
        </is>
      </c>
      <c r="B3993" s="19" t="inlineStr">
        <is>
          <t>Sep</t>
        </is>
      </c>
      <c r="C3993" s="19" t="inlineStr">
        <is>
          <t>TN</t>
        </is>
      </c>
      <c r="D3993" s="20" t="inlineStr">
        <is>
          <t>TN01BD4449</t>
        </is>
      </c>
      <c r="E3993" s="20" t="inlineStr">
        <is>
          <t>MAHINDRA</t>
        </is>
      </c>
      <c r="F3993" s="20" t="inlineStr">
        <is>
          <t>Bolero</t>
        </is>
      </c>
      <c r="G3993" s="21" t="n">
        <v>2017</v>
      </c>
      <c r="H3993" s="22" t="n">
        <v>160135</v>
      </c>
      <c r="I3993" s="22" t="n">
        <v>410000</v>
      </c>
      <c r="J3993" s="20" t="inlineStr">
        <is>
          <t>TVS MOTOR LIMITED</t>
        </is>
      </c>
      <c r="K3993" s="20" t="inlineStr">
        <is>
          <t>Captive</t>
        </is>
      </c>
      <c r="L3993" s="20" t="inlineStr">
        <is>
          <t>Bhagavan Cars</t>
        </is>
      </c>
      <c r="M3993" s="23" t="n">
        <v>8474.58</v>
      </c>
    </row>
    <row r="3994">
      <c r="A3994" s="19" t="inlineStr">
        <is>
          <t>FY27</t>
        </is>
      </c>
      <c r="B3994" s="19" t="inlineStr">
        <is>
          <t>Sep</t>
        </is>
      </c>
      <c r="C3994" s="19" t="inlineStr">
        <is>
          <t>TN</t>
        </is>
      </c>
      <c r="D3994" s="20" t="inlineStr">
        <is>
          <t>TN01BF1113</t>
        </is>
      </c>
      <c r="E3994" s="20" t="inlineStr">
        <is>
          <t>HONDA</t>
        </is>
      </c>
      <c r="F3994" s="20" t="inlineStr">
        <is>
          <t>Amaze</t>
        </is>
      </c>
      <c r="G3994" s="21" t="n">
        <v>2018</v>
      </c>
      <c r="H3994" s="22" t="n">
        <v>78534</v>
      </c>
      <c r="I3994" s="22" t="n">
        <v>392454</v>
      </c>
      <c r="J3994" s="20" t="inlineStr">
        <is>
          <t>CASTLE TRADERS HONDA</t>
        </is>
      </c>
      <c r="K3994" s="20" t="inlineStr">
        <is>
          <t>Non-Captive</t>
        </is>
      </c>
      <c r="L3994" s="20" t="inlineStr">
        <is>
          <t>Cars24</t>
        </is>
      </c>
      <c r="M3994" s="23" t="n">
        <v>6355.93</v>
      </c>
    </row>
    <row r="3995">
      <c r="A3995" s="19" t="inlineStr">
        <is>
          <t>FY27</t>
        </is>
      </c>
      <c r="B3995" s="19" t="inlineStr">
        <is>
          <t>Sep</t>
        </is>
      </c>
      <c r="C3995" s="19" t="inlineStr">
        <is>
          <t>TN</t>
        </is>
      </c>
      <c r="D3995" s="20" t="inlineStr">
        <is>
          <t>TN01BM3269</t>
        </is>
      </c>
      <c r="E3995" s="20" t="inlineStr">
        <is>
          <t>HONDA</t>
        </is>
      </c>
      <c r="F3995" s="20" t="inlineStr">
        <is>
          <t>City</t>
        </is>
      </c>
      <c r="G3995" s="21" t="n">
        <v>2021</v>
      </c>
      <c r="H3995" s="22" t="n">
        <v>53899</v>
      </c>
      <c r="I3995" s="22" t="n">
        <v>850000</v>
      </c>
      <c r="J3995" s="20" t="inlineStr">
        <is>
          <t>EXCHANGE CHENNAI</t>
        </is>
      </c>
      <c r="K3995" s="20" t="inlineStr">
        <is>
          <t>Captive</t>
        </is>
      </c>
      <c r="L3995" s="20" t="inlineStr">
        <is>
          <t>Santhosh Cars</t>
        </is>
      </c>
      <c r="M3995" s="23" t="n">
        <v>8474.58</v>
      </c>
    </row>
    <row r="3996">
      <c r="A3996" s="19" t="inlineStr">
        <is>
          <t>FY27</t>
        </is>
      </c>
      <c r="B3996" s="19" t="inlineStr">
        <is>
          <t>Sep</t>
        </is>
      </c>
      <c r="C3996" s="19" t="inlineStr">
        <is>
          <t>TN</t>
        </is>
      </c>
      <c r="D3996" s="20" t="inlineStr">
        <is>
          <t>TN01W7331</t>
        </is>
      </c>
      <c r="E3996" s="20" t="inlineStr">
        <is>
          <t>HONDA</t>
        </is>
      </c>
      <c r="F3996" s="20" t="inlineStr">
        <is>
          <t>Accord</t>
        </is>
      </c>
      <c r="G3996" s="21" t="n">
        <v>2003</v>
      </c>
      <c r="H3996" s="22" t="n">
        <v>48932</v>
      </c>
      <c r="I3996" s="22" t="n">
        <v>87000</v>
      </c>
      <c r="J3996" s="20" t="inlineStr">
        <is>
          <t>AIE CARS PRIVATE LIMITED</t>
        </is>
      </c>
      <c r="K3996" s="20" t="inlineStr">
        <is>
          <t>Non-Captive</t>
        </is>
      </c>
      <c r="L3996" s="20" t="inlineStr">
        <is>
          <t>VS Enterprises</t>
        </is>
      </c>
      <c r="M3996" s="23" t="n">
        <v>4237.29</v>
      </c>
    </row>
    <row r="3997">
      <c r="A3997" s="19" t="inlineStr">
        <is>
          <t>FY27</t>
        </is>
      </c>
      <c r="B3997" s="19" t="inlineStr">
        <is>
          <t>Sep</t>
        </is>
      </c>
      <c r="C3997" s="19" t="inlineStr">
        <is>
          <t>TN</t>
        </is>
      </c>
      <c r="D3997" s="20" t="inlineStr">
        <is>
          <t>TN01Z4579</t>
        </is>
      </c>
      <c r="E3997" s="20" t="inlineStr">
        <is>
          <t>MARUTI SUZUKI</t>
        </is>
      </c>
      <c r="F3997" s="20" t="inlineStr">
        <is>
          <t>Wagon R</t>
        </is>
      </c>
      <c r="G3997" s="21" t="n">
        <v>2005</v>
      </c>
      <c r="H3997" s="22" t="n">
        <v>13393</v>
      </c>
      <c r="I3997" s="22" t="n">
        <v>10000</v>
      </c>
      <c r="J3997" s="20" t="inlineStr">
        <is>
          <t>CASTLE TRADERS MARUTI</t>
        </is>
      </c>
      <c r="K3997" s="20" t="inlineStr">
        <is>
          <t>Non-Captive</t>
        </is>
      </c>
      <c r="L3997" s="20" t="inlineStr">
        <is>
          <t>Grid 33</t>
        </is>
      </c>
      <c r="M3997" s="23" t="n">
        <v>4237.4</v>
      </c>
    </row>
    <row r="3998">
      <c r="A3998" s="19" t="inlineStr">
        <is>
          <t>FY27</t>
        </is>
      </c>
      <c r="B3998" s="19" t="inlineStr">
        <is>
          <t>Sep</t>
        </is>
      </c>
      <c r="C3998" s="19" t="inlineStr">
        <is>
          <t>TN</t>
        </is>
      </c>
      <c r="D3998" s="20" t="inlineStr">
        <is>
          <t>TN02AA3767</t>
        </is>
      </c>
      <c r="E3998" s="20" t="inlineStr">
        <is>
          <t>HONDA</t>
        </is>
      </c>
      <c r="F3998" s="20" t="inlineStr">
        <is>
          <t>Civic</t>
        </is>
      </c>
      <c r="G3998" s="21" t="n">
        <v>2007</v>
      </c>
      <c r="H3998" s="22" t="n">
        <v>149917</v>
      </c>
      <c r="I3998" s="22" t="n">
        <v>96000</v>
      </c>
      <c r="J3998" s="20" t="inlineStr">
        <is>
          <t>CRESCO CARS</t>
        </is>
      </c>
      <c r="K3998" s="20" t="inlineStr">
        <is>
          <t>Non-Captive</t>
        </is>
      </c>
      <c r="L3998" s="20" t="inlineStr">
        <is>
          <t>S2 Motorz</t>
        </is>
      </c>
      <c r="M3998" s="23" t="n">
        <v>4237.29</v>
      </c>
    </row>
    <row r="3999">
      <c r="A3999" s="19" t="inlineStr">
        <is>
          <t>FY27</t>
        </is>
      </c>
      <c r="B3999" s="19" t="inlineStr">
        <is>
          <t>Sep</t>
        </is>
      </c>
      <c r="C3999" s="19" t="inlineStr">
        <is>
          <t>TN</t>
        </is>
      </c>
      <c r="D3999" s="20" t="inlineStr">
        <is>
          <t>TN02AC7401</t>
        </is>
      </c>
      <c r="E3999" s="20" t="inlineStr">
        <is>
          <t>MARUTI SUZUKI</t>
        </is>
      </c>
      <c r="F3999" s="20" t="inlineStr">
        <is>
          <t>SX4</t>
        </is>
      </c>
      <c r="G3999" s="21" t="n">
        <v>2007</v>
      </c>
      <c r="H3999" s="22" t="n">
        <v>100776</v>
      </c>
      <c r="I3999" s="22" t="n">
        <v>99000</v>
      </c>
      <c r="J3999" s="20" t="inlineStr">
        <is>
          <t>FPL AUTOMOBILES PRIVATE LIMITED</t>
        </is>
      </c>
      <c r="K3999" s="20" t="inlineStr">
        <is>
          <t>Non-Captive</t>
        </is>
      </c>
      <c r="L3999" s="20" t="inlineStr">
        <is>
          <t>Emarald Cars</t>
        </is>
      </c>
      <c r="M3999" s="23" t="n">
        <v>4237.29</v>
      </c>
    </row>
    <row r="4000">
      <c r="A4000" s="19" t="inlineStr">
        <is>
          <t>FY27</t>
        </is>
      </c>
      <c r="B4000" s="19" t="inlineStr">
        <is>
          <t>Sep</t>
        </is>
      </c>
      <c r="C4000" s="19" t="inlineStr">
        <is>
          <t>TN</t>
        </is>
      </c>
      <c r="D4000" s="20" t="inlineStr">
        <is>
          <t>TN02AH2050</t>
        </is>
      </c>
      <c r="E4000" s="20" t="inlineStr">
        <is>
          <t>MAHINDRA</t>
        </is>
      </c>
      <c r="F4000" s="20" t="inlineStr">
        <is>
          <t>Scorpio</t>
        </is>
      </c>
      <c r="G4000" s="21" t="n">
        <v>2009</v>
      </c>
      <c r="H4000" s="22" t="n">
        <v>150143</v>
      </c>
      <c r="I4000" s="22" t="n">
        <v>175000</v>
      </c>
      <c r="J4000" s="20" t="inlineStr">
        <is>
          <t>ABT LIMITED</t>
        </is>
      </c>
      <c r="K4000" s="20" t="inlineStr">
        <is>
          <t>Non-Captive</t>
        </is>
      </c>
      <c r="L4000" s="20" t="inlineStr">
        <is>
          <t>Ram Manohar</t>
        </is>
      </c>
      <c r="M4000" s="23" t="n">
        <v>2542.37</v>
      </c>
    </row>
    <row r="4001">
      <c r="A4001" s="19" t="inlineStr">
        <is>
          <t>FY27</t>
        </is>
      </c>
      <c r="B4001" s="19" t="inlineStr">
        <is>
          <t>Sep</t>
        </is>
      </c>
      <c r="C4001" s="19" t="inlineStr">
        <is>
          <t>TN</t>
        </is>
      </c>
      <c r="D4001" s="20" t="inlineStr">
        <is>
          <t>TN02AK5555</t>
        </is>
      </c>
      <c r="E4001" s="20" t="inlineStr">
        <is>
          <t>MARUTI SUZUKI</t>
        </is>
      </c>
      <c r="F4001" s="20" t="inlineStr">
        <is>
          <t>Zen</t>
        </is>
      </c>
      <c r="G4001" s="21" t="n">
        <v>2007</v>
      </c>
      <c r="H4001" s="22" t="n">
        <v>242477</v>
      </c>
      <c r="I4001" s="22" t="n">
        <v>96000</v>
      </c>
      <c r="J4001" s="20" t="inlineStr">
        <is>
          <t>AIE CARS PRIVATE LIMITED</t>
        </is>
      </c>
      <c r="K4001" s="20" t="inlineStr">
        <is>
          <t>Non-Captive</t>
        </is>
      </c>
      <c r="L4001" s="20" t="inlineStr">
        <is>
          <t>VS Enterprises</t>
        </is>
      </c>
      <c r="M4001" s="23" t="n">
        <v>4237.29</v>
      </c>
    </row>
    <row r="4002">
      <c r="A4002" s="19" t="inlineStr">
        <is>
          <t>FY27</t>
        </is>
      </c>
      <c r="B4002" s="19" t="inlineStr">
        <is>
          <t>Sep</t>
        </is>
      </c>
      <c r="C4002" s="19" t="inlineStr">
        <is>
          <t>TN</t>
        </is>
      </c>
      <c r="D4002" s="20" t="inlineStr">
        <is>
          <t>TN02AT0621</t>
        </is>
      </c>
      <c r="E4002" s="20" t="inlineStr">
        <is>
          <t>FORD</t>
        </is>
      </c>
      <c r="F4002" s="20" t="inlineStr">
        <is>
          <t>Figo</t>
        </is>
      </c>
      <c r="G4002" s="21" t="n">
        <v>2011</v>
      </c>
      <c r="H4002" s="22" t="n">
        <v>42892</v>
      </c>
      <c r="I4002" s="22" t="n">
        <v>87000</v>
      </c>
      <c r="J4002" s="20" t="inlineStr">
        <is>
          <t>VISHNU CARS PRIVATE LIMITED</t>
        </is>
      </c>
      <c r="K4002" s="20" t="inlineStr">
        <is>
          <t>Non-Captive</t>
        </is>
      </c>
      <c r="L4002" s="20" t="inlineStr">
        <is>
          <t>Santhosh Cars</t>
        </is>
      </c>
      <c r="M4002" s="23" t="n">
        <v>4237.29</v>
      </c>
    </row>
    <row r="4003">
      <c r="A4003" s="19" t="inlineStr">
        <is>
          <t>FY27</t>
        </is>
      </c>
      <c r="B4003" s="19" t="inlineStr">
        <is>
          <t>Sep</t>
        </is>
      </c>
      <c r="C4003" s="19" t="inlineStr">
        <is>
          <t>TN</t>
        </is>
      </c>
      <c r="D4003" s="20" t="inlineStr">
        <is>
          <t>TN02AT9357</t>
        </is>
      </c>
      <c r="E4003" s="20" t="inlineStr">
        <is>
          <t>HONDA</t>
        </is>
      </c>
      <c r="F4003" s="20" t="inlineStr">
        <is>
          <t>City</t>
        </is>
      </c>
      <c r="G4003" s="21" t="n">
        <v>2012</v>
      </c>
      <c r="H4003" s="22" t="n"/>
      <c r="I4003" s="22" t="n">
        <v>94000</v>
      </c>
      <c r="J4003" s="20" t="inlineStr">
        <is>
          <t>AIE CARS PRIVATE LIMITED</t>
        </is>
      </c>
      <c r="K4003" s="20" t="inlineStr">
        <is>
          <t>Non-Captive</t>
        </is>
      </c>
      <c r="L4003" s="20" t="inlineStr">
        <is>
          <t>Aaa Cars</t>
        </is>
      </c>
      <c r="M4003" s="23" t="n">
        <v>4237.29</v>
      </c>
    </row>
    <row r="4004">
      <c r="A4004" s="19" t="inlineStr">
        <is>
          <t>FY27</t>
        </is>
      </c>
      <c r="B4004" s="19" t="inlineStr">
        <is>
          <t>Sep</t>
        </is>
      </c>
      <c r="C4004" s="19" t="inlineStr">
        <is>
          <t>TN</t>
        </is>
      </c>
      <c r="D4004" s="20" t="inlineStr">
        <is>
          <t>TN02AW8995</t>
        </is>
      </c>
      <c r="E4004" s="20" t="inlineStr">
        <is>
          <t>NISSAN</t>
        </is>
      </c>
      <c r="F4004" s="20" t="inlineStr">
        <is>
          <t>Micra</t>
        </is>
      </c>
      <c r="G4004" s="21" t="n">
        <v>2013</v>
      </c>
      <c r="H4004" s="22" t="n">
        <v>46988</v>
      </c>
      <c r="I4004" s="22" t="n">
        <v>99000</v>
      </c>
      <c r="J4004" s="20" t="inlineStr">
        <is>
          <t>STEER AUTO TECHNOLOGIES PRIVATE LIMITED</t>
        </is>
      </c>
      <c r="K4004" s="20" t="inlineStr">
        <is>
          <t>Non-Captive</t>
        </is>
      </c>
      <c r="L4004" s="20" t="inlineStr">
        <is>
          <t>Maruthi Industries</t>
        </is>
      </c>
      <c r="M4004" s="23" t="n">
        <v>4237.29</v>
      </c>
    </row>
    <row r="4005">
      <c r="A4005" s="19" t="inlineStr">
        <is>
          <t>FY27</t>
        </is>
      </c>
      <c r="B4005" s="19" t="inlineStr">
        <is>
          <t>Sep</t>
        </is>
      </c>
      <c r="C4005" s="19" t="inlineStr">
        <is>
          <t>TN</t>
        </is>
      </c>
      <c r="D4005" s="20" t="inlineStr">
        <is>
          <t>TN02AX9115</t>
        </is>
      </c>
      <c r="E4005" s="20" t="inlineStr">
        <is>
          <t>MARUTI SUZUKI</t>
        </is>
      </c>
      <c r="F4005" s="20" t="inlineStr">
        <is>
          <t>Eeco</t>
        </is>
      </c>
      <c r="G4005" s="21" t="n">
        <v>2013</v>
      </c>
      <c r="H4005" s="22" t="n">
        <v>83424</v>
      </c>
      <c r="I4005" s="22" t="n">
        <v>200000</v>
      </c>
      <c r="J4005" s="20" t="inlineStr">
        <is>
          <t>CASTLE TRADERS MARUTI</t>
        </is>
      </c>
      <c r="K4005" s="20" t="inlineStr">
        <is>
          <t>Non-Captive</t>
        </is>
      </c>
      <c r="L4005" s="20" t="inlineStr">
        <is>
          <t>Aaa Cars</t>
        </is>
      </c>
      <c r="M4005" s="23" t="n">
        <v>5084.8</v>
      </c>
    </row>
    <row r="4006">
      <c r="A4006" s="19" t="inlineStr">
        <is>
          <t>FY27</t>
        </is>
      </c>
      <c r="B4006" s="19" t="inlineStr">
        <is>
          <t>Sep</t>
        </is>
      </c>
      <c r="C4006" s="19" t="inlineStr">
        <is>
          <t>TN</t>
        </is>
      </c>
      <c r="D4006" s="20" t="inlineStr">
        <is>
          <t>TN02AX9378</t>
        </is>
      </c>
      <c r="E4006" s="20" t="inlineStr">
        <is>
          <t>MARUTI SUZUKI</t>
        </is>
      </c>
      <c r="F4006" s="20" t="inlineStr">
        <is>
          <t>Ertiga</t>
        </is>
      </c>
      <c r="G4006" s="21" t="n">
        <v>2013</v>
      </c>
      <c r="H4006" s="22" t="n">
        <v>106247</v>
      </c>
      <c r="I4006" s="22" t="n">
        <v>454000</v>
      </c>
      <c r="J4006" s="20" t="inlineStr">
        <is>
          <t>CASTLE TRADERS MARUTI</t>
        </is>
      </c>
      <c r="K4006" s="20" t="inlineStr">
        <is>
          <t>Non-Captive</t>
        </is>
      </c>
      <c r="L4006" s="20" t="inlineStr">
        <is>
          <t>Kamal Cars</t>
        </is>
      </c>
      <c r="M4006" s="23" t="n">
        <v>7627.2</v>
      </c>
    </row>
    <row r="4007">
      <c r="A4007" s="19" t="inlineStr">
        <is>
          <t>FY27</t>
        </is>
      </c>
      <c r="B4007" s="19" t="inlineStr">
        <is>
          <t>Sep</t>
        </is>
      </c>
      <c r="C4007" s="19" t="inlineStr">
        <is>
          <t>TN</t>
        </is>
      </c>
      <c r="D4007" s="20" t="inlineStr">
        <is>
          <t>TN02AY8692</t>
        </is>
      </c>
      <c r="E4007" s="20" t="inlineStr">
        <is>
          <t>TOYOTA</t>
        </is>
      </c>
      <c r="F4007" s="20" t="inlineStr">
        <is>
          <t>Etios</t>
        </is>
      </c>
      <c r="G4007" s="21" t="n">
        <v>2014</v>
      </c>
      <c r="H4007" s="22" t="n">
        <v>144664</v>
      </c>
      <c r="I4007" s="22" t="n">
        <v>98000</v>
      </c>
      <c r="J4007" s="20" t="inlineStr">
        <is>
          <t>VISHNU CARS PRIVATE LIMITED</t>
        </is>
      </c>
      <c r="K4007" s="20" t="inlineStr">
        <is>
          <t>Non-Captive</t>
        </is>
      </c>
      <c r="L4007" s="20" t="inlineStr">
        <is>
          <t>Santhosh Cars</t>
        </is>
      </c>
      <c r="M4007" s="23" t="n">
        <v>4237.29</v>
      </c>
    </row>
    <row r="4008">
      <c r="A4008" s="19" t="inlineStr">
        <is>
          <t>FY27</t>
        </is>
      </c>
      <c r="B4008" s="19" t="inlineStr">
        <is>
          <t>Sep</t>
        </is>
      </c>
      <c r="C4008" s="19" t="inlineStr">
        <is>
          <t>TN</t>
        </is>
      </c>
      <c r="D4008" s="20" t="inlineStr">
        <is>
          <t>TN02BA2180</t>
        </is>
      </c>
      <c r="E4008" s="20" t="inlineStr">
        <is>
          <t>MARUTI SUZUKI</t>
        </is>
      </c>
      <c r="F4008" s="20" t="inlineStr">
        <is>
          <t>Swift</t>
        </is>
      </c>
      <c r="G4008" s="21" t="n">
        <v>2014</v>
      </c>
      <c r="H4008" s="22" t="n">
        <v>70842</v>
      </c>
      <c r="I4008" s="22" t="n">
        <v>290000</v>
      </c>
      <c r="J4008" s="20" t="inlineStr">
        <is>
          <t>EXCHANGE CHENNAI</t>
        </is>
      </c>
      <c r="K4008" s="20" t="inlineStr">
        <is>
          <t>Captive</t>
        </is>
      </c>
      <c r="L4008" s="20" t="inlineStr">
        <is>
          <t>Santhosh Cars</t>
        </is>
      </c>
      <c r="M4008" s="23" t="n">
        <v>8474.58</v>
      </c>
    </row>
    <row r="4009">
      <c r="A4009" s="19" t="inlineStr">
        <is>
          <t>FY27</t>
        </is>
      </c>
      <c r="B4009" s="19" t="inlineStr">
        <is>
          <t>Sep</t>
        </is>
      </c>
      <c r="C4009" s="19" t="inlineStr">
        <is>
          <t>TN</t>
        </is>
      </c>
      <c r="D4009" s="20" t="inlineStr">
        <is>
          <t>TN02BE3090</t>
        </is>
      </c>
      <c r="E4009" s="20" t="inlineStr">
        <is>
          <t>HYUNDAI</t>
        </is>
      </c>
      <c r="F4009" s="20" t="inlineStr">
        <is>
          <t>Grand i10</t>
        </is>
      </c>
      <c r="G4009" s="21" t="n">
        <v>2016</v>
      </c>
      <c r="H4009" s="22" t="n">
        <v>32600</v>
      </c>
      <c r="I4009" s="22" t="n">
        <v>96000</v>
      </c>
      <c r="J4009" s="20" t="inlineStr">
        <is>
          <t>RAJALAKSHMI CARS</t>
        </is>
      </c>
      <c r="K4009" s="20" t="inlineStr">
        <is>
          <t>Non-Captive</t>
        </is>
      </c>
      <c r="L4009" s="20" t="inlineStr">
        <is>
          <t>Santhosh Cars</t>
        </is>
      </c>
      <c r="M4009" s="23" t="n">
        <v>3813.56</v>
      </c>
    </row>
    <row r="4010">
      <c r="A4010" s="19" t="inlineStr">
        <is>
          <t>FY27</t>
        </is>
      </c>
      <c r="B4010" s="19" t="inlineStr">
        <is>
          <t>Sep</t>
        </is>
      </c>
      <c r="C4010" s="19" t="inlineStr">
        <is>
          <t>TN</t>
        </is>
      </c>
      <c r="D4010" s="20" t="inlineStr">
        <is>
          <t>TN02W4711</t>
        </is>
      </c>
      <c r="E4010" s="20" t="inlineStr">
        <is>
          <t>HONDA</t>
        </is>
      </c>
      <c r="F4010" s="20" t="inlineStr">
        <is>
          <t>City</t>
        </is>
      </c>
      <c r="G4010" s="21" t="n">
        <v>2006</v>
      </c>
      <c r="H4010" s="22" t="n">
        <v>59938</v>
      </c>
      <c r="I4010" s="22" t="n">
        <v>94000</v>
      </c>
      <c r="J4010" s="20" t="inlineStr">
        <is>
          <t>VISHNU CARS PRIVATE LIMITED</t>
        </is>
      </c>
      <c r="K4010" s="20" t="inlineStr">
        <is>
          <t>Non-Captive</t>
        </is>
      </c>
      <c r="L4010" s="20" t="inlineStr">
        <is>
          <t>Santhosh Cars</t>
        </is>
      </c>
      <c r="M4010" s="23" t="n">
        <v>4237.29</v>
      </c>
    </row>
    <row r="4011">
      <c r="A4011" s="19" t="inlineStr">
        <is>
          <t>FY27</t>
        </is>
      </c>
      <c r="B4011" s="19" t="inlineStr">
        <is>
          <t>Sep</t>
        </is>
      </c>
      <c r="C4011" s="19" t="inlineStr">
        <is>
          <t>TN</t>
        </is>
      </c>
      <c r="D4011" s="20" t="inlineStr">
        <is>
          <t>TN02Y8737</t>
        </is>
      </c>
      <c r="E4011" s="20" t="inlineStr">
        <is>
          <t>FORD</t>
        </is>
      </c>
      <c r="F4011" s="20" t="inlineStr">
        <is>
          <t>Fiesta</t>
        </is>
      </c>
      <c r="G4011" s="21" t="n">
        <v>2006</v>
      </c>
      <c r="H4011" s="22" t="n">
        <v>146028</v>
      </c>
      <c r="I4011" s="22" t="n">
        <v>50000</v>
      </c>
      <c r="J4011" s="20" t="inlineStr">
        <is>
          <t>EXCHANGE ROTN</t>
        </is>
      </c>
      <c r="K4011" s="20" t="inlineStr">
        <is>
          <t>Captive</t>
        </is>
      </c>
      <c r="L4011" s="20" t="inlineStr"/>
      <c r="M4011" s="23" t="n">
        <v>4237.29</v>
      </c>
    </row>
    <row r="4012">
      <c r="A4012" s="19" t="inlineStr">
        <is>
          <t>FY27</t>
        </is>
      </c>
      <c r="B4012" s="19" t="inlineStr">
        <is>
          <t>Sep</t>
        </is>
      </c>
      <c r="C4012" s="19" t="inlineStr">
        <is>
          <t>TN</t>
        </is>
      </c>
      <c r="D4012" s="20" t="inlineStr">
        <is>
          <t>TN03J2781</t>
        </is>
      </c>
      <c r="E4012" s="20" t="inlineStr">
        <is>
          <t>HYUNDAI</t>
        </is>
      </c>
      <c r="F4012" s="20" t="inlineStr">
        <is>
          <t>i10</t>
        </is>
      </c>
      <c r="G4012" s="21" t="n">
        <v>2012</v>
      </c>
      <c r="H4012" s="22" t="n">
        <v>83335</v>
      </c>
      <c r="I4012" s="22" t="n">
        <v>98000</v>
      </c>
      <c r="J4012" s="20" t="inlineStr">
        <is>
          <t>THIYA CARS</t>
        </is>
      </c>
      <c r="K4012" s="20" t="inlineStr">
        <is>
          <t>Non-Captive</t>
        </is>
      </c>
      <c r="L4012" s="20" t="inlineStr">
        <is>
          <t>Srijja Travels</t>
        </is>
      </c>
      <c r="M4012" s="23" t="n">
        <v>4237.29</v>
      </c>
    </row>
    <row r="4013">
      <c r="A4013" s="19" t="inlineStr">
        <is>
          <t>FY27</t>
        </is>
      </c>
      <c r="B4013" s="19" t="inlineStr">
        <is>
          <t>Sep</t>
        </is>
      </c>
      <c r="C4013" s="19" t="inlineStr">
        <is>
          <t>TN</t>
        </is>
      </c>
      <c r="D4013" s="20" t="inlineStr">
        <is>
          <t>TN03P9326</t>
        </is>
      </c>
      <c r="E4013" s="20" t="inlineStr">
        <is>
          <t>MARUTI SUZUKI</t>
        </is>
      </c>
      <c r="F4013" s="20" t="inlineStr">
        <is>
          <t>Ritz</t>
        </is>
      </c>
      <c r="G4013" s="21" t="n">
        <v>2014</v>
      </c>
      <c r="H4013" s="22" t="n">
        <v>145668</v>
      </c>
      <c r="I4013" s="22" t="n">
        <v>93000</v>
      </c>
      <c r="J4013" s="20" t="inlineStr">
        <is>
          <t>LAKSHMI NISSAN</t>
        </is>
      </c>
      <c r="K4013" s="20" t="inlineStr">
        <is>
          <t>Non-Captive</t>
        </is>
      </c>
      <c r="L4013" s="20" t="inlineStr">
        <is>
          <t>Srijja Travels</t>
        </is>
      </c>
      <c r="M4013" s="23" t="n">
        <v>4237.29</v>
      </c>
    </row>
    <row r="4014">
      <c r="A4014" s="19" t="inlineStr">
        <is>
          <t>FY27</t>
        </is>
      </c>
      <c r="B4014" s="19" t="inlineStr">
        <is>
          <t>Sep</t>
        </is>
      </c>
      <c r="C4014" s="19" t="inlineStr">
        <is>
          <t>TN</t>
        </is>
      </c>
      <c r="D4014" s="20" t="inlineStr">
        <is>
          <t>TN04AA9453</t>
        </is>
      </c>
      <c r="E4014" s="20" t="inlineStr">
        <is>
          <t>TATA</t>
        </is>
      </c>
      <c r="F4014" s="20" t="inlineStr">
        <is>
          <t>Indica</t>
        </is>
      </c>
      <c r="G4014" s="21" t="n">
        <v>2007</v>
      </c>
      <c r="H4014" s="22" t="n">
        <v>983000</v>
      </c>
      <c r="I4014" s="22" t="n">
        <v>98000</v>
      </c>
      <c r="J4014" s="20" t="inlineStr">
        <is>
          <t>CASTLE TRADERS MARUTI</t>
        </is>
      </c>
      <c r="K4014" s="20" t="inlineStr">
        <is>
          <t>Non-Captive</t>
        </is>
      </c>
      <c r="L4014" s="20" t="inlineStr">
        <is>
          <t>Car Hub</t>
        </is>
      </c>
      <c r="M4014" s="23" t="n">
        <v>4237.29</v>
      </c>
    </row>
    <row r="4015">
      <c r="A4015" s="19" t="inlineStr">
        <is>
          <t>FY27</t>
        </is>
      </c>
      <c r="B4015" s="19" t="inlineStr">
        <is>
          <t>Sep</t>
        </is>
      </c>
      <c r="C4015" s="19" t="inlineStr">
        <is>
          <t>TN</t>
        </is>
      </c>
      <c r="D4015" s="20" t="inlineStr">
        <is>
          <t>TN04AE4003</t>
        </is>
      </c>
      <c r="E4015" s="20" t="inlineStr">
        <is>
          <t>TOYOTA</t>
        </is>
      </c>
      <c r="F4015" s="20" t="inlineStr">
        <is>
          <t>Corolla Altis</t>
        </is>
      </c>
      <c r="G4015" s="21" t="n">
        <v>2010</v>
      </c>
      <c r="H4015" s="22" t="n">
        <v>248653</v>
      </c>
      <c r="I4015" s="22" t="n">
        <v>94000</v>
      </c>
      <c r="J4015" s="20" t="inlineStr">
        <is>
          <t>CARS INDIA</t>
        </is>
      </c>
      <c r="K4015" s="20" t="inlineStr">
        <is>
          <t>Non-Captive</t>
        </is>
      </c>
      <c r="L4015" s="20" t="inlineStr">
        <is>
          <t>Pine Autos</t>
        </is>
      </c>
      <c r="M4015" s="23" t="n">
        <v>4237.29</v>
      </c>
    </row>
    <row r="4016">
      <c r="A4016" s="19" t="inlineStr">
        <is>
          <t>FY27</t>
        </is>
      </c>
      <c r="B4016" s="19" t="inlineStr">
        <is>
          <t>Sep</t>
        </is>
      </c>
      <c r="C4016" s="19" t="inlineStr">
        <is>
          <t>TN</t>
        </is>
      </c>
      <c r="D4016" s="20" t="inlineStr">
        <is>
          <t>TN04AE9007</t>
        </is>
      </c>
      <c r="E4016" s="20" t="inlineStr">
        <is>
          <t>HYUNDAI</t>
        </is>
      </c>
      <c r="F4016" s="20" t="inlineStr">
        <is>
          <t>Santro</t>
        </is>
      </c>
      <c r="G4016" s="21" t="n">
        <v>2010</v>
      </c>
      <c r="H4016" s="22" t="n">
        <v>89599</v>
      </c>
      <c r="I4016" s="22" t="n">
        <v>97000</v>
      </c>
      <c r="J4016" s="20" t="inlineStr">
        <is>
          <t>AIE CARS PRIVATE LIMITED</t>
        </is>
      </c>
      <c r="K4016" s="20" t="inlineStr">
        <is>
          <t>Non-Captive</t>
        </is>
      </c>
      <c r="L4016" s="20" t="inlineStr">
        <is>
          <t>Aaa Cars</t>
        </is>
      </c>
      <c r="M4016" s="23" t="n">
        <v>4237.29</v>
      </c>
    </row>
    <row r="4017">
      <c r="A4017" s="19" t="inlineStr">
        <is>
          <t>FY27</t>
        </is>
      </c>
      <c r="B4017" s="19" t="inlineStr">
        <is>
          <t>Sep</t>
        </is>
      </c>
      <c r="C4017" s="19" t="inlineStr">
        <is>
          <t>TN</t>
        </is>
      </c>
      <c r="D4017" s="20" t="inlineStr">
        <is>
          <t>TN04AH1593</t>
        </is>
      </c>
      <c r="E4017" s="20" t="inlineStr">
        <is>
          <t>MARUTI SUZUKI</t>
        </is>
      </c>
      <c r="F4017" s="20" t="inlineStr">
        <is>
          <t>Wagon R</t>
        </is>
      </c>
      <c r="G4017" s="21" t="n">
        <v>2011</v>
      </c>
      <c r="H4017" s="22" t="n">
        <v>61065</v>
      </c>
      <c r="I4017" s="22" t="n">
        <v>117000</v>
      </c>
      <c r="J4017" s="20" t="inlineStr">
        <is>
          <t>CASTLE TRADERS MARUTI</t>
        </is>
      </c>
      <c r="K4017" s="20" t="inlineStr">
        <is>
          <t>Non-Captive</t>
        </is>
      </c>
      <c r="L4017" s="20" t="inlineStr">
        <is>
          <t>As Cars</t>
        </is>
      </c>
      <c r="M4017" s="23" t="n">
        <v>5084.75</v>
      </c>
    </row>
    <row r="4018">
      <c r="A4018" s="19" t="inlineStr">
        <is>
          <t>FY27</t>
        </is>
      </c>
      <c r="B4018" s="19" t="inlineStr">
        <is>
          <t>Sep</t>
        </is>
      </c>
      <c r="C4018" s="19" t="inlineStr">
        <is>
          <t>TN</t>
        </is>
      </c>
      <c r="D4018" s="20" t="inlineStr">
        <is>
          <t>TN04AL9064</t>
        </is>
      </c>
      <c r="E4018" s="20" t="inlineStr">
        <is>
          <t>HONDA</t>
        </is>
      </c>
      <c r="F4018" s="20" t="inlineStr">
        <is>
          <t>Brio</t>
        </is>
      </c>
      <c r="G4018" s="21" t="n">
        <v>2013</v>
      </c>
      <c r="H4018" s="22" t="n">
        <v>84659</v>
      </c>
      <c r="I4018" s="22" t="n">
        <v>94000</v>
      </c>
      <c r="J4018" s="20" t="inlineStr">
        <is>
          <t>AIE CARS PRIVATE LIMITED</t>
        </is>
      </c>
      <c r="K4018" s="20" t="inlineStr">
        <is>
          <t>Non-Captive</t>
        </is>
      </c>
      <c r="L4018" s="20" t="inlineStr">
        <is>
          <t>Pine Autos</t>
        </is>
      </c>
      <c r="M4018" s="23" t="n">
        <v>4237.29</v>
      </c>
    </row>
    <row r="4019">
      <c r="A4019" s="19" t="inlineStr">
        <is>
          <t>FY27</t>
        </is>
      </c>
      <c r="B4019" s="19" t="inlineStr">
        <is>
          <t>Sep</t>
        </is>
      </c>
      <c r="C4019" s="19" t="inlineStr">
        <is>
          <t>TN</t>
        </is>
      </c>
      <c r="D4019" s="20" t="inlineStr">
        <is>
          <t>TN04AP4305</t>
        </is>
      </c>
      <c r="E4019" s="20" t="inlineStr">
        <is>
          <t>MARUTI SUZUKI</t>
        </is>
      </c>
      <c r="F4019" s="20" t="inlineStr">
        <is>
          <t>Ertiga</t>
        </is>
      </c>
      <c r="G4019" s="21" t="n">
        <v>2014</v>
      </c>
      <c r="H4019" s="22" t="n">
        <v>182422</v>
      </c>
      <c r="I4019" s="22" t="n">
        <v>430000</v>
      </c>
      <c r="J4019" s="20" t="inlineStr">
        <is>
          <t>EXCHANGE CHENNAI</t>
        </is>
      </c>
      <c r="K4019" s="20" t="inlineStr">
        <is>
          <t>Captive</t>
        </is>
      </c>
      <c r="L4019" s="20" t="inlineStr">
        <is>
          <t>Santhosh Cars</t>
        </is>
      </c>
      <c r="M4019" s="23" t="n">
        <v>8474.58</v>
      </c>
    </row>
    <row r="4020">
      <c r="A4020" s="19" t="inlineStr">
        <is>
          <t>FY27</t>
        </is>
      </c>
      <c r="B4020" s="19" t="inlineStr">
        <is>
          <t>Sep</t>
        </is>
      </c>
      <c r="C4020" s="19" t="inlineStr">
        <is>
          <t>TN</t>
        </is>
      </c>
      <c r="D4020" s="20" t="inlineStr">
        <is>
          <t>TN04AS7020</t>
        </is>
      </c>
      <c r="E4020" s="20" t="inlineStr">
        <is>
          <t>SKODA</t>
        </is>
      </c>
      <c r="F4020" s="20" t="inlineStr">
        <is>
          <t>Octavia</t>
        </is>
      </c>
      <c r="G4020" s="21" t="n">
        <v>2016</v>
      </c>
      <c r="H4020" s="22" t="n">
        <v>101280</v>
      </c>
      <c r="I4020" s="22" t="n">
        <v>483000</v>
      </c>
      <c r="J4020" s="20" t="inlineStr">
        <is>
          <t>EXCHANGE ROTN</t>
        </is>
      </c>
      <c r="K4020" s="20" t="inlineStr">
        <is>
          <t>Captive</t>
        </is>
      </c>
      <c r="L4020" s="20" t="inlineStr">
        <is>
          <t>Ready To Ride Cars</t>
        </is>
      </c>
      <c r="M4020" s="23" t="n">
        <v>10169.49</v>
      </c>
    </row>
    <row r="4021">
      <c r="A4021" s="19" t="inlineStr">
        <is>
          <t>FY27</t>
        </is>
      </c>
      <c r="B4021" s="19" t="inlineStr">
        <is>
          <t>Sep</t>
        </is>
      </c>
      <c r="C4021" s="19" t="inlineStr">
        <is>
          <t>TN</t>
        </is>
      </c>
      <c r="D4021" s="20" t="inlineStr">
        <is>
          <t>TN05AC1429</t>
        </is>
      </c>
      <c r="E4021" s="20" t="inlineStr">
        <is>
          <t>MARUTI SUZUKI</t>
        </is>
      </c>
      <c r="F4021" s="20" t="inlineStr">
        <is>
          <t>Wagon R</t>
        </is>
      </c>
      <c r="G4021" s="21" t="n">
        <v>2009</v>
      </c>
      <c r="H4021" s="22" t="n">
        <v>83354</v>
      </c>
      <c r="I4021" s="22" t="n">
        <v>88000</v>
      </c>
      <c r="J4021" s="20" t="inlineStr">
        <is>
          <t>EXCHANGE ROTN</t>
        </is>
      </c>
      <c r="K4021" s="20" t="inlineStr">
        <is>
          <t>Captive</t>
        </is>
      </c>
      <c r="L4021" s="20" t="inlineStr">
        <is>
          <t>Sree Murugan Cars</t>
        </is>
      </c>
      <c r="M4021" s="23" t="n">
        <v>4237.29</v>
      </c>
    </row>
    <row r="4022">
      <c r="A4022" s="19" t="inlineStr">
        <is>
          <t>FY27</t>
        </is>
      </c>
      <c r="B4022" s="19" t="inlineStr">
        <is>
          <t>Sep</t>
        </is>
      </c>
      <c r="C4022" s="19" t="inlineStr">
        <is>
          <t>TN</t>
        </is>
      </c>
      <c r="D4022" s="20" t="inlineStr">
        <is>
          <t>TN05AK9969</t>
        </is>
      </c>
      <c r="E4022" s="20" t="inlineStr">
        <is>
          <t>MARUTI SUZUKI</t>
        </is>
      </c>
      <c r="F4022" s="20" t="inlineStr">
        <is>
          <t>Swift</t>
        </is>
      </c>
      <c r="G4022" s="21" t="n">
        <v>2011</v>
      </c>
      <c r="H4022" s="22" t="n">
        <v>114174</v>
      </c>
      <c r="I4022" s="22" t="n">
        <v>98000</v>
      </c>
      <c r="J4022" s="20" t="inlineStr">
        <is>
          <t>STEER AUTO TECHNOLOGIES PRIVATE LIMITED</t>
        </is>
      </c>
      <c r="K4022" s="20" t="inlineStr">
        <is>
          <t>Non-Captive</t>
        </is>
      </c>
      <c r="L4022" s="20" t="inlineStr">
        <is>
          <t>Castel Traders Honada</t>
        </is>
      </c>
      <c r="M4022" s="23" t="n">
        <v>4237.29</v>
      </c>
    </row>
    <row r="4023">
      <c r="A4023" s="19" t="inlineStr">
        <is>
          <t>FY27</t>
        </is>
      </c>
      <c r="B4023" s="19" t="inlineStr">
        <is>
          <t>Sep</t>
        </is>
      </c>
      <c r="C4023" s="19" t="inlineStr">
        <is>
          <t>TN</t>
        </is>
      </c>
      <c r="D4023" s="20" t="inlineStr">
        <is>
          <t>TN05BC4885</t>
        </is>
      </c>
      <c r="E4023" s="20" t="inlineStr">
        <is>
          <t>MARUTI SUZUKI</t>
        </is>
      </c>
      <c r="F4023" s="20" t="inlineStr">
        <is>
          <t>Alto K10</t>
        </is>
      </c>
      <c r="G4023" s="21" t="n">
        <v>2015</v>
      </c>
      <c r="H4023" s="22" t="n">
        <v>57919</v>
      </c>
      <c r="I4023" s="22" t="n">
        <v>233000</v>
      </c>
      <c r="J4023" s="20" t="inlineStr">
        <is>
          <t>CASTLE TRADERS MARUTI</t>
        </is>
      </c>
      <c r="K4023" s="20" t="inlineStr">
        <is>
          <t>Non-Captive</t>
        </is>
      </c>
      <c r="L4023" s="20" t="inlineStr">
        <is>
          <t>Kamal Cars</t>
        </is>
      </c>
      <c r="M4023" s="23" t="n">
        <v>6356.24</v>
      </c>
    </row>
    <row r="4024">
      <c r="A4024" s="19" t="inlineStr">
        <is>
          <t>FY27</t>
        </is>
      </c>
      <c r="B4024" s="19" t="inlineStr">
        <is>
          <t>Sep</t>
        </is>
      </c>
      <c r="C4024" s="19" t="inlineStr">
        <is>
          <t>TN</t>
        </is>
      </c>
      <c r="D4024" s="20" t="inlineStr">
        <is>
          <t>TN05BC9699</t>
        </is>
      </c>
      <c r="E4024" s="20" t="inlineStr">
        <is>
          <t>MARUTI SUZUKI</t>
        </is>
      </c>
      <c r="F4024" s="20" t="inlineStr">
        <is>
          <t>Alto 800</t>
        </is>
      </c>
      <c r="G4024" s="21" t="n">
        <v>2015</v>
      </c>
      <c r="H4024" s="22" t="n">
        <v>45061</v>
      </c>
      <c r="I4024" s="22" t="n">
        <v>89000</v>
      </c>
      <c r="J4024" s="20" t="inlineStr">
        <is>
          <t>PRODUCTIVITY ELEMENTS PRIVATE LIMITED</t>
        </is>
      </c>
      <c r="K4024" s="20" t="inlineStr">
        <is>
          <t>Non-Captive</t>
        </is>
      </c>
      <c r="L4024" s="20" t="inlineStr">
        <is>
          <t>Castel Traders Honada</t>
        </is>
      </c>
      <c r="M4024" s="23" t="n">
        <v>4237.29</v>
      </c>
    </row>
    <row r="4025">
      <c r="A4025" s="19" t="inlineStr">
        <is>
          <t>FY27</t>
        </is>
      </c>
      <c r="B4025" s="19" t="inlineStr">
        <is>
          <t>Sep</t>
        </is>
      </c>
      <c r="C4025" s="19" t="inlineStr">
        <is>
          <t>TN</t>
        </is>
      </c>
      <c r="D4025" s="20" t="inlineStr">
        <is>
          <t>TN05BE6135</t>
        </is>
      </c>
      <c r="E4025" s="20" t="inlineStr">
        <is>
          <t>MARUTI SUZUKI</t>
        </is>
      </c>
      <c r="F4025" s="20" t="inlineStr">
        <is>
          <t>Ritz</t>
        </is>
      </c>
      <c r="G4025" s="21" t="n">
        <v>2016</v>
      </c>
      <c r="H4025" s="22" t="n">
        <v>130173</v>
      </c>
      <c r="I4025" s="22" t="n">
        <v>80000</v>
      </c>
      <c r="J4025" s="20" t="inlineStr">
        <is>
          <t>EXCHANGE ROTN</t>
        </is>
      </c>
      <c r="K4025" s="20" t="inlineStr">
        <is>
          <t>Captive</t>
        </is>
      </c>
      <c r="L4025" s="20" t="inlineStr">
        <is>
          <t>Sai Cars</t>
        </is>
      </c>
      <c r="M4025" s="23" t="n">
        <v>4237.29</v>
      </c>
    </row>
    <row r="4026">
      <c r="A4026" s="19" t="inlineStr">
        <is>
          <t>FY27</t>
        </is>
      </c>
      <c r="B4026" s="19" t="inlineStr">
        <is>
          <t>Sep</t>
        </is>
      </c>
      <c r="C4026" s="19" t="inlineStr">
        <is>
          <t>TN</t>
        </is>
      </c>
      <c r="D4026" s="20" t="inlineStr">
        <is>
          <t>TN05BU4577</t>
        </is>
      </c>
      <c r="E4026" s="20" t="inlineStr">
        <is>
          <t>HONDA</t>
        </is>
      </c>
      <c r="F4026" s="20" t="inlineStr">
        <is>
          <t>Amaze</t>
        </is>
      </c>
      <c r="G4026" s="21" t="n">
        <v>2018</v>
      </c>
      <c r="H4026" s="22" t="n">
        <v>54201</v>
      </c>
      <c r="I4026" s="22" t="n">
        <v>197000</v>
      </c>
      <c r="J4026" s="20" t="inlineStr">
        <is>
          <t>CASTLE TRADERS HONDA</t>
        </is>
      </c>
      <c r="K4026" s="20" t="inlineStr">
        <is>
          <t>Non-Captive</t>
        </is>
      </c>
      <c r="L4026" s="20" t="inlineStr">
        <is>
          <t>Maruthi Industries</t>
        </is>
      </c>
      <c r="M4026" s="23" t="n">
        <v>5084.75</v>
      </c>
    </row>
    <row r="4027">
      <c r="A4027" s="19" t="inlineStr">
        <is>
          <t>FY27</t>
        </is>
      </c>
      <c r="B4027" s="19" t="inlineStr">
        <is>
          <t>Sep</t>
        </is>
      </c>
      <c r="C4027" s="19" t="inlineStr">
        <is>
          <t>TN</t>
        </is>
      </c>
      <c r="D4027" s="20" t="inlineStr">
        <is>
          <t>TN05CB8118</t>
        </is>
      </c>
      <c r="E4027" s="20" t="inlineStr">
        <is>
          <t>HYUNDAI</t>
        </is>
      </c>
      <c r="F4027" s="20" t="inlineStr">
        <is>
          <t>Grand i10</t>
        </is>
      </c>
      <c r="G4027" s="21" t="n">
        <v>2016</v>
      </c>
      <c r="H4027" s="22" t="n">
        <v>98431</v>
      </c>
      <c r="I4027" s="22" t="n">
        <v>97000</v>
      </c>
      <c r="J4027" s="20" t="inlineStr">
        <is>
          <t>PEEYESYEM HK MOTORS LLP</t>
        </is>
      </c>
      <c r="K4027" s="20" t="inlineStr">
        <is>
          <t>Non-Captive</t>
        </is>
      </c>
      <c r="L4027" s="20" t="inlineStr">
        <is>
          <t>Anishcars</t>
        </is>
      </c>
      <c r="M4027" s="23" t="n">
        <v>4237.29</v>
      </c>
    </row>
    <row r="4028">
      <c r="A4028" s="19" t="inlineStr">
        <is>
          <t>FY27</t>
        </is>
      </c>
      <c r="B4028" s="19" t="inlineStr">
        <is>
          <t>Sep</t>
        </is>
      </c>
      <c r="C4028" s="19" t="inlineStr">
        <is>
          <t>TN</t>
        </is>
      </c>
      <c r="D4028" s="20" t="inlineStr">
        <is>
          <t>TN05CE2961</t>
        </is>
      </c>
      <c r="E4028" s="20" t="inlineStr">
        <is>
          <t>MARUTI SUZUKI</t>
        </is>
      </c>
      <c r="F4028" s="20" t="inlineStr">
        <is>
          <t>Eeco</t>
        </is>
      </c>
      <c r="G4028" s="21" t="n">
        <v>2021</v>
      </c>
      <c r="H4028" s="22" t="n">
        <v>62025</v>
      </c>
      <c r="I4028" s="22" t="n">
        <v>364500</v>
      </c>
      <c r="J4028" s="20" t="inlineStr">
        <is>
          <t>CASTLE TRADERS MARUTI</t>
        </is>
      </c>
      <c r="K4028" s="20" t="inlineStr">
        <is>
          <t>Non-Captive</t>
        </is>
      </c>
      <c r="L4028" s="20" t="inlineStr">
        <is>
          <t>Emerald Cars</t>
        </is>
      </c>
      <c r="M4028" s="23" t="n">
        <v>6355.93</v>
      </c>
    </row>
    <row r="4029">
      <c r="A4029" s="19" t="inlineStr">
        <is>
          <t>FY27</t>
        </is>
      </c>
      <c r="B4029" s="19" t="inlineStr">
        <is>
          <t>Sep</t>
        </is>
      </c>
      <c r="C4029" s="19" t="inlineStr">
        <is>
          <t>TN</t>
        </is>
      </c>
      <c r="D4029" s="20" t="inlineStr">
        <is>
          <t>TN05F3945</t>
        </is>
      </c>
      <c r="E4029" s="20" t="inlineStr">
        <is>
          <t>MARUTI SUZUKI</t>
        </is>
      </c>
      <c r="F4029" s="20" t="inlineStr">
        <is>
          <t>800</t>
        </is>
      </c>
      <c r="G4029" s="21" t="n">
        <v>2002</v>
      </c>
      <c r="H4029" s="22" t="n">
        <v>7554</v>
      </c>
      <c r="I4029" s="22" t="n">
        <v>41000</v>
      </c>
      <c r="J4029" s="20" t="inlineStr">
        <is>
          <t>EXCHANGE ROTN</t>
        </is>
      </c>
      <c r="K4029" s="20" t="inlineStr">
        <is>
          <t>Captive</t>
        </is>
      </c>
      <c r="L4029" s="20" t="inlineStr">
        <is>
          <t>Deeraa Cars</t>
        </is>
      </c>
      <c r="M4029" s="23" t="n">
        <v>4237.29</v>
      </c>
    </row>
    <row r="4030">
      <c r="A4030" s="19" t="inlineStr">
        <is>
          <t>FY27</t>
        </is>
      </c>
      <c r="B4030" s="19" t="inlineStr">
        <is>
          <t>Sep</t>
        </is>
      </c>
      <c r="C4030" s="19" t="inlineStr">
        <is>
          <t>TN</t>
        </is>
      </c>
      <c r="D4030" s="20" t="inlineStr">
        <is>
          <t>TN05M4734</t>
        </is>
      </c>
      <c r="E4030" s="20" t="inlineStr">
        <is>
          <t>MARUTI SUZUKI</t>
        </is>
      </c>
      <c r="F4030" s="20" t="inlineStr">
        <is>
          <t>Zen</t>
        </is>
      </c>
      <c r="G4030" s="21" t="n">
        <v>2004</v>
      </c>
      <c r="H4030" s="22" t="n">
        <v>155869</v>
      </c>
      <c r="I4030" s="22" t="n">
        <v>99000</v>
      </c>
      <c r="J4030" s="20" t="inlineStr">
        <is>
          <t>CRESCO CARS</t>
        </is>
      </c>
      <c r="K4030" s="20" t="inlineStr">
        <is>
          <t>Non-Captive</t>
        </is>
      </c>
      <c r="L4030" s="20" t="inlineStr">
        <is>
          <t>Value Drive Tech</t>
        </is>
      </c>
      <c r="M4030" s="23" t="n">
        <v>4237.29</v>
      </c>
    </row>
    <row r="4031">
      <c r="A4031" s="19" t="inlineStr">
        <is>
          <t>FY27</t>
        </is>
      </c>
      <c r="B4031" s="19" t="inlineStr">
        <is>
          <t>Sep</t>
        </is>
      </c>
      <c r="C4031" s="19" t="inlineStr">
        <is>
          <t>TN</t>
        </is>
      </c>
      <c r="D4031" s="20" t="inlineStr">
        <is>
          <t>TN05P5657</t>
        </is>
      </c>
      <c r="E4031" s="20" t="inlineStr">
        <is>
          <t>HONDA</t>
        </is>
      </c>
      <c r="F4031" s="20" t="inlineStr">
        <is>
          <t>City</t>
        </is>
      </c>
      <c r="G4031" s="21" t="n">
        <v>2005</v>
      </c>
      <c r="H4031" s="22" t="n">
        <v>147545</v>
      </c>
      <c r="I4031" s="22" t="n">
        <v>98000</v>
      </c>
      <c r="J4031" s="20" t="inlineStr">
        <is>
          <t>AIE CARS PRIVATE LIMITED</t>
        </is>
      </c>
      <c r="K4031" s="20" t="inlineStr">
        <is>
          <t>Non-Captive</t>
        </is>
      </c>
      <c r="L4031" s="20" t="inlineStr">
        <is>
          <t>Santhosh Cars</t>
        </is>
      </c>
      <c r="M4031" s="23" t="n">
        <v>4237.29</v>
      </c>
    </row>
    <row r="4032">
      <c r="A4032" s="19" t="inlineStr">
        <is>
          <t>FY27</t>
        </is>
      </c>
      <c r="B4032" s="19" t="inlineStr">
        <is>
          <t>Sep</t>
        </is>
      </c>
      <c r="C4032" s="19" t="inlineStr">
        <is>
          <t>TN</t>
        </is>
      </c>
      <c r="D4032" s="20" t="inlineStr">
        <is>
          <t>TN05Z1661</t>
        </is>
      </c>
      <c r="E4032" s="20" t="inlineStr">
        <is>
          <t>HONDA</t>
        </is>
      </c>
      <c r="F4032" s="20" t="inlineStr">
        <is>
          <t>City</t>
        </is>
      </c>
      <c r="G4032" s="21" t="n">
        <v>2008</v>
      </c>
      <c r="H4032" s="22" t="n">
        <v>98749</v>
      </c>
      <c r="I4032" s="22" t="n">
        <v>90000</v>
      </c>
      <c r="J4032" s="20" t="inlineStr">
        <is>
          <t>EXCHANGE ROTN</t>
        </is>
      </c>
      <c r="K4032" s="20" t="inlineStr">
        <is>
          <t>Captive</t>
        </is>
      </c>
      <c r="L4032" s="20" t="inlineStr">
        <is>
          <t>Gokul Cars</t>
        </is>
      </c>
      <c r="M4032" s="23" t="n">
        <v>4237.29</v>
      </c>
    </row>
    <row r="4033">
      <c r="A4033" s="19" t="inlineStr">
        <is>
          <t>FY27</t>
        </is>
      </c>
      <c r="B4033" s="19" t="inlineStr">
        <is>
          <t>Sep</t>
        </is>
      </c>
      <c r="C4033" s="19" t="inlineStr">
        <is>
          <t>TN</t>
        </is>
      </c>
      <c r="D4033" s="20" t="inlineStr">
        <is>
          <t>TN06B7152</t>
        </is>
      </c>
      <c r="E4033" s="20" t="inlineStr">
        <is>
          <t>VOLKSWAGEN</t>
        </is>
      </c>
      <c r="F4033" s="20" t="inlineStr">
        <is>
          <t>Polo</t>
        </is>
      </c>
      <c r="G4033" s="21" t="n">
        <v>2010</v>
      </c>
      <c r="H4033" s="22" t="n">
        <v>87977</v>
      </c>
      <c r="I4033" s="22" t="n">
        <v>50000</v>
      </c>
      <c r="J4033" s="20" t="inlineStr">
        <is>
          <t>EXCHANGE ROTN</t>
        </is>
      </c>
      <c r="K4033" s="20" t="inlineStr">
        <is>
          <t>Captive</t>
        </is>
      </c>
      <c r="L4033" s="20" t="inlineStr">
        <is>
          <t>Sri Raja Kanapathy Cars</t>
        </is>
      </c>
      <c r="M4033" s="23" t="n">
        <v>4237.29</v>
      </c>
    </row>
    <row r="4034">
      <c r="A4034" s="19" t="inlineStr">
        <is>
          <t>FY27</t>
        </is>
      </c>
      <c r="B4034" s="19" t="inlineStr">
        <is>
          <t>Sep</t>
        </is>
      </c>
      <c r="C4034" s="19" t="inlineStr">
        <is>
          <t>TN</t>
        </is>
      </c>
      <c r="D4034" s="20" t="inlineStr">
        <is>
          <t>TN06D9887</t>
        </is>
      </c>
      <c r="E4034" s="20" t="inlineStr">
        <is>
          <t>CHEVROLET</t>
        </is>
      </c>
      <c r="F4034" s="20" t="inlineStr">
        <is>
          <t>Spark</t>
        </is>
      </c>
      <c r="G4034" s="21" t="n">
        <v>2011</v>
      </c>
      <c r="H4034" s="22" t="n">
        <v>69451</v>
      </c>
      <c r="I4034" s="22" t="n">
        <v>87000</v>
      </c>
      <c r="J4034" s="20" t="inlineStr">
        <is>
          <t>STEER AUTO TECHNOLOGIES PRIVATE LIMITED</t>
        </is>
      </c>
      <c r="K4034" s="20" t="inlineStr">
        <is>
          <t>Non-Captive</t>
        </is>
      </c>
      <c r="L4034" s="20" t="inlineStr">
        <is>
          <t>Srijja Travels</t>
        </is>
      </c>
      <c r="M4034" s="23" t="n">
        <v>4237.29</v>
      </c>
    </row>
    <row r="4035">
      <c r="A4035" s="19" t="inlineStr">
        <is>
          <t>FY27</t>
        </is>
      </c>
      <c r="B4035" s="19" t="inlineStr">
        <is>
          <t>Sep</t>
        </is>
      </c>
      <c r="C4035" s="19" t="inlineStr">
        <is>
          <t>TN</t>
        </is>
      </c>
      <c r="D4035" s="20" t="inlineStr">
        <is>
          <t>TN06E6715</t>
        </is>
      </c>
      <c r="E4035" s="20" t="inlineStr">
        <is>
          <t>HYUNDAI</t>
        </is>
      </c>
      <c r="F4035" s="20" t="inlineStr">
        <is>
          <t>i10</t>
        </is>
      </c>
      <c r="G4035" s="21" t="n">
        <v>2011</v>
      </c>
      <c r="H4035" s="22" t="n">
        <v>65747</v>
      </c>
      <c r="I4035" s="22" t="n">
        <v>95000</v>
      </c>
      <c r="J4035" s="20" t="inlineStr">
        <is>
          <t>PEEYESYEM HK MOTORS LLP</t>
        </is>
      </c>
      <c r="K4035" s="20" t="inlineStr">
        <is>
          <t>Non-Captive</t>
        </is>
      </c>
      <c r="L4035" s="20" t="inlineStr">
        <is>
          <t>Cars24</t>
        </is>
      </c>
      <c r="M4035" s="23" t="n">
        <v>4237.29</v>
      </c>
    </row>
    <row r="4036">
      <c r="A4036" s="19" t="inlineStr">
        <is>
          <t>FY27</t>
        </is>
      </c>
      <c r="B4036" s="19" t="inlineStr">
        <is>
          <t>Sep</t>
        </is>
      </c>
      <c r="C4036" s="19" t="inlineStr">
        <is>
          <t>TN</t>
        </is>
      </c>
      <c r="D4036" s="20" t="inlineStr">
        <is>
          <t>TN06F2400</t>
        </is>
      </c>
      <c r="E4036" s="20" t="inlineStr">
        <is>
          <t>CHEVROLET</t>
        </is>
      </c>
      <c r="F4036" s="20" t="inlineStr">
        <is>
          <t>Beat</t>
        </is>
      </c>
      <c r="G4036" s="21" t="n">
        <v>2012</v>
      </c>
      <c r="H4036" s="22" t="n">
        <v>77169</v>
      </c>
      <c r="I4036" s="22" t="n">
        <v>89000</v>
      </c>
      <c r="J4036" s="20" t="inlineStr">
        <is>
          <t>PRODUCTIVITY ELEMENTS PRIVATE LIMITED</t>
        </is>
      </c>
      <c r="K4036" s="20" t="inlineStr">
        <is>
          <t>Non-Captive</t>
        </is>
      </c>
      <c r="L4036" s="20" t="inlineStr">
        <is>
          <t>Cars24</t>
        </is>
      </c>
      <c r="M4036" s="23" t="n">
        <v>4237.29</v>
      </c>
    </row>
    <row r="4037">
      <c r="A4037" s="19" t="inlineStr">
        <is>
          <t>FY27</t>
        </is>
      </c>
      <c r="B4037" s="19" t="inlineStr">
        <is>
          <t>Sep</t>
        </is>
      </c>
      <c r="C4037" s="19" t="inlineStr">
        <is>
          <t>TN</t>
        </is>
      </c>
      <c r="D4037" s="20" t="inlineStr">
        <is>
          <t>TN06J0438</t>
        </is>
      </c>
      <c r="E4037" s="20" t="inlineStr">
        <is>
          <t>MARUTI SUZUKI</t>
        </is>
      </c>
      <c r="F4037" s="20" t="inlineStr">
        <is>
          <t>Eeco</t>
        </is>
      </c>
      <c r="G4037" s="21" t="n">
        <v>2012</v>
      </c>
      <c r="H4037" s="22" t="n">
        <v>202876</v>
      </c>
      <c r="I4037" s="22" t="n">
        <v>89000</v>
      </c>
      <c r="J4037" s="20" t="inlineStr">
        <is>
          <t>LANSON QCARS PRIVATE LIMITED</t>
        </is>
      </c>
      <c r="K4037" s="20" t="inlineStr">
        <is>
          <t>Non-Captive</t>
        </is>
      </c>
      <c r="L4037" s="20" t="inlineStr">
        <is>
          <t>Balaji Cars</t>
        </is>
      </c>
      <c r="M4037" s="23" t="n">
        <v>4237.29</v>
      </c>
    </row>
    <row r="4038">
      <c r="A4038" s="19" t="inlineStr">
        <is>
          <t>FY27</t>
        </is>
      </c>
      <c r="B4038" s="19" t="inlineStr">
        <is>
          <t>Sep</t>
        </is>
      </c>
      <c r="C4038" s="19" t="inlineStr">
        <is>
          <t>TN</t>
        </is>
      </c>
      <c r="D4038" s="20" t="inlineStr">
        <is>
          <t>TN06J4883</t>
        </is>
      </c>
      <c r="E4038" s="20" t="inlineStr">
        <is>
          <t>TOYOTA</t>
        </is>
      </c>
      <c r="F4038" s="20" t="inlineStr">
        <is>
          <t>Etios Liva</t>
        </is>
      </c>
      <c r="G4038" s="21" t="n">
        <v>2013</v>
      </c>
      <c r="H4038" s="22" t="n">
        <v>50661</v>
      </c>
      <c r="I4038" s="22" t="n">
        <v>282500</v>
      </c>
      <c r="J4038" s="20" t="inlineStr">
        <is>
          <t>CASTLE TRADERS MARUTI</t>
        </is>
      </c>
      <c r="K4038" s="20" t="inlineStr">
        <is>
          <t>Non-Captive</t>
        </is>
      </c>
      <c r="L4038" s="20" t="inlineStr">
        <is>
          <t>Aaa Cars</t>
        </is>
      </c>
      <c r="M4038" s="23" t="n">
        <v>6355.93</v>
      </c>
    </row>
    <row r="4039">
      <c r="A4039" s="19" t="inlineStr">
        <is>
          <t>FY27</t>
        </is>
      </c>
      <c r="B4039" s="19" t="inlineStr">
        <is>
          <t>Sep</t>
        </is>
      </c>
      <c r="C4039" s="19" t="inlineStr">
        <is>
          <t>TN</t>
        </is>
      </c>
      <c r="D4039" s="20" t="inlineStr">
        <is>
          <t>TN06L0261</t>
        </is>
      </c>
      <c r="E4039" s="20" t="inlineStr">
        <is>
          <t>HONDA</t>
        </is>
      </c>
      <c r="F4039" s="20" t="inlineStr">
        <is>
          <t>Amaze</t>
        </is>
      </c>
      <c r="G4039" s="21" t="n">
        <v>2014</v>
      </c>
      <c r="H4039" s="22" t="n">
        <v>71770</v>
      </c>
      <c r="I4039" s="22" t="n">
        <v>100000</v>
      </c>
      <c r="J4039" s="20" t="inlineStr">
        <is>
          <t>VISHNU CARS PRIVATE LIMITED</t>
        </is>
      </c>
      <c r="K4039" s="20" t="inlineStr">
        <is>
          <t>Non-Captive</t>
        </is>
      </c>
      <c r="L4039" s="20" t="inlineStr">
        <is>
          <t>Emarald Cars</t>
        </is>
      </c>
      <c r="M4039" s="23" t="n">
        <v>2542.37</v>
      </c>
    </row>
    <row r="4040">
      <c r="A4040" s="19" t="inlineStr">
        <is>
          <t>FY27</t>
        </is>
      </c>
      <c r="B4040" s="19" t="inlineStr">
        <is>
          <t>Sep</t>
        </is>
      </c>
      <c r="C4040" s="19" t="inlineStr">
        <is>
          <t>TN</t>
        </is>
      </c>
      <c r="D4040" s="20" t="inlineStr">
        <is>
          <t>TN06L4188</t>
        </is>
      </c>
      <c r="E4040" s="20" t="inlineStr">
        <is>
          <t>HONDA</t>
        </is>
      </c>
      <c r="F4040" s="20" t="inlineStr">
        <is>
          <t>Amaze</t>
        </is>
      </c>
      <c r="G4040" s="21" t="n">
        <v>2014</v>
      </c>
      <c r="H4040" s="22" t="n">
        <v>103950</v>
      </c>
      <c r="I4040" s="22" t="n">
        <v>93000</v>
      </c>
      <c r="J4040" s="20" t="inlineStr">
        <is>
          <t>AIE CARS PRIVATE LIMITED</t>
        </is>
      </c>
      <c r="K4040" s="20" t="inlineStr">
        <is>
          <t>Non-Captive</t>
        </is>
      </c>
      <c r="L4040" s="20" t="inlineStr">
        <is>
          <t>Pine Autos</t>
        </is>
      </c>
      <c r="M4040" s="23" t="n">
        <v>4237.29</v>
      </c>
    </row>
    <row r="4041">
      <c r="A4041" s="19" t="inlineStr">
        <is>
          <t>FY27</t>
        </is>
      </c>
      <c r="B4041" s="19" t="inlineStr">
        <is>
          <t>Sep</t>
        </is>
      </c>
      <c r="C4041" s="19" t="inlineStr">
        <is>
          <t>TN</t>
        </is>
      </c>
      <c r="D4041" s="20" t="inlineStr">
        <is>
          <t>TN06R7641</t>
        </is>
      </c>
      <c r="E4041" s="20" t="inlineStr">
        <is>
          <t>MARUTI SUZUKI</t>
        </is>
      </c>
      <c r="F4041" s="20" t="inlineStr">
        <is>
          <t>Alto</t>
        </is>
      </c>
      <c r="G4041" s="21" t="n"/>
      <c r="H4041" s="22" t="n"/>
      <c r="I4041" s="22" t="n">
        <v>165000</v>
      </c>
      <c r="J4041" s="20" t="inlineStr">
        <is>
          <t>EXCHANGE CHENNAI</t>
        </is>
      </c>
      <c r="K4041" s="20" t="inlineStr">
        <is>
          <t>Captive</t>
        </is>
      </c>
      <c r="L4041" s="20" t="inlineStr">
        <is>
          <t>Santhosh Cars</t>
        </is>
      </c>
      <c r="M4041" s="23" t="n">
        <v>4237.29</v>
      </c>
    </row>
    <row r="4042">
      <c r="A4042" s="19" t="inlineStr">
        <is>
          <t>FY27</t>
        </is>
      </c>
      <c r="B4042" s="19" t="inlineStr">
        <is>
          <t>Sep</t>
        </is>
      </c>
      <c r="C4042" s="19" t="inlineStr">
        <is>
          <t>TN</t>
        </is>
      </c>
      <c r="D4042" s="20" t="inlineStr">
        <is>
          <t>TN06S5376</t>
        </is>
      </c>
      <c r="E4042" s="20" t="inlineStr">
        <is>
          <t>HYUNDAI</t>
        </is>
      </c>
      <c r="F4042" s="20" t="inlineStr">
        <is>
          <t>i10</t>
        </is>
      </c>
      <c r="G4042" s="21" t="n">
        <v>2016</v>
      </c>
      <c r="H4042" s="22" t="n">
        <v>54063</v>
      </c>
      <c r="I4042" s="22" t="n">
        <v>93000</v>
      </c>
      <c r="J4042" s="20" t="inlineStr">
        <is>
          <t>EXCHANGE ROTN</t>
        </is>
      </c>
      <c r="K4042" s="20" t="inlineStr">
        <is>
          <t>Captive</t>
        </is>
      </c>
      <c r="L4042" s="20" t="inlineStr">
        <is>
          <t>Ready To Ride Cars</t>
        </is>
      </c>
      <c r="M4042" s="23" t="n">
        <v>4237.29</v>
      </c>
    </row>
    <row r="4043">
      <c r="A4043" s="19" t="inlineStr">
        <is>
          <t>FY27</t>
        </is>
      </c>
      <c r="B4043" s="19" t="inlineStr">
        <is>
          <t>Sep</t>
        </is>
      </c>
      <c r="C4043" s="19" t="inlineStr">
        <is>
          <t>TN</t>
        </is>
      </c>
      <c r="D4043" s="20" t="inlineStr">
        <is>
          <t>TN06T8011</t>
        </is>
      </c>
      <c r="E4043" s="20" t="inlineStr">
        <is>
          <t>HONDA</t>
        </is>
      </c>
      <c r="F4043" s="20" t="inlineStr">
        <is>
          <t>WR-V</t>
        </is>
      </c>
      <c r="G4043" s="21" t="n"/>
      <c r="H4043" s="22" t="n"/>
      <c r="I4043" s="22" t="n">
        <v>405000</v>
      </c>
      <c r="J4043" s="20" t="inlineStr">
        <is>
          <t>EXCHANGE CHENNAI</t>
        </is>
      </c>
      <c r="K4043" s="20" t="inlineStr">
        <is>
          <t>Captive</t>
        </is>
      </c>
      <c r="L4043" s="20" t="inlineStr">
        <is>
          <t>Santhosh Cars</t>
        </is>
      </c>
      <c r="M4043" s="23" t="n">
        <v>8474.58</v>
      </c>
    </row>
    <row r="4044">
      <c r="A4044" s="19" t="inlineStr">
        <is>
          <t>FY27</t>
        </is>
      </c>
      <c r="B4044" s="19" t="inlineStr">
        <is>
          <t>Sep</t>
        </is>
      </c>
      <c r="C4044" s="19" t="inlineStr">
        <is>
          <t>TN</t>
        </is>
      </c>
      <c r="D4044" s="20" t="inlineStr">
        <is>
          <t>TN06U5595</t>
        </is>
      </c>
      <c r="E4044" s="20" t="inlineStr">
        <is>
          <t>HYUNDAI</t>
        </is>
      </c>
      <c r="F4044" s="20" t="inlineStr">
        <is>
          <t>Eon</t>
        </is>
      </c>
      <c r="G4044" s="21" t="n">
        <v>2017</v>
      </c>
      <c r="H4044" s="22" t="n">
        <v>38883</v>
      </c>
      <c r="I4044" s="22" t="n">
        <v>99000</v>
      </c>
      <c r="J4044" s="20" t="inlineStr">
        <is>
          <t>LANSON QCARS PRIVATE LIMITED</t>
        </is>
      </c>
      <c r="K4044" s="20" t="inlineStr">
        <is>
          <t>Non-Captive</t>
        </is>
      </c>
      <c r="L4044" s="20" t="inlineStr">
        <is>
          <t>Value Drive Tech</t>
        </is>
      </c>
      <c r="M4044" s="23" t="n">
        <v>4237.29</v>
      </c>
    </row>
    <row r="4045">
      <c r="A4045" s="19" t="inlineStr">
        <is>
          <t>FY27</t>
        </is>
      </c>
      <c r="B4045" s="19" t="inlineStr">
        <is>
          <t>Sep</t>
        </is>
      </c>
      <c r="C4045" s="19" t="inlineStr">
        <is>
          <t>TN</t>
        </is>
      </c>
      <c r="D4045" s="20" t="inlineStr">
        <is>
          <t>TN06V6409</t>
        </is>
      </c>
      <c r="E4045" s="20" t="inlineStr">
        <is>
          <t>MARUTI SUZUKI</t>
        </is>
      </c>
      <c r="F4045" s="20" t="inlineStr">
        <is>
          <t>Baleno</t>
        </is>
      </c>
      <c r="G4045" s="21" t="n">
        <v>2018</v>
      </c>
      <c r="H4045" s="22" t="n">
        <v>63164</v>
      </c>
      <c r="I4045" s="22" t="n">
        <v>415000</v>
      </c>
      <c r="J4045" s="20" t="inlineStr">
        <is>
          <t>CASTLE TRADERS MARUTI</t>
        </is>
      </c>
      <c r="K4045" s="20" t="inlineStr">
        <is>
          <t>Non-Captive</t>
        </is>
      </c>
      <c r="L4045" s="20" t="inlineStr">
        <is>
          <t>Aaa Cars</t>
        </is>
      </c>
      <c r="M4045" s="23" t="n">
        <v>7627.12</v>
      </c>
    </row>
    <row r="4046">
      <c r="A4046" s="19" t="inlineStr">
        <is>
          <t>FY27</t>
        </is>
      </c>
      <c r="B4046" s="19" t="inlineStr">
        <is>
          <t>Sep</t>
        </is>
      </c>
      <c r="C4046" s="19" t="inlineStr">
        <is>
          <t>TN</t>
        </is>
      </c>
      <c r="D4046" s="20" t="inlineStr">
        <is>
          <t>TN06X7762</t>
        </is>
      </c>
      <c r="E4046" s="20" t="inlineStr">
        <is>
          <t>HONDA</t>
        </is>
      </c>
      <c r="F4046" s="20" t="inlineStr">
        <is>
          <t>Civic</t>
        </is>
      </c>
      <c r="G4046" s="21" t="n">
        <v>2019</v>
      </c>
      <c r="H4046" s="22" t="n">
        <v>86543</v>
      </c>
      <c r="I4046" s="22" t="n">
        <v>700000</v>
      </c>
      <c r="J4046" s="20" t="inlineStr">
        <is>
          <t>EXCHANGE CHENNAI</t>
        </is>
      </c>
      <c r="K4046" s="20" t="inlineStr">
        <is>
          <t>Captive</t>
        </is>
      </c>
      <c r="L4046" s="20" t="inlineStr"/>
      <c r="M4046" s="23" t="n">
        <v>8474.58</v>
      </c>
    </row>
    <row r="4047">
      <c r="A4047" s="19" t="inlineStr">
        <is>
          <t>FY27</t>
        </is>
      </c>
      <c r="B4047" s="19" t="inlineStr">
        <is>
          <t>Sep</t>
        </is>
      </c>
      <c r="C4047" s="19" t="inlineStr">
        <is>
          <t>TN</t>
        </is>
      </c>
      <c r="D4047" s="20" t="inlineStr">
        <is>
          <t>TN07AM9961</t>
        </is>
      </c>
      <c r="E4047" s="20" t="inlineStr">
        <is>
          <t>HONDA</t>
        </is>
      </c>
      <c r="F4047" s="20" t="inlineStr">
        <is>
          <t>City</t>
        </is>
      </c>
      <c r="G4047" s="21" t="n">
        <v>2007</v>
      </c>
      <c r="H4047" s="22" t="n">
        <v>127173</v>
      </c>
      <c r="I4047" s="22" t="n">
        <v>60000</v>
      </c>
      <c r="J4047" s="20" t="inlineStr">
        <is>
          <t>EXCHANGE ROTN</t>
        </is>
      </c>
      <c r="K4047" s="20" t="inlineStr">
        <is>
          <t>Captive</t>
        </is>
      </c>
      <c r="L4047" s="20" t="inlineStr">
        <is>
          <t>Sivashankar Cars</t>
        </is>
      </c>
      <c r="M4047" s="23" t="n">
        <v>4237.29</v>
      </c>
    </row>
    <row r="4048">
      <c r="A4048" s="19" t="inlineStr">
        <is>
          <t>FY27</t>
        </is>
      </c>
      <c r="B4048" s="19" t="inlineStr">
        <is>
          <t>Sep</t>
        </is>
      </c>
      <c r="C4048" s="19" t="inlineStr">
        <is>
          <t>TN</t>
        </is>
      </c>
      <c r="D4048" s="20" t="inlineStr">
        <is>
          <t>TN07AQ2973</t>
        </is>
      </c>
      <c r="E4048" s="20" t="inlineStr">
        <is>
          <t>FIAT</t>
        </is>
      </c>
      <c r="F4048" s="20" t="inlineStr">
        <is>
          <t>Palio Stile</t>
        </is>
      </c>
      <c r="G4048" s="21" t="n">
        <v>2007</v>
      </c>
      <c r="H4048" s="22" t="n">
        <v>72793</v>
      </c>
      <c r="I4048" s="22" t="n">
        <v>30000</v>
      </c>
      <c r="J4048" s="20" t="inlineStr">
        <is>
          <t>EXCHANGE ROTN</t>
        </is>
      </c>
      <c r="K4048" s="20" t="inlineStr">
        <is>
          <t>Captive</t>
        </is>
      </c>
      <c r="L4048" s="20" t="inlineStr">
        <is>
          <t>Mr.Cars</t>
        </is>
      </c>
      <c r="M4048" s="23" t="n">
        <v>4237.29</v>
      </c>
    </row>
    <row r="4049">
      <c r="A4049" s="19" t="inlineStr">
        <is>
          <t>FY27</t>
        </is>
      </c>
      <c r="B4049" s="19" t="inlineStr">
        <is>
          <t>Sep</t>
        </is>
      </c>
      <c r="C4049" s="19" t="inlineStr">
        <is>
          <t>TN</t>
        </is>
      </c>
      <c r="D4049" s="20" t="inlineStr">
        <is>
          <t>TN07BB3720</t>
        </is>
      </c>
      <c r="E4049" s="20" t="inlineStr">
        <is>
          <t>FORD</t>
        </is>
      </c>
      <c r="F4049" s="20" t="inlineStr">
        <is>
          <t>Fiesta</t>
        </is>
      </c>
      <c r="G4049" s="21" t="n">
        <v>2008</v>
      </c>
      <c r="H4049" s="22" t="n">
        <v>82509</v>
      </c>
      <c r="I4049" s="22" t="n">
        <v>98000</v>
      </c>
      <c r="J4049" s="20" t="inlineStr">
        <is>
          <t>AIE CARS PRIVATE LIMITED</t>
        </is>
      </c>
      <c r="K4049" s="20" t="inlineStr">
        <is>
          <t>Non-Captive</t>
        </is>
      </c>
      <c r="L4049" s="20" t="inlineStr">
        <is>
          <t>Pine Autos</t>
        </is>
      </c>
      <c r="M4049" s="23" t="n">
        <v>4237.29</v>
      </c>
    </row>
    <row r="4050">
      <c r="A4050" s="19" t="inlineStr">
        <is>
          <t>FY27</t>
        </is>
      </c>
      <c r="B4050" s="19" t="inlineStr">
        <is>
          <t>Sep</t>
        </is>
      </c>
      <c r="C4050" s="19" t="inlineStr">
        <is>
          <t>TN</t>
        </is>
      </c>
      <c r="D4050" s="20" t="inlineStr">
        <is>
          <t>TN07BB8262</t>
        </is>
      </c>
      <c r="E4050" s="20" t="inlineStr">
        <is>
          <t>HONDA</t>
        </is>
      </c>
      <c r="F4050" s="20" t="inlineStr">
        <is>
          <t>City</t>
        </is>
      </c>
      <c r="G4050" s="21" t="n">
        <v>2008</v>
      </c>
      <c r="H4050" s="22" t="n">
        <v>54319</v>
      </c>
      <c r="I4050" s="22" t="n">
        <v>89000</v>
      </c>
      <c r="J4050" s="20" t="inlineStr">
        <is>
          <t>AIE CARS PRIVATE LIMITED</t>
        </is>
      </c>
      <c r="K4050" s="20" t="inlineStr">
        <is>
          <t>Non-Captive</t>
        </is>
      </c>
      <c r="L4050" s="20" t="inlineStr">
        <is>
          <t>Santhosh Cars</t>
        </is>
      </c>
      <c r="M4050" s="23" t="n">
        <v>4237.29</v>
      </c>
    </row>
    <row r="4051">
      <c r="A4051" s="19" t="inlineStr">
        <is>
          <t>FY27</t>
        </is>
      </c>
      <c r="B4051" s="19" t="inlineStr">
        <is>
          <t>Sep</t>
        </is>
      </c>
      <c r="C4051" s="19" t="inlineStr">
        <is>
          <t>TN</t>
        </is>
      </c>
      <c r="D4051" s="20" t="inlineStr">
        <is>
          <t>TN07BC5094</t>
        </is>
      </c>
      <c r="E4051" s="20" t="inlineStr">
        <is>
          <t>TATA</t>
        </is>
      </c>
      <c r="F4051" s="20" t="inlineStr">
        <is>
          <t>Indica</t>
        </is>
      </c>
      <c r="G4051" s="21" t="n">
        <v>2009</v>
      </c>
      <c r="H4051" s="22" t="n">
        <v>72096</v>
      </c>
      <c r="I4051" s="22" t="n">
        <v>65000</v>
      </c>
      <c r="J4051" s="20" t="inlineStr">
        <is>
          <t>EXCHANGE ROTN</t>
        </is>
      </c>
      <c r="K4051" s="20" t="inlineStr">
        <is>
          <t>Captive</t>
        </is>
      </c>
      <c r="L4051" s="20" t="inlineStr">
        <is>
          <t>Sree Murugan Cars</t>
        </is>
      </c>
      <c r="M4051" s="23" t="n">
        <v>4237.29</v>
      </c>
    </row>
    <row r="4052">
      <c r="A4052" s="19" t="inlineStr">
        <is>
          <t>FY27</t>
        </is>
      </c>
      <c r="B4052" s="19" t="inlineStr">
        <is>
          <t>Sep</t>
        </is>
      </c>
      <c r="C4052" s="19" t="inlineStr">
        <is>
          <t>TN</t>
        </is>
      </c>
      <c r="D4052" s="20" t="inlineStr">
        <is>
          <t>TN07BC6283</t>
        </is>
      </c>
      <c r="E4052" s="20" t="inlineStr">
        <is>
          <t>MARUTI SUZUKI</t>
        </is>
      </c>
      <c r="F4052" s="20" t="inlineStr">
        <is>
          <t>Swift</t>
        </is>
      </c>
      <c r="G4052" s="21" t="n">
        <v>2009</v>
      </c>
      <c r="H4052" s="22" t="n">
        <v>42437</v>
      </c>
      <c r="I4052" s="22" t="n">
        <v>198000</v>
      </c>
      <c r="J4052" s="20" t="inlineStr">
        <is>
          <t>LAKSHMI TATA</t>
        </is>
      </c>
      <c r="K4052" s="20" t="inlineStr">
        <is>
          <t>Non-Captive</t>
        </is>
      </c>
      <c r="L4052" s="20" t="inlineStr">
        <is>
          <t>Maruthi Industries</t>
        </is>
      </c>
      <c r="M4052" s="23" t="n">
        <v>5084.75</v>
      </c>
    </row>
    <row r="4053">
      <c r="A4053" s="19" t="inlineStr">
        <is>
          <t>FY27</t>
        </is>
      </c>
      <c r="B4053" s="19" t="inlineStr">
        <is>
          <t>Sep</t>
        </is>
      </c>
      <c r="C4053" s="19" t="inlineStr">
        <is>
          <t>TN</t>
        </is>
      </c>
      <c r="D4053" s="20" t="inlineStr">
        <is>
          <t>TN07BE7693</t>
        </is>
      </c>
      <c r="E4053" s="20" t="inlineStr">
        <is>
          <t>SKODA</t>
        </is>
      </c>
      <c r="F4053" s="20" t="inlineStr">
        <is>
          <t>Fabia</t>
        </is>
      </c>
      <c r="G4053" s="21" t="n">
        <v>2009</v>
      </c>
      <c r="H4053" s="22" t="n">
        <v>7318</v>
      </c>
      <c r="I4053" s="22" t="n">
        <v>150000</v>
      </c>
      <c r="J4053" s="20" t="inlineStr">
        <is>
          <t>EXCHANGE CHENNAI</t>
        </is>
      </c>
      <c r="K4053" s="20" t="inlineStr">
        <is>
          <t>Captive</t>
        </is>
      </c>
      <c r="L4053" s="20" t="inlineStr">
        <is>
          <t>Santhosh Cars</t>
        </is>
      </c>
      <c r="M4053" s="23" t="n">
        <v>4237.29</v>
      </c>
    </row>
    <row r="4054">
      <c r="A4054" s="19" t="inlineStr">
        <is>
          <t>FY27</t>
        </is>
      </c>
      <c r="B4054" s="19" t="inlineStr">
        <is>
          <t>Sep</t>
        </is>
      </c>
      <c r="C4054" s="19" t="inlineStr">
        <is>
          <t>TN</t>
        </is>
      </c>
      <c r="D4054" s="20" t="inlineStr">
        <is>
          <t>TN07BF2414</t>
        </is>
      </c>
      <c r="E4054" s="20" t="inlineStr">
        <is>
          <t>HONDA</t>
        </is>
      </c>
      <c r="F4054" s="20" t="inlineStr">
        <is>
          <t>City</t>
        </is>
      </c>
      <c r="G4054" s="21" t="n">
        <v>2010</v>
      </c>
      <c r="H4054" s="22" t="n">
        <v>117730</v>
      </c>
      <c r="I4054" s="22" t="n">
        <v>95000</v>
      </c>
      <c r="J4054" s="20" t="inlineStr">
        <is>
          <t>AIE CARS PRIVATE LIMITED</t>
        </is>
      </c>
      <c r="K4054" s="20" t="inlineStr">
        <is>
          <t>Non-Captive</t>
        </is>
      </c>
      <c r="L4054" s="20" t="inlineStr">
        <is>
          <t>Pine Autos</t>
        </is>
      </c>
      <c r="M4054" s="23" t="n">
        <v>4237.29</v>
      </c>
    </row>
    <row r="4055">
      <c r="A4055" s="19" t="inlineStr">
        <is>
          <t>FY27</t>
        </is>
      </c>
      <c r="B4055" s="19" t="inlineStr">
        <is>
          <t>Sep</t>
        </is>
      </c>
      <c r="C4055" s="19" t="inlineStr">
        <is>
          <t>TN</t>
        </is>
      </c>
      <c r="D4055" s="20" t="inlineStr">
        <is>
          <t>TN07BF4064</t>
        </is>
      </c>
      <c r="E4055" s="20" t="inlineStr">
        <is>
          <t>MARUTI SUZUKI</t>
        </is>
      </c>
      <c r="F4055" s="20" t="inlineStr">
        <is>
          <t>Ritz</t>
        </is>
      </c>
      <c r="G4055" s="21" t="n">
        <v>2010</v>
      </c>
      <c r="H4055" s="22" t="n">
        <v>8152</v>
      </c>
      <c r="I4055" s="22" t="n">
        <v>97000</v>
      </c>
      <c r="J4055" s="20" t="inlineStr">
        <is>
          <t>AIE CARS PRIVATE LIMITED</t>
        </is>
      </c>
      <c r="K4055" s="20" t="inlineStr">
        <is>
          <t>Non-Captive</t>
        </is>
      </c>
      <c r="L4055" s="20" t="inlineStr">
        <is>
          <t>VS Enterprises</t>
        </is>
      </c>
      <c r="M4055" s="23" t="n">
        <v>4237.29</v>
      </c>
    </row>
    <row r="4056">
      <c r="A4056" s="19" t="inlineStr">
        <is>
          <t>FY27</t>
        </is>
      </c>
      <c r="B4056" s="19" t="inlineStr">
        <is>
          <t>Sep</t>
        </is>
      </c>
      <c r="C4056" s="19" t="inlineStr">
        <is>
          <t>TN</t>
        </is>
      </c>
      <c r="D4056" s="20" t="inlineStr">
        <is>
          <t>TN07BV8741</t>
        </is>
      </c>
      <c r="E4056" s="20" t="inlineStr">
        <is>
          <t>MARUTI SUZUKI</t>
        </is>
      </c>
      <c r="F4056" s="20" t="inlineStr">
        <is>
          <t>Alto 800</t>
        </is>
      </c>
      <c r="G4056" s="21" t="n">
        <v>2013</v>
      </c>
      <c r="H4056" s="22" t="n">
        <v>149941</v>
      </c>
      <c r="I4056" s="22" t="n">
        <v>145000</v>
      </c>
      <c r="J4056" s="20" t="inlineStr">
        <is>
          <t>CASTLE TRADERS MARUTI</t>
        </is>
      </c>
      <c r="K4056" s="20" t="inlineStr">
        <is>
          <t>Non-Captive</t>
        </is>
      </c>
      <c r="L4056" s="20" t="inlineStr">
        <is>
          <t>Hasini Cars</t>
        </is>
      </c>
      <c r="M4056" s="23" t="n">
        <v>5084.75</v>
      </c>
    </row>
    <row r="4057">
      <c r="A4057" s="19" t="inlineStr">
        <is>
          <t>FY27</t>
        </is>
      </c>
      <c r="B4057" s="19" t="inlineStr">
        <is>
          <t>Sep</t>
        </is>
      </c>
      <c r="C4057" s="19" t="inlineStr">
        <is>
          <t>TN</t>
        </is>
      </c>
      <c r="D4057" s="20" t="inlineStr">
        <is>
          <t>TN07BX4001</t>
        </is>
      </c>
      <c r="E4057" s="20" t="inlineStr">
        <is>
          <t>FORD</t>
        </is>
      </c>
      <c r="F4057" s="20" t="inlineStr">
        <is>
          <t>EcoSport</t>
        </is>
      </c>
      <c r="G4057" s="21" t="n">
        <v>2014</v>
      </c>
      <c r="H4057" s="22" t="n">
        <v>43582</v>
      </c>
      <c r="I4057" s="22" t="n">
        <v>400000</v>
      </c>
      <c r="J4057" s="20" t="inlineStr">
        <is>
          <t>EXCHANGE CHENNAI</t>
        </is>
      </c>
      <c r="K4057" s="20" t="inlineStr">
        <is>
          <t>Captive</t>
        </is>
      </c>
      <c r="L4057" s="20" t="inlineStr"/>
      <c r="M4057" s="23" t="n">
        <v>8474.58</v>
      </c>
    </row>
    <row r="4058">
      <c r="A4058" s="19" t="inlineStr">
        <is>
          <t>FY27</t>
        </is>
      </c>
      <c r="B4058" s="19" t="inlineStr">
        <is>
          <t>Sep</t>
        </is>
      </c>
      <c r="C4058" s="19" t="inlineStr">
        <is>
          <t>TN</t>
        </is>
      </c>
      <c r="D4058" s="20" t="inlineStr">
        <is>
          <t>TN07CA6516</t>
        </is>
      </c>
      <c r="E4058" s="20" t="inlineStr">
        <is>
          <t>HONDA</t>
        </is>
      </c>
      <c r="F4058" s="20" t="inlineStr">
        <is>
          <t>Amaze</t>
        </is>
      </c>
      <c r="G4058" s="21" t="n">
        <v>2014</v>
      </c>
      <c r="H4058" s="22" t="n">
        <v>217622</v>
      </c>
      <c r="I4058" s="22" t="n">
        <v>98000</v>
      </c>
      <c r="J4058" s="20" t="inlineStr">
        <is>
          <t>VISHNU CARS PRIVATE LIMITED</t>
        </is>
      </c>
      <c r="K4058" s="20" t="inlineStr">
        <is>
          <t>Non-Captive</t>
        </is>
      </c>
      <c r="L4058" s="20" t="inlineStr">
        <is>
          <t>Thiya Cars</t>
        </is>
      </c>
      <c r="M4058" s="23" t="n">
        <v>4237.29</v>
      </c>
    </row>
    <row r="4059">
      <c r="A4059" s="19" t="inlineStr">
        <is>
          <t>FY27</t>
        </is>
      </c>
      <c r="B4059" s="19" t="inlineStr">
        <is>
          <t>Sep</t>
        </is>
      </c>
      <c r="C4059" s="19" t="inlineStr">
        <is>
          <t>TN</t>
        </is>
      </c>
      <c r="D4059" s="20" t="inlineStr">
        <is>
          <t>TN07CA9453</t>
        </is>
      </c>
      <c r="E4059" s="20" t="inlineStr">
        <is>
          <t>HYUNDAI</t>
        </is>
      </c>
      <c r="F4059" s="20" t="inlineStr">
        <is>
          <t>i10</t>
        </is>
      </c>
      <c r="G4059" s="21" t="n">
        <v>2014</v>
      </c>
      <c r="H4059" s="22" t="n">
        <v>61212</v>
      </c>
      <c r="I4059" s="22" t="n">
        <v>150000</v>
      </c>
      <c r="J4059" s="20" t="inlineStr">
        <is>
          <t>EXCHANGE ROTN</t>
        </is>
      </c>
      <c r="K4059" s="20" t="inlineStr">
        <is>
          <t>Captive</t>
        </is>
      </c>
      <c r="L4059" s="20" t="inlineStr">
        <is>
          <t>Selva Motors</t>
        </is>
      </c>
      <c r="M4059" s="23" t="n">
        <v>8474.58</v>
      </c>
    </row>
    <row r="4060">
      <c r="A4060" s="19" t="inlineStr">
        <is>
          <t>FY27</t>
        </is>
      </c>
      <c r="B4060" s="19" t="inlineStr">
        <is>
          <t>Sep</t>
        </is>
      </c>
      <c r="C4060" s="19" t="inlineStr">
        <is>
          <t>TN</t>
        </is>
      </c>
      <c r="D4060" s="20" t="inlineStr">
        <is>
          <t>TN07CC2648</t>
        </is>
      </c>
      <c r="E4060" s="20" t="inlineStr">
        <is>
          <t>HYUNDAI</t>
        </is>
      </c>
      <c r="F4060" s="20" t="inlineStr">
        <is>
          <t>Grand i10</t>
        </is>
      </c>
      <c r="G4060" s="21" t="n">
        <v>2015</v>
      </c>
      <c r="H4060" s="22" t="n">
        <v>64890</v>
      </c>
      <c r="I4060" s="22" t="n">
        <v>92000</v>
      </c>
      <c r="J4060" s="20" t="inlineStr">
        <is>
          <t>KUN CAR ENTERPRISES</t>
        </is>
      </c>
      <c r="K4060" s="20" t="inlineStr">
        <is>
          <t>Non-Captive</t>
        </is>
      </c>
      <c r="L4060" s="20" t="inlineStr">
        <is>
          <t>Cars24</t>
        </is>
      </c>
      <c r="M4060" s="23" t="n">
        <v>4237.29</v>
      </c>
    </row>
    <row r="4061">
      <c r="A4061" s="19" t="inlineStr">
        <is>
          <t>FY27</t>
        </is>
      </c>
      <c r="B4061" s="19" t="inlineStr">
        <is>
          <t>Sep</t>
        </is>
      </c>
      <c r="C4061" s="19" t="inlineStr">
        <is>
          <t>TN</t>
        </is>
      </c>
      <c r="D4061" s="20" t="inlineStr">
        <is>
          <t>TN07CC9777</t>
        </is>
      </c>
      <c r="E4061" s="20" t="inlineStr">
        <is>
          <t>CHEVROLET</t>
        </is>
      </c>
      <c r="F4061" s="20" t="inlineStr">
        <is>
          <t>Cruze</t>
        </is>
      </c>
      <c r="G4061" s="21" t="n">
        <v>2015</v>
      </c>
      <c r="H4061" s="22" t="n">
        <v>113891</v>
      </c>
      <c r="I4061" s="22" t="n">
        <v>92000</v>
      </c>
      <c r="J4061" s="20" t="inlineStr">
        <is>
          <t>AIE CARS PRIVATE LIMITED</t>
        </is>
      </c>
      <c r="K4061" s="20" t="inlineStr">
        <is>
          <t>Non-Captive</t>
        </is>
      </c>
      <c r="L4061" s="20" t="inlineStr">
        <is>
          <t>Pine Autos</t>
        </is>
      </c>
      <c r="M4061" s="23" t="n">
        <v>4237.29</v>
      </c>
    </row>
    <row r="4062">
      <c r="A4062" s="19" t="inlineStr">
        <is>
          <t>FY27</t>
        </is>
      </c>
      <c r="B4062" s="19" t="inlineStr">
        <is>
          <t>Sep</t>
        </is>
      </c>
      <c r="C4062" s="19" t="inlineStr">
        <is>
          <t>TN</t>
        </is>
      </c>
      <c r="D4062" s="20" t="inlineStr">
        <is>
          <t>TN07CD3459</t>
        </is>
      </c>
      <c r="E4062" s="20" t="inlineStr">
        <is>
          <t>HONDA</t>
        </is>
      </c>
      <c r="F4062" s="20" t="inlineStr">
        <is>
          <t>Amaze</t>
        </is>
      </c>
      <c r="G4062" s="21" t="n">
        <v>2015</v>
      </c>
      <c r="H4062" s="22" t="n">
        <v>75986</v>
      </c>
      <c r="I4062" s="22" t="n">
        <v>96000</v>
      </c>
      <c r="J4062" s="20" t="inlineStr">
        <is>
          <t>VISHNU CARS PRIVATE LIMITED</t>
        </is>
      </c>
      <c r="K4062" s="20" t="inlineStr">
        <is>
          <t>Non-Captive</t>
        </is>
      </c>
      <c r="L4062" s="20" t="inlineStr">
        <is>
          <t>Santhosh Cars</t>
        </is>
      </c>
      <c r="M4062" s="23" t="n">
        <v>3389.83</v>
      </c>
    </row>
    <row r="4063">
      <c r="A4063" s="19" t="inlineStr">
        <is>
          <t>FY27</t>
        </is>
      </c>
      <c r="B4063" s="19" t="inlineStr">
        <is>
          <t>Sep</t>
        </is>
      </c>
      <c r="C4063" s="19" t="inlineStr">
        <is>
          <t>TN</t>
        </is>
      </c>
      <c r="D4063" s="20" t="inlineStr">
        <is>
          <t>TN07CJ6730</t>
        </is>
      </c>
      <c r="E4063" s="20" t="inlineStr">
        <is>
          <t>HONDA</t>
        </is>
      </c>
      <c r="F4063" s="20" t="inlineStr">
        <is>
          <t>City</t>
        </is>
      </c>
      <c r="G4063" s="21" t="n">
        <v>2017</v>
      </c>
      <c r="H4063" s="22" t="n">
        <v>35784</v>
      </c>
      <c r="I4063" s="22" t="n">
        <v>625000</v>
      </c>
      <c r="J4063" s="20" t="inlineStr">
        <is>
          <t>EXCHANGE CHENNAI</t>
        </is>
      </c>
      <c r="K4063" s="20" t="inlineStr">
        <is>
          <t>Captive</t>
        </is>
      </c>
      <c r="L4063" s="20" t="inlineStr"/>
      <c r="M4063" s="23" t="n">
        <v>8474.58</v>
      </c>
    </row>
    <row r="4064">
      <c r="A4064" s="19" t="inlineStr">
        <is>
          <t>FY27</t>
        </is>
      </c>
      <c r="B4064" s="19" t="inlineStr">
        <is>
          <t>Sep</t>
        </is>
      </c>
      <c r="C4064" s="19" t="inlineStr">
        <is>
          <t>TN</t>
        </is>
      </c>
      <c r="D4064" s="20" t="inlineStr">
        <is>
          <t>TN07CS4855</t>
        </is>
      </c>
      <c r="E4064" s="20" t="inlineStr">
        <is>
          <t>HYUNDAI</t>
        </is>
      </c>
      <c r="F4064" s="20" t="inlineStr">
        <is>
          <t>Santro</t>
        </is>
      </c>
      <c r="G4064" s="21" t="n">
        <v>2019</v>
      </c>
      <c r="H4064" s="22" t="n">
        <v>50327</v>
      </c>
      <c r="I4064" s="22" t="n">
        <v>322500</v>
      </c>
      <c r="J4064" s="20" t="inlineStr">
        <is>
          <t>CASTLE TRADERS MARUTI</t>
        </is>
      </c>
      <c r="K4064" s="20" t="inlineStr">
        <is>
          <t>Non-Captive</t>
        </is>
      </c>
      <c r="L4064" s="20" t="inlineStr">
        <is>
          <t>Value Drive Tech</t>
        </is>
      </c>
      <c r="M4064" s="23" t="n">
        <v>6355.93</v>
      </c>
    </row>
    <row r="4065">
      <c r="A4065" s="19" t="inlineStr">
        <is>
          <t>FY27</t>
        </is>
      </c>
      <c r="B4065" s="19" t="inlineStr">
        <is>
          <t>Sep</t>
        </is>
      </c>
      <c r="C4065" s="19" t="inlineStr">
        <is>
          <t>TN</t>
        </is>
      </c>
      <c r="D4065" s="20" t="inlineStr">
        <is>
          <t>TN07CY8670</t>
        </is>
      </c>
      <c r="E4065" s="20" t="inlineStr">
        <is>
          <t>CHEVROLET</t>
        </is>
      </c>
      <c r="F4065" s="20" t="inlineStr">
        <is>
          <t>Aveo</t>
        </is>
      </c>
      <c r="G4065" s="21" t="n">
        <v>2006</v>
      </c>
      <c r="H4065" s="22" t="n">
        <v>62998</v>
      </c>
      <c r="I4065" s="22" t="n">
        <v>89000</v>
      </c>
      <c r="J4065" s="20" t="inlineStr">
        <is>
          <t>VISHNU CARS PRIVATE LIMITED</t>
        </is>
      </c>
      <c r="K4065" s="20" t="inlineStr">
        <is>
          <t>Non-Captive</t>
        </is>
      </c>
      <c r="L4065" s="20" t="inlineStr">
        <is>
          <t>Santhosh Cars</t>
        </is>
      </c>
      <c r="M4065" s="23" t="n">
        <v>4237.29</v>
      </c>
    </row>
    <row r="4066">
      <c r="A4066" s="19" t="inlineStr">
        <is>
          <t>FY27</t>
        </is>
      </c>
      <c r="B4066" s="19" t="inlineStr">
        <is>
          <t>Sep</t>
        </is>
      </c>
      <c r="C4066" s="19" t="inlineStr">
        <is>
          <t>TN</t>
        </is>
      </c>
      <c r="D4066" s="20" t="inlineStr">
        <is>
          <t>TN07U2650</t>
        </is>
      </c>
      <c r="E4066" s="20" t="inlineStr">
        <is>
          <t>MARUTI SUZUKI</t>
        </is>
      </c>
      <c r="F4066" s="20" t="inlineStr">
        <is>
          <t>800</t>
        </is>
      </c>
      <c r="G4066" s="21" t="n">
        <v>2001</v>
      </c>
      <c r="H4066" s="22" t="n">
        <v>68838</v>
      </c>
      <c r="I4066" s="22" t="n">
        <v>40000</v>
      </c>
      <c r="J4066" s="20" t="inlineStr">
        <is>
          <t>EXCHANGE ROTN</t>
        </is>
      </c>
      <c r="K4066" s="20" t="inlineStr">
        <is>
          <t>Captive</t>
        </is>
      </c>
      <c r="L4066" s="20" t="inlineStr">
        <is>
          <t>Sivashankar Cars</t>
        </is>
      </c>
      <c r="M4066" s="23" t="n">
        <v>4237.29</v>
      </c>
    </row>
    <row r="4067">
      <c r="A4067" s="19" t="inlineStr">
        <is>
          <t>FY27</t>
        </is>
      </c>
      <c r="B4067" s="19" t="inlineStr">
        <is>
          <t>Sep</t>
        </is>
      </c>
      <c r="C4067" s="19" t="inlineStr">
        <is>
          <t>TN</t>
        </is>
      </c>
      <c r="D4067" s="20" t="inlineStr">
        <is>
          <t>TN09AE7000</t>
        </is>
      </c>
      <c r="E4067" s="20" t="inlineStr">
        <is>
          <t>HONDA</t>
        </is>
      </c>
      <c r="F4067" s="20" t="inlineStr">
        <is>
          <t>City</t>
        </is>
      </c>
      <c r="G4067" s="21" t="n">
        <v>2003</v>
      </c>
      <c r="H4067" s="22" t="n">
        <v>29904</v>
      </c>
      <c r="I4067" s="22" t="n">
        <v>96000</v>
      </c>
      <c r="J4067" s="20" t="inlineStr">
        <is>
          <t>AIE CARS PRIVATE LIMITED</t>
        </is>
      </c>
      <c r="K4067" s="20" t="inlineStr">
        <is>
          <t>Non-Captive</t>
        </is>
      </c>
      <c r="L4067" s="20" t="inlineStr">
        <is>
          <t>Santhosh Cars</t>
        </is>
      </c>
      <c r="M4067" s="23" t="n">
        <v>4237.29</v>
      </c>
    </row>
    <row r="4068">
      <c r="A4068" s="19" t="inlineStr">
        <is>
          <t>FY27</t>
        </is>
      </c>
      <c r="B4068" s="19" t="inlineStr">
        <is>
          <t>Sep</t>
        </is>
      </c>
      <c r="C4068" s="19" t="inlineStr">
        <is>
          <t>TN</t>
        </is>
      </c>
      <c r="D4068" s="20" t="inlineStr">
        <is>
          <t>TN09AF1306</t>
        </is>
      </c>
      <c r="E4068" s="20" t="inlineStr">
        <is>
          <t>MARUTI SUZUKI</t>
        </is>
      </c>
      <c r="F4068" s="20" t="inlineStr">
        <is>
          <t>Alto</t>
        </is>
      </c>
      <c r="G4068" s="21" t="n">
        <v>2004</v>
      </c>
      <c r="H4068" s="22" t="n">
        <v>111092</v>
      </c>
      <c r="I4068" s="22" t="n">
        <v>52000</v>
      </c>
      <c r="J4068" s="20" t="inlineStr">
        <is>
          <t>EXCHANGE ROTN</t>
        </is>
      </c>
      <c r="K4068" s="20" t="inlineStr">
        <is>
          <t>Captive</t>
        </is>
      </c>
      <c r="L4068" s="20" t="inlineStr">
        <is>
          <t>Sree Murugan Cars</t>
        </is>
      </c>
      <c r="M4068" s="23" t="n">
        <v>4237.29</v>
      </c>
    </row>
    <row r="4069">
      <c r="A4069" s="19" t="inlineStr">
        <is>
          <t>FY27</t>
        </is>
      </c>
      <c r="B4069" s="19" t="inlineStr">
        <is>
          <t>Sep</t>
        </is>
      </c>
      <c r="C4069" s="19" t="inlineStr">
        <is>
          <t>TN</t>
        </is>
      </c>
      <c r="D4069" s="20" t="inlineStr">
        <is>
          <t>TN09AF8371</t>
        </is>
      </c>
      <c r="E4069" s="20" t="inlineStr">
        <is>
          <t>MARUTI SUZUKI</t>
        </is>
      </c>
      <c r="F4069" s="20" t="inlineStr">
        <is>
          <t>800</t>
        </is>
      </c>
      <c r="G4069" s="21" t="n">
        <v>2004</v>
      </c>
      <c r="H4069" s="22" t="n">
        <v>123654</v>
      </c>
      <c r="I4069" s="22" t="n">
        <v>35000</v>
      </c>
      <c r="J4069" s="20" t="inlineStr">
        <is>
          <t>EXCHANGE ROTN</t>
        </is>
      </c>
      <c r="K4069" s="20" t="inlineStr">
        <is>
          <t>Captive</t>
        </is>
      </c>
      <c r="L4069" s="20" t="inlineStr">
        <is>
          <t>Sivashankar Cars</t>
        </is>
      </c>
      <c r="M4069" s="23" t="n">
        <v>4237.29</v>
      </c>
    </row>
    <row r="4070">
      <c r="A4070" s="19" t="inlineStr">
        <is>
          <t>FY27</t>
        </is>
      </c>
      <c r="B4070" s="19" t="inlineStr">
        <is>
          <t>Sep</t>
        </is>
      </c>
      <c r="C4070" s="19" t="inlineStr">
        <is>
          <t>TN</t>
        </is>
      </c>
      <c r="D4070" s="20" t="inlineStr">
        <is>
          <t>TN09AU1776</t>
        </is>
      </c>
      <c r="E4070" s="20" t="inlineStr">
        <is>
          <t>MARUTI SUZUKI</t>
        </is>
      </c>
      <c r="F4070" s="20" t="inlineStr">
        <is>
          <t>Zen Estilo</t>
        </is>
      </c>
      <c r="G4070" s="21" t="n">
        <v>2007</v>
      </c>
      <c r="H4070" s="22" t="n">
        <v>124374</v>
      </c>
      <c r="I4070" s="22" t="n">
        <v>70000</v>
      </c>
      <c r="J4070" s="20" t="inlineStr">
        <is>
          <t>EXCHANGE ROTN</t>
        </is>
      </c>
      <c r="K4070" s="20" t="inlineStr">
        <is>
          <t>Captive</t>
        </is>
      </c>
      <c r="L4070" s="20" t="inlineStr">
        <is>
          <t>Sai Cars</t>
        </is>
      </c>
      <c r="M4070" s="23" t="n">
        <v>4237.29</v>
      </c>
    </row>
    <row r="4071">
      <c r="A4071" s="19" t="inlineStr">
        <is>
          <t>FY27</t>
        </is>
      </c>
      <c r="B4071" s="19" t="inlineStr">
        <is>
          <t>Sep</t>
        </is>
      </c>
      <c r="C4071" s="19" t="inlineStr">
        <is>
          <t>TN</t>
        </is>
      </c>
      <c r="D4071" s="20" t="inlineStr">
        <is>
          <t>TN09AZ8901</t>
        </is>
      </c>
      <c r="E4071" s="20" t="inlineStr">
        <is>
          <t>HONDA</t>
        </is>
      </c>
      <c r="F4071" s="20" t="inlineStr">
        <is>
          <t>City</t>
        </is>
      </c>
      <c r="G4071" s="21" t="n">
        <v>2009</v>
      </c>
      <c r="H4071" s="22" t="n">
        <v>122069</v>
      </c>
      <c r="I4071" s="22" t="n">
        <v>97000</v>
      </c>
      <c r="J4071" s="20" t="inlineStr">
        <is>
          <t>AIE CARS PRIVATE LIMITED</t>
        </is>
      </c>
      <c r="K4071" s="20" t="inlineStr">
        <is>
          <t>Non-Captive</t>
        </is>
      </c>
      <c r="L4071" s="20" t="inlineStr">
        <is>
          <t>Santhosh Cars</t>
        </is>
      </c>
      <c r="M4071" s="23" t="n">
        <v>4237.29</v>
      </c>
    </row>
    <row r="4072">
      <c r="A4072" s="19" t="inlineStr">
        <is>
          <t>FY27</t>
        </is>
      </c>
      <c r="B4072" s="19" t="inlineStr">
        <is>
          <t>Sep</t>
        </is>
      </c>
      <c r="C4072" s="19" t="inlineStr">
        <is>
          <t>TN</t>
        </is>
      </c>
      <c r="D4072" s="20" t="inlineStr">
        <is>
          <t>TN09AZ9826</t>
        </is>
      </c>
      <c r="E4072" s="20" t="inlineStr">
        <is>
          <t>HONDA</t>
        </is>
      </c>
      <c r="F4072" s="20" t="inlineStr">
        <is>
          <t>City</t>
        </is>
      </c>
      <c r="G4072" s="21" t="n">
        <v>2009</v>
      </c>
      <c r="H4072" s="22" t="n">
        <v>67552</v>
      </c>
      <c r="I4072" s="22" t="n">
        <v>97000</v>
      </c>
      <c r="J4072" s="20" t="inlineStr">
        <is>
          <t>VISHNU CARS PRIVATE LIMITED</t>
        </is>
      </c>
      <c r="K4072" s="20" t="inlineStr">
        <is>
          <t>Non-Captive</t>
        </is>
      </c>
      <c r="L4072" s="20" t="inlineStr">
        <is>
          <t>Aaa Cars</t>
        </is>
      </c>
      <c r="M4072" s="23" t="n">
        <v>4237.29</v>
      </c>
    </row>
    <row r="4073">
      <c r="A4073" s="19" t="inlineStr">
        <is>
          <t>FY27</t>
        </is>
      </c>
      <c r="B4073" s="19" t="inlineStr">
        <is>
          <t>Sep</t>
        </is>
      </c>
      <c r="C4073" s="19" t="inlineStr">
        <is>
          <t>TN</t>
        </is>
      </c>
      <c r="D4073" s="20" t="inlineStr">
        <is>
          <t>TN09BD1807</t>
        </is>
      </c>
      <c r="E4073" s="20" t="inlineStr">
        <is>
          <t>HONDA</t>
        </is>
      </c>
      <c r="F4073" s="20" t="inlineStr">
        <is>
          <t>City</t>
        </is>
      </c>
      <c r="G4073" s="21" t="n">
        <v>2010</v>
      </c>
      <c r="H4073" s="22" t="n">
        <v>105601</v>
      </c>
      <c r="I4073" s="22" t="n">
        <v>98000</v>
      </c>
      <c r="J4073" s="20" t="inlineStr">
        <is>
          <t>AIE CARS PRIVATE LIMITED</t>
        </is>
      </c>
      <c r="K4073" s="20" t="inlineStr">
        <is>
          <t>Non-Captive</t>
        </is>
      </c>
      <c r="L4073" s="20" t="inlineStr">
        <is>
          <t>Pine Autos</t>
        </is>
      </c>
      <c r="M4073" s="23" t="n">
        <v>4237.29</v>
      </c>
    </row>
    <row r="4074">
      <c r="A4074" s="19" t="inlineStr">
        <is>
          <t>FY27</t>
        </is>
      </c>
      <c r="B4074" s="19" t="inlineStr">
        <is>
          <t>Sep</t>
        </is>
      </c>
      <c r="C4074" s="19" t="inlineStr">
        <is>
          <t>TN</t>
        </is>
      </c>
      <c r="D4074" s="20" t="inlineStr">
        <is>
          <t>TN09BF7322</t>
        </is>
      </c>
      <c r="E4074" s="20" t="inlineStr">
        <is>
          <t>HONDA</t>
        </is>
      </c>
      <c r="F4074" s="20" t="inlineStr">
        <is>
          <t>City</t>
        </is>
      </c>
      <c r="G4074" s="21" t="n">
        <v>2010</v>
      </c>
      <c r="H4074" s="22" t="n">
        <v>135101</v>
      </c>
      <c r="I4074" s="22" t="n">
        <v>94000</v>
      </c>
      <c r="J4074" s="20" t="inlineStr">
        <is>
          <t>VISHNU CARS PRIVATE LIMITED</t>
        </is>
      </c>
      <c r="K4074" s="20" t="inlineStr">
        <is>
          <t>Non-Captive</t>
        </is>
      </c>
      <c r="L4074" s="20" t="inlineStr">
        <is>
          <t>Pine Autos</t>
        </is>
      </c>
      <c r="M4074" s="23" t="n">
        <v>4237.29</v>
      </c>
    </row>
    <row r="4075">
      <c r="A4075" s="19" t="inlineStr">
        <is>
          <t>FY27</t>
        </is>
      </c>
      <c r="B4075" s="19" t="inlineStr">
        <is>
          <t>Sep</t>
        </is>
      </c>
      <c r="C4075" s="19" t="inlineStr">
        <is>
          <t>TN</t>
        </is>
      </c>
      <c r="D4075" s="20" t="inlineStr">
        <is>
          <t>TN09BJ4417</t>
        </is>
      </c>
      <c r="E4075" s="20" t="inlineStr">
        <is>
          <t>MARUTI SUZUKI</t>
        </is>
      </c>
      <c r="F4075" s="20" t="inlineStr">
        <is>
          <t>Dzire</t>
        </is>
      </c>
      <c r="G4075" s="21" t="n">
        <v>2011</v>
      </c>
      <c r="H4075" s="22" t="n">
        <v>93080</v>
      </c>
      <c r="I4075" s="22" t="n">
        <v>86000</v>
      </c>
      <c r="J4075" s="20" t="inlineStr">
        <is>
          <t>VISHNU CARS PRIVATE LIMITED</t>
        </is>
      </c>
      <c r="K4075" s="20" t="inlineStr">
        <is>
          <t>Non-Captive</t>
        </is>
      </c>
      <c r="L4075" s="20" t="inlineStr">
        <is>
          <t>Aaa Cars</t>
        </is>
      </c>
      <c r="M4075" s="23" t="n">
        <v>4237.29</v>
      </c>
    </row>
    <row r="4076">
      <c r="A4076" s="19" t="inlineStr">
        <is>
          <t>FY27</t>
        </is>
      </c>
      <c r="B4076" s="19" t="inlineStr">
        <is>
          <t>Sep</t>
        </is>
      </c>
      <c r="C4076" s="19" t="inlineStr">
        <is>
          <t>TN</t>
        </is>
      </c>
      <c r="D4076" s="20" t="inlineStr">
        <is>
          <t>TN09BL6283</t>
        </is>
      </c>
      <c r="E4076" s="20" t="inlineStr">
        <is>
          <t>HYUNDAI</t>
        </is>
      </c>
      <c r="F4076" s="20" t="inlineStr">
        <is>
          <t>Verna</t>
        </is>
      </c>
      <c r="G4076" s="21" t="n">
        <v>2011</v>
      </c>
      <c r="H4076" s="22" t="n">
        <v>39550</v>
      </c>
      <c r="I4076" s="22" t="n">
        <v>89000</v>
      </c>
      <c r="J4076" s="20" t="inlineStr">
        <is>
          <t>KRISH TOYOTA</t>
        </is>
      </c>
      <c r="K4076" s="20" t="inlineStr">
        <is>
          <t>Non-Captive</t>
        </is>
      </c>
      <c r="L4076" s="20" t="inlineStr">
        <is>
          <t>Value Drive Tech</t>
        </is>
      </c>
      <c r="M4076" s="23" t="n">
        <v>4237.29</v>
      </c>
    </row>
    <row r="4077">
      <c r="A4077" s="19" t="inlineStr">
        <is>
          <t>FY27</t>
        </is>
      </c>
      <c r="B4077" s="19" t="inlineStr">
        <is>
          <t>Sep</t>
        </is>
      </c>
      <c r="C4077" s="19" t="inlineStr">
        <is>
          <t>TN</t>
        </is>
      </c>
      <c r="D4077" s="20" t="inlineStr">
        <is>
          <t>TN09BM7422</t>
        </is>
      </c>
      <c r="E4077" s="20" t="inlineStr">
        <is>
          <t>FORD</t>
        </is>
      </c>
      <c r="F4077" s="20" t="inlineStr">
        <is>
          <t>Fiesta Classic</t>
        </is>
      </c>
      <c r="G4077" s="21" t="n">
        <v>2012</v>
      </c>
      <c r="H4077" s="22" t="n">
        <v>121973</v>
      </c>
      <c r="I4077" s="22" t="n">
        <v>200000</v>
      </c>
      <c r="J4077" s="20" t="inlineStr">
        <is>
          <t>AIE CARS PRIVATE LIMITED</t>
        </is>
      </c>
      <c r="K4077" s="20" t="inlineStr">
        <is>
          <t>Non-Captive</t>
        </is>
      </c>
      <c r="L4077" s="20" t="inlineStr">
        <is>
          <t>Thiyagarajan Raja Cars</t>
        </is>
      </c>
      <c r="M4077" s="23" t="n">
        <v>7288.14</v>
      </c>
    </row>
    <row r="4078">
      <c r="A4078" s="19" t="inlineStr">
        <is>
          <t>FY27</t>
        </is>
      </c>
      <c r="B4078" s="19" t="inlineStr">
        <is>
          <t>Sep</t>
        </is>
      </c>
      <c r="C4078" s="19" t="inlineStr">
        <is>
          <t>TN</t>
        </is>
      </c>
      <c r="D4078" s="20" t="inlineStr">
        <is>
          <t>TN09BW5029</t>
        </is>
      </c>
      <c r="E4078" s="20" t="inlineStr">
        <is>
          <t>HYUNDAI</t>
        </is>
      </c>
      <c r="F4078" s="20" t="inlineStr">
        <is>
          <t>Grand i10</t>
        </is>
      </c>
      <c r="G4078" s="21" t="n">
        <v>2014</v>
      </c>
      <c r="H4078" s="22" t="n">
        <v>44921</v>
      </c>
      <c r="I4078" s="22" t="n">
        <v>96000</v>
      </c>
      <c r="J4078" s="20" t="inlineStr">
        <is>
          <t>PEEYESYEM HK MOTORS LLP</t>
        </is>
      </c>
      <c r="K4078" s="20" t="inlineStr">
        <is>
          <t>Non-Captive</t>
        </is>
      </c>
      <c r="L4078" s="20" t="inlineStr">
        <is>
          <t>Aneesa Pravin Cars</t>
        </is>
      </c>
      <c r="M4078" s="23" t="n">
        <v>4237.29</v>
      </c>
    </row>
    <row r="4079">
      <c r="A4079" s="19" t="inlineStr">
        <is>
          <t>FY27</t>
        </is>
      </c>
      <c r="B4079" s="19" t="inlineStr">
        <is>
          <t>Sep</t>
        </is>
      </c>
      <c r="C4079" s="19" t="inlineStr">
        <is>
          <t>TN</t>
        </is>
      </c>
      <c r="D4079" s="20" t="inlineStr">
        <is>
          <t>TN09BX1660</t>
        </is>
      </c>
      <c r="E4079" s="20" t="inlineStr">
        <is>
          <t>HONDA</t>
        </is>
      </c>
      <c r="F4079" s="20" t="inlineStr">
        <is>
          <t>Amaze</t>
        </is>
      </c>
      <c r="G4079" s="21" t="n">
        <v>2014</v>
      </c>
      <c r="H4079" s="22" t="n">
        <v>94448</v>
      </c>
      <c r="I4079" s="22" t="n">
        <v>256000</v>
      </c>
      <c r="J4079" s="20" t="inlineStr">
        <is>
          <t>CASTLE TRADERS MARUTI</t>
        </is>
      </c>
      <c r="K4079" s="20" t="inlineStr">
        <is>
          <t>Non-Captive</t>
        </is>
      </c>
      <c r="L4079" s="20" t="inlineStr">
        <is>
          <t>Grid 33</t>
        </is>
      </c>
      <c r="M4079" s="23" t="n">
        <v>5932.29</v>
      </c>
    </row>
    <row r="4080">
      <c r="A4080" s="19" t="inlineStr">
        <is>
          <t>FY27</t>
        </is>
      </c>
      <c r="B4080" s="19" t="inlineStr">
        <is>
          <t>Sep</t>
        </is>
      </c>
      <c r="C4080" s="19" t="inlineStr">
        <is>
          <t>TN</t>
        </is>
      </c>
      <c r="D4080" s="20" t="inlineStr">
        <is>
          <t>TN09CA3150</t>
        </is>
      </c>
      <c r="E4080" s="20" t="inlineStr">
        <is>
          <t>MARUTI SUZUKI</t>
        </is>
      </c>
      <c r="F4080" s="20" t="inlineStr">
        <is>
          <t>Ciaz</t>
        </is>
      </c>
      <c r="G4080" s="21" t="n">
        <v>2015</v>
      </c>
      <c r="H4080" s="22" t="n">
        <v>183756</v>
      </c>
      <c r="I4080" s="22" t="n">
        <v>380000</v>
      </c>
      <c r="J4080" s="20" t="inlineStr">
        <is>
          <t>CASTLE TRADERS MARUTI</t>
        </is>
      </c>
      <c r="K4080" s="20" t="inlineStr">
        <is>
          <t>Non-Captive</t>
        </is>
      </c>
      <c r="L4080" s="20" t="inlineStr">
        <is>
          <t>Rithika Cars</t>
        </is>
      </c>
      <c r="M4080" s="23" t="n">
        <v>6355.93</v>
      </c>
    </row>
    <row r="4081">
      <c r="A4081" s="19" t="inlineStr">
        <is>
          <t>FY27</t>
        </is>
      </c>
      <c r="B4081" s="19" t="inlineStr">
        <is>
          <t>Sep</t>
        </is>
      </c>
      <c r="C4081" s="19" t="inlineStr">
        <is>
          <t>TN</t>
        </is>
      </c>
      <c r="D4081" s="20" t="inlineStr">
        <is>
          <t>TN09CB9633</t>
        </is>
      </c>
      <c r="E4081" s="20" t="inlineStr">
        <is>
          <t>HYUNDAI</t>
        </is>
      </c>
      <c r="F4081" s="20" t="inlineStr">
        <is>
          <t>Grand i10</t>
        </is>
      </c>
      <c r="G4081" s="21" t="n"/>
      <c r="H4081" s="22" t="n"/>
      <c r="I4081" s="22" t="n">
        <v>210000</v>
      </c>
      <c r="J4081" s="20" t="inlineStr">
        <is>
          <t>CASTLE TRADERS MARUTI</t>
        </is>
      </c>
      <c r="K4081" s="20" t="inlineStr">
        <is>
          <t>Non-Captive</t>
        </is>
      </c>
      <c r="L4081" s="20" t="inlineStr">
        <is>
          <t>As Cars</t>
        </is>
      </c>
      <c r="M4081" s="23" t="n">
        <v>5084.75</v>
      </c>
    </row>
    <row r="4082">
      <c r="A4082" s="19" t="inlineStr">
        <is>
          <t>FY27</t>
        </is>
      </c>
      <c r="B4082" s="19" t="inlineStr">
        <is>
          <t>Sep</t>
        </is>
      </c>
      <c r="C4082" s="19" t="inlineStr">
        <is>
          <t>TN</t>
        </is>
      </c>
      <c r="D4082" s="20" t="inlineStr">
        <is>
          <t>TN09CJ0778</t>
        </is>
      </c>
      <c r="E4082" s="20" t="inlineStr">
        <is>
          <t>HONDA</t>
        </is>
      </c>
      <c r="F4082" s="20" t="inlineStr">
        <is>
          <t>City</t>
        </is>
      </c>
      <c r="G4082" s="21" t="n">
        <v>2017</v>
      </c>
      <c r="H4082" s="22" t="n">
        <v>22727</v>
      </c>
      <c r="I4082" s="22" t="n">
        <v>580000</v>
      </c>
      <c r="J4082" s="20" t="inlineStr">
        <is>
          <t>EXCHANGE CHENNAI</t>
        </is>
      </c>
      <c r="K4082" s="20" t="inlineStr">
        <is>
          <t>Captive</t>
        </is>
      </c>
      <c r="L4082" s="20" t="inlineStr">
        <is>
          <t>VS Enterprises</t>
        </is>
      </c>
      <c r="M4082" s="23" t="n">
        <v>8474.58</v>
      </c>
    </row>
    <row r="4083">
      <c r="A4083" s="19" t="inlineStr">
        <is>
          <t>FY27</t>
        </is>
      </c>
      <c r="B4083" s="19" t="inlineStr">
        <is>
          <t>Sep</t>
        </is>
      </c>
      <c r="C4083" s="19" t="inlineStr">
        <is>
          <t>TN</t>
        </is>
      </c>
      <c r="D4083" s="20" t="inlineStr">
        <is>
          <t>TN09CV6693</t>
        </is>
      </c>
      <c r="E4083" s="20" t="inlineStr">
        <is>
          <t>MAHINDRA</t>
        </is>
      </c>
      <c r="F4083" s="20" t="inlineStr">
        <is>
          <t>XUV300</t>
        </is>
      </c>
      <c r="G4083" s="21" t="n">
        <v>2020</v>
      </c>
      <c r="H4083" s="22" t="n">
        <v>60656</v>
      </c>
      <c r="I4083" s="22" t="n">
        <v>530000</v>
      </c>
      <c r="J4083" s="20" t="inlineStr">
        <is>
          <t>EXCHANGE CHENNAI</t>
        </is>
      </c>
      <c r="K4083" s="20" t="inlineStr">
        <is>
          <t>Captive</t>
        </is>
      </c>
      <c r="L4083" s="20" t="inlineStr">
        <is>
          <t>Pine Autos</t>
        </is>
      </c>
      <c r="M4083" s="23" t="n">
        <v>8474.58</v>
      </c>
    </row>
    <row r="4084">
      <c r="A4084" s="19" t="inlineStr">
        <is>
          <t>FY27</t>
        </is>
      </c>
      <c r="B4084" s="19" t="inlineStr">
        <is>
          <t>Sep</t>
        </is>
      </c>
      <c r="C4084" s="19" t="inlineStr">
        <is>
          <t>TN</t>
        </is>
      </c>
      <c r="D4084" s="20" t="inlineStr">
        <is>
          <t>TN09CW8236</t>
        </is>
      </c>
      <c r="E4084" s="20" t="inlineStr">
        <is>
          <t>HYUNDAI</t>
        </is>
      </c>
      <c r="F4084" s="20" t="inlineStr">
        <is>
          <t>Venue</t>
        </is>
      </c>
      <c r="G4084" s="21" t="n">
        <v>2021</v>
      </c>
      <c r="H4084" s="22" t="n">
        <v>35113</v>
      </c>
      <c r="I4084" s="22" t="n">
        <v>589000</v>
      </c>
      <c r="J4084" s="20" t="inlineStr">
        <is>
          <t>CASTLE TRADERS HONDA</t>
        </is>
      </c>
      <c r="K4084" s="20" t="inlineStr">
        <is>
          <t>Non-Captive</t>
        </is>
      </c>
      <c r="L4084" s="20" t="inlineStr">
        <is>
          <t>Cars24</t>
        </is>
      </c>
      <c r="M4084" s="23" t="n">
        <v>7627.12</v>
      </c>
    </row>
    <row r="4085">
      <c r="A4085" s="19" t="inlineStr">
        <is>
          <t>FY27</t>
        </is>
      </c>
      <c r="B4085" s="19" t="inlineStr">
        <is>
          <t>Sep</t>
        </is>
      </c>
      <c r="C4085" s="19" t="inlineStr">
        <is>
          <t>TN</t>
        </is>
      </c>
      <c r="D4085" s="20" t="inlineStr">
        <is>
          <t>TN09DF8292</t>
        </is>
      </c>
      <c r="E4085" s="20" t="inlineStr">
        <is>
          <t>TATA</t>
        </is>
      </c>
      <c r="F4085" s="20" t="inlineStr">
        <is>
          <t>Safari</t>
        </is>
      </c>
      <c r="G4085" s="21" t="n">
        <v>2024</v>
      </c>
      <c r="H4085" s="22" t="n">
        <v>36200</v>
      </c>
      <c r="I4085" s="22" t="n">
        <v>198000</v>
      </c>
      <c r="J4085" s="20" t="inlineStr">
        <is>
          <t>CARS INDIA</t>
        </is>
      </c>
      <c r="K4085" s="20" t="inlineStr">
        <is>
          <t>Non-Captive</t>
        </is>
      </c>
      <c r="L4085" s="20" t="inlineStr">
        <is>
          <t>Aneesa Pravin Cars</t>
        </is>
      </c>
      <c r="M4085" s="23" t="n">
        <v>5423.73</v>
      </c>
    </row>
    <row r="4086">
      <c r="A4086" s="19" t="inlineStr">
        <is>
          <t>FY27</t>
        </is>
      </c>
      <c r="B4086" s="19" t="inlineStr">
        <is>
          <t>Sep</t>
        </is>
      </c>
      <c r="C4086" s="19" t="inlineStr">
        <is>
          <t>TN</t>
        </is>
      </c>
      <c r="D4086" s="20" t="inlineStr">
        <is>
          <t>TN10AH3235</t>
        </is>
      </c>
      <c r="E4086" s="20" t="inlineStr">
        <is>
          <t>HYUNDAI</t>
        </is>
      </c>
      <c r="F4086" s="20" t="inlineStr">
        <is>
          <t>i10</t>
        </is>
      </c>
      <c r="G4086" s="21" t="n">
        <v>2012</v>
      </c>
      <c r="H4086" s="22" t="n">
        <v>93772</v>
      </c>
      <c r="I4086" s="22" t="n">
        <v>98000</v>
      </c>
      <c r="J4086" s="20" t="inlineStr">
        <is>
          <t>PEEYESYEM HK MOTORS LLP</t>
        </is>
      </c>
      <c r="K4086" s="20" t="inlineStr">
        <is>
          <t>Non-Captive</t>
        </is>
      </c>
      <c r="L4086" s="20" t="inlineStr">
        <is>
          <t>Cars24</t>
        </is>
      </c>
      <c r="M4086" s="23" t="n">
        <v>4237.29</v>
      </c>
    </row>
    <row r="4087">
      <c r="A4087" s="19" t="inlineStr">
        <is>
          <t>FY27</t>
        </is>
      </c>
      <c r="B4087" s="19" t="inlineStr">
        <is>
          <t>Sep</t>
        </is>
      </c>
      <c r="C4087" s="19" t="inlineStr">
        <is>
          <t>TN</t>
        </is>
      </c>
      <c r="D4087" s="20" t="inlineStr">
        <is>
          <t>TN10AJ9390</t>
        </is>
      </c>
      <c r="E4087" s="20" t="inlineStr">
        <is>
          <t>CHEVROLET</t>
        </is>
      </c>
      <c r="F4087" s="20" t="inlineStr">
        <is>
          <t>Beat</t>
        </is>
      </c>
      <c r="G4087" s="21" t="n">
        <v>2012</v>
      </c>
      <c r="H4087" s="22" t="n">
        <v>99862</v>
      </c>
      <c r="I4087" s="22" t="n">
        <v>96000</v>
      </c>
      <c r="J4087" s="20" t="inlineStr">
        <is>
          <t>CARS INDIA</t>
        </is>
      </c>
      <c r="K4087" s="20" t="inlineStr">
        <is>
          <t>Non-Captive</t>
        </is>
      </c>
      <c r="L4087" s="20" t="inlineStr">
        <is>
          <t>Senthil Cars</t>
        </is>
      </c>
      <c r="M4087" s="23" t="n">
        <v>4237.29</v>
      </c>
    </row>
    <row r="4088">
      <c r="A4088" s="19" t="inlineStr">
        <is>
          <t>FY27</t>
        </is>
      </c>
      <c r="B4088" s="19" t="inlineStr">
        <is>
          <t>Sep</t>
        </is>
      </c>
      <c r="C4088" s="19" t="inlineStr">
        <is>
          <t>TN</t>
        </is>
      </c>
      <c r="D4088" s="20" t="inlineStr">
        <is>
          <t>TN10AK9619</t>
        </is>
      </c>
      <c r="E4088" s="20" t="inlineStr">
        <is>
          <t>MARUTI SUZUKI</t>
        </is>
      </c>
      <c r="F4088" s="20" t="inlineStr">
        <is>
          <t>Eeco</t>
        </is>
      </c>
      <c r="G4088" s="21" t="n">
        <v>2013</v>
      </c>
      <c r="H4088" s="22" t="n">
        <v>202876</v>
      </c>
      <c r="I4088" s="22" t="n">
        <v>99000</v>
      </c>
      <c r="J4088" s="20" t="inlineStr">
        <is>
          <t>LANSON QCARS PRIVATE LIMITED</t>
        </is>
      </c>
      <c r="K4088" s="20" t="inlineStr">
        <is>
          <t>Non-Captive</t>
        </is>
      </c>
      <c r="L4088" s="20" t="inlineStr">
        <is>
          <t>Value Drive Tech</t>
        </is>
      </c>
      <c r="M4088" s="23" t="n">
        <v>4237.29</v>
      </c>
    </row>
    <row r="4089">
      <c r="A4089" s="19" t="inlineStr">
        <is>
          <t>FY27</t>
        </is>
      </c>
      <c r="B4089" s="19" t="inlineStr">
        <is>
          <t>Sep</t>
        </is>
      </c>
      <c r="C4089" s="19" t="inlineStr">
        <is>
          <t>TN</t>
        </is>
      </c>
      <c r="D4089" s="20" t="inlineStr">
        <is>
          <t>TN10AL4258</t>
        </is>
      </c>
      <c r="E4089" s="20" t="inlineStr">
        <is>
          <t>MARUTI SUZUKI</t>
        </is>
      </c>
      <c r="F4089" s="20" t="inlineStr">
        <is>
          <t>Swift</t>
        </is>
      </c>
      <c r="G4089" s="21" t="n">
        <v>2013</v>
      </c>
      <c r="H4089" s="22" t="n">
        <v>61978</v>
      </c>
      <c r="I4089" s="22" t="n">
        <v>280000</v>
      </c>
      <c r="J4089" s="20" t="inlineStr">
        <is>
          <t>EXCHANGE CHENNAI</t>
        </is>
      </c>
      <c r="K4089" s="20" t="inlineStr">
        <is>
          <t>Captive</t>
        </is>
      </c>
      <c r="L4089" s="20" t="inlineStr"/>
      <c r="M4089" s="23" t="n">
        <v>8474.58</v>
      </c>
    </row>
    <row r="4090">
      <c r="A4090" s="19" t="inlineStr">
        <is>
          <t>FY27</t>
        </is>
      </c>
      <c r="B4090" s="19" t="inlineStr">
        <is>
          <t>Sep</t>
        </is>
      </c>
      <c r="C4090" s="19" t="inlineStr">
        <is>
          <t>TN</t>
        </is>
      </c>
      <c r="D4090" s="20" t="inlineStr">
        <is>
          <t>TN10AM6809</t>
        </is>
      </c>
      <c r="E4090" s="20" t="inlineStr">
        <is>
          <t>HYUNDAI</t>
        </is>
      </c>
      <c r="F4090" s="20" t="inlineStr">
        <is>
          <t>i10</t>
        </is>
      </c>
      <c r="G4090" s="21" t="n">
        <v>2013</v>
      </c>
      <c r="H4090" s="22" t="n">
        <v>56101</v>
      </c>
      <c r="I4090" s="22" t="n">
        <v>195000</v>
      </c>
      <c r="J4090" s="20" t="inlineStr">
        <is>
          <t>EXCHANGE ROTN</t>
        </is>
      </c>
      <c r="K4090" s="20" t="inlineStr">
        <is>
          <t>Captive</t>
        </is>
      </c>
      <c r="L4090" s="20" t="inlineStr">
        <is>
          <t>Vasundhara Cars</t>
        </is>
      </c>
      <c r="M4090" s="23" t="n">
        <v>8474.58</v>
      </c>
    </row>
    <row r="4091">
      <c r="A4091" s="19" t="inlineStr">
        <is>
          <t>FY27</t>
        </is>
      </c>
      <c r="B4091" s="19" t="inlineStr">
        <is>
          <t>Sep</t>
        </is>
      </c>
      <c r="C4091" s="19" t="inlineStr">
        <is>
          <t>TN</t>
        </is>
      </c>
      <c r="D4091" s="20" t="inlineStr">
        <is>
          <t>TN10AW6042</t>
        </is>
      </c>
      <c r="E4091" s="20" t="inlineStr">
        <is>
          <t>CHEVROLET</t>
        </is>
      </c>
      <c r="F4091" s="20" t="inlineStr">
        <is>
          <t>Beat</t>
        </is>
      </c>
      <c r="G4091" s="21" t="n">
        <v>2016</v>
      </c>
      <c r="H4091" s="22" t="n">
        <v>76256</v>
      </c>
      <c r="I4091" s="22" t="n">
        <v>94000</v>
      </c>
      <c r="J4091" s="20" t="inlineStr">
        <is>
          <t>POPULAR VEHICLES</t>
        </is>
      </c>
      <c r="K4091" s="20" t="inlineStr">
        <is>
          <t>Non-Captive</t>
        </is>
      </c>
      <c r="L4091" s="20" t="inlineStr">
        <is>
          <t>Srijja Travels</t>
        </is>
      </c>
      <c r="M4091" s="23" t="n">
        <v>4237.29</v>
      </c>
    </row>
    <row r="4092">
      <c r="A4092" s="19" t="inlineStr">
        <is>
          <t>FY27</t>
        </is>
      </c>
      <c r="B4092" s="19" t="inlineStr">
        <is>
          <t>Sep</t>
        </is>
      </c>
      <c r="C4092" s="19" t="inlineStr">
        <is>
          <t>TN</t>
        </is>
      </c>
      <c r="D4092" s="20" t="inlineStr">
        <is>
          <t>TN10AX7084</t>
        </is>
      </c>
      <c r="E4092" s="20" t="inlineStr">
        <is>
          <t>MARUTI SUZUKI</t>
        </is>
      </c>
      <c r="F4092" s="20" t="inlineStr">
        <is>
          <t>Baleno</t>
        </is>
      </c>
      <c r="G4092" s="21" t="n">
        <v>2016</v>
      </c>
      <c r="H4092" s="22" t="n">
        <v>56941</v>
      </c>
      <c r="I4092" s="22" t="n">
        <v>300000</v>
      </c>
      <c r="J4092" s="20" t="inlineStr">
        <is>
          <t>EXCHANGE CHENNAI</t>
        </is>
      </c>
      <c r="K4092" s="20" t="inlineStr">
        <is>
          <t>Captive</t>
        </is>
      </c>
      <c r="L4092" s="20" t="inlineStr"/>
      <c r="M4092" s="23" t="n">
        <v>8474.58</v>
      </c>
    </row>
    <row r="4093">
      <c r="A4093" s="19" t="inlineStr">
        <is>
          <t>FY27</t>
        </is>
      </c>
      <c r="B4093" s="19" t="inlineStr">
        <is>
          <t>Sep</t>
        </is>
      </c>
      <c r="C4093" s="19" t="inlineStr">
        <is>
          <t>TN</t>
        </is>
      </c>
      <c r="D4093" s="20" t="inlineStr">
        <is>
          <t>TN10AZ0912</t>
        </is>
      </c>
      <c r="E4093" s="20" t="inlineStr">
        <is>
          <t>RENAULT</t>
        </is>
      </c>
      <c r="F4093" s="20" t="inlineStr">
        <is>
          <t>Kwid</t>
        </is>
      </c>
      <c r="G4093" s="21" t="n">
        <v>2017</v>
      </c>
      <c r="H4093" s="22" t="n">
        <v>59293</v>
      </c>
      <c r="I4093" s="22" t="n">
        <v>86000</v>
      </c>
      <c r="J4093" s="20" t="inlineStr">
        <is>
          <t>POPULAR VEHICLES</t>
        </is>
      </c>
      <c r="K4093" s="20" t="inlineStr">
        <is>
          <t>Non-Captive</t>
        </is>
      </c>
      <c r="L4093" s="20" t="inlineStr">
        <is>
          <t>Value Drive Tech</t>
        </is>
      </c>
      <c r="M4093" s="23" t="n">
        <v>4237.29</v>
      </c>
    </row>
    <row r="4094">
      <c r="A4094" s="19" t="inlineStr">
        <is>
          <t>FY27</t>
        </is>
      </c>
      <c r="B4094" s="19" t="inlineStr">
        <is>
          <t>Sep</t>
        </is>
      </c>
      <c r="C4094" s="19" t="inlineStr">
        <is>
          <t>TN</t>
        </is>
      </c>
      <c r="D4094" s="20" t="inlineStr">
        <is>
          <t>TN10BA7749</t>
        </is>
      </c>
      <c r="E4094" s="20" t="inlineStr">
        <is>
          <t>MARUTI SUZUKI</t>
        </is>
      </c>
      <c r="F4094" s="20" t="inlineStr">
        <is>
          <t>Ignis</t>
        </is>
      </c>
      <c r="G4094" s="21" t="n">
        <v>2017</v>
      </c>
      <c r="H4094" s="22" t="n">
        <v>99999</v>
      </c>
      <c r="I4094" s="22" t="n">
        <v>368000</v>
      </c>
      <c r="J4094" s="20" t="inlineStr">
        <is>
          <t>POPULAR VEHICLES</t>
        </is>
      </c>
      <c r="K4094" s="20" t="inlineStr">
        <is>
          <t>Non-Captive</t>
        </is>
      </c>
      <c r="L4094" s="20" t="inlineStr">
        <is>
          <t>Tsm</t>
        </is>
      </c>
      <c r="M4094" s="23" t="n">
        <v>7627.17</v>
      </c>
    </row>
    <row r="4095">
      <c r="A4095" s="19" t="inlineStr">
        <is>
          <t>FY27</t>
        </is>
      </c>
      <c r="B4095" s="19" t="inlineStr">
        <is>
          <t>Sep</t>
        </is>
      </c>
      <c r="C4095" s="19" t="inlineStr">
        <is>
          <t>TN</t>
        </is>
      </c>
      <c r="D4095" s="20" t="inlineStr">
        <is>
          <t>TN10BB0343</t>
        </is>
      </c>
      <c r="E4095" s="20" t="inlineStr">
        <is>
          <t>MARUTI SUZUKI</t>
        </is>
      </c>
      <c r="F4095" s="20" t="inlineStr">
        <is>
          <t>Celerio</t>
        </is>
      </c>
      <c r="G4095" s="21" t="n"/>
      <c r="H4095" s="22" t="n"/>
      <c r="I4095" s="22" t="n">
        <v>275000</v>
      </c>
      <c r="J4095" s="20" t="inlineStr">
        <is>
          <t>CASTLE TRADERS MARUTI</t>
        </is>
      </c>
      <c r="K4095" s="20" t="inlineStr">
        <is>
          <t>Non-Captive</t>
        </is>
      </c>
      <c r="L4095" s="20" t="inlineStr">
        <is>
          <t>Cars24</t>
        </is>
      </c>
      <c r="M4095" s="23" t="n">
        <v>5084.75</v>
      </c>
    </row>
    <row r="4096">
      <c r="A4096" s="19" t="inlineStr">
        <is>
          <t>FY27</t>
        </is>
      </c>
      <c r="B4096" s="19" t="inlineStr">
        <is>
          <t>Sep</t>
        </is>
      </c>
      <c r="C4096" s="19" t="inlineStr">
        <is>
          <t>TN</t>
        </is>
      </c>
      <c r="D4096" s="20" t="inlineStr">
        <is>
          <t>TN10BB9110</t>
        </is>
      </c>
      <c r="E4096" s="20" t="inlineStr">
        <is>
          <t>MARUTI SUZUKI</t>
        </is>
      </c>
      <c r="F4096" s="20" t="inlineStr">
        <is>
          <t>Alto K10</t>
        </is>
      </c>
      <c r="G4096" s="21" t="n">
        <v>2018</v>
      </c>
      <c r="H4096" s="22" t="n">
        <v>67485</v>
      </c>
      <c r="I4096" s="22" t="n">
        <v>250000</v>
      </c>
      <c r="J4096" s="20" t="inlineStr">
        <is>
          <t>EXCHANGE CHENNAI</t>
        </is>
      </c>
      <c r="K4096" s="20" t="inlineStr">
        <is>
          <t>Captive</t>
        </is>
      </c>
      <c r="L4096" s="20" t="inlineStr"/>
      <c r="M4096" s="23" t="n">
        <v>8474.58</v>
      </c>
    </row>
    <row r="4097">
      <c r="A4097" s="19" t="inlineStr">
        <is>
          <t>FY27</t>
        </is>
      </c>
      <c r="B4097" s="19" t="inlineStr">
        <is>
          <t>Sep</t>
        </is>
      </c>
      <c r="C4097" s="19" t="inlineStr">
        <is>
          <t>TN</t>
        </is>
      </c>
      <c r="D4097" s="20" t="inlineStr">
        <is>
          <t>TN10BE6310</t>
        </is>
      </c>
      <c r="E4097" s="20" t="inlineStr">
        <is>
          <t>RENAULT</t>
        </is>
      </c>
      <c r="F4097" s="20" t="inlineStr">
        <is>
          <t>Kwid</t>
        </is>
      </c>
      <c r="G4097" s="21" t="n">
        <v>2018</v>
      </c>
      <c r="H4097" s="22" t="n">
        <v>15993</v>
      </c>
      <c r="I4097" s="22" t="n">
        <v>300000</v>
      </c>
      <c r="J4097" s="20" t="inlineStr">
        <is>
          <t>EXCHANGE CHENNAI</t>
        </is>
      </c>
      <c r="K4097" s="20" t="inlineStr">
        <is>
          <t>Captive</t>
        </is>
      </c>
      <c r="L4097" s="20" t="inlineStr">
        <is>
          <t>Santhosh Cars</t>
        </is>
      </c>
      <c r="M4097" s="23" t="n">
        <v>8474.58</v>
      </c>
    </row>
    <row r="4098">
      <c r="A4098" s="19" t="inlineStr">
        <is>
          <t>FY27</t>
        </is>
      </c>
      <c r="B4098" s="19" t="inlineStr">
        <is>
          <t>Sep</t>
        </is>
      </c>
      <c r="C4098" s="19" t="inlineStr">
        <is>
          <t>TN</t>
        </is>
      </c>
      <c r="D4098" s="20" t="inlineStr">
        <is>
          <t>TN10T4505</t>
        </is>
      </c>
      <c r="E4098" s="20" t="inlineStr">
        <is>
          <t>FORD</t>
        </is>
      </c>
      <c r="F4098" s="20" t="inlineStr">
        <is>
          <t>Fiesta</t>
        </is>
      </c>
      <c r="G4098" s="21" t="n">
        <v>2007</v>
      </c>
      <c r="H4098" s="22" t="n">
        <v>150000</v>
      </c>
      <c r="I4098" s="22" t="n">
        <v>97000</v>
      </c>
      <c r="J4098" s="20" t="inlineStr">
        <is>
          <t>VISHNU CARS PRIVATE LIMITED</t>
        </is>
      </c>
      <c r="K4098" s="20" t="inlineStr">
        <is>
          <t>Non-Captive</t>
        </is>
      </c>
      <c r="L4098" s="20" t="inlineStr">
        <is>
          <t>Santhosh Cars</t>
        </is>
      </c>
      <c r="M4098" s="23" t="n">
        <v>4237.29</v>
      </c>
    </row>
    <row r="4099">
      <c r="A4099" s="19" t="inlineStr">
        <is>
          <t>FY27</t>
        </is>
      </c>
      <c r="B4099" s="19" t="inlineStr">
        <is>
          <t>Sep</t>
        </is>
      </c>
      <c r="C4099" s="19" t="inlineStr">
        <is>
          <t>TN</t>
        </is>
      </c>
      <c r="D4099" s="20" t="inlineStr">
        <is>
          <t>TN10Z2221</t>
        </is>
      </c>
      <c r="E4099" s="20" t="inlineStr">
        <is>
          <t>MARUTI SUZUKI</t>
        </is>
      </c>
      <c r="F4099" s="20" t="inlineStr">
        <is>
          <t>Swift</t>
        </is>
      </c>
      <c r="G4099" s="21" t="n">
        <v>2010</v>
      </c>
      <c r="H4099" s="22" t="n">
        <v>143870</v>
      </c>
      <c r="I4099" s="22" t="n">
        <v>88000</v>
      </c>
      <c r="J4099" s="20" t="inlineStr">
        <is>
          <t>EXCHANGE ROTN</t>
        </is>
      </c>
      <c r="K4099" s="20" t="inlineStr">
        <is>
          <t>Captive</t>
        </is>
      </c>
      <c r="L4099" s="20" t="inlineStr">
        <is>
          <t>Sai Cars</t>
        </is>
      </c>
      <c r="M4099" s="23" t="n">
        <v>4237.29</v>
      </c>
    </row>
    <row r="4100">
      <c r="A4100" s="19" t="inlineStr">
        <is>
          <t>FY27</t>
        </is>
      </c>
      <c r="B4100" s="19" t="inlineStr">
        <is>
          <t>Sep</t>
        </is>
      </c>
      <c r="C4100" s="19" t="inlineStr">
        <is>
          <t>TN</t>
        </is>
      </c>
      <c r="D4100" s="20" t="inlineStr">
        <is>
          <t>TN10Z9995</t>
        </is>
      </c>
      <c r="E4100" s="20" t="inlineStr">
        <is>
          <t>HYUNDAI</t>
        </is>
      </c>
      <c r="F4100" s="20" t="inlineStr">
        <is>
          <t>i20</t>
        </is>
      </c>
      <c r="G4100" s="21" t="n">
        <v>2010</v>
      </c>
      <c r="H4100" s="22" t="n">
        <v>93840</v>
      </c>
      <c r="I4100" s="22" t="n">
        <v>94000</v>
      </c>
      <c r="J4100" s="20" t="inlineStr">
        <is>
          <t>PRODUCTIVITY ELEMENTS PRIVATE LIMITED</t>
        </is>
      </c>
      <c r="K4100" s="20" t="inlineStr">
        <is>
          <t>Non-Captive</t>
        </is>
      </c>
      <c r="L4100" s="20" t="inlineStr">
        <is>
          <t>Pine Autos</t>
        </is>
      </c>
      <c r="M4100" s="23" t="n">
        <v>4237.29</v>
      </c>
    </row>
    <row r="4101">
      <c r="A4101" s="19" t="inlineStr">
        <is>
          <t>FY27</t>
        </is>
      </c>
      <c r="B4101" s="19" t="inlineStr">
        <is>
          <t>Sep</t>
        </is>
      </c>
      <c r="C4101" s="19" t="inlineStr">
        <is>
          <t>TN</t>
        </is>
      </c>
      <c r="D4101" s="20" t="inlineStr">
        <is>
          <t>TN112014</t>
        </is>
      </c>
      <c r="E4101" s="20" t="inlineStr">
        <is>
          <t>MAHINDRA</t>
        </is>
      </c>
      <c r="F4101" s="20" t="inlineStr">
        <is>
          <t>Verito</t>
        </is>
      </c>
      <c r="G4101" s="21" t="n">
        <v>2012</v>
      </c>
      <c r="H4101" s="22" t="n">
        <v>76149</v>
      </c>
      <c r="I4101" s="22" t="n">
        <v>89000</v>
      </c>
      <c r="J4101" s="20" t="inlineStr">
        <is>
          <t>AIE CARS PRIVATE LIMITED</t>
        </is>
      </c>
      <c r="K4101" s="20" t="inlineStr">
        <is>
          <t>Non-Captive</t>
        </is>
      </c>
      <c r="L4101" s="20" t="inlineStr">
        <is>
          <t>VS Enterprises</t>
        </is>
      </c>
      <c r="M4101" s="23" t="n">
        <v>4237.29</v>
      </c>
    </row>
    <row r="4102">
      <c r="A4102" s="19" t="inlineStr">
        <is>
          <t>FY27</t>
        </is>
      </c>
      <c r="B4102" s="19" t="inlineStr">
        <is>
          <t>Sep</t>
        </is>
      </c>
      <c r="C4102" s="19" t="inlineStr">
        <is>
          <t>TN</t>
        </is>
      </c>
      <c r="D4102" s="20" t="inlineStr">
        <is>
          <t>TN11AH2644</t>
        </is>
      </c>
      <c r="E4102" s="20" t="inlineStr">
        <is>
          <t>TATA</t>
        </is>
      </c>
      <c r="F4102" s="20" t="inlineStr">
        <is>
          <t>Zest</t>
        </is>
      </c>
      <c r="G4102" s="21" t="n">
        <v>2018</v>
      </c>
      <c r="H4102" s="22" t="n">
        <v>148876</v>
      </c>
      <c r="I4102" s="22" t="n">
        <v>95000</v>
      </c>
      <c r="J4102" s="20" t="inlineStr">
        <is>
          <t>EXCHANGE ROTN</t>
        </is>
      </c>
      <c r="K4102" s="20" t="inlineStr">
        <is>
          <t>Captive</t>
        </is>
      </c>
      <c r="L4102" s="20" t="inlineStr">
        <is>
          <t>Sai Cars</t>
        </is>
      </c>
      <c r="M4102" s="23" t="n">
        <v>4237.29</v>
      </c>
    </row>
    <row r="4103">
      <c r="A4103" s="19" t="inlineStr">
        <is>
          <t>FY27</t>
        </is>
      </c>
      <c r="B4103" s="19" t="inlineStr">
        <is>
          <t>Sep</t>
        </is>
      </c>
      <c r="C4103" s="19" t="inlineStr">
        <is>
          <t>TN</t>
        </is>
      </c>
      <c r="D4103" s="20" t="inlineStr">
        <is>
          <t>TN11AL1255</t>
        </is>
      </c>
      <c r="E4103" s="20" t="inlineStr">
        <is>
          <t>MARUTI SUZUKI</t>
        </is>
      </c>
      <c r="F4103" s="20" t="inlineStr">
        <is>
          <t>Swift</t>
        </is>
      </c>
      <c r="G4103" s="21" t="n">
        <v>2019</v>
      </c>
      <c r="H4103" s="22" t="n">
        <v>146750</v>
      </c>
      <c r="I4103" s="22" t="n">
        <v>97000</v>
      </c>
      <c r="J4103" s="20" t="inlineStr">
        <is>
          <t>VISHNU CARS PRIVATE LIMITED</t>
        </is>
      </c>
      <c r="K4103" s="20" t="inlineStr">
        <is>
          <t>Non-Captive</t>
        </is>
      </c>
      <c r="L4103" s="20" t="inlineStr">
        <is>
          <t>Pine Autos</t>
        </is>
      </c>
      <c r="M4103" s="23" t="n">
        <v>4237.29</v>
      </c>
    </row>
    <row r="4104">
      <c r="A4104" s="19" t="inlineStr">
        <is>
          <t>FY27</t>
        </is>
      </c>
      <c r="B4104" s="19" t="inlineStr">
        <is>
          <t>Sep</t>
        </is>
      </c>
      <c r="C4104" s="19" t="inlineStr">
        <is>
          <t>TN</t>
        </is>
      </c>
      <c r="D4104" s="20" t="inlineStr">
        <is>
          <t>TN11AV8028</t>
        </is>
      </c>
      <c r="E4104" s="20" t="inlineStr">
        <is>
          <t>HYUNDAI</t>
        </is>
      </c>
      <c r="F4104" s="20" t="inlineStr">
        <is>
          <t>Venue</t>
        </is>
      </c>
      <c r="G4104" s="21" t="n">
        <v>2021</v>
      </c>
      <c r="H4104" s="22" t="n">
        <v>86675</v>
      </c>
      <c r="I4104" s="22" t="n">
        <v>600000</v>
      </c>
      <c r="J4104" s="20" t="inlineStr">
        <is>
          <t>EXCHANGE CHENNAI</t>
        </is>
      </c>
      <c r="K4104" s="20" t="inlineStr">
        <is>
          <t>Captive</t>
        </is>
      </c>
      <c r="L4104" s="20" t="inlineStr"/>
      <c r="M4104" s="23" t="n">
        <v>8474.58</v>
      </c>
    </row>
    <row r="4105">
      <c r="A4105" s="19" t="inlineStr">
        <is>
          <t>FY27</t>
        </is>
      </c>
      <c r="B4105" s="19" t="inlineStr">
        <is>
          <t>Sep</t>
        </is>
      </c>
      <c r="C4105" s="19" t="inlineStr">
        <is>
          <t>TN</t>
        </is>
      </c>
      <c r="D4105" s="20" t="inlineStr">
        <is>
          <t>TN11J2794</t>
        </is>
      </c>
      <c r="E4105" s="20" t="inlineStr">
        <is>
          <t>MARUTI SUZUKI</t>
        </is>
      </c>
      <c r="F4105" s="20" t="inlineStr">
        <is>
          <t>Dzire</t>
        </is>
      </c>
      <c r="G4105" s="21" t="n">
        <v>2014</v>
      </c>
      <c r="H4105" s="22" t="n"/>
      <c r="I4105" s="22" t="n">
        <v>186000</v>
      </c>
      <c r="J4105" s="20" t="inlineStr">
        <is>
          <t>RAJALAKSHMI CARS</t>
        </is>
      </c>
      <c r="K4105" s="20" t="inlineStr">
        <is>
          <t>Non-Captive</t>
        </is>
      </c>
      <c r="L4105" s="20" t="inlineStr">
        <is>
          <t>Ram Manohar</t>
        </is>
      </c>
      <c r="M4105" s="23" t="n">
        <v>2542.37</v>
      </c>
    </row>
    <row r="4106">
      <c r="A4106" s="19" t="inlineStr">
        <is>
          <t>FY27</t>
        </is>
      </c>
      <c r="B4106" s="19" t="inlineStr">
        <is>
          <t>Sep</t>
        </is>
      </c>
      <c r="C4106" s="19" t="inlineStr">
        <is>
          <t>TN</t>
        </is>
      </c>
      <c r="D4106" s="20" t="inlineStr">
        <is>
          <t>TN11X7918</t>
        </is>
      </c>
      <c r="E4106" s="20" t="inlineStr">
        <is>
          <t>MARUTI SUZUKI</t>
        </is>
      </c>
      <c r="F4106" s="20" t="inlineStr">
        <is>
          <t>Alto 800</t>
        </is>
      </c>
      <c r="G4106" s="21" t="n">
        <v>2013</v>
      </c>
      <c r="H4106" s="22" t="n">
        <v>71492</v>
      </c>
      <c r="I4106" s="22" t="n">
        <v>150000</v>
      </c>
      <c r="J4106" s="20" t="inlineStr">
        <is>
          <t>CASTLE TRADERS MARUTI</t>
        </is>
      </c>
      <c r="K4106" s="20" t="inlineStr">
        <is>
          <t>Non-Captive</t>
        </is>
      </c>
      <c r="L4106" s="20" t="inlineStr">
        <is>
          <t>Trust On Wheels</t>
        </is>
      </c>
      <c r="M4106" s="23" t="n">
        <v>5084.75</v>
      </c>
    </row>
    <row r="4107">
      <c r="A4107" s="19" t="inlineStr">
        <is>
          <t>FY27</t>
        </is>
      </c>
      <c r="B4107" s="19" t="inlineStr">
        <is>
          <t>Sep</t>
        </is>
      </c>
      <c r="C4107" s="19" t="inlineStr">
        <is>
          <t>TN</t>
        </is>
      </c>
      <c r="D4107" s="20" t="inlineStr">
        <is>
          <t>TN12AF4001</t>
        </is>
      </c>
      <c r="E4107" s="20" t="inlineStr">
        <is>
          <t>MARUTI SUZUKI</t>
        </is>
      </c>
      <c r="F4107" s="20" t="inlineStr">
        <is>
          <t>Celerio</t>
        </is>
      </c>
      <c r="G4107" s="21" t="n">
        <v>2019</v>
      </c>
      <c r="H4107" s="22" t="n">
        <v>38226</v>
      </c>
      <c r="I4107" s="22" t="n">
        <v>304500</v>
      </c>
      <c r="J4107" s="20" t="inlineStr">
        <is>
          <t>CASTLE TRADERS MARUTI</t>
        </is>
      </c>
      <c r="K4107" s="20" t="inlineStr">
        <is>
          <t>Non-Captive</t>
        </is>
      </c>
      <c r="L4107" s="20" t="inlineStr">
        <is>
          <t>Cars24</t>
        </is>
      </c>
      <c r="M4107" s="23" t="n">
        <v>6355.93</v>
      </c>
    </row>
    <row r="4108">
      <c r="A4108" s="19" t="inlineStr">
        <is>
          <t>FY27</t>
        </is>
      </c>
      <c r="B4108" s="19" t="inlineStr">
        <is>
          <t>Sep</t>
        </is>
      </c>
      <c r="C4108" s="19" t="inlineStr">
        <is>
          <t>TN</t>
        </is>
      </c>
      <c r="D4108" s="20" t="inlineStr">
        <is>
          <t>TN12AQ2584</t>
        </is>
      </c>
      <c r="E4108" s="20" t="inlineStr">
        <is>
          <t>MARUTI SUZUKI</t>
        </is>
      </c>
      <c r="F4108" s="20" t="inlineStr">
        <is>
          <t>Wagon R</t>
        </is>
      </c>
      <c r="G4108" s="21" t="n">
        <v>2021</v>
      </c>
      <c r="H4108" s="22" t="n">
        <v>73905</v>
      </c>
      <c r="I4108" s="22" t="n">
        <v>406000</v>
      </c>
      <c r="J4108" s="20" t="inlineStr">
        <is>
          <t>CASTLE TRADERS MARUTI</t>
        </is>
      </c>
      <c r="K4108" s="20" t="inlineStr">
        <is>
          <t>Non-Captive</t>
        </is>
      </c>
      <c r="L4108" s="20" t="inlineStr">
        <is>
          <t>Lanson Qcars Private Limited</t>
        </is>
      </c>
      <c r="M4108" s="23" t="n">
        <v>7627.12</v>
      </c>
    </row>
    <row r="4109">
      <c r="A4109" s="19" t="inlineStr">
        <is>
          <t>FY27</t>
        </is>
      </c>
      <c r="B4109" s="19" t="inlineStr">
        <is>
          <t>Sep</t>
        </is>
      </c>
      <c r="C4109" s="19" t="inlineStr">
        <is>
          <t>TN</t>
        </is>
      </c>
      <c r="D4109" s="20" t="inlineStr">
        <is>
          <t>TN12BC7311</t>
        </is>
      </c>
      <c r="E4109" s="20" t="inlineStr">
        <is>
          <t>MARUTI SUZUKI</t>
        </is>
      </c>
      <c r="F4109" s="20" t="inlineStr">
        <is>
          <t>Grand Vitara</t>
        </is>
      </c>
      <c r="G4109" s="21" t="n"/>
      <c r="H4109" s="22" t="n"/>
      <c r="I4109" s="22" t="n">
        <v>870000</v>
      </c>
      <c r="J4109" s="20" t="inlineStr">
        <is>
          <t>CASTLE TRADERS MARUTI</t>
        </is>
      </c>
      <c r="K4109" s="20" t="inlineStr">
        <is>
          <t>Non-Captive</t>
        </is>
      </c>
      <c r="L4109" s="20" t="inlineStr">
        <is>
          <t>Best Cars</t>
        </is>
      </c>
      <c r="M4109" s="23" t="n">
        <v>8474.58</v>
      </c>
    </row>
    <row r="4110">
      <c r="A4110" s="19" t="inlineStr">
        <is>
          <t>FY27</t>
        </is>
      </c>
      <c r="B4110" s="19" t="inlineStr">
        <is>
          <t>Sep</t>
        </is>
      </c>
      <c r="C4110" s="19" t="inlineStr">
        <is>
          <t>TN</t>
        </is>
      </c>
      <c r="D4110" s="20" t="inlineStr">
        <is>
          <t>TN12BH8022</t>
        </is>
      </c>
      <c r="E4110" s="20" t="inlineStr">
        <is>
          <t>MARUTI SUZUKI</t>
        </is>
      </c>
      <c r="F4110" s="20" t="inlineStr">
        <is>
          <t>Eeco</t>
        </is>
      </c>
      <c r="G4110" s="21" t="n">
        <v>2024</v>
      </c>
      <c r="H4110" s="22" t="n">
        <v>9475</v>
      </c>
      <c r="I4110" s="22" t="n">
        <v>476000</v>
      </c>
      <c r="J4110" s="20" t="inlineStr">
        <is>
          <t>CASTLE TRADERS MARUTI</t>
        </is>
      </c>
      <c r="K4110" s="20" t="inlineStr">
        <is>
          <t>Non-Captive</t>
        </is>
      </c>
      <c r="L4110" s="20" t="inlineStr">
        <is>
          <t>Kamal Cars</t>
        </is>
      </c>
      <c r="M4110" s="23" t="n">
        <v>7627.42</v>
      </c>
    </row>
    <row r="4111">
      <c r="A4111" s="19" t="inlineStr">
        <is>
          <t>FY27</t>
        </is>
      </c>
      <c r="B4111" s="19" t="inlineStr">
        <is>
          <t>Sep</t>
        </is>
      </c>
      <c r="C4111" s="19" t="inlineStr">
        <is>
          <t>TN</t>
        </is>
      </c>
      <c r="D4111" s="20" t="inlineStr">
        <is>
          <t>TN12D3215</t>
        </is>
      </c>
      <c r="E4111" s="20" t="inlineStr">
        <is>
          <t>MARUTI SUZUKI</t>
        </is>
      </c>
      <c r="F4111" s="20" t="inlineStr">
        <is>
          <t>Wagon R</t>
        </is>
      </c>
      <c r="G4111" s="21" t="n">
        <v>2014</v>
      </c>
      <c r="H4111" s="22" t="n">
        <v>125324</v>
      </c>
      <c r="I4111" s="22" t="n">
        <v>169000</v>
      </c>
      <c r="J4111" s="20" t="inlineStr">
        <is>
          <t>CASTLE TRADERS MARUTI</t>
        </is>
      </c>
      <c r="K4111" s="20" t="inlineStr">
        <is>
          <t>Non-Captive</t>
        </is>
      </c>
      <c r="L4111" s="20" t="inlineStr">
        <is>
          <t>Aasim Motors</t>
        </is>
      </c>
      <c r="M4111" s="23" t="n">
        <v>5084.75</v>
      </c>
    </row>
    <row r="4112">
      <c r="A4112" s="19" t="inlineStr">
        <is>
          <t>FY27</t>
        </is>
      </c>
      <c r="B4112" s="19" t="inlineStr">
        <is>
          <t>Sep</t>
        </is>
      </c>
      <c r="C4112" s="19" t="inlineStr">
        <is>
          <t>TN</t>
        </is>
      </c>
      <c r="D4112" s="20" t="inlineStr">
        <is>
          <t>TN12H1875</t>
        </is>
      </c>
      <c r="E4112" s="20" t="inlineStr">
        <is>
          <t>MARUTI SUZUKI</t>
        </is>
      </c>
      <c r="F4112" s="20" t="inlineStr">
        <is>
          <t>Alto 800</t>
        </is>
      </c>
      <c r="G4112" s="21" t="n">
        <v>2014</v>
      </c>
      <c r="H4112" s="22" t="n">
        <v>48684</v>
      </c>
      <c r="I4112" s="22" t="n">
        <v>95000</v>
      </c>
      <c r="J4112" s="20" t="inlineStr">
        <is>
          <t>RAJALAKSHMI CARS</t>
        </is>
      </c>
      <c r="K4112" s="20" t="inlineStr">
        <is>
          <t>Non-Captive</t>
        </is>
      </c>
      <c r="L4112" s="20" t="inlineStr">
        <is>
          <t>Pine Autos</t>
        </is>
      </c>
      <c r="M4112" s="23" t="n">
        <v>4237.29</v>
      </c>
    </row>
    <row r="4113">
      <c r="A4113" s="19" t="inlineStr">
        <is>
          <t>FY27</t>
        </is>
      </c>
      <c r="B4113" s="19" t="inlineStr">
        <is>
          <t>Sep</t>
        </is>
      </c>
      <c r="C4113" s="19" t="inlineStr">
        <is>
          <t>TN</t>
        </is>
      </c>
      <c r="D4113" s="20" t="inlineStr">
        <is>
          <t>TN12U3291</t>
        </is>
      </c>
      <c r="E4113" s="20" t="inlineStr">
        <is>
          <t>MARUTI SUZUKI</t>
        </is>
      </c>
      <c r="F4113" s="20" t="inlineStr">
        <is>
          <t>Baleno</t>
        </is>
      </c>
      <c r="G4113" s="21" t="n">
        <v>2017</v>
      </c>
      <c r="H4113" s="22" t="n">
        <v>38784</v>
      </c>
      <c r="I4113" s="22" t="n">
        <v>451000</v>
      </c>
      <c r="J4113" s="20" t="inlineStr">
        <is>
          <t>CASTLE TRADERS MARUTI</t>
        </is>
      </c>
      <c r="K4113" s="20" t="inlineStr">
        <is>
          <t>Non-Captive</t>
        </is>
      </c>
      <c r="L4113" s="20" t="inlineStr">
        <is>
          <t>Cars24</t>
        </is>
      </c>
      <c r="M4113" s="23" t="n">
        <v>7627.12</v>
      </c>
    </row>
    <row r="4114">
      <c r="A4114" s="19" t="inlineStr">
        <is>
          <t>FY27</t>
        </is>
      </c>
      <c r="B4114" s="19" t="inlineStr">
        <is>
          <t>Sep</t>
        </is>
      </c>
      <c r="C4114" s="19" t="inlineStr">
        <is>
          <t>TN</t>
        </is>
      </c>
      <c r="D4114" s="20" t="inlineStr">
        <is>
          <t>TN131125</t>
        </is>
      </c>
      <c r="E4114" s="20" t="inlineStr">
        <is>
          <t>MARUTI SUZUKI</t>
        </is>
      </c>
      <c r="F4114" s="20" t="inlineStr">
        <is>
          <t>Alto 800</t>
        </is>
      </c>
      <c r="G4114" s="21" t="n">
        <v>2014</v>
      </c>
      <c r="H4114" s="22" t="n">
        <v>39290</v>
      </c>
      <c r="I4114" s="22" t="n">
        <v>167000</v>
      </c>
      <c r="J4114" s="20" t="inlineStr">
        <is>
          <t>CASTLE TRADERS MARUTI</t>
        </is>
      </c>
      <c r="K4114" s="20" t="inlineStr">
        <is>
          <t>Non-Captive</t>
        </is>
      </c>
      <c r="L4114" s="20" t="inlineStr">
        <is>
          <t>As Cars</t>
        </is>
      </c>
      <c r="M4114" s="23" t="n">
        <v>5084.75</v>
      </c>
    </row>
    <row r="4115">
      <c r="A4115" s="19" t="inlineStr">
        <is>
          <t>FY27</t>
        </is>
      </c>
      <c r="B4115" s="19" t="inlineStr">
        <is>
          <t>Sep</t>
        </is>
      </c>
      <c r="C4115" s="19" t="inlineStr">
        <is>
          <t>TN</t>
        </is>
      </c>
      <c r="D4115" s="20" t="inlineStr">
        <is>
          <t>TN132101</t>
        </is>
      </c>
      <c r="E4115" s="20" t="inlineStr">
        <is>
          <t>FORD</t>
        </is>
      </c>
      <c r="F4115" s="20" t="inlineStr">
        <is>
          <t>Figo</t>
        </is>
      </c>
      <c r="G4115" s="21" t="n">
        <v>2013</v>
      </c>
      <c r="H4115" s="22" t="n">
        <v>90490</v>
      </c>
      <c r="I4115" s="22" t="n">
        <v>97000</v>
      </c>
      <c r="J4115" s="20" t="inlineStr">
        <is>
          <t>CASTLE TRADERS MARUTI</t>
        </is>
      </c>
      <c r="K4115" s="20" t="inlineStr">
        <is>
          <t>Non-Captive</t>
        </is>
      </c>
      <c r="L4115" s="20" t="inlineStr">
        <is>
          <t>Maruthi Industries</t>
        </is>
      </c>
      <c r="M4115" s="23" t="n">
        <v>4237.29</v>
      </c>
    </row>
    <row r="4116">
      <c r="A4116" s="19" t="inlineStr">
        <is>
          <t>FY27</t>
        </is>
      </c>
      <c r="B4116" s="19" t="inlineStr">
        <is>
          <t>Sep</t>
        </is>
      </c>
      <c r="C4116" s="19" t="inlineStr">
        <is>
          <t>TN</t>
        </is>
      </c>
      <c r="D4116" s="20" t="inlineStr">
        <is>
          <t>TN13B5171</t>
        </is>
      </c>
      <c r="E4116" s="20" t="inlineStr">
        <is>
          <t>HONDA</t>
        </is>
      </c>
      <c r="F4116" s="20" t="inlineStr">
        <is>
          <t>Amaze</t>
        </is>
      </c>
      <c r="G4116" s="21" t="n">
        <v>2015</v>
      </c>
      <c r="H4116" s="22" t="n">
        <v>76934</v>
      </c>
      <c r="I4116" s="22" t="n">
        <v>92000</v>
      </c>
      <c r="J4116" s="20" t="inlineStr">
        <is>
          <t>CRESCO CARS</t>
        </is>
      </c>
      <c r="K4116" s="20" t="inlineStr">
        <is>
          <t>Non-Captive</t>
        </is>
      </c>
      <c r="L4116" s="20" t="inlineStr">
        <is>
          <t>Car Hub</t>
        </is>
      </c>
      <c r="M4116" s="23" t="n">
        <v>4237.29</v>
      </c>
    </row>
    <row r="4117">
      <c r="A4117" s="19" t="inlineStr">
        <is>
          <t>FY27</t>
        </is>
      </c>
      <c r="B4117" s="19" t="inlineStr">
        <is>
          <t>Sep</t>
        </is>
      </c>
      <c r="C4117" s="19" t="inlineStr">
        <is>
          <t>TN</t>
        </is>
      </c>
      <c r="D4117" s="20" t="inlineStr">
        <is>
          <t>TN13P7926</t>
        </is>
      </c>
      <c r="E4117" s="20" t="inlineStr">
        <is>
          <t>MARUTI SUZUKI</t>
        </is>
      </c>
      <c r="F4117" s="20" t="inlineStr">
        <is>
          <t>Dzire</t>
        </is>
      </c>
      <c r="G4117" s="21" t="n">
        <v>2018</v>
      </c>
      <c r="H4117" s="22" t="n">
        <v>118052</v>
      </c>
      <c r="I4117" s="22" t="n">
        <v>322500</v>
      </c>
      <c r="J4117" s="20" t="inlineStr">
        <is>
          <t>CASTLE TRADERS MARUTI</t>
        </is>
      </c>
      <c r="K4117" s="20" t="inlineStr">
        <is>
          <t>Non-Captive</t>
        </is>
      </c>
      <c r="L4117" s="20" t="inlineStr">
        <is>
          <t>Aasim Motors</t>
        </is>
      </c>
      <c r="M4117" s="23" t="n">
        <v>6355.93</v>
      </c>
    </row>
    <row r="4118">
      <c r="A4118" s="19" t="inlineStr">
        <is>
          <t>FY27</t>
        </is>
      </c>
      <c r="B4118" s="19" t="inlineStr">
        <is>
          <t>Sep</t>
        </is>
      </c>
      <c r="C4118" s="19" t="inlineStr">
        <is>
          <t>TN</t>
        </is>
      </c>
      <c r="D4118" s="20" t="inlineStr">
        <is>
          <t>TN141055</t>
        </is>
      </c>
      <c r="E4118" s="20" t="inlineStr">
        <is>
          <t>MARUTI SUZUKI</t>
        </is>
      </c>
      <c r="F4118" s="20" t="inlineStr">
        <is>
          <t>Celerio</t>
        </is>
      </c>
      <c r="G4118" s="21" t="n">
        <v>2014</v>
      </c>
      <c r="H4118" s="22" t="n">
        <v>59207</v>
      </c>
      <c r="I4118" s="22" t="n">
        <v>99000</v>
      </c>
      <c r="J4118" s="20" t="inlineStr">
        <is>
          <t>KRISH TOYOTA</t>
        </is>
      </c>
      <c r="K4118" s="20" t="inlineStr">
        <is>
          <t>Non-Captive</t>
        </is>
      </c>
      <c r="L4118" s="20" t="inlineStr">
        <is>
          <t>Value Drive Tech</t>
        </is>
      </c>
      <c r="M4118" s="23" t="n">
        <v>4237.29</v>
      </c>
    </row>
    <row r="4119">
      <c r="A4119" s="19" t="inlineStr">
        <is>
          <t>FY27</t>
        </is>
      </c>
      <c r="B4119" s="19" t="inlineStr">
        <is>
          <t>Sep</t>
        </is>
      </c>
      <c r="C4119" s="19" t="inlineStr">
        <is>
          <t>TN</t>
        </is>
      </c>
      <c r="D4119" s="20" t="inlineStr">
        <is>
          <t>TN14C2640</t>
        </is>
      </c>
      <c r="E4119" s="20" t="inlineStr">
        <is>
          <t>FIAT</t>
        </is>
      </c>
      <c r="F4119" s="20" t="inlineStr">
        <is>
          <t>Grand Punto</t>
        </is>
      </c>
      <c r="G4119" s="21" t="n">
        <v>2015</v>
      </c>
      <c r="H4119" s="22" t="n">
        <v>122798</v>
      </c>
      <c r="I4119" s="22" t="n">
        <v>195000</v>
      </c>
      <c r="J4119" s="20" t="inlineStr">
        <is>
          <t>CASTLE TRADERS MARUTI</t>
        </is>
      </c>
      <c r="K4119" s="20" t="inlineStr">
        <is>
          <t>Non-Captive</t>
        </is>
      </c>
      <c r="L4119" s="20" t="inlineStr">
        <is>
          <t>Trust On Wheels</t>
        </is>
      </c>
      <c r="M4119" s="23" t="n">
        <v>5084.75</v>
      </c>
    </row>
    <row r="4120">
      <c r="A4120" s="19" t="inlineStr">
        <is>
          <t>FY27</t>
        </is>
      </c>
      <c r="B4120" s="19" t="inlineStr">
        <is>
          <t>Sep</t>
        </is>
      </c>
      <c r="C4120" s="19" t="inlineStr">
        <is>
          <t>TN</t>
        </is>
      </c>
      <c r="D4120" s="20" t="inlineStr">
        <is>
          <t>TN14C5229</t>
        </is>
      </c>
      <c r="E4120" s="20" t="inlineStr">
        <is>
          <t>HYUNDAI</t>
        </is>
      </c>
      <c r="F4120" s="20" t="inlineStr">
        <is>
          <t>Eon</t>
        </is>
      </c>
      <c r="G4120" s="21" t="n">
        <v>2015</v>
      </c>
      <c r="H4120" s="22" t="n">
        <v>36224</v>
      </c>
      <c r="I4120" s="22" t="n">
        <v>94000</v>
      </c>
      <c r="J4120" s="20" t="inlineStr">
        <is>
          <t>VISHNU CARS PRIVATE LIMITED</t>
        </is>
      </c>
      <c r="K4120" s="20" t="inlineStr">
        <is>
          <t>Non-Captive</t>
        </is>
      </c>
      <c r="L4120" s="20" t="inlineStr">
        <is>
          <t>Aaa Cars</t>
        </is>
      </c>
      <c r="M4120" s="23" t="n">
        <v>4237.29</v>
      </c>
    </row>
    <row r="4121">
      <c r="A4121" s="19" t="inlineStr">
        <is>
          <t>FY27</t>
        </is>
      </c>
      <c r="B4121" s="19" t="inlineStr">
        <is>
          <t>Sep</t>
        </is>
      </c>
      <c r="C4121" s="19" t="inlineStr">
        <is>
          <t>TN</t>
        </is>
      </c>
      <c r="D4121" s="20" t="inlineStr">
        <is>
          <t>TN14F9932</t>
        </is>
      </c>
      <c r="E4121" s="20" t="inlineStr">
        <is>
          <t>MARUTI SUZUKI</t>
        </is>
      </c>
      <c r="F4121" s="20" t="inlineStr">
        <is>
          <t>Ciaz</t>
        </is>
      </c>
      <c r="G4121" s="21" t="n">
        <v>2016</v>
      </c>
      <c r="H4121" s="22" t="n">
        <v>69095</v>
      </c>
      <c r="I4121" s="22" t="n">
        <v>416000</v>
      </c>
      <c r="J4121" s="20" t="inlineStr">
        <is>
          <t>CASTLE TRADERS MARUTI</t>
        </is>
      </c>
      <c r="K4121" s="20" t="inlineStr">
        <is>
          <t>Non-Captive</t>
        </is>
      </c>
      <c r="L4121" s="20" t="inlineStr">
        <is>
          <t>Value Drive Tech</t>
        </is>
      </c>
      <c r="M4121" s="23" t="n">
        <v>7627.36</v>
      </c>
    </row>
    <row r="4122">
      <c r="A4122" s="19" t="inlineStr">
        <is>
          <t>FY27</t>
        </is>
      </c>
      <c r="B4122" s="19" t="inlineStr">
        <is>
          <t>Sep</t>
        </is>
      </c>
      <c r="C4122" s="19" t="inlineStr">
        <is>
          <t>TN</t>
        </is>
      </c>
      <c r="D4122" s="20" t="inlineStr">
        <is>
          <t>TN14J3738</t>
        </is>
      </c>
      <c r="E4122" s="20" t="inlineStr">
        <is>
          <t>MARUTI SUZUKI</t>
        </is>
      </c>
      <c r="F4122" s="20" t="inlineStr">
        <is>
          <t>Alto</t>
        </is>
      </c>
      <c r="G4122" s="21" t="n">
        <v>2012</v>
      </c>
      <c r="H4122" s="22" t="n">
        <v>73339</v>
      </c>
      <c r="I4122" s="22" t="n">
        <v>585000</v>
      </c>
      <c r="J4122" s="20" t="inlineStr">
        <is>
          <t>CASTLE TRADERS MARUTI</t>
        </is>
      </c>
      <c r="K4122" s="20" t="inlineStr">
        <is>
          <t>Non-Captive</t>
        </is>
      </c>
      <c r="L4122" s="20" t="inlineStr">
        <is>
          <t>Cars24</t>
        </is>
      </c>
      <c r="M4122" s="23" t="n">
        <v>7627.12</v>
      </c>
    </row>
    <row r="4123">
      <c r="A4123" s="19" t="inlineStr">
        <is>
          <t>FY27</t>
        </is>
      </c>
      <c r="B4123" s="19" t="inlineStr">
        <is>
          <t>Sep</t>
        </is>
      </c>
      <c r="C4123" s="19" t="inlineStr">
        <is>
          <t>TN</t>
        </is>
      </c>
      <c r="D4123" s="20" t="inlineStr">
        <is>
          <t>TN14U3264</t>
        </is>
      </c>
      <c r="E4123" s="20" t="inlineStr">
        <is>
          <t>HONDA</t>
        </is>
      </c>
      <c r="F4123" s="20" t="inlineStr">
        <is>
          <t>Jazz</t>
        </is>
      </c>
      <c r="G4123" s="21" t="n">
        <v>2012</v>
      </c>
      <c r="H4123" s="22" t="n">
        <v>69235</v>
      </c>
      <c r="I4123" s="22" t="n">
        <v>99000</v>
      </c>
      <c r="J4123" s="20" t="inlineStr">
        <is>
          <t>VISHNU CARS PRIVATE LIMITED</t>
        </is>
      </c>
      <c r="K4123" s="20" t="inlineStr">
        <is>
          <t>Non-Captive</t>
        </is>
      </c>
      <c r="L4123" s="20" t="inlineStr">
        <is>
          <t>Pine Autos</t>
        </is>
      </c>
      <c r="M4123" s="23" t="n">
        <v>4237.29</v>
      </c>
    </row>
    <row r="4124">
      <c r="A4124" s="19" t="inlineStr">
        <is>
          <t>FY27</t>
        </is>
      </c>
      <c r="B4124" s="19" t="inlineStr">
        <is>
          <t>Sep</t>
        </is>
      </c>
      <c r="C4124" s="19" t="inlineStr">
        <is>
          <t>TN</t>
        </is>
      </c>
      <c r="D4124" s="20" t="inlineStr">
        <is>
          <t>TN18AD3895</t>
        </is>
      </c>
      <c r="E4124" s="20" t="inlineStr">
        <is>
          <t>TATA</t>
        </is>
      </c>
      <c r="F4124" s="20" t="inlineStr">
        <is>
          <t>Indica</t>
        </is>
      </c>
      <c r="G4124" s="21" t="n">
        <v>2015</v>
      </c>
      <c r="H4124" s="22" t="n">
        <v>178982</v>
      </c>
      <c r="I4124" s="22" t="n">
        <v>200000</v>
      </c>
      <c r="J4124" s="20" t="inlineStr">
        <is>
          <t>CRESCO CARS</t>
        </is>
      </c>
      <c r="K4124" s="20" t="inlineStr">
        <is>
          <t>Non-Captive</t>
        </is>
      </c>
      <c r="L4124" s="20" t="inlineStr">
        <is>
          <t>Anishcars</t>
        </is>
      </c>
      <c r="M4124" s="23" t="n">
        <v>5932.2</v>
      </c>
    </row>
    <row r="4125">
      <c r="A4125" s="19" t="inlineStr">
        <is>
          <t>FY27</t>
        </is>
      </c>
      <c r="B4125" s="19" t="inlineStr">
        <is>
          <t>Sep</t>
        </is>
      </c>
      <c r="C4125" s="19" t="inlineStr">
        <is>
          <t>TN</t>
        </is>
      </c>
      <c r="D4125" s="20" t="inlineStr">
        <is>
          <t>TN18AF1353</t>
        </is>
      </c>
      <c r="E4125" s="20" t="inlineStr">
        <is>
          <t>MARUTI SUZUKI</t>
        </is>
      </c>
      <c r="F4125" s="20" t="inlineStr">
        <is>
          <t>Alto 800</t>
        </is>
      </c>
      <c r="G4125" s="21" t="n">
        <v>2015</v>
      </c>
      <c r="H4125" s="22" t="n">
        <v>12381</v>
      </c>
      <c r="I4125" s="22" t="n">
        <v>93000</v>
      </c>
      <c r="J4125" s="20" t="inlineStr">
        <is>
          <t>CRESCO CARS</t>
        </is>
      </c>
      <c r="K4125" s="20" t="inlineStr">
        <is>
          <t>Non-Captive</t>
        </is>
      </c>
      <c r="L4125" s="20" t="inlineStr">
        <is>
          <t>Santhosh Cars</t>
        </is>
      </c>
      <c r="M4125" s="23" t="n">
        <v>3389.83</v>
      </c>
    </row>
    <row r="4126">
      <c r="A4126" s="19" t="inlineStr">
        <is>
          <t>FY27</t>
        </is>
      </c>
      <c r="B4126" s="19" t="inlineStr">
        <is>
          <t>Sep</t>
        </is>
      </c>
      <c r="C4126" s="19" t="inlineStr">
        <is>
          <t>TN</t>
        </is>
      </c>
      <c r="D4126" s="20" t="inlineStr">
        <is>
          <t>TN18AH8950</t>
        </is>
      </c>
      <c r="E4126" s="20" t="inlineStr">
        <is>
          <t>MARUTI SUZUKI</t>
        </is>
      </c>
      <c r="F4126" s="20" t="inlineStr">
        <is>
          <t>Alto 800</t>
        </is>
      </c>
      <c r="G4126" s="21" t="n">
        <v>2016</v>
      </c>
      <c r="H4126" s="22" t="n">
        <v>105762</v>
      </c>
      <c r="I4126" s="22" t="n">
        <v>95000</v>
      </c>
      <c r="J4126" s="20" t="inlineStr">
        <is>
          <t>EXCHANGE ROTN</t>
        </is>
      </c>
      <c r="K4126" s="20" t="inlineStr">
        <is>
          <t>Captive</t>
        </is>
      </c>
      <c r="L4126" s="20" t="inlineStr">
        <is>
          <t>Sai Cars</t>
        </is>
      </c>
      <c r="M4126" s="23" t="n">
        <v>4237.29</v>
      </c>
    </row>
    <row r="4127">
      <c r="A4127" s="19" t="inlineStr">
        <is>
          <t>FY27</t>
        </is>
      </c>
      <c r="B4127" s="19" t="inlineStr">
        <is>
          <t>Sep</t>
        </is>
      </c>
      <c r="C4127" s="19" t="inlineStr">
        <is>
          <t>TN</t>
        </is>
      </c>
      <c r="D4127" s="20" t="inlineStr">
        <is>
          <t>TN18AM7641</t>
        </is>
      </c>
      <c r="E4127" s="20" t="inlineStr">
        <is>
          <t>MARUTI SUZUKI</t>
        </is>
      </c>
      <c r="F4127" s="20" t="inlineStr">
        <is>
          <t>Baleno</t>
        </is>
      </c>
      <c r="G4127" s="21" t="n">
        <v>2017</v>
      </c>
      <c r="H4127" s="22" t="n">
        <v>86644</v>
      </c>
      <c r="I4127" s="22" t="n">
        <v>189000</v>
      </c>
      <c r="J4127" s="20" t="inlineStr">
        <is>
          <t>AUTOMOTIVE MANUFACTURES PRIVATE LIMITED</t>
        </is>
      </c>
      <c r="K4127" s="20" t="inlineStr">
        <is>
          <t>Non-Captive</t>
        </is>
      </c>
      <c r="L4127" s="20" t="inlineStr">
        <is>
          <t>Nirmal Cars</t>
        </is>
      </c>
      <c r="M4127" s="23" t="n">
        <v>5084.75</v>
      </c>
    </row>
    <row r="4128">
      <c r="A4128" s="19" t="inlineStr">
        <is>
          <t>FY27</t>
        </is>
      </c>
      <c r="B4128" s="19" t="inlineStr">
        <is>
          <t>Sep</t>
        </is>
      </c>
      <c r="C4128" s="19" t="inlineStr">
        <is>
          <t>TN</t>
        </is>
      </c>
      <c r="D4128" s="20" t="inlineStr">
        <is>
          <t>TN18AR2210</t>
        </is>
      </c>
      <c r="E4128" s="20" t="inlineStr">
        <is>
          <t>MARUTI SUZUKI</t>
        </is>
      </c>
      <c r="F4128" s="20" t="inlineStr">
        <is>
          <t>Omni</t>
        </is>
      </c>
      <c r="G4128" s="21" t="n">
        <v>2018</v>
      </c>
      <c r="H4128" s="22" t="n">
        <v>65474</v>
      </c>
      <c r="I4128" s="22" t="n">
        <v>98000</v>
      </c>
      <c r="J4128" s="20" t="inlineStr">
        <is>
          <t>RAJALAKSHMI CARS</t>
        </is>
      </c>
      <c r="K4128" s="20" t="inlineStr">
        <is>
          <t>Non-Captive</t>
        </is>
      </c>
      <c r="L4128" s="20" t="inlineStr">
        <is>
          <t>Aaa Cars</t>
        </is>
      </c>
      <c r="M4128" s="23" t="n">
        <v>4237.29</v>
      </c>
    </row>
    <row r="4129">
      <c r="A4129" s="19" t="inlineStr">
        <is>
          <t>FY27</t>
        </is>
      </c>
      <c r="B4129" s="19" t="inlineStr">
        <is>
          <t>Sep</t>
        </is>
      </c>
      <c r="C4129" s="19" t="inlineStr">
        <is>
          <t>TN</t>
        </is>
      </c>
      <c r="D4129" s="20" t="inlineStr">
        <is>
          <t>TN18BW1333</t>
        </is>
      </c>
      <c r="E4129" s="20" t="inlineStr">
        <is>
          <t>KIA</t>
        </is>
      </c>
      <c r="F4129" s="20" t="inlineStr">
        <is>
          <t>Sonet</t>
        </is>
      </c>
      <c r="G4129" s="21" t="n">
        <v>2025</v>
      </c>
      <c r="H4129" s="22" t="n">
        <v>9339</v>
      </c>
      <c r="I4129" s="22" t="n">
        <v>785000</v>
      </c>
      <c r="J4129" s="20" t="inlineStr">
        <is>
          <t>CASTLE TRADERS MARUTI</t>
        </is>
      </c>
      <c r="K4129" s="20" t="inlineStr">
        <is>
          <t>Non-Captive</t>
        </is>
      </c>
      <c r="L4129" s="20" t="inlineStr">
        <is>
          <t>Pine Autos</t>
        </is>
      </c>
      <c r="M4129" s="23" t="n">
        <v>8474.58</v>
      </c>
    </row>
    <row r="4130">
      <c r="A4130" s="19" t="inlineStr">
        <is>
          <t>FY27</t>
        </is>
      </c>
      <c r="B4130" s="19" t="inlineStr">
        <is>
          <t>Sep</t>
        </is>
      </c>
      <c r="C4130" s="19" t="inlineStr">
        <is>
          <t>TN</t>
        </is>
      </c>
      <c r="D4130" s="20" t="inlineStr">
        <is>
          <t>TN18D3208</t>
        </is>
      </c>
      <c r="E4130" s="20" t="inlineStr">
        <is>
          <t>MARUTI SUZUKI</t>
        </is>
      </c>
      <c r="F4130" s="20" t="inlineStr">
        <is>
          <t>Alto</t>
        </is>
      </c>
      <c r="G4130" s="21" t="n">
        <v>2010</v>
      </c>
      <c r="H4130" s="22" t="n">
        <v>103019</v>
      </c>
      <c r="I4130" s="22" t="n">
        <v>70000</v>
      </c>
      <c r="J4130" s="20" t="inlineStr">
        <is>
          <t>EXCHANGE ROTN</t>
        </is>
      </c>
      <c r="K4130" s="20" t="inlineStr">
        <is>
          <t>Captive</t>
        </is>
      </c>
      <c r="L4130" s="20" t="inlineStr">
        <is>
          <t>Stalin Cars</t>
        </is>
      </c>
      <c r="M4130" s="23" t="n">
        <v>4237.29</v>
      </c>
    </row>
    <row r="4131">
      <c r="A4131" s="19" t="inlineStr">
        <is>
          <t>FY27</t>
        </is>
      </c>
      <c r="B4131" s="19" t="inlineStr">
        <is>
          <t>Sep</t>
        </is>
      </c>
      <c r="C4131" s="19" t="inlineStr">
        <is>
          <t>TN</t>
        </is>
      </c>
      <c r="D4131" s="20" t="inlineStr">
        <is>
          <t>TN18J1361</t>
        </is>
      </c>
      <c r="E4131" s="20" t="inlineStr">
        <is>
          <t>MARUTI SUZUKI</t>
        </is>
      </c>
      <c r="F4131" s="20" t="inlineStr">
        <is>
          <t>Alto</t>
        </is>
      </c>
      <c r="G4131" s="21" t="n">
        <v>2011</v>
      </c>
      <c r="H4131" s="22" t="n">
        <v>131727</v>
      </c>
      <c r="I4131" s="22" t="n">
        <v>93000</v>
      </c>
      <c r="J4131" s="20" t="inlineStr">
        <is>
          <t>PRODUCTIVITY ELEMENTS PRIVATE LIMITED</t>
        </is>
      </c>
      <c r="K4131" s="20" t="inlineStr">
        <is>
          <t>Non-Captive</t>
        </is>
      </c>
      <c r="L4131" s="20" t="inlineStr">
        <is>
          <t>Srijja Travels</t>
        </is>
      </c>
      <c r="M4131" s="23" t="n">
        <v>4237.29</v>
      </c>
    </row>
    <row r="4132">
      <c r="A4132" s="19" t="inlineStr">
        <is>
          <t>FY27</t>
        </is>
      </c>
      <c r="B4132" s="19" t="inlineStr">
        <is>
          <t>Sep</t>
        </is>
      </c>
      <c r="C4132" s="19" t="inlineStr">
        <is>
          <t>TN</t>
        </is>
      </c>
      <c r="D4132" s="20" t="inlineStr">
        <is>
          <t>TN18T4153</t>
        </is>
      </c>
      <c r="E4132" s="20" t="inlineStr">
        <is>
          <t>MARUTI SUZUKI</t>
        </is>
      </c>
      <c r="F4132" s="20" t="inlineStr">
        <is>
          <t>Wagon R</t>
        </is>
      </c>
      <c r="G4132" s="21" t="n">
        <v>2013</v>
      </c>
      <c r="H4132" s="22" t="n">
        <v>50062</v>
      </c>
      <c r="I4132" s="22" t="n">
        <v>95000</v>
      </c>
      <c r="J4132" s="20" t="inlineStr">
        <is>
          <t>PEEYESYEM HK MOTORS LLP</t>
        </is>
      </c>
      <c r="K4132" s="20" t="inlineStr">
        <is>
          <t>Non-Captive</t>
        </is>
      </c>
      <c r="L4132" s="20" t="inlineStr">
        <is>
          <t>Aneesa Pravin Cars</t>
        </is>
      </c>
      <c r="M4132" s="23" t="n">
        <v>4237.29</v>
      </c>
    </row>
    <row r="4133">
      <c r="A4133" s="19" t="inlineStr">
        <is>
          <t>FY27</t>
        </is>
      </c>
      <c r="B4133" s="19" t="inlineStr">
        <is>
          <t>Sep</t>
        </is>
      </c>
      <c r="C4133" s="19" t="inlineStr">
        <is>
          <t>TN</t>
        </is>
      </c>
      <c r="D4133" s="20" t="inlineStr">
        <is>
          <t>TN18V7809</t>
        </is>
      </c>
      <c r="E4133" s="20" t="inlineStr">
        <is>
          <t>MARUTI SUZUKI</t>
        </is>
      </c>
      <c r="F4133" s="20" t="inlineStr">
        <is>
          <t>Ritz</t>
        </is>
      </c>
      <c r="G4133" s="21" t="n">
        <v>2012</v>
      </c>
      <c r="H4133" s="22" t="n">
        <v>79137</v>
      </c>
      <c r="I4133" s="22" t="n">
        <v>98000</v>
      </c>
      <c r="J4133" s="20" t="inlineStr">
        <is>
          <t>CRESCO CARS</t>
        </is>
      </c>
      <c r="K4133" s="20" t="inlineStr">
        <is>
          <t>Non-Captive</t>
        </is>
      </c>
      <c r="L4133" s="20" t="inlineStr">
        <is>
          <t>Srijja Travels</t>
        </is>
      </c>
      <c r="M4133" s="23" t="n">
        <v>4237.29</v>
      </c>
    </row>
    <row r="4134">
      <c r="A4134" s="19" t="inlineStr">
        <is>
          <t>FY27</t>
        </is>
      </c>
      <c r="B4134" s="19" t="inlineStr">
        <is>
          <t>Sep</t>
        </is>
      </c>
      <c r="C4134" s="19" t="inlineStr">
        <is>
          <t>TN</t>
        </is>
      </c>
      <c r="D4134" s="20" t="inlineStr">
        <is>
          <t>TN18Z5275</t>
        </is>
      </c>
      <c r="E4134" s="20" t="inlineStr">
        <is>
          <t>MARUTI SUZUKI</t>
        </is>
      </c>
      <c r="F4134" s="20" t="inlineStr">
        <is>
          <t>Alto K10</t>
        </is>
      </c>
      <c r="G4134" s="21" t="n">
        <v>2011</v>
      </c>
      <c r="H4134" s="22" t="n">
        <v>90909</v>
      </c>
      <c r="I4134" s="22" t="n">
        <v>85000</v>
      </c>
      <c r="J4134" s="20" t="inlineStr">
        <is>
          <t>EXCHANGE ROTN</t>
        </is>
      </c>
      <c r="K4134" s="20" t="inlineStr">
        <is>
          <t>Captive</t>
        </is>
      </c>
      <c r="L4134" s="20" t="inlineStr">
        <is>
          <t>Niranchana Cars</t>
        </is>
      </c>
      <c r="M4134" s="23" t="n">
        <v>4237.29</v>
      </c>
    </row>
    <row r="4135">
      <c r="A4135" s="19" t="inlineStr">
        <is>
          <t>FY27</t>
        </is>
      </c>
      <c r="B4135" s="19" t="inlineStr">
        <is>
          <t>Sep</t>
        </is>
      </c>
      <c r="C4135" s="19" t="inlineStr">
        <is>
          <t>TN</t>
        </is>
      </c>
      <c r="D4135" s="20" t="inlineStr">
        <is>
          <t>TN19AA8865</t>
        </is>
      </c>
      <c r="E4135" s="20" t="inlineStr">
        <is>
          <t>FIAT</t>
        </is>
      </c>
      <c r="F4135" s="20" t="inlineStr">
        <is>
          <t>Grand Punto</t>
        </is>
      </c>
      <c r="G4135" s="21" t="n">
        <v>2016</v>
      </c>
      <c r="H4135" s="22" t="n">
        <v>101610</v>
      </c>
      <c r="I4135" s="22" t="n">
        <v>96000</v>
      </c>
      <c r="J4135" s="20" t="inlineStr">
        <is>
          <t>AIE CARS PRIVATE LIMITED</t>
        </is>
      </c>
      <c r="K4135" s="20" t="inlineStr">
        <is>
          <t>Non-Captive</t>
        </is>
      </c>
      <c r="L4135" s="20" t="inlineStr">
        <is>
          <t>Aaa Cars</t>
        </is>
      </c>
      <c r="M4135" s="23" t="n">
        <v>4237.29</v>
      </c>
    </row>
    <row r="4136">
      <c r="A4136" s="19" t="inlineStr">
        <is>
          <t>FY27</t>
        </is>
      </c>
      <c r="B4136" s="19" t="inlineStr">
        <is>
          <t>Sep</t>
        </is>
      </c>
      <c r="C4136" s="19" t="inlineStr">
        <is>
          <t>TN</t>
        </is>
      </c>
      <c r="D4136" s="20" t="inlineStr">
        <is>
          <t>TN19AS2919</t>
        </is>
      </c>
      <c r="E4136" s="20" t="inlineStr">
        <is>
          <t>MARUTI SUZUKI</t>
        </is>
      </c>
      <c r="F4136" s="20" t="inlineStr">
        <is>
          <t>Dzire</t>
        </is>
      </c>
      <c r="G4136" s="21" t="n">
        <v>2022</v>
      </c>
      <c r="H4136" s="22" t="n">
        <v>38765</v>
      </c>
      <c r="I4136" s="22" t="n">
        <v>593600</v>
      </c>
      <c r="J4136" s="20" t="inlineStr">
        <is>
          <t>VISHNU CARS PRIVATE LIMITED</t>
        </is>
      </c>
      <c r="K4136" s="20" t="inlineStr">
        <is>
          <t>Non-Captive</t>
        </is>
      </c>
      <c r="L4136" s="20" t="inlineStr">
        <is>
          <t>Thiyagarajan Raja Cars</t>
        </is>
      </c>
      <c r="M4136" s="23" t="n">
        <v>7627.12</v>
      </c>
    </row>
    <row r="4137">
      <c r="A4137" s="19" t="inlineStr">
        <is>
          <t>FY27</t>
        </is>
      </c>
      <c r="B4137" s="19" t="inlineStr">
        <is>
          <t>Sep</t>
        </is>
      </c>
      <c r="C4137" s="19" t="inlineStr">
        <is>
          <t>TN</t>
        </is>
      </c>
      <c r="D4137" s="20" t="inlineStr">
        <is>
          <t>TN19K4298</t>
        </is>
      </c>
      <c r="E4137" s="20" t="inlineStr">
        <is>
          <t>HONDA</t>
        </is>
      </c>
      <c r="F4137" s="20" t="inlineStr">
        <is>
          <t>City</t>
        </is>
      </c>
      <c r="G4137" s="21" t="n">
        <v>2013</v>
      </c>
      <c r="H4137" s="22" t="n">
        <v>131307</v>
      </c>
      <c r="I4137" s="22" t="n">
        <v>93000</v>
      </c>
      <c r="J4137" s="20" t="inlineStr">
        <is>
          <t>LAKSHMI NISSAN</t>
        </is>
      </c>
      <c r="K4137" s="20" t="inlineStr">
        <is>
          <t>Non-Captive</t>
        </is>
      </c>
      <c r="L4137" s="20" t="inlineStr">
        <is>
          <t>Car Hub</t>
        </is>
      </c>
      <c r="M4137" s="23" t="n">
        <v>4237.29</v>
      </c>
    </row>
    <row r="4138">
      <c r="A4138" s="19" t="inlineStr">
        <is>
          <t>FY27</t>
        </is>
      </c>
      <c r="B4138" s="19" t="inlineStr">
        <is>
          <t>Sep</t>
        </is>
      </c>
      <c r="C4138" s="19" t="inlineStr">
        <is>
          <t>TN</t>
        </is>
      </c>
      <c r="D4138" s="20" t="inlineStr">
        <is>
          <t>TN19P9990</t>
        </is>
      </c>
      <c r="E4138" s="20" t="inlineStr">
        <is>
          <t>FORD</t>
        </is>
      </c>
      <c r="F4138" s="20" t="inlineStr">
        <is>
          <t>EcoSport</t>
        </is>
      </c>
      <c r="G4138" s="21" t="n">
        <v>2014</v>
      </c>
      <c r="H4138" s="22" t="n">
        <v>147221</v>
      </c>
      <c r="I4138" s="22" t="n">
        <v>275000</v>
      </c>
      <c r="J4138" s="20" t="inlineStr">
        <is>
          <t>EXCHANGE ROTN</t>
        </is>
      </c>
      <c r="K4138" s="20" t="inlineStr">
        <is>
          <t>Captive</t>
        </is>
      </c>
      <c r="L4138" s="20" t="inlineStr"/>
      <c r="M4138" s="23" t="n">
        <v>8474.58</v>
      </c>
    </row>
    <row r="4139">
      <c r="A4139" s="19" t="inlineStr">
        <is>
          <t>FY27</t>
        </is>
      </c>
      <c r="B4139" s="19" t="inlineStr">
        <is>
          <t>Sep</t>
        </is>
      </c>
      <c r="C4139" s="19" t="inlineStr">
        <is>
          <t>TN</t>
        </is>
      </c>
      <c r="D4139" s="20" t="inlineStr">
        <is>
          <t>TN20AB6066</t>
        </is>
      </c>
      <c r="E4139" s="20" t="inlineStr">
        <is>
          <t>HONDA</t>
        </is>
      </c>
      <c r="F4139" s="20" t="inlineStr">
        <is>
          <t>City</t>
        </is>
      </c>
      <c r="G4139" s="21" t="n">
        <v>2005</v>
      </c>
      <c r="H4139" s="22" t="n">
        <v>106570</v>
      </c>
      <c r="I4139" s="22" t="n">
        <v>98000</v>
      </c>
      <c r="J4139" s="20" t="inlineStr">
        <is>
          <t>AIE CARS PRIVATE LIMITED</t>
        </is>
      </c>
      <c r="K4139" s="20" t="inlineStr">
        <is>
          <t>Non-Captive</t>
        </is>
      </c>
      <c r="L4139" s="20" t="inlineStr">
        <is>
          <t>VS Enterprises</t>
        </is>
      </c>
      <c r="M4139" s="23" t="n">
        <v>4237.29</v>
      </c>
    </row>
    <row r="4140">
      <c r="A4140" s="19" t="inlineStr">
        <is>
          <t>FY27</t>
        </is>
      </c>
      <c r="B4140" s="19" t="inlineStr">
        <is>
          <t>Sep</t>
        </is>
      </c>
      <c r="C4140" s="19" t="inlineStr">
        <is>
          <t>TN</t>
        </is>
      </c>
      <c r="D4140" s="20" t="inlineStr">
        <is>
          <t>TN20CY0777</t>
        </is>
      </c>
      <c r="E4140" s="20" t="inlineStr">
        <is>
          <t>MAHINDRA</t>
        </is>
      </c>
      <c r="F4140" s="20" t="inlineStr">
        <is>
          <t>XUV500</t>
        </is>
      </c>
      <c r="G4140" s="21" t="n">
        <v>2012</v>
      </c>
      <c r="H4140" s="22" t="n">
        <v>120315</v>
      </c>
      <c r="I4140" s="22" t="n">
        <v>98000</v>
      </c>
      <c r="J4140" s="20" t="inlineStr">
        <is>
          <t>LAKSHMI NISSAN</t>
        </is>
      </c>
      <c r="K4140" s="20" t="inlineStr">
        <is>
          <t>Non-Captive</t>
        </is>
      </c>
      <c r="L4140" s="20" t="inlineStr">
        <is>
          <t>As Cars</t>
        </is>
      </c>
      <c r="M4140" s="23" t="n">
        <v>4237.29</v>
      </c>
    </row>
    <row r="4141">
      <c r="A4141" s="19" t="inlineStr">
        <is>
          <t>FY27</t>
        </is>
      </c>
      <c r="B4141" s="19" t="inlineStr">
        <is>
          <t>Sep</t>
        </is>
      </c>
      <c r="C4141" s="19" t="inlineStr">
        <is>
          <t>TN</t>
        </is>
      </c>
      <c r="D4141" s="20" t="inlineStr">
        <is>
          <t>TN20S7166</t>
        </is>
      </c>
      <c r="E4141" s="20" t="inlineStr">
        <is>
          <t>MARUTI SUZUKI</t>
        </is>
      </c>
      <c r="F4141" s="20" t="inlineStr">
        <is>
          <t>800</t>
        </is>
      </c>
      <c r="G4141" s="21" t="n">
        <v>2003</v>
      </c>
      <c r="H4141" s="22" t="n">
        <v>97781</v>
      </c>
      <c r="I4141" s="22" t="n">
        <v>89000</v>
      </c>
      <c r="J4141" s="20" t="inlineStr">
        <is>
          <t>RAJALAKSHMI CARS</t>
        </is>
      </c>
      <c r="K4141" s="20" t="inlineStr">
        <is>
          <t>Non-Captive</t>
        </is>
      </c>
      <c r="L4141" s="20" t="inlineStr">
        <is>
          <t>Aneesa Pravin Cars</t>
        </is>
      </c>
      <c r="M4141" s="23" t="n">
        <v>4237.29</v>
      </c>
    </row>
    <row r="4142">
      <c r="A4142" s="19" t="inlineStr">
        <is>
          <t>FY27</t>
        </is>
      </c>
      <c r="B4142" s="19" t="inlineStr">
        <is>
          <t>Sep</t>
        </is>
      </c>
      <c r="C4142" s="19" t="inlineStr">
        <is>
          <t>TN</t>
        </is>
      </c>
      <c r="D4142" s="20" t="inlineStr">
        <is>
          <t>TN21AX8998</t>
        </is>
      </c>
      <c r="E4142" s="20" t="inlineStr">
        <is>
          <t>HONDA</t>
        </is>
      </c>
      <c r="F4142" s="20" t="inlineStr">
        <is>
          <t>City</t>
        </is>
      </c>
      <c r="G4142" s="21" t="n">
        <v>2008</v>
      </c>
      <c r="H4142" s="22" t="n">
        <v>27279</v>
      </c>
      <c r="I4142" s="22" t="n">
        <v>97000</v>
      </c>
      <c r="J4142" s="20" t="inlineStr">
        <is>
          <t>VISHNU CARS PRIVATE LIMITED</t>
        </is>
      </c>
      <c r="K4142" s="20" t="inlineStr">
        <is>
          <t>Non-Captive</t>
        </is>
      </c>
      <c r="L4142" s="20" t="inlineStr">
        <is>
          <t>Santhosh Cars</t>
        </is>
      </c>
      <c r="M4142" s="23" t="n">
        <v>4237.29</v>
      </c>
    </row>
    <row r="4143">
      <c r="A4143" s="19" t="inlineStr">
        <is>
          <t>FY27</t>
        </is>
      </c>
      <c r="B4143" s="19" t="inlineStr">
        <is>
          <t>Sep</t>
        </is>
      </c>
      <c r="C4143" s="19" t="inlineStr">
        <is>
          <t>TN</t>
        </is>
      </c>
      <c r="D4143" s="20" t="inlineStr">
        <is>
          <t>TN21BY2201</t>
        </is>
      </c>
      <c r="E4143" s="20" t="inlineStr">
        <is>
          <t>HYUNDAI</t>
        </is>
      </c>
      <c r="F4143" s="20" t="inlineStr">
        <is>
          <t>Tucson</t>
        </is>
      </c>
      <c r="G4143" s="21" t="n">
        <v>2016</v>
      </c>
      <c r="H4143" s="22" t="n">
        <v>24048</v>
      </c>
      <c r="I4143" s="22" t="n">
        <v>98000</v>
      </c>
      <c r="J4143" s="20" t="inlineStr">
        <is>
          <t>PEEYESYEM HK MOTORS LLP</t>
        </is>
      </c>
      <c r="K4143" s="20" t="inlineStr">
        <is>
          <t>Non-Captive</t>
        </is>
      </c>
      <c r="L4143" s="20" t="inlineStr">
        <is>
          <t>Aneesa Pravin Cars</t>
        </is>
      </c>
      <c r="M4143" s="23" t="n">
        <v>4237.29</v>
      </c>
    </row>
    <row r="4144">
      <c r="A4144" s="19" t="inlineStr">
        <is>
          <t>FY27</t>
        </is>
      </c>
      <c r="B4144" s="19" t="inlineStr">
        <is>
          <t>Sep</t>
        </is>
      </c>
      <c r="C4144" s="19" t="inlineStr">
        <is>
          <t>TN</t>
        </is>
      </c>
      <c r="D4144" s="20" t="inlineStr">
        <is>
          <t>TN21K3804</t>
        </is>
      </c>
      <c r="E4144" s="20" t="inlineStr">
        <is>
          <t>MARUTI SUZUKI</t>
        </is>
      </c>
      <c r="F4144" s="20" t="inlineStr">
        <is>
          <t>Swift</t>
        </is>
      </c>
      <c r="G4144" s="21" t="n">
        <v>2006</v>
      </c>
      <c r="H4144" s="22" t="n">
        <v>137153</v>
      </c>
      <c r="I4144" s="22" t="n">
        <v>93000</v>
      </c>
      <c r="J4144" s="20" t="inlineStr">
        <is>
          <t>FPL AUTOMOBILES PRIVATE LIMITED</t>
        </is>
      </c>
      <c r="K4144" s="20" t="inlineStr">
        <is>
          <t>Non-Captive</t>
        </is>
      </c>
      <c r="L4144" s="20" t="inlineStr">
        <is>
          <t>Value Drive Tech</t>
        </is>
      </c>
      <c r="M4144" s="23" t="n">
        <v>4237.29</v>
      </c>
    </row>
    <row r="4145">
      <c r="A4145" s="19" t="inlineStr">
        <is>
          <t>FY27</t>
        </is>
      </c>
      <c r="B4145" s="19" t="inlineStr">
        <is>
          <t>Sep</t>
        </is>
      </c>
      <c r="C4145" s="19" t="inlineStr">
        <is>
          <t>TN</t>
        </is>
      </c>
      <c r="D4145" s="20" t="inlineStr">
        <is>
          <t>TN22AD7818</t>
        </is>
      </c>
      <c r="E4145" s="20" t="inlineStr">
        <is>
          <t>MAHINDRA</t>
        </is>
      </c>
      <c r="F4145" s="20" t="inlineStr">
        <is>
          <t>Scorpio</t>
        </is>
      </c>
      <c r="G4145" s="21" t="n">
        <v>2004</v>
      </c>
      <c r="H4145" s="22" t="n">
        <v>279772</v>
      </c>
      <c r="I4145" s="22" t="n">
        <v>130000</v>
      </c>
      <c r="J4145" s="20" t="inlineStr">
        <is>
          <t>EXCHANGE CHENNAI</t>
        </is>
      </c>
      <c r="K4145" s="20" t="inlineStr">
        <is>
          <t>Captive</t>
        </is>
      </c>
      <c r="L4145" s="20" t="inlineStr">
        <is>
          <t>Santhosh Cars</t>
        </is>
      </c>
      <c r="M4145" s="23" t="n">
        <v>8474.58</v>
      </c>
    </row>
    <row r="4146">
      <c r="A4146" s="19" t="inlineStr">
        <is>
          <t>FY27</t>
        </is>
      </c>
      <c r="B4146" s="19" t="inlineStr">
        <is>
          <t>Sep</t>
        </is>
      </c>
      <c r="C4146" s="19" t="inlineStr">
        <is>
          <t>TN</t>
        </is>
      </c>
      <c r="D4146" s="20" t="inlineStr">
        <is>
          <t>TN22AE7228</t>
        </is>
      </c>
      <c r="E4146" s="20" t="inlineStr">
        <is>
          <t>HYUNDAI</t>
        </is>
      </c>
      <c r="F4146" s="20" t="inlineStr">
        <is>
          <t>Santro</t>
        </is>
      </c>
      <c r="G4146" s="21" t="n">
        <v>2004</v>
      </c>
      <c r="H4146" s="22" t="n">
        <v>62092</v>
      </c>
      <c r="I4146" s="22" t="n">
        <v>98000</v>
      </c>
      <c r="J4146" s="20" t="inlineStr">
        <is>
          <t>CASTLE TRADERS MARUTI</t>
        </is>
      </c>
      <c r="K4146" s="20" t="inlineStr">
        <is>
          <t>Non-Captive</t>
        </is>
      </c>
      <c r="L4146" s="20" t="inlineStr">
        <is>
          <t>Aneesa Pravin Cars</t>
        </is>
      </c>
      <c r="M4146" s="23" t="n">
        <v>4237.29</v>
      </c>
    </row>
    <row r="4147">
      <c r="A4147" s="19" t="inlineStr">
        <is>
          <t>FY27</t>
        </is>
      </c>
      <c r="B4147" s="19" t="inlineStr">
        <is>
          <t>Sep</t>
        </is>
      </c>
      <c r="C4147" s="19" t="inlineStr">
        <is>
          <t>TN</t>
        </is>
      </c>
      <c r="D4147" s="20" t="inlineStr">
        <is>
          <t>TN22AL0271</t>
        </is>
      </c>
      <c r="E4147" s="20" t="inlineStr">
        <is>
          <t>HYUNDAI</t>
        </is>
      </c>
      <c r="F4147" s="20" t="inlineStr">
        <is>
          <t>Santro</t>
        </is>
      </c>
      <c r="G4147" s="21" t="n">
        <v>2005</v>
      </c>
      <c r="H4147" s="22" t="n">
        <v>85466</v>
      </c>
      <c r="I4147" s="22" t="n">
        <v>45000</v>
      </c>
      <c r="J4147" s="20" t="inlineStr">
        <is>
          <t>EXCHANGE CHENNAI</t>
        </is>
      </c>
      <c r="K4147" s="20" t="inlineStr">
        <is>
          <t>Captive</t>
        </is>
      </c>
      <c r="L4147" s="20" t="inlineStr">
        <is>
          <t>Amarnath</t>
        </is>
      </c>
      <c r="M4147" s="23" t="n">
        <v>4237.29</v>
      </c>
    </row>
    <row r="4148">
      <c r="A4148" s="19" t="inlineStr">
        <is>
          <t>FY27</t>
        </is>
      </c>
      <c r="B4148" s="19" t="inlineStr">
        <is>
          <t>Sep</t>
        </is>
      </c>
      <c r="C4148" s="19" t="inlineStr">
        <is>
          <t>TN</t>
        </is>
      </c>
      <c r="D4148" s="20" t="inlineStr">
        <is>
          <t>TN22AV4304</t>
        </is>
      </c>
      <c r="E4148" s="20" t="inlineStr">
        <is>
          <t>HINDUSTAN MOTORS</t>
        </is>
      </c>
      <c r="F4148" s="20" t="inlineStr">
        <is>
          <t>Ambassador</t>
        </is>
      </c>
      <c r="G4148" s="21" t="n">
        <v>2007</v>
      </c>
      <c r="H4148" s="22" t="n">
        <v>78016</v>
      </c>
      <c r="I4148" s="22" t="n">
        <v>89000</v>
      </c>
      <c r="J4148" s="20" t="inlineStr">
        <is>
          <t>RAJALAKSHMI CARS</t>
        </is>
      </c>
      <c r="K4148" s="20" t="inlineStr">
        <is>
          <t>Non-Captive</t>
        </is>
      </c>
      <c r="L4148" s="20" t="inlineStr">
        <is>
          <t>Srijja Travels</t>
        </is>
      </c>
      <c r="M4148" s="23" t="n">
        <v>4237.29</v>
      </c>
    </row>
    <row r="4149">
      <c r="A4149" s="19" t="inlineStr">
        <is>
          <t>FY27</t>
        </is>
      </c>
      <c r="B4149" s="19" t="inlineStr">
        <is>
          <t>Sep</t>
        </is>
      </c>
      <c r="C4149" s="19" t="inlineStr">
        <is>
          <t>TN</t>
        </is>
      </c>
      <c r="D4149" s="20" t="inlineStr">
        <is>
          <t>TN22BB0616</t>
        </is>
      </c>
      <c r="E4149" s="20" t="inlineStr">
        <is>
          <t>MARUTI SUZUKI</t>
        </is>
      </c>
      <c r="F4149" s="20" t="inlineStr">
        <is>
          <t>Wagon R</t>
        </is>
      </c>
      <c r="G4149" s="21" t="n">
        <v>2008</v>
      </c>
      <c r="H4149" s="22" t="n">
        <v>97423</v>
      </c>
      <c r="I4149" s="22" t="n">
        <v>92000</v>
      </c>
      <c r="J4149" s="20" t="inlineStr">
        <is>
          <t>STEER AUTO TECHNOLOGIES PRIVATE LIMITED</t>
        </is>
      </c>
      <c r="K4149" s="20" t="inlineStr">
        <is>
          <t>Non-Captive</t>
        </is>
      </c>
      <c r="L4149" s="20" t="inlineStr">
        <is>
          <t>Srijja Travels</t>
        </is>
      </c>
      <c r="M4149" s="23" t="n">
        <v>4237.29</v>
      </c>
    </row>
    <row r="4150">
      <c r="A4150" s="19" t="inlineStr">
        <is>
          <t>FY27</t>
        </is>
      </c>
      <c r="B4150" s="19" t="inlineStr">
        <is>
          <t>Sep</t>
        </is>
      </c>
      <c r="C4150" s="19" t="inlineStr">
        <is>
          <t>TN</t>
        </is>
      </c>
      <c r="D4150" s="20" t="inlineStr">
        <is>
          <t>TN22BB4074</t>
        </is>
      </c>
      <c r="E4150" s="20" t="inlineStr">
        <is>
          <t>MARUTI SUZUKI</t>
        </is>
      </c>
      <c r="F4150" s="20" t="inlineStr">
        <is>
          <t>Wagon R</t>
        </is>
      </c>
      <c r="G4150" s="21" t="n">
        <v>2008</v>
      </c>
      <c r="H4150" s="22" t="n">
        <v>42884</v>
      </c>
      <c r="I4150" s="22" t="n">
        <v>96000</v>
      </c>
      <c r="J4150" s="20" t="inlineStr">
        <is>
          <t>VISHNU CARS PRIVATE LIMITED</t>
        </is>
      </c>
      <c r="K4150" s="20" t="inlineStr">
        <is>
          <t>Non-Captive</t>
        </is>
      </c>
      <c r="L4150" s="20" t="inlineStr">
        <is>
          <t>Santhosh Cars</t>
        </is>
      </c>
      <c r="M4150" s="23" t="n">
        <v>4237.29</v>
      </c>
    </row>
    <row r="4151">
      <c r="A4151" s="19" t="inlineStr">
        <is>
          <t>FY27</t>
        </is>
      </c>
      <c r="B4151" s="19" t="inlineStr">
        <is>
          <t>Sep</t>
        </is>
      </c>
      <c r="C4151" s="19" t="inlineStr">
        <is>
          <t>TN</t>
        </is>
      </c>
      <c r="D4151" s="20" t="inlineStr">
        <is>
          <t>TN22BP6360</t>
        </is>
      </c>
      <c r="E4151" s="20" t="inlineStr">
        <is>
          <t>MARUTI SUZUKI</t>
        </is>
      </c>
      <c r="F4151" s="20" t="inlineStr">
        <is>
          <t>Ritz</t>
        </is>
      </c>
      <c r="G4151" s="21" t="n">
        <v>2011</v>
      </c>
      <c r="H4151" s="22" t="n">
        <v>38984</v>
      </c>
      <c r="I4151" s="22" t="n">
        <v>92000</v>
      </c>
      <c r="J4151" s="20" t="inlineStr">
        <is>
          <t>HARSHA TOYOTA</t>
        </is>
      </c>
      <c r="K4151" s="20" t="inlineStr">
        <is>
          <t>Non-Captive</t>
        </is>
      </c>
      <c r="L4151" s="20" t="inlineStr">
        <is>
          <t>Grid 33</t>
        </is>
      </c>
      <c r="M4151" s="23" t="n">
        <v>4661.02</v>
      </c>
    </row>
    <row r="4152">
      <c r="A4152" s="19" t="inlineStr">
        <is>
          <t>FY27</t>
        </is>
      </c>
      <c r="B4152" s="19" t="inlineStr">
        <is>
          <t>Sep</t>
        </is>
      </c>
      <c r="C4152" s="19" t="inlineStr">
        <is>
          <t>TN</t>
        </is>
      </c>
      <c r="D4152" s="20" t="inlineStr">
        <is>
          <t>TN22BP8318</t>
        </is>
      </c>
      <c r="E4152" s="20" t="inlineStr">
        <is>
          <t>FORD</t>
        </is>
      </c>
      <c r="F4152" s="20" t="inlineStr">
        <is>
          <t>Figo</t>
        </is>
      </c>
      <c r="G4152" s="21" t="n">
        <v>2011</v>
      </c>
      <c r="H4152" s="22" t="n">
        <v>104012</v>
      </c>
      <c r="I4152" s="22" t="n">
        <v>97000</v>
      </c>
      <c r="J4152" s="20" t="inlineStr">
        <is>
          <t>VISHNU CARS PRIVATE LIMITED</t>
        </is>
      </c>
      <c r="K4152" s="20" t="inlineStr">
        <is>
          <t>Non-Captive</t>
        </is>
      </c>
      <c r="L4152" s="20" t="inlineStr">
        <is>
          <t>Santhosh Cars</t>
        </is>
      </c>
      <c r="M4152" s="23" t="n">
        <v>4237.29</v>
      </c>
    </row>
    <row r="4153">
      <c r="A4153" s="19" t="inlineStr">
        <is>
          <t>FY27</t>
        </is>
      </c>
      <c r="B4153" s="19" t="inlineStr">
        <is>
          <t>Sep</t>
        </is>
      </c>
      <c r="C4153" s="19" t="inlineStr">
        <is>
          <t>TN</t>
        </is>
      </c>
      <c r="D4153" s="20" t="inlineStr">
        <is>
          <t>TN22BQ7456</t>
        </is>
      </c>
      <c r="E4153" s="20" t="inlineStr">
        <is>
          <t>MARUTI SUZUKI</t>
        </is>
      </c>
      <c r="F4153" s="20" t="inlineStr">
        <is>
          <t>Wagon R</t>
        </is>
      </c>
      <c r="G4153" s="21" t="n">
        <v>2011</v>
      </c>
      <c r="H4153" s="22" t="n">
        <v>99999</v>
      </c>
      <c r="I4153" s="22" t="n">
        <v>94000</v>
      </c>
      <c r="J4153" s="20" t="inlineStr">
        <is>
          <t>FPL AUTOMOBILES PRIVATE LIMITED</t>
        </is>
      </c>
      <c r="K4153" s="20" t="inlineStr">
        <is>
          <t>Non-Captive</t>
        </is>
      </c>
      <c r="L4153" s="20" t="inlineStr">
        <is>
          <t>Pine Autos</t>
        </is>
      </c>
      <c r="M4153" s="23" t="n">
        <v>4237.29</v>
      </c>
    </row>
    <row r="4154">
      <c r="A4154" s="19" t="inlineStr">
        <is>
          <t>FY27</t>
        </is>
      </c>
      <c r="B4154" s="19" t="inlineStr">
        <is>
          <t>Sep</t>
        </is>
      </c>
      <c r="C4154" s="19" t="inlineStr">
        <is>
          <t>TN</t>
        </is>
      </c>
      <c r="D4154" s="20" t="inlineStr">
        <is>
          <t>TN22BQ7551</t>
        </is>
      </c>
      <c r="E4154" s="20" t="inlineStr">
        <is>
          <t>MARUTI SUZUKI</t>
        </is>
      </c>
      <c r="F4154" s="20" t="inlineStr">
        <is>
          <t>Wagon R</t>
        </is>
      </c>
      <c r="G4154" s="21" t="n">
        <v>2011</v>
      </c>
      <c r="H4154" s="22" t="n">
        <v>60062</v>
      </c>
      <c r="I4154" s="22" t="n">
        <v>92000</v>
      </c>
      <c r="J4154" s="20" t="inlineStr">
        <is>
          <t>STEER AUTO TECHNOLOGIES PRIVATE LIMITED</t>
        </is>
      </c>
      <c r="K4154" s="20" t="inlineStr">
        <is>
          <t>Non-Captive</t>
        </is>
      </c>
      <c r="L4154" s="20" t="inlineStr">
        <is>
          <t>Cars24</t>
        </is>
      </c>
      <c r="M4154" s="23" t="n">
        <v>4237.29</v>
      </c>
    </row>
    <row r="4155">
      <c r="A4155" s="19" t="inlineStr">
        <is>
          <t>FY27</t>
        </is>
      </c>
      <c r="B4155" s="19" t="inlineStr">
        <is>
          <t>Sep</t>
        </is>
      </c>
      <c r="C4155" s="19" t="inlineStr">
        <is>
          <t>TN</t>
        </is>
      </c>
      <c r="D4155" s="20" t="inlineStr">
        <is>
          <t>TN22BR4653</t>
        </is>
      </c>
      <c r="E4155" s="20" t="inlineStr">
        <is>
          <t>MARUTI SUZUKI</t>
        </is>
      </c>
      <c r="F4155" s="20" t="inlineStr">
        <is>
          <t>Alto</t>
        </is>
      </c>
      <c r="G4155" s="21" t="n">
        <v>2011</v>
      </c>
      <c r="H4155" s="22" t="n">
        <v>32584</v>
      </c>
      <c r="I4155" s="22" t="n">
        <v>25000</v>
      </c>
      <c r="J4155" s="20" t="inlineStr">
        <is>
          <t>EXCHANGE CHENNAI</t>
        </is>
      </c>
      <c r="K4155" s="20" t="inlineStr">
        <is>
          <t>Captive</t>
        </is>
      </c>
      <c r="L4155" s="20" t="inlineStr">
        <is>
          <t>Santhosh Cars</t>
        </is>
      </c>
      <c r="M4155" s="23" t="n">
        <v>4237.29</v>
      </c>
    </row>
    <row r="4156">
      <c r="A4156" s="19" t="inlineStr">
        <is>
          <t>FY27</t>
        </is>
      </c>
      <c r="B4156" s="19" t="inlineStr">
        <is>
          <t>Sep</t>
        </is>
      </c>
      <c r="C4156" s="19" t="inlineStr">
        <is>
          <t>TN</t>
        </is>
      </c>
      <c r="D4156" s="20" t="inlineStr">
        <is>
          <t>TN22BS0217</t>
        </is>
      </c>
      <c r="E4156" s="20" t="inlineStr">
        <is>
          <t>HYUNDAI</t>
        </is>
      </c>
      <c r="F4156" s="20" t="inlineStr">
        <is>
          <t>i10</t>
        </is>
      </c>
      <c r="G4156" s="21" t="n">
        <v>2010</v>
      </c>
      <c r="H4156" s="22" t="n">
        <v>87451</v>
      </c>
      <c r="I4156" s="22" t="n">
        <v>90000</v>
      </c>
      <c r="J4156" s="20" t="inlineStr">
        <is>
          <t>EXCHANGE ROTN</t>
        </is>
      </c>
      <c r="K4156" s="20" t="inlineStr">
        <is>
          <t>Captive</t>
        </is>
      </c>
      <c r="L4156" s="20" t="inlineStr">
        <is>
          <t>Sai Cars</t>
        </is>
      </c>
      <c r="M4156" s="23" t="n">
        <v>4237.29</v>
      </c>
    </row>
    <row r="4157">
      <c r="A4157" s="19" t="inlineStr">
        <is>
          <t>FY27</t>
        </is>
      </c>
      <c r="B4157" s="19" t="inlineStr">
        <is>
          <t>Sep</t>
        </is>
      </c>
      <c r="C4157" s="19" t="inlineStr">
        <is>
          <t>TN</t>
        </is>
      </c>
      <c r="D4157" s="20" t="inlineStr">
        <is>
          <t>TN22BW2417</t>
        </is>
      </c>
      <c r="E4157" s="20" t="inlineStr">
        <is>
          <t>MARUTI SUZUKI</t>
        </is>
      </c>
      <c r="F4157" s="20" t="inlineStr">
        <is>
          <t>Zen Estilo</t>
        </is>
      </c>
      <c r="G4157" s="21" t="n">
        <v>2009</v>
      </c>
      <c r="H4157" s="22" t="n">
        <v>61768</v>
      </c>
      <c r="I4157" s="22" t="n">
        <v>97000</v>
      </c>
      <c r="J4157" s="20" t="inlineStr">
        <is>
          <t>PRODUCTIVITY ELEMENTS PRIVATE LIMITED</t>
        </is>
      </c>
      <c r="K4157" s="20" t="inlineStr">
        <is>
          <t>Non-Captive</t>
        </is>
      </c>
      <c r="L4157" s="20" t="inlineStr">
        <is>
          <t>Grid 33</t>
        </is>
      </c>
      <c r="M4157" s="23" t="n">
        <v>4237.29</v>
      </c>
    </row>
    <row r="4158">
      <c r="A4158" s="19" t="inlineStr">
        <is>
          <t>FY27</t>
        </is>
      </c>
      <c r="B4158" s="19" t="inlineStr">
        <is>
          <t>Sep</t>
        </is>
      </c>
      <c r="C4158" s="19" t="inlineStr">
        <is>
          <t>TN</t>
        </is>
      </c>
      <c r="D4158" s="20" t="inlineStr">
        <is>
          <t>TN22BZ6528</t>
        </is>
      </c>
      <c r="E4158" s="20" t="inlineStr">
        <is>
          <t>MARUTI SUZUKI</t>
        </is>
      </c>
      <c r="F4158" s="20" t="inlineStr">
        <is>
          <t>Zen Estilo</t>
        </is>
      </c>
      <c r="G4158" s="21" t="n">
        <v>2008</v>
      </c>
      <c r="H4158" s="22" t="n">
        <v>10672</v>
      </c>
      <c r="I4158" s="22" t="n">
        <v>96000</v>
      </c>
      <c r="J4158" s="20" t="inlineStr">
        <is>
          <t>POPULAR VEHICLES</t>
        </is>
      </c>
      <c r="K4158" s="20" t="inlineStr">
        <is>
          <t>Non-Captive</t>
        </is>
      </c>
      <c r="L4158" s="20" t="inlineStr">
        <is>
          <t>Value Drive Tech</t>
        </is>
      </c>
      <c r="M4158" s="23" t="n">
        <v>4237.29</v>
      </c>
    </row>
    <row r="4159">
      <c r="A4159" s="19" t="inlineStr">
        <is>
          <t>FY27</t>
        </is>
      </c>
      <c r="B4159" s="19" t="inlineStr">
        <is>
          <t>Sep</t>
        </is>
      </c>
      <c r="C4159" s="19" t="inlineStr">
        <is>
          <t>TN</t>
        </is>
      </c>
      <c r="D4159" s="20" t="inlineStr">
        <is>
          <t>TN22CC0742</t>
        </is>
      </c>
      <c r="E4159" s="20" t="inlineStr">
        <is>
          <t>MARUTI SUZUKI</t>
        </is>
      </c>
      <c r="F4159" s="20" t="inlineStr">
        <is>
          <t>Alto K10</t>
        </is>
      </c>
      <c r="G4159" s="21" t="n">
        <v>2011</v>
      </c>
      <c r="H4159" s="22" t="n">
        <v>42559</v>
      </c>
      <c r="I4159" s="22" t="n">
        <v>192000</v>
      </c>
      <c r="J4159" s="20" t="inlineStr">
        <is>
          <t>ABT LIMITED</t>
        </is>
      </c>
      <c r="K4159" s="20" t="inlineStr">
        <is>
          <t>Non-Captive</t>
        </is>
      </c>
      <c r="L4159" s="20" t="inlineStr">
        <is>
          <t>Ram Manohar</t>
        </is>
      </c>
      <c r="M4159" s="23" t="n">
        <v>3389.83</v>
      </c>
    </row>
    <row r="4160">
      <c r="A4160" s="19" t="inlineStr">
        <is>
          <t>FY27</t>
        </is>
      </c>
      <c r="B4160" s="19" t="inlineStr">
        <is>
          <t>Sep</t>
        </is>
      </c>
      <c r="C4160" s="19" t="inlineStr">
        <is>
          <t>TN</t>
        </is>
      </c>
      <c r="D4160" s="20" t="inlineStr">
        <is>
          <t>TN22CD4714</t>
        </is>
      </c>
      <c r="E4160" s="20" t="inlineStr">
        <is>
          <t>MARUTI SUZUKI</t>
        </is>
      </c>
      <c r="F4160" s="20" t="inlineStr">
        <is>
          <t>A-Star</t>
        </is>
      </c>
      <c r="G4160" s="21" t="n">
        <v>2012</v>
      </c>
      <c r="H4160" s="22" t="n">
        <v>55692</v>
      </c>
      <c r="I4160" s="22" t="n">
        <v>92000</v>
      </c>
      <c r="J4160" s="20" t="inlineStr">
        <is>
          <t>LANSON QCARS PRIVATE LIMITED</t>
        </is>
      </c>
      <c r="K4160" s="20" t="inlineStr">
        <is>
          <t>Non-Captive</t>
        </is>
      </c>
      <c r="L4160" s="20" t="inlineStr">
        <is>
          <t>Srijja Travels</t>
        </is>
      </c>
      <c r="M4160" s="23" t="n">
        <v>4237.29</v>
      </c>
    </row>
    <row r="4161">
      <c r="A4161" s="19" t="inlineStr">
        <is>
          <t>FY27</t>
        </is>
      </c>
      <c r="B4161" s="19" t="inlineStr">
        <is>
          <t>Sep</t>
        </is>
      </c>
      <c r="C4161" s="19" t="inlineStr">
        <is>
          <t>TN</t>
        </is>
      </c>
      <c r="D4161" s="20" t="inlineStr">
        <is>
          <t>TN22CF2554</t>
        </is>
      </c>
      <c r="E4161" s="20" t="inlineStr">
        <is>
          <t>MARUTI SUZUKI</t>
        </is>
      </c>
      <c r="F4161" s="20" t="inlineStr">
        <is>
          <t>Alto K10</t>
        </is>
      </c>
      <c r="G4161" s="21" t="n">
        <v>2012</v>
      </c>
      <c r="H4161" s="22" t="n">
        <v>93308</v>
      </c>
      <c r="I4161" s="22" t="n">
        <v>97000</v>
      </c>
      <c r="J4161" s="20" t="inlineStr">
        <is>
          <t>EXCHANGE ROTN</t>
        </is>
      </c>
      <c r="K4161" s="20" t="inlineStr">
        <is>
          <t>Captive</t>
        </is>
      </c>
      <c r="L4161" s="20" t="inlineStr">
        <is>
          <t>Mr.Cars</t>
        </is>
      </c>
      <c r="M4161" s="23" t="n">
        <v>4237.29</v>
      </c>
    </row>
    <row r="4162">
      <c r="A4162" s="19" t="inlineStr">
        <is>
          <t>FY27</t>
        </is>
      </c>
      <c r="B4162" s="19" t="inlineStr">
        <is>
          <t>Sep</t>
        </is>
      </c>
      <c r="C4162" s="19" t="inlineStr">
        <is>
          <t>TN</t>
        </is>
      </c>
      <c r="D4162" s="20" t="inlineStr">
        <is>
          <t>TN22CJ3173</t>
        </is>
      </c>
      <c r="E4162" s="20" t="inlineStr">
        <is>
          <t>MARUTI SUZUKI</t>
        </is>
      </c>
      <c r="F4162" s="20" t="inlineStr">
        <is>
          <t>Dzire</t>
        </is>
      </c>
      <c r="G4162" s="21" t="n">
        <v>2012</v>
      </c>
      <c r="H4162" s="22" t="n">
        <v>69018</v>
      </c>
      <c r="I4162" s="22" t="n">
        <v>93000</v>
      </c>
      <c r="J4162" s="20" t="inlineStr">
        <is>
          <t>THIYA CARS</t>
        </is>
      </c>
      <c r="K4162" s="20" t="inlineStr">
        <is>
          <t>Non-Captive</t>
        </is>
      </c>
      <c r="L4162" s="20" t="inlineStr">
        <is>
          <t>Srijja Travels</t>
        </is>
      </c>
      <c r="M4162" s="23" t="n">
        <v>4237.29</v>
      </c>
    </row>
    <row r="4163">
      <c r="A4163" s="19" t="inlineStr">
        <is>
          <t>FY27</t>
        </is>
      </c>
      <c r="B4163" s="19" t="inlineStr">
        <is>
          <t>Sep</t>
        </is>
      </c>
      <c r="C4163" s="19" t="inlineStr">
        <is>
          <t>TN</t>
        </is>
      </c>
      <c r="D4163" s="20" t="inlineStr">
        <is>
          <t>TN22CP1801</t>
        </is>
      </c>
      <c r="E4163" s="20" t="inlineStr">
        <is>
          <t>HONDA</t>
        </is>
      </c>
      <c r="F4163" s="20" t="inlineStr">
        <is>
          <t>Brio</t>
        </is>
      </c>
      <c r="G4163" s="21" t="n">
        <v>2013</v>
      </c>
      <c r="H4163" s="22" t="n">
        <v>108402</v>
      </c>
      <c r="I4163" s="22" t="n">
        <v>86000</v>
      </c>
      <c r="J4163" s="20" t="inlineStr">
        <is>
          <t>VISHNU CARS PRIVATE LIMITED</t>
        </is>
      </c>
      <c r="K4163" s="20" t="inlineStr">
        <is>
          <t>Non-Captive</t>
        </is>
      </c>
      <c r="L4163" s="20" t="inlineStr">
        <is>
          <t>Santhosh Cars</t>
        </is>
      </c>
      <c r="M4163" s="23" t="n">
        <v>3389.83</v>
      </c>
    </row>
    <row r="4164">
      <c r="A4164" s="19" t="inlineStr">
        <is>
          <t>FY27</t>
        </is>
      </c>
      <c r="B4164" s="19" t="inlineStr">
        <is>
          <t>Sep</t>
        </is>
      </c>
      <c r="C4164" s="19" t="inlineStr">
        <is>
          <t>TN</t>
        </is>
      </c>
      <c r="D4164" s="20" t="inlineStr">
        <is>
          <t>TN22CQ4705</t>
        </is>
      </c>
      <c r="E4164" s="20" t="inlineStr">
        <is>
          <t>TATA</t>
        </is>
      </c>
      <c r="F4164" s="20" t="inlineStr">
        <is>
          <t>Indica</t>
        </is>
      </c>
      <c r="G4164" s="21" t="n">
        <v>2014</v>
      </c>
      <c r="H4164" s="22" t="n">
        <v>102742</v>
      </c>
      <c r="I4164" s="22" t="n">
        <v>94000</v>
      </c>
      <c r="J4164" s="20" t="inlineStr">
        <is>
          <t>AIE CARS PRIVATE LIMITED</t>
        </is>
      </c>
      <c r="K4164" s="20" t="inlineStr">
        <is>
          <t>Non-Captive</t>
        </is>
      </c>
      <c r="L4164" s="20" t="inlineStr">
        <is>
          <t>VS Enterprises</t>
        </is>
      </c>
      <c r="M4164" s="23" t="n">
        <v>4237.29</v>
      </c>
    </row>
    <row r="4165">
      <c r="A4165" s="19" t="inlineStr">
        <is>
          <t>FY27</t>
        </is>
      </c>
      <c r="B4165" s="19" t="inlineStr">
        <is>
          <t>Sep</t>
        </is>
      </c>
      <c r="C4165" s="19" t="inlineStr">
        <is>
          <t>TN</t>
        </is>
      </c>
      <c r="D4165" s="20" t="inlineStr">
        <is>
          <t>TN22CR1382</t>
        </is>
      </c>
      <c r="E4165" s="20" t="inlineStr">
        <is>
          <t>VOLKSWAGEN</t>
        </is>
      </c>
      <c r="F4165" s="20" t="inlineStr">
        <is>
          <t>Polo</t>
        </is>
      </c>
      <c r="G4165" s="21" t="n">
        <v>2013</v>
      </c>
      <c r="H4165" s="22" t="n">
        <v>253805</v>
      </c>
      <c r="I4165" s="22" t="n">
        <v>89000</v>
      </c>
      <c r="J4165" s="20" t="inlineStr">
        <is>
          <t>THIYA CARS</t>
        </is>
      </c>
      <c r="K4165" s="20" t="inlineStr">
        <is>
          <t>Non-Captive</t>
        </is>
      </c>
      <c r="L4165" s="20" t="inlineStr">
        <is>
          <t>Value Drive Tech</t>
        </is>
      </c>
      <c r="M4165" s="23" t="n">
        <v>4237.29</v>
      </c>
    </row>
    <row r="4166">
      <c r="A4166" s="19" t="inlineStr">
        <is>
          <t>FY27</t>
        </is>
      </c>
      <c r="B4166" s="19" t="inlineStr">
        <is>
          <t>Sep</t>
        </is>
      </c>
      <c r="C4166" s="19" t="inlineStr">
        <is>
          <t>TN</t>
        </is>
      </c>
      <c r="D4166" s="20" t="inlineStr">
        <is>
          <t>TN22DM7436</t>
        </is>
      </c>
      <c r="E4166" s="20" t="inlineStr">
        <is>
          <t>HYUNDAI</t>
        </is>
      </c>
      <c r="F4166" s="20" t="inlineStr">
        <is>
          <t>i20</t>
        </is>
      </c>
      <c r="G4166" s="21" t="n"/>
      <c r="H4166" s="22" t="n"/>
      <c r="I4166" s="22" t="n">
        <v>405000</v>
      </c>
      <c r="J4166" s="20" t="inlineStr">
        <is>
          <t>EXCHANGE CHENNAI</t>
        </is>
      </c>
      <c r="K4166" s="20" t="inlineStr">
        <is>
          <t>Captive</t>
        </is>
      </c>
      <c r="L4166" s="20" t="inlineStr">
        <is>
          <t>Santhosh Cars</t>
        </is>
      </c>
      <c r="M4166" s="23" t="n">
        <v>8474.58</v>
      </c>
    </row>
    <row r="4167">
      <c r="A4167" s="19" t="inlineStr">
        <is>
          <t>FY27</t>
        </is>
      </c>
      <c r="B4167" s="19" t="inlineStr">
        <is>
          <t>Sep</t>
        </is>
      </c>
      <c r="C4167" s="19" t="inlineStr">
        <is>
          <t>TN</t>
        </is>
      </c>
      <c r="D4167" s="20" t="inlineStr">
        <is>
          <t>TN22DQ5262</t>
        </is>
      </c>
      <c r="E4167" s="20" t="inlineStr">
        <is>
          <t>HYUNDAI</t>
        </is>
      </c>
      <c r="F4167" s="20" t="inlineStr">
        <is>
          <t>Xcent</t>
        </is>
      </c>
      <c r="G4167" s="21" t="n">
        <v>2019</v>
      </c>
      <c r="H4167" s="22" t="n">
        <v>45027</v>
      </c>
      <c r="I4167" s="22" t="n">
        <v>385000</v>
      </c>
      <c r="J4167" s="20" t="inlineStr">
        <is>
          <t>EXCHANGE CHENNAI</t>
        </is>
      </c>
      <c r="K4167" s="20" t="inlineStr">
        <is>
          <t>Captive</t>
        </is>
      </c>
      <c r="L4167" s="20" t="inlineStr"/>
      <c r="M4167" s="23" t="n">
        <v>8474.58</v>
      </c>
    </row>
    <row r="4168">
      <c r="A4168" s="19" t="inlineStr">
        <is>
          <t>FY27</t>
        </is>
      </c>
      <c r="B4168" s="19" t="inlineStr">
        <is>
          <t>Sep</t>
        </is>
      </c>
      <c r="C4168" s="19" t="inlineStr">
        <is>
          <t>TN</t>
        </is>
      </c>
      <c r="D4168" s="20" t="inlineStr">
        <is>
          <t>TN22DT3817</t>
        </is>
      </c>
      <c r="E4168" s="20" t="inlineStr">
        <is>
          <t>TATA</t>
        </is>
      </c>
      <c r="F4168" s="20" t="inlineStr">
        <is>
          <t>Nexon</t>
        </is>
      </c>
      <c r="G4168" s="21" t="n">
        <v>2020</v>
      </c>
      <c r="H4168" s="22" t="n">
        <v>103868</v>
      </c>
      <c r="I4168" s="22" t="n">
        <v>96000</v>
      </c>
      <c r="J4168" s="20" t="inlineStr">
        <is>
          <t>PRODUCTIVITY ELEMENTS PRIVATE LIMITED</t>
        </is>
      </c>
      <c r="K4168" s="20" t="inlineStr">
        <is>
          <t>Non-Captive</t>
        </is>
      </c>
      <c r="L4168" s="20" t="inlineStr">
        <is>
          <t>Castel Traders Honada</t>
        </is>
      </c>
      <c r="M4168" s="23" t="n">
        <v>4237.29</v>
      </c>
    </row>
    <row r="4169">
      <c r="A4169" s="19" t="inlineStr">
        <is>
          <t>FY27</t>
        </is>
      </c>
      <c r="B4169" s="19" t="inlineStr">
        <is>
          <t>Sep</t>
        </is>
      </c>
      <c r="C4169" s="19" t="inlineStr">
        <is>
          <t>TN</t>
        </is>
      </c>
      <c r="D4169" s="20" t="inlineStr">
        <is>
          <t>TN25AJ0522</t>
        </is>
      </c>
      <c r="E4169" s="20" t="inlineStr">
        <is>
          <t>TATA</t>
        </is>
      </c>
      <c r="F4169" s="20" t="inlineStr">
        <is>
          <t>Indigo</t>
        </is>
      </c>
      <c r="G4169" s="21" t="n">
        <v>2013</v>
      </c>
      <c r="H4169" s="22" t="n">
        <v>115988</v>
      </c>
      <c r="I4169" s="22" t="n">
        <v>169000</v>
      </c>
      <c r="J4169" s="20" t="inlineStr">
        <is>
          <t>KKR ENTERPRISES</t>
        </is>
      </c>
      <c r="K4169" s="20" t="inlineStr">
        <is>
          <t>Non-Captive</t>
        </is>
      </c>
      <c r="L4169" s="20" t="inlineStr">
        <is>
          <t>Srijja Travels</t>
        </is>
      </c>
      <c r="M4169" s="23" t="n">
        <v>5084.79</v>
      </c>
    </row>
    <row r="4170">
      <c r="A4170" s="19" t="inlineStr">
        <is>
          <t>FY27</t>
        </is>
      </c>
      <c r="B4170" s="19" t="inlineStr">
        <is>
          <t>Sep</t>
        </is>
      </c>
      <c r="C4170" s="19" t="inlineStr">
        <is>
          <t>TN</t>
        </is>
      </c>
      <c r="D4170" s="20" t="inlineStr">
        <is>
          <t>TN25BC9339</t>
        </is>
      </c>
      <c r="E4170" s="20" t="inlineStr">
        <is>
          <t>HONDA</t>
        </is>
      </c>
      <c r="F4170" s="20" t="inlineStr">
        <is>
          <t>City</t>
        </is>
      </c>
      <c r="G4170" s="21" t="n">
        <v>2017</v>
      </c>
      <c r="H4170" s="22" t="n">
        <v>180224</v>
      </c>
      <c r="I4170" s="22" t="n">
        <v>535000</v>
      </c>
      <c r="J4170" s="20" t="inlineStr">
        <is>
          <t>EXCHANGE ROTN</t>
        </is>
      </c>
      <c r="K4170" s="20" t="inlineStr">
        <is>
          <t>Captive</t>
        </is>
      </c>
      <c r="L4170" s="20" t="inlineStr">
        <is>
          <t>Ss Cars (Erode)</t>
        </is>
      </c>
      <c r="M4170" s="23" t="n">
        <v>12711.86</v>
      </c>
    </row>
    <row r="4171">
      <c r="A4171" s="19" t="inlineStr">
        <is>
          <t>FY27</t>
        </is>
      </c>
      <c r="B4171" s="19" t="inlineStr">
        <is>
          <t>Sep</t>
        </is>
      </c>
      <c r="C4171" s="19" t="inlineStr">
        <is>
          <t>TN</t>
        </is>
      </c>
      <c r="D4171" s="20" t="inlineStr">
        <is>
          <t>TN25BK2450</t>
        </is>
      </c>
      <c r="E4171" s="20" t="inlineStr">
        <is>
          <t>TATA</t>
        </is>
      </c>
      <c r="F4171" s="20" t="inlineStr">
        <is>
          <t>Tigor</t>
        </is>
      </c>
      <c r="G4171" s="21" t="n">
        <v>2018</v>
      </c>
      <c r="H4171" s="22" t="n">
        <v>92222</v>
      </c>
      <c r="I4171" s="22" t="n">
        <v>310000</v>
      </c>
      <c r="J4171" s="20" t="inlineStr">
        <is>
          <t>EXCHANGE CHENNAI</t>
        </is>
      </c>
      <c r="K4171" s="20" t="inlineStr">
        <is>
          <t>Captive</t>
        </is>
      </c>
      <c r="L4171" s="20" t="inlineStr">
        <is>
          <t>Santhosh Cars</t>
        </is>
      </c>
      <c r="M4171" s="23" t="n">
        <v>8474.58</v>
      </c>
    </row>
    <row r="4172">
      <c r="A4172" s="19" t="inlineStr">
        <is>
          <t>FY27</t>
        </is>
      </c>
      <c r="B4172" s="19" t="inlineStr">
        <is>
          <t>Sep</t>
        </is>
      </c>
      <c r="C4172" s="19" t="inlineStr">
        <is>
          <t>TN</t>
        </is>
      </c>
      <c r="D4172" s="20" t="inlineStr">
        <is>
          <t>TN28AZ1424</t>
        </is>
      </c>
      <c r="E4172" s="20" t="inlineStr">
        <is>
          <t>MARUTI SUZUKI</t>
        </is>
      </c>
      <c r="F4172" s="20" t="inlineStr">
        <is>
          <t>Omni</t>
        </is>
      </c>
      <c r="G4172" s="21" t="n">
        <v>2007</v>
      </c>
      <c r="H4172" s="22" t="n">
        <v>268808</v>
      </c>
      <c r="I4172" s="22" t="n">
        <v>55000</v>
      </c>
      <c r="J4172" s="20" t="inlineStr">
        <is>
          <t>EXCHANGE ROTN</t>
        </is>
      </c>
      <c r="K4172" s="20" t="inlineStr">
        <is>
          <t>Captive</t>
        </is>
      </c>
      <c r="L4172" s="20" t="inlineStr">
        <is>
          <t>Sivashankar Cars</t>
        </is>
      </c>
      <c r="M4172" s="23" t="n">
        <v>4237.29</v>
      </c>
    </row>
    <row r="4173">
      <c r="A4173" s="19" t="inlineStr">
        <is>
          <t>FY27</t>
        </is>
      </c>
      <c r="B4173" s="19" t="inlineStr">
        <is>
          <t>Sep</t>
        </is>
      </c>
      <c r="C4173" s="19" t="inlineStr">
        <is>
          <t>TN</t>
        </is>
      </c>
      <c r="D4173" s="20" t="inlineStr">
        <is>
          <t>TN28BD3458</t>
        </is>
      </c>
      <c r="E4173" s="20" t="inlineStr">
        <is>
          <t>RENAULT</t>
        </is>
      </c>
      <c r="F4173" s="20" t="inlineStr">
        <is>
          <t>Kwid</t>
        </is>
      </c>
      <c r="G4173" s="21" t="n">
        <v>2018</v>
      </c>
      <c r="H4173" s="22" t="n">
        <v>108046</v>
      </c>
      <c r="I4173" s="22" t="n">
        <v>180000</v>
      </c>
      <c r="J4173" s="20" t="inlineStr">
        <is>
          <t>EXCHANGE ROTN</t>
        </is>
      </c>
      <c r="K4173" s="20" t="inlineStr">
        <is>
          <t>Captive</t>
        </is>
      </c>
      <c r="L4173" s="20" t="inlineStr">
        <is>
          <t>Sivashankar Cars</t>
        </is>
      </c>
      <c r="M4173" s="23" t="n">
        <v>8474.58</v>
      </c>
    </row>
    <row r="4174">
      <c r="A4174" s="19" t="inlineStr">
        <is>
          <t>FY27</t>
        </is>
      </c>
      <c r="B4174" s="19" t="inlineStr">
        <is>
          <t>Sep</t>
        </is>
      </c>
      <c r="C4174" s="19" t="inlineStr">
        <is>
          <t>TN</t>
        </is>
      </c>
      <c r="D4174" s="20" t="inlineStr">
        <is>
          <t>TN29AT9670</t>
        </is>
      </c>
      <c r="E4174" s="20" t="inlineStr">
        <is>
          <t>HONDA</t>
        </is>
      </c>
      <c r="F4174" s="20" t="inlineStr">
        <is>
          <t>Amaze</t>
        </is>
      </c>
      <c r="G4174" s="21" t="n">
        <v>2014</v>
      </c>
      <c r="H4174" s="22" t="n">
        <v>198725</v>
      </c>
      <c r="I4174" s="22" t="n">
        <v>150000</v>
      </c>
      <c r="J4174" s="20" t="inlineStr">
        <is>
          <t>EXCHANGE ROTN</t>
        </is>
      </c>
      <c r="K4174" s="20" t="inlineStr">
        <is>
          <t>Captive</t>
        </is>
      </c>
      <c r="L4174" s="20" t="inlineStr"/>
      <c r="M4174" s="23" t="n">
        <v>4237.29</v>
      </c>
    </row>
    <row r="4175">
      <c r="A4175" s="19" t="inlineStr">
        <is>
          <t>FY27</t>
        </is>
      </c>
      <c r="B4175" s="19" t="inlineStr">
        <is>
          <t>Sep</t>
        </is>
      </c>
      <c r="C4175" s="19" t="inlineStr">
        <is>
          <t>TN</t>
        </is>
      </c>
      <c r="D4175" s="20" t="inlineStr">
        <is>
          <t>TN29BF5469</t>
        </is>
      </c>
      <c r="E4175" s="20" t="inlineStr">
        <is>
          <t>HONDA</t>
        </is>
      </c>
      <c r="F4175" s="20" t="inlineStr">
        <is>
          <t>Amaze</t>
        </is>
      </c>
      <c r="G4175" s="21" t="n">
        <v>2017</v>
      </c>
      <c r="H4175" s="22" t="n">
        <v>162039</v>
      </c>
      <c r="I4175" s="22" t="n">
        <v>350000</v>
      </c>
      <c r="J4175" s="20" t="inlineStr">
        <is>
          <t>EXCHANGE ROTN</t>
        </is>
      </c>
      <c r="K4175" s="20" t="inlineStr">
        <is>
          <t>Captive</t>
        </is>
      </c>
      <c r="L4175" s="20" t="inlineStr">
        <is>
          <t>Sri Raja Kanapathy Cars</t>
        </is>
      </c>
      <c r="M4175" s="23" t="n">
        <v>10169.49</v>
      </c>
    </row>
    <row r="4176">
      <c r="A4176" s="19" t="inlineStr">
        <is>
          <t>FY27</t>
        </is>
      </c>
      <c r="B4176" s="19" t="inlineStr">
        <is>
          <t>Sep</t>
        </is>
      </c>
      <c r="C4176" s="19" t="inlineStr">
        <is>
          <t>TN</t>
        </is>
      </c>
      <c r="D4176" s="20" t="inlineStr">
        <is>
          <t>TN29BJ5650</t>
        </is>
      </c>
      <c r="E4176" s="20" t="inlineStr">
        <is>
          <t>HYUNDAI</t>
        </is>
      </c>
      <c r="F4176" s="20" t="inlineStr">
        <is>
          <t>i10</t>
        </is>
      </c>
      <c r="G4176" s="21" t="n">
        <v>2018</v>
      </c>
      <c r="H4176" s="22" t="n">
        <v>65755</v>
      </c>
      <c r="I4176" s="22" t="n">
        <v>99000</v>
      </c>
      <c r="J4176" s="20" t="inlineStr">
        <is>
          <t>STEER AUTO TECHNOLOGIES PRIVATE LIMITED</t>
        </is>
      </c>
      <c r="K4176" s="20" t="inlineStr">
        <is>
          <t>Non-Captive</t>
        </is>
      </c>
      <c r="L4176" s="20" t="inlineStr">
        <is>
          <t>Santhosh Cars</t>
        </is>
      </c>
      <c r="M4176" s="23" t="n">
        <v>3389.83</v>
      </c>
    </row>
    <row r="4177">
      <c r="A4177" s="19" t="inlineStr">
        <is>
          <t>FY27</t>
        </is>
      </c>
      <c r="B4177" s="19" t="inlineStr">
        <is>
          <t>Sep</t>
        </is>
      </c>
      <c r="C4177" s="19" t="inlineStr">
        <is>
          <t>TN</t>
        </is>
      </c>
      <c r="D4177" s="20" t="inlineStr">
        <is>
          <t>TN29L7356</t>
        </is>
      </c>
      <c r="E4177" s="20" t="inlineStr">
        <is>
          <t>MARUTI SUZUKI</t>
        </is>
      </c>
      <c r="F4177" s="20" t="inlineStr">
        <is>
          <t>Alto</t>
        </is>
      </c>
      <c r="G4177" s="21" t="n">
        <v>2003</v>
      </c>
      <c r="H4177" s="22" t="n">
        <v>90244</v>
      </c>
      <c r="I4177" s="22" t="n">
        <v>55000</v>
      </c>
      <c r="J4177" s="20" t="inlineStr">
        <is>
          <t>EXCHANGE ROTN</t>
        </is>
      </c>
      <c r="K4177" s="20" t="inlineStr">
        <is>
          <t>Captive</t>
        </is>
      </c>
      <c r="L4177" s="20" t="inlineStr"/>
      <c r="M4177" s="23" t="n">
        <v>4237.29</v>
      </c>
    </row>
    <row r="4178">
      <c r="A4178" s="19" t="inlineStr">
        <is>
          <t>FY27</t>
        </is>
      </c>
      <c r="B4178" s="19" t="inlineStr">
        <is>
          <t>Sep</t>
        </is>
      </c>
      <c r="C4178" s="19" t="inlineStr">
        <is>
          <t>TN</t>
        </is>
      </c>
      <c r="D4178" s="20" t="inlineStr">
        <is>
          <t>TN30AT8731</t>
        </is>
      </c>
      <c r="E4178" s="20" t="inlineStr">
        <is>
          <t>TATA</t>
        </is>
      </c>
      <c r="F4178" s="20" t="inlineStr">
        <is>
          <t>Indica</t>
        </is>
      </c>
      <c r="G4178" s="21" t="n">
        <v>2013</v>
      </c>
      <c r="H4178" s="22" t="n">
        <v>144175</v>
      </c>
      <c r="I4178" s="22" t="n">
        <v>75000</v>
      </c>
      <c r="J4178" s="20" t="inlineStr">
        <is>
          <t>EXCHANGE ROTN</t>
        </is>
      </c>
      <c r="K4178" s="20" t="inlineStr">
        <is>
          <t>Captive</t>
        </is>
      </c>
      <c r="L4178" s="20" t="inlineStr">
        <is>
          <t>Niranchana Cars</t>
        </is>
      </c>
      <c r="M4178" s="23" t="n">
        <v>4237.29</v>
      </c>
    </row>
    <row r="4179">
      <c r="A4179" s="19" t="inlineStr">
        <is>
          <t>FY27</t>
        </is>
      </c>
      <c r="B4179" s="19" t="inlineStr">
        <is>
          <t>Sep</t>
        </is>
      </c>
      <c r="C4179" s="19" t="inlineStr">
        <is>
          <t>TN</t>
        </is>
      </c>
      <c r="D4179" s="20" t="inlineStr">
        <is>
          <t>TN30BA3060</t>
        </is>
      </c>
      <c r="E4179" s="20" t="inlineStr">
        <is>
          <t>HONDA</t>
        </is>
      </c>
      <c r="F4179" s="20" t="inlineStr">
        <is>
          <t>Brio</t>
        </is>
      </c>
      <c r="G4179" s="21" t="n">
        <v>2013</v>
      </c>
      <c r="H4179" s="22" t="n">
        <v>61995</v>
      </c>
      <c r="I4179" s="22" t="n">
        <v>99000</v>
      </c>
      <c r="J4179" s="20" t="inlineStr">
        <is>
          <t>THIYA CARS</t>
        </is>
      </c>
      <c r="K4179" s="20" t="inlineStr">
        <is>
          <t>Non-Captive</t>
        </is>
      </c>
      <c r="L4179" s="20" t="inlineStr">
        <is>
          <t>Value Drive Tech</t>
        </is>
      </c>
      <c r="M4179" s="23" t="n">
        <v>4237.29</v>
      </c>
    </row>
    <row r="4180">
      <c r="A4180" s="19" t="inlineStr">
        <is>
          <t>FY27</t>
        </is>
      </c>
      <c r="B4180" s="19" t="inlineStr">
        <is>
          <t>Sep</t>
        </is>
      </c>
      <c r="C4180" s="19" t="inlineStr">
        <is>
          <t>TN</t>
        </is>
      </c>
      <c r="D4180" s="20" t="inlineStr">
        <is>
          <t>TN30BA6755</t>
        </is>
      </c>
      <c r="E4180" s="20" t="inlineStr">
        <is>
          <t>TATA</t>
        </is>
      </c>
      <c r="F4180" s="20" t="inlineStr">
        <is>
          <t>Indica</t>
        </is>
      </c>
      <c r="G4180" s="21" t="n">
        <v>2014</v>
      </c>
      <c r="H4180" s="22" t="n">
        <v>357611</v>
      </c>
      <c r="I4180" s="22" t="n">
        <v>75000</v>
      </c>
      <c r="J4180" s="20" t="inlineStr">
        <is>
          <t>EXCHANGE ROTN</t>
        </is>
      </c>
      <c r="K4180" s="20" t="inlineStr">
        <is>
          <t>Captive</t>
        </is>
      </c>
      <c r="L4180" s="20" t="inlineStr">
        <is>
          <t>Stalin Cars</t>
        </is>
      </c>
      <c r="M4180" s="23" t="n">
        <v>4237.29</v>
      </c>
    </row>
    <row r="4181">
      <c r="A4181" s="19" t="inlineStr">
        <is>
          <t>FY27</t>
        </is>
      </c>
      <c r="B4181" s="19" t="inlineStr">
        <is>
          <t>Sep</t>
        </is>
      </c>
      <c r="C4181" s="19" t="inlineStr">
        <is>
          <t>TN</t>
        </is>
      </c>
      <c r="D4181" s="20" t="inlineStr">
        <is>
          <t>TN30BP6612</t>
        </is>
      </c>
      <c r="E4181" s="20" t="inlineStr">
        <is>
          <t>MARUTI SUZUKI</t>
        </is>
      </c>
      <c r="F4181" s="20" t="inlineStr">
        <is>
          <t>Baleno</t>
        </is>
      </c>
      <c r="G4181" s="21" t="n">
        <v>2019</v>
      </c>
      <c r="H4181" s="22" t="n">
        <v>82248</v>
      </c>
      <c r="I4181" s="22" t="n">
        <v>96000</v>
      </c>
      <c r="J4181" s="20" t="inlineStr">
        <is>
          <t>PRODUCTIVITY ELEMENTS PRIVATE LIMITED</t>
        </is>
      </c>
      <c r="K4181" s="20" t="inlineStr">
        <is>
          <t>Non-Captive</t>
        </is>
      </c>
      <c r="L4181" s="20" t="inlineStr">
        <is>
          <t>Srijja Travels</t>
        </is>
      </c>
      <c r="M4181" s="23" t="n">
        <v>4237.29</v>
      </c>
    </row>
    <row r="4182">
      <c r="A4182" s="19" t="inlineStr">
        <is>
          <t>FY27</t>
        </is>
      </c>
      <c r="B4182" s="19" t="inlineStr">
        <is>
          <t>Sep</t>
        </is>
      </c>
      <c r="C4182" s="19" t="inlineStr">
        <is>
          <t>TN</t>
        </is>
      </c>
      <c r="D4182" s="20" t="inlineStr">
        <is>
          <t>TN30K4848</t>
        </is>
      </c>
      <c r="E4182" s="20" t="inlineStr">
        <is>
          <t>TATA</t>
        </is>
      </c>
      <c r="F4182" s="20" t="inlineStr">
        <is>
          <t>Indica</t>
        </is>
      </c>
      <c r="G4182" s="21" t="n">
        <v>2005</v>
      </c>
      <c r="H4182" s="22" t="n">
        <v>98300</v>
      </c>
      <c r="I4182" s="22" t="n">
        <v>97000</v>
      </c>
      <c r="J4182" s="20" t="inlineStr">
        <is>
          <t>STEER AUTO TECHNOLOGIES PRIVATE LIMITED</t>
        </is>
      </c>
      <c r="K4182" s="20" t="inlineStr">
        <is>
          <t>Non-Captive</t>
        </is>
      </c>
      <c r="L4182" s="20" t="inlineStr">
        <is>
          <t>Pine Autos</t>
        </is>
      </c>
      <c r="M4182" s="23" t="n">
        <v>5084.75</v>
      </c>
    </row>
    <row r="4183">
      <c r="A4183" s="19" t="inlineStr">
        <is>
          <t>FY27</t>
        </is>
      </c>
      <c r="B4183" s="19" t="inlineStr">
        <is>
          <t>Sep</t>
        </is>
      </c>
      <c r="C4183" s="19" t="inlineStr">
        <is>
          <t>TN</t>
        </is>
      </c>
      <c r="D4183" s="20" t="inlineStr">
        <is>
          <t>TN30K7664</t>
        </is>
      </c>
      <c r="E4183" s="20" t="inlineStr">
        <is>
          <t>TATA</t>
        </is>
      </c>
      <c r="F4183" s="20" t="inlineStr">
        <is>
          <t>Indigo</t>
        </is>
      </c>
      <c r="G4183" s="21" t="n">
        <v>2006</v>
      </c>
      <c r="H4183" s="22" t="n">
        <v>165400</v>
      </c>
      <c r="I4183" s="22" t="n">
        <v>40000</v>
      </c>
      <c r="J4183" s="20" t="inlineStr">
        <is>
          <t>EXCHANGE ROTN</t>
        </is>
      </c>
      <c r="K4183" s="20" t="inlineStr">
        <is>
          <t>Captive</t>
        </is>
      </c>
      <c r="L4183" s="20" t="inlineStr"/>
      <c r="M4183" s="23" t="n">
        <v>4237.29</v>
      </c>
    </row>
    <row r="4184">
      <c r="A4184" s="19" t="inlineStr">
        <is>
          <t>FY27</t>
        </is>
      </c>
      <c r="B4184" s="19" t="inlineStr">
        <is>
          <t>Sep</t>
        </is>
      </c>
      <c r="C4184" s="19" t="inlineStr">
        <is>
          <t>TN</t>
        </is>
      </c>
      <c r="D4184" s="20" t="inlineStr">
        <is>
          <t>TN31AM3578</t>
        </is>
      </c>
      <c r="E4184" s="20" t="inlineStr">
        <is>
          <t>TATA</t>
        </is>
      </c>
      <c r="F4184" s="20" t="inlineStr">
        <is>
          <t>Nano</t>
        </is>
      </c>
      <c r="G4184" s="21" t="n">
        <v>2012</v>
      </c>
      <c r="H4184" s="22" t="n">
        <v>45895</v>
      </c>
      <c r="I4184" s="22" t="n">
        <v>97000</v>
      </c>
      <c r="J4184" s="20" t="inlineStr">
        <is>
          <t>CASTLE TRADERS MARUTI</t>
        </is>
      </c>
      <c r="K4184" s="20" t="inlineStr">
        <is>
          <t>Non-Captive</t>
        </is>
      </c>
      <c r="L4184" s="20" t="inlineStr">
        <is>
          <t>Aneesa Pravin Cars</t>
        </is>
      </c>
      <c r="M4184" s="23" t="n">
        <v>4237.29</v>
      </c>
    </row>
    <row r="4185">
      <c r="A4185" s="19" t="inlineStr">
        <is>
          <t>FY27</t>
        </is>
      </c>
      <c r="B4185" s="19" t="inlineStr">
        <is>
          <t>Sep</t>
        </is>
      </c>
      <c r="C4185" s="19" t="inlineStr">
        <is>
          <t>TN</t>
        </is>
      </c>
      <c r="D4185" s="20" t="inlineStr">
        <is>
          <t>TN33AC0153</t>
        </is>
      </c>
      <c r="E4185" s="20" t="inlineStr">
        <is>
          <t>MARUTI SUZUKI</t>
        </is>
      </c>
      <c r="F4185" s="20" t="inlineStr">
        <is>
          <t>Wagon R</t>
        </is>
      </c>
      <c r="G4185" s="21" t="n">
        <v>2004</v>
      </c>
      <c r="H4185" s="22" t="n">
        <v>145624</v>
      </c>
      <c r="I4185" s="22" t="n">
        <v>60000</v>
      </c>
      <c r="J4185" s="20" t="inlineStr">
        <is>
          <t>EXCHANGE ROTN</t>
        </is>
      </c>
      <c r="K4185" s="20" t="inlineStr">
        <is>
          <t>Captive</t>
        </is>
      </c>
      <c r="L4185" s="20" t="inlineStr">
        <is>
          <t>Ayyappa Cars</t>
        </is>
      </c>
      <c r="M4185" s="23" t="n">
        <v>4237.29</v>
      </c>
    </row>
    <row r="4186">
      <c r="A4186" s="19" t="inlineStr">
        <is>
          <t>FY27</t>
        </is>
      </c>
      <c r="B4186" s="19" t="inlineStr">
        <is>
          <t>Sep</t>
        </is>
      </c>
      <c r="C4186" s="19" t="inlineStr">
        <is>
          <t>TN</t>
        </is>
      </c>
      <c r="D4186" s="20" t="inlineStr">
        <is>
          <t>TN33AF2939</t>
        </is>
      </c>
      <c r="E4186" s="20" t="inlineStr">
        <is>
          <t>HYUNDAI</t>
        </is>
      </c>
      <c r="F4186" s="20" t="inlineStr">
        <is>
          <t>Santro</t>
        </is>
      </c>
      <c r="G4186" s="21" t="n">
        <v>2006</v>
      </c>
      <c r="H4186" s="22" t="n">
        <v>176025</v>
      </c>
      <c r="I4186" s="22" t="n">
        <v>55000</v>
      </c>
      <c r="J4186" s="20" t="inlineStr">
        <is>
          <t>EXCHANGE ROTN</t>
        </is>
      </c>
      <c r="K4186" s="20" t="inlineStr">
        <is>
          <t>Captive</t>
        </is>
      </c>
      <c r="L4186" s="20" t="inlineStr">
        <is>
          <t>Mr.Cars</t>
        </is>
      </c>
      <c r="M4186" s="23" t="n">
        <v>4237.29</v>
      </c>
    </row>
    <row r="4187">
      <c r="A4187" s="19" t="inlineStr">
        <is>
          <t>FY27</t>
        </is>
      </c>
      <c r="B4187" s="19" t="inlineStr">
        <is>
          <t>Sep</t>
        </is>
      </c>
      <c r="C4187" s="19" t="inlineStr">
        <is>
          <t>TN</t>
        </is>
      </c>
      <c r="D4187" s="20" t="inlineStr">
        <is>
          <t>TN33AM9798</t>
        </is>
      </c>
      <c r="E4187" s="20" t="inlineStr">
        <is>
          <t>TATA</t>
        </is>
      </c>
      <c r="F4187" s="20" t="inlineStr">
        <is>
          <t>Indica</t>
        </is>
      </c>
      <c r="G4187" s="21" t="n">
        <v>2009</v>
      </c>
      <c r="H4187" s="22" t="n">
        <v>60213</v>
      </c>
      <c r="I4187" s="22" t="n">
        <v>50000</v>
      </c>
      <c r="J4187" s="20" t="inlineStr">
        <is>
          <t>EXCHANGE ROTN</t>
        </is>
      </c>
      <c r="K4187" s="20" t="inlineStr">
        <is>
          <t>Captive</t>
        </is>
      </c>
      <c r="L4187" s="20" t="inlineStr">
        <is>
          <t>Sivashankar Cars</t>
        </is>
      </c>
      <c r="M4187" s="23" t="n">
        <v>5084.75</v>
      </c>
    </row>
    <row r="4188">
      <c r="A4188" s="19" t="inlineStr">
        <is>
          <t>FY27</t>
        </is>
      </c>
      <c r="B4188" s="19" t="inlineStr">
        <is>
          <t>Sep</t>
        </is>
      </c>
      <c r="C4188" s="19" t="inlineStr">
        <is>
          <t>TN</t>
        </is>
      </c>
      <c r="D4188" s="20" t="inlineStr">
        <is>
          <t>TN33AS1188</t>
        </is>
      </c>
      <c r="E4188" s="20" t="inlineStr">
        <is>
          <t>HYUNDAI</t>
        </is>
      </c>
      <c r="F4188" s="20" t="inlineStr">
        <is>
          <t>Santro</t>
        </is>
      </c>
      <c r="G4188" s="21" t="n">
        <v>2010</v>
      </c>
      <c r="H4188" s="22" t="n">
        <v>136477</v>
      </c>
      <c r="I4188" s="22" t="n">
        <v>98000</v>
      </c>
      <c r="J4188" s="20" t="inlineStr">
        <is>
          <t>EXCHANGE ROTN</t>
        </is>
      </c>
      <c r="K4188" s="20" t="inlineStr">
        <is>
          <t>Captive</t>
        </is>
      </c>
      <c r="L4188" s="20" t="inlineStr">
        <is>
          <t>Mr.Cars</t>
        </is>
      </c>
      <c r="M4188" s="23" t="n">
        <v>4237.29</v>
      </c>
    </row>
    <row r="4189">
      <c r="A4189" s="19" t="inlineStr">
        <is>
          <t>FY27</t>
        </is>
      </c>
      <c r="B4189" s="19" t="inlineStr">
        <is>
          <t>Sep</t>
        </is>
      </c>
      <c r="C4189" s="19" t="inlineStr">
        <is>
          <t>TN</t>
        </is>
      </c>
      <c r="D4189" s="20" t="inlineStr">
        <is>
          <t>TN33AT7053</t>
        </is>
      </c>
      <c r="E4189" s="20" t="inlineStr">
        <is>
          <t>HYUNDAI</t>
        </is>
      </c>
      <c r="F4189" s="20" t="inlineStr">
        <is>
          <t>Santro</t>
        </is>
      </c>
      <c r="G4189" s="21" t="n">
        <v>2011</v>
      </c>
      <c r="H4189" s="22" t="n">
        <v>115494</v>
      </c>
      <c r="I4189" s="22" t="n">
        <v>75000</v>
      </c>
      <c r="J4189" s="20" t="inlineStr">
        <is>
          <t>EXCHANGE ROTN</t>
        </is>
      </c>
      <c r="K4189" s="20" t="inlineStr">
        <is>
          <t>Captive</t>
        </is>
      </c>
      <c r="L4189" s="20" t="inlineStr">
        <is>
          <t>Thirumalai Cars (Madurai)</t>
        </is>
      </c>
      <c r="M4189" s="23" t="n">
        <v>4237.29</v>
      </c>
    </row>
    <row r="4190">
      <c r="A4190" s="19" t="inlineStr">
        <is>
          <t>FY27</t>
        </is>
      </c>
      <c r="B4190" s="19" t="inlineStr">
        <is>
          <t>Sep</t>
        </is>
      </c>
      <c r="C4190" s="19" t="inlineStr">
        <is>
          <t>TN</t>
        </is>
      </c>
      <c r="D4190" s="20" t="inlineStr">
        <is>
          <t>TN33BJ6030</t>
        </is>
      </c>
      <c r="E4190" s="20" t="inlineStr">
        <is>
          <t>HONDA</t>
        </is>
      </c>
      <c r="F4190" s="20" t="inlineStr">
        <is>
          <t>Amaze</t>
        </is>
      </c>
      <c r="G4190" s="21" t="n">
        <v>2015</v>
      </c>
      <c r="H4190" s="22" t="n">
        <v>60383</v>
      </c>
      <c r="I4190" s="22" t="n">
        <v>295000</v>
      </c>
      <c r="J4190" s="20" t="inlineStr">
        <is>
          <t>EXCHANGE ROTN</t>
        </is>
      </c>
      <c r="K4190" s="20" t="inlineStr">
        <is>
          <t>Captive</t>
        </is>
      </c>
      <c r="L4190" s="20" t="inlineStr">
        <is>
          <t>Sivashankar Cars</t>
        </is>
      </c>
      <c r="M4190" s="23" t="n">
        <v>8474.58</v>
      </c>
    </row>
    <row r="4191">
      <c r="A4191" s="19" t="inlineStr">
        <is>
          <t>FY27</t>
        </is>
      </c>
      <c r="B4191" s="19" t="inlineStr">
        <is>
          <t>Sep</t>
        </is>
      </c>
      <c r="C4191" s="19" t="inlineStr">
        <is>
          <t>TN</t>
        </is>
      </c>
      <c r="D4191" s="20" t="inlineStr">
        <is>
          <t>TN33BS7452</t>
        </is>
      </c>
      <c r="E4191" s="20" t="inlineStr">
        <is>
          <t>RENAULT</t>
        </is>
      </c>
      <c r="F4191" s="20" t="inlineStr">
        <is>
          <t>Kwid</t>
        </is>
      </c>
      <c r="G4191" s="21" t="n">
        <v>2019</v>
      </c>
      <c r="H4191" s="22" t="n">
        <v>88514</v>
      </c>
      <c r="I4191" s="22" t="n">
        <v>99000</v>
      </c>
      <c r="J4191" s="20" t="inlineStr">
        <is>
          <t>STEER AUTO TECHNOLOGIES PRIVATE LIMITED</t>
        </is>
      </c>
      <c r="K4191" s="20" t="inlineStr">
        <is>
          <t>Non-Captive</t>
        </is>
      </c>
      <c r="L4191" s="20" t="inlineStr">
        <is>
          <t>Castel Traders Honada</t>
        </is>
      </c>
      <c r="M4191" s="23" t="n">
        <v>4237.29</v>
      </c>
    </row>
    <row r="4192">
      <c r="A4192" s="19" t="inlineStr">
        <is>
          <t>FY27</t>
        </is>
      </c>
      <c r="B4192" s="19" t="inlineStr">
        <is>
          <t>Sep</t>
        </is>
      </c>
      <c r="C4192" s="19" t="inlineStr">
        <is>
          <t>TN</t>
        </is>
      </c>
      <c r="D4192" s="20" t="inlineStr">
        <is>
          <t>TN34MA1739</t>
        </is>
      </c>
      <c r="E4192" s="20" t="inlineStr">
        <is>
          <t>HONDA</t>
        </is>
      </c>
      <c r="F4192" s="20" t="inlineStr">
        <is>
          <t>Amaze</t>
        </is>
      </c>
      <c r="G4192" s="21" t="n">
        <v>2022</v>
      </c>
      <c r="H4192" s="22" t="n">
        <v>21885</v>
      </c>
      <c r="I4192" s="22" t="n">
        <v>580000</v>
      </c>
      <c r="J4192" s="20" t="inlineStr">
        <is>
          <t>EXCHANGE ROTN</t>
        </is>
      </c>
      <c r="K4192" s="20" t="inlineStr">
        <is>
          <t>Captive</t>
        </is>
      </c>
      <c r="L4192" s="20" t="inlineStr">
        <is>
          <t>Sri Raja Kanapathy Cars</t>
        </is>
      </c>
      <c r="M4192" s="23" t="n">
        <v>12711.86</v>
      </c>
    </row>
    <row r="4193">
      <c r="A4193" s="19" t="inlineStr">
        <is>
          <t>FY27</t>
        </is>
      </c>
      <c r="B4193" s="19" t="inlineStr">
        <is>
          <t>Sep</t>
        </is>
      </c>
      <c r="C4193" s="19" t="inlineStr">
        <is>
          <t>TN</t>
        </is>
      </c>
      <c r="D4193" s="20" t="inlineStr">
        <is>
          <t>TN34MC0951</t>
        </is>
      </c>
      <c r="E4193" s="20" t="inlineStr">
        <is>
          <t>SKODA</t>
        </is>
      </c>
      <c r="F4193" s="20" t="inlineStr">
        <is>
          <t>Kushaq</t>
        </is>
      </c>
      <c r="G4193" s="21" t="n">
        <v>2024</v>
      </c>
      <c r="H4193" s="22" t="n">
        <v>10269</v>
      </c>
      <c r="I4193" s="22" t="n">
        <v>900000</v>
      </c>
      <c r="J4193" s="20" t="inlineStr">
        <is>
          <t>EXCHANGE ROTN</t>
        </is>
      </c>
      <c r="K4193" s="20" t="inlineStr">
        <is>
          <t>Captive</t>
        </is>
      </c>
      <c r="L4193" s="20" t="inlineStr">
        <is>
          <t>Sai Cars</t>
        </is>
      </c>
      <c r="M4193" s="23" t="n">
        <v>12711.86</v>
      </c>
    </row>
    <row r="4194">
      <c r="A4194" s="19" t="inlineStr">
        <is>
          <t>FY27</t>
        </is>
      </c>
      <c r="B4194" s="19" t="inlineStr">
        <is>
          <t>Sep</t>
        </is>
      </c>
      <c r="C4194" s="19" t="inlineStr">
        <is>
          <t>TN</t>
        </is>
      </c>
      <c r="D4194" s="20" t="inlineStr">
        <is>
          <t>TN34Y6423</t>
        </is>
      </c>
      <c r="E4194" s="20" t="inlineStr">
        <is>
          <t>MARUTI SUZUKI</t>
        </is>
      </c>
      <c r="F4194" s="20" t="inlineStr">
        <is>
          <t>Eeco</t>
        </is>
      </c>
      <c r="G4194" s="21" t="n">
        <v>2016</v>
      </c>
      <c r="H4194" s="22" t="n">
        <v>86813</v>
      </c>
      <c r="I4194" s="22" t="n">
        <v>265000</v>
      </c>
      <c r="J4194" s="20" t="inlineStr">
        <is>
          <t>EXCHANGE ROTN</t>
        </is>
      </c>
      <c r="K4194" s="20" t="inlineStr">
        <is>
          <t>Captive</t>
        </is>
      </c>
      <c r="L4194" s="20" t="inlineStr">
        <is>
          <t>Geethanjali Cars Chennimalai</t>
        </is>
      </c>
      <c r="M4194" s="23" t="n">
        <v>10169.49</v>
      </c>
    </row>
    <row r="4195">
      <c r="A4195" s="19" t="inlineStr">
        <is>
          <t>FY27</t>
        </is>
      </c>
      <c r="B4195" s="19" t="inlineStr">
        <is>
          <t>Sep</t>
        </is>
      </c>
      <c r="C4195" s="19" t="inlineStr">
        <is>
          <t>TN</t>
        </is>
      </c>
      <c r="D4195" s="20" t="inlineStr">
        <is>
          <t>TN36AD3609</t>
        </is>
      </c>
      <c r="E4195" s="20" t="inlineStr">
        <is>
          <t>NISSAN</t>
        </is>
      </c>
      <c r="F4195" s="20" t="inlineStr">
        <is>
          <t>Micra</t>
        </is>
      </c>
      <c r="G4195" s="21" t="n">
        <v>2016</v>
      </c>
      <c r="H4195" s="22" t="n">
        <v>155476</v>
      </c>
      <c r="I4195" s="22" t="n">
        <v>70000</v>
      </c>
      <c r="J4195" s="20" t="inlineStr">
        <is>
          <t>EXCHANGE ROTN</t>
        </is>
      </c>
      <c r="K4195" s="20" t="inlineStr">
        <is>
          <t>Captive</t>
        </is>
      </c>
      <c r="L4195" s="20" t="inlineStr">
        <is>
          <t>Aswin Cars</t>
        </is>
      </c>
      <c r="M4195" s="23" t="n">
        <v>4237.29</v>
      </c>
    </row>
    <row r="4196">
      <c r="A4196" s="19" t="inlineStr">
        <is>
          <t>FY27</t>
        </is>
      </c>
      <c r="B4196" s="19" t="inlineStr">
        <is>
          <t>Sep</t>
        </is>
      </c>
      <c r="C4196" s="19" t="inlineStr">
        <is>
          <t>TN</t>
        </is>
      </c>
      <c r="D4196" s="20" t="inlineStr">
        <is>
          <t>TN36AX9603</t>
        </is>
      </c>
      <c r="E4196" s="20" t="inlineStr">
        <is>
          <t>HYUNDAI</t>
        </is>
      </c>
      <c r="F4196" s="20" t="inlineStr">
        <is>
          <t>Eon</t>
        </is>
      </c>
      <c r="G4196" s="21" t="n">
        <v>2014</v>
      </c>
      <c r="H4196" s="22" t="n">
        <v>38883</v>
      </c>
      <c r="I4196" s="22" t="n">
        <v>98000</v>
      </c>
      <c r="J4196" s="20" t="inlineStr">
        <is>
          <t>THIYA CARS</t>
        </is>
      </c>
      <c r="K4196" s="20" t="inlineStr">
        <is>
          <t>Non-Captive</t>
        </is>
      </c>
      <c r="L4196" s="20" t="inlineStr">
        <is>
          <t>Cars24</t>
        </is>
      </c>
      <c r="M4196" s="23" t="n">
        <v>4237.29</v>
      </c>
    </row>
    <row r="4197">
      <c r="A4197" s="19" t="inlineStr">
        <is>
          <t>FY27</t>
        </is>
      </c>
      <c r="B4197" s="19" t="inlineStr">
        <is>
          <t>Sep</t>
        </is>
      </c>
      <c r="C4197" s="19" t="inlineStr">
        <is>
          <t>TN</t>
        </is>
      </c>
      <c r="D4197" s="20" t="inlineStr">
        <is>
          <t>TN36T2260</t>
        </is>
      </c>
      <c r="E4197" s="20" t="inlineStr">
        <is>
          <t>MARUTI SUZUKI</t>
        </is>
      </c>
      <c r="F4197" s="20" t="inlineStr">
        <is>
          <t>Alto</t>
        </is>
      </c>
      <c r="G4197" s="21" t="n">
        <v>2011</v>
      </c>
      <c r="H4197" s="22" t="n">
        <v>125875</v>
      </c>
      <c r="I4197" s="22" t="n">
        <v>89000</v>
      </c>
      <c r="J4197" s="20" t="inlineStr">
        <is>
          <t>LAKSHMI MOTORS</t>
        </is>
      </c>
      <c r="K4197" s="20" t="inlineStr">
        <is>
          <t>Non-Captive</t>
        </is>
      </c>
      <c r="L4197" s="20" t="inlineStr">
        <is>
          <t>Value Drive Tech</t>
        </is>
      </c>
      <c r="M4197" s="23" t="n">
        <v>4237.29</v>
      </c>
    </row>
    <row r="4198">
      <c r="A4198" s="19" t="inlineStr">
        <is>
          <t>FY27</t>
        </is>
      </c>
      <c r="B4198" s="19" t="inlineStr">
        <is>
          <t>Sep</t>
        </is>
      </c>
      <c r="C4198" s="19" t="inlineStr">
        <is>
          <t>TN</t>
        </is>
      </c>
      <c r="D4198" s="20" t="inlineStr">
        <is>
          <t>TN37AF3299</t>
        </is>
      </c>
      <c r="E4198" s="20" t="inlineStr">
        <is>
          <t>TOYOTA</t>
        </is>
      </c>
      <c r="F4198" s="20" t="inlineStr">
        <is>
          <t>Corolla Altis</t>
        </is>
      </c>
      <c r="G4198" s="21" t="n">
        <v>2004</v>
      </c>
      <c r="H4198" s="22" t="n">
        <v>678110</v>
      </c>
      <c r="I4198" s="22" t="n">
        <v>87000</v>
      </c>
      <c r="J4198" s="20" t="inlineStr">
        <is>
          <t>STEER AUTO TECHNOLOGIES PRIVATE LIMITED</t>
        </is>
      </c>
      <c r="K4198" s="20" t="inlineStr">
        <is>
          <t>Non-Captive</t>
        </is>
      </c>
      <c r="L4198" s="20" t="inlineStr">
        <is>
          <t>Pine Autos</t>
        </is>
      </c>
      <c r="M4198" s="23" t="n">
        <v>4237.29</v>
      </c>
    </row>
    <row r="4199">
      <c r="A4199" s="19" t="inlineStr">
        <is>
          <t>FY27</t>
        </is>
      </c>
      <c r="B4199" s="19" t="inlineStr">
        <is>
          <t>Sep</t>
        </is>
      </c>
      <c r="C4199" s="19" t="inlineStr">
        <is>
          <t>TN</t>
        </is>
      </c>
      <c r="D4199" s="20" t="inlineStr">
        <is>
          <t>TN37AV8658</t>
        </is>
      </c>
      <c r="E4199" s="20" t="inlineStr">
        <is>
          <t>MARUTI SUZUKI</t>
        </is>
      </c>
      <c r="F4199" s="20" t="inlineStr">
        <is>
          <t>Alto</t>
        </is>
      </c>
      <c r="G4199" s="21" t="n">
        <v>2007</v>
      </c>
      <c r="H4199" s="22" t="n">
        <v>130747</v>
      </c>
      <c r="I4199" s="22" t="n">
        <v>85000</v>
      </c>
      <c r="J4199" s="20" t="inlineStr">
        <is>
          <t>EXCHANGE ROTN</t>
        </is>
      </c>
      <c r="K4199" s="20" t="inlineStr">
        <is>
          <t>Captive</t>
        </is>
      </c>
      <c r="L4199" s="20" t="inlineStr">
        <is>
          <t>Sai Cars</t>
        </is>
      </c>
      <c r="M4199" s="23" t="n">
        <v>4237.29</v>
      </c>
    </row>
    <row r="4200">
      <c r="A4200" s="19" t="inlineStr">
        <is>
          <t>FY27</t>
        </is>
      </c>
      <c r="B4200" s="19" t="inlineStr">
        <is>
          <t>Sep</t>
        </is>
      </c>
      <c r="C4200" s="19" t="inlineStr">
        <is>
          <t>TN</t>
        </is>
      </c>
      <c r="D4200" s="20" t="inlineStr">
        <is>
          <t>TN37BA0032</t>
        </is>
      </c>
      <c r="E4200" s="20" t="inlineStr">
        <is>
          <t>FORD</t>
        </is>
      </c>
      <c r="F4200" s="20" t="inlineStr">
        <is>
          <t>Fiesta</t>
        </is>
      </c>
      <c r="G4200" s="21" t="n">
        <v>2008</v>
      </c>
      <c r="H4200" s="22" t="n">
        <v>102695</v>
      </c>
      <c r="I4200" s="22" t="n">
        <v>94000</v>
      </c>
      <c r="J4200" s="20" t="inlineStr">
        <is>
          <t>ABT LIMITED</t>
        </is>
      </c>
      <c r="K4200" s="20" t="inlineStr">
        <is>
          <t>Non-Captive</t>
        </is>
      </c>
      <c r="L4200" s="20" t="inlineStr">
        <is>
          <t>Srijja Travels</t>
        </is>
      </c>
      <c r="M4200" s="23" t="n">
        <v>4237.29</v>
      </c>
    </row>
    <row r="4201">
      <c r="A4201" s="19" t="inlineStr">
        <is>
          <t>FY27</t>
        </is>
      </c>
      <c r="B4201" s="19" t="inlineStr">
        <is>
          <t>Sep</t>
        </is>
      </c>
      <c r="C4201" s="19" t="inlineStr">
        <is>
          <t>TN</t>
        </is>
      </c>
      <c r="D4201" s="20" t="inlineStr">
        <is>
          <t>TN37BH4288</t>
        </is>
      </c>
      <c r="E4201" s="20" t="inlineStr">
        <is>
          <t>MARUTI SUZUKI</t>
        </is>
      </c>
      <c r="F4201" s="20" t="inlineStr">
        <is>
          <t>Swift</t>
        </is>
      </c>
      <c r="G4201" s="21" t="n">
        <v>2010</v>
      </c>
      <c r="H4201" s="22" t="n">
        <v>60503</v>
      </c>
      <c r="I4201" s="22" t="n">
        <v>94000</v>
      </c>
      <c r="J4201" s="20" t="inlineStr">
        <is>
          <t>THIYA CARS</t>
        </is>
      </c>
      <c r="K4201" s="20" t="inlineStr">
        <is>
          <t>Non-Captive</t>
        </is>
      </c>
      <c r="L4201" s="20" t="inlineStr">
        <is>
          <t>Cars24</t>
        </is>
      </c>
      <c r="M4201" s="23" t="n">
        <v>4237.29</v>
      </c>
    </row>
    <row r="4202">
      <c r="A4202" s="19" t="inlineStr">
        <is>
          <t>FY27</t>
        </is>
      </c>
      <c r="B4202" s="19" t="inlineStr">
        <is>
          <t>Sep</t>
        </is>
      </c>
      <c r="C4202" s="19" t="inlineStr">
        <is>
          <t>TN</t>
        </is>
      </c>
      <c r="D4202" s="20" t="inlineStr">
        <is>
          <t>TN37BS3443</t>
        </is>
      </c>
      <c r="E4202" s="20" t="inlineStr">
        <is>
          <t>FORD</t>
        </is>
      </c>
      <c r="F4202" s="20" t="inlineStr">
        <is>
          <t>Fiesta</t>
        </is>
      </c>
      <c r="G4202" s="21" t="n">
        <v>2011</v>
      </c>
      <c r="H4202" s="22" t="n">
        <v>135083</v>
      </c>
      <c r="I4202" s="22" t="n">
        <v>96000</v>
      </c>
      <c r="J4202" s="20" t="inlineStr">
        <is>
          <t>THIYA CARS</t>
        </is>
      </c>
      <c r="K4202" s="20" t="inlineStr">
        <is>
          <t>Non-Captive</t>
        </is>
      </c>
      <c r="L4202" s="20" t="inlineStr">
        <is>
          <t>Srijja Travels</t>
        </is>
      </c>
      <c r="M4202" s="23" t="n">
        <v>4237.29</v>
      </c>
    </row>
    <row r="4203">
      <c r="A4203" s="19" t="inlineStr">
        <is>
          <t>FY27</t>
        </is>
      </c>
      <c r="B4203" s="19" t="inlineStr">
        <is>
          <t>Sep</t>
        </is>
      </c>
      <c r="C4203" s="19" t="inlineStr">
        <is>
          <t>TN</t>
        </is>
      </c>
      <c r="D4203" s="20" t="inlineStr">
        <is>
          <t>TN37BT6315</t>
        </is>
      </c>
      <c r="E4203" s="20" t="inlineStr">
        <is>
          <t>TATA</t>
        </is>
      </c>
      <c r="F4203" s="20" t="inlineStr">
        <is>
          <t>Nano</t>
        </is>
      </c>
      <c r="G4203" s="21" t="n">
        <v>2011</v>
      </c>
      <c r="H4203" s="22" t="n">
        <v>65113</v>
      </c>
      <c r="I4203" s="22" t="n">
        <v>45000</v>
      </c>
      <c r="J4203" s="20" t="inlineStr">
        <is>
          <t>EXCHANGE ROTN</t>
        </is>
      </c>
      <c r="K4203" s="20" t="inlineStr">
        <is>
          <t>Captive</t>
        </is>
      </c>
      <c r="L4203" s="20" t="inlineStr">
        <is>
          <t>Shree Cars (Coimbatore)</t>
        </is>
      </c>
      <c r="M4203" s="23" t="n">
        <v>4237.29</v>
      </c>
    </row>
    <row r="4204">
      <c r="A4204" s="19" t="inlineStr">
        <is>
          <t>FY27</t>
        </is>
      </c>
      <c r="B4204" s="19" t="inlineStr">
        <is>
          <t>Sep</t>
        </is>
      </c>
      <c r="C4204" s="19" t="inlineStr">
        <is>
          <t>TN</t>
        </is>
      </c>
      <c r="D4204" s="20" t="inlineStr">
        <is>
          <t>TN37BW6000</t>
        </is>
      </c>
      <c r="E4204" s="20" t="inlineStr">
        <is>
          <t>HONDA</t>
        </is>
      </c>
      <c r="F4204" s="20" t="inlineStr">
        <is>
          <t>Brio</t>
        </is>
      </c>
      <c r="G4204" s="21" t="n">
        <v>2012</v>
      </c>
      <c r="H4204" s="22" t="n">
        <v>82202</v>
      </c>
      <c r="I4204" s="22" t="n">
        <v>260000</v>
      </c>
      <c r="J4204" s="20" t="inlineStr">
        <is>
          <t>EXCHANGE ROTN</t>
        </is>
      </c>
      <c r="K4204" s="20" t="inlineStr">
        <is>
          <t>Captive</t>
        </is>
      </c>
      <c r="L4204" s="20" t="inlineStr">
        <is>
          <t>Gughaa Cars</t>
        </is>
      </c>
      <c r="M4204" s="23" t="n">
        <v>8474.58</v>
      </c>
    </row>
    <row r="4205">
      <c r="A4205" s="19" t="inlineStr">
        <is>
          <t>FY27</t>
        </is>
      </c>
      <c r="B4205" s="19" t="inlineStr">
        <is>
          <t>Sep</t>
        </is>
      </c>
      <c r="C4205" s="19" t="inlineStr">
        <is>
          <t>TN</t>
        </is>
      </c>
      <c r="D4205" s="20" t="inlineStr">
        <is>
          <t>TN37BY9153</t>
        </is>
      </c>
      <c r="E4205" s="20" t="inlineStr">
        <is>
          <t>HONDA</t>
        </is>
      </c>
      <c r="F4205" s="20" t="inlineStr">
        <is>
          <t>City</t>
        </is>
      </c>
      <c r="G4205" s="21" t="n">
        <v>2012</v>
      </c>
      <c r="H4205" s="22" t="n">
        <v>153420</v>
      </c>
      <c r="I4205" s="22" t="n">
        <v>285000</v>
      </c>
      <c r="J4205" s="20" t="inlineStr">
        <is>
          <t>EXCHANGE ROTN</t>
        </is>
      </c>
      <c r="K4205" s="20" t="inlineStr">
        <is>
          <t>Captive</t>
        </is>
      </c>
      <c r="L4205" s="20" t="inlineStr"/>
      <c r="M4205" s="23" t="n">
        <v>4237.29</v>
      </c>
    </row>
    <row r="4206">
      <c r="A4206" s="19" t="inlineStr">
        <is>
          <t>FY27</t>
        </is>
      </c>
      <c r="B4206" s="19" t="inlineStr">
        <is>
          <t>Sep</t>
        </is>
      </c>
      <c r="C4206" s="19" t="inlineStr">
        <is>
          <t>TN</t>
        </is>
      </c>
      <c r="D4206" s="20" t="inlineStr">
        <is>
          <t>TN37CV8868</t>
        </is>
      </c>
      <c r="E4206" s="20" t="inlineStr">
        <is>
          <t>VOLKSWAGEN</t>
        </is>
      </c>
      <c r="F4206" s="20" t="inlineStr">
        <is>
          <t>Ameo</t>
        </is>
      </c>
      <c r="G4206" s="21" t="n">
        <v>2016</v>
      </c>
      <c r="H4206" s="22" t="n">
        <v>122216</v>
      </c>
      <c r="I4206" s="22" t="n">
        <v>360000</v>
      </c>
      <c r="J4206" s="20" t="inlineStr">
        <is>
          <t>EXCHANGE ROTN</t>
        </is>
      </c>
      <c r="K4206" s="20" t="inlineStr">
        <is>
          <t>Captive</t>
        </is>
      </c>
      <c r="L4206" s="20" t="inlineStr"/>
      <c r="M4206" s="23" t="n">
        <v>8474.58</v>
      </c>
    </row>
    <row r="4207">
      <c r="A4207" s="19" t="inlineStr">
        <is>
          <t>FY27</t>
        </is>
      </c>
      <c r="B4207" s="19" t="inlineStr">
        <is>
          <t>Sep</t>
        </is>
      </c>
      <c r="C4207" s="19" t="inlineStr">
        <is>
          <t>TN</t>
        </is>
      </c>
      <c r="D4207" s="20" t="inlineStr">
        <is>
          <t>TN37CZ2549</t>
        </is>
      </c>
      <c r="E4207" s="20" t="inlineStr">
        <is>
          <t>MARUTI SUZUKI</t>
        </is>
      </c>
      <c r="F4207" s="20" t="inlineStr">
        <is>
          <t>Alto K10</t>
        </is>
      </c>
      <c r="G4207" s="21" t="n">
        <v>2013</v>
      </c>
      <c r="H4207" s="22" t="n">
        <v>37111</v>
      </c>
      <c r="I4207" s="22" t="n">
        <v>97000</v>
      </c>
      <c r="J4207" s="20" t="inlineStr">
        <is>
          <t>NIRMAL CARS</t>
        </is>
      </c>
      <c r="K4207" s="20" t="inlineStr">
        <is>
          <t>Non-Captive</t>
        </is>
      </c>
      <c r="L4207" s="20" t="inlineStr">
        <is>
          <t>Cars24</t>
        </is>
      </c>
      <c r="M4207" s="23" t="n">
        <v>4237.29</v>
      </c>
    </row>
    <row r="4208">
      <c r="A4208" s="19" t="inlineStr">
        <is>
          <t>FY27</t>
        </is>
      </c>
      <c r="B4208" s="19" t="inlineStr">
        <is>
          <t>Sep</t>
        </is>
      </c>
      <c r="C4208" s="19" t="inlineStr">
        <is>
          <t>TN</t>
        </is>
      </c>
      <c r="D4208" s="20" t="inlineStr">
        <is>
          <t>TN37DM8488</t>
        </is>
      </c>
      <c r="E4208" s="20" t="inlineStr">
        <is>
          <t>HONDA</t>
        </is>
      </c>
      <c r="F4208" s="20" t="inlineStr">
        <is>
          <t>City</t>
        </is>
      </c>
      <c r="G4208" s="21" t="n">
        <v>2020</v>
      </c>
      <c r="H4208" s="22" t="n">
        <v>84290</v>
      </c>
      <c r="I4208" s="22" t="n">
        <v>840000</v>
      </c>
      <c r="J4208" s="20" t="inlineStr">
        <is>
          <t>EXCHANGE ROTN</t>
        </is>
      </c>
      <c r="K4208" s="20" t="inlineStr">
        <is>
          <t>Captive</t>
        </is>
      </c>
      <c r="L4208" s="20" t="inlineStr">
        <is>
          <t>Sai Cars</t>
        </is>
      </c>
      <c r="M4208" s="23" t="n">
        <v>16949.15</v>
      </c>
    </row>
    <row r="4209">
      <c r="A4209" s="19" t="inlineStr">
        <is>
          <t>FY27</t>
        </is>
      </c>
      <c r="B4209" s="19" t="inlineStr">
        <is>
          <t>Sep</t>
        </is>
      </c>
      <c r="C4209" s="19" t="inlineStr">
        <is>
          <t>TN</t>
        </is>
      </c>
      <c r="D4209" s="20" t="inlineStr">
        <is>
          <t>TN38BA6968</t>
        </is>
      </c>
      <c r="E4209" s="20" t="inlineStr">
        <is>
          <t>MARUTI SUZUKI</t>
        </is>
      </c>
      <c r="F4209" s="20" t="inlineStr">
        <is>
          <t>Alto</t>
        </is>
      </c>
      <c r="G4209" s="21" t="n">
        <v>2010</v>
      </c>
      <c r="H4209" s="22" t="n">
        <v>70145</v>
      </c>
      <c r="I4209" s="22" t="n">
        <v>70000</v>
      </c>
      <c r="J4209" s="20" t="inlineStr">
        <is>
          <t>EXCHANGE ROTN</t>
        </is>
      </c>
      <c r="K4209" s="20" t="inlineStr">
        <is>
          <t>Captive</t>
        </is>
      </c>
      <c r="L4209" s="20" t="inlineStr">
        <is>
          <t>Sree Murugan Cars</t>
        </is>
      </c>
      <c r="M4209" s="23" t="n">
        <v>4237.29</v>
      </c>
    </row>
    <row r="4210">
      <c r="A4210" s="19" t="inlineStr">
        <is>
          <t>FY27</t>
        </is>
      </c>
      <c r="B4210" s="19" t="inlineStr">
        <is>
          <t>Sep</t>
        </is>
      </c>
      <c r="C4210" s="19" t="inlineStr">
        <is>
          <t>TN</t>
        </is>
      </c>
      <c r="D4210" s="20" t="inlineStr">
        <is>
          <t>TN38BM2462</t>
        </is>
      </c>
      <c r="E4210" s="20" t="inlineStr">
        <is>
          <t>MARUTI SUZUKI</t>
        </is>
      </c>
      <c r="F4210" s="20" t="inlineStr">
        <is>
          <t>Eeco</t>
        </is>
      </c>
      <c r="G4210" s="21" t="n">
        <v>2012</v>
      </c>
      <c r="H4210" s="22" t="n">
        <v>102152</v>
      </c>
      <c r="I4210" s="22" t="n">
        <v>93000</v>
      </c>
      <c r="J4210" s="20" t="inlineStr">
        <is>
          <t>PRODUCTIVITY ELEMENTS PRIVATE LIMITED</t>
        </is>
      </c>
      <c r="K4210" s="20" t="inlineStr">
        <is>
          <t>Non-Captive</t>
        </is>
      </c>
      <c r="L4210" s="20" t="inlineStr">
        <is>
          <t>Grid 33</t>
        </is>
      </c>
      <c r="M4210" s="23" t="n">
        <v>4237.29</v>
      </c>
    </row>
    <row r="4211">
      <c r="A4211" s="19" t="inlineStr">
        <is>
          <t>FY27</t>
        </is>
      </c>
      <c r="B4211" s="19" t="inlineStr">
        <is>
          <t>Sep</t>
        </is>
      </c>
      <c r="C4211" s="19" t="inlineStr">
        <is>
          <t>TN</t>
        </is>
      </c>
      <c r="D4211" s="20" t="inlineStr">
        <is>
          <t>TN38BQ0402</t>
        </is>
      </c>
      <c r="E4211" s="20" t="inlineStr">
        <is>
          <t>FORD</t>
        </is>
      </c>
      <c r="F4211" s="20" t="inlineStr">
        <is>
          <t>Figo</t>
        </is>
      </c>
      <c r="G4211" s="21" t="n">
        <v>2012</v>
      </c>
      <c r="H4211" s="22" t="n">
        <v>69965</v>
      </c>
      <c r="I4211" s="22" t="n">
        <v>150000</v>
      </c>
      <c r="J4211" s="20" t="inlineStr">
        <is>
          <t>EXCHANGE ROTN</t>
        </is>
      </c>
      <c r="K4211" s="20" t="inlineStr">
        <is>
          <t>Captive</t>
        </is>
      </c>
      <c r="L4211" s="20" t="inlineStr">
        <is>
          <t>Sr Auto Consulting</t>
        </is>
      </c>
      <c r="M4211" s="23" t="n">
        <v>5932.2</v>
      </c>
    </row>
    <row r="4212">
      <c r="A4212" s="19" t="inlineStr">
        <is>
          <t>FY27</t>
        </is>
      </c>
      <c r="B4212" s="19" t="inlineStr">
        <is>
          <t>Sep</t>
        </is>
      </c>
      <c r="C4212" s="19" t="inlineStr">
        <is>
          <t>TN</t>
        </is>
      </c>
      <c r="D4212" s="20" t="inlineStr">
        <is>
          <t>TN38BS0537</t>
        </is>
      </c>
      <c r="E4212" s="20" t="inlineStr">
        <is>
          <t>FORD</t>
        </is>
      </c>
      <c r="F4212" s="20" t="inlineStr">
        <is>
          <t>Figo</t>
        </is>
      </c>
      <c r="G4212" s="21" t="n">
        <v>2012</v>
      </c>
      <c r="H4212" s="22" t="n">
        <v>136352</v>
      </c>
      <c r="I4212" s="22" t="n">
        <v>97000</v>
      </c>
      <c r="J4212" s="20" t="inlineStr">
        <is>
          <t>CRESCO CARS</t>
        </is>
      </c>
      <c r="K4212" s="20" t="inlineStr">
        <is>
          <t>Non-Captive</t>
        </is>
      </c>
      <c r="L4212" s="20" t="inlineStr">
        <is>
          <t>Srijja Travels</t>
        </is>
      </c>
      <c r="M4212" s="23" t="n">
        <v>4237.29</v>
      </c>
    </row>
    <row r="4213">
      <c r="A4213" s="19" t="inlineStr">
        <is>
          <t>FY27</t>
        </is>
      </c>
      <c r="B4213" s="19" t="inlineStr">
        <is>
          <t>Sep</t>
        </is>
      </c>
      <c r="C4213" s="19" t="inlineStr">
        <is>
          <t>TN</t>
        </is>
      </c>
      <c r="D4213" s="20" t="inlineStr">
        <is>
          <t>TN38BT9810</t>
        </is>
      </c>
      <c r="E4213" s="20" t="inlineStr">
        <is>
          <t>TOYOTA</t>
        </is>
      </c>
      <c r="F4213" s="20" t="inlineStr">
        <is>
          <t>Etios</t>
        </is>
      </c>
      <c r="G4213" s="21" t="n">
        <v>2013</v>
      </c>
      <c r="H4213" s="22" t="n">
        <v>188994</v>
      </c>
      <c r="I4213" s="22" t="n">
        <v>375000</v>
      </c>
      <c r="J4213" s="20" t="inlineStr">
        <is>
          <t>EXCHANGE ROTN</t>
        </is>
      </c>
      <c r="K4213" s="20" t="inlineStr">
        <is>
          <t>Captive</t>
        </is>
      </c>
      <c r="L4213" s="20" t="inlineStr">
        <is>
          <t>Sr Auto Consulting</t>
        </is>
      </c>
      <c r="M4213" s="23" t="n">
        <v>8474.58</v>
      </c>
    </row>
    <row r="4214">
      <c r="A4214" s="19" t="inlineStr">
        <is>
          <t>FY27</t>
        </is>
      </c>
      <c r="B4214" s="19" t="inlineStr">
        <is>
          <t>Sep</t>
        </is>
      </c>
      <c r="C4214" s="19" t="inlineStr">
        <is>
          <t>TN</t>
        </is>
      </c>
      <c r="D4214" s="20" t="inlineStr">
        <is>
          <t>TN38BU7851</t>
        </is>
      </c>
      <c r="E4214" s="20" t="inlineStr">
        <is>
          <t>MARUTI SUZUKI</t>
        </is>
      </c>
      <c r="F4214" s="20" t="inlineStr">
        <is>
          <t>Alto 800</t>
        </is>
      </c>
      <c r="G4214" s="21" t="n">
        <v>2013</v>
      </c>
      <c r="H4214" s="22" t="n">
        <v>103804</v>
      </c>
      <c r="I4214" s="22" t="n">
        <v>206000</v>
      </c>
      <c r="J4214" s="20" t="inlineStr">
        <is>
          <t>V.S.T. MOTORS PRIVATE LIMITED</t>
        </is>
      </c>
      <c r="K4214" s="20" t="inlineStr">
        <is>
          <t>Non-Captive</t>
        </is>
      </c>
      <c r="L4214" s="20" t="inlineStr">
        <is>
          <t>Santhosh Cars</t>
        </is>
      </c>
      <c r="M4214" s="23" t="n">
        <v>4237.29</v>
      </c>
    </row>
    <row r="4215">
      <c r="A4215" s="19" t="inlineStr">
        <is>
          <t>FY27</t>
        </is>
      </c>
      <c r="B4215" s="19" t="inlineStr">
        <is>
          <t>Sep</t>
        </is>
      </c>
      <c r="C4215" s="19" t="inlineStr">
        <is>
          <t>TN</t>
        </is>
      </c>
      <c r="D4215" s="20" t="inlineStr">
        <is>
          <t>TN38BU9264</t>
        </is>
      </c>
      <c r="E4215" s="20" t="inlineStr">
        <is>
          <t>MARUTI SUZUKI</t>
        </is>
      </c>
      <c r="F4215" s="20" t="inlineStr">
        <is>
          <t>Dzire</t>
        </is>
      </c>
      <c r="G4215" s="21" t="n">
        <v>2013</v>
      </c>
      <c r="H4215" s="22" t="n">
        <v>34283</v>
      </c>
      <c r="I4215" s="22" t="n">
        <v>370000</v>
      </c>
      <c r="J4215" s="20" t="inlineStr">
        <is>
          <t>EXCHANGE ROTN</t>
        </is>
      </c>
      <c r="K4215" s="20" t="inlineStr">
        <is>
          <t>Captive</t>
        </is>
      </c>
      <c r="L4215" s="20" t="inlineStr">
        <is>
          <t>Senthur Finance</t>
        </is>
      </c>
      <c r="M4215" s="23" t="n">
        <v>12711.86</v>
      </c>
    </row>
    <row r="4216">
      <c r="A4216" s="19" t="inlineStr">
        <is>
          <t>FY27</t>
        </is>
      </c>
      <c r="B4216" s="19" t="inlineStr">
        <is>
          <t>Sep</t>
        </is>
      </c>
      <c r="C4216" s="19" t="inlineStr">
        <is>
          <t>TN</t>
        </is>
      </c>
      <c r="D4216" s="20" t="inlineStr">
        <is>
          <t>TN38BW9837</t>
        </is>
      </c>
      <c r="E4216" s="20" t="inlineStr">
        <is>
          <t>HONDA</t>
        </is>
      </c>
      <c r="F4216" s="20" t="inlineStr">
        <is>
          <t>City</t>
        </is>
      </c>
      <c r="G4216" s="21" t="n">
        <v>2014</v>
      </c>
      <c r="H4216" s="22" t="n">
        <v>135901</v>
      </c>
      <c r="I4216" s="22" t="n">
        <v>320000</v>
      </c>
      <c r="J4216" s="20" t="inlineStr">
        <is>
          <t>EXCHANGE ROTN</t>
        </is>
      </c>
      <c r="K4216" s="20" t="inlineStr">
        <is>
          <t>Captive</t>
        </is>
      </c>
      <c r="L4216" s="20" t="inlineStr">
        <is>
          <t>Gughaa Cars</t>
        </is>
      </c>
      <c r="M4216" s="23" t="n">
        <v>12711.86</v>
      </c>
    </row>
    <row r="4217">
      <c r="A4217" s="19" t="inlineStr">
        <is>
          <t>FY27</t>
        </is>
      </c>
      <c r="B4217" s="19" t="inlineStr">
        <is>
          <t>Sep</t>
        </is>
      </c>
      <c r="C4217" s="19" t="inlineStr">
        <is>
          <t>TN</t>
        </is>
      </c>
      <c r="D4217" s="20" t="inlineStr">
        <is>
          <t>TN38CD0025</t>
        </is>
      </c>
      <c r="E4217" s="20" t="inlineStr">
        <is>
          <t>RENAULT</t>
        </is>
      </c>
      <c r="F4217" s="20" t="inlineStr">
        <is>
          <t>Kwid</t>
        </is>
      </c>
      <c r="G4217" s="21" t="n">
        <v>2016</v>
      </c>
      <c r="H4217" s="22" t="n">
        <v>37401</v>
      </c>
      <c r="I4217" s="22" t="n">
        <v>99000</v>
      </c>
      <c r="J4217" s="20" t="inlineStr">
        <is>
          <t>CRESCO CARS</t>
        </is>
      </c>
      <c r="K4217" s="20" t="inlineStr">
        <is>
          <t>Non-Captive</t>
        </is>
      </c>
      <c r="L4217" s="20" t="inlineStr">
        <is>
          <t>Cars24</t>
        </is>
      </c>
      <c r="M4217" s="23" t="n">
        <v>4237.29</v>
      </c>
    </row>
    <row r="4218">
      <c r="A4218" s="19" t="inlineStr">
        <is>
          <t>FY27</t>
        </is>
      </c>
      <c r="B4218" s="19" t="inlineStr">
        <is>
          <t>Sep</t>
        </is>
      </c>
      <c r="C4218" s="19" t="inlineStr">
        <is>
          <t>TN</t>
        </is>
      </c>
      <c r="D4218" s="20" t="inlineStr">
        <is>
          <t>TN38CD4243</t>
        </is>
      </c>
      <c r="E4218" s="20" t="inlineStr">
        <is>
          <t>HONDA</t>
        </is>
      </c>
      <c r="F4218" s="20" t="inlineStr">
        <is>
          <t>Jazz</t>
        </is>
      </c>
      <c r="G4218" s="21" t="n">
        <v>2016</v>
      </c>
      <c r="H4218" s="22" t="n">
        <v>77276</v>
      </c>
      <c r="I4218" s="22" t="n">
        <v>400000</v>
      </c>
      <c r="J4218" s="20" t="inlineStr">
        <is>
          <t>EXCHANGE ROTN</t>
        </is>
      </c>
      <c r="K4218" s="20" t="inlineStr">
        <is>
          <t>Captive</t>
        </is>
      </c>
      <c r="L4218" s="20" t="inlineStr">
        <is>
          <t>Auto Solution</t>
        </is>
      </c>
      <c r="M4218" s="23" t="n">
        <v>12711.86</v>
      </c>
    </row>
    <row r="4219">
      <c r="A4219" s="19" t="inlineStr">
        <is>
          <t>FY27</t>
        </is>
      </c>
      <c r="B4219" s="19" t="inlineStr">
        <is>
          <t>Sep</t>
        </is>
      </c>
      <c r="C4219" s="19" t="inlineStr">
        <is>
          <t>TN</t>
        </is>
      </c>
      <c r="D4219" s="20" t="inlineStr">
        <is>
          <t>TN38CH1105</t>
        </is>
      </c>
      <c r="E4219" s="20" t="inlineStr">
        <is>
          <t>MARUTI SUZUKI</t>
        </is>
      </c>
      <c r="F4219" s="20" t="inlineStr">
        <is>
          <t>Ciaz</t>
        </is>
      </c>
      <c r="G4219" s="21" t="n">
        <v>2016</v>
      </c>
      <c r="H4219" s="22" t="n">
        <v>46132</v>
      </c>
      <c r="I4219" s="22" t="n">
        <v>510000</v>
      </c>
      <c r="J4219" s="20" t="inlineStr">
        <is>
          <t>EXCHANGE ROTN</t>
        </is>
      </c>
      <c r="K4219" s="20" t="inlineStr">
        <is>
          <t>Captive</t>
        </is>
      </c>
      <c r="L4219" s="20" t="inlineStr">
        <is>
          <t>Auto Solution</t>
        </is>
      </c>
      <c r="M4219" s="23" t="n">
        <v>12711.86</v>
      </c>
    </row>
    <row r="4220">
      <c r="A4220" s="19" t="inlineStr">
        <is>
          <t>FY27</t>
        </is>
      </c>
      <c r="B4220" s="19" t="inlineStr">
        <is>
          <t>Sep</t>
        </is>
      </c>
      <c r="C4220" s="19" t="inlineStr">
        <is>
          <t>TN</t>
        </is>
      </c>
      <c r="D4220" s="20" t="inlineStr">
        <is>
          <t>TN38CJ2709</t>
        </is>
      </c>
      <c r="E4220" s="20" t="inlineStr">
        <is>
          <t>VOLKSWAGEN</t>
        </is>
      </c>
      <c r="F4220" s="20" t="inlineStr">
        <is>
          <t>Ameo</t>
        </is>
      </c>
      <c r="G4220" s="21" t="n">
        <v>2016</v>
      </c>
      <c r="H4220" s="22" t="n">
        <v>260320</v>
      </c>
      <c r="I4220" s="22" t="n">
        <v>97000</v>
      </c>
      <c r="J4220" s="20" t="inlineStr">
        <is>
          <t>PRODUCTIVITY ELEMENTS PRIVATE LIMITED</t>
        </is>
      </c>
      <c r="K4220" s="20" t="inlineStr">
        <is>
          <t>Non-Captive</t>
        </is>
      </c>
      <c r="L4220" s="20" t="inlineStr">
        <is>
          <t>Cars24</t>
        </is>
      </c>
      <c r="M4220" s="23" t="n">
        <v>4237.29</v>
      </c>
    </row>
    <row r="4221">
      <c r="A4221" s="19" t="inlineStr">
        <is>
          <t>FY27</t>
        </is>
      </c>
      <c r="B4221" s="19" t="inlineStr">
        <is>
          <t>Sep</t>
        </is>
      </c>
      <c r="C4221" s="19" t="inlineStr">
        <is>
          <t>TN</t>
        </is>
      </c>
      <c r="D4221" s="20" t="inlineStr">
        <is>
          <t>TN38CJ5580</t>
        </is>
      </c>
      <c r="E4221" s="20" t="inlineStr">
        <is>
          <t>MARUTI SUZUKI</t>
        </is>
      </c>
      <c r="F4221" s="20" t="inlineStr">
        <is>
          <t>Baleno</t>
        </is>
      </c>
      <c r="G4221" s="21" t="n">
        <v>2017</v>
      </c>
      <c r="H4221" s="22" t="n">
        <v>82248</v>
      </c>
      <c r="I4221" s="22" t="n">
        <v>94000</v>
      </c>
      <c r="J4221" s="20" t="inlineStr">
        <is>
          <t>PRODUCTIVITY ELEMENTS PRIVATE LIMITED</t>
        </is>
      </c>
      <c r="K4221" s="20" t="inlineStr">
        <is>
          <t>Non-Captive</t>
        </is>
      </c>
      <c r="L4221" s="20" t="inlineStr">
        <is>
          <t>Cars24</t>
        </is>
      </c>
      <c r="M4221" s="23" t="n">
        <v>4237.29</v>
      </c>
    </row>
    <row r="4222">
      <c r="A4222" s="19" t="inlineStr">
        <is>
          <t>FY27</t>
        </is>
      </c>
      <c r="B4222" s="19" t="inlineStr">
        <is>
          <t>Sep</t>
        </is>
      </c>
      <c r="C4222" s="19" t="inlineStr">
        <is>
          <t>TN</t>
        </is>
      </c>
      <c r="D4222" s="20" t="inlineStr">
        <is>
          <t>TN38CK9722</t>
        </is>
      </c>
      <c r="E4222" s="20" t="inlineStr">
        <is>
          <t>HYUNDAI</t>
        </is>
      </c>
      <c r="F4222" s="20" t="inlineStr">
        <is>
          <t>Grand i10</t>
        </is>
      </c>
      <c r="G4222" s="21" t="n">
        <v>2017</v>
      </c>
      <c r="H4222" s="22" t="n">
        <v>80928</v>
      </c>
      <c r="I4222" s="22" t="n">
        <v>96000</v>
      </c>
      <c r="J4222" s="20" t="inlineStr">
        <is>
          <t>EXCHANGE ROTN</t>
        </is>
      </c>
      <c r="K4222" s="20" t="inlineStr">
        <is>
          <t>Captive</t>
        </is>
      </c>
      <c r="L4222" s="20" t="inlineStr">
        <is>
          <t>Sai Cars</t>
        </is>
      </c>
      <c r="M4222" s="23" t="n">
        <v>4237.29</v>
      </c>
    </row>
    <row r="4223">
      <c r="A4223" s="19" t="inlineStr">
        <is>
          <t>FY27</t>
        </is>
      </c>
      <c r="B4223" s="19" t="inlineStr">
        <is>
          <t>Sep</t>
        </is>
      </c>
      <c r="C4223" s="19" t="inlineStr">
        <is>
          <t>TN</t>
        </is>
      </c>
      <c r="D4223" s="20" t="inlineStr">
        <is>
          <t>TN38CT1750</t>
        </is>
      </c>
      <c r="E4223" s="20" t="inlineStr">
        <is>
          <t>TATA</t>
        </is>
      </c>
      <c r="F4223" s="20" t="inlineStr">
        <is>
          <t>Bolt</t>
        </is>
      </c>
      <c r="G4223" s="21" t="n">
        <v>2018</v>
      </c>
      <c r="H4223" s="22" t="n">
        <v>76004</v>
      </c>
      <c r="I4223" s="22" t="n">
        <v>98000</v>
      </c>
      <c r="J4223" s="20" t="inlineStr">
        <is>
          <t>PRODUCTIVITY ELEMENTS PRIVATE LIMITED</t>
        </is>
      </c>
      <c r="K4223" s="20" t="inlineStr">
        <is>
          <t>Non-Captive</t>
        </is>
      </c>
      <c r="L4223" s="20" t="inlineStr">
        <is>
          <t>Emarald Cars</t>
        </is>
      </c>
      <c r="M4223" s="23" t="n">
        <v>4237.29</v>
      </c>
    </row>
    <row r="4224">
      <c r="A4224" s="19" t="inlineStr">
        <is>
          <t>FY27</t>
        </is>
      </c>
      <c r="B4224" s="19" t="inlineStr">
        <is>
          <t>Sep</t>
        </is>
      </c>
      <c r="C4224" s="19" t="inlineStr">
        <is>
          <t>TN</t>
        </is>
      </c>
      <c r="D4224" s="20" t="inlineStr">
        <is>
          <t>TN38CW3996</t>
        </is>
      </c>
      <c r="E4224" s="20" t="inlineStr">
        <is>
          <t>HONDA</t>
        </is>
      </c>
      <c r="F4224" s="20" t="inlineStr">
        <is>
          <t>Amaze</t>
        </is>
      </c>
      <c r="G4224" s="21" t="n">
        <v>2020</v>
      </c>
      <c r="H4224" s="22" t="n">
        <v>87838</v>
      </c>
      <c r="I4224" s="22" t="n">
        <v>480000</v>
      </c>
      <c r="J4224" s="20" t="inlineStr">
        <is>
          <t>EXCHANGE ROTN</t>
        </is>
      </c>
      <c r="K4224" s="20" t="inlineStr">
        <is>
          <t>Captive</t>
        </is>
      </c>
      <c r="L4224" s="20" t="inlineStr">
        <is>
          <t>Sai Cars</t>
        </is>
      </c>
      <c r="M4224" s="23" t="n">
        <v>8474.58</v>
      </c>
    </row>
    <row r="4225">
      <c r="A4225" s="19" t="inlineStr">
        <is>
          <t>FY27</t>
        </is>
      </c>
      <c r="B4225" s="19" t="inlineStr">
        <is>
          <t>Sep</t>
        </is>
      </c>
      <c r="C4225" s="19" t="inlineStr">
        <is>
          <t>TN</t>
        </is>
      </c>
      <c r="D4225" s="20" t="inlineStr">
        <is>
          <t>TN38CW5658</t>
        </is>
      </c>
      <c r="E4225" s="20" t="inlineStr">
        <is>
          <t>MARUTI SUZUKI</t>
        </is>
      </c>
      <c r="F4225" s="20" t="inlineStr">
        <is>
          <t>Dzire</t>
        </is>
      </c>
      <c r="G4225" s="21" t="n">
        <v>2020</v>
      </c>
      <c r="H4225" s="22" t="n">
        <v>82550</v>
      </c>
      <c r="I4225" s="22" t="n">
        <v>510000</v>
      </c>
      <c r="J4225" s="20" t="inlineStr">
        <is>
          <t>EXCHANGE ROTN</t>
        </is>
      </c>
      <c r="K4225" s="20" t="inlineStr">
        <is>
          <t>Captive</t>
        </is>
      </c>
      <c r="L4225" s="20" t="inlineStr">
        <is>
          <t>Yuga Dheeran Cars</t>
        </is>
      </c>
      <c r="M4225" s="23" t="n">
        <v>12711.86</v>
      </c>
    </row>
    <row r="4226">
      <c r="A4226" s="19" t="inlineStr">
        <is>
          <t>FY27</t>
        </is>
      </c>
      <c r="B4226" s="19" t="inlineStr">
        <is>
          <t>Sep</t>
        </is>
      </c>
      <c r="C4226" s="19" t="inlineStr">
        <is>
          <t>TN</t>
        </is>
      </c>
      <c r="D4226" s="20" t="inlineStr">
        <is>
          <t>TN38F7416</t>
        </is>
      </c>
      <c r="E4226" s="20" t="inlineStr">
        <is>
          <t>MARUTI SUZUKI</t>
        </is>
      </c>
      <c r="F4226" s="20" t="inlineStr">
        <is>
          <t>Esteem</t>
        </is>
      </c>
      <c r="G4226" s="21" t="n">
        <v>2003</v>
      </c>
      <c r="H4226" s="22" t="n">
        <v>29310</v>
      </c>
      <c r="I4226" s="22" t="n">
        <v>30000</v>
      </c>
      <c r="J4226" s="20" t="inlineStr">
        <is>
          <t>EXCHANGE ROTN</t>
        </is>
      </c>
      <c r="K4226" s="20" t="inlineStr">
        <is>
          <t>Captive</t>
        </is>
      </c>
      <c r="L4226" s="20" t="inlineStr">
        <is>
          <t>Sivashankar Cars</t>
        </is>
      </c>
      <c r="M4226" s="23" t="n">
        <v>4237.29</v>
      </c>
    </row>
    <row r="4227">
      <c r="A4227" s="19" t="inlineStr">
        <is>
          <t>FY27</t>
        </is>
      </c>
      <c r="B4227" s="19" t="inlineStr">
        <is>
          <t>Sep</t>
        </is>
      </c>
      <c r="C4227" s="19" t="inlineStr">
        <is>
          <t>TN</t>
        </is>
      </c>
      <c r="D4227" s="20" t="inlineStr">
        <is>
          <t>TN38Y5290</t>
        </is>
      </c>
      <c r="E4227" s="20" t="inlineStr">
        <is>
          <t>MARUTI SUZUKI</t>
        </is>
      </c>
      <c r="F4227" s="20" t="inlineStr">
        <is>
          <t>Alto</t>
        </is>
      </c>
      <c r="G4227" s="21" t="n">
        <v>2004</v>
      </c>
      <c r="H4227" s="22" t="n">
        <v>154487</v>
      </c>
      <c r="I4227" s="22" t="n">
        <v>60000</v>
      </c>
      <c r="J4227" s="20" t="inlineStr">
        <is>
          <t>EXCHANGE ROTN</t>
        </is>
      </c>
      <c r="K4227" s="20" t="inlineStr">
        <is>
          <t>Captive</t>
        </is>
      </c>
      <c r="L4227" s="20" t="inlineStr">
        <is>
          <t>Ready To Ride Cars</t>
        </is>
      </c>
      <c r="M4227" s="23" t="n">
        <v>4237.29</v>
      </c>
    </row>
    <row r="4228">
      <c r="A4228" s="19" t="inlineStr">
        <is>
          <t>FY27</t>
        </is>
      </c>
      <c r="B4228" s="19" t="inlineStr">
        <is>
          <t>Sep</t>
        </is>
      </c>
      <c r="C4228" s="19" t="inlineStr">
        <is>
          <t>TN</t>
        </is>
      </c>
      <c r="D4228" s="20" t="inlineStr">
        <is>
          <t>TN39AM4664</t>
        </is>
      </c>
      <c r="E4228" s="20" t="inlineStr">
        <is>
          <t>HONDA</t>
        </is>
      </c>
      <c r="F4228" s="20" t="inlineStr">
        <is>
          <t>City</t>
        </is>
      </c>
      <c r="G4228" s="21" t="n">
        <v>2007</v>
      </c>
      <c r="H4228" s="22" t="n">
        <v>127173</v>
      </c>
      <c r="I4228" s="22" t="n">
        <v>140000</v>
      </c>
      <c r="J4228" s="20" t="inlineStr">
        <is>
          <t>EXCHANGE ROTN</t>
        </is>
      </c>
      <c r="K4228" s="20" t="inlineStr">
        <is>
          <t>Captive</t>
        </is>
      </c>
      <c r="L4228" s="20" t="inlineStr">
        <is>
          <t>Ulavan Cars (Pollachi)</t>
        </is>
      </c>
      <c r="M4228" s="23" t="n">
        <v>8474.58</v>
      </c>
    </row>
    <row r="4229">
      <c r="A4229" s="19" t="inlineStr">
        <is>
          <t>FY27</t>
        </is>
      </c>
      <c r="B4229" s="19" t="inlineStr">
        <is>
          <t>Sep</t>
        </is>
      </c>
      <c r="C4229" s="19" t="inlineStr">
        <is>
          <t>TN</t>
        </is>
      </c>
      <c r="D4229" s="20" t="inlineStr">
        <is>
          <t>TN39AR3739</t>
        </is>
      </c>
      <c r="E4229" s="20" t="inlineStr">
        <is>
          <t>SKODA</t>
        </is>
      </c>
      <c r="F4229" s="20" t="inlineStr">
        <is>
          <t>Laura</t>
        </is>
      </c>
      <c r="G4229" s="21" t="n">
        <v>2008</v>
      </c>
      <c r="H4229" s="22" t="n">
        <v>88879</v>
      </c>
      <c r="I4229" s="22" t="n">
        <v>70000</v>
      </c>
      <c r="J4229" s="20" t="inlineStr">
        <is>
          <t>EXCHANGE ROTN</t>
        </is>
      </c>
      <c r="K4229" s="20" t="inlineStr">
        <is>
          <t>Captive</t>
        </is>
      </c>
      <c r="L4229" s="20" t="inlineStr">
        <is>
          <t>Ulavan Cars (Pollachi)</t>
        </is>
      </c>
      <c r="M4229" s="23" t="n">
        <v>4237.29</v>
      </c>
    </row>
    <row r="4230">
      <c r="A4230" s="19" t="inlineStr">
        <is>
          <t>FY27</t>
        </is>
      </c>
      <c r="B4230" s="19" t="inlineStr">
        <is>
          <t>Sep</t>
        </is>
      </c>
      <c r="C4230" s="19" t="inlineStr">
        <is>
          <t>TN</t>
        </is>
      </c>
      <c r="D4230" s="20" t="inlineStr">
        <is>
          <t>TN41AK6657</t>
        </is>
      </c>
      <c r="E4230" s="20" t="inlineStr">
        <is>
          <t>MARUTI SUZUKI</t>
        </is>
      </c>
      <c r="F4230" s="20" t="inlineStr">
        <is>
          <t>Alto K10</t>
        </is>
      </c>
      <c r="G4230" s="21" t="n">
        <v>2014</v>
      </c>
      <c r="H4230" s="22" t="n">
        <v>128945</v>
      </c>
      <c r="I4230" s="22" t="n">
        <v>93000</v>
      </c>
      <c r="J4230" s="20" t="inlineStr">
        <is>
          <t>EXCHANGE ROTN</t>
        </is>
      </c>
      <c r="K4230" s="20" t="inlineStr">
        <is>
          <t>Captive</t>
        </is>
      </c>
      <c r="L4230" s="20" t="inlineStr">
        <is>
          <t>Sai Cars</t>
        </is>
      </c>
      <c r="M4230" s="23" t="n">
        <v>4237.29</v>
      </c>
    </row>
    <row r="4231">
      <c r="A4231" s="19" t="inlineStr">
        <is>
          <t>FY27</t>
        </is>
      </c>
      <c r="B4231" s="19" t="inlineStr">
        <is>
          <t>Sep</t>
        </is>
      </c>
      <c r="C4231" s="19" t="inlineStr">
        <is>
          <t>TN</t>
        </is>
      </c>
      <c r="D4231" s="20" t="inlineStr">
        <is>
          <t>TN42AA7329</t>
        </is>
      </c>
      <c r="E4231" s="20" t="inlineStr">
        <is>
          <t>RENAULT</t>
        </is>
      </c>
      <c r="F4231" s="20" t="inlineStr">
        <is>
          <t>Kwid</t>
        </is>
      </c>
      <c r="G4231" s="21" t="n">
        <v>2018</v>
      </c>
      <c r="H4231" s="22" t="n">
        <v>85644</v>
      </c>
      <c r="I4231" s="22" t="n">
        <v>98000</v>
      </c>
      <c r="J4231" s="20" t="inlineStr">
        <is>
          <t>EXCHANGE ROTN</t>
        </is>
      </c>
      <c r="K4231" s="20" t="inlineStr">
        <is>
          <t>Captive</t>
        </is>
      </c>
      <c r="L4231" s="20" t="inlineStr">
        <is>
          <t>Sivashankar Cars</t>
        </is>
      </c>
      <c r="M4231" s="23" t="n">
        <v>4237.29</v>
      </c>
    </row>
    <row r="4232">
      <c r="A4232" s="19" t="inlineStr">
        <is>
          <t>FY27</t>
        </is>
      </c>
      <c r="B4232" s="19" t="inlineStr">
        <is>
          <t>Sep</t>
        </is>
      </c>
      <c r="C4232" s="19" t="inlineStr">
        <is>
          <t>TN</t>
        </is>
      </c>
      <c r="D4232" s="20" t="inlineStr">
        <is>
          <t>TN42M7715</t>
        </is>
      </c>
      <c r="E4232" s="20" t="inlineStr">
        <is>
          <t>DATSUN</t>
        </is>
      </c>
      <c r="F4232" s="20" t="inlineStr">
        <is>
          <t>Go</t>
        </is>
      </c>
      <c r="G4232" s="21" t="n">
        <v>2015</v>
      </c>
      <c r="H4232" s="22" t="n">
        <v>35679</v>
      </c>
      <c r="I4232" s="22" t="n">
        <v>86000</v>
      </c>
      <c r="J4232" s="20" t="inlineStr">
        <is>
          <t>NIRMAL CARS</t>
        </is>
      </c>
      <c r="K4232" s="20" t="inlineStr">
        <is>
          <t>Non-Captive</t>
        </is>
      </c>
      <c r="L4232" s="20" t="inlineStr">
        <is>
          <t>Value Drive Tech</t>
        </is>
      </c>
      <c r="M4232" s="23" t="n">
        <v>4237.29</v>
      </c>
    </row>
    <row r="4233">
      <c r="A4233" s="19" t="inlineStr">
        <is>
          <t>FY27</t>
        </is>
      </c>
      <c r="B4233" s="19" t="inlineStr">
        <is>
          <t>Sep</t>
        </is>
      </c>
      <c r="C4233" s="19" t="inlineStr">
        <is>
          <t>TN</t>
        </is>
      </c>
      <c r="D4233" s="20" t="inlineStr">
        <is>
          <t>TN45AC8271</t>
        </is>
      </c>
      <c r="E4233" s="20" t="inlineStr">
        <is>
          <t>MARUTI SUZUKI</t>
        </is>
      </c>
      <c r="F4233" s="20" t="inlineStr">
        <is>
          <t>Alto</t>
        </is>
      </c>
      <c r="G4233" s="21" t="n">
        <v>2005</v>
      </c>
      <c r="H4233" s="22" t="n">
        <v>70533</v>
      </c>
      <c r="I4233" s="22" t="n">
        <v>65000</v>
      </c>
      <c r="J4233" s="20" t="inlineStr">
        <is>
          <t>EXCHANGE ROTN</t>
        </is>
      </c>
      <c r="K4233" s="20" t="inlineStr">
        <is>
          <t>Captive</t>
        </is>
      </c>
      <c r="L4233" s="20" t="inlineStr">
        <is>
          <t>Mr.Cars</t>
        </is>
      </c>
      <c r="M4233" s="23" t="n">
        <v>4237.29</v>
      </c>
    </row>
    <row r="4234">
      <c r="A4234" s="19" t="inlineStr">
        <is>
          <t>FY27</t>
        </is>
      </c>
      <c r="B4234" s="19" t="inlineStr">
        <is>
          <t>Sep</t>
        </is>
      </c>
      <c r="C4234" s="19" t="inlineStr">
        <is>
          <t>TN</t>
        </is>
      </c>
      <c r="D4234" s="20" t="inlineStr">
        <is>
          <t>TN45AM4161</t>
        </is>
      </c>
      <c r="E4234" s="20" t="inlineStr">
        <is>
          <t>HYUNDAI</t>
        </is>
      </c>
      <c r="F4234" s="20" t="inlineStr">
        <is>
          <t>Accent</t>
        </is>
      </c>
      <c r="G4234" s="21" t="n">
        <v>2009</v>
      </c>
      <c r="H4234" s="22" t="n">
        <v>46038</v>
      </c>
      <c r="I4234" s="22" t="n">
        <v>94000</v>
      </c>
      <c r="J4234" s="20" t="inlineStr">
        <is>
          <t>RAJALAKSHMI CARS</t>
        </is>
      </c>
      <c r="K4234" s="20" t="inlineStr">
        <is>
          <t>Non-Captive</t>
        </is>
      </c>
      <c r="L4234" s="20" t="inlineStr">
        <is>
          <t>Santhosh Cars</t>
        </is>
      </c>
      <c r="M4234" s="23" t="n">
        <v>3389.83</v>
      </c>
    </row>
    <row r="4235">
      <c r="A4235" s="19" t="inlineStr">
        <is>
          <t>FY27</t>
        </is>
      </c>
      <c r="B4235" s="19" t="inlineStr">
        <is>
          <t>Sep</t>
        </is>
      </c>
      <c r="C4235" s="19" t="inlineStr">
        <is>
          <t>TN</t>
        </is>
      </c>
      <c r="D4235" s="20" t="inlineStr">
        <is>
          <t>TN45AS9884</t>
        </is>
      </c>
      <c r="E4235" s="20" t="inlineStr">
        <is>
          <t>SKODA</t>
        </is>
      </c>
      <c r="F4235" s="20" t="inlineStr">
        <is>
          <t>Fabia</t>
        </is>
      </c>
      <c r="G4235" s="21" t="n">
        <v>2011</v>
      </c>
      <c r="H4235" s="22" t="n">
        <v>159670</v>
      </c>
      <c r="I4235" s="22" t="n">
        <v>70000</v>
      </c>
      <c r="J4235" s="20" t="inlineStr">
        <is>
          <t>EXCHANGE ROTN</t>
        </is>
      </c>
      <c r="K4235" s="20" t="inlineStr">
        <is>
          <t>Captive</t>
        </is>
      </c>
      <c r="L4235" s="20" t="inlineStr">
        <is>
          <t>Shree Cars (Coimbatore)</t>
        </is>
      </c>
      <c r="M4235" s="23" t="n">
        <v>4237.29</v>
      </c>
    </row>
    <row r="4236">
      <c r="A4236" s="19" t="inlineStr">
        <is>
          <t>FY27</t>
        </is>
      </c>
      <c r="B4236" s="19" t="inlineStr">
        <is>
          <t>Sep</t>
        </is>
      </c>
      <c r="C4236" s="19" t="inlineStr">
        <is>
          <t>TN</t>
        </is>
      </c>
      <c r="D4236" s="20" t="inlineStr">
        <is>
          <t>TN45BY4138</t>
        </is>
      </c>
      <c r="E4236" s="20" t="inlineStr">
        <is>
          <t>HYUNDAI</t>
        </is>
      </c>
      <c r="F4236" s="20" t="inlineStr">
        <is>
          <t>Eon</t>
        </is>
      </c>
      <c r="G4236" s="21" t="n">
        <v>2012</v>
      </c>
      <c r="H4236" s="22" t="n">
        <v>94273</v>
      </c>
      <c r="I4236" s="22" t="n">
        <v>165000</v>
      </c>
      <c r="J4236" s="20" t="inlineStr">
        <is>
          <t>EXCHANGE ROTN</t>
        </is>
      </c>
      <c r="K4236" s="20" t="inlineStr">
        <is>
          <t>Captive</t>
        </is>
      </c>
      <c r="L4236" s="20" t="inlineStr"/>
      <c r="M4236" s="23" t="n">
        <v>4237.29</v>
      </c>
    </row>
    <row r="4237">
      <c r="A4237" s="19" t="inlineStr">
        <is>
          <t>FY27</t>
        </is>
      </c>
      <c r="B4237" s="19" t="inlineStr">
        <is>
          <t>Sep</t>
        </is>
      </c>
      <c r="C4237" s="19" t="inlineStr">
        <is>
          <t>TN</t>
        </is>
      </c>
      <c r="D4237" s="20" t="inlineStr">
        <is>
          <t>TN45Q6705</t>
        </is>
      </c>
      <c r="E4237" s="20" t="inlineStr">
        <is>
          <t>MARUTI SUZUKI</t>
        </is>
      </c>
      <c r="F4237" s="20" t="inlineStr">
        <is>
          <t>Zen</t>
        </is>
      </c>
      <c r="G4237" s="21" t="n">
        <v>2001</v>
      </c>
      <c r="H4237" s="22" t="n">
        <v>99999</v>
      </c>
      <c r="I4237" s="22" t="n">
        <v>87000</v>
      </c>
      <c r="J4237" s="20" t="inlineStr">
        <is>
          <t>NIRMAL CARS</t>
        </is>
      </c>
      <c r="K4237" s="20" t="inlineStr">
        <is>
          <t>Non-Captive</t>
        </is>
      </c>
      <c r="L4237" s="20" t="inlineStr">
        <is>
          <t>Senthil Cars</t>
        </is>
      </c>
      <c r="M4237" s="23" t="n">
        <v>4237.29</v>
      </c>
    </row>
    <row r="4238">
      <c r="A4238" s="19" t="inlineStr">
        <is>
          <t>FY27</t>
        </is>
      </c>
      <c r="B4238" s="19" t="inlineStr">
        <is>
          <t>Sep</t>
        </is>
      </c>
      <c r="C4238" s="19" t="inlineStr">
        <is>
          <t>TN</t>
        </is>
      </c>
      <c r="D4238" s="20" t="inlineStr">
        <is>
          <t>TN48AT9452</t>
        </is>
      </c>
      <c r="E4238" s="20" t="inlineStr">
        <is>
          <t>RENAULT</t>
        </is>
      </c>
      <c r="F4238" s="20" t="inlineStr">
        <is>
          <t>Kwid</t>
        </is>
      </c>
      <c r="G4238" s="21" t="n">
        <v>2018</v>
      </c>
      <c r="H4238" s="22" t="n">
        <v>87117</v>
      </c>
      <c r="I4238" s="22" t="n">
        <v>98000</v>
      </c>
      <c r="J4238" s="20" t="inlineStr">
        <is>
          <t>EXCHANGE ROTN</t>
        </is>
      </c>
      <c r="K4238" s="20" t="inlineStr">
        <is>
          <t>Captive</t>
        </is>
      </c>
      <c r="L4238" s="20" t="inlineStr">
        <is>
          <t>Sivashankar Cars</t>
        </is>
      </c>
      <c r="M4238" s="23" t="n">
        <v>4237.29</v>
      </c>
    </row>
    <row r="4239">
      <c r="A4239" s="19" t="inlineStr">
        <is>
          <t>FY27</t>
        </is>
      </c>
      <c r="B4239" s="19" t="inlineStr">
        <is>
          <t>Sep</t>
        </is>
      </c>
      <c r="C4239" s="19" t="inlineStr">
        <is>
          <t>TN</t>
        </is>
      </c>
      <c r="D4239" s="20" t="inlineStr">
        <is>
          <t>TN51H9361</t>
        </is>
      </c>
      <c r="E4239" s="20" t="inlineStr">
        <is>
          <t>MARUTI SUZUKI</t>
        </is>
      </c>
      <c r="F4239" s="20" t="inlineStr">
        <is>
          <t>Alto</t>
        </is>
      </c>
      <c r="G4239" s="21" t="n">
        <v>2012</v>
      </c>
      <c r="H4239" s="22" t="n">
        <v>144582</v>
      </c>
      <c r="I4239" s="22" t="n">
        <v>95000</v>
      </c>
      <c r="J4239" s="20" t="inlineStr">
        <is>
          <t>CASTLE TRADERS MARUTI</t>
        </is>
      </c>
      <c r="K4239" s="20" t="inlineStr">
        <is>
          <t>Non-Captive</t>
        </is>
      </c>
      <c r="L4239" s="20" t="inlineStr">
        <is>
          <t>Aasim Motors</t>
        </is>
      </c>
      <c r="M4239" s="23" t="n">
        <v>4237.29</v>
      </c>
    </row>
    <row r="4240">
      <c r="A4240" s="19" t="inlineStr">
        <is>
          <t>FY27</t>
        </is>
      </c>
      <c r="B4240" s="19" t="inlineStr">
        <is>
          <t>Sep</t>
        </is>
      </c>
      <c r="C4240" s="19" t="inlineStr">
        <is>
          <t>TN</t>
        </is>
      </c>
      <c r="D4240" s="20" t="inlineStr">
        <is>
          <t>TN52C3788</t>
        </is>
      </c>
      <c r="E4240" s="20" t="inlineStr">
        <is>
          <t>CHEVROLET</t>
        </is>
      </c>
      <c r="F4240" s="20" t="inlineStr">
        <is>
          <t>Beat</t>
        </is>
      </c>
      <c r="G4240" s="21" t="n">
        <v>2011</v>
      </c>
      <c r="H4240" s="22" t="n">
        <v>85614</v>
      </c>
      <c r="I4240" s="22" t="n">
        <v>50000</v>
      </c>
      <c r="J4240" s="20" t="inlineStr">
        <is>
          <t>EXCHANGE ROTN</t>
        </is>
      </c>
      <c r="K4240" s="20" t="inlineStr">
        <is>
          <t>Captive</t>
        </is>
      </c>
      <c r="L4240" s="20" t="inlineStr">
        <is>
          <t>Ayyappa Cars</t>
        </is>
      </c>
      <c r="M4240" s="23" t="n">
        <v>4237.29</v>
      </c>
    </row>
    <row r="4241">
      <c r="A4241" s="19" t="inlineStr">
        <is>
          <t>FY27</t>
        </is>
      </c>
      <c r="B4241" s="19" t="inlineStr">
        <is>
          <t>Sep</t>
        </is>
      </c>
      <c r="C4241" s="19" t="inlineStr">
        <is>
          <t>TN</t>
        </is>
      </c>
      <c r="D4241" s="20" t="inlineStr">
        <is>
          <t>TN52Y7322</t>
        </is>
      </c>
      <c r="E4241" s="20" t="inlineStr">
        <is>
          <t>CHEVROLET</t>
        </is>
      </c>
      <c r="F4241" s="20" t="inlineStr">
        <is>
          <t>Spark</t>
        </is>
      </c>
      <c r="G4241" s="21" t="n">
        <v>2010</v>
      </c>
      <c r="H4241" s="22" t="n">
        <v>69451</v>
      </c>
      <c r="I4241" s="22" t="n">
        <v>93000</v>
      </c>
      <c r="J4241" s="20" t="inlineStr">
        <is>
          <t>LANSON QCARS PRIVATE LIMITED</t>
        </is>
      </c>
      <c r="K4241" s="20" t="inlineStr">
        <is>
          <t>Non-Captive</t>
        </is>
      </c>
      <c r="L4241" s="20" t="inlineStr">
        <is>
          <t>Mahathi Cars</t>
        </is>
      </c>
      <c r="M4241" s="23" t="n">
        <v>4237.29</v>
      </c>
    </row>
    <row r="4242">
      <c r="A4242" s="19" t="inlineStr">
        <is>
          <t>FY27</t>
        </is>
      </c>
      <c r="B4242" s="19" t="inlineStr">
        <is>
          <t>Sep</t>
        </is>
      </c>
      <c r="C4242" s="19" t="inlineStr">
        <is>
          <t>TN</t>
        </is>
      </c>
      <c r="D4242" s="20" t="inlineStr">
        <is>
          <t>TN55AE5089</t>
        </is>
      </c>
      <c r="E4242" s="20" t="inlineStr">
        <is>
          <t>MARUTI SUZUKI</t>
        </is>
      </c>
      <c r="F4242" s="20" t="inlineStr">
        <is>
          <t>Swift</t>
        </is>
      </c>
      <c r="G4242" s="21" t="n">
        <v>2013</v>
      </c>
      <c r="H4242" s="22" t="n">
        <v>127904</v>
      </c>
      <c r="I4242" s="22" t="n">
        <v>86000</v>
      </c>
      <c r="J4242" s="20" t="inlineStr">
        <is>
          <t>STEER AUTO TECHNOLOGIES PRIVATE LIMITED</t>
        </is>
      </c>
      <c r="K4242" s="20" t="inlineStr">
        <is>
          <t>Non-Captive</t>
        </is>
      </c>
      <c r="L4242" s="20" t="inlineStr">
        <is>
          <t>Castel Traders Honada</t>
        </is>
      </c>
      <c r="M4242" s="23" t="n">
        <v>4237.29</v>
      </c>
    </row>
    <row r="4243">
      <c r="A4243" s="19" t="inlineStr">
        <is>
          <t>FY27</t>
        </is>
      </c>
      <c r="B4243" s="19" t="inlineStr">
        <is>
          <t>Sep</t>
        </is>
      </c>
      <c r="C4243" s="19" t="inlineStr">
        <is>
          <t>TN</t>
        </is>
      </c>
      <c r="D4243" s="20" t="inlineStr">
        <is>
          <t>TN55AF3600</t>
        </is>
      </c>
      <c r="E4243" s="20" t="inlineStr">
        <is>
          <t>HYUNDAI</t>
        </is>
      </c>
      <c r="F4243" s="20" t="inlineStr">
        <is>
          <t>i20</t>
        </is>
      </c>
      <c r="G4243" s="21" t="n">
        <v>2013</v>
      </c>
      <c r="H4243" s="22" t="n">
        <v>79800</v>
      </c>
      <c r="I4243" s="22" t="n">
        <v>94000</v>
      </c>
      <c r="J4243" s="20" t="inlineStr">
        <is>
          <t>CARS INDIA</t>
        </is>
      </c>
      <c r="K4243" s="20" t="inlineStr">
        <is>
          <t>Non-Captive</t>
        </is>
      </c>
      <c r="L4243" s="20" t="inlineStr">
        <is>
          <t>Santhosh Cars</t>
        </is>
      </c>
      <c r="M4243" s="23" t="n">
        <v>4237.29</v>
      </c>
    </row>
    <row r="4244">
      <c r="A4244" s="19" t="inlineStr">
        <is>
          <t>FY27</t>
        </is>
      </c>
      <c r="B4244" s="19" t="inlineStr">
        <is>
          <t>Sep</t>
        </is>
      </c>
      <c r="C4244" s="19" t="inlineStr">
        <is>
          <t>TN</t>
        </is>
      </c>
      <c r="D4244" s="20" t="inlineStr">
        <is>
          <t>TN55R9693</t>
        </is>
      </c>
      <c r="E4244" s="20" t="inlineStr">
        <is>
          <t>HYUNDAI</t>
        </is>
      </c>
      <c r="F4244" s="20" t="inlineStr">
        <is>
          <t>Santro</t>
        </is>
      </c>
      <c r="G4244" s="21" t="n">
        <v>2008</v>
      </c>
      <c r="H4244" s="22" t="n">
        <v>140765</v>
      </c>
      <c r="I4244" s="22" t="n">
        <v>86000</v>
      </c>
      <c r="J4244" s="20" t="inlineStr">
        <is>
          <t>EXCHANGE ROTN</t>
        </is>
      </c>
      <c r="K4244" s="20" t="inlineStr">
        <is>
          <t>Captive</t>
        </is>
      </c>
      <c r="L4244" s="20" t="inlineStr">
        <is>
          <t>Sree Murugan Cars</t>
        </is>
      </c>
      <c r="M4244" s="23" t="n">
        <v>4237.29</v>
      </c>
    </row>
    <row r="4245">
      <c r="A4245" s="19" t="inlineStr">
        <is>
          <t>FY27</t>
        </is>
      </c>
      <c r="B4245" s="19" t="inlineStr">
        <is>
          <t>Sep</t>
        </is>
      </c>
      <c r="C4245" s="19" t="inlineStr">
        <is>
          <t>TN</t>
        </is>
      </c>
      <c r="D4245" s="20" t="inlineStr">
        <is>
          <t>TN56A7498</t>
        </is>
      </c>
      <c r="E4245" s="20" t="inlineStr">
        <is>
          <t>MARUTI SUZUKI</t>
        </is>
      </c>
      <c r="F4245" s="20" t="inlineStr">
        <is>
          <t>Wagon R</t>
        </is>
      </c>
      <c r="G4245" s="21" t="n">
        <v>2010</v>
      </c>
      <c r="H4245" s="22" t="n">
        <v>166256</v>
      </c>
      <c r="I4245" s="22" t="n">
        <v>95000</v>
      </c>
      <c r="J4245" s="20" t="inlineStr">
        <is>
          <t>EXCHANGE ROTN</t>
        </is>
      </c>
      <c r="K4245" s="20" t="inlineStr">
        <is>
          <t>Captive</t>
        </is>
      </c>
      <c r="L4245" s="20" t="inlineStr">
        <is>
          <t>Sivashankar Cars</t>
        </is>
      </c>
      <c r="M4245" s="23" t="n">
        <v>4237.29</v>
      </c>
    </row>
    <row r="4246">
      <c r="A4246" s="19" t="inlineStr">
        <is>
          <t>FY27</t>
        </is>
      </c>
      <c r="B4246" s="19" t="inlineStr">
        <is>
          <t>Sep</t>
        </is>
      </c>
      <c r="C4246" s="19" t="inlineStr">
        <is>
          <t>TN</t>
        </is>
      </c>
      <c r="D4246" s="20" t="inlineStr">
        <is>
          <t>TN56E5236</t>
        </is>
      </c>
      <c r="E4246" s="20" t="inlineStr">
        <is>
          <t>HONDA</t>
        </is>
      </c>
      <c r="F4246" s="20" t="inlineStr">
        <is>
          <t>Amaze</t>
        </is>
      </c>
      <c r="G4246" s="21" t="n">
        <v>2013</v>
      </c>
      <c r="H4246" s="22" t="n">
        <v>127810</v>
      </c>
      <c r="I4246" s="22" t="n">
        <v>270000</v>
      </c>
      <c r="J4246" s="20" t="inlineStr">
        <is>
          <t>EXCHANGE ROTN</t>
        </is>
      </c>
      <c r="K4246" s="20" t="inlineStr">
        <is>
          <t>Captive</t>
        </is>
      </c>
      <c r="L4246" s="20" t="inlineStr">
        <is>
          <t>Sai Cars</t>
        </is>
      </c>
      <c r="M4246" s="23" t="n">
        <v>8474.58</v>
      </c>
    </row>
    <row r="4247">
      <c r="A4247" s="19" t="inlineStr">
        <is>
          <t>FY27</t>
        </is>
      </c>
      <c r="B4247" s="19" t="inlineStr">
        <is>
          <t>Sep</t>
        </is>
      </c>
      <c r="C4247" s="19" t="inlineStr">
        <is>
          <t>TN</t>
        </is>
      </c>
      <c r="D4247" s="20" t="inlineStr">
        <is>
          <t>TN56M5557</t>
        </is>
      </c>
      <c r="E4247" s="20" t="inlineStr">
        <is>
          <t>TATA</t>
        </is>
      </c>
      <c r="F4247" s="20" t="inlineStr">
        <is>
          <t>Nexon</t>
        </is>
      </c>
      <c r="G4247" s="21" t="n">
        <v>2019</v>
      </c>
      <c r="H4247" s="22" t="n">
        <v>183274</v>
      </c>
      <c r="I4247" s="22" t="n">
        <v>390000</v>
      </c>
      <c r="J4247" s="20" t="inlineStr">
        <is>
          <t>EXCHANGE ROTN</t>
        </is>
      </c>
      <c r="K4247" s="20" t="inlineStr">
        <is>
          <t>Captive</t>
        </is>
      </c>
      <c r="L4247" s="20" t="inlineStr">
        <is>
          <t>Sivashankar Cars</t>
        </is>
      </c>
      <c r="M4247" s="23" t="n">
        <v>6355.93</v>
      </c>
    </row>
    <row r="4248">
      <c r="A4248" s="19" t="inlineStr">
        <is>
          <t>FY27</t>
        </is>
      </c>
      <c r="B4248" s="19" t="inlineStr">
        <is>
          <t>Sep</t>
        </is>
      </c>
      <c r="C4248" s="19" t="inlineStr">
        <is>
          <t>TN</t>
        </is>
      </c>
      <c r="D4248" s="20" t="inlineStr">
        <is>
          <t>TN58AB5319</t>
        </is>
      </c>
      <c r="E4248" s="20" t="inlineStr">
        <is>
          <t>MARUTI SUZUKI</t>
        </is>
      </c>
      <c r="F4248" s="20" t="inlineStr">
        <is>
          <t>Alto</t>
        </is>
      </c>
      <c r="G4248" s="21" t="n">
        <v>2012</v>
      </c>
      <c r="H4248" s="22" t="n">
        <v>120133</v>
      </c>
      <c r="I4248" s="22" t="n">
        <v>85000</v>
      </c>
      <c r="J4248" s="20" t="inlineStr">
        <is>
          <t>EXCHANGE ROTN</t>
        </is>
      </c>
      <c r="K4248" s="20" t="inlineStr">
        <is>
          <t>Captive</t>
        </is>
      </c>
      <c r="L4248" s="20" t="inlineStr">
        <is>
          <t>Automotivators</t>
        </is>
      </c>
      <c r="M4248" s="23" t="n">
        <v>4237.29</v>
      </c>
    </row>
    <row r="4249">
      <c r="A4249" s="19" t="inlineStr">
        <is>
          <t>FY27</t>
        </is>
      </c>
      <c r="B4249" s="19" t="inlineStr">
        <is>
          <t>Sep</t>
        </is>
      </c>
      <c r="C4249" s="19" t="inlineStr">
        <is>
          <t>TN</t>
        </is>
      </c>
      <c r="D4249" s="20" t="inlineStr">
        <is>
          <t>TN58AC4694</t>
        </is>
      </c>
      <c r="E4249" s="20" t="inlineStr">
        <is>
          <t>HYUNDAI</t>
        </is>
      </c>
      <c r="F4249" s="20" t="inlineStr">
        <is>
          <t>i20</t>
        </is>
      </c>
      <c r="G4249" s="21" t="n">
        <v>2012</v>
      </c>
      <c r="H4249" s="22" t="n">
        <v>204522</v>
      </c>
      <c r="I4249" s="22" t="n">
        <v>140000</v>
      </c>
      <c r="J4249" s="20" t="inlineStr">
        <is>
          <t>EXCHANGE ROTN</t>
        </is>
      </c>
      <c r="K4249" s="20" t="inlineStr">
        <is>
          <t>Captive</t>
        </is>
      </c>
      <c r="L4249" s="20" t="inlineStr">
        <is>
          <t>Ksm Auto Consultant</t>
        </is>
      </c>
      <c r="M4249" s="23" t="n">
        <v>8474.58</v>
      </c>
    </row>
    <row r="4250">
      <c r="A4250" s="19" t="inlineStr">
        <is>
          <t>FY27</t>
        </is>
      </c>
      <c r="B4250" s="19" t="inlineStr">
        <is>
          <t>Sep</t>
        </is>
      </c>
      <c r="C4250" s="19" t="inlineStr">
        <is>
          <t>TN</t>
        </is>
      </c>
      <c r="D4250" s="20" t="inlineStr">
        <is>
          <t>TN58BB4307</t>
        </is>
      </c>
      <c r="E4250" s="20" t="inlineStr">
        <is>
          <t>HYUNDAI</t>
        </is>
      </c>
      <c r="F4250" s="20" t="inlineStr">
        <is>
          <t>Santro</t>
        </is>
      </c>
      <c r="G4250" s="21" t="n">
        <v>2019</v>
      </c>
      <c r="H4250" s="22" t="n">
        <v>143925</v>
      </c>
      <c r="I4250" s="22" t="n">
        <v>245000</v>
      </c>
      <c r="J4250" s="20" t="inlineStr">
        <is>
          <t>EXCHANGE ROTN</t>
        </is>
      </c>
      <c r="K4250" s="20" t="inlineStr">
        <is>
          <t>Captive</t>
        </is>
      </c>
      <c r="L4250" s="20" t="inlineStr">
        <is>
          <t>Thirumalai Cars (Madurai)</t>
        </is>
      </c>
      <c r="M4250" s="23" t="n">
        <v>8474.58</v>
      </c>
    </row>
    <row r="4251">
      <c r="A4251" s="19" t="inlineStr">
        <is>
          <t>FY27</t>
        </is>
      </c>
      <c r="B4251" s="19" t="inlineStr">
        <is>
          <t>Sep</t>
        </is>
      </c>
      <c r="C4251" s="19" t="inlineStr">
        <is>
          <t>TN</t>
        </is>
      </c>
      <c r="D4251" s="20" t="inlineStr">
        <is>
          <t>TN58BD7243</t>
        </is>
      </c>
      <c r="E4251" s="20" t="inlineStr">
        <is>
          <t>KIA</t>
        </is>
      </c>
      <c r="F4251" s="20" t="inlineStr">
        <is>
          <t>Seltos</t>
        </is>
      </c>
      <c r="G4251" s="21" t="n">
        <v>2020</v>
      </c>
      <c r="H4251" s="22" t="n">
        <v>60385</v>
      </c>
      <c r="I4251" s="22" t="n">
        <v>690000</v>
      </c>
      <c r="J4251" s="20" t="inlineStr">
        <is>
          <t>EXCHANGE ROTN</t>
        </is>
      </c>
      <c r="K4251" s="20" t="inlineStr">
        <is>
          <t>Captive</t>
        </is>
      </c>
      <c r="L4251" s="20" t="inlineStr">
        <is>
          <t>Gokul Cars</t>
        </is>
      </c>
      <c r="M4251" s="23" t="n">
        <v>16949.15</v>
      </c>
    </row>
    <row r="4252">
      <c r="A4252" s="19" t="inlineStr">
        <is>
          <t>FY27</t>
        </is>
      </c>
      <c r="B4252" s="19" t="inlineStr">
        <is>
          <t>Sep</t>
        </is>
      </c>
      <c r="C4252" s="19" t="inlineStr">
        <is>
          <t>TN</t>
        </is>
      </c>
      <c r="D4252" s="20" t="inlineStr">
        <is>
          <t>TN58BF4068</t>
        </is>
      </c>
      <c r="E4252" s="20" t="inlineStr">
        <is>
          <t>TATA</t>
        </is>
      </c>
      <c r="F4252" s="20" t="inlineStr">
        <is>
          <t>Altroz</t>
        </is>
      </c>
      <c r="G4252" s="21" t="n">
        <v>2021</v>
      </c>
      <c r="H4252" s="22" t="n">
        <v>67904</v>
      </c>
      <c r="I4252" s="22" t="n">
        <v>460000</v>
      </c>
      <c r="J4252" s="20" t="inlineStr">
        <is>
          <t>EXCHANGE ROTN</t>
        </is>
      </c>
      <c r="K4252" s="20" t="inlineStr">
        <is>
          <t>Captive</t>
        </is>
      </c>
      <c r="L4252" s="20" t="inlineStr">
        <is>
          <t>Shree Cars (Coimbatore)</t>
        </is>
      </c>
      <c r="M4252" s="23" t="n">
        <v>8474.58</v>
      </c>
    </row>
    <row r="4253">
      <c r="A4253" s="19" t="inlineStr">
        <is>
          <t>FY27</t>
        </is>
      </c>
      <c r="B4253" s="19" t="inlineStr">
        <is>
          <t>Sep</t>
        </is>
      </c>
      <c r="C4253" s="19" t="inlineStr">
        <is>
          <t>TN</t>
        </is>
      </c>
      <c r="D4253" s="20" t="inlineStr">
        <is>
          <t>TN58Q9515</t>
        </is>
      </c>
      <c r="E4253" s="20" t="inlineStr">
        <is>
          <t>MARUTI SUZUKI</t>
        </is>
      </c>
      <c r="F4253" s="20" t="inlineStr">
        <is>
          <t>800</t>
        </is>
      </c>
      <c r="G4253" s="21" t="n">
        <v>2007</v>
      </c>
      <c r="H4253" s="22" t="n">
        <v>59530</v>
      </c>
      <c r="I4253" s="22" t="n">
        <v>45000</v>
      </c>
      <c r="J4253" s="20" t="inlineStr">
        <is>
          <t>EXCHANGE ROTN</t>
        </is>
      </c>
      <c r="K4253" s="20" t="inlineStr">
        <is>
          <t>Captive</t>
        </is>
      </c>
      <c r="L4253" s="20" t="inlineStr">
        <is>
          <t>Sai Cars</t>
        </is>
      </c>
      <c r="M4253" s="23" t="n">
        <v>4237.29</v>
      </c>
    </row>
    <row r="4254">
      <c r="A4254" s="19" t="inlineStr">
        <is>
          <t>FY27</t>
        </is>
      </c>
      <c r="B4254" s="19" t="inlineStr">
        <is>
          <t>Sep</t>
        </is>
      </c>
      <c r="C4254" s="19" t="inlineStr">
        <is>
          <t>TN</t>
        </is>
      </c>
      <c r="D4254" s="20" t="inlineStr">
        <is>
          <t>TN58W1159</t>
        </is>
      </c>
      <c r="E4254" s="20" t="inlineStr">
        <is>
          <t>MARUTI SUZUKI</t>
        </is>
      </c>
      <c r="F4254" s="20" t="inlineStr">
        <is>
          <t>Zen Estilo</t>
        </is>
      </c>
      <c r="G4254" s="21" t="n">
        <v>2010</v>
      </c>
      <c r="H4254" s="22" t="n">
        <v>61768</v>
      </c>
      <c r="I4254" s="22" t="n">
        <v>92000</v>
      </c>
      <c r="J4254" s="20" t="inlineStr">
        <is>
          <t>STEER AUTO TECHNOLOGIES PRIVATE LIMITED</t>
        </is>
      </c>
      <c r="K4254" s="20" t="inlineStr">
        <is>
          <t>Non-Captive</t>
        </is>
      </c>
      <c r="L4254" s="20" t="inlineStr">
        <is>
          <t>Castel Traders Honada</t>
        </is>
      </c>
      <c r="M4254" s="23" t="n">
        <v>4237.29</v>
      </c>
    </row>
    <row r="4255">
      <c r="A4255" s="19" t="inlineStr">
        <is>
          <t>FY27</t>
        </is>
      </c>
      <c r="B4255" s="19" t="inlineStr">
        <is>
          <t>Sep</t>
        </is>
      </c>
      <c r="C4255" s="19" t="inlineStr">
        <is>
          <t>TN</t>
        </is>
      </c>
      <c r="D4255" s="20" t="inlineStr">
        <is>
          <t>TN59AT6297</t>
        </is>
      </c>
      <c r="E4255" s="20" t="inlineStr">
        <is>
          <t>FORD</t>
        </is>
      </c>
      <c r="F4255" s="20" t="inlineStr">
        <is>
          <t>Fiesta Classic</t>
        </is>
      </c>
      <c r="G4255" s="21" t="n">
        <v>2011</v>
      </c>
      <c r="H4255" s="22" t="n">
        <v>97240</v>
      </c>
      <c r="I4255" s="22" t="n">
        <v>65000</v>
      </c>
      <c r="J4255" s="20" t="inlineStr">
        <is>
          <t>EXCHANGE ROTN</t>
        </is>
      </c>
      <c r="K4255" s="20" t="inlineStr">
        <is>
          <t>Captive</t>
        </is>
      </c>
      <c r="L4255" s="20" t="inlineStr">
        <is>
          <t>KSM Auto Consulting</t>
        </is>
      </c>
      <c r="M4255" s="23" t="n">
        <v>4237.29</v>
      </c>
    </row>
    <row r="4256">
      <c r="A4256" s="19" t="inlineStr">
        <is>
          <t>FY27</t>
        </is>
      </c>
      <c r="B4256" s="19" t="inlineStr">
        <is>
          <t>Sep</t>
        </is>
      </c>
      <c r="C4256" s="19" t="inlineStr">
        <is>
          <t>TN</t>
        </is>
      </c>
      <c r="D4256" s="20" t="inlineStr">
        <is>
          <t>TN59AV7247</t>
        </is>
      </c>
      <c r="E4256" s="20" t="inlineStr">
        <is>
          <t>TATA</t>
        </is>
      </c>
      <c r="F4256" s="20" t="inlineStr">
        <is>
          <t>Nano</t>
        </is>
      </c>
      <c r="G4256" s="21" t="n">
        <v>2012</v>
      </c>
      <c r="H4256" s="22" t="n">
        <v>57330</v>
      </c>
      <c r="I4256" s="22" t="n">
        <v>45000</v>
      </c>
      <c r="J4256" s="20" t="inlineStr">
        <is>
          <t>EXCHANGE ROTN</t>
        </is>
      </c>
      <c r="K4256" s="20" t="inlineStr">
        <is>
          <t>Captive</t>
        </is>
      </c>
      <c r="L4256" s="20" t="inlineStr">
        <is>
          <t>Aswin Cars</t>
        </is>
      </c>
      <c r="M4256" s="23" t="n">
        <v>4237.29</v>
      </c>
    </row>
    <row r="4257">
      <c r="A4257" s="19" t="inlineStr">
        <is>
          <t>FY27</t>
        </is>
      </c>
      <c r="B4257" s="19" t="inlineStr">
        <is>
          <t>Sep</t>
        </is>
      </c>
      <c r="C4257" s="19" t="inlineStr">
        <is>
          <t>TN</t>
        </is>
      </c>
      <c r="D4257" s="20" t="inlineStr">
        <is>
          <t>TN59AW3704</t>
        </is>
      </c>
      <c r="E4257" s="20" t="inlineStr">
        <is>
          <t>CHEVROLET</t>
        </is>
      </c>
      <c r="F4257" s="20" t="inlineStr">
        <is>
          <t>Beat</t>
        </is>
      </c>
      <c r="G4257" s="21" t="n">
        <v>2012</v>
      </c>
      <c r="H4257" s="22" t="n">
        <v>57557</v>
      </c>
      <c r="I4257" s="22" t="n">
        <v>80000</v>
      </c>
      <c r="J4257" s="20" t="inlineStr">
        <is>
          <t>EXCHANGE ROTN</t>
        </is>
      </c>
      <c r="K4257" s="20" t="inlineStr">
        <is>
          <t>Captive</t>
        </is>
      </c>
      <c r="L4257" s="20" t="inlineStr">
        <is>
          <t>Gokul Cars</t>
        </is>
      </c>
      <c r="M4257" s="23" t="n">
        <v>4237.29</v>
      </c>
    </row>
    <row r="4258">
      <c r="A4258" s="19" t="inlineStr">
        <is>
          <t>FY27</t>
        </is>
      </c>
      <c r="B4258" s="19" t="inlineStr">
        <is>
          <t>Sep</t>
        </is>
      </c>
      <c r="C4258" s="19" t="inlineStr">
        <is>
          <t>TN</t>
        </is>
      </c>
      <c r="D4258" s="20" t="inlineStr">
        <is>
          <t>TN59BD8824</t>
        </is>
      </c>
      <c r="E4258" s="20" t="inlineStr">
        <is>
          <t>HYUNDAI</t>
        </is>
      </c>
      <c r="F4258" s="20" t="inlineStr">
        <is>
          <t>Eon</t>
        </is>
      </c>
      <c r="G4258" s="21" t="n">
        <v>2014</v>
      </c>
      <c r="H4258" s="22" t="n">
        <v>34198</v>
      </c>
      <c r="I4258" s="22" t="n">
        <v>87000</v>
      </c>
      <c r="J4258" s="20" t="inlineStr">
        <is>
          <t>AIE CARS PRIVATE LIMITED</t>
        </is>
      </c>
      <c r="K4258" s="20" t="inlineStr">
        <is>
          <t>Non-Captive</t>
        </is>
      </c>
      <c r="L4258" s="20" t="inlineStr">
        <is>
          <t>Value Drive Tech</t>
        </is>
      </c>
      <c r="M4258" s="23" t="n">
        <v>4576.27</v>
      </c>
    </row>
    <row r="4259">
      <c r="A4259" s="19" t="inlineStr">
        <is>
          <t>FY27</t>
        </is>
      </c>
      <c r="B4259" s="19" t="inlineStr">
        <is>
          <t>Sep</t>
        </is>
      </c>
      <c r="C4259" s="19" t="inlineStr">
        <is>
          <t>TN</t>
        </is>
      </c>
      <c r="D4259" s="20" t="inlineStr">
        <is>
          <t>TN59BE4200</t>
        </is>
      </c>
      <c r="E4259" s="20" t="inlineStr">
        <is>
          <t>HONDA</t>
        </is>
      </c>
      <c r="F4259" s="20" t="inlineStr">
        <is>
          <t>Amaze</t>
        </is>
      </c>
      <c r="G4259" s="21" t="n">
        <v>2014</v>
      </c>
      <c r="H4259" s="22" t="n">
        <v>165372</v>
      </c>
      <c r="I4259" s="22" t="n">
        <v>90000</v>
      </c>
      <c r="J4259" s="20" t="inlineStr">
        <is>
          <t>EXCHANGE ROTN</t>
        </is>
      </c>
      <c r="K4259" s="20" t="inlineStr">
        <is>
          <t>Captive</t>
        </is>
      </c>
      <c r="L4259" s="20" t="inlineStr">
        <is>
          <t>Shree Cars (Coimbatore)</t>
        </is>
      </c>
      <c r="M4259" s="23" t="n">
        <v>4237.29</v>
      </c>
    </row>
    <row r="4260">
      <c r="A4260" s="19" t="inlineStr">
        <is>
          <t>FY27</t>
        </is>
      </c>
      <c r="B4260" s="19" t="inlineStr">
        <is>
          <t>Sep</t>
        </is>
      </c>
      <c r="C4260" s="19" t="inlineStr">
        <is>
          <t>TN</t>
        </is>
      </c>
      <c r="D4260" s="20" t="inlineStr">
        <is>
          <t>TN59BL0175</t>
        </is>
      </c>
      <c r="E4260" s="20" t="inlineStr">
        <is>
          <t>DATSUN</t>
        </is>
      </c>
      <c r="F4260" s="20" t="inlineStr">
        <is>
          <t>Redi-GO</t>
        </is>
      </c>
      <c r="G4260" s="21" t="n">
        <v>2016</v>
      </c>
      <c r="H4260" s="22" t="n">
        <v>64039</v>
      </c>
      <c r="I4260" s="22" t="n">
        <v>80000</v>
      </c>
      <c r="J4260" s="20" t="inlineStr">
        <is>
          <t>EXCHANGE ROTN</t>
        </is>
      </c>
      <c r="K4260" s="20" t="inlineStr">
        <is>
          <t>Captive</t>
        </is>
      </c>
      <c r="L4260" s="20" t="inlineStr">
        <is>
          <t>Ready To Ride Cars</t>
        </is>
      </c>
      <c r="M4260" s="23" t="n">
        <v>4237.29</v>
      </c>
    </row>
    <row r="4261">
      <c r="A4261" s="19" t="inlineStr">
        <is>
          <t>FY27</t>
        </is>
      </c>
      <c r="B4261" s="19" t="inlineStr">
        <is>
          <t>Sep</t>
        </is>
      </c>
      <c r="C4261" s="19" t="inlineStr">
        <is>
          <t>TN</t>
        </is>
      </c>
      <c r="D4261" s="20" t="inlineStr">
        <is>
          <t>TN59BR0580</t>
        </is>
      </c>
      <c r="E4261" s="20" t="inlineStr">
        <is>
          <t>HYUNDAI</t>
        </is>
      </c>
      <c r="F4261" s="20" t="inlineStr">
        <is>
          <t>Grand i10</t>
        </is>
      </c>
      <c r="G4261" s="21" t="n">
        <v>2018</v>
      </c>
      <c r="H4261" s="22" t="n">
        <v>45107</v>
      </c>
      <c r="I4261" s="22" t="n">
        <v>370000</v>
      </c>
      <c r="J4261" s="20" t="inlineStr">
        <is>
          <t>EXCHANGE ROTN</t>
        </is>
      </c>
      <c r="K4261" s="20" t="inlineStr">
        <is>
          <t>Captive</t>
        </is>
      </c>
      <c r="L4261" s="20" t="inlineStr">
        <is>
          <t>Aswin Cars</t>
        </is>
      </c>
      <c r="M4261" s="23" t="n">
        <v>16949.15</v>
      </c>
    </row>
    <row r="4262">
      <c r="A4262" s="19" t="inlineStr">
        <is>
          <t>FY27</t>
        </is>
      </c>
      <c r="B4262" s="19" t="inlineStr">
        <is>
          <t>Sep</t>
        </is>
      </c>
      <c r="C4262" s="19" t="inlineStr">
        <is>
          <t>TN</t>
        </is>
      </c>
      <c r="D4262" s="20" t="inlineStr">
        <is>
          <t>TN59CA0439</t>
        </is>
      </c>
      <c r="E4262" s="20" t="inlineStr">
        <is>
          <t>MARUTI SUZUKI</t>
        </is>
      </c>
      <c r="F4262" s="20" t="inlineStr">
        <is>
          <t>Dzire</t>
        </is>
      </c>
      <c r="G4262" s="21" t="n">
        <v>2018</v>
      </c>
      <c r="H4262" s="22" t="n">
        <v>55442</v>
      </c>
      <c r="I4262" s="22" t="n">
        <v>97000</v>
      </c>
      <c r="J4262" s="20" t="inlineStr">
        <is>
          <t>CARS INDIA</t>
        </is>
      </c>
      <c r="K4262" s="20" t="inlineStr">
        <is>
          <t>Non-Captive</t>
        </is>
      </c>
      <c r="L4262" s="20" t="inlineStr">
        <is>
          <t>Santhosh Cars</t>
        </is>
      </c>
      <c r="M4262" s="23" t="n">
        <v>4237.29</v>
      </c>
    </row>
    <row r="4263">
      <c r="A4263" s="19" t="inlineStr">
        <is>
          <t>FY27</t>
        </is>
      </c>
      <c r="B4263" s="19" t="inlineStr">
        <is>
          <t>Sep</t>
        </is>
      </c>
      <c r="C4263" s="19" t="inlineStr">
        <is>
          <t>TN</t>
        </is>
      </c>
      <c r="D4263" s="20" t="inlineStr">
        <is>
          <t>TN59CE3415</t>
        </is>
      </c>
      <c r="E4263" s="20" t="inlineStr">
        <is>
          <t>FORD</t>
        </is>
      </c>
      <c r="F4263" s="20" t="inlineStr">
        <is>
          <t>Figo</t>
        </is>
      </c>
      <c r="G4263" s="21" t="n">
        <v>2019</v>
      </c>
      <c r="H4263" s="22" t="n">
        <v>57237</v>
      </c>
      <c r="I4263" s="22" t="n">
        <v>300000</v>
      </c>
      <c r="J4263" s="20" t="inlineStr">
        <is>
          <t>EXCHANGE ROTN</t>
        </is>
      </c>
      <c r="K4263" s="20" t="inlineStr">
        <is>
          <t>Captive</t>
        </is>
      </c>
      <c r="L4263" s="20" t="inlineStr">
        <is>
          <t>Ready To Ride Cars</t>
        </is>
      </c>
      <c r="M4263" s="23" t="n">
        <v>12711.86</v>
      </c>
    </row>
    <row r="4264">
      <c r="A4264" s="19" t="inlineStr">
        <is>
          <t>FY27</t>
        </is>
      </c>
      <c r="B4264" s="19" t="inlineStr">
        <is>
          <t>Sep</t>
        </is>
      </c>
      <c r="C4264" s="19" t="inlineStr">
        <is>
          <t>TN</t>
        </is>
      </c>
      <c r="D4264" s="20" t="inlineStr">
        <is>
          <t>TN59CH7688</t>
        </is>
      </c>
      <c r="E4264" s="20" t="inlineStr">
        <is>
          <t>HONDA</t>
        </is>
      </c>
      <c r="F4264" s="20" t="inlineStr">
        <is>
          <t>Amaze</t>
        </is>
      </c>
      <c r="G4264" s="21" t="n">
        <v>2020</v>
      </c>
      <c r="H4264" s="22" t="n">
        <v>103336</v>
      </c>
      <c r="I4264" s="22" t="n">
        <v>440000</v>
      </c>
      <c r="J4264" s="20" t="inlineStr">
        <is>
          <t>EXCHANGE ROTN</t>
        </is>
      </c>
      <c r="K4264" s="20" t="inlineStr">
        <is>
          <t>Captive</t>
        </is>
      </c>
      <c r="L4264" s="20" t="inlineStr">
        <is>
          <t>Thirumalai Cars (Madurai)</t>
        </is>
      </c>
      <c r="M4264" s="23" t="n">
        <v>16949.15</v>
      </c>
    </row>
    <row r="4265">
      <c r="A4265" s="19" t="inlineStr">
        <is>
          <t>FY27</t>
        </is>
      </c>
      <c r="B4265" s="19" t="inlineStr">
        <is>
          <t>Sep</t>
        </is>
      </c>
      <c r="C4265" s="19" t="inlineStr">
        <is>
          <t>TN</t>
        </is>
      </c>
      <c r="D4265" s="20" t="inlineStr">
        <is>
          <t>TN59CQ0477</t>
        </is>
      </c>
      <c r="E4265" s="20" t="inlineStr">
        <is>
          <t>TOYOTA</t>
        </is>
      </c>
      <c r="F4265" s="20" t="inlineStr">
        <is>
          <t>Glanza</t>
        </is>
      </c>
      <c r="G4265" s="21" t="n">
        <v>2022</v>
      </c>
      <c r="H4265" s="22" t="n">
        <v>76859</v>
      </c>
      <c r="I4265" s="22" t="n">
        <v>500000</v>
      </c>
      <c r="J4265" s="20" t="inlineStr">
        <is>
          <t>EXCHANGE ROTN</t>
        </is>
      </c>
      <c r="K4265" s="20" t="inlineStr">
        <is>
          <t>Captive</t>
        </is>
      </c>
      <c r="L4265" s="20" t="inlineStr">
        <is>
          <t>Paul Cars</t>
        </is>
      </c>
      <c r="M4265" s="23" t="n">
        <v>12711.86</v>
      </c>
    </row>
    <row r="4266">
      <c r="A4266" s="19" t="inlineStr">
        <is>
          <t>FY27</t>
        </is>
      </c>
      <c r="B4266" s="19" t="inlineStr">
        <is>
          <t>Sep</t>
        </is>
      </c>
      <c r="C4266" s="19" t="inlineStr">
        <is>
          <t>TN</t>
        </is>
      </c>
      <c r="D4266" s="20" t="inlineStr">
        <is>
          <t>TN60J1516</t>
        </is>
      </c>
      <c r="E4266" s="20" t="inlineStr">
        <is>
          <t>FORD</t>
        </is>
      </c>
      <c r="F4266" s="20" t="inlineStr">
        <is>
          <t>Fiesta</t>
        </is>
      </c>
      <c r="G4266" s="21" t="n">
        <v>2011</v>
      </c>
      <c r="H4266" s="22" t="n">
        <v>182852</v>
      </c>
      <c r="I4266" s="22" t="n">
        <v>70000</v>
      </c>
      <c r="J4266" s="20" t="inlineStr">
        <is>
          <t>EXCHANGE ROTN</t>
        </is>
      </c>
      <c r="K4266" s="20" t="inlineStr">
        <is>
          <t>Captive</t>
        </is>
      </c>
      <c r="L4266" s="20" t="inlineStr">
        <is>
          <t>Uzhavan Enterprise</t>
        </is>
      </c>
      <c r="M4266" s="23" t="n">
        <v>5932.2</v>
      </c>
    </row>
    <row r="4267">
      <c r="A4267" s="19" t="inlineStr">
        <is>
          <t>FY27</t>
        </is>
      </c>
      <c r="B4267" s="19" t="inlineStr">
        <is>
          <t>Sep</t>
        </is>
      </c>
      <c r="C4267" s="19" t="inlineStr">
        <is>
          <t>TN</t>
        </is>
      </c>
      <c r="D4267" s="20" t="inlineStr">
        <is>
          <t>TN63AV1212</t>
        </is>
      </c>
      <c r="E4267" s="20" t="inlineStr">
        <is>
          <t>FORD</t>
        </is>
      </c>
      <c r="F4267" s="20" t="inlineStr">
        <is>
          <t>Figo</t>
        </is>
      </c>
      <c r="G4267" s="21" t="n">
        <v>2014</v>
      </c>
      <c r="H4267" s="22" t="n">
        <v>125773</v>
      </c>
      <c r="I4267" s="22" t="n">
        <v>80000</v>
      </c>
      <c r="J4267" s="20" t="inlineStr">
        <is>
          <t>EXCHANGE ROTN</t>
        </is>
      </c>
      <c r="K4267" s="20" t="inlineStr">
        <is>
          <t>Captive</t>
        </is>
      </c>
      <c r="L4267" s="20" t="inlineStr">
        <is>
          <t>Aswin Cars</t>
        </is>
      </c>
      <c r="M4267" s="23" t="n">
        <v>4237.29</v>
      </c>
    </row>
    <row r="4268">
      <c r="A4268" s="19" t="inlineStr">
        <is>
          <t>FY27</t>
        </is>
      </c>
      <c r="B4268" s="19" t="inlineStr">
        <is>
          <t>Sep</t>
        </is>
      </c>
      <c r="C4268" s="19" t="inlineStr">
        <is>
          <t>TN</t>
        </is>
      </c>
      <c r="D4268" s="20" t="inlineStr">
        <is>
          <t>TN63BV3476</t>
        </is>
      </c>
      <c r="E4268" s="20" t="inlineStr">
        <is>
          <t>MARUTI SUZUKI</t>
        </is>
      </c>
      <c r="F4268" s="20" t="inlineStr">
        <is>
          <t>Swift</t>
        </is>
      </c>
      <c r="G4268" s="21" t="n">
        <v>2020</v>
      </c>
      <c r="H4268" s="22" t="n">
        <v>69618</v>
      </c>
      <c r="I4268" s="22" t="n">
        <v>483000</v>
      </c>
      <c r="J4268" s="20" t="inlineStr">
        <is>
          <t>EXCHANGE ROTN</t>
        </is>
      </c>
      <c r="K4268" s="20" t="inlineStr">
        <is>
          <t>Captive</t>
        </is>
      </c>
      <c r="L4268" s="20" t="inlineStr">
        <is>
          <t>Aswin Cars</t>
        </is>
      </c>
      <c r="M4268" s="23" t="n">
        <v>10169.49</v>
      </c>
    </row>
    <row r="4269">
      <c r="A4269" s="19" t="inlineStr">
        <is>
          <t>FY27</t>
        </is>
      </c>
      <c r="B4269" s="19" t="inlineStr">
        <is>
          <t>Sep</t>
        </is>
      </c>
      <c r="C4269" s="19" t="inlineStr">
        <is>
          <t>TN</t>
        </is>
      </c>
      <c r="D4269" s="20" t="inlineStr">
        <is>
          <t>TN63M7273</t>
        </is>
      </c>
      <c r="E4269" s="20" t="inlineStr">
        <is>
          <t>FIAT</t>
        </is>
      </c>
      <c r="F4269" s="20" t="inlineStr">
        <is>
          <t>Grand Punto</t>
        </is>
      </c>
      <c r="G4269" s="21" t="n">
        <v>2010</v>
      </c>
      <c r="H4269" s="22" t="n">
        <v>210520</v>
      </c>
      <c r="I4269" s="22" t="n">
        <v>75000</v>
      </c>
      <c r="J4269" s="20" t="inlineStr">
        <is>
          <t>EXCHANGE ROTN</t>
        </is>
      </c>
      <c r="K4269" s="20" t="inlineStr">
        <is>
          <t>Captive</t>
        </is>
      </c>
      <c r="L4269" s="20" t="inlineStr"/>
      <c r="M4269" s="23" t="n">
        <v>4237.29</v>
      </c>
    </row>
    <row r="4270">
      <c r="A4270" s="19" t="inlineStr">
        <is>
          <t>FY27</t>
        </is>
      </c>
      <c r="B4270" s="19" t="inlineStr">
        <is>
          <t>Sep</t>
        </is>
      </c>
      <c r="C4270" s="19" t="inlineStr">
        <is>
          <t>TN</t>
        </is>
      </c>
      <c r="D4270" s="20" t="inlineStr">
        <is>
          <t>TN63S6465</t>
        </is>
      </c>
      <c r="E4270" s="20" t="inlineStr">
        <is>
          <t>HYUNDAI</t>
        </is>
      </c>
      <c r="F4270" s="20" t="inlineStr">
        <is>
          <t>i10</t>
        </is>
      </c>
      <c r="G4270" s="21" t="n">
        <v>2009</v>
      </c>
      <c r="H4270" s="22" t="n">
        <v>142874</v>
      </c>
      <c r="I4270" s="22" t="n">
        <v>110000</v>
      </c>
      <c r="J4270" s="20" t="inlineStr">
        <is>
          <t>EXCHANGE ROTN</t>
        </is>
      </c>
      <c r="K4270" s="20" t="inlineStr">
        <is>
          <t>Captive</t>
        </is>
      </c>
      <c r="L4270" s="20" t="inlineStr"/>
      <c r="M4270" s="23" t="n">
        <v>4237.29</v>
      </c>
    </row>
    <row r="4271">
      <c r="A4271" s="19" t="inlineStr">
        <is>
          <t>FY27</t>
        </is>
      </c>
      <c r="B4271" s="19" t="inlineStr">
        <is>
          <t>Sep</t>
        </is>
      </c>
      <c r="C4271" s="19" t="inlineStr">
        <is>
          <t>TN</t>
        </is>
      </c>
      <c r="D4271" s="20" t="inlineStr">
        <is>
          <t>TN63T9679</t>
        </is>
      </c>
      <c r="E4271" s="20" t="inlineStr">
        <is>
          <t>TATA</t>
        </is>
      </c>
      <c r="F4271" s="20" t="inlineStr">
        <is>
          <t>Indigo</t>
        </is>
      </c>
      <c r="G4271" s="21" t="n">
        <v>2008</v>
      </c>
      <c r="H4271" s="22" t="n">
        <v>145484</v>
      </c>
      <c r="I4271" s="22" t="n">
        <v>50000</v>
      </c>
      <c r="J4271" s="20" t="inlineStr">
        <is>
          <t>EXCHANGE ROTN</t>
        </is>
      </c>
      <c r="K4271" s="20" t="inlineStr">
        <is>
          <t>Captive</t>
        </is>
      </c>
      <c r="L4271" s="20" t="inlineStr">
        <is>
          <t>Ready To Ride Cars</t>
        </is>
      </c>
      <c r="M4271" s="23" t="n">
        <v>4237.29</v>
      </c>
    </row>
    <row r="4272">
      <c r="A4272" s="19" t="inlineStr">
        <is>
          <t>FY27</t>
        </is>
      </c>
      <c r="B4272" s="19" t="inlineStr">
        <is>
          <t>Sep</t>
        </is>
      </c>
      <c r="C4272" s="19" t="inlineStr">
        <is>
          <t>TN</t>
        </is>
      </c>
      <c r="D4272" s="20" t="inlineStr">
        <is>
          <t>TN64F5359</t>
        </is>
      </c>
      <c r="E4272" s="20" t="inlineStr">
        <is>
          <t>HYUNDAI</t>
        </is>
      </c>
      <c r="F4272" s="20" t="inlineStr">
        <is>
          <t>Eon</t>
        </is>
      </c>
      <c r="G4272" s="21" t="n">
        <v>2013</v>
      </c>
      <c r="H4272" s="22" t="n">
        <v>80649</v>
      </c>
      <c r="I4272" s="22" t="n">
        <v>92000</v>
      </c>
      <c r="J4272" s="20" t="inlineStr">
        <is>
          <t>EXCHANGE ROTN</t>
        </is>
      </c>
      <c r="K4272" s="20" t="inlineStr">
        <is>
          <t>Captive</t>
        </is>
      </c>
      <c r="L4272" s="20" t="inlineStr">
        <is>
          <t>Aswin Cars</t>
        </is>
      </c>
      <c r="M4272" s="23" t="n">
        <v>4237.29</v>
      </c>
    </row>
    <row r="4273">
      <c r="A4273" s="19" t="inlineStr">
        <is>
          <t>FY27</t>
        </is>
      </c>
      <c r="B4273" s="19" t="inlineStr">
        <is>
          <t>Sep</t>
        </is>
      </c>
      <c r="C4273" s="19" t="inlineStr">
        <is>
          <t>TN</t>
        </is>
      </c>
      <c r="D4273" s="20" t="inlineStr">
        <is>
          <t>TN64Q7762</t>
        </is>
      </c>
      <c r="E4273" s="20" t="inlineStr">
        <is>
          <t>MARUTI SUZUKI</t>
        </is>
      </c>
      <c r="F4273" s="20" t="inlineStr">
        <is>
          <t>Baleno</t>
        </is>
      </c>
      <c r="G4273" s="21" t="n">
        <v>2017</v>
      </c>
      <c r="H4273" s="22" t="n">
        <v>56644</v>
      </c>
      <c r="I4273" s="22" t="n">
        <v>430000</v>
      </c>
      <c r="J4273" s="20" t="inlineStr">
        <is>
          <t>EXCHANGE ROTN</t>
        </is>
      </c>
      <c r="K4273" s="20" t="inlineStr">
        <is>
          <t>Captive</t>
        </is>
      </c>
      <c r="L4273" s="20" t="inlineStr">
        <is>
          <t>Shree Cars (Coimbatore)</t>
        </is>
      </c>
      <c r="M4273" s="23" t="n">
        <v>12711.86</v>
      </c>
    </row>
    <row r="4274">
      <c r="A4274" s="19" t="inlineStr">
        <is>
          <t>FY27</t>
        </is>
      </c>
      <c r="B4274" s="19" t="inlineStr">
        <is>
          <t>Sep</t>
        </is>
      </c>
      <c r="C4274" s="19" t="inlineStr">
        <is>
          <t>TN</t>
        </is>
      </c>
      <c r="D4274" s="20" t="inlineStr">
        <is>
          <t>TN65AK1423</t>
        </is>
      </c>
      <c r="E4274" s="20" t="inlineStr">
        <is>
          <t>MARUTI SUZUKI</t>
        </is>
      </c>
      <c r="F4274" s="20" t="inlineStr">
        <is>
          <t>Swift</t>
        </is>
      </c>
      <c r="G4274" s="21" t="n">
        <v>2018</v>
      </c>
      <c r="H4274" s="22" t="n">
        <v>298777</v>
      </c>
      <c r="I4274" s="22" t="n">
        <v>302000</v>
      </c>
      <c r="J4274" s="20" t="inlineStr">
        <is>
          <t>EXCHANGE ROTN</t>
        </is>
      </c>
      <c r="K4274" s="20" t="inlineStr">
        <is>
          <t>Captive</t>
        </is>
      </c>
      <c r="L4274" s="20" t="inlineStr">
        <is>
          <t>Dindigul Value Car</t>
        </is>
      </c>
      <c r="M4274" s="23" t="n">
        <v>11016.95</v>
      </c>
    </row>
    <row r="4275">
      <c r="A4275" s="19" t="inlineStr">
        <is>
          <t>FY27</t>
        </is>
      </c>
      <c r="B4275" s="19" t="inlineStr">
        <is>
          <t>Sep</t>
        </is>
      </c>
      <c r="C4275" s="19" t="inlineStr">
        <is>
          <t>TN</t>
        </is>
      </c>
      <c r="D4275" s="20" t="inlineStr">
        <is>
          <t>TN65P9690</t>
        </is>
      </c>
      <c r="E4275" s="20" t="inlineStr">
        <is>
          <t>FORD</t>
        </is>
      </c>
      <c r="F4275" s="20" t="inlineStr">
        <is>
          <t>Fiesta</t>
        </is>
      </c>
      <c r="G4275" s="21" t="n">
        <v>2012</v>
      </c>
      <c r="H4275" s="22" t="n">
        <v>155476</v>
      </c>
      <c r="I4275" s="22" t="n">
        <v>65000</v>
      </c>
      <c r="J4275" s="20" t="inlineStr">
        <is>
          <t>EXCHANGE ROTN</t>
        </is>
      </c>
      <c r="K4275" s="20" t="inlineStr">
        <is>
          <t>Captive</t>
        </is>
      </c>
      <c r="L4275" s="20" t="inlineStr">
        <is>
          <t>Aswin Cars</t>
        </is>
      </c>
      <c r="M4275" s="23" t="n">
        <v>4237.29</v>
      </c>
    </row>
    <row r="4276">
      <c r="A4276" s="19" t="inlineStr">
        <is>
          <t>FY27</t>
        </is>
      </c>
      <c r="B4276" s="19" t="inlineStr">
        <is>
          <t>Sep</t>
        </is>
      </c>
      <c r="C4276" s="19" t="inlineStr">
        <is>
          <t>TN</t>
        </is>
      </c>
      <c r="D4276" s="20" t="inlineStr">
        <is>
          <t>TN65X4003</t>
        </is>
      </c>
      <c r="E4276" s="20" t="inlineStr">
        <is>
          <t>HYUNDAI</t>
        </is>
      </c>
      <c r="F4276" s="20" t="inlineStr">
        <is>
          <t>Santro</t>
        </is>
      </c>
      <c r="G4276" s="21" t="n">
        <v>2011</v>
      </c>
      <c r="H4276" s="22" t="n">
        <v>86921</v>
      </c>
      <c r="I4276" s="22" t="n">
        <v>93000</v>
      </c>
      <c r="J4276" s="20" t="inlineStr">
        <is>
          <t>LAKSHMI TATA</t>
        </is>
      </c>
      <c r="K4276" s="20" t="inlineStr">
        <is>
          <t>Non-Captive</t>
        </is>
      </c>
      <c r="L4276" s="20" t="inlineStr">
        <is>
          <t>Balaji Cars</t>
        </is>
      </c>
      <c r="M4276" s="23" t="n">
        <v>4237.29</v>
      </c>
    </row>
    <row r="4277">
      <c r="A4277" s="19" t="inlineStr">
        <is>
          <t>FY27</t>
        </is>
      </c>
      <c r="B4277" s="19" t="inlineStr">
        <is>
          <t>Sep</t>
        </is>
      </c>
      <c r="C4277" s="19" t="inlineStr">
        <is>
          <t>TN</t>
        </is>
      </c>
      <c r="D4277" s="20" t="inlineStr">
        <is>
          <t>TN66C8455</t>
        </is>
      </c>
      <c r="E4277" s="20" t="inlineStr">
        <is>
          <t>HONDA</t>
        </is>
      </c>
      <c r="F4277" s="20" t="inlineStr">
        <is>
          <t>City</t>
        </is>
      </c>
      <c r="G4277" s="21" t="n">
        <v>2011</v>
      </c>
      <c r="H4277" s="22" t="n">
        <v>243751</v>
      </c>
      <c r="I4277" s="22" t="n">
        <v>190000</v>
      </c>
      <c r="J4277" s="20" t="inlineStr">
        <is>
          <t>EXCHANGE ROTN</t>
        </is>
      </c>
      <c r="K4277" s="20" t="inlineStr">
        <is>
          <t>Captive</t>
        </is>
      </c>
      <c r="L4277" s="20" t="inlineStr">
        <is>
          <t>Uzhavan Enterprise</t>
        </is>
      </c>
      <c r="M4277" s="23" t="n">
        <v>6355.93</v>
      </c>
    </row>
    <row r="4278">
      <c r="A4278" s="19" t="inlineStr">
        <is>
          <t>FY27</t>
        </is>
      </c>
      <c r="B4278" s="19" t="inlineStr">
        <is>
          <t>Sep</t>
        </is>
      </c>
      <c r="C4278" s="19" t="inlineStr">
        <is>
          <t>TN</t>
        </is>
      </c>
      <c r="D4278" s="20" t="inlineStr">
        <is>
          <t>TN66D5798</t>
        </is>
      </c>
      <c r="E4278" s="20" t="inlineStr">
        <is>
          <t>HYUNDAI</t>
        </is>
      </c>
      <c r="F4278" s="20" t="inlineStr">
        <is>
          <t>Santro</t>
        </is>
      </c>
      <c r="G4278" s="21" t="n">
        <v>2011</v>
      </c>
      <c r="H4278" s="22" t="n">
        <v>74913</v>
      </c>
      <c r="I4278" s="22" t="n">
        <v>135000</v>
      </c>
      <c r="J4278" s="20" t="inlineStr">
        <is>
          <t>EXCHANGE ROTN</t>
        </is>
      </c>
      <c r="K4278" s="20" t="inlineStr">
        <is>
          <t>Captive</t>
        </is>
      </c>
      <c r="L4278" s="20" t="inlineStr">
        <is>
          <t>Sivashankar Cars</t>
        </is>
      </c>
      <c r="M4278" s="23" t="n">
        <v>5084.75</v>
      </c>
    </row>
    <row r="4279">
      <c r="A4279" s="19" t="inlineStr">
        <is>
          <t>FY27</t>
        </is>
      </c>
      <c r="B4279" s="19" t="inlineStr">
        <is>
          <t>Sep</t>
        </is>
      </c>
      <c r="C4279" s="19" t="inlineStr">
        <is>
          <t>TN</t>
        </is>
      </c>
      <c r="D4279" s="20" t="inlineStr">
        <is>
          <t>TN66E1181</t>
        </is>
      </c>
      <c r="E4279" s="20" t="inlineStr">
        <is>
          <t>MARUTI SUZUKI</t>
        </is>
      </c>
      <c r="F4279" s="20" t="inlineStr">
        <is>
          <t>A-Star</t>
        </is>
      </c>
      <c r="G4279" s="21" t="n">
        <v>2011</v>
      </c>
      <c r="H4279" s="22" t="n">
        <v>52509</v>
      </c>
      <c r="I4279" s="22" t="n">
        <v>96000</v>
      </c>
      <c r="J4279" s="20" t="inlineStr">
        <is>
          <t>ABT LIMITED</t>
        </is>
      </c>
      <c r="K4279" s="20" t="inlineStr">
        <is>
          <t>Non-Captive</t>
        </is>
      </c>
      <c r="L4279" s="20" t="inlineStr">
        <is>
          <t>Pine Autos</t>
        </is>
      </c>
      <c r="M4279" s="23" t="n">
        <v>4237.29</v>
      </c>
    </row>
    <row r="4280">
      <c r="A4280" s="19" t="inlineStr">
        <is>
          <t>FY27</t>
        </is>
      </c>
      <c r="B4280" s="19" t="inlineStr">
        <is>
          <t>Sep</t>
        </is>
      </c>
      <c r="C4280" s="19" t="inlineStr">
        <is>
          <t>TN</t>
        </is>
      </c>
      <c r="D4280" s="20" t="inlineStr">
        <is>
          <t>TN66E1887</t>
        </is>
      </c>
      <c r="E4280" s="20" t="inlineStr">
        <is>
          <t>CHEVROLET</t>
        </is>
      </c>
      <c r="F4280" s="20" t="inlineStr">
        <is>
          <t>Beat</t>
        </is>
      </c>
      <c r="G4280" s="21" t="n">
        <v>2011</v>
      </c>
      <c r="H4280" s="22" t="n">
        <v>99862</v>
      </c>
      <c r="I4280" s="22" t="n">
        <v>97000</v>
      </c>
      <c r="J4280" s="20" t="inlineStr">
        <is>
          <t>HARSHA TOYOTA</t>
        </is>
      </c>
      <c r="K4280" s="20" t="inlineStr">
        <is>
          <t>Non-Captive</t>
        </is>
      </c>
      <c r="L4280" s="20" t="inlineStr">
        <is>
          <t>Srijja Travels</t>
        </is>
      </c>
      <c r="M4280" s="23" t="n">
        <v>4533.9</v>
      </c>
    </row>
    <row r="4281">
      <c r="A4281" s="19" t="inlineStr">
        <is>
          <t>FY27</t>
        </is>
      </c>
      <c r="B4281" s="19" t="inlineStr">
        <is>
          <t>Sep</t>
        </is>
      </c>
      <c r="C4281" s="19" t="inlineStr">
        <is>
          <t>TN</t>
        </is>
      </c>
      <c r="D4281" s="20" t="inlineStr">
        <is>
          <t>TN66F3342</t>
        </is>
      </c>
      <c r="E4281" s="20" t="inlineStr">
        <is>
          <t>FIAT</t>
        </is>
      </c>
      <c r="F4281" s="20" t="inlineStr">
        <is>
          <t>Punto</t>
        </is>
      </c>
      <c r="G4281" s="21" t="n">
        <v>2012</v>
      </c>
      <c r="H4281" s="22" t="n">
        <v>99999</v>
      </c>
      <c r="I4281" s="22" t="n">
        <v>98000</v>
      </c>
      <c r="J4281" s="20" t="inlineStr">
        <is>
          <t>VISHNU CARS PRIVATE LIMITED</t>
        </is>
      </c>
      <c r="K4281" s="20" t="inlineStr">
        <is>
          <t>Non-Captive</t>
        </is>
      </c>
      <c r="L4281" s="20" t="inlineStr">
        <is>
          <t>Grid 33</t>
        </is>
      </c>
      <c r="M4281" s="23" t="n">
        <v>4237.29</v>
      </c>
    </row>
    <row r="4282">
      <c r="A4282" s="19" t="inlineStr">
        <is>
          <t>FY27</t>
        </is>
      </c>
      <c r="B4282" s="19" t="inlineStr">
        <is>
          <t>Sep</t>
        </is>
      </c>
      <c r="C4282" s="19" t="inlineStr">
        <is>
          <t>TN</t>
        </is>
      </c>
      <c r="D4282" s="20" t="inlineStr">
        <is>
          <t>TN66S4143</t>
        </is>
      </c>
      <c r="E4282" s="20" t="inlineStr">
        <is>
          <t>MARUTI SUZUKI</t>
        </is>
      </c>
      <c r="F4282" s="20" t="inlineStr">
        <is>
          <t>Alto K10</t>
        </is>
      </c>
      <c r="G4282" s="21" t="n">
        <v>2016</v>
      </c>
      <c r="H4282" s="22" t="n">
        <v>93390</v>
      </c>
      <c r="I4282" s="22" t="n">
        <v>86000</v>
      </c>
      <c r="J4282" s="20" t="inlineStr">
        <is>
          <t>EXCHANGE ROTN</t>
        </is>
      </c>
      <c r="K4282" s="20" t="inlineStr">
        <is>
          <t>Captive</t>
        </is>
      </c>
      <c r="L4282" s="20" t="inlineStr">
        <is>
          <t>Sai Cars</t>
        </is>
      </c>
      <c r="M4282" s="23" t="n">
        <v>4237.29</v>
      </c>
    </row>
    <row r="4283">
      <c r="A4283" s="19" t="inlineStr">
        <is>
          <t>FY27</t>
        </is>
      </c>
      <c r="B4283" s="19" t="inlineStr">
        <is>
          <t>Sep</t>
        </is>
      </c>
      <c r="C4283" s="19" t="inlineStr">
        <is>
          <t>TN</t>
        </is>
      </c>
      <c r="D4283" s="20" t="inlineStr">
        <is>
          <t>TN66S7629</t>
        </is>
      </c>
      <c r="E4283" s="20" t="inlineStr">
        <is>
          <t>DATSUN</t>
        </is>
      </c>
      <c r="F4283" s="20" t="inlineStr">
        <is>
          <t>Redi-GO</t>
        </is>
      </c>
      <c r="G4283" s="21" t="n">
        <v>2016</v>
      </c>
      <c r="H4283" s="22" t="n">
        <v>42267</v>
      </c>
      <c r="I4283" s="22" t="n">
        <v>180000</v>
      </c>
      <c r="J4283" s="20" t="inlineStr">
        <is>
          <t>EXCHANGE ROTN</t>
        </is>
      </c>
      <c r="K4283" s="20" t="inlineStr">
        <is>
          <t>Captive</t>
        </is>
      </c>
      <c r="L4283" s="20" t="inlineStr">
        <is>
          <t>Gughaa Cars</t>
        </is>
      </c>
      <c r="M4283" s="23" t="n">
        <v>5084.75</v>
      </c>
    </row>
    <row r="4284">
      <c r="A4284" s="19" t="inlineStr">
        <is>
          <t>FY27</t>
        </is>
      </c>
      <c r="B4284" s="19" t="inlineStr">
        <is>
          <t>Sep</t>
        </is>
      </c>
      <c r="C4284" s="19" t="inlineStr">
        <is>
          <t>TN</t>
        </is>
      </c>
      <c r="D4284" s="20" t="inlineStr">
        <is>
          <t>TN67AT1392</t>
        </is>
      </c>
      <c r="E4284" s="20" t="inlineStr">
        <is>
          <t>MARUTI SUZUKI</t>
        </is>
      </c>
      <c r="F4284" s="20" t="inlineStr">
        <is>
          <t>Alto</t>
        </is>
      </c>
      <c r="G4284" s="21" t="n">
        <v>2011</v>
      </c>
      <c r="H4284" s="22" t="n">
        <v>51151</v>
      </c>
      <c r="I4284" s="22" t="n">
        <v>87000</v>
      </c>
      <c r="J4284" s="20" t="inlineStr">
        <is>
          <t>KALYANI MOTORS MARUTI</t>
        </is>
      </c>
      <c r="K4284" s="20" t="inlineStr">
        <is>
          <t>Non-Captive</t>
        </is>
      </c>
      <c r="L4284" s="20" t="inlineStr">
        <is>
          <t>Cars24</t>
        </is>
      </c>
      <c r="M4284" s="23" t="n">
        <v>4237.29</v>
      </c>
    </row>
    <row r="4285">
      <c r="A4285" s="19" t="inlineStr">
        <is>
          <t>FY27</t>
        </is>
      </c>
      <c r="B4285" s="19" t="inlineStr">
        <is>
          <t>Sep</t>
        </is>
      </c>
      <c r="C4285" s="19" t="inlineStr">
        <is>
          <t>TN</t>
        </is>
      </c>
      <c r="D4285" s="20" t="inlineStr">
        <is>
          <t>TN67E7494</t>
        </is>
      </c>
      <c r="E4285" s="20" t="inlineStr">
        <is>
          <t>MARUTI SUZUKI</t>
        </is>
      </c>
      <c r="F4285" s="20" t="inlineStr">
        <is>
          <t>Alto</t>
        </is>
      </c>
      <c r="G4285" s="21" t="n">
        <v>2005</v>
      </c>
      <c r="H4285" s="22" t="n">
        <v>92781</v>
      </c>
      <c r="I4285" s="22" t="n">
        <v>50000</v>
      </c>
      <c r="J4285" s="20" t="inlineStr">
        <is>
          <t>EXCHANGE ROTN</t>
        </is>
      </c>
      <c r="K4285" s="20" t="inlineStr">
        <is>
          <t>Captive</t>
        </is>
      </c>
      <c r="L4285" s="20" t="inlineStr">
        <is>
          <t>Aswin Cars</t>
        </is>
      </c>
      <c r="M4285" s="23" t="n">
        <v>4237.29</v>
      </c>
    </row>
    <row r="4286">
      <c r="A4286" s="19" t="inlineStr">
        <is>
          <t>FY27</t>
        </is>
      </c>
      <c r="B4286" s="19" t="inlineStr">
        <is>
          <t>Sep</t>
        </is>
      </c>
      <c r="C4286" s="19" t="inlineStr">
        <is>
          <t>TN</t>
        </is>
      </c>
      <c r="D4286" s="20" t="inlineStr">
        <is>
          <t>TN68J1269</t>
        </is>
      </c>
      <c r="E4286" s="20" t="inlineStr">
        <is>
          <t>HYUNDAI</t>
        </is>
      </c>
      <c r="F4286" s="20" t="inlineStr">
        <is>
          <t>Santa Fe</t>
        </is>
      </c>
      <c r="G4286" s="21" t="n">
        <v>2012</v>
      </c>
      <c r="H4286" s="22" t="n">
        <v>185419</v>
      </c>
      <c r="I4286" s="22" t="n">
        <v>179000</v>
      </c>
      <c r="J4286" s="20" t="inlineStr">
        <is>
          <t>CASTLE TRADERS MARUTI</t>
        </is>
      </c>
      <c r="K4286" s="20" t="inlineStr">
        <is>
          <t>Non-Captive</t>
        </is>
      </c>
      <c r="L4286" s="20" t="inlineStr">
        <is>
          <t>Jamuna Global</t>
        </is>
      </c>
      <c r="M4286" s="23" t="n">
        <v>5084.75</v>
      </c>
    </row>
    <row r="4287">
      <c r="A4287" s="19" t="inlineStr">
        <is>
          <t>FY27</t>
        </is>
      </c>
      <c r="B4287" s="19" t="inlineStr">
        <is>
          <t>Sep</t>
        </is>
      </c>
      <c r="C4287" s="19" t="inlineStr">
        <is>
          <t>TN</t>
        </is>
      </c>
      <c r="D4287" s="20" t="inlineStr">
        <is>
          <t>TN69AB0150</t>
        </is>
      </c>
      <c r="E4287" s="20" t="inlineStr">
        <is>
          <t>MARUTI SUZUKI</t>
        </is>
      </c>
      <c r="F4287" s="20" t="inlineStr">
        <is>
          <t>Alto</t>
        </is>
      </c>
      <c r="G4287" s="21" t="n">
        <v>2010</v>
      </c>
      <c r="H4287" s="22" t="n">
        <v>108569</v>
      </c>
      <c r="I4287" s="22" t="n">
        <v>70000</v>
      </c>
      <c r="J4287" s="20" t="inlineStr">
        <is>
          <t>EXCHANGE ROTN</t>
        </is>
      </c>
      <c r="K4287" s="20" t="inlineStr">
        <is>
          <t>Captive</t>
        </is>
      </c>
      <c r="L4287" s="20" t="inlineStr">
        <is>
          <t>Shree Cars (Coimbatore)</t>
        </is>
      </c>
      <c r="M4287" s="23" t="n">
        <v>4237.29</v>
      </c>
    </row>
    <row r="4288">
      <c r="A4288" s="19" t="inlineStr">
        <is>
          <t>FY27</t>
        </is>
      </c>
      <c r="B4288" s="19" t="inlineStr">
        <is>
          <t>Sep</t>
        </is>
      </c>
      <c r="C4288" s="19" t="inlineStr">
        <is>
          <t>TN</t>
        </is>
      </c>
      <c r="D4288" s="20" t="inlineStr">
        <is>
          <t>TN69AB8645</t>
        </is>
      </c>
      <c r="E4288" s="20" t="inlineStr">
        <is>
          <t>MARUTI SUZUKI</t>
        </is>
      </c>
      <c r="F4288" s="20" t="inlineStr">
        <is>
          <t>Ritz</t>
        </is>
      </c>
      <c r="G4288" s="21" t="n">
        <v>2010</v>
      </c>
      <c r="H4288" s="22" t="n">
        <v>184323</v>
      </c>
      <c r="I4288" s="22" t="n">
        <v>92000</v>
      </c>
      <c r="J4288" s="20" t="inlineStr">
        <is>
          <t>EXCHANGE ROTN</t>
        </is>
      </c>
      <c r="K4288" s="20" t="inlineStr">
        <is>
          <t>Captive</t>
        </is>
      </c>
      <c r="L4288" s="20" t="inlineStr">
        <is>
          <t>Aswin Cars</t>
        </is>
      </c>
      <c r="M4288" s="23" t="n">
        <v>4237.29</v>
      </c>
    </row>
    <row r="4289">
      <c r="A4289" s="19" t="inlineStr">
        <is>
          <t>FY27</t>
        </is>
      </c>
      <c r="B4289" s="19" t="inlineStr">
        <is>
          <t>Sep</t>
        </is>
      </c>
      <c r="C4289" s="19" t="inlineStr">
        <is>
          <t>TN</t>
        </is>
      </c>
      <c r="D4289" s="20" t="inlineStr">
        <is>
          <t>TN69AF5959</t>
        </is>
      </c>
      <c r="E4289" s="20" t="inlineStr">
        <is>
          <t>FORD</t>
        </is>
      </c>
      <c r="F4289" s="20" t="inlineStr">
        <is>
          <t>Figo</t>
        </is>
      </c>
      <c r="G4289" s="21" t="n">
        <v>2010</v>
      </c>
      <c r="H4289" s="22" t="n">
        <v>111936</v>
      </c>
      <c r="I4289" s="22" t="n">
        <v>80000</v>
      </c>
      <c r="J4289" s="20" t="inlineStr">
        <is>
          <t>EXCHANGE ROTN</t>
        </is>
      </c>
      <c r="K4289" s="20" t="inlineStr">
        <is>
          <t>Captive</t>
        </is>
      </c>
      <c r="L4289" s="20" t="inlineStr">
        <is>
          <t>Sivashankar Cars</t>
        </is>
      </c>
      <c r="M4289" s="23" t="n">
        <v>4237.29</v>
      </c>
    </row>
    <row r="4290">
      <c r="A4290" s="19" t="inlineStr">
        <is>
          <t>FY27</t>
        </is>
      </c>
      <c r="B4290" s="19" t="inlineStr">
        <is>
          <t>Sep</t>
        </is>
      </c>
      <c r="C4290" s="19" t="inlineStr">
        <is>
          <t>TN</t>
        </is>
      </c>
      <c r="D4290" s="20" t="inlineStr">
        <is>
          <t>TN69AM3344</t>
        </is>
      </c>
      <c r="E4290" s="20" t="inlineStr">
        <is>
          <t>HYUNDAI</t>
        </is>
      </c>
      <c r="F4290" s="20" t="inlineStr">
        <is>
          <t>Xcent</t>
        </is>
      </c>
      <c r="G4290" s="21" t="n">
        <v>2014</v>
      </c>
      <c r="H4290" s="22" t="n">
        <v>84462</v>
      </c>
      <c r="I4290" s="22" t="n">
        <v>99000</v>
      </c>
      <c r="J4290" s="20" t="inlineStr">
        <is>
          <t>PEEYESYEM HK MOTORS LLP</t>
        </is>
      </c>
      <c r="K4290" s="20" t="inlineStr">
        <is>
          <t>Non-Captive</t>
        </is>
      </c>
      <c r="L4290" s="20" t="inlineStr">
        <is>
          <t>Aneesa Pravin Cars</t>
        </is>
      </c>
      <c r="M4290" s="23" t="n">
        <v>4237.29</v>
      </c>
    </row>
    <row r="4291">
      <c r="A4291" s="19" t="inlineStr">
        <is>
          <t>FY27</t>
        </is>
      </c>
      <c r="B4291" s="19" t="inlineStr">
        <is>
          <t>Sep</t>
        </is>
      </c>
      <c r="C4291" s="19" t="inlineStr">
        <is>
          <t>TN</t>
        </is>
      </c>
      <c r="D4291" s="20" t="inlineStr">
        <is>
          <t>TN69AP1893</t>
        </is>
      </c>
      <c r="E4291" s="20" t="inlineStr">
        <is>
          <t>MARUTI SUZUKI</t>
        </is>
      </c>
      <c r="F4291" s="20" t="inlineStr">
        <is>
          <t>Alto 800</t>
        </is>
      </c>
      <c r="G4291" s="21" t="n">
        <v>2014</v>
      </c>
      <c r="H4291" s="22" t="n">
        <v>92972</v>
      </c>
      <c r="I4291" s="22" t="n">
        <v>98000</v>
      </c>
      <c r="J4291" s="20" t="inlineStr">
        <is>
          <t>ABT LIMITED</t>
        </is>
      </c>
      <c r="K4291" s="20" t="inlineStr">
        <is>
          <t>Non-Captive</t>
        </is>
      </c>
      <c r="L4291" s="20" t="inlineStr">
        <is>
          <t>Mahathi Cars</t>
        </is>
      </c>
      <c r="M4291" s="23" t="n">
        <v>4237.29</v>
      </c>
    </row>
    <row r="4292">
      <c r="A4292" s="19" t="inlineStr">
        <is>
          <t>FY27</t>
        </is>
      </c>
      <c r="B4292" s="19" t="inlineStr">
        <is>
          <t>Sep</t>
        </is>
      </c>
      <c r="C4292" s="19" t="inlineStr">
        <is>
          <t>TN</t>
        </is>
      </c>
      <c r="D4292" s="20" t="inlineStr">
        <is>
          <t>TN70B6348</t>
        </is>
      </c>
      <c r="E4292" s="20" t="inlineStr">
        <is>
          <t>MARUTI SUZUKI</t>
        </is>
      </c>
      <c r="F4292" s="20" t="inlineStr">
        <is>
          <t>Eeco</t>
        </is>
      </c>
      <c r="G4292" s="21" t="n">
        <v>2010</v>
      </c>
      <c r="H4292" s="22" t="n">
        <v>82644</v>
      </c>
      <c r="I4292" s="22" t="n">
        <v>96000</v>
      </c>
      <c r="J4292" s="20" t="inlineStr">
        <is>
          <t>PRODUCTIVITY ELEMENTS PRIVATE LIMITED</t>
        </is>
      </c>
      <c r="K4292" s="20" t="inlineStr">
        <is>
          <t>Non-Captive</t>
        </is>
      </c>
      <c r="L4292" s="20" t="inlineStr">
        <is>
          <t>Cars24</t>
        </is>
      </c>
      <c r="M4292" s="23" t="n">
        <v>4237.29</v>
      </c>
    </row>
    <row r="4293">
      <c r="A4293" s="19" t="inlineStr">
        <is>
          <t>FY27</t>
        </is>
      </c>
      <c r="B4293" s="19" t="inlineStr">
        <is>
          <t>Sep</t>
        </is>
      </c>
      <c r="C4293" s="19" t="inlineStr">
        <is>
          <t>TN</t>
        </is>
      </c>
      <c r="D4293" s="20" t="inlineStr">
        <is>
          <t>TN72AD5393</t>
        </is>
      </c>
      <c r="E4293" s="20" t="inlineStr">
        <is>
          <t>MARUTI SUZUKI</t>
        </is>
      </c>
      <c r="F4293" s="20" t="inlineStr">
        <is>
          <t>Alto</t>
        </is>
      </c>
      <c r="G4293" s="21" t="n">
        <v>2009</v>
      </c>
      <c r="H4293" s="22" t="n">
        <v>81503</v>
      </c>
      <c r="I4293" s="22" t="n">
        <v>85000</v>
      </c>
      <c r="J4293" s="20" t="inlineStr">
        <is>
          <t>EXCHANGE ROTN</t>
        </is>
      </c>
      <c r="K4293" s="20" t="inlineStr">
        <is>
          <t>Captive</t>
        </is>
      </c>
      <c r="L4293" s="20" t="inlineStr">
        <is>
          <t>Automotivators</t>
        </is>
      </c>
      <c r="M4293" s="23" t="n">
        <v>4237.29</v>
      </c>
    </row>
    <row r="4294">
      <c r="A4294" s="19" t="inlineStr">
        <is>
          <t>FY27</t>
        </is>
      </c>
      <c r="B4294" s="19" t="inlineStr">
        <is>
          <t>Sep</t>
        </is>
      </c>
      <c r="C4294" s="19" t="inlineStr">
        <is>
          <t>TN</t>
        </is>
      </c>
      <c r="D4294" s="20" t="inlineStr">
        <is>
          <t>TN72AE5790</t>
        </is>
      </c>
      <c r="E4294" s="20" t="inlineStr">
        <is>
          <t>MARUTI SUZUKI</t>
        </is>
      </c>
      <c r="F4294" s="20" t="inlineStr">
        <is>
          <t>Dzire</t>
        </is>
      </c>
      <c r="G4294" s="21" t="n">
        <v>2010</v>
      </c>
      <c r="H4294" s="22" t="n">
        <v>110177</v>
      </c>
      <c r="I4294" s="22" t="n">
        <v>87000</v>
      </c>
      <c r="J4294" s="20" t="inlineStr">
        <is>
          <t>RAJALAKSHMI CARS</t>
        </is>
      </c>
      <c r="K4294" s="20" t="inlineStr">
        <is>
          <t>Non-Captive</t>
        </is>
      </c>
      <c r="L4294" s="20" t="inlineStr">
        <is>
          <t>Srijja Travels</t>
        </is>
      </c>
      <c r="M4294" s="23" t="n">
        <v>4237.29</v>
      </c>
    </row>
    <row r="4295">
      <c r="A4295" s="19" t="inlineStr">
        <is>
          <t>FY27</t>
        </is>
      </c>
      <c r="B4295" s="19" t="inlineStr">
        <is>
          <t>Sep</t>
        </is>
      </c>
      <c r="C4295" s="19" t="inlineStr">
        <is>
          <t>TN</t>
        </is>
      </c>
      <c r="D4295" s="20" t="inlineStr">
        <is>
          <t>TN72AS5256</t>
        </is>
      </c>
      <c r="E4295" s="20" t="inlineStr">
        <is>
          <t>HONDA</t>
        </is>
      </c>
      <c r="F4295" s="20" t="inlineStr">
        <is>
          <t>City</t>
        </is>
      </c>
      <c r="G4295" s="21" t="n">
        <v>2014</v>
      </c>
      <c r="H4295" s="22" t="n">
        <v>120186</v>
      </c>
      <c r="I4295" s="22" t="n">
        <v>195000</v>
      </c>
      <c r="J4295" s="20" t="inlineStr">
        <is>
          <t>EXCHANGE ROTN</t>
        </is>
      </c>
      <c r="K4295" s="20" t="inlineStr">
        <is>
          <t>Captive</t>
        </is>
      </c>
      <c r="L4295" s="20" t="inlineStr">
        <is>
          <t>Sivashankar Cars</t>
        </is>
      </c>
      <c r="M4295" s="23" t="n">
        <v>5084.75</v>
      </c>
    </row>
    <row r="4296">
      <c r="A4296" s="19" t="inlineStr">
        <is>
          <t>FY27</t>
        </is>
      </c>
      <c r="B4296" s="19" t="inlineStr">
        <is>
          <t>Sep</t>
        </is>
      </c>
      <c r="C4296" s="19" t="inlineStr">
        <is>
          <t>TN</t>
        </is>
      </c>
      <c r="D4296" s="20" t="inlineStr">
        <is>
          <t>TN72BK0033</t>
        </is>
      </c>
      <c r="E4296" s="20" t="inlineStr">
        <is>
          <t>HONDA</t>
        </is>
      </c>
      <c r="F4296" s="20" t="inlineStr">
        <is>
          <t>Amaze</t>
        </is>
      </c>
      <c r="G4296" s="21" t="n">
        <v>2018</v>
      </c>
      <c r="H4296" s="22" t="n">
        <v>76610</v>
      </c>
      <c r="I4296" s="22" t="n">
        <v>400000</v>
      </c>
      <c r="J4296" s="20" t="inlineStr">
        <is>
          <t>EXCHANGE ROTN</t>
        </is>
      </c>
      <c r="K4296" s="20" t="inlineStr">
        <is>
          <t>Captive</t>
        </is>
      </c>
      <c r="L4296" s="20" t="inlineStr">
        <is>
          <t>Paul Cars</t>
        </is>
      </c>
      <c r="M4296" s="23" t="n">
        <v>16949.15</v>
      </c>
    </row>
    <row r="4297">
      <c r="A4297" s="19" t="inlineStr">
        <is>
          <t>FY27</t>
        </is>
      </c>
      <c r="B4297" s="19" t="inlineStr">
        <is>
          <t>Sep</t>
        </is>
      </c>
      <c r="C4297" s="19" t="inlineStr">
        <is>
          <t>TN</t>
        </is>
      </c>
      <c r="D4297" s="20" t="inlineStr">
        <is>
          <t>TN72J9066</t>
        </is>
      </c>
      <c r="E4297" s="20" t="inlineStr">
        <is>
          <t>MARUTI SUZUKI</t>
        </is>
      </c>
      <c r="F4297" s="20" t="inlineStr">
        <is>
          <t>800</t>
        </is>
      </c>
      <c r="G4297" s="21" t="n">
        <v>2003</v>
      </c>
      <c r="H4297" s="22" t="n">
        <v>80894</v>
      </c>
      <c r="I4297" s="22" t="n">
        <v>15000</v>
      </c>
      <c r="J4297" s="20" t="inlineStr">
        <is>
          <t>EXCHANGE ROTN</t>
        </is>
      </c>
      <c r="K4297" s="20" t="inlineStr">
        <is>
          <t>Captive</t>
        </is>
      </c>
      <c r="L4297" s="20" t="inlineStr">
        <is>
          <t>Automotivators</t>
        </is>
      </c>
      <c r="M4297" s="23" t="n">
        <v>4237.29</v>
      </c>
    </row>
    <row r="4298">
      <c r="A4298" s="19" t="inlineStr">
        <is>
          <t>FY27</t>
        </is>
      </c>
      <c r="B4298" s="19" t="inlineStr">
        <is>
          <t>Sep</t>
        </is>
      </c>
      <c r="C4298" s="19" t="inlineStr">
        <is>
          <t>TN</t>
        </is>
      </c>
      <c r="D4298" s="20" t="inlineStr">
        <is>
          <t>TN73E3679</t>
        </is>
      </c>
      <c r="E4298" s="20" t="inlineStr">
        <is>
          <t>RENAULT</t>
        </is>
      </c>
      <c r="F4298" s="20" t="inlineStr">
        <is>
          <t>Pulse</t>
        </is>
      </c>
      <c r="G4298" s="21" t="n">
        <v>2012</v>
      </c>
      <c r="H4298" s="22" t="n">
        <v>128162</v>
      </c>
      <c r="I4298" s="22" t="n">
        <v>91000</v>
      </c>
      <c r="J4298" s="20" t="inlineStr">
        <is>
          <t>EXCHANGE ROTN</t>
        </is>
      </c>
      <c r="K4298" s="20" t="inlineStr">
        <is>
          <t>Captive</t>
        </is>
      </c>
      <c r="L4298" s="20" t="inlineStr">
        <is>
          <t>Sai Cars</t>
        </is>
      </c>
      <c r="M4298" s="23" t="n">
        <v>4237.29</v>
      </c>
    </row>
    <row r="4299">
      <c r="A4299" s="19" t="inlineStr">
        <is>
          <t>FY27</t>
        </is>
      </c>
      <c r="B4299" s="19" t="inlineStr">
        <is>
          <t>Sep</t>
        </is>
      </c>
      <c r="C4299" s="19" t="inlineStr">
        <is>
          <t>TN</t>
        </is>
      </c>
      <c r="D4299" s="20" t="inlineStr">
        <is>
          <t>TN74H4268</t>
        </is>
      </c>
      <c r="E4299" s="20" t="inlineStr">
        <is>
          <t>HYUNDAI</t>
        </is>
      </c>
      <c r="F4299" s="20" t="inlineStr">
        <is>
          <t>Santro</t>
        </is>
      </c>
      <c r="G4299" s="21" t="n">
        <v>2003</v>
      </c>
      <c r="H4299" s="22" t="n">
        <v>112334</v>
      </c>
      <c r="I4299" s="22" t="n">
        <v>40000</v>
      </c>
      <c r="J4299" s="20" t="inlineStr">
        <is>
          <t>EXCHANGE ROTN</t>
        </is>
      </c>
      <c r="K4299" s="20" t="inlineStr">
        <is>
          <t>Captive</t>
        </is>
      </c>
      <c r="L4299" s="20" t="inlineStr">
        <is>
          <t>Ready To Ride Cars</t>
        </is>
      </c>
      <c r="M4299" s="23" t="n">
        <v>4237.29</v>
      </c>
    </row>
    <row r="4300">
      <c r="A4300" s="19" t="inlineStr">
        <is>
          <t>FY27</t>
        </is>
      </c>
      <c r="B4300" s="19" t="inlineStr">
        <is>
          <t>Sep</t>
        </is>
      </c>
      <c r="C4300" s="19" t="inlineStr">
        <is>
          <t>TN</t>
        </is>
      </c>
      <c r="D4300" s="20" t="inlineStr">
        <is>
          <t>TN78T9984</t>
        </is>
      </c>
      <c r="E4300" s="20" t="inlineStr">
        <is>
          <t>MARUTI SUZUKI</t>
        </is>
      </c>
      <c r="F4300" s="20" t="inlineStr">
        <is>
          <t>Alto 800</t>
        </is>
      </c>
      <c r="G4300" s="21" t="n">
        <v>2017</v>
      </c>
      <c r="H4300" s="22" t="n">
        <v>14848</v>
      </c>
      <c r="I4300" s="22" t="n">
        <v>92000</v>
      </c>
      <c r="J4300" s="20" t="inlineStr">
        <is>
          <t>CARS INDIA</t>
        </is>
      </c>
      <c r="K4300" s="20" t="inlineStr">
        <is>
          <t>Non-Captive</t>
        </is>
      </c>
      <c r="L4300" s="20" t="inlineStr">
        <is>
          <t>Cars24</t>
        </is>
      </c>
      <c r="M4300" s="23" t="n">
        <v>3898.31</v>
      </c>
    </row>
    <row r="4301">
      <c r="A4301" s="19" t="inlineStr">
        <is>
          <t>FY27</t>
        </is>
      </c>
      <c r="B4301" s="19" t="inlineStr">
        <is>
          <t>Sep</t>
        </is>
      </c>
      <c r="C4301" s="19" t="inlineStr">
        <is>
          <t>TN</t>
        </is>
      </c>
      <c r="D4301" s="20" t="inlineStr">
        <is>
          <t>TN81Z1815</t>
        </is>
      </c>
      <c r="E4301" s="20" t="inlineStr">
        <is>
          <t>FORD</t>
        </is>
      </c>
      <c r="F4301" s="20" t="inlineStr">
        <is>
          <t>Figo</t>
        </is>
      </c>
      <c r="G4301" s="21" t="n">
        <v>2013</v>
      </c>
      <c r="H4301" s="22" t="n">
        <v>21928</v>
      </c>
      <c r="I4301" s="22" t="n">
        <v>97000</v>
      </c>
      <c r="J4301" s="20" t="inlineStr">
        <is>
          <t>VISHNU CARS PRIVATE LIMITED</t>
        </is>
      </c>
      <c r="K4301" s="20" t="inlineStr">
        <is>
          <t>Non-Captive</t>
        </is>
      </c>
      <c r="L4301" s="20" t="inlineStr">
        <is>
          <t>Emarald Cars</t>
        </is>
      </c>
      <c r="M4301" s="23" t="n">
        <v>4237.29</v>
      </c>
    </row>
    <row r="4302">
      <c r="A4302" s="19" t="inlineStr">
        <is>
          <t>FY27</t>
        </is>
      </c>
      <c r="B4302" s="19" t="inlineStr">
        <is>
          <t>Sep</t>
        </is>
      </c>
      <c r="C4302" s="19" t="inlineStr">
        <is>
          <t>TN</t>
        </is>
      </c>
      <c r="D4302" s="20" t="inlineStr">
        <is>
          <t>TN85A6100</t>
        </is>
      </c>
      <c r="E4302" s="20" t="inlineStr">
        <is>
          <t>HYUNDAI</t>
        </is>
      </c>
      <c r="F4302" s="20" t="inlineStr">
        <is>
          <t>Verna</t>
        </is>
      </c>
      <c r="G4302" s="21" t="n">
        <v>2015</v>
      </c>
      <c r="H4302" s="22" t="n">
        <v>103218</v>
      </c>
      <c r="I4302" s="22" t="n">
        <v>325000</v>
      </c>
      <c r="J4302" s="20" t="inlineStr">
        <is>
          <t>EXCHANGE CHENNAI</t>
        </is>
      </c>
      <c r="K4302" s="20" t="inlineStr">
        <is>
          <t>Captive</t>
        </is>
      </c>
      <c r="L4302" s="20" t="inlineStr">
        <is>
          <t>Santhosh Cars</t>
        </is>
      </c>
      <c r="M4302" s="23" t="n">
        <v>8474.58</v>
      </c>
    </row>
    <row r="4303">
      <c r="A4303" s="19" t="inlineStr">
        <is>
          <t>FY27</t>
        </is>
      </c>
      <c r="B4303" s="19" t="inlineStr">
        <is>
          <t>Sep</t>
        </is>
      </c>
      <c r="C4303" s="19" t="inlineStr">
        <is>
          <t>TN</t>
        </is>
      </c>
      <c r="D4303" s="20" t="inlineStr">
        <is>
          <t>TN86C2876</t>
        </is>
      </c>
      <c r="E4303" s="20" t="inlineStr">
        <is>
          <t>TOYOTA</t>
        </is>
      </c>
      <c r="F4303" s="20" t="inlineStr">
        <is>
          <t>Etios</t>
        </is>
      </c>
      <c r="G4303" s="21" t="n">
        <v>2013</v>
      </c>
      <c r="H4303" s="22" t="n">
        <v>188994</v>
      </c>
      <c r="I4303" s="22" t="n">
        <v>250000</v>
      </c>
      <c r="J4303" s="20" t="inlineStr">
        <is>
          <t>EXCHANGE ROTN</t>
        </is>
      </c>
      <c r="K4303" s="20" t="inlineStr">
        <is>
          <t>Captive</t>
        </is>
      </c>
      <c r="L4303" s="20" t="inlineStr"/>
      <c r="M4303" s="23" t="n">
        <v>8474.58</v>
      </c>
    </row>
    <row r="4304">
      <c r="A4304" s="19" t="inlineStr">
        <is>
          <t>FY27</t>
        </is>
      </c>
      <c r="B4304" s="19" t="inlineStr">
        <is>
          <t>Sep</t>
        </is>
      </c>
      <c r="C4304" s="19" t="inlineStr">
        <is>
          <t>TN</t>
        </is>
      </c>
      <c r="D4304" s="20" t="inlineStr">
        <is>
          <t>TN86J3412</t>
        </is>
      </c>
      <c r="E4304" s="20" t="inlineStr">
        <is>
          <t>HYUNDAI</t>
        </is>
      </c>
      <c r="F4304" s="20" t="inlineStr">
        <is>
          <t>i20</t>
        </is>
      </c>
      <c r="G4304" s="21" t="n">
        <v>2024</v>
      </c>
      <c r="H4304" s="22" t="n">
        <v>53136</v>
      </c>
      <c r="I4304" s="22" t="n">
        <v>585000</v>
      </c>
      <c r="J4304" s="20" t="inlineStr">
        <is>
          <t>EXCHANGE ROTN</t>
        </is>
      </c>
      <c r="K4304" s="20" t="inlineStr">
        <is>
          <t>Captive</t>
        </is>
      </c>
      <c r="L4304" s="20" t="inlineStr">
        <is>
          <t>Sivashankar Cars</t>
        </is>
      </c>
      <c r="M4304" s="23" t="n">
        <v>12711.86</v>
      </c>
    </row>
    <row r="4305">
      <c r="A4305" s="19" t="inlineStr">
        <is>
          <t>FY27</t>
        </is>
      </c>
      <c r="B4305" s="19" t="inlineStr">
        <is>
          <t>Sep</t>
        </is>
      </c>
      <c r="C4305" s="19" t="inlineStr">
        <is>
          <t>TN</t>
        </is>
      </c>
      <c r="D4305" s="20" t="inlineStr">
        <is>
          <t>TN87D9402</t>
        </is>
      </c>
      <c r="E4305" s="20" t="inlineStr">
        <is>
          <t>BHARATBENZ</t>
        </is>
      </c>
      <c r="F4305" s="20" t="inlineStr">
        <is>
          <t>1017</t>
        </is>
      </c>
      <c r="G4305" s="21" t="n">
        <v>2022</v>
      </c>
      <c r="H4305" s="22" t="n">
        <v>101301</v>
      </c>
      <c r="I4305" s="22" t="n">
        <v>1479650</v>
      </c>
      <c r="J4305" s="20" t="inlineStr">
        <is>
          <t>DAIMLER INDIA COMMERCIAL</t>
        </is>
      </c>
      <c r="K4305" s="20" t="inlineStr">
        <is>
          <t>Non-Captive</t>
        </is>
      </c>
      <c r="L4305" s="20" t="inlineStr">
        <is>
          <t>Aneesa Pravin Cars</t>
        </is>
      </c>
      <c r="M4305" s="23" t="n">
        <v>8474.58</v>
      </c>
    </row>
    <row r="4306">
      <c r="A4306" s="19" t="inlineStr">
        <is>
          <t>FY27</t>
        </is>
      </c>
      <c r="B4306" s="19" t="inlineStr">
        <is>
          <t>Sep</t>
        </is>
      </c>
      <c r="C4306" s="19" t="inlineStr">
        <is>
          <t>TN</t>
        </is>
      </c>
      <c r="D4306" s="20" t="inlineStr">
        <is>
          <t>TN87D9403</t>
        </is>
      </c>
      <c r="E4306" s="20" t="inlineStr">
        <is>
          <t>BHARATBENZ</t>
        </is>
      </c>
      <c r="F4306" s="20" t="inlineStr">
        <is>
          <t>1017</t>
        </is>
      </c>
      <c r="G4306" s="21" t="n">
        <v>2022</v>
      </c>
      <c r="H4306" s="22" t="n">
        <v>101909</v>
      </c>
      <c r="I4306" s="22" t="n">
        <v>1479650</v>
      </c>
      <c r="J4306" s="20" t="inlineStr">
        <is>
          <t>DAIMLER INDIA COMMERCIAL</t>
        </is>
      </c>
      <c r="K4306" s="20" t="inlineStr">
        <is>
          <t>Non-Captive</t>
        </is>
      </c>
      <c r="L4306" s="20" t="inlineStr">
        <is>
          <t>Thirumurugan Cars</t>
        </is>
      </c>
      <c r="M4306" s="23" t="n">
        <v>8474.58</v>
      </c>
    </row>
    <row r="4307">
      <c r="A4307" s="19" t="inlineStr">
        <is>
          <t>FY27</t>
        </is>
      </c>
      <c r="B4307" s="19" t="inlineStr">
        <is>
          <t>Sep</t>
        </is>
      </c>
      <c r="C4307" s="19" t="inlineStr">
        <is>
          <t>TN</t>
        </is>
      </c>
      <c r="D4307" s="20" t="inlineStr">
        <is>
          <t>TN87D9416</t>
        </is>
      </c>
      <c r="E4307" s="20" t="inlineStr">
        <is>
          <t>BHARATBENZ</t>
        </is>
      </c>
      <c r="F4307" s="20" t="inlineStr">
        <is>
          <t>1017</t>
        </is>
      </c>
      <c r="G4307" s="21" t="n">
        <v>2022</v>
      </c>
      <c r="H4307" s="22" t="n">
        <v>107528</v>
      </c>
      <c r="I4307" s="22" t="n">
        <v>1479650</v>
      </c>
      <c r="J4307" s="20" t="inlineStr">
        <is>
          <t>DAIMLER INDIA COMMERCIAL</t>
        </is>
      </c>
      <c r="K4307" s="20" t="inlineStr">
        <is>
          <t>Non-Captive</t>
        </is>
      </c>
      <c r="L4307" s="20" t="inlineStr">
        <is>
          <t>Srijja Travels</t>
        </is>
      </c>
      <c r="M4307" s="23" t="n">
        <v>8474.58</v>
      </c>
    </row>
    <row r="4308">
      <c r="A4308" s="19" t="inlineStr">
        <is>
          <t>FY27</t>
        </is>
      </c>
      <c r="B4308" s="19" t="inlineStr">
        <is>
          <t>Sep</t>
        </is>
      </c>
      <c r="C4308" s="19" t="inlineStr">
        <is>
          <t>TN</t>
        </is>
      </c>
      <c r="D4308" s="20" t="inlineStr">
        <is>
          <t>TN87D9426</t>
        </is>
      </c>
      <c r="E4308" s="20" t="inlineStr">
        <is>
          <t>BHARATBENZ</t>
        </is>
      </c>
      <c r="F4308" s="20" t="inlineStr">
        <is>
          <t>1017</t>
        </is>
      </c>
      <c r="G4308" s="21" t="n">
        <v>2022</v>
      </c>
      <c r="H4308" s="22" t="n">
        <v>105945</v>
      </c>
      <c r="I4308" s="22" t="n">
        <v>1479650</v>
      </c>
      <c r="J4308" s="20" t="inlineStr">
        <is>
          <t>DAIMLER INDIA COMMERCIAL</t>
        </is>
      </c>
      <c r="K4308" s="20" t="inlineStr">
        <is>
          <t>Non-Captive</t>
        </is>
      </c>
      <c r="L4308" s="20" t="inlineStr">
        <is>
          <t>Sunilkumar Car</t>
        </is>
      </c>
      <c r="M4308" s="23" t="n">
        <v>8474.58</v>
      </c>
    </row>
    <row r="4309">
      <c r="A4309" s="19" t="inlineStr">
        <is>
          <t>FY27</t>
        </is>
      </c>
      <c r="B4309" s="19" t="inlineStr">
        <is>
          <t>Sep</t>
        </is>
      </c>
      <c r="C4309" s="19" t="inlineStr">
        <is>
          <t>TN</t>
        </is>
      </c>
      <c r="D4309" s="20" t="inlineStr">
        <is>
          <t>TN87D9574</t>
        </is>
      </c>
      <c r="E4309" s="20" t="inlineStr">
        <is>
          <t>BHARATBENZ</t>
        </is>
      </c>
      <c r="F4309" s="20" t="inlineStr">
        <is>
          <t>1017</t>
        </is>
      </c>
      <c r="G4309" s="21" t="n">
        <v>2022</v>
      </c>
      <c r="H4309" s="22" t="n">
        <v>105173</v>
      </c>
      <c r="I4309" s="22" t="n">
        <v>1479650</v>
      </c>
      <c r="J4309" s="20" t="inlineStr">
        <is>
          <t>DAIMLER INDIA COMMERCIAL</t>
        </is>
      </c>
      <c r="K4309" s="20" t="inlineStr">
        <is>
          <t>Non-Captive</t>
        </is>
      </c>
      <c r="L4309" s="20" t="inlineStr">
        <is>
          <t>Balakrishnan.T Cars</t>
        </is>
      </c>
      <c r="M4309" s="23" t="n">
        <v>8474.58</v>
      </c>
    </row>
    <row r="4310">
      <c r="A4310" s="19" t="inlineStr">
        <is>
          <t>FY27</t>
        </is>
      </c>
      <c r="B4310" s="19" t="inlineStr">
        <is>
          <t>Sep</t>
        </is>
      </c>
      <c r="C4310" s="19" t="inlineStr">
        <is>
          <t>TN</t>
        </is>
      </c>
      <c r="D4310" s="20" t="inlineStr">
        <is>
          <t>TN884939</t>
        </is>
      </c>
      <c r="E4310" s="20" t="inlineStr">
        <is>
          <t>MARUTI SUZUKI</t>
        </is>
      </c>
      <c r="F4310" s="20" t="inlineStr">
        <is>
          <t>Zen Estilo</t>
        </is>
      </c>
      <c r="G4310" s="21" t="n">
        <v>2013</v>
      </c>
      <c r="H4310" s="22" t="n">
        <v>96681</v>
      </c>
      <c r="I4310" s="22" t="n">
        <v>92000</v>
      </c>
      <c r="J4310" s="20" t="inlineStr">
        <is>
          <t>STEER AUTO TECHNOLOGIES PRIVATE LIMITED</t>
        </is>
      </c>
      <c r="K4310" s="20" t="inlineStr">
        <is>
          <t>Non-Captive</t>
        </is>
      </c>
      <c r="L4310" s="20" t="inlineStr">
        <is>
          <t>Cars24</t>
        </is>
      </c>
      <c r="M4310" s="23" t="n">
        <v>4237.29</v>
      </c>
    </row>
    <row r="4311">
      <c r="A4311" s="19" t="inlineStr">
        <is>
          <t>FY27</t>
        </is>
      </c>
      <c r="B4311" s="19" t="inlineStr">
        <is>
          <t>Sep</t>
        </is>
      </c>
      <c r="C4311" s="19" t="inlineStr">
        <is>
          <t>TN</t>
        </is>
      </c>
      <c r="D4311" s="20" t="inlineStr">
        <is>
          <t>TN90D1049</t>
        </is>
      </c>
      <c r="E4311" s="20" t="inlineStr">
        <is>
          <t>MARUTI SUZUKI</t>
        </is>
      </c>
      <c r="F4311" s="20" t="inlineStr">
        <is>
          <t>Baleno</t>
        </is>
      </c>
      <c r="G4311" s="21" t="n">
        <v>2018</v>
      </c>
      <c r="H4311" s="22" t="n">
        <v>66293</v>
      </c>
      <c r="I4311" s="22" t="n">
        <v>380000</v>
      </c>
      <c r="J4311" s="20" t="inlineStr">
        <is>
          <t>EXCHANGE ROTN</t>
        </is>
      </c>
      <c r="K4311" s="20" t="inlineStr">
        <is>
          <t>Captive</t>
        </is>
      </c>
      <c r="L4311" s="20" t="inlineStr"/>
      <c r="M4311" s="23" t="n">
        <v>8474.58</v>
      </c>
    </row>
    <row r="4312">
      <c r="A4312" s="19" t="inlineStr">
        <is>
          <t>FY27</t>
        </is>
      </c>
      <c r="B4312" s="19" t="inlineStr">
        <is>
          <t>Sep</t>
        </is>
      </c>
      <c r="C4312" s="19" t="inlineStr">
        <is>
          <t>TN</t>
        </is>
      </c>
      <c r="D4312" s="20" t="inlineStr">
        <is>
          <t>TN91A1208</t>
        </is>
      </c>
      <c r="E4312" s="20" t="inlineStr">
        <is>
          <t>HYUNDAI</t>
        </is>
      </c>
      <c r="F4312" s="20" t="inlineStr">
        <is>
          <t>Xcent</t>
        </is>
      </c>
      <c r="G4312" s="21" t="n">
        <v>2016</v>
      </c>
      <c r="H4312" s="22" t="n">
        <v>199071</v>
      </c>
      <c r="I4312" s="22" t="n">
        <v>98000</v>
      </c>
      <c r="J4312" s="20" t="inlineStr">
        <is>
          <t>PRODUCTIVITY ELEMENTS PRIVATE LIMITED</t>
        </is>
      </c>
      <c r="K4312" s="20" t="inlineStr">
        <is>
          <t>Non-Captive</t>
        </is>
      </c>
      <c r="L4312" s="20" t="inlineStr">
        <is>
          <t>Pine Autos</t>
        </is>
      </c>
      <c r="M4312" s="23" t="n">
        <v>4237.29</v>
      </c>
    </row>
    <row r="4313">
      <c r="A4313" s="19" t="inlineStr">
        <is>
          <t>FY27</t>
        </is>
      </c>
      <c r="B4313" s="19" t="inlineStr">
        <is>
          <t>Sep</t>
        </is>
      </c>
      <c r="C4313" s="19" t="inlineStr">
        <is>
          <t>TN</t>
        </is>
      </c>
      <c r="D4313" s="20" t="inlineStr">
        <is>
          <t>TN91B6339</t>
        </is>
      </c>
      <c r="E4313" s="20" t="inlineStr">
        <is>
          <t>HYUNDAI</t>
        </is>
      </c>
      <c r="F4313" s="20" t="inlineStr">
        <is>
          <t>i10</t>
        </is>
      </c>
      <c r="G4313" s="21" t="n">
        <v>2016</v>
      </c>
      <c r="H4313" s="22" t="n">
        <v>88980</v>
      </c>
      <c r="I4313" s="22" t="n">
        <v>92000</v>
      </c>
      <c r="J4313" s="20" t="inlineStr">
        <is>
          <t>AIE CARS PRIVATE LIMITED</t>
        </is>
      </c>
      <c r="K4313" s="20" t="inlineStr">
        <is>
          <t>Non-Captive</t>
        </is>
      </c>
      <c r="L4313" s="20" t="inlineStr">
        <is>
          <t>Santhosh Cars</t>
        </is>
      </c>
      <c r="M4313" s="23" t="n">
        <v>4237.29</v>
      </c>
    </row>
    <row r="4314">
      <c r="A4314" s="19" t="inlineStr">
        <is>
          <t>FY27</t>
        </is>
      </c>
      <c r="B4314" s="19" t="inlineStr">
        <is>
          <t>Sep</t>
        </is>
      </c>
      <c r="C4314" s="19" t="inlineStr">
        <is>
          <t>TN</t>
        </is>
      </c>
      <c r="D4314" s="20" t="inlineStr">
        <is>
          <t>TN99C7670</t>
        </is>
      </c>
      <c r="E4314" s="20" t="inlineStr">
        <is>
          <t>MARUTI SUZUKI</t>
        </is>
      </c>
      <c r="F4314" s="20" t="inlineStr">
        <is>
          <t>Celerio</t>
        </is>
      </c>
      <c r="G4314" s="21" t="n">
        <v>2015</v>
      </c>
      <c r="H4314" s="22" t="n">
        <v>42199</v>
      </c>
      <c r="I4314" s="22" t="n">
        <v>86000</v>
      </c>
      <c r="J4314" s="20" t="inlineStr">
        <is>
          <t>STEER AUTO TECHNOLOGIES PRIVATE LIMITED</t>
        </is>
      </c>
      <c r="K4314" s="20" t="inlineStr">
        <is>
          <t>Non-Captive</t>
        </is>
      </c>
      <c r="L4314" s="20" t="inlineStr">
        <is>
          <t>Cars24</t>
        </is>
      </c>
      <c r="M4314" s="23" t="n">
        <v>4237.29</v>
      </c>
    </row>
    <row r="4315">
      <c r="A4315" s="19" t="inlineStr">
        <is>
          <t>FY27</t>
        </is>
      </c>
      <c r="B4315" s="19" t="inlineStr">
        <is>
          <t>Sep</t>
        </is>
      </c>
      <c r="C4315" s="19" t="inlineStr">
        <is>
          <t>TN</t>
        </is>
      </c>
      <c r="D4315" s="20" t="inlineStr">
        <is>
          <t>TN99V1078</t>
        </is>
      </c>
      <c r="E4315" s="20" t="inlineStr">
        <is>
          <t>TOYOTA</t>
        </is>
      </c>
      <c r="F4315" s="20" t="inlineStr">
        <is>
          <t>Corolla Altis</t>
        </is>
      </c>
      <c r="G4315" s="21" t="n">
        <v>2018</v>
      </c>
      <c r="H4315" s="22" t="n">
        <v>80732</v>
      </c>
      <c r="I4315" s="22" t="n">
        <v>750000</v>
      </c>
      <c r="J4315" s="20" t="inlineStr">
        <is>
          <t>EXCHANGE ROTN</t>
        </is>
      </c>
      <c r="K4315" s="20" t="inlineStr">
        <is>
          <t>Captive</t>
        </is>
      </c>
      <c r="L4315" s="20" t="inlineStr">
        <is>
          <t>Sai Cars</t>
        </is>
      </c>
      <c r="M4315" s="23" t="n">
        <v>12711.86</v>
      </c>
    </row>
    <row r="4316">
      <c r="A4316" s="19" t="inlineStr">
        <is>
          <t>FY27</t>
        </is>
      </c>
      <c r="B4316" s="19" t="inlineStr">
        <is>
          <t>Sep</t>
        </is>
      </c>
      <c r="C4316" s="19" t="inlineStr">
        <is>
          <t>TN</t>
        </is>
      </c>
      <c r="D4316" s="20" t="inlineStr">
        <is>
          <t>TN99Z0968</t>
        </is>
      </c>
      <c r="E4316" s="20" t="inlineStr">
        <is>
          <t>HONDA</t>
        </is>
      </c>
      <c r="F4316" s="20" t="inlineStr">
        <is>
          <t>Amaze</t>
        </is>
      </c>
      <c r="G4316" s="21" t="n">
        <v>2023</v>
      </c>
      <c r="H4316" s="22" t="n">
        <v>33283</v>
      </c>
      <c r="I4316" s="22" t="n">
        <v>675000</v>
      </c>
      <c r="J4316" s="20" t="inlineStr">
        <is>
          <t>EXCHANGE ROTN</t>
        </is>
      </c>
      <c r="K4316" s="20" t="inlineStr">
        <is>
          <t>Captive</t>
        </is>
      </c>
      <c r="L4316" s="20" t="inlineStr">
        <is>
          <t>Spinny / Sai Cars</t>
        </is>
      </c>
      <c r="M4316" s="23" t="n">
        <v>16949.15</v>
      </c>
    </row>
    <row r="4317">
      <c r="A4317" s="19" t="inlineStr">
        <is>
          <t>FY27</t>
        </is>
      </c>
      <c r="B4317" s="19" t="inlineStr">
        <is>
          <t>Sep</t>
        </is>
      </c>
      <c r="C4317" s="19" t="inlineStr">
        <is>
          <t>TN</t>
        </is>
      </c>
      <c r="D4317" s="20" t="inlineStr">
        <is>
          <t>WB74V3884</t>
        </is>
      </c>
      <c r="E4317" s="20" t="inlineStr">
        <is>
          <t>MARUTI SUZUKI</t>
        </is>
      </c>
      <c r="F4317" s="20" t="inlineStr">
        <is>
          <t>Alto</t>
        </is>
      </c>
      <c r="G4317" s="21" t="n">
        <v>2011</v>
      </c>
      <c r="H4317" s="22" t="n">
        <v>89650</v>
      </c>
      <c r="I4317" s="22" t="n">
        <v>99000</v>
      </c>
      <c r="J4317" s="20" t="inlineStr">
        <is>
          <t>AIE CARS PRIVATE LIMITED</t>
        </is>
      </c>
      <c r="K4317" s="20" t="inlineStr">
        <is>
          <t>Non-Captive</t>
        </is>
      </c>
      <c r="L4317" s="20" t="inlineStr">
        <is>
          <t>Pine Autos</t>
        </is>
      </c>
      <c r="M4317" s="23" t="n">
        <v>4237.29</v>
      </c>
    </row>
  </sheetData>
  <mergeCells count="2">
    <mergeCell ref="A2:M2"/>
    <mergeCell ref="A1:M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BHARATBENZ</t>
        </is>
      </c>
    </row>
    <row r="2">
      <c r="A2" t="inlineStr">
        <is>
          <t>CHEVROLET</t>
        </is>
      </c>
    </row>
    <row r="3">
      <c r="A3" t="inlineStr">
        <is>
          <t>CITROEN</t>
        </is>
      </c>
    </row>
    <row r="4">
      <c r="A4" t="inlineStr">
        <is>
          <t>DATSUN</t>
        </is>
      </c>
    </row>
    <row r="5">
      <c r="A5" t="inlineStr">
        <is>
          <t>FIAT</t>
        </is>
      </c>
    </row>
    <row r="6">
      <c r="A6" t="inlineStr">
        <is>
          <t>FORD</t>
        </is>
      </c>
    </row>
    <row r="7">
      <c r="A7" t="inlineStr">
        <is>
          <t>HINDUSTAN MOTORS</t>
        </is>
      </c>
    </row>
    <row r="8">
      <c r="A8" t="inlineStr">
        <is>
          <t>HONDA</t>
        </is>
      </c>
    </row>
    <row r="9">
      <c r="A9" t="inlineStr">
        <is>
          <t>HYUNDAI</t>
        </is>
      </c>
    </row>
    <row r="10">
      <c r="A10" t="inlineStr">
        <is>
          <t>JEEP</t>
        </is>
      </c>
    </row>
    <row r="11">
      <c r="A11" t="inlineStr">
        <is>
          <t>KIA</t>
        </is>
      </c>
    </row>
    <row r="12">
      <c r="A12" t="inlineStr">
        <is>
          <t>MAHINDRA</t>
        </is>
      </c>
    </row>
    <row r="13">
      <c r="A13" t="inlineStr">
        <is>
          <t>MARUTI SUZUKI</t>
        </is>
      </c>
    </row>
    <row r="14">
      <c r="A14" t="inlineStr">
        <is>
          <t>MG MOTORS</t>
        </is>
      </c>
    </row>
    <row r="15">
      <c r="A15" t="inlineStr">
        <is>
          <t>NISSAN</t>
        </is>
      </c>
    </row>
    <row r="16">
      <c r="A16" t="inlineStr">
        <is>
          <t>RENAULT</t>
        </is>
      </c>
    </row>
    <row r="17">
      <c r="A17" t="inlineStr">
        <is>
          <t>SKODA</t>
        </is>
      </c>
    </row>
    <row r="18">
      <c r="A18" t="inlineStr">
        <is>
          <t>TATA</t>
        </is>
      </c>
    </row>
    <row r="19">
      <c r="A19" t="inlineStr">
        <is>
          <t>TOYOTA</t>
        </is>
      </c>
    </row>
    <row r="20">
      <c r="A20" t="inlineStr">
        <is>
          <t>VOLKSWAGEN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2026-10-10T09:58:39Z</dcterms:created>
  <dcterms:modified xmlns:dcterms="http://purl.org/dc/terms/" xmlns:xsi="http://www.w3.org/2001/XMLSchema-instance" xsi:type="dcterms:W3CDTF">2026-10-10T09:58:48Z</dcterms:modified>
</cp:coreProperties>
</file>